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9c54a963c48ce0/Documents/Jason/02-Shooting/USAYESS/COYESS/"/>
    </mc:Choice>
  </mc:AlternateContent>
  <xr:revisionPtr revIDLastSave="5196" documentId="8_{E5E56B11-8886-4FD4-A20D-2E140630D3F7}" xr6:coauthVersionLast="47" xr6:coauthVersionMax="47" xr10:uidLastSave="{506E45A7-04A7-4EF2-ABBE-1BB2EE813A6C}"/>
  <bookViews>
    <workbookView xWindow="-108" yWindow="-108" windowWidth="23256" windowHeight="12576" firstSheet="3" activeTab="6" xr2:uid="{E0557DCD-9121-4712-B02E-C244D4DE3EB6}"/>
  </bookViews>
  <sheets>
    <sheet name="Tournament Setup" sheetId="7" r:id="rId1"/>
    <sheet name="Team Setup" sheetId="14" r:id="rId2"/>
    <sheet name="Individual Setup" sheetId="15" r:id="rId3"/>
    <sheet name="Shooter-Squad Assignment" sheetId="13" r:id="rId4"/>
    <sheet name="Squad Listing" sheetId="11" r:id="rId5"/>
    <sheet name="Shooter History" sheetId="16" r:id="rId6"/>
    <sheet name="Tournament List" sheetId="2" r:id="rId7"/>
    <sheet name="HAA Scores" sheetId="17" r:id="rId8"/>
    <sheet name="Skeet Ind Concurrent Ranking" sheetId="6" r:id="rId9"/>
    <sheet name="Skeet Team Scores" sheetId="4" r:id="rId10"/>
    <sheet name="Skeet Ind Concurrent Scores" sheetId="3" r:id="rId11"/>
    <sheet name="Skeet Ind Class Scores" sheetId="10" r:id="rId12"/>
  </sheets>
  <definedNames>
    <definedName name="_xlnm._FilterDatabase" localSheetId="3" hidden="1">'Shooter-Squad Assignment'!$A$1:$AB$201</definedName>
    <definedName name="_xlnm._FilterDatabase" localSheetId="8" hidden="1">'Skeet Ind Concurrent Ranking'!$A$1:$AR$111</definedName>
    <definedName name="_xlnm._FilterDatabase" localSheetId="4" hidden="1">'Squad Listing'!$A$1:$P$628</definedName>
    <definedName name="_xlnm._FilterDatabase" localSheetId="6" hidden="1">'Tournament List'!$A$2:$CK$203</definedName>
    <definedName name="AgeConcurrents">'Tournament Setup'!$A$32:$A$36</definedName>
    <definedName name="Concurrent">'Tournament Setup'!$A$49:$A$54</definedName>
    <definedName name="_xlnm.Print_Area" localSheetId="10">'Skeet Ind Concurrent Scores'!$A$1:$Q$49</definedName>
    <definedName name="ShooterID">'Tournament List'!$A$3:$A$203</definedName>
    <definedName name="SkeetTimes">'Tournament Setup'!$A$108:$A$117</definedName>
    <definedName name="SportingTimes">'Tournament Setup'!$C$108:$C$117</definedName>
    <definedName name="SquadConcurrents">'Tournament Setup'!$A$59:$A$78</definedName>
    <definedName name="SquadPos">'Tournament Setup'!$A$81:$A$84</definedName>
    <definedName name="SquadPosT">'Tournament Setup'!$B$81:$B$86</definedName>
    <definedName name="TeamNo">'Squad Listing'!$A$2:$A$585</definedName>
    <definedName name="Teams">'Tournament Setup'!$A$91:$A$104</definedName>
    <definedName name="TrapTimes">'Tournament Setup'!$B$108:$B$117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6" l="1"/>
  <c r="B100" i="16"/>
  <c r="O100" i="16" s="1"/>
  <c r="B99" i="16"/>
  <c r="K99" i="16" s="1"/>
  <c r="B98" i="16"/>
  <c r="O98" i="16" s="1"/>
  <c r="B97" i="16"/>
  <c r="O97" i="16" s="1"/>
  <c r="B96" i="16"/>
  <c r="O96" i="16" s="1"/>
  <c r="O95" i="16"/>
  <c r="C95" i="16"/>
  <c r="B95" i="16"/>
  <c r="K95" i="16" s="1"/>
  <c r="B94" i="16"/>
  <c r="Q94" i="16" s="1"/>
  <c r="B93" i="16"/>
  <c r="Q92" i="16"/>
  <c r="L92" i="16"/>
  <c r="I92" i="16"/>
  <c r="D92" i="16"/>
  <c r="B92" i="16"/>
  <c r="O92" i="16" s="1"/>
  <c r="A92" i="16"/>
  <c r="B91" i="16"/>
  <c r="K91" i="16" s="1"/>
  <c r="D90" i="16"/>
  <c r="B90" i="16"/>
  <c r="O90" i="16" s="1"/>
  <c r="B89" i="16"/>
  <c r="O89" i="16" s="1"/>
  <c r="Q88" i="16"/>
  <c r="I88" i="16"/>
  <c r="D88" i="16"/>
  <c r="B88" i="16"/>
  <c r="O88" i="16" s="1"/>
  <c r="N87" i="16"/>
  <c r="C87" i="16"/>
  <c r="B87" i="16"/>
  <c r="O87" i="16" s="1"/>
  <c r="B86" i="16"/>
  <c r="M86" i="16" s="1"/>
  <c r="K85" i="16"/>
  <c r="B85" i="16"/>
  <c r="N85" i="16" s="1"/>
  <c r="B84" i="16"/>
  <c r="M84" i="16" s="1"/>
  <c r="B83" i="16"/>
  <c r="K83" i="16" s="1"/>
  <c r="B82" i="16"/>
  <c r="Q82" i="16" s="1"/>
  <c r="K81" i="16"/>
  <c r="B81" i="16"/>
  <c r="R81" i="16" s="1"/>
  <c r="B80" i="16"/>
  <c r="M80" i="16" s="1"/>
  <c r="B79" i="16"/>
  <c r="P78" i="16"/>
  <c r="J78" i="16"/>
  <c r="B78" i="16"/>
  <c r="J77" i="16"/>
  <c r="B77" i="16"/>
  <c r="O77" i="16" s="1"/>
  <c r="L76" i="16"/>
  <c r="I76" i="16"/>
  <c r="B76" i="16"/>
  <c r="R76" i="16" s="1"/>
  <c r="A76" i="16"/>
  <c r="I75" i="16"/>
  <c r="B75" i="16"/>
  <c r="O75" i="16" s="1"/>
  <c r="B74" i="16"/>
  <c r="R74" i="16" s="1"/>
  <c r="B73" i="16"/>
  <c r="J73" i="16" s="1"/>
  <c r="B72" i="16"/>
  <c r="R72" i="16" s="1"/>
  <c r="B71" i="16"/>
  <c r="M71" i="16" s="1"/>
  <c r="B70" i="16"/>
  <c r="R70" i="16" s="1"/>
  <c r="B69" i="16"/>
  <c r="P68" i="16"/>
  <c r="I68" i="16"/>
  <c r="C68" i="16"/>
  <c r="B68" i="16"/>
  <c r="L68" i="16" s="1"/>
  <c r="N67" i="16"/>
  <c r="M67" i="16"/>
  <c r="C67" i="16"/>
  <c r="B67" i="16"/>
  <c r="C66" i="16"/>
  <c r="B66" i="16"/>
  <c r="L66" i="16" s="1"/>
  <c r="B65" i="16"/>
  <c r="M65" i="16" s="1"/>
  <c r="Q64" i="16"/>
  <c r="O64" i="16"/>
  <c r="I64" i="16"/>
  <c r="D64" i="16"/>
  <c r="B64" i="16"/>
  <c r="R64" i="16" s="1"/>
  <c r="A64" i="16"/>
  <c r="B63" i="16"/>
  <c r="I63" i="16" s="1"/>
  <c r="B62" i="16"/>
  <c r="R62" i="16" s="1"/>
  <c r="B61" i="16"/>
  <c r="C61" i="16" s="1"/>
  <c r="B60" i="16"/>
  <c r="L60" i="16" s="1"/>
  <c r="B59" i="16"/>
  <c r="I59" i="16" s="1"/>
  <c r="B58" i="16"/>
  <c r="K58" i="16" s="1"/>
  <c r="B57" i="16"/>
  <c r="O57" i="16" s="1"/>
  <c r="A57" i="16"/>
  <c r="B56" i="16"/>
  <c r="B55" i="16"/>
  <c r="L55" i="16" s="1"/>
  <c r="B54" i="16"/>
  <c r="D54" i="16" s="1"/>
  <c r="P53" i="16"/>
  <c r="J53" i="16"/>
  <c r="B53" i="16"/>
  <c r="L53" i="16" s="1"/>
  <c r="B52" i="16"/>
  <c r="B51" i="16"/>
  <c r="L51" i="16" s="1"/>
  <c r="B50" i="16"/>
  <c r="P50" i="16" s="1"/>
  <c r="B49" i="16"/>
  <c r="R49" i="16" s="1"/>
  <c r="B48" i="16"/>
  <c r="B47" i="16"/>
  <c r="L47" i="16" s="1"/>
  <c r="P46" i="16"/>
  <c r="J46" i="16"/>
  <c r="D46" i="16"/>
  <c r="B46" i="16"/>
  <c r="L46" i="16" s="1"/>
  <c r="P45" i="16"/>
  <c r="J45" i="16"/>
  <c r="D45" i="16"/>
  <c r="B45" i="16"/>
  <c r="L45" i="16" s="1"/>
  <c r="B44" i="16"/>
  <c r="B43" i="16"/>
  <c r="L43" i="16" s="1"/>
  <c r="B42" i="16"/>
  <c r="R42" i="16" s="1"/>
  <c r="B41" i="16"/>
  <c r="P41" i="16" s="1"/>
  <c r="B40" i="16"/>
  <c r="P40" i="16" s="1"/>
  <c r="B39" i="16"/>
  <c r="Q39" i="16" s="1"/>
  <c r="B38" i="16"/>
  <c r="Q38" i="16" s="1"/>
  <c r="B37" i="16"/>
  <c r="Q37" i="16" s="1"/>
  <c r="B36" i="16"/>
  <c r="Q36" i="16" s="1"/>
  <c r="B35" i="16"/>
  <c r="Q35" i="16" s="1"/>
  <c r="K34" i="16"/>
  <c r="B34" i="16"/>
  <c r="P34" i="16" s="1"/>
  <c r="A34" i="16"/>
  <c r="B33" i="16"/>
  <c r="C33" i="16" s="1"/>
  <c r="P32" i="16"/>
  <c r="B32" i="16"/>
  <c r="K32" i="16" s="1"/>
  <c r="B31" i="16"/>
  <c r="O31" i="16" s="1"/>
  <c r="B30" i="16"/>
  <c r="R30" i="16" s="1"/>
  <c r="B29" i="16"/>
  <c r="O29" i="16" s="1"/>
  <c r="P28" i="16"/>
  <c r="B28" i="16"/>
  <c r="Q28" i="16" s="1"/>
  <c r="O27" i="16"/>
  <c r="K27" i="16"/>
  <c r="B27" i="16"/>
  <c r="Q27" i="16" s="1"/>
  <c r="P26" i="16"/>
  <c r="I26" i="16"/>
  <c r="B26" i="16"/>
  <c r="Q26" i="16" s="1"/>
  <c r="B25" i="16"/>
  <c r="K25" i="16" s="1"/>
  <c r="O24" i="16"/>
  <c r="B24" i="16"/>
  <c r="P24" i="16" s="1"/>
  <c r="A24" i="16"/>
  <c r="B23" i="16"/>
  <c r="O23" i="16" s="1"/>
  <c r="Q22" i="16"/>
  <c r="O22" i="16"/>
  <c r="I22" i="16"/>
  <c r="D22" i="16"/>
  <c r="B22" i="16"/>
  <c r="R22" i="16" s="1"/>
  <c r="A22" i="16"/>
  <c r="K21" i="16"/>
  <c r="B21" i="16"/>
  <c r="O21" i="16" s="1"/>
  <c r="M20" i="16"/>
  <c r="K20" i="16"/>
  <c r="C20" i="16"/>
  <c r="B20" i="16"/>
  <c r="P20" i="16" s="1"/>
  <c r="O19" i="16"/>
  <c r="K19" i="16"/>
  <c r="C19" i="16"/>
  <c r="B19" i="16"/>
  <c r="Q19" i="16" s="1"/>
  <c r="O18" i="16"/>
  <c r="K18" i="16"/>
  <c r="B18" i="16"/>
  <c r="P18" i="16" s="1"/>
  <c r="A18" i="16"/>
  <c r="C17" i="16"/>
  <c r="B17" i="16"/>
  <c r="K17" i="16" s="1"/>
  <c r="B16" i="16"/>
  <c r="B15" i="16"/>
  <c r="C15" i="16" s="1"/>
  <c r="Q14" i="16"/>
  <c r="I14" i="16"/>
  <c r="B14" i="16"/>
  <c r="R14" i="16" s="1"/>
  <c r="A14" i="16"/>
  <c r="B13" i="16"/>
  <c r="O13" i="16" s="1"/>
  <c r="B12" i="16"/>
  <c r="O11" i="16"/>
  <c r="K11" i="16"/>
  <c r="B11" i="16"/>
  <c r="Q11" i="16" s="1"/>
  <c r="B10" i="16"/>
  <c r="B9" i="16"/>
  <c r="K9" i="16" s="1"/>
  <c r="B8" i="16"/>
  <c r="R8" i="16" s="1"/>
  <c r="O7" i="16"/>
  <c r="B7" i="16"/>
  <c r="Q7" i="16" s="1"/>
  <c r="Q6" i="16"/>
  <c r="L6" i="16"/>
  <c r="I6" i="16"/>
  <c r="C6" i="16"/>
  <c r="B6" i="16"/>
  <c r="R6" i="16" s="1"/>
  <c r="A6" i="16"/>
  <c r="B5" i="16"/>
  <c r="Q5" i="16" s="1"/>
  <c r="B4" i="16"/>
  <c r="R4" i="16" s="1"/>
  <c r="B3" i="16"/>
  <c r="Q3" i="16" s="1"/>
  <c r="AG102" i="2"/>
  <c r="AF102" i="2" s="1"/>
  <c r="AG101" i="2"/>
  <c r="AF101" i="2" s="1"/>
  <c r="AG100" i="2"/>
  <c r="AF100" i="2" s="1"/>
  <c r="AG99" i="2"/>
  <c r="AF99" i="2" s="1"/>
  <c r="AG98" i="2"/>
  <c r="AF98" i="2" s="1"/>
  <c r="AG97" i="2"/>
  <c r="AF97" i="2" s="1"/>
  <c r="AG96" i="2"/>
  <c r="AF96" i="2" s="1"/>
  <c r="AG95" i="2"/>
  <c r="AF95" i="2" s="1"/>
  <c r="AG94" i="2"/>
  <c r="AF94" i="2" s="1"/>
  <c r="AG93" i="2"/>
  <c r="AF93" i="2" s="1"/>
  <c r="AG92" i="2"/>
  <c r="AF92" i="2" s="1"/>
  <c r="AG91" i="2"/>
  <c r="AF91" i="2" s="1"/>
  <c r="AG90" i="2"/>
  <c r="AF90" i="2" s="1"/>
  <c r="AG89" i="2"/>
  <c r="AF89" i="2" s="1"/>
  <c r="AG88" i="2"/>
  <c r="AF88" i="2" s="1"/>
  <c r="AG87" i="2"/>
  <c r="AF87" i="2" s="1"/>
  <c r="AG86" i="2"/>
  <c r="AF86" i="2" s="1"/>
  <c r="AG85" i="2"/>
  <c r="AF85" i="2" s="1"/>
  <c r="AG84" i="2"/>
  <c r="AF84" i="2" s="1"/>
  <c r="AG83" i="2"/>
  <c r="AF83" i="2" s="1"/>
  <c r="AG82" i="2"/>
  <c r="AF82" i="2" s="1"/>
  <c r="AG81" i="2"/>
  <c r="AF81" i="2" s="1"/>
  <c r="AG80" i="2"/>
  <c r="AF80" i="2" s="1"/>
  <c r="AG79" i="2"/>
  <c r="AF79" i="2" s="1"/>
  <c r="AG78" i="2"/>
  <c r="AF78" i="2" s="1"/>
  <c r="AG77" i="2"/>
  <c r="AF77" i="2" s="1"/>
  <c r="AG76" i="2"/>
  <c r="AF76" i="2" s="1"/>
  <c r="AG75" i="2"/>
  <c r="AF75" i="2" s="1"/>
  <c r="AG74" i="2"/>
  <c r="AF74" i="2" s="1"/>
  <c r="AG73" i="2"/>
  <c r="AF73" i="2" s="1"/>
  <c r="AG72" i="2"/>
  <c r="AF72" i="2" s="1"/>
  <c r="AG71" i="2"/>
  <c r="AF71" i="2" s="1"/>
  <c r="AG70" i="2"/>
  <c r="AF70" i="2" s="1"/>
  <c r="AG69" i="2"/>
  <c r="AF69" i="2" s="1"/>
  <c r="AG68" i="2"/>
  <c r="AF68" i="2" s="1"/>
  <c r="AG67" i="2"/>
  <c r="AF67" i="2" s="1"/>
  <c r="AG66" i="2"/>
  <c r="AF66" i="2" s="1"/>
  <c r="AG65" i="2"/>
  <c r="AF65" i="2" s="1"/>
  <c r="AG64" i="2"/>
  <c r="AF64" i="2" s="1"/>
  <c r="AG63" i="2"/>
  <c r="AF63" i="2" s="1"/>
  <c r="AG62" i="2"/>
  <c r="AF62" i="2" s="1"/>
  <c r="AG61" i="2"/>
  <c r="AF61" i="2" s="1"/>
  <c r="AG60" i="2"/>
  <c r="AF60" i="2" s="1"/>
  <c r="AG59" i="2"/>
  <c r="AF59" i="2" s="1"/>
  <c r="AG58" i="2"/>
  <c r="AF58" i="2" s="1"/>
  <c r="AG57" i="2"/>
  <c r="AF57" i="2" s="1"/>
  <c r="AG56" i="2"/>
  <c r="AF56" i="2" s="1"/>
  <c r="AG55" i="2"/>
  <c r="AF55" i="2" s="1"/>
  <c r="AG54" i="2"/>
  <c r="AF54" i="2" s="1"/>
  <c r="AG53" i="2"/>
  <c r="AF53" i="2" s="1"/>
  <c r="AG52" i="2"/>
  <c r="AF52" i="2" s="1"/>
  <c r="AG51" i="2"/>
  <c r="AF51" i="2" s="1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1" i="2"/>
  <c r="AG10" i="2"/>
  <c r="AG9" i="2"/>
  <c r="AG8" i="2"/>
  <c r="AG7" i="2"/>
  <c r="AG6" i="2"/>
  <c r="AG5" i="2"/>
  <c r="AG4" i="2"/>
  <c r="AB102" i="2"/>
  <c r="U102" i="2"/>
  <c r="Y102" i="2" s="1"/>
  <c r="T102" i="2"/>
  <c r="S102" i="2"/>
  <c r="X102" i="2" s="1"/>
  <c r="AB101" i="2"/>
  <c r="U101" i="2"/>
  <c r="Y101" i="2" s="1"/>
  <c r="T101" i="2"/>
  <c r="S101" i="2"/>
  <c r="X101" i="2" s="1"/>
  <c r="AB100" i="2"/>
  <c r="U100" i="2"/>
  <c r="Y100" i="2" s="1"/>
  <c r="T100" i="2"/>
  <c r="S100" i="2"/>
  <c r="X100" i="2" s="1"/>
  <c r="AB99" i="2"/>
  <c r="U99" i="2"/>
  <c r="Y99" i="2" s="1"/>
  <c r="T99" i="2"/>
  <c r="S99" i="2"/>
  <c r="X99" i="2" s="1"/>
  <c r="AB98" i="2"/>
  <c r="U98" i="2"/>
  <c r="Y98" i="2" s="1"/>
  <c r="T98" i="2"/>
  <c r="S98" i="2"/>
  <c r="X98" i="2" s="1"/>
  <c r="AB97" i="2"/>
  <c r="U97" i="2"/>
  <c r="Y97" i="2" s="1"/>
  <c r="T97" i="2"/>
  <c r="S97" i="2"/>
  <c r="X97" i="2" s="1"/>
  <c r="AB96" i="2"/>
  <c r="U96" i="2"/>
  <c r="Y96" i="2" s="1"/>
  <c r="T96" i="2"/>
  <c r="S96" i="2"/>
  <c r="X96" i="2" s="1"/>
  <c r="AB95" i="2"/>
  <c r="U95" i="2"/>
  <c r="Y95" i="2" s="1"/>
  <c r="T95" i="2"/>
  <c r="S95" i="2"/>
  <c r="X95" i="2" s="1"/>
  <c r="AB94" i="2"/>
  <c r="U94" i="2"/>
  <c r="Y94" i="2" s="1"/>
  <c r="T94" i="2"/>
  <c r="S94" i="2"/>
  <c r="X94" i="2" s="1"/>
  <c r="AB93" i="2"/>
  <c r="U93" i="2"/>
  <c r="Y93" i="2" s="1"/>
  <c r="T93" i="2"/>
  <c r="S93" i="2"/>
  <c r="X93" i="2" s="1"/>
  <c r="AB92" i="2"/>
  <c r="U92" i="2"/>
  <c r="Y92" i="2" s="1"/>
  <c r="T92" i="2"/>
  <c r="S92" i="2"/>
  <c r="X92" i="2" s="1"/>
  <c r="AB91" i="2"/>
  <c r="U91" i="2"/>
  <c r="Y91" i="2" s="1"/>
  <c r="T91" i="2"/>
  <c r="S91" i="2"/>
  <c r="X91" i="2" s="1"/>
  <c r="AB90" i="2"/>
  <c r="U90" i="2"/>
  <c r="Y90" i="2" s="1"/>
  <c r="T90" i="2"/>
  <c r="S90" i="2"/>
  <c r="X90" i="2" s="1"/>
  <c r="AB89" i="2"/>
  <c r="U89" i="2"/>
  <c r="Y89" i="2" s="1"/>
  <c r="T89" i="2"/>
  <c r="S89" i="2"/>
  <c r="X89" i="2" s="1"/>
  <c r="AB88" i="2"/>
  <c r="U88" i="2"/>
  <c r="Y88" i="2" s="1"/>
  <c r="T88" i="2"/>
  <c r="S88" i="2"/>
  <c r="X88" i="2" s="1"/>
  <c r="AB87" i="2"/>
  <c r="U87" i="2"/>
  <c r="Y87" i="2" s="1"/>
  <c r="T87" i="2"/>
  <c r="S87" i="2"/>
  <c r="AB86" i="2"/>
  <c r="U86" i="2"/>
  <c r="Y86" i="2" s="1"/>
  <c r="T86" i="2"/>
  <c r="S86" i="2"/>
  <c r="W86" i="2" s="1"/>
  <c r="AB85" i="2"/>
  <c r="U85" i="2"/>
  <c r="Y85" i="2" s="1"/>
  <c r="T85" i="2"/>
  <c r="S85" i="2"/>
  <c r="W85" i="2" s="1"/>
  <c r="AB84" i="2"/>
  <c r="U84" i="2"/>
  <c r="Y84" i="2" s="1"/>
  <c r="T84" i="2"/>
  <c r="S84" i="2"/>
  <c r="AB83" i="2"/>
  <c r="U83" i="2"/>
  <c r="Y83" i="2" s="1"/>
  <c r="T83" i="2"/>
  <c r="S83" i="2"/>
  <c r="W83" i="2" s="1"/>
  <c r="AB82" i="2"/>
  <c r="U82" i="2"/>
  <c r="Y82" i="2" s="1"/>
  <c r="T82" i="2"/>
  <c r="S82" i="2"/>
  <c r="W82" i="2" s="1"/>
  <c r="AB81" i="2"/>
  <c r="U81" i="2"/>
  <c r="Y81" i="2" s="1"/>
  <c r="T81" i="2"/>
  <c r="S81" i="2"/>
  <c r="W81" i="2" s="1"/>
  <c r="AB80" i="2"/>
  <c r="U80" i="2"/>
  <c r="Y80" i="2" s="1"/>
  <c r="T80" i="2"/>
  <c r="S80" i="2"/>
  <c r="AB79" i="2"/>
  <c r="U79" i="2"/>
  <c r="Y79" i="2" s="1"/>
  <c r="T79" i="2"/>
  <c r="S79" i="2"/>
  <c r="W79" i="2" s="1"/>
  <c r="AB78" i="2"/>
  <c r="W78" i="2"/>
  <c r="U78" i="2"/>
  <c r="Y78" i="2" s="1"/>
  <c r="T78" i="2"/>
  <c r="S78" i="2"/>
  <c r="AB77" i="2"/>
  <c r="U77" i="2"/>
  <c r="Y77" i="2" s="1"/>
  <c r="T77" i="2"/>
  <c r="S77" i="2"/>
  <c r="W77" i="2" s="1"/>
  <c r="AB76" i="2"/>
  <c r="U76" i="2"/>
  <c r="Y76" i="2" s="1"/>
  <c r="T76" i="2"/>
  <c r="S76" i="2"/>
  <c r="AB75" i="2"/>
  <c r="U75" i="2"/>
  <c r="Y75" i="2" s="1"/>
  <c r="T75" i="2"/>
  <c r="S75" i="2"/>
  <c r="W75" i="2" s="1"/>
  <c r="AB74" i="2"/>
  <c r="U74" i="2"/>
  <c r="Y74" i="2" s="1"/>
  <c r="T74" i="2"/>
  <c r="S74" i="2"/>
  <c r="W74" i="2" s="1"/>
  <c r="AB73" i="2"/>
  <c r="U73" i="2"/>
  <c r="Y73" i="2" s="1"/>
  <c r="T73" i="2"/>
  <c r="S73" i="2"/>
  <c r="W73" i="2" s="1"/>
  <c r="AB72" i="2"/>
  <c r="U72" i="2"/>
  <c r="Y72" i="2" s="1"/>
  <c r="T72" i="2"/>
  <c r="S72" i="2"/>
  <c r="AB71" i="2"/>
  <c r="U71" i="2"/>
  <c r="Y71" i="2" s="1"/>
  <c r="T71" i="2"/>
  <c r="S71" i="2"/>
  <c r="X71" i="2" s="1"/>
  <c r="AB70" i="2"/>
  <c r="U70" i="2"/>
  <c r="Y70" i="2" s="1"/>
  <c r="T70" i="2"/>
  <c r="S70" i="2"/>
  <c r="W70" i="2" s="1"/>
  <c r="AB69" i="2"/>
  <c r="U69" i="2"/>
  <c r="Y69" i="2" s="1"/>
  <c r="T69" i="2"/>
  <c r="S69" i="2"/>
  <c r="X69" i="2" s="1"/>
  <c r="AB68" i="2"/>
  <c r="U68" i="2"/>
  <c r="Y68" i="2" s="1"/>
  <c r="T68" i="2"/>
  <c r="S68" i="2"/>
  <c r="W68" i="2" s="1"/>
  <c r="AB67" i="2"/>
  <c r="U67" i="2"/>
  <c r="Y67" i="2" s="1"/>
  <c r="T67" i="2"/>
  <c r="S67" i="2"/>
  <c r="V67" i="2" s="1"/>
  <c r="AB66" i="2"/>
  <c r="U66" i="2"/>
  <c r="Y66" i="2" s="1"/>
  <c r="T66" i="2"/>
  <c r="S66" i="2"/>
  <c r="W66" i="2" s="1"/>
  <c r="AB65" i="2"/>
  <c r="U65" i="2"/>
  <c r="Y65" i="2" s="1"/>
  <c r="T65" i="2"/>
  <c r="S65" i="2"/>
  <c r="V65" i="2" s="1"/>
  <c r="AB64" i="2"/>
  <c r="U64" i="2"/>
  <c r="Y64" i="2" s="1"/>
  <c r="T64" i="2"/>
  <c r="S64" i="2"/>
  <c r="W64" i="2" s="1"/>
  <c r="AB63" i="2"/>
  <c r="U63" i="2"/>
  <c r="Y63" i="2" s="1"/>
  <c r="T63" i="2"/>
  <c r="S63" i="2"/>
  <c r="W63" i="2" s="1"/>
  <c r="AB62" i="2"/>
  <c r="U62" i="2"/>
  <c r="Y62" i="2" s="1"/>
  <c r="T62" i="2"/>
  <c r="S62" i="2"/>
  <c r="X62" i="2" s="1"/>
  <c r="AB61" i="2"/>
  <c r="U61" i="2"/>
  <c r="Y61" i="2" s="1"/>
  <c r="T61" i="2"/>
  <c r="S61" i="2"/>
  <c r="X61" i="2" s="1"/>
  <c r="AB60" i="2"/>
  <c r="U60" i="2"/>
  <c r="Y60" i="2" s="1"/>
  <c r="T60" i="2"/>
  <c r="S60" i="2"/>
  <c r="W60" i="2" s="1"/>
  <c r="AB59" i="2"/>
  <c r="U59" i="2"/>
  <c r="Y59" i="2" s="1"/>
  <c r="T59" i="2"/>
  <c r="S59" i="2"/>
  <c r="V59" i="2" s="1"/>
  <c r="AB58" i="2"/>
  <c r="U58" i="2"/>
  <c r="Y58" i="2" s="1"/>
  <c r="T58" i="2"/>
  <c r="S58" i="2"/>
  <c r="W58" i="2" s="1"/>
  <c r="AB57" i="2"/>
  <c r="U57" i="2"/>
  <c r="Y57" i="2" s="1"/>
  <c r="T57" i="2"/>
  <c r="S57" i="2"/>
  <c r="V57" i="2" s="1"/>
  <c r="AB56" i="2"/>
  <c r="U56" i="2"/>
  <c r="Y56" i="2" s="1"/>
  <c r="T56" i="2"/>
  <c r="S56" i="2"/>
  <c r="W56" i="2" s="1"/>
  <c r="AB55" i="2"/>
  <c r="U55" i="2"/>
  <c r="Y55" i="2" s="1"/>
  <c r="T55" i="2"/>
  <c r="S55" i="2"/>
  <c r="W55" i="2" s="1"/>
  <c r="AB54" i="2"/>
  <c r="U54" i="2"/>
  <c r="Y54" i="2" s="1"/>
  <c r="T54" i="2"/>
  <c r="S54" i="2"/>
  <c r="X54" i="2" s="1"/>
  <c r="AB53" i="2"/>
  <c r="U53" i="2"/>
  <c r="Y53" i="2" s="1"/>
  <c r="T53" i="2"/>
  <c r="S53" i="2"/>
  <c r="X53" i="2" s="1"/>
  <c r="AB52" i="2"/>
  <c r="U52" i="2"/>
  <c r="Y52" i="2" s="1"/>
  <c r="T52" i="2"/>
  <c r="S52" i="2"/>
  <c r="W52" i="2" s="1"/>
  <c r="AB51" i="2"/>
  <c r="U51" i="2"/>
  <c r="Y51" i="2" s="1"/>
  <c r="T51" i="2"/>
  <c r="S51" i="2"/>
  <c r="X51" i="2" s="1"/>
  <c r="AB50" i="2"/>
  <c r="U50" i="2"/>
  <c r="Y50" i="2" s="1"/>
  <c r="T50" i="2"/>
  <c r="AB49" i="2"/>
  <c r="U49" i="2"/>
  <c r="Y49" i="2" s="1"/>
  <c r="AB48" i="2"/>
  <c r="AB47" i="2"/>
  <c r="AB46" i="2"/>
  <c r="AB45" i="2"/>
  <c r="U45" i="2"/>
  <c r="Y45" i="2" s="1"/>
  <c r="AB44" i="2"/>
  <c r="U44" i="2"/>
  <c r="Y44" i="2" s="1"/>
  <c r="AB43" i="2"/>
  <c r="U43" i="2"/>
  <c r="Y43" i="2" s="1"/>
  <c r="T43" i="2"/>
  <c r="AB42" i="2"/>
  <c r="U42" i="2"/>
  <c r="Y42" i="2" s="1"/>
  <c r="AB41" i="2"/>
  <c r="AB40" i="2"/>
  <c r="U40" i="2"/>
  <c r="Y40" i="2" s="1"/>
  <c r="AB39" i="2"/>
  <c r="U39" i="2"/>
  <c r="Y39" i="2" s="1"/>
  <c r="AB38" i="2"/>
  <c r="AB37" i="2"/>
  <c r="U37" i="2"/>
  <c r="Y37" i="2" s="1"/>
  <c r="AB36" i="2"/>
  <c r="U36" i="2"/>
  <c r="Y36" i="2" s="1"/>
  <c r="AB35" i="2"/>
  <c r="U35" i="2"/>
  <c r="Y35" i="2" s="1"/>
  <c r="AB34" i="2"/>
  <c r="U34" i="2"/>
  <c r="Y34" i="2" s="1"/>
  <c r="AB33" i="2"/>
  <c r="U33" i="2"/>
  <c r="Y33" i="2" s="1"/>
  <c r="AB32" i="2"/>
  <c r="U32" i="2"/>
  <c r="Y32" i="2" s="1"/>
  <c r="AB31" i="2"/>
  <c r="U31" i="2"/>
  <c r="Y31" i="2" s="1"/>
  <c r="AB30" i="2"/>
  <c r="U30" i="2"/>
  <c r="Y30" i="2" s="1"/>
  <c r="AB29" i="2"/>
  <c r="U29" i="2"/>
  <c r="Y29" i="2" s="1"/>
  <c r="AB28" i="2"/>
  <c r="AB27" i="2"/>
  <c r="U27" i="2"/>
  <c r="Y27" i="2" s="1"/>
  <c r="AB26" i="2"/>
  <c r="U26" i="2"/>
  <c r="Y26" i="2" s="1"/>
  <c r="T26" i="2"/>
  <c r="AB25" i="2"/>
  <c r="AB24" i="2"/>
  <c r="U24" i="2"/>
  <c r="Y24" i="2" s="1"/>
  <c r="AB23" i="2"/>
  <c r="U23" i="2"/>
  <c r="Y23" i="2" s="1"/>
  <c r="AB22" i="2"/>
  <c r="U22" i="2"/>
  <c r="Y22" i="2" s="1"/>
  <c r="T22" i="2"/>
  <c r="AB21" i="2"/>
  <c r="AB20" i="2"/>
  <c r="U20" i="2"/>
  <c r="Y20" i="2" s="1"/>
  <c r="AB19" i="2"/>
  <c r="AB18" i="2"/>
  <c r="U18" i="2"/>
  <c r="Y18" i="2" s="1"/>
  <c r="T18" i="2"/>
  <c r="AB17" i="2"/>
  <c r="U17" i="2"/>
  <c r="Y17" i="2" s="1"/>
  <c r="AB16" i="2"/>
  <c r="U16" i="2"/>
  <c r="Y16" i="2" s="1"/>
  <c r="AB15" i="2"/>
  <c r="U15" i="2"/>
  <c r="Y15" i="2" s="1"/>
  <c r="T15" i="2"/>
  <c r="AB14" i="2"/>
  <c r="AB13" i="2"/>
  <c r="U13" i="2"/>
  <c r="Y13" i="2" s="1"/>
  <c r="AB12" i="2"/>
  <c r="AB11" i="2"/>
  <c r="U11" i="2"/>
  <c r="Y11" i="2" s="1"/>
  <c r="T11" i="2"/>
  <c r="AB10" i="2"/>
  <c r="U10" i="2"/>
  <c r="Y10" i="2" s="1"/>
  <c r="AB9" i="2"/>
  <c r="AB8" i="2"/>
  <c r="U8" i="2"/>
  <c r="Y8" i="2" s="1"/>
  <c r="AB7" i="2"/>
  <c r="U7" i="2"/>
  <c r="Y7" i="2" s="1"/>
  <c r="T7" i="2"/>
  <c r="AB6" i="2"/>
  <c r="U6" i="2"/>
  <c r="Y6" i="2" s="1"/>
  <c r="T6" i="2"/>
  <c r="AB5" i="2"/>
  <c r="U5" i="2"/>
  <c r="Y5" i="2" s="1"/>
  <c r="T5" i="2"/>
  <c r="AB4" i="2"/>
  <c r="U4" i="2"/>
  <c r="Y4" i="2" s="1"/>
  <c r="T4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B2" i="16"/>
  <c r="A4" i="17"/>
  <c r="A3" i="17"/>
  <c r="A2" i="17"/>
  <c r="AA54" i="4"/>
  <c r="AA55" i="4" s="1"/>
  <c r="Z54" i="4"/>
  <c r="Z55" i="4" s="1"/>
  <c r="AA51" i="4"/>
  <c r="AA52" i="4" s="1"/>
  <c r="Z51" i="4"/>
  <c r="Z52" i="4" s="1"/>
  <c r="AA48" i="4"/>
  <c r="AA49" i="4" s="1"/>
  <c r="Z48" i="4"/>
  <c r="Z49" i="4" s="1"/>
  <c r="AA45" i="4"/>
  <c r="AA46" i="4" s="1"/>
  <c r="Z45" i="4"/>
  <c r="Z46" i="4" s="1"/>
  <c r="AA42" i="4"/>
  <c r="AA43" i="4" s="1"/>
  <c r="Z42" i="4"/>
  <c r="Z43" i="4" s="1"/>
  <c r="AA39" i="4"/>
  <c r="AA40" i="4" s="1"/>
  <c r="Z39" i="4"/>
  <c r="Z40" i="4" s="1"/>
  <c r="AA36" i="4"/>
  <c r="AA37" i="4" s="1"/>
  <c r="AA33" i="4"/>
  <c r="AA34" i="4" s="1"/>
  <c r="AA30" i="4"/>
  <c r="AA31" i="4" s="1"/>
  <c r="Z33" i="4"/>
  <c r="Z34" i="4" s="1"/>
  <c r="Z36" i="4"/>
  <c r="Z37" i="4" s="1"/>
  <c r="Z30" i="4"/>
  <c r="Z31" i="4" s="1"/>
  <c r="AA27" i="4"/>
  <c r="AA28" i="4" s="1"/>
  <c r="Z27" i="4"/>
  <c r="Z28" i="4" s="1"/>
  <c r="AA24" i="4"/>
  <c r="AA25" i="4" s="1"/>
  <c r="Z24" i="4"/>
  <c r="Z25" i="4" s="1"/>
  <c r="AA21" i="4"/>
  <c r="AA22" i="4" s="1"/>
  <c r="Z21" i="4"/>
  <c r="Z22" i="4" s="1"/>
  <c r="AA18" i="4"/>
  <c r="AA19" i="4" s="1"/>
  <c r="Z18" i="4"/>
  <c r="Z19" i="4" s="1"/>
  <c r="AA15" i="4"/>
  <c r="AA16" i="4" s="1"/>
  <c r="Z15" i="4"/>
  <c r="Z16" i="4" s="1"/>
  <c r="AA12" i="4"/>
  <c r="AA13" i="4" s="1"/>
  <c r="Z12" i="4"/>
  <c r="Z13" i="4" s="1"/>
  <c r="AA9" i="4"/>
  <c r="AA10" i="4" s="1"/>
  <c r="Z9" i="4"/>
  <c r="Z10" i="4" s="1"/>
  <c r="AA6" i="4"/>
  <c r="AA7" i="4" s="1"/>
  <c r="Z6" i="4"/>
  <c r="Z7" i="4" s="1"/>
  <c r="AA3" i="4"/>
  <c r="AA4" i="4" s="1"/>
  <c r="Z3" i="4"/>
  <c r="Z4" i="4" s="1"/>
  <c r="T3" i="2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6" i="6"/>
  <c r="G45" i="6"/>
  <c r="G42" i="6"/>
  <c r="G41" i="6"/>
  <c r="G38" i="6"/>
  <c r="G34" i="6"/>
  <c r="G30" i="6"/>
  <c r="G26" i="6"/>
  <c r="G25" i="6"/>
  <c r="G21" i="6"/>
  <c r="G17" i="6"/>
  <c r="G14" i="6"/>
  <c r="G13" i="6"/>
  <c r="G9" i="6"/>
  <c r="G6" i="6"/>
  <c r="G5" i="6"/>
  <c r="G4" i="6"/>
  <c r="L3" i="13"/>
  <c r="G18" i="6" s="1"/>
  <c r="L4" i="13"/>
  <c r="G36" i="6" s="1"/>
  <c r="L5" i="13"/>
  <c r="L6" i="13"/>
  <c r="G24" i="6" s="1"/>
  <c r="L7" i="13"/>
  <c r="G12" i="6" s="1"/>
  <c r="L8" i="13"/>
  <c r="L9" i="13"/>
  <c r="L10" i="13"/>
  <c r="G11" i="6" s="1"/>
  <c r="L11" i="13"/>
  <c r="G23" i="6" s="1"/>
  <c r="L12" i="13"/>
  <c r="G35" i="6" s="1"/>
  <c r="L13" i="13"/>
  <c r="G47" i="6" s="1"/>
  <c r="L14" i="13"/>
  <c r="L15" i="13"/>
  <c r="G29" i="6" s="1"/>
  <c r="L16" i="13"/>
  <c r="L17" i="13"/>
  <c r="L18" i="13"/>
  <c r="G8" i="6" s="1"/>
  <c r="L19" i="13"/>
  <c r="G32" i="6" s="1"/>
  <c r="L20" i="13"/>
  <c r="G44" i="6" s="1"/>
  <c r="L21" i="13"/>
  <c r="L22" i="13"/>
  <c r="G2" i="6" s="1"/>
  <c r="L23" i="13"/>
  <c r="G20" i="6" s="1"/>
  <c r="L24" i="13"/>
  <c r="L25" i="13"/>
  <c r="L26" i="13"/>
  <c r="L27" i="13"/>
  <c r="G19" i="6" s="1"/>
  <c r="L28" i="13"/>
  <c r="G31" i="6" s="1"/>
  <c r="L29" i="13"/>
  <c r="G43" i="6" s="1"/>
  <c r="L30" i="13"/>
  <c r="G7" i="6" s="1"/>
  <c r="L31" i="13"/>
  <c r="G37" i="6" s="1"/>
  <c r="L32" i="13"/>
  <c r="L33" i="13"/>
  <c r="L34" i="13"/>
  <c r="L35" i="13"/>
  <c r="G3" i="6" s="1"/>
  <c r="L36" i="13"/>
  <c r="L37" i="13"/>
  <c r="G27" i="6" s="1"/>
  <c r="L38" i="13"/>
  <c r="G39" i="6" s="1"/>
  <c r="L39" i="13"/>
  <c r="G33" i="6" s="1"/>
  <c r="L40" i="13"/>
  <c r="L41" i="13"/>
  <c r="G15" i="6" s="1"/>
  <c r="L42" i="13"/>
  <c r="G16" i="6" s="1"/>
  <c r="L43" i="13"/>
  <c r="G28" i="6" s="1"/>
  <c r="L44" i="13"/>
  <c r="G40" i="6" s="1"/>
  <c r="L45" i="13"/>
  <c r="L46" i="13"/>
  <c r="G22" i="6" s="1"/>
  <c r="L47" i="13"/>
  <c r="G10" i="6" s="1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170" i="13"/>
  <c r="N169" i="13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51" i="13"/>
  <c r="N150" i="13"/>
  <c r="N149" i="13"/>
  <c r="N148" i="13"/>
  <c r="N147" i="13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7" i="13"/>
  <c r="N126" i="13"/>
  <c r="N125" i="13"/>
  <c r="N124" i="13"/>
  <c r="N123" i="13"/>
  <c r="N122" i="13"/>
  <c r="N121" i="13"/>
  <c r="N120" i="13"/>
  <c r="N119" i="13"/>
  <c r="N118" i="13"/>
  <c r="N117" i="13"/>
  <c r="N116" i="13"/>
  <c r="N115" i="13"/>
  <c r="N114" i="13"/>
  <c r="N113" i="13"/>
  <c r="N112" i="13"/>
  <c r="N111" i="13"/>
  <c r="N110" i="13"/>
  <c r="N109" i="13"/>
  <c r="N108" i="13"/>
  <c r="N107" i="13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77" i="13"/>
  <c r="N76" i="13"/>
  <c r="N75" i="13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60" i="13"/>
  <c r="N59" i="13"/>
  <c r="N58" i="13"/>
  <c r="N57" i="13"/>
  <c r="N56" i="13"/>
  <c r="N55" i="13"/>
  <c r="N54" i="13"/>
  <c r="N53" i="13"/>
  <c r="N52" i="13"/>
  <c r="N51" i="13"/>
  <c r="N50" i="13"/>
  <c r="N49" i="13"/>
  <c r="N48" i="13"/>
  <c r="N47" i="13"/>
  <c r="N46" i="13"/>
  <c r="N45" i="13"/>
  <c r="N44" i="13"/>
  <c r="N43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2" i="13"/>
  <c r="N3" i="13"/>
  <c r="K2" i="13"/>
  <c r="K9" i="13"/>
  <c r="K14" i="13"/>
  <c r="K17" i="13"/>
  <c r="K21" i="13"/>
  <c r="K22" i="13"/>
  <c r="K32" i="13"/>
  <c r="K33" i="13"/>
  <c r="K34" i="13"/>
  <c r="K35" i="13"/>
  <c r="K45" i="13"/>
  <c r="K47" i="13"/>
  <c r="D1027" i="11"/>
  <c r="B1027" i="11"/>
  <c r="D1026" i="11"/>
  <c r="B1026" i="11"/>
  <c r="D1025" i="11"/>
  <c r="B1025" i="11"/>
  <c r="D1024" i="11"/>
  <c r="B1024" i="11"/>
  <c r="D1023" i="11"/>
  <c r="B1023" i="11"/>
  <c r="D1022" i="11"/>
  <c r="B1022" i="11"/>
  <c r="D1021" i="11"/>
  <c r="B1021" i="11"/>
  <c r="D1020" i="11"/>
  <c r="B1020" i="11"/>
  <c r="D1019" i="11"/>
  <c r="B1019" i="11"/>
  <c r="D1018" i="11"/>
  <c r="B1018" i="11"/>
  <c r="D1017" i="11"/>
  <c r="B1017" i="11"/>
  <c r="D1016" i="11"/>
  <c r="B1016" i="11"/>
  <c r="D1015" i="11"/>
  <c r="B1015" i="11"/>
  <c r="D1014" i="11"/>
  <c r="B1014" i="11"/>
  <c r="D1013" i="11"/>
  <c r="B1013" i="11"/>
  <c r="D1012" i="11"/>
  <c r="B1012" i="11"/>
  <c r="D1011" i="11"/>
  <c r="B1011" i="11"/>
  <c r="D1010" i="11"/>
  <c r="B1010" i="11"/>
  <c r="D1009" i="11"/>
  <c r="B1009" i="11"/>
  <c r="D1008" i="11"/>
  <c r="B1008" i="11"/>
  <c r="D1007" i="11"/>
  <c r="B1007" i="11"/>
  <c r="D1006" i="11"/>
  <c r="B1006" i="11"/>
  <c r="D1005" i="11"/>
  <c r="B1005" i="11"/>
  <c r="D1004" i="11"/>
  <c r="B1004" i="11"/>
  <c r="D1003" i="11"/>
  <c r="B1003" i="11"/>
  <c r="D1002" i="11"/>
  <c r="B1002" i="11"/>
  <c r="D1001" i="11"/>
  <c r="B1001" i="11"/>
  <c r="D1000" i="11"/>
  <c r="B1000" i="11"/>
  <c r="D999" i="11"/>
  <c r="B999" i="11"/>
  <c r="D998" i="11"/>
  <c r="B998" i="11"/>
  <c r="D997" i="11"/>
  <c r="B997" i="11"/>
  <c r="D996" i="11"/>
  <c r="B996" i="11"/>
  <c r="D995" i="11"/>
  <c r="B995" i="11"/>
  <c r="D994" i="11"/>
  <c r="B994" i="11"/>
  <c r="D993" i="11"/>
  <c r="B993" i="11"/>
  <c r="D992" i="11"/>
  <c r="B992" i="11"/>
  <c r="D991" i="11"/>
  <c r="B991" i="11"/>
  <c r="D990" i="11"/>
  <c r="B990" i="11"/>
  <c r="D989" i="11"/>
  <c r="B989" i="11"/>
  <c r="D988" i="11"/>
  <c r="B988" i="11"/>
  <c r="D987" i="11"/>
  <c r="B987" i="11"/>
  <c r="D986" i="11"/>
  <c r="B986" i="11"/>
  <c r="D985" i="11"/>
  <c r="B985" i="11"/>
  <c r="D984" i="11"/>
  <c r="B984" i="11"/>
  <c r="D983" i="11"/>
  <c r="B983" i="11"/>
  <c r="D982" i="11"/>
  <c r="B982" i="11"/>
  <c r="D981" i="11"/>
  <c r="B981" i="11"/>
  <c r="D980" i="11"/>
  <c r="B980" i="11"/>
  <c r="D979" i="11"/>
  <c r="B979" i="11"/>
  <c r="D978" i="11"/>
  <c r="B978" i="11"/>
  <c r="D977" i="11"/>
  <c r="B977" i="11"/>
  <c r="D976" i="11"/>
  <c r="B976" i="11"/>
  <c r="D975" i="11"/>
  <c r="B975" i="11"/>
  <c r="D974" i="11"/>
  <c r="B974" i="11"/>
  <c r="D973" i="11"/>
  <c r="B973" i="11"/>
  <c r="D972" i="11"/>
  <c r="B972" i="11"/>
  <c r="D971" i="11"/>
  <c r="B971" i="11"/>
  <c r="D970" i="11"/>
  <c r="B970" i="11"/>
  <c r="D969" i="11"/>
  <c r="B969" i="11"/>
  <c r="D968" i="11"/>
  <c r="B968" i="11"/>
  <c r="D967" i="11"/>
  <c r="B967" i="11"/>
  <c r="D966" i="11"/>
  <c r="B966" i="11"/>
  <c r="D965" i="11"/>
  <c r="B965" i="11"/>
  <c r="D964" i="11"/>
  <c r="B964" i="11"/>
  <c r="D963" i="11"/>
  <c r="B963" i="11"/>
  <c r="D962" i="11"/>
  <c r="B962" i="11"/>
  <c r="D961" i="11"/>
  <c r="B961" i="11"/>
  <c r="D960" i="11"/>
  <c r="B960" i="11"/>
  <c r="D959" i="11"/>
  <c r="B959" i="11"/>
  <c r="D958" i="11"/>
  <c r="B958" i="11"/>
  <c r="D957" i="11"/>
  <c r="B957" i="11"/>
  <c r="D956" i="11"/>
  <c r="B956" i="11"/>
  <c r="D955" i="11"/>
  <c r="B955" i="11"/>
  <c r="D954" i="11"/>
  <c r="B954" i="11"/>
  <c r="D953" i="11"/>
  <c r="B953" i="11"/>
  <c r="D952" i="11"/>
  <c r="B952" i="11"/>
  <c r="D951" i="11"/>
  <c r="B951" i="11"/>
  <c r="D950" i="11"/>
  <c r="B950" i="11"/>
  <c r="D949" i="11"/>
  <c r="B949" i="11"/>
  <c r="D948" i="11"/>
  <c r="B948" i="11"/>
  <c r="D947" i="11"/>
  <c r="B947" i="11"/>
  <c r="D946" i="11"/>
  <c r="B946" i="11"/>
  <c r="D945" i="11"/>
  <c r="B945" i="11"/>
  <c r="D944" i="11"/>
  <c r="B944" i="11"/>
  <c r="D943" i="11"/>
  <c r="B943" i="11"/>
  <c r="D942" i="11"/>
  <c r="B942" i="11"/>
  <c r="D941" i="11"/>
  <c r="B941" i="11"/>
  <c r="D940" i="11"/>
  <c r="B940" i="11"/>
  <c r="D939" i="11"/>
  <c r="B939" i="11"/>
  <c r="D938" i="11"/>
  <c r="B938" i="11"/>
  <c r="D937" i="11"/>
  <c r="B937" i="11"/>
  <c r="D936" i="11"/>
  <c r="B936" i="11"/>
  <c r="D935" i="11"/>
  <c r="B935" i="11"/>
  <c r="D934" i="11"/>
  <c r="B934" i="11"/>
  <c r="D933" i="11"/>
  <c r="B933" i="11"/>
  <c r="D932" i="11"/>
  <c r="B932" i="11"/>
  <c r="D931" i="11"/>
  <c r="B931" i="11"/>
  <c r="D930" i="11"/>
  <c r="B930" i="11"/>
  <c r="D929" i="11"/>
  <c r="B929" i="11"/>
  <c r="D928" i="11"/>
  <c r="B928" i="11"/>
  <c r="D927" i="11"/>
  <c r="B927" i="11"/>
  <c r="D926" i="11"/>
  <c r="B926" i="11"/>
  <c r="D925" i="11"/>
  <c r="B925" i="11"/>
  <c r="D924" i="11"/>
  <c r="B924" i="11"/>
  <c r="D923" i="11"/>
  <c r="B923" i="11"/>
  <c r="D922" i="11"/>
  <c r="B922" i="11"/>
  <c r="D921" i="11"/>
  <c r="B921" i="11"/>
  <c r="D920" i="11"/>
  <c r="B920" i="11"/>
  <c r="D919" i="11"/>
  <c r="B919" i="11"/>
  <c r="D918" i="11"/>
  <c r="B918" i="11"/>
  <c r="D917" i="11"/>
  <c r="B917" i="11"/>
  <c r="D916" i="11"/>
  <c r="B916" i="11"/>
  <c r="D915" i="11"/>
  <c r="B915" i="11"/>
  <c r="D914" i="11"/>
  <c r="B914" i="11"/>
  <c r="D913" i="11"/>
  <c r="B913" i="11"/>
  <c r="D912" i="11"/>
  <c r="B912" i="11"/>
  <c r="D911" i="11"/>
  <c r="B911" i="11"/>
  <c r="D910" i="11"/>
  <c r="B910" i="11"/>
  <c r="D909" i="11"/>
  <c r="B909" i="11"/>
  <c r="D908" i="11"/>
  <c r="B908" i="11"/>
  <c r="D907" i="11"/>
  <c r="B907" i="11"/>
  <c r="D906" i="11"/>
  <c r="B906" i="11"/>
  <c r="D905" i="11"/>
  <c r="B905" i="11"/>
  <c r="D904" i="11"/>
  <c r="B904" i="11"/>
  <c r="D903" i="11"/>
  <c r="B903" i="11"/>
  <c r="D902" i="11"/>
  <c r="B902" i="11"/>
  <c r="D901" i="11"/>
  <c r="B901" i="11"/>
  <c r="D900" i="11"/>
  <c r="B900" i="11"/>
  <c r="D899" i="11"/>
  <c r="B899" i="11"/>
  <c r="D898" i="11"/>
  <c r="B898" i="11"/>
  <c r="D897" i="11"/>
  <c r="B897" i="11"/>
  <c r="D896" i="11"/>
  <c r="B896" i="11"/>
  <c r="D895" i="11"/>
  <c r="B895" i="11"/>
  <c r="D894" i="11"/>
  <c r="B894" i="11"/>
  <c r="D893" i="11"/>
  <c r="B893" i="11"/>
  <c r="D892" i="11"/>
  <c r="B892" i="11"/>
  <c r="D891" i="11"/>
  <c r="B891" i="11"/>
  <c r="D890" i="11"/>
  <c r="B890" i="11"/>
  <c r="D889" i="11"/>
  <c r="B889" i="11"/>
  <c r="D888" i="11"/>
  <c r="B888" i="11"/>
  <c r="D887" i="11"/>
  <c r="B887" i="11"/>
  <c r="D886" i="11"/>
  <c r="B886" i="11"/>
  <c r="D885" i="11"/>
  <c r="B885" i="11"/>
  <c r="D884" i="11"/>
  <c r="B884" i="11"/>
  <c r="D883" i="11"/>
  <c r="B883" i="11"/>
  <c r="D882" i="11"/>
  <c r="B882" i="11"/>
  <c r="D881" i="11"/>
  <c r="B881" i="11"/>
  <c r="D880" i="11"/>
  <c r="B880" i="11"/>
  <c r="D879" i="11"/>
  <c r="B879" i="11"/>
  <c r="D878" i="11"/>
  <c r="B878" i="11"/>
  <c r="D877" i="11"/>
  <c r="B877" i="11"/>
  <c r="D876" i="11"/>
  <c r="B876" i="11"/>
  <c r="D875" i="11"/>
  <c r="B875" i="11"/>
  <c r="D874" i="11"/>
  <c r="B874" i="11"/>
  <c r="D873" i="11"/>
  <c r="B873" i="11"/>
  <c r="D872" i="11"/>
  <c r="B872" i="11"/>
  <c r="D871" i="11"/>
  <c r="B871" i="11"/>
  <c r="D870" i="11"/>
  <c r="B870" i="11"/>
  <c r="D869" i="11"/>
  <c r="B869" i="11"/>
  <c r="D868" i="11"/>
  <c r="B868" i="11"/>
  <c r="D867" i="11"/>
  <c r="B867" i="11"/>
  <c r="D866" i="11"/>
  <c r="B866" i="11"/>
  <c r="D865" i="11"/>
  <c r="B865" i="11"/>
  <c r="D864" i="11"/>
  <c r="B864" i="11"/>
  <c r="D863" i="11"/>
  <c r="B863" i="11"/>
  <c r="D862" i="11"/>
  <c r="B862" i="11"/>
  <c r="D861" i="11"/>
  <c r="B861" i="11"/>
  <c r="D860" i="11"/>
  <c r="B860" i="11"/>
  <c r="D859" i="11"/>
  <c r="B859" i="11"/>
  <c r="D858" i="11"/>
  <c r="B858" i="11"/>
  <c r="D857" i="11"/>
  <c r="B857" i="11"/>
  <c r="D856" i="11"/>
  <c r="B856" i="11"/>
  <c r="D855" i="11"/>
  <c r="B855" i="11"/>
  <c r="D854" i="11"/>
  <c r="B854" i="11"/>
  <c r="D853" i="11"/>
  <c r="B853" i="11"/>
  <c r="D852" i="11"/>
  <c r="B852" i="11"/>
  <c r="D851" i="11"/>
  <c r="B851" i="11"/>
  <c r="D850" i="11"/>
  <c r="B850" i="11"/>
  <c r="D849" i="11"/>
  <c r="B849" i="11"/>
  <c r="D848" i="11"/>
  <c r="B848" i="11"/>
  <c r="D847" i="11"/>
  <c r="B847" i="11"/>
  <c r="D846" i="11"/>
  <c r="B846" i="11"/>
  <c r="D845" i="11"/>
  <c r="B845" i="11"/>
  <c r="D844" i="11"/>
  <c r="B844" i="11"/>
  <c r="D843" i="11"/>
  <c r="B843" i="11"/>
  <c r="D842" i="11"/>
  <c r="B842" i="11"/>
  <c r="D841" i="11"/>
  <c r="B841" i="11"/>
  <c r="D840" i="11"/>
  <c r="B840" i="11"/>
  <c r="D839" i="11"/>
  <c r="B839" i="11"/>
  <c r="D838" i="11"/>
  <c r="B838" i="11"/>
  <c r="D837" i="11"/>
  <c r="B837" i="11"/>
  <c r="D836" i="11"/>
  <c r="B836" i="11"/>
  <c r="D835" i="11"/>
  <c r="B835" i="11"/>
  <c r="D834" i="11"/>
  <c r="B834" i="11"/>
  <c r="D833" i="11"/>
  <c r="B833" i="11"/>
  <c r="D832" i="11"/>
  <c r="B832" i="11"/>
  <c r="D831" i="11"/>
  <c r="B831" i="11"/>
  <c r="D830" i="11"/>
  <c r="B830" i="11"/>
  <c r="D829" i="11"/>
  <c r="B829" i="11"/>
  <c r="D828" i="11"/>
  <c r="B828" i="11"/>
  <c r="D827" i="11"/>
  <c r="B827" i="11"/>
  <c r="D826" i="11"/>
  <c r="B826" i="11"/>
  <c r="D825" i="11"/>
  <c r="B825" i="11"/>
  <c r="D824" i="11"/>
  <c r="B824" i="11"/>
  <c r="D823" i="11"/>
  <c r="B823" i="11"/>
  <c r="D822" i="11"/>
  <c r="B822" i="11"/>
  <c r="D821" i="11"/>
  <c r="B821" i="11"/>
  <c r="D820" i="11"/>
  <c r="B820" i="11"/>
  <c r="D819" i="11"/>
  <c r="B819" i="11"/>
  <c r="D818" i="11"/>
  <c r="B818" i="11"/>
  <c r="D817" i="11"/>
  <c r="B817" i="11"/>
  <c r="D816" i="11"/>
  <c r="B816" i="11"/>
  <c r="D815" i="11"/>
  <c r="B815" i="11"/>
  <c r="D814" i="11"/>
  <c r="B814" i="11"/>
  <c r="D813" i="11"/>
  <c r="B813" i="11"/>
  <c r="D812" i="11"/>
  <c r="B812" i="11"/>
  <c r="D811" i="11"/>
  <c r="B811" i="11"/>
  <c r="D810" i="11"/>
  <c r="B810" i="11"/>
  <c r="D809" i="11"/>
  <c r="B809" i="11"/>
  <c r="D808" i="11"/>
  <c r="B808" i="11"/>
  <c r="D807" i="11"/>
  <c r="B807" i="11"/>
  <c r="D806" i="11"/>
  <c r="B806" i="11"/>
  <c r="D805" i="11"/>
  <c r="B805" i="11"/>
  <c r="D804" i="11"/>
  <c r="B804" i="11"/>
  <c r="D803" i="11"/>
  <c r="B803" i="11"/>
  <c r="D802" i="11"/>
  <c r="B802" i="11"/>
  <c r="D801" i="11"/>
  <c r="B801" i="11"/>
  <c r="D800" i="11"/>
  <c r="B800" i="11"/>
  <c r="D799" i="11"/>
  <c r="B799" i="11"/>
  <c r="D798" i="11"/>
  <c r="B798" i="11"/>
  <c r="D797" i="11"/>
  <c r="B797" i="11"/>
  <c r="D796" i="11"/>
  <c r="B796" i="11"/>
  <c r="D795" i="11"/>
  <c r="B795" i="11"/>
  <c r="D794" i="11"/>
  <c r="B794" i="11"/>
  <c r="D793" i="11"/>
  <c r="B793" i="11"/>
  <c r="D792" i="11"/>
  <c r="B792" i="11"/>
  <c r="D791" i="11"/>
  <c r="B791" i="11"/>
  <c r="D790" i="11"/>
  <c r="B790" i="11"/>
  <c r="D789" i="11"/>
  <c r="B789" i="11"/>
  <c r="D788" i="11"/>
  <c r="B788" i="11"/>
  <c r="D787" i="11"/>
  <c r="B787" i="11"/>
  <c r="D786" i="11"/>
  <c r="B786" i="11"/>
  <c r="D785" i="11"/>
  <c r="B785" i="11"/>
  <c r="D784" i="11"/>
  <c r="B784" i="11"/>
  <c r="D783" i="11"/>
  <c r="B783" i="11"/>
  <c r="D782" i="11"/>
  <c r="B782" i="11"/>
  <c r="D781" i="11"/>
  <c r="B781" i="11"/>
  <c r="D780" i="11"/>
  <c r="B780" i="11"/>
  <c r="D779" i="11"/>
  <c r="B779" i="11"/>
  <c r="D778" i="11"/>
  <c r="B778" i="11"/>
  <c r="D777" i="11"/>
  <c r="B777" i="11"/>
  <c r="D776" i="11"/>
  <c r="B776" i="11"/>
  <c r="D775" i="11"/>
  <c r="B775" i="11"/>
  <c r="D774" i="11"/>
  <c r="B774" i="11"/>
  <c r="D773" i="11"/>
  <c r="B773" i="11"/>
  <c r="D772" i="11"/>
  <c r="B772" i="11"/>
  <c r="D771" i="11"/>
  <c r="B771" i="11"/>
  <c r="D770" i="11"/>
  <c r="B770" i="11"/>
  <c r="D769" i="11"/>
  <c r="B769" i="11"/>
  <c r="D768" i="11"/>
  <c r="B768" i="11"/>
  <c r="D767" i="11"/>
  <c r="B767" i="11"/>
  <c r="D766" i="11"/>
  <c r="B766" i="11"/>
  <c r="D765" i="11"/>
  <c r="B765" i="11"/>
  <c r="D764" i="11"/>
  <c r="B764" i="11"/>
  <c r="D763" i="11"/>
  <c r="B763" i="11"/>
  <c r="D762" i="11"/>
  <c r="B762" i="11"/>
  <c r="D761" i="11"/>
  <c r="B761" i="11"/>
  <c r="D760" i="11"/>
  <c r="B760" i="11"/>
  <c r="D759" i="11"/>
  <c r="B759" i="11"/>
  <c r="D758" i="11"/>
  <c r="B758" i="11"/>
  <c r="D757" i="11"/>
  <c r="B757" i="11"/>
  <c r="D756" i="11"/>
  <c r="B756" i="11"/>
  <c r="D755" i="11"/>
  <c r="B755" i="11"/>
  <c r="D754" i="11"/>
  <c r="B754" i="11"/>
  <c r="D753" i="11"/>
  <c r="B753" i="11"/>
  <c r="D752" i="11"/>
  <c r="B752" i="11"/>
  <c r="D751" i="11"/>
  <c r="B751" i="11"/>
  <c r="D750" i="11"/>
  <c r="B750" i="11"/>
  <c r="D749" i="11"/>
  <c r="B749" i="11"/>
  <c r="D748" i="11"/>
  <c r="B748" i="11"/>
  <c r="D747" i="11"/>
  <c r="B747" i="11"/>
  <c r="D746" i="11"/>
  <c r="B746" i="11"/>
  <c r="D745" i="11"/>
  <c r="B745" i="11"/>
  <c r="D744" i="11"/>
  <c r="B744" i="11"/>
  <c r="D743" i="11"/>
  <c r="B743" i="11"/>
  <c r="D742" i="11"/>
  <c r="B742" i="11"/>
  <c r="D741" i="11"/>
  <c r="B741" i="11"/>
  <c r="D740" i="11"/>
  <c r="B740" i="11"/>
  <c r="D739" i="11"/>
  <c r="B739" i="11"/>
  <c r="D738" i="11"/>
  <c r="B738" i="11"/>
  <c r="D737" i="11"/>
  <c r="B737" i="11"/>
  <c r="D736" i="11"/>
  <c r="B736" i="11"/>
  <c r="D735" i="11"/>
  <c r="B735" i="11"/>
  <c r="D734" i="11"/>
  <c r="B734" i="11"/>
  <c r="D733" i="11"/>
  <c r="B733" i="11"/>
  <c r="D732" i="11"/>
  <c r="B732" i="11"/>
  <c r="D731" i="11"/>
  <c r="B731" i="11"/>
  <c r="D730" i="11"/>
  <c r="B730" i="11"/>
  <c r="D729" i="11"/>
  <c r="B729" i="11"/>
  <c r="D728" i="11"/>
  <c r="B728" i="11"/>
  <c r="D727" i="11"/>
  <c r="B727" i="11"/>
  <c r="D726" i="11"/>
  <c r="B726" i="11"/>
  <c r="D725" i="11"/>
  <c r="B725" i="11"/>
  <c r="D724" i="11"/>
  <c r="B724" i="11"/>
  <c r="D723" i="11"/>
  <c r="B723" i="11"/>
  <c r="D722" i="11"/>
  <c r="B722" i="11"/>
  <c r="D721" i="11"/>
  <c r="B721" i="11"/>
  <c r="D720" i="11"/>
  <c r="B720" i="11"/>
  <c r="D719" i="11"/>
  <c r="B719" i="11"/>
  <c r="D718" i="11"/>
  <c r="B718" i="11"/>
  <c r="D717" i="11"/>
  <c r="B717" i="11"/>
  <c r="D716" i="11"/>
  <c r="B716" i="11"/>
  <c r="D715" i="11"/>
  <c r="B715" i="11"/>
  <c r="D714" i="11"/>
  <c r="B714" i="11"/>
  <c r="D713" i="11"/>
  <c r="B713" i="11"/>
  <c r="D712" i="11"/>
  <c r="B712" i="11"/>
  <c r="D711" i="11"/>
  <c r="B711" i="11"/>
  <c r="D710" i="11"/>
  <c r="B710" i="11"/>
  <c r="D709" i="11"/>
  <c r="B709" i="11"/>
  <c r="D708" i="11"/>
  <c r="B708" i="11"/>
  <c r="D707" i="11"/>
  <c r="B707" i="11"/>
  <c r="D706" i="11"/>
  <c r="B706" i="11"/>
  <c r="D705" i="11"/>
  <c r="B705" i="11"/>
  <c r="D704" i="11"/>
  <c r="B704" i="11"/>
  <c r="D703" i="11"/>
  <c r="B703" i="11"/>
  <c r="D702" i="11"/>
  <c r="B702" i="11"/>
  <c r="D701" i="11"/>
  <c r="B701" i="11"/>
  <c r="D700" i="11"/>
  <c r="B700" i="11"/>
  <c r="D699" i="11"/>
  <c r="B699" i="11"/>
  <c r="D698" i="11"/>
  <c r="B698" i="11"/>
  <c r="D697" i="11"/>
  <c r="B697" i="11"/>
  <c r="D696" i="11"/>
  <c r="B696" i="11"/>
  <c r="D695" i="11"/>
  <c r="B695" i="11"/>
  <c r="D694" i="11"/>
  <c r="B694" i="11"/>
  <c r="D693" i="11"/>
  <c r="B693" i="11"/>
  <c r="D692" i="11"/>
  <c r="B692" i="11"/>
  <c r="D691" i="11"/>
  <c r="B691" i="11"/>
  <c r="D690" i="11"/>
  <c r="B690" i="11"/>
  <c r="D689" i="11"/>
  <c r="B689" i="11"/>
  <c r="D688" i="11"/>
  <c r="B688" i="11"/>
  <c r="D687" i="11"/>
  <c r="B687" i="11"/>
  <c r="D686" i="11"/>
  <c r="B686" i="11"/>
  <c r="D685" i="11"/>
  <c r="B685" i="11"/>
  <c r="D684" i="11"/>
  <c r="B684" i="11"/>
  <c r="D683" i="11"/>
  <c r="B683" i="11"/>
  <c r="D682" i="11"/>
  <c r="B682" i="11"/>
  <c r="D681" i="11"/>
  <c r="B681" i="11"/>
  <c r="D680" i="11"/>
  <c r="B680" i="11"/>
  <c r="D679" i="11"/>
  <c r="B679" i="11"/>
  <c r="D678" i="11"/>
  <c r="B678" i="11"/>
  <c r="D677" i="11"/>
  <c r="B677" i="11"/>
  <c r="D676" i="11"/>
  <c r="B676" i="11"/>
  <c r="D675" i="11"/>
  <c r="B675" i="11"/>
  <c r="D674" i="11"/>
  <c r="B674" i="11"/>
  <c r="D673" i="11"/>
  <c r="B673" i="11"/>
  <c r="D672" i="11"/>
  <c r="B672" i="11"/>
  <c r="D671" i="11"/>
  <c r="B671" i="11"/>
  <c r="D670" i="11"/>
  <c r="B670" i="11"/>
  <c r="D669" i="11"/>
  <c r="B669" i="11"/>
  <c r="D668" i="11"/>
  <c r="B668" i="11"/>
  <c r="D667" i="11"/>
  <c r="B667" i="11"/>
  <c r="D666" i="11"/>
  <c r="B666" i="11"/>
  <c r="D665" i="11"/>
  <c r="B665" i="11"/>
  <c r="D664" i="11"/>
  <c r="B664" i="11"/>
  <c r="D663" i="11"/>
  <c r="B663" i="11"/>
  <c r="D662" i="11"/>
  <c r="B662" i="11"/>
  <c r="D661" i="11"/>
  <c r="B661" i="11"/>
  <c r="D660" i="11"/>
  <c r="B660" i="11"/>
  <c r="D659" i="11"/>
  <c r="B659" i="11"/>
  <c r="D658" i="11"/>
  <c r="B658" i="11"/>
  <c r="D657" i="11"/>
  <c r="B657" i="11"/>
  <c r="D656" i="11"/>
  <c r="B656" i="11"/>
  <c r="D655" i="11"/>
  <c r="B655" i="11"/>
  <c r="D654" i="11"/>
  <c r="B654" i="11"/>
  <c r="D653" i="11"/>
  <c r="B653" i="11"/>
  <c r="D652" i="11"/>
  <c r="B652" i="11"/>
  <c r="D651" i="11"/>
  <c r="B651" i="11"/>
  <c r="D650" i="11"/>
  <c r="B650" i="11"/>
  <c r="D649" i="11"/>
  <c r="B649" i="11"/>
  <c r="D648" i="11"/>
  <c r="B648" i="11"/>
  <c r="D647" i="11"/>
  <c r="B647" i="11"/>
  <c r="D646" i="11"/>
  <c r="B646" i="11"/>
  <c r="D645" i="11"/>
  <c r="B645" i="11"/>
  <c r="D644" i="11"/>
  <c r="B644" i="11"/>
  <c r="D643" i="11"/>
  <c r="B643" i="11"/>
  <c r="D642" i="11"/>
  <c r="B642" i="11"/>
  <c r="D641" i="11"/>
  <c r="B641" i="11"/>
  <c r="D640" i="11"/>
  <c r="B640" i="11"/>
  <c r="D639" i="11"/>
  <c r="B639" i="11"/>
  <c r="D638" i="11"/>
  <c r="B638" i="11"/>
  <c r="D637" i="11"/>
  <c r="B637" i="11"/>
  <c r="D636" i="11"/>
  <c r="B636" i="11"/>
  <c r="D635" i="11"/>
  <c r="B635" i="11"/>
  <c r="D634" i="11"/>
  <c r="B634" i="11"/>
  <c r="D633" i="11"/>
  <c r="B633" i="11"/>
  <c r="D632" i="11"/>
  <c r="B632" i="11"/>
  <c r="D631" i="11"/>
  <c r="B631" i="11"/>
  <c r="D630" i="11"/>
  <c r="B630" i="11"/>
  <c r="D629" i="11"/>
  <c r="B629" i="11"/>
  <c r="D628" i="11"/>
  <c r="B628" i="11"/>
  <c r="D627" i="11"/>
  <c r="B627" i="11"/>
  <c r="D626" i="11"/>
  <c r="B626" i="11"/>
  <c r="D625" i="11"/>
  <c r="B625" i="11"/>
  <c r="D624" i="11"/>
  <c r="B624" i="11"/>
  <c r="D623" i="11"/>
  <c r="B623" i="11"/>
  <c r="D622" i="11"/>
  <c r="B622" i="11"/>
  <c r="D621" i="11"/>
  <c r="B621" i="11"/>
  <c r="D620" i="11"/>
  <c r="B620" i="11"/>
  <c r="D619" i="11"/>
  <c r="B619" i="11"/>
  <c r="D618" i="11"/>
  <c r="B618" i="11"/>
  <c r="D617" i="11"/>
  <c r="B617" i="11"/>
  <c r="D616" i="11"/>
  <c r="B616" i="11"/>
  <c r="D615" i="11"/>
  <c r="B615" i="11"/>
  <c r="D614" i="11"/>
  <c r="B614" i="11"/>
  <c r="D613" i="11"/>
  <c r="B613" i="11"/>
  <c r="D612" i="11"/>
  <c r="B612" i="11"/>
  <c r="D611" i="11"/>
  <c r="B611" i="11"/>
  <c r="D610" i="11"/>
  <c r="B610" i="11"/>
  <c r="D609" i="11"/>
  <c r="B609" i="11"/>
  <c r="D608" i="11"/>
  <c r="B608" i="11"/>
  <c r="D607" i="11"/>
  <c r="B607" i="11"/>
  <c r="D606" i="11"/>
  <c r="B606" i="11"/>
  <c r="D605" i="11"/>
  <c r="B605" i="11"/>
  <c r="D604" i="11"/>
  <c r="B604" i="11"/>
  <c r="D603" i="11"/>
  <c r="B603" i="11"/>
  <c r="D602" i="11"/>
  <c r="B602" i="11"/>
  <c r="D601" i="11"/>
  <c r="B601" i="11"/>
  <c r="D600" i="11"/>
  <c r="B600" i="11"/>
  <c r="D599" i="11"/>
  <c r="B599" i="11"/>
  <c r="D598" i="11"/>
  <c r="B598" i="11"/>
  <c r="D597" i="11"/>
  <c r="B597" i="11"/>
  <c r="D596" i="11"/>
  <c r="B596" i="11"/>
  <c r="D595" i="11"/>
  <c r="B595" i="11"/>
  <c r="D594" i="11"/>
  <c r="B594" i="11"/>
  <c r="D593" i="11"/>
  <c r="B593" i="11"/>
  <c r="D592" i="11"/>
  <c r="B592" i="11"/>
  <c r="D591" i="11"/>
  <c r="B591" i="11"/>
  <c r="D590" i="11"/>
  <c r="B590" i="11"/>
  <c r="D589" i="11"/>
  <c r="B589" i="11"/>
  <c r="D588" i="11"/>
  <c r="B588" i="11"/>
  <c r="D587" i="11"/>
  <c r="B587" i="11"/>
  <c r="D586" i="11"/>
  <c r="B586" i="11"/>
  <c r="D585" i="11"/>
  <c r="B585" i="11"/>
  <c r="D584" i="11"/>
  <c r="B584" i="11"/>
  <c r="D583" i="11"/>
  <c r="B583" i="11"/>
  <c r="D582" i="11"/>
  <c r="B582" i="11"/>
  <c r="D581" i="11"/>
  <c r="B581" i="11"/>
  <c r="D580" i="11"/>
  <c r="B580" i="11"/>
  <c r="D579" i="11"/>
  <c r="B579" i="11"/>
  <c r="D578" i="11"/>
  <c r="B578" i="11"/>
  <c r="D577" i="11"/>
  <c r="B577" i="11"/>
  <c r="D576" i="11"/>
  <c r="B576" i="11"/>
  <c r="D575" i="11"/>
  <c r="B575" i="11"/>
  <c r="D574" i="11"/>
  <c r="B574" i="11"/>
  <c r="D573" i="11"/>
  <c r="B573" i="11"/>
  <c r="D572" i="11"/>
  <c r="B572" i="11"/>
  <c r="D571" i="11"/>
  <c r="B571" i="11"/>
  <c r="D570" i="11"/>
  <c r="B570" i="11"/>
  <c r="D569" i="11"/>
  <c r="B569" i="11"/>
  <c r="D568" i="11"/>
  <c r="B568" i="11"/>
  <c r="D567" i="11"/>
  <c r="B567" i="11"/>
  <c r="D566" i="11"/>
  <c r="B566" i="11"/>
  <c r="D565" i="11"/>
  <c r="B565" i="11"/>
  <c r="D564" i="11"/>
  <c r="B564" i="11"/>
  <c r="D563" i="11"/>
  <c r="B563" i="11"/>
  <c r="D562" i="11"/>
  <c r="B562" i="11"/>
  <c r="D561" i="11"/>
  <c r="B561" i="11"/>
  <c r="D560" i="11"/>
  <c r="B560" i="11"/>
  <c r="D559" i="11"/>
  <c r="B559" i="11"/>
  <c r="D558" i="11"/>
  <c r="B558" i="11"/>
  <c r="D557" i="11"/>
  <c r="B557" i="11"/>
  <c r="D556" i="11"/>
  <c r="B556" i="11"/>
  <c r="D555" i="11"/>
  <c r="B555" i="11"/>
  <c r="D554" i="11"/>
  <c r="B554" i="11"/>
  <c r="D553" i="11"/>
  <c r="B553" i="11"/>
  <c r="D552" i="11"/>
  <c r="B552" i="11"/>
  <c r="D551" i="11"/>
  <c r="B551" i="11"/>
  <c r="D550" i="11"/>
  <c r="B550" i="11"/>
  <c r="D549" i="11"/>
  <c r="B549" i="11"/>
  <c r="D548" i="11"/>
  <c r="B548" i="11"/>
  <c r="D547" i="11"/>
  <c r="B547" i="11"/>
  <c r="D546" i="11"/>
  <c r="B546" i="11"/>
  <c r="D545" i="11"/>
  <c r="B545" i="11"/>
  <c r="D544" i="11"/>
  <c r="B544" i="11"/>
  <c r="D543" i="11"/>
  <c r="B543" i="11"/>
  <c r="D542" i="11"/>
  <c r="B542" i="11"/>
  <c r="D541" i="11"/>
  <c r="B541" i="11"/>
  <c r="D540" i="11"/>
  <c r="B540" i="11"/>
  <c r="D539" i="11"/>
  <c r="B539" i="11"/>
  <c r="D538" i="11"/>
  <c r="B538" i="11"/>
  <c r="D537" i="11"/>
  <c r="B537" i="11"/>
  <c r="D536" i="11"/>
  <c r="B536" i="11"/>
  <c r="D535" i="11"/>
  <c r="B535" i="11"/>
  <c r="D534" i="11"/>
  <c r="B534" i="11"/>
  <c r="D533" i="11"/>
  <c r="B533" i="11"/>
  <c r="D532" i="11"/>
  <c r="B532" i="11"/>
  <c r="D531" i="11"/>
  <c r="B531" i="11"/>
  <c r="D530" i="11"/>
  <c r="B530" i="11"/>
  <c r="D529" i="11"/>
  <c r="B529" i="11"/>
  <c r="D528" i="11"/>
  <c r="B528" i="11"/>
  <c r="D527" i="11"/>
  <c r="B527" i="11"/>
  <c r="D526" i="11"/>
  <c r="B526" i="11"/>
  <c r="D525" i="11"/>
  <c r="B525" i="11"/>
  <c r="D524" i="11"/>
  <c r="B524" i="11"/>
  <c r="D523" i="11"/>
  <c r="B523" i="11"/>
  <c r="D522" i="11"/>
  <c r="B522" i="11"/>
  <c r="D521" i="11"/>
  <c r="B521" i="11"/>
  <c r="D520" i="11"/>
  <c r="B520" i="11"/>
  <c r="D519" i="11"/>
  <c r="B519" i="11"/>
  <c r="D518" i="11"/>
  <c r="B518" i="11"/>
  <c r="D517" i="11"/>
  <c r="B517" i="11"/>
  <c r="D516" i="11"/>
  <c r="B516" i="11"/>
  <c r="D515" i="11"/>
  <c r="B515" i="11"/>
  <c r="D514" i="11"/>
  <c r="B514" i="11"/>
  <c r="D513" i="11"/>
  <c r="B513" i="11"/>
  <c r="D512" i="11"/>
  <c r="B512" i="11"/>
  <c r="D511" i="11"/>
  <c r="B511" i="11"/>
  <c r="D510" i="11"/>
  <c r="B510" i="11"/>
  <c r="D509" i="11"/>
  <c r="B509" i="11"/>
  <c r="D508" i="11"/>
  <c r="B508" i="11"/>
  <c r="D507" i="11"/>
  <c r="B507" i="11"/>
  <c r="D506" i="11"/>
  <c r="B506" i="11"/>
  <c r="D505" i="11"/>
  <c r="B505" i="11"/>
  <c r="D504" i="11"/>
  <c r="B504" i="11"/>
  <c r="D503" i="11"/>
  <c r="B503" i="11"/>
  <c r="D502" i="11"/>
  <c r="B502" i="11"/>
  <c r="D501" i="11"/>
  <c r="B501" i="11"/>
  <c r="D500" i="11"/>
  <c r="B500" i="11"/>
  <c r="D499" i="11"/>
  <c r="B499" i="11"/>
  <c r="D498" i="11"/>
  <c r="B498" i="11"/>
  <c r="D497" i="11"/>
  <c r="B497" i="11"/>
  <c r="D496" i="11"/>
  <c r="B496" i="11"/>
  <c r="D495" i="11"/>
  <c r="B495" i="11"/>
  <c r="D494" i="11"/>
  <c r="B494" i="11"/>
  <c r="D493" i="11"/>
  <c r="B493" i="11"/>
  <c r="D492" i="11"/>
  <c r="B492" i="11"/>
  <c r="D491" i="11"/>
  <c r="B491" i="11"/>
  <c r="D490" i="11"/>
  <c r="B490" i="11"/>
  <c r="D489" i="11"/>
  <c r="B489" i="11"/>
  <c r="D488" i="11"/>
  <c r="B488" i="11"/>
  <c r="D487" i="11"/>
  <c r="B487" i="11"/>
  <c r="D486" i="11"/>
  <c r="B486" i="11"/>
  <c r="D485" i="11"/>
  <c r="B485" i="11"/>
  <c r="D484" i="11"/>
  <c r="B484" i="11"/>
  <c r="D483" i="11"/>
  <c r="B483" i="11"/>
  <c r="D482" i="11"/>
  <c r="B482" i="11"/>
  <c r="D481" i="11"/>
  <c r="B481" i="11"/>
  <c r="D480" i="11"/>
  <c r="B480" i="11"/>
  <c r="D479" i="11"/>
  <c r="B479" i="11"/>
  <c r="D478" i="11"/>
  <c r="B478" i="11"/>
  <c r="D477" i="11"/>
  <c r="B477" i="11"/>
  <c r="D476" i="11"/>
  <c r="B476" i="11"/>
  <c r="D475" i="11"/>
  <c r="B475" i="11"/>
  <c r="D474" i="11"/>
  <c r="B474" i="11"/>
  <c r="D473" i="11"/>
  <c r="B473" i="11"/>
  <c r="D472" i="11"/>
  <c r="B472" i="11"/>
  <c r="D471" i="11"/>
  <c r="B471" i="11"/>
  <c r="D470" i="11"/>
  <c r="B470" i="11"/>
  <c r="D469" i="11"/>
  <c r="B469" i="11"/>
  <c r="D468" i="11"/>
  <c r="B468" i="11"/>
  <c r="D467" i="11"/>
  <c r="B467" i="11"/>
  <c r="D466" i="11"/>
  <c r="B466" i="11"/>
  <c r="D465" i="11"/>
  <c r="B465" i="11"/>
  <c r="D464" i="11"/>
  <c r="B464" i="11"/>
  <c r="D463" i="11"/>
  <c r="B463" i="11"/>
  <c r="D462" i="11"/>
  <c r="B462" i="11"/>
  <c r="D461" i="11"/>
  <c r="B461" i="11"/>
  <c r="D460" i="11"/>
  <c r="B460" i="11"/>
  <c r="D459" i="11"/>
  <c r="B459" i="11"/>
  <c r="D458" i="11"/>
  <c r="B458" i="11"/>
  <c r="D457" i="11"/>
  <c r="B457" i="11"/>
  <c r="D456" i="11"/>
  <c r="B456" i="11"/>
  <c r="D455" i="11"/>
  <c r="B455" i="11"/>
  <c r="D454" i="11"/>
  <c r="B454" i="11"/>
  <c r="D453" i="11"/>
  <c r="B453" i="11"/>
  <c r="D452" i="11"/>
  <c r="B452" i="11"/>
  <c r="D451" i="11"/>
  <c r="B451" i="11"/>
  <c r="D450" i="11"/>
  <c r="B450" i="11"/>
  <c r="D449" i="11"/>
  <c r="B449" i="11"/>
  <c r="D448" i="11"/>
  <c r="B448" i="11"/>
  <c r="D447" i="11"/>
  <c r="B447" i="11"/>
  <c r="D446" i="11"/>
  <c r="B446" i="11"/>
  <c r="D445" i="11"/>
  <c r="B445" i="11"/>
  <c r="D444" i="11"/>
  <c r="B444" i="11"/>
  <c r="D443" i="11"/>
  <c r="B443" i="11"/>
  <c r="D442" i="11"/>
  <c r="B442" i="11"/>
  <c r="D441" i="11"/>
  <c r="B441" i="11"/>
  <c r="D440" i="11"/>
  <c r="B440" i="11"/>
  <c r="D439" i="11"/>
  <c r="B439" i="11"/>
  <c r="D438" i="11"/>
  <c r="B438" i="11"/>
  <c r="D437" i="11"/>
  <c r="B437" i="11"/>
  <c r="D436" i="11"/>
  <c r="B436" i="11"/>
  <c r="D435" i="11"/>
  <c r="B435" i="11"/>
  <c r="D434" i="11"/>
  <c r="B434" i="11"/>
  <c r="D433" i="11"/>
  <c r="B433" i="11"/>
  <c r="D432" i="11"/>
  <c r="B432" i="11"/>
  <c r="D431" i="11"/>
  <c r="B431" i="11"/>
  <c r="D430" i="11"/>
  <c r="B430" i="11"/>
  <c r="D429" i="11"/>
  <c r="B429" i="11"/>
  <c r="D428" i="11"/>
  <c r="B428" i="11"/>
  <c r="D427" i="11"/>
  <c r="B427" i="11"/>
  <c r="D426" i="11"/>
  <c r="B426" i="11"/>
  <c r="D425" i="11"/>
  <c r="B425" i="11"/>
  <c r="D424" i="11"/>
  <c r="B424" i="11"/>
  <c r="D423" i="11"/>
  <c r="B423" i="11"/>
  <c r="D422" i="11"/>
  <c r="B422" i="11"/>
  <c r="D421" i="11"/>
  <c r="B421" i="11"/>
  <c r="D420" i="11"/>
  <c r="B420" i="11"/>
  <c r="D419" i="11"/>
  <c r="B419" i="11"/>
  <c r="D418" i="11"/>
  <c r="B418" i="11"/>
  <c r="D417" i="11"/>
  <c r="B417" i="11"/>
  <c r="D416" i="11"/>
  <c r="B416" i="11"/>
  <c r="D415" i="11"/>
  <c r="B415" i="11"/>
  <c r="D414" i="11"/>
  <c r="B414" i="11"/>
  <c r="D413" i="11"/>
  <c r="B413" i="11"/>
  <c r="D412" i="11"/>
  <c r="B412" i="11"/>
  <c r="D411" i="11"/>
  <c r="B411" i="11"/>
  <c r="D410" i="11"/>
  <c r="B410" i="11"/>
  <c r="D409" i="11"/>
  <c r="B409" i="11"/>
  <c r="D408" i="11"/>
  <c r="B408" i="11"/>
  <c r="D407" i="11"/>
  <c r="B407" i="11"/>
  <c r="D406" i="11"/>
  <c r="B406" i="11"/>
  <c r="D405" i="11"/>
  <c r="B405" i="11"/>
  <c r="D404" i="11"/>
  <c r="B404" i="11"/>
  <c r="D403" i="11"/>
  <c r="B403" i="11"/>
  <c r="D402" i="11"/>
  <c r="B402" i="11"/>
  <c r="D401" i="11"/>
  <c r="B401" i="11"/>
  <c r="D400" i="11"/>
  <c r="B400" i="11"/>
  <c r="D399" i="11"/>
  <c r="B399" i="11"/>
  <c r="D398" i="11"/>
  <c r="B398" i="11"/>
  <c r="D397" i="11"/>
  <c r="B397" i="11"/>
  <c r="D396" i="11"/>
  <c r="B396" i="11"/>
  <c r="D395" i="11"/>
  <c r="B395" i="11"/>
  <c r="D394" i="11"/>
  <c r="B394" i="11"/>
  <c r="D393" i="11"/>
  <c r="B393" i="11"/>
  <c r="D392" i="11"/>
  <c r="B392" i="11"/>
  <c r="D391" i="11"/>
  <c r="B391" i="11"/>
  <c r="D390" i="11"/>
  <c r="B390" i="11"/>
  <c r="D389" i="11"/>
  <c r="B389" i="11"/>
  <c r="D388" i="11"/>
  <c r="B388" i="11"/>
  <c r="D387" i="11"/>
  <c r="B387" i="11"/>
  <c r="D386" i="11"/>
  <c r="B386" i="11"/>
  <c r="D385" i="11"/>
  <c r="B385" i="11"/>
  <c r="D384" i="11"/>
  <c r="B384" i="11"/>
  <c r="D383" i="11"/>
  <c r="B383" i="11"/>
  <c r="D382" i="11"/>
  <c r="B382" i="11"/>
  <c r="D381" i="11"/>
  <c r="B381" i="11"/>
  <c r="D380" i="11"/>
  <c r="B380" i="11"/>
  <c r="D379" i="11"/>
  <c r="B379" i="11"/>
  <c r="D378" i="11"/>
  <c r="B378" i="11"/>
  <c r="D377" i="11"/>
  <c r="B377" i="11"/>
  <c r="D376" i="11"/>
  <c r="B376" i="11"/>
  <c r="D375" i="11"/>
  <c r="B375" i="11"/>
  <c r="D374" i="11"/>
  <c r="B374" i="11"/>
  <c r="D373" i="11"/>
  <c r="B373" i="11"/>
  <c r="D372" i="11"/>
  <c r="B372" i="11"/>
  <c r="D371" i="11"/>
  <c r="B371" i="11"/>
  <c r="D370" i="11"/>
  <c r="B370" i="11"/>
  <c r="D369" i="11"/>
  <c r="B369" i="11"/>
  <c r="D368" i="11"/>
  <c r="B368" i="11"/>
  <c r="D367" i="11"/>
  <c r="B367" i="11"/>
  <c r="D366" i="11"/>
  <c r="B366" i="11"/>
  <c r="D365" i="11"/>
  <c r="B365" i="11"/>
  <c r="D364" i="11"/>
  <c r="B364" i="11"/>
  <c r="D363" i="11"/>
  <c r="B363" i="11"/>
  <c r="D362" i="11"/>
  <c r="B362" i="11"/>
  <c r="D361" i="11"/>
  <c r="B361" i="11"/>
  <c r="D360" i="11"/>
  <c r="B360" i="11"/>
  <c r="D359" i="11"/>
  <c r="B359" i="11"/>
  <c r="D358" i="11"/>
  <c r="B358" i="11"/>
  <c r="D357" i="11"/>
  <c r="B357" i="11"/>
  <c r="D356" i="11"/>
  <c r="B356" i="11"/>
  <c r="D355" i="11"/>
  <c r="B355" i="11"/>
  <c r="D354" i="11"/>
  <c r="B354" i="11"/>
  <c r="D353" i="11"/>
  <c r="B353" i="11"/>
  <c r="D352" i="11"/>
  <c r="B352" i="11"/>
  <c r="D351" i="11"/>
  <c r="B351" i="11"/>
  <c r="D350" i="11"/>
  <c r="B350" i="11"/>
  <c r="D349" i="11"/>
  <c r="B349" i="11"/>
  <c r="D348" i="11"/>
  <c r="B348" i="11"/>
  <c r="D347" i="11"/>
  <c r="B347" i="11"/>
  <c r="D346" i="11"/>
  <c r="B346" i="11"/>
  <c r="D345" i="11"/>
  <c r="B345" i="11"/>
  <c r="D344" i="11"/>
  <c r="B344" i="11"/>
  <c r="D321" i="11"/>
  <c r="B321" i="11"/>
  <c r="D340" i="11"/>
  <c r="B340" i="11"/>
  <c r="D302" i="11"/>
  <c r="B302" i="11"/>
  <c r="D264" i="11"/>
  <c r="B264" i="11"/>
  <c r="D283" i="11"/>
  <c r="B283" i="11"/>
  <c r="D245" i="11"/>
  <c r="B245" i="11"/>
  <c r="D207" i="11"/>
  <c r="B207" i="11"/>
  <c r="D226" i="11"/>
  <c r="B226" i="11"/>
  <c r="D188" i="11"/>
  <c r="B188" i="11"/>
  <c r="D150" i="11"/>
  <c r="B150" i="11"/>
  <c r="D169" i="11"/>
  <c r="B169" i="11"/>
  <c r="D131" i="11"/>
  <c r="B131" i="11"/>
  <c r="D93" i="11"/>
  <c r="B93" i="11"/>
  <c r="D112" i="11"/>
  <c r="B112" i="11"/>
  <c r="D74" i="11"/>
  <c r="B74" i="11"/>
  <c r="D36" i="11"/>
  <c r="B36" i="11"/>
  <c r="D55" i="11"/>
  <c r="B55" i="11"/>
  <c r="D17" i="11"/>
  <c r="B17" i="11"/>
  <c r="D210" i="11"/>
  <c r="D209" i="11"/>
  <c r="D208" i="11"/>
  <c r="D206" i="11"/>
  <c r="D205" i="11"/>
  <c r="D204" i="11"/>
  <c r="D203" i="11"/>
  <c r="D202" i="11"/>
  <c r="D201" i="11"/>
  <c r="D200" i="11"/>
  <c r="D199" i="11"/>
  <c r="D198" i="11"/>
  <c r="D197" i="11"/>
  <c r="D196" i="11"/>
  <c r="D195" i="11"/>
  <c r="D194" i="11"/>
  <c r="D193" i="11"/>
  <c r="D192" i="11"/>
  <c r="D229" i="11"/>
  <c r="D228" i="11"/>
  <c r="D227" i="11"/>
  <c r="D225" i="11"/>
  <c r="D224" i="11"/>
  <c r="D223" i="11"/>
  <c r="D222" i="11"/>
  <c r="D221" i="11"/>
  <c r="D220" i="11"/>
  <c r="D219" i="11"/>
  <c r="D218" i="11"/>
  <c r="D217" i="11"/>
  <c r="D216" i="11"/>
  <c r="D215" i="11"/>
  <c r="D214" i="11"/>
  <c r="D213" i="11"/>
  <c r="D212" i="11"/>
  <c r="D211" i="11"/>
  <c r="D191" i="11"/>
  <c r="D190" i="11"/>
  <c r="D189" i="11"/>
  <c r="D187" i="11"/>
  <c r="D186" i="11"/>
  <c r="D185" i="11"/>
  <c r="D184" i="11"/>
  <c r="D183" i="11"/>
  <c r="D182" i="11"/>
  <c r="D181" i="11"/>
  <c r="D180" i="11"/>
  <c r="D179" i="11"/>
  <c r="D178" i="11"/>
  <c r="D177" i="11"/>
  <c r="D176" i="11"/>
  <c r="D175" i="11"/>
  <c r="D174" i="11"/>
  <c r="D173" i="11"/>
  <c r="D39" i="11"/>
  <c r="D38" i="11"/>
  <c r="D37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58" i="11"/>
  <c r="D57" i="11"/>
  <c r="D56" i="11"/>
  <c r="D54" i="11"/>
  <c r="D53" i="11"/>
  <c r="D52" i="11"/>
  <c r="D51" i="11"/>
  <c r="D50" i="11"/>
  <c r="D49" i="11"/>
  <c r="D48" i="11"/>
  <c r="D47" i="11"/>
  <c r="D46" i="11"/>
  <c r="D45" i="11"/>
  <c r="D44" i="11"/>
  <c r="D43" i="11"/>
  <c r="D42" i="11"/>
  <c r="D41" i="11"/>
  <c r="D40" i="11"/>
  <c r="D20" i="11"/>
  <c r="D19" i="11"/>
  <c r="D18" i="11"/>
  <c r="D16" i="11"/>
  <c r="D15" i="11"/>
  <c r="D14" i="11"/>
  <c r="D13" i="11"/>
  <c r="D12" i="11"/>
  <c r="D11" i="11"/>
  <c r="D10" i="11"/>
  <c r="D9" i="11"/>
  <c r="D8" i="11"/>
  <c r="D7" i="11"/>
  <c r="D6" i="11"/>
  <c r="D5" i="11"/>
  <c r="D4" i="11"/>
  <c r="D3" i="11"/>
  <c r="D2" i="11"/>
  <c r="D96" i="11"/>
  <c r="D95" i="11"/>
  <c r="D94" i="11"/>
  <c r="D92" i="11"/>
  <c r="D91" i="11"/>
  <c r="D90" i="11"/>
  <c r="D89" i="11"/>
  <c r="D88" i="11"/>
  <c r="D87" i="11"/>
  <c r="D86" i="11"/>
  <c r="D85" i="11"/>
  <c r="D84" i="11"/>
  <c r="D83" i="11"/>
  <c r="D82" i="11"/>
  <c r="D81" i="11"/>
  <c r="D80" i="11"/>
  <c r="D79" i="11"/>
  <c r="D78" i="11"/>
  <c r="D115" i="11"/>
  <c r="D114" i="11"/>
  <c r="D113" i="11"/>
  <c r="D111" i="11"/>
  <c r="D110" i="11"/>
  <c r="D109" i="11"/>
  <c r="D108" i="11"/>
  <c r="D107" i="11"/>
  <c r="D106" i="11"/>
  <c r="D105" i="11"/>
  <c r="D104" i="11"/>
  <c r="D103" i="11"/>
  <c r="D102" i="11"/>
  <c r="D101" i="11"/>
  <c r="D100" i="11"/>
  <c r="D99" i="11"/>
  <c r="D98" i="11"/>
  <c r="D97" i="11"/>
  <c r="D77" i="11"/>
  <c r="D76" i="11"/>
  <c r="D75" i="11"/>
  <c r="D73" i="11"/>
  <c r="D72" i="11"/>
  <c r="D71" i="11"/>
  <c r="D70" i="11"/>
  <c r="D69" i="11"/>
  <c r="D68" i="11"/>
  <c r="D67" i="11"/>
  <c r="D66" i="11"/>
  <c r="D65" i="11"/>
  <c r="D64" i="11"/>
  <c r="D63" i="11"/>
  <c r="D62" i="11"/>
  <c r="D61" i="11"/>
  <c r="D60" i="11"/>
  <c r="D59" i="11"/>
  <c r="D324" i="11"/>
  <c r="D323" i="11"/>
  <c r="D322" i="11"/>
  <c r="D320" i="11"/>
  <c r="D319" i="11"/>
  <c r="D318" i="11"/>
  <c r="D317" i="11"/>
  <c r="D316" i="11"/>
  <c r="D315" i="11"/>
  <c r="D314" i="11"/>
  <c r="D313" i="11"/>
  <c r="D312" i="11"/>
  <c r="D311" i="11"/>
  <c r="D310" i="11"/>
  <c r="D309" i="11"/>
  <c r="D308" i="11"/>
  <c r="D307" i="11"/>
  <c r="D306" i="11"/>
  <c r="D343" i="11"/>
  <c r="D342" i="11"/>
  <c r="D341" i="11"/>
  <c r="D339" i="11"/>
  <c r="D338" i="11"/>
  <c r="D337" i="11"/>
  <c r="D336" i="11"/>
  <c r="D335" i="11"/>
  <c r="D334" i="11"/>
  <c r="D333" i="11"/>
  <c r="D332" i="11"/>
  <c r="D331" i="11"/>
  <c r="D330" i="11"/>
  <c r="D329" i="11"/>
  <c r="D328" i="11"/>
  <c r="D327" i="11"/>
  <c r="D326" i="11"/>
  <c r="D325" i="11"/>
  <c r="D305" i="11"/>
  <c r="D304" i="11"/>
  <c r="D303" i="11"/>
  <c r="D301" i="11"/>
  <c r="D300" i="11"/>
  <c r="D299" i="11"/>
  <c r="D298" i="11"/>
  <c r="D297" i="11"/>
  <c r="D296" i="11"/>
  <c r="D295" i="11"/>
  <c r="D294" i="11"/>
  <c r="D293" i="11"/>
  <c r="D292" i="11"/>
  <c r="D291" i="11"/>
  <c r="D290" i="11"/>
  <c r="D289" i="11"/>
  <c r="D288" i="11"/>
  <c r="D287" i="11"/>
  <c r="D267" i="11"/>
  <c r="D266" i="11"/>
  <c r="D265" i="11"/>
  <c r="D263" i="11"/>
  <c r="D262" i="11"/>
  <c r="D261" i="11"/>
  <c r="D260" i="11"/>
  <c r="D259" i="11"/>
  <c r="D258" i="11"/>
  <c r="D257" i="11"/>
  <c r="D256" i="11"/>
  <c r="D255" i="11"/>
  <c r="D254" i="11"/>
  <c r="D253" i="11"/>
  <c r="D252" i="11"/>
  <c r="D251" i="11"/>
  <c r="D250" i="11"/>
  <c r="D249" i="11"/>
  <c r="D286" i="11"/>
  <c r="D285" i="11"/>
  <c r="D284" i="11"/>
  <c r="D282" i="11"/>
  <c r="D281" i="11"/>
  <c r="D280" i="11"/>
  <c r="D279" i="11"/>
  <c r="D278" i="11"/>
  <c r="D277" i="11"/>
  <c r="D276" i="11"/>
  <c r="D275" i="11"/>
  <c r="D274" i="11"/>
  <c r="D273" i="11"/>
  <c r="D272" i="11"/>
  <c r="D271" i="11"/>
  <c r="D270" i="11"/>
  <c r="D269" i="11"/>
  <c r="D268" i="11"/>
  <c r="D248" i="11"/>
  <c r="D247" i="11"/>
  <c r="D246" i="11"/>
  <c r="D244" i="11"/>
  <c r="D243" i="11"/>
  <c r="D242" i="11"/>
  <c r="D241" i="11"/>
  <c r="D240" i="11"/>
  <c r="D239" i="11"/>
  <c r="D238" i="11"/>
  <c r="D237" i="11"/>
  <c r="D236" i="11"/>
  <c r="D235" i="11"/>
  <c r="D234" i="11"/>
  <c r="D233" i="11"/>
  <c r="D232" i="11"/>
  <c r="D231" i="11"/>
  <c r="D230" i="11"/>
  <c r="D153" i="11"/>
  <c r="D152" i="11"/>
  <c r="D151" i="11"/>
  <c r="D149" i="11"/>
  <c r="D148" i="11"/>
  <c r="D147" i="11"/>
  <c r="D146" i="11"/>
  <c r="D145" i="11"/>
  <c r="D144" i="11"/>
  <c r="D143" i="11"/>
  <c r="D142" i="11"/>
  <c r="D141" i="11"/>
  <c r="D140" i="11"/>
  <c r="D139" i="11"/>
  <c r="D138" i="11"/>
  <c r="D137" i="11"/>
  <c r="D136" i="11"/>
  <c r="D135" i="11"/>
  <c r="D172" i="11"/>
  <c r="D171" i="11"/>
  <c r="D170" i="11"/>
  <c r="D168" i="11"/>
  <c r="D167" i="11"/>
  <c r="D166" i="11"/>
  <c r="D165" i="11"/>
  <c r="D164" i="11"/>
  <c r="D163" i="11"/>
  <c r="D162" i="11"/>
  <c r="D161" i="11"/>
  <c r="D160" i="11"/>
  <c r="D159" i="11"/>
  <c r="D158" i="11"/>
  <c r="D157" i="11"/>
  <c r="D156" i="11"/>
  <c r="D155" i="11"/>
  <c r="D154" i="11"/>
  <c r="D134" i="11"/>
  <c r="D133" i="11"/>
  <c r="D132" i="11"/>
  <c r="D130" i="11"/>
  <c r="D129" i="11"/>
  <c r="D128" i="11"/>
  <c r="D127" i="11"/>
  <c r="D126" i="11"/>
  <c r="D125" i="11"/>
  <c r="D124" i="11"/>
  <c r="D123" i="11"/>
  <c r="D122" i="11"/>
  <c r="D121" i="11"/>
  <c r="D120" i="11"/>
  <c r="D119" i="11"/>
  <c r="D118" i="11"/>
  <c r="D117" i="11"/>
  <c r="D116" i="11"/>
  <c r="W29" i="10"/>
  <c r="W30" i="10" s="1"/>
  <c r="W31" i="10" s="1"/>
  <c r="W32" i="10" s="1"/>
  <c r="W33" i="10" s="1"/>
  <c r="W34" i="10" s="1"/>
  <c r="W35" i="10" s="1"/>
  <c r="W36" i="10" s="1"/>
  <c r="W37" i="10" s="1"/>
  <c r="W4" i="10"/>
  <c r="W5" i="10" s="1"/>
  <c r="W6" i="10" s="1"/>
  <c r="W7" i="10" s="1"/>
  <c r="W8" i="10" s="1"/>
  <c r="W9" i="10" s="1"/>
  <c r="W10" i="10" s="1"/>
  <c r="W11" i="10" s="1"/>
  <c r="W12" i="10" s="1"/>
  <c r="W13" i="10" s="1"/>
  <c r="W14" i="10" s="1"/>
  <c r="W15" i="10" s="1"/>
  <c r="W16" i="10" s="1"/>
  <c r="W17" i="10" s="1"/>
  <c r="W18" i="10" s="1"/>
  <c r="W19" i="10" s="1"/>
  <c r="W20" i="10" s="1"/>
  <c r="W21" i="10" s="1"/>
  <c r="W22" i="10" s="1"/>
  <c r="W23" i="10" s="1"/>
  <c r="W24" i="10" s="1"/>
  <c r="W25" i="10" s="1"/>
  <c r="W26" i="10" s="1"/>
  <c r="W27" i="10" s="1"/>
  <c r="W28" i="10" s="1"/>
  <c r="W3" i="10"/>
  <c r="O3" i="2"/>
  <c r="AA6" i="3"/>
  <c r="AA7" i="3" s="1"/>
  <c r="AA8" i="3" s="1"/>
  <c r="AA12" i="3" s="1"/>
  <c r="AA13" i="3" s="1"/>
  <c r="AA14" i="3" s="1"/>
  <c r="AA18" i="3" s="1"/>
  <c r="AA19" i="3" s="1"/>
  <c r="AA20" i="3" s="1"/>
  <c r="AA22" i="3" s="1"/>
  <c r="AA23" i="3" s="1"/>
  <c r="AA24" i="3" s="1"/>
  <c r="AA26" i="3" s="1"/>
  <c r="AA27" i="3" s="1"/>
  <c r="AA28" i="3" s="1"/>
  <c r="AA30" i="3" s="1"/>
  <c r="AA31" i="3" s="1"/>
  <c r="AA32" i="3" s="1"/>
  <c r="AA34" i="3" s="1"/>
  <c r="AA35" i="3" s="1"/>
  <c r="AA36" i="3" s="1"/>
  <c r="AA38" i="3" s="1"/>
  <c r="AA39" i="3" s="1"/>
  <c r="AA40" i="3" s="1"/>
  <c r="AA42" i="3" s="1"/>
  <c r="AA43" i="3" s="1"/>
  <c r="AA44" i="3" s="1"/>
  <c r="AA46" i="3" s="1"/>
  <c r="AA47" i="3" s="1"/>
  <c r="AA48" i="3" s="1"/>
  <c r="AA50" i="3" s="1"/>
  <c r="AA51" i="3" s="1"/>
  <c r="AA52" i="3" s="1"/>
  <c r="AA54" i="3" s="1"/>
  <c r="AA55" i="3" s="1"/>
  <c r="AA56" i="3" s="1"/>
  <c r="AA58" i="3" s="1"/>
  <c r="AA59" i="3" s="1"/>
  <c r="AA60" i="3" s="1"/>
  <c r="AA62" i="3" s="1"/>
  <c r="AA63" i="3" s="1"/>
  <c r="AA64" i="3" s="1"/>
  <c r="AA66" i="3" s="1"/>
  <c r="AA67" i="3" s="1"/>
  <c r="AA68" i="3" s="1"/>
  <c r="AA70" i="3" s="1"/>
  <c r="AA71" i="3" s="1"/>
  <c r="AA72" i="3" s="1"/>
  <c r="AA74" i="3" s="1"/>
  <c r="AA75" i="3" s="1"/>
  <c r="AA76" i="3" s="1"/>
  <c r="X9" i="3"/>
  <c r="Y9" i="3"/>
  <c r="J101" i="6"/>
  <c r="L101" i="6" s="1"/>
  <c r="I101" i="6"/>
  <c r="N101" i="6" s="1"/>
  <c r="H101" i="6"/>
  <c r="BW101" i="6" s="1"/>
  <c r="F101" i="6"/>
  <c r="E101" i="6"/>
  <c r="C101" i="6"/>
  <c r="B101" i="6"/>
  <c r="J100" i="6"/>
  <c r="L100" i="6" s="1"/>
  <c r="I100" i="6"/>
  <c r="N100" i="6" s="1"/>
  <c r="H100" i="6"/>
  <c r="BW100" i="6" s="1"/>
  <c r="F100" i="6"/>
  <c r="E100" i="6"/>
  <c r="C100" i="6"/>
  <c r="B100" i="6"/>
  <c r="J99" i="6"/>
  <c r="L99" i="6" s="1"/>
  <c r="I99" i="6"/>
  <c r="N99" i="6" s="1"/>
  <c r="H99" i="6"/>
  <c r="BW99" i="6" s="1"/>
  <c r="F99" i="6"/>
  <c r="E99" i="6"/>
  <c r="C99" i="6"/>
  <c r="B99" i="6"/>
  <c r="J98" i="6"/>
  <c r="L98" i="6" s="1"/>
  <c r="I98" i="6"/>
  <c r="N98" i="6" s="1"/>
  <c r="H98" i="6"/>
  <c r="F98" i="6"/>
  <c r="E98" i="6"/>
  <c r="C98" i="6"/>
  <c r="B98" i="6"/>
  <c r="J97" i="6"/>
  <c r="L97" i="6" s="1"/>
  <c r="I97" i="6"/>
  <c r="N97" i="6" s="1"/>
  <c r="H97" i="6"/>
  <c r="F97" i="6"/>
  <c r="E97" i="6"/>
  <c r="C97" i="6"/>
  <c r="B97" i="6"/>
  <c r="J96" i="6"/>
  <c r="L96" i="6" s="1"/>
  <c r="I96" i="6"/>
  <c r="N96" i="6" s="1"/>
  <c r="H96" i="6"/>
  <c r="BW96" i="6" s="1"/>
  <c r="BY96" i="6" s="1"/>
  <c r="F96" i="6"/>
  <c r="E96" i="6"/>
  <c r="C96" i="6"/>
  <c r="B96" i="6"/>
  <c r="J95" i="6"/>
  <c r="L95" i="6" s="1"/>
  <c r="I95" i="6"/>
  <c r="H95" i="6"/>
  <c r="CR95" i="6" s="1"/>
  <c r="F95" i="6"/>
  <c r="E95" i="6"/>
  <c r="C95" i="6"/>
  <c r="B95" i="6"/>
  <c r="J94" i="6"/>
  <c r="L94" i="6" s="1"/>
  <c r="I94" i="6"/>
  <c r="H94" i="6"/>
  <c r="CR94" i="6" s="1"/>
  <c r="F94" i="6"/>
  <c r="E94" i="6"/>
  <c r="C94" i="6"/>
  <c r="B94" i="6"/>
  <c r="J93" i="6"/>
  <c r="L93" i="6" s="1"/>
  <c r="I93" i="6"/>
  <c r="N93" i="6" s="1"/>
  <c r="H93" i="6"/>
  <c r="F93" i="6"/>
  <c r="E93" i="6"/>
  <c r="C93" i="6"/>
  <c r="B93" i="6"/>
  <c r="J92" i="6"/>
  <c r="L92" i="6" s="1"/>
  <c r="I92" i="6"/>
  <c r="N92" i="6" s="1"/>
  <c r="H92" i="6"/>
  <c r="F92" i="6"/>
  <c r="E92" i="6"/>
  <c r="C92" i="6"/>
  <c r="B92" i="6"/>
  <c r="J91" i="6"/>
  <c r="L91" i="6" s="1"/>
  <c r="I91" i="6"/>
  <c r="N91" i="6" s="1"/>
  <c r="H91" i="6"/>
  <c r="F91" i="6"/>
  <c r="E91" i="6"/>
  <c r="C91" i="6"/>
  <c r="B91" i="6"/>
  <c r="J90" i="6"/>
  <c r="L90" i="6" s="1"/>
  <c r="I90" i="6"/>
  <c r="N90" i="6" s="1"/>
  <c r="H90" i="6"/>
  <c r="BW90" i="6" s="1"/>
  <c r="F90" i="6"/>
  <c r="E90" i="6"/>
  <c r="C90" i="6"/>
  <c r="B90" i="6"/>
  <c r="J89" i="6"/>
  <c r="L89" i="6" s="1"/>
  <c r="I89" i="6"/>
  <c r="N89" i="6" s="1"/>
  <c r="H89" i="6"/>
  <c r="F89" i="6"/>
  <c r="E89" i="6"/>
  <c r="C89" i="6"/>
  <c r="B89" i="6"/>
  <c r="J88" i="6"/>
  <c r="L88" i="6" s="1"/>
  <c r="I88" i="6"/>
  <c r="N88" i="6" s="1"/>
  <c r="H88" i="6"/>
  <c r="CD88" i="6" s="1"/>
  <c r="CF88" i="6" s="1"/>
  <c r="F88" i="6"/>
  <c r="E88" i="6"/>
  <c r="C88" i="6"/>
  <c r="B88" i="6"/>
  <c r="J87" i="6"/>
  <c r="L87" i="6" s="1"/>
  <c r="I87" i="6"/>
  <c r="N87" i="6" s="1"/>
  <c r="H87" i="6"/>
  <c r="CR87" i="6" s="1"/>
  <c r="F87" i="6"/>
  <c r="E87" i="6"/>
  <c r="C87" i="6"/>
  <c r="B87" i="6"/>
  <c r="J86" i="6"/>
  <c r="L86" i="6" s="1"/>
  <c r="I86" i="6"/>
  <c r="M86" i="6" s="1"/>
  <c r="H86" i="6"/>
  <c r="CR86" i="6" s="1"/>
  <c r="CT86" i="6" s="1"/>
  <c r="F86" i="6"/>
  <c r="E86" i="6"/>
  <c r="C86" i="6"/>
  <c r="B86" i="6"/>
  <c r="J85" i="6"/>
  <c r="L85" i="6" s="1"/>
  <c r="I85" i="6"/>
  <c r="M85" i="6" s="1"/>
  <c r="H85" i="6"/>
  <c r="CR85" i="6" s="1"/>
  <c r="CS85" i="6" s="1"/>
  <c r="F85" i="6"/>
  <c r="E85" i="6"/>
  <c r="C85" i="6"/>
  <c r="B85" i="6"/>
  <c r="J84" i="6"/>
  <c r="L84" i="6" s="1"/>
  <c r="I84" i="6"/>
  <c r="N84" i="6" s="1"/>
  <c r="H84" i="6"/>
  <c r="F84" i="6"/>
  <c r="E84" i="6"/>
  <c r="C84" i="6"/>
  <c r="B84" i="6"/>
  <c r="J83" i="6"/>
  <c r="L83" i="6" s="1"/>
  <c r="I83" i="6"/>
  <c r="N83" i="6" s="1"/>
  <c r="H83" i="6"/>
  <c r="F83" i="6"/>
  <c r="E83" i="6"/>
  <c r="C83" i="6"/>
  <c r="B83" i="6"/>
  <c r="J82" i="6"/>
  <c r="L82" i="6" s="1"/>
  <c r="I82" i="6"/>
  <c r="N82" i="6" s="1"/>
  <c r="H82" i="6"/>
  <c r="F82" i="6"/>
  <c r="E82" i="6"/>
  <c r="C82" i="6"/>
  <c r="B82" i="6"/>
  <c r="J81" i="6"/>
  <c r="L81" i="6" s="1"/>
  <c r="I81" i="6"/>
  <c r="N81" i="6" s="1"/>
  <c r="H81" i="6"/>
  <c r="CD81" i="6" s="1"/>
  <c r="F81" i="6"/>
  <c r="E81" i="6"/>
  <c r="C81" i="6"/>
  <c r="B81" i="6"/>
  <c r="J80" i="6"/>
  <c r="L80" i="6" s="1"/>
  <c r="I80" i="6"/>
  <c r="N80" i="6" s="1"/>
  <c r="H80" i="6"/>
  <c r="F80" i="6"/>
  <c r="E80" i="6"/>
  <c r="C80" i="6"/>
  <c r="B80" i="6"/>
  <c r="J103" i="6"/>
  <c r="L103" i="6" s="1"/>
  <c r="I103" i="6"/>
  <c r="N103" i="6" s="1"/>
  <c r="H103" i="6"/>
  <c r="BW103" i="6" s="1"/>
  <c r="F103" i="6"/>
  <c r="E103" i="6"/>
  <c r="C103" i="6"/>
  <c r="B103" i="6"/>
  <c r="J102" i="6"/>
  <c r="L102" i="6" s="1"/>
  <c r="I102" i="6"/>
  <c r="N102" i="6" s="1"/>
  <c r="H102" i="6"/>
  <c r="BW102" i="6" s="1"/>
  <c r="F102" i="6"/>
  <c r="E102" i="6"/>
  <c r="C102" i="6"/>
  <c r="B102" i="6"/>
  <c r="J79" i="6"/>
  <c r="L79" i="6" s="1"/>
  <c r="I79" i="6"/>
  <c r="N79" i="6" s="1"/>
  <c r="H79" i="6"/>
  <c r="BW79" i="6" s="1"/>
  <c r="F79" i="6"/>
  <c r="E79" i="6"/>
  <c r="C79" i="6"/>
  <c r="B79" i="6"/>
  <c r="J78" i="6"/>
  <c r="L78" i="6" s="1"/>
  <c r="I78" i="6"/>
  <c r="N78" i="6" s="1"/>
  <c r="H78" i="6"/>
  <c r="BW78" i="6" s="1"/>
  <c r="BY78" i="6" s="1"/>
  <c r="F78" i="6"/>
  <c r="E78" i="6"/>
  <c r="C78" i="6"/>
  <c r="B78" i="6"/>
  <c r="J77" i="6"/>
  <c r="L77" i="6" s="1"/>
  <c r="I77" i="6"/>
  <c r="N77" i="6" s="1"/>
  <c r="H77" i="6"/>
  <c r="CR77" i="6" s="1"/>
  <c r="CS77" i="6" s="1"/>
  <c r="F77" i="6"/>
  <c r="E77" i="6"/>
  <c r="C77" i="6"/>
  <c r="B77" i="6"/>
  <c r="J76" i="6"/>
  <c r="L76" i="6" s="1"/>
  <c r="I76" i="6"/>
  <c r="N76" i="6" s="1"/>
  <c r="H76" i="6"/>
  <c r="CR76" i="6" s="1"/>
  <c r="CS76" i="6" s="1"/>
  <c r="F76" i="6"/>
  <c r="E76" i="6"/>
  <c r="C76" i="6"/>
  <c r="B76" i="6"/>
  <c r="J75" i="6"/>
  <c r="L75" i="6" s="1"/>
  <c r="I75" i="6"/>
  <c r="M75" i="6" s="1"/>
  <c r="H75" i="6"/>
  <c r="CR75" i="6" s="1"/>
  <c r="CS75" i="6" s="1"/>
  <c r="F75" i="6"/>
  <c r="E75" i="6"/>
  <c r="C75" i="6"/>
  <c r="B75" i="6"/>
  <c r="J74" i="6"/>
  <c r="L74" i="6" s="1"/>
  <c r="I74" i="6"/>
  <c r="N74" i="6" s="1"/>
  <c r="H74" i="6"/>
  <c r="CD74" i="6" s="1"/>
  <c r="CF74" i="6" s="1"/>
  <c r="F74" i="6"/>
  <c r="E74" i="6"/>
  <c r="C74" i="6"/>
  <c r="B74" i="6"/>
  <c r="J73" i="6"/>
  <c r="L73" i="6" s="1"/>
  <c r="I73" i="6"/>
  <c r="N73" i="6" s="1"/>
  <c r="H73" i="6"/>
  <c r="F73" i="6"/>
  <c r="E73" i="6"/>
  <c r="C73" i="6"/>
  <c r="B73" i="6"/>
  <c r="J72" i="6"/>
  <c r="L72" i="6" s="1"/>
  <c r="I72" i="6"/>
  <c r="N72" i="6" s="1"/>
  <c r="H72" i="6"/>
  <c r="F72" i="6"/>
  <c r="E72" i="6"/>
  <c r="C72" i="6"/>
  <c r="B72" i="6"/>
  <c r="J71" i="6"/>
  <c r="L71" i="6" s="1"/>
  <c r="I71" i="6"/>
  <c r="N71" i="6" s="1"/>
  <c r="H71" i="6"/>
  <c r="F71" i="6"/>
  <c r="E71" i="6"/>
  <c r="C71" i="6"/>
  <c r="B71" i="6"/>
  <c r="J70" i="6"/>
  <c r="I70" i="6"/>
  <c r="N70" i="6" s="1"/>
  <c r="H70" i="6"/>
  <c r="BW70" i="6" s="1"/>
  <c r="BY70" i="6" s="1"/>
  <c r="F70" i="6"/>
  <c r="E70" i="6"/>
  <c r="C70" i="6"/>
  <c r="B70" i="6"/>
  <c r="J69" i="6"/>
  <c r="L69" i="6" s="1"/>
  <c r="I69" i="6"/>
  <c r="N69" i="6" s="1"/>
  <c r="H69" i="6"/>
  <c r="CK69" i="6" s="1"/>
  <c r="F69" i="6"/>
  <c r="E69" i="6"/>
  <c r="C69" i="6"/>
  <c r="B69" i="6"/>
  <c r="J68" i="6"/>
  <c r="L68" i="6" s="1"/>
  <c r="I68" i="6"/>
  <c r="M68" i="6" s="1"/>
  <c r="H68" i="6"/>
  <c r="F68" i="6"/>
  <c r="E68" i="6"/>
  <c r="C68" i="6"/>
  <c r="B68" i="6"/>
  <c r="J67" i="6"/>
  <c r="L67" i="6" s="1"/>
  <c r="I67" i="6"/>
  <c r="N67" i="6" s="1"/>
  <c r="H67" i="6"/>
  <c r="CR67" i="6" s="1"/>
  <c r="F67" i="6"/>
  <c r="E67" i="6"/>
  <c r="C67" i="6"/>
  <c r="B67" i="6"/>
  <c r="J66" i="6"/>
  <c r="L66" i="6" s="1"/>
  <c r="I66" i="6"/>
  <c r="N66" i="6" s="1"/>
  <c r="H66" i="6"/>
  <c r="BW66" i="6" s="1"/>
  <c r="BY66" i="6" s="1"/>
  <c r="F66" i="6"/>
  <c r="E66" i="6"/>
  <c r="C66" i="6"/>
  <c r="B66" i="6"/>
  <c r="J59" i="6"/>
  <c r="L59" i="6" s="1"/>
  <c r="I59" i="6"/>
  <c r="N59" i="6" s="1"/>
  <c r="H59" i="6"/>
  <c r="BW59" i="6" s="1"/>
  <c r="F59" i="6"/>
  <c r="E59" i="6"/>
  <c r="C59" i="6"/>
  <c r="B59" i="6"/>
  <c r="J58" i="6"/>
  <c r="L58" i="6" s="1"/>
  <c r="I58" i="6"/>
  <c r="N58" i="6" s="1"/>
  <c r="H58" i="6"/>
  <c r="BW58" i="6" s="1"/>
  <c r="F58" i="6"/>
  <c r="E58" i="6"/>
  <c r="C58" i="6"/>
  <c r="B58" i="6"/>
  <c r="J57" i="6"/>
  <c r="L57" i="6" s="1"/>
  <c r="I57" i="6"/>
  <c r="N57" i="6" s="1"/>
  <c r="H57" i="6"/>
  <c r="F57" i="6"/>
  <c r="E57" i="6"/>
  <c r="C57" i="6"/>
  <c r="B57" i="6"/>
  <c r="J56" i="6"/>
  <c r="L56" i="6" s="1"/>
  <c r="I56" i="6"/>
  <c r="H56" i="6"/>
  <c r="CD56" i="6" s="1"/>
  <c r="F56" i="6"/>
  <c r="E56" i="6"/>
  <c r="C56" i="6"/>
  <c r="B56" i="6"/>
  <c r="J55" i="6"/>
  <c r="I55" i="6"/>
  <c r="M55" i="6" s="1"/>
  <c r="H55" i="6"/>
  <c r="CR55" i="6" s="1"/>
  <c r="CT55" i="6" s="1"/>
  <c r="F55" i="6"/>
  <c r="E55" i="6"/>
  <c r="C55" i="6"/>
  <c r="B55" i="6"/>
  <c r="J54" i="6"/>
  <c r="L54" i="6" s="1"/>
  <c r="I54" i="6"/>
  <c r="M54" i="6" s="1"/>
  <c r="H54" i="6"/>
  <c r="CR54" i="6" s="1"/>
  <c r="CT54" i="6" s="1"/>
  <c r="F54" i="6"/>
  <c r="E54" i="6"/>
  <c r="C54" i="6"/>
  <c r="B54" i="6"/>
  <c r="J53" i="6"/>
  <c r="L53" i="6" s="1"/>
  <c r="I53" i="6"/>
  <c r="N53" i="6" s="1"/>
  <c r="H53" i="6"/>
  <c r="CD53" i="6" s="1"/>
  <c r="F53" i="6"/>
  <c r="E53" i="6"/>
  <c r="C53" i="6"/>
  <c r="B53" i="6"/>
  <c r="J52" i="6"/>
  <c r="L52" i="6" s="1"/>
  <c r="I52" i="6"/>
  <c r="M52" i="6" s="1"/>
  <c r="H52" i="6"/>
  <c r="CR52" i="6" s="1"/>
  <c r="CT52" i="6" s="1"/>
  <c r="F52" i="6"/>
  <c r="E52" i="6"/>
  <c r="C52" i="6"/>
  <c r="B52" i="6"/>
  <c r="J51" i="6"/>
  <c r="L51" i="6" s="1"/>
  <c r="I51" i="6"/>
  <c r="M51" i="6" s="1"/>
  <c r="H51" i="6"/>
  <c r="CK51" i="6" s="1"/>
  <c r="F51" i="6"/>
  <c r="E51" i="6"/>
  <c r="C51" i="6"/>
  <c r="B51" i="6"/>
  <c r="J50" i="6"/>
  <c r="L50" i="6" s="1"/>
  <c r="I50" i="6"/>
  <c r="M50" i="6" s="1"/>
  <c r="H50" i="6"/>
  <c r="CR50" i="6" s="1"/>
  <c r="F50" i="6"/>
  <c r="E50" i="6"/>
  <c r="C50" i="6"/>
  <c r="B50" i="6"/>
  <c r="D15" i="7"/>
  <c r="C15" i="7"/>
  <c r="B15" i="7"/>
  <c r="D37" i="7"/>
  <c r="B37" i="7"/>
  <c r="C37" i="7"/>
  <c r="D13" i="7"/>
  <c r="C13" i="7"/>
  <c r="B13" i="7"/>
  <c r="D12" i="7"/>
  <c r="C12" i="7"/>
  <c r="B12" i="7"/>
  <c r="D14" i="7"/>
  <c r="C14" i="7"/>
  <c r="B14" i="7"/>
  <c r="D10" i="7"/>
  <c r="C10" i="7"/>
  <c r="B10" i="7"/>
  <c r="B23" i="7"/>
  <c r="C55" i="7"/>
  <c r="C56" i="7" s="1"/>
  <c r="D55" i="7"/>
  <c r="D56" i="7" s="1"/>
  <c r="B11" i="7"/>
  <c r="C11" i="7"/>
  <c r="D11" i="7"/>
  <c r="C22" i="16" l="1"/>
  <c r="M22" i="16"/>
  <c r="C23" i="16"/>
  <c r="K24" i="16"/>
  <c r="C27" i="16"/>
  <c r="D28" i="16"/>
  <c r="A30" i="16"/>
  <c r="I30" i="16"/>
  <c r="Q30" i="16"/>
  <c r="I32" i="16"/>
  <c r="K33" i="16"/>
  <c r="I34" i="16"/>
  <c r="Q34" i="16"/>
  <c r="O35" i="16"/>
  <c r="K36" i="16"/>
  <c r="M40" i="16"/>
  <c r="R41" i="16"/>
  <c r="L42" i="16"/>
  <c r="L50" i="16"/>
  <c r="D53" i="16"/>
  <c r="J57" i="16"/>
  <c r="L58" i="16"/>
  <c r="M59" i="16"/>
  <c r="D62" i="16"/>
  <c r="O62" i="16"/>
  <c r="J63" i="16"/>
  <c r="C64" i="16"/>
  <c r="M64" i="16"/>
  <c r="J65" i="16"/>
  <c r="D70" i="16"/>
  <c r="O70" i="16"/>
  <c r="O71" i="16"/>
  <c r="D72" i="16"/>
  <c r="O72" i="16"/>
  <c r="O73" i="16"/>
  <c r="I74" i="16"/>
  <c r="C76" i="16"/>
  <c r="Q76" i="16"/>
  <c r="I82" i="16"/>
  <c r="J83" i="16"/>
  <c r="Q84" i="16"/>
  <c r="A88" i="16"/>
  <c r="L88" i="16"/>
  <c r="L90" i="16"/>
  <c r="P92" i="16"/>
  <c r="M94" i="16"/>
  <c r="J95" i="16"/>
  <c r="D96" i="16"/>
  <c r="J97" i="16"/>
  <c r="D98" i="16"/>
  <c r="Q98" i="16"/>
  <c r="D100" i="16"/>
  <c r="L14" i="16"/>
  <c r="A58" i="16"/>
  <c r="Q58" i="16"/>
  <c r="N59" i="16"/>
  <c r="A62" i="16"/>
  <c r="I62" i="16"/>
  <c r="Q62" i="16"/>
  <c r="O63" i="16"/>
  <c r="A70" i="16"/>
  <c r="I70" i="16"/>
  <c r="Q70" i="16"/>
  <c r="A72" i="16"/>
  <c r="I72" i="16"/>
  <c r="Q72" i="16"/>
  <c r="A74" i="16"/>
  <c r="L74" i="16"/>
  <c r="M82" i="16"/>
  <c r="R83" i="16"/>
  <c r="P88" i="16"/>
  <c r="A90" i="16"/>
  <c r="P90" i="16"/>
  <c r="L96" i="16"/>
  <c r="I98" i="16"/>
  <c r="L100" i="16"/>
  <c r="K5" i="16"/>
  <c r="Q40" i="16"/>
  <c r="O3" i="16"/>
  <c r="C7" i="16"/>
  <c r="D8" i="16"/>
  <c r="C14" i="16"/>
  <c r="M14" i="16"/>
  <c r="Q18" i="16"/>
  <c r="M30" i="16"/>
  <c r="O34" i="16"/>
  <c r="C35" i="16"/>
  <c r="C36" i="16"/>
  <c r="P36" i="16"/>
  <c r="D38" i="16"/>
  <c r="C40" i="16"/>
  <c r="D42" i="16"/>
  <c r="L62" i="16"/>
  <c r="L70" i="16"/>
  <c r="L72" i="16"/>
  <c r="O74" i="16"/>
  <c r="A96" i="16"/>
  <c r="P96" i="16"/>
  <c r="A98" i="16"/>
  <c r="L98" i="16"/>
  <c r="A100" i="16"/>
  <c r="P100" i="16"/>
  <c r="C3" i="16"/>
  <c r="L30" i="16"/>
  <c r="M36" i="16"/>
  <c r="C30" i="16"/>
  <c r="O6" i="16"/>
  <c r="K7" i="16"/>
  <c r="M8" i="16"/>
  <c r="C11" i="16"/>
  <c r="D14" i="16"/>
  <c r="O14" i="16"/>
  <c r="C18" i="16"/>
  <c r="Q20" i="16"/>
  <c r="L22" i="16"/>
  <c r="D24" i="16"/>
  <c r="D30" i="16"/>
  <c r="O30" i="16"/>
  <c r="C34" i="16"/>
  <c r="K35" i="16"/>
  <c r="D36" i="16"/>
  <c r="P38" i="16"/>
  <c r="K40" i="16"/>
  <c r="J41" i="16"/>
  <c r="J42" i="16"/>
  <c r="I58" i="16"/>
  <c r="K60" i="16"/>
  <c r="C62" i="16"/>
  <c r="M62" i="16"/>
  <c r="L64" i="16"/>
  <c r="Q66" i="16"/>
  <c r="C70" i="16"/>
  <c r="M70" i="16"/>
  <c r="C72" i="16"/>
  <c r="M72" i="16"/>
  <c r="C74" i="16"/>
  <c r="Q74" i="16"/>
  <c r="O76" i="16"/>
  <c r="P98" i="16"/>
  <c r="R10" i="16"/>
  <c r="M10" i="16"/>
  <c r="D10" i="16"/>
  <c r="R12" i="16"/>
  <c r="O12" i="16"/>
  <c r="I12" i="16"/>
  <c r="A12" i="16"/>
  <c r="L12" i="16"/>
  <c r="R16" i="16"/>
  <c r="Q16" i="16"/>
  <c r="L16" i="16"/>
  <c r="C16" i="16"/>
  <c r="M69" i="16"/>
  <c r="A69" i="16"/>
  <c r="O69" i="16"/>
  <c r="K3" i="16"/>
  <c r="C4" i="16"/>
  <c r="L4" i="16"/>
  <c r="Q4" i="16"/>
  <c r="O5" i="16"/>
  <c r="D6" i="16"/>
  <c r="M6" i="16"/>
  <c r="A8" i="16"/>
  <c r="I8" i="16"/>
  <c r="O8" i="16"/>
  <c r="C9" i="16"/>
  <c r="C10" i="16"/>
  <c r="O10" i="16"/>
  <c r="C12" i="16"/>
  <c r="M12" i="16"/>
  <c r="K13" i="16"/>
  <c r="D16" i="16"/>
  <c r="O16" i="16"/>
  <c r="I18" i="16"/>
  <c r="D20" i="16"/>
  <c r="I24" i="16"/>
  <c r="A26" i="16"/>
  <c r="K26" i="16"/>
  <c r="K28" i="16"/>
  <c r="A32" i="16"/>
  <c r="Q33" i="16"/>
  <c r="O33" i="16"/>
  <c r="R34" i="16"/>
  <c r="M34" i="16"/>
  <c r="D34" i="16"/>
  <c r="L34" i="16"/>
  <c r="R36" i="16"/>
  <c r="O36" i="16"/>
  <c r="I36" i="16"/>
  <c r="A36" i="16"/>
  <c r="L36" i="16"/>
  <c r="K38" i="16"/>
  <c r="D40" i="16"/>
  <c r="P49" i="16"/>
  <c r="R59" i="16"/>
  <c r="J59" i="16"/>
  <c r="A59" i="16"/>
  <c r="O59" i="16"/>
  <c r="C59" i="16"/>
  <c r="A60" i="16"/>
  <c r="N63" i="16"/>
  <c r="C63" i="16"/>
  <c r="M63" i="16"/>
  <c r="A63" i="16"/>
  <c r="R63" i="16"/>
  <c r="K66" i="16"/>
  <c r="R67" i="16"/>
  <c r="J67" i="16"/>
  <c r="A67" i="16"/>
  <c r="I67" i="16"/>
  <c r="O67" i="16"/>
  <c r="C69" i="16"/>
  <c r="N71" i="16"/>
  <c r="C71" i="16"/>
  <c r="R71" i="16"/>
  <c r="J71" i="16"/>
  <c r="A71" i="16"/>
  <c r="I71" i="16"/>
  <c r="M77" i="16"/>
  <c r="A77" i="16"/>
  <c r="C77" i="16"/>
  <c r="I80" i="16"/>
  <c r="O84" i="16"/>
  <c r="P84" i="16"/>
  <c r="D84" i="16"/>
  <c r="L84" i="16"/>
  <c r="A84" i="16"/>
  <c r="I84" i="16"/>
  <c r="Q15" i="16"/>
  <c r="K15" i="16"/>
  <c r="M16" i="16"/>
  <c r="L54" i="16"/>
  <c r="J54" i="16"/>
  <c r="M61" i="16"/>
  <c r="A61" i="16"/>
  <c r="J61" i="16"/>
  <c r="D4" i="16"/>
  <c r="M4" i="16"/>
  <c r="K8" i="16"/>
  <c r="P8" i="16"/>
  <c r="I10" i="16"/>
  <c r="P10" i="16"/>
  <c r="D12" i="16"/>
  <c r="P12" i="16"/>
  <c r="O15" i="16"/>
  <c r="I16" i="16"/>
  <c r="P16" i="16"/>
  <c r="Q25" i="16"/>
  <c r="O25" i="16"/>
  <c r="R26" i="16"/>
  <c r="M26" i="16"/>
  <c r="D26" i="16"/>
  <c r="L26" i="16"/>
  <c r="R28" i="16"/>
  <c r="O28" i="16"/>
  <c r="I28" i="16"/>
  <c r="A28" i="16"/>
  <c r="L28" i="16"/>
  <c r="Q29" i="16"/>
  <c r="C29" i="16"/>
  <c r="Q31" i="16"/>
  <c r="K31" i="16"/>
  <c r="R32" i="16"/>
  <c r="Q32" i="16"/>
  <c r="L32" i="16"/>
  <c r="C32" i="16"/>
  <c r="M32" i="16"/>
  <c r="R38" i="16"/>
  <c r="O38" i="16"/>
  <c r="I38" i="16"/>
  <c r="A38" i="16"/>
  <c r="L38" i="16"/>
  <c r="P54" i="16"/>
  <c r="R60" i="16"/>
  <c r="M60" i="16"/>
  <c r="D60" i="16"/>
  <c r="P60" i="16"/>
  <c r="I60" i="16"/>
  <c r="O60" i="16"/>
  <c r="O61" i="16"/>
  <c r="A66" i="16"/>
  <c r="R68" i="16"/>
  <c r="M68" i="16"/>
  <c r="D68" i="16"/>
  <c r="Q68" i="16"/>
  <c r="K68" i="16"/>
  <c r="A68" i="16"/>
  <c r="O68" i="16"/>
  <c r="J69" i="16"/>
  <c r="O86" i="16"/>
  <c r="L86" i="16"/>
  <c r="A86" i="16"/>
  <c r="P86" i="16"/>
  <c r="D86" i="16"/>
  <c r="Q86" i="16"/>
  <c r="K4" i="16"/>
  <c r="P4" i="16"/>
  <c r="Q9" i="16"/>
  <c r="O9" i="16"/>
  <c r="L10" i="16"/>
  <c r="Q13" i="16"/>
  <c r="C13" i="16"/>
  <c r="L49" i="16"/>
  <c r="J49" i="16"/>
  <c r="D49" i="16"/>
  <c r="R80" i="16"/>
  <c r="J80" i="16"/>
  <c r="A80" i="16"/>
  <c r="N80" i="16"/>
  <c r="D80" i="16"/>
  <c r="P80" i="16"/>
  <c r="A4" i="16"/>
  <c r="I4" i="16"/>
  <c r="O4" i="16"/>
  <c r="C5" i="16"/>
  <c r="K6" i="16"/>
  <c r="P6" i="16"/>
  <c r="C8" i="16"/>
  <c r="L8" i="16"/>
  <c r="Q8" i="16"/>
  <c r="A10" i="16"/>
  <c r="K10" i="16"/>
  <c r="Q10" i="16"/>
  <c r="K12" i="16"/>
  <c r="Q12" i="16"/>
  <c r="A16" i="16"/>
  <c r="K16" i="16"/>
  <c r="Q17" i="16"/>
  <c r="O17" i="16"/>
  <c r="R18" i="16"/>
  <c r="M18" i="16"/>
  <c r="D18" i="16"/>
  <c r="L18" i="16"/>
  <c r="R20" i="16"/>
  <c r="O20" i="16"/>
  <c r="I20" i="16"/>
  <c r="A20" i="16"/>
  <c r="L20" i="16"/>
  <c r="Q21" i="16"/>
  <c r="C21" i="16"/>
  <c r="Q23" i="16"/>
  <c r="K23" i="16"/>
  <c r="R24" i="16"/>
  <c r="Q24" i="16"/>
  <c r="L24" i="16"/>
  <c r="C24" i="16"/>
  <c r="M24" i="16"/>
  <c r="C25" i="16"/>
  <c r="C26" i="16"/>
  <c r="O26" i="16"/>
  <c r="C28" i="16"/>
  <c r="M28" i="16"/>
  <c r="K29" i="16"/>
  <c r="C31" i="16"/>
  <c r="D32" i="16"/>
  <c r="O32" i="16"/>
  <c r="C38" i="16"/>
  <c r="M38" i="16"/>
  <c r="R40" i="16"/>
  <c r="O40" i="16"/>
  <c r="I40" i="16"/>
  <c r="A40" i="16"/>
  <c r="L40" i="16"/>
  <c r="L41" i="16"/>
  <c r="D41" i="16"/>
  <c r="R50" i="16"/>
  <c r="D50" i="16"/>
  <c r="J50" i="16"/>
  <c r="R54" i="16"/>
  <c r="R57" i="16"/>
  <c r="C57" i="16"/>
  <c r="M57" i="16"/>
  <c r="R58" i="16"/>
  <c r="M58" i="16"/>
  <c r="D58" i="16"/>
  <c r="O58" i="16"/>
  <c r="C58" i="16"/>
  <c r="P58" i="16"/>
  <c r="C60" i="16"/>
  <c r="Q60" i="16"/>
  <c r="R61" i="16"/>
  <c r="R65" i="16"/>
  <c r="C65" i="16"/>
  <c r="O65" i="16"/>
  <c r="A65" i="16"/>
  <c r="R66" i="16"/>
  <c r="M66" i="16"/>
  <c r="D66" i="16"/>
  <c r="P66" i="16"/>
  <c r="I66" i="16"/>
  <c r="O66" i="16"/>
  <c r="R69" i="16"/>
  <c r="R75" i="16"/>
  <c r="J75" i="16"/>
  <c r="A75" i="16"/>
  <c r="N75" i="16"/>
  <c r="C75" i="16"/>
  <c r="M75" i="16"/>
  <c r="R79" i="16"/>
  <c r="D79" i="16"/>
  <c r="P79" i="16"/>
  <c r="P81" i="16"/>
  <c r="O81" i="16"/>
  <c r="C81" i="16"/>
  <c r="I86" i="16"/>
  <c r="R89" i="16"/>
  <c r="C89" i="16"/>
  <c r="K89" i="16"/>
  <c r="J89" i="16"/>
  <c r="K14" i="16"/>
  <c r="P14" i="16"/>
  <c r="K22" i="16"/>
  <c r="P22" i="16"/>
  <c r="K30" i="16"/>
  <c r="P30" i="16"/>
  <c r="P42" i="16"/>
  <c r="R46" i="16"/>
  <c r="R73" i="16"/>
  <c r="C73" i="16"/>
  <c r="M73" i="16"/>
  <c r="A73" i="16"/>
  <c r="Q78" i="16"/>
  <c r="I78" i="16"/>
  <c r="L78" i="16"/>
  <c r="A78" i="16"/>
  <c r="O82" i="16"/>
  <c r="P82" i="16"/>
  <c r="D82" i="16"/>
  <c r="L82" i="16"/>
  <c r="A82" i="16"/>
  <c r="O94" i="16"/>
  <c r="L94" i="16"/>
  <c r="A94" i="16"/>
  <c r="P94" i="16"/>
  <c r="D94" i="16"/>
  <c r="I94" i="16"/>
  <c r="K97" i="16"/>
  <c r="R97" i="16"/>
  <c r="C97" i="16"/>
  <c r="R101" i="16"/>
  <c r="O101" i="16"/>
  <c r="K101" i="16"/>
  <c r="C101" i="16"/>
  <c r="K74" i="16"/>
  <c r="P74" i="16"/>
  <c r="K76" i="16"/>
  <c r="P76" i="16"/>
  <c r="M90" i="16"/>
  <c r="M96" i="16"/>
  <c r="M100" i="16"/>
  <c r="R45" i="16"/>
  <c r="R53" i="16"/>
  <c r="K62" i="16"/>
  <c r="P62" i="16"/>
  <c r="K64" i="16"/>
  <c r="P64" i="16"/>
  <c r="K70" i="16"/>
  <c r="P70" i="16"/>
  <c r="K72" i="16"/>
  <c r="P72" i="16"/>
  <c r="D74" i="16"/>
  <c r="M74" i="16"/>
  <c r="D76" i="16"/>
  <c r="M76" i="16"/>
  <c r="M88" i="16"/>
  <c r="I90" i="16"/>
  <c r="Q90" i="16"/>
  <c r="M92" i="16"/>
  <c r="R95" i="16"/>
  <c r="I96" i="16"/>
  <c r="Q96" i="16"/>
  <c r="M98" i="16"/>
  <c r="I100" i="16"/>
  <c r="Q100" i="16"/>
  <c r="J3" i="16"/>
  <c r="N3" i="16"/>
  <c r="R3" i="16"/>
  <c r="J5" i="16"/>
  <c r="N5" i="16"/>
  <c r="R5" i="16"/>
  <c r="J7" i="16"/>
  <c r="N7" i="16"/>
  <c r="R7" i="16"/>
  <c r="J9" i="16"/>
  <c r="N9" i="16"/>
  <c r="R9" i="16"/>
  <c r="J11" i="16"/>
  <c r="N11" i="16"/>
  <c r="R11" i="16"/>
  <c r="J13" i="16"/>
  <c r="N13" i="16"/>
  <c r="R13" i="16"/>
  <c r="J15" i="16"/>
  <c r="N15" i="16"/>
  <c r="R15" i="16"/>
  <c r="J17" i="16"/>
  <c r="N17" i="16"/>
  <c r="R17" i="16"/>
  <c r="J19" i="16"/>
  <c r="N19" i="16"/>
  <c r="R19" i="16"/>
  <c r="J21" i="16"/>
  <c r="N21" i="16"/>
  <c r="R21" i="16"/>
  <c r="J23" i="16"/>
  <c r="N23" i="16"/>
  <c r="R23" i="16"/>
  <c r="J25" i="16"/>
  <c r="N25" i="16"/>
  <c r="R25" i="16"/>
  <c r="J27" i="16"/>
  <c r="N27" i="16"/>
  <c r="R27" i="16"/>
  <c r="J29" i="16"/>
  <c r="N29" i="16"/>
  <c r="R29" i="16"/>
  <c r="J31" i="16"/>
  <c r="N31" i="16"/>
  <c r="R31" i="16"/>
  <c r="J33" i="16"/>
  <c r="N33" i="16"/>
  <c r="R33" i="16"/>
  <c r="J35" i="16"/>
  <c r="N35" i="16"/>
  <c r="R35" i="16"/>
  <c r="J37" i="16"/>
  <c r="N37" i="16"/>
  <c r="R37" i="16"/>
  <c r="J39" i="16"/>
  <c r="N39" i="16"/>
  <c r="R39" i="16"/>
  <c r="O44" i="16"/>
  <c r="K44" i="16"/>
  <c r="C44" i="16"/>
  <c r="Q44" i="16"/>
  <c r="M44" i="16"/>
  <c r="I44" i="16"/>
  <c r="A44" i="16"/>
  <c r="N44" i="16"/>
  <c r="O48" i="16"/>
  <c r="K48" i="16"/>
  <c r="C48" i="16"/>
  <c r="Q48" i="16"/>
  <c r="M48" i="16"/>
  <c r="I48" i="16"/>
  <c r="A48" i="16"/>
  <c r="N48" i="16"/>
  <c r="O52" i="16"/>
  <c r="K52" i="16"/>
  <c r="C52" i="16"/>
  <c r="Q52" i="16"/>
  <c r="M52" i="16"/>
  <c r="I52" i="16"/>
  <c r="A52" i="16"/>
  <c r="N52" i="16"/>
  <c r="R56" i="16"/>
  <c r="N56" i="16"/>
  <c r="J56" i="16"/>
  <c r="Q56" i="16"/>
  <c r="L56" i="16"/>
  <c r="C56" i="16"/>
  <c r="O56" i="16"/>
  <c r="I56" i="16"/>
  <c r="A56" i="16"/>
  <c r="P56" i="16"/>
  <c r="C37" i="16"/>
  <c r="K37" i="16"/>
  <c r="O37" i="16"/>
  <c r="C39" i="16"/>
  <c r="K39" i="16"/>
  <c r="O39" i="16"/>
  <c r="Q43" i="16"/>
  <c r="M43" i="16"/>
  <c r="I43" i="16"/>
  <c r="A43" i="16"/>
  <c r="O43" i="16"/>
  <c r="K43" i="16"/>
  <c r="C43" i="16"/>
  <c r="N43" i="16"/>
  <c r="D44" i="16"/>
  <c r="P44" i="16"/>
  <c r="Q47" i="16"/>
  <c r="M47" i="16"/>
  <c r="I47" i="16"/>
  <c r="A47" i="16"/>
  <c r="O47" i="16"/>
  <c r="K47" i="16"/>
  <c r="C47" i="16"/>
  <c r="N47" i="16"/>
  <c r="D48" i="16"/>
  <c r="P48" i="16"/>
  <c r="Q51" i="16"/>
  <c r="M51" i="16"/>
  <c r="I51" i="16"/>
  <c r="A51" i="16"/>
  <c r="O51" i="16"/>
  <c r="K51" i="16"/>
  <c r="C51" i="16"/>
  <c r="N51" i="16"/>
  <c r="D52" i="16"/>
  <c r="P52" i="16"/>
  <c r="Q55" i="16"/>
  <c r="M55" i="16"/>
  <c r="I55" i="16"/>
  <c r="A55" i="16"/>
  <c r="O55" i="16"/>
  <c r="K55" i="16"/>
  <c r="C55" i="16"/>
  <c r="N55" i="16"/>
  <c r="D56" i="16"/>
  <c r="D3" i="16"/>
  <c r="L3" i="16"/>
  <c r="P3" i="16"/>
  <c r="J4" i="16"/>
  <c r="N4" i="16"/>
  <c r="D5" i="16"/>
  <c r="L5" i="16"/>
  <c r="P5" i="16"/>
  <c r="J6" i="16"/>
  <c r="N6" i="16"/>
  <c r="D7" i="16"/>
  <c r="L7" i="16"/>
  <c r="P7" i="16"/>
  <c r="J8" i="16"/>
  <c r="N8" i="16"/>
  <c r="D9" i="16"/>
  <c r="L9" i="16"/>
  <c r="P9" i="16"/>
  <c r="J10" i="16"/>
  <c r="N10" i="16"/>
  <c r="D11" i="16"/>
  <c r="L11" i="16"/>
  <c r="P11" i="16"/>
  <c r="J12" i="16"/>
  <c r="N12" i="16"/>
  <c r="D13" i="16"/>
  <c r="L13" i="16"/>
  <c r="P13" i="16"/>
  <c r="J14" i="16"/>
  <c r="N14" i="16"/>
  <c r="D15" i="16"/>
  <c r="L15" i="16"/>
  <c r="P15" i="16"/>
  <c r="J16" i="16"/>
  <c r="N16" i="16"/>
  <c r="D17" i="16"/>
  <c r="L17" i="16"/>
  <c r="P17" i="16"/>
  <c r="J18" i="16"/>
  <c r="N18" i="16"/>
  <c r="D19" i="16"/>
  <c r="L19" i="16"/>
  <c r="P19" i="16"/>
  <c r="J20" i="16"/>
  <c r="N20" i="16"/>
  <c r="D21" i="16"/>
  <c r="L21" i="16"/>
  <c r="P21" i="16"/>
  <c r="J22" i="16"/>
  <c r="N22" i="16"/>
  <c r="D23" i="16"/>
  <c r="L23" i="16"/>
  <c r="P23" i="16"/>
  <c r="J24" i="16"/>
  <c r="N24" i="16"/>
  <c r="D25" i="16"/>
  <c r="L25" i="16"/>
  <c r="P25" i="16"/>
  <c r="J26" i="16"/>
  <c r="N26" i="16"/>
  <c r="D27" i="16"/>
  <c r="L27" i="16"/>
  <c r="P27" i="16"/>
  <c r="J28" i="16"/>
  <c r="N28" i="16"/>
  <c r="D29" i="16"/>
  <c r="L29" i="16"/>
  <c r="P29" i="16"/>
  <c r="J30" i="16"/>
  <c r="N30" i="16"/>
  <c r="D31" i="16"/>
  <c r="L31" i="16"/>
  <c r="P31" i="16"/>
  <c r="J32" i="16"/>
  <c r="N32" i="16"/>
  <c r="D33" i="16"/>
  <c r="L33" i="16"/>
  <c r="P33" i="16"/>
  <c r="J34" i="16"/>
  <c r="N34" i="16"/>
  <c r="D35" i="16"/>
  <c r="L35" i="16"/>
  <c r="P35" i="16"/>
  <c r="J36" i="16"/>
  <c r="N36" i="16"/>
  <c r="D37" i="16"/>
  <c r="L37" i="16"/>
  <c r="P37" i="16"/>
  <c r="J38" i="16"/>
  <c r="N38" i="16"/>
  <c r="D39" i="16"/>
  <c r="L39" i="16"/>
  <c r="P39" i="16"/>
  <c r="J40" i="16"/>
  <c r="N40" i="16"/>
  <c r="O42" i="16"/>
  <c r="K42" i="16"/>
  <c r="C42" i="16"/>
  <c r="Q42" i="16"/>
  <c r="M42" i="16"/>
  <c r="I42" i="16"/>
  <c r="A42" i="16"/>
  <c r="N42" i="16"/>
  <c r="D43" i="16"/>
  <c r="P43" i="16"/>
  <c r="J44" i="16"/>
  <c r="R44" i="16"/>
  <c r="O46" i="16"/>
  <c r="K46" i="16"/>
  <c r="C46" i="16"/>
  <c r="Q46" i="16"/>
  <c r="M46" i="16"/>
  <c r="I46" i="16"/>
  <c r="A46" i="16"/>
  <c r="N46" i="16"/>
  <c r="D47" i="16"/>
  <c r="P47" i="16"/>
  <c r="J48" i="16"/>
  <c r="R48" i="16"/>
  <c r="O50" i="16"/>
  <c r="K50" i="16"/>
  <c r="C50" i="16"/>
  <c r="Q50" i="16"/>
  <c r="M50" i="16"/>
  <c r="I50" i="16"/>
  <c r="A50" i="16"/>
  <c r="N50" i="16"/>
  <c r="D51" i="16"/>
  <c r="P51" i="16"/>
  <c r="J52" i="16"/>
  <c r="R52" i="16"/>
  <c r="O54" i="16"/>
  <c r="K54" i="16"/>
  <c r="C54" i="16"/>
  <c r="Q54" i="16"/>
  <c r="M54" i="16"/>
  <c r="I54" i="16"/>
  <c r="A54" i="16"/>
  <c r="N54" i="16"/>
  <c r="D55" i="16"/>
  <c r="P55" i="16"/>
  <c r="K56" i="16"/>
  <c r="A3" i="16"/>
  <c r="I3" i="16"/>
  <c r="M3" i="16"/>
  <c r="A5" i="16"/>
  <c r="I5" i="16"/>
  <c r="M5" i="16"/>
  <c r="A7" i="16"/>
  <c r="I7" i="16"/>
  <c r="M7" i="16"/>
  <c r="A9" i="16"/>
  <c r="I9" i="16"/>
  <c r="M9" i="16"/>
  <c r="A11" i="16"/>
  <c r="I11" i="16"/>
  <c r="M11" i="16"/>
  <c r="A13" i="16"/>
  <c r="I13" i="16"/>
  <c r="M13" i="16"/>
  <c r="A15" i="16"/>
  <c r="I15" i="16"/>
  <c r="M15" i="16"/>
  <c r="A17" i="16"/>
  <c r="I17" i="16"/>
  <c r="M17" i="16"/>
  <c r="A19" i="16"/>
  <c r="I19" i="16"/>
  <c r="M19" i="16"/>
  <c r="A21" i="16"/>
  <c r="I21" i="16"/>
  <c r="M21" i="16"/>
  <c r="A23" i="16"/>
  <c r="I23" i="16"/>
  <c r="M23" i="16"/>
  <c r="A25" i="16"/>
  <c r="I25" i="16"/>
  <c r="M25" i="16"/>
  <c r="A27" i="16"/>
  <c r="I27" i="16"/>
  <c r="M27" i="16"/>
  <c r="A29" i="16"/>
  <c r="I29" i="16"/>
  <c r="M29" i="16"/>
  <c r="A31" i="16"/>
  <c r="I31" i="16"/>
  <c r="M31" i="16"/>
  <c r="A33" i="16"/>
  <c r="I33" i="16"/>
  <c r="M33" i="16"/>
  <c r="A35" i="16"/>
  <c r="I35" i="16"/>
  <c r="M35" i="16"/>
  <c r="A37" i="16"/>
  <c r="I37" i="16"/>
  <c r="M37" i="16"/>
  <c r="A39" i="16"/>
  <c r="I39" i="16"/>
  <c r="M39" i="16"/>
  <c r="Q41" i="16"/>
  <c r="M41" i="16"/>
  <c r="I41" i="16"/>
  <c r="A41" i="16"/>
  <c r="O41" i="16"/>
  <c r="K41" i="16"/>
  <c r="C41" i="16"/>
  <c r="N41" i="16"/>
  <c r="J43" i="16"/>
  <c r="R43" i="16"/>
  <c r="L44" i="16"/>
  <c r="Q45" i="16"/>
  <c r="M45" i="16"/>
  <c r="I45" i="16"/>
  <c r="A45" i="16"/>
  <c r="O45" i="16"/>
  <c r="K45" i="16"/>
  <c r="C45" i="16"/>
  <c r="N45" i="16"/>
  <c r="J47" i="16"/>
  <c r="R47" i="16"/>
  <c r="L48" i="16"/>
  <c r="Q49" i="16"/>
  <c r="M49" i="16"/>
  <c r="I49" i="16"/>
  <c r="A49" i="16"/>
  <c r="O49" i="16"/>
  <c r="K49" i="16"/>
  <c r="C49" i="16"/>
  <c r="N49" i="16"/>
  <c r="J51" i="16"/>
  <c r="R51" i="16"/>
  <c r="L52" i="16"/>
  <c r="Q53" i="16"/>
  <c r="M53" i="16"/>
  <c r="I53" i="16"/>
  <c r="A53" i="16"/>
  <c r="O53" i="16"/>
  <c r="K53" i="16"/>
  <c r="C53" i="16"/>
  <c r="N53" i="16"/>
  <c r="J55" i="16"/>
  <c r="R55" i="16"/>
  <c r="M56" i="16"/>
  <c r="P57" i="16"/>
  <c r="L57" i="16"/>
  <c r="D57" i="16"/>
  <c r="K57" i="16"/>
  <c r="Q57" i="16"/>
  <c r="P61" i="16"/>
  <c r="L61" i="16"/>
  <c r="D61" i="16"/>
  <c r="K61" i="16"/>
  <c r="Q61" i="16"/>
  <c r="P65" i="16"/>
  <c r="L65" i="16"/>
  <c r="D65" i="16"/>
  <c r="K65" i="16"/>
  <c r="Q65" i="16"/>
  <c r="P69" i="16"/>
  <c r="L69" i="16"/>
  <c r="D69" i="16"/>
  <c r="K69" i="16"/>
  <c r="Q69" i="16"/>
  <c r="P73" i="16"/>
  <c r="L73" i="16"/>
  <c r="D73" i="16"/>
  <c r="K73" i="16"/>
  <c r="Q73" i="16"/>
  <c r="Q77" i="16"/>
  <c r="P77" i="16"/>
  <c r="L77" i="16"/>
  <c r="D77" i="16"/>
  <c r="K77" i="16"/>
  <c r="R77" i="16"/>
  <c r="K79" i="16"/>
  <c r="J81" i="16"/>
  <c r="Q79" i="16"/>
  <c r="M79" i="16"/>
  <c r="I79" i="16"/>
  <c r="A79" i="16"/>
  <c r="O79" i="16"/>
  <c r="J79" i="16"/>
  <c r="L79" i="16"/>
  <c r="Q87" i="16"/>
  <c r="M87" i="16"/>
  <c r="I87" i="16"/>
  <c r="A87" i="16"/>
  <c r="P87" i="16"/>
  <c r="L87" i="16"/>
  <c r="D87" i="16"/>
  <c r="K87" i="16"/>
  <c r="R87" i="16"/>
  <c r="J87" i="16"/>
  <c r="I57" i="16"/>
  <c r="N57" i="16"/>
  <c r="P59" i="16"/>
  <c r="L59" i="16"/>
  <c r="D59" i="16"/>
  <c r="K59" i="16"/>
  <c r="Q59" i="16"/>
  <c r="I61" i="16"/>
  <c r="N61" i="16"/>
  <c r="P63" i="16"/>
  <c r="L63" i="16"/>
  <c r="D63" i="16"/>
  <c r="K63" i="16"/>
  <c r="Q63" i="16"/>
  <c r="I65" i="16"/>
  <c r="N65" i="16"/>
  <c r="P67" i="16"/>
  <c r="L67" i="16"/>
  <c r="D67" i="16"/>
  <c r="K67" i="16"/>
  <c r="Q67" i="16"/>
  <c r="I69" i="16"/>
  <c r="N69" i="16"/>
  <c r="P71" i="16"/>
  <c r="L71" i="16"/>
  <c r="D71" i="16"/>
  <c r="K71" i="16"/>
  <c r="Q71" i="16"/>
  <c r="I73" i="16"/>
  <c r="N73" i="16"/>
  <c r="P75" i="16"/>
  <c r="L75" i="16"/>
  <c r="D75" i="16"/>
  <c r="K75" i="16"/>
  <c r="Q75" i="16"/>
  <c r="I77" i="16"/>
  <c r="N77" i="16"/>
  <c r="O78" i="16"/>
  <c r="K78" i="16"/>
  <c r="C78" i="16"/>
  <c r="R78" i="16"/>
  <c r="M78" i="16"/>
  <c r="D78" i="16"/>
  <c r="N78" i="16"/>
  <c r="C79" i="16"/>
  <c r="N79" i="16"/>
  <c r="Q81" i="16"/>
  <c r="M81" i="16"/>
  <c r="I81" i="16"/>
  <c r="A81" i="16"/>
  <c r="N81" i="16"/>
  <c r="D81" i="16"/>
  <c r="L81" i="16"/>
  <c r="Q85" i="16"/>
  <c r="M85" i="16"/>
  <c r="I85" i="16"/>
  <c r="A85" i="16"/>
  <c r="P85" i="16"/>
  <c r="L85" i="16"/>
  <c r="D85" i="16"/>
  <c r="R85" i="16"/>
  <c r="J85" i="16"/>
  <c r="O85" i="16"/>
  <c r="C85" i="16"/>
  <c r="Q93" i="16"/>
  <c r="M93" i="16"/>
  <c r="I93" i="16"/>
  <c r="A93" i="16"/>
  <c r="P93" i="16"/>
  <c r="L93" i="16"/>
  <c r="D93" i="16"/>
  <c r="N93" i="16"/>
  <c r="J58" i="16"/>
  <c r="N58" i="16"/>
  <c r="J60" i="16"/>
  <c r="N60" i="16"/>
  <c r="J62" i="16"/>
  <c r="N62" i="16"/>
  <c r="J64" i="16"/>
  <c r="N64" i="16"/>
  <c r="J66" i="16"/>
  <c r="N66" i="16"/>
  <c r="J68" i="16"/>
  <c r="N68" i="16"/>
  <c r="J70" i="16"/>
  <c r="N70" i="16"/>
  <c r="J72" i="16"/>
  <c r="N72" i="16"/>
  <c r="J74" i="16"/>
  <c r="N74" i="16"/>
  <c r="J76" i="16"/>
  <c r="N76" i="16"/>
  <c r="O80" i="16"/>
  <c r="K80" i="16"/>
  <c r="C80" i="16"/>
  <c r="L80" i="16"/>
  <c r="Q80" i="16"/>
  <c r="Q83" i="16"/>
  <c r="M83" i="16"/>
  <c r="I83" i="16"/>
  <c r="A83" i="16"/>
  <c r="P83" i="16"/>
  <c r="L83" i="16"/>
  <c r="D83" i="16"/>
  <c r="N83" i="16"/>
  <c r="Q91" i="16"/>
  <c r="M91" i="16"/>
  <c r="I91" i="16"/>
  <c r="A91" i="16"/>
  <c r="P91" i="16"/>
  <c r="L91" i="16"/>
  <c r="D91" i="16"/>
  <c r="N91" i="16"/>
  <c r="C93" i="16"/>
  <c r="O93" i="16"/>
  <c r="Q99" i="16"/>
  <c r="M99" i="16"/>
  <c r="I99" i="16"/>
  <c r="A99" i="16"/>
  <c r="P99" i="16"/>
  <c r="L99" i="16"/>
  <c r="D99" i="16"/>
  <c r="N99" i="16"/>
  <c r="C83" i="16"/>
  <c r="O83" i="16"/>
  <c r="Q89" i="16"/>
  <c r="M89" i="16"/>
  <c r="I89" i="16"/>
  <c r="A89" i="16"/>
  <c r="P89" i="16"/>
  <c r="L89" i="16"/>
  <c r="D89" i="16"/>
  <c r="N89" i="16"/>
  <c r="C91" i="16"/>
  <c r="O91" i="16"/>
  <c r="J93" i="16"/>
  <c r="R93" i="16"/>
  <c r="Q97" i="16"/>
  <c r="M97" i="16"/>
  <c r="I97" i="16"/>
  <c r="A97" i="16"/>
  <c r="P97" i="16"/>
  <c r="L97" i="16"/>
  <c r="D97" i="16"/>
  <c r="N97" i="16"/>
  <c r="C99" i="16"/>
  <c r="O99" i="16"/>
  <c r="J91" i="16"/>
  <c r="R91" i="16"/>
  <c r="K93" i="16"/>
  <c r="Q95" i="16"/>
  <c r="M95" i="16"/>
  <c r="I95" i="16"/>
  <c r="A95" i="16"/>
  <c r="P95" i="16"/>
  <c r="L95" i="16"/>
  <c r="D95" i="16"/>
  <c r="N95" i="16"/>
  <c r="J99" i="16"/>
  <c r="R99" i="16"/>
  <c r="J82" i="16"/>
  <c r="N82" i="16"/>
  <c r="R82" i="16"/>
  <c r="J84" i="16"/>
  <c r="N84" i="16"/>
  <c r="R84" i="16"/>
  <c r="J86" i="16"/>
  <c r="N86" i="16"/>
  <c r="R86" i="16"/>
  <c r="J88" i="16"/>
  <c r="N88" i="16"/>
  <c r="R88" i="16"/>
  <c r="J90" i="16"/>
  <c r="N90" i="16"/>
  <c r="R90" i="16"/>
  <c r="J92" i="16"/>
  <c r="N92" i="16"/>
  <c r="R92" i="16"/>
  <c r="J94" i="16"/>
  <c r="N94" i="16"/>
  <c r="R94" i="16"/>
  <c r="J96" i="16"/>
  <c r="N96" i="16"/>
  <c r="R96" i="16"/>
  <c r="J98" i="16"/>
  <c r="N98" i="16"/>
  <c r="R98" i="16"/>
  <c r="J100" i="16"/>
  <c r="N100" i="16"/>
  <c r="R100" i="16"/>
  <c r="D101" i="16"/>
  <c r="L101" i="16"/>
  <c r="P101" i="16"/>
  <c r="C82" i="16"/>
  <c r="K82" i="16"/>
  <c r="C84" i="16"/>
  <c r="K84" i="16"/>
  <c r="C86" i="16"/>
  <c r="K86" i="16"/>
  <c r="C88" i="16"/>
  <c r="K88" i="16"/>
  <c r="C90" i="16"/>
  <c r="K90" i="16"/>
  <c r="C92" i="16"/>
  <c r="K92" i="16"/>
  <c r="C94" i="16"/>
  <c r="K94" i="16"/>
  <c r="C96" i="16"/>
  <c r="K96" i="16"/>
  <c r="C98" i="16"/>
  <c r="K98" i="16"/>
  <c r="C100" i="16"/>
  <c r="K100" i="16"/>
  <c r="A101" i="16"/>
  <c r="I101" i="16"/>
  <c r="M101" i="16"/>
  <c r="Q101" i="16"/>
  <c r="J101" i="16"/>
  <c r="N101" i="16"/>
  <c r="V98" i="2"/>
  <c r="V53" i="2"/>
  <c r="V94" i="2"/>
  <c r="V102" i="2"/>
  <c r="V61" i="2"/>
  <c r="V51" i="2"/>
  <c r="V90" i="2"/>
  <c r="V69" i="2"/>
  <c r="V88" i="2"/>
  <c r="V92" i="2"/>
  <c r="V96" i="2"/>
  <c r="V100" i="2"/>
  <c r="X55" i="2"/>
  <c r="V55" i="2"/>
  <c r="V62" i="2"/>
  <c r="W62" i="2"/>
  <c r="V54" i="2"/>
  <c r="W54" i="2"/>
  <c r="X59" i="2"/>
  <c r="W59" i="2"/>
  <c r="X65" i="2"/>
  <c r="W65" i="2"/>
  <c r="V66" i="2"/>
  <c r="X66" i="2"/>
  <c r="X76" i="2"/>
  <c r="V76" i="2"/>
  <c r="W76" i="2"/>
  <c r="V79" i="2"/>
  <c r="X79" i="2"/>
  <c r="X84" i="2"/>
  <c r="V84" i="2"/>
  <c r="W84" i="2"/>
  <c r="W51" i="2"/>
  <c r="X57" i="2"/>
  <c r="W57" i="2"/>
  <c r="V58" i="2"/>
  <c r="X58" i="2"/>
  <c r="V64" i="2"/>
  <c r="X64" i="2"/>
  <c r="V56" i="2"/>
  <c r="X56" i="2"/>
  <c r="X63" i="2"/>
  <c r="V63" i="2"/>
  <c r="X67" i="2"/>
  <c r="W67" i="2"/>
  <c r="X72" i="2"/>
  <c r="V72" i="2"/>
  <c r="W72" i="2"/>
  <c r="V75" i="2"/>
  <c r="X75" i="2"/>
  <c r="X80" i="2"/>
  <c r="V80" i="2"/>
  <c r="W80" i="2"/>
  <c r="V83" i="2"/>
  <c r="X83" i="2"/>
  <c r="V52" i="2"/>
  <c r="X52" i="2"/>
  <c r="W53" i="2"/>
  <c r="V60" i="2"/>
  <c r="X60" i="2"/>
  <c r="W61" i="2"/>
  <c r="V68" i="2"/>
  <c r="X68" i="2"/>
  <c r="W69" i="2"/>
  <c r="V71" i="2"/>
  <c r="X74" i="2"/>
  <c r="V74" i="2"/>
  <c r="X78" i="2"/>
  <c r="V78" i="2"/>
  <c r="X82" i="2"/>
  <c r="V82" i="2"/>
  <c r="X86" i="2"/>
  <c r="V86" i="2"/>
  <c r="V70" i="2"/>
  <c r="X70" i="2"/>
  <c r="W71" i="2"/>
  <c r="V73" i="2"/>
  <c r="X73" i="2"/>
  <c r="V77" i="2"/>
  <c r="X77" i="2"/>
  <c r="V81" i="2"/>
  <c r="X81" i="2"/>
  <c r="V85" i="2"/>
  <c r="X85" i="2"/>
  <c r="W87" i="2"/>
  <c r="W89" i="2"/>
  <c r="W91" i="2"/>
  <c r="W93" i="2"/>
  <c r="W95" i="2"/>
  <c r="W97" i="2"/>
  <c r="W99" i="2"/>
  <c r="W101" i="2"/>
  <c r="X87" i="2"/>
  <c r="W88" i="2"/>
  <c r="W90" i="2"/>
  <c r="W92" i="2"/>
  <c r="W94" i="2"/>
  <c r="W96" i="2"/>
  <c r="W98" i="2"/>
  <c r="W100" i="2"/>
  <c r="W102" i="2"/>
  <c r="V87" i="2"/>
  <c r="V89" i="2"/>
  <c r="V91" i="2"/>
  <c r="V93" i="2"/>
  <c r="V95" i="2"/>
  <c r="V97" i="2"/>
  <c r="V99" i="2"/>
  <c r="V101" i="2"/>
  <c r="C2" i="16"/>
  <c r="M2" i="16"/>
  <c r="O2" i="16"/>
  <c r="D2" i="16"/>
  <c r="A2" i="16"/>
  <c r="AS55" i="6"/>
  <c r="BC71" i="6"/>
  <c r="AI75" i="6"/>
  <c r="BC79" i="6"/>
  <c r="Y87" i="6"/>
  <c r="AA87" i="6" s="1"/>
  <c r="BM95" i="6"/>
  <c r="Y99" i="6"/>
  <c r="AA99" i="6" s="1"/>
  <c r="BC103" i="6"/>
  <c r="BE103" i="6" s="1"/>
  <c r="BM52" i="6"/>
  <c r="BO52" i="6" s="1"/>
  <c r="BM68" i="6"/>
  <c r="BN68" i="6" s="1"/>
  <c r="AI76" i="6"/>
  <c r="AI96" i="6"/>
  <c r="AK96" i="6" s="1"/>
  <c r="AS50" i="6"/>
  <c r="B2" i="17"/>
  <c r="B3" i="17"/>
  <c r="B4" i="17"/>
  <c r="V53" i="6"/>
  <c r="BC53" i="6"/>
  <c r="Y53" i="6"/>
  <c r="AS53" i="6"/>
  <c r="BM53" i="6"/>
  <c r="V57" i="6"/>
  <c r="BC57" i="6"/>
  <c r="AI57" i="6"/>
  <c r="Y57" i="6"/>
  <c r="AS57" i="6"/>
  <c r="V69" i="6"/>
  <c r="BC69" i="6"/>
  <c r="Y69" i="6"/>
  <c r="AS69" i="6"/>
  <c r="BM69" i="6"/>
  <c r="V73" i="6"/>
  <c r="BC73" i="6"/>
  <c r="BE73" i="6" s="1"/>
  <c r="AI73" i="6"/>
  <c r="Y73" i="6"/>
  <c r="AS73" i="6"/>
  <c r="BC77" i="6"/>
  <c r="V77" i="6"/>
  <c r="BM77" i="6"/>
  <c r="Y77" i="6"/>
  <c r="AI77" i="6"/>
  <c r="V81" i="6"/>
  <c r="BC81" i="6"/>
  <c r="AS81" i="6"/>
  <c r="Y81" i="6"/>
  <c r="BM81" i="6"/>
  <c r="V85" i="6"/>
  <c r="BC85" i="6"/>
  <c r="Y85" i="6"/>
  <c r="AS85" i="6"/>
  <c r="BM85" i="6"/>
  <c r="V89" i="6"/>
  <c r="BC89" i="6"/>
  <c r="AI89" i="6"/>
  <c r="AK89" i="6" s="1"/>
  <c r="Y89" i="6"/>
  <c r="AS89" i="6"/>
  <c r="BC93" i="6"/>
  <c r="V93" i="6"/>
  <c r="BM93" i="6"/>
  <c r="Y93" i="6"/>
  <c r="AI93" i="6"/>
  <c r="AK93" i="6" s="1"/>
  <c r="BC97" i="6"/>
  <c r="BE97" i="6" s="1"/>
  <c r="AS97" i="6"/>
  <c r="BM97" i="6"/>
  <c r="Y97" i="6"/>
  <c r="AI97" i="6"/>
  <c r="V101" i="6"/>
  <c r="BC101" i="6"/>
  <c r="BD101" i="6" s="1"/>
  <c r="AS101" i="6"/>
  <c r="Y55" i="6"/>
  <c r="AA55" i="6" s="1"/>
  <c r="Y71" i="6"/>
  <c r="AA71" i="6" s="1"/>
  <c r="Y79" i="6"/>
  <c r="AA79" i="6" s="1"/>
  <c r="Y95" i="6"/>
  <c r="AA95" i="6" s="1"/>
  <c r="AI71" i="6"/>
  <c r="AI81" i="6"/>
  <c r="AS71" i="6"/>
  <c r="AS93" i="6"/>
  <c r="BM89" i="6"/>
  <c r="V50" i="6"/>
  <c r="BM50" i="6"/>
  <c r="AI50" i="6"/>
  <c r="BC50" i="6"/>
  <c r="V54" i="6"/>
  <c r="BM54" i="6"/>
  <c r="AI54" i="6"/>
  <c r="BC54" i="6"/>
  <c r="AS54" i="6"/>
  <c r="BM58" i="6"/>
  <c r="AI58" i="6"/>
  <c r="V58" i="6"/>
  <c r="AS58" i="6"/>
  <c r="BC58" i="6"/>
  <c r="V66" i="6"/>
  <c r="BM66" i="6"/>
  <c r="AI66" i="6"/>
  <c r="BC66" i="6"/>
  <c r="V70" i="6"/>
  <c r="BM70" i="6"/>
  <c r="AI70" i="6"/>
  <c r="AK70" i="6" s="1"/>
  <c r="BC70" i="6"/>
  <c r="AS70" i="6"/>
  <c r="V74" i="6"/>
  <c r="BM74" i="6"/>
  <c r="AI74" i="6"/>
  <c r="AS74" i="6"/>
  <c r="BC74" i="6"/>
  <c r="BE74" i="6" s="1"/>
  <c r="BM78" i="6"/>
  <c r="AI78" i="6"/>
  <c r="BC78" i="6"/>
  <c r="AS78" i="6"/>
  <c r="V82" i="6"/>
  <c r="BM82" i="6"/>
  <c r="AI82" i="6"/>
  <c r="BC82" i="6"/>
  <c r="V86" i="6"/>
  <c r="BM86" i="6"/>
  <c r="AI86" i="6"/>
  <c r="BC86" i="6"/>
  <c r="AS86" i="6"/>
  <c r="BM90" i="6"/>
  <c r="AI90" i="6"/>
  <c r="AK90" i="6" s="1"/>
  <c r="AS90" i="6"/>
  <c r="V90" i="6"/>
  <c r="BC90" i="6"/>
  <c r="V94" i="6"/>
  <c r="BM94" i="6"/>
  <c r="BO94" i="6" s="1"/>
  <c r="AI94" i="6"/>
  <c r="BC94" i="6"/>
  <c r="AS94" i="6"/>
  <c r="AU94" i="6" s="1"/>
  <c r="V98" i="6"/>
  <c r="BM98" i="6"/>
  <c r="AI98" i="6"/>
  <c r="Y98" i="6"/>
  <c r="BC98" i="6"/>
  <c r="V102" i="6"/>
  <c r="BM102" i="6"/>
  <c r="AI102" i="6"/>
  <c r="BC102" i="6"/>
  <c r="AS102" i="6"/>
  <c r="Y102" i="6"/>
  <c r="Y50" i="6"/>
  <c r="Y58" i="6"/>
  <c r="Y66" i="6"/>
  <c r="Y74" i="6"/>
  <c r="Y82" i="6"/>
  <c r="Y90" i="6"/>
  <c r="AI53" i="6"/>
  <c r="AI85" i="6"/>
  <c r="AI101" i="6"/>
  <c r="AS77" i="6"/>
  <c r="AS98" i="6"/>
  <c r="BM73" i="6"/>
  <c r="V78" i="6"/>
  <c r="V51" i="6"/>
  <c r="X51" i="6" s="1"/>
  <c r="BM51" i="6"/>
  <c r="BC51" i="6"/>
  <c r="AI51" i="6"/>
  <c r="AS51" i="6"/>
  <c r="V55" i="6"/>
  <c r="X55" i="6" s="1"/>
  <c r="BM55" i="6"/>
  <c r="V59" i="6"/>
  <c r="X59" i="6" s="1"/>
  <c r="AS59" i="6"/>
  <c r="BC59" i="6"/>
  <c r="BE59" i="6" s="1"/>
  <c r="BM59" i="6"/>
  <c r="V67" i="6"/>
  <c r="X67" i="6" s="1"/>
  <c r="BM67" i="6"/>
  <c r="BC67" i="6"/>
  <c r="AI67" i="6"/>
  <c r="AS67" i="6"/>
  <c r="V71" i="6"/>
  <c r="X71" i="6" s="1"/>
  <c r="BM71" i="6"/>
  <c r="V75" i="6"/>
  <c r="X75" i="6" s="1"/>
  <c r="AS75" i="6"/>
  <c r="BC75" i="6"/>
  <c r="BM75" i="6"/>
  <c r="V79" i="6"/>
  <c r="X79" i="6" s="1"/>
  <c r="AI79" i="6"/>
  <c r="AJ79" i="6" s="1"/>
  <c r="AS79" i="6"/>
  <c r="V83" i="6"/>
  <c r="BM83" i="6"/>
  <c r="BC83" i="6"/>
  <c r="AI83" i="6"/>
  <c r="AS83" i="6"/>
  <c r="BM87" i="6"/>
  <c r="BO87" i="6" s="1"/>
  <c r="V91" i="6"/>
  <c r="X91" i="6" s="1"/>
  <c r="AS91" i="6"/>
  <c r="BC91" i="6"/>
  <c r="BM91" i="6"/>
  <c r="V95" i="6"/>
  <c r="X95" i="6" s="1"/>
  <c r="AI95" i="6"/>
  <c r="AS95" i="6"/>
  <c r="BM99" i="6"/>
  <c r="BC99" i="6"/>
  <c r="AI99" i="6"/>
  <c r="AJ99" i="6" s="1"/>
  <c r="V99" i="6"/>
  <c r="X99" i="6" s="1"/>
  <c r="AS99" i="6"/>
  <c r="V103" i="6"/>
  <c r="X103" i="6" s="1"/>
  <c r="BM103" i="6"/>
  <c r="Y103" i="6"/>
  <c r="AA103" i="6" s="1"/>
  <c r="AI103" i="6"/>
  <c r="Y51" i="6"/>
  <c r="AA51" i="6" s="1"/>
  <c r="Y59" i="6"/>
  <c r="Y67" i="6"/>
  <c r="AA67" i="6" s="1"/>
  <c r="Y75" i="6"/>
  <c r="AA75" i="6" s="1"/>
  <c r="Y83" i="6"/>
  <c r="AA83" i="6" s="1"/>
  <c r="Y91" i="6"/>
  <c r="AA91" i="6" s="1"/>
  <c r="Y101" i="6"/>
  <c r="AI55" i="6"/>
  <c r="AI87" i="6"/>
  <c r="AS82" i="6"/>
  <c r="AS103" i="6"/>
  <c r="BM57" i="6"/>
  <c r="BM79" i="6"/>
  <c r="BM101" i="6"/>
  <c r="BC55" i="6"/>
  <c r="BC87" i="6"/>
  <c r="V87" i="6"/>
  <c r="X87" i="6" s="1"/>
  <c r="V52" i="6"/>
  <c r="X52" i="6" s="1"/>
  <c r="BC52" i="6"/>
  <c r="AS52" i="6"/>
  <c r="AI52" i="6"/>
  <c r="Y52" i="6"/>
  <c r="V56" i="6"/>
  <c r="BC56" i="6"/>
  <c r="AS56" i="6"/>
  <c r="BM56" i="6"/>
  <c r="AI56" i="6"/>
  <c r="Y56" i="6"/>
  <c r="V68" i="6"/>
  <c r="X68" i="6" s="1"/>
  <c r="BC68" i="6"/>
  <c r="BD68" i="6" s="1"/>
  <c r="AS68" i="6"/>
  <c r="AT68" i="6" s="1"/>
  <c r="AI68" i="6"/>
  <c r="AJ68" i="6" s="1"/>
  <c r="Y68" i="6"/>
  <c r="BC72" i="6"/>
  <c r="AS72" i="6"/>
  <c r="BM72" i="6"/>
  <c r="AI72" i="6"/>
  <c r="Y72" i="6"/>
  <c r="V72" i="6"/>
  <c r="X72" i="6" s="1"/>
  <c r="V76" i="6"/>
  <c r="X76" i="6" s="1"/>
  <c r="BC76" i="6"/>
  <c r="BD76" i="6" s="1"/>
  <c r="AS76" i="6"/>
  <c r="BM76" i="6"/>
  <c r="Y76" i="6"/>
  <c r="V80" i="6"/>
  <c r="X80" i="6" s="1"/>
  <c r="BC80" i="6"/>
  <c r="AS80" i="6"/>
  <c r="Y80" i="6"/>
  <c r="BM80" i="6"/>
  <c r="V84" i="6"/>
  <c r="X84" i="6" s="1"/>
  <c r="BC84" i="6"/>
  <c r="AS84" i="6"/>
  <c r="AI84" i="6"/>
  <c r="Y84" i="6"/>
  <c r="V88" i="6"/>
  <c r="X88" i="6" s="1"/>
  <c r="BC88" i="6"/>
  <c r="AS88" i="6"/>
  <c r="BM88" i="6"/>
  <c r="AI88" i="6"/>
  <c r="Y88" i="6"/>
  <c r="BC92" i="6"/>
  <c r="AS92" i="6"/>
  <c r="V92" i="6"/>
  <c r="X92" i="6" s="1"/>
  <c r="BM92" i="6"/>
  <c r="Y92" i="6"/>
  <c r="AI92" i="6"/>
  <c r="V96" i="6"/>
  <c r="X96" i="6" s="1"/>
  <c r="BC96" i="6"/>
  <c r="AS96" i="6"/>
  <c r="Y96" i="6"/>
  <c r="BM96" i="6"/>
  <c r="V100" i="6"/>
  <c r="X100" i="6" s="1"/>
  <c r="BC100" i="6"/>
  <c r="AS100" i="6"/>
  <c r="Y100" i="6"/>
  <c r="BM100" i="6"/>
  <c r="AI100" i="6"/>
  <c r="Y54" i="6"/>
  <c r="Y70" i="6"/>
  <c r="Y78" i="6"/>
  <c r="Y86" i="6"/>
  <c r="Y94" i="6"/>
  <c r="AI59" i="6"/>
  <c r="AI69" i="6"/>
  <c r="AI80" i="6"/>
  <c r="AI91" i="6"/>
  <c r="AS66" i="6"/>
  <c r="AS87" i="6"/>
  <c r="AT87" i="6" s="1"/>
  <c r="BM84" i="6"/>
  <c r="BO84" i="6" s="1"/>
  <c r="BC95" i="6"/>
  <c r="BE95" i="6" s="1"/>
  <c r="V97" i="6"/>
  <c r="D94" i="6"/>
  <c r="D67" i="6"/>
  <c r="BW75" i="6"/>
  <c r="BX75" i="6" s="1"/>
  <c r="CD76" i="6"/>
  <c r="D55" i="6"/>
  <c r="D82" i="6"/>
  <c r="CK85" i="6"/>
  <c r="CM85" i="6" s="1"/>
  <c r="CP85" i="6" s="1"/>
  <c r="CQ85" i="6" s="1"/>
  <c r="D68" i="6"/>
  <c r="D86" i="6"/>
  <c r="M90" i="6"/>
  <c r="M91" i="6"/>
  <c r="D66" i="6"/>
  <c r="CK87" i="6"/>
  <c r="CL87" i="6" s="1"/>
  <c r="D91" i="6"/>
  <c r="E10" i="7"/>
  <c r="D70" i="6"/>
  <c r="D79" i="6"/>
  <c r="O82" i="6"/>
  <c r="Q82" i="6" s="1"/>
  <c r="R82" i="6" s="1"/>
  <c r="S82" i="6" s="1"/>
  <c r="M82" i="6"/>
  <c r="O83" i="6"/>
  <c r="Q83" i="6" s="1"/>
  <c r="T83" i="6" s="1"/>
  <c r="U83" i="6" s="1"/>
  <c r="M83" i="6"/>
  <c r="D87" i="6"/>
  <c r="D88" i="6"/>
  <c r="D95" i="6"/>
  <c r="BY90" i="6"/>
  <c r="CB90" i="6" s="1"/>
  <c r="CC90" i="6" s="1"/>
  <c r="BX90" i="6"/>
  <c r="BW95" i="6"/>
  <c r="D98" i="6"/>
  <c r="M98" i="6"/>
  <c r="D100" i="6"/>
  <c r="D53" i="6"/>
  <c r="N52" i="6"/>
  <c r="BW55" i="6"/>
  <c r="BX55" i="6" s="1"/>
  <c r="D57" i="6"/>
  <c r="M69" i="6"/>
  <c r="CK76" i="6"/>
  <c r="CM76" i="6" s="1"/>
  <c r="CP76" i="6" s="1"/>
  <c r="CQ76" i="6" s="1"/>
  <c r="CD77" i="6"/>
  <c r="CF77" i="6" s="1"/>
  <c r="CI77" i="6" s="1"/>
  <c r="CJ77" i="6" s="1"/>
  <c r="CD78" i="6"/>
  <c r="CE78" i="6" s="1"/>
  <c r="D80" i="6"/>
  <c r="M80" i="6"/>
  <c r="M81" i="6"/>
  <c r="D83" i="6"/>
  <c r="M84" i="6"/>
  <c r="N85" i="6"/>
  <c r="CD86" i="6"/>
  <c r="CF86" i="6" s="1"/>
  <c r="CI86" i="6" s="1"/>
  <c r="CJ86" i="6" s="1"/>
  <c r="D89" i="6"/>
  <c r="M89" i="6"/>
  <c r="D92" i="6"/>
  <c r="M92" i="6"/>
  <c r="BX96" i="6"/>
  <c r="M99" i="6"/>
  <c r="D101" i="6"/>
  <c r="CD75" i="6"/>
  <c r="CF75" i="6" s="1"/>
  <c r="CI75" i="6" s="1"/>
  <c r="CJ75" i="6" s="1"/>
  <c r="O50" i="6"/>
  <c r="Q50" i="6" s="1"/>
  <c r="T50" i="6" s="1"/>
  <c r="U50" i="6" s="1"/>
  <c r="CD50" i="6"/>
  <c r="CF50" i="6" s="1"/>
  <c r="CG50" i="6" s="1"/>
  <c r="CH50" i="6" s="1"/>
  <c r="D52" i="6"/>
  <c r="CK52" i="6"/>
  <c r="CM52" i="6" s="1"/>
  <c r="CN52" i="6" s="1"/>
  <c r="CO52" i="6" s="1"/>
  <c r="O53" i="6"/>
  <c r="P53" i="6" s="1"/>
  <c r="D54" i="6"/>
  <c r="D56" i="6"/>
  <c r="M66" i="6"/>
  <c r="D69" i="6"/>
  <c r="CI74" i="6"/>
  <c r="CJ74" i="6" s="1"/>
  <c r="BW74" i="6"/>
  <c r="BX74" i="6" s="1"/>
  <c r="CR78" i="6"/>
  <c r="CS78" i="6" s="1"/>
  <c r="D103" i="6"/>
  <c r="O81" i="6"/>
  <c r="P81" i="6" s="1"/>
  <c r="D84" i="6"/>
  <c r="D85" i="6"/>
  <c r="CD85" i="6"/>
  <c r="CE85" i="6" s="1"/>
  <c r="CK86" i="6"/>
  <c r="CL86" i="6" s="1"/>
  <c r="CD87" i="6"/>
  <c r="CF87" i="6" s="1"/>
  <c r="CG87" i="6" s="1"/>
  <c r="CH87" i="6" s="1"/>
  <c r="D93" i="6"/>
  <c r="M93" i="6"/>
  <c r="M96" i="6"/>
  <c r="D97" i="6"/>
  <c r="M97" i="6"/>
  <c r="O80" i="6"/>
  <c r="CD80" i="6"/>
  <c r="D81" i="6"/>
  <c r="CF81" i="6"/>
  <c r="CI81" i="6" s="1"/>
  <c r="CJ81" i="6" s="1"/>
  <c r="CE81" i="6"/>
  <c r="CS54" i="6"/>
  <c r="L70" i="6"/>
  <c r="M71" i="6"/>
  <c r="D74" i="6"/>
  <c r="M74" i="6"/>
  <c r="O51" i="6"/>
  <c r="Q51" i="6" s="1"/>
  <c r="T51" i="6" s="1"/>
  <c r="U51" i="6" s="1"/>
  <c r="O55" i="6"/>
  <c r="Q55" i="6" s="1"/>
  <c r="R55" i="6" s="1"/>
  <c r="S55" i="6" s="1"/>
  <c r="CK67" i="6"/>
  <c r="CL67" i="6" s="1"/>
  <c r="M70" i="6"/>
  <c r="D72" i="6"/>
  <c r="M72" i="6"/>
  <c r="D75" i="6"/>
  <c r="N75" i="6"/>
  <c r="CK75" i="6"/>
  <c r="D76" i="6"/>
  <c r="BW76" i="6"/>
  <c r="BY76" i="6" s="1"/>
  <c r="BZ76" i="6" s="1"/>
  <c r="CA76" i="6" s="1"/>
  <c r="CK77" i="6"/>
  <c r="D78" i="6"/>
  <c r="CK54" i="6"/>
  <c r="CM54" i="6" s="1"/>
  <c r="CP54" i="6" s="1"/>
  <c r="CQ54" i="6" s="1"/>
  <c r="CK50" i="6"/>
  <c r="CM50" i="6" s="1"/>
  <c r="CP50" i="6" s="1"/>
  <c r="CQ50" i="6" s="1"/>
  <c r="BW52" i="6"/>
  <c r="BX52" i="6" s="1"/>
  <c r="D51" i="6"/>
  <c r="CD52" i="6"/>
  <c r="CF52" i="6" s="1"/>
  <c r="CI52" i="6" s="1"/>
  <c r="CJ52" i="6" s="1"/>
  <c r="BW54" i="6"/>
  <c r="BX54" i="6" s="1"/>
  <c r="CD55" i="6"/>
  <c r="CF55" i="6" s="1"/>
  <c r="CG55" i="6" s="1"/>
  <c r="CH55" i="6" s="1"/>
  <c r="BW56" i="6"/>
  <c r="BY56" i="6" s="1"/>
  <c r="CB56" i="6" s="1"/>
  <c r="CC56" i="6" s="1"/>
  <c r="D58" i="6"/>
  <c r="M58" i="6"/>
  <c r="D73" i="6"/>
  <c r="M73" i="6"/>
  <c r="D77" i="6"/>
  <c r="BW77" i="6"/>
  <c r="BY77" i="6" s="1"/>
  <c r="BZ77" i="6" s="1"/>
  <c r="CA77" i="6" s="1"/>
  <c r="D102" i="6"/>
  <c r="CK80" i="6"/>
  <c r="BW80" i="6"/>
  <c r="CR80" i="6"/>
  <c r="CD82" i="6"/>
  <c r="CD83" i="6"/>
  <c r="O84" i="6"/>
  <c r="BW84" i="6"/>
  <c r="CT85" i="6"/>
  <c r="CW85" i="6" s="1"/>
  <c r="CX85" i="6" s="1"/>
  <c r="O86" i="6"/>
  <c r="BW81" i="6"/>
  <c r="BW82" i="6"/>
  <c r="BW83" i="6"/>
  <c r="CD84" i="6"/>
  <c r="CT87" i="6"/>
  <c r="CW87" i="6" s="1"/>
  <c r="CX87" i="6" s="1"/>
  <c r="CS87" i="6"/>
  <c r="CR81" i="6"/>
  <c r="CR82" i="6"/>
  <c r="CR83" i="6"/>
  <c r="CR84" i="6"/>
  <c r="CK84" i="6"/>
  <c r="CS86" i="6"/>
  <c r="M87" i="6"/>
  <c r="O87" i="6"/>
  <c r="CK81" i="6"/>
  <c r="CK82" i="6"/>
  <c r="CK83" i="6"/>
  <c r="O85" i="6"/>
  <c r="N86" i="6"/>
  <c r="CW86" i="6"/>
  <c r="CX86" i="6" s="1"/>
  <c r="O88" i="6"/>
  <c r="CI88" i="6"/>
  <c r="CJ88" i="6" s="1"/>
  <c r="CD89" i="6"/>
  <c r="CK89" i="6"/>
  <c r="CR89" i="6"/>
  <c r="O92" i="6"/>
  <c r="CD93" i="6"/>
  <c r="BW93" i="6"/>
  <c r="CR93" i="6"/>
  <c r="CT94" i="6"/>
  <c r="CW94" i="6" s="1"/>
  <c r="CX94" i="6" s="1"/>
  <c r="CS94" i="6"/>
  <c r="CT95" i="6"/>
  <c r="CU95" i="6" s="1"/>
  <c r="CV95" i="6" s="1"/>
  <c r="CS95" i="6"/>
  <c r="CE88" i="6"/>
  <c r="BW89" i="6"/>
  <c r="O91" i="6"/>
  <c r="CD92" i="6"/>
  <c r="CK92" i="6"/>
  <c r="CR92" i="6"/>
  <c r="CK93" i="6"/>
  <c r="O94" i="6"/>
  <c r="N94" i="6"/>
  <c r="M94" i="6"/>
  <c r="N95" i="6"/>
  <c r="O95" i="6"/>
  <c r="M95" i="6"/>
  <c r="BW85" i="6"/>
  <c r="BW86" i="6"/>
  <c r="CU86" i="6"/>
  <c r="CV86" i="6" s="1"/>
  <c r="BW87" i="6"/>
  <c r="O90" i="6"/>
  <c r="CD91" i="6"/>
  <c r="CK91" i="6"/>
  <c r="CR91" i="6"/>
  <c r="BW92" i="6"/>
  <c r="CK88" i="6"/>
  <c r="CG88" i="6"/>
  <c r="CH88" i="6" s="1"/>
  <c r="M88" i="6"/>
  <c r="BW88" i="6"/>
  <c r="CR88" i="6"/>
  <c r="O89" i="6"/>
  <c r="D90" i="6"/>
  <c r="CD90" i="6"/>
  <c r="CK90" i="6"/>
  <c r="CR90" i="6"/>
  <c r="BW91" i="6"/>
  <c r="O93" i="6"/>
  <c r="CK98" i="6"/>
  <c r="CR98" i="6"/>
  <c r="BW98" i="6"/>
  <c r="CD98" i="6"/>
  <c r="O97" i="6"/>
  <c r="BW94" i="6"/>
  <c r="CD94" i="6"/>
  <c r="CK94" i="6"/>
  <c r="CD95" i="6"/>
  <c r="CK95" i="6"/>
  <c r="O96" i="6"/>
  <c r="CD97" i="6"/>
  <c r="CK97" i="6"/>
  <c r="CR97" i="6"/>
  <c r="BY101" i="6"/>
  <c r="BZ101" i="6" s="1"/>
  <c r="CA101" i="6" s="1"/>
  <c r="BX101" i="6"/>
  <c r="D96" i="6"/>
  <c r="CD96" i="6"/>
  <c r="BZ96" i="6"/>
  <c r="CA96" i="6" s="1"/>
  <c r="CK96" i="6"/>
  <c r="CB96" i="6"/>
  <c r="CC96" i="6" s="1"/>
  <c r="CR96" i="6"/>
  <c r="BW97" i="6"/>
  <c r="BY100" i="6"/>
  <c r="BZ100" i="6" s="1"/>
  <c r="CA100" i="6" s="1"/>
  <c r="BX100" i="6"/>
  <c r="O98" i="6"/>
  <c r="D99" i="6"/>
  <c r="O100" i="6"/>
  <c r="O101" i="6"/>
  <c r="O99" i="6"/>
  <c r="BY99" i="6"/>
  <c r="CB99" i="6" s="1"/>
  <c r="CC99" i="6" s="1"/>
  <c r="BX99" i="6"/>
  <c r="CR99" i="6"/>
  <c r="M100" i="6"/>
  <c r="CR100" i="6"/>
  <c r="M101" i="6"/>
  <c r="CR101" i="6"/>
  <c r="CK99" i="6"/>
  <c r="CK100" i="6"/>
  <c r="CK101" i="6"/>
  <c r="CD99" i="6"/>
  <c r="CD100" i="6"/>
  <c r="CD101" i="6"/>
  <c r="CT67" i="6"/>
  <c r="CU67" i="6" s="1"/>
  <c r="CV67" i="6" s="1"/>
  <c r="CS67" i="6"/>
  <c r="CL51" i="6"/>
  <c r="CM51" i="6"/>
  <c r="CP51" i="6" s="1"/>
  <c r="CQ51" i="6" s="1"/>
  <c r="CE56" i="6"/>
  <c r="CF56" i="6"/>
  <c r="CG56" i="6" s="1"/>
  <c r="CH56" i="6" s="1"/>
  <c r="CR56" i="6"/>
  <c r="CT56" i="6" s="1"/>
  <c r="CW56" i="6" s="1"/>
  <c r="CX56" i="6" s="1"/>
  <c r="M57" i="6"/>
  <c r="O66" i="6"/>
  <c r="BZ66" i="6"/>
  <c r="CA66" i="6" s="1"/>
  <c r="CD66" i="6"/>
  <c r="O67" i="6"/>
  <c r="BW67" i="6"/>
  <c r="N68" i="6"/>
  <c r="BW53" i="6"/>
  <c r="BY53" i="6" s="1"/>
  <c r="CB53" i="6" s="1"/>
  <c r="CC53" i="6" s="1"/>
  <c r="BW51" i="6"/>
  <c r="BX51" i="6" s="1"/>
  <c r="O52" i="6"/>
  <c r="Q52" i="6" s="1"/>
  <c r="T52" i="6" s="1"/>
  <c r="U52" i="6" s="1"/>
  <c r="N55" i="6"/>
  <c r="BX66" i="6"/>
  <c r="CB66" i="6"/>
  <c r="CC66" i="6" s="1"/>
  <c r="CR66" i="6"/>
  <c r="CD67" i="6"/>
  <c r="M67" i="6"/>
  <c r="CL69" i="6"/>
  <c r="CM69" i="6"/>
  <c r="CP69" i="6" s="1"/>
  <c r="CQ69" i="6" s="1"/>
  <c r="CD51" i="6"/>
  <c r="CF51" i="6" s="1"/>
  <c r="CI51" i="6" s="1"/>
  <c r="CJ51" i="6" s="1"/>
  <c r="D50" i="6"/>
  <c r="BW50" i="6"/>
  <c r="BX50" i="6" s="1"/>
  <c r="CD54" i="6"/>
  <c r="CE54" i="6" s="1"/>
  <c r="CK55" i="6"/>
  <c r="D59" i="6"/>
  <c r="CK66" i="6"/>
  <c r="CD68" i="6"/>
  <c r="BW68" i="6"/>
  <c r="CR68" i="6"/>
  <c r="CD70" i="6"/>
  <c r="BZ70" i="6"/>
  <c r="CA70" i="6" s="1"/>
  <c r="CK70" i="6"/>
  <c r="CB70" i="6"/>
  <c r="CC70" i="6" s="1"/>
  <c r="CR70" i="6"/>
  <c r="BW71" i="6"/>
  <c r="O78" i="6"/>
  <c r="O69" i="6"/>
  <c r="O72" i="6"/>
  <c r="CK73" i="6"/>
  <c r="CR73" i="6"/>
  <c r="BW73" i="6"/>
  <c r="CD73" i="6"/>
  <c r="CD69" i="6"/>
  <c r="BW69" i="6"/>
  <c r="CR69" i="6"/>
  <c r="BX70" i="6"/>
  <c r="O71" i="6"/>
  <c r="BW72" i="6"/>
  <c r="CD72" i="6"/>
  <c r="CK72" i="6"/>
  <c r="O68" i="6"/>
  <c r="CK68" i="6"/>
  <c r="O70" i="6"/>
  <c r="D71" i="6"/>
  <c r="CD71" i="6"/>
  <c r="CK71" i="6"/>
  <c r="CR71" i="6"/>
  <c r="CR72" i="6"/>
  <c r="O77" i="6"/>
  <c r="O73" i="6"/>
  <c r="O74" i="6"/>
  <c r="CE74" i="6"/>
  <c r="O76" i="6"/>
  <c r="O75" i="6"/>
  <c r="CR74" i="6"/>
  <c r="BY103" i="6"/>
  <c r="BZ103" i="6" s="1"/>
  <c r="CA103" i="6" s="1"/>
  <c r="BX103" i="6"/>
  <c r="CG74" i="6"/>
  <c r="CH74" i="6" s="1"/>
  <c r="CK74" i="6"/>
  <c r="CT75" i="6"/>
  <c r="CU75" i="6" s="1"/>
  <c r="CV75" i="6" s="1"/>
  <c r="CT76" i="6"/>
  <c r="CU76" i="6" s="1"/>
  <c r="CV76" i="6" s="1"/>
  <c r="CT77" i="6"/>
  <c r="CW77" i="6" s="1"/>
  <c r="CX77" i="6" s="1"/>
  <c r="BX78" i="6"/>
  <c r="BY102" i="6"/>
  <c r="CB102" i="6" s="1"/>
  <c r="CC102" i="6" s="1"/>
  <c r="BX102" i="6"/>
  <c r="CB78" i="6"/>
  <c r="CC78" i="6" s="1"/>
  <c r="O79" i="6"/>
  <c r="O102" i="6"/>
  <c r="M76" i="6"/>
  <c r="M77" i="6"/>
  <c r="CK78" i="6"/>
  <c r="M78" i="6"/>
  <c r="BZ78" i="6"/>
  <c r="CA78" i="6" s="1"/>
  <c r="O103" i="6"/>
  <c r="BY79" i="6"/>
  <c r="BZ79" i="6" s="1"/>
  <c r="CA79" i="6" s="1"/>
  <c r="BX79" i="6"/>
  <c r="M79" i="6"/>
  <c r="CR79" i="6"/>
  <c r="M102" i="6"/>
  <c r="CR102" i="6"/>
  <c r="M103" i="6"/>
  <c r="CR103" i="6"/>
  <c r="CK79" i="6"/>
  <c r="CK102" i="6"/>
  <c r="CK103" i="6"/>
  <c r="CD79" i="6"/>
  <c r="CD102" i="6"/>
  <c r="CD103" i="6"/>
  <c r="CS50" i="6"/>
  <c r="CT50" i="6"/>
  <c r="CU50" i="6" s="1"/>
  <c r="CV50" i="6" s="1"/>
  <c r="N50" i="6"/>
  <c r="N51" i="6"/>
  <c r="CU52" i="6"/>
  <c r="CV52" i="6" s="1"/>
  <c r="CW52" i="6"/>
  <c r="CX52" i="6" s="1"/>
  <c r="CS52" i="6"/>
  <c r="CU54" i="6"/>
  <c r="CV54" i="6" s="1"/>
  <c r="CW54" i="6"/>
  <c r="CX54" i="6" s="1"/>
  <c r="CU55" i="6"/>
  <c r="CV55" i="6" s="1"/>
  <c r="L55" i="6"/>
  <c r="M56" i="6"/>
  <c r="O56" i="6"/>
  <c r="N56" i="6"/>
  <c r="CR51" i="6"/>
  <c r="CF53" i="6"/>
  <c r="CI53" i="6" s="1"/>
  <c r="CJ53" i="6" s="1"/>
  <c r="CE53" i="6"/>
  <c r="CW55" i="6"/>
  <c r="CX55" i="6" s="1"/>
  <c r="BY59" i="6"/>
  <c r="BZ59" i="6" s="1"/>
  <c r="CA59" i="6" s="1"/>
  <c r="BX59" i="6"/>
  <c r="CR53" i="6"/>
  <c r="M53" i="6"/>
  <c r="CK53" i="6"/>
  <c r="N54" i="6"/>
  <c r="CS55" i="6"/>
  <c r="O57" i="6"/>
  <c r="O58" i="6"/>
  <c r="BY58" i="6"/>
  <c r="CB58" i="6" s="1"/>
  <c r="CC58" i="6" s="1"/>
  <c r="BX58" i="6"/>
  <c r="O54" i="6"/>
  <c r="CD57" i="6"/>
  <c r="CK57" i="6"/>
  <c r="CR57" i="6"/>
  <c r="BW57" i="6"/>
  <c r="O59" i="6"/>
  <c r="CK56" i="6"/>
  <c r="CR58" i="6"/>
  <c r="M59" i="6"/>
  <c r="CR59" i="6"/>
  <c r="CK58" i="6"/>
  <c r="CK59" i="6"/>
  <c r="CD58" i="6"/>
  <c r="CD59" i="6"/>
  <c r="E11" i="7"/>
  <c r="E14" i="7"/>
  <c r="E13" i="7"/>
  <c r="E15" i="7"/>
  <c r="E12" i="7"/>
  <c r="B16" i="7"/>
  <c r="D16" i="7"/>
  <c r="C16" i="7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AB3" i="2"/>
  <c r="J111" i="6"/>
  <c r="J110" i="6"/>
  <c r="J109" i="6"/>
  <c r="J108" i="6"/>
  <c r="Y108" i="6" s="1"/>
  <c r="J107" i="6"/>
  <c r="J106" i="6"/>
  <c r="J105" i="6"/>
  <c r="Y105" i="6" s="1"/>
  <c r="J104" i="6"/>
  <c r="BC104" i="6" s="1"/>
  <c r="J65" i="6"/>
  <c r="J64" i="6"/>
  <c r="AI64" i="6" s="1"/>
  <c r="J63" i="6"/>
  <c r="BC63" i="6" s="1"/>
  <c r="J62" i="6"/>
  <c r="J61" i="6"/>
  <c r="J60" i="6"/>
  <c r="AI60" i="6" s="1"/>
  <c r="B210" i="11"/>
  <c r="B209" i="11"/>
  <c r="B208" i="11"/>
  <c r="B206" i="11"/>
  <c r="B205" i="11"/>
  <c r="B204" i="11"/>
  <c r="B203" i="11"/>
  <c r="B202" i="11"/>
  <c r="B201" i="11"/>
  <c r="B200" i="11"/>
  <c r="B199" i="11"/>
  <c r="B198" i="11"/>
  <c r="B197" i="11"/>
  <c r="B196" i="11"/>
  <c r="B195" i="11"/>
  <c r="B194" i="11"/>
  <c r="B193" i="11"/>
  <c r="B192" i="11"/>
  <c r="B229" i="11"/>
  <c r="B228" i="11"/>
  <c r="B227" i="11"/>
  <c r="B225" i="11"/>
  <c r="B224" i="11"/>
  <c r="B223" i="11"/>
  <c r="B222" i="11"/>
  <c r="B221" i="11"/>
  <c r="B220" i="11"/>
  <c r="B219" i="11"/>
  <c r="B218" i="11"/>
  <c r="B217" i="11"/>
  <c r="B216" i="11"/>
  <c r="B215" i="11"/>
  <c r="B214" i="11"/>
  <c r="B213" i="11"/>
  <c r="B212" i="11"/>
  <c r="B211" i="11"/>
  <c r="B191" i="11"/>
  <c r="B190" i="11"/>
  <c r="B189" i="11"/>
  <c r="B187" i="11"/>
  <c r="B186" i="11"/>
  <c r="B185" i="11"/>
  <c r="B184" i="11"/>
  <c r="B183" i="11"/>
  <c r="B182" i="11"/>
  <c r="B181" i="11"/>
  <c r="B180" i="11"/>
  <c r="B179" i="11"/>
  <c r="B178" i="11"/>
  <c r="B177" i="11"/>
  <c r="B176" i="11"/>
  <c r="B175" i="11"/>
  <c r="B174" i="11"/>
  <c r="B173" i="11"/>
  <c r="B39" i="11"/>
  <c r="B38" i="11"/>
  <c r="B37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58" i="11"/>
  <c r="B57" i="11"/>
  <c r="B56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20" i="11"/>
  <c r="B19" i="11"/>
  <c r="B18" i="11"/>
  <c r="B16" i="11"/>
  <c r="B15" i="11"/>
  <c r="B14" i="11"/>
  <c r="B13" i="11"/>
  <c r="B12" i="11"/>
  <c r="B11" i="11"/>
  <c r="B10" i="11"/>
  <c r="B9" i="11"/>
  <c r="B8" i="11"/>
  <c r="B7" i="11"/>
  <c r="B6" i="11"/>
  <c r="B5" i="11"/>
  <c r="B4" i="11"/>
  <c r="B3" i="11"/>
  <c r="B2" i="11"/>
  <c r="B96" i="11"/>
  <c r="B95" i="11"/>
  <c r="B94" i="11"/>
  <c r="B92" i="11"/>
  <c r="B91" i="11"/>
  <c r="B90" i="11"/>
  <c r="B89" i="11"/>
  <c r="B88" i="11"/>
  <c r="B87" i="11"/>
  <c r="B86" i="11"/>
  <c r="B85" i="11"/>
  <c r="B84" i="11"/>
  <c r="B83" i="11"/>
  <c r="B82" i="11"/>
  <c r="B81" i="11"/>
  <c r="B80" i="11"/>
  <c r="B79" i="11"/>
  <c r="B78" i="11"/>
  <c r="B115" i="11"/>
  <c r="B114" i="11"/>
  <c r="B113" i="11"/>
  <c r="B111" i="11"/>
  <c r="B110" i="11"/>
  <c r="B109" i="11"/>
  <c r="B108" i="11"/>
  <c r="B107" i="11"/>
  <c r="B106" i="11"/>
  <c r="B105" i="11"/>
  <c r="B104" i="11"/>
  <c r="B103" i="11"/>
  <c r="B102" i="11"/>
  <c r="B101" i="11"/>
  <c r="B100" i="11"/>
  <c r="B99" i="11"/>
  <c r="B98" i="11"/>
  <c r="B97" i="11"/>
  <c r="B77" i="11"/>
  <c r="B76" i="11"/>
  <c r="B75" i="11"/>
  <c r="B73" i="11"/>
  <c r="B72" i="11"/>
  <c r="B71" i="11"/>
  <c r="B70" i="11"/>
  <c r="B69" i="11"/>
  <c r="B68" i="11"/>
  <c r="B67" i="11"/>
  <c r="B66" i="11"/>
  <c r="B65" i="11"/>
  <c r="B64" i="11"/>
  <c r="B63" i="11"/>
  <c r="B62" i="11"/>
  <c r="B61" i="11"/>
  <c r="B60" i="11"/>
  <c r="B59" i="11"/>
  <c r="B324" i="11"/>
  <c r="B323" i="11"/>
  <c r="B322" i="11"/>
  <c r="B320" i="11"/>
  <c r="B319" i="11"/>
  <c r="B318" i="11"/>
  <c r="B317" i="11"/>
  <c r="B316" i="11"/>
  <c r="B315" i="11"/>
  <c r="B314" i="11"/>
  <c r="B313" i="11"/>
  <c r="B312" i="11"/>
  <c r="B311" i="11"/>
  <c r="B310" i="11"/>
  <c r="B309" i="11"/>
  <c r="B308" i="11"/>
  <c r="B307" i="11"/>
  <c r="B306" i="11"/>
  <c r="B343" i="11"/>
  <c r="B342" i="11"/>
  <c r="B341" i="11"/>
  <c r="B339" i="11"/>
  <c r="B338" i="11"/>
  <c r="B337" i="11"/>
  <c r="B336" i="11"/>
  <c r="B335" i="11"/>
  <c r="B334" i="11"/>
  <c r="B333" i="11"/>
  <c r="B332" i="11"/>
  <c r="B331" i="11"/>
  <c r="B330" i="11"/>
  <c r="B329" i="11"/>
  <c r="B328" i="11"/>
  <c r="B327" i="11"/>
  <c r="B326" i="11"/>
  <c r="B325" i="11"/>
  <c r="B305" i="11"/>
  <c r="B304" i="11"/>
  <c r="B303" i="11"/>
  <c r="B301" i="11"/>
  <c r="B300" i="11"/>
  <c r="B299" i="11"/>
  <c r="B298" i="11"/>
  <c r="B297" i="11"/>
  <c r="B296" i="11"/>
  <c r="B295" i="11"/>
  <c r="B294" i="11"/>
  <c r="B293" i="11"/>
  <c r="B292" i="11"/>
  <c r="B291" i="11"/>
  <c r="B290" i="11"/>
  <c r="B289" i="11"/>
  <c r="B288" i="11"/>
  <c r="B287" i="11"/>
  <c r="B267" i="11"/>
  <c r="B266" i="11"/>
  <c r="B265" i="11"/>
  <c r="B263" i="11"/>
  <c r="B262" i="11"/>
  <c r="B261" i="11"/>
  <c r="B260" i="11"/>
  <c r="B259" i="11"/>
  <c r="B258" i="11"/>
  <c r="B257" i="11"/>
  <c r="B256" i="11"/>
  <c r="B255" i="11"/>
  <c r="B254" i="11"/>
  <c r="B253" i="11"/>
  <c r="B252" i="11"/>
  <c r="B251" i="11"/>
  <c r="B250" i="11"/>
  <c r="B249" i="11"/>
  <c r="B286" i="11"/>
  <c r="B285" i="11"/>
  <c r="B284" i="11"/>
  <c r="B282" i="11"/>
  <c r="B281" i="11"/>
  <c r="B280" i="11"/>
  <c r="B279" i="11"/>
  <c r="B278" i="11"/>
  <c r="B277" i="11"/>
  <c r="B276" i="11"/>
  <c r="B275" i="11"/>
  <c r="B274" i="11"/>
  <c r="B273" i="11"/>
  <c r="B272" i="11"/>
  <c r="B271" i="11"/>
  <c r="B270" i="11"/>
  <c r="B269" i="11"/>
  <c r="B268" i="11"/>
  <c r="B248" i="11"/>
  <c r="B247" i="11"/>
  <c r="B246" i="11"/>
  <c r="B244" i="11"/>
  <c r="B243" i="11"/>
  <c r="B242" i="11"/>
  <c r="B241" i="11"/>
  <c r="B240" i="11"/>
  <c r="B239" i="11"/>
  <c r="B238" i="11"/>
  <c r="B237" i="11"/>
  <c r="B236" i="11"/>
  <c r="B235" i="11"/>
  <c r="B234" i="11"/>
  <c r="B233" i="11"/>
  <c r="B232" i="11"/>
  <c r="B231" i="11"/>
  <c r="B230" i="11"/>
  <c r="B153" i="11"/>
  <c r="B152" i="11"/>
  <c r="B151" i="11"/>
  <c r="B149" i="11"/>
  <c r="B148" i="11"/>
  <c r="B147" i="11"/>
  <c r="B146" i="11"/>
  <c r="B145" i="11"/>
  <c r="B144" i="11"/>
  <c r="B143" i="11"/>
  <c r="B142" i="11"/>
  <c r="B141" i="11"/>
  <c r="B140" i="11"/>
  <c r="B139" i="11"/>
  <c r="B138" i="11"/>
  <c r="B137" i="11"/>
  <c r="B136" i="11"/>
  <c r="B135" i="11"/>
  <c r="B172" i="11"/>
  <c r="B171" i="11"/>
  <c r="B170" i="11"/>
  <c r="B168" i="11"/>
  <c r="B167" i="11"/>
  <c r="B166" i="11"/>
  <c r="B165" i="11"/>
  <c r="B164" i="11"/>
  <c r="B163" i="11"/>
  <c r="B162" i="11"/>
  <c r="B161" i="11"/>
  <c r="B160" i="11"/>
  <c r="B159" i="11"/>
  <c r="B158" i="11"/>
  <c r="B157" i="11"/>
  <c r="B156" i="11"/>
  <c r="B155" i="11"/>
  <c r="B154" i="11"/>
  <c r="B134" i="11"/>
  <c r="B133" i="11"/>
  <c r="B132" i="11"/>
  <c r="B130" i="11"/>
  <c r="B129" i="11"/>
  <c r="B128" i="11"/>
  <c r="B127" i="11"/>
  <c r="B126" i="11"/>
  <c r="B125" i="11"/>
  <c r="B124" i="11"/>
  <c r="B123" i="11"/>
  <c r="B122" i="11"/>
  <c r="B121" i="11"/>
  <c r="B120" i="11"/>
  <c r="B119" i="11"/>
  <c r="B118" i="11"/>
  <c r="B117" i="11"/>
  <c r="U3" i="2"/>
  <c r="Y3" i="2" s="1"/>
  <c r="AA49" i="13"/>
  <c r="Z49" i="13"/>
  <c r="X49" i="13"/>
  <c r="W49" i="13"/>
  <c r="AA48" i="13"/>
  <c r="Z48" i="13"/>
  <c r="X48" i="13"/>
  <c r="W48" i="13"/>
  <c r="AA47" i="13"/>
  <c r="Z47" i="13"/>
  <c r="X47" i="13"/>
  <c r="W47" i="13"/>
  <c r="AA46" i="13"/>
  <c r="Z46" i="13"/>
  <c r="X46" i="13"/>
  <c r="W46" i="13"/>
  <c r="AA45" i="13"/>
  <c r="Z45" i="13"/>
  <c r="X45" i="13"/>
  <c r="W45" i="13"/>
  <c r="AA44" i="13"/>
  <c r="Z44" i="13"/>
  <c r="X44" i="13"/>
  <c r="W44" i="13"/>
  <c r="AA43" i="13"/>
  <c r="Z43" i="13"/>
  <c r="X43" i="13"/>
  <c r="W43" i="13"/>
  <c r="AA42" i="13"/>
  <c r="Z42" i="13"/>
  <c r="X42" i="13"/>
  <c r="W42" i="13"/>
  <c r="AA41" i="13"/>
  <c r="Z41" i="13"/>
  <c r="X41" i="13"/>
  <c r="W41" i="13"/>
  <c r="AA40" i="13"/>
  <c r="Z40" i="13"/>
  <c r="X40" i="13"/>
  <c r="W40" i="13"/>
  <c r="AA39" i="13"/>
  <c r="Z39" i="13"/>
  <c r="X39" i="13"/>
  <c r="W39" i="13"/>
  <c r="AA38" i="13"/>
  <c r="Z38" i="13"/>
  <c r="X38" i="13"/>
  <c r="W38" i="13"/>
  <c r="AA37" i="13"/>
  <c r="Z37" i="13"/>
  <c r="X37" i="13"/>
  <c r="W37" i="13"/>
  <c r="AA36" i="13"/>
  <c r="Z36" i="13"/>
  <c r="X36" i="13"/>
  <c r="W36" i="13"/>
  <c r="AA35" i="13"/>
  <c r="Z35" i="13"/>
  <c r="X35" i="13"/>
  <c r="W35" i="13"/>
  <c r="AA34" i="13"/>
  <c r="Z34" i="13"/>
  <c r="X34" i="13"/>
  <c r="W34" i="13"/>
  <c r="AA33" i="13"/>
  <c r="Z33" i="13"/>
  <c r="X33" i="13"/>
  <c r="W33" i="13"/>
  <c r="AA32" i="13"/>
  <c r="Z32" i="13"/>
  <c r="X32" i="13"/>
  <c r="W32" i="13"/>
  <c r="AA31" i="13"/>
  <c r="Z31" i="13"/>
  <c r="X31" i="13"/>
  <c r="W31" i="13"/>
  <c r="AA30" i="13"/>
  <c r="Z30" i="13"/>
  <c r="X30" i="13"/>
  <c r="W30" i="13"/>
  <c r="AA29" i="13"/>
  <c r="Z29" i="13"/>
  <c r="X29" i="13"/>
  <c r="W29" i="13"/>
  <c r="AA28" i="13"/>
  <c r="Z28" i="13"/>
  <c r="X28" i="13"/>
  <c r="W28" i="13"/>
  <c r="AA27" i="13"/>
  <c r="Z27" i="13"/>
  <c r="X27" i="13"/>
  <c r="W27" i="13"/>
  <c r="AA26" i="13"/>
  <c r="Z26" i="13"/>
  <c r="X26" i="13"/>
  <c r="W26" i="13"/>
  <c r="X22" i="13"/>
  <c r="W22" i="13"/>
  <c r="X21" i="13"/>
  <c r="W21" i="13"/>
  <c r="X20" i="13"/>
  <c r="W20" i="13"/>
  <c r="AA19" i="13"/>
  <c r="Z19" i="13"/>
  <c r="AA18" i="13"/>
  <c r="Z18" i="13"/>
  <c r="AA17" i="13"/>
  <c r="Z17" i="13"/>
  <c r="X17" i="13"/>
  <c r="W17" i="13"/>
  <c r="AA16" i="13"/>
  <c r="Z16" i="13"/>
  <c r="X16" i="13"/>
  <c r="W16" i="13"/>
  <c r="AA15" i="13"/>
  <c r="Z15" i="13"/>
  <c r="X15" i="13"/>
  <c r="W15" i="13"/>
  <c r="AA14" i="13"/>
  <c r="Z14" i="13"/>
  <c r="X14" i="13"/>
  <c r="W14" i="13"/>
  <c r="AA13" i="13"/>
  <c r="Z13" i="13"/>
  <c r="X13" i="13"/>
  <c r="W13" i="13"/>
  <c r="AA12" i="13"/>
  <c r="Z12" i="13"/>
  <c r="X12" i="13"/>
  <c r="W12" i="13"/>
  <c r="AA11" i="13"/>
  <c r="Z11" i="13"/>
  <c r="X11" i="13"/>
  <c r="W11" i="13"/>
  <c r="AA10" i="13"/>
  <c r="Z10" i="13"/>
  <c r="X10" i="13"/>
  <c r="W10" i="13"/>
  <c r="AA9" i="13"/>
  <c r="Z9" i="13"/>
  <c r="X9" i="13"/>
  <c r="W9" i="13"/>
  <c r="AA8" i="13"/>
  <c r="Z8" i="13"/>
  <c r="X8" i="13"/>
  <c r="W8" i="13"/>
  <c r="AA7" i="13"/>
  <c r="Z7" i="13"/>
  <c r="X7" i="13"/>
  <c r="W7" i="13"/>
  <c r="AA6" i="13"/>
  <c r="Z6" i="13"/>
  <c r="X6" i="13"/>
  <c r="W6" i="13"/>
  <c r="AA5" i="13"/>
  <c r="Z5" i="13"/>
  <c r="X5" i="13"/>
  <c r="W5" i="13"/>
  <c r="AA4" i="13"/>
  <c r="Z4" i="13"/>
  <c r="X4" i="13"/>
  <c r="W4" i="13"/>
  <c r="AA3" i="13"/>
  <c r="Z3" i="13"/>
  <c r="X3" i="13"/>
  <c r="W3" i="13"/>
  <c r="Z2" i="13"/>
  <c r="W2" i="13"/>
  <c r="AA2" i="13"/>
  <c r="X2" i="13"/>
  <c r="B116" i="11"/>
  <c r="W67" i="6" l="1"/>
  <c r="W68" i="6"/>
  <c r="Z67" i="6"/>
  <c r="BX77" i="6"/>
  <c r="W92" i="6"/>
  <c r="AA59" i="6"/>
  <c r="Z59" i="6"/>
  <c r="CF76" i="6"/>
  <c r="CE76" i="6"/>
  <c r="Z71" i="6"/>
  <c r="X56" i="6"/>
  <c r="W56" i="6"/>
  <c r="X83" i="6"/>
  <c r="W83" i="6"/>
  <c r="W80" i="6"/>
  <c r="Z95" i="6"/>
  <c r="W59" i="6"/>
  <c r="Z87" i="6"/>
  <c r="W95" i="6"/>
  <c r="W84" i="6"/>
  <c r="CE75" i="6"/>
  <c r="W96" i="6"/>
  <c r="W76" i="6"/>
  <c r="CE55" i="6"/>
  <c r="CT78" i="6"/>
  <c r="CU78" i="6" s="1"/>
  <c r="CV78" i="6" s="1"/>
  <c r="CP52" i="6"/>
  <c r="CQ52" i="6" s="1"/>
  <c r="Z79" i="6"/>
  <c r="W79" i="6"/>
  <c r="W55" i="6"/>
  <c r="W88" i="6"/>
  <c r="W72" i="6"/>
  <c r="CL85" i="6"/>
  <c r="Z103" i="6"/>
  <c r="Z75" i="6"/>
  <c r="W99" i="6"/>
  <c r="W75" i="6"/>
  <c r="W100" i="6"/>
  <c r="BX76" i="6"/>
  <c r="Z91" i="6"/>
  <c r="Z55" i="6"/>
  <c r="Z51" i="6"/>
  <c r="W91" i="6"/>
  <c r="W52" i="6"/>
  <c r="CS56" i="6"/>
  <c r="Z99" i="6"/>
  <c r="Z83" i="6"/>
  <c r="W103" i="6"/>
  <c r="W87" i="6"/>
  <c r="W71" i="6"/>
  <c r="W51" i="6"/>
  <c r="AA108" i="6"/>
  <c r="Z108" i="6"/>
  <c r="Z105" i="6"/>
  <c r="AA105" i="6"/>
  <c r="BM62" i="6"/>
  <c r="AI62" i="6"/>
  <c r="BC62" i="6"/>
  <c r="V62" i="6"/>
  <c r="AS62" i="6"/>
  <c r="BM108" i="6"/>
  <c r="AS108" i="6"/>
  <c r="X97" i="6"/>
  <c r="W97" i="6"/>
  <c r="AA70" i="6"/>
  <c r="Z70" i="6"/>
  <c r="V104" i="6"/>
  <c r="AA92" i="6"/>
  <c r="Z92" i="6"/>
  <c r="AA68" i="6"/>
  <c r="Z68" i="6"/>
  <c r="BC64" i="6"/>
  <c r="AS60" i="6"/>
  <c r="Z52" i="6"/>
  <c r="AA52" i="6"/>
  <c r="Y63" i="6"/>
  <c r="AI63" i="6"/>
  <c r="AS63" i="6"/>
  <c r="V63" i="6"/>
  <c r="BC105" i="6"/>
  <c r="AI105" i="6"/>
  <c r="BM105" i="6"/>
  <c r="V105" i="6"/>
  <c r="AS105" i="6"/>
  <c r="BM109" i="6"/>
  <c r="AS109" i="6"/>
  <c r="BC109" i="6"/>
  <c r="Y109" i="6"/>
  <c r="BC108" i="6"/>
  <c r="V60" i="6"/>
  <c r="Z94" i="6"/>
  <c r="AA94" i="6"/>
  <c r="Y62" i="6"/>
  <c r="AI108" i="6"/>
  <c r="Y104" i="6"/>
  <c r="AA88" i="6"/>
  <c r="Z88" i="6"/>
  <c r="AA80" i="6"/>
  <c r="Z80" i="6"/>
  <c r="AA76" i="6"/>
  <c r="Z76" i="6"/>
  <c r="BM64" i="6"/>
  <c r="V64" i="6"/>
  <c r="BC60" i="6"/>
  <c r="V106" i="6"/>
  <c r="BC106" i="6"/>
  <c r="BM106" i="6"/>
  <c r="AI106" i="6"/>
  <c r="Y106" i="6"/>
  <c r="AS106" i="6"/>
  <c r="V110" i="6"/>
  <c r="BM110" i="6"/>
  <c r="AS110" i="6"/>
  <c r="AI110" i="6"/>
  <c r="Y110" i="6"/>
  <c r="BC110" i="6"/>
  <c r="AI109" i="6"/>
  <c r="V108" i="6"/>
  <c r="AA86" i="6"/>
  <c r="Z86" i="6"/>
  <c r="AA54" i="6"/>
  <c r="Z54" i="6"/>
  <c r="BM104" i="6"/>
  <c r="AS104" i="6"/>
  <c r="AA100" i="6"/>
  <c r="Z100" i="6"/>
  <c r="Y64" i="6"/>
  <c r="Y60" i="6"/>
  <c r="Z56" i="6"/>
  <c r="AA56" i="6"/>
  <c r="BM61" i="6"/>
  <c r="AS61" i="6"/>
  <c r="Y61" i="6"/>
  <c r="BC61" i="6"/>
  <c r="AI61" i="6"/>
  <c r="V61" i="6"/>
  <c r="AS65" i="6"/>
  <c r="Y65" i="6"/>
  <c r="V65" i="6"/>
  <c r="BC65" i="6"/>
  <c r="BM65" i="6"/>
  <c r="AI65" i="6"/>
  <c r="AS107" i="6"/>
  <c r="BC107" i="6"/>
  <c r="AI107" i="6"/>
  <c r="V107" i="6"/>
  <c r="Y107" i="6"/>
  <c r="BM107" i="6"/>
  <c r="BM111" i="6"/>
  <c r="Y111" i="6"/>
  <c r="BC111" i="6"/>
  <c r="AI111" i="6"/>
  <c r="AS111" i="6"/>
  <c r="V111" i="6"/>
  <c r="V109" i="6"/>
  <c r="BM63" i="6"/>
  <c r="Z78" i="6"/>
  <c r="AA78" i="6"/>
  <c r="AI104" i="6"/>
  <c r="AA96" i="6"/>
  <c r="Z96" i="6"/>
  <c r="AA84" i="6"/>
  <c r="Z84" i="6"/>
  <c r="AA72" i="6"/>
  <c r="Z72" i="6"/>
  <c r="AS64" i="6"/>
  <c r="BM60" i="6"/>
  <c r="AA101" i="6"/>
  <c r="Z101" i="6"/>
  <c r="Z74" i="6"/>
  <c r="AA74" i="6"/>
  <c r="AA102" i="6"/>
  <c r="Z102" i="6"/>
  <c r="X93" i="6"/>
  <c r="W93" i="6"/>
  <c r="X81" i="6"/>
  <c r="W81" i="6"/>
  <c r="X77" i="6"/>
  <c r="W77" i="6"/>
  <c r="W78" i="6"/>
  <c r="X78" i="6"/>
  <c r="AA66" i="6"/>
  <c r="Z66" i="6"/>
  <c r="W102" i="6"/>
  <c r="X102" i="6"/>
  <c r="W90" i="6"/>
  <c r="X90" i="6"/>
  <c r="W86" i="6"/>
  <c r="X86" i="6"/>
  <c r="W82" i="6"/>
  <c r="X82" i="6"/>
  <c r="AA97" i="6"/>
  <c r="Z97" i="6"/>
  <c r="AA85" i="6"/>
  <c r="Z85" i="6"/>
  <c r="AA81" i="6"/>
  <c r="Z81" i="6"/>
  <c r="AA69" i="6"/>
  <c r="Z69" i="6"/>
  <c r="AA53" i="6"/>
  <c r="Z53" i="6"/>
  <c r="AA90" i="6"/>
  <c r="Z90" i="6"/>
  <c r="AA58" i="6"/>
  <c r="Z58" i="6"/>
  <c r="W98" i="6"/>
  <c r="X98" i="6"/>
  <c r="W74" i="6"/>
  <c r="X74" i="6"/>
  <c r="W54" i="6"/>
  <c r="X54" i="6"/>
  <c r="W50" i="6"/>
  <c r="X50" i="6"/>
  <c r="AA93" i="6"/>
  <c r="Z93" i="6"/>
  <c r="W89" i="6"/>
  <c r="X89" i="6"/>
  <c r="AA77" i="6"/>
  <c r="Z77" i="6"/>
  <c r="W73" i="6"/>
  <c r="X73" i="6"/>
  <c r="W57" i="6"/>
  <c r="X57" i="6"/>
  <c r="AA82" i="6"/>
  <c r="Z82" i="6"/>
  <c r="AA50" i="6"/>
  <c r="Z50" i="6"/>
  <c r="AA98" i="6"/>
  <c r="Z98" i="6"/>
  <c r="W94" i="6"/>
  <c r="X94" i="6"/>
  <c r="W70" i="6"/>
  <c r="X70" i="6"/>
  <c r="W66" i="6"/>
  <c r="X66" i="6"/>
  <c r="W58" i="6"/>
  <c r="X58" i="6"/>
  <c r="X101" i="6"/>
  <c r="W101" i="6"/>
  <c r="Z89" i="6"/>
  <c r="AA89" i="6"/>
  <c r="W85" i="6"/>
  <c r="X85" i="6"/>
  <c r="AA73" i="6"/>
  <c r="Z73" i="6"/>
  <c r="X69" i="6"/>
  <c r="W69" i="6"/>
  <c r="AA57" i="6"/>
  <c r="Z57" i="6"/>
  <c r="W53" i="6"/>
  <c r="X53" i="6"/>
  <c r="M198" i="13"/>
  <c r="M194" i="13"/>
  <c r="M190" i="13"/>
  <c r="M186" i="13"/>
  <c r="M182" i="13"/>
  <c r="M178" i="13"/>
  <c r="M174" i="13"/>
  <c r="M170" i="13"/>
  <c r="M166" i="13"/>
  <c r="M162" i="13"/>
  <c r="M158" i="13"/>
  <c r="M154" i="13"/>
  <c r="M150" i="13"/>
  <c r="M146" i="13"/>
  <c r="M142" i="13"/>
  <c r="M138" i="13"/>
  <c r="M134" i="13"/>
  <c r="M130" i="13"/>
  <c r="M126" i="13"/>
  <c r="M122" i="13"/>
  <c r="M118" i="13"/>
  <c r="M114" i="13"/>
  <c r="M110" i="13"/>
  <c r="M106" i="13"/>
  <c r="M102" i="13"/>
  <c r="M98" i="13"/>
  <c r="M94" i="13"/>
  <c r="M90" i="13"/>
  <c r="M86" i="13"/>
  <c r="M82" i="13"/>
  <c r="M78" i="13"/>
  <c r="M74" i="13"/>
  <c r="M70" i="13"/>
  <c r="M66" i="13"/>
  <c r="M62" i="13"/>
  <c r="M58" i="13"/>
  <c r="M54" i="13"/>
  <c r="M50" i="13"/>
  <c r="M197" i="13"/>
  <c r="M193" i="13"/>
  <c r="M189" i="13"/>
  <c r="M185" i="13"/>
  <c r="M181" i="13"/>
  <c r="M177" i="13"/>
  <c r="M173" i="13"/>
  <c r="M169" i="13"/>
  <c r="M165" i="13"/>
  <c r="M161" i="13"/>
  <c r="M157" i="13"/>
  <c r="M153" i="13"/>
  <c r="M149" i="13"/>
  <c r="M145" i="13"/>
  <c r="M141" i="13"/>
  <c r="M137" i="13"/>
  <c r="M133" i="13"/>
  <c r="M129" i="13"/>
  <c r="M125" i="13"/>
  <c r="M121" i="13"/>
  <c r="M117" i="13"/>
  <c r="M113" i="13"/>
  <c r="M109" i="13"/>
  <c r="M105" i="13"/>
  <c r="M101" i="13"/>
  <c r="M97" i="13"/>
  <c r="M93" i="13"/>
  <c r="M89" i="13"/>
  <c r="M85" i="13"/>
  <c r="M81" i="13"/>
  <c r="M77" i="13"/>
  <c r="M73" i="13"/>
  <c r="M69" i="13"/>
  <c r="M65" i="13"/>
  <c r="M61" i="13"/>
  <c r="M57" i="13"/>
  <c r="M53" i="13"/>
  <c r="M195" i="13"/>
  <c r="M191" i="13"/>
  <c r="M183" i="13"/>
  <c r="M179" i="13"/>
  <c r="M171" i="13"/>
  <c r="M167" i="13"/>
  <c r="M159" i="13"/>
  <c r="M151" i="13"/>
  <c r="M147" i="13"/>
  <c r="M139" i="13"/>
  <c r="M131" i="13"/>
  <c r="M123" i="13"/>
  <c r="M200" i="13"/>
  <c r="M196" i="13"/>
  <c r="M192" i="13"/>
  <c r="M188" i="13"/>
  <c r="M184" i="13"/>
  <c r="M180" i="13"/>
  <c r="M176" i="13"/>
  <c r="M172" i="13"/>
  <c r="M168" i="13"/>
  <c r="M164" i="13"/>
  <c r="M160" i="13"/>
  <c r="M156" i="13"/>
  <c r="M152" i="13"/>
  <c r="M148" i="13"/>
  <c r="M144" i="13"/>
  <c r="M140" i="13"/>
  <c r="M136" i="13"/>
  <c r="M132" i="13"/>
  <c r="M128" i="13"/>
  <c r="M124" i="13"/>
  <c r="M120" i="13"/>
  <c r="M116" i="13"/>
  <c r="M112" i="13"/>
  <c r="M108" i="13"/>
  <c r="M104" i="13"/>
  <c r="M100" i="13"/>
  <c r="M96" i="13"/>
  <c r="M92" i="13"/>
  <c r="M88" i="13"/>
  <c r="M84" i="13"/>
  <c r="M80" i="13"/>
  <c r="M76" i="13"/>
  <c r="M72" i="13"/>
  <c r="M68" i="13"/>
  <c r="M64" i="13"/>
  <c r="M60" i="13"/>
  <c r="M56" i="13"/>
  <c r="M52" i="13"/>
  <c r="M199" i="13"/>
  <c r="M187" i="13"/>
  <c r="M175" i="13"/>
  <c r="M163" i="13"/>
  <c r="M155" i="13"/>
  <c r="M143" i="13"/>
  <c r="M135" i="13"/>
  <c r="M127" i="13"/>
  <c r="M119" i="13"/>
  <c r="M111" i="13"/>
  <c r="M95" i="13"/>
  <c r="M79" i="13"/>
  <c r="M63" i="13"/>
  <c r="M107" i="13"/>
  <c r="M91" i="13"/>
  <c r="M75" i="13"/>
  <c r="M59" i="13"/>
  <c r="M103" i="13"/>
  <c r="M87" i="13"/>
  <c r="M71" i="13"/>
  <c r="M55" i="13"/>
  <c r="M115" i="13"/>
  <c r="M99" i="13"/>
  <c r="M83" i="13"/>
  <c r="M67" i="13"/>
  <c r="M51" i="13"/>
  <c r="R50" i="6"/>
  <c r="S50" i="6" s="1"/>
  <c r="BP50" i="6" s="1"/>
  <c r="BR50" i="6" s="1"/>
  <c r="CM87" i="6"/>
  <c r="CN87" i="6" s="1"/>
  <c r="CO87" i="6" s="1"/>
  <c r="BZ90" i="6"/>
  <c r="CA90" i="6" s="1"/>
  <c r="CE87" i="6"/>
  <c r="Q53" i="6"/>
  <c r="R53" i="6" s="1"/>
  <c r="S53" i="6" s="1"/>
  <c r="BY75" i="6"/>
  <c r="BZ75" i="6" s="1"/>
  <c r="CA75" i="6" s="1"/>
  <c r="CG75" i="6"/>
  <c r="CH75" i="6" s="1"/>
  <c r="AK99" i="6"/>
  <c r="BD97" i="6"/>
  <c r="CF78" i="6"/>
  <c r="CI78" i="6" s="1"/>
  <c r="CJ78" i="6" s="1"/>
  <c r="BY55" i="6"/>
  <c r="CB55" i="6" s="1"/>
  <c r="CC55" i="6" s="1"/>
  <c r="CL52" i="6"/>
  <c r="P50" i="6"/>
  <c r="BY50" i="6"/>
  <c r="BZ50" i="6" s="1"/>
  <c r="CA50" i="6" s="1"/>
  <c r="CB100" i="6"/>
  <c r="CC100" i="6" s="1"/>
  <c r="T82" i="6"/>
  <c r="U82" i="6" s="1"/>
  <c r="BF82" i="6" s="1"/>
  <c r="CN85" i="6"/>
  <c r="CO85" i="6" s="1"/>
  <c r="Q81" i="6"/>
  <c r="T81" i="6" s="1"/>
  <c r="U81" i="6" s="1"/>
  <c r="P52" i="6"/>
  <c r="P82" i="6"/>
  <c r="BN94" i="6"/>
  <c r="AJ96" i="6"/>
  <c r="AJ93" i="6"/>
  <c r="AK79" i="6"/>
  <c r="L61" i="6"/>
  <c r="L65" i="6"/>
  <c r="L62" i="6"/>
  <c r="L104" i="6"/>
  <c r="L108" i="6"/>
  <c r="L107" i="6"/>
  <c r="L63" i="6"/>
  <c r="L105" i="6"/>
  <c r="L109" i="6"/>
  <c r="BE76" i="6"/>
  <c r="L111" i="6"/>
  <c r="L60" i="6"/>
  <c r="L64" i="6"/>
  <c r="L106" i="6"/>
  <c r="L110" i="6"/>
  <c r="BE101" i="6"/>
  <c r="BZ58" i="6"/>
  <c r="CA58" i="6" s="1"/>
  <c r="CN69" i="6"/>
  <c r="CO69" i="6" s="1"/>
  <c r="R51" i="6"/>
  <c r="S51" i="6" s="1"/>
  <c r="BP51" i="6" s="1"/>
  <c r="BR51" i="6" s="1"/>
  <c r="AJ70" i="6"/>
  <c r="P83" i="6"/>
  <c r="BD95" i="6"/>
  <c r="CU85" i="6"/>
  <c r="CV85" i="6" s="1"/>
  <c r="CL76" i="6"/>
  <c r="AB50" i="6"/>
  <c r="AC50" i="6" s="1"/>
  <c r="CF54" i="6"/>
  <c r="CG54" i="6" s="1"/>
  <c r="CH54" i="6" s="1"/>
  <c r="CB101" i="6"/>
  <c r="CC101" i="6" s="1"/>
  <c r="CU87" i="6"/>
  <c r="CV87" i="6" s="1"/>
  <c r="BZ53" i="6"/>
  <c r="CA53" i="6" s="1"/>
  <c r="CG51" i="6"/>
  <c r="CH51" i="6" s="1"/>
  <c r="AV51" i="6"/>
  <c r="AW51" i="6" s="1"/>
  <c r="BY54" i="6"/>
  <c r="BZ54" i="6" s="1"/>
  <c r="CA54" i="6" s="1"/>
  <c r="CE86" i="6"/>
  <c r="CG86" i="6"/>
  <c r="CH86" i="6" s="1"/>
  <c r="CF85" i="6"/>
  <c r="CI85" i="6" s="1"/>
  <c r="CJ85" i="6" s="1"/>
  <c r="CL50" i="6"/>
  <c r="CU94" i="6"/>
  <c r="CV94" i="6" s="1"/>
  <c r="CN50" i="6"/>
  <c r="CO50" i="6" s="1"/>
  <c r="CI87" i="6"/>
  <c r="CJ87" i="6" s="1"/>
  <c r="CG81" i="6"/>
  <c r="CH81" i="6" s="1"/>
  <c r="BZ102" i="6"/>
  <c r="CA102" i="6" s="1"/>
  <c r="R52" i="6"/>
  <c r="S52" i="6" s="1"/>
  <c r="AB52" i="6" s="1"/>
  <c r="R83" i="6"/>
  <c r="S83" i="6" s="1"/>
  <c r="BP83" i="6" s="1"/>
  <c r="BE68" i="6"/>
  <c r="AT94" i="6"/>
  <c r="AJ90" i="6"/>
  <c r="BD59" i="6"/>
  <c r="BN84" i="6"/>
  <c r="BD103" i="6"/>
  <c r="BD74" i="6"/>
  <c r="BD73" i="6"/>
  <c r="AU68" i="6"/>
  <c r="AJ89" i="6"/>
  <c r="CI56" i="6"/>
  <c r="CJ56" i="6" s="1"/>
  <c r="CB79" i="6"/>
  <c r="CC79" i="6" s="1"/>
  <c r="CW78" i="6"/>
  <c r="CX78" i="6" s="1"/>
  <c r="BO68" i="6"/>
  <c r="AK68" i="6"/>
  <c r="BY52" i="6"/>
  <c r="BZ52" i="6" s="1"/>
  <c r="CA52" i="6" s="1"/>
  <c r="AU87" i="6"/>
  <c r="BN87" i="6"/>
  <c r="CM67" i="6"/>
  <c r="CN67" i="6" s="1"/>
  <c r="CO67" i="6" s="1"/>
  <c r="BN52" i="6"/>
  <c r="CI50" i="6"/>
  <c r="CJ50" i="6" s="1"/>
  <c r="CB103" i="6"/>
  <c r="CC103" i="6" s="1"/>
  <c r="CB77" i="6"/>
  <c r="CC77" i="6" s="1"/>
  <c r="BY74" i="6"/>
  <c r="BZ74" i="6" s="1"/>
  <c r="CA74" i="6" s="1"/>
  <c r="CM86" i="6"/>
  <c r="CP86" i="6" s="1"/>
  <c r="CQ86" i="6" s="1"/>
  <c r="CU56" i="6"/>
  <c r="CV56" i="6" s="1"/>
  <c r="CB76" i="6"/>
  <c r="CC76" i="6" s="1"/>
  <c r="P55" i="6"/>
  <c r="CE52" i="6"/>
  <c r="CE77" i="6"/>
  <c r="CW95" i="6"/>
  <c r="CX95" i="6" s="1"/>
  <c r="CN54" i="6"/>
  <c r="CO54" i="6" s="1"/>
  <c r="BX56" i="6"/>
  <c r="BX53" i="6"/>
  <c r="CN51" i="6"/>
  <c r="CO51" i="6" s="1"/>
  <c r="CE51" i="6"/>
  <c r="P51" i="6"/>
  <c r="CN76" i="6"/>
  <c r="CO76" i="6" s="1"/>
  <c r="BY95" i="6"/>
  <c r="BX95" i="6"/>
  <c r="CB59" i="6"/>
  <c r="CC59" i="6" s="1"/>
  <c r="BY51" i="6"/>
  <c r="CL54" i="6"/>
  <c r="CE50" i="6"/>
  <c r="CG77" i="6"/>
  <c r="CH77" i="6" s="1"/>
  <c r="CW67" i="6"/>
  <c r="CX67" i="6" s="1"/>
  <c r="BZ99" i="6"/>
  <c r="CA99" i="6" s="1"/>
  <c r="CL99" i="6"/>
  <c r="CM99" i="6"/>
  <c r="BN99" i="6"/>
  <c r="BO99" i="6"/>
  <c r="BN101" i="6"/>
  <c r="BO101" i="6"/>
  <c r="BN100" i="6"/>
  <c r="BO100" i="6"/>
  <c r="AU98" i="6"/>
  <c r="AT98" i="6"/>
  <c r="CT96" i="6"/>
  <c r="CS96" i="6"/>
  <c r="CL96" i="6"/>
  <c r="CM96" i="6"/>
  <c r="BO95" i="6"/>
  <c r="BN95" i="6"/>
  <c r="CT97" i="6"/>
  <c r="CS97" i="6"/>
  <c r="AT96" i="6"/>
  <c r="AU96" i="6"/>
  <c r="CF95" i="6"/>
  <c r="CE95" i="6"/>
  <c r="CE94" i="6"/>
  <c r="CF94" i="6"/>
  <c r="AK97" i="6"/>
  <c r="AJ97" i="6"/>
  <c r="AT93" i="6"/>
  <c r="AU93" i="6"/>
  <c r="AK91" i="6"/>
  <c r="AJ91" i="6"/>
  <c r="CF90" i="6"/>
  <c r="CE90" i="6"/>
  <c r="AT89" i="6"/>
  <c r="AU89" i="6"/>
  <c r="CS88" i="6"/>
  <c r="CT88" i="6"/>
  <c r="CM88" i="6"/>
  <c r="CL88" i="6"/>
  <c r="BY92" i="6"/>
  <c r="BX92" i="6"/>
  <c r="CT91" i="6"/>
  <c r="CS91" i="6"/>
  <c r="CL91" i="6"/>
  <c r="CM91" i="6"/>
  <c r="BN90" i="6"/>
  <c r="BO90" i="6"/>
  <c r="AJ86" i="6"/>
  <c r="AK86" i="6"/>
  <c r="BX85" i="6"/>
  <c r="BY85" i="6"/>
  <c r="CT92" i="6"/>
  <c r="CS92" i="6"/>
  <c r="CL92" i="6"/>
  <c r="CM92" i="6"/>
  <c r="BN91" i="6"/>
  <c r="BO91" i="6"/>
  <c r="BY93" i="6"/>
  <c r="BX93" i="6"/>
  <c r="AT92" i="6"/>
  <c r="AU92" i="6"/>
  <c r="CF89" i="6"/>
  <c r="CE89" i="6"/>
  <c r="BE88" i="6"/>
  <c r="BD88" i="6"/>
  <c r="CM83" i="6"/>
  <c r="CL83" i="6"/>
  <c r="BO81" i="6"/>
  <c r="BN81" i="6"/>
  <c r="CS83" i="6"/>
  <c r="CT83" i="6"/>
  <c r="CS81" i="6"/>
  <c r="CT81" i="6"/>
  <c r="BO86" i="6"/>
  <c r="BN86" i="6"/>
  <c r="AJ85" i="6"/>
  <c r="AK85" i="6"/>
  <c r="BD84" i="6"/>
  <c r="BE84" i="6"/>
  <c r="BY83" i="6"/>
  <c r="BX83" i="6"/>
  <c r="BY82" i="6"/>
  <c r="BX82" i="6"/>
  <c r="BY81" i="6"/>
  <c r="BX81" i="6"/>
  <c r="AU86" i="6"/>
  <c r="AT86" i="6"/>
  <c r="CF83" i="6"/>
  <c r="CE83" i="6"/>
  <c r="BO80" i="6"/>
  <c r="BN80" i="6"/>
  <c r="AK80" i="6"/>
  <c r="AJ80" i="6"/>
  <c r="CF80" i="6"/>
  <c r="CE80" i="6"/>
  <c r="Q80" i="6"/>
  <c r="P80" i="6"/>
  <c r="CF100" i="6"/>
  <c r="CE100" i="6"/>
  <c r="CL100" i="6"/>
  <c r="CM100" i="6"/>
  <c r="AT99" i="6"/>
  <c r="AU99" i="6"/>
  <c r="AT101" i="6"/>
  <c r="AU101" i="6"/>
  <c r="BE100" i="6"/>
  <c r="BD100" i="6"/>
  <c r="AT100" i="6"/>
  <c r="AU100" i="6"/>
  <c r="AU95" i="6"/>
  <c r="AT95" i="6"/>
  <c r="Q96" i="6"/>
  <c r="P96" i="6"/>
  <c r="AK95" i="6"/>
  <c r="AJ95" i="6"/>
  <c r="BN97" i="6"/>
  <c r="BO97" i="6"/>
  <c r="BY98" i="6"/>
  <c r="BX98" i="6"/>
  <c r="CM98" i="6"/>
  <c r="CL98" i="6"/>
  <c r="Q93" i="6"/>
  <c r="P93" i="6"/>
  <c r="BY91" i="6"/>
  <c r="BX91" i="6"/>
  <c r="CT90" i="6"/>
  <c r="CS90" i="6"/>
  <c r="CL90" i="6"/>
  <c r="CM90" i="6"/>
  <c r="Q89" i="6"/>
  <c r="P89" i="6"/>
  <c r="AT90" i="6"/>
  <c r="AU90" i="6"/>
  <c r="AJ87" i="6"/>
  <c r="AK87" i="6"/>
  <c r="BD86" i="6"/>
  <c r="BE86" i="6"/>
  <c r="AT91" i="6"/>
  <c r="AU91" i="6"/>
  <c r="AK88" i="6"/>
  <c r="AJ88" i="6"/>
  <c r="Q92" i="6"/>
  <c r="P92" i="6"/>
  <c r="CL89" i="6"/>
  <c r="CM89" i="6"/>
  <c r="BO85" i="6"/>
  <c r="BN85" i="6"/>
  <c r="Q85" i="6"/>
  <c r="P85" i="6"/>
  <c r="AU83" i="6"/>
  <c r="AT83" i="6"/>
  <c r="CM82" i="6"/>
  <c r="CL82" i="6"/>
  <c r="AU85" i="6"/>
  <c r="AT85" i="6"/>
  <c r="CF84" i="6"/>
  <c r="CE84" i="6"/>
  <c r="AU84" i="6"/>
  <c r="AT84" i="6"/>
  <c r="Q86" i="6"/>
  <c r="P86" i="6"/>
  <c r="CF82" i="6"/>
  <c r="CE82" i="6"/>
  <c r="BY80" i="6"/>
  <c r="BX80" i="6"/>
  <c r="AU80" i="6"/>
  <c r="AT80" i="6"/>
  <c r="CW50" i="6"/>
  <c r="CX50" i="6" s="1"/>
  <c r="CL101" i="6"/>
  <c r="CM101" i="6"/>
  <c r="CT101" i="6"/>
  <c r="CS101" i="6"/>
  <c r="CT100" i="6"/>
  <c r="CS100" i="6"/>
  <c r="CT99" i="6"/>
  <c r="CS99" i="6"/>
  <c r="AK101" i="6"/>
  <c r="AJ101" i="6"/>
  <c r="Q99" i="6"/>
  <c r="P99" i="6"/>
  <c r="Q101" i="6"/>
  <c r="P101" i="6"/>
  <c r="AK100" i="6"/>
  <c r="AJ100" i="6"/>
  <c r="Q100" i="6"/>
  <c r="P100" i="6"/>
  <c r="AK94" i="6"/>
  <c r="AJ94" i="6"/>
  <c r="BE98" i="6"/>
  <c r="BD98" i="6"/>
  <c r="CE97" i="6"/>
  <c r="CF97" i="6"/>
  <c r="BE96" i="6"/>
  <c r="BD96" i="6"/>
  <c r="CL95" i="6"/>
  <c r="CM95" i="6"/>
  <c r="CM94" i="6"/>
  <c r="CL94" i="6"/>
  <c r="BX94" i="6"/>
  <c r="BY94" i="6"/>
  <c r="AT97" i="6"/>
  <c r="AU97" i="6"/>
  <c r="BE93" i="6"/>
  <c r="BD93" i="6"/>
  <c r="BE89" i="6"/>
  <c r="BD89" i="6"/>
  <c r="BY88" i="6"/>
  <c r="BX88" i="6"/>
  <c r="Q90" i="6"/>
  <c r="P90" i="6"/>
  <c r="BO88" i="6"/>
  <c r="BN88" i="6"/>
  <c r="BD87" i="6"/>
  <c r="BE87" i="6"/>
  <c r="BX86" i="6"/>
  <c r="BY86" i="6"/>
  <c r="Q95" i="6"/>
  <c r="P95" i="6"/>
  <c r="P94" i="6"/>
  <c r="Q94" i="6"/>
  <c r="P91" i="6"/>
  <c r="Q91" i="6"/>
  <c r="CT93" i="6"/>
  <c r="CS93" i="6"/>
  <c r="CE93" i="6"/>
  <c r="CF93" i="6"/>
  <c r="BE92" i="6"/>
  <c r="BD92" i="6"/>
  <c r="CT89" i="6"/>
  <c r="CS89" i="6"/>
  <c r="Q88" i="6"/>
  <c r="P88" i="6"/>
  <c r="BO83" i="6"/>
  <c r="BN83" i="6"/>
  <c r="AU82" i="6"/>
  <c r="AT82" i="6"/>
  <c r="CM81" i="6"/>
  <c r="CL81" i="6"/>
  <c r="CL84" i="6"/>
  <c r="CM84" i="6"/>
  <c r="CS82" i="6"/>
  <c r="CT82" i="6"/>
  <c r="AK83" i="6"/>
  <c r="AJ83" i="6"/>
  <c r="AK82" i="6"/>
  <c r="AJ82" i="6"/>
  <c r="AK81" i="6"/>
  <c r="AJ81" i="6"/>
  <c r="BX84" i="6"/>
  <c r="BY84" i="6"/>
  <c r="Q84" i="6"/>
  <c r="P84" i="6"/>
  <c r="CM80" i="6"/>
  <c r="CL80" i="6"/>
  <c r="CL75" i="6"/>
  <c r="CM75" i="6"/>
  <c r="BE80" i="6"/>
  <c r="BD80" i="6"/>
  <c r="BZ56" i="6"/>
  <c r="CA56" i="6" s="1"/>
  <c r="CG53" i="6"/>
  <c r="CH53" i="6" s="1"/>
  <c r="CF101" i="6"/>
  <c r="CE101" i="6"/>
  <c r="CF99" i="6"/>
  <c r="CE99" i="6"/>
  <c r="BE99" i="6"/>
  <c r="BD99" i="6"/>
  <c r="Q98" i="6"/>
  <c r="P98" i="6"/>
  <c r="BO98" i="6"/>
  <c r="BN98" i="6"/>
  <c r="BY97" i="6"/>
  <c r="BX97" i="6"/>
  <c r="CF96" i="6"/>
  <c r="CE96" i="6"/>
  <c r="BE94" i="6"/>
  <c r="BD94" i="6"/>
  <c r="AK98" i="6"/>
  <c r="AJ98" i="6"/>
  <c r="CL97" i="6"/>
  <c r="CM97" i="6"/>
  <c r="BN96" i="6"/>
  <c r="BO96" i="6"/>
  <c r="P97" i="6"/>
  <c r="Q97" i="6"/>
  <c r="CF98" i="6"/>
  <c r="CE98" i="6"/>
  <c r="CS98" i="6"/>
  <c r="CT98" i="6"/>
  <c r="BN93" i="6"/>
  <c r="BO93" i="6"/>
  <c r="BN89" i="6"/>
  <c r="BO89" i="6"/>
  <c r="AK92" i="6"/>
  <c r="AJ92" i="6"/>
  <c r="CE91" i="6"/>
  <c r="CF91" i="6"/>
  <c r="BE90" i="6"/>
  <c r="BD90" i="6"/>
  <c r="AU88" i="6"/>
  <c r="AT88" i="6"/>
  <c r="BX87" i="6"/>
  <c r="BY87" i="6"/>
  <c r="CL93" i="6"/>
  <c r="CM93" i="6"/>
  <c r="CF92" i="6"/>
  <c r="CE92" i="6"/>
  <c r="BE91" i="6"/>
  <c r="BD91" i="6"/>
  <c r="BY89" i="6"/>
  <c r="BX89" i="6"/>
  <c r="BN92" i="6"/>
  <c r="BO92" i="6"/>
  <c r="BO82" i="6"/>
  <c r="BN82" i="6"/>
  <c r="AU81" i="6"/>
  <c r="AT81" i="6"/>
  <c r="Q87" i="6"/>
  <c r="P87" i="6"/>
  <c r="AJ84" i="6"/>
  <c r="AK84" i="6"/>
  <c r="CT84" i="6"/>
  <c r="CS84" i="6"/>
  <c r="BD85" i="6"/>
  <c r="BE85" i="6"/>
  <c r="BE83" i="6"/>
  <c r="BD83" i="6"/>
  <c r="BE82" i="6"/>
  <c r="BD82" i="6"/>
  <c r="BE81" i="6"/>
  <c r="BD81" i="6"/>
  <c r="CS80" i="6"/>
  <c r="CT80" i="6"/>
  <c r="CL77" i="6"/>
  <c r="CM77" i="6"/>
  <c r="CL103" i="6"/>
  <c r="CM103" i="6"/>
  <c r="CT103" i="6"/>
  <c r="CS103" i="6"/>
  <c r="CT102" i="6"/>
  <c r="CS102" i="6"/>
  <c r="CT79" i="6"/>
  <c r="CS79" i="6"/>
  <c r="CL78" i="6"/>
  <c r="CM78" i="6"/>
  <c r="BN102" i="6"/>
  <c r="BO102" i="6"/>
  <c r="Q79" i="6"/>
  <c r="P79" i="6"/>
  <c r="BN75" i="6"/>
  <c r="BO75" i="6"/>
  <c r="AT74" i="6"/>
  <c r="AU74" i="6"/>
  <c r="AT73" i="6"/>
  <c r="AU73" i="6"/>
  <c r="CW75" i="6"/>
  <c r="CX75" i="6" s="1"/>
  <c r="Q73" i="6"/>
  <c r="P73" i="6"/>
  <c r="BE77" i="6"/>
  <c r="BD77" i="6"/>
  <c r="Q77" i="6"/>
  <c r="P77" i="6"/>
  <c r="AT77" i="6"/>
  <c r="AU77" i="6"/>
  <c r="CT71" i="6"/>
  <c r="CS71" i="6"/>
  <c r="CL71" i="6"/>
  <c r="CM71" i="6"/>
  <c r="Q70" i="6"/>
  <c r="P70" i="6"/>
  <c r="BY72" i="6"/>
  <c r="BX72" i="6"/>
  <c r="Q71" i="6"/>
  <c r="P71" i="6"/>
  <c r="CT69" i="6"/>
  <c r="CS69" i="6"/>
  <c r="CS73" i="6"/>
  <c r="CT73" i="6"/>
  <c r="BO72" i="6"/>
  <c r="BN72" i="6"/>
  <c r="BE78" i="6"/>
  <c r="BD78" i="6"/>
  <c r="CF70" i="6"/>
  <c r="CE70" i="6"/>
  <c r="AT69" i="6"/>
  <c r="AU69" i="6"/>
  <c r="CM66" i="6"/>
  <c r="CL66" i="6"/>
  <c r="AK67" i="6"/>
  <c r="AJ67" i="6"/>
  <c r="Q67" i="6"/>
  <c r="P67" i="6"/>
  <c r="CF103" i="6"/>
  <c r="CE103" i="6"/>
  <c r="CF79" i="6"/>
  <c r="CE79" i="6"/>
  <c r="AK103" i="6"/>
  <c r="AJ103" i="6"/>
  <c r="BN103" i="6"/>
  <c r="BO103" i="6"/>
  <c r="BE102" i="6"/>
  <c r="BD102" i="6"/>
  <c r="AT102" i="6"/>
  <c r="AU102" i="6"/>
  <c r="CU77" i="6"/>
  <c r="CV77" i="6" s="1"/>
  <c r="Q75" i="6"/>
  <c r="P75" i="6"/>
  <c r="AK76" i="6"/>
  <c r="AJ76" i="6"/>
  <c r="BO76" i="6"/>
  <c r="BN76" i="6"/>
  <c r="AK73" i="6"/>
  <c r="AJ73" i="6"/>
  <c r="CW76" i="6"/>
  <c r="CX76" i="6" s="1"/>
  <c r="BE70" i="6"/>
  <c r="BD70" i="6"/>
  <c r="BE71" i="6"/>
  <c r="BD71" i="6"/>
  <c r="CF69" i="6"/>
  <c r="CE69" i="6"/>
  <c r="CF73" i="6"/>
  <c r="CE73" i="6"/>
  <c r="AT72" i="6"/>
  <c r="AU72" i="6"/>
  <c r="BE72" i="6"/>
  <c r="BD72" i="6"/>
  <c r="Q78" i="6"/>
  <c r="P78" i="6"/>
  <c r="AK71" i="6"/>
  <c r="AJ71" i="6"/>
  <c r="CL70" i="6"/>
  <c r="CM70" i="6"/>
  <c r="AK69" i="6"/>
  <c r="AJ69" i="6"/>
  <c r="AU66" i="6"/>
  <c r="AT66" i="6"/>
  <c r="CS66" i="6"/>
  <c r="CT66" i="6"/>
  <c r="BD67" i="6"/>
  <c r="BE67" i="6"/>
  <c r="BX67" i="6"/>
  <c r="BY67" i="6"/>
  <c r="CL79" i="6"/>
  <c r="CM79" i="6"/>
  <c r="AT103" i="6"/>
  <c r="AU103" i="6"/>
  <c r="AK102" i="6"/>
  <c r="AJ102" i="6"/>
  <c r="Q102" i="6"/>
  <c r="P102" i="6"/>
  <c r="BE79" i="6"/>
  <c r="BD79" i="6"/>
  <c r="BN79" i="6"/>
  <c r="BO79" i="6"/>
  <c r="CM74" i="6"/>
  <c r="CL74" i="6"/>
  <c r="CS74" i="6"/>
  <c r="CT74" i="6"/>
  <c r="AT75" i="6"/>
  <c r="AU75" i="6"/>
  <c r="AU76" i="6"/>
  <c r="AT76" i="6"/>
  <c r="AK74" i="6"/>
  <c r="AJ74" i="6"/>
  <c r="Q74" i="6"/>
  <c r="P74" i="6"/>
  <c r="AK77" i="6"/>
  <c r="AJ77" i="6"/>
  <c r="BN70" i="6"/>
  <c r="BO70" i="6"/>
  <c r="BN69" i="6"/>
  <c r="BO69" i="6"/>
  <c r="Q68" i="6"/>
  <c r="P68" i="6"/>
  <c r="CE72" i="6"/>
  <c r="CF72" i="6"/>
  <c r="BN71" i="6"/>
  <c r="BO71" i="6"/>
  <c r="BY73" i="6"/>
  <c r="BX73" i="6"/>
  <c r="CM73" i="6"/>
  <c r="CL73" i="6"/>
  <c r="P72" i="6"/>
  <c r="Q72" i="6"/>
  <c r="BO78" i="6"/>
  <c r="BN78" i="6"/>
  <c r="CT70" i="6"/>
  <c r="CS70" i="6"/>
  <c r="BY68" i="6"/>
  <c r="BX68" i="6"/>
  <c r="BO66" i="6"/>
  <c r="BN66" i="6"/>
  <c r="CM55" i="6"/>
  <c r="CL55" i="6"/>
  <c r="BN67" i="6"/>
  <c r="BO67" i="6"/>
  <c r="AK66" i="6"/>
  <c r="AJ66" i="6"/>
  <c r="AT67" i="6"/>
  <c r="AU67" i="6"/>
  <c r="CF66" i="6"/>
  <c r="CE66" i="6"/>
  <c r="Q66" i="6"/>
  <c r="P66" i="6"/>
  <c r="CF102" i="6"/>
  <c r="CE102" i="6"/>
  <c r="CL102" i="6"/>
  <c r="CM102" i="6"/>
  <c r="Q103" i="6"/>
  <c r="P103" i="6"/>
  <c r="AT79" i="6"/>
  <c r="AU79" i="6"/>
  <c r="AJ75" i="6"/>
  <c r="AK75" i="6"/>
  <c r="BD75" i="6"/>
  <c r="BE75" i="6"/>
  <c r="BO74" i="6"/>
  <c r="BN74" i="6"/>
  <c r="BO73" i="6"/>
  <c r="BN73" i="6"/>
  <c r="Q76" i="6"/>
  <c r="P76" i="6"/>
  <c r="BO77" i="6"/>
  <c r="BN77" i="6"/>
  <c r="CT72" i="6"/>
  <c r="CS72" i="6"/>
  <c r="AK72" i="6"/>
  <c r="AJ72" i="6"/>
  <c r="CF71" i="6"/>
  <c r="CE71" i="6"/>
  <c r="AT70" i="6"/>
  <c r="AU70" i="6"/>
  <c r="BE69" i="6"/>
  <c r="BD69" i="6"/>
  <c r="CL68" i="6"/>
  <c r="CM68" i="6"/>
  <c r="CM72" i="6"/>
  <c r="CL72" i="6"/>
  <c r="AT71" i="6"/>
  <c r="AU71" i="6"/>
  <c r="BX69" i="6"/>
  <c r="BY69" i="6"/>
  <c r="Q69" i="6"/>
  <c r="P69" i="6"/>
  <c r="AK78" i="6"/>
  <c r="AJ78" i="6"/>
  <c r="AU78" i="6"/>
  <c r="AT78" i="6"/>
  <c r="BY71" i="6"/>
  <c r="BX71" i="6"/>
  <c r="CT68" i="6"/>
  <c r="CS68" i="6"/>
  <c r="CF68" i="6"/>
  <c r="CE68" i="6"/>
  <c r="CE67" i="6"/>
  <c r="CF67" i="6"/>
  <c r="BE66" i="6"/>
  <c r="BD66" i="6"/>
  <c r="CF59" i="6"/>
  <c r="CE59" i="6"/>
  <c r="CL58" i="6"/>
  <c r="CM58" i="6"/>
  <c r="Q59" i="6"/>
  <c r="P59" i="6"/>
  <c r="CL57" i="6"/>
  <c r="CM57" i="6"/>
  <c r="AJ55" i="6"/>
  <c r="AK55" i="6"/>
  <c r="AU54" i="6"/>
  <c r="AT54" i="6"/>
  <c r="BO53" i="6"/>
  <c r="BN53" i="6"/>
  <c r="AK58" i="6"/>
  <c r="AJ58" i="6"/>
  <c r="Q58" i="6"/>
  <c r="P58" i="6"/>
  <c r="AK57" i="6"/>
  <c r="AJ57" i="6"/>
  <c r="T55" i="6"/>
  <c r="U55" i="6" s="1"/>
  <c r="AV55" i="6" s="1"/>
  <c r="AJ50" i="6"/>
  <c r="AK50" i="6"/>
  <c r="CG52" i="6"/>
  <c r="CH52" i="6" s="1"/>
  <c r="CL59" i="6"/>
  <c r="CM59" i="6"/>
  <c r="BO56" i="6"/>
  <c r="BN56" i="6"/>
  <c r="BD55" i="6"/>
  <c r="BE55" i="6"/>
  <c r="Q54" i="6"/>
  <c r="P54" i="6"/>
  <c r="AJ52" i="6"/>
  <c r="AK52" i="6"/>
  <c r="BO55" i="6"/>
  <c r="BN55" i="6"/>
  <c r="CI55" i="6"/>
  <c r="CJ55" i="6" s="1"/>
  <c r="BD50" i="6"/>
  <c r="BE50" i="6"/>
  <c r="AU50" i="6"/>
  <c r="AT50" i="6"/>
  <c r="CF58" i="6"/>
  <c r="CE58" i="6"/>
  <c r="CT59" i="6"/>
  <c r="CS59" i="6"/>
  <c r="CT58" i="6"/>
  <c r="CS58" i="6"/>
  <c r="AK59" i="6"/>
  <c r="AJ59" i="6"/>
  <c r="BN59" i="6"/>
  <c r="BO59" i="6"/>
  <c r="CT57" i="6"/>
  <c r="CS57" i="6"/>
  <c r="BE56" i="6"/>
  <c r="BD56" i="6"/>
  <c r="AT56" i="6"/>
  <c r="AU56" i="6"/>
  <c r="BN58" i="6"/>
  <c r="BO58" i="6"/>
  <c r="Q57" i="6"/>
  <c r="P57" i="6"/>
  <c r="BN57" i="6"/>
  <c r="BO57" i="6"/>
  <c r="CL53" i="6"/>
  <c r="CM53" i="6"/>
  <c r="CT53" i="6"/>
  <c r="CS53" i="6"/>
  <c r="BE57" i="6"/>
  <c r="BD57" i="6"/>
  <c r="AK53" i="6"/>
  <c r="AJ53" i="6"/>
  <c r="BD52" i="6"/>
  <c r="BE52" i="6"/>
  <c r="CT51" i="6"/>
  <c r="CS51" i="6"/>
  <c r="Q56" i="6"/>
  <c r="P56" i="6"/>
  <c r="AU55" i="6"/>
  <c r="AT55" i="6"/>
  <c r="AJ51" i="6"/>
  <c r="AK51" i="6"/>
  <c r="AT51" i="6"/>
  <c r="AU51" i="6"/>
  <c r="BN50" i="6"/>
  <c r="BO50" i="6"/>
  <c r="CM56" i="6"/>
  <c r="CL56" i="6"/>
  <c r="AT59" i="6"/>
  <c r="AU59" i="6"/>
  <c r="BY57" i="6"/>
  <c r="BX57" i="6"/>
  <c r="CF57" i="6"/>
  <c r="CE57" i="6"/>
  <c r="AJ56" i="6"/>
  <c r="AK56" i="6"/>
  <c r="BD54" i="6"/>
  <c r="BE54" i="6"/>
  <c r="AU53" i="6"/>
  <c r="AT53" i="6"/>
  <c r="BE58" i="6"/>
  <c r="BD58" i="6"/>
  <c r="AT58" i="6"/>
  <c r="AU58" i="6"/>
  <c r="AT57" i="6"/>
  <c r="AU57" i="6"/>
  <c r="BN54" i="6"/>
  <c r="BO54" i="6"/>
  <c r="BE53" i="6"/>
  <c r="BD53" i="6"/>
  <c r="AU52" i="6"/>
  <c r="AT52" i="6"/>
  <c r="AJ54" i="6"/>
  <c r="AK54" i="6"/>
  <c r="BD51" i="6"/>
  <c r="BE51" i="6"/>
  <c r="BO51" i="6"/>
  <c r="BN51" i="6"/>
  <c r="E16" i="7"/>
  <c r="J10" i="6"/>
  <c r="J35" i="6"/>
  <c r="J26" i="6"/>
  <c r="J23" i="6"/>
  <c r="J29" i="6"/>
  <c r="J31" i="6"/>
  <c r="J49" i="6"/>
  <c r="J9" i="6"/>
  <c r="J34" i="6"/>
  <c r="J19" i="6"/>
  <c r="J28" i="6"/>
  <c r="J16" i="6"/>
  <c r="J30" i="6"/>
  <c r="J15" i="6"/>
  <c r="J36" i="6"/>
  <c r="J44" i="6"/>
  <c r="J41" i="6"/>
  <c r="J42" i="6"/>
  <c r="J38" i="6"/>
  <c r="J14" i="6"/>
  <c r="J25" i="6"/>
  <c r="J48" i="6"/>
  <c r="J5" i="6"/>
  <c r="J4" i="6"/>
  <c r="J39" i="6"/>
  <c r="J12" i="6"/>
  <c r="J2" i="6"/>
  <c r="J21" i="6"/>
  <c r="J33" i="6"/>
  <c r="J17" i="6"/>
  <c r="J32" i="6"/>
  <c r="J7" i="6"/>
  <c r="J3" i="6"/>
  <c r="J22" i="6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3" i="13"/>
  <c r="F2" i="13"/>
  <c r="C3" i="13"/>
  <c r="D3" i="13"/>
  <c r="C4" i="13"/>
  <c r="D4" i="13"/>
  <c r="C5" i="13"/>
  <c r="D5" i="13"/>
  <c r="C6" i="13"/>
  <c r="D6" i="13"/>
  <c r="C7" i="13"/>
  <c r="D7" i="13"/>
  <c r="C8" i="13"/>
  <c r="D8" i="13"/>
  <c r="C9" i="13"/>
  <c r="D9" i="13"/>
  <c r="C10" i="13"/>
  <c r="D10" i="13"/>
  <c r="C11" i="13"/>
  <c r="D11" i="13"/>
  <c r="C12" i="13"/>
  <c r="D12" i="13"/>
  <c r="C13" i="13"/>
  <c r="D13" i="13"/>
  <c r="C14" i="13"/>
  <c r="D14" i="13"/>
  <c r="C15" i="13"/>
  <c r="D15" i="13"/>
  <c r="C16" i="13"/>
  <c r="D16" i="13"/>
  <c r="C17" i="13"/>
  <c r="D17" i="13"/>
  <c r="C18" i="13"/>
  <c r="D18" i="13"/>
  <c r="C19" i="13"/>
  <c r="D19" i="13"/>
  <c r="C20" i="13"/>
  <c r="D20" i="13"/>
  <c r="C21" i="13"/>
  <c r="D21" i="13"/>
  <c r="C22" i="13"/>
  <c r="D22" i="13"/>
  <c r="C23" i="13"/>
  <c r="D23" i="13"/>
  <c r="C24" i="13"/>
  <c r="D24" i="13"/>
  <c r="C25" i="13"/>
  <c r="D25" i="13"/>
  <c r="C26" i="13"/>
  <c r="D26" i="13"/>
  <c r="C27" i="13"/>
  <c r="D27" i="13"/>
  <c r="C28" i="13"/>
  <c r="D28" i="13"/>
  <c r="C29" i="13"/>
  <c r="D29" i="13"/>
  <c r="C30" i="13"/>
  <c r="D30" i="13"/>
  <c r="C31" i="13"/>
  <c r="D31" i="13"/>
  <c r="C32" i="13"/>
  <c r="D32" i="13"/>
  <c r="C33" i="13"/>
  <c r="D33" i="13"/>
  <c r="C34" i="13"/>
  <c r="D34" i="13"/>
  <c r="C35" i="13"/>
  <c r="D35" i="13"/>
  <c r="C36" i="13"/>
  <c r="D36" i="13"/>
  <c r="C37" i="13"/>
  <c r="D37" i="13"/>
  <c r="C38" i="13"/>
  <c r="D38" i="13"/>
  <c r="C39" i="13"/>
  <c r="D39" i="13"/>
  <c r="C40" i="13"/>
  <c r="D40" i="13"/>
  <c r="C41" i="13"/>
  <c r="D41" i="13"/>
  <c r="C42" i="13"/>
  <c r="D42" i="13"/>
  <c r="C43" i="13"/>
  <c r="D43" i="13"/>
  <c r="C44" i="13"/>
  <c r="D44" i="13"/>
  <c r="C45" i="13"/>
  <c r="D45" i="13"/>
  <c r="C46" i="13"/>
  <c r="D46" i="13"/>
  <c r="C47" i="13"/>
  <c r="D47" i="13"/>
  <c r="C48" i="13"/>
  <c r="D48" i="13"/>
  <c r="C49" i="13"/>
  <c r="D49" i="13"/>
  <c r="D2" i="13"/>
  <c r="C2" i="13"/>
  <c r="B49" i="13"/>
  <c r="B48" i="13"/>
  <c r="B47" i="13"/>
  <c r="M47" i="13" s="1"/>
  <c r="S11" i="2" s="1"/>
  <c r="B46" i="13"/>
  <c r="B45" i="13"/>
  <c r="M45" i="13" s="1"/>
  <c r="S5" i="2" s="1"/>
  <c r="B44" i="13"/>
  <c r="B43" i="13"/>
  <c r="B42" i="13"/>
  <c r="B41" i="13"/>
  <c r="B40" i="13"/>
  <c r="B39" i="13"/>
  <c r="B38" i="13"/>
  <c r="B37" i="13"/>
  <c r="B36" i="13"/>
  <c r="B35" i="13"/>
  <c r="M35" i="13" s="1"/>
  <c r="S4" i="2" s="1"/>
  <c r="B34" i="13"/>
  <c r="M34" i="13" s="1"/>
  <c r="S22" i="2" s="1"/>
  <c r="B33" i="13"/>
  <c r="M33" i="13" s="1"/>
  <c r="S26" i="2" s="1"/>
  <c r="B32" i="13"/>
  <c r="M32" i="13" s="1"/>
  <c r="S50" i="2" s="1"/>
  <c r="B31" i="13"/>
  <c r="B30" i="13"/>
  <c r="B29" i="13"/>
  <c r="B28" i="13"/>
  <c r="B27" i="13"/>
  <c r="B26" i="13"/>
  <c r="B25" i="13"/>
  <c r="B24" i="13"/>
  <c r="B23" i="13"/>
  <c r="B22" i="13"/>
  <c r="M22" i="13" s="1"/>
  <c r="B21" i="13"/>
  <c r="M21" i="13" s="1"/>
  <c r="S15" i="2" s="1"/>
  <c r="B20" i="13"/>
  <c r="B19" i="13"/>
  <c r="B18" i="13"/>
  <c r="B17" i="13"/>
  <c r="M17" i="13" s="1"/>
  <c r="S6" i="2" s="1"/>
  <c r="B16" i="13"/>
  <c r="B15" i="13"/>
  <c r="B14" i="13"/>
  <c r="M14" i="13" s="1"/>
  <c r="S18" i="2" s="1"/>
  <c r="B13" i="13"/>
  <c r="B12" i="13"/>
  <c r="B11" i="13"/>
  <c r="B10" i="13"/>
  <c r="B9" i="13"/>
  <c r="M9" i="13" s="1"/>
  <c r="S43" i="2" s="1"/>
  <c r="B8" i="13"/>
  <c r="B7" i="13"/>
  <c r="B6" i="13"/>
  <c r="B5" i="13"/>
  <c r="B4" i="13"/>
  <c r="B3" i="13"/>
  <c r="B2" i="13"/>
  <c r="M2" i="13" s="1"/>
  <c r="S7" i="2" s="1"/>
  <c r="J3" i="2"/>
  <c r="X7" i="2" l="1"/>
  <c r="V7" i="2"/>
  <c r="W7" i="2"/>
  <c r="W4" i="2"/>
  <c r="X4" i="2"/>
  <c r="V4" i="2"/>
  <c r="X11" i="2"/>
  <c r="V11" i="2"/>
  <c r="W11" i="2"/>
  <c r="V43" i="2"/>
  <c r="W43" i="2"/>
  <c r="X43" i="2"/>
  <c r="W18" i="2"/>
  <c r="X18" i="2"/>
  <c r="V18" i="2"/>
  <c r="W50" i="2"/>
  <c r="V50" i="2"/>
  <c r="X50" i="2"/>
  <c r="W6" i="2"/>
  <c r="X6" i="2"/>
  <c r="V6" i="2"/>
  <c r="X26" i="2"/>
  <c r="V26" i="2"/>
  <c r="W26" i="2"/>
  <c r="X5" i="2"/>
  <c r="V5" i="2"/>
  <c r="W5" i="2"/>
  <c r="X15" i="2"/>
  <c r="V15" i="2"/>
  <c r="W15" i="2"/>
  <c r="W22" i="2"/>
  <c r="X22" i="2"/>
  <c r="V22" i="2"/>
  <c r="CI76" i="6"/>
  <c r="CJ76" i="6" s="1"/>
  <c r="CG76" i="6"/>
  <c r="CH76" i="6" s="1"/>
  <c r="BZ55" i="6"/>
  <c r="CA55" i="6" s="1"/>
  <c r="AV50" i="6"/>
  <c r="AX50" i="6" s="1"/>
  <c r="AY50" i="6" s="1"/>
  <c r="AZ50" i="6" s="1"/>
  <c r="AL50" i="6"/>
  <c r="T53" i="6"/>
  <c r="U53" i="6" s="1"/>
  <c r="AB53" i="6" s="1"/>
  <c r="BF50" i="6"/>
  <c r="BG50" i="6" s="1"/>
  <c r="BM22" i="6"/>
  <c r="AI22" i="6"/>
  <c r="BC22" i="6"/>
  <c r="V22" i="6"/>
  <c r="AS22" i="6"/>
  <c r="Y22" i="6"/>
  <c r="BC17" i="6"/>
  <c r="AS17" i="6"/>
  <c r="AI17" i="6"/>
  <c r="Y17" i="6"/>
  <c r="V17" i="6"/>
  <c r="BM17" i="6"/>
  <c r="V12" i="6"/>
  <c r="Y12" i="6"/>
  <c r="AI12" i="6"/>
  <c r="BC12" i="6"/>
  <c r="AS12" i="6"/>
  <c r="BM12" i="6"/>
  <c r="BC48" i="6"/>
  <c r="AS48" i="6"/>
  <c r="Y48" i="6"/>
  <c r="AI48" i="6"/>
  <c r="V48" i="6"/>
  <c r="BM48" i="6"/>
  <c r="BM42" i="6"/>
  <c r="AI42" i="6"/>
  <c r="AS42" i="6"/>
  <c r="V42" i="6"/>
  <c r="BC42" i="6"/>
  <c r="Y42" i="6"/>
  <c r="AS15" i="6"/>
  <c r="BC15" i="6"/>
  <c r="Y15" i="6"/>
  <c r="V15" i="6"/>
  <c r="AI15" i="6"/>
  <c r="BM15" i="6"/>
  <c r="AI19" i="6"/>
  <c r="V19" i="6"/>
  <c r="AS19" i="6"/>
  <c r="Y19" i="6"/>
  <c r="BM19" i="6"/>
  <c r="BC19" i="6"/>
  <c r="BM31" i="6"/>
  <c r="AI31" i="6"/>
  <c r="AS31" i="6"/>
  <c r="Y31" i="6"/>
  <c r="V31" i="6"/>
  <c r="BC31" i="6"/>
  <c r="AI35" i="6"/>
  <c r="V35" i="6"/>
  <c r="BM35" i="6"/>
  <c r="AS35" i="6"/>
  <c r="BC35" i="6"/>
  <c r="Y35" i="6"/>
  <c r="AB51" i="6"/>
  <c r="AD51" i="6" s="1"/>
  <c r="AG51" i="6" s="1"/>
  <c r="AH51" i="6" s="1"/>
  <c r="X109" i="6"/>
  <c r="W109" i="6"/>
  <c r="AA107" i="6"/>
  <c r="Z107" i="6"/>
  <c r="X65" i="6"/>
  <c r="W65" i="6"/>
  <c r="Z64" i="6"/>
  <c r="AA64" i="6"/>
  <c r="Z110" i="6"/>
  <c r="AA110" i="6"/>
  <c r="W110" i="6"/>
  <c r="X110" i="6"/>
  <c r="X64" i="6"/>
  <c r="W64" i="6"/>
  <c r="AA104" i="6"/>
  <c r="Z104" i="6"/>
  <c r="W105" i="6"/>
  <c r="X105" i="6"/>
  <c r="X63" i="6"/>
  <c r="W63" i="6"/>
  <c r="X104" i="6"/>
  <c r="W104" i="6"/>
  <c r="W62" i="6"/>
  <c r="X62" i="6"/>
  <c r="AS32" i="6"/>
  <c r="Y32" i="6"/>
  <c r="V32" i="6"/>
  <c r="BM32" i="6"/>
  <c r="AI32" i="6"/>
  <c r="BC32" i="6"/>
  <c r="AI38" i="6"/>
  <c r="BC38" i="6"/>
  <c r="V38" i="6"/>
  <c r="AS38" i="6"/>
  <c r="BM38" i="6"/>
  <c r="Y38" i="6"/>
  <c r="BM36" i="6"/>
  <c r="BC36" i="6"/>
  <c r="AS36" i="6"/>
  <c r="AI36" i="6"/>
  <c r="V36" i="6"/>
  <c r="Y36" i="6"/>
  <c r="BM26" i="6"/>
  <c r="BC26" i="6"/>
  <c r="AI26" i="6"/>
  <c r="Y26" i="6"/>
  <c r="AS26" i="6"/>
  <c r="V26" i="6"/>
  <c r="BM3" i="6"/>
  <c r="BC3" i="6"/>
  <c r="AI3" i="6"/>
  <c r="V3" i="6"/>
  <c r="AS3" i="6"/>
  <c r="Y3" i="6"/>
  <c r="V33" i="6"/>
  <c r="AS33" i="6"/>
  <c r="Y33" i="6"/>
  <c r="AI33" i="6"/>
  <c r="BM33" i="6"/>
  <c r="BC33" i="6"/>
  <c r="Y39" i="6"/>
  <c r="BM39" i="6"/>
  <c r="BC39" i="6"/>
  <c r="AI39" i="6"/>
  <c r="V39" i="6"/>
  <c r="AS39" i="6"/>
  <c r="BM25" i="6"/>
  <c r="Y25" i="6"/>
  <c r="V25" i="6"/>
  <c r="AS25" i="6"/>
  <c r="BC25" i="6"/>
  <c r="AI25" i="6"/>
  <c r="V41" i="6"/>
  <c r="AS41" i="6"/>
  <c r="BC41" i="6"/>
  <c r="AI41" i="6"/>
  <c r="Y41" i="6"/>
  <c r="BM41" i="6"/>
  <c r="BC30" i="6"/>
  <c r="V30" i="6"/>
  <c r="AS30" i="6"/>
  <c r="BM30" i="6"/>
  <c r="AI30" i="6"/>
  <c r="Y30" i="6"/>
  <c r="AI34" i="6"/>
  <c r="BC34" i="6"/>
  <c r="V34" i="6"/>
  <c r="Y34" i="6"/>
  <c r="AS34" i="6"/>
  <c r="BM34" i="6"/>
  <c r="BM29" i="6"/>
  <c r="AS29" i="6"/>
  <c r="Y29" i="6"/>
  <c r="BC29" i="6"/>
  <c r="AI29" i="6"/>
  <c r="V29" i="6"/>
  <c r="AI10" i="6"/>
  <c r="AS10" i="6"/>
  <c r="V10" i="6"/>
  <c r="BC10" i="6"/>
  <c r="BM10" i="6"/>
  <c r="Y10" i="6"/>
  <c r="CB75" i="6"/>
  <c r="CC75" i="6" s="1"/>
  <c r="X111" i="6"/>
  <c r="W111" i="6"/>
  <c r="AA111" i="6"/>
  <c r="Z111" i="6"/>
  <c r="X107" i="6"/>
  <c r="W107" i="6"/>
  <c r="AA65" i="6"/>
  <c r="Z65" i="6"/>
  <c r="X108" i="6"/>
  <c r="W108" i="6"/>
  <c r="X60" i="6"/>
  <c r="W60" i="6"/>
  <c r="BC2" i="6"/>
  <c r="BE2" i="6" s="1"/>
  <c r="V2" i="6"/>
  <c r="BM2" i="6"/>
  <c r="BO2" i="6" s="1"/>
  <c r="Y2" i="6"/>
  <c r="AA2" i="6" s="1"/>
  <c r="AI2" i="6"/>
  <c r="AK2" i="6" s="1"/>
  <c r="AS2" i="6"/>
  <c r="AU2" i="6" s="1"/>
  <c r="V5" i="6"/>
  <c r="BM5" i="6"/>
  <c r="BC5" i="6"/>
  <c r="Y5" i="6"/>
  <c r="AS5" i="6"/>
  <c r="AI5" i="6"/>
  <c r="BM28" i="6"/>
  <c r="BC28" i="6"/>
  <c r="Y28" i="6"/>
  <c r="AI28" i="6"/>
  <c r="AS28" i="6"/>
  <c r="V28" i="6"/>
  <c r="BC49" i="6"/>
  <c r="AI49" i="6"/>
  <c r="AS49" i="6"/>
  <c r="Y49" i="6"/>
  <c r="V49" i="6"/>
  <c r="BM49" i="6"/>
  <c r="BC7" i="6"/>
  <c r="V7" i="6"/>
  <c r="Y7" i="6"/>
  <c r="BM7" i="6"/>
  <c r="AI7" i="6"/>
  <c r="AS7" i="6"/>
  <c r="V21" i="6"/>
  <c r="BM21" i="6"/>
  <c r="BC21" i="6"/>
  <c r="Y21" i="6"/>
  <c r="AI21" i="6"/>
  <c r="AS21" i="6"/>
  <c r="BM4" i="6"/>
  <c r="AI4" i="6"/>
  <c r="V4" i="6"/>
  <c r="Y4" i="6"/>
  <c r="BC4" i="6"/>
  <c r="AS4" i="6"/>
  <c r="AI14" i="6"/>
  <c r="BC14" i="6"/>
  <c r="AS14" i="6"/>
  <c r="V14" i="6"/>
  <c r="BM14" i="6"/>
  <c r="Y14" i="6"/>
  <c r="AS44" i="6"/>
  <c r="AI44" i="6"/>
  <c r="BM44" i="6"/>
  <c r="V44" i="6"/>
  <c r="Y44" i="6"/>
  <c r="BC44" i="6"/>
  <c r="Y16" i="6"/>
  <c r="V16" i="6"/>
  <c r="BM16" i="6"/>
  <c r="BC16" i="6"/>
  <c r="AS16" i="6"/>
  <c r="AI16" i="6"/>
  <c r="BM9" i="6"/>
  <c r="Y9" i="6"/>
  <c r="V9" i="6"/>
  <c r="AS9" i="6"/>
  <c r="BC9" i="6"/>
  <c r="AI9" i="6"/>
  <c r="AI23" i="6"/>
  <c r="BM23" i="6"/>
  <c r="Y23" i="6"/>
  <c r="BC23" i="6"/>
  <c r="V23" i="6"/>
  <c r="AS23" i="6"/>
  <c r="BP82" i="6"/>
  <c r="BR82" i="6" s="1"/>
  <c r="BS82" i="6" s="1"/>
  <c r="BT82" i="6" s="1"/>
  <c r="CP87" i="6"/>
  <c r="CQ87" i="6" s="1"/>
  <c r="AA61" i="6"/>
  <c r="Z61" i="6"/>
  <c r="AA106" i="6"/>
  <c r="Z106" i="6"/>
  <c r="W106" i="6"/>
  <c r="X106" i="6"/>
  <c r="AA62" i="6"/>
  <c r="Z62" i="6"/>
  <c r="X61" i="6"/>
  <c r="W61" i="6"/>
  <c r="AA60" i="6"/>
  <c r="Z60" i="6"/>
  <c r="AA109" i="6"/>
  <c r="Z109" i="6"/>
  <c r="AA63" i="6"/>
  <c r="Z63" i="6"/>
  <c r="M18" i="13"/>
  <c r="S9" i="2" s="1"/>
  <c r="K18" i="13"/>
  <c r="M42" i="13"/>
  <c r="S17" i="2" s="1"/>
  <c r="K42" i="13"/>
  <c r="M3" i="13"/>
  <c r="S19" i="2" s="1"/>
  <c r="K3" i="13"/>
  <c r="K7" i="13"/>
  <c r="M7" i="13"/>
  <c r="S13" i="2" s="1"/>
  <c r="K11" i="13"/>
  <c r="M11" i="13"/>
  <c r="S24" i="2" s="1"/>
  <c r="K15" i="13"/>
  <c r="M15" i="13"/>
  <c r="S30" i="2" s="1"/>
  <c r="K19" i="13"/>
  <c r="M19" i="13"/>
  <c r="S33" i="2" s="1"/>
  <c r="K23" i="13"/>
  <c r="M23" i="13"/>
  <c r="S21" i="2" s="1"/>
  <c r="K27" i="13"/>
  <c r="M27" i="13"/>
  <c r="S20" i="2" s="1"/>
  <c r="K31" i="13"/>
  <c r="M31" i="13"/>
  <c r="S38" i="2" s="1"/>
  <c r="K39" i="13"/>
  <c r="M39" i="13"/>
  <c r="S34" i="2" s="1"/>
  <c r="K43" i="13"/>
  <c r="M43" i="13"/>
  <c r="S29" i="2" s="1"/>
  <c r="M4" i="13"/>
  <c r="S37" i="2" s="1"/>
  <c r="K4" i="13"/>
  <c r="I11" i="11" s="1"/>
  <c r="M8" i="13"/>
  <c r="S31" i="2" s="1"/>
  <c r="K8" i="13"/>
  <c r="M12" i="13"/>
  <c r="S36" i="2" s="1"/>
  <c r="K12" i="13"/>
  <c r="M16" i="13"/>
  <c r="S42" i="2" s="1"/>
  <c r="K16" i="13"/>
  <c r="M20" i="13"/>
  <c r="S45" i="2" s="1"/>
  <c r="K20" i="13"/>
  <c r="M24" i="13"/>
  <c r="S27" i="2" s="1"/>
  <c r="K24" i="13"/>
  <c r="M28" i="13"/>
  <c r="S32" i="2" s="1"/>
  <c r="K28" i="13"/>
  <c r="M36" i="13"/>
  <c r="S10" i="2" s="1"/>
  <c r="K36" i="13"/>
  <c r="M40" i="13"/>
  <c r="S46" i="2" s="1"/>
  <c r="K40" i="13"/>
  <c r="M44" i="13"/>
  <c r="S41" i="2" s="1"/>
  <c r="K44" i="13"/>
  <c r="M48" i="13"/>
  <c r="S35" i="2" s="1"/>
  <c r="K48" i="13"/>
  <c r="K5" i="13"/>
  <c r="M5" i="13"/>
  <c r="S49" i="2" s="1"/>
  <c r="K13" i="13"/>
  <c r="M13" i="13"/>
  <c r="S48" i="2" s="1"/>
  <c r="K25" i="13"/>
  <c r="M25" i="13"/>
  <c r="S39" i="2" s="1"/>
  <c r="K29" i="13"/>
  <c r="M29" i="13"/>
  <c r="S44" i="2" s="1"/>
  <c r="K37" i="13"/>
  <c r="M37" i="13"/>
  <c r="S28" i="2" s="1"/>
  <c r="K41" i="13"/>
  <c r="M41" i="13"/>
  <c r="S16" i="2" s="1"/>
  <c r="K49" i="13"/>
  <c r="M49" i="13"/>
  <c r="S47" i="2" s="1"/>
  <c r="M6" i="13"/>
  <c r="S25" i="2" s="1"/>
  <c r="K6" i="13"/>
  <c r="M10" i="13"/>
  <c r="S12" i="2" s="1"/>
  <c r="K10" i="13"/>
  <c r="M26" i="13"/>
  <c r="S14" i="2" s="1"/>
  <c r="K26" i="13"/>
  <c r="M30" i="13"/>
  <c r="S8" i="2" s="1"/>
  <c r="K30" i="13"/>
  <c r="M38" i="13"/>
  <c r="S40" i="2" s="1"/>
  <c r="K38" i="13"/>
  <c r="M46" i="13"/>
  <c r="S23" i="2" s="1"/>
  <c r="K46" i="13"/>
  <c r="AB82" i="6"/>
  <c r="AC82" i="6" s="1"/>
  <c r="AL82" i="6"/>
  <c r="AM82" i="6" s="1"/>
  <c r="G11" i="11"/>
  <c r="R81" i="6"/>
  <c r="S81" i="6" s="1"/>
  <c r="BP81" i="6" s="1"/>
  <c r="BQ81" i="6" s="1"/>
  <c r="BF83" i="6"/>
  <c r="BH83" i="6" s="1"/>
  <c r="BP52" i="6"/>
  <c r="BQ52" i="6" s="1"/>
  <c r="AV82" i="6"/>
  <c r="AX82" i="6" s="1"/>
  <c r="BA82" i="6" s="1"/>
  <c r="BB82" i="6" s="1"/>
  <c r="CG78" i="6"/>
  <c r="CH78" i="6" s="1"/>
  <c r="CB50" i="6"/>
  <c r="CC50" i="6" s="1"/>
  <c r="AX51" i="6"/>
  <c r="AY51" i="6" s="1"/>
  <c r="AZ51" i="6" s="1"/>
  <c r="BF51" i="6"/>
  <c r="BG51" i="6" s="1"/>
  <c r="AL51" i="6"/>
  <c r="AN51" i="6" s="1"/>
  <c r="AD50" i="6"/>
  <c r="AG50" i="6" s="1"/>
  <c r="AH50" i="6" s="1"/>
  <c r="CP67" i="6"/>
  <c r="CQ67" i="6" s="1"/>
  <c r="BQ50" i="6"/>
  <c r="L7" i="6"/>
  <c r="L21" i="6"/>
  <c r="L4" i="6"/>
  <c r="L14" i="6"/>
  <c r="L44" i="6"/>
  <c r="L16" i="6"/>
  <c r="L9" i="6"/>
  <c r="L23" i="6"/>
  <c r="L3" i="6"/>
  <c r="L39" i="6"/>
  <c r="L41" i="6"/>
  <c r="L34" i="6"/>
  <c r="L10" i="6"/>
  <c r="L32" i="6"/>
  <c r="L2" i="6"/>
  <c r="L5" i="6"/>
  <c r="L38" i="6"/>
  <c r="L36" i="6"/>
  <c r="L28" i="6"/>
  <c r="L49" i="6"/>
  <c r="L26" i="6"/>
  <c r="L33" i="6"/>
  <c r="L25" i="6"/>
  <c r="L30" i="6"/>
  <c r="L29" i="6"/>
  <c r="L22" i="6"/>
  <c r="L17" i="6"/>
  <c r="L12" i="6"/>
  <c r="L48" i="6"/>
  <c r="L42" i="6"/>
  <c r="L15" i="6"/>
  <c r="L19" i="6"/>
  <c r="L31" i="6"/>
  <c r="L35" i="6"/>
  <c r="AL83" i="6"/>
  <c r="AM83" i="6" s="1"/>
  <c r="CI54" i="6"/>
  <c r="CJ54" i="6" s="1"/>
  <c r="AL52" i="6"/>
  <c r="AN52" i="6" s="1"/>
  <c r="AV52" i="6"/>
  <c r="AW52" i="6" s="1"/>
  <c r="BF52" i="6"/>
  <c r="BH52" i="6" s="1"/>
  <c r="CB54" i="6"/>
  <c r="CC54" i="6" s="1"/>
  <c r="CB52" i="6"/>
  <c r="CC52" i="6" s="1"/>
  <c r="CB74" i="6"/>
  <c r="CC74" i="6" s="1"/>
  <c r="CG85" i="6"/>
  <c r="CH85" i="6" s="1"/>
  <c r="BP55" i="6"/>
  <c r="BR55" i="6" s="1"/>
  <c r="BF55" i="6"/>
  <c r="BH55" i="6" s="1"/>
  <c r="BQ51" i="6"/>
  <c r="AV83" i="6"/>
  <c r="AB83" i="6"/>
  <c r="BR83" i="6"/>
  <c r="BU83" i="6" s="1"/>
  <c r="BV83" i="6" s="1"/>
  <c r="BQ83" i="6"/>
  <c r="CN86" i="6"/>
  <c r="CO86" i="6" s="1"/>
  <c r="AL55" i="6"/>
  <c r="AN55" i="6" s="1"/>
  <c r="BZ95" i="6"/>
  <c r="CA95" i="6" s="1"/>
  <c r="CB95" i="6"/>
  <c r="CC95" i="6" s="1"/>
  <c r="BZ51" i="6"/>
  <c r="CA51" i="6" s="1"/>
  <c r="CB51" i="6"/>
  <c r="CC51" i="6" s="1"/>
  <c r="CW84" i="6"/>
  <c r="CX84" i="6" s="1"/>
  <c r="CU84" i="6"/>
  <c r="CV84" i="6" s="1"/>
  <c r="R87" i="6"/>
  <c r="S87" i="6" s="1"/>
  <c r="T87" i="6"/>
  <c r="U87" i="6" s="1"/>
  <c r="BZ89" i="6"/>
  <c r="CA89" i="6" s="1"/>
  <c r="CB89" i="6"/>
  <c r="CC89" i="6" s="1"/>
  <c r="CG92" i="6"/>
  <c r="CH92" i="6" s="1"/>
  <c r="CI92" i="6"/>
  <c r="CJ92" i="6" s="1"/>
  <c r="CG98" i="6"/>
  <c r="CH98" i="6" s="1"/>
  <c r="CI98" i="6"/>
  <c r="CJ98" i="6" s="1"/>
  <c r="BZ97" i="6"/>
  <c r="CA97" i="6" s="1"/>
  <c r="CB97" i="6"/>
  <c r="CC97" i="6" s="1"/>
  <c r="R98" i="6"/>
  <c r="S98" i="6" s="1"/>
  <c r="T98" i="6"/>
  <c r="U98" i="6" s="1"/>
  <c r="CI99" i="6"/>
  <c r="CJ99" i="6" s="1"/>
  <c r="CG99" i="6"/>
  <c r="CH99" i="6" s="1"/>
  <c r="CN80" i="6"/>
  <c r="CO80" i="6" s="1"/>
  <c r="CP80" i="6"/>
  <c r="CQ80" i="6" s="1"/>
  <c r="BZ84" i="6"/>
  <c r="CA84" i="6" s="1"/>
  <c r="CB84" i="6"/>
  <c r="CC84" i="6" s="1"/>
  <c r="CN84" i="6"/>
  <c r="CO84" i="6" s="1"/>
  <c r="CP84" i="6"/>
  <c r="CQ84" i="6" s="1"/>
  <c r="CG93" i="6"/>
  <c r="CH93" i="6" s="1"/>
  <c r="CI93" i="6"/>
  <c r="CJ93" i="6" s="1"/>
  <c r="R91" i="6"/>
  <c r="S91" i="6" s="1"/>
  <c r="T91" i="6"/>
  <c r="U91" i="6" s="1"/>
  <c r="R94" i="6"/>
  <c r="S94" i="6" s="1"/>
  <c r="T94" i="6"/>
  <c r="U94" i="6" s="1"/>
  <c r="BZ86" i="6"/>
  <c r="CA86" i="6" s="1"/>
  <c r="CB86" i="6"/>
  <c r="CC86" i="6" s="1"/>
  <c r="BZ80" i="6"/>
  <c r="CA80" i="6" s="1"/>
  <c r="CB80" i="6"/>
  <c r="CC80" i="6" s="1"/>
  <c r="T86" i="6"/>
  <c r="U86" i="6" s="1"/>
  <c r="R86" i="6"/>
  <c r="S86" i="6" s="1"/>
  <c r="CI84" i="6"/>
  <c r="CJ84" i="6" s="1"/>
  <c r="CG84" i="6"/>
  <c r="CH84" i="6" s="1"/>
  <c r="CN82" i="6"/>
  <c r="CO82" i="6" s="1"/>
  <c r="CP82" i="6"/>
  <c r="CQ82" i="6" s="1"/>
  <c r="R85" i="6"/>
  <c r="S85" i="6" s="1"/>
  <c r="T85" i="6"/>
  <c r="U85" i="6" s="1"/>
  <c r="R92" i="6"/>
  <c r="S92" i="6" s="1"/>
  <c r="T92" i="6"/>
  <c r="U92" i="6" s="1"/>
  <c r="CU90" i="6"/>
  <c r="CV90" i="6" s="1"/>
  <c r="CW90" i="6"/>
  <c r="CX90" i="6" s="1"/>
  <c r="R93" i="6"/>
  <c r="S93" i="6" s="1"/>
  <c r="T93" i="6"/>
  <c r="U93" i="6" s="1"/>
  <c r="CP98" i="6"/>
  <c r="CQ98" i="6" s="1"/>
  <c r="CN98" i="6"/>
  <c r="CO98" i="6" s="1"/>
  <c r="R96" i="6"/>
  <c r="S96" i="6" s="1"/>
  <c r="T96" i="6"/>
  <c r="U96" i="6" s="1"/>
  <c r="CI100" i="6"/>
  <c r="CJ100" i="6" s="1"/>
  <c r="CG100" i="6"/>
  <c r="CH100" i="6" s="1"/>
  <c r="CI80" i="6"/>
  <c r="CJ80" i="6" s="1"/>
  <c r="CG80" i="6"/>
  <c r="CH80" i="6" s="1"/>
  <c r="CU81" i="6"/>
  <c r="CV81" i="6" s="1"/>
  <c r="CW81" i="6"/>
  <c r="CX81" i="6" s="1"/>
  <c r="CW83" i="6"/>
  <c r="CX83" i="6" s="1"/>
  <c r="CU83" i="6"/>
  <c r="CV83" i="6" s="1"/>
  <c r="CN96" i="6"/>
  <c r="CO96" i="6" s="1"/>
  <c r="CP96" i="6"/>
  <c r="CQ96" i="6" s="1"/>
  <c r="CN99" i="6"/>
  <c r="CO99" i="6" s="1"/>
  <c r="CP99" i="6"/>
  <c r="CQ99" i="6" s="1"/>
  <c r="CP77" i="6"/>
  <c r="CQ77" i="6" s="1"/>
  <c r="CN77" i="6"/>
  <c r="CO77" i="6" s="1"/>
  <c r="CP93" i="6"/>
  <c r="CQ93" i="6" s="1"/>
  <c r="CN93" i="6"/>
  <c r="CO93" i="6" s="1"/>
  <c r="CI91" i="6"/>
  <c r="CJ91" i="6" s="1"/>
  <c r="CG91" i="6"/>
  <c r="CH91" i="6" s="1"/>
  <c r="CW98" i="6"/>
  <c r="CX98" i="6" s="1"/>
  <c r="CU98" i="6"/>
  <c r="CV98" i="6" s="1"/>
  <c r="T97" i="6"/>
  <c r="U97" i="6" s="1"/>
  <c r="R97" i="6"/>
  <c r="S97" i="6" s="1"/>
  <c r="CN81" i="6"/>
  <c r="CO81" i="6" s="1"/>
  <c r="CP81" i="6"/>
  <c r="CQ81" i="6" s="1"/>
  <c r="CW89" i="6"/>
  <c r="CX89" i="6" s="1"/>
  <c r="CU89" i="6"/>
  <c r="CV89" i="6" s="1"/>
  <c r="CN94" i="6"/>
  <c r="CO94" i="6" s="1"/>
  <c r="CP94" i="6"/>
  <c r="CQ94" i="6" s="1"/>
  <c r="R100" i="6"/>
  <c r="S100" i="6" s="1"/>
  <c r="T100" i="6"/>
  <c r="U100" i="6" s="1"/>
  <c r="CU99" i="6"/>
  <c r="CV99" i="6" s="1"/>
  <c r="CW99" i="6"/>
  <c r="CX99" i="6" s="1"/>
  <c r="CU101" i="6"/>
  <c r="CV101" i="6" s="1"/>
  <c r="CW101" i="6"/>
  <c r="CX101" i="6" s="1"/>
  <c r="CP89" i="6"/>
  <c r="CQ89" i="6" s="1"/>
  <c r="CN89" i="6"/>
  <c r="CO89" i="6" s="1"/>
  <c r="CN90" i="6"/>
  <c r="CO90" i="6" s="1"/>
  <c r="CP90" i="6"/>
  <c r="CQ90" i="6" s="1"/>
  <c r="CN100" i="6"/>
  <c r="CO100" i="6" s="1"/>
  <c r="CP100" i="6"/>
  <c r="CQ100" i="6" s="1"/>
  <c r="BZ82" i="6"/>
  <c r="CA82" i="6" s="1"/>
  <c r="CB82" i="6"/>
  <c r="CC82" i="6" s="1"/>
  <c r="CP83" i="6"/>
  <c r="CQ83" i="6" s="1"/>
  <c r="CN83" i="6"/>
  <c r="CO83" i="6" s="1"/>
  <c r="CU92" i="6"/>
  <c r="CV92" i="6" s="1"/>
  <c r="CW92" i="6"/>
  <c r="CX92" i="6" s="1"/>
  <c r="CW91" i="6"/>
  <c r="CX91" i="6" s="1"/>
  <c r="CU91" i="6"/>
  <c r="CV91" i="6" s="1"/>
  <c r="CN88" i="6"/>
  <c r="CO88" i="6" s="1"/>
  <c r="CP88" i="6"/>
  <c r="CQ88" i="6" s="1"/>
  <c r="CG95" i="6"/>
  <c r="CH95" i="6" s="1"/>
  <c r="CI95" i="6"/>
  <c r="CJ95" i="6" s="1"/>
  <c r="CU97" i="6"/>
  <c r="CV97" i="6" s="1"/>
  <c r="CW97" i="6"/>
  <c r="CX97" i="6" s="1"/>
  <c r="CI96" i="6"/>
  <c r="CJ96" i="6" s="1"/>
  <c r="CG96" i="6"/>
  <c r="CH96" i="6" s="1"/>
  <c r="CI101" i="6"/>
  <c r="CJ101" i="6" s="1"/>
  <c r="CG101" i="6"/>
  <c r="CH101" i="6" s="1"/>
  <c r="CU82" i="6"/>
  <c r="CV82" i="6" s="1"/>
  <c r="CW82" i="6"/>
  <c r="CX82" i="6" s="1"/>
  <c r="BZ94" i="6"/>
  <c r="CA94" i="6" s="1"/>
  <c r="CB94" i="6"/>
  <c r="CC94" i="6" s="1"/>
  <c r="CN95" i="6"/>
  <c r="CO95" i="6" s="1"/>
  <c r="CP95" i="6"/>
  <c r="CQ95" i="6" s="1"/>
  <c r="CI97" i="6"/>
  <c r="CJ97" i="6" s="1"/>
  <c r="CG97" i="6"/>
  <c r="CH97" i="6" s="1"/>
  <c r="CP101" i="6"/>
  <c r="CQ101" i="6" s="1"/>
  <c r="CN101" i="6"/>
  <c r="CO101" i="6" s="1"/>
  <c r="CI82" i="6"/>
  <c r="CJ82" i="6" s="1"/>
  <c r="CG82" i="6"/>
  <c r="CH82" i="6" s="1"/>
  <c r="R89" i="6"/>
  <c r="S89" i="6" s="1"/>
  <c r="T89" i="6"/>
  <c r="U89" i="6" s="1"/>
  <c r="BZ91" i="6"/>
  <c r="CA91" i="6" s="1"/>
  <c r="CB91" i="6"/>
  <c r="CC91" i="6" s="1"/>
  <c r="CB98" i="6"/>
  <c r="CC98" i="6" s="1"/>
  <c r="BZ98" i="6"/>
  <c r="CA98" i="6" s="1"/>
  <c r="T80" i="6"/>
  <c r="U80" i="6" s="1"/>
  <c r="R80" i="6"/>
  <c r="S80" i="6" s="1"/>
  <c r="CP92" i="6"/>
  <c r="CQ92" i="6" s="1"/>
  <c r="CN92" i="6"/>
  <c r="CO92" i="6" s="1"/>
  <c r="BZ85" i="6"/>
  <c r="CA85" i="6" s="1"/>
  <c r="CB85" i="6"/>
  <c r="CC85" i="6" s="1"/>
  <c r="CN91" i="6"/>
  <c r="CO91" i="6" s="1"/>
  <c r="CP91" i="6"/>
  <c r="CQ91" i="6" s="1"/>
  <c r="CW88" i="6"/>
  <c r="CX88" i="6" s="1"/>
  <c r="CU88" i="6"/>
  <c r="CV88" i="6" s="1"/>
  <c r="CG94" i="6"/>
  <c r="CH94" i="6" s="1"/>
  <c r="CI94" i="6"/>
  <c r="CJ94" i="6" s="1"/>
  <c r="CW80" i="6"/>
  <c r="CX80" i="6" s="1"/>
  <c r="CU80" i="6"/>
  <c r="CV80" i="6" s="1"/>
  <c r="CB87" i="6"/>
  <c r="CC87" i="6" s="1"/>
  <c r="BZ87" i="6"/>
  <c r="CA87" i="6" s="1"/>
  <c r="CN97" i="6"/>
  <c r="CO97" i="6" s="1"/>
  <c r="CP97" i="6"/>
  <c r="CQ97" i="6" s="1"/>
  <c r="CP75" i="6"/>
  <c r="CQ75" i="6" s="1"/>
  <c r="CN75" i="6"/>
  <c r="CO75" i="6" s="1"/>
  <c r="T84" i="6"/>
  <c r="U84" i="6" s="1"/>
  <c r="R84" i="6"/>
  <c r="S84" i="6" s="1"/>
  <c r="R88" i="6"/>
  <c r="S88" i="6" s="1"/>
  <c r="T88" i="6"/>
  <c r="U88" i="6" s="1"/>
  <c r="CW93" i="6"/>
  <c r="CX93" i="6" s="1"/>
  <c r="CU93" i="6"/>
  <c r="CV93" i="6" s="1"/>
  <c r="T95" i="6"/>
  <c r="U95" i="6" s="1"/>
  <c r="R95" i="6"/>
  <c r="S95" i="6" s="1"/>
  <c r="R90" i="6"/>
  <c r="S90" i="6" s="1"/>
  <c r="T90" i="6"/>
  <c r="U90" i="6" s="1"/>
  <c r="BZ88" i="6"/>
  <c r="CA88" i="6" s="1"/>
  <c r="CB88" i="6"/>
  <c r="CC88" i="6" s="1"/>
  <c r="T101" i="6"/>
  <c r="U101" i="6" s="1"/>
  <c r="R101" i="6"/>
  <c r="S101" i="6" s="1"/>
  <c r="R99" i="6"/>
  <c r="S99" i="6" s="1"/>
  <c r="T99" i="6"/>
  <c r="U99" i="6" s="1"/>
  <c r="CU100" i="6"/>
  <c r="CV100" i="6" s="1"/>
  <c r="CW100" i="6"/>
  <c r="CX100" i="6" s="1"/>
  <c r="BH82" i="6"/>
  <c r="BG82" i="6"/>
  <c r="CI83" i="6"/>
  <c r="CJ83" i="6" s="1"/>
  <c r="CG83" i="6"/>
  <c r="CH83" i="6" s="1"/>
  <c r="CB81" i="6"/>
  <c r="CC81" i="6" s="1"/>
  <c r="BZ81" i="6"/>
  <c r="CA81" i="6" s="1"/>
  <c r="CB83" i="6"/>
  <c r="CC83" i="6" s="1"/>
  <c r="BZ83" i="6"/>
  <c r="CA83" i="6" s="1"/>
  <c r="CI89" i="6"/>
  <c r="CJ89" i="6" s="1"/>
  <c r="CG89" i="6"/>
  <c r="CH89" i="6" s="1"/>
  <c r="BZ93" i="6"/>
  <c r="CA93" i="6" s="1"/>
  <c r="CB93" i="6"/>
  <c r="CC93" i="6" s="1"/>
  <c r="BZ92" i="6"/>
  <c r="CA92" i="6" s="1"/>
  <c r="CB92" i="6"/>
  <c r="CC92" i="6" s="1"/>
  <c r="CI90" i="6"/>
  <c r="CJ90" i="6" s="1"/>
  <c r="CG90" i="6"/>
  <c r="CH90" i="6" s="1"/>
  <c r="CU96" i="6"/>
  <c r="CV96" i="6" s="1"/>
  <c r="CW96" i="6"/>
  <c r="CX96" i="6" s="1"/>
  <c r="CG67" i="6"/>
  <c r="CH67" i="6" s="1"/>
  <c r="CI67" i="6"/>
  <c r="CJ67" i="6" s="1"/>
  <c r="CB69" i="6"/>
  <c r="CC69" i="6" s="1"/>
  <c r="BZ69" i="6"/>
  <c r="CA69" i="6" s="1"/>
  <c r="R72" i="6"/>
  <c r="S72" i="6" s="1"/>
  <c r="T72" i="6"/>
  <c r="U72" i="6" s="1"/>
  <c r="CW74" i="6"/>
  <c r="CX74" i="6" s="1"/>
  <c r="CU74" i="6"/>
  <c r="CV74" i="6" s="1"/>
  <c r="CP79" i="6"/>
  <c r="CQ79" i="6" s="1"/>
  <c r="CN79" i="6"/>
  <c r="CO79" i="6" s="1"/>
  <c r="CN70" i="6"/>
  <c r="CO70" i="6" s="1"/>
  <c r="CP70" i="6"/>
  <c r="CQ70" i="6" s="1"/>
  <c r="T75" i="6"/>
  <c r="U75" i="6" s="1"/>
  <c r="R75" i="6"/>
  <c r="S75" i="6" s="1"/>
  <c r="CN66" i="6"/>
  <c r="CO66" i="6" s="1"/>
  <c r="CP66" i="6"/>
  <c r="CQ66" i="6" s="1"/>
  <c r="CI70" i="6"/>
  <c r="CJ70" i="6" s="1"/>
  <c r="CG70" i="6"/>
  <c r="CH70" i="6" s="1"/>
  <c r="CW69" i="6"/>
  <c r="CX69" i="6" s="1"/>
  <c r="CU69" i="6"/>
  <c r="CV69" i="6" s="1"/>
  <c r="T70" i="6"/>
  <c r="U70" i="6" s="1"/>
  <c r="R70" i="6"/>
  <c r="S70" i="6" s="1"/>
  <c r="CI68" i="6"/>
  <c r="CJ68" i="6" s="1"/>
  <c r="CG68" i="6"/>
  <c r="CH68" i="6" s="1"/>
  <c r="BZ71" i="6"/>
  <c r="CA71" i="6" s="1"/>
  <c r="CB71" i="6"/>
  <c r="CC71" i="6" s="1"/>
  <c r="CP72" i="6"/>
  <c r="CQ72" i="6" s="1"/>
  <c r="CN72" i="6"/>
  <c r="CO72" i="6" s="1"/>
  <c r="CI71" i="6"/>
  <c r="CJ71" i="6" s="1"/>
  <c r="CG71" i="6"/>
  <c r="CH71" i="6" s="1"/>
  <c r="CU72" i="6"/>
  <c r="CV72" i="6" s="1"/>
  <c r="CW72" i="6"/>
  <c r="CX72" i="6" s="1"/>
  <c r="CI102" i="6"/>
  <c r="CJ102" i="6" s="1"/>
  <c r="CG102" i="6"/>
  <c r="CH102" i="6" s="1"/>
  <c r="CI66" i="6"/>
  <c r="CJ66" i="6" s="1"/>
  <c r="CG66" i="6"/>
  <c r="CH66" i="6" s="1"/>
  <c r="CN55" i="6"/>
  <c r="CO55" i="6" s="1"/>
  <c r="CP55" i="6"/>
  <c r="CQ55" i="6" s="1"/>
  <c r="BZ68" i="6"/>
  <c r="CA68" i="6" s="1"/>
  <c r="CB68" i="6"/>
  <c r="CC68" i="6" s="1"/>
  <c r="CN73" i="6"/>
  <c r="CO73" i="6" s="1"/>
  <c r="CP73" i="6"/>
  <c r="CQ73" i="6" s="1"/>
  <c r="T68" i="6"/>
  <c r="U68" i="6" s="1"/>
  <c r="R68" i="6"/>
  <c r="S68" i="6" s="1"/>
  <c r="T74" i="6"/>
  <c r="U74" i="6" s="1"/>
  <c r="R74" i="6"/>
  <c r="S74" i="6" s="1"/>
  <c r="R102" i="6"/>
  <c r="S102" i="6" s="1"/>
  <c r="T102" i="6"/>
  <c r="U102" i="6" s="1"/>
  <c r="CG73" i="6"/>
  <c r="CH73" i="6" s="1"/>
  <c r="CI73" i="6"/>
  <c r="CJ73" i="6" s="1"/>
  <c r="CI103" i="6"/>
  <c r="CJ103" i="6" s="1"/>
  <c r="CG103" i="6"/>
  <c r="CH103" i="6" s="1"/>
  <c r="R67" i="6"/>
  <c r="S67" i="6" s="1"/>
  <c r="T67" i="6"/>
  <c r="U67" i="6" s="1"/>
  <c r="CW73" i="6"/>
  <c r="CX73" i="6" s="1"/>
  <c r="CU73" i="6"/>
  <c r="CV73" i="6" s="1"/>
  <c r="T79" i="6"/>
  <c r="U79" i="6" s="1"/>
  <c r="R79" i="6"/>
  <c r="S79" i="6" s="1"/>
  <c r="CU79" i="6"/>
  <c r="CV79" i="6" s="1"/>
  <c r="CW79" i="6"/>
  <c r="CX79" i="6" s="1"/>
  <c r="CU103" i="6"/>
  <c r="CV103" i="6" s="1"/>
  <c r="CW103" i="6"/>
  <c r="CX103" i="6" s="1"/>
  <c r="CN68" i="6"/>
  <c r="CO68" i="6" s="1"/>
  <c r="CP68" i="6"/>
  <c r="CQ68" i="6" s="1"/>
  <c r="CP102" i="6"/>
  <c r="CQ102" i="6" s="1"/>
  <c r="CN102" i="6"/>
  <c r="CO102" i="6" s="1"/>
  <c r="CG72" i="6"/>
  <c r="CH72" i="6" s="1"/>
  <c r="CI72" i="6"/>
  <c r="CJ72" i="6" s="1"/>
  <c r="BZ67" i="6"/>
  <c r="CA67" i="6" s="1"/>
  <c r="CB67" i="6"/>
  <c r="CC67" i="6" s="1"/>
  <c r="CU66" i="6"/>
  <c r="CV66" i="6" s="1"/>
  <c r="CW66" i="6"/>
  <c r="CX66" i="6" s="1"/>
  <c r="T71" i="6"/>
  <c r="U71" i="6" s="1"/>
  <c r="R71" i="6"/>
  <c r="S71" i="6" s="1"/>
  <c r="BZ72" i="6"/>
  <c r="CA72" i="6" s="1"/>
  <c r="CB72" i="6"/>
  <c r="CC72" i="6" s="1"/>
  <c r="CU71" i="6"/>
  <c r="CV71" i="6" s="1"/>
  <c r="CW71" i="6"/>
  <c r="CX71" i="6" s="1"/>
  <c r="T77" i="6"/>
  <c r="U77" i="6" s="1"/>
  <c r="R77" i="6"/>
  <c r="S77" i="6" s="1"/>
  <c r="T73" i="6"/>
  <c r="U73" i="6" s="1"/>
  <c r="R73" i="6"/>
  <c r="S73" i="6" s="1"/>
  <c r="CN78" i="6"/>
  <c r="CO78" i="6" s="1"/>
  <c r="CP78" i="6"/>
  <c r="CQ78" i="6" s="1"/>
  <c r="CP103" i="6"/>
  <c r="CQ103" i="6" s="1"/>
  <c r="CN103" i="6"/>
  <c r="CO103" i="6" s="1"/>
  <c r="CU68" i="6"/>
  <c r="CV68" i="6" s="1"/>
  <c r="CW68" i="6"/>
  <c r="CX68" i="6" s="1"/>
  <c r="R69" i="6"/>
  <c r="S69" i="6" s="1"/>
  <c r="T69" i="6"/>
  <c r="U69" i="6" s="1"/>
  <c r="T76" i="6"/>
  <c r="U76" i="6" s="1"/>
  <c r="R76" i="6"/>
  <c r="S76" i="6" s="1"/>
  <c r="T103" i="6"/>
  <c r="U103" i="6" s="1"/>
  <c r="R103" i="6"/>
  <c r="S103" i="6" s="1"/>
  <c r="R66" i="6"/>
  <c r="S66" i="6" s="1"/>
  <c r="T66" i="6"/>
  <c r="U66" i="6" s="1"/>
  <c r="CU70" i="6"/>
  <c r="CV70" i="6" s="1"/>
  <c r="CW70" i="6"/>
  <c r="CX70" i="6" s="1"/>
  <c r="CB73" i="6"/>
  <c r="CC73" i="6" s="1"/>
  <c r="BZ73" i="6"/>
  <c r="CA73" i="6" s="1"/>
  <c r="CP74" i="6"/>
  <c r="CQ74" i="6" s="1"/>
  <c r="CN74" i="6"/>
  <c r="CO74" i="6" s="1"/>
  <c r="T78" i="6"/>
  <c r="U78" i="6" s="1"/>
  <c r="R78" i="6"/>
  <c r="S78" i="6" s="1"/>
  <c r="CG69" i="6"/>
  <c r="CH69" i="6" s="1"/>
  <c r="CI69" i="6"/>
  <c r="CJ69" i="6" s="1"/>
  <c r="CI79" i="6"/>
  <c r="CJ79" i="6" s="1"/>
  <c r="CG79" i="6"/>
  <c r="CH79" i="6" s="1"/>
  <c r="CN71" i="6"/>
  <c r="CO71" i="6" s="1"/>
  <c r="CP71" i="6"/>
  <c r="CQ71" i="6" s="1"/>
  <c r="CU102" i="6"/>
  <c r="CV102" i="6" s="1"/>
  <c r="CW102" i="6"/>
  <c r="CX102" i="6" s="1"/>
  <c r="AX55" i="6"/>
  <c r="AW55" i="6"/>
  <c r="AN50" i="6"/>
  <c r="AM50" i="6"/>
  <c r="CU51" i="6"/>
  <c r="CV51" i="6" s="1"/>
  <c r="CW51" i="6"/>
  <c r="CX51" i="6" s="1"/>
  <c r="CW53" i="6"/>
  <c r="CX53" i="6" s="1"/>
  <c r="CU53" i="6"/>
  <c r="CV53" i="6" s="1"/>
  <c r="CU57" i="6"/>
  <c r="CV57" i="6" s="1"/>
  <c r="CW57" i="6"/>
  <c r="CX57" i="6" s="1"/>
  <c r="CU59" i="6"/>
  <c r="CV59" i="6" s="1"/>
  <c r="CW59" i="6"/>
  <c r="CX59" i="6" s="1"/>
  <c r="CN58" i="6"/>
  <c r="CO58" i="6" s="1"/>
  <c r="CP58" i="6"/>
  <c r="CQ58" i="6" s="1"/>
  <c r="AX52" i="6"/>
  <c r="BS50" i="6"/>
  <c r="BT50" i="6" s="1"/>
  <c r="BU50" i="6"/>
  <c r="BV50" i="6" s="1"/>
  <c r="CG57" i="6"/>
  <c r="CH57" i="6" s="1"/>
  <c r="CI57" i="6"/>
  <c r="CJ57" i="6" s="1"/>
  <c r="CN53" i="6"/>
  <c r="CO53" i="6" s="1"/>
  <c r="CP53" i="6"/>
  <c r="CQ53" i="6" s="1"/>
  <c r="T54" i="6"/>
  <c r="U54" i="6" s="1"/>
  <c r="R54" i="6"/>
  <c r="S54" i="6" s="1"/>
  <c r="T59" i="6"/>
  <c r="U59" i="6" s="1"/>
  <c r="R59" i="6"/>
  <c r="S59" i="6" s="1"/>
  <c r="AC52" i="6"/>
  <c r="AD52" i="6"/>
  <c r="R56" i="6"/>
  <c r="S56" i="6" s="1"/>
  <c r="T56" i="6"/>
  <c r="U56" i="6" s="1"/>
  <c r="T57" i="6"/>
  <c r="U57" i="6" s="1"/>
  <c r="R57" i="6"/>
  <c r="S57" i="6" s="1"/>
  <c r="CU58" i="6"/>
  <c r="CV58" i="6" s="1"/>
  <c r="CW58" i="6"/>
  <c r="CX58" i="6" s="1"/>
  <c r="CI58" i="6"/>
  <c r="CJ58" i="6" s="1"/>
  <c r="CG58" i="6"/>
  <c r="CH58" i="6" s="1"/>
  <c r="CP59" i="6"/>
  <c r="CQ59" i="6" s="1"/>
  <c r="CN59" i="6"/>
  <c r="CO59" i="6" s="1"/>
  <c r="CN57" i="6"/>
  <c r="CO57" i="6" s="1"/>
  <c r="CP57" i="6"/>
  <c r="CQ57" i="6" s="1"/>
  <c r="AB55" i="6"/>
  <c r="BU51" i="6"/>
  <c r="BV51" i="6" s="1"/>
  <c r="BS51" i="6"/>
  <c r="BT51" i="6" s="1"/>
  <c r="BG55" i="6"/>
  <c r="BZ57" i="6"/>
  <c r="CA57" i="6" s="1"/>
  <c r="CB57" i="6"/>
  <c r="CC57" i="6" s="1"/>
  <c r="CP56" i="6"/>
  <c r="CQ56" i="6" s="1"/>
  <c r="CN56" i="6"/>
  <c r="CO56" i="6" s="1"/>
  <c r="BA51" i="6"/>
  <c r="BB51" i="6" s="1"/>
  <c r="T58" i="6"/>
  <c r="U58" i="6" s="1"/>
  <c r="R58" i="6"/>
  <c r="S58" i="6" s="1"/>
  <c r="CI59" i="6"/>
  <c r="CJ59" i="6" s="1"/>
  <c r="CG59" i="6"/>
  <c r="CH59" i="6" s="1"/>
  <c r="E2" i="13"/>
  <c r="E48" i="13"/>
  <c r="E46" i="13"/>
  <c r="E44" i="13"/>
  <c r="E42" i="13"/>
  <c r="E40" i="13"/>
  <c r="E38" i="13"/>
  <c r="E36" i="13"/>
  <c r="E34" i="13"/>
  <c r="E32" i="13"/>
  <c r="E30" i="13"/>
  <c r="E28" i="13"/>
  <c r="E26" i="13"/>
  <c r="E24" i="13"/>
  <c r="E22" i="13"/>
  <c r="E20" i="13"/>
  <c r="E18" i="13"/>
  <c r="E16" i="13"/>
  <c r="E14" i="13"/>
  <c r="E12" i="13"/>
  <c r="E10" i="13"/>
  <c r="E8" i="13"/>
  <c r="E6" i="13"/>
  <c r="E4" i="13"/>
  <c r="E49" i="13"/>
  <c r="E47" i="13"/>
  <c r="E45" i="13"/>
  <c r="E43" i="13"/>
  <c r="E41" i="13"/>
  <c r="E39" i="13"/>
  <c r="E37" i="13"/>
  <c r="E35" i="13"/>
  <c r="E33" i="13"/>
  <c r="E31" i="13"/>
  <c r="E29" i="13"/>
  <c r="E27" i="13"/>
  <c r="E25" i="13"/>
  <c r="E23" i="13"/>
  <c r="E21" i="13"/>
  <c r="E19" i="13"/>
  <c r="E17" i="13"/>
  <c r="E15" i="13"/>
  <c r="E13" i="13"/>
  <c r="E11" i="13"/>
  <c r="E9" i="13"/>
  <c r="E7" i="13"/>
  <c r="E5" i="13"/>
  <c r="E3" i="13"/>
  <c r="AB36" i="13"/>
  <c r="Y45" i="13"/>
  <c r="Y16" i="13"/>
  <c r="AB39" i="13"/>
  <c r="Y43" i="13"/>
  <c r="AB14" i="13"/>
  <c r="Y35" i="13"/>
  <c r="AB6" i="13"/>
  <c r="S3" i="2"/>
  <c r="Z22" i="2" s="1"/>
  <c r="Y26" i="13"/>
  <c r="AB15" i="13"/>
  <c r="Y34" i="13"/>
  <c r="AB5" i="13"/>
  <c r="AB16" i="13"/>
  <c r="Y40" i="13"/>
  <c r="Y49" i="13"/>
  <c r="AB38" i="13"/>
  <c r="AB44" i="13"/>
  <c r="AB34" i="13"/>
  <c r="AB17" i="13"/>
  <c r="Y21" i="13"/>
  <c r="AB33" i="13"/>
  <c r="AB3" i="13"/>
  <c r="AB41" i="13"/>
  <c r="Y17" i="13"/>
  <c r="AB40" i="13"/>
  <c r="AB49" i="13"/>
  <c r="Y6" i="13"/>
  <c r="Y13" i="13"/>
  <c r="K5" i="6"/>
  <c r="AB31" i="13"/>
  <c r="AB35" i="13"/>
  <c r="K10" i="6"/>
  <c r="AB8" i="13"/>
  <c r="AB19" i="13"/>
  <c r="K4" i="6"/>
  <c r="Y4" i="13"/>
  <c r="Y15" i="13"/>
  <c r="Y28" i="13"/>
  <c r="Y39" i="13"/>
  <c r="Y12" i="13"/>
  <c r="AB26" i="13"/>
  <c r="AB37" i="13"/>
  <c r="Y42" i="13"/>
  <c r="AB4" i="13"/>
  <c r="Y8" i="13"/>
  <c r="AB13" i="13"/>
  <c r="AB28" i="13"/>
  <c r="AB32" i="13"/>
  <c r="Y47" i="13"/>
  <c r="Y2" i="13"/>
  <c r="AB7" i="13"/>
  <c r="Y20" i="13"/>
  <c r="K25" i="6"/>
  <c r="AB42" i="13"/>
  <c r="K17" i="6"/>
  <c r="K14" i="6"/>
  <c r="Y32" i="13"/>
  <c r="Y36" i="13"/>
  <c r="AB47" i="13"/>
  <c r="Y46" i="13"/>
  <c r="AB18" i="13"/>
  <c r="Y30" i="13"/>
  <c r="Y7" i="13"/>
  <c r="Y27" i="13"/>
  <c r="AB43" i="13"/>
  <c r="Y5" i="13"/>
  <c r="K42" i="6"/>
  <c r="Y14" i="13"/>
  <c r="Y29" i="13"/>
  <c r="K21" i="6"/>
  <c r="AB48" i="13"/>
  <c r="AB45" i="13"/>
  <c r="Y31" i="13"/>
  <c r="AB11" i="13"/>
  <c r="Y3" i="13"/>
  <c r="Y33" i="13"/>
  <c r="AB10" i="13"/>
  <c r="Y37" i="13"/>
  <c r="Y10" i="13"/>
  <c r="K49" i="6"/>
  <c r="Y38" i="13"/>
  <c r="AB12" i="13"/>
  <c r="AB46" i="13"/>
  <c r="AB27" i="13"/>
  <c r="Y41" i="13"/>
  <c r="AB30" i="13"/>
  <c r="Y44" i="13"/>
  <c r="Y9" i="13"/>
  <c r="K3" i="6"/>
  <c r="AB9" i="13"/>
  <c r="Y48" i="13"/>
  <c r="AB29" i="13"/>
  <c r="Y11" i="13"/>
  <c r="Y22" i="13"/>
  <c r="AB2" i="13"/>
  <c r="AA21" i="13"/>
  <c r="AB21" i="13" s="1"/>
  <c r="Z21" i="13"/>
  <c r="X25" i="13"/>
  <c r="Y25" i="13" s="1"/>
  <c r="AA25" i="13"/>
  <c r="AB25" i="13" s="1"/>
  <c r="W25" i="13"/>
  <c r="Z25" i="13"/>
  <c r="Z20" i="13"/>
  <c r="AA20" i="13"/>
  <c r="AB20" i="13" s="1"/>
  <c r="X18" i="13"/>
  <c r="Y18" i="13" s="1"/>
  <c r="W18" i="13"/>
  <c r="AA22" i="13"/>
  <c r="AB22" i="13" s="1"/>
  <c r="Z22" i="13"/>
  <c r="AA24" i="13"/>
  <c r="AB24" i="13" s="1"/>
  <c r="Z24" i="13"/>
  <c r="X24" i="13"/>
  <c r="Y24" i="13" s="1"/>
  <c r="W24" i="13"/>
  <c r="X19" i="13"/>
  <c r="Y19" i="13" s="1"/>
  <c r="W19" i="13"/>
  <c r="X23" i="13"/>
  <c r="Y23" i="13" s="1"/>
  <c r="AA23" i="13"/>
  <c r="AB23" i="13" s="1"/>
  <c r="W23" i="13"/>
  <c r="Z23" i="13"/>
  <c r="D3" i="2"/>
  <c r="W40" i="2" l="1"/>
  <c r="V40" i="2"/>
  <c r="X40" i="2"/>
  <c r="T40" i="2"/>
  <c r="W14" i="2"/>
  <c r="V14" i="2"/>
  <c r="U14" i="2"/>
  <c r="Y14" i="2" s="1"/>
  <c r="Z32" i="2" s="1"/>
  <c r="T14" i="2"/>
  <c r="X14" i="2"/>
  <c r="V25" i="2"/>
  <c r="W25" i="2"/>
  <c r="T25" i="2"/>
  <c r="X25" i="2"/>
  <c r="U25" i="2"/>
  <c r="Y25" i="2" s="1"/>
  <c r="Z13" i="2" s="1"/>
  <c r="W35" i="2"/>
  <c r="T35" i="2"/>
  <c r="X35" i="2"/>
  <c r="V35" i="2"/>
  <c r="W46" i="2"/>
  <c r="U46" i="2"/>
  <c r="Y46" i="2" s="1"/>
  <c r="Z46" i="2" s="1"/>
  <c r="X46" i="2"/>
  <c r="T46" i="2"/>
  <c r="V46" i="2"/>
  <c r="W32" i="2"/>
  <c r="V32" i="2"/>
  <c r="X32" i="2"/>
  <c r="T32" i="2"/>
  <c r="W45" i="2"/>
  <c r="V45" i="2"/>
  <c r="X45" i="2"/>
  <c r="T45" i="2"/>
  <c r="V36" i="2"/>
  <c r="W36" i="2"/>
  <c r="X36" i="2"/>
  <c r="T36" i="2"/>
  <c r="T37" i="2"/>
  <c r="W37" i="2"/>
  <c r="V37" i="2"/>
  <c r="X37" i="2"/>
  <c r="U19" i="2"/>
  <c r="Y19" i="2" s="1"/>
  <c r="Z19" i="2" s="1"/>
  <c r="V19" i="2"/>
  <c r="W19" i="2"/>
  <c r="T19" i="2"/>
  <c r="X19" i="2"/>
  <c r="U9" i="2"/>
  <c r="Y9" i="2" s="1"/>
  <c r="Z9" i="2" s="1"/>
  <c r="V9" i="2"/>
  <c r="W9" i="2"/>
  <c r="T9" i="2"/>
  <c r="X9" i="2"/>
  <c r="Z26" i="2"/>
  <c r="Z18" i="2"/>
  <c r="V47" i="2"/>
  <c r="X47" i="2"/>
  <c r="W47" i="2"/>
  <c r="T47" i="2"/>
  <c r="U47" i="2"/>
  <c r="Y47" i="2" s="1"/>
  <c r="Z47" i="2" s="1"/>
  <c r="V28" i="2"/>
  <c r="U28" i="2"/>
  <c r="Y28" i="2" s="1"/>
  <c r="Z40" i="2" s="1"/>
  <c r="W28" i="2"/>
  <c r="X28" i="2"/>
  <c r="T28" i="2"/>
  <c r="Z28" i="2"/>
  <c r="T39" i="2"/>
  <c r="W39" i="2"/>
  <c r="X39" i="2"/>
  <c r="V39" i="2"/>
  <c r="W49" i="2"/>
  <c r="X49" i="2"/>
  <c r="V49" i="2"/>
  <c r="T49" i="2"/>
  <c r="Z49" i="2"/>
  <c r="T29" i="2"/>
  <c r="W29" i="2"/>
  <c r="V29" i="2"/>
  <c r="X29" i="2"/>
  <c r="W38" i="2"/>
  <c r="V38" i="2"/>
  <c r="U38" i="2"/>
  <c r="Y38" i="2" s="1"/>
  <c r="Z38" i="2" s="1"/>
  <c r="X38" i="2"/>
  <c r="T38" i="2"/>
  <c r="U21" i="2"/>
  <c r="Y21" i="2" s="1"/>
  <c r="Z21" i="2" s="1"/>
  <c r="V21" i="2"/>
  <c r="T21" i="2"/>
  <c r="W21" i="2"/>
  <c r="X21" i="2"/>
  <c r="W30" i="2"/>
  <c r="V30" i="2"/>
  <c r="T30" i="2"/>
  <c r="X30" i="2"/>
  <c r="X13" i="2"/>
  <c r="V13" i="2"/>
  <c r="W13" i="2"/>
  <c r="T13" i="2"/>
  <c r="Z43" i="2"/>
  <c r="Z6" i="2"/>
  <c r="Z7" i="2"/>
  <c r="Z4" i="2"/>
  <c r="Z5" i="2"/>
  <c r="X23" i="2"/>
  <c r="V23" i="2"/>
  <c r="W23" i="2"/>
  <c r="T23" i="2"/>
  <c r="Z23" i="2"/>
  <c r="W8" i="2"/>
  <c r="T8" i="2"/>
  <c r="X8" i="2"/>
  <c r="V8" i="2"/>
  <c r="W12" i="2"/>
  <c r="X12" i="2"/>
  <c r="U12" i="2"/>
  <c r="Y12" i="2" s="1"/>
  <c r="Z12" i="2" s="1"/>
  <c r="T12" i="2"/>
  <c r="V12" i="2"/>
  <c r="U41" i="2"/>
  <c r="Y41" i="2" s="1"/>
  <c r="Z17" i="2" s="1"/>
  <c r="X41" i="2"/>
  <c r="T41" i="2"/>
  <c r="W41" i="2"/>
  <c r="V41" i="2"/>
  <c r="W10" i="2"/>
  <c r="T10" i="2"/>
  <c r="X10" i="2"/>
  <c r="Z10" i="2"/>
  <c r="V10" i="2"/>
  <c r="W27" i="2"/>
  <c r="T27" i="2"/>
  <c r="V27" i="2"/>
  <c r="X27" i="2"/>
  <c r="Z27" i="2"/>
  <c r="T42" i="2"/>
  <c r="W42" i="2"/>
  <c r="V42" i="2"/>
  <c r="X42" i="2"/>
  <c r="T31" i="2"/>
  <c r="W31" i="2"/>
  <c r="Z31" i="2"/>
  <c r="V31" i="2"/>
  <c r="X31" i="2"/>
  <c r="X17" i="2"/>
  <c r="V17" i="2"/>
  <c r="W17" i="2"/>
  <c r="T17" i="2"/>
  <c r="Z50" i="2"/>
  <c r="K2" i="6"/>
  <c r="Z67" i="2"/>
  <c r="Z87" i="2"/>
  <c r="Z85" i="2"/>
  <c r="Z79" i="2"/>
  <c r="Z84" i="2"/>
  <c r="Z66" i="2"/>
  <c r="Z76" i="2"/>
  <c r="Z74" i="2"/>
  <c r="Z93" i="2"/>
  <c r="Z91" i="2"/>
  <c r="Z102" i="2"/>
  <c r="Z94" i="2"/>
  <c r="Z51" i="2"/>
  <c r="Z61" i="2"/>
  <c r="Z69" i="2"/>
  <c r="Z68" i="2"/>
  <c r="Z75" i="2"/>
  <c r="Z65" i="2"/>
  <c r="Z81" i="2"/>
  <c r="Z89" i="2"/>
  <c r="Z63" i="2"/>
  <c r="Z100" i="2"/>
  <c r="Z92" i="2"/>
  <c r="Z53" i="2"/>
  <c r="Z55" i="2"/>
  <c r="Z77" i="2"/>
  <c r="Z60" i="2"/>
  <c r="Z56" i="2"/>
  <c r="Z97" i="2"/>
  <c r="Z78" i="2"/>
  <c r="Z64" i="2"/>
  <c r="Z62" i="2"/>
  <c r="Z98" i="2"/>
  <c r="Z90" i="2"/>
  <c r="Z101" i="2"/>
  <c r="Z52" i="2"/>
  <c r="Z59" i="2"/>
  <c r="Z99" i="2"/>
  <c r="Z86" i="2"/>
  <c r="Z95" i="2"/>
  <c r="Z73" i="2"/>
  <c r="Z80" i="2"/>
  <c r="Z58" i="2"/>
  <c r="Z96" i="2"/>
  <c r="Z88" i="2"/>
  <c r="Z71" i="2"/>
  <c r="Z82" i="2"/>
  <c r="Z83" i="2"/>
  <c r="Z57" i="2"/>
  <c r="Z70" i="2"/>
  <c r="Z72" i="2"/>
  <c r="Z54" i="2"/>
  <c r="W16" i="2"/>
  <c r="X16" i="2"/>
  <c r="V16" i="2"/>
  <c r="T16" i="2"/>
  <c r="Z16" i="2"/>
  <c r="X44" i="2"/>
  <c r="W44" i="2"/>
  <c r="Z44" i="2"/>
  <c r="V44" i="2"/>
  <c r="T44" i="2"/>
  <c r="W48" i="2"/>
  <c r="U48" i="2"/>
  <c r="Y48" i="2" s="1"/>
  <c r="Z48" i="2" s="1"/>
  <c r="X48" i="2"/>
  <c r="V48" i="2"/>
  <c r="T48" i="2"/>
  <c r="W34" i="2"/>
  <c r="V34" i="2"/>
  <c r="X34" i="2"/>
  <c r="T34" i="2"/>
  <c r="Z34" i="2"/>
  <c r="W20" i="2"/>
  <c r="T20" i="2"/>
  <c r="X20" i="2"/>
  <c r="V20" i="2"/>
  <c r="Z20" i="2"/>
  <c r="W33" i="2"/>
  <c r="T33" i="2"/>
  <c r="X33" i="2"/>
  <c r="Z33" i="2"/>
  <c r="V33" i="2"/>
  <c r="W24" i="2"/>
  <c r="T24" i="2"/>
  <c r="X24" i="2"/>
  <c r="V24" i="2"/>
  <c r="Z24" i="2"/>
  <c r="Z11" i="2"/>
  <c r="Z15" i="2"/>
  <c r="AE51" i="6"/>
  <c r="AF51" i="6" s="1"/>
  <c r="BP53" i="6"/>
  <c r="AC51" i="6"/>
  <c r="AN82" i="6"/>
  <c r="AQ82" i="6" s="1"/>
  <c r="AR82" i="6" s="1"/>
  <c r="AB81" i="6"/>
  <c r="AC81" i="6" s="1"/>
  <c r="AL53" i="6"/>
  <c r="BF53" i="6"/>
  <c r="BU82" i="6"/>
  <c r="BV82" i="6" s="1"/>
  <c r="BQ82" i="6"/>
  <c r="AV53" i="6"/>
  <c r="O180" i="11"/>
  <c r="P180" i="11" s="1"/>
  <c r="I122" i="11"/>
  <c r="J122" i="11" s="1"/>
  <c r="G8" i="11"/>
  <c r="M931" i="11"/>
  <c r="N931" i="11" s="1"/>
  <c r="M176" i="11"/>
  <c r="N176" i="11" s="1"/>
  <c r="I12" i="11"/>
  <c r="J12" i="11" s="1"/>
  <c r="K297" i="11"/>
  <c r="L297" i="11" s="1"/>
  <c r="M287" i="11"/>
  <c r="N287" i="11" s="1"/>
  <c r="I579" i="11"/>
  <c r="J579" i="11" s="1"/>
  <c r="O188" i="11"/>
  <c r="P188" i="11" s="1"/>
  <c r="K60" i="11"/>
  <c r="L60" i="11" s="1"/>
  <c r="M581" i="11"/>
  <c r="N581" i="11" s="1"/>
  <c r="K61" i="11"/>
  <c r="L61" i="11" s="1"/>
  <c r="M120" i="11"/>
  <c r="N120" i="11" s="1"/>
  <c r="K528" i="11"/>
  <c r="L528" i="11" s="1"/>
  <c r="M468" i="11"/>
  <c r="N468" i="11" s="1"/>
  <c r="K294" i="11"/>
  <c r="L294" i="11" s="1"/>
  <c r="O290" i="11"/>
  <c r="P290" i="11" s="1"/>
  <c r="O123" i="11"/>
  <c r="P123" i="11" s="1"/>
  <c r="O74" i="11"/>
  <c r="P74" i="11" s="1"/>
  <c r="O174" i="11"/>
  <c r="P174" i="11" s="1"/>
  <c r="M20" i="11"/>
  <c r="N20" i="11" s="1"/>
  <c r="O179" i="11"/>
  <c r="P179" i="11" s="1"/>
  <c r="K187" i="11"/>
  <c r="L187" i="11" s="1"/>
  <c r="K468" i="11"/>
  <c r="L468" i="11" s="1"/>
  <c r="I125" i="11"/>
  <c r="J125" i="11" s="1"/>
  <c r="M304" i="11"/>
  <c r="N304" i="11" s="1"/>
  <c r="G191" i="11"/>
  <c r="H191" i="11" s="1"/>
  <c r="I178" i="11"/>
  <c r="J178" i="11" s="1"/>
  <c r="K176" i="11"/>
  <c r="L176" i="11" s="1"/>
  <c r="O59" i="11"/>
  <c r="P59" i="11" s="1"/>
  <c r="G62" i="11"/>
  <c r="G407" i="11"/>
  <c r="H407" i="11" s="1"/>
  <c r="G288" i="11"/>
  <c r="H288" i="11" s="1"/>
  <c r="O246" i="11"/>
  <c r="P246" i="11" s="1"/>
  <c r="G178" i="11"/>
  <c r="H178" i="11" s="1"/>
  <c r="O521" i="11"/>
  <c r="P521" i="11" s="1"/>
  <c r="O702" i="11"/>
  <c r="P702" i="11" s="1"/>
  <c r="O289" i="11"/>
  <c r="P289" i="11" s="1"/>
  <c r="G531" i="11"/>
  <c r="H531" i="11" s="1"/>
  <c r="K125" i="11"/>
  <c r="L125" i="11" s="1"/>
  <c r="K76" i="11"/>
  <c r="L76" i="11" s="1"/>
  <c r="O419" i="11"/>
  <c r="P419" i="11" s="1"/>
  <c r="I291" i="11"/>
  <c r="J291" i="11" s="1"/>
  <c r="M9" i="11"/>
  <c r="N9" i="11" s="1"/>
  <c r="O186" i="11"/>
  <c r="P186" i="11" s="1"/>
  <c r="G175" i="11"/>
  <c r="H175" i="11" s="1"/>
  <c r="O355" i="11"/>
  <c r="P355" i="11" s="1"/>
  <c r="O345" i="11"/>
  <c r="P345" i="11" s="1"/>
  <c r="O516" i="11"/>
  <c r="P516" i="11" s="1"/>
  <c r="I572" i="11"/>
  <c r="J572" i="11" s="1"/>
  <c r="O473" i="11"/>
  <c r="P473" i="11" s="1"/>
  <c r="O923" i="11"/>
  <c r="P923" i="11" s="1"/>
  <c r="BH50" i="6"/>
  <c r="AW50" i="6"/>
  <c r="BA50" i="6"/>
  <c r="BB50" i="6" s="1"/>
  <c r="K346" i="11"/>
  <c r="L346" i="11" s="1"/>
  <c r="I183" i="11"/>
  <c r="J183" i="11" s="1"/>
  <c r="G119" i="11"/>
  <c r="H119" i="11" s="1"/>
  <c r="K17" i="11"/>
  <c r="L17" i="11" s="1"/>
  <c r="G244" i="11"/>
  <c r="H244" i="11" s="1"/>
  <c r="G134" i="11"/>
  <c r="H134" i="11" s="1"/>
  <c r="G70" i="11"/>
  <c r="H70" i="11" s="1"/>
  <c r="O4" i="11"/>
  <c r="P4" i="11" s="1"/>
  <c r="K240" i="11"/>
  <c r="L240" i="11" s="1"/>
  <c r="M130" i="11"/>
  <c r="N130" i="11" s="1"/>
  <c r="O302" i="11"/>
  <c r="P302" i="11" s="1"/>
  <c r="M181" i="11"/>
  <c r="N181" i="11" s="1"/>
  <c r="K117" i="11"/>
  <c r="L117" i="11" s="1"/>
  <c r="I15" i="11"/>
  <c r="J15" i="11" s="1"/>
  <c r="O240" i="11"/>
  <c r="P240" i="11" s="1"/>
  <c r="K132" i="11"/>
  <c r="L132" i="11" s="1"/>
  <c r="K68" i="11"/>
  <c r="L68" i="11" s="1"/>
  <c r="I3" i="11"/>
  <c r="J3" i="11" s="1"/>
  <c r="I237" i="11"/>
  <c r="J237" i="11" s="1"/>
  <c r="K127" i="11"/>
  <c r="L127" i="11" s="1"/>
  <c r="M299" i="11"/>
  <c r="N299" i="11" s="1"/>
  <c r="G180" i="11"/>
  <c r="H180" i="11" s="1"/>
  <c r="K77" i="11"/>
  <c r="L77" i="11" s="1"/>
  <c r="G14" i="11"/>
  <c r="H14" i="11" s="1"/>
  <c r="M237" i="11"/>
  <c r="N237" i="11" s="1"/>
  <c r="K124" i="11"/>
  <c r="L124" i="11" s="1"/>
  <c r="O15" i="11"/>
  <c r="P15" i="11" s="1"/>
  <c r="M179" i="11"/>
  <c r="N179" i="11" s="1"/>
  <c r="M231" i="11"/>
  <c r="N231" i="11" s="1"/>
  <c r="G63" i="11"/>
  <c r="H63" i="11" s="1"/>
  <c r="K116" i="11"/>
  <c r="L116" i="11" s="1"/>
  <c r="K19" i="11"/>
  <c r="L19" i="11" s="1"/>
  <c r="I404" i="11"/>
  <c r="J404" i="11" s="1"/>
  <c r="O303" i="11"/>
  <c r="P303" i="11" s="1"/>
  <c r="M238" i="11"/>
  <c r="N238" i="11" s="1"/>
  <c r="I357" i="11"/>
  <c r="J357" i="11" s="1"/>
  <c r="G581" i="11"/>
  <c r="H581" i="11" s="1"/>
  <c r="K350" i="11"/>
  <c r="L350" i="11" s="1"/>
  <c r="G529" i="11"/>
  <c r="H529" i="11" s="1"/>
  <c r="O814" i="11"/>
  <c r="P814" i="11" s="1"/>
  <c r="O868" i="11"/>
  <c r="P868" i="11" s="1"/>
  <c r="M116" i="11"/>
  <c r="N116" i="11" s="1"/>
  <c r="G359" i="11"/>
  <c r="H359" i="11" s="1"/>
  <c r="O413" i="11"/>
  <c r="P413" i="11" s="1"/>
  <c r="O411" i="11"/>
  <c r="P411" i="11" s="1"/>
  <c r="M584" i="11"/>
  <c r="N584" i="11" s="1"/>
  <c r="M246" i="11"/>
  <c r="N246" i="11" s="1"/>
  <c r="M305" i="11"/>
  <c r="N305" i="11" s="1"/>
  <c r="K864" i="11"/>
  <c r="L864" i="11" s="1"/>
  <c r="G919" i="11"/>
  <c r="H919" i="11" s="1"/>
  <c r="M118" i="11"/>
  <c r="N118" i="11" s="1"/>
  <c r="G131" i="11"/>
  <c r="H131" i="11" s="1"/>
  <c r="M759" i="11"/>
  <c r="N759" i="11" s="1"/>
  <c r="I754" i="11"/>
  <c r="J754" i="11" s="1"/>
  <c r="O402" i="11"/>
  <c r="P402" i="11" s="1"/>
  <c r="M230" i="11"/>
  <c r="N230" i="11" s="1"/>
  <c r="I298" i="11"/>
  <c r="J298" i="11" s="1"/>
  <c r="K347" i="11"/>
  <c r="L347" i="11" s="1"/>
  <c r="G69" i="11"/>
  <c r="H69" i="11" s="1"/>
  <c r="M688" i="11"/>
  <c r="N688" i="11" s="1"/>
  <c r="O515" i="11"/>
  <c r="P515" i="11" s="1"/>
  <c r="K473" i="11"/>
  <c r="L473" i="11" s="1"/>
  <c r="M646" i="11"/>
  <c r="N646" i="11" s="1"/>
  <c r="O360" i="11"/>
  <c r="P360" i="11" s="1"/>
  <c r="G932" i="11"/>
  <c r="H932" i="11" s="1"/>
  <c r="I405" i="11"/>
  <c r="J405" i="11" s="1"/>
  <c r="M344" i="11"/>
  <c r="N344" i="11" s="1"/>
  <c r="M350" i="11"/>
  <c r="N350" i="11" s="1"/>
  <c r="O463" i="11"/>
  <c r="P463" i="11" s="1"/>
  <c r="O7" i="11"/>
  <c r="P7" i="11" s="1"/>
  <c r="G174" i="11"/>
  <c r="H174" i="11" s="1"/>
  <c r="O8" i="11"/>
  <c r="P8" i="11" s="1"/>
  <c r="O175" i="11"/>
  <c r="P175" i="11" s="1"/>
  <c r="M289" i="11"/>
  <c r="N289" i="11" s="1"/>
  <c r="G59" i="11"/>
  <c r="H59" i="11" s="1"/>
  <c r="G123" i="11"/>
  <c r="H123" i="11" s="1"/>
  <c r="O187" i="11"/>
  <c r="P187" i="11" s="1"/>
  <c r="I412" i="11"/>
  <c r="J412" i="11" s="1"/>
  <c r="I698" i="11"/>
  <c r="J698" i="11" s="1"/>
  <c r="K749" i="11"/>
  <c r="L749" i="11" s="1"/>
  <c r="M521" i="11"/>
  <c r="N521" i="11" s="1"/>
  <c r="K585" i="11"/>
  <c r="L585" i="11" s="1"/>
  <c r="G476" i="11"/>
  <c r="H476" i="11" s="1"/>
  <c r="G802" i="11"/>
  <c r="H802" i="11" s="1"/>
  <c r="K696" i="11"/>
  <c r="L696" i="11" s="1"/>
  <c r="K632" i="11"/>
  <c r="L632" i="11" s="1"/>
  <c r="I640" i="11"/>
  <c r="J640" i="11" s="1"/>
  <c r="M522" i="11"/>
  <c r="N522" i="11" s="1"/>
  <c r="G465" i="11"/>
  <c r="H465" i="11" s="1"/>
  <c r="O410" i="11"/>
  <c r="P410" i="11" s="1"/>
  <c r="G360" i="11"/>
  <c r="H360" i="11" s="1"/>
  <c r="I808" i="11"/>
  <c r="J808" i="11" s="1"/>
  <c r="O574" i="11"/>
  <c r="P574" i="11" s="1"/>
  <c r="K472" i="11"/>
  <c r="L472" i="11" s="1"/>
  <c r="O875" i="11"/>
  <c r="P875" i="11" s="1"/>
  <c r="K574" i="11"/>
  <c r="L574" i="11" s="1"/>
  <c r="K471" i="11"/>
  <c r="L471" i="11" s="1"/>
  <c r="I458" i="11"/>
  <c r="J458" i="11" s="1"/>
  <c r="K404" i="11"/>
  <c r="L404" i="11" s="1"/>
  <c r="G354" i="11"/>
  <c r="H354" i="11" s="1"/>
  <c r="O467" i="11"/>
  <c r="P467" i="11" s="1"/>
  <c r="O401" i="11"/>
  <c r="P401" i="11" s="1"/>
  <c r="I248" i="11"/>
  <c r="J248" i="11" s="1"/>
  <c r="K235" i="11"/>
  <c r="L235" i="11" s="1"/>
  <c r="G629" i="11"/>
  <c r="H629" i="11" s="1"/>
  <c r="O412" i="11"/>
  <c r="P412" i="11" s="1"/>
  <c r="K349" i="11"/>
  <c r="L349" i="11" s="1"/>
  <c r="I302" i="11"/>
  <c r="J302" i="11" s="1"/>
  <c r="O295" i="11"/>
  <c r="P295" i="11" s="1"/>
  <c r="K289" i="11"/>
  <c r="L289" i="11" s="1"/>
  <c r="I461" i="11"/>
  <c r="J461" i="11" s="1"/>
  <c r="G361" i="11"/>
  <c r="H361" i="11" s="1"/>
  <c r="O247" i="11"/>
  <c r="P247" i="11" s="1"/>
  <c r="G235" i="11"/>
  <c r="H235" i="11" s="1"/>
  <c r="M8" i="11"/>
  <c r="N8" i="11" s="1"/>
  <c r="M70" i="11"/>
  <c r="N70" i="11" s="1"/>
  <c r="K184" i="11"/>
  <c r="L184" i="11" s="1"/>
  <c r="O344" i="11"/>
  <c r="P344" i="11" s="1"/>
  <c r="K20" i="11"/>
  <c r="L20" i="11" s="1"/>
  <c r="O122" i="11"/>
  <c r="P122" i="11" s="1"/>
  <c r="K186" i="11"/>
  <c r="L186" i="11" s="1"/>
  <c r="I354" i="11"/>
  <c r="J354" i="11" s="1"/>
  <c r="K69" i="11"/>
  <c r="L69" i="11" s="1"/>
  <c r="K133" i="11"/>
  <c r="L133" i="11" s="1"/>
  <c r="K244" i="11"/>
  <c r="L244" i="11" s="1"/>
  <c r="O73" i="11"/>
  <c r="P73" i="11" s="1"/>
  <c r="I186" i="11"/>
  <c r="J186" i="11" s="1"/>
  <c r="M352" i="11"/>
  <c r="N352" i="11" s="1"/>
  <c r="I691" i="11"/>
  <c r="J691" i="11" s="1"/>
  <c r="I629" i="11"/>
  <c r="J629" i="11" s="1"/>
  <c r="I468" i="11"/>
  <c r="J468" i="11" s="1"/>
  <c r="K635" i="11"/>
  <c r="L635" i="11" s="1"/>
  <c r="K419" i="11"/>
  <c r="L419" i="11" s="1"/>
  <c r="O291" i="11"/>
  <c r="P291" i="11" s="1"/>
  <c r="O239" i="11"/>
  <c r="P239" i="11" s="1"/>
  <c r="K119" i="11"/>
  <c r="K584" i="11"/>
  <c r="L584" i="11" s="1"/>
  <c r="O701" i="11"/>
  <c r="P701" i="11" s="1"/>
  <c r="I805" i="11"/>
  <c r="J805" i="11" s="1"/>
  <c r="O523" i="11"/>
  <c r="P523" i="11" s="1"/>
  <c r="G861" i="11"/>
  <c r="H861" i="11" s="1"/>
  <c r="M575" i="11"/>
  <c r="N575" i="11" s="1"/>
  <c r="O354" i="11"/>
  <c r="P354" i="11" s="1"/>
  <c r="I236" i="11"/>
  <c r="M302" i="11"/>
  <c r="N302" i="11" s="1"/>
  <c r="M362" i="11"/>
  <c r="N362" i="11" s="1"/>
  <c r="I60" i="11"/>
  <c r="J60" i="11" s="1"/>
  <c r="I187" i="11"/>
  <c r="J187" i="11" s="1"/>
  <c r="I61" i="11"/>
  <c r="J61" i="11" s="1"/>
  <c r="I182" i="11"/>
  <c r="J182" i="11" s="1"/>
  <c r="K302" i="11"/>
  <c r="L302" i="11" s="1"/>
  <c r="K65" i="11"/>
  <c r="L65" i="11" s="1"/>
  <c r="K129" i="11"/>
  <c r="L129" i="11" s="1"/>
  <c r="K236" i="11"/>
  <c r="M697" i="11"/>
  <c r="N697" i="11" s="1"/>
  <c r="M640" i="11"/>
  <c r="N640" i="11" s="1"/>
  <c r="G686" i="11"/>
  <c r="H686" i="11" s="1"/>
  <c r="O926" i="11"/>
  <c r="P926" i="11" s="1"/>
  <c r="G533" i="11"/>
  <c r="H533" i="11" s="1"/>
  <c r="M469" i="11"/>
  <c r="N469" i="11" s="1"/>
  <c r="G756" i="11"/>
  <c r="H756" i="11" s="1"/>
  <c r="G690" i="11"/>
  <c r="H690" i="11" s="1"/>
  <c r="O588" i="11"/>
  <c r="P588" i="11" s="1"/>
  <c r="I580" i="11"/>
  <c r="J580" i="11" s="1"/>
  <c r="I516" i="11"/>
  <c r="J516" i="11" s="1"/>
  <c r="O461" i="11"/>
  <c r="P461" i="11" s="1"/>
  <c r="G408" i="11"/>
  <c r="H408" i="11" s="1"/>
  <c r="O356" i="11"/>
  <c r="P356" i="11" s="1"/>
  <c r="G744" i="11"/>
  <c r="H744" i="11" s="1"/>
  <c r="G530" i="11"/>
  <c r="H530" i="11" s="1"/>
  <c r="G466" i="11"/>
  <c r="H466" i="11" s="1"/>
  <c r="O752" i="11"/>
  <c r="P752" i="11" s="1"/>
  <c r="M529" i="11"/>
  <c r="N529" i="11" s="1"/>
  <c r="G468" i="11"/>
  <c r="H468" i="11" s="1"/>
  <c r="I414" i="11"/>
  <c r="J414" i="11" s="1"/>
  <c r="I401" i="11"/>
  <c r="J401" i="11" s="1"/>
  <c r="I921" i="11"/>
  <c r="J921" i="11" s="1"/>
  <c r="O418" i="11"/>
  <c r="P418" i="11" s="1"/>
  <c r="G357" i="11"/>
  <c r="H357" i="11" s="1"/>
  <c r="G245" i="11"/>
  <c r="H245" i="11" s="1"/>
  <c r="I232" i="11"/>
  <c r="J232" i="11" s="1"/>
  <c r="K515" i="11"/>
  <c r="L515" i="11" s="1"/>
  <c r="I406" i="11"/>
  <c r="J406" i="11" s="1"/>
  <c r="G346" i="11"/>
  <c r="H346" i="11" s="1"/>
  <c r="M300" i="11"/>
  <c r="N300" i="11" s="1"/>
  <c r="I294" i="11"/>
  <c r="J294" i="11" s="1"/>
  <c r="O287" i="11"/>
  <c r="P287" i="11" s="1"/>
  <c r="O416" i="11"/>
  <c r="P416" i="11" s="1"/>
  <c r="M354" i="11"/>
  <c r="N354" i="11" s="1"/>
  <c r="M244" i="11"/>
  <c r="N244" i="11" s="1"/>
  <c r="O231" i="11"/>
  <c r="P231" i="11" s="1"/>
  <c r="O12" i="11"/>
  <c r="P12" i="11" s="1"/>
  <c r="G121" i="11"/>
  <c r="H121" i="11" s="1"/>
  <c r="O230" i="11"/>
  <c r="P230" i="11" s="1"/>
  <c r="K579" i="11"/>
  <c r="L579" i="11" s="1"/>
  <c r="I65" i="11"/>
  <c r="J65" i="11" s="1"/>
  <c r="I129" i="11"/>
  <c r="J129" i="11" s="1"/>
  <c r="K234" i="11"/>
  <c r="L234" i="11" s="1"/>
  <c r="G693" i="11"/>
  <c r="H693" i="11" s="1"/>
  <c r="O75" i="11"/>
  <c r="P75" i="11" s="1"/>
  <c r="K178" i="11"/>
  <c r="L178" i="11" s="1"/>
  <c r="K296" i="11"/>
  <c r="L296" i="11" s="1"/>
  <c r="I124" i="11"/>
  <c r="J124" i="11" s="1"/>
  <c r="G234" i="11"/>
  <c r="H234" i="11" s="1"/>
  <c r="M11" i="11"/>
  <c r="O66" i="11"/>
  <c r="P66" i="11" s="1"/>
  <c r="O130" i="11"/>
  <c r="P130" i="11" s="1"/>
  <c r="M634" i="11"/>
  <c r="N634" i="11" s="1"/>
  <c r="M815" i="11"/>
  <c r="N815" i="11" s="1"/>
  <c r="K573" i="11"/>
  <c r="L573" i="11" s="1"/>
  <c r="G864" i="11"/>
  <c r="H864" i="11" s="1"/>
  <c r="M631" i="11"/>
  <c r="N631" i="11" s="1"/>
  <c r="K522" i="11"/>
  <c r="L522" i="11" s="1"/>
  <c r="I292" i="11"/>
  <c r="J292" i="11" s="1"/>
  <c r="K120" i="11"/>
  <c r="L120" i="11" s="1"/>
  <c r="O642" i="11"/>
  <c r="P642" i="11" s="1"/>
  <c r="G520" i="11"/>
  <c r="H520" i="11" s="1"/>
  <c r="I532" i="11"/>
  <c r="J532" i="11" s="1"/>
  <c r="G405" i="11"/>
  <c r="H405" i="11" s="1"/>
  <c r="I358" i="11"/>
  <c r="J358" i="11" s="1"/>
  <c r="O580" i="11"/>
  <c r="P580" i="11" s="1"/>
  <c r="O3" i="11"/>
  <c r="P3" i="11" s="1"/>
  <c r="I132" i="11"/>
  <c r="J132" i="11" s="1"/>
  <c r="K700" i="11"/>
  <c r="L700" i="11" s="1"/>
  <c r="O577" i="11"/>
  <c r="P577" i="11" s="1"/>
  <c r="G698" i="11"/>
  <c r="H698" i="11" s="1"/>
  <c r="M465" i="11"/>
  <c r="N465" i="11" s="1"/>
  <c r="I576" i="11"/>
  <c r="J576" i="11" s="1"/>
  <c r="I473" i="11"/>
  <c r="J473" i="11" s="1"/>
  <c r="I471" i="11"/>
  <c r="J471" i="11" s="1"/>
  <c r="M746" i="11"/>
  <c r="N746" i="11" s="1"/>
  <c r="I296" i="11"/>
  <c r="J296" i="11" s="1"/>
  <c r="M248" i="11"/>
  <c r="N248" i="11" s="1"/>
  <c r="G73" i="11"/>
  <c r="H73" i="11" s="1"/>
  <c r="K248" i="11"/>
  <c r="L248" i="11" s="1"/>
  <c r="G74" i="11"/>
  <c r="H74" i="11" s="1"/>
  <c r="M189" i="11"/>
  <c r="N189" i="11" s="1"/>
  <c r="I411" i="11"/>
  <c r="J411" i="11" s="1"/>
  <c r="O71" i="11"/>
  <c r="P71" i="11" s="1"/>
  <c r="K174" i="11"/>
  <c r="L174" i="11" s="1"/>
  <c r="K288" i="11"/>
  <c r="L288" i="11" s="1"/>
  <c r="M633" i="11"/>
  <c r="N633" i="11" s="1"/>
  <c r="I590" i="11"/>
  <c r="J590" i="11" s="1"/>
  <c r="O586" i="11"/>
  <c r="P586" i="11" s="1"/>
  <c r="M750" i="11"/>
  <c r="N750" i="11" s="1"/>
  <c r="M526" i="11"/>
  <c r="N526" i="11" s="1"/>
  <c r="K921" i="11"/>
  <c r="L921" i="11" s="1"/>
  <c r="O747" i="11"/>
  <c r="P747" i="11" s="1"/>
  <c r="I645" i="11"/>
  <c r="J645" i="11" s="1"/>
  <c r="O581" i="11"/>
  <c r="P581" i="11" s="1"/>
  <c r="O573" i="11"/>
  <c r="P573" i="11" s="1"/>
  <c r="O471" i="11"/>
  <c r="P471" i="11" s="1"/>
  <c r="M458" i="11"/>
  <c r="N458" i="11" s="1"/>
  <c r="O404" i="11"/>
  <c r="P404" i="11" s="1"/>
  <c r="M353" i="11"/>
  <c r="N353" i="11" s="1"/>
  <c r="G645" i="11"/>
  <c r="H645" i="11" s="1"/>
  <c r="M523" i="11"/>
  <c r="N523" i="11" s="1"/>
  <c r="O462" i="11"/>
  <c r="P462" i="11" s="1"/>
  <c r="K643" i="11"/>
  <c r="L643" i="11" s="1"/>
  <c r="I523" i="11"/>
  <c r="J523" i="11" s="1"/>
  <c r="M464" i="11"/>
  <c r="N464" i="11" s="1"/>
  <c r="G411" i="11"/>
  <c r="H411" i="11" s="1"/>
  <c r="K360" i="11"/>
  <c r="L360" i="11" s="1"/>
  <c r="G578" i="11"/>
  <c r="H578" i="11" s="1"/>
  <c r="I415" i="11"/>
  <c r="J415" i="11" s="1"/>
  <c r="O350" i="11"/>
  <c r="P350" i="11" s="1"/>
  <c r="O241" i="11"/>
  <c r="P241" i="11" s="1"/>
  <c r="M190" i="11"/>
  <c r="N190" i="11" s="1"/>
  <c r="K464" i="11"/>
  <c r="L464" i="11" s="1"/>
  <c r="K361" i="11"/>
  <c r="L361" i="11" s="1"/>
  <c r="K305" i="11"/>
  <c r="L305" i="11" s="1"/>
  <c r="G299" i="11"/>
  <c r="H299" i="11" s="1"/>
  <c r="M292" i="11"/>
  <c r="N292" i="11" s="1"/>
  <c r="M814" i="11"/>
  <c r="N814" i="11" s="1"/>
  <c r="K410" i="11"/>
  <c r="L410" i="11" s="1"/>
  <c r="I349" i="11"/>
  <c r="J349" i="11" s="1"/>
  <c r="K241" i="11"/>
  <c r="L241" i="11" s="1"/>
  <c r="I2" i="11"/>
  <c r="J2" i="11" s="1"/>
  <c r="I16" i="11"/>
  <c r="J16" i="11" s="1"/>
  <c r="O133" i="11"/>
  <c r="P133" i="11" s="1"/>
  <c r="M243" i="11"/>
  <c r="N243" i="11" s="1"/>
  <c r="K6" i="11"/>
  <c r="L6" i="11" s="1"/>
  <c r="M71" i="11"/>
  <c r="N71" i="11" s="1"/>
  <c r="K173" i="11"/>
  <c r="L173" i="11" s="1"/>
  <c r="I247" i="11"/>
  <c r="J247" i="11" s="1"/>
  <c r="AD82" i="6"/>
  <c r="AE82" i="6" s="1"/>
  <c r="AF82" i="6" s="1"/>
  <c r="I293" i="11"/>
  <c r="J293" i="11" s="1"/>
  <c r="O176" i="11"/>
  <c r="P176" i="11" s="1"/>
  <c r="I74" i="11"/>
  <c r="J74" i="11" s="1"/>
  <c r="O465" i="11"/>
  <c r="P465" i="11" s="1"/>
  <c r="I231" i="11"/>
  <c r="J231" i="11" s="1"/>
  <c r="M127" i="11"/>
  <c r="N127" i="11" s="1"/>
  <c r="M63" i="11"/>
  <c r="N63" i="11" s="1"/>
  <c r="I418" i="11"/>
  <c r="J418" i="11" s="1"/>
  <c r="K190" i="11"/>
  <c r="L190" i="11" s="1"/>
  <c r="O117" i="11"/>
  <c r="P117" i="11" s="1"/>
  <c r="G290" i="11"/>
  <c r="H290" i="11" s="1"/>
  <c r="I175" i="11"/>
  <c r="J175" i="11" s="1"/>
  <c r="M72" i="11"/>
  <c r="N72" i="11" s="1"/>
  <c r="K415" i="11"/>
  <c r="L415" i="11" s="1"/>
  <c r="O190" i="11"/>
  <c r="P190" i="11" s="1"/>
  <c r="G126" i="11"/>
  <c r="H126" i="11" s="1"/>
  <c r="O403" i="11"/>
  <c r="P403" i="11" s="1"/>
  <c r="K188" i="11"/>
  <c r="L188" i="11" s="1"/>
  <c r="G77" i="11"/>
  <c r="H77" i="11" s="1"/>
  <c r="M247" i="11"/>
  <c r="N247" i="11" s="1"/>
  <c r="M173" i="11"/>
  <c r="N173" i="11" s="1"/>
  <c r="G71" i="11"/>
  <c r="H71" i="11" s="1"/>
  <c r="K405" i="11"/>
  <c r="L405" i="11" s="1"/>
  <c r="M188" i="11"/>
  <c r="N188" i="11" s="1"/>
  <c r="G118" i="11"/>
  <c r="H118" i="11" s="1"/>
  <c r="I173" i="11"/>
  <c r="J173" i="11" s="1"/>
  <c r="O184" i="11"/>
  <c r="P184" i="11" s="1"/>
  <c r="G19" i="11"/>
  <c r="H19" i="11" s="1"/>
  <c r="O13" i="11"/>
  <c r="P13" i="11" s="1"/>
  <c r="K5" i="11"/>
  <c r="L5" i="11" s="1"/>
  <c r="I519" i="11"/>
  <c r="J519" i="11" s="1"/>
  <c r="G355" i="11"/>
  <c r="H355" i="11" s="1"/>
  <c r="G347" i="11"/>
  <c r="H347" i="11" s="1"/>
  <c r="M407" i="11"/>
  <c r="N407" i="11" s="1"/>
  <c r="M459" i="11"/>
  <c r="N459" i="11" s="1"/>
  <c r="M401" i="11"/>
  <c r="N401" i="11" s="1"/>
  <c r="I704" i="11"/>
  <c r="J704" i="11" s="1"/>
  <c r="I520" i="11"/>
  <c r="J520" i="11" s="1"/>
  <c r="I804" i="11"/>
  <c r="J804" i="11" s="1"/>
  <c r="M14" i="11"/>
  <c r="N14" i="11" s="1"/>
  <c r="K123" i="11"/>
  <c r="L123" i="11" s="1"/>
  <c r="K403" i="11"/>
  <c r="L403" i="11" s="1"/>
  <c r="G634" i="11"/>
  <c r="H634" i="11" s="1"/>
  <c r="O17" i="11"/>
  <c r="P17" i="11" s="1"/>
  <c r="I460" i="11"/>
  <c r="J460" i="11" s="1"/>
  <c r="M240" i="11"/>
  <c r="N240" i="11" s="1"/>
  <c r="M690" i="11"/>
  <c r="N690" i="11" s="1"/>
  <c r="W3" i="2"/>
  <c r="I241" i="11"/>
  <c r="J241" i="11" s="1"/>
  <c r="O131" i="11"/>
  <c r="P131" i="11" s="1"/>
  <c r="O67" i="11"/>
  <c r="P67" i="11" s="1"/>
  <c r="M345" i="11"/>
  <c r="N345" i="11" s="1"/>
  <c r="M184" i="11"/>
  <c r="N184" i="11" s="1"/>
  <c r="I121" i="11"/>
  <c r="J121" i="11" s="1"/>
  <c r="O18" i="11"/>
  <c r="P18" i="11" s="1"/>
  <c r="M303" i="11"/>
  <c r="N303" i="11" s="1"/>
  <c r="O182" i="11"/>
  <c r="P182" i="11" s="1"/>
  <c r="K67" i="11"/>
  <c r="L67" i="11" s="1"/>
  <c r="G238" i="11"/>
  <c r="H238" i="11" s="1"/>
  <c r="I130" i="11"/>
  <c r="J130" i="11" s="1"/>
  <c r="I66" i="11"/>
  <c r="J66" i="11" s="1"/>
  <c r="G304" i="11"/>
  <c r="H304" i="11" s="1"/>
  <c r="G183" i="11"/>
  <c r="H183" i="11" s="1"/>
  <c r="M119" i="11"/>
  <c r="N119" i="11" s="1"/>
  <c r="I17" i="11"/>
  <c r="J17" i="11" s="1"/>
  <c r="K300" i="11"/>
  <c r="L300" i="11" s="1"/>
  <c r="I181" i="11"/>
  <c r="J181" i="11" s="1"/>
  <c r="I64" i="11"/>
  <c r="J64" i="11" s="1"/>
  <c r="O234" i="11"/>
  <c r="P234" i="11" s="1"/>
  <c r="M128" i="11"/>
  <c r="N128" i="11" s="1"/>
  <c r="M64" i="11"/>
  <c r="N64" i="11" s="1"/>
  <c r="O300" i="11"/>
  <c r="P300" i="11" s="1"/>
  <c r="K181" i="11"/>
  <c r="L181" i="11" s="1"/>
  <c r="I73" i="11"/>
  <c r="J73" i="11" s="1"/>
  <c r="I297" i="11"/>
  <c r="J297" i="11" s="1"/>
  <c r="G61" i="11"/>
  <c r="H61" i="11" s="1"/>
  <c r="G127" i="11"/>
  <c r="H127" i="11" s="1"/>
  <c r="M297" i="11"/>
  <c r="N297" i="11" s="1"/>
  <c r="G294" i="11"/>
  <c r="H294" i="11" s="1"/>
  <c r="I238" i="11"/>
  <c r="J238" i="11" s="1"/>
  <c r="G291" i="11"/>
  <c r="H291" i="11" s="1"/>
  <c r="O417" i="11"/>
  <c r="P417" i="11" s="1"/>
  <c r="I408" i="11"/>
  <c r="J408" i="11" s="1"/>
  <c r="K461" i="11"/>
  <c r="L461" i="11" s="1"/>
  <c r="I517" i="11"/>
  <c r="J517" i="11" s="1"/>
  <c r="G414" i="11"/>
  <c r="H414" i="11" s="1"/>
  <c r="O638" i="11"/>
  <c r="P638" i="11" s="1"/>
  <c r="K687" i="11"/>
  <c r="L687" i="11" s="1"/>
  <c r="I301" i="11"/>
  <c r="J301" i="11" s="1"/>
  <c r="I239" i="11"/>
  <c r="J239" i="11" s="1"/>
  <c r="O235" i="11"/>
  <c r="P235" i="11" s="1"/>
  <c r="O458" i="11"/>
  <c r="P458" i="11" s="1"/>
  <c r="G524" i="11"/>
  <c r="H524" i="11" s="1"/>
  <c r="K407" i="11"/>
  <c r="L407" i="11" s="1"/>
  <c r="M409" i="11"/>
  <c r="N409" i="11" s="1"/>
  <c r="G464" i="11"/>
  <c r="H464" i="11" s="1"/>
  <c r="O640" i="11"/>
  <c r="P640" i="11" s="1"/>
  <c r="G302" i="11"/>
  <c r="H302" i="11" s="1"/>
  <c r="K459" i="11"/>
  <c r="L459" i="11" s="1"/>
  <c r="M416" i="11"/>
  <c r="N416" i="11" s="1"/>
  <c r="I643" i="11"/>
  <c r="J643" i="11" s="1"/>
  <c r="I918" i="11"/>
  <c r="J918" i="11" s="1"/>
  <c r="M915" i="11"/>
  <c r="N915" i="11" s="1"/>
  <c r="K802" i="11"/>
  <c r="L802" i="11" s="1"/>
  <c r="I583" i="11"/>
  <c r="J583" i="11" s="1"/>
  <c r="I13" i="11"/>
  <c r="J13" i="11" s="1"/>
  <c r="O472" i="11"/>
  <c r="P472" i="11" s="1"/>
  <c r="G413" i="11"/>
  <c r="H413" i="11" s="1"/>
  <c r="M643" i="11"/>
  <c r="N643" i="11" s="1"/>
  <c r="G807" i="11"/>
  <c r="H807" i="11" s="1"/>
  <c r="M974" i="11"/>
  <c r="N974" i="11" s="1"/>
  <c r="G743" i="11"/>
  <c r="H743" i="11" s="1"/>
  <c r="G875" i="11"/>
  <c r="H875" i="11" s="1"/>
  <c r="G812" i="11"/>
  <c r="H812" i="11" s="1"/>
  <c r="O977" i="11"/>
  <c r="P977" i="11" s="1"/>
  <c r="M861" i="11"/>
  <c r="N861" i="11" s="1"/>
  <c r="O807" i="11"/>
  <c r="P807" i="11" s="1"/>
  <c r="I756" i="11"/>
  <c r="J756" i="11" s="1"/>
  <c r="I809" i="11"/>
  <c r="J809" i="11" s="1"/>
  <c r="O751" i="11"/>
  <c r="P751" i="11" s="1"/>
  <c r="M701" i="11"/>
  <c r="N701" i="11" s="1"/>
  <c r="O688" i="11"/>
  <c r="P688" i="11" s="1"/>
  <c r="M637" i="11"/>
  <c r="N637" i="11" s="1"/>
  <c r="I585" i="11"/>
  <c r="J585" i="11" s="1"/>
  <c r="I812" i="11"/>
  <c r="J812" i="11" s="1"/>
  <c r="K752" i="11"/>
  <c r="L752" i="11" s="1"/>
  <c r="I702" i="11"/>
  <c r="J702" i="11" s="1"/>
  <c r="K689" i="11"/>
  <c r="L689" i="11" s="1"/>
  <c r="G639" i="11"/>
  <c r="H639" i="11" s="1"/>
  <c r="G589" i="11"/>
  <c r="H589" i="11" s="1"/>
  <c r="I818" i="11"/>
  <c r="J818" i="11" s="1"/>
  <c r="G746" i="11"/>
  <c r="H746" i="11" s="1"/>
  <c r="G646" i="11"/>
  <c r="H646" i="11" s="1"/>
  <c r="G583" i="11"/>
  <c r="H583" i="11" s="1"/>
  <c r="K532" i="11"/>
  <c r="L532" i="11" s="1"/>
  <c r="M519" i="11"/>
  <c r="N519" i="11" s="1"/>
  <c r="M868" i="11"/>
  <c r="N868" i="11" s="1"/>
  <c r="I747" i="11"/>
  <c r="J747" i="11" s="1"/>
  <c r="O645" i="11"/>
  <c r="P645" i="11" s="1"/>
  <c r="O582" i="11"/>
  <c r="P582" i="11" s="1"/>
  <c r="K987" i="11"/>
  <c r="L987" i="11" s="1"/>
  <c r="G984" i="11"/>
  <c r="H984" i="11" s="1"/>
  <c r="G989" i="11"/>
  <c r="H989" i="11" s="1"/>
  <c r="K980" i="11"/>
  <c r="L980" i="11" s="1"/>
  <c r="O974" i="11"/>
  <c r="P974" i="11" s="1"/>
  <c r="K927" i="11"/>
  <c r="L927" i="11" s="1"/>
  <c r="M914" i="11"/>
  <c r="N914" i="11" s="1"/>
  <c r="G925" i="11"/>
  <c r="H925" i="11" s="1"/>
  <c r="I976" i="11"/>
  <c r="J976" i="11" s="1"/>
  <c r="M873" i="11"/>
  <c r="N873" i="11" s="1"/>
  <c r="O860" i="11"/>
  <c r="P860" i="11" s="1"/>
  <c r="O921" i="11"/>
  <c r="P921" i="11" s="1"/>
  <c r="K868" i="11"/>
  <c r="L868" i="11" s="1"/>
  <c r="I928" i="11"/>
  <c r="J928" i="11" s="1"/>
  <c r="G858" i="11"/>
  <c r="H858" i="11" s="1"/>
  <c r="G808" i="11"/>
  <c r="H808" i="11" s="1"/>
  <c r="O919" i="11"/>
  <c r="P919" i="11" s="1"/>
  <c r="K816" i="11"/>
  <c r="L816" i="11" s="1"/>
  <c r="O803" i="11"/>
  <c r="P803" i="11" s="1"/>
  <c r="M867" i="11"/>
  <c r="N867" i="11" s="1"/>
  <c r="I801" i="11"/>
  <c r="J801" i="11" s="1"/>
  <c r="M747" i="11"/>
  <c r="N747" i="11" s="1"/>
  <c r="K630" i="11"/>
  <c r="L630" i="11" s="1"/>
  <c r="G695" i="11"/>
  <c r="H695" i="11" s="1"/>
  <c r="M587" i="11"/>
  <c r="N587" i="11" s="1"/>
  <c r="O744" i="11"/>
  <c r="P744" i="11" s="1"/>
  <c r="I582" i="11"/>
  <c r="J582" i="11" s="1"/>
  <c r="G519" i="11"/>
  <c r="H519" i="11" s="1"/>
  <c r="O745" i="11"/>
  <c r="P745" i="11" s="1"/>
  <c r="G582" i="11"/>
  <c r="H582" i="11" s="1"/>
  <c r="I525" i="11"/>
  <c r="J525" i="11" s="1"/>
  <c r="K475" i="11"/>
  <c r="L475" i="11" s="1"/>
  <c r="M811" i="11"/>
  <c r="N811" i="11" s="1"/>
  <c r="I701" i="11"/>
  <c r="J701" i="11" s="1"/>
  <c r="I637" i="11"/>
  <c r="J637" i="11" s="1"/>
  <c r="O697" i="11"/>
  <c r="P697" i="11" s="1"/>
  <c r="M527" i="11"/>
  <c r="N527" i="11" s="1"/>
  <c r="O466" i="11"/>
  <c r="P466" i="11" s="1"/>
  <c r="K413" i="11"/>
  <c r="L413" i="11" s="1"/>
  <c r="K362" i="11"/>
  <c r="L362" i="11" s="1"/>
  <c r="M349" i="11"/>
  <c r="N349" i="11" s="1"/>
  <c r="G580" i="11"/>
  <c r="H580" i="11" s="1"/>
  <c r="G516" i="11"/>
  <c r="H516" i="11" s="1"/>
  <c r="G459" i="11"/>
  <c r="H459" i="11" s="1"/>
  <c r="I578" i="11"/>
  <c r="J578" i="11" s="1"/>
  <c r="O475" i="11"/>
  <c r="P475" i="11" s="1"/>
  <c r="O460" i="11"/>
  <c r="P460" i="11" s="1"/>
  <c r="O406" i="11"/>
  <c r="P406" i="11" s="1"/>
  <c r="K356" i="11"/>
  <c r="L356" i="11" s="1"/>
  <c r="M516" i="11"/>
  <c r="N516" i="11" s="1"/>
  <c r="M406" i="11"/>
  <c r="N406" i="11" s="1"/>
  <c r="I346" i="11"/>
  <c r="J346" i="11" s="1"/>
  <c r="O237" i="11"/>
  <c r="P237" i="11" s="1"/>
  <c r="M186" i="11"/>
  <c r="N186" i="11" s="1"/>
  <c r="G417" i="11"/>
  <c r="H417" i="11" s="1"/>
  <c r="K353" i="11"/>
  <c r="L353" i="11" s="1"/>
  <c r="K303" i="11"/>
  <c r="L303" i="11" s="1"/>
  <c r="G297" i="11"/>
  <c r="H297" i="11" s="1"/>
  <c r="M290" i="11"/>
  <c r="N290" i="11" s="1"/>
  <c r="K469" i="11"/>
  <c r="L469" i="11" s="1"/>
  <c r="M402" i="11"/>
  <c r="N402" i="11" s="1"/>
  <c r="G345" i="11"/>
  <c r="H345" i="11" s="1"/>
  <c r="K237" i="11"/>
  <c r="L237" i="11" s="1"/>
  <c r="I6" i="11"/>
  <c r="J6" i="11" s="1"/>
  <c r="I20" i="11"/>
  <c r="J20" i="11" s="1"/>
  <c r="K71" i="11"/>
  <c r="L71" i="11" s="1"/>
  <c r="O121" i="11"/>
  <c r="P121" i="11" s="1"/>
  <c r="M134" i="11"/>
  <c r="N134" i="11" s="1"/>
  <c r="I185" i="11"/>
  <c r="J185" i="11" s="1"/>
  <c r="I245" i="11"/>
  <c r="J245" i="11" s="1"/>
  <c r="G348" i="11"/>
  <c r="H348" i="11" s="1"/>
  <c r="I7" i="11"/>
  <c r="J7" i="11" s="1"/>
  <c r="M59" i="11"/>
  <c r="N59" i="11" s="1"/>
  <c r="K72" i="11"/>
  <c r="L72" i="11" s="1"/>
  <c r="M123" i="11"/>
  <c r="N123" i="11" s="1"/>
  <c r="I174" i="11"/>
  <c r="J174" i="11" s="1"/>
  <c r="M187" i="11"/>
  <c r="N187" i="11" s="1"/>
  <c r="O248" i="11"/>
  <c r="P248" i="11" s="1"/>
  <c r="M360" i="11"/>
  <c r="N360" i="11" s="1"/>
  <c r="O19" i="11"/>
  <c r="P19" i="11" s="1"/>
  <c r="I70" i="11"/>
  <c r="J70" i="11" s="1"/>
  <c r="K121" i="11"/>
  <c r="L121" i="11" s="1"/>
  <c r="I134" i="11"/>
  <c r="J134" i="11" s="1"/>
  <c r="M185" i="11"/>
  <c r="N185" i="11" s="1"/>
  <c r="G246" i="11"/>
  <c r="H246" i="11" s="1"/>
  <c r="I362" i="11"/>
  <c r="J362" i="11" s="1"/>
  <c r="G640" i="11"/>
  <c r="H640" i="11" s="1"/>
  <c r="M704" i="11"/>
  <c r="N704" i="11" s="1"/>
  <c r="G631" i="11"/>
  <c r="H631" i="11" s="1"/>
  <c r="G755" i="11"/>
  <c r="H755" i="11" s="1"/>
  <c r="G630" i="11"/>
  <c r="H630" i="11" s="1"/>
  <c r="O524" i="11"/>
  <c r="P524" i="11" s="1"/>
  <c r="M756" i="11"/>
  <c r="N756" i="11" s="1"/>
  <c r="O629" i="11"/>
  <c r="P629" i="11" s="1"/>
  <c r="O527" i="11"/>
  <c r="P527" i="11" s="1"/>
  <c r="G515" i="11"/>
  <c r="H515" i="11" s="1"/>
  <c r="I866" i="11"/>
  <c r="J866" i="11" s="1"/>
  <c r="K745" i="11"/>
  <c r="L745" i="11" s="1"/>
  <c r="G642" i="11"/>
  <c r="H642" i="11" s="1"/>
  <c r="O755" i="11"/>
  <c r="P755" i="11" s="1"/>
  <c r="O532" i="11"/>
  <c r="P532" i="11" s="1"/>
  <c r="G470" i="11"/>
  <c r="H470" i="11" s="1"/>
  <c r="M415" i="11"/>
  <c r="N415" i="11" s="1"/>
  <c r="I403" i="11"/>
  <c r="J403" i="11" s="1"/>
  <c r="G352" i="11"/>
  <c r="H352" i="11" s="1"/>
  <c r="I632" i="11"/>
  <c r="J632" i="11" s="1"/>
  <c r="O519" i="11"/>
  <c r="P519" i="11" s="1"/>
  <c r="M461" i="11"/>
  <c r="N461" i="11" s="1"/>
  <c r="M630" i="11"/>
  <c r="N630" i="11" s="1"/>
  <c r="K519" i="11"/>
  <c r="L519" i="11" s="1"/>
  <c r="K463" i="11"/>
  <c r="L463" i="11" s="1"/>
  <c r="I409" i="11"/>
  <c r="J409" i="11" s="1"/>
  <c r="O358" i="11"/>
  <c r="P358" i="11" s="1"/>
  <c r="G532" i="11"/>
  <c r="H532" i="11" s="1"/>
  <c r="G412" i="11"/>
  <c r="H412" i="11" s="1"/>
  <c r="M348" i="11"/>
  <c r="N348" i="11" s="1"/>
  <c r="I240" i="11"/>
  <c r="J240" i="11" s="1"/>
  <c r="G189" i="11"/>
  <c r="H189" i="11" s="1"/>
  <c r="I859" i="11"/>
  <c r="J859" i="11" s="1"/>
  <c r="O808" i="11"/>
  <c r="P808" i="11" s="1"/>
  <c r="M922" i="11"/>
  <c r="N922" i="11" s="1"/>
  <c r="K817" i="11"/>
  <c r="L817" i="11" s="1"/>
  <c r="M804" i="11"/>
  <c r="N804" i="11" s="1"/>
  <c r="M872" i="11"/>
  <c r="N872" i="11" s="1"/>
  <c r="O802" i="11"/>
  <c r="P802" i="11" s="1"/>
  <c r="M748" i="11"/>
  <c r="N748" i="11" s="1"/>
  <c r="K698" i="11"/>
  <c r="L698" i="11" s="1"/>
  <c r="I647" i="11"/>
  <c r="J647" i="11" s="1"/>
  <c r="K634" i="11"/>
  <c r="L634" i="11" s="1"/>
  <c r="K974" i="11"/>
  <c r="L974" i="11" s="1"/>
  <c r="O805" i="11"/>
  <c r="P805" i="11" s="1"/>
  <c r="M749" i="11"/>
  <c r="N749" i="11" s="1"/>
  <c r="G699" i="11"/>
  <c r="H699" i="11" s="1"/>
  <c r="I686" i="11"/>
  <c r="J686" i="11" s="1"/>
  <c r="O635" i="11"/>
  <c r="P635" i="11" s="1"/>
  <c r="O585" i="11"/>
  <c r="P585" i="11" s="1"/>
  <c r="O806" i="11"/>
  <c r="P806" i="11" s="1"/>
  <c r="G702" i="11"/>
  <c r="H702" i="11" s="1"/>
  <c r="M639" i="11"/>
  <c r="N639" i="11" s="1"/>
  <c r="O579" i="11"/>
  <c r="P579" i="11" s="1"/>
  <c r="I529" i="11"/>
  <c r="J529" i="11" s="1"/>
  <c r="K516" i="11"/>
  <c r="L516" i="11" s="1"/>
  <c r="O809" i="11"/>
  <c r="P809" i="11" s="1"/>
  <c r="K703" i="11"/>
  <c r="L703" i="11" s="1"/>
  <c r="K639" i="11"/>
  <c r="L639" i="11" s="1"/>
  <c r="K578" i="11"/>
  <c r="L578" i="11" s="1"/>
  <c r="I984" i="11"/>
  <c r="J984" i="11" s="1"/>
  <c r="O980" i="11"/>
  <c r="P980" i="11" s="1"/>
  <c r="O985" i="11"/>
  <c r="P985" i="11" s="1"/>
  <c r="G975" i="11"/>
  <c r="H975" i="11" s="1"/>
  <c r="O986" i="11"/>
  <c r="P986" i="11" s="1"/>
  <c r="M924" i="11"/>
  <c r="N924" i="11" s="1"/>
  <c r="I975" i="11"/>
  <c r="J975" i="11" s="1"/>
  <c r="I922" i="11"/>
  <c r="J922" i="11" s="1"/>
  <c r="G929" i="11"/>
  <c r="H929" i="11" s="1"/>
  <c r="K870" i="11"/>
  <c r="L870" i="11" s="1"/>
  <c r="M857" i="11"/>
  <c r="N857" i="11" s="1"/>
  <c r="I916" i="11"/>
  <c r="J916" i="11" s="1"/>
  <c r="I865" i="11"/>
  <c r="J865" i="11" s="1"/>
  <c r="I914" i="11"/>
  <c r="J914" i="11" s="1"/>
  <c r="M817" i="11"/>
  <c r="N817" i="11" s="1"/>
  <c r="O804" i="11"/>
  <c r="P804" i="11" s="1"/>
  <c r="I873" i="11"/>
  <c r="J873" i="11" s="1"/>
  <c r="K813" i="11"/>
  <c r="L813" i="11" s="1"/>
  <c r="M800" i="11"/>
  <c r="N800" i="11" s="1"/>
  <c r="M818" i="11"/>
  <c r="N818" i="11" s="1"/>
  <c r="K757" i="11"/>
  <c r="L757" i="11" s="1"/>
  <c r="K744" i="11"/>
  <c r="L744" i="11" s="1"/>
  <c r="K867" i="11"/>
  <c r="L867" i="11" s="1"/>
  <c r="M644" i="11"/>
  <c r="N644" i="11" s="1"/>
  <c r="I581" i="11"/>
  <c r="J581" i="11" s="1"/>
  <c r="G694" i="11"/>
  <c r="H694" i="11" s="1"/>
  <c r="G576" i="11"/>
  <c r="H576" i="11" s="1"/>
  <c r="O474" i="11"/>
  <c r="P474" i="11" s="1"/>
  <c r="K695" i="11"/>
  <c r="L695" i="11" s="1"/>
  <c r="M574" i="11"/>
  <c r="N574" i="11" s="1"/>
  <c r="G522" i="11"/>
  <c r="H522" i="11" s="1"/>
  <c r="I472" i="11"/>
  <c r="J472" i="11" s="1"/>
  <c r="M761" i="11"/>
  <c r="N761" i="11" s="1"/>
  <c r="O694" i="11"/>
  <c r="P694" i="11" s="1"/>
  <c r="O630" i="11"/>
  <c r="P630" i="11" s="1"/>
  <c r="O633" i="11"/>
  <c r="P633" i="11" s="1"/>
  <c r="I521" i="11"/>
  <c r="J521" i="11" s="1"/>
  <c r="M463" i="11"/>
  <c r="N463" i="11" s="1"/>
  <c r="I410" i="11"/>
  <c r="J410" i="11" s="1"/>
  <c r="I359" i="11"/>
  <c r="J359" i="11" s="1"/>
  <c r="K761" i="11"/>
  <c r="L761" i="11" s="1"/>
  <c r="M573" i="11"/>
  <c r="N573" i="11" s="1"/>
  <c r="M471" i="11"/>
  <c r="N471" i="11" s="1"/>
  <c r="I817" i="11"/>
  <c r="J817" i="11" s="1"/>
  <c r="K533" i="11"/>
  <c r="L533" i="11" s="1"/>
  <c r="M470" i="11"/>
  <c r="N470" i="11" s="1"/>
  <c r="K416" i="11"/>
  <c r="L416" i="11" s="1"/>
  <c r="M403" i="11"/>
  <c r="N403" i="11" s="1"/>
  <c r="I353" i="11"/>
  <c r="J353" i="11" s="1"/>
  <c r="M462" i="11"/>
  <c r="N462" i="11" s="1"/>
  <c r="O361" i="11"/>
  <c r="P361" i="11" s="1"/>
  <c r="K247" i="11"/>
  <c r="L247" i="11" s="1"/>
  <c r="M234" i="11"/>
  <c r="N234" i="11" s="1"/>
  <c r="O576" i="11"/>
  <c r="P576" i="11" s="1"/>
  <c r="M410" i="11"/>
  <c r="N410" i="11" s="1"/>
  <c r="K348" i="11"/>
  <c r="L348" i="11" s="1"/>
  <c r="O301" i="11"/>
  <c r="P301" i="11" s="1"/>
  <c r="K295" i="11"/>
  <c r="L295" i="11" s="1"/>
  <c r="G289" i="11"/>
  <c r="H289" i="11" s="1"/>
  <c r="I419" i="11"/>
  <c r="J419" i="11" s="1"/>
  <c r="K359" i="11"/>
  <c r="L359" i="11" s="1"/>
  <c r="G247" i="11"/>
  <c r="H247" i="11" s="1"/>
  <c r="I234" i="11"/>
  <c r="J234" i="11" s="1"/>
  <c r="K9" i="11"/>
  <c r="L9" i="11" s="1"/>
  <c r="O61" i="11"/>
  <c r="P61" i="11" s="1"/>
  <c r="M74" i="11"/>
  <c r="N74" i="11" s="1"/>
  <c r="G125" i="11"/>
  <c r="H125" i="11" s="1"/>
  <c r="M175" i="11"/>
  <c r="N175" i="11" s="1"/>
  <c r="K189" i="11"/>
  <c r="L189" i="11" s="1"/>
  <c r="I289" i="11"/>
  <c r="J289" i="11" s="1"/>
  <c r="K414" i="11"/>
  <c r="L414" i="11" s="1"/>
  <c r="K10" i="11"/>
  <c r="L10" i="11" s="1"/>
  <c r="O62" i="11"/>
  <c r="P62" i="11" s="1"/>
  <c r="M75" i="11"/>
  <c r="N75" i="11" s="1"/>
  <c r="O126" i="11"/>
  <c r="P126" i="11" s="1"/>
  <c r="K177" i="11"/>
  <c r="L177" i="11" s="1"/>
  <c r="O191" i="11"/>
  <c r="P191" i="11" s="1"/>
  <c r="O292" i="11"/>
  <c r="P292" i="11" s="1"/>
  <c r="G419" i="11"/>
  <c r="H419" i="11" s="1"/>
  <c r="M60" i="11"/>
  <c r="N60" i="11" s="1"/>
  <c r="K73" i="11"/>
  <c r="L73" i="11" s="1"/>
  <c r="M124" i="11"/>
  <c r="N124" i="11" s="1"/>
  <c r="G176" i="11"/>
  <c r="H176" i="11" s="1"/>
  <c r="G190" i="11"/>
  <c r="H190" i="11" s="1"/>
  <c r="M291" i="11"/>
  <c r="N291" i="11" s="1"/>
  <c r="G458" i="11"/>
  <c r="H458" i="11" s="1"/>
  <c r="O587" i="11"/>
  <c r="P587" i="11" s="1"/>
  <c r="O691" i="11"/>
  <c r="P691" i="11" s="1"/>
  <c r="G587" i="11"/>
  <c r="H587" i="11" s="1"/>
  <c r="M743" i="11"/>
  <c r="N743" i="11" s="1"/>
  <c r="K581" i="11"/>
  <c r="L581" i="11" s="1"/>
  <c r="K518" i="11"/>
  <c r="L518" i="11" s="1"/>
  <c r="M744" i="11"/>
  <c r="N744" i="11" s="1"/>
  <c r="M579" i="11"/>
  <c r="N579" i="11" s="1"/>
  <c r="M524" i="11"/>
  <c r="N524" i="11" s="1"/>
  <c r="G474" i="11"/>
  <c r="H474" i="11" s="1"/>
  <c r="K808" i="11"/>
  <c r="L808" i="11" s="1"/>
  <c r="M699" i="11"/>
  <c r="N699" i="11" s="1"/>
  <c r="M635" i="11"/>
  <c r="N635" i="11" s="1"/>
  <c r="K691" i="11"/>
  <c r="L691" i="11" s="1"/>
  <c r="K526" i="11"/>
  <c r="L526" i="11" s="1"/>
  <c r="I466" i="11"/>
  <c r="J466" i="11" s="1"/>
  <c r="K412" i="11"/>
  <c r="L412" i="11" s="1"/>
  <c r="M361" i="11"/>
  <c r="N361" i="11" s="1"/>
  <c r="O348" i="11"/>
  <c r="P348" i="11" s="1"/>
  <c r="K577" i="11"/>
  <c r="L577" i="11" s="1"/>
  <c r="G475" i="11"/>
  <c r="H475" i="11" s="1"/>
  <c r="K458" i="11"/>
  <c r="L458" i="11" s="1"/>
  <c r="G577" i="11"/>
  <c r="H577" i="11" s="1"/>
  <c r="M474" i="11"/>
  <c r="N474" i="11" s="1"/>
  <c r="K74" i="11"/>
  <c r="L74" i="11" s="1"/>
  <c r="O288" i="11"/>
  <c r="P288" i="11" s="1"/>
  <c r="G980" i="11"/>
  <c r="H980" i="11" s="1"/>
  <c r="M813" i="11"/>
  <c r="N813" i="11" s="1"/>
  <c r="K690" i="11"/>
  <c r="L690" i="11" s="1"/>
  <c r="G982" i="11"/>
  <c r="H982" i="11" s="1"/>
  <c r="K872" i="11"/>
  <c r="L872" i="11" s="1"/>
  <c r="G815" i="11"/>
  <c r="H815" i="11" s="1"/>
  <c r="G696" i="11"/>
  <c r="H696" i="11" s="1"/>
  <c r="G801" i="11"/>
  <c r="H801" i="11" s="1"/>
  <c r="K633" i="11"/>
  <c r="L633" i="11" s="1"/>
  <c r="I641" i="11"/>
  <c r="J641" i="11" s="1"/>
  <c r="M530" i="11"/>
  <c r="N530" i="11" s="1"/>
  <c r="G813" i="11"/>
  <c r="H813" i="11" s="1"/>
  <c r="G641" i="11"/>
  <c r="H641" i="11" s="1"/>
  <c r="K985" i="11"/>
  <c r="L985" i="11" s="1"/>
  <c r="G987" i="11"/>
  <c r="H987" i="11" s="1"/>
  <c r="M971" i="11"/>
  <c r="N971" i="11" s="1"/>
  <c r="O976" i="11"/>
  <c r="P976" i="11" s="1"/>
  <c r="I930" i="11"/>
  <c r="J930" i="11" s="1"/>
  <c r="G871" i="11"/>
  <c r="H871" i="11" s="1"/>
  <c r="I858" i="11"/>
  <c r="J858" i="11" s="1"/>
  <c r="M917" i="11"/>
  <c r="N917" i="11" s="1"/>
  <c r="O865" i="11"/>
  <c r="P865" i="11" s="1"/>
  <c r="G917" i="11"/>
  <c r="H917" i="11" s="1"/>
  <c r="G818" i="11"/>
  <c r="H818" i="11" s="1"/>
  <c r="M805" i="11"/>
  <c r="N805" i="11" s="1"/>
  <c r="I874" i="11"/>
  <c r="J874" i="11" s="1"/>
  <c r="I814" i="11"/>
  <c r="J814" i="11" s="1"/>
  <c r="K801" i="11"/>
  <c r="L801" i="11" s="1"/>
  <c r="O859" i="11"/>
  <c r="P859" i="11" s="1"/>
  <c r="I758" i="11"/>
  <c r="J758" i="11" s="1"/>
  <c r="I745" i="11"/>
  <c r="J745" i="11" s="1"/>
  <c r="I695" i="11"/>
  <c r="J695" i="11" s="1"/>
  <c r="G644" i="11"/>
  <c r="H644" i="11" s="1"/>
  <c r="I631" i="11"/>
  <c r="J631" i="11" s="1"/>
  <c r="G870" i="11"/>
  <c r="H870" i="11" s="1"/>
  <c r="O761" i="11"/>
  <c r="P761" i="11" s="1"/>
  <c r="I746" i="11"/>
  <c r="J746" i="11" s="1"/>
  <c r="O695" i="11"/>
  <c r="P695" i="11" s="1"/>
  <c r="K645" i="11"/>
  <c r="L645" i="11" s="1"/>
  <c r="M632" i="11"/>
  <c r="N632" i="11" s="1"/>
  <c r="M582" i="11"/>
  <c r="N582" i="11" s="1"/>
  <c r="O758" i="11"/>
  <c r="P758" i="11" s="1"/>
  <c r="M695" i="11"/>
  <c r="N695" i="11" s="1"/>
  <c r="I633" i="11"/>
  <c r="J633" i="11" s="1"/>
  <c r="M576" i="11"/>
  <c r="N576" i="11" s="1"/>
  <c r="G526" i="11"/>
  <c r="H526" i="11" s="1"/>
  <c r="I476" i="11"/>
  <c r="J476" i="11" s="1"/>
  <c r="K760" i="11"/>
  <c r="L760" i="11" s="1"/>
  <c r="G697" i="11"/>
  <c r="H697" i="11" s="1"/>
  <c r="G633" i="11"/>
  <c r="H633" i="11" s="1"/>
  <c r="I575" i="11"/>
  <c r="J575" i="11" s="1"/>
  <c r="G981" i="11"/>
  <c r="H981" i="11" s="1"/>
  <c r="M977" i="11"/>
  <c r="N977" i="11" s="1"/>
  <c r="M982" i="11"/>
  <c r="N982" i="11" s="1"/>
  <c r="G971" i="11"/>
  <c r="H971" i="11" s="1"/>
  <c r="O973" i="11"/>
  <c r="P973" i="11" s="1"/>
  <c r="G921" i="11"/>
  <c r="H921" i="11" s="1"/>
  <c r="G931" i="11"/>
  <c r="H931" i="11" s="1"/>
  <c r="M918" i="11"/>
  <c r="N918" i="11" s="1"/>
  <c r="G922" i="11"/>
  <c r="H922" i="11" s="1"/>
  <c r="I867" i="11"/>
  <c r="J867" i="11" s="1"/>
  <c r="G976" i="11"/>
  <c r="H976" i="11" s="1"/>
  <c r="G874" i="11"/>
  <c r="H874" i="11" s="1"/>
  <c r="G862" i="11"/>
  <c r="H862" i="11" s="1"/>
  <c r="O870" i="11"/>
  <c r="P870" i="11" s="1"/>
  <c r="K814" i="11"/>
  <c r="L814" i="11" s="1"/>
  <c r="M801" i="11"/>
  <c r="N801" i="11" s="1"/>
  <c r="O866" i="11"/>
  <c r="P866" i="11" s="1"/>
  <c r="I810" i="11"/>
  <c r="J810" i="11" s="1"/>
  <c r="I759" i="11"/>
  <c r="J759" i="11" s="1"/>
  <c r="G814" i="11"/>
  <c r="H814" i="11" s="1"/>
  <c r="G754" i="11"/>
  <c r="H754" i="11" s="1"/>
  <c r="K694" i="11"/>
  <c r="L694" i="11" s="1"/>
  <c r="G760" i="11"/>
  <c r="H760" i="11" s="1"/>
  <c r="I638" i="11"/>
  <c r="J638" i="11" s="1"/>
  <c r="I816" i="11"/>
  <c r="J816" i="11" s="1"/>
  <c r="K644" i="11"/>
  <c r="L644" i="11" s="1"/>
  <c r="O531" i="11"/>
  <c r="P531" i="11" s="1"/>
  <c r="M863" i="11"/>
  <c r="N863" i="11" s="1"/>
  <c r="I644" i="11"/>
  <c r="J644" i="11" s="1"/>
  <c r="M531" i="11"/>
  <c r="N531" i="11" s="1"/>
  <c r="O518" i="11"/>
  <c r="P518" i="11" s="1"/>
  <c r="G469" i="11"/>
  <c r="H469" i="11" s="1"/>
  <c r="K754" i="11"/>
  <c r="L754" i="11" s="1"/>
  <c r="K688" i="11"/>
  <c r="L688" i="11" s="1"/>
  <c r="I586" i="11"/>
  <c r="J586" i="11" s="1"/>
  <c r="O578" i="11"/>
  <c r="P578" i="11" s="1"/>
  <c r="K476" i="11"/>
  <c r="L476" i="11" s="1"/>
  <c r="K460" i="11"/>
  <c r="L460" i="11" s="1"/>
  <c r="I407" i="11"/>
  <c r="J407" i="11" s="1"/>
  <c r="G356" i="11"/>
  <c r="H356" i="11" s="1"/>
  <c r="M702" i="11"/>
  <c r="N702" i="11" s="1"/>
  <c r="O528" i="11"/>
  <c r="P528" i="11" s="1"/>
  <c r="K465" i="11"/>
  <c r="L465" i="11" s="1"/>
  <c r="G701" i="11"/>
  <c r="H701" i="11" s="1"/>
  <c r="G527" i="11"/>
  <c r="H527" i="11" s="1"/>
  <c r="I467" i="11"/>
  <c r="J467" i="11" s="1"/>
  <c r="I413" i="11"/>
  <c r="J413" i="11" s="1"/>
  <c r="O362" i="11"/>
  <c r="P362" i="11" s="1"/>
  <c r="M686" i="11"/>
  <c r="N686" i="11" s="1"/>
  <c r="G418" i="11"/>
  <c r="H418" i="11" s="1"/>
  <c r="K355" i="11"/>
  <c r="L355" i="11" s="1"/>
  <c r="I244" i="11"/>
  <c r="J244" i="11" s="1"/>
  <c r="K231" i="11"/>
  <c r="L231" i="11" s="1"/>
  <c r="K474" i="11"/>
  <c r="L474" i="11" s="1"/>
  <c r="M404" i="11"/>
  <c r="N404" i="11" s="1"/>
  <c r="I345" i="11"/>
  <c r="J345" i="11" s="1"/>
  <c r="I300" i="11"/>
  <c r="J300" i="11" s="1"/>
  <c r="O293" i="11"/>
  <c r="P293" i="11" s="1"/>
  <c r="K287" i="11"/>
  <c r="L287" i="11" s="1"/>
  <c r="M414" i="11"/>
  <c r="N414" i="11" s="1"/>
  <c r="G353" i="11"/>
  <c r="H353" i="11" s="1"/>
  <c r="O243" i="11"/>
  <c r="P243" i="11" s="1"/>
  <c r="G231" i="11"/>
  <c r="H231" i="11" s="1"/>
  <c r="M13" i="11"/>
  <c r="N13" i="11" s="1"/>
  <c r="G65" i="11"/>
  <c r="H65" i="11" s="1"/>
  <c r="O77" i="11"/>
  <c r="P77" i="11" s="1"/>
  <c r="I128" i="11"/>
  <c r="J128" i="11" s="1"/>
  <c r="O178" i="11"/>
  <c r="P178" i="11" s="1"/>
  <c r="K232" i="11"/>
  <c r="L232" i="11" s="1"/>
  <c r="M295" i="11"/>
  <c r="N295" i="11" s="1"/>
  <c r="M757" i="11"/>
  <c r="N757" i="11" s="1"/>
  <c r="K14" i="11"/>
  <c r="L14" i="11" s="1"/>
  <c r="G66" i="11"/>
  <c r="H66" i="11" s="1"/>
  <c r="I117" i="11"/>
  <c r="J117" i="11" s="1"/>
  <c r="G130" i="11"/>
  <c r="H130" i="11" s="1"/>
  <c r="M180" i="11"/>
  <c r="N180" i="11" s="1"/>
  <c r="G236" i="11"/>
  <c r="H236" i="11" s="1"/>
  <c r="I299" i="11"/>
  <c r="J299" i="11" s="1"/>
  <c r="O801" i="11"/>
  <c r="P801" i="11" s="1"/>
  <c r="O63" i="11"/>
  <c r="P63" i="11" s="1"/>
  <c r="M76" i="11"/>
  <c r="N76" i="11" s="1"/>
  <c r="O127" i="11"/>
  <c r="P127" i="11" s="1"/>
  <c r="I179" i="11"/>
  <c r="J179" i="11" s="1"/>
  <c r="I233" i="11"/>
  <c r="J233" i="11" s="1"/>
  <c r="G298" i="11"/>
  <c r="H298" i="11" s="1"/>
  <c r="G704" i="11"/>
  <c r="H704" i="11" s="1"/>
  <c r="M816" i="11"/>
  <c r="N816" i="11" s="1"/>
  <c r="O643" i="11"/>
  <c r="P643" i="11" s="1"/>
  <c r="M580" i="11"/>
  <c r="N580" i="11" s="1"/>
  <c r="K692" i="11"/>
  <c r="L692" i="11" s="1"/>
  <c r="K575" i="11"/>
  <c r="L575" i="11" s="1"/>
  <c r="I474" i="11"/>
  <c r="J474" i="11" s="1"/>
  <c r="O693" i="11"/>
  <c r="P693" i="11" s="1"/>
  <c r="I573" i="11"/>
  <c r="J573" i="11" s="1"/>
  <c r="K521" i="11"/>
  <c r="L521" i="11" s="1"/>
  <c r="G517" i="11"/>
  <c r="H517" i="11" s="1"/>
  <c r="O529" i="11"/>
  <c r="P529" i="11" s="1"/>
  <c r="I636" i="11"/>
  <c r="J636" i="11" s="1"/>
  <c r="K803" i="11"/>
  <c r="L803" i="11" s="1"/>
  <c r="G528" i="11"/>
  <c r="H528" i="11" s="1"/>
  <c r="K636" i="11"/>
  <c r="L636" i="11" s="1"/>
  <c r="K800" i="11"/>
  <c r="L800" i="11" s="1"/>
  <c r="I634" i="11"/>
  <c r="J634" i="11" s="1"/>
  <c r="G749" i="11"/>
  <c r="H749" i="11" s="1"/>
  <c r="K646" i="11"/>
  <c r="L646" i="11" s="1"/>
  <c r="G350" i="11"/>
  <c r="H350" i="11" s="1"/>
  <c r="O242" i="11"/>
  <c r="P242" i="11" s="1"/>
  <c r="G184" i="11"/>
  <c r="H184" i="11" s="1"/>
  <c r="M132" i="11"/>
  <c r="N132" i="11" s="1"/>
  <c r="O119" i="11"/>
  <c r="P119" i="11" s="1"/>
  <c r="M68" i="11"/>
  <c r="N68" i="11" s="1"/>
  <c r="I18" i="11"/>
  <c r="J18" i="11" s="1"/>
  <c r="G349" i="11"/>
  <c r="H349" i="11" s="1"/>
  <c r="M245" i="11"/>
  <c r="N245" i="11" s="1"/>
  <c r="K185" i="11"/>
  <c r="L185" i="11" s="1"/>
  <c r="O134" i="11"/>
  <c r="P134" i="11" s="1"/>
  <c r="G122" i="11"/>
  <c r="H122" i="11" s="1"/>
  <c r="O70" i="11"/>
  <c r="P70" i="11" s="1"/>
  <c r="M19" i="11"/>
  <c r="N19" i="11" s="1"/>
  <c r="M5" i="11"/>
  <c r="N5" i="11" s="1"/>
  <c r="I305" i="11"/>
  <c r="J305" i="11" s="1"/>
  <c r="G242" i="11"/>
  <c r="H242" i="11" s="1"/>
  <c r="M183" i="11"/>
  <c r="N183" i="11" s="1"/>
  <c r="G133" i="11"/>
  <c r="H133" i="11" s="1"/>
  <c r="I120" i="11"/>
  <c r="J120" i="11" s="1"/>
  <c r="O69" i="11"/>
  <c r="P69" i="11" s="1"/>
  <c r="M18" i="11"/>
  <c r="N18" i="11" s="1"/>
  <c r="M4" i="11"/>
  <c r="N4" i="11" s="1"/>
  <c r="G239" i="11"/>
  <c r="H239" i="11" s="1"/>
  <c r="M346" i="11"/>
  <c r="N346" i="11" s="1"/>
  <c r="O405" i="11"/>
  <c r="P405" i="11" s="1"/>
  <c r="K529" i="11"/>
  <c r="L529" i="11" s="1"/>
  <c r="K291" i="11"/>
  <c r="L291" i="11" s="1"/>
  <c r="O297" i="11"/>
  <c r="P297" i="11" s="1"/>
  <c r="I304" i="11"/>
  <c r="J304" i="11" s="1"/>
  <c r="M356" i="11"/>
  <c r="N356" i="11" s="1"/>
  <c r="M418" i="11"/>
  <c r="N418" i="11" s="1"/>
  <c r="I188" i="11"/>
  <c r="J188" i="11" s="1"/>
  <c r="K239" i="11"/>
  <c r="L239" i="11" s="1"/>
  <c r="O347" i="11"/>
  <c r="P347" i="11" s="1"/>
  <c r="O409" i="11"/>
  <c r="P409" i="11" s="1"/>
  <c r="O526" i="11"/>
  <c r="P526" i="11" s="1"/>
  <c r="G358" i="11"/>
  <c r="H358" i="11" s="1"/>
  <c r="K408" i="11"/>
  <c r="L408" i="11" s="1"/>
  <c r="G462" i="11"/>
  <c r="H462" i="11" s="1"/>
  <c r="G518" i="11"/>
  <c r="H518" i="11" s="1"/>
  <c r="O584" i="11"/>
  <c r="P584" i="11" s="1"/>
  <c r="G461" i="11"/>
  <c r="H461" i="11" s="1"/>
  <c r="M518" i="11"/>
  <c r="N518" i="11" s="1"/>
  <c r="G586" i="11"/>
  <c r="H586" i="11" s="1"/>
  <c r="I351" i="11"/>
  <c r="J351" i="11" s="1"/>
  <c r="K402" i="11"/>
  <c r="L402" i="11" s="1"/>
  <c r="G415" i="11"/>
  <c r="H415" i="11" s="1"/>
  <c r="I469" i="11"/>
  <c r="J469" i="11" s="1"/>
  <c r="I530" i="11"/>
  <c r="J530" i="11" s="1"/>
  <c r="O749" i="11"/>
  <c r="P749" i="11" s="1"/>
  <c r="K640" i="11"/>
  <c r="L640" i="11" s="1"/>
  <c r="K704" i="11"/>
  <c r="L704" i="11" s="1"/>
  <c r="I861" i="11"/>
  <c r="J861" i="11" s="1"/>
  <c r="M476" i="11"/>
  <c r="N476" i="11" s="1"/>
  <c r="I527" i="11"/>
  <c r="J527" i="11" s="1"/>
  <c r="G588" i="11"/>
  <c r="H588" i="11" s="1"/>
  <c r="G752" i="11"/>
  <c r="H752" i="11" s="1"/>
  <c r="I522" i="11"/>
  <c r="J522" i="11" s="1"/>
  <c r="I588" i="11"/>
  <c r="J588" i="11" s="1"/>
  <c r="O750" i="11"/>
  <c r="P750" i="11" s="1"/>
  <c r="O590" i="11"/>
  <c r="P590" i="11" s="1"/>
  <c r="K701" i="11"/>
  <c r="L701" i="11" s="1"/>
  <c r="O636" i="11"/>
  <c r="P636" i="11" s="1"/>
  <c r="G129" i="11"/>
  <c r="H129" i="11" s="1"/>
  <c r="I116" i="11"/>
  <c r="J116" i="11" s="1"/>
  <c r="O65" i="11"/>
  <c r="P65" i="11" s="1"/>
  <c r="G15" i="11"/>
  <c r="H15" i="11" s="1"/>
  <c r="I230" i="11"/>
  <c r="J230" i="11" s="1"/>
  <c r="G243" i="11"/>
  <c r="H243" i="11" s="1"/>
  <c r="K351" i="11"/>
  <c r="L351" i="11" s="1"/>
  <c r="M413" i="11"/>
  <c r="N413" i="11" s="1"/>
  <c r="G287" i="11"/>
  <c r="H287" i="11" s="1"/>
  <c r="K293" i="11"/>
  <c r="L293" i="11" s="1"/>
  <c r="O299" i="11"/>
  <c r="P299" i="11" s="1"/>
  <c r="K344" i="11"/>
  <c r="L344" i="11" s="1"/>
  <c r="G403" i="11"/>
  <c r="H403" i="11" s="1"/>
  <c r="K470" i="11"/>
  <c r="L470" i="11" s="1"/>
  <c r="O233" i="11"/>
  <c r="P233" i="11" s="1"/>
  <c r="K345" i="11"/>
  <c r="L345" i="11" s="1"/>
  <c r="I417" i="11"/>
  <c r="J417" i="11" s="1"/>
  <c r="K352" i="11"/>
  <c r="L352" i="11" s="1"/>
  <c r="G406" i="11"/>
  <c r="H406" i="11" s="1"/>
  <c r="M466" i="11"/>
  <c r="N466" i="11" s="1"/>
  <c r="M694" i="11"/>
  <c r="N694" i="11" s="1"/>
  <c r="I526" i="11"/>
  <c r="J526" i="11" s="1"/>
  <c r="I355" i="11"/>
  <c r="J355" i="11" s="1"/>
  <c r="O459" i="11"/>
  <c r="P459" i="11" s="1"/>
  <c r="M577" i="11"/>
  <c r="N577" i="11" s="1"/>
  <c r="O686" i="11"/>
  <c r="P686" i="11" s="1"/>
  <c r="M467" i="11"/>
  <c r="N467" i="11" s="1"/>
  <c r="M642" i="11"/>
  <c r="N642" i="11" s="1"/>
  <c r="I813" i="11"/>
  <c r="J813" i="11" s="1"/>
  <c r="K304" i="11"/>
  <c r="L304" i="11" s="1"/>
  <c r="I118" i="11"/>
  <c r="J118" i="11" s="1"/>
  <c r="K242" i="11"/>
  <c r="L242" i="11" s="1"/>
  <c r="I69" i="11"/>
  <c r="J69" i="11" s="1"/>
  <c r="O238" i="11"/>
  <c r="P238" i="11" s="1"/>
  <c r="I68" i="11"/>
  <c r="J68" i="11" s="1"/>
  <c r="I348" i="11"/>
  <c r="J348" i="11" s="1"/>
  <c r="M298" i="11"/>
  <c r="N298" i="11" s="1"/>
  <c r="O189" i="11"/>
  <c r="P189" i="11" s="1"/>
  <c r="G573" i="11"/>
  <c r="H573" i="11" s="1"/>
  <c r="M520" i="11"/>
  <c r="N520" i="11" s="1"/>
  <c r="M638" i="11"/>
  <c r="N638" i="11" s="1"/>
  <c r="G471" i="11"/>
  <c r="H471" i="11" s="1"/>
  <c r="O746" i="11"/>
  <c r="P746" i="11" s="1"/>
  <c r="K631" i="11"/>
  <c r="L631" i="11" s="1"/>
  <c r="O756" i="11"/>
  <c r="P756" i="11" s="1"/>
  <c r="I751" i="11"/>
  <c r="J751" i="11" s="1"/>
  <c r="K860" i="11"/>
  <c r="L860" i="11" s="1"/>
  <c r="O858" i="11"/>
  <c r="P858" i="11" s="1"/>
  <c r="K916" i="11"/>
  <c r="L916" i="11" s="1"/>
  <c r="M930" i="11"/>
  <c r="N930" i="11" s="1"/>
  <c r="I987" i="11"/>
  <c r="J987" i="11" s="1"/>
  <c r="K753" i="11"/>
  <c r="L753" i="11" s="1"/>
  <c r="K589" i="11"/>
  <c r="L589" i="11" s="1"/>
  <c r="K629" i="11"/>
  <c r="L629" i="11" s="1"/>
  <c r="I757" i="11"/>
  <c r="J757" i="11" s="1"/>
  <c r="G692" i="11"/>
  <c r="H692" i="11" s="1"/>
  <c r="O759" i="11"/>
  <c r="P759" i="11" s="1"/>
  <c r="I815" i="11"/>
  <c r="J815" i="11" s="1"/>
  <c r="M979" i="11"/>
  <c r="N979" i="11" s="1"/>
  <c r="K975" i="11"/>
  <c r="L975" i="11" s="1"/>
  <c r="I800" i="11"/>
  <c r="J800" i="11" s="1"/>
  <c r="K747" i="11"/>
  <c r="L747" i="11" s="1"/>
  <c r="K977" i="11"/>
  <c r="L977" i="11" s="1"/>
  <c r="O177" i="11"/>
  <c r="P177" i="11" s="1"/>
  <c r="M131" i="11"/>
  <c r="N131" i="11" s="1"/>
  <c r="O118" i="11"/>
  <c r="P118" i="11" s="1"/>
  <c r="M67" i="11"/>
  <c r="N67" i="11" s="1"/>
  <c r="K16" i="11"/>
  <c r="L16" i="11" s="1"/>
  <c r="K2" i="11"/>
  <c r="L2" i="11" s="1"/>
  <c r="O298" i="11"/>
  <c r="P298" i="11" s="1"/>
  <c r="M235" i="11"/>
  <c r="N235" i="11" s="1"/>
  <c r="K180" i="11"/>
  <c r="L180" i="11" s="1"/>
  <c r="O129" i="11"/>
  <c r="P129" i="11" s="1"/>
  <c r="G117" i="11"/>
  <c r="H117" i="11" s="1"/>
  <c r="M66" i="11"/>
  <c r="N66" i="11" s="1"/>
  <c r="M15" i="11"/>
  <c r="N15" i="11" s="1"/>
  <c r="K11" i="11"/>
  <c r="I242" i="11"/>
  <c r="J242" i="11" s="1"/>
  <c r="I350" i="11"/>
  <c r="J350" i="11" s="1"/>
  <c r="K411" i="11"/>
  <c r="L411" i="11" s="1"/>
  <c r="I871" i="11"/>
  <c r="J871" i="11" s="1"/>
  <c r="G293" i="11"/>
  <c r="H293" i="11" s="1"/>
  <c r="K299" i="11"/>
  <c r="L299" i="11" s="1"/>
  <c r="O305" i="11"/>
  <c r="P305" i="11" s="1"/>
  <c r="K401" i="11"/>
  <c r="L401" i="11" s="1"/>
  <c r="G467" i="11"/>
  <c r="H467" i="11" s="1"/>
  <c r="K191" i="11"/>
  <c r="L191" i="11" s="1"/>
  <c r="M242" i="11"/>
  <c r="N242" i="11" s="1"/>
  <c r="I352" i="11"/>
  <c r="J352" i="11" s="1"/>
  <c r="I416" i="11"/>
  <c r="J416" i="11" s="1"/>
  <c r="M588" i="11"/>
  <c r="N588" i="11" s="1"/>
  <c r="I361" i="11"/>
  <c r="J361" i="11" s="1"/>
  <c r="M411" i="11"/>
  <c r="N411" i="11" s="1"/>
  <c r="I465" i="11"/>
  <c r="J465" i="11" s="1"/>
  <c r="K524" i="11"/>
  <c r="L524" i="11" s="1"/>
  <c r="I688" i="11"/>
  <c r="J688" i="11" s="1"/>
  <c r="I464" i="11"/>
  <c r="J464" i="11" s="1"/>
  <c r="G525" i="11"/>
  <c r="H525" i="11" s="1"/>
  <c r="O689" i="11"/>
  <c r="P689" i="11" s="1"/>
  <c r="K354" i="11"/>
  <c r="L354" i="11" s="1"/>
  <c r="M405" i="11"/>
  <c r="N405" i="11" s="1"/>
  <c r="I459" i="11"/>
  <c r="J459" i="11" s="1"/>
  <c r="M472" i="11"/>
  <c r="N472" i="11" s="1"/>
  <c r="G575" i="11"/>
  <c r="H575" i="11" s="1"/>
  <c r="M583" i="11"/>
  <c r="N583" i="11" s="1"/>
  <c r="O646" i="11"/>
  <c r="P646" i="11" s="1"/>
  <c r="G750" i="11"/>
  <c r="H750" i="11" s="1"/>
  <c r="I932" i="11"/>
  <c r="J932" i="11" s="1"/>
  <c r="M517" i="11"/>
  <c r="N517" i="11" s="1"/>
  <c r="K530" i="11"/>
  <c r="L530" i="11" s="1"/>
  <c r="O637" i="11"/>
  <c r="P637" i="11" s="1"/>
  <c r="M806" i="11"/>
  <c r="N806" i="11" s="1"/>
  <c r="M528" i="11"/>
  <c r="N528" i="11" s="1"/>
  <c r="G638" i="11"/>
  <c r="H638" i="11" s="1"/>
  <c r="M803" i="11"/>
  <c r="N803" i="11" s="1"/>
  <c r="G635" i="11"/>
  <c r="H635" i="11" s="1"/>
  <c r="M751" i="11"/>
  <c r="N751" i="11" s="1"/>
  <c r="G688" i="11"/>
  <c r="H688" i="11" s="1"/>
  <c r="O125" i="11"/>
  <c r="P125" i="11" s="1"/>
  <c r="K75" i="11"/>
  <c r="L75" i="11" s="1"/>
  <c r="M62" i="11"/>
  <c r="N62" i="11" s="1"/>
  <c r="I10" i="11"/>
  <c r="J10" i="11" s="1"/>
  <c r="K233" i="11"/>
  <c r="L233" i="11" s="1"/>
  <c r="I246" i="11"/>
  <c r="J246" i="11" s="1"/>
  <c r="O357" i="11"/>
  <c r="P357" i="11" s="1"/>
  <c r="K418" i="11"/>
  <c r="L418" i="11" s="1"/>
  <c r="M288" i="11"/>
  <c r="N288" i="11" s="1"/>
  <c r="G295" i="11"/>
  <c r="H295" i="11" s="1"/>
  <c r="K301" i="11"/>
  <c r="L301" i="11" s="1"/>
  <c r="M347" i="11"/>
  <c r="N347" i="11" s="1"/>
  <c r="K409" i="11"/>
  <c r="L409" i="11" s="1"/>
  <c r="M525" i="11"/>
  <c r="N525" i="11" s="1"/>
  <c r="G237" i="11"/>
  <c r="H237" i="11" s="1"/>
  <c r="O353" i="11"/>
  <c r="P353" i="11" s="1"/>
  <c r="G460" i="11"/>
  <c r="H460" i="11" s="1"/>
  <c r="M355" i="11"/>
  <c r="N355" i="11" s="1"/>
  <c r="M412" i="11"/>
  <c r="N412" i="11" s="1"/>
  <c r="O469" i="11"/>
  <c r="P469" i="11" s="1"/>
  <c r="G805" i="11"/>
  <c r="H805" i="11" s="1"/>
  <c r="M532" i="11"/>
  <c r="N532" i="11" s="1"/>
  <c r="K358" i="11"/>
  <c r="L358" i="11" s="1"/>
  <c r="G463" i="11"/>
  <c r="H463" i="11" s="1"/>
  <c r="K587" i="11"/>
  <c r="L587" i="11" s="1"/>
  <c r="I693" i="11"/>
  <c r="J693" i="11" s="1"/>
  <c r="O470" i="11"/>
  <c r="P470" i="11" s="1"/>
  <c r="K858" i="11"/>
  <c r="L858" i="11" s="1"/>
  <c r="K637" i="11"/>
  <c r="L637" i="11" s="1"/>
  <c r="M239" i="11"/>
  <c r="N239" i="11" s="1"/>
  <c r="G67" i="11"/>
  <c r="H67" i="11" s="1"/>
  <c r="O183" i="11"/>
  <c r="P183" i="11" s="1"/>
  <c r="G18" i="11"/>
  <c r="H18" i="11" s="1"/>
  <c r="G182" i="11"/>
  <c r="H182" i="11" s="1"/>
  <c r="G17" i="11"/>
  <c r="H17" i="11" s="1"/>
  <c r="G409" i="11"/>
  <c r="H409" i="11" s="1"/>
  <c r="G305" i="11"/>
  <c r="H305" i="11" s="1"/>
  <c r="G241" i="11"/>
  <c r="H241" i="11" s="1"/>
  <c r="M359" i="11"/>
  <c r="N359" i="11" s="1"/>
  <c r="G637" i="11"/>
  <c r="H637" i="11" s="1"/>
  <c r="O352" i="11"/>
  <c r="P352" i="11" s="1"/>
  <c r="K572" i="11"/>
  <c r="L572" i="11" s="1"/>
  <c r="K871" i="11"/>
  <c r="L871" i="11" s="1"/>
  <c r="M758" i="11"/>
  <c r="N758" i="11" s="1"/>
  <c r="O631" i="11"/>
  <c r="P631" i="11" s="1"/>
  <c r="M807" i="11"/>
  <c r="N807" i="11" s="1"/>
  <c r="I971" i="11"/>
  <c r="J971" i="11" s="1"/>
  <c r="M871" i="11"/>
  <c r="N871" i="11" s="1"/>
  <c r="O915" i="11"/>
  <c r="P915" i="11" s="1"/>
  <c r="G979" i="11"/>
  <c r="H979" i="11" s="1"/>
  <c r="G572" i="11"/>
  <c r="H572" i="11" s="1"/>
  <c r="G473" i="11"/>
  <c r="H473" i="11" s="1"/>
  <c r="I689" i="11"/>
  <c r="J689" i="11" s="1"/>
  <c r="I642" i="11"/>
  <c r="J642" i="11" s="1"/>
  <c r="I857" i="11"/>
  <c r="J857" i="11" s="1"/>
  <c r="O704" i="11"/>
  <c r="P704" i="11" s="1"/>
  <c r="G811" i="11"/>
  <c r="H811" i="11" s="1"/>
  <c r="G872" i="11"/>
  <c r="H872" i="11" s="1"/>
  <c r="O867" i="11"/>
  <c r="P867" i="11" s="1"/>
  <c r="O983" i="11"/>
  <c r="P983" i="11" s="1"/>
  <c r="K527" i="11"/>
  <c r="L527" i="11" s="1"/>
  <c r="O644" i="11"/>
  <c r="P644" i="11" s="1"/>
  <c r="I587" i="11"/>
  <c r="J587" i="11" s="1"/>
  <c r="K13" i="11"/>
  <c r="L13" i="11" s="1"/>
  <c r="K523" i="11"/>
  <c r="L523" i="11" s="1"/>
  <c r="K576" i="11"/>
  <c r="L576" i="11" s="1"/>
  <c r="I700" i="11"/>
  <c r="J700" i="11" s="1"/>
  <c r="I515" i="11"/>
  <c r="J515" i="11" s="1"/>
  <c r="M578" i="11"/>
  <c r="N578" i="11" s="1"/>
  <c r="O698" i="11"/>
  <c r="P698" i="11" s="1"/>
  <c r="O583" i="11"/>
  <c r="P583" i="11" s="1"/>
  <c r="O647" i="11"/>
  <c r="P647" i="11" s="1"/>
  <c r="K929" i="11"/>
  <c r="L929" i="11" s="1"/>
  <c r="I528" i="11"/>
  <c r="J528" i="11" s="1"/>
  <c r="O294" i="11"/>
  <c r="P294" i="11" s="1"/>
  <c r="G230" i="11"/>
  <c r="H230" i="11" s="1"/>
  <c r="M177" i="11"/>
  <c r="N177" i="11" s="1"/>
  <c r="I126" i="11"/>
  <c r="J126" i="11" s="1"/>
  <c r="G75" i="11"/>
  <c r="H75" i="11" s="1"/>
  <c r="I62" i="11"/>
  <c r="J62" i="11" s="1"/>
  <c r="G523" i="11"/>
  <c r="H523" i="11" s="1"/>
  <c r="G296" i="11"/>
  <c r="H296" i="11" s="1"/>
  <c r="O232" i="11"/>
  <c r="P232" i="11" s="1"/>
  <c r="G179" i="11"/>
  <c r="H179" i="11" s="1"/>
  <c r="K128" i="11"/>
  <c r="L128" i="11" s="1"/>
  <c r="I77" i="11"/>
  <c r="J77" i="11" s="1"/>
  <c r="K64" i="11"/>
  <c r="L64" i="11" s="1"/>
  <c r="G13" i="11"/>
  <c r="H13" i="11" s="1"/>
  <c r="I463" i="11"/>
  <c r="J463" i="11" s="1"/>
  <c r="K292" i="11"/>
  <c r="L292" i="11" s="1"/>
  <c r="M191" i="11"/>
  <c r="N191" i="11" s="1"/>
  <c r="I177" i="11"/>
  <c r="J177" i="11" s="1"/>
  <c r="M126" i="11"/>
  <c r="N126" i="11" s="1"/>
  <c r="I76" i="11"/>
  <c r="J76" i="11" s="1"/>
  <c r="K63" i="11"/>
  <c r="L63" i="11" s="1"/>
  <c r="G12" i="11"/>
  <c r="H12" i="11" s="1"/>
  <c r="M232" i="11"/>
  <c r="N232" i="11" s="1"/>
  <c r="K245" i="11"/>
  <c r="L245" i="11" s="1"/>
  <c r="I356" i="11"/>
  <c r="J356" i="11" s="1"/>
  <c r="M417" i="11"/>
  <c r="N417" i="11" s="1"/>
  <c r="I288" i="11"/>
  <c r="J288" i="11" s="1"/>
  <c r="M294" i="11"/>
  <c r="N294" i="11" s="1"/>
  <c r="G301" i="11"/>
  <c r="H301" i="11" s="1"/>
  <c r="O346" i="11"/>
  <c r="P346" i="11" s="1"/>
  <c r="O407" i="11"/>
  <c r="P407" i="11" s="1"/>
  <c r="K520" i="11"/>
  <c r="L520" i="11" s="1"/>
  <c r="G233" i="11"/>
  <c r="H233" i="11" s="1"/>
  <c r="O245" i="11"/>
  <c r="P245" i="11" s="1"/>
  <c r="M358" i="11"/>
  <c r="N358" i="11" s="1"/>
  <c r="M419" i="11"/>
  <c r="N419" i="11" s="1"/>
  <c r="M351" i="11"/>
  <c r="N351" i="11" s="1"/>
  <c r="G402" i="11"/>
  <c r="H402" i="11" s="1"/>
  <c r="O414" i="11"/>
  <c r="P414" i="11" s="1"/>
  <c r="O468" i="11"/>
  <c r="P468" i="11" s="1"/>
  <c r="O530" i="11"/>
  <c r="P530" i="11" s="1"/>
  <c r="K759" i="11"/>
  <c r="L759" i="11" s="1"/>
  <c r="K467" i="11"/>
  <c r="L467" i="11" s="1"/>
  <c r="K531" i="11"/>
  <c r="L531" i="11" s="1"/>
  <c r="O748" i="11"/>
  <c r="P748" i="11" s="1"/>
  <c r="M357" i="11"/>
  <c r="N357" i="11" s="1"/>
  <c r="O408" i="11"/>
  <c r="P408" i="11" s="1"/>
  <c r="K462" i="11"/>
  <c r="L462" i="11" s="1"/>
  <c r="K517" i="11"/>
  <c r="L517" i="11" s="1"/>
  <c r="K582" i="11"/>
  <c r="L582" i="11" s="1"/>
  <c r="G590" i="11"/>
  <c r="H590" i="11" s="1"/>
  <c r="M691" i="11"/>
  <c r="N691" i="11" s="1"/>
  <c r="O757" i="11"/>
  <c r="P757" i="11" s="1"/>
  <c r="I470" i="11"/>
  <c r="J470" i="11" s="1"/>
  <c r="O520" i="11"/>
  <c r="P520" i="11" s="1"/>
  <c r="M533" i="11"/>
  <c r="N533" i="11" s="1"/>
  <c r="G689" i="11"/>
  <c r="H689" i="11" s="1"/>
  <c r="M983" i="11"/>
  <c r="N983" i="11" s="1"/>
  <c r="O572" i="11"/>
  <c r="P572" i="11" s="1"/>
  <c r="M687" i="11"/>
  <c r="N687" i="11" s="1"/>
  <c r="O873" i="11"/>
  <c r="P873" i="11" s="1"/>
  <c r="K641" i="11"/>
  <c r="L641" i="11" s="1"/>
  <c r="M810" i="11"/>
  <c r="N810" i="11" s="1"/>
  <c r="O700" i="11"/>
  <c r="P700" i="11" s="1"/>
  <c r="M122" i="11"/>
  <c r="N122" i="11" s="1"/>
  <c r="I72" i="11"/>
  <c r="J72" i="11" s="1"/>
  <c r="K59" i="11"/>
  <c r="L59" i="11" s="1"/>
  <c r="G7" i="11"/>
  <c r="H7" i="11" s="1"/>
  <c r="M236" i="11"/>
  <c r="N236" i="11" s="1"/>
  <c r="I344" i="11"/>
  <c r="J344" i="11" s="1"/>
  <c r="G401" i="11"/>
  <c r="H401" i="11" s="1"/>
  <c r="K466" i="11"/>
  <c r="L466" i="11" s="1"/>
  <c r="I290" i="11"/>
  <c r="J290" i="11" s="1"/>
  <c r="M296" i="11"/>
  <c r="N296" i="11" s="1"/>
  <c r="G303" i="11"/>
  <c r="H303" i="11" s="1"/>
  <c r="O351" i="11"/>
  <c r="P351" i="11" s="1"/>
  <c r="G416" i="11"/>
  <c r="H416" i="11" s="1"/>
  <c r="O185" i="11"/>
  <c r="P185" i="11" s="1"/>
  <c r="K243" i="11"/>
  <c r="L243" i="11" s="1"/>
  <c r="I360" i="11"/>
  <c r="J360" i="11" s="1"/>
  <c r="M475" i="11"/>
  <c r="N475" i="11" s="1"/>
  <c r="G362" i="11"/>
  <c r="H362" i="11" s="1"/>
  <c r="O415" i="11"/>
  <c r="P415" i="11" s="1"/>
  <c r="O525" i="11"/>
  <c r="P525" i="11" s="1"/>
  <c r="O464" i="11"/>
  <c r="P464" i="11" s="1"/>
  <c r="I696" i="11"/>
  <c r="J696" i="11" s="1"/>
  <c r="K406" i="11"/>
  <c r="L406" i="11" s="1"/>
  <c r="I475" i="11"/>
  <c r="J475" i="11" s="1"/>
  <c r="G585" i="11"/>
  <c r="H585" i="11" s="1"/>
  <c r="K751" i="11"/>
  <c r="L751" i="11" s="1"/>
  <c r="I518" i="11"/>
  <c r="J518" i="11" s="1"/>
  <c r="I531" i="11"/>
  <c r="J531" i="11" s="1"/>
  <c r="I755" i="11"/>
  <c r="J755" i="11" s="1"/>
  <c r="K182" i="11"/>
  <c r="L182" i="11" s="1"/>
  <c r="M16" i="11"/>
  <c r="N16" i="11" s="1"/>
  <c r="I133" i="11"/>
  <c r="J133" i="11" s="1"/>
  <c r="G4" i="11"/>
  <c r="H4" i="11" s="1"/>
  <c r="K131" i="11"/>
  <c r="L131" i="11" s="1"/>
  <c r="G3" i="11"/>
  <c r="H3" i="11" s="1"/>
  <c r="K699" i="11"/>
  <c r="L699" i="11" s="1"/>
  <c r="O359" i="11"/>
  <c r="P359" i="11" s="1"/>
  <c r="O349" i="11"/>
  <c r="P349" i="11" s="1"/>
  <c r="G410" i="11"/>
  <c r="H410" i="11" s="1"/>
  <c r="I462" i="11"/>
  <c r="J462" i="11" s="1"/>
  <c r="G404" i="11"/>
  <c r="H404" i="11" s="1"/>
  <c r="K811" i="11"/>
  <c r="L811" i="11" s="1"/>
  <c r="M515" i="11"/>
  <c r="N515" i="11" s="1"/>
  <c r="K525" i="11"/>
  <c r="L525" i="11" s="1"/>
  <c r="M745" i="11"/>
  <c r="N745" i="11" s="1"/>
  <c r="M755" i="11"/>
  <c r="N755" i="11" s="1"/>
  <c r="I811" i="11"/>
  <c r="J811" i="11" s="1"/>
  <c r="G930" i="11"/>
  <c r="H930" i="11" s="1"/>
  <c r="O927" i="11"/>
  <c r="P927" i="11" s="1"/>
  <c r="K979" i="11"/>
  <c r="L979" i="11" s="1"/>
  <c r="I589" i="11"/>
  <c r="J589" i="11" s="1"/>
  <c r="O522" i="11"/>
  <c r="P522" i="11" s="1"/>
  <c r="I752" i="11"/>
  <c r="J752" i="11" s="1"/>
  <c r="M692" i="11"/>
  <c r="N692" i="11" s="1"/>
  <c r="K588" i="11"/>
  <c r="L588" i="11" s="1"/>
  <c r="M754" i="11"/>
  <c r="N754" i="11" s="1"/>
  <c r="G868" i="11"/>
  <c r="H868" i="11" s="1"/>
  <c r="M862" i="11"/>
  <c r="N862" i="11" s="1"/>
  <c r="K923" i="11"/>
  <c r="L923" i="11" s="1"/>
  <c r="I982" i="11"/>
  <c r="J982" i="11" s="1"/>
  <c r="O634" i="11"/>
  <c r="P634" i="11" s="1"/>
  <c r="K862" i="11"/>
  <c r="L862" i="11" s="1"/>
  <c r="K865" i="11"/>
  <c r="L865" i="11" s="1"/>
  <c r="O930" i="11"/>
  <c r="P930" i="11" s="1"/>
  <c r="G869" i="11"/>
  <c r="H869" i="11" s="1"/>
  <c r="I923" i="11"/>
  <c r="J923" i="11" s="1"/>
  <c r="K861" i="11"/>
  <c r="L861" i="11" s="1"/>
  <c r="M874" i="11"/>
  <c r="N874" i="11" s="1"/>
  <c r="K919" i="11"/>
  <c r="L919" i="11" s="1"/>
  <c r="M921" i="11"/>
  <c r="N921" i="11" s="1"/>
  <c r="O971" i="11"/>
  <c r="P971" i="11" s="1"/>
  <c r="I978" i="11"/>
  <c r="J978" i="11" s="1"/>
  <c r="O575" i="11"/>
  <c r="P575" i="11" s="1"/>
  <c r="M698" i="11"/>
  <c r="N698" i="11" s="1"/>
  <c r="O476" i="11"/>
  <c r="P476" i="11" s="1"/>
  <c r="I577" i="11"/>
  <c r="J577" i="11" s="1"/>
  <c r="I697" i="11"/>
  <c r="J697" i="11" s="1"/>
  <c r="I646" i="11"/>
  <c r="J646" i="11" s="1"/>
  <c r="O874" i="11"/>
  <c r="P874" i="11" s="1"/>
  <c r="K746" i="11"/>
  <c r="L746" i="11" s="1"/>
  <c r="K806" i="11"/>
  <c r="L806" i="11" s="1"/>
  <c r="M923" i="11"/>
  <c r="N923" i="11" s="1"/>
  <c r="G691" i="11"/>
  <c r="H691" i="11" s="1"/>
  <c r="I753" i="11"/>
  <c r="J753" i="11" s="1"/>
  <c r="M860" i="11"/>
  <c r="N860" i="11" s="1"/>
  <c r="K15" i="11"/>
  <c r="L15" i="11" s="1"/>
  <c r="K417" i="11"/>
  <c r="L417" i="11" s="1"/>
  <c r="M178" i="11"/>
  <c r="N178" i="11" s="1"/>
  <c r="M865" i="11"/>
  <c r="N865" i="11" s="1"/>
  <c r="K859" i="11"/>
  <c r="L859" i="11" s="1"/>
  <c r="I872" i="11"/>
  <c r="J872" i="11" s="1"/>
  <c r="I931" i="11"/>
  <c r="J931" i="11" s="1"/>
  <c r="M864" i="11"/>
  <c r="N864" i="11" s="1"/>
  <c r="O917" i="11"/>
  <c r="P917" i="11" s="1"/>
  <c r="G923" i="11"/>
  <c r="H923" i="11" s="1"/>
  <c r="I925" i="11"/>
  <c r="J925" i="11" s="1"/>
  <c r="O975" i="11"/>
  <c r="P975" i="11" s="1"/>
  <c r="K981" i="11"/>
  <c r="L981" i="11" s="1"/>
  <c r="G579" i="11"/>
  <c r="H579" i="11" s="1"/>
  <c r="K743" i="11"/>
  <c r="L743" i="11" s="1"/>
  <c r="O517" i="11"/>
  <c r="P517" i="11" s="1"/>
  <c r="K580" i="11"/>
  <c r="L580" i="11" s="1"/>
  <c r="O760" i="11"/>
  <c r="P760" i="11" s="1"/>
  <c r="M696" i="11"/>
  <c r="N696" i="11" s="1"/>
  <c r="G632" i="11"/>
  <c r="H632" i="11" s="1"/>
  <c r="I760" i="11"/>
  <c r="J760" i="11" s="1"/>
  <c r="O922" i="11"/>
  <c r="P922" i="11" s="1"/>
  <c r="G926" i="11"/>
  <c r="H926" i="11" s="1"/>
  <c r="O753" i="11"/>
  <c r="P753" i="11" s="1"/>
  <c r="K758" i="11"/>
  <c r="L758" i="11" s="1"/>
  <c r="O869" i="11"/>
  <c r="P869" i="11" s="1"/>
  <c r="O116" i="11"/>
  <c r="P116" i="11" s="1"/>
  <c r="BR52" i="6"/>
  <c r="BU52" i="6" s="1"/>
  <c r="BV52" i="6" s="1"/>
  <c r="M916" i="11"/>
  <c r="N916" i="11" s="1"/>
  <c r="AD81" i="6"/>
  <c r="AE81" i="6" s="1"/>
  <c r="AF81" i="6" s="1"/>
  <c r="AV81" i="6"/>
  <c r="AX81" i="6" s="1"/>
  <c r="BA81" i="6" s="1"/>
  <c r="BB81" i="6" s="1"/>
  <c r="BR81" i="6"/>
  <c r="BU81" i="6" s="1"/>
  <c r="BV81" i="6" s="1"/>
  <c r="BF81" i="6"/>
  <c r="AL81" i="6"/>
  <c r="K12" i="11"/>
  <c r="L12" i="11" s="1"/>
  <c r="I8" i="11"/>
  <c r="J8" i="11" s="1"/>
  <c r="G5" i="11"/>
  <c r="H5" i="11" s="1"/>
  <c r="O11" i="11"/>
  <c r="O244" i="11"/>
  <c r="P244" i="11" s="1"/>
  <c r="K230" i="11"/>
  <c r="L230" i="11" s="1"/>
  <c r="I184" i="11"/>
  <c r="J184" i="11" s="1"/>
  <c r="I176" i="11"/>
  <c r="J176" i="11" s="1"/>
  <c r="O132" i="11"/>
  <c r="P132" i="11" s="1"/>
  <c r="O124" i="11"/>
  <c r="P124" i="11" s="1"/>
  <c r="M117" i="11"/>
  <c r="N117" i="11" s="1"/>
  <c r="O72" i="11"/>
  <c r="P72" i="11" s="1"/>
  <c r="M65" i="11"/>
  <c r="N65" i="11" s="1"/>
  <c r="O20" i="11"/>
  <c r="P20" i="11" s="1"/>
  <c r="O16" i="11"/>
  <c r="P16" i="11" s="1"/>
  <c r="O10" i="11"/>
  <c r="P10" i="11" s="1"/>
  <c r="O2" i="11"/>
  <c r="P2" i="11" s="1"/>
  <c r="I533" i="11"/>
  <c r="J533" i="11" s="1"/>
  <c r="M408" i="11"/>
  <c r="N408" i="11" s="1"/>
  <c r="I347" i="11"/>
  <c r="J347" i="11" s="1"/>
  <c r="M301" i="11"/>
  <c r="N301" i="11" s="1"/>
  <c r="I295" i="11"/>
  <c r="J295" i="11" s="1"/>
  <c r="I287" i="11"/>
  <c r="J287" i="11" s="1"/>
  <c r="K238" i="11"/>
  <c r="L238" i="11" s="1"/>
  <c r="I189" i="11"/>
  <c r="J189" i="11" s="1"/>
  <c r="M182" i="11"/>
  <c r="N182" i="11" s="1"/>
  <c r="G177" i="11"/>
  <c r="H177" i="11" s="1"/>
  <c r="G132" i="11"/>
  <c r="H132" i="11" s="1"/>
  <c r="K126" i="11"/>
  <c r="L126" i="11" s="1"/>
  <c r="O120" i="11"/>
  <c r="P120" i="11" s="1"/>
  <c r="M77" i="11"/>
  <c r="N77" i="11" s="1"/>
  <c r="G72" i="11"/>
  <c r="H72" i="11" s="1"/>
  <c r="K66" i="11"/>
  <c r="L66" i="11" s="1"/>
  <c r="O60" i="11"/>
  <c r="P60" i="11" s="1"/>
  <c r="I14" i="11"/>
  <c r="J14" i="11" s="1"/>
  <c r="M7" i="11"/>
  <c r="N7" i="11" s="1"/>
  <c r="G2" i="11"/>
  <c r="H2" i="11" s="1"/>
  <c r="M989" i="11"/>
  <c r="N989" i="11" s="1"/>
  <c r="G977" i="11"/>
  <c r="H977" i="11" s="1"/>
  <c r="O981" i="11"/>
  <c r="P981" i="11" s="1"/>
  <c r="O984" i="11"/>
  <c r="P984" i="11" s="1"/>
  <c r="I972" i="11"/>
  <c r="J972" i="11" s="1"/>
  <c r="I920" i="11"/>
  <c r="J920" i="11" s="1"/>
  <c r="K930" i="11"/>
  <c r="L930" i="11" s="1"/>
  <c r="G918" i="11"/>
  <c r="H918" i="11" s="1"/>
  <c r="M920" i="11"/>
  <c r="N920" i="11" s="1"/>
  <c r="M866" i="11"/>
  <c r="N866" i="11" s="1"/>
  <c r="O972" i="11"/>
  <c r="P972" i="11" s="1"/>
  <c r="K873" i="11"/>
  <c r="L873" i="11" s="1"/>
  <c r="M10" i="11"/>
  <c r="N10" i="11" s="1"/>
  <c r="K7" i="11"/>
  <c r="L7" i="11" s="1"/>
  <c r="I4" i="11"/>
  <c r="J4" i="11" s="1"/>
  <c r="M241" i="11"/>
  <c r="N241" i="11" s="1"/>
  <c r="I190" i="11"/>
  <c r="J190" i="11" s="1"/>
  <c r="O181" i="11"/>
  <c r="P181" i="11" s="1"/>
  <c r="M174" i="11"/>
  <c r="N174" i="11" s="1"/>
  <c r="K130" i="11"/>
  <c r="L130" i="11" s="1"/>
  <c r="I123" i="11"/>
  <c r="J123" i="11" s="1"/>
  <c r="G116" i="11"/>
  <c r="H116" i="11" s="1"/>
  <c r="I71" i="11"/>
  <c r="J71" i="11" s="1"/>
  <c r="G64" i="11"/>
  <c r="H64" i="11" s="1"/>
  <c r="G20" i="11"/>
  <c r="H20" i="11" s="1"/>
  <c r="G16" i="11"/>
  <c r="H16" i="11" s="1"/>
  <c r="K8" i="11"/>
  <c r="L8" i="11" s="1"/>
  <c r="G472" i="11"/>
  <c r="H472" i="11" s="1"/>
  <c r="I402" i="11"/>
  <c r="J402" i="11" s="1"/>
  <c r="G344" i="11"/>
  <c r="H344" i="11" s="1"/>
  <c r="G300" i="11"/>
  <c r="H300" i="11" s="1"/>
  <c r="G292" i="11"/>
  <c r="H292" i="11" s="1"/>
  <c r="K246" i="11"/>
  <c r="L246" i="11" s="1"/>
  <c r="I235" i="11"/>
  <c r="J235" i="11" s="1"/>
  <c r="G187" i="11"/>
  <c r="H187" i="11" s="1"/>
  <c r="G181" i="11"/>
  <c r="H181" i="11" s="1"/>
  <c r="K175" i="11"/>
  <c r="L175" i="11" s="1"/>
  <c r="I131" i="11"/>
  <c r="J131" i="11" s="1"/>
  <c r="M125" i="11"/>
  <c r="N125" i="11" s="1"/>
  <c r="G120" i="11"/>
  <c r="H120" i="11" s="1"/>
  <c r="G76" i="11"/>
  <c r="H76" i="11" s="1"/>
  <c r="K70" i="11"/>
  <c r="L70" i="11" s="1"/>
  <c r="O64" i="11"/>
  <c r="P64" i="11" s="1"/>
  <c r="I59" i="11"/>
  <c r="J59" i="11" s="1"/>
  <c r="M12" i="11"/>
  <c r="N12" i="11" s="1"/>
  <c r="G6" i="11"/>
  <c r="H6" i="11" s="1"/>
  <c r="O989" i="11"/>
  <c r="P989" i="11" s="1"/>
  <c r="K986" i="11"/>
  <c r="L986" i="11" s="1"/>
  <c r="K973" i="11"/>
  <c r="L973" i="11" s="1"/>
  <c r="G988" i="11"/>
  <c r="H988" i="11" s="1"/>
  <c r="G978" i="11"/>
  <c r="H978" i="11" s="1"/>
  <c r="O929" i="11"/>
  <c r="P929" i="11" s="1"/>
  <c r="K917" i="11"/>
  <c r="L917" i="11" s="1"/>
  <c r="I927" i="11"/>
  <c r="J927" i="11" s="1"/>
  <c r="K914" i="11"/>
  <c r="L914" i="11" s="1"/>
  <c r="G915" i="11"/>
  <c r="H915" i="11" s="1"/>
  <c r="K863" i="11"/>
  <c r="L863" i="11" s="1"/>
  <c r="O928" i="11"/>
  <c r="P928" i="11" s="1"/>
  <c r="I870" i="11"/>
  <c r="J870" i="11" s="1"/>
  <c r="K857" i="11"/>
  <c r="L857" i="11" s="1"/>
  <c r="G863" i="11"/>
  <c r="H863" i="11" s="1"/>
  <c r="K810" i="11"/>
  <c r="L810" i="11" s="1"/>
  <c r="G928" i="11"/>
  <c r="H928" i="11" s="1"/>
  <c r="G859" i="11"/>
  <c r="H859" i="11" s="1"/>
  <c r="I806" i="11"/>
  <c r="J806" i="11" s="1"/>
  <c r="I924" i="11"/>
  <c r="J924" i="11" s="1"/>
  <c r="G806" i="11"/>
  <c r="H806" i="11" s="1"/>
  <c r="K750" i="11"/>
  <c r="L750" i="11" s="1"/>
  <c r="G700" i="11"/>
  <c r="H700" i="11" s="1"/>
  <c r="I687" i="11"/>
  <c r="J687" i="11" s="1"/>
  <c r="G636" i="11"/>
  <c r="H636" i="11" s="1"/>
  <c r="G584" i="11"/>
  <c r="H584" i="11" s="1"/>
  <c r="G809" i="11"/>
  <c r="H809" i="11" s="1"/>
  <c r="G751" i="11"/>
  <c r="H751" i="11" s="1"/>
  <c r="M700" i="11"/>
  <c r="N700" i="11" s="1"/>
  <c r="O687" i="11"/>
  <c r="P687" i="11" s="1"/>
  <c r="O982" i="11"/>
  <c r="P982" i="11" s="1"/>
  <c r="O978" i="11"/>
  <c r="P978" i="11" s="1"/>
  <c r="K984" i="11"/>
  <c r="L984" i="11" s="1"/>
  <c r="K972" i="11"/>
  <c r="L972" i="11" s="1"/>
  <c r="M978" i="11"/>
  <c r="N978" i="11" s="1"/>
  <c r="K922" i="11"/>
  <c r="L922" i="11" s="1"/>
  <c r="O932" i="11"/>
  <c r="P932" i="11" s="1"/>
  <c r="G920" i="11"/>
  <c r="H920" i="11" s="1"/>
  <c r="O924" i="11"/>
  <c r="P924" i="11" s="1"/>
  <c r="I869" i="11"/>
  <c r="J869" i="11" s="1"/>
  <c r="O988" i="11"/>
  <c r="P988" i="11" s="1"/>
  <c r="M875" i="11"/>
  <c r="N875" i="11" s="1"/>
  <c r="I863" i="11"/>
  <c r="J863" i="11" s="1"/>
  <c r="K874" i="11"/>
  <c r="L874" i="11" s="1"/>
  <c r="G816" i="11"/>
  <c r="H816" i="11" s="1"/>
  <c r="I803" i="11"/>
  <c r="J803" i="11" s="1"/>
  <c r="M870" i="11"/>
  <c r="N870" i="11" s="1"/>
  <c r="O811" i="11"/>
  <c r="P811" i="11" s="1"/>
  <c r="M760" i="11"/>
  <c r="N760" i="11" s="1"/>
  <c r="O9" i="11"/>
  <c r="P9" i="11" s="1"/>
  <c r="M6" i="11"/>
  <c r="N6" i="11" s="1"/>
  <c r="K3" i="11"/>
  <c r="L3" i="11" s="1"/>
  <c r="M293" i="11"/>
  <c r="N293" i="11" s="1"/>
  <c r="O236" i="11"/>
  <c r="P236" i="11" s="1"/>
  <c r="G188" i="11"/>
  <c r="H188" i="11" s="1"/>
  <c r="I180" i="11"/>
  <c r="J180" i="11" s="1"/>
  <c r="G173" i="11"/>
  <c r="H173" i="11" s="1"/>
  <c r="O128" i="11"/>
  <c r="P128" i="11" s="1"/>
  <c r="M121" i="11"/>
  <c r="N121" i="11" s="1"/>
  <c r="O76" i="11"/>
  <c r="P76" i="11" s="1"/>
  <c r="M69" i="11"/>
  <c r="N69" i="11" s="1"/>
  <c r="M61" i="11"/>
  <c r="N61" i="11" s="1"/>
  <c r="I19" i="11"/>
  <c r="J19" i="11" s="1"/>
  <c r="O14" i="11"/>
  <c r="P14" i="11" s="1"/>
  <c r="O6" i="11"/>
  <c r="P6" i="11" s="1"/>
  <c r="O641" i="11"/>
  <c r="P641" i="11" s="1"/>
  <c r="M460" i="11"/>
  <c r="N460" i="11" s="1"/>
  <c r="K357" i="11"/>
  <c r="L357" i="11" s="1"/>
  <c r="O304" i="11"/>
  <c r="P304" i="11" s="1"/>
  <c r="K298" i="11"/>
  <c r="L298" i="11" s="1"/>
  <c r="K290" i="11"/>
  <c r="L290" i="11" s="1"/>
  <c r="I243" i="11"/>
  <c r="J243" i="11" s="1"/>
  <c r="G232" i="11"/>
  <c r="H232" i="11" s="1"/>
  <c r="G185" i="11"/>
  <c r="H185" i="11" s="1"/>
  <c r="K179" i="11"/>
  <c r="L179" i="11" s="1"/>
  <c r="O173" i="11"/>
  <c r="P173" i="11" s="1"/>
  <c r="M129" i="11"/>
  <c r="N129" i="11" s="1"/>
  <c r="G124" i="11"/>
  <c r="H124" i="11" s="1"/>
  <c r="K118" i="11"/>
  <c r="L118" i="11" s="1"/>
  <c r="I75" i="11"/>
  <c r="J75" i="11" s="1"/>
  <c r="O68" i="11"/>
  <c r="P68" i="11" s="1"/>
  <c r="I63" i="11"/>
  <c r="J63" i="11" s="1"/>
  <c r="M17" i="11"/>
  <c r="N17" i="11" s="1"/>
  <c r="G10" i="11"/>
  <c r="H10" i="11" s="1"/>
  <c r="K4" i="11"/>
  <c r="L4" i="11" s="1"/>
  <c r="M986" i="11"/>
  <c r="N986" i="11" s="1"/>
  <c r="I983" i="11"/>
  <c r="J983" i="11" s="1"/>
  <c r="I988" i="11"/>
  <c r="J988" i="11" s="1"/>
  <c r="I979" i="11"/>
  <c r="J979" i="11" s="1"/>
  <c r="G974" i="11"/>
  <c r="H974" i="11" s="1"/>
  <c r="M926" i="11"/>
  <c r="N926" i="11" s="1"/>
  <c r="I986" i="11"/>
  <c r="J986" i="11" s="1"/>
  <c r="K924" i="11"/>
  <c r="L924" i="11" s="1"/>
  <c r="G973" i="11"/>
  <c r="H973" i="11" s="1"/>
  <c r="G873" i="11"/>
  <c r="H873" i="11" s="1"/>
  <c r="I860" i="11"/>
  <c r="J860" i="11" s="1"/>
  <c r="K920" i="11"/>
  <c r="L920" i="11" s="1"/>
  <c r="G867" i="11"/>
  <c r="H867" i="11" s="1"/>
  <c r="M925" i="11"/>
  <c r="N925" i="11" s="1"/>
  <c r="O818" i="11"/>
  <c r="P818" i="11" s="1"/>
  <c r="I807" i="11"/>
  <c r="J807" i="11" s="1"/>
  <c r="O916" i="11"/>
  <c r="P916" i="11" s="1"/>
  <c r="O815" i="11"/>
  <c r="P815" i="11" s="1"/>
  <c r="G803" i="11"/>
  <c r="H803" i="11" s="1"/>
  <c r="G865" i="11"/>
  <c r="H865" i="11" s="1"/>
  <c r="G761" i="11"/>
  <c r="H761" i="11" s="1"/>
  <c r="G747" i="11"/>
  <c r="H747" i="11" s="1"/>
  <c r="O696" i="11"/>
  <c r="P696" i="11" s="1"/>
  <c r="M645" i="11"/>
  <c r="N645" i="11" s="1"/>
  <c r="O632" i="11"/>
  <c r="P632" i="11" s="1"/>
  <c r="G924" i="11"/>
  <c r="H924" i="11" s="1"/>
  <c r="M802" i="11"/>
  <c r="N802" i="11" s="1"/>
  <c r="G748" i="11"/>
  <c r="H748" i="11" s="1"/>
  <c r="K697" i="11"/>
  <c r="L697" i="11" s="1"/>
  <c r="G647" i="11"/>
  <c r="H647" i="11" s="1"/>
  <c r="K988" i="11"/>
  <c r="L988" i="11" s="1"/>
  <c r="K976" i="11"/>
  <c r="L976" i="11" s="1"/>
  <c r="I981" i="11"/>
  <c r="J981" i="11" s="1"/>
  <c r="K982" i="11"/>
  <c r="L982" i="11" s="1"/>
  <c r="K932" i="11"/>
  <c r="L932" i="11" s="1"/>
  <c r="M919" i="11"/>
  <c r="N919" i="11" s="1"/>
  <c r="M929" i="11"/>
  <c r="N929" i="11" s="1"/>
  <c r="I917" i="11"/>
  <c r="J917" i="11" s="1"/>
  <c r="I919" i="11"/>
  <c r="J919" i="11" s="1"/>
  <c r="G866" i="11"/>
  <c r="H866" i="11" s="1"/>
  <c r="M932" i="11"/>
  <c r="N932" i="11" s="1"/>
  <c r="O872" i="11"/>
  <c r="P872" i="11" s="1"/>
  <c r="G860" i="11"/>
  <c r="H860" i="11" s="1"/>
  <c r="I868" i="11"/>
  <c r="J868" i="11" s="1"/>
  <c r="O812" i="11"/>
  <c r="P812" i="11" s="1"/>
  <c r="G800" i="11"/>
  <c r="H800" i="11" s="1"/>
  <c r="I864" i="11"/>
  <c r="J864" i="11" s="1"/>
  <c r="M808" i="11"/>
  <c r="N808" i="11" s="1"/>
  <c r="G757" i="11"/>
  <c r="H757" i="11" s="1"/>
  <c r="M703" i="11"/>
  <c r="N703" i="11" s="1"/>
  <c r="G810" i="11"/>
  <c r="H810" i="11" s="1"/>
  <c r="K586" i="11"/>
  <c r="L586" i="11" s="1"/>
  <c r="M636" i="11"/>
  <c r="N636" i="11" s="1"/>
  <c r="G687" i="11"/>
  <c r="H687" i="11" s="1"/>
  <c r="O699" i="11"/>
  <c r="P699" i="11" s="1"/>
  <c r="I750" i="11"/>
  <c r="J750" i="11" s="1"/>
  <c r="K807" i="11"/>
  <c r="L807" i="11" s="1"/>
  <c r="K583" i="11"/>
  <c r="L583" i="11" s="1"/>
  <c r="I635" i="11"/>
  <c r="J635" i="11" s="1"/>
  <c r="K686" i="11"/>
  <c r="L686" i="11" s="1"/>
  <c r="I699" i="11"/>
  <c r="J699" i="11" s="1"/>
  <c r="I749" i="11"/>
  <c r="J749" i="11" s="1"/>
  <c r="K804" i="11"/>
  <c r="L804" i="11" s="1"/>
  <c r="K918" i="11"/>
  <c r="L918" i="11" s="1"/>
  <c r="O857" i="11"/>
  <c r="P857" i="11" s="1"/>
  <c r="M809" i="11"/>
  <c r="N809" i="11" s="1"/>
  <c r="K971" i="11"/>
  <c r="L971" i="11" s="1"/>
  <c r="I926" i="11"/>
  <c r="J926" i="11" s="1"/>
  <c r="I875" i="11"/>
  <c r="J875" i="11" s="1"/>
  <c r="K926" i="11"/>
  <c r="L926" i="11" s="1"/>
  <c r="I929" i="11"/>
  <c r="J929" i="11" s="1"/>
  <c r="M985" i="11"/>
  <c r="N985" i="11" s="1"/>
  <c r="I985" i="11"/>
  <c r="J985" i="11" s="1"/>
  <c r="I694" i="11"/>
  <c r="J694" i="11" s="1"/>
  <c r="G759" i="11"/>
  <c r="H759" i="11" s="1"/>
  <c r="M629" i="11"/>
  <c r="N629" i="11" s="1"/>
  <c r="M693" i="11"/>
  <c r="N693" i="11" s="1"/>
  <c r="K756" i="11"/>
  <c r="L756" i="11" s="1"/>
  <c r="I761" i="11"/>
  <c r="J761" i="11" s="1"/>
  <c r="O871" i="11"/>
  <c r="P871" i="11" s="1"/>
  <c r="G817" i="11"/>
  <c r="H817" i="11" s="1"/>
  <c r="O863" i="11"/>
  <c r="P863" i="11" s="1"/>
  <c r="M927" i="11"/>
  <c r="N927" i="11" s="1"/>
  <c r="M981" i="11"/>
  <c r="N981" i="11" s="1"/>
  <c r="K983" i="11"/>
  <c r="L983" i="11" s="1"/>
  <c r="K62" i="11"/>
  <c r="L62" i="11" s="1"/>
  <c r="K122" i="11"/>
  <c r="L122" i="11" s="1"/>
  <c r="K183" i="11"/>
  <c r="L183" i="11" s="1"/>
  <c r="O296" i="11"/>
  <c r="P296" i="11" s="1"/>
  <c r="I574" i="11"/>
  <c r="J574" i="11" s="1"/>
  <c r="K18" i="11"/>
  <c r="L18" i="11" s="1"/>
  <c r="I119" i="11"/>
  <c r="J119" i="11" s="1"/>
  <c r="G186" i="11"/>
  <c r="H186" i="11" s="1"/>
  <c r="M2" i="11"/>
  <c r="N2" i="11" s="1"/>
  <c r="H8" i="11"/>
  <c r="O979" i="11"/>
  <c r="P979" i="11" s="1"/>
  <c r="O925" i="11"/>
  <c r="P925" i="11" s="1"/>
  <c r="I915" i="11"/>
  <c r="J915" i="11" s="1"/>
  <c r="M928" i="11"/>
  <c r="N928" i="11" s="1"/>
  <c r="M976" i="11"/>
  <c r="N976" i="11" s="1"/>
  <c r="G983" i="11"/>
  <c r="H983" i="11" s="1"/>
  <c r="G972" i="11"/>
  <c r="H972" i="11" s="1"/>
  <c r="M984" i="11"/>
  <c r="N984" i="11" s="1"/>
  <c r="M988" i="11"/>
  <c r="N988" i="11" s="1"/>
  <c r="I584" i="11"/>
  <c r="J584" i="11" s="1"/>
  <c r="K647" i="11"/>
  <c r="L647" i="11" s="1"/>
  <c r="I748" i="11"/>
  <c r="J748" i="11" s="1"/>
  <c r="K915" i="11"/>
  <c r="L915" i="11" s="1"/>
  <c r="G521" i="11"/>
  <c r="H521" i="11" s="1"/>
  <c r="O533" i="11"/>
  <c r="P533" i="11" s="1"/>
  <c r="M585" i="11"/>
  <c r="N585" i="11" s="1"/>
  <c r="M647" i="11"/>
  <c r="N647" i="11" s="1"/>
  <c r="K748" i="11"/>
  <c r="L748" i="11" s="1"/>
  <c r="M858" i="11"/>
  <c r="N858" i="11" s="1"/>
  <c r="M589" i="11"/>
  <c r="N589" i="11" s="1"/>
  <c r="O639" i="11"/>
  <c r="P639" i="11" s="1"/>
  <c r="I690" i="11"/>
  <c r="J690" i="11" s="1"/>
  <c r="G703" i="11"/>
  <c r="H703" i="11" s="1"/>
  <c r="G753" i="11"/>
  <c r="H753" i="11" s="1"/>
  <c r="O813" i="11"/>
  <c r="P813" i="11" s="1"/>
  <c r="M586" i="11"/>
  <c r="N586" i="11" s="1"/>
  <c r="K638" i="11"/>
  <c r="L638" i="11" s="1"/>
  <c r="M689" i="11"/>
  <c r="N689" i="11" s="1"/>
  <c r="K702" i="11"/>
  <c r="L702" i="11" s="1"/>
  <c r="M752" i="11"/>
  <c r="N752" i="11" s="1"/>
  <c r="O810" i="11"/>
  <c r="P810" i="11" s="1"/>
  <c r="I802" i="11"/>
  <c r="J802" i="11" s="1"/>
  <c r="G914" i="11"/>
  <c r="H914" i="11" s="1"/>
  <c r="K818" i="11"/>
  <c r="L818" i="11" s="1"/>
  <c r="K866" i="11"/>
  <c r="L866" i="11" s="1"/>
  <c r="M859" i="11"/>
  <c r="N859" i="11" s="1"/>
  <c r="K931" i="11"/>
  <c r="L931" i="11" s="1"/>
  <c r="K978" i="11"/>
  <c r="L978" i="11" s="1"/>
  <c r="I973" i="11"/>
  <c r="J973" i="11" s="1"/>
  <c r="M987" i="11"/>
  <c r="N987" i="11" s="1"/>
  <c r="G986" i="11"/>
  <c r="H986" i="11" s="1"/>
  <c r="O703" i="11"/>
  <c r="P703" i="11" s="1"/>
  <c r="K815" i="11"/>
  <c r="L815" i="11" s="1"/>
  <c r="I639" i="11"/>
  <c r="J639" i="11" s="1"/>
  <c r="I703" i="11"/>
  <c r="J703" i="11" s="1"/>
  <c r="K812" i="11"/>
  <c r="L812" i="11" s="1"/>
  <c r="K809" i="11"/>
  <c r="L809" i="11" s="1"/>
  <c r="O800" i="11"/>
  <c r="P800" i="11" s="1"/>
  <c r="K869" i="11"/>
  <c r="L869" i="11" s="1"/>
  <c r="O914" i="11"/>
  <c r="P914" i="11" s="1"/>
  <c r="O920" i="11"/>
  <c r="P920" i="11" s="1"/>
  <c r="I974" i="11"/>
  <c r="J974" i="11" s="1"/>
  <c r="M3" i="11"/>
  <c r="N3" i="11" s="1"/>
  <c r="G68" i="11"/>
  <c r="H68" i="11" s="1"/>
  <c r="G128" i="11"/>
  <c r="H128" i="11" s="1"/>
  <c r="I191" i="11"/>
  <c r="J191" i="11" s="1"/>
  <c r="I303" i="11"/>
  <c r="J303" i="11" s="1"/>
  <c r="G60" i="11"/>
  <c r="H60" i="11" s="1"/>
  <c r="I127" i="11"/>
  <c r="J127" i="11" s="1"/>
  <c r="M233" i="11"/>
  <c r="N233" i="11" s="1"/>
  <c r="O5" i="11"/>
  <c r="P5" i="11" s="1"/>
  <c r="BG83" i="6"/>
  <c r="K928" i="11"/>
  <c r="L928" i="11" s="1"/>
  <c r="O918" i="11"/>
  <c r="P918" i="11" s="1"/>
  <c r="O931" i="11"/>
  <c r="P931" i="11" s="1"/>
  <c r="I980" i="11"/>
  <c r="J980" i="11" s="1"/>
  <c r="M980" i="11"/>
  <c r="N980" i="11" s="1"/>
  <c r="M975" i="11"/>
  <c r="N975" i="11" s="1"/>
  <c r="O987" i="11"/>
  <c r="P987" i="11" s="1"/>
  <c r="M572" i="11"/>
  <c r="N572" i="11" s="1"/>
  <c r="K590" i="11"/>
  <c r="L590" i="11" s="1"/>
  <c r="I692" i="11"/>
  <c r="J692" i="11" s="1"/>
  <c r="O754" i="11"/>
  <c r="P754" i="11" s="1"/>
  <c r="M473" i="11"/>
  <c r="N473" i="11" s="1"/>
  <c r="I524" i="11"/>
  <c r="J524" i="11" s="1"/>
  <c r="G574" i="11"/>
  <c r="H574" i="11" s="1"/>
  <c r="M590" i="11"/>
  <c r="N590" i="11" s="1"/>
  <c r="O690" i="11"/>
  <c r="P690" i="11" s="1"/>
  <c r="M753" i="11"/>
  <c r="N753" i="11" s="1"/>
  <c r="G927" i="11"/>
  <c r="H927" i="11" s="1"/>
  <c r="I630" i="11"/>
  <c r="J630" i="11" s="1"/>
  <c r="G643" i="11"/>
  <c r="H643" i="11" s="1"/>
  <c r="K693" i="11"/>
  <c r="L693" i="11" s="1"/>
  <c r="I744" i="11"/>
  <c r="J744" i="11" s="1"/>
  <c r="G758" i="11"/>
  <c r="H758" i="11" s="1"/>
  <c r="I862" i="11"/>
  <c r="J862" i="11" s="1"/>
  <c r="O589" i="11"/>
  <c r="P589" i="11" s="1"/>
  <c r="M641" i="11"/>
  <c r="N641" i="11" s="1"/>
  <c r="O692" i="11"/>
  <c r="P692" i="11" s="1"/>
  <c r="I743" i="11"/>
  <c r="J743" i="11" s="1"/>
  <c r="K755" i="11"/>
  <c r="L755" i="11" s="1"/>
  <c r="O816" i="11"/>
  <c r="P816" i="11" s="1"/>
  <c r="K805" i="11"/>
  <c r="L805" i="11" s="1"/>
  <c r="K925" i="11"/>
  <c r="L925" i="11" s="1"/>
  <c r="O861" i="11"/>
  <c r="P861" i="11" s="1"/>
  <c r="M869" i="11"/>
  <c r="N869" i="11" s="1"/>
  <c r="O862" i="11"/>
  <c r="P862" i="11" s="1"/>
  <c r="K989" i="11"/>
  <c r="L989" i="11" s="1"/>
  <c r="G916" i="11"/>
  <c r="H916" i="11" s="1"/>
  <c r="I977" i="11"/>
  <c r="J977" i="11" s="1"/>
  <c r="M972" i="11"/>
  <c r="N972" i="11" s="1"/>
  <c r="I989" i="11"/>
  <c r="J989" i="11" s="1"/>
  <c r="G745" i="11"/>
  <c r="H745" i="11" s="1"/>
  <c r="O864" i="11"/>
  <c r="P864" i="11" s="1"/>
  <c r="K642" i="11"/>
  <c r="L642" i="11" s="1"/>
  <c r="O743" i="11"/>
  <c r="P743" i="11" s="1"/>
  <c r="O817" i="11"/>
  <c r="P817" i="11" s="1"/>
  <c r="M812" i="11"/>
  <c r="N812" i="11" s="1"/>
  <c r="G804" i="11"/>
  <c r="H804" i="11" s="1"/>
  <c r="K875" i="11"/>
  <c r="L875" i="11" s="1"/>
  <c r="G857" i="11"/>
  <c r="H857" i="11" s="1"/>
  <c r="M973" i="11"/>
  <c r="N973" i="11" s="1"/>
  <c r="G985" i="11"/>
  <c r="H985" i="11" s="1"/>
  <c r="I9" i="11"/>
  <c r="J9" i="11" s="1"/>
  <c r="M73" i="11"/>
  <c r="N73" i="11" s="1"/>
  <c r="M133" i="11"/>
  <c r="N133" i="11" s="1"/>
  <c r="G240" i="11"/>
  <c r="H240" i="11" s="1"/>
  <c r="G351" i="11"/>
  <c r="H351" i="11" s="1"/>
  <c r="I5" i="11"/>
  <c r="J5" i="11" s="1"/>
  <c r="I67" i="11"/>
  <c r="J67" i="11" s="1"/>
  <c r="K134" i="11"/>
  <c r="L134" i="11" s="1"/>
  <c r="G248" i="11"/>
  <c r="H248" i="11" s="1"/>
  <c r="G9" i="11"/>
  <c r="H9" i="11" s="1"/>
  <c r="AA9" i="6"/>
  <c r="Z9" i="6"/>
  <c r="W14" i="6"/>
  <c r="X14" i="6"/>
  <c r="AA21" i="6"/>
  <c r="Z21" i="6"/>
  <c r="X7" i="6"/>
  <c r="W7" i="6"/>
  <c r="AA49" i="6"/>
  <c r="Z49" i="6"/>
  <c r="X28" i="6"/>
  <c r="W28" i="6"/>
  <c r="AA5" i="6"/>
  <c r="Z5" i="6"/>
  <c r="X2" i="6"/>
  <c r="W2" i="6"/>
  <c r="AA29" i="6"/>
  <c r="Z29" i="6"/>
  <c r="AA41" i="6"/>
  <c r="Z41" i="6"/>
  <c r="W41" i="6"/>
  <c r="X41" i="6"/>
  <c r="W25" i="6"/>
  <c r="X25" i="6"/>
  <c r="X39" i="6"/>
  <c r="W39" i="6"/>
  <c r="AA39" i="6"/>
  <c r="Z39" i="6"/>
  <c r="AA33" i="6"/>
  <c r="Z33" i="6"/>
  <c r="X36" i="6"/>
  <c r="W36" i="6"/>
  <c r="W38" i="6"/>
  <c r="X38" i="6"/>
  <c r="AA19" i="6"/>
  <c r="Z19" i="6"/>
  <c r="W42" i="6"/>
  <c r="X42" i="6"/>
  <c r="W22" i="6"/>
  <c r="X22" i="6"/>
  <c r="L236" i="11"/>
  <c r="AA23" i="6"/>
  <c r="Z23" i="6"/>
  <c r="AA44" i="6"/>
  <c r="Z44" i="6"/>
  <c r="X29" i="6"/>
  <c r="W29" i="6"/>
  <c r="AA34" i="6"/>
  <c r="Z34" i="6"/>
  <c r="AA30" i="6"/>
  <c r="Z30" i="6"/>
  <c r="W30" i="6"/>
  <c r="X30" i="6"/>
  <c r="AA25" i="6"/>
  <c r="Z25" i="6"/>
  <c r="X3" i="6"/>
  <c r="W3" i="6"/>
  <c r="W26" i="6"/>
  <c r="X26" i="6"/>
  <c r="AA38" i="6"/>
  <c r="Z38" i="6"/>
  <c r="X31" i="6"/>
  <c r="W31" i="6"/>
  <c r="X48" i="6"/>
  <c r="W48" i="6"/>
  <c r="X17" i="6"/>
  <c r="W17" i="6"/>
  <c r="H62" i="11"/>
  <c r="X16" i="6"/>
  <c r="W16" i="6"/>
  <c r="X44" i="6"/>
  <c r="W44" i="6"/>
  <c r="AA14" i="6"/>
  <c r="Z14" i="6"/>
  <c r="AA4" i="6"/>
  <c r="Z4" i="6"/>
  <c r="W10" i="6"/>
  <c r="X10" i="6"/>
  <c r="W34" i="6"/>
  <c r="X34" i="6"/>
  <c r="X33" i="6"/>
  <c r="W33" i="6"/>
  <c r="X32" i="6"/>
  <c r="W32" i="6"/>
  <c r="AA35" i="6"/>
  <c r="Z35" i="6"/>
  <c r="X35" i="6"/>
  <c r="W35" i="6"/>
  <c r="AA31" i="6"/>
  <c r="Z31" i="6"/>
  <c r="X19" i="6"/>
  <c r="W19" i="6"/>
  <c r="X15" i="6"/>
  <c r="W15" i="6"/>
  <c r="AA42" i="6"/>
  <c r="Z42" i="6"/>
  <c r="AA12" i="6"/>
  <c r="Z12" i="6"/>
  <c r="AA17" i="6"/>
  <c r="Z17" i="6"/>
  <c r="AA22" i="6"/>
  <c r="Z22" i="6"/>
  <c r="J236" i="11"/>
  <c r="L119" i="11"/>
  <c r="X23" i="6"/>
  <c r="W23" i="6"/>
  <c r="W9" i="6"/>
  <c r="X9" i="6"/>
  <c r="Z16" i="6"/>
  <c r="AA16" i="6"/>
  <c r="X4" i="6"/>
  <c r="W4" i="6"/>
  <c r="W21" i="6"/>
  <c r="X21" i="6"/>
  <c r="AA7" i="6"/>
  <c r="Z7" i="6"/>
  <c r="X49" i="6"/>
  <c r="W49" i="6"/>
  <c r="Z28" i="6"/>
  <c r="AA28" i="6"/>
  <c r="X5" i="6"/>
  <c r="W5" i="6"/>
  <c r="AA10" i="6"/>
  <c r="Z10" i="6"/>
  <c r="AA3" i="6"/>
  <c r="Z3" i="6"/>
  <c r="AA26" i="6"/>
  <c r="Z26" i="6"/>
  <c r="AA36" i="6"/>
  <c r="Z36" i="6"/>
  <c r="Z32" i="6"/>
  <c r="AA32" i="6"/>
  <c r="AA15" i="6"/>
  <c r="Z15" i="6"/>
  <c r="AA48" i="6"/>
  <c r="Z48" i="6"/>
  <c r="X12" i="6"/>
  <c r="W12" i="6"/>
  <c r="BH51" i="6"/>
  <c r="BI51" i="6" s="1"/>
  <c r="BJ51" i="6" s="1"/>
  <c r="O1027" i="11"/>
  <c r="P1027" i="11" s="1"/>
  <c r="K1025" i="11"/>
  <c r="L1025" i="11" s="1"/>
  <c r="O1021" i="11"/>
  <c r="P1021" i="11" s="1"/>
  <c r="G1019" i="11"/>
  <c r="H1019" i="11" s="1"/>
  <c r="K1015" i="11"/>
  <c r="L1015" i="11" s="1"/>
  <c r="M1012" i="11"/>
  <c r="N1012" i="11" s="1"/>
  <c r="G1009" i="11"/>
  <c r="H1009" i="11" s="1"/>
  <c r="I1025" i="11"/>
  <c r="J1025" i="11" s="1"/>
  <c r="M1021" i="11"/>
  <c r="N1021" i="11" s="1"/>
  <c r="O1018" i="11"/>
  <c r="P1018" i="11" s="1"/>
  <c r="I1015" i="11"/>
  <c r="J1015" i="11" s="1"/>
  <c r="K1012" i="11"/>
  <c r="L1012" i="11" s="1"/>
  <c r="O970" i="11"/>
  <c r="P970" i="11" s="1"/>
  <c r="G1025" i="11"/>
  <c r="H1025" i="11" s="1"/>
  <c r="I1022" i="11"/>
  <c r="J1022" i="11" s="1"/>
  <c r="M1018" i="11"/>
  <c r="N1018" i="11" s="1"/>
  <c r="O1015" i="11"/>
  <c r="P1015" i="11" s="1"/>
  <c r="I1012" i="11"/>
  <c r="J1012" i="11" s="1"/>
  <c r="K1009" i="11"/>
  <c r="L1009" i="11" s="1"/>
  <c r="K1018" i="11"/>
  <c r="L1018" i="11" s="1"/>
  <c r="M969" i="11"/>
  <c r="N969" i="11" s="1"/>
  <c r="O965" i="11"/>
  <c r="P965" i="11" s="1"/>
  <c r="M962" i="11"/>
  <c r="N962" i="11" s="1"/>
  <c r="K959" i="11"/>
  <c r="L959" i="11" s="1"/>
  <c r="I956" i="11"/>
  <c r="J956" i="11" s="1"/>
  <c r="G953" i="11"/>
  <c r="H953" i="11" s="1"/>
  <c r="O1017" i="11"/>
  <c r="P1017" i="11" s="1"/>
  <c r="I970" i="11"/>
  <c r="J970" i="11" s="1"/>
  <c r="M967" i="11"/>
  <c r="N967" i="11" s="1"/>
  <c r="K964" i="11"/>
  <c r="L964" i="11" s="1"/>
  <c r="I961" i="11"/>
  <c r="J961" i="11" s="1"/>
  <c r="G958" i="11"/>
  <c r="H958" i="11" s="1"/>
  <c r="O954" i="11"/>
  <c r="P954" i="11" s="1"/>
  <c r="M1025" i="11"/>
  <c r="N1025" i="11" s="1"/>
  <c r="G968" i="11"/>
  <c r="H968" i="11" s="1"/>
  <c r="M961" i="11"/>
  <c r="N961" i="11" s="1"/>
  <c r="I955" i="11"/>
  <c r="J955" i="11" s="1"/>
  <c r="I913" i="11"/>
  <c r="J913" i="11" s="1"/>
  <c r="M909" i="11"/>
  <c r="N909" i="11" s="1"/>
  <c r="O906" i="11"/>
  <c r="P906" i="11" s="1"/>
  <c r="O967" i="11"/>
  <c r="P967" i="11" s="1"/>
  <c r="K961" i="11"/>
  <c r="L961" i="11" s="1"/>
  <c r="G955" i="11"/>
  <c r="H955" i="11" s="1"/>
  <c r="I912" i="11"/>
  <c r="J912" i="11" s="1"/>
  <c r="K909" i="11"/>
  <c r="L909" i="11" s="1"/>
  <c r="G970" i="11"/>
  <c r="H970" i="11" s="1"/>
  <c r="I957" i="11"/>
  <c r="J957" i="11" s="1"/>
  <c r="M910" i="11"/>
  <c r="N910" i="11" s="1"/>
  <c r="G906" i="11"/>
  <c r="H906" i="11" s="1"/>
  <c r="K902" i="11"/>
  <c r="L902" i="11" s="1"/>
  <c r="M899" i="11"/>
  <c r="N899" i="11" s="1"/>
  <c r="G896" i="11"/>
  <c r="H896" i="11" s="1"/>
  <c r="K854" i="11"/>
  <c r="L854" i="11" s="1"/>
  <c r="I851" i="11"/>
  <c r="J851" i="11" s="1"/>
  <c r="G848" i="11"/>
  <c r="H848" i="11" s="1"/>
  <c r="O844" i="11"/>
  <c r="P844" i="11" s="1"/>
  <c r="M841" i="11"/>
  <c r="N841" i="11" s="1"/>
  <c r="K838" i="11"/>
  <c r="L838" i="11" s="1"/>
  <c r="I967" i="11"/>
  <c r="J967" i="11" s="1"/>
  <c r="K954" i="11"/>
  <c r="L954" i="11" s="1"/>
  <c r="M907" i="11"/>
  <c r="N907" i="11" s="1"/>
  <c r="K904" i="11"/>
  <c r="L904" i="11" s="1"/>
  <c r="O900" i="11"/>
  <c r="P900" i="11" s="1"/>
  <c r="G898" i="11"/>
  <c r="H898" i="11" s="1"/>
  <c r="O856" i="11"/>
  <c r="P856" i="11" s="1"/>
  <c r="M853" i="11"/>
  <c r="N853" i="11" s="1"/>
  <c r="K850" i="11"/>
  <c r="L850" i="11" s="1"/>
  <c r="I847" i="11"/>
  <c r="J847" i="11" s="1"/>
  <c r="G844" i="11"/>
  <c r="H844" i="11" s="1"/>
  <c r="O840" i="11"/>
  <c r="P840" i="11" s="1"/>
  <c r="G1017" i="11"/>
  <c r="H1017" i="11" s="1"/>
  <c r="M908" i="11"/>
  <c r="N908" i="11" s="1"/>
  <c r="I902" i="11"/>
  <c r="J902" i="11" s="1"/>
  <c r="G895" i="11"/>
  <c r="H895" i="11" s="1"/>
  <c r="M851" i="11"/>
  <c r="N851" i="11" s="1"/>
  <c r="I845" i="11"/>
  <c r="J845" i="11" s="1"/>
  <c r="O838" i="11"/>
  <c r="P838" i="11" s="1"/>
  <c r="O796" i="11"/>
  <c r="P796" i="11" s="1"/>
  <c r="M793" i="11"/>
  <c r="N793" i="11" s="1"/>
  <c r="K790" i="11"/>
  <c r="L790" i="11" s="1"/>
  <c r="I787" i="11"/>
  <c r="J787" i="11" s="1"/>
  <c r="G784" i="11"/>
  <c r="H784" i="11" s="1"/>
  <c r="K1016" i="11"/>
  <c r="L1016" i="11" s="1"/>
  <c r="K908" i="11"/>
  <c r="L908" i="11" s="1"/>
  <c r="G902" i="11"/>
  <c r="H902" i="11" s="1"/>
  <c r="I855" i="11"/>
  <c r="J855" i="11" s="1"/>
  <c r="O848" i="11"/>
  <c r="P848" i="11" s="1"/>
  <c r="K842" i="11"/>
  <c r="L842" i="11" s="1"/>
  <c r="O799" i="11"/>
  <c r="P799" i="11" s="1"/>
  <c r="M796" i="11"/>
  <c r="N796" i="11" s="1"/>
  <c r="K793" i="11"/>
  <c r="L793" i="11" s="1"/>
  <c r="I790" i="11"/>
  <c r="J790" i="11" s="1"/>
  <c r="G787" i="11"/>
  <c r="H787" i="11" s="1"/>
  <c r="O783" i="11"/>
  <c r="P783" i="11" s="1"/>
  <c r="M963" i="11"/>
  <c r="N963" i="11" s="1"/>
  <c r="K901" i="11"/>
  <c r="L901" i="11" s="1"/>
  <c r="I852" i="11"/>
  <c r="J852" i="11" s="1"/>
  <c r="K839" i="11"/>
  <c r="L839" i="11" s="1"/>
  <c r="O794" i="11"/>
  <c r="P794" i="11" s="1"/>
  <c r="K788" i="11"/>
  <c r="L788" i="11" s="1"/>
  <c r="G782" i="11"/>
  <c r="H782" i="11" s="1"/>
  <c r="G740" i="11"/>
  <c r="H740" i="11" s="1"/>
  <c r="O736" i="11"/>
  <c r="P736" i="11" s="1"/>
  <c r="M733" i="11"/>
  <c r="N733" i="11" s="1"/>
  <c r="K730" i="11"/>
  <c r="L730" i="11" s="1"/>
  <c r="I727" i="11"/>
  <c r="J727" i="11" s="1"/>
  <c r="G724" i="11"/>
  <c r="H724" i="11" s="1"/>
  <c r="I683" i="11"/>
  <c r="J683" i="11" s="1"/>
  <c r="G680" i="11"/>
  <c r="H680" i="11" s="1"/>
  <c r="O676" i="11"/>
  <c r="P676" i="11" s="1"/>
  <c r="M673" i="11"/>
  <c r="N673" i="11" s="1"/>
  <c r="K670" i="11"/>
  <c r="L670" i="11" s="1"/>
  <c r="I667" i="11"/>
  <c r="J667" i="11" s="1"/>
  <c r="K626" i="11"/>
  <c r="L626" i="11" s="1"/>
  <c r="I623" i="11"/>
  <c r="J623" i="11" s="1"/>
  <c r="G620" i="11"/>
  <c r="H620" i="11" s="1"/>
  <c r="O616" i="11"/>
  <c r="P616" i="11" s="1"/>
  <c r="M613" i="11"/>
  <c r="N613" i="11" s="1"/>
  <c r="K610" i="11"/>
  <c r="L610" i="11" s="1"/>
  <c r="G904" i="11"/>
  <c r="H904" i="11" s="1"/>
  <c r="M854" i="11"/>
  <c r="N854" i="11" s="1"/>
  <c r="O841" i="11"/>
  <c r="P841" i="11" s="1"/>
  <c r="I796" i="11"/>
  <c r="J796" i="11" s="1"/>
  <c r="O789" i="11"/>
  <c r="P789" i="11" s="1"/>
  <c r="K783" i="11"/>
  <c r="L783" i="11" s="1"/>
  <c r="G741" i="11"/>
  <c r="H741" i="11" s="1"/>
  <c r="O737" i="11"/>
  <c r="P737" i="11" s="1"/>
  <c r="M734" i="11"/>
  <c r="N734" i="11" s="1"/>
  <c r="K731" i="11"/>
  <c r="L731" i="11" s="1"/>
  <c r="I728" i="11"/>
  <c r="J728" i="11" s="1"/>
  <c r="G725" i="11"/>
  <c r="H725" i="11" s="1"/>
  <c r="G683" i="11"/>
  <c r="H683" i="11" s="1"/>
  <c r="O679" i="11"/>
  <c r="P679" i="11" s="1"/>
  <c r="M676" i="11"/>
  <c r="N676" i="11" s="1"/>
  <c r="K673" i="11"/>
  <c r="L673" i="11" s="1"/>
  <c r="I670" i="11"/>
  <c r="J670" i="11" s="1"/>
  <c r="G667" i="11"/>
  <c r="H667" i="11" s="1"/>
  <c r="I626" i="11"/>
  <c r="J626" i="11" s="1"/>
  <c r="G623" i="11"/>
  <c r="H623" i="11" s="1"/>
  <c r="O619" i="11"/>
  <c r="P619" i="11" s="1"/>
  <c r="M616" i="11"/>
  <c r="N616" i="11" s="1"/>
  <c r="K613" i="11"/>
  <c r="L613" i="11" s="1"/>
  <c r="I610" i="11"/>
  <c r="J610" i="11" s="1"/>
  <c r="K853" i="11"/>
  <c r="L853" i="11" s="1"/>
  <c r="G794" i="11"/>
  <c r="H794" i="11" s="1"/>
  <c r="I781" i="11"/>
  <c r="J781" i="11" s="1"/>
  <c r="I737" i="11"/>
  <c r="J737" i="11" s="1"/>
  <c r="O730" i="11"/>
  <c r="P730" i="11" s="1"/>
  <c r="K724" i="11"/>
  <c r="L724" i="11" s="1"/>
  <c r="M679" i="11"/>
  <c r="N679" i="11" s="1"/>
  <c r="I673" i="11"/>
  <c r="J673" i="11" s="1"/>
  <c r="K628" i="11"/>
  <c r="L628" i="11" s="1"/>
  <c r="G622" i="11"/>
  <c r="H622" i="11" s="1"/>
  <c r="M615" i="11"/>
  <c r="N615" i="11" s="1"/>
  <c r="O570" i="11"/>
  <c r="P570" i="11" s="1"/>
  <c r="M567" i="11"/>
  <c r="N567" i="11" s="1"/>
  <c r="K564" i="11"/>
  <c r="L564" i="11" s="1"/>
  <c r="I561" i="11"/>
  <c r="J561" i="11" s="1"/>
  <c r="G558" i="11"/>
  <c r="H558" i="11" s="1"/>
  <c r="O554" i="11"/>
  <c r="P554" i="11" s="1"/>
  <c r="M514" i="11"/>
  <c r="N514" i="11" s="1"/>
  <c r="K511" i="11"/>
  <c r="L511" i="11" s="1"/>
  <c r="I508" i="11"/>
  <c r="J508" i="11" s="1"/>
  <c r="G505" i="11"/>
  <c r="H505" i="11" s="1"/>
  <c r="O501" i="11"/>
  <c r="P501" i="11" s="1"/>
  <c r="M498" i="11"/>
  <c r="N498" i="11" s="1"/>
  <c r="I958" i="11"/>
  <c r="J958" i="11" s="1"/>
  <c r="G838" i="11"/>
  <c r="H838" i="11" s="1"/>
  <c r="K787" i="11"/>
  <c r="L787" i="11" s="1"/>
  <c r="K739" i="11"/>
  <c r="L739" i="11" s="1"/>
  <c r="G733" i="11"/>
  <c r="H733" i="11" s="1"/>
  <c r="M726" i="11"/>
  <c r="N726" i="11" s="1"/>
  <c r="I684" i="11"/>
  <c r="J684" i="11" s="1"/>
  <c r="O677" i="11"/>
  <c r="P677" i="11" s="1"/>
  <c r="K671" i="11"/>
  <c r="L671" i="11" s="1"/>
  <c r="M626" i="11"/>
  <c r="N626" i="11" s="1"/>
  <c r="I620" i="11"/>
  <c r="J620" i="11" s="1"/>
  <c r="O613" i="11"/>
  <c r="P613" i="11" s="1"/>
  <c r="G570" i="11"/>
  <c r="H570" i="11" s="1"/>
  <c r="O566" i="11"/>
  <c r="P566" i="11" s="1"/>
  <c r="M563" i="11"/>
  <c r="N563" i="11" s="1"/>
  <c r="K560" i="11"/>
  <c r="L560" i="11" s="1"/>
  <c r="I557" i="11"/>
  <c r="J557" i="11" s="1"/>
  <c r="G554" i="11"/>
  <c r="H554" i="11" s="1"/>
  <c r="K512" i="11"/>
  <c r="L512" i="11" s="1"/>
  <c r="I509" i="11"/>
  <c r="J509" i="11" s="1"/>
  <c r="G506" i="11"/>
  <c r="H506" i="11" s="1"/>
  <c r="O502" i="11"/>
  <c r="P502" i="11" s="1"/>
  <c r="M499" i="11"/>
  <c r="N499" i="11" s="1"/>
  <c r="K496" i="11"/>
  <c r="L496" i="11" s="1"/>
  <c r="I897" i="11"/>
  <c r="J897" i="11" s="1"/>
  <c r="O798" i="11"/>
  <c r="P798" i="11" s="1"/>
  <c r="G786" i="11"/>
  <c r="H786" i="11" s="1"/>
  <c r="K740" i="11"/>
  <c r="L740" i="11" s="1"/>
  <c r="G734" i="11"/>
  <c r="H734" i="11" s="1"/>
  <c r="M727" i="11"/>
  <c r="N727" i="11" s="1"/>
  <c r="G682" i="11"/>
  <c r="H682" i="11" s="1"/>
  <c r="M675" i="11"/>
  <c r="N675" i="11" s="1"/>
  <c r="I669" i="11"/>
  <c r="J669" i="11" s="1"/>
  <c r="K624" i="11"/>
  <c r="L624" i="11" s="1"/>
  <c r="G618" i="11"/>
  <c r="H618" i="11" s="1"/>
  <c r="M611" i="11"/>
  <c r="N611" i="11" s="1"/>
  <c r="M845" i="11"/>
  <c r="N845" i="11" s="1"/>
  <c r="G735" i="11"/>
  <c r="H735" i="11" s="1"/>
  <c r="M678" i="11"/>
  <c r="N678" i="11" s="1"/>
  <c r="M614" i="11"/>
  <c r="N614" i="11" s="1"/>
  <c r="G566" i="11"/>
  <c r="H566" i="11" s="1"/>
  <c r="M559" i="11"/>
  <c r="N559" i="11" s="1"/>
  <c r="I553" i="11"/>
  <c r="J553" i="11" s="1"/>
  <c r="O509" i="11"/>
  <c r="P509" i="11" s="1"/>
  <c r="K503" i="11"/>
  <c r="L503" i="11" s="1"/>
  <c r="G497" i="11"/>
  <c r="H497" i="11" s="1"/>
  <c r="K398" i="11"/>
  <c r="L398" i="11" s="1"/>
  <c r="I395" i="11"/>
  <c r="J395" i="11" s="1"/>
  <c r="G392" i="11"/>
  <c r="H392" i="11" s="1"/>
  <c r="O388" i="11"/>
  <c r="P388" i="11" s="1"/>
  <c r="M385" i="11"/>
  <c r="N385" i="11" s="1"/>
  <c r="K382" i="11"/>
  <c r="L382" i="11" s="1"/>
  <c r="O733" i="11"/>
  <c r="P733" i="11" s="1"/>
  <c r="M670" i="11"/>
  <c r="N670" i="11" s="1"/>
  <c r="G571" i="11"/>
  <c r="H571" i="11" s="1"/>
  <c r="M564" i="11"/>
  <c r="N564" i="11" s="1"/>
  <c r="I558" i="11"/>
  <c r="J558" i="11" s="1"/>
  <c r="K513" i="11"/>
  <c r="L513" i="11" s="1"/>
  <c r="G507" i="11"/>
  <c r="H507" i="11" s="1"/>
  <c r="M500" i="11"/>
  <c r="N500" i="11" s="1"/>
  <c r="O457" i="11"/>
  <c r="P457" i="11" s="1"/>
  <c r="I456" i="11"/>
  <c r="J456" i="11" s="1"/>
  <c r="M454" i="11"/>
  <c r="N454" i="11" s="1"/>
  <c r="G453" i="11"/>
  <c r="H453" i="11" s="1"/>
  <c r="K451" i="11"/>
  <c r="L451" i="11" s="1"/>
  <c r="O449" i="11"/>
  <c r="P449" i="11" s="1"/>
  <c r="I448" i="11"/>
  <c r="J448" i="11" s="1"/>
  <c r="M446" i="11"/>
  <c r="N446" i="11" s="1"/>
  <c r="G445" i="11"/>
  <c r="H445" i="11" s="1"/>
  <c r="K443" i="11"/>
  <c r="L443" i="11" s="1"/>
  <c r="O441" i="11"/>
  <c r="P441" i="11" s="1"/>
  <c r="I440" i="11"/>
  <c r="J440" i="11" s="1"/>
  <c r="G897" i="11"/>
  <c r="H897" i="11" s="1"/>
  <c r="M737" i="11"/>
  <c r="N737" i="11" s="1"/>
  <c r="G669" i="11"/>
  <c r="H669" i="11" s="1"/>
  <c r="O571" i="11"/>
  <c r="P571" i="11" s="1"/>
  <c r="K565" i="11"/>
  <c r="L565" i="11" s="1"/>
  <c r="G559" i="11"/>
  <c r="H559" i="11" s="1"/>
  <c r="I514" i="11"/>
  <c r="J514" i="11" s="1"/>
  <c r="O507" i="11"/>
  <c r="P507" i="11" s="1"/>
  <c r="K501" i="11"/>
  <c r="L501" i="11" s="1"/>
  <c r="K400" i="11"/>
  <c r="L400" i="11" s="1"/>
  <c r="I397" i="11"/>
  <c r="J397" i="11" s="1"/>
  <c r="G394" i="11"/>
  <c r="H394" i="11" s="1"/>
  <c r="O390" i="11"/>
  <c r="P390" i="11" s="1"/>
  <c r="M387" i="11"/>
  <c r="N387" i="11" s="1"/>
  <c r="K384" i="11"/>
  <c r="L384" i="11" s="1"/>
  <c r="G789" i="11"/>
  <c r="H789" i="11" s="1"/>
  <c r="K506" i="11"/>
  <c r="L506" i="11" s="1"/>
  <c r="G456" i="11"/>
  <c r="H456" i="11" s="1"/>
  <c r="M449" i="11"/>
  <c r="N449" i="11" s="1"/>
  <c r="I443" i="11"/>
  <c r="J443" i="11" s="1"/>
  <c r="M398" i="11"/>
  <c r="N398" i="11" s="1"/>
  <c r="I392" i="11"/>
  <c r="J392" i="11" s="1"/>
  <c r="O385" i="11"/>
  <c r="P385" i="11" s="1"/>
  <c r="G343" i="11"/>
  <c r="H343" i="11" s="1"/>
  <c r="I340" i="11"/>
  <c r="J340" i="11" s="1"/>
  <c r="G337" i="11"/>
  <c r="H337" i="11" s="1"/>
  <c r="O333" i="11"/>
  <c r="P333" i="11" s="1"/>
  <c r="M330" i="11"/>
  <c r="N330" i="11" s="1"/>
  <c r="K327" i="11"/>
  <c r="L327" i="11" s="1"/>
  <c r="G284" i="11"/>
  <c r="H284" i="11" s="1"/>
  <c r="G281" i="11"/>
  <c r="H281" i="11" s="1"/>
  <c r="O277" i="11"/>
  <c r="P277" i="11" s="1"/>
  <c r="M274" i="11"/>
  <c r="N274" i="11" s="1"/>
  <c r="K271" i="11"/>
  <c r="L271" i="11" s="1"/>
  <c r="I268" i="11"/>
  <c r="J268" i="11" s="1"/>
  <c r="K227" i="11"/>
  <c r="L227" i="11" s="1"/>
  <c r="I224" i="11"/>
  <c r="J224" i="11" s="1"/>
  <c r="G221" i="11"/>
  <c r="H221" i="11" s="1"/>
  <c r="O217" i="11"/>
  <c r="P217" i="11" s="1"/>
  <c r="M214" i="11"/>
  <c r="N214" i="11" s="1"/>
  <c r="K211" i="11"/>
  <c r="L211" i="11" s="1"/>
  <c r="K561" i="11"/>
  <c r="L561" i="11" s="1"/>
  <c r="M455" i="11"/>
  <c r="N455" i="11" s="1"/>
  <c r="I449" i="11"/>
  <c r="J449" i="11" s="1"/>
  <c r="O442" i="11"/>
  <c r="P442" i="11" s="1"/>
  <c r="I398" i="11"/>
  <c r="J398" i="11" s="1"/>
  <c r="O391" i="11"/>
  <c r="P391" i="11" s="1"/>
  <c r="K385" i="11"/>
  <c r="L385" i="11" s="1"/>
  <c r="O342" i="11"/>
  <c r="P342" i="11" s="1"/>
  <c r="K339" i="11"/>
  <c r="L339" i="11" s="1"/>
  <c r="I336" i="11"/>
  <c r="J336" i="11" s="1"/>
  <c r="G333" i="11"/>
  <c r="H333" i="11" s="1"/>
  <c r="O329" i="11"/>
  <c r="P329" i="11" s="1"/>
  <c r="M326" i="11"/>
  <c r="N326" i="11" s="1"/>
  <c r="O285" i="11"/>
  <c r="P285" i="11" s="1"/>
  <c r="I283" i="11"/>
  <c r="J283" i="11" s="1"/>
  <c r="G280" i="11"/>
  <c r="H280" i="11" s="1"/>
  <c r="O276" i="11"/>
  <c r="P276" i="11" s="1"/>
  <c r="M273" i="11"/>
  <c r="N273" i="11" s="1"/>
  <c r="K270" i="11"/>
  <c r="L270" i="11" s="1"/>
  <c r="K741" i="11"/>
  <c r="L741" i="11" s="1"/>
  <c r="I565" i="11"/>
  <c r="J565" i="11" s="1"/>
  <c r="G509" i="11"/>
  <c r="H509" i="11" s="1"/>
  <c r="M453" i="11"/>
  <c r="N453" i="11" s="1"/>
  <c r="I447" i="11"/>
  <c r="J447" i="11" s="1"/>
  <c r="O440" i="11"/>
  <c r="P440" i="11" s="1"/>
  <c r="I396" i="11"/>
  <c r="J396" i="11" s="1"/>
  <c r="O389" i="11"/>
  <c r="P389" i="11" s="1"/>
  <c r="K383" i="11"/>
  <c r="L383" i="11" s="1"/>
  <c r="I341" i="11"/>
  <c r="J341" i="11" s="1"/>
  <c r="G338" i="11"/>
  <c r="H338" i="11" s="1"/>
  <c r="O334" i="11"/>
  <c r="P334" i="11" s="1"/>
  <c r="M331" i="11"/>
  <c r="N331" i="11" s="1"/>
  <c r="K328" i="11"/>
  <c r="L328" i="11" s="1"/>
  <c r="I325" i="11"/>
  <c r="J325" i="11" s="1"/>
  <c r="I282" i="11"/>
  <c r="J282" i="11" s="1"/>
  <c r="G279" i="11"/>
  <c r="H279" i="11" s="1"/>
  <c r="O275" i="11"/>
  <c r="P275" i="11" s="1"/>
  <c r="M272" i="11"/>
  <c r="N272" i="11" s="1"/>
  <c r="K269" i="11"/>
  <c r="L269" i="11" s="1"/>
  <c r="O227" i="11"/>
  <c r="P227" i="11" s="1"/>
  <c r="M224" i="11"/>
  <c r="N224" i="11" s="1"/>
  <c r="K221" i="11"/>
  <c r="L221" i="11" s="1"/>
  <c r="I218" i="11"/>
  <c r="J218" i="11" s="1"/>
  <c r="G215" i="11"/>
  <c r="H215" i="11" s="1"/>
  <c r="O211" i="11"/>
  <c r="P211" i="11" s="1"/>
  <c r="M507" i="11"/>
  <c r="N507" i="11" s="1"/>
  <c r="I394" i="11"/>
  <c r="J394" i="11" s="1"/>
  <c r="O337" i="11"/>
  <c r="P337" i="11" s="1"/>
  <c r="G325" i="11"/>
  <c r="H325" i="11" s="1"/>
  <c r="M279" i="11"/>
  <c r="N279" i="11" s="1"/>
  <c r="K228" i="11"/>
  <c r="L228" i="11" s="1"/>
  <c r="G222" i="11"/>
  <c r="H222" i="11" s="1"/>
  <c r="M215" i="11"/>
  <c r="N215" i="11" s="1"/>
  <c r="G172" i="11"/>
  <c r="H172" i="11" s="1"/>
  <c r="O168" i="11"/>
  <c r="P168" i="11" s="1"/>
  <c r="M165" i="11"/>
  <c r="N165" i="11" s="1"/>
  <c r="K162" i="11"/>
  <c r="L162" i="11" s="1"/>
  <c r="I159" i="11"/>
  <c r="J159" i="11" s="1"/>
  <c r="G156" i="11"/>
  <c r="H156" i="11" s="1"/>
  <c r="G115" i="11"/>
  <c r="H115" i="11" s="1"/>
  <c r="O111" i="11"/>
  <c r="P111" i="11" s="1"/>
  <c r="M108" i="11"/>
  <c r="N108" i="11" s="1"/>
  <c r="K105" i="11"/>
  <c r="L105" i="11" s="1"/>
  <c r="I102" i="11"/>
  <c r="J102" i="11" s="1"/>
  <c r="G99" i="11"/>
  <c r="H99" i="11" s="1"/>
  <c r="K57" i="11"/>
  <c r="L57" i="11" s="1"/>
  <c r="I54" i="11"/>
  <c r="J54" i="11" s="1"/>
  <c r="G51" i="11"/>
  <c r="H51" i="11" s="1"/>
  <c r="O47" i="11"/>
  <c r="P47" i="11" s="1"/>
  <c r="M44" i="11"/>
  <c r="N44" i="11" s="1"/>
  <c r="K41" i="11"/>
  <c r="L41" i="11" s="1"/>
  <c r="K456" i="11"/>
  <c r="L456" i="11" s="1"/>
  <c r="M392" i="11"/>
  <c r="N392" i="11" s="1"/>
  <c r="M334" i="11"/>
  <c r="N334" i="11" s="1"/>
  <c r="G282" i="11"/>
  <c r="H282" i="11" s="1"/>
  <c r="I269" i="11"/>
  <c r="J269" i="11" s="1"/>
  <c r="O224" i="11"/>
  <c r="P224" i="11" s="1"/>
  <c r="K218" i="11"/>
  <c r="L218" i="11" s="1"/>
  <c r="G212" i="11"/>
  <c r="H212" i="11" s="1"/>
  <c r="I170" i="11"/>
  <c r="J170" i="11" s="1"/>
  <c r="G167" i="11"/>
  <c r="H167" i="11" s="1"/>
  <c r="O163" i="11"/>
  <c r="P163" i="11" s="1"/>
  <c r="M160" i="11"/>
  <c r="N160" i="11" s="1"/>
  <c r="K157" i="11"/>
  <c r="L157" i="11" s="1"/>
  <c r="I154" i="11"/>
  <c r="J154" i="11" s="1"/>
  <c r="I113" i="11"/>
  <c r="J113" i="11" s="1"/>
  <c r="G110" i="11"/>
  <c r="H110" i="11" s="1"/>
  <c r="O106" i="11"/>
  <c r="P106" i="11" s="1"/>
  <c r="M103" i="11"/>
  <c r="N103" i="11" s="1"/>
  <c r="K100" i="11"/>
  <c r="L100" i="11" s="1"/>
  <c r="I97" i="11"/>
  <c r="J97" i="11" s="1"/>
  <c r="K56" i="11"/>
  <c r="L56" i="11" s="1"/>
  <c r="I53" i="11"/>
  <c r="J53" i="11" s="1"/>
  <c r="G50" i="11"/>
  <c r="H50" i="11" s="1"/>
  <c r="O46" i="11"/>
  <c r="P46" i="11" s="1"/>
  <c r="M43" i="11"/>
  <c r="N43" i="11" s="1"/>
  <c r="K40" i="11"/>
  <c r="L40" i="11" s="1"/>
  <c r="G216" i="11"/>
  <c r="H216" i="11" s="1"/>
  <c r="M170" i="11"/>
  <c r="N170" i="11" s="1"/>
  <c r="K167" i="11"/>
  <c r="L167" i="11" s="1"/>
  <c r="I164" i="11"/>
  <c r="J164" i="11" s="1"/>
  <c r="G161" i="11"/>
  <c r="H161" i="11" s="1"/>
  <c r="O157" i="11"/>
  <c r="P157" i="11" s="1"/>
  <c r="M154" i="11"/>
  <c r="N154" i="11" s="1"/>
  <c r="O108" i="11"/>
  <c r="P108" i="11" s="1"/>
  <c r="M101" i="11"/>
  <c r="N101" i="11" s="1"/>
  <c r="G56" i="11"/>
  <c r="H56" i="11" s="1"/>
  <c r="M49" i="11"/>
  <c r="N49" i="11" s="1"/>
  <c r="I43" i="11"/>
  <c r="J43" i="11" s="1"/>
  <c r="K497" i="11"/>
  <c r="L497" i="11" s="1"/>
  <c r="K397" i="11"/>
  <c r="L397" i="11" s="1"/>
  <c r="G339" i="11"/>
  <c r="H339" i="11" s="1"/>
  <c r="I326" i="11"/>
  <c r="J326" i="11" s="1"/>
  <c r="G278" i="11"/>
  <c r="H278" i="11" s="1"/>
  <c r="I229" i="11"/>
  <c r="J229" i="11" s="1"/>
  <c r="O222" i="11"/>
  <c r="P222" i="11" s="1"/>
  <c r="K216" i="11"/>
  <c r="L216" i="11" s="1"/>
  <c r="K172" i="11"/>
  <c r="L172" i="11" s="1"/>
  <c r="I169" i="11"/>
  <c r="J169" i="11" s="1"/>
  <c r="G166" i="11"/>
  <c r="H166" i="11" s="1"/>
  <c r="O162" i="11"/>
  <c r="P162" i="11" s="1"/>
  <c r="M159" i="11"/>
  <c r="N159" i="11" s="1"/>
  <c r="K156" i="11"/>
  <c r="L156" i="11" s="1"/>
  <c r="K115" i="11"/>
  <c r="L115" i="11" s="1"/>
  <c r="I112" i="11"/>
  <c r="J112" i="11" s="1"/>
  <c r="G109" i="11"/>
  <c r="H109" i="11" s="1"/>
  <c r="O105" i="11"/>
  <c r="P105" i="11" s="1"/>
  <c r="M102" i="11"/>
  <c r="N102" i="11" s="1"/>
  <c r="K99" i="11"/>
  <c r="L99" i="11" s="1"/>
  <c r="M58" i="11"/>
  <c r="N58" i="11" s="1"/>
  <c r="K55" i="11"/>
  <c r="L55" i="11" s="1"/>
  <c r="I52" i="11"/>
  <c r="J52" i="11" s="1"/>
  <c r="G49" i="11"/>
  <c r="H49" i="11" s="1"/>
  <c r="O45" i="11"/>
  <c r="P45" i="11" s="1"/>
  <c r="M42" i="11"/>
  <c r="N42" i="11" s="1"/>
  <c r="I736" i="11"/>
  <c r="J736" i="11" s="1"/>
  <c r="O446" i="11"/>
  <c r="P446" i="11" s="1"/>
  <c r="G383" i="11"/>
  <c r="H383" i="11" s="1"/>
  <c r="O330" i="11"/>
  <c r="P330" i="11" s="1"/>
  <c r="M283" i="11"/>
  <c r="N283" i="11" s="1"/>
  <c r="O270" i="11"/>
  <c r="P270" i="11" s="1"/>
  <c r="O220" i="11"/>
  <c r="P220" i="11" s="1"/>
  <c r="I115" i="11"/>
  <c r="J115" i="11" s="1"/>
  <c r="M109" i="11"/>
  <c r="N109" i="11" s="1"/>
  <c r="G104" i="11"/>
  <c r="H104" i="11" s="1"/>
  <c r="K98" i="11"/>
  <c r="L98" i="11" s="1"/>
  <c r="M53" i="11"/>
  <c r="N53" i="11" s="1"/>
  <c r="I47" i="11"/>
  <c r="J47" i="11" s="1"/>
  <c r="M1027" i="11"/>
  <c r="N1027" i="11" s="1"/>
  <c r="G1024" i="11"/>
  <c r="H1024" i="11" s="1"/>
  <c r="I1021" i="11"/>
  <c r="J1021" i="11" s="1"/>
  <c r="M1017" i="11"/>
  <c r="N1017" i="11" s="1"/>
  <c r="O1014" i="11"/>
  <c r="P1014" i="11" s="1"/>
  <c r="I1011" i="11"/>
  <c r="J1011" i="11" s="1"/>
  <c r="K1027" i="11"/>
  <c r="L1027" i="11" s="1"/>
  <c r="M1024" i="11"/>
  <c r="N1024" i="11" s="1"/>
  <c r="G1021" i="11"/>
  <c r="H1021" i="11" s="1"/>
  <c r="I1018" i="11"/>
  <c r="J1018" i="11" s="1"/>
  <c r="M1014" i="11"/>
  <c r="N1014" i="11" s="1"/>
  <c r="O1011" i="11"/>
  <c r="P1011" i="11" s="1"/>
  <c r="I1027" i="11"/>
  <c r="J1027" i="11" s="1"/>
  <c r="K1024" i="11"/>
  <c r="L1024" i="11" s="1"/>
  <c r="O1020" i="11"/>
  <c r="P1020" i="11" s="1"/>
  <c r="G1018" i="11"/>
  <c r="H1018" i="11" s="1"/>
  <c r="K1014" i="11"/>
  <c r="L1014" i="11" s="1"/>
  <c r="M1011" i="11"/>
  <c r="N1011" i="11" s="1"/>
  <c r="G1027" i="11"/>
  <c r="H1027" i="11" s="1"/>
  <c r="M1015" i="11"/>
  <c r="N1015" i="11" s="1"/>
  <c r="G969" i="11"/>
  <c r="H969" i="11" s="1"/>
  <c r="I965" i="11"/>
  <c r="J965" i="11" s="1"/>
  <c r="G962" i="11"/>
  <c r="H962" i="11" s="1"/>
  <c r="O958" i="11"/>
  <c r="P958" i="11" s="1"/>
  <c r="M955" i="11"/>
  <c r="N955" i="11" s="1"/>
  <c r="K952" i="11"/>
  <c r="L952" i="11" s="1"/>
  <c r="G1015" i="11"/>
  <c r="H1015" i="11" s="1"/>
  <c r="K969" i="11"/>
  <c r="L969" i="11" s="1"/>
  <c r="I966" i="11"/>
  <c r="J966" i="11" s="1"/>
  <c r="G963" i="11"/>
  <c r="H963" i="11" s="1"/>
  <c r="O959" i="11"/>
  <c r="P959" i="11" s="1"/>
  <c r="M956" i="11"/>
  <c r="N956" i="11" s="1"/>
  <c r="K953" i="11"/>
  <c r="L953" i="11" s="1"/>
  <c r="I1014" i="11"/>
  <c r="J1014" i="11" s="1"/>
  <c r="O966" i="11"/>
  <c r="P966" i="11" s="1"/>
  <c r="K960" i="11"/>
  <c r="L960" i="11" s="1"/>
  <c r="G954" i="11"/>
  <c r="H954" i="11" s="1"/>
  <c r="K912" i="11"/>
  <c r="L912" i="11" s="1"/>
  <c r="O908" i="11"/>
  <c r="P908" i="11" s="1"/>
  <c r="O1024" i="11"/>
  <c r="P1024" i="11" s="1"/>
  <c r="M966" i="11"/>
  <c r="N966" i="11" s="1"/>
  <c r="I960" i="11"/>
  <c r="J960" i="11" s="1"/>
  <c r="O953" i="11"/>
  <c r="P953" i="11" s="1"/>
  <c r="M911" i="11"/>
  <c r="N911" i="11" s="1"/>
  <c r="G908" i="11"/>
  <c r="H908" i="11" s="1"/>
  <c r="K967" i="11"/>
  <c r="L967" i="11" s="1"/>
  <c r="M954" i="11"/>
  <c r="N954" i="11" s="1"/>
  <c r="I909" i="11"/>
  <c r="J909" i="11" s="1"/>
  <c r="K905" i="11"/>
  <c r="L905" i="11" s="1"/>
  <c r="O901" i="11"/>
  <c r="P901" i="11" s="1"/>
  <c r="G899" i="11"/>
  <c r="H899" i="11" s="1"/>
  <c r="K895" i="11"/>
  <c r="L895" i="11" s="1"/>
  <c r="O853" i="11"/>
  <c r="P853" i="11" s="1"/>
  <c r="M850" i="11"/>
  <c r="N850" i="11" s="1"/>
  <c r="K847" i="11"/>
  <c r="L847" i="11" s="1"/>
  <c r="I844" i="11"/>
  <c r="J844" i="11" s="1"/>
  <c r="G841" i="11"/>
  <c r="H841" i="11" s="1"/>
  <c r="G1022" i="11"/>
  <c r="H1022" i="11" s="1"/>
  <c r="M964" i="11"/>
  <c r="N964" i="11" s="1"/>
  <c r="K913" i="11"/>
  <c r="L913" i="11" s="1"/>
  <c r="M906" i="11"/>
  <c r="N906" i="11" s="1"/>
  <c r="O903" i="11"/>
  <c r="P903" i="11" s="1"/>
  <c r="I900" i="11"/>
  <c r="J900" i="11" s="1"/>
  <c r="K897" i="11"/>
  <c r="L897" i="11" s="1"/>
  <c r="I856" i="11"/>
  <c r="J856" i="11" s="1"/>
  <c r="G853" i="11"/>
  <c r="H853" i="11" s="1"/>
  <c r="O849" i="11"/>
  <c r="P849" i="11" s="1"/>
  <c r="M846" i="11"/>
  <c r="N846" i="11" s="1"/>
  <c r="K843" i="11"/>
  <c r="L843" i="11" s="1"/>
  <c r="I840" i="11"/>
  <c r="J840" i="11" s="1"/>
  <c r="G961" i="11"/>
  <c r="H961" i="11" s="1"/>
  <c r="K906" i="11"/>
  <c r="L906" i="11" s="1"/>
  <c r="I899" i="11"/>
  <c r="J899" i="11" s="1"/>
  <c r="M856" i="11"/>
  <c r="N856" i="11" s="1"/>
  <c r="I850" i="11"/>
  <c r="J850" i="11" s="1"/>
  <c r="O843" i="11"/>
  <c r="P843" i="11" s="1"/>
  <c r="I799" i="11"/>
  <c r="J799" i="11" s="1"/>
  <c r="G796" i="11"/>
  <c r="H796" i="11" s="1"/>
  <c r="O792" i="11"/>
  <c r="P792" i="11" s="1"/>
  <c r="M789" i="11"/>
  <c r="N789" i="11" s="1"/>
  <c r="K786" i="11"/>
  <c r="L786" i="11" s="1"/>
  <c r="I783" i="11"/>
  <c r="J783" i="11" s="1"/>
  <c r="G966" i="11"/>
  <c r="H966" i="11" s="1"/>
  <c r="I906" i="11"/>
  <c r="J906" i="11" s="1"/>
  <c r="M900" i="11"/>
  <c r="N900" i="11" s="1"/>
  <c r="G854" i="11"/>
  <c r="H854" i="11" s="1"/>
  <c r="M847" i="11"/>
  <c r="N847" i="11" s="1"/>
  <c r="I841" i="11"/>
  <c r="J841" i="11" s="1"/>
  <c r="G799" i="11"/>
  <c r="H799" i="11" s="1"/>
  <c r="O795" i="11"/>
  <c r="P795" i="11" s="1"/>
  <c r="M792" i="11"/>
  <c r="N792" i="11" s="1"/>
  <c r="K789" i="11"/>
  <c r="L789" i="11" s="1"/>
  <c r="I786" i="11"/>
  <c r="J786" i="11" s="1"/>
  <c r="G783" i="11"/>
  <c r="H783" i="11" s="1"/>
  <c r="O912" i="11"/>
  <c r="P912" i="11" s="1"/>
  <c r="M898" i="11"/>
  <c r="N898" i="11" s="1"/>
  <c r="M849" i="11"/>
  <c r="N849" i="11" s="1"/>
  <c r="M799" i="11"/>
  <c r="N799" i="11" s="1"/>
  <c r="I793" i="11"/>
  <c r="J793" i="11" s="1"/>
  <c r="O786" i="11"/>
  <c r="P786" i="11" s="1"/>
  <c r="G742" i="11"/>
  <c r="H742" i="11" s="1"/>
  <c r="O738" i="11"/>
  <c r="P738" i="11" s="1"/>
  <c r="M735" i="11"/>
  <c r="N735" i="11" s="1"/>
  <c r="K732" i="11"/>
  <c r="L732" i="11" s="1"/>
  <c r="I729" i="11"/>
  <c r="J729" i="11" s="1"/>
  <c r="G726" i="11"/>
  <c r="H726" i="11" s="1"/>
  <c r="M685" i="11"/>
  <c r="N685" i="11" s="1"/>
  <c r="K682" i="11"/>
  <c r="L682" i="11" s="1"/>
  <c r="I679" i="11"/>
  <c r="J679" i="11" s="1"/>
  <c r="G676" i="11"/>
  <c r="H676" i="11" s="1"/>
  <c r="O672" i="11"/>
  <c r="P672" i="11" s="1"/>
  <c r="M669" i="11"/>
  <c r="N669" i="11" s="1"/>
  <c r="O628" i="11"/>
  <c r="P628" i="11" s="1"/>
  <c r="M625" i="11"/>
  <c r="N625" i="11" s="1"/>
  <c r="K622" i="11"/>
  <c r="L622" i="11" s="1"/>
  <c r="I619" i="11"/>
  <c r="J619" i="11" s="1"/>
  <c r="G616" i="11"/>
  <c r="H616" i="11" s="1"/>
  <c r="O612" i="11"/>
  <c r="P612" i="11" s="1"/>
  <c r="K963" i="11"/>
  <c r="L963" i="11" s="1"/>
  <c r="I901" i="11"/>
  <c r="J901" i="11" s="1"/>
  <c r="G852" i="11"/>
  <c r="H852" i="11" s="1"/>
  <c r="I839" i="11"/>
  <c r="J839" i="11" s="1"/>
  <c r="M794" i="11"/>
  <c r="N794" i="11" s="1"/>
  <c r="I788" i="11"/>
  <c r="J788" i="11" s="1"/>
  <c r="O781" i="11"/>
  <c r="P781" i="11" s="1"/>
  <c r="O739" i="11"/>
  <c r="P739" i="11" s="1"/>
  <c r="M736" i="11"/>
  <c r="N736" i="11" s="1"/>
  <c r="K733" i="11"/>
  <c r="L733" i="11" s="1"/>
  <c r="I730" i="11"/>
  <c r="J730" i="11" s="1"/>
  <c r="G727" i="11"/>
  <c r="H727" i="11" s="1"/>
  <c r="K685" i="11"/>
  <c r="L685" i="11" s="1"/>
  <c r="I682" i="11"/>
  <c r="J682" i="11" s="1"/>
  <c r="G679" i="11"/>
  <c r="H679" i="11" s="1"/>
  <c r="O675" i="11"/>
  <c r="P675" i="11" s="1"/>
  <c r="M672" i="11"/>
  <c r="N672" i="11" s="1"/>
  <c r="K669" i="11"/>
  <c r="L669" i="11" s="1"/>
  <c r="M628" i="11"/>
  <c r="N628" i="11" s="1"/>
  <c r="K625" i="11"/>
  <c r="L625" i="11" s="1"/>
  <c r="I622" i="11"/>
  <c r="J622" i="11" s="1"/>
  <c r="G619" i="11"/>
  <c r="H619" i="11" s="1"/>
  <c r="O615" i="11"/>
  <c r="P615" i="11" s="1"/>
  <c r="M612" i="11"/>
  <c r="N612" i="11" s="1"/>
  <c r="K958" i="11"/>
  <c r="L958" i="11" s="1"/>
  <c r="K848" i="11"/>
  <c r="L848" i="11" s="1"/>
  <c r="O790" i="11"/>
  <c r="P790" i="11" s="1"/>
  <c r="I742" i="11"/>
  <c r="J742" i="11" s="1"/>
  <c r="O735" i="11"/>
  <c r="P735" i="11" s="1"/>
  <c r="K729" i="11"/>
  <c r="L729" i="11" s="1"/>
  <c r="K684" i="11"/>
  <c r="L684" i="11" s="1"/>
  <c r="G678" i="11"/>
  <c r="H678" i="11" s="1"/>
  <c r="M671" i="11"/>
  <c r="N671" i="11" s="1"/>
  <c r="O626" i="11"/>
  <c r="P626" i="11" s="1"/>
  <c r="K620" i="11"/>
  <c r="L620" i="11" s="1"/>
  <c r="G614" i="11"/>
  <c r="H614" i="11" s="1"/>
  <c r="I570" i="11"/>
  <c r="J570" i="11" s="1"/>
  <c r="G567" i="11"/>
  <c r="H567" i="11" s="1"/>
  <c r="O563" i="11"/>
  <c r="P563" i="11" s="1"/>
  <c r="M560" i="11"/>
  <c r="N560" i="11" s="1"/>
  <c r="K557" i="11"/>
  <c r="L557" i="11" s="1"/>
  <c r="I554" i="11"/>
  <c r="J554" i="11" s="1"/>
  <c r="I513" i="11"/>
  <c r="J513" i="11" s="1"/>
  <c r="G510" i="11"/>
  <c r="H510" i="11" s="1"/>
  <c r="O506" i="11"/>
  <c r="P506" i="11" s="1"/>
  <c r="M503" i="11"/>
  <c r="N503" i="11" s="1"/>
  <c r="K500" i="11"/>
  <c r="L500" i="11" s="1"/>
  <c r="I497" i="11"/>
  <c r="J497" i="11" s="1"/>
  <c r="O899" i="11"/>
  <c r="P899" i="11" s="1"/>
  <c r="G797" i="11"/>
  <c r="H797" i="11" s="1"/>
  <c r="I784" i="11"/>
  <c r="J784" i="11" s="1"/>
  <c r="I738" i="11"/>
  <c r="J738" i="11" s="1"/>
  <c r="O731" i="11"/>
  <c r="P731" i="11" s="1"/>
  <c r="K725" i="11"/>
  <c r="L725" i="11" s="1"/>
  <c r="M682" i="11"/>
  <c r="N682" i="11" s="1"/>
  <c r="I676" i="11"/>
  <c r="J676" i="11" s="1"/>
  <c r="O669" i="11"/>
  <c r="P669" i="11" s="1"/>
  <c r="G625" i="11"/>
  <c r="H625" i="11" s="1"/>
  <c r="M618" i="11"/>
  <c r="N618" i="11" s="1"/>
  <c r="I612" i="11"/>
  <c r="J612" i="11" s="1"/>
  <c r="K569" i="11"/>
  <c r="L569" i="11" s="1"/>
  <c r="I566" i="11"/>
  <c r="J566" i="11" s="1"/>
  <c r="G563" i="11"/>
  <c r="H563" i="11" s="1"/>
  <c r="O559" i="11"/>
  <c r="P559" i="11" s="1"/>
  <c r="M556" i="11"/>
  <c r="N556" i="11" s="1"/>
  <c r="K553" i="11"/>
  <c r="L553" i="11" s="1"/>
  <c r="O511" i="11"/>
  <c r="P511" i="11" s="1"/>
  <c r="M508" i="11"/>
  <c r="N508" i="11" s="1"/>
  <c r="K505" i="11"/>
  <c r="L505" i="11" s="1"/>
  <c r="I502" i="11"/>
  <c r="J502" i="11" s="1"/>
  <c r="G499" i="11"/>
  <c r="H499" i="11" s="1"/>
  <c r="M968" i="11"/>
  <c r="N968" i="11" s="1"/>
  <c r="G856" i="11"/>
  <c r="H856" i="11" s="1"/>
  <c r="M795" i="11"/>
  <c r="N795" i="11" s="1"/>
  <c r="O782" i="11"/>
  <c r="P782" i="11" s="1"/>
  <c r="G739" i="11"/>
  <c r="H739" i="11" s="1"/>
  <c r="M732" i="11"/>
  <c r="N732" i="11" s="1"/>
  <c r="I726" i="11"/>
  <c r="J726" i="11" s="1"/>
  <c r="K680" i="11"/>
  <c r="L680" i="11" s="1"/>
  <c r="G674" i="11"/>
  <c r="H674" i="11" s="1"/>
  <c r="M667" i="11"/>
  <c r="N667" i="11" s="1"/>
  <c r="O622" i="11"/>
  <c r="P622" i="11" s="1"/>
  <c r="K616" i="11"/>
  <c r="L616" i="11" s="1"/>
  <c r="G610" i="11"/>
  <c r="H610" i="11" s="1"/>
  <c r="M798" i="11"/>
  <c r="N798" i="11" s="1"/>
  <c r="O729" i="11"/>
  <c r="P729" i="11" s="1"/>
  <c r="I672" i="11"/>
  <c r="J672" i="11" s="1"/>
  <c r="I571" i="11"/>
  <c r="J571" i="11" s="1"/>
  <c r="O564" i="11"/>
  <c r="P564" i="11" s="1"/>
  <c r="K558" i="11"/>
  <c r="L558" i="11" s="1"/>
  <c r="O514" i="11"/>
  <c r="P514" i="11" s="1"/>
  <c r="K508" i="11"/>
  <c r="L508" i="11" s="1"/>
  <c r="G502" i="11"/>
  <c r="H502" i="11" s="1"/>
  <c r="O400" i="11"/>
  <c r="P400" i="11" s="1"/>
  <c r="M397" i="11"/>
  <c r="N397" i="11" s="1"/>
  <c r="K394" i="11"/>
  <c r="L394" i="11" s="1"/>
  <c r="I391" i="11"/>
  <c r="J391" i="11" s="1"/>
  <c r="G388" i="11"/>
  <c r="H388" i="11" s="1"/>
  <c r="O384" i="11"/>
  <c r="P384" i="11" s="1"/>
  <c r="M902" i="11"/>
  <c r="N902" i="11" s="1"/>
  <c r="M728" i="11"/>
  <c r="N728" i="11" s="1"/>
  <c r="O625" i="11"/>
  <c r="P625" i="11" s="1"/>
  <c r="O569" i="11"/>
  <c r="P569" i="11" s="1"/>
  <c r="K563" i="11"/>
  <c r="L563" i="11" s="1"/>
  <c r="G557" i="11"/>
  <c r="H557" i="11" s="1"/>
  <c r="I512" i="11"/>
  <c r="J512" i="11" s="1"/>
  <c r="O505" i="11"/>
  <c r="P505" i="11" s="1"/>
  <c r="K499" i="11"/>
  <c r="L499" i="11" s="1"/>
  <c r="K457" i="11"/>
  <c r="L457" i="11" s="1"/>
  <c r="O455" i="11"/>
  <c r="P455" i="11" s="1"/>
  <c r="I454" i="11"/>
  <c r="J454" i="11" s="1"/>
  <c r="M452" i="11"/>
  <c r="N452" i="11" s="1"/>
  <c r="G451" i="11"/>
  <c r="H451" i="11" s="1"/>
  <c r="K449" i="11"/>
  <c r="L449" i="11" s="1"/>
  <c r="O447" i="11"/>
  <c r="P447" i="11" s="1"/>
  <c r="I446" i="11"/>
  <c r="J446" i="11" s="1"/>
  <c r="M444" i="11"/>
  <c r="N444" i="11" s="1"/>
  <c r="G443" i="11"/>
  <c r="H443" i="11" s="1"/>
  <c r="K441" i="11"/>
  <c r="L441" i="11" s="1"/>
  <c r="O439" i="11"/>
  <c r="P439" i="11" s="1"/>
  <c r="O855" i="11"/>
  <c r="P855" i="11" s="1"/>
  <c r="K727" i="11"/>
  <c r="L727" i="11" s="1"/>
  <c r="I624" i="11"/>
  <c r="J624" i="11" s="1"/>
  <c r="M570" i="11"/>
  <c r="N570" i="11" s="1"/>
  <c r="I564" i="11"/>
  <c r="J564" i="11" s="1"/>
  <c r="O557" i="11"/>
  <c r="P557" i="11" s="1"/>
  <c r="G513" i="11"/>
  <c r="H513" i="11" s="1"/>
  <c r="M506" i="11"/>
  <c r="N506" i="11" s="1"/>
  <c r="I500" i="11"/>
  <c r="J500" i="11" s="1"/>
  <c r="M399" i="11"/>
  <c r="N399" i="11" s="1"/>
  <c r="K396" i="11"/>
  <c r="L396" i="11" s="1"/>
  <c r="I393" i="11"/>
  <c r="J393" i="11" s="1"/>
  <c r="G390" i="11"/>
  <c r="H390" i="11" s="1"/>
  <c r="O386" i="11"/>
  <c r="P386" i="11" s="1"/>
  <c r="M383" i="11"/>
  <c r="N383" i="11" s="1"/>
  <c r="I731" i="11"/>
  <c r="J731" i="11" s="1"/>
  <c r="I501" i="11"/>
  <c r="J501" i="11" s="1"/>
  <c r="K454" i="11"/>
  <c r="L454" i="11" s="1"/>
  <c r="G448" i="11"/>
  <c r="H448" i="11" s="1"/>
  <c r="M441" i="11"/>
  <c r="N441" i="11" s="1"/>
  <c r="G397" i="11"/>
  <c r="H397" i="11" s="1"/>
  <c r="M390" i="11"/>
  <c r="N390" i="11" s="1"/>
  <c r="I384" i="11"/>
  <c r="J384" i="11" s="1"/>
  <c r="I342" i="11"/>
  <c r="J342" i="11" s="1"/>
  <c r="M339" i="11"/>
  <c r="N339" i="11" s="1"/>
  <c r="K336" i="11"/>
  <c r="L336" i="11" s="1"/>
  <c r="I333" i="11"/>
  <c r="J333" i="11" s="1"/>
  <c r="G330" i="11"/>
  <c r="H330" i="11" s="1"/>
  <c r="O326" i="11"/>
  <c r="P326" i="11" s="1"/>
  <c r="K283" i="11"/>
  <c r="L283" i="11" s="1"/>
  <c r="I280" i="11"/>
  <c r="J280" i="11" s="1"/>
  <c r="G277" i="11"/>
  <c r="H277" i="11" s="1"/>
  <c r="O273" i="11"/>
  <c r="P273" i="11" s="1"/>
  <c r="M270" i="11"/>
  <c r="N270" i="11" s="1"/>
  <c r="O229" i="11"/>
  <c r="P229" i="11" s="1"/>
  <c r="M226" i="11"/>
  <c r="N226" i="11" s="1"/>
  <c r="K223" i="11"/>
  <c r="L223" i="11" s="1"/>
  <c r="I220" i="11"/>
  <c r="J220" i="11" s="1"/>
  <c r="G217" i="11"/>
  <c r="H217" i="11" s="1"/>
  <c r="O213" i="11"/>
  <c r="P213" i="11" s="1"/>
  <c r="I680" i="11"/>
  <c r="J680" i="11" s="1"/>
  <c r="I510" i="11"/>
  <c r="J510" i="11" s="1"/>
  <c r="G454" i="11"/>
  <c r="H454" i="11" s="1"/>
  <c r="M447" i="11"/>
  <c r="N447" i="11" s="1"/>
  <c r="I441" i="11"/>
  <c r="J441" i="11" s="1"/>
  <c r="M396" i="11"/>
  <c r="N396" i="11" s="1"/>
  <c r="I390" i="11"/>
  <c r="J390" i="11" s="1"/>
  <c r="O383" i="11"/>
  <c r="P383" i="11" s="1"/>
  <c r="G342" i="11"/>
  <c r="H342" i="11" s="1"/>
  <c r="O338" i="11"/>
  <c r="P338" i="11" s="1"/>
  <c r="M335" i="11"/>
  <c r="N335" i="11" s="1"/>
  <c r="K332" i="11"/>
  <c r="L332" i="11" s="1"/>
  <c r="I329" i="11"/>
  <c r="J329" i="11" s="1"/>
  <c r="G326" i="11"/>
  <c r="H326" i="11" s="1"/>
  <c r="K285" i="11"/>
  <c r="L285" i="11" s="1"/>
  <c r="K282" i="11"/>
  <c r="L282" i="11" s="1"/>
  <c r="I279" i="11"/>
  <c r="J279" i="11" s="1"/>
  <c r="G276" i="11"/>
  <c r="H276" i="11" s="1"/>
  <c r="O272" i="11"/>
  <c r="P272" i="11" s="1"/>
  <c r="M269" i="11"/>
  <c r="N269" i="11" s="1"/>
  <c r="O673" i="11"/>
  <c r="P673" i="11" s="1"/>
  <c r="I560" i="11"/>
  <c r="J560" i="11" s="1"/>
  <c r="O503" i="11"/>
  <c r="P503" i="11" s="1"/>
  <c r="G452" i="11"/>
  <c r="H452" i="11" s="1"/>
  <c r="M445" i="11"/>
  <c r="N445" i="11" s="1"/>
  <c r="I439" i="11"/>
  <c r="J439" i="11" s="1"/>
  <c r="M394" i="11"/>
  <c r="N394" i="11" s="1"/>
  <c r="I388" i="11"/>
  <c r="J388" i="11" s="1"/>
  <c r="K343" i="11"/>
  <c r="L343" i="11" s="1"/>
  <c r="O339" i="11"/>
  <c r="P339" i="11" s="1"/>
  <c r="M336" i="11"/>
  <c r="N336" i="11" s="1"/>
  <c r="K333" i="11"/>
  <c r="L333" i="11" s="1"/>
  <c r="I330" i="11"/>
  <c r="J330" i="11" s="1"/>
  <c r="G327" i="11"/>
  <c r="H327" i="11" s="1"/>
  <c r="O284" i="11"/>
  <c r="P284" i="11" s="1"/>
  <c r="K281" i="11"/>
  <c r="L281" i="11" s="1"/>
  <c r="I278" i="11"/>
  <c r="J278" i="11" s="1"/>
  <c r="G275" i="11"/>
  <c r="H275" i="11" s="1"/>
  <c r="O271" i="11"/>
  <c r="P271" i="11" s="1"/>
  <c r="M268" i="11"/>
  <c r="N268" i="11" s="1"/>
  <c r="G227" i="11"/>
  <c r="H227" i="11" s="1"/>
  <c r="O223" i="11"/>
  <c r="P223" i="11" s="1"/>
  <c r="M220" i="11"/>
  <c r="N220" i="11" s="1"/>
  <c r="K217" i="11"/>
  <c r="L217" i="11" s="1"/>
  <c r="I214" i="11"/>
  <c r="J214" i="11" s="1"/>
  <c r="G211" i="11"/>
  <c r="H211" i="11" s="1"/>
  <c r="M451" i="11"/>
  <c r="N451" i="11" s="1"/>
  <c r="O387" i="11"/>
  <c r="P387" i="11" s="1"/>
  <c r="I335" i="11"/>
  <c r="J335" i="11" s="1"/>
  <c r="O286" i="11"/>
  <c r="P286" i="11" s="1"/>
  <c r="K276" i="11"/>
  <c r="L276" i="11" s="1"/>
  <c r="O226" i="11"/>
  <c r="P226" i="11" s="1"/>
  <c r="K220" i="11"/>
  <c r="L220" i="11" s="1"/>
  <c r="G214" i="11"/>
  <c r="H214" i="11" s="1"/>
  <c r="I171" i="11"/>
  <c r="J171" i="11" s="1"/>
  <c r="G168" i="11"/>
  <c r="H168" i="11" s="1"/>
  <c r="O164" i="11"/>
  <c r="P164" i="11" s="1"/>
  <c r="M161" i="11"/>
  <c r="N161" i="11" s="1"/>
  <c r="K158" i="11"/>
  <c r="L158" i="11" s="1"/>
  <c r="I155" i="11"/>
  <c r="J155" i="11" s="1"/>
  <c r="I114" i="11"/>
  <c r="J114" i="11" s="1"/>
  <c r="G111" i="11"/>
  <c r="H111" i="11" s="1"/>
  <c r="O107" i="11"/>
  <c r="P107" i="11" s="1"/>
  <c r="M104" i="11"/>
  <c r="N104" i="11" s="1"/>
  <c r="K101" i="11"/>
  <c r="L101" i="11" s="1"/>
  <c r="I98" i="11"/>
  <c r="J98" i="11" s="1"/>
  <c r="M56" i="11"/>
  <c r="N56" i="11" s="1"/>
  <c r="K53" i="11"/>
  <c r="L53" i="11" s="1"/>
  <c r="I50" i="11"/>
  <c r="J50" i="11" s="1"/>
  <c r="G47" i="11"/>
  <c r="H47" i="11" s="1"/>
  <c r="O43" i="11"/>
  <c r="P43" i="11" s="1"/>
  <c r="M40" i="11"/>
  <c r="N40" i="11" s="1"/>
  <c r="G450" i="11"/>
  <c r="H450" i="11" s="1"/>
  <c r="I386" i="11"/>
  <c r="J386" i="11" s="1"/>
  <c r="G332" i="11"/>
  <c r="H332" i="11" s="1"/>
  <c r="O278" i="11"/>
  <c r="P278" i="11" s="1"/>
  <c r="M229" i="11"/>
  <c r="N229" i="11" s="1"/>
  <c r="I223" i="11"/>
  <c r="J223" i="11" s="1"/>
  <c r="O216" i="11"/>
  <c r="P216" i="11" s="1"/>
  <c r="M172" i="11"/>
  <c r="N172" i="11" s="1"/>
  <c r="K169" i="11"/>
  <c r="L169" i="11" s="1"/>
  <c r="I166" i="11"/>
  <c r="J166" i="11" s="1"/>
  <c r="G163" i="11"/>
  <c r="H163" i="11" s="1"/>
  <c r="O159" i="11"/>
  <c r="P159" i="11" s="1"/>
  <c r="M156" i="11"/>
  <c r="N156" i="11" s="1"/>
  <c r="M115" i="11"/>
  <c r="N115" i="11" s="1"/>
  <c r="K112" i="11"/>
  <c r="L112" i="11" s="1"/>
  <c r="I109" i="11"/>
  <c r="J109" i="11" s="1"/>
  <c r="O1026" i="11"/>
  <c r="P1026" i="11" s="1"/>
  <c r="I1023" i="11"/>
  <c r="J1023" i="11" s="1"/>
  <c r="K1020" i="11"/>
  <c r="L1020" i="11" s="1"/>
  <c r="O1016" i="11"/>
  <c r="P1016" i="11" s="1"/>
  <c r="G1014" i="11"/>
  <c r="H1014" i="11" s="1"/>
  <c r="K1010" i="11"/>
  <c r="L1010" i="11" s="1"/>
  <c r="M1026" i="11"/>
  <c r="N1026" i="11" s="1"/>
  <c r="O1023" i="11"/>
  <c r="P1023" i="11" s="1"/>
  <c r="I1020" i="11"/>
  <c r="J1020" i="11" s="1"/>
  <c r="K1017" i="11"/>
  <c r="L1017" i="11" s="1"/>
  <c r="O1013" i="11"/>
  <c r="P1013" i="11" s="1"/>
  <c r="G1011" i="11"/>
  <c r="H1011" i="11" s="1"/>
  <c r="K1026" i="11"/>
  <c r="L1026" i="11" s="1"/>
  <c r="M1023" i="11"/>
  <c r="N1023" i="11" s="1"/>
  <c r="G1020" i="11"/>
  <c r="H1020" i="11" s="1"/>
  <c r="I1017" i="11"/>
  <c r="J1017" i="11" s="1"/>
  <c r="M1013" i="11"/>
  <c r="N1013" i="11" s="1"/>
  <c r="O1010" i="11"/>
  <c r="P1010" i="11" s="1"/>
  <c r="I1024" i="11"/>
  <c r="J1024" i="11" s="1"/>
  <c r="O1012" i="11"/>
  <c r="P1012" i="11" s="1"/>
  <c r="G967" i="11"/>
  <c r="H967" i="11" s="1"/>
  <c r="O963" i="11"/>
  <c r="P963" i="11" s="1"/>
  <c r="M960" i="11"/>
  <c r="N960" i="11" s="1"/>
  <c r="K957" i="11"/>
  <c r="L957" i="11" s="1"/>
  <c r="I954" i="11"/>
  <c r="J954" i="11" s="1"/>
  <c r="K1023" i="11"/>
  <c r="L1023" i="11" s="1"/>
  <c r="G1012" i="11"/>
  <c r="H1012" i="11" s="1"/>
  <c r="O968" i="11"/>
  <c r="P968" i="11" s="1"/>
  <c r="M965" i="11"/>
  <c r="N965" i="11" s="1"/>
  <c r="K962" i="11"/>
  <c r="L962" i="11" s="1"/>
  <c r="I959" i="11"/>
  <c r="J959" i="11" s="1"/>
  <c r="G956" i="11"/>
  <c r="H956" i="11" s="1"/>
  <c r="O952" i="11"/>
  <c r="P952" i="11" s="1"/>
  <c r="M970" i="11"/>
  <c r="N970" i="11" s="1"/>
  <c r="K965" i="11"/>
  <c r="L965" i="11" s="1"/>
  <c r="G959" i="11"/>
  <c r="H959" i="11" s="1"/>
  <c r="M952" i="11"/>
  <c r="N952" i="11" s="1"/>
  <c r="O911" i="11"/>
  <c r="P911" i="11" s="1"/>
  <c r="I908" i="11"/>
  <c r="J908" i="11" s="1"/>
  <c r="I1019" i="11"/>
  <c r="J1019" i="11" s="1"/>
  <c r="G964" i="11"/>
  <c r="H964" i="11" s="1"/>
  <c r="M957" i="11"/>
  <c r="N957" i="11" s="1"/>
  <c r="M913" i="11"/>
  <c r="N913" i="11" s="1"/>
  <c r="O910" i="11"/>
  <c r="P910" i="11" s="1"/>
  <c r="O1022" i="11"/>
  <c r="P1022" i="11" s="1"/>
  <c r="O964" i="11"/>
  <c r="P964" i="11" s="1"/>
  <c r="G952" i="11"/>
  <c r="H952" i="11" s="1"/>
  <c r="O907" i="11"/>
  <c r="P907" i="11" s="1"/>
  <c r="M904" i="11"/>
  <c r="N904" i="11" s="1"/>
  <c r="G901" i="11"/>
  <c r="H901" i="11" s="1"/>
  <c r="I898" i="11"/>
  <c r="J898" i="11" s="1"/>
  <c r="K856" i="11"/>
  <c r="L856" i="11" s="1"/>
  <c r="I853" i="11"/>
  <c r="J853" i="11" s="1"/>
  <c r="G850" i="11"/>
  <c r="H850" i="11" s="1"/>
  <c r="O846" i="11"/>
  <c r="P846" i="11" s="1"/>
  <c r="M843" i="11"/>
  <c r="N843" i="11" s="1"/>
  <c r="K840" i="11"/>
  <c r="L840" i="11" s="1"/>
  <c r="M1010" i="11"/>
  <c r="N1010" i="11" s="1"/>
  <c r="M959" i="11"/>
  <c r="N959" i="11" s="1"/>
  <c r="K910" i="11"/>
  <c r="L910" i="11" s="1"/>
  <c r="O905" i="11"/>
  <c r="P905" i="11" s="1"/>
  <c r="G903" i="11"/>
  <c r="H903" i="11" s="1"/>
  <c r="K899" i="11"/>
  <c r="L899" i="11" s="1"/>
  <c r="M896" i="11"/>
  <c r="N896" i="11" s="1"/>
  <c r="M855" i="11"/>
  <c r="N855" i="11" s="1"/>
  <c r="K852" i="11"/>
  <c r="L852" i="11" s="1"/>
  <c r="I849" i="11"/>
  <c r="J849" i="11" s="1"/>
  <c r="G846" i="11"/>
  <c r="H846" i="11" s="1"/>
  <c r="O842" i="11"/>
  <c r="P842" i="11" s="1"/>
  <c r="M839" i="11"/>
  <c r="N839" i="11" s="1"/>
  <c r="O955" i="11"/>
  <c r="P955" i="11" s="1"/>
  <c r="G905" i="11"/>
  <c r="H905" i="11" s="1"/>
  <c r="O897" i="11"/>
  <c r="P897" i="11" s="1"/>
  <c r="K855" i="11"/>
  <c r="L855" i="11" s="1"/>
  <c r="G849" i="11"/>
  <c r="H849" i="11" s="1"/>
  <c r="M842" i="11"/>
  <c r="N842" i="11" s="1"/>
  <c r="K798" i="11"/>
  <c r="L798" i="11" s="1"/>
  <c r="I795" i="11"/>
  <c r="J795" i="11" s="1"/>
  <c r="G792" i="11"/>
  <c r="H792" i="11" s="1"/>
  <c r="O788" i="11"/>
  <c r="P788" i="11" s="1"/>
  <c r="M785" i="11"/>
  <c r="N785" i="11" s="1"/>
  <c r="K782" i="11"/>
  <c r="L782" i="11" s="1"/>
  <c r="O960" i="11"/>
  <c r="P960" i="11" s="1"/>
  <c r="O904" i="11"/>
  <c r="P904" i="11" s="1"/>
  <c r="M897" i="11"/>
  <c r="N897" i="11" s="1"/>
  <c r="M852" i="11"/>
  <c r="N852" i="11" s="1"/>
  <c r="I846" i="11"/>
  <c r="J846" i="11" s="1"/>
  <c r="O839" i="11"/>
  <c r="P839" i="11" s="1"/>
  <c r="I798" i="11"/>
  <c r="J798" i="11" s="1"/>
  <c r="G795" i="11"/>
  <c r="H795" i="11" s="1"/>
  <c r="O791" i="11"/>
  <c r="P791" i="11" s="1"/>
  <c r="M788" i="11"/>
  <c r="N788" i="11" s="1"/>
  <c r="K785" i="11"/>
  <c r="L785" i="11" s="1"/>
  <c r="I782" i="11"/>
  <c r="J782" i="11" s="1"/>
  <c r="I907" i="11"/>
  <c r="J907" i="11" s="1"/>
  <c r="O895" i="11"/>
  <c r="P895" i="11" s="1"/>
  <c r="G847" i="11"/>
  <c r="H847" i="11" s="1"/>
  <c r="G798" i="11"/>
  <c r="H798" i="11" s="1"/>
  <c r="M791" i="11"/>
  <c r="N791" i="11" s="1"/>
  <c r="I785" i="11"/>
  <c r="J785" i="11" s="1"/>
  <c r="I741" i="11"/>
  <c r="J741" i="11" s="1"/>
  <c r="G738" i="11"/>
  <c r="H738" i="11" s="1"/>
  <c r="O734" i="11"/>
  <c r="P734" i="11" s="1"/>
  <c r="M731" i="11"/>
  <c r="N731" i="11" s="1"/>
  <c r="K728" i="11"/>
  <c r="L728" i="11" s="1"/>
  <c r="I725" i="11"/>
  <c r="J725" i="11" s="1"/>
  <c r="O684" i="11"/>
  <c r="P684" i="11" s="1"/>
  <c r="M681" i="11"/>
  <c r="N681" i="11" s="1"/>
  <c r="K678" i="11"/>
  <c r="L678" i="11" s="1"/>
  <c r="I675" i="11"/>
  <c r="J675" i="11" s="1"/>
  <c r="G672" i="11"/>
  <c r="H672" i="11" s="1"/>
  <c r="O668" i="11"/>
  <c r="P668" i="11" s="1"/>
  <c r="G628" i="11"/>
  <c r="H628" i="11" s="1"/>
  <c r="O624" i="11"/>
  <c r="P624" i="11" s="1"/>
  <c r="M621" i="11"/>
  <c r="N621" i="11" s="1"/>
  <c r="K618" i="11"/>
  <c r="L618" i="11" s="1"/>
  <c r="I615" i="11"/>
  <c r="J615" i="11" s="1"/>
  <c r="G612" i="11"/>
  <c r="H612" i="11" s="1"/>
  <c r="I953" i="11"/>
  <c r="J953" i="11" s="1"/>
  <c r="K898" i="11"/>
  <c r="L898" i="11" s="1"/>
  <c r="K849" i="11"/>
  <c r="L849" i="11" s="1"/>
  <c r="K799" i="11"/>
  <c r="L799" i="11" s="1"/>
  <c r="G793" i="11"/>
  <c r="H793" i="11" s="1"/>
  <c r="M786" i="11"/>
  <c r="N786" i="11" s="1"/>
  <c r="K742" i="11"/>
  <c r="L742" i="11" s="1"/>
  <c r="I739" i="11"/>
  <c r="J739" i="11" s="1"/>
  <c r="G736" i="11"/>
  <c r="H736" i="11" s="1"/>
  <c r="O732" i="11"/>
  <c r="P732" i="11" s="1"/>
  <c r="M729" i="11"/>
  <c r="N729" i="11" s="1"/>
  <c r="K726" i="11"/>
  <c r="L726" i="11" s="1"/>
  <c r="M684" i="11"/>
  <c r="N684" i="11" s="1"/>
  <c r="K681" i="11"/>
  <c r="L681" i="11" s="1"/>
  <c r="I678" i="11"/>
  <c r="J678" i="11" s="1"/>
  <c r="G675" i="11"/>
  <c r="H675" i="11" s="1"/>
  <c r="O671" i="11"/>
  <c r="P671" i="11" s="1"/>
  <c r="M668" i="11"/>
  <c r="N668" i="11" s="1"/>
  <c r="O627" i="11"/>
  <c r="P627" i="11" s="1"/>
  <c r="M624" i="11"/>
  <c r="N624" i="11" s="1"/>
  <c r="K621" i="11"/>
  <c r="L621" i="11" s="1"/>
  <c r="I618" i="11"/>
  <c r="J618" i="11" s="1"/>
  <c r="G615" i="11"/>
  <c r="H615" i="11" s="1"/>
  <c r="O611" i="11"/>
  <c r="P611" i="11" s="1"/>
  <c r="M905" i="11"/>
  <c r="N905" i="11" s="1"/>
  <c r="I843" i="11"/>
  <c r="J843" i="11" s="1"/>
  <c r="M787" i="11"/>
  <c r="N787" i="11" s="1"/>
  <c r="M739" i="11"/>
  <c r="N739" i="11" s="1"/>
  <c r="I733" i="11"/>
  <c r="J733" i="11" s="1"/>
  <c r="O726" i="11"/>
  <c r="P726" i="11" s="1"/>
  <c r="O682" i="11"/>
  <c r="P682" i="11" s="1"/>
  <c r="K676" i="11"/>
  <c r="L676" i="11" s="1"/>
  <c r="G670" i="11"/>
  <c r="H670" i="11" s="1"/>
  <c r="I625" i="11"/>
  <c r="J625" i="11" s="1"/>
  <c r="O618" i="11"/>
  <c r="P618" i="11" s="1"/>
  <c r="K612" i="11"/>
  <c r="L612" i="11" s="1"/>
  <c r="M569" i="11"/>
  <c r="N569" i="11" s="1"/>
  <c r="K566" i="11"/>
  <c r="L566" i="11" s="1"/>
  <c r="I563" i="11"/>
  <c r="J563" i="11" s="1"/>
  <c r="G560" i="11"/>
  <c r="H560" i="11" s="1"/>
  <c r="O556" i="11"/>
  <c r="P556" i="11" s="1"/>
  <c r="M553" i="11"/>
  <c r="N553" i="11" s="1"/>
  <c r="M512" i="11"/>
  <c r="N512" i="11" s="1"/>
  <c r="K509" i="11"/>
  <c r="L509" i="11" s="1"/>
  <c r="I506" i="11"/>
  <c r="J506" i="11" s="1"/>
  <c r="G503" i="11"/>
  <c r="H503" i="11" s="1"/>
  <c r="O499" i="11"/>
  <c r="P499" i="11" s="1"/>
  <c r="M496" i="11"/>
  <c r="N496" i="11" s="1"/>
  <c r="I848" i="11"/>
  <c r="J848" i="11" s="1"/>
  <c r="O793" i="11"/>
  <c r="P793" i="11" s="1"/>
  <c r="G781" i="11"/>
  <c r="H781" i="11" s="1"/>
  <c r="G737" i="11"/>
  <c r="H737" i="11" s="1"/>
  <c r="M730" i="11"/>
  <c r="N730" i="11" s="1"/>
  <c r="I724" i="11"/>
  <c r="J724" i="11" s="1"/>
  <c r="G681" i="11"/>
  <c r="H681" i="11" s="1"/>
  <c r="M674" i="11"/>
  <c r="N674" i="11" s="1"/>
  <c r="I668" i="11"/>
  <c r="J668" i="11" s="1"/>
  <c r="K623" i="11"/>
  <c r="L623" i="11" s="1"/>
  <c r="G617" i="11"/>
  <c r="H617" i="11" s="1"/>
  <c r="M610" i="11"/>
  <c r="N610" i="11" s="1"/>
  <c r="O568" i="11"/>
  <c r="P568" i="11" s="1"/>
  <c r="M565" i="11"/>
  <c r="N565" i="11" s="1"/>
  <c r="K562" i="11"/>
  <c r="L562" i="11" s="1"/>
  <c r="I559" i="11"/>
  <c r="J559" i="11" s="1"/>
  <c r="G556" i="11"/>
  <c r="H556" i="11" s="1"/>
  <c r="K514" i="11"/>
  <c r="L514" i="11" s="1"/>
  <c r="I511" i="11"/>
  <c r="J511" i="11" s="1"/>
  <c r="G508" i="11"/>
  <c r="H508" i="11" s="1"/>
  <c r="O504" i="11"/>
  <c r="P504" i="11" s="1"/>
  <c r="M501" i="11"/>
  <c r="N501" i="11" s="1"/>
  <c r="K498" i="11"/>
  <c r="L498" i="11" s="1"/>
  <c r="G910" i="11"/>
  <c r="H910" i="11" s="1"/>
  <c r="O845" i="11"/>
  <c r="P845" i="11" s="1"/>
  <c r="K792" i="11"/>
  <c r="L792" i="11" s="1"/>
  <c r="O742" i="11"/>
  <c r="P742" i="11" s="1"/>
  <c r="K736" i="11"/>
  <c r="L736" i="11" s="1"/>
  <c r="G730" i="11"/>
  <c r="H730" i="11" s="1"/>
  <c r="I685" i="11"/>
  <c r="J685" i="11" s="1"/>
  <c r="O678" i="11"/>
  <c r="P678" i="11" s="1"/>
  <c r="K672" i="11"/>
  <c r="L672" i="11" s="1"/>
  <c r="M627" i="11"/>
  <c r="N627" i="11" s="1"/>
  <c r="I621" i="11"/>
  <c r="J621" i="11" s="1"/>
  <c r="O614" i="11"/>
  <c r="P614" i="11" s="1"/>
  <c r="K968" i="11"/>
  <c r="L968" i="11" s="1"/>
  <c r="O785" i="11"/>
  <c r="P785" i="11" s="1"/>
  <c r="O724" i="11"/>
  <c r="P724" i="11" s="1"/>
  <c r="K627" i="11"/>
  <c r="L627" i="11" s="1"/>
  <c r="M568" i="11"/>
  <c r="N568" i="11" s="1"/>
  <c r="I562" i="11"/>
  <c r="J562" i="11" s="1"/>
  <c r="O555" i="11"/>
  <c r="P555" i="11" s="1"/>
  <c r="M513" i="11"/>
  <c r="N513" i="11" s="1"/>
  <c r="I507" i="11"/>
  <c r="J507" i="11" s="1"/>
  <c r="O500" i="11"/>
  <c r="P500" i="11" s="1"/>
  <c r="G400" i="11"/>
  <c r="H400" i="11" s="1"/>
  <c r="O396" i="11"/>
  <c r="P396" i="11" s="1"/>
  <c r="M393" i="11"/>
  <c r="N393" i="11" s="1"/>
  <c r="K390" i="11"/>
  <c r="L390" i="11" s="1"/>
  <c r="I387" i="11"/>
  <c r="J387" i="11" s="1"/>
  <c r="G384" i="11"/>
  <c r="H384" i="11" s="1"/>
  <c r="K795" i="11"/>
  <c r="L795" i="11" s="1"/>
  <c r="K683" i="11"/>
  <c r="L683" i="11" s="1"/>
  <c r="K619" i="11"/>
  <c r="L619" i="11" s="1"/>
  <c r="K568" i="11"/>
  <c r="L568" i="11" s="1"/>
  <c r="G562" i="11"/>
  <c r="H562" i="11" s="1"/>
  <c r="M555" i="11"/>
  <c r="N555" i="11" s="1"/>
  <c r="O510" i="11"/>
  <c r="P510" i="11" s="1"/>
  <c r="K504" i="11"/>
  <c r="L504" i="11" s="1"/>
  <c r="G498" i="11"/>
  <c r="H498" i="11" s="1"/>
  <c r="G457" i="11"/>
  <c r="H457" i="11" s="1"/>
  <c r="K455" i="11"/>
  <c r="L455" i="11" s="1"/>
  <c r="O453" i="11"/>
  <c r="P453" i="11" s="1"/>
  <c r="I452" i="11"/>
  <c r="J452" i="11" s="1"/>
  <c r="M450" i="11"/>
  <c r="N450" i="11" s="1"/>
  <c r="G449" i="11"/>
  <c r="H449" i="11" s="1"/>
  <c r="K447" i="11"/>
  <c r="L447" i="11" s="1"/>
  <c r="O445" i="11"/>
  <c r="P445" i="11" s="1"/>
  <c r="I444" i="11"/>
  <c r="J444" i="11" s="1"/>
  <c r="M442" i="11"/>
  <c r="N442" i="11" s="1"/>
  <c r="G441" i="11"/>
  <c r="H441" i="11" s="1"/>
  <c r="K439" i="11"/>
  <c r="L439" i="11" s="1"/>
  <c r="I792" i="11"/>
  <c r="J792" i="11" s="1"/>
  <c r="O681" i="11"/>
  <c r="P681" i="11" s="1"/>
  <c r="I1026" i="11"/>
  <c r="J1026" i="11" s="1"/>
  <c r="M1022" i="11"/>
  <c r="N1022" i="11" s="1"/>
  <c r="O1019" i="11"/>
  <c r="P1019" i="11" s="1"/>
  <c r="I1016" i="11"/>
  <c r="J1016" i="11" s="1"/>
  <c r="K1013" i="11"/>
  <c r="L1013" i="11" s="1"/>
  <c r="O1009" i="11"/>
  <c r="P1009" i="11" s="1"/>
  <c r="G1026" i="11"/>
  <c r="H1026" i="11" s="1"/>
  <c r="K1022" i="11"/>
  <c r="L1022" i="11" s="1"/>
  <c r="M1019" i="11"/>
  <c r="N1019" i="11" s="1"/>
  <c r="G1016" i="11"/>
  <c r="H1016" i="11" s="1"/>
  <c r="I1013" i="11"/>
  <c r="J1013" i="11" s="1"/>
  <c r="M1009" i="11"/>
  <c r="N1009" i="11" s="1"/>
  <c r="O1025" i="11"/>
  <c r="P1025" i="11" s="1"/>
  <c r="G1023" i="11"/>
  <c r="H1023" i="11" s="1"/>
  <c r="K1019" i="11"/>
  <c r="L1019" i="11" s="1"/>
  <c r="M1016" i="11"/>
  <c r="N1016" i="11" s="1"/>
  <c r="G1013" i="11"/>
  <c r="H1013" i="11" s="1"/>
  <c r="I1010" i="11"/>
  <c r="J1010" i="11" s="1"/>
  <c r="K1021" i="11"/>
  <c r="L1021" i="11" s="1"/>
  <c r="G1010" i="11"/>
  <c r="H1010" i="11" s="1"/>
  <c r="K966" i="11"/>
  <c r="L966" i="11" s="1"/>
  <c r="I963" i="11"/>
  <c r="J963" i="11" s="1"/>
  <c r="G960" i="11"/>
  <c r="H960" i="11" s="1"/>
  <c r="O956" i="11"/>
  <c r="P956" i="11" s="1"/>
  <c r="M953" i="11"/>
  <c r="N953" i="11" s="1"/>
  <c r="M1020" i="11"/>
  <c r="N1020" i="11" s="1"/>
  <c r="I1009" i="11"/>
  <c r="J1009" i="11" s="1"/>
  <c r="I968" i="11"/>
  <c r="J968" i="11" s="1"/>
  <c r="G965" i="11"/>
  <c r="H965" i="11" s="1"/>
  <c r="O961" i="11"/>
  <c r="P961" i="11" s="1"/>
  <c r="M958" i="11"/>
  <c r="N958" i="11" s="1"/>
  <c r="K955" i="11"/>
  <c r="L955" i="11" s="1"/>
  <c r="I952" i="11"/>
  <c r="J952" i="11" s="1"/>
  <c r="I969" i="11"/>
  <c r="J969" i="11" s="1"/>
  <c r="I964" i="11"/>
  <c r="J964" i="11" s="1"/>
  <c r="O957" i="11"/>
  <c r="P957" i="11" s="1"/>
  <c r="O913" i="11"/>
  <c r="P913" i="11" s="1"/>
  <c r="G911" i="11"/>
  <c r="H911" i="11" s="1"/>
  <c r="K907" i="11"/>
  <c r="L907" i="11" s="1"/>
  <c r="K970" i="11"/>
  <c r="L970" i="11" s="1"/>
  <c r="O962" i="11"/>
  <c r="P962" i="11" s="1"/>
  <c r="K956" i="11"/>
  <c r="L956" i="11" s="1"/>
  <c r="G913" i="11"/>
  <c r="H913" i="11" s="1"/>
  <c r="I910" i="11"/>
  <c r="J910" i="11" s="1"/>
  <c r="K1011" i="11"/>
  <c r="L1011" i="11" s="1"/>
  <c r="I962" i="11"/>
  <c r="J962" i="11" s="1"/>
  <c r="G912" i="11"/>
  <c r="H912" i="11" s="1"/>
  <c r="G907" i="11"/>
  <c r="H907" i="11" s="1"/>
  <c r="I903" i="11"/>
  <c r="J903" i="11" s="1"/>
  <c r="K900" i="11"/>
  <c r="L900" i="11" s="1"/>
  <c r="O896" i="11"/>
  <c r="P896" i="11" s="1"/>
  <c r="G855" i="11"/>
  <c r="H855" i="11" s="1"/>
  <c r="O851" i="11"/>
  <c r="P851" i="11" s="1"/>
  <c r="M848" i="11"/>
  <c r="N848" i="11" s="1"/>
  <c r="K845" i="11"/>
  <c r="L845" i="11" s="1"/>
  <c r="I842" i="11"/>
  <c r="J842" i="11" s="1"/>
  <c r="G839" i="11"/>
  <c r="H839" i="11" s="1"/>
  <c r="O969" i="11"/>
  <c r="P969" i="11" s="1"/>
  <c r="G957" i="11"/>
  <c r="H957" i="11" s="1"/>
  <c r="G909" i="11"/>
  <c r="H909" i="11" s="1"/>
  <c r="I905" i="11"/>
  <c r="J905" i="11" s="1"/>
  <c r="M901" i="11"/>
  <c r="N901" i="11" s="1"/>
  <c r="O898" i="11"/>
  <c r="P898" i="11" s="1"/>
  <c r="I895" i="11"/>
  <c r="J895" i="11" s="1"/>
  <c r="I854" i="11"/>
  <c r="J854" i="11" s="1"/>
  <c r="G851" i="11"/>
  <c r="H851" i="11" s="1"/>
  <c r="O847" i="11"/>
  <c r="P847" i="11" s="1"/>
  <c r="M844" i="11"/>
  <c r="N844" i="11" s="1"/>
  <c r="K841" i="11"/>
  <c r="L841" i="11" s="1"/>
  <c r="I838" i="11"/>
  <c r="J838" i="11" s="1"/>
  <c r="K911" i="11"/>
  <c r="L911" i="11" s="1"/>
  <c r="M903" i="11"/>
  <c r="N903" i="11" s="1"/>
  <c r="K896" i="11"/>
  <c r="L896" i="11" s="1"/>
  <c r="O852" i="11"/>
  <c r="P852" i="11" s="1"/>
  <c r="K846" i="11"/>
  <c r="L846" i="11" s="1"/>
  <c r="G840" i="11"/>
  <c r="H840" i="11" s="1"/>
  <c r="M797" i="11"/>
  <c r="N797" i="11" s="1"/>
  <c r="K794" i="11"/>
  <c r="L794" i="11" s="1"/>
  <c r="I791" i="11"/>
  <c r="J791" i="11" s="1"/>
  <c r="G788" i="11"/>
  <c r="H788" i="11" s="1"/>
  <c r="O784" i="11"/>
  <c r="P784" i="11" s="1"/>
  <c r="M781" i="11"/>
  <c r="N781" i="11" s="1"/>
  <c r="I911" i="11"/>
  <c r="J911" i="11" s="1"/>
  <c r="K903" i="11"/>
  <c r="L903" i="11" s="1"/>
  <c r="I896" i="11"/>
  <c r="J896" i="11" s="1"/>
  <c r="K851" i="11"/>
  <c r="L851" i="11" s="1"/>
  <c r="G845" i="11"/>
  <c r="H845" i="11" s="1"/>
  <c r="M838" i="11"/>
  <c r="N838" i="11" s="1"/>
  <c r="K797" i="11"/>
  <c r="L797" i="11" s="1"/>
  <c r="I794" i="11"/>
  <c r="J794" i="11" s="1"/>
  <c r="G791" i="11"/>
  <c r="H791" i="11" s="1"/>
  <c r="O787" i="11"/>
  <c r="P787" i="11" s="1"/>
  <c r="M784" i="11"/>
  <c r="N784" i="11" s="1"/>
  <c r="K781" i="11"/>
  <c r="L781" i="11" s="1"/>
  <c r="I904" i="11"/>
  <c r="J904" i="11" s="1"/>
  <c r="O854" i="11"/>
  <c r="P854" i="11" s="1"/>
  <c r="G842" i="11"/>
  <c r="H842" i="11" s="1"/>
  <c r="K796" i="11"/>
  <c r="L796" i="11" s="1"/>
  <c r="G790" i="11"/>
  <c r="H790" i="11" s="1"/>
  <c r="M783" i="11"/>
  <c r="N783" i="11" s="1"/>
  <c r="M740" i="11"/>
  <c r="N740" i="11" s="1"/>
  <c r="K737" i="11"/>
  <c r="L737" i="11" s="1"/>
  <c r="I734" i="11"/>
  <c r="J734" i="11" s="1"/>
  <c r="G731" i="11"/>
  <c r="H731" i="11" s="1"/>
  <c r="O727" i="11"/>
  <c r="P727" i="11" s="1"/>
  <c r="M724" i="11"/>
  <c r="N724" i="11" s="1"/>
  <c r="G684" i="11"/>
  <c r="H684" i="11" s="1"/>
  <c r="O680" i="11"/>
  <c r="P680" i="11" s="1"/>
  <c r="M677" i="11"/>
  <c r="N677" i="11" s="1"/>
  <c r="K674" i="11"/>
  <c r="L674" i="11" s="1"/>
  <c r="I671" i="11"/>
  <c r="J671" i="11" s="1"/>
  <c r="G668" i="11"/>
  <c r="H668" i="11" s="1"/>
  <c r="I627" i="11"/>
  <c r="J627" i="11" s="1"/>
  <c r="G624" i="11"/>
  <c r="H624" i="11" s="1"/>
  <c r="O620" i="11"/>
  <c r="P620" i="11" s="1"/>
  <c r="M617" i="11"/>
  <c r="N617" i="11" s="1"/>
  <c r="K614" i="11"/>
  <c r="L614" i="11" s="1"/>
  <c r="I611" i="11"/>
  <c r="J611" i="11" s="1"/>
  <c r="M912" i="11"/>
  <c r="N912" i="11" s="1"/>
  <c r="M895" i="11"/>
  <c r="N895" i="11" s="1"/>
  <c r="K844" i="11"/>
  <c r="L844" i="11" s="1"/>
  <c r="O797" i="11"/>
  <c r="P797" i="11" s="1"/>
  <c r="K791" i="11"/>
  <c r="L791" i="11" s="1"/>
  <c r="G785" i="11"/>
  <c r="H785" i="11" s="1"/>
  <c r="O741" i="11"/>
  <c r="P741" i="11" s="1"/>
  <c r="M738" i="11"/>
  <c r="N738" i="11" s="1"/>
  <c r="K735" i="11"/>
  <c r="L735" i="11" s="1"/>
  <c r="I732" i="11"/>
  <c r="J732" i="11" s="1"/>
  <c r="G729" i="11"/>
  <c r="H729" i="11" s="1"/>
  <c r="O725" i="11"/>
  <c r="P725" i="11" s="1"/>
  <c r="O683" i="11"/>
  <c r="P683" i="11" s="1"/>
  <c r="M680" i="11"/>
  <c r="N680" i="11" s="1"/>
  <c r="K677" i="11"/>
  <c r="L677" i="11" s="1"/>
  <c r="I674" i="11"/>
  <c r="J674" i="11" s="1"/>
  <c r="G671" i="11"/>
  <c r="H671" i="11" s="1"/>
  <c r="O667" i="11"/>
  <c r="P667" i="11" s="1"/>
  <c r="G627" i="11"/>
  <c r="H627" i="11" s="1"/>
  <c r="O623" i="11"/>
  <c r="P623" i="11" s="1"/>
  <c r="M620" i="11"/>
  <c r="N620" i="11" s="1"/>
  <c r="K617" i="11"/>
  <c r="L617" i="11" s="1"/>
  <c r="I614" i="11"/>
  <c r="J614" i="11" s="1"/>
  <c r="G611" i="11"/>
  <c r="H611" i="11" s="1"/>
  <c r="G900" i="11"/>
  <c r="H900" i="11" s="1"/>
  <c r="I797" i="11"/>
  <c r="J797" i="11" s="1"/>
  <c r="K784" i="11"/>
  <c r="L784" i="11" s="1"/>
  <c r="K738" i="11"/>
  <c r="L738" i="11" s="1"/>
  <c r="G732" i="11"/>
  <c r="H732" i="11" s="1"/>
  <c r="M725" i="11"/>
  <c r="N725" i="11" s="1"/>
  <c r="I681" i="11"/>
  <c r="J681" i="11" s="1"/>
  <c r="O674" i="11"/>
  <c r="P674" i="11" s="1"/>
  <c r="K668" i="11"/>
  <c r="L668" i="11" s="1"/>
  <c r="M623" i="11"/>
  <c r="N623" i="11" s="1"/>
  <c r="I617" i="11"/>
  <c r="J617" i="11" s="1"/>
  <c r="O610" i="11"/>
  <c r="P610" i="11" s="1"/>
  <c r="G569" i="11"/>
  <c r="H569" i="11" s="1"/>
  <c r="O565" i="11"/>
  <c r="P565" i="11" s="1"/>
  <c r="M562" i="11"/>
  <c r="N562" i="11" s="1"/>
  <c r="K559" i="11"/>
  <c r="L559" i="11" s="1"/>
  <c r="I556" i="11"/>
  <c r="J556" i="11" s="1"/>
  <c r="G553" i="11"/>
  <c r="H553" i="11" s="1"/>
  <c r="G512" i="11"/>
  <c r="H512" i="11" s="1"/>
  <c r="O508" i="11"/>
  <c r="P508" i="11" s="1"/>
  <c r="M505" i="11"/>
  <c r="N505" i="11" s="1"/>
  <c r="K502" i="11"/>
  <c r="L502" i="11" s="1"/>
  <c r="I499" i="11"/>
  <c r="J499" i="11" s="1"/>
  <c r="G496" i="11"/>
  <c r="H496" i="11" s="1"/>
  <c r="G843" i="11"/>
  <c r="H843" i="11" s="1"/>
  <c r="M790" i="11"/>
  <c r="N790" i="11" s="1"/>
  <c r="O740" i="11"/>
  <c r="P740" i="11" s="1"/>
  <c r="K734" i="11"/>
  <c r="L734" i="11" s="1"/>
  <c r="G728" i="11"/>
  <c r="H728" i="11" s="1"/>
  <c r="O685" i="11"/>
  <c r="P685" i="11" s="1"/>
  <c r="K679" i="11"/>
  <c r="L679" i="11" s="1"/>
  <c r="G673" i="11"/>
  <c r="H673" i="11" s="1"/>
  <c r="I628" i="11"/>
  <c r="J628" i="11" s="1"/>
  <c r="O621" i="11"/>
  <c r="P621" i="11" s="1"/>
  <c r="K615" i="11"/>
  <c r="L615" i="11" s="1"/>
  <c r="K571" i="11"/>
  <c r="L571" i="11" s="1"/>
  <c r="I568" i="11"/>
  <c r="J568" i="11" s="1"/>
  <c r="G565" i="11"/>
  <c r="H565" i="11" s="1"/>
  <c r="O561" i="11"/>
  <c r="P561" i="11" s="1"/>
  <c r="M558" i="11"/>
  <c r="N558" i="11" s="1"/>
  <c r="K555" i="11"/>
  <c r="L555" i="11" s="1"/>
  <c r="O513" i="11"/>
  <c r="P513" i="11" s="1"/>
  <c r="M510" i="11"/>
  <c r="N510" i="11" s="1"/>
  <c r="K507" i="11"/>
  <c r="L507" i="11" s="1"/>
  <c r="I504" i="11"/>
  <c r="J504" i="11" s="1"/>
  <c r="G501" i="11"/>
  <c r="H501" i="11" s="1"/>
  <c r="O497" i="11"/>
  <c r="P497" i="11" s="1"/>
  <c r="O902" i="11"/>
  <c r="P902" i="11" s="1"/>
  <c r="M840" i="11"/>
  <c r="N840" i="11" s="1"/>
  <c r="I789" i="11"/>
  <c r="J789" i="11" s="1"/>
  <c r="M741" i="11"/>
  <c r="N741" i="11" s="1"/>
  <c r="I735" i="11"/>
  <c r="J735" i="11" s="1"/>
  <c r="O728" i="11"/>
  <c r="P728" i="11" s="1"/>
  <c r="M683" i="11"/>
  <c r="N683" i="11" s="1"/>
  <c r="I677" i="11"/>
  <c r="J677" i="11" s="1"/>
  <c r="O670" i="11"/>
  <c r="P670" i="11" s="1"/>
  <c r="G626" i="11"/>
  <c r="H626" i="11" s="1"/>
  <c r="M619" i="11"/>
  <c r="N619" i="11" s="1"/>
  <c r="I613" i="11"/>
  <c r="J613" i="11" s="1"/>
  <c r="O909" i="11"/>
  <c r="P909" i="11" s="1"/>
  <c r="I740" i="11"/>
  <c r="J740" i="11" s="1"/>
  <c r="G685" i="11"/>
  <c r="H685" i="11" s="1"/>
  <c r="G621" i="11"/>
  <c r="H621" i="11" s="1"/>
  <c r="K567" i="11"/>
  <c r="L567" i="11" s="1"/>
  <c r="G561" i="11"/>
  <c r="H561" i="11" s="1"/>
  <c r="M554" i="11"/>
  <c r="N554" i="11" s="1"/>
  <c r="G511" i="11"/>
  <c r="H511" i="11" s="1"/>
  <c r="M504" i="11"/>
  <c r="N504" i="11" s="1"/>
  <c r="I498" i="11"/>
  <c r="J498" i="11" s="1"/>
  <c r="I399" i="11"/>
  <c r="J399" i="11" s="1"/>
  <c r="G396" i="11"/>
  <c r="H396" i="11" s="1"/>
  <c r="O392" i="11"/>
  <c r="P392" i="11" s="1"/>
  <c r="M389" i="11"/>
  <c r="N389" i="11" s="1"/>
  <c r="K386" i="11"/>
  <c r="L386" i="11" s="1"/>
  <c r="I383" i="11"/>
  <c r="J383" i="11" s="1"/>
  <c r="M782" i="11"/>
  <c r="N782" i="11" s="1"/>
  <c r="G677" i="11"/>
  <c r="H677" i="11" s="1"/>
  <c r="G613" i="11"/>
  <c r="H613" i="11" s="1"/>
  <c r="I567" i="11"/>
  <c r="J567" i="11" s="1"/>
  <c r="O560" i="11"/>
  <c r="P560" i="11" s="1"/>
  <c r="K554" i="11"/>
  <c r="L554" i="11" s="1"/>
  <c r="M509" i="11"/>
  <c r="N509" i="11" s="1"/>
  <c r="I503" i="11"/>
  <c r="J503" i="11" s="1"/>
  <c r="O496" i="11"/>
  <c r="P496" i="11" s="1"/>
  <c r="M456" i="11"/>
  <c r="N456" i="11" s="1"/>
  <c r="G455" i="11"/>
  <c r="H455" i="11" s="1"/>
  <c r="K453" i="11"/>
  <c r="L453" i="11" s="1"/>
  <c r="O451" i="11"/>
  <c r="P451" i="11" s="1"/>
  <c r="I450" i="11"/>
  <c r="J450" i="11" s="1"/>
  <c r="M448" i="11"/>
  <c r="N448" i="11" s="1"/>
  <c r="G447" i="11"/>
  <c r="H447" i="11" s="1"/>
  <c r="K445" i="11"/>
  <c r="L445" i="11" s="1"/>
  <c r="O443" i="11"/>
  <c r="P443" i="11" s="1"/>
  <c r="I442" i="11"/>
  <c r="J442" i="11" s="1"/>
  <c r="M440" i="11"/>
  <c r="N440" i="11" s="1"/>
  <c r="G439" i="11"/>
  <c r="H439" i="11" s="1"/>
  <c r="M742" i="11"/>
  <c r="N742" i="11" s="1"/>
  <c r="K675" i="11"/>
  <c r="L675" i="11" s="1"/>
  <c r="K611" i="11"/>
  <c r="L611" i="11" s="1"/>
  <c r="G568" i="11"/>
  <c r="H568" i="11" s="1"/>
  <c r="M561" i="11"/>
  <c r="N561" i="11" s="1"/>
  <c r="I555" i="11"/>
  <c r="J555" i="11" s="1"/>
  <c r="K510" i="11"/>
  <c r="L510" i="11" s="1"/>
  <c r="G504" i="11"/>
  <c r="H504" i="11" s="1"/>
  <c r="M497" i="11"/>
  <c r="N497" i="11" s="1"/>
  <c r="G398" i="11"/>
  <c r="H398" i="11" s="1"/>
  <c r="O394" i="11"/>
  <c r="P394" i="11" s="1"/>
  <c r="M391" i="11"/>
  <c r="N391" i="11" s="1"/>
  <c r="K388" i="11"/>
  <c r="L388" i="11" s="1"/>
  <c r="I385" i="11"/>
  <c r="J385" i="11" s="1"/>
  <c r="G382" i="11"/>
  <c r="H382" i="11" s="1"/>
  <c r="M557" i="11"/>
  <c r="N557" i="11" s="1"/>
  <c r="M457" i="11"/>
  <c r="N457" i="11" s="1"/>
  <c r="I451" i="11"/>
  <c r="J451" i="11" s="1"/>
  <c r="O444" i="11"/>
  <c r="P444" i="11" s="1"/>
  <c r="I400" i="11"/>
  <c r="J400" i="11" s="1"/>
  <c r="O393" i="11"/>
  <c r="P393" i="11" s="1"/>
  <c r="K387" i="11"/>
  <c r="L387" i="11" s="1"/>
  <c r="O343" i="11"/>
  <c r="P343" i="11" s="1"/>
  <c r="O340" i="11"/>
  <c r="P340" i="11" s="1"/>
  <c r="M337" i="11"/>
  <c r="N337" i="11" s="1"/>
  <c r="K334" i="11"/>
  <c r="L334" i="11" s="1"/>
  <c r="I331" i="11"/>
  <c r="J331" i="11" s="1"/>
  <c r="G328" i="11"/>
  <c r="H328" i="11" s="1"/>
  <c r="M284" i="11"/>
  <c r="N284" i="11" s="1"/>
  <c r="O281" i="11"/>
  <c r="P281" i="11" s="1"/>
  <c r="M278" i="11"/>
  <c r="N278" i="11" s="1"/>
  <c r="K275" i="11"/>
  <c r="L275" i="11" s="1"/>
  <c r="I272" i="11"/>
  <c r="J272" i="11" s="1"/>
  <c r="G269" i="11"/>
  <c r="H269" i="11" s="1"/>
  <c r="I228" i="11"/>
  <c r="J228" i="11" s="1"/>
  <c r="G225" i="11"/>
  <c r="H225" i="11" s="1"/>
  <c r="O221" i="11"/>
  <c r="P221" i="11" s="1"/>
  <c r="M218" i="11"/>
  <c r="N218" i="11" s="1"/>
  <c r="K215" i="11"/>
  <c r="L215" i="11" s="1"/>
  <c r="I212" i="11"/>
  <c r="J212" i="11" s="1"/>
  <c r="M566" i="11"/>
  <c r="N566" i="11" s="1"/>
  <c r="I457" i="11"/>
  <c r="J457" i="11" s="1"/>
  <c r="O450" i="11"/>
  <c r="P450" i="11" s="1"/>
  <c r="K444" i="11"/>
  <c r="L444" i="11" s="1"/>
  <c r="O399" i="11"/>
  <c r="P399" i="11" s="1"/>
  <c r="K393" i="11"/>
  <c r="L393" i="11" s="1"/>
  <c r="G387" i="11"/>
  <c r="H387" i="11" s="1"/>
  <c r="M343" i="11"/>
  <c r="N343" i="11" s="1"/>
  <c r="G340" i="11"/>
  <c r="H340" i="11" s="1"/>
  <c r="O336" i="11"/>
  <c r="P336" i="11" s="1"/>
  <c r="M333" i="11"/>
  <c r="N333" i="11" s="1"/>
  <c r="K330" i="11"/>
  <c r="L330" i="11" s="1"/>
  <c r="I327" i="11"/>
  <c r="J327" i="11" s="1"/>
  <c r="I286" i="11"/>
  <c r="J286" i="11" s="1"/>
  <c r="K284" i="11"/>
  <c r="L284" i="11" s="1"/>
  <c r="O280" i="11"/>
  <c r="P280" i="11" s="1"/>
  <c r="M277" i="11"/>
  <c r="N277" i="11" s="1"/>
  <c r="K274" i="11"/>
  <c r="L274" i="11" s="1"/>
  <c r="I271" i="11"/>
  <c r="J271" i="11" s="1"/>
  <c r="G268" i="11"/>
  <c r="H268" i="11" s="1"/>
  <c r="K570" i="11"/>
  <c r="L570" i="11" s="1"/>
  <c r="G514" i="11"/>
  <c r="H514" i="11" s="1"/>
  <c r="I455" i="11"/>
  <c r="J455" i="11" s="1"/>
  <c r="O448" i="11"/>
  <c r="P448" i="11" s="1"/>
  <c r="K442" i="11"/>
  <c r="L442" i="11" s="1"/>
  <c r="O397" i="11"/>
  <c r="P397" i="11" s="1"/>
  <c r="K391" i="11"/>
  <c r="L391" i="11" s="1"/>
  <c r="G385" i="11"/>
  <c r="H385" i="11" s="1"/>
  <c r="O341" i="11"/>
  <c r="P341" i="11" s="1"/>
  <c r="M338" i="11"/>
  <c r="N338" i="11" s="1"/>
  <c r="K335" i="11"/>
  <c r="L335" i="11" s="1"/>
  <c r="I332" i="11"/>
  <c r="J332" i="11" s="1"/>
  <c r="G329" i="11"/>
  <c r="H329" i="11" s="1"/>
  <c r="O325" i="11"/>
  <c r="P325" i="11" s="1"/>
  <c r="G283" i="11"/>
  <c r="H283" i="11" s="1"/>
  <c r="O279" i="11"/>
  <c r="P279" i="11" s="1"/>
  <c r="M276" i="11"/>
  <c r="N276" i="11" s="1"/>
  <c r="K273" i="11"/>
  <c r="L273" i="11" s="1"/>
  <c r="I270" i="11"/>
  <c r="J270" i="11" s="1"/>
  <c r="M228" i="11"/>
  <c r="N228" i="11" s="1"/>
  <c r="K225" i="11"/>
  <c r="L225" i="11" s="1"/>
  <c r="I222" i="11"/>
  <c r="J222" i="11" s="1"/>
  <c r="G219" i="11"/>
  <c r="H219" i="11" s="1"/>
  <c r="O215" i="11"/>
  <c r="P215" i="11" s="1"/>
  <c r="M212" i="11"/>
  <c r="N212" i="11" s="1"/>
  <c r="I616" i="11"/>
  <c r="J616" i="11" s="1"/>
  <c r="M400" i="11"/>
  <c r="N400" i="11" s="1"/>
  <c r="K340" i="11"/>
  <c r="L340" i="11" s="1"/>
  <c r="M327" i="11"/>
  <c r="N327" i="11" s="1"/>
  <c r="O282" i="11"/>
  <c r="P282" i="11" s="1"/>
  <c r="G270" i="11"/>
  <c r="H270" i="11" s="1"/>
  <c r="M223" i="11"/>
  <c r="N223" i="11" s="1"/>
  <c r="I217" i="11"/>
  <c r="J217" i="11" s="1"/>
  <c r="O172" i="11"/>
  <c r="P172" i="11" s="1"/>
  <c r="M169" i="11"/>
  <c r="N169" i="11" s="1"/>
  <c r="K166" i="11"/>
  <c r="L166" i="11" s="1"/>
  <c r="I163" i="11"/>
  <c r="J163" i="11" s="1"/>
  <c r="G160" i="11"/>
  <c r="H160" i="11" s="1"/>
  <c r="O156" i="11"/>
  <c r="P156" i="11" s="1"/>
  <c r="O115" i="11"/>
  <c r="P115" i="11" s="1"/>
  <c r="M112" i="11"/>
  <c r="N112" i="11" s="1"/>
  <c r="K109" i="11"/>
  <c r="L109" i="11" s="1"/>
  <c r="I106" i="11"/>
  <c r="J106" i="11" s="1"/>
  <c r="O617" i="11"/>
  <c r="P617" i="11" s="1"/>
  <c r="M511" i="11"/>
  <c r="N511" i="11" s="1"/>
  <c r="M395" i="11"/>
  <c r="N395" i="11" s="1"/>
  <c r="O382" i="11"/>
  <c r="P382" i="11" s="1"/>
  <c r="K446" i="11"/>
  <c r="L446" i="11" s="1"/>
  <c r="M382" i="11"/>
  <c r="N382" i="11" s="1"/>
  <c r="O331" i="11"/>
  <c r="P331" i="11" s="1"/>
  <c r="K279" i="11"/>
  <c r="L279" i="11" s="1"/>
  <c r="G229" i="11"/>
  <c r="H229" i="11" s="1"/>
  <c r="I216" i="11"/>
  <c r="J216" i="11" s="1"/>
  <c r="K452" i="11"/>
  <c r="L452" i="11" s="1"/>
  <c r="M388" i="11"/>
  <c r="N388" i="11" s="1"/>
  <c r="I334" i="11"/>
  <c r="J334" i="11" s="1"/>
  <c r="G285" i="11"/>
  <c r="H285" i="11" s="1"/>
  <c r="G272" i="11"/>
  <c r="H272" i="11" s="1"/>
  <c r="O456" i="11"/>
  <c r="P456" i="11" s="1"/>
  <c r="G393" i="11"/>
  <c r="H393" i="11" s="1"/>
  <c r="G336" i="11"/>
  <c r="H336" i="11" s="1"/>
  <c r="O283" i="11"/>
  <c r="P283" i="11" s="1"/>
  <c r="G271" i="11"/>
  <c r="H271" i="11" s="1"/>
  <c r="O219" i="11"/>
  <c r="P219" i="11" s="1"/>
  <c r="I445" i="11"/>
  <c r="J445" i="11" s="1"/>
  <c r="I273" i="11"/>
  <c r="J273" i="11" s="1"/>
  <c r="K170" i="11"/>
  <c r="L170" i="11" s="1"/>
  <c r="M157" i="11"/>
  <c r="N157" i="11" s="1"/>
  <c r="G107" i="11"/>
  <c r="H107" i="11" s="1"/>
  <c r="O99" i="11"/>
  <c r="P99" i="11" s="1"/>
  <c r="G55" i="11"/>
  <c r="H55" i="11" s="1"/>
  <c r="M48" i="11"/>
  <c r="N48" i="11" s="1"/>
  <c r="I42" i="11"/>
  <c r="J42" i="11" s="1"/>
  <c r="G399" i="11"/>
  <c r="H399" i="11" s="1"/>
  <c r="K286" i="11"/>
  <c r="L286" i="11" s="1"/>
  <c r="K226" i="11"/>
  <c r="L226" i="11" s="1"/>
  <c r="M213" i="11"/>
  <c r="N213" i="11" s="1"/>
  <c r="O167" i="11"/>
  <c r="P167" i="11" s="1"/>
  <c r="K161" i="11"/>
  <c r="L161" i="11" s="1"/>
  <c r="G155" i="11"/>
  <c r="H155" i="11" s="1"/>
  <c r="O110" i="11"/>
  <c r="P110" i="11" s="1"/>
  <c r="I105" i="11"/>
  <c r="J105" i="11" s="1"/>
  <c r="I101" i="11"/>
  <c r="J101" i="11" s="1"/>
  <c r="O58" i="11"/>
  <c r="P58" i="11" s="1"/>
  <c r="O54" i="11"/>
  <c r="P54" i="11" s="1"/>
  <c r="O50" i="11"/>
  <c r="P50" i="11" s="1"/>
  <c r="G46" i="11"/>
  <c r="H46" i="11" s="1"/>
  <c r="G42" i="11"/>
  <c r="H42" i="11" s="1"/>
  <c r="I219" i="11"/>
  <c r="J219" i="11" s="1"/>
  <c r="O169" i="11"/>
  <c r="P169" i="11" s="1"/>
  <c r="O165" i="11"/>
  <c r="P165" i="11" s="1"/>
  <c r="O161" i="11"/>
  <c r="P161" i="11" s="1"/>
  <c r="G157" i="11"/>
  <c r="H157" i="11" s="1"/>
  <c r="G112" i="11"/>
  <c r="H112" i="11" s="1"/>
  <c r="I103" i="11"/>
  <c r="J103" i="11" s="1"/>
  <c r="K54" i="11"/>
  <c r="L54" i="11" s="1"/>
  <c r="K46" i="11"/>
  <c r="L46" i="11" s="1"/>
  <c r="O558" i="11"/>
  <c r="P558" i="11" s="1"/>
  <c r="G391" i="11"/>
  <c r="H391" i="11" s="1"/>
  <c r="K331" i="11"/>
  <c r="L331" i="11" s="1"/>
  <c r="I281" i="11"/>
  <c r="J281" i="11" s="1"/>
  <c r="M227" i="11"/>
  <c r="N227" i="11" s="1"/>
  <c r="M219" i="11"/>
  <c r="N219" i="11" s="1"/>
  <c r="M211" i="11"/>
  <c r="N211" i="11" s="1"/>
  <c r="K168" i="11"/>
  <c r="L168" i="11" s="1"/>
  <c r="K164" i="11"/>
  <c r="L164" i="11" s="1"/>
  <c r="K160" i="11"/>
  <c r="L160" i="11" s="1"/>
  <c r="M155" i="11"/>
  <c r="N155" i="11" s="1"/>
  <c r="O113" i="11"/>
  <c r="P113" i="11" s="1"/>
  <c r="O109" i="11"/>
  <c r="P109" i="11" s="1"/>
  <c r="G105" i="11"/>
  <c r="H105" i="11" s="1"/>
  <c r="G101" i="11"/>
  <c r="H101" i="11" s="1"/>
  <c r="G97" i="11"/>
  <c r="H97" i="11" s="1"/>
  <c r="M54" i="11"/>
  <c r="N54" i="11" s="1"/>
  <c r="M50" i="11"/>
  <c r="N50" i="11" s="1"/>
  <c r="M46" i="11"/>
  <c r="N46" i="11" s="1"/>
  <c r="O41" i="11"/>
  <c r="P41" i="11" s="1"/>
  <c r="O512" i="11"/>
  <c r="P512" i="11" s="1"/>
  <c r="K389" i="11"/>
  <c r="L389" i="11" s="1"/>
  <c r="I328" i="11"/>
  <c r="J328" i="11" s="1"/>
  <c r="I277" i="11"/>
  <c r="J277" i="11" s="1"/>
  <c r="G224" i="11"/>
  <c r="H224" i="11" s="1"/>
  <c r="M113" i="11"/>
  <c r="N113" i="11" s="1"/>
  <c r="K106" i="11"/>
  <c r="L106" i="11" s="1"/>
  <c r="G100" i="11"/>
  <c r="H100" i="11" s="1"/>
  <c r="G52" i="11"/>
  <c r="H52" i="11" s="1"/>
  <c r="G44" i="11"/>
  <c r="H44" i="11" s="1"/>
  <c r="I569" i="11"/>
  <c r="J569" i="11" s="1"/>
  <c r="I505" i="11"/>
  <c r="J505" i="11" s="1"/>
  <c r="K392" i="11"/>
  <c r="L392" i="11" s="1"/>
  <c r="O567" i="11"/>
  <c r="P567" i="11" s="1"/>
  <c r="G440" i="11"/>
  <c r="H440" i="11" s="1"/>
  <c r="K341" i="11"/>
  <c r="L341" i="11" s="1"/>
  <c r="M328" i="11"/>
  <c r="N328" i="11" s="1"/>
  <c r="I276" i="11"/>
  <c r="J276" i="11" s="1"/>
  <c r="O225" i="11"/>
  <c r="P225" i="11" s="1"/>
  <c r="G213" i="11"/>
  <c r="H213" i="11" s="1"/>
  <c r="G446" i="11"/>
  <c r="H446" i="11" s="1"/>
  <c r="I382" i="11"/>
  <c r="J382" i="11" s="1"/>
  <c r="G331" i="11"/>
  <c r="H331" i="11" s="1"/>
  <c r="M281" i="11"/>
  <c r="N281" i="11" s="1"/>
  <c r="O268" i="11"/>
  <c r="P268" i="11" s="1"/>
  <c r="K450" i="11"/>
  <c r="L450" i="11" s="1"/>
  <c r="M386" i="11"/>
  <c r="N386" i="11" s="1"/>
  <c r="O332" i="11"/>
  <c r="P332" i="11" s="1"/>
  <c r="M280" i="11"/>
  <c r="N280" i="11" s="1"/>
  <c r="K229" i="11"/>
  <c r="L229" i="11" s="1"/>
  <c r="M216" i="11"/>
  <c r="N216" i="11" s="1"/>
  <c r="I343" i="11"/>
  <c r="J343" i="11" s="1"/>
  <c r="I225" i="11"/>
  <c r="J225" i="11" s="1"/>
  <c r="I167" i="11"/>
  <c r="J167" i="11" s="1"/>
  <c r="K154" i="11"/>
  <c r="L154" i="11" s="1"/>
  <c r="O103" i="11"/>
  <c r="P103" i="11" s="1"/>
  <c r="K97" i="11"/>
  <c r="L97" i="11" s="1"/>
  <c r="M52" i="11"/>
  <c r="N52" i="11" s="1"/>
  <c r="I46" i="11"/>
  <c r="J46" i="11" s="1"/>
  <c r="G564" i="11"/>
  <c r="H564" i="11" s="1"/>
  <c r="K342" i="11"/>
  <c r="L342" i="11" s="1"/>
  <c r="M275" i="11"/>
  <c r="N275" i="11" s="1"/>
  <c r="M221" i="11"/>
  <c r="N221" i="11" s="1"/>
  <c r="O171" i="11"/>
  <c r="P171" i="11" s="1"/>
  <c r="K165" i="11"/>
  <c r="L165" i="11" s="1"/>
  <c r="G159" i="11"/>
  <c r="H159" i="11" s="1"/>
  <c r="O114" i="11"/>
  <c r="P114" i="11" s="1"/>
  <c r="K108" i="11"/>
  <c r="L108" i="11" s="1"/>
  <c r="K104" i="11"/>
  <c r="L104" i="11" s="1"/>
  <c r="M99" i="11"/>
  <c r="N99" i="11" s="1"/>
  <c r="G58" i="11"/>
  <c r="H58" i="11" s="1"/>
  <c r="G54" i="11"/>
  <c r="H54" i="11" s="1"/>
  <c r="I49" i="11"/>
  <c r="J49" i="11" s="1"/>
  <c r="I45" i="11"/>
  <c r="J45" i="11" s="1"/>
  <c r="I41" i="11"/>
  <c r="J41" i="11" s="1"/>
  <c r="O212" i="11"/>
  <c r="P212" i="11" s="1"/>
  <c r="G169" i="11"/>
  <c r="H169" i="11" s="1"/>
  <c r="G165" i="11"/>
  <c r="H165" i="11" s="1"/>
  <c r="I160" i="11"/>
  <c r="J160" i="11" s="1"/>
  <c r="I156" i="11"/>
  <c r="J156" i="11" s="1"/>
  <c r="K110" i="11"/>
  <c r="L110" i="11" s="1"/>
  <c r="I99" i="11"/>
  <c r="J99" i="11" s="1"/>
  <c r="O52" i="11"/>
  <c r="P52" i="11" s="1"/>
  <c r="O44" i="11"/>
  <c r="P44" i="11" s="1"/>
  <c r="O454" i="11"/>
  <c r="P454" i="11" s="1"/>
  <c r="M384" i="11"/>
  <c r="N384" i="11" s="1"/>
  <c r="O328" i="11"/>
  <c r="P328" i="11" s="1"/>
  <c r="O274" i="11"/>
  <c r="P274" i="11" s="1"/>
  <c r="G226" i="11"/>
  <c r="H226" i="11" s="1"/>
  <c r="G218" i="11"/>
  <c r="H218" i="11" s="1"/>
  <c r="M171" i="11"/>
  <c r="N171" i="11" s="1"/>
  <c r="M167" i="11"/>
  <c r="N167" i="11" s="1"/>
  <c r="M163" i="11"/>
  <c r="N163" i="11" s="1"/>
  <c r="O158" i="11"/>
  <c r="P158" i="11" s="1"/>
  <c r="O154" i="11"/>
  <c r="P154" i="11" s="1"/>
  <c r="G113" i="11"/>
  <c r="H113" i="11" s="1"/>
  <c r="I108" i="11"/>
  <c r="J108" i="11" s="1"/>
  <c r="I104" i="11"/>
  <c r="J104" i="11" s="1"/>
  <c r="I100" i="11"/>
  <c r="J100" i="11" s="1"/>
  <c r="O57" i="11"/>
  <c r="P57" i="11" s="1"/>
  <c r="O53" i="11"/>
  <c r="P53" i="11" s="1"/>
  <c r="O49" i="11"/>
  <c r="P49" i="11" s="1"/>
  <c r="G45" i="11"/>
  <c r="H45" i="11" s="1"/>
  <c r="G41" i="11"/>
  <c r="H41" i="11" s="1"/>
  <c r="I453" i="11"/>
  <c r="J453" i="11" s="1"/>
  <c r="G341" i="11"/>
  <c r="H341" i="11" s="1"/>
  <c r="M325" i="11"/>
  <c r="N325" i="11" s="1"/>
  <c r="G274" i="11"/>
  <c r="H274" i="11" s="1"/>
  <c r="M217" i="11"/>
  <c r="N217" i="11" s="1"/>
  <c r="O112" i="11"/>
  <c r="P112" i="11" s="1"/>
  <c r="M105" i="11"/>
  <c r="N105" i="11" s="1"/>
  <c r="M57" i="11"/>
  <c r="N57" i="11" s="1"/>
  <c r="K50" i="11"/>
  <c r="L50" i="11" s="1"/>
  <c r="K42" i="11"/>
  <c r="L42" i="11" s="1"/>
  <c r="O562" i="11"/>
  <c r="P562" i="11" s="1"/>
  <c r="O498" i="11"/>
  <c r="P498" i="11" s="1"/>
  <c r="I389" i="11"/>
  <c r="J389" i="11" s="1"/>
  <c r="I496" i="11"/>
  <c r="J496" i="11" s="1"/>
  <c r="K395" i="11"/>
  <c r="L395" i="11" s="1"/>
  <c r="I338" i="11"/>
  <c r="J338" i="11" s="1"/>
  <c r="K325" i="11"/>
  <c r="L325" i="11" s="1"/>
  <c r="G273" i="11"/>
  <c r="H273" i="11" s="1"/>
  <c r="M222" i="11"/>
  <c r="N222" i="11" s="1"/>
  <c r="M571" i="11"/>
  <c r="N571" i="11" s="1"/>
  <c r="M439" i="11"/>
  <c r="N439" i="11" s="1"/>
  <c r="M340" i="11"/>
  <c r="N340" i="11" s="1"/>
  <c r="O327" i="11"/>
  <c r="P327" i="11" s="1"/>
  <c r="K278" i="11"/>
  <c r="L278" i="11" s="1"/>
  <c r="M622" i="11"/>
  <c r="N622" i="11" s="1"/>
  <c r="G444" i="11"/>
  <c r="H444" i="11" s="1"/>
  <c r="M342" i="11"/>
  <c r="N342" i="11" s="1"/>
  <c r="M329" i="11"/>
  <c r="N329" i="11" s="1"/>
  <c r="K277" i="11"/>
  <c r="L277" i="11" s="1"/>
  <c r="I226" i="11"/>
  <c r="J226" i="11" s="1"/>
  <c r="K213" i="11"/>
  <c r="L213" i="11" s="1"/>
  <c r="M332" i="11"/>
  <c r="N332" i="11" s="1"/>
  <c r="O218" i="11"/>
  <c r="P218" i="11" s="1"/>
  <c r="G164" i="11"/>
  <c r="H164" i="11" s="1"/>
  <c r="K113" i="11"/>
  <c r="L113" i="11" s="1"/>
  <c r="G103" i="11"/>
  <c r="H103" i="11" s="1"/>
  <c r="I58" i="11"/>
  <c r="J58" i="11" s="1"/>
  <c r="O51" i="11"/>
  <c r="P51" i="11" s="1"/>
  <c r="K45" i="11"/>
  <c r="L45" i="11" s="1"/>
  <c r="M502" i="11"/>
  <c r="N502" i="11" s="1"/>
  <c r="I337" i="11"/>
  <c r="J337" i="11" s="1"/>
  <c r="K272" i="11"/>
  <c r="L272" i="11" s="1"/>
  <c r="G220" i="11"/>
  <c r="H220" i="11" s="1"/>
  <c r="G171" i="11"/>
  <c r="H171" i="11" s="1"/>
  <c r="M164" i="11"/>
  <c r="N164" i="11" s="1"/>
  <c r="I158" i="11"/>
  <c r="J158" i="11" s="1"/>
  <c r="G114" i="11"/>
  <c r="H114" i="11" s="1"/>
  <c r="M107" i="11"/>
  <c r="N107" i="11" s="1"/>
  <c r="O102" i="11"/>
  <c r="P102" i="11" s="1"/>
  <c r="O98" i="11"/>
  <c r="P98" i="11" s="1"/>
  <c r="I57" i="11"/>
  <c r="J57" i="11" s="1"/>
  <c r="K52" i="11"/>
  <c r="L52" i="11" s="1"/>
  <c r="K48" i="11"/>
  <c r="L48" i="11" s="1"/>
  <c r="K44" i="11"/>
  <c r="L44" i="11" s="1"/>
  <c r="I227" i="11"/>
  <c r="J227" i="11" s="1"/>
  <c r="I172" i="11"/>
  <c r="J172" i="11" s="1"/>
  <c r="I168" i="11"/>
  <c r="J168" i="11" s="1"/>
  <c r="K163" i="11"/>
  <c r="L163" i="11" s="1"/>
  <c r="K159" i="11"/>
  <c r="L159" i="11" s="1"/>
  <c r="K155" i="11"/>
  <c r="L155" i="11" s="1"/>
  <c r="I107" i="11"/>
  <c r="J107" i="11" s="1"/>
  <c r="M97" i="11"/>
  <c r="N97" i="11" s="1"/>
  <c r="I51" i="11"/>
  <c r="J51" i="11" s="1"/>
  <c r="O40" i="11"/>
  <c r="P40" i="11" s="1"/>
  <c r="K448" i="11"/>
  <c r="L448" i="11" s="1"/>
  <c r="M341" i="11"/>
  <c r="N341" i="11" s="1"/>
  <c r="G286" i="11"/>
  <c r="H286" i="11" s="1"/>
  <c r="M271" i="11"/>
  <c r="N271" i="11" s="1"/>
  <c r="K224" i="11"/>
  <c r="L224" i="11" s="1"/>
  <c r="O214" i="11"/>
  <c r="P214" i="11" s="1"/>
  <c r="O170" i="11"/>
  <c r="P170" i="11" s="1"/>
  <c r="O166" i="11"/>
  <c r="P166" i="11" s="1"/>
  <c r="G162" i="11"/>
  <c r="H162" i="11" s="1"/>
  <c r="G158" i="11"/>
  <c r="H158" i="11" s="1"/>
  <c r="G154" i="11"/>
  <c r="H154" i="11" s="1"/>
  <c r="K111" i="11"/>
  <c r="L111" i="11" s="1"/>
  <c r="K107" i="11"/>
  <c r="L107" i="11" s="1"/>
  <c r="K103" i="11"/>
  <c r="L103" i="11" s="1"/>
  <c r="M98" i="11"/>
  <c r="N98" i="11" s="1"/>
  <c r="G57" i="11"/>
  <c r="H57" i="11" s="1"/>
  <c r="G53" i="11"/>
  <c r="H53" i="11" s="1"/>
  <c r="I48" i="11"/>
  <c r="J48" i="11" s="1"/>
  <c r="I44" i="11"/>
  <c r="J44" i="11" s="1"/>
  <c r="I40" i="11"/>
  <c r="J40" i="11" s="1"/>
  <c r="K440" i="11"/>
  <c r="L440" i="11" s="1"/>
  <c r="K338" i="11"/>
  <c r="L338" i="11" s="1"/>
  <c r="M285" i="11"/>
  <c r="N285" i="11" s="1"/>
  <c r="O228" i="11"/>
  <c r="P228" i="11" s="1"/>
  <c r="K214" i="11"/>
  <c r="L214" i="11" s="1"/>
  <c r="I111" i="11"/>
  <c r="J111" i="11" s="1"/>
  <c r="K102" i="11"/>
  <c r="L102" i="11" s="1"/>
  <c r="O56" i="11"/>
  <c r="P56" i="11" s="1"/>
  <c r="O48" i="11"/>
  <c r="P48" i="11" s="1"/>
  <c r="M41" i="11"/>
  <c r="N41" i="11" s="1"/>
  <c r="K556" i="11"/>
  <c r="L556" i="11" s="1"/>
  <c r="O398" i="11"/>
  <c r="P398" i="11" s="1"/>
  <c r="G386" i="11"/>
  <c r="H386" i="11" s="1"/>
  <c r="O452" i="11"/>
  <c r="P452" i="11" s="1"/>
  <c r="G389" i="11"/>
  <c r="H389" i="11" s="1"/>
  <c r="G335" i="11"/>
  <c r="H335" i="11" s="1"/>
  <c r="M282" i="11"/>
  <c r="N282" i="11" s="1"/>
  <c r="O269" i="11"/>
  <c r="P269" i="11" s="1"/>
  <c r="K219" i="11"/>
  <c r="L219" i="11" s="1"/>
  <c r="G500" i="11"/>
  <c r="H500" i="11" s="1"/>
  <c r="G395" i="11"/>
  <c r="H395" i="11" s="1"/>
  <c r="K337" i="11"/>
  <c r="L337" i="11" s="1"/>
  <c r="M286" i="11"/>
  <c r="N286" i="11" s="1"/>
  <c r="I275" i="11"/>
  <c r="J275" i="11" s="1"/>
  <c r="G555" i="11"/>
  <c r="H555" i="11" s="1"/>
  <c r="K399" i="11"/>
  <c r="L399" i="11" s="1"/>
  <c r="I339" i="11"/>
  <c r="J339" i="11" s="1"/>
  <c r="K326" i="11"/>
  <c r="L326" i="11" s="1"/>
  <c r="I274" i="11"/>
  <c r="J274" i="11" s="1"/>
  <c r="G223" i="11"/>
  <c r="H223" i="11" s="1"/>
  <c r="O850" i="11"/>
  <c r="P850" i="11" s="1"/>
  <c r="I285" i="11"/>
  <c r="J285" i="11" s="1"/>
  <c r="K212" i="11"/>
  <c r="L212" i="11" s="1"/>
  <c r="O160" i="11"/>
  <c r="P160" i="11" s="1"/>
  <c r="I110" i="11"/>
  <c r="J110" i="11" s="1"/>
  <c r="M100" i="11"/>
  <c r="N100" i="11" s="1"/>
  <c r="O55" i="11"/>
  <c r="P55" i="11" s="1"/>
  <c r="K49" i="11"/>
  <c r="L49" i="11" s="1"/>
  <c r="G43" i="11"/>
  <c r="H43" i="11" s="1"/>
  <c r="M443" i="11"/>
  <c r="N443" i="11" s="1"/>
  <c r="K329" i="11"/>
  <c r="L329" i="11" s="1"/>
  <c r="G228" i="11"/>
  <c r="H228" i="11" s="1"/>
  <c r="I215" i="11"/>
  <c r="J215" i="11" s="1"/>
  <c r="M168" i="11"/>
  <c r="N168" i="11" s="1"/>
  <c r="I162" i="11"/>
  <c r="J162" i="11" s="1"/>
  <c r="O155" i="11"/>
  <c r="P155" i="11" s="1"/>
  <c r="M111" i="11"/>
  <c r="N111" i="11" s="1"/>
  <c r="G106" i="11"/>
  <c r="H106" i="11" s="1"/>
  <c r="G102" i="11"/>
  <c r="H102" i="11" s="1"/>
  <c r="G98" i="11"/>
  <c r="H98" i="11" s="1"/>
  <c r="M55" i="11"/>
  <c r="N55" i="11" s="1"/>
  <c r="M51" i="11"/>
  <c r="N51" i="11" s="1"/>
  <c r="M47" i="11"/>
  <c r="N47" i="11" s="1"/>
  <c r="O42" i="11"/>
  <c r="P42" i="11" s="1"/>
  <c r="K222" i="11"/>
  <c r="L222" i="11" s="1"/>
  <c r="K171" i="11"/>
  <c r="L171" i="11" s="1"/>
  <c r="M166" i="11"/>
  <c r="N166" i="11" s="1"/>
  <c r="M162" i="11"/>
  <c r="N162" i="11" s="1"/>
  <c r="M158" i="11"/>
  <c r="N158" i="11" s="1"/>
  <c r="K114" i="11"/>
  <c r="L114" i="11" s="1"/>
  <c r="O104" i="11"/>
  <c r="P104" i="11" s="1"/>
  <c r="K58" i="11"/>
  <c r="L58" i="11" s="1"/>
  <c r="G48" i="11"/>
  <c r="H48" i="11" s="1"/>
  <c r="K667" i="11"/>
  <c r="L667" i="11" s="1"/>
  <c r="G442" i="11"/>
  <c r="H442" i="11" s="1"/>
  <c r="G334" i="11"/>
  <c r="H334" i="11" s="1"/>
  <c r="I284" i="11"/>
  <c r="J284" i="11" s="1"/>
  <c r="K268" i="11"/>
  <c r="L268" i="11" s="1"/>
  <c r="I221" i="11"/>
  <c r="J221" i="11" s="1"/>
  <c r="I213" i="11"/>
  <c r="J213" i="11" s="1"/>
  <c r="G170" i="11"/>
  <c r="H170" i="11" s="1"/>
  <c r="I165" i="11"/>
  <c r="J165" i="11" s="1"/>
  <c r="I161" i="11"/>
  <c r="J161" i="11" s="1"/>
  <c r="I157" i="11"/>
  <c r="J157" i="11" s="1"/>
  <c r="M114" i="11"/>
  <c r="N114" i="11" s="1"/>
  <c r="M110" i="11"/>
  <c r="N110" i="11" s="1"/>
  <c r="M106" i="11"/>
  <c r="N106" i="11" s="1"/>
  <c r="O101" i="11"/>
  <c r="P101" i="11" s="1"/>
  <c r="O97" i="11"/>
  <c r="P97" i="11" s="1"/>
  <c r="I56" i="11"/>
  <c r="J56" i="11" s="1"/>
  <c r="K51" i="11"/>
  <c r="L51" i="11" s="1"/>
  <c r="K47" i="11"/>
  <c r="L47" i="11" s="1"/>
  <c r="K43" i="11"/>
  <c r="L43" i="11" s="1"/>
  <c r="O553" i="11"/>
  <c r="P553" i="11" s="1"/>
  <c r="O395" i="11"/>
  <c r="P395" i="11" s="1"/>
  <c r="O335" i="11"/>
  <c r="P335" i="11" s="1"/>
  <c r="K280" i="11"/>
  <c r="L280" i="11" s="1"/>
  <c r="M225" i="11"/>
  <c r="N225" i="11" s="1"/>
  <c r="I211" i="11"/>
  <c r="J211" i="11" s="1"/>
  <c r="G108" i="11"/>
  <c r="H108" i="11" s="1"/>
  <c r="O100" i="11"/>
  <c r="P100" i="11" s="1"/>
  <c r="I55" i="11"/>
  <c r="J55" i="11" s="1"/>
  <c r="M45" i="11"/>
  <c r="N45" i="11" s="1"/>
  <c r="G40" i="11"/>
  <c r="H40" i="11" s="1"/>
  <c r="K1008" i="11"/>
  <c r="L1008" i="11" s="1"/>
  <c r="O1004" i="11"/>
  <c r="P1004" i="11" s="1"/>
  <c r="I1002" i="11"/>
  <c r="J1002" i="11" s="1"/>
  <c r="K999" i="11"/>
  <c r="L999" i="11" s="1"/>
  <c r="G996" i="11"/>
  <c r="H996" i="11" s="1"/>
  <c r="G992" i="11"/>
  <c r="H992" i="11" s="1"/>
  <c r="I1008" i="11"/>
  <c r="J1008" i="11" s="1"/>
  <c r="K1005" i="11"/>
  <c r="L1005" i="11" s="1"/>
  <c r="M1002" i="11"/>
  <c r="N1002" i="11" s="1"/>
  <c r="I999" i="11"/>
  <c r="J999" i="11" s="1"/>
  <c r="K995" i="11"/>
  <c r="L995" i="11" s="1"/>
  <c r="M992" i="11"/>
  <c r="N992" i="11" s="1"/>
  <c r="I1007" i="11"/>
  <c r="J1007" i="11" s="1"/>
  <c r="K1004" i="11"/>
  <c r="L1004" i="11" s="1"/>
  <c r="M1000" i="11"/>
  <c r="N1000" i="11" s="1"/>
  <c r="I997" i="11"/>
  <c r="J997" i="11" s="1"/>
  <c r="K994" i="11"/>
  <c r="L994" i="11" s="1"/>
  <c r="M991" i="11"/>
  <c r="N991" i="11" s="1"/>
  <c r="G999" i="11"/>
  <c r="H999" i="11" s="1"/>
  <c r="G951" i="11"/>
  <c r="H951" i="11" s="1"/>
  <c r="M948" i="11"/>
  <c r="N948" i="11" s="1"/>
  <c r="O945" i="11"/>
  <c r="P945" i="11" s="1"/>
  <c r="O941" i="11"/>
  <c r="P941" i="11" s="1"/>
  <c r="K1006" i="11"/>
  <c r="L1006" i="11" s="1"/>
  <c r="M995" i="11"/>
  <c r="N995" i="11" s="1"/>
  <c r="I950" i="11"/>
  <c r="J950" i="11" s="1"/>
  <c r="G947" i="11"/>
  <c r="H947" i="11" s="1"/>
  <c r="I944" i="11"/>
  <c r="J944" i="11" s="1"/>
  <c r="O940" i="11"/>
  <c r="P940" i="11" s="1"/>
  <c r="M937" i="11"/>
  <c r="N937" i="11" s="1"/>
  <c r="K934" i="11"/>
  <c r="L934" i="11" s="1"/>
  <c r="I992" i="11"/>
  <c r="J992" i="11" s="1"/>
  <c r="K943" i="11"/>
  <c r="L943" i="11" s="1"/>
  <c r="G937" i="11"/>
  <c r="H937" i="11" s="1"/>
  <c r="G933" i="11"/>
  <c r="H933" i="11" s="1"/>
  <c r="I951" i="11"/>
  <c r="J951" i="11" s="1"/>
  <c r="G946" i="11"/>
  <c r="H946" i="11" s="1"/>
  <c r="I939" i="11"/>
  <c r="J939" i="11" s="1"/>
  <c r="I934" i="11"/>
  <c r="J934" i="11" s="1"/>
  <c r="O946" i="11"/>
  <c r="P946" i="11" s="1"/>
  <c r="M935" i="11"/>
  <c r="N935" i="11" s="1"/>
  <c r="I893" i="11"/>
  <c r="J893" i="11" s="1"/>
  <c r="M889" i="11"/>
  <c r="N889" i="11" s="1"/>
  <c r="O886" i="11"/>
  <c r="P886" i="11" s="1"/>
  <c r="I883" i="11"/>
  <c r="J883" i="11" s="1"/>
  <c r="G880" i="11"/>
  <c r="H880" i="11" s="1"/>
  <c r="O876" i="11"/>
  <c r="P876" i="11" s="1"/>
  <c r="O835" i="11"/>
  <c r="P835" i="11" s="1"/>
  <c r="M832" i="11"/>
  <c r="N832" i="11" s="1"/>
  <c r="K829" i="11"/>
  <c r="L829" i="11" s="1"/>
  <c r="O951" i="11"/>
  <c r="P951" i="11" s="1"/>
  <c r="O938" i="11"/>
  <c r="P938" i="11" s="1"/>
  <c r="G893" i="11"/>
  <c r="H893" i="11" s="1"/>
  <c r="I890" i="11"/>
  <c r="J890" i="11" s="1"/>
  <c r="M886" i="11"/>
  <c r="N886" i="11" s="1"/>
  <c r="O883" i="11"/>
  <c r="P883" i="11" s="1"/>
  <c r="K880" i="11"/>
  <c r="L880" i="11" s="1"/>
  <c r="I877" i="11"/>
  <c r="J877" i="11" s="1"/>
  <c r="K836" i="11"/>
  <c r="L836" i="11" s="1"/>
  <c r="I833" i="11"/>
  <c r="J833" i="11" s="1"/>
  <c r="G830" i="11"/>
  <c r="H830" i="11" s="1"/>
  <c r="I940" i="11"/>
  <c r="J940" i="11" s="1"/>
  <c r="I892" i="11"/>
  <c r="J892" i="11" s="1"/>
  <c r="G885" i="11"/>
  <c r="H885" i="11" s="1"/>
  <c r="M878" i="11"/>
  <c r="N878" i="11" s="1"/>
  <c r="M833" i="11"/>
  <c r="N833" i="11" s="1"/>
  <c r="O828" i="11"/>
  <c r="P828" i="11" s="1"/>
  <c r="G826" i="11"/>
  <c r="H826" i="11" s="1"/>
  <c r="K824" i="11"/>
  <c r="L824" i="11" s="1"/>
  <c r="O822" i="11"/>
  <c r="P822" i="11" s="1"/>
  <c r="I821" i="11"/>
  <c r="J821" i="11" s="1"/>
  <c r="M819" i="11"/>
  <c r="N819" i="11" s="1"/>
  <c r="I779" i="11"/>
  <c r="J779" i="11" s="1"/>
  <c r="G776" i="11"/>
  <c r="H776" i="11" s="1"/>
  <c r="O772" i="11"/>
  <c r="P772" i="11" s="1"/>
  <c r="M769" i="11"/>
  <c r="N769" i="11" s="1"/>
  <c r="G940" i="11"/>
  <c r="H940" i="11" s="1"/>
  <c r="K893" i="11"/>
  <c r="L893" i="11" s="1"/>
  <c r="O887" i="11"/>
  <c r="P887" i="11" s="1"/>
  <c r="M880" i="11"/>
  <c r="N880" i="11" s="1"/>
  <c r="G836" i="11"/>
  <c r="H836" i="11" s="1"/>
  <c r="M829" i="11"/>
  <c r="N829" i="11" s="1"/>
  <c r="M780" i="11"/>
  <c r="N780" i="11" s="1"/>
  <c r="K777" i="11"/>
  <c r="L777" i="11" s="1"/>
  <c r="I774" i="11"/>
  <c r="J774" i="11" s="1"/>
  <c r="G771" i="11"/>
  <c r="H771" i="11" s="1"/>
  <c r="O767" i="11"/>
  <c r="P767" i="11" s="1"/>
  <c r="O764" i="11"/>
  <c r="P764" i="11" s="1"/>
  <c r="M1005" i="11"/>
  <c r="N1005" i="11" s="1"/>
  <c r="G890" i="11"/>
  <c r="H890" i="11" s="1"/>
  <c r="G877" i="11"/>
  <c r="H877" i="11" s="1"/>
  <c r="O826" i="11"/>
  <c r="P826" i="11" s="1"/>
  <c r="K823" i="11"/>
  <c r="L823" i="11" s="1"/>
  <c r="I820" i="11"/>
  <c r="J820" i="11" s="1"/>
  <c r="I777" i="11"/>
  <c r="J777" i="11" s="1"/>
  <c r="O770" i="11"/>
  <c r="P770" i="11" s="1"/>
  <c r="O765" i="11"/>
  <c r="P765" i="11" s="1"/>
  <c r="I762" i="11"/>
  <c r="J762" i="11" s="1"/>
  <c r="O720" i="11"/>
  <c r="P720" i="11" s="1"/>
  <c r="K717" i="11"/>
  <c r="L717" i="11" s="1"/>
  <c r="I714" i="11"/>
  <c r="J714" i="11" s="1"/>
  <c r="I711" i="11"/>
  <c r="J711" i="11" s="1"/>
  <c r="G708" i="11"/>
  <c r="H708" i="11" s="1"/>
  <c r="K666" i="11"/>
  <c r="L666" i="11" s="1"/>
  <c r="I663" i="11"/>
  <c r="J663" i="11" s="1"/>
  <c r="G660" i="11"/>
  <c r="H660" i="11" s="1"/>
  <c r="O656" i="11"/>
  <c r="P656" i="11" s="1"/>
  <c r="M653" i="11"/>
  <c r="N653" i="11" s="1"/>
  <c r="K650" i="11"/>
  <c r="L650" i="11" s="1"/>
  <c r="M609" i="11"/>
  <c r="N609" i="11" s="1"/>
  <c r="K606" i="11"/>
  <c r="L606" i="11" s="1"/>
  <c r="G603" i="11"/>
  <c r="H603" i="11" s="1"/>
  <c r="O599" i="11"/>
  <c r="P599" i="11" s="1"/>
  <c r="M596" i="11"/>
  <c r="N596" i="11" s="1"/>
  <c r="K593" i="11"/>
  <c r="L593" i="11" s="1"/>
  <c r="G1005" i="11"/>
  <c r="H1005" i="11" s="1"/>
  <c r="G887" i="11"/>
  <c r="H887" i="11" s="1"/>
  <c r="M836" i="11"/>
  <c r="N836" i="11" s="1"/>
  <c r="M778" i="11"/>
  <c r="N778" i="11" s="1"/>
  <c r="I772" i="11"/>
  <c r="J772" i="11" s="1"/>
  <c r="M766" i="11"/>
  <c r="N766" i="11" s="1"/>
  <c r="O723" i="11"/>
  <c r="P723" i="11" s="1"/>
  <c r="M720" i="11"/>
  <c r="N720" i="11" s="1"/>
  <c r="O717" i="11"/>
  <c r="P717" i="11" s="1"/>
  <c r="M714" i="11"/>
  <c r="N714" i="11" s="1"/>
  <c r="G711" i="11"/>
  <c r="H711" i="11" s="1"/>
  <c r="O707" i="11"/>
  <c r="P707" i="11" s="1"/>
  <c r="I666" i="11"/>
  <c r="J666" i="11" s="1"/>
  <c r="G663" i="11"/>
  <c r="H663" i="11" s="1"/>
  <c r="O659" i="11"/>
  <c r="P659" i="11" s="1"/>
  <c r="M656" i="11"/>
  <c r="N656" i="11" s="1"/>
  <c r="K653" i="11"/>
  <c r="L653" i="11" s="1"/>
  <c r="I650" i="11"/>
  <c r="J650" i="11" s="1"/>
  <c r="M608" i="11"/>
  <c r="N608" i="11" s="1"/>
  <c r="M605" i="11"/>
  <c r="N605" i="11" s="1"/>
  <c r="K602" i="11"/>
  <c r="L602" i="11" s="1"/>
  <c r="I599" i="11"/>
  <c r="J599" i="11" s="1"/>
  <c r="G596" i="11"/>
  <c r="H596" i="11" s="1"/>
  <c r="O592" i="11"/>
  <c r="P592" i="11" s="1"/>
  <c r="M888" i="11"/>
  <c r="N888" i="11" s="1"/>
  <c r="M824" i="11"/>
  <c r="N824" i="11" s="1"/>
  <c r="G778" i="11"/>
  <c r="H778" i="11" s="1"/>
  <c r="K766" i="11"/>
  <c r="L766" i="11" s="1"/>
  <c r="I718" i="11"/>
  <c r="J718" i="11" s="1"/>
  <c r="M711" i="11"/>
  <c r="N711" i="11" s="1"/>
  <c r="I705" i="11"/>
  <c r="J705" i="11" s="1"/>
  <c r="G662" i="11"/>
  <c r="H662" i="11" s="1"/>
  <c r="M655" i="11"/>
  <c r="N655" i="11" s="1"/>
  <c r="I649" i="11"/>
  <c r="J649" i="11" s="1"/>
  <c r="M604" i="11"/>
  <c r="N604" i="11" s="1"/>
  <c r="I598" i="11"/>
  <c r="J598" i="11" s="1"/>
  <c r="O591" i="11"/>
  <c r="P591" i="11" s="1"/>
  <c r="O549" i="11"/>
  <c r="P549" i="11" s="1"/>
  <c r="M546" i="11"/>
  <c r="N546" i="11" s="1"/>
  <c r="K543" i="11"/>
  <c r="L543" i="11" s="1"/>
  <c r="I540" i="11"/>
  <c r="J540" i="11" s="1"/>
  <c r="G537" i="11"/>
  <c r="H537" i="11" s="1"/>
  <c r="K495" i="11"/>
  <c r="L495" i="11" s="1"/>
  <c r="I492" i="11"/>
  <c r="J492" i="11" s="1"/>
  <c r="G489" i="11"/>
  <c r="H489" i="11" s="1"/>
  <c r="O485" i="11"/>
  <c r="P485" i="11" s="1"/>
  <c r="M482" i="11"/>
  <c r="N482" i="11" s="1"/>
  <c r="K479" i="11"/>
  <c r="L479" i="11" s="1"/>
  <c r="I894" i="11"/>
  <c r="J894" i="11" s="1"/>
  <c r="O832" i="11"/>
  <c r="P832" i="11" s="1"/>
  <c r="K771" i="11"/>
  <c r="L771" i="11" s="1"/>
  <c r="K762" i="11"/>
  <c r="L762" i="11" s="1"/>
  <c r="G717" i="11"/>
  <c r="H717" i="11" s="1"/>
  <c r="K711" i="11"/>
  <c r="L711" i="11" s="1"/>
  <c r="G705" i="11"/>
  <c r="H705" i="11" s="1"/>
  <c r="O661" i="11"/>
  <c r="P661" i="11" s="1"/>
  <c r="K655" i="11"/>
  <c r="L655" i="11" s="1"/>
  <c r="G649" i="11"/>
  <c r="H649" i="11" s="1"/>
  <c r="I603" i="11"/>
  <c r="J603" i="11" s="1"/>
  <c r="O596" i="11"/>
  <c r="P596" i="11" s="1"/>
  <c r="O552" i="11"/>
  <c r="P552" i="11" s="1"/>
  <c r="M549" i="11"/>
  <c r="N549" i="11" s="1"/>
  <c r="K546" i="11"/>
  <c r="L546" i="11" s="1"/>
  <c r="I543" i="11"/>
  <c r="J543" i="11" s="1"/>
  <c r="G540" i="11"/>
  <c r="H540" i="11" s="1"/>
  <c r="O536" i="11"/>
  <c r="P536" i="11" s="1"/>
  <c r="O495" i="11"/>
  <c r="P495" i="11" s="1"/>
  <c r="M492" i="11"/>
  <c r="N492" i="11" s="1"/>
  <c r="K489" i="11"/>
  <c r="L489" i="11" s="1"/>
  <c r="I486" i="11"/>
  <c r="J486" i="11" s="1"/>
  <c r="G483" i="11"/>
  <c r="H483" i="11" s="1"/>
  <c r="O479" i="11"/>
  <c r="P479" i="11" s="1"/>
  <c r="I948" i="11"/>
  <c r="J948" i="11" s="1"/>
  <c r="G876" i="11"/>
  <c r="H876" i="11" s="1"/>
  <c r="K825" i="11"/>
  <c r="L825" i="11" s="1"/>
  <c r="G819" i="11"/>
  <c r="H819" i="11" s="1"/>
  <c r="G770" i="11"/>
  <c r="H770" i="11" s="1"/>
  <c r="M723" i="11"/>
  <c r="N723" i="11" s="1"/>
  <c r="O718" i="11"/>
  <c r="P718" i="11" s="1"/>
  <c r="K712" i="11"/>
  <c r="L712" i="11" s="1"/>
  <c r="G706" i="11"/>
  <c r="H706" i="11" s="1"/>
  <c r="I661" i="11"/>
  <c r="J661" i="11" s="1"/>
  <c r="O654" i="11"/>
  <c r="P654" i="11" s="1"/>
  <c r="K648" i="11"/>
  <c r="L648" i="11" s="1"/>
  <c r="O602" i="11"/>
  <c r="P602" i="11" s="1"/>
  <c r="K596" i="11"/>
  <c r="L596" i="11" s="1"/>
  <c r="M885" i="11"/>
  <c r="N885" i="11" s="1"/>
  <c r="K715" i="11"/>
  <c r="L715" i="11" s="1"/>
  <c r="G653" i="11"/>
  <c r="H653" i="11" s="1"/>
  <c r="K592" i="11"/>
  <c r="L592" i="11" s="1"/>
  <c r="O546" i="11"/>
  <c r="P546" i="11" s="1"/>
  <c r="K540" i="11"/>
  <c r="L540" i="11" s="1"/>
  <c r="G534" i="11"/>
  <c r="H534" i="11" s="1"/>
  <c r="M490" i="11"/>
  <c r="N490" i="11" s="1"/>
  <c r="I484" i="11"/>
  <c r="J484" i="11" s="1"/>
  <c r="O477" i="11"/>
  <c r="P477" i="11" s="1"/>
  <c r="I379" i="11"/>
  <c r="J379" i="11" s="1"/>
  <c r="G376" i="11"/>
  <c r="H376" i="11" s="1"/>
  <c r="O372" i="11"/>
  <c r="P372" i="11" s="1"/>
  <c r="M369" i="11"/>
  <c r="N369" i="11" s="1"/>
  <c r="K366" i="11"/>
  <c r="L366" i="11" s="1"/>
  <c r="I363" i="11"/>
  <c r="J363" i="11" s="1"/>
  <c r="M718" i="11"/>
  <c r="N718" i="11" s="1"/>
  <c r="O657" i="11"/>
  <c r="P657" i="11" s="1"/>
  <c r="I591" i="11"/>
  <c r="J591" i="11" s="1"/>
  <c r="G548" i="11"/>
  <c r="H548" i="11" s="1"/>
  <c r="M541" i="11"/>
  <c r="N541" i="11" s="1"/>
  <c r="I535" i="11"/>
  <c r="J535" i="11" s="1"/>
  <c r="K490" i="11"/>
  <c r="L490" i="11" s="1"/>
  <c r="G484" i="11"/>
  <c r="H484" i="11" s="1"/>
  <c r="M477" i="11"/>
  <c r="N477" i="11" s="1"/>
  <c r="K437" i="11"/>
  <c r="L437" i="11" s="1"/>
  <c r="O435" i="11"/>
  <c r="P435" i="11" s="1"/>
  <c r="I434" i="11"/>
  <c r="J434" i="11" s="1"/>
  <c r="M432" i="11"/>
  <c r="N432" i="11" s="1"/>
  <c r="G431" i="11"/>
  <c r="H431" i="11" s="1"/>
  <c r="K429" i="11"/>
  <c r="L429" i="11" s="1"/>
  <c r="O427" i="11"/>
  <c r="P427" i="11" s="1"/>
  <c r="K835" i="11"/>
  <c r="L835" i="11" s="1"/>
  <c r="M717" i="11"/>
  <c r="N717" i="11" s="1"/>
  <c r="O649" i="11"/>
  <c r="P649" i="11" s="1"/>
  <c r="K551" i="11"/>
  <c r="L551" i="11" s="1"/>
  <c r="G545" i="11"/>
  <c r="H545" i="11" s="1"/>
  <c r="M538" i="11"/>
  <c r="N538" i="11" s="1"/>
  <c r="O493" i="11"/>
  <c r="P493" i="11" s="1"/>
  <c r="K487" i="11"/>
  <c r="L487" i="11" s="1"/>
  <c r="G481" i="11"/>
  <c r="H481" i="11" s="1"/>
  <c r="K380" i="11"/>
  <c r="L380" i="11" s="1"/>
  <c r="I377" i="11"/>
  <c r="J377" i="11" s="1"/>
  <c r="G374" i="11"/>
  <c r="H374" i="11" s="1"/>
  <c r="O370" i="11"/>
  <c r="P370" i="11" s="1"/>
  <c r="M367" i="11"/>
  <c r="N367" i="11" s="1"/>
  <c r="K364" i="11"/>
  <c r="L364" i="11" s="1"/>
  <c r="G661" i="11"/>
  <c r="H661" i="11" s="1"/>
  <c r="I542" i="11"/>
  <c r="J542" i="11" s="1"/>
  <c r="O436" i="11"/>
  <c r="P436" i="11" s="1"/>
  <c r="K430" i="11"/>
  <c r="L430" i="11" s="1"/>
  <c r="I425" i="11"/>
  <c r="J425" i="11" s="1"/>
  <c r="G422" i="11"/>
  <c r="H422" i="11" s="1"/>
  <c r="K379" i="11"/>
  <c r="L379" i="11" s="1"/>
  <c r="G373" i="11"/>
  <c r="H373" i="11" s="1"/>
  <c r="M366" i="11"/>
  <c r="N366" i="11" s="1"/>
  <c r="I324" i="11"/>
  <c r="J324" i="11" s="1"/>
  <c r="G321" i="11"/>
  <c r="H321" i="11" s="1"/>
  <c r="O317" i="11"/>
  <c r="P317" i="11" s="1"/>
  <c r="M314" i="11"/>
  <c r="N314" i="11" s="1"/>
  <c r="K311" i="11"/>
  <c r="L311" i="11" s="1"/>
  <c r="K267" i="11"/>
  <c r="L267" i="11" s="1"/>
  <c r="I264" i="11"/>
  <c r="J264" i="11" s="1"/>
  <c r="G261" i="11"/>
  <c r="H261" i="11" s="1"/>
  <c r="O257" i="11"/>
  <c r="P257" i="11" s="1"/>
  <c r="M254" i="11"/>
  <c r="N254" i="11" s="1"/>
  <c r="K251" i="11"/>
  <c r="L251" i="11" s="1"/>
  <c r="M210" i="11"/>
  <c r="N210" i="11" s="1"/>
  <c r="K207" i="11"/>
  <c r="L207" i="11" s="1"/>
  <c r="I204" i="11"/>
  <c r="J204" i="11" s="1"/>
  <c r="G201" i="11"/>
  <c r="H201" i="11" s="1"/>
  <c r="O197" i="11"/>
  <c r="P197" i="11" s="1"/>
  <c r="M194" i="11"/>
  <c r="N194" i="11" s="1"/>
  <c r="I891" i="11"/>
  <c r="J891" i="11" s="1"/>
  <c r="G604" i="11"/>
  <c r="H604" i="11" s="1"/>
  <c r="O535" i="11"/>
  <c r="P535" i="11" s="1"/>
  <c r="G438" i="11"/>
  <c r="H438" i="11" s="1"/>
  <c r="M431" i="11"/>
  <c r="N431" i="11" s="1"/>
  <c r="O425" i="11"/>
  <c r="P425" i="11" s="1"/>
  <c r="M422" i="11"/>
  <c r="N422" i="11" s="1"/>
  <c r="M380" i="11"/>
  <c r="N380" i="11" s="1"/>
  <c r="I374" i="11"/>
  <c r="J374" i="11" s="1"/>
  <c r="O367" i="11"/>
  <c r="P367" i="11" s="1"/>
  <c r="M324" i="11"/>
  <c r="N324" i="11" s="1"/>
  <c r="K321" i="11"/>
  <c r="L321" i="11" s="1"/>
  <c r="I318" i="11"/>
  <c r="J318" i="11" s="1"/>
  <c r="G315" i="11"/>
  <c r="H315" i="11" s="1"/>
  <c r="O311" i="11"/>
  <c r="P311" i="11" s="1"/>
  <c r="M308" i="11"/>
  <c r="N308" i="11" s="1"/>
  <c r="G307" i="11"/>
  <c r="H307" i="11" s="1"/>
  <c r="K266" i="11"/>
  <c r="L266" i="11" s="1"/>
  <c r="I263" i="11"/>
  <c r="J263" i="11" s="1"/>
  <c r="I765" i="11"/>
  <c r="J765" i="11" s="1"/>
  <c r="O544" i="11"/>
  <c r="P544" i="11" s="1"/>
  <c r="K488" i="11"/>
  <c r="L488" i="11" s="1"/>
  <c r="G436" i="11"/>
  <c r="H436" i="11" s="1"/>
  <c r="M429" i="11"/>
  <c r="N429" i="11" s="1"/>
  <c r="O424" i="11"/>
  <c r="P424" i="11" s="1"/>
  <c r="M421" i="11"/>
  <c r="N421" i="11" s="1"/>
  <c r="I380" i="11"/>
  <c r="J380" i="11" s="1"/>
  <c r="O373" i="11"/>
  <c r="P373" i="11" s="1"/>
  <c r="K367" i="11"/>
  <c r="L367" i="11" s="1"/>
  <c r="I323" i="11"/>
  <c r="J323" i="11" s="1"/>
  <c r="G320" i="11"/>
  <c r="H320" i="11" s="1"/>
  <c r="O316" i="11"/>
  <c r="P316" i="11" s="1"/>
  <c r="M313" i="11"/>
  <c r="N313" i="11" s="1"/>
  <c r="K310" i="11"/>
  <c r="L310" i="11" s="1"/>
  <c r="G267" i="11"/>
  <c r="H267" i="11" s="1"/>
  <c r="O263" i="11"/>
  <c r="P263" i="11" s="1"/>
  <c r="M260" i="11"/>
  <c r="N260" i="11" s="1"/>
  <c r="K257" i="11"/>
  <c r="L257" i="11" s="1"/>
  <c r="I254" i="11"/>
  <c r="J254" i="11" s="1"/>
  <c r="G251" i="11"/>
  <c r="H251" i="11" s="1"/>
  <c r="K209" i="11"/>
  <c r="L209" i="11" s="1"/>
  <c r="I206" i="11"/>
  <c r="J206" i="11" s="1"/>
  <c r="G203" i="11"/>
  <c r="H203" i="11" s="1"/>
  <c r="O199" i="11"/>
  <c r="P199" i="11" s="1"/>
  <c r="K432" i="11"/>
  <c r="L432" i="11" s="1"/>
  <c r="G375" i="11"/>
  <c r="H375" i="11" s="1"/>
  <c r="O314" i="11"/>
  <c r="P314" i="11" s="1"/>
  <c r="G306" i="11"/>
  <c r="H306" i="11" s="1"/>
  <c r="O258" i="11"/>
  <c r="P258" i="11" s="1"/>
  <c r="K252" i="11"/>
  <c r="L252" i="11" s="1"/>
  <c r="I209" i="11"/>
  <c r="J209" i="11" s="1"/>
  <c r="O202" i="11"/>
  <c r="P202" i="11" s="1"/>
  <c r="K197" i="11"/>
  <c r="L197" i="11" s="1"/>
  <c r="I193" i="11"/>
  <c r="J193" i="11" s="1"/>
  <c r="O151" i="11"/>
  <c r="P151" i="11" s="1"/>
  <c r="M148" i="11"/>
  <c r="N148" i="11" s="1"/>
  <c r="K145" i="11"/>
  <c r="L145" i="11" s="1"/>
  <c r="I142" i="11"/>
  <c r="J142" i="11" s="1"/>
  <c r="G139" i="11"/>
  <c r="H139" i="11" s="1"/>
  <c r="O135" i="11"/>
  <c r="P135" i="11" s="1"/>
  <c r="G95" i="11"/>
  <c r="H95" i="11" s="1"/>
  <c r="O91" i="11"/>
  <c r="P91" i="11" s="1"/>
  <c r="M88" i="11"/>
  <c r="N88" i="11" s="1"/>
  <c r="K85" i="11"/>
  <c r="L85" i="11" s="1"/>
  <c r="I82" i="11"/>
  <c r="J82" i="11" s="1"/>
  <c r="G79" i="11"/>
  <c r="H79" i="11" s="1"/>
  <c r="I38" i="11"/>
  <c r="J38" i="11" s="1"/>
  <c r="G35" i="11"/>
  <c r="H35" i="11" s="1"/>
  <c r="O31" i="11"/>
  <c r="P31" i="11" s="1"/>
  <c r="M28" i="11"/>
  <c r="N28" i="11" s="1"/>
  <c r="K25" i="11"/>
  <c r="L25" i="11" s="1"/>
  <c r="I22" i="11"/>
  <c r="J22" i="11" s="1"/>
  <c r="I437" i="11"/>
  <c r="J437" i="11" s="1"/>
  <c r="O379" i="11"/>
  <c r="P379" i="11" s="1"/>
  <c r="O321" i="11"/>
  <c r="P321" i="11" s="1"/>
  <c r="G309" i="11"/>
  <c r="H309" i="11" s="1"/>
  <c r="G260" i="11"/>
  <c r="H260" i="11" s="1"/>
  <c r="M253" i="11"/>
  <c r="N253" i="11" s="1"/>
  <c r="O208" i="11"/>
  <c r="P208" i="11" s="1"/>
  <c r="K202" i="11"/>
  <c r="L202" i="11" s="1"/>
  <c r="I197" i="11"/>
  <c r="J197" i="11" s="1"/>
  <c r="O192" i="11"/>
  <c r="P192" i="11" s="1"/>
  <c r="G151" i="11"/>
  <c r="H151" i="11" s="1"/>
  <c r="M147" i="11"/>
  <c r="N147" i="11" s="1"/>
  <c r="K144" i="11"/>
  <c r="L144" i="11" s="1"/>
  <c r="I141" i="11"/>
  <c r="J141" i="11" s="1"/>
  <c r="G138" i="11"/>
  <c r="H138" i="11" s="1"/>
  <c r="K96" i="11"/>
  <c r="L96" i="11" s="1"/>
  <c r="I93" i="11"/>
  <c r="J93" i="11" s="1"/>
  <c r="G90" i="11"/>
  <c r="H90" i="11" s="1"/>
  <c r="O86" i="11"/>
  <c r="P86" i="11" s="1"/>
  <c r="M83" i="11"/>
  <c r="N83" i="11" s="1"/>
  <c r="K80" i="11"/>
  <c r="L80" i="11" s="1"/>
  <c r="M39" i="11"/>
  <c r="N39" i="11" s="1"/>
  <c r="K36" i="11"/>
  <c r="L36" i="11" s="1"/>
  <c r="I33" i="11"/>
  <c r="J33" i="11" s="1"/>
  <c r="G30" i="11"/>
  <c r="H30" i="11" s="1"/>
  <c r="O26" i="11"/>
  <c r="P26" i="11" s="1"/>
  <c r="M23" i="11"/>
  <c r="N23" i="11" s="1"/>
  <c r="G208" i="11"/>
  <c r="H208" i="11" s="1"/>
  <c r="M195" i="11"/>
  <c r="N195" i="11" s="1"/>
  <c r="G152" i="11"/>
  <c r="H152" i="11" s="1"/>
  <c r="G148" i="11"/>
  <c r="H148" i="11" s="1"/>
  <c r="M141" i="11"/>
  <c r="N141" i="11" s="1"/>
  <c r="G96" i="11"/>
  <c r="H96" i="11" s="1"/>
  <c r="O88" i="11"/>
  <c r="P88" i="11" s="1"/>
  <c r="M81" i="11"/>
  <c r="N81" i="11" s="1"/>
  <c r="O36" i="11"/>
  <c r="P36" i="11" s="1"/>
  <c r="O28" i="11"/>
  <c r="P28" i="11" s="1"/>
  <c r="I23" i="11"/>
  <c r="J23" i="11" s="1"/>
  <c r="G477" i="11"/>
  <c r="H477" i="11" s="1"/>
  <c r="K421" i="11"/>
  <c r="L421" i="11" s="1"/>
  <c r="I321" i="11"/>
  <c r="J321" i="11" s="1"/>
  <c r="K308" i="11"/>
  <c r="L308" i="11" s="1"/>
  <c r="M259" i="11"/>
  <c r="N259" i="11" s="1"/>
  <c r="I253" i="11"/>
  <c r="J253" i="11" s="1"/>
  <c r="K208" i="11"/>
  <c r="L208" i="11" s="1"/>
  <c r="G202" i="11"/>
  <c r="H202" i="11" s="1"/>
  <c r="O196" i="11"/>
  <c r="P196" i="11" s="1"/>
  <c r="M192" i="11"/>
  <c r="N192" i="11" s="1"/>
  <c r="O150" i="11"/>
  <c r="P150" i="11" s="1"/>
  <c r="I148" i="11"/>
  <c r="J148" i="11" s="1"/>
  <c r="M138" i="11"/>
  <c r="N138" i="11" s="1"/>
  <c r="K135" i="11"/>
  <c r="L135" i="11" s="1"/>
  <c r="O93" i="11"/>
  <c r="P93" i="11" s="1"/>
  <c r="M90" i="11"/>
  <c r="N90" i="11" s="1"/>
  <c r="G81" i="11"/>
  <c r="H81" i="11" s="1"/>
  <c r="G33" i="11"/>
  <c r="H33" i="11" s="1"/>
  <c r="M376" i="11"/>
  <c r="N376" i="11" s="1"/>
  <c r="I261" i="11"/>
  <c r="J261" i="11" s="1"/>
  <c r="O148" i="11"/>
  <c r="P148" i="11" s="1"/>
  <c r="G88" i="11"/>
  <c r="H88" i="11" s="1"/>
  <c r="G32" i="11"/>
  <c r="H32" i="11" s="1"/>
  <c r="M1007" i="11"/>
  <c r="N1007" i="11" s="1"/>
  <c r="I1004" i="11"/>
  <c r="J1004" i="11" s="1"/>
  <c r="M1001" i="11"/>
  <c r="N1001" i="11" s="1"/>
  <c r="O998" i="11"/>
  <c r="P998" i="11" s="1"/>
  <c r="O994" i="11"/>
  <c r="P994" i="11" s="1"/>
  <c r="I991" i="11"/>
  <c r="J991" i="11" s="1"/>
  <c r="K1007" i="11"/>
  <c r="L1007" i="11" s="1"/>
  <c r="M1004" i="11"/>
  <c r="N1004" i="11" s="1"/>
  <c r="G1002" i="11"/>
  <c r="H1002" i="11" s="1"/>
  <c r="G998" i="11"/>
  <c r="H998" i="11" s="1"/>
  <c r="M994" i="11"/>
  <c r="N994" i="11" s="1"/>
  <c r="O991" i="11"/>
  <c r="P991" i="11" s="1"/>
  <c r="M1006" i="11"/>
  <c r="N1006" i="11" s="1"/>
  <c r="I1003" i="11"/>
  <c r="J1003" i="11" s="1"/>
  <c r="O999" i="11"/>
  <c r="P999" i="11" s="1"/>
  <c r="K996" i="11"/>
  <c r="L996" i="11" s="1"/>
  <c r="O993" i="11"/>
  <c r="P993" i="11" s="1"/>
  <c r="G991" i="11"/>
  <c r="H991" i="11" s="1"/>
  <c r="I996" i="11"/>
  <c r="J996" i="11" s="1"/>
  <c r="K950" i="11"/>
  <c r="L950" i="11" s="1"/>
  <c r="O947" i="11"/>
  <c r="P947" i="11" s="1"/>
  <c r="G945" i="11"/>
  <c r="H945" i="11" s="1"/>
  <c r="G941" i="11"/>
  <c r="H941" i="11" s="1"/>
  <c r="O1003" i="11"/>
  <c r="P1003" i="11" s="1"/>
  <c r="O992" i="11"/>
  <c r="P992" i="11" s="1"/>
  <c r="M949" i="11"/>
  <c r="N949" i="11" s="1"/>
  <c r="I946" i="11"/>
  <c r="J946" i="11" s="1"/>
  <c r="M943" i="11"/>
  <c r="N943" i="11" s="1"/>
  <c r="M939" i="11"/>
  <c r="N939" i="11" s="1"/>
  <c r="K936" i="11"/>
  <c r="L936" i="11" s="1"/>
  <c r="M1008" i="11"/>
  <c r="N1008" i="11" s="1"/>
  <c r="K951" i="11"/>
  <c r="L951" i="11" s="1"/>
  <c r="I942" i="11"/>
  <c r="J942" i="11" s="1"/>
  <c r="G936" i="11"/>
  <c r="H936" i="11" s="1"/>
  <c r="O1007" i="11"/>
  <c r="P1007" i="11" s="1"/>
  <c r="G950" i="11"/>
  <c r="H950" i="11" s="1"/>
  <c r="I943" i="11"/>
  <c r="J943" i="11" s="1"/>
  <c r="M938" i="11"/>
  <c r="N938" i="11" s="1"/>
  <c r="M933" i="11"/>
  <c r="N933" i="11" s="1"/>
  <c r="G944" i="11"/>
  <c r="H944" i="11" s="1"/>
  <c r="G934" i="11"/>
  <c r="H934" i="11" s="1"/>
  <c r="M892" i="11"/>
  <c r="N892" i="11" s="1"/>
  <c r="G889" i="11"/>
  <c r="H889" i="11" s="1"/>
  <c r="I886" i="11"/>
  <c r="J886" i="11" s="1"/>
  <c r="M882" i="11"/>
  <c r="N882" i="11" s="1"/>
  <c r="K879" i="11"/>
  <c r="L879" i="11" s="1"/>
  <c r="I876" i="11"/>
  <c r="J876" i="11" s="1"/>
  <c r="I835" i="11"/>
  <c r="J835" i="11" s="1"/>
  <c r="G832" i="11"/>
  <c r="H832" i="11" s="1"/>
  <c r="G829" i="11"/>
  <c r="H829" i="11" s="1"/>
  <c r="M946" i="11"/>
  <c r="N946" i="11" s="1"/>
  <c r="I937" i="11"/>
  <c r="J937" i="11" s="1"/>
  <c r="K892" i="11"/>
  <c r="L892" i="11" s="1"/>
  <c r="O888" i="11"/>
  <c r="P888" i="11" s="1"/>
  <c r="G886" i="11"/>
  <c r="H886" i="11" s="1"/>
  <c r="K882" i="11"/>
  <c r="L882" i="11" s="1"/>
  <c r="O879" i="11"/>
  <c r="P879" i="11" s="1"/>
  <c r="M876" i="11"/>
  <c r="N876" i="11" s="1"/>
  <c r="G835" i="11"/>
  <c r="H835" i="11" s="1"/>
  <c r="O831" i="11"/>
  <c r="P831" i="11" s="1"/>
  <c r="G995" i="11"/>
  <c r="H995" i="11" s="1"/>
  <c r="M936" i="11"/>
  <c r="N936" i="11" s="1"/>
  <c r="O890" i="11"/>
  <c r="P890" i="11" s="1"/>
  <c r="M883" i="11"/>
  <c r="N883" i="11" s="1"/>
  <c r="M877" i="11"/>
  <c r="N877" i="11" s="1"/>
  <c r="K832" i="11"/>
  <c r="L832" i="11" s="1"/>
  <c r="I828" i="11"/>
  <c r="J828" i="11" s="1"/>
  <c r="M825" i="11"/>
  <c r="N825" i="11" s="1"/>
  <c r="G824" i="11"/>
  <c r="H824" i="11" s="1"/>
  <c r="K822" i="11"/>
  <c r="L822" i="11" s="1"/>
  <c r="O820" i="11"/>
  <c r="P820" i="11" s="1"/>
  <c r="I819" i="11"/>
  <c r="J819" i="11" s="1"/>
  <c r="K778" i="11"/>
  <c r="L778" i="11" s="1"/>
  <c r="I775" i="11"/>
  <c r="J775" i="11" s="1"/>
  <c r="G772" i="11"/>
  <c r="H772" i="11" s="1"/>
  <c r="O768" i="11"/>
  <c r="P768" i="11" s="1"/>
  <c r="I936" i="11"/>
  <c r="J936" i="11" s="1"/>
  <c r="G892" i="11"/>
  <c r="H892" i="11" s="1"/>
  <c r="O884" i="11"/>
  <c r="P884" i="11" s="1"/>
  <c r="M879" i="11"/>
  <c r="N879" i="11" s="1"/>
  <c r="O834" i="11"/>
  <c r="P834" i="11" s="1"/>
  <c r="G828" i="11"/>
  <c r="H828" i="11" s="1"/>
  <c r="O779" i="11"/>
  <c r="P779" i="11" s="1"/>
  <c r="M776" i="11"/>
  <c r="N776" i="11" s="1"/>
  <c r="K773" i="11"/>
  <c r="L773" i="11" s="1"/>
  <c r="I770" i="11"/>
  <c r="J770" i="11" s="1"/>
  <c r="G767" i="11"/>
  <c r="H767" i="11" s="1"/>
  <c r="K763" i="11"/>
  <c r="L763" i="11" s="1"/>
  <c r="O942" i="11"/>
  <c r="P942" i="11" s="1"/>
  <c r="I887" i="11"/>
  <c r="J887" i="11" s="1"/>
  <c r="O836" i="11"/>
  <c r="P836" i="11" s="1"/>
  <c r="O825" i="11"/>
  <c r="P825" i="11" s="1"/>
  <c r="M822" i="11"/>
  <c r="N822" i="11" s="1"/>
  <c r="K819" i="11"/>
  <c r="L819" i="11" s="1"/>
  <c r="M775" i="11"/>
  <c r="N775" i="11" s="1"/>
  <c r="I769" i="11"/>
  <c r="J769" i="11" s="1"/>
  <c r="G765" i="11"/>
  <c r="H765" i="11" s="1"/>
  <c r="O722" i="11"/>
  <c r="P722" i="11" s="1"/>
  <c r="M719" i="11"/>
  <c r="N719" i="11" s="1"/>
  <c r="K716" i="11"/>
  <c r="L716" i="11" s="1"/>
  <c r="I713" i="11"/>
  <c r="J713" i="11" s="1"/>
  <c r="K710" i="11"/>
  <c r="L710" i="11" s="1"/>
  <c r="I707" i="11"/>
  <c r="J707" i="11" s="1"/>
  <c r="M665" i="11"/>
  <c r="N665" i="11" s="1"/>
  <c r="K662" i="11"/>
  <c r="L662" i="11" s="1"/>
  <c r="I659" i="11"/>
  <c r="J659" i="11" s="1"/>
  <c r="G656" i="11"/>
  <c r="H656" i="11" s="1"/>
  <c r="O652" i="11"/>
  <c r="P652" i="11" s="1"/>
  <c r="M649" i="11"/>
  <c r="N649" i="11" s="1"/>
  <c r="O608" i="11"/>
  <c r="P608" i="11" s="1"/>
  <c r="G605" i="11"/>
  <c r="H605" i="11" s="1"/>
  <c r="O601" i="11"/>
  <c r="P601" i="11" s="1"/>
  <c r="M598" i="11"/>
  <c r="N598" i="11" s="1"/>
  <c r="K595" i="11"/>
  <c r="L595" i="11" s="1"/>
  <c r="I592" i="11"/>
  <c r="J592" i="11" s="1"/>
  <c r="M942" i="11"/>
  <c r="N942" i="11" s="1"/>
  <c r="I884" i="11"/>
  <c r="J884" i="11" s="1"/>
  <c r="M831" i="11"/>
  <c r="N831" i="11" s="1"/>
  <c r="G777" i="11"/>
  <c r="H777" i="11" s="1"/>
  <c r="M770" i="11"/>
  <c r="N770" i="11" s="1"/>
  <c r="M764" i="11"/>
  <c r="N764" i="11" s="1"/>
  <c r="I723" i="11"/>
  <c r="J723" i="11" s="1"/>
  <c r="G720" i="11"/>
  <c r="H720" i="11" s="1"/>
  <c r="O716" i="11"/>
  <c r="P716" i="11" s="1"/>
  <c r="M713" i="11"/>
  <c r="N713" i="11" s="1"/>
  <c r="I710" i="11"/>
  <c r="J710" i="11" s="1"/>
  <c r="G707" i="11"/>
  <c r="H707" i="11" s="1"/>
  <c r="K665" i="11"/>
  <c r="L665" i="11" s="1"/>
  <c r="I662" i="11"/>
  <c r="J662" i="11" s="1"/>
  <c r="G659" i="11"/>
  <c r="H659" i="11" s="1"/>
  <c r="O655" i="11"/>
  <c r="P655" i="11" s="1"/>
  <c r="M652" i="11"/>
  <c r="N652" i="11" s="1"/>
  <c r="K649" i="11"/>
  <c r="L649" i="11" s="1"/>
  <c r="O607" i="11"/>
  <c r="P607" i="11" s="1"/>
  <c r="O604" i="11"/>
  <c r="P604" i="11" s="1"/>
  <c r="M601" i="11"/>
  <c r="N601" i="11" s="1"/>
  <c r="K598" i="11"/>
  <c r="L598" i="11" s="1"/>
  <c r="I595" i="11"/>
  <c r="J595" i="11" s="1"/>
  <c r="G592" i="11"/>
  <c r="H592" i="11" s="1"/>
  <c r="G883" i="11"/>
  <c r="H883" i="11" s="1"/>
  <c r="G823" i="11"/>
  <c r="H823" i="11" s="1"/>
  <c r="O774" i="11"/>
  <c r="P774" i="11" s="1"/>
  <c r="K764" i="11"/>
  <c r="L764" i="11" s="1"/>
  <c r="I717" i="11"/>
  <c r="J717" i="11" s="1"/>
  <c r="G710" i="11"/>
  <c r="H710" i="11" s="1"/>
  <c r="O666" i="11"/>
  <c r="P666" i="11" s="1"/>
  <c r="K660" i="11"/>
  <c r="L660" i="11" s="1"/>
  <c r="G654" i="11"/>
  <c r="H654" i="11" s="1"/>
  <c r="I609" i="11"/>
  <c r="J609" i="11" s="1"/>
  <c r="K603" i="11"/>
  <c r="L603" i="11" s="1"/>
  <c r="G597" i="11"/>
  <c r="H597" i="11" s="1"/>
  <c r="M551" i="11"/>
  <c r="N551" i="11" s="1"/>
  <c r="K548" i="11"/>
  <c r="L548" i="11" s="1"/>
  <c r="I545" i="11"/>
  <c r="J545" i="11" s="1"/>
  <c r="G542" i="11"/>
  <c r="H542" i="11" s="1"/>
  <c r="O538" i="11"/>
  <c r="P538" i="11" s="1"/>
  <c r="M535" i="11"/>
  <c r="N535" i="11" s="1"/>
  <c r="G494" i="11"/>
  <c r="H494" i="11" s="1"/>
  <c r="O490" i="11"/>
  <c r="P490" i="11" s="1"/>
  <c r="M487" i="11"/>
  <c r="N487" i="11" s="1"/>
  <c r="K484" i="11"/>
  <c r="L484" i="11" s="1"/>
  <c r="I481" i="11"/>
  <c r="J481" i="11" s="1"/>
  <c r="G478" i="11"/>
  <c r="H478" i="11" s="1"/>
  <c r="K888" i="11"/>
  <c r="L888" i="11" s="1"/>
  <c r="I826" i="11"/>
  <c r="J826" i="11" s="1"/>
  <c r="I768" i="11"/>
  <c r="J768" i="11" s="1"/>
  <c r="M721" i="11"/>
  <c r="N721" i="11" s="1"/>
  <c r="G716" i="11"/>
  <c r="H716" i="11" s="1"/>
  <c r="O709" i="11"/>
  <c r="P709" i="11" s="1"/>
  <c r="M666" i="11"/>
  <c r="N666" i="11" s="1"/>
  <c r="I660" i="11"/>
  <c r="J660" i="11" s="1"/>
  <c r="O653" i="11"/>
  <c r="P653" i="11" s="1"/>
  <c r="G609" i="11"/>
  <c r="H609" i="11" s="1"/>
  <c r="G602" i="11"/>
  <c r="H602" i="11" s="1"/>
  <c r="M595" i="11"/>
  <c r="N595" i="11" s="1"/>
  <c r="I552" i="11"/>
  <c r="J552" i="11" s="1"/>
  <c r="G549" i="11"/>
  <c r="H549" i="11" s="1"/>
  <c r="O545" i="11"/>
  <c r="P545" i="11" s="1"/>
  <c r="M542" i="11"/>
  <c r="N542" i="11" s="1"/>
  <c r="K539" i="11"/>
  <c r="L539" i="11" s="1"/>
  <c r="I536" i="11"/>
  <c r="J536" i="11" s="1"/>
  <c r="I495" i="11"/>
  <c r="J495" i="11" s="1"/>
  <c r="G492" i="11"/>
  <c r="H492" i="11" s="1"/>
  <c r="O488" i="11"/>
  <c r="P488" i="11" s="1"/>
  <c r="M485" i="11"/>
  <c r="N485" i="11" s="1"/>
  <c r="K482" i="11"/>
  <c r="L482" i="11" s="1"/>
  <c r="I479" i="11"/>
  <c r="J479" i="11" s="1"/>
  <c r="K891" i="11"/>
  <c r="L891" i="11" s="1"/>
  <c r="M835" i="11"/>
  <c r="N835" i="11" s="1"/>
  <c r="O823" i="11"/>
  <c r="P823" i="11" s="1"/>
  <c r="M779" i="11"/>
  <c r="N779" i="11" s="1"/>
  <c r="K767" i="11"/>
  <c r="L767" i="11" s="1"/>
  <c r="K722" i="11"/>
  <c r="L722" i="11" s="1"/>
  <c r="M716" i="11"/>
  <c r="N716" i="11" s="1"/>
  <c r="O710" i="11"/>
  <c r="P710" i="11" s="1"/>
  <c r="G666" i="11"/>
  <c r="H666" i="11" s="1"/>
  <c r="M659" i="11"/>
  <c r="N659" i="11" s="1"/>
  <c r="I653" i="11"/>
  <c r="J653" i="11" s="1"/>
  <c r="K608" i="11"/>
  <c r="L608" i="11" s="1"/>
  <c r="K601" i="11"/>
  <c r="L601" i="11" s="1"/>
  <c r="G595" i="11"/>
  <c r="H595" i="11" s="1"/>
  <c r="I827" i="11"/>
  <c r="J827" i="11" s="1"/>
  <c r="M710" i="11"/>
  <c r="N710" i="11" s="1"/>
  <c r="I608" i="11"/>
  <c r="J608" i="11" s="1"/>
  <c r="G552" i="11"/>
  <c r="H552" i="11" s="1"/>
  <c r="M545" i="11"/>
  <c r="N545" i="11" s="1"/>
  <c r="I539" i="11"/>
  <c r="J539" i="11" s="1"/>
  <c r="M495" i="11"/>
  <c r="N495" i="11" s="1"/>
  <c r="I489" i="11"/>
  <c r="J489" i="11" s="1"/>
  <c r="O482" i="11"/>
  <c r="P482" i="11" s="1"/>
  <c r="M381" i="11"/>
  <c r="N381" i="11" s="1"/>
  <c r="K378" i="11"/>
  <c r="L378" i="11" s="1"/>
  <c r="I375" i="11"/>
  <c r="J375" i="11" s="1"/>
  <c r="G372" i="11"/>
  <c r="H372" i="11" s="1"/>
  <c r="O368" i="11"/>
  <c r="P368" i="11" s="1"/>
  <c r="M365" i="11"/>
  <c r="N365" i="11" s="1"/>
  <c r="G948" i="11"/>
  <c r="H948" i="11" s="1"/>
  <c r="K714" i="11"/>
  <c r="L714" i="11" s="1"/>
  <c r="K651" i="11"/>
  <c r="L651" i="11" s="1"/>
  <c r="O551" i="11"/>
  <c r="P551" i="11" s="1"/>
  <c r="K545" i="11"/>
  <c r="L545" i="11" s="1"/>
  <c r="G539" i="11"/>
  <c r="H539" i="11" s="1"/>
  <c r="I494" i="11"/>
  <c r="J494" i="11" s="1"/>
  <c r="O487" i="11"/>
  <c r="P487" i="11" s="1"/>
  <c r="K481" i="11"/>
  <c r="L481" i="11" s="1"/>
  <c r="M438" i="11"/>
  <c r="N438" i="11" s="1"/>
  <c r="G437" i="11"/>
  <c r="H437" i="11" s="1"/>
  <c r="K435" i="11"/>
  <c r="L435" i="11" s="1"/>
  <c r="O433" i="11"/>
  <c r="P433" i="11" s="1"/>
  <c r="I432" i="11"/>
  <c r="J432" i="11" s="1"/>
  <c r="M430" i="11"/>
  <c r="N430" i="11" s="1"/>
  <c r="G429" i="11"/>
  <c r="H429" i="11" s="1"/>
  <c r="K427" i="11"/>
  <c r="L427" i="11" s="1"/>
  <c r="K779" i="11"/>
  <c r="L779" i="11" s="1"/>
  <c r="K707" i="11"/>
  <c r="L707" i="11" s="1"/>
  <c r="I605" i="11"/>
  <c r="J605" i="11" s="1"/>
  <c r="G550" i="11"/>
  <c r="H550" i="11" s="1"/>
  <c r="M543" i="11"/>
  <c r="N543" i="11" s="1"/>
  <c r="I537" i="11"/>
  <c r="J537" i="11" s="1"/>
  <c r="K492" i="11"/>
  <c r="L492" i="11" s="1"/>
  <c r="G486" i="11"/>
  <c r="H486" i="11" s="1"/>
  <c r="M479" i="11"/>
  <c r="N479" i="11" s="1"/>
  <c r="M379" i="11"/>
  <c r="N379" i="11" s="1"/>
  <c r="K376" i="11"/>
  <c r="L376" i="11" s="1"/>
  <c r="I373" i="11"/>
  <c r="J373" i="11" s="1"/>
  <c r="G370" i="11"/>
  <c r="H370" i="11" s="1"/>
  <c r="O366" i="11"/>
  <c r="P366" i="11" s="1"/>
  <c r="M363" i="11"/>
  <c r="N363" i="11" s="1"/>
  <c r="O609" i="11"/>
  <c r="P609" i="11" s="1"/>
  <c r="G491" i="11"/>
  <c r="H491" i="11" s="1"/>
  <c r="I435" i="11"/>
  <c r="J435" i="11" s="1"/>
  <c r="O428" i="11"/>
  <c r="P428" i="11" s="1"/>
  <c r="K424" i="11"/>
  <c r="L424" i="11" s="1"/>
  <c r="I421" i="11"/>
  <c r="J421" i="11" s="1"/>
  <c r="O377" i="11"/>
  <c r="P377" i="11" s="1"/>
  <c r="K371" i="11"/>
  <c r="L371" i="11" s="1"/>
  <c r="G365" i="11"/>
  <c r="H365" i="11" s="1"/>
  <c r="M323" i="11"/>
  <c r="N323" i="11" s="1"/>
  <c r="K320" i="11"/>
  <c r="L320" i="11" s="1"/>
  <c r="I317" i="11"/>
  <c r="J317" i="11" s="1"/>
  <c r="G314" i="11"/>
  <c r="H314" i="11" s="1"/>
  <c r="O310" i="11"/>
  <c r="P310" i="11" s="1"/>
  <c r="M266" i="11"/>
  <c r="N266" i="11" s="1"/>
  <c r="K263" i="11"/>
  <c r="L263" i="11" s="1"/>
  <c r="I260" i="11"/>
  <c r="J260" i="11" s="1"/>
  <c r="G257" i="11"/>
  <c r="H257" i="11" s="1"/>
  <c r="O253" i="11"/>
  <c r="P253" i="11" s="1"/>
  <c r="M250" i="11"/>
  <c r="N250" i="11" s="1"/>
  <c r="O209" i="11"/>
  <c r="P209" i="11" s="1"/>
  <c r="M206" i="11"/>
  <c r="N206" i="11" s="1"/>
  <c r="K203" i="11"/>
  <c r="L203" i="11" s="1"/>
  <c r="I200" i="11"/>
  <c r="J200" i="11" s="1"/>
  <c r="G197" i="11"/>
  <c r="H197" i="11" s="1"/>
  <c r="O193" i="11"/>
  <c r="P193" i="11" s="1"/>
  <c r="I776" i="11"/>
  <c r="J776" i="11" s="1"/>
  <c r="I551" i="11"/>
  <c r="J551" i="11" s="1"/>
  <c r="O494" i="11"/>
  <c r="P494" i="11" s="1"/>
  <c r="K436" i="11"/>
  <c r="L436" i="11" s="1"/>
  <c r="G430" i="11"/>
  <c r="H430" i="11" s="1"/>
  <c r="G425" i="11"/>
  <c r="H425" i="11" s="1"/>
  <c r="O421" i="11"/>
  <c r="P421" i="11" s="1"/>
  <c r="G379" i="11"/>
  <c r="H379" i="11" s="1"/>
  <c r="M372" i="11"/>
  <c r="N372" i="11" s="1"/>
  <c r="I366" i="11"/>
  <c r="J366" i="11" s="1"/>
  <c r="G324" i="11"/>
  <c r="H324" i="11" s="1"/>
  <c r="O320" i="11"/>
  <c r="P320" i="11" s="1"/>
  <c r="M317" i="11"/>
  <c r="N317" i="11" s="1"/>
  <c r="K314" i="11"/>
  <c r="L314" i="11" s="1"/>
  <c r="I311" i="11"/>
  <c r="J311" i="11" s="1"/>
  <c r="I308" i="11"/>
  <c r="J308" i="11" s="1"/>
  <c r="M306" i="11"/>
  <c r="N306" i="11" s="1"/>
  <c r="M265" i="11"/>
  <c r="N265" i="11" s="1"/>
  <c r="K262" i="11"/>
  <c r="L262" i="11" s="1"/>
  <c r="G721" i="11"/>
  <c r="H721" i="11" s="1"/>
  <c r="M539" i="11"/>
  <c r="N539" i="11" s="1"/>
  <c r="K483" i="11"/>
  <c r="L483" i="11" s="1"/>
  <c r="K434" i="11"/>
  <c r="L434" i="11" s="1"/>
  <c r="G428" i="11"/>
  <c r="H428" i="11" s="1"/>
  <c r="G424" i="11"/>
  <c r="H424" i="11" s="1"/>
  <c r="O420" i="11"/>
  <c r="P420" i="11" s="1"/>
  <c r="M378" i="11"/>
  <c r="N378" i="11" s="1"/>
  <c r="I372" i="11"/>
  <c r="J372" i="11" s="1"/>
  <c r="O365" i="11"/>
  <c r="P365" i="11" s="1"/>
  <c r="M322" i="11"/>
  <c r="N322" i="11" s="1"/>
  <c r="K319" i="11"/>
  <c r="L319" i="11" s="1"/>
  <c r="I316" i="11"/>
  <c r="J316" i="11" s="1"/>
  <c r="G313" i="11"/>
  <c r="H313" i="11" s="1"/>
  <c r="O309" i="11"/>
  <c r="P309" i="11" s="1"/>
  <c r="I266" i="11"/>
  <c r="J266" i="11" s="1"/>
  <c r="G263" i="11"/>
  <c r="H263" i="11" s="1"/>
  <c r="O259" i="11"/>
  <c r="P259" i="11" s="1"/>
  <c r="M256" i="11"/>
  <c r="N256" i="11" s="1"/>
  <c r="K253" i="11"/>
  <c r="L253" i="11" s="1"/>
  <c r="I250" i="11"/>
  <c r="J250" i="11" s="1"/>
  <c r="M208" i="11"/>
  <c r="N208" i="11" s="1"/>
  <c r="K205" i="11"/>
  <c r="L205" i="11" s="1"/>
  <c r="I202" i="11"/>
  <c r="J202" i="11" s="1"/>
  <c r="M548" i="11"/>
  <c r="N548" i="11" s="1"/>
  <c r="I426" i="11"/>
  <c r="J426" i="11" s="1"/>
  <c r="M368" i="11"/>
  <c r="N368" i="11" s="1"/>
  <c r="I312" i="11"/>
  <c r="J312" i="11" s="1"/>
  <c r="O266" i="11"/>
  <c r="P266" i="11" s="1"/>
  <c r="I257" i="11"/>
  <c r="J257" i="11" s="1"/>
  <c r="O250" i="11"/>
  <c r="P250" i="11" s="1"/>
  <c r="M207" i="11"/>
  <c r="N207" i="11" s="1"/>
  <c r="I201" i="11"/>
  <c r="J201" i="11" s="1"/>
  <c r="K196" i="11"/>
  <c r="L196" i="11" s="1"/>
  <c r="G192" i="11"/>
  <c r="H192" i="11" s="1"/>
  <c r="I151" i="11"/>
  <c r="J151" i="11" s="1"/>
  <c r="O147" i="11"/>
  <c r="P147" i="11" s="1"/>
  <c r="M144" i="11"/>
  <c r="N144" i="11" s="1"/>
  <c r="K141" i="11"/>
  <c r="L141" i="11" s="1"/>
  <c r="I138" i="11"/>
  <c r="J138" i="11" s="1"/>
  <c r="G135" i="11"/>
  <c r="H135" i="11" s="1"/>
  <c r="I94" i="11"/>
  <c r="J94" i="11" s="1"/>
  <c r="G91" i="11"/>
  <c r="H91" i="11" s="1"/>
  <c r="O87" i="11"/>
  <c r="P87" i="11" s="1"/>
  <c r="M84" i="11"/>
  <c r="N84" i="11" s="1"/>
  <c r="K81" i="11"/>
  <c r="L81" i="11" s="1"/>
  <c r="I78" i="11"/>
  <c r="J78" i="11" s="1"/>
  <c r="K37" i="11"/>
  <c r="L37" i="11" s="1"/>
  <c r="I34" i="11"/>
  <c r="J34" i="11" s="1"/>
  <c r="G31" i="11"/>
  <c r="H31" i="11" s="1"/>
  <c r="O27" i="11"/>
  <c r="P27" i="11" s="1"/>
  <c r="M24" i="11"/>
  <c r="N24" i="11" s="1"/>
  <c r="K21" i="11"/>
  <c r="L21" i="11" s="1"/>
  <c r="O430" i="11"/>
  <c r="P430" i="11" s="1"/>
  <c r="K373" i="11"/>
  <c r="L373" i="11" s="1"/>
  <c r="I319" i="11"/>
  <c r="J319" i="11" s="1"/>
  <c r="I307" i="11"/>
  <c r="J307" i="11" s="1"/>
  <c r="K258" i="11"/>
  <c r="L258" i="11" s="1"/>
  <c r="G252" i="11"/>
  <c r="H252" i="11" s="1"/>
  <c r="I207" i="11"/>
  <c r="J207" i="11" s="1"/>
  <c r="O200" i="11"/>
  <c r="P200" i="11" s="1"/>
  <c r="G196" i="11"/>
  <c r="H196" i="11" s="1"/>
  <c r="M153" i="11"/>
  <c r="N153" i="11" s="1"/>
  <c r="K150" i="11"/>
  <c r="L150" i="11" s="1"/>
  <c r="O146" i="11"/>
  <c r="P146" i="11" s="1"/>
  <c r="M143" i="11"/>
  <c r="N143" i="11" s="1"/>
  <c r="K140" i="11"/>
  <c r="L140" i="11" s="1"/>
  <c r="I137" i="11"/>
  <c r="J137" i="11" s="1"/>
  <c r="M95" i="11"/>
  <c r="N95" i="11" s="1"/>
  <c r="K92" i="11"/>
  <c r="L92" i="11" s="1"/>
  <c r="I89" i="11"/>
  <c r="J89" i="11" s="1"/>
  <c r="G86" i="11"/>
  <c r="H86" i="11" s="1"/>
  <c r="O82" i="11"/>
  <c r="P82" i="11" s="1"/>
  <c r="M79" i="11"/>
  <c r="N79" i="11" s="1"/>
  <c r="O38" i="11"/>
  <c r="P38" i="11" s="1"/>
  <c r="M35" i="11"/>
  <c r="N35" i="11" s="1"/>
  <c r="K32" i="11"/>
  <c r="L32" i="11" s="1"/>
  <c r="I29" i="11"/>
  <c r="J29" i="11" s="1"/>
  <c r="G26" i="11"/>
  <c r="H26" i="11" s="1"/>
  <c r="O22" i="11"/>
  <c r="P22" i="11" s="1"/>
  <c r="O204" i="11"/>
  <c r="P204" i="11" s="1"/>
  <c r="K193" i="11"/>
  <c r="L193" i="11" s="1"/>
  <c r="K151" i="11"/>
  <c r="L151" i="11" s="1"/>
  <c r="K146" i="11"/>
  <c r="L146" i="11" s="1"/>
  <c r="G140" i="11"/>
  <c r="H140" i="11" s="1"/>
  <c r="K94" i="11"/>
  <c r="L94" i="11" s="1"/>
  <c r="I87" i="11"/>
  <c r="J87" i="11" s="1"/>
  <c r="G80" i="11"/>
  <c r="H80" i="11" s="1"/>
  <c r="K34" i="11"/>
  <c r="L34" i="11" s="1"/>
  <c r="K26" i="11"/>
  <c r="L26" i="11" s="1"/>
  <c r="K22" i="11"/>
  <c r="L22" i="11" s="1"/>
  <c r="M435" i="11"/>
  <c r="N435" i="11" s="1"/>
  <c r="I378" i="11"/>
  <c r="J378" i="11" s="1"/>
  <c r="M318" i="11"/>
  <c r="N318" i="11" s="1"/>
  <c r="O306" i="11"/>
  <c r="P306" i="11" s="1"/>
  <c r="G258" i="11"/>
  <c r="H258" i="11" s="1"/>
  <c r="M251" i="11"/>
  <c r="N251" i="11" s="1"/>
  <c r="O206" i="11"/>
  <c r="P206" i="11" s="1"/>
  <c r="K200" i="11"/>
  <c r="L200" i="11" s="1"/>
  <c r="O195" i="11"/>
  <c r="P195" i="11" s="1"/>
  <c r="K153" i="11"/>
  <c r="L153" i="11" s="1"/>
  <c r="I150" i="11"/>
  <c r="J150" i="11" s="1"/>
  <c r="K147" i="11"/>
  <c r="L147" i="11" s="1"/>
  <c r="I144" i="11"/>
  <c r="J144" i="11" s="1"/>
  <c r="G141" i="11"/>
  <c r="H141" i="11" s="1"/>
  <c r="O137" i="11"/>
  <c r="P137" i="11" s="1"/>
  <c r="I96" i="11"/>
  <c r="J96" i="11" s="1"/>
  <c r="G93" i="11"/>
  <c r="H93" i="11" s="1"/>
  <c r="O89" i="11"/>
  <c r="P89" i="11" s="1"/>
  <c r="M86" i="11"/>
  <c r="N86" i="11" s="1"/>
  <c r="K83" i="11"/>
  <c r="L83" i="11" s="1"/>
  <c r="I80" i="11"/>
  <c r="J80" i="11" s="1"/>
  <c r="M38" i="11"/>
  <c r="N38" i="11" s="1"/>
  <c r="K35" i="11"/>
  <c r="L35" i="11" s="1"/>
  <c r="I32" i="11"/>
  <c r="J32" i="11" s="1"/>
  <c r="G29" i="11"/>
  <c r="H29" i="11" s="1"/>
  <c r="O25" i="11"/>
  <c r="P25" i="11" s="1"/>
  <c r="M22" i="11"/>
  <c r="N22" i="11" s="1"/>
  <c r="M427" i="11"/>
  <c r="N427" i="11" s="1"/>
  <c r="I370" i="11"/>
  <c r="J370" i="11" s="1"/>
  <c r="K315" i="11"/>
  <c r="L315" i="11" s="1"/>
  <c r="K306" i="11"/>
  <c r="L306" i="11" s="1"/>
  <c r="I259" i="11"/>
  <c r="J259" i="11" s="1"/>
  <c r="O252" i="11"/>
  <c r="P252" i="11" s="1"/>
  <c r="K206" i="11"/>
  <c r="L206" i="11" s="1"/>
  <c r="M196" i="11"/>
  <c r="N196" i="11" s="1"/>
  <c r="I147" i="11"/>
  <c r="J147" i="11" s="1"/>
  <c r="O140" i="11"/>
  <c r="P140" i="11" s="1"/>
  <c r="I135" i="11"/>
  <c r="J135" i="11" s="1"/>
  <c r="G92" i="11"/>
  <c r="H92" i="11" s="1"/>
  <c r="K86" i="11"/>
  <c r="L86" i="11" s="1"/>
  <c r="O80" i="11"/>
  <c r="P80" i="11" s="1"/>
  <c r="G36" i="11"/>
  <c r="H36" i="11" s="1"/>
  <c r="I31" i="11"/>
  <c r="J31" i="11" s="1"/>
  <c r="M25" i="11"/>
  <c r="N25" i="11" s="1"/>
  <c r="K260" i="11"/>
  <c r="L260" i="11" s="1"/>
  <c r="K89" i="11"/>
  <c r="L89" i="11" s="1"/>
  <c r="G39" i="11"/>
  <c r="H39" i="11" s="1"/>
  <c r="O35" i="11"/>
  <c r="P35" i="11" s="1"/>
  <c r="I26" i="11"/>
  <c r="J26" i="11" s="1"/>
  <c r="I422" i="11"/>
  <c r="J422" i="11" s="1"/>
  <c r="I255" i="11"/>
  <c r="J255" i="11" s="1"/>
  <c r="G204" i="11"/>
  <c r="H204" i="11" s="1"/>
  <c r="M151" i="11"/>
  <c r="N151" i="11" s="1"/>
  <c r="G142" i="11"/>
  <c r="H142" i="11" s="1"/>
  <c r="G94" i="11"/>
  <c r="H94" i="11" s="1"/>
  <c r="M87" i="11"/>
  <c r="N87" i="11" s="1"/>
  <c r="G78" i="11"/>
  <c r="H78" i="11" s="1"/>
  <c r="O30" i="11"/>
  <c r="P30" i="11" s="1"/>
  <c r="I21" i="11"/>
  <c r="J21" i="11" s="1"/>
  <c r="M152" i="11"/>
  <c r="N152" i="11" s="1"/>
  <c r="G136" i="11"/>
  <c r="H136" i="11" s="1"/>
  <c r="K38" i="11"/>
  <c r="L38" i="11" s="1"/>
  <c r="K538" i="11"/>
  <c r="L538" i="11" s="1"/>
  <c r="K365" i="11"/>
  <c r="L365" i="11" s="1"/>
  <c r="O254" i="11"/>
  <c r="P254" i="11" s="1"/>
  <c r="G198" i="11"/>
  <c r="H198" i="11" s="1"/>
  <c r="G149" i="11"/>
  <c r="H149" i="11" s="1"/>
  <c r="M142" i="11"/>
  <c r="N142" i="11" s="1"/>
  <c r="M94" i="11"/>
  <c r="N94" i="11" s="1"/>
  <c r="G85" i="11"/>
  <c r="H85" i="11" s="1"/>
  <c r="G37" i="11"/>
  <c r="H37" i="11" s="1"/>
  <c r="K27" i="11"/>
  <c r="L27" i="11" s="1"/>
  <c r="G21" i="11"/>
  <c r="H21" i="11" s="1"/>
  <c r="I310" i="11"/>
  <c r="J310" i="11" s="1"/>
  <c r="M249" i="11"/>
  <c r="N249" i="11" s="1"/>
  <c r="K138" i="11"/>
  <c r="L138" i="11" s="1"/>
  <c r="I83" i="11"/>
  <c r="J83" i="11" s="1"/>
  <c r="M33" i="11"/>
  <c r="N33" i="11" s="1"/>
  <c r="O141" i="11"/>
  <c r="P141" i="11" s="1"/>
  <c r="K87" i="11"/>
  <c r="L87" i="11" s="1"/>
  <c r="K39" i="11"/>
  <c r="L39" i="11" s="1"/>
  <c r="O29" i="11"/>
  <c r="P29" i="11" s="1"/>
  <c r="K23" i="11"/>
  <c r="L23" i="11" s="1"/>
  <c r="G308" i="11"/>
  <c r="H308" i="11" s="1"/>
  <c r="M209" i="11"/>
  <c r="N209" i="11" s="1"/>
  <c r="K142" i="11"/>
  <c r="L142" i="11" s="1"/>
  <c r="M93" i="11"/>
  <c r="N93" i="11" s="1"/>
  <c r="M37" i="11"/>
  <c r="N37" i="11" s="1"/>
  <c r="G1007" i="11"/>
  <c r="H1007" i="11" s="1"/>
  <c r="M1003" i="11"/>
  <c r="N1003" i="11" s="1"/>
  <c r="O1000" i="11"/>
  <c r="P1000" i="11" s="1"/>
  <c r="I998" i="11"/>
  <c r="J998" i="11" s="1"/>
  <c r="I994" i="11"/>
  <c r="J994" i="11" s="1"/>
  <c r="M990" i="11"/>
  <c r="N990" i="11" s="1"/>
  <c r="O1006" i="11"/>
  <c r="P1006" i="11" s="1"/>
  <c r="G1004" i="11"/>
  <c r="H1004" i="11" s="1"/>
  <c r="K1001" i="11"/>
  <c r="L1001" i="11" s="1"/>
  <c r="K997" i="11"/>
  <c r="L997" i="11" s="1"/>
  <c r="G994" i="11"/>
  <c r="H994" i="11" s="1"/>
  <c r="K990" i="11"/>
  <c r="L990" i="11" s="1"/>
  <c r="O1005" i="11"/>
  <c r="P1005" i="11" s="1"/>
  <c r="K1002" i="11"/>
  <c r="L1002" i="11" s="1"/>
  <c r="M998" i="11"/>
  <c r="N998" i="11" s="1"/>
  <c r="O995" i="11"/>
  <c r="P995" i="11" s="1"/>
  <c r="G993" i="11"/>
  <c r="H993" i="11" s="1"/>
  <c r="I990" i="11"/>
  <c r="J990" i="11" s="1"/>
  <c r="M993" i="11"/>
  <c r="N993" i="11" s="1"/>
  <c r="O949" i="11"/>
  <c r="P949" i="11" s="1"/>
  <c r="I947" i="11"/>
  <c r="J947" i="11" s="1"/>
  <c r="K944" i="11"/>
  <c r="L944" i="11" s="1"/>
  <c r="K940" i="11"/>
  <c r="L940" i="11" s="1"/>
  <c r="G1001" i="11"/>
  <c r="H1001" i="11" s="1"/>
  <c r="G990" i="11"/>
  <c r="H990" i="11" s="1"/>
  <c r="G949" i="11"/>
  <c r="H949" i="11" s="1"/>
  <c r="M945" i="11"/>
  <c r="N945" i="11" s="1"/>
  <c r="K942" i="11"/>
  <c r="L942" i="11" s="1"/>
  <c r="G939" i="11"/>
  <c r="H939" i="11" s="1"/>
  <c r="O935" i="11"/>
  <c r="P935" i="11" s="1"/>
  <c r="G1003" i="11"/>
  <c r="H1003" i="11" s="1"/>
  <c r="M947" i="11"/>
  <c r="N947" i="11" s="1"/>
  <c r="K939" i="11"/>
  <c r="L939" i="11" s="1"/>
  <c r="K935" i="11"/>
  <c r="L935" i="11" s="1"/>
  <c r="G997" i="11"/>
  <c r="H997" i="11" s="1"/>
  <c r="O948" i="11"/>
  <c r="P948" i="11" s="1"/>
  <c r="G942" i="11"/>
  <c r="H942" i="11" s="1"/>
  <c r="O936" i="11"/>
  <c r="P936" i="11" s="1"/>
  <c r="K1000" i="11"/>
  <c r="L1000" i="11" s="1"/>
  <c r="K941" i="11"/>
  <c r="L941" i="11" s="1"/>
  <c r="M894" i="11"/>
  <c r="N894" i="11" s="1"/>
  <c r="O891" i="11"/>
  <c r="P891" i="11" s="1"/>
  <c r="I888" i="11"/>
  <c r="J888" i="11" s="1"/>
  <c r="K885" i="11"/>
  <c r="L885" i="11" s="1"/>
  <c r="O881" i="11"/>
  <c r="P881" i="11" s="1"/>
  <c r="K878" i="11"/>
  <c r="L878" i="11" s="1"/>
  <c r="O837" i="11"/>
  <c r="P837" i="11" s="1"/>
  <c r="M834" i="11"/>
  <c r="N834" i="11" s="1"/>
  <c r="K831" i="11"/>
  <c r="L831" i="11" s="1"/>
  <c r="M828" i="11"/>
  <c r="N828" i="11" s="1"/>
  <c r="O943" i="11"/>
  <c r="P943" i="11" s="1"/>
  <c r="K894" i="11"/>
  <c r="L894" i="11" s="1"/>
  <c r="M891" i="11"/>
  <c r="N891" i="11" s="1"/>
  <c r="G888" i="11"/>
  <c r="H888" i="11" s="1"/>
  <c r="I885" i="11"/>
  <c r="J885" i="11" s="1"/>
  <c r="M881" i="11"/>
  <c r="N881" i="11" s="1"/>
  <c r="O878" i="11"/>
  <c r="P878" i="11" s="1"/>
  <c r="M837" i="11"/>
  <c r="N837" i="11" s="1"/>
  <c r="K834" i="11"/>
  <c r="L834" i="11" s="1"/>
  <c r="I831" i="11"/>
  <c r="J831" i="11" s="1"/>
  <c r="O950" i="11"/>
  <c r="P950" i="11" s="1"/>
  <c r="K933" i="11"/>
  <c r="L933" i="11" s="1"/>
  <c r="K889" i="11"/>
  <c r="L889" i="11" s="1"/>
  <c r="I882" i="11"/>
  <c r="J882" i="11" s="1"/>
  <c r="K837" i="11"/>
  <c r="L837" i="11" s="1"/>
  <c r="G831" i="11"/>
  <c r="H831" i="11" s="1"/>
  <c r="M827" i="11"/>
  <c r="N827" i="11" s="1"/>
  <c r="I825" i="11"/>
  <c r="J825" i="11" s="1"/>
  <c r="M823" i="11"/>
  <c r="N823" i="11" s="1"/>
  <c r="G822" i="11"/>
  <c r="H822" i="11" s="1"/>
  <c r="K820" i="11"/>
  <c r="L820" i="11" s="1"/>
  <c r="O780" i="11"/>
  <c r="P780" i="11" s="1"/>
  <c r="M777" i="11"/>
  <c r="N777" i="11" s="1"/>
  <c r="K774" i="11"/>
  <c r="L774" i="11" s="1"/>
  <c r="I771" i="11"/>
  <c r="J771" i="11" s="1"/>
  <c r="M950" i="11"/>
  <c r="N950" i="11" s="1"/>
  <c r="I933" i="11"/>
  <c r="J933" i="11" s="1"/>
  <c r="M890" i="11"/>
  <c r="N890" i="11" s="1"/>
  <c r="K883" i="11"/>
  <c r="L883" i="11" s="1"/>
  <c r="K877" i="11"/>
  <c r="L877" i="11" s="1"/>
  <c r="K833" i="11"/>
  <c r="L833" i="11" s="1"/>
  <c r="G827" i="11"/>
  <c r="H827" i="11" s="1"/>
  <c r="G779" i="11"/>
  <c r="H779" i="11" s="1"/>
  <c r="O775" i="11"/>
  <c r="P775" i="11" s="1"/>
  <c r="M772" i="11"/>
  <c r="N772" i="11" s="1"/>
  <c r="K769" i="11"/>
  <c r="L769" i="11" s="1"/>
  <c r="I766" i="11"/>
  <c r="J766" i="11" s="1"/>
  <c r="M762" i="11"/>
  <c r="N762" i="11" s="1"/>
  <c r="O934" i="11"/>
  <c r="P934" i="11" s="1"/>
  <c r="K884" i="11"/>
  <c r="L884" i="11" s="1"/>
  <c r="I834" i="11"/>
  <c r="J834" i="11" s="1"/>
  <c r="G825" i="11"/>
  <c r="H825" i="11" s="1"/>
  <c r="O821" i="11"/>
  <c r="P821" i="11" s="1"/>
  <c r="K780" i="11"/>
  <c r="L780" i="11" s="1"/>
  <c r="G774" i="11"/>
  <c r="H774" i="11" s="1"/>
  <c r="G768" i="11"/>
  <c r="H768" i="11" s="1"/>
  <c r="G764" i="11"/>
  <c r="H764" i="11" s="1"/>
  <c r="G722" i="11"/>
  <c r="H722" i="11" s="1"/>
  <c r="G719" i="11"/>
  <c r="H719" i="11" s="1"/>
  <c r="O715" i="11"/>
  <c r="P715" i="11" s="1"/>
  <c r="M712" i="11"/>
  <c r="N712" i="11" s="1"/>
  <c r="M709" i="11"/>
  <c r="N709" i="11" s="1"/>
  <c r="K706" i="11"/>
  <c r="L706" i="11" s="1"/>
  <c r="O664" i="11"/>
  <c r="P664" i="11" s="1"/>
  <c r="M661" i="11"/>
  <c r="N661" i="11" s="1"/>
  <c r="K658" i="11"/>
  <c r="L658" i="11" s="1"/>
  <c r="I655" i="11"/>
  <c r="J655" i="11" s="1"/>
  <c r="G652" i="11"/>
  <c r="H652" i="11" s="1"/>
  <c r="O648" i="11"/>
  <c r="P648" i="11" s="1"/>
  <c r="G608" i="11"/>
  <c r="H608" i="11" s="1"/>
  <c r="K604" i="11"/>
  <c r="L604" i="11" s="1"/>
  <c r="I601" i="11"/>
  <c r="J601" i="11" s="1"/>
  <c r="G598" i="11"/>
  <c r="H598" i="11" s="1"/>
  <c r="O594" i="11"/>
  <c r="P594" i="11" s="1"/>
  <c r="M591" i="11"/>
  <c r="N591" i="11" s="1"/>
  <c r="M934" i="11"/>
  <c r="N934" i="11" s="1"/>
  <c r="K881" i="11"/>
  <c r="L881" i="11" s="1"/>
  <c r="O827" i="11"/>
  <c r="P827" i="11" s="1"/>
  <c r="K775" i="11"/>
  <c r="L775" i="11" s="1"/>
  <c r="G769" i="11"/>
  <c r="H769" i="11" s="1"/>
  <c r="O763" i="11"/>
  <c r="P763" i="11" s="1"/>
  <c r="M722" i="11"/>
  <c r="N722" i="11" s="1"/>
  <c r="K719" i="11"/>
  <c r="L719" i="11" s="1"/>
  <c r="I716" i="11"/>
  <c r="J716" i="11" s="1"/>
  <c r="G713" i="11"/>
  <c r="H713" i="11" s="1"/>
  <c r="K709" i="11"/>
  <c r="L709" i="11" s="1"/>
  <c r="I706" i="11"/>
  <c r="J706" i="11" s="1"/>
  <c r="M664" i="11"/>
  <c r="N664" i="11" s="1"/>
  <c r="K661" i="11"/>
  <c r="L661" i="11" s="1"/>
  <c r="I658" i="11"/>
  <c r="J658" i="11" s="1"/>
  <c r="G655" i="11"/>
  <c r="H655" i="11" s="1"/>
  <c r="O651" i="11"/>
  <c r="P651" i="11" s="1"/>
  <c r="M648" i="11"/>
  <c r="N648" i="11" s="1"/>
  <c r="G607" i="11"/>
  <c r="H607" i="11" s="1"/>
  <c r="I604" i="11"/>
  <c r="J604" i="11" s="1"/>
  <c r="G601" i="11"/>
  <c r="H601" i="11" s="1"/>
  <c r="O597" i="11"/>
  <c r="P597" i="11" s="1"/>
  <c r="M594" i="11"/>
  <c r="N594" i="11" s="1"/>
  <c r="K591" i="11"/>
  <c r="L591" i="11" s="1"/>
  <c r="G833" i="11"/>
  <c r="H833" i="11" s="1"/>
  <c r="K821" i="11"/>
  <c r="L821" i="11" s="1"/>
  <c r="M771" i="11"/>
  <c r="N771" i="11" s="1"/>
  <c r="G723" i="11"/>
  <c r="H723" i="11" s="1"/>
  <c r="G715" i="11"/>
  <c r="H715" i="11" s="1"/>
  <c r="K708" i="11"/>
  <c r="L708" i="11" s="1"/>
  <c r="I665" i="11"/>
  <c r="J665" i="11" s="1"/>
  <c r="O658" i="11"/>
  <c r="P658" i="11" s="1"/>
  <c r="K652" i="11"/>
  <c r="L652" i="11" s="1"/>
  <c r="M607" i="11"/>
  <c r="N607" i="11" s="1"/>
  <c r="I602" i="11"/>
  <c r="J602" i="11" s="1"/>
  <c r="O595" i="11"/>
  <c r="P595" i="11" s="1"/>
  <c r="G551" i="11"/>
  <c r="H551" i="11" s="1"/>
  <c r="O547" i="11"/>
  <c r="P547" i="11" s="1"/>
  <c r="M544" i="11"/>
  <c r="N544" i="11" s="1"/>
  <c r="K541" i="11"/>
  <c r="L541" i="11" s="1"/>
  <c r="I538" i="11"/>
  <c r="J538" i="11" s="1"/>
  <c r="G535" i="11"/>
  <c r="H535" i="11" s="1"/>
  <c r="K493" i="11"/>
  <c r="L493" i="11" s="1"/>
  <c r="I490" i="11"/>
  <c r="J490" i="11" s="1"/>
  <c r="G487" i="11"/>
  <c r="H487" i="11" s="1"/>
  <c r="O483" i="11"/>
  <c r="P483" i="11" s="1"/>
  <c r="M480" i="11"/>
  <c r="N480" i="11" s="1"/>
  <c r="K477" i="11"/>
  <c r="L477" i="11" s="1"/>
  <c r="O882" i="11"/>
  <c r="P882" i="11" s="1"/>
  <c r="O777" i="11"/>
  <c r="P777" i="11" s="1"/>
  <c r="G766" i="11"/>
  <c r="H766" i="11" s="1"/>
  <c r="I720" i="11"/>
  <c r="J720" i="11" s="1"/>
  <c r="O713" i="11"/>
  <c r="P713" i="11" s="1"/>
  <c r="I708" i="11"/>
  <c r="J708" i="11" s="1"/>
  <c r="G665" i="11"/>
  <c r="H665" i="11" s="1"/>
  <c r="M658" i="11"/>
  <c r="N658" i="11" s="1"/>
  <c r="I652" i="11"/>
  <c r="J652" i="11" s="1"/>
  <c r="K607" i="11"/>
  <c r="L607" i="11" s="1"/>
  <c r="O600" i="11"/>
  <c r="P600" i="11" s="1"/>
  <c r="K594" i="11"/>
  <c r="L594" i="11" s="1"/>
  <c r="O550" i="11"/>
  <c r="P550" i="11" s="1"/>
  <c r="M547" i="11"/>
  <c r="N547" i="11" s="1"/>
  <c r="K544" i="11"/>
  <c r="L544" i="11" s="1"/>
  <c r="I541" i="11"/>
  <c r="J541" i="11" s="1"/>
  <c r="G538" i="11"/>
  <c r="H538" i="11" s="1"/>
  <c r="O534" i="11"/>
  <c r="P534" i="11" s="1"/>
  <c r="M494" i="11"/>
  <c r="N494" i="11" s="1"/>
  <c r="K491" i="11"/>
  <c r="L491" i="11" s="1"/>
  <c r="I488" i="11"/>
  <c r="J488" i="11" s="1"/>
  <c r="G485" i="11"/>
  <c r="H485" i="11" s="1"/>
  <c r="O481" i="11"/>
  <c r="P481" i="11" s="1"/>
  <c r="M478" i="11"/>
  <c r="N478" i="11" s="1"/>
  <c r="O885" i="11"/>
  <c r="P885" i="11" s="1"/>
  <c r="K830" i="11"/>
  <c r="L830" i="11" s="1"/>
  <c r="I822" i="11"/>
  <c r="J822" i="11" s="1"/>
  <c r="K776" i="11"/>
  <c r="L776" i="11" s="1"/>
  <c r="K765" i="11"/>
  <c r="L765" i="11" s="1"/>
  <c r="I721" i="11"/>
  <c r="J721" i="11" s="1"/>
  <c r="M715" i="11"/>
  <c r="N715" i="11" s="1"/>
  <c r="I709" i="11"/>
  <c r="J709" i="11" s="1"/>
  <c r="K664" i="11"/>
  <c r="L664" i="11" s="1"/>
  <c r="G658" i="11"/>
  <c r="H658" i="11" s="1"/>
  <c r="M651" i="11"/>
  <c r="N651" i="11" s="1"/>
  <c r="O606" i="11"/>
  <c r="P606" i="11" s="1"/>
  <c r="I600" i="11"/>
  <c r="J600" i="11" s="1"/>
  <c r="O593" i="11"/>
  <c r="P593" i="11" s="1"/>
  <c r="G773" i="11"/>
  <c r="H773" i="11" s="1"/>
  <c r="O665" i="11"/>
  <c r="P665" i="11" s="1"/>
  <c r="M602" i="11"/>
  <c r="N602" i="11" s="1"/>
  <c r="K549" i="11"/>
  <c r="L549" i="11" s="1"/>
  <c r="G543" i="11"/>
  <c r="H543" i="11" s="1"/>
  <c r="M536" i="11"/>
  <c r="N536" i="11" s="1"/>
  <c r="K494" i="11"/>
  <c r="L494" i="11" s="1"/>
  <c r="G488" i="11"/>
  <c r="H488" i="11" s="1"/>
  <c r="M481" i="11"/>
  <c r="N481" i="11" s="1"/>
  <c r="O380" i="11"/>
  <c r="P380" i="11" s="1"/>
  <c r="M377" i="11"/>
  <c r="N377" i="11" s="1"/>
  <c r="K374" i="11"/>
  <c r="L374" i="11" s="1"/>
  <c r="I371" i="11"/>
  <c r="J371" i="11" s="1"/>
  <c r="G368" i="11"/>
  <c r="H368" i="11" s="1"/>
  <c r="O364" i="11"/>
  <c r="P364" i="11" s="1"/>
  <c r="O769" i="11"/>
  <c r="P769" i="11" s="1"/>
  <c r="G709" i="11"/>
  <c r="H709" i="11" s="1"/>
  <c r="M606" i="11"/>
  <c r="N606" i="11" s="1"/>
  <c r="M550" i="11"/>
  <c r="N550" i="11" s="1"/>
  <c r="I544" i="11"/>
  <c r="J544" i="11" s="1"/>
  <c r="O537" i="11"/>
  <c r="P537" i="11" s="1"/>
  <c r="G493" i="11"/>
  <c r="H493" i="11" s="1"/>
  <c r="M486" i="11"/>
  <c r="N486" i="11" s="1"/>
  <c r="I480" i="11"/>
  <c r="J480" i="11" s="1"/>
  <c r="I438" i="11"/>
  <c r="J438" i="11" s="1"/>
  <c r="M436" i="11"/>
  <c r="N436" i="11" s="1"/>
  <c r="G435" i="11"/>
  <c r="H435" i="11" s="1"/>
  <c r="K433" i="11"/>
  <c r="L433" i="11" s="1"/>
  <c r="O431" i="11"/>
  <c r="P431" i="11" s="1"/>
  <c r="I430" i="11"/>
  <c r="J430" i="11" s="1"/>
  <c r="M428" i="11"/>
  <c r="N428" i="11" s="1"/>
  <c r="G427" i="11"/>
  <c r="H427" i="11" s="1"/>
  <c r="I767" i="11"/>
  <c r="J767" i="11" s="1"/>
  <c r="M662" i="11"/>
  <c r="N662" i="11" s="1"/>
  <c r="G600" i="11"/>
  <c r="H600" i="11" s="1"/>
  <c r="O548" i="11"/>
  <c r="P548" i="11" s="1"/>
  <c r="K542" i="11"/>
  <c r="L542" i="11" s="1"/>
  <c r="G536" i="11"/>
  <c r="H536" i="11" s="1"/>
  <c r="I491" i="11"/>
  <c r="J491" i="11" s="1"/>
  <c r="O484" i="11"/>
  <c r="P484" i="11" s="1"/>
  <c r="K478" i="11"/>
  <c r="L478" i="11" s="1"/>
  <c r="O378" i="11"/>
  <c r="P378" i="11" s="1"/>
  <c r="M375" i="11"/>
  <c r="N375" i="11" s="1"/>
  <c r="K372" i="11"/>
  <c r="L372" i="11" s="1"/>
  <c r="I369" i="11"/>
  <c r="J369" i="11" s="1"/>
  <c r="G366" i="11"/>
  <c r="H366" i="11" s="1"/>
  <c r="I830" i="11"/>
  <c r="J830" i="11" s="1"/>
  <c r="K552" i="11"/>
  <c r="L552" i="11" s="1"/>
  <c r="O480" i="11"/>
  <c r="P480" i="11" s="1"/>
  <c r="M433" i="11"/>
  <c r="N433" i="11" s="1"/>
  <c r="I427" i="11"/>
  <c r="J427" i="11" s="1"/>
  <c r="M423" i="11"/>
  <c r="N423" i="11" s="1"/>
  <c r="K420" i="11"/>
  <c r="L420" i="11" s="1"/>
  <c r="I376" i="11"/>
  <c r="J376" i="11" s="1"/>
  <c r="O369" i="11"/>
  <c r="P369" i="11" s="1"/>
  <c r="K363" i="11"/>
  <c r="L363" i="11" s="1"/>
  <c r="I322" i="11"/>
  <c r="J322" i="11" s="1"/>
  <c r="G319" i="11"/>
  <c r="H319" i="11" s="1"/>
  <c r="O315" i="11"/>
  <c r="P315" i="11" s="1"/>
  <c r="M312" i="11"/>
  <c r="N312" i="11" s="1"/>
  <c r="K309" i="11"/>
  <c r="L309" i="11" s="1"/>
  <c r="O265" i="11"/>
  <c r="P265" i="11" s="1"/>
  <c r="M262" i="11"/>
  <c r="N262" i="11" s="1"/>
  <c r="K259" i="11"/>
  <c r="L259" i="11" s="1"/>
  <c r="I256" i="11"/>
  <c r="J256" i="11" s="1"/>
  <c r="G253" i="11"/>
  <c r="H253" i="11" s="1"/>
  <c r="O249" i="11"/>
  <c r="P249" i="11" s="1"/>
  <c r="G209" i="11"/>
  <c r="H209" i="11" s="1"/>
  <c r="O205" i="11"/>
  <c r="P205" i="11" s="1"/>
  <c r="M202" i="11"/>
  <c r="N202" i="11" s="1"/>
  <c r="K199" i="11"/>
  <c r="L199" i="11" s="1"/>
  <c r="I196" i="11"/>
  <c r="J196" i="11" s="1"/>
  <c r="G193" i="11"/>
  <c r="H193" i="11" s="1"/>
  <c r="O705" i="11"/>
  <c r="P705" i="11" s="1"/>
  <c r="G546" i="11"/>
  <c r="H546" i="11" s="1"/>
  <c r="O489" i="11"/>
  <c r="P489" i="11" s="1"/>
  <c r="O434" i="11"/>
  <c r="P434" i="11" s="1"/>
  <c r="K428" i="11"/>
  <c r="L428" i="11" s="1"/>
  <c r="I424" i="11"/>
  <c r="J424" i="11" s="1"/>
  <c r="G421" i="11"/>
  <c r="H421" i="11" s="1"/>
  <c r="K377" i="11"/>
  <c r="L377" i="11" s="1"/>
  <c r="G371" i="11"/>
  <c r="H371" i="11" s="1"/>
  <c r="M364" i="11"/>
  <c r="N364" i="11" s="1"/>
  <c r="K323" i="11"/>
  <c r="L323" i="11" s="1"/>
  <c r="I320" i="11"/>
  <c r="J320" i="11" s="1"/>
  <c r="G317" i="11"/>
  <c r="H317" i="11" s="1"/>
  <c r="O313" i="11"/>
  <c r="P313" i="11" s="1"/>
  <c r="M310" i="11"/>
  <c r="N310" i="11" s="1"/>
  <c r="O307" i="11"/>
  <c r="P307" i="11" s="1"/>
  <c r="I306" i="11"/>
  <c r="J306" i="11" s="1"/>
  <c r="O264" i="11"/>
  <c r="P264" i="11" s="1"/>
  <c r="M261" i="11"/>
  <c r="N261" i="11" s="1"/>
  <c r="I648" i="11"/>
  <c r="J648" i="11" s="1"/>
  <c r="M534" i="11"/>
  <c r="N534" i="11" s="1"/>
  <c r="I478" i="11"/>
  <c r="J478" i="11" s="1"/>
  <c r="O432" i="11"/>
  <c r="P432" i="11" s="1"/>
  <c r="K426" i="11"/>
  <c r="L426" i="11" s="1"/>
  <c r="I423" i="11"/>
  <c r="J423" i="11" s="1"/>
  <c r="G420" i="11"/>
  <c r="H420" i="11" s="1"/>
  <c r="G377" i="11"/>
  <c r="H377" i="11" s="1"/>
  <c r="M370" i="11"/>
  <c r="N370" i="11" s="1"/>
  <c r="I364" i="11"/>
  <c r="J364" i="11" s="1"/>
  <c r="G322" i="11"/>
  <c r="H322" i="11" s="1"/>
  <c r="O318" i="11"/>
  <c r="P318" i="11" s="1"/>
  <c r="M315" i="11"/>
  <c r="N315" i="11" s="1"/>
  <c r="K312" i="11"/>
  <c r="L312" i="11" s="1"/>
  <c r="I309" i="11"/>
  <c r="J309" i="11" s="1"/>
  <c r="K265" i="11"/>
  <c r="L265" i="11" s="1"/>
  <c r="I262" i="11"/>
  <c r="J262" i="11" s="1"/>
  <c r="G259" i="11"/>
  <c r="H259" i="11" s="1"/>
  <c r="O255" i="11"/>
  <c r="P255" i="11" s="1"/>
  <c r="M252" i="11"/>
  <c r="N252" i="11" s="1"/>
  <c r="K249" i="11"/>
  <c r="L249" i="11" s="1"/>
  <c r="O207" i="11"/>
  <c r="P207" i="11" s="1"/>
  <c r="M204" i="11"/>
  <c r="N204" i="11" s="1"/>
  <c r="K201" i="11"/>
  <c r="L201" i="11" s="1"/>
  <c r="I487" i="11"/>
  <c r="J487" i="11" s="1"/>
  <c r="G423" i="11"/>
  <c r="H423" i="11" s="1"/>
  <c r="K322" i="11"/>
  <c r="L322" i="11" s="1"/>
  <c r="M309" i="11"/>
  <c r="N309" i="11" s="1"/>
  <c r="M263" i="11"/>
  <c r="N263" i="11" s="1"/>
  <c r="M255" i="11"/>
  <c r="N255" i="11" s="1"/>
  <c r="I249" i="11"/>
  <c r="J249" i="11" s="1"/>
  <c r="G206" i="11"/>
  <c r="H206" i="11" s="1"/>
  <c r="M199" i="11"/>
  <c r="N199" i="11" s="1"/>
  <c r="I195" i="11"/>
  <c r="J195" i="11" s="1"/>
  <c r="O153" i="11"/>
  <c r="P153" i="11" s="1"/>
  <c r="M150" i="11"/>
  <c r="N150" i="11" s="1"/>
  <c r="G147" i="11"/>
  <c r="H147" i="11" s="1"/>
  <c r="O143" i="11"/>
  <c r="P143" i="11" s="1"/>
  <c r="M140" i="11"/>
  <c r="N140" i="11" s="1"/>
  <c r="K137" i="11"/>
  <c r="L137" i="11" s="1"/>
  <c r="M96" i="11"/>
  <c r="N96" i="11" s="1"/>
  <c r="K93" i="11"/>
  <c r="L93" i="11" s="1"/>
  <c r="I90" i="11"/>
  <c r="J90" i="11" s="1"/>
  <c r="G87" i="11"/>
  <c r="H87" i="11" s="1"/>
  <c r="O83" i="11"/>
  <c r="P83" i="11" s="1"/>
  <c r="M80" i="11"/>
  <c r="N80" i="11" s="1"/>
  <c r="O39" i="11"/>
  <c r="P39" i="11" s="1"/>
  <c r="M36" i="11"/>
  <c r="N36" i="11" s="1"/>
  <c r="K33" i="11"/>
  <c r="L33" i="11" s="1"/>
  <c r="I30" i="11"/>
  <c r="J30" i="11" s="1"/>
  <c r="G27" i="11"/>
  <c r="H27" i="11" s="1"/>
  <c r="O23" i="11"/>
  <c r="P23" i="11" s="1"/>
  <c r="M593" i="11"/>
  <c r="N593" i="11" s="1"/>
  <c r="K425" i="11"/>
  <c r="L425" i="11" s="1"/>
  <c r="G367" i="11"/>
  <c r="H367" i="11" s="1"/>
  <c r="M316" i="11"/>
  <c r="N316" i="11" s="1"/>
  <c r="G266" i="11"/>
  <c r="H266" i="11" s="1"/>
  <c r="O256" i="11"/>
  <c r="P256" i="11" s="1"/>
  <c r="K250" i="11"/>
  <c r="L250" i="11" s="1"/>
  <c r="M205" i="11"/>
  <c r="N205" i="11" s="1"/>
  <c r="I199" i="11"/>
  <c r="J199" i="11" s="1"/>
  <c r="G195" i="11"/>
  <c r="H195" i="11" s="1"/>
  <c r="G153" i="11"/>
  <c r="H153" i="11" s="1"/>
  <c r="O149" i="11"/>
  <c r="P149" i="11" s="1"/>
  <c r="G146" i="11"/>
  <c r="H146" i="11" s="1"/>
  <c r="O142" i="11"/>
  <c r="P142" i="11" s="1"/>
  <c r="M139" i="11"/>
  <c r="N139" i="11" s="1"/>
  <c r="K136" i="11"/>
  <c r="L136" i="11" s="1"/>
  <c r="O94" i="11"/>
  <c r="P94" i="11" s="1"/>
  <c r="M91" i="11"/>
  <c r="N91" i="11" s="1"/>
  <c r="K88" i="11"/>
  <c r="L88" i="11" s="1"/>
  <c r="I85" i="11"/>
  <c r="J85" i="11" s="1"/>
  <c r="G82" i="11"/>
  <c r="H82" i="11" s="1"/>
  <c r="O78" i="11"/>
  <c r="P78" i="11" s="1"/>
  <c r="G38" i="11"/>
  <c r="H38" i="11" s="1"/>
  <c r="O34" i="11"/>
  <c r="P34" i="11" s="1"/>
  <c r="M31" i="11"/>
  <c r="N31" i="11" s="1"/>
  <c r="K28" i="11"/>
  <c r="L28" i="11" s="1"/>
  <c r="I25" i="11"/>
  <c r="J25" i="11" s="1"/>
  <c r="G22" i="11"/>
  <c r="H22" i="11" s="1"/>
  <c r="M201" i="11"/>
  <c r="N201" i="11" s="1"/>
  <c r="I153" i="11"/>
  <c r="J153" i="11" s="1"/>
  <c r="G150" i="11"/>
  <c r="H150" i="11" s="1"/>
  <c r="O144" i="11"/>
  <c r="P144" i="11" s="1"/>
  <c r="M137" i="11"/>
  <c r="N137" i="11" s="1"/>
  <c r="O92" i="11"/>
  <c r="P92" i="11" s="1"/>
  <c r="M85" i="11"/>
  <c r="N85" i="11" s="1"/>
  <c r="K78" i="11"/>
  <c r="L78" i="11" s="1"/>
  <c r="O32" i="11"/>
  <c r="P32" i="11" s="1"/>
  <c r="O24" i="11"/>
  <c r="P24" i="11" s="1"/>
  <c r="M21" i="11"/>
  <c r="N21" i="11" s="1"/>
  <c r="I429" i="11"/>
  <c r="J429" i="11" s="1"/>
  <c r="O371" i="11"/>
  <c r="P371" i="11" s="1"/>
  <c r="G316" i="11"/>
  <c r="H316" i="11" s="1"/>
  <c r="I265" i="11"/>
  <c r="J265" i="11" s="1"/>
  <c r="K256" i="11"/>
  <c r="L256" i="11" s="1"/>
  <c r="G250" i="11"/>
  <c r="H250" i="11" s="1"/>
  <c r="I205" i="11"/>
  <c r="J205" i="11" s="1"/>
  <c r="G199" i="11"/>
  <c r="H199" i="11" s="1"/>
  <c r="O194" i="11"/>
  <c r="P194" i="11" s="1"/>
  <c r="O152" i="11"/>
  <c r="P152" i="11" s="1"/>
  <c r="M149" i="11"/>
  <c r="N149" i="11" s="1"/>
  <c r="M146" i="11"/>
  <c r="N146" i="11" s="1"/>
  <c r="K143" i="11"/>
  <c r="L143" i="11" s="1"/>
  <c r="I140" i="11"/>
  <c r="J140" i="11" s="1"/>
  <c r="G137" i="11"/>
  <c r="H137" i="11" s="1"/>
  <c r="K95" i="11"/>
  <c r="L95" i="11" s="1"/>
  <c r="I92" i="11"/>
  <c r="J92" i="11" s="1"/>
  <c r="G89" i="11"/>
  <c r="H89" i="11" s="1"/>
  <c r="O85" i="11"/>
  <c r="P85" i="11" s="1"/>
  <c r="M82" i="11"/>
  <c r="N82" i="11" s="1"/>
  <c r="K79" i="11"/>
  <c r="L79" i="11" s="1"/>
  <c r="O37" i="11"/>
  <c r="P37" i="11" s="1"/>
  <c r="M34" i="11"/>
  <c r="N34" i="11" s="1"/>
  <c r="K31" i="11"/>
  <c r="L31" i="11" s="1"/>
  <c r="I28" i="11"/>
  <c r="J28" i="11" s="1"/>
  <c r="G25" i="11"/>
  <c r="H25" i="11" s="1"/>
  <c r="O21" i="11"/>
  <c r="P21" i="11" s="1"/>
  <c r="O423" i="11"/>
  <c r="P423" i="11" s="1"/>
  <c r="O363" i="11"/>
  <c r="P363" i="11" s="1"/>
  <c r="O312" i="11"/>
  <c r="P312" i="11" s="1"/>
  <c r="M267" i="11"/>
  <c r="N267" i="11" s="1"/>
  <c r="M257" i="11"/>
  <c r="N257" i="11" s="1"/>
  <c r="I251" i="11"/>
  <c r="J251" i="11" s="1"/>
  <c r="I203" i="11"/>
  <c r="J203" i="11" s="1"/>
  <c r="K194" i="11"/>
  <c r="L194" i="11" s="1"/>
  <c r="M145" i="11"/>
  <c r="N145" i="11" s="1"/>
  <c r="I139" i="11"/>
  <c r="J139" i="11" s="1"/>
  <c r="O96" i="11"/>
  <c r="P96" i="11" s="1"/>
  <c r="I91" i="11"/>
  <c r="J91" i="11" s="1"/>
  <c r="O84" i="11"/>
  <c r="P84" i="11" s="1"/>
  <c r="I79" i="11"/>
  <c r="J79" i="11" s="1"/>
  <c r="I35" i="11"/>
  <c r="J35" i="11" s="1"/>
  <c r="M29" i="11"/>
  <c r="N29" i="11" s="1"/>
  <c r="M307" i="11"/>
  <c r="N307" i="11" s="1"/>
  <c r="I86" i="11"/>
  <c r="J86" i="11" s="1"/>
  <c r="O79" i="11"/>
  <c r="P79" i="11" s="1"/>
  <c r="M32" i="11"/>
  <c r="N32" i="11" s="1"/>
  <c r="G23" i="11"/>
  <c r="H23" i="11" s="1"/>
  <c r="K324" i="11"/>
  <c r="L324" i="11" s="1"/>
  <c r="O262" i="11"/>
  <c r="P262" i="11" s="1"/>
  <c r="K210" i="11"/>
  <c r="L210" i="11" s="1"/>
  <c r="G194" i="11"/>
  <c r="H194" i="11" s="1"/>
  <c r="I145" i="11"/>
  <c r="J145" i="11" s="1"/>
  <c r="M135" i="11"/>
  <c r="N135" i="11" s="1"/>
  <c r="O90" i="11"/>
  <c r="P90" i="11" s="1"/>
  <c r="I81" i="11"/>
  <c r="J81" i="11" s="1"/>
  <c r="G34" i="11"/>
  <c r="H34" i="11" s="1"/>
  <c r="K24" i="11"/>
  <c r="L24" i="11" s="1"/>
  <c r="M197" i="11"/>
  <c r="N197" i="11" s="1"/>
  <c r="I143" i="11"/>
  <c r="J143" i="11" s="1"/>
  <c r="G84" i="11"/>
  <c r="H84" i="11" s="1"/>
  <c r="G24" i="11"/>
  <c r="H24" i="11" s="1"/>
  <c r="M424" i="11"/>
  <c r="N424" i="11" s="1"/>
  <c r="G262" i="11"/>
  <c r="H262" i="11" s="1"/>
  <c r="M203" i="11"/>
  <c r="N203" i="11" s="1"/>
  <c r="M193" i="11"/>
  <c r="N193" i="11" s="1"/>
  <c r="O145" i="11"/>
  <c r="P145" i="11" s="1"/>
  <c r="I136" i="11"/>
  <c r="J136" i="11" s="1"/>
  <c r="I88" i="11"/>
  <c r="J88" i="11" s="1"/>
  <c r="O81" i="11"/>
  <c r="P81" i="11" s="1"/>
  <c r="O33" i="11"/>
  <c r="P33" i="11" s="1"/>
  <c r="I24" i="11"/>
  <c r="J24" i="11" s="1"/>
  <c r="G323" i="11"/>
  <c r="H323" i="11" s="1"/>
  <c r="K264" i="11"/>
  <c r="L264" i="11" s="1"/>
  <c r="G200" i="11"/>
  <c r="H200" i="11" s="1"/>
  <c r="G144" i="11"/>
  <c r="H144" i="11" s="1"/>
  <c r="M89" i="11"/>
  <c r="N89" i="11" s="1"/>
  <c r="I39" i="11"/>
  <c r="J39" i="11" s="1"/>
  <c r="G145" i="11"/>
  <c r="H145" i="11" s="1"/>
  <c r="I84" i="11"/>
  <c r="J84" i="11" s="1"/>
  <c r="I36" i="11"/>
  <c r="J36" i="11" s="1"/>
  <c r="M26" i="11"/>
  <c r="N26" i="11" s="1"/>
  <c r="G434" i="11"/>
  <c r="H434" i="11" s="1"/>
  <c r="G318" i="11"/>
  <c r="H318" i="11" s="1"/>
  <c r="K254" i="11"/>
  <c r="L254" i="11" s="1"/>
  <c r="O198" i="11"/>
  <c r="P198" i="11" s="1"/>
  <c r="O136" i="11"/>
  <c r="P136" i="11" s="1"/>
  <c r="K82" i="11"/>
  <c r="L82" i="11" s="1"/>
  <c r="I27" i="11"/>
  <c r="J27" i="11" s="1"/>
  <c r="I1006" i="11"/>
  <c r="J1006" i="11" s="1"/>
  <c r="O1002" i="11"/>
  <c r="P1002" i="11" s="1"/>
  <c r="I1000" i="11"/>
  <c r="J1000" i="11" s="1"/>
  <c r="O996" i="11"/>
  <c r="P996" i="11" s="1"/>
  <c r="K993" i="11"/>
  <c r="L993" i="11" s="1"/>
  <c r="O1008" i="11"/>
  <c r="P1008" i="11" s="1"/>
  <c r="G1006" i="11"/>
  <c r="H1006" i="11" s="1"/>
  <c r="K1003" i="11"/>
  <c r="L1003" i="11" s="1"/>
  <c r="G1000" i="11"/>
  <c r="H1000" i="11" s="1"/>
  <c r="M996" i="11"/>
  <c r="N996" i="11" s="1"/>
  <c r="I993" i="11"/>
  <c r="J993" i="11" s="1"/>
  <c r="G1008" i="11"/>
  <c r="H1008" i="11" s="1"/>
  <c r="I1005" i="11"/>
  <c r="J1005" i="11" s="1"/>
  <c r="I1001" i="11"/>
  <c r="J1001" i="11" s="1"/>
  <c r="O997" i="11"/>
  <c r="P997" i="11" s="1"/>
  <c r="I995" i="11"/>
  <c r="J995" i="11" s="1"/>
  <c r="K992" i="11"/>
  <c r="L992" i="11" s="1"/>
  <c r="O1001" i="11"/>
  <c r="P1001" i="11" s="1"/>
  <c r="O990" i="11"/>
  <c r="P990" i="11" s="1"/>
  <c r="I949" i="11"/>
  <c r="J949" i="11" s="1"/>
  <c r="K946" i="11"/>
  <c r="L946" i="11" s="1"/>
  <c r="G943" i="11"/>
  <c r="H943" i="11" s="1"/>
  <c r="O939" i="11"/>
  <c r="P939" i="11" s="1"/>
  <c r="K998" i="11"/>
  <c r="L998" i="11" s="1"/>
  <c r="M951" i="11"/>
  <c r="N951" i="11" s="1"/>
  <c r="K948" i="11"/>
  <c r="L948" i="11" s="1"/>
  <c r="O944" i="11"/>
  <c r="P944" i="11" s="1"/>
  <c r="M941" i="11"/>
  <c r="N941" i="11" s="1"/>
  <c r="K938" i="11"/>
  <c r="L938" i="11" s="1"/>
  <c r="I935" i="11"/>
  <c r="J935" i="11" s="1"/>
  <c r="M997" i="11"/>
  <c r="N997" i="11" s="1"/>
  <c r="M944" i="11"/>
  <c r="N944" i="11" s="1"/>
  <c r="O937" i="11"/>
  <c r="P937" i="11" s="1"/>
  <c r="O933" i="11"/>
  <c r="P933" i="11" s="1"/>
  <c r="K991" i="11"/>
  <c r="L991" i="11" s="1"/>
  <c r="K947" i="11"/>
  <c r="L947" i="11" s="1"/>
  <c r="M940" i="11"/>
  <c r="N940" i="11" s="1"/>
  <c r="G935" i="11"/>
  <c r="H935" i="11" s="1"/>
  <c r="K949" i="11"/>
  <c r="L949" i="11" s="1"/>
  <c r="K937" i="11"/>
  <c r="L937" i="11" s="1"/>
  <c r="G894" i="11"/>
  <c r="H894" i="11" s="1"/>
  <c r="K890" i="11"/>
  <c r="L890" i="11" s="1"/>
  <c r="M887" i="11"/>
  <c r="N887" i="11" s="1"/>
  <c r="G884" i="11"/>
  <c r="H884" i="11" s="1"/>
  <c r="I881" i="11"/>
  <c r="J881" i="11" s="1"/>
  <c r="O877" i="11"/>
  <c r="P877" i="11" s="1"/>
  <c r="I837" i="11"/>
  <c r="J837" i="11" s="1"/>
  <c r="G834" i="11"/>
  <c r="H834" i="11" s="1"/>
  <c r="O830" i="11"/>
  <c r="P830" i="11" s="1"/>
  <c r="M999" i="11"/>
  <c r="N999" i="11" s="1"/>
  <c r="I941" i="11"/>
  <c r="J941" i="11" s="1"/>
  <c r="O893" i="11"/>
  <c r="P893" i="11" s="1"/>
  <c r="G891" i="11"/>
  <c r="H891" i="11" s="1"/>
  <c r="K887" i="11"/>
  <c r="L887" i="11" s="1"/>
  <c r="M884" i="11"/>
  <c r="N884" i="11" s="1"/>
  <c r="G881" i="11"/>
  <c r="H881" i="11" s="1"/>
  <c r="I878" i="11"/>
  <c r="J878" i="11" s="1"/>
  <c r="G837" i="11"/>
  <c r="H837" i="11" s="1"/>
  <c r="O833" i="11"/>
  <c r="P833" i="11" s="1"/>
  <c r="M830" i="11"/>
  <c r="N830" i="11" s="1"/>
  <c r="K945" i="11"/>
  <c r="L945" i="11" s="1"/>
  <c r="M893" i="11"/>
  <c r="N893" i="11" s="1"/>
  <c r="K886" i="11"/>
  <c r="L886" i="11" s="1"/>
  <c r="O880" i="11"/>
  <c r="P880" i="11" s="1"/>
  <c r="I836" i="11"/>
  <c r="J836" i="11" s="1"/>
  <c r="O829" i="11"/>
  <c r="P829" i="11" s="1"/>
  <c r="M826" i="11"/>
  <c r="N826" i="11" s="1"/>
  <c r="O824" i="11"/>
  <c r="P824" i="11" s="1"/>
  <c r="I823" i="11"/>
  <c r="J823" i="11" s="1"/>
  <c r="M821" i="11"/>
  <c r="N821" i="11" s="1"/>
  <c r="G820" i="11"/>
  <c r="H820" i="11" s="1"/>
  <c r="G780" i="11"/>
  <c r="H780" i="11" s="1"/>
  <c r="O776" i="11"/>
  <c r="P776" i="11" s="1"/>
  <c r="M773" i="11"/>
  <c r="N773" i="11" s="1"/>
  <c r="K770" i="11"/>
  <c r="L770" i="11" s="1"/>
  <c r="I945" i="11"/>
  <c r="J945" i="11" s="1"/>
  <c r="O894" i="11"/>
  <c r="P894" i="11" s="1"/>
  <c r="I889" i="11"/>
  <c r="J889" i="11" s="1"/>
  <c r="G882" i="11"/>
  <c r="H882" i="11" s="1"/>
  <c r="K876" i="11"/>
  <c r="L876" i="11" s="1"/>
  <c r="I832" i="11"/>
  <c r="J832" i="11" s="1"/>
  <c r="K826" i="11"/>
  <c r="L826" i="11" s="1"/>
  <c r="I778" i="11"/>
  <c r="J778" i="11" s="1"/>
  <c r="G775" i="11"/>
  <c r="H775" i="11" s="1"/>
  <c r="O771" i="11"/>
  <c r="P771" i="11" s="1"/>
  <c r="M768" i="11"/>
  <c r="N768" i="11" s="1"/>
  <c r="M765" i="11"/>
  <c r="N765" i="11" s="1"/>
  <c r="G762" i="11"/>
  <c r="H762" i="11" s="1"/>
  <c r="O892" i="11"/>
  <c r="P892" i="11" s="1"/>
  <c r="I879" i="11"/>
  <c r="J879" i="11" s="1"/>
  <c r="I829" i="11"/>
  <c r="J829" i="11" s="1"/>
  <c r="I824" i="11"/>
  <c r="J824" i="11" s="1"/>
  <c r="G821" i="11"/>
  <c r="H821" i="11" s="1"/>
  <c r="O778" i="11"/>
  <c r="P778" i="11" s="1"/>
  <c r="K772" i="11"/>
  <c r="L772" i="11" s="1"/>
  <c r="O766" i="11"/>
  <c r="P766" i="11" s="1"/>
  <c r="G763" i="11"/>
  <c r="H763" i="11" s="1"/>
  <c r="K721" i="11"/>
  <c r="L721" i="11" s="1"/>
  <c r="G718" i="11"/>
  <c r="H718" i="11" s="1"/>
  <c r="O714" i="11"/>
  <c r="P714" i="11" s="1"/>
  <c r="G712" i="11"/>
  <c r="H712" i="11" s="1"/>
  <c r="O708" i="11"/>
  <c r="P708" i="11" s="1"/>
  <c r="M705" i="11"/>
  <c r="N705" i="11" s="1"/>
  <c r="G664" i="11"/>
  <c r="H664" i="11" s="1"/>
  <c r="O660" i="11"/>
  <c r="P660" i="11" s="1"/>
  <c r="M657" i="11"/>
  <c r="N657" i="11" s="1"/>
  <c r="K654" i="11"/>
  <c r="L654" i="11" s="1"/>
  <c r="I651" i="11"/>
  <c r="J651" i="11" s="1"/>
  <c r="G648" i="11"/>
  <c r="H648" i="11" s="1"/>
  <c r="I607" i="11"/>
  <c r="J607" i="11" s="1"/>
  <c r="O603" i="11"/>
  <c r="P603" i="11" s="1"/>
  <c r="M600" i="11"/>
  <c r="N600" i="11" s="1"/>
  <c r="K597" i="11"/>
  <c r="L597" i="11" s="1"/>
  <c r="I594" i="11"/>
  <c r="J594" i="11" s="1"/>
  <c r="G591" i="11"/>
  <c r="H591" i="11" s="1"/>
  <c r="O889" i="11"/>
  <c r="P889" i="11" s="1"/>
  <c r="G879" i="11"/>
  <c r="H879" i="11" s="1"/>
  <c r="I780" i="11"/>
  <c r="J780" i="11" s="1"/>
  <c r="O773" i="11"/>
  <c r="P773" i="11" s="1"/>
  <c r="M767" i="11"/>
  <c r="N767" i="11" s="1"/>
  <c r="O762" i="11"/>
  <c r="P762" i="11" s="1"/>
  <c r="O721" i="11"/>
  <c r="P721" i="11" s="1"/>
  <c r="K718" i="11"/>
  <c r="L718" i="11" s="1"/>
  <c r="I715" i="11"/>
  <c r="J715" i="11" s="1"/>
  <c r="O711" i="11"/>
  <c r="P711" i="11" s="1"/>
  <c r="M708" i="11"/>
  <c r="N708" i="11" s="1"/>
  <c r="K705" i="11"/>
  <c r="L705" i="11" s="1"/>
  <c r="O663" i="11"/>
  <c r="P663" i="11" s="1"/>
  <c r="M660" i="11"/>
  <c r="N660" i="11" s="1"/>
  <c r="K657" i="11"/>
  <c r="L657" i="11" s="1"/>
  <c r="I654" i="11"/>
  <c r="J654" i="11" s="1"/>
  <c r="G651" i="11"/>
  <c r="H651" i="11" s="1"/>
  <c r="K609" i="11"/>
  <c r="L609" i="11" s="1"/>
  <c r="I606" i="11"/>
  <c r="J606" i="11" s="1"/>
  <c r="M603" i="11"/>
  <c r="N603" i="11" s="1"/>
  <c r="K600" i="11"/>
  <c r="L600" i="11" s="1"/>
  <c r="I597" i="11"/>
  <c r="J597" i="11" s="1"/>
  <c r="G594" i="11"/>
  <c r="H594" i="11" s="1"/>
  <c r="I938" i="11"/>
  <c r="J938" i="11" s="1"/>
  <c r="K828" i="11"/>
  <c r="L828" i="11" s="1"/>
  <c r="O819" i="11"/>
  <c r="P819" i="11" s="1"/>
  <c r="K768" i="11"/>
  <c r="L768" i="11" s="1"/>
  <c r="K720" i="11"/>
  <c r="L720" i="11" s="1"/>
  <c r="G714" i="11"/>
  <c r="H714" i="11" s="1"/>
  <c r="O706" i="11"/>
  <c r="P706" i="11" s="1"/>
  <c r="M663" i="11"/>
  <c r="N663" i="11" s="1"/>
  <c r="I657" i="11"/>
  <c r="J657" i="11" s="1"/>
  <c r="O650" i="11"/>
  <c r="P650" i="11" s="1"/>
  <c r="G606" i="11"/>
  <c r="H606" i="11" s="1"/>
  <c r="M599" i="11"/>
  <c r="N599" i="11" s="1"/>
  <c r="I593" i="11"/>
  <c r="J593" i="11" s="1"/>
  <c r="K550" i="11"/>
  <c r="L550" i="11" s="1"/>
  <c r="I547" i="11"/>
  <c r="J547" i="11" s="1"/>
  <c r="G544" i="11"/>
  <c r="H544" i="11" s="1"/>
  <c r="O540" i="11"/>
  <c r="P540" i="11" s="1"/>
  <c r="M537" i="11"/>
  <c r="N537" i="11" s="1"/>
  <c r="K534" i="11"/>
  <c r="L534" i="11" s="1"/>
  <c r="O492" i="11"/>
  <c r="P492" i="11" s="1"/>
  <c r="M489" i="11"/>
  <c r="N489" i="11" s="1"/>
  <c r="K486" i="11"/>
  <c r="L486" i="11" s="1"/>
  <c r="I483" i="11"/>
  <c r="J483" i="11" s="1"/>
  <c r="G480" i="11"/>
  <c r="H480" i="11" s="1"/>
  <c r="G938" i="11"/>
  <c r="H938" i="11" s="1"/>
  <c r="G878" i="11"/>
  <c r="H878" i="11" s="1"/>
  <c r="M774" i="11"/>
  <c r="N774" i="11" s="1"/>
  <c r="I764" i="11"/>
  <c r="J764" i="11" s="1"/>
  <c r="I719" i="11"/>
  <c r="J719" i="11" s="1"/>
  <c r="O712" i="11"/>
  <c r="P712" i="11" s="1"/>
  <c r="M706" i="11"/>
  <c r="N706" i="11" s="1"/>
  <c r="K663" i="11"/>
  <c r="L663" i="11" s="1"/>
  <c r="G657" i="11"/>
  <c r="H657" i="11" s="1"/>
  <c r="M650" i="11"/>
  <c r="N650" i="11" s="1"/>
  <c r="O605" i="11"/>
  <c r="P605" i="11" s="1"/>
  <c r="K599" i="11"/>
  <c r="L599" i="11" s="1"/>
  <c r="G593" i="11"/>
  <c r="H593" i="11" s="1"/>
  <c r="I550" i="11"/>
  <c r="J550" i="11" s="1"/>
  <c r="G547" i="11"/>
  <c r="H547" i="11" s="1"/>
  <c r="O543" i="11"/>
  <c r="P543" i="11" s="1"/>
  <c r="M540" i="11"/>
  <c r="N540" i="11" s="1"/>
  <c r="K537" i="11"/>
  <c r="L537" i="11" s="1"/>
  <c r="I534" i="11"/>
  <c r="J534" i="11" s="1"/>
  <c r="I493" i="11"/>
  <c r="J493" i="11" s="1"/>
  <c r="G490" i="11"/>
  <c r="H490" i="11" s="1"/>
  <c r="O486" i="11"/>
  <c r="P486" i="11" s="1"/>
  <c r="M483" i="11"/>
  <c r="N483" i="11" s="1"/>
  <c r="K480" i="11"/>
  <c r="L480" i="11" s="1"/>
  <c r="I477" i="11"/>
  <c r="J477" i="11" s="1"/>
  <c r="I880" i="11"/>
  <c r="J880" i="11" s="1"/>
  <c r="K827" i="11"/>
  <c r="L827" i="11" s="1"/>
  <c r="M820" i="11"/>
  <c r="N820" i="11" s="1"/>
  <c r="I773" i="11"/>
  <c r="J773" i="11" s="1"/>
  <c r="M763" i="11"/>
  <c r="N763" i="11" s="1"/>
  <c r="O719" i="11"/>
  <c r="P719" i="11" s="1"/>
  <c r="K713" i="11"/>
  <c r="L713" i="11" s="1"/>
  <c r="M707" i="11"/>
  <c r="N707" i="11" s="1"/>
  <c r="O662" i="11"/>
  <c r="P662" i="11" s="1"/>
  <c r="K656" i="11"/>
  <c r="L656" i="11" s="1"/>
  <c r="G650" i="11"/>
  <c r="H650" i="11" s="1"/>
  <c r="K605" i="11"/>
  <c r="L605" i="11" s="1"/>
  <c r="G599" i="11"/>
  <c r="H599" i="11" s="1"/>
  <c r="M592" i="11"/>
  <c r="N592" i="11" s="1"/>
  <c r="I763" i="11"/>
  <c r="J763" i="11" s="1"/>
  <c r="K659" i="11"/>
  <c r="L659" i="11" s="1"/>
  <c r="M597" i="11"/>
  <c r="N597" i="11" s="1"/>
  <c r="I548" i="11"/>
  <c r="J548" i="11" s="1"/>
  <c r="O541" i="11"/>
  <c r="P541" i="11" s="1"/>
  <c r="K535" i="11"/>
  <c r="L535" i="11" s="1"/>
  <c r="O491" i="11"/>
  <c r="P491" i="11" s="1"/>
  <c r="K485" i="11"/>
  <c r="L485" i="11" s="1"/>
  <c r="G479" i="11"/>
  <c r="H479" i="11" s="1"/>
  <c r="G380" i="11"/>
  <c r="H380" i="11" s="1"/>
  <c r="O376" i="11"/>
  <c r="P376" i="11" s="1"/>
  <c r="M373" i="11"/>
  <c r="N373" i="11" s="1"/>
  <c r="K370" i="11"/>
  <c r="L370" i="11" s="1"/>
  <c r="I367" i="11"/>
  <c r="J367" i="11" s="1"/>
  <c r="G364" i="11"/>
  <c r="H364" i="11" s="1"/>
  <c r="K723" i="11"/>
  <c r="L723" i="11" s="1"/>
  <c r="I664" i="11"/>
  <c r="J664" i="11" s="1"/>
  <c r="I596" i="11"/>
  <c r="J596" i="11" s="1"/>
  <c r="I549" i="11"/>
  <c r="J549" i="11" s="1"/>
  <c r="O542" i="11"/>
  <c r="P542" i="11" s="1"/>
  <c r="K536" i="11"/>
  <c r="L536" i="11" s="1"/>
  <c r="M491" i="11"/>
  <c r="N491" i="11" s="1"/>
  <c r="I485" i="11"/>
  <c r="J485" i="11" s="1"/>
  <c r="O478" i="11"/>
  <c r="P478" i="11" s="1"/>
  <c r="O437" i="11"/>
  <c r="P437" i="11" s="1"/>
  <c r="I436" i="11"/>
  <c r="J436" i="11" s="1"/>
  <c r="M434" i="11"/>
  <c r="N434" i="11" s="1"/>
  <c r="G433" i="11"/>
  <c r="H433" i="11" s="1"/>
  <c r="K431" i="11"/>
  <c r="L431" i="11" s="1"/>
  <c r="O429" i="11"/>
  <c r="P429" i="11" s="1"/>
  <c r="I428" i="11"/>
  <c r="J428" i="11" s="1"/>
  <c r="M426" i="11"/>
  <c r="N426" i="11" s="1"/>
  <c r="I722" i="11"/>
  <c r="J722" i="11" s="1"/>
  <c r="I656" i="11"/>
  <c r="J656" i="11" s="1"/>
  <c r="M552" i="11"/>
  <c r="N552" i="11" s="1"/>
  <c r="I546" i="11"/>
  <c r="J546" i="11" s="1"/>
  <c r="O539" i="11"/>
  <c r="P539" i="11" s="1"/>
  <c r="G495" i="11"/>
  <c r="H495" i="11" s="1"/>
  <c r="M488" i="11"/>
  <c r="N488" i="11" s="1"/>
  <c r="I482" i="11"/>
  <c r="J482" i="11" s="1"/>
  <c r="I381" i="11"/>
  <c r="J381" i="11" s="1"/>
  <c r="G378" i="11"/>
  <c r="H378" i="11" s="1"/>
  <c r="O374" i="11"/>
  <c r="P374" i="11" s="1"/>
  <c r="M371" i="11"/>
  <c r="N371" i="11" s="1"/>
  <c r="K368" i="11"/>
  <c r="L368" i="11" s="1"/>
  <c r="I365" i="11"/>
  <c r="J365" i="11" s="1"/>
  <c r="I712" i="11"/>
  <c r="J712" i="11" s="1"/>
  <c r="K547" i="11"/>
  <c r="L547" i="11" s="1"/>
  <c r="K438" i="11"/>
  <c r="L438" i="11" s="1"/>
  <c r="G432" i="11"/>
  <c r="H432" i="11" s="1"/>
  <c r="G426" i="11"/>
  <c r="H426" i="11" s="1"/>
  <c r="O422" i="11"/>
  <c r="P422" i="11" s="1"/>
  <c r="G381" i="11"/>
  <c r="H381" i="11" s="1"/>
  <c r="M374" i="11"/>
  <c r="N374" i="11" s="1"/>
  <c r="I368" i="11"/>
  <c r="J368" i="11" s="1"/>
  <c r="O324" i="11"/>
  <c r="P324" i="11" s="1"/>
  <c r="M321" i="11"/>
  <c r="N321" i="11" s="1"/>
  <c r="K318" i="11"/>
  <c r="L318" i="11" s="1"/>
  <c r="I315" i="11"/>
  <c r="J315" i="11" s="1"/>
  <c r="G312" i="11"/>
  <c r="H312" i="11" s="1"/>
  <c r="O308" i="11"/>
  <c r="P308" i="11" s="1"/>
  <c r="G265" i="11"/>
  <c r="H265" i="11" s="1"/>
  <c r="O261" i="11"/>
  <c r="P261" i="11" s="1"/>
  <c r="M258" i="11"/>
  <c r="N258" i="11" s="1"/>
  <c r="K255" i="11"/>
  <c r="L255" i="11" s="1"/>
  <c r="I252" i="11"/>
  <c r="J252" i="11" s="1"/>
  <c r="G249" i="11"/>
  <c r="H249" i="11" s="1"/>
  <c r="I208" i="11"/>
  <c r="J208" i="11" s="1"/>
  <c r="G205" i="11"/>
  <c r="H205" i="11" s="1"/>
  <c r="O201" i="11"/>
  <c r="P201" i="11" s="1"/>
  <c r="M198" i="11"/>
  <c r="N198" i="11" s="1"/>
  <c r="K195" i="11"/>
  <c r="L195" i="11" s="1"/>
  <c r="I192" i="11"/>
  <c r="J192" i="11" s="1"/>
  <c r="M654" i="11"/>
  <c r="N654" i="11" s="1"/>
  <c r="G541" i="11"/>
  <c r="H541" i="11" s="1"/>
  <c r="M484" i="11"/>
  <c r="N484" i="11" s="1"/>
  <c r="I433" i="11"/>
  <c r="J433" i="11" s="1"/>
  <c r="O426" i="11"/>
  <c r="P426" i="11" s="1"/>
  <c r="K423" i="11"/>
  <c r="L423" i="11" s="1"/>
  <c r="I420" i="11"/>
  <c r="J420" i="11" s="1"/>
  <c r="O375" i="11"/>
  <c r="P375" i="11" s="1"/>
  <c r="K369" i="11"/>
  <c r="L369" i="11" s="1"/>
  <c r="G363" i="11"/>
  <c r="H363" i="11" s="1"/>
  <c r="O322" i="11"/>
  <c r="P322" i="11" s="1"/>
  <c r="M319" i="11"/>
  <c r="N319" i="11" s="1"/>
  <c r="K316" i="11"/>
  <c r="L316" i="11" s="1"/>
  <c r="I313" i="11"/>
  <c r="J313" i="11" s="1"/>
  <c r="G310" i="11"/>
  <c r="H310" i="11" s="1"/>
  <c r="K307" i="11"/>
  <c r="L307" i="11" s="1"/>
  <c r="I267" i="11"/>
  <c r="J267" i="11" s="1"/>
  <c r="G264" i="11"/>
  <c r="H264" i="11" s="1"/>
  <c r="O260" i="11"/>
  <c r="P260" i="11" s="1"/>
  <c r="O598" i="11"/>
  <c r="P598" i="11" s="1"/>
  <c r="M493" i="11"/>
  <c r="N493" i="11" s="1"/>
  <c r="M437" i="11"/>
  <c r="N437" i="11" s="1"/>
  <c r="I431" i="11"/>
  <c r="J431" i="11" s="1"/>
  <c r="M425" i="11"/>
  <c r="N425" i="11" s="1"/>
  <c r="K422" i="11"/>
  <c r="L422" i="11" s="1"/>
  <c r="O381" i="11"/>
  <c r="P381" i="11" s="1"/>
  <c r="K375" i="11"/>
  <c r="L375" i="11" s="1"/>
  <c r="G369" i="11"/>
  <c r="H369" i="11" s="1"/>
  <c r="O323" i="11"/>
  <c r="P323" i="11" s="1"/>
  <c r="M320" i="11"/>
  <c r="N320" i="11" s="1"/>
  <c r="K317" i="11"/>
  <c r="L317" i="11" s="1"/>
  <c r="I314" i="11"/>
  <c r="J314" i="11" s="1"/>
  <c r="G311" i="11"/>
  <c r="H311" i="11" s="1"/>
  <c r="O267" i="11"/>
  <c r="P267" i="11" s="1"/>
  <c r="M264" i="11"/>
  <c r="N264" i="11" s="1"/>
  <c r="K261" i="11"/>
  <c r="L261" i="11" s="1"/>
  <c r="I258" i="11"/>
  <c r="J258" i="11" s="1"/>
  <c r="G255" i="11"/>
  <c r="H255" i="11" s="1"/>
  <c r="O251" i="11"/>
  <c r="P251" i="11" s="1"/>
  <c r="I210" i="11"/>
  <c r="J210" i="11" s="1"/>
  <c r="G207" i="11"/>
  <c r="H207" i="11" s="1"/>
  <c r="O203" i="11"/>
  <c r="P203" i="11" s="1"/>
  <c r="M200" i="11"/>
  <c r="N200" i="11" s="1"/>
  <c r="O438" i="11"/>
  <c r="P438" i="11" s="1"/>
  <c r="K381" i="11"/>
  <c r="L381" i="11" s="1"/>
  <c r="O319" i="11"/>
  <c r="P319" i="11" s="1"/>
  <c r="G254" i="11"/>
  <c r="H254" i="11" s="1"/>
  <c r="O210" i="11"/>
  <c r="P210" i="11" s="1"/>
  <c r="K204" i="11"/>
  <c r="L204" i="11" s="1"/>
  <c r="K198" i="11"/>
  <c r="L198" i="11" s="1"/>
  <c r="I194" i="11"/>
  <c r="J194" i="11" s="1"/>
  <c r="K152" i="11"/>
  <c r="L152" i="11" s="1"/>
  <c r="I149" i="11"/>
  <c r="J149" i="11" s="1"/>
  <c r="I146" i="11"/>
  <c r="J146" i="11" s="1"/>
  <c r="G143" i="11"/>
  <c r="H143" i="11" s="1"/>
  <c r="O139" i="11"/>
  <c r="P139" i="11" s="1"/>
  <c r="M136" i="11"/>
  <c r="N136" i="11" s="1"/>
  <c r="O95" i="11"/>
  <c r="P95" i="11" s="1"/>
  <c r="M92" i="11"/>
  <c r="N92" i="11" s="1"/>
  <c r="G83" i="11"/>
  <c r="H83" i="11" s="1"/>
  <c r="K29" i="11"/>
  <c r="L29" i="11" s="1"/>
  <c r="G482" i="11"/>
  <c r="H482" i="11" s="1"/>
  <c r="M311" i="11"/>
  <c r="N311" i="11" s="1"/>
  <c r="I198" i="11"/>
  <c r="J198" i="11" s="1"/>
  <c r="K148" i="11"/>
  <c r="L148" i="11" s="1"/>
  <c r="O138" i="11"/>
  <c r="P138" i="11" s="1"/>
  <c r="K84" i="11"/>
  <c r="L84" i="11" s="1"/>
  <c r="I37" i="11"/>
  <c r="J37" i="11" s="1"/>
  <c r="M27" i="11"/>
  <c r="N27" i="11" s="1"/>
  <c r="K149" i="11"/>
  <c r="L149" i="11" s="1"/>
  <c r="K90" i="11"/>
  <c r="L90" i="11" s="1"/>
  <c r="K30" i="11"/>
  <c r="L30" i="11" s="1"/>
  <c r="K313" i="11"/>
  <c r="L313" i="11" s="1"/>
  <c r="G210" i="11"/>
  <c r="H210" i="11" s="1"/>
  <c r="I152" i="11"/>
  <c r="J152" i="11" s="1"/>
  <c r="K139" i="11"/>
  <c r="L139" i="11" s="1"/>
  <c r="K91" i="11"/>
  <c r="L91" i="11" s="1"/>
  <c r="M78" i="11"/>
  <c r="N78" i="11" s="1"/>
  <c r="M30" i="11"/>
  <c r="N30" i="11" s="1"/>
  <c r="M420" i="11"/>
  <c r="N420" i="11" s="1"/>
  <c r="G256" i="11"/>
  <c r="H256" i="11" s="1"/>
  <c r="K192" i="11"/>
  <c r="L192" i="11" s="1"/>
  <c r="I95" i="11"/>
  <c r="J95" i="11" s="1"/>
  <c r="G28" i="11"/>
  <c r="H28" i="11" s="1"/>
  <c r="AW82" i="6"/>
  <c r="AM51" i="6"/>
  <c r="AY82" i="6"/>
  <c r="AZ82" i="6" s="1"/>
  <c r="AE50" i="6"/>
  <c r="AF50" i="6" s="1"/>
  <c r="AM52" i="6"/>
  <c r="AN83" i="6"/>
  <c r="AO83" i="6" s="1"/>
  <c r="AP83" i="6" s="1"/>
  <c r="BQ55" i="6"/>
  <c r="BF59" i="6"/>
  <c r="BG59" i="6" s="1"/>
  <c r="BS81" i="6"/>
  <c r="BT81" i="6" s="1"/>
  <c r="AO82" i="6"/>
  <c r="AP82" i="6" s="1"/>
  <c r="BG52" i="6"/>
  <c r="AM55" i="6"/>
  <c r="AV69" i="6"/>
  <c r="AX69" i="6" s="1"/>
  <c r="AB67" i="6"/>
  <c r="AD67" i="6" s="1"/>
  <c r="AL97" i="6"/>
  <c r="AM97" i="6" s="1"/>
  <c r="AV86" i="6"/>
  <c r="AX86" i="6" s="1"/>
  <c r="AV87" i="6"/>
  <c r="AX87" i="6" s="1"/>
  <c r="AV99" i="6"/>
  <c r="AW99" i="6" s="1"/>
  <c r="BF80" i="6"/>
  <c r="BG80" i="6" s="1"/>
  <c r="AW83" i="6"/>
  <c r="AX83" i="6"/>
  <c r="AB103" i="6"/>
  <c r="AC103" i="6" s="1"/>
  <c r="BF79" i="6"/>
  <c r="BH79" i="6" s="1"/>
  <c r="AC83" i="6"/>
  <c r="AD83" i="6"/>
  <c r="BP80" i="6"/>
  <c r="BQ80" i="6" s="1"/>
  <c r="AV85" i="6"/>
  <c r="AW85" i="6" s="1"/>
  <c r="AL89" i="6"/>
  <c r="AN89" i="6" s="1"/>
  <c r="AB75" i="6"/>
  <c r="AC75" i="6" s="1"/>
  <c r="BS83" i="6"/>
  <c r="BT83" i="6" s="1"/>
  <c r="BP88" i="6"/>
  <c r="BQ88" i="6" s="1"/>
  <c r="BP100" i="6"/>
  <c r="BR100" i="6" s="1"/>
  <c r="AV92" i="6"/>
  <c r="AW92" i="6" s="1"/>
  <c r="BP91" i="6"/>
  <c r="BR91" i="6" s="1"/>
  <c r="BP102" i="6"/>
  <c r="BR102" i="6" s="1"/>
  <c r="BF101" i="6"/>
  <c r="BH101" i="6" s="1"/>
  <c r="BF87" i="6"/>
  <c r="BG87" i="6" s="1"/>
  <c r="BP57" i="6"/>
  <c r="BQ57" i="6" s="1"/>
  <c r="AV72" i="6"/>
  <c r="AX72" i="6" s="1"/>
  <c r="AB80" i="6"/>
  <c r="AD80" i="6" s="1"/>
  <c r="AB89" i="6"/>
  <c r="AC89" i="6" s="1"/>
  <c r="BP98" i="6"/>
  <c r="BR98" i="6" s="1"/>
  <c r="BP76" i="6"/>
  <c r="BQ76" i="6" s="1"/>
  <c r="AB77" i="6"/>
  <c r="AC77" i="6" s="1"/>
  <c r="BF68" i="6"/>
  <c r="BG68" i="6" s="1"/>
  <c r="BP90" i="6"/>
  <c r="BQ90" i="6" s="1"/>
  <c r="BP84" i="6"/>
  <c r="BR84" i="6" s="1"/>
  <c r="AL80" i="6"/>
  <c r="AN80" i="6" s="1"/>
  <c r="BF89" i="6"/>
  <c r="BG89" i="6" s="1"/>
  <c r="BF91" i="6"/>
  <c r="BG91" i="6" s="1"/>
  <c r="AL100" i="6"/>
  <c r="AM100" i="6" s="1"/>
  <c r="BP86" i="6"/>
  <c r="BR86" i="6" s="1"/>
  <c r="AB69" i="6"/>
  <c r="AD69" i="6" s="1"/>
  <c r="AB73" i="6"/>
  <c r="AD73" i="6" s="1"/>
  <c r="AB71" i="6"/>
  <c r="AD71" i="6" s="1"/>
  <c r="AV67" i="6"/>
  <c r="AX67" i="6" s="1"/>
  <c r="BP101" i="6"/>
  <c r="BR101" i="6" s="1"/>
  <c r="BP95" i="6"/>
  <c r="BR95" i="6" s="1"/>
  <c r="AV80" i="6"/>
  <c r="AX80" i="6" s="1"/>
  <c r="AV89" i="6"/>
  <c r="AW89" i="6" s="1"/>
  <c r="BP89" i="6"/>
  <c r="BR89" i="6" s="1"/>
  <c r="BP71" i="6"/>
  <c r="BR71" i="6" s="1"/>
  <c r="BF56" i="6"/>
  <c r="BH56" i="6" s="1"/>
  <c r="AV71" i="6"/>
  <c r="AX71" i="6" s="1"/>
  <c r="AV68" i="6"/>
  <c r="AW68" i="6" s="1"/>
  <c r="AL90" i="6"/>
  <c r="AN90" i="6" s="1"/>
  <c r="AV95" i="6"/>
  <c r="AW95" i="6" s="1"/>
  <c r="AB84" i="6"/>
  <c r="AC84" i="6" s="1"/>
  <c r="BP97" i="6"/>
  <c r="BQ97" i="6" s="1"/>
  <c r="AL92" i="6"/>
  <c r="AN92" i="6" s="1"/>
  <c r="AB66" i="6"/>
  <c r="AD66" i="6" s="1"/>
  <c r="BF71" i="6"/>
  <c r="BH71" i="6" s="1"/>
  <c r="BP67" i="6"/>
  <c r="BR67" i="6" s="1"/>
  <c r="AL74" i="6"/>
  <c r="AM74" i="6" s="1"/>
  <c r="AL68" i="6"/>
  <c r="AN68" i="6" s="1"/>
  <c r="AL99" i="6"/>
  <c r="AN99" i="6" s="1"/>
  <c r="AL101" i="6"/>
  <c r="AM101" i="6" s="1"/>
  <c r="BF90" i="6"/>
  <c r="BG90" i="6" s="1"/>
  <c r="AB88" i="6"/>
  <c r="AD88" i="6" s="1"/>
  <c r="AV100" i="6"/>
  <c r="AX100" i="6" s="1"/>
  <c r="AB100" i="6"/>
  <c r="AC100" i="6" s="1"/>
  <c r="AB97" i="6"/>
  <c r="AD97" i="6" s="1"/>
  <c r="BP96" i="6"/>
  <c r="BQ96" i="6" s="1"/>
  <c r="AB93" i="6"/>
  <c r="AD93" i="6" s="1"/>
  <c r="BP92" i="6"/>
  <c r="BR92" i="6" s="1"/>
  <c r="BF92" i="6"/>
  <c r="BH92" i="6" s="1"/>
  <c r="BF86" i="6"/>
  <c r="BG86" i="6" s="1"/>
  <c r="AB94" i="6"/>
  <c r="AC94" i="6" s="1"/>
  <c r="AL91" i="6"/>
  <c r="AN91" i="6" s="1"/>
  <c r="BP70" i="6"/>
  <c r="BR70" i="6" s="1"/>
  <c r="AB101" i="6"/>
  <c r="AC101" i="6" s="1"/>
  <c r="AB90" i="6"/>
  <c r="AD90" i="6" s="1"/>
  <c r="AB95" i="6"/>
  <c r="AD95" i="6" s="1"/>
  <c r="AL84" i="6"/>
  <c r="AN84" i="6" s="1"/>
  <c r="BF100" i="6"/>
  <c r="BG100" i="6" s="1"/>
  <c r="AV97" i="6"/>
  <c r="AX97" i="6" s="1"/>
  <c r="AB92" i="6"/>
  <c r="AC92" i="6" s="1"/>
  <c r="BR90" i="6"/>
  <c r="BQ84" i="6"/>
  <c r="AB57" i="6"/>
  <c r="AD57" i="6" s="1"/>
  <c r="BF78" i="6"/>
  <c r="BH78" i="6" s="1"/>
  <c r="AV103" i="6"/>
  <c r="AW103" i="6" s="1"/>
  <c r="AL69" i="6"/>
  <c r="AM69" i="6" s="1"/>
  <c r="AL73" i="6"/>
  <c r="AN73" i="6" s="1"/>
  <c r="AL71" i="6"/>
  <c r="AM71" i="6" s="1"/>
  <c r="AV79" i="6"/>
  <c r="AW79" i="6" s="1"/>
  <c r="BF67" i="6"/>
  <c r="BG67" i="6" s="1"/>
  <c r="BF102" i="6"/>
  <c r="BG102" i="6" s="1"/>
  <c r="AV74" i="6"/>
  <c r="AW74" i="6" s="1"/>
  <c r="BF70" i="6"/>
  <c r="BH70" i="6" s="1"/>
  <c r="AB70" i="6"/>
  <c r="AD70" i="6" s="1"/>
  <c r="BF75" i="6"/>
  <c r="BG75" i="6" s="1"/>
  <c r="BP99" i="6"/>
  <c r="AV101" i="6"/>
  <c r="AV90" i="6"/>
  <c r="BF95" i="6"/>
  <c r="AL95" i="6"/>
  <c r="BF88" i="6"/>
  <c r="AV84" i="6"/>
  <c r="BF96" i="6"/>
  <c r="AL93" i="6"/>
  <c r="BP93" i="6"/>
  <c r="AL85" i="6"/>
  <c r="AV94" i="6"/>
  <c r="AB91" i="6"/>
  <c r="AV91" i="6"/>
  <c r="AV98" i="6"/>
  <c r="BG101" i="6"/>
  <c r="BI83" i="6"/>
  <c r="BJ83" i="6" s="1"/>
  <c r="BK83" i="6"/>
  <c r="BL83" i="6" s="1"/>
  <c r="AL94" i="6"/>
  <c r="AV73" i="6"/>
  <c r="AX73" i="6" s="1"/>
  <c r="BP77" i="6"/>
  <c r="BR77" i="6" s="1"/>
  <c r="AB102" i="6"/>
  <c r="AC102" i="6" s="1"/>
  <c r="BK82" i="6"/>
  <c r="BL82" i="6" s="1"/>
  <c r="BI82" i="6"/>
  <c r="BJ82" i="6" s="1"/>
  <c r="BF99" i="6"/>
  <c r="AB99" i="6"/>
  <c r="AL88" i="6"/>
  <c r="AV88" i="6"/>
  <c r="BF84" i="6"/>
  <c r="AV96" i="6"/>
  <c r="AB96" i="6"/>
  <c r="BF93" i="6"/>
  <c r="AX92" i="6"/>
  <c r="BP85" i="6"/>
  <c r="AB85" i="6"/>
  <c r="AL86" i="6"/>
  <c r="BP94" i="6"/>
  <c r="BF94" i="6"/>
  <c r="BF98" i="6"/>
  <c r="AB98" i="6"/>
  <c r="BP87" i="6"/>
  <c r="AL87" i="6"/>
  <c r="BF57" i="6"/>
  <c r="BH57" i="6" s="1"/>
  <c r="BF54" i="6"/>
  <c r="BG54" i="6" s="1"/>
  <c r="BF103" i="6"/>
  <c r="BH103" i="6" s="1"/>
  <c r="BP69" i="6"/>
  <c r="BR69" i="6" s="1"/>
  <c r="BP73" i="6"/>
  <c r="BQ73" i="6" s="1"/>
  <c r="BF73" i="6"/>
  <c r="BG73" i="6" s="1"/>
  <c r="AL67" i="6"/>
  <c r="AN67" i="6" s="1"/>
  <c r="AV102" i="6"/>
  <c r="AX102" i="6" s="1"/>
  <c r="AL102" i="6"/>
  <c r="AN102" i="6" s="1"/>
  <c r="AB68" i="6"/>
  <c r="AD68" i="6" s="1"/>
  <c r="AL70" i="6"/>
  <c r="AN70" i="6" s="1"/>
  <c r="AV70" i="6"/>
  <c r="AX70" i="6" s="1"/>
  <c r="BP75" i="6"/>
  <c r="BQ75" i="6" s="1"/>
  <c r="BF97" i="6"/>
  <c r="AL96" i="6"/>
  <c r="AV93" i="6"/>
  <c r="BF85" i="6"/>
  <c r="AB86" i="6"/>
  <c r="AL98" i="6"/>
  <c r="AB87" i="6"/>
  <c r="BF77" i="6"/>
  <c r="AW67" i="6"/>
  <c r="AL59" i="6"/>
  <c r="AN59" i="6" s="1"/>
  <c r="AV78" i="6"/>
  <c r="AL66" i="6"/>
  <c r="AB76" i="6"/>
  <c r="AL77" i="6"/>
  <c r="AV77" i="6"/>
  <c r="AB79" i="6"/>
  <c r="BP79" i="6"/>
  <c r="AB74" i="6"/>
  <c r="AB72" i="6"/>
  <c r="BF74" i="6"/>
  <c r="AL72" i="6"/>
  <c r="AL57" i="6"/>
  <c r="AM57" i="6" s="1"/>
  <c r="AV57" i="6"/>
  <c r="AX57" i="6" s="1"/>
  <c r="AL78" i="6"/>
  <c r="AB78" i="6"/>
  <c r="AV66" i="6"/>
  <c r="AL103" i="6"/>
  <c r="BP103" i="6"/>
  <c r="AV76" i="6"/>
  <c r="AL76" i="6"/>
  <c r="BF69" i="6"/>
  <c r="AL79" i="6"/>
  <c r="BP74" i="6"/>
  <c r="BP68" i="6"/>
  <c r="AV75" i="6"/>
  <c r="BF72" i="6"/>
  <c r="BP72" i="6"/>
  <c r="BP66" i="6"/>
  <c r="BF76" i="6"/>
  <c r="AV58" i="6"/>
  <c r="AX58" i="6" s="1"/>
  <c r="BP54" i="6"/>
  <c r="BR54" i="6" s="1"/>
  <c r="BP78" i="6"/>
  <c r="BF66" i="6"/>
  <c r="AL75" i="6"/>
  <c r="AB58" i="6"/>
  <c r="BF58" i="6"/>
  <c r="BI50" i="6"/>
  <c r="BJ50" i="6" s="1"/>
  <c r="BK50" i="6"/>
  <c r="BL50" i="6" s="1"/>
  <c r="BH53" i="6"/>
  <c r="BG53" i="6"/>
  <c r="AB56" i="6"/>
  <c r="BP56" i="6"/>
  <c r="BI52" i="6"/>
  <c r="BJ52" i="6" s="1"/>
  <c r="BK52" i="6"/>
  <c r="BL52" i="6" s="1"/>
  <c r="AB59" i="6"/>
  <c r="BP59" i="6"/>
  <c r="AL54" i="6"/>
  <c r="AV54" i="6"/>
  <c r="AO52" i="6"/>
  <c r="AP52" i="6" s="1"/>
  <c r="AQ52" i="6"/>
  <c r="AR52" i="6" s="1"/>
  <c r="AW53" i="6"/>
  <c r="AX53" i="6"/>
  <c r="AL58" i="6"/>
  <c r="BP58" i="6"/>
  <c r="AC55" i="6"/>
  <c r="AD55" i="6"/>
  <c r="AL56" i="6"/>
  <c r="AG52" i="6"/>
  <c r="AH52" i="6" s="1"/>
  <c r="AE52" i="6"/>
  <c r="AF52" i="6" s="1"/>
  <c r="AC53" i="6"/>
  <c r="AD53" i="6"/>
  <c r="AN53" i="6"/>
  <c r="AM53" i="6"/>
  <c r="BI55" i="6"/>
  <c r="BJ55" i="6" s="1"/>
  <c r="BK55" i="6"/>
  <c r="BL55" i="6" s="1"/>
  <c r="AV56" i="6"/>
  <c r="AQ55" i="6"/>
  <c r="AR55" i="6" s="1"/>
  <c r="AO55" i="6"/>
  <c r="AP55" i="6" s="1"/>
  <c r="AV59" i="6"/>
  <c r="AB54" i="6"/>
  <c r="AO51" i="6"/>
  <c r="AP51" i="6" s="1"/>
  <c r="AQ51" i="6"/>
  <c r="AR51" i="6" s="1"/>
  <c r="AQ50" i="6"/>
  <c r="AR50" i="6" s="1"/>
  <c r="AO50" i="6"/>
  <c r="AP50" i="6" s="1"/>
  <c r="BS55" i="6"/>
  <c r="BT55" i="6" s="1"/>
  <c r="BU55" i="6"/>
  <c r="BV55" i="6" s="1"/>
  <c r="BS52" i="6"/>
  <c r="BT52" i="6" s="1"/>
  <c r="AY52" i="6"/>
  <c r="AZ52" i="6" s="1"/>
  <c r="BA52" i="6"/>
  <c r="BB52" i="6" s="1"/>
  <c r="BQ53" i="6"/>
  <c r="BR53" i="6"/>
  <c r="BA55" i="6"/>
  <c r="BB55" i="6" s="1"/>
  <c r="AY55" i="6"/>
  <c r="AZ55" i="6" s="1"/>
  <c r="K15" i="6"/>
  <c r="K34" i="6"/>
  <c r="K45" i="6"/>
  <c r="K31" i="6"/>
  <c r="K33" i="6"/>
  <c r="K19" i="6"/>
  <c r="K18" i="6"/>
  <c r="K46" i="6"/>
  <c r="K35" i="6"/>
  <c r="K47" i="6"/>
  <c r="K24" i="6"/>
  <c r="K22" i="6"/>
  <c r="K40" i="6"/>
  <c r="K9" i="6"/>
  <c r="K37" i="6"/>
  <c r="K29" i="6"/>
  <c r="K11" i="6"/>
  <c r="K23" i="6"/>
  <c r="K30" i="6"/>
  <c r="K27" i="6"/>
  <c r="K16" i="6"/>
  <c r="K13" i="6"/>
  <c r="K7" i="6"/>
  <c r="K36" i="6"/>
  <c r="K28" i="6"/>
  <c r="K39" i="6"/>
  <c r="K48" i="6"/>
  <c r="K41" i="6"/>
  <c r="K43" i="6"/>
  <c r="L11" i="11"/>
  <c r="J11" i="11"/>
  <c r="H11" i="11"/>
  <c r="P11" i="11"/>
  <c r="N11" i="11"/>
  <c r="K8" i="6"/>
  <c r="K38" i="6"/>
  <c r="K32" i="6"/>
  <c r="K44" i="6"/>
  <c r="K6" i="6"/>
  <c r="K20" i="6"/>
  <c r="K26" i="6"/>
  <c r="D29" i="7"/>
  <c r="C29" i="7"/>
  <c r="C45" i="7"/>
  <c r="C46" i="7" s="1"/>
  <c r="D45" i="7"/>
  <c r="D46" i="7" s="1"/>
  <c r="B45" i="7"/>
  <c r="B46" i="7" s="1"/>
  <c r="B55" i="7"/>
  <c r="B56" i="7" s="1"/>
  <c r="C38" i="7"/>
  <c r="D38" i="7"/>
  <c r="B38" i="7"/>
  <c r="B29" i="7"/>
  <c r="C41" i="3" s="1"/>
  <c r="Z8" i="2" l="1"/>
  <c r="Z37" i="2"/>
  <c r="AY81" i="6"/>
  <c r="AZ81" i="6" s="1"/>
  <c r="Z41" i="2"/>
  <c r="Z45" i="2"/>
  <c r="Z36" i="2"/>
  <c r="Z14" i="2"/>
  <c r="Z29" i="2"/>
  <c r="Z39" i="2"/>
  <c r="Z35" i="2"/>
  <c r="Z42" i="2"/>
  <c r="Z30" i="2"/>
  <c r="Z25" i="2"/>
  <c r="AQ83" i="6"/>
  <c r="AR83" i="6" s="1"/>
  <c r="K12" i="6"/>
  <c r="AA102" i="2" s="1"/>
  <c r="AW81" i="6"/>
  <c r="AG82" i="6"/>
  <c r="AH82" i="6" s="1"/>
  <c r="AW73" i="6"/>
  <c r="AM67" i="6"/>
  <c r="AG81" i="6"/>
  <c r="AH81" i="6" s="1"/>
  <c r="AW71" i="6"/>
  <c r="BH81" i="6"/>
  <c r="BG81" i="6"/>
  <c r="BK51" i="6"/>
  <c r="BL51" i="6" s="1"/>
  <c r="AN97" i="6"/>
  <c r="AO97" i="6" s="1"/>
  <c r="AP97" i="6" s="1"/>
  <c r="AC80" i="6"/>
  <c r="AM89" i="6"/>
  <c r="AN81" i="6"/>
  <c r="AM81" i="6"/>
  <c r="BR80" i="6"/>
  <c r="BS80" i="6" s="1"/>
  <c r="BT80" i="6" s="1"/>
  <c r="AC66" i="6"/>
  <c r="AD103" i="6"/>
  <c r="AG103" i="6" s="1"/>
  <c r="AH103" i="6" s="1"/>
  <c r="BH89" i="6"/>
  <c r="BI89" i="6" s="1"/>
  <c r="BJ89" i="6" s="1"/>
  <c r="BH87" i="6"/>
  <c r="BK87" i="6" s="1"/>
  <c r="BL87" i="6" s="1"/>
  <c r="AX68" i="6"/>
  <c r="AY68" i="6" s="1"/>
  <c r="AZ68" i="6" s="1"/>
  <c r="AX79" i="6"/>
  <c r="AY79" i="6" s="1"/>
  <c r="AZ79" i="6" s="1"/>
  <c r="AC71" i="6"/>
  <c r="AC67" i="6"/>
  <c r="AN74" i="6"/>
  <c r="AO74" i="6" s="1"/>
  <c r="AP74" i="6" s="1"/>
  <c r="BQ54" i="6"/>
  <c r="AW80" i="6"/>
  <c r="AN71" i="6"/>
  <c r="AO71" i="6" s="1"/>
  <c r="AP71" i="6" s="1"/>
  <c r="BH59" i="6"/>
  <c r="BK59" i="6" s="1"/>
  <c r="BL59" i="6" s="1"/>
  <c r="BQ95" i="6"/>
  <c r="BG56" i="6"/>
  <c r="AM68" i="6"/>
  <c r="BQ102" i="6"/>
  <c r="AC57" i="6"/>
  <c r="BR57" i="6"/>
  <c r="BS57" i="6" s="1"/>
  <c r="BT57" i="6" s="1"/>
  <c r="BH67" i="6"/>
  <c r="BI67" i="6" s="1"/>
  <c r="BJ67" i="6" s="1"/>
  <c r="BG103" i="6"/>
  <c r="BH73" i="6"/>
  <c r="BI73" i="6" s="1"/>
  <c r="BJ73" i="6" s="1"/>
  <c r="BR76" i="6"/>
  <c r="BS76" i="6" s="1"/>
  <c r="BT76" i="6" s="1"/>
  <c r="AC73" i="6"/>
  <c r="AN69" i="6"/>
  <c r="AO69" i="6" s="1"/>
  <c r="AP69" i="6" s="1"/>
  <c r="AX95" i="6"/>
  <c r="AY95" i="6" s="1"/>
  <c r="AZ95" i="6" s="1"/>
  <c r="AX99" i="6"/>
  <c r="BA99" i="6" s="1"/>
  <c r="BB99" i="6" s="1"/>
  <c r="AX85" i="6"/>
  <c r="AY85" i="6" s="1"/>
  <c r="AZ85" i="6" s="1"/>
  <c r="BQ71" i="6"/>
  <c r="BQ67" i="6"/>
  <c r="AX103" i="6"/>
  <c r="BA103" i="6" s="1"/>
  <c r="BB103" i="6" s="1"/>
  <c r="AM91" i="6"/>
  <c r="AC70" i="6"/>
  <c r="BH68" i="6"/>
  <c r="BI68" i="6" s="1"/>
  <c r="BJ68" i="6" s="1"/>
  <c r="AW69" i="6"/>
  <c r="BQ89" i="6"/>
  <c r="BQ101" i="6"/>
  <c r="AD89" i="6"/>
  <c r="AG89" i="6" s="1"/>
  <c r="AH89" i="6" s="1"/>
  <c r="AN101" i="6"/>
  <c r="AQ101" i="6" s="1"/>
  <c r="AR101" i="6" s="1"/>
  <c r="BQ92" i="6"/>
  <c r="AD100" i="6"/>
  <c r="AE100" i="6" s="1"/>
  <c r="AF100" i="6" s="1"/>
  <c r="AC95" i="6"/>
  <c r="AC69" i="6"/>
  <c r="BG79" i="6"/>
  <c r="BH80" i="6"/>
  <c r="BI80" i="6" s="1"/>
  <c r="BJ80" i="6" s="1"/>
  <c r="AW87" i="6"/>
  <c r="AD92" i="6"/>
  <c r="AG92" i="6" s="1"/>
  <c r="AH92" i="6" s="1"/>
  <c r="AC90" i="6"/>
  <c r="BR97" i="6"/>
  <c r="BS97" i="6" s="1"/>
  <c r="BT97" i="6" s="1"/>
  <c r="BG57" i="6"/>
  <c r="AD75" i="6"/>
  <c r="AG75" i="6" s="1"/>
  <c r="AH75" i="6" s="1"/>
  <c r="BR75" i="6"/>
  <c r="BU75" i="6" s="1"/>
  <c r="BV75" i="6" s="1"/>
  <c r="AM102" i="6"/>
  <c r="BG71" i="6"/>
  <c r="AD77" i="6"/>
  <c r="AE77" i="6" s="1"/>
  <c r="AF77" i="6" s="1"/>
  <c r="BQ100" i="6"/>
  <c r="AW86" i="6"/>
  <c r="BH54" i="6"/>
  <c r="BI54" i="6" s="1"/>
  <c r="BJ54" i="6" s="1"/>
  <c r="BH102" i="6"/>
  <c r="BK102" i="6" s="1"/>
  <c r="BL102" i="6" s="1"/>
  <c r="AM73" i="6"/>
  <c r="AW72" i="6"/>
  <c r="AN100" i="6"/>
  <c r="AO100" i="6" s="1"/>
  <c r="AP100" i="6" s="1"/>
  <c r="AC93" i="6"/>
  <c r="AW102" i="6"/>
  <c r="BR73" i="6"/>
  <c r="BS73" i="6" s="1"/>
  <c r="BT73" i="6" s="1"/>
  <c r="BH75" i="6"/>
  <c r="BK75" i="6" s="1"/>
  <c r="BL75" i="6" s="1"/>
  <c r="AM80" i="6"/>
  <c r="AM70" i="6"/>
  <c r="AD102" i="6"/>
  <c r="AE102" i="6" s="1"/>
  <c r="AF102" i="6" s="1"/>
  <c r="AX74" i="6"/>
  <c r="AY74" i="6" s="1"/>
  <c r="AZ74" i="6" s="1"/>
  <c r="BH86" i="6"/>
  <c r="BI86" i="6" s="1"/>
  <c r="BJ86" i="6" s="1"/>
  <c r="BG78" i="6"/>
  <c r="AM99" i="6"/>
  <c r="J8" i="6"/>
  <c r="BH90" i="6"/>
  <c r="BK90" i="6" s="1"/>
  <c r="BL90" i="6" s="1"/>
  <c r="J20" i="6"/>
  <c r="J13" i="6"/>
  <c r="J27" i="6"/>
  <c r="J37" i="6"/>
  <c r="J40" i="6"/>
  <c r="J24" i="6"/>
  <c r="J18" i="6"/>
  <c r="J45" i="6"/>
  <c r="AN57" i="6"/>
  <c r="AO57" i="6" s="1"/>
  <c r="AP57" i="6" s="1"/>
  <c r="J43" i="6"/>
  <c r="J11" i="6"/>
  <c r="J47" i="6"/>
  <c r="J46" i="6"/>
  <c r="BQ77" i="6"/>
  <c r="BQ69" i="6"/>
  <c r="AW97" i="6"/>
  <c r="BQ86" i="6"/>
  <c r="BH100" i="6"/>
  <c r="BK100" i="6" s="1"/>
  <c r="BL100" i="6" s="1"/>
  <c r="BR88" i="6"/>
  <c r="BS88" i="6" s="1"/>
  <c r="BT88" i="6" s="1"/>
  <c r="AD101" i="6"/>
  <c r="AE101" i="6" s="1"/>
  <c r="AF101" i="6" s="1"/>
  <c r="BR96" i="6"/>
  <c r="BS96" i="6" s="1"/>
  <c r="BT96" i="6" s="1"/>
  <c r="AD84" i="6"/>
  <c r="AE84" i="6" s="1"/>
  <c r="AF84" i="6" s="1"/>
  <c r="AW100" i="6"/>
  <c r="AX89" i="6"/>
  <c r="BA89" i="6" s="1"/>
  <c r="BB89" i="6" s="1"/>
  <c r="AD94" i="6"/>
  <c r="AE94" i="6" s="1"/>
  <c r="AF94" i="6" s="1"/>
  <c r="AC88" i="6"/>
  <c r="AG83" i="6"/>
  <c r="AH83" i="6" s="1"/>
  <c r="AE83" i="6"/>
  <c r="AF83" i="6" s="1"/>
  <c r="BA83" i="6"/>
  <c r="BB83" i="6" s="1"/>
  <c r="AY83" i="6"/>
  <c r="AZ83" i="6" s="1"/>
  <c r="AC68" i="6"/>
  <c r="AW57" i="6"/>
  <c r="BG70" i="6"/>
  <c r="BQ70" i="6"/>
  <c r="BG92" i="6"/>
  <c r="AC97" i="6"/>
  <c r="AM84" i="6"/>
  <c r="AM90" i="6"/>
  <c r="AM92" i="6"/>
  <c r="BH91" i="6"/>
  <c r="BK91" i="6" s="1"/>
  <c r="BL91" i="6" s="1"/>
  <c r="BQ98" i="6"/>
  <c r="AM59" i="6"/>
  <c r="AW70" i="6"/>
  <c r="BQ91" i="6"/>
  <c r="AW58" i="6"/>
  <c r="AM98" i="6"/>
  <c r="AN98" i="6"/>
  <c r="AN96" i="6"/>
  <c r="AM96" i="6"/>
  <c r="BR87" i="6"/>
  <c r="BQ87" i="6"/>
  <c r="BR94" i="6"/>
  <c r="BQ94" i="6"/>
  <c r="AX96" i="6"/>
  <c r="AW96" i="6"/>
  <c r="BU89" i="6"/>
  <c r="BV89" i="6" s="1"/>
  <c r="BS89" i="6"/>
  <c r="BT89" i="6" s="1"/>
  <c r="AQ91" i="6"/>
  <c r="AR91" i="6" s="1"/>
  <c r="AO91" i="6"/>
  <c r="AP91" i="6" s="1"/>
  <c r="AD91" i="6"/>
  <c r="AC91" i="6"/>
  <c r="BU92" i="6"/>
  <c r="BV92" i="6" s="1"/>
  <c r="BS92" i="6"/>
  <c r="BT92" i="6" s="1"/>
  <c r="AY80" i="6"/>
  <c r="AZ80" i="6" s="1"/>
  <c r="BA80" i="6"/>
  <c r="BB80" i="6" s="1"/>
  <c r="AN95" i="6"/>
  <c r="AM95" i="6"/>
  <c r="BR99" i="6"/>
  <c r="BQ99" i="6"/>
  <c r="AE88" i="6"/>
  <c r="AF88" i="6" s="1"/>
  <c r="AG88" i="6"/>
  <c r="AH88" i="6" s="1"/>
  <c r="BS84" i="6"/>
  <c r="BT84" i="6" s="1"/>
  <c r="BU84" i="6"/>
  <c r="BV84" i="6" s="1"/>
  <c r="AD86" i="6"/>
  <c r="AC86" i="6"/>
  <c r="BG97" i="6"/>
  <c r="BH97" i="6"/>
  <c r="AD98" i="6"/>
  <c r="AC98" i="6"/>
  <c r="AN86" i="6"/>
  <c r="AM86" i="6"/>
  <c r="BA92" i="6"/>
  <c r="BB92" i="6" s="1"/>
  <c r="AY92" i="6"/>
  <c r="AZ92" i="6" s="1"/>
  <c r="BH84" i="6"/>
  <c r="BG84" i="6"/>
  <c r="BS101" i="6"/>
  <c r="BT101" i="6" s="1"/>
  <c r="BU101" i="6"/>
  <c r="BV101" i="6" s="1"/>
  <c r="BS86" i="6"/>
  <c r="BT86" i="6" s="1"/>
  <c r="BU86" i="6"/>
  <c r="BV86" i="6" s="1"/>
  <c r="BI92" i="6"/>
  <c r="BJ92" i="6" s="1"/>
  <c r="BK92" i="6"/>
  <c r="BL92" i="6" s="1"/>
  <c r="AG97" i="6"/>
  <c r="AH97" i="6" s="1"/>
  <c r="AE97" i="6"/>
  <c r="AF97" i="6" s="1"/>
  <c r="AQ84" i="6"/>
  <c r="AR84" i="6" s="1"/>
  <c r="AO84" i="6"/>
  <c r="AP84" i="6" s="1"/>
  <c r="AQ90" i="6"/>
  <c r="AR90" i="6" s="1"/>
  <c r="AO90" i="6"/>
  <c r="AP90" i="6" s="1"/>
  <c r="AX94" i="6"/>
  <c r="AW94" i="6"/>
  <c r="BR93" i="6"/>
  <c r="BQ93" i="6"/>
  <c r="BH95" i="6"/>
  <c r="BG95" i="6"/>
  <c r="AG90" i="6"/>
  <c r="AH90" i="6" s="1"/>
  <c r="AE90" i="6"/>
  <c r="AF90" i="6" s="1"/>
  <c r="AE93" i="6"/>
  <c r="AF93" i="6" s="1"/>
  <c r="AG93" i="6"/>
  <c r="AH93" i="6" s="1"/>
  <c r="AO92" i="6"/>
  <c r="AP92" i="6" s="1"/>
  <c r="AQ92" i="6"/>
  <c r="AR92" i="6" s="1"/>
  <c r="BH85" i="6"/>
  <c r="BG85" i="6"/>
  <c r="BG98" i="6"/>
  <c r="BH98" i="6"/>
  <c r="AD85" i="6"/>
  <c r="AC85" i="6"/>
  <c r="BH93" i="6"/>
  <c r="BG93" i="6"/>
  <c r="BA97" i="6"/>
  <c r="BB97" i="6" s="1"/>
  <c r="AY97" i="6"/>
  <c r="AZ97" i="6" s="1"/>
  <c r="BS100" i="6"/>
  <c r="BT100" i="6" s="1"/>
  <c r="BU100" i="6"/>
  <c r="BV100" i="6" s="1"/>
  <c r="AW88" i="6"/>
  <c r="AX88" i="6"/>
  <c r="AD99" i="6"/>
  <c r="AC99" i="6"/>
  <c r="BA87" i="6"/>
  <c r="BB87" i="6" s="1"/>
  <c r="AY87" i="6"/>
  <c r="AZ87" i="6" s="1"/>
  <c r="BU91" i="6"/>
  <c r="BV91" i="6" s="1"/>
  <c r="BS91" i="6"/>
  <c r="BT91" i="6" s="1"/>
  <c r="AQ89" i="6"/>
  <c r="AR89" i="6" s="1"/>
  <c r="AO89" i="6"/>
  <c r="AP89" i="6" s="1"/>
  <c r="BS95" i="6"/>
  <c r="BT95" i="6" s="1"/>
  <c r="BU95" i="6"/>
  <c r="BV95" i="6" s="1"/>
  <c r="AW98" i="6"/>
  <c r="AX98" i="6"/>
  <c r="AN85" i="6"/>
  <c r="AM85" i="6"/>
  <c r="AM93" i="6"/>
  <c r="AN93" i="6"/>
  <c r="AX84" i="6"/>
  <c r="AW84" i="6"/>
  <c r="AX90" i="6"/>
  <c r="AW90" i="6"/>
  <c r="AG95" i="6"/>
  <c r="AH95" i="6" s="1"/>
  <c r="AE95" i="6"/>
  <c r="AF95" i="6" s="1"/>
  <c r="BS98" i="6"/>
  <c r="BT98" i="6" s="1"/>
  <c r="BU98" i="6"/>
  <c r="BV98" i="6" s="1"/>
  <c r="AD87" i="6"/>
  <c r="AC87" i="6"/>
  <c r="AX93" i="6"/>
  <c r="AW93" i="6"/>
  <c r="AN87" i="6"/>
  <c r="AM87" i="6"/>
  <c r="BG94" i="6"/>
  <c r="BH94" i="6"/>
  <c r="BR85" i="6"/>
  <c r="BQ85" i="6"/>
  <c r="AD96" i="6"/>
  <c r="AC96" i="6"/>
  <c r="AG80" i="6"/>
  <c r="AH80" i="6" s="1"/>
  <c r="AE80" i="6"/>
  <c r="AF80" i="6" s="1"/>
  <c r="AN88" i="6"/>
  <c r="AM88" i="6"/>
  <c r="BH99" i="6"/>
  <c r="BG99" i="6"/>
  <c r="AM94" i="6"/>
  <c r="AN94" i="6"/>
  <c r="BA86" i="6"/>
  <c r="BB86" i="6" s="1"/>
  <c r="AY86" i="6"/>
  <c r="AZ86" i="6" s="1"/>
  <c r="AQ80" i="6"/>
  <c r="AR80" i="6" s="1"/>
  <c r="AO80" i="6"/>
  <c r="AP80" i="6" s="1"/>
  <c r="BI101" i="6"/>
  <c r="BJ101" i="6" s="1"/>
  <c r="BK101" i="6"/>
  <c r="BL101" i="6" s="1"/>
  <c r="AX91" i="6"/>
  <c r="AW91" i="6"/>
  <c r="BG96" i="6"/>
  <c r="BH96" i="6"/>
  <c r="AY100" i="6"/>
  <c r="AZ100" i="6" s="1"/>
  <c r="BA100" i="6"/>
  <c r="BB100" i="6" s="1"/>
  <c r="BG88" i="6"/>
  <c r="BH88" i="6"/>
  <c r="AX101" i="6"/>
  <c r="AW101" i="6"/>
  <c r="AQ99" i="6"/>
  <c r="AR99" i="6" s="1"/>
  <c r="AO99" i="6"/>
  <c r="AP99" i="6" s="1"/>
  <c r="BU90" i="6"/>
  <c r="BV90" i="6" s="1"/>
  <c r="BS90" i="6"/>
  <c r="BT90" i="6" s="1"/>
  <c r="AE71" i="6"/>
  <c r="AF71" i="6" s="1"/>
  <c r="AG71" i="6"/>
  <c r="AH71" i="6" s="1"/>
  <c r="BQ78" i="6"/>
  <c r="BR78" i="6"/>
  <c r="BG72" i="6"/>
  <c r="BH72" i="6"/>
  <c r="AN79" i="6"/>
  <c r="AM79" i="6"/>
  <c r="BR103" i="6"/>
  <c r="BQ103" i="6"/>
  <c r="AN78" i="6"/>
  <c r="AM78" i="6"/>
  <c r="AQ70" i="6"/>
  <c r="AR70" i="6" s="1"/>
  <c r="AO70" i="6"/>
  <c r="AP70" i="6" s="1"/>
  <c r="BH74" i="6"/>
  <c r="BG74" i="6"/>
  <c r="AE69" i="6"/>
  <c r="AF69" i="6" s="1"/>
  <c r="AG69" i="6"/>
  <c r="AH69" i="6" s="1"/>
  <c r="AC74" i="6"/>
  <c r="AD74" i="6"/>
  <c r="BI71" i="6"/>
  <c r="BJ71" i="6" s="1"/>
  <c r="BK71" i="6"/>
  <c r="BL71" i="6" s="1"/>
  <c r="AY69" i="6"/>
  <c r="AZ69" i="6" s="1"/>
  <c r="BA69" i="6"/>
  <c r="BB69" i="6" s="1"/>
  <c r="AN66" i="6"/>
  <c r="AM66" i="6"/>
  <c r="AY70" i="6"/>
  <c r="AZ70" i="6" s="1"/>
  <c r="BA70" i="6"/>
  <c r="BB70" i="6" s="1"/>
  <c r="AY67" i="6"/>
  <c r="AZ67" i="6" s="1"/>
  <c r="BA67" i="6"/>
  <c r="BB67" i="6" s="1"/>
  <c r="BS77" i="6"/>
  <c r="BT77" i="6" s="1"/>
  <c r="BU77" i="6"/>
  <c r="BV77" i="6" s="1"/>
  <c r="AE73" i="6"/>
  <c r="AF73" i="6" s="1"/>
  <c r="AG73" i="6"/>
  <c r="AH73" i="6" s="1"/>
  <c r="BK103" i="6"/>
  <c r="BL103" i="6" s="1"/>
  <c r="BI103" i="6"/>
  <c r="BJ103" i="6" s="1"/>
  <c r="AX75" i="6"/>
  <c r="AW75" i="6"/>
  <c r="BH69" i="6"/>
  <c r="BG69" i="6"/>
  <c r="AN103" i="6"/>
  <c r="AM103" i="6"/>
  <c r="AD72" i="6"/>
  <c r="AC72" i="6"/>
  <c r="AE70" i="6"/>
  <c r="AF70" i="6" s="1"/>
  <c r="AG70" i="6"/>
  <c r="AH70" i="6" s="1"/>
  <c r="BR79" i="6"/>
  <c r="BQ79" i="6"/>
  <c r="AW77" i="6"/>
  <c r="AX77" i="6"/>
  <c r="AC76" i="6"/>
  <c r="AD76" i="6"/>
  <c r="AW78" i="6"/>
  <c r="AX78" i="6"/>
  <c r="BH77" i="6"/>
  <c r="BG77" i="6"/>
  <c r="BA72" i="6"/>
  <c r="BB72" i="6" s="1"/>
  <c r="AY72" i="6"/>
  <c r="AZ72" i="6" s="1"/>
  <c r="BK79" i="6"/>
  <c r="BL79" i="6" s="1"/>
  <c r="BI79" i="6"/>
  <c r="BJ79" i="6" s="1"/>
  <c r="AG68" i="6"/>
  <c r="AH68" i="6" s="1"/>
  <c r="AE68" i="6"/>
  <c r="AF68" i="6" s="1"/>
  <c r="AN75" i="6"/>
  <c r="AM75" i="6"/>
  <c r="AY102" i="6"/>
  <c r="AZ102" i="6" s="1"/>
  <c r="BA102" i="6"/>
  <c r="BB102" i="6" s="1"/>
  <c r="BU71" i="6"/>
  <c r="BV71" i="6" s="1"/>
  <c r="BS71" i="6"/>
  <c r="BT71" i="6" s="1"/>
  <c r="BU69" i="6"/>
  <c r="BV69" i="6" s="1"/>
  <c r="BS69" i="6"/>
  <c r="BT69" i="6" s="1"/>
  <c r="BQ66" i="6"/>
  <c r="BR66" i="6"/>
  <c r="BR68" i="6"/>
  <c r="BQ68" i="6"/>
  <c r="AN76" i="6"/>
  <c r="AM76" i="6"/>
  <c r="AW66" i="6"/>
  <c r="AX66" i="6"/>
  <c r="AY71" i="6"/>
  <c r="AZ71" i="6" s="1"/>
  <c r="BA71" i="6"/>
  <c r="BB71" i="6" s="1"/>
  <c r="AQ102" i="6"/>
  <c r="AR102" i="6" s="1"/>
  <c r="AO102" i="6"/>
  <c r="AP102" i="6" s="1"/>
  <c r="BS67" i="6"/>
  <c r="BT67" i="6" s="1"/>
  <c r="BU67" i="6"/>
  <c r="BV67" i="6" s="1"/>
  <c r="AD79" i="6"/>
  <c r="AC79" i="6"/>
  <c r="AN77" i="6"/>
  <c r="AM77" i="6"/>
  <c r="AO73" i="6"/>
  <c r="AP73" i="6" s="1"/>
  <c r="AQ73" i="6"/>
  <c r="AR73" i="6" s="1"/>
  <c r="AE66" i="6"/>
  <c r="AF66" i="6" s="1"/>
  <c r="AG66" i="6"/>
  <c r="AH66" i="6" s="1"/>
  <c r="BI78" i="6"/>
  <c r="BJ78" i="6" s="1"/>
  <c r="BK78" i="6"/>
  <c r="BL78" i="6" s="1"/>
  <c r="AQ67" i="6"/>
  <c r="AR67" i="6" s="1"/>
  <c r="AO67" i="6"/>
  <c r="AP67" i="6" s="1"/>
  <c r="BH66" i="6"/>
  <c r="BG66" i="6"/>
  <c r="BA73" i="6"/>
  <c r="BB73" i="6" s="1"/>
  <c r="AY73" i="6"/>
  <c r="AZ73" i="6" s="1"/>
  <c r="BH76" i="6"/>
  <c r="BG76" i="6"/>
  <c r="BR72" i="6"/>
  <c r="BQ72" i="6"/>
  <c r="BQ74" i="6"/>
  <c r="BR74" i="6"/>
  <c r="AW76" i="6"/>
  <c r="AX76" i="6"/>
  <c r="AC78" i="6"/>
  <c r="AD78" i="6"/>
  <c r="AN72" i="6"/>
  <c r="AM72" i="6"/>
  <c r="AO68" i="6"/>
  <c r="AP68" i="6" s="1"/>
  <c r="AQ68" i="6"/>
  <c r="AR68" i="6" s="1"/>
  <c r="BI70" i="6"/>
  <c r="BJ70" i="6" s="1"/>
  <c r="BK70" i="6"/>
  <c r="BL70" i="6" s="1"/>
  <c r="AG67" i="6"/>
  <c r="AH67" i="6" s="1"/>
  <c r="AE67" i="6"/>
  <c r="AF67" i="6" s="1"/>
  <c r="BU70" i="6"/>
  <c r="BV70" i="6" s="1"/>
  <c r="BS70" i="6"/>
  <c r="BT70" i="6" s="1"/>
  <c r="BS102" i="6"/>
  <c r="BT102" i="6" s="1"/>
  <c r="BU102" i="6"/>
  <c r="BV102" i="6" s="1"/>
  <c r="BU53" i="6"/>
  <c r="BV53" i="6" s="1"/>
  <c r="BS53" i="6"/>
  <c r="BT53" i="6" s="1"/>
  <c r="AC54" i="6"/>
  <c r="AD54" i="6"/>
  <c r="BI57" i="6"/>
  <c r="BJ57" i="6" s="1"/>
  <c r="BK57" i="6"/>
  <c r="BL57" i="6" s="1"/>
  <c r="AQ53" i="6"/>
  <c r="AR53" i="6" s="1"/>
  <c r="AO53" i="6"/>
  <c r="AP53" i="6" s="1"/>
  <c r="AQ59" i="6"/>
  <c r="AR59" i="6" s="1"/>
  <c r="AO59" i="6"/>
  <c r="AP59" i="6" s="1"/>
  <c r="BR58" i="6"/>
  <c r="BQ58" i="6"/>
  <c r="AX54" i="6"/>
  <c r="AW54" i="6"/>
  <c r="BH58" i="6"/>
  <c r="BG58" i="6"/>
  <c r="AE53" i="6"/>
  <c r="AF53" i="6" s="1"/>
  <c r="AG53" i="6"/>
  <c r="AH53" i="6" s="1"/>
  <c r="AE57" i="6"/>
  <c r="AF57" i="6" s="1"/>
  <c r="AG57" i="6"/>
  <c r="AH57" i="6" s="1"/>
  <c r="AN58" i="6"/>
  <c r="AM58" i="6"/>
  <c r="AN54" i="6"/>
  <c r="AM54" i="6"/>
  <c r="BK53" i="6"/>
  <c r="BL53" i="6" s="1"/>
  <c r="BI53" i="6"/>
  <c r="BJ53" i="6" s="1"/>
  <c r="AD58" i="6"/>
  <c r="AC58" i="6"/>
  <c r="BU54" i="6"/>
  <c r="BV54" i="6" s="1"/>
  <c r="BS54" i="6"/>
  <c r="BT54" i="6" s="1"/>
  <c r="AW56" i="6"/>
  <c r="AX56" i="6"/>
  <c r="AE55" i="6"/>
  <c r="AF55" i="6" s="1"/>
  <c r="AG55" i="6"/>
  <c r="AH55" i="6" s="1"/>
  <c r="BA53" i="6"/>
  <c r="BB53" i="6" s="1"/>
  <c r="AY53" i="6"/>
  <c r="AZ53" i="6" s="1"/>
  <c r="BR59" i="6"/>
  <c r="BQ59" i="6"/>
  <c r="BQ56" i="6"/>
  <c r="BR56" i="6"/>
  <c r="AY57" i="6"/>
  <c r="AZ57" i="6" s="1"/>
  <c r="BA57" i="6"/>
  <c r="BB57" i="6" s="1"/>
  <c r="AX59" i="6"/>
  <c r="AW59" i="6"/>
  <c r="AN56" i="6"/>
  <c r="AM56" i="6"/>
  <c r="AD59" i="6"/>
  <c r="AC59" i="6"/>
  <c r="AD56" i="6"/>
  <c r="AC56" i="6"/>
  <c r="BK56" i="6"/>
  <c r="BL56" i="6" s="1"/>
  <c r="BI56" i="6"/>
  <c r="BJ56" i="6" s="1"/>
  <c r="AY58" i="6"/>
  <c r="AZ58" i="6" s="1"/>
  <c r="BA58" i="6"/>
  <c r="BB58" i="6" s="1"/>
  <c r="B53" i="3"/>
  <c r="B47" i="3"/>
  <c r="B41" i="3"/>
  <c r="C56" i="3"/>
  <c r="C54" i="3"/>
  <c r="C52" i="3"/>
  <c r="C50" i="3"/>
  <c r="C48" i="3"/>
  <c r="C46" i="3"/>
  <c r="C44" i="3"/>
  <c r="C42" i="3"/>
  <c r="B51" i="3"/>
  <c r="B43" i="3"/>
  <c r="B56" i="3"/>
  <c r="B54" i="3"/>
  <c r="B52" i="3"/>
  <c r="B50" i="3"/>
  <c r="B48" i="3"/>
  <c r="B46" i="3"/>
  <c r="B44" i="3"/>
  <c r="B42" i="3"/>
  <c r="B55" i="3"/>
  <c r="B49" i="3"/>
  <c r="B45" i="3"/>
  <c r="C55" i="3"/>
  <c r="C53" i="3"/>
  <c r="C51" i="3"/>
  <c r="C49" i="3"/>
  <c r="C47" i="3"/>
  <c r="C45" i="3"/>
  <c r="C43" i="3"/>
  <c r="I111" i="6"/>
  <c r="N111" i="6" s="1"/>
  <c r="H111" i="6"/>
  <c r="F111" i="6"/>
  <c r="E111" i="6"/>
  <c r="C111" i="6"/>
  <c r="B111" i="6"/>
  <c r="I110" i="6"/>
  <c r="N110" i="6" s="1"/>
  <c r="H110" i="6"/>
  <c r="F110" i="6"/>
  <c r="E110" i="6"/>
  <c r="C110" i="6"/>
  <c r="B110" i="6"/>
  <c r="I109" i="6"/>
  <c r="N109" i="6" s="1"/>
  <c r="H109" i="6"/>
  <c r="F109" i="6"/>
  <c r="E109" i="6"/>
  <c r="C109" i="6"/>
  <c r="B109" i="6"/>
  <c r="I108" i="6"/>
  <c r="N108" i="6" s="1"/>
  <c r="H108" i="6"/>
  <c r="F108" i="6"/>
  <c r="E108" i="6"/>
  <c r="C108" i="6"/>
  <c r="B108" i="6"/>
  <c r="I107" i="6"/>
  <c r="N107" i="6" s="1"/>
  <c r="H107" i="6"/>
  <c r="F107" i="6"/>
  <c r="E107" i="6"/>
  <c r="C107" i="6"/>
  <c r="B107" i="6"/>
  <c r="I106" i="6"/>
  <c r="N106" i="6" s="1"/>
  <c r="H106" i="6"/>
  <c r="F106" i="6"/>
  <c r="E106" i="6"/>
  <c r="C106" i="6"/>
  <c r="B106" i="6"/>
  <c r="I105" i="6"/>
  <c r="N105" i="6" s="1"/>
  <c r="H105" i="6"/>
  <c r="F105" i="6"/>
  <c r="E105" i="6"/>
  <c r="C105" i="6"/>
  <c r="B105" i="6"/>
  <c r="I104" i="6"/>
  <c r="N104" i="6" s="1"/>
  <c r="H104" i="6"/>
  <c r="F104" i="6"/>
  <c r="E104" i="6"/>
  <c r="C104" i="6"/>
  <c r="B104" i="6"/>
  <c r="I65" i="6"/>
  <c r="N65" i="6" s="1"/>
  <c r="H65" i="6"/>
  <c r="F65" i="6"/>
  <c r="E65" i="6"/>
  <c r="C65" i="6"/>
  <c r="B65" i="6"/>
  <c r="I64" i="6"/>
  <c r="N64" i="6" s="1"/>
  <c r="H64" i="6"/>
  <c r="F64" i="6"/>
  <c r="E64" i="6"/>
  <c r="C64" i="6"/>
  <c r="B64" i="6"/>
  <c r="I63" i="6"/>
  <c r="N63" i="6" s="1"/>
  <c r="H63" i="6"/>
  <c r="F63" i="6"/>
  <c r="E63" i="6"/>
  <c r="C63" i="6"/>
  <c r="B63" i="6"/>
  <c r="I62" i="6"/>
  <c r="N62" i="6" s="1"/>
  <c r="H62" i="6"/>
  <c r="F62" i="6"/>
  <c r="E62" i="6"/>
  <c r="C62" i="6"/>
  <c r="B62" i="6"/>
  <c r="I61" i="6"/>
  <c r="N61" i="6" s="1"/>
  <c r="H61" i="6"/>
  <c r="F61" i="6"/>
  <c r="E61" i="6"/>
  <c r="C61" i="6"/>
  <c r="B61" i="6"/>
  <c r="I60" i="6"/>
  <c r="N60" i="6" s="1"/>
  <c r="H60" i="6"/>
  <c r="F60" i="6"/>
  <c r="E60" i="6"/>
  <c r="C60" i="6"/>
  <c r="B60" i="6"/>
  <c r="I49" i="6"/>
  <c r="H49" i="6"/>
  <c r="F49" i="6"/>
  <c r="E49" i="6"/>
  <c r="C49" i="6"/>
  <c r="B49" i="6"/>
  <c r="I48" i="6"/>
  <c r="H48" i="6"/>
  <c r="F48" i="6"/>
  <c r="E48" i="6"/>
  <c r="C48" i="6"/>
  <c r="B48" i="6"/>
  <c r="H47" i="6"/>
  <c r="F47" i="6"/>
  <c r="E47" i="6"/>
  <c r="C47" i="6"/>
  <c r="B47" i="6"/>
  <c r="H46" i="6"/>
  <c r="F46" i="6"/>
  <c r="E46" i="6"/>
  <c r="C46" i="6"/>
  <c r="B46" i="6"/>
  <c r="H45" i="6"/>
  <c r="F45" i="6"/>
  <c r="E45" i="6"/>
  <c r="C45" i="6"/>
  <c r="B45" i="6"/>
  <c r="H44" i="6"/>
  <c r="F44" i="6"/>
  <c r="E44" i="6"/>
  <c r="C44" i="6"/>
  <c r="B44" i="6"/>
  <c r="H43" i="6"/>
  <c r="F43" i="6"/>
  <c r="E43" i="6"/>
  <c r="C43" i="6"/>
  <c r="B43" i="6"/>
  <c r="H42" i="6"/>
  <c r="F42" i="6"/>
  <c r="E42" i="6"/>
  <c r="C42" i="6"/>
  <c r="B42" i="6"/>
  <c r="H41" i="6"/>
  <c r="F41" i="6"/>
  <c r="E41" i="6"/>
  <c r="C41" i="6"/>
  <c r="B41" i="6"/>
  <c r="H40" i="6"/>
  <c r="F40" i="6"/>
  <c r="E40" i="6"/>
  <c r="C40" i="6"/>
  <c r="B40" i="6"/>
  <c r="H39" i="6"/>
  <c r="F39" i="6"/>
  <c r="E39" i="6"/>
  <c r="C39" i="6"/>
  <c r="B39" i="6"/>
  <c r="H38" i="6"/>
  <c r="F38" i="6"/>
  <c r="E38" i="6"/>
  <c r="C38" i="6"/>
  <c r="B38" i="6"/>
  <c r="H37" i="6"/>
  <c r="F37" i="6"/>
  <c r="E37" i="6"/>
  <c r="C37" i="6"/>
  <c r="B37" i="6"/>
  <c r="H36" i="6"/>
  <c r="F36" i="6"/>
  <c r="E36" i="6"/>
  <c r="C36" i="6"/>
  <c r="B36" i="6"/>
  <c r="H35" i="6"/>
  <c r="F35" i="6"/>
  <c r="E35" i="6"/>
  <c r="C35" i="6"/>
  <c r="B35" i="6"/>
  <c r="H34" i="6"/>
  <c r="F34" i="6"/>
  <c r="E34" i="6"/>
  <c r="C34" i="6"/>
  <c r="B34" i="6"/>
  <c r="H33" i="6"/>
  <c r="F33" i="6"/>
  <c r="E33" i="6"/>
  <c r="C33" i="6"/>
  <c r="B33" i="6"/>
  <c r="H32" i="6"/>
  <c r="F32" i="6"/>
  <c r="E32" i="6"/>
  <c r="C32" i="6"/>
  <c r="B32" i="6"/>
  <c r="H31" i="6"/>
  <c r="F31" i="6"/>
  <c r="E31" i="6"/>
  <c r="C31" i="6"/>
  <c r="B31" i="6"/>
  <c r="H30" i="6"/>
  <c r="F30" i="6"/>
  <c r="E30" i="6"/>
  <c r="C30" i="6"/>
  <c r="B30" i="6"/>
  <c r="H29" i="6"/>
  <c r="F29" i="6"/>
  <c r="E29" i="6"/>
  <c r="C29" i="6"/>
  <c r="B29" i="6"/>
  <c r="H28" i="6"/>
  <c r="F28" i="6"/>
  <c r="E28" i="6"/>
  <c r="C28" i="6"/>
  <c r="B28" i="6"/>
  <c r="H27" i="6"/>
  <c r="F27" i="6"/>
  <c r="E27" i="6"/>
  <c r="C27" i="6"/>
  <c r="B27" i="6"/>
  <c r="H26" i="6"/>
  <c r="F26" i="6"/>
  <c r="E26" i="6"/>
  <c r="C26" i="6"/>
  <c r="B26" i="6"/>
  <c r="H25" i="6"/>
  <c r="F25" i="6"/>
  <c r="E25" i="6"/>
  <c r="C25" i="6"/>
  <c r="B25" i="6"/>
  <c r="H24" i="6"/>
  <c r="F24" i="6"/>
  <c r="E24" i="6"/>
  <c r="C24" i="6"/>
  <c r="B24" i="6"/>
  <c r="H23" i="6"/>
  <c r="F23" i="6"/>
  <c r="E23" i="6"/>
  <c r="C23" i="6"/>
  <c r="B23" i="6"/>
  <c r="H22" i="6"/>
  <c r="F22" i="6"/>
  <c r="E22" i="6"/>
  <c r="C22" i="6"/>
  <c r="B22" i="6"/>
  <c r="H21" i="6"/>
  <c r="F21" i="6"/>
  <c r="E21" i="6"/>
  <c r="C21" i="6"/>
  <c r="B21" i="6"/>
  <c r="H20" i="6"/>
  <c r="F20" i="6"/>
  <c r="E20" i="6"/>
  <c r="C20" i="6"/>
  <c r="B20" i="6"/>
  <c r="H19" i="6"/>
  <c r="F19" i="6"/>
  <c r="E19" i="6"/>
  <c r="C19" i="6"/>
  <c r="B19" i="6"/>
  <c r="H18" i="6"/>
  <c r="F18" i="6"/>
  <c r="E18" i="6"/>
  <c r="C18" i="6"/>
  <c r="B18" i="6"/>
  <c r="H17" i="6"/>
  <c r="F17" i="6"/>
  <c r="E17" i="6"/>
  <c r="C17" i="6"/>
  <c r="B17" i="6"/>
  <c r="H16" i="6"/>
  <c r="F16" i="6"/>
  <c r="E16" i="6"/>
  <c r="C16" i="6"/>
  <c r="B16" i="6"/>
  <c r="H15" i="6"/>
  <c r="F15" i="6"/>
  <c r="E15" i="6"/>
  <c r="C15" i="6"/>
  <c r="B15" i="6"/>
  <c r="H14" i="6"/>
  <c r="F14" i="6"/>
  <c r="E14" i="6"/>
  <c r="C14" i="6"/>
  <c r="B14" i="6"/>
  <c r="H13" i="6"/>
  <c r="F13" i="6"/>
  <c r="E13" i="6"/>
  <c r="C13" i="6"/>
  <c r="B13" i="6"/>
  <c r="H12" i="6"/>
  <c r="F12" i="6"/>
  <c r="E12" i="6"/>
  <c r="C12" i="6"/>
  <c r="B12" i="6"/>
  <c r="H11" i="6"/>
  <c r="F11" i="6"/>
  <c r="E11" i="6"/>
  <c r="C11" i="6"/>
  <c r="B11" i="6"/>
  <c r="H10" i="6"/>
  <c r="F10" i="6"/>
  <c r="E10" i="6"/>
  <c r="C10" i="6"/>
  <c r="B10" i="6"/>
  <c r="H9" i="6"/>
  <c r="F9" i="6"/>
  <c r="E9" i="6"/>
  <c r="C9" i="6"/>
  <c r="B9" i="6"/>
  <c r="H8" i="6"/>
  <c r="F8" i="6"/>
  <c r="E8" i="6"/>
  <c r="C8" i="6"/>
  <c r="B8" i="6"/>
  <c r="H7" i="6"/>
  <c r="F7" i="6"/>
  <c r="E7" i="6"/>
  <c r="C7" i="6"/>
  <c r="B7" i="6"/>
  <c r="H6" i="6"/>
  <c r="F6" i="6"/>
  <c r="E6" i="6"/>
  <c r="C6" i="6"/>
  <c r="B6" i="6"/>
  <c r="H5" i="6"/>
  <c r="F5" i="6"/>
  <c r="E5" i="6"/>
  <c r="C5" i="6"/>
  <c r="B5" i="6"/>
  <c r="H4" i="6"/>
  <c r="F4" i="6"/>
  <c r="E4" i="6"/>
  <c r="C4" i="6"/>
  <c r="B4" i="6"/>
  <c r="H3" i="6"/>
  <c r="F3" i="6"/>
  <c r="E3" i="6"/>
  <c r="C3" i="6"/>
  <c r="B3" i="6"/>
  <c r="C2" i="6"/>
  <c r="B2" i="6"/>
  <c r="AA86" i="2" l="1"/>
  <c r="AA91" i="2"/>
  <c r="AA97" i="2"/>
  <c r="AA88" i="2"/>
  <c r="AA94" i="2"/>
  <c r="AA100" i="2"/>
  <c r="AA89" i="2"/>
  <c r="AA95" i="2"/>
  <c r="AA101" i="2"/>
  <c r="AA92" i="2"/>
  <c r="AA83" i="2"/>
  <c r="AA84" i="2"/>
  <c r="AA98" i="2"/>
  <c r="AA87" i="2"/>
  <c r="AA93" i="2"/>
  <c r="AA99" i="2"/>
  <c r="AA90" i="2"/>
  <c r="AA96" i="2"/>
  <c r="AA85" i="2"/>
  <c r="BU57" i="6"/>
  <c r="BV57" i="6" s="1"/>
  <c r="AQ74" i="6"/>
  <c r="AR74" i="6" s="1"/>
  <c r="AY99" i="6"/>
  <c r="AZ99" i="6" s="1"/>
  <c r="BI90" i="6"/>
  <c r="BJ90" i="6" s="1"/>
  <c r="BK89" i="6"/>
  <c r="BL89" i="6" s="1"/>
  <c r="AG77" i="6"/>
  <c r="AH77" i="6" s="1"/>
  <c r="AY103" i="6"/>
  <c r="AZ103" i="6" s="1"/>
  <c r="AO101" i="6"/>
  <c r="AP101" i="6" s="1"/>
  <c r="BU76" i="6"/>
  <c r="BV76" i="6" s="1"/>
  <c r="AE92" i="6"/>
  <c r="AF92" i="6" s="1"/>
  <c r="AE75" i="6"/>
  <c r="AF75" i="6" s="1"/>
  <c r="BA68" i="6"/>
  <c r="BB68" i="6" s="1"/>
  <c r="BI102" i="6"/>
  <c r="BJ102" i="6" s="1"/>
  <c r="BK86" i="6"/>
  <c r="BL86" i="6" s="1"/>
  <c r="BU80" i="6"/>
  <c r="BV80" i="6" s="1"/>
  <c r="BA79" i="6"/>
  <c r="BB79" i="6" s="1"/>
  <c r="AQ97" i="6"/>
  <c r="AR97" i="6" s="1"/>
  <c r="AE89" i="6"/>
  <c r="AF89" i="6" s="1"/>
  <c r="BI59" i="6"/>
  <c r="BJ59" i="6" s="1"/>
  <c r="AQ69" i="6"/>
  <c r="AR69" i="6" s="1"/>
  <c r="AG94" i="6"/>
  <c r="AH94" i="6" s="1"/>
  <c r="AE103" i="6"/>
  <c r="AF103" i="6" s="1"/>
  <c r="J6" i="6"/>
  <c r="BC6" i="6" s="1"/>
  <c r="BD6" i="6" s="1"/>
  <c r="Z3" i="2"/>
  <c r="L2" i="16" s="1"/>
  <c r="AO81" i="6"/>
  <c r="AP81" i="6" s="1"/>
  <c r="AQ81" i="6"/>
  <c r="AR81" i="6" s="1"/>
  <c r="AG101" i="6"/>
  <c r="AH101" i="6" s="1"/>
  <c r="BI81" i="6"/>
  <c r="BJ81" i="6" s="1"/>
  <c r="BK81" i="6"/>
  <c r="BL81" i="6" s="1"/>
  <c r="BK67" i="6"/>
  <c r="BL67" i="6" s="1"/>
  <c r="BK68" i="6"/>
  <c r="BL68" i="6" s="1"/>
  <c r="BM43" i="6"/>
  <c r="Y43" i="6"/>
  <c r="V43" i="6"/>
  <c r="AI43" i="6"/>
  <c r="AJ43" i="6" s="1"/>
  <c r="AS43" i="6"/>
  <c r="AT43" i="6" s="1"/>
  <c r="BC43" i="6"/>
  <c r="BM13" i="6"/>
  <c r="AS13" i="6"/>
  <c r="Y13" i="6"/>
  <c r="BC13" i="6"/>
  <c r="BD13" i="6" s="1"/>
  <c r="AI13" i="6"/>
  <c r="AJ13" i="6" s="1"/>
  <c r="V13" i="6"/>
  <c r="BK54" i="6"/>
  <c r="BL54" i="6" s="1"/>
  <c r="BA74" i="6"/>
  <c r="BB74" i="6" s="1"/>
  <c r="BI75" i="6"/>
  <c r="BJ75" i="6" s="1"/>
  <c r="BK73" i="6"/>
  <c r="BL73" i="6" s="1"/>
  <c r="BI87" i="6"/>
  <c r="BJ87" i="6" s="1"/>
  <c r="AQ100" i="6"/>
  <c r="AR100" i="6" s="1"/>
  <c r="BA95" i="6"/>
  <c r="BB95" i="6" s="1"/>
  <c r="Y47" i="6"/>
  <c r="V47" i="6"/>
  <c r="BM47" i="6"/>
  <c r="AI47" i="6"/>
  <c r="AJ47" i="6" s="1"/>
  <c r="BC47" i="6"/>
  <c r="AS47" i="6"/>
  <c r="AT47" i="6" s="1"/>
  <c r="Y45" i="6"/>
  <c r="AI45" i="6"/>
  <c r="BC45" i="6"/>
  <c r="BD45" i="6" s="1"/>
  <c r="V45" i="6"/>
  <c r="BM45" i="6"/>
  <c r="AS45" i="6"/>
  <c r="AT45" i="6" s="1"/>
  <c r="BC37" i="6"/>
  <c r="Y37" i="6"/>
  <c r="AS37" i="6"/>
  <c r="AT37" i="6" s="1"/>
  <c r="V37" i="6"/>
  <c r="BM37" i="6"/>
  <c r="BN37" i="6" s="1"/>
  <c r="AI37" i="6"/>
  <c r="AJ37" i="6" s="1"/>
  <c r="BM8" i="6"/>
  <c r="AI8" i="6"/>
  <c r="BC8" i="6"/>
  <c r="BD8" i="6" s="1"/>
  <c r="Y8" i="6"/>
  <c r="AS8" i="6"/>
  <c r="AT8" i="6" s="1"/>
  <c r="V8" i="6"/>
  <c r="BC11" i="6"/>
  <c r="BD11" i="6" s="1"/>
  <c r="Y11" i="6"/>
  <c r="AI11" i="6"/>
  <c r="BM11" i="6"/>
  <c r="BN11" i="6" s="1"/>
  <c r="V11" i="6"/>
  <c r="AS11" i="6"/>
  <c r="AT11" i="6" s="1"/>
  <c r="BM18" i="6"/>
  <c r="BN18" i="6" s="1"/>
  <c r="Y18" i="6"/>
  <c r="AI18" i="6"/>
  <c r="AJ18" i="6" s="1"/>
  <c r="BC18" i="6"/>
  <c r="AS18" i="6"/>
  <c r="V18" i="6"/>
  <c r="AS27" i="6"/>
  <c r="BC27" i="6"/>
  <c r="BD27" i="6" s="1"/>
  <c r="BM27" i="6"/>
  <c r="BN27" i="6" s="1"/>
  <c r="Y27" i="6"/>
  <c r="V27" i="6"/>
  <c r="AI27" i="6"/>
  <c r="AJ27" i="6" s="1"/>
  <c r="BC24" i="6"/>
  <c r="BD24" i="6" s="1"/>
  <c r="Y24" i="6"/>
  <c r="AS24" i="6"/>
  <c r="BM24" i="6"/>
  <c r="BN24" i="6" s="1"/>
  <c r="V24" i="6"/>
  <c r="AI24" i="6"/>
  <c r="AJ24" i="6" s="1"/>
  <c r="BM46" i="6"/>
  <c r="AS46" i="6"/>
  <c r="AT46" i="6" s="1"/>
  <c r="AI46" i="6"/>
  <c r="AJ46" i="6" s="1"/>
  <c r="BC46" i="6"/>
  <c r="BD46" i="6" s="1"/>
  <c r="V46" i="6"/>
  <c r="Y46" i="6"/>
  <c r="BC40" i="6"/>
  <c r="BD40" i="6" s="1"/>
  <c r="AI40" i="6"/>
  <c r="AJ40" i="6" s="1"/>
  <c r="AS40" i="6"/>
  <c r="Y40" i="6"/>
  <c r="V40" i="6"/>
  <c r="BM40" i="6"/>
  <c r="AS20" i="6"/>
  <c r="AT20" i="6" s="1"/>
  <c r="AI20" i="6"/>
  <c r="AJ20" i="6" s="1"/>
  <c r="V20" i="6"/>
  <c r="Y20" i="6"/>
  <c r="BC20" i="6"/>
  <c r="BM20" i="6"/>
  <c r="BN20" i="6" s="1"/>
  <c r="BU97" i="6"/>
  <c r="BV97" i="6" s="1"/>
  <c r="AQ71" i="6"/>
  <c r="AR71" i="6" s="1"/>
  <c r="BU96" i="6"/>
  <c r="BV96" i="6" s="1"/>
  <c r="BA85" i="6"/>
  <c r="BB85" i="6" s="1"/>
  <c r="AG100" i="6"/>
  <c r="AH100" i="6" s="1"/>
  <c r="BK80" i="6"/>
  <c r="BL80" i="6" s="1"/>
  <c r="BU73" i="6"/>
  <c r="BV73" i="6" s="1"/>
  <c r="AY89" i="6"/>
  <c r="AZ89" i="6" s="1"/>
  <c r="AQ57" i="6"/>
  <c r="AR57" i="6" s="1"/>
  <c r="BS75" i="6"/>
  <c r="BT75" i="6" s="1"/>
  <c r="BU88" i="6"/>
  <c r="BV88" i="6" s="1"/>
  <c r="AG102" i="6"/>
  <c r="AH102" i="6" s="1"/>
  <c r="L6" i="6"/>
  <c r="L43" i="6"/>
  <c r="BI100" i="6"/>
  <c r="BJ100" i="6" s="1"/>
  <c r="BI91" i="6"/>
  <c r="BJ91" i="6" s="1"/>
  <c r="AG84" i="6"/>
  <c r="AH84" i="6" s="1"/>
  <c r="AQ93" i="6"/>
  <c r="AR93" i="6" s="1"/>
  <c r="AO93" i="6"/>
  <c r="AP93" i="6" s="1"/>
  <c r="AY98" i="6"/>
  <c r="AZ98" i="6" s="1"/>
  <c r="BA98" i="6"/>
  <c r="BB98" i="6" s="1"/>
  <c r="BK97" i="6"/>
  <c r="BL97" i="6" s="1"/>
  <c r="BI97" i="6"/>
  <c r="BJ97" i="6" s="1"/>
  <c r="BA101" i="6"/>
  <c r="BB101" i="6" s="1"/>
  <c r="AY101" i="6"/>
  <c r="AZ101" i="6" s="1"/>
  <c r="BA91" i="6"/>
  <c r="BB91" i="6" s="1"/>
  <c r="AY91" i="6"/>
  <c r="AZ91" i="6" s="1"/>
  <c r="BK99" i="6"/>
  <c r="BL99" i="6" s="1"/>
  <c r="BI99" i="6"/>
  <c r="BJ99" i="6" s="1"/>
  <c r="BS85" i="6"/>
  <c r="BT85" i="6" s="1"/>
  <c r="BU85" i="6"/>
  <c r="BV85" i="6" s="1"/>
  <c r="AO87" i="6"/>
  <c r="AP87" i="6" s="1"/>
  <c r="AQ87" i="6"/>
  <c r="AR87" i="6" s="1"/>
  <c r="AG87" i="6"/>
  <c r="AH87" i="6" s="1"/>
  <c r="AE87" i="6"/>
  <c r="AF87" i="6" s="1"/>
  <c r="AY90" i="6"/>
  <c r="AZ90" i="6" s="1"/>
  <c r="BA90" i="6"/>
  <c r="BB90" i="6" s="1"/>
  <c r="AE99" i="6"/>
  <c r="AF99" i="6" s="1"/>
  <c r="AG99" i="6"/>
  <c r="AH99" i="6" s="1"/>
  <c r="AE85" i="6"/>
  <c r="AF85" i="6" s="1"/>
  <c r="AG85" i="6"/>
  <c r="AH85" i="6" s="1"/>
  <c r="BI85" i="6"/>
  <c r="BJ85" i="6" s="1"/>
  <c r="BK85" i="6"/>
  <c r="BL85" i="6" s="1"/>
  <c r="BA94" i="6"/>
  <c r="BB94" i="6" s="1"/>
  <c r="AY94" i="6"/>
  <c r="AZ94" i="6" s="1"/>
  <c r="AO86" i="6"/>
  <c r="AP86" i="6" s="1"/>
  <c r="AQ86" i="6"/>
  <c r="AR86" i="6" s="1"/>
  <c r="AQ95" i="6"/>
  <c r="AR95" i="6" s="1"/>
  <c r="AO95" i="6"/>
  <c r="AP95" i="6" s="1"/>
  <c r="BU94" i="6"/>
  <c r="BV94" i="6" s="1"/>
  <c r="BS94" i="6"/>
  <c r="BT94" i="6" s="1"/>
  <c r="AQ96" i="6"/>
  <c r="AR96" i="6" s="1"/>
  <c r="AO96" i="6"/>
  <c r="AP96" i="6" s="1"/>
  <c r="BI88" i="6"/>
  <c r="BJ88" i="6" s="1"/>
  <c r="BK88" i="6"/>
  <c r="BL88" i="6" s="1"/>
  <c r="BI96" i="6"/>
  <c r="BJ96" i="6" s="1"/>
  <c r="BK96" i="6"/>
  <c r="BL96" i="6" s="1"/>
  <c r="AO94" i="6"/>
  <c r="AP94" i="6" s="1"/>
  <c r="AQ94" i="6"/>
  <c r="AR94" i="6" s="1"/>
  <c r="BI94" i="6"/>
  <c r="BJ94" i="6" s="1"/>
  <c r="BK94" i="6"/>
  <c r="BL94" i="6" s="1"/>
  <c r="AY88" i="6"/>
  <c r="AZ88" i="6" s="1"/>
  <c r="BA88" i="6"/>
  <c r="BB88" i="6" s="1"/>
  <c r="BI98" i="6"/>
  <c r="BJ98" i="6" s="1"/>
  <c r="BK98" i="6"/>
  <c r="BL98" i="6" s="1"/>
  <c r="AO98" i="6"/>
  <c r="AP98" i="6" s="1"/>
  <c r="AQ98" i="6"/>
  <c r="AR98" i="6" s="1"/>
  <c r="AO88" i="6"/>
  <c r="AP88" i="6" s="1"/>
  <c r="AQ88" i="6"/>
  <c r="AR88" i="6" s="1"/>
  <c r="AE96" i="6"/>
  <c r="AF96" i="6" s="1"/>
  <c r="AG96" i="6"/>
  <c r="AH96" i="6" s="1"/>
  <c r="AY93" i="6"/>
  <c r="AZ93" i="6" s="1"/>
  <c r="BA93" i="6"/>
  <c r="BB93" i="6" s="1"/>
  <c r="BA84" i="6"/>
  <c r="BB84" i="6" s="1"/>
  <c r="AY84" i="6"/>
  <c r="AZ84" i="6" s="1"/>
  <c r="AO85" i="6"/>
  <c r="AP85" i="6" s="1"/>
  <c r="AQ85" i="6"/>
  <c r="AR85" i="6" s="1"/>
  <c r="BI93" i="6"/>
  <c r="BJ93" i="6" s="1"/>
  <c r="BK93" i="6"/>
  <c r="BL93" i="6" s="1"/>
  <c r="BI95" i="6"/>
  <c r="BJ95" i="6" s="1"/>
  <c r="BK95" i="6"/>
  <c r="BL95" i="6" s="1"/>
  <c r="BS93" i="6"/>
  <c r="BT93" i="6" s="1"/>
  <c r="BU93" i="6"/>
  <c r="BV93" i="6" s="1"/>
  <c r="BI84" i="6"/>
  <c r="BJ84" i="6" s="1"/>
  <c r="BK84" i="6"/>
  <c r="BL84" i="6" s="1"/>
  <c r="AG98" i="6"/>
  <c r="AH98" i="6" s="1"/>
  <c r="AE98" i="6"/>
  <c r="AF98" i="6" s="1"/>
  <c r="AE86" i="6"/>
  <c r="AF86" i="6" s="1"/>
  <c r="AG86" i="6"/>
  <c r="AH86" i="6" s="1"/>
  <c r="BU99" i="6"/>
  <c r="BV99" i="6" s="1"/>
  <c r="BS99" i="6"/>
  <c r="BT99" i="6" s="1"/>
  <c r="AG91" i="6"/>
  <c r="AH91" i="6" s="1"/>
  <c r="AE91" i="6"/>
  <c r="AF91" i="6" s="1"/>
  <c r="AY96" i="6"/>
  <c r="AZ96" i="6" s="1"/>
  <c r="BA96" i="6"/>
  <c r="BB96" i="6" s="1"/>
  <c r="BU87" i="6"/>
  <c r="BV87" i="6" s="1"/>
  <c r="BS87" i="6"/>
  <c r="BT87" i="6" s="1"/>
  <c r="AE78" i="6"/>
  <c r="AF78" i="6" s="1"/>
  <c r="AG78" i="6"/>
  <c r="AH78" i="6" s="1"/>
  <c r="BS74" i="6"/>
  <c r="BT74" i="6" s="1"/>
  <c r="BU74" i="6"/>
  <c r="BV74" i="6" s="1"/>
  <c r="AY66" i="6"/>
  <c r="AZ66" i="6" s="1"/>
  <c r="BA66" i="6"/>
  <c r="BB66" i="6" s="1"/>
  <c r="AE76" i="6"/>
  <c r="AF76" i="6" s="1"/>
  <c r="AG76" i="6"/>
  <c r="AH76" i="6" s="1"/>
  <c r="BI72" i="6"/>
  <c r="BJ72" i="6" s="1"/>
  <c r="BK72" i="6"/>
  <c r="BL72" i="6" s="1"/>
  <c r="BU78" i="6"/>
  <c r="BV78" i="6" s="1"/>
  <c r="BS78" i="6"/>
  <c r="BT78" i="6" s="1"/>
  <c r="BK76" i="6"/>
  <c r="BL76" i="6" s="1"/>
  <c r="BI76" i="6"/>
  <c r="BJ76" i="6" s="1"/>
  <c r="AO77" i="6"/>
  <c r="AP77" i="6" s="1"/>
  <c r="AQ77" i="6"/>
  <c r="AR77" i="6" s="1"/>
  <c r="BS68" i="6"/>
  <c r="BT68" i="6" s="1"/>
  <c r="BU68" i="6"/>
  <c r="BV68" i="6" s="1"/>
  <c r="AQ75" i="6"/>
  <c r="AR75" i="6" s="1"/>
  <c r="AO75" i="6"/>
  <c r="AP75" i="6" s="1"/>
  <c r="BI77" i="6"/>
  <c r="BJ77" i="6" s="1"/>
  <c r="BK77" i="6"/>
  <c r="BL77" i="6" s="1"/>
  <c r="BU79" i="6"/>
  <c r="BV79" i="6" s="1"/>
  <c r="BS79" i="6"/>
  <c r="BT79" i="6" s="1"/>
  <c r="AQ103" i="6"/>
  <c r="AR103" i="6" s="1"/>
  <c r="AO103" i="6"/>
  <c r="AP103" i="6" s="1"/>
  <c r="AY75" i="6"/>
  <c r="AZ75" i="6" s="1"/>
  <c r="BA75" i="6"/>
  <c r="BB75" i="6" s="1"/>
  <c r="AO66" i="6"/>
  <c r="AP66" i="6" s="1"/>
  <c r="AQ66" i="6"/>
  <c r="AR66" i="6" s="1"/>
  <c r="BS103" i="6"/>
  <c r="BT103" i="6" s="1"/>
  <c r="BU103" i="6"/>
  <c r="BV103" i="6" s="1"/>
  <c r="BA76" i="6"/>
  <c r="BB76" i="6" s="1"/>
  <c r="AY76" i="6"/>
  <c r="AZ76" i="6" s="1"/>
  <c r="BU66" i="6"/>
  <c r="BV66" i="6" s="1"/>
  <c r="BS66" i="6"/>
  <c r="BT66" i="6" s="1"/>
  <c r="BA78" i="6"/>
  <c r="BB78" i="6" s="1"/>
  <c r="AY78" i="6"/>
  <c r="AZ78" i="6" s="1"/>
  <c r="BA77" i="6"/>
  <c r="BB77" i="6" s="1"/>
  <c r="AY77" i="6"/>
  <c r="AZ77" i="6" s="1"/>
  <c r="AE74" i="6"/>
  <c r="AF74" i="6" s="1"/>
  <c r="AG74" i="6"/>
  <c r="AH74" i="6" s="1"/>
  <c r="AQ72" i="6"/>
  <c r="AR72" i="6" s="1"/>
  <c r="AO72" i="6"/>
  <c r="AP72" i="6" s="1"/>
  <c r="BS72" i="6"/>
  <c r="BT72" i="6" s="1"/>
  <c r="BU72" i="6"/>
  <c r="BV72" i="6" s="1"/>
  <c r="BI66" i="6"/>
  <c r="BJ66" i="6" s="1"/>
  <c r="BK66" i="6"/>
  <c r="BL66" i="6" s="1"/>
  <c r="AE79" i="6"/>
  <c r="AF79" i="6" s="1"/>
  <c r="AG79" i="6"/>
  <c r="AH79" i="6" s="1"/>
  <c r="AQ76" i="6"/>
  <c r="AR76" i="6" s="1"/>
  <c r="AO76" i="6"/>
  <c r="AP76" i="6" s="1"/>
  <c r="AG72" i="6"/>
  <c r="AH72" i="6" s="1"/>
  <c r="AE72" i="6"/>
  <c r="AF72" i="6" s="1"/>
  <c r="BK69" i="6"/>
  <c r="BL69" i="6" s="1"/>
  <c r="BI69" i="6"/>
  <c r="BJ69" i="6" s="1"/>
  <c r="BK74" i="6"/>
  <c r="BL74" i="6" s="1"/>
  <c r="BI74" i="6"/>
  <c r="BJ74" i="6" s="1"/>
  <c r="AO78" i="6"/>
  <c r="AP78" i="6" s="1"/>
  <c r="AQ78" i="6"/>
  <c r="AR78" i="6" s="1"/>
  <c r="AO79" i="6"/>
  <c r="AP79" i="6" s="1"/>
  <c r="AQ79" i="6"/>
  <c r="AR79" i="6" s="1"/>
  <c r="AG54" i="6"/>
  <c r="AH54" i="6" s="1"/>
  <c r="AE54" i="6"/>
  <c r="AF54" i="6" s="1"/>
  <c r="AG56" i="6"/>
  <c r="AH56" i="6" s="1"/>
  <c r="AE56" i="6"/>
  <c r="AF56" i="6" s="1"/>
  <c r="AQ56" i="6"/>
  <c r="AR56" i="6" s="1"/>
  <c r="AO56" i="6"/>
  <c r="AP56" i="6" s="1"/>
  <c r="BS59" i="6"/>
  <c r="BT59" i="6" s="1"/>
  <c r="BU59" i="6"/>
  <c r="BV59" i="6" s="1"/>
  <c r="AQ58" i="6"/>
  <c r="AR58" i="6" s="1"/>
  <c r="AO58" i="6"/>
  <c r="AP58" i="6" s="1"/>
  <c r="BK58" i="6"/>
  <c r="BL58" i="6" s="1"/>
  <c r="BI58" i="6"/>
  <c r="BJ58" i="6" s="1"/>
  <c r="BU58" i="6"/>
  <c r="BV58" i="6" s="1"/>
  <c r="BS58" i="6"/>
  <c r="BT58" i="6" s="1"/>
  <c r="BU56" i="6"/>
  <c r="BV56" i="6" s="1"/>
  <c r="BS56" i="6"/>
  <c r="BT56" i="6" s="1"/>
  <c r="BA56" i="6"/>
  <c r="BB56" i="6" s="1"/>
  <c r="AY56" i="6"/>
  <c r="AZ56" i="6" s="1"/>
  <c r="AG59" i="6"/>
  <c r="AH59" i="6" s="1"/>
  <c r="AE59" i="6"/>
  <c r="AF59" i="6" s="1"/>
  <c r="AY59" i="6"/>
  <c r="AZ59" i="6" s="1"/>
  <c r="BA59" i="6"/>
  <c r="BB59" i="6" s="1"/>
  <c r="AE58" i="6"/>
  <c r="AF58" i="6" s="1"/>
  <c r="AG58" i="6"/>
  <c r="AH58" i="6" s="1"/>
  <c r="AO54" i="6"/>
  <c r="AP54" i="6" s="1"/>
  <c r="AQ54" i="6"/>
  <c r="AR54" i="6" s="1"/>
  <c r="AY54" i="6"/>
  <c r="AZ54" i="6" s="1"/>
  <c r="BA54" i="6"/>
  <c r="BB54" i="6" s="1"/>
  <c r="BD4" i="6"/>
  <c r="AT4" i="6"/>
  <c r="BN4" i="6"/>
  <c r="BN9" i="6"/>
  <c r="BD9" i="6"/>
  <c r="AT9" i="6"/>
  <c r="BN44" i="6"/>
  <c r="AT44" i="6"/>
  <c r="BD44" i="6"/>
  <c r="AT7" i="6"/>
  <c r="BN7" i="6"/>
  <c r="BD7" i="6"/>
  <c r="BD5" i="6"/>
  <c r="AT5" i="6"/>
  <c r="BN5" i="6"/>
  <c r="BD12" i="6"/>
  <c r="BN12" i="6"/>
  <c r="AT12" i="6"/>
  <c r="BD30" i="6"/>
  <c r="AT30" i="6"/>
  <c r="BN30" i="6"/>
  <c r="BD60" i="6"/>
  <c r="BN60" i="6"/>
  <c r="AT60" i="6"/>
  <c r="BN62" i="6"/>
  <c r="AT62" i="6"/>
  <c r="BD62" i="6"/>
  <c r="BN64" i="6"/>
  <c r="AT64" i="6"/>
  <c r="BD64" i="6"/>
  <c r="BN104" i="6"/>
  <c r="AT104" i="6"/>
  <c r="BD104" i="6"/>
  <c r="AT106" i="6"/>
  <c r="BN106" i="6"/>
  <c r="BD106" i="6"/>
  <c r="BN108" i="6"/>
  <c r="AT108" i="6"/>
  <c r="BD108" i="6"/>
  <c r="BD110" i="6"/>
  <c r="BN110" i="6"/>
  <c r="AT110" i="6"/>
  <c r="AT17" i="6"/>
  <c r="BD17" i="6"/>
  <c r="BN17" i="6"/>
  <c r="AT31" i="6"/>
  <c r="BD31" i="6"/>
  <c r="BN31" i="6"/>
  <c r="BN46" i="6"/>
  <c r="BN47" i="6"/>
  <c r="BN34" i="6"/>
  <c r="BD34" i="6"/>
  <c r="AT34" i="6"/>
  <c r="BN49" i="6"/>
  <c r="AT49" i="6"/>
  <c r="BD49" i="6"/>
  <c r="BN38" i="6"/>
  <c r="AT38" i="6"/>
  <c r="BD38" i="6"/>
  <c r="BD21" i="6"/>
  <c r="AT21" i="6"/>
  <c r="BN21" i="6"/>
  <c r="AT25" i="6"/>
  <c r="BD25" i="6"/>
  <c r="BN25" i="6"/>
  <c r="BD28" i="6"/>
  <c r="AT28" i="6"/>
  <c r="BN28" i="6"/>
  <c r="AT19" i="6"/>
  <c r="BN19" i="6"/>
  <c r="BD19" i="6"/>
  <c r="AT22" i="6"/>
  <c r="BD22" i="6"/>
  <c r="BN22" i="6"/>
  <c r="BN16" i="6"/>
  <c r="BD16" i="6"/>
  <c r="AT16" i="6"/>
  <c r="AT15" i="6"/>
  <c r="BN15" i="6"/>
  <c r="BD15" i="6"/>
  <c r="AT42" i="6"/>
  <c r="BD42" i="6"/>
  <c r="BN42" i="6"/>
  <c r="AT61" i="6"/>
  <c r="BN61" i="6"/>
  <c r="BD61" i="6"/>
  <c r="BN63" i="6"/>
  <c r="BD63" i="6"/>
  <c r="AT63" i="6"/>
  <c r="BN65" i="6"/>
  <c r="AT65" i="6"/>
  <c r="BD65" i="6"/>
  <c r="BD105" i="6"/>
  <c r="AT105" i="6"/>
  <c r="BN105" i="6"/>
  <c r="BD107" i="6"/>
  <c r="AT107" i="6"/>
  <c r="BN107" i="6"/>
  <c r="BD109" i="6"/>
  <c r="BN109" i="6"/>
  <c r="AT109" i="6"/>
  <c r="BN111" i="6"/>
  <c r="BD111" i="6"/>
  <c r="AT111" i="6"/>
  <c r="AT33" i="6"/>
  <c r="BN33" i="6"/>
  <c r="BD33" i="6"/>
  <c r="AT40" i="6"/>
  <c r="BN8" i="6"/>
  <c r="AT26" i="6"/>
  <c r="BD26" i="6"/>
  <c r="BN26" i="6"/>
  <c r="BD41" i="6"/>
  <c r="AT41" i="6"/>
  <c r="BN41" i="6"/>
  <c r="AT29" i="6"/>
  <c r="BN29" i="6"/>
  <c r="BD29" i="6"/>
  <c r="AT18" i="6"/>
  <c r="BN48" i="6"/>
  <c r="AT48" i="6"/>
  <c r="BD32" i="6"/>
  <c r="BN32" i="6"/>
  <c r="AT32" i="6"/>
  <c r="BN35" i="6"/>
  <c r="BD35" i="6"/>
  <c r="BD43" i="6"/>
  <c r="BD23" i="6"/>
  <c r="AT23" i="6"/>
  <c r="BN23" i="6"/>
  <c r="BD3" i="6"/>
  <c r="BN3" i="6"/>
  <c r="AT3" i="6"/>
  <c r="AT36" i="6"/>
  <c r="BN36" i="6"/>
  <c r="BD36" i="6"/>
  <c r="BD37" i="6"/>
  <c r="BN10" i="6"/>
  <c r="BD10" i="6"/>
  <c r="AT10" i="6"/>
  <c r="BD39" i="6"/>
  <c r="AT39" i="6"/>
  <c r="BN39" i="6"/>
  <c r="AJ110" i="6"/>
  <c r="AJ7" i="6"/>
  <c r="AJ15" i="6"/>
  <c r="AJ19" i="6"/>
  <c r="AJ23" i="6"/>
  <c r="AJ31" i="6"/>
  <c r="AJ35" i="6"/>
  <c r="AJ39" i="6"/>
  <c r="AJ16" i="6"/>
  <c r="AJ28" i="6"/>
  <c r="AJ44" i="6"/>
  <c r="AJ48" i="6"/>
  <c r="AJ60" i="6"/>
  <c r="AJ62" i="6"/>
  <c r="AJ64" i="6"/>
  <c r="AJ104" i="6"/>
  <c r="AJ106" i="6"/>
  <c r="AJ108" i="6"/>
  <c r="AJ5" i="6"/>
  <c r="AJ9" i="6"/>
  <c r="AJ17" i="6"/>
  <c r="AJ21" i="6"/>
  <c r="AJ25" i="6"/>
  <c r="AJ29" i="6"/>
  <c r="AJ33" i="6"/>
  <c r="AJ41" i="6"/>
  <c r="AJ3" i="6"/>
  <c r="AJ4" i="6"/>
  <c r="AJ12" i="6"/>
  <c r="AJ32" i="6"/>
  <c r="AJ36" i="6"/>
  <c r="AJ10" i="6"/>
  <c r="AJ14" i="6"/>
  <c r="AJ22" i="6"/>
  <c r="AJ26" i="6"/>
  <c r="AJ30" i="6"/>
  <c r="AJ34" i="6"/>
  <c r="AJ38" i="6"/>
  <c r="AJ42" i="6"/>
  <c r="AJ49" i="6"/>
  <c r="AJ61" i="6"/>
  <c r="AJ63" i="6"/>
  <c r="AJ65" i="6"/>
  <c r="AJ105" i="6"/>
  <c r="AJ107" i="6"/>
  <c r="AJ109" i="6"/>
  <c r="AJ111" i="6"/>
  <c r="BW24" i="6"/>
  <c r="BX24" i="6" s="1"/>
  <c r="CD24" i="6"/>
  <c r="CE24" i="6" s="1"/>
  <c r="CR24" i="6"/>
  <c r="CS24" i="6" s="1"/>
  <c r="CK36" i="6"/>
  <c r="CL36" i="6" s="1"/>
  <c r="CD36" i="6"/>
  <c r="CE36" i="6" s="1"/>
  <c r="CR25" i="6"/>
  <c r="CS25" i="6" s="1"/>
  <c r="BW25" i="6"/>
  <c r="BX25" i="6" s="1"/>
  <c r="CR19" i="6"/>
  <c r="CS19" i="6" s="1"/>
  <c r="CD19" i="6"/>
  <c r="CE19" i="6" s="1"/>
  <c r="CR16" i="6"/>
  <c r="CS16" i="6" s="1"/>
  <c r="CK16" i="6"/>
  <c r="CL16" i="6" s="1"/>
  <c r="BW16" i="6"/>
  <c r="BX16" i="6" s="1"/>
  <c r="CD15" i="6"/>
  <c r="CE15" i="6" s="1"/>
  <c r="CR15" i="6"/>
  <c r="CS15" i="6" s="1"/>
  <c r="CR39" i="6"/>
  <c r="CS39" i="6" s="1"/>
  <c r="CK39" i="6"/>
  <c r="CL39" i="6" s="1"/>
  <c r="BW39" i="6"/>
  <c r="BX39" i="6" s="1"/>
  <c r="BW42" i="6"/>
  <c r="BX42" i="6" s="1"/>
  <c r="CD42" i="6"/>
  <c r="CE42" i="6" s="1"/>
  <c r="CK61" i="6"/>
  <c r="CL61" i="6" s="1"/>
  <c r="CR61" i="6"/>
  <c r="CS61" i="6" s="1"/>
  <c r="CD61" i="6"/>
  <c r="CE61" i="6" s="1"/>
  <c r="BW61" i="6"/>
  <c r="BX61" i="6" s="1"/>
  <c r="CR33" i="6"/>
  <c r="CS33" i="6" s="1"/>
  <c r="BW33" i="6"/>
  <c r="BX33" i="6" s="1"/>
  <c r="BW40" i="6"/>
  <c r="BX40" i="6" s="1"/>
  <c r="CD40" i="6"/>
  <c r="CE40" i="6" s="1"/>
  <c r="CR40" i="6"/>
  <c r="CS40" i="6" s="1"/>
  <c r="CR6" i="6"/>
  <c r="CS6" i="6" s="1"/>
  <c r="CK6" i="6"/>
  <c r="CL6" i="6" s="1"/>
  <c r="CR20" i="6"/>
  <c r="CS20" i="6" s="1"/>
  <c r="CK20" i="6"/>
  <c r="CL20" i="6" s="1"/>
  <c r="CD8" i="6"/>
  <c r="CE8" i="6" s="1"/>
  <c r="BW8" i="6"/>
  <c r="BX8" i="6" s="1"/>
  <c r="CR8" i="6"/>
  <c r="CS8" i="6" s="1"/>
  <c r="CR26" i="6"/>
  <c r="CS26" i="6" s="1"/>
  <c r="BW26" i="6"/>
  <c r="BX26" i="6" s="1"/>
  <c r="BW13" i="6"/>
  <c r="BX13" i="6" s="1"/>
  <c r="CR13" i="6"/>
  <c r="CS13" i="6" s="1"/>
  <c r="CD41" i="6"/>
  <c r="CE41" i="6" s="1"/>
  <c r="CK41" i="6"/>
  <c r="CL41" i="6" s="1"/>
  <c r="CK29" i="6"/>
  <c r="CL29" i="6" s="1"/>
  <c r="CD29" i="6"/>
  <c r="CE29" i="6" s="1"/>
  <c r="CR11" i="6"/>
  <c r="CS11" i="6" s="1"/>
  <c r="CK11" i="6"/>
  <c r="CL11" i="6" s="1"/>
  <c r="BW11" i="6"/>
  <c r="BX11" i="6" s="1"/>
  <c r="BW37" i="6"/>
  <c r="BX37" i="6" s="1"/>
  <c r="CR37" i="6"/>
  <c r="CS37" i="6" s="1"/>
  <c r="CD37" i="6"/>
  <c r="CE37" i="6" s="1"/>
  <c r="CR48" i="6"/>
  <c r="CS48" i="6" s="1"/>
  <c r="CK48" i="6"/>
  <c r="CL48" i="6" s="1"/>
  <c r="BW48" i="6"/>
  <c r="CR42" i="6"/>
  <c r="CR4" i="6"/>
  <c r="CS4" i="6" s="1"/>
  <c r="CK4" i="6"/>
  <c r="CL4" i="6" s="1"/>
  <c r="BW4" i="6"/>
  <c r="BX4" i="6" s="1"/>
  <c r="CR3" i="6"/>
  <c r="CS3" i="6" s="1"/>
  <c r="BW3" i="6"/>
  <c r="BX3" i="6" s="1"/>
  <c r="CR9" i="6"/>
  <c r="CS9" i="6" s="1"/>
  <c r="BW9" i="6"/>
  <c r="BX9" i="6" s="1"/>
  <c r="BW18" i="6"/>
  <c r="BX18" i="6" s="1"/>
  <c r="CK18" i="6"/>
  <c r="CL18" i="6" s="1"/>
  <c r="CD35" i="6"/>
  <c r="CE35" i="6" s="1"/>
  <c r="CR35" i="6"/>
  <c r="CS35" i="6" s="1"/>
  <c r="CR44" i="6"/>
  <c r="CS44" i="6" s="1"/>
  <c r="CD44" i="6"/>
  <c r="CE44" i="6" s="1"/>
  <c r="BW44" i="6"/>
  <c r="BX44" i="6" s="1"/>
  <c r="CR7" i="6"/>
  <c r="CS7" i="6" s="1"/>
  <c r="BW7" i="6"/>
  <c r="BX7" i="6" s="1"/>
  <c r="CK5" i="6"/>
  <c r="CL5" i="6" s="1"/>
  <c r="CR5" i="6"/>
  <c r="CS5" i="6" s="1"/>
  <c r="CD5" i="6"/>
  <c r="CE5" i="6" s="1"/>
  <c r="BW45" i="6"/>
  <c r="BX45" i="6" s="1"/>
  <c r="CD45" i="6"/>
  <c r="CE45" i="6" s="1"/>
  <c r="CR12" i="6"/>
  <c r="CS12" i="6" s="1"/>
  <c r="BW12" i="6"/>
  <c r="BX12" i="6" s="1"/>
  <c r="CR30" i="6"/>
  <c r="CS30" i="6" s="1"/>
  <c r="CK30" i="6"/>
  <c r="CL30" i="6" s="1"/>
  <c r="CD30" i="6"/>
  <c r="CE30" i="6" s="1"/>
  <c r="CD60" i="6"/>
  <c r="CE60" i="6" s="1"/>
  <c r="BW60" i="6"/>
  <c r="BX60" i="6" s="1"/>
  <c r="CK60" i="6"/>
  <c r="CL60" i="6" s="1"/>
  <c r="CR60" i="6"/>
  <c r="CS60" i="6" s="1"/>
  <c r="CR62" i="6"/>
  <c r="CS62" i="6" s="1"/>
  <c r="CD62" i="6"/>
  <c r="CE62" i="6" s="1"/>
  <c r="BW62" i="6"/>
  <c r="BX62" i="6" s="1"/>
  <c r="CK62" i="6"/>
  <c r="CL62" i="6" s="1"/>
  <c r="CK17" i="6"/>
  <c r="CL17" i="6" s="1"/>
  <c r="CD17" i="6"/>
  <c r="CE17" i="6" s="1"/>
  <c r="CD31" i="6"/>
  <c r="CE31" i="6" s="1"/>
  <c r="CR31" i="6"/>
  <c r="CS31" i="6" s="1"/>
  <c r="CR43" i="6"/>
  <c r="CS43" i="6" s="1"/>
  <c r="CD43" i="6"/>
  <c r="CE43" i="6" s="1"/>
  <c r="BW43" i="6"/>
  <c r="BX43" i="6" s="1"/>
  <c r="CK46" i="6"/>
  <c r="CL46" i="6" s="1"/>
  <c r="BW46" i="6"/>
  <c r="BX46" i="6" s="1"/>
  <c r="CR47" i="6"/>
  <c r="CS47" i="6" s="1"/>
  <c r="CK47" i="6"/>
  <c r="CL47" i="6" s="1"/>
  <c r="BW47" i="6"/>
  <c r="BX47" i="6" s="1"/>
  <c r="CK27" i="6"/>
  <c r="CL27" i="6" s="1"/>
  <c r="BW27" i="6"/>
  <c r="BX27" i="6" s="1"/>
  <c r="CR27" i="6"/>
  <c r="CS27" i="6" s="1"/>
  <c r="CK34" i="6"/>
  <c r="CL34" i="6" s="1"/>
  <c r="BW34" i="6"/>
  <c r="BX34" i="6" s="1"/>
  <c r="CR49" i="6"/>
  <c r="CD49" i="6"/>
  <c r="CE49" i="6" s="1"/>
  <c r="BW49" i="6"/>
  <c r="BX49" i="6" s="1"/>
  <c r="CR32" i="6"/>
  <c r="CS32" i="6" s="1"/>
  <c r="BW32" i="6"/>
  <c r="BX32" i="6" s="1"/>
  <c r="CK38" i="6"/>
  <c r="CL38" i="6" s="1"/>
  <c r="BW38" i="6"/>
  <c r="BX38" i="6" s="1"/>
  <c r="BW23" i="6"/>
  <c r="BX23" i="6" s="1"/>
  <c r="CD23" i="6"/>
  <c r="CE23" i="6" s="1"/>
  <c r="CR63" i="6"/>
  <c r="CS63" i="6" s="1"/>
  <c r="CD63" i="6"/>
  <c r="CE63" i="6" s="1"/>
  <c r="BW63" i="6"/>
  <c r="BX63" i="6" s="1"/>
  <c r="CK63" i="6"/>
  <c r="CL63" i="6" s="1"/>
  <c r="CD65" i="6"/>
  <c r="CE65" i="6" s="1"/>
  <c r="CR65" i="6"/>
  <c r="CS65" i="6" s="1"/>
  <c r="CK65" i="6"/>
  <c r="CL65" i="6" s="1"/>
  <c r="BW65" i="6"/>
  <c r="BX65" i="6" s="1"/>
  <c r="CR105" i="6"/>
  <c r="CS105" i="6" s="1"/>
  <c r="BW105" i="6"/>
  <c r="BX105" i="6" s="1"/>
  <c r="CK105" i="6"/>
  <c r="CL105" i="6" s="1"/>
  <c r="CD105" i="6"/>
  <c r="CE105" i="6" s="1"/>
  <c r="CK107" i="6"/>
  <c r="CL107" i="6" s="1"/>
  <c r="CR107" i="6"/>
  <c r="CS107" i="6" s="1"/>
  <c r="CD107" i="6"/>
  <c r="CE107" i="6" s="1"/>
  <c r="BW107" i="6"/>
  <c r="BX107" i="6" s="1"/>
  <c r="CR109" i="6"/>
  <c r="CS109" i="6" s="1"/>
  <c r="CK109" i="6"/>
  <c r="CL109" i="6" s="1"/>
  <c r="BW109" i="6"/>
  <c r="BX109" i="6" s="1"/>
  <c r="CD109" i="6"/>
  <c r="CE109" i="6" s="1"/>
  <c r="CK111" i="6"/>
  <c r="CL111" i="6" s="1"/>
  <c r="CR111" i="6"/>
  <c r="CS111" i="6" s="1"/>
  <c r="CD111" i="6"/>
  <c r="CE111" i="6" s="1"/>
  <c r="BW111" i="6"/>
  <c r="BX111" i="6" s="1"/>
  <c r="CR10" i="6"/>
  <c r="CS10" i="6" s="1"/>
  <c r="CK10" i="6"/>
  <c r="CL10" i="6" s="1"/>
  <c r="CK21" i="6"/>
  <c r="CL21" i="6" s="1"/>
  <c r="BW21" i="6"/>
  <c r="BX21" i="6" s="1"/>
  <c r="CR21" i="6"/>
  <c r="CS21" i="6" s="1"/>
  <c r="BW28" i="6"/>
  <c r="BX28" i="6" s="1"/>
  <c r="CR28" i="6"/>
  <c r="CS28" i="6" s="1"/>
  <c r="CR22" i="6"/>
  <c r="CS22" i="6" s="1"/>
  <c r="BW22" i="6"/>
  <c r="BX22" i="6" s="1"/>
  <c r="CK64" i="6"/>
  <c r="CL64" i="6" s="1"/>
  <c r="BW64" i="6"/>
  <c r="BX64" i="6" s="1"/>
  <c r="CD64" i="6"/>
  <c r="CE64" i="6" s="1"/>
  <c r="CR64" i="6"/>
  <c r="CS64" i="6" s="1"/>
  <c r="CR104" i="6"/>
  <c r="CS104" i="6" s="1"/>
  <c r="BW104" i="6"/>
  <c r="BX104" i="6" s="1"/>
  <c r="CK104" i="6"/>
  <c r="CL104" i="6" s="1"/>
  <c r="CD104" i="6"/>
  <c r="CE104" i="6" s="1"/>
  <c r="BW106" i="6"/>
  <c r="BX106" i="6" s="1"/>
  <c r="CK106" i="6"/>
  <c r="CL106" i="6" s="1"/>
  <c r="CR106" i="6"/>
  <c r="CS106" i="6" s="1"/>
  <c r="CD106" i="6"/>
  <c r="CE106" i="6" s="1"/>
  <c r="CD108" i="6"/>
  <c r="CE108" i="6" s="1"/>
  <c r="CR108" i="6"/>
  <c r="CS108" i="6" s="1"/>
  <c r="CK108" i="6"/>
  <c r="CL108" i="6" s="1"/>
  <c r="BW108" i="6"/>
  <c r="BX108" i="6" s="1"/>
  <c r="CD110" i="6"/>
  <c r="CE110" i="6" s="1"/>
  <c r="BW110" i="6"/>
  <c r="BX110" i="6" s="1"/>
  <c r="CR110" i="6"/>
  <c r="CS110" i="6" s="1"/>
  <c r="CK110" i="6"/>
  <c r="CL110" i="6" s="1"/>
  <c r="D64" i="6"/>
  <c r="D104" i="6"/>
  <c r="D106" i="6"/>
  <c r="D108" i="6"/>
  <c r="D110" i="6"/>
  <c r="D111" i="6"/>
  <c r="D42" i="6"/>
  <c r="D44" i="6"/>
  <c r="D60" i="6"/>
  <c r="D62" i="6"/>
  <c r="D9" i="6"/>
  <c r="D12" i="6"/>
  <c r="D18" i="6"/>
  <c r="D20" i="6"/>
  <c r="D22" i="6"/>
  <c r="D24" i="6"/>
  <c r="D26" i="6"/>
  <c r="D28" i="6"/>
  <c r="D34" i="6"/>
  <c r="D36" i="6"/>
  <c r="D38" i="6"/>
  <c r="D40" i="6"/>
  <c r="D13" i="6"/>
  <c r="D17" i="6"/>
  <c r="D25" i="6"/>
  <c r="D29" i="6"/>
  <c r="D33" i="6"/>
  <c r="D41" i="6"/>
  <c r="D45" i="6"/>
  <c r="D49" i="6"/>
  <c r="D8" i="6"/>
  <c r="D4" i="6"/>
  <c r="D6" i="6"/>
  <c r="D10" i="6"/>
  <c r="D39" i="6"/>
  <c r="D5" i="6"/>
  <c r="D16" i="6"/>
  <c r="D65" i="6"/>
  <c r="D32" i="6"/>
  <c r="D3" i="6"/>
  <c r="D23" i="6"/>
  <c r="D48" i="6"/>
  <c r="D7" i="6"/>
  <c r="D11" i="6"/>
  <c r="D27" i="6"/>
  <c r="D43" i="6"/>
  <c r="D15" i="6"/>
  <c r="D31" i="6"/>
  <c r="D47" i="6"/>
  <c r="D14" i="6"/>
  <c r="D19" i="6"/>
  <c r="D21" i="6"/>
  <c r="D30" i="6"/>
  <c r="D35" i="6"/>
  <c r="D37" i="6"/>
  <c r="D46" i="6"/>
  <c r="D61" i="6"/>
  <c r="D63" i="6"/>
  <c r="D105" i="6"/>
  <c r="D107" i="6"/>
  <c r="D109" i="6"/>
  <c r="M111" i="6"/>
  <c r="M110" i="6"/>
  <c r="M109" i="6"/>
  <c r="M108" i="6"/>
  <c r="M107" i="6"/>
  <c r="M106" i="6"/>
  <c r="M105" i="6"/>
  <c r="M104" i="6"/>
  <c r="M65" i="6"/>
  <c r="M64" i="6"/>
  <c r="M63" i="6"/>
  <c r="M62" i="6"/>
  <c r="M61" i="6"/>
  <c r="M60" i="6"/>
  <c r="H2" i="6"/>
  <c r="F2" i="6"/>
  <c r="E2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2" i="6"/>
  <c r="I43" i="6"/>
  <c r="I44" i="6"/>
  <c r="I45" i="6"/>
  <c r="I46" i="6"/>
  <c r="I47" i="6"/>
  <c r="A4" i="3"/>
  <c r="A3" i="3"/>
  <c r="A2" i="3"/>
  <c r="I25" i="6"/>
  <c r="I24" i="6"/>
  <c r="I23" i="6"/>
  <c r="I22" i="6"/>
  <c r="I21" i="6"/>
  <c r="I20" i="6"/>
  <c r="I19" i="6"/>
  <c r="I18" i="6"/>
  <c r="I17" i="6"/>
  <c r="I15" i="6"/>
  <c r="I14" i="6"/>
  <c r="I13" i="6"/>
  <c r="I12" i="6"/>
  <c r="I11" i="6"/>
  <c r="I10" i="6"/>
  <c r="I8" i="6"/>
  <c r="I7" i="6"/>
  <c r="I5" i="6"/>
  <c r="I4" i="6"/>
  <c r="I3" i="6"/>
  <c r="AG3" i="2"/>
  <c r="AF41" i="2" l="1"/>
  <c r="AF43" i="2"/>
  <c r="AF45" i="2"/>
  <c r="AF33" i="2"/>
  <c r="AF25" i="2"/>
  <c r="AF17" i="2"/>
  <c r="AF9" i="2"/>
  <c r="AF35" i="2"/>
  <c r="AF27" i="2"/>
  <c r="AF19" i="2"/>
  <c r="AF11" i="2"/>
  <c r="AF37" i="2"/>
  <c r="AF29" i="2"/>
  <c r="AF21" i="2"/>
  <c r="AF13" i="2"/>
  <c r="AF5" i="2"/>
  <c r="AF7" i="2"/>
  <c r="AF10" i="2"/>
  <c r="AF40" i="2"/>
  <c r="AF24" i="2"/>
  <c r="AF6" i="2"/>
  <c r="AF42" i="2"/>
  <c r="AF28" i="2"/>
  <c r="AF46" i="2"/>
  <c r="AF15" i="2"/>
  <c r="AF18" i="2"/>
  <c r="AF50" i="2"/>
  <c r="AF32" i="2"/>
  <c r="AF14" i="2"/>
  <c r="AF48" i="2"/>
  <c r="AF4" i="2"/>
  <c r="AF39" i="2"/>
  <c r="AF36" i="2"/>
  <c r="AF23" i="2"/>
  <c r="AF26" i="2"/>
  <c r="AF8" i="2"/>
  <c r="AF47" i="2"/>
  <c r="AF22" i="2"/>
  <c r="AF12" i="2"/>
  <c r="AF49" i="2"/>
  <c r="AF44" i="2"/>
  <c r="AF31" i="2"/>
  <c r="AF34" i="2"/>
  <c r="AF16" i="2"/>
  <c r="AF30" i="2"/>
  <c r="AF20" i="2"/>
  <c r="AF38" i="2"/>
  <c r="AA45" i="2"/>
  <c r="AA6" i="2"/>
  <c r="AA74" i="2"/>
  <c r="AA35" i="2"/>
  <c r="AA76" i="2"/>
  <c r="AA61" i="2"/>
  <c r="AA79" i="2"/>
  <c r="AA60" i="2"/>
  <c r="AA32" i="2"/>
  <c r="AA49" i="2"/>
  <c r="AA46" i="2"/>
  <c r="AA41" i="2"/>
  <c r="AA56" i="2"/>
  <c r="AA72" i="2"/>
  <c r="AA55" i="2"/>
  <c r="AA23" i="2"/>
  <c r="AA67" i="2"/>
  <c r="AA59" i="2"/>
  <c r="AA36" i="2"/>
  <c r="AA50" i="2"/>
  <c r="AA52" i="2"/>
  <c r="AA78" i="2"/>
  <c r="AA37" i="2"/>
  <c r="AA68" i="2"/>
  <c r="AA33" i="2"/>
  <c r="AA62" i="2"/>
  <c r="AA48" i="2"/>
  <c r="AA71" i="2"/>
  <c r="AA39" i="2"/>
  <c r="AA43" i="2"/>
  <c r="AA80" i="2"/>
  <c r="AA47" i="2"/>
  <c r="AA73" i="2"/>
  <c r="AA65" i="2"/>
  <c r="AA42" i="2"/>
  <c r="AA51" i="2"/>
  <c r="AA53" i="2"/>
  <c r="AA82" i="2"/>
  <c r="AA38" i="2"/>
  <c r="AA77" i="2"/>
  <c r="AA66" i="2"/>
  <c r="AA34" i="2"/>
  <c r="AA69" i="2"/>
  <c r="AA54" i="2"/>
  <c r="AA75" i="2"/>
  <c r="AA30" i="2"/>
  <c r="AA31" i="2"/>
  <c r="AA44" i="2"/>
  <c r="AA40" i="2"/>
  <c r="AA64" i="2"/>
  <c r="AA81" i="2"/>
  <c r="AA70" i="2"/>
  <c r="AA63" i="2"/>
  <c r="AA57" i="2"/>
  <c r="AA58" i="2"/>
  <c r="J2" i="16"/>
  <c r="BM6" i="6"/>
  <c r="BN6" i="6" s="1"/>
  <c r="AS6" i="6"/>
  <c r="AT6" i="6" s="1"/>
  <c r="L8" i="6"/>
  <c r="Y6" i="6"/>
  <c r="AA6" i="6" s="1"/>
  <c r="V6" i="6"/>
  <c r="X20" i="6" s="1"/>
  <c r="AI6" i="6"/>
  <c r="AJ6" i="6" s="1"/>
  <c r="CD33" i="6"/>
  <c r="CR36" i="6"/>
  <c r="CK25" i="6"/>
  <c r="CK15" i="6"/>
  <c r="CK32" i="6"/>
  <c r="CK49" i="6"/>
  <c r="CR29" i="6"/>
  <c r="CK26" i="6"/>
  <c r="CR23" i="6"/>
  <c r="CK45" i="6"/>
  <c r="BW36" i="6"/>
  <c r="BW15" i="6"/>
  <c r="CD18" i="6"/>
  <c r="CK35" i="6"/>
  <c r="BW29" i="6"/>
  <c r="BW41" i="6"/>
  <c r="CD13" i="6"/>
  <c r="CR46" i="6"/>
  <c r="CD48" i="6"/>
  <c r="CD38" i="6"/>
  <c r="CD22" i="6"/>
  <c r="BW19" i="6"/>
  <c r="CD28" i="6"/>
  <c r="CD47" i="6"/>
  <c r="X40" i="6"/>
  <c r="W40" i="6"/>
  <c r="X24" i="6"/>
  <c r="W24" i="6"/>
  <c r="X27" i="6"/>
  <c r="W27" i="6"/>
  <c r="X11" i="6"/>
  <c r="W11" i="6"/>
  <c r="AA47" i="6"/>
  <c r="Z47" i="6"/>
  <c r="X13" i="6"/>
  <c r="W13" i="6"/>
  <c r="Z40" i="6"/>
  <c r="AA40" i="6"/>
  <c r="AA27" i="6"/>
  <c r="Z27" i="6"/>
  <c r="W18" i="6"/>
  <c r="X18" i="6"/>
  <c r="X8" i="6"/>
  <c r="W8" i="6"/>
  <c r="X37" i="6"/>
  <c r="W37" i="6"/>
  <c r="X43" i="6"/>
  <c r="W43" i="6"/>
  <c r="W46" i="6"/>
  <c r="X46" i="6"/>
  <c r="AA45" i="6"/>
  <c r="Z45" i="6"/>
  <c r="AA43" i="6"/>
  <c r="Z43" i="6"/>
  <c r="AA20" i="6"/>
  <c r="Z20" i="6"/>
  <c r="Z24" i="6"/>
  <c r="AA24" i="6"/>
  <c r="AA11" i="6"/>
  <c r="Z11" i="6"/>
  <c r="AA8" i="6"/>
  <c r="Z8" i="6"/>
  <c r="X45" i="6"/>
  <c r="W45" i="6"/>
  <c r="X47" i="6"/>
  <c r="W47" i="6"/>
  <c r="AA13" i="6"/>
  <c r="Z13" i="6"/>
  <c r="AT2" i="6"/>
  <c r="CD21" i="6"/>
  <c r="F2" i="3"/>
  <c r="F3" i="3"/>
  <c r="F4" i="3"/>
  <c r="CK24" i="6"/>
  <c r="CK37" i="6"/>
  <c r="CK40" i="6"/>
  <c r="CD27" i="6"/>
  <c r="CD39" i="6"/>
  <c r="CK44" i="6"/>
  <c r="CK3" i="6"/>
  <c r="CK43" i="6"/>
  <c r="CD34" i="6"/>
  <c r="CD46" i="6"/>
  <c r="BW2" i="6"/>
  <c r="BX2" i="6" s="1"/>
  <c r="CD26" i="6"/>
  <c r="CD4" i="6"/>
  <c r="BW5" i="6"/>
  <c r="CD7" i="6"/>
  <c r="CK23" i="6"/>
  <c r="CD32" i="6"/>
  <c r="CK2" i="6"/>
  <c r="CL2" i="6" s="1"/>
  <c r="CD25" i="6"/>
  <c r="BD2" i="6"/>
  <c r="CK8" i="6"/>
  <c r="CD6" i="6"/>
  <c r="CK12" i="6"/>
  <c r="CD11" i="6"/>
  <c r="BW30" i="6"/>
  <c r="BW31" i="6"/>
  <c r="CK7" i="6"/>
  <c r="BW35" i="6"/>
  <c r="CR18" i="6"/>
  <c r="CK13" i="6"/>
  <c r="CD20" i="6"/>
  <c r="CK33" i="6"/>
  <c r="CK42" i="6"/>
  <c r="CK19" i="6"/>
  <c r="BN2" i="6"/>
  <c r="CK22" i="6"/>
  <c r="CK28" i="6"/>
  <c r="CD10" i="6"/>
  <c r="CR17" i="6"/>
  <c r="CD12" i="6"/>
  <c r="CR45" i="6"/>
  <c r="CD3" i="6"/>
  <c r="BO43" i="6"/>
  <c r="AT14" i="6"/>
  <c r="BD14" i="6"/>
  <c r="BO11" i="6"/>
  <c r="BO29" i="6"/>
  <c r="BE41" i="6"/>
  <c r="BE8" i="6"/>
  <c r="BO20" i="6"/>
  <c r="AU40" i="6"/>
  <c r="AU111" i="6"/>
  <c r="BO109" i="6"/>
  <c r="BE107" i="6"/>
  <c r="BE65" i="6"/>
  <c r="BE63" i="6"/>
  <c r="AU61" i="6"/>
  <c r="BE15" i="6"/>
  <c r="BE16" i="6"/>
  <c r="AU22" i="6"/>
  <c r="BO28" i="6"/>
  <c r="BE25" i="6"/>
  <c r="BE24" i="6"/>
  <c r="BE38" i="6"/>
  <c r="AU49" i="6"/>
  <c r="BO34" i="6"/>
  <c r="AU47" i="6"/>
  <c r="BO46" i="6"/>
  <c r="AU31" i="6"/>
  <c r="AU110" i="6"/>
  <c r="AU108" i="6"/>
  <c r="AU106" i="6"/>
  <c r="BE64" i="6"/>
  <c r="AU62" i="6"/>
  <c r="BE60" i="6"/>
  <c r="AU12" i="6"/>
  <c r="AU5" i="6"/>
  <c r="AU7" i="6"/>
  <c r="AU9" i="6"/>
  <c r="BE11" i="6"/>
  <c r="AU29" i="6"/>
  <c r="BO26" i="6"/>
  <c r="AU8" i="6"/>
  <c r="AU20" i="6"/>
  <c r="BE33" i="6"/>
  <c r="BE111" i="6"/>
  <c r="BE109" i="6"/>
  <c r="BO105" i="6"/>
  <c r="AU65" i="6"/>
  <c r="BO63" i="6"/>
  <c r="BO42" i="6"/>
  <c r="BO15" i="6"/>
  <c r="BO16" i="6"/>
  <c r="BE19" i="6"/>
  <c r="AU28" i="6"/>
  <c r="AU25" i="6"/>
  <c r="BO21" i="6"/>
  <c r="AU38" i="6"/>
  <c r="BO49" i="6"/>
  <c r="BO27" i="6"/>
  <c r="BO47" i="6"/>
  <c r="BE46" i="6"/>
  <c r="BO17" i="6"/>
  <c r="BO110" i="6"/>
  <c r="BO108" i="6"/>
  <c r="BE104" i="6"/>
  <c r="AU64" i="6"/>
  <c r="BO62" i="6"/>
  <c r="BO30" i="6"/>
  <c r="BO12" i="6"/>
  <c r="BE5" i="6"/>
  <c r="BE44" i="6"/>
  <c r="BE9" i="6"/>
  <c r="BO4" i="6"/>
  <c r="AU11" i="6"/>
  <c r="BO41" i="6"/>
  <c r="BE26" i="6"/>
  <c r="BO8" i="6"/>
  <c r="BE40" i="6"/>
  <c r="BO33" i="6"/>
  <c r="BO111" i="6"/>
  <c r="BO107" i="6"/>
  <c r="AU105" i="6"/>
  <c r="BO65" i="6"/>
  <c r="BE61" i="6"/>
  <c r="BE42" i="6"/>
  <c r="AU15" i="6"/>
  <c r="BO22" i="6"/>
  <c r="BO19" i="6"/>
  <c r="BE28" i="6"/>
  <c r="AU21" i="6"/>
  <c r="BO38" i="6"/>
  <c r="AU34" i="6"/>
  <c r="BE27" i="6"/>
  <c r="BO31" i="6"/>
  <c r="BE17" i="6"/>
  <c r="BE110" i="6"/>
  <c r="BE106" i="6"/>
  <c r="AU104" i="6"/>
  <c r="BO64" i="6"/>
  <c r="AU60" i="6"/>
  <c r="AU30" i="6"/>
  <c r="BE12" i="6"/>
  <c r="BE7" i="6"/>
  <c r="AU44" i="6"/>
  <c r="BO9" i="6"/>
  <c r="AU4" i="6"/>
  <c r="BE29" i="6"/>
  <c r="AU41" i="6"/>
  <c r="AU26" i="6"/>
  <c r="AU33" i="6"/>
  <c r="AU109" i="6"/>
  <c r="AU107" i="6"/>
  <c r="BE105" i="6"/>
  <c r="AU63" i="6"/>
  <c r="BO61" i="6"/>
  <c r="AU42" i="6"/>
  <c r="AU16" i="6"/>
  <c r="BE22" i="6"/>
  <c r="AU19" i="6"/>
  <c r="BO25" i="6"/>
  <c r="BO24" i="6"/>
  <c r="BE21" i="6"/>
  <c r="BE49" i="6"/>
  <c r="BE34" i="6"/>
  <c r="AU46" i="6"/>
  <c r="BE31" i="6"/>
  <c r="AU17" i="6"/>
  <c r="BE108" i="6"/>
  <c r="BO106" i="6"/>
  <c r="BO104" i="6"/>
  <c r="BE62" i="6"/>
  <c r="BO60" i="6"/>
  <c r="BE30" i="6"/>
  <c r="BO5" i="6"/>
  <c r="BO7" i="6"/>
  <c r="BO44" i="6"/>
  <c r="BE4" i="6"/>
  <c r="BE39" i="6"/>
  <c r="AU6" i="6"/>
  <c r="BE10" i="6"/>
  <c r="BE36" i="6"/>
  <c r="BO3" i="6"/>
  <c r="BE23" i="6"/>
  <c r="BE35" i="6"/>
  <c r="BO32" i="6"/>
  <c r="BO48" i="6"/>
  <c r="AU13" i="6"/>
  <c r="BO10" i="6"/>
  <c r="AU37" i="6"/>
  <c r="BO36" i="6"/>
  <c r="BE3" i="6"/>
  <c r="AU43" i="6"/>
  <c r="BO35" i="6"/>
  <c r="BE32" i="6"/>
  <c r="AU18" i="6"/>
  <c r="BO39" i="6"/>
  <c r="BE13" i="6"/>
  <c r="BE6" i="6"/>
  <c r="BE45" i="6"/>
  <c r="BE37" i="6"/>
  <c r="AU36" i="6"/>
  <c r="BO23" i="6"/>
  <c r="AU48" i="6"/>
  <c r="BO18" i="6"/>
  <c r="AU39" i="6"/>
  <c r="AU10" i="6"/>
  <c r="AU45" i="6"/>
  <c r="BO37" i="6"/>
  <c r="AU3" i="6"/>
  <c r="AU23" i="6"/>
  <c r="BE43" i="6"/>
  <c r="AU32" i="6"/>
  <c r="AK109" i="6"/>
  <c r="AK105" i="6"/>
  <c r="AK63" i="6"/>
  <c r="AK49" i="6"/>
  <c r="AK42" i="6"/>
  <c r="AK34" i="6"/>
  <c r="AK26" i="6"/>
  <c r="AK18" i="6"/>
  <c r="AK10" i="6"/>
  <c r="AK36" i="6"/>
  <c r="AK20" i="6"/>
  <c r="AK4" i="6"/>
  <c r="AK37" i="6"/>
  <c r="AK29" i="6"/>
  <c r="AK21" i="6"/>
  <c r="AK13" i="6"/>
  <c r="AK5" i="6"/>
  <c r="AK106" i="6"/>
  <c r="AK64" i="6"/>
  <c r="AK60" i="6"/>
  <c r="AK44" i="6"/>
  <c r="AK28" i="6"/>
  <c r="AK16" i="6"/>
  <c r="AK47" i="6"/>
  <c r="AK39" i="6"/>
  <c r="AK31" i="6"/>
  <c r="AK23" i="6"/>
  <c r="AK15" i="6"/>
  <c r="AK7" i="6"/>
  <c r="AK111" i="6"/>
  <c r="AK107" i="6"/>
  <c r="AK65" i="6"/>
  <c r="AK61" i="6"/>
  <c r="AK46" i="6"/>
  <c r="AK38" i="6"/>
  <c r="AK30" i="6"/>
  <c r="AK22" i="6"/>
  <c r="AK14" i="6"/>
  <c r="AK32" i="6"/>
  <c r="AK12" i="6"/>
  <c r="AK3" i="6"/>
  <c r="AK41" i="6"/>
  <c r="AK33" i="6"/>
  <c r="AK25" i="6"/>
  <c r="AK17" i="6"/>
  <c r="AK9" i="6"/>
  <c r="AK108" i="6"/>
  <c r="AK104" i="6"/>
  <c r="AK62" i="6"/>
  <c r="AK48" i="6"/>
  <c r="AK40" i="6"/>
  <c r="AK24" i="6"/>
  <c r="AK43" i="6"/>
  <c r="AK35" i="6"/>
  <c r="AK27" i="6"/>
  <c r="AK19" i="6"/>
  <c r="AK110" i="6"/>
  <c r="Z2" i="6"/>
  <c r="BY104" i="6"/>
  <c r="CM21" i="6"/>
  <c r="BY63" i="6"/>
  <c r="BY34" i="6"/>
  <c r="CT30" i="6"/>
  <c r="CT7" i="6"/>
  <c r="CF35" i="6"/>
  <c r="CT48" i="6"/>
  <c r="BY11" i="6"/>
  <c r="CM20" i="6"/>
  <c r="CF40" i="6"/>
  <c r="CT61" i="6"/>
  <c r="CF15" i="6"/>
  <c r="CK14" i="6"/>
  <c r="BW14" i="6"/>
  <c r="BX14" i="6" s="1"/>
  <c r="CD14" i="6"/>
  <c r="CE14" i="6" s="1"/>
  <c r="BY106" i="6"/>
  <c r="CT22" i="6"/>
  <c r="CM109" i="6"/>
  <c r="CT43" i="6"/>
  <c r="CT60" i="6"/>
  <c r="CM108" i="6"/>
  <c r="CT64" i="6"/>
  <c r="CM10" i="6"/>
  <c r="CT107" i="6"/>
  <c r="BY65" i="6"/>
  <c r="CF49" i="6"/>
  <c r="CT47" i="6"/>
  <c r="BY62" i="6"/>
  <c r="BY12" i="6"/>
  <c r="BY45" i="6"/>
  <c r="CT37" i="6"/>
  <c r="BY8" i="6"/>
  <c r="BY110" i="6"/>
  <c r="CF111" i="6"/>
  <c r="BY32" i="6"/>
  <c r="CT31" i="6"/>
  <c r="CM17" i="6"/>
  <c r="CF44" i="6"/>
  <c r="CT16" i="6"/>
  <c r="CF19" i="6"/>
  <c r="CT24" i="6"/>
  <c r="CF110" i="6"/>
  <c r="CT108" i="6"/>
  <c r="CF106" i="6"/>
  <c r="CT104" i="6"/>
  <c r="CF64" i="6"/>
  <c r="CT28" i="6"/>
  <c r="CT10" i="6"/>
  <c r="CT111" i="6"/>
  <c r="CT109" i="6"/>
  <c r="CF105" i="6"/>
  <c r="CT105" i="6"/>
  <c r="CM65" i="6"/>
  <c r="CF63" i="6"/>
  <c r="BY23" i="6"/>
  <c r="CT32" i="6"/>
  <c r="CT27" i="6"/>
  <c r="BY46" i="6"/>
  <c r="CF31" i="6"/>
  <c r="CF62" i="6"/>
  <c r="CM60" i="6"/>
  <c r="CT12" i="6"/>
  <c r="CF5" i="6"/>
  <c r="CT44" i="6"/>
  <c r="BY18" i="6"/>
  <c r="CT3" i="6"/>
  <c r="BY4" i="6"/>
  <c r="BY37" i="6"/>
  <c r="CM11" i="6"/>
  <c r="CF29" i="6"/>
  <c r="CF41" i="6"/>
  <c r="CT26" i="6"/>
  <c r="CT6" i="6"/>
  <c r="BY40" i="6"/>
  <c r="BY33" i="6"/>
  <c r="BY61" i="6"/>
  <c r="CM61" i="6"/>
  <c r="BY42" i="6"/>
  <c r="BY39" i="6"/>
  <c r="BY25" i="6"/>
  <c r="CF36" i="6"/>
  <c r="CF24" i="6"/>
  <c r="CM110" i="6"/>
  <c r="CF108" i="6"/>
  <c r="CT106" i="6"/>
  <c r="CF104" i="6"/>
  <c r="BY64" i="6"/>
  <c r="BY22" i="6"/>
  <c r="BY28" i="6"/>
  <c r="CT21" i="6"/>
  <c r="CM111" i="6"/>
  <c r="CF109" i="6"/>
  <c r="BY107" i="6"/>
  <c r="CM107" i="6"/>
  <c r="CM105" i="6"/>
  <c r="CT65" i="6"/>
  <c r="CT63" i="6"/>
  <c r="BY38" i="6"/>
  <c r="CM34" i="6"/>
  <c r="BY27" i="6"/>
  <c r="BY47" i="6"/>
  <c r="CM46" i="6"/>
  <c r="BY43" i="6"/>
  <c r="CT62" i="6"/>
  <c r="BY60" i="6"/>
  <c r="CF30" i="6"/>
  <c r="CF45" i="6"/>
  <c r="CT5" i="6"/>
  <c r="BY7" i="6"/>
  <c r="BY9" i="6"/>
  <c r="CM4" i="6"/>
  <c r="CT11" i="6"/>
  <c r="CM29" i="6"/>
  <c r="CT13" i="6"/>
  <c r="CF8" i="6"/>
  <c r="CT20" i="6"/>
  <c r="CT33" i="6"/>
  <c r="CF61" i="6"/>
  <c r="CM39" i="6"/>
  <c r="BY16" i="6"/>
  <c r="CT19" i="6"/>
  <c r="CT110" i="6"/>
  <c r="BY108" i="6"/>
  <c r="CM106" i="6"/>
  <c r="CM104" i="6"/>
  <c r="CM64" i="6"/>
  <c r="BY21" i="6"/>
  <c r="BY111" i="6"/>
  <c r="BY109" i="6"/>
  <c r="CF107" i="6"/>
  <c r="BY105" i="6"/>
  <c r="CF65" i="6"/>
  <c r="CM63" i="6"/>
  <c r="CF23" i="6"/>
  <c r="CM38" i="6"/>
  <c r="BY49" i="6"/>
  <c r="CM27" i="6"/>
  <c r="CM47" i="6"/>
  <c r="CF43" i="6"/>
  <c r="CF17" i="6"/>
  <c r="CM62" i="6"/>
  <c r="CF60" i="6"/>
  <c r="CM30" i="6"/>
  <c r="CM5" i="6"/>
  <c r="BY44" i="6"/>
  <c r="CT35" i="6"/>
  <c r="CM18" i="6"/>
  <c r="CT9" i="6"/>
  <c r="BY3" i="6"/>
  <c r="CT4" i="6"/>
  <c r="CM48" i="6"/>
  <c r="CF37" i="6"/>
  <c r="CM41" i="6"/>
  <c r="BY13" i="6"/>
  <c r="BY26" i="6"/>
  <c r="CT8" i="6"/>
  <c r="CM6" i="6"/>
  <c r="CT40" i="6"/>
  <c r="CF42" i="6"/>
  <c r="CT39" i="6"/>
  <c r="CT15" i="6"/>
  <c r="CM16" i="6"/>
  <c r="CT25" i="6"/>
  <c r="CM36" i="6"/>
  <c r="BY24" i="6"/>
  <c r="O29" i="6"/>
  <c r="CR34" i="6"/>
  <c r="O12" i="6"/>
  <c r="CD2" i="6"/>
  <c r="O5" i="6"/>
  <c r="BW17" i="6"/>
  <c r="O15" i="6"/>
  <c r="BW20" i="6"/>
  <c r="I2" i="6"/>
  <c r="I9" i="6"/>
  <c r="I6" i="6"/>
  <c r="I41" i="6"/>
  <c r="I16" i="6"/>
  <c r="D2" i="6"/>
  <c r="O14" i="6"/>
  <c r="O31" i="6"/>
  <c r="P31" i="6" s="1"/>
  <c r="O4" i="6"/>
  <c r="O17" i="6"/>
  <c r="O39" i="6"/>
  <c r="O3" i="6"/>
  <c r="O30" i="6"/>
  <c r="O21" i="6"/>
  <c r="O23" i="6"/>
  <c r="O20" i="6"/>
  <c r="O10" i="6"/>
  <c r="O44" i="6"/>
  <c r="O35" i="6"/>
  <c r="O8" i="6"/>
  <c r="O18" i="6"/>
  <c r="O45" i="6"/>
  <c r="O24" i="6"/>
  <c r="O26" i="6"/>
  <c r="O34" i="6"/>
  <c r="O27" i="6"/>
  <c r="O28" i="6"/>
  <c r="P28" i="6" s="1"/>
  <c r="O13" i="6"/>
  <c r="P13" i="6" s="1"/>
  <c r="O42" i="6"/>
  <c r="O32" i="6"/>
  <c r="O19" i="6"/>
  <c r="P19" i="6" s="1"/>
  <c r="O40" i="6"/>
  <c r="P40" i="6" s="1"/>
  <c r="O22" i="6"/>
  <c r="O7" i="6"/>
  <c r="O47" i="6"/>
  <c r="O33" i="6"/>
  <c r="O16" i="6"/>
  <c r="P16" i="6" s="1"/>
  <c r="O11" i="6"/>
  <c r="O43" i="6"/>
  <c r="O37" i="6"/>
  <c r="O36" i="6"/>
  <c r="O25" i="6"/>
  <c r="O38" i="6"/>
  <c r="O46" i="6"/>
  <c r="O48" i="6"/>
  <c r="O61" i="6"/>
  <c r="P61" i="6" s="1"/>
  <c r="O63" i="6"/>
  <c r="P63" i="6" s="1"/>
  <c r="O64" i="6"/>
  <c r="P64" i="6" s="1"/>
  <c r="O60" i="6"/>
  <c r="P60" i="6" s="1"/>
  <c r="O62" i="6"/>
  <c r="P62" i="6" s="1"/>
  <c r="O65" i="6"/>
  <c r="P65" i="6" s="1"/>
  <c r="O105" i="6"/>
  <c r="P105" i="6" s="1"/>
  <c r="O106" i="6"/>
  <c r="P106" i="6" s="1"/>
  <c r="O104" i="6"/>
  <c r="P104" i="6" s="1"/>
  <c r="O107" i="6"/>
  <c r="P107" i="6" s="1"/>
  <c r="O108" i="6"/>
  <c r="P108" i="6" s="1"/>
  <c r="O109" i="6"/>
  <c r="P109" i="6" s="1"/>
  <c r="O110" i="6"/>
  <c r="P110" i="6" s="1"/>
  <c r="O111" i="6"/>
  <c r="P111" i="6" s="1"/>
  <c r="O49" i="6"/>
  <c r="AF3" i="2"/>
  <c r="AA25" i="2" l="1"/>
  <c r="AA13" i="2"/>
  <c r="BO6" i="6"/>
  <c r="Z6" i="6"/>
  <c r="Z18" i="6" s="1"/>
  <c r="AA37" i="6"/>
  <c r="X6" i="6"/>
  <c r="W6" i="6"/>
  <c r="W20" i="6" s="1"/>
  <c r="L11" i="6"/>
  <c r="AA18" i="6"/>
  <c r="H15" i="4" s="1"/>
  <c r="U38" i="4" s="1"/>
  <c r="AA46" i="6"/>
  <c r="AK6" i="6"/>
  <c r="CD16" i="6"/>
  <c r="CR41" i="6"/>
  <c r="CK9" i="6"/>
  <c r="H30" i="4"/>
  <c r="U50" i="4" s="1"/>
  <c r="H33" i="4"/>
  <c r="U53" i="4" s="1"/>
  <c r="H27" i="4"/>
  <c r="U47" i="4" s="1"/>
  <c r="BY2" i="6"/>
  <c r="CB2" i="6" s="1"/>
  <c r="CC2" i="6" s="1"/>
  <c r="CM2" i="6"/>
  <c r="CP2" i="6" s="1"/>
  <c r="CQ2" i="6" s="1"/>
  <c r="BE47" i="6"/>
  <c r="AU24" i="6"/>
  <c r="BE20" i="6"/>
  <c r="BO13" i="6"/>
  <c r="BO40" i="6"/>
  <c r="N2" i="6"/>
  <c r="O6" i="6"/>
  <c r="BW6" i="6"/>
  <c r="AU27" i="6"/>
  <c r="BN13" i="6"/>
  <c r="CR2" i="6"/>
  <c r="BE18" i="6"/>
  <c r="BE48" i="6"/>
  <c r="AU35" i="6"/>
  <c r="AT13" i="6"/>
  <c r="AT35" i="6" s="1"/>
  <c r="AK11" i="6"/>
  <c r="AJ2" i="6"/>
  <c r="AJ8" i="6" s="1"/>
  <c r="AJ11" i="6" s="1"/>
  <c r="BD18" i="6"/>
  <c r="BO45" i="6"/>
  <c r="BN14" i="6"/>
  <c r="BN43" i="6" s="1"/>
  <c r="BN45" i="6" s="1"/>
  <c r="BE14" i="6"/>
  <c r="AU14" i="6"/>
  <c r="BO14" i="6"/>
  <c r="AK8" i="6"/>
  <c r="AK45" i="6"/>
  <c r="CD9" i="6"/>
  <c r="BW10" i="6"/>
  <c r="CR14" i="6"/>
  <c r="CU8" i="6"/>
  <c r="CV8" i="6" s="1"/>
  <c r="CW8" i="6"/>
  <c r="CX8" i="6" s="1"/>
  <c r="CW9" i="6"/>
  <c r="CX9" i="6" s="1"/>
  <c r="CU9" i="6"/>
  <c r="CV9" i="6" s="1"/>
  <c r="CI60" i="6"/>
  <c r="CJ60" i="6" s="1"/>
  <c r="CG60" i="6"/>
  <c r="CH60" i="6" s="1"/>
  <c r="CW13" i="6"/>
  <c r="CX13" i="6" s="1"/>
  <c r="CU13" i="6"/>
  <c r="CV13" i="6" s="1"/>
  <c r="CP4" i="6"/>
  <c r="CQ4" i="6" s="1"/>
  <c r="CN4" i="6"/>
  <c r="CO4" i="6" s="1"/>
  <c r="CB7" i="6"/>
  <c r="CC7" i="6" s="1"/>
  <c r="BZ7" i="6"/>
  <c r="CA7" i="6" s="1"/>
  <c r="CB60" i="6"/>
  <c r="CC60" i="6" s="1"/>
  <c r="BZ60" i="6"/>
  <c r="CA60" i="6" s="1"/>
  <c r="CN34" i="6"/>
  <c r="CO34" i="6" s="1"/>
  <c r="CP34" i="6"/>
  <c r="CQ34" i="6" s="1"/>
  <c r="CP107" i="6"/>
  <c r="CQ107" i="6" s="1"/>
  <c r="CN107" i="6"/>
  <c r="CO107" i="6" s="1"/>
  <c r="CU21" i="6"/>
  <c r="CV21" i="6" s="1"/>
  <c r="CW21" i="6"/>
  <c r="CX21" i="6" s="1"/>
  <c r="CB22" i="6"/>
  <c r="CC22" i="6" s="1"/>
  <c r="BZ22" i="6"/>
  <c r="CA22" i="6" s="1"/>
  <c r="CG108" i="6"/>
  <c r="CH108" i="6" s="1"/>
  <c r="CI108" i="6"/>
  <c r="CJ108" i="6" s="1"/>
  <c r="CG24" i="6"/>
  <c r="CH24" i="6" s="1"/>
  <c r="CI24" i="6"/>
  <c r="CJ24" i="6" s="1"/>
  <c r="BZ33" i="6"/>
  <c r="CA33" i="6" s="1"/>
  <c r="CB33" i="6"/>
  <c r="CC33" i="6" s="1"/>
  <c r="CW26" i="6"/>
  <c r="CX26" i="6" s="1"/>
  <c r="CU26" i="6"/>
  <c r="CV26" i="6" s="1"/>
  <c r="CG29" i="6"/>
  <c r="CH29" i="6" s="1"/>
  <c r="CI29" i="6"/>
  <c r="CJ29" i="6" s="1"/>
  <c r="CU3" i="6"/>
  <c r="CV3" i="6" s="1"/>
  <c r="CW3" i="6"/>
  <c r="CX3" i="6" s="1"/>
  <c r="CP60" i="6"/>
  <c r="CQ60" i="6" s="1"/>
  <c r="CN60" i="6"/>
  <c r="CO60" i="6" s="1"/>
  <c r="CB46" i="6"/>
  <c r="CC46" i="6" s="1"/>
  <c r="BZ46" i="6"/>
  <c r="CA46" i="6" s="1"/>
  <c r="CG63" i="6"/>
  <c r="CH63" i="6" s="1"/>
  <c r="CI63" i="6"/>
  <c r="CJ63" i="6" s="1"/>
  <c r="CU109" i="6"/>
  <c r="CV109" i="6" s="1"/>
  <c r="CW109" i="6"/>
  <c r="CX109" i="6" s="1"/>
  <c r="CW10" i="6"/>
  <c r="CX10" i="6" s="1"/>
  <c r="CU10" i="6"/>
  <c r="CV10" i="6" s="1"/>
  <c r="CI64" i="6"/>
  <c r="CJ64" i="6" s="1"/>
  <c r="CG64" i="6"/>
  <c r="CH64" i="6" s="1"/>
  <c r="CI106" i="6"/>
  <c r="CJ106" i="6" s="1"/>
  <c r="CG106" i="6"/>
  <c r="CH106" i="6" s="1"/>
  <c r="CI110" i="6"/>
  <c r="CJ110" i="6" s="1"/>
  <c r="CG110" i="6"/>
  <c r="CH110" i="6" s="1"/>
  <c r="CU37" i="6"/>
  <c r="CV37" i="6" s="1"/>
  <c r="CW37" i="6"/>
  <c r="CX37" i="6" s="1"/>
  <c r="CW64" i="6"/>
  <c r="CX64" i="6" s="1"/>
  <c r="CU64" i="6"/>
  <c r="CV64" i="6" s="1"/>
  <c r="CB106" i="6"/>
  <c r="CC106" i="6" s="1"/>
  <c r="BZ106" i="6"/>
  <c r="CA106" i="6" s="1"/>
  <c r="BY14" i="6"/>
  <c r="CW48" i="6"/>
  <c r="CX48" i="6" s="1"/>
  <c r="CU48" i="6"/>
  <c r="CV48" i="6" s="1"/>
  <c r="CB34" i="6"/>
  <c r="CC34" i="6" s="1"/>
  <c r="BZ34" i="6"/>
  <c r="CA34" i="6" s="1"/>
  <c r="CN36" i="6"/>
  <c r="CO36" i="6" s="1"/>
  <c r="CP36" i="6"/>
  <c r="CQ36" i="6" s="1"/>
  <c r="CN16" i="6"/>
  <c r="CO16" i="6" s="1"/>
  <c r="CP16" i="6"/>
  <c r="CQ16" i="6" s="1"/>
  <c r="CW39" i="6"/>
  <c r="CX39" i="6" s="1"/>
  <c r="CU39" i="6"/>
  <c r="CV39" i="6" s="1"/>
  <c r="CW40" i="6"/>
  <c r="CX40" i="6" s="1"/>
  <c r="CU40" i="6"/>
  <c r="CV40" i="6" s="1"/>
  <c r="BZ13" i="6"/>
  <c r="CA13" i="6" s="1"/>
  <c r="CB13" i="6"/>
  <c r="CC13" i="6" s="1"/>
  <c r="CN48" i="6"/>
  <c r="CO48" i="6" s="1"/>
  <c r="CP48" i="6"/>
  <c r="CQ48" i="6" s="1"/>
  <c r="CB3" i="6"/>
  <c r="CC3" i="6" s="1"/>
  <c r="BZ3" i="6"/>
  <c r="CA3" i="6" s="1"/>
  <c r="CW35" i="6"/>
  <c r="CX35" i="6" s="1"/>
  <c r="CU35" i="6"/>
  <c r="CV35" i="6" s="1"/>
  <c r="CN5" i="6"/>
  <c r="CO5" i="6" s="1"/>
  <c r="CP5" i="6"/>
  <c r="CQ5" i="6" s="1"/>
  <c r="CI17" i="6"/>
  <c r="CJ17" i="6" s="1"/>
  <c r="CG17" i="6"/>
  <c r="CH17" i="6" s="1"/>
  <c r="CI43" i="6"/>
  <c r="CJ43" i="6" s="1"/>
  <c r="CG43" i="6"/>
  <c r="CH43" i="6" s="1"/>
  <c r="CP27" i="6"/>
  <c r="CQ27" i="6" s="1"/>
  <c r="CN27" i="6"/>
  <c r="CO27" i="6" s="1"/>
  <c r="CI23" i="6"/>
  <c r="CJ23" i="6" s="1"/>
  <c r="CG23" i="6"/>
  <c r="CH23" i="6" s="1"/>
  <c r="CI65" i="6"/>
  <c r="CJ65" i="6" s="1"/>
  <c r="CG65" i="6"/>
  <c r="CH65" i="6" s="1"/>
  <c r="CI107" i="6"/>
  <c r="CJ107" i="6" s="1"/>
  <c r="CG107" i="6"/>
  <c r="CH107" i="6" s="1"/>
  <c r="CB111" i="6"/>
  <c r="CC111" i="6" s="1"/>
  <c r="BZ111" i="6"/>
  <c r="CA111" i="6" s="1"/>
  <c r="BZ21" i="6"/>
  <c r="CA21" i="6" s="1"/>
  <c r="CB21" i="6"/>
  <c r="CC21" i="6" s="1"/>
  <c r="CN104" i="6"/>
  <c r="CO104" i="6" s="1"/>
  <c r="CP104" i="6"/>
  <c r="CQ104" i="6" s="1"/>
  <c r="BZ108" i="6"/>
  <c r="CA108" i="6" s="1"/>
  <c r="CB108" i="6"/>
  <c r="CC108" i="6" s="1"/>
  <c r="CW19" i="6"/>
  <c r="CX19" i="6" s="1"/>
  <c r="CU19" i="6"/>
  <c r="CV19" i="6" s="1"/>
  <c r="CI61" i="6"/>
  <c r="CJ61" i="6" s="1"/>
  <c r="CG61" i="6"/>
  <c r="CH61" i="6" s="1"/>
  <c r="CU20" i="6"/>
  <c r="CV20" i="6" s="1"/>
  <c r="CW20" i="6"/>
  <c r="CX20" i="6" s="1"/>
  <c r="CU11" i="6"/>
  <c r="CV11" i="6" s="1"/>
  <c r="CW11" i="6"/>
  <c r="CX11" i="6" s="1"/>
  <c r="BZ9" i="6"/>
  <c r="CA9" i="6" s="1"/>
  <c r="CB9" i="6"/>
  <c r="CC9" i="6" s="1"/>
  <c r="CG45" i="6"/>
  <c r="CH45" i="6" s="1"/>
  <c r="CI45" i="6"/>
  <c r="CJ45" i="6" s="1"/>
  <c r="BZ43" i="6"/>
  <c r="CA43" i="6" s="1"/>
  <c r="CB43" i="6"/>
  <c r="CC43" i="6" s="1"/>
  <c r="BZ47" i="6"/>
  <c r="CA47" i="6" s="1"/>
  <c r="CB47" i="6"/>
  <c r="CC47" i="6" s="1"/>
  <c r="CW65" i="6"/>
  <c r="CX65" i="6" s="1"/>
  <c r="CU65" i="6"/>
  <c r="CV65" i="6" s="1"/>
  <c r="CG109" i="6"/>
  <c r="CH109" i="6" s="1"/>
  <c r="CI109" i="6"/>
  <c r="CJ109" i="6" s="1"/>
  <c r="CI104" i="6"/>
  <c r="CJ104" i="6" s="1"/>
  <c r="CG104" i="6"/>
  <c r="CH104" i="6" s="1"/>
  <c r="BZ25" i="6"/>
  <c r="CA25" i="6" s="1"/>
  <c r="CB25" i="6"/>
  <c r="CC25" i="6" s="1"/>
  <c r="CB39" i="6"/>
  <c r="CC39" i="6" s="1"/>
  <c r="BZ39" i="6"/>
  <c r="CA39" i="6" s="1"/>
  <c r="CP61" i="6"/>
  <c r="CQ61" i="6" s="1"/>
  <c r="CN61" i="6"/>
  <c r="CO61" i="6" s="1"/>
  <c r="CW6" i="6"/>
  <c r="CX6" i="6" s="1"/>
  <c r="CU6" i="6"/>
  <c r="CV6" i="6" s="1"/>
  <c r="BZ37" i="6"/>
  <c r="CA37" i="6" s="1"/>
  <c r="CB37" i="6"/>
  <c r="CC37" i="6" s="1"/>
  <c r="CW44" i="6"/>
  <c r="CX44" i="6" s="1"/>
  <c r="CU44" i="6"/>
  <c r="CV44" i="6" s="1"/>
  <c r="CG5" i="6"/>
  <c r="CH5" i="6" s="1"/>
  <c r="CI5" i="6"/>
  <c r="CJ5" i="6" s="1"/>
  <c r="CU32" i="6"/>
  <c r="CV32" i="6" s="1"/>
  <c r="CW32" i="6"/>
  <c r="CX32" i="6" s="1"/>
  <c r="CU105" i="6"/>
  <c r="CV105" i="6" s="1"/>
  <c r="CW105" i="6"/>
  <c r="CX105" i="6" s="1"/>
  <c r="CG19" i="6"/>
  <c r="CH19" i="6" s="1"/>
  <c r="CI19" i="6"/>
  <c r="CJ19" i="6" s="1"/>
  <c r="CN17" i="6"/>
  <c r="CO17" i="6" s="1"/>
  <c r="CP17" i="6"/>
  <c r="CQ17" i="6" s="1"/>
  <c r="CI111" i="6"/>
  <c r="CJ111" i="6" s="1"/>
  <c r="CG111" i="6"/>
  <c r="CH111" i="6" s="1"/>
  <c r="BZ45" i="6"/>
  <c r="CA45" i="6" s="1"/>
  <c r="CB45" i="6"/>
  <c r="CC45" i="6" s="1"/>
  <c r="BZ62" i="6"/>
  <c r="CA62" i="6" s="1"/>
  <c r="CB62" i="6"/>
  <c r="CC62" i="6" s="1"/>
  <c r="CG49" i="6"/>
  <c r="CH49" i="6" s="1"/>
  <c r="CI49" i="6"/>
  <c r="CJ49" i="6" s="1"/>
  <c r="CW107" i="6"/>
  <c r="CX107" i="6" s="1"/>
  <c r="CU107" i="6"/>
  <c r="CV107" i="6" s="1"/>
  <c r="CU43" i="6"/>
  <c r="CV43" i="6" s="1"/>
  <c r="CW43" i="6"/>
  <c r="CX43" i="6" s="1"/>
  <c r="CN109" i="6"/>
  <c r="CO109" i="6" s="1"/>
  <c r="CP109" i="6"/>
  <c r="CQ109" i="6" s="1"/>
  <c r="CU61" i="6"/>
  <c r="CV61" i="6" s="1"/>
  <c r="CW61" i="6"/>
  <c r="CX61" i="6" s="1"/>
  <c r="CN20" i="6"/>
  <c r="CO20" i="6" s="1"/>
  <c r="CP20" i="6"/>
  <c r="CQ20" i="6" s="1"/>
  <c r="CU7" i="6"/>
  <c r="CV7" i="6" s="1"/>
  <c r="CW7" i="6"/>
  <c r="CX7" i="6" s="1"/>
  <c r="CN21" i="6"/>
  <c r="CO21" i="6" s="1"/>
  <c r="CP21" i="6"/>
  <c r="CQ21" i="6" s="1"/>
  <c r="CW25" i="6"/>
  <c r="CX25" i="6" s="1"/>
  <c r="CU25" i="6"/>
  <c r="CV25" i="6" s="1"/>
  <c r="CG42" i="6"/>
  <c r="CH42" i="6" s="1"/>
  <c r="CI42" i="6"/>
  <c r="CJ42" i="6" s="1"/>
  <c r="CB26" i="6"/>
  <c r="CC26" i="6" s="1"/>
  <c r="BZ26" i="6"/>
  <c r="CA26" i="6" s="1"/>
  <c r="CN2" i="6"/>
  <c r="CO2" i="6" s="1"/>
  <c r="CN18" i="6"/>
  <c r="CO18" i="6" s="1"/>
  <c r="CP18" i="6"/>
  <c r="CQ18" i="6" s="1"/>
  <c r="CP30" i="6"/>
  <c r="CQ30" i="6" s="1"/>
  <c r="CN30" i="6"/>
  <c r="CO30" i="6" s="1"/>
  <c r="CN62" i="6"/>
  <c r="CO62" i="6" s="1"/>
  <c r="CP62" i="6"/>
  <c r="CQ62" i="6" s="1"/>
  <c r="CN47" i="6"/>
  <c r="CO47" i="6" s="1"/>
  <c r="CP47" i="6"/>
  <c r="CQ47" i="6" s="1"/>
  <c r="BZ49" i="6"/>
  <c r="CA49" i="6" s="1"/>
  <c r="CB49" i="6"/>
  <c r="CC49" i="6" s="1"/>
  <c r="CP38" i="6"/>
  <c r="CQ38" i="6" s="1"/>
  <c r="CN38" i="6"/>
  <c r="CO38" i="6" s="1"/>
  <c r="BZ105" i="6"/>
  <c r="CA105" i="6" s="1"/>
  <c r="CB105" i="6"/>
  <c r="CC105" i="6" s="1"/>
  <c r="CN64" i="6"/>
  <c r="CO64" i="6" s="1"/>
  <c r="CP64" i="6"/>
  <c r="CQ64" i="6" s="1"/>
  <c r="CN106" i="6"/>
  <c r="CO106" i="6" s="1"/>
  <c r="CP106" i="6"/>
  <c r="CQ106" i="6" s="1"/>
  <c r="CW110" i="6"/>
  <c r="CX110" i="6" s="1"/>
  <c r="CU110" i="6"/>
  <c r="CV110" i="6" s="1"/>
  <c r="CU33" i="6"/>
  <c r="CV33" i="6" s="1"/>
  <c r="CW33" i="6"/>
  <c r="CX33" i="6" s="1"/>
  <c r="BZ2" i="6"/>
  <c r="CA2" i="6" s="1"/>
  <c r="CW5" i="6"/>
  <c r="CX5" i="6" s="1"/>
  <c r="CU5" i="6"/>
  <c r="CV5" i="6" s="1"/>
  <c r="CI30" i="6"/>
  <c r="CJ30" i="6" s="1"/>
  <c r="CG30" i="6"/>
  <c r="CH30" i="6" s="1"/>
  <c r="CP46" i="6"/>
  <c r="CQ46" i="6" s="1"/>
  <c r="CN46" i="6"/>
  <c r="CO46" i="6" s="1"/>
  <c r="CB38" i="6"/>
  <c r="CC38" i="6" s="1"/>
  <c r="BZ38" i="6"/>
  <c r="CA38" i="6" s="1"/>
  <c r="CU63" i="6"/>
  <c r="CV63" i="6" s="1"/>
  <c r="CW63" i="6"/>
  <c r="CX63" i="6" s="1"/>
  <c r="CB64" i="6"/>
  <c r="CC64" i="6" s="1"/>
  <c r="BZ64" i="6"/>
  <c r="CA64" i="6" s="1"/>
  <c r="CW106" i="6"/>
  <c r="CX106" i="6" s="1"/>
  <c r="CU106" i="6"/>
  <c r="CV106" i="6" s="1"/>
  <c r="CN110" i="6"/>
  <c r="CO110" i="6" s="1"/>
  <c r="CP110" i="6"/>
  <c r="CQ110" i="6" s="1"/>
  <c r="CG36" i="6"/>
  <c r="CH36" i="6" s="1"/>
  <c r="CI36" i="6"/>
  <c r="CJ36" i="6" s="1"/>
  <c r="CB42" i="6"/>
  <c r="CC42" i="6" s="1"/>
  <c r="BZ42" i="6"/>
  <c r="CA42" i="6" s="1"/>
  <c r="CB18" i="6"/>
  <c r="CC18" i="6" s="1"/>
  <c r="BZ18" i="6"/>
  <c r="CA18" i="6" s="1"/>
  <c r="CG62" i="6"/>
  <c r="CH62" i="6" s="1"/>
  <c r="CI62" i="6"/>
  <c r="CJ62" i="6" s="1"/>
  <c r="CG105" i="6"/>
  <c r="CH105" i="6" s="1"/>
  <c r="CI105" i="6"/>
  <c r="CJ105" i="6" s="1"/>
  <c r="CW104" i="6"/>
  <c r="CX104" i="6" s="1"/>
  <c r="CU104" i="6"/>
  <c r="CV104" i="6" s="1"/>
  <c r="BZ12" i="6"/>
  <c r="CA12" i="6" s="1"/>
  <c r="CB12" i="6"/>
  <c r="CC12" i="6" s="1"/>
  <c r="CP10" i="6"/>
  <c r="CQ10" i="6" s="1"/>
  <c r="CN10" i="6"/>
  <c r="CO10" i="6" s="1"/>
  <c r="CW60" i="6"/>
  <c r="CX60" i="6" s="1"/>
  <c r="CU60" i="6"/>
  <c r="CV60" i="6" s="1"/>
  <c r="CW22" i="6"/>
  <c r="CX22" i="6" s="1"/>
  <c r="CU22" i="6"/>
  <c r="CV22" i="6" s="1"/>
  <c r="CW30" i="6"/>
  <c r="CX30" i="6" s="1"/>
  <c r="CU30" i="6"/>
  <c r="CV30" i="6" s="1"/>
  <c r="BZ24" i="6"/>
  <c r="CA24" i="6" s="1"/>
  <c r="CB24" i="6"/>
  <c r="CC24" i="6" s="1"/>
  <c r="CU15" i="6"/>
  <c r="CV15" i="6" s="1"/>
  <c r="CW15" i="6"/>
  <c r="CX15" i="6" s="1"/>
  <c r="CN6" i="6"/>
  <c r="CO6" i="6" s="1"/>
  <c r="CP6" i="6"/>
  <c r="CQ6" i="6" s="1"/>
  <c r="CN41" i="6"/>
  <c r="CO41" i="6" s="1"/>
  <c r="CP41" i="6"/>
  <c r="CQ41" i="6" s="1"/>
  <c r="CI37" i="6"/>
  <c r="CJ37" i="6" s="1"/>
  <c r="CG37" i="6"/>
  <c r="CH37" i="6" s="1"/>
  <c r="CW4" i="6"/>
  <c r="CX4" i="6" s="1"/>
  <c r="CU4" i="6"/>
  <c r="CV4" i="6" s="1"/>
  <c r="CB44" i="6"/>
  <c r="CC44" i="6" s="1"/>
  <c r="BZ44" i="6"/>
  <c r="CA44" i="6" s="1"/>
  <c r="CN63" i="6"/>
  <c r="CO63" i="6" s="1"/>
  <c r="CP63" i="6"/>
  <c r="CQ63" i="6" s="1"/>
  <c r="BZ109" i="6"/>
  <c r="CA109" i="6" s="1"/>
  <c r="CB109" i="6"/>
  <c r="CC109" i="6" s="1"/>
  <c r="BZ16" i="6"/>
  <c r="CA16" i="6" s="1"/>
  <c r="CB16" i="6"/>
  <c r="CC16" i="6" s="1"/>
  <c r="CP39" i="6"/>
  <c r="CQ39" i="6" s="1"/>
  <c r="CN39" i="6"/>
  <c r="CO39" i="6" s="1"/>
  <c r="CG8" i="6"/>
  <c r="CH8" i="6" s="1"/>
  <c r="CI8" i="6"/>
  <c r="CJ8" i="6" s="1"/>
  <c r="CN29" i="6"/>
  <c r="CO29" i="6" s="1"/>
  <c r="CP29" i="6"/>
  <c r="CQ29" i="6" s="1"/>
  <c r="CW62" i="6"/>
  <c r="CX62" i="6" s="1"/>
  <c r="CU62" i="6"/>
  <c r="CV62" i="6" s="1"/>
  <c r="CB27" i="6"/>
  <c r="CC27" i="6" s="1"/>
  <c r="BZ27" i="6"/>
  <c r="CA27" i="6" s="1"/>
  <c r="CN105" i="6"/>
  <c r="CO105" i="6" s="1"/>
  <c r="CP105" i="6"/>
  <c r="CQ105" i="6" s="1"/>
  <c r="CB107" i="6"/>
  <c r="CC107" i="6" s="1"/>
  <c r="BZ107" i="6"/>
  <c r="CA107" i="6" s="1"/>
  <c r="CP111" i="6"/>
  <c r="CQ111" i="6" s="1"/>
  <c r="CN111" i="6"/>
  <c r="CO111" i="6" s="1"/>
  <c r="CB28" i="6"/>
  <c r="CC28" i="6" s="1"/>
  <c r="BZ28" i="6"/>
  <c r="CA28" i="6" s="1"/>
  <c r="BZ61" i="6"/>
  <c r="CA61" i="6" s="1"/>
  <c r="CB61" i="6"/>
  <c r="CC61" i="6" s="1"/>
  <c r="CB40" i="6"/>
  <c r="CC40" i="6" s="1"/>
  <c r="BZ40" i="6"/>
  <c r="CA40" i="6" s="1"/>
  <c r="CG41" i="6"/>
  <c r="CH41" i="6" s="1"/>
  <c r="CI41" i="6"/>
  <c r="CJ41" i="6" s="1"/>
  <c r="CP11" i="6"/>
  <c r="CQ11" i="6" s="1"/>
  <c r="CN11" i="6"/>
  <c r="CO11" i="6" s="1"/>
  <c r="CB4" i="6"/>
  <c r="CC4" i="6" s="1"/>
  <c r="BZ4" i="6"/>
  <c r="CA4" i="6" s="1"/>
  <c r="CU12" i="6"/>
  <c r="CV12" i="6" s="1"/>
  <c r="CW12" i="6"/>
  <c r="CX12" i="6" s="1"/>
  <c r="CI31" i="6"/>
  <c r="CJ31" i="6" s="1"/>
  <c r="CG31" i="6"/>
  <c r="CH31" i="6" s="1"/>
  <c r="CU27" i="6"/>
  <c r="CV27" i="6" s="1"/>
  <c r="CW27" i="6"/>
  <c r="CX27" i="6" s="1"/>
  <c r="BZ23" i="6"/>
  <c r="CA23" i="6" s="1"/>
  <c r="CB23" i="6"/>
  <c r="CC23" i="6" s="1"/>
  <c r="CP65" i="6"/>
  <c r="CQ65" i="6" s="1"/>
  <c r="CN65" i="6"/>
  <c r="CO65" i="6" s="1"/>
  <c r="CW111" i="6"/>
  <c r="CX111" i="6" s="1"/>
  <c r="CU111" i="6"/>
  <c r="CV111" i="6" s="1"/>
  <c r="CU28" i="6"/>
  <c r="CV28" i="6" s="1"/>
  <c r="CW28" i="6"/>
  <c r="CX28" i="6" s="1"/>
  <c r="CU108" i="6"/>
  <c r="CV108" i="6" s="1"/>
  <c r="CW108" i="6"/>
  <c r="CX108" i="6" s="1"/>
  <c r="CU24" i="6"/>
  <c r="CV24" i="6" s="1"/>
  <c r="CW24" i="6"/>
  <c r="CX24" i="6" s="1"/>
  <c r="CU16" i="6"/>
  <c r="CV16" i="6" s="1"/>
  <c r="CW16" i="6"/>
  <c r="CX16" i="6" s="1"/>
  <c r="CG44" i="6"/>
  <c r="CH44" i="6" s="1"/>
  <c r="CI44" i="6"/>
  <c r="CJ44" i="6" s="1"/>
  <c r="CW31" i="6"/>
  <c r="CX31" i="6" s="1"/>
  <c r="CU31" i="6"/>
  <c r="CV31" i="6" s="1"/>
  <c r="BZ32" i="6"/>
  <c r="CA32" i="6" s="1"/>
  <c r="CB32" i="6"/>
  <c r="CC32" i="6" s="1"/>
  <c r="CB110" i="6"/>
  <c r="CC110" i="6" s="1"/>
  <c r="BZ110" i="6"/>
  <c r="CA110" i="6" s="1"/>
  <c r="BZ8" i="6"/>
  <c r="CA8" i="6" s="1"/>
  <c r="CB8" i="6"/>
  <c r="CC8" i="6" s="1"/>
  <c r="CW47" i="6"/>
  <c r="CX47" i="6" s="1"/>
  <c r="CU47" i="6"/>
  <c r="CV47" i="6" s="1"/>
  <c r="CB65" i="6"/>
  <c r="CC65" i="6" s="1"/>
  <c r="BZ65" i="6"/>
  <c r="CA65" i="6" s="1"/>
  <c r="CN108" i="6"/>
  <c r="CO108" i="6" s="1"/>
  <c r="CP108" i="6"/>
  <c r="CQ108" i="6" s="1"/>
  <c r="CF14" i="6"/>
  <c r="CI15" i="6"/>
  <c r="CJ15" i="6" s="1"/>
  <c r="CG15" i="6"/>
  <c r="CH15" i="6" s="1"/>
  <c r="CG40" i="6"/>
  <c r="CH40" i="6" s="1"/>
  <c r="CI40" i="6"/>
  <c r="CJ40" i="6" s="1"/>
  <c r="BZ11" i="6"/>
  <c r="CA11" i="6" s="1"/>
  <c r="CB11" i="6"/>
  <c r="CC11" i="6" s="1"/>
  <c r="CI35" i="6"/>
  <c r="CJ35" i="6" s="1"/>
  <c r="CG35" i="6"/>
  <c r="CH35" i="6" s="1"/>
  <c r="BZ63" i="6"/>
  <c r="CA63" i="6" s="1"/>
  <c r="CB63" i="6"/>
  <c r="CC63" i="6" s="1"/>
  <c r="BZ104" i="6"/>
  <c r="CA104" i="6" s="1"/>
  <c r="CB104" i="6"/>
  <c r="CC104" i="6" s="1"/>
  <c r="O9" i="6"/>
  <c r="CK31" i="6"/>
  <c r="CM19" i="6" s="1"/>
  <c r="O2" i="6"/>
  <c r="BY19" i="6"/>
  <c r="CF28" i="6"/>
  <c r="BY17" i="6"/>
  <c r="O41" i="6"/>
  <c r="CR38" i="6"/>
  <c r="BY41" i="6"/>
  <c r="M30" i="6"/>
  <c r="Q110" i="6"/>
  <c r="Q62" i="6"/>
  <c r="Q61" i="6"/>
  <c r="Q106" i="6"/>
  <c r="M31" i="6"/>
  <c r="M36" i="6"/>
  <c r="Q108" i="6"/>
  <c r="Q105" i="6"/>
  <c r="Q64" i="6"/>
  <c r="M23" i="6"/>
  <c r="M48" i="6"/>
  <c r="Q104" i="6"/>
  <c r="Q109" i="6"/>
  <c r="Q60" i="6"/>
  <c r="Q111" i="6"/>
  <c r="Q107" i="6"/>
  <c r="Q65" i="6"/>
  <c r="Q63" i="6"/>
  <c r="M34" i="6"/>
  <c r="M7" i="6"/>
  <c r="M14" i="6"/>
  <c r="M3" i="6"/>
  <c r="M6" i="6"/>
  <c r="M39" i="6"/>
  <c r="M19" i="6"/>
  <c r="M46" i="6"/>
  <c r="M22" i="6"/>
  <c r="M45" i="6"/>
  <c r="M35" i="6"/>
  <c r="M15" i="6"/>
  <c r="M38" i="6"/>
  <c r="M18" i="6"/>
  <c r="M33" i="6"/>
  <c r="M21" i="6"/>
  <c r="M13" i="6"/>
  <c r="M20" i="6"/>
  <c r="M2" i="6"/>
  <c r="M29" i="6"/>
  <c r="M44" i="6"/>
  <c r="M12" i="6"/>
  <c r="M37" i="6"/>
  <c r="M17" i="6"/>
  <c r="M32" i="6"/>
  <c r="M43" i="6"/>
  <c r="M27" i="6"/>
  <c r="M11" i="6"/>
  <c r="M42" i="6"/>
  <c r="M26" i="6"/>
  <c r="M10" i="6"/>
  <c r="M41" i="6"/>
  <c r="M25" i="6"/>
  <c r="M5" i="6"/>
  <c r="M28" i="6"/>
  <c r="M16" i="6"/>
  <c r="M49" i="6"/>
  <c r="M4" i="6"/>
  <c r="M9" i="6"/>
  <c r="M47" i="6"/>
  <c r="M40" i="6"/>
  <c r="M24" i="6"/>
  <c r="M8" i="6"/>
  <c r="Q16" i="6"/>
  <c r="CF25" i="6" l="1"/>
  <c r="CI25" i="6" s="1"/>
  <c r="CJ25" i="6" s="1"/>
  <c r="AA16" i="2"/>
  <c r="AA4" i="2"/>
  <c r="I2" i="16"/>
  <c r="H18" i="4"/>
  <c r="U41" i="4" s="1"/>
  <c r="H21" i="4"/>
  <c r="U44" i="4" s="1"/>
  <c r="U45" i="4" s="1"/>
  <c r="H9" i="4"/>
  <c r="U35" i="4" s="1"/>
  <c r="U36" i="4" s="1"/>
  <c r="AB53" i="4"/>
  <c r="U54" i="4"/>
  <c r="AB50" i="4"/>
  <c r="U51" i="4"/>
  <c r="U39" i="4"/>
  <c r="AB38" i="4"/>
  <c r="AB47" i="4"/>
  <c r="U48" i="4"/>
  <c r="U42" i="4"/>
  <c r="AB41" i="4"/>
  <c r="AB44" i="4"/>
  <c r="L35" i="4"/>
  <c r="Y55" i="4" s="1"/>
  <c r="K34" i="4"/>
  <c r="X54" i="4" s="1"/>
  <c r="J33" i="4"/>
  <c r="W53" i="4" s="1"/>
  <c r="W54" i="4" s="1"/>
  <c r="W55" i="4" s="1"/>
  <c r="L33" i="4"/>
  <c r="Y53" i="4" s="1"/>
  <c r="L34" i="4"/>
  <c r="Y54" i="4" s="1"/>
  <c r="K33" i="4"/>
  <c r="X53" i="4" s="1"/>
  <c r="K35" i="4"/>
  <c r="X55" i="4" s="1"/>
  <c r="L23" i="4"/>
  <c r="Y46" i="4" s="1"/>
  <c r="J21" i="4"/>
  <c r="W44" i="4" s="1"/>
  <c r="W45" i="4" s="1"/>
  <c r="W46" i="4" s="1"/>
  <c r="L21" i="4"/>
  <c r="Y44" i="4" s="1"/>
  <c r="L22" i="4"/>
  <c r="Y45" i="4" s="1"/>
  <c r="K23" i="4"/>
  <c r="X46" i="4" s="1"/>
  <c r="L32" i="4"/>
  <c r="Y52" i="4" s="1"/>
  <c r="K31" i="4"/>
  <c r="X51" i="4" s="1"/>
  <c r="K32" i="4"/>
  <c r="X52" i="4" s="1"/>
  <c r="J30" i="4"/>
  <c r="W50" i="4" s="1"/>
  <c r="W51" i="4" s="1"/>
  <c r="W52" i="4" s="1"/>
  <c r="L30" i="4"/>
  <c r="Y50" i="4" s="1"/>
  <c r="L31" i="4"/>
  <c r="Y51" i="4" s="1"/>
  <c r="K30" i="4"/>
  <c r="X50" i="4" s="1"/>
  <c r="H3" i="4"/>
  <c r="U29" i="4" s="1"/>
  <c r="H6" i="4"/>
  <c r="U32" i="4" s="1"/>
  <c r="L20" i="4"/>
  <c r="Y43" i="4" s="1"/>
  <c r="K19" i="4"/>
  <c r="X42" i="4" s="1"/>
  <c r="K20" i="4"/>
  <c r="X43" i="4" s="1"/>
  <c r="J18" i="4"/>
  <c r="W41" i="4" s="1"/>
  <c r="W42" i="4" s="1"/>
  <c r="W43" i="4" s="1"/>
  <c r="L18" i="4"/>
  <c r="Y41" i="4" s="1"/>
  <c r="L19" i="4"/>
  <c r="Y42" i="4" s="1"/>
  <c r="K18" i="4"/>
  <c r="X41" i="4" s="1"/>
  <c r="Z37" i="6"/>
  <c r="Z46" i="6" s="1"/>
  <c r="CF4" i="6"/>
  <c r="CI4" i="6" s="1"/>
  <c r="CF27" i="6"/>
  <c r="CI27" i="6" s="1"/>
  <c r="CJ27" i="6" s="1"/>
  <c r="CF39" i="6"/>
  <c r="CI39" i="6" s="1"/>
  <c r="B21" i="4"/>
  <c r="B3" i="4"/>
  <c r="U2" i="4" s="1"/>
  <c r="BN40" i="6"/>
  <c r="CN19" i="6"/>
  <c r="CO19" i="6" s="1"/>
  <c r="CP19" i="6"/>
  <c r="CS2" i="6"/>
  <c r="H17" i="10" s="1"/>
  <c r="CT18" i="6"/>
  <c r="CT49" i="6"/>
  <c r="CT45" i="6"/>
  <c r="CT17" i="6"/>
  <c r="CT2" i="6"/>
  <c r="CT29" i="6"/>
  <c r="CM14" i="6"/>
  <c r="CP14" i="6" s="1"/>
  <c r="CQ14" i="6" s="1"/>
  <c r="CF13" i="6"/>
  <c r="CI13" i="6" s="1"/>
  <c r="CJ13" i="6" s="1"/>
  <c r="CF46" i="6"/>
  <c r="CF3" i="6"/>
  <c r="CF34" i="6"/>
  <c r="CF32" i="6"/>
  <c r="CF12" i="6"/>
  <c r="AT24" i="6"/>
  <c r="AT27" i="6" s="1"/>
  <c r="CM13" i="6"/>
  <c r="CM22" i="6"/>
  <c r="CM42" i="6"/>
  <c r="CM28" i="6"/>
  <c r="CT41" i="6"/>
  <c r="CF26" i="6"/>
  <c r="CM9" i="6"/>
  <c r="CF20" i="6"/>
  <c r="BY15" i="6"/>
  <c r="BY6" i="6"/>
  <c r="BY35" i="6"/>
  <c r="BY48" i="6"/>
  <c r="BY31" i="6"/>
  <c r="BY36" i="6"/>
  <c r="CM7" i="6"/>
  <c r="BD48" i="6"/>
  <c r="BD20" i="6"/>
  <c r="BD47" i="6" s="1"/>
  <c r="CM33" i="6"/>
  <c r="CF10" i="6"/>
  <c r="CM23" i="6"/>
  <c r="CF38" i="6"/>
  <c r="CF33" i="6"/>
  <c r="CI33" i="6" s="1"/>
  <c r="CJ33" i="6" s="1"/>
  <c r="CF48" i="6"/>
  <c r="CI48" i="6" s="1"/>
  <c r="CJ48" i="6" s="1"/>
  <c r="CF2" i="6"/>
  <c r="CG2" i="6" s="1"/>
  <c r="CH2" i="6" s="1"/>
  <c r="CF9" i="6"/>
  <c r="CI9" i="6" s="1"/>
  <c r="CJ9" i="6" s="1"/>
  <c r="CF7" i="6"/>
  <c r="CG7" i="6" s="1"/>
  <c r="CH7" i="6" s="1"/>
  <c r="B30" i="4"/>
  <c r="CF47" i="6"/>
  <c r="CG47" i="6" s="1"/>
  <c r="CF16" i="6"/>
  <c r="CG16" i="6" s="1"/>
  <c r="CF21" i="6"/>
  <c r="CI21" i="6" s="1"/>
  <c r="CF6" i="6"/>
  <c r="CF18" i="6"/>
  <c r="CG18" i="6" s="1"/>
  <c r="CF11" i="6"/>
  <c r="CI11" i="6" s="1"/>
  <c r="CF22" i="6"/>
  <c r="CG22" i="6" s="1"/>
  <c r="CH22" i="6" s="1"/>
  <c r="AJ45" i="6"/>
  <c r="B6" i="4"/>
  <c r="B27" i="4"/>
  <c r="B9" i="4"/>
  <c r="U8" i="4" s="1"/>
  <c r="B33" i="4"/>
  <c r="U26" i="4" s="1"/>
  <c r="B18" i="4"/>
  <c r="U14" i="4" s="1"/>
  <c r="B15" i="4"/>
  <c r="U11" i="4" s="1"/>
  <c r="BY10" i="6"/>
  <c r="BZ10" i="6" s="1"/>
  <c r="CA10" i="6" s="1"/>
  <c r="BX5" i="6"/>
  <c r="CL3" i="6"/>
  <c r="CS14" i="6"/>
  <c r="CE2" i="6"/>
  <c r="Q21" i="6"/>
  <c r="R21" i="6" s="1"/>
  <c r="CT34" i="6"/>
  <c r="CU34" i="6" s="1"/>
  <c r="Q11" i="6"/>
  <c r="R11" i="6" s="1"/>
  <c r="Q6" i="6"/>
  <c r="R6" i="6" s="1"/>
  <c r="BY30" i="6"/>
  <c r="CB30" i="6" s="1"/>
  <c r="CC30" i="6" s="1"/>
  <c r="BY20" i="6"/>
  <c r="BZ20" i="6" s="1"/>
  <c r="BY5" i="6"/>
  <c r="BY29" i="6"/>
  <c r="CB29" i="6" s="1"/>
  <c r="CC29" i="6" s="1"/>
  <c r="R104" i="6"/>
  <c r="S104" i="6" s="1"/>
  <c r="R65" i="6"/>
  <c r="S65" i="6" s="1"/>
  <c r="T109" i="6"/>
  <c r="U109" i="6" s="1"/>
  <c r="T111" i="6"/>
  <c r="U111" i="6" s="1"/>
  <c r="R62" i="6"/>
  <c r="S62" i="6" s="1"/>
  <c r="R105" i="6"/>
  <c r="S105" i="6" s="1"/>
  <c r="R63" i="6"/>
  <c r="S63" i="6" s="1"/>
  <c r="T107" i="6"/>
  <c r="U107" i="6" s="1"/>
  <c r="R60" i="6"/>
  <c r="S60" i="6" s="1"/>
  <c r="R64" i="6"/>
  <c r="S64" i="6" s="1"/>
  <c r="R108" i="6"/>
  <c r="S108" i="6" s="1"/>
  <c r="T106" i="6"/>
  <c r="U106" i="6" s="1"/>
  <c r="R61" i="6"/>
  <c r="S61" i="6" s="1"/>
  <c r="R110" i="6"/>
  <c r="S110" i="6" s="1"/>
  <c r="T110" i="6"/>
  <c r="U110" i="6" s="1"/>
  <c r="Q38" i="6"/>
  <c r="Q28" i="6"/>
  <c r="R28" i="6" s="1"/>
  <c r="Q44" i="6"/>
  <c r="T44" i="6" s="1"/>
  <c r="Q8" i="6"/>
  <c r="Q48" i="6"/>
  <c r="T48" i="6" s="1"/>
  <c r="U48" i="6" s="1"/>
  <c r="Q31" i="6"/>
  <c r="Q32" i="6"/>
  <c r="T32" i="6" s="1"/>
  <c r="Q35" i="6"/>
  <c r="R35" i="6" s="1"/>
  <c r="Q36" i="6"/>
  <c r="T36" i="6" s="1"/>
  <c r="T61" i="6"/>
  <c r="U61" i="6" s="1"/>
  <c r="CT36" i="6"/>
  <c r="CU36" i="6" s="1"/>
  <c r="CV36" i="6" s="1"/>
  <c r="Q12" i="6"/>
  <c r="R12" i="6" s="1"/>
  <c r="Q2" i="6"/>
  <c r="Q13" i="6"/>
  <c r="T13" i="6" s="1"/>
  <c r="U13" i="6" s="1"/>
  <c r="Q45" i="6"/>
  <c r="T45" i="6" s="1"/>
  <c r="Q17" i="6"/>
  <c r="R17" i="6" s="1"/>
  <c r="Q22" i="6"/>
  <c r="T22" i="6" s="1"/>
  <c r="Q33" i="6"/>
  <c r="T33" i="6" s="1"/>
  <c r="Q34" i="6"/>
  <c r="R34" i="6" s="1"/>
  <c r="Q3" i="6"/>
  <c r="R3" i="6" s="1"/>
  <c r="Q5" i="6"/>
  <c r="Q10" i="6"/>
  <c r="T10" i="6" s="1"/>
  <c r="CB14" i="6"/>
  <c r="CC14" i="6" s="1"/>
  <c r="BZ14" i="6"/>
  <c r="CA14" i="6" s="1"/>
  <c r="Q41" i="6"/>
  <c r="R41" i="6" s="1"/>
  <c r="Q40" i="6"/>
  <c r="R40" i="6" s="1"/>
  <c r="Q37" i="6"/>
  <c r="T37" i="6" s="1"/>
  <c r="U37" i="6" s="1"/>
  <c r="Q46" i="6"/>
  <c r="R46" i="6" s="1"/>
  <c r="Q42" i="6"/>
  <c r="Q4" i="6"/>
  <c r="R4" i="6" s="1"/>
  <c r="S4" i="6" s="1"/>
  <c r="Q30" i="6"/>
  <c r="T30" i="6" s="1"/>
  <c r="U30" i="6" s="1"/>
  <c r="Q26" i="6"/>
  <c r="R26" i="6" s="1"/>
  <c r="Q23" i="6"/>
  <c r="R23" i="6" s="1"/>
  <c r="Q19" i="6"/>
  <c r="T19" i="6" s="1"/>
  <c r="Q43" i="6"/>
  <c r="T43" i="6" s="1"/>
  <c r="U43" i="6" s="1"/>
  <c r="Q9" i="6"/>
  <c r="R9" i="6" s="1"/>
  <c r="Q27" i="6"/>
  <c r="T27" i="6" s="1"/>
  <c r="U27" i="6" s="1"/>
  <c r="Q47" i="6"/>
  <c r="T47" i="6" s="1"/>
  <c r="Q25" i="6"/>
  <c r="T25" i="6" s="1"/>
  <c r="Q18" i="6"/>
  <c r="T18" i="6" s="1"/>
  <c r="Q14" i="6"/>
  <c r="R14" i="6" s="1"/>
  <c r="Q39" i="6"/>
  <c r="R39" i="6" s="1"/>
  <c r="Q20" i="6"/>
  <c r="R20" i="6" s="1"/>
  <c r="Q15" i="6"/>
  <c r="T15" i="6" s="1"/>
  <c r="U15" i="6" s="1"/>
  <c r="Q24" i="6"/>
  <c r="T24" i="6" s="1"/>
  <c r="U24" i="6" s="1"/>
  <c r="Q7" i="6"/>
  <c r="T7" i="6" s="1"/>
  <c r="Q29" i="6"/>
  <c r="R29" i="6" s="1"/>
  <c r="Q49" i="6"/>
  <c r="R49" i="6" s="1"/>
  <c r="CI14" i="6"/>
  <c r="CJ14" i="6" s="1"/>
  <c r="CG14" i="6"/>
  <c r="CH14" i="6" s="1"/>
  <c r="CG39" i="6"/>
  <c r="BZ41" i="6"/>
  <c r="CA41" i="6" s="1"/>
  <c r="CB41" i="6"/>
  <c r="CT38" i="6"/>
  <c r="CT46" i="6"/>
  <c r="CT42" i="6"/>
  <c r="CT23" i="6"/>
  <c r="CT14" i="6"/>
  <c r="CG48" i="6"/>
  <c r="CG28" i="6"/>
  <c r="CI28" i="6"/>
  <c r="CJ28" i="6" s="1"/>
  <c r="CB17" i="6"/>
  <c r="BZ17" i="6"/>
  <c r="CA17" i="6" s="1"/>
  <c r="CG4" i="6"/>
  <c r="CH4" i="6" s="1"/>
  <c r="BZ19" i="6"/>
  <c r="CB19" i="6"/>
  <c r="CC19" i="6" s="1"/>
  <c r="CM31" i="6"/>
  <c r="CM32" i="6"/>
  <c r="CM26" i="6"/>
  <c r="CM45" i="6"/>
  <c r="CM35" i="6"/>
  <c r="CM49" i="6"/>
  <c r="CM44" i="6"/>
  <c r="CM3" i="6"/>
  <c r="CM25" i="6"/>
  <c r="CM8" i="6"/>
  <c r="CM37" i="6"/>
  <c r="CM15" i="6"/>
  <c r="CM40" i="6"/>
  <c r="CM43" i="6"/>
  <c r="CM24" i="6"/>
  <c r="CM12" i="6"/>
  <c r="CI6" i="6"/>
  <c r="CG6" i="6"/>
  <c r="CH6" i="6" s="1"/>
  <c r="T105" i="6"/>
  <c r="U105" i="6" s="1"/>
  <c r="T63" i="6"/>
  <c r="U63" i="6" s="1"/>
  <c r="R107" i="6"/>
  <c r="S107" i="6" s="1"/>
  <c r="T104" i="6"/>
  <c r="U104" i="6" s="1"/>
  <c r="T64" i="6"/>
  <c r="U64" i="6" s="1"/>
  <c r="T60" i="6"/>
  <c r="U60" i="6" s="1"/>
  <c r="R109" i="6"/>
  <c r="S109" i="6" s="1"/>
  <c r="R111" i="6"/>
  <c r="S111" i="6" s="1"/>
  <c r="T62" i="6"/>
  <c r="U62" i="6" s="1"/>
  <c r="T65" i="6"/>
  <c r="U65" i="6" s="1"/>
  <c r="BP65" i="6" s="1"/>
  <c r="T108" i="6"/>
  <c r="U108" i="6" s="1"/>
  <c r="R106" i="6"/>
  <c r="S106" i="6" s="1"/>
  <c r="R16" i="6"/>
  <c r="T16" i="6"/>
  <c r="U16" i="6" s="1"/>
  <c r="CG25" i="6" l="1"/>
  <c r="CG27" i="6"/>
  <c r="K21" i="4"/>
  <c r="X44" i="4" s="1"/>
  <c r="K22" i="4"/>
  <c r="X45" i="4" s="1"/>
  <c r="T46" i="6"/>
  <c r="K11" i="4"/>
  <c r="X37" i="4" s="1"/>
  <c r="CW34" i="6"/>
  <c r="CX34" i="6" s="1"/>
  <c r="J9" i="4"/>
  <c r="W35" i="4" s="1"/>
  <c r="W36" i="4" s="1"/>
  <c r="W37" i="4" s="1"/>
  <c r="AB35" i="4"/>
  <c r="K9" i="4"/>
  <c r="X35" i="4" s="1"/>
  <c r="K10" i="4"/>
  <c r="X36" i="4" s="1"/>
  <c r="L9" i="4"/>
  <c r="Y35" i="4" s="1"/>
  <c r="L11" i="4"/>
  <c r="Y37" i="4" s="1"/>
  <c r="L10" i="4"/>
  <c r="Y36" i="4" s="1"/>
  <c r="AB54" i="4"/>
  <c r="U55" i="4"/>
  <c r="AB55" i="4" s="1"/>
  <c r="AB51" i="4"/>
  <c r="U52" i="4"/>
  <c r="AB52" i="4" s="1"/>
  <c r="F32" i="4"/>
  <c r="Y25" i="4" s="1"/>
  <c r="U23" i="4"/>
  <c r="F23" i="4"/>
  <c r="Y19" i="4" s="1"/>
  <c r="U17" i="4"/>
  <c r="U33" i="4"/>
  <c r="AB32" i="4"/>
  <c r="AB48" i="4"/>
  <c r="U49" i="4"/>
  <c r="AB49" i="4" s="1"/>
  <c r="U27" i="4"/>
  <c r="AB26" i="4"/>
  <c r="U9" i="4"/>
  <c r="AB8" i="4"/>
  <c r="AB29" i="4"/>
  <c r="U30" i="4"/>
  <c r="U37" i="4"/>
  <c r="AB37" i="4" s="1"/>
  <c r="AB36" i="4"/>
  <c r="U12" i="4"/>
  <c r="AB11" i="4"/>
  <c r="E29" i="4"/>
  <c r="X22" i="4" s="1"/>
  <c r="U20" i="4"/>
  <c r="U15" i="4"/>
  <c r="AB14" i="4"/>
  <c r="E7" i="4"/>
  <c r="X6" i="4" s="1"/>
  <c r="U5" i="4"/>
  <c r="AB2" i="4"/>
  <c r="U3" i="4"/>
  <c r="U46" i="4"/>
  <c r="AB46" i="4" s="1"/>
  <c r="AB45" i="4"/>
  <c r="U43" i="4"/>
  <c r="AB43" i="4" s="1"/>
  <c r="AB42" i="4"/>
  <c r="U40" i="4"/>
  <c r="AB40" i="4" s="1"/>
  <c r="AB39" i="4"/>
  <c r="L8" i="4"/>
  <c r="Y34" i="4" s="1"/>
  <c r="L7" i="4"/>
  <c r="Y33" i="4" s="1"/>
  <c r="K7" i="4"/>
  <c r="X33" i="4" s="1"/>
  <c r="J6" i="4"/>
  <c r="W32" i="4" s="1"/>
  <c r="W33" i="4" s="1"/>
  <c r="W34" i="4" s="1"/>
  <c r="K6" i="4"/>
  <c r="X32" i="4" s="1"/>
  <c r="K8" i="4"/>
  <c r="X34" i="4" s="1"/>
  <c r="L6" i="4"/>
  <c r="Y32" i="4" s="1"/>
  <c r="CB10" i="6"/>
  <c r="CC10" i="6" s="1"/>
  <c r="CI47" i="6"/>
  <c r="CJ47" i="6" s="1"/>
  <c r="CN14" i="6"/>
  <c r="D3" i="4"/>
  <c r="W2" i="4" s="1"/>
  <c r="W3" i="4" s="1"/>
  <c r="W4" i="4" s="1"/>
  <c r="T31" i="10"/>
  <c r="U31" i="10"/>
  <c r="T30" i="10"/>
  <c r="T29" i="10"/>
  <c r="U30" i="10"/>
  <c r="U29" i="10"/>
  <c r="K28" i="4"/>
  <c r="X48" i="4" s="1"/>
  <c r="L28" i="4"/>
  <c r="Y48" i="4" s="1"/>
  <c r="K29" i="4"/>
  <c r="X49" i="4" s="1"/>
  <c r="K27" i="4"/>
  <c r="X47" i="4" s="1"/>
  <c r="J27" i="4"/>
  <c r="W47" i="4" s="1"/>
  <c r="W48" i="4" s="1"/>
  <c r="W49" i="4" s="1"/>
  <c r="L27" i="4"/>
  <c r="Y47" i="4" s="1"/>
  <c r="L29" i="4"/>
  <c r="Y49" i="4" s="1"/>
  <c r="BZ5" i="6"/>
  <c r="CA5" i="6" s="1"/>
  <c r="T4" i="10"/>
  <c r="U4" i="10"/>
  <c r="U3" i="10"/>
  <c r="T3" i="10"/>
  <c r="U2" i="10"/>
  <c r="T2" i="10"/>
  <c r="U20" i="10"/>
  <c r="T21" i="10"/>
  <c r="T22" i="10"/>
  <c r="T20" i="10"/>
  <c r="U22" i="10"/>
  <c r="U21" i="10"/>
  <c r="T13" i="10"/>
  <c r="U13" i="10"/>
  <c r="T12" i="10"/>
  <c r="U11" i="10"/>
  <c r="U12" i="10"/>
  <c r="T11" i="10"/>
  <c r="CG13" i="6"/>
  <c r="CH13" i="6" s="1"/>
  <c r="BP62" i="6"/>
  <c r="BQ62" i="6" s="1"/>
  <c r="X4" i="3"/>
  <c r="Y4" i="3"/>
  <c r="X3" i="3"/>
  <c r="Y2" i="3"/>
  <c r="Y3" i="3"/>
  <c r="X2" i="3"/>
  <c r="E5" i="4"/>
  <c r="X4" i="4" s="1"/>
  <c r="E4" i="4"/>
  <c r="X3" i="4" s="1"/>
  <c r="E23" i="4"/>
  <c r="X19" i="4" s="1"/>
  <c r="F3" i="4"/>
  <c r="Y2" i="4" s="1"/>
  <c r="E21" i="4"/>
  <c r="X17" i="4" s="1"/>
  <c r="CG21" i="6"/>
  <c r="CG33" i="6"/>
  <c r="CH33" i="6" s="1"/>
  <c r="E3" i="10"/>
  <c r="F21" i="4"/>
  <c r="Y17" i="4" s="1"/>
  <c r="F4" i="4"/>
  <c r="Y3" i="4" s="1"/>
  <c r="E3" i="4"/>
  <c r="X2" i="4" s="1"/>
  <c r="F22" i="4"/>
  <c r="Y18" i="4" s="1"/>
  <c r="E22" i="4"/>
  <c r="X18" i="4" s="1"/>
  <c r="F5" i="4"/>
  <c r="Y4" i="4" s="1"/>
  <c r="D21" i="4"/>
  <c r="W17" i="4" s="1"/>
  <c r="W18" i="4" s="1"/>
  <c r="W19" i="4" s="1"/>
  <c r="CI2" i="6"/>
  <c r="CJ2" i="6" s="1"/>
  <c r="D4" i="10"/>
  <c r="CI18" i="6"/>
  <c r="CJ18" i="6" s="1"/>
  <c r="E4" i="10"/>
  <c r="R36" i="6"/>
  <c r="S36" i="6" s="1"/>
  <c r="D3" i="10"/>
  <c r="T21" i="6"/>
  <c r="U21" i="6" s="1"/>
  <c r="CI7" i="6"/>
  <c r="CJ7" i="6" s="1"/>
  <c r="B4" i="10"/>
  <c r="I17" i="10"/>
  <c r="CI22" i="6"/>
  <c r="CJ22" i="6" s="1"/>
  <c r="BF60" i="6"/>
  <c r="BH60" i="6" s="1"/>
  <c r="BK60" i="6" s="1"/>
  <c r="BL60" i="6" s="1"/>
  <c r="T40" i="6"/>
  <c r="U40" i="6" s="1"/>
  <c r="F8" i="4"/>
  <c r="Y7" i="4" s="1"/>
  <c r="F30" i="4"/>
  <c r="Y23" i="4" s="1"/>
  <c r="R19" i="6"/>
  <c r="S19" i="6" s="1"/>
  <c r="E8" i="4"/>
  <c r="X7" i="4" s="1"/>
  <c r="E32" i="4"/>
  <c r="X25" i="4" s="1"/>
  <c r="F7" i="4"/>
  <c r="Y6" i="4" s="1"/>
  <c r="F27" i="4"/>
  <c r="Y20" i="4" s="1"/>
  <c r="E30" i="4"/>
  <c r="X23" i="4" s="1"/>
  <c r="F31" i="4"/>
  <c r="Y24" i="4" s="1"/>
  <c r="R18" i="6"/>
  <c r="S18" i="6" s="1"/>
  <c r="E31" i="4"/>
  <c r="X24" i="4" s="1"/>
  <c r="CP23" i="6"/>
  <c r="CQ23" i="6" s="1"/>
  <c r="CN23" i="6"/>
  <c r="CP7" i="6"/>
  <c r="CQ7" i="6" s="1"/>
  <c r="CN7" i="6"/>
  <c r="CB35" i="6"/>
  <c r="CC35" i="6" s="1"/>
  <c r="BZ35" i="6"/>
  <c r="CG20" i="6"/>
  <c r="CI20" i="6"/>
  <c r="CJ20" i="6" s="1"/>
  <c r="CG26" i="6"/>
  <c r="CI26" i="6"/>
  <c r="CJ26" i="6" s="1"/>
  <c r="CN22" i="6"/>
  <c r="CP22" i="6"/>
  <c r="CQ22" i="6" s="1"/>
  <c r="CG32" i="6"/>
  <c r="CH32" i="6" s="1"/>
  <c r="CI32" i="6"/>
  <c r="CW18" i="6"/>
  <c r="CU18" i="6"/>
  <c r="CV18" i="6" s="1"/>
  <c r="CB36" i="6"/>
  <c r="BZ36" i="6"/>
  <c r="CA36" i="6" s="1"/>
  <c r="BZ6" i="6"/>
  <c r="CB6" i="6"/>
  <c r="CC6" i="6" s="1"/>
  <c r="CS17" i="6"/>
  <c r="CN13" i="6"/>
  <c r="CP13" i="6"/>
  <c r="CQ13" i="6" s="1"/>
  <c r="CG34" i="6"/>
  <c r="CH34" i="6" s="1"/>
  <c r="CI34" i="6"/>
  <c r="CE3" i="6"/>
  <c r="CE4" i="6" s="1"/>
  <c r="CW29" i="6"/>
  <c r="CX29" i="6" s="1"/>
  <c r="CU29" i="6"/>
  <c r="CU17" i="6"/>
  <c r="CW17" i="6"/>
  <c r="CX17" i="6" s="1"/>
  <c r="R47" i="6"/>
  <c r="T9" i="6"/>
  <c r="U9" i="6" s="1"/>
  <c r="F28" i="4"/>
  <c r="Y21" i="4" s="1"/>
  <c r="D30" i="4"/>
  <c r="W23" i="4" s="1"/>
  <c r="W24" i="4" s="1"/>
  <c r="W25" i="4" s="1"/>
  <c r="CI10" i="6"/>
  <c r="CG10" i="6"/>
  <c r="CH10" i="6" s="1"/>
  <c r="BZ31" i="6"/>
  <c r="CA31" i="6" s="1"/>
  <c r="CB31" i="6"/>
  <c r="CB15" i="6"/>
  <c r="CC15" i="6" s="1"/>
  <c r="BZ15" i="6"/>
  <c r="CN9" i="6"/>
  <c r="CP9" i="6"/>
  <c r="CQ9" i="6" s="1"/>
  <c r="CW41" i="6"/>
  <c r="CX41" i="6" s="1"/>
  <c r="CU41" i="6"/>
  <c r="CN28" i="6"/>
  <c r="CO28" i="6" s="1"/>
  <c r="CP28" i="6"/>
  <c r="CP42" i="6"/>
  <c r="CQ42" i="6" s="1"/>
  <c r="CN42" i="6"/>
  <c r="CI3" i="6"/>
  <c r="CJ3" i="6" s="1"/>
  <c r="CG3" i="6"/>
  <c r="CU2" i="6"/>
  <c r="CW2" i="6"/>
  <c r="CX2" i="6" s="1"/>
  <c r="CU45" i="6"/>
  <c r="CV45" i="6" s="1"/>
  <c r="CW45" i="6"/>
  <c r="BX10" i="6"/>
  <c r="E5" i="10"/>
  <c r="CG38" i="6"/>
  <c r="CI38" i="6"/>
  <c r="CJ38" i="6" s="1"/>
  <c r="CN33" i="6"/>
  <c r="CO33" i="6" s="1"/>
  <c r="CP33" i="6"/>
  <c r="BZ48" i="6"/>
  <c r="CB48" i="6"/>
  <c r="CC48" i="6" s="1"/>
  <c r="BX6" i="6"/>
  <c r="B18" i="10" s="1"/>
  <c r="CI12" i="6"/>
  <c r="CJ12" i="6" s="1"/>
  <c r="CG12" i="6"/>
  <c r="CG46" i="6"/>
  <c r="CH46" i="6" s="1"/>
  <c r="CI46" i="6"/>
  <c r="CL7" i="6"/>
  <c r="CW49" i="6"/>
  <c r="CX49" i="6" s="1"/>
  <c r="CU49" i="6"/>
  <c r="R44" i="6"/>
  <c r="S44" i="6" s="1"/>
  <c r="AV64" i="6"/>
  <c r="AX64" i="6" s="1"/>
  <c r="BP105" i="6"/>
  <c r="BQ105" i="6" s="1"/>
  <c r="C5" i="10"/>
  <c r="CG9" i="6"/>
  <c r="CH9" i="6" s="1"/>
  <c r="CG11" i="6"/>
  <c r="CH11" i="6" s="1"/>
  <c r="D27" i="4"/>
  <c r="W20" i="4" s="1"/>
  <c r="W21" i="4" s="1"/>
  <c r="W22" i="4" s="1"/>
  <c r="E27" i="4"/>
  <c r="X20" i="4" s="1"/>
  <c r="CB20" i="6"/>
  <c r="CC20" i="6" s="1"/>
  <c r="D5" i="10"/>
  <c r="CI16" i="6"/>
  <c r="CJ16" i="6" s="1"/>
  <c r="E28" i="4"/>
  <c r="X21" i="4" s="1"/>
  <c r="AB110" i="6"/>
  <c r="AC110" i="6" s="1"/>
  <c r="F29" i="4"/>
  <c r="Y22" i="4" s="1"/>
  <c r="E6" i="4"/>
  <c r="X5" i="4" s="1"/>
  <c r="F6" i="4"/>
  <c r="Y5" i="4" s="1"/>
  <c r="D6" i="4"/>
  <c r="W5" i="4" s="1"/>
  <c r="W6" i="4" s="1"/>
  <c r="W7" i="4" s="1"/>
  <c r="K4" i="4"/>
  <c r="X30" i="4" s="1"/>
  <c r="K3" i="4"/>
  <c r="X29" i="4" s="1"/>
  <c r="L4" i="4"/>
  <c r="Y30" i="4" s="1"/>
  <c r="L3" i="4"/>
  <c r="Y29" i="4" s="1"/>
  <c r="L5" i="4"/>
  <c r="Y31" i="4" s="1"/>
  <c r="K5" i="4"/>
  <c r="X31" i="4" s="1"/>
  <c r="J3" i="4"/>
  <c r="W29" i="4" s="1"/>
  <c r="W30" i="4" s="1"/>
  <c r="W31" i="4" s="1"/>
  <c r="K15" i="4"/>
  <c r="X38" i="4" s="1"/>
  <c r="K17" i="4"/>
  <c r="X40" i="4" s="1"/>
  <c r="J15" i="4"/>
  <c r="W38" i="4" s="1"/>
  <c r="W39" i="4" s="1"/>
  <c r="W40" i="4" s="1"/>
  <c r="K16" i="4"/>
  <c r="X39" i="4" s="1"/>
  <c r="L16" i="4"/>
  <c r="Y39" i="4" s="1"/>
  <c r="L15" i="4"/>
  <c r="Y38" i="4" s="1"/>
  <c r="L17" i="4"/>
  <c r="Y40" i="4" s="1"/>
  <c r="F20" i="4"/>
  <c r="Y16" i="4" s="1"/>
  <c r="E19" i="4"/>
  <c r="X15" i="4" s="1"/>
  <c r="F19" i="4"/>
  <c r="Y15" i="4" s="1"/>
  <c r="D18" i="4"/>
  <c r="W14" i="4" s="1"/>
  <c r="W15" i="4" s="1"/>
  <c r="W16" i="4" s="1"/>
  <c r="F18" i="4"/>
  <c r="Y14" i="4" s="1"/>
  <c r="E18" i="4"/>
  <c r="X14" i="4" s="1"/>
  <c r="E20" i="4"/>
  <c r="X16" i="4" s="1"/>
  <c r="E17" i="4"/>
  <c r="X13" i="4" s="1"/>
  <c r="E16" i="4"/>
  <c r="X12" i="4" s="1"/>
  <c r="E15" i="4"/>
  <c r="X11" i="4" s="1"/>
  <c r="F17" i="4"/>
  <c r="Y13" i="4" s="1"/>
  <c r="F16" i="4"/>
  <c r="Y12" i="4" s="1"/>
  <c r="D15" i="4"/>
  <c r="W11" i="4" s="1"/>
  <c r="W12" i="4" s="1"/>
  <c r="W13" i="4" s="1"/>
  <c r="F15" i="4"/>
  <c r="Y11" i="4" s="1"/>
  <c r="F35" i="4"/>
  <c r="Y28" i="4" s="1"/>
  <c r="F34" i="4"/>
  <c r="Y27" i="4" s="1"/>
  <c r="E34" i="4"/>
  <c r="X27" i="4" s="1"/>
  <c r="D33" i="4"/>
  <c r="W26" i="4" s="1"/>
  <c r="W27" i="4" s="1"/>
  <c r="W28" i="4" s="1"/>
  <c r="E33" i="4"/>
  <c r="X26" i="4" s="1"/>
  <c r="E35" i="4"/>
  <c r="X28" i="4" s="1"/>
  <c r="F33" i="4"/>
  <c r="Y26" i="4" s="1"/>
  <c r="F11" i="4"/>
  <c r="Y10" i="4" s="1"/>
  <c r="E11" i="4"/>
  <c r="X10" i="4" s="1"/>
  <c r="F10" i="4"/>
  <c r="Y9" i="4" s="1"/>
  <c r="D9" i="4"/>
  <c r="W8" i="4" s="1"/>
  <c r="W9" i="4" s="1"/>
  <c r="W10" i="4" s="1"/>
  <c r="F9" i="4"/>
  <c r="Y8" i="4" s="1"/>
  <c r="E10" i="4"/>
  <c r="X9" i="4" s="1"/>
  <c r="E9" i="4"/>
  <c r="X8" i="4" s="1"/>
  <c r="CL12" i="6"/>
  <c r="CL15" i="6" s="1"/>
  <c r="C4" i="10"/>
  <c r="AB63" i="6"/>
  <c r="AC63" i="6" s="1"/>
  <c r="B3" i="10"/>
  <c r="BX17" i="6"/>
  <c r="B19" i="10" s="1"/>
  <c r="BR65" i="6"/>
  <c r="BU65" i="6" s="1"/>
  <c r="BV65" i="6" s="1"/>
  <c r="BQ65" i="6"/>
  <c r="CS23" i="6"/>
  <c r="CS34" i="6"/>
  <c r="T12" i="6"/>
  <c r="U12" i="6" s="1"/>
  <c r="Q19" i="3"/>
  <c r="O19" i="3"/>
  <c r="P19" i="3"/>
  <c r="AL109" i="6"/>
  <c r="AM109" i="6" s="1"/>
  <c r="R7" i="6"/>
  <c r="T26" i="6"/>
  <c r="U26" i="6" s="1"/>
  <c r="T11" i="6"/>
  <c r="T39" i="6"/>
  <c r="U39" i="6" s="1"/>
  <c r="T3" i="6"/>
  <c r="U3" i="6" s="1"/>
  <c r="R22" i="6"/>
  <c r="T6" i="6"/>
  <c r="U6" i="6" s="1"/>
  <c r="AV61" i="6"/>
  <c r="BP107" i="6"/>
  <c r="BF110" i="6"/>
  <c r="R13" i="6"/>
  <c r="S13" i="6" s="1"/>
  <c r="R27" i="6"/>
  <c r="T28" i="6"/>
  <c r="U28" i="6" s="1"/>
  <c r="R32" i="6"/>
  <c r="S32" i="6" s="1"/>
  <c r="R30" i="6"/>
  <c r="AB108" i="6"/>
  <c r="AC108" i="6" s="1"/>
  <c r="R24" i="6"/>
  <c r="R37" i="6"/>
  <c r="AV106" i="6"/>
  <c r="AL110" i="6"/>
  <c r="AM110" i="6" s="1"/>
  <c r="T14" i="6"/>
  <c r="U14" i="6" s="1"/>
  <c r="T17" i="6"/>
  <c r="U17" i="6" s="1"/>
  <c r="R43" i="6"/>
  <c r="AV105" i="6"/>
  <c r="AL105" i="6"/>
  <c r="AM105" i="6" s="1"/>
  <c r="T34" i="6"/>
  <c r="R15" i="6"/>
  <c r="T4" i="6"/>
  <c r="R33" i="6"/>
  <c r="S33" i="6" s="1"/>
  <c r="T35" i="6"/>
  <c r="U35" i="6" s="1"/>
  <c r="AV62" i="6"/>
  <c r="BF107" i="6"/>
  <c r="BP110" i="6"/>
  <c r="AL107" i="6"/>
  <c r="AV110" i="6"/>
  <c r="BF63" i="6"/>
  <c r="B5" i="10"/>
  <c r="BZ29" i="6"/>
  <c r="T8" i="6"/>
  <c r="U8" i="6" s="1"/>
  <c r="AV108" i="6"/>
  <c r="AV111" i="6"/>
  <c r="BF104" i="6"/>
  <c r="CB5" i="6"/>
  <c r="C3" i="10"/>
  <c r="BZ30" i="6"/>
  <c r="R45" i="6"/>
  <c r="S45" i="6" s="1"/>
  <c r="R48" i="6"/>
  <c r="T49" i="6"/>
  <c r="U49" i="6" s="1"/>
  <c r="R10" i="6"/>
  <c r="S10" i="6" s="1"/>
  <c r="T29" i="6"/>
  <c r="U29" i="6" s="1"/>
  <c r="T20" i="6"/>
  <c r="U20" i="6" s="1"/>
  <c r="R25" i="6"/>
  <c r="T23" i="6"/>
  <c r="U23" i="6" s="1"/>
  <c r="R42" i="6"/>
  <c r="T41" i="6"/>
  <c r="U41" i="6" s="1"/>
  <c r="R5" i="6"/>
  <c r="S5" i="6" s="1"/>
  <c r="R2" i="6"/>
  <c r="R31" i="6"/>
  <c r="S31" i="6" s="1"/>
  <c r="T38" i="6"/>
  <c r="U38" i="6" s="1"/>
  <c r="T5" i="6"/>
  <c r="T42" i="6"/>
  <c r="U42" i="6" s="1"/>
  <c r="T2" i="6"/>
  <c r="U2" i="6" s="1"/>
  <c r="AL61" i="6"/>
  <c r="AM61" i="6" s="1"/>
  <c r="BF61" i="6"/>
  <c r="R8" i="6"/>
  <c r="R38" i="6"/>
  <c r="T31" i="6"/>
  <c r="U31" i="6" s="1"/>
  <c r="BP61" i="6"/>
  <c r="AB61" i="6"/>
  <c r="CW36" i="6"/>
  <c r="AL63" i="6"/>
  <c r="AV63" i="6"/>
  <c r="AB60" i="6"/>
  <c r="BP60" i="6"/>
  <c r="BF105" i="6"/>
  <c r="AL60" i="6"/>
  <c r="AV60" i="6"/>
  <c r="AB105" i="6"/>
  <c r="AC105" i="6" s="1"/>
  <c r="BP63" i="6"/>
  <c r="CH28" i="6"/>
  <c r="L14" i="10"/>
  <c r="K14" i="10"/>
  <c r="CH48" i="6"/>
  <c r="CP3" i="6"/>
  <c r="CQ3" i="6" s="1"/>
  <c r="G3" i="10"/>
  <c r="G5" i="10"/>
  <c r="CN3" i="6"/>
  <c r="G4" i="10"/>
  <c r="F3" i="10"/>
  <c r="F5" i="10"/>
  <c r="F4" i="10"/>
  <c r="CJ21" i="6"/>
  <c r="CN24" i="6"/>
  <c r="CP24" i="6"/>
  <c r="CQ24" i="6" s="1"/>
  <c r="CP15" i="6"/>
  <c r="CQ15" i="6" s="1"/>
  <c r="CN15" i="6"/>
  <c r="CN25" i="6"/>
  <c r="CP25" i="6"/>
  <c r="CQ25" i="6" s="1"/>
  <c r="CN45" i="6"/>
  <c r="CP45" i="6"/>
  <c r="CQ45" i="6" s="1"/>
  <c r="CH18" i="6"/>
  <c r="M14" i="10"/>
  <c r="H3" i="10"/>
  <c r="I5" i="10"/>
  <c r="I4" i="10"/>
  <c r="I3" i="10"/>
  <c r="CW14" i="6"/>
  <c r="CX14" i="6" s="1"/>
  <c r="H5" i="10"/>
  <c r="H4" i="10"/>
  <c r="CU14" i="6"/>
  <c r="CV14" i="6" s="1"/>
  <c r="CW46" i="6"/>
  <c r="CX46" i="6" s="1"/>
  <c r="CU46" i="6"/>
  <c r="CN40" i="6"/>
  <c r="CP40" i="6"/>
  <c r="CQ40" i="6" s="1"/>
  <c r="CP35" i="6"/>
  <c r="CQ35" i="6" s="1"/>
  <c r="CN35" i="6"/>
  <c r="BF65" i="6"/>
  <c r="CN37" i="6"/>
  <c r="CP37" i="6"/>
  <c r="CQ37" i="6" s="1"/>
  <c r="CN44" i="6"/>
  <c r="CO44" i="6" s="1"/>
  <c r="CP44" i="6"/>
  <c r="CP26" i="6"/>
  <c r="CQ26" i="6" s="1"/>
  <c r="CN26" i="6"/>
  <c r="CP31" i="6"/>
  <c r="CQ31" i="6" s="1"/>
  <c r="CN31" i="6"/>
  <c r="CW23" i="6"/>
  <c r="CX23" i="6" s="1"/>
  <c r="CU23" i="6"/>
  <c r="CV23" i="6" s="1"/>
  <c r="CN8" i="6"/>
  <c r="CP8" i="6"/>
  <c r="CQ8" i="6" s="1"/>
  <c r="AB107" i="6"/>
  <c r="AC107" i="6" s="1"/>
  <c r="AL65" i="6"/>
  <c r="AM65" i="6" s="1"/>
  <c r="CJ6" i="6"/>
  <c r="CN12" i="6"/>
  <c r="CO12" i="6" s="1"/>
  <c r="CP12" i="6"/>
  <c r="CP43" i="6"/>
  <c r="CQ43" i="6" s="1"/>
  <c r="CN43" i="6"/>
  <c r="CN49" i="6"/>
  <c r="CO49" i="6" s="1"/>
  <c r="CP49" i="6"/>
  <c r="CN32" i="6"/>
  <c r="CP32" i="6"/>
  <c r="CQ32" i="6" s="1"/>
  <c r="CW42" i="6"/>
  <c r="CX42" i="6" s="1"/>
  <c r="CU42" i="6"/>
  <c r="CW38" i="6"/>
  <c r="CX38" i="6" s="1"/>
  <c r="CU38" i="6"/>
  <c r="CJ39" i="6"/>
  <c r="BF109" i="6"/>
  <c r="AV107" i="6"/>
  <c r="BP104" i="6"/>
  <c r="AB104" i="6"/>
  <c r="AC104" i="6" s="1"/>
  <c r="AL62" i="6"/>
  <c r="AM62" i="6" s="1"/>
  <c r="AL64" i="6"/>
  <c r="AM64" i="6" s="1"/>
  <c r="BF62" i="6"/>
  <c r="BG62" i="6" s="1"/>
  <c r="AB62" i="6"/>
  <c r="AC62" i="6" s="1"/>
  <c r="BP111" i="6"/>
  <c r="AL104" i="6"/>
  <c r="AM104" i="6" s="1"/>
  <c r="AL108" i="6"/>
  <c r="AM108" i="6" s="1"/>
  <c r="AV104" i="6"/>
  <c r="AB106" i="6"/>
  <c r="AC106" i="6" s="1"/>
  <c r="BP64" i="6"/>
  <c r="AB64" i="6"/>
  <c r="AC64" i="6" s="1"/>
  <c r="BF64" i="6"/>
  <c r="BF106" i="6"/>
  <c r="AL106" i="6"/>
  <c r="AM106" i="6" s="1"/>
  <c r="BP109" i="6"/>
  <c r="BQ109" i="6" s="1"/>
  <c r="AB111" i="6"/>
  <c r="AC111" i="6" s="1"/>
  <c r="BF111" i="6"/>
  <c r="AV109" i="6"/>
  <c r="AL111" i="6"/>
  <c r="AM111" i="6" s="1"/>
  <c r="BF108" i="6"/>
  <c r="AB109" i="6"/>
  <c r="AC109" i="6" s="1"/>
  <c r="AB65" i="6"/>
  <c r="AC65" i="6" s="1"/>
  <c r="BP108" i="6"/>
  <c r="BQ108" i="6" s="1"/>
  <c r="AV65" i="6"/>
  <c r="BP106" i="6"/>
  <c r="U19" i="6"/>
  <c r="S40" i="6"/>
  <c r="S28" i="6"/>
  <c r="U47" i="6"/>
  <c r="U25" i="6"/>
  <c r="S11" i="6"/>
  <c r="S16" i="6"/>
  <c r="U7" i="6"/>
  <c r="S34" i="6"/>
  <c r="S46" i="6"/>
  <c r="U22" i="6"/>
  <c r="H2" i="3"/>
  <c r="J3" i="3"/>
  <c r="I2" i="3"/>
  <c r="J2" i="3"/>
  <c r="I3" i="3"/>
  <c r="H4" i="3"/>
  <c r="I4" i="3"/>
  <c r="J4" i="3"/>
  <c r="H3" i="3"/>
  <c r="AM13" i="2" l="1"/>
  <c r="AM9" i="2"/>
  <c r="AM5" i="2"/>
  <c r="AN37" i="2"/>
  <c r="AN6" i="2"/>
  <c r="AN7" i="2"/>
  <c r="AO14" i="2"/>
  <c r="C18" i="10"/>
  <c r="BR62" i="6"/>
  <c r="BU62" i="6" s="1"/>
  <c r="BV62" i="6" s="1"/>
  <c r="BR105" i="6"/>
  <c r="BU105" i="6" s="1"/>
  <c r="BV105" i="6" s="1"/>
  <c r="U6" i="4"/>
  <c r="AB5" i="4"/>
  <c r="U21" i="4"/>
  <c r="AB20" i="4"/>
  <c r="AB17" i="4"/>
  <c r="U18" i="4"/>
  <c r="AB3" i="4"/>
  <c r="U4" i="4"/>
  <c r="AB4" i="4" s="1"/>
  <c r="U10" i="4"/>
  <c r="AB10" i="4" s="1"/>
  <c r="AB9" i="4"/>
  <c r="U31" i="4"/>
  <c r="AB31" i="4" s="1"/>
  <c r="AB30" i="4"/>
  <c r="U24" i="4"/>
  <c r="AB23" i="4"/>
  <c r="U16" i="4"/>
  <c r="AB16" i="4" s="1"/>
  <c r="AB15" i="4"/>
  <c r="U13" i="4"/>
  <c r="AB13" i="4" s="1"/>
  <c r="AB12" i="4"/>
  <c r="U28" i="4"/>
  <c r="AB28" i="4" s="1"/>
  <c r="AB27" i="4"/>
  <c r="U34" i="4"/>
  <c r="AB34" i="4" s="1"/>
  <c r="AB33" i="4"/>
  <c r="AD110" i="6"/>
  <c r="AG110" i="6" s="1"/>
  <c r="AH110" i="6" s="1"/>
  <c r="AW64" i="6"/>
  <c r="CH16" i="6"/>
  <c r="CH27" i="6"/>
  <c r="S12" i="6"/>
  <c r="BF12" i="6" s="1"/>
  <c r="CV2" i="6"/>
  <c r="CX45" i="6"/>
  <c r="CO8" i="6"/>
  <c r="CQ19" i="6"/>
  <c r="CH12" i="6"/>
  <c r="CJ4" i="6"/>
  <c r="CH47" i="6"/>
  <c r="CA6" i="6"/>
  <c r="CC5" i="6"/>
  <c r="CC36" i="6"/>
  <c r="BG60" i="6"/>
  <c r="AD63" i="6"/>
  <c r="AG63" i="6" s="1"/>
  <c r="AH63" i="6" s="1"/>
  <c r="S8" i="6"/>
  <c r="BP8" i="6" s="1"/>
  <c r="U4" i="6"/>
  <c r="AV4" i="6" s="1"/>
  <c r="AX4" i="6" s="1"/>
  <c r="BA4" i="6" s="1"/>
  <c r="BB4" i="6" s="1"/>
  <c r="AN110" i="6"/>
  <c r="AQ110" i="6" s="1"/>
  <c r="AR110" i="6" s="1"/>
  <c r="CA30" i="6"/>
  <c r="S43" i="6"/>
  <c r="BP43" i="6" s="1"/>
  <c r="S27" i="6"/>
  <c r="AV27" i="6" s="1"/>
  <c r="CH25" i="6"/>
  <c r="BX15" i="6"/>
  <c r="U5" i="6"/>
  <c r="AL5" i="6" s="1"/>
  <c r="AM5" i="6" s="1"/>
  <c r="CO3" i="6"/>
  <c r="CO14" i="6"/>
  <c r="S38" i="6"/>
  <c r="BP38" i="6" s="1"/>
  <c r="U18" i="6"/>
  <c r="AV18" i="6" s="1"/>
  <c r="CS18" i="6"/>
  <c r="CS29" i="6" s="1"/>
  <c r="CO42" i="6"/>
  <c r="CV41" i="6"/>
  <c r="CA15" i="6"/>
  <c r="CL8" i="6"/>
  <c r="CO7" i="6"/>
  <c r="CA48" i="6"/>
  <c r="CH38" i="6"/>
  <c r="CH3" i="6"/>
  <c r="CJ10" i="6"/>
  <c r="CH21" i="6"/>
  <c r="CH20" i="6"/>
  <c r="CV49" i="6"/>
  <c r="CQ33" i="6"/>
  <c r="CH39" i="6"/>
  <c r="CQ28" i="6"/>
  <c r="CC31" i="6"/>
  <c r="CV17" i="6"/>
  <c r="CJ34" i="6"/>
  <c r="CO13" i="6"/>
  <c r="CL9" i="6"/>
  <c r="CA35" i="6"/>
  <c r="CJ46" i="6"/>
  <c r="CJ11" i="6"/>
  <c r="CO9" i="6"/>
  <c r="CV29" i="6"/>
  <c r="CX18" i="6"/>
  <c r="CJ32" i="6"/>
  <c r="CO22" i="6"/>
  <c r="CH26" i="6"/>
  <c r="CO23" i="6"/>
  <c r="S23" i="6"/>
  <c r="BF23" i="6" s="1"/>
  <c r="AN109" i="6"/>
  <c r="AQ109" i="6" s="1"/>
  <c r="AR109" i="6" s="1"/>
  <c r="AD108" i="6"/>
  <c r="AG108" i="6" s="1"/>
  <c r="AH108" i="6" s="1"/>
  <c r="AN105" i="6"/>
  <c r="AO105" i="6" s="1"/>
  <c r="AP105" i="6" s="1"/>
  <c r="S25" i="6"/>
  <c r="AL25" i="6" s="1"/>
  <c r="AM25" i="6" s="1"/>
  <c r="S7" i="6"/>
  <c r="BF7" i="6" s="1"/>
  <c r="S48" i="6"/>
  <c r="BF48" i="6" s="1"/>
  <c r="U34" i="6"/>
  <c r="AL34" i="6" s="1"/>
  <c r="AM34" i="6" s="1"/>
  <c r="S24" i="6"/>
  <c r="BP24" i="6" s="1"/>
  <c r="U36" i="6"/>
  <c r="BP36" i="6" s="1"/>
  <c r="BX19" i="6"/>
  <c r="S39" i="6"/>
  <c r="AV39" i="6" s="1"/>
  <c r="U46" i="6"/>
  <c r="BF46" i="6" s="1"/>
  <c r="S22" i="6"/>
  <c r="BF22" i="6" s="1"/>
  <c r="BG22" i="6" s="1"/>
  <c r="S20" i="6"/>
  <c r="AL20" i="6" s="1"/>
  <c r="AM20" i="6" s="1"/>
  <c r="S41" i="6"/>
  <c r="AL41" i="6" s="1"/>
  <c r="AM41" i="6" s="1"/>
  <c r="S37" i="6"/>
  <c r="BP37" i="6" s="1"/>
  <c r="S2" i="6"/>
  <c r="U33" i="6"/>
  <c r="AV33" i="6" s="1"/>
  <c r="S3" i="6"/>
  <c r="AB3" i="6" s="1"/>
  <c r="AC3" i="6" s="1"/>
  <c r="U44" i="6"/>
  <c r="AL44" i="6" s="1"/>
  <c r="U45" i="6"/>
  <c r="BF45" i="6" s="1"/>
  <c r="S49" i="6"/>
  <c r="AV49" i="6" s="1"/>
  <c r="S30" i="6"/>
  <c r="AL30" i="6" s="1"/>
  <c r="AM30" i="6" s="1"/>
  <c r="S42" i="6"/>
  <c r="AV42" i="6" s="1"/>
  <c r="S29" i="6"/>
  <c r="BF29" i="6" s="1"/>
  <c r="S14" i="6"/>
  <c r="BF14" i="6" s="1"/>
  <c r="S15" i="6"/>
  <c r="BP15" i="6" s="1"/>
  <c r="S26" i="6"/>
  <c r="BF26" i="6" s="1"/>
  <c r="U32" i="6"/>
  <c r="AV32" i="6" s="1"/>
  <c r="S47" i="6"/>
  <c r="BF47" i="6" s="1"/>
  <c r="S9" i="6"/>
  <c r="BF9" i="6" s="1"/>
  <c r="S17" i="6"/>
  <c r="AV17" i="6" s="1"/>
  <c r="S35" i="6"/>
  <c r="BF35" i="6" s="1"/>
  <c r="U10" i="6"/>
  <c r="AL10" i="6" s="1"/>
  <c r="AM10" i="6" s="1"/>
  <c r="AX110" i="6"/>
  <c r="BA110" i="6" s="1"/>
  <c r="BB110" i="6" s="1"/>
  <c r="AW110" i="6"/>
  <c r="BH111" i="6"/>
  <c r="BK111" i="6" s="1"/>
  <c r="BL111" i="6" s="1"/>
  <c r="BG111" i="6"/>
  <c r="BR111" i="6"/>
  <c r="BU111" i="6" s="1"/>
  <c r="BV111" i="6" s="1"/>
  <c r="BQ111" i="6"/>
  <c r="AX65" i="6"/>
  <c r="BA65" i="6" s="1"/>
  <c r="BB65" i="6" s="1"/>
  <c r="AW65" i="6"/>
  <c r="BH108" i="6"/>
  <c r="BK108" i="6" s="1"/>
  <c r="BL108" i="6" s="1"/>
  <c r="BG108" i="6"/>
  <c r="BH64" i="6"/>
  <c r="BK64" i="6" s="1"/>
  <c r="BL64" i="6" s="1"/>
  <c r="BG64" i="6"/>
  <c r="AX104" i="6"/>
  <c r="BA104" i="6" s="1"/>
  <c r="BB104" i="6" s="1"/>
  <c r="AW104" i="6"/>
  <c r="BH65" i="6"/>
  <c r="BK65" i="6" s="1"/>
  <c r="BL65" i="6" s="1"/>
  <c r="BG65" i="6"/>
  <c r="BR63" i="6"/>
  <c r="BS63" i="6" s="1"/>
  <c r="BT63" i="6" s="1"/>
  <c r="BQ63" i="6"/>
  <c r="AD60" i="6"/>
  <c r="AG60" i="6" s="1"/>
  <c r="AH60" i="6" s="1"/>
  <c r="AC60" i="6"/>
  <c r="BH106" i="6"/>
  <c r="BI106" i="6" s="1"/>
  <c r="BJ106" i="6" s="1"/>
  <c r="BG106" i="6"/>
  <c r="BH109" i="6"/>
  <c r="BK109" i="6" s="1"/>
  <c r="BL109" i="6" s="1"/>
  <c r="BG109" i="6"/>
  <c r="BR104" i="6"/>
  <c r="BU104" i="6" s="1"/>
  <c r="BV104" i="6" s="1"/>
  <c r="BQ104" i="6"/>
  <c r="AN60" i="6"/>
  <c r="AQ60" i="6" s="1"/>
  <c r="AR60" i="6" s="1"/>
  <c r="AM60" i="6"/>
  <c r="BR106" i="6"/>
  <c r="BS106" i="6" s="1"/>
  <c r="BT106" i="6" s="1"/>
  <c r="BQ106" i="6"/>
  <c r="AX109" i="6"/>
  <c r="AY109" i="6" s="1"/>
  <c r="AZ109" i="6" s="1"/>
  <c r="AW109" i="6"/>
  <c r="BR64" i="6"/>
  <c r="BU64" i="6" s="1"/>
  <c r="BV64" i="6" s="1"/>
  <c r="BQ64" i="6"/>
  <c r="AX107" i="6"/>
  <c r="BA107" i="6" s="1"/>
  <c r="BB107" i="6" s="1"/>
  <c r="AW107" i="6"/>
  <c r="AX60" i="6"/>
  <c r="BA60" i="6" s="1"/>
  <c r="BB60" i="6" s="1"/>
  <c r="AW60" i="6"/>
  <c r="BH105" i="6"/>
  <c r="BK105" i="6" s="1"/>
  <c r="BL105" i="6" s="1"/>
  <c r="BG105" i="6"/>
  <c r="AX63" i="6"/>
  <c r="AY63" i="6" s="1"/>
  <c r="AZ63" i="6" s="1"/>
  <c r="AW63" i="6"/>
  <c r="AX61" i="6"/>
  <c r="AY61" i="6" s="1"/>
  <c r="AZ61" i="6" s="1"/>
  <c r="AW61" i="6"/>
  <c r="BR60" i="6"/>
  <c r="BU60" i="6" s="1"/>
  <c r="BV60" i="6" s="1"/>
  <c r="BQ60" i="6"/>
  <c r="AN63" i="6"/>
  <c r="AO63" i="6" s="1"/>
  <c r="AP63" i="6" s="1"/>
  <c r="AM63" i="6"/>
  <c r="BH104" i="6"/>
  <c r="BK104" i="6" s="1"/>
  <c r="BL104" i="6" s="1"/>
  <c r="BG104" i="6"/>
  <c r="AN107" i="6"/>
  <c r="AQ107" i="6" s="1"/>
  <c r="AR107" i="6" s="1"/>
  <c r="AM107" i="6"/>
  <c r="AX105" i="6"/>
  <c r="BA105" i="6" s="1"/>
  <c r="BB105" i="6" s="1"/>
  <c r="AW105" i="6"/>
  <c r="AX106" i="6"/>
  <c r="AY106" i="6" s="1"/>
  <c r="AZ106" i="6" s="1"/>
  <c r="AW106" i="6"/>
  <c r="CS36" i="6"/>
  <c r="C19" i="10"/>
  <c r="BX20" i="6"/>
  <c r="BX29" i="6" s="1"/>
  <c r="BH61" i="6"/>
  <c r="BI61" i="6" s="1"/>
  <c r="BJ61" i="6" s="1"/>
  <c r="BG61" i="6"/>
  <c r="AX111" i="6"/>
  <c r="AY111" i="6" s="1"/>
  <c r="AZ111" i="6" s="1"/>
  <c r="AW111" i="6"/>
  <c r="BH107" i="6"/>
  <c r="BK107" i="6" s="1"/>
  <c r="BL107" i="6" s="1"/>
  <c r="BG107" i="6"/>
  <c r="BH110" i="6"/>
  <c r="BI110" i="6" s="1"/>
  <c r="BJ110" i="6" s="1"/>
  <c r="BG110" i="6"/>
  <c r="CS38" i="6"/>
  <c r="CS42" i="6" s="1"/>
  <c r="AD61" i="6"/>
  <c r="AE61" i="6" s="1"/>
  <c r="AF61" i="6" s="1"/>
  <c r="AC61" i="6"/>
  <c r="BR61" i="6"/>
  <c r="BS61" i="6" s="1"/>
  <c r="BT61" i="6" s="1"/>
  <c r="BQ61" i="6"/>
  <c r="AX108" i="6"/>
  <c r="AY108" i="6" s="1"/>
  <c r="AZ108" i="6" s="1"/>
  <c r="AW108" i="6"/>
  <c r="BH63" i="6"/>
  <c r="BK63" i="6" s="1"/>
  <c r="BL63" i="6" s="1"/>
  <c r="BG63" i="6"/>
  <c r="BR110" i="6"/>
  <c r="BS110" i="6" s="1"/>
  <c r="BT110" i="6" s="1"/>
  <c r="BQ110" i="6"/>
  <c r="AX62" i="6"/>
  <c r="BA62" i="6" s="1"/>
  <c r="BB62" i="6" s="1"/>
  <c r="AW62" i="6"/>
  <c r="BR107" i="6"/>
  <c r="BS107" i="6" s="1"/>
  <c r="BT107" i="6" s="1"/>
  <c r="BQ107" i="6"/>
  <c r="E18" i="10"/>
  <c r="CE6" i="6"/>
  <c r="CE7" i="6" s="1"/>
  <c r="CE9" i="6" s="1"/>
  <c r="D18" i="10"/>
  <c r="CC41" i="6"/>
  <c r="S21" i="6"/>
  <c r="AL21" i="6" s="1"/>
  <c r="AM21" i="6" s="1"/>
  <c r="CA19" i="6"/>
  <c r="CA20" i="6"/>
  <c r="CA29" i="6"/>
  <c r="U11" i="6"/>
  <c r="AV11" i="6" s="1"/>
  <c r="AD105" i="6"/>
  <c r="AG105" i="6" s="1"/>
  <c r="AH105" i="6" s="1"/>
  <c r="S6" i="6"/>
  <c r="AN61" i="6"/>
  <c r="AO61" i="6" s="1"/>
  <c r="AP61" i="6" s="1"/>
  <c r="CC17" i="6"/>
  <c r="CV38" i="6"/>
  <c r="AD65" i="6"/>
  <c r="AG65" i="6" s="1"/>
  <c r="AH65" i="6" s="1"/>
  <c r="AN106" i="6"/>
  <c r="AQ106" i="6" s="1"/>
  <c r="AR106" i="6" s="1"/>
  <c r="AN104" i="6"/>
  <c r="AQ104" i="6" s="1"/>
  <c r="AR104" i="6" s="1"/>
  <c r="AN64" i="6"/>
  <c r="AQ64" i="6" s="1"/>
  <c r="AR64" i="6" s="1"/>
  <c r="AD109" i="6"/>
  <c r="AG109" i="6" s="1"/>
  <c r="AH109" i="6" s="1"/>
  <c r="AD106" i="6"/>
  <c r="AG106" i="6" s="1"/>
  <c r="AH106" i="6" s="1"/>
  <c r="AN62" i="6"/>
  <c r="AO62" i="6" s="1"/>
  <c r="AP62" i="6" s="1"/>
  <c r="CV42" i="6"/>
  <c r="CO43" i="6"/>
  <c r="CO35" i="6"/>
  <c r="CV46" i="6"/>
  <c r="CO15" i="6"/>
  <c r="AD111" i="6"/>
  <c r="AE111" i="6" s="1"/>
  <c r="AF111" i="6" s="1"/>
  <c r="AD62" i="6"/>
  <c r="AG62" i="6" s="1"/>
  <c r="AH62" i="6" s="1"/>
  <c r="AD104" i="6"/>
  <c r="AE104" i="6" s="1"/>
  <c r="AF104" i="6" s="1"/>
  <c r="CO32" i="6"/>
  <c r="AN65" i="6"/>
  <c r="AO65" i="6" s="1"/>
  <c r="AP65" i="6" s="1"/>
  <c r="CO26" i="6"/>
  <c r="CO45" i="6"/>
  <c r="CV34" i="6"/>
  <c r="BR108" i="6"/>
  <c r="BS108" i="6" s="1"/>
  <c r="BT108" i="6" s="1"/>
  <c r="AN111" i="6"/>
  <c r="AO111" i="6" s="1"/>
  <c r="AP111" i="6" s="1"/>
  <c r="BR109" i="6"/>
  <c r="BU109" i="6" s="1"/>
  <c r="BV109" i="6" s="1"/>
  <c r="AD64" i="6"/>
  <c r="AE64" i="6" s="1"/>
  <c r="AF64" i="6" s="1"/>
  <c r="AN108" i="6"/>
  <c r="AO108" i="6" s="1"/>
  <c r="AP108" i="6" s="1"/>
  <c r="BH62" i="6"/>
  <c r="BI62" i="6" s="1"/>
  <c r="BJ62" i="6" s="1"/>
  <c r="CQ49" i="6"/>
  <c r="CQ12" i="6"/>
  <c r="AD107" i="6"/>
  <c r="AG107" i="6" s="1"/>
  <c r="AH107" i="6" s="1"/>
  <c r="CO37" i="6"/>
  <c r="CX36" i="6"/>
  <c r="CO31" i="6"/>
  <c r="CQ44" i="6"/>
  <c r="CO40" i="6"/>
  <c r="CO25" i="6"/>
  <c r="CO24" i="6"/>
  <c r="BS105" i="6"/>
  <c r="BT105" i="6" s="1"/>
  <c r="BI60" i="6"/>
  <c r="BJ60" i="6" s="1"/>
  <c r="BS65" i="6"/>
  <c r="BT65" i="6" s="1"/>
  <c r="AY64" i="6"/>
  <c r="AZ64" i="6" s="1"/>
  <c r="BA64" i="6"/>
  <c r="BB64" i="6" s="1"/>
  <c r="AL40" i="6"/>
  <c r="AM40" i="6" s="1"/>
  <c r="BF40" i="6"/>
  <c r="AV40" i="6"/>
  <c r="BP40" i="6"/>
  <c r="AL31" i="6"/>
  <c r="AM31" i="6" s="1"/>
  <c r="AL13" i="6"/>
  <c r="AM13" i="6" s="1"/>
  <c r="AL28" i="6"/>
  <c r="AM28" i="6" s="1"/>
  <c r="BF19" i="6"/>
  <c r="BG19" i="6" s="1"/>
  <c r="AV19" i="6"/>
  <c r="BP19" i="6"/>
  <c r="BP16" i="6"/>
  <c r="BF16" i="6"/>
  <c r="AV16" i="6"/>
  <c r="BP13" i="6"/>
  <c r="AV13" i="6"/>
  <c r="BF13" i="6"/>
  <c r="AL19" i="6"/>
  <c r="AM19" i="6" s="1"/>
  <c r="BF38" i="6"/>
  <c r="AL16" i="6"/>
  <c r="AM16" i="6" s="1"/>
  <c r="BP28" i="6"/>
  <c r="AV28" i="6"/>
  <c r="BF28" i="6"/>
  <c r="BP31" i="6"/>
  <c r="BF31" i="6"/>
  <c r="AV31" i="6"/>
  <c r="AB19" i="6"/>
  <c r="AC19" i="6" s="1"/>
  <c r="AB40" i="6"/>
  <c r="AC40" i="6" s="1"/>
  <c r="AB16" i="6"/>
  <c r="AC16" i="6" s="1"/>
  <c r="AB13" i="6"/>
  <c r="AC13" i="6" s="1"/>
  <c r="AB12" i="6"/>
  <c r="AC12" i="6" s="1"/>
  <c r="AB31" i="6"/>
  <c r="AC31" i="6" s="1"/>
  <c r="AB28" i="6"/>
  <c r="AC28" i="6" s="1"/>
  <c r="AO41" i="2" l="1"/>
  <c r="AO32" i="2"/>
  <c r="AO20" i="2"/>
  <c r="AV36" i="6"/>
  <c r="AE110" i="6"/>
  <c r="AF110" i="6" s="1"/>
  <c r="BS62" i="6"/>
  <c r="BT62" i="6" s="1"/>
  <c r="AB20" i="6"/>
  <c r="AC20" i="6" s="1"/>
  <c r="AB32" i="6"/>
  <c r="AC32" i="6" s="1"/>
  <c r="AV25" i="6"/>
  <c r="AX25" i="6" s="1"/>
  <c r="AY25" i="6" s="1"/>
  <c r="AZ25" i="6" s="1"/>
  <c r="BF44" i="6"/>
  <c r="BG44" i="6" s="1"/>
  <c r="AV23" i="6"/>
  <c r="AW23" i="6" s="1"/>
  <c r="AB38" i="6"/>
  <c r="AC38" i="6" s="1"/>
  <c r="AV38" i="6"/>
  <c r="AX38" i="6" s="1"/>
  <c r="AY38" i="6" s="1"/>
  <c r="AZ38" i="6" s="1"/>
  <c r="AL38" i="6"/>
  <c r="AM38" i="6" s="1"/>
  <c r="AV12" i="6"/>
  <c r="AQ105" i="6"/>
  <c r="AR105" i="6" s="1"/>
  <c r="BP12" i="6"/>
  <c r="BQ12" i="6" s="1"/>
  <c r="BF3" i="6"/>
  <c r="BH3" i="6" s="1"/>
  <c r="BK3" i="6" s="1"/>
  <c r="BL3" i="6" s="1"/>
  <c r="U25" i="4"/>
  <c r="AB25" i="4" s="1"/>
  <c r="AB24" i="4"/>
  <c r="U22" i="4"/>
  <c r="AB22" i="4" s="1"/>
  <c r="AB21" i="4"/>
  <c r="U19" i="4"/>
  <c r="AB19" i="4" s="1"/>
  <c r="AB18" i="4"/>
  <c r="U7" i="4"/>
  <c r="AB7" i="4" s="1"/>
  <c r="AB6" i="4"/>
  <c r="AB46" i="6"/>
  <c r="AV46" i="6"/>
  <c r="AW46" i="6" s="1"/>
  <c r="BF5" i="6"/>
  <c r="T37" i="10"/>
  <c r="T7" i="10"/>
  <c r="AB8" i="6"/>
  <c r="AC8" i="6" s="1"/>
  <c r="T28" i="10"/>
  <c r="AB44" i="6"/>
  <c r="AC44" i="6" s="1"/>
  <c r="AB42" i="6"/>
  <c r="AC42" i="6" s="1"/>
  <c r="AV8" i="6"/>
  <c r="AW8" i="6" s="1"/>
  <c r="T19" i="10"/>
  <c r="T8" i="10"/>
  <c r="U9" i="10"/>
  <c r="U10" i="10"/>
  <c r="U8" i="10"/>
  <c r="T10" i="10"/>
  <c r="T9" i="10"/>
  <c r="T33" i="10"/>
  <c r="T32" i="10"/>
  <c r="U33" i="10"/>
  <c r="U32" i="10"/>
  <c r="T34" i="10"/>
  <c r="U34" i="10"/>
  <c r="U5" i="10"/>
  <c r="T35" i="10"/>
  <c r="U27" i="10"/>
  <c r="T27" i="10"/>
  <c r="T17" i="10"/>
  <c r="U7" i="10"/>
  <c r="T36" i="10"/>
  <c r="U28" i="10"/>
  <c r="U26" i="10"/>
  <c r="T18" i="10"/>
  <c r="T5" i="10"/>
  <c r="U6" i="10"/>
  <c r="U35" i="10"/>
  <c r="U37" i="10"/>
  <c r="T26" i="10"/>
  <c r="U17" i="10"/>
  <c r="U19" i="10"/>
  <c r="U15" i="10"/>
  <c r="U14" i="10"/>
  <c r="T15" i="10"/>
  <c r="T16" i="10"/>
  <c r="T14" i="10"/>
  <c r="U16" i="10"/>
  <c r="T25" i="10"/>
  <c r="T23" i="10"/>
  <c r="T24" i="10"/>
  <c r="U25" i="10"/>
  <c r="U24" i="10"/>
  <c r="U23" i="10"/>
  <c r="T6" i="10"/>
  <c r="U36" i="10"/>
  <c r="U18" i="10"/>
  <c r="AL12" i="6"/>
  <c r="AM12" i="6" s="1"/>
  <c r="BF41" i="6"/>
  <c r="D7" i="10"/>
  <c r="BP39" i="6"/>
  <c r="BR39" i="6" s="1"/>
  <c r="BS39" i="6" s="1"/>
  <c r="BT39" i="6" s="1"/>
  <c r="I12" i="10"/>
  <c r="AO110" i="6"/>
  <c r="AP110" i="6" s="1"/>
  <c r="AL3" i="6"/>
  <c r="AM3" i="6" s="1"/>
  <c r="BP9" i="6"/>
  <c r="BI108" i="6"/>
  <c r="BJ108" i="6" s="1"/>
  <c r="X14" i="3"/>
  <c r="X13" i="3"/>
  <c r="AB2" i="6"/>
  <c r="Y8" i="3"/>
  <c r="X8" i="3"/>
  <c r="X7" i="3"/>
  <c r="Y6" i="3"/>
  <c r="Y7" i="3"/>
  <c r="X6" i="3"/>
  <c r="X12" i="3"/>
  <c r="Y12" i="3"/>
  <c r="Y14" i="3"/>
  <c r="Y13" i="3"/>
  <c r="H12" i="3"/>
  <c r="AB35" i="6"/>
  <c r="AC35" i="6" s="1"/>
  <c r="BP7" i="6"/>
  <c r="BR7" i="6" s="1"/>
  <c r="BU7" i="6" s="1"/>
  <c r="BV7" i="6" s="1"/>
  <c r="BI111" i="6"/>
  <c r="BJ111" i="6" s="1"/>
  <c r="BP22" i="6"/>
  <c r="BR22" i="6" s="1"/>
  <c r="BS22" i="6" s="1"/>
  <c r="BT22" i="6" s="1"/>
  <c r="AV29" i="6"/>
  <c r="AW29" i="6" s="1"/>
  <c r="BP35" i="6"/>
  <c r="BR35" i="6" s="1"/>
  <c r="BU35" i="6" s="1"/>
  <c r="BV35" i="6" s="1"/>
  <c r="BF2" i="6"/>
  <c r="BH2" i="6" s="1"/>
  <c r="AL45" i="6"/>
  <c r="AV2" i="6"/>
  <c r="AX2" i="6" s="1"/>
  <c r="AB29" i="6"/>
  <c r="AC29" i="6" s="1"/>
  <c r="AL29" i="6"/>
  <c r="AM29" i="6" s="1"/>
  <c r="AL22" i="6"/>
  <c r="AM22" i="6" s="1"/>
  <c r="AL2" i="6"/>
  <c r="AM2" i="6" s="1"/>
  <c r="AL35" i="6"/>
  <c r="AV35" i="6"/>
  <c r="BP45" i="6"/>
  <c r="E7" i="10"/>
  <c r="AB22" i="6"/>
  <c r="AV22" i="6"/>
  <c r="AX22" i="6" s="1"/>
  <c r="AY22" i="6" s="1"/>
  <c r="AZ22" i="6" s="1"/>
  <c r="BP32" i="6"/>
  <c r="BR32" i="6" s="1"/>
  <c r="BS32" i="6" s="1"/>
  <c r="BT32" i="6" s="1"/>
  <c r="BP29" i="6"/>
  <c r="BQ29" i="6" s="1"/>
  <c r="AB36" i="6"/>
  <c r="BF36" i="6"/>
  <c r="BG36" i="6" s="1"/>
  <c r="AL36" i="6"/>
  <c r="AN36" i="6" s="1"/>
  <c r="AQ36" i="6" s="1"/>
  <c r="AR36" i="6" s="1"/>
  <c r="AV45" i="6"/>
  <c r="AX45" i="6" s="1"/>
  <c r="BA45" i="6" s="1"/>
  <c r="BB45" i="6" s="1"/>
  <c r="BP2" i="6"/>
  <c r="BR2" i="6" s="1"/>
  <c r="AB45" i="6"/>
  <c r="AC45" i="6" s="1"/>
  <c r="BF32" i="6"/>
  <c r="BH32" i="6" s="1"/>
  <c r="BI32" i="6" s="1"/>
  <c r="BJ32" i="6" s="1"/>
  <c r="AL32" i="6"/>
  <c r="I14" i="3"/>
  <c r="AB4" i="6"/>
  <c r="AO109" i="6"/>
  <c r="AP109" i="6" s="1"/>
  <c r="AL4" i="6"/>
  <c r="BP4" i="6"/>
  <c r="AE63" i="6"/>
  <c r="AF63" i="6" s="1"/>
  <c r="AY104" i="6"/>
  <c r="AZ104" i="6" s="1"/>
  <c r="BF4" i="6"/>
  <c r="BG4" i="6" s="1"/>
  <c r="AO60" i="6"/>
  <c r="AP60" i="6" s="1"/>
  <c r="AY105" i="6"/>
  <c r="AZ105" i="6" s="1"/>
  <c r="AL8" i="6"/>
  <c r="D12" i="10"/>
  <c r="D9" i="10"/>
  <c r="BF34" i="6"/>
  <c r="BF18" i="6"/>
  <c r="AV26" i="6"/>
  <c r="AX26" i="6" s="1"/>
  <c r="BA26" i="6" s="1"/>
  <c r="AB7" i="6"/>
  <c r="AL26" i="6"/>
  <c r="AM26" i="6" s="1"/>
  <c r="BF15" i="6"/>
  <c r="AW4" i="6"/>
  <c r="AB41" i="6"/>
  <c r="AC41" i="6" s="1"/>
  <c r="BF8" i="6"/>
  <c r="BG8" i="6" s="1"/>
  <c r="AV30" i="6"/>
  <c r="BS111" i="6"/>
  <c r="BT111" i="6" s="1"/>
  <c r="AD3" i="6"/>
  <c r="AG3" i="6" s="1"/>
  <c r="AH3" i="6" s="1"/>
  <c r="AV47" i="6"/>
  <c r="AB27" i="6"/>
  <c r="AC27" i="6" s="1"/>
  <c r="AV34" i="6"/>
  <c r="AW34" i="6" s="1"/>
  <c r="AL39" i="6"/>
  <c r="AM39" i="6" s="1"/>
  <c r="BP27" i="6"/>
  <c r="BQ27" i="6" s="1"/>
  <c r="AV7" i="6"/>
  <c r="AX7" i="6" s="1"/>
  <c r="AY7" i="6" s="1"/>
  <c r="AZ7" i="6" s="1"/>
  <c r="AB34" i="6"/>
  <c r="BF39" i="6"/>
  <c r="BG39" i="6" s="1"/>
  <c r="AV41" i="6"/>
  <c r="AW41" i="6" s="1"/>
  <c r="AB43" i="6"/>
  <c r="AL9" i="6"/>
  <c r="AM9" i="6" s="1"/>
  <c r="BP34" i="6"/>
  <c r="BR34" i="6" s="1"/>
  <c r="BS34" i="6" s="1"/>
  <c r="BT34" i="6" s="1"/>
  <c r="BP3" i="6"/>
  <c r="BQ3" i="6" s="1"/>
  <c r="BP41" i="6"/>
  <c r="BH4" i="6"/>
  <c r="AV15" i="6"/>
  <c r="AX15" i="6" s="1"/>
  <c r="BA15" i="6" s="1"/>
  <c r="BB15" i="6" s="1"/>
  <c r="AL7" i="6"/>
  <c r="AM7" i="6" s="1"/>
  <c r="AV9" i="6"/>
  <c r="AB30" i="6"/>
  <c r="AC30" i="6" s="1"/>
  <c r="AB11" i="6"/>
  <c r="AC11" i="6" s="1"/>
  <c r="AB9" i="6"/>
  <c r="AC9" i="6" s="1"/>
  <c r="AV48" i="6"/>
  <c r="AW48" i="6" s="1"/>
  <c r="BP14" i="6"/>
  <c r="BQ14" i="6" s="1"/>
  <c r="BP49" i="6"/>
  <c r="BQ49" i="6" s="1"/>
  <c r="BP47" i="6"/>
  <c r="BQ47" i="6" s="1"/>
  <c r="BF30" i="6"/>
  <c r="BG30" i="6" s="1"/>
  <c r="BF27" i="6"/>
  <c r="BG27" i="6" s="1"/>
  <c r="AB15" i="6"/>
  <c r="AC15" i="6" s="1"/>
  <c r="AB18" i="6"/>
  <c r="AB39" i="6"/>
  <c r="AC39" i="6" s="1"/>
  <c r="AB21" i="6"/>
  <c r="AC21" i="6" s="1"/>
  <c r="AB33" i="6"/>
  <c r="AC33" i="6" s="1"/>
  <c r="AB25" i="6"/>
  <c r="AL15" i="6"/>
  <c r="AL27" i="6"/>
  <c r="AM27" i="6" s="1"/>
  <c r="AV3" i="6"/>
  <c r="BP30" i="6"/>
  <c r="BQ30" i="6" s="1"/>
  <c r="AG61" i="6"/>
  <c r="AH61" i="6" s="1"/>
  <c r="BI64" i="6"/>
  <c r="BJ64" i="6" s="1"/>
  <c r="AE105" i="6"/>
  <c r="AF105" i="6" s="1"/>
  <c r="BU63" i="6"/>
  <c r="BV63" i="6" s="1"/>
  <c r="BS64" i="6"/>
  <c r="BT64" i="6" s="1"/>
  <c r="BF42" i="6"/>
  <c r="AL17" i="6"/>
  <c r="AM17" i="6" s="1"/>
  <c r="BF37" i="6"/>
  <c r="BH37" i="6" s="1"/>
  <c r="BI37" i="6" s="1"/>
  <c r="BJ37" i="6" s="1"/>
  <c r="BF17" i="6"/>
  <c r="BF24" i="6"/>
  <c r="BH24" i="6" s="1"/>
  <c r="BI24" i="6" s="1"/>
  <c r="BJ24" i="6" s="1"/>
  <c r="AL42" i="6"/>
  <c r="AM42" i="6" s="1"/>
  <c r="AV44" i="6"/>
  <c r="AX44" i="6" s="1"/>
  <c r="BA44" i="6" s="1"/>
  <c r="BB44" i="6" s="1"/>
  <c r="BI107" i="6"/>
  <c r="BJ107" i="6" s="1"/>
  <c r="AE108" i="6"/>
  <c r="AF108" i="6" s="1"/>
  <c r="I7" i="10"/>
  <c r="AB37" i="6"/>
  <c r="AB24" i="6"/>
  <c r="AC24" i="6" s="1"/>
  <c r="BP42" i="6"/>
  <c r="BQ42" i="6" s="1"/>
  <c r="BP46" i="6"/>
  <c r="BQ46" i="6" s="1"/>
  <c r="AV37" i="6"/>
  <c r="AW37" i="6" s="1"/>
  <c r="BP17" i="6"/>
  <c r="BR17" i="6" s="1"/>
  <c r="AV24" i="6"/>
  <c r="AL46" i="6"/>
  <c r="AM46" i="6" s="1"/>
  <c r="BP44" i="6"/>
  <c r="BP26" i="6"/>
  <c r="BR26" i="6" s="1"/>
  <c r="AL24" i="6"/>
  <c r="AM24" i="6" s="1"/>
  <c r="BK61" i="6"/>
  <c r="BL61" i="6" s="1"/>
  <c r="I9" i="3"/>
  <c r="AB26" i="6"/>
  <c r="AC26" i="6" s="1"/>
  <c r="AB17" i="6"/>
  <c r="AC17" i="6" s="1"/>
  <c r="AL37" i="6"/>
  <c r="AM37" i="6" s="1"/>
  <c r="B7" i="10"/>
  <c r="AY60" i="6"/>
  <c r="AZ60" i="6" s="1"/>
  <c r="AO107" i="6"/>
  <c r="AP107" i="6" s="1"/>
  <c r="BI105" i="6"/>
  <c r="BJ105" i="6" s="1"/>
  <c r="BU106" i="6"/>
  <c r="BV106" i="6" s="1"/>
  <c r="BI65" i="6"/>
  <c r="BJ65" i="6" s="1"/>
  <c r="BF11" i="6"/>
  <c r="BH11" i="6" s="1"/>
  <c r="BK11" i="6" s="1"/>
  <c r="BL11" i="6" s="1"/>
  <c r="BP21" i="6"/>
  <c r="BR21" i="6" s="1"/>
  <c r="BU21" i="6" s="1"/>
  <c r="BV21" i="6" s="1"/>
  <c r="AQ65" i="6"/>
  <c r="AR65" i="6" s="1"/>
  <c r="BA109" i="6"/>
  <c r="BB109" i="6" s="1"/>
  <c r="BU110" i="6"/>
  <c r="BV110" i="6" s="1"/>
  <c r="BI109" i="6"/>
  <c r="BJ109" i="6" s="1"/>
  <c r="AV21" i="6"/>
  <c r="BA108" i="6"/>
  <c r="BB108" i="6" s="1"/>
  <c r="AY107" i="6"/>
  <c r="AZ107" i="6" s="1"/>
  <c r="BI104" i="6"/>
  <c r="BJ104" i="6" s="1"/>
  <c r="BP11" i="6"/>
  <c r="BQ11" i="6" s="1"/>
  <c r="BU107" i="6"/>
  <c r="BV107" i="6" s="1"/>
  <c r="BF21" i="6"/>
  <c r="BG21" i="6" s="1"/>
  <c r="BS104" i="6"/>
  <c r="BT104" i="6" s="1"/>
  <c r="BS60" i="6"/>
  <c r="BT60" i="6" s="1"/>
  <c r="BA63" i="6"/>
  <c r="BB63" i="6" s="1"/>
  <c r="D8" i="10"/>
  <c r="BA61" i="6"/>
  <c r="BB61" i="6" s="1"/>
  <c r="E12" i="10"/>
  <c r="H14" i="3"/>
  <c r="I12" i="3"/>
  <c r="AB47" i="6"/>
  <c r="AC47" i="6" s="1"/>
  <c r="AB23" i="6"/>
  <c r="AC23" i="6" s="1"/>
  <c r="AB10" i="6"/>
  <c r="AL49" i="6"/>
  <c r="AM49" i="6" s="1"/>
  <c r="BP25" i="6"/>
  <c r="BR25" i="6" s="1"/>
  <c r="BU25" i="6" s="1"/>
  <c r="BV25" i="6" s="1"/>
  <c r="BP48" i="6"/>
  <c r="BQ48" i="6" s="1"/>
  <c r="BF20" i="6"/>
  <c r="BP33" i="6"/>
  <c r="BQ33" i="6" s="1"/>
  <c r="AL43" i="6"/>
  <c r="AM43" i="6" s="1"/>
  <c r="BP5" i="6"/>
  <c r="BR5" i="6" s="1"/>
  <c r="BU5" i="6" s="1"/>
  <c r="BV5" i="6" s="1"/>
  <c r="AL33" i="6"/>
  <c r="AL23" i="6"/>
  <c r="AV43" i="6"/>
  <c r="AW43" i="6" s="1"/>
  <c r="BP18" i="6"/>
  <c r="BQ18" i="6" s="1"/>
  <c r="BP23" i="6"/>
  <c r="BR23" i="6" s="1"/>
  <c r="BA111" i="6"/>
  <c r="BB111" i="6" s="1"/>
  <c r="D13" i="10"/>
  <c r="E11" i="10"/>
  <c r="J12" i="3"/>
  <c r="J13" i="3"/>
  <c r="AB14" i="6"/>
  <c r="AC14" i="6" s="1"/>
  <c r="AB48" i="6"/>
  <c r="AB49" i="6"/>
  <c r="AB5" i="6"/>
  <c r="AD5" i="6" s="1"/>
  <c r="AG5" i="6" s="1"/>
  <c r="AH5" i="6" s="1"/>
  <c r="BF25" i="6"/>
  <c r="BH25" i="6" s="1"/>
  <c r="BI25" i="6" s="1"/>
  <c r="BJ25" i="6" s="1"/>
  <c r="AL47" i="6"/>
  <c r="AM47" i="6" s="1"/>
  <c r="BP20" i="6"/>
  <c r="BR20" i="6" s="1"/>
  <c r="BS20" i="6" s="1"/>
  <c r="BT20" i="6" s="1"/>
  <c r="BF33" i="6"/>
  <c r="BH33" i="6" s="1"/>
  <c r="BK33" i="6" s="1"/>
  <c r="BL33" i="6" s="1"/>
  <c r="AL18" i="6"/>
  <c r="AM18" i="6" s="1"/>
  <c r="AV14" i="6"/>
  <c r="BF49" i="6"/>
  <c r="BG49" i="6" s="1"/>
  <c r="AL48" i="6"/>
  <c r="AM48" i="6" s="1"/>
  <c r="BF43" i="6"/>
  <c r="BG43" i="6" s="1"/>
  <c r="AL14" i="6"/>
  <c r="AM14" i="6" s="1"/>
  <c r="E9" i="10"/>
  <c r="E8" i="10"/>
  <c r="AV20" i="6"/>
  <c r="AX20" i="6" s="1"/>
  <c r="AV5" i="6"/>
  <c r="AX5" i="6" s="1"/>
  <c r="AY5" i="6" s="1"/>
  <c r="AZ5" i="6" s="1"/>
  <c r="BK110" i="6"/>
  <c r="BL110" i="6" s="1"/>
  <c r="D11" i="10"/>
  <c r="AN5" i="6"/>
  <c r="AO5" i="6" s="1"/>
  <c r="AP5" i="6" s="1"/>
  <c r="E13" i="10"/>
  <c r="BX30" i="6"/>
  <c r="BX31" i="6" s="1"/>
  <c r="BK106" i="6"/>
  <c r="BL106" i="6" s="1"/>
  <c r="AY110" i="6"/>
  <c r="AZ110" i="6" s="1"/>
  <c r="F11" i="10"/>
  <c r="BP6" i="6"/>
  <c r="BQ6" i="6" s="1"/>
  <c r="CS46" i="6"/>
  <c r="CS41" i="6"/>
  <c r="H21" i="10" s="1"/>
  <c r="CL13" i="6"/>
  <c r="CL14" i="6" s="1"/>
  <c r="G7" i="10"/>
  <c r="CE10" i="6"/>
  <c r="CE11" i="6" s="1"/>
  <c r="G17" i="10"/>
  <c r="F17" i="10"/>
  <c r="I19" i="10"/>
  <c r="H19" i="10"/>
  <c r="CL26" i="6"/>
  <c r="CL31" i="6"/>
  <c r="G11" i="10"/>
  <c r="BR29" i="6"/>
  <c r="BS29" i="6" s="1"/>
  <c r="BT29" i="6" s="1"/>
  <c r="AX46" i="6"/>
  <c r="AY46" i="6" s="1"/>
  <c r="AZ46" i="6" s="1"/>
  <c r="AX36" i="6"/>
  <c r="AY36" i="6" s="1"/>
  <c r="AZ36" i="6" s="1"/>
  <c r="AW36" i="6"/>
  <c r="BH13" i="6"/>
  <c r="BI13" i="6" s="1"/>
  <c r="BJ13" i="6" s="1"/>
  <c r="BG13" i="6"/>
  <c r="BH12" i="6"/>
  <c r="BI12" i="6" s="1"/>
  <c r="BJ12" i="6" s="1"/>
  <c r="BG12" i="6"/>
  <c r="BH40" i="6"/>
  <c r="BI40" i="6" s="1"/>
  <c r="BJ40" i="6" s="1"/>
  <c r="BG40" i="6"/>
  <c r="AX42" i="6"/>
  <c r="AY42" i="6" s="1"/>
  <c r="AZ42" i="6" s="1"/>
  <c r="AW42" i="6"/>
  <c r="AM36" i="6"/>
  <c r="AX13" i="6"/>
  <c r="BA13" i="6" s="1"/>
  <c r="BB13" i="6" s="1"/>
  <c r="AW13" i="6"/>
  <c r="AX16" i="6"/>
  <c r="AY16" i="6" s="1"/>
  <c r="AZ16" i="6" s="1"/>
  <c r="AW16" i="6"/>
  <c r="BR15" i="6"/>
  <c r="BU15" i="6" s="1"/>
  <c r="BV15" i="6" s="1"/>
  <c r="BQ15" i="6"/>
  <c r="AX18" i="6"/>
  <c r="BA18" i="6" s="1"/>
  <c r="BB18" i="6" s="1"/>
  <c r="AW18" i="6"/>
  <c r="BH7" i="6"/>
  <c r="BK7" i="6" s="1"/>
  <c r="BL7" i="6" s="1"/>
  <c r="BG7" i="6"/>
  <c r="BA106" i="6"/>
  <c r="BB106" i="6" s="1"/>
  <c r="AY62" i="6"/>
  <c r="AZ62" i="6" s="1"/>
  <c r="BH9" i="6"/>
  <c r="BG9" i="6"/>
  <c r="E30" i="10"/>
  <c r="D30" i="10"/>
  <c r="BH31" i="6"/>
  <c r="BK31" i="6" s="1"/>
  <c r="BL31" i="6" s="1"/>
  <c r="BG31" i="6"/>
  <c r="AX28" i="6"/>
  <c r="AY28" i="6" s="1"/>
  <c r="AZ28" i="6" s="1"/>
  <c r="AW28" i="6"/>
  <c r="BH35" i="6"/>
  <c r="BI35" i="6" s="1"/>
  <c r="BJ35" i="6" s="1"/>
  <c r="BG35" i="6"/>
  <c r="AW2" i="6"/>
  <c r="BH36" i="6"/>
  <c r="BI36" i="6" s="1"/>
  <c r="BJ36" i="6" s="1"/>
  <c r="BR37" i="6"/>
  <c r="BU37" i="6" s="1"/>
  <c r="BV37" i="6" s="1"/>
  <c r="BQ37" i="6"/>
  <c r="AX32" i="6"/>
  <c r="AY32" i="6" s="1"/>
  <c r="AZ32" i="6" s="1"/>
  <c r="AW32" i="6"/>
  <c r="BH14" i="6"/>
  <c r="BK14" i="6" s="1"/>
  <c r="BL14" i="6" s="1"/>
  <c r="BG14" i="6"/>
  <c r="AW38" i="6"/>
  <c r="AX49" i="6"/>
  <c r="AY49" i="6" s="1"/>
  <c r="AZ49" i="6" s="1"/>
  <c r="AW49" i="6"/>
  <c r="AX11" i="6"/>
  <c r="AY11" i="6" s="1"/>
  <c r="AZ11" i="6" s="1"/>
  <c r="AW11" i="6"/>
  <c r="BH23" i="6"/>
  <c r="BI23" i="6" s="1"/>
  <c r="BJ23" i="6" s="1"/>
  <c r="BG23" i="6"/>
  <c r="AX17" i="6"/>
  <c r="AY17" i="6" s="1"/>
  <c r="AZ17" i="6" s="1"/>
  <c r="AW17" i="6"/>
  <c r="BH45" i="6"/>
  <c r="BI45" i="6" s="1"/>
  <c r="BJ45" i="6" s="1"/>
  <c r="BG45" i="6"/>
  <c r="AE60" i="6"/>
  <c r="AF60" i="6" s="1"/>
  <c r="AQ63" i="6"/>
  <c r="AR63" i="6" s="1"/>
  <c r="AY65" i="6"/>
  <c r="AZ65" i="6" s="1"/>
  <c r="B21" i="10"/>
  <c r="C21" i="10"/>
  <c r="I23" i="10"/>
  <c r="I20" i="10"/>
  <c r="H23" i="10"/>
  <c r="H20" i="10"/>
  <c r="BX41" i="6"/>
  <c r="BR36" i="6"/>
  <c r="BS36" i="6" s="1"/>
  <c r="BT36" i="6" s="1"/>
  <c r="BQ36" i="6"/>
  <c r="BR24" i="6"/>
  <c r="BU24" i="6" s="1"/>
  <c r="BV24" i="6" s="1"/>
  <c r="BQ24" i="6"/>
  <c r="BR38" i="6"/>
  <c r="BS38" i="6" s="1"/>
  <c r="BT38" i="6" s="1"/>
  <c r="BQ38" i="6"/>
  <c r="BR12" i="6"/>
  <c r="BU12" i="6" s="1"/>
  <c r="BV12" i="6" s="1"/>
  <c r="AX40" i="6"/>
  <c r="BA40" i="6" s="1"/>
  <c r="BB40" i="6" s="1"/>
  <c r="AW40" i="6"/>
  <c r="AX23" i="6"/>
  <c r="AW7" i="6"/>
  <c r="BU61" i="6"/>
  <c r="BV61" i="6" s="1"/>
  <c r="BI63" i="6"/>
  <c r="BJ63" i="6" s="1"/>
  <c r="CL32" i="6"/>
  <c r="CL35" i="6" s="1"/>
  <c r="G24" i="10"/>
  <c r="F24" i="10"/>
  <c r="F28" i="10"/>
  <c r="F7" i="10"/>
  <c r="B12" i="10"/>
  <c r="C12" i="10"/>
  <c r="G8" i="10"/>
  <c r="BP10" i="6"/>
  <c r="BQ10" i="6" s="1"/>
  <c r="AE65" i="6"/>
  <c r="AF65" i="6" s="1"/>
  <c r="AO104" i="6"/>
  <c r="AP104" i="6" s="1"/>
  <c r="H7" i="3"/>
  <c r="BU108" i="6"/>
  <c r="BV108" i="6" s="1"/>
  <c r="J14" i="3"/>
  <c r="AV6" i="6"/>
  <c r="AQ61" i="6"/>
  <c r="AR61" i="6" s="1"/>
  <c r="B9" i="10"/>
  <c r="C7" i="10"/>
  <c r="H13" i="3"/>
  <c r="I13" i="3"/>
  <c r="BF6" i="6"/>
  <c r="AL11" i="6"/>
  <c r="C9" i="10"/>
  <c r="C8" i="10"/>
  <c r="B8" i="10"/>
  <c r="AN21" i="6"/>
  <c r="AO21" i="6" s="1"/>
  <c r="AP21" i="6" s="1"/>
  <c r="AG104" i="6"/>
  <c r="AH104" i="6" s="1"/>
  <c r="AE106" i="6"/>
  <c r="AF106" i="6" s="1"/>
  <c r="AV10" i="6"/>
  <c r="H8" i="3"/>
  <c r="I7" i="3"/>
  <c r="J9" i="3"/>
  <c r="J8" i="3"/>
  <c r="I8" i="3"/>
  <c r="J7" i="3"/>
  <c r="H9" i="3"/>
  <c r="BF10" i="6"/>
  <c r="AX8" i="6"/>
  <c r="AY8" i="6" s="1"/>
  <c r="AZ8" i="6" s="1"/>
  <c r="AB6" i="6"/>
  <c r="AL6" i="6"/>
  <c r="AM6" i="6" s="1"/>
  <c r="AG64" i="6"/>
  <c r="AH64" i="6" s="1"/>
  <c r="AG111" i="6"/>
  <c r="AH111" i="6" s="1"/>
  <c r="AE107" i="6"/>
  <c r="AF107" i="6" s="1"/>
  <c r="AQ62" i="6"/>
  <c r="AR62" i="6" s="1"/>
  <c r="AE109" i="6"/>
  <c r="AF109" i="6" s="1"/>
  <c r="AQ108" i="6"/>
  <c r="AR108" i="6" s="1"/>
  <c r="AE62" i="6"/>
  <c r="AF62" i="6" s="1"/>
  <c r="BK62" i="6"/>
  <c r="BL62" i="6" s="1"/>
  <c r="C13" i="10"/>
  <c r="B13" i="10"/>
  <c r="B11" i="10"/>
  <c r="C11" i="10"/>
  <c r="BS109" i="6"/>
  <c r="BT109" i="6" s="1"/>
  <c r="G12" i="10"/>
  <c r="AO64" i="6"/>
  <c r="AP64" i="6" s="1"/>
  <c r="AQ111" i="6"/>
  <c r="AR111" i="6" s="1"/>
  <c r="AO106" i="6"/>
  <c r="AP106" i="6" s="1"/>
  <c r="F9" i="10"/>
  <c r="F8" i="10"/>
  <c r="G9" i="10"/>
  <c r="AD28" i="6"/>
  <c r="AG28" i="6" s="1"/>
  <c r="AH28" i="6" s="1"/>
  <c r="AD31" i="6"/>
  <c r="AG31" i="6" s="1"/>
  <c r="AH31" i="6" s="1"/>
  <c r="AD40" i="6"/>
  <c r="AG40" i="6" s="1"/>
  <c r="BH19" i="6"/>
  <c r="AN31" i="6"/>
  <c r="AO31" i="6" s="1"/>
  <c r="AP31" i="6" s="1"/>
  <c r="AN10" i="6"/>
  <c r="AO10" i="6" s="1"/>
  <c r="AP10" i="6" s="1"/>
  <c r="F13" i="10"/>
  <c r="G13" i="10"/>
  <c r="H11" i="10"/>
  <c r="H12" i="10"/>
  <c r="H13" i="10"/>
  <c r="H9" i="10"/>
  <c r="H7" i="10"/>
  <c r="AD38" i="6"/>
  <c r="AE38" i="6" s="1"/>
  <c r="AF38" i="6" s="1"/>
  <c r="AD19" i="6"/>
  <c r="AE19" i="6" s="1"/>
  <c r="AN16" i="6"/>
  <c r="AO16" i="6" s="1"/>
  <c r="AP16" i="6" s="1"/>
  <c r="AN25" i="6"/>
  <c r="AQ25" i="6" s="1"/>
  <c r="AR25" i="6" s="1"/>
  <c r="F12" i="10"/>
  <c r="I11" i="10"/>
  <c r="I8" i="10"/>
  <c r="H8" i="10"/>
  <c r="AD13" i="6"/>
  <c r="AG13" i="6" s="1"/>
  <c r="AN19" i="6"/>
  <c r="AQ19" i="6" s="1"/>
  <c r="AR19" i="6" s="1"/>
  <c r="AN20" i="6"/>
  <c r="AO20" i="6" s="1"/>
  <c r="AP20" i="6" s="1"/>
  <c r="I13" i="10"/>
  <c r="I9" i="10"/>
  <c r="AD32" i="6"/>
  <c r="AG32" i="6" s="1"/>
  <c r="AD27" i="6"/>
  <c r="AG27" i="6" s="1"/>
  <c r="AH27" i="6" s="1"/>
  <c r="AD12" i="6"/>
  <c r="AD42" i="6"/>
  <c r="AG42" i="6" s="1"/>
  <c r="AD16" i="6"/>
  <c r="AG16" i="6" s="1"/>
  <c r="AH16" i="6" s="1"/>
  <c r="AN34" i="6"/>
  <c r="AQ34" i="6" s="1"/>
  <c r="AR34" i="6" s="1"/>
  <c r="AN41" i="6"/>
  <c r="AQ41" i="6" s="1"/>
  <c r="AR41" i="6" s="1"/>
  <c r="AN38" i="6"/>
  <c r="AQ38" i="6" s="1"/>
  <c r="AR38" i="6" s="1"/>
  <c r="AN30" i="6"/>
  <c r="AQ30" i="6" s="1"/>
  <c r="AR30" i="6" s="1"/>
  <c r="AN13" i="6"/>
  <c r="AY4" i="6"/>
  <c r="AZ4" i="6" s="1"/>
  <c r="AO47" i="2" l="1"/>
  <c r="AO62" i="2"/>
  <c r="AO79" i="2"/>
  <c r="AO88" i="2"/>
  <c r="AO61" i="2"/>
  <c r="AO36" i="2"/>
  <c r="AO90" i="2"/>
  <c r="AO26" i="2"/>
  <c r="AO59" i="2"/>
  <c r="AO80" i="2"/>
  <c r="AO53" i="2"/>
  <c r="AO28" i="2"/>
  <c r="AO102" i="2"/>
  <c r="AO38" i="2"/>
  <c r="AO71" i="2"/>
  <c r="AO7" i="2"/>
  <c r="AO77" i="2"/>
  <c r="AO52" i="2"/>
  <c r="AO25" i="2"/>
  <c r="AO50" i="2"/>
  <c r="AO83" i="2"/>
  <c r="AO19" i="2"/>
  <c r="AO101" i="2"/>
  <c r="AO76" i="2"/>
  <c r="AO49" i="2"/>
  <c r="AO46" i="2"/>
  <c r="AO63" i="2"/>
  <c r="AO56" i="2"/>
  <c r="AO29" i="2"/>
  <c r="AO4" i="2"/>
  <c r="AO74" i="2"/>
  <c r="AO10" i="2"/>
  <c r="AO43" i="2"/>
  <c r="AO48" i="2"/>
  <c r="AO21" i="2"/>
  <c r="AO97" i="2"/>
  <c r="AO86" i="2"/>
  <c r="AO22" i="2"/>
  <c r="AO55" i="2"/>
  <c r="AO72" i="2"/>
  <c r="AO45" i="2"/>
  <c r="AO98" i="2"/>
  <c r="AO34" i="2"/>
  <c r="AO67" i="2"/>
  <c r="AO96" i="2"/>
  <c r="AO69" i="2"/>
  <c r="AO44" i="2"/>
  <c r="AO17" i="2"/>
  <c r="AN97" i="2"/>
  <c r="AN81" i="2"/>
  <c r="AN65" i="2"/>
  <c r="AN49" i="2"/>
  <c r="AN33" i="2"/>
  <c r="AN17" i="2"/>
  <c r="AN102" i="2"/>
  <c r="AN86" i="2"/>
  <c r="AN70" i="2"/>
  <c r="AN54" i="2"/>
  <c r="AN38" i="2"/>
  <c r="AN22" i="2"/>
  <c r="AN75" i="2"/>
  <c r="AN43" i="2"/>
  <c r="AN11" i="2"/>
  <c r="AN72" i="2"/>
  <c r="AN40" i="2"/>
  <c r="AN8" i="2"/>
  <c r="AN71" i="2"/>
  <c r="AN39" i="2"/>
  <c r="AN76" i="2"/>
  <c r="AN44" i="2"/>
  <c r="AN12" i="2"/>
  <c r="AN93" i="2"/>
  <c r="AN77" i="2"/>
  <c r="AN61" i="2"/>
  <c r="AN45" i="2"/>
  <c r="AN29" i="2"/>
  <c r="AN13" i="2"/>
  <c r="AN98" i="2"/>
  <c r="AN82" i="2"/>
  <c r="AN66" i="2"/>
  <c r="AN50" i="2"/>
  <c r="AN34" i="2"/>
  <c r="AN18" i="2"/>
  <c r="AN99" i="2"/>
  <c r="AN67" i="2"/>
  <c r="AN35" i="2"/>
  <c r="AN96" i="2"/>
  <c r="AN64" i="2"/>
  <c r="AN32" i="2"/>
  <c r="AN95" i="2"/>
  <c r="AN63" i="2"/>
  <c r="AN31" i="2"/>
  <c r="AN100" i="2"/>
  <c r="AN68" i="2"/>
  <c r="AN36" i="2"/>
  <c r="AN4" i="2"/>
  <c r="AN89" i="2"/>
  <c r="AN73" i="2"/>
  <c r="AN57" i="2"/>
  <c r="AN41" i="2"/>
  <c r="AN25" i="2"/>
  <c r="AN9" i="2"/>
  <c r="AN94" i="2"/>
  <c r="AN78" i="2"/>
  <c r="AN62" i="2"/>
  <c r="AN46" i="2"/>
  <c r="AN30" i="2"/>
  <c r="AN14" i="2"/>
  <c r="AN91" i="2"/>
  <c r="AN59" i="2"/>
  <c r="AN27" i="2"/>
  <c r="AN88" i="2"/>
  <c r="AN56" i="2"/>
  <c r="AN24" i="2"/>
  <c r="AN87" i="2"/>
  <c r="AN55" i="2"/>
  <c r="AN23" i="2"/>
  <c r="AN92" i="2"/>
  <c r="AN60" i="2"/>
  <c r="AN28" i="2"/>
  <c r="AN101" i="2"/>
  <c r="AN85" i="2"/>
  <c r="AN69" i="2"/>
  <c r="AN53" i="2"/>
  <c r="AN21" i="2"/>
  <c r="AN5" i="2"/>
  <c r="AN90" i="2"/>
  <c r="AN74" i="2"/>
  <c r="AN58" i="2"/>
  <c r="AN42" i="2"/>
  <c r="AN26" i="2"/>
  <c r="AN10" i="2"/>
  <c r="AN83" i="2"/>
  <c r="AN51" i="2"/>
  <c r="AN19" i="2"/>
  <c r="AN80" i="2"/>
  <c r="AN48" i="2"/>
  <c r="AN16" i="2"/>
  <c r="AN79" i="2"/>
  <c r="AN47" i="2"/>
  <c r="AN15" i="2"/>
  <c r="AN84" i="2"/>
  <c r="AN52" i="2"/>
  <c r="AN20" i="2"/>
  <c r="AO30" i="2"/>
  <c r="AO31" i="2"/>
  <c r="AO24" i="2"/>
  <c r="AO100" i="2"/>
  <c r="AO73" i="2"/>
  <c r="AO58" i="2"/>
  <c r="AO91" i="2"/>
  <c r="AO27" i="2"/>
  <c r="AO16" i="2"/>
  <c r="AO92" i="2"/>
  <c r="AO65" i="2"/>
  <c r="AO70" i="2"/>
  <c r="AO6" i="2"/>
  <c r="AO39" i="2"/>
  <c r="AO40" i="2"/>
  <c r="AO13" i="2"/>
  <c r="AO89" i="2"/>
  <c r="AO82" i="2"/>
  <c r="AO18" i="2"/>
  <c r="AO51" i="2"/>
  <c r="AO64" i="2"/>
  <c r="AO37" i="2"/>
  <c r="AO12" i="2"/>
  <c r="AO94" i="2"/>
  <c r="AM37" i="2"/>
  <c r="AM28" i="2"/>
  <c r="AM12" i="2"/>
  <c r="AM33" i="2"/>
  <c r="AM7" i="2"/>
  <c r="AO78" i="2"/>
  <c r="AO95" i="2"/>
  <c r="AO15" i="2"/>
  <c r="AO93" i="2"/>
  <c r="AO68" i="2"/>
  <c r="AO9" i="2"/>
  <c r="AO42" i="2"/>
  <c r="AO75" i="2"/>
  <c r="AO11" i="2"/>
  <c r="AO85" i="2"/>
  <c r="AO60" i="2"/>
  <c r="AO33" i="2"/>
  <c r="AO54" i="2"/>
  <c r="AO87" i="2"/>
  <c r="AO23" i="2"/>
  <c r="AO8" i="2"/>
  <c r="AO84" i="2"/>
  <c r="AO57" i="2"/>
  <c r="AO66" i="2"/>
  <c r="AO99" i="2"/>
  <c r="AO35" i="2"/>
  <c r="AO5" i="2"/>
  <c r="AO81" i="2"/>
  <c r="AD21" i="6"/>
  <c r="AE21" i="6" s="1"/>
  <c r="AF21" i="6" s="1"/>
  <c r="AN9" i="6"/>
  <c r="AQ9" i="6" s="1"/>
  <c r="AR9" i="6" s="1"/>
  <c r="BQ39" i="6"/>
  <c r="BG3" i="6"/>
  <c r="AX29" i="6"/>
  <c r="BA29" i="6" s="1"/>
  <c r="BB29" i="6" s="1"/>
  <c r="AD20" i="6"/>
  <c r="AG20" i="6" s="1"/>
  <c r="AH20" i="6" s="1"/>
  <c r="BR14" i="6"/>
  <c r="BU14" i="6" s="1"/>
  <c r="BV14" i="6" s="1"/>
  <c r="BR33" i="6"/>
  <c r="BS33" i="6" s="1"/>
  <c r="BT33" i="6" s="1"/>
  <c r="AN2" i="6"/>
  <c r="AQ2" i="6" s="1"/>
  <c r="AR2" i="6" s="1"/>
  <c r="AW45" i="6"/>
  <c r="AD35" i="6"/>
  <c r="AG35" i="6" s="1"/>
  <c r="AH35" i="6" s="1"/>
  <c r="BH44" i="6"/>
  <c r="BK44" i="6" s="1"/>
  <c r="BL44" i="6" s="1"/>
  <c r="AW25" i="6"/>
  <c r="AD39" i="6"/>
  <c r="AG39" i="6" s="1"/>
  <c r="AH39" i="6" s="1"/>
  <c r="AX48" i="6"/>
  <c r="BA48" i="6" s="1"/>
  <c r="BB48" i="6" s="1"/>
  <c r="BQ32" i="6"/>
  <c r="BQ22" i="6"/>
  <c r="AD8" i="6"/>
  <c r="AG8" i="6" s="1"/>
  <c r="AH8" i="6" s="1"/>
  <c r="AD24" i="6"/>
  <c r="AE24" i="6" s="1"/>
  <c r="AF24" i="6" s="1"/>
  <c r="AN22" i="6"/>
  <c r="AQ22" i="6" s="1"/>
  <c r="AR22" i="6" s="1"/>
  <c r="AX12" i="6"/>
  <c r="AY12" i="6" s="1"/>
  <c r="BH30" i="6"/>
  <c r="BK30" i="6" s="1"/>
  <c r="BL30" i="6" s="1"/>
  <c r="BG32" i="6"/>
  <c r="AO3" i="2"/>
  <c r="AN3" i="2"/>
  <c r="AD44" i="6"/>
  <c r="AG44" i="6" s="1"/>
  <c r="AH44" i="6" s="1"/>
  <c r="BQ21" i="6"/>
  <c r="BQ2" i="6"/>
  <c r="AN18" i="6"/>
  <c r="AQ18" i="6" s="1"/>
  <c r="BQ7" i="6"/>
  <c r="BQ35" i="6"/>
  <c r="AN37" i="6"/>
  <c r="AQ37" i="6" s="1"/>
  <c r="AR37" i="6" s="1"/>
  <c r="AN12" i="6"/>
  <c r="AQ12" i="6" s="1"/>
  <c r="AR12" i="6" s="1"/>
  <c r="AN46" i="6"/>
  <c r="AO46" i="6" s="1"/>
  <c r="AP46" i="6" s="1"/>
  <c r="AX37" i="6"/>
  <c r="BA37" i="6" s="1"/>
  <c r="BB37" i="6" s="1"/>
  <c r="AN29" i="6"/>
  <c r="AO29" i="6" s="1"/>
  <c r="AP29" i="6" s="1"/>
  <c r="BG37" i="6"/>
  <c r="BR48" i="6"/>
  <c r="BU48" i="6" s="1"/>
  <c r="BV48" i="6" s="1"/>
  <c r="AY2" i="6"/>
  <c r="AZ2" i="6" s="1"/>
  <c r="BK2" i="6"/>
  <c r="BL2" i="6" s="1"/>
  <c r="AD23" i="6"/>
  <c r="AG23" i="6" s="1"/>
  <c r="AH23" i="6" s="1"/>
  <c r="AD45" i="6"/>
  <c r="AG45" i="6" s="1"/>
  <c r="AH45" i="6" s="1"/>
  <c r="BH8" i="6"/>
  <c r="BI8" i="6" s="1"/>
  <c r="BJ8" i="6" s="1"/>
  <c r="BG2" i="6"/>
  <c r="BK35" i="6"/>
  <c r="BL35" i="6" s="1"/>
  <c r="AW22" i="6"/>
  <c r="BR27" i="6"/>
  <c r="BS27" i="6" s="1"/>
  <c r="BT27" i="6" s="1"/>
  <c r="AW44" i="6"/>
  <c r="AM4" i="6"/>
  <c r="AN4" i="6"/>
  <c r="AX34" i="6"/>
  <c r="BA34" i="6" s="1"/>
  <c r="BB34" i="6" s="1"/>
  <c r="BQ4" i="6"/>
  <c r="BR4" i="6"/>
  <c r="AD36" i="6"/>
  <c r="AE36" i="6" s="1"/>
  <c r="AF36" i="6" s="1"/>
  <c r="BI2" i="6"/>
  <c r="BJ2" i="6" s="1"/>
  <c r="AN48" i="6"/>
  <c r="AQ48" i="6" s="1"/>
  <c r="AR48" i="6" s="1"/>
  <c r="AX43" i="6"/>
  <c r="AC5" i="6"/>
  <c r="AD4" i="6"/>
  <c r="BH43" i="6"/>
  <c r="BK43" i="6" s="1"/>
  <c r="BL43" i="6" s="1"/>
  <c r="AN8" i="6"/>
  <c r="AM8" i="6"/>
  <c r="AM11" i="6" s="1"/>
  <c r="BR18" i="6"/>
  <c r="BU18" i="6" s="1"/>
  <c r="BV18" i="6" s="1"/>
  <c r="BA2" i="6"/>
  <c r="BB2" i="6" s="1"/>
  <c r="AX39" i="6"/>
  <c r="AY39" i="6" s="1"/>
  <c r="AD30" i="6"/>
  <c r="AG30" i="6" s="1"/>
  <c r="AH30" i="6" s="1"/>
  <c r="BA49" i="6"/>
  <c r="BB49" i="6" s="1"/>
  <c r="AN27" i="6"/>
  <c r="AQ27" i="6" s="1"/>
  <c r="AR27" i="6" s="1"/>
  <c r="AW26" i="6"/>
  <c r="BR11" i="6"/>
  <c r="BS11" i="6" s="1"/>
  <c r="BT11" i="6" s="1"/>
  <c r="AY45" i="6"/>
  <c r="AZ45" i="6" s="1"/>
  <c r="BU22" i="6"/>
  <c r="BV22" i="6" s="1"/>
  <c r="AD47" i="6"/>
  <c r="AG47" i="6" s="1"/>
  <c r="AN49" i="6"/>
  <c r="AO49" i="6" s="1"/>
  <c r="AP49" i="6" s="1"/>
  <c r="BR42" i="6"/>
  <c r="BS42" i="6" s="1"/>
  <c r="BT42" i="6" s="1"/>
  <c r="AE3" i="6"/>
  <c r="AF3" i="6" s="1"/>
  <c r="AD9" i="6"/>
  <c r="AG9" i="6" s="1"/>
  <c r="AH9" i="6" s="1"/>
  <c r="AN7" i="6"/>
  <c r="AO7" i="6" s="1"/>
  <c r="AP7" i="6" s="1"/>
  <c r="BR46" i="6"/>
  <c r="BS46" i="6" s="1"/>
  <c r="BT46" i="6" s="1"/>
  <c r="AD41" i="6"/>
  <c r="AG41" i="6" s="1"/>
  <c r="AH41" i="6" s="1"/>
  <c r="AN24" i="6"/>
  <c r="AQ24" i="6" s="1"/>
  <c r="AR24" i="6" s="1"/>
  <c r="BR30" i="6"/>
  <c r="BU30" i="6" s="1"/>
  <c r="BV30" i="6" s="1"/>
  <c r="BR49" i="6"/>
  <c r="BU49" i="6" s="1"/>
  <c r="BV49" i="6" s="1"/>
  <c r="BA36" i="6"/>
  <c r="BB36" i="6" s="1"/>
  <c r="AY44" i="6"/>
  <c r="AZ44" i="6" s="1"/>
  <c r="BS48" i="6"/>
  <c r="BT48" i="6" s="1"/>
  <c r="BH27" i="6"/>
  <c r="BI27" i="6" s="1"/>
  <c r="AN17" i="6"/>
  <c r="AO17" i="6" s="1"/>
  <c r="AP17" i="6" s="1"/>
  <c r="BR3" i="6"/>
  <c r="BU3" i="6" s="1"/>
  <c r="BV3" i="6" s="1"/>
  <c r="BG25" i="6"/>
  <c r="BK32" i="6"/>
  <c r="BL32" i="6" s="1"/>
  <c r="AX41" i="6"/>
  <c r="BA41" i="6" s="1"/>
  <c r="AN26" i="6"/>
  <c r="AQ26" i="6" s="1"/>
  <c r="AR26" i="6" s="1"/>
  <c r="AX27" i="6"/>
  <c r="AY27" i="6" s="1"/>
  <c r="BU32" i="6"/>
  <c r="BV32" i="6" s="1"/>
  <c r="BU36" i="6"/>
  <c r="BV36" i="6" s="1"/>
  <c r="BA28" i="6"/>
  <c r="BB28" i="6" s="1"/>
  <c r="AN14" i="6"/>
  <c r="AO14" i="6" s="1"/>
  <c r="AP14" i="6" s="1"/>
  <c r="AD26" i="6"/>
  <c r="AG26" i="6" s="1"/>
  <c r="AH26" i="6" s="1"/>
  <c r="AD33" i="6"/>
  <c r="AG33" i="6" s="1"/>
  <c r="BG24" i="6"/>
  <c r="BQ5" i="6"/>
  <c r="BQ34" i="6"/>
  <c r="BI3" i="6"/>
  <c r="BJ3" i="6" s="1"/>
  <c r="BS15" i="6"/>
  <c r="BT15" i="6" s="1"/>
  <c r="BU29" i="6"/>
  <c r="BV29" i="6" s="1"/>
  <c r="AD11" i="6"/>
  <c r="AG11" i="6" s="1"/>
  <c r="AH11" i="6" s="1"/>
  <c r="AN39" i="6"/>
  <c r="AQ39" i="6" s="1"/>
  <c r="AR39" i="6" s="1"/>
  <c r="AW15" i="6"/>
  <c r="AW5" i="6"/>
  <c r="AY18" i="6"/>
  <c r="AZ18" i="6" s="1"/>
  <c r="AN47" i="6"/>
  <c r="AQ47" i="6" s="1"/>
  <c r="AR47" i="6" s="1"/>
  <c r="AD15" i="6"/>
  <c r="AG15" i="6" s="1"/>
  <c r="AH15" i="6" s="1"/>
  <c r="BI31" i="6"/>
  <c r="BJ31" i="6" s="1"/>
  <c r="AD17" i="6"/>
  <c r="AG17" i="6" s="1"/>
  <c r="AH17" i="6" s="1"/>
  <c r="BG11" i="6"/>
  <c r="AN32" i="6"/>
  <c r="AQ32" i="6" s="1"/>
  <c r="BA27" i="6"/>
  <c r="BB27" i="6" s="1"/>
  <c r="BA17" i="6"/>
  <c r="BB17" i="6" s="1"/>
  <c r="BK4" i="6"/>
  <c r="BL4" i="6" s="1"/>
  <c r="BI4" i="6"/>
  <c r="BJ4" i="6" s="1"/>
  <c r="BK40" i="6"/>
  <c r="BL40" i="6" s="1"/>
  <c r="AY13" i="6"/>
  <c r="AZ13" i="6" s="1"/>
  <c r="BR47" i="6"/>
  <c r="BU47" i="6" s="1"/>
  <c r="BV47" i="6" s="1"/>
  <c r="BR6" i="6"/>
  <c r="BU6" i="6" s="1"/>
  <c r="BV6" i="6" s="1"/>
  <c r="AN42" i="6"/>
  <c r="AO42" i="6" s="1"/>
  <c r="AP42" i="6" s="1"/>
  <c r="BQ20" i="6"/>
  <c r="BK12" i="6"/>
  <c r="BL12" i="6" s="1"/>
  <c r="BI7" i="6"/>
  <c r="BJ7" i="6" s="1"/>
  <c r="BK36" i="6"/>
  <c r="BL36" i="6" s="1"/>
  <c r="AQ5" i="6"/>
  <c r="AR5" i="6" s="1"/>
  <c r="BS7" i="6"/>
  <c r="BT7" i="6" s="1"/>
  <c r="BS12" i="6"/>
  <c r="BT12" i="6" s="1"/>
  <c r="BS35" i="6"/>
  <c r="BT35" i="6" s="1"/>
  <c r="BS24" i="6"/>
  <c r="BT24" i="6" s="1"/>
  <c r="BS26" i="6"/>
  <c r="BT26" i="6" s="1"/>
  <c r="BU26" i="6"/>
  <c r="BV26" i="6" s="1"/>
  <c r="BS17" i="6"/>
  <c r="BT17" i="6" s="1"/>
  <c r="BU17" i="6"/>
  <c r="BV17" i="6" s="1"/>
  <c r="BK24" i="6"/>
  <c r="BL24" i="6" s="1"/>
  <c r="AN43" i="6"/>
  <c r="AO43" i="6" s="1"/>
  <c r="AP43" i="6" s="1"/>
  <c r="I21" i="10"/>
  <c r="BQ17" i="6"/>
  <c r="BQ26" i="6"/>
  <c r="AD14" i="6"/>
  <c r="AG14" i="6" s="1"/>
  <c r="AH14" i="6" s="1"/>
  <c r="AW20" i="6"/>
  <c r="BQ25" i="6"/>
  <c r="BA20" i="6"/>
  <c r="BB20" i="6" s="1"/>
  <c r="AY20" i="6"/>
  <c r="AZ20" i="6" s="1"/>
  <c r="BH49" i="6"/>
  <c r="BI49" i="6" s="1"/>
  <c r="BJ49" i="6" s="1"/>
  <c r="BQ23" i="6"/>
  <c r="BS23" i="6"/>
  <c r="BT23" i="6" s="1"/>
  <c r="BU23" i="6"/>
  <c r="BV23" i="6" s="1"/>
  <c r="B20" i="10"/>
  <c r="BG33" i="6"/>
  <c r="C20" i="10"/>
  <c r="D26" i="10"/>
  <c r="BU34" i="6"/>
  <c r="BV34" i="6" s="1"/>
  <c r="BS25" i="6"/>
  <c r="BT25" i="6" s="1"/>
  <c r="E26" i="10"/>
  <c r="BX35" i="6"/>
  <c r="BX36" i="6" s="1"/>
  <c r="CE13" i="6"/>
  <c r="CE12" i="6"/>
  <c r="E17" i="10" s="1"/>
  <c r="E19" i="10"/>
  <c r="AW3" i="6"/>
  <c r="BH41" i="6"/>
  <c r="BK41" i="6" s="1"/>
  <c r="BL41" i="6" s="1"/>
  <c r="BR19" i="6"/>
  <c r="AX14" i="6"/>
  <c r="BH47" i="6"/>
  <c r="BK47" i="6" s="1"/>
  <c r="BL47" i="6" s="1"/>
  <c r="BR28" i="6"/>
  <c r="AX21" i="6"/>
  <c r="BR40" i="6"/>
  <c r="BU40" i="6" s="1"/>
  <c r="BV40" i="6" s="1"/>
  <c r="BR13" i="6"/>
  <c r="BU13" i="6" s="1"/>
  <c r="BV13" i="6" s="1"/>
  <c r="BR16" i="6"/>
  <c r="BU16" i="6" s="1"/>
  <c r="BV16" i="6" s="1"/>
  <c r="CL19" i="6"/>
  <c r="G18" i="10" s="1"/>
  <c r="AX9" i="6"/>
  <c r="AY9" i="6" s="1"/>
  <c r="BH29" i="6"/>
  <c r="BR31" i="6"/>
  <c r="AX3" i="6"/>
  <c r="AY3" i="6" s="1"/>
  <c r="BH5" i="6"/>
  <c r="BK5" i="6" s="1"/>
  <c r="BH26" i="6"/>
  <c r="BK26" i="6" s="1"/>
  <c r="BL26" i="6" s="1"/>
  <c r="BH42" i="6"/>
  <c r="BK42" i="6" s="1"/>
  <c r="BL42" i="6" s="1"/>
  <c r="AX30" i="6"/>
  <c r="D19" i="10"/>
  <c r="CS45" i="6"/>
  <c r="H18" i="10" s="1"/>
  <c r="AY40" i="6"/>
  <c r="AZ40" i="6" s="1"/>
  <c r="BA22" i="6"/>
  <c r="BB22" i="6" s="1"/>
  <c r="BR8" i="6"/>
  <c r="BU8" i="6" s="1"/>
  <c r="BV8" i="6" s="1"/>
  <c r="AN35" i="6"/>
  <c r="AQ35" i="6" s="1"/>
  <c r="AR35" i="6" s="1"/>
  <c r="BH10" i="6"/>
  <c r="BK10" i="6" s="1"/>
  <c r="BL10" i="6" s="1"/>
  <c r="BG10" i="6"/>
  <c r="BI11" i="6"/>
  <c r="BJ11" i="6" s="1"/>
  <c r="AY26" i="6"/>
  <c r="AZ26" i="6" s="1"/>
  <c r="BR10" i="6"/>
  <c r="BU10" i="6" s="1"/>
  <c r="BV10" i="6" s="1"/>
  <c r="BR41" i="6"/>
  <c r="BR44" i="6"/>
  <c r="BS44" i="6" s="1"/>
  <c r="BT44" i="6" s="1"/>
  <c r="AY15" i="6"/>
  <c r="AZ15" i="6" s="1"/>
  <c r="BH16" i="6"/>
  <c r="BI16" i="6" s="1"/>
  <c r="BJ16" i="6" s="1"/>
  <c r="BA7" i="6"/>
  <c r="BB7" i="6" s="1"/>
  <c r="BA25" i="6"/>
  <c r="BB25" i="6" s="1"/>
  <c r="AD29" i="6"/>
  <c r="AG29" i="6" s="1"/>
  <c r="AH29" i="6" s="1"/>
  <c r="AC6" i="6"/>
  <c r="AX10" i="6"/>
  <c r="AW10" i="6"/>
  <c r="BR45" i="6"/>
  <c r="BU45" i="6" s="1"/>
  <c r="BV45" i="6" s="1"/>
  <c r="BH6" i="6"/>
  <c r="G28" i="10"/>
  <c r="B24" i="10"/>
  <c r="BQ8" i="6"/>
  <c r="BR9" i="6"/>
  <c r="BR43" i="6"/>
  <c r="AX6" i="6"/>
  <c r="AW6" i="6"/>
  <c r="G29" i="10"/>
  <c r="F29" i="10"/>
  <c r="C24" i="10"/>
  <c r="AX35" i="6"/>
  <c r="AY35" i="6" s="1"/>
  <c r="AD18" i="6"/>
  <c r="AG18" i="6" s="1"/>
  <c r="AD46" i="6"/>
  <c r="AE46" i="6" s="1"/>
  <c r="AF46" i="6" s="1"/>
  <c r="AX24" i="6"/>
  <c r="BA24" i="6" s="1"/>
  <c r="BB24" i="6" s="1"/>
  <c r="AD22" i="6"/>
  <c r="AG22" i="6" s="1"/>
  <c r="AH22" i="6" s="1"/>
  <c r="AD7" i="6"/>
  <c r="AG7" i="6" s="1"/>
  <c r="AH7" i="6" s="1"/>
  <c r="AD10" i="6"/>
  <c r="AE10" i="6" s="1"/>
  <c r="AF10" i="6" s="1"/>
  <c r="AD34" i="6"/>
  <c r="AG34" i="6" s="1"/>
  <c r="AD25" i="6"/>
  <c r="AE25" i="6" s="1"/>
  <c r="AX19" i="6"/>
  <c r="AD49" i="6"/>
  <c r="AG49" i="6" s="1"/>
  <c r="AH49" i="6" s="1"/>
  <c r="AX31" i="6"/>
  <c r="BA31" i="6" s="1"/>
  <c r="BB31" i="6" s="1"/>
  <c r="AE12" i="6"/>
  <c r="AF12" i="6" s="1"/>
  <c r="BA8" i="6"/>
  <c r="BB8" i="6" s="1"/>
  <c r="AN11" i="6"/>
  <c r="AN15" i="6"/>
  <c r="AQ15" i="6" s="1"/>
  <c r="AR15" i="6" s="1"/>
  <c r="AN45" i="6"/>
  <c r="AN44" i="6"/>
  <c r="AQ44" i="6" s="1"/>
  <c r="AN33" i="6"/>
  <c r="BH17" i="6"/>
  <c r="BK17" i="6" s="1"/>
  <c r="AQ21" i="6"/>
  <c r="AR21" i="6" s="1"/>
  <c r="AD43" i="6"/>
  <c r="AD37" i="6"/>
  <c r="AE37" i="6" s="1"/>
  <c r="AX33" i="6"/>
  <c r="AD48" i="6"/>
  <c r="AG48" i="6" s="1"/>
  <c r="AH48" i="6" s="1"/>
  <c r="AX47" i="6"/>
  <c r="AN40" i="6"/>
  <c r="AO40" i="6" s="1"/>
  <c r="AN28" i="6"/>
  <c r="AQ28" i="6" s="1"/>
  <c r="AN3" i="6"/>
  <c r="AO3" i="6" s="1"/>
  <c r="AN23" i="6"/>
  <c r="AO23" i="6" s="1"/>
  <c r="BH38" i="6"/>
  <c r="BH34" i="6"/>
  <c r="BK34" i="6" s="1"/>
  <c r="BL34" i="6" s="1"/>
  <c r="BH46" i="6"/>
  <c r="BH21" i="6"/>
  <c r="BI21" i="6" s="1"/>
  <c r="BJ21" i="6" s="1"/>
  <c r="BH18" i="6"/>
  <c r="BK18" i="6" s="1"/>
  <c r="BL18" i="6" s="1"/>
  <c r="AE28" i="6"/>
  <c r="AF28" i="6" s="1"/>
  <c r="BH20" i="6"/>
  <c r="BI20" i="6" s="1"/>
  <c r="BH39" i="6"/>
  <c r="BI39" i="6" s="1"/>
  <c r="BJ39" i="6" s="1"/>
  <c r="BH15" i="6"/>
  <c r="BH22" i="6"/>
  <c r="BK22" i="6" s="1"/>
  <c r="BH28" i="6"/>
  <c r="BK28" i="6" s="1"/>
  <c r="BL28" i="6" s="1"/>
  <c r="BH48" i="6"/>
  <c r="AG38" i="6"/>
  <c r="AH38" i="6" s="1"/>
  <c r="AN6" i="6"/>
  <c r="AD6" i="6"/>
  <c r="AD2" i="6"/>
  <c r="AO30" i="6"/>
  <c r="AP30" i="6" s="1"/>
  <c r="AE42" i="6"/>
  <c r="AF42" i="6" s="1"/>
  <c r="AG12" i="6"/>
  <c r="AH12" i="6" s="1"/>
  <c r="AE8" i="6"/>
  <c r="AF8" i="6" s="1"/>
  <c r="AE40" i="6"/>
  <c r="AF40" i="6" s="1"/>
  <c r="AQ10" i="6"/>
  <c r="AR10" i="6" s="1"/>
  <c r="BB26" i="6"/>
  <c r="AG19" i="6"/>
  <c r="AH19" i="6" s="1"/>
  <c r="BK37" i="6"/>
  <c r="BL37" i="6" s="1"/>
  <c r="BU38" i="6"/>
  <c r="BV38" i="6" s="1"/>
  <c r="BA16" i="6"/>
  <c r="BB16" i="6" s="1"/>
  <c r="AE16" i="6"/>
  <c r="AF16" i="6" s="1"/>
  <c r="AO34" i="6"/>
  <c r="AP34" i="6" s="1"/>
  <c r="BA42" i="6"/>
  <c r="BB42" i="6" s="1"/>
  <c r="AO19" i="6"/>
  <c r="AP19" i="6" s="1"/>
  <c r="BA38" i="6"/>
  <c r="BB38" i="6" s="1"/>
  <c r="AQ31" i="6"/>
  <c r="AR31" i="6" s="1"/>
  <c r="BS21" i="6"/>
  <c r="BT21" i="6" s="1"/>
  <c r="BK23" i="6"/>
  <c r="BL23" i="6" s="1"/>
  <c r="BU39" i="6"/>
  <c r="BV39" i="6" s="1"/>
  <c r="BS37" i="6"/>
  <c r="BT37" i="6" s="1"/>
  <c r="BA46" i="6"/>
  <c r="BB46" i="6" s="1"/>
  <c r="AO36" i="6"/>
  <c r="AP36" i="6" s="1"/>
  <c r="BA5" i="6"/>
  <c r="BB5" i="6" s="1"/>
  <c r="AQ20" i="6"/>
  <c r="AR20" i="6" s="1"/>
  <c r="BI33" i="6"/>
  <c r="BJ33" i="6" s="1"/>
  <c r="BA32" i="6"/>
  <c r="BB32" i="6" s="1"/>
  <c r="BK9" i="6"/>
  <c r="BL9" i="6" s="1"/>
  <c r="BI9" i="6"/>
  <c r="BJ9" i="6" s="1"/>
  <c r="AO41" i="6"/>
  <c r="AP41" i="6" s="1"/>
  <c r="AE31" i="6"/>
  <c r="AF31" i="6" s="1"/>
  <c r="BK13" i="6"/>
  <c r="BL13" i="6" s="1"/>
  <c r="BI14" i="6"/>
  <c r="BJ14" i="6" s="1"/>
  <c r="BK25" i="6"/>
  <c r="BL25" i="6" s="1"/>
  <c r="AE5" i="6"/>
  <c r="AF5" i="6" s="1"/>
  <c r="AE32" i="6"/>
  <c r="AO25" i="6"/>
  <c r="AP25" i="6" s="1"/>
  <c r="BA11" i="6"/>
  <c r="BB11" i="6" s="1"/>
  <c r="BS5" i="6"/>
  <c r="BT5" i="6" s="1"/>
  <c r="AQ16" i="6"/>
  <c r="AR16" i="6" s="1"/>
  <c r="AO38" i="6"/>
  <c r="AP38" i="6" s="1"/>
  <c r="BK45" i="6"/>
  <c r="BL45" i="6" s="1"/>
  <c r="AE27" i="6"/>
  <c r="AF27" i="6" s="1"/>
  <c r="BU20" i="6"/>
  <c r="BV20" i="6" s="1"/>
  <c r="AE13" i="6"/>
  <c r="AF13" i="6" s="1"/>
  <c r="BA23" i="6"/>
  <c r="BB23" i="6" s="1"/>
  <c r="AY23" i="6"/>
  <c r="AZ23" i="6" s="1"/>
  <c r="BK19" i="6"/>
  <c r="BL19" i="6" s="1"/>
  <c r="BI19" i="6"/>
  <c r="AQ13" i="6"/>
  <c r="AR13" i="6" s="1"/>
  <c r="AO13" i="6"/>
  <c r="BU2" i="6"/>
  <c r="BV2" i="6" s="1"/>
  <c r="BS2" i="6"/>
  <c r="AF19" i="6"/>
  <c r="AH40" i="6"/>
  <c r="AH42" i="6"/>
  <c r="AH13" i="6"/>
  <c r="AH32" i="6"/>
  <c r="AO2" i="6" l="1"/>
  <c r="AP2" i="6" s="1"/>
  <c r="AY29" i="6"/>
  <c r="BU33" i="6"/>
  <c r="BV33" i="6" s="1"/>
  <c r="BS14" i="6"/>
  <c r="BT14" i="6" s="1"/>
  <c r="AY48" i="6"/>
  <c r="AO22" i="6"/>
  <c r="AP22" i="6" s="1"/>
  <c r="AE20" i="6"/>
  <c r="AF20" i="6" s="1"/>
  <c r="AE39" i="6"/>
  <c r="AO9" i="6"/>
  <c r="AP9" i="6" s="1"/>
  <c r="AG21" i="6"/>
  <c r="AH21" i="6" s="1"/>
  <c r="BI44" i="6"/>
  <c r="BJ44" i="6" s="1"/>
  <c r="AE35" i="6"/>
  <c r="AF35" i="6" s="1"/>
  <c r="BI30" i="6"/>
  <c r="BJ30" i="6" s="1"/>
  <c r="AG24" i="6"/>
  <c r="AH24" i="6" s="1"/>
  <c r="BG5" i="6"/>
  <c r="BG6" i="6" s="1"/>
  <c r="BK27" i="6"/>
  <c r="BL27" i="6" s="1"/>
  <c r="BK8" i="6"/>
  <c r="BL8" i="6" s="1"/>
  <c r="AO37" i="6"/>
  <c r="AP37" i="6" s="1"/>
  <c r="AO18" i="6"/>
  <c r="AP18" i="6" s="1"/>
  <c r="AY37" i="6"/>
  <c r="AE23" i="6"/>
  <c r="AF23" i="6" s="1"/>
  <c r="BS18" i="6"/>
  <c r="BT18" i="6" s="1"/>
  <c r="AE17" i="6"/>
  <c r="BU42" i="6"/>
  <c r="BV42" i="6" s="1"/>
  <c r="AY34" i="6"/>
  <c r="AZ34" i="6" s="1"/>
  <c r="Q2" i="16"/>
  <c r="R2" i="16"/>
  <c r="AE44" i="6"/>
  <c r="AO12" i="6"/>
  <c r="AP12" i="6" s="1"/>
  <c r="AQ46" i="6"/>
  <c r="AR46" i="6" s="1"/>
  <c r="BA12" i="6"/>
  <c r="BB12" i="6" s="1"/>
  <c r="BA39" i="6"/>
  <c r="BB39" i="6" s="1"/>
  <c r="AO26" i="6"/>
  <c r="AP26" i="6" s="1"/>
  <c r="AQ29" i="6"/>
  <c r="AR29" i="6" s="1"/>
  <c r="D17" i="10"/>
  <c r="AE30" i="6"/>
  <c r="AF30" i="6" s="1"/>
  <c r="BU27" i="6"/>
  <c r="BV27" i="6" s="1"/>
  <c r="AE45" i="6"/>
  <c r="AF45" i="6" s="1"/>
  <c r="AG36" i="6"/>
  <c r="X67" i="3"/>
  <c r="X66" i="3"/>
  <c r="Y68" i="3"/>
  <c r="Y67" i="3"/>
  <c r="Y66" i="3"/>
  <c r="X68" i="3"/>
  <c r="Y32" i="3"/>
  <c r="X20" i="3"/>
  <c r="X19" i="3"/>
  <c r="Y43" i="3"/>
  <c r="Y54" i="3"/>
  <c r="X30" i="3"/>
  <c r="Y30" i="3"/>
  <c r="Y18" i="3"/>
  <c r="Y20" i="3"/>
  <c r="Y44" i="3"/>
  <c r="X54" i="3"/>
  <c r="Y55" i="3"/>
  <c r="X31" i="3"/>
  <c r="X32" i="3"/>
  <c r="Y19" i="3"/>
  <c r="X44" i="3"/>
  <c r="X42" i="3"/>
  <c r="X55" i="3"/>
  <c r="X56" i="3"/>
  <c r="Y31" i="3"/>
  <c r="X18" i="3"/>
  <c r="Y42" i="3"/>
  <c r="X43" i="3"/>
  <c r="Y56" i="3"/>
  <c r="AY41" i="6"/>
  <c r="AZ41" i="6" s="1"/>
  <c r="BI43" i="6"/>
  <c r="BJ43" i="6" s="1"/>
  <c r="AO27" i="6"/>
  <c r="AP27" i="6" s="1"/>
  <c r="BS16" i="6"/>
  <c r="BT16" i="6" s="1"/>
  <c r="AQ17" i="6"/>
  <c r="AR17" i="6" s="1"/>
  <c r="AO4" i="6"/>
  <c r="AP4" i="6" s="1"/>
  <c r="AQ4" i="6"/>
  <c r="AR4" i="6" s="1"/>
  <c r="AE41" i="6"/>
  <c r="AF41" i="6" s="1"/>
  <c r="AO48" i="6"/>
  <c r="AP48" i="6" s="1"/>
  <c r="AE33" i="6"/>
  <c r="AF33" i="6" s="1"/>
  <c r="BS47" i="6"/>
  <c r="AO47" i="6"/>
  <c r="AP47" i="6" s="1"/>
  <c r="AO39" i="6"/>
  <c r="AP39" i="6" s="1"/>
  <c r="BU4" i="6"/>
  <c r="BV4" i="6" s="1"/>
  <c r="BS4" i="6"/>
  <c r="BT4" i="6" s="1"/>
  <c r="BS6" i="6"/>
  <c r="BT6" i="6" s="1"/>
  <c r="AE15" i="6"/>
  <c r="AF15" i="6" s="1"/>
  <c r="AE47" i="6"/>
  <c r="AF47" i="6" s="1"/>
  <c r="AE9" i="6"/>
  <c r="AF9" i="6" s="1"/>
  <c r="AO24" i="6"/>
  <c r="AP24" i="6" s="1"/>
  <c r="BS3" i="6"/>
  <c r="BT3" i="6" s="1"/>
  <c r="AG4" i="6"/>
  <c r="AE4" i="6"/>
  <c r="AF4" i="6" s="1"/>
  <c r="AY43" i="6"/>
  <c r="AZ43" i="6" s="1"/>
  <c r="BA43" i="6"/>
  <c r="BB43" i="6" s="1"/>
  <c r="BU11" i="6"/>
  <c r="BV11" i="6" s="1"/>
  <c r="AO8" i="6"/>
  <c r="AQ8" i="6"/>
  <c r="AR8" i="6" s="1"/>
  <c r="AE29" i="6"/>
  <c r="AF29" i="6" s="1"/>
  <c r="AQ14" i="6"/>
  <c r="AR14" i="6" s="1"/>
  <c r="BS30" i="6"/>
  <c r="BT30" i="6" s="1"/>
  <c r="AQ49" i="6"/>
  <c r="AR49" i="6" s="1"/>
  <c r="AQ7" i="6"/>
  <c r="AR7" i="6" s="1"/>
  <c r="AQ42" i="6"/>
  <c r="AR42" i="6" s="1"/>
  <c r="BI5" i="6"/>
  <c r="BJ5" i="6" s="1"/>
  <c r="BS49" i="6"/>
  <c r="BT49" i="6" s="1"/>
  <c r="BU46" i="6"/>
  <c r="BV46" i="6" s="1"/>
  <c r="AE11" i="6"/>
  <c r="AF11" i="6" s="1"/>
  <c r="BU44" i="6"/>
  <c r="BV44" i="6" s="1"/>
  <c r="BK49" i="6"/>
  <c r="BL49" i="6" s="1"/>
  <c r="AE26" i="6"/>
  <c r="AF26" i="6" s="1"/>
  <c r="AO32" i="6"/>
  <c r="AP32" i="6" s="1"/>
  <c r="BA9" i="6"/>
  <c r="BB9" i="6" s="1"/>
  <c r="AO35" i="6"/>
  <c r="BI42" i="6"/>
  <c r="AQ43" i="6"/>
  <c r="AR43" i="6" s="1"/>
  <c r="BI41" i="6"/>
  <c r="BI26" i="6"/>
  <c r="BI10" i="6"/>
  <c r="BJ10" i="6" s="1"/>
  <c r="AQ40" i="6"/>
  <c r="AR40" i="6" s="1"/>
  <c r="AE14" i="6"/>
  <c r="AF14" i="6" s="1"/>
  <c r="BS10" i="6"/>
  <c r="BT10" i="6" s="1"/>
  <c r="BS40" i="6"/>
  <c r="H20" i="3"/>
  <c r="BA3" i="6"/>
  <c r="BB3" i="6" s="1"/>
  <c r="BS8" i="6"/>
  <c r="BT8" i="6" s="1"/>
  <c r="BS13" i="6"/>
  <c r="BI47" i="6"/>
  <c r="E20" i="3"/>
  <c r="BX48" i="6"/>
  <c r="C30" i="10" s="1"/>
  <c r="CE16" i="6"/>
  <c r="E21" i="10" s="1"/>
  <c r="AY31" i="6"/>
  <c r="AZ31" i="6" s="1"/>
  <c r="B17" i="10"/>
  <c r="C17" i="10"/>
  <c r="B22" i="10"/>
  <c r="BI18" i="6"/>
  <c r="C22" i="10"/>
  <c r="AE22" i="6"/>
  <c r="AO28" i="6"/>
  <c r="AP28" i="6" s="1"/>
  <c r="BK21" i="6"/>
  <c r="BI17" i="6"/>
  <c r="BA35" i="6"/>
  <c r="BB35" i="6" s="1"/>
  <c r="BK39" i="6"/>
  <c r="I19" i="3"/>
  <c r="F18" i="10"/>
  <c r="I20" i="3"/>
  <c r="AQ3" i="6"/>
  <c r="AR3" i="6" s="1"/>
  <c r="L19" i="3"/>
  <c r="AY24" i="6"/>
  <c r="AE34" i="6"/>
  <c r="AF34" i="6" s="1"/>
  <c r="BA30" i="6"/>
  <c r="BB30" i="6" s="1"/>
  <c r="AY30" i="6"/>
  <c r="I18" i="10"/>
  <c r="CL22" i="6"/>
  <c r="AW9" i="6"/>
  <c r="AW12" i="6" s="1"/>
  <c r="BS19" i="6"/>
  <c r="BT19" i="6" s="1"/>
  <c r="BU19" i="6"/>
  <c r="BV19" i="6" s="1"/>
  <c r="AO44" i="6"/>
  <c r="AP44" i="6" s="1"/>
  <c r="D18" i="3"/>
  <c r="F19" i="3"/>
  <c r="AE48" i="6"/>
  <c r="BI15" i="6"/>
  <c r="BJ15" i="6" s="1"/>
  <c r="BU9" i="6"/>
  <c r="BV9" i="6" s="1"/>
  <c r="D20" i="3"/>
  <c r="BS28" i="6"/>
  <c r="BT28" i="6" s="1"/>
  <c r="BU28" i="6"/>
  <c r="BI22" i="6"/>
  <c r="BJ22" i="6" s="1"/>
  <c r="G19" i="3"/>
  <c r="E18" i="3"/>
  <c r="M20" i="3"/>
  <c r="J18" i="3"/>
  <c r="CE18" i="6"/>
  <c r="BU31" i="6"/>
  <c r="BS31" i="6"/>
  <c r="BT31" i="6" s="1"/>
  <c r="CS49" i="6"/>
  <c r="BK29" i="6"/>
  <c r="BL29" i="6" s="1"/>
  <c r="BI29" i="6"/>
  <c r="AY21" i="6"/>
  <c r="BA21" i="6"/>
  <c r="BB21" i="6" s="1"/>
  <c r="AY14" i="6"/>
  <c r="BA14" i="6"/>
  <c r="BB14" i="6" s="1"/>
  <c r="BK20" i="6"/>
  <c r="BL20" i="6" s="1"/>
  <c r="BK16" i="6"/>
  <c r="BL16" i="6" s="1"/>
  <c r="BI28" i="6"/>
  <c r="AQ23" i="6"/>
  <c r="AR23" i="6" s="1"/>
  <c r="J19" i="3"/>
  <c r="M18" i="3"/>
  <c r="AE7" i="6"/>
  <c r="AW19" i="6"/>
  <c r="AE49" i="6"/>
  <c r="BK15" i="6"/>
  <c r="BL15" i="6" s="1"/>
  <c r="BS9" i="6"/>
  <c r="BT9" i="6" s="1"/>
  <c r="D19" i="3"/>
  <c r="BA19" i="6"/>
  <c r="BB19" i="6" s="1"/>
  <c r="AG25" i="6"/>
  <c r="AH25" i="6" s="1"/>
  <c r="AG46" i="6"/>
  <c r="AG2" i="6"/>
  <c r="AH2" i="6" s="1"/>
  <c r="M19" i="3"/>
  <c r="K19" i="3"/>
  <c r="K20" i="3"/>
  <c r="AY19" i="6"/>
  <c r="AZ19" i="6" s="1"/>
  <c r="F18" i="3"/>
  <c r="I18" i="3"/>
  <c r="H18" i="3"/>
  <c r="H19" i="3"/>
  <c r="G20" i="3"/>
  <c r="E19" i="3"/>
  <c r="BS43" i="6"/>
  <c r="BU43" i="6"/>
  <c r="BV43" i="6" s="1"/>
  <c r="AG10" i="6"/>
  <c r="L20" i="3"/>
  <c r="L18" i="3"/>
  <c r="AE18" i="6"/>
  <c r="AF18" i="6" s="1"/>
  <c r="BS45" i="6"/>
  <c r="BQ9" i="6"/>
  <c r="F20" i="3"/>
  <c r="G18" i="3"/>
  <c r="J20" i="3"/>
  <c r="AM15" i="6"/>
  <c r="BG15" i="6"/>
  <c r="BG16" i="6" s="1"/>
  <c r="BA10" i="6"/>
  <c r="BB10" i="6" s="1"/>
  <c r="AY10" i="6"/>
  <c r="AZ10" i="6" s="1"/>
  <c r="BK6" i="6"/>
  <c r="BL6" i="6" s="1"/>
  <c r="BI6" i="6"/>
  <c r="AC2" i="6"/>
  <c r="BA6" i="6"/>
  <c r="BB6" i="6" s="1"/>
  <c r="AY6" i="6"/>
  <c r="BS41" i="6"/>
  <c r="BT41" i="6" s="1"/>
  <c r="BU41" i="6"/>
  <c r="BV41" i="6" s="1"/>
  <c r="K18" i="3"/>
  <c r="AG37" i="6"/>
  <c r="AH37" i="6" s="1"/>
  <c r="BK48" i="6"/>
  <c r="BL48" i="6" s="1"/>
  <c r="BI48" i="6"/>
  <c r="AQ33" i="6"/>
  <c r="AO33" i="6"/>
  <c r="AP33" i="6" s="1"/>
  <c r="AE2" i="6"/>
  <c r="BI34" i="6"/>
  <c r="AO15" i="6"/>
  <c r="AO45" i="6"/>
  <c r="AP45" i="6" s="1"/>
  <c r="AQ45" i="6"/>
  <c r="AQ11" i="6"/>
  <c r="AG43" i="6"/>
  <c r="AH43" i="6" s="1"/>
  <c r="AE43" i="6"/>
  <c r="AO11" i="6"/>
  <c r="AP11" i="6" s="1"/>
  <c r="BA33" i="6"/>
  <c r="BB33" i="6" s="1"/>
  <c r="AY33" i="6"/>
  <c r="BA47" i="6"/>
  <c r="BB47" i="6" s="1"/>
  <c r="AY47" i="6"/>
  <c r="BK38" i="6"/>
  <c r="BL38" i="6" s="1"/>
  <c r="BI38" i="6"/>
  <c r="BI46" i="6"/>
  <c r="BK46" i="6"/>
  <c r="BL46" i="6" s="1"/>
  <c r="AG6" i="6"/>
  <c r="AH6" i="6" s="1"/>
  <c r="AE6" i="6"/>
  <c r="AQ6" i="6"/>
  <c r="AR6" i="6" s="1"/>
  <c r="AO6" i="6"/>
  <c r="AP6" i="6" s="1"/>
  <c r="AZ29" i="6"/>
  <c r="AP40" i="6"/>
  <c r="AR28" i="6"/>
  <c r="BB41" i="6"/>
  <c r="AZ37" i="6"/>
  <c r="BJ27" i="6"/>
  <c r="AR18" i="6"/>
  <c r="BT47" i="6"/>
  <c r="AZ48" i="6"/>
  <c r="BJ19" i="6"/>
  <c r="BT2" i="6"/>
  <c r="AF17" i="6"/>
  <c r="AF32" i="6"/>
  <c r="AH47" i="6"/>
  <c r="AF44" i="6"/>
  <c r="AF39" i="6"/>
  <c r="G21" i="10" l="1"/>
  <c r="F21" i="10"/>
  <c r="AM20" i="2"/>
  <c r="AM32" i="2"/>
  <c r="AM17" i="2"/>
  <c r="D21" i="10"/>
  <c r="X50" i="3"/>
  <c r="Y50" i="3"/>
  <c r="X51" i="3"/>
  <c r="Y51" i="3"/>
  <c r="Y52" i="3"/>
  <c r="X52" i="3"/>
  <c r="B34" i="10"/>
  <c r="C23" i="10"/>
  <c r="C38" i="10"/>
  <c r="C40" i="10"/>
  <c r="B30" i="10"/>
  <c r="B35" i="10"/>
  <c r="C25" i="10"/>
  <c r="C33" i="10"/>
  <c r="C34" i="10"/>
  <c r="C28" i="10"/>
  <c r="C32" i="10"/>
  <c r="C31" i="10"/>
  <c r="B42" i="10"/>
  <c r="B31" i="10"/>
  <c r="C36" i="10"/>
  <c r="B38" i="10"/>
  <c r="B27" i="10"/>
  <c r="AC4" i="6"/>
  <c r="AH4" i="6"/>
  <c r="AH36" i="6"/>
  <c r="AP8" i="6"/>
  <c r="AZ6" i="6"/>
  <c r="AZ12" i="6"/>
  <c r="AR11" i="6"/>
  <c r="BJ6" i="6"/>
  <c r="AZ39" i="6"/>
  <c r="AZ27" i="6"/>
  <c r="AR32" i="6"/>
  <c r="AF2" i="6"/>
  <c r="BJ42" i="6"/>
  <c r="AZ30" i="6"/>
  <c r="AZ14" i="6"/>
  <c r="AZ9" i="6"/>
  <c r="AP15" i="6"/>
  <c r="AR44" i="6"/>
  <c r="AH10" i="6"/>
  <c r="AH34" i="6"/>
  <c r="BV31" i="6"/>
  <c r="C35" i="10"/>
  <c r="C39" i="10"/>
  <c r="C41" i="10"/>
  <c r="C42" i="10"/>
  <c r="C26" i="10"/>
  <c r="B32" i="10"/>
  <c r="B23" i="10"/>
  <c r="C37" i="10"/>
  <c r="B28" i="10"/>
  <c r="B29" i="10"/>
  <c r="B39" i="10"/>
  <c r="B36" i="10"/>
  <c r="B41" i="10"/>
  <c r="B25" i="10"/>
  <c r="B33" i="10"/>
  <c r="B37" i="10"/>
  <c r="B26" i="10"/>
  <c r="B40" i="10"/>
  <c r="C27" i="10"/>
  <c r="C29" i="10"/>
  <c r="H35" i="10"/>
  <c r="I30" i="10"/>
  <c r="H25" i="10"/>
  <c r="I25" i="10"/>
  <c r="H39" i="10"/>
  <c r="H41" i="10"/>
  <c r="H24" i="10"/>
  <c r="H34" i="10"/>
  <c r="I28" i="10"/>
  <c r="I37" i="10"/>
  <c r="I42" i="10"/>
  <c r="I24" i="10"/>
  <c r="I27" i="10"/>
  <c r="I33" i="10"/>
  <c r="H29" i="10"/>
  <c r="H42" i="10"/>
  <c r="I35" i="10"/>
  <c r="I38" i="10"/>
  <c r="I36" i="10"/>
  <c r="H32" i="10"/>
  <c r="I29" i="10"/>
  <c r="H30" i="10"/>
  <c r="H33" i="10"/>
  <c r="H40" i="10"/>
  <c r="H28" i="10"/>
  <c r="BJ17" i="6"/>
  <c r="I34" i="10"/>
  <c r="I26" i="10"/>
  <c r="H38" i="10"/>
  <c r="I39" i="10"/>
  <c r="I31" i="10"/>
  <c r="I32" i="10"/>
  <c r="H22" i="10"/>
  <c r="H37" i="10"/>
  <c r="H27" i="10"/>
  <c r="H36" i="10"/>
  <c r="I41" i="10"/>
  <c r="AZ3" i="6"/>
  <c r="BJ41" i="6"/>
  <c r="BJ29" i="6"/>
  <c r="BJ20" i="6"/>
  <c r="AZ24" i="6"/>
  <c r="AZ21" i="6"/>
  <c r="BL5" i="6"/>
  <c r="BJ47" i="6"/>
  <c r="BT13" i="6"/>
  <c r="BT40" i="6"/>
  <c r="CL23" i="6"/>
  <c r="F23" i="10" s="1"/>
  <c r="G22" i="10"/>
  <c r="F22" i="10"/>
  <c r="BQ13" i="6"/>
  <c r="BQ16" i="6" s="1"/>
  <c r="BQ19" i="6" s="1"/>
  <c r="I40" i="10"/>
  <c r="I22" i="10"/>
  <c r="H26" i="10"/>
  <c r="H31" i="10"/>
  <c r="BV28" i="6"/>
  <c r="X28" i="3" s="1"/>
  <c r="BJ26" i="6"/>
  <c r="AW14" i="6"/>
  <c r="AW21" i="6" s="1"/>
  <c r="CE20" i="6"/>
  <c r="BT45" i="6"/>
  <c r="BT43" i="6"/>
  <c r="BQ41" i="6"/>
  <c r="M32" i="3"/>
  <c r="L32" i="3"/>
  <c r="BG17" i="6"/>
  <c r="AM23" i="6"/>
  <c r="AM32" i="6" s="1"/>
  <c r="AF22" i="6"/>
  <c r="AF7" i="6"/>
  <c r="BL17" i="6"/>
  <c r="BJ18" i="6"/>
  <c r="I26" i="3"/>
  <c r="AH18" i="6"/>
  <c r="AH46" i="6"/>
  <c r="AZ35" i="6"/>
  <c r="AP23" i="6"/>
  <c r="BJ28" i="6"/>
  <c r="AR45" i="6"/>
  <c r="AZ47" i="6"/>
  <c r="AR33" i="6"/>
  <c r="AZ33" i="6"/>
  <c r="AF6" i="6"/>
  <c r="AF25" i="6"/>
  <c r="BJ46" i="6"/>
  <c r="AF43" i="6"/>
  <c r="BL39" i="6"/>
  <c r="AF37" i="6"/>
  <c r="BL22" i="6"/>
  <c r="BL21" i="6"/>
  <c r="AF49" i="6"/>
  <c r="AH33" i="6"/>
  <c r="BJ34" i="6"/>
  <c r="BJ48" i="6"/>
  <c r="BJ38" i="6"/>
  <c r="AP13" i="6"/>
  <c r="AP3" i="6"/>
  <c r="AP35" i="6"/>
  <c r="AF48" i="6"/>
  <c r="H27" i="3"/>
  <c r="H26" i="3"/>
  <c r="H28" i="3"/>
  <c r="I28" i="3"/>
  <c r="I27" i="3"/>
  <c r="X75" i="3" l="1"/>
  <c r="X72" i="3"/>
  <c r="Y72" i="3"/>
  <c r="X71" i="3"/>
  <c r="X70" i="3"/>
  <c r="Y71" i="3"/>
  <c r="Y70" i="3"/>
  <c r="Y74" i="3"/>
  <c r="Y75" i="3"/>
  <c r="Y76" i="3"/>
  <c r="X74" i="3"/>
  <c r="X76" i="3"/>
  <c r="X23" i="3"/>
  <c r="Y36" i="3"/>
  <c r="Y63" i="3"/>
  <c r="Y60" i="3"/>
  <c r="Y59" i="3"/>
  <c r="X59" i="3"/>
  <c r="Y58" i="3"/>
  <c r="X58" i="3"/>
  <c r="X60" i="3"/>
  <c r="X48" i="3"/>
  <c r="X47" i="3"/>
  <c r="Y47" i="3"/>
  <c r="X46" i="3"/>
  <c r="Y46" i="3"/>
  <c r="Y48" i="3"/>
  <c r="Y26" i="3"/>
  <c r="Y35" i="3"/>
  <c r="X36" i="3"/>
  <c r="Y24" i="3"/>
  <c r="Y22" i="3"/>
  <c r="X35" i="3"/>
  <c r="X62" i="3"/>
  <c r="Y34" i="3"/>
  <c r="X24" i="3"/>
  <c r="Y23" i="3"/>
  <c r="Y62" i="3"/>
  <c r="F26" i="3"/>
  <c r="Y38" i="3"/>
  <c r="Y40" i="3"/>
  <c r="X39" i="3"/>
  <c r="X38" i="3"/>
  <c r="Y39" i="3"/>
  <c r="X40" i="3"/>
  <c r="X27" i="3"/>
  <c r="Y64" i="3"/>
  <c r="X64" i="3"/>
  <c r="X22" i="3"/>
  <c r="Y28" i="3"/>
  <c r="X34" i="3"/>
  <c r="X26" i="3"/>
  <c r="X63" i="3"/>
  <c r="Y27" i="3"/>
  <c r="E26" i="3"/>
  <c r="D22" i="3"/>
  <c r="D24" i="3"/>
  <c r="E24" i="3"/>
  <c r="E22" i="3"/>
  <c r="E23" i="3"/>
  <c r="G26" i="3"/>
  <c r="L27" i="3"/>
  <c r="G22" i="3"/>
  <c r="E28" i="3"/>
  <c r="D23" i="3"/>
  <c r="L22" i="3"/>
  <c r="J26" i="3"/>
  <c r="E27" i="3"/>
  <c r="D27" i="3"/>
  <c r="CL24" i="6"/>
  <c r="CL25" i="6" s="1"/>
  <c r="F22" i="3"/>
  <c r="G27" i="3"/>
  <c r="K26" i="3"/>
  <c r="D28" i="3"/>
  <c r="D26" i="3"/>
  <c r="K28" i="3"/>
  <c r="G23" i="10"/>
  <c r="E32" i="3"/>
  <c r="AW24" i="6"/>
  <c r="CE21" i="6"/>
  <c r="CE22" i="6" s="1"/>
  <c r="E33" i="3"/>
  <c r="D25" i="10"/>
  <c r="E25" i="10"/>
  <c r="BQ28" i="6"/>
  <c r="BQ31" i="6" s="1"/>
  <c r="D33" i="3"/>
  <c r="D32" i="3"/>
  <c r="AW31" i="6"/>
  <c r="BQ43" i="6"/>
  <c r="BQ44" i="6" s="1"/>
  <c r="L23" i="3"/>
  <c r="K27" i="3"/>
  <c r="K22" i="3"/>
  <c r="J27" i="3"/>
  <c r="J28" i="3"/>
  <c r="BG18" i="6"/>
  <c r="G23" i="3"/>
  <c r="F23" i="3"/>
  <c r="J24" i="3"/>
  <c r="J23" i="3"/>
  <c r="H24" i="3"/>
  <c r="H22" i="3"/>
  <c r="I23" i="3"/>
  <c r="I24" i="3"/>
  <c r="H23" i="3"/>
  <c r="M26" i="3"/>
  <c r="M28" i="3"/>
  <c r="L28" i="3"/>
  <c r="L26" i="3"/>
  <c r="M27" i="3"/>
  <c r="I22" i="3"/>
  <c r="K24" i="3"/>
  <c r="M23" i="3"/>
  <c r="G24" i="3"/>
  <c r="F24" i="3"/>
  <c r="M22" i="3"/>
  <c r="F28" i="3"/>
  <c r="L24" i="3"/>
  <c r="M24" i="3"/>
  <c r="F27" i="3"/>
  <c r="G28" i="3"/>
  <c r="K23" i="3"/>
  <c r="J22" i="3"/>
  <c r="AM84" i="2" l="1"/>
  <c r="AM27" i="2"/>
  <c r="AM53" i="2"/>
  <c r="AM76" i="2"/>
  <c r="AM10" i="2"/>
  <c r="AM62" i="2"/>
  <c r="AM4" i="2"/>
  <c r="AM55" i="2"/>
  <c r="AM82" i="2"/>
  <c r="AM38" i="2"/>
  <c r="AM8" i="2"/>
  <c r="AM63" i="2"/>
  <c r="AM102" i="2"/>
  <c r="AM34" i="2"/>
  <c r="AM91" i="2"/>
  <c r="AM85" i="2"/>
  <c r="AM15" i="2"/>
  <c r="AM6" i="2"/>
  <c r="AM93" i="2"/>
  <c r="AM31" i="2"/>
  <c r="AM96" i="2"/>
  <c r="AM75" i="2"/>
  <c r="AM87" i="2"/>
  <c r="AM46" i="2"/>
  <c r="AM49" i="2"/>
  <c r="AM88" i="2"/>
  <c r="AM35" i="2"/>
  <c r="AM41" i="2"/>
  <c r="AM64" i="2"/>
  <c r="AM47" i="2"/>
  <c r="AM11" i="2"/>
  <c r="AM45" i="2"/>
  <c r="AM36" i="2"/>
  <c r="AM78" i="2"/>
  <c r="AM42" i="2"/>
  <c r="AM52" i="2"/>
  <c r="AM58" i="2"/>
  <c r="AM21" i="2"/>
  <c r="AM44" i="2"/>
  <c r="AM74" i="2"/>
  <c r="AM29" i="2"/>
  <c r="AM100" i="2"/>
  <c r="AM69" i="2"/>
  <c r="AM77" i="2"/>
  <c r="AM57" i="2"/>
  <c r="AM80" i="2"/>
  <c r="AM19" i="2"/>
  <c r="AM70" i="2"/>
  <c r="AM24" i="2"/>
  <c r="AM95" i="2"/>
  <c r="AM22" i="2"/>
  <c r="AM101" i="2"/>
  <c r="AM60" i="2"/>
  <c r="AM71" i="2"/>
  <c r="AM30" i="2"/>
  <c r="AM86" i="2"/>
  <c r="AM18" i="2"/>
  <c r="AM40" i="2"/>
  <c r="AM89" i="2"/>
  <c r="AM23" i="2"/>
  <c r="AM83" i="2"/>
  <c r="AM81" i="2"/>
  <c r="AM39" i="2"/>
  <c r="AM99" i="2"/>
  <c r="AM73" i="2"/>
  <c r="AM51" i="2"/>
  <c r="AM67" i="2"/>
  <c r="AM54" i="2"/>
  <c r="AM16" i="2"/>
  <c r="AM79" i="2"/>
  <c r="AM43" i="2"/>
  <c r="AM61" i="2"/>
  <c r="AM68" i="2"/>
  <c r="AM90" i="2"/>
  <c r="AM14" i="2"/>
  <c r="AM97" i="2"/>
  <c r="AM72" i="2"/>
  <c r="AM98" i="2"/>
  <c r="AM26" i="2"/>
  <c r="AM65" i="2"/>
  <c r="AM94" i="2"/>
  <c r="AM25" i="2"/>
  <c r="AM48" i="2"/>
  <c r="AM50" i="2"/>
  <c r="AM56" i="2"/>
  <c r="AM66" i="2"/>
  <c r="AM59" i="2"/>
  <c r="AM92" i="2"/>
  <c r="AM3" i="2"/>
  <c r="AW27" i="6"/>
  <c r="CL28" i="6"/>
  <c r="F30" i="10" s="1"/>
  <c r="F26" i="10"/>
  <c r="G26" i="10"/>
  <c r="E32" i="10"/>
  <c r="D32" i="10"/>
  <c r="BQ40" i="6"/>
  <c r="E34" i="3"/>
  <c r="D34" i="3"/>
  <c r="BG28" i="6"/>
  <c r="BG20" i="6"/>
  <c r="CE25" i="6"/>
  <c r="AW33" i="6"/>
  <c r="E35" i="3"/>
  <c r="D35" i="3"/>
  <c r="BG34" i="6"/>
  <c r="BQ45" i="6"/>
  <c r="E36" i="3"/>
  <c r="D36" i="3"/>
  <c r="P2" i="16" l="1"/>
  <c r="G30" i="10"/>
  <c r="CL33" i="6"/>
  <c r="G32" i="10" s="1"/>
  <c r="BG26" i="6"/>
  <c r="G36" i="3" s="1"/>
  <c r="AW30" i="6"/>
  <c r="G35" i="3"/>
  <c r="E47" i="3"/>
  <c r="F35" i="3"/>
  <c r="D44" i="3"/>
  <c r="CE26" i="6"/>
  <c r="CE27" i="6" s="1"/>
  <c r="CE28" i="6" s="1"/>
  <c r="D29" i="10"/>
  <c r="E29" i="10"/>
  <c r="E44" i="3"/>
  <c r="E56" i="3"/>
  <c r="E53" i="3"/>
  <c r="D53" i="3"/>
  <c r="D40" i="3"/>
  <c r="D45" i="3"/>
  <c r="E42" i="3"/>
  <c r="E49" i="3"/>
  <c r="D39" i="3"/>
  <c r="E46" i="3"/>
  <c r="D50" i="3"/>
  <c r="E45" i="3"/>
  <c r="E38" i="3"/>
  <c r="D43" i="3"/>
  <c r="AW35" i="6"/>
  <c r="AW39" i="6" s="1"/>
  <c r="H35" i="3"/>
  <c r="I35" i="3"/>
  <c r="D52" i="3"/>
  <c r="E41" i="3"/>
  <c r="E37" i="3"/>
  <c r="E40" i="3"/>
  <c r="D42" i="3"/>
  <c r="E54" i="3"/>
  <c r="E55" i="3"/>
  <c r="E43" i="3"/>
  <c r="E39" i="3"/>
  <c r="E51" i="3"/>
  <c r="D41" i="3"/>
  <c r="D51" i="3"/>
  <c r="D49" i="3"/>
  <c r="D46" i="3"/>
  <c r="D56" i="3"/>
  <c r="D38" i="3"/>
  <c r="D37" i="3"/>
  <c r="D48" i="3"/>
  <c r="E50" i="3"/>
  <c r="D55" i="3"/>
  <c r="E48" i="3"/>
  <c r="D54" i="3"/>
  <c r="D47" i="3"/>
  <c r="E52" i="3"/>
  <c r="F32" i="10" l="1"/>
  <c r="CL37" i="6"/>
  <c r="F25" i="10" s="1"/>
  <c r="BG29" i="6"/>
  <c r="BG38" i="6" s="1"/>
  <c r="F32" i="3" s="1"/>
  <c r="F36" i="3"/>
  <c r="I33" i="3"/>
  <c r="I32" i="3"/>
  <c r="H32" i="3"/>
  <c r="H34" i="3"/>
  <c r="I34" i="3"/>
  <c r="H33" i="3"/>
  <c r="D28" i="10"/>
  <c r="E28" i="10"/>
  <c r="E23" i="10"/>
  <c r="BG46" i="6"/>
  <c r="CL40" i="6"/>
  <c r="G31" i="10" s="1"/>
  <c r="D23" i="10"/>
  <c r="CE33" i="6"/>
  <c r="CE32" i="6"/>
  <c r="H36" i="3"/>
  <c r="AW47" i="6"/>
  <c r="I36" i="3"/>
  <c r="I37" i="3"/>
  <c r="H37" i="3"/>
  <c r="G32" i="3" l="1"/>
  <c r="F37" i="3"/>
  <c r="G37" i="3"/>
  <c r="BG41" i="6"/>
  <c r="G39" i="3" s="1"/>
  <c r="F39" i="3"/>
  <c r="I47" i="3"/>
  <c r="I42" i="3"/>
  <c r="I51" i="3"/>
  <c r="I53" i="3"/>
  <c r="H47" i="3"/>
  <c r="H55" i="3"/>
  <c r="H49" i="3"/>
  <c r="I45" i="3"/>
  <c r="H56" i="3"/>
  <c r="H50" i="3"/>
  <c r="I40" i="3"/>
  <c r="I50" i="3"/>
  <c r="H43" i="3"/>
  <c r="I41" i="3"/>
  <c r="H45" i="3"/>
  <c r="H39" i="3"/>
  <c r="I54" i="3"/>
  <c r="CE34" i="6"/>
  <c r="CE38" i="6" s="1"/>
  <c r="D24" i="10" s="1"/>
  <c r="CL42" i="6"/>
  <c r="BG48" i="6"/>
  <c r="E20" i="10"/>
  <c r="D20" i="10"/>
  <c r="I38" i="3"/>
  <c r="I55" i="3"/>
  <c r="H38" i="3"/>
  <c r="H53" i="3"/>
  <c r="H48" i="3"/>
  <c r="I43" i="3"/>
  <c r="H44" i="3"/>
  <c r="H40" i="3"/>
  <c r="H42" i="3"/>
  <c r="I56" i="3"/>
  <c r="H41" i="3"/>
  <c r="H51" i="3"/>
  <c r="I46" i="3"/>
  <c r="I52" i="3"/>
  <c r="I48" i="3"/>
  <c r="I49" i="3"/>
  <c r="H46" i="3"/>
  <c r="H52" i="3"/>
  <c r="I39" i="3"/>
  <c r="I44" i="3"/>
  <c r="H54" i="3"/>
  <c r="G38" i="3" l="1"/>
  <c r="BG42" i="6"/>
  <c r="BG47" i="6" s="1"/>
  <c r="F54" i="3" s="1"/>
  <c r="F38" i="3"/>
  <c r="G34" i="3"/>
  <c r="F34" i="3"/>
  <c r="D27" i="10"/>
  <c r="E27" i="10"/>
  <c r="E24" i="10"/>
  <c r="CE39" i="6"/>
  <c r="CL43" i="6"/>
  <c r="G55" i="3" l="1"/>
  <c r="F53" i="3"/>
  <c r="G50" i="3"/>
  <c r="G33" i="3"/>
  <c r="F33" i="3"/>
  <c r="G51" i="3"/>
  <c r="G41" i="3"/>
  <c r="F42" i="3"/>
  <c r="F51" i="3"/>
  <c r="F45" i="3"/>
  <c r="F49" i="3"/>
  <c r="F47" i="3"/>
  <c r="G46" i="3"/>
  <c r="F44" i="3"/>
  <c r="G42" i="3"/>
  <c r="F40" i="3"/>
  <c r="F52" i="3"/>
  <c r="G43" i="3"/>
  <c r="G48" i="3"/>
  <c r="G49" i="3"/>
  <c r="F41" i="3"/>
  <c r="G40" i="3"/>
  <c r="F50" i="3"/>
  <c r="G54" i="3"/>
  <c r="G52" i="3"/>
  <c r="G47" i="3"/>
  <c r="G45" i="3"/>
  <c r="G53" i="3"/>
  <c r="G56" i="3"/>
  <c r="F55" i="3"/>
  <c r="F56" i="3"/>
  <c r="F46" i="3"/>
  <c r="G44" i="3"/>
  <c r="F48" i="3"/>
  <c r="F43" i="3"/>
  <c r="CL44" i="6"/>
  <c r="CL45" i="6" s="1"/>
  <c r="CL49" i="6" s="1"/>
  <c r="G37" i="10" s="1"/>
  <c r="CE46" i="6"/>
  <c r="CE47" i="6" s="1"/>
  <c r="CE48" i="6" s="1"/>
  <c r="E22" i="10"/>
  <c r="D22" i="10"/>
  <c r="AC7" i="6"/>
  <c r="D31" i="10" l="1"/>
  <c r="D36" i="10"/>
  <c r="D35" i="10"/>
  <c r="D33" i="10"/>
  <c r="D41" i="10"/>
  <c r="D38" i="10"/>
  <c r="E31" i="10"/>
  <c r="E35" i="10"/>
  <c r="D37" i="10"/>
  <c r="E37" i="10"/>
  <c r="D40" i="10"/>
  <c r="D34" i="10"/>
  <c r="E33" i="10"/>
  <c r="E36" i="10"/>
  <c r="D42" i="10"/>
  <c r="E40" i="10"/>
  <c r="E41" i="10"/>
  <c r="E39" i="10"/>
  <c r="E34" i="10"/>
  <c r="E38" i="10"/>
  <c r="E42" i="10"/>
  <c r="D39" i="10"/>
  <c r="AC10" i="6"/>
  <c r="G25" i="10"/>
  <c r="F20" i="10"/>
  <c r="G20" i="10"/>
  <c r="G19" i="10"/>
  <c r="F19" i="10"/>
  <c r="F40" i="10"/>
  <c r="F35" i="10"/>
  <c r="F41" i="10"/>
  <c r="F31" i="10"/>
  <c r="G35" i="10"/>
  <c r="F33" i="10"/>
  <c r="F27" i="10"/>
  <c r="G36" i="10"/>
  <c r="F38" i="10"/>
  <c r="G40" i="10"/>
  <c r="G34" i="10"/>
  <c r="G33" i="10"/>
  <c r="G41" i="10"/>
  <c r="G38" i="10"/>
  <c r="G27" i="10"/>
  <c r="F36" i="10"/>
  <c r="F39" i="10"/>
  <c r="F37" i="10"/>
  <c r="G42" i="10"/>
  <c r="F42" i="10"/>
  <c r="G39" i="10"/>
  <c r="F34" i="10"/>
  <c r="AC18" i="6" l="1"/>
  <c r="AC22" i="6" l="1"/>
  <c r="L35" i="3" s="1"/>
  <c r="M35" i="3" l="1"/>
  <c r="AC25" i="6"/>
  <c r="AC34" i="6" l="1"/>
  <c r="L36" i="3" l="1"/>
  <c r="M36" i="3"/>
  <c r="L34" i="3"/>
  <c r="AC36" i="6"/>
  <c r="L33" i="3" s="1"/>
  <c r="M34" i="3"/>
  <c r="AC37" i="6"/>
  <c r="L38" i="3" s="1"/>
  <c r="AC43" i="6" l="1"/>
  <c r="M38" i="3"/>
  <c r="AM33" i="6"/>
  <c r="L13" i="6"/>
  <c r="AA12" i="2" s="1"/>
  <c r="P2" i="6"/>
  <c r="P3" i="6" s="1"/>
  <c r="N3" i="6"/>
  <c r="L18" i="6" l="1"/>
  <c r="N4" i="6"/>
  <c r="P9" i="3" s="1"/>
  <c r="AM35" i="6"/>
  <c r="AM44" i="6" s="1"/>
  <c r="K32" i="3" s="1"/>
  <c r="P38" i="3"/>
  <c r="M40" i="3"/>
  <c r="AC46" i="6"/>
  <c r="M41" i="3" s="1"/>
  <c r="O38" i="3"/>
  <c r="M33" i="10"/>
  <c r="Q38" i="3"/>
  <c r="M4" i="10"/>
  <c r="L33" i="10"/>
  <c r="K33" i="10"/>
  <c r="L40" i="3"/>
  <c r="N5" i="6"/>
  <c r="P4" i="6"/>
  <c r="AA29" i="2" l="1"/>
  <c r="AA17" i="2"/>
  <c r="L20" i="6"/>
  <c r="Q9" i="3"/>
  <c r="L4" i="10"/>
  <c r="O9" i="3"/>
  <c r="K4" i="10"/>
  <c r="K33" i="3"/>
  <c r="J33" i="3"/>
  <c r="L41" i="3"/>
  <c r="J32" i="3"/>
  <c r="N6" i="6"/>
  <c r="AC48" i="6"/>
  <c r="AM45" i="6"/>
  <c r="C34" i="3"/>
  <c r="P5" i="6"/>
  <c r="P6" i="6" s="1"/>
  <c r="B34" i="3"/>
  <c r="AA7" i="2" l="1"/>
  <c r="AA19" i="2"/>
  <c r="L24" i="6"/>
  <c r="L27" i="6" s="1"/>
  <c r="K37" i="3"/>
  <c r="J37" i="3"/>
  <c r="J36" i="3"/>
  <c r="K36" i="3"/>
  <c r="K53" i="3"/>
  <c r="K47" i="3"/>
  <c r="K45" i="3"/>
  <c r="J56" i="3"/>
  <c r="K40" i="3"/>
  <c r="K50" i="3"/>
  <c r="K56" i="3"/>
  <c r="J54" i="3"/>
  <c r="J55" i="3"/>
  <c r="K44" i="3"/>
  <c r="K35" i="3"/>
  <c r="K46" i="3"/>
  <c r="J42" i="3"/>
  <c r="K49" i="3"/>
  <c r="J35" i="3"/>
  <c r="N7" i="6"/>
  <c r="L37" i="3"/>
  <c r="AC49" i="6"/>
  <c r="M37" i="3"/>
  <c r="P7" i="6"/>
  <c r="C38" i="3"/>
  <c r="J46" i="3"/>
  <c r="K55" i="3"/>
  <c r="J43" i="3"/>
  <c r="J47" i="3"/>
  <c r="J51" i="3"/>
  <c r="J52" i="3"/>
  <c r="K38" i="3"/>
  <c r="J53" i="3"/>
  <c r="K48" i="3"/>
  <c r="J44" i="3"/>
  <c r="K52" i="3"/>
  <c r="K43" i="3"/>
  <c r="J34" i="3"/>
  <c r="B38" i="3"/>
  <c r="J49" i="3"/>
  <c r="K34" i="3"/>
  <c r="J40" i="3"/>
  <c r="J45" i="3"/>
  <c r="K39" i="3"/>
  <c r="J50" i="3"/>
  <c r="K51" i="3"/>
  <c r="K41" i="3"/>
  <c r="J39" i="3"/>
  <c r="J41" i="3"/>
  <c r="K42" i="3"/>
  <c r="K54" i="3"/>
  <c r="J38" i="3"/>
  <c r="J48" i="3"/>
  <c r="AA5" i="2" l="1"/>
  <c r="AA11" i="2"/>
  <c r="AA8" i="2"/>
  <c r="AA20" i="2"/>
  <c r="L37" i="6"/>
  <c r="M46" i="3"/>
  <c r="L42" i="3"/>
  <c r="M33" i="3"/>
  <c r="M42" i="3"/>
  <c r="L39" i="3"/>
  <c r="M39" i="3"/>
  <c r="N8" i="6"/>
  <c r="M56" i="3"/>
  <c r="L55" i="3"/>
  <c r="M53" i="3"/>
  <c r="M43" i="3"/>
  <c r="L44" i="3"/>
  <c r="L50" i="3"/>
  <c r="L49" i="3"/>
  <c r="L51" i="3"/>
  <c r="L46" i="3"/>
  <c r="L47" i="3"/>
  <c r="L52" i="3"/>
  <c r="L56" i="3"/>
  <c r="L53" i="3"/>
  <c r="M51" i="3"/>
  <c r="L43" i="3"/>
  <c r="M54" i="3"/>
  <c r="M52" i="3"/>
  <c r="M44" i="3"/>
  <c r="L48" i="3"/>
  <c r="M49" i="3"/>
  <c r="M47" i="3"/>
  <c r="M55" i="3"/>
  <c r="M45" i="3"/>
  <c r="L54" i="3"/>
  <c r="L45" i="3"/>
  <c r="M50" i="3"/>
  <c r="M48" i="3"/>
  <c r="P8" i="6"/>
  <c r="P9" i="6" s="1"/>
  <c r="AA18" i="2" l="1"/>
  <c r="AA24" i="2"/>
  <c r="L40" i="6"/>
  <c r="P8" i="3"/>
  <c r="M3" i="10"/>
  <c r="N9" i="6"/>
  <c r="Q8" i="3"/>
  <c r="O8" i="3"/>
  <c r="L3" i="10"/>
  <c r="K3" i="10"/>
  <c r="P10" i="6"/>
  <c r="P11" i="6" s="1"/>
  <c r="C33" i="3"/>
  <c r="B33" i="3"/>
  <c r="AA21" i="2" l="1"/>
  <c r="AA9" i="2"/>
  <c r="L45" i="6"/>
  <c r="K31" i="10"/>
  <c r="N10" i="6"/>
  <c r="M21" i="10" s="1"/>
  <c r="M31" i="10"/>
  <c r="P36" i="3"/>
  <c r="Q36" i="3"/>
  <c r="L31" i="10"/>
  <c r="O36" i="3"/>
  <c r="B36" i="3"/>
  <c r="C36" i="3"/>
  <c r="P12" i="6"/>
  <c r="AA14" i="2" l="1"/>
  <c r="AA26" i="2"/>
  <c r="N6" i="4"/>
  <c r="R8" i="4" s="1"/>
  <c r="N3" i="4"/>
  <c r="P6" i="4"/>
  <c r="Q6" i="4"/>
  <c r="R7" i="4"/>
  <c r="N9" i="4"/>
  <c r="R11" i="4" s="1"/>
  <c r="L46" i="6"/>
  <c r="N11" i="6"/>
  <c r="Q11" i="3" s="1"/>
  <c r="Q26" i="3"/>
  <c r="O26" i="3"/>
  <c r="L21" i="10"/>
  <c r="K21" i="10"/>
  <c r="P26" i="3"/>
  <c r="P14" i="6"/>
  <c r="P15" i="6" s="1"/>
  <c r="C32" i="3"/>
  <c r="B32" i="3"/>
  <c r="R6" i="4" l="1"/>
  <c r="S6" i="4"/>
  <c r="AA27" i="2"/>
  <c r="AA15" i="2"/>
  <c r="S8" i="4"/>
  <c r="S7" i="4"/>
  <c r="L47" i="6"/>
  <c r="AA3" i="2"/>
  <c r="K2" i="16" s="1"/>
  <c r="S5" i="4"/>
  <c r="R5" i="4"/>
  <c r="P3" i="4"/>
  <c r="S4" i="4"/>
  <c r="R3" i="4"/>
  <c r="S3" i="4"/>
  <c r="Q3" i="4"/>
  <c r="R4" i="4"/>
  <c r="S10" i="4"/>
  <c r="R10" i="4"/>
  <c r="S9" i="4"/>
  <c r="P9" i="4"/>
  <c r="S11" i="4"/>
  <c r="R9" i="4"/>
  <c r="Q9" i="4"/>
  <c r="N12" i="4"/>
  <c r="S13" i="4" s="1"/>
  <c r="N15" i="4"/>
  <c r="R16" i="4" s="1"/>
  <c r="N18" i="4"/>
  <c r="N21" i="4"/>
  <c r="Q21" i="4" s="1"/>
  <c r="P12" i="4"/>
  <c r="N24" i="4"/>
  <c r="P24" i="4" s="1"/>
  <c r="N27" i="4"/>
  <c r="R28" i="4" s="1"/>
  <c r="P11" i="3"/>
  <c r="O11" i="3"/>
  <c r="N60" i="4"/>
  <c r="Q60" i="4" s="1"/>
  <c r="N33" i="4"/>
  <c r="N99" i="4"/>
  <c r="N45" i="4"/>
  <c r="N69" i="4"/>
  <c r="N75" i="4"/>
  <c r="N42" i="4"/>
  <c r="N114" i="4"/>
  <c r="N48" i="4"/>
  <c r="N120" i="4"/>
  <c r="N66" i="4"/>
  <c r="N72" i="4"/>
  <c r="N57" i="4"/>
  <c r="N84" i="4"/>
  <c r="N105" i="4"/>
  <c r="N90" i="4"/>
  <c r="N81" i="4"/>
  <c r="N63" i="4"/>
  <c r="N117" i="4"/>
  <c r="R29" i="4"/>
  <c r="S29" i="4"/>
  <c r="N51" i="4"/>
  <c r="N111" i="4"/>
  <c r="N93" i="4"/>
  <c r="N108" i="4"/>
  <c r="N87" i="4"/>
  <c r="N36" i="4"/>
  <c r="N39" i="4"/>
  <c r="N54" i="4"/>
  <c r="N102" i="4"/>
  <c r="N96" i="4"/>
  <c r="N78" i="4"/>
  <c r="N12" i="6"/>
  <c r="P7" i="3" s="1"/>
  <c r="L6" i="10"/>
  <c r="M6" i="10"/>
  <c r="K6" i="10"/>
  <c r="P17" i="6"/>
  <c r="P18" i="6" s="1"/>
  <c r="P20" i="6" s="1"/>
  <c r="P21" i="6" s="1"/>
  <c r="P22" i="6" s="1"/>
  <c r="P23" i="6" s="1"/>
  <c r="P24" i="6" s="1"/>
  <c r="P25" i="6" s="1"/>
  <c r="P26" i="6" s="1"/>
  <c r="P27" i="6" s="1"/>
  <c r="P29" i="6" s="1"/>
  <c r="P30" i="6" s="1"/>
  <c r="P32" i="6" s="1"/>
  <c r="P33" i="6" s="1"/>
  <c r="P34" i="6" s="1"/>
  <c r="P35" i="6" s="1"/>
  <c r="P36" i="6" s="1"/>
  <c r="P37" i="6" s="1"/>
  <c r="P38" i="6" s="1"/>
  <c r="P39" i="6" s="1"/>
  <c r="P41" i="6" s="1"/>
  <c r="P42" i="6" s="1"/>
  <c r="P43" i="6" s="1"/>
  <c r="P44" i="6" s="1"/>
  <c r="P45" i="6" s="1"/>
  <c r="P46" i="6" s="1"/>
  <c r="P47" i="6" s="1"/>
  <c r="P48" i="6" s="1"/>
  <c r="P49" i="6" s="1"/>
  <c r="P21" i="4" l="1"/>
  <c r="R15" i="4"/>
  <c r="R17" i="4"/>
  <c r="Q15" i="4"/>
  <c r="S16" i="4"/>
  <c r="AA10" i="2"/>
  <c r="AA28" i="2"/>
  <c r="AA22" i="2"/>
  <c r="S15" i="4"/>
  <c r="P15" i="4"/>
  <c r="S17" i="4"/>
  <c r="S23" i="4"/>
  <c r="R23" i="4"/>
  <c r="S22" i="4"/>
  <c r="N30" i="4"/>
  <c r="S28" i="4"/>
  <c r="S27" i="4"/>
  <c r="Q27" i="4"/>
  <c r="P27" i="4"/>
  <c r="R21" i="4"/>
  <c r="S21" i="4"/>
  <c r="Q12" i="4"/>
  <c r="R27" i="4"/>
  <c r="R22" i="4"/>
  <c r="R13" i="4"/>
  <c r="S14" i="4"/>
  <c r="S12" i="4"/>
  <c r="R14" i="4"/>
  <c r="R12" i="4"/>
  <c r="P18" i="4"/>
  <c r="Q18" i="4"/>
  <c r="S19" i="4"/>
  <c r="R18" i="4"/>
  <c r="R19" i="4"/>
  <c r="S18" i="4"/>
  <c r="R20" i="4"/>
  <c r="S20" i="4"/>
  <c r="S26" i="4"/>
  <c r="S24" i="4"/>
  <c r="S25" i="4"/>
  <c r="Q24" i="4"/>
  <c r="R24" i="4"/>
  <c r="R26" i="4"/>
  <c r="R25" i="4"/>
  <c r="S61" i="4"/>
  <c r="R60" i="4"/>
  <c r="R61" i="4"/>
  <c r="S62" i="4"/>
  <c r="S60" i="4"/>
  <c r="P60" i="4"/>
  <c r="R62" i="4"/>
  <c r="P33" i="4"/>
  <c r="R34" i="4"/>
  <c r="S33" i="4"/>
  <c r="R35" i="4"/>
  <c r="Q33" i="4"/>
  <c r="S35" i="4"/>
  <c r="R33" i="4"/>
  <c r="S34" i="4"/>
  <c r="P111" i="4"/>
  <c r="R111" i="4"/>
  <c r="R112" i="4"/>
  <c r="R113" i="4"/>
  <c r="S113" i="4"/>
  <c r="Q111" i="4"/>
  <c r="S111" i="4"/>
  <c r="S112" i="4"/>
  <c r="P87" i="4"/>
  <c r="S89" i="4"/>
  <c r="R87" i="4"/>
  <c r="R89" i="4"/>
  <c r="S87" i="4"/>
  <c r="R88" i="4"/>
  <c r="Q87" i="4"/>
  <c r="S88" i="4"/>
  <c r="R90" i="4"/>
  <c r="R91" i="4"/>
  <c r="R92" i="4"/>
  <c r="S91" i="4"/>
  <c r="S92" i="4"/>
  <c r="P90" i="4"/>
  <c r="S90" i="4"/>
  <c r="Q90" i="4"/>
  <c r="P114" i="4"/>
  <c r="R116" i="4"/>
  <c r="R115" i="4"/>
  <c r="Q114" i="4"/>
  <c r="S114" i="4"/>
  <c r="S115" i="4"/>
  <c r="S116" i="4"/>
  <c r="R114" i="4"/>
  <c r="P54" i="4"/>
  <c r="S55" i="4"/>
  <c r="R54" i="4"/>
  <c r="R55" i="4"/>
  <c r="S56" i="4"/>
  <c r="S54" i="4"/>
  <c r="Q54" i="4"/>
  <c r="R56" i="4"/>
  <c r="S109" i="4"/>
  <c r="S108" i="4"/>
  <c r="S110" i="4"/>
  <c r="Q108" i="4"/>
  <c r="R108" i="4"/>
  <c r="R110" i="4"/>
  <c r="P108" i="4"/>
  <c r="R109" i="4"/>
  <c r="P117" i="4"/>
  <c r="S117" i="4"/>
  <c r="S118" i="4"/>
  <c r="R118" i="4"/>
  <c r="Q117" i="4"/>
  <c r="R119" i="4"/>
  <c r="S119" i="4"/>
  <c r="R117" i="4"/>
  <c r="P105" i="4"/>
  <c r="R105" i="4"/>
  <c r="S106" i="4"/>
  <c r="R107" i="4"/>
  <c r="R106" i="4"/>
  <c r="S105" i="4"/>
  <c r="Q105" i="4"/>
  <c r="S107" i="4"/>
  <c r="P66" i="4"/>
  <c r="S66" i="4"/>
  <c r="R67" i="4"/>
  <c r="S67" i="4"/>
  <c r="R66" i="4"/>
  <c r="Q66" i="4"/>
  <c r="R68" i="4"/>
  <c r="S68" i="4"/>
  <c r="R43" i="4"/>
  <c r="S42" i="4"/>
  <c r="R44" i="4"/>
  <c r="P42" i="4"/>
  <c r="S43" i="4"/>
  <c r="S44" i="4"/>
  <c r="R42" i="4"/>
  <c r="Q42" i="4"/>
  <c r="P102" i="4"/>
  <c r="S104" i="4"/>
  <c r="Q102" i="4"/>
  <c r="R102" i="4"/>
  <c r="S103" i="4"/>
  <c r="R104" i="4"/>
  <c r="R103" i="4"/>
  <c r="S102" i="4"/>
  <c r="P72" i="4"/>
  <c r="S74" i="4"/>
  <c r="Q72" i="4"/>
  <c r="R73" i="4"/>
  <c r="S72" i="4"/>
  <c r="S73" i="4"/>
  <c r="R74" i="4"/>
  <c r="R72" i="4"/>
  <c r="R100" i="4"/>
  <c r="R99" i="4"/>
  <c r="S101" i="4"/>
  <c r="P99" i="4"/>
  <c r="Q99" i="4"/>
  <c r="S100" i="4"/>
  <c r="S99" i="4"/>
  <c r="R101" i="4"/>
  <c r="S80" i="4"/>
  <c r="P78" i="4"/>
  <c r="R80" i="4"/>
  <c r="S79" i="4"/>
  <c r="R79" i="4"/>
  <c r="R78" i="4"/>
  <c r="S78" i="4"/>
  <c r="Q78" i="4"/>
  <c r="P39" i="4"/>
  <c r="R41" i="4"/>
  <c r="S40" i="4"/>
  <c r="S39" i="4"/>
  <c r="Q39" i="4"/>
  <c r="R40" i="4"/>
  <c r="R39" i="4"/>
  <c r="S41" i="4"/>
  <c r="P93" i="4"/>
  <c r="R93" i="4"/>
  <c r="S94" i="4"/>
  <c r="S95" i="4"/>
  <c r="Q93" i="4"/>
  <c r="R94" i="4"/>
  <c r="R95" i="4"/>
  <c r="S93" i="4"/>
  <c r="P63" i="4"/>
  <c r="S64" i="4"/>
  <c r="R63" i="4"/>
  <c r="Q63" i="4"/>
  <c r="S63" i="4"/>
  <c r="S65" i="4"/>
  <c r="R65" i="4"/>
  <c r="R64" i="4"/>
  <c r="P84" i="4"/>
  <c r="S84" i="4"/>
  <c r="S86" i="4"/>
  <c r="R85" i="4"/>
  <c r="S85" i="4"/>
  <c r="Q84" i="4"/>
  <c r="R84" i="4"/>
  <c r="R86" i="4"/>
  <c r="P120" i="4"/>
  <c r="R122" i="4"/>
  <c r="S122" i="4"/>
  <c r="R121" i="4"/>
  <c r="S120" i="4"/>
  <c r="Q120" i="4"/>
  <c r="R120" i="4"/>
  <c r="S121" i="4"/>
  <c r="P75" i="4"/>
  <c r="Q75" i="4"/>
  <c r="R76" i="4"/>
  <c r="S76" i="4"/>
  <c r="S75" i="4"/>
  <c r="S77" i="4"/>
  <c r="R77" i="4"/>
  <c r="R75" i="4"/>
  <c r="P69" i="4"/>
  <c r="R69" i="4"/>
  <c r="S70" i="4"/>
  <c r="S69" i="4"/>
  <c r="Q69" i="4"/>
  <c r="R70" i="4"/>
  <c r="R71" i="4"/>
  <c r="S71" i="4"/>
  <c r="Q96" i="4"/>
  <c r="S98" i="4"/>
  <c r="P96" i="4"/>
  <c r="R98" i="4"/>
  <c r="S97" i="4"/>
  <c r="S96" i="4"/>
  <c r="R96" i="4"/>
  <c r="R97" i="4"/>
  <c r="P81" i="4"/>
  <c r="S82" i="4"/>
  <c r="R83" i="4"/>
  <c r="R81" i="4"/>
  <c r="S83" i="4"/>
  <c r="S81" i="4"/>
  <c r="R82" i="4"/>
  <c r="Q81" i="4"/>
  <c r="P57" i="4"/>
  <c r="S58" i="4"/>
  <c r="S57" i="4"/>
  <c r="R58" i="4"/>
  <c r="Q57" i="4"/>
  <c r="S59" i="4"/>
  <c r="R59" i="4"/>
  <c r="R57" i="4"/>
  <c r="S48" i="4"/>
  <c r="S50" i="4"/>
  <c r="R49" i="4"/>
  <c r="R48" i="4"/>
  <c r="Q48" i="4"/>
  <c r="P48" i="4"/>
  <c r="R50" i="4"/>
  <c r="S49" i="4"/>
  <c r="P45" i="4"/>
  <c r="S47" i="4"/>
  <c r="S46" i="4"/>
  <c r="R45" i="4"/>
  <c r="Q45" i="4"/>
  <c r="R47" i="4"/>
  <c r="S45" i="4"/>
  <c r="R46" i="4"/>
  <c r="P36" i="4"/>
  <c r="S36" i="4"/>
  <c r="Q36" i="4"/>
  <c r="S38" i="4"/>
  <c r="R37" i="4"/>
  <c r="R36" i="4"/>
  <c r="S37" i="4"/>
  <c r="R38" i="4"/>
  <c r="P51" i="4"/>
  <c r="Q51" i="4"/>
  <c r="R51" i="4"/>
  <c r="R53" i="4"/>
  <c r="S51" i="4"/>
  <c r="S53" i="4"/>
  <c r="R52" i="4"/>
  <c r="S52" i="4"/>
  <c r="N13" i="6"/>
  <c r="Q3" i="10" s="1"/>
  <c r="O7" i="3"/>
  <c r="L2" i="10"/>
  <c r="Q7" i="3"/>
  <c r="M2" i="10"/>
  <c r="K2" i="10"/>
  <c r="C39" i="3"/>
  <c r="C35" i="3"/>
  <c r="C37" i="3"/>
  <c r="B35" i="3"/>
  <c r="B40" i="3"/>
  <c r="B37" i="3"/>
  <c r="B39" i="3"/>
  <c r="C40" i="3"/>
  <c r="S31" i="4" l="1"/>
  <c r="Q30" i="4"/>
  <c r="S32" i="4"/>
  <c r="R31" i="4"/>
  <c r="S30" i="4"/>
  <c r="R30" i="4"/>
  <c r="P30" i="4"/>
  <c r="R32" i="4"/>
  <c r="N14" i="6"/>
  <c r="N15" i="6" s="1"/>
  <c r="K20" i="10" s="1"/>
  <c r="O48" i="3"/>
  <c r="Q48" i="3"/>
  <c r="P3" i="10"/>
  <c r="O3" i="10"/>
  <c r="P48" i="3"/>
  <c r="N16" i="6" l="1"/>
  <c r="M9" i="10" s="1"/>
  <c r="O25" i="3"/>
  <c r="Q25" i="3"/>
  <c r="L20" i="10"/>
  <c r="P25" i="3"/>
  <c r="M20" i="10"/>
  <c r="L9" i="10"/>
  <c r="I6" i="4"/>
  <c r="V32" i="4" s="1"/>
  <c r="V33" i="4" s="1"/>
  <c r="V34" i="4" s="1"/>
  <c r="V3" i="2"/>
  <c r="X3" i="2"/>
  <c r="N17" i="6" l="1"/>
  <c r="O15" i="3"/>
  <c r="L10" i="10"/>
  <c r="Q15" i="3"/>
  <c r="P15" i="3"/>
  <c r="M10" i="10"/>
  <c r="K10" i="10"/>
  <c r="O3" i="4"/>
  <c r="I9" i="4"/>
  <c r="V35" i="4" s="1"/>
  <c r="V36" i="4" s="1"/>
  <c r="V37" i="4" s="1"/>
  <c r="I21" i="4"/>
  <c r="V44" i="4" s="1"/>
  <c r="V45" i="4" s="1"/>
  <c r="V46" i="4" s="1"/>
  <c r="I18" i="4"/>
  <c r="V41" i="4" s="1"/>
  <c r="V42" i="4" s="1"/>
  <c r="V43" i="4" s="1"/>
  <c r="P14" i="3"/>
  <c r="N2" i="16"/>
  <c r="O9" i="4"/>
  <c r="P51" i="3"/>
  <c r="K9" i="10"/>
  <c r="Q23" i="3"/>
  <c r="Q14" i="3"/>
  <c r="Q51" i="3"/>
  <c r="O14" i="3"/>
  <c r="M18" i="10"/>
  <c r="K18" i="10"/>
  <c r="Q6" i="10"/>
  <c r="P6" i="10"/>
  <c r="O23" i="3"/>
  <c r="O51" i="3"/>
  <c r="P23" i="3"/>
  <c r="L18" i="10"/>
  <c r="O90" i="4"/>
  <c r="I33" i="4"/>
  <c r="V53" i="4" s="1"/>
  <c r="V54" i="4" s="1"/>
  <c r="V55" i="4" s="1"/>
  <c r="I30" i="4"/>
  <c r="V50" i="4" s="1"/>
  <c r="V51" i="4" s="1"/>
  <c r="V52" i="4" s="1"/>
  <c r="O21" i="4"/>
  <c r="O18" i="4"/>
  <c r="O24" i="4"/>
  <c r="O36" i="4"/>
  <c r="C6" i="4"/>
  <c r="V5" i="4" s="1"/>
  <c r="V6" i="4" s="1"/>
  <c r="V7" i="4" s="1"/>
  <c r="O6" i="4"/>
  <c r="O12" i="4"/>
  <c r="C3" i="4"/>
  <c r="V2" i="4" s="1"/>
  <c r="V3" i="4" s="1"/>
  <c r="V4" i="4" s="1"/>
  <c r="C18" i="4"/>
  <c r="V14" i="4" s="1"/>
  <c r="V15" i="4" s="1"/>
  <c r="V16" i="4" s="1"/>
  <c r="C15" i="4"/>
  <c r="V11" i="4" s="1"/>
  <c r="V12" i="4" s="1"/>
  <c r="V13" i="4" s="1"/>
  <c r="O69" i="4"/>
  <c r="O84" i="4"/>
  <c r="O120" i="4"/>
  <c r="O63" i="4"/>
  <c r="O81" i="4"/>
  <c r="O105" i="4"/>
  <c r="O45" i="4"/>
  <c r="C27" i="4"/>
  <c r="V20" i="4" s="1"/>
  <c r="V21" i="4" s="1"/>
  <c r="V22" i="4" s="1"/>
  <c r="O27" i="4"/>
  <c r="I15" i="4"/>
  <c r="V38" i="4" s="1"/>
  <c r="V39" i="4" s="1"/>
  <c r="V40" i="4" s="1"/>
  <c r="O33" i="4"/>
  <c r="I27" i="4"/>
  <c r="V47" i="4" s="1"/>
  <c r="V48" i="4" s="1"/>
  <c r="V49" i="4" s="1"/>
  <c r="C21" i="4"/>
  <c r="V17" i="4" s="1"/>
  <c r="V18" i="4" s="1"/>
  <c r="V19" i="4" s="1"/>
  <c r="O114" i="4"/>
  <c r="O42" i="4"/>
  <c r="O51" i="4"/>
  <c r="O60" i="4"/>
  <c r="O39" i="4"/>
  <c r="O78" i="4"/>
  <c r="O75" i="4"/>
  <c r="I3" i="4"/>
  <c r="V29" i="4" s="1"/>
  <c r="V30" i="4" s="1"/>
  <c r="V31" i="4" s="1"/>
  <c r="O30" i="4"/>
  <c r="O15" i="4"/>
  <c r="C9" i="4"/>
  <c r="V8" i="4" s="1"/>
  <c r="V9" i="4" s="1"/>
  <c r="V10" i="4" s="1"/>
  <c r="O108" i="4"/>
  <c r="O54" i="4"/>
  <c r="O87" i="4"/>
  <c r="O66" i="4"/>
  <c r="O111" i="4"/>
  <c r="O93" i="4"/>
  <c r="O48" i="4"/>
  <c r="C30" i="4"/>
  <c r="V23" i="4" s="1"/>
  <c r="V24" i="4" s="1"/>
  <c r="V25" i="4" s="1"/>
  <c r="C33" i="4"/>
  <c r="V26" i="4" s="1"/>
  <c r="V27" i="4" s="1"/>
  <c r="V28" i="4" s="1"/>
  <c r="O99" i="4"/>
  <c r="O72" i="4"/>
  <c r="O117" i="4"/>
  <c r="O102" i="4"/>
  <c r="O96" i="4"/>
  <c r="O57" i="4"/>
  <c r="N18" i="6" l="1"/>
  <c r="K36" i="10" s="1"/>
  <c r="O6" i="10"/>
  <c r="K41" i="10"/>
  <c r="Q46" i="3"/>
  <c r="O46" i="3"/>
  <c r="M41" i="10"/>
  <c r="P46" i="3"/>
  <c r="L41" i="10"/>
  <c r="P41" i="3" l="1"/>
  <c r="O41" i="3"/>
  <c r="N19" i="6"/>
  <c r="M36" i="10"/>
  <c r="Q41" i="3"/>
  <c r="L36" i="10"/>
  <c r="K8" i="10" l="1"/>
  <c r="N20" i="6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U42" i="3" s="1"/>
  <c r="L8" i="10"/>
  <c r="Q13" i="3"/>
  <c r="M8" i="10"/>
  <c r="K24" i="10"/>
  <c r="O13" i="3"/>
  <c r="M24" i="10"/>
  <c r="L24" i="10"/>
  <c r="P13" i="3"/>
  <c r="P22" i="3" l="1"/>
  <c r="P52" i="3"/>
  <c r="O22" i="3"/>
  <c r="O7" i="10"/>
  <c r="Q22" i="3"/>
  <c r="P33" i="3"/>
  <c r="K35" i="10"/>
  <c r="K28" i="10"/>
  <c r="M17" i="10"/>
  <c r="O33" i="3"/>
  <c r="P4" i="10"/>
  <c r="O32" i="3"/>
  <c r="Q52" i="3"/>
  <c r="P32" i="3"/>
  <c r="L13" i="10"/>
  <c r="Q33" i="3"/>
  <c r="L35" i="10"/>
  <c r="L17" i="10"/>
  <c r="O52" i="3"/>
  <c r="Q4" i="10"/>
  <c r="Q32" i="3"/>
  <c r="P28" i="3"/>
  <c r="Q31" i="3"/>
  <c r="M27" i="10"/>
  <c r="K27" i="10"/>
  <c r="M35" i="10"/>
  <c r="O31" i="3"/>
  <c r="K17" i="10"/>
  <c r="Q40" i="3"/>
  <c r="P18" i="3"/>
  <c r="M28" i="10"/>
  <c r="O40" i="3"/>
  <c r="L23" i="10"/>
  <c r="M23" i="10"/>
  <c r="K23" i="10"/>
  <c r="P34" i="3"/>
  <c r="Q30" i="3"/>
  <c r="K29" i="10"/>
  <c r="O54" i="3"/>
  <c r="L22" i="10"/>
  <c r="O39" i="3"/>
  <c r="Q2" i="10"/>
  <c r="Q12" i="3"/>
  <c r="O24" i="3"/>
  <c r="O2" i="10"/>
  <c r="O5" i="10"/>
  <c r="Q18" i="3"/>
  <c r="L5" i="10"/>
  <c r="L32" i="10"/>
  <c r="O10" i="3"/>
  <c r="Q45" i="3"/>
  <c r="K22" i="10"/>
  <c r="O12" i="3"/>
  <c r="K5" i="10"/>
  <c r="Q42" i="3"/>
  <c r="Q39" i="3"/>
  <c r="O34" i="3"/>
  <c r="P42" i="3"/>
  <c r="M25" i="10"/>
  <c r="M19" i="10"/>
  <c r="P37" i="3"/>
  <c r="P39" i="3"/>
  <c r="L37" i="10"/>
  <c r="P16" i="3"/>
  <c r="K7" i="10"/>
  <c r="Q27" i="3"/>
  <c r="P30" i="3"/>
  <c r="M26" i="10"/>
  <c r="L25" i="10"/>
  <c r="O47" i="3"/>
  <c r="L7" i="10"/>
  <c r="P7" i="10"/>
  <c r="M29" i="10"/>
  <c r="K25" i="10"/>
  <c r="M5" i="10"/>
  <c r="O28" i="3"/>
  <c r="Q28" i="3"/>
  <c r="M38" i="10"/>
  <c r="M32" i="10"/>
  <c r="P2" i="10"/>
  <c r="O16" i="3"/>
  <c r="O27" i="3"/>
  <c r="L19" i="10"/>
  <c r="K19" i="10"/>
  <c r="O49" i="3"/>
  <c r="L11" i="10"/>
  <c r="P47" i="3"/>
  <c r="P49" i="3"/>
  <c r="O21" i="3"/>
  <c r="L15" i="10"/>
  <c r="S14" i="3"/>
  <c r="P23" i="10"/>
  <c r="Q28" i="10"/>
  <c r="P19" i="10"/>
  <c r="T52" i="3"/>
  <c r="O31" i="10"/>
  <c r="O30" i="10"/>
  <c r="T9" i="3"/>
  <c r="O28" i="10"/>
  <c r="O20" i="10"/>
  <c r="Q20" i="10"/>
  <c r="T19" i="3"/>
  <c r="S12" i="3"/>
  <c r="S7" i="3"/>
  <c r="O13" i="10"/>
  <c r="U56" i="3"/>
  <c r="U55" i="3"/>
  <c r="U45" i="3"/>
  <c r="M16" i="10"/>
  <c r="S36" i="3"/>
  <c r="O8" i="10"/>
  <c r="P26" i="10"/>
  <c r="M39" i="10"/>
  <c r="T48" i="3"/>
  <c r="P21" i="10"/>
  <c r="T37" i="3"/>
  <c r="P18" i="10"/>
  <c r="U12" i="3"/>
  <c r="Q22" i="10"/>
  <c r="U23" i="3"/>
  <c r="P17" i="10"/>
  <c r="S49" i="3"/>
  <c r="T45" i="3"/>
  <c r="Q55" i="3"/>
  <c r="U49" i="3"/>
  <c r="S46" i="3"/>
  <c r="P36" i="10"/>
  <c r="T27" i="3"/>
  <c r="S31" i="3"/>
  <c r="O25" i="10"/>
  <c r="O40" i="10"/>
  <c r="S28" i="3"/>
  <c r="M30" i="10"/>
  <c r="U22" i="3"/>
  <c r="T8" i="3"/>
  <c r="U24" i="3"/>
  <c r="P8" i="10"/>
  <c r="T13" i="3"/>
  <c r="S42" i="3"/>
  <c r="T31" i="3"/>
  <c r="U25" i="3"/>
  <c r="U14" i="3"/>
  <c r="U46" i="3"/>
  <c r="O14" i="10"/>
  <c r="O18" i="10"/>
  <c r="P20" i="10"/>
  <c r="S17" i="3"/>
  <c r="Q17" i="10"/>
  <c r="P28" i="10"/>
  <c r="P32" i="10"/>
  <c r="O41" i="10"/>
  <c r="T18" i="3"/>
  <c r="K39" i="10"/>
  <c r="T15" i="3"/>
  <c r="S51" i="3"/>
  <c r="P34" i="10"/>
  <c r="U9" i="3"/>
  <c r="P29" i="3"/>
  <c r="Q44" i="3"/>
  <c r="Q34" i="10"/>
  <c r="P31" i="10"/>
  <c r="U36" i="3"/>
  <c r="S38" i="3"/>
  <c r="O42" i="3"/>
  <c r="S43" i="3"/>
  <c r="O29" i="10"/>
  <c r="T10" i="3"/>
  <c r="S53" i="3"/>
  <c r="Q53" i="3"/>
  <c r="U11" i="3"/>
  <c r="S41" i="3"/>
  <c r="O17" i="10"/>
  <c r="Q40" i="10"/>
  <c r="O50" i="3"/>
  <c r="S8" i="3"/>
  <c r="S19" i="3"/>
  <c r="S32" i="3"/>
  <c r="O56" i="3"/>
  <c r="S9" i="3"/>
  <c r="U10" i="3"/>
  <c r="U13" i="3"/>
  <c r="T17" i="3"/>
  <c r="L30" i="10"/>
  <c r="S24" i="3"/>
  <c r="Q39" i="10"/>
  <c r="Q43" i="3"/>
  <c r="Q38" i="10"/>
  <c r="O27" i="10"/>
  <c r="S55" i="3"/>
  <c r="U40" i="3"/>
  <c r="T55" i="3"/>
  <c r="T24" i="3"/>
  <c r="P30" i="10"/>
  <c r="U26" i="3"/>
  <c r="S26" i="3"/>
  <c r="M12" i="10"/>
  <c r="Q31" i="10"/>
  <c r="T25" i="3"/>
  <c r="K16" i="10"/>
  <c r="O33" i="10"/>
  <c r="O39" i="10"/>
  <c r="T38" i="3"/>
  <c r="Q36" i="10"/>
  <c r="Q35" i="10"/>
  <c r="O34" i="10"/>
  <c r="Q12" i="10"/>
  <c r="U7" i="3"/>
  <c r="U30" i="3"/>
  <c r="Q9" i="10"/>
  <c r="S13" i="3"/>
  <c r="Q54" i="3"/>
  <c r="Q11" i="10"/>
  <c r="S29" i="3"/>
  <c r="P37" i="10"/>
  <c r="U20" i="3"/>
  <c r="O21" i="10"/>
  <c r="U17" i="3"/>
  <c r="O35" i="3"/>
  <c r="S10" i="3"/>
  <c r="T34" i="3"/>
  <c r="T49" i="3"/>
  <c r="S44" i="3"/>
  <c r="S35" i="3"/>
  <c r="S30" i="3"/>
  <c r="L34" i="10"/>
  <c r="Q37" i="3"/>
  <c r="P27" i="10"/>
  <c r="O9" i="10"/>
  <c r="K13" i="10"/>
  <c r="K30" i="10"/>
  <c r="U34" i="3"/>
  <c r="O24" i="10"/>
  <c r="O10" i="10"/>
  <c r="U38" i="3"/>
  <c r="U31" i="3"/>
  <c r="U43" i="3"/>
  <c r="P56" i="3"/>
  <c r="L38" i="10"/>
  <c r="Q15" i="10"/>
  <c r="P55" i="3"/>
  <c r="S18" i="3"/>
  <c r="S16" i="3"/>
  <c r="T39" i="3"/>
  <c r="P12" i="3"/>
  <c r="P21" i="3"/>
  <c r="P20" i="3"/>
  <c r="M15" i="10"/>
  <c r="K11" i="10"/>
  <c r="T16" i="3"/>
  <c r="S56" i="3"/>
  <c r="P15" i="10"/>
  <c r="P54" i="3"/>
  <c r="K37" i="10"/>
  <c r="Q8" i="10"/>
  <c r="U32" i="3"/>
  <c r="U54" i="3"/>
  <c r="P13" i="10"/>
  <c r="Q41" i="10"/>
  <c r="O36" i="10"/>
  <c r="U50" i="3"/>
  <c r="O4" i="10"/>
  <c r="M34" i="10"/>
  <c r="P40" i="3"/>
  <c r="P50" i="3"/>
  <c r="M37" i="10"/>
  <c r="O30" i="3"/>
  <c r="Q7" i="10"/>
  <c r="Q29" i="3"/>
  <c r="Q19" i="10"/>
  <c r="O53" i="3"/>
  <c r="Q16" i="10"/>
  <c r="P40" i="10"/>
  <c r="U8" i="3"/>
  <c r="Q23" i="10"/>
  <c r="Q5" i="10"/>
  <c r="O43" i="3"/>
  <c r="P22" i="10"/>
  <c r="P43" i="3"/>
  <c r="T22" i="3"/>
  <c r="O44" i="3"/>
  <c r="S25" i="3"/>
  <c r="O15" i="10"/>
  <c r="Q29" i="10"/>
  <c r="P29" i="10"/>
  <c r="O32" i="10"/>
  <c r="S20" i="3"/>
  <c r="S37" i="3"/>
  <c r="P16" i="10"/>
  <c r="Q25" i="10"/>
  <c r="T40" i="3"/>
  <c r="T29" i="3"/>
  <c r="P10" i="10"/>
  <c r="S48" i="3"/>
  <c r="P39" i="10"/>
  <c r="S27" i="3"/>
  <c r="S34" i="3"/>
  <c r="O12" i="10"/>
  <c r="Q33" i="10"/>
  <c r="K38" i="10"/>
  <c r="P25" i="10"/>
  <c r="O16" i="10"/>
  <c r="U15" i="3"/>
  <c r="P11" i="10"/>
  <c r="U52" i="3"/>
  <c r="O26" i="10"/>
  <c r="Q10" i="10"/>
  <c r="T28" i="3"/>
  <c r="P41" i="10"/>
  <c r="S50" i="3"/>
  <c r="U18" i="3"/>
  <c r="Q24" i="10"/>
  <c r="Q50" i="3"/>
  <c r="P10" i="3"/>
  <c r="O37" i="3"/>
  <c r="M7" i="10"/>
  <c r="K15" i="10"/>
  <c r="L40" i="10"/>
  <c r="O29" i="3"/>
  <c r="P38" i="10"/>
  <c r="S39" i="3"/>
  <c r="U21" i="3"/>
  <c r="Q27" i="10"/>
  <c r="T23" i="3"/>
  <c r="Q14" i="10"/>
  <c r="Q35" i="3"/>
  <c r="T14" i="3"/>
  <c r="K12" i="10"/>
  <c r="U48" i="3"/>
  <c r="U19" i="3"/>
  <c r="T12" i="3"/>
  <c r="Q21" i="10"/>
  <c r="T11" i="3"/>
  <c r="K34" i="10"/>
  <c r="O18" i="3"/>
  <c r="M11" i="10"/>
  <c r="T42" i="3"/>
  <c r="Q20" i="3"/>
  <c r="U44" i="3"/>
  <c r="L27" i="10"/>
  <c r="O23" i="10"/>
  <c r="L16" i="10"/>
  <c r="P14" i="10"/>
  <c r="P33" i="10"/>
  <c r="T54" i="3"/>
  <c r="S22" i="3"/>
  <c r="S11" i="3"/>
  <c r="U37" i="3"/>
  <c r="U47" i="3"/>
  <c r="Q34" i="3"/>
  <c r="L28" i="10"/>
  <c r="M13" i="10"/>
  <c r="P24" i="3"/>
  <c r="P45" i="3"/>
  <c r="P31" i="3"/>
  <c r="T43" i="3"/>
  <c r="O22" i="10"/>
  <c r="Q32" i="10"/>
  <c r="T51" i="3"/>
  <c r="U51" i="3"/>
  <c r="T7" i="3"/>
  <c r="S54" i="3"/>
  <c r="T41" i="3"/>
  <c r="T26" i="3"/>
  <c r="S21" i="3"/>
  <c r="T44" i="3"/>
  <c r="T21" i="3"/>
  <c r="T35" i="3"/>
  <c r="O37" i="10"/>
  <c r="Q21" i="3"/>
  <c r="S45" i="3"/>
  <c r="Q37" i="10"/>
  <c r="P5" i="10"/>
  <c r="O55" i="3"/>
  <c r="O11" i="10"/>
  <c r="S40" i="3"/>
  <c r="S52" i="3"/>
  <c r="P17" i="3"/>
  <c r="S23" i="3"/>
  <c r="T36" i="3"/>
  <c r="Q18" i="10"/>
  <c r="U28" i="3"/>
  <c r="Q17" i="3"/>
  <c r="O19" i="10"/>
  <c r="O20" i="3"/>
  <c r="S47" i="3"/>
  <c r="P12" i="10"/>
  <c r="T33" i="3"/>
  <c r="U41" i="3"/>
  <c r="Q47" i="3"/>
  <c r="U27" i="3"/>
  <c r="T56" i="3"/>
  <c r="L29" i="10"/>
  <c r="P27" i="3"/>
  <c r="P44" i="3"/>
  <c r="U16" i="3"/>
  <c r="U35" i="3"/>
  <c r="O35" i="10"/>
  <c r="O38" i="10"/>
  <c r="Q56" i="3"/>
  <c r="Q30" i="10"/>
  <c r="P35" i="10"/>
  <c r="K26" i="10"/>
  <c r="S33" i="3"/>
  <c r="M22" i="10"/>
  <c r="T46" i="3"/>
  <c r="T53" i="3"/>
  <c r="L39" i="10"/>
  <c r="T32" i="3"/>
  <c r="T20" i="3"/>
  <c r="T50" i="3"/>
  <c r="U33" i="3"/>
  <c r="Q10" i="3"/>
  <c r="Q49" i="3"/>
  <c r="L26" i="10"/>
  <c r="S15" i="3"/>
  <c r="U39" i="3"/>
  <c r="Q16" i="3"/>
  <c r="O17" i="3"/>
  <c r="U53" i="3"/>
  <c r="P35" i="3"/>
  <c r="T30" i="3"/>
  <c r="U29" i="3"/>
  <c r="T47" i="3"/>
  <c r="P24" i="10"/>
  <c r="P53" i="3"/>
  <c r="Q26" i="10"/>
  <c r="Q13" i="10"/>
  <c r="L12" i="10"/>
  <c r="Q24" i="3"/>
  <c r="K32" i="10"/>
  <c r="P9" i="10"/>
  <c r="K40" i="10"/>
  <c r="O45" i="3"/>
  <c r="M40" i="10"/>
</calcChain>
</file>

<file path=xl/sharedStrings.xml><?xml version="1.0" encoding="utf-8"?>
<sst xmlns="http://schemas.openxmlformats.org/spreadsheetml/2006/main" count="4592" uniqueCount="936">
  <si>
    <t>Shooter ID</t>
  </si>
  <si>
    <t>Last Name</t>
  </si>
  <si>
    <t>First Name</t>
  </si>
  <si>
    <t>Birthdate</t>
  </si>
  <si>
    <t>Total Amount</t>
  </si>
  <si>
    <t>Paid</t>
  </si>
  <si>
    <t>Skeet Event</t>
  </si>
  <si>
    <t>Trap Event</t>
  </si>
  <si>
    <t>Sporting Event</t>
  </si>
  <si>
    <t>Round 1</t>
  </si>
  <si>
    <t>Round 2</t>
  </si>
  <si>
    <t>Round 3</t>
  </si>
  <si>
    <t>Round 4</t>
  </si>
  <si>
    <t>Trap Scores</t>
  </si>
  <si>
    <t>Station 1</t>
  </si>
  <si>
    <t>Station 2</t>
  </si>
  <si>
    <t>Station 3</t>
  </si>
  <si>
    <t>Station 4</t>
  </si>
  <si>
    <t>Station 5</t>
  </si>
  <si>
    <t>Station 6</t>
  </si>
  <si>
    <t>Station 7</t>
  </si>
  <si>
    <t>Station 8</t>
  </si>
  <si>
    <t>Station 9</t>
  </si>
  <si>
    <t>Station 10</t>
  </si>
  <si>
    <t>Station 11</t>
  </si>
  <si>
    <t>Station 12</t>
  </si>
  <si>
    <t>Station 13</t>
  </si>
  <si>
    <t>Station 14</t>
  </si>
  <si>
    <t>Station 15</t>
  </si>
  <si>
    <t>Station 16</t>
  </si>
  <si>
    <t>Station 17</t>
  </si>
  <si>
    <t>Station 18</t>
  </si>
  <si>
    <t>Station 19</t>
  </si>
  <si>
    <t>Station 20</t>
  </si>
  <si>
    <t>Total</t>
  </si>
  <si>
    <t>Total Score</t>
  </si>
  <si>
    <t>Team</t>
  </si>
  <si>
    <t>24-1000</t>
  </si>
  <si>
    <t>24-1001</t>
  </si>
  <si>
    <t>24-1002</t>
  </si>
  <si>
    <t>24-1003</t>
  </si>
  <si>
    <t>24-1004</t>
  </si>
  <si>
    <t>24-1005</t>
  </si>
  <si>
    <t>24-1006</t>
  </si>
  <si>
    <t>24-1007</t>
  </si>
  <si>
    <t>24-1008</t>
  </si>
  <si>
    <t>24-1009</t>
  </si>
  <si>
    <t>24-1010</t>
  </si>
  <si>
    <t>24-1011</t>
  </si>
  <si>
    <t>24-1012</t>
  </si>
  <si>
    <t>24-1013</t>
  </si>
  <si>
    <t>24-1014</t>
  </si>
  <si>
    <t>24-1015</t>
  </si>
  <si>
    <t>24-1016</t>
  </si>
  <si>
    <t>24-1017</t>
  </si>
  <si>
    <t>24-1018</t>
  </si>
  <si>
    <t>24-1019</t>
  </si>
  <si>
    <t>24-1020</t>
  </si>
  <si>
    <t>24-1021</t>
  </si>
  <si>
    <t>24-1022</t>
  </si>
  <si>
    <t>24-1023</t>
  </si>
  <si>
    <t>Jason</t>
  </si>
  <si>
    <t>John</t>
  </si>
  <si>
    <t>Cathy</t>
  </si>
  <si>
    <t>Susan</t>
  </si>
  <si>
    <t>Matt</t>
  </si>
  <si>
    <t>Ben</t>
  </si>
  <si>
    <t>Blake</t>
  </si>
  <si>
    <t>James</t>
  </si>
  <si>
    <t>Linda</t>
  </si>
  <si>
    <t>Christy</t>
  </si>
  <si>
    <t>Bill</t>
  </si>
  <si>
    <t>Bob</t>
  </si>
  <si>
    <t>Bruce</t>
  </si>
  <si>
    <t>Henry</t>
  </si>
  <si>
    <t>Daniel</t>
  </si>
  <si>
    <t>Paul</t>
  </si>
  <si>
    <t>Joan</t>
  </si>
  <si>
    <t>Jill</t>
  </si>
  <si>
    <t>Jack</t>
  </si>
  <si>
    <t>Chris</t>
  </si>
  <si>
    <t>Nathan</t>
  </si>
  <si>
    <t>Steve</t>
  </si>
  <si>
    <t>Tom</t>
  </si>
  <si>
    <t>Tim</t>
  </si>
  <si>
    <t>Last Name1</t>
  </si>
  <si>
    <t>Last Name2</t>
  </si>
  <si>
    <t>Last Name3</t>
  </si>
  <si>
    <t>Last Name4</t>
  </si>
  <si>
    <t>Last Name5</t>
  </si>
  <si>
    <t>Last Name6</t>
  </si>
  <si>
    <t>Last Name7</t>
  </si>
  <si>
    <t>Last Name8</t>
  </si>
  <si>
    <t>Last Name9</t>
  </si>
  <si>
    <t>Last Name10</t>
  </si>
  <si>
    <t>Last Name11</t>
  </si>
  <si>
    <t>Last Name12</t>
  </si>
  <si>
    <t>Last Name13</t>
  </si>
  <si>
    <t>Last Name14</t>
  </si>
  <si>
    <t>Last Name15</t>
  </si>
  <si>
    <t>Last Name16</t>
  </si>
  <si>
    <t>Last Name17</t>
  </si>
  <si>
    <t>Last Name18</t>
  </si>
  <si>
    <t>Last Name19</t>
  </si>
  <si>
    <t>Last Name20</t>
  </si>
  <si>
    <t>Last Name21</t>
  </si>
  <si>
    <t>Last Name22</t>
  </si>
  <si>
    <t>Last Name23</t>
  </si>
  <si>
    <t>Last Name24</t>
  </si>
  <si>
    <t>Individual Rank</t>
  </si>
  <si>
    <t>Age Concurrent</t>
  </si>
  <si>
    <t>Shooting Class</t>
  </si>
  <si>
    <t>Score</t>
  </si>
  <si>
    <t>Total Rank</t>
  </si>
  <si>
    <t>HOA</t>
  </si>
  <si>
    <t>Sex</t>
  </si>
  <si>
    <t>Novice</t>
  </si>
  <si>
    <t>Intermediate</t>
  </si>
  <si>
    <t>Junior Varsity</t>
  </si>
  <si>
    <t>Varsity</t>
  </si>
  <si>
    <t>Collegiate</t>
  </si>
  <si>
    <t>A</t>
  </si>
  <si>
    <t>B</t>
  </si>
  <si>
    <t>C</t>
  </si>
  <si>
    <t>D</t>
  </si>
  <si>
    <t>M</t>
  </si>
  <si>
    <t>F</t>
  </si>
  <si>
    <t>Places for HOA</t>
  </si>
  <si>
    <t>Places for HOA Men</t>
  </si>
  <si>
    <t>Places for HOA Lady</t>
  </si>
  <si>
    <t>Novice Score</t>
  </si>
  <si>
    <t>Novice Rank</t>
  </si>
  <si>
    <t>Novice Men's Score</t>
  </si>
  <si>
    <t>Novice Men's Rank</t>
  </si>
  <si>
    <t>Novice Lady's Score</t>
  </si>
  <si>
    <t>Novice Lady's Rank</t>
  </si>
  <si>
    <t>You can do HOA, HOA Men, and HOA Lady</t>
  </si>
  <si>
    <t># of Places</t>
  </si>
  <si>
    <t>Champion</t>
  </si>
  <si>
    <t>Runner Up</t>
  </si>
  <si>
    <t>3rd</t>
  </si>
  <si>
    <t>HOA Men's</t>
  </si>
  <si>
    <t>HOA Lady's</t>
  </si>
  <si>
    <t>Skeet</t>
  </si>
  <si>
    <t>Place</t>
  </si>
  <si>
    <t>Full Name</t>
  </si>
  <si>
    <t>Shooting Average</t>
  </si>
  <si>
    <t>Trap</t>
  </si>
  <si>
    <t>Sporting Clays</t>
  </si>
  <si>
    <t>Number of Awards</t>
  </si>
  <si>
    <t>HOA Men's Rank</t>
  </si>
  <si>
    <t>HOA Men's Score</t>
  </si>
  <si>
    <t>HOA Lady's Score</t>
  </si>
  <si>
    <t>HOA Lady's Rank</t>
  </si>
  <si>
    <t># of Men's Concurrent Places</t>
  </si>
  <si>
    <t># of Lady's Concurrent Places</t>
  </si>
  <si>
    <t>Int Score</t>
  </si>
  <si>
    <t>Int Rank</t>
  </si>
  <si>
    <t>Int Men's Score</t>
  </si>
  <si>
    <t>Int Men's Rank</t>
  </si>
  <si>
    <t>Int Lady's Score</t>
  </si>
  <si>
    <t>Int Lady's Rank</t>
  </si>
  <si>
    <t>Jr Varsity Score</t>
  </si>
  <si>
    <t>Jr Varsity Rank</t>
  </si>
  <si>
    <t>Jr Varsity Men's Score</t>
  </si>
  <si>
    <t>Jr Varsity Men's Rank</t>
  </si>
  <si>
    <t>Jr Varsity Lady's Score</t>
  </si>
  <si>
    <t>Jr Varsity Lady's Rank</t>
  </si>
  <si>
    <t>Varsity Score</t>
  </si>
  <si>
    <t>Varsity Rank</t>
  </si>
  <si>
    <t>Varsity Men's Score</t>
  </si>
  <si>
    <t>Varsity Men's Rank</t>
  </si>
  <si>
    <t>Varsity Lady's Score</t>
  </si>
  <si>
    <t>Varsity Lady's Rank</t>
  </si>
  <si>
    <t>Collegiate Score</t>
  </si>
  <si>
    <t>Collegiate Rank</t>
  </si>
  <si>
    <t>Collegiate Men's Score</t>
  </si>
  <si>
    <t>Collegiate Men's Rank</t>
  </si>
  <si>
    <t>Collegiate Lady's Score</t>
  </si>
  <si>
    <t>Collegiate Lady's Rank</t>
  </si>
  <si>
    <t>HOA Score</t>
  </si>
  <si>
    <t>24-1024</t>
  </si>
  <si>
    <t>24-1025</t>
  </si>
  <si>
    <t>24-1026</t>
  </si>
  <si>
    <t>24-1027</t>
  </si>
  <si>
    <t>24-1028</t>
  </si>
  <si>
    <t>24-1029</t>
  </si>
  <si>
    <t>24-1030</t>
  </si>
  <si>
    <t>24-1031</t>
  </si>
  <si>
    <t>24-1032</t>
  </si>
  <si>
    <t>24-1033</t>
  </si>
  <si>
    <t>24-1034</t>
  </si>
  <si>
    <t>24-1035</t>
  </si>
  <si>
    <t>24-1036</t>
  </si>
  <si>
    <t>24-1037</t>
  </si>
  <si>
    <t>24-1038</t>
  </si>
  <si>
    <t>24-1039</t>
  </si>
  <si>
    <t>24-1040</t>
  </si>
  <si>
    <t>24-1041</t>
  </si>
  <si>
    <t>24-1042</t>
  </si>
  <si>
    <t>24-1043</t>
  </si>
  <si>
    <t>24-1044</t>
  </si>
  <si>
    <t>24-1045</t>
  </si>
  <si>
    <t>24-1046</t>
  </si>
  <si>
    <t>Harry</t>
  </si>
  <si>
    <t>Gary</t>
  </si>
  <si>
    <t>Becky</t>
  </si>
  <si>
    <t>Brad</t>
  </si>
  <si>
    <t>Alan</t>
  </si>
  <si>
    <t>Judy</t>
  </si>
  <si>
    <t>Shelly</t>
  </si>
  <si>
    <t>Kelly</t>
  </si>
  <si>
    <t>Missy</t>
  </si>
  <si>
    <t>Marty</t>
  </si>
  <si>
    <t>Patricia</t>
  </si>
  <si>
    <t>Randy</t>
  </si>
  <si>
    <t>Will</t>
  </si>
  <si>
    <t>Stuart</t>
  </si>
  <si>
    <t>Chad</t>
  </si>
  <si>
    <t>Troy</t>
  </si>
  <si>
    <t>Trey</t>
  </si>
  <si>
    <t>Owen</t>
  </si>
  <si>
    <t>Terry</t>
  </si>
  <si>
    <t>Trisha</t>
  </si>
  <si>
    <t>Dee</t>
  </si>
  <si>
    <t>Sam</t>
  </si>
  <si>
    <t>Rick</t>
  </si>
  <si>
    <t>Last Name25</t>
  </si>
  <si>
    <t>Last Name26</t>
  </si>
  <si>
    <t>Last Name27</t>
  </si>
  <si>
    <t>Last Name28</t>
  </si>
  <si>
    <t>Last Name29</t>
  </si>
  <si>
    <t>Last Name30</t>
  </si>
  <si>
    <t>Last Name31</t>
  </si>
  <si>
    <t>Last Name32</t>
  </si>
  <si>
    <t>Last Name33</t>
  </si>
  <si>
    <t>Last Name34</t>
  </si>
  <si>
    <t>Last Name35</t>
  </si>
  <si>
    <t>Last Name36</t>
  </si>
  <si>
    <t>Last Name37</t>
  </si>
  <si>
    <t>Last Name38</t>
  </si>
  <si>
    <t>Last Name39</t>
  </si>
  <si>
    <t>Last Name40</t>
  </si>
  <si>
    <t>Last Name41</t>
  </si>
  <si>
    <t>Last Name42</t>
  </si>
  <si>
    <t>Last Name43</t>
  </si>
  <si>
    <t>Last Name44</t>
  </si>
  <si>
    <t>Last Name45</t>
  </si>
  <si>
    <t>Last Name46</t>
  </si>
  <si>
    <t>Last Name47</t>
  </si>
  <si>
    <t>24-1047</t>
  </si>
  <si>
    <t>Last Name48</t>
  </si>
  <si>
    <t>Jackson</t>
  </si>
  <si>
    <t>Novice Order</t>
  </si>
  <si>
    <t>Int Order</t>
  </si>
  <si>
    <t>Jr Varsity Order</t>
  </si>
  <si>
    <t>Varsity Order</t>
  </si>
  <si>
    <t>Collegiate Order</t>
  </si>
  <si>
    <t>All Entrants</t>
  </si>
  <si>
    <t>Total Order</t>
  </si>
  <si>
    <t>Total HOA Places</t>
  </si>
  <si>
    <t>HOA Order</t>
  </si>
  <si>
    <t>Names highlighted indicates possible shoot off</t>
  </si>
  <si>
    <t>x</t>
  </si>
  <si>
    <t>X</t>
  </si>
  <si>
    <t>Team Concurrent</t>
  </si>
  <si>
    <t>Open</t>
  </si>
  <si>
    <t>Total Places</t>
  </si>
  <si>
    <t>HOA Events</t>
  </si>
  <si>
    <t># of Skeet Places</t>
  </si>
  <si>
    <t># of Trap Places</t>
  </si>
  <si>
    <t># of Sporting Places</t>
  </si>
  <si>
    <t>A Class</t>
  </si>
  <si>
    <t>B Class</t>
  </si>
  <si>
    <t>C Class</t>
  </si>
  <si>
    <t>D Class</t>
  </si>
  <si>
    <t>A Class Score</t>
  </si>
  <si>
    <t>A Class Order</t>
  </si>
  <si>
    <t>A Class Rank</t>
  </si>
  <si>
    <t>A Class Men's Score</t>
  </si>
  <si>
    <t>A Class Men's Rank</t>
  </si>
  <si>
    <t>A Class Lady's Score</t>
  </si>
  <si>
    <t>A Class Lady's Rank</t>
  </si>
  <si>
    <t>B Class Score</t>
  </si>
  <si>
    <t>B Class Order</t>
  </si>
  <si>
    <t>B Class Rank</t>
  </si>
  <si>
    <t>B Class Men's Score</t>
  </si>
  <si>
    <t>B Class Men's Rank</t>
  </si>
  <si>
    <t>B Class Lady's Score</t>
  </si>
  <si>
    <t>B Class Lady's Rank</t>
  </si>
  <si>
    <t>C Class Score</t>
  </si>
  <si>
    <t>C Class Order</t>
  </si>
  <si>
    <t>C Class Rank</t>
  </si>
  <si>
    <t>C Class Men's Score</t>
  </si>
  <si>
    <t>C Class Men's Rank</t>
  </si>
  <si>
    <t>C Class Lady's Score</t>
  </si>
  <si>
    <t>C Class Lady's Rank</t>
  </si>
  <si>
    <t>D Class Score</t>
  </si>
  <si>
    <t>D Class Order</t>
  </si>
  <si>
    <t>D Class Rank</t>
  </si>
  <si>
    <t>D Class Men's Score</t>
  </si>
  <si>
    <t>D Class Men's Rank</t>
  </si>
  <si>
    <t>D Class Lady's Score</t>
  </si>
  <si>
    <t>D Class Lady's Rank</t>
  </si>
  <si>
    <t>Team Name</t>
  </si>
  <si>
    <t>Concurrent</t>
  </si>
  <si>
    <t>Discipline</t>
  </si>
  <si>
    <t>High Plains Drifters</t>
  </si>
  <si>
    <t>Participant #1 ID</t>
  </si>
  <si>
    <t>Participant #1 Name</t>
  </si>
  <si>
    <t>Participant #5 Name</t>
  </si>
  <si>
    <t>Participant #5 ID</t>
  </si>
  <si>
    <t>Participant #4 Name</t>
  </si>
  <si>
    <t>Participant #4 ID</t>
  </si>
  <si>
    <t>Participant #3 Name</t>
  </si>
  <si>
    <t>Participant #3 ID</t>
  </si>
  <si>
    <t>Participant #2 Name</t>
  </si>
  <si>
    <t>Participant #2 ID</t>
  </si>
  <si>
    <t>Shooting Team</t>
  </si>
  <si>
    <t>Rocky Mountain Clay Busters</t>
  </si>
  <si>
    <t>Wiggins Tigers Sporting Club</t>
  </si>
  <si>
    <t>Forge Christian Shooting Team</t>
  </si>
  <si>
    <t>Brighton Clay Crushers</t>
  </si>
  <si>
    <t>Littleton Target Masters</t>
  </si>
  <si>
    <t>Fees</t>
  </si>
  <si>
    <t>Y</t>
  </si>
  <si>
    <t>Skeet Squad</t>
  </si>
  <si>
    <t>Skeet Squad #</t>
  </si>
  <si>
    <t>Skeet Squad Assignment</t>
  </si>
  <si>
    <t>Trap Squad Assignment</t>
  </si>
  <si>
    <t>Trap Squad #</t>
  </si>
  <si>
    <t>Trap Squad</t>
  </si>
  <si>
    <t>Trap Concurrent</t>
  </si>
  <si>
    <t>Sporting Squad Assignment</t>
  </si>
  <si>
    <t>Sporting Squad #</t>
  </si>
  <si>
    <t>Sporting Squad</t>
  </si>
  <si>
    <t>Squad Concurrents</t>
  </si>
  <si>
    <t>Novice 1</t>
  </si>
  <si>
    <t>Intermediate 1</t>
  </si>
  <si>
    <t>Junior Varsity 1</t>
  </si>
  <si>
    <t>Varsity 1</t>
  </si>
  <si>
    <t>Open 1</t>
  </si>
  <si>
    <t>Collegiate 1</t>
  </si>
  <si>
    <t>Novice 2</t>
  </si>
  <si>
    <t>Intermediate 2</t>
  </si>
  <si>
    <t>Junior Varsity 2</t>
  </si>
  <si>
    <t>Varsity 2</t>
  </si>
  <si>
    <t>Open 2</t>
  </si>
  <si>
    <t>Collegiate 2</t>
  </si>
  <si>
    <t>Novice 3</t>
  </si>
  <si>
    <t>Intermediate 3</t>
  </si>
  <si>
    <t>Junior Varsity 3</t>
  </si>
  <si>
    <t>Varsity 3</t>
  </si>
  <si>
    <t>Open 3</t>
  </si>
  <si>
    <t>Collegiate 3</t>
  </si>
  <si>
    <t>Squad #</t>
  </si>
  <si>
    <t>Squad Position</t>
  </si>
  <si>
    <t>Squad Position Skeet/SC</t>
  </si>
  <si>
    <t>Squad Pos Trap</t>
  </si>
  <si>
    <t>Squad Key</t>
  </si>
  <si>
    <t>Trap Shooter Key</t>
  </si>
  <si>
    <t>Trap Squad Key</t>
  </si>
  <si>
    <t>Sporting Shooter Key</t>
  </si>
  <si>
    <t>Sporting Squad Key</t>
  </si>
  <si>
    <t>Team #</t>
  </si>
  <si>
    <t>Team Score</t>
  </si>
  <si>
    <t>Team Novice Score</t>
  </si>
  <si>
    <t>Team Novice Order</t>
  </si>
  <si>
    <t>Team Novice Rank</t>
  </si>
  <si>
    <t>Teams</t>
  </si>
  <si>
    <t>Team Int Score</t>
  </si>
  <si>
    <t>Team Int Order</t>
  </si>
  <si>
    <t>Team Int Rank</t>
  </si>
  <si>
    <t>Team JV Score</t>
  </si>
  <si>
    <t>Team JV Order</t>
  </si>
  <si>
    <t>Team JV Rank</t>
  </si>
  <si>
    <t>Team Collegiate Score</t>
  </si>
  <si>
    <t>Team Collegiate Order</t>
  </si>
  <si>
    <t>Team Collegiate Rank</t>
  </si>
  <si>
    <t>Team Varsity Order</t>
  </si>
  <si>
    <t>Team Varsity Rank</t>
  </si>
  <si>
    <t>Team Varsity Score</t>
  </si>
  <si>
    <t>Total Ind Score</t>
  </si>
  <si>
    <t>Ind Score</t>
  </si>
  <si>
    <t>Team Order</t>
  </si>
  <si>
    <t>Squad Pos</t>
  </si>
  <si>
    <t>Captain</t>
  </si>
  <si>
    <t>Team Members</t>
  </si>
  <si>
    <t>All Teams</t>
  </si>
  <si>
    <t>Shooter Key</t>
  </si>
  <si>
    <t>Team Tie Breaker</t>
  </si>
  <si>
    <t>Ind Tie Breaker</t>
  </si>
  <si>
    <t>Team ID</t>
  </si>
  <si>
    <t>Head Coach</t>
  </si>
  <si>
    <t>Email</t>
  </si>
  <si>
    <t>Address</t>
  </si>
  <si>
    <t>Phone</t>
  </si>
  <si>
    <t>City</t>
  </si>
  <si>
    <t>State</t>
  </si>
  <si>
    <t>ZIP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</si>
  <si>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</si>
  <si>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</si>
  <si>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</si>
  <si>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</si>
  <si>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</si>
  <si>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</si>
  <si>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</si>
  <si>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</si>
  <si>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</si>
  <si>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</si>
  <si>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</si>
  <si>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</si>
  <si>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</si>
  <si>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</si>
  <si>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</si>
  <si>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</si>
  <si>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</si>
  <si>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</si>
  <si>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</si>
  <si>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</si>
  <si>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</si>
  <si>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</si>
  <si>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</si>
  <si>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</si>
  <si>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</si>
  <si>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</si>
  <si>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</si>
  <si>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</si>
  <si>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</si>
  <si>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</si>
  <si>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</si>
  <si>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</si>
  <si>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</si>
  <si>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</si>
  <si>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</si>
  <si>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</si>
  <si>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</si>
  <si>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</si>
  <si>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</si>
  <si>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</si>
  <si>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</si>
  <si>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</si>
  <si>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</si>
  <si>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</si>
  <si>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</si>
  <si>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</si>
  <si>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</si>
  <si>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</si>
  <si>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</si>
  <si>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</si>
  <si>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Skeet Class</t>
  </si>
  <si>
    <t>Trap Class</t>
  </si>
  <si>
    <t>Sporting Class</t>
  </si>
  <si>
    <t>Contact Phone #</t>
  </si>
  <si>
    <t>Contact Email</t>
  </si>
  <si>
    <t>Date</t>
  </si>
  <si>
    <t>Gold</t>
  </si>
  <si>
    <t>Silver</t>
  </si>
  <si>
    <t>Bronze</t>
  </si>
  <si>
    <t>Individual Concurrent</t>
  </si>
  <si>
    <t>Individual Class</t>
  </si>
  <si>
    <t>Total Medals</t>
  </si>
  <si>
    <t>HAA</t>
  </si>
  <si>
    <t>Places for HAA</t>
  </si>
  <si>
    <t>Places for HAA Men</t>
  </si>
  <si>
    <t>Places for HAA Lady</t>
  </si>
  <si>
    <t>Total HAA Places</t>
  </si>
  <si>
    <t>Events</t>
  </si>
  <si>
    <t>Tournament Events</t>
  </si>
  <si>
    <t>26-1000</t>
  </si>
  <si>
    <t>26-1001</t>
  </si>
  <si>
    <t>26-1002</t>
  </si>
  <si>
    <t>26-1003</t>
  </si>
  <si>
    <t>26-1004</t>
  </si>
  <si>
    <t>26-1005</t>
  </si>
  <si>
    <t>26-1006</t>
  </si>
  <si>
    <t>26-1007</t>
  </si>
  <si>
    <t>26-1008</t>
  </si>
  <si>
    <t>26-1009</t>
  </si>
  <si>
    <t>26-1010</t>
  </si>
  <si>
    <t>26-1011</t>
  </si>
  <si>
    <t>26-1012</t>
  </si>
  <si>
    <t>26-1013</t>
  </si>
  <si>
    <t>26-1014</t>
  </si>
  <si>
    <t>26-1015</t>
  </si>
  <si>
    <t>26-1016</t>
  </si>
  <si>
    <t>26-1017</t>
  </si>
  <si>
    <t>26-1018</t>
  </si>
  <si>
    <t>26-1019</t>
  </si>
  <si>
    <t>26-1020</t>
  </si>
  <si>
    <t>26-1021</t>
  </si>
  <si>
    <t>26-1022</t>
  </si>
  <si>
    <t>26-1023</t>
  </si>
  <si>
    <t>26-1024</t>
  </si>
  <si>
    <t>26-1025</t>
  </si>
  <si>
    <t>26-1026</t>
  </si>
  <si>
    <t>26-1027</t>
  </si>
  <si>
    <t>26-1028</t>
  </si>
  <si>
    <t>26-1029</t>
  </si>
  <si>
    <t>26-1030</t>
  </si>
  <si>
    <t>26-1031</t>
  </si>
  <si>
    <t>26-1032</t>
  </si>
  <si>
    <t>26-1033</t>
  </si>
  <si>
    <t>26-1034</t>
  </si>
  <si>
    <t>26-1035</t>
  </si>
  <si>
    <t>26-1036</t>
  </si>
  <si>
    <t>26-1037</t>
  </si>
  <si>
    <t>26-1038</t>
  </si>
  <si>
    <t>26-1039</t>
  </si>
  <si>
    <t>26-1040</t>
  </si>
  <si>
    <t>26-1041</t>
  </si>
  <si>
    <t>26-1042</t>
  </si>
  <si>
    <t>26-1043</t>
  </si>
  <si>
    <t>26-1044</t>
  </si>
  <si>
    <t>26-1045</t>
  </si>
  <si>
    <t>26-1046</t>
  </si>
  <si>
    <t>26-1047</t>
  </si>
  <si>
    <t>26-1048</t>
  </si>
  <si>
    <t>26-1049</t>
  </si>
  <si>
    <t>26-1050</t>
  </si>
  <si>
    <t>26-1051</t>
  </si>
  <si>
    <t>26-1052</t>
  </si>
  <si>
    <t>26-1053</t>
  </si>
  <si>
    <t>26-1054</t>
  </si>
  <si>
    <t>26-1055</t>
  </si>
  <si>
    <t>26-1056</t>
  </si>
  <si>
    <t>26-1057</t>
  </si>
  <si>
    <t>26-1058</t>
  </si>
  <si>
    <t>26-1059</t>
  </si>
  <si>
    <t>26-1060</t>
  </si>
  <si>
    <t>26-1061</t>
  </si>
  <si>
    <t>26-1062</t>
  </si>
  <si>
    <t>26-1063</t>
  </si>
  <si>
    <t>26-1064</t>
  </si>
  <si>
    <t>26-1065</t>
  </si>
  <si>
    <t>26-1066</t>
  </si>
  <si>
    <t>26-1067</t>
  </si>
  <si>
    <t>26-1068</t>
  </si>
  <si>
    <t>26-1069</t>
  </si>
  <si>
    <t>26-1070</t>
  </si>
  <si>
    <t>26-1071</t>
  </si>
  <si>
    <t>26-1072</t>
  </si>
  <si>
    <t>26-1073</t>
  </si>
  <si>
    <t>26-1074</t>
  </si>
  <si>
    <t>26-1075</t>
  </si>
  <si>
    <t>26-1076</t>
  </si>
  <si>
    <t>26-1077</t>
  </si>
  <si>
    <t>26-1078</t>
  </si>
  <si>
    <t>26-1079</t>
  </si>
  <si>
    <t>26-1080</t>
  </si>
  <si>
    <t>26-1081</t>
  </si>
  <si>
    <t>26-1082</t>
  </si>
  <si>
    <t>26-1083</t>
  </si>
  <si>
    <t>26-1084</t>
  </si>
  <si>
    <t>26-1085</t>
  </si>
  <si>
    <t>26-1086</t>
  </si>
  <si>
    <t>26-1087</t>
  </si>
  <si>
    <t>26-1088</t>
  </si>
  <si>
    <t>26-1089</t>
  </si>
  <si>
    <t>26-1090</t>
  </si>
  <si>
    <t>26-1091</t>
  </si>
  <si>
    <t>26-1092</t>
  </si>
  <si>
    <t>26-1093</t>
  </si>
  <si>
    <t>26-1094</t>
  </si>
  <si>
    <t>26-1095</t>
  </si>
  <si>
    <t>26-1096</t>
  </si>
  <si>
    <t>26-1097</t>
  </si>
  <si>
    <t>26-1098</t>
  </si>
  <si>
    <t>26-1099</t>
  </si>
  <si>
    <t>26-1100</t>
  </si>
  <si>
    <t>26-1101</t>
  </si>
  <si>
    <t>26-1102</t>
  </si>
  <si>
    <t>26-1103</t>
  </si>
  <si>
    <t>26-1104</t>
  </si>
  <si>
    <t>26-1105</t>
  </si>
  <si>
    <t>26-1106</t>
  </si>
  <si>
    <t>26-1107</t>
  </si>
  <si>
    <t>26-1108</t>
  </si>
  <si>
    <t>26-1109</t>
  </si>
  <si>
    <t>26-1110</t>
  </si>
  <si>
    <t>26-1111</t>
  </si>
  <si>
    <t>26-1112</t>
  </si>
  <si>
    <t>26-1113</t>
  </si>
  <si>
    <t>26-1114</t>
  </si>
  <si>
    <t>26-1115</t>
  </si>
  <si>
    <t>26-1116</t>
  </si>
  <si>
    <t>26-1117</t>
  </si>
  <si>
    <t>26-1118</t>
  </si>
  <si>
    <t>26-1119</t>
  </si>
  <si>
    <t>26-1120</t>
  </si>
  <si>
    <t>26-1121</t>
  </si>
  <si>
    <t>26-1122</t>
  </si>
  <si>
    <t>26-1123</t>
  </si>
  <si>
    <t>26-1124</t>
  </si>
  <si>
    <t>26-1125</t>
  </si>
  <si>
    <t>26-1126</t>
  </si>
  <si>
    <t>26-1127</t>
  </si>
  <si>
    <t>26-1128</t>
  </si>
  <si>
    <t>26-1129</t>
  </si>
  <si>
    <t>26-1130</t>
  </si>
  <si>
    <t>26-1131</t>
  </si>
  <si>
    <t>26-1132</t>
  </si>
  <si>
    <t>26-1133</t>
  </si>
  <si>
    <t>26-1134</t>
  </si>
  <si>
    <t>26-1135</t>
  </si>
  <si>
    <t>26-1136</t>
  </si>
  <si>
    <t>26-1137</t>
  </si>
  <si>
    <t>26-1138</t>
  </si>
  <si>
    <t>26-1139</t>
  </si>
  <si>
    <t>26-1140</t>
  </si>
  <si>
    <t>26-1141</t>
  </si>
  <si>
    <t>26-1142</t>
  </si>
  <si>
    <t>26-1143</t>
  </si>
  <si>
    <t>26-1144</t>
  </si>
  <si>
    <t>26-1145</t>
  </si>
  <si>
    <t>26-1146</t>
  </si>
  <si>
    <t>26-1147</t>
  </si>
  <si>
    <t>26-1148</t>
  </si>
  <si>
    <t>26-1149</t>
  </si>
  <si>
    <t>26-1150</t>
  </si>
  <si>
    <t>26-1151</t>
  </si>
  <si>
    <t>26-1152</t>
  </si>
  <si>
    <t>26-1153</t>
  </si>
  <si>
    <t>26-1154</t>
  </si>
  <si>
    <t>26-1155</t>
  </si>
  <si>
    <t>26-1156</t>
  </si>
  <si>
    <t>26-1157</t>
  </si>
  <si>
    <t>26-1158</t>
  </si>
  <si>
    <t>26-1159</t>
  </si>
  <si>
    <t>26-1160</t>
  </si>
  <si>
    <t>26-1161</t>
  </si>
  <si>
    <t>26-1162</t>
  </si>
  <si>
    <t>26-1163</t>
  </si>
  <si>
    <t>26-1164</t>
  </si>
  <si>
    <t>26-1165</t>
  </si>
  <si>
    <t>26-1166</t>
  </si>
  <si>
    <t>26-1167</t>
  </si>
  <si>
    <t>26-1168</t>
  </si>
  <si>
    <t>26-1169</t>
  </si>
  <si>
    <t>26-1170</t>
  </si>
  <si>
    <t>26-1171</t>
  </si>
  <si>
    <t>26-1172</t>
  </si>
  <si>
    <t>26-1173</t>
  </si>
  <si>
    <t>26-1174</t>
  </si>
  <si>
    <t>26-1175</t>
  </si>
  <si>
    <t>26-1176</t>
  </si>
  <si>
    <t>26-1177</t>
  </si>
  <si>
    <t>26-1178</t>
  </si>
  <si>
    <t>26-1179</t>
  </si>
  <si>
    <t>26-1180</t>
  </si>
  <si>
    <t>26-1181</t>
  </si>
  <si>
    <t>26-1182</t>
  </si>
  <si>
    <t>26-1183</t>
  </si>
  <si>
    <t>26-1184</t>
  </si>
  <si>
    <t>26-1185</t>
  </si>
  <si>
    <t>26-1186</t>
  </si>
  <si>
    <t>26-1187</t>
  </si>
  <si>
    <t>26-1188</t>
  </si>
  <si>
    <t>26-1189</t>
  </si>
  <si>
    <t>26-1190</t>
  </si>
  <si>
    <t>26-1191</t>
  </si>
  <si>
    <t>26-1192</t>
  </si>
  <si>
    <t>26-1193</t>
  </si>
  <si>
    <t>26-1194</t>
  </si>
  <si>
    <t>26-1195</t>
  </si>
  <si>
    <t>26-1196</t>
  </si>
  <si>
    <t>26-1197</t>
  </si>
  <si>
    <t>26-1198</t>
  </si>
  <si>
    <t>26-1199</t>
  </si>
  <si>
    <t>26-1200</t>
  </si>
  <si>
    <t>26-1201</t>
  </si>
  <si>
    <t>26-1202</t>
  </si>
  <si>
    <t>26-1203</t>
  </si>
  <si>
    <t>26-1204</t>
  </si>
  <si>
    <t>26-1205</t>
  </si>
  <si>
    <t>26-1206</t>
  </si>
  <si>
    <t>26-1207</t>
  </si>
  <si>
    <t>26-1208</t>
  </si>
  <si>
    <t>26-1209</t>
  </si>
  <si>
    <t>26-1210</t>
  </si>
  <si>
    <t>26-1211</t>
  </si>
  <si>
    <t>26-1212</t>
  </si>
  <si>
    <t>26-1213</t>
  </si>
  <si>
    <t>26-1214</t>
  </si>
  <si>
    <t>26-1215</t>
  </si>
  <si>
    <t>26-1216</t>
  </si>
  <si>
    <t>26-1217</t>
  </si>
  <si>
    <t>26-1218</t>
  </si>
  <si>
    <t>26-1219</t>
  </si>
  <si>
    <t>26-1220</t>
  </si>
  <si>
    <t>26-1221</t>
  </si>
  <si>
    <t>26-1222</t>
  </si>
  <si>
    <t>26-1223</t>
  </si>
  <si>
    <t>26-1224</t>
  </si>
  <si>
    <t>26-1225</t>
  </si>
  <si>
    <t>26-1226</t>
  </si>
  <si>
    <t>26-1227</t>
  </si>
  <si>
    <t>26-1228</t>
  </si>
  <si>
    <t>26-1229</t>
  </si>
  <si>
    <t>26-1230</t>
  </si>
  <si>
    <t>26-1231</t>
  </si>
  <si>
    <t>26-1232</t>
  </si>
  <si>
    <t>Total Medals for all Events</t>
  </si>
  <si>
    <t>Shooting Time</t>
  </si>
  <si>
    <t>Skeet Times</t>
  </si>
  <si>
    <t>Trap Times</t>
  </si>
  <si>
    <t>Sporting Clays Time</t>
  </si>
  <si>
    <t>Men's</t>
  </si>
  <si>
    <t>Lady's</t>
  </si>
  <si>
    <t>Class</t>
  </si>
  <si>
    <t>LName1</t>
  </si>
  <si>
    <t>LName2</t>
  </si>
  <si>
    <t>LName3</t>
  </si>
  <si>
    <t>LName4</t>
  </si>
  <si>
    <t>LName5</t>
  </si>
  <si>
    <t>LName6</t>
  </si>
  <si>
    <t>LName7</t>
  </si>
  <si>
    <t>LName8</t>
  </si>
  <si>
    <t>LName9</t>
  </si>
  <si>
    <t>LName10</t>
  </si>
  <si>
    <t>LName11</t>
  </si>
  <si>
    <t>LName12</t>
  </si>
  <si>
    <t>LName13</t>
  </si>
  <si>
    <t>LName14</t>
  </si>
  <si>
    <t>LName15</t>
  </si>
  <si>
    <t>LName16</t>
  </si>
  <si>
    <t>LName17</t>
  </si>
  <si>
    <t>LName18</t>
  </si>
  <si>
    <t>LName19</t>
  </si>
  <si>
    <t>LName20</t>
  </si>
  <si>
    <t>LName21</t>
  </si>
  <si>
    <t>LName22</t>
  </si>
  <si>
    <t>LName23</t>
  </si>
  <si>
    <t>LName24</t>
  </si>
  <si>
    <t>LName25</t>
  </si>
  <si>
    <t>LName26</t>
  </si>
  <si>
    <t>LName27</t>
  </si>
  <si>
    <t>LName28</t>
  </si>
  <si>
    <t>LName29</t>
  </si>
  <si>
    <t>LName30</t>
  </si>
  <si>
    <t>LName31</t>
  </si>
  <si>
    <t>LName32</t>
  </si>
  <si>
    <t>LName33</t>
  </si>
  <si>
    <t>LName34</t>
  </si>
  <si>
    <t>LName35</t>
  </si>
  <si>
    <t>LName36</t>
  </si>
  <si>
    <t>LName37</t>
  </si>
  <si>
    <t>LName38</t>
  </si>
  <si>
    <t>LName39</t>
  </si>
  <si>
    <t>LName40</t>
  </si>
  <si>
    <t>LName41</t>
  </si>
  <si>
    <t>LName42</t>
  </si>
  <si>
    <t>LName43</t>
  </si>
  <si>
    <t>LName44</t>
  </si>
  <si>
    <t>LName45</t>
  </si>
  <si>
    <t>LName46</t>
  </si>
  <si>
    <t>LName47</t>
  </si>
  <si>
    <t>LName48</t>
  </si>
  <si>
    <t>HAA Place</t>
  </si>
  <si>
    <t>Concurrent Place</t>
  </si>
  <si>
    <t>Class Place</t>
  </si>
  <si>
    <t>Team Place</t>
  </si>
  <si>
    <t>Unassigned 1</t>
  </si>
  <si>
    <t>9:00</t>
  </si>
  <si>
    <t>10:15</t>
  </si>
  <si>
    <t>11:30</t>
  </si>
  <si>
    <t>12:45</t>
  </si>
  <si>
    <t>2:00</t>
  </si>
  <si>
    <t>10:00</t>
  </si>
  <si>
    <t>11:00</t>
  </si>
  <si>
    <t>12:00</t>
  </si>
  <si>
    <t>1:00</t>
  </si>
  <si>
    <t>3:00</t>
  </si>
  <si>
    <t>N</t>
  </si>
  <si>
    <t>Team Affiliation</t>
  </si>
  <si>
    <t>USAYESS</t>
  </si>
  <si>
    <t>303-999-1234</t>
  </si>
  <si>
    <t>CO</t>
  </si>
  <si>
    <t>Bennett</t>
  </si>
  <si>
    <t>1234 Rose Lane</t>
  </si>
  <si>
    <t>Tim@example.com</t>
  </si>
  <si>
    <t>Tim Wolfe</t>
  </si>
  <si>
    <t>303-425-2425</t>
  </si>
  <si>
    <t>Bill@example.com</t>
  </si>
  <si>
    <t>Name</t>
  </si>
  <si>
    <t>Place #</t>
  </si>
  <si>
    <t>HOA Lady's Skeet Champion</t>
  </si>
  <si>
    <t>HOA Skeet Champion</t>
  </si>
  <si>
    <t>HOA Skeet Runner Up</t>
  </si>
  <si>
    <t>HOA Skeet 3rd Place</t>
  </si>
  <si>
    <t>HOA Men's Skeet Champion</t>
  </si>
  <si>
    <t>HOA Men's Skeet Runner Up</t>
  </si>
  <si>
    <t>HOA Men's Skeet 3rd</t>
  </si>
  <si>
    <t>HOA Lady's Skeet Runner Up</t>
  </si>
  <si>
    <t>HOA Lady's Skeet 3rd</t>
  </si>
  <si>
    <t>Collegiate Skeet Champion</t>
  </si>
  <si>
    <t>Collegiate Skeet Runner Up</t>
  </si>
  <si>
    <t>Collegiate Skeet 3rd</t>
  </si>
  <si>
    <t>Collegiate Men's Skeet Champion</t>
  </si>
  <si>
    <t>Collegiate Men's Skeet Runner Up</t>
  </si>
  <si>
    <t>Collegiate Men's Skeet 3rd</t>
  </si>
  <si>
    <t>Collegiate Lady's Skeet Champion</t>
  </si>
  <si>
    <t>Collegiate Lady's Skeet Runner Up</t>
  </si>
  <si>
    <t>Collegiate Lady's Skeet 3rd</t>
  </si>
  <si>
    <t>Varsity Skeet Champion</t>
  </si>
  <si>
    <t>Varsity Skeet Runner Up</t>
  </si>
  <si>
    <t>Varsity Skeet 3rd</t>
  </si>
  <si>
    <t>Varsity Men's Skeet Champion</t>
  </si>
  <si>
    <t>Varsity Men's Skeet Runner Up</t>
  </si>
  <si>
    <t>Varsity Men's Skeet 3rd</t>
  </si>
  <si>
    <t>Varsity Lady's Skeet Champion</t>
  </si>
  <si>
    <t>Varsity Lady's Skeet Runner Up</t>
  </si>
  <si>
    <t>Varsity Lady's Skeet 3rd</t>
  </si>
  <si>
    <t>Jr Varsity Skeet Champion</t>
  </si>
  <si>
    <t>Jr Varsity Skeet Runner Up</t>
  </si>
  <si>
    <t>Jr Varsity Skeet 3rd</t>
  </si>
  <si>
    <t>Jr Varsity Men's Skeet Champion</t>
  </si>
  <si>
    <t>Jr Varsity Men's Skeet Runner Up</t>
  </si>
  <si>
    <t>Jr Varsity Men's Skeet 3rd</t>
  </si>
  <si>
    <t>Jr Varsity Lady's Skeet Champion</t>
  </si>
  <si>
    <t>Jr Varsity Lady's Skeet Runner Up</t>
  </si>
  <si>
    <t>Jr Varsity Lady's Skeet 3rd</t>
  </si>
  <si>
    <t>Intermediate Skeet Champion</t>
  </si>
  <si>
    <t>Intermediate Skeet Runner Up</t>
  </si>
  <si>
    <t>Intermediate Skeet 3rd</t>
  </si>
  <si>
    <t>Intermediate Men's Skeet Champion</t>
  </si>
  <si>
    <t>Intermediate Men's Skeet Runner Up</t>
  </si>
  <si>
    <t>Intermediate Men's Skeet 3rd</t>
  </si>
  <si>
    <t>Intermediate Lady's Skeet Champion</t>
  </si>
  <si>
    <t>Intermediate Lady's Skeet Runner Up</t>
  </si>
  <si>
    <t>Intermediate Lady's Skeet 3rd</t>
  </si>
  <si>
    <t>Novice Skeet Champion</t>
  </si>
  <si>
    <t>Novice Skeet Runner Up</t>
  </si>
  <si>
    <t>Novice Skeet 3rd</t>
  </si>
  <si>
    <t>Novice Men's Skeet Champion</t>
  </si>
  <si>
    <t>Novice Men's Skeet Runner Up</t>
  </si>
  <si>
    <t>Novice Men's Skeet 3rd</t>
  </si>
  <si>
    <t>Novice Lady's Skeet Champion</t>
  </si>
  <si>
    <t>Novice Lady's Skeet Runner Up</t>
  </si>
  <si>
    <t>Novice Lady's Skeet 3rd</t>
  </si>
  <si>
    <t>HAA Ind Score</t>
  </si>
  <si>
    <t>HAA Tie Breaker</t>
  </si>
  <si>
    <t>A Class Skeet Champion</t>
  </si>
  <si>
    <t>A Class Skeet Runner Up</t>
  </si>
  <si>
    <t>A Class Skeet 3rd</t>
  </si>
  <si>
    <t>A Class Skeet Men's Champion</t>
  </si>
  <si>
    <t>A Class Skeet Men's Runner Up</t>
  </si>
  <si>
    <t>A Class Skeet Men's 3rd</t>
  </si>
  <si>
    <t>A Class Skeet Lady's Champion</t>
  </si>
  <si>
    <t>A Class Skeet Lady's Runner Up</t>
  </si>
  <si>
    <t>A Class Skeet Lady's 3rd</t>
  </si>
  <si>
    <t>B Class Skeet Champion</t>
  </si>
  <si>
    <t>B Class Skeet Runner Up</t>
  </si>
  <si>
    <t>B Class Skeet 3rd</t>
  </si>
  <si>
    <t>B Class Skeet Men's Champion</t>
  </si>
  <si>
    <t>B Class Skeet Men's Runner Up</t>
  </si>
  <si>
    <t>B Class Skeet Men's 3rd</t>
  </si>
  <si>
    <t>B Class Skeet Lady's Champion</t>
  </si>
  <si>
    <t>B Class Skeet Lady's Runner Up</t>
  </si>
  <si>
    <t>B Class Skeet Lady's 3rd</t>
  </si>
  <si>
    <t>C Class Skeet Champion</t>
  </si>
  <si>
    <t>C Class Skeet Runner Up</t>
  </si>
  <si>
    <t>C Class Skeet 3rd</t>
  </si>
  <si>
    <t>C Class Skeet Men's Champion</t>
  </si>
  <si>
    <t>C Class Skeet Men's Runner Up</t>
  </si>
  <si>
    <t>C Class Skeet Men's 3rd</t>
  </si>
  <si>
    <t>C Class Skeet Lady's Champion</t>
  </si>
  <si>
    <t>C Class Skeet Lady's Runner Up</t>
  </si>
  <si>
    <t>C Class Skeet Lady's 3rd</t>
  </si>
  <si>
    <t>D Class Skeet Champion</t>
  </si>
  <si>
    <t>D Class Skeet Runner Up</t>
  </si>
  <si>
    <t>D Class Skeet 3rd</t>
  </si>
  <si>
    <t>D Class Skeet Men's Champion</t>
  </si>
  <si>
    <t>D Class Skeet Men's Runner Up</t>
  </si>
  <si>
    <t>D Class Skeet Men's 3rd</t>
  </si>
  <si>
    <t>D Class Skeet Lady's Champion</t>
  </si>
  <si>
    <t>D Class Skeet Lady's Runner Up</t>
  </si>
  <si>
    <t>D Class Skeet Lady's 3rd</t>
  </si>
  <si>
    <t>Team Open Score</t>
  </si>
  <si>
    <t>Team Open Order</t>
  </si>
  <si>
    <t>Team Open Rank</t>
  </si>
  <si>
    <t>Participant Concurrent</t>
  </si>
  <si>
    <t>Concurrent Squad</t>
  </si>
  <si>
    <t>Unassigned</t>
  </si>
  <si>
    <t>Team Concurrent Listing</t>
  </si>
  <si>
    <t>Ind Skeet Squad Key</t>
  </si>
  <si>
    <t>Collegiate Skeet Team Runner Up</t>
  </si>
  <si>
    <t>Collegiate Skeet Team Champion</t>
  </si>
  <si>
    <t>Collegiate Skeet Team 3rd</t>
  </si>
  <si>
    <t>Varsity Skeet Team Champion</t>
  </si>
  <si>
    <t>Varsity Skeet Team Runner Up</t>
  </si>
  <si>
    <t>Varsity Skeet Team 3rd</t>
  </si>
  <si>
    <t>Junior Varsity Skeet Team Champion</t>
  </si>
  <si>
    <t>Junior Varsity Skeet Team Runner Up</t>
  </si>
  <si>
    <t>Junior Varsity Skeet Team 3rd</t>
  </si>
  <si>
    <t>Intermediate Skeet Team Champion</t>
  </si>
  <si>
    <t>Intermediate Skeet Team Runner Up</t>
  </si>
  <si>
    <t>Intermediate Skeet Team 3rd</t>
  </si>
  <si>
    <t>Novice Skeet Team 3rd</t>
  </si>
  <si>
    <t>Open Skeet Team 3rd</t>
  </si>
  <si>
    <t>HAA Score</t>
  </si>
  <si>
    <t>Skeet Score</t>
  </si>
  <si>
    <t>Tournament Date</t>
  </si>
  <si>
    <t>Skeet Squad Concurrent</t>
  </si>
  <si>
    <t>Skeet Team Score</t>
  </si>
  <si>
    <t>Skeet Team Place</t>
  </si>
  <si>
    <t>Skeet Class Place</t>
  </si>
  <si>
    <t>Skeet Concurrent Place</t>
  </si>
  <si>
    <t>Skeet Individual Rank</t>
  </si>
  <si>
    <t>Skeet Team Rank</t>
  </si>
  <si>
    <t>Skeet Team Score For Individual</t>
  </si>
  <si>
    <t>Skeet Concurrent Squad</t>
  </si>
  <si>
    <t>Skeet Team Concurrent</t>
  </si>
  <si>
    <t>Skeet Captain</t>
  </si>
  <si>
    <t>Skeet Squad Pos</t>
  </si>
  <si>
    <t>Skeet Ind Score</t>
  </si>
  <si>
    <t>Skeet Team Tie Breaker</t>
  </si>
  <si>
    <t>Trap Individual Rank</t>
  </si>
  <si>
    <t>Trap Score</t>
  </si>
  <si>
    <t>Trap Team Rank</t>
  </si>
  <si>
    <t>Trap Team Score</t>
  </si>
  <si>
    <t>Trap Squad Concurrent</t>
  </si>
  <si>
    <t>Trap Concurrent Place</t>
  </si>
  <si>
    <t>Trap Class Place</t>
  </si>
  <si>
    <t>Trap Team Place</t>
  </si>
  <si>
    <t>Sporting Individual Rank</t>
  </si>
  <si>
    <t>Sporting Score</t>
  </si>
  <si>
    <t>Sporting Team Rank</t>
  </si>
  <si>
    <t>Sporting Team Score</t>
  </si>
  <si>
    <t>Sporting Squad Concurrent</t>
  </si>
  <si>
    <t>Sporting Concurrent Place</t>
  </si>
  <si>
    <t>Sporting Class Place</t>
  </si>
  <si>
    <t>Sporting Team Place</t>
  </si>
  <si>
    <t>HAA Individual Rank</t>
  </si>
  <si>
    <t>HAA Concurrent</t>
  </si>
  <si>
    <t>HAA Individual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</si>
</sst>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8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43" fontId="0" fillId="0" borderId="0" xfId="1" applyFont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9" xfId="0" applyFont="1" applyFill="1" applyBorder="1" applyAlignment="1">
      <alignment horizontal="center" vertical="top" wrapText="1"/>
    </xf>
    <xf numFmtId="0" fontId="0" fillId="0" borderId="6" xfId="0" applyBorder="1"/>
    <xf numFmtId="0" fontId="0" fillId="0" borderId="7" xfId="0" applyBorder="1"/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9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2" fillId="6" borderId="8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9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7" borderId="2" xfId="0" applyFont="1" applyFill="1" applyBorder="1" applyAlignment="1">
      <alignment horizontal="center" vertical="top" wrapText="1"/>
    </xf>
    <xf numFmtId="43" fontId="0" fillId="0" borderId="6" xfId="1" applyFont="1" applyBorder="1"/>
    <xf numFmtId="43" fontId="0" fillId="0" borderId="0" xfId="1" applyFont="1" applyBorder="1"/>
    <xf numFmtId="0" fontId="2" fillId="3" borderId="3" xfId="0" applyFont="1" applyFill="1" applyBorder="1" applyAlignment="1">
      <alignment horizontal="center" vertical="top" wrapText="1"/>
    </xf>
    <xf numFmtId="0" fontId="0" fillId="8" borderId="0" xfId="0" applyFill="1"/>
    <xf numFmtId="0" fontId="0" fillId="8" borderId="0" xfId="0" applyFill="1" applyAlignment="1">
      <alignment horizontal="center"/>
    </xf>
    <xf numFmtId="43" fontId="0" fillId="8" borderId="0" xfId="1" applyFont="1" applyFill="1"/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6" xfId="0" applyFill="1" applyBorder="1"/>
    <xf numFmtId="0" fontId="0" fillId="8" borderId="7" xfId="0" applyFill="1" applyBorder="1"/>
    <xf numFmtId="1" fontId="0" fillId="0" borderId="7" xfId="0" applyNumberFormat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9" borderId="7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0" fillId="2" borderId="7" xfId="0" applyFill="1" applyBorder="1"/>
    <xf numFmtId="0" fontId="2" fillId="4" borderId="3" xfId="0" applyFont="1" applyFill="1" applyBorder="1" applyAlignment="1">
      <alignment horizontal="center" vertical="top" wrapText="1"/>
    </xf>
    <xf numFmtId="164" fontId="0" fillId="0" borderId="0" xfId="1" applyNumberFormat="1" applyFont="1" applyBorder="1"/>
    <xf numFmtId="0" fontId="2" fillId="6" borderId="3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4" fillId="9" borderId="0" xfId="0" applyFon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0" xfId="0" applyBorder="1"/>
    <xf numFmtId="0" fontId="0" fillId="11" borderId="0" xfId="0" applyFill="1" applyAlignment="1">
      <alignment horizontal="center"/>
    </xf>
    <xf numFmtId="0" fontId="0" fillId="11" borderId="10" xfId="0" applyFill="1" applyBorder="1" applyAlignment="1">
      <alignment horizontal="center"/>
    </xf>
    <xf numFmtId="0" fontId="2" fillId="11" borderId="8" xfId="0" applyFont="1" applyFill="1" applyBorder="1" applyAlignment="1">
      <alignment horizontal="center" vertical="top" wrapText="1"/>
    </xf>
    <xf numFmtId="164" fontId="0" fillId="0" borderId="7" xfId="1" applyNumberFormat="1" applyFont="1" applyBorder="1"/>
    <xf numFmtId="0" fontId="2" fillId="12" borderId="1" xfId="0" applyFont="1" applyFill="1" applyBorder="1" applyAlignment="1">
      <alignment horizontal="centerContinuous"/>
    </xf>
    <xf numFmtId="0" fontId="2" fillId="12" borderId="3" xfId="0" applyFont="1" applyFill="1" applyBorder="1" applyAlignment="1">
      <alignment horizontal="centerContinuous"/>
    </xf>
    <xf numFmtId="0" fontId="2" fillId="12" borderId="2" xfId="0" applyFont="1" applyFill="1" applyBorder="1" applyAlignment="1">
      <alignment horizontal="centerContinuous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1" xfId="0" applyBorder="1"/>
    <xf numFmtId="0" fontId="0" fillId="12" borderId="3" xfId="0" applyFill="1" applyBorder="1" applyAlignment="1">
      <alignment horizontal="centerContinuous"/>
    </xf>
    <xf numFmtId="0" fontId="0" fillId="10" borderId="0" xfId="0" applyFill="1" applyAlignment="1">
      <alignment horizontal="centerContinuous"/>
    </xf>
    <xf numFmtId="0" fontId="0" fillId="8" borderId="0" xfId="0" applyFill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/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6" borderId="4" xfId="0" applyFill="1" applyBorder="1"/>
    <xf numFmtId="0" fontId="2" fillId="0" borderId="16" xfId="0" applyFont="1" applyBorder="1" applyAlignment="1">
      <alignment horizontal="center" wrapText="1"/>
    </xf>
    <xf numFmtId="0" fontId="2" fillId="0" borderId="17" xfId="0" applyFont="1" applyBorder="1"/>
    <xf numFmtId="0" fontId="0" fillId="6" borderId="19" xfId="0" applyFill="1" applyBorder="1" applyAlignment="1">
      <alignment horizontal="center"/>
    </xf>
    <xf numFmtId="0" fontId="0" fillId="6" borderId="20" xfId="0" applyFill="1" applyBorder="1"/>
    <xf numFmtId="0" fontId="0" fillId="6" borderId="22" xfId="0" applyFill="1" applyBorder="1" applyAlignment="1">
      <alignment horizontal="center"/>
    </xf>
    <xf numFmtId="0" fontId="0" fillId="6" borderId="23" xfId="0" applyFill="1" applyBorder="1"/>
    <xf numFmtId="0" fontId="2" fillId="0" borderId="17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2" fillId="13" borderId="4" xfId="0" applyFont="1" applyFill="1" applyBorder="1"/>
    <xf numFmtId="0" fontId="2" fillId="13" borderId="4" xfId="0" applyFont="1" applyFill="1" applyBorder="1" applyAlignment="1">
      <alignment horizontal="center" wrapText="1"/>
    </xf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 applyAlignment="1">
      <alignment horizontal="center"/>
    </xf>
    <xf numFmtId="0" fontId="0" fillId="0" borderId="4" xfId="0" applyBorder="1"/>
    <xf numFmtId="0" fontId="0" fillId="0" borderId="23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6" borderId="20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5" borderId="0" xfId="0" applyFill="1"/>
    <xf numFmtId="0" fontId="2" fillId="0" borderId="27" xfId="0" applyFont="1" applyBorder="1"/>
    <xf numFmtId="0" fontId="2" fillId="0" borderId="28" xfId="0" applyFont="1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2" fillId="4" borderId="28" xfId="0" applyFont="1" applyFill="1" applyBorder="1" applyAlignment="1">
      <alignment horizontal="center" wrapText="1"/>
    </xf>
    <xf numFmtId="0" fontId="2" fillId="14" borderId="28" xfId="0" applyFont="1" applyFill="1" applyBorder="1" applyAlignment="1">
      <alignment horizontal="center" wrapText="1"/>
    </xf>
    <xf numFmtId="0" fontId="2" fillId="15" borderId="28" xfId="0" applyFont="1" applyFill="1" applyBorder="1" applyAlignment="1">
      <alignment horizontal="center" wrapText="1"/>
    </xf>
    <xf numFmtId="0" fontId="2" fillId="4" borderId="28" xfId="0" applyFont="1" applyFill="1" applyBorder="1" applyAlignment="1">
      <alignment horizontal="center"/>
    </xf>
    <xf numFmtId="0" fontId="2" fillId="14" borderId="28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 vertical="top" wrapText="1"/>
    </xf>
    <xf numFmtId="0" fontId="2" fillId="16" borderId="2" xfId="0" applyFont="1" applyFill="1" applyBorder="1" applyAlignment="1">
      <alignment horizontal="center" vertical="top" wrapText="1"/>
    </xf>
    <xf numFmtId="0" fontId="2" fillId="15" borderId="28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43" fontId="2" fillId="16" borderId="8" xfId="1" applyFont="1" applyFill="1" applyBorder="1" applyAlignment="1">
      <alignment horizontal="center" vertical="top" wrapText="1"/>
    </xf>
    <xf numFmtId="43" fontId="0" fillId="8" borderId="6" xfId="1" applyFont="1" applyFill="1" applyBorder="1"/>
    <xf numFmtId="43" fontId="2" fillId="17" borderId="8" xfId="1" applyFont="1" applyFill="1" applyBorder="1" applyAlignment="1">
      <alignment horizontal="center" vertical="top" wrapText="1"/>
    </xf>
    <xf numFmtId="0" fontId="2" fillId="17" borderId="3" xfId="0" applyFont="1" applyFill="1" applyBorder="1" applyAlignment="1">
      <alignment horizontal="center" vertical="top" wrapText="1"/>
    </xf>
    <xf numFmtId="0" fontId="2" fillId="17" borderId="2" xfId="0" applyFont="1" applyFill="1" applyBorder="1" applyAlignment="1">
      <alignment horizontal="center" vertical="top" wrapText="1"/>
    </xf>
    <xf numFmtId="43" fontId="2" fillId="18" borderId="8" xfId="1" applyFont="1" applyFill="1" applyBorder="1" applyAlignment="1">
      <alignment horizontal="center" vertical="top" wrapText="1"/>
    </xf>
    <xf numFmtId="0" fontId="2" fillId="18" borderId="3" xfId="0" applyFont="1" applyFill="1" applyBorder="1" applyAlignment="1">
      <alignment horizontal="center" vertical="top" wrapText="1"/>
    </xf>
    <xf numFmtId="0" fontId="2" fillId="18" borderId="2" xfId="0" applyFont="1" applyFill="1" applyBorder="1" applyAlignment="1">
      <alignment horizontal="center" vertical="top" wrapText="1"/>
    </xf>
    <xf numFmtId="165" fontId="0" fillId="0" borderId="0" xfId="1" applyNumberFormat="1" applyFont="1"/>
    <xf numFmtId="165" fontId="2" fillId="13" borderId="4" xfId="1" applyNumberFormat="1" applyFont="1" applyFill="1" applyBorder="1" applyAlignment="1">
      <alignment horizontal="center" wrapText="1"/>
    </xf>
    <xf numFmtId="0" fontId="0" fillId="0" borderId="37" xfId="0" applyBorder="1"/>
    <xf numFmtId="0" fontId="0" fillId="0" borderId="37" xfId="0" applyBorder="1" applyAlignment="1">
      <alignment horizontal="center"/>
    </xf>
    <xf numFmtId="0" fontId="0" fillId="2" borderId="34" xfId="0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36" xfId="0" applyFill="1" applyBorder="1"/>
    <xf numFmtId="0" fontId="0" fillId="2" borderId="37" xfId="0" applyFill="1" applyBorder="1"/>
    <xf numFmtId="0" fontId="0" fillId="2" borderId="37" xfId="0" applyFill="1" applyBorder="1" applyAlignment="1">
      <alignment horizontal="center"/>
    </xf>
    <xf numFmtId="43" fontId="2" fillId="13" borderId="4" xfId="1" applyFont="1" applyFill="1" applyBorder="1" applyAlignment="1">
      <alignment horizontal="center" wrapText="1"/>
    </xf>
    <xf numFmtId="165" fontId="0" fillId="0" borderId="0" xfId="1" applyNumberFormat="1" applyFont="1" applyAlignment="1">
      <alignment horizontal="center" wrapText="1"/>
    </xf>
    <xf numFmtId="0" fontId="4" fillId="9" borderId="42" xfId="0" applyFont="1" applyFill="1" applyBorder="1" applyAlignment="1">
      <alignment horizontal="centerContinuous"/>
    </xf>
    <xf numFmtId="0" fontId="4" fillId="9" borderId="43" xfId="0" applyFont="1" applyFill="1" applyBorder="1" applyAlignment="1">
      <alignment horizontal="centerContinuous"/>
    </xf>
    <xf numFmtId="0" fontId="4" fillId="9" borderId="44" xfId="0" applyFont="1" applyFill="1" applyBorder="1" applyAlignment="1">
      <alignment horizontal="centerContinuous"/>
    </xf>
    <xf numFmtId="0" fontId="4" fillId="9" borderId="24" xfId="0" applyFont="1" applyFill="1" applyBorder="1" applyAlignment="1">
      <alignment horizontal="center" wrapText="1"/>
    </xf>
    <xf numFmtId="0" fontId="4" fillId="9" borderId="25" xfId="0" applyFont="1" applyFill="1" applyBorder="1" applyAlignment="1">
      <alignment horizontal="center"/>
    </xf>
    <xf numFmtId="0" fontId="4" fillId="9" borderId="26" xfId="0" applyFont="1" applyFill="1" applyBorder="1" applyAlignment="1">
      <alignment horizontal="center" wrapText="1"/>
    </xf>
    <xf numFmtId="0" fontId="4" fillId="9" borderId="25" xfId="0" applyFont="1" applyFill="1" applyBorder="1" applyAlignment="1">
      <alignment horizontal="center" wrapText="1"/>
    </xf>
    <xf numFmtId="0" fontId="4" fillId="9" borderId="24" xfId="0" applyFont="1" applyFill="1" applyBorder="1" applyAlignment="1">
      <alignment horizontal="center"/>
    </xf>
    <xf numFmtId="165" fontId="0" fillId="0" borderId="0" xfId="1" applyNumberFormat="1" applyFont="1" applyBorder="1"/>
    <xf numFmtId="165" fontId="0" fillId="0" borderId="0" xfId="1" applyNumberFormat="1" applyFont="1" applyAlignment="1">
      <alignment horizontal="center"/>
    </xf>
    <xf numFmtId="165" fontId="0" fillId="0" borderId="6" xfId="1" applyNumberFormat="1" applyFont="1" applyBorder="1"/>
    <xf numFmtId="0" fontId="2" fillId="2" borderId="6" xfId="0" applyFont="1" applyFill="1" applyBorder="1" applyAlignment="1">
      <alignment horizontal="center" wrapText="1"/>
    </xf>
    <xf numFmtId="0" fontId="0" fillId="5" borderId="0" xfId="0" applyFill="1" applyAlignment="1">
      <alignment horizontal="centerContinuous"/>
    </xf>
    <xf numFmtId="165" fontId="0" fillId="5" borderId="0" xfId="1" applyNumberFormat="1" applyFont="1" applyFill="1" applyAlignment="1">
      <alignment horizontal="centerContinuous"/>
    </xf>
    <xf numFmtId="43" fontId="0" fillId="5" borderId="0" xfId="1" applyFont="1" applyFill="1" applyAlignment="1">
      <alignment horizontal="centerContinuous"/>
    </xf>
    <xf numFmtId="0" fontId="2" fillId="2" borderId="4" xfId="0" applyFont="1" applyFill="1" applyBorder="1"/>
    <xf numFmtId="0" fontId="2" fillId="2" borderId="4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/>
    </xf>
    <xf numFmtId="9" fontId="0" fillId="0" borderId="4" xfId="0" applyNumberFormat="1" applyBorder="1"/>
    <xf numFmtId="43" fontId="0" fillId="0" borderId="4" xfId="1" applyFont="1" applyBorder="1"/>
    <xf numFmtId="0" fontId="0" fillId="2" borderId="4" xfId="0" applyFill="1" applyBorder="1"/>
    <xf numFmtId="1" fontId="0" fillId="8" borderId="7" xfId="0" applyNumberFormat="1" applyFill="1" applyBorder="1" applyAlignment="1">
      <alignment horizontal="center"/>
    </xf>
    <xf numFmtId="0" fontId="0" fillId="19" borderId="0" xfId="0" applyFill="1" applyAlignment="1">
      <alignment horizontal="center"/>
    </xf>
    <xf numFmtId="0" fontId="0" fillId="19" borderId="36" xfId="0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1" fontId="0" fillId="19" borderId="36" xfId="0" applyNumberFormat="1" applyFill="1" applyBorder="1" applyAlignment="1">
      <alignment horizontal="center"/>
    </xf>
    <xf numFmtId="0" fontId="0" fillId="19" borderId="45" xfId="0" applyFill="1" applyBorder="1" applyAlignment="1">
      <alignment horizontal="center"/>
    </xf>
    <xf numFmtId="1" fontId="0" fillId="19" borderId="46" xfId="0" applyNumberFormat="1" applyFill="1" applyBorder="1" applyAlignment="1">
      <alignment horizontal="center"/>
    </xf>
    <xf numFmtId="0" fontId="0" fillId="19" borderId="0" xfId="0" applyFill="1"/>
    <xf numFmtId="0" fontId="0" fillId="19" borderId="40" xfId="0" applyFill="1" applyBorder="1" applyAlignment="1">
      <alignment horizontal="center"/>
    </xf>
    <xf numFmtId="0" fontId="0" fillId="19" borderId="35" xfId="0" applyFill="1" applyBorder="1" applyAlignment="1">
      <alignment horizontal="center"/>
    </xf>
    <xf numFmtId="0" fontId="0" fillId="19" borderId="41" xfId="0" applyFill="1" applyBorder="1" applyAlignment="1">
      <alignment horizontal="center"/>
    </xf>
    <xf numFmtId="0" fontId="0" fillId="19" borderId="38" xfId="0" applyFill="1" applyBorder="1" applyAlignment="1">
      <alignment horizontal="center"/>
    </xf>
    <xf numFmtId="0" fontId="0" fillId="20" borderId="34" xfId="0" applyFill="1" applyBorder="1"/>
    <xf numFmtId="0" fontId="0" fillId="20" borderId="0" xfId="0" applyFill="1"/>
    <xf numFmtId="0" fontId="0" fillId="20" borderId="0" xfId="0" applyFill="1" applyAlignment="1">
      <alignment horizontal="center"/>
    </xf>
    <xf numFmtId="0" fontId="0" fillId="20" borderId="36" xfId="0" applyFill="1" applyBorder="1"/>
    <xf numFmtId="0" fontId="0" fillId="20" borderId="37" xfId="0" applyFill="1" applyBorder="1"/>
    <xf numFmtId="0" fontId="0" fillId="20" borderId="37" xfId="0" applyFill="1" applyBorder="1" applyAlignment="1">
      <alignment horizontal="center"/>
    </xf>
    <xf numFmtId="0" fontId="0" fillId="21" borderId="0" xfId="0" applyFill="1" applyAlignment="1">
      <alignment horizontal="center"/>
    </xf>
    <xf numFmtId="0" fontId="0" fillId="21" borderId="36" xfId="0" applyFill="1" applyBorder="1" applyAlignment="1">
      <alignment horizontal="center"/>
    </xf>
    <xf numFmtId="0" fontId="0" fillId="21" borderId="37" xfId="0" applyFill="1" applyBorder="1" applyAlignment="1">
      <alignment horizontal="center"/>
    </xf>
    <xf numFmtId="1" fontId="0" fillId="21" borderId="1" xfId="0" applyNumberFormat="1" applyFill="1" applyBorder="1" applyAlignment="1">
      <alignment horizontal="center"/>
    </xf>
    <xf numFmtId="0" fontId="0" fillId="21" borderId="45" xfId="0" applyFill="1" applyBorder="1" applyAlignment="1">
      <alignment horizontal="center"/>
    </xf>
    <xf numFmtId="1" fontId="0" fillId="21" borderId="46" xfId="0" applyNumberFormat="1" applyFill="1" applyBorder="1" applyAlignment="1">
      <alignment horizontal="center"/>
    </xf>
    <xf numFmtId="0" fontId="0" fillId="21" borderId="40" xfId="0" applyFill="1" applyBorder="1" applyAlignment="1">
      <alignment horizontal="center"/>
    </xf>
    <xf numFmtId="0" fontId="0" fillId="21" borderId="35" xfId="0" applyFill="1" applyBorder="1" applyAlignment="1">
      <alignment horizontal="center"/>
    </xf>
    <xf numFmtId="0" fontId="0" fillId="21" borderId="41" xfId="0" applyFill="1" applyBorder="1" applyAlignment="1">
      <alignment horizontal="center"/>
    </xf>
    <xf numFmtId="0" fontId="0" fillId="21" borderId="38" xfId="0" applyFill="1" applyBorder="1" applyAlignment="1">
      <alignment horizontal="center"/>
    </xf>
    <xf numFmtId="0" fontId="4" fillId="22" borderId="42" xfId="0" applyFont="1" applyFill="1" applyBorder="1" applyAlignment="1">
      <alignment horizontal="centerContinuous"/>
    </xf>
    <xf numFmtId="0" fontId="4" fillId="22" borderId="43" xfId="0" applyFont="1" applyFill="1" applyBorder="1" applyAlignment="1">
      <alignment horizontal="centerContinuous"/>
    </xf>
    <xf numFmtId="0" fontId="4" fillId="22" borderId="44" xfId="0" applyFont="1" applyFill="1" applyBorder="1" applyAlignment="1">
      <alignment horizontal="centerContinuous"/>
    </xf>
    <xf numFmtId="0" fontId="4" fillId="22" borderId="24" xfId="0" applyFont="1" applyFill="1" applyBorder="1" applyAlignment="1">
      <alignment horizontal="center" wrapText="1"/>
    </xf>
    <xf numFmtId="0" fontId="4" fillId="22" borderId="25" xfId="0" applyFont="1" applyFill="1" applyBorder="1" applyAlignment="1">
      <alignment horizontal="center"/>
    </xf>
    <xf numFmtId="0" fontId="4" fillId="22" borderId="25" xfId="0" applyFont="1" applyFill="1" applyBorder="1" applyAlignment="1">
      <alignment horizontal="center" wrapText="1"/>
    </xf>
    <xf numFmtId="0" fontId="4" fillId="22" borderId="26" xfId="0" applyFont="1" applyFill="1" applyBorder="1" applyAlignment="1">
      <alignment horizontal="center" wrapText="1"/>
    </xf>
    <xf numFmtId="0" fontId="4" fillId="23" borderId="42" xfId="0" applyFont="1" applyFill="1" applyBorder="1" applyAlignment="1">
      <alignment horizontal="centerContinuous"/>
    </xf>
    <xf numFmtId="0" fontId="4" fillId="23" borderId="43" xfId="0" applyFont="1" applyFill="1" applyBorder="1" applyAlignment="1">
      <alignment horizontal="centerContinuous"/>
    </xf>
    <xf numFmtId="0" fontId="4" fillId="23" borderId="44" xfId="0" applyFont="1" applyFill="1" applyBorder="1" applyAlignment="1">
      <alignment horizontal="centerContinuous"/>
    </xf>
    <xf numFmtId="0" fontId="4" fillId="23" borderId="24" xfId="0" applyFont="1" applyFill="1" applyBorder="1" applyAlignment="1">
      <alignment horizontal="center" wrapText="1"/>
    </xf>
    <xf numFmtId="0" fontId="4" fillId="23" borderId="25" xfId="0" applyFont="1" applyFill="1" applyBorder="1" applyAlignment="1">
      <alignment horizontal="center"/>
    </xf>
    <xf numFmtId="0" fontId="4" fillId="23" borderId="25" xfId="0" applyFont="1" applyFill="1" applyBorder="1" applyAlignment="1">
      <alignment horizontal="center" wrapText="1"/>
    </xf>
    <xf numFmtId="0" fontId="4" fillId="23" borderId="26" xfId="0" applyFont="1" applyFill="1" applyBorder="1" applyAlignment="1">
      <alignment horizontal="center" wrapText="1"/>
    </xf>
    <xf numFmtId="0" fontId="4" fillId="24" borderId="42" xfId="0" applyFont="1" applyFill="1" applyBorder="1" applyAlignment="1">
      <alignment horizontal="centerContinuous"/>
    </xf>
    <xf numFmtId="0" fontId="4" fillId="24" borderId="43" xfId="0" applyFont="1" applyFill="1" applyBorder="1" applyAlignment="1">
      <alignment horizontal="centerContinuous"/>
    </xf>
    <xf numFmtId="0" fontId="4" fillId="24" borderId="44" xfId="0" applyFont="1" applyFill="1" applyBorder="1" applyAlignment="1">
      <alignment horizontal="centerContinuous"/>
    </xf>
    <xf numFmtId="0" fontId="4" fillId="24" borderId="24" xfId="0" applyFont="1" applyFill="1" applyBorder="1" applyAlignment="1">
      <alignment horizontal="center" wrapText="1"/>
    </xf>
    <xf numFmtId="0" fontId="4" fillId="24" borderId="25" xfId="0" applyFont="1" applyFill="1" applyBorder="1" applyAlignment="1">
      <alignment horizontal="center"/>
    </xf>
    <xf numFmtId="0" fontId="4" fillId="24" borderId="25" xfId="0" applyFont="1" applyFill="1" applyBorder="1" applyAlignment="1">
      <alignment horizontal="center" wrapText="1"/>
    </xf>
    <xf numFmtId="0" fontId="4" fillId="24" borderId="26" xfId="0" applyFont="1" applyFill="1" applyBorder="1" applyAlignment="1">
      <alignment horizontal="center" wrapText="1"/>
    </xf>
    <xf numFmtId="0" fontId="4" fillId="25" borderId="42" xfId="0" applyFont="1" applyFill="1" applyBorder="1" applyAlignment="1">
      <alignment horizontal="centerContinuous"/>
    </xf>
    <xf numFmtId="0" fontId="4" fillId="25" borderId="43" xfId="0" applyFont="1" applyFill="1" applyBorder="1" applyAlignment="1">
      <alignment horizontal="centerContinuous"/>
    </xf>
    <xf numFmtId="0" fontId="4" fillId="25" borderId="44" xfId="0" applyFont="1" applyFill="1" applyBorder="1" applyAlignment="1">
      <alignment horizontal="centerContinuous"/>
    </xf>
    <xf numFmtId="0" fontId="4" fillId="25" borderId="24" xfId="0" applyFont="1" applyFill="1" applyBorder="1" applyAlignment="1">
      <alignment horizontal="center" wrapText="1"/>
    </xf>
    <xf numFmtId="0" fontId="4" fillId="25" borderId="25" xfId="0" applyFont="1" applyFill="1" applyBorder="1" applyAlignment="1">
      <alignment horizontal="center"/>
    </xf>
    <xf numFmtId="0" fontId="4" fillId="25" borderId="25" xfId="0" applyFont="1" applyFill="1" applyBorder="1" applyAlignment="1">
      <alignment horizontal="center" wrapText="1"/>
    </xf>
    <xf numFmtId="0" fontId="4" fillId="25" borderId="26" xfId="0" applyFont="1" applyFill="1" applyBorder="1" applyAlignment="1">
      <alignment horizontal="center" wrapText="1"/>
    </xf>
    <xf numFmtId="0" fontId="0" fillId="21" borderId="0" xfId="0" applyFill="1"/>
    <xf numFmtId="0" fontId="0" fillId="26" borderId="0" xfId="0" applyFill="1" applyAlignment="1">
      <alignment horizontal="center"/>
    </xf>
    <xf numFmtId="0" fontId="0" fillId="26" borderId="1" xfId="0" applyFill="1" applyBorder="1" applyAlignment="1">
      <alignment horizontal="center"/>
    </xf>
    <xf numFmtId="0" fontId="0" fillId="26" borderId="3" xfId="0" applyFill="1" applyBorder="1" applyAlignment="1">
      <alignment horizontal="center"/>
    </xf>
    <xf numFmtId="1" fontId="0" fillId="26" borderId="3" xfId="0" applyNumberFormat="1" applyFill="1" applyBorder="1" applyAlignment="1">
      <alignment horizontal="center"/>
    </xf>
    <xf numFmtId="1" fontId="0" fillId="26" borderId="1" xfId="0" applyNumberFormat="1" applyFill="1" applyBorder="1" applyAlignment="1">
      <alignment horizontal="center"/>
    </xf>
    <xf numFmtId="0" fontId="0" fillId="26" borderId="39" xfId="0" applyFill="1" applyBorder="1" applyAlignment="1">
      <alignment horizontal="center"/>
    </xf>
    <xf numFmtId="1" fontId="0" fillId="26" borderId="33" xfId="0" applyNumberFormat="1" applyFill="1" applyBorder="1" applyAlignment="1">
      <alignment horizontal="center"/>
    </xf>
    <xf numFmtId="0" fontId="0" fillId="26" borderId="0" xfId="0" applyFill="1"/>
    <xf numFmtId="0" fontId="0" fillId="26" borderId="40" xfId="0" applyFill="1" applyBorder="1" applyAlignment="1">
      <alignment horizontal="center"/>
    </xf>
    <xf numFmtId="0" fontId="0" fillId="26" borderId="35" xfId="0" applyFill="1" applyBorder="1" applyAlignment="1">
      <alignment horizontal="center"/>
    </xf>
    <xf numFmtId="0" fontId="0" fillId="26" borderId="41" xfId="0" applyFill="1" applyBorder="1" applyAlignment="1">
      <alignment horizontal="center"/>
    </xf>
    <xf numFmtId="0" fontId="0" fillId="26" borderId="38" xfId="0" applyFill="1" applyBorder="1" applyAlignment="1">
      <alignment horizontal="center"/>
    </xf>
    <xf numFmtId="0" fontId="0" fillId="27" borderId="34" xfId="0" applyFill="1" applyBorder="1"/>
    <xf numFmtId="0" fontId="0" fillId="27" borderId="0" xfId="0" applyFill="1"/>
    <xf numFmtId="0" fontId="0" fillId="27" borderId="0" xfId="0" applyFill="1" applyAlignment="1">
      <alignment horizontal="center"/>
    </xf>
    <xf numFmtId="0" fontId="0" fillId="27" borderId="36" xfId="0" applyFill="1" applyBorder="1"/>
    <xf numFmtId="0" fontId="0" fillId="27" borderId="37" xfId="0" applyFill="1" applyBorder="1"/>
    <xf numFmtId="0" fontId="0" fillId="27" borderId="37" xfId="0" applyFill="1" applyBorder="1" applyAlignment="1">
      <alignment horizontal="center"/>
    </xf>
    <xf numFmtId="1" fontId="0" fillId="21" borderId="37" xfId="0" applyNumberFormat="1" applyFill="1" applyBorder="1" applyAlignment="1">
      <alignment horizontal="center"/>
    </xf>
    <xf numFmtId="1" fontId="0" fillId="21" borderId="36" xfId="0" applyNumberFormat="1" applyFill="1" applyBorder="1" applyAlignment="1">
      <alignment horizontal="center"/>
    </xf>
    <xf numFmtId="49" fontId="0" fillId="4" borderId="0" xfId="0" applyNumberFormat="1" applyFill="1" applyAlignment="1">
      <alignment horizontal="center"/>
    </xf>
    <xf numFmtId="49" fontId="0" fillId="0" borderId="31" xfId="0" applyNumberFormat="1" applyBorder="1"/>
    <xf numFmtId="49" fontId="0" fillId="0" borderId="32" xfId="0" applyNumberFormat="1" applyBorder="1"/>
    <xf numFmtId="14" fontId="0" fillId="0" borderId="4" xfId="0" applyNumberFormat="1" applyBorder="1"/>
    <xf numFmtId="0" fontId="5" fillId="0" borderId="4" xfId="2" applyBorder="1"/>
    <xf numFmtId="0" fontId="4" fillId="8" borderId="42" xfId="0" applyFont="1" applyFill="1" applyBorder="1" applyAlignment="1">
      <alignment horizontal="centerContinuous"/>
    </xf>
    <xf numFmtId="0" fontId="4" fillId="8" borderId="43" xfId="0" applyFont="1" applyFill="1" applyBorder="1" applyAlignment="1">
      <alignment horizontal="centerContinuous"/>
    </xf>
    <xf numFmtId="0" fontId="4" fillId="8" borderId="44" xfId="0" applyFont="1" applyFill="1" applyBorder="1" applyAlignment="1">
      <alignment horizontal="centerContinuous"/>
    </xf>
    <xf numFmtId="0" fontId="4" fillId="8" borderId="24" xfId="0" applyFont="1" applyFill="1" applyBorder="1" applyAlignment="1">
      <alignment horizontal="center" wrapText="1"/>
    </xf>
    <xf numFmtId="0" fontId="4" fillId="8" borderId="25" xfId="0" applyFont="1" applyFill="1" applyBorder="1" applyAlignment="1">
      <alignment horizontal="center"/>
    </xf>
    <xf numFmtId="0" fontId="4" fillId="8" borderId="25" xfId="0" applyFont="1" applyFill="1" applyBorder="1" applyAlignment="1">
      <alignment horizontal="center" wrapText="1"/>
    </xf>
    <xf numFmtId="0" fontId="4" fillId="8" borderId="26" xfId="0" applyFont="1" applyFill="1" applyBorder="1" applyAlignment="1">
      <alignment horizontal="center" wrapText="1"/>
    </xf>
    <xf numFmtId="43" fontId="2" fillId="10" borderId="8" xfId="1" applyFont="1" applyFill="1" applyBorder="1" applyAlignment="1">
      <alignment horizontal="center" vertical="top" wrapText="1"/>
    </xf>
    <xf numFmtId="0" fontId="2" fillId="10" borderId="3" xfId="0" applyFont="1" applyFill="1" applyBorder="1" applyAlignment="1">
      <alignment horizontal="center" vertical="top" wrapText="1"/>
    </xf>
    <xf numFmtId="0" fontId="2" fillId="10" borderId="2" xfId="0" applyFont="1" applyFill="1" applyBorder="1" applyAlignment="1">
      <alignment horizontal="center" vertical="top" wrapText="1"/>
    </xf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2" fillId="2" borderId="42" xfId="0" applyFont="1" applyFill="1" applyBorder="1"/>
    <xf numFmtId="0" fontId="2" fillId="2" borderId="47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2" fillId="15" borderId="29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0" borderId="17" xfId="0" applyFont="1" applyBorder="1" applyAlignment="1">
      <alignment wrapText="1"/>
    </xf>
    <xf numFmtId="0" fontId="4" fillId="9" borderId="51" xfId="0" applyFont="1" applyFill="1" applyBorder="1" applyAlignment="1">
      <alignment horizontal="center"/>
    </xf>
    <xf numFmtId="0" fontId="4" fillId="9" borderId="52" xfId="0" applyFont="1" applyFill="1" applyBorder="1" applyAlignment="1">
      <alignment horizontal="center"/>
    </xf>
    <xf numFmtId="0" fontId="4" fillId="9" borderId="52" xfId="0" applyFont="1" applyFill="1" applyBorder="1" applyAlignment="1">
      <alignment horizontal="center" wrapText="1"/>
    </xf>
    <xf numFmtId="0" fontId="4" fillId="9" borderId="53" xfId="0" applyFont="1" applyFill="1" applyBorder="1" applyAlignment="1">
      <alignment horizontal="center" wrapText="1"/>
    </xf>
    <xf numFmtId="0" fontId="0" fillId="21" borderId="4" xfId="0" applyFill="1" applyBorder="1" applyAlignment="1">
      <alignment horizontal="center"/>
    </xf>
    <xf numFmtId="1" fontId="0" fillId="21" borderId="4" xfId="0" applyNumberFormat="1" applyFill="1" applyBorder="1" applyAlignment="1">
      <alignment horizontal="center"/>
    </xf>
    <xf numFmtId="0" fontId="0" fillId="21" borderId="19" xfId="0" applyFill="1" applyBorder="1" applyAlignment="1">
      <alignment horizontal="center"/>
    </xf>
    <xf numFmtId="0" fontId="0" fillId="21" borderId="20" xfId="0" applyFill="1" applyBorder="1" applyAlignment="1">
      <alignment horizontal="center"/>
    </xf>
    <xf numFmtId="1" fontId="0" fillId="21" borderId="20" xfId="0" applyNumberFormat="1" applyFill="1" applyBorder="1" applyAlignment="1">
      <alignment horizontal="center"/>
    </xf>
    <xf numFmtId="1" fontId="0" fillId="21" borderId="21" xfId="0" applyNumberFormat="1" applyFill="1" applyBorder="1" applyAlignment="1">
      <alignment horizontal="center"/>
    </xf>
    <xf numFmtId="0" fontId="0" fillId="21" borderId="22" xfId="0" applyFill="1" applyBorder="1" applyAlignment="1">
      <alignment horizontal="center"/>
    </xf>
    <xf numFmtId="0" fontId="0" fillId="21" borderId="23" xfId="0" applyFill="1" applyBorder="1" applyAlignment="1">
      <alignment horizontal="center"/>
    </xf>
    <xf numFmtId="0" fontId="0" fillId="21" borderId="24" xfId="0" applyFill="1" applyBorder="1" applyAlignment="1">
      <alignment horizontal="center"/>
    </xf>
    <xf numFmtId="0" fontId="0" fillId="21" borderId="25" xfId="0" applyFill="1" applyBorder="1" applyAlignment="1">
      <alignment horizontal="center"/>
    </xf>
    <xf numFmtId="1" fontId="0" fillId="21" borderId="25" xfId="0" applyNumberFormat="1" applyFill="1" applyBorder="1" applyAlignment="1">
      <alignment horizontal="center"/>
    </xf>
    <xf numFmtId="0" fontId="0" fillId="21" borderId="26" xfId="0" applyFill="1" applyBorder="1" applyAlignment="1">
      <alignment horizontal="center"/>
    </xf>
    <xf numFmtId="0" fontId="0" fillId="28" borderId="0" xfId="0" applyFill="1"/>
    <xf numFmtId="14" fontId="0" fillId="0" borderId="0" xfId="0" applyNumberFormat="1"/>
    <xf numFmtId="0" fontId="2" fillId="13" borderId="1" xfId="0" applyFont="1" applyFill="1" applyBorder="1"/>
    <xf numFmtId="14" fontId="0" fillId="11" borderId="2" xfId="0" applyNumberFormat="1" applyFill="1" applyBorder="1"/>
    <xf numFmtId="164" fontId="0" fillId="0" borderId="0" xfId="1" applyNumberFormat="1" applyFont="1"/>
    <xf numFmtId="164" fontId="2" fillId="2" borderId="0" xfId="1" applyNumberFormat="1" applyFont="1" applyFill="1" applyBorder="1" applyAlignment="1">
      <alignment horizontal="center" wrapText="1"/>
    </xf>
    <xf numFmtId="164" fontId="0" fillId="8" borderId="0" xfId="1" applyNumberFormat="1" applyFont="1" applyFill="1"/>
    <xf numFmtId="0" fontId="2" fillId="14" borderId="4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29" borderId="4" xfId="0" applyFont="1" applyFill="1" applyBorder="1" applyAlignment="1">
      <alignment horizontal="center" wrapText="1"/>
    </xf>
    <xf numFmtId="0" fontId="2" fillId="30" borderId="4" xfId="0" applyFont="1" applyFill="1" applyBorder="1" applyAlignment="1">
      <alignment horizontal="center" wrapText="1"/>
    </xf>
    <xf numFmtId="164" fontId="2" fillId="14" borderId="4" xfId="1" applyNumberFormat="1" applyFont="1" applyFill="1" applyBorder="1" applyAlignment="1">
      <alignment horizontal="center" wrapText="1"/>
    </xf>
  </cellXfs>
  <cellStyles count="3">
    <cellStyle name="Comma" xfId="1" builtinId="3"/>
    <cellStyle name="Hyperlink" xfId="2" builtinId="8"/>
    <cellStyle name="Normal" xfId="0" builtinId="0"/>
  </cellStyles>
  <dxfs count="22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Tim@example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7A86-F2DF-41D7-A07E-E16226448405}">
  <dimension ref="A1:H117"/>
  <sheetViews>
    <sheetView zoomScale="80" zoomScaleNormal="80" workbookViewId="0">
      <selection activeCell="D3" sqref="D3"/>
    </sheetView>
  </sheetViews>
  <sheetFormatPr defaultRowHeight="14.4" x14ac:dyDescent="0.3"/>
  <cols>
    <col min="1" max="1" width="27.44140625" bestFit="1" customWidth="1"/>
    <col min="2" max="2" width="12.44140625" bestFit="1" customWidth="1"/>
    <col min="3" max="3" width="17.88671875" bestFit="1" customWidth="1"/>
    <col min="4" max="4" width="13.6640625" customWidth="1"/>
    <col min="5" max="5" width="12.109375" customWidth="1"/>
    <col min="6" max="6" width="9.21875" customWidth="1"/>
    <col min="7" max="7" width="13.21875" bestFit="1" customWidth="1"/>
    <col min="8" max="8" width="9.21875" customWidth="1"/>
  </cols>
  <sheetData>
    <row r="1" spans="1:5" ht="15" thickBot="1" x14ac:dyDescent="0.35">
      <c r="A1" s="276" t="s">
        <v>902</v>
      </c>
      <c r="B1" s="277">
        <v>45677</v>
      </c>
    </row>
    <row r="4" spans="1:5" ht="28.8" x14ac:dyDescent="0.3">
      <c r="A4" s="150" t="s">
        <v>467</v>
      </c>
      <c r="B4" s="151" t="s">
        <v>468</v>
      </c>
      <c r="C4" s="151" t="s">
        <v>324</v>
      </c>
    </row>
    <row r="5" spans="1:5" x14ac:dyDescent="0.3">
      <c r="A5" s="88" t="s">
        <v>143</v>
      </c>
      <c r="B5" s="96" t="s">
        <v>264</v>
      </c>
      <c r="C5" s="154">
        <v>40</v>
      </c>
    </row>
    <row r="6" spans="1:5" x14ac:dyDescent="0.3">
      <c r="A6" s="88" t="s">
        <v>147</v>
      </c>
      <c r="B6" s="96" t="s">
        <v>264</v>
      </c>
      <c r="C6" s="154">
        <v>40</v>
      </c>
    </row>
    <row r="7" spans="1:5" x14ac:dyDescent="0.3">
      <c r="A7" s="88" t="s">
        <v>148</v>
      </c>
      <c r="B7" s="96" t="s">
        <v>264</v>
      </c>
      <c r="C7" s="154">
        <v>40</v>
      </c>
    </row>
    <row r="9" spans="1:5" x14ac:dyDescent="0.3">
      <c r="A9" s="155" t="s">
        <v>149</v>
      </c>
      <c r="B9" s="152" t="s">
        <v>456</v>
      </c>
      <c r="C9" s="152" t="s">
        <v>457</v>
      </c>
      <c r="D9" s="152" t="s">
        <v>458</v>
      </c>
      <c r="E9" s="152" t="s">
        <v>34</v>
      </c>
    </row>
    <row r="10" spans="1:5" x14ac:dyDescent="0.3">
      <c r="A10" t="s">
        <v>462</v>
      </c>
      <c r="B10" s="1">
        <f>COUNTIFS($B$20:$B$22,"&gt;=1")</f>
        <v>3</v>
      </c>
      <c r="C10" s="1">
        <f>COUNTIFS($B$20:$B$22,"&gt;=2")</f>
        <v>3</v>
      </c>
      <c r="D10" s="1">
        <f>COUNTIFS($B$20:$B$22,"&gt;=3")</f>
        <v>3</v>
      </c>
      <c r="E10" s="1">
        <f>SUM(B10:D10)</f>
        <v>9</v>
      </c>
    </row>
    <row r="11" spans="1:5" x14ac:dyDescent="0.3">
      <c r="A11" t="s">
        <v>114</v>
      </c>
      <c r="B11" s="1">
        <f>COUNTIFS($B$26:$D$28,"&gt;=1")</f>
        <v>8</v>
      </c>
      <c r="C11" s="1">
        <f>COUNTIFS($B$26:$D$28,"&gt;=2")</f>
        <v>8</v>
      </c>
      <c r="D11" s="1">
        <f>COUNTIFS($B$26:$D$28,"&gt;=3")</f>
        <v>6</v>
      </c>
      <c r="E11" s="1">
        <f t="shared" ref="E11:E16" si="0">SUM(B11:D11)</f>
        <v>22</v>
      </c>
    </row>
    <row r="12" spans="1:5" x14ac:dyDescent="0.3">
      <c r="A12" t="s">
        <v>459</v>
      </c>
      <c r="B12" s="1">
        <f>COUNTIFS($B$32:$D$35,"&gt;=1")*COUNTIFS($B$5:$B$7,"X")</f>
        <v>36</v>
      </c>
      <c r="C12" s="1">
        <f>COUNTIFS($B$32:$D$35,"&gt;=2")*COUNTIFS($B$5:$B$7,"X")</f>
        <v>36</v>
      </c>
      <c r="D12" s="1">
        <f>COUNTIFS($B$32:$D$35,"&gt;=3")*COUNTIFS($B$5:$B$7,"X")</f>
        <v>36</v>
      </c>
      <c r="E12" s="1">
        <f t="shared" si="0"/>
        <v>108</v>
      </c>
    </row>
    <row r="13" spans="1:5" x14ac:dyDescent="0.3">
      <c r="A13" t="s">
        <v>460</v>
      </c>
      <c r="B13" s="1">
        <f>COUNTIFS($B$41:$D$44,"&gt;=1")*COUNTIFS($B$5:$B$7,"X")</f>
        <v>36</v>
      </c>
      <c r="C13" s="1">
        <f>COUNTIFS($B$41:$D$44,"&gt;=2")*COUNTIFS($B$5:$B$7,"X")</f>
        <v>36</v>
      </c>
      <c r="D13" s="1">
        <f>COUNTIFS($B$41:$D$44,"&gt;=3")*COUNTIFS($B$5:$B$7,"X")</f>
        <v>36</v>
      </c>
      <c r="E13" s="1">
        <f>SUM(B13:D13)</f>
        <v>108</v>
      </c>
    </row>
    <row r="14" spans="1:5" x14ac:dyDescent="0.3">
      <c r="A14" t="s">
        <v>265</v>
      </c>
      <c r="B14" s="1">
        <f>COUNTIFS($B$49:$B$53,"&gt;=1")*3+COUNTIFS($C$49:$C$53,"&gt;=1")*5+COUNTIFS($D$49:$D$53,"&gt;=1")*3</f>
        <v>55</v>
      </c>
      <c r="C14" s="1">
        <f>COUNTIFS($B$49:$B$53,"&gt;=2")*3+COUNTIFS($C$49:$C$53,"&gt;=2")*5+COUNTIFS($D$49:$D$53,"&gt;=2")*3</f>
        <v>55</v>
      </c>
      <c r="D14" s="1">
        <f>COUNTIFS($B$49:$B$53,"&gt;=3")*3+COUNTIFS($C$49:$C$53,"&gt;=3")*5+COUNTIFS($D$49:$D$53,"&gt;=3")*3</f>
        <v>30</v>
      </c>
      <c r="E14" s="1">
        <f t="shared" si="0"/>
        <v>140</v>
      </c>
    </row>
    <row r="15" spans="1:5" ht="15" thickBot="1" x14ac:dyDescent="0.35">
      <c r="A15" s="125" t="s">
        <v>120</v>
      </c>
      <c r="B15" s="126">
        <f>COUNTIFS($B$36:$D$36,"&gt;=1")*COUNTIFS($B$5:$B$7,"X")</f>
        <v>9</v>
      </c>
      <c r="C15" s="126">
        <f>COUNTIFS($B$36:$D$36,"&gt;=2")*COUNTIFS($B$5:$B$7,"X")</f>
        <v>9</v>
      </c>
      <c r="D15" s="126">
        <f>COUNTIFS($B$36:$D$36,"&gt;=3")*COUNTIFS($B$5:$B$7,"X")</f>
        <v>9</v>
      </c>
      <c r="E15" s="126">
        <f t="shared" si="0"/>
        <v>27</v>
      </c>
    </row>
    <row r="16" spans="1:5" x14ac:dyDescent="0.3">
      <c r="A16" t="s">
        <v>461</v>
      </c>
      <c r="B16" s="1">
        <f>SUM(B11:B15)</f>
        <v>144</v>
      </c>
      <c r="C16" s="1">
        <f t="shared" ref="C16:D16" si="1">SUM(C11:C15)</f>
        <v>144</v>
      </c>
      <c r="D16" s="1">
        <f t="shared" si="1"/>
        <v>117</v>
      </c>
      <c r="E16" s="1">
        <f t="shared" si="0"/>
        <v>405</v>
      </c>
    </row>
    <row r="19" spans="1:5" x14ac:dyDescent="0.3">
      <c r="A19" s="150" t="s">
        <v>462</v>
      </c>
      <c r="B19" s="151" t="s">
        <v>137</v>
      </c>
    </row>
    <row r="20" spans="1:5" x14ac:dyDescent="0.3">
      <c r="A20" t="s">
        <v>463</v>
      </c>
      <c r="B20" s="53">
        <v>3</v>
      </c>
    </row>
    <row r="21" spans="1:5" x14ac:dyDescent="0.3">
      <c r="A21" t="s">
        <v>464</v>
      </c>
      <c r="B21" s="53">
        <v>3</v>
      </c>
    </row>
    <row r="22" spans="1:5" x14ac:dyDescent="0.3">
      <c r="A22" s="52" t="s">
        <v>465</v>
      </c>
      <c r="B22" s="54">
        <v>3</v>
      </c>
    </row>
    <row r="23" spans="1:5" x14ac:dyDescent="0.3">
      <c r="A23" s="69" t="s">
        <v>466</v>
      </c>
      <c r="B23" s="72">
        <f>SUM(B20:B22)</f>
        <v>9</v>
      </c>
    </row>
    <row r="25" spans="1:5" ht="28.8" x14ac:dyDescent="0.3">
      <c r="A25" s="150" t="s">
        <v>268</v>
      </c>
      <c r="B25" s="151" t="s">
        <v>269</v>
      </c>
      <c r="C25" s="151" t="s">
        <v>270</v>
      </c>
      <c r="D25" s="151" t="s">
        <v>271</v>
      </c>
    </row>
    <row r="26" spans="1:5" x14ac:dyDescent="0.3">
      <c r="A26" t="s">
        <v>127</v>
      </c>
      <c r="B26" s="53">
        <v>3</v>
      </c>
      <c r="C26" s="53">
        <v>0</v>
      </c>
      <c r="D26" s="53">
        <v>3</v>
      </c>
      <c r="E26" t="s">
        <v>136</v>
      </c>
    </row>
    <row r="27" spans="1:5" x14ac:dyDescent="0.3">
      <c r="A27" t="s">
        <v>128</v>
      </c>
      <c r="B27" s="53">
        <v>3</v>
      </c>
      <c r="C27" s="53">
        <v>2</v>
      </c>
      <c r="D27" s="53">
        <v>3</v>
      </c>
    </row>
    <row r="28" spans="1:5" x14ac:dyDescent="0.3">
      <c r="A28" s="52" t="s">
        <v>129</v>
      </c>
      <c r="B28" s="54">
        <v>3</v>
      </c>
      <c r="C28" s="54">
        <v>2</v>
      </c>
      <c r="D28" s="54">
        <v>3</v>
      </c>
    </row>
    <row r="29" spans="1:5" x14ac:dyDescent="0.3">
      <c r="A29" s="69" t="s">
        <v>260</v>
      </c>
      <c r="B29" s="72">
        <f>SUM(B26:B28)</f>
        <v>9</v>
      </c>
      <c r="C29" s="72">
        <f>SUM(C26:C28)</f>
        <v>4</v>
      </c>
      <c r="D29" s="72">
        <f>SUM(D26:D28)</f>
        <v>9</v>
      </c>
    </row>
    <row r="31" spans="1:5" ht="43.2" x14ac:dyDescent="0.3">
      <c r="A31" s="150" t="s">
        <v>110</v>
      </c>
      <c r="B31" s="151" t="s">
        <v>137</v>
      </c>
      <c r="C31" s="151" t="s">
        <v>154</v>
      </c>
      <c r="D31" s="151" t="s">
        <v>155</v>
      </c>
    </row>
    <row r="32" spans="1:5" x14ac:dyDescent="0.3">
      <c r="A32" t="s">
        <v>116</v>
      </c>
      <c r="B32" s="53">
        <v>3</v>
      </c>
      <c r="C32" s="53">
        <v>3</v>
      </c>
      <c r="D32" s="53">
        <v>3</v>
      </c>
    </row>
    <row r="33" spans="1:8" x14ac:dyDescent="0.3">
      <c r="A33" t="s">
        <v>117</v>
      </c>
      <c r="B33" s="53">
        <v>3</v>
      </c>
      <c r="C33" s="53">
        <v>3</v>
      </c>
      <c r="D33" s="53">
        <v>3</v>
      </c>
    </row>
    <row r="34" spans="1:8" x14ac:dyDescent="0.3">
      <c r="A34" t="s">
        <v>118</v>
      </c>
      <c r="B34" s="53">
        <v>3</v>
      </c>
      <c r="C34" s="53">
        <v>3</v>
      </c>
      <c r="D34" s="53">
        <v>3</v>
      </c>
    </row>
    <row r="35" spans="1:8" x14ac:dyDescent="0.3">
      <c r="A35" t="s">
        <v>119</v>
      </c>
      <c r="B35" s="53">
        <v>3</v>
      </c>
      <c r="C35" s="53">
        <v>3</v>
      </c>
      <c r="D35" s="53">
        <v>3</v>
      </c>
    </row>
    <row r="36" spans="1:8" x14ac:dyDescent="0.3">
      <c r="A36" t="s">
        <v>120</v>
      </c>
      <c r="B36" s="53">
        <v>3</v>
      </c>
      <c r="C36" s="53">
        <v>3</v>
      </c>
      <c r="D36" s="53">
        <v>3</v>
      </c>
    </row>
    <row r="37" spans="1:8" x14ac:dyDescent="0.3">
      <c r="A37" s="70" t="s">
        <v>267</v>
      </c>
      <c r="B37" s="71">
        <f t="shared" ref="B37" si="2">SUM(B32:B36)</f>
        <v>15</v>
      </c>
      <c r="C37" s="71">
        <f>SUM(C32:C36)</f>
        <v>15</v>
      </c>
      <c r="D37" s="71">
        <f t="shared" ref="D37" si="3">SUM(D32:D36)</f>
        <v>15</v>
      </c>
    </row>
    <row r="38" spans="1:8" x14ac:dyDescent="0.3">
      <c r="A38" s="69" t="s">
        <v>702</v>
      </c>
      <c r="B38" s="72">
        <f>COUNTIFS($B$5:$B$7,"=X")*B37</f>
        <v>45</v>
      </c>
      <c r="C38" s="72">
        <f t="shared" ref="C38:D38" si="4">COUNTIFS($B$5:$B$7,"=X")*C37</f>
        <v>45</v>
      </c>
      <c r="D38" s="72">
        <f t="shared" si="4"/>
        <v>45</v>
      </c>
    </row>
    <row r="39" spans="1:8" x14ac:dyDescent="0.3">
      <c r="B39" s="1"/>
    </row>
    <row r="40" spans="1:8" ht="43.2" x14ac:dyDescent="0.3">
      <c r="A40" s="150" t="s">
        <v>111</v>
      </c>
      <c r="B40" s="151" t="s">
        <v>137</v>
      </c>
      <c r="C40" s="151" t="s">
        <v>154</v>
      </c>
      <c r="D40" s="151" t="s">
        <v>155</v>
      </c>
      <c r="F40" s="151" t="s">
        <v>143</v>
      </c>
      <c r="G40" s="151" t="s">
        <v>147</v>
      </c>
      <c r="H40" s="151" t="s">
        <v>148</v>
      </c>
    </row>
    <row r="41" spans="1:8" x14ac:dyDescent="0.3">
      <c r="A41" t="s">
        <v>121</v>
      </c>
      <c r="B41" s="53">
        <v>3</v>
      </c>
      <c r="C41" s="53">
        <v>3</v>
      </c>
      <c r="D41" s="53">
        <v>3</v>
      </c>
      <c r="F41" s="153">
        <v>0.9</v>
      </c>
      <c r="G41" s="153">
        <v>0.9</v>
      </c>
      <c r="H41" s="153">
        <v>0.85</v>
      </c>
    </row>
    <row r="42" spans="1:8" x14ac:dyDescent="0.3">
      <c r="A42" t="s">
        <v>122</v>
      </c>
      <c r="B42" s="53">
        <v>3</v>
      </c>
      <c r="C42" s="53">
        <v>3</v>
      </c>
      <c r="D42" s="53">
        <v>3</v>
      </c>
      <c r="F42" s="153">
        <v>0.8</v>
      </c>
      <c r="G42" s="153">
        <v>0.8</v>
      </c>
      <c r="H42" s="153">
        <v>0.75</v>
      </c>
    </row>
    <row r="43" spans="1:8" x14ac:dyDescent="0.3">
      <c r="A43" t="s">
        <v>123</v>
      </c>
      <c r="B43" s="53">
        <v>3</v>
      </c>
      <c r="C43" s="53">
        <v>3</v>
      </c>
      <c r="D43" s="53">
        <v>3</v>
      </c>
      <c r="F43" s="153">
        <v>0.7</v>
      </c>
      <c r="G43" s="153">
        <v>0.7</v>
      </c>
      <c r="H43" s="153">
        <v>0.65</v>
      </c>
    </row>
    <row r="44" spans="1:8" x14ac:dyDescent="0.3">
      <c r="A44" t="s">
        <v>124</v>
      </c>
      <c r="B44" s="53">
        <v>3</v>
      </c>
      <c r="C44" s="53">
        <v>3</v>
      </c>
      <c r="D44" s="53">
        <v>3</v>
      </c>
      <c r="F44" s="153">
        <v>0</v>
      </c>
      <c r="G44" s="153">
        <v>0</v>
      </c>
      <c r="H44" s="153">
        <v>0</v>
      </c>
    </row>
    <row r="45" spans="1:8" x14ac:dyDescent="0.3">
      <c r="A45" s="70" t="s">
        <v>267</v>
      </c>
      <c r="B45" s="71">
        <f>SUM(B41:B44)</f>
        <v>12</v>
      </c>
      <c r="C45" s="71">
        <f t="shared" ref="C45:D45" si="5">SUM(C41:C44)</f>
        <v>12</v>
      </c>
      <c r="D45" s="71">
        <f t="shared" si="5"/>
        <v>12</v>
      </c>
    </row>
    <row r="46" spans="1:8" x14ac:dyDescent="0.3">
      <c r="A46" s="69" t="s">
        <v>702</v>
      </c>
      <c r="B46" s="72">
        <f>COUNTIFS($B$5:$B$7,"=X")*B45</f>
        <v>36</v>
      </c>
      <c r="C46" s="72">
        <f t="shared" ref="C46" si="6">COUNTIFS($B$5:$B$7,"=X")*C45</f>
        <v>36</v>
      </c>
      <c r="D46" s="72">
        <f t="shared" ref="D46" si="7">COUNTIFS($B$5:$B$7,"=X")*D45</f>
        <v>36</v>
      </c>
    </row>
    <row r="48" spans="1:8" ht="28.8" x14ac:dyDescent="0.3">
      <c r="A48" s="150" t="s">
        <v>265</v>
      </c>
      <c r="B48" s="151" t="s">
        <v>269</v>
      </c>
      <c r="C48" s="151" t="s">
        <v>270</v>
      </c>
      <c r="D48" s="151" t="s">
        <v>271</v>
      </c>
    </row>
    <row r="49" spans="1:4" x14ac:dyDescent="0.3">
      <c r="A49" t="s">
        <v>116</v>
      </c>
      <c r="B49" s="53">
        <v>3</v>
      </c>
      <c r="C49" s="53">
        <v>2</v>
      </c>
      <c r="D49" s="53">
        <v>3</v>
      </c>
    </row>
    <row r="50" spans="1:4" x14ac:dyDescent="0.3">
      <c r="A50" t="s">
        <v>117</v>
      </c>
      <c r="B50" s="53">
        <v>3</v>
      </c>
      <c r="C50" s="53">
        <v>2</v>
      </c>
      <c r="D50" s="53">
        <v>3</v>
      </c>
    </row>
    <row r="51" spans="1:4" x14ac:dyDescent="0.3">
      <c r="A51" t="s">
        <v>118</v>
      </c>
      <c r="B51" s="53">
        <v>3</v>
      </c>
      <c r="C51" s="53">
        <v>2</v>
      </c>
      <c r="D51" s="53">
        <v>3</v>
      </c>
    </row>
    <row r="52" spans="1:4" x14ac:dyDescent="0.3">
      <c r="A52" t="s">
        <v>119</v>
      </c>
      <c r="B52" s="53">
        <v>3</v>
      </c>
      <c r="C52" s="53">
        <v>2</v>
      </c>
      <c r="D52" s="53">
        <v>3</v>
      </c>
    </row>
    <row r="53" spans="1:4" x14ac:dyDescent="0.3">
      <c r="A53" t="s">
        <v>266</v>
      </c>
      <c r="B53" s="53">
        <v>3</v>
      </c>
      <c r="C53" s="53">
        <v>2</v>
      </c>
      <c r="D53" s="53">
        <v>3</v>
      </c>
    </row>
    <row r="54" spans="1:4" x14ac:dyDescent="0.3">
      <c r="A54" t="s">
        <v>120</v>
      </c>
      <c r="B54" s="53">
        <v>3</v>
      </c>
      <c r="C54" s="53">
        <v>0</v>
      </c>
      <c r="D54" s="53">
        <v>3</v>
      </c>
    </row>
    <row r="55" spans="1:4" x14ac:dyDescent="0.3">
      <c r="A55" s="70" t="s">
        <v>267</v>
      </c>
      <c r="B55" s="71">
        <f>SUM(B49:B54)</f>
        <v>18</v>
      </c>
      <c r="C55" s="71">
        <f t="shared" ref="C55:D55" si="8">SUM(C49:C54)</f>
        <v>10</v>
      </c>
      <c r="D55" s="71">
        <f t="shared" si="8"/>
        <v>18</v>
      </c>
    </row>
    <row r="56" spans="1:4" x14ac:dyDescent="0.3">
      <c r="A56" s="69" t="s">
        <v>702</v>
      </c>
      <c r="B56" s="72">
        <f>B55*3</f>
        <v>54</v>
      </c>
      <c r="C56" s="72">
        <f>C55*5</f>
        <v>50</v>
      </c>
      <c r="D56" s="72">
        <f t="shared" ref="D56" si="9">D55*3</f>
        <v>54</v>
      </c>
    </row>
    <row r="57" spans="1:4" ht="15" thickBot="1" x14ac:dyDescent="0.35"/>
    <row r="58" spans="1:4" ht="29.4" thickBot="1" x14ac:dyDescent="0.35">
      <c r="A58" s="251" t="s">
        <v>336</v>
      </c>
      <c r="B58" s="252" t="s">
        <v>265</v>
      </c>
      <c r="C58" s="252" t="s">
        <v>884</v>
      </c>
    </row>
    <row r="59" spans="1:4" x14ac:dyDescent="0.3">
      <c r="A59" s="101"/>
      <c r="B59" s="249"/>
      <c r="C59" s="101"/>
    </row>
    <row r="60" spans="1:4" x14ac:dyDescent="0.3">
      <c r="A60" s="102" t="s">
        <v>342</v>
      </c>
      <c r="B60" s="249" t="s">
        <v>120</v>
      </c>
      <c r="C60" s="102" t="s">
        <v>116</v>
      </c>
    </row>
    <row r="61" spans="1:4" x14ac:dyDescent="0.3">
      <c r="A61" s="102" t="s">
        <v>348</v>
      </c>
      <c r="B61" s="249" t="s">
        <v>120</v>
      </c>
      <c r="C61" s="102" t="s">
        <v>117</v>
      </c>
    </row>
    <row r="62" spans="1:4" x14ac:dyDescent="0.3">
      <c r="A62" s="102" t="s">
        <v>354</v>
      </c>
      <c r="B62" s="249" t="s">
        <v>120</v>
      </c>
      <c r="C62" s="102" t="s">
        <v>118</v>
      </c>
    </row>
    <row r="63" spans="1:4" x14ac:dyDescent="0.3">
      <c r="A63" s="102" t="s">
        <v>338</v>
      </c>
      <c r="B63" s="249" t="s">
        <v>117</v>
      </c>
      <c r="C63" s="102" t="s">
        <v>119</v>
      </c>
    </row>
    <row r="64" spans="1:4" x14ac:dyDescent="0.3">
      <c r="A64" s="102" t="s">
        <v>344</v>
      </c>
      <c r="B64" s="249" t="s">
        <v>117</v>
      </c>
      <c r="C64" s="102" t="s">
        <v>266</v>
      </c>
    </row>
    <row r="65" spans="1:3" x14ac:dyDescent="0.3">
      <c r="A65" s="102" t="s">
        <v>350</v>
      </c>
      <c r="B65" s="249" t="s">
        <v>117</v>
      </c>
      <c r="C65" s="102" t="s">
        <v>120</v>
      </c>
    </row>
    <row r="66" spans="1:3" ht="15" thickBot="1" x14ac:dyDescent="0.35">
      <c r="A66" s="102" t="s">
        <v>339</v>
      </c>
      <c r="B66" s="249" t="s">
        <v>118</v>
      </c>
      <c r="C66" s="103" t="s">
        <v>883</v>
      </c>
    </row>
    <row r="67" spans="1:3" x14ac:dyDescent="0.3">
      <c r="A67" s="102" t="s">
        <v>345</v>
      </c>
      <c r="B67" s="249" t="s">
        <v>118</v>
      </c>
    </row>
    <row r="68" spans="1:3" x14ac:dyDescent="0.3">
      <c r="A68" s="102" t="s">
        <v>351</v>
      </c>
      <c r="B68" s="249" t="s">
        <v>118</v>
      </c>
    </row>
    <row r="69" spans="1:3" x14ac:dyDescent="0.3">
      <c r="A69" s="102" t="s">
        <v>337</v>
      </c>
      <c r="B69" s="249" t="s">
        <v>116</v>
      </c>
    </row>
    <row r="70" spans="1:3" x14ac:dyDescent="0.3">
      <c r="A70" s="102" t="s">
        <v>343</v>
      </c>
      <c r="B70" s="249" t="s">
        <v>116</v>
      </c>
    </row>
    <row r="71" spans="1:3" x14ac:dyDescent="0.3">
      <c r="A71" s="102" t="s">
        <v>349</v>
      </c>
      <c r="B71" s="249" t="s">
        <v>116</v>
      </c>
    </row>
    <row r="72" spans="1:3" x14ac:dyDescent="0.3">
      <c r="A72" s="102" t="s">
        <v>341</v>
      </c>
      <c r="B72" s="249" t="s">
        <v>266</v>
      </c>
    </row>
    <row r="73" spans="1:3" x14ac:dyDescent="0.3">
      <c r="A73" s="102" t="s">
        <v>347</v>
      </c>
      <c r="B73" s="249" t="s">
        <v>266</v>
      </c>
    </row>
    <row r="74" spans="1:3" x14ac:dyDescent="0.3">
      <c r="A74" s="102" t="s">
        <v>353</v>
      </c>
      <c r="B74" s="249" t="s">
        <v>266</v>
      </c>
    </row>
    <row r="75" spans="1:3" x14ac:dyDescent="0.3">
      <c r="A75" s="102" t="s">
        <v>762</v>
      </c>
      <c r="B75" s="249" t="s">
        <v>883</v>
      </c>
    </row>
    <row r="76" spans="1:3" x14ac:dyDescent="0.3">
      <c r="A76" s="102" t="s">
        <v>340</v>
      </c>
      <c r="B76" s="249" t="s">
        <v>119</v>
      </c>
    </row>
    <row r="77" spans="1:3" x14ac:dyDescent="0.3">
      <c r="A77" s="102" t="s">
        <v>346</v>
      </c>
      <c r="B77" s="249" t="s">
        <v>119</v>
      </c>
    </row>
    <row r="78" spans="1:3" ht="15" thickBot="1" x14ac:dyDescent="0.35">
      <c r="A78" s="103" t="s">
        <v>352</v>
      </c>
      <c r="B78" s="250" t="s">
        <v>119</v>
      </c>
    </row>
    <row r="79" spans="1:3" ht="15" thickBot="1" x14ac:dyDescent="0.35"/>
    <row r="80" spans="1:3" ht="29.4" thickBot="1" x14ac:dyDescent="0.35">
      <c r="A80" s="253" t="s">
        <v>357</v>
      </c>
      <c r="B80" s="254" t="s">
        <v>358</v>
      </c>
    </row>
    <row r="81" spans="1:2" x14ac:dyDescent="0.3">
      <c r="A81" s="248"/>
      <c r="B81" s="101"/>
    </row>
    <row r="82" spans="1:2" x14ac:dyDescent="0.3">
      <c r="A82" s="249">
        <v>1</v>
      </c>
      <c r="B82" s="102">
        <v>1</v>
      </c>
    </row>
    <row r="83" spans="1:2" x14ac:dyDescent="0.3">
      <c r="A83" s="249">
        <v>2</v>
      </c>
      <c r="B83" s="102">
        <v>2</v>
      </c>
    </row>
    <row r="84" spans="1:2" ht="15" thickBot="1" x14ac:dyDescent="0.35">
      <c r="A84" s="250">
        <v>3</v>
      </c>
      <c r="B84" s="102">
        <v>3</v>
      </c>
    </row>
    <row r="85" spans="1:2" x14ac:dyDescent="0.3">
      <c r="B85" s="102">
        <v>4</v>
      </c>
    </row>
    <row r="86" spans="1:2" ht="15" thickBot="1" x14ac:dyDescent="0.35">
      <c r="B86" s="103">
        <v>5</v>
      </c>
    </row>
    <row r="90" spans="1:2" ht="15" thickBot="1" x14ac:dyDescent="0.35">
      <c r="A90" s="69" t="s">
        <v>369</v>
      </c>
    </row>
    <row r="91" spans="1:2" x14ac:dyDescent="0.3">
      <c r="A91" s="101" t="s">
        <v>322</v>
      </c>
    </row>
    <row r="92" spans="1:2" x14ac:dyDescent="0.3">
      <c r="A92" s="102" t="s">
        <v>321</v>
      </c>
    </row>
    <row r="93" spans="1:2" x14ac:dyDescent="0.3">
      <c r="A93" s="102" t="s">
        <v>307</v>
      </c>
    </row>
    <row r="94" spans="1:2" x14ac:dyDescent="0.3">
      <c r="A94" s="102" t="s">
        <v>323</v>
      </c>
    </row>
    <row r="95" spans="1:2" x14ac:dyDescent="0.3">
      <c r="A95" s="102" t="s">
        <v>319</v>
      </c>
    </row>
    <row r="96" spans="1:2" x14ac:dyDescent="0.3">
      <c r="A96" s="102" t="s">
        <v>320</v>
      </c>
    </row>
    <row r="97" spans="1:3" x14ac:dyDescent="0.3">
      <c r="A97" s="102"/>
    </row>
    <row r="98" spans="1:3" x14ac:dyDescent="0.3">
      <c r="A98" s="102"/>
    </row>
    <row r="99" spans="1:3" x14ac:dyDescent="0.3">
      <c r="A99" s="102"/>
    </row>
    <row r="100" spans="1:3" x14ac:dyDescent="0.3">
      <c r="A100" s="102"/>
    </row>
    <row r="101" spans="1:3" x14ac:dyDescent="0.3">
      <c r="A101" s="102"/>
    </row>
    <row r="102" spans="1:3" x14ac:dyDescent="0.3">
      <c r="A102" s="102"/>
    </row>
    <row r="103" spans="1:3" x14ac:dyDescent="0.3">
      <c r="A103" s="102"/>
    </row>
    <row r="104" spans="1:3" ht="15" thickBot="1" x14ac:dyDescent="0.35">
      <c r="A104" s="103"/>
    </row>
    <row r="106" spans="1:3" ht="15" thickBot="1" x14ac:dyDescent="0.35"/>
    <row r="107" spans="1:3" x14ac:dyDescent="0.3">
      <c r="A107" s="101" t="s">
        <v>704</v>
      </c>
      <c r="B107" s="101" t="s">
        <v>705</v>
      </c>
      <c r="C107" s="101" t="s">
        <v>706</v>
      </c>
    </row>
    <row r="108" spans="1:3" x14ac:dyDescent="0.3">
      <c r="A108" s="234" t="s">
        <v>763</v>
      </c>
      <c r="B108" s="234" t="s">
        <v>763</v>
      </c>
      <c r="C108" s="234" t="s">
        <v>763</v>
      </c>
    </row>
    <row r="109" spans="1:3" x14ac:dyDescent="0.3">
      <c r="A109" s="234" t="s">
        <v>764</v>
      </c>
      <c r="B109" s="234" t="s">
        <v>768</v>
      </c>
      <c r="C109" s="234"/>
    </row>
    <row r="110" spans="1:3" x14ac:dyDescent="0.3">
      <c r="A110" s="234" t="s">
        <v>765</v>
      </c>
      <c r="B110" s="234" t="s">
        <v>769</v>
      </c>
      <c r="C110" s="234"/>
    </row>
    <row r="111" spans="1:3" x14ac:dyDescent="0.3">
      <c r="A111" s="234" t="s">
        <v>766</v>
      </c>
      <c r="B111" s="234" t="s">
        <v>770</v>
      </c>
      <c r="C111" s="234"/>
    </row>
    <row r="112" spans="1:3" x14ac:dyDescent="0.3">
      <c r="A112" s="234" t="s">
        <v>767</v>
      </c>
      <c r="B112" s="234" t="s">
        <v>771</v>
      </c>
      <c r="C112" s="234"/>
    </row>
    <row r="113" spans="1:3" x14ac:dyDescent="0.3">
      <c r="A113" s="234"/>
      <c r="B113" s="234" t="s">
        <v>767</v>
      </c>
      <c r="C113" s="234"/>
    </row>
    <row r="114" spans="1:3" x14ac:dyDescent="0.3">
      <c r="A114" s="234"/>
      <c r="B114" s="234" t="s">
        <v>772</v>
      </c>
      <c r="C114" s="234"/>
    </row>
    <row r="115" spans="1:3" x14ac:dyDescent="0.3">
      <c r="A115" s="234"/>
      <c r="B115" s="234"/>
      <c r="C115" s="234"/>
    </row>
    <row r="116" spans="1:3" x14ac:dyDescent="0.3">
      <c r="A116" s="234"/>
      <c r="B116" s="234"/>
      <c r="C116" s="234"/>
    </row>
    <row r="117" spans="1:3" ht="15" thickBot="1" x14ac:dyDescent="0.35">
      <c r="A117" s="235"/>
      <c r="B117" s="235"/>
      <c r="C117" s="235"/>
    </row>
  </sheetData>
  <sortState xmlns:xlrd2="http://schemas.microsoft.com/office/spreadsheetml/2017/richdata2" ref="A60:A78">
    <sortCondition ref="A60:A7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5F18-C946-469C-B0FB-9A0BFCD56825}">
  <dimension ref="A1:J5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7" sqref="C7"/>
    </sheetView>
  </sheetViews>
  <sheetFormatPr defaultRowHeight="14.4" x14ac:dyDescent="0.3"/>
  <cols>
    <col min="1" max="1" width="7.44140625" bestFit="1" customWidth="1"/>
    <col min="2" max="2" width="28.77734375" customWidth="1"/>
    <col min="3" max="3" width="29.6640625" customWidth="1"/>
    <col min="4" max="4" width="22.21875" customWidth="1"/>
    <col min="5" max="5" width="39.77734375" customWidth="1"/>
    <col min="6" max="6" width="16.33203125" customWidth="1"/>
    <col min="7" max="7" width="8.44140625" customWidth="1"/>
    <col min="8" max="8" width="9.109375" customWidth="1"/>
    <col min="9" max="9" width="14.77734375" customWidth="1"/>
    <col min="10" max="10" width="14.109375" customWidth="1"/>
  </cols>
  <sheetData>
    <row r="1" spans="1:10" ht="43.2" x14ac:dyDescent="0.3">
      <c r="A1" s="150" t="s">
        <v>392</v>
      </c>
      <c r="B1" s="150" t="s">
        <v>304</v>
      </c>
      <c r="C1" s="150" t="s">
        <v>393</v>
      </c>
      <c r="D1" s="150" t="s">
        <v>394</v>
      </c>
      <c r="E1" s="150" t="s">
        <v>395</v>
      </c>
      <c r="F1" s="150" t="s">
        <v>397</v>
      </c>
      <c r="G1" s="150" t="s">
        <v>398</v>
      </c>
      <c r="H1" s="150" t="s">
        <v>399</v>
      </c>
      <c r="I1" s="150" t="s">
        <v>396</v>
      </c>
      <c r="J1" s="151" t="s">
        <v>774</v>
      </c>
    </row>
    <row r="2" spans="1:10" x14ac:dyDescent="0.3">
      <c r="A2" s="88" t="s">
        <v>400</v>
      </c>
      <c r="B2" s="88" t="s">
        <v>307</v>
      </c>
      <c r="C2" s="88" t="s">
        <v>781</v>
      </c>
      <c r="D2" s="237" t="s">
        <v>780</v>
      </c>
      <c r="E2" s="88" t="s">
        <v>779</v>
      </c>
      <c r="F2" s="88" t="s">
        <v>778</v>
      </c>
      <c r="G2" s="88" t="s">
        <v>777</v>
      </c>
      <c r="H2" s="88">
        <v>80122</v>
      </c>
      <c r="I2" s="88" t="s">
        <v>776</v>
      </c>
      <c r="J2" s="88" t="s">
        <v>775</v>
      </c>
    </row>
    <row r="3" spans="1:10" x14ac:dyDescent="0.3">
      <c r="A3" s="88" t="s">
        <v>401</v>
      </c>
      <c r="B3" s="88" t="s">
        <v>319</v>
      </c>
      <c r="C3" s="88"/>
      <c r="D3" s="88"/>
      <c r="E3" s="88"/>
      <c r="F3" s="88"/>
      <c r="G3" s="88"/>
      <c r="H3" s="88"/>
      <c r="I3" s="88"/>
      <c r="J3" s="88"/>
    </row>
    <row r="4" spans="1:10" x14ac:dyDescent="0.3">
      <c r="A4" s="88" t="s">
        <v>402</v>
      </c>
      <c r="B4" s="88"/>
      <c r="C4" s="88"/>
      <c r="D4" s="88"/>
      <c r="E4" s="88"/>
      <c r="F4" s="88"/>
      <c r="G4" s="88"/>
      <c r="H4" s="88"/>
      <c r="I4" s="88"/>
      <c r="J4" s="88"/>
    </row>
    <row r="5" spans="1:10" x14ac:dyDescent="0.3">
      <c r="A5" s="88" t="s">
        <v>403</v>
      </c>
      <c r="B5" s="88"/>
      <c r="C5" s="88"/>
      <c r="D5" s="88"/>
      <c r="E5" s="88"/>
      <c r="F5" s="88"/>
      <c r="G5" s="88"/>
      <c r="H5" s="88"/>
      <c r="I5" s="88"/>
      <c r="J5" s="88"/>
    </row>
    <row r="6" spans="1:10" x14ac:dyDescent="0.3">
      <c r="A6" s="88" t="s">
        <v>404</v>
      </c>
      <c r="B6" s="88"/>
      <c r="C6" s="88"/>
      <c r="D6" s="88"/>
      <c r="E6" s="88"/>
      <c r="F6" s="88"/>
      <c r="G6" s="88"/>
      <c r="H6" s="88"/>
      <c r="I6" s="88"/>
      <c r="J6" s="88"/>
    </row>
    <row r="7" spans="1:10" x14ac:dyDescent="0.3">
      <c r="A7" s="88" t="s">
        <v>405</v>
      </c>
      <c r="B7" s="88"/>
      <c r="C7" s="88"/>
      <c r="D7" s="88"/>
      <c r="E7" s="88"/>
      <c r="F7" s="88"/>
      <c r="G7" s="88"/>
      <c r="H7" s="88"/>
      <c r="I7" s="88"/>
      <c r="J7" s="88"/>
    </row>
    <row r="8" spans="1:10" x14ac:dyDescent="0.3">
      <c r="A8" s="88" t="s">
        <v>406</v>
      </c>
      <c r="B8" s="88"/>
      <c r="C8" s="88"/>
      <c r="D8" s="88"/>
      <c r="E8" s="88"/>
      <c r="F8" s="88"/>
      <c r="G8" s="88"/>
      <c r="H8" s="88"/>
      <c r="I8" s="88"/>
      <c r="J8" s="88"/>
    </row>
    <row r="9" spans="1:10" x14ac:dyDescent="0.3">
      <c r="A9" s="88" t="s">
        <v>407</v>
      </c>
      <c r="B9" s="88"/>
      <c r="C9" s="88"/>
      <c r="D9" s="88"/>
      <c r="E9" s="88"/>
      <c r="F9" s="88"/>
      <c r="G9" s="88"/>
      <c r="H9" s="88"/>
      <c r="I9" s="88"/>
      <c r="J9" s="88"/>
    </row>
    <row r="10" spans="1:10" x14ac:dyDescent="0.3">
      <c r="A10" s="88" t="s">
        <v>408</v>
      </c>
      <c r="B10" s="88"/>
      <c r="C10" s="88"/>
      <c r="D10" s="88"/>
      <c r="E10" s="88"/>
      <c r="F10" s="88"/>
      <c r="G10" s="88"/>
      <c r="H10" s="88"/>
      <c r="I10" s="88"/>
      <c r="J10" s="88"/>
    </row>
    <row r="11" spans="1:10" x14ac:dyDescent="0.3">
      <c r="A11" s="88" t="s">
        <v>409</v>
      </c>
      <c r="B11" s="88"/>
      <c r="C11" s="88"/>
      <c r="D11" s="88"/>
      <c r="E11" s="88"/>
      <c r="F11" s="88"/>
      <c r="G11" s="88"/>
      <c r="H11" s="88"/>
      <c r="I11" s="88"/>
      <c r="J11" s="88"/>
    </row>
    <row r="12" spans="1:10" x14ac:dyDescent="0.3">
      <c r="A12" s="88" t="s">
        <v>410</v>
      </c>
      <c r="B12" s="88"/>
      <c r="C12" s="88"/>
      <c r="D12" s="88"/>
      <c r="E12" s="88"/>
      <c r="F12" s="88"/>
      <c r="G12" s="88"/>
      <c r="H12" s="88"/>
      <c r="I12" s="88"/>
      <c r="J12" s="88"/>
    </row>
    <row r="13" spans="1:10" x14ac:dyDescent="0.3">
      <c r="A13" s="88" t="s">
        <v>411</v>
      </c>
      <c r="B13" s="88"/>
      <c r="C13" s="88"/>
      <c r="D13" s="88"/>
      <c r="E13" s="88"/>
      <c r="F13" s="88"/>
      <c r="G13" s="88"/>
      <c r="H13" s="88"/>
      <c r="I13" s="88"/>
      <c r="J13" s="88"/>
    </row>
    <row r="14" spans="1:10" x14ac:dyDescent="0.3">
      <c r="A14" s="88" t="s">
        <v>412</v>
      </c>
      <c r="B14" s="88"/>
      <c r="C14" s="88"/>
      <c r="D14" s="88"/>
      <c r="E14" s="88"/>
      <c r="F14" s="88"/>
      <c r="G14" s="88"/>
      <c r="H14" s="88"/>
      <c r="I14" s="88"/>
      <c r="J14" s="88"/>
    </row>
    <row r="15" spans="1:10" x14ac:dyDescent="0.3">
      <c r="A15" s="88" t="s">
        <v>413</v>
      </c>
      <c r="B15" s="88"/>
      <c r="C15" s="88"/>
      <c r="D15" s="88"/>
      <c r="E15" s="88"/>
      <c r="F15" s="88"/>
      <c r="G15" s="88"/>
      <c r="H15" s="88"/>
      <c r="I15" s="88"/>
      <c r="J15" s="88"/>
    </row>
    <row r="16" spans="1:10" x14ac:dyDescent="0.3">
      <c r="A16" s="88" t="s">
        <v>414</v>
      </c>
      <c r="B16" s="88"/>
      <c r="C16" s="88"/>
      <c r="D16" s="88"/>
      <c r="E16" s="88"/>
      <c r="F16" s="88"/>
      <c r="G16" s="88"/>
      <c r="H16" s="88"/>
      <c r="I16" s="88"/>
      <c r="J16" s="88"/>
    </row>
    <row r="17" spans="1:10" x14ac:dyDescent="0.3">
      <c r="A17" s="88" t="s">
        <v>415</v>
      </c>
      <c r="B17" s="88"/>
      <c r="C17" s="88"/>
      <c r="D17" s="88"/>
      <c r="E17" s="88"/>
      <c r="F17" s="88"/>
      <c r="G17" s="88"/>
      <c r="H17" s="88"/>
      <c r="I17" s="88"/>
      <c r="J17" s="88"/>
    </row>
    <row r="18" spans="1:10" x14ac:dyDescent="0.3">
      <c r="A18" s="88" t="s">
        <v>416</v>
      </c>
      <c r="B18" s="88"/>
      <c r="C18" s="88"/>
      <c r="D18" s="88"/>
      <c r="E18" s="88"/>
      <c r="F18" s="88"/>
      <c r="G18" s="88"/>
      <c r="H18" s="88"/>
      <c r="I18" s="88"/>
      <c r="J18" s="88"/>
    </row>
    <row r="19" spans="1:10" x14ac:dyDescent="0.3">
      <c r="A19" s="88" t="s">
        <v>417</v>
      </c>
      <c r="B19" s="88"/>
      <c r="C19" s="88"/>
      <c r="D19" s="88"/>
      <c r="E19" s="88"/>
      <c r="F19" s="88"/>
      <c r="G19" s="88"/>
      <c r="H19" s="88"/>
      <c r="I19" s="88"/>
      <c r="J19" s="88"/>
    </row>
    <row r="20" spans="1:10" x14ac:dyDescent="0.3">
      <c r="A20" s="88" t="s">
        <v>418</v>
      </c>
      <c r="B20" s="88"/>
      <c r="C20" s="88"/>
      <c r="D20" s="88"/>
      <c r="E20" s="88"/>
      <c r="F20" s="88"/>
      <c r="G20" s="88"/>
      <c r="H20" s="88"/>
      <c r="I20" s="88"/>
      <c r="J20" s="88"/>
    </row>
    <row r="21" spans="1:10" x14ac:dyDescent="0.3">
      <c r="A21" s="88" t="s">
        <v>419</v>
      </c>
      <c r="B21" s="88"/>
      <c r="C21" s="88"/>
      <c r="D21" s="88"/>
      <c r="E21" s="88"/>
      <c r="F21" s="88"/>
      <c r="G21" s="88"/>
      <c r="H21" s="88"/>
      <c r="I21" s="88"/>
      <c r="J21" s="88"/>
    </row>
    <row r="22" spans="1:10" x14ac:dyDescent="0.3">
      <c r="A22" s="88" t="s">
        <v>420</v>
      </c>
      <c r="B22" s="88"/>
      <c r="C22" s="88"/>
      <c r="D22" s="88"/>
      <c r="E22" s="88"/>
      <c r="F22" s="88"/>
      <c r="G22" s="88"/>
      <c r="H22" s="88"/>
      <c r="I22" s="88"/>
      <c r="J22" s="88"/>
    </row>
    <row r="23" spans="1:10" x14ac:dyDescent="0.3">
      <c r="A23" s="88" t="s">
        <v>421</v>
      </c>
      <c r="B23" s="88"/>
      <c r="C23" s="88"/>
      <c r="D23" s="88"/>
      <c r="E23" s="88"/>
      <c r="F23" s="88"/>
      <c r="G23" s="88"/>
      <c r="H23" s="88"/>
      <c r="I23" s="88"/>
      <c r="J23" s="88"/>
    </row>
    <row r="24" spans="1:10" x14ac:dyDescent="0.3">
      <c r="A24" s="88" t="s">
        <v>422</v>
      </c>
      <c r="B24" s="88"/>
      <c r="C24" s="88"/>
      <c r="D24" s="88"/>
      <c r="E24" s="88"/>
      <c r="F24" s="88"/>
      <c r="G24" s="88"/>
      <c r="H24" s="88"/>
      <c r="I24" s="88"/>
      <c r="J24" s="88"/>
    </row>
    <row r="25" spans="1:10" x14ac:dyDescent="0.3">
      <c r="A25" s="88" t="s">
        <v>423</v>
      </c>
      <c r="B25" s="88"/>
      <c r="C25" s="88"/>
      <c r="D25" s="88"/>
      <c r="E25" s="88"/>
      <c r="F25" s="88"/>
      <c r="G25" s="88"/>
      <c r="H25" s="88"/>
      <c r="I25" s="88"/>
      <c r="J25" s="88"/>
    </row>
    <row r="26" spans="1:10" x14ac:dyDescent="0.3">
      <c r="A26" s="88" t="s">
        <v>424</v>
      </c>
      <c r="B26" s="88"/>
      <c r="C26" s="88"/>
      <c r="D26" s="88"/>
      <c r="E26" s="88"/>
      <c r="F26" s="88"/>
      <c r="G26" s="88"/>
      <c r="H26" s="88"/>
      <c r="I26" s="88"/>
      <c r="J26" s="88"/>
    </row>
    <row r="27" spans="1:10" x14ac:dyDescent="0.3">
      <c r="A27" s="88" t="s">
        <v>425</v>
      </c>
      <c r="B27" s="88"/>
      <c r="C27" s="88"/>
      <c r="D27" s="88"/>
      <c r="E27" s="88"/>
      <c r="F27" s="88"/>
      <c r="G27" s="88"/>
      <c r="H27" s="88"/>
      <c r="I27" s="88"/>
      <c r="J27" s="88"/>
    </row>
    <row r="28" spans="1:10" x14ac:dyDescent="0.3">
      <c r="A28" s="88" t="s">
        <v>426</v>
      </c>
      <c r="B28" s="88"/>
      <c r="C28" s="88"/>
      <c r="D28" s="88"/>
      <c r="E28" s="88"/>
      <c r="F28" s="88"/>
      <c r="G28" s="88"/>
      <c r="H28" s="88"/>
      <c r="I28" s="88"/>
      <c r="J28" s="88"/>
    </row>
    <row r="29" spans="1:10" x14ac:dyDescent="0.3">
      <c r="A29" s="88" t="s">
        <v>427</v>
      </c>
      <c r="B29" s="88"/>
      <c r="C29" s="88"/>
      <c r="D29" s="88"/>
      <c r="E29" s="88"/>
      <c r="F29" s="88"/>
      <c r="G29" s="88"/>
      <c r="H29" s="88"/>
      <c r="I29" s="88"/>
      <c r="J29" s="88"/>
    </row>
    <row r="30" spans="1:10" x14ac:dyDescent="0.3">
      <c r="A30" s="88" t="s">
        <v>428</v>
      </c>
      <c r="B30" s="88"/>
      <c r="C30" s="88"/>
      <c r="D30" s="88"/>
      <c r="E30" s="88"/>
      <c r="F30" s="88"/>
      <c r="G30" s="88"/>
      <c r="H30" s="88"/>
      <c r="I30" s="88"/>
      <c r="J30" s="88"/>
    </row>
    <row r="31" spans="1:10" x14ac:dyDescent="0.3">
      <c r="A31" s="88" t="s">
        <v>429</v>
      </c>
      <c r="B31" s="88"/>
      <c r="C31" s="88"/>
      <c r="D31" s="88"/>
      <c r="E31" s="88"/>
      <c r="F31" s="88"/>
      <c r="G31" s="88"/>
      <c r="H31" s="88"/>
      <c r="I31" s="88"/>
      <c r="J31" s="88"/>
    </row>
    <row r="32" spans="1:10" x14ac:dyDescent="0.3">
      <c r="A32" s="88" t="s">
        <v>430</v>
      </c>
      <c r="B32" s="88"/>
      <c r="C32" s="88"/>
      <c r="D32" s="88"/>
      <c r="E32" s="88"/>
      <c r="F32" s="88"/>
      <c r="G32" s="88"/>
      <c r="H32" s="88"/>
      <c r="I32" s="88"/>
      <c r="J32" s="88"/>
    </row>
    <row r="33" spans="1:10" x14ac:dyDescent="0.3">
      <c r="A33" s="88" t="s">
        <v>431</v>
      </c>
      <c r="B33" s="88"/>
      <c r="C33" s="88"/>
      <c r="D33" s="88"/>
      <c r="E33" s="88"/>
      <c r="F33" s="88"/>
      <c r="G33" s="88"/>
      <c r="H33" s="88"/>
      <c r="I33" s="88"/>
      <c r="J33" s="88"/>
    </row>
    <row r="34" spans="1:10" x14ac:dyDescent="0.3">
      <c r="A34" s="88" t="s">
        <v>432</v>
      </c>
      <c r="B34" s="88"/>
      <c r="C34" s="88"/>
      <c r="D34" s="88"/>
      <c r="E34" s="88"/>
      <c r="F34" s="88"/>
      <c r="G34" s="88"/>
      <c r="H34" s="88"/>
      <c r="I34" s="88"/>
      <c r="J34" s="88"/>
    </row>
    <row r="35" spans="1:10" x14ac:dyDescent="0.3">
      <c r="A35" s="88" t="s">
        <v>433</v>
      </c>
      <c r="B35" s="88"/>
      <c r="C35" s="88"/>
      <c r="D35" s="88"/>
      <c r="E35" s="88"/>
      <c r="F35" s="88"/>
      <c r="G35" s="88"/>
      <c r="H35" s="88"/>
      <c r="I35" s="88"/>
      <c r="J35" s="88"/>
    </row>
    <row r="36" spans="1:10" x14ac:dyDescent="0.3">
      <c r="A36" s="88" t="s">
        <v>434</v>
      </c>
      <c r="B36" s="88"/>
      <c r="C36" s="88"/>
      <c r="D36" s="88"/>
      <c r="E36" s="88"/>
      <c r="F36" s="88"/>
      <c r="G36" s="88"/>
      <c r="H36" s="88"/>
      <c r="I36" s="88"/>
      <c r="J36" s="88"/>
    </row>
    <row r="37" spans="1:10" x14ac:dyDescent="0.3">
      <c r="A37" s="88" t="s">
        <v>435</v>
      </c>
      <c r="B37" s="88"/>
      <c r="C37" s="88"/>
      <c r="D37" s="88"/>
      <c r="E37" s="88"/>
      <c r="F37" s="88"/>
      <c r="G37" s="88"/>
      <c r="H37" s="88"/>
      <c r="I37" s="88"/>
      <c r="J37" s="88"/>
    </row>
    <row r="38" spans="1:10" x14ac:dyDescent="0.3">
      <c r="A38" s="88" t="s">
        <v>436</v>
      </c>
      <c r="B38" s="88"/>
      <c r="C38" s="88"/>
      <c r="D38" s="88"/>
      <c r="E38" s="88"/>
      <c r="F38" s="88"/>
      <c r="G38" s="88"/>
      <c r="H38" s="88"/>
      <c r="I38" s="88"/>
      <c r="J38" s="88"/>
    </row>
    <row r="39" spans="1:10" x14ac:dyDescent="0.3">
      <c r="A39" s="88" t="s">
        <v>437</v>
      </c>
      <c r="B39" s="88"/>
      <c r="C39" s="88"/>
      <c r="D39" s="88"/>
      <c r="E39" s="88"/>
      <c r="F39" s="88"/>
      <c r="G39" s="88"/>
      <c r="H39" s="88"/>
      <c r="I39" s="88"/>
      <c r="J39" s="88"/>
    </row>
    <row r="40" spans="1:10" x14ac:dyDescent="0.3">
      <c r="A40" s="88" t="s">
        <v>438</v>
      </c>
      <c r="B40" s="88"/>
      <c r="C40" s="88"/>
      <c r="D40" s="88"/>
      <c r="E40" s="88"/>
      <c r="F40" s="88"/>
      <c r="G40" s="88"/>
      <c r="H40" s="88"/>
      <c r="I40" s="88"/>
      <c r="J40" s="88"/>
    </row>
    <row r="41" spans="1:10" x14ac:dyDescent="0.3">
      <c r="A41" s="88" t="s">
        <v>439</v>
      </c>
      <c r="B41" s="88"/>
      <c r="C41" s="88"/>
      <c r="D41" s="88"/>
      <c r="E41" s="88"/>
      <c r="F41" s="88"/>
      <c r="G41" s="88"/>
      <c r="H41" s="88"/>
      <c r="I41" s="88"/>
      <c r="J41" s="88"/>
    </row>
    <row r="42" spans="1:10" x14ac:dyDescent="0.3">
      <c r="A42" s="88" t="s">
        <v>440</v>
      </c>
      <c r="B42" s="88"/>
      <c r="C42" s="88"/>
      <c r="D42" s="88"/>
      <c r="E42" s="88"/>
      <c r="F42" s="88"/>
      <c r="G42" s="88"/>
      <c r="H42" s="88"/>
      <c r="I42" s="88"/>
      <c r="J42" s="88"/>
    </row>
    <row r="43" spans="1:10" x14ac:dyDescent="0.3">
      <c r="A43" s="88" t="s">
        <v>441</v>
      </c>
      <c r="B43" s="88"/>
      <c r="C43" s="88"/>
      <c r="D43" s="88"/>
      <c r="E43" s="88"/>
      <c r="F43" s="88"/>
      <c r="G43" s="88"/>
      <c r="H43" s="88"/>
      <c r="I43" s="88"/>
      <c r="J43" s="88"/>
    </row>
    <row r="44" spans="1:10" x14ac:dyDescent="0.3">
      <c r="A44" s="88" t="s">
        <v>442</v>
      </c>
      <c r="B44" s="88"/>
      <c r="C44" s="88"/>
      <c r="D44" s="88"/>
      <c r="E44" s="88"/>
      <c r="F44" s="88"/>
      <c r="G44" s="88"/>
      <c r="H44" s="88"/>
      <c r="I44" s="88"/>
      <c r="J44" s="88"/>
    </row>
    <row r="45" spans="1:10" x14ac:dyDescent="0.3">
      <c r="A45" s="88" t="s">
        <v>443</v>
      </c>
      <c r="B45" s="88"/>
      <c r="C45" s="88"/>
      <c r="D45" s="88"/>
      <c r="E45" s="88"/>
      <c r="F45" s="88"/>
      <c r="G45" s="88"/>
      <c r="H45" s="88"/>
      <c r="I45" s="88"/>
      <c r="J45" s="88"/>
    </row>
    <row r="46" spans="1:10" x14ac:dyDescent="0.3">
      <c r="A46" s="88" t="s">
        <v>444</v>
      </c>
      <c r="B46" s="88"/>
      <c r="C46" s="88"/>
      <c r="D46" s="88"/>
      <c r="E46" s="88"/>
      <c r="F46" s="88"/>
      <c r="G46" s="88"/>
      <c r="H46" s="88"/>
      <c r="I46" s="88"/>
      <c r="J46" s="88"/>
    </row>
    <row r="47" spans="1:10" x14ac:dyDescent="0.3">
      <c r="A47" s="88" t="s">
        <v>445</v>
      </c>
      <c r="B47" s="88"/>
      <c r="C47" s="88"/>
      <c r="D47" s="88"/>
      <c r="E47" s="88"/>
      <c r="F47" s="88"/>
      <c r="G47" s="88"/>
      <c r="H47" s="88"/>
      <c r="I47" s="88"/>
      <c r="J47" s="88"/>
    </row>
    <row r="48" spans="1:10" x14ac:dyDescent="0.3">
      <c r="A48" s="88" t="s">
        <v>446</v>
      </c>
      <c r="B48" s="88"/>
      <c r="C48" s="88"/>
      <c r="D48" s="88"/>
      <c r="E48" s="88"/>
      <c r="F48" s="88"/>
      <c r="G48" s="88"/>
      <c r="H48" s="88"/>
      <c r="I48" s="88"/>
      <c r="J48" s="88"/>
    </row>
    <row r="49" spans="1:10" x14ac:dyDescent="0.3">
      <c r="A49" s="88" t="s">
        <v>447</v>
      </c>
      <c r="B49" s="88"/>
      <c r="C49" s="88"/>
      <c r="D49" s="88"/>
      <c r="E49" s="88"/>
      <c r="F49" s="88"/>
      <c r="G49" s="88"/>
      <c r="H49" s="88"/>
      <c r="I49" s="88"/>
      <c r="J49" s="88"/>
    </row>
    <row r="50" spans="1:10" x14ac:dyDescent="0.3">
      <c r="A50" s="88" t="s">
        <v>448</v>
      </c>
      <c r="B50" s="88"/>
      <c r="C50" s="88"/>
      <c r="D50" s="88"/>
      <c r="E50" s="88"/>
      <c r="F50" s="88"/>
      <c r="G50" s="88"/>
      <c r="H50" s="88"/>
      <c r="I50" s="88"/>
      <c r="J50" s="88"/>
    </row>
    <row r="51" spans="1:10" x14ac:dyDescent="0.3">
      <c r="A51" s="88" t="s">
        <v>449</v>
      </c>
      <c r="B51" s="88"/>
      <c r="C51" s="88"/>
      <c r="D51" s="88"/>
      <c r="E51" s="88"/>
      <c r="F51" s="88"/>
      <c r="G51" s="88"/>
      <c r="H51" s="88"/>
      <c r="I51" s="88"/>
      <c r="J51" s="88"/>
    </row>
  </sheetData>
  <phoneticPr fontId="1" type="noConversion"/>
  <hyperlinks>
    <hyperlink ref="D2" r:id="rId1" xr:uid="{881B15CD-F6A2-41BD-BAB7-233B72B8021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20570-CC8C-46D0-86BB-1DDECF5DB1DF}">
  <dimension ref="A1:O23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F8" sqref="F8"/>
    </sheetView>
  </sheetViews>
  <sheetFormatPr defaultRowHeight="14.4" x14ac:dyDescent="0.3"/>
  <cols>
    <col min="1" max="1" width="9.5546875" bestFit="1" customWidth="1"/>
    <col min="2" max="2" width="10.109375" bestFit="1" customWidth="1"/>
    <col min="3" max="3" width="11.5546875" bestFit="1" customWidth="1"/>
    <col min="4" max="4" width="9.33203125" bestFit="1" customWidth="1"/>
    <col min="5" max="5" width="4" style="1" bestFit="1" customWidth="1"/>
    <col min="6" max="6" width="14.44140625" bestFit="1" customWidth="1"/>
    <col min="7" max="7" width="16.109375" bestFit="1" customWidth="1"/>
    <col min="8" max="8" width="25.5546875" bestFit="1" customWidth="1"/>
    <col min="9" max="9" width="13.6640625" bestFit="1" customWidth="1"/>
    <col min="10" max="12" width="13.6640625" style="1" customWidth="1"/>
    <col min="13" max="13" width="10.6640625" bestFit="1" customWidth="1"/>
    <col min="14" max="14" width="9.5546875" bestFit="1" customWidth="1"/>
    <col min="15" max="15" width="12.88671875" bestFit="1" customWidth="1"/>
  </cols>
  <sheetData>
    <row r="1" spans="1:15" x14ac:dyDescent="0.3">
      <c r="A1" s="150" t="s">
        <v>0</v>
      </c>
      <c r="B1" s="150" t="s">
        <v>2</v>
      </c>
      <c r="C1" s="150" t="s">
        <v>1</v>
      </c>
      <c r="D1" s="150" t="s">
        <v>3</v>
      </c>
      <c r="E1" s="152" t="s">
        <v>115</v>
      </c>
      <c r="F1" s="150" t="s">
        <v>453</v>
      </c>
      <c r="G1" s="150" t="s">
        <v>454</v>
      </c>
      <c r="H1" s="150" t="s">
        <v>318</v>
      </c>
      <c r="I1" s="150" t="s">
        <v>110</v>
      </c>
      <c r="J1" s="152" t="s">
        <v>143</v>
      </c>
      <c r="K1" s="152" t="s">
        <v>147</v>
      </c>
      <c r="L1" s="152" t="s">
        <v>148</v>
      </c>
      <c r="M1" s="150" t="s">
        <v>450</v>
      </c>
      <c r="N1" s="150" t="s">
        <v>451</v>
      </c>
      <c r="O1" s="150" t="s">
        <v>452</v>
      </c>
    </row>
    <row r="2" spans="1:15" x14ac:dyDescent="0.3">
      <c r="A2" s="88" t="s">
        <v>469</v>
      </c>
      <c r="B2" s="88" t="s">
        <v>71</v>
      </c>
      <c r="C2" s="88" t="s">
        <v>710</v>
      </c>
      <c r="D2" s="236">
        <v>40308</v>
      </c>
      <c r="E2" s="96" t="s">
        <v>125</v>
      </c>
      <c r="F2" s="88" t="s">
        <v>782</v>
      </c>
      <c r="G2" t="s">
        <v>783</v>
      </c>
      <c r="H2" s="88" t="s">
        <v>322</v>
      </c>
      <c r="I2" s="88" t="s">
        <v>118</v>
      </c>
      <c r="J2" s="96" t="s">
        <v>325</v>
      </c>
      <c r="K2" s="96" t="s">
        <v>325</v>
      </c>
      <c r="L2" s="96" t="s">
        <v>773</v>
      </c>
      <c r="M2" s="88"/>
      <c r="N2" s="88"/>
      <c r="O2" s="88"/>
    </row>
    <row r="3" spans="1:15" x14ac:dyDescent="0.3">
      <c r="A3" s="88" t="s">
        <v>470</v>
      </c>
      <c r="B3" s="88" t="s">
        <v>83</v>
      </c>
      <c r="C3" s="88" t="s">
        <v>711</v>
      </c>
      <c r="D3" s="88"/>
      <c r="E3" s="96" t="s">
        <v>125</v>
      </c>
      <c r="F3" s="88"/>
      <c r="G3" s="88"/>
      <c r="H3" s="88" t="s">
        <v>322</v>
      </c>
      <c r="I3" s="88" t="s">
        <v>118</v>
      </c>
      <c r="J3" s="96"/>
      <c r="K3" s="96"/>
      <c r="L3" s="96"/>
      <c r="M3" s="88"/>
      <c r="N3" s="88"/>
      <c r="O3" s="88"/>
    </row>
    <row r="4" spans="1:15" x14ac:dyDescent="0.3">
      <c r="A4" s="88" t="s">
        <v>471</v>
      </c>
      <c r="B4" s="88" t="s">
        <v>208</v>
      </c>
      <c r="C4" s="88" t="s">
        <v>712</v>
      </c>
      <c r="D4" s="88"/>
      <c r="E4" s="96" t="s">
        <v>125</v>
      </c>
      <c r="F4" s="88"/>
      <c r="G4" s="88"/>
      <c r="H4" s="88" t="s">
        <v>322</v>
      </c>
      <c r="I4" s="88" t="s">
        <v>118</v>
      </c>
      <c r="J4" s="96"/>
      <c r="K4" s="96"/>
      <c r="L4" s="96"/>
      <c r="M4" s="88"/>
      <c r="N4" s="88"/>
      <c r="O4" s="88"/>
    </row>
    <row r="5" spans="1:15" x14ac:dyDescent="0.3">
      <c r="A5" s="88" t="s">
        <v>472</v>
      </c>
      <c r="B5" s="88" t="s">
        <v>77</v>
      </c>
      <c r="C5" s="88" t="s">
        <v>713</v>
      </c>
      <c r="D5" s="88"/>
      <c r="E5" s="96" t="s">
        <v>126</v>
      </c>
      <c r="F5" s="88"/>
      <c r="G5" s="88"/>
      <c r="H5" s="88" t="s">
        <v>322</v>
      </c>
      <c r="I5" s="88" t="s">
        <v>116</v>
      </c>
      <c r="J5" s="96"/>
      <c r="K5" s="96"/>
      <c r="L5" s="96"/>
      <c r="M5" s="88"/>
      <c r="N5" s="88"/>
      <c r="O5" s="88"/>
    </row>
    <row r="6" spans="1:15" x14ac:dyDescent="0.3">
      <c r="A6" s="88" t="s">
        <v>473</v>
      </c>
      <c r="B6" s="88" t="s">
        <v>214</v>
      </c>
      <c r="C6" s="88" t="s">
        <v>714</v>
      </c>
      <c r="D6" s="88"/>
      <c r="E6" s="96" t="s">
        <v>126</v>
      </c>
      <c r="F6" s="88"/>
      <c r="G6" s="88"/>
      <c r="H6" s="88" t="s">
        <v>322</v>
      </c>
      <c r="I6" s="88" t="s">
        <v>116</v>
      </c>
      <c r="J6" s="96"/>
      <c r="K6" s="96"/>
      <c r="L6" s="96"/>
      <c r="M6" s="88"/>
      <c r="N6" s="88"/>
      <c r="O6" s="88"/>
    </row>
    <row r="7" spans="1:15" x14ac:dyDescent="0.3">
      <c r="A7" s="88" t="s">
        <v>474</v>
      </c>
      <c r="B7" s="88" t="s">
        <v>226</v>
      </c>
      <c r="C7" s="88" t="s">
        <v>715</v>
      </c>
      <c r="D7" s="88"/>
      <c r="E7" s="96" t="s">
        <v>125</v>
      </c>
      <c r="F7" s="88"/>
      <c r="G7" s="88"/>
      <c r="H7" s="88" t="s">
        <v>322</v>
      </c>
      <c r="I7" s="88" t="s">
        <v>116</v>
      </c>
      <c r="J7" s="96"/>
      <c r="K7" s="96"/>
      <c r="L7" s="96"/>
      <c r="M7" s="88"/>
      <c r="N7" s="88"/>
      <c r="O7" s="88"/>
    </row>
    <row r="8" spans="1:15" x14ac:dyDescent="0.3">
      <c r="A8" s="88" t="s">
        <v>475</v>
      </c>
      <c r="B8" s="88" t="s">
        <v>65</v>
      </c>
      <c r="C8" s="88" t="s">
        <v>716</v>
      </c>
      <c r="D8" s="88"/>
      <c r="E8" s="96" t="s">
        <v>125</v>
      </c>
      <c r="F8" s="88"/>
      <c r="G8" s="88"/>
      <c r="H8" s="88" t="s">
        <v>322</v>
      </c>
      <c r="I8" s="88" t="s">
        <v>119</v>
      </c>
      <c r="J8" s="96"/>
      <c r="K8" s="96"/>
      <c r="L8" s="96"/>
      <c r="M8" s="88"/>
      <c r="N8" s="88"/>
      <c r="O8" s="88"/>
    </row>
    <row r="9" spans="1:15" x14ac:dyDescent="0.3">
      <c r="A9" s="88" t="s">
        <v>476</v>
      </c>
      <c r="B9" s="88" t="s">
        <v>220</v>
      </c>
      <c r="C9" s="88" t="s">
        <v>717</v>
      </c>
      <c r="D9" s="88"/>
      <c r="E9" s="96" t="s">
        <v>125</v>
      </c>
      <c r="F9" s="88"/>
      <c r="G9" s="88"/>
      <c r="H9" s="88" t="s">
        <v>322</v>
      </c>
      <c r="I9" s="88" t="s">
        <v>119</v>
      </c>
      <c r="J9" s="96"/>
      <c r="K9" s="96"/>
      <c r="L9" s="96"/>
      <c r="M9" s="88"/>
      <c r="N9" s="88"/>
      <c r="O9" s="88"/>
    </row>
    <row r="10" spans="1:15" x14ac:dyDescent="0.3">
      <c r="A10" s="88" t="s">
        <v>477</v>
      </c>
      <c r="B10" s="88" t="s">
        <v>70</v>
      </c>
      <c r="C10" s="88" t="s">
        <v>718</v>
      </c>
      <c r="D10" s="88"/>
      <c r="E10" s="96" t="s">
        <v>126</v>
      </c>
      <c r="F10" s="88"/>
      <c r="G10" s="88"/>
      <c r="H10" s="88" t="s">
        <v>321</v>
      </c>
      <c r="I10" s="88" t="s">
        <v>117</v>
      </c>
      <c r="J10" s="96"/>
      <c r="K10" s="96"/>
      <c r="L10" s="96"/>
      <c r="M10" s="88"/>
      <c r="N10" s="88"/>
      <c r="O10" s="88"/>
    </row>
    <row r="11" spans="1:15" x14ac:dyDescent="0.3">
      <c r="A11" s="88" t="s">
        <v>478</v>
      </c>
      <c r="B11" s="88" t="s">
        <v>82</v>
      </c>
      <c r="C11" s="88" t="s">
        <v>719</v>
      </c>
      <c r="D11" s="88"/>
      <c r="E11" s="96" t="s">
        <v>125</v>
      </c>
      <c r="F11" s="88"/>
      <c r="G11" s="88"/>
      <c r="H11" s="88" t="s">
        <v>321</v>
      </c>
      <c r="I11" s="88" t="s">
        <v>117</v>
      </c>
      <c r="J11" s="96"/>
      <c r="K11" s="96"/>
      <c r="L11" s="96"/>
      <c r="M11" s="88"/>
      <c r="N11" s="88"/>
      <c r="O11" s="88"/>
    </row>
    <row r="12" spans="1:15" x14ac:dyDescent="0.3">
      <c r="A12" s="88" t="s">
        <v>479</v>
      </c>
      <c r="B12" s="88" t="s">
        <v>213</v>
      </c>
      <c r="C12" s="88" t="s">
        <v>720</v>
      </c>
      <c r="D12" s="88"/>
      <c r="E12" s="96" t="s">
        <v>125</v>
      </c>
      <c r="F12" s="88"/>
      <c r="G12" s="88"/>
      <c r="H12" s="88" t="s">
        <v>321</v>
      </c>
      <c r="I12" s="88" t="s">
        <v>117</v>
      </c>
      <c r="J12" s="96"/>
      <c r="K12" s="96"/>
      <c r="L12" s="96"/>
      <c r="M12" s="88"/>
      <c r="N12" s="88"/>
      <c r="O12" s="88"/>
    </row>
    <row r="13" spans="1:15" x14ac:dyDescent="0.3">
      <c r="A13" s="88" t="s">
        <v>480</v>
      </c>
      <c r="B13" s="88" t="s">
        <v>64</v>
      </c>
      <c r="C13" s="88" t="s">
        <v>721</v>
      </c>
      <c r="D13" s="88"/>
      <c r="E13" s="96" t="s">
        <v>126</v>
      </c>
      <c r="F13" s="88"/>
      <c r="G13" s="88"/>
      <c r="H13" s="88" t="s">
        <v>321</v>
      </c>
      <c r="I13" s="88" t="s">
        <v>119</v>
      </c>
      <c r="J13" s="96"/>
      <c r="K13" s="96"/>
      <c r="L13" s="96"/>
      <c r="M13" s="88"/>
      <c r="N13" s="88"/>
      <c r="O13" s="88"/>
    </row>
    <row r="14" spans="1:15" x14ac:dyDescent="0.3">
      <c r="A14" s="88" t="s">
        <v>481</v>
      </c>
      <c r="B14" s="88" t="s">
        <v>76</v>
      </c>
      <c r="C14" s="88" t="s">
        <v>722</v>
      </c>
      <c r="D14" s="88"/>
      <c r="E14" s="96" t="s">
        <v>125</v>
      </c>
      <c r="F14" s="88"/>
      <c r="G14" s="88"/>
      <c r="H14" s="88" t="s">
        <v>321</v>
      </c>
      <c r="I14" s="88" t="s">
        <v>119</v>
      </c>
      <c r="J14" s="96"/>
      <c r="K14" s="96"/>
      <c r="L14" s="96"/>
      <c r="M14" s="88"/>
      <c r="N14" s="88"/>
      <c r="O14" s="88"/>
    </row>
    <row r="15" spans="1:15" x14ac:dyDescent="0.3">
      <c r="A15" s="88" t="s">
        <v>482</v>
      </c>
      <c r="B15" s="88" t="s">
        <v>207</v>
      </c>
      <c r="C15" s="88" t="s">
        <v>723</v>
      </c>
      <c r="D15" s="88"/>
      <c r="E15" s="96" t="s">
        <v>125</v>
      </c>
      <c r="F15" s="88"/>
      <c r="G15" s="88"/>
      <c r="H15" s="88" t="s">
        <v>321</v>
      </c>
      <c r="I15" s="88" t="s">
        <v>119</v>
      </c>
      <c r="J15" s="96"/>
      <c r="K15" s="96"/>
      <c r="L15" s="96"/>
      <c r="M15" s="88"/>
      <c r="N15" s="88"/>
      <c r="O15" s="88"/>
    </row>
    <row r="16" spans="1:15" x14ac:dyDescent="0.3">
      <c r="A16" s="88" t="s">
        <v>483</v>
      </c>
      <c r="B16" s="88" t="s">
        <v>219</v>
      </c>
      <c r="C16" s="88" t="s">
        <v>724</v>
      </c>
      <c r="D16" s="88"/>
      <c r="E16" s="96" t="s">
        <v>125</v>
      </c>
      <c r="F16" s="88"/>
      <c r="G16" s="88"/>
      <c r="H16" s="88" t="s">
        <v>321</v>
      </c>
      <c r="I16" s="88" t="s">
        <v>119</v>
      </c>
      <c r="J16" s="96"/>
      <c r="K16" s="96"/>
      <c r="L16" s="96"/>
      <c r="M16" s="88"/>
      <c r="N16" s="88"/>
      <c r="O16" s="88"/>
    </row>
    <row r="17" spans="1:15" x14ac:dyDescent="0.3">
      <c r="A17" s="88" t="s">
        <v>484</v>
      </c>
      <c r="B17" s="88" t="s">
        <v>225</v>
      </c>
      <c r="C17" s="88" t="s">
        <v>725</v>
      </c>
      <c r="D17" s="88"/>
      <c r="E17" s="96" t="s">
        <v>125</v>
      </c>
      <c r="F17" s="88"/>
      <c r="G17" s="88"/>
      <c r="H17" s="88" t="s">
        <v>321</v>
      </c>
      <c r="I17" s="88" t="s">
        <v>119</v>
      </c>
      <c r="J17" s="96"/>
      <c r="K17" s="96"/>
      <c r="L17" s="96"/>
      <c r="M17" s="88"/>
      <c r="N17" s="88"/>
      <c r="O17" s="88"/>
    </row>
    <row r="18" spans="1:15" x14ac:dyDescent="0.3">
      <c r="A18" s="88" t="s">
        <v>485</v>
      </c>
      <c r="B18" s="88" t="s">
        <v>67</v>
      </c>
      <c r="C18" s="88" t="s">
        <v>726</v>
      </c>
      <c r="D18" s="88"/>
      <c r="E18" s="96" t="s">
        <v>125</v>
      </c>
      <c r="F18" s="88"/>
      <c r="G18" s="88"/>
      <c r="H18" s="88" t="s">
        <v>307</v>
      </c>
      <c r="I18" s="88" t="s">
        <v>117</v>
      </c>
      <c r="J18" s="96"/>
      <c r="K18" s="96"/>
      <c r="L18" s="96"/>
      <c r="M18" s="88"/>
      <c r="N18" s="88"/>
      <c r="O18" s="88"/>
    </row>
    <row r="19" spans="1:15" x14ac:dyDescent="0.3">
      <c r="A19" s="88" t="s">
        <v>486</v>
      </c>
      <c r="B19" s="88" t="s">
        <v>210</v>
      </c>
      <c r="C19" s="88" t="s">
        <v>727</v>
      </c>
      <c r="D19" s="88"/>
      <c r="E19" s="96" t="s">
        <v>126</v>
      </c>
      <c r="F19" s="88"/>
      <c r="G19" s="88"/>
      <c r="H19" s="88" t="s">
        <v>307</v>
      </c>
      <c r="I19" s="88" t="s">
        <v>117</v>
      </c>
      <c r="J19" s="96"/>
      <c r="K19" s="96"/>
      <c r="L19" s="96"/>
      <c r="M19" s="88"/>
      <c r="N19" s="88"/>
      <c r="O19" s="88"/>
    </row>
    <row r="20" spans="1:15" x14ac:dyDescent="0.3">
      <c r="A20" s="88" t="s">
        <v>487</v>
      </c>
      <c r="B20" s="88" t="s">
        <v>222</v>
      </c>
      <c r="C20" s="88" t="s">
        <v>728</v>
      </c>
      <c r="D20" s="88"/>
      <c r="E20" s="96" t="s">
        <v>126</v>
      </c>
      <c r="F20" s="88"/>
      <c r="G20" s="88"/>
      <c r="H20" s="88" t="s">
        <v>307</v>
      </c>
      <c r="I20" s="88" t="s">
        <v>117</v>
      </c>
      <c r="J20" s="96"/>
      <c r="K20" s="96"/>
      <c r="L20" s="96"/>
      <c r="M20" s="88"/>
      <c r="N20" s="88"/>
      <c r="O20" s="88"/>
    </row>
    <row r="21" spans="1:15" x14ac:dyDescent="0.3">
      <c r="A21" s="88" t="s">
        <v>488</v>
      </c>
      <c r="B21" s="88" t="s">
        <v>73</v>
      </c>
      <c r="C21" s="88" t="s">
        <v>729</v>
      </c>
      <c r="D21" s="88"/>
      <c r="E21" s="96" t="s">
        <v>125</v>
      </c>
      <c r="F21" s="88"/>
      <c r="G21" s="88"/>
      <c r="H21" s="88" t="s">
        <v>307</v>
      </c>
      <c r="I21" s="88" t="s">
        <v>118</v>
      </c>
      <c r="J21" s="96"/>
      <c r="K21" s="96"/>
      <c r="L21" s="96"/>
      <c r="M21" s="88"/>
      <c r="N21" s="88"/>
      <c r="O21" s="88"/>
    </row>
    <row r="22" spans="1:15" x14ac:dyDescent="0.3">
      <c r="A22" s="88" t="s">
        <v>489</v>
      </c>
      <c r="B22" s="88" t="s">
        <v>61</v>
      </c>
      <c r="C22" s="88" t="s">
        <v>730</v>
      </c>
      <c r="D22" s="88"/>
      <c r="E22" s="96" t="s">
        <v>125</v>
      </c>
      <c r="F22" s="88"/>
      <c r="G22" s="88"/>
      <c r="H22" s="88" t="s">
        <v>307</v>
      </c>
      <c r="I22" s="88" t="s">
        <v>116</v>
      </c>
      <c r="J22" s="96"/>
      <c r="K22" s="96"/>
      <c r="L22" s="96"/>
      <c r="M22" s="88"/>
      <c r="N22" s="88"/>
      <c r="O22" s="88"/>
    </row>
    <row r="23" spans="1:15" x14ac:dyDescent="0.3">
      <c r="A23" s="88" t="s">
        <v>490</v>
      </c>
      <c r="B23" s="88" t="s">
        <v>79</v>
      </c>
      <c r="C23" s="88" t="s">
        <v>731</v>
      </c>
      <c r="D23" s="88"/>
      <c r="E23" s="96" t="s">
        <v>125</v>
      </c>
      <c r="F23" s="88"/>
      <c r="G23" s="88"/>
      <c r="H23" s="88" t="s">
        <v>307</v>
      </c>
      <c r="I23" s="88" t="s">
        <v>119</v>
      </c>
      <c r="J23" s="96"/>
      <c r="K23" s="96"/>
      <c r="L23" s="96"/>
      <c r="M23" s="88"/>
      <c r="N23" s="88"/>
      <c r="O23" s="88"/>
    </row>
    <row r="24" spans="1:15" x14ac:dyDescent="0.3">
      <c r="A24" s="88" t="s">
        <v>491</v>
      </c>
      <c r="B24" s="88" t="s">
        <v>204</v>
      </c>
      <c r="C24" s="88" t="s">
        <v>732</v>
      </c>
      <c r="D24" s="88"/>
      <c r="E24" s="96" t="s">
        <v>125</v>
      </c>
      <c r="F24" s="88"/>
      <c r="G24" s="88"/>
      <c r="H24" s="88" t="s">
        <v>307</v>
      </c>
      <c r="I24" s="88" t="s">
        <v>119</v>
      </c>
      <c r="J24" s="96"/>
      <c r="K24" s="96"/>
      <c r="L24" s="96"/>
      <c r="M24" s="88"/>
      <c r="N24" s="88"/>
      <c r="O24" s="88"/>
    </row>
    <row r="25" spans="1:15" x14ac:dyDescent="0.3">
      <c r="A25" s="88" t="s">
        <v>492</v>
      </c>
      <c r="B25" s="88" t="s">
        <v>216</v>
      </c>
      <c r="C25" s="88" t="s">
        <v>733</v>
      </c>
      <c r="D25" s="88"/>
      <c r="E25" s="96" t="s">
        <v>125</v>
      </c>
      <c r="F25" s="88"/>
      <c r="G25" s="88"/>
      <c r="H25" s="88" t="s">
        <v>307</v>
      </c>
      <c r="I25" s="88" t="s">
        <v>119</v>
      </c>
      <c r="J25" s="96"/>
      <c r="K25" s="96"/>
      <c r="L25" s="96"/>
      <c r="M25" s="88"/>
      <c r="N25" s="88"/>
      <c r="O25" s="88"/>
    </row>
    <row r="26" spans="1:15" x14ac:dyDescent="0.3">
      <c r="A26" s="88" t="s">
        <v>493</v>
      </c>
      <c r="B26" s="88" t="s">
        <v>72</v>
      </c>
      <c r="C26" s="88" t="s">
        <v>734</v>
      </c>
      <c r="D26" s="88"/>
      <c r="E26" s="96" t="s">
        <v>125</v>
      </c>
      <c r="F26" s="88"/>
      <c r="G26" s="88"/>
      <c r="H26" s="88" t="s">
        <v>323</v>
      </c>
      <c r="I26" s="88" t="s">
        <v>120</v>
      </c>
      <c r="J26" s="96"/>
      <c r="K26" s="96"/>
      <c r="L26" s="96"/>
      <c r="M26" s="88"/>
      <c r="N26" s="88"/>
      <c r="O26" s="88"/>
    </row>
    <row r="27" spans="1:15" x14ac:dyDescent="0.3">
      <c r="A27" s="88" t="s">
        <v>494</v>
      </c>
      <c r="B27" s="88" t="s">
        <v>78</v>
      </c>
      <c r="C27" s="88" t="s">
        <v>735</v>
      </c>
      <c r="D27" s="88"/>
      <c r="E27" s="96" t="s">
        <v>126</v>
      </c>
      <c r="F27" s="88"/>
      <c r="G27" s="88"/>
      <c r="H27" s="88" t="s">
        <v>323</v>
      </c>
      <c r="I27" s="88" t="s">
        <v>120</v>
      </c>
      <c r="J27" s="96"/>
      <c r="K27" s="96"/>
      <c r="L27" s="96"/>
      <c r="M27" s="88"/>
      <c r="N27" s="88"/>
      <c r="O27" s="88"/>
    </row>
    <row r="28" spans="1:15" x14ac:dyDescent="0.3">
      <c r="A28" s="88" t="s">
        <v>495</v>
      </c>
      <c r="B28" s="88" t="s">
        <v>209</v>
      </c>
      <c r="C28" s="88" t="s">
        <v>736</v>
      </c>
      <c r="D28" s="88"/>
      <c r="E28" s="96" t="s">
        <v>126</v>
      </c>
      <c r="F28" s="88"/>
      <c r="G28" s="88"/>
      <c r="H28" s="88" t="s">
        <v>323</v>
      </c>
      <c r="I28" s="88" t="s">
        <v>120</v>
      </c>
      <c r="J28" s="96"/>
      <c r="K28" s="96"/>
      <c r="L28" s="96"/>
      <c r="M28" s="88"/>
      <c r="N28" s="88"/>
      <c r="O28" s="88"/>
    </row>
    <row r="29" spans="1:15" x14ac:dyDescent="0.3">
      <c r="A29" s="88" t="s">
        <v>496</v>
      </c>
      <c r="B29" s="88" t="s">
        <v>66</v>
      </c>
      <c r="C29" s="88" t="s">
        <v>737</v>
      </c>
      <c r="D29" s="88"/>
      <c r="E29" s="96" t="s">
        <v>125</v>
      </c>
      <c r="F29" s="88"/>
      <c r="G29" s="88"/>
      <c r="H29" s="88" t="s">
        <v>323</v>
      </c>
      <c r="I29" s="88" t="s">
        <v>116</v>
      </c>
      <c r="J29" s="96"/>
      <c r="K29" s="96"/>
      <c r="L29" s="96"/>
      <c r="M29" s="88"/>
      <c r="N29" s="88"/>
      <c r="O29" s="88"/>
    </row>
    <row r="30" spans="1:15" x14ac:dyDescent="0.3">
      <c r="A30" s="88" t="s">
        <v>497</v>
      </c>
      <c r="B30" s="88" t="s">
        <v>84</v>
      </c>
      <c r="C30" s="88" t="s">
        <v>738</v>
      </c>
      <c r="D30" s="88"/>
      <c r="E30" s="96" t="s">
        <v>125</v>
      </c>
      <c r="F30" s="88"/>
      <c r="G30" s="88"/>
      <c r="H30" s="88" t="s">
        <v>323</v>
      </c>
      <c r="I30" s="88" t="s">
        <v>116</v>
      </c>
      <c r="J30" s="96"/>
      <c r="K30" s="96"/>
      <c r="L30" s="96"/>
      <c r="M30" s="88"/>
      <c r="N30" s="88"/>
      <c r="O30" s="88"/>
    </row>
    <row r="31" spans="1:15" x14ac:dyDescent="0.3">
      <c r="A31" s="88" t="s">
        <v>498</v>
      </c>
      <c r="B31" s="88" t="s">
        <v>215</v>
      </c>
      <c r="C31" s="88" t="s">
        <v>739</v>
      </c>
      <c r="D31" s="88"/>
      <c r="E31" s="96" t="s">
        <v>125</v>
      </c>
      <c r="F31" s="88"/>
      <c r="G31" s="88"/>
      <c r="H31" s="88" t="s">
        <v>323</v>
      </c>
      <c r="I31" s="88" t="s">
        <v>116</v>
      </c>
      <c r="J31" s="96"/>
      <c r="K31" s="96"/>
      <c r="L31" s="96"/>
      <c r="M31" s="88"/>
      <c r="N31" s="88"/>
      <c r="O31" s="88"/>
    </row>
    <row r="32" spans="1:15" x14ac:dyDescent="0.3">
      <c r="A32" s="88" t="s">
        <v>499</v>
      </c>
      <c r="B32" s="88" t="s">
        <v>221</v>
      </c>
      <c r="C32" s="88" t="s">
        <v>740</v>
      </c>
      <c r="D32" s="88"/>
      <c r="E32" s="96" t="s">
        <v>125</v>
      </c>
      <c r="F32" s="88"/>
      <c r="G32" s="88"/>
      <c r="H32" s="88" t="s">
        <v>323</v>
      </c>
      <c r="I32" s="88" t="s">
        <v>116</v>
      </c>
      <c r="J32" s="96"/>
      <c r="K32" s="96"/>
      <c r="L32" s="96"/>
      <c r="M32" s="88"/>
      <c r="N32" s="88"/>
      <c r="O32" s="88"/>
    </row>
    <row r="33" spans="1:15" x14ac:dyDescent="0.3">
      <c r="A33" s="88" t="s">
        <v>500</v>
      </c>
      <c r="B33" s="88" t="s">
        <v>252</v>
      </c>
      <c r="C33" s="88" t="s">
        <v>741</v>
      </c>
      <c r="D33" s="88"/>
      <c r="E33" s="96" t="s">
        <v>125</v>
      </c>
      <c r="F33" s="88"/>
      <c r="G33" s="88"/>
      <c r="H33" s="88" t="s">
        <v>323</v>
      </c>
      <c r="I33" s="88" t="s">
        <v>116</v>
      </c>
      <c r="J33" s="96"/>
      <c r="K33" s="96"/>
      <c r="L33" s="96"/>
      <c r="M33" s="88"/>
      <c r="N33" s="88"/>
      <c r="O33" s="88"/>
    </row>
    <row r="34" spans="1:15" x14ac:dyDescent="0.3">
      <c r="A34" s="88" t="s">
        <v>501</v>
      </c>
      <c r="B34" s="88" t="s">
        <v>74</v>
      </c>
      <c r="C34" s="88" t="s">
        <v>742</v>
      </c>
      <c r="D34" s="88"/>
      <c r="E34" s="96" t="s">
        <v>125</v>
      </c>
      <c r="F34" s="88"/>
      <c r="G34" s="88"/>
      <c r="H34" s="88" t="s">
        <v>319</v>
      </c>
      <c r="I34" s="88" t="s">
        <v>117</v>
      </c>
      <c r="J34" s="96"/>
      <c r="K34" s="96"/>
      <c r="L34" s="96"/>
      <c r="M34" s="88"/>
      <c r="N34" s="88"/>
      <c r="O34" s="88"/>
    </row>
    <row r="35" spans="1:15" x14ac:dyDescent="0.3">
      <c r="A35" s="88" t="s">
        <v>502</v>
      </c>
      <c r="B35" s="88" t="s">
        <v>211</v>
      </c>
      <c r="C35" s="88" t="s">
        <v>743</v>
      </c>
      <c r="D35" s="88"/>
      <c r="E35" s="96" t="s">
        <v>126</v>
      </c>
      <c r="F35" s="88"/>
      <c r="G35" s="88"/>
      <c r="H35" s="88" t="s">
        <v>319</v>
      </c>
      <c r="I35" s="88" t="s">
        <v>117</v>
      </c>
      <c r="J35" s="96"/>
      <c r="K35" s="96"/>
      <c r="L35" s="96"/>
      <c r="M35" s="88"/>
      <c r="N35" s="88"/>
      <c r="O35" s="88"/>
    </row>
    <row r="36" spans="1:15" x14ac:dyDescent="0.3">
      <c r="A36" s="88" t="s">
        <v>503</v>
      </c>
      <c r="B36" s="88" t="s">
        <v>223</v>
      </c>
      <c r="C36" s="88" t="s">
        <v>744</v>
      </c>
      <c r="D36" s="88"/>
      <c r="E36" s="96" t="s">
        <v>126</v>
      </c>
      <c r="F36" s="88"/>
      <c r="G36" s="88"/>
      <c r="H36" s="88" t="s">
        <v>319</v>
      </c>
      <c r="I36" s="88" t="s">
        <v>117</v>
      </c>
      <c r="J36" s="96"/>
      <c r="K36" s="96"/>
      <c r="L36" s="96"/>
      <c r="M36" s="88"/>
      <c r="N36" s="88"/>
      <c r="O36" s="88"/>
    </row>
    <row r="37" spans="1:15" x14ac:dyDescent="0.3">
      <c r="A37" s="88" t="s">
        <v>504</v>
      </c>
      <c r="B37" s="88" t="s">
        <v>62</v>
      </c>
      <c r="C37" s="88" t="s">
        <v>745</v>
      </c>
      <c r="D37" s="88"/>
      <c r="E37" s="96" t="s">
        <v>125</v>
      </c>
      <c r="F37" s="88"/>
      <c r="G37" s="88"/>
      <c r="H37" s="88" t="s">
        <v>319</v>
      </c>
      <c r="I37" s="88" t="s">
        <v>118</v>
      </c>
      <c r="J37" s="96"/>
      <c r="K37" s="96"/>
      <c r="L37" s="96"/>
      <c r="M37" s="88"/>
      <c r="N37" s="88"/>
      <c r="O37" s="88"/>
    </row>
    <row r="38" spans="1:15" x14ac:dyDescent="0.3">
      <c r="A38" s="88" t="s">
        <v>505</v>
      </c>
      <c r="B38" s="88" t="s">
        <v>68</v>
      </c>
      <c r="C38" s="88" t="s">
        <v>746</v>
      </c>
      <c r="D38" s="88"/>
      <c r="E38" s="96" t="s">
        <v>125</v>
      </c>
      <c r="F38" s="88"/>
      <c r="G38" s="88"/>
      <c r="H38" s="88" t="s">
        <v>319</v>
      </c>
      <c r="I38" s="88" t="s">
        <v>118</v>
      </c>
      <c r="J38" s="96"/>
      <c r="K38" s="96"/>
      <c r="L38" s="96"/>
      <c r="M38" s="88"/>
      <c r="N38" s="88"/>
      <c r="O38" s="88"/>
    </row>
    <row r="39" spans="1:15" x14ac:dyDescent="0.3">
      <c r="A39" s="88" t="s">
        <v>506</v>
      </c>
      <c r="B39" s="88" t="s">
        <v>80</v>
      </c>
      <c r="C39" s="88" t="s">
        <v>747</v>
      </c>
      <c r="D39" s="88"/>
      <c r="E39" s="96" t="s">
        <v>125</v>
      </c>
      <c r="F39" s="88"/>
      <c r="G39" s="88"/>
      <c r="H39" s="88" t="s">
        <v>319</v>
      </c>
      <c r="I39" s="88" t="s">
        <v>118</v>
      </c>
      <c r="J39" s="96"/>
      <c r="K39" s="96"/>
      <c r="L39" s="96"/>
      <c r="M39" s="88"/>
      <c r="N39" s="88"/>
      <c r="O39" s="88"/>
    </row>
    <row r="40" spans="1:15" x14ac:dyDescent="0.3">
      <c r="A40" s="88" t="s">
        <v>507</v>
      </c>
      <c r="B40" s="88" t="s">
        <v>205</v>
      </c>
      <c r="C40" s="88" t="s">
        <v>748</v>
      </c>
      <c r="D40" s="88"/>
      <c r="E40" s="96" t="s">
        <v>125</v>
      </c>
      <c r="F40" s="88"/>
      <c r="G40" s="88"/>
      <c r="H40" s="88" t="s">
        <v>319</v>
      </c>
      <c r="I40" s="88" t="s">
        <v>118</v>
      </c>
      <c r="J40" s="96"/>
      <c r="K40" s="96"/>
      <c r="L40" s="96"/>
      <c r="M40" s="88"/>
      <c r="N40" s="88"/>
      <c r="O40" s="88"/>
    </row>
    <row r="41" spans="1:15" x14ac:dyDescent="0.3">
      <c r="A41" s="88" t="s">
        <v>508</v>
      </c>
      <c r="B41" s="88" t="s">
        <v>217</v>
      </c>
      <c r="C41" s="88" t="s">
        <v>749</v>
      </c>
      <c r="D41" s="88"/>
      <c r="E41" s="96" t="s">
        <v>125</v>
      </c>
      <c r="F41" s="88"/>
      <c r="G41" s="88"/>
      <c r="H41" s="88" t="s">
        <v>319</v>
      </c>
      <c r="I41" s="88" t="s">
        <v>118</v>
      </c>
      <c r="J41" s="96"/>
      <c r="K41" s="96"/>
      <c r="L41" s="96"/>
      <c r="M41" s="88"/>
      <c r="N41" s="88"/>
      <c r="O41" s="88"/>
    </row>
    <row r="42" spans="1:15" x14ac:dyDescent="0.3">
      <c r="A42" s="88" t="s">
        <v>509</v>
      </c>
      <c r="B42" s="88" t="s">
        <v>75</v>
      </c>
      <c r="C42" s="88" t="s">
        <v>750</v>
      </c>
      <c r="D42" s="88"/>
      <c r="E42" s="96" t="s">
        <v>125</v>
      </c>
      <c r="F42" s="88"/>
      <c r="G42" s="88"/>
      <c r="H42" s="88" t="s">
        <v>320</v>
      </c>
      <c r="I42" s="88" t="s">
        <v>120</v>
      </c>
      <c r="J42" s="96"/>
      <c r="K42" s="96"/>
      <c r="L42" s="96"/>
      <c r="M42" s="88"/>
      <c r="N42" s="88"/>
      <c r="O42" s="88"/>
    </row>
    <row r="43" spans="1:15" x14ac:dyDescent="0.3">
      <c r="A43" s="88" t="s">
        <v>510</v>
      </c>
      <c r="B43" s="88" t="s">
        <v>206</v>
      </c>
      <c r="C43" s="88" t="s">
        <v>751</v>
      </c>
      <c r="D43" s="88"/>
      <c r="E43" s="96" t="s">
        <v>126</v>
      </c>
      <c r="F43" s="88"/>
      <c r="G43" s="88"/>
      <c r="H43" s="88" t="s">
        <v>320</v>
      </c>
      <c r="I43" s="88" t="s">
        <v>120</v>
      </c>
      <c r="J43" s="96"/>
      <c r="K43" s="96"/>
      <c r="L43" s="96"/>
      <c r="M43" s="88"/>
      <c r="N43" s="88"/>
      <c r="O43" s="88"/>
    </row>
    <row r="44" spans="1:15" x14ac:dyDescent="0.3">
      <c r="A44" s="88" t="s">
        <v>511</v>
      </c>
      <c r="B44" s="88" t="s">
        <v>218</v>
      </c>
      <c r="C44" s="88" t="s">
        <v>752</v>
      </c>
      <c r="D44" s="88"/>
      <c r="E44" s="96" t="s">
        <v>125</v>
      </c>
      <c r="F44" s="88"/>
      <c r="G44" s="88"/>
      <c r="H44" s="88" t="s">
        <v>320</v>
      </c>
      <c r="I44" s="88" t="s">
        <v>120</v>
      </c>
      <c r="J44" s="96"/>
      <c r="K44" s="96"/>
      <c r="L44" s="96"/>
      <c r="M44" s="88"/>
      <c r="N44" s="88"/>
      <c r="O44" s="88"/>
    </row>
    <row r="45" spans="1:15" x14ac:dyDescent="0.3">
      <c r="A45" s="88" t="s">
        <v>512</v>
      </c>
      <c r="B45" s="88" t="s">
        <v>63</v>
      </c>
      <c r="C45" s="88" t="s">
        <v>753</v>
      </c>
      <c r="D45" s="88"/>
      <c r="E45" s="96" t="s">
        <v>126</v>
      </c>
      <c r="F45" s="88"/>
      <c r="G45" s="88"/>
      <c r="H45" s="88" t="s">
        <v>320</v>
      </c>
      <c r="I45" s="88" t="s">
        <v>116</v>
      </c>
      <c r="J45" s="96"/>
      <c r="K45" s="96"/>
      <c r="L45" s="96"/>
      <c r="M45" s="88"/>
      <c r="N45" s="88"/>
      <c r="O45" s="88"/>
    </row>
    <row r="46" spans="1:15" x14ac:dyDescent="0.3">
      <c r="A46" s="88" t="s">
        <v>513</v>
      </c>
      <c r="B46" s="88" t="s">
        <v>69</v>
      </c>
      <c r="C46" s="88" t="s">
        <v>754</v>
      </c>
      <c r="D46" s="88"/>
      <c r="E46" s="96" t="s">
        <v>126</v>
      </c>
      <c r="F46" s="88"/>
      <c r="G46" s="88"/>
      <c r="H46" s="88" t="s">
        <v>320</v>
      </c>
      <c r="I46" s="88" t="s">
        <v>116</v>
      </c>
      <c r="J46" s="96"/>
      <c r="K46" s="96"/>
      <c r="L46" s="96"/>
      <c r="M46" s="88"/>
      <c r="N46" s="88"/>
      <c r="O46" s="88"/>
    </row>
    <row r="47" spans="1:15" x14ac:dyDescent="0.3">
      <c r="A47" s="88" t="s">
        <v>514</v>
      </c>
      <c r="B47" s="88" t="s">
        <v>81</v>
      </c>
      <c r="C47" s="88" t="s">
        <v>755</v>
      </c>
      <c r="D47" s="88"/>
      <c r="E47" s="96" t="s">
        <v>125</v>
      </c>
      <c r="F47" s="88"/>
      <c r="G47" s="88"/>
      <c r="H47" s="88" t="s">
        <v>320</v>
      </c>
      <c r="I47" s="88" t="s">
        <v>116</v>
      </c>
      <c r="J47" s="96"/>
      <c r="K47" s="96"/>
      <c r="L47" s="96"/>
      <c r="M47" s="88"/>
      <c r="N47" s="88"/>
      <c r="O47" s="88"/>
    </row>
    <row r="48" spans="1:15" x14ac:dyDescent="0.3">
      <c r="A48" s="88" t="s">
        <v>515</v>
      </c>
      <c r="B48" s="88" t="s">
        <v>212</v>
      </c>
      <c r="C48" s="88" t="s">
        <v>756</v>
      </c>
      <c r="D48" s="88"/>
      <c r="E48" s="96" t="s">
        <v>126</v>
      </c>
      <c r="F48" s="88"/>
      <c r="G48" s="88"/>
      <c r="H48" s="88" t="s">
        <v>320</v>
      </c>
      <c r="I48" s="88" t="s">
        <v>116</v>
      </c>
      <c r="J48" s="96"/>
      <c r="K48" s="96"/>
      <c r="L48" s="96"/>
      <c r="M48" s="88"/>
      <c r="N48" s="88"/>
      <c r="O48" s="88"/>
    </row>
    <row r="49" spans="1:15" x14ac:dyDescent="0.3">
      <c r="A49" s="88" t="s">
        <v>516</v>
      </c>
      <c r="B49" s="88" t="s">
        <v>224</v>
      </c>
      <c r="C49" s="88" t="s">
        <v>757</v>
      </c>
      <c r="D49" s="88"/>
      <c r="E49" s="96" t="s">
        <v>126</v>
      </c>
      <c r="F49" s="88"/>
      <c r="G49" s="88"/>
      <c r="H49" s="88" t="s">
        <v>320</v>
      </c>
      <c r="I49" s="88" t="s">
        <v>116</v>
      </c>
      <c r="J49" s="96"/>
      <c r="K49" s="96"/>
      <c r="L49" s="96"/>
      <c r="M49" s="88"/>
      <c r="N49" s="88"/>
      <c r="O49" s="88"/>
    </row>
    <row r="50" spans="1:15" x14ac:dyDescent="0.3">
      <c r="A50" s="88" t="s">
        <v>517</v>
      </c>
      <c r="B50" s="88"/>
      <c r="C50" s="88"/>
      <c r="D50" s="88"/>
      <c r="E50" s="96"/>
      <c r="F50" s="88"/>
      <c r="G50" s="88"/>
      <c r="H50" s="88"/>
      <c r="I50" s="88"/>
      <c r="J50" s="96"/>
      <c r="K50" s="96"/>
      <c r="L50" s="96"/>
      <c r="M50" s="88"/>
      <c r="N50" s="88"/>
      <c r="O50" s="88"/>
    </row>
    <row r="51" spans="1:15" x14ac:dyDescent="0.3">
      <c r="A51" s="88" t="s">
        <v>518</v>
      </c>
      <c r="B51" s="88"/>
      <c r="C51" s="88"/>
      <c r="D51" s="88"/>
      <c r="E51" s="96"/>
      <c r="F51" s="88"/>
      <c r="G51" s="88"/>
      <c r="H51" s="88"/>
      <c r="I51" s="88"/>
      <c r="J51" s="96"/>
      <c r="K51" s="96"/>
      <c r="L51" s="96"/>
      <c r="M51" s="88"/>
      <c r="N51" s="88"/>
      <c r="O51" s="88"/>
    </row>
    <row r="52" spans="1:15" x14ac:dyDescent="0.3">
      <c r="A52" s="88" t="s">
        <v>519</v>
      </c>
      <c r="B52" s="88"/>
      <c r="C52" s="88"/>
      <c r="D52" s="88"/>
      <c r="E52" s="96"/>
      <c r="F52" s="88"/>
      <c r="G52" s="88"/>
      <c r="H52" s="88"/>
      <c r="I52" s="88"/>
      <c r="J52" s="96"/>
      <c r="K52" s="96"/>
      <c r="L52" s="96"/>
      <c r="M52" s="88"/>
      <c r="N52" s="88"/>
      <c r="O52" s="88"/>
    </row>
    <row r="53" spans="1:15" x14ac:dyDescent="0.3">
      <c r="A53" s="88" t="s">
        <v>520</v>
      </c>
      <c r="B53" s="88"/>
      <c r="C53" s="88"/>
      <c r="D53" s="88"/>
      <c r="E53" s="96"/>
      <c r="F53" s="88"/>
      <c r="G53" s="88"/>
      <c r="H53" s="88"/>
      <c r="I53" s="88"/>
      <c r="J53" s="96"/>
      <c r="K53" s="96"/>
      <c r="L53" s="96"/>
      <c r="M53" s="88"/>
      <c r="N53" s="88"/>
      <c r="O53" s="88"/>
    </row>
    <row r="54" spans="1:15" x14ac:dyDescent="0.3">
      <c r="A54" s="88" t="s">
        <v>521</v>
      </c>
      <c r="B54" s="88"/>
      <c r="C54" s="88"/>
      <c r="D54" s="88"/>
      <c r="E54" s="96"/>
      <c r="F54" s="88"/>
      <c r="G54" s="88"/>
      <c r="H54" s="88"/>
      <c r="I54" s="88"/>
      <c r="J54" s="96"/>
      <c r="K54" s="96"/>
      <c r="L54" s="96"/>
      <c r="M54" s="88"/>
      <c r="N54" s="88"/>
      <c r="O54" s="88"/>
    </row>
    <row r="55" spans="1:15" x14ac:dyDescent="0.3">
      <c r="A55" s="88" t="s">
        <v>522</v>
      </c>
      <c r="B55" s="88"/>
      <c r="C55" s="88"/>
      <c r="D55" s="88"/>
      <c r="E55" s="96"/>
      <c r="F55" s="88"/>
      <c r="G55" s="88"/>
      <c r="H55" s="88"/>
      <c r="I55" s="88"/>
      <c r="J55" s="96"/>
      <c r="K55" s="96"/>
      <c r="L55" s="96"/>
      <c r="M55" s="88"/>
      <c r="N55" s="88"/>
      <c r="O55" s="88"/>
    </row>
    <row r="56" spans="1:15" x14ac:dyDescent="0.3">
      <c r="A56" s="88" t="s">
        <v>523</v>
      </c>
      <c r="B56" s="88"/>
      <c r="C56" s="88"/>
      <c r="D56" s="88"/>
      <c r="E56" s="96"/>
      <c r="F56" s="88"/>
      <c r="G56" s="88"/>
      <c r="H56" s="88"/>
      <c r="I56" s="88"/>
      <c r="J56" s="96"/>
      <c r="K56" s="96"/>
      <c r="L56" s="96"/>
      <c r="M56" s="88"/>
      <c r="N56" s="88"/>
      <c r="O56" s="88"/>
    </row>
    <row r="57" spans="1:15" x14ac:dyDescent="0.3">
      <c r="A57" s="88" t="s">
        <v>524</v>
      </c>
      <c r="B57" s="88"/>
      <c r="C57" s="88"/>
      <c r="D57" s="88"/>
      <c r="E57" s="96"/>
      <c r="F57" s="88"/>
      <c r="G57" s="88"/>
      <c r="H57" s="88"/>
      <c r="I57" s="88"/>
      <c r="J57" s="96"/>
      <c r="K57" s="96"/>
      <c r="L57" s="96"/>
      <c r="M57" s="88"/>
      <c r="N57" s="88"/>
      <c r="O57" s="88"/>
    </row>
    <row r="58" spans="1:15" x14ac:dyDescent="0.3">
      <c r="A58" s="88" t="s">
        <v>525</v>
      </c>
      <c r="B58" s="88"/>
      <c r="C58" s="88"/>
      <c r="D58" s="88"/>
      <c r="E58" s="96"/>
      <c r="F58" s="88"/>
      <c r="G58" s="88"/>
      <c r="H58" s="88"/>
      <c r="I58" s="88"/>
      <c r="J58" s="96"/>
      <c r="K58" s="96"/>
      <c r="L58" s="96"/>
      <c r="M58" s="88"/>
      <c r="N58" s="88"/>
      <c r="O58" s="88"/>
    </row>
    <row r="59" spans="1:15" x14ac:dyDescent="0.3">
      <c r="A59" s="88" t="s">
        <v>526</v>
      </c>
      <c r="B59" s="88"/>
      <c r="C59" s="88"/>
      <c r="D59" s="88"/>
      <c r="E59" s="96"/>
      <c r="F59" s="88"/>
      <c r="G59" s="88"/>
      <c r="H59" s="88"/>
      <c r="I59" s="88"/>
      <c r="J59" s="96"/>
      <c r="K59" s="96"/>
      <c r="L59" s="96"/>
      <c r="M59" s="88"/>
      <c r="N59" s="88"/>
      <c r="O59" s="88"/>
    </row>
    <row r="60" spans="1:15" x14ac:dyDescent="0.3">
      <c r="A60" s="88" t="s">
        <v>527</v>
      </c>
      <c r="B60" s="88"/>
      <c r="C60" s="88"/>
      <c r="D60" s="88"/>
      <c r="E60" s="96"/>
      <c r="F60" s="88"/>
      <c r="G60" s="88"/>
      <c r="H60" s="88"/>
      <c r="I60" s="88"/>
      <c r="J60" s="96"/>
      <c r="K60" s="96"/>
      <c r="L60" s="96"/>
      <c r="M60" s="88"/>
      <c r="N60" s="88"/>
      <c r="O60" s="88"/>
    </row>
    <row r="61" spans="1:15" x14ac:dyDescent="0.3">
      <c r="A61" s="88" t="s">
        <v>528</v>
      </c>
      <c r="B61" s="88"/>
      <c r="C61" s="88"/>
      <c r="D61" s="88"/>
      <c r="E61" s="96"/>
      <c r="F61" s="88"/>
      <c r="G61" s="88"/>
      <c r="H61" s="88"/>
      <c r="I61" s="88"/>
      <c r="J61" s="96"/>
      <c r="K61" s="96"/>
      <c r="L61" s="96"/>
      <c r="M61" s="88"/>
      <c r="N61" s="88"/>
      <c r="O61" s="88"/>
    </row>
    <row r="62" spans="1:15" x14ac:dyDescent="0.3">
      <c r="A62" s="88" t="s">
        <v>529</v>
      </c>
      <c r="B62" s="88"/>
      <c r="C62" s="88"/>
      <c r="D62" s="88"/>
      <c r="E62" s="96"/>
      <c r="F62" s="88"/>
      <c r="G62" s="88"/>
      <c r="H62" s="88"/>
      <c r="I62" s="88"/>
      <c r="J62" s="96"/>
      <c r="K62" s="96"/>
      <c r="L62" s="96"/>
      <c r="M62" s="88"/>
      <c r="N62" s="88"/>
      <c r="O62" s="88"/>
    </row>
    <row r="63" spans="1:15" x14ac:dyDescent="0.3">
      <c r="A63" s="88" t="s">
        <v>530</v>
      </c>
      <c r="B63" s="88"/>
      <c r="C63" s="88"/>
      <c r="D63" s="88"/>
      <c r="E63" s="96"/>
      <c r="F63" s="88"/>
      <c r="G63" s="88"/>
      <c r="H63" s="88"/>
      <c r="I63" s="88"/>
      <c r="J63" s="96"/>
      <c r="K63" s="96"/>
      <c r="L63" s="96"/>
      <c r="M63" s="88"/>
      <c r="N63" s="88"/>
      <c r="O63" s="88"/>
    </row>
    <row r="64" spans="1:15" x14ac:dyDescent="0.3">
      <c r="A64" s="88" t="s">
        <v>531</v>
      </c>
      <c r="B64" s="88"/>
      <c r="C64" s="88"/>
      <c r="D64" s="88"/>
      <c r="E64" s="96"/>
      <c r="F64" s="88"/>
      <c r="G64" s="88"/>
      <c r="H64" s="88"/>
      <c r="I64" s="88"/>
      <c r="J64" s="96"/>
      <c r="K64" s="96"/>
      <c r="L64" s="96"/>
      <c r="M64" s="88"/>
      <c r="N64" s="88"/>
      <c r="O64" s="88"/>
    </row>
    <row r="65" spans="1:15" x14ac:dyDescent="0.3">
      <c r="A65" s="88" t="s">
        <v>532</v>
      </c>
      <c r="B65" s="88"/>
      <c r="C65" s="88"/>
      <c r="D65" s="88"/>
      <c r="E65" s="96"/>
      <c r="F65" s="88"/>
      <c r="G65" s="88"/>
      <c r="H65" s="88"/>
      <c r="I65" s="88"/>
      <c r="J65" s="96"/>
      <c r="K65" s="96"/>
      <c r="L65" s="96"/>
      <c r="M65" s="88"/>
      <c r="N65" s="88"/>
      <c r="O65" s="88"/>
    </row>
    <row r="66" spans="1:15" x14ac:dyDescent="0.3">
      <c r="A66" s="88" t="s">
        <v>533</v>
      </c>
      <c r="B66" s="88"/>
      <c r="C66" s="88"/>
      <c r="D66" s="88"/>
      <c r="E66" s="96"/>
      <c r="F66" s="88"/>
      <c r="G66" s="88"/>
      <c r="H66" s="88"/>
      <c r="I66" s="88"/>
      <c r="J66" s="96"/>
      <c r="K66" s="96"/>
      <c r="L66" s="96"/>
      <c r="M66" s="88"/>
      <c r="N66" s="88"/>
      <c r="O66" s="88"/>
    </row>
    <row r="67" spans="1:15" x14ac:dyDescent="0.3">
      <c r="A67" s="88" t="s">
        <v>534</v>
      </c>
      <c r="B67" s="88"/>
      <c r="C67" s="88"/>
      <c r="D67" s="88"/>
      <c r="E67" s="96"/>
      <c r="F67" s="88"/>
      <c r="G67" s="88"/>
      <c r="H67" s="88"/>
      <c r="I67" s="88"/>
      <c r="J67" s="96"/>
      <c r="K67" s="96"/>
      <c r="L67" s="96"/>
      <c r="M67" s="88"/>
      <c r="N67" s="88"/>
      <c r="O67" s="88"/>
    </row>
    <row r="68" spans="1:15" x14ac:dyDescent="0.3">
      <c r="A68" s="88" t="s">
        <v>535</v>
      </c>
      <c r="B68" s="88"/>
      <c r="C68" s="88"/>
      <c r="D68" s="88"/>
      <c r="E68" s="96"/>
      <c r="F68" s="88"/>
      <c r="G68" s="88"/>
      <c r="H68" s="88"/>
      <c r="I68" s="88"/>
      <c r="J68" s="96"/>
      <c r="K68" s="96"/>
      <c r="L68" s="96"/>
      <c r="M68" s="88"/>
      <c r="N68" s="88"/>
      <c r="O68" s="88"/>
    </row>
    <row r="69" spans="1:15" x14ac:dyDescent="0.3">
      <c r="A69" s="88" t="s">
        <v>536</v>
      </c>
      <c r="B69" s="88"/>
      <c r="C69" s="88"/>
      <c r="D69" s="88"/>
      <c r="E69" s="96"/>
      <c r="F69" s="88"/>
      <c r="G69" s="88"/>
      <c r="H69" s="88"/>
      <c r="I69" s="88"/>
      <c r="J69" s="96"/>
      <c r="K69" s="96"/>
      <c r="L69" s="96"/>
      <c r="M69" s="88"/>
      <c r="N69" s="88"/>
      <c r="O69" s="88"/>
    </row>
    <row r="70" spans="1:15" x14ac:dyDescent="0.3">
      <c r="A70" s="88" t="s">
        <v>537</v>
      </c>
      <c r="B70" s="88"/>
      <c r="C70" s="88"/>
      <c r="D70" s="88"/>
      <c r="E70" s="96"/>
      <c r="F70" s="88"/>
      <c r="G70" s="88"/>
      <c r="H70" s="88"/>
      <c r="I70" s="88"/>
      <c r="J70" s="96"/>
      <c r="K70" s="96"/>
      <c r="L70" s="96"/>
      <c r="M70" s="88"/>
      <c r="N70" s="88"/>
      <c r="O70" s="88"/>
    </row>
    <row r="71" spans="1:15" x14ac:dyDescent="0.3">
      <c r="A71" s="88" t="s">
        <v>538</v>
      </c>
      <c r="B71" s="88"/>
      <c r="C71" s="88"/>
      <c r="D71" s="88"/>
      <c r="E71" s="96"/>
      <c r="F71" s="88"/>
      <c r="G71" s="88"/>
      <c r="H71" s="88"/>
      <c r="I71" s="88"/>
      <c r="J71" s="96"/>
      <c r="K71" s="96"/>
      <c r="L71" s="96"/>
      <c r="M71" s="88"/>
      <c r="N71" s="88"/>
      <c r="O71" s="88"/>
    </row>
    <row r="72" spans="1:15" x14ac:dyDescent="0.3">
      <c r="A72" s="88" t="s">
        <v>539</v>
      </c>
      <c r="B72" s="88"/>
      <c r="C72" s="88"/>
      <c r="D72" s="88"/>
      <c r="E72" s="96"/>
      <c r="F72" s="88"/>
      <c r="G72" s="88"/>
      <c r="H72" s="88"/>
      <c r="I72" s="88"/>
      <c r="J72" s="96"/>
      <c r="K72" s="96"/>
      <c r="L72" s="96"/>
      <c r="M72" s="88"/>
      <c r="N72" s="88"/>
      <c r="O72" s="88"/>
    </row>
    <row r="73" spans="1:15" x14ac:dyDescent="0.3">
      <c r="A73" s="88" t="s">
        <v>540</v>
      </c>
      <c r="B73" s="88"/>
      <c r="C73" s="88"/>
      <c r="D73" s="88"/>
      <c r="E73" s="96"/>
      <c r="F73" s="88"/>
      <c r="G73" s="88"/>
      <c r="H73" s="88"/>
      <c r="I73" s="88"/>
      <c r="J73" s="96"/>
      <c r="K73" s="96"/>
      <c r="L73" s="96"/>
      <c r="M73" s="88"/>
      <c r="N73" s="88"/>
      <c r="O73" s="88"/>
    </row>
    <row r="74" spans="1:15" x14ac:dyDescent="0.3">
      <c r="A74" s="88" t="s">
        <v>541</v>
      </c>
      <c r="B74" s="88"/>
      <c r="C74" s="88"/>
      <c r="D74" s="88"/>
      <c r="E74" s="96"/>
      <c r="F74" s="88"/>
      <c r="G74" s="88"/>
      <c r="H74" s="88"/>
      <c r="I74" s="88"/>
      <c r="J74" s="96"/>
      <c r="K74" s="96"/>
      <c r="L74" s="96"/>
      <c r="M74" s="88"/>
      <c r="N74" s="88"/>
      <c r="O74" s="88"/>
    </row>
    <row r="75" spans="1:15" x14ac:dyDescent="0.3">
      <c r="A75" s="88" t="s">
        <v>542</v>
      </c>
      <c r="B75" s="88"/>
      <c r="C75" s="88"/>
      <c r="D75" s="88"/>
      <c r="E75" s="96"/>
      <c r="F75" s="88"/>
      <c r="G75" s="88"/>
      <c r="H75" s="88"/>
      <c r="I75" s="88"/>
      <c r="J75" s="96"/>
      <c r="K75" s="96"/>
      <c r="L75" s="96"/>
      <c r="M75" s="88"/>
      <c r="N75" s="88"/>
      <c r="O75" s="88"/>
    </row>
    <row r="76" spans="1:15" x14ac:dyDescent="0.3">
      <c r="A76" s="88" t="s">
        <v>543</v>
      </c>
      <c r="B76" s="88"/>
      <c r="C76" s="88"/>
      <c r="D76" s="88"/>
      <c r="E76" s="96"/>
      <c r="F76" s="88"/>
      <c r="G76" s="88"/>
      <c r="H76" s="88"/>
      <c r="I76" s="88"/>
      <c r="J76" s="96"/>
      <c r="K76" s="96"/>
      <c r="L76" s="96"/>
      <c r="M76" s="88"/>
      <c r="N76" s="88"/>
      <c r="O76" s="88"/>
    </row>
    <row r="77" spans="1:15" x14ac:dyDescent="0.3">
      <c r="A77" s="88" t="s">
        <v>544</v>
      </c>
      <c r="B77" s="88"/>
      <c r="C77" s="88"/>
      <c r="D77" s="88"/>
      <c r="E77" s="96"/>
      <c r="F77" s="88"/>
      <c r="G77" s="88"/>
      <c r="H77" s="88"/>
      <c r="I77" s="88"/>
      <c r="J77" s="96"/>
      <c r="K77" s="96"/>
      <c r="L77" s="96"/>
      <c r="M77" s="88"/>
      <c r="N77" s="88"/>
      <c r="O77" s="88"/>
    </row>
    <row r="78" spans="1:15" x14ac:dyDescent="0.3">
      <c r="A78" s="88" t="s">
        <v>545</v>
      </c>
      <c r="B78" s="88"/>
      <c r="C78" s="88"/>
      <c r="D78" s="88"/>
      <c r="E78" s="96"/>
      <c r="F78" s="88"/>
      <c r="G78" s="88"/>
      <c r="H78" s="88"/>
      <c r="I78" s="88"/>
      <c r="J78" s="96"/>
      <c r="K78" s="96"/>
      <c r="L78" s="96"/>
      <c r="M78" s="88"/>
      <c r="N78" s="88"/>
      <c r="O78" s="88"/>
    </row>
    <row r="79" spans="1:15" x14ac:dyDescent="0.3">
      <c r="A79" s="88" t="s">
        <v>546</v>
      </c>
      <c r="B79" s="88"/>
      <c r="C79" s="88"/>
      <c r="D79" s="88"/>
      <c r="E79" s="96"/>
      <c r="F79" s="88"/>
      <c r="G79" s="88"/>
      <c r="H79" s="88"/>
      <c r="I79" s="88"/>
      <c r="J79" s="96"/>
      <c r="K79" s="96"/>
      <c r="L79" s="96"/>
      <c r="M79" s="88"/>
      <c r="N79" s="88"/>
      <c r="O79" s="88"/>
    </row>
    <row r="80" spans="1:15" x14ac:dyDescent="0.3">
      <c r="A80" s="88" t="s">
        <v>547</v>
      </c>
      <c r="B80" s="88"/>
      <c r="C80" s="88"/>
      <c r="D80" s="88"/>
      <c r="E80" s="96"/>
      <c r="F80" s="88"/>
      <c r="G80" s="88"/>
      <c r="H80" s="88"/>
      <c r="I80" s="88"/>
      <c r="J80" s="96"/>
      <c r="K80" s="96"/>
      <c r="L80" s="96"/>
      <c r="M80" s="88"/>
      <c r="N80" s="88"/>
      <c r="O80" s="88"/>
    </row>
    <row r="81" spans="1:15" x14ac:dyDescent="0.3">
      <c r="A81" s="88" t="s">
        <v>548</v>
      </c>
      <c r="B81" s="88"/>
      <c r="C81" s="88"/>
      <c r="D81" s="88"/>
      <c r="E81" s="96"/>
      <c r="F81" s="88"/>
      <c r="G81" s="88"/>
      <c r="H81" s="88"/>
      <c r="I81" s="88"/>
      <c r="J81" s="96"/>
      <c r="K81" s="96"/>
      <c r="L81" s="96"/>
      <c r="M81" s="88"/>
      <c r="N81" s="88"/>
      <c r="O81" s="88"/>
    </row>
    <row r="82" spans="1:15" x14ac:dyDescent="0.3">
      <c r="A82" s="88" t="s">
        <v>549</v>
      </c>
      <c r="B82" s="88"/>
      <c r="C82" s="88"/>
      <c r="D82" s="88"/>
      <c r="E82" s="96"/>
      <c r="F82" s="88"/>
      <c r="G82" s="88"/>
      <c r="H82" s="88"/>
      <c r="I82" s="88"/>
      <c r="J82" s="96"/>
      <c r="K82" s="96"/>
      <c r="L82" s="96"/>
      <c r="M82" s="88"/>
      <c r="N82" s="88"/>
      <c r="O82" s="88"/>
    </row>
    <row r="83" spans="1:15" x14ac:dyDescent="0.3">
      <c r="A83" s="88" t="s">
        <v>550</v>
      </c>
      <c r="B83" s="88"/>
      <c r="C83" s="88"/>
      <c r="D83" s="88"/>
      <c r="E83" s="96"/>
      <c r="F83" s="88"/>
      <c r="G83" s="88"/>
      <c r="H83" s="88"/>
      <c r="I83" s="88"/>
      <c r="J83" s="96"/>
      <c r="K83" s="96"/>
      <c r="L83" s="96"/>
      <c r="M83" s="88"/>
      <c r="N83" s="88"/>
      <c r="O83" s="88"/>
    </row>
    <row r="84" spans="1:15" x14ac:dyDescent="0.3">
      <c r="A84" s="88" t="s">
        <v>551</v>
      </c>
      <c r="B84" s="88"/>
      <c r="C84" s="88"/>
      <c r="D84" s="88"/>
      <c r="E84" s="96"/>
      <c r="F84" s="88"/>
      <c r="G84" s="88"/>
      <c r="H84" s="88"/>
      <c r="I84" s="88"/>
      <c r="J84" s="96"/>
      <c r="K84" s="96"/>
      <c r="L84" s="96"/>
      <c r="M84" s="88"/>
      <c r="N84" s="88"/>
      <c r="O84" s="88"/>
    </row>
    <row r="85" spans="1:15" x14ac:dyDescent="0.3">
      <c r="A85" s="88" t="s">
        <v>552</v>
      </c>
      <c r="B85" s="88"/>
      <c r="C85" s="88"/>
      <c r="D85" s="88"/>
      <c r="E85" s="96"/>
      <c r="F85" s="88"/>
      <c r="G85" s="88"/>
      <c r="H85" s="88"/>
      <c r="I85" s="88"/>
      <c r="J85" s="96"/>
      <c r="K85" s="96"/>
      <c r="L85" s="96"/>
      <c r="M85" s="88"/>
      <c r="N85" s="88"/>
      <c r="O85" s="88"/>
    </row>
    <row r="86" spans="1:15" x14ac:dyDescent="0.3">
      <c r="A86" s="88" t="s">
        <v>553</v>
      </c>
      <c r="B86" s="88"/>
      <c r="C86" s="88"/>
      <c r="D86" s="88"/>
      <c r="E86" s="96"/>
      <c r="F86" s="88"/>
      <c r="G86" s="88"/>
      <c r="H86" s="88"/>
      <c r="I86" s="88"/>
      <c r="J86" s="96"/>
      <c r="K86" s="96"/>
      <c r="L86" s="96"/>
      <c r="M86" s="88"/>
      <c r="N86" s="88"/>
      <c r="O86" s="88"/>
    </row>
    <row r="87" spans="1:15" x14ac:dyDescent="0.3">
      <c r="A87" s="88" t="s">
        <v>554</v>
      </c>
      <c r="B87" s="88"/>
      <c r="C87" s="88"/>
      <c r="D87" s="88"/>
      <c r="E87" s="96"/>
      <c r="F87" s="88"/>
      <c r="G87" s="88"/>
      <c r="H87" s="88"/>
      <c r="I87" s="88"/>
      <c r="J87" s="96"/>
      <c r="K87" s="96"/>
      <c r="L87" s="96"/>
      <c r="M87" s="88"/>
      <c r="N87" s="88"/>
      <c r="O87" s="88"/>
    </row>
    <row r="88" spans="1:15" x14ac:dyDescent="0.3">
      <c r="A88" s="88" t="s">
        <v>555</v>
      </c>
      <c r="B88" s="88"/>
      <c r="C88" s="88"/>
      <c r="D88" s="88"/>
      <c r="E88" s="96"/>
      <c r="F88" s="88"/>
      <c r="G88" s="88"/>
      <c r="H88" s="88"/>
      <c r="I88" s="88"/>
      <c r="J88" s="96"/>
      <c r="K88" s="96"/>
      <c r="L88" s="96"/>
      <c r="M88" s="88"/>
      <c r="N88" s="88"/>
      <c r="O88" s="88"/>
    </row>
    <row r="89" spans="1:15" x14ac:dyDescent="0.3">
      <c r="A89" s="88" t="s">
        <v>556</v>
      </c>
      <c r="B89" s="88"/>
      <c r="C89" s="88"/>
      <c r="D89" s="88"/>
      <c r="E89" s="96"/>
      <c r="F89" s="88"/>
      <c r="G89" s="88"/>
      <c r="H89" s="88"/>
      <c r="I89" s="88"/>
      <c r="J89" s="96"/>
      <c r="K89" s="96"/>
      <c r="L89" s="96"/>
      <c r="M89" s="88"/>
      <c r="N89" s="88"/>
      <c r="O89" s="88"/>
    </row>
    <row r="90" spans="1:15" x14ac:dyDescent="0.3">
      <c r="A90" s="88" t="s">
        <v>557</v>
      </c>
      <c r="B90" s="88"/>
      <c r="C90" s="88"/>
      <c r="D90" s="88"/>
      <c r="E90" s="96"/>
      <c r="F90" s="88"/>
      <c r="G90" s="88"/>
      <c r="H90" s="88"/>
      <c r="I90" s="88"/>
      <c r="J90" s="96"/>
      <c r="K90" s="96"/>
      <c r="L90" s="96"/>
      <c r="M90" s="88"/>
      <c r="N90" s="88"/>
      <c r="O90" s="88"/>
    </row>
    <row r="91" spans="1:15" x14ac:dyDescent="0.3">
      <c r="A91" s="88" t="s">
        <v>558</v>
      </c>
      <c r="B91" s="88"/>
      <c r="C91" s="88"/>
      <c r="D91" s="88"/>
      <c r="E91" s="96"/>
      <c r="F91" s="88"/>
      <c r="G91" s="88"/>
      <c r="H91" s="88"/>
      <c r="I91" s="88"/>
      <c r="J91" s="96"/>
      <c r="K91" s="96"/>
      <c r="L91" s="96"/>
      <c r="M91" s="88"/>
      <c r="N91" s="88"/>
      <c r="O91" s="88"/>
    </row>
    <row r="92" spans="1:15" x14ac:dyDescent="0.3">
      <c r="A92" s="88" t="s">
        <v>559</v>
      </c>
      <c r="B92" s="88"/>
      <c r="C92" s="88"/>
      <c r="D92" s="88"/>
      <c r="E92" s="96"/>
      <c r="F92" s="88"/>
      <c r="G92" s="88"/>
      <c r="H92" s="88"/>
      <c r="I92" s="88"/>
      <c r="J92" s="96"/>
      <c r="K92" s="96"/>
      <c r="L92" s="96"/>
      <c r="M92" s="88"/>
      <c r="N92" s="88"/>
      <c r="O92" s="88"/>
    </row>
    <row r="93" spans="1:15" x14ac:dyDescent="0.3">
      <c r="A93" s="88" t="s">
        <v>560</v>
      </c>
      <c r="B93" s="88"/>
      <c r="C93" s="88"/>
      <c r="D93" s="88"/>
      <c r="E93" s="96"/>
      <c r="F93" s="88"/>
      <c r="G93" s="88"/>
      <c r="H93" s="88"/>
      <c r="I93" s="88"/>
      <c r="J93" s="96"/>
      <c r="K93" s="96"/>
      <c r="L93" s="96"/>
      <c r="M93" s="88"/>
      <c r="N93" s="88"/>
      <c r="O93" s="88"/>
    </row>
    <row r="94" spans="1:15" x14ac:dyDescent="0.3">
      <c r="A94" s="88" t="s">
        <v>561</v>
      </c>
      <c r="B94" s="88"/>
      <c r="C94" s="88"/>
      <c r="D94" s="88"/>
      <c r="E94" s="96"/>
      <c r="F94" s="88"/>
      <c r="G94" s="88"/>
      <c r="H94" s="88"/>
      <c r="I94" s="88"/>
      <c r="J94" s="96"/>
      <c r="K94" s="96"/>
      <c r="L94" s="96"/>
      <c r="M94" s="88"/>
      <c r="N94" s="88"/>
      <c r="O94" s="88"/>
    </row>
    <row r="95" spans="1:15" x14ac:dyDescent="0.3">
      <c r="A95" s="88" t="s">
        <v>562</v>
      </c>
      <c r="B95" s="88"/>
      <c r="C95" s="88"/>
      <c r="D95" s="88"/>
      <c r="E95" s="96"/>
      <c r="F95" s="88"/>
      <c r="G95" s="88"/>
      <c r="H95" s="88"/>
      <c r="I95" s="88"/>
      <c r="J95" s="96"/>
      <c r="K95" s="96"/>
      <c r="L95" s="96"/>
      <c r="M95" s="88"/>
      <c r="N95" s="88"/>
      <c r="O95" s="88"/>
    </row>
    <row r="96" spans="1:15" x14ac:dyDescent="0.3">
      <c r="A96" s="88" t="s">
        <v>563</v>
      </c>
      <c r="B96" s="88"/>
      <c r="C96" s="88"/>
      <c r="D96" s="88"/>
      <c r="E96" s="96"/>
      <c r="F96" s="88"/>
      <c r="G96" s="88"/>
      <c r="H96" s="88"/>
      <c r="I96" s="88"/>
      <c r="J96" s="96"/>
      <c r="K96" s="96"/>
      <c r="L96" s="96"/>
      <c r="M96" s="88"/>
      <c r="N96" s="88"/>
      <c r="O96" s="88"/>
    </row>
    <row r="97" spans="1:15" x14ac:dyDescent="0.3">
      <c r="A97" s="88" t="s">
        <v>564</v>
      </c>
      <c r="B97" s="88"/>
      <c r="C97" s="88"/>
      <c r="D97" s="88"/>
      <c r="E97" s="96"/>
      <c r="F97" s="88"/>
      <c r="G97" s="88"/>
      <c r="H97" s="88"/>
      <c r="I97" s="88"/>
      <c r="J97" s="96"/>
      <c r="K97" s="96"/>
      <c r="L97" s="96"/>
      <c r="M97" s="88"/>
      <c r="N97" s="88"/>
      <c r="O97" s="88"/>
    </row>
    <row r="98" spans="1:15" x14ac:dyDescent="0.3">
      <c r="A98" s="88" t="s">
        <v>565</v>
      </c>
      <c r="B98" s="88"/>
      <c r="C98" s="88"/>
      <c r="D98" s="88"/>
      <c r="E98" s="96"/>
      <c r="F98" s="88"/>
      <c r="G98" s="88"/>
      <c r="H98" s="88"/>
      <c r="I98" s="88"/>
      <c r="J98" s="96"/>
      <c r="K98" s="96"/>
      <c r="L98" s="96"/>
      <c r="M98" s="88"/>
      <c r="N98" s="88"/>
      <c r="O98" s="88"/>
    </row>
    <row r="99" spans="1:15" x14ac:dyDescent="0.3">
      <c r="A99" s="88" t="s">
        <v>566</v>
      </c>
      <c r="B99" s="88"/>
      <c r="C99" s="88"/>
      <c r="D99" s="88"/>
      <c r="E99" s="96"/>
      <c r="F99" s="88"/>
      <c r="G99" s="88"/>
      <c r="H99" s="88"/>
      <c r="I99" s="88"/>
      <c r="J99" s="96"/>
      <c r="K99" s="96"/>
      <c r="L99" s="96"/>
      <c r="M99" s="88"/>
      <c r="N99" s="88"/>
      <c r="O99" s="88"/>
    </row>
    <row r="100" spans="1:15" x14ac:dyDescent="0.3">
      <c r="A100" s="88" t="s">
        <v>567</v>
      </c>
      <c r="B100" s="88"/>
      <c r="C100" s="88"/>
      <c r="D100" s="88"/>
      <c r="E100" s="96"/>
      <c r="F100" s="88"/>
      <c r="G100" s="88"/>
      <c r="H100" s="88"/>
      <c r="I100" s="88"/>
      <c r="J100" s="96"/>
      <c r="K100" s="96"/>
      <c r="L100" s="96"/>
      <c r="M100" s="88"/>
      <c r="N100" s="88"/>
      <c r="O100" s="88"/>
    </row>
    <row r="101" spans="1:15" x14ac:dyDescent="0.3">
      <c r="A101" s="88" t="s">
        <v>568</v>
      </c>
      <c r="B101" s="88"/>
      <c r="C101" s="88"/>
      <c r="D101" s="88"/>
      <c r="E101" s="96"/>
      <c r="F101" s="88"/>
      <c r="G101" s="88"/>
      <c r="H101" s="88"/>
      <c r="I101" s="88"/>
      <c r="J101" s="96"/>
      <c r="K101" s="96"/>
      <c r="L101" s="96"/>
      <c r="M101" s="88"/>
      <c r="N101" s="88"/>
      <c r="O101" s="88"/>
    </row>
    <row r="102" spans="1:15" x14ac:dyDescent="0.3">
      <c r="A102" s="88" t="s">
        <v>569</v>
      </c>
      <c r="B102" s="88"/>
      <c r="C102" s="88"/>
      <c r="D102" s="88"/>
      <c r="E102" s="96"/>
      <c r="F102" s="88"/>
      <c r="G102" s="88"/>
      <c r="H102" s="88"/>
      <c r="I102" s="88"/>
      <c r="J102" s="96"/>
      <c r="K102" s="96"/>
      <c r="L102" s="96"/>
      <c r="M102" s="88"/>
      <c r="N102" s="88"/>
      <c r="O102" s="88"/>
    </row>
    <row r="103" spans="1:15" x14ac:dyDescent="0.3">
      <c r="A103" s="88" t="s">
        <v>570</v>
      </c>
      <c r="B103" s="88"/>
      <c r="C103" s="88"/>
      <c r="D103" s="88"/>
      <c r="E103" s="96"/>
      <c r="F103" s="88"/>
      <c r="G103" s="88"/>
      <c r="H103" s="88"/>
      <c r="I103" s="88"/>
      <c r="J103" s="96"/>
      <c r="K103" s="96"/>
      <c r="L103" s="96"/>
      <c r="M103" s="88"/>
      <c r="N103" s="88"/>
      <c r="O103" s="88"/>
    </row>
    <row r="104" spans="1:15" x14ac:dyDescent="0.3">
      <c r="A104" s="88" t="s">
        <v>571</v>
      </c>
      <c r="B104" s="88"/>
      <c r="C104" s="88"/>
      <c r="D104" s="88"/>
      <c r="E104" s="96"/>
      <c r="F104" s="88"/>
      <c r="G104" s="88"/>
      <c r="H104" s="88"/>
      <c r="I104" s="88"/>
      <c r="J104" s="96"/>
      <c r="K104" s="96"/>
      <c r="L104" s="96"/>
      <c r="M104" s="88"/>
      <c r="N104" s="88"/>
      <c r="O104" s="88"/>
    </row>
    <row r="105" spans="1:15" x14ac:dyDescent="0.3">
      <c r="A105" s="88" t="s">
        <v>572</v>
      </c>
      <c r="B105" s="88"/>
      <c r="C105" s="88"/>
      <c r="D105" s="88"/>
      <c r="E105" s="96"/>
      <c r="F105" s="88"/>
      <c r="G105" s="88"/>
      <c r="H105" s="88"/>
      <c r="I105" s="88"/>
      <c r="J105" s="96"/>
      <c r="K105" s="96"/>
      <c r="L105" s="96"/>
      <c r="M105" s="88"/>
      <c r="N105" s="88"/>
      <c r="O105" s="88"/>
    </row>
    <row r="106" spans="1:15" x14ac:dyDescent="0.3">
      <c r="A106" s="88" t="s">
        <v>573</v>
      </c>
      <c r="B106" s="88"/>
      <c r="C106" s="88"/>
      <c r="D106" s="88"/>
      <c r="E106" s="96"/>
      <c r="F106" s="88"/>
      <c r="G106" s="88"/>
      <c r="H106" s="88"/>
      <c r="I106" s="88"/>
      <c r="J106" s="96"/>
      <c r="K106" s="96"/>
      <c r="L106" s="96"/>
      <c r="M106" s="88"/>
      <c r="N106" s="88"/>
      <c r="O106" s="88"/>
    </row>
    <row r="107" spans="1:15" x14ac:dyDescent="0.3">
      <c r="A107" s="88" t="s">
        <v>574</v>
      </c>
      <c r="B107" s="88"/>
      <c r="C107" s="88"/>
      <c r="D107" s="88"/>
      <c r="E107" s="96"/>
      <c r="F107" s="88"/>
      <c r="G107" s="88"/>
      <c r="H107" s="88"/>
      <c r="I107" s="88"/>
      <c r="J107" s="96"/>
      <c r="K107" s="96"/>
      <c r="L107" s="96"/>
      <c r="M107" s="88"/>
      <c r="N107" s="88"/>
      <c r="O107" s="88"/>
    </row>
    <row r="108" spans="1:15" x14ac:dyDescent="0.3">
      <c r="A108" s="88" t="s">
        <v>575</v>
      </c>
      <c r="B108" s="88"/>
      <c r="C108" s="88"/>
      <c r="D108" s="88"/>
      <c r="E108" s="96"/>
      <c r="F108" s="88"/>
      <c r="G108" s="88"/>
      <c r="H108" s="88"/>
      <c r="I108" s="88"/>
      <c r="J108" s="96"/>
      <c r="K108" s="96"/>
      <c r="L108" s="96"/>
      <c r="M108" s="88"/>
      <c r="N108" s="88"/>
      <c r="O108" s="88"/>
    </row>
    <row r="109" spans="1:15" x14ac:dyDescent="0.3">
      <c r="A109" s="88" t="s">
        <v>576</v>
      </c>
      <c r="B109" s="88"/>
      <c r="C109" s="88"/>
      <c r="D109" s="88"/>
      <c r="E109" s="96"/>
      <c r="F109" s="88"/>
      <c r="G109" s="88"/>
      <c r="H109" s="88"/>
      <c r="I109" s="88"/>
      <c r="J109" s="96"/>
      <c r="K109" s="96"/>
      <c r="L109" s="96"/>
      <c r="M109" s="88"/>
      <c r="N109" s="88"/>
      <c r="O109" s="88"/>
    </row>
    <row r="110" spans="1:15" x14ac:dyDescent="0.3">
      <c r="A110" s="88" t="s">
        <v>577</v>
      </c>
      <c r="B110" s="88"/>
      <c r="C110" s="88"/>
      <c r="D110" s="88"/>
      <c r="E110" s="96"/>
      <c r="F110" s="88"/>
      <c r="G110" s="88"/>
      <c r="H110" s="88"/>
      <c r="I110" s="88"/>
      <c r="J110" s="96"/>
      <c r="K110" s="96"/>
      <c r="L110" s="96"/>
      <c r="M110" s="88"/>
      <c r="N110" s="88"/>
      <c r="O110" s="88"/>
    </row>
    <row r="111" spans="1:15" x14ac:dyDescent="0.3">
      <c r="A111" s="88" t="s">
        <v>578</v>
      </c>
      <c r="B111" s="88"/>
      <c r="C111" s="88"/>
      <c r="D111" s="88"/>
      <c r="E111" s="96"/>
      <c r="F111" s="88"/>
      <c r="G111" s="88"/>
      <c r="H111" s="88"/>
      <c r="I111" s="88"/>
      <c r="J111" s="96"/>
      <c r="K111" s="96"/>
      <c r="L111" s="96"/>
      <c r="M111" s="88"/>
      <c r="N111" s="88"/>
      <c r="O111" s="88"/>
    </row>
    <row r="112" spans="1:15" x14ac:dyDescent="0.3">
      <c r="A112" s="88" t="s">
        <v>579</v>
      </c>
      <c r="B112" s="88"/>
      <c r="C112" s="88"/>
      <c r="D112" s="88"/>
      <c r="E112" s="96"/>
      <c r="F112" s="88"/>
      <c r="G112" s="88"/>
      <c r="H112" s="88"/>
      <c r="I112" s="88"/>
      <c r="J112" s="96"/>
      <c r="K112" s="96"/>
      <c r="L112" s="96"/>
      <c r="M112" s="88"/>
      <c r="N112" s="88"/>
      <c r="O112" s="88"/>
    </row>
    <row r="113" spans="1:15" x14ac:dyDescent="0.3">
      <c r="A113" s="88" t="s">
        <v>580</v>
      </c>
      <c r="B113" s="88"/>
      <c r="C113" s="88"/>
      <c r="D113" s="88"/>
      <c r="E113" s="96"/>
      <c r="F113" s="88"/>
      <c r="G113" s="88"/>
      <c r="H113" s="88"/>
      <c r="I113" s="88"/>
      <c r="J113" s="96"/>
      <c r="K113" s="96"/>
      <c r="L113" s="96"/>
      <c r="M113" s="88"/>
      <c r="N113" s="88"/>
      <c r="O113" s="88"/>
    </row>
    <row r="114" spans="1:15" x14ac:dyDescent="0.3">
      <c r="A114" s="88" t="s">
        <v>581</v>
      </c>
      <c r="B114" s="88"/>
      <c r="C114" s="88"/>
      <c r="D114" s="88"/>
      <c r="E114" s="96"/>
      <c r="F114" s="88"/>
      <c r="G114" s="88"/>
      <c r="H114" s="88"/>
      <c r="I114" s="88"/>
      <c r="J114" s="96"/>
      <c r="K114" s="96"/>
      <c r="L114" s="96"/>
      <c r="M114" s="88"/>
      <c r="N114" s="88"/>
      <c r="O114" s="88"/>
    </row>
    <row r="115" spans="1:15" x14ac:dyDescent="0.3">
      <c r="A115" s="88" t="s">
        <v>582</v>
      </c>
      <c r="B115" s="88"/>
      <c r="C115" s="88"/>
      <c r="D115" s="88"/>
      <c r="E115" s="96"/>
      <c r="F115" s="88"/>
      <c r="G115" s="88"/>
      <c r="H115" s="88"/>
      <c r="I115" s="88"/>
      <c r="J115" s="96"/>
      <c r="K115" s="96"/>
      <c r="L115" s="96"/>
      <c r="M115" s="88"/>
      <c r="N115" s="88"/>
      <c r="O115" s="88"/>
    </row>
    <row r="116" spans="1:15" x14ac:dyDescent="0.3">
      <c r="A116" s="88" t="s">
        <v>583</v>
      </c>
      <c r="B116" s="88"/>
      <c r="C116" s="88"/>
      <c r="D116" s="88"/>
      <c r="E116" s="96"/>
      <c r="F116" s="88"/>
      <c r="G116" s="88"/>
      <c r="H116" s="88"/>
      <c r="I116" s="88"/>
      <c r="J116" s="96"/>
      <c r="K116" s="96"/>
      <c r="L116" s="96"/>
      <c r="M116" s="88"/>
      <c r="N116" s="88"/>
      <c r="O116" s="88"/>
    </row>
    <row r="117" spans="1:15" x14ac:dyDescent="0.3">
      <c r="A117" s="88" t="s">
        <v>584</v>
      </c>
      <c r="B117" s="88"/>
      <c r="C117" s="88"/>
      <c r="D117" s="88"/>
      <c r="E117" s="96"/>
      <c r="F117" s="88"/>
      <c r="G117" s="88"/>
      <c r="H117" s="88"/>
      <c r="I117" s="88"/>
      <c r="J117" s="96"/>
      <c r="K117" s="96"/>
      <c r="L117" s="96"/>
      <c r="M117" s="88"/>
      <c r="N117" s="88"/>
      <c r="O117" s="88"/>
    </row>
    <row r="118" spans="1:15" x14ac:dyDescent="0.3">
      <c r="A118" s="88" t="s">
        <v>585</v>
      </c>
      <c r="B118" s="88"/>
      <c r="C118" s="88"/>
      <c r="D118" s="88"/>
      <c r="E118" s="96"/>
      <c r="F118" s="88"/>
      <c r="G118" s="88"/>
      <c r="H118" s="88"/>
      <c r="I118" s="88"/>
      <c r="J118" s="96"/>
      <c r="K118" s="96"/>
      <c r="L118" s="96"/>
      <c r="M118" s="88"/>
      <c r="N118" s="88"/>
      <c r="O118" s="88"/>
    </row>
    <row r="119" spans="1:15" x14ac:dyDescent="0.3">
      <c r="A119" s="88" t="s">
        <v>586</v>
      </c>
      <c r="B119" s="88"/>
      <c r="C119" s="88"/>
      <c r="D119" s="88"/>
      <c r="E119" s="96"/>
      <c r="F119" s="88"/>
      <c r="G119" s="88"/>
      <c r="H119" s="88"/>
      <c r="I119" s="88"/>
      <c r="J119" s="96"/>
      <c r="K119" s="96"/>
      <c r="L119" s="96"/>
      <c r="M119" s="88"/>
      <c r="N119" s="88"/>
      <c r="O119" s="88"/>
    </row>
    <row r="120" spans="1:15" x14ac:dyDescent="0.3">
      <c r="A120" s="88" t="s">
        <v>587</v>
      </c>
      <c r="B120" s="88"/>
      <c r="C120" s="88"/>
      <c r="D120" s="88"/>
      <c r="E120" s="96"/>
      <c r="F120" s="88"/>
      <c r="G120" s="88"/>
      <c r="H120" s="88"/>
      <c r="I120" s="88"/>
      <c r="J120" s="96"/>
      <c r="K120" s="96"/>
      <c r="L120" s="96"/>
      <c r="M120" s="88"/>
      <c r="N120" s="88"/>
      <c r="O120" s="88"/>
    </row>
    <row r="121" spans="1:15" x14ac:dyDescent="0.3">
      <c r="A121" s="88" t="s">
        <v>588</v>
      </c>
      <c r="B121" s="88"/>
      <c r="C121" s="88"/>
      <c r="D121" s="88"/>
      <c r="E121" s="96"/>
      <c r="F121" s="88"/>
      <c r="G121" s="88"/>
      <c r="H121" s="88"/>
      <c r="I121" s="88"/>
      <c r="J121" s="96"/>
      <c r="K121" s="96"/>
      <c r="L121" s="96"/>
      <c r="M121" s="88"/>
      <c r="N121" s="88"/>
      <c r="O121" s="88"/>
    </row>
    <row r="122" spans="1:15" x14ac:dyDescent="0.3">
      <c r="A122" s="88" t="s">
        <v>589</v>
      </c>
      <c r="B122" s="88"/>
      <c r="C122" s="88"/>
      <c r="D122" s="88"/>
      <c r="E122" s="96"/>
      <c r="F122" s="88"/>
      <c r="G122" s="88"/>
      <c r="H122" s="88"/>
      <c r="I122" s="88"/>
      <c r="J122" s="96"/>
      <c r="K122" s="96"/>
      <c r="L122" s="96"/>
      <c r="M122" s="88"/>
      <c r="N122" s="88"/>
      <c r="O122" s="88"/>
    </row>
    <row r="123" spans="1:15" x14ac:dyDescent="0.3">
      <c r="A123" s="88" t="s">
        <v>590</v>
      </c>
      <c r="B123" s="88"/>
      <c r="C123" s="88"/>
      <c r="D123" s="88"/>
      <c r="E123" s="96"/>
      <c r="F123" s="88"/>
      <c r="G123" s="88"/>
      <c r="H123" s="88"/>
      <c r="I123" s="88"/>
      <c r="J123" s="96"/>
      <c r="K123" s="96"/>
      <c r="L123" s="96"/>
      <c r="M123" s="88"/>
      <c r="N123" s="88"/>
      <c r="O123" s="88"/>
    </row>
    <row r="124" spans="1:15" x14ac:dyDescent="0.3">
      <c r="A124" s="88" t="s">
        <v>591</v>
      </c>
      <c r="B124" s="88"/>
      <c r="C124" s="88"/>
      <c r="D124" s="88"/>
      <c r="E124" s="96"/>
      <c r="F124" s="88"/>
      <c r="G124" s="88"/>
      <c r="H124" s="88"/>
      <c r="I124" s="88"/>
      <c r="J124" s="96"/>
      <c r="K124" s="96"/>
      <c r="L124" s="96"/>
      <c r="M124" s="88"/>
      <c r="N124" s="88"/>
      <c r="O124" s="88"/>
    </row>
    <row r="125" spans="1:15" x14ac:dyDescent="0.3">
      <c r="A125" s="88" t="s">
        <v>592</v>
      </c>
      <c r="B125" s="88"/>
      <c r="C125" s="88"/>
      <c r="D125" s="88"/>
      <c r="E125" s="96"/>
      <c r="F125" s="88"/>
      <c r="G125" s="88"/>
      <c r="H125" s="88"/>
      <c r="I125" s="88"/>
      <c r="J125" s="96"/>
      <c r="K125" s="96"/>
      <c r="L125" s="96"/>
      <c r="M125" s="88"/>
      <c r="N125" s="88"/>
      <c r="O125" s="88"/>
    </row>
    <row r="126" spans="1:15" x14ac:dyDescent="0.3">
      <c r="A126" s="88" t="s">
        <v>593</v>
      </c>
      <c r="B126" s="88"/>
      <c r="C126" s="88"/>
      <c r="D126" s="88"/>
      <c r="E126" s="96"/>
      <c r="F126" s="88"/>
      <c r="G126" s="88"/>
      <c r="H126" s="88"/>
      <c r="I126" s="88"/>
      <c r="J126" s="96"/>
      <c r="K126" s="96"/>
      <c r="L126" s="96"/>
      <c r="M126" s="88"/>
      <c r="N126" s="88"/>
      <c r="O126" s="88"/>
    </row>
    <row r="127" spans="1:15" x14ac:dyDescent="0.3">
      <c r="A127" s="88" t="s">
        <v>594</v>
      </c>
      <c r="B127" s="88"/>
      <c r="C127" s="88"/>
      <c r="D127" s="88"/>
      <c r="E127" s="96"/>
      <c r="F127" s="88"/>
      <c r="G127" s="88"/>
      <c r="H127" s="88"/>
      <c r="I127" s="88"/>
      <c r="J127" s="96"/>
      <c r="K127" s="96"/>
      <c r="L127" s="96"/>
      <c r="M127" s="88"/>
      <c r="N127" s="88"/>
      <c r="O127" s="88"/>
    </row>
    <row r="128" spans="1:15" x14ac:dyDescent="0.3">
      <c r="A128" s="88" t="s">
        <v>595</v>
      </c>
      <c r="B128" s="88"/>
      <c r="C128" s="88"/>
      <c r="D128" s="88"/>
      <c r="E128" s="96"/>
      <c r="F128" s="88"/>
      <c r="G128" s="88"/>
      <c r="H128" s="88"/>
      <c r="I128" s="88"/>
      <c r="J128" s="96"/>
      <c r="K128" s="96"/>
      <c r="L128" s="96"/>
      <c r="M128" s="88"/>
      <c r="N128" s="88"/>
      <c r="O128" s="88"/>
    </row>
    <row r="129" spans="1:15" x14ac:dyDescent="0.3">
      <c r="A129" s="88" t="s">
        <v>596</v>
      </c>
      <c r="B129" s="88"/>
      <c r="C129" s="88"/>
      <c r="D129" s="88"/>
      <c r="E129" s="96"/>
      <c r="F129" s="88"/>
      <c r="G129" s="88"/>
      <c r="H129" s="88"/>
      <c r="I129" s="88"/>
      <c r="J129" s="96"/>
      <c r="K129" s="96"/>
      <c r="L129" s="96"/>
      <c r="M129" s="88"/>
      <c r="N129" s="88"/>
      <c r="O129" s="88"/>
    </row>
    <row r="130" spans="1:15" x14ac:dyDescent="0.3">
      <c r="A130" s="88" t="s">
        <v>597</v>
      </c>
      <c r="B130" s="88"/>
      <c r="C130" s="88"/>
      <c r="D130" s="88"/>
      <c r="E130" s="96"/>
      <c r="F130" s="88"/>
      <c r="G130" s="88"/>
      <c r="H130" s="88"/>
      <c r="I130" s="88"/>
      <c r="J130" s="96"/>
      <c r="K130" s="96"/>
      <c r="L130" s="96"/>
      <c r="M130" s="88"/>
      <c r="N130" s="88"/>
      <c r="O130" s="88"/>
    </row>
    <row r="131" spans="1:15" x14ac:dyDescent="0.3">
      <c r="A131" s="88" t="s">
        <v>598</v>
      </c>
      <c r="B131" s="88"/>
      <c r="C131" s="88"/>
      <c r="D131" s="88"/>
      <c r="E131" s="96"/>
      <c r="F131" s="88"/>
      <c r="G131" s="88"/>
      <c r="H131" s="88"/>
      <c r="I131" s="88"/>
      <c r="J131" s="96"/>
      <c r="K131" s="96"/>
      <c r="L131" s="96"/>
      <c r="M131" s="88"/>
      <c r="N131" s="88"/>
      <c r="O131" s="88"/>
    </row>
    <row r="132" spans="1:15" x14ac:dyDescent="0.3">
      <c r="A132" s="88" t="s">
        <v>599</v>
      </c>
      <c r="B132" s="88"/>
      <c r="C132" s="88"/>
      <c r="D132" s="88"/>
      <c r="E132" s="96"/>
      <c r="F132" s="88"/>
      <c r="G132" s="88"/>
      <c r="H132" s="88"/>
      <c r="I132" s="88"/>
      <c r="J132" s="96"/>
      <c r="K132" s="96"/>
      <c r="L132" s="96"/>
      <c r="M132" s="88"/>
      <c r="N132" s="88"/>
      <c r="O132" s="88"/>
    </row>
    <row r="133" spans="1:15" x14ac:dyDescent="0.3">
      <c r="A133" s="88" t="s">
        <v>600</v>
      </c>
      <c r="B133" s="88"/>
      <c r="C133" s="88"/>
      <c r="D133" s="88"/>
      <c r="E133" s="96"/>
      <c r="F133" s="88"/>
      <c r="G133" s="88"/>
      <c r="H133" s="88"/>
      <c r="I133" s="88"/>
      <c r="J133" s="96"/>
      <c r="K133" s="96"/>
      <c r="L133" s="96"/>
      <c r="M133" s="88"/>
      <c r="N133" s="88"/>
      <c r="O133" s="88"/>
    </row>
    <row r="134" spans="1:15" x14ac:dyDescent="0.3">
      <c r="A134" s="88" t="s">
        <v>601</v>
      </c>
      <c r="B134" s="88"/>
      <c r="C134" s="88"/>
      <c r="D134" s="88"/>
      <c r="E134" s="96"/>
      <c r="F134" s="88"/>
      <c r="G134" s="88"/>
      <c r="H134" s="88"/>
      <c r="I134" s="88"/>
      <c r="J134" s="96"/>
      <c r="K134" s="96"/>
      <c r="L134" s="96"/>
      <c r="M134" s="88"/>
      <c r="N134" s="88"/>
      <c r="O134" s="88"/>
    </row>
    <row r="135" spans="1:15" x14ac:dyDescent="0.3">
      <c r="A135" s="88" t="s">
        <v>602</v>
      </c>
      <c r="B135" s="88"/>
      <c r="C135" s="88"/>
      <c r="D135" s="88"/>
      <c r="E135" s="96"/>
      <c r="F135" s="88"/>
      <c r="G135" s="88"/>
      <c r="H135" s="88"/>
      <c r="I135" s="88"/>
      <c r="J135" s="96"/>
      <c r="K135" s="96"/>
      <c r="L135" s="96"/>
      <c r="M135" s="88"/>
      <c r="N135" s="88"/>
      <c r="O135" s="88"/>
    </row>
    <row r="136" spans="1:15" x14ac:dyDescent="0.3">
      <c r="A136" s="88" t="s">
        <v>603</v>
      </c>
      <c r="B136" s="88"/>
      <c r="C136" s="88"/>
      <c r="D136" s="88"/>
      <c r="E136" s="96"/>
      <c r="F136" s="88"/>
      <c r="G136" s="88"/>
      <c r="H136" s="88"/>
      <c r="I136" s="88"/>
      <c r="J136" s="96"/>
      <c r="K136" s="96"/>
      <c r="L136" s="96"/>
      <c r="M136" s="88"/>
      <c r="N136" s="88"/>
      <c r="O136" s="88"/>
    </row>
    <row r="137" spans="1:15" x14ac:dyDescent="0.3">
      <c r="A137" s="88" t="s">
        <v>604</v>
      </c>
      <c r="B137" s="88"/>
      <c r="C137" s="88"/>
      <c r="D137" s="88"/>
      <c r="E137" s="96"/>
      <c r="F137" s="88"/>
      <c r="G137" s="88"/>
      <c r="H137" s="88"/>
      <c r="I137" s="88"/>
      <c r="J137" s="96"/>
      <c r="K137" s="96"/>
      <c r="L137" s="96"/>
      <c r="M137" s="88"/>
      <c r="N137" s="88"/>
      <c r="O137" s="88"/>
    </row>
    <row r="138" spans="1:15" x14ac:dyDescent="0.3">
      <c r="A138" s="88" t="s">
        <v>605</v>
      </c>
      <c r="B138" s="88"/>
      <c r="C138" s="88"/>
      <c r="D138" s="88"/>
      <c r="E138" s="96"/>
      <c r="F138" s="88"/>
      <c r="G138" s="88"/>
      <c r="H138" s="88"/>
      <c r="I138" s="88"/>
      <c r="J138" s="96"/>
      <c r="K138" s="96"/>
      <c r="L138" s="96"/>
      <c r="M138" s="88"/>
      <c r="N138" s="88"/>
      <c r="O138" s="88"/>
    </row>
    <row r="139" spans="1:15" x14ac:dyDescent="0.3">
      <c r="A139" s="88" t="s">
        <v>606</v>
      </c>
      <c r="B139" s="88"/>
      <c r="C139" s="88"/>
      <c r="D139" s="88"/>
      <c r="E139" s="96"/>
      <c r="F139" s="88"/>
      <c r="G139" s="88"/>
      <c r="H139" s="88"/>
      <c r="I139" s="88"/>
      <c r="J139" s="96"/>
      <c r="K139" s="96"/>
      <c r="L139" s="96"/>
      <c r="M139" s="88"/>
      <c r="N139" s="88"/>
      <c r="O139" s="88"/>
    </row>
    <row r="140" spans="1:15" x14ac:dyDescent="0.3">
      <c r="A140" s="88" t="s">
        <v>607</v>
      </c>
      <c r="B140" s="88"/>
      <c r="C140" s="88"/>
      <c r="D140" s="88"/>
      <c r="E140" s="96"/>
      <c r="F140" s="88"/>
      <c r="G140" s="88"/>
      <c r="H140" s="88"/>
      <c r="I140" s="88"/>
      <c r="J140" s="96"/>
      <c r="K140" s="96"/>
      <c r="L140" s="96"/>
      <c r="M140" s="88"/>
      <c r="N140" s="88"/>
      <c r="O140" s="88"/>
    </row>
    <row r="141" spans="1:15" x14ac:dyDescent="0.3">
      <c r="A141" s="88" t="s">
        <v>608</v>
      </c>
      <c r="B141" s="88"/>
      <c r="C141" s="88"/>
      <c r="D141" s="88"/>
      <c r="E141" s="96"/>
      <c r="F141" s="88"/>
      <c r="G141" s="88"/>
      <c r="H141" s="88"/>
      <c r="I141" s="88"/>
      <c r="J141" s="96"/>
      <c r="K141" s="96"/>
      <c r="L141" s="96"/>
      <c r="M141" s="88"/>
      <c r="N141" s="88"/>
      <c r="O141" s="88"/>
    </row>
    <row r="142" spans="1:15" x14ac:dyDescent="0.3">
      <c r="A142" s="88" t="s">
        <v>609</v>
      </c>
      <c r="B142" s="88"/>
      <c r="C142" s="88"/>
      <c r="D142" s="88"/>
      <c r="E142" s="96"/>
      <c r="F142" s="88"/>
      <c r="G142" s="88"/>
      <c r="H142" s="88"/>
      <c r="I142" s="88"/>
      <c r="J142" s="96"/>
      <c r="K142" s="96"/>
      <c r="L142" s="96"/>
      <c r="M142" s="88"/>
      <c r="N142" s="88"/>
      <c r="O142" s="88"/>
    </row>
    <row r="143" spans="1:15" x14ac:dyDescent="0.3">
      <c r="A143" s="88" t="s">
        <v>610</v>
      </c>
      <c r="B143" s="88"/>
      <c r="C143" s="88"/>
      <c r="D143" s="88"/>
      <c r="E143" s="96"/>
      <c r="F143" s="88"/>
      <c r="G143" s="88"/>
      <c r="H143" s="88"/>
      <c r="I143" s="88"/>
      <c r="J143" s="96"/>
      <c r="K143" s="96"/>
      <c r="L143" s="96"/>
      <c r="M143" s="88"/>
      <c r="N143" s="88"/>
      <c r="O143" s="88"/>
    </row>
    <row r="144" spans="1:15" x14ac:dyDescent="0.3">
      <c r="A144" s="88" t="s">
        <v>611</v>
      </c>
      <c r="B144" s="88"/>
      <c r="C144" s="88"/>
      <c r="D144" s="88"/>
      <c r="E144" s="96"/>
      <c r="F144" s="88"/>
      <c r="G144" s="88"/>
      <c r="H144" s="88"/>
      <c r="I144" s="88"/>
      <c r="J144" s="96"/>
      <c r="K144" s="96"/>
      <c r="L144" s="96"/>
      <c r="M144" s="88"/>
      <c r="N144" s="88"/>
      <c r="O144" s="88"/>
    </row>
    <row r="145" spans="1:15" x14ac:dyDescent="0.3">
      <c r="A145" s="88" t="s">
        <v>612</v>
      </c>
      <c r="B145" s="88"/>
      <c r="C145" s="88"/>
      <c r="D145" s="88"/>
      <c r="E145" s="96"/>
      <c r="F145" s="88"/>
      <c r="G145" s="88"/>
      <c r="H145" s="88"/>
      <c r="I145" s="88"/>
      <c r="J145" s="96"/>
      <c r="K145" s="96"/>
      <c r="L145" s="96"/>
      <c r="M145" s="88"/>
      <c r="N145" s="88"/>
      <c r="O145" s="88"/>
    </row>
    <row r="146" spans="1:15" x14ac:dyDescent="0.3">
      <c r="A146" s="88" t="s">
        <v>613</v>
      </c>
      <c r="B146" s="88"/>
      <c r="C146" s="88"/>
      <c r="D146" s="88"/>
      <c r="E146" s="96"/>
      <c r="F146" s="88"/>
      <c r="G146" s="88"/>
      <c r="H146" s="88"/>
      <c r="I146" s="88"/>
      <c r="J146" s="96"/>
      <c r="K146" s="96"/>
      <c r="L146" s="96"/>
      <c r="M146" s="88"/>
      <c r="N146" s="88"/>
      <c r="O146" s="88"/>
    </row>
    <row r="147" spans="1:15" x14ac:dyDescent="0.3">
      <c r="A147" s="88" t="s">
        <v>614</v>
      </c>
      <c r="B147" s="88"/>
      <c r="C147" s="88"/>
      <c r="D147" s="88"/>
      <c r="E147" s="96"/>
      <c r="F147" s="88"/>
      <c r="G147" s="88"/>
      <c r="H147" s="88"/>
      <c r="I147" s="88"/>
      <c r="J147" s="96"/>
      <c r="K147" s="96"/>
      <c r="L147" s="96"/>
      <c r="M147" s="88"/>
      <c r="N147" s="88"/>
      <c r="O147" s="88"/>
    </row>
    <row r="148" spans="1:15" x14ac:dyDescent="0.3">
      <c r="A148" s="88" t="s">
        <v>615</v>
      </c>
      <c r="B148" s="88"/>
      <c r="C148" s="88"/>
      <c r="D148" s="88"/>
      <c r="E148" s="96"/>
      <c r="F148" s="88"/>
      <c r="G148" s="88"/>
      <c r="H148" s="88"/>
      <c r="I148" s="88"/>
      <c r="J148" s="96"/>
      <c r="K148" s="96"/>
      <c r="L148" s="96"/>
      <c r="M148" s="88"/>
      <c r="N148" s="88"/>
      <c r="O148" s="88"/>
    </row>
    <row r="149" spans="1:15" x14ac:dyDescent="0.3">
      <c r="A149" s="88" t="s">
        <v>616</v>
      </c>
      <c r="B149" s="88"/>
      <c r="C149" s="88"/>
      <c r="D149" s="88"/>
      <c r="E149" s="96"/>
      <c r="F149" s="88"/>
      <c r="G149" s="88"/>
      <c r="H149" s="88"/>
      <c r="I149" s="88"/>
      <c r="J149" s="96"/>
      <c r="K149" s="96"/>
      <c r="L149" s="96"/>
      <c r="M149" s="88"/>
      <c r="N149" s="88"/>
      <c r="O149" s="88"/>
    </row>
    <row r="150" spans="1:15" x14ac:dyDescent="0.3">
      <c r="A150" s="88" t="s">
        <v>617</v>
      </c>
      <c r="B150" s="88"/>
      <c r="C150" s="88"/>
      <c r="D150" s="88"/>
      <c r="E150" s="96"/>
      <c r="F150" s="88"/>
      <c r="G150" s="88"/>
      <c r="H150" s="88"/>
      <c r="I150" s="88"/>
      <c r="J150" s="96"/>
      <c r="K150" s="96"/>
      <c r="L150" s="96"/>
      <c r="M150" s="88"/>
      <c r="N150" s="88"/>
      <c r="O150" s="88"/>
    </row>
    <row r="151" spans="1:15" x14ac:dyDescent="0.3">
      <c r="A151" s="88" t="s">
        <v>618</v>
      </c>
      <c r="B151" s="88"/>
      <c r="C151" s="88"/>
      <c r="D151" s="88"/>
      <c r="E151" s="96"/>
      <c r="F151" s="88"/>
      <c r="G151" s="88"/>
      <c r="H151" s="88"/>
      <c r="I151" s="88"/>
      <c r="J151" s="96"/>
      <c r="K151" s="96"/>
      <c r="L151" s="96"/>
      <c r="M151" s="88"/>
      <c r="N151" s="88"/>
      <c r="O151" s="88"/>
    </row>
    <row r="152" spans="1:15" x14ac:dyDescent="0.3">
      <c r="A152" s="88" t="s">
        <v>619</v>
      </c>
      <c r="B152" s="88"/>
      <c r="C152" s="88"/>
      <c r="D152" s="88"/>
      <c r="E152" s="96"/>
      <c r="F152" s="88"/>
      <c r="G152" s="88"/>
      <c r="H152" s="88"/>
      <c r="I152" s="88"/>
      <c r="J152" s="96"/>
      <c r="K152" s="96"/>
      <c r="L152" s="96"/>
      <c r="M152" s="88"/>
      <c r="N152" s="88"/>
      <c r="O152" s="88"/>
    </row>
    <row r="153" spans="1:15" x14ac:dyDescent="0.3">
      <c r="A153" s="88" t="s">
        <v>620</v>
      </c>
      <c r="B153" s="88"/>
      <c r="C153" s="88"/>
      <c r="D153" s="88"/>
      <c r="E153" s="96"/>
      <c r="F153" s="88"/>
      <c r="G153" s="88"/>
      <c r="H153" s="88"/>
      <c r="I153" s="88"/>
      <c r="J153" s="96"/>
      <c r="K153" s="96"/>
      <c r="L153" s="96"/>
      <c r="M153" s="88"/>
      <c r="N153" s="88"/>
      <c r="O153" s="88"/>
    </row>
    <row r="154" spans="1:15" x14ac:dyDescent="0.3">
      <c r="A154" s="88" t="s">
        <v>621</v>
      </c>
      <c r="B154" s="88"/>
      <c r="C154" s="88"/>
      <c r="D154" s="88"/>
      <c r="E154" s="96"/>
      <c r="F154" s="88"/>
      <c r="G154" s="88"/>
      <c r="H154" s="88"/>
      <c r="I154" s="88"/>
      <c r="J154" s="96"/>
      <c r="K154" s="96"/>
      <c r="L154" s="96"/>
      <c r="M154" s="88"/>
      <c r="N154" s="88"/>
      <c r="O154" s="88"/>
    </row>
    <row r="155" spans="1:15" x14ac:dyDescent="0.3">
      <c r="A155" s="88" t="s">
        <v>622</v>
      </c>
      <c r="B155" s="88"/>
      <c r="C155" s="88"/>
      <c r="D155" s="88"/>
      <c r="E155" s="96"/>
      <c r="F155" s="88"/>
      <c r="G155" s="88"/>
      <c r="H155" s="88"/>
      <c r="I155" s="88"/>
      <c r="J155" s="96"/>
      <c r="K155" s="96"/>
      <c r="L155" s="96"/>
      <c r="M155" s="88"/>
      <c r="N155" s="88"/>
      <c r="O155" s="88"/>
    </row>
    <row r="156" spans="1:15" x14ac:dyDescent="0.3">
      <c r="A156" s="88" t="s">
        <v>623</v>
      </c>
      <c r="B156" s="88"/>
      <c r="C156" s="88"/>
      <c r="D156" s="88"/>
      <c r="E156" s="96"/>
      <c r="F156" s="88"/>
      <c r="G156" s="88"/>
      <c r="H156" s="88"/>
      <c r="I156" s="88"/>
      <c r="J156" s="96"/>
      <c r="K156" s="96"/>
      <c r="L156" s="96"/>
      <c r="M156" s="88"/>
      <c r="N156" s="88"/>
      <c r="O156" s="88"/>
    </row>
    <row r="157" spans="1:15" x14ac:dyDescent="0.3">
      <c r="A157" s="88" t="s">
        <v>624</v>
      </c>
      <c r="B157" s="88"/>
      <c r="C157" s="88"/>
      <c r="D157" s="88"/>
      <c r="E157" s="96"/>
      <c r="F157" s="88"/>
      <c r="G157" s="88"/>
      <c r="H157" s="88"/>
      <c r="I157" s="88"/>
      <c r="J157" s="96"/>
      <c r="K157" s="96"/>
      <c r="L157" s="96"/>
      <c r="M157" s="88"/>
      <c r="N157" s="88"/>
      <c r="O157" s="88"/>
    </row>
    <row r="158" spans="1:15" x14ac:dyDescent="0.3">
      <c r="A158" s="88" t="s">
        <v>625</v>
      </c>
      <c r="B158" s="88"/>
      <c r="C158" s="88"/>
      <c r="D158" s="88"/>
      <c r="E158" s="96"/>
      <c r="F158" s="88"/>
      <c r="G158" s="88"/>
      <c r="H158" s="88"/>
      <c r="I158" s="88"/>
      <c r="J158" s="96"/>
      <c r="K158" s="96"/>
      <c r="L158" s="96"/>
      <c r="M158" s="88"/>
      <c r="N158" s="88"/>
      <c r="O158" s="88"/>
    </row>
    <row r="159" spans="1:15" x14ac:dyDescent="0.3">
      <c r="A159" s="88" t="s">
        <v>626</v>
      </c>
      <c r="B159" s="88"/>
      <c r="C159" s="88"/>
      <c r="D159" s="88"/>
      <c r="E159" s="96"/>
      <c r="F159" s="88"/>
      <c r="G159" s="88"/>
      <c r="H159" s="88"/>
      <c r="I159" s="88"/>
      <c r="J159" s="96"/>
      <c r="K159" s="96"/>
      <c r="L159" s="96"/>
      <c r="M159" s="88"/>
      <c r="N159" s="88"/>
      <c r="O159" s="88"/>
    </row>
    <row r="160" spans="1:15" x14ac:dyDescent="0.3">
      <c r="A160" s="88" t="s">
        <v>627</v>
      </c>
      <c r="B160" s="88"/>
      <c r="C160" s="88"/>
      <c r="D160" s="88"/>
      <c r="E160" s="96"/>
      <c r="F160" s="88"/>
      <c r="G160" s="88"/>
      <c r="H160" s="88"/>
      <c r="I160" s="88"/>
      <c r="J160" s="96"/>
      <c r="K160" s="96"/>
      <c r="L160" s="96"/>
      <c r="M160" s="88"/>
      <c r="N160" s="88"/>
      <c r="O160" s="88"/>
    </row>
    <row r="161" spans="1:15" x14ac:dyDescent="0.3">
      <c r="A161" s="88" t="s">
        <v>628</v>
      </c>
      <c r="B161" s="88"/>
      <c r="C161" s="88"/>
      <c r="D161" s="88"/>
      <c r="E161" s="96"/>
      <c r="F161" s="88"/>
      <c r="G161" s="88"/>
      <c r="H161" s="88"/>
      <c r="I161" s="88"/>
      <c r="J161" s="96"/>
      <c r="K161" s="96"/>
      <c r="L161" s="96"/>
      <c r="M161" s="88"/>
      <c r="N161" s="88"/>
      <c r="O161" s="88"/>
    </row>
    <row r="162" spans="1:15" x14ac:dyDescent="0.3">
      <c r="A162" s="88" t="s">
        <v>629</v>
      </c>
      <c r="B162" s="88"/>
      <c r="C162" s="88"/>
      <c r="D162" s="88"/>
      <c r="E162" s="96"/>
      <c r="F162" s="88"/>
      <c r="G162" s="88"/>
      <c r="H162" s="88"/>
      <c r="I162" s="88"/>
      <c r="J162" s="96"/>
      <c r="K162" s="96"/>
      <c r="L162" s="96"/>
      <c r="M162" s="88"/>
      <c r="N162" s="88"/>
      <c r="O162" s="88"/>
    </row>
    <row r="163" spans="1:15" x14ac:dyDescent="0.3">
      <c r="A163" s="88" t="s">
        <v>630</v>
      </c>
      <c r="B163" s="88"/>
      <c r="C163" s="88"/>
      <c r="D163" s="88"/>
      <c r="E163" s="96"/>
      <c r="F163" s="88"/>
      <c r="G163" s="88"/>
      <c r="H163" s="88"/>
      <c r="I163" s="88"/>
      <c r="J163" s="96"/>
      <c r="K163" s="96"/>
      <c r="L163" s="96"/>
      <c r="M163" s="88"/>
      <c r="N163" s="88"/>
      <c r="O163" s="88"/>
    </row>
    <row r="164" spans="1:15" x14ac:dyDescent="0.3">
      <c r="A164" s="88" t="s">
        <v>631</v>
      </c>
      <c r="B164" s="88"/>
      <c r="C164" s="88"/>
      <c r="D164" s="88"/>
      <c r="E164" s="96"/>
      <c r="F164" s="88"/>
      <c r="G164" s="88"/>
      <c r="H164" s="88"/>
      <c r="I164" s="88"/>
      <c r="J164" s="96"/>
      <c r="K164" s="96"/>
      <c r="L164" s="96"/>
      <c r="M164" s="88"/>
      <c r="N164" s="88"/>
      <c r="O164" s="88"/>
    </row>
    <row r="165" spans="1:15" x14ac:dyDescent="0.3">
      <c r="A165" s="88" t="s">
        <v>632</v>
      </c>
      <c r="B165" s="88"/>
      <c r="C165" s="88"/>
      <c r="D165" s="88"/>
      <c r="E165" s="96"/>
      <c r="F165" s="88"/>
      <c r="G165" s="88"/>
      <c r="H165" s="88"/>
      <c r="I165" s="88"/>
      <c r="J165" s="96"/>
      <c r="K165" s="96"/>
      <c r="L165" s="96"/>
      <c r="M165" s="88"/>
      <c r="N165" s="88"/>
      <c r="O165" s="88"/>
    </row>
    <row r="166" spans="1:15" x14ac:dyDescent="0.3">
      <c r="A166" s="88" t="s">
        <v>633</v>
      </c>
      <c r="B166" s="88"/>
      <c r="C166" s="88"/>
      <c r="D166" s="88"/>
      <c r="E166" s="96"/>
      <c r="F166" s="88"/>
      <c r="G166" s="88"/>
      <c r="H166" s="88"/>
      <c r="I166" s="88"/>
      <c r="J166" s="96"/>
      <c r="K166" s="96"/>
      <c r="L166" s="96"/>
      <c r="M166" s="88"/>
      <c r="N166" s="88"/>
      <c r="O166" s="88"/>
    </row>
    <row r="167" spans="1:15" x14ac:dyDescent="0.3">
      <c r="A167" s="88" t="s">
        <v>634</v>
      </c>
      <c r="B167" s="88"/>
      <c r="C167" s="88"/>
      <c r="D167" s="88"/>
      <c r="E167" s="96"/>
      <c r="F167" s="88"/>
      <c r="G167" s="88"/>
      <c r="H167" s="88"/>
      <c r="I167" s="88"/>
      <c r="J167" s="96"/>
      <c r="K167" s="96"/>
      <c r="L167" s="96"/>
      <c r="M167" s="88"/>
      <c r="N167" s="88"/>
      <c r="O167" s="88"/>
    </row>
    <row r="168" spans="1:15" x14ac:dyDescent="0.3">
      <c r="A168" s="88" t="s">
        <v>635</v>
      </c>
      <c r="B168" s="88"/>
      <c r="C168" s="88"/>
      <c r="D168" s="88"/>
      <c r="E168" s="96"/>
      <c r="F168" s="88"/>
      <c r="G168" s="88"/>
      <c r="H168" s="88"/>
      <c r="I168" s="88"/>
      <c r="J168" s="96"/>
      <c r="K168" s="96"/>
      <c r="L168" s="96"/>
      <c r="M168" s="88"/>
      <c r="N168" s="88"/>
      <c r="O168" s="88"/>
    </row>
    <row r="169" spans="1:15" x14ac:dyDescent="0.3">
      <c r="A169" s="88" t="s">
        <v>636</v>
      </c>
      <c r="B169" s="88"/>
      <c r="C169" s="88"/>
      <c r="D169" s="88"/>
      <c r="E169" s="96"/>
      <c r="F169" s="88"/>
      <c r="G169" s="88"/>
      <c r="H169" s="88"/>
      <c r="I169" s="88"/>
      <c r="J169" s="96"/>
      <c r="K169" s="96"/>
      <c r="L169" s="96"/>
      <c r="M169" s="88"/>
      <c r="N169" s="88"/>
      <c r="O169" s="88"/>
    </row>
    <row r="170" spans="1:15" x14ac:dyDescent="0.3">
      <c r="A170" s="88" t="s">
        <v>637</v>
      </c>
      <c r="B170" s="88"/>
      <c r="C170" s="88"/>
      <c r="D170" s="88"/>
      <c r="E170" s="96"/>
      <c r="F170" s="88"/>
      <c r="G170" s="88"/>
      <c r="H170" s="88"/>
      <c r="I170" s="88"/>
      <c r="J170" s="96"/>
      <c r="K170" s="96"/>
      <c r="L170" s="96"/>
      <c r="M170" s="88"/>
      <c r="N170" s="88"/>
      <c r="O170" s="88"/>
    </row>
    <row r="171" spans="1:15" x14ac:dyDescent="0.3">
      <c r="A171" s="88" t="s">
        <v>638</v>
      </c>
      <c r="B171" s="88"/>
      <c r="C171" s="88"/>
      <c r="D171" s="88"/>
      <c r="E171" s="96"/>
      <c r="F171" s="88"/>
      <c r="G171" s="88"/>
      <c r="H171" s="88"/>
      <c r="I171" s="88"/>
      <c r="J171" s="96"/>
      <c r="K171" s="96"/>
      <c r="L171" s="96"/>
      <c r="M171" s="88"/>
      <c r="N171" s="88"/>
      <c r="O171" s="88"/>
    </row>
    <row r="172" spans="1:15" x14ac:dyDescent="0.3">
      <c r="A172" s="88" t="s">
        <v>639</v>
      </c>
      <c r="B172" s="88"/>
      <c r="C172" s="88"/>
      <c r="D172" s="88"/>
      <c r="E172" s="96"/>
      <c r="F172" s="88"/>
      <c r="G172" s="88"/>
      <c r="H172" s="88"/>
      <c r="I172" s="88"/>
      <c r="J172" s="96"/>
      <c r="K172" s="96"/>
      <c r="L172" s="96"/>
      <c r="M172" s="88"/>
      <c r="N172" s="88"/>
      <c r="O172" s="88"/>
    </row>
    <row r="173" spans="1:15" x14ac:dyDescent="0.3">
      <c r="A173" s="88" t="s">
        <v>640</v>
      </c>
      <c r="B173" s="88"/>
      <c r="C173" s="88"/>
      <c r="D173" s="88"/>
      <c r="E173" s="96"/>
      <c r="F173" s="88"/>
      <c r="G173" s="88"/>
      <c r="H173" s="88"/>
      <c r="I173" s="88"/>
      <c r="J173" s="96"/>
      <c r="K173" s="96"/>
      <c r="L173" s="96"/>
      <c r="M173" s="88"/>
      <c r="N173" s="88"/>
      <c r="O173" s="88"/>
    </row>
    <row r="174" spans="1:15" x14ac:dyDescent="0.3">
      <c r="A174" s="88" t="s">
        <v>641</v>
      </c>
      <c r="B174" s="88"/>
      <c r="C174" s="88"/>
      <c r="D174" s="88"/>
      <c r="E174" s="96"/>
      <c r="F174" s="88"/>
      <c r="G174" s="88"/>
      <c r="H174" s="88"/>
      <c r="I174" s="88"/>
      <c r="J174" s="96"/>
      <c r="K174" s="96"/>
      <c r="L174" s="96"/>
      <c r="M174" s="88"/>
      <c r="N174" s="88"/>
      <c r="O174" s="88"/>
    </row>
    <row r="175" spans="1:15" x14ac:dyDescent="0.3">
      <c r="A175" s="88" t="s">
        <v>642</v>
      </c>
      <c r="B175" s="88"/>
      <c r="C175" s="88"/>
      <c r="D175" s="88"/>
      <c r="E175" s="96"/>
      <c r="F175" s="88"/>
      <c r="G175" s="88"/>
      <c r="H175" s="88"/>
      <c r="I175" s="88"/>
      <c r="J175" s="96"/>
      <c r="K175" s="96"/>
      <c r="L175" s="96"/>
      <c r="M175" s="88"/>
      <c r="N175" s="88"/>
      <c r="O175" s="88"/>
    </row>
    <row r="176" spans="1:15" x14ac:dyDescent="0.3">
      <c r="A176" s="88" t="s">
        <v>643</v>
      </c>
      <c r="B176" s="88"/>
      <c r="C176" s="88"/>
      <c r="D176" s="88"/>
      <c r="E176" s="96"/>
      <c r="F176" s="88"/>
      <c r="G176" s="88"/>
      <c r="H176" s="88"/>
      <c r="I176" s="88"/>
      <c r="J176" s="96"/>
      <c r="K176" s="96"/>
      <c r="L176" s="96"/>
      <c r="M176" s="88"/>
      <c r="N176" s="88"/>
      <c r="O176" s="88"/>
    </row>
    <row r="177" spans="1:15" x14ac:dyDescent="0.3">
      <c r="A177" s="88" t="s">
        <v>644</v>
      </c>
      <c r="B177" s="88"/>
      <c r="C177" s="88"/>
      <c r="D177" s="88"/>
      <c r="E177" s="96"/>
      <c r="F177" s="88"/>
      <c r="G177" s="88"/>
      <c r="H177" s="88"/>
      <c r="I177" s="88"/>
      <c r="J177" s="96"/>
      <c r="K177" s="96"/>
      <c r="L177" s="96"/>
      <c r="M177" s="88"/>
      <c r="N177" s="88"/>
      <c r="O177" s="88"/>
    </row>
    <row r="178" spans="1:15" x14ac:dyDescent="0.3">
      <c r="A178" s="88" t="s">
        <v>645</v>
      </c>
      <c r="B178" s="88"/>
      <c r="C178" s="88"/>
      <c r="D178" s="88"/>
      <c r="E178" s="96"/>
      <c r="F178" s="88"/>
      <c r="G178" s="88"/>
      <c r="H178" s="88"/>
      <c r="I178" s="88"/>
      <c r="J178" s="96"/>
      <c r="K178" s="96"/>
      <c r="L178" s="96"/>
      <c r="M178" s="88"/>
      <c r="N178" s="88"/>
      <c r="O178" s="88"/>
    </row>
    <row r="179" spans="1:15" x14ac:dyDescent="0.3">
      <c r="A179" s="88" t="s">
        <v>646</v>
      </c>
      <c r="B179" s="88"/>
      <c r="C179" s="88"/>
      <c r="D179" s="88"/>
      <c r="E179" s="96"/>
      <c r="F179" s="88"/>
      <c r="G179" s="88"/>
      <c r="H179" s="88"/>
      <c r="I179" s="88"/>
      <c r="J179" s="96"/>
      <c r="K179" s="96"/>
      <c r="L179" s="96"/>
      <c r="M179" s="88"/>
      <c r="N179" s="88"/>
      <c r="O179" s="88"/>
    </row>
    <row r="180" spans="1:15" x14ac:dyDescent="0.3">
      <c r="A180" s="88" t="s">
        <v>647</v>
      </c>
      <c r="B180" s="88"/>
      <c r="C180" s="88"/>
      <c r="D180" s="88"/>
      <c r="E180" s="96"/>
      <c r="F180" s="88"/>
      <c r="G180" s="88"/>
      <c r="H180" s="88"/>
      <c r="I180" s="88"/>
      <c r="J180" s="96"/>
      <c r="K180" s="96"/>
      <c r="L180" s="96"/>
      <c r="M180" s="88"/>
      <c r="N180" s="88"/>
      <c r="O180" s="88"/>
    </row>
    <row r="181" spans="1:15" x14ac:dyDescent="0.3">
      <c r="A181" s="88" t="s">
        <v>648</v>
      </c>
      <c r="B181" s="88"/>
      <c r="C181" s="88"/>
      <c r="D181" s="88"/>
      <c r="E181" s="96"/>
      <c r="F181" s="88"/>
      <c r="G181" s="88"/>
      <c r="H181" s="88"/>
      <c r="I181" s="88"/>
      <c r="J181" s="96"/>
      <c r="K181" s="96"/>
      <c r="L181" s="96"/>
      <c r="M181" s="88"/>
      <c r="N181" s="88"/>
      <c r="O181" s="88"/>
    </row>
    <row r="182" spans="1:15" x14ac:dyDescent="0.3">
      <c r="A182" s="88" t="s">
        <v>649</v>
      </c>
      <c r="B182" s="88"/>
      <c r="C182" s="88"/>
      <c r="D182" s="88"/>
      <c r="E182" s="96"/>
      <c r="F182" s="88"/>
      <c r="G182" s="88"/>
      <c r="H182" s="88"/>
      <c r="I182" s="88"/>
      <c r="J182" s="96"/>
      <c r="K182" s="96"/>
      <c r="L182" s="96"/>
      <c r="M182" s="88"/>
      <c r="N182" s="88"/>
      <c r="O182" s="88"/>
    </row>
    <row r="183" spans="1:15" x14ac:dyDescent="0.3">
      <c r="A183" s="88" t="s">
        <v>650</v>
      </c>
      <c r="B183" s="88"/>
      <c r="C183" s="88"/>
      <c r="D183" s="88"/>
      <c r="E183" s="96"/>
      <c r="F183" s="88"/>
      <c r="G183" s="88"/>
      <c r="H183" s="88"/>
      <c r="I183" s="88"/>
      <c r="J183" s="96"/>
      <c r="K183" s="96"/>
      <c r="L183" s="96"/>
      <c r="M183" s="88"/>
      <c r="N183" s="88"/>
      <c r="O183" s="88"/>
    </row>
    <row r="184" spans="1:15" x14ac:dyDescent="0.3">
      <c r="A184" s="88" t="s">
        <v>651</v>
      </c>
      <c r="B184" s="88"/>
      <c r="C184" s="88"/>
      <c r="D184" s="88"/>
      <c r="E184" s="96"/>
      <c r="F184" s="88"/>
      <c r="G184" s="88"/>
      <c r="H184" s="88"/>
      <c r="I184" s="88"/>
      <c r="J184" s="96"/>
      <c r="K184" s="96"/>
      <c r="L184" s="96"/>
      <c r="M184" s="88"/>
      <c r="N184" s="88"/>
      <c r="O184" s="88"/>
    </row>
    <row r="185" spans="1:15" x14ac:dyDescent="0.3">
      <c r="A185" s="88" t="s">
        <v>652</v>
      </c>
      <c r="B185" s="88"/>
      <c r="C185" s="88"/>
      <c r="D185" s="88"/>
      <c r="E185" s="96"/>
      <c r="F185" s="88"/>
      <c r="G185" s="88"/>
      <c r="H185" s="88"/>
      <c r="I185" s="88"/>
      <c r="J185" s="96"/>
      <c r="K185" s="96"/>
      <c r="L185" s="96"/>
      <c r="M185" s="88"/>
      <c r="N185" s="88"/>
      <c r="O185" s="88"/>
    </row>
    <row r="186" spans="1:15" x14ac:dyDescent="0.3">
      <c r="A186" s="88" t="s">
        <v>653</v>
      </c>
      <c r="B186" s="88"/>
      <c r="C186" s="88"/>
      <c r="D186" s="88"/>
      <c r="E186" s="96"/>
      <c r="F186" s="88"/>
      <c r="G186" s="88"/>
      <c r="H186" s="88"/>
      <c r="I186" s="88"/>
      <c r="J186" s="96"/>
      <c r="K186" s="96"/>
      <c r="L186" s="96"/>
      <c r="M186" s="88"/>
      <c r="N186" s="88"/>
      <c r="O186" s="88"/>
    </row>
    <row r="187" spans="1:15" x14ac:dyDescent="0.3">
      <c r="A187" s="88" t="s">
        <v>654</v>
      </c>
      <c r="B187" s="88"/>
      <c r="C187" s="88"/>
      <c r="D187" s="88"/>
      <c r="E187" s="96"/>
      <c r="F187" s="88"/>
      <c r="G187" s="88"/>
      <c r="H187" s="88"/>
      <c r="I187" s="88"/>
      <c r="J187" s="96"/>
      <c r="K187" s="96"/>
      <c r="L187" s="96"/>
      <c r="M187" s="88"/>
      <c r="N187" s="88"/>
      <c r="O187" s="88"/>
    </row>
    <row r="188" spans="1:15" x14ac:dyDescent="0.3">
      <c r="A188" s="88" t="s">
        <v>655</v>
      </c>
      <c r="B188" s="88"/>
      <c r="C188" s="88"/>
      <c r="D188" s="88"/>
      <c r="E188" s="96"/>
      <c r="F188" s="88"/>
      <c r="G188" s="88"/>
      <c r="H188" s="88"/>
      <c r="I188" s="88"/>
      <c r="J188" s="96"/>
      <c r="K188" s="96"/>
      <c r="L188" s="96"/>
      <c r="M188" s="88"/>
      <c r="N188" s="88"/>
      <c r="O188" s="88"/>
    </row>
    <row r="189" spans="1:15" x14ac:dyDescent="0.3">
      <c r="A189" s="88" t="s">
        <v>656</v>
      </c>
      <c r="B189" s="88"/>
      <c r="C189" s="88"/>
      <c r="D189" s="88"/>
      <c r="E189" s="96"/>
      <c r="F189" s="88"/>
      <c r="G189" s="88"/>
      <c r="H189" s="88"/>
      <c r="I189" s="88"/>
      <c r="J189" s="96"/>
      <c r="K189" s="96"/>
      <c r="L189" s="96"/>
      <c r="M189" s="88"/>
      <c r="N189" s="88"/>
      <c r="O189" s="88"/>
    </row>
    <row r="190" spans="1:15" x14ac:dyDescent="0.3">
      <c r="A190" s="88" t="s">
        <v>657</v>
      </c>
      <c r="B190" s="88"/>
      <c r="C190" s="88"/>
      <c r="D190" s="88"/>
      <c r="E190" s="96"/>
      <c r="F190" s="88"/>
      <c r="G190" s="88"/>
      <c r="H190" s="88"/>
      <c r="I190" s="88"/>
      <c r="J190" s="96"/>
      <c r="K190" s="96"/>
      <c r="L190" s="96"/>
      <c r="M190" s="88"/>
      <c r="N190" s="88"/>
      <c r="O190" s="88"/>
    </row>
    <row r="191" spans="1:15" x14ac:dyDescent="0.3">
      <c r="A191" s="88" t="s">
        <v>658</v>
      </c>
      <c r="B191" s="88"/>
      <c r="C191" s="88"/>
      <c r="D191" s="88"/>
      <c r="E191" s="96"/>
      <c r="F191" s="88"/>
      <c r="G191" s="88"/>
      <c r="H191" s="88"/>
      <c r="I191" s="88"/>
      <c r="J191" s="96"/>
      <c r="K191" s="96"/>
      <c r="L191" s="96"/>
      <c r="M191" s="88"/>
      <c r="N191" s="88"/>
      <c r="O191" s="88"/>
    </row>
    <row r="192" spans="1:15" x14ac:dyDescent="0.3">
      <c r="A192" s="88" t="s">
        <v>659</v>
      </c>
      <c r="B192" s="88"/>
      <c r="C192" s="88"/>
      <c r="D192" s="88"/>
      <c r="E192" s="96"/>
      <c r="F192" s="88"/>
      <c r="G192" s="88"/>
      <c r="H192" s="88"/>
      <c r="I192" s="88"/>
      <c r="J192" s="96"/>
      <c r="K192" s="96"/>
      <c r="L192" s="96"/>
      <c r="M192" s="88"/>
      <c r="N192" s="88"/>
      <c r="O192" s="88"/>
    </row>
    <row r="193" spans="1:15" x14ac:dyDescent="0.3">
      <c r="A193" s="88" t="s">
        <v>660</v>
      </c>
      <c r="B193" s="88"/>
      <c r="C193" s="88"/>
      <c r="D193" s="88"/>
      <c r="E193" s="96"/>
      <c r="F193" s="88"/>
      <c r="G193" s="88"/>
      <c r="H193" s="88"/>
      <c r="I193" s="88"/>
      <c r="J193" s="96"/>
      <c r="K193" s="96"/>
      <c r="L193" s="96"/>
      <c r="M193" s="88"/>
      <c r="N193" s="88"/>
      <c r="O193" s="88"/>
    </row>
    <row r="194" spans="1:15" x14ac:dyDescent="0.3">
      <c r="A194" s="88" t="s">
        <v>661</v>
      </c>
      <c r="B194" s="88"/>
      <c r="C194" s="88"/>
      <c r="D194" s="88"/>
      <c r="E194" s="96"/>
      <c r="F194" s="88"/>
      <c r="G194" s="88"/>
      <c r="H194" s="88"/>
      <c r="I194" s="88"/>
      <c r="J194" s="96"/>
      <c r="K194" s="96"/>
      <c r="L194" s="96"/>
      <c r="M194" s="88"/>
      <c r="N194" s="88"/>
      <c r="O194" s="88"/>
    </row>
    <row r="195" spans="1:15" x14ac:dyDescent="0.3">
      <c r="A195" s="88" t="s">
        <v>662</v>
      </c>
      <c r="B195" s="88"/>
      <c r="C195" s="88"/>
      <c r="D195" s="88"/>
      <c r="E195" s="96"/>
      <c r="F195" s="88"/>
      <c r="G195" s="88"/>
      <c r="H195" s="88"/>
      <c r="I195" s="88"/>
      <c r="J195" s="96"/>
      <c r="K195" s="96"/>
      <c r="L195" s="96"/>
      <c r="M195" s="88"/>
      <c r="N195" s="88"/>
      <c r="O195" s="88"/>
    </row>
    <row r="196" spans="1:15" x14ac:dyDescent="0.3">
      <c r="A196" s="88" t="s">
        <v>663</v>
      </c>
      <c r="B196" s="88"/>
      <c r="C196" s="88"/>
      <c r="D196" s="88"/>
      <c r="E196" s="96"/>
      <c r="F196" s="88"/>
      <c r="G196" s="88"/>
      <c r="H196" s="88"/>
      <c r="I196" s="88"/>
      <c r="J196" s="96"/>
      <c r="K196" s="96"/>
      <c r="L196" s="96"/>
      <c r="M196" s="88"/>
      <c r="N196" s="88"/>
      <c r="O196" s="88"/>
    </row>
    <row r="197" spans="1:15" x14ac:dyDescent="0.3">
      <c r="A197" s="88" t="s">
        <v>664</v>
      </c>
      <c r="B197" s="88"/>
      <c r="C197" s="88"/>
      <c r="D197" s="88"/>
      <c r="E197" s="96"/>
      <c r="F197" s="88"/>
      <c r="G197" s="88"/>
      <c r="H197" s="88"/>
      <c r="I197" s="88"/>
      <c r="J197" s="96"/>
      <c r="K197" s="96"/>
      <c r="L197" s="96"/>
      <c r="M197" s="88"/>
      <c r="N197" s="88"/>
      <c r="O197" s="88"/>
    </row>
    <row r="198" spans="1:15" x14ac:dyDescent="0.3">
      <c r="A198" s="88" t="s">
        <v>665</v>
      </c>
      <c r="B198" s="88"/>
      <c r="C198" s="88"/>
      <c r="D198" s="88"/>
      <c r="E198" s="96"/>
      <c r="F198" s="88"/>
      <c r="G198" s="88"/>
      <c r="H198" s="88"/>
      <c r="I198" s="88"/>
      <c r="J198" s="96"/>
      <c r="K198" s="96"/>
      <c r="L198" s="96"/>
      <c r="M198" s="88"/>
      <c r="N198" s="88"/>
      <c r="O198" s="88"/>
    </row>
    <row r="199" spans="1:15" x14ac:dyDescent="0.3">
      <c r="A199" s="88" t="s">
        <v>666</v>
      </c>
      <c r="B199" s="88"/>
      <c r="C199" s="88"/>
      <c r="D199" s="88"/>
      <c r="E199" s="96"/>
      <c r="F199" s="88"/>
      <c r="G199" s="88"/>
      <c r="H199" s="88"/>
      <c r="I199" s="88"/>
      <c r="J199" s="96"/>
      <c r="K199" s="96"/>
      <c r="L199" s="96"/>
      <c r="M199" s="88"/>
      <c r="N199" s="88"/>
      <c r="O199" s="88"/>
    </row>
    <row r="200" spans="1:15" x14ac:dyDescent="0.3">
      <c r="A200" s="88" t="s">
        <v>667</v>
      </c>
      <c r="B200" s="88"/>
      <c r="C200" s="88"/>
      <c r="D200" s="88"/>
      <c r="E200" s="96"/>
      <c r="F200" s="88"/>
      <c r="G200" s="88"/>
      <c r="H200" s="88"/>
      <c r="I200" s="88"/>
      <c r="J200" s="96"/>
      <c r="K200" s="96"/>
      <c r="L200" s="96"/>
      <c r="M200" s="88"/>
      <c r="N200" s="88"/>
      <c r="O200" s="88"/>
    </row>
    <row r="201" spans="1:15" x14ac:dyDescent="0.3">
      <c r="A201" s="88" t="s">
        <v>668</v>
      </c>
      <c r="B201" s="88"/>
      <c r="C201" s="88"/>
      <c r="D201" s="88"/>
      <c r="E201" s="96"/>
      <c r="F201" s="88"/>
      <c r="G201" s="88"/>
      <c r="H201" s="88"/>
      <c r="I201" s="88"/>
      <c r="J201" s="96"/>
      <c r="K201" s="96"/>
      <c r="L201" s="96"/>
      <c r="M201" s="88"/>
      <c r="N201" s="88"/>
      <c r="O201" s="88"/>
    </row>
    <row r="202" spans="1:15" x14ac:dyDescent="0.3">
      <c r="A202" s="88" t="s">
        <v>669</v>
      </c>
      <c r="B202" s="88"/>
      <c r="C202" s="88"/>
      <c r="D202" s="88"/>
      <c r="E202" s="96"/>
      <c r="F202" s="88"/>
      <c r="G202" s="88"/>
      <c r="H202" s="88"/>
      <c r="I202" s="88"/>
      <c r="J202" s="96"/>
      <c r="K202" s="96"/>
      <c r="L202" s="96"/>
      <c r="M202" s="88"/>
      <c r="N202" s="88"/>
      <c r="O202" s="88"/>
    </row>
    <row r="203" spans="1:15" x14ac:dyDescent="0.3">
      <c r="A203" s="88" t="s">
        <v>670</v>
      </c>
      <c r="B203" s="88"/>
      <c r="C203" s="88"/>
      <c r="D203" s="88"/>
      <c r="E203" s="96"/>
      <c r="F203" s="88"/>
      <c r="G203" s="88"/>
      <c r="H203" s="88"/>
      <c r="I203" s="88"/>
      <c r="J203" s="96"/>
      <c r="K203" s="96"/>
      <c r="L203" s="96"/>
      <c r="M203" s="88"/>
      <c r="N203" s="88"/>
      <c r="O203" s="88"/>
    </row>
    <row r="204" spans="1:15" x14ac:dyDescent="0.3">
      <c r="A204" s="88" t="s">
        <v>671</v>
      </c>
      <c r="B204" s="88"/>
      <c r="C204" s="88"/>
      <c r="D204" s="88"/>
      <c r="E204" s="96"/>
      <c r="F204" s="88"/>
      <c r="G204" s="88"/>
      <c r="H204" s="88"/>
      <c r="I204" s="88"/>
      <c r="J204" s="96"/>
      <c r="K204" s="96"/>
      <c r="L204" s="96"/>
      <c r="M204" s="88"/>
      <c r="N204" s="88"/>
      <c r="O204" s="88"/>
    </row>
    <row r="205" spans="1:15" x14ac:dyDescent="0.3">
      <c r="A205" s="88" t="s">
        <v>672</v>
      </c>
      <c r="B205" s="88"/>
      <c r="C205" s="88"/>
      <c r="D205" s="88"/>
      <c r="E205" s="96"/>
      <c r="F205" s="88"/>
      <c r="G205" s="88"/>
      <c r="H205" s="88"/>
      <c r="I205" s="88"/>
      <c r="J205" s="96"/>
      <c r="K205" s="96"/>
      <c r="L205" s="96"/>
      <c r="M205" s="88"/>
      <c r="N205" s="88"/>
      <c r="O205" s="88"/>
    </row>
    <row r="206" spans="1:15" x14ac:dyDescent="0.3">
      <c r="A206" s="88" t="s">
        <v>673</v>
      </c>
      <c r="B206" s="88"/>
      <c r="C206" s="88"/>
      <c r="D206" s="88"/>
      <c r="E206" s="96"/>
      <c r="F206" s="88"/>
      <c r="G206" s="88"/>
      <c r="H206" s="88"/>
      <c r="I206" s="88"/>
      <c r="J206" s="96"/>
      <c r="K206" s="96"/>
      <c r="L206" s="96"/>
      <c r="M206" s="88"/>
      <c r="N206" s="88"/>
      <c r="O206" s="88"/>
    </row>
    <row r="207" spans="1:15" x14ac:dyDescent="0.3">
      <c r="A207" s="88" t="s">
        <v>674</v>
      </c>
      <c r="B207" s="88"/>
      <c r="C207" s="88"/>
      <c r="D207" s="88"/>
      <c r="E207" s="96"/>
      <c r="F207" s="88"/>
      <c r="G207" s="88"/>
      <c r="H207" s="88"/>
      <c r="I207" s="88"/>
      <c r="J207" s="96"/>
      <c r="K207" s="96"/>
      <c r="L207" s="96"/>
      <c r="M207" s="88"/>
      <c r="N207" s="88"/>
      <c r="O207" s="88"/>
    </row>
    <row r="208" spans="1:15" x14ac:dyDescent="0.3">
      <c r="A208" s="88" t="s">
        <v>675</v>
      </c>
      <c r="B208" s="88"/>
      <c r="C208" s="88"/>
      <c r="D208" s="88"/>
      <c r="E208" s="96"/>
      <c r="F208" s="88"/>
      <c r="G208" s="88"/>
      <c r="H208" s="88"/>
      <c r="I208" s="88"/>
      <c r="J208" s="96"/>
      <c r="K208" s="96"/>
      <c r="L208" s="96"/>
      <c r="M208" s="88"/>
      <c r="N208" s="88"/>
      <c r="O208" s="88"/>
    </row>
    <row r="209" spans="1:15" x14ac:dyDescent="0.3">
      <c r="A209" s="88" t="s">
        <v>676</v>
      </c>
      <c r="B209" s="88"/>
      <c r="C209" s="88"/>
      <c r="D209" s="88"/>
      <c r="E209" s="96"/>
      <c r="F209" s="88"/>
      <c r="G209" s="88"/>
      <c r="H209" s="88"/>
      <c r="I209" s="88"/>
      <c r="J209" s="96"/>
      <c r="K209" s="96"/>
      <c r="L209" s="96"/>
      <c r="M209" s="88"/>
      <c r="N209" s="88"/>
      <c r="O209" s="88"/>
    </row>
    <row r="210" spans="1:15" x14ac:dyDescent="0.3">
      <c r="A210" s="88" t="s">
        <v>677</v>
      </c>
      <c r="B210" s="88"/>
      <c r="C210" s="88"/>
      <c r="D210" s="88"/>
      <c r="E210" s="96"/>
      <c r="F210" s="88"/>
      <c r="G210" s="88"/>
      <c r="H210" s="88"/>
      <c r="I210" s="88"/>
      <c r="J210" s="96"/>
      <c r="K210" s="96"/>
      <c r="L210" s="96"/>
      <c r="M210" s="88"/>
      <c r="N210" s="88"/>
      <c r="O210" s="88"/>
    </row>
    <row r="211" spans="1:15" x14ac:dyDescent="0.3">
      <c r="A211" s="88" t="s">
        <v>678</v>
      </c>
      <c r="B211" s="88"/>
      <c r="C211" s="88"/>
      <c r="D211" s="88"/>
      <c r="E211" s="96"/>
      <c r="F211" s="88"/>
      <c r="G211" s="88"/>
      <c r="H211" s="88"/>
      <c r="I211" s="88"/>
      <c r="J211" s="96"/>
      <c r="K211" s="96"/>
      <c r="L211" s="96"/>
      <c r="M211" s="88"/>
      <c r="N211" s="88"/>
      <c r="O211" s="88"/>
    </row>
    <row r="212" spans="1:15" x14ac:dyDescent="0.3">
      <c r="A212" s="88" t="s">
        <v>679</v>
      </c>
      <c r="B212" s="88"/>
      <c r="C212" s="88"/>
      <c r="D212" s="88"/>
      <c r="E212" s="96"/>
      <c r="F212" s="88"/>
      <c r="G212" s="88"/>
      <c r="H212" s="88"/>
      <c r="I212" s="88"/>
      <c r="J212" s="96"/>
      <c r="K212" s="96"/>
      <c r="L212" s="96"/>
      <c r="M212" s="88"/>
      <c r="N212" s="88"/>
      <c r="O212" s="88"/>
    </row>
    <row r="213" spans="1:15" x14ac:dyDescent="0.3">
      <c r="A213" s="88" t="s">
        <v>680</v>
      </c>
      <c r="B213" s="88"/>
      <c r="C213" s="88"/>
      <c r="D213" s="88"/>
      <c r="E213" s="96"/>
      <c r="F213" s="88"/>
      <c r="G213" s="88"/>
      <c r="H213" s="88"/>
      <c r="I213" s="88"/>
      <c r="J213" s="96"/>
      <c r="K213" s="96"/>
      <c r="L213" s="96"/>
      <c r="M213" s="88"/>
      <c r="N213" s="88"/>
      <c r="O213" s="88"/>
    </row>
    <row r="214" spans="1:15" x14ac:dyDescent="0.3">
      <c r="A214" s="88" t="s">
        <v>681</v>
      </c>
      <c r="B214" s="88"/>
      <c r="C214" s="88"/>
      <c r="D214" s="88"/>
      <c r="E214" s="96"/>
      <c r="F214" s="88"/>
      <c r="G214" s="88"/>
      <c r="H214" s="88"/>
      <c r="I214" s="88"/>
      <c r="J214" s="96"/>
      <c r="K214" s="96"/>
      <c r="L214" s="96"/>
      <c r="M214" s="88"/>
      <c r="N214" s="88"/>
      <c r="O214" s="88"/>
    </row>
    <row r="215" spans="1:15" x14ac:dyDescent="0.3">
      <c r="A215" s="88" t="s">
        <v>682</v>
      </c>
      <c r="B215" s="88"/>
      <c r="C215" s="88"/>
      <c r="D215" s="88"/>
      <c r="E215" s="96"/>
      <c r="F215" s="88"/>
      <c r="G215" s="88"/>
      <c r="H215" s="88"/>
      <c r="I215" s="88"/>
      <c r="J215" s="96"/>
      <c r="K215" s="96"/>
      <c r="L215" s="96"/>
      <c r="M215" s="88"/>
      <c r="N215" s="88"/>
      <c r="O215" s="88"/>
    </row>
    <row r="216" spans="1:15" x14ac:dyDescent="0.3">
      <c r="A216" s="88" t="s">
        <v>683</v>
      </c>
      <c r="B216" s="88"/>
      <c r="C216" s="88"/>
      <c r="D216" s="88"/>
      <c r="E216" s="96"/>
      <c r="F216" s="88"/>
      <c r="G216" s="88"/>
      <c r="H216" s="88"/>
      <c r="I216" s="88"/>
      <c r="J216" s="96"/>
      <c r="K216" s="96"/>
      <c r="L216" s="96"/>
      <c r="M216" s="88"/>
      <c r="N216" s="88"/>
      <c r="O216" s="88"/>
    </row>
    <row r="217" spans="1:15" x14ac:dyDescent="0.3">
      <c r="A217" s="88" t="s">
        <v>684</v>
      </c>
      <c r="B217" s="88"/>
      <c r="C217" s="88"/>
      <c r="D217" s="88"/>
      <c r="E217" s="96"/>
      <c r="F217" s="88"/>
      <c r="G217" s="88"/>
      <c r="H217" s="88"/>
      <c r="I217" s="88"/>
      <c r="J217" s="96"/>
      <c r="K217" s="96"/>
      <c r="L217" s="96"/>
      <c r="M217" s="88"/>
      <c r="N217" s="88"/>
      <c r="O217" s="88"/>
    </row>
    <row r="218" spans="1:15" x14ac:dyDescent="0.3">
      <c r="A218" s="88" t="s">
        <v>685</v>
      </c>
      <c r="B218" s="88"/>
      <c r="C218" s="88"/>
      <c r="D218" s="88"/>
      <c r="E218" s="96"/>
      <c r="F218" s="88"/>
      <c r="G218" s="88"/>
      <c r="H218" s="88"/>
      <c r="I218" s="88"/>
      <c r="J218" s="96"/>
      <c r="K218" s="96"/>
      <c r="L218" s="96"/>
      <c r="M218" s="88"/>
      <c r="N218" s="88"/>
      <c r="O218" s="88"/>
    </row>
    <row r="219" spans="1:15" x14ac:dyDescent="0.3">
      <c r="A219" s="88" t="s">
        <v>686</v>
      </c>
      <c r="B219" s="88"/>
      <c r="C219" s="88"/>
      <c r="D219" s="88"/>
      <c r="E219" s="96"/>
      <c r="F219" s="88"/>
      <c r="G219" s="88"/>
      <c r="H219" s="88"/>
      <c r="I219" s="88"/>
      <c r="J219" s="96"/>
      <c r="K219" s="96"/>
      <c r="L219" s="96"/>
      <c r="M219" s="88"/>
      <c r="N219" s="88"/>
      <c r="O219" s="88"/>
    </row>
    <row r="220" spans="1:15" x14ac:dyDescent="0.3">
      <c r="A220" s="88" t="s">
        <v>687</v>
      </c>
      <c r="B220" s="88"/>
      <c r="C220" s="88"/>
      <c r="D220" s="88"/>
      <c r="E220" s="96"/>
      <c r="F220" s="88"/>
      <c r="G220" s="88"/>
      <c r="H220" s="88"/>
      <c r="I220" s="88"/>
      <c r="J220" s="96"/>
      <c r="K220" s="96"/>
      <c r="L220" s="96"/>
      <c r="M220" s="88"/>
      <c r="N220" s="88"/>
      <c r="O220" s="88"/>
    </row>
    <row r="221" spans="1:15" x14ac:dyDescent="0.3">
      <c r="A221" s="88" t="s">
        <v>688</v>
      </c>
      <c r="B221" s="88"/>
      <c r="C221" s="88"/>
      <c r="D221" s="88"/>
      <c r="E221" s="96"/>
      <c r="F221" s="88"/>
      <c r="G221" s="88"/>
      <c r="H221" s="88"/>
      <c r="I221" s="88"/>
      <c r="J221" s="96"/>
      <c r="K221" s="96"/>
      <c r="L221" s="96"/>
      <c r="M221" s="88"/>
      <c r="N221" s="88"/>
      <c r="O221" s="88"/>
    </row>
    <row r="222" spans="1:15" x14ac:dyDescent="0.3">
      <c r="A222" s="88" t="s">
        <v>689</v>
      </c>
      <c r="B222" s="88"/>
      <c r="C222" s="88"/>
      <c r="D222" s="88"/>
      <c r="E222" s="96"/>
      <c r="F222" s="88"/>
      <c r="G222" s="88"/>
      <c r="H222" s="88"/>
      <c r="I222" s="88"/>
      <c r="J222" s="96"/>
      <c r="K222" s="96"/>
      <c r="L222" s="96"/>
      <c r="M222" s="88"/>
      <c r="N222" s="88"/>
      <c r="O222" s="88"/>
    </row>
    <row r="223" spans="1:15" x14ac:dyDescent="0.3">
      <c r="A223" s="88" t="s">
        <v>690</v>
      </c>
      <c r="B223" s="88"/>
      <c r="C223" s="88"/>
      <c r="D223" s="88"/>
      <c r="E223" s="96"/>
      <c r="F223" s="88"/>
      <c r="G223" s="88"/>
      <c r="H223" s="88"/>
      <c r="I223" s="88"/>
      <c r="J223" s="96"/>
      <c r="K223" s="96"/>
      <c r="L223" s="96"/>
      <c r="M223" s="88"/>
      <c r="N223" s="88"/>
      <c r="O223" s="88"/>
    </row>
    <row r="224" spans="1:15" x14ac:dyDescent="0.3">
      <c r="A224" s="88" t="s">
        <v>691</v>
      </c>
      <c r="B224" s="88"/>
      <c r="C224" s="88"/>
      <c r="D224" s="88"/>
      <c r="E224" s="96"/>
      <c r="F224" s="88"/>
      <c r="G224" s="88"/>
      <c r="H224" s="88"/>
      <c r="I224" s="88"/>
      <c r="J224" s="96"/>
      <c r="K224" s="96"/>
      <c r="L224" s="96"/>
      <c r="M224" s="88"/>
      <c r="N224" s="88"/>
      <c r="O224" s="88"/>
    </row>
    <row r="225" spans="1:15" x14ac:dyDescent="0.3">
      <c r="A225" s="88" t="s">
        <v>692</v>
      </c>
      <c r="B225" s="88"/>
      <c r="C225" s="88"/>
      <c r="D225" s="88"/>
      <c r="E225" s="96"/>
      <c r="F225" s="88"/>
      <c r="G225" s="88"/>
      <c r="H225" s="88"/>
      <c r="I225" s="88"/>
      <c r="J225" s="96"/>
      <c r="K225" s="96"/>
      <c r="L225" s="96"/>
      <c r="M225" s="88"/>
      <c r="N225" s="88"/>
      <c r="O225" s="88"/>
    </row>
    <row r="226" spans="1:15" x14ac:dyDescent="0.3">
      <c r="A226" s="88" t="s">
        <v>693</v>
      </c>
      <c r="B226" s="88"/>
      <c r="C226" s="88"/>
      <c r="D226" s="88"/>
      <c r="E226" s="96"/>
      <c r="F226" s="88"/>
      <c r="G226" s="88"/>
      <c r="H226" s="88"/>
      <c r="I226" s="88"/>
      <c r="J226" s="96"/>
      <c r="K226" s="96"/>
      <c r="L226" s="96"/>
      <c r="M226" s="88"/>
      <c r="N226" s="88"/>
      <c r="O226" s="88"/>
    </row>
    <row r="227" spans="1:15" x14ac:dyDescent="0.3">
      <c r="A227" s="88" t="s">
        <v>694</v>
      </c>
      <c r="B227" s="88"/>
      <c r="C227" s="88"/>
      <c r="D227" s="88"/>
      <c r="E227" s="96"/>
      <c r="F227" s="88"/>
      <c r="G227" s="88"/>
      <c r="H227" s="88"/>
      <c r="I227" s="88"/>
      <c r="J227" s="96"/>
      <c r="K227" s="96"/>
      <c r="L227" s="96"/>
      <c r="M227" s="88"/>
      <c r="N227" s="88"/>
      <c r="O227" s="88"/>
    </row>
    <row r="228" spans="1:15" x14ac:dyDescent="0.3">
      <c r="A228" s="88" t="s">
        <v>695</v>
      </c>
      <c r="B228" s="88"/>
      <c r="C228" s="88"/>
      <c r="D228" s="88"/>
      <c r="E228" s="96"/>
      <c r="F228" s="88"/>
      <c r="G228" s="88"/>
      <c r="H228" s="88"/>
      <c r="I228" s="88"/>
      <c r="J228" s="96"/>
      <c r="K228" s="96"/>
      <c r="L228" s="96"/>
      <c r="M228" s="88"/>
      <c r="N228" s="88"/>
      <c r="O228" s="88"/>
    </row>
    <row r="229" spans="1:15" x14ac:dyDescent="0.3">
      <c r="A229" s="88" t="s">
        <v>696</v>
      </c>
      <c r="B229" s="88"/>
      <c r="C229" s="88"/>
      <c r="D229" s="88"/>
      <c r="E229" s="96"/>
      <c r="F229" s="88"/>
      <c r="G229" s="88"/>
      <c r="H229" s="88"/>
      <c r="I229" s="88"/>
      <c r="J229" s="96"/>
      <c r="K229" s="96"/>
      <c r="L229" s="96"/>
      <c r="M229" s="88"/>
      <c r="N229" s="88"/>
      <c r="O229" s="88"/>
    </row>
    <row r="230" spans="1:15" x14ac:dyDescent="0.3">
      <c r="A230" s="88" t="s">
        <v>697</v>
      </c>
      <c r="B230" s="88"/>
      <c r="C230" s="88"/>
      <c r="D230" s="88"/>
      <c r="E230" s="96"/>
      <c r="F230" s="88"/>
      <c r="G230" s="88"/>
      <c r="H230" s="88"/>
      <c r="I230" s="88"/>
      <c r="J230" s="96"/>
      <c r="K230" s="96"/>
      <c r="L230" s="96"/>
      <c r="M230" s="88"/>
      <c r="N230" s="88"/>
      <c r="O230" s="88"/>
    </row>
    <row r="231" spans="1:15" x14ac:dyDescent="0.3">
      <c r="A231" s="88" t="s">
        <v>698</v>
      </c>
      <c r="B231" s="88"/>
      <c r="C231" s="88"/>
      <c r="D231" s="88"/>
      <c r="E231" s="96"/>
      <c r="F231" s="88"/>
      <c r="G231" s="88"/>
      <c r="H231" s="88"/>
      <c r="I231" s="88"/>
      <c r="J231" s="96"/>
      <c r="K231" s="96"/>
      <c r="L231" s="96"/>
      <c r="M231" s="88"/>
      <c r="N231" s="88"/>
      <c r="O231" s="88"/>
    </row>
    <row r="232" spans="1:15" x14ac:dyDescent="0.3">
      <c r="A232" s="88" t="s">
        <v>699</v>
      </c>
      <c r="B232" s="88"/>
      <c r="C232" s="88"/>
      <c r="D232" s="88"/>
      <c r="E232" s="96"/>
      <c r="F232" s="88"/>
      <c r="G232" s="88"/>
      <c r="H232" s="88"/>
      <c r="I232" s="88"/>
      <c r="J232" s="96"/>
      <c r="K232" s="96"/>
      <c r="L232" s="96"/>
      <c r="M232" s="88"/>
      <c r="N232" s="88"/>
      <c r="O232" s="88"/>
    </row>
    <row r="233" spans="1:15" x14ac:dyDescent="0.3">
      <c r="A233" s="88" t="s">
        <v>700</v>
      </c>
      <c r="B233" s="88"/>
      <c r="C233" s="88"/>
      <c r="D233" s="88"/>
      <c r="E233" s="96"/>
      <c r="F233" s="88"/>
      <c r="G233" s="88"/>
      <c r="H233" s="88"/>
      <c r="I233" s="88"/>
      <c r="J233" s="96"/>
      <c r="K233" s="96"/>
      <c r="L233" s="96"/>
      <c r="M233" s="88"/>
      <c r="N233" s="88"/>
      <c r="O233" s="88"/>
    </row>
    <row r="234" spans="1:15" x14ac:dyDescent="0.3">
      <c r="A234" s="88" t="s">
        <v>701</v>
      </c>
      <c r="B234" s="88"/>
      <c r="C234" s="88"/>
      <c r="D234" s="88"/>
      <c r="E234" s="96"/>
      <c r="F234" s="88"/>
      <c r="G234" s="88"/>
      <c r="H234" s="88"/>
      <c r="I234" s="88"/>
      <c r="J234" s="96"/>
      <c r="K234" s="96"/>
      <c r="L234" s="96"/>
      <c r="M234" s="88"/>
      <c r="N234" s="88"/>
      <c r="O234" s="88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9A4C-0A40-4274-85EF-EE2A281B078B}">
  <dimension ref="A1:AC201"/>
  <sheetViews>
    <sheetView zoomScale="80" zoomScaleNormal="80" workbookViewId="0">
      <pane xSplit="6" ySplit="1" topLeftCell="G2" activePane="bottomRight" state="frozen"/>
      <selection activeCell="B40" sqref="B40"/>
      <selection pane="topRight" activeCell="B40" sqref="B40"/>
      <selection pane="bottomLeft" activeCell="B40" sqref="B40"/>
      <selection pane="bottomRight" activeCell="K3" sqref="K3"/>
    </sheetView>
  </sheetViews>
  <sheetFormatPr defaultRowHeight="14.4" x14ac:dyDescent="0.3"/>
  <cols>
    <col min="1" max="1" width="10.21875" bestFit="1" customWidth="1"/>
    <col min="2" max="2" width="27.44140625" bestFit="1" customWidth="1"/>
    <col min="3" max="3" width="10.44140625" bestFit="1" customWidth="1"/>
    <col min="4" max="4" width="11.88671875" bestFit="1" customWidth="1"/>
    <col min="5" max="5" width="19.5546875" bestFit="1" customWidth="1"/>
    <col min="6" max="6" width="12.44140625" bestFit="1" customWidth="1"/>
    <col min="7" max="7" width="6" style="1" bestFit="1" customWidth="1"/>
    <col min="8" max="8" width="13.33203125" style="1" bestFit="1" customWidth="1"/>
    <col min="9" max="9" width="8.21875" style="1" bestFit="1" customWidth="1"/>
    <col min="10" max="10" width="10.77734375" style="1" customWidth="1"/>
    <col min="11" max="11" width="51.21875" bestFit="1" customWidth="1"/>
    <col min="12" max="12" width="11.44140625" customWidth="1"/>
    <col min="13" max="13" width="7.77734375" style="1" bestFit="1" customWidth="1"/>
    <col min="14" max="14" width="13.44140625" style="1" bestFit="1" customWidth="1"/>
    <col min="15" max="15" width="4.88671875" style="1" bestFit="1" customWidth="1"/>
    <col min="16" max="16" width="11" style="1" bestFit="1" customWidth="1"/>
    <col min="17" max="17" width="8.21875" style="1" bestFit="1" customWidth="1"/>
    <col min="18" max="18" width="8.88671875" style="1" customWidth="1"/>
    <col min="19" max="19" width="13.77734375" style="1" bestFit="1" customWidth="1"/>
    <col min="20" max="20" width="11" style="1" bestFit="1" customWidth="1"/>
    <col min="21" max="21" width="8.21875" style="1" bestFit="1" customWidth="1"/>
    <col min="22" max="22" width="10.33203125" style="1" customWidth="1"/>
    <col min="23" max="23" width="34.33203125" bestFit="1" customWidth="1"/>
    <col min="24" max="24" width="29.33203125" bestFit="1" customWidth="1"/>
    <col min="25" max="25" width="13.33203125" bestFit="1" customWidth="1"/>
    <col min="26" max="26" width="44" bestFit="1" customWidth="1"/>
    <col min="27" max="27" width="39" bestFit="1" customWidth="1"/>
    <col min="28" max="28" width="13.88671875" bestFit="1" customWidth="1"/>
  </cols>
  <sheetData>
    <row r="1" spans="1:28" ht="43.8" thickBot="1" x14ac:dyDescent="0.35">
      <c r="A1" s="100" t="s">
        <v>0</v>
      </c>
      <c r="B1" s="99" t="s">
        <v>36</v>
      </c>
      <c r="C1" s="100" t="s">
        <v>2</v>
      </c>
      <c r="D1" s="100" t="s">
        <v>1</v>
      </c>
      <c r="E1" s="100" t="s">
        <v>145</v>
      </c>
      <c r="F1" s="100" t="s">
        <v>881</v>
      </c>
      <c r="G1" s="107" t="s">
        <v>143</v>
      </c>
      <c r="H1" s="104" t="s">
        <v>882</v>
      </c>
      <c r="I1" s="104" t="s">
        <v>356</v>
      </c>
      <c r="J1" s="104" t="s">
        <v>703</v>
      </c>
      <c r="K1" s="107" t="s">
        <v>885</v>
      </c>
      <c r="L1" s="104" t="s">
        <v>265</v>
      </c>
      <c r="M1" s="104" t="s">
        <v>327</v>
      </c>
      <c r="N1" s="104" t="s">
        <v>389</v>
      </c>
      <c r="O1" s="108" t="s">
        <v>147</v>
      </c>
      <c r="P1" s="105" t="s">
        <v>882</v>
      </c>
      <c r="Q1" s="105" t="s">
        <v>356</v>
      </c>
      <c r="R1" s="105" t="s">
        <v>703</v>
      </c>
      <c r="S1" s="111" t="s">
        <v>148</v>
      </c>
      <c r="T1" s="255" t="s">
        <v>882</v>
      </c>
      <c r="U1" s="106" t="s">
        <v>356</v>
      </c>
      <c r="V1" s="106" t="s">
        <v>703</v>
      </c>
      <c r="W1" s="105" t="s">
        <v>360</v>
      </c>
      <c r="X1" s="105" t="s">
        <v>361</v>
      </c>
      <c r="Y1" s="105" t="s">
        <v>330</v>
      </c>
      <c r="Z1" s="106" t="s">
        <v>362</v>
      </c>
      <c r="AA1" s="106" t="s">
        <v>363</v>
      </c>
      <c r="AB1" s="106" t="s">
        <v>334</v>
      </c>
    </row>
    <row r="2" spans="1:28" x14ac:dyDescent="0.3">
      <c r="A2" t="s">
        <v>41</v>
      </c>
      <c r="B2" t="str">
        <f>INDEX('Tournament List'!$L:$L,MATCH($A2,'Tournament List'!$A:$A,0))</f>
        <v>Brighton Clay Crushers</v>
      </c>
      <c r="C2" t="str">
        <f>INDEX('Tournament List'!$B:$B,MATCH($A2,'Tournament List'!$A:$A,0))</f>
        <v>Matt</v>
      </c>
      <c r="D2" t="str">
        <f>INDEX('Tournament List'!$C:$C,MATCH($A2,'Tournament List'!$A:$A,0))</f>
        <v>Last Name5</v>
      </c>
      <c r="E2" t="str">
        <f>IF(C2&lt;&gt;"",C2&amp;" "&amp;D2,"")</f>
        <v>Matt Last Name5</v>
      </c>
      <c r="F2" t="str">
        <f>INDEX('Tournament List'!$M:$M,MATCH($A2,'Tournament List'!$A:$A,0))</f>
        <v>Varsity</v>
      </c>
      <c r="G2" s="112" t="s">
        <v>143</v>
      </c>
      <c r="H2" s="112"/>
      <c r="I2" s="112"/>
      <c r="J2" s="233"/>
      <c r="K2" t="str">
        <f>IF(H2&lt;&gt;"",B2&amp;"-"&amp;H2&amp;"-"&amp;G2&amp;"-Pos"&amp;I2,"")</f>
        <v/>
      </c>
      <c r="L2" t="str">
        <f>IF(H2&lt;&gt;"",IFERROR(INDEX('Tournament Setup'!$B$59:$B$78,MATCH(H2,SquadConcurrents,0)),""),"")</f>
        <v/>
      </c>
      <c r="M2" s="1" t="str">
        <f>IFERROR(INDEX('Squad Listing'!$A:$A,MATCH(B2&amp;"-"&amp;H2&amp;"-"&amp;G2,'Squad Listing'!$B:$B,0)),"")</f>
        <v/>
      </c>
      <c r="N2" s="1" t="str">
        <f t="shared" ref="N2:N33" si="0">IF(H2&lt;&gt;"",I2,"")</f>
        <v/>
      </c>
      <c r="O2" s="113" t="s">
        <v>147</v>
      </c>
      <c r="P2" s="113"/>
      <c r="Q2" s="113"/>
      <c r="R2" s="113"/>
      <c r="S2" s="114" t="s">
        <v>148</v>
      </c>
      <c r="T2" s="114"/>
      <c r="U2" s="114"/>
      <c r="V2" s="114"/>
      <c r="W2" t="str">
        <f>IF(P2&lt;&gt;"",B2&amp;"-"&amp;P2&amp;"-"&amp;O2&amp;"-Pos"&amp;Q2,"")</f>
        <v/>
      </c>
      <c r="X2" t="str">
        <f>IF(P2&lt;&gt;"",B2&amp;"-"&amp;P2&amp;"-"&amp;O2,"")</f>
        <v/>
      </c>
      <c r="Y2" t="str">
        <f>IFERROR(INDEX('Squad Listing'!$A:$A,MATCH(X2,'Squad Listing'!$B:$B,0)),"")</f>
        <v/>
      </c>
      <c r="Z2" t="str">
        <f>IF(T2&lt;&gt;"",B2&amp;"-"&amp;T2&amp;"-"&amp;S2&amp;"-Pos"&amp;U2,"")</f>
        <v/>
      </c>
      <c r="AA2" t="str">
        <f>IF(T2&lt;&gt;"",B2&amp;"-"&amp;T2&amp;"-"&amp;S2,"")</f>
        <v/>
      </c>
      <c r="AB2" t="str">
        <f>IFERROR(INDEX('Squad Listing'!$A:$A,MATCH(AA2,'Squad Listing'!$B:$B,0)),"")</f>
        <v/>
      </c>
    </row>
    <row r="3" spans="1:28" x14ac:dyDescent="0.3">
      <c r="A3" t="s">
        <v>53</v>
      </c>
      <c r="B3" t="str">
        <f>INDEX('Tournament List'!$L:$L,MATCH($A3,'Tournament List'!$A:$A,0))</f>
        <v>Brighton Clay Crushers</v>
      </c>
      <c r="C3" t="str">
        <f>INDEX('Tournament List'!$B:$B,MATCH($A3,'Tournament List'!$A:$A,0))</f>
        <v>Joan</v>
      </c>
      <c r="D3" t="str">
        <f>INDEX('Tournament List'!$C:$C,MATCH($A3,'Tournament List'!$A:$A,0))</f>
        <v>Last Name17</v>
      </c>
      <c r="E3" t="str">
        <f t="shared" ref="E3:E66" si="1">IF(C3&lt;&gt;"",C3&amp;" "&amp;D3,"")</f>
        <v>Joan Last Name17</v>
      </c>
      <c r="F3" t="str">
        <f>INDEX('Tournament List'!$M:$M,MATCH($A3,'Tournament List'!$A:$A,0))</f>
        <v>Novice</v>
      </c>
      <c r="G3" s="112" t="s">
        <v>143</v>
      </c>
      <c r="H3" s="112" t="s">
        <v>337</v>
      </c>
      <c r="I3" s="112">
        <v>1</v>
      </c>
      <c r="J3" s="233" t="s">
        <v>763</v>
      </c>
      <c r="K3" t="str">
        <f>IF(H3&lt;&gt;"",B3&amp;"-"&amp;H3&amp;"-"&amp;G3&amp;"-Pos"&amp;I3,"")</f>
        <v>Brighton Clay Crushers-Novice 1-Skeet-Pos1</v>
      </c>
      <c r="L3" t="str">
        <f>IF(H3&lt;&gt;"",IFERROR(INDEX('Tournament Setup'!$B$59:$B$78,MATCH(H3,SquadConcurrents,0)),""),"")</f>
        <v>Novice</v>
      </c>
      <c r="M3" s="1">
        <f>IFERROR(INDEX('Squad Listing'!$A:$A,MATCH(B3&amp;"-"&amp;H3&amp;"-"&amp;G3,'Squad Listing'!$B:$B,0)),"")</f>
        <v>10</v>
      </c>
      <c r="N3" s="1">
        <f>IF(H3&lt;&gt;"",I3,"")</f>
        <v>1</v>
      </c>
      <c r="O3" s="113" t="s">
        <v>147</v>
      </c>
      <c r="P3" s="113"/>
      <c r="Q3" s="113"/>
      <c r="R3" s="113"/>
      <c r="S3" s="114" t="s">
        <v>148</v>
      </c>
      <c r="T3" s="114"/>
      <c r="U3" s="114"/>
      <c r="V3" s="114"/>
      <c r="W3" t="str">
        <f>IF(P3&lt;&gt;"",B3&amp;"-"&amp;P3&amp;"-"&amp;O3&amp;"-Pos"&amp;Q3,"")</f>
        <v/>
      </c>
      <c r="X3" t="str">
        <f>IF(P3&lt;&gt;"",B3&amp;"-"&amp;P3&amp;"-"&amp;O3,"")</f>
        <v/>
      </c>
      <c r="Y3" t="str">
        <f>IFERROR(INDEX('Squad Listing'!$A:$A,MATCH(X3,'Squad Listing'!$B:$B,0)),"")</f>
        <v/>
      </c>
      <c r="Z3" t="str">
        <f>IF(T3&lt;&gt;"",B3&amp;"-"&amp;T3&amp;"-"&amp;S3&amp;"-Pos"&amp;U3,"")</f>
        <v/>
      </c>
      <c r="AA3" t="str">
        <f>IF(T3&lt;&gt;"",B3&amp;"-"&amp;T3&amp;"-"&amp;S3,"")</f>
        <v/>
      </c>
      <c r="AB3" t="str">
        <f>IFERROR(INDEX('Squad Listing'!$A:$A,MATCH(AA3,'Squad Listing'!$B:$B,0)),"")</f>
        <v/>
      </c>
    </row>
    <row r="4" spans="1:28" x14ac:dyDescent="0.3">
      <c r="A4" t="s">
        <v>191</v>
      </c>
      <c r="B4" t="str">
        <f>INDEX('Tournament List'!$L:$L,MATCH($A4,'Tournament List'!$A:$A,0))</f>
        <v>Brighton Clay Crushers</v>
      </c>
      <c r="C4" t="str">
        <f>INDEX('Tournament List'!$B:$B,MATCH($A4,'Tournament List'!$A:$A,0))</f>
        <v>Patricia</v>
      </c>
      <c r="D4" t="str">
        <f>INDEX('Tournament List'!$C:$C,MATCH($A4,'Tournament List'!$A:$A,0))</f>
        <v>Last Name35</v>
      </c>
      <c r="E4" t="str">
        <f t="shared" si="1"/>
        <v>Patricia Last Name35</v>
      </c>
      <c r="F4" t="str">
        <f>INDEX('Tournament List'!$M:$M,MATCH($A4,'Tournament List'!$A:$A,0))</f>
        <v>Novice</v>
      </c>
      <c r="G4" s="112" t="s">
        <v>143</v>
      </c>
      <c r="H4" s="112" t="s">
        <v>337</v>
      </c>
      <c r="I4" s="112">
        <v>2</v>
      </c>
      <c r="J4" s="233" t="s">
        <v>763</v>
      </c>
      <c r="K4" t="str">
        <f>IF(H4&lt;&gt;"",B4&amp;"-"&amp;H4&amp;"-"&amp;G4&amp;"-Pos"&amp;I4,"")</f>
        <v>Brighton Clay Crushers-Novice 1-Skeet-Pos2</v>
      </c>
      <c r="L4" t="str">
        <f>IF(H4&lt;&gt;"",IFERROR(INDEX('Tournament Setup'!$B$59:$B$78,MATCH(H4,SquadConcurrents,0)),""),"")</f>
        <v>Novice</v>
      </c>
      <c r="M4" s="1">
        <f>IFERROR(INDEX('Squad Listing'!$A:$A,MATCH(B4&amp;"-"&amp;H4&amp;"-"&amp;G4,'Squad Listing'!$B:$B,0)),"")</f>
        <v>10</v>
      </c>
      <c r="N4" s="1">
        <f t="shared" ref="N4:N67" si="2">IF(H4&lt;&gt;"",I4,"")</f>
        <v>2</v>
      </c>
      <c r="O4" s="113" t="s">
        <v>147</v>
      </c>
      <c r="P4" s="113"/>
      <c r="Q4" s="113"/>
      <c r="R4" s="113"/>
      <c r="S4" s="114" t="s">
        <v>148</v>
      </c>
      <c r="T4" s="114"/>
      <c r="U4" s="114"/>
      <c r="V4" s="114"/>
      <c r="W4" t="str">
        <f>IF(P4&lt;&gt;"",B4&amp;"-"&amp;P4&amp;"-"&amp;O4&amp;"-Pos"&amp;Q4,"")</f>
        <v/>
      </c>
      <c r="X4" t="str">
        <f>IF(P4&lt;&gt;"",B4&amp;"-"&amp;P4&amp;"-"&amp;O4,"")</f>
        <v/>
      </c>
      <c r="Y4" t="str">
        <f>IFERROR(INDEX('Squad Listing'!$A:$A,MATCH(X4,'Squad Listing'!$B:$B,0)),"")</f>
        <v/>
      </c>
      <c r="Z4" t="str">
        <f>IF(T4&lt;&gt;"",B4&amp;"-"&amp;T4&amp;"-"&amp;S4&amp;"-Pos"&amp;U4,"")</f>
        <v/>
      </c>
      <c r="AA4" t="str">
        <f>IF(T4&lt;&gt;"",B4&amp;"-"&amp;T4&amp;"-"&amp;S4,"")</f>
        <v/>
      </c>
      <c r="AB4" t="str">
        <f>IFERROR(INDEX('Squad Listing'!$A:$A,MATCH(AA4,'Squad Listing'!$B:$B,0)),"")</f>
        <v/>
      </c>
    </row>
    <row r="5" spans="1:28" x14ac:dyDescent="0.3">
      <c r="A5" t="s">
        <v>203</v>
      </c>
      <c r="B5" t="str">
        <f>INDEX('Tournament List'!$L:$L,MATCH($A5,'Tournament List'!$A:$A,0))</f>
        <v>Brighton Clay Crushers</v>
      </c>
      <c r="C5" t="str">
        <f>INDEX('Tournament List'!$B:$B,MATCH($A5,'Tournament List'!$A:$A,0))</f>
        <v>Rick</v>
      </c>
      <c r="D5" t="str">
        <f>INDEX('Tournament List'!$C:$C,MATCH($A5,'Tournament List'!$A:$A,0))</f>
        <v>Last Name47</v>
      </c>
      <c r="E5" t="str">
        <f t="shared" si="1"/>
        <v>Rick Last Name47</v>
      </c>
      <c r="F5" t="str">
        <f>INDEX('Tournament List'!$M:$M,MATCH($A5,'Tournament List'!$A:$A,0))</f>
        <v>Novice</v>
      </c>
      <c r="G5" s="112" t="s">
        <v>143</v>
      </c>
      <c r="H5" s="112" t="s">
        <v>337</v>
      </c>
      <c r="I5" s="112">
        <v>3</v>
      </c>
      <c r="J5" s="233" t="s">
        <v>763</v>
      </c>
      <c r="K5" t="str">
        <f>IF(H5&lt;&gt;"",B5&amp;"-"&amp;H5&amp;"-"&amp;G5&amp;"-Pos"&amp;I5,"")</f>
        <v>Brighton Clay Crushers-Novice 1-Skeet-Pos3</v>
      </c>
      <c r="L5" t="str">
        <f>IF(H5&lt;&gt;"",IFERROR(INDEX('Tournament Setup'!$B$59:$B$78,MATCH(H5,SquadConcurrents,0)),""),"")</f>
        <v>Novice</v>
      </c>
      <c r="M5" s="1">
        <f>IFERROR(INDEX('Squad Listing'!$A:$A,MATCH(B5&amp;"-"&amp;H5&amp;"-"&amp;G5,'Squad Listing'!$B:$B,0)),"")</f>
        <v>10</v>
      </c>
      <c r="N5" s="1">
        <f t="shared" si="2"/>
        <v>3</v>
      </c>
      <c r="O5" s="113" t="s">
        <v>147</v>
      </c>
      <c r="P5" s="113"/>
      <c r="Q5" s="113"/>
      <c r="R5" s="113"/>
      <c r="S5" s="114" t="s">
        <v>148</v>
      </c>
      <c r="T5" s="114"/>
      <c r="U5" s="114"/>
      <c r="V5" s="114"/>
      <c r="W5" t="str">
        <f>IF(P5&lt;&gt;"",B5&amp;"-"&amp;P5&amp;"-"&amp;O5&amp;"-Pos"&amp;Q5,"")</f>
        <v/>
      </c>
      <c r="X5" t="str">
        <f>IF(P5&lt;&gt;"",B5&amp;"-"&amp;P5&amp;"-"&amp;O5,"")</f>
        <v/>
      </c>
      <c r="Y5" t="str">
        <f>IFERROR(INDEX('Squad Listing'!$A:$A,MATCH(X5,'Squad Listing'!$B:$B,0)),"")</f>
        <v/>
      </c>
      <c r="Z5" t="str">
        <f>IF(T5&lt;&gt;"",B5&amp;"-"&amp;T5&amp;"-"&amp;S5&amp;"-Pos"&amp;U5,"")</f>
        <v/>
      </c>
      <c r="AA5" t="str">
        <f>IF(T5&lt;&gt;"",B5&amp;"-"&amp;T5&amp;"-"&amp;S5,"")</f>
        <v/>
      </c>
      <c r="AB5" t="str">
        <f>IFERROR(INDEX('Squad Listing'!$A:$A,MATCH(AA5,'Squad Listing'!$B:$B,0)),"")</f>
        <v/>
      </c>
    </row>
    <row r="6" spans="1:28" x14ac:dyDescent="0.3">
      <c r="A6" t="s">
        <v>59</v>
      </c>
      <c r="B6" t="str">
        <f>INDEX('Tournament List'!$L:$L,MATCH($A6,'Tournament List'!$A:$A,0))</f>
        <v>Brighton Clay Crushers</v>
      </c>
      <c r="C6" t="str">
        <f>INDEX('Tournament List'!$B:$B,MATCH($A6,'Tournament List'!$A:$A,0))</f>
        <v>Tom</v>
      </c>
      <c r="D6" t="str">
        <f>INDEX('Tournament List'!$C:$C,MATCH($A6,'Tournament List'!$A:$A,0))</f>
        <v>Last Name23</v>
      </c>
      <c r="E6" t="str">
        <f t="shared" si="1"/>
        <v>Tom Last Name23</v>
      </c>
      <c r="F6" t="str">
        <f>INDEX('Tournament List'!$M:$M,MATCH($A6,'Tournament List'!$A:$A,0))</f>
        <v>Junior Varsity</v>
      </c>
      <c r="G6" s="112" t="s">
        <v>143</v>
      </c>
      <c r="H6" s="112" t="s">
        <v>339</v>
      </c>
      <c r="I6" s="112">
        <v>1</v>
      </c>
      <c r="J6" s="233"/>
      <c r="K6" t="str">
        <f>IF(H6&lt;&gt;"",B6&amp;"-"&amp;H6&amp;"-"&amp;G6&amp;"-Pos"&amp;I6,"")</f>
        <v>Brighton Clay Crushers-Junior Varsity 1-Skeet-Pos1</v>
      </c>
      <c r="L6" t="str">
        <f>IF(H6&lt;&gt;"",IFERROR(INDEX('Tournament Setup'!$B$59:$B$78,MATCH(H6,SquadConcurrents,0)),""),"")</f>
        <v>Junior Varsity</v>
      </c>
      <c r="M6" s="1">
        <f>IFERROR(INDEX('Squad Listing'!$A:$A,MATCH(B6&amp;"-"&amp;H6&amp;"-"&amp;G6,'Squad Listing'!$B:$B,0)),"")</f>
        <v>7</v>
      </c>
      <c r="N6" s="1">
        <f t="shared" si="2"/>
        <v>1</v>
      </c>
      <c r="O6" s="113" t="s">
        <v>147</v>
      </c>
      <c r="P6" s="113"/>
      <c r="Q6" s="113"/>
      <c r="R6" s="113"/>
      <c r="S6" s="114" t="s">
        <v>148</v>
      </c>
      <c r="T6" s="114"/>
      <c r="U6" s="114"/>
      <c r="V6" s="114"/>
      <c r="W6" t="str">
        <f>IF(P6&lt;&gt;"",B6&amp;"-"&amp;P6&amp;"-"&amp;O6&amp;"-Pos"&amp;Q6,"")</f>
        <v/>
      </c>
      <c r="X6" t="str">
        <f>IF(P6&lt;&gt;"",B6&amp;"-"&amp;P6&amp;"-"&amp;O6,"")</f>
        <v/>
      </c>
      <c r="Y6" t="str">
        <f>IFERROR(INDEX('Squad Listing'!$A:$A,MATCH(X6,'Squad Listing'!$B:$B,0)),"")</f>
        <v/>
      </c>
      <c r="Z6" t="str">
        <f>IF(T6&lt;&gt;"",B6&amp;"-"&amp;T6&amp;"-"&amp;S6&amp;"-Pos"&amp;U6,"")</f>
        <v/>
      </c>
      <c r="AA6" t="str">
        <f>IF(T6&lt;&gt;"",B6&amp;"-"&amp;T6&amp;"-"&amp;S6,"")</f>
        <v/>
      </c>
      <c r="AB6" t="str">
        <f>IFERROR(INDEX('Squad Listing'!$A:$A,MATCH(AA6,'Squad Listing'!$B:$B,0)),"")</f>
        <v/>
      </c>
    </row>
    <row r="7" spans="1:28" x14ac:dyDescent="0.3">
      <c r="A7" t="s">
        <v>47</v>
      </c>
      <c r="B7" t="str">
        <f>INDEX('Tournament List'!$L:$L,MATCH($A7,'Tournament List'!$A:$A,0))</f>
        <v>Brighton Clay Crushers</v>
      </c>
      <c r="C7" t="str">
        <f>INDEX('Tournament List'!$B:$B,MATCH($A7,'Tournament List'!$A:$A,0))</f>
        <v>Bill</v>
      </c>
      <c r="D7" t="str">
        <f>INDEX('Tournament List'!$C:$C,MATCH($A7,'Tournament List'!$A:$A,0))</f>
        <v>Last Name11</v>
      </c>
      <c r="E7" t="str">
        <f t="shared" si="1"/>
        <v>Bill Last Name11</v>
      </c>
      <c r="F7" t="str">
        <f>INDEX('Tournament List'!$M:$M,MATCH($A7,'Tournament List'!$A:$A,0))</f>
        <v>Junior Varsity</v>
      </c>
      <c r="G7" s="112" t="s">
        <v>143</v>
      </c>
      <c r="H7" s="112" t="s">
        <v>339</v>
      </c>
      <c r="I7" s="112">
        <v>2</v>
      </c>
      <c r="J7" s="233"/>
      <c r="K7" t="str">
        <f>IF(H7&lt;&gt;"",B7&amp;"-"&amp;H7&amp;"-"&amp;G7&amp;"-Pos"&amp;I7,"")</f>
        <v>Brighton Clay Crushers-Junior Varsity 1-Skeet-Pos2</v>
      </c>
      <c r="L7" t="str">
        <f>IF(H7&lt;&gt;"",IFERROR(INDEX('Tournament Setup'!$B$59:$B$78,MATCH(H7,SquadConcurrents,0)),""),"")</f>
        <v>Junior Varsity</v>
      </c>
      <c r="M7" s="1">
        <f>IFERROR(INDEX('Squad Listing'!$A:$A,MATCH(B7&amp;"-"&amp;H7&amp;"-"&amp;G7,'Squad Listing'!$B:$B,0)),"")</f>
        <v>7</v>
      </c>
      <c r="N7" s="1">
        <f t="shared" si="2"/>
        <v>2</v>
      </c>
      <c r="O7" s="113" t="s">
        <v>147</v>
      </c>
      <c r="P7" s="113"/>
      <c r="Q7" s="113"/>
      <c r="R7" s="113"/>
      <c r="S7" s="114" t="s">
        <v>148</v>
      </c>
      <c r="T7" s="114"/>
      <c r="U7" s="114"/>
      <c r="V7" s="114"/>
      <c r="W7" t="str">
        <f>IF(P7&lt;&gt;"",B7&amp;"-"&amp;P7&amp;"-"&amp;O7&amp;"-Pos"&amp;Q7,"")</f>
        <v/>
      </c>
      <c r="X7" t="str">
        <f>IF(P7&lt;&gt;"",B7&amp;"-"&amp;P7&amp;"-"&amp;O7,"")</f>
        <v/>
      </c>
      <c r="Y7" t="str">
        <f>IFERROR(INDEX('Squad Listing'!$A:$A,MATCH(X7,'Squad Listing'!$B:$B,0)),"")</f>
        <v/>
      </c>
      <c r="Z7" t="str">
        <f>IF(T7&lt;&gt;"",B7&amp;"-"&amp;T7&amp;"-"&amp;S7&amp;"-Pos"&amp;U7,"")</f>
        <v/>
      </c>
      <c r="AA7" t="str">
        <f>IF(T7&lt;&gt;"",B7&amp;"-"&amp;T7&amp;"-"&amp;S7,"")</f>
        <v/>
      </c>
      <c r="AB7" t="str">
        <f>IFERROR(INDEX('Squad Listing'!$A:$A,MATCH(AA7,'Squad Listing'!$B:$B,0)),"")</f>
        <v/>
      </c>
    </row>
    <row r="8" spans="1:28" x14ac:dyDescent="0.3">
      <c r="A8" t="s">
        <v>185</v>
      </c>
      <c r="B8" t="str">
        <f>INDEX('Tournament List'!$L:$L,MATCH($A8,'Tournament List'!$A:$A,0))</f>
        <v>Brighton Clay Crushers</v>
      </c>
      <c r="C8" t="str">
        <f>INDEX('Tournament List'!$B:$B,MATCH($A8,'Tournament List'!$A:$A,0))</f>
        <v>Alan</v>
      </c>
      <c r="D8" t="str">
        <f>INDEX('Tournament List'!$C:$C,MATCH($A8,'Tournament List'!$A:$A,0))</f>
        <v>Last Name29</v>
      </c>
      <c r="E8" t="str">
        <f t="shared" si="1"/>
        <v>Alan Last Name29</v>
      </c>
      <c r="F8" t="str">
        <f>INDEX('Tournament List'!$M:$M,MATCH($A8,'Tournament List'!$A:$A,0))</f>
        <v>Junior Varsity</v>
      </c>
      <c r="G8" s="112" t="s">
        <v>143</v>
      </c>
      <c r="H8" s="112" t="s">
        <v>339</v>
      </c>
      <c r="I8" s="112">
        <v>3</v>
      </c>
      <c r="J8" s="233"/>
      <c r="K8" t="str">
        <f>IF(H8&lt;&gt;"",B8&amp;"-"&amp;H8&amp;"-"&amp;G8&amp;"-Pos"&amp;I8,"")</f>
        <v>Brighton Clay Crushers-Junior Varsity 1-Skeet-Pos3</v>
      </c>
      <c r="L8" t="str">
        <f>IF(H8&lt;&gt;"",IFERROR(INDEX('Tournament Setup'!$B$59:$B$78,MATCH(H8,SquadConcurrents,0)),""),"")</f>
        <v>Junior Varsity</v>
      </c>
      <c r="M8" s="1">
        <f>IFERROR(INDEX('Squad Listing'!$A:$A,MATCH(B8&amp;"-"&amp;H8&amp;"-"&amp;G8,'Squad Listing'!$B:$B,0)),"")</f>
        <v>7</v>
      </c>
      <c r="N8" s="1">
        <f t="shared" si="2"/>
        <v>3</v>
      </c>
      <c r="O8" s="113" t="s">
        <v>147</v>
      </c>
      <c r="P8" s="113"/>
      <c r="Q8" s="113"/>
      <c r="R8" s="113"/>
      <c r="S8" s="114" t="s">
        <v>148</v>
      </c>
      <c r="T8" s="114"/>
      <c r="U8" s="114"/>
      <c r="V8" s="114"/>
      <c r="W8" t="str">
        <f>IF(P8&lt;&gt;"",B8&amp;"-"&amp;P8&amp;"-"&amp;O8&amp;"-Pos"&amp;Q8,"")</f>
        <v/>
      </c>
      <c r="X8" t="str">
        <f>IF(P8&lt;&gt;"",B8&amp;"-"&amp;P8&amp;"-"&amp;O8,"")</f>
        <v/>
      </c>
      <c r="Y8" t="str">
        <f>IFERROR(INDEX('Squad Listing'!$A:$A,MATCH(X8,'Squad Listing'!$B:$B,0)),"")</f>
        <v/>
      </c>
      <c r="Z8" t="str">
        <f>IF(T8&lt;&gt;"",B8&amp;"-"&amp;T8&amp;"-"&amp;S8&amp;"-Pos"&amp;U8,"")</f>
        <v/>
      </c>
      <c r="AA8" t="str">
        <f>IF(T8&lt;&gt;"",B8&amp;"-"&amp;T8&amp;"-"&amp;S8,"")</f>
        <v/>
      </c>
      <c r="AB8" t="str">
        <f>IFERROR(INDEX('Squad Listing'!$A:$A,MATCH(AA8,'Squad Listing'!$B:$B,0)),"")</f>
        <v/>
      </c>
    </row>
    <row r="9" spans="1:28" x14ac:dyDescent="0.3">
      <c r="A9" t="s">
        <v>197</v>
      </c>
      <c r="B9" t="str">
        <f>INDEX('Tournament List'!$L:$L,MATCH($A9,'Tournament List'!$A:$A,0))</f>
        <v>Brighton Clay Crushers</v>
      </c>
      <c r="C9" t="str">
        <f>INDEX('Tournament List'!$B:$B,MATCH($A9,'Tournament List'!$A:$A,0))</f>
        <v>Trey</v>
      </c>
      <c r="D9" t="str">
        <f>INDEX('Tournament List'!$C:$C,MATCH($A9,'Tournament List'!$A:$A,0))</f>
        <v>Last Name41</v>
      </c>
      <c r="E9" t="str">
        <f t="shared" si="1"/>
        <v>Trey Last Name41</v>
      </c>
      <c r="F9" t="str">
        <f>INDEX('Tournament List'!$M:$M,MATCH($A9,'Tournament List'!$A:$A,0))</f>
        <v>Varsity</v>
      </c>
      <c r="G9" s="112" t="s">
        <v>143</v>
      </c>
      <c r="H9" s="112"/>
      <c r="I9" s="112"/>
      <c r="J9" s="233"/>
      <c r="K9" t="str">
        <f>IF(H9&lt;&gt;"",B9&amp;"-"&amp;H9&amp;"-"&amp;G9&amp;"-Pos"&amp;I9,"")</f>
        <v/>
      </c>
      <c r="L9" t="str">
        <f>IF(H9&lt;&gt;"",IFERROR(INDEX('Tournament Setup'!$B$59:$B$78,MATCH(H9,SquadConcurrents,0)),""),"")</f>
        <v/>
      </c>
      <c r="M9" s="1" t="str">
        <f>IFERROR(INDEX('Squad Listing'!$A:$A,MATCH(B9&amp;"-"&amp;H9&amp;"-"&amp;G9,'Squad Listing'!$B:$B,0)),"")</f>
        <v/>
      </c>
      <c r="N9" s="1" t="str">
        <f t="shared" si="2"/>
        <v/>
      </c>
      <c r="O9" s="113" t="s">
        <v>147</v>
      </c>
      <c r="P9" s="113"/>
      <c r="Q9" s="113"/>
      <c r="R9" s="113"/>
      <c r="S9" s="114" t="s">
        <v>148</v>
      </c>
      <c r="T9" s="114"/>
      <c r="U9" s="114"/>
      <c r="V9" s="114"/>
      <c r="W9" t="str">
        <f>IF(P9&lt;&gt;"",B9&amp;"-"&amp;P9&amp;"-"&amp;O9&amp;"-Pos"&amp;Q9,"")</f>
        <v/>
      </c>
      <c r="X9" t="str">
        <f>IF(P9&lt;&gt;"",B9&amp;"-"&amp;P9&amp;"-"&amp;O9,"")</f>
        <v/>
      </c>
      <c r="Y9" t="str">
        <f>IFERROR(INDEX('Squad Listing'!$A:$A,MATCH(X9,'Squad Listing'!$B:$B,0)),"")</f>
        <v/>
      </c>
      <c r="Z9" t="str">
        <f>IF(T9&lt;&gt;"",B9&amp;"-"&amp;T9&amp;"-"&amp;S9&amp;"-Pos"&amp;U9,"")</f>
        <v/>
      </c>
      <c r="AA9" t="str">
        <f>IF(T9&lt;&gt;"",B9&amp;"-"&amp;T9&amp;"-"&amp;S9,"")</f>
        <v/>
      </c>
      <c r="AB9" t="str">
        <f>IFERROR(INDEX('Squad Listing'!$A:$A,MATCH(AA9,'Squad Listing'!$B:$B,0)),"")</f>
        <v/>
      </c>
    </row>
    <row r="10" spans="1:28" x14ac:dyDescent="0.3">
      <c r="A10" t="s">
        <v>46</v>
      </c>
      <c r="B10" t="str">
        <f>INDEX('Tournament List'!$L:$L,MATCH($A10,'Tournament List'!$A:$A,0))</f>
        <v>Forge Christian Shooting Team</v>
      </c>
      <c r="C10" t="str">
        <f>INDEX('Tournament List'!$B:$B,MATCH($A10,'Tournament List'!$A:$A,0))</f>
        <v>Christy</v>
      </c>
      <c r="D10" t="str">
        <f>INDEX('Tournament List'!$C:$C,MATCH($A10,'Tournament List'!$A:$A,0))</f>
        <v>Last Name10</v>
      </c>
      <c r="E10" t="str">
        <f t="shared" si="1"/>
        <v>Christy Last Name10</v>
      </c>
      <c r="F10" t="str">
        <f>INDEX('Tournament List'!$M:$M,MATCH($A10,'Tournament List'!$A:$A,0))</f>
        <v>Intermediate</v>
      </c>
      <c r="G10" s="112" t="s">
        <v>143</v>
      </c>
      <c r="H10" s="112" t="s">
        <v>338</v>
      </c>
      <c r="I10" s="112">
        <v>1</v>
      </c>
      <c r="J10" s="233"/>
      <c r="K10" t="str">
        <f>IF(H10&lt;&gt;"",B10&amp;"-"&amp;H10&amp;"-"&amp;G10&amp;"-Pos"&amp;I10,"")</f>
        <v>Forge Christian Shooting Team-Intermediate 1-Skeet-Pos1</v>
      </c>
      <c r="L10" t="str">
        <f>IF(H10&lt;&gt;"",IFERROR(INDEX('Tournament Setup'!$B$59:$B$78,MATCH(H10,SquadConcurrents,0)),""),"")</f>
        <v>Intermediate</v>
      </c>
      <c r="M10" s="1">
        <f>IFERROR(INDEX('Squad Listing'!$A:$A,MATCH(B10&amp;"-"&amp;H10&amp;"-"&amp;G10,'Squad Listing'!$B:$B,0)),"")</f>
        <v>61</v>
      </c>
      <c r="N10" s="1">
        <f t="shared" si="2"/>
        <v>1</v>
      </c>
      <c r="O10" s="113" t="s">
        <v>147</v>
      </c>
      <c r="P10" s="113"/>
      <c r="Q10" s="113"/>
      <c r="R10" s="113"/>
      <c r="S10" s="114" t="s">
        <v>148</v>
      </c>
      <c r="T10" s="114"/>
      <c r="U10" s="114"/>
      <c r="V10" s="114"/>
      <c r="W10" t="str">
        <f>IF(P10&lt;&gt;"",B10&amp;"-"&amp;P10&amp;"-"&amp;O10&amp;"-Pos"&amp;Q10,"")</f>
        <v/>
      </c>
      <c r="X10" t="str">
        <f>IF(P10&lt;&gt;"",B10&amp;"-"&amp;P10&amp;"-"&amp;O10,"")</f>
        <v/>
      </c>
      <c r="Y10" t="str">
        <f>IFERROR(INDEX('Squad Listing'!$A:$A,MATCH(X10,'Squad Listing'!$B:$B,0)),"")</f>
        <v/>
      </c>
      <c r="Z10" t="str">
        <f>IF(T10&lt;&gt;"",B10&amp;"-"&amp;T10&amp;"-"&amp;S10&amp;"-Pos"&amp;U10,"")</f>
        <v/>
      </c>
      <c r="AA10" t="str">
        <f>IF(T10&lt;&gt;"",B10&amp;"-"&amp;T10&amp;"-"&amp;S10,"")</f>
        <v/>
      </c>
      <c r="AB10" t="str">
        <f>IFERROR(INDEX('Squad Listing'!$A:$A,MATCH(AA10,'Squad Listing'!$B:$B,0)),"")</f>
        <v/>
      </c>
    </row>
    <row r="11" spans="1:28" x14ac:dyDescent="0.3">
      <c r="A11" t="s">
        <v>58</v>
      </c>
      <c r="B11" t="str">
        <f>INDEX('Tournament List'!$L:$L,MATCH($A11,'Tournament List'!$A:$A,0))</f>
        <v>Forge Christian Shooting Team</v>
      </c>
      <c r="C11" t="str">
        <f>INDEX('Tournament List'!$B:$B,MATCH($A11,'Tournament List'!$A:$A,0))</f>
        <v>Steve</v>
      </c>
      <c r="D11" t="str">
        <f>INDEX('Tournament List'!$C:$C,MATCH($A11,'Tournament List'!$A:$A,0))</f>
        <v>Last Name22</v>
      </c>
      <c r="E11" t="str">
        <f t="shared" si="1"/>
        <v>Steve Last Name22</v>
      </c>
      <c r="F11" t="str">
        <f>INDEX('Tournament List'!$M:$M,MATCH($A11,'Tournament List'!$A:$A,0))</f>
        <v>Intermediate</v>
      </c>
      <c r="G11" s="112" t="s">
        <v>143</v>
      </c>
      <c r="H11" s="112" t="s">
        <v>338</v>
      </c>
      <c r="I11" s="112">
        <v>2</v>
      </c>
      <c r="J11" s="233"/>
      <c r="K11" t="str">
        <f>IF(H11&lt;&gt;"",B11&amp;"-"&amp;H11&amp;"-"&amp;G11&amp;"-Pos"&amp;I11,"")</f>
        <v>Forge Christian Shooting Team-Intermediate 1-Skeet-Pos2</v>
      </c>
      <c r="L11" t="str">
        <f>IF(H11&lt;&gt;"",IFERROR(INDEX('Tournament Setup'!$B$59:$B$78,MATCH(H11,SquadConcurrents,0)),""),"")</f>
        <v>Intermediate</v>
      </c>
      <c r="M11" s="1">
        <f>IFERROR(INDEX('Squad Listing'!$A:$A,MATCH(B11&amp;"-"&amp;H11&amp;"-"&amp;G11,'Squad Listing'!$B:$B,0)),"")</f>
        <v>61</v>
      </c>
      <c r="N11" s="1">
        <f t="shared" si="2"/>
        <v>2</v>
      </c>
      <c r="O11" s="113" t="s">
        <v>147</v>
      </c>
      <c r="P11" s="113"/>
      <c r="Q11" s="113"/>
      <c r="R11" s="113"/>
      <c r="S11" s="114" t="s">
        <v>148</v>
      </c>
      <c r="T11" s="114"/>
      <c r="U11" s="114"/>
      <c r="V11" s="114"/>
      <c r="W11" t="str">
        <f>IF(P11&lt;&gt;"",B11&amp;"-"&amp;P11&amp;"-"&amp;O11&amp;"-Pos"&amp;Q11,"")</f>
        <v/>
      </c>
      <c r="X11" t="str">
        <f>IF(P11&lt;&gt;"",B11&amp;"-"&amp;P11&amp;"-"&amp;O11,"")</f>
        <v/>
      </c>
      <c r="Y11" t="str">
        <f>IFERROR(INDEX('Squad Listing'!$A:$A,MATCH(X11,'Squad Listing'!$B:$B,0)),"")</f>
        <v/>
      </c>
      <c r="Z11" t="str">
        <f>IF(T11&lt;&gt;"",B11&amp;"-"&amp;T11&amp;"-"&amp;S11&amp;"-Pos"&amp;U11,"")</f>
        <v/>
      </c>
      <c r="AA11" t="str">
        <f>IF(T11&lt;&gt;"",B11&amp;"-"&amp;T11&amp;"-"&amp;S11,"")</f>
        <v/>
      </c>
      <c r="AB11" t="str">
        <f>IFERROR(INDEX('Squad Listing'!$A:$A,MATCH(AA11,'Squad Listing'!$B:$B,0)),"")</f>
        <v/>
      </c>
    </row>
    <row r="12" spans="1:28" x14ac:dyDescent="0.3">
      <c r="A12" t="s">
        <v>190</v>
      </c>
      <c r="B12" t="str">
        <f>INDEX('Tournament List'!$L:$L,MATCH($A12,'Tournament List'!$A:$A,0))</f>
        <v>Forge Christian Shooting Team</v>
      </c>
      <c r="C12" t="str">
        <f>INDEX('Tournament List'!$B:$B,MATCH($A12,'Tournament List'!$A:$A,0))</f>
        <v>Marty</v>
      </c>
      <c r="D12" t="str">
        <f>INDEX('Tournament List'!$C:$C,MATCH($A12,'Tournament List'!$A:$A,0))</f>
        <v>Last Name34</v>
      </c>
      <c r="E12" t="str">
        <f t="shared" si="1"/>
        <v>Marty Last Name34</v>
      </c>
      <c r="F12" t="str">
        <f>INDEX('Tournament List'!$M:$M,MATCH($A12,'Tournament List'!$A:$A,0))</f>
        <v>Intermediate</v>
      </c>
      <c r="G12" s="112" t="s">
        <v>143</v>
      </c>
      <c r="H12" s="112" t="s">
        <v>338</v>
      </c>
      <c r="I12" s="112">
        <v>3</v>
      </c>
      <c r="J12" s="233"/>
      <c r="K12" t="str">
        <f>IF(H12&lt;&gt;"",B12&amp;"-"&amp;H12&amp;"-"&amp;G12&amp;"-Pos"&amp;I12,"")</f>
        <v>Forge Christian Shooting Team-Intermediate 1-Skeet-Pos3</v>
      </c>
      <c r="L12" t="str">
        <f>IF(H12&lt;&gt;"",IFERROR(INDEX('Tournament Setup'!$B$59:$B$78,MATCH(H12,SquadConcurrents,0)),""),"")</f>
        <v>Intermediate</v>
      </c>
      <c r="M12" s="1">
        <f>IFERROR(INDEX('Squad Listing'!$A:$A,MATCH(B12&amp;"-"&amp;H12&amp;"-"&amp;G12,'Squad Listing'!$B:$B,0)),"")</f>
        <v>61</v>
      </c>
      <c r="N12" s="1">
        <f t="shared" si="2"/>
        <v>3</v>
      </c>
      <c r="O12" s="113" t="s">
        <v>147</v>
      </c>
      <c r="P12" s="113"/>
      <c r="Q12" s="113"/>
      <c r="R12" s="113"/>
      <c r="S12" s="114" t="s">
        <v>148</v>
      </c>
      <c r="T12" s="114"/>
      <c r="U12" s="114"/>
      <c r="V12" s="114"/>
      <c r="W12" t="str">
        <f>IF(P12&lt;&gt;"",B12&amp;"-"&amp;P12&amp;"-"&amp;O12&amp;"-Pos"&amp;Q12,"")</f>
        <v/>
      </c>
      <c r="X12" t="str">
        <f>IF(P12&lt;&gt;"",B12&amp;"-"&amp;P12&amp;"-"&amp;O12,"")</f>
        <v/>
      </c>
      <c r="Y12" t="str">
        <f>IFERROR(INDEX('Squad Listing'!$A:$A,MATCH(X12,'Squad Listing'!$B:$B,0)),"")</f>
        <v/>
      </c>
      <c r="Z12" t="str">
        <f>IF(T12&lt;&gt;"",B12&amp;"-"&amp;T12&amp;"-"&amp;S12&amp;"-Pos"&amp;U12,"")</f>
        <v/>
      </c>
      <c r="AA12" t="str">
        <f>IF(T12&lt;&gt;"",B12&amp;"-"&amp;T12&amp;"-"&amp;S12,"")</f>
        <v/>
      </c>
      <c r="AB12" t="str">
        <f>IFERROR(INDEX('Squad Listing'!$A:$A,MATCH(AA12,'Squad Listing'!$B:$B,0)),"")</f>
        <v/>
      </c>
    </row>
    <row r="13" spans="1:28" x14ac:dyDescent="0.3">
      <c r="A13" t="s">
        <v>202</v>
      </c>
      <c r="B13" t="str">
        <f>INDEX('Tournament List'!$L:$L,MATCH($A13,'Tournament List'!$A:$A,0))</f>
        <v>Forge Christian Shooting Team</v>
      </c>
      <c r="C13" t="str">
        <f>INDEX('Tournament List'!$B:$B,MATCH($A13,'Tournament List'!$A:$A,0))</f>
        <v>Sam</v>
      </c>
      <c r="D13" t="str">
        <f>INDEX('Tournament List'!$C:$C,MATCH($A13,'Tournament List'!$A:$A,0))</f>
        <v>Last Name46</v>
      </c>
      <c r="E13" t="str">
        <f t="shared" si="1"/>
        <v>Sam Last Name46</v>
      </c>
      <c r="F13" t="str">
        <f>INDEX('Tournament List'!$M:$M,MATCH($A13,'Tournament List'!$A:$A,0))</f>
        <v>Varsity</v>
      </c>
      <c r="G13" s="112" t="s">
        <v>143</v>
      </c>
      <c r="H13" s="112" t="s">
        <v>340</v>
      </c>
      <c r="I13" s="112">
        <v>1</v>
      </c>
      <c r="J13" s="233"/>
      <c r="K13" t="str">
        <f>IF(H13&lt;&gt;"",B13&amp;"-"&amp;H13&amp;"-"&amp;G13&amp;"-Pos"&amp;I13,"")</f>
        <v>Forge Christian Shooting Team-Varsity 1-Skeet-Pos1</v>
      </c>
      <c r="L13" t="str">
        <f>IF(H13&lt;&gt;"",IFERROR(INDEX('Tournament Setup'!$B$59:$B$78,MATCH(H13,SquadConcurrents,0)),""),"")</f>
        <v>Varsity</v>
      </c>
      <c r="M13" s="1">
        <f>IFERROR(INDEX('Squad Listing'!$A:$A,MATCH(B13&amp;"-"&amp;H13&amp;"-"&amp;G13,'Squad Listing'!$B:$B,0)),"")</f>
        <v>74</v>
      </c>
      <c r="N13" s="1">
        <f t="shared" si="2"/>
        <v>1</v>
      </c>
      <c r="O13" s="113" t="s">
        <v>147</v>
      </c>
      <c r="P13" s="113"/>
      <c r="Q13" s="113"/>
      <c r="R13" s="113"/>
      <c r="S13" s="114" t="s">
        <v>148</v>
      </c>
      <c r="T13" s="114"/>
      <c r="U13" s="114"/>
      <c r="V13" s="114"/>
      <c r="W13" t="str">
        <f>IF(P13&lt;&gt;"",B13&amp;"-"&amp;P13&amp;"-"&amp;O13&amp;"-Pos"&amp;Q13,"")</f>
        <v/>
      </c>
      <c r="X13" t="str">
        <f>IF(P13&lt;&gt;"",B13&amp;"-"&amp;P13&amp;"-"&amp;O13,"")</f>
        <v/>
      </c>
      <c r="Y13" t="str">
        <f>IFERROR(INDEX('Squad Listing'!$A:$A,MATCH(X13,'Squad Listing'!$B:$B,0)),"")</f>
        <v/>
      </c>
      <c r="Z13" t="str">
        <f>IF(T13&lt;&gt;"",B13&amp;"-"&amp;T13&amp;"-"&amp;S13&amp;"-Pos"&amp;U13,"")</f>
        <v/>
      </c>
      <c r="AA13" t="str">
        <f>IF(T13&lt;&gt;"",B13&amp;"-"&amp;T13&amp;"-"&amp;S13,"")</f>
        <v/>
      </c>
      <c r="AB13" t="str">
        <f>IFERROR(INDEX('Squad Listing'!$A:$A,MATCH(AA13,'Squad Listing'!$B:$B,0)),"")</f>
        <v/>
      </c>
    </row>
    <row r="14" spans="1:28" x14ac:dyDescent="0.3">
      <c r="A14" t="s">
        <v>52</v>
      </c>
      <c r="B14" t="str">
        <f>INDEX('Tournament List'!$L:$L,MATCH($A14,'Tournament List'!$A:$A,0))</f>
        <v>Forge Christian Shooting Team</v>
      </c>
      <c r="C14" t="str">
        <f>INDEX('Tournament List'!$B:$B,MATCH($A14,'Tournament List'!$A:$A,0))</f>
        <v>Paul</v>
      </c>
      <c r="D14" t="str">
        <f>INDEX('Tournament List'!$C:$C,MATCH($A14,'Tournament List'!$A:$A,0))</f>
        <v>Last Name16</v>
      </c>
      <c r="E14" t="str">
        <f t="shared" si="1"/>
        <v>Paul Last Name16</v>
      </c>
      <c r="F14" t="str">
        <f>INDEX('Tournament List'!$M:$M,MATCH($A14,'Tournament List'!$A:$A,0))</f>
        <v>Varsity</v>
      </c>
      <c r="G14" s="112" t="s">
        <v>143</v>
      </c>
      <c r="H14" s="112"/>
      <c r="I14" s="112"/>
      <c r="J14" s="233"/>
      <c r="K14" t="str">
        <f>IF(H14&lt;&gt;"",B14&amp;"-"&amp;H14&amp;"-"&amp;G14&amp;"-Pos"&amp;I14,"")</f>
        <v/>
      </c>
      <c r="L14" t="str">
        <f>IF(H14&lt;&gt;"",IFERROR(INDEX('Tournament Setup'!$B$59:$B$78,MATCH(H14,SquadConcurrents,0)),""),"")</f>
        <v/>
      </c>
      <c r="M14" s="1" t="str">
        <f>IFERROR(INDEX('Squad Listing'!$A:$A,MATCH(B14&amp;"-"&amp;H14&amp;"-"&amp;G14,'Squad Listing'!$B:$B,0)),"")</f>
        <v/>
      </c>
      <c r="N14" s="1" t="str">
        <f t="shared" si="2"/>
        <v/>
      </c>
      <c r="O14" s="113" t="s">
        <v>147</v>
      </c>
      <c r="P14" s="113"/>
      <c r="Q14" s="113"/>
      <c r="R14" s="113"/>
      <c r="S14" s="114" t="s">
        <v>148</v>
      </c>
      <c r="T14" s="114"/>
      <c r="U14" s="114"/>
      <c r="V14" s="114"/>
      <c r="W14" t="str">
        <f>IF(P14&lt;&gt;"",B14&amp;"-"&amp;P14&amp;"-"&amp;O14&amp;"-Pos"&amp;Q14,"")</f>
        <v/>
      </c>
      <c r="X14" t="str">
        <f>IF(P14&lt;&gt;"",B14&amp;"-"&amp;P14&amp;"-"&amp;O14,"")</f>
        <v/>
      </c>
      <c r="Y14" t="str">
        <f>IFERROR(INDEX('Squad Listing'!$A:$A,MATCH(X14,'Squad Listing'!$B:$B,0)),"")</f>
        <v/>
      </c>
      <c r="Z14" t="str">
        <f>IF(T14&lt;&gt;"",B14&amp;"-"&amp;T14&amp;"-"&amp;S14&amp;"-Pos"&amp;U14,"")</f>
        <v/>
      </c>
      <c r="AA14" t="str">
        <f>IF(T14&lt;&gt;"",B14&amp;"-"&amp;T14&amp;"-"&amp;S14,"")</f>
        <v/>
      </c>
      <c r="AB14" t="str">
        <f>IFERROR(INDEX('Squad Listing'!$A:$A,MATCH(AA14,'Squad Listing'!$B:$B,0)),"")</f>
        <v/>
      </c>
    </row>
    <row r="15" spans="1:28" x14ac:dyDescent="0.3">
      <c r="A15" t="s">
        <v>184</v>
      </c>
      <c r="B15" t="str">
        <f>INDEX('Tournament List'!$L:$L,MATCH($A15,'Tournament List'!$A:$A,0))</f>
        <v>Forge Christian Shooting Team</v>
      </c>
      <c r="C15" t="str">
        <f>INDEX('Tournament List'!$B:$B,MATCH($A15,'Tournament List'!$A:$A,0))</f>
        <v>Brad</v>
      </c>
      <c r="D15" t="str">
        <f>INDEX('Tournament List'!$C:$C,MATCH($A15,'Tournament List'!$A:$A,0))</f>
        <v>Last Name28</v>
      </c>
      <c r="E15" t="str">
        <f t="shared" si="1"/>
        <v>Brad Last Name28</v>
      </c>
      <c r="F15" t="str">
        <f>INDEX('Tournament List'!$M:$M,MATCH($A15,'Tournament List'!$A:$A,0))</f>
        <v>Varsity</v>
      </c>
      <c r="G15" s="112" t="s">
        <v>143</v>
      </c>
      <c r="H15" s="112" t="s">
        <v>340</v>
      </c>
      <c r="I15" s="112">
        <v>2</v>
      </c>
      <c r="J15" s="233"/>
      <c r="K15" t="str">
        <f>IF(H15&lt;&gt;"",B15&amp;"-"&amp;H15&amp;"-"&amp;G15&amp;"-Pos"&amp;I15,"")</f>
        <v>Forge Christian Shooting Team-Varsity 1-Skeet-Pos2</v>
      </c>
      <c r="L15" t="str">
        <f>IF(H15&lt;&gt;"",IFERROR(INDEX('Tournament Setup'!$B$59:$B$78,MATCH(H15,SquadConcurrents,0)),""),"")</f>
        <v>Varsity</v>
      </c>
      <c r="M15" s="1">
        <f>IFERROR(INDEX('Squad Listing'!$A:$A,MATCH(B15&amp;"-"&amp;H15&amp;"-"&amp;G15,'Squad Listing'!$B:$B,0)),"")</f>
        <v>74</v>
      </c>
      <c r="N15" s="1">
        <f t="shared" si="2"/>
        <v>2</v>
      </c>
      <c r="O15" s="113" t="s">
        <v>147</v>
      </c>
      <c r="P15" s="113"/>
      <c r="Q15" s="113"/>
      <c r="R15" s="113"/>
      <c r="S15" s="114" t="s">
        <v>148</v>
      </c>
      <c r="T15" s="114"/>
      <c r="U15" s="114"/>
      <c r="V15" s="114"/>
      <c r="W15" t="str">
        <f>IF(P15&lt;&gt;"",B15&amp;"-"&amp;P15&amp;"-"&amp;O15&amp;"-Pos"&amp;Q15,"")</f>
        <v/>
      </c>
      <c r="X15" t="str">
        <f>IF(P15&lt;&gt;"",B15&amp;"-"&amp;P15&amp;"-"&amp;O15,"")</f>
        <v/>
      </c>
      <c r="Y15" t="str">
        <f>IFERROR(INDEX('Squad Listing'!$A:$A,MATCH(X15,'Squad Listing'!$B:$B,0)),"")</f>
        <v/>
      </c>
      <c r="Z15" t="str">
        <f>IF(T15&lt;&gt;"",B15&amp;"-"&amp;T15&amp;"-"&amp;S15&amp;"-Pos"&amp;U15,"")</f>
        <v/>
      </c>
      <c r="AA15" t="str">
        <f>IF(T15&lt;&gt;"",B15&amp;"-"&amp;T15&amp;"-"&amp;S15,"")</f>
        <v/>
      </c>
      <c r="AB15" t="str">
        <f>IFERROR(INDEX('Squad Listing'!$A:$A,MATCH(AA15,'Squad Listing'!$B:$B,0)),"")</f>
        <v/>
      </c>
    </row>
    <row r="16" spans="1:28" x14ac:dyDescent="0.3">
      <c r="A16" t="s">
        <v>196</v>
      </c>
      <c r="B16" t="str">
        <f>INDEX('Tournament List'!$L:$L,MATCH($A16,'Tournament List'!$A:$A,0))</f>
        <v>Forge Christian Shooting Team</v>
      </c>
      <c r="C16" t="str">
        <f>INDEX('Tournament List'!$B:$B,MATCH($A16,'Tournament List'!$A:$A,0))</f>
        <v>Troy</v>
      </c>
      <c r="D16" t="str">
        <f>INDEX('Tournament List'!$C:$C,MATCH($A16,'Tournament List'!$A:$A,0))</f>
        <v>Last Name40</v>
      </c>
      <c r="E16" t="str">
        <f t="shared" si="1"/>
        <v>Troy Last Name40</v>
      </c>
      <c r="F16" t="str">
        <f>INDEX('Tournament List'!$M:$M,MATCH($A16,'Tournament List'!$A:$A,0))</f>
        <v>Varsity</v>
      </c>
      <c r="G16" s="112" t="s">
        <v>143</v>
      </c>
      <c r="H16" s="112" t="s">
        <v>340</v>
      </c>
      <c r="I16" s="112">
        <v>3</v>
      </c>
      <c r="J16" s="233"/>
      <c r="K16" t="str">
        <f>IF(H16&lt;&gt;"",B16&amp;"-"&amp;H16&amp;"-"&amp;G16&amp;"-Pos"&amp;I16,"")</f>
        <v>Forge Christian Shooting Team-Varsity 1-Skeet-Pos3</v>
      </c>
      <c r="L16" t="str">
        <f>IF(H16&lt;&gt;"",IFERROR(INDEX('Tournament Setup'!$B$59:$B$78,MATCH(H16,SquadConcurrents,0)),""),"")</f>
        <v>Varsity</v>
      </c>
      <c r="M16" s="1">
        <f>IFERROR(INDEX('Squad Listing'!$A:$A,MATCH(B16&amp;"-"&amp;H16&amp;"-"&amp;G16,'Squad Listing'!$B:$B,0)),"")</f>
        <v>74</v>
      </c>
      <c r="N16" s="1">
        <f t="shared" si="2"/>
        <v>3</v>
      </c>
      <c r="O16" s="113" t="s">
        <v>147</v>
      </c>
      <c r="P16" s="113"/>
      <c r="Q16" s="113"/>
      <c r="R16" s="113"/>
      <c r="S16" s="114" t="s">
        <v>148</v>
      </c>
      <c r="T16" s="114"/>
      <c r="U16" s="114"/>
      <c r="V16" s="114"/>
      <c r="W16" t="str">
        <f>IF(P16&lt;&gt;"",B16&amp;"-"&amp;P16&amp;"-"&amp;O16&amp;"-Pos"&amp;Q16,"")</f>
        <v/>
      </c>
      <c r="X16" t="str">
        <f>IF(P16&lt;&gt;"",B16&amp;"-"&amp;P16&amp;"-"&amp;O16,"")</f>
        <v/>
      </c>
      <c r="Y16" t="str">
        <f>IFERROR(INDEX('Squad Listing'!$A:$A,MATCH(X16,'Squad Listing'!$B:$B,0)),"")</f>
        <v/>
      </c>
      <c r="Z16" t="str">
        <f>IF(T16&lt;&gt;"",B16&amp;"-"&amp;T16&amp;"-"&amp;S16&amp;"-Pos"&amp;U16,"")</f>
        <v/>
      </c>
      <c r="AA16" t="str">
        <f>IF(T16&lt;&gt;"",B16&amp;"-"&amp;T16&amp;"-"&amp;S16,"")</f>
        <v/>
      </c>
      <c r="AB16" t="str">
        <f>IFERROR(INDEX('Squad Listing'!$A:$A,MATCH(AA16,'Squad Listing'!$B:$B,0)),"")</f>
        <v/>
      </c>
    </row>
    <row r="17" spans="1:28" x14ac:dyDescent="0.3">
      <c r="A17" t="s">
        <v>40</v>
      </c>
      <c r="B17" t="str">
        <f>INDEX('Tournament List'!$L:$L,MATCH($A17,'Tournament List'!$A:$A,0))</f>
        <v>Forge Christian Shooting Team</v>
      </c>
      <c r="C17" t="str">
        <f>INDEX('Tournament List'!$B:$B,MATCH($A17,'Tournament List'!$A:$A,0))</f>
        <v>Susan</v>
      </c>
      <c r="D17" t="str">
        <f>INDEX('Tournament List'!$C:$C,MATCH($A17,'Tournament List'!$A:$A,0))</f>
        <v>Last Name4</v>
      </c>
      <c r="E17" t="str">
        <f t="shared" si="1"/>
        <v>Susan Last Name4</v>
      </c>
      <c r="F17" t="str">
        <f>INDEX('Tournament List'!$M:$M,MATCH($A17,'Tournament List'!$A:$A,0))</f>
        <v>Varsity</v>
      </c>
      <c r="G17" s="112" t="s">
        <v>143</v>
      </c>
      <c r="H17" s="112"/>
      <c r="I17" s="112"/>
      <c r="J17" s="233"/>
      <c r="K17" t="str">
        <f>IF(H17&lt;&gt;"",B17&amp;"-"&amp;H17&amp;"-"&amp;G17&amp;"-Pos"&amp;I17,"")</f>
        <v/>
      </c>
      <c r="L17" t="str">
        <f>IF(H17&lt;&gt;"",IFERROR(INDEX('Tournament Setup'!$B$59:$B$78,MATCH(H17,SquadConcurrents,0)),""),"")</f>
        <v/>
      </c>
      <c r="M17" s="1" t="str">
        <f>IFERROR(INDEX('Squad Listing'!$A:$A,MATCH(B17&amp;"-"&amp;H17&amp;"-"&amp;G17,'Squad Listing'!$B:$B,0)),"")</f>
        <v/>
      </c>
      <c r="N17" s="1" t="str">
        <f t="shared" si="2"/>
        <v/>
      </c>
      <c r="O17" s="113" t="s">
        <v>147</v>
      </c>
      <c r="P17" s="113"/>
      <c r="Q17" s="113"/>
      <c r="R17" s="113"/>
      <c r="S17" s="114" t="s">
        <v>148</v>
      </c>
      <c r="T17" s="114"/>
      <c r="U17" s="114"/>
      <c r="V17" s="114"/>
      <c r="W17" t="str">
        <f>IF(P17&lt;&gt;"",B17&amp;"-"&amp;P17&amp;"-"&amp;O17&amp;"-Pos"&amp;Q17,"")</f>
        <v/>
      </c>
      <c r="X17" t="str">
        <f>IF(P17&lt;&gt;"",B17&amp;"-"&amp;P17&amp;"-"&amp;O17,"")</f>
        <v/>
      </c>
      <c r="Y17" t="str">
        <f>IFERROR(INDEX('Squad Listing'!$A:$A,MATCH(X17,'Squad Listing'!$B:$B,0)),"")</f>
        <v/>
      </c>
      <c r="Z17" t="str">
        <f>IF(T17&lt;&gt;"",B17&amp;"-"&amp;T17&amp;"-"&amp;S17&amp;"-Pos"&amp;U17,"")</f>
        <v/>
      </c>
      <c r="AA17" t="str">
        <f>IF(T17&lt;&gt;"",B17&amp;"-"&amp;T17&amp;"-"&amp;S17,"")</f>
        <v/>
      </c>
      <c r="AB17" t="str">
        <f>IFERROR(INDEX('Squad Listing'!$A:$A,MATCH(AA17,'Squad Listing'!$B:$B,0)),"")</f>
        <v/>
      </c>
    </row>
    <row r="18" spans="1:28" x14ac:dyDescent="0.3">
      <c r="A18" t="s">
        <v>43</v>
      </c>
      <c r="B18" t="str">
        <f>INDEX('Tournament List'!$L:$L,MATCH($A18,'Tournament List'!$A:$A,0))</f>
        <v>High Plains Drifters</v>
      </c>
      <c r="C18" t="str">
        <f>INDEX('Tournament List'!$B:$B,MATCH($A18,'Tournament List'!$A:$A,0))</f>
        <v>Blake</v>
      </c>
      <c r="D18" t="str">
        <f>INDEX('Tournament List'!$C:$C,MATCH($A18,'Tournament List'!$A:$A,0))</f>
        <v>Last Name7</v>
      </c>
      <c r="E18" t="str">
        <f t="shared" si="1"/>
        <v>Blake Last Name7</v>
      </c>
      <c r="F18" t="str">
        <f>INDEX('Tournament List'!$M:$M,MATCH($A18,'Tournament List'!$A:$A,0))</f>
        <v>Intermediate</v>
      </c>
      <c r="G18" s="112" t="s">
        <v>143</v>
      </c>
      <c r="H18" s="112" t="s">
        <v>338</v>
      </c>
      <c r="I18" s="112">
        <v>1</v>
      </c>
      <c r="J18" s="233" t="s">
        <v>763</v>
      </c>
      <c r="K18" t="str">
        <f>IF(H18&lt;&gt;"",B18&amp;"-"&amp;H18&amp;"-"&amp;G18&amp;"-Pos"&amp;I18,"")</f>
        <v>High Plains Drifters-Intermediate 1-Skeet-Pos1</v>
      </c>
      <c r="L18" t="str">
        <f>IF(H18&lt;&gt;"",IFERROR(INDEX('Tournament Setup'!$B$59:$B$78,MATCH(H18,SquadConcurrents,0)),""),"")</f>
        <v>Intermediate</v>
      </c>
      <c r="M18" s="1">
        <f>IFERROR(INDEX('Squad Listing'!$A:$A,MATCH(B18&amp;"-"&amp;H18&amp;"-"&amp;G18,'Squad Listing'!$B:$B,0)),"")</f>
        <v>118</v>
      </c>
      <c r="N18" s="1">
        <f t="shared" si="2"/>
        <v>1</v>
      </c>
      <c r="O18" s="113" t="s">
        <v>147</v>
      </c>
      <c r="P18" s="113" t="s">
        <v>341</v>
      </c>
      <c r="Q18" s="113">
        <v>4</v>
      </c>
      <c r="R18" s="113" t="s">
        <v>769</v>
      </c>
      <c r="S18" s="114" t="s">
        <v>148</v>
      </c>
      <c r="T18" s="114"/>
      <c r="U18" s="114"/>
      <c r="V18" s="114"/>
      <c r="W18" t="str">
        <f>IF(P18&lt;&gt;"",B18&amp;"-"&amp;P18&amp;"-"&amp;O18&amp;"-Pos"&amp;Q18,"")</f>
        <v>High Plains Drifters-Open 1-Trap-Pos4</v>
      </c>
      <c r="X18" t="str">
        <f>IF(P18&lt;&gt;"",B18&amp;"-"&amp;P18&amp;"-"&amp;O18,"")</f>
        <v>High Plains Drifters-Open 1-Trap</v>
      </c>
      <c r="Y18">
        <f>IFERROR(INDEX('Squad Listing'!$A:$A,MATCH(X18,'Squad Listing'!$B:$B,0)),"")</f>
        <v>165</v>
      </c>
      <c r="Z18" t="str">
        <f>IF(T18&lt;&gt;"",B18&amp;"-"&amp;T18&amp;"-"&amp;S18&amp;"-Pos"&amp;U18,"")</f>
        <v/>
      </c>
      <c r="AA18" t="str">
        <f>IF(T18&lt;&gt;"",B18&amp;"-"&amp;T18&amp;"-"&amp;S18,"")</f>
        <v/>
      </c>
      <c r="AB18" t="str">
        <f>IFERROR(INDEX('Squad Listing'!$A:$A,MATCH(AA18,'Squad Listing'!$B:$B,0)),"")</f>
        <v/>
      </c>
    </row>
    <row r="19" spans="1:28" x14ac:dyDescent="0.3">
      <c r="A19" t="s">
        <v>187</v>
      </c>
      <c r="B19" t="str">
        <f>INDEX('Tournament List'!$L:$L,MATCH($A19,'Tournament List'!$A:$A,0))</f>
        <v>High Plains Drifters</v>
      </c>
      <c r="C19" t="str">
        <f>INDEX('Tournament List'!$B:$B,MATCH($A19,'Tournament List'!$A:$A,0))</f>
        <v>Shelly</v>
      </c>
      <c r="D19" t="str">
        <f>INDEX('Tournament List'!$C:$C,MATCH($A19,'Tournament List'!$A:$A,0))</f>
        <v>Last Name31</v>
      </c>
      <c r="E19" t="str">
        <f t="shared" si="1"/>
        <v>Shelly Last Name31</v>
      </c>
      <c r="F19" t="str">
        <f>INDEX('Tournament List'!$M:$M,MATCH($A19,'Tournament List'!$A:$A,0))</f>
        <v>Intermediate</v>
      </c>
      <c r="G19" s="112" t="s">
        <v>143</v>
      </c>
      <c r="H19" s="112" t="s">
        <v>338</v>
      </c>
      <c r="I19" s="112">
        <v>2</v>
      </c>
      <c r="J19" s="233" t="s">
        <v>763</v>
      </c>
      <c r="K19" t="str">
        <f>IF(H19&lt;&gt;"",B19&amp;"-"&amp;H19&amp;"-"&amp;G19&amp;"-Pos"&amp;I19,"")</f>
        <v>High Plains Drifters-Intermediate 1-Skeet-Pos2</v>
      </c>
      <c r="L19" t="str">
        <f>IF(H19&lt;&gt;"",IFERROR(INDEX('Tournament Setup'!$B$59:$B$78,MATCH(H19,SquadConcurrents,0)),""),"")</f>
        <v>Intermediate</v>
      </c>
      <c r="M19" s="1">
        <f>IFERROR(INDEX('Squad Listing'!$A:$A,MATCH(B19&amp;"-"&amp;H19&amp;"-"&amp;G19,'Squad Listing'!$B:$B,0)),"")</f>
        <v>118</v>
      </c>
      <c r="N19" s="1">
        <f t="shared" si="2"/>
        <v>2</v>
      </c>
      <c r="O19" s="113" t="s">
        <v>147</v>
      </c>
      <c r="P19" s="113" t="s">
        <v>341</v>
      </c>
      <c r="Q19" s="113">
        <v>5</v>
      </c>
      <c r="R19" s="113" t="s">
        <v>769</v>
      </c>
      <c r="S19" s="114" t="s">
        <v>148</v>
      </c>
      <c r="T19" s="114"/>
      <c r="U19" s="114"/>
      <c r="V19" s="114"/>
      <c r="W19" t="str">
        <f>IF(P19&lt;&gt;"",B19&amp;"-"&amp;P19&amp;"-"&amp;O19&amp;"-Pos"&amp;Q19,"")</f>
        <v>High Plains Drifters-Open 1-Trap-Pos5</v>
      </c>
      <c r="X19" t="str">
        <f>IF(P19&lt;&gt;"",B19&amp;"-"&amp;P19&amp;"-"&amp;O19,"")</f>
        <v>High Plains Drifters-Open 1-Trap</v>
      </c>
      <c r="Y19">
        <f>IFERROR(INDEX('Squad Listing'!$A:$A,MATCH(X19,'Squad Listing'!$B:$B,0)),"")</f>
        <v>165</v>
      </c>
      <c r="Z19" t="str">
        <f>IF(T19&lt;&gt;"",B19&amp;"-"&amp;T19&amp;"-"&amp;S19&amp;"-Pos"&amp;U19,"")</f>
        <v/>
      </c>
      <c r="AA19" t="str">
        <f>IF(T19&lt;&gt;"",B19&amp;"-"&amp;T19&amp;"-"&amp;S19,"")</f>
        <v/>
      </c>
      <c r="AB19" t="str">
        <f>IFERROR(INDEX('Squad Listing'!$A:$A,MATCH(AA19,'Squad Listing'!$B:$B,0)),"")</f>
        <v/>
      </c>
    </row>
    <row r="20" spans="1:28" x14ac:dyDescent="0.3">
      <c r="A20" t="s">
        <v>199</v>
      </c>
      <c r="B20" t="str">
        <f>INDEX('Tournament List'!$L:$L,MATCH($A20,'Tournament List'!$A:$A,0))</f>
        <v>High Plains Drifters</v>
      </c>
      <c r="C20" t="str">
        <f>INDEX('Tournament List'!$B:$B,MATCH($A20,'Tournament List'!$A:$A,0))</f>
        <v>Terry</v>
      </c>
      <c r="D20" t="str">
        <f>INDEX('Tournament List'!$C:$C,MATCH($A20,'Tournament List'!$A:$A,0))</f>
        <v>Last Name43</v>
      </c>
      <c r="E20" t="str">
        <f t="shared" si="1"/>
        <v>Terry Last Name43</v>
      </c>
      <c r="F20" t="str">
        <f>INDEX('Tournament List'!$M:$M,MATCH($A20,'Tournament List'!$A:$A,0))</f>
        <v>Intermediate</v>
      </c>
      <c r="G20" s="112" t="s">
        <v>143</v>
      </c>
      <c r="H20" s="112" t="s">
        <v>338</v>
      </c>
      <c r="I20" s="112">
        <v>3</v>
      </c>
      <c r="J20" s="233" t="s">
        <v>763</v>
      </c>
      <c r="K20" t="str">
        <f>IF(H20&lt;&gt;"",B20&amp;"-"&amp;H20&amp;"-"&amp;G20&amp;"-Pos"&amp;I20,"")</f>
        <v>High Plains Drifters-Intermediate 1-Skeet-Pos3</v>
      </c>
      <c r="L20" t="str">
        <f>IF(H20&lt;&gt;"",IFERROR(INDEX('Tournament Setup'!$B$59:$B$78,MATCH(H20,SquadConcurrents,0)),""),"")</f>
        <v>Intermediate</v>
      </c>
      <c r="M20" s="1">
        <f>IFERROR(INDEX('Squad Listing'!$A:$A,MATCH(B20&amp;"-"&amp;H20&amp;"-"&amp;G20,'Squad Listing'!$B:$B,0)),"")</f>
        <v>118</v>
      </c>
      <c r="N20" s="1">
        <f t="shared" si="2"/>
        <v>3</v>
      </c>
      <c r="O20" s="113" t="s">
        <v>147</v>
      </c>
      <c r="P20" s="113"/>
      <c r="Q20" s="113"/>
      <c r="R20" s="113"/>
      <c r="S20" s="114" t="s">
        <v>148</v>
      </c>
      <c r="T20" s="114" t="s">
        <v>341</v>
      </c>
      <c r="U20" s="114">
        <v>1</v>
      </c>
      <c r="V20" s="114"/>
      <c r="W20" t="str">
        <f>IF(P20&lt;&gt;"",B20&amp;"-"&amp;P20&amp;"-"&amp;O20&amp;"-Pos"&amp;Q20,"")</f>
        <v/>
      </c>
      <c r="X20" t="str">
        <f>IF(P20&lt;&gt;"",B20&amp;"-"&amp;P20&amp;"-"&amp;O20,"")</f>
        <v/>
      </c>
      <c r="Y20" t="str">
        <f>IFERROR(INDEX('Squad Listing'!$A:$A,MATCH(X20,'Squad Listing'!$B:$B,0)),"")</f>
        <v/>
      </c>
      <c r="Z20" t="str">
        <f>IF(T20&lt;&gt;"",B20&amp;"-"&amp;T20&amp;"-"&amp;S20&amp;"-Pos"&amp;U20,"")</f>
        <v>High Plains Drifters-Open 1-Sporting Clays-Pos1</v>
      </c>
      <c r="AA20" t="str">
        <f>IF(T20&lt;&gt;"",B20&amp;"-"&amp;T20&amp;"-"&amp;S20,"")</f>
        <v>High Plains Drifters-Open 1-Sporting Clays</v>
      </c>
      <c r="AB20">
        <f>IFERROR(INDEX('Squad Listing'!$A:$A,MATCH(AA20,'Squad Listing'!$B:$B,0)),"")</f>
        <v>146</v>
      </c>
    </row>
    <row r="21" spans="1:28" x14ac:dyDescent="0.3">
      <c r="A21" t="s">
        <v>49</v>
      </c>
      <c r="B21" t="str">
        <f>INDEX('Tournament List'!$L:$L,MATCH($A21,'Tournament List'!$A:$A,0))</f>
        <v>High Plains Drifters</v>
      </c>
      <c r="C21" t="str">
        <f>INDEX('Tournament List'!$B:$B,MATCH($A21,'Tournament List'!$A:$A,0))</f>
        <v>Bruce</v>
      </c>
      <c r="D21" t="str">
        <f>INDEX('Tournament List'!$C:$C,MATCH($A21,'Tournament List'!$A:$A,0))</f>
        <v>Last Name13</v>
      </c>
      <c r="E21" t="str">
        <f t="shared" si="1"/>
        <v>Bruce Last Name13</v>
      </c>
      <c r="F21" t="str">
        <f>INDEX('Tournament List'!$M:$M,MATCH($A21,'Tournament List'!$A:$A,0))</f>
        <v>Junior Varsity</v>
      </c>
      <c r="G21" s="112" t="s">
        <v>143</v>
      </c>
      <c r="H21" s="112"/>
      <c r="I21" s="112"/>
      <c r="J21" s="233"/>
      <c r="K21" t="str">
        <f>IF(H21&lt;&gt;"",B21&amp;"-"&amp;H21&amp;"-"&amp;G21&amp;"-Pos"&amp;I21,"")</f>
        <v/>
      </c>
      <c r="L21" t="str">
        <f>IF(H21&lt;&gt;"",IFERROR(INDEX('Tournament Setup'!$B$59:$B$78,MATCH(H21,SquadConcurrents,0)),""),"")</f>
        <v/>
      </c>
      <c r="M21" s="1" t="str">
        <f>IFERROR(INDEX('Squad Listing'!$A:$A,MATCH(B21&amp;"-"&amp;H21&amp;"-"&amp;G21,'Squad Listing'!$B:$B,0)),"")</f>
        <v/>
      </c>
      <c r="N21" s="1" t="str">
        <f t="shared" si="2"/>
        <v/>
      </c>
      <c r="O21" s="113" t="s">
        <v>147</v>
      </c>
      <c r="P21" s="113"/>
      <c r="Q21" s="113"/>
      <c r="R21" s="113"/>
      <c r="S21" s="114" t="s">
        <v>148</v>
      </c>
      <c r="T21" s="114" t="s">
        <v>341</v>
      </c>
      <c r="U21" s="114">
        <v>2</v>
      </c>
      <c r="V21" s="114"/>
      <c r="W21" t="str">
        <f>IF(P21&lt;&gt;"",B21&amp;"-"&amp;P21&amp;"-"&amp;O21&amp;"-Pos"&amp;Q21,"")</f>
        <v/>
      </c>
      <c r="X21" t="str">
        <f>IF(P21&lt;&gt;"",B21&amp;"-"&amp;P21&amp;"-"&amp;O21,"")</f>
        <v/>
      </c>
      <c r="Y21" t="str">
        <f>IFERROR(INDEX('Squad Listing'!$A:$A,MATCH(X21,'Squad Listing'!$B:$B,0)),"")</f>
        <v/>
      </c>
      <c r="Z21" t="str">
        <f>IF(T21&lt;&gt;"",B21&amp;"-"&amp;T21&amp;"-"&amp;S21&amp;"-Pos"&amp;U21,"")</f>
        <v>High Plains Drifters-Open 1-Sporting Clays-Pos2</v>
      </c>
      <c r="AA21" t="str">
        <f>IF(T21&lt;&gt;"",B21&amp;"-"&amp;T21&amp;"-"&amp;S21,"")</f>
        <v>High Plains Drifters-Open 1-Sporting Clays</v>
      </c>
      <c r="AB21">
        <f>IFERROR(INDEX('Squad Listing'!$A:$A,MATCH(AA21,'Squad Listing'!$B:$B,0)),"")</f>
        <v>146</v>
      </c>
    </row>
    <row r="22" spans="1:28" x14ac:dyDescent="0.3">
      <c r="A22" t="s">
        <v>37</v>
      </c>
      <c r="B22" t="str">
        <f>INDEX('Tournament List'!$L:$L,MATCH($A22,'Tournament List'!$A:$A,0))</f>
        <v>High Plains Drifters</v>
      </c>
      <c r="C22" t="str">
        <f>INDEX('Tournament List'!$B:$B,MATCH($A22,'Tournament List'!$A:$A,0))</f>
        <v>Jason</v>
      </c>
      <c r="D22" t="str">
        <f>INDEX('Tournament List'!$C:$C,MATCH($A22,'Tournament List'!$A:$A,0))</f>
        <v>Last Name1</v>
      </c>
      <c r="E22" t="str">
        <f t="shared" si="1"/>
        <v>Jason Last Name1</v>
      </c>
      <c r="F22" t="str">
        <f>INDEX('Tournament List'!$M:$M,MATCH($A22,'Tournament List'!$A:$A,0))</f>
        <v>Novice</v>
      </c>
      <c r="G22" s="112" t="s">
        <v>143</v>
      </c>
      <c r="H22" s="112"/>
      <c r="I22" s="112"/>
      <c r="J22" s="233"/>
      <c r="K22" t="str">
        <f>IF(H22&lt;&gt;"",B22&amp;"-"&amp;H22&amp;"-"&amp;G22&amp;"-Pos"&amp;I22,"")</f>
        <v/>
      </c>
      <c r="L22" t="str">
        <f>IF(H22&lt;&gt;"",IFERROR(INDEX('Tournament Setup'!$B$59:$B$78,MATCH(H22,SquadConcurrents,0)),""),"")</f>
        <v/>
      </c>
      <c r="M22" s="1" t="str">
        <f>IFERROR(INDEX('Squad Listing'!$A:$A,MATCH(B22&amp;"-"&amp;H22&amp;"-"&amp;G22,'Squad Listing'!$B:$B,0)),"")</f>
        <v/>
      </c>
      <c r="N22" s="1" t="str">
        <f t="shared" si="2"/>
        <v/>
      </c>
      <c r="O22" s="113" t="s">
        <v>147</v>
      </c>
      <c r="P22" s="113"/>
      <c r="Q22" s="113"/>
      <c r="R22" s="113"/>
      <c r="S22" s="114" t="s">
        <v>148</v>
      </c>
      <c r="T22" s="114" t="s">
        <v>341</v>
      </c>
      <c r="U22" s="114">
        <v>3</v>
      </c>
      <c r="V22" s="114"/>
      <c r="W22" t="str">
        <f>IF(P22&lt;&gt;"",B22&amp;"-"&amp;P22&amp;"-"&amp;O22&amp;"-Pos"&amp;Q22,"")</f>
        <v/>
      </c>
      <c r="X22" t="str">
        <f>IF(P22&lt;&gt;"",B22&amp;"-"&amp;P22&amp;"-"&amp;O22,"")</f>
        <v/>
      </c>
      <c r="Y22" t="str">
        <f>IFERROR(INDEX('Squad Listing'!$A:$A,MATCH(X22,'Squad Listing'!$B:$B,0)),"")</f>
        <v/>
      </c>
      <c r="Z22" t="str">
        <f>IF(T22&lt;&gt;"",B22&amp;"-"&amp;T22&amp;"-"&amp;S22&amp;"-Pos"&amp;U22,"")</f>
        <v>High Plains Drifters-Open 1-Sporting Clays-Pos3</v>
      </c>
      <c r="AA22" t="str">
        <f>IF(T22&lt;&gt;"",B22&amp;"-"&amp;T22&amp;"-"&amp;S22,"")</f>
        <v>High Plains Drifters-Open 1-Sporting Clays</v>
      </c>
      <c r="AB22">
        <f>IFERROR(INDEX('Squad Listing'!$A:$A,MATCH(AA22,'Squad Listing'!$B:$B,0)),"")</f>
        <v>146</v>
      </c>
    </row>
    <row r="23" spans="1:28" x14ac:dyDescent="0.3">
      <c r="A23" t="s">
        <v>55</v>
      </c>
      <c r="B23" t="str">
        <f>INDEX('Tournament List'!$L:$L,MATCH($A23,'Tournament List'!$A:$A,0))</f>
        <v>High Plains Drifters</v>
      </c>
      <c r="C23" t="str">
        <f>INDEX('Tournament List'!$B:$B,MATCH($A23,'Tournament List'!$A:$A,0))</f>
        <v>Jack</v>
      </c>
      <c r="D23" t="str">
        <f>INDEX('Tournament List'!$C:$C,MATCH($A23,'Tournament List'!$A:$A,0))</f>
        <v>Last Name19</v>
      </c>
      <c r="E23" t="str">
        <f t="shared" si="1"/>
        <v>Jack Last Name19</v>
      </c>
      <c r="F23" t="str">
        <f>INDEX('Tournament List'!$M:$M,MATCH($A23,'Tournament List'!$A:$A,0))</f>
        <v>Varsity</v>
      </c>
      <c r="G23" s="112" t="s">
        <v>143</v>
      </c>
      <c r="H23" s="112" t="s">
        <v>341</v>
      </c>
      <c r="I23" s="112">
        <v>1</v>
      </c>
      <c r="J23" s="233" t="s">
        <v>763</v>
      </c>
      <c r="K23" t="str">
        <f>IF(H23&lt;&gt;"",B23&amp;"-"&amp;H23&amp;"-"&amp;G23&amp;"-Pos"&amp;I23,"")</f>
        <v>High Plains Drifters-Open 1-Skeet-Pos1</v>
      </c>
      <c r="L23" t="str">
        <f>IF(H23&lt;&gt;"",IFERROR(INDEX('Tournament Setup'!$B$59:$B$78,MATCH(H23,SquadConcurrents,0)),""),"")</f>
        <v>Open</v>
      </c>
      <c r="M23" s="1">
        <f>IFERROR(INDEX('Squad Listing'!$A:$A,MATCH(B23&amp;"-"&amp;H23&amp;"-"&amp;G23,'Squad Listing'!$B:$B,0)),"")</f>
        <v>127</v>
      </c>
      <c r="N23" s="1">
        <f t="shared" si="2"/>
        <v>1</v>
      </c>
      <c r="O23" s="113" t="s">
        <v>147</v>
      </c>
      <c r="P23" s="113" t="s">
        <v>341</v>
      </c>
      <c r="Q23" s="113">
        <v>1</v>
      </c>
      <c r="R23" s="113" t="s">
        <v>769</v>
      </c>
      <c r="S23" s="114" t="s">
        <v>148</v>
      </c>
      <c r="T23" s="114" t="s">
        <v>340</v>
      </c>
      <c r="U23" s="114">
        <v>2</v>
      </c>
      <c r="V23" s="114"/>
      <c r="W23" t="str">
        <f>IF(P23&lt;&gt;"",B23&amp;"-"&amp;P23&amp;"-"&amp;O23&amp;"-Pos"&amp;Q23,"")</f>
        <v>High Plains Drifters-Open 1-Trap-Pos1</v>
      </c>
      <c r="X23" t="str">
        <f>IF(P23&lt;&gt;"",B23&amp;"-"&amp;P23&amp;"-"&amp;O23,"")</f>
        <v>High Plains Drifters-Open 1-Trap</v>
      </c>
      <c r="Y23">
        <f>IFERROR(INDEX('Squad Listing'!$A:$A,MATCH(X23,'Squad Listing'!$B:$B,0)),"")</f>
        <v>165</v>
      </c>
      <c r="Z23" t="str">
        <f>IF(T23&lt;&gt;"",B23&amp;"-"&amp;T23&amp;"-"&amp;S23&amp;"-Pos"&amp;U23,"")</f>
        <v>High Plains Drifters-Varsity 1-Sporting Clays-Pos2</v>
      </c>
      <c r="AA23" t="str">
        <f>IF(T23&lt;&gt;"",B23&amp;"-"&amp;T23&amp;"-"&amp;S23,"")</f>
        <v>High Plains Drifters-Varsity 1-Sporting Clays</v>
      </c>
      <c r="AB23">
        <f>IFERROR(INDEX('Squad Listing'!$A:$A,MATCH(AA23,'Squad Listing'!$B:$B,0)),"")</f>
        <v>150</v>
      </c>
    </row>
    <row r="24" spans="1:28" x14ac:dyDescent="0.3">
      <c r="A24" t="s">
        <v>181</v>
      </c>
      <c r="B24" t="str">
        <f>INDEX('Tournament List'!$L:$L,MATCH($A24,'Tournament List'!$A:$A,0))</f>
        <v>High Plains Drifters</v>
      </c>
      <c r="C24" t="str">
        <f>INDEX('Tournament List'!$B:$B,MATCH($A24,'Tournament List'!$A:$A,0))</f>
        <v>Harry</v>
      </c>
      <c r="D24" t="str">
        <f>INDEX('Tournament List'!$C:$C,MATCH($A24,'Tournament List'!$A:$A,0))</f>
        <v>Last Name25</v>
      </c>
      <c r="E24" t="str">
        <f t="shared" si="1"/>
        <v>Harry Last Name25</v>
      </c>
      <c r="F24" t="str">
        <f>INDEX('Tournament List'!$M:$M,MATCH($A24,'Tournament List'!$A:$A,0))</f>
        <v>Varsity</v>
      </c>
      <c r="G24" s="112" t="s">
        <v>143</v>
      </c>
      <c r="H24" s="112" t="s">
        <v>341</v>
      </c>
      <c r="I24" s="112">
        <v>2</v>
      </c>
      <c r="J24" s="233" t="s">
        <v>763</v>
      </c>
      <c r="K24" t="str">
        <f>IF(H24&lt;&gt;"",B24&amp;"-"&amp;H24&amp;"-"&amp;G24&amp;"-Pos"&amp;I24,"")</f>
        <v>High Plains Drifters-Open 1-Skeet-Pos2</v>
      </c>
      <c r="L24" t="str">
        <f>IF(H24&lt;&gt;"",IFERROR(INDEX('Tournament Setup'!$B$59:$B$78,MATCH(H24,SquadConcurrents,0)),""),"")</f>
        <v>Open</v>
      </c>
      <c r="M24" s="1">
        <f>IFERROR(INDEX('Squad Listing'!$A:$A,MATCH(B24&amp;"-"&amp;H24&amp;"-"&amp;G24,'Squad Listing'!$B:$B,0)),"")</f>
        <v>127</v>
      </c>
      <c r="N24" s="1">
        <f t="shared" si="2"/>
        <v>2</v>
      </c>
      <c r="O24" s="113" t="s">
        <v>147</v>
      </c>
      <c r="P24" s="113" t="s">
        <v>341</v>
      </c>
      <c r="Q24" s="113">
        <v>2</v>
      </c>
      <c r="R24" s="113" t="s">
        <v>769</v>
      </c>
      <c r="S24" s="114" t="s">
        <v>148</v>
      </c>
      <c r="T24" s="114" t="s">
        <v>340</v>
      </c>
      <c r="U24" s="114">
        <v>1</v>
      </c>
      <c r="V24" s="114"/>
      <c r="W24" t="str">
        <f>IF(P24&lt;&gt;"",B24&amp;"-"&amp;P24&amp;"-"&amp;O24&amp;"-Pos"&amp;Q24,"")</f>
        <v>High Plains Drifters-Open 1-Trap-Pos2</v>
      </c>
      <c r="X24" t="str">
        <f>IF(P24&lt;&gt;"",B24&amp;"-"&amp;P24&amp;"-"&amp;O24,"")</f>
        <v>High Plains Drifters-Open 1-Trap</v>
      </c>
      <c r="Y24">
        <f>IFERROR(INDEX('Squad Listing'!$A:$A,MATCH(X24,'Squad Listing'!$B:$B,0)),"")</f>
        <v>165</v>
      </c>
      <c r="Z24" t="str">
        <f>IF(T24&lt;&gt;"",B24&amp;"-"&amp;T24&amp;"-"&amp;S24&amp;"-Pos"&amp;U24,"")</f>
        <v>High Plains Drifters-Varsity 1-Sporting Clays-Pos1</v>
      </c>
      <c r="AA24" t="str">
        <f>IF(T24&lt;&gt;"",B24&amp;"-"&amp;T24&amp;"-"&amp;S24,"")</f>
        <v>High Plains Drifters-Varsity 1-Sporting Clays</v>
      </c>
      <c r="AB24">
        <f>IFERROR(INDEX('Squad Listing'!$A:$A,MATCH(AA24,'Squad Listing'!$B:$B,0)),"")</f>
        <v>150</v>
      </c>
    </row>
    <row r="25" spans="1:28" x14ac:dyDescent="0.3">
      <c r="A25" t="s">
        <v>193</v>
      </c>
      <c r="B25" t="str">
        <f>INDEX('Tournament List'!$L:$L,MATCH($A25,'Tournament List'!$A:$A,0))</f>
        <v>High Plains Drifters</v>
      </c>
      <c r="C25" t="str">
        <f>INDEX('Tournament List'!$B:$B,MATCH($A25,'Tournament List'!$A:$A,0))</f>
        <v>Will</v>
      </c>
      <c r="D25" t="str">
        <f>INDEX('Tournament List'!$C:$C,MATCH($A25,'Tournament List'!$A:$A,0))</f>
        <v>Last Name37</v>
      </c>
      <c r="E25" t="str">
        <f t="shared" si="1"/>
        <v>Will Last Name37</v>
      </c>
      <c r="F25" t="str">
        <f>INDEX('Tournament List'!$M:$M,MATCH($A25,'Tournament List'!$A:$A,0))</f>
        <v>Varsity</v>
      </c>
      <c r="G25" s="112" t="s">
        <v>143</v>
      </c>
      <c r="H25" s="112" t="s">
        <v>341</v>
      </c>
      <c r="I25" s="112">
        <v>3</v>
      </c>
      <c r="J25" s="233" t="s">
        <v>763</v>
      </c>
      <c r="K25" t="str">
        <f>IF(H25&lt;&gt;"",B25&amp;"-"&amp;H25&amp;"-"&amp;G25&amp;"-Pos"&amp;I25,"")</f>
        <v>High Plains Drifters-Open 1-Skeet-Pos3</v>
      </c>
      <c r="L25" t="str">
        <f>IF(H25&lt;&gt;"",IFERROR(INDEX('Tournament Setup'!$B$59:$B$78,MATCH(H25,SquadConcurrents,0)),""),"")</f>
        <v>Open</v>
      </c>
      <c r="M25" s="1">
        <f>IFERROR(INDEX('Squad Listing'!$A:$A,MATCH(B25&amp;"-"&amp;H25&amp;"-"&amp;G25,'Squad Listing'!$B:$B,0)),"")</f>
        <v>127</v>
      </c>
      <c r="N25" s="1">
        <f t="shared" si="2"/>
        <v>3</v>
      </c>
      <c r="O25" s="113" t="s">
        <v>147</v>
      </c>
      <c r="P25" s="113" t="s">
        <v>341</v>
      </c>
      <c r="Q25" s="113">
        <v>3</v>
      </c>
      <c r="R25" s="113" t="s">
        <v>769</v>
      </c>
      <c r="S25" s="114" t="s">
        <v>148</v>
      </c>
      <c r="T25" s="114" t="s">
        <v>340</v>
      </c>
      <c r="U25" s="114">
        <v>3</v>
      </c>
      <c r="V25" s="114"/>
      <c r="W25" t="str">
        <f>IF(P25&lt;&gt;"",B25&amp;"-"&amp;P25&amp;"-"&amp;O25&amp;"-Pos"&amp;Q25,"")</f>
        <v>High Plains Drifters-Open 1-Trap-Pos3</v>
      </c>
      <c r="X25" t="str">
        <f>IF(P25&lt;&gt;"",B25&amp;"-"&amp;P25&amp;"-"&amp;O25,"")</f>
        <v>High Plains Drifters-Open 1-Trap</v>
      </c>
      <c r="Y25">
        <f>IFERROR(INDEX('Squad Listing'!$A:$A,MATCH(X25,'Squad Listing'!$B:$B,0)),"")</f>
        <v>165</v>
      </c>
      <c r="Z25" t="str">
        <f>IF(T25&lt;&gt;"",B25&amp;"-"&amp;T25&amp;"-"&amp;S25&amp;"-Pos"&amp;U25,"")</f>
        <v>High Plains Drifters-Varsity 1-Sporting Clays-Pos3</v>
      </c>
      <c r="AA25" t="str">
        <f>IF(T25&lt;&gt;"",B25&amp;"-"&amp;T25&amp;"-"&amp;S25,"")</f>
        <v>High Plains Drifters-Varsity 1-Sporting Clays</v>
      </c>
      <c r="AB25">
        <f>IFERROR(INDEX('Squad Listing'!$A:$A,MATCH(AA25,'Squad Listing'!$B:$B,0)),"")</f>
        <v>150</v>
      </c>
    </row>
    <row r="26" spans="1:28" x14ac:dyDescent="0.3">
      <c r="A26" t="s">
        <v>48</v>
      </c>
      <c r="B26" t="str">
        <f>INDEX('Tournament List'!$L:$L,MATCH($A26,'Tournament List'!$A:$A,0))</f>
        <v>Littleton Target Masters</v>
      </c>
      <c r="C26" t="str">
        <f>INDEX('Tournament List'!$B:$B,MATCH($A26,'Tournament List'!$A:$A,0))</f>
        <v>Bob</v>
      </c>
      <c r="D26" t="str">
        <f>INDEX('Tournament List'!$C:$C,MATCH($A26,'Tournament List'!$A:$A,0))</f>
        <v>Last Name12</v>
      </c>
      <c r="E26" t="str">
        <f t="shared" si="1"/>
        <v>Bob Last Name12</v>
      </c>
      <c r="F26" t="str">
        <f>INDEX('Tournament List'!$M:$M,MATCH($A26,'Tournament List'!$A:$A,0))</f>
        <v>Collegiate</v>
      </c>
      <c r="G26" s="112" t="s">
        <v>143</v>
      </c>
      <c r="H26" s="112" t="s">
        <v>342</v>
      </c>
      <c r="I26" s="112">
        <v>1</v>
      </c>
      <c r="J26" s="233"/>
      <c r="K26" t="str">
        <f>IF(H26&lt;&gt;"",B26&amp;"-"&amp;H26&amp;"-"&amp;G26&amp;"-Pos"&amp;I26,"")</f>
        <v>Littleton Target Masters-Collegiate 1-Skeet-Pos1</v>
      </c>
      <c r="L26" t="str">
        <f>IF(H26&lt;&gt;"",IFERROR(INDEX('Tournament Setup'!$B$59:$B$78,MATCH(H26,SquadConcurrents,0)),""),"")</f>
        <v>Collegiate</v>
      </c>
      <c r="M26" s="1">
        <f>IFERROR(INDEX('Squad Listing'!$A:$A,MATCH(B26&amp;"-"&amp;H26&amp;"-"&amp;G26,'Squad Listing'!$B:$B,0)),"")</f>
        <v>172</v>
      </c>
      <c r="N26" s="1">
        <f t="shared" si="2"/>
        <v>1</v>
      </c>
      <c r="O26" s="113" t="s">
        <v>147</v>
      </c>
      <c r="P26" s="113"/>
      <c r="Q26" s="113"/>
      <c r="R26" s="113"/>
      <c r="S26" s="114" t="s">
        <v>148</v>
      </c>
      <c r="T26" s="114"/>
      <c r="U26" s="114"/>
      <c r="V26" s="114"/>
      <c r="W26" t="str">
        <f>IF(P26&lt;&gt;"",B26&amp;"-"&amp;P26&amp;"-"&amp;O26&amp;"-Pos"&amp;Q26,"")</f>
        <v/>
      </c>
      <c r="X26" t="str">
        <f>IF(P26&lt;&gt;"",B26&amp;"-"&amp;P26&amp;"-"&amp;O26,"")</f>
        <v/>
      </c>
      <c r="Y26" t="str">
        <f>IFERROR(INDEX('Squad Listing'!$A:$A,MATCH(X26,'Squad Listing'!$B:$B,0)),"")</f>
        <v/>
      </c>
      <c r="Z26" t="str">
        <f>IF(T26&lt;&gt;"",B26&amp;"-"&amp;T26&amp;"-"&amp;S26&amp;"-Pos"&amp;U26,"")</f>
        <v/>
      </c>
      <c r="AA26" t="str">
        <f>IF(T26&lt;&gt;"",B26&amp;"-"&amp;T26&amp;"-"&amp;S26,"")</f>
        <v/>
      </c>
      <c r="AB26" t="str">
        <f>IFERROR(INDEX('Squad Listing'!$A:$A,MATCH(AA26,'Squad Listing'!$B:$B,0)),"")</f>
        <v/>
      </c>
    </row>
    <row r="27" spans="1:28" x14ac:dyDescent="0.3">
      <c r="A27" t="s">
        <v>54</v>
      </c>
      <c r="B27" t="str">
        <f>INDEX('Tournament List'!$L:$L,MATCH($A27,'Tournament List'!$A:$A,0))</f>
        <v>Littleton Target Masters</v>
      </c>
      <c r="C27" t="str">
        <f>INDEX('Tournament List'!$B:$B,MATCH($A27,'Tournament List'!$A:$A,0))</f>
        <v>Jill</v>
      </c>
      <c r="D27" t="str">
        <f>INDEX('Tournament List'!$C:$C,MATCH($A27,'Tournament List'!$A:$A,0))</f>
        <v>Last Name18</v>
      </c>
      <c r="E27" t="str">
        <f t="shared" si="1"/>
        <v>Jill Last Name18</v>
      </c>
      <c r="F27" t="str">
        <f>INDEX('Tournament List'!$M:$M,MATCH($A27,'Tournament List'!$A:$A,0))</f>
        <v>Collegiate</v>
      </c>
      <c r="G27" s="112" t="s">
        <v>143</v>
      </c>
      <c r="H27" s="112" t="s">
        <v>342</v>
      </c>
      <c r="I27" s="112">
        <v>2</v>
      </c>
      <c r="J27" s="233"/>
      <c r="K27" t="str">
        <f>IF(H27&lt;&gt;"",B27&amp;"-"&amp;H27&amp;"-"&amp;G27&amp;"-Pos"&amp;I27,"")</f>
        <v>Littleton Target Masters-Collegiate 1-Skeet-Pos2</v>
      </c>
      <c r="L27" t="str">
        <f>IF(H27&lt;&gt;"",IFERROR(INDEX('Tournament Setup'!$B$59:$B$78,MATCH(H27,SquadConcurrents,0)),""),"")</f>
        <v>Collegiate</v>
      </c>
      <c r="M27" s="1">
        <f>IFERROR(INDEX('Squad Listing'!$A:$A,MATCH(B27&amp;"-"&amp;H27&amp;"-"&amp;G27,'Squad Listing'!$B:$B,0)),"")</f>
        <v>172</v>
      </c>
      <c r="N27" s="1">
        <f t="shared" si="2"/>
        <v>2</v>
      </c>
      <c r="O27" s="113" t="s">
        <v>147</v>
      </c>
      <c r="P27" s="113"/>
      <c r="Q27" s="113"/>
      <c r="R27" s="113"/>
      <c r="S27" s="114" t="s">
        <v>148</v>
      </c>
      <c r="T27" s="114"/>
      <c r="U27" s="114"/>
      <c r="V27" s="114"/>
      <c r="W27" t="str">
        <f>IF(P27&lt;&gt;"",B27&amp;"-"&amp;P27&amp;"-"&amp;O27&amp;"-Pos"&amp;Q27,"")</f>
        <v/>
      </c>
      <c r="X27" t="str">
        <f>IF(P27&lt;&gt;"",B27&amp;"-"&amp;P27&amp;"-"&amp;O27,"")</f>
        <v/>
      </c>
      <c r="Y27" t="str">
        <f>IFERROR(INDEX('Squad Listing'!$A:$A,MATCH(X27,'Squad Listing'!$B:$B,0)),"")</f>
        <v/>
      </c>
      <c r="Z27" t="str">
        <f>IF(T27&lt;&gt;"",B27&amp;"-"&amp;T27&amp;"-"&amp;S27&amp;"-Pos"&amp;U27,"")</f>
        <v/>
      </c>
      <c r="AA27" t="str">
        <f>IF(T27&lt;&gt;"",B27&amp;"-"&amp;T27&amp;"-"&amp;S27,"")</f>
        <v/>
      </c>
      <c r="AB27" t="str">
        <f>IFERROR(INDEX('Squad Listing'!$A:$A,MATCH(AA27,'Squad Listing'!$B:$B,0)),"")</f>
        <v/>
      </c>
    </row>
    <row r="28" spans="1:28" x14ac:dyDescent="0.3">
      <c r="A28" t="s">
        <v>186</v>
      </c>
      <c r="B28" t="str">
        <f>INDEX('Tournament List'!$L:$L,MATCH($A28,'Tournament List'!$A:$A,0))</f>
        <v>Littleton Target Masters</v>
      </c>
      <c r="C28" t="str">
        <f>INDEX('Tournament List'!$B:$B,MATCH($A28,'Tournament List'!$A:$A,0))</f>
        <v>Judy</v>
      </c>
      <c r="D28" t="str">
        <f>INDEX('Tournament List'!$C:$C,MATCH($A28,'Tournament List'!$A:$A,0))</f>
        <v>Last Name30</v>
      </c>
      <c r="E28" t="str">
        <f t="shared" si="1"/>
        <v>Judy Last Name30</v>
      </c>
      <c r="F28" t="str">
        <f>INDEX('Tournament List'!$M:$M,MATCH($A28,'Tournament List'!$A:$A,0))</f>
        <v>Collegiate</v>
      </c>
      <c r="G28" s="112" t="s">
        <v>143</v>
      </c>
      <c r="H28" s="112" t="s">
        <v>342</v>
      </c>
      <c r="I28" s="112">
        <v>3</v>
      </c>
      <c r="J28" s="233"/>
      <c r="K28" t="str">
        <f>IF(H28&lt;&gt;"",B28&amp;"-"&amp;H28&amp;"-"&amp;G28&amp;"-Pos"&amp;I28,"")</f>
        <v>Littleton Target Masters-Collegiate 1-Skeet-Pos3</v>
      </c>
      <c r="L28" t="str">
        <f>IF(H28&lt;&gt;"",IFERROR(INDEX('Tournament Setup'!$B$59:$B$78,MATCH(H28,SquadConcurrents,0)),""),"")</f>
        <v>Collegiate</v>
      </c>
      <c r="M28" s="1">
        <f>IFERROR(INDEX('Squad Listing'!$A:$A,MATCH(B28&amp;"-"&amp;H28&amp;"-"&amp;G28,'Squad Listing'!$B:$B,0)),"")</f>
        <v>172</v>
      </c>
      <c r="N28" s="1">
        <f t="shared" si="2"/>
        <v>3</v>
      </c>
      <c r="O28" s="113" t="s">
        <v>147</v>
      </c>
      <c r="P28" s="113"/>
      <c r="Q28" s="113"/>
      <c r="R28" s="113"/>
      <c r="S28" s="114" t="s">
        <v>148</v>
      </c>
      <c r="T28" s="114"/>
      <c r="U28" s="114"/>
      <c r="V28" s="114"/>
      <c r="W28" t="str">
        <f>IF(P28&lt;&gt;"",B28&amp;"-"&amp;P28&amp;"-"&amp;O28&amp;"-Pos"&amp;Q28,"")</f>
        <v/>
      </c>
      <c r="X28" t="str">
        <f>IF(P28&lt;&gt;"",B28&amp;"-"&amp;P28&amp;"-"&amp;O28,"")</f>
        <v/>
      </c>
      <c r="Y28" t="str">
        <f>IFERROR(INDEX('Squad Listing'!$A:$A,MATCH(X28,'Squad Listing'!$B:$B,0)),"")</f>
        <v/>
      </c>
      <c r="Z28" t="str">
        <f>IF(T28&lt;&gt;"",B28&amp;"-"&amp;T28&amp;"-"&amp;S28&amp;"-Pos"&amp;U28,"")</f>
        <v/>
      </c>
      <c r="AA28" t="str">
        <f>IF(T28&lt;&gt;"",B28&amp;"-"&amp;T28&amp;"-"&amp;S28,"")</f>
        <v/>
      </c>
      <c r="AB28" t="str">
        <f>IFERROR(INDEX('Squad Listing'!$A:$A,MATCH(AA28,'Squad Listing'!$B:$B,0)),"")</f>
        <v/>
      </c>
    </row>
    <row r="29" spans="1:28" x14ac:dyDescent="0.3">
      <c r="A29" t="s">
        <v>198</v>
      </c>
      <c r="B29" t="str">
        <f>INDEX('Tournament List'!$L:$L,MATCH($A29,'Tournament List'!$A:$A,0))</f>
        <v>Littleton Target Masters</v>
      </c>
      <c r="C29" t="str">
        <f>INDEX('Tournament List'!$B:$B,MATCH($A29,'Tournament List'!$A:$A,0))</f>
        <v>Owen</v>
      </c>
      <c r="D29" t="str">
        <f>INDEX('Tournament List'!$C:$C,MATCH($A29,'Tournament List'!$A:$A,0))</f>
        <v>Last Name42</v>
      </c>
      <c r="E29" t="str">
        <f t="shared" si="1"/>
        <v>Owen Last Name42</v>
      </c>
      <c r="F29" t="str">
        <f>INDEX('Tournament List'!$M:$M,MATCH($A29,'Tournament List'!$A:$A,0))</f>
        <v>Novice</v>
      </c>
      <c r="G29" s="112" t="s">
        <v>143</v>
      </c>
      <c r="H29" s="112" t="s">
        <v>337</v>
      </c>
      <c r="I29" s="112">
        <v>3</v>
      </c>
      <c r="J29" s="233"/>
      <c r="K29" t="str">
        <f>IF(H29&lt;&gt;"",B29&amp;"-"&amp;H29&amp;"-"&amp;G29&amp;"-Pos"&amp;I29,"")</f>
        <v>Littleton Target Masters-Novice 1-Skeet-Pos3</v>
      </c>
      <c r="L29" t="str">
        <f>IF(H29&lt;&gt;"",IFERROR(INDEX('Tournament Setup'!$B$59:$B$78,MATCH(H29,SquadConcurrents,0)),""),"")</f>
        <v>Novice</v>
      </c>
      <c r="M29" s="1">
        <f>IFERROR(INDEX('Squad Listing'!$A:$A,MATCH(B29&amp;"-"&amp;H29&amp;"-"&amp;G29,'Squad Listing'!$B:$B,0)),"")</f>
        <v>181</v>
      </c>
      <c r="N29" s="1">
        <f t="shared" si="2"/>
        <v>3</v>
      </c>
      <c r="O29" s="113" t="s">
        <v>147</v>
      </c>
      <c r="P29" s="113"/>
      <c r="Q29" s="113"/>
      <c r="R29" s="113"/>
      <c r="S29" s="114" t="s">
        <v>148</v>
      </c>
      <c r="T29" s="114"/>
      <c r="U29" s="114"/>
      <c r="V29" s="114"/>
      <c r="W29" t="str">
        <f>IF(P29&lt;&gt;"",B29&amp;"-"&amp;P29&amp;"-"&amp;O29&amp;"-Pos"&amp;Q29,"")</f>
        <v/>
      </c>
      <c r="X29" t="str">
        <f>IF(P29&lt;&gt;"",B29&amp;"-"&amp;P29&amp;"-"&amp;O29,"")</f>
        <v/>
      </c>
      <c r="Y29" t="str">
        <f>IFERROR(INDEX('Squad Listing'!$A:$A,MATCH(X29,'Squad Listing'!$B:$B,0)),"")</f>
        <v/>
      </c>
      <c r="Z29" t="str">
        <f>IF(T29&lt;&gt;"",B29&amp;"-"&amp;T29&amp;"-"&amp;S29&amp;"-Pos"&amp;U29,"")</f>
        <v/>
      </c>
      <c r="AA29" t="str">
        <f>IF(T29&lt;&gt;"",B29&amp;"-"&amp;T29&amp;"-"&amp;S29,"")</f>
        <v/>
      </c>
      <c r="AB29" t="str">
        <f>IFERROR(INDEX('Squad Listing'!$A:$A,MATCH(AA29,'Squad Listing'!$B:$B,0)),"")</f>
        <v/>
      </c>
    </row>
    <row r="30" spans="1:28" x14ac:dyDescent="0.3">
      <c r="A30" t="s">
        <v>42</v>
      </c>
      <c r="B30" t="str">
        <f>INDEX('Tournament List'!$L:$L,MATCH($A30,'Tournament List'!$A:$A,0))</f>
        <v>Littleton Target Masters</v>
      </c>
      <c r="C30" t="str">
        <f>INDEX('Tournament List'!$B:$B,MATCH($A30,'Tournament List'!$A:$A,0))</f>
        <v>Ben</v>
      </c>
      <c r="D30" t="str">
        <f>INDEX('Tournament List'!$C:$C,MATCH($A30,'Tournament List'!$A:$A,0))</f>
        <v>Last Name6</v>
      </c>
      <c r="E30" t="str">
        <f t="shared" si="1"/>
        <v>Ben Last Name6</v>
      </c>
      <c r="F30" t="str">
        <f>INDEX('Tournament List'!$M:$M,MATCH($A30,'Tournament List'!$A:$A,0))</f>
        <v>Novice</v>
      </c>
      <c r="G30" s="112" t="s">
        <v>143</v>
      </c>
      <c r="H30" s="112" t="s">
        <v>337</v>
      </c>
      <c r="I30" s="112">
        <v>2</v>
      </c>
      <c r="J30" s="233"/>
      <c r="K30" t="str">
        <f>IF(H30&lt;&gt;"",B30&amp;"-"&amp;H30&amp;"-"&amp;G30&amp;"-Pos"&amp;I30,"")</f>
        <v>Littleton Target Masters-Novice 1-Skeet-Pos2</v>
      </c>
      <c r="L30" t="str">
        <f>IF(H30&lt;&gt;"",IFERROR(INDEX('Tournament Setup'!$B$59:$B$78,MATCH(H30,SquadConcurrents,0)),""),"")</f>
        <v>Novice</v>
      </c>
      <c r="M30" s="1">
        <f>IFERROR(INDEX('Squad Listing'!$A:$A,MATCH(B30&amp;"-"&amp;H30&amp;"-"&amp;G30,'Squad Listing'!$B:$B,0)),"")</f>
        <v>181</v>
      </c>
      <c r="N30" s="1">
        <f t="shared" si="2"/>
        <v>2</v>
      </c>
      <c r="O30" s="113" t="s">
        <v>147</v>
      </c>
      <c r="P30" s="113"/>
      <c r="Q30" s="113"/>
      <c r="R30" s="113"/>
      <c r="S30" s="114" t="s">
        <v>148</v>
      </c>
      <c r="T30" s="114"/>
      <c r="U30" s="114"/>
      <c r="V30" s="114"/>
      <c r="W30" t="str">
        <f>IF(P30&lt;&gt;"",B30&amp;"-"&amp;P30&amp;"-"&amp;O30&amp;"-Pos"&amp;Q30,"")</f>
        <v/>
      </c>
      <c r="X30" t="str">
        <f>IF(P30&lt;&gt;"",B30&amp;"-"&amp;P30&amp;"-"&amp;O30,"")</f>
        <v/>
      </c>
      <c r="Y30" t="str">
        <f>IFERROR(INDEX('Squad Listing'!$A:$A,MATCH(X30,'Squad Listing'!$B:$B,0)),"")</f>
        <v/>
      </c>
      <c r="Z30" t="str">
        <f>IF(T30&lt;&gt;"",B30&amp;"-"&amp;T30&amp;"-"&amp;S30&amp;"-Pos"&amp;U30,"")</f>
        <v/>
      </c>
      <c r="AA30" t="str">
        <f>IF(T30&lt;&gt;"",B30&amp;"-"&amp;T30&amp;"-"&amp;S30,"")</f>
        <v/>
      </c>
      <c r="AB30" t="str">
        <f>IFERROR(INDEX('Squad Listing'!$A:$A,MATCH(AA30,'Squad Listing'!$B:$B,0)),"")</f>
        <v/>
      </c>
    </row>
    <row r="31" spans="1:28" x14ac:dyDescent="0.3">
      <c r="A31" t="s">
        <v>192</v>
      </c>
      <c r="B31" t="str">
        <f>INDEX('Tournament List'!$L:$L,MATCH($A31,'Tournament List'!$A:$A,0))</f>
        <v>Littleton Target Masters</v>
      </c>
      <c r="C31" t="str">
        <f>INDEX('Tournament List'!$B:$B,MATCH($A31,'Tournament List'!$A:$A,0))</f>
        <v>Randy</v>
      </c>
      <c r="D31" t="str">
        <f>INDEX('Tournament List'!$C:$C,MATCH($A31,'Tournament List'!$A:$A,0))</f>
        <v>Last Name36</v>
      </c>
      <c r="E31" t="str">
        <f t="shared" si="1"/>
        <v>Randy Last Name36</v>
      </c>
      <c r="F31" t="str">
        <f>INDEX('Tournament List'!$M:$M,MATCH($A31,'Tournament List'!$A:$A,0))</f>
        <v>Novice</v>
      </c>
      <c r="G31" s="112" t="s">
        <v>143</v>
      </c>
      <c r="H31" s="112" t="s">
        <v>337</v>
      </c>
      <c r="I31" s="112">
        <v>1</v>
      </c>
      <c r="J31" s="233"/>
      <c r="K31" t="str">
        <f>IF(H31&lt;&gt;"",B31&amp;"-"&amp;H31&amp;"-"&amp;G31&amp;"-Pos"&amp;I31,"")</f>
        <v>Littleton Target Masters-Novice 1-Skeet-Pos1</v>
      </c>
      <c r="L31" t="str">
        <f>IF(H31&lt;&gt;"",IFERROR(INDEX('Tournament Setup'!$B$59:$B$78,MATCH(H31,SquadConcurrents,0)),""),"")</f>
        <v>Novice</v>
      </c>
      <c r="M31" s="1">
        <f>IFERROR(INDEX('Squad Listing'!$A:$A,MATCH(B31&amp;"-"&amp;H31&amp;"-"&amp;G31,'Squad Listing'!$B:$B,0)),"")</f>
        <v>181</v>
      </c>
      <c r="N31" s="1">
        <f t="shared" si="2"/>
        <v>1</v>
      </c>
      <c r="O31" s="113" t="s">
        <v>147</v>
      </c>
      <c r="P31" s="113"/>
      <c r="Q31" s="113"/>
      <c r="R31" s="113"/>
      <c r="S31" s="114" t="s">
        <v>148</v>
      </c>
      <c r="T31" s="114"/>
      <c r="U31" s="114"/>
      <c r="V31" s="114"/>
      <c r="W31" t="str">
        <f>IF(P31&lt;&gt;"",B31&amp;"-"&amp;P31&amp;"-"&amp;O31&amp;"-Pos"&amp;Q31,"")</f>
        <v/>
      </c>
      <c r="X31" t="str">
        <f>IF(P31&lt;&gt;"",B31&amp;"-"&amp;P31&amp;"-"&amp;O31,"")</f>
        <v/>
      </c>
      <c r="Y31" t="str">
        <f>IFERROR(INDEX('Squad Listing'!$A:$A,MATCH(X31,'Squad Listing'!$B:$B,0)),"")</f>
        <v/>
      </c>
      <c r="Z31" t="str">
        <f>IF(T31&lt;&gt;"",B31&amp;"-"&amp;T31&amp;"-"&amp;S31&amp;"-Pos"&amp;U31,"")</f>
        <v/>
      </c>
      <c r="AA31" t="str">
        <f>IF(T31&lt;&gt;"",B31&amp;"-"&amp;T31&amp;"-"&amp;S31,"")</f>
        <v/>
      </c>
      <c r="AB31" t="str">
        <f>IFERROR(INDEX('Squad Listing'!$A:$A,MATCH(AA31,'Squad Listing'!$B:$B,0)),"")</f>
        <v/>
      </c>
    </row>
    <row r="32" spans="1:28" x14ac:dyDescent="0.3">
      <c r="A32" t="s">
        <v>250</v>
      </c>
      <c r="B32" t="str">
        <f>INDEX('Tournament List'!$L:$L,MATCH($A32,'Tournament List'!$A:$A,0))</f>
        <v>Littleton Target Masters</v>
      </c>
      <c r="C32" t="str">
        <f>INDEX('Tournament List'!$B:$B,MATCH($A32,'Tournament List'!$A:$A,0))</f>
        <v>Jackson</v>
      </c>
      <c r="D32" t="str">
        <f>INDEX('Tournament List'!$C:$C,MATCH($A32,'Tournament List'!$A:$A,0))</f>
        <v>Last Name48</v>
      </c>
      <c r="E32" t="str">
        <f t="shared" si="1"/>
        <v>Jackson Last Name48</v>
      </c>
      <c r="F32" t="str">
        <f>INDEX('Tournament List'!$M:$M,MATCH($A32,'Tournament List'!$A:$A,0))</f>
        <v>Novice</v>
      </c>
      <c r="G32" s="112" t="s">
        <v>143</v>
      </c>
      <c r="H32" s="112"/>
      <c r="I32" s="112"/>
      <c r="J32" s="233"/>
      <c r="K32" t="str">
        <f>IF(H32&lt;&gt;"",B32&amp;"-"&amp;H32&amp;"-"&amp;G32&amp;"-Pos"&amp;I32,"")</f>
        <v/>
      </c>
      <c r="L32" t="str">
        <f>IF(H32&lt;&gt;"",IFERROR(INDEX('Tournament Setup'!$B$59:$B$78,MATCH(H32,SquadConcurrents,0)),""),"")</f>
        <v/>
      </c>
      <c r="M32" s="1" t="str">
        <f>IFERROR(INDEX('Squad Listing'!$A:$A,MATCH(B32&amp;"-"&amp;H32&amp;"-"&amp;G32,'Squad Listing'!$B:$B,0)),"")</f>
        <v/>
      </c>
      <c r="N32" s="1" t="str">
        <f t="shared" si="2"/>
        <v/>
      </c>
      <c r="O32" s="113" t="s">
        <v>147</v>
      </c>
      <c r="P32" s="113"/>
      <c r="Q32" s="113"/>
      <c r="R32" s="113"/>
      <c r="S32" s="114" t="s">
        <v>148</v>
      </c>
      <c r="T32" s="114"/>
      <c r="U32" s="114"/>
      <c r="V32" s="114"/>
      <c r="W32" t="str">
        <f>IF(P32&lt;&gt;"",B32&amp;"-"&amp;P32&amp;"-"&amp;O32&amp;"-Pos"&amp;Q32,"")</f>
        <v/>
      </c>
      <c r="X32" t="str">
        <f>IF(P32&lt;&gt;"",B32&amp;"-"&amp;P32&amp;"-"&amp;O32,"")</f>
        <v/>
      </c>
      <c r="Y32" t="str">
        <f>IFERROR(INDEX('Squad Listing'!$A:$A,MATCH(X32,'Squad Listing'!$B:$B,0)),"")</f>
        <v/>
      </c>
      <c r="Z32" t="str">
        <f>IF(T32&lt;&gt;"",B32&amp;"-"&amp;T32&amp;"-"&amp;S32&amp;"-Pos"&amp;U32,"")</f>
        <v/>
      </c>
      <c r="AA32" t="str">
        <f>IF(T32&lt;&gt;"",B32&amp;"-"&amp;T32&amp;"-"&amp;S32,"")</f>
        <v/>
      </c>
      <c r="AB32" t="str">
        <f>IFERROR(INDEX('Squad Listing'!$A:$A,MATCH(AA32,'Squad Listing'!$B:$B,0)),"")</f>
        <v/>
      </c>
    </row>
    <row r="33" spans="1:28" x14ac:dyDescent="0.3">
      <c r="A33" t="s">
        <v>60</v>
      </c>
      <c r="B33" t="str">
        <f>INDEX('Tournament List'!$L:$L,MATCH($A33,'Tournament List'!$A:$A,0))</f>
        <v>Littleton Target Masters</v>
      </c>
      <c r="C33" t="str">
        <f>INDEX('Tournament List'!$B:$B,MATCH($A33,'Tournament List'!$A:$A,0))</f>
        <v>Tim</v>
      </c>
      <c r="D33" t="str">
        <f>INDEX('Tournament List'!$C:$C,MATCH($A33,'Tournament List'!$A:$A,0))</f>
        <v>Last Name24</v>
      </c>
      <c r="E33" t="str">
        <f t="shared" si="1"/>
        <v>Tim Last Name24</v>
      </c>
      <c r="F33" t="str">
        <f>INDEX('Tournament List'!$M:$M,MATCH($A33,'Tournament List'!$A:$A,0))</f>
        <v>Novice</v>
      </c>
      <c r="G33" s="112" t="s">
        <v>143</v>
      </c>
      <c r="H33" s="112"/>
      <c r="I33" s="112"/>
      <c r="J33" s="233"/>
      <c r="K33" t="str">
        <f>IF(H33&lt;&gt;"",B33&amp;"-"&amp;H33&amp;"-"&amp;G33&amp;"-Pos"&amp;I33,"")</f>
        <v/>
      </c>
      <c r="L33" t="str">
        <f>IF(H33&lt;&gt;"",IFERROR(INDEX('Tournament Setup'!$B$59:$B$78,MATCH(H33,SquadConcurrents,0)),""),"")</f>
        <v/>
      </c>
      <c r="M33" s="1" t="str">
        <f>IFERROR(INDEX('Squad Listing'!$A:$A,MATCH(B33&amp;"-"&amp;H33&amp;"-"&amp;G33,'Squad Listing'!$B:$B,0)),"")</f>
        <v/>
      </c>
      <c r="N33" s="1" t="str">
        <f t="shared" si="2"/>
        <v/>
      </c>
      <c r="O33" s="113" t="s">
        <v>147</v>
      </c>
      <c r="P33" s="113"/>
      <c r="Q33" s="113"/>
      <c r="R33" s="113"/>
      <c r="S33" s="114" t="s">
        <v>148</v>
      </c>
      <c r="T33" s="114"/>
      <c r="U33" s="114"/>
      <c r="V33" s="114"/>
      <c r="W33" t="str">
        <f>IF(P33&lt;&gt;"",B33&amp;"-"&amp;P33&amp;"-"&amp;O33&amp;"-Pos"&amp;Q33,"")</f>
        <v/>
      </c>
      <c r="X33" t="str">
        <f>IF(P33&lt;&gt;"",B33&amp;"-"&amp;P33&amp;"-"&amp;O33,"")</f>
        <v/>
      </c>
      <c r="Y33" t="str">
        <f>IFERROR(INDEX('Squad Listing'!$A:$A,MATCH(X33,'Squad Listing'!$B:$B,0)),"")</f>
        <v/>
      </c>
      <c r="Z33" t="str">
        <f>IF(T33&lt;&gt;"",B33&amp;"-"&amp;T33&amp;"-"&amp;S33&amp;"-Pos"&amp;U33,"")</f>
        <v/>
      </c>
      <c r="AA33" t="str">
        <f>IF(T33&lt;&gt;"",B33&amp;"-"&amp;T33&amp;"-"&amp;S33,"")</f>
        <v/>
      </c>
      <c r="AB33" t="str">
        <f>IFERROR(INDEX('Squad Listing'!$A:$A,MATCH(AA33,'Squad Listing'!$B:$B,0)),"")</f>
        <v/>
      </c>
    </row>
    <row r="34" spans="1:28" x14ac:dyDescent="0.3">
      <c r="A34" t="s">
        <v>56</v>
      </c>
      <c r="B34" t="str">
        <f>INDEX('Tournament List'!$L:$L,MATCH($A34,'Tournament List'!$A:$A,0))</f>
        <v>Rocky Mountain Clay Busters</v>
      </c>
      <c r="C34" t="str">
        <f>INDEX('Tournament List'!$B:$B,MATCH($A34,'Tournament List'!$A:$A,0))</f>
        <v>Chris</v>
      </c>
      <c r="D34" t="str">
        <f>INDEX('Tournament List'!$C:$C,MATCH($A34,'Tournament List'!$A:$A,0))</f>
        <v>Last Name20</v>
      </c>
      <c r="E34" t="str">
        <f t="shared" si="1"/>
        <v>Chris Last Name20</v>
      </c>
      <c r="F34" t="str">
        <f>INDEX('Tournament List'!$M:$M,MATCH($A34,'Tournament List'!$A:$A,0))</f>
        <v>Junior Varsity</v>
      </c>
      <c r="G34" s="112" t="s">
        <v>143</v>
      </c>
      <c r="H34" s="112"/>
      <c r="I34" s="112"/>
      <c r="J34" s="233"/>
      <c r="K34" t="str">
        <f>IF(H34&lt;&gt;"",B34&amp;"-"&amp;H34&amp;"-"&amp;G34&amp;"-Pos"&amp;I34,"")</f>
        <v/>
      </c>
      <c r="L34" t="str">
        <f>IF(H34&lt;&gt;"",IFERROR(INDEX('Tournament Setup'!$B$59:$B$78,MATCH(H34,SquadConcurrents,0)),""),"")</f>
        <v/>
      </c>
      <c r="M34" s="1" t="str">
        <f>IFERROR(INDEX('Squad Listing'!$A:$A,MATCH(B34&amp;"-"&amp;H34&amp;"-"&amp;G34,'Squad Listing'!$B:$B,0)),"")</f>
        <v/>
      </c>
      <c r="N34" s="1" t="str">
        <f t="shared" si="2"/>
        <v/>
      </c>
      <c r="O34" s="113" t="s">
        <v>147</v>
      </c>
      <c r="P34" s="113"/>
      <c r="Q34" s="113"/>
      <c r="R34" s="113"/>
      <c r="S34" s="114" t="s">
        <v>148</v>
      </c>
      <c r="T34" s="114"/>
      <c r="U34" s="114"/>
      <c r="V34" s="114"/>
      <c r="W34" t="str">
        <f>IF(P34&lt;&gt;"",B34&amp;"-"&amp;P34&amp;"-"&amp;O34&amp;"-Pos"&amp;Q34,"")</f>
        <v/>
      </c>
      <c r="X34" t="str">
        <f>IF(P34&lt;&gt;"",B34&amp;"-"&amp;P34&amp;"-"&amp;O34,"")</f>
        <v/>
      </c>
      <c r="Y34" t="str">
        <f>IFERROR(INDEX('Squad Listing'!$A:$A,MATCH(X34,'Squad Listing'!$B:$B,0)),"")</f>
        <v/>
      </c>
      <c r="Z34" t="str">
        <f>IF(T34&lt;&gt;"",B34&amp;"-"&amp;T34&amp;"-"&amp;S34&amp;"-Pos"&amp;U34,"")</f>
        <v/>
      </c>
      <c r="AA34" t="str">
        <f>IF(T34&lt;&gt;"",B34&amp;"-"&amp;T34&amp;"-"&amp;S34,"")</f>
        <v/>
      </c>
      <c r="AB34" t="str">
        <f>IFERROR(INDEX('Squad Listing'!$A:$A,MATCH(AA34,'Squad Listing'!$B:$B,0)),"")</f>
        <v/>
      </c>
    </row>
    <row r="35" spans="1:28" x14ac:dyDescent="0.3">
      <c r="A35" t="s">
        <v>38</v>
      </c>
      <c r="B35" t="str">
        <f>INDEX('Tournament List'!$L:$L,MATCH($A35,'Tournament List'!$A:$A,0))</f>
        <v>Rocky Mountain Clay Busters</v>
      </c>
      <c r="C35" t="str">
        <f>INDEX('Tournament List'!$B:$B,MATCH($A35,'Tournament List'!$A:$A,0))</f>
        <v>John</v>
      </c>
      <c r="D35" t="str">
        <f>INDEX('Tournament List'!$C:$C,MATCH($A35,'Tournament List'!$A:$A,0))</f>
        <v>Last Name2</v>
      </c>
      <c r="E35" t="str">
        <f t="shared" si="1"/>
        <v>John Last Name2</v>
      </c>
      <c r="F35" t="str">
        <f>INDEX('Tournament List'!$M:$M,MATCH($A35,'Tournament List'!$A:$A,0))</f>
        <v>Junior Varsity</v>
      </c>
      <c r="G35" s="112" t="s">
        <v>143</v>
      </c>
      <c r="H35" s="112"/>
      <c r="I35" s="112"/>
      <c r="J35" s="233"/>
      <c r="K35" t="str">
        <f>IF(H35&lt;&gt;"",B35&amp;"-"&amp;H35&amp;"-"&amp;G35&amp;"-Pos"&amp;I35,"")</f>
        <v/>
      </c>
      <c r="L35" t="str">
        <f>IF(H35&lt;&gt;"",IFERROR(INDEX('Tournament Setup'!$B$59:$B$78,MATCH(H35,SquadConcurrents,0)),""),"")</f>
        <v/>
      </c>
      <c r="M35" s="1" t="str">
        <f>IFERROR(INDEX('Squad Listing'!$A:$A,MATCH(B35&amp;"-"&amp;H35&amp;"-"&amp;G35,'Squad Listing'!$B:$B,0)),"")</f>
        <v/>
      </c>
      <c r="N35" s="1" t="str">
        <f t="shared" si="2"/>
        <v/>
      </c>
      <c r="O35" s="113" t="s">
        <v>147</v>
      </c>
      <c r="P35" s="113"/>
      <c r="Q35" s="113"/>
      <c r="R35" s="113"/>
      <c r="S35" s="114" t="s">
        <v>148</v>
      </c>
      <c r="T35" s="114"/>
      <c r="U35" s="114"/>
      <c r="V35" s="114"/>
      <c r="W35" t="str">
        <f>IF(P35&lt;&gt;"",B35&amp;"-"&amp;P35&amp;"-"&amp;O35&amp;"-Pos"&amp;Q35,"")</f>
        <v/>
      </c>
      <c r="X35" t="str">
        <f>IF(P35&lt;&gt;"",B35&amp;"-"&amp;P35&amp;"-"&amp;O35,"")</f>
        <v/>
      </c>
      <c r="Y35" t="str">
        <f>IFERROR(INDEX('Squad Listing'!$A:$A,MATCH(X35,'Squad Listing'!$B:$B,0)),"")</f>
        <v/>
      </c>
      <c r="Z35" t="str">
        <f>IF(T35&lt;&gt;"",B35&amp;"-"&amp;T35&amp;"-"&amp;S35&amp;"-Pos"&amp;U35,"")</f>
        <v/>
      </c>
      <c r="AA35" t="str">
        <f>IF(T35&lt;&gt;"",B35&amp;"-"&amp;T35&amp;"-"&amp;S35,"")</f>
        <v/>
      </c>
      <c r="AB35" t="str">
        <f>IFERROR(INDEX('Squad Listing'!$A:$A,MATCH(AA35,'Squad Listing'!$B:$B,0)),"")</f>
        <v/>
      </c>
    </row>
    <row r="36" spans="1:28" x14ac:dyDescent="0.3">
      <c r="A36" t="s">
        <v>44</v>
      </c>
      <c r="B36" t="str">
        <f>INDEX('Tournament List'!$L:$L,MATCH($A36,'Tournament List'!$A:$A,0))</f>
        <v>Rocky Mountain Clay Busters</v>
      </c>
      <c r="C36" t="str">
        <f>INDEX('Tournament List'!$B:$B,MATCH($A36,'Tournament List'!$A:$A,0))</f>
        <v>James</v>
      </c>
      <c r="D36" t="str">
        <f>INDEX('Tournament List'!$C:$C,MATCH($A36,'Tournament List'!$A:$A,0))</f>
        <v>Last Name8</v>
      </c>
      <c r="E36" t="str">
        <f t="shared" si="1"/>
        <v>James Last Name8</v>
      </c>
      <c r="F36" t="str">
        <f>INDEX('Tournament List'!$M:$M,MATCH($A36,'Tournament List'!$A:$A,0))</f>
        <v>Junior Varsity</v>
      </c>
      <c r="G36" s="112" t="s">
        <v>143</v>
      </c>
      <c r="H36" s="112" t="s">
        <v>339</v>
      </c>
      <c r="I36" s="112">
        <v>2</v>
      </c>
      <c r="J36" s="233"/>
      <c r="K36" t="str">
        <f>IF(H36&lt;&gt;"",B36&amp;"-"&amp;H36&amp;"-"&amp;G36&amp;"-Pos"&amp;I36,"")</f>
        <v>Rocky Mountain Clay Busters-Junior Varsity 1-Skeet-Pos2</v>
      </c>
      <c r="L36" t="str">
        <f>IF(H36&lt;&gt;"",IFERROR(INDEX('Tournament Setup'!$B$59:$B$78,MATCH(H36,SquadConcurrents,0)),""),"")</f>
        <v>Junior Varsity</v>
      </c>
      <c r="M36" s="1">
        <f>IFERROR(INDEX('Squad Listing'!$A:$A,MATCH(B36&amp;"-"&amp;H36&amp;"-"&amp;G36,'Squad Listing'!$B:$B,0)),"")</f>
        <v>235</v>
      </c>
      <c r="N36" s="1">
        <f t="shared" si="2"/>
        <v>2</v>
      </c>
      <c r="O36" s="113" t="s">
        <v>147</v>
      </c>
      <c r="P36" s="113"/>
      <c r="Q36" s="113"/>
      <c r="R36" s="113"/>
      <c r="S36" s="114" t="s">
        <v>148</v>
      </c>
      <c r="T36" s="114"/>
      <c r="U36" s="114"/>
      <c r="V36" s="114"/>
      <c r="W36" t="str">
        <f>IF(P36&lt;&gt;"",B36&amp;"-"&amp;P36&amp;"-"&amp;O36&amp;"-Pos"&amp;Q36,"")</f>
        <v/>
      </c>
      <c r="X36" t="str">
        <f>IF(P36&lt;&gt;"",B36&amp;"-"&amp;P36&amp;"-"&amp;O36,"")</f>
        <v/>
      </c>
      <c r="Y36" t="str">
        <f>IFERROR(INDEX('Squad Listing'!$A:$A,MATCH(X36,'Squad Listing'!$B:$B,0)),"")</f>
        <v/>
      </c>
      <c r="Z36" t="str">
        <f>IF(T36&lt;&gt;"",B36&amp;"-"&amp;T36&amp;"-"&amp;S36&amp;"-Pos"&amp;U36,"")</f>
        <v/>
      </c>
      <c r="AA36" t="str">
        <f>IF(T36&lt;&gt;"",B36&amp;"-"&amp;T36&amp;"-"&amp;S36,"")</f>
        <v/>
      </c>
      <c r="AB36" t="str">
        <f>IFERROR(INDEX('Squad Listing'!$A:$A,MATCH(AA36,'Squad Listing'!$B:$B,0)),"")</f>
        <v/>
      </c>
    </row>
    <row r="37" spans="1:28" x14ac:dyDescent="0.3">
      <c r="A37" t="s">
        <v>182</v>
      </c>
      <c r="B37" t="str">
        <f>INDEX('Tournament List'!$L:$L,MATCH($A37,'Tournament List'!$A:$A,0))</f>
        <v>Rocky Mountain Clay Busters</v>
      </c>
      <c r="C37" t="str">
        <f>INDEX('Tournament List'!$B:$B,MATCH($A37,'Tournament List'!$A:$A,0))</f>
        <v>Gary</v>
      </c>
      <c r="D37" t="str">
        <f>INDEX('Tournament List'!$C:$C,MATCH($A37,'Tournament List'!$A:$A,0))</f>
        <v>Last Name26</v>
      </c>
      <c r="E37" t="str">
        <f t="shared" si="1"/>
        <v>Gary Last Name26</v>
      </c>
      <c r="F37" t="str">
        <f>INDEX('Tournament List'!$M:$M,MATCH($A37,'Tournament List'!$A:$A,0))</f>
        <v>Junior Varsity</v>
      </c>
      <c r="G37" s="112" t="s">
        <v>143</v>
      </c>
      <c r="H37" s="112" t="s">
        <v>339</v>
      </c>
      <c r="I37" s="112">
        <v>1</v>
      </c>
      <c r="J37" s="233"/>
      <c r="K37" t="str">
        <f>IF(H37&lt;&gt;"",B37&amp;"-"&amp;H37&amp;"-"&amp;G37&amp;"-Pos"&amp;I37,"")</f>
        <v>Rocky Mountain Clay Busters-Junior Varsity 1-Skeet-Pos1</v>
      </c>
      <c r="L37" t="str">
        <f>IF(H37&lt;&gt;"",IFERROR(INDEX('Tournament Setup'!$B$59:$B$78,MATCH(H37,SquadConcurrents,0)),""),"")</f>
        <v>Junior Varsity</v>
      </c>
      <c r="M37" s="1">
        <f>IFERROR(INDEX('Squad Listing'!$A:$A,MATCH(B37&amp;"-"&amp;H37&amp;"-"&amp;G37,'Squad Listing'!$B:$B,0)),"")</f>
        <v>235</v>
      </c>
      <c r="N37" s="1">
        <f t="shared" si="2"/>
        <v>1</v>
      </c>
      <c r="O37" s="113" t="s">
        <v>147</v>
      </c>
      <c r="P37" s="113"/>
      <c r="Q37" s="113"/>
      <c r="R37" s="113"/>
      <c r="S37" s="114" t="s">
        <v>148</v>
      </c>
      <c r="T37" s="114"/>
      <c r="U37" s="114"/>
      <c r="V37" s="114"/>
      <c r="W37" t="str">
        <f>IF(P37&lt;&gt;"",B37&amp;"-"&amp;P37&amp;"-"&amp;O37&amp;"-Pos"&amp;Q37,"")</f>
        <v/>
      </c>
      <c r="X37" t="str">
        <f>IF(P37&lt;&gt;"",B37&amp;"-"&amp;P37&amp;"-"&amp;O37,"")</f>
        <v/>
      </c>
      <c r="Y37" t="str">
        <f>IFERROR(INDEX('Squad Listing'!$A:$A,MATCH(X37,'Squad Listing'!$B:$B,0)),"")</f>
        <v/>
      </c>
      <c r="Z37" t="str">
        <f>IF(T37&lt;&gt;"",B37&amp;"-"&amp;T37&amp;"-"&amp;S37&amp;"-Pos"&amp;U37,"")</f>
        <v/>
      </c>
      <c r="AA37" t="str">
        <f>IF(T37&lt;&gt;"",B37&amp;"-"&amp;T37&amp;"-"&amp;S37,"")</f>
        <v/>
      </c>
      <c r="AB37" t="str">
        <f>IFERROR(INDEX('Squad Listing'!$A:$A,MATCH(AA37,'Squad Listing'!$B:$B,0)),"")</f>
        <v/>
      </c>
    </row>
    <row r="38" spans="1:28" x14ac:dyDescent="0.3">
      <c r="A38" t="s">
        <v>194</v>
      </c>
      <c r="B38" t="str">
        <f>INDEX('Tournament List'!$L:$L,MATCH($A38,'Tournament List'!$A:$A,0))</f>
        <v>Rocky Mountain Clay Busters</v>
      </c>
      <c r="C38" t="str">
        <f>INDEX('Tournament List'!$B:$B,MATCH($A38,'Tournament List'!$A:$A,0))</f>
        <v>Stuart</v>
      </c>
      <c r="D38" t="str">
        <f>INDEX('Tournament List'!$C:$C,MATCH($A38,'Tournament List'!$A:$A,0))</f>
        <v>Last Name38</v>
      </c>
      <c r="E38" t="str">
        <f t="shared" si="1"/>
        <v>Stuart Last Name38</v>
      </c>
      <c r="F38" t="str">
        <f>INDEX('Tournament List'!$M:$M,MATCH($A38,'Tournament List'!$A:$A,0))</f>
        <v>Junior Varsity</v>
      </c>
      <c r="G38" s="112" t="s">
        <v>143</v>
      </c>
      <c r="H38" s="112" t="s">
        <v>339</v>
      </c>
      <c r="I38" s="112">
        <v>3</v>
      </c>
      <c r="J38" s="233"/>
      <c r="K38" t="str">
        <f>IF(H38&lt;&gt;"",B38&amp;"-"&amp;H38&amp;"-"&amp;G38&amp;"-Pos"&amp;I38,"")</f>
        <v>Rocky Mountain Clay Busters-Junior Varsity 1-Skeet-Pos3</v>
      </c>
      <c r="L38" t="str">
        <f>IF(H38&lt;&gt;"",IFERROR(INDEX('Tournament Setup'!$B$59:$B$78,MATCH(H38,SquadConcurrents,0)),""),"")</f>
        <v>Junior Varsity</v>
      </c>
      <c r="M38" s="1">
        <f>IFERROR(INDEX('Squad Listing'!$A:$A,MATCH(B38&amp;"-"&amp;H38&amp;"-"&amp;G38,'Squad Listing'!$B:$B,0)),"")</f>
        <v>235</v>
      </c>
      <c r="N38" s="1">
        <f t="shared" si="2"/>
        <v>3</v>
      </c>
      <c r="O38" s="113" t="s">
        <v>147</v>
      </c>
      <c r="P38" s="113"/>
      <c r="Q38" s="113"/>
      <c r="R38" s="113"/>
      <c r="S38" s="114" t="s">
        <v>148</v>
      </c>
      <c r="T38" s="114"/>
      <c r="U38" s="114"/>
      <c r="V38" s="114"/>
      <c r="W38" t="str">
        <f>IF(P38&lt;&gt;"",B38&amp;"-"&amp;P38&amp;"-"&amp;O38&amp;"-Pos"&amp;Q38,"")</f>
        <v/>
      </c>
      <c r="X38" t="str">
        <f>IF(P38&lt;&gt;"",B38&amp;"-"&amp;P38&amp;"-"&amp;O38,"")</f>
        <v/>
      </c>
      <c r="Y38" t="str">
        <f>IFERROR(INDEX('Squad Listing'!$A:$A,MATCH(X38,'Squad Listing'!$B:$B,0)),"")</f>
        <v/>
      </c>
      <c r="Z38" t="str">
        <f>IF(T38&lt;&gt;"",B38&amp;"-"&amp;T38&amp;"-"&amp;S38&amp;"-Pos"&amp;U38,"")</f>
        <v/>
      </c>
      <c r="AA38" t="str">
        <f>IF(T38&lt;&gt;"",B38&amp;"-"&amp;T38&amp;"-"&amp;S38,"")</f>
        <v/>
      </c>
      <c r="AB38" t="str">
        <f>IFERROR(INDEX('Squad Listing'!$A:$A,MATCH(AA38,'Squad Listing'!$B:$B,0)),"")</f>
        <v/>
      </c>
    </row>
    <row r="39" spans="1:28" x14ac:dyDescent="0.3">
      <c r="A39" t="s">
        <v>188</v>
      </c>
      <c r="B39" t="str">
        <f>INDEX('Tournament List'!$L:$L,MATCH($A39,'Tournament List'!$A:$A,0))</f>
        <v>Rocky Mountain Clay Busters</v>
      </c>
      <c r="C39" t="str">
        <f>INDEX('Tournament List'!$B:$B,MATCH($A39,'Tournament List'!$A:$A,0))</f>
        <v>Kelly</v>
      </c>
      <c r="D39" t="str">
        <f>INDEX('Tournament List'!$C:$C,MATCH($A39,'Tournament List'!$A:$A,0))</f>
        <v>Last Name32</v>
      </c>
      <c r="E39" t="str">
        <f t="shared" si="1"/>
        <v>Kelly Last Name32</v>
      </c>
      <c r="F39" t="str">
        <f>INDEX('Tournament List'!$M:$M,MATCH($A39,'Tournament List'!$A:$A,0))</f>
        <v>Intermediate</v>
      </c>
      <c r="G39" s="112" t="s">
        <v>143</v>
      </c>
      <c r="H39" s="112" t="s">
        <v>338</v>
      </c>
      <c r="I39" s="112">
        <v>3</v>
      </c>
      <c r="J39" s="233"/>
      <c r="K39" t="str">
        <f>IF(H39&lt;&gt;"",B39&amp;"-"&amp;H39&amp;"-"&amp;G39&amp;"-Pos"&amp;I39,"")</f>
        <v>Rocky Mountain Clay Busters-Intermediate 1-Skeet-Pos3</v>
      </c>
      <c r="L39" t="str">
        <f>IF(H39&lt;&gt;"",IFERROR(INDEX('Tournament Setup'!$B$59:$B$78,MATCH(H39,SquadConcurrents,0)),""),"")</f>
        <v>Intermediate</v>
      </c>
      <c r="M39" s="1">
        <f>IFERROR(INDEX('Squad Listing'!$A:$A,MATCH(B39&amp;"-"&amp;H39&amp;"-"&amp;G39,'Squad Listing'!$B:$B,0)),"")</f>
        <v>232</v>
      </c>
      <c r="N39" s="1">
        <f t="shared" si="2"/>
        <v>3</v>
      </c>
      <c r="O39" s="113" t="s">
        <v>147</v>
      </c>
      <c r="P39" s="113"/>
      <c r="Q39" s="113"/>
      <c r="R39" s="113"/>
      <c r="S39" s="114" t="s">
        <v>148</v>
      </c>
      <c r="T39" s="114"/>
      <c r="U39" s="114"/>
      <c r="V39" s="114"/>
      <c r="W39" t="str">
        <f>IF(P39&lt;&gt;"",B39&amp;"-"&amp;P39&amp;"-"&amp;O39&amp;"-Pos"&amp;Q39,"")</f>
        <v/>
      </c>
      <c r="X39" t="str">
        <f>IF(P39&lt;&gt;"",B39&amp;"-"&amp;P39&amp;"-"&amp;O39,"")</f>
        <v/>
      </c>
      <c r="Y39" t="str">
        <f>IFERROR(INDEX('Squad Listing'!$A:$A,MATCH(X39,'Squad Listing'!$B:$B,0)),"")</f>
        <v/>
      </c>
      <c r="Z39" t="str">
        <f>IF(T39&lt;&gt;"",B39&amp;"-"&amp;T39&amp;"-"&amp;S39&amp;"-Pos"&amp;U39,"")</f>
        <v/>
      </c>
      <c r="AA39" t="str">
        <f>IF(T39&lt;&gt;"",B39&amp;"-"&amp;T39&amp;"-"&amp;S39,"")</f>
        <v/>
      </c>
      <c r="AB39" t="str">
        <f>IFERROR(INDEX('Squad Listing'!$A:$A,MATCH(AA39,'Squad Listing'!$B:$B,0)),"")</f>
        <v/>
      </c>
    </row>
    <row r="40" spans="1:28" x14ac:dyDescent="0.3">
      <c r="A40" t="s">
        <v>200</v>
      </c>
      <c r="B40" t="str">
        <f>INDEX('Tournament List'!$L:$L,MATCH($A40,'Tournament List'!$A:$A,0))</f>
        <v>Rocky Mountain Clay Busters</v>
      </c>
      <c r="C40" t="str">
        <f>INDEX('Tournament List'!$B:$B,MATCH($A40,'Tournament List'!$A:$A,0))</f>
        <v>Trisha</v>
      </c>
      <c r="D40" t="str">
        <f>INDEX('Tournament List'!$C:$C,MATCH($A40,'Tournament List'!$A:$A,0))</f>
        <v>Last Name44</v>
      </c>
      <c r="E40" t="str">
        <f t="shared" si="1"/>
        <v>Trisha Last Name44</v>
      </c>
      <c r="F40" t="str">
        <f>INDEX('Tournament List'!$M:$M,MATCH($A40,'Tournament List'!$A:$A,0))</f>
        <v>Intermediate</v>
      </c>
      <c r="G40" s="112" t="s">
        <v>143</v>
      </c>
      <c r="H40" s="112" t="s">
        <v>338</v>
      </c>
      <c r="I40" s="112">
        <v>1</v>
      </c>
      <c r="J40" s="233"/>
      <c r="K40" t="str">
        <f>IF(H40&lt;&gt;"",B40&amp;"-"&amp;H40&amp;"-"&amp;G40&amp;"-Pos"&amp;I40,"")</f>
        <v>Rocky Mountain Clay Busters-Intermediate 1-Skeet-Pos1</v>
      </c>
      <c r="L40" t="str">
        <f>IF(H40&lt;&gt;"",IFERROR(INDEX('Tournament Setup'!$B$59:$B$78,MATCH(H40,SquadConcurrents,0)),""),"")</f>
        <v>Intermediate</v>
      </c>
      <c r="M40" s="1">
        <f>IFERROR(INDEX('Squad Listing'!$A:$A,MATCH(B40&amp;"-"&amp;H40&amp;"-"&amp;G40,'Squad Listing'!$B:$B,0)),"")</f>
        <v>232</v>
      </c>
      <c r="N40" s="1">
        <f t="shared" si="2"/>
        <v>1</v>
      </c>
      <c r="O40" s="113" t="s">
        <v>147</v>
      </c>
      <c r="P40" s="113"/>
      <c r="Q40" s="113"/>
      <c r="R40" s="113"/>
      <c r="S40" s="114" t="s">
        <v>148</v>
      </c>
      <c r="T40" s="114"/>
      <c r="U40" s="114"/>
      <c r="V40" s="114"/>
      <c r="W40" t="str">
        <f>IF(P40&lt;&gt;"",B40&amp;"-"&amp;P40&amp;"-"&amp;O40&amp;"-Pos"&amp;Q40,"")</f>
        <v/>
      </c>
      <c r="X40" t="str">
        <f>IF(P40&lt;&gt;"",B40&amp;"-"&amp;P40&amp;"-"&amp;O40,"")</f>
        <v/>
      </c>
      <c r="Y40" t="str">
        <f>IFERROR(INDEX('Squad Listing'!$A:$A,MATCH(X40,'Squad Listing'!$B:$B,0)),"")</f>
        <v/>
      </c>
      <c r="Z40" t="str">
        <f>IF(T40&lt;&gt;"",B40&amp;"-"&amp;T40&amp;"-"&amp;S40&amp;"-Pos"&amp;U40,"")</f>
        <v/>
      </c>
      <c r="AA40" t="str">
        <f>IF(T40&lt;&gt;"",B40&amp;"-"&amp;T40&amp;"-"&amp;S40,"")</f>
        <v/>
      </c>
      <c r="AB40" t="str">
        <f>IFERROR(INDEX('Squad Listing'!$A:$A,MATCH(AA40,'Squad Listing'!$B:$B,0)),"")</f>
        <v/>
      </c>
    </row>
    <row r="41" spans="1:28" x14ac:dyDescent="0.3">
      <c r="A41" t="s">
        <v>50</v>
      </c>
      <c r="B41" t="str">
        <f>INDEX('Tournament List'!$L:$L,MATCH($A41,'Tournament List'!$A:$A,0))</f>
        <v>Rocky Mountain Clay Busters</v>
      </c>
      <c r="C41" t="str">
        <f>INDEX('Tournament List'!$B:$B,MATCH($A41,'Tournament List'!$A:$A,0))</f>
        <v>Henry</v>
      </c>
      <c r="D41" t="str">
        <f>INDEX('Tournament List'!$C:$C,MATCH($A41,'Tournament List'!$A:$A,0))</f>
        <v>Last Name14</v>
      </c>
      <c r="E41" t="str">
        <f t="shared" si="1"/>
        <v>Henry Last Name14</v>
      </c>
      <c r="F41" t="str">
        <f>INDEX('Tournament List'!$M:$M,MATCH($A41,'Tournament List'!$A:$A,0))</f>
        <v>Intermediate</v>
      </c>
      <c r="G41" s="112" t="s">
        <v>143</v>
      </c>
      <c r="H41" s="112" t="s">
        <v>338</v>
      </c>
      <c r="I41" s="112">
        <v>2</v>
      </c>
      <c r="J41" s="233"/>
      <c r="K41" t="str">
        <f>IF(H41&lt;&gt;"",B41&amp;"-"&amp;H41&amp;"-"&amp;G41&amp;"-Pos"&amp;I41,"")</f>
        <v>Rocky Mountain Clay Busters-Intermediate 1-Skeet-Pos2</v>
      </c>
      <c r="L41" t="str">
        <f>IF(H41&lt;&gt;"",IFERROR(INDEX('Tournament Setup'!$B$59:$B$78,MATCH(H41,SquadConcurrents,0)),""),"")</f>
        <v>Intermediate</v>
      </c>
      <c r="M41" s="1">
        <f>IFERROR(INDEX('Squad Listing'!$A:$A,MATCH(B41&amp;"-"&amp;H41&amp;"-"&amp;G41,'Squad Listing'!$B:$B,0)),"")</f>
        <v>232</v>
      </c>
      <c r="N41" s="1">
        <f t="shared" si="2"/>
        <v>2</v>
      </c>
      <c r="O41" s="113" t="s">
        <v>147</v>
      </c>
      <c r="P41" s="113"/>
      <c r="Q41" s="113"/>
      <c r="R41" s="113"/>
      <c r="S41" s="114" t="s">
        <v>148</v>
      </c>
      <c r="T41" s="114"/>
      <c r="U41" s="114"/>
      <c r="V41" s="114"/>
      <c r="W41" t="str">
        <f>IF(P41&lt;&gt;"",B41&amp;"-"&amp;P41&amp;"-"&amp;O41&amp;"-Pos"&amp;Q41,"")</f>
        <v/>
      </c>
      <c r="X41" t="str">
        <f>IF(P41&lt;&gt;"",B41&amp;"-"&amp;P41&amp;"-"&amp;O41,"")</f>
        <v/>
      </c>
      <c r="Y41" t="str">
        <f>IFERROR(INDEX('Squad Listing'!$A:$A,MATCH(X41,'Squad Listing'!$B:$B,0)),"")</f>
        <v/>
      </c>
      <c r="Z41" t="str">
        <f>IF(T41&lt;&gt;"",B41&amp;"-"&amp;T41&amp;"-"&amp;S41&amp;"-Pos"&amp;U41,"")</f>
        <v/>
      </c>
      <c r="AA41" t="str">
        <f>IF(T41&lt;&gt;"",B41&amp;"-"&amp;T41&amp;"-"&amp;S41,"")</f>
        <v/>
      </c>
      <c r="AB41" t="str">
        <f>IFERROR(INDEX('Squad Listing'!$A:$A,MATCH(AA41,'Squad Listing'!$B:$B,0)),"")</f>
        <v/>
      </c>
    </row>
    <row r="42" spans="1:28" x14ac:dyDescent="0.3">
      <c r="A42" t="s">
        <v>51</v>
      </c>
      <c r="B42" t="str">
        <f>INDEX('Tournament List'!$L:$L,MATCH($A42,'Tournament List'!$A:$A,0))</f>
        <v>Wiggins Tigers Sporting Club</v>
      </c>
      <c r="C42" t="str">
        <f>INDEX('Tournament List'!$B:$B,MATCH($A42,'Tournament List'!$A:$A,0))</f>
        <v>Daniel</v>
      </c>
      <c r="D42" t="str">
        <f>INDEX('Tournament List'!$C:$C,MATCH($A42,'Tournament List'!$A:$A,0))</f>
        <v>Last Name15</v>
      </c>
      <c r="E42" t="str">
        <f t="shared" si="1"/>
        <v>Daniel Last Name15</v>
      </c>
      <c r="F42" t="str">
        <f>INDEX('Tournament List'!$M:$M,MATCH($A42,'Tournament List'!$A:$A,0))</f>
        <v>Collegiate</v>
      </c>
      <c r="G42" s="112" t="s">
        <v>143</v>
      </c>
      <c r="H42" s="112" t="s">
        <v>342</v>
      </c>
      <c r="I42" s="112">
        <v>3</v>
      </c>
      <c r="J42" s="233"/>
      <c r="K42" t="str">
        <f>IF(H42&lt;&gt;"",B42&amp;"-"&amp;H42&amp;"-"&amp;G42&amp;"-Pos"&amp;I42,"")</f>
        <v>Wiggins Tigers Sporting Club-Collegiate 1-Skeet-Pos3</v>
      </c>
      <c r="L42" t="str">
        <f>IF(H42&lt;&gt;"",IFERROR(INDEX('Tournament Setup'!$B$59:$B$78,MATCH(H42,SquadConcurrents,0)),""),"")</f>
        <v>Collegiate</v>
      </c>
      <c r="M42" s="1">
        <f>IFERROR(INDEX('Squad Listing'!$A:$A,MATCH(B42&amp;"-"&amp;H42&amp;"-"&amp;G42,'Squad Listing'!$B:$B,0)),"")</f>
        <v>286</v>
      </c>
      <c r="N42" s="1">
        <f t="shared" si="2"/>
        <v>3</v>
      </c>
      <c r="O42" s="113" t="s">
        <v>147</v>
      </c>
      <c r="P42" s="113"/>
      <c r="Q42" s="113"/>
      <c r="R42" s="113"/>
      <c r="S42" s="114" t="s">
        <v>148</v>
      </c>
      <c r="T42" s="114"/>
      <c r="U42" s="114"/>
      <c r="V42" s="114"/>
      <c r="W42" t="str">
        <f>IF(P42&lt;&gt;"",B42&amp;"-"&amp;P42&amp;"-"&amp;O42&amp;"-Pos"&amp;Q42,"")</f>
        <v/>
      </c>
      <c r="X42" t="str">
        <f>IF(P42&lt;&gt;"",B42&amp;"-"&amp;P42&amp;"-"&amp;O42,"")</f>
        <v/>
      </c>
      <c r="Y42" t="str">
        <f>IFERROR(INDEX('Squad Listing'!$A:$A,MATCH(X42,'Squad Listing'!$B:$B,0)),"")</f>
        <v/>
      </c>
      <c r="Z42" t="str">
        <f>IF(T42&lt;&gt;"",B42&amp;"-"&amp;T42&amp;"-"&amp;S42&amp;"-Pos"&amp;U42,"")</f>
        <v/>
      </c>
      <c r="AA42" t="str">
        <f>IF(T42&lt;&gt;"",B42&amp;"-"&amp;T42&amp;"-"&amp;S42,"")</f>
        <v/>
      </c>
      <c r="AB42" t="str">
        <f>IFERROR(INDEX('Squad Listing'!$A:$A,MATCH(AA42,'Squad Listing'!$B:$B,0)),"")</f>
        <v/>
      </c>
    </row>
    <row r="43" spans="1:28" x14ac:dyDescent="0.3">
      <c r="A43" t="s">
        <v>183</v>
      </c>
      <c r="B43" t="str">
        <f>INDEX('Tournament List'!$L:$L,MATCH($A43,'Tournament List'!$A:$A,0))</f>
        <v>Wiggins Tigers Sporting Club</v>
      </c>
      <c r="C43" t="str">
        <f>INDEX('Tournament List'!$B:$B,MATCH($A43,'Tournament List'!$A:$A,0))</f>
        <v>Becky</v>
      </c>
      <c r="D43" t="str">
        <f>INDEX('Tournament List'!$C:$C,MATCH($A43,'Tournament List'!$A:$A,0))</f>
        <v>Last Name27</v>
      </c>
      <c r="E43" t="str">
        <f t="shared" si="1"/>
        <v>Becky Last Name27</v>
      </c>
      <c r="F43" t="str">
        <f>INDEX('Tournament List'!$M:$M,MATCH($A43,'Tournament List'!$A:$A,0))</f>
        <v>Collegiate</v>
      </c>
      <c r="G43" s="112" t="s">
        <v>143</v>
      </c>
      <c r="H43" s="112" t="s">
        <v>342</v>
      </c>
      <c r="I43" s="112">
        <v>2</v>
      </c>
      <c r="J43" s="233"/>
      <c r="K43" t="str">
        <f>IF(H43&lt;&gt;"",B43&amp;"-"&amp;H43&amp;"-"&amp;G43&amp;"-Pos"&amp;I43,"")</f>
        <v>Wiggins Tigers Sporting Club-Collegiate 1-Skeet-Pos2</v>
      </c>
      <c r="L43" t="str">
        <f>IF(H43&lt;&gt;"",IFERROR(INDEX('Tournament Setup'!$B$59:$B$78,MATCH(H43,SquadConcurrents,0)),""),"")</f>
        <v>Collegiate</v>
      </c>
      <c r="M43" s="1">
        <f>IFERROR(INDEX('Squad Listing'!$A:$A,MATCH(B43&amp;"-"&amp;H43&amp;"-"&amp;G43,'Squad Listing'!$B:$B,0)),"")</f>
        <v>286</v>
      </c>
      <c r="N43" s="1">
        <f t="shared" si="2"/>
        <v>2</v>
      </c>
      <c r="O43" s="113" t="s">
        <v>147</v>
      </c>
      <c r="P43" s="113"/>
      <c r="Q43" s="113"/>
      <c r="R43" s="113"/>
      <c r="S43" s="114" t="s">
        <v>148</v>
      </c>
      <c r="T43" s="114"/>
      <c r="U43" s="114"/>
      <c r="V43" s="114"/>
      <c r="W43" t="str">
        <f>IF(P43&lt;&gt;"",B43&amp;"-"&amp;P43&amp;"-"&amp;O43&amp;"-Pos"&amp;Q43,"")</f>
        <v/>
      </c>
      <c r="X43" t="str">
        <f>IF(P43&lt;&gt;"",B43&amp;"-"&amp;P43&amp;"-"&amp;O43,"")</f>
        <v/>
      </c>
      <c r="Y43" t="str">
        <f>IFERROR(INDEX('Squad Listing'!$A:$A,MATCH(X43,'Squad Listing'!$B:$B,0)),"")</f>
        <v/>
      </c>
      <c r="Z43" t="str">
        <f>IF(T43&lt;&gt;"",B43&amp;"-"&amp;T43&amp;"-"&amp;S43&amp;"-Pos"&amp;U43,"")</f>
        <v/>
      </c>
      <c r="AA43" t="str">
        <f>IF(T43&lt;&gt;"",B43&amp;"-"&amp;T43&amp;"-"&amp;S43,"")</f>
        <v/>
      </c>
      <c r="AB43" t="str">
        <f>IFERROR(INDEX('Squad Listing'!$A:$A,MATCH(AA43,'Squad Listing'!$B:$B,0)),"")</f>
        <v/>
      </c>
    </row>
    <row r="44" spans="1:28" x14ac:dyDescent="0.3">
      <c r="A44" t="s">
        <v>195</v>
      </c>
      <c r="B44" t="str">
        <f>INDEX('Tournament List'!$L:$L,MATCH($A44,'Tournament List'!$A:$A,0))</f>
        <v>Wiggins Tigers Sporting Club</v>
      </c>
      <c r="C44" t="str">
        <f>INDEX('Tournament List'!$B:$B,MATCH($A44,'Tournament List'!$A:$A,0))</f>
        <v>Chad</v>
      </c>
      <c r="D44" t="str">
        <f>INDEX('Tournament List'!$C:$C,MATCH($A44,'Tournament List'!$A:$A,0))</f>
        <v>Last Name39</v>
      </c>
      <c r="E44" t="str">
        <f t="shared" si="1"/>
        <v>Chad Last Name39</v>
      </c>
      <c r="F44" t="str">
        <f>INDEX('Tournament List'!$M:$M,MATCH($A44,'Tournament List'!$A:$A,0))</f>
        <v>Collegiate</v>
      </c>
      <c r="G44" s="112" t="s">
        <v>143</v>
      </c>
      <c r="H44" s="112" t="s">
        <v>342</v>
      </c>
      <c r="I44" s="112">
        <v>1</v>
      </c>
      <c r="J44" s="233"/>
      <c r="K44" t="str">
        <f>IF(H44&lt;&gt;"",B44&amp;"-"&amp;H44&amp;"-"&amp;G44&amp;"-Pos"&amp;I44,"")</f>
        <v>Wiggins Tigers Sporting Club-Collegiate 1-Skeet-Pos1</v>
      </c>
      <c r="L44" t="str">
        <f>IF(H44&lt;&gt;"",IFERROR(INDEX('Tournament Setup'!$B$59:$B$78,MATCH(H44,SquadConcurrents,0)),""),"")</f>
        <v>Collegiate</v>
      </c>
      <c r="M44" s="1">
        <f>IFERROR(INDEX('Squad Listing'!$A:$A,MATCH(B44&amp;"-"&amp;H44&amp;"-"&amp;G44,'Squad Listing'!$B:$B,0)),"")</f>
        <v>286</v>
      </c>
      <c r="N44" s="1">
        <f t="shared" si="2"/>
        <v>1</v>
      </c>
      <c r="O44" s="113" t="s">
        <v>147</v>
      </c>
      <c r="P44" s="113"/>
      <c r="Q44" s="113"/>
      <c r="R44" s="113"/>
      <c r="S44" s="114" t="s">
        <v>148</v>
      </c>
      <c r="T44" s="114"/>
      <c r="U44" s="114"/>
      <c r="V44" s="114"/>
      <c r="W44" t="str">
        <f>IF(P44&lt;&gt;"",B44&amp;"-"&amp;P44&amp;"-"&amp;O44&amp;"-Pos"&amp;Q44,"")</f>
        <v/>
      </c>
      <c r="X44" t="str">
        <f>IF(P44&lt;&gt;"",B44&amp;"-"&amp;P44&amp;"-"&amp;O44,"")</f>
        <v/>
      </c>
      <c r="Y44" t="str">
        <f>IFERROR(INDEX('Squad Listing'!$A:$A,MATCH(X44,'Squad Listing'!$B:$B,0)),"")</f>
        <v/>
      </c>
      <c r="Z44" t="str">
        <f>IF(T44&lt;&gt;"",B44&amp;"-"&amp;T44&amp;"-"&amp;S44&amp;"-Pos"&amp;U44,"")</f>
        <v/>
      </c>
      <c r="AA44" t="str">
        <f>IF(T44&lt;&gt;"",B44&amp;"-"&amp;T44&amp;"-"&amp;S44,"")</f>
        <v/>
      </c>
      <c r="AB44" t="str">
        <f>IFERROR(INDEX('Squad Listing'!$A:$A,MATCH(AA44,'Squad Listing'!$B:$B,0)),"")</f>
        <v/>
      </c>
    </row>
    <row r="45" spans="1:28" x14ac:dyDescent="0.3">
      <c r="A45" t="s">
        <v>39</v>
      </c>
      <c r="B45" t="str">
        <f>INDEX('Tournament List'!$L:$L,MATCH($A45,'Tournament List'!$A:$A,0))</f>
        <v>Wiggins Tigers Sporting Club</v>
      </c>
      <c r="C45" t="str">
        <f>INDEX('Tournament List'!$B:$B,MATCH($A45,'Tournament List'!$A:$A,0))</f>
        <v>Cathy</v>
      </c>
      <c r="D45" t="str">
        <f>INDEX('Tournament List'!$C:$C,MATCH($A45,'Tournament List'!$A:$A,0))</f>
        <v>Last Name3</v>
      </c>
      <c r="E45" t="str">
        <f t="shared" si="1"/>
        <v>Cathy Last Name3</v>
      </c>
      <c r="F45" t="str">
        <f>INDEX('Tournament List'!$M:$M,MATCH($A45,'Tournament List'!$A:$A,0))</f>
        <v>Novice</v>
      </c>
      <c r="G45" s="112" t="s">
        <v>143</v>
      </c>
      <c r="H45" s="112"/>
      <c r="I45" s="112"/>
      <c r="J45" s="233"/>
      <c r="K45" t="str">
        <f>IF(H45&lt;&gt;"",B45&amp;"-"&amp;H45&amp;"-"&amp;G45&amp;"-Pos"&amp;I45,"")</f>
        <v/>
      </c>
      <c r="L45" t="str">
        <f>IF(H45&lt;&gt;"",IFERROR(INDEX('Tournament Setup'!$B$59:$B$78,MATCH(H45,SquadConcurrents,0)),""),"")</f>
        <v/>
      </c>
      <c r="M45" s="1" t="str">
        <f>IFERROR(INDEX('Squad Listing'!$A:$A,MATCH(B45&amp;"-"&amp;H45&amp;"-"&amp;G45,'Squad Listing'!$B:$B,0)),"")</f>
        <v/>
      </c>
      <c r="N45" s="1" t="str">
        <f t="shared" si="2"/>
        <v/>
      </c>
      <c r="O45" s="113" t="s">
        <v>147</v>
      </c>
      <c r="P45" s="113"/>
      <c r="Q45" s="113"/>
      <c r="R45" s="113"/>
      <c r="S45" s="114" t="s">
        <v>148</v>
      </c>
      <c r="T45" s="114"/>
      <c r="U45" s="114"/>
      <c r="V45" s="114"/>
      <c r="W45" t="str">
        <f>IF(P45&lt;&gt;"",B45&amp;"-"&amp;P45&amp;"-"&amp;O45&amp;"-Pos"&amp;Q45,"")</f>
        <v/>
      </c>
      <c r="X45" t="str">
        <f>IF(P45&lt;&gt;"",B45&amp;"-"&amp;P45&amp;"-"&amp;O45,"")</f>
        <v/>
      </c>
      <c r="Y45" t="str">
        <f>IFERROR(INDEX('Squad Listing'!$A:$A,MATCH(X45,'Squad Listing'!$B:$B,0)),"")</f>
        <v/>
      </c>
      <c r="Z45" t="str">
        <f>IF(T45&lt;&gt;"",B45&amp;"-"&amp;T45&amp;"-"&amp;S45&amp;"-Pos"&amp;U45,"")</f>
        <v/>
      </c>
      <c r="AA45" t="str">
        <f>IF(T45&lt;&gt;"",B45&amp;"-"&amp;T45&amp;"-"&amp;S45,"")</f>
        <v/>
      </c>
      <c r="AB45" t="str">
        <f>IFERROR(INDEX('Squad Listing'!$A:$A,MATCH(AA45,'Squad Listing'!$B:$B,0)),"")</f>
        <v/>
      </c>
    </row>
    <row r="46" spans="1:28" x14ac:dyDescent="0.3">
      <c r="A46" t="s">
        <v>57</v>
      </c>
      <c r="B46" t="str">
        <f>INDEX('Tournament List'!$L:$L,MATCH($A46,'Tournament List'!$A:$A,0))</f>
        <v>Wiggins Tigers Sporting Club</v>
      </c>
      <c r="C46" t="str">
        <f>INDEX('Tournament List'!$B:$B,MATCH($A46,'Tournament List'!$A:$A,0))</f>
        <v>Nathan</v>
      </c>
      <c r="D46" t="str">
        <f>INDEX('Tournament List'!$C:$C,MATCH($A46,'Tournament List'!$A:$A,0))</f>
        <v>Last Name21</v>
      </c>
      <c r="E46" t="str">
        <f t="shared" si="1"/>
        <v>Nathan Last Name21</v>
      </c>
      <c r="F46" t="str">
        <f>INDEX('Tournament List'!$M:$M,MATCH($A46,'Tournament List'!$A:$A,0))</f>
        <v>Novice</v>
      </c>
      <c r="G46" s="112" t="s">
        <v>143</v>
      </c>
      <c r="H46" s="112" t="s">
        <v>337</v>
      </c>
      <c r="I46" s="112">
        <v>2</v>
      </c>
      <c r="J46" s="233"/>
      <c r="K46" t="str">
        <f>IF(H46&lt;&gt;"",B46&amp;"-"&amp;H46&amp;"-"&amp;G46&amp;"-Pos"&amp;I46,"")</f>
        <v>Wiggins Tigers Sporting Club-Novice 1-Skeet-Pos2</v>
      </c>
      <c r="L46" t="str">
        <f>IF(H46&lt;&gt;"",IFERROR(INDEX('Tournament Setup'!$B$59:$B$78,MATCH(H46,SquadConcurrents,0)),""),"")</f>
        <v>Novice</v>
      </c>
      <c r="M46" s="1">
        <f>IFERROR(INDEX('Squad Listing'!$A:$A,MATCH(B46&amp;"-"&amp;H46&amp;"-"&amp;G46,'Squad Listing'!$B:$B,0)),"")</f>
        <v>295</v>
      </c>
      <c r="N46" s="1">
        <f t="shared" si="2"/>
        <v>2</v>
      </c>
      <c r="O46" s="113" t="s">
        <v>147</v>
      </c>
      <c r="P46" s="113"/>
      <c r="Q46" s="113"/>
      <c r="R46" s="113"/>
      <c r="S46" s="114" t="s">
        <v>148</v>
      </c>
      <c r="T46" s="114"/>
      <c r="U46" s="114"/>
      <c r="V46" s="114"/>
      <c r="W46" t="str">
        <f>IF(P46&lt;&gt;"",B46&amp;"-"&amp;P46&amp;"-"&amp;O46&amp;"-Pos"&amp;Q46,"")</f>
        <v/>
      </c>
      <c r="X46" t="str">
        <f>IF(P46&lt;&gt;"",B46&amp;"-"&amp;P46&amp;"-"&amp;O46,"")</f>
        <v/>
      </c>
      <c r="Y46" t="str">
        <f>IFERROR(INDEX('Squad Listing'!$A:$A,MATCH(X46,'Squad Listing'!$B:$B,0)),"")</f>
        <v/>
      </c>
      <c r="Z46" t="str">
        <f>IF(T46&lt;&gt;"",B46&amp;"-"&amp;T46&amp;"-"&amp;S46&amp;"-Pos"&amp;U46,"")</f>
        <v/>
      </c>
      <c r="AA46" t="str">
        <f>IF(T46&lt;&gt;"",B46&amp;"-"&amp;T46&amp;"-"&amp;S46,"")</f>
        <v/>
      </c>
      <c r="AB46" t="str">
        <f>IFERROR(INDEX('Squad Listing'!$A:$A,MATCH(AA46,'Squad Listing'!$B:$B,0)),"")</f>
        <v/>
      </c>
    </row>
    <row r="47" spans="1:28" x14ac:dyDescent="0.3">
      <c r="A47" t="s">
        <v>45</v>
      </c>
      <c r="B47" t="str">
        <f>INDEX('Tournament List'!$L:$L,MATCH($A47,'Tournament List'!$A:$A,0))</f>
        <v>Wiggins Tigers Sporting Club</v>
      </c>
      <c r="C47" t="str">
        <f>INDEX('Tournament List'!$B:$B,MATCH($A47,'Tournament List'!$A:$A,0))</f>
        <v>Linda</v>
      </c>
      <c r="D47" t="str">
        <f>INDEX('Tournament List'!$C:$C,MATCH($A47,'Tournament List'!$A:$A,0))</f>
        <v>Last Name9</v>
      </c>
      <c r="E47" t="str">
        <f t="shared" si="1"/>
        <v>Linda Last Name9</v>
      </c>
      <c r="F47" t="str">
        <f>INDEX('Tournament List'!$M:$M,MATCH($A47,'Tournament List'!$A:$A,0))</f>
        <v>Novice</v>
      </c>
      <c r="G47" s="112" t="s">
        <v>143</v>
      </c>
      <c r="H47" s="112"/>
      <c r="I47" s="112"/>
      <c r="J47" s="233"/>
      <c r="K47" t="str">
        <f>IF(H47&lt;&gt;"",B47&amp;"-"&amp;H47&amp;"-"&amp;G47&amp;"-Pos"&amp;I47,"")</f>
        <v/>
      </c>
      <c r="L47" t="str">
        <f>IF(H47&lt;&gt;"",IFERROR(INDEX('Tournament Setup'!$B$59:$B$78,MATCH(H47,SquadConcurrents,0)),""),"")</f>
        <v/>
      </c>
      <c r="M47" s="1" t="str">
        <f>IFERROR(INDEX('Squad Listing'!$A:$A,MATCH(B47&amp;"-"&amp;H47&amp;"-"&amp;G47,'Squad Listing'!$B:$B,0)),"")</f>
        <v/>
      </c>
      <c r="N47" s="1" t="str">
        <f t="shared" si="2"/>
        <v/>
      </c>
      <c r="O47" s="113" t="s">
        <v>147</v>
      </c>
      <c r="P47" s="113"/>
      <c r="Q47" s="113"/>
      <c r="R47" s="113"/>
      <c r="S47" s="114" t="s">
        <v>148</v>
      </c>
      <c r="T47" s="114"/>
      <c r="U47" s="114"/>
      <c r="V47" s="114"/>
      <c r="W47" t="str">
        <f>IF(P47&lt;&gt;"",B47&amp;"-"&amp;P47&amp;"-"&amp;O47&amp;"-Pos"&amp;Q47,"")</f>
        <v/>
      </c>
      <c r="X47" t="str">
        <f>IF(P47&lt;&gt;"",B47&amp;"-"&amp;P47&amp;"-"&amp;O47,"")</f>
        <v/>
      </c>
      <c r="Y47" t="str">
        <f>IFERROR(INDEX('Squad Listing'!$A:$A,MATCH(X47,'Squad Listing'!$B:$B,0)),"")</f>
        <v/>
      </c>
      <c r="Z47" t="str">
        <f>IF(T47&lt;&gt;"",B47&amp;"-"&amp;T47&amp;"-"&amp;S47&amp;"-Pos"&amp;U47,"")</f>
        <v/>
      </c>
      <c r="AA47" t="str">
        <f>IF(T47&lt;&gt;"",B47&amp;"-"&amp;T47&amp;"-"&amp;S47,"")</f>
        <v/>
      </c>
      <c r="AB47" t="str">
        <f>IFERROR(INDEX('Squad Listing'!$A:$A,MATCH(AA47,'Squad Listing'!$B:$B,0)),"")</f>
        <v/>
      </c>
    </row>
    <row r="48" spans="1:28" x14ac:dyDescent="0.3">
      <c r="A48" t="s">
        <v>189</v>
      </c>
      <c r="B48" t="str">
        <f>INDEX('Tournament List'!$L:$L,MATCH($A48,'Tournament List'!$A:$A,0))</f>
        <v>Wiggins Tigers Sporting Club</v>
      </c>
      <c r="C48" t="str">
        <f>INDEX('Tournament List'!$B:$B,MATCH($A48,'Tournament List'!$A:$A,0))</f>
        <v>Missy</v>
      </c>
      <c r="D48" t="str">
        <f>INDEX('Tournament List'!$C:$C,MATCH($A48,'Tournament List'!$A:$A,0))</f>
        <v>Last Name33</v>
      </c>
      <c r="E48" t="str">
        <f t="shared" si="1"/>
        <v>Missy Last Name33</v>
      </c>
      <c r="F48" t="str">
        <f>INDEX('Tournament List'!$M:$M,MATCH($A48,'Tournament List'!$A:$A,0))</f>
        <v>Novice</v>
      </c>
      <c r="G48" s="112" t="s">
        <v>143</v>
      </c>
      <c r="H48" s="112" t="s">
        <v>337</v>
      </c>
      <c r="I48" s="112">
        <v>3</v>
      </c>
      <c r="J48" s="233"/>
      <c r="K48" t="str">
        <f>IF(H48&lt;&gt;"",B48&amp;"-"&amp;H48&amp;"-"&amp;G48&amp;"-Pos"&amp;I48,"")</f>
        <v>Wiggins Tigers Sporting Club-Novice 1-Skeet-Pos3</v>
      </c>
      <c r="L48" t="str">
        <f>IF(H48&lt;&gt;"",IFERROR(INDEX('Tournament Setup'!$B$59:$B$78,MATCH(H48,SquadConcurrents,0)),""),"")</f>
        <v>Novice</v>
      </c>
      <c r="M48" s="1">
        <f>IFERROR(INDEX('Squad Listing'!$A:$A,MATCH(B48&amp;"-"&amp;H48&amp;"-"&amp;G48,'Squad Listing'!$B:$B,0)),"")</f>
        <v>295</v>
      </c>
      <c r="N48" s="1">
        <f t="shared" si="2"/>
        <v>3</v>
      </c>
      <c r="O48" s="113" t="s">
        <v>147</v>
      </c>
      <c r="P48" s="113"/>
      <c r="Q48" s="113"/>
      <c r="R48" s="113"/>
      <c r="S48" s="114" t="s">
        <v>148</v>
      </c>
      <c r="T48" s="114"/>
      <c r="U48" s="114"/>
      <c r="V48" s="114"/>
      <c r="W48" t="str">
        <f>IF(P48&lt;&gt;"",B48&amp;"-"&amp;P48&amp;"-"&amp;O48&amp;"-Pos"&amp;Q48,"")</f>
        <v/>
      </c>
      <c r="X48" t="str">
        <f>IF(P48&lt;&gt;"",B48&amp;"-"&amp;P48&amp;"-"&amp;O48,"")</f>
        <v/>
      </c>
      <c r="Y48" t="str">
        <f>IFERROR(INDEX('Squad Listing'!$A:$A,MATCH(X48,'Squad Listing'!$B:$B,0)),"")</f>
        <v/>
      </c>
      <c r="Z48" t="str">
        <f>IF(T48&lt;&gt;"",B48&amp;"-"&amp;T48&amp;"-"&amp;S48&amp;"-Pos"&amp;U48,"")</f>
        <v/>
      </c>
      <c r="AA48" t="str">
        <f>IF(T48&lt;&gt;"",B48&amp;"-"&amp;T48&amp;"-"&amp;S48,"")</f>
        <v/>
      </c>
      <c r="AB48" t="str">
        <f>IFERROR(INDEX('Squad Listing'!$A:$A,MATCH(AA48,'Squad Listing'!$B:$B,0)),"")</f>
        <v/>
      </c>
    </row>
    <row r="49" spans="1:28" x14ac:dyDescent="0.3">
      <c r="A49" t="s">
        <v>201</v>
      </c>
      <c r="B49" t="str">
        <f>INDEX('Tournament List'!$L:$L,MATCH($A49,'Tournament List'!$A:$A,0))</f>
        <v>Wiggins Tigers Sporting Club</v>
      </c>
      <c r="C49" t="str">
        <f>INDEX('Tournament List'!$B:$B,MATCH($A49,'Tournament List'!$A:$A,0))</f>
        <v>Dee</v>
      </c>
      <c r="D49" t="str">
        <f>INDEX('Tournament List'!$C:$C,MATCH($A49,'Tournament List'!$A:$A,0))</f>
        <v>Last Name45</v>
      </c>
      <c r="E49" t="str">
        <f t="shared" si="1"/>
        <v>Dee Last Name45</v>
      </c>
      <c r="F49" t="str">
        <f>INDEX('Tournament List'!$M:$M,MATCH($A49,'Tournament List'!$A:$A,0))</f>
        <v>Novice</v>
      </c>
      <c r="G49" s="112" t="s">
        <v>143</v>
      </c>
      <c r="H49" s="112" t="s">
        <v>337</v>
      </c>
      <c r="I49" s="112">
        <v>1</v>
      </c>
      <c r="J49" s="233"/>
      <c r="K49" t="str">
        <f>IF(H49&lt;&gt;"",B49&amp;"-"&amp;H49&amp;"-"&amp;G49&amp;"-Pos"&amp;I49,"")</f>
        <v>Wiggins Tigers Sporting Club-Novice 1-Skeet-Pos1</v>
      </c>
      <c r="L49" t="str">
        <f>IF(H49&lt;&gt;"",IFERROR(INDEX('Tournament Setup'!$B$59:$B$78,MATCH(H49,SquadConcurrents,0)),""),"")</f>
        <v>Novice</v>
      </c>
      <c r="M49" s="1">
        <f>IFERROR(INDEX('Squad Listing'!$A:$A,MATCH(B49&amp;"-"&amp;H49&amp;"-"&amp;G49,'Squad Listing'!$B:$B,0)),"")</f>
        <v>295</v>
      </c>
      <c r="N49" s="1">
        <f t="shared" si="2"/>
        <v>1</v>
      </c>
      <c r="O49" s="113" t="s">
        <v>147</v>
      </c>
      <c r="P49" s="113"/>
      <c r="Q49" s="113"/>
      <c r="R49" s="113"/>
      <c r="S49" s="114" t="s">
        <v>148</v>
      </c>
      <c r="T49" s="114"/>
      <c r="U49" s="114"/>
      <c r="V49" s="114"/>
      <c r="W49" t="str">
        <f>IF(P49&lt;&gt;"",B49&amp;"-"&amp;P49&amp;"-"&amp;O49&amp;"-Pos"&amp;Q49,"")</f>
        <v/>
      </c>
      <c r="X49" t="str">
        <f>IF(P49&lt;&gt;"",B49&amp;"-"&amp;P49&amp;"-"&amp;O49,"")</f>
        <v/>
      </c>
      <c r="Y49" t="str">
        <f>IFERROR(INDEX('Squad Listing'!$A:$A,MATCH(X49,'Squad Listing'!$B:$B,0)),"")</f>
        <v/>
      </c>
      <c r="Z49" t="str">
        <f>IF(T49&lt;&gt;"",B49&amp;"-"&amp;T49&amp;"-"&amp;S49&amp;"-Pos"&amp;U49,"")</f>
        <v/>
      </c>
      <c r="AA49" t="str">
        <f>IF(T49&lt;&gt;"",B49&amp;"-"&amp;T49&amp;"-"&amp;S49,"")</f>
        <v/>
      </c>
      <c r="AB49" t="str">
        <f>IFERROR(INDEX('Squad Listing'!$A:$A,MATCH(AA49,'Squad Listing'!$B:$B,0)),"")</f>
        <v/>
      </c>
    </row>
    <row r="50" spans="1:28" x14ac:dyDescent="0.3">
      <c r="E50" t="str">
        <f t="shared" si="1"/>
        <v/>
      </c>
      <c r="G50" s="112"/>
      <c r="H50" s="112"/>
      <c r="I50" s="112"/>
      <c r="J50" s="233"/>
      <c r="L50" t="str">
        <f>IF(H50&lt;&gt;"",IFERROR(INDEX('Tournament Setup'!$B$59:$B$78,MATCH(H50,SquadConcurrents,0)),""),"")</f>
        <v/>
      </c>
      <c r="M50" s="1" t="str">
        <f>IFERROR(INDEX('Squad Listing'!$A:$A,MATCH(B50&amp;"-"&amp;H50&amp;"-"&amp;G50,'Squad Listing'!$B:$B,0)),"")</f>
        <v/>
      </c>
      <c r="N50" s="1" t="str">
        <f t="shared" si="2"/>
        <v/>
      </c>
      <c r="O50" s="113"/>
      <c r="P50" s="113"/>
      <c r="Q50" s="113"/>
      <c r="R50" s="113"/>
      <c r="S50" s="114"/>
      <c r="T50" s="114"/>
      <c r="U50" s="114"/>
      <c r="V50" s="114"/>
    </row>
    <row r="51" spans="1:28" x14ac:dyDescent="0.3">
      <c r="E51" t="str">
        <f t="shared" si="1"/>
        <v/>
      </c>
      <c r="G51" s="112"/>
      <c r="H51" s="112"/>
      <c r="I51" s="112"/>
      <c r="J51" s="233"/>
      <c r="L51" t="str">
        <f>IF(H51&lt;&gt;"",IFERROR(INDEX('Tournament Setup'!$B$59:$B$78,MATCH(H51,SquadConcurrents,0)),""),"")</f>
        <v/>
      </c>
      <c r="M51" s="1" t="str">
        <f>IFERROR(INDEX('Squad Listing'!$A:$A,MATCH(B51&amp;"-"&amp;H51&amp;"-"&amp;G51,'Squad Listing'!$B:$B,0)),"")</f>
        <v/>
      </c>
      <c r="N51" s="1" t="str">
        <f t="shared" si="2"/>
        <v/>
      </c>
      <c r="O51" s="113"/>
      <c r="P51" s="113"/>
      <c r="Q51" s="113"/>
      <c r="R51" s="113"/>
      <c r="S51" s="114"/>
      <c r="T51" s="114"/>
      <c r="U51" s="114"/>
      <c r="V51" s="114"/>
    </row>
    <row r="52" spans="1:28" x14ac:dyDescent="0.3">
      <c r="E52" t="str">
        <f t="shared" si="1"/>
        <v/>
      </c>
      <c r="G52" s="112"/>
      <c r="H52" s="112"/>
      <c r="I52" s="112"/>
      <c r="J52" s="233"/>
      <c r="L52" t="str">
        <f>IF(H52&lt;&gt;"",IFERROR(INDEX('Tournament Setup'!$B$59:$B$78,MATCH(H52,SquadConcurrents,0)),""),"")</f>
        <v/>
      </c>
      <c r="M52" s="1" t="str">
        <f>IFERROR(INDEX('Squad Listing'!$A:$A,MATCH(B52&amp;"-"&amp;H52&amp;"-"&amp;G52,'Squad Listing'!$B:$B,0)),"")</f>
        <v/>
      </c>
      <c r="N52" s="1" t="str">
        <f t="shared" si="2"/>
        <v/>
      </c>
      <c r="O52" s="113"/>
      <c r="P52" s="113"/>
      <c r="Q52" s="113"/>
      <c r="R52" s="113"/>
      <c r="S52" s="114"/>
      <c r="T52" s="114"/>
      <c r="U52" s="114"/>
      <c r="V52" s="114"/>
    </row>
    <row r="53" spans="1:28" x14ac:dyDescent="0.3">
      <c r="E53" t="str">
        <f t="shared" si="1"/>
        <v/>
      </c>
      <c r="G53" s="112"/>
      <c r="H53" s="112"/>
      <c r="I53" s="112"/>
      <c r="J53" s="233"/>
      <c r="L53" t="str">
        <f>IF(H53&lt;&gt;"",IFERROR(INDEX('Tournament Setup'!$B$59:$B$78,MATCH(H53,SquadConcurrents,0)),""),"")</f>
        <v/>
      </c>
      <c r="M53" s="1" t="str">
        <f>IFERROR(INDEX('Squad Listing'!$A:$A,MATCH(B53&amp;"-"&amp;H53&amp;"-"&amp;G53,'Squad Listing'!$B:$B,0)),"")</f>
        <v/>
      </c>
      <c r="N53" s="1" t="str">
        <f t="shared" si="2"/>
        <v/>
      </c>
      <c r="O53" s="113"/>
      <c r="P53" s="113"/>
      <c r="Q53" s="113"/>
      <c r="R53" s="113"/>
      <c r="S53" s="114"/>
      <c r="T53" s="114"/>
      <c r="U53" s="114"/>
      <c r="V53" s="114"/>
    </row>
    <row r="54" spans="1:28" x14ac:dyDescent="0.3">
      <c r="E54" t="str">
        <f t="shared" si="1"/>
        <v/>
      </c>
      <c r="G54" s="112"/>
      <c r="H54" s="112"/>
      <c r="I54" s="112"/>
      <c r="J54" s="233"/>
      <c r="L54" t="str">
        <f>IF(H54&lt;&gt;"",IFERROR(INDEX('Tournament Setup'!$B$59:$B$78,MATCH(H54,SquadConcurrents,0)),""),"")</f>
        <v/>
      </c>
      <c r="M54" s="1" t="str">
        <f>IFERROR(INDEX('Squad Listing'!$A:$A,MATCH(B54&amp;"-"&amp;H54&amp;"-"&amp;G54,'Squad Listing'!$B:$B,0)),"")</f>
        <v/>
      </c>
      <c r="N54" s="1" t="str">
        <f t="shared" si="2"/>
        <v/>
      </c>
      <c r="O54" s="113"/>
      <c r="P54" s="113"/>
      <c r="Q54" s="113"/>
      <c r="R54" s="113"/>
      <c r="S54" s="114"/>
      <c r="T54" s="114"/>
      <c r="U54" s="114"/>
      <c r="V54" s="114"/>
    </row>
    <row r="55" spans="1:28" x14ac:dyDescent="0.3">
      <c r="E55" t="str">
        <f t="shared" si="1"/>
        <v/>
      </c>
      <c r="G55" s="112"/>
      <c r="H55" s="112"/>
      <c r="I55" s="112"/>
      <c r="J55" s="233"/>
      <c r="L55" t="str">
        <f>IF(H55&lt;&gt;"",IFERROR(INDEX('Tournament Setup'!$B$59:$B$78,MATCH(H55,SquadConcurrents,0)),""),"")</f>
        <v/>
      </c>
      <c r="M55" s="1" t="str">
        <f>IFERROR(INDEX('Squad Listing'!$A:$A,MATCH(B55&amp;"-"&amp;H55&amp;"-"&amp;G55,'Squad Listing'!$B:$B,0)),"")</f>
        <v/>
      </c>
      <c r="N55" s="1" t="str">
        <f t="shared" si="2"/>
        <v/>
      </c>
      <c r="O55" s="113"/>
      <c r="P55" s="113"/>
      <c r="Q55" s="113"/>
      <c r="R55" s="113"/>
      <c r="S55" s="114"/>
      <c r="T55" s="114"/>
      <c r="U55" s="114"/>
      <c r="V55" s="114"/>
    </row>
    <row r="56" spans="1:28" x14ac:dyDescent="0.3">
      <c r="E56" t="str">
        <f t="shared" si="1"/>
        <v/>
      </c>
      <c r="G56" s="112"/>
      <c r="H56" s="112"/>
      <c r="I56" s="112"/>
      <c r="J56" s="233"/>
      <c r="L56" t="str">
        <f>IF(H56&lt;&gt;"",IFERROR(INDEX('Tournament Setup'!$B$59:$B$78,MATCH(H56,SquadConcurrents,0)),""),"")</f>
        <v/>
      </c>
      <c r="M56" s="1" t="str">
        <f>IFERROR(INDEX('Squad Listing'!$A:$A,MATCH(B56&amp;"-"&amp;H56&amp;"-"&amp;G56,'Squad Listing'!$B:$B,0)),"")</f>
        <v/>
      </c>
      <c r="N56" s="1" t="str">
        <f t="shared" si="2"/>
        <v/>
      </c>
      <c r="O56" s="113"/>
      <c r="P56" s="113"/>
      <c r="Q56" s="113"/>
      <c r="R56" s="113"/>
      <c r="S56" s="114"/>
      <c r="T56" s="114"/>
      <c r="U56" s="114"/>
      <c r="V56" s="114"/>
    </row>
    <row r="57" spans="1:28" x14ac:dyDescent="0.3">
      <c r="E57" t="str">
        <f t="shared" si="1"/>
        <v/>
      </c>
      <c r="G57" s="112"/>
      <c r="H57" s="112"/>
      <c r="I57" s="112"/>
      <c r="J57" s="233"/>
      <c r="L57" t="str">
        <f>IF(H57&lt;&gt;"",IFERROR(INDEX('Tournament Setup'!$B$59:$B$78,MATCH(H57,SquadConcurrents,0)),""),"")</f>
        <v/>
      </c>
      <c r="M57" s="1" t="str">
        <f>IFERROR(INDEX('Squad Listing'!$A:$A,MATCH(B57&amp;"-"&amp;H57&amp;"-"&amp;G57,'Squad Listing'!$B:$B,0)),"")</f>
        <v/>
      </c>
      <c r="N57" s="1" t="str">
        <f t="shared" si="2"/>
        <v/>
      </c>
      <c r="O57" s="113"/>
      <c r="P57" s="113"/>
      <c r="Q57" s="113"/>
      <c r="R57" s="113"/>
      <c r="S57" s="114"/>
      <c r="T57" s="114"/>
      <c r="U57" s="114"/>
      <c r="V57" s="114"/>
    </row>
    <row r="58" spans="1:28" x14ac:dyDescent="0.3">
      <c r="E58" t="str">
        <f t="shared" si="1"/>
        <v/>
      </c>
      <c r="G58" s="112"/>
      <c r="H58" s="112"/>
      <c r="I58" s="112"/>
      <c r="J58" s="233"/>
      <c r="L58" t="str">
        <f>IF(H58&lt;&gt;"",IFERROR(INDEX('Tournament Setup'!$B$59:$B$78,MATCH(H58,SquadConcurrents,0)),""),"")</f>
        <v/>
      </c>
      <c r="M58" s="1" t="str">
        <f>IFERROR(INDEX('Squad Listing'!$A:$A,MATCH(B58&amp;"-"&amp;H58&amp;"-"&amp;G58,'Squad Listing'!$B:$B,0)),"")</f>
        <v/>
      </c>
      <c r="N58" s="1" t="str">
        <f t="shared" si="2"/>
        <v/>
      </c>
      <c r="O58" s="113"/>
      <c r="P58" s="113"/>
      <c r="Q58" s="113"/>
      <c r="R58" s="113"/>
      <c r="S58" s="114"/>
      <c r="T58" s="114"/>
      <c r="U58" s="114"/>
      <c r="V58" s="114"/>
    </row>
    <row r="59" spans="1:28" x14ac:dyDescent="0.3">
      <c r="E59" t="str">
        <f t="shared" si="1"/>
        <v/>
      </c>
      <c r="G59" s="112"/>
      <c r="H59" s="112"/>
      <c r="I59" s="112"/>
      <c r="J59" s="233"/>
      <c r="L59" t="str">
        <f>IF(H59&lt;&gt;"",IFERROR(INDEX('Tournament Setup'!$B$59:$B$78,MATCH(H59,SquadConcurrents,0)),""),"")</f>
        <v/>
      </c>
      <c r="M59" s="1" t="str">
        <f>IFERROR(INDEX('Squad Listing'!$A:$A,MATCH(B59&amp;"-"&amp;H59&amp;"-"&amp;G59,'Squad Listing'!$B:$B,0)),"")</f>
        <v/>
      </c>
      <c r="N59" s="1" t="str">
        <f t="shared" si="2"/>
        <v/>
      </c>
      <c r="O59" s="113"/>
      <c r="P59" s="113"/>
      <c r="Q59" s="113"/>
      <c r="R59" s="113"/>
      <c r="S59" s="114"/>
      <c r="T59" s="114"/>
      <c r="U59" s="114"/>
      <c r="V59" s="114"/>
    </row>
    <row r="60" spans="1:28" x14ac:dyDescent="0.3">
      <c r="E60" t="str">
        <f t="shared" si="1"/>
        <v/>
      </c>
      <c r="G60" s="112"/>
      <c r="H60" s="112"/>
      <c r="I60" s="112"/>
      <c r="J60" s="233"/>
      <c r="L60" t="str">
        <f>IF(H60&lt;&gt;"",IFERROR(INDEX('Tournament Setup'!$B$59:$B$78,MATCH(H60,SquadConcurrents,0)),""),"")</f>
        <v/>
      </c>
      <c r="M60" s="1" t="str">
        <f>IFERROR(INDEX('Squad Listing'!$A:$A,MATCH(B60&amp;"-"&amp;H60&amp;"-"&amp;G60,'Squad Listing'!$B:$B,0)),"")</f>
        <v/>
      </c>
      <c r="N60" s="1" t="str">
        <f t="shared" si="2"/>
        <v/>
      </c>
      <c r="O60" s="113"/>
      <c r="P60" s="113"/>
      <c r="Q60" s="113"/>
      <c r="R60" s="113"/>
      <c r="S60" s="114"/>
      <c r="T60" s="114"/>
      <c r="U60" s="114"/>
      <c r="V60" s="114"/>
    </row>
    <row r="61" spans="1:28" x14ac:dyDescent="0.3">
      <c r="E61" t="str">
        <f t="shared" si="1"/>
        <v/>
      </c>
      <c r="G61" s="112"/>
      <c r="H61" s="112"/>
      <c r="I61" s="112"/>
      <c r="J61" s="233"/>
      <c r="L61" t="str">
        <f>IF(H61&lt;&gt;"",IFERROR(INDEX('Tournament Setup'!$B$59:$B$78,MATCH(H61,SquadConcurrents,0)),""),"")</f>
        <v/>
      </c>
      <c r="M61" s="1" t="str">
        <f>IFERROR(INDEX('Squad Listing'!$A:$A,MATCH(B61&amp;"-"&amp;H61&amp;"-"&amp;G61,'Squad Listing'!$B:$B,0)),"")</f>
        <v/>
      </c>
      <c r="N61" s="1" t="str">
        <f t="shared" si="2"/>
        <v/>
      </c>
      <c r="O61" s="113"/>
      <c r="P61" s="113"/>
      <c r="Q61" s="113"/>
      <c r="R61" s="113"/>
      <c r="S61" s="114"/>
      <c r="T61" s="114"/>
      <c r="U61" s="114"/>
      <c r="V61" s="114"/>
    </row>
    <row r="62" spans="1:28" x14ac:dyDescent="0.3">
      <c r="E62" t="str">
        <f t="shared" si="1"/>
        <v/>
      </c>
      <c r="G62" s="112"/>
      <c r="H62" s="112"/>
      <c r="I62" s="112"/>
      <c r="J62" s="233"/>
      <c r="L62" t="str">
        <f>IF(H62&lt;&gt;"",IFERROR(INDEX('Tournament Setup'!$B$59:$B$78,MATCH(H62,SquadConcurrents,0)),""),"")</f>
        <v/>
      </c>
      <c r="M62" s="1" t="str">
        <f>IFERROR(INDEX('Squad Listing'!$A:$A,MATCH(B62&amp;"-"&amp;H62&amp;"-"&amp;G62,'Squad Listing'!$B:$B,0)),"")</f>
        <v/>
      </c>
      <c r="N62" s="1" t="str">
        <f t="shared" si="2"/>
        <v/>
      </c>
      <c r="O62" s="113"/>
      <c r="P62" s="113"/>
      <c r="Q62" s="113"/>
      <c r="R62" s="113"/>
      <c r="S62" s="114"/>
      <c r="T62" s="114"/>
      <c r="U62" s="114"/>
      <c r="V62" s="114"/>
    </row>
    <row r="63" spans="1:28" x14ac:dyDescent="0.3">
      <c r="E63" t="str">
        <f t="shared" si="1"/>
        <v/>
      </c>
      <c r="G63" s="112"/>
      <c r="H63" s="112"/>
      <c r="I63" s="112"/>
      <c r="J63" s="233"/>
      <c r="L63" t="str">
        <f>IF(H63&lt;&gt;"",IFERROR(INDEX('Tournament Setup'!$B$59:$B$78,MATCH(H63,SquadConcurrents,0)),""),"")</f>
        <v/>
      </c>
      <c r="M63" s="1" t="str">
        <f>IFERROR(INDEX('Squad Listing'!$A:$A,MATCH(B63&amp;"-"&amp;H63&amp;"-"&amp;G63,'Squad Listing'!$B:$B,0)),"")</f>
        <v/>
      </c>
      <c r="N63" s="1" t="str">
        <f t="shared" si="2"/>
        <v/>
      </c>
      <c r="O63" s="113"/>
      <c r="P63" s="113"/>
      <c r="Q63" s="113"/>
      <c r="R63" s="113"/>
      <c r="S63" s="114"/>
      <c r="T63" s="114"/>
      <c r="U63" s="114"/>
      <c r="V63" s="114"/>
    </row>
    <row r="64" spans="1:28" x14ac:dyDescent="0.3">
      <c r="E64" t="str">
        <f t="shared" si="1"/>
        <v/>
      </c>
      <c r="G64" s="112"/>
      <c r="H64" s="112"/>
      <c r="I64" s="112"/>
      <c r="J64" s="233"/>
      <c r="L64" t="str">
        <f>IF(H64&lt;&gt;"",IFERROR(INDEX('Tournament Setup'!$B$59:$B$78,MATCH(H64,SquadConcurrents,0)),""),"")</f>
        <v/>
      </c>
      <c r="M64" s="1" t="str">
        <f>IFERROR(INDEX('Squad Listing'!$A:$A,MATCH(B64&amp;"-"&amp;H64&amp;"-"&amp;G64,'Squad Listing'!$B:$B,0)),"")</f>
        <v/>
      </c>
      <c r="N64" s="1" t="str">
        <f t="shared" si="2"/>
        <v/>
      </c>
      <c r="O64" s="113"/>
      <c r="P64" s="113"/>
      <c r="Q64" s="113"/>
      <c r="R64" s="113"/>
      <c r="S64" s="114"/>
      <c r="T64" s="114"/>
      <c r="U64" s="114"/>
      <c r="V64" s="114"/>
    </row>
    <row r="65" spans="5:22" x14ac:dyDescent="0.3">
      <c r="E65" t="str">
        <f t="shared" si="1"/>
        <v/>
      </c>
      <c r="G65" s="112"/>
      <c r="H65" s="112"/>
      <c r="I65" s="112"/>
      <c r="J65" s="233"/>
      <c r="L65" t="str">
        <f>IF(H65&lt;&gt;"",IFERROR(INDEX('Tournament Setup'!$B$59:$B$78,MATCH(H65,SquadConcurrents,0)),""),"")</f>
        <v/>
      </c>
      <c r="M65" s="1" t="str">
        <f>IFERROR(INDEX('Squad Listing'!$A:$A,MATCH(B65&amp;"-"&amp;H65&amp;"-"&amp;G65,'Squad Listing'!$B:$B,0)),"")</f>
        <v/>
      </c>
      <c r="N65" s="1" t="str">
        <f t="shared" si="2"/>
        <v/>
      </c>
      <c r="O65" s="113"/>
      <c r="P65" s="113"/>
      <c r="Q65" s="113"/>
      <c r="R65" s="113"/>
      <c r="S65" s="114"/>
      <c r="T65" s="114"/>
      <c r="U65" s="114"/>
      <c r="V65" s="114"/>
    </row>
    <row r="66" spans="5:22" x14ac:dyDescent="0.3">
      <c r="E66" t="str">
        <f t="shared" si="1"/>
        <v/>
      </c>
      <c r="G66" s="112"/>
      <c r="H66" s="112"/>
      <c r="I66" s="112"/>
      <c r="J66" s="233"/>
      <c r="L66" t="str">
        <f>IF(H66&lt;&gt;"",IFERROR(INDEX('Tournament Setup'!$B$59:$B$78,MATCH(H66,SquadConcurrents,0)),""),"")</f>
        <v/>
      </c>
      <c r="M66" s="1" t="str">
        <f>IFERROR(INDEX('Squad Listing'!$A:$A,MATCH(B66&amp;"-"&amp;H66&amp;"-"&amp;G66,'Squad Listing'!$B:$B,0)),"")</f>
        <v/>
      </c>
      <c r="N66" s="1" t="str">
        <f t="shared" si="2"/>
        <v/>
      </c>
      <c r="O66" s="113"/>
      <c r="P66" s="113"/>
      <c r="Q66" s="113"/>
      <c r="R66" s="113"/>
      <c r="S66" s="114"/>
      <c r="T66" s="114"/>
      <c r="U66" s="114"/>
      <c r="V66" s="114"/>
    </row>
    <row r="67" spans="5:22" x14ac:dyDescent="0.3">
      <c r="E67" t="str">
        <f t="shared" ref="E67:E130" si="3">IF(C67&lt;&gt;"",C67&amp;" "&amp;D67,"")</f>
        <v/>
      </c>
      <c r="G67" s="112"/>
      <c r="H67" s="112"/>
      <c r="I67" s="112"/>
      <c r="J67" s="233"/>
      <c r="L67" t="str">
        <f>IF(H67&lt;&gt;"",IFERROR(INDEX('Tournament Setup'!$B$59:$B$78,MATCH(H67,SquadConcurrents,0)),""),"")</f>
        <v/>
      </c>
      <c r="M67" s="1" t="str">
        <f>IFERROR(INDEX('Squad Listing'!$A:$A,MATCH(B67&amp;"-"&amp;H67&amp;"-"&amp;G67,'Squad Listing'!$B:$B,0)),"")</f>
        <v/>
      </c>
      <c r="N67" s="1" t="str">
        <f t="shared" si="2"/>
        <v/>
      </c>
      <c r="O67" s="113"/>
      <c r="P67" s="113"/>
      <c r="Q67" s="113"/>
      <c r="R67" s="113"/>
      <c r="S67" s="114"/>
      <c r="T67" s="114"/>
      <c r="U67" s="114"/>
      <c r="V67" s="114"/>
    </row>
    <row r="68" spans="5:22" x14ac:dyDescent="0.3">
      <c r="E68" t="str">
        <f t="shared" si="3"/>
        <v/>
      </c>
      <c r="G68" s="112"/>
      <c r="H68" s="112"/>
      <c r="I68" s="112"/>
      <c r="J68" s="233"/>
      <c r="L68" t="str">
        <f>IF(H68&lt;&gt;"",IFERROR(INDEX('Tournament Setup'!$B$59:$B$78,MATCH(H68,SquadConcurrents,0)),""),"")</f>
        <v/>
      </c>
      <c r="M68" s="1" t="str">
        <f>IFERROR(INDEX('Squad Listing'!$A:$A,MATCH(B68&amp;"-"&amp;H68&amp;"-"&amp;G68,'Squad Listing'!$B:$B,0)),"")</f>
        <v/>
      </c>
      <c r="N68" s="1" t="str">
        <f t="shared" ref="N68:N131" si="4">IF(H68&lt;&gt;"",I68,"")</f>
        <v/>
      </c>
      <c r="O68" s="113"/>
      <c r="P68" s="113"/>
      <c r="Q68" s="113"/>
      <c r="R68" s="113"/>
      <c r="S68" s="114"/>
      <c r="T68" s="114"/>
      <c r="U68" s="114"/>
      <c r="V68" s="114"/>
    </row>
    <row r="69" spans="5:22" x14ac:dyDescent="0.3">
      <c r="E69" t="str">
        <f t="shared" si="3"/>
        <v/>
      </c>
      <c r="G69" s="112"/>
      <c r="H69" s="112"/>
      <c r="I69" s="112"/>
      <c r="J69" s="233"/>
      <c r="L69" t="str">
        <f>IF(H69&lt;&gt;"",IFERROR(INDEX('Tournament Setup'!$B$59:$B$78,MATCH(H69,SquadConcurrents,0)),""),"")</f>
        <v/>
      </c>
      <c r="M69" s="1" t="str">
        <f>IFERROR(INDEX('Squad Listing'!$A:$A,MATCH(B69&amp;"-"&amp;H69&amp;"-"&amp;G69,'Squad Listing'!$B:$B,0)),"")</f>
        <v/>
      </c>
      <c r="N69" s="1" t="str">
        <f t="shared" si="4"/>
        <v/>
      </c>
      <c r="O69" s="113"/>
      <c r="P69" s="113"/>
      <c r="Q69" s="113"/>
      <c r="R69" s="113"/>
      <c r="S69" s="114"/>
      <c r="T69" s="114"/>
      <c r="U69" s="114"/>
      <c r="V69" s="114"/>
    </row>
    <row r="70" spans="5:22" x14ac:dyDescent="0.3">
      <c r="E70" t="str">
        <f t="shared" si="3"/>
        <v/>
      </c>
      <c r="G70" s="112"/>
      <c r="H70" s="112"/>
      <c r="I70" s="112"/>
      <c r="J70" s="233"/>
      <c r="L70" t="str">
        <f>IF(H70&lt;&gt;"",IFERROR(INDEX('Tournament Setup'!$B$59:$B$78,MATCH(H70,SquadConcurrents,0)),""),"")</f>
        <v/>
      </c>
      <c r="M70" s="1" t="str">
        <f>IFERROR(INDEX('Squad Listing'!$A:$A,MATCH(B70&amp;"-"&amp;H70&amp;"-"&amp;G70,'Squad Listing'!$B:$B,0)),"")</f>
        <v/>
      </c>
      <c r="N70" s="1" t="str">
        <f t="shared" si="4"/>
        <v/>
      </c>
      <c r="O70" s="113"/>
      <c r="P70" s="113"/>
      <c r="Q70" s="113"/>
      <c r="R70" s="113"/>
      <c r="S70" s="114"/>
      <c r="T70" s="114"/>
      <c r="U70" s="114"/>
      <c r="V70" s="114"/>
    </row>
    <row r="71" spans="5:22" x14ac:dyDescent="0.3">
      <c r="E71" t="str">
        <f t="shared" si="3"/>
        <v/>
      </c>
      <c r="G71" s="112"/>
      <c r="H71" s="112"/>
      <c r="I71" s="112"/>
      <c r="J71" s="233"/>
      <c r="L71" t="str">
        <f>IF(H71&lt;&gt;"",IFERROR(INDEX('Tournament Setup'!$B$59:$B$78,MATCH(H71,SquadConcurrents,0)),""),"")</f>
        <v/>
      </c>
      <c r="M71" s="1" t="str">
        <f>IFERROR(INDEX('Squad Listing'!$A:$A,MATCH(B71&amp;"-"&amp;H71&amp;"-"&amp;G71,'Squad Listing'!$B:$B,0)),"")</f>
        <v/>
      </c>
      <c r="N71" s="1" t="str">
        <f t="shared" si="4"/>
        <v/>
      </c>
      <c r="O71" s="113"/>
      <c r="P71" s="113"/>
      <c r="Q71" s="113"/>
      <c r="R71" s="113"/>
      <c r="S71" s="114"/>
      <c r="T71" s="114"/>
      <c r="U71" s="114"/>
      <c r="V71" s="114"/>
    </row>
    <row r="72" spans="5:22" x14ac:dyDescent="0.3">
      <c r="E72" t="str">
        <f t="shared" si="3"/>
        <v/>
      </c>
      <c r="G72" s="112"/>
      <c r="H72" s="112"/>
      <c r="I72" s="112"/>
      <c r="J72" s="233"/>
      <c r="L72" t="str">
        <f>IF(H72&lt;&gt;"",IFERROR(INDEX('Tournament Setup'!$B$59:$B$78,MATCH(H72,SquadConcurrents,0)),""),"")</f>
        <v/>
      </c>
      <c r="M72" s="1" t="str">
        <f>IFERROR(INDEX('Squad Listing'!$A:$A,MATCH(B72&amp;"-"&amp;H72&amp;"-"&amp;G72,'Squad Listing'!$B:$B,0)),"")</f>
        <v/>
      </c>
      <c r="N72" s="1" t="str">
        <f t="shared" si="4"/>
        <v/>
      </c>
      <c r="O72" s="113"/>
      <c r="P72" s="113"/>
      <c r="Q72" s="113"/>
      <c r="R72" s="113"/>
      <c r="S72" s="114"/>
      <c r="T72" s="114"/>
      <c r="U72" s="114"/>
      <c r="V72" s="114"/>
    </row>
    <row r="73" spans="5:22" x14ac:dyDescent="0.3">
      <c r="E73" t="str">
        <f t="shared" si="3"/>
        <v/>
      </c>
      <c r="G73" s="112"/>
      <c r="H73" s="112"/>
      <c r="I73" s="112"/>
      <c r="J73" s="233"/>
      <c r="L73" t="str">
        <f>IF(H73&lt;&gt;"",IFERROR(INDEX('Tournament Setup'!$B$59:$B$78,MATCH(H73,SquadConcurrents,0)),""),"")</f>
        <v/>
      </c>
      <c r="M73" s="1" t="str">
        <f>IFERROR(INDEX('Squad Listing'!$A:$A,MATCH(B73&amp;"-"&amp;H73&amp;"-"&amp;G73,'Squad Listing'!$B:$B,0)),"")</f>
        <v/>
      </c>
      <c r="N73" s="1" t="str">
        <f t="shared" si="4"/>
        <v/>
      </c>
      <c r="O73" s="113"/>
      <c r="P73" s="113"/>
      <c r="Q73" s="113"/>
      <c r="R73" s="113"/>
      <c r="S73" s="114"/>
      <c r="T73" s="114"/>
      <c r="U73" s="114"/>
      <c r="V73" s="114"/>
    </row>
    <row r="74" spans="5:22" x14ac:dyDescent="0.3">
      <c r="E74" t="str">
        <f t="shared" si="3"/>
        <v/>
      </c>
      <c r="G74" s="112"/>
      <c r="H74" s="112"/>
      <c r="I74" s="112"/>
      <c r="J74" s="233"/>
      <c r="L74" t="str">
        <f>IF(H74&lt;&gt;"",IFERROR(INDEX('Tournament Setup'!$B$59:$B$78,MATCH(H74,SquadConcurrents,0)),""),"")</f>
        <v/>
      </c>
      <c r="M74" s="1" t="str">
        <f>IFERROR(INDEX('Squad Listing'!$A:$A,MATCH(B74&amp;"-"&amp;H74&amp;"-"&amp;G74,'Squad Listing'!$B:$B,0)),"")</f>
        <v/>
      </c>
      <c r="N74" s="1" t="str">
        <f t="shared" si="4"/>
        <v/>
      </c>
      <c r="O74" s="113"/>
      <c r="P74" s="113"/>
      <c r="Q74" s="113"/>
      <c r="R74" s="113"/>
      <c r="S74" s="114"/>
      <c r="T74" s="114"/>
      <c r="U74" s="114"/>
      <c r="V74" s="114"/>
    </row>
    <row r="75" spans="5:22" x14ac:dyDescent="0.3">
      <c r="E75" t="str">
        <f t="shared" si="3"/>
        <v/>
      </c>
      <c r="G75" s="112"/>
      <c r="H75" s="112"/>
      <c r="I75" s="112"/>
      <c r="J75" s="233"/>
      <c r="L75" t="str">
        <f>IF(H75&lt;&gt;"",IFERROR(INDEX('Tournament Setup'!$B$59:$B$78,MATCH(H75,SquadConcurrents,0)),""),"")</f>
        <v/>
      </c>
      <c r="M75" s="1" t="str">
        <f>IFERROR(INDEX('Squad Listing'!$A:$A,MATCH(B75&amp;"-"&amp;H75&amp;"-"&amp;G75,'Squad Listing'!$B:$B,0)),"")</f>
        <v/>
      </c>
      <c r="N75" s="1" t="str">
        <f t="shared" si="4"/>
        <v/>
      </c>
      <c r="O75" s="113"/>
      <c r="P75" s="113"/>
      <c r="Q75" s="113"/>
      <c r="R75" s="113"/>
      <c r="S75" s="114"/>
      <c r="T75" s="114"/>
      <c r="U75" s="114"/>
      <c r="V75" s="114"/>
    </row>
    <row r="76" spans="5:22" x14ac:dyDescent="0.3">
      <c r="E76" t="str">
        <f t="shared" si="3"/>
        <v/>
      </c>
      <c r="G76" s="112"/>
      <c r="H76" s="112"/>
      <c r="I76" s="112"/>
      <c r="J76" s="233"/>
      <c r="L76" t="str">
        <f>IF(H76&lt;&gt;"",IFERROR(INDEX('Tournament Setup'!$B$59:$B$78,MATCH(H76,SquadConcurrents,0)),""),"")</f>
        <v/>
      </c>
      <c r="M76" s="1" t="str">
        <f>IFERROR(INDEX('Squad Listing'!$A:$A,MATCH(B76&amp;"-"&amp;H76&amp;"-"&amp;G76,'Squad Listing'!$B:$B,0)),"")</f>
        <v/>
      </c>
      <c r="N76" s="1" t="str">
        <f t="shared" si="4"/>
        <v/>
      </c>
      <c r="O76" s="113"/>
      <c r="P76" s="113"/>
      <c r="Q76" s="113"/>
      <c r="R76" s="113"/>
      <c r="S76" s="114"/>
      <c r="T76" s="114"/>
      <c r="U76" s="114"/>
      <c r="V76" s="114"/>
    </row>
    <row r="77" spans="5:22" x14ac:dyDescent="0.3">
      <c r="E77" t="str">
        <f t="shared" si="3"/>
        <v/>
      </c>
      <c r="G77" s="112"/>
      <c r="H77" s="112"/>
      <c r="I77" s="112"/>
      <c r="J77" s="233"/>
      <c r="L77" t="str">
        <f>IF(H77&lt;&gt;"",IFERROR(INDEX('Tournament Setup'!$B$59:$B$78,MATCH(H77,SquadConcurrents,0)),""),"")</f>
        <v/>
      </c>
      <c r="M77" s="1" t="str">
        <f>IFERROR(INDEX('Squad Listing'!$A:$A,MATCH(B77&amp;"-"&amp;H77&amp;"-"&amp;G77,'Squad Listing'!$B:$B,0)),"")</f>
        <v/>
      </c>
      <c r="N77" s="1" t="str">
        <f t="shared" si="4"/>
        <v/>
      </c>
      <c r="O77" s="113"/>
      <c r="P77" s="113"/>
      <c r="Q77" s="113"/>
      <c r="R77" s="113"/>
      <c r="S77" s="114"/>
      <c r="T77" s="114"/>
      <c r="U77" s="114"/>
      <c r="V77" s="114"/>
    </row>
    <row r="78" spans="5:22" x14ac:dyDescent="0.3">
      <c r="E78" t="str">
        <f t="shared" si="3"/>
        <v/>
      </c>
      <c r="G78" s="112"/>
      <c r="H78" s="112"/>
      <c r="I78" s="112"/>
      <c r="J78" s="233"/>
      <c r="L78" t="str">
        <f>IF(H78&lt;&gt;"",IFERROR(INDEX('Tournament Setup'!$B$59:$B$78,MATCH(H78,SquadConcurrents,0)),""),"")</f>
        <v/>
      </c>
      <c r="M78" s="1" t="str">
        <f>IFERROR(INDEX('Squad Listing'!$A:$A,MATCH(B78&amp;"-"&amp;H78&amp;"-"&amp;G78,'Squad Listing'!$B:$B,0)),"")</f>
        <v/>
      </c>
      <c r="N78" s="1" t="str">
        <f t="shared" si="4"/>
        <v/>
      </c>
      <c r="O78" s="113"/>
      <c r="P78" s="113"/>
      <c r="Q78" s="113"/>
      <c r="R78" s="113"/>
      <c r="S78" s="114"/>
      <c r="T78" s="114"/>
      <c r="U78" s="114"/>
      <c r="V78" s="114"/>
    </row>
    <row r="79" spans="5:22" x14ac:dyDescent="0.3">
      <c r="E79" t="str">
        <f t="shared" si="3"/>
        <v/>
      </c>
      <c r="G79" s="112"/>
      <c r="H79" s="112"/>
      <c r="I79" s="112"/>
      <c r="J79" s="233"/>
      <c r="L79" t="str">
        <f>IF(H79&lt;&gt;"",IFERROR(INDEX('Tournament Setup'!$B$59:$B$78,MATCH(H79,SquadConcurrents,0)),""),"")</f>
        <v/>
      </c>
      <c r="M79" s="1" t="str">
        <f>IFERROR(INDEX('Squad Listing'!$A:$A,MATCH(B79&amp;"-"&amp;H79&amp;"-"&amp;G79,'Squad Listing'!$B:$B,0)),"")</f>
        <v/>
      </c>
      <c r="N79" s="1" t="str">
        <f t="shared" si="4"/>
        <v/>
      </c>
      <c r="O79" s="113"/>
      <c r="P79" s="113"/>
      <c r="Q79" s="113"/>
      <c r="R79" s="113"/>
      <c r="S79" s="114"/>
      <c r="T79" s="114"/>
      <c r="U79" s="114"/>
      <c r="V79" s="114"/>
    </row>
    <row r="80" spans="5:22" x14ac:dyDescent="0.3">
      <c r="E80" t="str">
        <f t="shared" si="3"/>
        <v/>
      </c>
      <c r="G80" s="112"/>
      <c r="H80" s="112"/>
      <c r="I80" s="112"/>
      <c r="J80" s="233"/>
      <c r="L80" t="str">
        <f>IF(H80&lt;&gt;"",IFERROR(INDEX('Tournament Setup'!$B$59:$B$78,MATCH(H80,SquadConcurrents,0)),""),"")</f>
        <v/>
      </c>
      <c r="M80" s="1" t="str">
        <f>IFERROR(INDEX('Squad Listing'!$A:$A,MATCH(B80&amp;"-"&amp;H80&amp;"-"&amp;G80,'Squad Listing'!$B:$B,0)),"")</f>
        <v/>
      </c>
      <c r="N80" s="1" t="str">
        <f t="shared" si="4"/>
        <v/>
      </c>
      <c r="O80" s="113"/>
      <c r="P80" s="113"/>
      <c r="Q80" s="113"/>
      <c r="R80" s="113"/>
      <c r="S80" s="114"/>
      <c r="T80" s="114"/>
      <c r="U80" s="114"/>
      <c r="V80" s="114"/>
    </row>
    <row r="81" spans="5:22" x14ac:dyDescent="0.3">
      <c r="E81" t="str">
        <f t="shared" si="3"/>
        <v/>
      </c>
      <c r="G81" s="112"/>
      <c r="H81" s="112"/>
      <c r="I81" s="112"/>
      <c r="J81" s="233"/>
      <c r="L81" t="str">
        <f>IF(H81&lt;&gt;"",IFERROR(INDEX('Tournament Setup'!$B$59:$B$78,MATCH(H81,SquadConcurrents,0)),""),"")</f>
        <v/>
      </c>
      <c r="M81" s="1" t="str">
        <f>IFERROR(INDEX('Squad Listing'!$A:$A,MATCH(B81&amp;"-"&amp;H81&amp;"-"&amp;G81,'Squad Listing'!$B:$B,0)),"")</f>
        <v/>
      </c>
      <c r="N81" s="1" t="str">
        <f t="shared" si="4"/>
        <v/>
      </c>
      <c r="O81" s="113"/>
      <c r="P81" s="113"/>
      <c r="Q81" s="113"/>
      <c r="R81" s="113"/>
      <c r="S81" s="114"/>
      <c r="T81" s="114"/>
      <c r="U81" s="114"/>
      <c r="V81" s="114"/>
    </row>
    <row r="82" spans="5:22" x14ac:dyDescent="0.3">
      <c r="E82" t="str">
        <f t="shared" si="3"/>
        <v/>
      </c>
      <c r="G82" s="112"/>
      <c r="H82" s="112"/>
      <c r="I82" s="112"/>
      <c r="J82" s="233"/>
      <c r="L82" t="str">
        <f>IF(H82&lt;&gt;"",IFERROR(INDEX('Tournament Setup'!$B$59:$B$78,MATCH(H82,SquadConcurrents,0)),""),"")</f>
        <v/>
      </c>
      <c r="M82" s="1" t="str">
        <f>IFERROR(INDEX('Squad Listing'!$A:$A,MATCH(B82&amp;"-"&amp;H82&amp;"-"&amp;G82,'Squad Listing'!$B:$B,0)),"")</f>
        <v/>
      </c>
      <c r="N82" s="1" t="str">
        <f t="shared" si="4"/>
        <v/>
      </c>
      <c r="O82" s="113"/>
      <c r="P82" s="113"/>
      <c r="Q82" s="113"/>
      <c r="R82" s="113"/>
      <c r="S82" s="114"/>
      <c r="T82" s="114"/>
      <c r="U82" s="114"/>
      <c r="V82" s="114"/>
    </row>
    <row r="83" spans="5:22" x14ac:dyDescent="0.3">
      <c r="E83" t="str">
        <f t="shared" si="3"/>
        <v/>
      </c>
      <c r="G83" s="112"/>
      <c r="H83" s="112"/>
      <c r="I83" s="112"/>
      <c r="J83" s="233"/>
      <c r="L83" t="str">
        <f>IF(H83&lt;&gt;"",IFERROR(INDEX('Tournament Setup'!$B$59:$B$78,MATCH(H83,SquadConcurrents,0)),""),"")</f>
        <v/>
      </c>
      <c r="M83" s="1" t="str">
        <f>IFERROR(INDEX('Squad Listing'!$A:$A,MATCH(B83&amp;"-"&amp;H83&amp;"-"&amp;G83,'Squad Listing'!$B:$B,0)),"")</f>
        <v/>
      </c>
      <c r="N83" s="1" t="str">
        <f t="shared" si="4"/>
        <v/>
      </c>
      <c r="O83" s="113"/>
      <c r="P83" s="113"/>
      <c r="Q83" s="113"/>
      <c r="R83" s="113"/>
      <c r="S83" s="114"/>
      <c r="T83" s="114"/>
      <c r="U83" s="114"/>
      <c r="V83" s="114"/>
    </row>
    <row r="84" spans="5:22" x14ac:dyDescent="0.3">
      <c r="E84" t="str">
        <f t="shared" si="3"/>
        <v/>
      </c>
      <c r="G84" s="112"/>
      <c r="H84" s="112"/>
      <c r="I84" s="112"/>
      <c r="J84" s="233"/>
      <c r="L84" t="str">
        <f>IF(H84&lt;&gt;"",IFERROR(INDEX('Tournament Setup'!$B$59:$B$78,MATCH(H84,SquadConcurrents,0)),""),"")</f>
        <v/>
      </c>
      <c r="M84" s="1" t="str">
        <f>IFERROR(INDEX('Squad Listing'!$A:$A,MATCH(B84&amp;"-"&amp;H84&amp;"-"&amp;G84,'Squad Listing'!$B:$B,0)),"")</f>
        <v/>
      </c>
      <c r="N84" s="1" t="str">
        <f t="shared" si="4"/>
        <v/>
      </c>
      <c r="O84" s="113"/>
      <c r="P84" s="113"/>
      <c r="Q84" s="113"/>
      <c r="R84" s="113"/>
      <c r="S84" s="114"/>
      <c r="T84" s="114"/>
      <c r="U84" s="114"/>
      <c r="V84" s="114"/>
    </row>
    <row r="85" spans="5:22" x14ac:dyDescent="0.3">
      <c r="E85" t="str">
        <f t="shared" si="3"/>
        <v/>
      </c>
      <c r="G85" s="112"/>
      <c r="H85" s="112"/>
      <c r="I85" s="112"/>
      <c r="J85" s="233"/>
      <c r="L85" t="str">
        <f>IF(H85&lt;&gt;"",IFERROR(INDEX('Tournament Setup'!$B$59:$B$78,MATCH(H85,SquadConcurrents,0)),""),"")</f>
        <v/>
      </c>
      <c r="M85" s="1" t="str">
        <f>IFERROR(INDEX('Squad Listing'!$A:$A,MATCH(B85&amp;"-"&amp;H85&amp;"-"&amp;G85,'Squad Listing'!$B:$B,0)),"")</f>
        <v/>
      </c>
      <c r="N85" s="1" t="str">
        <f t="shared" si="4"/>
        <v/>
      </c>
      <c r="O85" s="113"/>
      <c r="P85" s="113"/>
      <c r="Q85" s="113"/>
      <c r="R85" s="113"/>
      <c r="S85" s="114"/>
      <c r="T85" s="114"/>
      <c r="U85" s="114"/>
      <c r="V85" s="114"/>
    </row>
    <row r="86" spans="5:22" x14ac:dyDescent="0.3">
      <c r="E86" t="str">
        <f t="shared" si="3"/>
        <v/>
      </c>
      <c r="G86" s="112"/>
      <c r="H86" s="112"/>
      <c r="I86" s="112"/>
      <c r="J86" s="233"/>
      <c r="L86" t="str">
        <f>IF(H86&lt;&gt;"",IFERROR(INDEX('Tournament Setup'!$B$59:$B$78,MATCH(H86,SquadConcurrents,0)),""),"")</f>
        <v/>
      </c>
      <c r="M86" s="1" t="str">
        <f>IFERROR(INDEX('Squad Listing'!$A:$A,MATCH(B86&amp;"-"&amp;H86&amp;"-"&amp;G86,'Squad Listing'!$B:$B,0)),"")</f>
        <v/>
      </c>
      <c r="N86" s="1" t="str">
        <f t="shared" si="4"/>
        <v/>
      </c>
      <c r="O86" s="113"/>
      <c r="P86" s="113"/>
      <c r="Q86" s="113"/>
      <c r="R86" s="113"/>
      <c r="S86" s="114"/>
      <c r="T86" s="114"/>
      <c r="U86" s="114"/>
      <c r="V86" s="114"/>
    </row>
    <row r="87" spans="5:22" x14ac:dyDescent="0.3">
      <c r="E87" t="str">
        <f t="shared" si="3"/>
        <v/>
      </c>
      <c r="G87" s="112"/>
      <c r="H87" s="112"/>
      <c r="I87" s="112"/>
      <c r="J87" s="233"/>
      <c r="L87" t="str">
        <f>IF(H87&lt;&gt;"",IFERROR(INDEX('Tournament Setup'!$B$59:$B$78,MATCH(H87,SquadConcurrents,0)),""),"")</f>
        <v/>
      </c>
      <c r="M87" s="1" t="str">
        <f>IFERROR(INDEX('Squad Listing'!$A:$A,MATCH(B87&amp;"-"&amp;H87&amp;"-"&amp;G87,'Squad Listing'!$B:$B,0)),"")</f>
        <v/>
      </c>
      <c r="N87" s="1" t="str">
        <f t="shared" si="4"/>
        <v/>
      </c>
      <c r="O87" s="113"/>
      <c r="P87" s="113"/>
      <c r="Q87" s="113"/>
      <c r="R87" s="113"/>
      <c r="S87" s="114"/>
      <c r="T87" s="114"/>
      <c r="U87" s="114"/>
      <c r="V87" s="114"/>
    </row>
    <row r="88" spans="5:22" x14ac:dyDescent="0.3">
      <c r="E88" t="str">
        <f t="shared" si="3"/>
        <v/>
      </c>
      <c r="G88" s="112"/>
      <c r="H88" s="112"/>
      <c r="I88" s="112"/>
      <c r="J88" s="233"/>
      <c r="L88" t="str">
        <f>IF(H88&lt;&gt;"",IFERROR(INDEX('Tournament Setup'!$B$59:$B$78,MATCH(H88,SquadConcurrents,0)),""),"")</f>
        <v/>
      </c>
      <c r="M88" s="1" t="str">
        <f>IFERROR(INDEX('Squad Listing'!$A:$A,MATCH(B88&amp;"-"&amp;H88&amp;"-"&amp;G88,'Squad Listing'!$B:$B,0)),"")</f>
        <v/>
      </c>
      <c r="N88" s="1" t="str">
        <f t="shared" si="4"/>
        <v/>
      </c>
      <c r="O88" s="113"/>
      <c r="P88" s="113"/>
      <c r="Q88" s="113"/>
      <c r="R88" s="113"/>
      <c r="S88" s="114"/>
      <c r="T88" s="114"/>
      <c r="U88" s="114"/>
      <c r="V88" s="114"/>
    </row>
    <row r="89" spans="5:22" x14ac:dyDescent="0.3">
      <c r="E89" t="str">
        <f t="shared" si="3"/>
        <v/>
      </c>
      <c r="G89" s="112"/>
      <c r="H89" s="112"/>
      <c r="I89" s="112"/>
      <c r="J89" s="233"/>
      <c r="L89" t="str">
        <f>IF(H89&lt;&gt;"",IFERROR(INDEX('Tournament Setup'!$B$59:$B$78,MATCH(H89,SquadConcurrents,0)),""),"")</f>
        <v/>
      </c>
      <c r="M89" s="1" t="str">
        <f>IFERROR(INDEX('Squad Listing'!$A:$A,MATCH(B89&amp;"-"&amp;H89&amp;"-"&amp;G89,'Squad Listing'!$B:$B,0)),"")</f>
        <v/>
      </c>
      <c r="N89" s="1" t="str">
        <f t="shared" si="4"/>
        <v/>
      </c>
      <c r="O89" s="113"/>
      <c r="P89" s="113"/>
      <c r="Q89" s="113"/>
      <c r="R89" s="113"/>
      <c r="S89" s="114"/>
      <c r="T89" s="114"/>
      <c r="U89" s="114"/>
      <c r="V89" s="114"/>
    </row>
    <row r="90" spans="5:22" x14ac:dyDescent="0.3">
      <c r="E90" t="str">
        <f t="shared" si="3"/>
        <v/>
      </c>
      <c r="G90" s="112"/>
      <c r="H90" s="112"/>
      <c r="I90" s="112"/>
      <c r="J90" s="233"/>
      <c r="L90" t="str">
        <f>IF(H90&lt;&gt;"",IFERROR(INDEX('Tournament Setup'!$B$59:$B$78,MATCH(H90,SquadConcurrents,0)),""),"")</f>
        <v/>
      </c>
      <c r="M90" s="1" t="str">
        <f>IFERROR(INDEX('Squad Listing'!$A:$A,MATCH(B90&amp;"-"&amp;H90&amp;"-"&amp;G90,'Squad Listing'!$B:$B,0)),"")</f>
        <v/>
      </c>
      <c r="N90" s="1" t="str">
        <f t="shared" si="4"/>
        <v/>
      </c>
      <c r="O90" s="113"/>
      <c r="P90" s="113"/>
      <c r="Q90" s="113"/>
      <c r="R90" s="113"/>
      <c r="S90" s="114"/>
      <c r="T90" s="114"/>
      <c r="U90" s="114"/>
      <c r="V90" s="114"/>
    </row>
    <row r="91" spans="5:22" x14ac:dyDescent="0.3">
      <c r="E91" t="str">
        <f t="shared" si="3"/>
        <v/>
      </c>
      <c r="G91" s="112"/>
      <c r="H91" s="112"/>
      <c r="I91" s="112"/>
      <c r="J91" s="233"/>
      <c r="L91" t="str">
        <f>IF(H91&lt;&gt;"",IFERROR(INDEX('Tournament Setup'!$B$59:$B$78,MATCH(H91,SquadConcurrents,0)),""),"")</f>
        <v/>
      </c>
      <c r="M91" s="1" t="str">
        <f>IFERROR(INDEX('Squad Listing'!$A:$A,MATCH(B91&amp;"-"&amp;H91&amp;"-"&amp;G91,'Squad Listing'!$B:$B,0)),"")</f>
        <v/>
      </c>
      <c r="N91" s="1" t="str">
        <f t="shared" si="4"/>
        <v/>
      </c>
      <c r="O91" s="113"/>
      <c r="P91" s="113"/>
      <c r="Q91" s="113"/>
      <c r="R91" s="113"/>
      <c r="S91" s="114"/>
      <c r="T91" s="114"/>
      <c r="U91" s="114"/>
      <c r="V91" s="114"/>
    </row>
    <row r="92" spans="5:22" x14ac:dyDescent="0.3">
      <c r="E92" t="str">
        <f t="shared" si="3"/>
        <v/>
      </c>
      <c r="G92" s="112"/>
      <c r="H92" s="112"/>
      <c r="I92" s="112"/>
      <c r="J92" s="233"/>
      <c r="L92" t="str">
        <f>IF(H92&lt;&gt;"",IFERROR(INDEX('Tournament Setup'!$B$59:$B$78,MATCH(H92,SquadConcurrents,0)),""),"")</f>
        <v/>
      </c>
      <c r="M92" s="1" t="str">
        <f>IFERROR(INDEX('Squad Listing'!$A:$A,MATCH(B92&amp;"-"&amp;H92&amp;"-"&amp;G92,'Squad Listing'!$B:$B,0)),"")</f>
        <v/>
      </c>
      <c r="N92" s="1" t="str">
        <f t="shared" si="4"/>
        <v/>
      </c>
      <c r="O92" s="113"/>
      <c r="P92" s="113"/>
      <c r="Q92" s="113"/>
      <c r="R92" s="113"/>
      <c r="S92" s="114"/>
      <c r="T92" s="114"/>
      <c r="U92" s="114"/>
      <c r="V92" s="114"/>
    </row>
    <row r="93" spans="5:22" x14ac:dyDescent="0.3">
      <c r="E93" t="str">
        <f t="shared" si="3"/>
        <v/>
      </c>
      <c r="G93" s="112"/>
      <c r="H93" s="112"/>
      <c r="I93" s="112"/>
      <c r="J93" s="233"/>
      <c r="L93" t="str">
        <f>IF(H93&lt;&gt;"",IFERROR(INDEX('Tournament Setup'!$B$59:$B$78,MATCH(H93,SquadConcurrents,0)),""),"")</f>
        <v/>
      </c>
      <c r="M93" s="1" t="str">
        <f>IFERROR(INDEX('Squad Listing'!$A:$A,MATCH(B93&amp;"-"&amp;H93&amp;"-"&amp;G93,'Squad Listing'!$B:$B,0)),"")</f>
        <v/>
      </c>
      <c r="N93" s="1" t="str">
        <f t="shared" si="4"/>
        <v/>
      </c>
      <c r="O93" s="113"/>
      <c r="P93" s="113"/>
      <c r="Q93" s="113"/>
      <c r="R93" s="113"/>
      <c r="S93" s="114"/>
      <c r="T93" s="114"/>
      <c r="U93" s="114"/>
      <c r="V93" s="114"/>
    </row>
    <row r="94" spans="5:22" x14ac:dyDescent="0.3">
      <c r="E94" t="str">
        <f t="shared" si="3"/>
        <v/>
      </c>
      <c r="G94" s="112"/>
      <c r="H94" s="112"/>
      <c r="I94" s="112"/>
      <c r="J94" s="233"/>
      <c r="L94" t="str">
        <f>IF(H94&lt;&gt;"",IFERROR(INDEX('Tournament Setup'!$B$59:$B$78,MATCH(H94,SquadConcurrents,0)),""),"")</f>
        <v/>
      </c>
      <c r="M94" s="1" t="str">
        <f>IFERROR(INDEX('Squad Listing'!$A:$A,MATCH(B94&amp;"-"&amp;H94&amp;"-"&amp;G94,'Squad Listing'!$B:$B,0)),"")</f>
        <v/>
      </c>
      <c r="N94" s="1" t="str">
        <f t="shared" si="4"/>
        <v/>
      </c>
      <c r="O94" s="113"/>
      <c r="P94" s="113"/>
      <c r="Q94" s="113"/>
      <c r="R94" s="113"/>
      <c r="S94" s="114"/>
      <c r="T94" s="114"/>
      <c r="U94" s="114"/>
      <c r="V94" s="114"/>
    </row>
    <row r="95" spans="5:22" x14ac:dyDescent="0.3">
      <c r="E95" t="str">
        <f t="shared" si="3"/>
        <v/>
      </c>
      <c r="G95" s="112"/>
      <c r="H95" s="112"/>
      <c r="I95" s="112"/>
      <c r="J95" s="233"/>
      <c r="L95" t="str">
        <f>IF(H95&lt;&gt;"",IFERROR(INDEX('Tournament Setup'!$B$59:$B$78,MATCH(H95,SquadConcurrents,0)),""),"")</f>
        <v/>
      </c>
      <c r="M95" s="1" t="str">
        <f>IFERROR(INDEX('Squad Listing'!$A:$A,MATCH(B95&amp;"-"&amp;H95&amp;"-"&amp;G95,'Squad Listing'!$B:$B,0)),"")</f>
        <v/>
      </c>
      <c r="N95" s="1" t="str">
        <f t="shared" si="4"/>
        <v/>
      </c>
      <c r="O95" s="113"/>
      <c r="P95" s="113"/>
      <c r="Q95" s="113"/>
      <c r="R95" s="113"/>
      <c r="S95" s="114"/>
      <c r="T95" s="114"/>
      <c r="U95" s="114"/>
      <c r="V95" s="114"/>
    </row>
    <row r="96" spans="5:22" x14ac:dyDescent="0.3">
      <c r="E96" t="str">
        <f t="shared" si="3"/>
        <v/>
      </c>
      <c r="G96" s="112"/>
      <c r="H96" s="112"/>
      <c r="I96" s="112"/>
      <c r="J96" s="233"/>
      <c r="L96" t="str">
        <f>IF(H96&lt;&gt;"",IFERROR(INDEX('Tournament Setup'!$B$59:$B$78,MATCH(H96,SquadConcurrents,0)),""),"")</f>
        <v/>
      </c>
      <c r="M96" s="1" t="str">
        <f>IFERROR(INDEX('Squad Listing'!$A:$A,MATCH(B96&amp;"-"&amp;H96&amp;"-"&amp;G96,'Squad Listing'!$B:$B,0)),"")</f>
        <v/>
      </c>
      <c r="N96" s="1" t="str">
        <f t="shared" si="4"/>
        <v/>
      </c>
      <c r="O96" s="113"/>
      <c r="P96" s="113"/>
      <c r="Q96" s="113"/>
      <c r="R96" s="113"/>
      <c r="S96" s="114"/>
      <c r="T96" s="114"/>
      <c r="U96" s="114"/>
      <c r="V96" s="114"/>
    </row>
    <row r="97" spans="5:22" x14ac:dyDescent="0.3">
      <c r="E97" t="str">
        <f t="shared" si="3"/>
        <v/>
      </c>
      <c r="G97" s="112"/>
      <c r="H97" s="112"/>
      <c r="I97" s="112"/>
      <c r="J97" s="233"/>
      <c r="L97" t="str">
        <f>IF(H97&lt;&gt;"",IFERROR(INDEX('Tournament Setup'!$B$59:$B$78,MATCH(H97,SquadConcurrents,0)),""),"")</f>
        <v/>
      </c>
      <c r="M97" s="1" t="str">
        <f>IFERROR(INDEX('Squad Listing'!$A:$A,MATCH(B97&amp;"-"&amp;H97&amp;"-"&amp;G97,'Squad Listing'!$B:$B,0)),"")</f>
        <v/>
      </c>
      <c r="N97" s="1" t="str">
        <f t="shared" si="4"/>
        <v/>
      </c>
      <c r="O97" s="113"/>
      <c r="P97" s="113"/>
      <c r="Q97" s="113"/>
      <c r="R97" s="113"/>
      <c r="S97" s="114"/>
      <c r="T97" s="114"/>
      <c r="U97" s="114"/>
      <c r="V97" s="114"/>
    </row>
    <row r="98" spans="5:22" x14ac:dyDescent="0.3">
      <c r="E98" t="str">
        <f t="shared" si="3"/>
        <v/>
      </c>
      <c r="G98" s="112"/>
      <c r="H98" s="112"/>
      <c r="I98" s="112"/>
      <c r="J98" s="233"/>
      <c r="L98" t="str">
        <f>IF(H98&lt;&gt;"",IFERROR(INDEX('Tournament Setup'!$B$59:$B$78,MATCH(H98,SquadConcurrents,0)),""),"")</f>
        <v/>
      </c>
      <c r="M98" s="1" t="str">
        <f>IFERROR(INDEX('Squad Listing'!$A:$A,MATCH(B98&amp;"-"&amp;H98&amp;"-"&amp;G98,'Squad Listing'!$B:$B,0)),"")</f>
        <v/>
      </c>
      <c r="N98" s="1" t="str">
        <f t="shared" si="4"/>
        <v/>
      </c>
      <c r="O98" s="113"/>
      <c r="P98" s="113"/>
      <c r="Q98" s="113"/>
      <c r="R98" s="113"/>
      <c r="S98" s="114"/>
      <c r="T98" s="114"/>
      <c r="U98" s="114"/>
      <c r="V98" s="114"/>
    </row>
    <row r="99" spans="5:22" x14ac:dyDescent="0.3">
      <c r="E99" t="str">
        <f t="shared" si="3"/>
        <v/>
      </c>
      <c r="G99" s="112"/>
      <c r="H99" s="112"/>
      <c r="I99" s="112"/>
      <c r="J99" s="233"/>
      <c r="L99" t="str">
        <f>IF(H99&lt;&gt;"",IFERROR(INDEX('Tournament Setup'!$B$59:$B$78,MATCH(H99,SquadConcurrents,0)),""),"")</f>
        <v/>
      </c>
      <c r="M99" s="1" t="str">
        <f>IFERROR(INDEX('Squad Listing'!$A:$A,MATCH(B99&amp;"-"&amp;H99&amp;"-"&amp;G99,'Squad Listing'!$B:$B,0)),"")</f>
        <v/>
      </c>
      <c r="N99" s="1" t="str">
        <f t="shared" si="4"/>
        <v/>
      </c>
      <c r="O99" s="113"/>
      <c r="P99" s="113"/>
      <c r="Q99" s="113"/>
      <c r="R99" s="113"/>
      <c r="S99" s="114"/>
      <c r="T99" s="114"/>
      <c r="U99" s="114"/>
      <c r="V99" s="114"/>
    </row>
    <row r="100" spans="5:22" x14ac:dyDescent="0.3">
      <c r="E100" t="str">
        <f t="shared" si="3"/>
        <v/>
      </c>
      <c r="G100" s="112"/>
      <c r="H100" s="112"/>
      <c r="I100" s="112"/>
      <c r="J100" s="233"/>
      <c r="L100" t="str">
        <f>IF(H100&lt;&gt;"",IFERROR(INDEX('Tournament Setup'!$B$59:$B$78,MATCH(H100,SquadConcurrents,0)),""),"")</f>
        <v/>
      </c>
      <c r="M100" s="1" t="str">
        <f>IFERROR(INDEX('Squad Listing'!$A:$A,MATCH(B100&amp;"-"&amp;H100&amp;"-"&amp;G100,'Squad Listing'!$B:$B,0)),"")</f>
        <v/>
      </c>
      <c r="N100" s="1" t="str">
        <f t="shared" si="4"/>
        <v/>
      </c>
      <c r="O100" s="113"/>
      <c r="P100" s="113"/>
      <c r="Q100" s="113"/>
      <c r="R100" s="113"/>
      <c r="S100" s="114"/>
      <c r="T100" s="114"/>
      <c r="U100" s="114"/>
      <c r="V100" s="114"/>
    </row>
    <row r="101" spans="5:22" x14ac:dyDescent="0.3">
      <c r="E101" t="str">
        <f t="shared" si="3"/>
        <v/>
      </c>
      <c r="G101" s="112"/>
      <c r="H101" s="112"/>
      <c r="I101" s="112"/>
      <c r="J101" s="233"/>
      <c r="L101" t="str">
        <f>IF(H101&lt;&gt;"",IFERROR(INDEX('Tournament Setup'!$B$59:$B$78,MATCH(H101,SquadConcurrents,0)),""),"")</f>
        <v/>
      </c>
      <c r="M101" s="1" t="str">
        <f>IFERROR(INDEX('Squad Listing'!$A:$A,MATCH(B101&amp;"-"&amp;H101&amp;"-"&amp;G101,'Squad Listing'!$B:$B,0)),"")</f>
        <v/>
      </c>
      <c r="N101" s="1" t="str">
        <f t="shared" si="4"/>
        <v/>
      </c>
      <c r="O101" s="113"/>
      <c r="P101" s="113"/>
      <c r="Q101" s="113"/>
      <c r="R101" s="113"/>
      <c r="S101" s="114"/>
      <c r="T101" s="114"/>
      <c r="U101" s="114"/>
      <c r="V101" s="114"/>
    </row>
    <row r="102" spans="5:22" x14ac:dyDescent="0.3">
      <c r="E102" t="str">
        <f t="shared" si="3"/>
        <v/>
      </c>
      <c r="G102" s="112"/>
      <c r="H102" s="112"/>
      <c r="I102" s="112"/>
      <c r="J102" s="233"/>
      <c r="L102" t="str">
        <f>IF(H102&lt;&gt;"",IFERROR(INDEX('Tournament Setup'!$B$59:$B$78,MATCH(H102,SquadConcurrents,0)),""),"")</f>
        <v/>
      </c>
      <c r="M102" s="1" t="str">
        <f>IFERROR(INDEX('Squad Listing'!$A:$A,MATCH(B102&amp;"-"&amp;H102&amp;"-"&amp;G102,'Squad Listing'!$B:$B,0)),"")</f>
        <v/>
      </c>
      <c r="N102" s="1" t="str">
        <f t="shared" si="4"/>
        <v/>
      </c>
      <c r="O102" s="113"/>
      <c r="P102" s="113"/>
      <c r="Q102" s="113"/>
      <c r="R102" s="113"/>
      <c r="S102" s="114"/>
      <c r="T102" s="114"/>
      <c r="U102" s="114"/>
      <c r="V102" s="114"/>
    </row>
    <row r="103" spans="5:22" x14ac:dyDescent="0.3">
      <c r="E103" t="str">
        <f t="shared" si="3"/>
        <v/>
      </c>
      <c r="G103" s="112"/>
      <c r="H103" s="112"/>
      <c r="I103" s="112"/>
      <c r="J103" s="233"/>
      <c r="L103" t="str">
        <f>IF(H103&lt;&gt;"",IFERROR(INDEX('Tournament Setup'!$B$59:$B$78,MATCH(H103,SquadConcurrents,0)),""),"")</f>
        <v/>
      </c>
      <c r="M103" s="1" t="str">
        <f>IFERROR(INDEX('Squad Listing'!$A:$A,MATCH(B103&amp;"-"&amp;H103&amp;"-"&amp;G103,'Squad Listing'!$B:$B,0)),"")</f>
        <v/>
      </c>
      <c r="N103" s="1" t="str">
        <f t="shared" si="4"/>
        <v/>
      </c>
      <c r="O103" s="113"/>
      <c r="P103" s="113"/>
      <c r="Q103" s="113"/>
      <c r="R103" s="113"/>
      <c r="S103" s="114"/>
      <c r="T103" s="114"/>
      <c r="U103" s="114"/>
      <c r="V103" s="114"/>
    </row>
    <row r="104" spans="5:22" x14ac:dyDescent="0.3">
      <c r="E104" t="str">
        <f t="shared" si="3"/>
        <v/>
      </c>
      <c r="G104" s="112"/>
      <c r="H104" s="112"/>
      <c r="I104" s="112"/>
      <c r="J104" s="233"/>
      <c r="L104" t="str">
        <f>IF(H104&lt;&gt;"",IFERROR(INDEX('Tournament Setup'!$B$59:$B$78,MATCH(H104,SquadConcurrents,0)),""),"")</f>
        <v/>
      </c>
      <c r="M104" s="1" t="str">
        <f>IFERROR(INDEX('Squad Listing'!$A:$A,MATCH(B104&amp;"-"&amp;H104&amp;"-"&amp;G104,'Squad Listing'!$B:$B,0)),"")</f>
        <v/>
      </c>
      <c r="N104" s="1" t="str">
        <f t="shared" si="4"/>
        <v/>
      </c>
      <c r="O104" s="113"/>
      <c r="P104" s="113"/>
      <c r="Q104" s="113"/>
      <c r="R104" s="113"/>
      <c r="S104" s="114"/>
      <c r="T104" s="114"/>
      <c r="U104" s="114"/>
      <c r="V104" s="114"/>
    </row>
    <row r="105" spans="5:22" x14ac:dyDescent="0.3">
      <c r="E105" t="str">
        <f t="shared" si="3"/>
        <v/>
      </c>
      <c r="G105" s="112"/>
      <c r="H105" s="112"/>
      <c r="I105" s="112"/>
      <c r="J105" s="233"/>
      <c r="L105" t="str">
        <f>IF(H105&lt;&gt;"",IFERROR(INDEX('Tournament Setup'!$B$59:$B$78,MATCH(H105,SquadConcurrents,0)),""),"")</f>
        <v/>
      </c>
      <c r="M105" s="1" t="str">
        <f>IFERROR(INDEX('Squad Listing'!$A:$A,MATCH(B105&amp;"-"&amp;H105&amp;"-"&amp;G105,'Squad Listing'!$B:$B,0)),"")</f>
        <v/>
      </c>
      <c r="N105" s="1" t="str">
        <f t="shared" si="4"/>
        <v/>
      </c>
      <c r="O105" s="113"/>
      <c r="P105" s="113"/>
      <c r="Q105" s="113"/>
      <c r="R105" s="113"/>
      <c r="S105" s="114"/>
      <c r="T105" s="114"/>
      <c r="U105" s="114"/>
      <c r="V105" s="114"/>
    </row>
    <row r="106" spans="5:22" x14ac:dyDescent="0.3">
      <c r="E106" t="str">
        <f t="shared" si="3"/>
        <v/>
      </c>
      <c r="G106" s="112"/>
      <c r="H106" s="112"/>
      <c r="I106" s="112"/>
      <c r="J106" s="233"/>
      <c r="L106" t="str">
        <f>IF(H106&lt;&gt;"",IFERROR(INDEX('Tournament Setup'!$B$59:$B$78,MATCH(H106,SquadConcurrents,0)),""),"")</f>
        <v/>
      </c>
      <c r="M106" s="1" t="str">
        <f>IFERROR(INDEX('Squad Listing'!$A:$A,MATCH(B106&amp;"-"&amp;H106&amp;"-"&amp;G106,'Squad Listing'!$B:$B,0)),"")</f>
        <v/>
      </c>
      <c r="N106" s="1" t="str">
        <f t="shared" si="4"/>
        <v/>
      </c>
      <c r="O106" s="113"/>
      <c r="P106" s="113"/>
      <c r="Q106" s="113"/>
      <c r="R106" s="113"/>
      <c r="S106" s="114"/>
      <c r="T106" s="114"/>
      <c r="U106" s="114"/>
      <c r="V106" s="114"/>
    </row>
    <row r="107" spans="5:22" x14ac:dyDescent="0.3">
      <c r="E107" t="str">
        <f t="shared" si="3"/>
        <v/>
      </c>
      <c r="G107" s="112"/>
      <c r="H107" s="112"/>
      <c r="I107" s="112"/>
      <c r="J107" s="233"/>
      <c r="L107" t="str">
        <f>IF(H107&lt;&gt;"",IFERROR(INDEX('Tournament Setup'!$B$59:$B$78,MATCH(H107,SquadConcurrents,0)),""),"")</f>
        <v/>
      </c>
      <c r="M107" s="1" t="str">
        <f>IFERROR(INDEX('Squad Listing'!$A:$A,MATCH(B107&amp;"-"&amp;H107&amp;"-"&amp;G107,'Squad Listing'!$B:$B,0)),"")</f>
        <v/>
      </c>
      <c r="N107" s="1" t="str">
        <f t="shared" si="4"/>
        <v/>
      </c>
      <c r="O107" s="113"/>
      <c r="P107" s="113"/>
      <c r="Q107" s="113"/>
      <c r="R107" s="113"/>
      <c r="S107" s="114"/>
      <c r="T107" s="114"/>
      <c r="U107" s="114"/>
      <c r="V107" s="114"/>
    </row>
    <row r="108" spans="5:22" x14ac:dyDescent="0.3">
      <c r="E108" t="str">
        <f t="shared" si="3"/>
        <v/>
      </c>
      <c r="G108" s="112"/>
      <c r="H108" s="112"/>
      <c r="I108" s="112"/>
      <c r="J108" s="233"/>
      <c r="L108" t="str">
        <f>IF(H108&lt;&gt;"",IFERROR(INDEX('Tournament Setup'!$B$59:$B$78,MATCH(H108,SquadConcurrents,0)),""),"")</f>
        <v/>
      </c>
      <c r="M108" s="1" t="str">
        <f>IFERROR(INDEX('Squad Listing'!$A:$A,MATCH(B108&amp;"-"&amp;H108&amp;"-"&amp;G108,'Squad Listing'!$B:$B,0)),"")</f>
        <v/>
      </c>
      <c r="N108" s="1" t="str">
        <f t="shared" si="4"/>
        <v/>
      </c>
      <c r="O108" s="113"/>
      <c r="P108" s="113"/>
      <c r="Q108" s="113"/>
      <c r="R108" s="113"/>
      <c r="S108" s="114"/>
      <c r="T108" s="114"/>
      <c r="U108" s="114"/>
      <c r="V108" s="114"/>
    </row>
    <row r="109" spans="5:22" x14ac:dyDescent="0.3">
      <c r="E109" t="str">
        <f t="shared" si="3"/>
        <v/>
      </c>
      <c r="G109" s="112"/>
      <c r="H109" s="112"/>
      <c r="I109" s="112"/>
      <c r="J109" s="233"/>
      <c r="L109" t="str">
        <f>IF(H109&lt;&gt;"",IFERROR(INDEX('Tournament Setup'!$B$59:$B$78,MATCH(H109,SquadConcurrents,0)),""),"")</f>
        <v/>
      </c>
      <c r="M109" s="1" t="str">
        <f>IFERROR(INDEX('Squad Listing'!$A:$A,MATCH(B109&amp;"-"&amp;H109&amp;"-"&amp;G109,'Squad Listing'!$B:$B,0)),"")</f>
        <v/>
      </c>
      <c r="N109" s="1" t="str">
        <f t="shared" si="4"/>
        <v/>
      </c>
      <c r="O109" s="113"/>
      <c r="P109" s="113"/>
      <c r="Q109" s="113"/>
      <c r="R109" s="113"/>
      <c r="S109" s="114"/>
      <c r="T109" s="114"/>
      <c r="U109" s="114"/>
      <c r="V109" s="114"/>
    </row>
    <row r="110" spans="5:22" x14ac:dyDescent="0.3">
      <c r="E110" t="str">
        <f t="shared" si="3"/>
        <v/>
      </c>
      <c r="G110" s="112"/>
      <c r="H110" s="112"/>
      <c r="I110" s="112"/>
      <c r="J110" s="233"/>
      <c r="L110" t="str">
        <f>IF(H110&lt;&gt;"",IFERROR(INDEX('Tournament Setup'!$B$59:$B$78,MATCH(H110,SquadConcurrents,0)),""),"")</f>
        <v/>
      </c>
      <c r="M110" s="1" t="str">
        <f>IFERROR(INDEX('Squad Listing'!$A:$A,MATCH(B110&amp;"-"&amp;H110&amp;"-"&amp;G110,'Squad Listing'!$B:$B,0)),"")</f>
        <v/>
      </c>
      <c r="N110" s="1" t="str">
        <f t="shared" si="4"/>
        <v/>
      </c>
      <c r="O110" s="113"/>
      <c r="P110" s="113"/>
      <c r="Q110" s="113"/>
      <c r="R110" s="113"/>
      <c r="S110" s="114"/>
      <c r="T110" s="114"/>
      <c r="U110" s="114"/>
      <c r="V110" s="114"/>
    </row>
    <row r="111" spans="5:22" x14ac:dyDescent="0.3">
      <c r="E111" t="str">
        <f t="shared" si="3"/>
        <v/>
      </c>
      <c r="G111" s="112"/>
      <c r="H111" s="112"/>
      <c r="I111" s="112"/>
      <c r="J111" s="233"/>
      <c r="L111" t="str">
        <f>IF(H111&lt;&gt;"",IFERROR(INDEX('Tournament Setup'!$B$59:$B$78,MATCH(H111,SquadConcurrents,0)),""),"")</f>
        <v/>
      </c>
      <c r="M111" s="1" t="str">
        <f>IFERROR(INDEX('Squad Listing'!$A:$A,MATCH(B111&amp;"-"&amp;H111&amp;"-"&amp;G111,'Squad Listing'!$B:$B,0)),"")</f>
        <v/>
      </c>
      <c r="N111" s="1" t="str">
        <f t="shared" si="4"/>
        <v/>
      </c>
      <c r="O111" s="113"/>
      <c r="P111" s="113"/>
      <c r="Q111" s="113"/>
      <c r="R111" s="113"/>
      <c r="S111" s="114"/>
      <c r="T111" s="114"/>
      <c r="U111" s="114"/>
      <c r="V111" s="114"/>
    </row>
    <row r="112" spans="5:22" x14ac:dyDescent="0.3">
      <c r="E112" t="str">
        <f t="shared" si="3"/>
        <v/>
      </c>
      <c r="G112" s="112"/>
      <c r="H112" s="112"/>
      <c r="I112" s="112"/>
      <c r="J112" s="233"/>
      <c r="L112" t="str">
        <f>IF(H112&lt;&gt;"",IFERROR(INDEX('Tournament Setup'!$B$59:$B$78,MATCH(H112,SquadConcurrents,0)),""),"")</f>
        <v/>
      </c>
      <c r="M112" s="1" t="str">
        <f>IFERROR(INDEX('Squad Listing'!$A:$A,MATCH(B112&amp;"-"&amp;H112&amp;"-"&amp;G112,'Squad Listing'!$B:$B,0)),"")</f>
        <v/>
      </c>
      <c r="N112" s="1" t="str">
        <f t="shared" si="4"/>
        <v/>
      </c>
      <c r="O112" s="113"/>
      <c r="P112" s="113"/>
      <c r="Q112" s="113"/>
      <c r="R112" s="113"/>
      <c r="S112" s="114"/>
      <c r="T112" s="114"/>
      <c r="U112" s="114"/>
      <c r="V112" s="114"/>
    </row>
    <row r="113" spans="5:22" x14ac:dyDescent="0.3">
      <c r="E113" t="str">
        <f t="shared" si="3"/>
        <v/>
      </c>
      <c r="G113" s="112"/>
      <c r="H113" s="112"/>
      <c r="I113" s="112"/>
      <c r="J113" s="233"/>
      <c r="L113" t="str">
        <f>IF(H113&lt;&gt;"",IFERROR(INDEX('Tournament Setup'!$B$59:$B$78,MATCH(H113,SquadConcurrents,0)),""),"")</f>
        <v/>
      </c>
      <c r="M113" s="1" t="str">
        <f>IFERROR(INDEX('Squad Listing'!$A:$A,MATCH(B113&amp;"-"&amp;H113&amp;"-"&amp;G113,'Squad Listing'!$B:$B,0)),"")</f>
        <v/>
      </c>
      <c r="N113" s="1" t="str">
        <f t="shared" si="4"/>
        <v/>
      </c>
      <c r="O113" s="113"/>
      <c r="P113" s="113"/>
      <c r="Q113" s="113"/>
      <c r="R113" s="113"/>
      <c r="S113" s="114"/>
      <c r="T113" s="114"/>
      <c r="U113" s="114"/>
      <c r="V113" s="114"/>
    </row>
    <row r="114" spans="5:22" x14ac:dyDescent="0.3">
      <c r="E114" t="str">
        <f t="shared" si="3"/>
        <v/>
      </c>
      <c r="G114" s="112"/>
      <c r="H114" s="112"/>
      <c r="I114" s="112"/>
      <c r="J114" s="233"/>
      <c r="L114" t="str">
        <f>IF(H114&lt;&gt;"",IFERROR(INDEX('Tournament Setup'!$B$59:$B$78,MATCH(H114,SquadConcurrents,0)),""),"")</f>
        <v/>
      </c>
      <c r="M114" s="1" t="str">
        <f>IFERROR(INDEX('Squad Listing'!$A:$A,MATCH(B114&amp;"-"&amp;H114&amp;"-"&amp;G114,'Squad Listing'!$B:$B,0)),"")</f>
        <v/>
      </c>
      <c r="N114" s="1" t="str">
        <f t="shared" si="4"/>
        <v/>
      </c>
      <c r="O114" s="113"/>
      <c r="P114" s="113"/>
      <c r="Q114" s="113"/>
      <c r="R114" s="113"/>
      <c r="S114" s="114"/>
      <c r="T114" s="114"/>
      <c r="U114" s="114"/>
      <c r="V114" s="114"/>
    </row>
    <row r="115" spans="5:22" x14ac:dyDescent="0.3">
      <c r="E115" t="str">
        <f t="shared" si="3"/>
        <v/>
      </c>
      <c r="G115" s="112"/>
      <c r="H115" s="112"/>
      <c r="I115" s="112"/>
      <c r="J115" s="233"/>
      <c r="L115" t="str">
        <f>IF(H115&lt;&gt;"",IFERROR(INDEX('Tournament Setup'!$B$59:$B$78,MATCH(H115,SquadConcurrents,0)),""),"")</f>
        <v/>
      </c>
      <c r="M115" s="1" t="str">
        <f>IFERROR(INDEX('Squad Listing'!$A:$A,MATCH(B115&amp;"-"&amp;H115&amp;"-"&amp;G115,'Squad Listing'!$B:$B,0)),"")</f>
        <v/>
      </c>
      <c r="N115" s="1" t="str">
        <f t="shared" si="4"/>
        <v/>
      </c>
      <c r="O115" s="113"/>
      <c r="P115" s="113"/>
      <c r="Q115" s="113"/>
      <c r="R115" s="113"/>
      <c r="S115" s="114"/>
      <c r="T115" s="114"/>
      <c r="U115" s="114"/>
      <c r="V115" s="114"/>
    </row>
    <row r="116" spans="5:22" x14ac:dyDescent="0.3">
      <c r="E116" t="str">
        <f t="shared" si="3"/>
        <v/>
      </c>
      <c r="G116" s="112"/>
      <c r="H116" s="112"/>
      <c r="I116" s="112"/>
      <c r="J116" s="233"/>
      <c r="L116" t="str">
        <f>IF(H116&lt;&gt;"",IFERROR(INDEX('Tournament Setup'!$B$59:$B$78,MATCH(H116,SquadConcurrents,0)),""),"")</f>
        <v/>
      </c>
      <c r="M116" s="1" t="str">
        <f>IFERROR(INDEX('Squad Listing'!$A:$A,MATCH(B116&amp;"-"&amp;H116&amp;"-"&amp;G116,'Squad Listing'!$B:$B,0)),"")</f>
        <v/>
      </c>
      <c r="N116" s="1" t="str">
        <f t="shared" si="4"/>
        <v/>
      </c>
      <c r="O116" s="113"/>
      <c r="P116" s="113"/>
      <c r="Q116" s="113"/>
      <c r="R116" s="113"/>
      <c r="S116" s="114"/>
      <c r="T116" s="114"/>
      <c r="U116" s="114"/>
      <c r="V116" s="114"/>
    </row>
    <row r="117" spans="5:22" x14ac:dyDescent="0.3">
      <c r="E117" t="str">
        <f t="shared" si="3"/>
        <v/>
      </c>
      <c r="G117" s="112"/>
      <c r="H117" s="112"/>
      <c r="I117" s="112"/>
      <c r="J117" s="233"/>
      <c r="L117" t="str">
        <f>IF(H117&lt;&gt;"",IFERROR(INDEX('Tournament Setup'!$B$59:$B$78,MATCH(H117,SquadConcurrents,0)),""),"")</f>
        <v/>
      </c>
      <c r="M117" s="1" t="str">
        <f>IFERROR(INDEX('Squad Listing'!$A:$A,MATCH(B117&amp;"-"&amp;H117&amp;"-"&amp;G117,'Squad Listing'!$B:$B,0)),"")</f>
        <v/>
      </c>
      <c r="N117" s="1" t="str">
        <f t="shared" si="4"/>
        <v/>
      </c>
      <c r="O117" s="113"/>
      <c r="P117" s="113"/>
      <c r="Q117" s="113"/>
      <c r="R117" s="113"/>
      <c r="S117" s="114"/>
      <c r="T117" s="114"/>
      <c r="U117" s="114"/>
      <c r="V117" s="114"/>
    </row>
    <row r="118" spans="5:22" x14ac:dyDescent="0.3">
      <c r="E118" t="str">
        <f t="shared" si="3"/>
        <v/>
      </c>
      <c r="G118" s="112"/>
      <c r="H118" s="112"/>
      <c r="I118" s="112"/>
      <c r="J118" s="233"/>
      <c r="L118" t="str">
        <f>IF(H118&lt;&gt;"",IFERROR(INDEX('Tournament Setup'!$B$59:$B$78,MATCH(H118,SquadConcurrents,0)),""),"")</f>
        <v/>
      </c>
      <c r="M118" s="1" t="str">
        <f>IFERROR(INDEX('Squad Listing'!$A:$A,MATCH(B118&amp;"-"&amp;H118&amp;"-"&amp;G118,'Squad Listing'!$B:$B,0)),"")</f>
        <v/>
      </c>
      <c r="N118" s="1" t="str">
        <f t="shared" si="4"/>
        <v/>
      </c>
      <c r="O118" s="113"/>
      <c r="P118" s="113"/>
      <c r="Q118" s="113"/>
      <c r="R118" s="113"/>
      <c r="S118" s="114"/>
      <c r="T118" s="114"/>
      <c r="U118" s="114"/>
      <c r="V118" s="114"/>
    </row>
    <row r="119" spans="5:22" x14ac:dyDescent="0.3">
      <c r="E119" t="str">
        <f t="shared" si="3"/>
        <v/>
      </c>
      <c r="G119" s="112"/>
      <c r="H119" s="112"/>
      <c r="I119" s="112"/>
      <c r="J119" s="233"/>
      <c r="L119" t="str">
        <f>IF(H119&lt;&gt;"",IFERROR(INDEX('Tournament Setup'!$B$59:$B$78,MATCH(H119,SquadConcurrents,0)),""),"")</f>
        <v/>
      </c>
      <c r="M119" s="1" t="str">
        <f>IFERROR(INDEX('Squad Listing'!$A:$A,MATCH(B119&amp;"-"&amp;H119&amp;"-"&amp;G119,'Squad Listing'!$B:$B,0)),"")</f>
        <v/>
      </c>
      <c r="N119" s="1" t="str">
        <f t="shared" si="4"/>
        <v/>
      </c>
      <c r="O119" s="113"/>
      <c r="P119" s="113"/>
      <c r="Q119" s="113"/>
      <c r="R119" s="113"/>
      <c r="S119" s="114"/>
      <c r="T119" s="114"/>
      <c r="U119" s="114"/>
      <c r="V119" s="114"/>
    </row>
    <row r="120" spans="5:22" x14ac:dyDescent="0.3">
      <c r="E120" t="str">
        <f t="shared" si="3"/>
        <v/>
      </c>
      <c r="G120" s="112"/>
      <c r="H120" s="112"/>
      <c r="I120" s="112"/>
      <c r="J120" s="233"/>
      <c r="L120" t="str">
        <f>IF(H120&lt;&gt;"",IFERROR(INDEX('Tournament Setup'!$B$59:$B$78,MATCH(H120,SquadConcurrents,0)),""),"")</f>
        <v/>
      </c>
      <c r="M120" s="1" t="str">
        <f>IFERROR(INDEX('Squad Listing'!$A:$A,MATCH(B120&amp;"-"&amp;H120&amp;"-"&amp;G120,'Squad Listing'!$B:$B,0)),"")</f>
        <v/>
      </c>
      <c r="N120" s="1" t="str">
        <f t="shared" si="4"/>
        <v/>
      </c>
      <c r="O120" s="113"/>
      <c r="P120" s="113"/>
      <c r="Q120" s="113"/>
      <c r="R120" s="113"/>
      <c r="S120" s="114"/>
      <c r="T120" s="114"/>
      <c r="U120" s="114"/>
      <c r="V120" s="114"/>
    </row>
    <row r="121" spans="5:22" x14ac:dyDescent="0.3">
      <c r="E121" t="str">
        <f t="shared" si="3"/>
        <v/>
      </c>
      <c r="G121" s="112"/>
      <c r="H121" s="112"/>
      <c r="I121" s="112"/>
      <c r="J121" s="233"/>
      <c r="L121" t="str">
        <f>IF(H121&lt;&gt;"",IFERROR(INDEX('Tournament Setup'!$B$59:$B$78,MATCH(H121,SquadConcurrents,0)),""),"")</f>
        <v/>
      </c>
      <c r="M121" s="1" t="str">
        <f>IFERROR(INDEX('Squad Listing'!$A:$A,MATCH(B121&amp;"-"&amp;H121&amp;"-"&amp;G121,'Squad Listing'!$B:$B,0)),"")</f>
        <v/>
      </c>
      <c r="N121" s="1" t="str">
        <f t="shared" si="4"/>
        <v/>
      </c>
      <c r="O121" s="113"/>
      <c r="P121" s="113"/>
      <c r="Q121" s="113"/>
      <c r="R121" s="113"/>
      <c r="S121" s="114"/>
      <c r="T121" s="114"/>
      <c r="U121" s="114"/>
      <c r="V121" s="114"/>
    </row>
    <row r="122" spans="5:22" x14ac:dyDescent="0.3">
      <c r="E122" t="str">
        <f t="shared" si="3"/>
        <v/>
      </c>
      <c r="G122" s="112"/>
      <c r="H122" s="112"/>
      <c r="I122" s="112"/>
      <c r="J122" s="233"/>
      <c r="L122" t="str">
        <f>IF(H122&lt;&gt;"",IFERROR(INDEX('Tournament Setup'!$B$59:$B$78,MATCH(H122,SquadConcurrents,0)),""),"")</f>
        <v/>
      </c>
      <c r="M122" s="1" t="str">
        <f>IFERROR(INDEX('Squad Listing'!$A:$A,MATCH(B122&amp;"-"&amp;H122&amp;"-"&amp;G122,'Squad Listing'!$B:$B,0)),"")</f>
        <v/>
      </c>
      <c r="N122" s="1" t="str">
        <f t="shared" si="4"/>
        <v/>
      </c>
      <c r="O122" s="113"/>
      <c r="P122" s="113"/>
      <c r="Q122" s="113"/>
      <c r="R122" s="113"/>
      <c r="S122" s="114"/>
      <c r="T122" s="114"/>
      <c r="U122" s="114"/>
      <c r="V122" s="114"/>
    </row>
    <row r="123" spans="5:22" x14ac:dyDescent="0.3">
      <c r="E123" t="str">
        <f t="shared" si="3"/>
        <v/>
      </c>
      <c r="G123" s="112"/>
      <c r="H123" s="112"/>
      <c r="I123" s="112"/>
      <c r="J123" s="233"/>
      <c r="L123" t="str">
        <f>IF(H123&lt;&gt;"",IFERROR(INDEX('Tournament Setup'!$B$59:$B$78,MATCH(H123,SquadConcurrents,0)),""),"")</f>
        <v/>
      </c>
      <c r="M123" s="1" t="str">
        <f>IFERROR(INDEX('Squad Listing'!$A:$A,MATCH(B123&amp;"-"&amp;H123&amp;"-"&amp;G123,'Squad Listing'!$B:$B,0)),"")</f>
        <v/>
      </c>
      <c r="N123" s="1" t="str">
        <f t="shared" si="4"/>
        <v/>
      </c>
      <c r="O123" s="113"/>
      <c r="P123" s="113"/>
      <c r="Q123" s="113"/>
      <c r="R123" s="113"/>
      <c r="S123" s="114"/>
      <c r="T123" s="114"/>
      <c r="U123" s="114"/>
      <c r="V123" s="114"/>
    </row>
    <row r="124" spans="5:22" x14ac:dyDescent="0.3">
      <c r="E124" t="str">
        <f t="shared" si="3"/>
        <v/>
      </c>
      <c r="G124" s="112"/>
      <c r="H124" s="112"/>
      <c r="I124" s="112"/>
      <c r="J124" s="233"/>
      <c r="L124" t="str">
        <f>IF(H124&lt;&gt;"",IFERROR(INDEX('Tournament Setup'!$B$59:$B$78,MATCH(H124,SquadConcurrents,0)),""),"")</f>
        <v/>
      </c>
      <c r="M124" s="1" t="str">
        <f>IFERROR(INDEX('Squad Listing'!$A:$A,MATCH(B124&amp;"-"&amp;H124&amp;"-"&amp;G124,'Squad Listing'!$B:$B,0)),"")</f>
        <v/>
      </c>
      <c r="N124" s="1" t="str">
        <f t="shared" si="4"/>
        <v/>
      </c>
      <c r="O124" s="113"/>
      <c r="P124" s="113"/>
      <c r="Q124" s="113"/>
      <c r="R124" s="113"/>
      <c r="S124" s="114"/>
      <c r="T124" s="114"/>
      <c r="U124" s="114"/>
      <c r="V124" s="114"/>
    </row>
    <row r="125" spans="5:22" x14ac:dyDescent="0.3">
      <c r="E125" t="str">
        <f t="shared" si="3"/>
        <v/>
      </c>
      <c r="G125" s="112"/>
      <c r="H125" s="112"/>
      <c r="I125" s="112"/>
      <c r="J125" s="233"/>
      <c r="L125" t="str">
        <f>IF(H125&lt;&gt;"",IFERROR(INDEX('Tournament Setup'!$B$59:$B$78,MATCH(H125,SquadConcurrents,0)),""),"")</f>
        <v/>
      </c>
      <c r="M125" s="1" t="str">
        <f>IFERROR(INDEX('Squad Listing'!$A:$A,MATCH(B125&amp;"-"&amp;H125&amp;"-"&amp;G125,'Squad Listing'!$B:$B,0)),"")</f>
        <v/>
      </c>
      <c r="N125" s="1" t="str">
        <f t="shared" si="4"/>
        <v/>
      </c>
      <c r="O125" s="113"/>
      <c r="P125" s="113"/>
      <c r="Q125" s="113"/>
      <c r="R125" s="113"/>
      <c r="S125" s="114"/>
      <c r="T125" s="114"/>
      <c r="U125" s="114"/>
      <c r="V125" s="114"/>
    </row>
    <row r="126" spans="5:22" x14ac:dyDescent="0.3">
      <c r="E126" t="str">
        <f t="shared" si="3"/>
        <v/>
      </c>
      <c r="G126" s="112"/>
      <c r="H126" s="112"/>
      <c r="I126" s="112"/>
      <c r="J126" s="233"/>
      <c r="L126" t="str">
        <f>IF(H126&lt;&gt;"",IFERROR(INDEX('Tournament Setup'!$B$59:$B$78,MATCH(H126,SquadConcurrents,0)),""),"")</f>
        <v/>
      </c>
      <c r="M126" s="1" t="str">
        <f>IFERROR(INDEX('Squad Listing'!$A:$A,MATCH(B126&amp;"-"&amp;H126&amp;"-"&amp;G126,'Squad Listing'!$B:$B,0)),"")</f>
        <v/>
      </c>
      <c r="N126" s="1" t="str">
        <f t="shared" si="4"/>
        <v/>
      </c>
      <c r="O126" s="113"/>
      <c r="P126" s="113"/>
      <c r="Q126" s="113"/>
      <c r="R126" s="113"/>
      <c r="S126" s="114"/>
      <c r="T126" s="114"/>
      <c r="U126" s="114"/>
      <c r="V126" s="114"/>
    </row>
    <row r="127" spans="5:22" x14ac:dyDescent="0.3">
      <c r="E127" t="str">
        <f t="shared" si="3"/>
        <v/>
      </c>
      <c r="G127" s="112"/>
      <c r="H127" s="112"/>
      <c r="I127" s="112"/>
      <c r="J127" s="233"/>
      <c r="L127" t="str">
        <f>IF(H127&lt;&gt;"",IFERROR(INDEX('Tournament Setup'!$B$59:$B$78,MATCH(H127,SquadConcurrents,0)),""),"")</f>
        <v/>
      </c>
      <c r="M127" s="1" t="str">
        <f>IFERROR(INDEX('Squad Listing'!$A:$A,MATCH(B127&amp;"-"&amp;H127&amp;"-"&amp;G127,'Squad Listing'!$B:$B,0)),"")</f>
        <v/>
      </c>
      <c r="N127" s="1" t="str">
        <f t="shared" si="4"/>
        <v/>
      </c>
      <c r="O127" s="113"/>
      <c r="P127" s="113"/>
      <c r="Q127" s="113"/>
      <c r="R127" s="113"/>
      <c r="S127" s="114"/>
      <c r="T127" s="114"/>
      <c r="U127" s="114"/>
      <c r="V127" s="114"/>
    </row>
    <row r="128" spans="5:22" x14ac:dyDescent="0.3">
      <c r="E128" t="str">
        <f t="shared" si="3"/>
        <v/>
      </c>
      <c r="G128" s="112"/>
      <c r="H128" s="112"/>
      <c r="I128" s="112"/>
      <c r="J128" s="233"/>
      <c r="L128" t="str">
        <f>IF(H128&lt;&gt;"",IFERROR(INDEX('Tournament Setup'!$B$59:$B$78,MATCH(H128,SquadConcurrents,0)),""),"")</f>
        <v/>
      </c>
      <c r="M128" s="1" t="str">
        <f>IFERROR(INDEX('Squad Listing'!$A:$A,MATCH(B128&amp;"-"&amp;H128&amp;"-"&amp;G128,'Squad Listing'!$B:$B,0)),"")</f>
        <v/>
      </c>
      <c r="N128" s="1" t="str">
        <f t="shared" si="4"/>
        <v/>
      </c>
      <c r="O128" s="113"/>
      <c r="P128" s="113"/>
      <c r="Q128" s="113"/>
      <c r="R128" s="113"/>
      <c r="S128" s="114"/>
      <c r="T128" s="114"/>
      <c r="U128" s="114"/>
      <c r="V128" s="114"/>
    </row>
    <row r="129" spans="5:22" x14ac:dyDescent="0.3">
      <c r="E129" t="str">
        <f t="shared" si="3"/>
        <v/>
      </c>
      <c r="G129" s="112"/>
      <c r="H129" s="112"/>
      <c r="I129" s="112"/>
      <c r="J129" s="233"/>
      <c r="L129" t="str">
        <f>IF(H129&lt;&gt;"",IFERROR(INDEX('Tournament Setup'!$B$59:$B$78,MATCH(H129,SquadConcurrents,0)),""),"")</f>
        <v/>
      </c>
      <c r="M129" s="1" t="str">
        <f>IFERROR(INDEX('Squad Listing'!$A:$A,MATCH(B129&amp;"-"&amp;H129&amp;"-"&amp;G129,'Squad Listing'!$B:$B,0)),"")</f>
        <v/>
      </c>
      <c r="N129" s="1" t="str">
        <f t="shared" si="4"/>
        <v/>
      </c>
      <c r="O129" s="113"/>
      <c r="P129" s="113"/>
      <c r="Q129" s="113"/>
      <c r="R129" s="113"/>
      <c r="S129" s="114"/>
      <c r="T129" s="114"/>
      <c r="U129" s="114"/>
      <c r="V129" s="114"/>
    </row>
    <row r="130" spans="5:22" x14ac:dyDescent="0.3">
      <c r="E130" t="str">
        <f t="shared" si="3"/>
        <v/>
      </c>
      <c r="G130" s="112"/>
      <c r="H130" s="112"/>
      <c r="I130" s="112"/>
      <c r="J130" s="233"/>
      <c r="L130" t="str">
        <f>IF(H130&lt;&gt;"",IFERROR(INDEX('Tournament Setup'!$B$59:$B$78,MATCH(H130,SquadConcurrents,0)),""),"")</f>
        <v/>
      </c>
      <c r="M130" s="1" t="str">
        <f>IFERROR(INDEX('Squad Listing'!$A:$A,MATCH(B130&amp;"-"&amp;H130&amp;"-"&amp;G130,'Squad Listing'!$B:$B,0)),"")</f>
        <v/>
      </c>
      <c r="N130" s="1" t="str">
        <f t="shared" si="4"/>
        <v/>
      </c>
      <c r="O130" s="113"/>
      <c r="P130" s="113"/>
      <c r="Q130" s="113"/>
      <c r="R130" s="113"/>
      <c r="S130" s="114"/>
      <c r="T130" s="114"/>
      <c r="U130" s="114"/>
      <c r="V130" s="114"/>
    </row>
    <row r="131" spans="5:22" x14ac:dyDescent="0.3">
      <c r="E131" t="str">
        <f t="shared" ref="E131:E194" si="5">IF(C131&lt;&gt;"",C131&amp;" "&amp;D131,"")</f>
        <v/>
      </c>
      <c r="G131" s="112"/>
      <c r="H131" s="112"/>
      <c r="I131" s="112"/>
      <c r="J131" s="233"/>
      <c r="L131" t="str">
        <f>IF(H131&lt;&gt;"",IFERROR(INDEX('Tournament Setup'!$B$59:$B$78,MATCH(H131,SquadConcurrents,0)),""),"")</f>
        <v/>
      </c>
      <c r="M131" s="1" t="str">
        <f>IFERROR(INDEX('Squad Listing'!$A:$A,MATCH(B131&amp;"-"&amp;H131&amp;"-"&amp;G131,'Squad Listing'!$B:$B,0)),"")</f>
        <v/>
      </c>
      <c r="N131" s="1" t="str">
        <f t="shared" si="4"/>
        <v/>
      </c>
      <c r="O131" s="113"/>
      <c r="P131" s="113"/>
      <c r="Q131" s="113"/>
      <c r="R131" s="113"/>
      <c r="S131" s="114"/>
      <c r="T131" s="114"/>
      <c r="U131" s="114"/>
      <c r="V131" s="114"/>
    </row>
    <row r="132" spans="5:22" x14ac:dyDescent="0.3">
      <c r="E132" t="str">
        <f t="shared" si="5"/>
        <v/>
      </c>
      <c r="G132" s="112"/>
      <c r="H132" s="112"/>
      <c r="I132" s="112"/>
      <c r="J132" s="233"/>
      <c r="L132" t="str">
        <f>IF(H132&lt;&gt;"",IFERROR(INDEX('Tournament Setup'!$B$59:$B$78,MATCH(H132,SquadConcurrents,0)),""),"")</f>
        <v/>
      </c>
      <c r="M132" s="1" t="str">
        <f>IFERROR(INDEX('Squad Listing'!$A:$A,MATCH(B132&amp;"-"&amp;H132&amp;"-"&amp;G132,'Squad Listing'!$B:$B,0)),"")</f>
        <v/>
      </c>
      <c r="N132" s="1" t="str">
        <f t="shared" ref="N132:N195" si="6">IF(H132&lt;&gt;"",I132,"")</f>
        <v/>
      </c>
      <c r="O132" s="113"/>
      <c r="P132" s="113"/>
      <c r="Q132" s="113"/>
      <c r="R132" s="113"/>
      <c r="S132" s="114"/>
      <c r="T132" s="114"/>
      <c r="U132" s="114"/>
      <c r="V132" s="114"/>
    </row>
    <row r="133" spans="5:22" x14ac:dyDescent="0.3">
      <c r="E133" t="str">
        <f t="shared" si="5"/>
        <v/>
      </c>
      <c r="G133" s="112"/>
      <c r="H133" s="112"/>
      <c r="I133" s="112"/>
      <c r="J133" s="233"/>
      <c r="L133" t="str">
        <f>IF(H133&lt;&gt;"",IFERROR(INDEX('Tournament Setup'!$B$59:$B$78,MATCH(H133,SquadConcurrents,0)),""),"")</f>
        <v/>
      </c>
      <c r="M133" s="1" t="str">
        <f>IFERROR(INDEX('Squad Listing'!$A:$A,MATCH(B133&amp;"-"&amp;H133&amp;"-"&amp;G133,'Squad Listing'!$B:$B,0)),"")</f>
        <v/>
      </c>
      <c r="N133" s="1" t="str">
        <f t="shared" si="6"/>
        <v/>
      </c>
      <c r="O133" s="113"/>
      <c r="P133" s="113"/>
      <c r="Q133" s="113"/>
      <c r="R133" s="113"/>
      <c r="S133" s="114"/>
      <c r="T133" s="114"/>
      <c r="U133" s="114"/>
      <c r="V133" s="114"/>
    </row>
    <row r="134" spans="5:22" x14ac:dyDescent="0.3">
      <c r="E134" t="str">
        <f t="shared" si="5"/>
        <v/>
      </c>
      <c r="G134" s="112"/>
      <c r="H134" s="112"/>
      <c r="I134" s="112"/>
      <c r="J134" s="233"/>
      <c r="L134" t="str">
        <f>IF(H134&lt;&gt;"",IFERROR(INDEX('Tournament Setup'!$B$59:$B$78,MATCH(H134,SquadConcurrents,0)),""),"")</f>
        <v/>
      </c>
      <c r="M134" s="1" t="str">
        <f>IFERROR(INDEX('Squad Listing'!$A:$A,MATCH(B134&amp;"-"&amp;H134&amp;"-"&amp;G134,'Squad Listing'!$B:$B,0)),"")</f>
        <v/>
      </c>
      <c r="N134" s="1" t="str">
        <f t="shared" si="6"/>
        <v/>
      </c>
      <c r="O134" s="113"/>
      <c r="P134" s="113"/>
      <c r="Q134" s="113"/>
      <c r="R134" s="113"/>
      <c r="S134" s="114"/>
      <c r="T134" s="114"/>
      <c r="U134" s="114"/>
      <c r="V134" s="114"/>
    </row>
    <row r="135" spans="5:22" x14ac:dyDescent="0.3">
      <c r="E135" t="str">
        <f t="shared" si="5"/>
        <v/>
      </c>
      <c r="G135" s="112"/>
      <c r="H135" s="112"/>
      <c r="I135" s="112"/>
      <c r="J135" s="233"/>
      <c r="L135" t="str">
        <f>IF(H135&lt;&gt;"",IFERROR(INDEX('Tournament Setup'!$B$59:$B$78,MATCH(H135,SquadConcurrents,0)),""),"")</f>
        <v/>
      </c>
      <c r="M135" s="1" t="str">
        <f>IFERROR(INDEX('Squad Listing'!$A:$A,MATCH(B135&amp;"-"&amp;H135&amp;"-"&amp;G135,'Squad Listing'!$B:$B,0)),"")</f>
        <v/>
      </c>
      <c r="N135" s="1" t="str">
        <f t="shared" si="6"/>
        <v/>
      </c>
      <c r="O135" s="113"/>
      <c r="P135" s="113"/>
      <c r="Q135" s="113"/>
      <c r="R135" s="113"/>
      <c r="S135" s="114"/>
      <c r="T135" s="114"/>
      <c r="U135" s="114"/>
      <c r="V135" s="114"/>
    </row>
    <row r="136" spans="5:22" x14ac:dyDescent="0.3">
      <c r="E136" t="str">
        <f t="shared" si="5"/>
        <v/>
      </c>
      <c r="G136" s="112"/>
      <c r="H136" s="112"/>
      <c r="I136" s="112"/>
      <c r="J136" s="233"/>
      <c r="L136" t="str">
        <f>IF(H136&lt;&gt;"",IFERROR(INDEX('Tournament Setup'!$B$59:$B$78,MATCH(H136,SquadConcurrents,0)),""),"")</f>
        <v/>
      </c>
      <c r="M136" s="1" t="str">
        <f>IFERROR(INDEX('Squad Listing'!$A:$A,MATCH(B136&amp;"-"&amp;H136&amp;"-"&amp;G136,'Squad Listing'!$B:$B,0)),"")</f>
        <v/>
      </c>
      <c r="N136" s="1" t="str">
        <f t="shared" si="6"/>
        <v/>
      </c>
      <c r="O136" s="113"/>
      <c r="P136" s="113"/>
      <c r="Q136" s="113"/>
      <c r="R136" s="113"/>
      <c r="S136" s="114"/>
      <c r="T136" s="114"/>
      <c r="U136" s="114"/>
      <c r="V136" s="114"/>
    </row>
    <row r="137" spans="5:22" x14ac:dyDescent="0.3">
      <c r="E137" t="str">
        <f t="shared" si="5"/>
        <v/>
      </c>
      <c r="G137" s="112"/>
      <c r="H137" s="112"/>
      <c r="I137" s="112"/>
      <c r="J137" s="233"/>
      <c r="L137" t="str">
        <f>IF(H137&lt;&gt;"",IFERROR(INDEX('Tournament Setup'!$B$59:$B$78,MATCH(H137,SquadConcurrents,0)),""),"")</f>
        <v/>
      </c>
      <c r="M137" s="1" t="str">
        <f>IFERROR(INDEX('Squad Listing'!$A:$A,MATCH(B137&amp;"-"&amp;H137&amp;"-"&amp;G137,'Squad Listing'!$B:$B,0)),"")</f>
        <v/>
      </c>
      <c r="N137" s="1" t="str">
        <f t="shared" si="6"/>
        <v/>
      </c>
      <c r="O137" s="113"/>
      <c r="P137" s="113"/>
      <c r="Q137" s="113"/>
      <c r="R137" s="113"/>
      <c r="S137" s="114"/>
      <c r="T137" s="114"/>
      <c r="U137" s="114"/>
      <c r="V137" s="114"/>
    </row>
    <row r="138" spans="5:22" x14ac:dyDescent="0.3">
      <c r="E138" t="str">
        <f t="shared" si="5"/>
        <v/>
      </c>
      <c r="G138" s="112"/>
      <c r="H138" s="112"/>
      <c r="I138" s="112"/>
      <c r="J138" s="233"/>
      <c r="L138" t="str">
        <f>IF(H138&lt;&gt;"",IFERROR(INDEX('Tournament Setup'!$B$59:$B$78,MATCH(H138,SquadConcurrents,0)),""),"")</f>
        <v/>
      </c>
      <c r="M138" s="1" t="str">
        <f>IFERROR(INDEX('Squad Listing'!$A:$A,MATCH(B138&amp;"-"&amp;H138&amp;"-"&amp;G138,'Squad Listing'!$B:$B,0)),"")</f>
        <v/>
      </c>
      <c r="N138" s="1" t="str">
        <f t="shared" si="6"/>
        <v/>
      </c>
      <c r="O138" s="113"/>
      <c r="P138" s="113"/>
      <c r="Q138" s="113"/>
      <c r="R138" s="113"/>
      <c r="S138" s="114"/>
      <c r="T138" s="114"/>
      <c r="U138" s="114"/>
      <c r="V138" s="114"/>
    </row>
    <row r="139" spans="5:22" x14ac:dyDescent="0.3">
      <c r="E139" t="str">
        <f t="shared" si="5"/>
        <v/>
      </c>
      <c r="G139" s="112"/>
      <c r="H139" s="112"/>
      <c r="I139" s="112"/>
      <c r="J139" s="233"/>
      <c r="L139" t="str">
        <f>IF(H139&lt;&gt;"",IFERROR(INDEX('Tournament Setup'!$B$59:$B$78,MATCH(H139,SquadConcurrents,0)),""),"")</f>
        <v/>
      </c>
      <c r="M139" s="1" t="str">
        <f>IFERROR(INDEX('Squad Listing'!$A:$A,MATCH(B139&amp;"-"&amp;H139&amp;"-"&amp;G139,'Squad Listing'!$B:$B,0)),"")</f>
        <v/>
      </c>
      <c r="N139" s="1" t="str">
        <f t="shared" si="6"/>
        <v/>
      </c>
      <c r="O139" s="113"/>
      <c r="P139" s="113"/>
      <c r="Q139" s="113"/>
      <c r="R139" s="113"/>
      <c r="S139" s="114"/>
      <c r="T139" s="114"/>
      <c r="U139" s="114"/>
      <c r="V139" s="114"/>
    </row>
    <row r="140" spans="5:22" x14ac:dyDescent="0.3">
      <c r="E140" t="str">
        <f t="shared" si="5"/>
        <v/>
      </c>
      <c r="G140" s="112"/>
      <c r="H140" s="112"/>
      <c r="I140" s="112"/>
      <c r="J140" s="233"/>
      <c r="L140" t="str">
        <f>IF(H140&lt;&gt;"",IFERROR(INDEX('Tournament Setup'!$B$59:$B$78,MATCH(H140,SquadConcurrents,0)),""),"")</f>
        <v/>
      </c>
      <c r="M140" s="1" t="str">
        <f>IFERROR(INDEX('Squad Listing'!$A:$A,MATCH(B140&amp;"-"&amp;H140&amp;"-"&amp;G140,'Squad Listing'!$B:$B,0)),"")</f>
        <v/>
      </c>
      <c r="N140" s="1" t="str">
        <f t="shared" si="6"/>
        <v/>
      </c>
      <c r="O140" s="113"/>
      <c r="P140" s="113"/>
      <c r="Q140" s="113"/>
      <c r="R140" s="113"/>
      <c r="S140" s="114"/>
      <c r="T140" s="114"/>
      <c r="U140" s="114"/>
      <c r="V140" s="114"/>
    </row>
    <row r="141" spans="5:22" x14ac:dyDescent="0.3">
      <c r="E141" t="str">
        <f t="shared" si="5"/>
        <v/>
      </c>
      <c r="G141" s="112"/>
      <c r="H141" s="112"/>
      <c r="I141" s="112"/>
      <c r="J141" s="233"/>
      <c r="L141" t="str">
        <f>IF(H141&lt;&gt;"",IFERROR(INDEX('Tournament Setup'!$B$59:$B$78,MATCH(H141,SquadConcurrents,0)),""),"")</f>
        <v/>
      </c>
      <c r="M141" s="1" t="str">
        <f>IFERROR(INDEX('Squad Listing'!$A:$A,MATCH(B141&amp;"-"&amp;H141&amp;"-"&amp;G141,'Squad Listing'!$B:$B,0)),"")</f>
        <v/>
      </c>
      <c r="N141" s="1" t="str">
        <f t="shared" si="6"/>
        <v/>
      </c>
      <c r="O141" s="113"/>
      <c r="P141" s="113"/>
      <c r="Q141" s="113"/>
      <c r="R141" s="113"/>
      <c r="S141" s="114"/>
      <c r="T141" s="114"/>
      <c r="U141" s="114"/>
      <c r="V141" s="114"/>
    </row>
    <row r="142" spans="5:22" x14ac:dyDescent="0.3">
      <c r="E142" t="str">
        <f t="shared" si="5"/>
        <v/>
      </c>
      <c r="G142" s="112"/>
      <c r="H142" s="112"/>
      <c r="I142" s="112"/>
      <c r="J142" s="233"/>
      <c r="L142" t="str">
        <f>IF(H142&lt;&gt;"",IFERROR(INDEX('Tournament Setup'!$B$59:$B$78,MATCH(H142,SquadConcurrents,0)),""),"")</f>
        <v/>
      </c>
      <c r="M142" s="1" t="str">
        <f>IFERROR(INDEX('Squad Listing'!$A:$A,MATCH(B142&amp;"-"&amp;H142&amp;"-"&amp;G142,'Squad Listing'!$B:$B,0)),"")</f>
        <v/>
      </c>
      <c r="N142" s="1" t="str">
        <f t="shared" si="6"/>
        <v/>
      </c>
      <c r="O142" s="113"/>
      <c r="P142" s="113"/>
      <c r="Q142" s="113"/>
      <c r="R142" s="113"/>
      <c r="S142" s="114"/>
      <c r="T142" s="114"/>
      <c r="U142" s="114"/>
      <c r="V142" s="114"/>
    </row>
    <row r="143" spans="5:22" x14ac:dyDescent="0.3">
      <c r="E143" t="str">
        <f t="shared" si="5"/>
        <v/>
      </c>
      <c r="G143" s="112"/>
      <c r="H143" s="112"/>
      <c r="I143" s="112"/>
      <c r="J143" s="233"/>
      <c r="L143" t="str">
        <f>IF(H143&lt;&gt;"",IFERROR(INDEX('Tournament Setup'!$B$59:$B$78,MATCH(H143,SquadConcurrents,0)),""),"")</f>
        <v/>
      </c>
      <c r="M143" s="1" t="str">
        <f>IFERROR(INDEX('Squad Listing'!$A:$A,MATCH(B143&amp;"-"&amp;H143&amp;"-"&amp;G143,'Squad Listing'!$B:$B,0)),"")</f>
        <v/>
      </c>
      <c r="N143" s="1" t="str">
        <f t="shared" si="6"/>
        <v/>
      </c>
      <c r="O143" s="113"/>
      <c r="P143" s="113"/>
      <c r="Q143" s="113"/>
      <c r="R143" s="113"/>
      <c r="S143" s="114"/>
      <c r="T143" s="114"/>
      <c r="U143" s="114"/>
      <c r="V143" s="114"/>
    </row>
    <row r="144" spans="5:22" x14ac:dyDescent="0.3">
      <c r="E144" t="str">
        <f t="shared" si="5"/>
        <v/>
      </c>
      <c r="G144" s="112"/>
      <c r="H144" s="112"/>
      <c r="I144" s="112"/>
      <c r="J144" s="233"/>
      <c r="L144" t="str">
        <f>IF(H144&lt;&gt;"",IFERROR(INDEX('Tournament Setup'!$B$59:$B$78,MATCH(H144,SquadConcurrents,0)),""),"")</f>
        <v/>
      </c>
      <c r="M144" s="1" t="str">
        <f>IFERROR(INDEX('Squad Listing'!$A:$A,MATCH(B144&amp;"-"&amp;H144&amp;"-"&amp;G144,'Squad Listing'!$B:$B,0)),"")</f>
        <v/>
      </c>
      <c r="N144" s="1" t="str">
        <f t="shared" si="6"/>
        <v/>
      </c>
      <c r="O144" s="113"/>
      <c r="P144" s="113"/>
      <c r="Q144" s="113"/>
      <c r="R144" s="113"/>
      <c r="S144" s="114"/>
      <c r="T144" s="114"/>
      <c r="U144" s="114"/>
      <c r="V144" s="114"/>
    </row>
    <row r="145" spans="5:22" x14ac:dyDescent="0.3">
      <c r="E145" t="str">
        <f t="shared" si="5"/>
        <v/>
      </c>
      <c r="G145" s="112"/>
      <c r="H145" s="112"/>
      <c r="I145" s="112"/>
      <c r="J145" s="233"/>
      <c r="L145" t="str">
        <f>IF(H145&lt;&gt;"",IFERROR(INDEX('Tournament Setup'!$B$59:$B$78,MATCH(H145,SquadConcurrents,0)),""),"")</f>
        <v/>
      </c>
      <c r="M145" s="1" t="str">
        <f>IFERROR(INDEX('Squad Listing'!$A:$A,MATCH(B145&amp;"-"&amp;H145&amp;"-"&amp;G145,'Squad Listing'!$B:$B,0)),"")</f>
        <v/>
      </c>
      <c r="N145" s="1" t="str">
        <f t="shared" si="6"/>
        <v/>
      </c>
      <c r="O145" s="113"/>
      <c r="P145" s="113"/>
      <c r="Q145" s="113"/>
      <c r="R145" s="113"/>
      <c r="S145" s="114"/>
      <c r="T145" s="114"/>
      <c r="U145" s="114"/>
      <c r="V145" s="114"/>
    </row>
    <row r="146" spans="5:22" x14ac:dyDescent="0.3">
      <c r="E146" t="str">
        <f t="shared" si="5"/>
        <v/>
      </c>
      <c r="G146" s="112"/>
      <c r="H146" s="112"/>
      <c r="I146" s="112"/>
      <c r="J146" s="233"/>
      <c r="L146" t="str">
        <f>IF(H146&lt;&gt;"",IFERROR(INDEX('Tournament Setup'!$B$59:$B$78,MATCH(H146,SquadConcurrents,0)),""),"")</f>
        <v/>
      </c>
      <c r="M146" s="1" t="str">
        <f>IFERROR(INDEX('Squad Listing'!$A:$A,MATCH(B146&amp;"-"&amp;H146&amp;"-"&amp;G146,'Squad Listing'!$B:$B,0)),"")</f>
        <v/>
      </c>
      <c r="N146" s="1" t="str">
        <f t="shared" si="6"/>
        <v/>
      </c>
      <c r="O146" s="113"/>
      <c r="P146" s="113"/>
      <c r="Q146" s="113"/>
      <c r="R146" s="113"/>
      <c r="S146" s="114"/>
      <c r="T146" s="114"/>
      <c r="U146" s="114"/>
      <c r="V146" s="114"/>
    </row>
    <row r="147" spans="5:22" x14ac:dyDescent="0.3">
      <c r="E147" t="str">
        <f t="shared" si="5"/>
        <v/>
      </c>
      <c r="G147" s="112"/>
      <c r="H147" s="112"/>
      <c r="I147" s="112"/>
      <c r="J147" s="233"/>
      <c r="L147" t="str">
        <f>IF(H147&lt;&gt;"",IFERROR(INDEX('Tournament Setup'!$B$59:$B$78,MATCH(H147,SquadConcurrents,0)),""),"")</f>
        <v/>
      </c>
      <c r="M147" s="1" t="str">
        <f>IFERROR(INDEX('Squad Listing'!$A:$A,MATCH(B147&amp;"-"&amp;H147&amp;"-"&amp;G147,'Squad Listing'!$B:$B,0)),"")</f>
        <v/>
      </c>
      <c r="N147" s="1" t="str">
        <f t="shared" si="6"/>
        <v/>
      </c>
      <c r="O147" s="113"/>
      <c r="P147" s="113"/>
      <c r="Q147" s="113"/>
      <c r="R147" s="113"/>
      <c r="S147" s="114"/>
      <c r="T147" s="114"/>
      <c r="U147" s="114"/>
      <c r="V147" s="114"/>
    </row>
    <row r="148" spans="5:22" x14ac:dyDescent="0.3">
      <c r="E148" t="str">
        <f t="shared" si="5"/>
        <v/>
      </c>
      <c r="G148" s="112"/>
      <c r="H148" s="112"/>
      <c r="I148" s="112"/>
      <c r="J148" s="233"/>
      <c r="L148" t="str">
        <f>IF(H148&lt;&gt;"",IFERROR(INDEX('Tournament Setup'!$B$59:$B$78,MATCH(H148,SquadConcurrents,0)),""),"")</f>
        <v/>
      </c>
      <c r="M148" s="1" t="str">
        <f>IFERROR(INDEX('Squad Listing'!$A:$A,MATCH(B148&amp;"-"&amp;H148&amp;"-"&amp;G148,'Squad Listing'!$B:$B,0)),"")</f>
        <v/>
      </c>
      <c r="N148" s="1" t="str">
        <f t="shared" si="6"/>
        <v/>
      </c>
      <c r="O148" s="113"/>
      <c r="P148" s="113"/>
      <c r="Q148" s="113"/>
      <c r="R148" s="113"/>
      <c r="S148" s="114"/>
      <c r="T148" s="114"/>
      <c r="U148" s="114"/>
      <c r="V148" s="114"/>
    </row>
    <row r="149" spans="5:22" x14ac:dyDescent="0.3">
      <c r="E149" t="str">
        <f t="shared" si="5"/>
        <v/>
      </c>
      <c r="G149" s="112"/>
      <c r="H149" s="112"/>
      <c r="I149" s="112"/>
      <c r="J149" s="233"/>
      <c r="L149" t="str">
        <f>IF(H149&lt;&gt;"",IFERROR(INDEX('Tournament Setup'!$B$59:$B$78,MATCH(H149,SquadConcurrents,0)),""),"")</f>
        <v/>
      </c>
      <c r="M149" s="1" t="str">
        <f>IFERROR(INDEX('Squad Listing'!$A:$A,MATCH(B149&amp;"-"&amp;H149&amp;"-"&amp;G149,'Squad Listing'!$B:$B,0)),"")</f>
        <v/>
      </c>
      <c r="N149" s="1" t="str">
        <f t="shared" si="6"/>
        <v/>
      </c>
      <c r="O149" s="113"/>
      <c r="P149" s="113"/>
      <c r="Q149" s="113"/>
      <c r="R149" s="113"/>
      <c r="S149" s="114"/>
      <c r="T149" s="114"/>
      <c r="U149" s="114"/>
      <c r="V149" s="114"/>
    </row>
    <row r="150" spans="5:22" x14ac:dyDescent="0.3">
      <c r="E150" t="str">
        <f t="shared" si="5"/>
        <v/>
      </c>
      <c r="G150" s="112"/>
      <c r="H150" s="112"/>
      <c r="I150" s="112"/>
      <c r="J150" s="233"/>
      <c r="L150" t="str">
        <f>IF(H150&lt;&gt;"",IFERROR(INDEX('Tournament Setup'!$B$59:$B$78,MATCH(H150,SquadConcurrents,0)),""),"")</f>
        <v/>
      </c>
      <c r="M150" s="1" t="str">
        <f>IFERROR(INDEX('Squad Listing'!$A:$A,MATCH(B150&amp;"-"&amp;H150&amp;"-"&amp;G150,'Squad Listing'!$B:$B,0)),"")</f>
        <v/>
      </c>
      <c r="N150" s="1" t="str">
        <f t="shared" si="6"/>
        <v/>
      </c>
      <c r="O150" s="113"/>
      <c r="P150" s="113"/>
      <c r="Q150" s="113"/>
      <c r="R150" s="113"/>
      <c r="S150" s="114"/>
      <c r="T150" s="114"/>
      <c r="U150" s="114"/>
      <c r="V150" s="114"/>
    </row>
    <row r="151" spans="5:22" x14ac:dyDescent="0.3">
      <c r="E151" t="str">
        <f t="shared" si="5"/>
        <v/>
      </c>
      <c r="G151" s="112"/>
      <c r="H151" s="112"/>
      <c r="I151" s="112"/>
      <c r="J151" s="233"/>
      <c r="L151" t="str">
        <f>IF(H151&lt;&gt;"",IFERROR(INDEX('Tournament Setup'!$B$59:$B$78,MATCH(H151,SquadConcurrents,0)),""),"")</f>
        <v/>
      </c>
      <c r="M151" s="1" t="str">
        <f>IFERROR(INDEX('Squad Listing'!$A:$A,MATCH(B151&amp;"-"&amp;H151&amp;"-"&amp;G151,'Squad Listing'!$B:$B,0)),"")</f>
        <v/>
      </c>
      <c r="N151" s="1" t="str">
        <f t="shared" si="6"/>
        <v/>
      </c>
      <c r="O151" s="113"/>
      <c r="P151" s="113"/>
      <c r="Q151" s="113"/>
      <c r="R151" s="113"/>
      <c r="S151" s="114"/>
      <c r="T151" s="114"/>
      <c r="U151" s="114"/>
      <c r="V151" s="114"/>
    </row>
    <row r="152" spans="5:22" x14ac:dyDescent="0.3">
      <c r="E152" t="str">
        <f t="shared" si="5"/>
        <v/>
      </c>
      <c r="G152" s="112"/>
      <c r="H152" s="112"/>
      <c r="I152" s="112"/>
      <c r="J152" s="233"/>
      <c r="L152" t="str">
        <f>IF(H152&lt;&gt;"",IFERROR(INDEX('Tournament Setup'!$B$59:$B$78,MATCH(H152,SquadConcurrents,0)),""),"")</f>
        <v/>
      </c>
      <c r="M152" s="1" t="str">
        <f>IFERROR(INDEX('Squad Listing'!$A:$A,MATCH(B152&amp;"-"&amp;H152&amp;"-"&amp;G152,'Squad Listing'!$B:$B,0)),"")</f>
        <v/>
      </c>
      <c r="N152" s="1" t="str">
        <f t="shared" si="6"/>
        <v/>
      </c>
      <c r="O152" s="113"/>
      <c r="P152" s="113"/>
      <c r="Q152" s="113"/>
      <c r="R152" s="113"/>
      <c r="S152" s="114"/>
      <c r="T152" s="114"/>
      <c r="U152" s="114"/>
      <c r="V152" s="114"/>
    </row>
    <row r="153" spans="5:22" x14ac:dyDescent="0.3">
      <c r="E153" t="str">
        <f t="shared" si="5"/>
        <v/>
      </c>
      <c r="G153" s="112"/>
      <c r="H153" s="112"/>
      <c r="I153" s="112"/>
      <c r="J153" s="233"/>
      <c r="L153" t="str">
        <f>IF(H153&lt;&gt;"",IFERROR(INDEX('Tournament Setup'!$B$59:$B$78,MATCH(H153,SquadConcurrents,0)),""),"")</f>
        <v/>
      </c>
      <c r="M153" s="1" t="str">
        <f>IFERROR(INDEX('Squad Listing'!$A:$A,MATCH(B153&amp;"-"&amp;H153&amp;"-"&amp;G153,'Squad Listing'!$B:$B,0)),"")</f>
        <v/>
      </c>
      <c r="N153" s="1" t="str">
        <f t="shared" si="6"/>
        <v/>
      </c>
      <c r="O153" s="113"/>
      <c r="P153" s="113"/>
      <c r="Q153" s="113"/>
      <c r="R153" s="113"/>
      <c r="S153" s="114"/>
      <c r="T153" s="114"/>
      <c r="U153" s="114"/>
      <c r="V153" s="114"/>
    </row>
    <row r="154" spans="5:22" x14ac:dyDescent="0.3">
      <c r="E154" t="str">
        <f t="shared" si="5"/>
        <v/>
      </c>
      <c r="G154" s="112"/>
      <c r="H154" s="112"/>
      <c r="I154" s="112"/>
      <c r="J154" s="233"/>
      <c r="L154" t="str">
        <f>IF(H154&lt;&gt;"",IFERROR(INDEX('Tournament Setup'!$B$59:$B$78,MATCH(H154,SquadConcurrents,0)),""),"")</f>
        <v/>
      </c>
      <c r="M154" s="1" t="str">
        <f>IFERROR(INDEX('Squad Listing'!$A:$A,MATCH(B154&amp;"-"&amp;H154&amp;"-"&amp;G154,'Squad Listing'!$B:$B,0)),"")</f>
        <v/>
      </c>
      <c r="N154" s="1" t="str">
        <f t="shared" si="6"/>
        <v/>
      </c>
      <c r="O154" s="113"/>
      <c r="P154" s="113"/>
      <c r="Q154" s="113"/>
      <c r="R154" s="113"/>
      <c r="S154" s="114"/>
      <c r="T154" s="114"/>
      <c r="U154" s="114"/>
      <c r="V154" s="114"/>
    </row>
    <row r="155" spans="5:22" x14ac:dyDescent="0.3">
      <c r="E155" t="str">
        <f t="shared" si="5"/>
        <v/>
      </c>
      <c r="G155" s="112"/>
      <c r="H155" s="112"/>
      <c r="I155" s="112"/>
      <c r="J155" s="233"/>
      <c r="L155" t="str">
        <f>IF(H155&lt;&gt;"",IFERROR(INDEX('Tournament Setup'!$B$59:$B$78,MATCH(H155,SquadConcurrents,0)),""),"")</f>
        <v/>
      </c>
      <c r="M155" s="1" t="str">
        <f>IFERROR(INDEX('Squad Listing'!$A:$A,MATCH(B155&amp;"-"&amp;H155&amp;"-"&amp;G155,'Squad Listing'!$B:$B,0)),"")</f>
        <v/>
      </c>
      <c r="N155" s="1" t="str">
        <f t="shared" si="6"/>
        <v/>
      </c>
      <c r="O155" s="113"/>
      <c r="P155" s="113"/>
      <c r="Q155" s="113"/>
      <c r="R155" s="113"/>
      <c r="S155" s="114"/>
      <c r="T155" s="114"/>
      <c r="U155" s="114"/>
      <c r="V155" s="114"/>
    </row>
    <row r="156" spans="5:22" x14ac:dyDescent="0.3">
      <c r="E156" t="str">
        <f t="shared" si="5"/>
        <v/>
      </c>
      <c r="G156" s="112"/>
      <c r="H156" s="112"/>
      <c r="I156" s="112"/>
      <c r="J156" s="233"/>
      <c r="L156" t="str">
        <f>IF(H156&lt;&gt;"",IFERROR(INDEX('Tournament Setup'!$B$59:$B$78,MATCH(H156,SquadConcurrents,0)),""),"")</f>
        <v/>
      </c>
      <c r="M156" s="1" t="str">
        <f>IFERROR(INDEX('Squad Listing'!$A:$A,MATCH(B156&amp;"-"&amp;H156&amp;"-"&amp;G156,'Squad Listing'!$B:$B,0)),"")</f>
        <v/>
      </c>
      <c r="N156" s="1" t="str">
        <f t="shared" si="6"/>
        <v/>
      </c>
      <c r="O156" s="113"/>
      <c r="P156" s="113"/>
      <c r="Q156" s="113"/>
      <c r="R156" s="113"/>
      <c r="S156" s="114"/>
      <c r="T156" s="114"/>
      <c r="U156" s="114"/>
      <c r="V156" s="114"/>
    </row>
    <row r="157" spans="5:22" x14ac:dyDescent="0.3">
      <c r="E157" t="str">
        <f t="shared" si="5"/>
        <v/>
      </c>
      <c r="G157" s="112"/>
      <c r="H157" s="112"/>
      <c r="I157" s="112"/>
      <c r="J157" s="233"/>
      <c r="L157" t="str">
        <f>IF(H157&lt;&gt;"",IFERROR(INDEX('Tournament Setup'!$B$59:$B$78,MATCH(H157,SquadConcurrents,0)),""),"")</f>
        <v/>
      </c>
      <c r="M157" s="1" t="str">
        <f>IFERROR(INDEX('Squad Listing'!$A:$A,MATCH(B157&amp;"-"&amp;H157&amp;"-"&amp;G157,'Squad Listing'!$B:$B,0)),"")</f>
        <v/>
      </c>
      <c r="N157" s="1" t="str">
        <f t="shared" si="6"/>
        <v/>
      </c>
      <c r="O157" s="113"/>
      <c r="P157" s="113"/>
      <c r="Q157" s="113"/>
      <c r="R157" s="113"/>
      <c r="S157" s="114"/>
      <c r="T157" s="114"/>
      <c r="U157" s="114"/>
      <c r="V157" s="114"/>
    </row>
    <row r="158" spans="5:22" x14ac:dyDescent="0.3">
      <c r="E158" t="str">
        <f t="shared" si="5"/>
        <v/>
      </c>
      <c r="G158" s="112"/>
      <c r="H158" s="112"/>
      <c r="I158" s="112"/>
      <c r="J158" s="233"/>
      <c r="L158" t="str">
        <f>IF(H158&lt;&gt;"",IFERROR(INDEX('Tournament Setup'!$B$59:$B$78,MATCH(H158,SquadConcurrents,0)),""),"")</f>
        <v/>
      </c>
      <c r="M158" s="1" t="str">
        <f>IFERROR(INDEX('Squad Listing'!$A:$A,MATCH(B158&amp;"-"&amp;H158&amp;"-"&amp;G158,'Squad Listing'!$B:$B,0)),"")</f>
        <v/>
      </c>
      <c r="N158" s="1" t="str">
        <f t="shared" si="6"/>
        <v/>
      </c>
      <c r="O158" s="113"/>
      <c r="P158" s="113"/>
      <c r="Q158" s="113"/>
      <c r="R158" s="113"/>
      <c r="S158" s="114"/>
      <c r="T158" s="114"/>
      <c r="U158" s="114"/>
      <c r="V158" s="114"/>
    </row>
    <row r="159" spans="5:22" x14ac:dyDescent="0.3">
      <c r="E159" t="str">
        <f t="shared" si="5"/>
        <v/>
      </c>
      <c r="G159" s="112"/>
      <c r="H159" s="112"/>
      <c r="I159" s="112"/>
      <c r="J159" s="233"/>
      <c r="L159" t="str">
        <f>IF(H159&lt;&gt;"",IFERROR(INDEX('Tournament Setup'!$B$59:$B$78,MATCH(H159,SquadConcurrents,0)),""),"")</f>
        <v/>
      </c>
      <c r="M159" s="1" t="str">
        <f>IFERROR(INDEX('Squad Listing'!$A:$A,MATCH(B159&amp;"-"&amp;H159&amp;"-"&amp;G159,'Squad Listing'!$B:$B,0)),"")</f>
        <v/>
      </c>
      <c r="N159" s="1" t="str">
        <f t="shared" si="6"/>
        <v/>
      </c>
      <c r="O159" s="113"/>
      <c r="P159" s="113"/>
      <c r="Q159" s="113"/>
      <c r="R159" s="113"/>
      <c r="S159" s="114"/>
      <c r="T159" s="114"/>
      <c r="U159" s="114"/>
      <c r="V159" s="114"/>
    </row>
    <row r="160" spans="5:22" x14ac:dyDescent="0.3">
      <c r="E160" t="str">
        <f t="shared" si="5"/>
        <v/>
      </c>
      <c r="G160" s="112"/>
      <c r="H160" s="112"/>
      <c r="I160" s="112"/>
      <c r="J160" s="233"/>
      <c r="L160" t="str">
        <f>IF(H160&lt;&gt;"",IFERROR(INDEX('Tournament Setup'!$B$59:$B$78,MATCH(H160,SquadConcurrents,0)),""),"")</f>
        <v/>
      </c>
      <c r="M160" s="1" t="str">
        <f>IFERROR(INDEX('Squad Listing'!$A:$A,MATCH(B160&amp;"-"&amp;H160&amp;"-"&amp;G160,'Squad Listing'!$B:$B,0)),"")</f>
        <v/>
      </c>
      <c r="N160" s="1" t="str">
        <f t="shared" si="6"/>
        <v/>
      </c>
      <c r="O160" s="113"/>
      <c r="P160" s="113"/>
      <c r="Q160" s="113"/>
      <c r="R160" s="113"/>
      <c r="S160" s="114"/>
      <c r="T160" s="114"/>
      <c r="U160" s="114"/>
      <c r="V160" s="114"/>
    </row>
    <row r="161" spans="5:22" x14ac:dyDescent="0.3">
      <c r="E161" t="str">
        <f t="shared" si="5"/>
        <v/>
      </c>
      <c r="G161" s="112"/>
      <c r="H161" s="112"/>
      <c r="I161" s="112"/>
      <c r="J161" s="233"/>
      <c r="L161" t="str">
        <f>IF(H161&lt;&gt;"",IFERROR(INDEX('Tournament Setup'!$B$59:$B$78,MATCH(H161,SquadConcurrents,0)),""),"")</f>
        <v/>
      </c>
      <c r="M161" s="1" t="str">
        <f>IFERROR(INDEX('Squad Listing'!$A:$A,MATCH(B161&amp;"-"&amp;H161&amp;"-"&amp;G161,'Squad Listing'!$B:$B,0)),"")</f>
        <v/>
      </c>
      <c r="N161" s="1" t="str">
        <f t="shared" si="6"/>
        <v/>
      </c>
      <c r="O161" s="113"/>
      <c r="P161" s="113"/>
      <c r="Q161" s="113"/>
      <c r="R161" s="113"/>
      <c r="S161" s="114"/>
      <c r="T161" s="114"/>
      <c r="U161" s="114"/>
      <c r="V161" s="114"/>
    </row>
    <row r="162" spans="5:22" x14ac:dyDescent="0.3">
      <c r="E162" t="str">
        <f t="shared" si="5"/>
        <v/>
      </c>
      <c r="G162" s="112"/>
      <c r="H162" s="112"/>
      <c r="I162" s="112"/>
      <c r="J162" s="233"/>
      <c r="L162" t="str">
        <f>IF(H162&lt;&gt;"",IFERROR(INDEX('Tournament Setup'!$B$59:$B$78,MATCH(H162,SquadConcurrents,0)),""),"")</f>
        <v/>
      </c>
      <c r="M162" s="1" t="str">
        <f>IFERROR(INDEX('Squad Listing'!$A:$A,MATCH(B162&amp;"-"&amp;H162&amp;"-"&amp;G162,'Squad Listing'!$B:$B,0)),"")</f>
        <v/>
      </c>
      <c r="N162" s="1" t="str">
        <f t="shared" si="6"/>
        <v/>
      </c>
      <c r="O162" s="113"/>
      <c r="P162" s="113"/>
      <c r="Q162" s="113"/>
      <c r="R162" s="113"/>
      <c r="S162" s="114"/>
      <c r="T162" s="114"/>
      <c r="U162" s="114"/>
      <c r="V162" s="114"/>
    </row>
    <row r="163" spans="5:22" x14ac:dyDescent="0.3">
      <c r="E163" t="str">
        <f t="shared" si="5"/>
        <v/>
      </c>
      <c r="G163" s="112"/>
      <c r="H163" s="112"/>
      <c r="I163" s="112"/>
      <c r="J163" s="233"/>
      <c r="L163" t="str">
        <f>IF(H163&lt;&gt;"",IFERROR(INDEX('Tournament Setup'!$B$59:$B$78,MATCH(H163,SquadConcurrents,0)),""),"")</f>
        <v/>
      </c>
      <c r="M163" s="1" t="str">
        <f>IFERROR(INDEX('Squad Listing'!$A:$A,MATCH(B163&amp;"-"&amp;H163&amp;"-"&amp;G163,'Squad Listing'!$B:$B,0)),"")</f>
        <v/>
      </c>
      <c r="N163" s="1" t="str">
        <f t="shared" si="6"/>
        <v/>
      </c>
      <c r="O163" s="113"/>
      <c r="P163" s="113"/>
      <c r="Q163" s="113"/>
      <c r="R163" s="113"/>
      <c r="S163" s="114"/>
      <c r="T163" s="114"/>
      <c r="U163" s="114"/>
      <c r="V163" s="114"/>
    </row>
    <row r="164" spans="5:22" x14ac:dyDescent="0.3">
      <c r="E164" t="str">
        <f t="shared" si="5"/>
        <v/>
      </c>
      <c r="G164" s="112"/>
      <c r="H164" s="112"/>
      <c r="I164" s="112"/>
      <c r="J164" s="233"/>
      <c r="L164" t="str">
        <f>IF(H164&lt;&gt;"",IFERROR(INDEX('Tournament Setup'!$B$59:$B$78,MATCH(H164,SquadConcurrents,0)),""),"")</f>
        <v/>
      </c>
      <c r="M164" s="1" t="str">
        <f>IFERROR(INDEX('Squad Listing'!$A:$A,MATCH(B164&amp;"-"&amp;H164&amp;"-"&amp;G164,'Squad Listing'!$B:$B,0)),"")</f>
        <v/>
      </c>
      <c r="N164" s="1" t="str">
        <f t="shared" si="6"/>
        <v/>
      </c>
      <c r="O164" s="113"/>
      <c r="P164" s="113"/>
      <c r="Q164" s="113"/>
      <c r="R164" s="113"/>
      <c r="S164" s="114"/>
      <c r="T164" s="114"/>
      <c r="U164" s="114"/>
      <c r="V164" s="114"/>
    </row>
    <row r="165" spans="5:22" x14ac:dyDescent="0.3">
      <c r="E165" t="str">
        <f t="shared" si="5"/>
        <v/>
      </c>
      <c r="G165" s="112"/>
      <c r="H165" s="112"/>
      <c r="I165" s="112"/>
      <c r="J165" s="233"/>
      <c r="L165" t="str">
        <f>IF(H165&lt;&gt;"",IFERROR(INDEX('Tournament Setup'!$B$59:$B$78,MATCH(H165,SquadConcurrents,0)),""),"")</f>
        <v/>
      </c>
      <c r="M165" s="1" t="str">
        <f>IFERROR(INDEX('Squad Listing'!$A:$A,MATCH(B165&amp;"-"&amp;H165&amp;"-"&amp;G165,'Squad Listing'!$B:$B,0)),"")</f>
        <v/>
      </c>
      <c r="N165" s="1" t="str">
        <f t="shared" si="6"/>
        <v/>
      </c>
      <c r="O165" s="113"/>
      <c r="P165" s="113"/>
      <c r="Q165" s="113"/>
      <c r="R165" s="113"/>
      <c r="S165" s="114"/>
      <c r="T165" s="114"/>
      <c r="U165" s="114"/>
      <c r="V165" s="114"/>
    </row>
    <row r="166" spans="5:22" x14ac:dyDescent="0.3">
      <c r="E166" t="str">
        <f t="shared" si="5"/>
        <v/>
      </c>
      <c r="G166" s="112"/>
      <c r="H166" s="112"/>
      <c r="I166" s="112"/>
      <c r="J166" s="233"/>
      <c r="L166" t="str">
        <f>IF(H166&lt;&gt;"",IFERROR(INDEX('Tournament Setup'!$B$59:$B$78,MATCH(H166,SquadConcurrents,0)),""),"")</f>
        <v/>
      </c>
      <c r="M166" s="1" t="str">
        <f>IFERROR(INDEX('Squad Listing'!$A:$A,MATCH(B166&amp;"-"&amp;H166&amp;"-"&amp;G166,'Squad Listing'!$B:$B,0)),"")</f>
        <v/>
      </c>
      <c r="N166" s="1" t="str">
        <f t="shared" si="6"/>
        <v/>
      </c>
      <c r="O166" s="113"/>
      <c r="P166" s="113"/>
      <c r="Q166" s="113"/>
      <c r="R166" s="113"/>
      <c r="S166" s="114"/>
      <c r="T166" s="114"/>
      <c r="U166" s="114"/>
      <c r="V166" s="114"/>
    </row>
    <row r="167" spans="5:22" x14ac:dyDescent="0.3">
      <c r="E167" t="str">
        <f t="shared" si="5"/>
        <v/>
      </c>
      <c r="G167" s="112"/>
      <c r="H167" s="112"/>
      <c r="I167" s="112"/>
      <c r="J167" s="233"/>
      <c r="L167" t="str">
        <f>IF(H167&lt;&gt;"",IFERROR(INDEX('Tournament Setup'!$B$59:$B$78,MATCH(H167,SquadConcurrents,0)),""),"")</f>
        <v/>
      </c>
      <c r="M167" s="1" t="str">
        <f>IFERROR(INDEX('Squad Listing'!$A:$A,MATCH(B167&amp;"-"&amp;H167&amp;"-"&amp;G167,'Squad Listing'!$B:$B,0)),"")</f>
        <v/>
      </c>
      <c r="N167" s="1" t="str">
        <f t="shared" si="6"/>
        <v/>
      </c>
      <c r="O167" s="113"/>
      <c r="P167" s="113"/>
      <c r="Q167" s="113"/>
      <c r="R167" s="113"/>
      <c r="S167" s="114"/>
      <c r="T167" s="114"/>
      <c r="U167" s="114"/>
      <c r="V167" s="114"/>
    </row>
    <row r="168" spans="5:22" x14ac:dyDescent="0.3">
      <c r="E168" t="str">
        <f t="shared" si="5"/>
        <v/>
      </c>
      <c r="G168" s="112"/>
      <c r="H168" s="112"/>
      <c r="I168" s="112"/>
      <c r="J168" s="233"/>
      <c r="L168" t="str">
        <f>IF(H168&lt;&gt;"",IFERROR(INDEX('Tournament Setup'!$B$59:$B$78,MATCH(H168,SquadConcurrents,0)),""),"")</f>
        <v/>
      </c>
      <c r="M168" s="1" t="str">
        <f>IFERROR(INDEX('Squad Listing'!$A:$A,MATCH(B168&amp;"-"&amp;H168&amp;"-"&amp;G168,'Squad Listing'!$B:$B,0)),"")</f>
        <v/>
      </c>
      <c r="N168" s="1" t="str">
        <f t="shared" si="6"/>
        <v/>
      </c>
      <c r="O168" s="113"/>
      <c r="P168" s="113"/>
      <c r="Q168" s="113"/>
      <c r="R168" s="113"/>
      <c r="S168" s="114"/>
      <c r="T168" s="114"/>
      <c r="U168" s="114"/>
      <c r="V168" s="114"/>
    </row>
    <row r="169" spans="5:22" x14ac:dyDescent="0.3">
      <c r="E169" t="str">
        <f t="shared" si="5"/>
        <v/>
      </c>
      <c r="G169" s="112"/>
      <c r="H169" s="112"/>
      <c r="I169" s="112"/>
      <c r="J169" s="233"/>
      <c r="L169" t="str">
        <f>IF(H169&lt;&gt;"",IFERROR(INDEX('Tournament Setup'!$B$59:$B$78,MATCH(H169,SquadConcurrents,0)),""),"")</f>
        <v/>
      </c>
      <c r="M169" s="1" t="str">
        <f>IFERROR(INDEX('Squad Listing'!$A:$A,MATCH(B169&amp;"-"&amp;H169&amp;"-"&amp;G169,'Squad Listing'!$B:$B,0)),"")</f>
        <v/>
      </c>
      <c r="N169" s="1" t="str">
        <f t="shared" si="6"/>
        <v/>
      </c>
      <c r="O169" s="113"/>
      <c r="P169" s="113"/>
      <c r="Q169" s="113"/>
      <c r="R169" s="113"/>
      <c r="S169" s="114"/>
      <c r="T169" s="114"/>
      <c r="U169" s="114"/>
      <c r="V169" s="114"/>
    </row>
    <row r="170" spans="5:22" x14ac:dyDescent="0.3">
      <c r="E170" t="str">
        <f t="shared" si="5"/>
        <v/>
      </c>
      <c r="G170" s="112"/>
      <c r="H170" s="112"/>
      <c r="I170" s="112"/>
      <c r="J170" s="233"/>
      <c r="L170" t="str">
        <f>IF(H170&lt;&gt;"",IFERROR(INDEX('Tournament Setup'!$B$59:$B$78,MATCH(H170,SquadConcurrents,0)),""),"")</f>
        <v/>
      </c>
      <c r="M170" s="1" t="str">
        <f>IFERROR(INDEX('Squad Listing'!$A:$A,MATCH(B170&amp;"-"&amp;H170&amp;"-"&amp;G170,'Squad Listing'!$B:$B,0)),"")</f>
        <v/>
      </c>
      <c r="N170" s="1" t="str">
        <f t="shared" si="6"/>
        <v/>
      </c>
      <c r="O170" s="113"/>
      <c r="P170" s="113"/>
      <c r="Q170" s="113"/>
      <c r="R170" s="113"/>
      <c r="S170" s="114"/>
      <c r="T170" s="114"/>
      <c r="U170" s="114"/>
      <c r="V170" s="114"/>
    </row>
    <row r="171" spans="5:22" x14ac:dyDescent="0.3">
      <c r="E171" t="str">
        <f t="shared" si="5"/>
        <v/>
      </c>
      <c r="G171" s="112"/>
      <c r="H171" s="112"/>
      <c r="I171" s="112"/>
      <c r="J171" s="233"/>
      <c r="L171" t="str">
        <f>IF(H171&lt;&gt;"",IFERROR(INDEX('Tournament Setup'!$B$59:$B$78,MATCH(H171,SquadConcurrents,0)),""),"")</f>
        <v/>
      </c>
      <c r="M171" s="1" t="str">
        <f>IFERROR(INDEX('Squad Listing'!$A:$A,MATCH(B171&amp;"-"&amp;H171&amp;"-"&amp;G171,'Squad Listing'!$B:$B,0)),"")</f>
        <v/>
      </c>
      <c r="N171" s="1" t="str">
        <f t="shared" si="6"/>
        <v/>
      </c>
      <c r="O171" s="113"/>
      <c r="P171" s="113"/>
      <c r="Q171" s="113"/>
      <c r="R171" s="113"/>
      <c r="S171" s="114"/>
      <c r="T171" s="114"/>
      <c r="U171" s="114"/>
      <c r="V171" s="114"/>
    </row>
    <row r="172" spans="5:22" x14ac:dyDescent="0.3">
      <c r="E172" t="str">
        <f t="shared" si="5"/>
        <v/>
      </c>
      <c r="G172" s="112"/>
      <c r="H172" s="112"/>
      <c r="I172" s="112"/>
      <c r="J172" s="233"/>
      <c r="L172" t="str">
        <f>IF(H172&lt;&gt;"",IFERROR(INDEX('Tournament Setup'!$B$59:$B$78,MATCH(H172,SquadConcurrents,0)),""),"")</f>
        <v/>
      </c>
      <c r="M172" s="1" t="str">
        <f>IFERROR(INDEX('Squad Listing'!$A:$A,MATCH(B172&amp;"-"&amp;H172&amp;"-"&amp;G172,'Squad Listing'!$B:$B,0)),"")</f>
        <v/>
      </c>
      <c r="N172" s="1" t="str">
        <f t="shared" si="6"/>
        <v/>
      </c>
      <c r="O172" s="113"/>
      <c r="P172" s="113"/>
      <c r="Q172" s="113"/>
      <c r="R172" s="113"/>
      <c r="S172" s="114"/>
      <c r="T172" s="114"/>
      <c r="U172" s="114"/>
      <c r="V172" s="114"/>
    </row>
    <row r="173" spans="5:22" x14ac:dyDescent="0.3">
      <c r="E173" t="str">
        <f t="shared" si="5"/>
        <v/>
      </c>
      <c r="G173" s="112"/>
      <c r="H173" s="112"/>
      <c r="I173" s="112"/>
      <c r="J173" s="233"/>
      <c r="L173" t="str">
        <f>IF(H173&lt;&gt;"",IFERROR(INDEX('Tournament Setup'!$B$59:$B$78,MATCH(H173,SquadConcurrents,0)),""),"")</f>
        <v/>
      </c>
      <c r="M173" s="1" t="str">
        <f>IFERROR(INDEX('Squad Listing'!$A:$A,MATCH(B173&amp;"-"&amp;H173&amp;"-"&amp;G173,'Squad Listing'!$B:$B,0)),"")</f>
        <v/>
      </c>
      <c r="N173" s="1" t="str">
        <f t="shared" si="6"/>
        <v/>
      </c>
      <c r="O173" s="113"/>
      <c r="P173" s="113"/>
      <c r="Q173" s="113"/>
      <c r="R173" s="113"/>
      <c r="S173" s="114"/>
      <c r="T173" s="114"/>
      <c r="U173" s="114"/>
      <c r="V173" s="114"/>
    </row>
    <row r="174" spans="5:22" x14ac:dyDescent="0.3">
      <c r="E174" t="str">
        <f t="shared" si="5"/>
        <v/>
      </c>
      <c r="G174" s="112"/>
      <c r="H174" s="112"/>
      <c r="I174" s="112"/>
      <c r="J174" s="233"/>
      <c r="L174" t="str">
        <f>IF(H174&lt;&gt;"",IFERROR(INDEX('Tournament Setup'!$B$59:$B$78,MATCH(H174,SquadConcurrents,0)),""),"")</f>
        <v/>
      </c>
      <c r="M174" s="1" t="str">
        <f>IFERROR(INDEX('Squad Listing'!$A:$A,MATCH(B174&amp;"-"&amp;H174&amp;"-"&amp;G174,'Squad Listing'!$B:$B,0)),"")</f>
        <v/>
      </c>
      <c r="N174" s="1" t="str">
        <f t="shared" si="6"/>
        <v/>
      </c>
      <c r="O174" s="113"/>
      <c r="P174" s="113"/>
      <c r="Q174" s="113"/>
      <c r="R174" s="113"/>
      <c r="S174" s="114"/>
      <c r="T174" s="114"/>
      <c r="U174" s="114"/>
      <c r="V174" s="114"/>
    </row>
    <row r="175" spans="5:22" x14ac:dyDescent="0.3">
      <c r="E175" t="str">
        <f t="shared" si="5"/>
        <v/>
      </c>
      <c r="G175" s="112"/>
      <c r="H175" s="112"/>
      <c r="I175" s="112"/>
      <c r="J175" s="233"/>
      <c r="L175" t="str">
        <f>IF(H175&lt;&gt;"",IFERROR(INDEX('Tournament Setup'!$B$59:$B$78,MATCH(H175,SquadConcurrents,0)),""),"")</f>
        <v/>
      </c>
      <c r="M175" s="1" t="str">
        <f>IFERROR(INDEX('Squad Listing'!$A:$A,MATCH(B175&amp;"-"&amp;H175&amp;"-"&amp;G175,'Squad Listing'!$B:$B,0)),"")</f>
        <v/>
      </c>
      <c r="N175" s="1" t="str">
        <f t="shared" si="6"/>
        <v/>
      </c>
      <c r="O175" s="113"/>
      <c r="P175" s="113"/>
      <c r="Q175" s="113"/>
      <c r="R175" s="113"/>
      <c r="S175" s="114"/>
      <c r="T175" s="114"/>
      <c r="U175" s="114"/>
      <c r="V175" s="114"/>
    </row>
    <row r="176" spans="5:22" x14ac:dyDescent="0.3">
      <c r="E176" t="str">
        <f t="shared" si="5"/>
        <v/>
      </c>
      <c r="G176" s="112"/>
      <c r="H176" s="112"/>
      <c r="I176" s="112"/>
      <c r="J176" s="233"/>
      <c r="L176" t="str">
        <f>IF(H176&lt;&gt;"",IFERROR(INDEX('Tournament Setup'!$B$59:$B$78,MATCH(H176,SquadConcurrents,0)),""),"")</f>
        <v/>
      </c>
      <c r="M176" s="1" t="str">
        <f>IFERROR(INDEX('Squad Listing'!$A:$A,MATCH(B176&amp;"-"&amp;H176&amp;"-"&amp;G176,'Squad Listing'!$B:$B,0)),"")</f>
        <v/>
      </c>
      <c r="N176" s="1" t="str">
        <f t="shared" si="6"/>
        <v/>
      </c>
      <c r="O176" s="113"/>
      <c r="P176" s="113"/>
      <c r="Q176" s="113"/>
      <c r="R176" s="113"/>
      <c r="S176" s="114"/>
      <c r="T176" s="114"/>
      <c r="U176" s="114"/>
      <c r="V176" s="114"/>
    </row>
    <row r="177" spans="5:22" x14ac:dyDescent="0.3">
      <c r="E177" t="str">
        <f t="shared" si="5"/>
        <v/>
      </c>
      <c r="G177" s="112"/>
      <c r="H177" s="112"/>
      <c r="I177" s="112"/>
      <c r="J177" s="233"/>
      <c r="L177" t="str">
        <f>IF(H177&lt;&gt;"",IFERROR(INDEX('Tournament Setup'!$B$59:$B$78,MATCH(H177,SquadConcurrents,0)),""),"")</f>
        <v/>
      </c>
      <c r="M177" s="1" t="str">
        <f>IFERROR(INDEX('Squad Listing'!$A:$A,MATCH(B177&amp;"-"&amp;H177&amp;"-"&amp;G177,'Squad Listing'!$B:$B,0)),"")</f>
        <v/>
      </c>
      <c r="N177" s="1" t="str">
        <f t="shared" si="6"/>
        <v/>
      </c>
      <c r="O177" s="113"/>
      <c r="P177" s="113"/>
      <c r="Q177" s="113"/>
      <c r="R177" s="113"/>
      <c r="S177" s="114"/>
      <c r="T177" s="114"/>
      <c r="U177" s="114"/>
      <c r="V177" s="114"/>
    </row>
    <row r="178" spans="5:22" x14ac:dyDescent="0.3">
      <c r="E178" t="str">
        <f t="shared" si="5"/>
        <v/>
      </c>
      <c r="G178" s="112"/>
      <c r="H178" s="112"/>
      <c r="I178" s="112"/>
      <c r="J178" s="233"/>
      <c r="L178" t="str">
        <f>IF(H178&lt;&gt;"",IFERROR(INDEX('Tournament Setup'!$B$59:$B$78,MATCH(H178,SquadConcurrents,0)),""),"")</f>
        <v/>
      </c>
      <c r="M178" s="1" t="str">
        <f>IFERROR(INDEX('Squad Listing'!$A:$A,MATCH(B178&amp;"-"&amp;H178&amp;"-"&amp;G178,'Squad Listing'!$B:$B,0)),"")</f>
        <v/>
      </c>
      <c r="N178" s="1" t="str">
        <f t="shared" si="6"/>
        <v/>
      </c>
      <c r="O178" s="113"/>
      <c r="P178" s="113"/>
      <c r="Q178" s="113"/>
      <c r="R178" s="113"/>
      <c r="S178" s="114"/>
      <c r="T178" s="114"/>
      <c r="U178" s="114"/>
      <c r="V178" s="114"/>
    </row>
    <row r="179" spans="5:22" x14ac:dyDescent="0.3">
      <c r="E179" t="str">
        <f t="shared" si="5"/>
        <v/>
      </c>
      <c r="G179" s="112"/>
      <c r="H179" s="112"/>
      <c r="I179" s="112"/>
      <c r="J179" s="233"/>
      <c r="L179" t="str">
        <f>IF(H179&lt;&gt;"",IFERROR(INDEX('Tournament Setup'!$B$59:$B$78,MATCH(H179,SquadConcurrents,0)),""),"")</f>
        <v/>
      </c>
      <c r="M179" s="1" t="str">
        <f>IFERROR(INDEX('Squad Listing'!$A:$A,MATCH(B179&amp;"-"&amp;H179&amp;"-"&amp;G179,'Squad Listing'!$B:$B,0)),"")</f>
        <v/>
      </c>
      <c r="N179" s="1" t="str">
        <f t="shared" si="6"/>
        <v/>
      </c>
      <c r="O179" s="113"/>
      <c r="P179" s="113"/>
      <c r="Q179" s="113"/>
      <c r="R179" s="113"/>
      <c r="S179" s="114"/>
      <c r="T179" s="114"/>
      <c r="U179" s="114"/>
      <c r="V179" s="114"/>
    </row>
    <row r="180" spans="5:22" x14ac:dyDescent="0.3">
      <c r="E180" t="str">
        <f t="shared" si="5"/>
        <v/>
      </c>
      <c r="G180" s="112"/>
      <c r="H180" s="112"/>
      <c r="I180" s="112"/>
      <c r="J180" s="233"/>
      <c r="L180" t="str">
        <f>IF(H180&lt;&gt;"",IFERROR(INDEX('Tournament Setup'!$B$59:$B$78,MATCH(H180,SquadConcurrents,0)),""),"")</f>
        <v/>
      </c>
      <c r="M180" s="1" t="str">
        <f>IFERROR(INDEX('Squad Listing'!$A:$A,MATCH(B180&amp;"-"&amp;H180&amp;"-"&amp;G180,'Squad Listing'!$B:$B,0)),"")</f>
        <v/>
      </c>
      <c r="N180" s="1" t="str">
        <f t="shared" si="6"/>
        <v/>
      </c>
      <c r="O180" s="113"/>
      <c r="P180" s="113"/>
      <c r="Q180" s="113"/>
      <c r="R180" s="113"/>
      <c r="S180" s="114"/>
      <c r="T180" s="114"/>
      <c r="U180" s="114"/>
      <c r="V180" s="114"/>
    </row>
    <row r="181" spans="5:22" x14ac:dyDescent="0.3">
      <c r="E181" t="str">
        <f t="shared" si="5"/>
        <v/>
      </c>
      <c r="G181" s="112"/>
      <c r="H181" s="112"/>
      <c r="I181" s="112"/>
      <c r="J181" s="233"/>
      <c r="L181" t="str">
        <f>IF(H181&lt;&gt;"",IFERROR(INDEX('Tournament Setup'!$B$59:$B$78,MATCH(H181,SquadConcurrents,0)),""),"")</f>
        <v/>
      </c>
      <c r="M181" s="1" t="str">
        <f>IFERROR(INDEX('Squad Listing'!$A:$A,MATCH(B181&amp;"-"&amp;H181&amp;"-"&amp;G181,'Squad Listing'!$B:$B,0)),"")</f>
        <v/>
      </c>
      <c r="N181" s="1" t="str">
        <f t="shared" si="6"/>
        <v/>
      </c>
      <c r="O181" s="113"/>
      <c r="P181" s="113"/>
      <c r="Q181" s="113"/>
      <c r="R181" s="113"/>
      <c r="S181" s="114"/>
      <c r="T181" s="114"/>
      <c r="U181" s="114"/>
      <c r="V181" s="114"/>
    </row>
    <row r="182" spans="5:22" x14ac:dyDescent="0.3">
      <c r="E182" t="str">
        <f t="shared" si="5"/>
        <v/>
      </c>
      <c r="G182" s="112"/>
      <c r="H182" s="112"/>
      <c r="I182" s="112"/>
      <c r="J182" s="233"/>
      <c r="L182" t="str">
        <f>IF(H182&lt;&gt;"",IFERROR(INDEX('Tournament Setup'!$B$59:$B$78,MATCH(H182,SquadConcurrents,0)),""),"")</f>
        <v/>
      </c>
      <c r="M182" s="1" t="str">
        <f>IFERROR(INDEX('Squad Listing'!$A:$A,MATCH(B182&amp;"-"&amp;H182&amp;"-"&amp;G182,'Squad Listing'!$B:$B,0)),"")</f>
        <v/>
      </c>
      <c r="N182" s="1" t="str">
        <f t="shared" si="6"/>
        <v/>
      </c>
      <c r="O182" s="113"/>
      <c r="P182" s="113"/>
      <c r="Q182" s="113"/>
      <c r="R182" s="113"/>
      <c r="S182" s="114"/>
      <c r="T182" s="114"/>
      <c r="U182" s="114"/>
      <c r="V182" s="114"/>
    </row>
    <row r="183" spans="5:22" x14ac:dyDescent="0.3">
      <c r="E183" t="str">
        <f t="shared" si="5"/>
        <v/>
      </c>
      <c r="G183" s="112"/>
      <c r="H183" s="112"/>
      <c r="I183" s="112"/>
      <c r="J183" s="233"/>
      <c r="L183" t="str">
        <f>IF(H183&lt;&gt;"",IFERROR(INDEX('Tournament Setup'!$B$59:$B$78,MATCH(H183,SquadConcurrents,0)),""),"")</f>
        <v/>
      </c>
      <c r="M183" s="1" t="str">
        <f>IFERROR(INDEX('Squad Listing'!$A:$A,MATCH(B183&amp;"-"&amp;H183&amp;"-"&amp;G183,'Squad Listing'!$B:$B,0)),"")</f>
        <v/>
      </c>
      <c r="N183" s="1" t="str">
        <f t="shared" si="6"/>
        <v/>
      </c>
      <c r="O183" s="113"/>
      <c r="P183" s="113"/>
      <c r="Q183" s="113"/>
      <c r="R183" s="113"/>
      <c r="S183" s="114"/>
      <c r="T183" s="114"/>
      <c r="U183" s="114"/>
      <c r="V183" s="114"/>
    </row>
    <row r="184" spans="5:22" x14ac:dyDescent="0.3">
      <c r="E184" t="str">
        <f t="shared" si="5"/>
        <v/>
      </c>
      <c r="G184" s="112"/>
      <c r="H184" s="112"/>
      <c r="I184" s="112"/>
      <c r="J184" s="233"/>
      <c r="L184" t="str">
        <f>IF(H184&lt;&gt;"",IFERROR(INDEX('Tournament Setup'!$B$59:$B$78,MATCH(H184,SquadConcurrents,0)),""),"")</f>
        <v/>
      </c>
      <c r="M184" s="1" t="str">
        <f>IFERROR(INDEX('Squad Listing'!$A:$A,MATCH(B184&amp;"-"&amp;H184&amp;"-"&amp;G184,'Squad Listing'!$B:$B,0)),"")</f>
        <v/>
      </c>
      <c r="N184" s="1" t="str">
        <f t="shared" si="6"/>
        <v/>
      </c>
      <c r="O184" s="113"/>
      <c r="P184" s="113"/>
      <c r="Q184" s="113"/>
      <c r="R184" s="113"/>
      <c r="S184" s="114"/>
      <c r="T184" s="114"/>
      <c r="U184" s="114"/>
      <c r="V184" s="114"/>
    </row>
    <row r="185" spans="5:22" x14ac:dyDescent="0.3">
      <c r="E185" t="str">
        <f t="shared" si="5"/>
        <v/>
      </c>
      <c r="G185" s="112"/>
      <c r="H185" s="112"/>
      <c r="I185" s="112"/>
      <c r="J185" s="233"/>
      <c r="L185" t="str">
        <f>IF(H185&lt;&gt;"",IFERROR(INDEX('Tournament Setup'!$B$59:$B$78,MATCH(H185,SquadConcurrents,0)),""),"")</f>
        <v/>
      </c>
      <c r="M185" s="1" t="str">
        <f>IFERROR(INDEX('Squad Listing'!$A:$A,MATCH(B185&amp;"-"&amp;H185&amp;"-"&amp;G185,'Squad Listing'!$B:$B,0)),"")</f>
        <v/>
      </c>
      <c r="N185" s="1" t="str">
        <f t="shared" si="6"/>
        <v/>
      </c>
      <c r="O185" s="113"/>
      <c r="P185" s="113"/>
      <c r="Q185" s="113"/>
      <c r="R185" s="113"/>
      <c r="S185" s="114"/>
      <c r="T185" s="114"/>
      <c r="U185" s="114"/>
      <c r="V185" s="114"/>
    </row>
    <row r="186" spans="5:22" x14ac:dyDescent="0.3">
      <c r="E186" t="str">
        <f t="shared" si="5"/>
        <v/>
      </c>
      <c r="G186" s="112"/>
      <c r="H186" s="112"/>
      <c r="I186" s="112"/>
      <c r="J186" s="233"/>
      <c r="L186" t="str">
        <f>IF(H186&lt;&gt;"",IFERROR(INDEX('Tournament Setup'!$B$59:$B$78,MATCH(H186,SquadConcurrents,0)),""),"")</f>
        <v/>
      </c>
      <c r="M186" s="1" t="str">
        <f>IFERROR(INDEX('Squad Listing'!$A:$A,MATCH(B186&amp;"-"&amp;H186&amp;"-"&amp;G186,'Squad Listing'!$B:$B,0)),"")</f>
        <v/>
      </c>
      <c r="N186" s="1" t="str">
        <f t="shared" si="6"/>
        <v/>
      </c>
      <c r="O186" s="113"/>
      <c r="P186" s="113"/>
      <c r="Q186" s="113"/>
      <c r="R186" s="113"/>
      <c r="S186" s="114"/>
      <c r="T186" s="114"/>
      <c r="U186" s="114"/>
      <c r="V186" s="114"/>
    </row>
    <row r="187" spans="5:22" x14ac:dyDescent="0.3">
      <c r="E187" t="str">
        <f t="shared" si="5"/>
        <v/>
      </c>
      <c r="G187" s="112"/>
      <c r="H187" s="112"/>
      <c r="I187" s="112"/>
      <c r="J187" s="233"/>
      <c r="L187" t="str">
        <f>IF(H187&lt;&gt;"",IFERROR(INDEX('Tournament Setup'!$B$59:$B$78,MATCH(H187,SquadConcurrents,0)),""),"")</f>
        <v/>
      </c>
      <c r="M187" s="1" t="str">
        <f>IFERROR(INDEX('Squad Listing'!$A:$A,MATCH(B187&amp;"-"&amp;H187&amp;"-"&amp;G187,'Squad Listing'!$B:$B,0)),"")</f>
        <v/>
      </c>
      <c r="N187" s="1" t="str">
        <f t="shared" si="6"/>
        <v/>
      </c>
      <c r="O187" s="113"/>
      <c r="P187" s="113"/>
      <c r="Q187" s="113"/>
      <c r="R187" s="113"/>
      <c r="S187" s="114"/>
      <c r="T187" s="114"/>
      <c r="U187" s="114"/>
      <c r="V187" s="114"/>
    </row>
    <row r="188" spans="5:22" x14ac:dyDescent="0.3">
      <c r="E188" t="str">
        <f t="shared" si="5"/>
        <v/>
      </c>
      <c r="G188" s="112"/>
      <c r="H188" s="112"/>
      <c r="I188" s="112"/>
      <c r="J188" s="233"/>
      <c r="L188" t="str">
        <f>IF(H188&lt;&gt;"",IFERROR(INDEX('Tournament Setup'!$B$59:$B$78,MATCH(H188,SquadConcurrents,0)),""),"")</f>
        <v/>
      </c>
      <c r="M188" s="1" t="str">
        <f>IFERROR(INDEX('Squad Listing'!$A:$A,MATCH(B188&amp;"-"&amp;H188&amp;"-"&amp;G188,'Squad Listing'!$B:$B,0)),"")</f>
        <v/>
      </c>
      <c r="N188" s="1" t="str">
        <f t="shared" si="6"/>
        <v/>
      </c>
      <c r="O188" s="113"/>
      <c r="P188" s="113"/>
      <c r="Q188" s="113"/>
      <c r="R188" s="113"/>
      <c r="S188" s="114"/>
      <c r="T188" s="114"/>
      <c r="U188" s="114"/>
      <c r="V188" s="114"/>
    </row>
    <row r="189" spans="5:22" x14ac:dyDescent="0.3">
      <c r="E189" t="str">
        <f t="shared" si="5"/>
        <v/>
      </c>
      <c r="G189" s="112"/>
      <c r="H189" s="112"/>
      <c r="I189" s="112"/>
      <c r="J189" s="233"/>
      <c r="L189" t="str">
        <f>IF(H189&lt;&gt;"",IFERROR(INDEX('Tournament Setup'!$B$59:$B$78,MATCH(H189,SquadConcurrents,0)),""),"")</f>
        <v/>
      </c>
      <c r="M189" s="1" t="str">
        <f>IFERROR(INDEX('Squad Listing'!$A:$A,MATCH(B189&amp;"-"&amp;H189&amp;"-"&amp;G189,'Squad Listing'!$B:$B,0)),"")</f>
        <v/>
      </c>
      <c r="N189" s="1" t="str">
        <f t="shared" si="6"/>
        <v/>
      </c>
      <c r="O189" s="113"/>
      <c r="P189" s="113"/>
      <c r="Q189" s="113"/>
      <c r="R189" s="113"/>
      <c r="S189" s="114"/>
      <c r="T189" s="114"/>
      <c r="U189" s="114"/>
      <c r="V189" s="114"/>
    </row>
    <row r="190" spans="5:22" x14ac:dyDescent="0.3">
      <c r="E190" t="str">
        <f t="shared" si="5"/>
        <v/>
      </c>
      <c r="G190" s="112"/>
      <c r="H190" s="112"/>
      <c r="I190" s="112"/>
      <c r="J190" s="233"/>
      <c r="L190" t="str">
        <f>IF(H190&lt;&gt;"",IFERROR(INDEX('Tournament Setup'!$B$59:$B$78,MATCH(H190,SquadConcurrents,0)),""),"")</f>
        <v/>
      </c>
      <c r="M190" s="1" t="str">
        <f>IFERROR(INDEX('Squad Listing'!$A:$A,MATCH(B190&amp;"-"&amp;H190&amp;"-"&amp;G190,'Squad Listing'!$B:$B,0)),"")</f>
        <v/>
      </c>
      <c r="N190" s="1" t="str">
        <f t="shared" si="6"/>
        <v/>
      </c>
      <c r="O190" s="113"/>
      <c r="P190" s="113"/>
      <c r="Q190" s="113"/>
      <c r="R190" s="113"/>
      <c r="S190" s="114"/>
      <c r="T190" s="114"/>
      <c r="U190" s="114"/>
      <c r="V190" s="114"/>
    </row>
    <row r="191" spans="5:22" x14ac:dyDescent="0.3">
      <c r="E191" t="str">
        <f t="shared" si="5"/>
        <v/>
      </c>
      <c r="G191" s="112"/>
      <c r="H191" s="112"/>
      <c r="I191" s="112"/>
      <c r="J191" s="233"/>
      <c r="L191" t="str">
        <f>IF(H191&lt;&gt;"",IFERROR(INDEX('Tournament Setup'!$B$59:$B$78,MATCH(H191,SquadConcurrents,0)),""),"")</f>
        <v/>
      </c>
      <c r="M191" s="1" t="str">
        <f>IFERROR(INDEX('Squad Listing'!$A:$A,MATCH(B191&amp;"-"&amp;H191&amp;"-"&amp;G191,'Squad Listing'!$B:$B,0)),"")</f>
        <v/>
      </c>
      <c r="N191" s="1" t="str">
        <f t="shared" si="6"/>
        <v/>
      </c>
      <c r="O191" s="113"/>
      <c r="P191" s="113"/>
      <c r="Q191" s="113"/>
      <c r="R191" s="113"/>
      <c r="S191" s="114"/>
      <c r="T191" s="114"/>
      <c r="U191" s="114"/>
      <c r="V191" s="114"/>
    </row>
    <row r="192" spans="5:22" x14ac:dyDescent="0.3">
      <c r="E192" t="str">
        <f t="shared" si="5"/>
        <v/>
      </c>
      <c r="G192" s="112"/>
      <c r="H192" s="112"/>
      <c r="I192" s="112"/>
      <c r="J192" s="233"/>
      <c r="L192" t="str">
        <f>IF(H192&lt;&gt;"",IFERROR(INDEX('Tournament Setup'!$B$59:$B$78,MATCH(H192,SquadConcurrents,0)),""),"")</f>
        <v/>
      </c>
      <c r="M192" s="1" t="str">
        <f>IFERROR(INDEX('Squad Listing'!$A:$A,MATCH(B192&amp;"-"&amp;H192&amp;"-"&amp;G192,'Squad Listing'!$B:$B,0)),"")</f>
        <v/>
      </c>
      <c r="N192" s="1" t="str">
        <f t="shared" si="6"/>
        <v/>
      </c>
      <c r="O192" s="113"/>
      <c r="P192" s="113"/>
      <c r="Q192" s="113"/>
      <c r="R192" s="113"/>
      <c r="S192" s="114"/>
      <c r="T192" s="114"/>
      <c r="U192" s="114"/>
      <c r="V192" s="114"/>
    </row>
    <row r="193" spans="1:29" x14ac:dyDescent="0.3">
      <c r="E193" t="str">
        <f t="shared" si="5"/>
        <v/>
      </c>
      <c r="G193" s="112"/>
      <c r="H193" s="112"/>
      <c r="I193" s="112"/>
      <c r="J193" s="233"/>
      <c r="L193" t="str">
        <f>IF(H193&lt;&gt;"",IFERROR(INDEX('Tournament Setup'!$B$59:$B$78,MATCH(H193,SquadConcurrents,0)),""),"")</f>
        <v/>
      </c>
      <c r="M193" s="1" t="str">
        <f>IFERROR(INDEX('Squad Listing'!$A:$A,MATCH(B193&amp;"-"&amp;H193&amp;"-"&amp;G193,'Squad Listing'!$B:$B,0)),"")</f>
        <v/>
      </c>
      <c r="N193" s="1" t="str">
        <f t="shared" si="6"/>
        <v/>
      </c>
      <c r="O193" s="113"/>
      <c r="P193" s="113"/>
      <c r="Q193" s="113"/>
      <c r="R193" s="113"/>
      <c r="S193" s="114"/>
      <c r="T193" s="114"/>
      <c r="U193" s="114"/>
      <c r="V193" s="114"/>
    </row>
    <row r="194" spans="1:29" x14ac:dyDescent="0.3">
      <c r="E194" t="str">
        <f t="shared" si="5"/>
        <v/>
      </c>
      <c r="G194" s="112"/>
      <c r="H194" s="112"/>
      <c r="I194" s="112"/>
      <c r="J194" s="233"/>
      <c r="L194" t="str">
        <f>IF(H194&lt;&gt;"",IFERROR(INDEX('Tournament Setup'!$B$59:$B$78,MATCH(H194,SquadConcurrents,0)),""),"")</f>
        <v/>
      </c>
      <c r="M194" s="1" t="str">
        <f>IFERROR(INDEX('Squad Listing'!$A:$A,MATCH(B194&amp;"-"&amp;H194&amp;"-"&amp;G194,'Squad Listing'!$B:$B,0)),"")</f>
        <v/>
      </c>
      <c r="N194" s="1" t="str">
        <f t="shared" si="6"/>
        <v/>
      </c>
      <c r="O194" s="113"/>
      <c r="P194" s="113"/>
      <c r="Q194" s="113"/>
      <c r="R194" s="113"/>
      <c r="S194" s="114"/>
      <c r="T194" s="114"/>
      <c r="U194" s="114"/>
      <c r="V194" s="114"/>
    </row>
    <row r="195" spans="1:29" x14ac:dyDescent="0.3">
      <c r="E195" t="str">
        <f t="shared" ref="E195:E200" si="7">IF(C195&lt;&gt;"",C195&amp;" "&amp;D195,"")</f>
        <v/>
      </c>
      <c r="G195" s="112"/>
      <c r="H195" s="112"/>
      <c r="I195" s="112"/>
      <c r="J195" s="233"/>
      <c r="L195" t="str">
        <f>IF(H195&lt;&gt;"",IFERROR(INDEX('Tournament Setup'!$B$59:$B$78,MATCH(H195,SquadConcurrents,0)),""),"")</f>
        <v/>
      </c>
      <c r="M195" s="1" t="str">
        <f>IFERROR(INDEX('Squad Listing'!$A:$A,MATCH(B195&amp;"-"&amp;H195&amp;"-"&amp;G195,'Squad Listing'!$B:$B,0)),"")</f>
        <v/>
      </c>
      <c r="N195" s="1" t="str">
        <f t="shared" si="6"/>
        <v/>
      </c>
      <c r="O195" s="113"/>
      <c r="P195" s="113"/>
      <c r="Q195" s="113"/>
      <c r="R195" s="113"/>
      <c r="S195" s="114"/>
      <c r="T195" s="114"/>
      <c r="U195" s="114"/>
      <c r="V195" s="114"/>
    </row>
    <row r="196" spans="1:29" x14ac:dyDescent="0.3">
      <c r="E196" t="str">
        <f t="shared" si="7"/>
        <v/>
      </c>
      <c r="G196" s="112"/>
      <c r="H196" s="112"/>
      <c r="I196" s="112"/>
      <c r="J196" s="233"/>
      <c r="L196" t="str">
        <f>IF(H196&lt;&gt;"",IFERROR(INDEX('Tournament Setup'!$B$59:$B$78,MATCH(H196,SquadConcurrents,0)),""),"")</f>
        <v/>
      </c>
      <c r="M196" s="1" t="str">
        <f>IFERROR(INDEX('Squad Listing'!$A:$A,MATCH(B196&amp;"-"&amp;H196&amp;"-"&amp;G196,'Squad Listing'!$B:$B,0)),"")</f>
        <v/>
      </c>
      <c r="N196" s="1" t="str">
        <f t="shared" ref="N196:N200" si="8">IF(H196&lt;&gt;"",I196,"")</f>
        <v/>
      </c>
      <c r="O196" s="113"/>
      <c r="P196" s="113"/>
      <c r="Q196" s="113"/>
      <c r="R196" s="113"/>
      <c r="S196" s="114"/>
      <c r="T196" s="114"/>
      <c r="U196" s="114"/>
      <c r="V196" s="114"/>
    </row>
    <row r="197" spans="1:29" x14ac:dyDescent="0.3">
      <c r="E197" t="str">
        <f t="shared" si="7"/>
        <v/>
      </c>
      <c r="G197" s="112"/>
      <c r="H197" s="112"/>
      <c r="I197" s="112"/>
      <c r="J197" s="233"/>
      <c r="L197" t="str">
        <f>IF(H197&lt;&gt;"",IFERROR(INDEX('Tournament Setup'!$B$59:$B$78,MATCH(H197,SquadConcurrents,0)),""),"")</f>
        <v/>
      </c>
      <c r="M197" s="1" t="str">
        <f>IFERROR(INDEX('Squad Listing'!$A:$A,MATCH(B197&amp;"-"&amp;H197&amp;"-"&amp;G197,'Squad Listing'!$B:$B,0)),"")</f>
        <v/>
      </c>
      <c r="N197" s="1" t="str">
        <f t="shared" si="8"/>
        <v/>
      </c>
      <c r="O197" s="113"/>
      <c r="P197" s="113"/>
      <c r="Q197" s="113"/>
      <c r="R197" s="113"/>
      <c r="S197" s="114"/>
      <c r="T197" s="114"/>
      <c r="U197" s="114"/>
      <c r="V197" s="114"/>
    </row>
    <row r="198" spans="1:29" x14ac:dyDescent="0.3">
      <c r="E198" t="str">
        <f t="shared" si="7"/>
        <v/>
      </c>
      <c r="G198" s="112"/>
      <c r="H198" s="112"/>
      <c r="I198" s="112"/>
      <c r="J198" s="233"/>
      <c r="L198" t="str">
        <f>IF(H198&lt;&gt;"",IFERROR(INDEX('Tournament Setup'!$B$59:$B$78,MATCH(H198,SquadConcurrents,0)),""),"")</f>
        <v/>
      </c>
      <c r="M198" s="1" t="str">
        <f>IFERROR(INDEX('Squad Listing'!$A:$A,MATCH(B198&amp;"-"&amp;H198&amp;"-"&amp;G198,'Squad Listing'!$B:$B,0)),"")</f>
        <v/>
      </c>
      <c r="N198" s="1" t="str">
        <f t="shared" si="8"/>
        <v/>
      </c>
      <c r="O198" s="113"/>
      <c r="P198" s="113"/>
      <c r="Q198" s="113"/>
      <c r="R198" s="113"/>
      <c r="S198" s="114"/>
      <c r="T198" s="114"/>
      <c r="U198" s="114"/>
      <c r="V198" s="114"/>
    </row>
    <row r="199" spans="1:29" x14ac:dyDescent="0.3">
      <c r="E199" t="str">
        <f t="shared" si="7"/>
        <v/>
      </c>
      <c r="G199" s="112"/>
      <c r="H199" s="112"/>
      <c r="I199" s="112"/>
      <c r="J199" s="233"/>
      <c r="L199" t="str">
        <f>IF(H199&lt;&gt;"",IFERROR(INDEX('Tournament Setup'!$B$59:$B$78,MATCH(H199,SquadConcurrents,0)),""),"")</f>
        <v/>
      </c>
      <c r="M199" s="1" t="str">
        <f>IFERROR(INDEX('Squad Listing'!$A:$A,MATCH(B199&amp;"-"&amp;H199&amp;"-"&amp;G199,'Squad Listing'!$B:$B,0)),"")</f>
        <v/>
      </c>
      <c r="N199" s="1" t="str">
        <f t="shared" si="8"/>
        <v/>
      </c>
      <c r="O199" s="113"/>
      <c r="P199" s="113"/>
      <c r="Q199" s="113"/>
      <c r="R199" s="113"/>
      <c r="S199" s="114"/>
      <c r="T199" s="114"/>
      <c r="U199" s="114"/>
      <c r="V199" s="114"/>
    </row>
    <row r="200" spans="1:29" x14ac:dyDescent="0.3">
      <c r="E200" t="str">
        <f t="shared" si="7"/>
        <v/>
      </c>
      <c r="G200" s="112"/>
      <c r="H200" s="112"/>
      <c r="I200" s="112"/>
      <c r="J200" s="233"/>
      <c r="L200" t="str">
        <f>IF(H200&lt;&gt;"",IFERROR(INDEX('Tournament Setup'!$B$59:$B$78,MATCH(H200,SquadConcurrents,0)),""),"")</f>
        <v/>
      </c>
      <c r="M200" s="1" t="str">
        <f>IFERROR(INDEX('Squad Listing'!$A:$A,MATCH(B200&amp;"-"&amp;H200&amp;"-"&amp;G200,'Squad Listing'!$B:$B,0)),"")</f>
        <v/>
      </c>
      <c r="N200" s="1" t="str">
        <f t="shared" si="8"/>
        <v/>
      </c>
      <c r="O200" s="113"/>
      <c r="P200" s="113"/>
      <c r="Q200" s="113"/>
      <c r="R200" s="113"/>
      <c r="S200" s="114"/>
      <c r="T200" s="114"/>
      <c r="U200" s="114"/>
      <c r="V200" s="114"/>
    </row>
    <row r="201" spans="1:29" s="33" customFormat="1" x14ac:dyDescent="0.3">
      <c r="A201" s="33" t="s">
        <v>263</v>
      </c>
      <c r="B201" s="33" t="s">
        <v>263</v>
      </c>
      <c r="C201" s="33" t="s">
        <v>263</v>
      </c>
      <c r="D201" s="33" t="s">
        <v>263</v>
      </c>
      <c r="E201" s="33" t="s">
        <v>263</v>
      </c>
      <c r="F201" s="33" t="s">
        <v>263</v>
      </c>
      <c r="G201" s="34" t="s">
        <v>263</v>
      </c>
      <c r="H201" s="34" t="s">
        <v>263</v>
      </c>
      <c r="I201" s="34" t="s">
        <v>263</v>
      </c>
      <c r="J201" s="34" t="s">
        <v>263</v>
      </c>
      <c r="K201" s="33" t="s">
        <v>263</v>
      </c>
      <c r="M201" s="34" t="s">
        <v>263</v>
      </c>
      <c r="N201" s="34" t="s">
        <v>263</v>
      </c>
      <c r="O201" s="34" t="s">
        <v>263</v>
      </c>
      <c r="P201" s="34" t="s">
        <v>263</v>
      </c>
      <c r="Q201" s="34" t="s">
        <v>263</v>
      </c>
      <c r="R201" s="34" t="s">
        <v>263</v>
      </c>
      <c r="S201" s="34" t="s">
        <v>263</v>
      </c>
      <c r="T201" s="34" t="s">
        <v>263</v>
      </c>
      <c r="U201" s="34" t="s">
        <v>263</v>
      </c>
      <c r="V201" s="34" t="s">
        <v>263</v>
      </c>
      <c r="W201" s="33" t="s">
        <v>263</v>
      </c>
      <c r="X201" s="33" t="s">
        <v>263</v>
      </c>
      <c r="Y201" s="33" t="s">
        <v>263</v>
      </c>
      <c r="Z201" s="33" t="s">
        <v>263</v>
      </c>
      <c r="AA201" s="33" t="s">
        <v>263</v>
      </c>
      <c r="AB201" s="33" t="s">
        <v>263</v>
      </c>
      <c r="AC201" s="33" t="s">
        <v>263</v>
      </c>
    </row>
  </sheetData>
  <autoFilter ref="A1:AB201" xr:uid="{EFC09A4C-0A40-4274-85EF-EE2A281B078B}"/>
  <dataValidations count="7">
    <dataValidation type="list" allowBlank="1" showInputMessage="1" showErrorMessage="1" sqref="P2:P200 T2:T200 H2:H200" xr:uid="{14BDE585-7771-4238-A8B7-0A4F5669B80E}">
      <formula1>SquadConcurrents</formula1>
    </dataValidation>
    <dataValidation type="list" allowBlank="1" showInputMessage="1" showErrorMessage="1" sqref="Q2:Q200" xr:uid="{883B9E35-9177-42C1-829C-C47AFC6074BB}">
      <formula1>SquadPosT</formula1>
    </dataValidation>
    <dataValidation type="list" showInputMessage="1" showErrorMessage="1" sqref="I2:I200" xr:uid="{F9F7FE62-C619-470B-AA24-97791591E8D3}">
      <formula1>SquadPos</formula1>
    </dataValidation>
    <dataValidation type="list" allowBlank="1" showInputMessage="1" showErrorMessage="1" sqref="U2:U200" xr:uid="{ACFCAB27-86DC-472E-AC0E-F87688229561}">
      <formula1>SquadPos</formula1>
    </dataValidation>
    <dataValidation type="list" showInputMessage="1" showErrorMessage="1" sqref="J2:J200" xr:uid="{C6C75FF2-9799-4D99-A5B7-D7688C27534A}">
      <formula1>SkeetTimes</formula1>
    </dataValidation>
    <dataValidation type="list" allowBlank="1" showInputMessage="1" showErrorMessage="1" sqref="R2:R200" xr:uid="{FD832045-2D18-4A8E-9863-F6DFC2CC7FB9}">
      <formula1>TrapTimes</formula1>
    </dataValidation>
    <dataValidation type="list" allowBlank="1" showInputMessage="1" showErrorMessage="1" sqref="V2:V200" xr:uid="{4718C1E2-B7D8-4035-9880-FB7EEEB2F054}">
      <formula1>SportingTimes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FFA72-ABF2-45B3-A70A-8A81D28F5963}">
  <dimension ref="A1:P1027"/>
  <sheetViews>
    <sheetView zoomScale="80" zoomScaleNormal="80" workbookViewId="0">
      <pane xSplit="5" ySplit="1" topLeftCell="F2" activePane="bottomRight" state="frozen"/>
      <selection activeCell="B40" sqref="B40"/>
      <selection pane="topRight" activeCell="B40" sqref="B40"/>
      <selection pane="bottomLeft" activeCell="B40" sqref="B40"/>
      <selection pane="bottomRight" activeCell="D8" sqref="D8"/>
    </sheetView>
  </sheetViews>
  <sheetFormatPr defaultRowHeight="14.4" x14ac:dyDescent="0.3"/>
  <cols>
    <col min="1" max="1" width="7.77734375" style="1" bestFit="1" customWidth="1"/>
    <col min="2" max="2" width="45" bestFit="1" customWidth="1"/>
    <col min="3" max="3" width="27.44140625" bestFit="1" customWidth="1"/>
    <col min="4" max="4" width="12.44140625" customWidth="1"/>
    <col min="5" max="5" width="14" bestFit="1" customWidth="1"/>
    <col min="6" max="6" width="13.21875" bestFit="1" customWidth="1"/>
    <col min="7" max="7" width="10.44140625" style="1" bestFit="1" customWidth="1"/>
    <col min="8" max="8" width="25.109375" customWidth="1"/>
    <col min="9" max="9" width="10.44140625" style="1" bestFit="1" customWidth="1"/>
    <col min="10" max="10" width="25.109375" customWidth="1"/>
    <col min="11" max="11" width="10.44140625" style="1" bestFit="1" customWidth="1"/>
    <col min="12" max="12" width="25.109375" customWidth="1"/>
    <col min="13" max="13" width="10.44140625" style="1" bestFit="1" customWidth="1"/>
    <col min="14" max="14" width="25.109375" customWidth="1"/>
    <col min="15" max="15" width="11.6640625" style="1" customWidth="1"/>
    <col min="16" max="16" width="25.109375" customWidth="1"/>
    <col min="17" max="19" width="11.21875" customWidth="1"/>
    <col min="20" max="20" width="10.21875" customWidth="1"/>
    <col min="23" max="23" width="9.21875" bestFit="1" customWidth="1"/>
  </cols>
  <sheetData>
    <row r="1" spans="1:16" ht="29.4" thickBot="1" x14ac:dyDescent="0.35">
      <c r="A1" s="74" t="s">
        <v>355</v>
      </c>
      <c r="B1" s="75" t="s">
        <v>359</v>
      </c>
      <c r="C1" s="75" t="s">
        <v>304</v>
      </c>
      <c r="D1" s="257" t="s">
        <v>265</v>
      </c>
      <c r="E1" s="257" t="s">
        <v>882</v>
      </c>
      <c r="F1" s="75" t="s">
        <v>306</v>
      </c>
      <c r="G1" s="80" t="s">
        <v>308</v>
      </c>
      <c r="H1" s="80" t="s">
        <v>309</v>
      </c>
      <c r="I1" s="80" t="s">
        <v>317</v>
      </c>
      <c r="J1" s="80" t="s">
        <v>316</v>
      </c>
      <c r="K1" s="80" t="s">
        <v>315</v>
      </c>
      <c r="L1" s="80" t="s">
        <v>314</v>
      </c>
      <c r="M1" s="80" t="s">
        <v>313</v>
      </c>
      <c r="N1" s="80" t="s">
        <v>312</v>
      </c>
      <c r="O1" s="80" t="s">
        <v>311</v>
      </c>
      <c r="P1" s="81" t="s">
        <v>310</v>
      </c>
    </row>
    <row r="2" spans="1:16" x14ac:dyDescent="0.3">
      <c r="A2" s="76">
        <v>1</v>
      </c>
      <c r="B2" s="77" t="str">
        <f>C2&amp;"-"&amp;E2&amp;"-"&amp;F2</f>
        <v>Brighton Clay Crushers-Collegiate 1-Skeet</v>
      </c>
      <c r="C2" s="77" t="s">
        <v>322</v>
      </c>
      <c r="D2" s="77" t="str">
        <f>INDEX('Tournament Setup'!$B$59:$B$78,MATCH(E2,SquadConcurrents,0))</f>
        <v>Collegiate</v>
      </c>
      <c r="E2" s="77" t="s">
        <v>342</v>
      </c>
      <c r="F2" s="77" t="s">
        <v>143</v>
      </c>
      <c r="G2" s="93" t="str">
        <f>IF(F2="Skeet",IFERROR(INDEX('Shooter-Squad Assignment'!$A:$A,MATCH(C2&amp;"-"&amp;E2&amp;"-"&amp;F2&amp;"-Pos1",'Shooter-Squad Assignment'!$K:$K,0)),""),IF(F2="Trap",IFERROR(INDEX('Shooter-Squad Assignment'!$A:$A,MATCH(C2&amp;"-"&amp;E2&amp;"-"&amp;F2&amp;"-Pos1",'Shooter-Squad Assignment'!$W:$W,0)),""),IF(F2="Sporting Clays",IFERROR(INDEX('Shooter-Squad Assignment'!$A:$A,MATCH(C2&amp;"-"&amp;E2&amp;"-"&amp;F2&amp;"-Pos1",'Shooter-Squad Assignment'!$Z:$Z,0)),""),"")))</f>
        <v/>
      </c>
      <c r="H2" s="77" t="str">
        <f>IF(ISBLANK(G2),"",IFERROR(INDEX('Tournament List'!$D:$D,MATCH(G2,'Tournament List'!$A:$A,0)),""))</f>
        <v/>
      </c>
      <c r="I2" s="93" t="str">
        <f>IF(F2="Skeet",IFERROR(INDEX('Shooter-Squad Assignment'!$A:$A,MATCH(C2&amp;"-"&amp;E2&amp;"-"&amp;F2&amp;"-Pos2",'Shooter-Squad Assignment'!$K:$K,0)),""),IF(F2="Trap",IFERROR(INDEX('Shooter-Squad Assignment'!$A:$A,MATCH(C2&amp;"-"&amp;E2&amp;"-"&amp;F2&amp;"-Pos2",'Shooter-Squad Assignment'!$W:$W,0)),""),IF(F2="Sporting Clays",IFERROR(INDEX('Shooter-Squad Assignment'!$A:$A,MATCH(C2&amp;"-"&amp;E2&amp;"-"&amp;F2&amp;"-Pos2",'Shooter-Squad Assignment'!$Z:$Z,0)),""),"")))</f>
        <v/>
      </c>
      <c r="J2" s="77" t="str">
        <f>IF(ISBLANK(I2),"",IFERROR(INDEX('Tournament List'!$D:$D,MATCH(I2,'Tournament List'!$A:$A,0)),""))</f>
        <v/>
      </c>
      <c r="K2" s="93" t="str">
        <f>IF(F2="Skeet",IFERROR(INDEX('Shooter-Squad Assignment'!$A:$A,MATCH(C2&amp;"-"&amp;E2&amp;"-"&amp;F2&amp;"-Pos3",'Shooter-Squad Assignment'!$K:$K,0)),""),IF(F2="Trap",IFERROR(INDEX('Shooter-Squad Assignment'!$A:$A,MATCH(C2&amp;"-"&amp;E2&amp;"-"&amp;F2&amp;"-Pos3",'Shooter-Squad Assignment'!$W:$W,0)),""),IF(F2="Sporting Clays",IFERROR(INDEX('Shooter-Squad Assignment'!$A:$A,MATCH(C2&amp;"-"&amp;E2&amp;"-"&amp;F2&amp;"-Pos3",'Shooter-Squad Assignment'!$Z:$Z,0)),""),"")))</f>
        <v/>
      </c>
      <c r="L2" s="77" t="str">
        <f>IF(ISBLANK(K2),"",IFERROR(INDEX('Tournament List'!$D:$D,MATCH(K2,'Tournament List'!$A:$A,0)),""))</f>
        <v/>
      </c>
      <c r="M2" s="93" t="str">
        <f>IF(F2="Skeet",IFERROR(INDEX('Shooter-Squad Assignment'!$A:$A,MATCH(C2&amp;"-"&amp;E2&amp;"-"&amp;F2&amp;"-Pos4",'Shooter-Squad Assignment'!$K:$K,0)),""),IF(F2="Trap",IFERROR(INDEX('Shooter-Squad Assignment'!$A:$A,MATCH(C2&amp;"-"&amp;E2&amp;"-"&amp;F2&amp;"-Pos4",'Shooter-Squad Assignment'!$W:$W,0)),""),IF(F2="Sporting Clays",IFERROR(INDEX('Shooter-Squad Assignment'!$A:$A,MATCH(C2&amp;"-"&amp;E2&amp;"-"&amp;F2&amp;"-Pos4",'Shooter-Squad Assignment'!$Z:$Z,0)),""),"")))</f>
        <v/>
      </c>
      <c r="N2" s="77" t="str">
        <f>IF(ISBLANK(M2),"",IFERROR(INDEX('Tournament List'!$D:$D,MATCH(M2,'Tournament List'!$A:$A,0)),""))</f>
        <v/>
      </c>
      <c r="O2" s="93" t="str">
        <f>IF(F2="Skeet",IFERROR(INDEX('Shooter-Squad Assignment'!$A:$A,MATCH(C2&amp;"-"&amp;E2&amp;"-"&amp;F2&amp;"-Pos5",'Shooter-Squad Assignment'!$K:$K,0)),""),IF(F2="Trap",IFERROR(INDEX('Shooter-Squad Assignment'!$A:$A,MATCH(C2&amp;"-"&amp;E2&amp;"-"&amp;F2&amp;"-Pos5",'Shooter-Squad Assignment'!$W:$W,0)),""),IF(F2="Sporting Clays",IFERROR(INDEX('Shooter-Squad Assignment'!$A:$A,MATCH(C2&amp;"-"&amp;E2&amp;"-"&amp;F2&amp;"-Pos5",'Shooter-Squad Assignment'!$Z:$Z,0)),""),"")))</f>
        <v/>
      </c>
      <c r="P2" s="77" t="str">
        <f>IF(ISBLANK(O2),"",IFERROR(INDEX('Tournament List'!$D:$D,MATCH(O2,'Tournament List'!$A:$A,0)),""))</f>
        <v/>
      </c>
    </row>
    <row r="3" spans="1:16" x14ac:dyDescent="0.3">
      <c r="A3" s="78">
        <v>2</v>
      </c>
      <c r="B3" s="73" t="str">
        <f>C3&amp;"-"&amp;E3&amp;"-"&amp;F3</f>
        <v>Brighton Clay Crushers-Collegiate 2-Skeet</v>
      </c>
      <c r="C3" s="73" t="s">
        <v>322</v>
      </c>
      <c r="D3" s="73" t="str">
        <f>INDEX('Tournament Setup'!$B$59:$B$78,MATCH(E3,SquadConcurrents,0))</f>
        <v>Collegiate</v>
      </c>
      <c r="E3" s="73" t="s">
        <v>348</v>
      </c>
      <c r="F3" s="73" t="s">
        <v>143</v>
      </c>
      <c r="G3" s="94" t="str">
        <f>IF(F3="Skeet",IFERROR(INDEX('Shooter-Squad Assignment'!$A:$A,MATCH(C3&amp;"-"&amp;E3&amp;"-"&amp;F3&amp;"-Pos1",'Shooter-Squad Assignment'!$K:$K,0)),""),IF(F3="Trap",IFERROR(INDEX('Shooter-Squad Assignment'!$A:$A,MATCH(C3&amp;"-"&amp;E3&amp;"-"&amp;F3&amp;"-Pos1",'Shooter-Squad Assignment'!$W:$W,0)),""),IF(F3="Sporting Clays",IFERROR(INDEX('Shooter-Squad Assignment'!$A:$A,MATCH(C3&amp;"-"&amp;E3&amp;"-"&amp;F3&amp;"-Pos1",'Shooter-Squad Assignment'!$Z:$Z,0)),""),"")))</f>
        <v/>
      </c>
      <c r="H3" s="73" t="str">
        <f>IF(ISBLANK(G3),"",IFERROR(INDEX('Tournament List'!$D:$D,MATCH(G3,'Tournament List'!$A:$A,0)),""))</f>
        <v/>
      </c>
      <c r="I3" s="94" t="str">
        <f>IF(F3="Skeet",IFERROR(INDEX('Shooter-Squad Assignment'!$A:$A,MATCH(C3&amp;"-"&amp;E3&amp;"-"&amp;F3&amp;"-Pos2",'Shooter-Squad Assignment'!$K:$K,0)),""),IF(F3="Trap",IFERROR(INDEX('Shooter-Squad Assignment'!$A:$A,MATCH(C3&amp;"-"&amp;E3&amp;"-"&amp;F3&amp;"-Pos2",'Shooter-Squad Assignment'!$W:$W,0)),""),IF(F3="Sporting Clays",IFERROR(INDEX('Shooter-Squad Assignment'!$A:$A,MATCH(C3&amp;"-"&amp;E3&amp;"-"&amp;F3&amp;"-Pos2",'Shooter-Squad Assignment'!$Z:$Z,0)),""),"")))</f>
        <v/>
      </c>
      <c r="J3" s="73" t="str">
        <f>IF(ISBLANK(I3),"",IFERROR(INDEX('Tournament List'!$D:$D,MATCH(I3,'Tournament List'!$A:$A,0)),""))</f>
        <v/>
      </c>
      <c r="K3" s="94" t="str">
        <f>IF(F3="Skeet",IFERROR(INDEX('Shooter-Squad Assignment'!$A:$A,MATCH(C3&amp;"-"&amp;E3&amp;"-"&amp;F3&amp;"-Pos3",'Shooter-Squad Assignment'!$K:$K,0)),""),IF(F3="Trap",IFERROR(INDEX('Shooter-Squad Assignment'!$A:$A,MATCH(C3&amp;"-"&amp;E3&amp;"-"&amp;F3&amp;"-Pos3",'Shooter-Squad Assignment'!$W:$W,0)),""),IF(F3="Sporting Clays",IFERROR(INDEX('Shooter-Squad Assignment'!$A:$A,MATCH(C3&amp;"-"&amp;E3&amp;"-"&amp;F3&amp;"-Pos3",'Shooter-Squad Assignment'!$Z:$Z,0)),""),"")))</f>
        <v/>
      </c>
      <c r="L3" s="73" t="str">
        <f>IF(ISBLANK(K3),"",IFERROR(INDEX('Tournament List'!$D:$D,MATCH(K3,'Tournament List'!$A:$A,0)),""))</f>
        <v/>
      </c>
      <c r="M3" s="94" t="str">
        <f>IF(F3="Skeet",IFERROR(INDEX('Shooter-Squad Assignment'!$A:$A,MATCH(C3&amp;"-"&amp;E3&amp;"-"&amp;F3&amp;"-Pos4",'Shooter-Squad Assignment'!$K:$K,0)),""),IF(F3="Trap",IFERROR(INDEX('Shooter-Squad Assignment'!$A:$A,MATCH(C3&amp;"-"&amp;E3&amp;"-"&amp;F3&amp;"-Pos4",'Shooter-Squad Assignment'!$W:$W,0)),""),IF(F3="Sporting Clays",IFERROR(INDEX('Shooter-Squad Assignment'!$A:$A,MATCH(C3&amp;"-"&amp;E3&amp;"-"&amp;F3&amp;"-Pos4",'Shooter-Squad Assignment'!$Z:$Z,0)),""),"")))</f>
        <v/>
      </c>
      <c r="N3" s="73" t="str">
        <f>IF(ISBLANK(M3),"",IFERROR(INDEX('Tournament List'!$D:$D,MATCH(M3,'Tournament List'!$A:$A,0)),""))</f>
        <v/>
      </c>
      <c r="O3" s="94" t="str">
        <f>IF(F3="Skeet",IFERROR(INDEX('Shooter-Squad Assignment'!$A:$A,MATCH(C3&amp;"-"&amp;E3&amp;"-"&amp;F3&amp;"-Pos5",'Shooter-Squad Assignment'!$K:$K,0)),""),IF(F3="Trap",IFERROR(INDEX('Shooter-Squad Assignment'!$A:$A,MATCH(C3&amp;"-"&amp;E3&amp;"-"&amp;F3&amp;"-Pos5",'Shooter-Squad Assignment'!$W:$W,0)),""),IF(F3="Sporting Clays",IFERROR(INDEX('Shooter-Squad Assignment'!$A:$A,MATCH(C3&amp;"-"&amp;E3&amp;"-"&amp;F3&amp;"-Pos5",'Shooter-Squad Assignment'!$Z:$Z,0)),""),"")))</f>
        <v/>
      </c>
      <c r="P3" s="79" t="str">
        <f>IF(ISBLANK(O3),"",IFERROR(INDEX('Tournament List'!$D:$D,MATCH(O3,'Tournament List'!$A:$A,0)),""))</f>
        <v/>
      </c>
    </row>
    <row r="4" spans="1:16" x14ac:dyDescent="0.3">
      <c r="A4" s="78">
        <v>3</v>
      </c>
      <c r="B4" s="73" t="str">
        <f>C4&amp;"-"&amp;E4&amp;"-"&amp;F4</f>
        <v>Brighton Clay Crushers-Collegiate 3-Skeet</v>
      </c>
      <c r="C4" s="73" t="s">
        <v>322</v>
      </c>
      <c r="D4" s="73" t="str">
        <f>INDEX('Tournament Setup'!$B$59:$B$78,MATCH(E4,SquadConcurrents,0))</f>
        <v>Collegiate</v>
      </c>
      <c r="E4" s="73" t="s">
        <v>354</v>
      </c>
      <c r="F4" s="73" t="s">
        <v>143</v>
      </c>
      <c r="G4" s="94" t="str">
        <f>IF(F4="Skeet",IFERROR(INDEX('Shooter-Squad Assignment'!$A:$A,MATCH(C4&amp;"-"&amp;E4&amp;"-"&amp;F4&amp;"-Pos1",'Shooter-Squad Assignment'!$K:$K,0)),""),IF(F4="Trap",IFERROR(INDEX('Shooter-Squad Assignment'!$A:$A,MATCH(C4&amp;"-"&amp;E4&amp;"-"&amp;F4&amp;"-Pos1",'Shooter-Squad Assignment'!$W:$W,0)),""),IF(F4="Sporting Clays",IFERROR(INDEX('Shooter-Squad Assignment'!$A:$A,MATCH(C4&amp;"-"&amp;E4&amp;"-"&amp;F4&amp;"-Pos1",'Shooter-Squad Assignment'!$Z:$Z,0)),""),"")))</f>
        <v/>
      </c>
      <c r="H4" s="73" t="str">
        <f>IF(ISBLANK(G4),"",IFERROR(INDEX('Tournament List'!$D:$D,MATCH(G4,'Tournament List'!$A:$A,0)),""))</f>
        <v/>
      </c>
      <c r="I4" s="94" t="str">
        <f>IF(F4="Skeet",IFERROR(INDEX('Shooter-Squad Assignment'!$A:$A,MATCH(C4&amp;"-"&amp;E4&amp;"-"&amp;F4&amp;"-Pos2",'Shooter-Squad Assignment'!$K:$K,0)),""),IF(F4="Trap",IFERROR(INDEX('Shooter-Squad Assignment'!$A:$A,MATCH(C4&amp;"-"&amp;E4&amp;"-"&amp;F4&amp;"-Pos2",'Shooter-Squad Assignment'!$W:$W,0)),""),IF(F4="Sporting Clays",IFERROR(INDEX('Shooter-Squad Assignment'!$A:$A,MATCH(C4&amp;"-"&amp;E4&amp;"-"&amp;F4&amp;"-Pos2",'Shooter-Squad Assignment'!$Z:$Z,0)),""),"")))</f>
        <v/>
      </c>
      <c r="J4" s="73" t="str">
        <f>IF(ISBLANK(I4),"",IFERROR(INDEX('Tournament List'!$D:$D,MATCH(I4,'Tournament List'!$A:$A,0)),""))</f>
        <v/>
      </c>
      <c r="K4" s="94" t="str">
        <f>IF(F4="Skeet",IFERROR(INDEX('Shooter-Squad Assignment'!$A:$A,MATCH(C4&amp;"-"&amp;E4&amp;"-"&amp;F4&amp;"-Pos3",'Shooter-Squad Assignment'!$K:$K,0)),""),IF(F4="Trap",IFERROR(INDEX('Shooter-Squad Assignment'!$A:$A,MATCH(C4&amp;"-"&amp;E4&amp;"-"&amp;F4&amp;"-Pos3",'Shooter-Squad Assignment'!$W:$W,0)),""),IF(F4="Sporting Clays",IFERROR(INDEX('Shooter-Squad Assignment'!$A:$A,MATCH(C4&amp;"-"&amp;E4&amp;"-"&amp;F4&amp;"-Pos3",'Shooter-Squad Assignment'!$Z:$Z,0)),""),"")))</f>
        <v/>
      </c>
      <c r="L4" s="73" t="str">
        <f>IF(ISBLANK(K4),"",IFERROR(INDEX('Tournament List'!$D:$D,MATCH(K4,'Tournament List'!$A:$A,0)),""))</f>
        <v/>
      </c>
      <c r="M4" s="94" t="str">
        <f>IF(F4="Skeet",IFERROR(INDEX('Shooter-Squad Assignment'!$A:$A,MATCH(C4&amp;"-"&amp;E4&amp;"-"&amp;F4&amp;"-Pos4",'Shooter-Squad Assignment'!$K:$K,0)),""),IF(F4="Trap",IFERROR(INDEX('Shooter-Squad Assignment'!$A:$A,MATCH(C4&amp;"-"&amp;E4&amp;"-"&amp;F4&amp;"-Pos4",'Shooter-Squad Assignment'!$W:$W,0)),""),IF(F4="Sporting Clays",IFERROR(INDEX('Shooter-Squad Assignment'!$A:$A,MATCH(C4&amp;"-"&amp;E4&amp;"-"&amp;F4&amp;"-Pos4",'Shooter-Squad Assignment'!$Z:$Z,0)),""),"")))</f>
        <v/>
      </c>
      <c r="N4" s="73" t="str">
        <f>IF(ISBLANK(M4),"",IFERROR(INDEX('Tournament List'!$D:$D,MATCH(M4,'Tournament List'!$A:$A,0)),""))</f>
        <v/>
      </c>
      <c r="O4" s="94" t="str">
        <f>IF(F4="Skeet",IFERROR(INDEX('Shooter-Squad Assignment'!$A:$A,MATCH(C4&amp;"-"&amp;E4&amp;"-"&amp;F4&amp;"-Pos5",'Shooter-Squad Assignment'!$K:$K,0)),""),IF(F4="Trap",IFERROR(INDEX('Shooter-Squad Assignment'!$A:$A,MATCH(C4&amp;"-"&amp;E4&amp;"-"&amp;F4&amp;"-Pos5",'Shooter-Squad Assignment'!$W:$W,0)),""),IF(F4="Sporting Clays",IFERROR(INDEX('Shooter-Squad Assignment'!$A:$A,MATCH(C4&amp;"-"&amp;E4&amp;"-"&amp;F4&amp;"-Pos5",'Shooter-Squad Assignment'!$Z:$Z,0)),""),"")))</f>
        <v/>
      </c>
      <c r="P4" s="79" t="str">
        <f>IF(ISBLANK(O4),"",IFERROR(INDEX('Tournament List'!$D:$D,MATCH(O4,'Tournament List'!$A:$A,0)),""))</f>
        <v/>
      </c>
    </row>
    <row r="5" spans="1:16" x14ac:dyDescent="0.3">
      <c r="A5" s="78">
        <v>4</v>
      </c>
      <c r="B5" s="73" t="str">
        <f>C5&amp;"-"&amp;E5&amp;"-"&amp;F5</f>
        <v>Brighton Clay Crushers-Intermediate 1-Skeet</v>
      </c>
      <c r="C5" s="73" t="s">
        <v>322</v>
      </c>
      <c r="D5" s="73" t="str">
        <f>INDEX('Tournament Setup'!$B$59:$B$78,MATCH(E5,SquadConcurrents,0))</f>
        <v>Intermediate</v>
      </c>
      <c r="E5" s="73" t="s">
        <v>338</v>
      </c>
      <c r="F5" s="73" t="s">
        <v>143</v>
      </c>
      <c r="G5" s="94" t="str">
        <f>IF(F5="Skeet",IFERROR(INDEX('Shooter-Squad Assignment'!$A:$A,MATCH(C5&amp;"-"&amp;E5&amp;"-"&amp;F5&amp;"-Pos1",'Shooter-Squad Assignment'!$K:$K,0)),""),IF(F5="Trap",IFERROR(INDEX('Shooter-Squad Assignment'!$A:$A,MATCH(C5&amp;"-"&amp;E5&amp;"-"&amp;F5&amp;"-Pos1",'Shooter-Squad Assignment'!$W:$W,0)),""),IF(F5="Sporting Clays",IFERROR(INDEX('Shooter-Squad Assignment'!$A:$A,MATCH(C5&amp;"-"&amp;E5&amp;"-"&amp;F5&amp;"-Pos1",'Shooter-Squad Assignment'!$Z:$Z,0)),""),"")))</f>
        <v/>
      </c>
      <c r="H5" s="73" t="str">
        <f>IF(ISBLANK(G5),"",IFERROR(INDEX('Tournament List'!$D:$D,MATCH(G5,'Tournament List'!$A:$A,0)),""))</f>
        <v/>
      </c>
      <c r="I5" s="94" t="str">
        <f>IF(F5="Skeet",IFERROR(INDEX('Shooter-Squad Assignment'!$A:$A,MATCH(C5&amp;"-"&amp;E5&amp;"-"&amp;F5&amp;"-Pos2",'Shooter-Squad Assignment'!$K:$K,0)),""),IF(F5="Trap",IFERROR(INDEX('Shooter-Squad Assignment'!$A:$A,MATCH(C5&amp;"-"&amp;E5&amp;"-"&amp;F5&amp;"-Pos2",'Shooter-Squad Assignment'!$W:$W,0)),""),IF(F5="Sporting Clays",IFERROR(INDEX('Shooter-Squad Assignment'!$A:$A,MATCH(C5&amp;"-"&amp;E5&amp;"-"&amp;F5&amp;"-Pos2",'Shooter-Squad Assignment'!$Z:$Z,0)),""),"")))</f>
        <v/>
      </c>
      <c r="J5" s="73" t="str">
        <f>IF(ISBLANK(I5),"",IFERROR(INDEX('Tournament List'!$D:$D,MATCH(I5,'Tournament List'!$A:$A,0)),""))</f>
        <v/>
      </c>
      <c r="K5" s="94" t="str">
        <f>IF(F5="Skeet",IFERROR(INDEX('Shooter-Squad Assignment'!$A:$A,MATCH(C5&amp;"-"&amp;E5&amp;"-"&amp;F5&amp;"-Pos3",'Shooter-Squad Assignment'!$K:$K,0)),""),IF(F5="Trap",IFERROR(INDEX('Shooter-Squad Assignment'!$A:$A,MATCH(C5&amp;"-"&amp;E5&amp;"-"&amp;F5&amp;"-Pos3",'Shooter-Squad Assignment'!$W:$W,0)),""),IF(F5="Sporting Clays",IFERROR(INDEX('Shooter-Squad Assignment'!$A:$A,MATCH(C5&amp;"-"&amp;E5&amp;"-"&amp;F5&amp;"-Pos3",'Shooter-Squad Assignment'!$Z:$Z,0)),""),"")))</f>
        <v/>
      </c>
      <c r="L5" s="73" t="str">
        <f>IF(ISBLANK(K5),"",IFERROR(INDEX('Tournament List'!$D:$D,MATCH(K5,'Tournament List'!$A:$A,0)),""))</f>
        <v/>
      </c>
      <c r="M5" s="94" t="str">
        <f>IF(F5="Skeet",IFERROR(INDEX('Shooter-Squad Assignment'!$A:$A,MATCH(C5&amp;"-"&amp;E5&amp;"-"&amp;F5&amp;"-Pos4",'Shooter-Squad Assignment'!$K:$K,0)),""),IF(F5="Trap",IFERROR(INDEX('Shooter-Squad Assignment'!$A:$A,MATCH(C5&amp;"-"&amp;E5&amp;"-"&amp;F5&amp;"-Pos4",'Shooter-Squad Assignment'!$W:$W,0)),""),IF(F5="Sporting Clays",IFERROR(INDEX('Shooter-Squad Assignment'!$A:$A,MATCH(C5&amp;"-"&amp;E5&amp;"-"&amp;F5&amp;"-Pos4",'Shooter-Squad Assignment'!$Z:$Z,0)),""),"")))</f>
        <v/>
      </c>
      <c r="N5" s="73" t="str">
        <f>IF(ISBLANK(M5),"",IFERROR(INDEX('Tournament List'!$D:$D,MATCH(M5,'Tournament List'!$A:$A,0)),""))</f>
        <v/>
      </c>
      <c r="O5" s="94" t="str">
        <f>IF(F5="Skeet",IFERROR(INDEX('Shooter-Squad Assignment'!$A:$A,MATCH(C5&amp;"-"&amp;E5&amp;"-"&amp;F5&amp;"-Pos5",'Shooter-Squad Assignment'!$K:$K,0)),""),IF(F5="Trap",IFERROR(INDEX('Shooter-Squad Assignment'!$A:$A,MATCH(C5&amp;"-"&amp;E5&amp;"-"&amp;F5&amp;"-Pos5",'Shooter-Squad Assignment'!$W:$W,0)),""),IF(F5="Sporting Clays",IFERROR(INDEX('Shooter-Squad Assignment'!$A:$A,MATCH(C5&amp;"-"&amp;E5&amp;"-"&amp;F5&amp;"-Pos5",'Shooter-Squad Assignment'!$Z:$Z,0)),""),"")))</f>
        <v/>
      </c>
      <c r="P5" s="79" t="str">
        <f>IF(ISBLANK(O5),"",IFERROR(INDEX('Tournament List'!$D:$D,MATCH(O5,'Tournament List'!$A:$A,0)),""))</f>
        <v/>
      </c>
    </row>
    <row r="6" spans="1:16" x14ac:dyDescent="0.3">
      <c r="A6" s="78">
        <v>5</v>
      </c>
      <c r="B6" s="73" t="str">
        <f>C6&amp;"-"&amp;E6&amp;"-"&amp;F6</f>
        <v>Brighton Clay Crushers-Intermediate 2-Skeet</v>
      </c>
      <c r="C6" s="73" t="s">
        <v>322</v>
      </c>
      <c r="D6" s="73" t="str">
        <f>INDEX('Tournament Setup'!$B$59:$B$78,MATCH(E6,SquadConcurrents,0))</f>
        <v>Intermediate</v>
      </c>
      <c r="E6" s="73" t="s">
        <v>344</v>
      </c>
      <c r="F6" s="73" t="s">
        <v>143</v>
      </c>
      <c r="G6" s="94" t="str">
        <f>IF(F6="Skeet",IFERROR(INDEX('Shooter-Squad Assignment'!$A:$A,MATCH(C6&amp;"-"&amp;E6&amp;"-"&amp;F6&amp;"-Pos1",'Shooter-Squad Assignment'!$K:$K,0)),""),IF(F6="Trap",IFERROR(INDEX('Shooter-Squad Assignment'!$A:$A,MATCH(C6&amp;"-"&amp;E6&amp;"-"&amp;F6&amp;"-Pos1",'Shooter-Squad Assignment'!$W:$W,0)),""),IF(F6="Sporting Clays",IFERROR(INDEX('Shooter-Squad Assignment'!$A:$A,MATCH(C6&amp;"-"&amp;E6&amp;"-"&amp;F6&amp;"-Pos1",'Shooter-Squad Assignment'!$Z:$Z,0)),""),"")))</f>
        <v/>
      </c>
      <c r="H6" s="73" t="str">
        <f>IF(ISBLANK(G6),"",IFERROR(INDEX('Tournament List'!$D:$D,MATCH(G6,'Tournament List'!$A:$A,0)),""))</f>
        <v/>
      </c>
      <c r="I6" s="94" t="str">
        <f>IF(F6="Skeet",IFERROR(INDEX('Shooter-Squad Assignment'!$A:$A,MATCH(C6&amp;"-"&amp;E6&amp;"-"&amp;F6&amp;"-Pos2",'Shooter-Squad Assignment'!$K:$K,0)),""),IF(F6="Trap",IFERROR(INDEX('Shooter-Squad Assignment'!$A:$A,MATCH(C6&amp;"-"&amp;E6&amp;"-"&amp;F6&amp;"-Pos2",'Shooter-Squad Assignment'!$W:$W,0)),""),IF(F6="Sporting Clays",IFERROR(INDEX('Shooter-Squad Assignment'!$A:$A,MATCH(C6&amp;"-"&amp;E6&amp;"-"&amp;F6&amp;"-Pos2",'Shooter-Squad Assignment'!$Z:$Z,0)),""),"")))</f>
        <v/>
      </c>
      <c r="J6" s="73" t="str">
        <f>IF(ISBLANK(I6),"",IFERROR(INDEX('Tournament List'!$D:$D,MATCH(I6,'Tournament List'!$A:$A,0)),""))</f>
        <v/>
      </c>
      <c r="K6" s="94" t="str">
        <f>IF(F6="Skeet",IFERROR(INDEX('Shooter-Squad Assignment'!$A:$A,MATCH(C6&amp;"-"&amp;E6&amp;"-"&amp;F6&amp;"-Pos3",'Shooter-Squad Assignment'!$K:$K,0)),""),IF(F6="Trap",IFERROR(INDEX('Shooter-Squad Assignment'!$A:$A,MATCH(C6&amp;"-"&amp;E6&amp;"-"&amp;F6&amp;"-Pos3",'Shooter-Squad Assignment'!$W:$W,0)),""),IF(F6="Sporting Clays",IFERROR(INDEX('Shooter-Squad Assignment'!$A:$A,MATCH(C6&amp;"-"&amp;E6&amp;"-"&amp;F6&amp;"-Pos3",'Shooter-Squad Assignment'!$Z:$Z,0)),""),"")))</f>
        <v/>
      </c>
      <c r="L6" s="73" t="str">
        <f>IF(ISBLANK(K6),"",IFERROR(INDEX('Tournament List'!$D:$D,MATCH(K6,'Tournament List'!$A:$A,0)),""))</f>
        <v/>
      </c>
      <c r="M6" s="94" t="str">
        <f>IF(F6="Skeet",IFERROR(INDEX('Shooter-Squad Assignment'!$A:$A,MATCH(C6&amp;"-"&amp;E6&amp;"-"&amp;F6&amp;"-Pos4",'Shooter-Squad Assignment'!$K:$K,0)),""),IF(F6="Trap",IFERROR(INDEX('Shooter-Squad Assignment'!$A:$A,MATCH(C6&amp;"-"&amp;E6&amp;"-"&amp;F6&amp;"-Pos4",'Shooter-Squad Assignment'!$W:$W,0)),""),IF(F6="Sporting Clays",IFERROR(INDEX('Shooter-Squad Assignment'!$A:$A,MATCH(C6&amp;"-"&amp;E6&amp;"-"&amp;F6&amp;"-Pos4",'Shooter-Squad Assignment'!$Z:$Z,0)),""),"")))</f>
        <v/>
      </c>
      <c r="N6" s="73" t="str">
        <f>IF(ISBLANK(M6),"",IFERROR(INDEX('Tournament List'!$D:$D,MATCH(M6,'Tournament List'!$A:$A,0)),""))</f>
        <v/>
      </c>
      <c r="O6" s="94" t="str">
        <f>IF(F6="Skeet",IFERROR(INDEX('Shooter-Squad Assignment'!$A:$A,MATCH(C6&amp;"-"&amp;E6&amp;"-"&amp;F6&amp;"-Pos5",'Shooter-Squad Assignment'!$K:$K,0)),""),IF(F6="Trap",IFERROR(INDEX('Shooter-Squad Assignment'!$A:$A,MATCH(C6&amp;"-"&amp;E6&amp;"-"&amp;F6&amp;"-Pos5",'Shooter-Squad Assignment'!$W:$W,0)),""),IF(F6="Sporting Clays",IFERROR(INDEX('Shooter-Squad Assignment'!$A:$A,MATCH(C6&amp;"-"&amp;E6&amp;"-"&amp;F6&amp;"-Pos5",'Shooter-Squad Assignment'!$Z:$Z,0)),""),"")))</f>
        <v/>
      </c>
      <c r="P6" s="79" t="str">
        <f>IF(ISBLANK(O6),"",IFERROR(INDEX('Tournament List'!$D:$D,MATCH(O6,'Tournament List'!$A:$A,0)),""))</f>
        <v/>
      </c>
    </row>
    <row r="7" spans="1:16" x14ac:dyDescent="0.3">
      <c r="A7" s="78">
        <v>6</v>
      </c>
      <c r="B7" s="73" t="str">
        <f>C7&amp;"-"&amp;E7&amp;"-"&amp;F7</f>
        <v>Brighton Clay Crushers-Intermediate 3-Skeet</v>
      </c>
      <c r="C7" s="73" t="s">
        <v>322</v>
      </c>
      <c r="D7" s="73" t="str">
        <f>INDEX('Tournament Setup'!$B$59:$B$78,MATCH(E7,SquadConcurrents,0))</f>
        <v>Intermediate</v>
      </c>
      <c r="E7" s="73" t="s">
        <v>350</v>
      </c>
      <c r="F7" s="73" t="s">
        <v>143</v>
      </c>
      <c r="G7" s="94" t="str">
        <f>IF(F7="Skeet",IFERROR(INDEX('Shooter-Squad Assignment'!$A:$A,MATCH(C7&amp;"-"&amp;E7&amp;"-"&amp;F7&amp;"-Pos1",'Shooter-Squad Assignment'!$K:$K,0)),""),IF(F7="Trap",IFERROR(INDEX('Shooter-Squad Assignment'!$A:$A,MATCH(C7&amp;"-"&amp;E7&amp;"-"&amp;F7&amp;"-Pos1",'Shooter-Squad Assignment'!$W:$W,0)),""),IF(F7="Sporting Clays",IFERROR(INDEX('Shooter-Squad Assignment'!$A:$A,MATCH(C7&amp;"-"&amp;E7&amp;"-"&amp;F7&amp;"-Pos1",'Shooter-Squad Assignment'!$Z:$Z,0)),""),"")))</f>
        <v/>
      </c>
      <c r="H7" s="73" t="str">
        <f>IF(ISBLANK(G7),"",IFERROR(INDEX('Tournament List'!$D:$D,MATCH(G7,'Tournament List'!$A:$A,0)),""))</f>
        <v/>
      </c>
      <c r="I7" s="94" t="str">
        <f>IF(F7="Skeet",IFERROR(INDEX('Shooter-Squad Assignment'!$A:$A,MATCH(C7&amp;"-"&amp;E7&amp;"-"&amp;F7&amp;"-Pos2",'Shooter-Squad Assignment'!$K:$K,0)),""),IF(F7="Trap",IFERROR(INDEX('Shooter-Squad Assignment'!$A:$A,MATCH(C7&amp;"-"&amp;E7&amp;"-"&amp;F7&amp;"-Pos2",'Shooter-Squad Assignment'!$W:$W,0)),""),IF(F7="Sporting Clays",IFERROR(INDEX('Shooter-Squad Assignment'!$A:$A,MATCH(C7&amp;"-"&amp;E7&amp;"-"&amp;F7&amp;"-Pos2",'Shooter-Squad Assignment'!$Z:$Z,0)),""),"")))</f>
        <v/>
      </c>
      <c r="J7" s="73" t="str">
        <f>IF(ISBLANK(I7),"",IFERROR(INDEX('Tournament List'!$D:$D,MATCH(I7,'Tournament List'!$A:$A,0)),""))</f>
        <v/>
      </c>
      <c r="K7" s="94" t="str">
        <f>IF(F7="Skeet",IFERROR(INDEX('Shooter-Squad Assignment'!$A:$A,MATCH(C7&amp;"-"&amp;E7&amp;"-"&amp;F7&amp;"-Pos3",'Shooter-Squad Assignment'!$K:$K,0)),""),IF(F7="Trap",IFERROR(INDEX('Shooter-Squad Assignment'!$A:$A,MATCH(C7&amp;"-"&amp;E7&amp;"-"&amp;F7&amp;"-Pos3",'Shooter-Squad Assignment'!$W:$W,0)),""),IF(F7="Sporting Clays",IFERROR(INDEX('Shooter-Squad Assignment'!$A:$A,MATCH(C7&amp;"-"&amp;E7&amp;"-"&amp;F7&amp;"-Pos3",'Shooter-Squad Assignment'!$Z:$Z,0)),""),"")))</f>
        <v/>
      </c>
      <c r="L7" s="73" t="str">
        <f>IF(ISBLANK(K7),"",IFERROR(INDEX('Tournament List'!$D:$D,MATCH(K7,'Tournament List'!$A:$A,0)),""))</f>
        <v/>
      </c>
      <c r="M7" s="94" t="str">
        <f>IF(F7="Skeet",IFERROR(INDEX('Shooter-Squad Assignment'!$A:$A,MATCH(C7&amp;"-"&amp;E7&amp;"-"&amp;F7&amp;"-Pos4",'Shooter-Squad Assignment'!$K:$K,0)),""),IF(F7="Trap",IFERROR(INDEX('Shooter-Squad Assignment'!$A:$A,MATCH(C7&amp;"-"&amp;E7&amp;"-"&amp;F7&amp;"-Pos4",'Shooter-Squad Assignment'!$W:$W,0)),""),IF(F7="Sporting Clays",IFERROR(INDEX('Shooter-Squad Assignment'!$A:$A,MATCH(C7&amp;"-"&amp;E7&amp;"-"&amp;F7&amp;"-Pos4",'Shooter-Squad Assignment'!$Z:$Z,0)),""),"")))</f>
        <v/>
      </c>
      <c r="N7" s="73" t="str">
        <f>IF(ISBLANK(M7),"",IFERROR(INDEX('Tournament List'!$D:$D,MATCH(M7,'Tournament List'!$A:$A,0)),""))</f>
        <v/>
      </c>
      <c r="O7" s="94" t="str">
        <f>IF(F7="Skeet",IFERROR(INDEX('Shooter-Squad Assignment'!$A:$A,MATCH(C7&amp;"-"&amp;E7&amp;"-"&amp;F7&amp;"-Pos5",'Shooter-Squad Assignment'!$K:$K,0)),""),IF(F7="Trap",IFERROR(INDEX('Shooter-Squad Assignment'!$A:$A,MATCH(C7&amp;"-"&amp;E7&amp;"-"&amp;F7&amp;"-Pos5",'Shooter-Squad Assignment'!$W:$W,0)),""),IF(F7="Sporting Clays",IFERROR(INDEX('Shooter-Squad Assignment'!$A:$A,MATCH(C7&amp;"-"&amp;E7&amp;"-"&amp;F7&amp;"-Pos5",'Shooter-Squad Assignment'!$Z:$Z,0)),""),"")))</f>
        <v/>
      </c>
      <c r="P7" s="79" t="str">
        <f>IF(ISBLANK(O7),"",IFERROR(INDEX('Tournament List'!$D:$D,MATCH(O7,'Tournament List'!$A:$A,0)),""))</f>
        <v/>
      </c>
    </row>
    <row r="8" spans="1:16" x14ac:dyDescent="0.3">
      <c r="A8" s="78">
        <v>7</v>
      </c>
      <c r="B8" s="73" t="str">
        <f>C8&amp;"-"&amp;E8&amp;"-"&amp;F8</f>
        <v>Brighton Clay Crushers-Junior Varsity 1-Skeet</v>
      </c>
      <c r="C8" s="73" t="s">
        <v>322</v>
      </c>
      <c r="D8" s="73" t="str">
        <f>INDEX('Tournament Setup'!$B$59:$B$78,MATCH(E8,SquadConcurrents,0))</f>
        <v>Junior Varsity</v>
      </c>
      <c r="E8" s="73" t="s">
        <v>339</v>
      </c>
      <c r="F8" s="73" t="s">
        <v>143</v>
      </c>
      <c r="G8" s="94" t="str">
        <f>IF(F8="Skeet",IFERROR(INDEX('Shooter-Squad Assignment'!$A:$A,MATCH(C8&amp;"-"&amp;E8&amp;"-"&amp;F8&amp;"-Pos1",'Shooter-Squad Assignment'!$K:$K,0)),""),IF(F8="Trap",IFERROR(INDEX('Shooter-Squad Assignment'!$A:$A,MATCH(C8&amp;"-"&amp;E8&amp;"-"&amp;F8&amp;"-Pos1",'Shooter-Squad Assignment'!$W:$W,0)),""),IF(F8="Sporting Clays",IFERROR(INDEX('Shooter-Squad Assignment'!$A:$A,MATCH(C8&amp;"-"&amp;E8&amp;"-"&amp;F8&amp;"-Pos1",'Shooter-Squad Assignment'!$Z:$Z,0)),""),"")))</f>
        <v>24-1022</v>
      </c>
      <c r="H8" s="73" t="str">
        <f>IF(ISBLANK(G8),"",IFERROR(INDEX('Tournament List'!$D:$D,MATCH(G8,'Tournament List'!$A:$A,0)),""))</f>
        <v>Tom Last Name23</v>
      </c>
      <c r="I8" s="94" t="str">
        <f>IF(F8="Skeet",IFERROR(INDEX('Shooter-Squad Assignment'!$A:$A,MATCH(C8&amp;"-"&amp;E8&amp;"-"&amp;F8&amp;"-Pos2",'Shooter-Squad Assignment'!$K:$K,0)),""),IF(F8="Trap",IFERROR(INDEX('Shooter-Squad Assignment'!$A:$A,MATCH(C8&amp;"-"&amp;E8&amp;"-"&amp;F8&amp;"-Pos2",'Shooter-Squad Assignment'!$W:$W,0)),""),IF(F8="Sporting Clays",IFERROR(INDEX('Shooter-Squad Assignment'!$A:$A,MATCH(C8&amp;"-"&amp;E8&amp;"-"&amp;F8&amp;"-Pos2",'Shooter-Squad Assignment'!$Z:$Z,0)),""),"")))</f>
        <v>24-1010</v>
      </c>
      <c r="J8" s="73" t="str">
        <f>IF(ISBLANK(I8),"",IFERROR(INDEX('Tournament List'!$D:$D,MATCH(I8,'Tournament List'!$A:$A,0)),""))</f>
        <v>Bill Last Name11</v>
      </c>
      <c r="K8" s="94" t="str">
        <f>IF(F8="Skeet",IFERROR(INDEX('Shooter-Squad Assignment'!$A:$A,MATCH(C8&amp;"-"&amp;E8&amp;"-"&amp;F8&amp;"-Pos3",'Shooter-Squad Assignment'!$K:$K,0)),""),IF(F8="Trap",IFERROR(INDEX('Shooter-Squad Assignment'!$A:$A,MATCH(C8&amp;"-"&amp;E8&amp;"-"&amp;F8&amp;"-Pos3",'Shooter-Squad Assignment'!$W:$W,0)),""),IF(F8="Sporting Clays",IFERROR(INDEX('Shooter-Squad Assignment'!$A:$A,MATCH(C8&amp;"-"&amp;E8&amp;"-"&amp;F8&amp;"-Pos3",'Shooter-Squad Assignment'!$Z:$Z,0)),""),"")))</f>
        <v>24-1028</v>
      </c>
      <c r="L8" s="73" t="str">
        <f>IF(ISBLANK(K8),"",IFERROR(INDEX('Tournament List'!$D:$D,MATCH(K8,'Tournament List'!$A:$A,0)),""))</f>
        <v>Alan Last Name29</v>
      </c>
      <c r="M8" s="94" t="str">
        <f>IF(F8="Skeet",IFERROR(INDEX('Shooter-Squad Assignment'!$A:$A,MATCH(C8&amp;"-"&amp;E8&amp;"-"&amp;F8&amp;"-Pos4",'Shooter-Squad Assignment'!$K:$K,0)),""),IF(F8="Trap",IFERROR(INDEX('Shooter-Squad Assignment'!$A:$A,MATCH(C8&amp;"-"&amp;E8&amp;"-"&amp;F8&amp;"-Pos4",'Shooter-Squad Assignment'!$W:$W,0)),""),IF(F8="Sporting Clays",IFERROR(INDEX('Shooter-Squad Assignment'!$A:$A,MATCH(C8&amp;"-"&amp;E8&amp;"-"&amp;F8&amp;"-Pos4",'Shooter-Squad Assignment'!$Z:$Z,0)),""),"")))</f>
        <v/>
      </c>
      <c r="N8" s="73" t="str">
        <f>IF(ISBLANK(M8),"",IFERROR(INDEX('Tournament List'!$D:$D,MATCH(M8,'Tournament List'!$A:$A,0)),""))</f>
        <v/>
      </c>
      <c r="O8" s="94" t="str">
        <f>IF(F8="Skeet",IFERROR(INDEX('Shooter-Squad Assignment'!$A:$A,MATCH(C8&amp;"-"&amp;E8&amp;"-"&amp;F8&amp;"-Pos5",'Shooter-Squad Assignment'!$K:$K,0)),""),IF(F8="Trap",IFERROR(INDEX('Shooter-Squad Assignment'!$A:$A,MATCH(C8&amp;"-"&amp;E8&amp;"-"&amp;F8&amp;"-Pos5",'Shooter-Squad Assignment'!$W:$W,0)),""),IF(F8="Sporting Clays",IFERROR(INDEX('Shooter-Squad Assignment'!$A:$A,MATCH(C8&amp;"-"&amp;E8&amp;"-"&amp;F8&amp;"-Pos5",'Shooter-Squad Assignment'!$Z:$Z,0)),""),"")))</f>
        <v/>
      </c>
      <c r="P8" s="79" t="str">
        <f>IF(ISBLANK(O8),"",IFERROR(INDEX('Tournament List'!$D:$D,MATCH(O8,'Tournament List'!$A:$A,0)),""))</f>
        <v/>
      </c>
    </row>
    <row r="9" spans="1:16" x14ac:dyDescent="0.3">
      <c r="A9" s="78">
        <v>8</v>
      </c>
      <c r="B9" s="73" t="str">
        <f>C9&amp;"-"&amp;E9&amp;"-"&amp;F9</f>
        <v>Brighton Clay Crushers-Junior Varsity 2-Skeet</v>
      </c>
      <c r="C9" s="73" t="s">
        <v>322</v>
      </c>
      <c r="D9" s="73" t="str">
        <f>INDEX('Tournament Setup'!$B$59:$B$78,MATCH(E9,SquadConcurrents,0))</f>
        <v>Junior Varsity</v>
      </c>
      <c r="E9" s="73" t="s">
        <v>345</v>
      </c>
      <c r="F9" s="73" t="s">
        <v>143</v>
      </c>
      <c r="G9" s="94" t="str">
        <f>IF(F9="Skeet",IFERROR(INDEX('Shooter-Squad Assignment'!$A:$A,MATCH(C9&amp;"-"&amp;E9&amp;"-"&amp;F9&amp;"-Pos1",'Shooter-Squad Assignment'!$K:$K,0)),""),IF(F9="Trap",IFERROR(INDEX('Shooter-Squad Assignment'!$A:$A,MATCH(C9&amp;"-"&amp;E9&amp;"-"&amp;F9&amp;"-Pos1",'Shooter-Squad Assignment'!$W:$W,0)),""),IF(F9="Sporting Clays",IFERROR(INDEX('Shooter-Squad Assignment'!$A:$A,MATCH(C9&amp;"-"&amp;E9&amp;"-"&amp;F9&amp;"-Pos1",'Shooter-Squad Assignment'!$Z:$Z,0)),""),"")))</f>
        <v/>
      </c>
      <c r="H9" s="73" t="str">
        <f>IF(ISBLANK(G9),"",IFERROR(INDEX('Tournament List'!$D:$D,MATCH(G9,'Tournament List'!$A:$A,0)),""))</f>
        <v/>
      </c>
      <c r="I9" s="94" t="str">
        <f>IF(F9="Skeet",IFERROR(INDEX('Shooter-Squad Assignment'!$A:$A,MATCH(C9&amp;"-"&amp;E9&amp;"-"&amp;F9&amp;"-Pos2",'Shooter-Squad Assignment'!$K:$K,0)),""),IF(F9="Trap",IFERROR(INDEX('Shooter-Squad Assignment'!$A:$A,MATCH(C9&amp;"-"&amp;E9&amp;"-"&amp;F9&amp;"-Pos2",'Shooter-Squad Assignment'!$W:$W,0)),""),IF(F9="Sporting Clays",IFERROR(INDEX('Shooter-Squad Assignment'!$A:$A,MATCH(C9&amp;"-"&amp;E9&amp;"-"&amp;F9&amp;"-Pos2",'Shooter-Squad Assignment'!$Z:$Z,0)),""),"")))</f>
        <v/>
      </c>
      <c r="J9" s="73" t="str">
        <f>IF(ISBLANK(I9),"",IFERROR(INDEX('Tournament List'!$D:$D,MATCH(I9,'Tournament List'!$A:$A,0)),""))</f>
        <v/>
      </c>
      <c r="K9" s="94" t="str">
        <f>IF(F9="Skeet",IFERROR(INDEX('Shooter-Squad Assignment'!$A:$A,MATCH(C9&amp;"-"&amp;E9&amp;"-"&amp;F9&amp;"-Pos3",'Shooter-Squad Assignment'!$K:$K,0)),""),IF(F9="Trap",IFERROR(INDEX('Shooter-Squad Assignment'!$A:$A,MATCH(C9&amp;"-"&amp;E9&amp;"-"&amp;F9&amp;"-Pos3",'Shooter-Squad Assignment'!$W:$W,0)),""),IF(F9="Sporting Clays",IFERROR(INDEX('Shooter-Squad Assignment'!$A:$A,MATCH(C9&amp;"-"&amp;E9&amp;"-"&amp;F9&amp;"-Pos3",'Shooter-Squad Assignment'!$Z:$Z,0)),""),"")))</f>
        <v/>
      </c>
      <c r="L9" s="73" t="str">
        <f>IF(ISBLANK(K9),"",IFERROR(INDEX('Tournament List'!$D:$D,MATCH(K9,'Tournament List'!$A:$A,0)),""))</f>
        <v/>
      </c>
      <c r="M9" s="94" t="str">
        <f>IF(F9="Skeet",IFERROR(INDEX('Shooter-Squad Assignment'!$A:$A,MATCH(C9&amp;"-"&amp;E9&amp;"-"&amp;F9&amp;"-Pos4",'Shooter-Squad Assignment'!$K:$K,0)),""),IF(F9="Trap",IFERROR(INDEX('Shooter-Squad Assignment'!$A:$A,MATCH(C9&amp;"-"&amp;E9&amp;"-"&amp;F9&amp;"-Pos4",'Shooter-Squad Assignment'!$W:$W,0)),""),IF(F9="Sporting Clays",IFERROR(INDEX('Shooter-Squad Assignment'!$A:$A,MATCH(C9&amp;"-"&amp;E9&amp;"-"&amp;F9&amp;"-Pos4",'Shooter-Squad Assignment'!$Z:$Z,0)),""),"")))</f>
        <v/>
      </c>
      <c r="N9" s="73" t="str">
        <f>IF(ISBLANK(M9),"",IFERROR(INDEX('Tournament List'!$D:$D,MATCH(M9,'Tournament List'!$A:$A,0)),""))</f>
        <v/>
      </c>
      <c r="O9" s="94" t="str">
        <f>IF(F9="Skeet",IFERROR(INDEX('Shooter-Squad Assignment'!$A:$A,MATCH(C9&amp;"-"&amp;E9&amp;"-"&amp;F9&amp;"-Pos5",'Shooter-Squad Assignment'!$K:$K,0)),""),IF(F9="Trap",IFERROR(INDEX('Shooter-Squad Assignment'!$A:$A,MATCH(C9&amp;"-"&amp;E9&amp;"-"&amp;F9&amp;"-Pos5",'Shooter-Squad Assignment'!$W:$W,0)),""),IF(F9="Sporting Clays",IFERROR(INDEX('Shooter-Squad Assignment'!$A:$A,MATCH(C9&amp;"-"&amp;E9&amp;"-"&amp;F9&amp;"-Pos5",'Shooter-Squad Assignment'!$Z:$Z,0)),""),"")))</f>
        <v/>
      </c>
      <c r="P9" s="79" t="str">
        <f>IF(ISBLANK(O9),"",IFERROR(INDEX('Tournament List'!$D:$D,MATCH(O9,'Tournament List'!$A:$A,0)),""))</f>
        <v/>
      </c>
    </row>
    <row r="10" spans="1:16" x14ac:dyDescent="0.3">
      <c r="A10" s="78">
        <v>9</v>
      </c>
      <c r="B10" s="73" t="str">
        <f>C10&amp;"-"&amp;E10&amp;"-"&amp;F10</f>
        <v>Brighton Clay Crushers-Junior Varsity 3-Skeet</v>
      </c>
      <c r="C10" s="73" t="s">
        <v>322</v>
      </c>
      <c r="D10" s="73" t="str">
        <f>INDEX('Tournament Setup'!$B$59:$B$78,MATCH(E10,SquadConcurrents,0))</f>
        <v>Junior Varsity</v>
      </c>
      <c r="E10" s="73" t="s">
        <v>351</v>
      </c>
      <c r="F10" s="73" t="s">
        <v>143</v>
      </c>
      <c r="G10" s="94" t="str">
        <f>IF(F10="Skeet",IFERROR(INDEX('Shooter-Squad Assignment'!$A:$A,MATCH(C10&amp;"-"&amp;E10&amp;"-"&amp;F10&amp;"-Pos1",'Shooter-Squad Assignment'!$K:$K,0)),""),IF(F10="Trap",IFERROR(INDEX('Shooter-Squad Assignment'!$A:$A,MATCH(C10&amp;"-"&amp;E10&amp;"-"&amp;F10&amp;"-Pos1",'Shooter-Squad Assignment'!$W:$W,0)),""),IF(F10="Sporting Clays",IFERROR(INDEX('Shooter-Squad Assignment'!$A:$A,MATCH(C10&amp;"-"&amp;E10&amp;"-"&amp;F10&amp;"-Pos1",'Shooter-Squad Assignment'!$Z:$Z,0)),""),"")))</f>
        <v/>
      </c>
      <c r="H10" s="73" t="str">
        <f>IF(ISBLANK(G10),"",IFERROR(INDEX('Tournament List'!$D:$D,MATCH(G10,'Tournament List'!$A:$A,0)),""))</f>
        <v/>
      </c>
      <c r="I10" s="94" t="str">
        <f>IF(F10="Skeet",IFERROR(INDEX('Shooter-Squad Assignment'!$A:$A,MATCH(C10&amp;"-"&amp;E10&amp;"-"&amp;F10&amp;"-Pos2",'Shooter-Squad Assignment'!$K:$K,0)),""),IF(F10="Trap",IFERROR(INDEX('Shooter-Squad Assignment'!$A:$A,MATCH(C10&amp;"-"&amp;E10&amp;"-"&amp;F10&amp;"-Pos2",'Shooter-Squad Assignment'!$W:$W,0)),""),IF(F10="Sporting Clays",IFERROR(INDEX('Shooter-Squad Assignment'!$A:$A,MATCH(C10&amp;"-"&amp;E10&amp;"-"&amp;F10&amp;"-Pos2",'Shooter-Squad Assignment'!$Z:$Z,0)),""),"")))</f>
        <v/>
      </c>
      <c r="J10" s="73" t="str">
        <f>IF(ISBLANK(I10),"",IFERROR(INDEX('Tournament List'!$D:$D,MATCH(I10,'Tournament List'!$A:$A,0)),""))</f>
        <v/>
      </c>
      <c r="K10" s="94" t="str">
        <f>IF(F10="Skeet",IFERROR(INDEX('Shooter-Squad Assignment'!$A:$A,MATCH(C10&amp;"-"&amp;E10&amp;"-"&amp;F10&amp;"-Pos3",'Shooter-Squad Assignment'!$K:$K,0)),""),IF(F10="Trap",IFERROR(INDEX('Shooter-Squad Assignment'!$A:$A,MATCH(C10&amp;"-"&amp;E10&amp;"-"&amp;F10&amp;"-Pos3",'Shooter-Squad Assignment'!$W:$W,0)),""),IF(F10="Sporting Clays",IFERROR(INDEX('Shooter-Squad Assignment'!$A:$A,MATCH(C10&amp;"-"&amp;E10&amp;"-"&amp;F10&amp;"-Pos3",'Shooter-Squad Assignment'!$Z:$Z,0)),""),"")))</f>
        <v/>
      </c>
      <c r="L10" s="73" t="str">
        <f>IF(ISBLANK(K10),"",IFERROR(INDEX('Tournament List'!$D:$D,MATCH(K10,'Tournament List'!$A:$A,0)),""))</f>
        <v/>
      </c>
      <c r="M10" s="94" t="str">
        <f>IF(F10="Skeet",IFERROR(INDEX('Shooter-Squad Assignment'!$A:$A,MATCH(C10&amp;"-"&amp;E10&amp;"-"&amp;F10&amp;"-Pos4",'Shooter-Squad Assignment'!$K:$K,0)),""),IF(F10="Trap",IFERROR(INDEX('Shooter-Squad Assignment'!$A:$A,MATCH(C10&amp;"-"&amp;E10&amp;"-"&amp;F10&amp;"-Pos4",'Shooter-Squad Assignment'!$W:$W,0)),""),IF(F10="Sporting Clays",IFERROR(INDEX('Shooter-Squad Assignment'!$A:$A,MATCH(C10&amp;"-"&amp;E10&amp;"-"&amp;F10&amp;"-Pos4",'Shooter-Squad Assignment'!$Z:$Z,0)),""),"")))</f>
        <v/>
      </c>
      <c r="N10" s="73" t="str">
        <f>IF(ISBLANK(M10),"",IFERROR(INDEX('Tournament List'!$D:$D,MATCH(M10,'Tournament List'!$A:$A,0)),""))</f>
        <v/>
      </c>
      <c r="O10" s="94" t="str">
        <f>IF(F10="Skeet",IFERROR(INDEX('Shooter-Squad Assignment'!$A:$A,MATCH(C10&amp;"-"&amp;E10&amp;"-"&amp;F10&amp;"-Pos5",'Shooter-Squad Assignment'!$K:$K,0)),""),IF(F10="Trap",IFERROR(INDEX('Shooter-Squad Assignment'!$A:$A,MATCH(C10&amp;"-"&amp;E10&amp;"-"&amp;F10&amp;"-Pos5",'Shooter-Squad Assignment'!$W:$W,0)),""),IF(F10="Sporting Clays",IFERROR(INDEX('Shooter-Squad Assignment'!$A:$A,MATCH(C10&amp;"-"&amp;E10&amp;"-"&amp;F10&amp;"-Pos5",'Shooter-Squad Assignment'!$Z:$Z,0)),""),"")))</f>
        <v/>
      </c>
      <c r="P10" s="79" t="str">
        <f>IF(ISBLANK(O10),"",IFERROR(INDEX('Tournament List'!$D:$D,MATCH(O10,'Tournament List'!$A:$A,0)),""))</f>
        <v/>
      </c>
    </row>
    <row r="11" spans="1:16" x14ac:dyDescent="0.3">
      <c r="A11" s="78">
        <v>10</v>
      </c>
      <c r="B11" s="73" t="str">
        <f>C11&amp;"-"&amp;E11&amp;"-"&amp;F11</f>
        <v>Brighton Clay Crushers-Novice 1-Skeet</v>
      </c>
      <c r="C11" s="73" t="s">
        <v>322</v>
      </c>
      <c r="D11" s="73" t="str">
        <f>INDEX('Tournament Setup'!$B$59:$B$78,MATCH(E11,SquadConcurrents,0))</f>
        <v>Novice</v>
      </c>
      <c r="E11" s="73" t="s">
        <v>337</v>
      </c>
      <c r="F11" s="73" t="s">
        <v>143</v>
      </c>
      <c r="G11" s="94" t="str">
        <f>IF(F11="Skeet",IFERROR(INDEX('Shooter-Squad Assignment'!$A:$A,MATCH(C11&amp;"-"&amp;E11&amp;"-"&amp;F11&amp;"-Pos1",'Shooter-Squad Assignment'!$K:$K,0)),""),IF(F11="Trap",IFERROR(INDEX('Shooter-Squad Assignment'!$A:$A,MATCH(C11&amp;"-"&amp;E11&amp;"-"&amp;F11&amp;"-Pos1",'Shooter-Squad Assignment'!$W:$W,0)),""),IF(F11="Sporting Clays",IFERROR(INDEX('Shooter-Squad Assignment'!$A:$A,MATCH(C11&amp;"-"&amp;E11&amp;"-"&amp;F11&amp;"-Pos1",'Shooter-Squad Assignment'!$Z:$Z,0)),""),"")))</f>
        <v>24-1016</v>
      </c>
      <c r="H11" s="73" t="str">
        <f>IF(ISBLANK(G11),"",IFERROR(INDEX('Tournament List'!$D:$D,MATCH(G11,'Tournament List'!$A:$A,0)),""))</f>
        <v>Joan Last Name17</v>
      </c>
      <c r="I11" s="94" t="str">
        <f>IF(F11="Skeet",IFERROR(INDEX('Shooter-Squad Assignment'!$A:$A,MATCH(C11&amp;"-"&amp;E11&amp;"-"&amp;F11&amp;"-Pos2",'Shooter-Squad Assignment'!$K:$K,0)),""),IF(F11="Trap",IFERROR(INDEX('Shooter-Squad Assignment'!$A:$A,MATCH(C11&amp;"-"&amp;E11&amp;"-"&amp;F11&amp;"-Pos2",'Shooter-Squad Assignment'!$W:$W,0)),""),IF(F11="Sporting Clays",IFERROR(INDEX('Shooter-Squad Assignment'!$A:$A,MATCH(C11&amp;"-"&amp;E11&amp;"-"&amp;F11&amp;"-Pos2",'Shooter-Squad Assignment'!$Z:$Z,0)),""),"")))</f>
        <v>24-1034</v>
      </c>
      <c r="J11" s="73" t="str">
        <f>IF(ISBLANK(I11),"",IFERROR(INDEX('Tournament List'!$D:$D,MATCH(I11,'Tournament List'!$A:$A,0)),""))</f>
        <v>Patricia Last Name35</v>
      </c>
      <c r="K11" s="94" t="str">
        <f>IF(F11="Skeet",IFERROR(INDEX('Shooter-Squad Assignment'!$A:$A,MATCH(C11&amp;"-"&amp;E11&amp;"-"&amp;F11&amp;"-Pos3",'Shooter-Squad Assignment'!$K:$K,0)),""),IF(F11="Trap",IFERROR(INDEX('Shooter-Squad Assignment'!$A:$A,MATCH(C11&amp;"-"&amp;E11&amp;"-"&amp;F11&amp;"-Pos3",'Shooter-Squad Assignment'!$W:$W,0)),""),IF(F11="Sporting Clays",IFERROR(INDEX('Shooter-Squad Assignment'!$A:$A,MATCH(C11&amp;"-"&amp;E11&amp;"-"&amp;F11&amp;"-Pos3",'Shooter-Squad Assignment'!$Z:$Z,0)),""),"")))</f>
        <v>24-1046</v>
      </c>
      <c r="L11" s="73" t="str">
        <f>IF(ISBLANK(K11),"",IFERROR(INDEX('Tournament List'!$D:$D,MATCH(K11,'Tournament List'!$A:$A,0)),""))</f>
        <v>Rick Last Name47</v>
      </c>
      <c r="M11" s="94" t="str">
        <f>IF(F11="Skeet",IFERROR(INDEX('Shooter-Squad Assignment'!$A:$A,MATCH(C11&amp;"-"&amp;E11&amp;"-"&amp;F11&amp;"-Pos4",'Shooter-Squad Assignment'!$K:$K,0)),""),IF(F11="Trap",IFERROR(INDEX('Shooter-Squad Assignment'!$A:$A,MATCH(C11&amp;"-"&amp;E11&amp;"-"&amp;F11&amp;"-Pos4",'Shooter-Squad Assignment'!$W:$W,0)),""),IF(F11="Sporting Clays",IFERROR(INDEX('Shooter-Squad Assignment'!$A:$A,MATCH(C11&amp;"-"&amp;E11&amp;"-"&amp;F11&amp;"-Pos4",'Shooter-Squad Assignment'!$Z:$Z,0)),""),"")))</f>
        <v/>
      </c>
      <c r="N11" s="73" t="str">
        <f>IF(ISBLANK(M11),"",IFERROR(INDEX('Tournament List'!$D:$D,MATCH(M11,'Tournament List'!$A:$A,0)),""))</f>
        <v/>
      </c>
      <c r="O11" s="94" t="str">
        <f>IF(F11="Skeet",IFERROR(INDEX('Shooter-Squad Assignment'!$A:$A,MATCH(C11&amp;"-"&amp;E11&amp;"-"&amp;F11&amp;"-Pos5",'Shooter-Squad Assignment'!$K:$K,0)),""),IF(F11="Trap",IFERROR(INDEX('Shooter-Squad Assignment'!$A:$A,MATCH(C11&amp;"-"&amp;E11&amp;"-"&amp;F11&amp;"-Pos5",'Shooter-Squad Assignment'!$W:$W,0)),""),IF(F11="Sporting Clays",IFERROR(INDEX('Shooter-Squad Assignment'!$A:$A,MATCH(C11&amp;"-"&amp;E11&amp;"-"&amp;F11&amp;"-Pos5",'Shooter-Squad Assignment'!$Z:$Z,0)),""),"")))</f>
        <v/>
      </c>
      <c r="P11" s="79" t="str">
        <f>IF(ISBLANK(O11),"",IFERROR(INDEX('Tournament List'!$D:$D,MATCH(O11,'Tournament List'!$A:$A,0)),""))</f>
        <v/>
      </c>
    </row>
    <row r="12" spans="1:16" x14ac:dyDescent="0.3">
      <c r="A12" s="78">
        <v>11</v>
      </c>
      <c r="B12" s="73" t="str">
        <f>C12&amp;"-"&amp;E12&amp;"-"&amp;F12</f>
        <v>Brighton Clay Crushers-Novice 2-Skeet</v>
      </c>
      <c r="C12" s="73" t="s">
        <v>322</v>
      </c>
      <c r="D12" s="73" t="str">
        <f>INDEX('Tournament Setup'!$B$59:$B$78,MATCH(E12,SquadConcurrents,0))</f>
        <v>Novice</v>
      </c>
      <c r="E12" s="73" t="s">
        <v>343</v>
      </c>
      <c r="F12" s="73" t="s">
        <v>143</v>
      </c>
      <c r="G12" s="94" t="str">
        <f>IF(F12="Skeet",IFERROR(INDEX('Shooter-Squad Assignment'!$A:$A,MATCH(C12&amp;"-"&amp;E12&amp;"-"&amp;F12&amp;"-Pos1",'Shooter-Squad Assignment'!$K:$K,0)),""),IF(F12="Trap",IFERROR(INDEX('Shooter-Squad Assignment'!$A:$A,MATCH(C12&amp;"-"&amp;E12&amp;"-"&amp;F12&amp;"-Pos1",'Shooter-Squad Assignment'!$W:$W,0)),""),IF(F12="Sporting Clays",IFERROR(INDEX('Shooter-Squad Assignment'!$A:$A,MATCH(C12&amp;"-"&amp;E12&amp;"-"&amp;F12&amp;"-Pos1",'Shooter-Squad Assignment'!$Z:$Z,0)),""),"")))</f>
        <v/>
      </c>
      <c r="H12" s="73" t="str">
        <f>IF(ISBLANK(G12),"",IFERROR(INDEX('Tournament List'!$D:$D,MATCH(G12,'Tournament List'!$A:$A,0)),""))</f>
        <v/>
      </c>
      <c r="I12" s="94" t="str">
        <f>IF(F12="Skeet",IFERROR(INDEX('Shooter-Squad Assignment'!$A:$A,MATCH(C12&amp;"-"&amp;E12&amp;"-"&amp;F12&amp;"-Pos2",'Shooter-Squad Assignment'!$K:$K,0)),""),IF(F12="Trap",IFERROR(INDEX('Shooter-Squad Assignment'!$A:$A,MATCH(C12&amp;"-"&amp;E12&amp;"-"&amp;F12&amp;"-Pos2",'Shooter-Squad Assignment'!$W:$W,0)),""),IF(F12="Sporting Clays",IFERROR(INDEX('Shooter-Squad Assignment'!$A:$A,MATCH(C12&amp;"-"&amp;E12&amp;"-"&amp;F12&amp;"-Pos2",'Shooter-Squad Assignment'!$Z:$Z,0)),""),"")))</f>
        <v/>
      </c>
      <c r="J12" s="73" t="str">
        <f>IF(ISBLANK(I12),"",IFERROR(INDEX('Tournament List'!$D:$D,MATCH(I12,'Tournament List'!$A:$A,0)),""))</f>
        <v/>
      </c>
      <c r="K12" s="94" t="str">
        <f>IF(F12="Skeet",IFERROR(INDEX('Shooter-Squad Assignment'!$A:$A,MATCH(C12&amp;"-"&amp;E12&amp;"-"&amp;F12&amp;"-Pos3",'Shooter-Squad Assignment'!$K:$K,0)),""),IF(F12="Trap",IFERROR(INDEX('Shooter-Squad Assignment'!$A:$A,MATCH(C12&amp;"-"&amp;E12&amp;"-"&amp;F12&amp;"-Pos3",'Shooter-Squad Assignment'!$W:$W,0)),""),IF(F12="Sporting Clays",IFERROR(INDEX('Shooter-Squad Assignment'!$A:$A,MATCH(C12&amp;"-"&amp;E12&amp;"-"&amp;F12&amp;"-Pos3",'Shooter-Squad Assignment'!$Z:$Z,0)),""),"")))</f>
        <v/>
      </c>
      <c r="L12" s="73" t="str">
        <f>IF(ISBLANK(K12),"",IFERROR(INDEX('Tournament List'!$D:$D,MATCH(K12,'Tournament List'!$A:$A,0)),""))</f>
        <v/>
      </c>
      <c r="M12" s="94" t="str">
        <f>IF(F12="Skeet",IFERROR(INDEX('Shooter-Squad Assignment'!$A:$A,MATCH(C12&amp;"-"&amp;E12&amp;"-"&amp;F12&amp;"-Pos4",'Shooter-Squad Assignment'!$K:$K,0)),""),IF(F12="Trap",IFERROR(INDEX('Shooter-Squad Assignment'!$A:$A,MATCH(C12&amp;"-"&amp;E12&amp;"-"&amp;F12&amp;"-Pos4",'Shooter-Squad Assignment'!$W:$W,0)),""),IF(F12="Sporting Clays",IFERROR(INDEX('Shooter-Squad Assignment'!$A:$A,MATCH(C12&amp;"-"&amp;E12&amp;"-"&amp;F12&amp;"-Pos4",'Shooter-Squad Assignment'!$Z:$Z,0)),""),"")))</f>
        <v/>
      </c>
      <c r="N12" s="73" t="str">
        <f>IF(ISBLANK(M12),"",IFERROR(INDEX('Tournament List'!$D:$D,MATCH(M12,'Tournament List'!$A:$A,0)),""))</f>
        <v/>
      </c>
      <c r="O12" s="94" t="str">
        <f>IF(F12="Skeet",IFERROR(INDEX('Shooter-Squad Assignment'!$A:$A,MATCH(C12&amp;"-"&amp;E12&amp;"-"&amp;F12&amp;"-Pos5",'Shooter-Squad Assignment'!$K:$K,0)),""),IF(F12="Trap",IFERROR(INDEX('Shooter-Squad Assignment'!$A:$A,MATCH(C12&amp;"-"&amp;E12&amp;"-"&amp;F12&amp;"-Pos5",'Shooter-Squad Assignment'!$W:$W,0)),""),IF(F12="Sporting Clays",IFERROR(INDEX('Shooter-Squad Assignment'!$A:$A,MATCH(C12&amp;"-"&amp;E12&amp;"-"&amp;F12&amp;"-Pos5",'Shooter-Squad Assignment'!$Z:$Z,0)),""),"")))</f>
        <v/>
      </c>
      <c r="P12" s="79" t="str">
        <f>IF(ISBLANK(O12),"",IFERROR(INDEX('Tournament List'!$D:$D,MATCH(O12,'Tournament List'!$A:$A,0)),""))</f>
        <v/>
      </c>
    </row>
    <row r="13" spans="1:16" x14ac:dyDescent="0.3">
      <c r="A13" s="78">
        <v>12</v>
      </c>
      <c r="B13" s="73" t="str">
        <f>C13&amp;"-"&amp;E13&amp;"-"&amp;F13</f>
        <v>Brighton Clay Crushers-Novice 3-Skeet</v>
      </c>
      <c r="C13" s="73" t="s">
        <v>322</v>
      </c>
      <c r="D13" s="73" t="str">
        <f>INDEX('Tournament Setup'!$B$59:$B$78,MATCH(E13,SquadConcurrents,0))</f>
        <v>Novice</v>
      </c>
      <c r="E13" s="73" t="s">
        <v>349</v>
      </c>
      <c r="F13" s="73" t="s">
        <v>143</v>
      </c>
      <c r="G13" s="94" t="str">
        <f>IF(F13="Skeet",IFERROR(INDEX('Shooter-Squad Assignment'!$A:$A,MATCH(C13&amp;"-"&amp;E13&amp;"-"&amp;F13&amp;"-Pos1",'Shooter-Squad Assignment'!$K:$K,0)),""),IF(F13="Trap",IFERROR(INDEX('Shooter-Squad Assignment'!$A:$A,MATCH(C13&amp;"-"&amp;E13&amp;"-"&amp;F13&amp;"-Pos1",'Shooter-Squad Assignment'!$W:$W,0)),""),IF(F13="Sporting Clays",IFERROR(INDEX('Shooter-Squad Assignment'!$A:$A,MATCH(C13&amp;"-"&amp;E13&amp;"-"&amp;F13&amp;"-Pos1",'Shooter-Squad Assignment'!$Z:$Z,0)),""),"")))</f>
        <v/>
      </c>
      <c r="H13" s="73" t="str">
        <f>IF(ISBLANK(G13),"",IFERROR(INDEX('Tournament List'!$D:$D,MATCH(G13,'Tournament List'!$A:$A,0)),""))</f>
        <v/>
      </c>
      <c r="I13" s="94" t="str">
        <f>IF(F13="Skeet",IFERROR(INDEX('Shooter-Squad Assignment'!$A:$A,MATCH(C13&amp;"-"&amp;E13&amp;"-"&amp;F13&amp;"-Pos2",'Shooter-Squad Assignment'!$K:$K,0)),""),IF(F13="Trap",IFERROR(INDEX('Shooter-Squad Assignment'!$A:$A,MATCH(C13&amp;"-"&amp;E13&amp;"-"&amp;F13&amp;"-Pos2",'Shooter-Squad Assignment'!$W:$W,0)),""),IF(F13="Sporting Clays",IFERROR(INDEX('Shooter-Squad Assignment'!$A:$A,MATCH(C13&amp;"-"&amp;E13&amp;"-"&amp;F13&amp;"-Pos2",'Shooter-Squad Assignment'!$Z:$Z,0)),""),"")))</f>
        <v/>
      </c>
      <c r="J13" s="73" t="str">
        <f>IF(ISBLANK(I13),"",IFERROR(INDEX('Tournament List'!$D:$D,MATCH(I13,'Tournament List'!$A:$A,0)),""))</f>
        <v/>
      </c>
      <c r="K13" s="94" t="str">
        <f>IF(F13="Skeet",IFERROR(INDEX('Shooter-Squad Assignment'!$A:$A,MATCH(C13&amp;"-"&amp;E13&amp;"-"&amp;F13&amp;"-Pos3",'Shooter-Squad Assignment'!$K:$K,0)),""),IF(F13="Trap",IFERROR(INDEX('Shooter-Squad Assignment'!$A:$A,MATCH(C13&amp;"-"&amp;E13&amp;"-"&amp;F13&amp;"-Pos3",'Shooter-Squad Assignment'!$W:$W,0)),""),IF(F13="Sporting Clays",IFERROR(INDEX('Shooter-Squad Assignment'!$A:$A,MATCH(C13&amp;"-"&amp;E13&amp;"-"&amp;F13&amp;"-Pos3",'Shooter-Squad Assignment'!$Z:$Z,0)),""),"")))</f>
        <v/>
      </c>
      <c r="L13" s="73" t="str">
        <f>IF(ISBLANK(K13),"",IFERROR(INDEX('Tournament List'!$D:$D,MATCH(K13,'Tournament List'!$A:$A,0)),""))</f>
        <v/>
      </c>
      <c r="M13" s="94" t="str">
        <f>IF(F13="Skeet",IFERROR(INDEX('Shooter-Squad Assignment'!$A:$A,MATCH(C13&amp;"-"&amp;E13&amp;"-"&amp;F13&amp;"-Pos4",'Shooter-Squad Assignment'!$K:$K,0)),""),IF(F13="Trap",IFERROR(INDEX('Shooter-Squad Assignment'!$A:$A,MATCH(C13&amp;"-"&amp;E13&amp;"-"&amp;F13&amp;"-Pos4",'Shooter-Squad Assignment'!$W:$W,0)),""),IF(F13="Sporting Clays",IFERROR(INDEX('Shooter-Squad Assignment'!$A:$A,MATCH(C13&amp;"-"&amp;E13&amp;"-"&amp;F13&amp;"-Pos4",'Shooter-Squad Assignment'!$Z:$Z,0)),""),"")))</f>
        <v/>
      </c>
      <c r="N13" s="73" t="str">
        <f>IF(ISBLANK(M13),"",IFERROR(INDEX('Tournament List'!$D:$D,MATCH(M13,'Tournament List'!$A:$A,0)),""))</f>
        <v/>
      </c>
      <c r="O13" s="94" t="str">
        <f>IF(F13="Skeet",IFERROR(INDEX('Shooter-Squad Assignment'!$A:$A,MATCH(C13&amp;"-"&amp;E13&amp;"-"&amp;F13&amp;"-Pos5",'Shooter-Squad Assignment'!$K:$K,0)),""),IF(F13="Trap",IFERROR(INDEX('Shooter-Squad Assignment'!$A:$A,MATCH(C13&amp;"-"&amp;E13&amp;"-"&amp;F13&amp;"-Pos5",'Shooter-Squad Assignment'!$W:$W,0)),""),IF(F13="Sporting Clays",IFERROR(INDEX('Shooter-Squad Assignment'!$A:$A,MATCH(C13&amp;"-"&amp;E13&amp;"-"&amp;F13&amp;"-Pos5",'Shooter-Squad Assignment'!$Z:$Z,0)),""),"")))</f>
        <v/>
      </c>
      <c r="P13" s="79" t="str">
        <f>IF(ISBLANK(O13),"",IFERROR(INDEX('Tournament List'!$D:$D,MATCH(O13,'Tournament List'!$A:$A,0)),""))</f>
        <v/>
      </c>
    </row>
    <row r="14" spans="1:16" x14ac:dyDescent="0.3">
      <c r="A14" s="78">
        <v>13</v>
      </c>
      <c r="B14" s="73" t="str">
        <f>C14&amp;"-"&amp;E14&amp;"-"&amp;F14</f>
        <v>Brighton Clay Crushers-Open 1-Skeet</v>
      </c>
      <c r="C14" s="73" t="s">
        <v>322</v>
      </c>
      <c r="D14" s="73" t="str">
        <f>INDEX('Tournament Setup'!$B$59:$B$78,MATCH(E14,SquadConcurrents,0))</f>
        <v>Open</v>
      </c>
      <c r="E14" s="73" t="s">
        <v>341</v>
      </c>
      <c r="F14" s="73" t="s">
        <v>143</v>
      </c>
      <c r="G14" s="94" t="str">
        <f>IF(F14="Skeet",IFERROR(INDEX('Shooter-Squad Assignment'!$A:$A,MATCH(C14&amp;"-"&amp;E14&amp;"-"&amp;F14&amp;"-Pos1",'Shooter-Squad Assignment'!$K:$K,0)),""),IF(F14="Trap",IFERROR(INDEX('Shooter-Squad Assignment'!$A:$A,MATCH(C14&amp;"-"&amp;E14&amp;"-"&amp;F14&amp;"-Pos1",'Shooter-Squad Assignment'!$W:$W,0)),""),IF(F14="Sporting Clays",IFERROR(INDEX('Shooter-Squad Assignment'!$A:$A,MATCH(C14&amp;"-"&amp;E14&amp;"-"&amp;F14&amp;"-Pos1",'Shooter-Squad Assignment'!$Z:$Z,0)),""),"")))</f>
        <v/>
      </c>
      <c r="H14" s="73" t="str">
        <f>IF(ISBLANK(G14),"",IFERROR(INDEX('Tournament List'!$D:$D,MATCH(G14,'Tournament List'!$A:$A,0)),""))</f>
        <v/>
      </c>
      <c r="I14" s="94" t="str">
        <f>IF(F14="Skeet",IFERROR(INDEX('Shooter-Squad Assignment'!$A:$A,MATCH(C14&amp;"-"&amp;E14&amp;"-"&amp;F14&amp;"-Pos2",'Shooter-Squad Assignment'!$K:$K,0)),""),IF(F14="Trap",IFERROR(INDEX('Shooter-Squad Assignment'!$A:$A,MATCH(C14&amp;"-"&amp;E14&amp;"-"&amp;F14&amp;"-Pos2",'Shooter-Squad Assignment'!$W:$W,0)),""),IF(F14="Sporting Clays",IFERROR(INDEX('Shooter-Squad Assignment'!$A:$A,MATCH(C14&amp;"-"&amp;E14&amp;"-"&amp;F14&amp;"-Pos2",'Shooter-Squad Assignment'!$Z:$Z,0)),""),"")))</f>
        <v/>
      </c>
      <c r="J14" s="73" t="str">
        <f>IF(ISBLANK(I14),"",IFERROR(INDEX('Tournament List'!$D:$D,MATCH(I14,'Tournament List'!$A:$A,0)),""))</f>
        <v/>
      </c>
      <c r="K14" s="94" t="str">
        <f>IF(F14="Skeet",IFERROR(INDEX('Shooter-Squad Assignment'!$A:$A,MATCH(C14&amp;"-"&amp;E14&amp;"-"&amp;F14&amp;"-Pos3",'Shooter-Squad Assignment'!$K:$K,0)),""),IF(F14="Trap",IFERROR(INDEX('Shooter-Squad Assignment'!$A:$A,MATCH(C14&amp;"-"&amp;E14&amp;"-"&amp;F14&amp;"-Pos3",'Shooter-Squad Assignment'!$W:$W,0)),""),IF(F14="Sporting Clays",IFERROR(INDEX('Shooter-Squad Assignment'!$A:$A,MATCH(C14&amp;"-"&amp;E14&amp;"-"&amp;F14&amp;"-Pos3",'Shooter-Squad Assignment'!$Z:$Z,0)),""),"")))</f>
        <v/>
      </c>
      <c r="L14" s="73" t="str">
        <f>IF(ISBLANK(K14),"",IFERROR(INDEX('Tournament List'!$D:$D,MATCH(K14,'Tournament List'!$A:$A,0)),""))</f>
        <v/>
      </c>
      <c r="M14" s="94" t="str">
        <f>IF(F14="Skeet",IFERROR(INDEX('Shooter-Squad Assignment'!$A:$A,MATCH(C14&amp;"-"&amp;E14&amp;"-"&amp;F14&amp;"-Pos4",'Shooter-Squad Assignment'!$K:$K,0)),""),IF(F14="Trap",IFERROR(INDEX('Shooter-Squad Assignment'!$A:$A,MATCH(C14&amp;"-"&amp;E14&amp;"-"&amp;F14&amp;"-Pos4",'Shooter-Squad Assignment'!$W:$W,0)),""),IF(F14="Sporting Clays",IFERROR(INDEX('Shooter-Squad Assignment'!$A:$A,MATCH(C14&amp;"-"&amp;E14&amp;"-"&amp;F14&amp;"-Pos4",'Shooter-Squad Assignment'!$Z:$Z,0)),""),"")))</f>
        <v/>
      </c>
      <c r="N14" s="73" t="str">
        <f>IF(ISBLANK(M14),"",IFERROR(INDEX('Tournament List'!$D:$D,MATCH(M14,'Tournament List'!$A:$A,0)),""))</f>
        <v/>
      </c>
      <c r="O14" s="94" t="str">
        <f>IF(F14="Skeet",IFERROR(INDEX('Shooter-Squad Assignment'!$A:$A,MATCH(C14&amp;"-"&amp;E14&amp;"-"&amp;F14&amp;"-Pos5",'Shooter-Squad Assignment'!$K:$K,0)),""),IF(F14="Trap",IFERROR(INDEX('Shooter-Squad Assignment'!$A:$A,MATCH(C14&amp;"-"&amp;E14&amp;"-"&amp;F14&amp;"-Pos5",'Shooter-Squad Assignment'!$W:$W,0)),""),IF(F14="Sporting Clays",IFERROR(INDEX('Shooter-Squad Assignment'!$A:$A,MATCH(C14&amp;"-"&amp;E14&amp;"-"&amp;F14&amp;"-Pos5",'Shooter-Squad Assignment'!$Z:$Z,0)),""),"")))</f>
        <v/>
      </c>
      <c r="P14" s="79" t="str">
        <f>IF(ISBLANK(O14),"",IFERROR(INDEX('Tournament List'!$D:$D,MATCH(O14,'Tournament List'!$A:$A,0)),""))</f>
        <v/>
      </c>
    </row>
    <row r="15" spans="1:16" x14ac:dyDescent="0.3">
      <c r="A15" s="78">
        <v>14</v>
      </c>
      <c r="B15" s="73" t="str">
        <f>C15&amp;"-"&amp;E15&amp;"-"&amp;F15</f>
        <v>Brighton Clay Crushers-Open 2-Skeet</v>
      </c>
      <c r="C15" s="73" t="s">
        <v>322</v>
      </c>
      <c r="D15" s="73" t="str">
        <f>INDEX('Tournament Setup'!$B$59:$B$78,MATCH(E15,SquadConcurrents,0))</f>
        <v>Open</v>
      </c>
      <c r="E15" s="73" t="s">
        <v>347</v>
      </c>
      <c r="F15" s="73" t="s">
        <v>143</v>
      </c>
      <c r="G15" s="94" t="str">
        <f>IF(F15="Skeet",IFERROR(INDEX('Shooter-Squad Assignment'!$A:$A,MATCH(C15&amp;"-"&amp;E15&amp;"-"&amp;F15&amp;"-Pos1",'Shooter-Squad Assignment'!$K:$K,0)),""),IF(F15="Trap",IFERROR(INDEX('Shooter-Squad Assignment'!$A:$A,MATCH(C15&amp;"-"&amp;E15&amp;"-"&amp;F15&amp;"-Pos1",'Shooter-Squad Assignment'!$W:$W,0)),""),IF(F15="Sporting Clays",IFERROR(INDEX('Shooter-Squad Assignment'!$A:$A,MATCH(C15&amp;"-"&amp;E15&amp;"-"&amp;F15&amp;"-Pos1",'Shooter-Squad Assignment'!$Z:$Z,0)),""),"")))</f>
        <v/>
      </c>
      <c r="H15" s="73" t="str">
        <f>IF(ISBLANK(G15),"",IFERROR(INDEX('Tournament List'!$D:$D,MATCH(G15,'Tournament List'!$A:$A,0)),""))</f>
        <v/>
      </c>
      <c r="I15" s="94" t="str">
        <f>IF(F15="Skeet",IFERROR(INDEX('Shooter-Squad Assignment'!$A:$A,MATCH(C15&amp;"-"&amp;E15&amp;"-"&amp;F15&amp;"-Pos2",'Shooter-Squad Assignment'!$K:$K,0)),""),IF(F15="Trap",IFERROR(INDEX('Shooter-Squad Assignment'!$A:$A,MATCH(C15&amp;"-"&amp;E15&amp;"-"&amp;F15&amp;"-Pos2",'Shooter-Squad Assignment'!$W:$W,0)),""),IF(F15="Sporting Clays",IFERROR(INDEX('Shooter-Squad Assignment'!$A:$A,MATCH(C15&amp;"-"&amp;E15&amp;"-"&amp;F15&amp;"-Pos2",'Shooter-Squad Assignment'!$Z:$Z,0)),""),"")))</f>
        <v/>
      </c>
      <c r="J15" s="73" t="str">
        <f>IF(ISBLANK(I15),"",IFERROR(INDEX('Tournament List'!$D:$D,MATCH(I15,'Tournament List'!$A:$A,0)),""))</f>
        <v/>
      </c>
      <c r="K15" s="94" t="str">
        <f>IF(F15="Skeet",IFERROR(INDEX('Shooter-Squad Assignment'!$A:$A,MATCH(C15&amp;"-"&amp;E15&amp;"-"&amp;F15&amp;"-Pos3",'Shooter-Squad Assignment'!$K:$K,0)),""),IF(F15="Trap",IFERROR(INDEX('Shooter-Squad Assignment'!$A:$A,MATCH(C15&amp;"-"&amp;E15&amp;"-"&amp;F15&amp;"-Pos3",'Shooter-Squad Assignment'!$W:$W,0)),""),IF(F15="Sporting Clays",IFERROR(INDEX('Shooter-Squad Assignment'!$A:$A,MATCH(C15&amp;"-"&amp;E15&amp;"-"&amp;F15&amp;"-Pos3",'Shooter-Squad Assignment'!$Z:$Z,0)),""),"")))</f>
        <v/>
      </c>
      <c r="L15" s="73" t="str">
        <f>IF(ISBLANK(K15),"",IFERROR(INDEX('Tournament List'!$D:$D,MATCH(K15,'Tournament List'!$A:$A,0)),""))</f>
        <v/>
      </c>
      <c r="M15" s="94" t="str">
        <f>IF(F15="Skeet",IFERROR(INDEX('Shooter-Squad Assignment'!$A:$A,MATCH(C15&amp;"-"&amp;E15&amp;"-"&amp;F15&amp;"-Pos4",'Shooter-Squad Assignment'!$K:$K,0)),""),IF(F15="Trap",IFERROR(INDEX('Shooter-Squad Assignment'!$A:$A,MATCH(C15&amp;"-"&amp;E15&amp;"-"&amp;F15&amp;"-Pos4",'Shooter-Squad Assignment'!$W:$W,0)),""),IF(F15="Sporting Clays",IFERROR(INDEX('Shooter-Squad Assignment'!$A:$A,MATCH(C15&amp;"-"&amp;E15&amp;"-"&amp;F15&amp;"-Pos4",'Shooter-Squad Assignment'!$Z:$Z,0)),""),"")))</f>
        <v/>
      </c>
      <c r="N15" s="73" t="str">
        <f>IF(ISBLANK(M15),"",IFERROR(INDEX('Tournament List'!$D:$D,MATCH(M15,'Tournament List'!$A:$A,0)),""))</f>
        <v/>
      </c>
      <c r="O15" s="94" t="str">
        <f>IF(F15="Skeet",IFERROR(INDEX('Shooter-Squad Assignment'!$A:$A,MATCH(C15&amp;"-"&amp;E15&amp;"-"&amp;F15&amp;"-Pos5",'Shooter-Squad Assignment'!$K:$K,0)),""),IF(F15="Trap",IFERROR(INDEX('Shooter-Squad Assignment'!$A:$A,MATCH(C15&amp;"-"&amp;E15&amp;"-"&amp;F15&amp;"-Pos5",'Shooter-Squad Assignment'!$W:$W,0)),""),IF(F15="Sporting Clays",IFERROR(INDEX('Shooter-Squad Assignment'!$A:$A,MATCH(C15&amp;"-"&amp;E15&amp;"-"&amp;F15&amp;"-Pos5",'Shooter-Squad Assignment'!$Z:$Z,0)),""),"")))</f>
        <v/>
      </c>
      <c r="P15" s="79" t="str">
        <f>IF(ISBLANK(O15),"",IFERROR(INDEX('Tournament List'!$D:$D,MATCH(O15,'Tournament List'!$A:$A,0)),""))</f>
        <v/>
      </c>
    </row>
    <row r="16" spans="1:16" x14ac:dyDescent="0.3">
      <c r="A16" s="78">
        <v>15</v>
      </c>
      <c r="B16" s="73" t="str">
        <f>C16&amp;"-"&amp;E16&amp;"-"&amp;F16</f>
        <v>Brighton Clay Crushers-Open 3-Skeet</v>
      </c>
      <c r="C16" s="73" t="s">
        <v>322</v>
      </c>
      <c r="D16" s="73" t="str">
        <f>INDEX('Tournament Setup'!$B$59:$B$78,MATCH(E16,SquadConcurrents,0))</f>
        <v>Open</v>
      </c>
      <c r="E16" s="73" t="s">
        <v>353</v>
      </c>
      <c r="F16" s="73" t="s">
        <v>143</v>
      </c>
      <c r="G16" s="94" t="str">
        <f>IF(F16="Skeet",IFERROR(INDEX('Shooter-Squad Assignment'!$A:$A,MATCH(C16&amp;"-"&amp;E16&amp;"-"&amp;F16&amp;"-Pos1",'Shooter-Squad Assignment'!$K:$K,0)),""),IF(F16="Trap",IFERROR(INDEX('Shooter-Squad Assignment'!$A:$A,MATCH(C16&amp;"-"&amp;E16&amp;"-"&amp;F16&amp;"-Pos1",'Shooter-Squad Assignment'!$W:$W,0)),""),IF(F16="Sporting Clays",IFERROR(INDEX('Shooter-Squad Assignment'!$A:$A,MATCH(C16&amp;"-"&amp;E16&amp;"-"&amp;F16&amp;"-Pos1",'Shooter-Squad Assignment'!$Z:$Z,0)),""),"")))</f>
        <v/>
      </c>
      <c r="H16" s="73" t="str">
        <f>IF(ISBLANK(G16),"",IFERROR(INDEX('Tournament List'!$D:$D,MATCH(G16,'Tournament List'!$A:$A,0)),""))</f>
        <v/>
      </c>
      <c r="I16" s="94" t="str">
        <f>IF(F16="Skeet",IFERROR(INDEX('Shooter-Squad Assignment'!$A:$A,MATCH(C16&amp;"-"&amp;E16&amp;"-"&amp;F16&amp;"-Pos2",'Shooter-Squad Assignment'!$K:$K,0)),""),IF(F16="Trap",IFERROR(INDEX('Shooter-Squad Assignment'!$A:$A,MATCH(C16&amp;"-"&amp;E16&amp;"-"&amp;F16&amp;"-Pos2",'Shooter-Squad Assignment'!$W:$W,0)),""),IF(F16="Sporting Clays",IFERROR(INDEX('Shooter-Squad Assignment'!$A:$A,MATCH(C16&amp;"-"&amp;E16&amp;"-"&amp;F16&amp;"-Pos2",'Shooter-Squad Assignment'!$Z:$Z,0)),""),"")))</f>
        <v/>
      </c>
      <c r="J16" s="73" t="str">
        <f>IF(ISBLANK(I16),"",IFERROR(INDEX('Tournament List'!$D:$D,MATCH(I16,'Tournament List'!$A:$A,0)),""))</f>
        <v/>
      </c>
      <c r="K16" s="94" t="str">
        <f>IF(F16="Skeet",IFERROR(INDEX('Shooter-Squad Assignment'!$A:$A,MATCH(C16&amp;"-"&amp;E16&amp;"-"&amp;F16&amp;"-Pos3",'Shooter-Squad Assignment'!$K:$K,0)),""),IF(F16="Trap",IFERROR(INDEX('Shooter-Squad Assignment'!$A:$A,MATCH(C16&amp;"-"&amp;E16&amp;"-"&amp;F16&amp;"-Pos3",'Shooter-Squad Assignment'!$W:$W,0)),""),IF(F16="Sporting Clays",IFERROR(INDEX('Shooter-Squad Assignment'!$A:$A,MATCH(C16&amp;"-"&amp;E16&amp;"-"&amp;F16&amp;"-Pos3",'Shooter-Squad Assignment'!$Z:$Z,0)),""),"")))</f>
        <v/>
      </c>
      <c r="L16" s="73" t="str">
        <f>IF(ISBLANK(K16),"",IFERROR(INDEX('Tournament List'!$D:$D,MATCH(K16,'Tournament List'!$A:$A,0)),""))</f>
        <v/>
      </c>
      <c r="M16" s="94" t="str">
        <f>IF(F16="Skeet",IFERROR(INDEX('Shooter-Squad Assignment'!$A:$A,MATCH(C16&amp;"-"&amp;E16&amp;"-"&amp;F16&amp;"-Pos4",'Shooter-Squad Assignment'!$K:$K,0)),""),IF(F16="Trap",IFERROR(INDEX('Shooter-Squad Assignment'!$A:$A,MATCH(C16&amp;"-"&amp;E16&amp;"-"&amp;F16&amp;"-Pos4",'Shooter-Squad Assignment'!$W:$W,0)),""),IF(F16="Sporting Clays",IFERROR(INDEX('Shooter-Squad Assignment'!$A:$A,MATCH(C16&amp;"-"&amp;E16&amp;"-"&amp;F16&amp;"-Pos4",'Shooter-Squad Assignment'!$Z:$Z,0)),""),"")))</f>
        <v/>
      </c>
      <c r="N16" s="73" t="str">
        <f>IF(ISBLANK(M16),"",IFERROR(INDEX('Tournament List'!$D:$D,MATCH(M16,'Tournament List'!$A:$A,0)),""))</f>
        <v/>
      </c>
      <c r="O16" s="94" t="str">
        <f>IF(F16="Skeet",IFERROR(INDEX('Shooter-Squad Assignment'!$A:$A,MATCH(C16&amp;"-"&amp;E16&amp;"-"&amp;F16&amp;"-Pos5",'Shooter-Squad Assignment'!$K:$K,0)),""),IF(F16="Trap",IFERROR(INDEX('Shooter-Squad Assignment'!$A:$A,MATCH(C16&amp;"-"&amp;E16&amp;"-"&amp;F16&amp;"-Pos5",'Shooter-Squad Assignment'!$W:$W,0)),""),IF(F16="Sporting Clays",IFERROR(INDEX('Shooter-Squad Assignment'!$A:$A,MATCH(C16&amp;"-"&amp;E16&amp;"-"&amp;F16&amp;"-Pos5",'Shooter-Squad Assignment'!$Z:$Z,0)),""),"")))</f>
        <v/>
      </c>
      <c r="P16" s="79" t="str">
        <f>IF(ISBLANK(O16),"",IFERROR(INDEX('Tournament List'!$D:$D,MATCH(O16,'Tournament List'!$A:$A,0)),""))</f>
        <v/>
      </c>
    </row>
    <row r="17" spans="1:16" x14ac:dyDescent="0.3">
      <c r="A17" s="78">
        <v>16</v>
      </c>
      <c r="B17" s="73" t="str">
        <f>C17&amp;"-"&amp;E17&amp;"-"&amp;F17</f>
        <v>Brighton Clay Crushers-Unassigned 1-Skeet</v>
      </c>
      <c r="C17" s="73" t="s">
        <v>322</v>
      </c>
      <c r="D17" s="73" t="str">
        <f>INDEX('Tournament Setup'!$B$59:$B$78,MATCH(E17,SquadConcurrents,0))</f>
        <v>Unassigned</v>
      </c>
      <c r="E17" s="73" t="s">
        <v>762</v>
      </c>
      <c r="F17" s="73" t="s">
        <v>143</v>
      </c>
      <c r="G17" s="94" t="str">
        <f>IF(F17="Skeet",IFERROR(INDEX('Shooter-Squad Assignment'!$A:$A,MATCH(C17&amp;"-"&amp;E17&amp;"-"&amp;F17&amp;"-Pos1",'Shooter-Squad Assignment'!$K:$K,0)),""),IF(F17="Trap",IFERROR(INDEX('Shooter-Squad Assignment'!$A:$A,MATCH(C17&amp;"-"&amp;E17&amp;"-"&amp;F17&amp;"-Pos1",'Shooter-Squad Assignment'!$W:$W,0)),""),IF(F17="Sporting Clays",IFERROR(INDEX('Shooter-Squad Assignment'!$A:$A,MATCH(C17&amp;"-"&amp;E17&amp;"-"&amp;F17&amp;"-Pos1",'Shooter-Squad Assignment'!$Z:$Z,0)),""),"")))</f>
        <v/>
      </c>
      <c r="H17" s="73" t="str">
        <f>IF(ISBLANK(G17),"",IFERROR(INDEX('Tournament List'!$D:$D,MATCH(G17,'Tournament List'!$A:$A,0)),""))</f>
        <v/>
      </c>
      <c r="I17" s="94" t="str">
        <f>IF(F17="Skeet",IFERROR(INDEX('Shooter-Squad Assignment'!$A:$A,MATCH(C17&amp;"-"&amp;E17&amp;"-"&amp;F17&amp;"-Pos2",'Shooter-Squad Assignment'!$K:$K,0)),""),IF(F17="Trap",IFERROR(INDEX('Shooter-Squad Assignment'!$A:$A,MATCH(C17&amp;"-"&amp;E17&amp;"-"&amp;F17&amp;"-Pos2",'Shooter-Squad Assignment'!$W:$W,0)),""),IF(F17="Sporting Clays",IFERROR(INDEX('Shooter-Squad Assignment'!$A:$A,MATCH(C17&amp;"-"&amp;E17&amp;"-"&amp;F17&amp;"-Pos2",'Shooter-Squad Assignment'!$Z:$Z,0)),""),"")))</f>
        <v/>
      </c>
      <c r="J17" s="73" t="str">
        <f>IF(ISBLANK(I17),"",IFERROR(INDEX('Tournament List'!$D:$D,MATCH(I17,'Tournament List'!$A:$A,0)),""))</f>
        <v/>
      </c>
      <c r="K17" s="94" t="str">
        <f>IF(F17="Skeet",IFERROR(INDEX('Shooter-Squad Assignment'!$A:$A,MATCH(C17&amp;"-"&amp;E17&amp;"-"&amp;F17&amp;"-Pos3",'Shooter-Squad Assignment'!$K:$K,0)),""),IF(F17="Trap",IFERROR(INDEX('Shooter-Squad Assignment'!$A:$A,MATCH(C17&amp;"-"&amp;E17&amp;"-"&amp;F17&amp;"-Pos3",'Shooter-Squad Assignment'!$W:$W,0)),""),IF(F17="Sporting Clays",IFERROR(INDEX('Shooter-Squad Assignment'!$A:$A,MATCH(C17&amp;"-"&amp;E17&amp;"-"&amp;F17&amp;"-Pos3",'Shooter-Squad Assignment'!$Z:$Z,0)),""),"")))</f>
        <v/>
      </c>
      <c r="L17" s="73" t="str">
        <f>IF(ISBLANK(K17),"",IFERROR(INDEX('Tournament List'!$D:$D,MATCH(K17,'Tournament List'!$A:$A,0)),""))</f>
        <v/>
      </c>
      <c r="M17" s="94" t="str">
        <f>IF(F17="Skeet",IFERROR(INDEX('Shooter-Squad Assignment'!$A:$A,MATCH(C17&amp;"-"&amp;E17&amp;"-"&amp;F17&amp;"-Pos4",'Shooter-Squad Assignment'!$K:$K,0)),""),IF(F17="Trap",IFERROR(INDEX('Shooter-Squad Assignment'!$A:$A,MATCH(C17&amp;"-"&amp;E17&amp;"-"&amp;F17&amp;"-Pos4",'Shooter-Squad Assignment'!$W:$W,0)),""),IF(F17="Sporting Clays",IFERROR(INDEX('Shooter-Squad Assignment'!$A:$A,MATCH(C17&amp;"-"&amp;E17&amp;"-"&amp;F17&amp;"-Pos4",'Shooter-Squad Assignment'!$Z:$Z,0)),""),"")))</f>
        <v/>
      </c>
      <c r="N17" s="73" t="str">
        <f>IF(ISBLANK(M17),"",IFERROR(INDEX('Tournament List'!$D:$D,MATCH(M17,'Tournament List'!$A:$A,0)),""))</f>
        <v/>
      </c>
      <c r="O17" s="94" t="str">
        <f>IF(F17="Skeet",IFERROR(INDEX('Shooter-Squad Assignment'!$A:$A,MATCH(C17&amp;"-"&amp;E17&amp;"-"&amp;F17&amp;"-Pos5",'Shooter-Squad Assignment'!$K:$K,0)),""),IF(F17="Trap",IFERROR(INDEX('Shooter-Squad Assignment'!$A:$A,MATCH(C17&amp;"-"&amp;E17&amp;"-"&amp;F17&amp;"-Pos5",'Shooter-Squad Assignment'!$W:$W,0)),""),IF(F17="Sporting Clays",IFERROR(INDEX('Shooter-Squad Assignment'!$A:$A,MATCH(C17&amp;"-"&amp;E17&amp;"-"&amp;F17&amp;"-Pos5",'Shooter-Squad Assignment'!$Z:$Z,0)),""),"")))</f>
        <v/>
      </c>
      <c r="P17" s="79" t="str">
        <f>IF(ISBLANK(O17),"",IFERROR(INDEX('Tournament List'!$D:$D,MATCH(O17,'Tournament List'!$A:$A,0)),""))</f>
        <v/>
      </c>
    </row>
    <row r="18" spans="1:16" x14ac:dyDescent="0.3">
      <c r="A18" s="78">
        <v>17</v>
      </c>
      <c r="B18" s="73" t="str">
        <f>C18&amp;"-"&amp;E18&amp;"-"&amp;F18</f>
        <v>Brighton Clay Crushers-Varsity 1-Skeet</v>
      </c>
      <c r="C18" s="73" t="s">
        <v>322</v>
      </c>
      <c r="D18" s="73" t="str">
        <f>INDEX('Tournament Setup'!$B$59:$B$78,MATCH(E18,SquadConcurrents,0))</f>
        <v>Varsity</v>
      </c>
      <c r="E18" s="73" t="s">
        <v>340</v>
      </c>
      <c r="F18" s="73" t="s">
        <v>143</v>
      </c>
      <c r="G18" s="94" t="str">
        <f>IF(F18="Skeet",IFERROR(INDEX('Shooter-Squad Assignment'!$A:$A,MATCH(C18&amp;"-"&amp;E18&amp;"-"&amp;F18&amp;"-Pos1",'Shooter-Squad Assignment'!$K:$K,0)),""),IF(F18="Trap",IFERROR(INDEX('Shooter-Squad Assignment'!$A:$A,MATCH(C18&amp;"-"&amp;E18&amp;"-"&amp;F18&amp;"-Pos1",'Shooter-Squad Assignment'!$W:$W,0)),""),IF(F18="Sporting Clays",IFERROR(INDEX('Shooter-Squad Assignment'!$A:$A,MATCH(C18&amp;"-"&amp;E18&amp;"-"&amp;F18&amp;"-Pos1",'Shooter-Squad Assignment'!$Z:$Z,0)),""),"")))</f>
        <v/>
      </c>
      <c r="H18" s="73" t="str">
        <f>IF(ISBLANK(G18),"",IFERROR(INDEX('Tournament List'!$D:$D,MATCH(G18,'Tournament List'!$A:$A,0)),""))</f>
        <v/>
      </c>
      <c r="I18" s="94" t="str">
        <f>IF(F18="Skeet",IFERROR(INDEX('Shooter-Squad Assignment'!$A:$A,MATCH(C18&amp;"-"&amp;E18&amp;"-"&amp;F18&amp;"-Pos2",'Shooter-Squad Assignment'!$K:$K,0)),""),IF(F18="Trap",IFERROR(INDEX('Shooter-Squad Assignment'!$A:$A,MATCH(C18&amp;"-"&amp;E18&amp;"-"&amp;F18&amp;"-Pos2",'Shooter-Squad Assignment'!$W:$W,0)),""),IF(F18="Sporting Clays",IFERROR(INDEX('Shooter-Squad Assignment'!$A:$A,MATCH(C18&amp;"-"&amp;E18&amp;"-"&amp;F18&amp;"-Pos2",'Shooter-Squad Assignment'!$Z:$Z,0)),""),"")))</f>
        <v/>
      </c>
      <c r="J18" s="73" t="str">
        <f>IF(ISBLANK(I18),"",IFERROR(INDEX('Tournament List'!$D:$D,MATCH(I18,'Tournament List'!$A:$A,0)),""))</f>
        <v/>
      </c>
      <c r="K18" s="94" t="str">
        <f>IF(F18="Skeet",IFERROR(INDEX('Shooter-Squad Assignment'!$A:$A,MATCH(C18&amp;"-"&amp;E18&amp;"-"&amp;F18&amp;"-Pos3",'Shooter-Squad Assignment'!$K:$K,0)),""),IF(F18="Trap",IFERROR(INDEX('Shooter-Squad Assignment'!$A:$A,MATCH(C18&amp;"-"&amp;E18&amp;"-"&amp;F18&amp;"-Pos3",'Shooter-Squad Assignment'!$W:$W,0)),""),IF(F18="Sporting Clays",IFERROR(INDEX('Shooter-Squad Assignment'!$A:$A,MATCH(C18&amp;"-"&amp;E18&amp;"-"&amp;F18&amp;"-Pos3",'Shooter-Squad Assignment'!$Z:$Z,0)),""),"")))</f>
        <v/>
      </c>
      <c r="L18" s="73" t="str">
        <f>IF(ISBLANK(K18),"",IFERROR(INDEX('Tournament List'!$D:$D,MATCH(K18,'Tournament List'!$A:$A,0)),""))</f>
        <v/>
      </c>
      <c r="M18" s="94" t="str">
        <f>IF(F18="Skeet",IFERROR(INDEX('Shooter-Squad Assignment'!$A:$A,MATCH(C18&amp;"-"&amp;E18&amp;"-"&amp;F18&amp;"-Pos4",'Shooter-Squad Assignment'!$K:$K,0)),""),IF(F18="Trap",IFERROR(INDEX('Shooter-Squad Assignment'!$A:$A,MATCH(C18&amp;"-"&amp;E18&amp;"-"&amp;F18&amp;"-Pos4",'Shooter-Squad Assignment'!$W:$W,0)),""),IF(F18="Sporting Clays",IFERROR(INDEX('Shooter-Squad Assignment'!$A:$A,MATCH(C18&amp;"-"&amp;E18&amp;"-"&amp;F18&amp;"-Pos4",'Shooter-Squad Assignment'!$Z:$Z,0)),""),"")))</f>
        <v/>
      </c>
      <c r="N18" s="73" t="str">
        <f>IF(ISBLANK(M18),"",IFERROR(INDEX('Tournament List'!$D:$D,MATCH(M18,'Tournament List'!$A:$A,0)),""))</f>
        <v/>
      </c>
      <c r="O18" s="94" t="str">
        <f>IF(F18="Skeet",IFERROR(INDEX('Shooter-Squad Assignment'!$A:$A,MATCH(C18&amp;"-"&amp;E18&amp;"-"&amp;F18&amp;"-Pos5",'Shooter-Squad Assignment'!$K:$K,0)),""),IF(F18="Trap",IFERROR(INDEX('Shooter-Squad Assignment'!$A:$A,MATCH(C18&amp;"-"&amp;E18&amp;"-"&amp;F18&amp;"-Pos5",'Shooter-Squad Assignment'!$W:$W,0)),""),IF(F18="Sporting Clays",IFERROR(INDEX('Shooter-Squad Assignment'!$A:$A,MATCH(C18&amp;"-"&amp;E18&amp;"-"&amp;F18&amp;"-Pos5",'Shooter-Squad Assignment'!$Z:$Z,0)),""),"")))</f>
        <v/>
      </c>
      <c r="P18" s="79" t="str">
        <f>IF(ISBLANK(O18),"",IFERROR(INDEX('Tournament List'!$D:$D,MATCH(O18,'Tournament List'!$A:$A,0)),""))</f>
        <v/>
      </c>
    </row>
    <row r="19" spans="1:16" x14ac:dyDescent="0.3">
      <c r="A19" s="78">
        <v>18</v>
      </c>
      <c r="B19" s="73" t="str">
        <f>C19&amp;"-"&amp;E19&amp;"-"&amp;F19</f>
        <v>Brighton Clay Crushers-Varsity 2-Skeet</v>
      </c>
      <c r="C19" s="73" t="s">
        <v>322</v>
      </c>
      <c r="D19" s="73" t="str">
        <f>INDEX('Tournament Setup'!$B$59:$B$78,MATCH(E19,SquadConcurrents,0))</f>
        <v>Varsity</v>
      </c>
      <c r="E19" s="73" t="s">
        <v>346</v>
      </c>
      <c r="F19" s="73" t="s">
        <v>143</v>
      </c>
      <c r="G19" s="94" t="str">
        <f>IF(F19="Skeet",IFERROR(INDEX('Shooter-Squad Assignment'!$A:$A,MATCH(C19&amp;"-"&amp;E19&amp;"-"&amp;F19&amp;"-Pos1",'Shooter-Squad Assignment'!$K:$K,0)),""),IF(F19="Trap",IFERROR(INDEX('Shooter-Squad Assignment'!$A:$A,MATCH(C19&amp;"-"&amp;E19&amp;"-"&amp;F19&amp;"-Pos1",'Shooter-Squad Assignment'!$W:$W,0)),""),IF(F19="Sporting Clays",IFERROR(INDEX('Shooter-Squad Assignment'!$A:$A,MATCH(C19&amp;"-"&amp;E19&amp;"-"&amp;F19&amp;"-Pos1",'Shooter-Squad Assignment'!$Z:$Z,0)),""),"")))</f>
        <v/>
      </c>
      <c r="H19" s="73" t="str">
        <f>IF(ISBLANK(G19),"",IFERROR(INDEX('Tournament List'!$D:$D,MATCH(G19,'Tournament List'!$A:$A,0)),""))</f>
        <v/>
      </c>
      <c r="I19" s="94" t="str">
        <f>IF(F19="Skeet",IFERROR(INDEX('Shooter-Squad Assignment'!$A:$A,MATCH(C19&amp;"-"&amp;E19&amp;"-"&amp;F19&amp;"-Pos2",'Shooter-Squad Assignment'!$K:$K,0)),""),IF(F19="Trap",IFERROR(INDEX('Shooter-Squad Assignment'!$A:$A,MATCH(C19&amp;"-"&amp;E19&amp;"-"&amp;F19&amp;"-Pos2",'Shooter-Squad Assignment'!$W:$W,0)),""),IF(F19="Sporting Clays",IFERROR(INDEX('Shooter-Squad Assignment'!$A:$A,MATCH(C19&amp;"-"&amp;E19&amp;"-"&amp;F19&amp;"-Pos2",'Shooter-Squad Assignment'!$Z:$Z,0)),""),"")))</f>
        <v/>
      </c>
      <c r="J19" s="73" t="str">
        <f>IF(ISBLANK(I19),"",IFERROR(INDEX('Tournament List'!$D:$D,MATCH(I19,'Tournament List'!$A:$A,0)),""))</f>
        <v/>
      </c>
      <c r="K19" s="94" t="str">
        <f>IF(F19="Skeet",IFERROR(INDEX('Shooter-Squad Assignment'!$A:$A,MATCH(C19&amp;"-"&amp;E19&amp;"-"&amp;F19&amp;"-Pos3",'Shooter-Squad Assignment'!$K:$K,0)),""),IF(F19="Trap",IFERROR(INDEX('Shooter-Squad Assignment'!$A:$A,MATCH(C19&amp;"-"&amp;E19&amp;"-"&amp;F19&amp;"-Pos3",'Shooter-Squad Assignment'!$W:$W,0)),""),IF(F19="Sporting Clays",IFERROR(INDEX('Shooter-Squad Assignment'!$A:$A,MATCH(C19&amp;"-"&amp;E19&amp;"-"&amp;F19&amp;"-Pos3",'Shooter-Squad Assignment'!$Z:$Z,0)),""),"")))</f>
        <v/>
      </c>
      <c r="L19" s="73" t="str">
        <f>IF(ISBLANK(K19),"",IFERROR(INDEX('Tournament List'!$D:$D,MATCH(K19,'Tournament List'!$A:$A,0)),""))</f>
        <v/>
      </c>
      <c r="M19" s="94" t="str">
        <f>IF(F19="Skeet",IFERROR(INDEX('Shooter-Squad Assignment'!$A:$A,MATCH(C19&amp;"-"&amp;E19&amp;"-"&amp;F19&amp;"-Pos4",'Shooter-Squad Assignment'!$K:$K,0)),""),IF(F19="Trap",IFERROR(INDEX('Shooter-Squad Assignment'!$A:$A,MATCH(C19&amp;"-"&amp;E19&amp;"-"&amp;F19&amp;"-Pos4",'Shooter-Squad Assignment'!$W:$W,0)),""),IF(F19="Sporting Clays",IFERROR(INDEX('Shooter-Squad Assignment'!$A:$A,MATCH(C19&amp;"-"&amp;E19&amp;"-"&amp;F19&amp;"-Pos4",'Shooter-Squad Assignment'!$Z:$Z,0)),""),"")))</f>
        <v/>
      </c>
      <c r="N19" s="73" t="str">
        <f>IF(ISBLANK(M19),"",IFERROR(INDEX('Tournament List'!$D:$D,MATCH(M19,'Tournament List'!$A:$A,0)),""))</f>
        <v/>
      </c>
      <c r="O19" s="94" t="str">
        <f>IF(F19="Skeet",IFERROR(INDEX('Shooter-Squad Assignment'!$A:$A,MATCH(C19&amp;"-"&amp;E19&amp;"-"&amp;F19&amp;"-Pos5",'Shooter-Squad Assignment'!$K:$K,0)),""),IF(F19="Trap",IFERROR(INDEX('Shooter-Squad Assignment'!$A:$A,MATCH(C19&amp;"-"&amp;E19&amp;"-"&amp;F19&amp;"-Pos5",'Shooter-Squad Assignment'!$W:$W,0)),""),IF(F19="Sporting Clays",IFERROR(INDEX('Shooter-Squad Assignment'!$A:$A,MATCH(C19&amp;"-"&amp;E19&amp;"-"&amp;F19&amp;"-Pos5",'Shooter-Squad Assignment'!$Z:$Z,0)),""),"")))</f>
        <v/>
      </c>
      <c r="P19" s="79" t="str">
        <f>IF(ISBLANK(O19),"",IFERROR(INDEX('Tournament List'!$D:$D,MATCH(O19,'Tournament List'!$A:$A,0)),""))</f>
        <v/>
      </c>
    </row>
    <row r="20" spans="1:16" x14ac:dyDescent="0.3">
      <c r="A20" s="78">
        <v>19</v>
      </c>
      <c r="B20" s="73" t="str">
        <f>C20&amp;"-"&amp;E20&amp;"-"&amp;F20</f>
        <v>Brighton Clay Crushers-Varsity 3-Skeet</v>
      </c>
      <c r="C20" s="73" t="s">
        <v>322</v>
      </c>
      <c r="D20" s="73" t="str">
        <f>INDEX('Tournament Setup'!$B$59:$B$78,MATCH(E20,SquadConcurrents,0))</f>
        <v>Varsity</v>
      </c>
      <c r="E20" s="73" t="s">
        <v>352</v>
      </c>
      <c r="F20" s="73" t="s">
        <v>143</v>
      </c>
      <c r="G20" s="94" t="str">
        <f>IF(F20="Skeet",IFERROR(INDEX('Shooter-Squad Assignment'!$A:$A,MATCH(C20&amp;"-"&amp;E20&amp;"-"&amp;F20&amp;"-Pos1",'Shooter-Squad Assignment'!$K:$K,0)),""),IF(F20="Trap",IFERROR(INDEX('Shooter-Squad Assignment'!$A:$A,MATCH(C20&amp;"-"&amp;E20&amp;"-"&amp;F20&amp;"-Pos1",'Shooter-Squad Assignment'!$W:$W,0)),""),IF(F20="Sporting Clays",IFERROR(INDEX('Shooter-Squad Assignment'!$A:$A,MATCH(C20&amp;"-"&amp;E20&amp;"-"&amp;F20&amp;"-Pos1",'Shooter-Squad Assignment'!$Z:$Z,0)),""),"")))</f>
        <v/>
      </c>
      <c r="H20" s="73" t="str">
        <f>IF(ISBLANK(G20),"",IFERROR(INDEX('Tournament List'!$D:$D,MATCH(G20,'Tournament List'!$A:$A,0)),""))</f>
        <v/>
      </c>
      <c r="I20" s="94" t="str">
        <f>IF(F20="Skeet",IFERROR(INDEX('Shooter-Squad Assignment'!$A:$A,MATCH(C20&amp;"-"&amp;E20&amp;"-"&amp;F20&amp;"-Pos2",'Shooter-Squad Assignment'!$K:$K,0)),""),IF(F20="Trap",IFERROR(INDEX('Shooter-Squad Assignment'!$A:$A,MATCH(C20&amp;"-"&amp;E20&amp;"-"&amp;F20&amp;"-Pos2",'Shooter-Squad Assignment'!$W:$W,0)),""),IF(F20="Sporting Clays",IFERROR(INDEX('Shooter-Squad Assignment'!$A:$A,MATCH(C20&amp;"-"&amp;E20&amp;"-"&amp;F20&amp;"-Pos2",'Shooter-Squad Assignment'!$Z:$Z,0)),""),"")))</f>
        <v/>
      </c>
      <c r="J20" s="73" t="str">
        <f>IF(ISBLANK(I20),"",IFERROR(INDEX('Tournament List'!$D:$D,MATCH(I20,'Tournament List'!$A:$A,0)),""))</f>
        <v/>
      </c>
      <c r="K20" s="94" t="str">
        <f>IF(F20="Skeet",IFERROR(INDEX('Shooter-Squad Assignment'!$A:$A,MATCH(C20&amp;"-"&amp;E20&amp;"-"&amp;F20&amp;"-Pos3",'Shooter-Squad Assignment'!$K:$K,0)),""),IF(F20="Trap",IFERROR(INDEX('Shooter-Squad Assignment'!$A:$A,MATCH(C20&amp;"-"&amp;E20&amp;"-"&amp;F20&amp;"-Pos3",'Shooter-Squad Assignment'!$W:$W,0)),""),IF(F20="Sporting Clays",IFERROR(INDEX('Shooter-Squad Assignment'!$A:$A,MATCH(C20&amp;"-"&amp;E20&amp;"-"&amp;F20&amp;"-Pos3",'Shooter-Squad Assignment'!$Z:$Z,0)),""),"")))</f>
        <v/>
      </c>
      <c r="L20" s="73" t="str">
        <f>IF(ISBLANK(K20),"",IFERROR(INDEX('Tournament List'!$D:$D,MATCH(K20,'Tournament List'!$A:$A,0)),""))</f>
        <v/>
      </c>
      <c r="M20" s="94" t="str">
        <f>IF(F20="Skeet",IFERROR(INDEX('Shooter-Squad Assignment'!$A:$A,MATCH(C20&amp;"-"&amp;E20&amp;"-"&amp;F20&amp;"-Pos4",'Shooter-Squad Assignment'!$K:$K,0)),""),IF(F20="Trap",IFERROR(INDEX('Shooter-Squad Assignment'!$A:$A,MATCH(C20&amp;"-"&amp;E20&amp;"-"&amp;F20&amp;"-Pos4",'Shooter-Squad Assignment'!$W:$W,0)),""),IF(F20="Sporting Clays",IFERROR(INDEX('Shooter-Squad Assignment'!$A:$A,MATCH(C20&amp;"-"&amp;E20&amp;"-"&amp;F20&amp;"-Pos4",'Shooter-Squad Assignment'!$Z:$Z,0)),""),"")))</f>
        <v/>
      </c>
      <c r="N20" s="73" t="str">
        <f>IF(ISBLANK(M20),"",IFERROR(INDEX('Tournament List'!$D:$D,MATCH(M20,'Tournament List'!$A:$A,0)),""))</f>
        <v/>
      </c>
      <c r="O20" s="94" t="str">
        <f>IF(F20="Skeet",IFERROR(INDEX('Shooter-Squad Assignment'!$A:$A,MATCH(C20&amp;"-"&amp;E20&amp;"-"&amp;F20&amp;"-Pos5",'Shooter-Squad Assignment'!$K:$K,0)),""),IF(F20="Trap",IFERROR(INDEX('Shooter-Squad Assignment'!$A:$A,MATCH(C20&amp;"-"&amp;E20&amp;"-"&amp;F20&amp;"-Pos5",'Shooter-Squad Assignment'!$W:$W,0)),""),IF(F20="Sporting Clays",IFERROR(INDEX('Shooter-Squad Assignment'!$A:$A,MATCH(C20&amp;"-"&amp;E20&amp;"-"&amp;F20&amp;"-Pos5",'Shooter-Squad Assignment'!$Z:$Z,0)),""),"")))</f>
        <v/>
      </c>
      <c r="P20" s="79" t="str">
        <f>IF(ISBLANK(O20),"",IFERROR(INDEX('Tournament List'!$D:$D,MATCH(O20,'Tournament List'!$A:$A,0)),""))</f>
        <v/>
      </c>
    </row>
    <row r="21" spans="1:16" x14ac:dyDescent="0.3">
      <c r="A21" s="78">
        <v>20</v>
      </c>
      <c r="B21" s="73" t="str">
        <f>C21&amp;"-"&amp;E21&amp;"-"&amp;F21</f>
        <v>Brighton Clay Crushers-Collegiate 1-Sporting Clays</v>
      </c>
      <c r="C21" s="73" t="s">
        <v>322</v>
      </c>
      <c r="D21" s="73" t="str">
        <f>INDEX('Tournament Setup'!$B$59:$B$78,MATCH(E21,SquadConcurrents,0))</f>
        <v>Collegiate</v>
      </c>
      <c r="E21" s="73" t="s">
        <v>342</v>
      </c>
      <c r="F21" s="73" t="s">
        <v>148</v>
      </c>
      <c r="G21" s="94" t="str">
        <f>IF(F21="Skeet",IFERROR(INDEX('Shooter-Squad Assignment'!$A:$A,MATCH(C21&amp;"-"&amp;E21&amp;"-"&amp;F21&amp;"-Pos1",'Shooter-Squad Assignment'!$K:$K,0)),""),IF(F21="Trap",IFERROR(INDEX('Shooter-Squad Assignment'!$A:$A,MATCH(C21&amp;"-"&amp;E21&amp;"-"&amp;F21&amp;"-Pos1",'Shooter-Squad Assignment'!$W:$W,0)),""),IF(F21="Sporting Clays",IFERROR(INDEX('Shooter-Squad Assignment'!$A:$A,MATCH(C21&amp;"-"&amp;E21&amp;"-"&amp;F21&amp;"-Pos1",'Shooter-Squad Assignment'!$Z:$Z,0)),""),"")))</f>
        <v/>
      </c>
      <c r="H21" s="73" t="str">
        <f>IF(ISBLANK(G21),"",IFERROR(INDEX('Tournament List'!$D:$D,MATCH(G21,'Tournament List'!$A:$A,0)),""))</f>
        <v/>
      </c>
      <c r="I21" s="94" t="str">
        <f>IF(F21="Skeet",IFERROR(INDEX('Shooter-Squad Assignment'!$A:$A,MATCH(C21&amp;"-"&amp;E21&amp;"-"&amp;F21&amp;"-Pos2",'Shooter-Squad Assignment'!$K:$K,0)),""),IF(F21="Trap",IFERROR(INDEX('Shooter-Squad Assignment'!$A:$A,MATCH(C21&amp;"-"&amp;E21&amp;"-"&amp;F21&amp;"-Pos2",'Shooter-Squad Assignment'!$W:$W,0)),""),IF(F21="Sporting Clays",IFERROR(INDEX('Shooter-Squad Assignment'!$A:$A,MATCH(C21&amp;"-"&amp;E21&amp;"-"&amp;F21&amp;"-Pos2",'Shooter-Squad Assignment'!$Z:$Z,0)),""),"")))</f>
        <v/>
      </c>
      <c r="J21" s="73" t="str">
        <f>IF(ISBLANK(I21),"",IFERROR(INDEX('Tournament List'!$D:$D,MATCH(I21,'Tournament List'!$A:$A,0)),""))</f>
        <v/>
      </c>
      <c r="K21" s="94" t="str">
        <f>IF(F21="Skeet",IFERROR(INDEX('Shooter-Squad Assignment'!$A:$A,MATCH(C21&amp;"-"&amp;E21&amp;"-"&amp;F21&amp;"-Pos3",'Shooter-Squad Assignment'!$K:$K,0)),""),IF(F21="Trap",IFERROR(INDEX('Shooter-Squad Assignment'!$A:$A,MATCH(C21&amp;"-"&amp;E21&amp;"-"&amp;F21&amp;"-Pos3",'Shooter-Squad Assignment'!$W:$W,0)),""),IF(F21="Sporting Clays",IFERROR(INDEX('Shooter-Squad Assignment'!$A:$A,MATCH(C21&amp;"-"&amp;E21&amp;"-"&amp;F21&amp;"-Pos3",'Shooter-Squad Assignment'!$Z:$Z,0)),""),"")))</f>
        <v/>
      </c>
      <c r="L21" s="73" t="str">
        <f>IF(ISBLANK(K21),"",IFERROR(INDEX('Tournament List'!$D:$D,MATCH(K21,'Tournament List'!$A:$A,0)),""))</f>
        <v/>
      </c>
      <c r="M21" s="94" t="str">
        <f>IF(F21="Skeet",IFERROR(INDEX('Shooter-Squad Assignment'!$A:$A,MATCH(C21&amp;"-"&amp;E21&amp;"-"&amp;F21&amp;"-Pos4",'Shooter-Squad Assignment'!$K:$K,0)),""),IF(F21="Trap",IFERROR(INDEX('Shooter-Squad Assignment'!$A:$A,MATCH(C21&amp;"-"&amp;E21&amp;"-"&amp;F21&amp;"-Pos4",'Shooter-Squad Assignment'!$W:$W,0)),""),IF(F21="Sporting Clays",IFERROR(INDEX('Shooter-Squad Assignment'!$A:$A,MATCH(C21&amp;"-"&amp;E21&amp;"-"&amp;F21&amp;"-Pos4",'Shooter-Squad Assignment'!$Z:$Z,0)),""),"")))</f>
        <v/>
      </c>
      <c r="N21" s="73" t="str">
        <f>IF(ISBLANK(M21),"",IFERROR(INDEX('Tournament List'!$D:$D,MATCH(M21,'Tournament List'!$A:$A,0)),""))</f>
        <v/>
      </c>
      <c r="O21" s="94" t="str">
        <f>IF(F21="Skeet",IFERROR(INDEX('Shooter-Squad Assignment'!$A:$A,MATCH(C21&amp;"-"&amp;E21&amp;"-"&amp;F21&amp;"-Pos5",'Shooter-Squad Assignment'!$K:$K,0)),""),IF(F21="Trap",IFERROR(INDEX('Shooter-Squad Assignment'!$A:$A,MATCH(C21&amp;"-"&amp;E21&amp;"-"&amp;F21&amp;"-Pos5",'Shooter-Squad Assignment'!$W:$W,0)),""),IF(F21="Sporting Clays",IFERROR(INDEX('Shooter-Squad Assignment'!$A:$A,MATCH(C21&amp;"-"&amp;E21&amp;"-"&amp;F21&amp;"-Pos5",'Shooter-Squad Assignment'!$Z:$Z,0)),""),"")))</f>
        <v/>
      </c>
      <c r="P21" s="79" t="str">
        <f>IF(ISBLANK(O21),"",IFERROR(INDEX('Tournament List'!$D:$D,MATCH(O21,'Tournament List'!$A:$A,0)),""))</f>
        <v/>
      </c>
    </row>
    <row r="22" spans="1:16" x14ac:dyDescent="0.3">
      <c r="A22" s="78">
        <v>21</v>
      </c>
      <c r="B22" s="73" t="str">
        <f>C22&amp;"-"&amp;E22&amp;"-"&amp;F22</f>
        <v>Brighton Clay Crushers-Collegiate 2-Sporting Clays</v>
      </c>
      <c r="C22" s="73" t="s">
        <v>322</v>
      </c>
      <c r="D22" s="73" t="str">
        <f>INDEX('Tournament Setup'!$B$59:$B$78,MATCH(E22,SquadConcurrents,0))</f>
        <v>Collegiate</v>
      </c>
      <c r="E22" s="73" t="s">
        <v>348</v>
      </c>
      <c r="F22" s="73" t="s">
        <v>148</v>
      </c>
      <c r="G22" s="94" t="str">
        <f>IF(F22="Skeet",IFERROR(INDEX('Shooter-Squad Assignment'!$A:$A,MATCH(C22&amp;"-"&amp;E22&amp;"-"&amp;F22&amp;"-Pos1",'Shooter-Squad Assignment'!$K:$K,0)),""),IF(F22="Trap",IFERROR(INDEX('Shooter-Squad Assignment'!$A:$A,MATCH(C22&amp;"-"&amp;E22&amp;"-"&amp;F22&amp;"-Pos1",'Shooter-Squad Assignment'!$W:$W,0)),""),IF(F22="Sporting Clays",IFERROR(INDEX('Shooter-Squad Assignment'!$A:$A,MATCH(C22&amp;"-"&amp;E22&amp;"-"&amp;F22&amp;"-Pos1",'Shooter-Squad Assignment'!$Z:$Z,0)),""),"")))</f>
        <v/>
      </c>
      <c r="H22" s="73" t="str">
        <f>IF(ISBLANK(G22),"",IFERROR(INDEX('Tournament List'!$D:$D,MATCH(G22,'Tournament List'!$A:$A,0)),""))</f>
        <v/>
      </c>
      <c r="I22" s="94" t="str">
        <f>IF(F22="Skeet",IFERROR(INDEX('Shooter-Squad Assignment'!$A:$A,MATCH(C22&amp;"-"&amp;E22&amp;"-"&amp;F22&amp;"-Pos2",'Shooter-Squad Assignment'!$K:$K,0)),""),IF(F22="Trap",IFERROR(INDEX('Shooter-Squad Assignment'!$A:$A,MATCH(C22&amp;"-"&amp;E22&amp;"-"&amp;F22&amp;"-Pos2",'Shooter-Squad Assignment'!$W:$W,0)),""),IF(F22="Sporting Clays",IFERROR(INDEX('Shooter-Squad Assignment'!$A:$A,MATCH(C22&amp;"-"&amp;E22&amp;"-"&amp;F22&amp;"-Pos2",'Shooter-Squad Assignment'!$Z:$Z,0)),""),"")))</f>
        <v/>
      </c>
      <c r="J22" s="73" t="str">
        <f>IF(ISBLANK(I22),"",IFERROR(INDEX('Tournament List'!$D:$D,MATCH(I22,'Tournament List'!$A:$A,0)),""))</f>
        <v/>
      </c>
      <c r="K22" s="94" t="str">
        <f>IF(F22="Skeet",IFERROR(INDEX('Shooter-Squad Assignment'!$A:$A,MATCH(C22&amp;"-"&amp;E22&amp;"-"&amp;F22&amp;"-Pos3",'Shooter-Squad Assignment'!$K:$K,0)),""),IF(F22="Trap",IFERROR(INDEX('Shooter-Squad Assignment'!$A:$A,MATCH(C22&amp;"-"&amp;E22&amp;"-"&amp;F22&amp;"-Pos3",'Shooter-Squad Assignment'!$W:$W,0)),""),IF(F22="Sporting Clays",IFERROR(INDEX('Shooter-Squad Assignment'!$A:$A,MATCH(C22&amp;"-"&amp;E22&amp;"-"&amp;F22&amp;"-Pos3",'Shooter-Squad Assignment'!$Z:$Z,0)),""),"")))</f>
        <v/>
      </c>
      <c r="L22" s="73" t="str">
        <f>IF(ISBLANK(K22),"",IFERROR(INDEX('Tournament List'!$D:$D,MATCH(K22,'Tournament List'!$A:$A,0)),""))</f>
        <v/>
      </c>
      <c r="M22" s="94" t="str">
        <f>IF(F22="Skeet",IFERROR(INDEX('Shooter-Squad Assignment'!$A:$A,MATCH(C22&amp;"-"&amp;E22&amp;"-"&amp;F22&amp;"-Pos4",'Shooter-Squad Assignment'!$K:$K,0)),""),IF(F22="Trap",IFERROR(INDEX('Shooter-Squad Assignment'!$A:$A,MATCH(C22&amp;"-"&amp;E22&amp;"-"&amp;F22&amp;"-Pos4",'Shooter-Squad Assignment'!$W:$W,0)),""),IF(F22="Sporting Clays",IFERROR(INDEX('Shooter-Squad Assignment'!$A:$A,MATCH(C22&amp;"-"&amp;E22&amp;"-"&amp;F22&amp;"-Pos4",'Shooter-Squad Assignment'!$Z:$Z,0)),""),"")))</f>
        <v/>
      </c>
      <c r="N22" s="73" t="str">
        <f>IF(ISBLANK(M22),"",IFERROR(INDEX('Tournament List'!$D:$D,MATCH(M22,'Tournament List'!$A:$A,0)),""))</f>
        <v/>
      </c>
      <c r="O22" s="94" t="str">
        <f>IF(F22="Skeet",IFERROR(INDEX('Shooter-Squad Assignment'!$A:$A,MATCH(C22&amp;"-"&amp;E22&amp;"-"&amp;F22&amp;"-Pos5",'Shooter-Squad Assignment'!$K:$K,0)),""),IF(F22="Trap",IFERROR(INDEX('Shooter-Squad Assignment'!$A:$A,MATCH(C22&amp;"-"&amp;E22&amp;"-"&amp;F22&amp;"-Pos5",'Shooter-Squad Assignment'!$W:$W,0)),""),IF(F22="Sporting Clays",IFERROR(INDEX('Shooter-Squad Assignment'!$A:$A,MATCH(C22&amp;"-"&amp;E22&amp;"-"&amp;F22&amp;"-Pos5",'Shooter-Squad Assignment'!$Z:$Z,0)),""),"")))</f>
        <v/>
      </c>
      <c r="P22" s="79" t="str">
        <f>IF(ISBLANK(O22),"",IFERROR(INDEX('Tournament List'!$D:$D,MATCH(O22,'Tournament List'!$A:$A,0)),""))</f>
        <v/>
      </c>
    </row>
    <row r="23" spans="1:16" x14ac:dyDescent="0.3">
      <c r="A23" s="78">
        <v>22</v>
      </c>
      <c r="B23" s="73" t="str">
        <f>C23&amp;"-"&amp;E23&amp;"-"&amp;F23</f>
        <v>Brighton Clay Crushers-Collegiate 3-Sporting Clays</v>
      </c>
      <c r="C23" s="73" t="s">
        <v>322</v>
      </c>
      <c r="D23" s="73" t="str">
        <f>INDEX('Tournament Setup'!$B$59:$B$78,MATCH(E23,SquadConcurrents,0))</f>
        <v>Collegiate</v>
      </c>
      <c r="E23" s="73" t="s">
        <v>354</v>
      </c>
      <c r="F23" s="73" t="s">
        <v>148</v>
      </c>
      <c r="G23" s="94" t="str">
        <f>IF(F23="Skeet",IFERROR(INDEX('Shooter-Squad Assignment'!$A:$A,MATCH(C23&amp;"-"&amp;E23&amp;"-"&amp;F23&amp;"-Pos1",'Shooter-Squad Assignment'!$K:$K,0)),""),IF(F23="Trap",IFERROR(INDEX('Shooter-Squad Assignment'!$A:$A,MATCH(C23&amp;"-"&amp;E23&amp;"-"&amp;F23&amp;"-Pos1",'Shooter-Squad Assignment'!$W:$W,0)),""),IF(F23="Sporting Clays",IFERROR(INDEX('Shooter-Squad Assignment'!$A:$A,MATCH(C23&amp;"-"&amp;E23&amp;"-"&amp;F23&amp;"-Pos1",'Shooter-Squad Assignment'!$Z:$Z,0)),""),"")))</f>
        <v/>
      </c>
      <c r="H23" s="73" t="str">
        <f>IF(ISBLANK(G23),"",IFERROR(INDEX('Tournament List'!$D:$D,MATCH(G23,'Tournament List'!$A:$A,0)),""))</f>
        <v/>
      </c>
      <c r="I23" s="94" t="str">
        <f>IF(F23="Skeet",IFERROR(INDEX('Shooter-Squad Assignment'!$A:$A,MATCH(C23&amp;"-"&amp;E23&amp;"-"&amp;F23&amp;"-Pos2",'Shooter-Squad Assignment'!$K:$K,0)),""),IF(F23="Trap",IFERROR(INDEX('Shooter-Squad Assignment'!$A:$A,MATCH(C23&amp;"-"&amp;E23&amp;"-"&amp;F23&amp;"-Pos2",'Shooter-Squad Assignment'!$W:$W,0)),""),IF(F23="Sporting Clays",IFERROR(INDEX('Shooter-Squad Assignment'!$A:$A,MATCH(C23&amp;"-"&amp;E23&amp;"-"&amp;F23&amp;"-Pos2",'Shooter-Squad Assignment'!$Z:$Z,0)),""),"")))</f>
        <v/>
      </c>
      <c r="J23" s="73" t="str">
        <f>IF(ISBLANK(I23),"",IFERROR(INDEX('Tournament List'!$D:$D,MATCH(I23,'Tournament List'!$A:$A,0)),""))</f>
        <v/>
      </c>
      <c r="K23" s="94" t="str">
        <f>IF(F23="Skeet",IFERROR(INDEX('Shooter-Squad Assignment'!$A:$A,MATCH(C23&amp;"-"&amp;E23&amp;"-"&amp;F23&amp;"-Pos3",'Shooter-Squad Assignment'!$K:$K,0)),""),IF(F23="Trap",IFERROR(INDEX('Shooter-Squad Assignment'!$A:$A,MATCH(C23&amp;"-"&amp;E23&amp;"-"&amp;F23&amp;"-Pos3",'Shooter-Squad Assignment'!$W:$W,0)),""),IF(F23="Sporting Clays",IFERROR(INDEX('Shooter-Squad Assignment'!$A:$A,MATCH(C23&amp;"-"&amp;E23&amp;"-"&amp;F23&amp;"-Pos3",'Shooter-Squad Assignment'!$Z:$Z,0)),""),"")))</f>
        <v/>
      </c>
      <c r="L23" s="73" t="str">
        <f>IF(ISBLANK(K23),"",IFERROR(INDEX('Tournament List'!$D:$D,MATCH(K23,'Tournament List'!$A:$A,0)),""))</f>
        <v/>
      </c>
      <c r="M23" s="94" t="str">
        <f>IF(F23="Skeet",IFERROR(INDEX('Shooter-Squad Assignment'!$A:$A,MATCH(C23&amp;"-"&amp;E23&amp;"-"&amp;F23&amp;"-Pos4",'Shooter-Squad Assignment'!$K:$K,0)),""),IF(F23="Trap",IFERROR(INDEX('Shooter-Squad Assignment'!$A:$A,MATCH(C23&amp;"-"&amp;E23&amp;"-"&amp;F23&amp;"-Pos4",'Shooter-Squad Assignment'!$W:$W,0)),""),IF(F23="Sporting Clays",IFERROR(INDEX('Shooter-Squad Assignment'!$A:$A,MATCH(C23&amp;"-"&amp;E23&amp;"-"&amp;F23&amp;"-Pos4",'Shooter-Squad Assignment'!$Z:$Z,0)),""),"")))</f>
        <v/>
      </c>
      <c r="N23" s="73" t="str">
        <f>IF(ISBLANK(M23),"",IFERROR(INDEX('Tournament List'!$D:$D,MATCH(M23,'Tournament List'!$A:$A,0)),""))</f>
        <v/>
      </c>
      <c r="O23" s="94" t="str">
        <f>IF(F23="Skeet",IFERROR(INDEX('Shooter-Squad Assignment'!$A:$A,MATCH(C23&amp;"-"&amp;E23&amp;"-"&amp;F23&amp;"-Pos5",'Shooter-Squad Assignment'!$K:$K,0)),""),IF(F23="Trap",IFERROR(INDEX('Shooter-Squad Assignment'!$A:$A,MATCH(C23&amp;"-"&amp;E23&amp;"-"&amp;F23&amp;"-Pos5",'Shooter-Squad Assignment'!$W:$W,0)),""),IF(F23="Sporting Clays",IFERROR(INDEX('Shooter-Squad Assignment'!$A:$A,MATCH(C23&amp;"-"&amp;E23&amp;"-"&amp;F23&amp;"-Pos5",'Shooter-Squad Assignment'!$Z:$Z,0)),""),"")))</f>
        <v/>
      </c>
      <c r="P23" s="79" t="str">
        <f>IF(ISBLANK(O23),"",IFERROR(INDEX('Tournament List'!$D:$D,MATCH(O23,'Tournament List'!$A:$A,0)),""))</f>
        <v/>
      </c>
    </row>
    <row r="24" spans="1:16" x14ac:dyDescent="0.3">
      <c r="A24" s="78">
        <v>23</v>
      </c>
      <c r="B24" s="73" t="str">
        <f>C24&amp;"-"&amp;E24&amp;"-"&amp;F24</f>
        <v>Brighton Clay Crushers-Intermediate 1-Sporting Clays</v>
      </c>
      <c r="C24" s="73" t="s">
        <v>322</v>
      </c>
      <c r="D24" s="73" t="str">
        <f>INDEX('Tournament Setup'!$B$59:$B$78,MATCH(E24,SquadConcurrents,0))</f>
        <v>Intermediate</v>
      </c>
      <c r="E24" s="73" t="s">
        <v>338</v>
      </c>
      <c r="F24" s="73" t="s">
        <v>148</v>
      </c>
      <c r="G24" s="94" t="str">
        <f>IF(F24="Skeet",IFERROR(INDEX('Shooter-Squad Assignment'!$A:$A,MATCH(C24&amp;"-"&amp;E24&amp;"-"&amp;F24&amp;"-Pos1",'Shooter-Squad Assignment'!$K:$K,0)),""),IF(F24="Trap",IFERROR(INDEX('Shooter-Squad Assignment'!$A:$A,MATCH(C24&amp;"-"&amp;E24&amp;"-"&amp;F24&amp;"-Pos1",'Shooter-Squad Assignment'!$W:$W,0)),""),IF(F24="Sporting Clays",IFERROR(INDEX('Shooter-Squad Assignment'!$A:$A,MATCH(C24&amp;"-"&amp;E24&amp;"-"&amp;F24&amp;"-Pos1",'Shooter-Squad Assignment'!$Z:$Z,0)),""),"")))</f>
        <v/>
      </c>
      <c r="H24" s="73" t="str">
        <f>IF(ISBLANK(G24),"",IFERROR(INDEX('Tournament List'!$D:$D,MATCH(G24,'Tournament List'!$A:$A,0)),""))</f>
        <v/>
      </c>
      <c r="I24" s="94" t="str">
        <f>IF(F24="Skeet",IFERROR(INDEX('Shooter-Squad Assignment'!$A:$A,MATCH(C24&amp;"-"&amp;E24&amp;"-"&amp;F24&amp;"-Pos2",'Shooter-Squad Assignment'!$K:$K,0)),""),IF(F24="Trap",IFERROR(INDEX('Shooter-Squad Assignment'!$A:$A,MATCH(C24&amp;"-"&amp;E24&amp;"-"&amp;F24&amp;"-Pos2",'Shooter-Squad Assignment'!$W:$W,0)),""),IF(F24="Sporting Clays",IFERROR(INDEX('Shooter-Squad Assignment'!$A:$A,MATCH(C24&amp;"-"&amp;E24&amp;"-"&amp;F24&amp;"-Pos2",'Shooter-Squad Assignment'!$Z:$Z,0)),""),"")))</f>
        <v/>
      </c>
      <c r="J24" s="73" t="str">
        <f>IF(ISBLANK(I24),"",IFERROR(INDEX('Tournament List'!$D:$D,MATCH(I24,'Tournament List'!$A:$A,0)),""))</f>
        <v/>
      </c>
      <c r="K24" s="94" t="str">
        <f>IF(F24="Skeet",IFERROR(INDEX('Shooter-Squad Assignment'!$A:$A,MATCH(C24&amp;"-"&amp;E24&amp;"-"&amp;F24&amp;"-Pos3",'Shooter-Squad Assignment'!$K:$K,0)),""),IF(F24="Trap",IFERROR(INDEX('Shooter-Squad Assignment'!$A:$A,MATCH(C24&amp;"-"&amp;E24&amp;"-"&amp;F24&amp;"-Pos3",'Shooter-Squad Assignment'!$W:$W,0)),""),IF(F24="Sporting Clays",IFERROR(INDEX('Shooter-Squad Assignment'!$A:$A,MATCH(C24&amp;"-"&amp;E24&amp;"-"&amp;F24&amp;"-Pos3",'Shooter-Squad Assignment'!$Z:$Z,0)),""),"")))</f>
        <v/>
      </c>
      <c r="L24" s="73" t="str">
        <f>IF(ISBLANK(K24),"",IFERROR(INDEX('Tournament List'!$D:$D,MATCH(K24,'Tournament List'!$A:$A,0)),""))</f>
        <v/>
      </c>
      <c r="M24" s="94" t="str">
        <f>IF(F24="Skeet",IFERROR(INDEX('Shooter-Squad Assignment'!$A:$A,MATCH(C24&amp;"-"&amp;E24&amp;"-"&amp;F24&amp;"-Pos4",'Shooter-Squad Assignment'!$K:$K,0)),""),IF(F24="Trap",IFERROR(INDEX('Shooter-Squad Assignment'!$A:$A,MATCH(C24&amp;"-"&amp;E24&amp;"-"&amp;F24&amp;"-Pos4",'Shooter-Squad Assignment'!$W:$W,0)),""),IF(F24="Sporting Clays",IFERROR(INDEX('Shooter-Squad Assignment'!$A:$A,MATCH(C24&amp;"-"&amp;E24&amp;"-"&amp;F24&amp;"-Pos4",'Shooter-Squad Assignment'!$Z:$Z,0)),""),"")))</f>
        <v/>
      </c>
      <c r="N24" s="73" t="str">
        <f>IF(ISBLANK(M24),"",IFERROR(INDEX('Tournament List'!$D:$D,MATCH(M24,'Tournament List'!$A:$A,0)),""))</f>
        <v/>
      </c>
      <c r="O24" s="94" t="str">
        <f>IF(F24="Skeet",IFERROR(INDEX('Shooter-Squad Assignment'!$A:$A,MATCH(C24&amp;"-"&amp;E24&amp;"-"&amp;F24&amp;"-Pos5",'Shooter-Squad Assignment'!$K:$K,0)),""),IF(F24="Trap",IFERROR(INDEX('Shooter-Squad Assignment'!$A:$A,MATCH(C24&amp;"-"&amp;E24&amp;"-"&amp;F24&amp;"-Pos5",'Shooter-Squad Assignment'!$W:$W,0)),""),IF(F24="Sporting Clays",IFERROR(INDEX('Shooter-Squad Assignment'!$A:$A,MATCH(C24&amp;"-"&amp;E24&amp;"-"&amp;F24&amp;"-Pos5",'Shooter-Squad Assignment'!$Z:$Z,0)),""),"")))</f>
        <v/>
      </c>
      <c r="P24" s="79" t="str">
        <f>IF(ISBLANK(O24),"",IFERROR(INDEX('Tournament List'!$D:$D,MATCH(O24,'Tournament List'!$A:$A,0)),""))</f>
        <v/>
      </c>
    </row>
    <row r="25" spans="1:16" x14ac:dyDescent="0.3">
      <c r="A25" s="78">
        <v>24</v>
      </c>
      <c r="B25" s="73" t="str">
        <f>C25&amp;"-"&amp;E25&amp;"-"&amp;F25</f>
        <v>Brighton Clay Crushers-Intermediate 2-Sporting Clays</v>
      </c>
      <c r="C25" s="73" t="s">
        <v>322</v>
      </c>
      <c r="D25" s="73" t="str">
        <f>INDEX('Tournament Setup'!$B$59:$B$78,MATCH(E25,SquadConcurrents,0))</f>
        <v>Intermediate</v>
      </c>
      <c r="E25" s="73" t="s">
        <v>344</v>
      </c>
      <c r="F25" s="73" t="s">
        <v>148</v>
      </c>
      <c r="G25" s="94" t="str">
        <f>IF(F25="Skeet",IFERROR(INDEX('Shooter-Squad Assignment'!$A:$A,MATCH(C25&amp;"-"&amp;E25&amp;"-"&amp;F25&amp;"-Pos1",'Shooter-Squad Assignment'!$K:$K,0)),""),IF(F25="Trap",IFERROR(INDEX('Shooter-Squad Assignment'!$A:$A,MATCH(C25&amp;"-"&amp;E25&amp;"-"&amp;F25&amp;"-Pos1",'Shooter-Squad Assignment'!$W:$W,0)),""),IF(F25="Sporting Clays",IFERROR(INDEX('Shooter-Squad Assignment'!$A:$A,MATCH(C25&amp;"-"&amp;E25&amp;"-"&amp;F25&amp;"-Pos1",'Shooter-Squad Assignment'!$Z:$Z,0)),""),"")))</f>
        <v/>
      </c>
      <c r="H25" s="73" t="str">
        <f>IF(ISBLANK(G25),"",IFERROR(INDEX('Tournament List'!$D:$D,MATCH(G25,'Tournament List'!$A:$A,0)),""))</f>
        <v/>
      </c>
      <c r="I25" s="94" t="str">
        <f>IF(F25="Skeet",IFERROR(INDEX('Shooter-Squad Assignment'!$A:$A,MATCH(C25&amp;"-"&amp;E25&amp;"-"&amp;F25&amp;"-Pos2",'Shooter-Squad Assignment'!$K:$K,0)),""),IF(F25="Trap",IFERROR(INDEX('Shooter-Squad Assignment'!$A:$A,MATCH(C25&amp;"-"&amp;E25&amp;"-"&amp;F25&amp;"-Pos2",'Shooter-Squad Assignment'!$W:$W,0)),""),IF(F25="Sporting Clays",IFERROR(INDEX('Shooter-Squad Assignment'!$A:$A,MATCH(C25&amp;"-"&amp;E25&amp;"-"&amp;F25&amp;"-Pos2",'Shooter-Squad Assignment'!$Z:$Z,0)),""),"")))</f>
        <v/>
      </c>
      <c r="J25" s="73" t="str">
        <f>IF(ISBLANK(I25),"",IFERROR(INDEX('Tournament List'!$D:$D,MATCH(I25,'Tournament List'!$A:$A,0)),""))</f>
        <v/>
      </c>
      <c r="K25" s="94" t="str">
        <f>IF(F25="Skeet",IFERROR(INDEX('Shooter-Squad Assignment'!$A:$A,MATCH(C25&amp;"-"&amp;E25&amp;"-"&amp;F25&amp;"-Pos3",'Shooter-Squad Assignment'!$K:$K,0)),""),IF(F25="Trap",IFERROR(INDEX('Shooter-Squad Assignment'!$A:$A,MATCH(C25&amp;"-"&amp;E25&amp;"-"&amp;F25&amp;"-Pos3",'Shooter-Squad Assignment'!$W:$W,0)),""),IF(F25="Sporting Clays",IFERROR(INDEX('Shooter-Squad Assignment'!$A:$A,MATCH(C25&amp;"-"&amp;E25&amp;"-"&amp;F25&amp;"-Pos3",'Shooter-Squad Assignment'!$Z:$Z,0)),""),"")))</f>
        <v/>
      </c>
      <c r="L25" s="73" t="str">
        <f>IF(ISBLANK(K25),"",IFERROR(INDEX('Tournament List'!$D:$D,MATCH(K25,'Tournament List'!$A:$A,0)),""))</f>
        <v/>
      </c>
      <c r="M25" s="94" t="str">
        <f>IF(F25="Skeet",IFERROR(INDEX('Shooter-Squad Assignment'!$A:$A,MATCH(C25&amp;"-"&amp;E25&amp;"-"&amp;F25&amp;"-Pos4",'Shooter-Squad Assignment'!$K:$K,0)),""),IF(F25="Trap",IFERROR(INDEX('Shooter-Squad Assignment'!$A:$A,MATCH(C25&amp;"-"&amp;E25&amp;"-"&amp;F25&amp;"-Pos4",'Shooter-Squad Assignment'!$W:$W,0)),""),IF(F25="Sporting Clays",IFERROR(INDEX('Shooter-Squad Assignment'!$A:$A,MATCH(C25&amp;"-"&amp;E25&amp;"-"&amp;F25&amp;"-Pos4",'Shooter-Squad Assignment'!$Z:$Z,0)),""),"")))</f>
        <v/>
      </c>
      <c r="N25" s="73" t="str">
        <f>IF(ISBLANK(M25),"",IFERROR(INDEX('Tournament List'!$D:$D,MATCH(M25,'Tournament List'!$A:$A,0)),""))</f>
        <v/>
      </c>
      <c r="O25" s="94" t="str">
        <f>IF(F25="Skeet",IFERROR(INDEX('Shooter-Squad Assignment'!$A:$A,MATCH(C25&amp;"-"&amp;E25&amp;"-"&amp;F25&amp;"-Pos5",'Shooter-Squad Assignment'!$K:$K,0)),""),IF(F25="Trap",IFERROR(INDEX('Shooter-Squad Assignment'!$A:$A,MATCH(C25&amp;"-"&amp;E25&amp;"-"&amp;F25&amp;"-Pos5",'Shooter-Squad Assignment'!$W:$W,0)),""),IF(F25="Sporting Clays",IFERROR(INDEX('Shooter-Squad Assignment'!$A:$A,MATCH(C25&amp;"-"&amp;E25&amp;"-"&amp;F25&amp;"-Pos5",'Shooter-Squad Assignment'!$Z:$Z,0)),""),"")))</f>
        <v/>
      </c>
      <c r="P25" s="79" t="str">
        <f>IF(ISBLANK(O25),"",IFERROR(INDEX('Tournament List'!$D:$D,MATCH(O25,'Tournament List'!$A:$A,0)),""))</f>
        <v/>
      </c>
    </row>
    <row r="26" spans="1:16" x14ac:dyDescent="0.3">
      <c r="A26" s="78">
        <v>25</v>
      </c>
      <c r="B26" s="73" t="str">
        <f>C26&amp;"-"&amp;E26&amp;"-"&amp;F26</f>
        <v>Brighton Clay Crushers-Intermediate 3-Sporting Clays</v>
      </c>
      <c r="C26" s="73" t="s">
        <v>322</v>
      </c>
      <c r="D26" s="73" t="str">
        <f>INDEX('Tournament Setup'!$B$59:$B$78,MATCH(E26,SquadConcurrents,0))</f>
        <v>Intermediate</v>
      </c>
      <c r="E26" s="73" t="s">
        <v>350</v>
      </c>
      <c r="F26" s="73" t="s">
        <v>148</v>
      </c>
      <c r="G26" s="94" t="str">
        <f>IF(F26="Skeet",IFERROR(INDEX('Shooter-Squad Assignment'!$A:$A,MATCH(C26&amp;"-"&amp;E26&amp;"-"&amp;F26&amp;"-Pos1",'Shooter-Squad Assignment'!$K:$K,0)),""),IF(F26="Trap",IFERROR(INDEX('Shooter-Squad Assignment'!$A:$A,MATCH(C26&amp;"-"&amp;E26&amp;"-"&amp;F26&amp;"-Pos1",'Shooter-Squad Assignment'!$W:$W,0)),""),IF(F26="Sporting Clays",IFERROR(INDEX('Shooter-Squad Assignment'!$A:$A,MATCH(C26&amp;"-"&amp;E26&amp;"-"&amp;F26&amp;"-Pos1",'Shooter-Squad Assignment'!$Z:$Z,0)),""),"")))</f>
        <v/>
      </c>
      <c r="H26" s="73" t="str">
        <f>IF(ISBLANK(G26),"",IFERROR(INDEX('Tournament List'!$D:$D,MATCH(G26,'Tournament List'!$A:$A,0)),""))</f>
        <v/>
      </c>
      <c r="I26" s="94" t="str">
        <f>IF(F26="Skeet",IFERROR(INDEX('Shooter-Squad Assignment'!$A:$A,MATCH(C26&amp;"-"&amp;E26&amp;"-"&amp;F26&amp;"-Pos2",'Shooter-Squad Assignment'!$K:$K,0)),""),IF(F26="Trap",IFERROR(INDEX('Shooter-Squad Assignment'!$A:$A,MATCH(C26&amp;"-"&amp;E26&amp;"-"&amp;F26&amp;"-Pos2",'Shooter-Squad Assignment'!$W:$W,0)),""),IF(F26="Sporting Clays",IFERROR(INDEX('Shooter-Squad Assignment'!$A:$A,MATCH(C26&amp;"-"&amp;E26&amp;"-"&amp;F26&amp;"-Pos2",'Shooter-Squad Assignment'!$Z:$Z,0)),""),"")))</f>
        <v/>
      </c>
      <c r="J26" s="73" t="str">
        <f>IF(ISBLANK(I26),"",IFERROR(INDEX('Tournament List'!$D:$D,MATCH(I26,'Tournament List'!$A:$A,0)),""))</f>
        <v/>
      </c>
      <c r="K26" s="94" t="str">
        <f>IF(F26="Skeet",IFERROR(INDEX('Shooter-Squad Assignment'!$A:$A,MATCH(C26&amp;"-"&amp;E26&amp;"-"&amp;F26&amp;"-Pos3",'Shooter-Squad Assignment'!$K:$K,0)),""),IF(F26="Trap",IFERROR(INDEX('Shooter-Squad Assignment'!$A:$A,MATCH(C26&amp;"-"&amp;E26&amp;"-"&amp;F26&amp;"-Pos3",'Shooter-Squad Assignment'!$W:$W,0)),""),IF(F26="Sporting Clays",IFERROR(INDEX('Shooter-Squad Assignment'!$A:$A,MATCH(C26&amp;"-"&amp;E26&amp;"-"&amp;F26&amp;"-Pos3",'Shooter-Squad Assignment'!$Z:$Z,0)),""),"")))</f>
        <v/>
      </c>
      <c r="L26" s="73" t="str">
        <f>IF(ISBLANK(K26),"",IFERROR(INDEX('Tournament List'!$D:$D,MATCH(K26,'Tournament List'!$A:$A,0)),""))</f>
        <v/>
      </c>
      <c r="M26" s="94" t="str">
        <f>IF(F26="Skeet",IFERROR(INDEX('Shooter-Squad Assignment'!$A:$A,MATCH(C26&amp;"-"&amp;E26&amp;"-"&amp;F26&amp;"-Pos4",'Shooter-Squad Assignment'!$K:$K,0)),""),IF(F26="Trap",IFERROR(INDEX('Shooter-Squad Assignment'!$A:$A,MATCH(C26&amp;"-"&amp;E26&amp;"-"&amp;F26&amp;"-Pos4",'Shooter-Squad Assignment'!$W:$W,0)),""),IF(F26="Sporting Clays",IFERROR(INDEX('Shooter-Squad Assignment'!$A:$A,MATCH(C26&amp;"-"&amp;E26&amp;"-"&amp;F26&amp;"-Pos4",'Shooter-Squad Assignment'!$Z:$Z,0)),""),"")))</f>
        <v/>
      </c>
      <c r="N26" s="73" t="str">
        <f>IF(ISBLANK(M26),"",IFERROR(INDEX('Tournament List'!$D:$D,MATCH(M26,'Tournament List'!$A:$A,0)),""))</f>
        <v/>
      </c>
      <c r="O26" s="94" t="str">
        <f>IF(F26="Skeet",IFERROR(INDEX('Shooter-Squad Assignment'!$A:$A,MATCH(C26&amp;"-"&amp;E26&amp;"-"&amp;F26&amp;"-Pos5",'Shooter-Squad Assignment'!$K:$K,0)),""),IF(F26="Trap",IFERROR(INDEX('Shooter-Squad Assignment'!$A:$A,MATCH(C26&amp;"-"&amp;E26&amp;"-"&amp;F26&amp;"-Pos5",'Shooter-Squad Assignment'!$W:$W,0)),""),IF(F26="Sporting Clays",IFERROR(INDEX('Shooter-Squad Assignment'!$A:$A,MATCH(C26&amp;"-"&amp;E26&amp;"-"&amp;F26&amp;"-Pos5",'Shooter-Squad Assignment'!$Z:$Z,0)),""),"")))</f>
        <v/>
      </c>
      <c r="P26" s="79" t="str">
        <f>IF(ISBLANK(O26),"",IFERROR(INDEX('Tournament List'!$D:$D,MATCH(O26,'Tournament List'!$A:$A,0)),""))</f>
        <v/>
      </c>
    </row>
    <row r="27" spans="1:16" x14ac:dyDescent="0.3">
      <c r="A27" s="78">
        <v>26</v>
      </c>
      <c r="B27" s="73" t="str">
        <f>C27&amp;"-"&amp;E27&amp;"-"&amp;F27</f>
        <v>Brighton Clay Crushers-Junior Varsity 1-Sporting Clays</v>
      </c>
      <c r="C27" s="73" t="s">
        <v>322</v>
      </c>
      <c r="D27" s="73" t="str">
        <f>INDEX('Tournament Setup'!$B$59:$B$78,MATCH(E27,SquadConcurrents,0))</f>
        <v>Junior Varsity</v>
      </c>
      <c r="E27" s="73" t="s">
        <v>339</v>
      </c>
      <c r="F27" s="73" t="s">
        <v>148</v>
      </c>
      <c r="G27" s="94" t="str">
        <f>IF(F27="Skeet",IFERROR(INDEX('Shooter-Squad Assignment'!$A:$A,MATCH(C27&amp;"-"&amp;E27&amp;"-"&amp;F27&amp;"-Pos1",'Shooter-Squad Assignment'!$K:$K,0)),""),IF(F27="Trap",IFERROR(INDEX('Shooter-Squad Assignment'!$A:$A,MATCH(C27&amp;"-"&amp;E27&amp;"-"&amp;F27&amp;"-Pos1",'Shooter-Squad Assignment'!$W:$W,0)),""),IF(F27="Sporting Clays",IFERROR(INDEX('Shooter-Squad Assignment'!$A:$A,MATCH(C27&amp;"-"&amp;E27&amp;"-"&amp;F27&amp;"-Pos1",'Shooter-Squad Assignment'!$Z:$Z,0)),""),"")))</f>
        <v/>
      </c>
      <c r="H27" s="73" t="str">
        <f>IF(ISBLANK(G27),"",IFERROR(INDEX('Tournament List'!$D:$D,MATCH(G27,'Tournament List'!$A:$A,0)),""))</f>
        <v/>
      </c>
      <c r="I27" s="94" t="str">
        <f>IF(F27="Skeet",IFERROR(INDEX('Shooter-Squad Assignment'!$A:$A,MATCH(C27&amp;"-"&amp;E27&amp;"-"&amp;F27&amp;"-Pos2",'Shooter-Squad Assignment'!$K:$K,0)),""),IF(F27="Trap",IFERROR(INDEX('Shooter-Squad Assignment'!$A:$A,MATCH(C27&amp;"-"&amp;E27&amp;"-"&amp;F27&amp;"-Pos2",'Shooter-Squad Assignment'!$W:$W,0)),""),IF(F27="Sporting Clays",IFERROR(INDEX('Shooter-Squad Assignment'!$A:$A,MATCH(C27&amp;"-"&amp;E27&amp;"-"&amp;F27&amp;"-Pos2",'Shooter-Squad Assignment'!$Z:$Z,0)),""),"")))</f>
        <v/>
      </c>
      <c r="J27" s="73" t="str">
        <f>IF(ISBLANK(I27),"",IFERROR(INDEX('Tournament List'!$D:$D,MATCH(I27,'Tournament List'!$A:$A,0)),""))</f>
        <v/>
      </c>
      <c r="K27" s="94" t="str">
        <f>IF(F27="Skeet",IFERROR(INDEX('Shooter-Squad Assignment'!$A:$A,MATCH(C27&amp;"-"&amp;E27&amp;"-"&amp;F27&amp;"-Pos3",'Shooter-Squad Assignment'!$K:$K,0)),""),IF(F27="Trap",IFERROR(INDEX('Shooter-Squad Assignment'!$A:$A,MATCH(C27&amp;"-"&amp;E27&amp;"-"&amp;F27&amp;"-Pos3",'Shooter-Squad Assignment'!$W:$W,0)),""),IF(F27="Sporting Clays",IFERROR(INDEX('Shooter-Squad Assignment'!$A:$A,MATCH(C27&amp;"-"&amp;E27&amp;"-"&amp;F27&amp;"-Pos3",'Shooter-Squad Assignment'!$Z:$Z,0)),""),"")))</f>
        <v/>
      </c>
      <c r="L27" s="73" t="str">
        <f>IF(ISBLANK(K27),"",IFERROR(INDEX('Tournament List'!$D:$D,MATCH(K27,'Tournament List'!$A:$A,0)),""))</f>
        <v/>
      </c>
      <c r="M27" s="94" t="str">
        <f>IF(F27="Skeet",IFERROR(INDEX('Shooter-Squad Assignment'!$A:$A,MATCH(C27&amp;"-"&amp;E27&amp;"-"&amp;F27&amp;"-Pos4",'Shooter-Squad Assignment'!$K:$K,0)),""),IF(F27="Trap",IFERROR(INDEX('Shooter-Squad Assignment'!$A:$A,MATCH(C27&amp;"-"&amp;E27&amp;"-"&amp;F27&amp;"-Pos4",'Shooter-Squad Assignment'!$W:$W,0)),""),IF(F27="Sporting Clays",IFERROR(INDEX('Shooter-Squad Assignment'!$A:$A,MATCH(C27&amp;"-"&amp;E27&amp;"-"&amp;F27&amp;"-Pos4",'Shooter-Squad Assignment'!$Z:$Z,0)),""),"")))</f>
        <v/>
      </c>
      <c r="N27" s="73" t="str">
        <f>IF(ISBLANK(M27),"",IFERROR(INDEX('Tournament List'!$D:$D,MATCH(M27,'Tournament List'!$A:$A,0)),""))</f>
        <v/>
      </c>
      <c r="O27" s="94" t="str">
        <f>IF(F27="Skeet",IFERROR(INDEX('Shooter-Squad Assignment'!$A:$A,MATCH(C27&amp;"-"&amp;E27&amp;"-"&amp;F27&amp;"-Pos5",'Shooter-Squad Assignment'!$K:$K,0)),""),IF(F27="Trap",IFERROR(INDEX('Shooter-Squad Assignment'!$A:$A,MATCH(C27&amp;"-"&amp;E27&amp;"-"&amp;F27&amp;"-Pos5",'Shooter-Squad Assignment'!$W:$W,0)),""),IF(F27="Sporting Clays",IFERROR(INDEX('Shooter-Squad Assignment'!$A:$A,MATCH(C27&amp;"-"&amp;E27&amp;"-"&amp;F27&amp;"-Pos5",'Shooter-Squad Assignment'!$Z:$Z,0)),""),"")))</f>
        <v/>
      </c>
      <c r="P27" s="79" t="str">
        <f>IF(ISBLANK(O27),"",IFERROR(INDEX('Tournament List'!$D:$D,MATCH(O27,'Tournament List'!$A:$A,0)),""))</f>
        <v/>
      </c>
    </row>
    <row r="28" spans="1:16" x14ac:dyDescent="0.3">
      <c r="A28" s="78">
        <v>27</v>
      </c>
      <c r="B28" s="73" t="str">
        <f>C28&amp;"-"&amp;E28&amp;"-"&amp;F28</f>
        <v>Brighton Clay Crushers-Junior Varsity 2-Sporting Clays</v>
      </c>
      <c r="C28" s="73" t="s">
        <v>322</v>
      </c>
      <c r="D28" s="73" t="str">
        <f>INDEX('Tournament Setup'!$B$59:$B$78,MATCH(E28,SquadConcurrents,0))</f>
        <v>Junior Varsity</v>
      </c>
      <c r="E28" s="73" t="s">
        <v>345</v>
      </c>
      <c r="F28" s="73" t="s">
        <v>148</v>
      </c>
      <c r="G28" s="94" t="str">
        <f>IF(F28="Skeet",IFERROR(INDEX('Shooter-Squad Assignment'!$A:$A,MATCH(C28&amp;"-"&amp;E28&amp;"-"&amp;F28&amp;"-Pos1",'Shooter-Squad Assignment'!$K:$K,0)),""),IF(F28="Trap",IFERROR(INDEX('Shooter-Squad Assignment'!$A:$A,MATCH(C28&amp;"-"&amp;E28&amp;"-"&amp;F28&amp;"-Pos1",'Shooter-Squad Assignment'!$W:$W,0)),""),IF(F28="Sporting Clays",IFERROR(INDEX('Shooter-Squad Assignment'!$A:$A,MATCH(C28&amp;"-"&amp;E28&amp;"-"&amp;F28&amp;"-Pos1",'Shooter-Squad Assignment'!$Z:$Z,0)),""),"")))</f>
        <v/>
      </c>
      <c r="H28" s="73" t="str">
        <f>IF(ISBLANK(G28),"",IFERROR(INDEX('Tournament List'!$D:$D,MATCH(G28,'Tournament List'!$A:$A,0)),""))</f>
        <v/>
      </c>
      <c r="I28" s="94" t="str">
        <f>IF(F28="Skeet",IFERROR(INDEX('Shooter-Squad Assignment'!$A:$A,MATCH(C28&amp;"-"&amp;E28&amp;"-"&amp;F28&amp;"-Pos2",'Shooter-Squad Assignment'!$K:$K,0)),""),IF(F28="Trap",IFERROR(INDEX('Shooter-Squad Assignment'!$A:$A,MATCH(C28&amp;"-"&amp;E28&amp;"-"&amp;F28&amp;"-Pos2",'Shooter-Squad Assignment'!$W:$W,0)),""),IF(F28="Sporting Clays",IFERROR(INDEX('Shooter-Squad Assignment'!$A:$A,MATCH(C28&amp;"-"&amp;E28&amp;"-"&amp;F28&amp;"-Pos2",'Shooter-Squad Assignment'!$Z:$Z,0)),""),"")))</f>
        <v/>
      </c>
      <c r="J28" s="73" t="str">
        <f>IF(ISBLANK(I28),"",IFERROR(INDEX('Tournament List'!$D:$D,MATCH(I28,'Tournament List'!$A:$A,0)),""))</f>
        <v/>
      </c>
      <c r="K28" s="94" t="str">
        <f>IF(F28="Skeet",IFERROR(INDEX('Shooter-Squad Assignment'!$A:$A,MATCH(C28&amp;"-"&amp;E28&amp;"-"&amp;F28&amp;"-Pos3",'Shooter-Squad Assignment'!$K:$K,0)),""),IF(F28="Trap",IFERROR(INDEX('Shooter-Squad Assignment'!$A:$A,MATCH(C28&amp;"-"&amp;E28&amp;"-"&amp;F28&amp;"-Pos3",'Shooter-Squad Assignment'!$W:$W,0)),""),IF(F28="Sporting Clays",IFERROR(INDEX('Shooter-Squad Assignment'!$A:$A,MATCH(C28&amp;"-"&amp;E28&amp;"-"&amp;F28&amp;"-Pos3",'Shooter-Squad Assignment'!$Z:$Z,0)),""),"")))</f>
        <v/>
      </c>
      <c r="L28" s="73" t="str">
        <f>IF(ISBLANK(K28),"",IFERROR(INDEX('Tournament List'!$D:$D,MATCH(K28,'Tournament List'!$A:$A,0)),""))</f>
        <v/>
      </c>
      <c r="M28" s="94" t="str">
        <f>IF(F28="Skeet",IFERROR(INDEX('Shooter-Squad Assignment'!$A:$A,MATCH(C28&amp;"-"&amp;E28&amp;"-"&amp;F28&amp;"-Pos4",'Shooter-Squad Assignment'!$K:$K,0)),""),IF(F28="Trap",IFERROR(INDEX('Shooter-Squad Assignment'!$A:$A,MATCH(C28&amp;"-"&amp;E28&amp;"-"&amp;F28&amp;"-Pos4",'Shooter-Squad Assignment'!$W:$W,0)),""),IF(F28="Sporting Clays",IFERROR(INDEX('Shooter-Squad Assignment'!$A:$A,MATCH(C28&amp;"-"&amp;E28&amp;"-"&amp;F28&amp;"-Pos4",'Shooter-Squad Assignment'!$Z:$Z,0)),""),"")))</f>
        <v/>
      </c>
      <c r="N28" s="73" t="str">
        <f>IF(ISBLANK(M28),"",IFERROR(INDEX('Tournament List'!$D:$D,MATCH(M28,'Tournament List'!$A:$A,0)),""))</f>
        <v/>
      </c>
      <c r="O28" s="94" t="str">
        <f>IF(F28="Skeet",IFERROR(INDEX('Shooter-Squad Assignment'!$A:$A,MATCH(C28&amp;"-"&amp;E28&amp;"-"&amp;F28&amp;"-Pos5",'Shooter-Squad Assignment'!$K:$K,0)),""),IF(F28="Trap",IFERROR(INDEX('Shooter-Squad Assignment'!$A:$A,MATCH(C28&amp;"-"&amp;E28&amp;"-"&amp;F28&amp;"-Pos5",'Shooter-Squad Assignment'!$W:$W,0)),""),IF(F28="Sporting Clays",IFERROR(INDEX('Shooter-Squad Assignment'!$A:$A,MATCH(C28&amp;"-"&amp;E28&amp;"-"&amp;F28&amp;"-Pos5",'Shooter-Squad Assignment'!$Z:$Z,0)),""),"")))</f>
        <v/>
      </c>
      <c r="P28" s="79" t="str">
        <f>IF(ISBLANK(O28),"",IFERROR(INDEX('Tournament List'!$D:$D,MATCH(O28,'Tournament List'!$A:$A,0)),""))</f>
        <v/>
      </c>
    </row>
    <row r="29" spans="1:16" x14ac:dyDescent="0.3">
      <c r="A29" s="78">
        <v>28</v>
      </c>
      <c r="B29" s="73" t="str">
        <f>C29&amp;"-"&amp;E29&amp;"-"&amp;F29</f>
        <v>Brighton Clay Crushers-Junior Varsity 3-Sporting Clays</v>
      </c>
      <c r="C29" s="73" t="s">
        <v>322</v>
      </c>
      <c r="D29" s="73" t="str">
        <f>INDEX('Tournament Setup'!$B$59:$B$78,MATCH(E29,SquadConcurrents,0))</f>
        <v>Junior Varsity</v>
      </c>
      <c r="E29" s="73" t="s">
        <v>351</v>
      </c>
      <c r="F29" s="73" t="s">
        <v>148</v>
      </c>
      <c r="G29" s="94" t="str">
        <f>IF(F29="Skeet",IFERROR(INDEX('Shooter-Squad Assignment'!$A:$A,MATCH(C29&amp;"-"&amp;E29&amp;"-"&amp;F29&amp;"-Pos1",'Shooter-Squad Assignment'!$K:$K,0)),""),IF(F29="Trap",IFERROR(INDEX('Shooter-Squad Assignment'!$A:$A,MATCH(C29&amp;"-"&amp;E29&amp;"-"&amp;F29&amp;"-Pos1",'Shooter-Squad Assignment'!$W:$W,0)),""),IF(F29="Sporting Clays",IFERROR(INDEX('Shooter-Squad Assignment'!$A:$A,MATCH(C29&amp;"-"&amp;E29&amp;"-"&amp;F29&amp;"-Pos1",'Shooter-Squad Assignment'!$Z:$Z,0)),""),"")))</f>
        <v/>
      </c>
      <c r="H29" s="73" t="str">
        <f>IF(ISBLANK(G29),"",IFERROR(INDEX('Tournament List'!$D:$D,MATCH(G29,'Tournament List'!$A:$A,0)),""))</f>
        <v/>
      </c>
      <c r="I29" s="94" t="str">
        <f>IF(F29="Skeet",IFERROR(INDEX('Shooter-Squad Assignment'!$A:$A,MATCH(C29&amp;"-"&amp;E29&amp;"-"&amp;F29&amp;"-Pos2",'Shooter-Squad Assignment'!$K:$K,0)),""),IF(F29="Trap",IFERROR(INDEX('Shooter-Squad Assignment'!$A:$A,MATCH(C29&amp;"-"&amp;E29&amp;"-"&amp;F29&amp;"-Pos2",'Shooter-Squad Assignment'!$W:$W,0)),""),IF(F29="Sporting Clays",IFERROR(INDEX('Shooter-Squad Assignment'!$A:$A,MATCH(C29&amp;"-"&amp;E29&amp;"-"&amp;F29&amp;"-Pos2",'Shooter-Squad Assignment'!$Z:$Z,0)),""),"")))</f>
        <v/>
      </c>
      <c r="J29" s="73" t="str">
        <f>IF(ISBLANK(I29),"",IFERROR(INDEX('Tournament List'!$D:$D,MATCH(I29,'Tournament List'!$A:$A,0)),""))</f>
        <v/>
      </c>
      <c r="K29" s="94" t="str">
        <f>IF(F29="Skeet",IFERROR(INDEX('Shooter-Squad Assignment'!$A:$A,MATCH(C29&amp;"-"&amp;E29&amp;"-"&amp;F29&amp;"-Pos3",'Shooter-Squad Assignment'!$K:$K,0)),""),IF(F29="Trap",IFERROR(INDEX('Shooter-Squad Assignment'!$A:$A,MATCH(C29&amp;"-"&amp;E29&amp;"-"&amp;F29&amp;"-Pos3",'Shooter-Squad Assignment'!$W:$W,0)),""),IF(F29="Sporting Clays",IFERROR(INDEX('Shooter-Squad Assignment'!$A:$A,MATCH(C29&amp;"-"&amp;E29&amp;"-"&amp;F29&amp;"-Pos3",'Shooter-Squad Assignment'!$Z:$Z,0)),""),"")))</f>
        <v/>
      </c>
      <c r="L29" s="73" t="str">
        <f>IF(ISBLANK(K29),"",IFERROR(INDEX('Tournament List'!$D:$D,MATCH(K29,'Tournament List'!$A:$A,0)),""))</f>
        <v/>
      </c>
      <c r="M29" s="94" t="str">
        <f>IF(F29="Skeet",IFERROR(INDEX('Shooter-Squad Assignment'!$A:$A,MATCH(C29&amp;"-"&amp;E29&amp;"-"&amp;F29&amp;"-Pos4",'Shooter-Squad Assignment'!$K:$K,0)),""),IF(F29="Trap",IFERROR(INDEX('Shooter-Squad Assignment'!$A:$A,MATCH(C29&amp;"-"&amp;E29&amp;"-"&amp;F29&amp;"-Pos4",'Shooter-Squad Assignment'!$W:$W,0)),""),IF(F29="Sporting Clays",IFERROR(INDEX('Shooter-Squad Assignment'!$A:$A,MATCH(C29&amp;"-"&amp;E29&amp;"-"&amp;F29&amp;"-Pos4",'Shooter-Squad Assignment'!$Z:$Z,0)),""),"")))</f>
        <v/>
      </c>
      <c r="N29" s="73" t="str">
        <f>IF(ISBLANK(M29),"",IFERROR(INDEX('Tournament List'!$D:$D,MATCH(M29,'Tournament List'!$A:$A,0)),""))</f>
        <v/>
      </c>
      <c r="O29" s="94" t="str">
        <f>IF(F29="Skeet",IFERROR(INDEX('Shooter-Squad Assignment'!$A:$A,MATCH(C29&amp;"-"&amp;E29&amp;"-"&amp;F29&amp;"-Pos5",'Shooter-Squad Assignment'!$K:$K,0)),""),IF(F29="Trap",IFERROR(INDEX('Shooter-Squad Assignment'!$A:$A,MATCH(C29&amp;"-"&amp;E29&amp;"-"&amp;F29&amp;"-Pos5",'Shooter-Squad Assignment'!$W:$W,0)),""),IF(F29="Sporting Clays",IFERROR(INDEX('Shooter-Squad Assignment'!$A:$A,MATCH(C29&amp;"-"&amp;E29&amp;"-"&amp;F29&amp;"-Pos5",'Shooter-Squad Assignment'!$Z:$Z,0)),""),"")))</f>
        <v/>
      </c>
      <c r="P29" s="79" t="str">
        <f>IF(ISBLANK(O29),"",IFERROR(INDEX('Tournament List'!$D:$D,MATCH(O29,'Tournament List'!$A:$A,0)),""))</f>
        <v/>
      </c>
    </row>
    <row r="30" spans="1:16" x14ac:dyDescent="0.3">
      <c r="A30" s="78">
        <v>29</v>
      </c>
      <c r="B30" s="73" t="str">
        <f>C30&amp;"-"&amp;E30&amp;"-"&amp;F30</f>
        <v>Brighton Clay Crushers-Novice 1-Sporting Clays</v>
      </c>
      <c r="C30" s="73" t="s">
        <v>322</v>
      </c>
      <c r="D30" s="73" t="str">
        <f>INDEX('Tournament Setup'!$B$59:$B$78,MATCH(E30,SquadConcurrents,0))</f>
        <v>Novice</v>
      </c>
      <c r="E30" s="73" t="s">
        <v>337</v>
      </c>
      <c r="F30" s="73" t="s">
        <v>148</v>
      </c>
      <c r="G30" s="94" t="str">
        <f>IF(F30="Skeet",IFERROR(INDEX('Shooter-Squad Assignment'!$A:$A,MATCH(C30&amp;"-"&amp;E30&amp;"-"&amp;F30&amp;"-Pos1",'Shooter-Squad Assignment'!$K:$K,0)),""),IF(F30="Trap",IFERROR(INDEX('Shooter-Squad Assignment'!$A:$A,MATCH(C30&amp;"-"&amp;E30&amp;"-"&amp;F30&amp;"-Pos1",'Shooter-Squad Assignment'!$W:$W,0)),""),IF(F30="Sporting Clays",IFERROR(INDEX('Shooter-Squad Assignment'!$A:$A,MATCH(C30&amp;"-"&amp;E30&amp;"-"&amp;F30&amp;"-Pos1",'Shooter-Squad Assignment'!$Z:$Z,0)),""),"")))</f>
        <v/>
      </c>
      <c r="H30" s="73" t="str">
        <f>IF(ISBLANK(G30),"",IFERROR(INDEX('Tournament List'!$D:$D,MATCH(G30,'Tournament List'!$A:$A,0)),""))</f>
        <v/>
      </c>
      <c r="I30" s="94" t="str">
        <f>IF(F30="Skeet",IFERROR(INDEX('Shooter-Squad Assignment'!$A:$A,MATCH(C30&amp;"-"&amp;E30&amp;"-"&amp;F30&amp;"-Pos2",'Shooter-Squad Assignment'!$K:$K,0)),""),IF(F30="Trap",IFERROR(INDEX('Shooter-Squad Assignment'!$A:$A,MATCH(C30&amp;"-"&amp;E30&amp;"-"&amp;F30&amp;"-Pos2",'Shooter-Squad Assignment'!$W:$W,0)),""),IF(F30="Sporting Clays",IFERROR(INDEX('Shooter-Squad Assignment'!$A:$A,MATCH(C30&amp;"-"&amp;E30&amp;"-"&amp;F30&amp;"-Pos2",'Shooter-Squad Assignment'!$Z:$Z,0)),""),"")))</f>
        <v/>
      </c>
      <c r="J30" s="73" t="str">
        <f>IF(ISBLANK(I30),"",IFERROR(INDEX('Tournament List'!$D:$D,MATCH(I30,'Tournament List'!$A:$A,0)),""))</f>
        <v/>
      </c>
      <c r="K30" s="94" t="str">
        <f>IF(F30="Skeet",IFERROR(INDEX('Shooter-Squad Assignment'!$A:$A,MATCH(C30&amp;"-"&amp;E30&amp;"-"&amp;F30&amp;"-Pos3",'Shooter-Squad Assignment'!$K:$K,0)),""),IF(F30="Trap",IFERROR(INDEX('Shooter-Squad Assignment'!$A:$A,MATCH(C30&amp;"-"&amp;E30&amp;"-"&amp;F30&amp;"-Pos3",'Shooter-Squad Assignment'!$W:$W,0)),""),IF(F30="Sporting Clays",IFERROR(INDEX('Shooter-Squad Assignment'!$A:$A,MATCH(C30&amp;"-"&amp;E30&amp;"-"&amp;F30&amp;"-Pos3",'Shooter-Squad Assignment'!$Z:$Z,0)),""),"")))</f>
        <v/>
      </c>
      <c r="L30" s="73" t="str">
        <f>IF(ISBLANK(K30),"",IFERROR(INDEX('Tournament List'!$D:$D,MATCH(K30,'Tournament List'!$A:$A,0)),""))</f>
        <v/>
      </c>
      <c r="M30" s="94" t="str">
        <f>IF(F30="Skeet",IFERROR(INDEX('Shooter-Squad Assignment'!$A:$A,MATCH(C30&amp;"-"&amp;E30&amp;"-"&amp;F30&amp;"-Pos4",'Shooter-Squad Assignment'!$K:$K,0)),""),IF(F30="Trap",IFERROR(INDEX('Shooter-Squad Assignment'!$A:$A,MATCH(C30&amp;"-"&amp;E30&amp;"-"&amp;F30&amp;"-Pos4",'Shooter-Squad Assignment'!$W:$W,0)),""),IF(F30="Sporting Clays",IFERROR(INDEX('Shooter-Squad Assignment'!$A:$A,MATCH(C30&amp;"-"&amp;E30&amp;"-"&amp;F30&amp;"-Pos4",'Shooter-Squad Assignment'!$Z:$Z,0)),""),"")))</f>
        <v/>
      </c>
      <c r="N30" s="73" t="str">
        <f>IF(ISBLANK(M30),"",IFERROR(INDEX('Tournament List'!$D:$D,MATCH(M30,'Tournament List'!$A:$A,0)),""))</f>
        <v/>
      </c>
      <c r="O30" s="94" t="str">
        <f>IF(F30="Skeet",IFERROR(INDEX('Shooter-Squad Assignment'!$A:$A,MATCH(C30&amp;"-"&amp;E30&amp;"-"&amp;F30&amp;"-Pos5",'Shooter-Squad Assignment'!$K:$K,0)),""),IF(F30="Trap",IFERROR(INDEX('Shooter-Squad Assignment'!$A:$A,MATCH(C30&amp;"-"&amp;E30&amp;"-"&amp;F30&amp;"-Pos5",'Shooter-Squad Assignment'!$W:$W,0)),""),IF(F30="Sporting Clays",IFERROR(INDEX('Shooter-Squad Assignment'!$A:$A,MATCH(C30&amp;"-"&amp;E30&amp;"-"&amp;F30&amp;"-Pos5",'Shooter-Squad Assignment'!$Z:$Z,0)),""),"")))</f>
        <v/>
      </c>
      <c r="P30" s="79" t="str">
        <f>IF(ISBLANK(O30),"",IFERROR(INDEX('Tournament List'!$D:$D,MATCH(O30,'Tournament List'!$A:$A,0)),""))</f>
        <v/>
      </c>
    </row>
    <row r="31" spans="1:16" x14ac:dyDescent="0.3">
      <c r="A31" s="78">
        <v>30</v>
      </c>
      <c r="B31" s="73" t="str">
        <f>C31&amp;"-"&amp;E31&amp;"-"&amp;F31</f>
        <v>Brighton Clay Crushers-Novice 2-Sporting Clays</v>
      </c>
      <c r="C31" s="73" t="s">
        <v>322</v>
      </c>
      <c r="D31" s="73" t="str">
        <f>INDEX('Tournament Setup'!$B$59:$B$78,MATCH(E31,SquadConcurrents,0))</f>
        <v>Novice</v>
      </c>
      <c r="E31" s="73" t="s">
        <v>343</v>
      </c>
      <c r="F31" s="73" t="s">
        <v>148</v>
      </c>
      <c r="G31" s="94" t="str">
        <f>IF(F31="Skeet",IFERROR(INDEX('Shooter-Squad Assignment'!$A:$A,MATCH(C31&amp;"-"&amp;E31&amp;"-"&amp;F31&amp;"-Pos1",'Shooter-Squad Assignment'!$K:$K,0)),""),IF(F31="Trap",IFERROR(INDEX('Shooter-Squad Assignment'!$A:$A,MATCH(C31&amp;"-"&amp;E31&amp;"-"&amp;F31&amp;"-Pos1",'Shooter-Squad Assignment'!$W:$W,0)),""),IF(F31="Sporting Clays",IFERROR(INDEX('Shooter-Squad Assignment'!$A:$A,MATCH(C31&amp;"-"&amp;E31&amp;"-"&amp;F31&amp;"-Pos1",'Shooter-Squad Assignment'!$Z:$Z,0)),""),"")))</f>
        <v/>
      </c>
      <c r="H31" s="73" t="str">
        <f>IF(ISBLANK(G31),"",IFERROR(INDEX('Tournament List'!$D:$D,MATCH(G31,'Tournament List'!$A:$A,0)),""))</f>
        <v/>
      </c>
      <c r="I31" s="94" t="str">
        <f>IF(F31="Skeet",IFERROR(INDEX('Shooter-Squad Assignment'!$A:$A,MATCH(C31&amp;"-"&amp;E31&amp;"-"&amp;F31&amp;"-Pos2",'Shooter-Squad Assignment'!$K:$K,0)),""),IF(F31="Trap",IFERROR(INDEX('Shooter-Squad Assignment'!$A:$A,MATCH(C31&amp;"-"&amp;E31&amp;"-"&amp;F31&amp;"-Pos2",'Shooter-Squad Assignment'!$W:$W,0)),""),IF(F31="Sporting Clays",IFERROR(INDEX('Shooter-Squad Assignment'!$A:$A,MATCH(C31&amp;"-"&amp;E31&amp;"-"&amp;F31&amp;"-Pos2",'Shooter-Squad Assignment'!$Z:$Z,0)),""),"")))</f>
        <v/>
      </c>
      <c r="J31" s="73" t="str">
        <f>IF(ISBLANK(I31),"",IFERROR(INDEX('Tournament List'!$D:$D,MATCH(I31,'Tournament List'!$A:$A,0)),""))</f>
        <v/>
      </c>
      <c r="K31" s="94" t="str">
        <f>IF(F31="Skeet",IFERROR(INDEX('Shooter-Squad Assignment'!$A:$A,MATCH(C31&amp;"-"&amp;E31&amp;"-"&amp;F31&amp;"-Pos3",'Shooter-Squad Assignment'!$K:$K,0)),""),IF(F31="Trap",IFERROR(INDEX('Shooter-Squad Assignment'!$A:$A,MATCH(C31&amp;"-"&amp;E31&amp;"-"&amp;F31&amp;"-Pos3",'Shooter-Squad Assignment'!$W:$W,0)),""),IF(F31="Sporting Clays",IFERROR(INDEX('Shooter-Squad Assignment'!$A:$A,MATCH(C31&amp;"-"&amp;E31&amp;"-"&amp;F31&amp;"-Pos3",'Shooter-Squad Assignment'!$Z:$Z,0)),""),"")))</f>
        <v/>
      </c>
      <c r="L31" s="73" t="str">
        <f>IF(ISBLANK(K31),"",IFERROR(INDEX('Tournament List'!$D:$D,MATCH(K31,'Tournament List'!$A:$A,0)),""))</f>
        <v/>
      </c>
      <c r="M31" s="94" t="str">
        <f>IF(F31="Skeet",IFERROR(INDEX('Shooter-Squad Assignment'!$A:$A,MATCH(C31&amp;"-"&amp;E31&amp;"-"&amp;F31&amp;"-Pos4",'Shooter-Squad Assignment'!$K:$K,0)),""),IF(F31="Trap",IFERROR(INDEX('Shooter-Squad Assignment'!$A:$A,MATCH(C31&amp;"-"&amp;E31&amp;"-"&amp;F31&amp;"-Pos4",'Shooter-Squad Assignment'!$W:$W,0)),""),IF(F31="Sporting Clays",IFERROR(INDEX('Shooter-Squad Assignment'!$A:$A,MATCH(C31&amp;"-"&amp;E31&amp;"-"&amp;F31&amp;"-Pos4",'Shooter-Squad Assignment'!$Z:$Z,0)),""),"")))</f>
        <v/>
      </c>
      <c r="N31" s="73" t="str">
        <f>IF(ISBLANK(M31),"",IFERROR(INDEX('Tournament List'!$D:$D,MATCH(M31,'Tournament List'!$A:$A,0)),""))</f>
        <v/>
      </c>
      <c r="O31" s="94" t="str">
        <f>IF(F31="Skeet",IFERROR(INDEX('Shooter-Squad Assignment'!$A:$A,MATCH(C31&amp;"-"&amp;E31&amp;"-"&amp;F31&amp;"-Pos5",'Shooter-Squad Assignment'!$K:$K,0)),""),IF(F31="Trap",IFERROR(INDEX('Shooter-Squad Assignment'!$A:$A,MATCH(C31&amp;"-"&amp;E31&amp;"-"&amp;F31&amp;"-Pos5",'Shooter-Squad Assignment'!$W:$W,0)),""),IF(F31="Sporting Clays",IFERROR(INDEX('Shooter-Squad Assignment'!$A:$A,MATCH(C31&amp;"-"&amp;E31&amp;"-"&amp;F31&amp;"-Pos5",'Shooter-Squad Assignment'!$Z:$Z,0)),""),"")))</f>
        <v/>
      </c>
      <c r="P31" s="79" t="str">
        <f>IF(ISBLANK(O31),"",IFERROR(INDEX('Tournament List'!$D:$D,MATCH(O31,'Tournament List'!$A:$A,0)),""))</f>
        <v/>
      </c>
    </row>
    <row r="32" spans="1:16" x14ac:dyDescent="0.3">
      <c r="A32" s="78">
        <v>31</v>
      </c>
      <c r="B32" s="73" t="str">
        <f>C32&amp;"-"&amp;E32&amp;"-"&amp;F32</f>
        <v>Brighton Clay Crushers-Novice 3-Sporting Clays</v>
      </c>
      <c r="C32" s="73" t="s">
        <v>322</v>
      </c>
      <c r="D32" s="73" t="str">
        <f>INDEX('Tournament Setup'!$B$59:$B$78,MATCH(E32,SquadConcurrents,0))</f>
        <v>Novice</v>
      </c>
      <c r="E32" s="73" t="s">
        <v>349</v>
      </c>
      <c r="F32" s="73" t="s">
        <v>148</v>
      </c>
      <c r="G32" s="94" t="str">
        <f>IF(F32="Skeet",IFERROR(INDEX('Shooter-Squad Assignment'!$A:$A,MATCH(C32&amp;"-"&amp;E32&amp;"-"&amp;F32&amp;"-Pos1",'Shooter-Squad Assignment'!$K:$K,0)),""),IF(F32="Trap",IFERROR(INDEX('Shooter-Squad Assignment'!$A:$A,MATCH(C32&amp;"-"&amp;E32&amp;"-"&amp;F32&amp;"-Pos1",'Shooter-Squad Assignment'!$W:$W,0)),""),IF(F32="Sporting Clays",IFERROR(INDEX('Shooter-Squad Assignment'!$A:$A,MATCH(C32&amp;"-"&amp;E32&amp;"-"&amp;F32&amp;"-Pos1",'Shooter-Squad Assignment'!$Z:$Z,0)),""),"")))</f>
        <v/>
      </c>
      <c r="H32" s="73" t="str">
        <f>IF(ISBLANK(G32),"",IFERROR(INDEX('Tournament List'!$D:$D,MATCH(G32,'Tournament List'!$A:$A,0)),""))</f>
        <v/>
      </c>
      <c r="I32" s="94" t="str">
        <f>IF(F32="Skeet",IFERROR(INDEX('Shooter-Squad Assignment'!$A:$A,MATCH(C32&amp;"-"&amp;E32&amp;"-"&amp;F32&amp;"-Pos2",'Shooter-Squad Assignment'!$K:$K,0)),""),IF(F32="Trap",IFERROR(INDEX('Shooter-Squad Assignment'!$A:$A,MATCH(C32&amp;"-"&amp;E32&amp;"-"&amp;F32&amp;"-Pos2",'Shooter-Squad Assignment'!$W:$W,0)),""),IF(F32="Sporting Clays",IFERROR(INDEX('Shooter-Squad Assignment'!$A:$A,MATCH(C32&amp;"-"&amp;E32&amp;"-"&amp;F32&amp;"-Pos2",'Shooter-Squad Assignment'!$Z:$Z,0)),""),"")))</f>
        <v/>
      </c>
      <c r="J32" s="73" t="str">
        <f>IF(ISBLANK(I32),"",IFERROR(INDEX('Tournament List'!$D:$D,MATCH(I32,'Tournament List'!$A:$A,0)),""))</f>
        <v/>
      </c>
      <c r="K32" s="94" t="str">
        <f>IF(F32="Skeet",IFERROR(INDEX('Shooter-Squad Assignment'!$A:$A,MATCH(C32&amp;"-"&amp;E32&amp;"-"&amp;F32&amp;"-Pos3",'Shooter-Squad Assignment'!$K:$K,0)),""),IF(F32="Trap",IFERROR(INDEX('Shooter-Squad Assignment'!$A:$A,MATCH(C32&amp;"-"&amp;E32&amp;"-"&amp;F32&amp;"-Pos3",'Shooter-Squad Assignment'!$W:$W,0)),""),IF(F32="Sporting Clays",IFERROR(INDEX('Shooter-Squad Assignment'!$A:$A,MATCH(C32&amp;"-"&amp;E32&amp;"-"&amp;F32&amp;"-Pos3",'Shooter-Squad Assignment'!$Z:$Z,0)),""),"")))</f>
        <v/>
      </c>
      <c r="L32" s="73" t="str">
        <f>IF(ISBLANK(K32),"",IFERROR(INDEX('Tournament List'!$D:$D,MATCH(K32,'Tournament List'!$A:$A,0)),""))</f>
        <v/>
      </c>
      <c r="M32" s="94" t="str">
        <f>IF(F32="Skeet",IFERROR(INDEX('Shooter-Squad Assignment'!$A:$A,MATCH(C32&amp;"-"&amp;E32&amp;"-"&amp;F32&amp;"-Pos4",'Shooter-Squad Assignment'!$K:$K,0)),""),IF(F32="Trap",IFERROR(INDEX('Shooter-Squad Assignment'!$A:$A,MATCH(C32&amp;"-"&amp;E32&amp;"-"&amp;F32&amp;"-Pos4",'Shooter-Squad Assignment'!$W:$W,0)),""),IF(F32="Sporting Clays",IFERROR(INDEX('Shooter-Squad Assignment'!$A:$A,MATCH(C32&amp;"-"&amp;E32&amp;"-"&amp;F32&amp;"-Pos4",'Shooter-Squad Assignment'!$Z:$Z,0)),""),"")))</f>
        <v/>
      </c>
      <c r="N32" s="73" t="str">
        <f>IF(ISBLANK(M32),"",IFERROR(INDEX('Tournament List'!$D:$D,MATCH(M32,'Tournament List'!$A:$A,0)),""))</f>
        <v/>
      </c>
      <c r="O32" s="94" t="str">
        <f>IF(F32="Skeet",IFERROR(INDEX('Shooter-Squad Assignment'!$A:$A,MATCH(C32&amp;"-"&amp;E32&amp;"-"&amp;F32&amp;"-Pos5",'Shooter-Squad Assignment'!$K:$K,0)),""),IF(F32="Trap",IFERROR(INDEX('Shooter-Squad Assignment'!$A:$A,MATCH(C32&amp;"-"&amp;E32&amp;"-"&amp;F32&amp;"-Pos5",'Shooter-Squad Assignment'!$W:$W,0)),""),IF(F32="Sporting Clays",IFERROR(INDEX('Shooter-Squad Assignment'!$A:$A,MATCH(C32&amp;"-"&amp;E32&amp;"-"&amp;F32&amp;"-Pos5",'Shooter-Squad Assignment'!$Z:$Z,0)),""),"")))</f>
        <v/>
      </c>
      <c r="P32" s="79" t="str">
        <f>IF(ISBLANK(O32),"",IFERROR(INDEX('Tournament List'!$D:$D,MATCH(O32,'Tournament List'!$A:$A,0)),""))</f>
        <v/>
      </c>
    </row>
    <row r="33" spans="1:16" x14ac:dyDescent="0.3">
      <c r="A33" s="78">
        <v>32</v>
      </c>
      <c r="B33" s="73" t="str">
        <f>C33&amp;"-"&amp;E33&amp;"-"&amp;F33</f>
        <v>Brighton Clay Crushers-Open 1-Sporting Clays</v>
      </c>
      <c r="C33" s="73" t="s">
        <v>322</v>
      </c>
      <c r="D33" s="73" t="str">
        <f>INDEX('Tournament Setup'!$B$59:$B$78,MATCH(E33,SquadConcurrents,0))</f>
        <v>Open</v>
      </c>
      <c r="E33" s="73" t="s">
        <v>341</v>
      </c>
      <c r="F33" s="73" t="s">
        <v>148</v>
      </c>
      <c r="G33" s="94" t="str">
        <f>IF(F33="Skeet",IFERROR(INDEX('Shooter-Squad Assignment'!$A:$A,MATCH(C33&amp;"-"&amp;E33&amp;"-"&amp;F33&amp;"-Pos1",'Shooter-Squad Assignment'!$K:$K,0)),""),IF(F33="Trap",IFERROR(INDEX('Shooter-Squad Assignment'!$A:$A,MATCH(C33&amp;"-"&amp;E33&amp;"-"&amp;F33&amp;"-Pos1",'Shooter-Squad Assignment'!$W:$W,0)),""),IF(F33="Sporting Clays",IFERROR(INDEX('Shooter-Squad Assignment'!$A:$A,MATCH(C33&amp;"-"&amp;E33&amp;"-"&amp;F33&amp;"-Pos1",'Shooter-Squad Assignment'!$Z:$Z,0)),""),"")))</f>
        <v/>
      </c>
      <c r="H33" s="73" t="str">
        <f>IF(ISBLANK(G33),"",IFERROR(INDEX('Tournament List'!$D:$D,MATCH(G33,'Tournament List'!$A:$A,0)),""))</f>
        <v/>
      </c>
      <c r="I33" s="94" t="str">
        <f>IF(F33="Skeet",IFERROR(INDEX('Shooter-Squad Assignment'!$A:$A,MATCH(C33&amp;"-"&amp;E33&amp;"-"&amp;F33&amp;"-Pos2",'Shooter-Squad Assignment'!$K:$K,0)),""),IF(F33="Trap",IFERROR(INDEX('Shooter-Squad Assignment'!$A:$A,MATCH(C33&amp;"-"&amp;E33&amp;"-"&amp;F33&amp;"-Pos2",'Shooter-Squad Assignment'!$W:$W,0)),""),IF(F33="Sporting Clays",IFERROR(INDEX('Shooter-Squad Assignment'!$A:$A,MATCH(C33&amp;"-"&amp;E33&amp;"-"&amp;F33&amp;"-Pos2",'Shooter-Squad Assignment'!$Z:$Z,0)),""),"")))</f>
        <v/>
      </c>
      <c r="J33" s="73" t="str">
        <f>IF(ISBLANK(I33),"",IFERROR(INDEX('Tournament List'!$D:$D,MATCH(I33,'Tournament List'!$A:$A,0)),""))</f>
        <v/>
      </c>
      <c r="K33" s="94" t="str">
        <f>IF(F33="Skeet",IFERROR(INDEX('Shooter-Squad Assignment'!$A:$A,MATCH(C33&amp;"-"&amp;E33&amp;"-"&amp;F33&amp;"-Pos3",'Shooter-Squad Assignment'!$K:$K,0)),""),IF(F33="Trap",IFERROR(INDEX('Shooter-Squad Assignment'!$A:$A,MATCH(C33&amp;"-"&amp;E33&amp;"-"&amp;F33&amp;"-Pos3",'Shooter-Squad Assignment'!$W:$W,0)),""),IF(F33="Sporting Clays",IFERROR(INDEX('Shooter-Squad Assignment'!$A:$A,MATCH(C33&amp;"-"&amp;E33&amp;"-"&amp;F33&amp;"-Pos3",'Shooter-Squad Assignment'!$Z:$Z,0)),""),"")))</f>
        <v/>
      </c>
      <c r="L33" s="73" t="str">
        <f>IF(ISBLANK(K33),"",IFERROR(INDEX('Tournament List'!$D:$D,MATCH(K33,'Tournament List'!$A:$A,0)),""))</f>
        <v/>
      </c>
      <c r="M33" s="94" t="str">
        <f>IF(F33="Skeet",IFERROR(INDEX('Shooter-Squad Assignment'!$A:$A,MATCH(C33&amp;"-"&amp;E33&amp;"-"&amp;F33&amp;"-Pos4",'Shooter-Squad Assignment'!$K:$K,0)),""),IF(F33="Trap",IFERROR(INDEX('Shooter-Squad Assignment'!$A:$A,MATCH(C33&amp;"-"&amp;E33&amp;"-"&amp;F33&amp;"-Pos4",'Shooter-Squad Assignment'!$W:$W,0)),""),IF(F33="Sporting Clays",IFERROR(INDEX('Shooter-Squad Assignment'!$A:$A,MATCH(C33&amp;"-"&amp;E33&amp;"-"&amp;F33&amp;"-Pos4",'Shooter-Squad Assignment'!$Z:$Z,0)),""),"")))</f>
        <v/>
      </c>
      <c r="N33" s="73" t="str">
        <f>IF(ISBLANK(M33),"",IFERROR(INDEX('Tournament List'!$D:$D,MATCH(M33,'Tournament List'!$A:$A,0)),""))</f>
        <v/>
      </c>
      <c r="O33" s="94" t="str">
        <f>IF(F33="Skeet",IFERROR(INDEX('Shooter-Squad Assignment'!$A:$A,MATCH(C33&amp;"-"&amp;E33&amp;"-"&amp;F33&amp;"-Pos5",'Shooter-Squad Assignment'!$K:$K,0)),""),IF(F33="Trap",IFERROR(INDEX('Shooter-Squad Assignment'!$A:$A,MATCH(C33&amp;"-"&amp;E33&amp;"-"&amp;F33&amp;"-Pos5",'Shooter-Squad Assignment'!$W:$W,0)),""),IF(F33="Sporting Clays",IFERROR(INDEX('Shooter-Squad Assignment'!$A:$A,MATCH(C33&amp;"-"&amp;E33&amp;"-"&amp;F33&amp;"-Pos5",'Shooter-Squad Assignment'!$Z:$Z,0)),""),"")))</f>
        <v/>
      </c>
      <c r="P33" s="79" t="str">
        <f>IF(ISBLANK(O33),"",IFERROR(INDEX('Tournament List'!$D:$D,MATCH(O33,'Tournament List'!$A:$A,0)),""))</f>
        <v/>
      </c>
    </row>
    <row r="34" spans="1:16" x14ac:dyDescent="0.3">
      <c r="A34" s="78">
        <v>33</v>
      </c>
      <c r="B34" s="73" t="str">
        <f>C34&amp;"-"&amp;E34&amp;"-"&amp;F34</f>
        <v>Brighton Clay Crushers-Open 2-Sporting Clays</v>
      </c>
      <c r="C34" s="73" t="s">
        <v>322</v>
      </c>
      <c r="D34" s="73" t="str">
        <f>INDEX('Tournament Setup'!$B$59:$B$78,MATCH(E34,SquadConcurrents,0))</f>
        <v>Open</v>
      </c>
      <c r="E34" s="73" t="s">
        <v>347</v>
      </c>
      <c r="F34" s="73" t="s">
        <v>148</v>
      </c>
      <c r="G34" s="94" t="str">
        <f>IF(F34="Skeet",IFERROR(INDEX('Shooter-Squad Assignment'!$A:$A,MATCH(C34&amp;"-"&amp;E34&amp;"-"&amp;F34&amp;"-Pos1",'Shooter-Squad Assignment'!$K:$K,0)),""),IF(F34="Trap",IFERROR(INDEX('Shooter-Squad Assignment'!$A:$A,MATCH(C34&amp;"-"&amp;E34&amp;"-"&amp;F34&amp;"-Pos1",'Shooter-Squad Assignment'!$W:$W,0)),""),IF(F34="Sporting Clays",IFERROR(INDEX('Shooter-Squad Assignment'!$A:$A,MATCH(C34&amp;"-"&amp;E34&amp;"-"&amp;F34&amp;"-Pos1",'Shooter-Squad Assignment'!$Z:$Z,0)),""),"")))</f>
        <v/>
      </c>
      <c r="H34" s="73" t="str">
        <f>IF(ISBLANK(G34),"",IFERROR(INDEX('Tournament List'!$D:$D,MATCH(G34,'Tournament List'!$A:$A,0)),""))</f>
        <v/>
      </c>
      <c r="I34" s="94" t="str">
        <f>IF(F34="Skeet",IFERROR(INDEX('Shooter-Squad Assignment'!$A:$A,MATCH(C34&amp;"-"&amp;E34&amp;"-"&amp;F34&amp;"-Pos2",'Shooter-Squad Assignment'!$K:$K,0)),""),IF(F34="Trap",IFERROR(INDEX('Shooter-Squad Assignment'!$A:$A,MATCH(C34&amp;"-"&amp;E34&amp;"-"&amp;F34&amp;"-Pos2",'Shooter-Squad Assignment'!$W:$W,0)),""),IF(F34="Sporting Clays",IFERROR(INDEX('Shooter-Squad Assignment'!$A:$A,MATCH(C34&amp;"-"&amp;E34&amp;"-"&amp;F34&amp;"-Pos2",'Shooter-Squad Assignment'!$Z:$Z,0)),""),"")))</f>
        <v/>
      </c>
      <c r="J34" s="73" t="str">
        <f>IF(ISBLANK(I34),"",IFERROR(INDEX('Tournament List'!$D:$D,MATCH(I34,'Tournament List'!$A:$A,0)),""))</f>
        <v/>
      </c>
      <c r="K34" s="94" t="str">
        <f>IF(F34="Skeet",IFERROR(INDEX('Shooter-Squad Assignment'!$A:$A,MATCH(C34&amp;"-"&amp;E34&amp;"-"&amp;F34&amp;"-Pos3",'Shooter-Squad Assignment'!$K:$K,0)),""),IF(F34="Trap",IFERROR(INDEX('Shooter-Squad Assignment'!$A:$A,MATCH(C34&amp;"-"&amp;E34&amp;"-"&amp;F34&amp;"-Pos3",'Shooter-Squad Assignment'!$W:$W,0)),""),IF(F34="Sporting Clays",IFERROR(INDEX('Shooter-Squad Assignment'!$A:$A,MATCH(C34&amp;"-"&amp;E34&amp;"-"&amp;F34&amp;"-Pos3",'Shooter-Squad Assignment'!$Z:$Z,0)),""),"")))</f>
        <v/>
      </c>
      <c r="L34" s="73" t="str">
        <f>IF(ISBLANK(K34),"",IFERROR(INDEX('Tournament List'!$D:$D,MATCH(K34,'Tournament List'!$A:$A,0)),""))</f>
        <v/>
      </c>
      <c r="M34" s="94" t="str">
        <f>IF(F34="Skeet",IFERROR(INDEX('Shooter-Squad Assignment'!$A:$A,MATCH(C34&amp;"-"&amp;E34&amp;"-"&amp;F34&amp;"-Pos4",'Shooter-Squad Assignment'!$K:$K,0)),""),IF(F34="Trap",IFERROR(INDEX('Shooter-Squad Assignment'!$A:$A,MATCH(C34&amp;"-"&amp;E34&amp;"-"&amp;F34&amp;"-Pos4",'Shooter-Squad Assignment'!$W:$W,0)),""),IF(F34="Sporting Clays",IFERROR(INDEX('Shooter-Squad Assignment'!$A:$A,MATCH(C34&amp;"-"&amp;E34&amp;"-"&amp;F34&amp;"-Pos4",'Shooter-Squad Assignment'!$Z:$Z,0)),""),"")))</f>
        <v/>
      </c>
      <c r="N34" s="73" t="str">
        <f>IF(ISBLANK(M34),"",IFERROR(INDEX('Tournament List'!$D:$D,MATCH(M34,'Tournament List'!$A:$A,0)),""))</f>
        <v/>
      </c>
      <c r="O34" s="94" t="str">
        <f>IF(F34="Skeet",IFERROR(INDEX('Shooter-Squad Assignment'!$A:$A,MATCH(C34&amp;"-"&amp;E34&amp;"-"&amp;F34&amp;"-Pos5",'Shooter-Squad Assignment'!$K:$K,0)),""),IF(F34="Trap",IFERROR(INDEX('Shooter-Squad Assignment'!$A:$A,MATCH(C34&amp;"-"&amp;E34&amp;"-"&amp;F34&amp;"-Pos5",'Shooter-Squad Assignment'!$W:$W,0)),""),IF(F34="Sporting Clays",IFERROR(INDEX('Shooter-Squad Assignment'!$A:$A,MATCH(C34&amp;"-"&amp;E34&amp;"-"&amp;F34&amp;"-Pos5",'Shooter-Squad Assignment'!$Z:$Z,0)),""),"")))</f>
        <v/>
      </c>
      <c r="P34" s="79" t="str">
        <f>IF(ISBLANK(O34),"",IFERROR(INDEX('Tournament List'!$D:$D,MATCH(O34,'Tournament List'!$A:$A,0)),""))</f>
        <v/>
      </c>
    </row>
    <row r="35" spans="1:16" x14ac:dyDescent="0.3">
      <c r="A35" s="78">
        <v>34</v>
      </c>
      <c r="B35" s="73" t="str">
        <f>C35&amp;"-"&amp;E35&amp;"-"&amp;F35</f>
        <v>Brighton Clay Crushers-Open 3-Sporting Clays</v>
      </c>
      <c r="C35" s="73" t="s">
        <v>322</v>
      </c>
      <c r="D35" s="73" t="str">
        <f>INDEX('Tournament Setup'!$B$59:$B$78,MATCH(E35,SquadConcurrents,0))</f>
        <v>Open</v>
      </c>
      <c r="E35" s="73" t="s">
        <v>353</v>
      </c>
      <c r="F35" s="73" t="s">
        <v>148</v>
      </c>
      <c r="G35" s="94" t="str">
        <f>IF(F35="Skeet",IFERROR(INDEX('Shooter-Squad Assignment'!$A:$A,MATCH(C35&amp;"-"&amp;E35&amp;"-"&amp;F35&amp;"-Pos1",'Shooter-Squad Assignment'!$K:$K,0)),""),IF(F35="Trap",IFERROR(INDEX('Shooter-Squad Assignment'!$A:$A,MATCH(C35&amp;"-"&amp;E35&amp;"-"&amp;F35&amp;"-Pos1",'Shooter-Squad Assignment'!$W:$W,0)),""),IF(F35="Sporting Clays",IFERROR(INDEX('Shooter-Squad Assignment'!$A:$A,MATCH(C35&amp;"-"&amp;E35&amp;"-"&amp;F35&amp;"-Pos1",'Shooter-Squad Assignment'!$Z:$Z,0)),""),"")))</f>
        <v/>
      </c>
      <c r="H35" s="73" t="str">
        <f>IF(ISBLANK(G35),"",IFERROR(INDEX('Tournament List'!$D:$D,MATCH(G35,'Tournament List'!$A:$A,0)),""))</f>
        <v/>
      </c>
      <c r="I35" s="94" t="str">
        <f>IF(F35="Skeet",IFERROR(INDEX('Shooter-Squad Assignment'!$A:$A,MATCH(C35&amp;"-"&amp;E35&amp;"-"&amp;F35&amp;"-Pos2",'Shooter-Squad Assignment'!$K:$K,0)),""),IF(F35="Trap",IFERROR(INDEX('Shooter-Squad Assignment'!$A:$A,MATCH(C35&amp;"-"&amp;E35&amp;"-"&amp;F35&amp;"-Pos2",'Shooter-Squad Assignment'!$W:$W,0)),""),IF(F35="Sporting Clays",IFERROR(INDEX('Shooter-Squad Assignment'!$A:$A,MATCH(C35&amp;"-"&amp;E35&amp;"-"&amp;F35&amp;"-Pos2",'Shooter-Squad Assignment'!$Z:$Z,0)),""),"")))</f>
        <v/>
      </c>
      <c r="J35" s="73" t="str">
        <f>IF(ISBLANK(I35),"",IFERROR(INDEX('Tournament List'!$D:$D,MATCH(I35,'Tournament List'!$A:$A,0)),""))</f>
        <v/>
      </c>
      <c r="K35" s="94" t="str">
        <f>IF(F35="Skeet",IFERROR(INDEX('Shooter-Squad Assignment'!$A:$A,MATCH(C35&amp;"-"&amp;E35&amp;"-"&amp;F35&amp;"-Pos3",'Shooter-Squad Assignment'!$K:$K,0)),""),IF(F35="Trap",IFERROR(INDEX('Shooter-Squad Assignment'!$A:$A,MATCH(C35&amp;"-"&amp;E35&amp;"-"&amp;F35&amp;"-Pos3",'Shooter-Squad Assignment'!$W:$W,0)),""),IF(F35="Sporting Clays",IFERROR(INDEX('Shooter-Squad Assignment'!$A:$A,MATCH(C35&amp;"-"&amp;E35&amp;"-"&amp;F35&amp;"-Pos3",'Shooter-Squad Assignment'!$Z:$Z,0)),""),"")))</f>
        <v/>
      </c>
      <c r="L35" s="73" t="str">
        <f>IF(ISBLANK(K35),"",IFERROR(INDEX('Tournament List'!$D:$D,MATCH(K35,'Tournament List'!$A:$A,0)),""))</f>
        <v/>
      </c>
      <c r="M35" s="94" t="str">
        <f>IF(F35="Skeet",IFERROR(INDEX('Shooter-Squad Assignment'!$A:$A,MATCH(C35&amp;"-"&amp;E35&amp;"-"&amp;F35&amp;"-Pos4",'Shooter-Squad Assignment'!$K:$K,0)),""),IF(F35="Trap",IFERROR(INDEX('Shooter-Squad Assignment'!$A:$A,MATCH(C35&amp;"-"&amp;E35&amp;"-"&amp;F35&amp;"-Pos4",'Shooter-Squad Assignment'!$W:$W,0)),""),IF(F35="Sporting Clays",IFERROR(INDEX('Shooter-Squad Assignment'!$A:$A,MATCH(C35&amp;"-"&amp;E35&amp;"-"&amp;F35&amp;"-Pos4",'Shooter-Squad Assignment'!$Z:$Z,0)),""),"")))</f>
        <v/>
      </c>
      <c r="N35" s="73" t="str">
        <f>IF(ISBLANK(M35),"",IFERROR(INDEX('Tournament List'!$D:$D,MATCH(M35,'Tournament List'!$A:$A,0)),""))</f>
        <v/>
      </c>
      <c r="O35" s="94" t="str">
        <f>IF(F35="Skeet",IFERROR(INDEX('Shooter-Squad Assignment'!$A:$A,MATCH(C35&amp;"-"&amp;E35&amp;"-"&amp;F35&amp;"-Pos5",'Shooter-Squad Assignment'!$K:$K,0)),""),IF(F35="Trap",IFERROR(INDEX('Shooter-Squad Assignment'!$A:$A,MATCH(C35&amp;"-"&amp;E35&amp;"-"&amp;F35&amp;"-Pos5",'Shooter-Squad Assignment'!$W:$W,0)),""),IF(F35="Sporting Clays",IFERROR(INDEX('Shooter-Squad Assignment'!$A:$A,MATCH(C35&amp;"-"&amp;E35&amp;"-"&amp;F35&amp;"-Pos5",'Shooter-Squad Assignment'!$Z:$Z,0)),""),"")))</f>
        <v/>
      </c>
      <c r="P35" s="79" t="str">
        <f>IF(ISBLANK(O35),"",IFERROR(INDEX('Tournament List'!$D:$D,MATCH(O35,'Tournament List'!$A:$A,0)),""))</f>
        <v/>
      </c>
    </row>
    <row r="36" spans="1:16" x14ac:dyDescent="0.3">
      <c r="A36" s="78">
        <v>35</v>
      </c>
      <c r="B36" s="73" t="str">
        <f>C36&amp;"-"&amp;E36&amp;"-"&amp;F36</f>
        <v>Brighton Clay Crushers-Unassigned 1-Sporting Clays</v>
      </c>
      <c r="C36" s="73" t="s">
        <v>322</v>
      </c>
      <c r="D36" s="73" t="str">
        <f>INDEX('Tournament Setup'!$B$59:$B$78,MATCH(E36,SquadConcurrents,0))</f>
        <v>Unassigned</v>
      </c>
      <c r="E36" s="73" t="s">
        <v>762</v>
      </c>
      <c r="F36" s="73" t="s">
        <v>148</v>
      </c>
      <c r="G36" s="94" t="str">
        <f>IF(F36="Skeet",IFERROR(INDEX('Shooter-Squad Assignment'!$A:$A,MATCH(C36&amp;"-"&amp;E36&amp;"-"&amp;F36&amp;"-Pos1",'Shooter-Squad Assignment'!$K:$K,0)),""),IF(F36="Trap",IFERROR(INDEX('Shooter-Squad Assignment'!$A:$A,MATCH(C36&amp;"-"&amp;E36&amp;"-"&amp;F36&amp;"-Pos1",'Shooter-Squad Assignment'!$W:$W,0)),""),IF(F36="Sporting Clays",IFERROR(INDEX('Shooter-Squad Assignment'!$A:$A,MATCH(C36&amp;"-"&amp;E36&amp;"-"&amp;F36&amp;"-Pos1",'Shooter-Squad Assignment'!$Z:$Z,0)),""),"")))</f>
        <v/>
      </c>
      <c r="H36" s="73" t="str">
        <f>IF(ISBLANK(G36),"",IFERROR(INDEX('Tournament List'!$D:$D,MATCH(G36,'Tournament List'!$A:$A,0)),""))</f>
        <v/>
      </c>
      <c r="I36" s="94" t="str">
        <f>IF(F36="Skeet",IFERROR(INDEX('Shooter-Squad Assignment'!$A:$A,MATCH(C36&amp;"-"&amp;E36&amp;"-"&amp;F36&amp;"-Pos2",'Shooter-Squad Assignment'!$K:$K,0)),""),IF(F36="Trap",IFERROR(INDEX('Shooter-Squad Assignment'!$A:$A,MATCH(C36&amp;"-"&amp;E36&amp;"-"&amp;F36&amp;"-Pos2",'Shooter-Squad Assignment'!$W:$W,0)),""),IF(F36="Sporting Clays",IFERROR(INDEX('Shooter-Squad Assignment'!$A:$A,MATCH(C36&amp;"-"&amp;E36&amp;"-"&amp;F36&amp;"-Pos2",'Shooter-Squad Assignment'!$Z:$Z,0)),""),"")))</f>
        <v/>
      </c>
      <c r="J36" s="73" t="str">
        <f>IF(ISBLANK(I36),"",IFERROR(INDEX('Tournament List'!$D:$D,MATCH(I36,'Tournament List'!$A:$A,0)),""))</f>
        <v/>
      </c>
      <c r="K36" s="94" t="str">
        <f>IF(F36="Skeet",IFERROR(INDEX('Shooter-Squad Assignment'!$A:$A,MATCH(C36&amp;"-"&amp;E36&amp;"-"&amp;F36&amp;"-Pos3",'Shooter-Squad Assignment'!$K:$K,0)),""),IF(F36="Trap",IFERROR(INDEX('Shooter-Squad Assignment'!$A:$A,MATCH(C36&amp;"-"&amp;E36&amp;"-"&amp;F36&amp;"-Pos3",'Shooter-Squad Assignment'!$W:$W,0)),""),IF(F36="Sporting Clays",IFERROR(INDEX('Shooter-Squad Assignment'!$A:$A,MATCH(C36&amp;"-"&amp;E36&amp;"-"&amp;F36&amp;"-Pos3",'Shooter-Squad Assignment'!$Z:$Z,0)),""),"")))</f>
        <v/>
      </c>
      <c r="L36" s="73" t="str">
        <f>IF(ISBLANK(K36),"",IFERROR(INDEX('Tournament List'!$D:$D,MATCH(K36,'Tournament List'!$A:$A,0)),""))</f>
        <v/>
      </c>
      <c r="M36" s="94" t="str">
        <f>IF(F36="Skeet",IFERROR(INDEX('Shooter-Squad Assignment'!$A:$A,MATCH(C36&amp;"-"&amp;E36&amp;"-"&amp;F36&amp;"-Pos4",'Shooter-Squad Assignment'!$K:$K,0)),""),IF(F36="Trap",IFERROR(INDEX('Shooter-Squad Assignment'!$A:$A,MATCH(C36&amp;"-"&amp;E36&amp;"-"&amp;F36&amp;"-Pos4",'Shooter-Squad Assignment'!$W:$W,0)),""),IF(F36="Sporting Clays",IFERROR(INDEX('Shooter-Squad Assignment'!$A:$A,MATCH(C36&amp;"-"&amp;E36&amp;"-"&amp;F36&amp;"-Pos4",'Shooter-Squad Assignment'!$Z:$Z,0)),""),"")))</f>
        <v/>
      </c>
      <c r="N36" s="73" t="str">
        <f>IF(ISBLANK(M36),"",IFERROR(INDEX('Tournament List'!$D:$D,MATCH(M36,'Tournament List'!$A:$A,0)),""))</f>
        <v/>
      </c>
      <c r="O36" s="94" t="str">
        <f>IF(F36="Skeet",IFERROR(INDEX('Shooter-Squad Assignment'!$A:$A,MATCH(C36&amp;"-"&amp;E36&amp;"-"&amp;F36&amp;"-Pos5",'Shooter-Squad Assignment'!$K:$K,0)),""),IF(F36="Trap",IFERROR(INDEX('Shooter-Squad Assignment'!$A:$A,MATCH(C36&amp;"-"&amp;E36&amp;"-"&amp;F36&amp;"-Pos5",'Shooter-Squad Assignment'!$W:$W,0)),""),IF(F36="Sporting Clays",IFERROR(INDEX('Shooter-Squad Assignment'!$A:$A,MATCH(C36&amp;"-"&amp;E36&amp;"-"&amp;F36&amp;"-Pos5",'Shooter-Squad Assignment'!$Z:$Z,0)),""),"")))</f>
        <v/>
      </c>
      <c r="P36" s="79" t="str">
        <f>IF(ISBLANK(O36),"",IFERROR(INDEX('Tournament List'!$D:$D,MATCH(O36,'Tournament List'!$A:$A,0)),""))</f>
        <v/>
      </c>
    </row>
    <row r="37" spans="1:16" x14ac:dyDescent="0.3">
      <c r="A37" s="78">
        <v>36</v>
      </c>
      <c r="B37" s="73" t="str">
        <f>C37&amp;"-"&amp;E37&amp;"-"&amp;F37</f>
        <v>Brighton Clay Crushers-Varsity 1-Sporting Clays</v>
      </c>
      <c r="C37" s="73" t="s">
        <v>322</v>
      </c>
      <c r="D37" s="73" t="str">
        <f>INDEX('Tournament Setup'!$B$59:$B$78,MATCH(E37,SquadConcurrents,0))</f>
        <v>Varsity</v>
      </c>
      <c r="E37" s="73" t="s">
        <v>340</v>
      </c>
      <c r="F37" s="73" t="s">
        <v>148</v>
      </c>
      <c r="G37" s="94" t="str">
        <f>IF(F37="Skeet",IFERROR(INDEX('Shooter-Squad Assignment'!$A:$A,MATCH(C37&amp;"-"&amp;E37&amp;"-"&amp;F37&amp;"-Pos1",'Shooter-Squad Assignment'!$K:$K,0)),""),IF(F37="Trap",IFERROR(INDEX('Shooter-Squad Assignment'!$A:$A,MATCH(C37&amp;"-"&amp;E37&amp;"-"&amp;F37&amp;"-Pos1",'Shooter-Squad Assignment'!$W:$W,0)),""),IF(F37="Sporting Clays",IFERROR(INDEX('Shooter-Squad Assignment'!$A:$A,MATCH(C37&amp;"-"&amp;E37&amp;"-"&amp;F37&amp;"-Pos1",'Shooter-Squad Assignment'!$Z:$Z,0)),""),"")))</f>
        <v/>
      </c>
      <c r="H37" s="73" t="str">
        <f>IF(ISBLANK(G37),"",IFERROR(INDEX('Tournament List'!$D:$D,MATCH(G37,'Tournament List'!$A:$A,0)),""))</f>
        <v/>
      </c>
      <c r="I37" s="94" t="str">
        <f>IF(F37="Skeet",IFERROR(INDEX('Shooter-Squad Assignment'!$A:$A,MATCH(C37&amp;"-"&amp;E37&amp;"-"&amp;F37&amp;"-Pos2",'Shooter-Squad Assignment'!$K:$K,0)),""),IF(F37="Trap",IFERROR(INDEX('Shooter-Squad Assignment'!$A:$A,MATCH(C37&amp;"-"&amp;E37&amp;"-"&amp;F37&amp;"-Pos2",'Shooter-Squad Assignment'!$W:$W,0)),""),IF(F37="Sporting Clays",IFERROR(INDEX('Shooter-Squad Assignment'!$A:$A,MATCH(C37&amp;"-"&amp;E37&amp;"-"&amp;F37&amp;"-Pos2",'Shooter-Squad Assignment'!$Z:$Z,0)),""),"")))</f>
        <v/>
      </c>
      <c r="J37" s="73" t="str">
        <f>IF(ISBLANK(I37),"",IFERROR(INDEX('Tournament List'!$D:$D,MATCH(I37,'Tournament List'!$A:$A,0)),""))</f>
        <v/>
      </c>
      <c r="K37" s="94" t="str">
        <f>IF(F37="Skeet",IFERROR(INDEX('Shooter-Squad Assignment'!$A:$A,MATCH(C37&amp;"-"&amp;E37&amp;"-"&amp;F37&amp;"-Pos3",'Shooter-Squad Assignment'!$K:$K,0)),""),IF(F37="Trap",IFERROR(INDEX('Shooter-Squad Assignment'!$A:$A,MATCH(C37&amp;"-"&amp;E37&amp;"-"&amp;F37&amp;"-Pos3",'Shooter-Squad Assignment'!$W:$W,0)),""),IF(F37="Sporting Clays",IFERROR(INDEX('Shooter-Squad Assignment'!$A:$A,MATCH(C37&amp;"-"&amp;E37&amp;"-"&amp;F37&amp;"-Pos3",'Shooter-Squad Assignment'!$Z:$Z,0)),""),"")))</f>
        <v/>
      </c>
      <c r="L37" s="73" t="str">
        <f>IF(ISBLANK(K37),"",IFERROR(INDEX('Tournament List'!$D:$D,MATCH(K37,'Tournament List'!$A:$A,0)),""))</f>
        <v/>
      </c>
      <c r="M37" s="94" t="str">
        <f>IF(F37="Skeet",IFERROR(INDEX('Shooter-Squad Assignment'!$A:$A,MATCH(C37&amp;"-"&amp;E37&amp;"-"&amp;F37&amp;"-Pos4",'Shooter-Squad Assignment'!$K:$K,0)),""),IF(F37="Trap",IFERROR(INDEX('Shooter-Squad Assignment'!$A:$A,MATCH(C37&amp;"-"&amp;E37&amp;"-"&amp;F37&amp;"-Pos4",'Shooter-Squad Assignment'!$W:$W,0)),""),IF(F37="Sporting Clays",IFERROR(INDEX('Shooter-Squad Assignment'!$A:$A,MATCH(C37&amp;"-"&amp;E37&amp;"-"&amp;F37&amp;"-Pos4",'Shooter-Squad Assignment'!$Z:$Z,0)),""),"")))</f>
        <v/>
      </c>
      <c r="N37" s="73" t="str">
        <f>IF(ISBLANK(M37),"",IFERROR(INDEX('Tournament List'!$D:$D,MATCH(M37,'Tournament List'!$A:$A,0)),""))</f>
        <v/>
      </c>
      <c r="O37" s="94" t="str">
        <f>IF(F37="Skeet",IFERROR(INDEX('Shooter-Squad Assignment'!$A:$A,MATCH(C37&amp;"-"&amp;E37&amp;"-"&amp;F37&amp;"-Pos5",'Shooter-Squad Assignment'!$K:$K,0)),""),IF(F37="Trap",IFERROR(INDEX('Shooter-Squad Assignment'!$A:$A,MATCH(C37&amp;"-"&amp;E37&amp;"-"&amp;F37&amp;"-Pos5",'Shooter-Squad Assignment'!$W:$W,0)),""),IF(F37="Sporting Clays",IFERROR(INDEX('Shooter-Squad Assignment'!$A:$A,MATCH(C37&amp;"-"&amp;E37&amp;"-"&amp;F37&amp;"-Pos5",'Shooter-Squad Assignment'!$Z:$Z,0)),""),"")))</f>
        <v/>
      </c>
      <c r="P37" s="79" t="str">
        <f>IF(ISBLANK(O37),"",IFERROR(INDEX('Tournament List'!$D:$D,MATCH(O37,'Tournament List'!$A:$A,0)),""))</f>
        <v/>
      </c>
    </row>
    <row r="38" spans="1:16" x14ac:dyDescent="0.3">
      <c r="A38" s="78">
        <v>37</v>
      </c>
      <c r="B38" s="73" t="str">
        <f>C38&amp;"-"&amp;E38&amp;"-"&amp;F38</f>
        <v>Brighton Clay Crushers-Varsity 2-Sporting Clays</v>
      </c>
      <c r="C38" s="73" t="s">
        <v>322</v>
      </c>
      <c r="D38" s="73" t="str">
        <f>INDEX('Tournament Setup'!$B$59:$B$78,MATCH(E38,SquadConcurrents,0))</f>
        <v>Varsity</v>
      </c>
      <c r="E38" s="73" t="s">
        <v>346</v>
      </c>
      <c r="F38" s="73" t="s">
        <v>148</v>
      </c>
      <c r="G38" s="94" t="str">
        <f>IF(F38="Skeet",IFERROR(INDEX('Shooter-Squad Assignment'!$A:$A,MATCH(C38&amp;"-"&amp;E38&amp;"-"&amp;F38&amp;"-Pos1",'Shooter-Squad Assignment'!$K:$K,0)),""),IF(F38="Trap",IFERROR(INDEX('Shooter-Squad Assignment'!$A:$A,MATCH(C38&amp;"-"&amp;E38&amp;"-"&amp;F38&amp;"-Pos1",'Shooter-Squad Assignment'!$W:$W,0)),""),IF(F38="Sporting Clays",IFERROR(INDEX('Shooter-Squad Assignment'!$A:$A,MATCH(C38&amp;"-"&amp;E38&amp;"-"&amp;F38&amp;"-Pos1",'Shooter-Squad Assignment'!$Z:$Z,0)),""),"")))</f>
        <v/>
      </c>
      <c r="H38" s="73" t="str">
        <f>IF(ISBLANK(G38),"",IFERROR(INDEX('Tournament List'!$D:$D,MATCH(G38,'Tournament List'!$A:$A,0)),""))</f>
        <v/>
      </c>
      <c r="I38" s="94" t="str">
        <f>IF(F38="Skeet",IFERROR(INDEX('Shooter-Squad Assignment'!$A:$A,MATCH(C38&amp;"-"&amp;E38&amp;"-"&amp;F38&amp;"-Pos2",'Shooter-Squad Assignment'!$K:$K,0)),""),IF(F38="Trap",IFERROR(INDEX('Shooter-Squad Assignment'!$A:$A,MATCH(C38&amp;"-"&amp;E38&amp;"-"&amp;F38&amp;"-Pos2",'Shooter-Squad Assignment'!$W:$W,0)),""),IF(F38="Sporting Clays",IFERROR(INDEX('Shooter-Squad Assignment'!$A:$A,MATCH(C38&amp;"-"&amp;E38&amp;"-"&amp;F38&amp;"-Pos2",'Shooter-Squad Assignment'!$Z:$Z,0)),""),"")))</f>
        <v/>
      </c>
      <c r="J38" s="73" t="str">
        <f>IF(ISBLANK(I38),"",IFERROR(INDEX('Tournament List'!$D:$D,MATCH(I38,'Tournament List'!$A:$A,0)),""))</f>
        <v/>
      </c>
      <c r="K38" s="94" t="str">
        <f>IF(F38="Skeet",IFERROR(INDEX('Shooter-Squad Assignment'!$A:$A,MATCH(C38&amp;"-"&amp;E38&amp;"-"&amp;F38&amp;"-Pos3",'Shooter-Squad Assignment'!$K:$K,0)),""),IF(F38="Trap",IFERROR(INDEX('Shooter-Squad Assignment'!$A:$A,MATCH(C38&amp;"-"&amp;E38&amp;"-"&amp;F38&amp;"-Pos3",'Shooter-Squad Assignment'!$W:$W,0)),""),IF(F38="Sporting Clays",IFERROR(INDEX('Shooter-Squad Assignment'!$A:$A,MATCH(C38&amp;"-"&amp;E38&amp;"-"&amp;F38&amp;"-Pos3",'Shooter-Squad Assignment'!$Z:$Z,0)),""),"")))</f>
        <v/>
      </c>
      <c r="L38" s="73" t="str">
        <f>IF(ISBLANK(K38),"",IFERROR(INDEX('Tournament List'!$D:$D,MATCH(K38,'Tournament List'!$A:$A,0)),""))</f>
        <v/>
      </c>
      <c r="M38" s="94" t="str">
        <f>IF(F38="Skeet",IFERROR(INDEX('Shooter-Squad Assignment'!$A:$A,MATCH(C38&amp;"-"&amp;E38&amp;"-"&amp;F38&amp;"-Pos4",'Shooter-Squad Assignment'!$K:$K,0)),""),IF(F38="Trap",IFERROR(INDEX('Shooter-Squad Assignment'!$A:$A,MATCH(C38&amp;"-"&amp;E38&amp;"-"&amp;F38&amp;"-Pos4",'Shooter-Squad Assignment'!$W:$W,0)),""),IF(F38="Sporting Clays",IFERROR(INDEX('Shooter-Squad Assignment'!$A:$A,MATCH(C38&amp;"-"&amp;E38&amp;"-"&amp;F38&amp;"-Pos4",'Shooter-Squad Assignment'!$Z:$Z,0)),""),"")))</f>
        <v/>
      </c>
      <c r="N38" s="73" t="str">
        <f>IF(ISBLANK(M38),"",IFERROR(INDEX('Tournament List'!$D:$D,MATCH(M38,'Tournament List'!$A:$A,0)),""))</f>
        <v/>
      </c>
      <c r="O38" s="94" t="str">
        <f>IF(F38="Skeet",IFERROR(INDEX('Shooter-Squad Assignment'!$A:$A,MATCH(C38&amp;"-"&amp;E38&amp;"-"&amp;F38&amp;"-Pos5",'Shooter-Squad Assignment'!$K:$K,0)),""),IF(F38="Trap",IFERROR(INDEX('Shooter-Squad Assignment'!$A:$A,MATCH(C38&amp;"-"&amp;E38&amp;"-"&amp;F38&amp;"-Pos5",'Shooter-Squad Assignment'!$W:$W,0)),""),IF(F38="Sporting Clays",IFERROR(INDEX('Shooter-Squad Assignment'!$A:$A,MATCH(C38&amp;"-"&amp;E38&amp;"-"&amp;F38&amp;"-Pos5",'Shooter-Squad Assignment'!$Z:$Z,0)),""),"")))</f>
        <v/>
      </c>
      <c r="P38" s="79" t="str">
        <f>IF(ISBLANK(O38),"",IFERROR(INDEX('Tournament List'!$D:$D,MATCH(O38,'Tournament List'!$A:$A,0)),""))</f>
        <v/>
      </c>
    </row>
    <row r="39" spans="1:16" x14ac:dyDescent="0.3">
      <c r="A39" s="78">
        <v>38</v>
      </c>
      <c r="B39" s="73" t="str">
        <f>C39&amp;"-"&amp;E39&amp;"-"&amp;F39</f>
        <v>Brighton Clay Crushers-Varsity 3-Sporting Clays</v>
      </c>
      <c r="C39" s="73" t="s">
        <v>322</v>
      </c>
      <c r="D39" s="73" t="str">
        <f>INDEX('Tournament Setup'!$B$59:$B$78,MATCH(E39,SquadConcurrents,0))</f>
        <v>Varsity</v>
      </c>
      <c r="E39" s="73" t="s">
        <v>352</v>
      </c>
      <c r="F39" s="73" t="s">
        <v>148</v>
      </c>
      <c r="G39" s="94" t="str">
        <f>IF(F39="Skeet",IFERROR(INDEX('Shooter-Squad Assignment'!$A:$A,MATCH(C39&amp;"-"&amp;E39&amp;"-"&amp;F39&amp;"-Pos1",'Shooter-Squad Assignment'!$K:$K,0)),""),IF(F39="Trap",IFERROR(INDEX('Shooter-Squad Assignment'!$A:$A,MATCH(C39&amp;"-"&amp;E39&amp;"-"&amp;F39&amp;"-Pos1",'Shooter-Squad Assignment'!$W:$W,0)),""),IF(F39="Sporting Clays",IFERROR(INDEX('Shooter-Squad Assignment'!$A:$A,MATCH(C39&amp;"-"&amp;E39&amp;"-"&amp;F39&amp;"-Pos1",'Shooter-Squad Assignment'!$Z:$Z,0)),""),"")))</f>
        <v/>
      </c>
      <c r="H39" s="73" t="str">
        <f>IF(ISBLANK(G39),"",IFERROR(INDEX('Tournament List'!$D:$D,MATCH(G39,'Tournament List'!$A:$A,0)),""))</f>
        <v/>
      </c>
      <c r="I39" s="94" t="str">
        <f>IF(F39="Skeet",IFERROR(INDEX('Shooter-Squad Assignment'!$A:$A,MATCH(C39&amp;"-"&amp;E39&amp;"-"&amp;F39&amp;"-Pos2",'Shooter-Squad Assignment'!$K:$K,0)),""),IF(F39="Trap",IFERROR(INDEX('Shooter-Squad Assignment'!$A:$A,MATCH(C39&amp;"-"&amp;E39&amp;"-"&amp;F39&amp;"-Pos2",'Shooter-Squad Assignment'!$W:$W,0)),""),IF(F39="Sporting Clays",IFERROR(INDEX('Shooter-Squad Assignment'!$A:$A,MATCH(C39&amp;"-"&amp;E39&amp;"-"&amp;F39&amp;"-Pos2",'Shooter-Squad Assignment'!$Z:$Z,0)),""),"")))</f>
        <v/>
      </c>
      <c r="J39" s="73" t="str">
        <f>IF(ISBLANK(I39),"",IFERROR(INDEX('Tournament List'!$D:$D,MATCH(I39,'Tournament List'!$A:$A,0)),""))</f>
        <v/>
      </c>
      <c r="K39" s="94" t="str">
        <f>IF(F39="Skeet",IFERROR(INDEX('Shooter-Squad Assignment'!$A:$A,MATCH(C39&amp;"-"&amp;E39&amp;"-"&amp;F39&amp;"-Pos3",'Shooter-Squad Assignment'!$K:$K,0)),""),IF(F39="Trap",IFERROR(INDEX('Shooter-Squad Assignment'!$A:$A,MATCH(C39&amp;"-"&amp;E39&amp;"-"&amp;F39&amp;"-Pos3",'Shooter-Squad Assignment'!$W:$W,0)),""),IF(F39="Sporting Clays",IFERROR(INDEX('Shooter-Squad Assignment'!$A:$A,MATCH(C39&amp;"-"&amp;E39&amp;"-"&amp;F39&amp;"-Pos3",'Shooter-Squad Assignment'!$Z:$Z,0)),""),"")))</f>
        <v/>
      </c>
      <c r="L39" s="73" t="str">
        <f>IF(ISBLANK(K39),"",IFERROR(INDEX('Tournament List'!$D:$D,MATCH(K39,'Tournament List'!$A:$A,0)),""))</f>
        <v/>
      </c>
      <c r="M39" s="94" t="str">
        <f>IF(F39="Skeet",IFERROR(INDEX('Shooter-Squad Assignment'!$A:$A,MATCH(C39&amp;"-"&amp;E39&amp;"-"&amp;F39&amp;"-Pos4",'Shooter-Squad Assignment'!$K:$K,0)),""),IF(F39="Trap",IFERROR(INDEX('Shooter-Squad Assignment'!$A:$A,MATCH(C39&amp;"-"&amp;E39&amp;"-"&amp;F39&amp;"-Pos4",'Shooter-Squad Assignment'!$W:$W,0)),""),IF(F39="Sporting Clays",IFERROR(INDEX('Shooter-Squad Assignment'!$A:$A,MATCH(C39&amp;"-"&amp;E39&amp;"-"&amp;F39&amp;"-Pos4",'Shooter-Squad Assignment'!$Z:$Z,0)),""),"")))</f>
        <v/>
      </c>
      <c r="N39" s="73" t="str">
        <f>IF(ISBLANK(M39),"",IFERROR(INDEX('Tournament List'!$D:$D,MATCH(M39,'Tournament List'!$A:$A,0)),""))</f>
        <v/>
      </c>
      <c r="O39" s="94" t="str">
        <f>IF(F39="Skeet",IFERROR(INDEX('Shooter-Squad Assignment'!$A:$A,MATCH(C39&amp;"-"&amp;E39&amp;"-"&amp;F39&amp;"-Pos5",'Shooter-Squad Assignment'!$K:$K,0)),""),IF(F39="Trap",IFERROR(INDEX('Shooter-Squad Assignment'!$A:$A,MATCH(C39&amp;"-"&amp;E39&amp;"-"&amp;F39&amp;"-Pos5",'Shooter-Squad Assignment'!$W:$W,0)),""),IF(F39="Sporting Clays",IFERROR(INDEX('Shooter-Squad Assignment'!$A:$A,MATCH(C39&amp;"-"&amp;E39&amp;"-"&amp;F39&amp;"-Pos5",'Shooter-Squad Assignment'!$Z:$Z,0)),""),"")))</f>
        <v/>
      </c>
      <c r="P39" s="79" t="str">
        <f>IF(ISBLANK(O39),"",IFERROR(INDEX('Tournament List'!$D:$D,MATCH(O39,'Tournament List'!$A:$A,0)),""))</f>
        <v/>
      </c>
    </row>
    <row r="40" spans="1:16" x14ac:dyDescent="0.3">
      <c r="A40" s="78">
        <v>39</v>
      </c>
      <c r="B40" s="73" t="str">
        <f>C40&amp;"-"&amp;E40&amp;"-"&amp;F40</f>
        <v>Brighton Clay Crushers-Collegiate 1-Trap</v>
      </c>
      <c r="C40" s="73" t="s">
        <v>322</v>
      </c>
      <c r="D40" s="73" t="str">
        <f>INDEX('Tournament Setup'!$B$59:$B$78,MATCH(E40,SquadConcurrents,0))</f>
        <v>Collegiate</v>
      </c>
      <c r="E40" s="73" t="s">
        <v>342</v>
      </c>
      <c r="F40" s="73" t="s">
        <v>147</v>
      </c>
      <c r="G40" s="94" t="str">
        <f>IF(F40="Skeet",IFERROR(INDEX('Shooter-Squad Assignment'!$A:$A,MATCH(C40&amp;"-"&amp;E40&amp;"-"&amp;F40&amp;"-Pos1",'Shooter-Squad Assignment'!$K:$K,0)),""),IF(F40="Trap",IFERROR(INDEX('Shooter-Squad Assignment'!$A:$A,MATCH(C40&amp;"-"&amp;E40&amp;"-"&amp;F40&amp;"-Pos1",'Shooter-Squad Assignment'!$W:$W,0)),""),IF(F40="Sporting Clays",IFERROR(INDEX('Shooter-Squad Assignment'!$A:$A,MATCH(C40&amp;"-"&amp;E40&amp;"-"&amp;F40&amp;"-Pos1",'Shooter-Squad Assignment'!$Z:$Z,0)),""),"")))</f>
        <v/>
      </c>
      <c r="H40" s="73" t="str">
        <f>IF(ISBLANK(G40),"",IFERROR(INDEX('Tournament List'!$D:$D,MATCH(G40,'Tournament List'!$A:$A,0)),""))</f>
        <v/>
      </c>
      <c r="I40" s="94" t="str">
        <f>IF(F40="Skeet",IFERROR(INDEX('Shooter-Squad Assignment'!$A:$A,MATCH(C40&amp;"-"&amp;E40&amp;"-"&amp;F40&amp;"-Pos2",'Shooter-Squad Assignment'!$K:$K,0)),""),IF(F40="Trap",IFERROR(INDEX('Shooter-Squad Assignment'!$A:$A,MATCH(C40&amp;"-"&amp;E40&amp;"-"&amp;F40&amp;"-Pos2",'Shooter-Squad Assignment'!$W:$W,0)),""),IF(F40="Sporting Clays",IFERROR(INDEX('Shooter-Squad Assignment'!$A:$A,MATCH(C40&amp;"-"&amp;E40&amp;"-"&amp;F40&amp;"-Pos2",'Shooter-Squad Assignment'!$Z:$Z,0)),""),"")))</f>
        <v/>
      </c>
      <c r="J40" s="73" t="str">
        <f>IF(ISBLANK(I40),"",IFERROR(INDEX('Tournament List'!$D:$D,MATCH(I40,'Tournament List'!$A:$A,0)),""))</f>
        <v/>
      </c>
      <c r="K40" s="94" t="str">
        <f>IF(F40="Skeet",IFERROR(INDEX('Shooter-Squad Assignment'!$A:$A,MATCH(C40&amp;"-"&amp;E40&amp;"-"&amp;F40&amp;"-Pos3",'Shooter-Squad Assignment'!$K:$K,0)),""),IF(F40="Trap",IFERROR(INDEX('Shooter-Squad Assignment'!$A:$A,MATCH(C40&amp;"-"&amp;E40&amp;"-"&amp;F40&amp;"-Pos3",'Shooter-Squad Assignment'!$W:$W,0)),""),IF(F40="Sporting Clays",IFERROR(INDEX('Shooter-Squad Assignment'!$A:$A,MATCH(C40&amp;"-"&amp;E40&amp;"-"&amp;F40&amp;"-Pos3",'Shooter-Squad Assignment'!$Z:$Z,0)),""),"")))</f>
        <v/>
      </c>
      <c r="L40" s="73" t="str">
        <f>IF(ISBLANK(K40),"",IFERROR(INDEX('Tournament List'!$D:$D,MATCH(K40,'Tournament List'!$A:$A,0)),""))</f>
        <v/>
      </c>
      <c r="M40" s="94" t="str">
        <f>IF(F40="Skeet",IFERROR(INDEX('Shooter-Squad Assignment'!$A:$A,MATCH(C40&amp;"-"&amp;E40&amp;"-"&amp;F40&amp;"-Pos4",'Shooter-Squad Assignment'!$K:$K,0)),""),IF(F40="Trap",IFERROR(INDEX('Shooter-Squad Assignment'!$A:$A,MATCH(C40&amp;"-"&amp;E40&amp;"-"&amp;F40&amp;"-Pos4",'Shooter-Squad Assignment'!$W:$W,0)),""),IF(F40="Sporting Clays",IFERROR(INDEX('Shooter-Squad Assignment'!$A:$A,MATCH(C40&amp;"-"&amp;E40&amp;"-"&amp;F40&amp;"-Pos4",'Shooter-Squad Assignment'!$Z:$Z,0)),""),"")))</f>
        <v/>
      </c>
      <c r="N40" s="73" t="str">
        <f>IF(ISBLANK(M40),"",IFERROR(INDEX('Tournament List'!$D:$D,MATCH(M40,'Tournament List'!$A:$A,0)),""))</f>
        <v/>
      </c>
      <c r="O40" s="94" t="str">
        <f>IF(F40="Skeet",IFERROR(INDEX('Shooter-Squad Assignment'!$A:$A,MATCH(C40&amp;"-"&amp;E40&amp;"-"&amp;F40&amp;"-Pos5",'Shooter-Squad Assignment'!$K:$K,0)),""),IF(F40="Trap",IFERROR(INDEX('Shooter-Squad Assignment'!$A:$A,MATCH(C40&amp;"-"&amp;E40&amp;"-"&amp;F40&amp;"-Pos5",'Shooter-Squad Assignment'!$W:$W,0)),""),IF(F40="Sporting Clays",IFERROR(INDEX('Shooter-Squad Assignment'!$A:$A,MATCH(C40&amp;"-"&amp;E40&amp;"-"&amp;F40&amp;"-Pos5",'Shooter-Squad Assignment'!$Z:$Z,0)),""),"")))</f>
        <v/>
      </c>
      <c r="P40" s="79" t="str">
        <f>IF(ISBLANK(O40),"",IFERROR(INDEX('Tournament List'!$D:$D,MATCH(O40,'Tournament List'!$A:$A,0)),""))</f>
        <v/>
      </c>
    </row>
    <row r="41" spans="1:16" x14ac:dyDescent="0.3">
      <c r="A41" s="78">
        <v>40</v>
      </c>
      <c r="B41" s="73" t="str">
        <f>C41&amp;"-"&amp;E41&amp;"-"&amp;F41</f>
        <v>Brighton Clay Crushers-Collegiate 2-Trap</v>
      </c>
      <c r="C41" s="73" t="s">
        <v>322</v>
      </c>
      <c r="D41" s="73" t="str">
        <f>INDEX('Tournament Setup'!$B$59:$B$78,MATCH(E41,SquadConcurrents,0))</f>
        <v>Collegiate</v>
      </c>
      <c r="E41" s="73" t="s">
        <v>348</v>
      </c>
      <c r="F41" s="73" t="s">
        <v>147</v>
      </c>
      <c r="G41" s="94" t="str">
        <f>IF(F41="Skeet",IFERROR(INDEX('Shooter-Squad Assignment'!$A:$A,MATCH(C41&amp;"-"&amp;E41&amp;"-"&amp;F41&amp;"-Pos1",'Shooter-Squad Assignment'!$K:$K,0)),""),IF(F41="Trap",IFERROR(INDEX('Shooter-Squad Assignment'!$A:$A,MATCH(C41&amp;"-"&amp;E41&amp;"-"&amp;F41&amp;"-Pos1",'Shooter-Squad Assignment'!$W:$W,0)),""),IF(F41="Sporting Clays",IFERROR(INDEX('Shooter-Squad Assignment'!$A:$A,MATCH(C41&amp;"-"&amp;E41&amp;"-"&amp;F41&amp;"-Pos1",'Shooter-Squad Assignment'!$Z:$Z,0)),""),"")))</f>
        <v/>
      </c>
      <c r="H41" s="73" t="str">
        <f>IF(ISBLANK(G41),"",IFERROR(INDEX('Tournament List'!$D:$D,MATCH(G41,'Tournament List'!$A:$A,0)),""))</f>
        <v/>
      </c>
      <c r="I41" s="94" t="str">
        <f>IF(F41="Skeet",IFERROR(INDEX('Shooter-Squad Assignment'!$A:$A,MATCH(C41&amp;"-"&amp;E41&amp;"-"&amp;F41&amp;"-Pos2",'Shooter-Squad Assignment'!$K:$K,0)),""),IF(F41="Trap",IFERROR(INDEX('Shooter-Squad Assignment'!$A:$A,MATCH(C41&amp;"-"&amp;E41&amp;"-"&amp;F41&amp;"-Pos2",'Shooter-Squad Assignment'!$W:$W,0)),""),IF(F41="Sporting Clays",IFERROR(INDEX('Shooter-Squad Assignment'!$A:$A,MATCH(C41&amp;"-"&amp;E41&amp;"-"&amp;F41&amp;"-Pos2",'Shooter-Squad Assignment'!$Z:$Z,0)),""),"")))</f>
        <v/>
      </c>
      <c r="J41" s="73" t="str">
        <f>IF(ISBLANK(I41),"",IFERROR(INDEX('Tournament List'!$D:$D,MATCH(I41,'Tournament List'!$A:$A,0)),""))</f>
        <v/>
      </c>
      <c r="K41" s="94" t="str">
        <f>IF(F41="Skeet",IFERROR(INDEX('Shooter-Squad Assignment'!$A:$A,MATCH(C41&amp;"-"&amp;E41&amp;"-"&amp;F41&amp;"-Pos3",'Shooter-Squad Assignment'!$K:$K,0)),""),IF(F41="Trap",IFERROR(INDEX('Shooter-Squad Assignment'!$A:$A,MATCH(C41&amp;"-"&amp;E41&amp;"-"&amp;F41&amp;"-Pos3",'Shooter-Squad Assignment'!$W:$W,0)),""),IF(F41="Sporting Clays",IFERROR(INDEX('Shooter-Squad Assignment'!$A:$A,MATCH(C41&amp;"-"&amp;E41&amp;"-"&amp;F41&amp;"-Pos3",'Shooter-Squad Assignment'!$Z:$Z,0)),""),"")))</f>
        <v/>
      </c>
      <c r="L41" s="73" t="str">
        <f>IF(ISBLANK(K41),"",IFERROR(INDEX('Tournament List'!$D:$D,MATCH(K41,'Tournament List'!$A:$A,0)),""))</f>
        <v/>
      </c>
      <c r="M41" s="94" t="str">
        <f>IF(F41="Skeet",IFERROR(INDEX('Shooter-Squad Assignment'!$A:$A,MATCH(C41&amp;"-"&amp;E41&amp;"-"&amp;F41&amp;"-Pos4",'Shooter-Squad Assignment'!$K:$K,0)),""),IF(F41="Trap",IFERROR(INDEX('Shooter-Squad Assignment'!$A:$A,MATCH(C41&amp;"-"&amp;E41&amp;"-"&amp;F41&amp;"-Pos4",'Shooter-Squad Assignment'!$W:$W,0)),""),IF(F41="Sporting Clays",IFERROR(INDEX('Shooter-Squad Assignment'!$A:$A,MATCH(C41&amp;"-"&amp;E41&amp;"-"&amp;F41&amp;"-Pos4",'Shooter-Squad Assignment'!$Z:$Z,0)),""),"")))</f>
        <v/>
      </c>
      <c r="N41" s="73" t="str">
        <f>IF(ISBLANK(M41),"",IFERROR(INDEX('Tournament List'!$D:$D,MATCH(M41,'Tournament List'!$A:$A,0)),""))</f>
        <v/>
      </c>
      <c r="O41" s="94" t="str">
        <f>IF(F41="Skeet",IFERROR(INDEX('Shooter-Squad Assignment'!$A:$A,MATCH(C41&amp;"-"&amp;E41&amp;"-"&amp;F41&amp;"-Pos5",'Shooter-Squad Assignment'!$K:$K,0)),""),IF(F41="Trap",IFERROR(INDEX('Shooter-Squad Assignment'!$A:$A,MATCH(C41&amp;"-"&amp;E41&amp;"-"&amp;F41&amp;"-Pos5",'Shooter-Squad Assignment'!$W:$W,0)),""),IF(F41="Sporting Clays",IFERROR(INDEX('Shooter-Squad Assignment'!$A:$A,MATCH(C41&amp;"-"&amp;E41&amp;"-"&amp;F41&amp;"-Pos5",'Shooter-Squad Assignment'!$Z:$Z,0)),""),"")))</f>
        <v/>
      </c>
      <c r="P41" s="79" t="str">
        <f>IF(ISBLANK(O41),"",IFERROR(INDEX('Tournament List'!$D:$D,MATCH(O41,'Tournament List'!$A:$A,0)),""))</f>
        <v/>
      </c>
    </row>
    <row r="42" spans="1:16" x14ac:dyDescent="0.3">
      <c r="A42" s="78">
        <v>41</v>
      </c>
      <c r="B42" s="73" t="str">
        <f>C42&amp;"-"&amp;E42&amp;"-"&amp;F42</f>
        <v>Brighton Clay Crushers-Collegiate 3-Trap</v>
      </c>
      <c r="C42" s="73" t="s">
        <v>322</v>
      </c>
      <c r="D42" s="73" t="str">
        <f>INDEX('Tournament Setup'!$B$59:$B$78,MATCH(E42,SquadConcurrents,0))</f>
        <v>Collegiate</v>
      </c>
      <c r="E42" s="73" t="s">
        <v>354</v>
      </c>
      <c r="F42" s="73" t="s">
        <v>147</v>
      </c>
      <c r="G42" s="94" t="str">
        <f>IF(F42="Skeet",IFERROR(INDEX('Shooter-Squad Assignment'!$A:$A,MATCH(C42&amp;"-"&amp;E42&amp;"-"&amp;F42&amp;"-Pos1",'Shooter-Squad Assignment'!$K:$K,0)),""),IF(F42="Trap",IFERROR(INDEX('Shooter-Squad Assignment'!$A:$A,MATCH(C42&amp;"-"&amp;E42&amp;"-"&amp;F42&amp;"-Pos1",'Shooter-Squad Assignment'!$W:$W,0)),""),IF(F42="Sporting Clays",IFERROR(INDEX('Shooter-Squad Assignment'!$A:$A,MATCH(C42&amp;"-"&amp;E42&amp;"-"&amp;F42&amp;"-Pos1",'Shooter-Squad Assignment'!$Z:$Z,0)),""),"")))</f>
        <v/>
      </c>
      <c r="H42" s="73" t="str">
        <f>IF(ISBLANK(G42),"",IFERROR(INDEX('Tournament List'!$D:$D,MATCH(G42,'Tournament List'!$A:$A,0)),""))</f>
        <v/>
      </c>
      <c r="I42" s="94" t="str">
        <f>IF(F42="Skeet",IFERROR(INDEX('Shooter-Squad Assignment'!$A:$A,MATCH(C42&amp;"-"&amp;E42&amp;"-"&amp;F42&amp;"-Pos2",'Shooter-Squad Assignment'!$K:$K,0)),""),IF(F42="Trap",IFERROR(INDEX('Shooter-Squad Assignment'!$A:$A,MATCH(C42&amp;"-"&amp;E42&amp;"-"&amp;F42&amp;"-Pos2",'Shooter-Squad Assignment'!$W:$W,0)),""),IF(F42="Sporting Clays",IFERROR(INDEX('Shooter-Squad Assignment'!$A:$A,MATCH(C42&amp;"-"&amp;E42&amp;"-"&amp;F42&amp;"-Pos2",'Shooter-Squad Assignment'!$Z:$Z,0)),""),"")))</f>
        <v/>
      </c>
      <c r="J42" s="73" t="str">
        <f>IF(ISBLANK(I42),"",IFERROR(INDEX('Tournament List'!$D:$D,MATCH(I42,'Tournament List'!$A:$A,0)),""))</f>
        <v/>
      </c>
      <c r="K42" s="94" t="str">
        <f>IF(F42="Skeet",IFERROR(INDEX('Shooter-Squad Assignment'!$A:$A,MATCH(C42&amp;"-"&amp;E42&amp;"-"&amp;F42&amp;"-Pos3",'Shooter-Squad Assignment'!$K:$K,0)),""),IF(F42="Trap",IFERROR(INDEX('Shooter-Squad Assignment'!$A:$A,MATCH(C42&amp;"-"&amp;E42&amp;"-"&amp;F42&amp;"-Pos3",'Shooter-Squad Assignment'!$W:$W,0)),""),IF(F42="Sporting Clays",IFERROR(INDEX('Shooter-Squad Assignment'!$A:$A,MATCH(C42&amp;"-"&amp;E42&amp;"-"&amp;F42&amp;"-Pos3",'Shooter-Squad Assignment'!$Z:$Z,0)),""),"")))</f>
        <v/>
      </c>
      <c r="L42" s="73" t="str">
        <f>IF(ISBLANK(K42),"",IFERROR(INDEX('Tournament List'!$D:$D,MATCH(K42,'Tournament List'!$A:$A,0)),""))</f>
        <v/>
      </c>
      <c r="M42" s="94" t="str">
        <f>IF(F42="Skeet",IFERROR(INDEX('Shooter-Squad Assignment'!$A:$A,MATCH(C42&amp;"-"&amp;E42&amp;"-"&amp;F42&amp;"-Pos4",'Shooter-Squad Assignment'!$K:$K,0)),""),IF(F42="Trap",IFERROR(INDEX('Shooter-Squad Assignment'!$A:$A,MATCH(C42&amp;"-"&amp;E42&amp;"-"&amp;F42&amp;"-Pos4",'Shooter-Squad Assignment'!$W:$W,0)),""),IF(F42="Sporting Clays",IFERROR(INDEX('Shooter-Squad Assignment'!$A:$A,MATCH(C42&amp;"-"&amp;E42&amp;"-"&amp;F42&amp;"-Pos4",'Shooter-Squad Assignment'!$Z:$Z,0)),""),"")))</f>
        <v/>
      </c>
      <c r="N42" s="73" t="str">
        <f>IF(ISBLANK(M42),"",IFERROR(INDEX('Tournament List'!$D:$D,MATCH(M42,'Tournament List'!$A:$A,0)),""))</f>
        <v/>
      </c>
      <c r="O42" s="94" t="str">
        <f>IF(F42="Skeet",IFERROR(INDEX('Shooter-Squad Assignment'!$A:$A,MATCH(C42&amp;"-"&amp;E42&amp;"-"&amp;F42&amp;"-Pos5",'Shooter-Squad Assignment'!$K:$K,0)),""),IF(F42="Trap",IFERROR(INDEX('Shooter-Squad Assignment'!$A:$A,MATCH(C42&amp;"-"&amp;E42&amp;"-"&amp;F42&amp;"-Pos5",'Shooter-Squad Assignment'!$W:$W,0)),""),IF(F42="Sporting Clays",IFERROR(INDEX('Shooter-Squad Assignment'!$A:$A,MATCH(C42&amp;"-"&amp;E42&amp;"-"&amp;F42&amp;"-Pos5",'Shooter-Squad Assignment'!$Z:$Z,0)),""),"")))</f>
        <v/>
      </c>
      <c r="P42" s="79" t="str">
        <f>IF(ISBLANK(O42),"",IFERROR(INDEX('Tournament List'!$D:$D,MATCH(O42,'Tournament List'!$A:$A,0)),""))</f>
        <v/>
      </c>
    </row>
    <row r="43" spans="1:16" x14ac:dyDescent="0.3">
      <c r="A43" s="78">
        <v>42</v>
      </c>
      <c r="B43" s="73" t="str">
        <f>C43&amp;"-"&amp;E43&amp;"-"&amp;F43</f>
        <v>Brighton Clay Crushers-Intermediate 1-Trap</v>
      </c>
      <c r="C43" s="73" t="s">
        <v>322</v>
      </c>
      <c r="D43" s="73" t="str">
        <f>INDEX('Tournament Setup'!$B$59:$B$78,MATCH(E43,SquadConcurrents,0))</f>
        <v>Intermediate</v>
      </c>
      <c r="E43" s="73" t="s">
        <v>338</v>
      </c>
      <c r="F43" s="73" t="s">
        <v>147</v>
      </c>
      <c r="G43" s="94" t="str">
        <f>IF(F43="Skeet",IFERROR(INDEX('Shooter-Squad Assignment'!$A:$A,MATCH(C43&amp;"-"&amp;E43&amp;"-"&amp;F43&amp;"-Pos1",'Shooter-Squad Assignment'!$K:$K,0)),""),IF(F43="Trap",IFERROR(INDEX('Shooter-Squad Assignment'!$A:$A,MATCH(C43&amp;"-"&amp;E43&amp;"-"&amp;F43&amp;"-Pos1",'Shooter-Squad Assignment'!$W:$W,0)),""),IF(F43="Sporting Clays",IFERROR(INDEX('Shooter-Squad Assignment'!$A:$A,MATCH(C43&amp;"-"&amp;E43&amp;"-"&amp;F43&amp;"-Pos1",'Shooter-Squad Assignment'!$Z:$Z,0)),""),"")))</f>
        <v/>
      </c>
      <c r="H43" s="73" t="str">
        <f>IF(ISBLANK(G43),"",IFERROR(INDEX('Tournament List'!$D:$D,MATCH(G43,'Tournament List'!$A:$A,0)),""))</f>
        <v/>
      </c>
      <c r="I43" s="94" t="str">
        <f>IF(F43="Skeet",IFERROR(INDEX('Shooter-Squad Assignment'!$A:$A,MATCH(C43&amp;"-"&amp;E43&amp;"-"&amp;F43&amp;"-Pos2",'Shooter-Squad Assignment'!$K:$K,0)),""),IF(F43="Trap",IFERROR(INDEX('Shooter-Squad Assignment'!$A:$A,MATCH(C43&amp;"-"&amp;E43&amp;"-"&amp;F43&amp;"-Pos2",'Shooter-Squad Assignment'!$W:$W,0)),""),IF(F43="Sporting Clays",IFERROR(INDEX('Shooter-Squad Assignment'!$A:$A,MATCH(C43&amp;"-"&amp;E43&amp;"-"&amp;F43&amp;"-Pos2",'Shooter-Squad Assignment'!$Z:$Z,0)),""),"")))</f>
        <v/>
      </c>
      <c r="J43" s="73" t="str">
        <f>IF(ISBLANK(I43),"",IFERROR(INDEX('Tournament List'!$D:$D,MATCH(I43,'Tournament List'!$A:$A,0)),""))</f>
        <v/>
      </c>
      <c r="K43" s="94" t="str">
        <f>IF(F43="Skeet",IFERROR(INDEX('Shooter-Squad Assignment'!$A:$A,MATCH(C43&amp;"-"&amp;E43&amp;"-"&amp;F43&amp;"-Pos3",'Shooter-Squad Assignment'!$K:$K,0)),""),IF(F43="Trap",IFERROR(INDEX('Shooter-Squad Assignment'!$A:$A,MATCH(C43&amp;"-"&amp;E43&amp;"-"&amp;F43&amp;"-Pos3",'Shooter-Squad Assignment'!$W:$W,0)),""),IF(F43="Sporting Clays",IFERROR(INDEX('Shooter-Squad Assignment'!$A:$A,MATCH(C43&amp;"-"&amp;E43&amp;"-"&amp;F43&amp;"-Pos3",'Shooter-Squad Assignment'!$Z:$Z,0)),""),"")))</f>
        <v/>
      </c>
      <c r="L43" s="73" t="str">
        <f>IF(ISBLANK(K43),"",IFERROR(INDEX('Tournament List'!$D:$D,MATCH(K43,'Tournament List'!$A:$A,0)),""))</f>
        <v/>
      </c>
      <c r="M43" s="94" t="str">
        <f>IF(F43="Skeet",IFERROR(INDEX('Shooter-Squad Assignment'!$A:$A,MATCH(C43&amp;"-"&amp;E43&amp;"-"&amp;F43&amp;"-Pos4",'Shooter-Squad Assignment'!$K:$K,0)),""),IF(F43="Trap",IFERROR(INDEX('Shooter-Squad Assignment'!$A:$A,MATCH(C43&amp;"-"&amp;E43&amp;"-"&amp;F43&amp;"-Pos4",'Shooter-Squad Assignment'!$W:$W,0)),""),IF(F43="Sporting Clays",IFERROR(INDEX('Shooter-Squad Assignment'!$A:$A,MATCH(C43&amp;"-"&amp;E43&amp;"-"&amp;F43&amp;"-Pos4",'Shooter-Squad Assignment'!$Z:$Z,0)),""),"")))</f>
        <v/>
      </c>
      <c r="N43" s="73" t="str">
        <f>IF(ISBLANK(M43),"",IFERROR(INDEX('Tournament List'!$D:$D,MATCH(M43,'Tournament List'!$A:$A,0)),""))</f>
        <v/>
      </c>
      <c r="O43" s="94" t="str">
        <f>IF(F43="Skeet",IFERROR(INDEX('Shooter-Squad Assignment'!$A:$A,MATCH(C43&amp;"-"&amp;E43&amp;"-"&amp;F43&amp;"-Pos5",'Shooter-Squad Assignment'!$K:$K,0)),""),IF(F43="Trap",IFERROR(INDEX('Shooter-Squad Assignment'!$A:$A,MATCH(C43&amp;"-"&amp;E43&amp;"-"&amp;F43&amp;"-Pos5",'Shooter-Squad Assignment'!$W:$W,0)),""),IF(F43="Sporting Clays",IFERROR(INDEX('Shooter-Squad Assignment'!$A:$A,MATCH(C43&amp;"-"&amp;E43&amp;"-"&amp;F43&amp;"-Pos5",'Shooter-Squad Assignment'!$Z:$Z,0)),""),"")))</f>
        <v/>
      </c>
      <c r="P43" s="79" t="str">
        <f>IF(ISBLANK(O43),"",IFERROR(INDEX('Tournament List'!$D:$D,MATCH(O43,'Tournament List'!$A:$A,0)),""))</f>
        <v/>
      </c>
    </row>
    <row r="44" spans="1:16" x14ac:dyDescent="0.3">
      <c r="A44" s="78">
        <v>43</v>
      </c>
      <c r="B44" s="73" t="str">
        <f>C44&amp;"-"&amp;E44&amp;"-"&amp;F44</f>
        <v>Brighton Clay Crushers-Intermediate 2-Trap</v>
      </c>
      <c r="C44" s="73" t="s">
        <v>322</v>
      </c>
      <c r="D44" s="73" t="str">
        <f>INDEX('Tournament Setup'!$B$59:$B$78,MATCH(E44,SquadConcurrents,0))</f>
        <v>Intermediate</v>
      </c>
      <c r="E44" s="73" t="s">
        <v>344</v>
      </c>
      <c r="F44" s="73" t="s">
        <v>147</v>
      </c>
      <c r="G44" s="94" t="str">
        <f>IF(F44="Skeet",IFERROR(INDEX('Shooter-Squad Assignment'!$A:$A,MATCH(C44&amp;"-"&amp;E44&amp;"-"&amp;F44&amp;"-Pos1",'Shooter-Squad Assignment'!$K:$K,0)),""),IF(F44="Trap",IFERROR(INDEX('Shooter-Squad Assignment'!$A:$A,MATCH(C44&amp;"-"&amp;E44&amp;"-"&amp;F44&amp;"-Pos1",'Shooter-Squad Assignment'!$W:$W,0)),""),IF(F44="Sporting Clays",IFERROR(INDEX('Shooter-Squad Assignment'!$A:$A,MATCH(C44&amp;"-"&amp;E44&amp;"-"&amp;F44&amp;"-Pos1",'Shooter-Squad Assignment'!$Z:$Z,0)),""),"")))</f>
        <v/>
      </c>
      <c r="H44" s="73" t="str">
        <f>IF(ISBLANK(G44),"",IFERROR(INDEX('Tournament List'!$D:$D,MATCH(G44,'Tournament List'!$A:$A,0)),""))</f>
        <v/>
      </c>
      <c r="I44" s="94" t="str">
        <f>IF(F44="Skeet",IFERROR(INDEX('Shooter-Squad Assignment'!$A:$A,MATCH(C44&amp;"-"&amp;E44&amp;"-"&amp;F44&amp;"-Pos2",'Shooter-Squad Assignment'!$K:$K,0)),""),IF(F44="Trap",IFERROR(INDEX('Shooter-Squad Assignment'!$A:$A,MATCH(C44&amp;"-"&amp;E44&amp;"-"&amp;F44&amp;"-Pos2",'Shooter-Squad Assignment'!$W:$W,0)),""),IF(F44="Sporting Clays",IFERROR(INDEX('Shooter-Squad Assignment'!$A:$A,MATCH(C44&amp;"-"&amp;E44&amp;"-"&amp;F44&amp;"-Pos2",'Shooter-Squad Assignment'!$Z:$Z,0)),""),"")))</f>
        <v/>
      </c>
      <c r="J44" s="73" t="str">
        <f>IF(ISBLANK(I44),"",IFERROR(INDEX('Tournament List'!$D:$D,MATCH(I44,'Tournament List'!$A:$A,0)),""))</f>
        <v/>
      </c>
      <c r="K44" s="94" t="str">
        <f>IF(F44="Skeet",IFERROR(INDEX('Shooter-Squad Assignment'!$A:$A,MATCH(C44&amp;"-"&amp;E44&amp;"-"&amp;F44&amp;"-Pos3",'Shooter-Squad Assignment'!$K:$K,0)),""),IF(F44="Trap",IFERROR(INDEX('Shooter-Squad Assignment'!$A:$A,MATCH(C44&amp;"-"&amp;E44&amp;"-"&amp;F44&amp;"-Pos3",'Shooter-Squad Assignment'!$W:$W,0)),""),IF(F44="Sporting Clays",IFERROR(INDEX('Shooter-Squad Assignment'!$A:$A,MATCH(C44&amp;"-"&amp;E44&amp;"-"&amp;F44&amp;"-Pos3",'Shooter-Squad Assignment'!$Z:$Z,0)),""),"")))</f>
        <v/>
      </c>
      <c r="L44" s="73" t="str">
        <f>IF(ISBLANK(K44),"",IFERROR(INDEX('Tournament List'!$D:$D,MATCH(K44,'Tournament List'!$A:$A,0)),""))</f>
        <v/>
      </c>
      <c r="M44" s="94" t="str">
        <f>IF(F44="Skeet",IFERROR(INDEX('Shooter-Squad Assignment'!$A:$A,MATCH(C44&amp;"-"&amp;E44&amp;"-"&amp;F44&amp;"-Pos4",'Shooter-Squad Assignment'!$K:$K,0)),""),IF(F44="Trap",IFERROR(INDEX('Shooter-Squad Assignment'!$A:$A,MATCH(C44&amp;"-"&amp;E44&amp;"-"&amp;F44&amp;"-Pos4",'Shooter-Squad Assignment'!$W:$W,0)),""),IF(F44="Sporting Clays",IFERROR(INDEX('Shooter-Squad Assignment'!$A:$A,MATCH(C44&amp;"-"&amp;E44&amp;"-"&amp;F44&amp;"-Pos4",'Shooter-Squad Assignment'!$Z:$Z,0)),""),"")))</f>
        <v/>
      </c>
      <c r="N44" s="73" t="str">
        <f>IF(ISBLANK(M44),"",IFERROR(INDEX('Tournament List'!$D:$D,MATCH(M44,'Tournament List'!$A:$A,0)),""))</f>
        <v/>
      </c>
      <c r="O44" s="94" t="str">
        <f>IF(F44="Skeet",IFERROR(INDEX('Shooter-Squad Assignment'!$A:$A,MATCH(C44&amp;"-"&amp;E44&amp;"-"&amp;F44&amp;"-Pos5",'Shooter-Squad Assignment'!$K:$K,0)),""),IF(F44="Trap",IFERROR(INDEX('Shooter-Squad Assignment'!$A:$A,MATCH(C44&amp;"-"&amp;E44&amp;"-"&amp;F44&amp;"-Pos5",'Shooter-Squad Assignment'!$W:$W,0)),""),IF(F44="Sporting Clays",IFERROR(INDEX('Shooter-Squad Assignment'!$A:$A,MATCH(C44&amp;"-"&amp;E44&amp;"-"&amp;F44&amp;"-Pos5",'Shooter-Squad Assignment'!$Z:$Z,0)),""),"")))</f>
        <v/>
      </c>
      <c r="P44" s="79" t="str">
        <f>IF(ISBLANK(O44),"",IFERROR(INDEX('Tournament List'!$D:$D,MATCH(O44,'Tournament List'!$A:$A,0)),""))</f>
        <v/>
      </c>
    </row>
    <row r="45" spans="1:16" x14ac:dyDescent="0.3">
      <c r="A45" s="78">
        <v>44</v>
      </c>
      <c r="B45" s="73" t="str">
        <f>C45&amp;"-"&amp;E45&amp;"-"&amp;F45</f>
        <v>Brighton Clay Crushers-Intermediate 3-Trap</v>
      </c>
      <c r="C45" s="73" t="s">
        <v>322</v>
      </c>
      <c r="D45" s="73" t="str">
        <f>INDEX('Tournament Setup'!$B$59:$B$78,MATCH(E45,SquadConcurrents,0))</f>
        <v>Intermediate</v>
      </c>
      <c r="E45" s="73" t="s">
        <v>350</v>
      </c>
      <c r="F45" s="73" t="s">
        <v>147</v>
      </c>
      <c r="G45" s="94" t="str">
        <f>IF(F45="Skeet",IFERROR(INDEX('Shooter-Squad Assignment'!$A:$A,MATCH(C45&amp;"-"&amp;E45&amp;"-"&amp;F45&amp;"-Pos1",'Shooter-Squad Assignment'!$K:$K,0)),""),IF(F45="Trap",IFERROR(INDEX('Shooter-Squad Assignment'!$A:$A,MATCH(C45&amp;"-"&amp;E45&amp;"-"&amp;F45&amp;"-Pos1",'Shooter-Squad Assignment'!$W:$W,0)),""),IF(F45="Sporting Clays",IFERROR(INDEX('Shooter-Squad Assignment'!$A:$A,MATCH(C45&amp;"-"&amp;E45&amp;"-"&amp;F45&amp;"-Pos1",'Shooter-Squad Assignment'!$Z:$Z,0)),""),"")))</f>
        <v/>
      </c>
      <c r="H45" s="73" t="str">
        <f>IF(ISBLANK(G45),"",IFERROR(INDEX('Tournament List'!$D:$D,MATCH(G45,'Tournament List'!$A:$A,0)),""))</f>
        <v/>
      </c>
      <c r="I45" s="94" t="str">
        <f>IF(F45="Skeet",IFERROR(INDEX('Shooter-Squad Assignment'!$A:$A,MATCH(C45&amp;"-"&amp;E45&amp;"-"&amp;F45&amp;"-Pos2",'Shooter-Squad Assignment'!$K:$K,0)),""),IF(F45="Trap",IFERROR(INDEX('Shooter-Squad Assignment'!$A:$A,MATCH(C45&amp;"-"&amp;E45&amp;"-"&amp;F45&amp;"-Pos2",'Shooter-Squad Assignment'!$W:$W,0)),""),IF(F45="Sporting Clays",IFERROR(INDEX('Shooter-Squad Assignment'!$A:$A,MATCH(C45&amp;"-"&amp;E45&amp;"-"&amp;F45&amp;"-Pos2",'Shooter-Squad Assignment'!$Z:$Z,0)),""),"")))</f>
        <v/>
      </c>
      <c r="J45" s="73" t="str">
        <f>IF(ISBLANK(I45),"",IFERROR(INDEX('Tournament List'!$D:$D,MATCH(I45,'Tournament List'!$A:$A,0)),""))</f>
        <v/>
      </c>
      <c r="K45" s="94" t="str">
        <f>IF(F45="Skeet",IFERROR(INDEX('Shooter-Squad Assignment'!$A:$A,MATCH(C45&amp;"-"&amp;E45&amp;"-"&amp;F45&amp;"-Pos3",'Shooter-Squad Assignment'!$K:$K,0)),""),IF(F45="Trap",IFERROR(INDEX('Shooter-Squad Assignment'!$A:$A,MATCH(C45&amp;"-"&amp;E45&amp;"-"&amp;F45&amp;"-Pos3",'Shooter-Squad Assignment'!$W:$W,0)),""),IF(F45="Sporting Clays",IFERROR(INDEX('Shooter-Squad Assignment'!$A:$A,MATCH(C45&amp;"-"&amp;E45&amp;"-"&amp;F45&amp;"-Pos3",'Shooter-Squad Assignment'!$Z:$Z,0)),""),"")))</f>
        <v/>
      </c>
      <c r="L45" s="73" t="str">
        <f>IF(ISBLANK(K45),"",IFERROR(INDEX('Tournament List'!$D:$D,MATCH(K45,'Tournament List'!$A:$A,0)),""))</f>
        <v/>
      </c>
      <c r="M45" s="94" t="str">
        <f>IF(F45="Skeet",IFERROR(INDEX('Shooter-Squad Assignment'!$A:$A,MATCH(C45&amp;"-"&amp;E45&amp;"-"&amp;F45&amp;"-Pos4",'Shooter-Squad Assignment'!$K:$K,0)),""),IF(F45="Trap",IFERROR(INDEX('Shooter-Squad Assignment'!$A:$A,MATCH(C45&amp;"-"&amp;E45&amp;"-"&amp;F45&amp;"-Pos4",'Shooter-Squad Assignment'!$W:$W,0)),""),IF(F45="Sporting Clays",IFERROR(INDEX('Shooter-Squad Assignment'!$A:$A,MATCH(C45&amp;"-"&amp;E45&amp;"-"&amp;F45&amp;"-Pos4",'Shooter-Squad Assignment'!$Z:$Z,0)),""),"")))</f>
        <v/>
      </c>
      <c r="N45" s="73" t="str">
        <f>IF(ISBLANK(M45),"",IFERROR(INDEX('Tournament List'!$D:$D,MATCH(M45,'Tournament List'!$A:$A,0)),""))</f>
        <v/>
      </c>
      <c r="O45" s="94" t="str">
        <f>IF(F45="Skeet",IFERROR(INDEX('Shooter-Squad Assignment'!$A:$A,MATCH(C45&amp;"-"&amp;E45&amp;"-"&amp;F45&amp;"-Pos5",'Shooter-Squad Assignment'!$K:$K,0)),""),IF(F45="Trap",IFERROR(INDEX('Shooter-Squad Assignment'!$A:$A,MATCH(C45&amp;"-"&amp;E45&amp;"-"&amp;F45&amp;"-Pos5",'Shooter-Squad Assignment'!$W:$W,0)),""),IF(F45="Sporting Clays",IFERROR(INDEX('Shooter-Squad Assignment'!$A:$A,MATCH(C45&amp;"-"&amp;E45&amp;"-"&amp;F45&amp;"-Pos5",'Shooter-Squad Assignment'!$Z:$Z,0)),""),"")))</f>
        <v/>
      </c>
      <c r="P45" s="79" t="str">
        <f>IF(ISBLANK(O45),"",IFERROR(INDEX('Tournament List'!$D:$D,MATCH(O45,'Tournament List'!$A:$A,0)),""))</f>
        <v/>
      </c>
    </row>
    <row r="46" spans="1:16" x14ac:dyDescent="0.3">
      <c r="A46" s="78">
        <v>45</v>
      </c>
      <c r="B46" s="73" t="str">
        <f>C46&amp;"-"&amp;E46&amp;"-"&amp;F46</f>
        <v>Brighton Clay Crushers-Junior Varsity 1-Trap</v>
      </c>
      <c r="C46" s="73" t="s">
        <v>322</v>
      </c>
      <c r="D46" s="73" t="str">
        <f>INDEX('Tournament Setup'!$B$59:$B$78,MATCH(E46,SquadConcurrents,0))</f>
        <v>Junior Varsity</v>
      </c>
      <c r="E46" s="73" t="s">
        <v>339</v>
      </c>
      <c r="F46" s="73" t="s">
        <v>147</v>
      </c>
      <c r="G46" s="94" t="str">
        <f>IF(F46="Skeet",IFERROR(INDEX('Shooter-Squad Assignment'!$A:$A,MATCH(C46&amp;"-"&amp;E46&amp;"-"&amp;F46&amp;"-Pos1",'Shooter-Squad Assignment'!$K:$K,0)),""),IF(F46="Trap",IFERROR(INDEX('Shooter-Squad Assignment'!$A:$A,MATCH(C46&amp;"-"&amp;E46&amp;"-"&amp;F46&amp;"-Pos1",'Shooter-Squad Assignment'!$W:$W,0)),""),IF(F46="Sporting Clays",IFERROR(INDEX('Shooter-Squad Assignment'!$A:$A,MATCH(C46&amp;"-"&amp;E46&amp;"-"&amp;F46&amp;"-Pos1",'Shooter-Squad Assignment'!$Z:$Z,0)),""),"")))</f>
        <v/>
      </c>
      <c r="H46" s="73" t="str">
        <f>IF(ISBLANK(G46),"",IFERROR(INDEX('Tournament List'!$D:$D,MATCH(G46,'Tournament List'!$A:$A,0)),""))</f>
        <v/>
      </c>
      <c r="I46" s="94" t="str">
        <f>IF(F46="Skeet",IFERROR(INDEX('Shooter-Squad Assignment'!$A:$A,MATCH(C46&amp;"-"&amp;E46&amp;"-"&amp;F46&amp;"-Pos2",'Shooter-Squad Assignment'!$K:$K,0)),""),IF(F46="Trap",IFERROR(INDEX('Shooter-Squad Assignment'!$A:$A,MATCH(C46&amp;"-"&amp;E46&amp;"-"&amp;F46&amp;"-Pos2",'Shooter-Squad Assignment'!$W:$W,0)),""),IF(F46="Sporting Clays",IFERROR(INDEX('Shooter-Squad Assignment'!$A:$A,MATCH(C46&amp;"-"&amp;E46&amp;"-"&amp;F46&amp;"-Pos2",'Shooter-Squad Assignment'!$Z:$Z,0)),""),"")))</f>
        <v/>
      </c>
      <c r="J46" s="73" t="str">
        <f>IF(ISBLANK(I46),"",IFERROR(INDEX('Tournament List'!$D:$D,MATCH(I46,'Tournament List'!$A:$A,0)),""))</f>
        <v/>
      </c>
      <c r="K46" s="94" t="str">
        <f>IF(F46="Skeet",IFERROR(INDEX('Shooter-Squad Assignment'!$A:$A,MATCH(C46&amp;"-"&amp;E46&amp;"-"&amp;F46&amp;"-Pos3",'Shooter-Squad Assignment'!$K:$K,0)),""),IF(F46="Trap",IFERROR(INDEX('Shooter-Squad Assignment'!$A:$A,MATCH(C46&amp;"-"&amp;E46&amp;"-"&amp;F46&amp;"-Pos3",'Shooter-Squad Assignment'!$W:$W,0)),""),IF(F46="Sporting Clays",IFERROR(INDEX('Shooter-Squad Assignment'!$A:$A,MATCH(C46&amp;"-"&amp;E46&amp;"-"&amp;F46&amp;"-Pos3",'Shooter-Squad Assignment'!$Z:$Z,0)),""),"")))</f>
        <v/>
      </c>
      <c r="L46" s="73" t="str">
        <f>IF(ISBLANK(K46),"",IFERROR(INDEX('Tournament List'!$D:$D,MATCH(K46,'Tournament List'!$A:$A,0)),""))</f>
        <v/>
      </c>
      <c r="M46" s="94" t="str">
        <f>IF(F46="Skeet",IFERROR(INDEX('Shooter-Squad Assignment'!$A:$A,MATCH(C46&amp;"-"&amp;E46&amp;"-"&amp;F46&amp;"-Pos4",'Shooter-Squad Assignment'!$K:$K,0)),""),IF(F46="Trap",IFERROR(INDEX('Shooter-Squad Assignment'!$A:$A,MATCH(C46&amp;"-"&amp;E46&amp;"-"&amp;F46&amp;"-Pos4",'Shooter-Squad Assignment'!$W:$W,0)),""),IF(F46="Sporting Clays",IFERROR(INDEX('Shooter-Squad Assignment'!$A:$A,MATCH(C46&amp;"-"&amp;E46&amp;"-"&amp;F46&amp;"-Pos4",'Shooter-Squad Assignment'!$Z:$Z,0)),""),"")))</f>
        <v/>
      </c>
      <c r="N46" s="73" t="str">
        <f>IF(ISBLANK(M46),"",IFERROR(INDEX('Tournament List'!$D:$D,MATCH(M46,'Tournament List'!$A:$A,0)),""))</f>
        <v/>
      </c>
      <c r="O46" s="94" t="str">
        <f>IF(F46="Skeet",IFERROR(INDEX('Shooter-Squad Assignment'!$A:$A,MATCH(C46&amp;"-"&amp;E46&amp;"-"&amp;F46&amp;"-Pos5",'Shooter-Squad Assignment'!$K:$K,0)),""),IF(F46="Trap",IFERROR(INDEX('Shooter-Squad Assignment'!$A:$A,MATCH(C46&amp;"-"&amp;E46&amp;"-"&amp;F46&amp;"-Pos5",'Shooter-Squad Assignment'!$W:$W,0)),""),IF(F46="Sporting Clays",IFERROR(INDEX('Shooter-Squad Assignment'!$A:$A,MATCH(C46&amp;"-"&amp;E46&amp;"-"&amp;F46&amp;"-Pos5",'Shooter-Squad Assignment'!$Z:$Z,0)),""),"")))</f>
        <v/>
      </c>
      <c r="P46" s="79" t="str">
        <f>IF(ISBLANK(O46),"",IFERROR(INDEX('Tournament List'!$D:$D,MATCH(O46,'Tournament List'!$A:$A,0)),""))</f>
        <v/>
      </c>
    </row>
    <row r="47" spans="1:16" x14ac:dyDescent="0.3">
      <c r="A47" s="78">
        <v>46</v>
      </c>
      <c r="B47" s="73" t="str">
        <f>C47&amp;"-"&amp;E47&amp;"-"&amp;F47</f>
        <v>Brighton Clay Crushers-Junior Varsity 2-Trap</v>
      </c>
      <c r="C47" s="73" t="s">
        <v>322</v>
      </c>
      <c r="D47" s="73" t="str">
        <f>INDEX('Tournament Setup'!$B$59:$B$78,MATCH(E47,SquadConcurrents,0))</f>
        <v>Junior Varsity</v>
      </c>
      <c r="E47" s="73" t="s">
        <v>345</v>
      </c>
      <c r="F47" s="73" t="s">
        <v>147</v>
      </c>
      <c r="G47" s="94" t="str">
        <f>IF(F47="Skeet",IFERROR(INDEX('Shooter-Squad Assignment'!$A:$A,MATCH(C47&amp;"-"&amp;E47&amp;"-"&amp;F47&amp;"-Pos1",'Shooter-Squad Assignment'!$K:$K,0)),""),IF(F47="Trap",IFERROR(INDEX('Shooter-Squad Assignment'!$A:$A,MATCH(C47&amp;"-"&amp;E47&amp;"-"&amp;F47&amp;"-Pos1",'Shooter-Squad Assignment'!$W:$W,0)),""),IF(F47="Sporting Clays",IFERROR(INDEX('Shooter-Squad Assignment'!$A:$A,MATCH(C47&amp;"-"&amp;E47&amp;"-"&amp;F47&amp;"-Pos1",'Shooter-Squad Assignment'!$Z:$Z,0)),""),"")))</f>
        <v/>
      </c>
      <c r="H47" s="73" t="str">
        <f>IF(ISBLANK(G47),"",IFERROR(INDEX('Tournament List'!$D:$D,MATCH(G47,'Tournament List'!$A:$A,0)),""))</f>
        <v/>
      </c>
      <c r="I47" s="94" t="str">
        <f>IF(F47="Skeet",IFERROR(INDEX('Shooter-Squad Assignment'!$A:$A,MATCH(C47&amp;"-"&amp;E47&amp;"-"&amp;F47&amp;"-Pos2",'Shooter-Squad Assignment'!$K:$K,0)),""),IF(F47="Trap",IFERROR(INDEX('Shooter-Squad Assignment'!$A:$A,MATCH(C47&amp;"-"&amp;E47&amp;"-"&amp;F47&amp;"-Pos2",'Shooter-Squad Assignment'!$W:$W,0)),""),IF(F47="Sporting Clays",IFERROR(INDEX('Shooter-Squad Assignment'!$A:$A,MATCH(C47&amp;"-"&amp;E47&amp;"-"&amp;F47&amp;"-Pos2",'Shooter-Squad Assignment'!$Z:$Z,0)),""),"")))</f>
        <v/>
      </c>
      <c r="J47" s="73" t="str">
        <f>IF(ISBLANK(I47),"",IFERROR(INDEX('Tournament List'!$D:$D,MATCH(I47,'Tournament List'!$A:$A,0)),""))</f>
        <v/>
      </c>
      <c r="K47" s="94" t="str">
        <f>IF(F47="Skeet",IFERROR(INDEX('Shooter-Squad Assignment'!$A:$A,MATCH(C47&amp;"-"&amp;E47&amp;"-"&amp;F47&amp;"-Pos3",'Shooter-Squad Assignment'!$K:$K,0)),""),IF(F47="Trap",IFERROR(INDEX('Shooter-Squad Assignment'!$A:$A,MATCH(C47&amp;"-"&amp;E47&amp;"-"&amp;F47&amp;"-Pos3",'Shooter-Squad Assignment'!$W:$W,0)),""),IF(F47="Sporting Clays",IFERROR(INDEX('Shooter-Squad Assignment'!$A:$A,MATCH(C47&amp;"-"&amp;E47&amp;"-"&amp;F47&amp;"-Pos3",'Shooter-Squad Assignment'!$Z:$Z,0)),""),"")))</f>
        <v/>
      </c>
      <c r="L47" s="73" t="str">
        <f>IF(ISBLANK(K47),"",IFERROR(INDEX('Tournament List'!$D:$D,MATCH(K47,'Tournament List'!$A:$A,0)),""))</f>
        <v/>
      </c>
      <c r="M47" s="94" t="str">
        <f>IF(F47="Skeet",IFERROR(INDEX('Shooter-Squad Assignment'!$A:$A,MATCH(C47&amp;"-"&amp;E47&amp;"-"&amp;F47&amp;"-Pos4",'Shooter-Squad Assignment'!$K:$K,0)),""),IF(F47="Trap",IFERROR(INDEX('Shooter-Squad Assignment'!$A:$A,MATCH(C47&amp;"-"&amp;E47&amp;"-"&amp;F47&amp;"-Pos4",'Shooter-Squad Assignment'!$W:$W,0)),""),IF(F47="Sporting Clays",IFERROR(INDEX('Shooter-Squad Assignment'!$A:$A,MATCH(C47&amp;"-"&amp;E47&amp;"-"&amp;F47&amp;"-Pos4",'Shooter-Squad Assignment'!$Z:$Z,0)),""),"")))</f>
        <v/>
      </c>
      <c r="N47" s="73" t="str">
        <f>IF(ISBLANK(M47),"",IFERROR(INDEX('Tournament List'!$D:$D,MATCH(M47,'Tournament List'!$A:$A,0)),""))</f>
        <v/>
      </c>
      <c r="O47" s="94" t="str">
        <f>IF(F47="Skeet",IFERROR(INDEX('Shooter-Squad Assignment'!$A:$A,MATCH(C47&amp;"-"&amp;E47&amp;"-"&amp;F47&amp;"-Pos5",'Shooter-Squad Assignment'!$K:$K,0)),""),IF(F47="Trap",IFERROR(INDEX('Shooter-Squad Assignment'!$A:$A,MATCH(C47&amp;"-"&amp;E47&amp;"-"&amp;F47&amp;"-Pos5",'Shooter-Squad Assignment'!$W:$W,0)),""),IF(F47="Sporting Clays",IFERROR(INDEX('Shooter-Squad Assignment'!$A:$A,MATCH(C47&amp;"-"&amp;E47&amp;"-"&amp;F47&amp;"-Pos5",'Shooter-Squad Assignment'!$Z:$Z,0)),""),"")))</f>
        <v/>
      </c>
      <c r="P47" s="79" t="str">
        <f>IF(ISBLANK(O47),"",IFERROR(INDEX('Tournament List'!$D:$D,MATCH(O47,'Tournament List'!$A:$A,0)),""))</f>
        <v/>
      </c>
    </row>
    <row r="48" spans="1:16" x14ac:dyDescent="0.3">
      <c r="A48" s="78">
        <v>47</v>
      </c>
      <c r="B48" s="73" t="str">
        <f>C48&amp;"-"&amp;E48&amp;"-"&amp;F48</f>
        <v>Brighton Clay Crushers-Junior Varsity 3-Trap</v>
      </c>
      <c r="C48" s="73" t="s">
        <v>322</v>
      </c>
      <c r="D48" s="73" t="str">
        <f>INDEX('Tournament Setup'!$B$59:$B$78,MATCH(E48,SquadConcurrents,0))</f>
        <v>Junior Varsity</v>
      </c>
      <c r="E48" s="73" t="s">
        <v>351</v>
      </c>
      <c r="F48" s="73" t="s">
        <v>147</v>
      </c>
      <c r="G48" s="94" t="str">
        <f>IF(F48="Skeet",IFERROR(INDEX('Shooter-Squad Assignment'!$A:$A,MATCH(C48&amp;"-"&amp;E48&amp;"-"&amp;F48&amp;"-Pos1",'Shooter-Squad Assignment'!$K:$K,0)),""),IF(F48="Trap",IFERROR(INDEX('Shooter-Squad Assignment'!$A:$A,MATCH(C48&amp;"-"&amp;E48&amp;"-"&amp;F48&amp;"-Pos1",'Shooter-Squad Assignment'!$W:$W,0)),""),IF(F48="Sporting Clays",IFERROR(INDEX('Shooter-Squad Assignment'!$A:$A,MATCH(C48&amp;"-"&amp;E48&amp;"-"&amp;F48&amp;"-Pos1",'Shooter-Squad Assignment'!$Z:$Z,0)),""),"")))</f>
        <v/>
      </c>
      <c r="H48" s="73" t="str">
        <f>IF(ISBLANK(G48),"",IFERROR(INDEX('Tournament List'!$D:$D,MATCH(G48,'Tournament List'!$A:$A,0)),""))</f>
        <v/>
      </c>
      <c r="I48" s="94" t="str">
        <f>IF(F48="Skeet",IFERROR(INDEX('Shooter-Squad Assignment'!$A:$A,MATCH(C48&amp;"-"&amp;E48&amp;"-"&amp;F48&amp;"-Pos2",'Shooter-Squad Assignment'!$K:$K,0)),""),IF(F48="Trap",IFERROR(INDEX('Shooter-Squad Assignment'!$A:$A,MATCH(C48&amp;"-"&amp;E48&amp;"-"&amp;F48&amp;"-Pos2",'Shooter-Squad Assignment'!$W:$W,0)),""),IF(F48="Sporting Clays",IFERROR(INDEX('Shooter-Squad Assignment'!$A:$A,MATCH(C48&amp;"-"&amp;E48&amp;"-"&amp;F48&amp;"-Pos2",'Shooter-Squad Assignment'!$Z:$Z,0)),""),"")))</f>
        <v/>
      </c>
      <c r="J48" s="73" t="str">
        <f>IF(ISBLANK(I48),"",IFERROR(INDEX('Tournament List'!$D:$D,MATCH(I48,'Tournament List'!$A:$A,0)),""))</f>
        <v/>
      </c>
      <c r="K48" s="94" t="str">
        <f>IF(F48="Skeet",IFERROR(INDEX('Shooter-Squad Assignment'!$A:$A,MATCH(C48&amp;"-"&amp;E48&amp;"-"&amp;F48&amp;"-Pos3",'Shooter-Squad Assignment'!$K:$K,0)),""),IF(F48="Trap",IFERROR(INDEX('Shooter-Squad Assignment'!$A:$A,MATCH(C48&amp;"-"&amp;E48&amp;"-"&amp;F48&amp;"-Pos3",'Shooter-Squad Assignment'!$W:$W,0)),""),IF(F48="Sporting Clays",IFERROR(INDEX('Shooter-Squad Assignment'!$A:$A,MATCH(C48&amp;"-"&amp;E48&amp;"-"&amp;F48&amp;"-Pos3",'Shooter-Squad Assignment'!$Z:$Z,0)),""),"")))</f>
        <v/>
      </c>
      <c r="L48" s="73" t="str">
        <f>IF(ISBLANK(K48),"",IFERROR(INDEX('Tournament List'!$D:$D,MATCH(K48,'Tournament List'!$A:$A,0)),""))</f>
        <v/>
      </c>
      <c r="M48" s="94" t="str">
        <f>IF(F48="Skeet",IFERROR(INDEX('Shooter-Squad Assignment'!$A:$A,MATCH(C48&amp;"-"&amp;E48&amp;"-"&amp;F48&amp;"-Pos4",'Shooter-Squad Assignment'!$K:$K,0)),""),IF(F48="Trap",IFERROR(INDEX('Shooter-Squad Assignment'!$A:$A,MATCH(C48&amp;"-"&amp;E48&amp;"-"&amp;F48&amp;"-Pos4",'Shooter-Squad Assignment'!$W:$W,0)),""),IF(F48="Sporting Clays",IFERROR(INDEX('Shooter-Squad Assignment'!$A:$A,MATCH(C48&amp;"-"&amp;E48&amp;"-"&amp;F48&amp;"-Pos4",'Shooter-Squad Assignment'!$Z:$Z,0)),""),"")))</f>
        <v/>
      </c>
      <c r="N48" s="73" t="str">
        <f>IF(ISBLANK(M48),"",IFERROR(INDEX('Tournament List'!$D:$D,MATCH(M48,'Tournament List'!$A:$A,0)),""))</f>
        <v/>
      </c>
      <c r="O48" s="94" t="str">
        <f>IF(F48="Skeet",IFERROR(INDEX('Shooter-Squad Assignment'!$A:$A,MATCH(C48&amp;"-"&amp;E48&amp;"-"&amp;F48&amp;"-Pos5",'Shooter-Squad Assignment'!$K:$K,0)),""),IF(F48="Trap",IFERROR(INDEX('Shooter-Squad Assignment'!$A:$A,MATCH(C48&amp;"-"&amp;E48&amp;"-"&amp;F48&amp;"-Pos5",'Shooter-Squad Assignment'!$W:$W,0)),""),IF(F48="Sporting Clays",IFERROR(INDEX('Shooter-Squad Assignment'!$A:$A,MATCH(C48&amp;"-"&amp;E48&amp;"-"&amp;F48&amp;"-Pos5",'Shooter-Squad Assignment'!$Z:$Z,0)),""),"")))</f>
        <v/>
      </c>
      <c r="P48" s="79" t="str">
        <f>IF(ISBLANK(O48),"",IFERROR(INDEX('Tournament List'!$D:$D,MATCH(O48,'Tournament List'!$A:$A,0)),""))</f>
        <v/>
      </c>
    </row>
    <row r="49" spans="1:16" x14ac:dyDescent="0.3">
      <c r="A49" s="78">
        <v>48</v>
      </c>
      <c r="B49" s="73" t="str">
        <f>C49&amp;"-"&amp;E49&amp;"-"&amp;F49</f>
        <v>Brighton Clay Crushers-Novice 1-Trap</v>
      </c>
      <c r="C49" s="73" t="s">
        <v>322</v>
      </c>
      <c r="D49" s="73" t="str">
        <f>INDEX('Tournament Setup'!$B$59:$B$78,MATCH(E49,SquadConcurrents,0))</f>
        <v>Novice</v>
      </c>
      <c r="E49" s="73" t="s">
        <v>337</v>
      </c>
      <c r="F49" s="73" t="s">
        <v>147</v>
      </c>
      <c r="G49" s="94" t="str">
        <f>IF(F49="Skeet",IFERROR(INDEX('Shooter-Squad Assignment'!$A:$A,MATCH(C49&amp;"-"&amp;E49&amp;"-"&amp;F49&amp;"-Pos1",'Shooter-Squad Assignment'!$K:$K,0)),""),IF(F49="Trap",IFERROR(INDEX('Shooter-Squad Assignment'!$A:$A,MATCH(C49&amp;"-"&amp;E49&amp;"-"&amp;F49&amp;"-Pos1",'Shooter-Squad Assignment'!$W:$W,0)),""),IF(F49="Sporting Clays",IFERROR(INDEX('Shooter-Squad Assignment'!$A:$A,MATCH(C49&amp;"-"&amp;E49&amp;"-"&amp;F49&amp;"-Pos1",'Shooter-Squad Assignment'!$Z:$Z,0)),""),"")))</f>
        <v/>
      </c>
      <c r="H49" s="73" t="str">
        <f>IF(ISBLANK(G49),"",IFERROR(INDEX('Tournament List'!$D:$D,MATCH(G49,'Tournament List'!$A:$A,0)),""))</f>
        <v/>
      </c>
      <c r="I49" s="94" t="str">
        <f>IF(F49="Skeet",IFERROR(INDEX('Shooter-Squad Assignment'!$A:$A,MATCH(C49&amp;"-"&amp;E49&amp;"-"&amp;F49&amp;"-Pos2",'Shooter-Squad Assignment'!$K:$K,0)),""),IF(F49="Trap",IFERROR(INDEX('Shooter-Squad Assignment'!$A:$A,MATCH(C49&amp;"-"&amp;E49&amp;"-"&amp;F49&amp;"-Pos2",'Shooter-Squad Assignment'!$W:$W,0)),""),IF(F49="Sporting Clays",IFERROR(INDEX('Shooter-Squad Assignment'!$A:$A,MATCH(C49&amp;"-"&amp;E49&amp;"-"&amp;F49&amp;"-Pos2",'Shooter-Squad Assignment'!$Z:$Z,0)),""),"")))</f>
        <v/>
      </c>
      <c r="J49" s="73" t="str">
        <f>IF(ISBLANK(I49),"",IFERROR(INDEX('Tournament List'!$D:$D,MATCH(I49,'Tournament List'!$A:$A,0)),""))</f>
        <v/>
      </c>
      <c r="K49" s="94" t="str">
        <f>IF(F49="Skeet",IFERROR(INDEX('Shooter-Squad Assignment'!$A:$A,MATCH(C49&amp;"-"&amp;E49&amp;"-"&amp;F49&amp;"-Pos3",'Shooter-Squad Assignment'!$K:$K,0)),""),IF(F49="Trap",IFERROR(INDEX('Shooter-Squad Assignment'!$A:$A,MATCH(C49&amp;"-"&amp;E49&amp;"-"&amp;F49&amp;"-Pos3",'Shooter-Squad Assignment'!$W:$W,0)),""),IF(F49="Sporting Clays",IFERROR(INDEX('Shooter-Squad Assignment'!$A:$A,MATCH(C49&amp;"-"&amp;E49&amp;"-"&amp;F49&amp;"-Pos3",'Shooter-Squad Assignment'!$Z:$Z,0)),""),"")))</f>
        <v/>
      </c>
      <c r="L49" s="73" t="str">
        <f>IF(ISBLANK(K49),"",IFERROR(INDEX('Tournament List'!$D:$D,MATCH(K49,'Tournament List'!$A:$A,0)),""))</f>
        <v/>
      </c>
      <c r="M49" s="94" t="str">
        <f>IF(F49="Skeet",IFERROR(INDEX('Shooter-Squad Assignment'!$A:$A,MATCH(C49&amp;"-"&amp;E49&amp;"-"&amp;F49&amp;"-Pos4",'Shooter-Squad Assignment'!$K:$K,0)),""),IF(F49="Trap",IFERROR(INDEX('Shooter-Squad Assignment'!$A:$A,MATCH(C49&amp;"-"&amp;E49&amp;"-"&amp;F49&amp;"-Pos4",'Shooter-Squad Assignment'!$W:$W,0)),""),IF(F49="Sporting Clays",IFERROR(INDEX('Shooter-Squad Assignment'!$A:$A,MATCH(C49&amp;"-"&amp;E49&amp;"-"&amp;F49&amp;"-Pos4",'Shooter-Squad Assignment'!$Z:$Z,0)),""),"")))</f>
        <v/>
      </c>
      <c r="N49" s="73" t="str">
        <f>IF(ISBLANK(M49),"",IFERROR(INDEX('Tournament List'!$D:$D,MATCH(M49,'Tournament List'!$A:$A,0)),""))</f>
        <v/>
      </c>
      <c r="O49" s="94" t="str">
        <f>IF(F49="Skeet",IFERROR(INDEX('Shooter-Squad Assignment'!$A:$A,MATCH(C49&amp;"-"&amp;E49&amp;"-"&amp;F49&amp;"-Pos5",'Shooter-Squad Assignment'!$K:$K,0)),""),IF(F49="Trap",IFERROR(INDEX('Shooter-Squad Assignment'!$A:$A,MATCH(C49&amp;"-"&amp;E49&amp;"-"&amp;F49&amp;"-Pos5",'Shooter-Squad Assignment'!$W:$W,0)),""),IF(F49="Sporting Clays",IFERROR(INDEX('Shooter-Squad Assignment'!$A:$A,MATCH(C49&amp;"-"&amp;E49&amp;"-"&amp;F49&amp;"-Pos5",'Shooter-Squad Assignment'!$Z:$Z,0)),""),"")))</f>
        <v/>
      </c>
      <c r="P49" s="79" t="str">
        <f>IF(ISBLANK(O49),"",IFERROR(INDEX('Tournament List'!$D:$D,MATCH(O49,'Tournament List'!$A:$A,0)),""))</f>
        <v/>
      </c>
    </row>
    <row r="50" spans="1:16" x14ac:dyDescent="0.3">
      <c r="A50" s="78">
        <v>49</v>
      </c>
      <c r="B50" s="73" t="str">
        <f>C50&amp;"-"&amp;E50&amp;"-"&amp;F50</f>
        <v>Brighton Clay Crushers-Novice 2-Trap</v>
      </c>
      <c r="C50" s="73" t="s">
        <v>322</v>
      </c>
      <c r="D50" s="73" t="str">
        <f>INDEX('Tournament Setup'!$B$59:$B$78,MATCH(E50,SquadConcurrents,0))</f>
        <v>Novice</v>
      </c>
      <c r="E50" s="73" t="s">
        <v>343</v>
      </c>
      <c r="F50" s="73" t="s">
        <v>147</v>
      </c>
      <c r="G50" s="94" t="str">
        <f>IF(F50="Skeet",IFERROR(INDEX('Shooter-Squad Assignment'!$A:$A,MATCH(C50&amp;"-"&amp;E50&amp;"-"&amp;F50&amp;"-Pos1",'Shooter-Squad Assignment'!$K:$K,0)),""),IF(F50="Trap",IFERROR(INDEX('Shooter-Squad Assignment'!$A:$A,MATCH(C50&amp;"-"&amp;E50&amp;"-"&amp;F50&amp;"-Pos1",'Shooter-Squad Assignment'!$W:$W,0)),""),IF(F50="Sporting Clays",IFERROR(INDEX('Shooter-Squad Assignment'!$A:$A,MATCH(C50&amp;"-"&amp;E50&amp;"-"&amp;F50&amp;"-Pos1",'Shooter-Squad Assignment'!$Z:$Z,0)),""),"")))</f>
        <v/>
      </c>
      <c r="H50" s="73" t="str">
        <f>IF(ISBLANK(G50),"",IFERROR(INDEX('Tournament List'!$D:$D,MATCH(G50,'Tournament List'!$A:$A,0)),""))</f>
        <v/>
      </c>
      <c r="I50" s="94" t="str">
        <f>IF(F50="Skeet",IFERROR(INDEX('Shooter-Squad Assignment'!$A:$A,MATCH(C50&amp;"-"&amp;E50&amp;"-"&amp;F50&amp;"-Pos2",'Shooter-Squad Assignment'!$K:$K,0)),""),IF(F50="Trap",IFERROR(INDEX('Shooter-Squad Assignment'!$A:$A,MATCH(C50&amp;"-"&amp;E50&amp;"-"&amp;F50&amp;"-Pos2",'Shooter-Squad Assignment'!$W:$W,0)),""),IF(F50="Sporting Clays",IFERROR(INDEX('Shooter-Squad Assignment'!$A:$A,MATCH(C50&amp;"-"&amp;E50&amp;"-"&amp;F50&amp;"-Pos2",'Shooter-Squad Assignment'!$Z:$Z,0)),""),"")))</f>
        <v/>
      </c>
      <c r="J50" s="73" t="str">
        <f>IF(ISBLANK(I50),"",IFERROR(INDEX('Tournament List'!$D:$D,MATCH(I50,'Tournament List'!$A:$A,0)),""))</f>
        <v/>
      </c>
      <c r="K50" s="94" t="str">
        <f>IF(F50="Skeet",IFERROR(INDEX('Shooter-Squad Assignment'!$A:$A,MATCH(C50&amp;"-"&amp;E50&amp;"-"&amp;F50&amp;"-Pos3",'Shooter-Squad Assignment'!$K:$K,0)),""),IF(F50="Trap",IFERROR(INDEX('Shooter-Squad Assignment'!$A:$A,MATCH(C50&amp;"-"&amp;E50&amp;"-"&amp;F50&amp;"-Pos3",'Shooter-Squad Assignment'!$W:$W,0)),""),IF(F50="Sporting Clays",IFERROR(INDEX('Shooter-Squad Assignment'!$A:$A,MATCH(C50&amp;"-"&amp;E50&amp;"-"&amp;F50&amp;"-Pos3",'Shooter-Squad Assignment'!$Z:$Z,0)),""),"")))</f>
        <v/>
      </c>
      <c r="L50" s="73" t="str">
        <f>IF(ISBLANK(K50),"",IFERROR(INDEX('Tournament List'!$D:$D,MATCH(K50,'Tournament List'!$A:$A,0)),""))</f>
        <v/>
      </c>
      <c r="M50" s="94" t="str">
        <f>IF(F50="Skeet",IFERROR(INDEX('Shooter-Squad Assignment'!$A:$A,MATCH(C50&amp;"-"&amp;E50&amp;"-"&amp;F50&amp;"-Pos4",'Shooter-Squad Assignment'!$K:$K,0)),""),IF(F50="Trap",IFERROR(INDEX('Shooter-Squad Assignment'!$A:$A,MATCH(C50&amp;"-"&amp;E50&amp;"-"&amp;F50&amp;"-Pos4",'Shooter-Squad Assignment'!$W:$W,0)),""),IF(F50="Sporting Clays",IFERROR(INDEX('Shooter-Squad Assignment'!$A:$A,MATCH(C50&amp;"-"&amp;E50&amp;"-"&amp;F50&amp;"-Pos4",'Shooter-Squad Assignment'!$Z:$Z,0)),""),"")))</f>
        <v/>
      </c>
      <c r="N50" s="73" t="str">
        <f>IF(ISBLANK(M50),"",IFERROR(INDEX('Tournament List'!$D:$D,MATCH(M50,'Tournament List'!$A:$A,0)),""))</f>
        <v/>
      </c>
      <c r="O50" s="94" t="str">
        <f>IF(F50="Skeet",IFERROR(INDEX('Shooter-Squad Assignment'!$A:$A,MATCH(C50&amp;"-"&amp;E50&amp;"-"&amp;F50&amp;"-Pos5",'Shooter-Squad Assignment'!$K:$K,0)),""),IF(F50="Trap",IFERROR(INDEX('Shooter-Squad Assignment'!$A:$A,MATCH(C50&amp;"-"&amp;E50&amp;"-"&amp;F50&amp;"-Pos5",'Shooter-Squad Assignment'!$W:$W,0)),""),IF(F50="Sporting Clays",IFERROR(INDEX('Shooter-Squad Assignment'!$A:$A,MATCH(C50&amp;"-"&amp;E50&amp;"-"&amp;F50&amp;"-Pos5",'Shooter-Squad Assignment'!$Z:$Z,0)),""),"")))</f>
        <v/>
      </c>
      <c r="P50" s="79" t="str">
        <f>IF(ISBLANK(O50),"",IFERROR(INDEX('Tournament List'!$D:$D,MATCH(O50,'Tournament List'!$A:$A,0)),""))</f>
        <v/>
      </c>
    </row>
    <row r="51" spans="1:16" x14ac:dyDescent="0.3">
      <c r="A51" s="78">
        <v>50</v>
      </c>
      <c r="B51" s="73" t="str">
        <f>C51&amp;"-"&amp;E51&amp;"-"&amp;F51</f>
        <v>Brighton Clay Crushers-Novice 3-Trap</v>
      </c>
      <c r="C51" s="73" t="s">
        <v>322</v>
      </c>
      <c r="D51" s="73" t="str">
        <f>INDEX('Tournament Setup'!$B$59:$B$78,MATCH(E51,SquadConcurrents,0))</f>
        <v>Novice</v>
      </c>
      <c r="E51" s="73" t="s">
        <v>349</v>
      </c>
      <c r="F51" s="73" t="s">
        <v>147</v>
      </c>
      <c r="G51" s="94" t="str">
        <f>IF(F51="Skeet",IFERROR(INDEX('Shooter-Squad Assignment'!$A:$A,MATCH(C51&amp;"-"&amp;E51&amp;"-"&amp;F51&amp;"-Pos1",'Shooter-Squad Assignment'!$K:$K,0)),""),IF(F51="Trap",IFERROR(INDEX('Shooter-Squad Assignment'!$A:$A,MATCH(C51&amp;"-"&amp;E51&amp;"-"&amp;F51&amp;"-Pos1",'Shooter-Squad Assignment'!$W:$W,0)),""),IF(F51="Sporting Clays",IFERROR(INDEX('Shooter-Squad Assignment'!$A:$A,MATCH(C51&amp;"-"&amp;E51&amp;"-"&amp;F51&amp;"-Pos1",'Shooter-Squad Assignment'!$Z:$Z,0)),""),"")))</f>
        <v/>
      </c>
      <c r="H51" s="73" t="str">
        <f>IF(ISBLANK(G51),"",IFERROR(INDEX('Tournament List'!$D:$D,MATCH(G51,'Tournament List'!$A:$A,0)),""))</f>
        <v/>
      </c>
      <c r="I51" s="94" t="str">
        <f>IF(F51="Skeet",IFERROR(INDEX('Shooter-Squad Assignment'!$A:$A,MATCH(C51&amp;"-"&amp;E51&amp;"-"&amp;F51&amp;"-Pos2",'Shooter-Squad Assignment'!$K:$K,0)),""),IF(F51="Trap",IFERROR(INDEX('Shooter-Squad Assignment'!$A:$A,MATCH(C51&amp;"-"&amp;E51&amp;"-"&amp;F51&amp;"-Pos2",'Shooter-Squad Assignment'!$W:$W,0)),""),IF(F51="Sporting Clays",IFERROR(INDEX('Shooter-Squad Assignment'!$A:$A,MATCH(C51&amp;"-"&amp;E51&amp;"-"&amp;F51&amp;"-Pos2",'Shooter-Squad Assignment'!$Z:$Z,0)),""),"")))</f>
        <v/>
      </c>
      <c r="J51" s="73" t="str">
        <f>IF(ISBLANK(I51),"",IFERROR(INDEX('Tournament List'!$D:$D,MATCH(I51,'Tournament List'!$A:$A,0)),""))</f>
        <v/>
      </c>
      <c r="K51" s="94" t="str">
        <f>IF(F51="Skeet",IFERROR(INDEX('Shooter-Squad Assignment'!$A:$A,MATCH(C51&amp;"-"&amp;E51&amp;"-"&amp;F51&amp;"-Pos3",'Shooter-Squad Assignment'!$K:$K,0)),""),IF(F51="Trap",IFERROR(INDEX('Shooter-Squad Assignment'!$A:$A,MATCH(C51&amp;"-"&amp;E51&amp;"-"&amp;F51&amp;"-Pos3",'Shooter-Squad Assignment'!$W:$W,0)),""),IF(F51="Sporting Clays",IFERROR(INDEX('Shooter-Squad Assignment'!$A:$A,MATCH(C51&amp;"-"&amp;E51&amp;"-"&amp;F51&amp;"-Pos3",'Shooter-Squad Assignment'!$Z:$Z,0)),""),"")))</f>
        <v/>
      </c>
      <c r="L51" s="73" t="str">
        <f>IF(ISBLANK(K51),"",IFERROR(INDEX('Tournament List'!$D:$D,MATCH(K51,'Tournament List'!$A:$A,0)),""))</f>
        <v/>
      </c>
      <c r="M51" s="94" t="str">
        <f>IF(F51="Skeet",IFERROR(INDEX('Shooter-Squad Assignment'!$A:$A,MATCH(C51&amp;"-"&amp;E51&amp;"-"&amp;F51&amp;"-Pos4",'Shooter-Squad Assignment'!$K:$K,0)),""),IF(F51="Trap",IFERROR(INDEX('Shooter-Squad Assignment'!$A:$A,MATCH(C51&amp;"-"&amp;E51&amp;"-"&amp;F51&amp;"-Pos4",'Shooter-Squad Assignment'!$W:$W,0)),""),IF(F51="Sporting Clays",IFERROR(INDEX('Shooter-Squad Assignment'!$A:$A,MATCH(C51&amp;"-"&amp;E51&amp;"-"&amp;F51&amp;"-Pos4",'Shooter-Squad Assignment'!$Z:$Z,0)),""),"")))</f>
        <v/>
      </c>
      <c r="N51" s="73" t="str">
        <f>IF(ISBLANK(M51),"",IFERROR(INDEX('Tournament List'!$D:$D,MATCH(M51,'Tournament List'!$A:$A,0)),""))</f>
        <v/>
      </c>
      <c r="O51" s="94" t="str">
        <f>IF(F51="Skeet",IFERROR(INDEX('Shooter-Squad Assignment'!$A:$A,MATCH(C51&amp;"-"&amp;E51&amp;"-"&amp;F51&amp;"-Pos5",'Shooter-Squad Assignment'!$K:$K,0)),""),IF(F51="Trap",IFERROR(INDEX('Shooter-Squad Assignment'!$A:$A,MATCH(C51&amp;"-"&amp;E51&amp;"-"&amp;F51&amp;"-Pos5",'Shooter-Squad Assignment'!$W:$W,0)),""),IF(F51="Sporting Clays",IFERROR(INDEX('Shooter-Squad Assignment'!$A:$A,MATCH(C51&amp;"-"&amp;E51&amp;"-"&amp;F51&amp;"-Pos5",'Shooter-Squad Assignment'!$Z:$Z,0)),""),"")))</f>
        <v/>
      </c>
      <c r="P51" s="79" t="str">
        <f>IF(ISBLANK(O51),"",IFERROR(INDEX('Tournament List'!$D:$D,MATCH(O51,'Tournament List'!$A:$A,0)),""))</f>
        <v/>
      </c>
    </row>
    <row r="52" spans="1:16" x14ac:dyDescent="0.3">
      <c r="A52" s="78">
        <v>51</v>
      </c>
      <c r="B52" s="73" t="str">
        <f>C52&amp;"-"&amp;E52&amp;"-"&amp;F52</f>
        <v>Brighton Clay Crushers-Open 1-Trap</v>
      </c>
      <c r="C52" s="73" t="s">
        <v>322</v>
      </c>
      <c r="D52" s="73" t="str">
        <f>INDEX('Tournament Setup'!$B$59:$B$78,MATCH(E52,SquadConcurrents,0))</f>
        <v>Open</v>
      </c>
      <c r="E52" s="73" t="s">
        <v>341</v>
      </c>
      <c r="F52" s="73" t="s">
        <v>147</v>
      </c>
      <c r="G52" s="94" t="str">
        <f>IF(F52="Skeet",IFERROR(INDEX('Shooter-Squad Assignment'!$A:$A,MATCH(C52&amp;"-"&amp;E52&amp;"-"&amp;F52&amp;"-Pos1",'Shooter-Squad Assignment'!$K:$K,0)),""),IF(F52="Trap",IFERROR(INDEX('Shooter-Squad Assignment'!$A:$A,MATCH(C52&amp;"-"&amp;E52&amp;"-"&amp;F52&amp;"-Pos1",'Shooter-Squad Assignment'!$W:$W,0)),""),IF(F52="Sporting Clays",IFERROR(INDEX('Shooter-Squad Assignment'!$A:$A,MATCH(C52&amp;"-"&amp;E52&amp;"-"&amp;F52&amp;"-Pos1",'Shooter-Squad Assignment'!$Z:$Z,0)),""),"")))</f>
        <v/>
      </c>
      <c r="H52" s="73" t="str">
        <f>IF(ISBLANK(G52),"",IFERROR(INDEX('Tournament List'!$D:$D,MATCH(G52,'Tournament List'!$A:$A,0)),""))</f>
        <v/>
      </c>
      <c r="I52" s="94" t="str">
        <f>IF(F52="Skeet",IFERROR(INDEX('Shooter-Squad Assignment'!$A:$A,MATCH(C52&amp;"-"&amp;E52&amp;"-"&amp;F52&amp;"-Pos2",'Shooter-Squad Assignment'!$K:$K,0)),""),IF(F52="Trap",IFERROR(INDEX('Shooter-Squad Assignment'!$A:$A,MATCH(C52&amp;"-"&amp;E52&amp;"-"&amp;F52&amp;"-Pos2",'Shooter-Squad Assignment'!$W:$W,0)),""),IF(F52="Sporting Clays",IFERROR(INDEX('Shooter-Squad Assignment'!$A:$A,MATCH(C52&amp;"-"&amp;E52&amp;"-"&amp;F52&amp;"-Pos2",'Shooter-Squad Assignment'!$Z:$Z,0)),""),"")))</f>
        <v/>
      </c>
      <c r="J52" s="73" t="str">
        <f>IF(ISBLANK(I52),"",IFERROR(INDEX('Tournament List'!$D:$D,MATCH(I52,'Tournament List'!$A:$A,0)),""))</f>
        <v/>
      </c>
      <c r="K52" s="94" t="str">
        <f>IF(F52="Skeet",IFERROR(INDEX('Shooter-Squad Assignment'!$A:$A,MATCH(C52&amp;"-"&amp;E52&amp;"-"&amp;F52&amp;"-Pos3",'Shooter-Squad Assignment'!$K:$K,0)),""),IF(F52="Trap",IFERROR(INDEX('Shooter-Squad Assignment'!$A:$A,MATCH(C52&amp;"-"&amp;E52&amp;"-"&amp;F52&amp;"-Pos3",'Shooter-Squad Assignment'!$W:$W,0)),""),IF(F52="Sporting Clays",IFERROR(INDEX('Shooter-Squad Assignment'!$A:$A,MATCH(C52&amp;"-"&amp;E52&amp;"-"&amp;F52&amp;"-Pos3",'Shooter-Squad Assignment'!$Z:$Z,0)),""),"")))</f>
        <v/>
      </c>
      <c r="L52" s="73" t="str">
        <f>IF(ISBLANK(K52),"",IFERROR(INDEX('Tournament List'!$D:$D,MATCH(K52,'Tournament List'!$A:$A,0)),""))</f>
        <v/>
      </c>
      <c r="M52" s="94" t="str">
        <f>IF(F52="Skeet",IFERROR(INDEX('Shooter-Squad Assignment'!$A:$A,MATCH(C52&amp;"-"&amp;E52&amp;"-"&amp;F52&amp;"-Pos4",'Shooter-Squad Assignment'!$K:$K,0)),""),IF(F52="Trap",IFERROR(INDEX('Shooter-Squad Assignment'!$A:$A,MATCH(C52&amp;"-"&amp;E52&amp;"-"&amp;F52&amp;"-Pos4",'Shooter-Squad Assignment'!$W:$W,0)),""),IF(F52="Sporting Clays",IFERROR(INDEX('Shooter-Squad Assignment'!$A:$A,MATCH(C52&amp;"-"&amp;E52&amp;"-"&amp;F52&amp;"-Pos4",'Shooter-Squad Assignment'!$Z:$Z,0)),""),"")))</f>
        <v/>
      </c>
      <c r="N52" s="73" t="str">
        <f>IF(ISBLANK(M52),"",IFERROR(INDEX('Tournament List'!$D:$D,MATCH(M52,'Tournament List'!$A:$A,0)),""))</f>
        <v/>
      </c>
      <c r="O52" s="94" t="str">
        <f>IF(F52="Skeet",IFERROR(INDEX('Shooter-Squad Assignment'!$A:$A,MATCH(C52&amp;"-"&amp;E52&amp;"-"&amp;F52&amp;"-Pos5",'Shooter-Squad Assignment'!$K:$K,0)),""),IF(F52="Trap",IFERROR(INDEX('Shooter-Squad Assignment'!$A:$A,MATCH(C52&amp;"-"&amp;E52&amp;"-"&amp;F52&amp;"-Pos5",'Shooter-Squad Assignment'!$W:$W,0)),""),IF(F52="Sporting Clays",IFERROR(INDEX('Shooter-Squad Assignment'!$A:$A,MATCH(C52&amp;"-"&amp;E52&amp;"-"&amp;F52&amp;"-Pos5",'Shooter-Squad Assignment'!$Z:$Z,0)),""),"")))</f>
        <v/>
      </c>
      <c r="P52" s="79" t="str">
        <f>IF(ISBLANK(O52),"",IFERROR(INDEX('Tournament List'!$D:$D,MATCH(O52,'Tournament List'!$A:$A,0)),""))</f>
        <v/>
      </c>
    </row>
    <row r="53" spans="1:16" x14ac:dyDescent="0.3">
      <c r="A53" s="78">
        <v>52</v>
      </c>
      <c r="B53" s="73" t="str">
        <f>C53&amp;"-"&amp;E53&amp;"-"&amp;F53</f>
        <v>Brighton Clay Crushers-Open 2-Trap</v>
      </c>
      <c r="C53" s="73" t="s">
        <v>322</v>
      </c>
      <c r="D53" s="73" t="str">
        <f>INDEX('Tournament Setup'!$B$59:$B$78,MATCH(E53,SquadConcurrents,0))</f>
        <v>Open</v>
      </c>
      <c r="E53" s="73" t="s">
        <v>347</v>
      </c>
      <c r="F53" s="73" t="s">
        <v>147</v>
      </c>
      <c r="G53" s="94" t="str">
        <f>IF(F53="Skeet",IFERROR(INDEX('Shooter-Squad Assignment'!$A:$A,MATCH(C53&amp;"-"&amp;E53&amp;"-"&amp;F53&amp;"-Pos1",'Shooter-Squad Assignment'!$K:$K,0)),""),IF(F53="Trap",IFERROR(INDEX('Shooter-Squad Assignment'!$A:$A,MATCH(C53&amp;"-"&amp;E53&amp;"-"&amp;F53&amp;"-Pos1",'Shooter-Squad Assignment'!$W:$W,0)),""),IF(F53="Sporting Clays",IFERROR(INDEX('Shooter-Squad Assignment'!$A:$A,MATCH(C53&amp;"-"&amp;E53&amp;"-"&amp;F53&amp;"-Pos1",'Shooter-Squad Assignment'!$Z:$Z,0)),""),"")))</f>
        <v/>
      </c>
      <c r="H53" s="73" t="str">
        <f>IF(ISBLANK(G53),"",IFERROR(INDEX('Tournament List'!$D:$D,MATCH(G53,'Tournament List'!$A:$A,0)),""))</f>
        <v/>
      </c>
      <c r="I53" s="94" t="str">
        <f>IF(F53="Skeet",IFERROR(INDEX('Shooter-Squad Assignment'!$A:$A,MATCH(C53&amp;"-"&amp;E53&amp;"-"&amp;F53&amp;"-Pos2",'Shooter-Squad Assignment'!$K:$K,0)),""),IF(F53="Trap",IFERROR(INDEX('Shooter-Squad Assignment'!$A:$A,MATCH(C53&amp;"-"&amp;E53&amp;"-"&amp;F53&amp;"-Pos2",'Shooter-Squad Assignment'!$W:$W,0)),""),IF(F53="Sporting Clays",IFERROR(INDEX('Shooter-Squad Assignment'!$A:$A,MATCH(C53&amp;"-"&amp;E53&amp;"-"&amp;F53&amp;"-Pos2",'Shooter-Squad Assignment'!$Z:$Z,0)),""),"")))</f>
        <v/>
      </c>
      <c r="J53" s="73" t="str">
        <f>IF(ISBLANK(I53),"",IFERROR(INDEX('Tournament List'!$D:$D,MATCH(I53,'Tournament List'!$A:$A,0)),""))</f>
        <v/>
      </c>
      <c r="K53" s="94" t="str">
        <f>IF(F53="Skeet",IFERROR(INDEX('Shooter-Squad Assignment'!$A:$A,MATCH(C53&amp;"-"&amp;E53&amp;"-"&amp;F53&amp;"-Pos3",'Shooter-Squad Assignment'!$K:$K,0)),""),IF(F53="Trap",IFERROR(INDEX('Shooter-Squad Assignment'!$A:$A,MATCH(C53&amp;"-"&amp;E53&amp;"-"&amp;F53&amp;"-Pos3",'Shooter-Squad Assignment'!$W:$W,0)),""),IF(F53="Sporting Clays",IFERROR(INDEX('Shooter-Squad Assignment'!$A:$A,MATCH(C53&amp;"-"&amp;E53&amp;"-"&amp;F53&amp;"-Pos3",'Shooter-Squad Assignment'!$Z:$Z,0)),""),"")))</f>
        <v/>
      </c>
      <c r="L53" s="73" t="str">
        <f>IF(ISBLANK(K53),"",IFERROR(INDEX('Tournament List'!$D:$D,MATCH(K53,'Tournament List'!$A:$A,0)),""))</f>
        <v/>
      </c>
      <c r="M53" s="94" t="str">
        <f>IF(F53="Skeet",IFERROR(INDEX('Shooter-Squad Assignment'!$A:$A,MATCH(C53&amp;"-"&amp;E53&amp;"-"&amp;F53&amp;"-Pos4",'Shooter-Squad Assignment'!$K:$K,0)),""),IF(F53="Trap",IFERROR(INDEX('Shooter-Squad Assignment'!$A:$A,MATCH(C53&amp;"-"&amp;E53&amp;"-"&amp;F53&amp;"-Pos4",'Shooter-Squad Assignment'!$W:$W,0)),""),IF(F53="Sporting Clays",IFERROR(INDEX('Shooter-Squad Assignment'!$A:$A,MATCH(C53&amp;"-"&amp;E53&amp;"-"&amp;F53&amp;"-Pos4",'Shooter-Squad Assignment'!$Z:$Z,0)),""),"")))</f>
        <v/>
      </c>
      <c r="N53" s="73" t="str">
        <f>IF(ISBLANK(M53),"",IFERROR(INDEX('Tournament List'!$D:$D,MATCH(M53,'Tournament List'!$A:$A,0)),""))</f>
        <v/>
      </c>
      <c r="O53" s="94" t="str">
        <f>IF(F53="Skeet",IFERROR(INDEX('Shooter-Squad Assignment'!$A:$A,MATCH(C53&amp;"-"&amp;E53&amp;"-"&amp;F53&amp;"-Pos5",'Shooter-Squad Assignment'!$K:$K,0)),""),IF(F53="Trap",IFERROR(INDEX('Shooter-Squad Assignment'!$A:$A,MATCH(C53&amp;"-"&amp;E53&amp;"-"&amp;F53&amp;"-Pos5",'Shooter-Squad Assignment'!$W:$W,0)),""),IF(F53="Sporting Clays",IFERROR(INDEX('Shooter-Squad Assignment'!$A:$A,MATCH(C53&amp;"-"&amp;E53&amp;"-"&amp;F53&amp;"-Pos5",'Shooter-Squad Assignment'!$Z:$Z,0)),""),"")))</f>
        <v/>
      </c>
      <c r="P53" s="79" t="str">
        <f>IF(ISBLANK(O53),"",IFERROR(INDEX('Tournament List'!$D:$D,MATCH(O53,'Tournament List'!$A:$A,0)),""))</f>
        <v/>
      </c>
    </row>
    <row r="54" spans="1:16" x14ac:dyDescent="0.3">
      <c r="A54" s="78">
        <v>53</v>
      </c>
      <c r="B54" s="73" t="str">
        <f>C54&amp;"-"&amp;E54&amp;"-"&amp;F54</f>
        <v>Brighton Clay Crushers-Open 3-Trap</v>
      </c>
      <c r="C54" s="73" t="s">
        <v>322</v>
      </c>
      <c r="D54" s="73" t="str">
        <f>INDEX('Tournament Setup'!$B$59:$B$78,MATCH(E54,SquadConcurrents,0))</f>
        <v>Open</v>
      </c>
      <c r="E54" s="73" t="s">
        <v>353</v>
      </c>
      <c r="F54" s="73" t="s">
        <v>147</v>
      </c>
      <c r="G54" s="94" t="str">
        <f>IF(F54="Skeet",IFERROR(INDEX('Shooter-Squad Assignment'!$A:$A,MATCH(C54&amp;"-"&amp;E54&amp;"-"&amp;F54&amp;"-Pos1",'Shooter-Squad Assignment'!$K:$K,0)),""),IF(F54="Trap",IFERROR(INDEX('Shooter-Squad Assignment'!$A:$A,MATCH(C54&amp;"-"&amp;E54&amp;"-"&amp;F54&amp;"-Pos1",'Shooter-Squad Assignment'!$W:$W,0)),""),IF(F54="Sporting Clays",IFERROR(INDEX('Shooter-Squad Assignment'!$A:$A,MATCH(C54&amp;"-"&amp;E54&amp;"-"&amp;F54&amp;"-Pos1",'Shooter-Squad Assignment'!$Z:$Z,0)),""),"")))</f>
        <v/>
      </c>
      <c r="H54" s="73" t="str">
        <f>IF(ISBLANK(G54),"",IFERROR(INDEX('Tournament List'!$D:$D,MATCH(G54,'Tournament List'!$A:$A,0)),""))</f>
        <v/>
      </c>
      <c r="I54" s="94" t="str">
        <f>IF(F54="Skeet",IFERROR(INDEX('Shooter-Squad Assignment'!$A:$A,MATCH(C54&amp;"-"&amp;E54&amp;"-"&amp;F54&amp;"-Pos2",'Shooter-Squad Assignment'!$K:$K,0)),""),IF(F54="Trap",IFERROR(INDEX('Shooter-Squad Assignment'!$A:$A,MATCH(C54&amp;"-"&amp;E54&amp;"-"&amp;F54&amp;"-Pos2",'Shooter-Squad Assignment'!$W:$W,0)),""),IF(F54="Sporting Clays",IFERROR(INDEX('Shooter-Squad Assignment'!$A:$A,MATCH(C54&amp;"-"&amp;E54&amp;"-"&amp;F54&amp;"-Pos2",'Shooter-Squad Assignment'!$Z:$Z,0)),""),"")))</f>
        <v/>
      </c>
      <c r="J54" s="73" t="str">
        <f>IF(ISBLANK(I54),"",IFERROR(INDEX('Tournament List'!$D:$D,MATCH(I54,'Tournament List'!$A:$A,0)),""))</f>
        <v/>
      </c>
      <c r="K54" s="94" t="str">
        <f>IF(F54="Skeet",IFERROR(INDEX('Shooter-Squad Assignment'!$A:$A,MATCH(C54&amp;"-"&amp;E54&amp;"-"&amp;F54&amp;"-Pos3",'Shooter-Squad Assignment'!$K:$K,0)),""),IF(F54="Trap",IFERROR(INDEX('Shooter-Squad Assignment'!$A:$A,MATCH(C54&amp;"-"&amp;E54&amp;"-"&amp;F54&amp;"-Pos3",'Shooter-Squad Assignment'!$W:$W,0)),""),IF(F54="Sporting Clays",IFERROR(INDEX('Shooter-Squad Assignment'!$A:$A,MATCH(C54&amp;"-"&amp;E54&amp;"-"&amp;F54&amp;"-Pos3",'Shooter-Squad Assignment'!$Z:$Z,0)),""),"")))</f>
        <v/>
      </c>
      <c r="L54" s="73" t="str">
        <f>IF(ISBLANK(K54),"",IFERROR(INDEX('Tournament List'!$D:$D,MATCH(K54,'Tournament List'!$A:$A,0)),""))</f>
        <v/>
      </c>
      <c r="M54" s="94" t="str">
        <f>IF(F54="Skeet",IFERROR(INDEX('Shooter-Squad Assignment'!$A:$A,MATCH(C54&amp;"-"&amp;E54&amp;"-"&amp;F54&amp;"-Pos4",'Shooter-Squad Assignment'!$K:$K,0)),""),IF(F54="Trap",IFERROR(INDEX('Shooter-Squad Assignment'!$A:$A,MATCH(C54&amp;"-"&amp;E54&amp;"-"&amp;F54&amp;"-Pos4",'Shooter-Squad Assignment'!$W:$W,0)),""),IF(F54="Sporting Clays",IFERROR(INDEX('Shooter-Squad Assignment'!$A:$A,MATCH(C54&amp;"-"&amp;E54&amp;"-"&amp;F54&amp;"-Pos4",'Shooter-Squad Assignment'!$Z:$Z,0)),""),"")))</f>
        <v/>
      </c>
      <c r="N54" s="73" t="str">
        <f>IF(ISBLANK(M54),"",IFERROR(INDEX('Tournament List'!$D:$D,MATCH(M54,'Tournament List'!$A:$A,0)),""))</f>
        <v/>
      </c>
      <c r="O54" s="94" t="str">
        <f>IF(F54="Skeet",IFERROR(INDEX('Shooter-Squad Assignment'!$A:$A,MATCH(C54&amp;"-"&amp;E54&amp;"-"&amp;F54&amp;"-Pos5",'Shooter-Squad Assignment'!$K:$K,0)),""),IF(F54="Trap",IFERROR(INDEX('Shooter-Squad Assignment'!$A:$A,MATCH(C54&amp;"-"&amp;E54&amp;"-"&amp;F54&amp;"-Pos5",'Shooter-Squad Assignment'!$W:$W,0)),""),IF(F54="Sporting Clays",IFERROR(INDEX('Shooter-Squad Assignment'!$A:$A,MATCH(C54&amp;"-"&amp;E54&amp;"-"&amp;F54&amp;"-Pos5",'Shooter-Squad Assignment'!$Z:$Z,0)),""),"")))</f>
        <v/>
      </c>
      <c r="P54" s="79" t="str">
        <f>IF(ISBLANK(O54),"",IFERROR(INDEX('Tournament List'!$D:$D,MATCH(O54,'Tournament List'!$A:$A,0)),""))</f>
        <v/>
      </c>
    </row>
    <row r="55" spans="1:16" x14ac:dyDescent="0.3">
      <c r="A55" s="78">
        <v>54</v>
      </c>
      <c r="B55" s="73" t="str">
        <f>C55&amp;"-"&amp;E55&amp;"-"&amp;F55</f>
        <v>Brighton Clay Crushers-Unassigned 1-Trap</v>
      </c>
      <c r="C55" s="73" t="s">
        <v>322</v>
      </c>
      <c r="D55" s="73" t="str">
        <f>INDEX('Tournament Setup'!$B$59:$B$78,MATCH(E55,SquadConcurrents,0))</f>
        <v>Unassigned</v>
      </c>
      <c r="E55" s="73" t="s">
        <v>762</v>
      </c>
      <c r="F55" s="73" t="s">
        <v>147</v>
      </c>
      <c r="G55" s="94" t="str">
        <f>IF(F55="Skeet",IFERROR(INDEX('Shooter-Squad Assignment'!$A:$A,MATCH(C55&amp;"-"&amp;E55&amp;"-"&amp;F55&amp;"-Pos1",'Shooter-Squad Assignment'!$K:$K,0)),""),IF(F55="Trap",IFERROR(INDEX('Shooter-Squad Assignment'!$A:$A,MATCH(C55&amp;"-"&amp;E55&amp;"-"&amp;F55&amp;"-Pos1",'Shooter-Squad Assignment'!$W:$W,0)),""),IF(F55="Sporting Clays",IFERROR(INDEX('Shooter-Squad Assignment'!$A:$A,MATCH(C55&amp;"-"&amp;E55&amp;"-"&amp;F55&amp;"-Pos1",'Shooter-Squad Assignment'!$Z:$Z,0)),""),"")))</f>
        <v/>
      </c>
      <c r="H55" s="73" t="str">
        <f>IF(ISBLANK(G55),"",IFERROR(INDEX('Tournament List'!$D:$D,MATCH(G55,'Tournament List'!$A:$A,0)),""))</f>
        <v/>
      </c>
      <c r="I55" s="94" t="str">
        <f>IF(F55="Skeet",IFERROR(INDEX('Shooter-Squad Assignment'!$A:$A,MATCH(C55&amp;"-"&amp;E55&amp;"-"&amp;F55&amp;"-Pos2",'Shooter-Squad Assignment'!$K:$K,0)),""),IF(F55="Trap",IFERROR(INDEX('Shooter-Squad Assignment'!$A:$A,MATCH(C55&amp;"-"&amp;E55&amp;"-"&amp;F55&amp;"-Pos2",'Shooter-Squad Assignment'!$W:$W,0)),""),IF(F55="Sporting Clays",IFERROR(INDEX('Shooter-Squad Assignment'!$A:$A,MATCH(C55&amp;"-"&amp;E55&amp;"-"&amp;F55&amp;"-Pos2",'Shooter-Squad Assignment'!$Z:$Z,0)),""),"")))</f>
        <v/>
      </c>
      <c r="J55" s="73" t="str">
        <f>IF(ISBLANK(I55),"",IFERROR(INDEX('Tournament List'!$D:$D,MATCH(I55,'Tournament List'!$A:$A,0)),""))</f>
        <v/>
      </c>
      <c r="K55" s="94" t="str">
        <f>IF(F55="Skeet",IFERROR(INDEX('Shooter-Squad Assignment'!$A:$A,MATCH(C55&amp;"-"&amp;E55&amp;"-"&amp;F55&amp;"-Pos3",'Shooter-Squad Assignment'!$K:$K,0)),""),IF(F55="Trap",IFERROR(INDEX('Shooter-Squad Assignment'!$A:$A,MATCH(C55&amp;"-"&amp;E55&amp;"-"&amp;F55&amp;"-Pos3",'Shooter-Squad Assignment'!$W:$W,0)),""),IF(F55="Sporting Clays",IFERROR(INDEX('Shooter-Squad Assignment'!$A:$A,MATCH(C55&amp;"-"&amp;E55&amp;"-"&amp;F55&amp;"-Pos3",'Shooter-Squad Assignment'!$Z:$Z,0)),""),"")))</f>
        <v/>
      </c>
      <c r="L55" s="73" t="str">
        <f>IF(ISBLANK(K55),"",IFERROR(INDEX('Tournament List'!$D:$D,MATCH(K55,'Tournament List'!$A:$A,0)),""))</f>
        <v/>
      </c>
      <c r="M55" s="94" t="str">
        <f>IF(F55="Skeet",IFERROR(INDEX('Shooter-Squad Assignment'!$A:$A,MATCH(C55&amp;"-"&amp;E55&amp;"-"&amp;F55&amp;"-Pos4",'Shooter-Squad Assignment'!$K:$K,0)),""),IF(F55="Trap",IFERROR(INDEX('Shooter-Squad Assignment'!$A:$A,MATCH(C55&amp;"-"&amp;E55&amp;"-"&amp;F55&amp;"-Pos4",'Shooter-Squad Assignment'!$W:$W,0)),""),IF(F55="Sporting Clays",IFERROR(INDEX('Shooter-Squad Assignment'!$A:$A,MATCH(C55&amp;"-"&amp;E55&amp;"-"&amp;F55&amp;"-Pos4",'Shooter-Squad Assignment'!$Z:$Z,0)),""),"")))</f>
        <v/>
      </c>
      <c r="N55" s="73" t="str">
        <f>IF(ISBLANK(M55),"",IFERROR(INDEX('Tournament List'!$D:$D,MATCH(M55,'Tournament List'!$A:$A,0)),""))</f>
        <v/>
      </c>
      <c r="O55" s="94" t="str">
        <f>IF(F55="Skeet",IFERROR(INDEX('Shooter-Squad Assignment'!$A:$A,MATCH(C55&amp;"-"&amp;E55&amp;"-"&amp;F55&amp;"-Pos5",'Shooter-Squad Assignment'!$K:$K,0)),""),IF(F55="Trap",IFERROR(INDEX('Shooter-Squad Assignment'!$A:$A,MATCH(C55&amp;"-"&amp;E55&amp;"-"&amp;F55&amp;"-Pos5",'Shooter-Squad Assignment'!$W:$W,0)),""),IF(F55="Sporting Clays",IFERROR(INDEX('Shooter-Squad Assignment'!$A:$A,MATCH(C55&amp;"-"&amp;E55&amp;"-"&amp;F55&amp;"-Pos5",'Shooter-Squad Assignment'!$Z:$Z,0)),""),"")))</f>
        <v/>
      </c>
      <c r="P55" s="79" t="str">
        <f>IF(ISBLANK(O55),"",IFERROR(INDEX('Tournament List'!$D:$D,MATCH(O55,'Tournament List'!$A:$A,0)),""))</f>
        <v/>
      </c>
    </row>
    <row r="56" spans="1:16" x14ac:dyDescent="0.3">
      <c r="A56" s="78">
        <v>55</v>
      </c>
      <c r="B56" s="73" t="str">
        <f>C56&amp;"-"&amp;E56&amp;"-"&amp;F56</f>
        <v>Brighton Clay Crushers-Varsity 1-Trap</v>
      </c>
      <c r="C56" s="73" t="s">
        <v>322</v>
      </c>
      <c r="D56" s="73" t="str">
        <f>INDEX('Tournament Setup'!$B$59:$B$78,MATCH(E56,SquadConcurrents,0))</f>
        <v>Varsity</v>
      </c>
      <c r="E56" s="73" t="s">
        <v>340</v>
      </c>
      <c r="F56" s="73" t="s">
        <v>147</v>
      </c>
      <c r="G56" s="94" t="str">
        <f>IF(F56="Skeet",IFERROR(INDEX('Shooter-Squad Assignment'!$A:$A,MATCH(C56&amp;"-"&amp;E56&amp;"-"&amp;F56&amp;"-Pos1",'Shooter-Squad Assignment'!$K:$K,0)),""),IF(F56="Trap",IFERROR(INDEX('Shooter-Squad Assignment'!$A:$A,MATCH(C56&amp;"-"&amp;E56&amp;"-"&amp;F56&amp;"-Pos1",'Shooter-Squad Assignment'!$W:$W,0)),""),IF(F56="Sporting Clays",IFERROR(INDEX('Shooter-Squad Assignment'!$A:$A,MATCH(C56&amp;"-"&amp;E56&amp;"-"&amp;F56&amp;"-Pos1",'Shooter-Squad Assignment'!$Z:$Z,0)),""),"")))</f>
        <v/>
      </c>
      <c r="H56" s="73" t="str">
        <f>IF(ISBLANK(G56),"",IFERROR(INDEX('Tournament List'!$D:$D,MATCH(G56,'Tournament List'!$A:$A,0)),""))</f>
        <v/>
      </c>
      <c r="I56" s="94" t="str">
        <f>IF(F56="Skeet",IFERROR(INDEX('Shooter-Squad Assignment'!$A:$A,MATCH(C56&amp;"-"&amp;E56&amp;"-"&amp;F56&amp;"-Pos2",'Shooter-Squad Assignment'!$K:$K,0)),""),IF(F56="Trap",IFERROR(INDEX('Shooter-Squad Assignment'!$A:$A,MATCH(C56&amp;"-"&amp;E56&amp;"-"&amp;F56&amp;"-Pos2",'Shooter-Squad Assignment'!$W:$W,0)),""),IF(F56="Sporting Clays",IFERROR(INDEX('Shooter-Squad Assignment'!$A:$A,MATCH(C56&amp;"-"&amp;E56&amp;"-"&amp;F56&amp;"-Pos2",'Shooter-Squad Assignment'!$Z:$Z,0)),""),"")))</f>
        <v/>
      </c>
      <c r="J56" s="73" t="str">
        <f>IF(ISBLANK(I56),"",IFERROR(INDEX('Tournament List'!$D:$D,MATCH(I56,'Tournament List'!$A:$A,0)),""))</f>
        <v/>
      </c>
      <c r="K56" s="94" t="str">
        <f>IF(F56="Skeet",IFERROR(INDEX('Shooter-Squad Assignment'!$A:$A,MATCH(C56&amp;"-"&amp;E56&amp;"-"&amp;F56&amp;"-Pos3",'Shooter-Squad Assignment'!$K:$K,0)),""),IF(F56="Trap",IFERROR(INDEX('Shooter-Squad Assignment'!$A:$A,MATCH(C56&amp;"-"&amp;E56&amp;"-"&amp;F56&amp;"-Pos3",'Shooter-Squad Assignment'!$W:$W,0)),""),IF(F56="Sporting Clays",IFERROR(INDEX('Shooter-Squad Assignment'!$A:$A,MATCH(C56&amp;"-"&amp;E56&amp;"-"&amp;F56&amp;"-Pos3",'Shooter-Squad Assignment'!$Z:$Z,0)),""),"")))</f>
        <v/>
      </c>
      <c r="L56" s="73" t="str">
        <f>IF(ISBLANK(K56),"",IFERROR(INDEX('Tournament List'!$D:$D,MATCH(K56,'Tournament List'!$A:$A,0)),""))</f>
        <v/>
      </c>
      <c r="M56" s="94" t="str">
        <f>IF(F56="Skeet",IFERROR(INDEX('Shooter-Squad Assignment'!$A:$A,MATCH(C56&amp;"-"&amp;E56&amp;"-"&amp;F56&amp;"-Pos4",'Shooter-Squad Assignment'!$K:$K,0)),""),IF(F56="Trap",IFERROR(INDEX('Shooter-Squad Assignment'!$A:$A,MATCH(C56&amp;"-"&amp;E56&amp;"-"&amp;F56&amp;"-Pos4",'Shooter-Squad Assignment'!$W:$W,0)),""),IF(F56="Sporting Clays",IFERROR(INDEX('Shooter-Squad Assignment'!$A:$A,MATCH(C56&amp;"-"&amp;E56&amp;"-"&amp;F56&amp;"-Pos4",'Shooter-Squad Assignment'!$Z:$Z,0)),""),"")))</f>
        <v/>
      </c>
      <c r="N56" s="73" t="str">
        <f>IF(ISBLANK(M56),"",IFERROR(INDEX('Tournament List'!$D:$D,MATCH(M56,'Tournament List'!$A:$A,0)),""))</f>
        <v/>
      </c>
      <c r="O56" s="94" t="str">
        <f>IF(F56="Skeet",IFERROR(INDEX('Shooter-Squad Assignment'!$A:$A,MATCH(C56&amp;"-"&amp;E56&amp;"-"&amp;F56&amp;"-Pos5",'Shooter-Squad Assignment'!$K:$K,0)),""),IF(F56="Trap",IFERROR(INDEX('Shooter-Squad Assignment'!$A:$A,MATCH(C56&amp;"-"&amp;E56&amp;"-"&amp;F56&amp;"-Pos5",'Shooter-Squad Assignment'!$W:$W,0)),""),IF(F56="Sporting Clays",IFERROR(INDEX('Shooter-Squad Assignment'!$A:$A,MATCH(C56&amp;"-"&amp;E56&amp;"-"&amp;F56&amp;"-Pos5",'Shooter-Squad Assignment'!$Z:$Z,0)),""),"")))</f>
        <v/>
      </c>
      <c r="P56" s="79" t="str">
        <f>IF(ISBLANK(O56),"",IFERROR(INDEX('Tournament List'!$D:$D,MATCH(O56,'Tournament List'!$A:$A,0)),""))</f>
        <v/>
      </c>
    </row>
    <row r="57" spans="1:16" x14ac:dyDescent="0.3">
      <c r="A57" s="78">
        <v>56</v>
      </c>
      <c r="B57" s="73" t="str">
        <f>C57&amp;"-"&amp;E57&amp;"-"&amp;F57</f>
        <v>Brighton Clay Crushers-Varsity 2-Trap</v>
      </c>
      <c r="C57" s="73" t="s">
        <v>322</v>
      </c>
      <c r="D57" s="73" t="str">
        <f>INDEX('Tournament Setup'!$B$59:$B$78,MATCH(E57,SquadConcurrents,0))</f>
        <v>Varsity</v>
      </c>
      <c r="E57" s="73" t="s">
        <v>346</v>
      </c>
      <c r="F57" s="73" t="s">
        <v>147</v>
      </c>
      <c r="G57" s="94" t="str">
        <f>IF(F57="Skeet",IFERROR(INDEX('Shooter-Squad Assignment'!$A:$A,MATCH(C57&amp;"-"&amp;E57&amp;"-"&amp;F57&amp;"-Pos1",'Shooter-Squad Assignment'!$K:$K,0)),""),IF(F57="Trap",IFERROR(INDEX('Shooter-Squad Assignment'!$A:$A,MATCH(C57&amp;"-"&amp;E57&amp;"-"&amp;F57&amp;"-Pos1",'Shooter-Squad Assignment'!$W:$W,0)),""),IF(F57="Sporting Clays",IFERROR(INDEX('Shooter-Squad Assignment'!$A:$A,MATCH(C57&amp;"-"&amp;E57&amp;"-"&amp;F57&amp;"-Pos1",'Shooter-Squad Assignment'!$Z:$Z,0)),""),"")))</f>
        <v/>
      </c>
      <c r="H57" s="73" t="str">
        <f>IF(ISBLANK(G57),"",IFERROR(INDEX('Tournament List'!$D:$D,MATCH(G57,'Tournament List'!$A:$A,0)),""))</f>
        <v/>
      </c>
      <c r="I57" s="94" t="str">
        <f>IF(F57="Skeet",IFERROR(INDEX('Shooter-Squad Assignment'!$A:$A,MATCH(C57&amp;"-"&amp;E57&amp;"-"&amp;F57&amp;"-Pos2",'Shooter-Squad Assignment'!$K:$K,0)),""),IF(F57="Trap",IFERROR(INDEX('Shooter-Squad Assignment'!$A:$A,MATCH(C57&amp;"-"&amp;E57&amp;"-"&amp;F57&amp;"-Pos2",'Shooter-Squad Assignment'!$W:$W,0)),""),IF(F57="Sporting Clays",IFERROR(INDEX('Shooter-Squad Assignment'!$A:$A,MATCH(C57&amp;"-"&amp;E57&amp;"-"&amp;F57&amp;"-Pos2",'Shooter-Squad Assignment'!$Z:$Z,0)),""),"")))</f>
        <v/>
      </c>
      <c r="J57" s="73" t="str">
        <f>IF(ISBLANK(I57),"",IFERROR(INDEX('Tournament List'!$D:$D,MATCH(I57,'Tournament List'!$A:$A,0)),""))</f>
        <v/>
      </c>
      <c r="K57" s="94" t="str">
        <f>IF(F57="Skeet",IFERROR(INDEX('Shooter-Squad Assignment'!$A:$A,MATCH(C57&amp;"-"&amp;E57&amp;"-"&amp;F57&amp;"-Pos3",'Shooter-Squad Assignment'!$K:$K,0)),""),IF(F57="Trap",IFERROR(INDEX('Shooter-Squad Assignment'!$A:$A,MATCH(C57&amp;"-"&amp;E57&amp;"-"&amp;F57&amp;"-Pos3",'Shooter-Squad Assignment'!$W:$W,0)),""),IF(F57="Sporting Clays",IFERROR(INDEX('Shooter-Squad Assignment'!$A:$A,MATCH(C57&amp;"-"&amp;E57&amp;"-"&amp;F57&amp;"-Pos3",'Shooter-Squad Assignment'!$Z:$Z,0)),""),"")))</f>
        <v/>
      </c>
      <c r="L57" s="73" t="str">
        <f>IF(ISBLANK(K57),"",IFERROR(INDEX('Tournament List'!$D:$D,MATCH(K57,'Tournament List'!$A:$A,0)),""))</f>
        <v/>
      </c>
      <c r="M57" s="94" t="str">
        <f>IF(F57="Skeet",IFERROR(INDEX('Shooter-Squad Assignment'!$A:$A,MATCH(C57&amp;"-"&amp;E57&amp;"-"&amp;F57&amp;"-Pos4",'Shooter-Squad Assignment'!$K:$K,0)),""),IF(F57="Trap",IFERROR(INDEX('Shooter-Squad Assignment'!$A:$A,MATCH(C57&amp;"-"&amp;E57&amp;"-"&amp;F57&amp;"-Pos4",'Shooter-Squad Assignment'!$W:$W,0)),""),IF(F57="Sporting Clays",IFERROR(INDEX('Shooter-Squad Assignment'!$A:$A,MATCH(C57&amp;"-"&amp;E57&amp;"-"&amp;F57&amp;"-Pos4",'Shooter-Squad Assignment'!$Z:$Z,0)),""),"")))</f>
        <v/>
      </c>
      <c r="N57" s="73" t="str">
        <f>IF(ISBLANK(M57),"",IFERROR(INDEX('Tournament List'!$D:$D,MATCH(M57,'Tournament List'!$A:$A,0)),""))</f>
        <v/>
      </c>
      <c r="O57" s="94" t="str">
        <f>IF(F57="Skeet",IFERROR(INDEX('Shooter-Squad Assignment'!$A:$A,MATCH(C57&amp;"-"&amp;E57&amp;"-"&amp;F57&amp;"-Pos5",'Shooter-Squad Assignment'!$K:$K,0)),""),IF(F57="Trap",IFERROR(INDEX('Shooter-Squad Assignment'!$A:$A,MATCH(C57&amp;"-"&amp;E57&amp;"-"&amp;F57&amp;"-Pos5",'Shooter-Squad Assignment'!$W:$W,0)),""),IF(F57="Sporting Clays",IFERROR(INDEX('Shooter-Squad Assignment'!$A:$A,MATCH(C57&amp;"-"&amp;E57&amp;"-"&amp;F57&amp;"-Pos5",'Shooter-Squad Assignment'!$Z:$Z,0)),""),"")))</f>
        <v/>
      </c>
      <c r="P57" s="79" t="str">
        <f>IF(ISBLANK(O57),"",IFERROR(INDEX('Tournament List'!$D:$D,MATCH(O57,'Tournament List'!$A:$A,0)),""))</f>
        <v/>
      </c>
    </row>
    <row r="58" spans="1:16" ht="15" thickBot="1" x14ac:dyDescent="0.35">
      <c r="A58" s="78">
        <v>57</v>
      </c>
      <c r="B58" s="73" t="str">
        <f>C58&amp;"-"&amp;E58&amp;"-"&amp;F58</f>
        <v>Brighton Clay Crushers-Varsity 3-Trap</v>
      </c>
      <c r="C58" s="73" t="s">
        <v>322</v>
      </c>
      <c r="D58" s="73" t="str">
        <f>INDEX('Tournament Setup'!$B$59:$B$78,MATCH(E58,SquadConcurrents,0))</f>
        <v>Varsity</v>
      </c>
      <c r="E58" s="73" t="s">
        <v>352</v>
      </c>
      <c r="F58" s="73" t="s">
        <v>147</v>
      </c>
      <c r="G58" s="94" t="str">
        <f>IF(F58="Skeet",IFERROR(INDEX('Shooter-Squad Assignment'!$A:$A,MATCH(C58&amp;"-"&amp;E58&amp;"-"&amp;F58&amp;"-Pos1",'Shooter-Squad Assignment'!$K:$K,0)),""),IF(F58="Trap",IFERROR(INDEX('Shooter-Squad Assignment'!$A:$A,MATCH(C58&amp;"-"&amp;E58&amp;"-"&amp;F58&amp;"-Pos1",'Shooter-Squad Assignment'!$W:$W,0)),""),IF(F58="Sporting Clays",IFERROR(INDEX('Shooter-Squad Assignment'!$A:$A,MATCH(C58&amp;"-"&amp;E58&amp;"-"&amp;F58&amp;"-Pos1",'Shooter-Squad Assignment'!$Z:$Z,0)),""),"")))</f>
        <v/>
      </c>
      <c r="H58" s="73" t="str">
        <f>IF(ISBLANK(G58),"",IFERROR(INDEX('Tournament List'!$D:$D,MATCH(G58,'Tournament List'!$A:$A,0)),""))</f>
        <v/>
      </c>
      <c r="I58" s="94" t="str">
        <f>IF(F58="Skeet",IFERROR(INDEX('Shooter-Squad Assignment'!$A:$A,MATCH(C58&amp;"-"&amp;E58&amp;"-"&amp;F58&amp;"-Pos2",'Shooter-Squad Assignment'!$K:$K,0)),""),IF(F58="Trap",IFERROR(INDEX('Shooter-Squad Assignment'!$A:$A,MATCH(C58&amp;"-"&amp;E58&amp;"-"&amp;F58&amp;"-Pos2",'Shooter-Squad Assignment'!$W:$W,0)),""),IF(F58="Sporting Clays",IFERROR(INDEX('Shooter-Squad Assignment'!$A:$A,MATCH(C58&amp;"-"&amp;E58&amp;"-"&amp;F58&amp;"-Pos2",'Shooter-Squad Assignment'!$Z:$Z,0)),""),"")))</f>
        <v/>
      </c>
      <c r="J58" s="73" t="str">
        <f>IF(ISBLANK(I58),"",IFERROR(INDEX('Tournament List'!$D:$D,MATCH(I58,'Tournament List'!$A:$A,0)),""))</f>
        <v/>
      </c>
      <c r="K58" s="94" t="str">
        <f>IF(F58="Skeet",IFERROR(INDEX('Shooter-Squad Assignment'!$A:$A,MATCH(C58&amp;"-"&amp;E58&amp;"-"&amp;F58&amp;"-Pos3",'Shooter-Squad Assignment'!$K:$K,0)),""),IF(F58="Trap",IFERROR(INDEX('Shooter-Squad Assignment'!$A:$A,MATCH(C58&amp;"-"&amp;E58&amp;"-"&amp;F58&amp;"-Pos3",'Shooter-Squad Assignment'!$W:$W,0)),""),IF(F58="Sporting Clays",IFERROR(INDEX('Shooter-Squad Assignment'!$A:$A,MATCH(C58&amp;"-"&amp;E58&amp;"-"&amp;F58&amp;"-Pos3",'Shooter-Squad Assignment'!$Z:$Z,0)),""),"")))</f>
        <v/>
      </c>
      <c r="L58" s="73" t="str">
        <f>IF(ISBLANK(K58),"",IFERROR(INDEX('Tournament List'!$D:$D,MATCH(K58,'Tournament List'!$A:$A,0)),""))</f>
        <v/>
      </c>
      <c r="M58" s="94" t="str">
        <f>IF(F58="Skeet",IFERROR(INDEX('Shooter-Squad Assignment'!$A:$A,MATCH(C58&amp;"-"&amp;E58&amp;"-"&amp;F58&amp;"-Pos4",'Shooter-Squad Assignment'!$K:$K,0)),""),IF(F58="Trap",IFERROR(INDEX('Shooter-Squad Assignment'!$A:$A,MATCH(C58&amp;"-"&amp;E58&amp;"-"&amp;F58&amp;"-Pos4",'Shooter-Squad Assignment'!$W:$W,0)),""),IF(F58="Sporting Clays",IFERROR(INDEX('Shooter-Squad Assignment'!$A:$A,MATCH(C58&amp;"-"&amp;E58&amp;"-"&amp;F58&amp;"-Pos4",'Shooter-Squad Assignment'!$Z:$Z,0)),""),"")))</f>
        <v/>
      </c>
      <c r="N58" s="73" t="str">
        <f>IF(ISBLANK(M58),"",IFERROR(INDEX('Tournament List'!$D:$D,MATCH(M58,'Tournament List'!$A:$A,0)),""))</f>
        <v/>
      </c>
      <c r="O58" s="94" t="str">
        <f>IF(F58="Skeet",IFERROR(INDEX('Shooter-Squad Assignment'!$A:$A,MATCH(C58&amp;"-"&amp;E58&amp;"-"&amp;F58&amp;"-Pos5",'Shooter-Squad Assignment'!$K:$K,0)),""),IF(F58="Trap",IFERROR(INDEX('Shooter-Squad Assignment'!$A:$A,MATCH(C58&amp;"-"&amp;E58&amp;"-"&amp;F58&amp;"-Pos5",'Shooter-Squad Assignment'!$W:$W,0)),""),IF(F58="Sporting Clays",IFERROR(INDEX('Shooter-Squad Assignment'!$A:$A,MATCH(C58&amp;"-"&amp;E58&amp;"-"&amp;F58&amp;"-Pos5",'Shooter-Squad Assignment'!$Z:$Z,0)),""),"")))</f>
        <v/>
      </c>
      <c r="P58" s="79" t="str">
        <f>IF(ISBLANK(O58),"",IFERROR(INDEX('Tournament List'!$D:$D,MATCH(O58,'Tournament List'!$A:$A,0)),""))</f>
        <v/>
      </c>
    </row>
    <row r="59" spans="1:16" x14ac:dyDescent="0.3">
      <c r="A59" s="84">
        <v>58</v>
      </c>
      <c r="B59" s="85" t="str">
        <f>C59&amp;"-"&amp;E59&amp;"-"&amp;F59</f>
        <v>Forge Christian Shooting Team-Collegiate 1-Skeet</v>
      </c>
      <c r="C59" s="85" t="s">
        <v>321</v>
      </c>
      <c r="D59" s="85" t="str">
        <f>INDEX('Tournament Setup'!$B$59:$B$78,MATCH(E59,SquadConcurrents,0))</f>
        <v>Collegiate</v>
      </c>
      <c r="E59" s="85" t="s">
        <v>342</v>
      </c>
      <c r="F59" s="85" t="s">
        <v>143</v>
      </c>
      <c r="G59" s="95" t="str">
        <f>IF(F59="Skeet",IFERROR(INDEX('Shooter-Squad Assignment'!$A:$A,MATCH(C59&amp;"-"&amp;E59&amp;"-"&amp;F59&amp;"-Pos1",'Shooter-Squad Assignment'!$K:$K,0)),""),IF(F59="Trap",IFERROR(INDEX('Shooter-Squad Assignment'!$A:$A,MATCH(C59&amp;"-"&amp;E59&amp;"-"&amp;F59&amp;"-Pos1",'Shooter-Squad Assignment'!$W:$W,0)),""),IF(F59="Sporting Clays",IFERROR(INDEX('Shooter-Squad Assignment'!$A:$A,MATCH(C59&amp;"-"&amp;E59&amp;"-"&amp;F59&amp;"-Pos1",'Shooter-Squad Assignment'!$Z:$Z,0)),""),"")))</f>
        <v/>
      </c>
      <c r="H59" s="85" t="str">
        <f>IF(ISBLANK(G59),"",IFERROR(INDEX('Tournament List'!$D:$D,MATCH(G59,'Tournament List'!$A:$A,0)),""))</f>
        <v/>
      </c>
      <c r="I59" s="95" t="str">
        <f>IF(F59="Skeet",IFERROR(INDEX('Shooter-Squad Assignment'!$A:$A,MATCH(C59&amp;"-"&amp;E59&amp;"-"&amp;F59&amp;"-Pos2",'Shooter-Squad Assignment'!$K:$K,0)),""),IF(F59="Trap",IFERROR(INDEX('Shooter-Squad Assignment'!$A:$A,MATCH(C59&amp;"-"&amp;E59&amp;"-"&amp;F59&amp;"-Pos2",'Shooter-Squad Assignment'!$W:$W,0)),""),IF(F59="Sporting Clays",IFERROR(INDEX('Shooter-Squad Assignment'!$A:$A,MATCH(C59&amp;"-"&amp;E59&amp;"-"&amp;F59&amp;"-Pos2",'Shooter-Squad Assignment'!$Z:$Z,0)),""),"")))</f>
        <v/>
      </c>
      <c r="J59" s="85" t="str">
        <f>IF(ISBLANK(I59),"",IFERROR(INDEX('Tournament List'!$D:$D,MATCH(I59,'Tournament List'!$A:$A,0)),""))</f>
        <v/>
      </c>
      <c r="K59" s="95" t="str">
        <f>IF(F59="Skeet",IFERROR(INDEX('Shooter-Squad Assignment'!$A:$A,MATCH(C59&amp;"-"&amp;E59&amp;"-"&amp;F59&amp;"-Pos3",'Shooter-Squad Assignment'!$K:$K,0)),""),IF(F59="Trap",IFERROR(INDEX('Shooter-Squad Assignment'!$A:$A,MATCH(C59&amp;"-"&amp;E59&amp;"-"&amp;F59&amp;"-Pos3",'Shooter-Squad Assignment'!$W:$W,0)),""),IF(F59="Sporting Clays",IFERROR(INDEX('Shooter-Squad Assignment'!$A:$A,MATCH(C59&amp;"-"&amp;E59&amp;"-"&amp;F59&amp;"-Pos3",'Shooter-Squad Assignment'!$Z:$Z,0)),""),"")))</f>
        <v/>
      </c>
      <c r="L59" s="85" t="str">
        <f>IF(ISBLANK(K59),"",IFERROR(INDEX('Tournament List'!$D:$D,MATCH(K59,'Tournament List'!$A:$A,0)),""))</f>
        <v/>
      </c>
      <c r="M59" s="95" t="str">
        <f>IF(F59="Skeet",IFERROR(INDEX('Shooter-Squad Assignment'!$A:$A,MATCH(C59&amp;"-"&amp;E59&amp;"-"&amp;F59&amp;"-Pos4",'Shooter-Squad Assignment'!$K:$K,0)),""),IF(F59="Trap",IFERROR(INDEX('Shooter-Squad Assignment'!$A:$A,MATCH(C59&amp;"-"&amp;E59&amp;"-"&amp;F59&amp;"-Pos4",'Shooter-Squad Assignment'!$W:$W,0)),""),IF(F59="Sporting Clays",IFERROR(INDEX('Shooter-Squad Assignment'!$A:$A,MATCH(C59&amp;"-"&amp;E59&amp;"-"&amp;F59&amp;"-Pos4",'Shooter-Squad Assignment'!$Z:$Z,0)),""),"")))</f>
        <v/>
      </c>
      <c r="N59" s="85" t="str">
        <f>IF(ISBLANK(M59),"",IFERROR(INDEX('Tournament List'!$D:$D,MATCH(M59,'Tournament List'!$A:$A,0)),""))</f>
        <v/>
      </c>
      <c r="O59" s="95" t="str">
        <f>IF(F59="Skeet",IFERROR(INDEX('Shooter-Squad Assignment'!$A:$A,MATCH(C59&amp;"-"&amp;E59&amp;"-"&amp;F59&amp;"-Pos5",'Shooter-Squad Assignment'!$K:$K,0)),""),IF(F59="Trap",IFERROR(INDEX('Shooter-Squad Assignment'!$A:$A,MATCH(C59&amp;"-"&amp;E59&amp;"-"&amp;F59&amp;"-Pos5",'Shooter-Squad Assignment'!$W:$W,0)),""),IF(F59="Sporting Clays",IFERROR(INDEX('Shooter-Squad Assignment'!$A:$A,MATCH(C59&amp;"-"&amp;E59&amp;"-"&amp;F59&amp;"-Pos5",'Shooter-Squad Assignment'!$Z:$Z,0)),""),"")))</f>
        <v/>
      </c>
      <c r="P59" s="86" t="str">
        <f>IF(ISBLANK(O59),"",IFERROR(INDEX('Tournament List'!$D:$D,MATCH(O59,'Tournament List'!$A:$A,0)),""))</f>
        <v/>
      </c>
    </row>
    <row r="60" spans="1:16" x14ac:dyDescent="0.3">
      <c r="A60" s="87">
        <v>59</v>
      </c>
      <c r="B60" s="88" t="str">
        <f>C60&amp;"-"&amp;E60&amp;"-"&amp;F60</f>
        <v>Forge Christian Shooting Team-Collegiate 2-Skeet</v>
      </c>
      <c r="C60" s="88" t="s">
        <v>321</v>
      </c>
      <c r="D60" s="88" t="str">
        <f>INDEX('Tournament Setup'!$B$59:$B$78,MATCH(E60,SquadConcurrents,0))</f>
        <v>Collegiate</v>
      </c>
      <c r="E60" s="88" t="s">
        <v>348</v>
      </c>
      <c r="F60" s="88" t="s">
        <v>143</v>
      </c>
      <c r="G60" s="96" t="str">
        <f>IF(F60="Skeet",IFERROR(INDEX('Shooter-Squad Assignment'!$A:$A,MATCH(C60&amp;"-"&amp;E60&amp;"-"&amp;F60&amp;"-Pos1",'Shooter-Squad Assignment'!$K:$K,0)),""),IF(F60="Trap",IFERROR(INDEX('Shooter-Squad Assignment'!$A:$A,MATCH(C60&amp;"-"&amp;E60&amp;"-"&amp;F60&amp;"-Pos1",'Shooter-Squad Assignment'!$W:$W,0)),""),IF(F60="Sporting Clays",IFERROR(INDEX('Shooter-Squad Assignment'!$A:$A,MATCH(C60&amp;"-"&amp;E60&amp;"-"&amp;F60&amp;"-Pos1",'Shooter-Squad Assignment'!$Z:$Z,0)),""),"")))</f>
        <v/>
      </c>
      <c r="H60" s="88" t="str">
        <f>IF(ISBLANK(G60),"",IFERROR(INDEX('Tournament List'!$D:$D,MATCH(G60,'Tournament List'!$A:$A,0)),""))</f>
        <v/>
      </c>
      <c r="I60" s="96" t="str">
        <f>IF(F60="Skeet",IFERROR(INDEX('Shooter-Squad Assignment'!$A:$A,MATCH(C60&amp;"-"&amp;E60&amp;"-"&amp;F60&amp;"-Pos2",'Shooter-Squad Assignment'!$K:$K,0)),""),IF(F60="Trap",IFERROR(INDEX('Shooter-Squad Assignment'!$A:$A,MATCH(C60&amp;"-"&amp;E60&amp;"-"&amp;F60&amp;"-Pos2",'Shooter-Squad Assignment'!$W:$W,0)),""),IF(F60="Sporting Clays",IFERROR(INDEX('Shooter-Squad Assignment'!$A:$A,MATCH(C60&amp;"-"&amp;E60&amp;"-"&amp;F60&amp;"-Pos2",'Shooter-Squad Assignment'!$Z:$Z,0)),""),"")))</f>
        <v/>
      </c>
      <c r="J60" s="88" t="str">
        <f>IF(ISBLANK(I60),"",IFERROR(INDEX('Tournament List'!$D:$D,MATCH(I60,'Tournament List'!$A:$A,0)),""))</f>
        <v/>
      </c>
      <c r="K60" s="96" t="str">
        <f>IF(F60="Skeet",IFERROR(INDEX('Shooter-Squad Assignment'!$A:$A,MATCH(C60&amp;"-"&amp;E60&amp;"-"&amp;F60&amp;"-Pos3",'Shooter-Squad Assignment'!$K:$K,0)),""),IF(F60="Trap",IFERROR(INDEX('Shooter-Squad Assignment'!$A:$A,MATCH(C60&amp;"-"&amp;E60&amp;"-"&amp;F60&amp;"-Pos3",'Shooter-Squad Assignment'!$W:$W,0)),""),IF(F60="Sporting Clays",IFERROR(INDEX('Shooter-Squad Assignment'!$A:$A,MATCH(C60&amp;"-"&amp;E60&amp;"-"&amp;F60&amp;"-Pos3",'Shooter-Squad Assignment'!$Z:$Z,0)),""),"")))</f>
        <v/>
      </c>
      <c r="L60" s="88" t="str">
        <f>IF(ISBLANK(K60),"",IFERROR(INDEX('Tournament List'!$D:$D,MATCH(K60,'Tournament List'!$A:$A,0)),""))</f>
        <v/>
      </c>
      <c r="M60" s="96" t="str">
        <f>IF(F60="Skeet",IFERROR(INDEX('Shooter-Squad Assignment'!$A:$A,MATCH(C60&amp;"-"&amp;E60&amp;"-"&amp;F60&amp;"-Pos4",'Shooter-Squad Assignment'!$K:$K,0)),""),IF(F60="Trap",IFERROR(INDEX('Shooter-Squad Assignment'!$A:$A,MATCH(C60&amp;"-"&amp;E60&amp;"-"&amp;F60&amp;"-Pos4",'Shooter-Squad Assignment'!$W:$W,0)),""),IF(F60="Sporting Clays",IFERROR(INDEX('Shooter-Squad Assignment'!$A:$A,MATCH(C60&amp;"-"&amp;E60&amp;"-"&amp;F60&amp;"-Pos4",'Shooter-Squad Assignment'!$Z:$Z,0)),""),"")))</f>
        <v/>
      </c>
      <c r="N60" s="88" t="str">
        <f>IF(ISBLANK(M60),"",IFERROR(INDEX('Tournament List'!$D:$D,MATCH(M60,'Tournament List'!$A:$A,0)),""))</f>
        <v/>
      </c>
      <c r="O60" s="96" t="str">
        <f>IF(F60="Skeet",IFERROR(INDEX('Shooter-Squad Assignment'!$A:$A,MATCH(C60&amp;"-"&amp;E60&amp;"-"&amp;F60&amp;"-Pos5",'Shooter-Squad Assignment'!$K:$K,0)),""),IF(F60="Trap",IFERROR(INDEX('Shooter-Squad Assignment'!$A:$A,MATCH(C60&amp;"-"&amp;E60&amp;"-"&amp;F60&amp;"-Pos5",'Shooter-Squad Assignment'!$W:$W,0)),""),IF(F60="Sporting Clays",IFERROR(INDEX('Shooter-Squad Assignment'!$A:$A,MATCH(C60&amp;"-"&amp;E60&amp;"-"&amp;F60&amp;"-Pos5",'Shooter-Squad Assignment'!$Z:$Z,0)),""),"")))</f>
        <v/>
      </c>
      <c r="P60" s="89" t="str">
        <f>IF(ISBLANK(O60),"",IFERROR(INDEX('Tournament List'!$D:$D,MATCH(O60,'Tournament List'!$A:$A,0)),""))</f>
        <v/>
      </c>
    </row>
    <row r="61" spans="1:16" x14ac:dyDescent="0.3">
      <c r="A61" s="87">
        <v>60</v>
      </c>
      <c r="B61" s="88" t="str">
        <f>C61&amp;"-"&amp;E61&amp;"-"&amp;F61</f>
        <v>Forge Christian Shooting Team-Collegiate 3-Skeet</v>
      </c>
      <c r="C61" s="88" t="s">
        <v>321</v>
      </c>
      <c r="D61" s="88" t="str">
        <f>INDEX('Tournament Setup'!$B$59:$B$78,MATCH(E61,SquadConcurrents,0))</f>
        <v>Collegiate</v>
      </c>
      <c r="E61" s="88" t="s">
        <v>354</v>
      </c>
      <c r="F61" s="88" t="s">
        <v>143</v>
      </c>
      <c r="G61" s="96" t="str">
        <f>IF(F61="Skeet",IFERROR(INDEX('Shooter-Squad Assignment'!$A:$A,MATCH(C61&amp;"-"&amp;E61&amp;"-"&amp;F61&amp;"-Pos1",'Shooter-Squad Assignment'!$K:$K,0)),""),IF(F61="Trap",IFERROR(INDEX('Shooter-Squad Assignment'!$A:$A,MATCH(C61&amp;"-"&amp;E61&amp;"-"&amp;F61&amp;"-Pos1",'Shooter-Squad Assignment'!$W:$W,0)),""),IF(F61="Sporting Clays",IFERROR(INDEX('Shooter-Squad Assignment'!$A:$A,MATCH(C61&amp;"-"&amp;E61&amp;"-"&amp;F61&amp;"-Pos1",'Shooter-Squad Assignment'!$Z:$Z,0)),""),"")))</f>
        <v/>
      </c>
      <c r="H61" s="88" t="str">
        <f>IF(ISBLANK(G61),"",IFERROR(INDEX('Tournament List'!$D:$D,MATCH(G61,'Tournament List'!$A:$A,0)),""))</f>
        <v/>
      </c>
      <c r="I61" s="96" t="str">
        <f>IF(F61="Skeet",IFERROR(INDEX('Shooter-Squad Assignment'!$A:$A,MATCH(C61&amp;"-"&amp;E61&amp;"-"&amp;F61&amp;"-Pos2",'Shooter-Squad Assignment'!$K:$K,0)),""),IF(F61="Trap",IFERROR(INDEX('Shooter-Squad Assignment'!$A:$A,MATCH(C61&amp;"-"&amp;E61&amp;"-"&amp;F61&amp;"-Pos2",'Shooter-Squad Assignment'!$W:$W,0)),""),IF(F61="Sporting Clays",IFERROR(INDEX('Shooter-Squad Assignment'!$A:$A,MATCH(C61&amp;"-"&amp;E61&amp;"-"&amp;F61&amp;"-Pos2",'Shooter-Squad Assignment'!$Z:$Z,0)),""),"")))</f>
        <v/>
      </c>
      <c r="J61" s="88" t="str">
        <f>IF(ISBLANK(I61),"",IFERROR(INDEX('Tournament List'!$D:$D,MATCH(I61,'Tournament List'!$A:$A,0)),""))</f>
        <v/>
      </c>
      <c r="K61" s="96" t="str">
        <f>IF(F61="Skeet",IFERROR(INDEX('Shooter-Squad Assignment'!$A:$A,MATCH(C61&amp;"-"&amp;E61&amp;"-"&amp;F61&amp;"-Pos3",'Shooter-Squad Assignment'!$K:$K,0)),""),IF(F61="Trap",IFERROR(INDEX('Shooter-Squad Assignment'!$A:$A,MATCH(C61&amp;"-"&amp;E61&amp;"-"&amp;F61&amp;"-Pos3",'Shooter-Squad Assignment'!$W:$W,0)),""),IF(F61="Sporting Clays",IFERROR(INDEX('Shooter-Squad Assignment'!$A:$A,MATCH(C61&amp;"-"&amp;E61&amp;"-"&amp;F61&amp;"-Pos3",'Shooter-Squad Assignment'!$Z:$Z,0)),""),"")))</f>
        <v/>
      </c>
      <c r="L61" s="88" t="str">
        <f>IF(ISBLANK(K61),"",IFERROR(INDEX('Tournament List'!$D:$D,MATCH(K61,'Tournament List'!$A:$A,0)),""))</f>
        <v/>
      </c>
      <c r="M61" s="96" t="str">
        <f>IF(F61="Skeet",IFERROR(INDEX('Shooter-Squad Assignment'!$A:$A,MATCH(C61&amp;"-"&amp;E61&amp;"-"&amp;F61&amp;"-Pos4",'Shooter-Squad Assignment'!$K:$K,0)),""),IF(F61="Trap",IFERROR(INDEX('Shooter-Squad Assignment'!$A:$A,MATCH(C61&amp;"-"&amp;E61&amp;"-"&amp;F61&amp;"-Pos4",'Shooter-Squad Assignment'!$W:$W,0)),""),IF(F61="Sporting Clays",IFERROR(INDEX('Shooter-Squad Assignment'!$A:$A,MATCH(C61&amp;"-"&amp;E61&amp;"-"&amp;F61&amp;"-Pos4",'Shooter-Squad Assignment'!$Z:$Z,0)),""),"")))</f>
        <v/>
      </c>
      <c r="N61" s="88" t="str">
        <f>IF(ISBLANK(M61),"",IFERROR(INDEX('Tournament List'!$D:$D,MATCH(M61,'Tournament List'!$A:$A,0)),""))</f>
        <v/>
      </c>
      <c r="O61" s="96" t="str">
        <f>IF(F61="Skeet",IFERROR(INDEX('Shooter-Squad Assignment'!$A:$A,MATCH(C61&amp;"-"&amp;E61&amp;"-"&amp;F61&amp;"-Pos5",'Shooter-Squad Assignment'!$K:$K,0)),""),IF(F61="Trap",IFERROR(INDEX('Shooter-Squad Assignment'!$A:$A,MATCH(C61&amp;"-"&amp;E61&amp;"-"&amp;F61&amp;"-Pos5",'Shooter-Squad Assignment'!$W:$W,0)),""),IF(F61="Sporting Clays",IFERROR(INDEX('Shooter-Squad Assignment'!$A:$A,MATCH(C61&amp;"-"&amp;E61&amp;"-"&amp;F61&amp;"-Pos5",'Shooter-Squad Assignment'!$Z:$Z,0)),""),"")))</f>
        <v/>
      </c>
      <c r="P61" s="89" t="str">
        <f>IF(ISBLANK(O61),"",IFERROR(INDEX('Tournament List'!$D:$D,MATCH(O61,'Tournament List'!$A:$A,0)),""))</f>
        <v/>
      </c>
    </row>
    <row r="62" spans="1:16" x14ac:dyDescent="0.3">
      <c r="A62" s="87">
        <v>61</v>
      </c>
      <c r="B62" s="88" t="str">
        <f>C62&amp;"-"&amp;E62&amp;"-"&amp;F62</f>
        <v>Forge Christian Shooting Team-Intermediate 1-Skeet</v>
      </c>
      <c r="C62" s="88" t="s">
        <v>321</v>
      </c>
      <c r="D62" s="88" t="str">
        <f>INDEX('Tournament Setup'!$B$59:$B$78,MATCH(E62,SquadConcurrents,0))</f>
        <v>Intermediate</v>
      </c>
      <c r="E62" s="88" t="s">
        <v>338</v>
      </c>
      <c r="F62" s="88" t="s">
        <v>143</v>
      </c>
      <c r="G62" s="96" t="str">
        <f>IF(F62="Skeet",IFERROR(INDEX('Shooter-Squad Assignment'!$A:$A,MATCH(C62&amp;"-"&amp;E62&amp;"-"&amp;F62&amp;"-Pos1",'Shooter-Squad Assignment'!$K:$K,0)),""),IF(F62="Trap",IFERROR(INDEX('Shooter-Squad Assignment'!$A:$A,MATCH(C62&amp;"-"&amp;E62&amp;"-"&amp;F62&amp;"-Pos1",'Shooter-Squad Assignment'!$W:$W,0)),""),IF(F62="Sporting Clays",IFERROR(INDEX('Shooter-Squad Assignment'!$A:$A,MATCH(C62&amp;"-"&amp;E62&amp;"-"&amp;F62&amp;"-Pos1",'Shooter-Squad Assignment'!$Z:$Z,0)),""),"")))</f>
        <v>24-1009</v>
      </c>
      <c r="H62" s="88" t="str">
        <f>IF(ISBLANK(G62),"",IFERROR(INDEX('Tournament List'!$D:$D,MATCH(G62,'Tournament List'!$A:$A,0)),""))</f>
        <v>Christy Last Name10</v>
      </c>
      <c r="I62" s="96" t="str">
        <f>IF(F62="Skeet",IFERROR(INDEX('Shooter-Squad Assignment'!$A:$A,MATCH(C62&amp;"-"&amp;E62&amp;"-"&amp;F62&amp;"-Pos2",'Shooter-Squad Assignment'!$K:$K,0)),""),IF(F62="Trap",IFERROR(INDEX('Shooter-Squad Assignment'!$A:$A,MATCH(C62&amp;"-"&amp;E62&amp;"-"&amp;F62&amp;"-Pos2",'Shooter-Squad Assignment'!$W:$W,0)),""),IF(F62="Sporting Clays",IFERROR(INDEX('Shooter-Squad Assignment'!$A:$A,MATCH(C62&amp;"-"&amp;E62&amp;"-"&amp;F62&amp;"-Pos2",'Shooter-Squad Assignment'!$Z:$Z,0)),""),"")))</f>
        <v>24-1021</v>
      </c>
      <c r="J62" s="88" t="str">
        <f>IF(ISBLANK(I62),"",IFERROR(INDEX('Tournament List'!$D:$D,MATCH(I62,'Tournament List'!$A:$A,0)),""))</f>
        <v>Steve Last Name22</v>
      </c>
      <c r="K62" s="96" t="str">
        <f>IF(F62="Skeet",IFERROR(INDEX('Shooter-Squad Assignment'!$A:$A,MATCH(C62&amp;"-"&amp;E62&amp;"-"&amp;F62&amp;"-Pos3",'Shooter-Squad Assignment'!$K:$K,0)),""),IF(F62="Trap",IFERROR(INDEX('Shooter-Squad Assignment'!$A:$A,MATCH(C62&amp;"-"&amp;E62&amp;"-"&amp;F62&amp;"-Pos3",'Shooter-Squad Assignment'!$W:$W,0)),""),IF(F62="Sporting Clays",IFERROR(INDEX('Shooter-Squad Assignment'!$A:$A,MATCH(C62&amp;"-"&amp;E62&amp;"-"&amp;F62&amp;"-Pos3",'Shooter-Squad Assignment'!$Z:$Z,0)),""),"")))</f>
        <v>24-1033</v>
      </c>
      <c r="L62" s="88" t="str">
        <f>IF(ISBLANK(K62),"",IFERROR(INDEX('Tournament List'!$D:$D,MATCH(K62,'Tournament List'!$A:$A,0)),""))</f>
        <v>Marty Last Name34</v>
      </c>
      <c r="M62" s="96" t="str">
        <f>IF(F62="Skeet",IFERROR(INDEX('Shooter-Squad Assignment'!$A:$A,MATCH(C62&amp;"-"&amp;E62&amp;"-"&amp;F62&amp;"-Pos4",'Shooter-Squad Assignment'!$K:$K,0)),""),IF(F62="Trap",IFERROR(INDEX('Shooter-Squad Assignment'!$A:$A,MATCH(C62&amp;"-"&amp;E62&amp;"-"&amp;F62&amp;"-Pos4",'Shooter-Squad Assignment'!$W:$W,0)),""),IF(F62="Sporting Clays",IFERROR(INDEX('Shooter-Squad Assignment'!$A:$A,MATCH(C62&amp;"-"&amp;E62&amp;"-"&amp;F62&amp;"-Pos4",'Shooter-Squad Assignment'!$Z:$Z,0)),""),"")))</f>
        <v/>
      </c>
      <c r="N62" s="88" t="str">
        <f>IF(ISBLANK(M62),"",IFERROR(INDEX('Tournament List'!$D:$D,MATCH(M62,'Tournament List'!$A:$A,0)),""))</f>
        <v/>
      </c>
      <c r="O62" s="96" t="str">
        <f>IF(F62="Skeet",IFERROR(INDEX('Shooter-Squad Assignment'!$A:$A,MATCH(C62&amp;"-"&amp;E62&amp;"-"&amp;F62&amp;"-Pos5",'Shooter-Squad Assignment'!$K:$K,0)),""),IF(F62="Trap",IFERROR(INDEX('Shooter-Squad Assignment'!$A:$A,MATCH(C62&amp;"-"&amp;E62&amp;"-"&amp;F62&amp;"-Pos5",'Shooter-Squad Assignment'!$W:$W,0)),""),IF(F62="Sporting Clays",IFERROR(INDEX('Shooter-Squad Assignment'!$A:$A,MATCH(C62&amp;"-"&amp;E62&amp;"-"&amp;F62&amp;"-Pos5",'Shooter-Squad Assignment'!$Z:$Z,0)),""),"")))</f>
        <v/>
      </c>
      <c r="P62" s="89" t="str">
        <f>IF(ISBLANK(O62),"",IFERROR(INDEX('Tournament List'!$D:$D,MATCH(O62,'Tournament List'!$A:$A,0)),""))</f>
        <v/>
      </c>
    </row>
    <row r="63" spans="1:16" x14ac:dyDescent="0.3">
      <c r="A63" s="87">
        <v>62</v>
      </c>
      <c r="B63" s="88" t="str">
        <f>C63&amp;"-"&amp;E63&amp;"-"&amp;F63</f>
        <v>Forge Christian Shooting Team-Intermediate 2-Skeet</v>
      </c>
      <c r="C63" s="88" t="s">
        <v>321</v>
      </c>
      <c r="D63" s="88" t="str">
        <f>INDEX('Tournament Setup'!$B$59:$B$78,MATCH(E63,SquadConcurrents,0))</f>
        <v>Intermediate</v>
      </c>
      <c r="E63" s="88" t="s">
        <v>344</v>
      </c>
      <c r="F63" s="88" t="s">
        <v>143</v>
      </c>
      <c r="G63" s="96" t="str">
        <f>IF(F63="Skeet",IFERROR(INDEX('Shooter-Squad Assignment'!$A:$A,MATCH(C63&amp;"-"&amp;E63&amp;"-"&amp;F63&amp;"-Pos1",'Shooter-Squad Assignment'!$K:$K,0)),""),IF(F63="Trap",IFERROR(INDEX('Shooter-Squad Assignment'!$A:$A,MATCH(C63&amp;"-"&amp;E63&amp;"-"&amp;F63&amp;"-Pos1",'Shooter-Squad Assignment'!$W:$W,0)),""),IF(F63="Sporting Clays",IFERROR(INDEX('Shooter-Squad Assignment'!$A:$A,MATCH(C63&amp;"-"&amp;E63&amp;"-"&amp;F63&amp;"-Pos1",'Shooter-Squad Assignment'!$Z:$Z,0)),""),"")))</f>
        <v/>
      </c>
      <c r="H63" s="88" t="str">
        <f>IF(ISBLANK(G63),"",IFERROR(INDEX('Tournament List'!$D:$D,MATCH(G63,'Tournament List'!$A:$A,0)),""))</f>
        <v/>
      </c>
      <c r="I63" s="96" t="str">
        <f>IF(F63="Skeet",IFERROR(INDEX('Shooter-Squad Assignment'!$A:$A,MATCH(C63&amp;"-"&amp;E63&amp;"-"&amp;F63&amp;"-Pos2",'Shooter-Squad Assignment'!$K:$K,0)),""),IF(F63="Trap",IFERROR(INDEX('Shooter-Squad Assignment'!$A:$A,MATCH(C63&amp;"-"&amp;E63&amp;"-"&amp;F63&amp;"-Pos2",'Shooter-Squad Assignment'!$W:$W,0)),""),IF(F63="Sporting Clays",IFERROR(INDEX('Shooter-Squad Assignment'!$A:$A,MATCH(C63&amp;"-"&amp;E63&amp;"-"&amp;F63&amp;"-Pos2",'Shooter-Squad Assignment'!$Z:$Z,0)),""),"")))</f>
        <v/>
      </c>
      <c r="J63" s="88" t="str">
        <f>IF(ISBLANK(I63),"",IFERROR(INDEX('Tournament List'!$D:$D,MATCH(I63,'Tournament List'!$A:$A,0)),""))</f>
        <v/>
      </c>
      <c r="K63" s="96" t="str">
        <f>IF(F63="Skeet",IFERROR(INDEX('Shooter-Squad Assignment'!$A:$A,MATCH(C63&amp;"-"&amp;E63&amp;"-"&amp;F63&amp;"-Pos3",'Shooter-Squad Assignment'!$K:$K,0)),""),IF(F63="Trap",IFERROR(INDEX('Shooter-Squad Assignment'!$A:$A,MATCH(C63&amp;"-"&amp;E63&amp;"-"&amp;F63&amp;"-Pos3",'Shooter-Squad Assignment'!$W:$W,0)),""),IF(F63="Sporting Clays",IFERROR(INDEX('Shooter-Squad Assignment'!$A:$A,MATCH(C63&amp;"-"&amp;E63&amp;"-"&amp;F63&amp;"-Pos3",'Shooter-Squad Assignment'!$Z:$Z,0)),""),"")))</f>
        <v/>
      </c>
      <c r="L63" s="88" t="str">
        <f>IF(ISBLANK(K63),"",IFERROR(INDEX('Tournament List'!$D:$D,MATCH(K63,'Tournament List'!$A:$A,0)),""))</f>
        <v/>
      </c>
      <c r="M63" s="96" t="str">
        <f>IF(F63="Skeet",IFERROR(INDEX('Shooter-Squad Assignment'!$A:$A,MATCH(C63&amp;"-"&amp;E63&amp;"-"&amp;F63&amp;"-Pos4",'Shooter-Squad Assignment'!$K:$K,0)),""),IF(F63="Trap",IFERROR(INDEX('Shooter-Squad Assignment'!$A:$A,MATCH(C63&amp;"-"&amp;E63&amp;"-"&amp;F63&amp;"-Pos4",'Shooter-Squad Assignment'!$W:$W,0)),""),IF(F63="Sporting Clays",IFERROR(INDEX('Shooter-Squad Assignment'!$A:$A,MATCH(C63&amp;"-"&amp;E63&amp;"-"&amp;F63&amp;"-Pos4",'Shooter-Squad Assignment'!$Z:$Z,0)),""),"")))</f>
        <v/>
      </c>
      <c r="N63" s="88" t="str">
        <f>IF(ISBLANK(M63),"",IFERROR(INDEX('Tournament List'!$D:$D,MATCH(M63,'Tournament List'!$A:$A,0)),""))</f>
        <v/>
      </c>
      <c r="O63" s="96" t="str">
        <f>IF(F63="Skeet",IFERROR(INDEX('Shooter-Squad Assignment'!$A:$A,MATCH(C63&amp;"-"&amp;E63&amp;"-"&amp;F63&amp;"-Pos5",'Shooter-Squad Assignment'!$K:$K,0)),""),IF(F63="Trap",IFERROR(INDEX('Shooter-Squad Assignment'!$A:$A,MATCH(C63&amp;"-"&amp;E63&amp;"-"&amp;F63&amp;"-Pos5",'Shooter-Squad Assignment'!$W:$W,0)),""),IF(F63="Sporting Clays",IFERROR(INDEX('Shooter-Squad Assignment'!$A:$A,MATCH(C63&amp;"-"&amp;E63&amp;"-"&amp;F63&amp;"-Pos5",'Shooter-Squad Assignment'!$Z:$Z,0)),""),"")))</f>
        <v/>
      </c>
      <c r="P63" s="89" t="str">
        <f>IF(ISBLANK(O63),"",IFERROR(INDEX('Tournament List'!$D:$D,MATCH(O63,'Tournament List'!$A:$A,0)),""))</f>
        <v/>
      </c>
    </row>
    <row r="64" spans="1:16" x14ac:dyDescent="0.3">
      <c r="A64" s="87">
        <v>63</v>
      </c>
      <c r="B64" s="88" t="str">
        <f>C64&amp;"-"&amp;E64&amp;"-"&amp;F64</f>
        <v>Forge Christian Shooting Team-Intermediate 3-Skeet</v>
      </c>
      <c r="C64" s="88" t="s">
        <v>321</v>
      </c>
      <c r="D64" s="88" t="str">
        <f>INDEX('Tournament Setup'!$B$59:$B$78,MATCH(E64,SquadConcurrents,0))</f>
        <v>Intermediate</v>
      </c>
      <c r="E64" s="88" t="s">
        <v>350</v>
      </c>
      <c r="F64" s="88" t="s">
        <v>143</v>
      </c>
      <c r="G64" s="96" t="str">
        <f>IF(F64="Skeet",IFERROR(INDEX('Shooter-Squad Assignment'!$A:$A,MATCH(C64&amp;"-"&amp;E64&amp;"-"&amp;F64&amp;"-Pos1",'Shooter-Squad Assignment'!$K:$K,0)),""),IF(F64="Trap",IFERROR(INDEX('Shooter-Squad Assignment'!$A:$A,MATCH(C64&amp;"-"&amp;E64&amp;"-"&amp;F64&amp;"-Pos1",'Shooter-Squad Assignment'!$W:$W,0)),""),IF(F64="Sporting Clays",IFERROR(INDEX('Shooter-Squad Assignment'!$A:$A,MATCH(C64&amp;"-"&amp;E64&amp;"-"&amp;F64&amp;"-Pos1",'Shooter-Squad Assignment'!$Z:$Z,0)),""),"")))</f>
        <v/>
      </c>
      <c r="H64" s="88" t="str">
        <f>IF(ISBLANK(G64),"",IFERROR(INDEX('Tournament List'!$D:$D,MATCH(G64,'Tournament List'!$A:$A,0)),""))</f>
        <v/>
      </c>
      <c r="I64" s="96" t="str">
        <f>IF(F64="Skeet",IFERROR(INDEX('Shooter-Squad Assignment'!$A:$A,MATCH(C64&amp;"-"&amp;E64&amp;"-"&amp;F64&amp;"-Pos2",'Shooter-Squad Assignment'!$K:$K,0)),""),IF(F64="Trap",IFERROR(INDEX('Shooter-Squad Assignment'!$A:$A,MATCH(C64&amp;"-"&amp;E64&amp;"-"&amp;F64&amp;"-Pos2",'Shooter-Squad Assignment'!$W:$W,0)),""),IF(F64="Sporting Clays",IFERROR(INDEX('Shooter-Squad Assignment'!$A:$A,MATCH(C64&amp;"-"&amp;E64&amp;"-"&amp;F64&amp;"-Pos2",'Shooter-Squad Assignment'!$Z:$Z,0)),""),"")))</f>
        <v/>
      </c>
      <c r="J64" s="88" t="str">
        <f>IF(ISBLANK(I64),"",IFERROR(INDEX('Tournament List'!$D:$D,MATCH(I64,'Tournament List'!$A:$A,0)),""))</f>
        <v/>
      </c>
      <c r="K64" s="96" t="str">
        <f>IF(F64="Skeet",IFERROR(INDEX('Shooter-Squad Assignment'!$A:$A,MATCH(C64&amp;"-"&amp;E64&amp;"-"&amp;F64&amp;"-Pos3",'Shooter-Squad Assignment'!$K:$K,0)),""),IF(F64="Trap",IFERROR(INDEX('Shooter-Squad Assignment'!$A:$A,MATCH(C64&amp;"-"&amp;E64&amp;"-"&amp;F64&amp;"-Pos3",'Shooter-Squad Assignment'!$W:$W,0)),""),IF(F64="Sporting Clays",IFERROR(INDEX('Shooter-Squad Assignment'!$A:$A,MATCH(C64&amp;"-"&amp;E64&amp;"-"&amp;F64&amp;"-Pos3",'Shooter-Squad Assignment'!$Z:$Z,0)),""),"")))</f>
        <v/>
      </c>
      <c r="L64" s="88" t="str">
        <f>IF(ISBLANK(K64),"",IFERROR(INDEX('Tournament List'!$D:$D,MATCH(K64,'Tournament List'!$A:$A,0)),""))</f>
        <v/>
      </c>
      <c r="M64" s="96" t="str">
        <f>IF(F64="Skeet",IFERROR(INDEX('Shooter-Squad Assignment'!$A:$A,MATCH(C64&amp;"-"&amp;E64&amp;"-"&amp;F64&amp;"-Pos4",'Shooter-Squad Assignment'!$K:$K,0)),""),IF(F64="Trap",IFERROR(INDEX('Shooter-Squad Assignment'!$A:$A,MATCH(C64&amp;"-"&amp;E64&amp;"-"&amp;F64&amp;"-Pos4",'Shooter-Squad Assignment'!$W:$W,0)),""),IF(F64="Sporting Clays",IFERROR(INDEX('Shooter-Squad Assignment'!$A:$A,MATCH(C64&amp;"-"&amp;E64&amp;"-"&amp;F64&amp;"-Pos4",'Shooter-Squad Assignment'!$Z:$Z,0)),""),"")))</f>
        <v/>
      </c>
      <c r="N64" s="88" t="str">
        <f>IF(ISBLANK(M64),"",IFERROR(INDEX('Tournament List'!$D:$D,MATCH(M64,'Tournament List'!$A:$A,0)),""))</f>
        <v/>
      </c>
      <c r="O64" s="96" t="str">
        <f>IF(F64="Skeet",IFERROR(INDEX('Shooter-Squad Assignment'!$A:$A,MATCH(C64&amp;"-"&amp;E64&amp;"-"&amp;F64&amp;"-Pos5",'Shooter-Squad Assignment'!$K:$K,0)),""),IF(F64="Trap",IFERROR(INDEX('Shooter-Squad Assignment'!$A:$A,MATCH(C64&amp;"-"&amp;E64&amp;"-"&amp;F64&amp;"-Pos5",'Shooter-Squad Assignment'!$W:$W,0)),""),IF(F64="Sporting Clays",IFERROR(INDEX('Shooter-Squad Assignment'!$A:$A,MATCH(C64&amp;"-"&amp;E64&amp;"-"&amp;F64&amp;"-Pos5",'Shooter-Squad Assignment'!$Z:$Z,0)),""),"")))</f>
        <v/>
      </c>
      <c r="P64" s="89" t="str">
        <f>IF(ISBLANK(O64),"",IFERROR(INDEX('Tournament List'!$D:$D,MATCH(O64,'Tournament List'!$A:$A,0)),""))</f>
        <v/>
      </c>
    </row>
    <row r="65" spans="1:16" x14ac:dyDescent="0.3">
      <c r="A65" s="87">
        <v>64</v>
      </c>
      <c r="B65" s="88" t="str">
        <f>C65&amp;"-"&amp;E65&amp;"-"&amp;F65</f>
        <v>Forge Christian Shooting Team-Junior Varsity 1-Skeet</v>
      </c>
      <c r="C65" s="88" t="s">
        <v>321</v>
      </c>
      <c r="D65" s="88" t="str">
        <f>INDEX('Tournament Setup'!$B$59:$B$78,MATCH(E65,SquadConcurrents,0))</f>
        <v>Junior Varsity</v>
      </c>
      <c r="E65" s="88" t="s">
        <v>339</v>
      </c>
      <c r="F65" s="88" t="s">
        <v>143</v>
      </c>
      <c r="G65" s="96" t="str">
        <f>IF(F65="Skeet",IFERROR(INDEX('Shooter-Squad Assignment'!$A:$A,MATCH(C65&amp;"-"&amp;E65&amp;"-"&amp;F65&amp;"-Pos1",'Shooter-Squad Assignment'!$K:$K,0)),""),IF(F65="Trap",IFERROR(INDEX('Shooter-Squad Assignment'!$A:$A,MATCH(C65&amp;"-"&amp;E65&amp;"-"&amp;F65&amp;"-Pos1",'Shooter-Squad Assignment'!$W:$W,0)),""),IF(F65="Sporting Clays",IFERROR(INDEX('Shooter-Squad Assignment'!$A:$A,MATCH(C65&amp;"-"&amp;E65&amp;"-"&amp;F65&amp;"-Pos1",'Shooter-Squad Assignment'!$Z:$Z,0)),""),"")))</f>
        <v/>
      </c>
      <c r="H65" s="88" t="str">
        <f>IF(ISBLANK(G65),"",IFERROR(INDEX('Tournament List'!$D:$D,MATCH(G65,'Tournament List'!$A:$A,0)),""))</f>
        <v/>
      </c>
      <c r="I65" s="96" t="str">
        <f>IF(F65="Skeet",IFERROR(INDEX('Shooter-Squad Assignment'!$A:$A,MATCH(C65&amp;"-"&amp;E65&amp;"-"&amp;F65&amp;"-Pos2",'Shooter-Squad Assignment'!$K:$K,0)),""),IF(F65="Trap",IFERROR(INDEX('Shooter-Squad Assignment'!$A:$A,MATCH(C65&amp;"-"&amp;E65&amp;"-"&amp;F65&amp;"-Pos2",'Shooter-Squad Assignment'!$W:$W,0)),""),IF(F65="Sporting Clays",IFERROR(INDEX('Shooter-Squad Assignment'!$A:$A,MATCH(C65&amp;"-"&amp;E65&amp;"-"&amp;F65&amp;"-Pos2",'Shooter-Squad Assignment'!$Z:$Z,0)),""),"")))</f>
        <v/>
      </c>
      <c r="J65" s="88" t="str">
        <f>IF(ISBLANK(I65),"",IFERROR(INDEX('Tournament List'!$D:$D,MATCH(I65,'Tournament List'!$A:$A,0)),""))</f>
        <v/>
      </c>
      <c r="K65" s="96" t="str">
        <f>IF(F65="Skeet",IFERROR(INDEX('Shooter-Squad Assignment'!$A:$A,MATCH(C65&amp;"-"&amp;E65&amp;"-"&amp;F65&amp;"-Pos3",'Shooter-Squad Assignment'!$K:$K,0)),""),IF(F65="Trap",IFERROR(INDEX('Shooter-Squad Assignment'!$A:$A,MATCH(C65&amp;"-"&amp;E65&amp;"-"&amp;F65&amp;"-Pos3",'Shooter-Squad Assignment'!$W:$W,0)),""),IF(F65="Sporting Clays",IFERROR(INDEX('Shooter-Squad Assignment'!$A:$A,MATCH(C65&amp;"-"&amp;E65&amp;"-"&amp;F65&amp;"-Pos3",'Shooter-Squad Assignment'!$Z:$Z,0)),""),"")))</f>
        <v/>
      </c>
      <c r="L65" s="88" t="str">
        <f>IF(ISBLANK(K65),"",IFERROR(INDEX('Tournament List'!$D:$D,MATCH(K65,'Tournament List'!$A:$A,0)),""))</f>
        <v/>
      </c>
      <c r="M65" s="96" t="str">
        <f>IF(F65="Skeet",IFERROR(INDEX('Shooter-Squad Assignment'!$A:$A,MATCH(C65&amp;"-"&amp;E65&amp;"-"&amp;F65&amp;"-Pos4",'Shooter-Squad Assignment'!$K:$K,0)),""),IF(F65="Trap",IFERROR(INDEX('Shooter-Squad Assignment'!$A:$A,MATCH(C65&amp;"-"&amp;E65&amp;"-"&amp;F65&amp;"-Pos4",'Shooter-Squad Assignment'!$W:$W,0)),""),IF(F65="Sporting Clays",IFERROR(INDEX('Shooter-Squad Assignment'!$A:$A,MATCH(C65&amp;"-"&amp;E65&amp;"-"&amp;F65&amp;"-Pos4",'Shooter-Squad Assignment'!$Z:$Z,0)),""),"")))</f>
        <v/>
      </c>
      <c r="N65" s="88" t="str">
        <f>IF(ISBLANK(M65),"",IFERROR(INDEX('Tournament List'!$D:$D,MATCH(M65,'Tournament List'!$A:$A,0)),""))</f>
        <v/>
      </c>
      <c r="O65" s="96" t="str">
        <f>IF(F65="Skeet",IFERROR(INDEX('Shooter-Squad Assignment'!$A:$A,MATCH(C65&amp;"-"&amp;E65&amp;"-"&amp;F65&amp;"-Pos5",'Shooter-Squad Assignment'!$K:$K,0)),""),IF(F65="Trap",IFERROR(INDEX('Shooter-Squad Assignment'!$A:$A,MATCH(C65&amp;"-"&amp;E65&amp;"-"&amp;F65&amp;"-Pos5",'Shooter-Squad Assignment'!$W:$W,0)),""),IF(F65="Sporting Clays",IFERROR(INDEX('Shooter-Squad Assignment'!$A:$A,MATCH(C65&amp;"-"&amp;E65&amp;"-"&amp;F65&amp;"-Pos5",'Shooter-Squad Assignment'!$Z:$Z,0)),""),"")))</f>
        <v/>
      </c>
      <c r="P65" s="89" t="str">
        <f>IF(ISBLANK(O65),"",IFERROR(INDEX('Tournament List'!$D:$D,MATCH(O65,'Tournament List'!$A:$A,0)),""))</f>
        <v/>
      </c>
    </row>
    <row r="66" spans="1:16" x14ac:dyDescent="0.3">
      <c r="A66" s="87">
        <v>65</v>
      </c>
      <c r="B66" s="88" t="str">
        <f>C66&amp;"-"&amp;E66&amp;"-"&amp;F66</f>
        <v>Forge Christian Shooting Team-Junior Varsity 2-Skeet</v>
      </c>
      <c r="C66" s="88" t="s">
        <v>321</v>
      </c>
      <c r="D66" s="88" t="str">
        <f>INDEX('Tournament Setup'!$B$59:$B$78,MATCH(E66,SquadConcurrents,0))</f>
        <v>Junior Varsity</v>
      </c>
      <c r="E66" s="88" t="s">
        <v>345</v>
      </c>
      <c r="F66" s="88" t="s">
        <v>143</v>
      </c>
      <c r="G66" s="96" t="str">
        <f>IF(F66="Skeet",IFERROR(INDEX('Shooter-Squad Assignment'!$A:$A,MATCH(C66&amp;"-"&amp;E66&amp;"-"&amp;F66&amp;"-Pos1",'Shooter-Squad Assignment'!$K:$K,0)),""),IF(F66="Trap",IFERROR(INDEX('Shooter-Squad Assignment'!$A:$A,MATCH(C66&amp;"-"&amp;E66&amp;"-"&amp;F66&amp;"-Pos1",'Shooter-Squad Assignment'!$W:$W,0)),""),IF(F66="Sporting Clays",IFERROR(INDEX('Shooter-Squad Assignment'!$A:$A,MATCH(C66&amp;"-"&amp;E66&amp;"-"&amp;F66&amp;"-Pos1",'Shooter-Squad Assignment'!$Z:$Z,0)),""),"")))</f>
        <v/>
      </c>
      <c r="H66" s="88" t="str">
        <f>IF(ISBLANK(G66),"",IFERROR(INDEX('Tournament List'!$D:$D,MATCH(G66,'Tournament List'!$A:$A,0)),""))</f>
        <v/>
      </c>
      <c r="I66" s="96" t="str">
        <f>IF(F66="Skeet",IFERROR(INDEX('Shooter-Squad Assignment'!$A:$A,MATCH(C66&amp;"-"&amp;E66&amp;"-"&amp;F66&amp;"-Pos2",'Shooter-Squad Assignment'!$K:$K,0)),""),IF(F66="Trap",IFERROR(INDEX('Shooter-Squad Assignment'!$A:$A,MATCH(C66&amp;"-"&amp;E66&amp;"-"&amp;F66&amp;"-Pos2",'Shooter-Squad Assignment'!$W:$W,0)),""),IF(F66="Sporting Clays",IFERROR(INDEX('Shooter-Squad Assignment'!$A:$A,MATCH(C66&amp;"-"&amp;E66&amp;"-"&amp;F66&amp;"-Pos2",'Shooter-Squad Assignment'!$Z:$Z,0)),""),"")))</f>
        <v/>
      </c>
      <c r="J66" s="88" t="str">
        <f>IF(ISBLANK(I66),"",IFERROR(INDEX('Tournament List'!$D:$D,MATCH(I66,'Tournament List'!$A:$A,0)),""))</f>
        <v/>
      </c>
      <c r="K66" s="96" t="str">
        <f>IF(F66="Skeet",IFERROR(INDEX('Shooter-Squad Assignment'!$A:$A,MATCH(C66&amp;"-"&amp;E66&amp;"-"&amp;F66&amp;"-Pos3",'Shooter-Squad Assignment'!$K:$K,0)),""),IF(F66="Trap",IFERROR(INDEX('Shooter-Squad Assignment'!$A:$A,MATCH(C66&amp;"-"&amp;E66&amp;"-"&amp;F66&amp;"-Pos3",'Shooter-Squad Assignment'!$W:$W,0)),""),IF(F66="Sporting Clays",IFERROR(INDEX('Shooter-Squad Assignment'!$A:$A,MATCH(C66&amp;"-"&amp;E66&amp;"-"&amp;F66&amp;"-Pos3",'Shooter-Squad Assignment'!$Z:$Z,0)),""),"")))</f>
        <v/>
      </c>
      <c r="L66" s="88" t="str">
        <f>IF(ISBLANK(K66),"",IFERROR(INDEX('Tournament List'!$D:$D,MATCH(K66,'Tournament List'!$A:$A,0)),""))</f>
        <v/>
      </c>
      <c r="M66" s="96" t="str">
        <f>IF(F66="Skeet",IFERROR(INDEX('Shooter-Squad Assignment'!$A:$A,MATCH(C66&amp;"-"&amp;E66&amp;"-"&amp;F66&amp;"-Pos4",'Shooter-Squad Assignment'!$K:$K,0)),""),IF(F66="Trap",IFERROR(INDEX('Shooter-Squad Assignment'!$A:$A,MATCH(C66&amp;"-"&amp;E66&amp;"-"&amp;F66&amp;"-Pos4",'Shooter-Squad Assignment'!$W:$W,0)),""),IF(F66="Sporting Clays",IFERROR(INDEX('Shooter-Squad Assignment'!$A:$A,MATCH(C66&amp;"-"&amp;E66&amp;"-"&amp;F66&amp;"-Pos4",'Shooter-Squad Assignment'!$Z:$Z,0)),""),"")))</f>
        <v/>
      </c>
      <c r="N66" s="88" t="str">
        <f>IF(ISBLANK(M66),"",IFERROR(INDEX('Tournament List'!$D:$D,MATCH(M66,'Tournament List'!$A:$A,0)),""))</f>
        <v/>
      </c>
      <c r="O66" s="96" t="str">
        <f>IF(F66="Skeet",IFERROR(INDEX('Shooter-Squad Assignment'!$A:$A,MATCH(C66&amp;"-"&amp;E66&amp;"-"&amp;F66&amp;"-Pos5",'Shooter-Squad Assignment'!$K:$K,0)),""),IF(F66="Trap",IFERROR(INDEX('Shooter-Squad Assignment'!$A:$A,MATCH(C66&amp;"-"&amp;E66&amp;"-"&amp;F66&amp;"-Pos5",'Shooter-Squad Assignment'!$W:$W,0)),""),IF(F66="Sporting Clays",IFERROR(INDEX('Shooter-Squad Assignment'!$A:$A,MATCH(C66&amp;"-"&amp;E66&amp;"-"&amp;F66&amp;"-Pos5",'Shooter-Squad Assignment'!$Z:$Z,0)),""),"")))</f>
        <v/>
      </c>
      <c r="P66" s="89" t="str">
        <f>IF(ISBLANK(O66),"",IFERROR(INDEX('Tournament List'!$D:$D,MATCH(O66,'Tournament List'!$A:$A,0)),""))</f>
        <v/>
      </c>
    </row>
    <row r="67" spans="1:16" x14ac:dyDescent="0.3">
      <c r="A67" s="87">
        <v>66</v>
      </c>
      <c r="B67" s="88" t="str">
        <f>C67&amp;"-"&amp;E67&amp;"-"&amp;F67</f>
        <v>Forge Christian Shooting Team-Junior Varsity 3-Skeet</v>
      </c>
      <c r="C67" s="88" t="s">
        <v>321</v>
      </c>
      <c r="D67" s="88" t="str">
        <f>INDEX('Tournament Setup'!$B$59:$B$78,MATCH(E67,SquadConcurrents,0))</f>
        <v>Junior Varsity</v>
      </c>
      <c r="E67" s="88" t="s">
        <v>351</v>
      </c>
      <c r="F67" s="88" t="s">
        <v>143</v>
      </c>
      <c r="G67" s="96" t="str">
        <f>IF(F67="Skeet",IFERROR(INDEX('Shooter-Squad Assignment'!$A:$A,MATCH(C67&amp;"-"&amp;E67&amp;"-"&amp;F67&amp;"-Pos1",'Shooter-Squad Assignment'!$K:$K,0)),""),IF(F67="Trap",IFERROR(INDEX('Shooter-Squad Assignment'!$A:$A,MATCH(C67&amp;"-"&amp;E67&amp;"-"&amp;F67&amp;"-Pos1",'Shooter-Squad Assignment'!$W:$W,0)),""),IF(F67="Sporting Clays",IFERROR(INDEX('Shooter-Squad Assignment'!$A:$A,MATCH(C67&amp;"-"&amp;E67&amp;"-"&amp;F67&amp;"-Pos1",'Shooter-Squad Assignment'!$Z:$Z,0)),""),"")))</f>
        <v/>
      </c>
      <c r="H67" s="88" t="str">
        <f>IF(ISBLANK(G67),"",IFERROR(INDEX('Tournament List'!$D:$D,MATCH(G67,'Tournament List'!$A:$A,0)),""))</f>
        <v/>
      </c>
      <c r="I67" s="96" t="str">
        <f>IF(F67="Skeet",IFERROR(INDEX('Shooter-Squad Assignment'!$A:$A,MATCH(C67&amp;"-"&amp;E67&amp;"-"&amp;F67&amp;"-Pos2",'Shooter-Squad Assignment'!$K:$K,0)),""),IF(F67="Trap",IFERROR(INDEX('Shooter-Squad Assignment'!$A:$A,MATCH(C67&amp;"-"&amp;E67&amp;"-"&amp;F67&amp;"-Pos2",'Shooter-Squad Assignment'!$W:$W,0)),""),IF(F67="Sporting Clays",IFERROR(INDEX('Shooter-Squad Assignment'!$A:$A,MATCH(C67&amp;"-"&amp;E67&amp;"-"&amp;F67&amp;"-Pos2",'Shooter-Squad Assignment'!$Z:$Z,0)),""),"")))</f>
        <v/>
      </c>
      <c r="J67" s="88" t="str">
        <f>IF(ISBLANK(I67),"",IFERROR(INDEX('Tournament List'!$D:$D,MATCH(I67,'Tournament List'!$A:$A,0)),""))</f>
        <v/>
      </c>
      <c r="K67" s="96" t="str">
        <f>IF(F67="Skeet",IFERROR(INDEX('Shooter-Squad Assignment'!$A:$A,MATCH(C67&amp;"-"&amp;E67&amp;"-"&amp;F67&amp;"-Pos3",'Shooter-Squad Assignment'!$K:$K,0)),""),IF(F67="Trap",IFERROR(INDEX('Shooter-Squad Assignment'!$A:$A,MATCH(C67&amp;"-"&amp;E67&amp;"-"&amp;F67&amp;"-Pos3",'Shooter-Squad Assignment'!$W:$W,0)),""),IF(F67="Sporting Clays",IFERROR(INDEX('Shooter-Squad Assignment'!$A:$A,MATCH(C67&amp;"-"&amp;E67&amp;"-"&amp;F67&amp;"-Pos3",'Shooter-Squad Assignment'!$Z:$Z,0)),""),"")))</f>
        <v/>
      </c>
      <c r="L67" s="88" t="str">
        <f>IF(ISBLANK(K67),"",IFERROR(INDEX('Tournament List'!$D:$D,MATCH(K67,'Tournament List'!$A:$A,0)),""))</f>
        <v/>
      </c>
      <c r="M67" s="96" t="str">
        <f>IF(F67="Skeet",IFERROR(INDEX('Shooter-Squad Assignment'!$A:$A,MATCH(C67&amp;"-"&amp;E67&amp;"-"&amp;F67&amp;"-Pos4",'Shooter-Squad Assignment'!$K:$K,0)),""),IF(F67="Trap",IFERROR(INDEX('Shooter-Squad Assignment'!$A:$A,MATCH(C67&amp;"-"&amp;E67&amp;"-"&amp;F67&amp;"-Pos4",'Shooter-Squad Assignment'!$W:$W,0)),""),IF(F67="Sporting Clays",IFERROR(INDEX('Shooter-Squad Assignment'!$A:$A,MATCH(C67&amp;"-"&amp;E67&amp;"-"&amp;F67&amp;"-Pos4",'Shooter-Squad Assignment'!$Z:$Z,0)),""),"")))</f>
        <v/>
      </c>
      <c r="N67" s="88" t="str">
        <f>IF(ISBLANK(M67),"",IFERROR(INDEX('Tournament List'!$D:$D,MATCH(M67,'Tournament List'!$A:$A,0)),""))</f>
        <v/>
      </c>
      <c r="O67" s="96" t="str">
        <f>IF(F67="Skeet",IFERROR(INDEX('Shooter-Squad Assignment'!$A:$A,MATCH(C67&amp;"-"&amp;E67&amp;"-"&amp;F67&amp;"-Pos5",'Shooter-Squad Assignment'!$K:$K,0)),""),IF(F67="Trap",IFERROR(INDEX('Shooter-Squad Assignment'!$A:$A,MATCH(C67&amp;"-"&amp;E67&amp;"-"&amp;F67&amp;"-Pos5",'Shooter-Squad Assignment'!$W:$W,0)),""),IF(F67="Sporting Clays",IFERROR(INDEX('Shooter-Squad Assignment'!$A:$A,MATCH(C67&amp;"-"&amp;E67&amp;"-"&amp;F67&amp;"-Pos5",'Shooter-Squad Assignment'!$Z:$Z,0)),""),"")))</f>
        <v/>
      </c>
      <c r="P67" s="89" t="str">
        <f>IF(ISBLANK(O67),"",IFERROR(INDEX('Tournament List'!$D:$D,MATCH(O67,'Tournament List'!$A:$A,0)),""))</f>
        <v/>
      </c>
    </row>
    <row r="68" spans="1:16" x14ac:dyDescent="0.3">
      <c r="A68" s="87">
        <v>67</v>
      </c>
      <c r="B68" s="88" t="str">
        <f>C68&amp;"-"&amp;E68&amp;"-"&amp;F68</f>
        <v>Forge Christian Shooting Team-Novice 1-Skeet</v>
      </c>
      <c r="C68" s="88" t="s">
        <v>321</v>
      </c>
      <c r="D68" s="88" t="str">
        <f>INDEX('Tournament Setup'!$B$59:$B$78,MATCH(E68,SquadConcurrents,0))</f>
        <v>Novice</v>
      </c>
      <c r="E68" s="88" t="s">
        <v>337</v>
      </c>
      <c r="F68" s="88" t="s">
        <v>143</v>
      </c>
      <c r="G68" s="96" t="str">
        <f>IF(F68="Skeet",IFERROR(INDEX('Shooter-Squad Assignment'!$A:$A,MATCH(C68&amp;"-"&amp;E68&amp;"-"&amp;F68&amp;"-Pos1",'Shooter-Squad Assignment'!$K:$K,0)),""),IF(F68="Trap",IFERROR(INDEX('Shooter-Squad Assignment'!$A:$A,MATCH(C68&amp;"-"&amp;E68&amp;"-"&amp;F68&amp;"-Pos1",'Shooter-Squad Assignment'!$W:$W,0)),""),IF(F68="Sporting Clays",IFERROR(INDEX('Shooter-Squad Assignment'!$A:$A,MATCH(C68&amp;"-"&amp;E68&amp;"-"&amp;F68&amp;"-Pos1",'Shooter-Squad Assignment'!$Z:$Z,0)),""),"")))</f>
        <v/>
      </c>
      <c r="H68" s="88" t="str">
        <f>IF(ISBLANK(G68),"",IFERROR(INDEX('Tournament List'!$D:$D,MATCH(G68,'Tournament List'!$A:$A,0)),""))</f>
        <v/>
      </c>
      <c r="I68" s="96" t="str">
        <f>IF(F68="Skeet",IFERROR(INDEX('Shooter-Squad Assignment'!$A:$A,MATCH(C68&amp;"-"&amp;E68&amp;"-"&amp;F68&amp;"-Pos2",'Shooter-Squad Assignment'!$K:$K,0)),""),IF(F68="Trap",IFERROR(INDEX('Shooter-Squad Assignment'!$A:$A,MATCH(C68&amp;"-"&amp;E68&amp;"-"&amp;F68&amp;"-Pos2",'Shooter-Squad Assignment'!$W:$W,0)),""),IF(F68="Sporting Clays",IFERROR(INDEX('Shooter-Squad Assignment'!$A:$A,MATCH(C68&amp;"-"&amp;E68&amp;"-"&amp;F68&amp;"-Pos2",'Shooter-Squad Assignment'!$Z:$Z,0)),""),"")))</f>
        <v/>
      </c>
      <c r="J68" s="88" t="str">
        <f>IF(ISBLANK(I68),"",IFERROR(INDEX('Tournament List'!$D:$D,MATCH(I68,'Tournament List'!$A:$A,0)),""))</f>
        <v/>
      </c>
      <c r="K68" s="96" t="str">
        <f>IF(F68="Skeet",IFERROR(INDEX('Shooter-Squad Assignment'!$A:$A,MATCH(C68&amp;"-"&amp;E68&amp;"-"&amp;F68&amp;"-Pos3",'Shooter-Squad Assignment'!$K:$K,0)),""),IF(F68="Trap",IFERROR(INDEX('Shooter-Squad Assignment'!$A:$A,MATCH(C68&amp;"-"&amp;E68&amp;"-"&amp;F68&amp;"-Pos3",'Shooter-Squad Assignment'!$W:$W,0)),""),IF(F68="Sporting Clays",IFERROR(INDEX('Shooter-Squad Assignment'!$A:$A,MATCH(C68&amp;"-"&amp;E68&amp;"-"&amp;F68&amp;"-Pos3",'Shooter-Squad Assignment'!$Z:$Z,0)),""),"")))</f>
        <v/>
      </c>
      <c r="L68" s="88" t="str">
        <f>IF(ISBLANK(K68),"",IFERROR(INDEX('Tournament List'!$D:$D,MATCH(K68,'Tournament List'!$A:$A,0)),""))</f>
        <v/>
      </c>
      <c r="M68" s="96" t="str">
        <f>IF(F68="Skeet",IFERROR(INDEX('Shooter-Squad Assignment'!$A:$A,MATCH(C68&amp;"-"&amp;E68&amp;"-"&amp;F68&amp;"-Pos4",'Shooter-Squad Assignment'!$K:$K,0)),""),IF(F68="Trap",IFERROR(INDEX('Shooter-Squad Assignment'!$A:$A,MATCH(C68&amp;"-"&amp;E68&amp;"-"&amp;F68&amp;"-Pos4",'Shooter-Squad Assignment'!$W:$W,0)),""),IF(F68="Sporting Clays",IFERROR(INDEX('Shooter-Squad Assignment'!$A:$A,MATCH(C68&amp;"-"&amp;E68&amp;"-"&amp;F68&amp;"-Pos4",'Shooter-Squad Assignment'!$Z:$Z,0)),""),"")))</f>
        <v/>
      </c>
      <c r="N68" s="88" t="str">
        <f>IF(ISBLANK(M68),"",IFERROR(INDEX('Tournament List'!$D:$D,MATCH(M68,'Tournament List'!$A:$A,0)),""))</f>
        <v/>
      </c>
      <c r="O68" s="96" t="str">
        <f>IF(F68="Skeet",IFERROR(INDEX('Shooter-Squad Assignment'!$A:$A,MATCH(C68&amp;"-"&amp;E68&amp;"-"&amp;F68&amp;"-Pos5",'Shooter-Squad Assignment'!$K:$K,0)),""),IF(F68="Trap",IFERROR(INDEX('Shooter-Squad Assignment'!$A:$A,MATCH(C68&amp;"-"&amp;E68&amp;"-"&amp;F68&amp;"-Pos5",'Shooter-Squad Assignment'!$W:$W,0)),""),IF(F68="Sporting Clays",IFERROR(INDEX('Shooter-Squad Assignment'!$A:$A,MATCH(C68&amp;"-"&amp;E68&amp;"-"&amp;F68&amp;"-Pos5",'Shooter-Squad Assignment'!$Z:$Z,0)),""),"")))</f>
        <v/>
      </c>
      <c r="P68" s="89" t="str">
        <f>IF(ISBLANK(O68),"",IFERROR(INDEX('Tournament List'!$D:$D,MATCH(O68,'Tournament List'!$A:$A,0)),""))</f>
        <v/>
      </c>
    </row>
    <row r="69" spans="1:16" x14ac:dyDescent="0.3">
      <c r="A69" s="87">
        <v>68</v>
      </c>
      <c r="B69" s="88" t="str">
        <f>C69&amp;"-"&amp;E69&amp;"-"&amp;F69</f>
        <v>Forge Christian Shooting Team-Novice 2-Skeet</v>
      </c>
      <c r="C69" s="88" t="s">
        <v>321</v>
      </c>
      <c r="D69" s="88" t="str">
        <f>INDEX('Tournament Setup'!$B$59:$B$78,MATCH(E69,SquadConcurrents,0))</f>
        <v>Novice</v>
      </c>
      <c r="E69" s="88" t="s">
        <v>343</v>
      </c>
      <c r="F69" s="88" t="s">
        <v>143</v>
      </c>
      <c r="G69" s="96" t="str">
        <f>IF(F69="Skeet",IFERROR(INDEX('Shooter-Squad Assignment'!$A:$A,MATCH(C69&amp;"-"&amp;E69&amp;"-"&amp;F69&amp;"-Pos1",'Shooter-Squad Assignment'!$K:$K,0)),""),IF(F69="Trap",IFERROR(INDEX('Shooter-Squad Assignment'!$A:$A,MATCH(C69&amp;"-"&amp;E69&amp;"-"&amp;F69&amp;"-Pos1",'Shooter-Squad Assignment'!$W:$W,0)),""),IF(F69="Sporting Clays",IFERROR(INDEX('Shooter-Squad Assignment'!$A:$A,MATCH(C69&amp;"-"&amp;E69&amp;"-"&amp;F69&amp;"-Pos1",'Shooter-Squad Assignment'!$Z:$Z,0)),""),"")))</f>
        <v/>
      </c>
      <c r="H69" s="88" t="str">
        <f>IF(ISBLANK(G69),"",IFERROR(INDEX('Tournament List'!$D:$D,MATCH(G69,'Tournament List'!$A:$A,0)),""))</f>
        <v/>
      </c>
      <c r="I69" s="96" t="str">
        <f>IF(F69="Skeet",IFERROR(INDEX('Shooter-Squad Assignment'!$A:$A,MATCH(C69&amp;"-"&amp;E69&amp;"-"&amp;F69&amp;"-Pos2",'Shooter-Squad Assignment'!$K:$K,0)),""),IF(F69="Trap",IFERROR(INDEX('Shooter-Squad Assignment'!$A:$A,MATCH(C69&amp;"-"&amp;E69&amp;"-"&amp;F69&amp;"-Pos2",'Shooter-Squad Assignment'!$W:$W,0)),""),IF(F69="Sporting Clays",IFERROR(INDEX('Shooter-Squad Assignment'!$A:$A,MATCH(C69&amp;"-"&amp;E69&amp;"-"&amp;F69&amp;"-Pos2",'Shooter-Squad Assignment'!$Z:$Z,0)),""),"")))</f>
        <v/>
      </c>
      <c r="J69" s="88" t="str">
        <f>IF(ISBLANK(I69),"",IFERROR(INDEX('Tournament List'!$D:$D,MATCH(I69,'Tournament List'!$A:$A,0)),""))</f>
        <v/>
      </c>
      <c r="K69" s="96" t="str">
        <f>IF(F69="Skeet",IFERROR(INDEX('Shooter-Squad Assignment'!$A:$A,MATCH(C69&amp;"-"&amp;E69&amp;"-"&amp;F69&amp;"-Pos3",'Shooter-Squad Assignment'!$K:$K,0)),""),IF(F69="Trap",IFERROR(INDEX('Shooter-Squad Assignment'!$A:$A,MATCH(C69&amp;"-"&amp;E69&amp;"-"&amp;F69&amp;"-Pos3",'Shooter-Squad Assignment'!$W:$W,0)),""),IF(F69="Sporting Clays",IFERROR(INDEX('Shooter-Squad Assignment'!$A:$A,MATCH(C69&amp;"-"&amp;E69&amp;"-"&amp;F69&amp;"-Pos3",'Shooter-Squad Assignment'!$Z:$Z,0)),""),"")))</f>
        <v/>
      </c>
      <c r="L69" s="88" t="str">
        <f>IF(ISBLANK(K69),"",IFERROR(INDEX('Tournament List'!$D:$D,MATCH(K69,'Tournament List'!$A:$A,0)),""))</f>
        <v/>
      </c>
      <c r="M69" s="96" t="str">
        <f>IF(F69="Skeet",IFERROR(INDEX('Shooter-Squad Assignment'!$A:$A,MATCH(C69&amp;"-"&amp;E69&amp;"-"&amp;F69&amp;"-Pos4",'Shooter-Squad Assignment'!$K:$K,0)),""),IF(F69="Trap",IFERROR(INDEX('Shooter-Squad Assignment'!$A:$A,MATCH(C69&amp;"-"&amp;E69&amp;"-"&amp;F69&amp;"-Pos4",'Shooter-Squad Assignment'!$W:$W,0)),""),IF(F69="Sporting Clays",IFERROR(INDEX('Shooter-Squad Assignment'!$A:$A,MATCH(C69&amp;"-"&amp;E69&amp;"-"&amp;F69&amp;"-Pos4",'Shooter-Squad Assignment'!$Z:$Z,0)),""),"")))</f>
        <v/>
      </c>
      <c r="N69" s="88" t="str">
        <f>IF(ISBLANK(M69),"",IFERROR(INDEX('Tournament List'!$D:$D,MATCH(M69,'Tournament List'!$A:$A,0)),""))</f>
        <v/>
      </c>
      <c r="O69" s="96" t="str">
        <f>IF(F69="Skeet",IFERROR(INDEX('Shooter-Squad Assignment'!$A:$A,MATCH(C69&amp;"-"&amp;E69&amp;"-"&amp;F69&amp;"-Pos5",'Shooter-Squad Assignment'!$K:$K,0)),""),IF(F69="Trap",IFERROR(INDEX('Shooter-Squad Assignment'!$A:$A,MATCH(C69&amp;"-"&amp;E69&amp;"-"&amp;F69&amp;"-Pos5",'Shooter-Squad Assignment'!$W:$W,0)),""),IF(F69="Sporting Clays",IFERROR(INDEX('Shooter-Squad Assignment'!$A:$A,MATCH(C69&amp;"-"&amp;E69&amp;"-"&amp;F69&amp;"-Pos5",'Shooter-Squad Assignment'!$Z:$Z,0)),""),"")))</f>
        <v/>
      </c>
      <c r="P69" s="89" t="str">
        <f>IF(ISBLANK(O69),"",IFERROR(INDEX('Tournament List'!$D:$D,MATCH(O69,'Tournament List'!$A:$A,0)),""))</f>
        <v/>
      </c>
    </row>
    <row r="70" spans="1:16" x14ac:dyDescent="0.3">
      <c r="A70" s="87">
        <v>69</v>
      </c>
      <c r="B70" s="88" t="str">
        <f>C70&amp;"-"&amp;E70&amp;"-"&amp;F70</f>
        <v>Forge Christian Shooting Team-Novice 3-Skeet</v>
      </c>
      <c r="C70" s="88" t="s">
        <v>321</v>
      </c>
      <c r="D70" s="88" t="str">
        <f>INDEX('Tournament Setup'!$B$59:$B$78,MATCH(E70,SquadConcurrents,0))</f>
        <v>Novice</v>
      </c>
      <c r="E70" s="88" t="s">
        <v>349</v>
      </c>
      <c r="F70" s="88" t="s">
        <v>143</v>
      </c>
      <c r="G70" s="96" t="str">
        <f>IF(F70="Skeet",IFERROR(INDEX('Shooter-Squad Assignment'!$A:$A,MATCH(C70&amp;"-"&amp;E70&amp;"-"&amp;F70&amp;"-Pos1",'Shooter-Squad Assignment'!$K:$K,0)),""),IF(F70="Trap",IFERROR(INDEX('Shooter-Squad Assignment'!$A:$A,MATCH(C70&amp;"-"&amp;E70&amp;"-"&amp;F70&amp;"-Pos1",'Shooter-Squad Assignment'!$W:$W,0)),""),IF(F70="Sporting Clays",IFERROR(INDEX('Shooter-Squad Assignment'!$A:$A,MATCH(C70&amp;"-"&amp;E70&amp;"-"&amp;F70&amp;"-Pos1",'Shooter-Squad Assignment'!$Z:$Z,0)),""),"")))</f>
        <v/>
      </c>
      <c r="H70" s="88" t="str">
        <f>IF(ISBLANK(G70),"",IFERROR(INDEX('Tournament List'!$D:$D,MATCH(G70,'Tournament List'!$A:$A,0)),""))</f>
        <v/>
      </c>
      <c r="I70" s="96" t="str">
        <f>IF(F70="Skeet",IFERROR(INDEX('Shooter-Squad Assignment'!$A:$A,MATCH(C70&amp;"-"&amp;E70&amp;"-"&amp;F70&amp;"-Pos2",'Shooter-Squad Assignment'!$K:$K,0)),""),IF(F70="Trap",IFERROR(INDEX('Shooter-Squad Assignment'!$A:$A,MATCH(C70&amp;"-"&amp;E70&amp;"-"&amp;F70&amp;"-Pos2",'Shooter-Squad Assignment'!$W:$W,0)),""),IF(F70="Sporting Clays",IFERROR(INDEX('Shooter-Squad Assignment'!$A:$A,MATCH(C70&amp;"-"&amp;E70&amp;"-"&amp;F70&amp;"-Pos2",'Shooter-Squad Assignment'!$Z:$Z,0)),""),"")))</f>
        <v/>
      </c>
      <c r="J70" s="88" t="str">
        <f>IF(ISBLANK(I70),"",IFERROR(INDEX('Tournament List'!$D:$D,MATCH(I70,'Tournament List'!$A:$A,0)),""))</f>
        <v/>
      </c>
      <c r="K70" s="96" t="str">
        <f>IF(F70="Skeet",IFERROR(INDEX('Shooter-Squad Assignment'!$A:$A,MATCH(C70&amp;"-"&amp;E70&amp;"-"&amp;F70&amp;"-Pos3",'Shooter-Squad Assignment'!$K:$K,0)),""),IF(F70="Trap",IFERROR(INDEX('Shooter-Squad Assignment'!$A:$A,MATCH(C70&amp;"-"&amp;E70&amp;"-"&amp;F70&amp;"-Pos3",'Shooter-Squad Assignment'!$W:$W,0)),""),IF(F70="Sporting Clays",IFERROR(INDEX('Shooter-Squad Assignment'!$A:$A,MATCH(C70&amp;"-"&amp;E70&amp;"-"&amp;F70&amp;"-Pos3",'Shooter-Squad Assignment'!$Z:$Z,0)),""),"")))</f>
        <v/>
      </c>
      <c r="L70" s="88" t="str">
        <f>IF(ISBLANK(K70),"",IFERROR(INDEX('Tournament List'!$D:$D,MATCH(K70,'Tournament List'!$A:$A,0)),""))</f>
        <v/>
      </c>
      <c r="M70" s="96" t="str">
        <f>IF(F70="Skeet",IFERROR(INDEX('Shooter-Squad Assignment'!$A:$A,MATCH(C70&amp;"-"&amp;E70&amp;"-"&amp;F70&amp;"-Pos4",'Shooter-Squad Assignment'!$K:$K,0)),""),IF(F70="Trap",IFERROR(INDEX('Shooter-Squad Assignment'!$A:$A,MATCH(C70&amp;"-"&amp;E70&amp;"-"&amp;F70&amp;"-Pos4",'Shooter-Squad Assignment'!$W:$W,0)),""),IF(F70="Sporting Clays",IFERROR(INDEX('Shooter-Squad Assignment'!$A:$A,MATCH(C70&amp;"-"&amp;E70&amp;"-"&amp;F70&amp;"-Pos4",'Shooter-Squad Assignment'!$Z:$Z,0)),""),"")))</f>
        <v/>
      </c>
      <c r="N70" s="88" t="str">
        <f>IF(ISBLANK(M70),"",IFERROR(INDEX('Tournament List'!$D:$D,MATCH(M70,'Tournament List'!$A:$A,0)),""))</f>
        <v/>
      </c>
      <c r="O70" s="96" t="str">
        <f>IF(F70="Skeet",IFERROR(INDEX('Shooter-Squad Assignment'!$A:$A,MATCH(C70&amp;"-"&amp;E70&amp;"-"&amp;F70&amp;"-Pos5",'Shooter-Squad Assignment'!$K:$K,0)),""),IF(F70="Trap",IFERROR(INDEX('Shooter-Squad Assignment'!$A:$A,MATCH(C70&amp;"-"&amp;E70&amp;"-"&amp;F70&amp;"-Pos5",'Shooter-Squad Assignment'!$W:$W,0)),""),IF(F70="Sporting Clays",IFERROR(INDEX('Shooter-Squad Assignment'!$A:$A,MATCH(C70&amp;"-"&amp;E70&amp;"-"&amp;F70&amp;"-Pos5",'Shooter-Squad Assignment'!$Z:$Z,0)),""),"")))</f>
        <v/>
      </c>
      <c r="P70" s="89" t="str">
        <f>IF(ISBLANK(O70),"",IFERROR(INDEX('Tournament List'!$D:$D,MATCH(O70,'Tournament List'!$A:$A,0)),""))</f>
        <v/>
      </c>
    </row>
    <row r="71" spans="1:16" x14ac:dyDescent="0.3">
      <c r="A71" s="87">
        <v>70</v>
      </c>
      <c r="B71" s="88" t="str">
        <f>C71&amp;"-"&amp;E71&amp;"-"&amp;F71</f>
        <v>Forge Christian Shooting Team-Open 1-Skeet</v>
      </c>
      <c r="C71" s="88" t="s">
        <v>321</v>
      </c>
      <c r="D71" s="88" t="str">
        <f>INDEX('Tournament Setup'!$B$59:$B$78,MATCH(E71,SquadConcurrents,0))</f>
        <v>Open</v>
      </c>
      <c r="E71" s="88" t="s">
        <v>341</v>
      </c>
      <c r="F71" s="88" t="s">
        <v>143</v>
      </c>
      <c r="G71" s="96" t="str">
        <f>IF(F71="Skeet",IFERROR(INDEX('Shooter-Squad Assignment'!$A:$A,MATCH(C71&amp;"-"&amp;E71&amp;"-"&amp;F71&amp;"-Pos1",'Shooter-Squad Assignment'!$K:$K,0)),""),IF(F71="Trap",IFERROR(INDEX('Shooter-Squad Assignment'!$A:$A,MATCH(C71&amp;"-"&amp;E71&amp;"-"&amp;F71&amp;"-Pos1",'Shooter-Squad Assignment'!$W:$W,0)),""),IF(F71="Sporting Clays",IFERROR(INDEX('Shooter-Squad Assignment'!$A:$A,MATCH(C71&amp;"-"&amp;E71&amp;"-"&amp;F71&amp;"-Pos1",'Shooter-Squad Assignment'!$Z:$Z,0)),""),"")))</f>
        <v/>
      </c>
      <c r="H71" s="88" t="str">
        <f>IF(ISBLANK(G71),"",IFERROR(INDEX('Tournament List'!$D:$D,MATCH(G71,'Tournament List'!$A:$A,0)),""))</f>
        <v/>
      </c>
      <c r="I71" s="96" t="str">
        <f>IF(F71="Skeet",IFERROR(INDEX('Shooter-Squad Assignment'!$A:$A,MATCH(C71&amp;"-"&amp;E71&amp;"-"&amp;F71&amp;"-Pos2",'Shooter-Squad Assignment'!$K:$K,0)),""),IF(F71="Trap",IFERROR(INDEX('Shooter-Squad Assignment'!$A:$A,MATCH(C71&amp;"-"&amp;E71&amp;"-"&amp;F71&amp;"-Pos2",'Shooter-Squad Assignment'!$W:$W,0)),""),IF(F71="Sporting Clays",IFERROR(INDEX('Shooter-Squad Assignment'!$A:$A,MATCH(C71&amp;"-"&amp;E71&amp;"-"&amp;F71&amp;"-Pos2",'Shooter-Squad Assignment'!$Z:$Z,0)),""),"")))</f>
        <v/>
      </c>
      <c r="J71" s="88" t="str">
        <f>IF(ISBLANK(I71),"",IFERROR(INDEX('Tournament List'!$D:$D,MATCH(I71,'Tournament List'!$A:$A,0)),""))</f>
        <v/>
      </c>
      <c r="K71" s="96" t="str">
        <f>IF(F71="Skeet",IFERROR(INDEX('Shooter-Squad Assignment'!$A:$A,MATCH(C71&amp;"-"&amp;E71&amp;"-"&amp;F71&amp;"-Pos3",'Shooter-Squad Assignment'!$K:$K,0)),""),IF(F71="Trap",IFERROR(INDEX('Shooter-Squad Assignment'!$A:$A,MATCH(C71&amp;"-"&amp;E71&amp;"-"&amp;F71&amp;"-Pos3",'Shooter-Squad Assignment'!$W:$W,0)),""),IF(F71="Sporting Clays",IFERROR(INDEX('Shooter-Squad Assignment'!$A:$A,MATCH(C71&amp;"-"&amp;E71&amp;"-"&amp;F71&amp;"-Pos3",'Shooter-Squad Assignment'!$Z:$Z,0)),""),"")))</f>
        <v/>
      </c>
      <c r="L71" s="88" t="str">
        <f>IF(ISBLANK(K71),"",IFERROR(INDEX('Tournament List'!$D:$D,MATCH(K71,'Tournament List'!$A:$A,0)),""))</f>
        <v/>
      </c>
      <c r="M71" s="96" t="str">
        <f>IF(F71="Skeet",IFERROR(INDEX('Shooter-Squad Assignment'!$A:$A,MATCH(C71&amp;"-"&amp;E71&amp;"-"&amp;F71&amp;"-Pos4",'Shooter-Squad Assignment'!$K:$K,0)),""),IF(F71="Trap",IFERROR(INDEX('Shooter-Squad Assignment'!$A:$A,MATCH(C71&amp;"-"&amp;E71&amp;"-"&amp;F71&amp;"-Pos4",'Shooter-Squad Assignment'!$W:$W,0)),""),IF(F71="Sporting Clays",IFERROR(INDEX('Shooter-Squad Assignment'!$A:$A,MATCH(C71&amp;"-"&amp;E71&amp;"-"&amp;F71&amp;"-Pos4",'Shooter-Squad Assignment'!$Z:$Z,0)),""),"")))</f>
        <v/>
      </c>
      <c r="N71" s="88" t="str">
        <f>IF(ISBLANK(M71),"",IFERROR(INDEX('Tournament List'!$D:$D,MATCH(M71,'Tournament List'!$A:$A,0)),""))</f>
        <v/>
      </c>
      <c r="O71" s="96" t="str">
        <f>IF(F71="Skeet",IFERROR(INDEX('Shooter-Squad Assignment'!$A:$A,MATCH(C71&amp;"-"&amp;E71&amp;"-"&amp;F71&amp;"-Pos5",'Shooter-Squad Assignment'!$K:$K,0)),""),IF(F71="Trap",IFERROR(INDEX('Shooter-Squad Assignment'!$A:$A,MATCH(C71&amp;"-"&amp;E71&amp;"-"&amp;F71&amp;"-Pos5",'Shooter-Squad Assignment'!$W:$W,0)),""),IF(F71="Sporting Clays",IFERROR(INDEX('Shooter-Squad Assignment'!$A:$A,MATCH(C71&amp;"-"&amp;E71&amp;"-"&amp;F71&amp;"-Pos5",'Shooter-Squad Assignment'!$Z:$Z,0)),""),"")))</f>
        <v/>
      </c>
      <c r="P71" s="89" t="str">
        <f>IF(ISBLANK(O71),"",IFERROR(INDEX('Tournament List'!$D:$D,MATCH(O71,'Tournament List'!$A:$A,0)),""))</f>
        <v/>
      </c>
    </row>
    <row r="72" spans="1:16" x14ac:dyDescent="0.3">
      <c r="A72" s="87">
        <v>71</v>
      </c>
      <c r="B72" s="88" t="str">
        <f>C72&amp;"-"&amp;E72&amp;"-"&amp;F72</f>
        <v>Forge Christian Shooting Team-Open 2-Skeet</v>
      </c>
      <c r="C72" s="88" t="s">
        <v>321</v>
      </c>
      <c r="D72" s="88" t="str">
        <f>INDEX('Tournament Setup'!$B$59:$B$78,MATCH(E72,SquadConcurrents,0))</f>
        <v>Open</v>
      </c>
      <c r="E72" s="88" t="s">
        <v>347</v>
      </c>
      <c r="F72" s="88" t="s">
        <v>143</v>
      </c>
      <c r="G72" s="96" t="str">
        <f>IF(F72="Skeet",IFERROR(INDEX('Shooter-Squad Assignment'!$A:$A,MATCH(C72&amp;"-"&amp;E72&amp;"-"&amp;F72&amp;"-Pos1",'Shooter-Squad Assignment'!$K:$K,0)),""),IF(F72="Trap",IFERROR(INDEX('Shooter-Squad Assignment'!$A:$A,MATCH(C72&amp;"-"&amp;E72&amp;"-"&amp;F72&amp;"-Pos1",'Shooter-Squad Assignment'!$W:$W,0)),""),IF(F72="Sporting Clays",IFERROR(INDEX('Shooter-Squad Assignment'!$A:$A,MATCH(C72&amp;"-"&amp;E72&amp;"-"&amp;F72&amp;"-Pos1",'Shooter-Squad Assignment'!$Z:$Z,0)),""),"")))</f>
        <v/>
      </c>
      <c r="H72" s="88" t="str">
        <f>IF(ISBLANK(G72),"",IFERROR(INDEX('Tournament List'!$D:$D,MATCH(G72,'Tournament List'!$A:$A,0)),""))</f>
        <v/>
      </c>
      <c r="I72" s="96" t="str">
        <f>IF(F72="Skeet",IFERROR(INDEX('Shooter-Squad Assignment'!$A:$A,MATCH(C72&amp;"-"&amp;E72&amp;"-"&amp;F72&amp;"-Pos2",'Shooter-Squad Assignment'!$K:$K,0)),""),IF(F72="Trap",IFERROR(INDEX('Shooter-Squad Assignment'!$A:$A,MATCH(C72&amp;"-"&amp;E72&amp;"-"&amp;F72&amp;"-Pos2",'Shooter-Squad Assignment'!$W:$W,0)),""),IF(F72="Sporting Clays",IFERROR(INDEX('Shooter-Squad Assignment'!$A:$A,MATCH(C72&amp;"-"&amp;E72&amp;"-"&amp;F72&amp;"-Pos2",'Shooter-Squad Assignment'!$Z:$Z,0)),""),"")))</f>
        <v/>
      </c>
      <c r="J72" s="88" t="str">
        <f>IF(ISBLANK(I72),"",IFERROR(INDEX('Tournament List'!$D:$D,MATCH(I72,'Tournament List'!$A:$A,0)),""))</f>
        <v/>
      </c>
      <c r="K72" s="96" t="str">
        <f>IF(F72="Skeet",IFERROR(INDEX('Shooter-Squad Assignment'!$A:$A,MATCH(C72&amp;"-"&amp;E72&amp;"-"&amp;F72&amp;"-Pos3",'Shooter-Squad Assignment'!$K:$K,0)),""),IF(F72="Trap",IFERROR(INDEX('Shooter-Squad Assignment'!$A:$A,MATCH(C72&amp;"-"&amp;E72&amp;"-"&amp;F72&amp;"-Pos3",'Shooter-Squad Assignment'!$W:$W,0)),""),IF(F72="Sporting Clays",IFERROR(INDEX('Shooter-Squad Assignment'!$A:$A,MATCH(C72&amp;"-"&amp;E72&amp;"-"&amp;F72&amp;"-Pos3",'Shooter-Squad Assignment'!$Z:$Z,0)),""),"")))</f>
        <v/>
      </c>
      <c r="L72" s="88" t="str">
        <f>IF(ISBLANK(K72),"",IFERROR(INDEX('Tournament List'!$D:$D,MATCH(K72,'Tournament List'!$A:$A,0)),""))</f>
        <v/>
      </c>
      <c r="M72" s="96" t="str">
        <f>IF(F72="Skeet",IFERROR(INDEX('Shooter-Squad Assignment'!$A:$A,MATCH(C72&amp;"-"&amp;E72&amp;"-"&amp;F72&amp;"-Pos4",'Shooter-Squad Assignment'!$K:$K,0)),""),IF(F72="Trap",IFERROR(INDEX('Shooter-Squad Assignment'!$A:$A,MATCH(C72&amp;"-"&amp;E72&amp;"-"&amp;F72&amp;"-Pos4",'Shooter-Squad Assignment'!$W:$W,0)),""),IF(F72="Sporting Clays",IFERROR(INDEX('Shooter-Squad Assignment'!$A:$A,MATCH(C72&amp;"-"&amp;E72&amp;"-"&amp;F72&amp;"-Pos4",'Shooter-Squad Assignment'!$Z:$Z,0)),""),"")))</f>
        <v/>
      </c>
      <c r="N72" s="88" t="str">
        <f>IF(ISBLANK(M72),"",IFERROR(INDEX('Tournament List'!$D:$D,MATCH(M72,'Tournament List'!$A:$A,0)),""))</f>
        <v/>
      </c>
      <c r="O72" s="96" t="str">
        <f>IF(F72="Skeet",IFERROR(INDEX('Shooter-Squad Assignment'!$A:$A,MATCH(C72&amp;"-"&amp;E72&amp;"-"&amp;F72&amp;"-Pos5",'Shooter-Squad Assignment'!$K:$K,0)),""),IF(F72="Trap",IFERROR(INDEX('Shooter-Squad Assignment'!$A:$A,MATCH(C72&amp;"-"&amp;E72&amp;"-"&amp;F72&amp;"-Pos5",'Shooter-Squad Assignment'!$W:$W,0)),""),IF(F72="Sporting Clays",IFERROR(INDEX('Shooter-Squad Assignment'!$A:$A,MATCH(C72&amp;"-"&amp;E72&amp;"-"&amp;F72&amp;"-Pos5",'Shooter-Squad Assignment'!$Z:$Z,0)),""),"")))</f>
        <v/>
      </c>
      <c r="P72" s="89" t="str">
        <f>IF(ISBLANK(O72),"",IFERROR(INDEX('Tournament List'!$D:$D,MATCH(O72,'Tournament List'!$A:$A,0)),""))</f>
        <v/>
      </c>
    </row>
    <row r="73" spans="1:16" x14ac:dyDescent="0.3">
      <c r="A73" s="87">
        <v>72</v>
      </c>
      <c r="B73" s="88" t="str">
        <f>C73&amp;"-"&amp;E73&amp;"-"&amp;F73</f>
        <v>Forge Christian Shooting Team-Open 3-Skeet</v>
      </c>
      <c r="C73" s="88" t="s">
        <v>321</v>
      </c>
      <c r="D73" s="88" t="str">
        <f>INDEX('Tournament Setup'!$B$59:$B$78,MATCH(E73,SquadConcurrents,0))</f>
        <v>Open</v>
      </c>
      <c r="E73" s="88" t="s">
        <v>353</v>
      </c>
      <c r="F73" s="88" t="s">
        <v>143</v>
      </c>
      <c r="G73" s="96" t="str">
        <f>IF(F73="Skeet",IFERROR(INDEX('Shooter-Squad Assignment'!$A:$A,MATCH(C73&amp;"-"&amp;E73&amp;"-"&amp;F73&amp;"-Pos1",'Shooter-Squad Assignment'!$K:$K,0)),""),IF(F73="Trap",IFERROR(INDEX('Shooter-Squad Assignment'!$A:$A,MATCH(C73&amp;"-"&amp;E73&amp;"-"&amp;F73&amp;"-Pos1",'Shooter-Squad Assignment'!$W:$W,0)),""),IF(F73="Sporting Clays",IFERROR(INDEX('Shooter-Squad Assignment'!$A:$A,MATCH(C73&amp;"-"&amp;E73&amp;"-"&amp;F73&amp;"-Pos1",'Shooter-Squad Assignment'!$Z:$Z,0)),""),"")))</f>
        <v/>
      </c>
      <c r="H73" s="88" t="str">
        <f>IF(ISBLANK(G73),"",IFERROR(INDEX('Tournament List'!$D:$D,MATCH(G73,'Tournament List'!$A:$A,0)),""))</f>
        <v/>
      </c>
      <c r="I73" s="96" t="str">
        <f>IF(F73="Skeet",IFERROR(INDEX('Shooter-Squad Assignment'!$A:$A,MATCH(C73&amp;"-"&amp;E73&amp;"-"&amp;F73&amp;"-Pos2",'Shooter-Squad Assignment'!$K:$K,0)),""),IF(F73="Trap",IFERROR(INDEX('Shooter-Squad Assignment'!$A:$A,MATCH(C73&amp;"-"&amp;E73&amp;"-"&amp;F73&amp;"-Pos2",'Shooter-Squad Assignment'!$W:$W,0)),""),IF(F73="Sporting Clays",IFERROR(INDEX('Shooter-Squad Assignment'!$A:$A,MATCH(C73&amp;"-"&amp;E73&amp;"-"&amp;F73&amp;"-Pos2",'Shooter-Squad Assignment'!$Z:$Z,0)),""),"")))</f>
        <v/>
      </c>
      <c r="J73" s="88" t="str">
        <f>IF(ISBLANK(I73),"",IFERROR(INDEX('Tournament List'!$D:$D,MATCH(I73,'Tournament List'!$A:$A,0)),""))</f>
        <v/>
      </c>
      <c r="K73" s="96" t="str">
        <f>IF(F73="Skeet",IFERROR(INDEX('Shooter-Squad Assignment'!$A:$A,MATCH(C73&amp;"-"&amp;E73&amp;"-"&amp;F73&amp;"-Pos3",'Shooter-Squad Assignment'!$K:$K,0)),""),IF(F73="Trap",IFERROR(INDEX('Shooter-Squad Assignment'!$A:$A,MATCH(C73&amp;"-"&amp;E73&amp;"-"&amp;F73&amp;"-Pos3",'Shooter-Squad Assignment'!$W:$W,0)),""),IF(F73="Sporting Clays",IFERROR(INDEX('Shooter-Squad Assignment'!$A:$A,MATCH(C73&amp;"-"&amp;E73&amp;"-"&amp;F73&amp;"-Pos3",'Shooter-Squad Assignment'!$Z:$Z,0)),""),"")))</f>
        <v/>
      </c>
      <c r="L73" s="88" t="str">
        <f>IF(ISBLANK(K73),"",IFERROR(INDEX('Tournament List'!$D:$D,MATCH(K73,'Tournament List'!$A:$A,0)),""))</f>
        <v/>
      </c>
      <c r="M73" s="96" t="str">
        <f>IF(F73="Skeet",IFERROR(INDEX('Shooter-Squad Assignment'!$A:$A,MATCH(C73&amp;"-"&amp;E73&amp;"-"&amp;F73&amp;"-Pos4",'Shooter-Squad Assignment'!$K:$K,0)),""),IF(F73="Trap",IFERROR(INDEX('Shooter-Squad Assignment'!$A:$A,MATCH(C73&amp;"-"&amp;E73&amp;"-"&amp;F73&amp;"-Pos4",'Shooter-Squad Assignment'!$W:$W,0)),""),IF(F73="Sporting Clays",IFERROR(INDEX('Shooter-Squad Assignment'!$A:$A,MATCH(C73&amp;"-"&amp;E73&amp;"-"&amp;F73&amp;"-Pos4",'Shooter-Squad Assignment'!$Z:$Z,0)),""),"")))</f>
        <v/>
      </c>
      <c r="N73" s="88" t="str">
        <f>IF(ISBLANK(M73),"",IFERROR(INDEX('Tournament List'!$D:$D,MATCH(M73,'Tournament List'!$A:$A,0)),""))</f>
        <v/>
      </c>
      <c r="O73" s="96" t="str">
        <f>IF(F73="Skeet",IFERROR(INDEX('Shooter-Squad Assignment'!$A:$A,MATCH(C73&amp;"-"&amp;E73&amp;"-"&amp;F73&amp;"-Pos5",'Shooter-Squad Assignment'!$K:$K,0)),""),IF(F73="Trap",IFERROR(INDEX('Shooter-Squad Assignment'!$A:$A,MATCH(C73&amp;"-"&amp;E73&amp;"-"&amp;F73&amp;"-Pos5",'Shooter-Squad Assignment'!$W:$W,0)),""),IF(F73="Sporting Clays",IFERROR(INDEX('Shooter-Squad Assignment'!$A:$A,MATCH(C73&amp;"-"&amp;E73&amp;"-"&amp;F73&amp;"-Pos5",'Shooter-Squad Assignment'!$Z:$Z,0)),""),"")))</f>
        <v/>
      </c>
      <c r="P73" s="89" t="str">
        <f>IF(ISBLANK(O73),"",IFERROR(INDEX('Tournament List'!$D:$D,MATCH(O73,'Tournament List'!$A:$A,0)),""))</f>
        <v/>
      </c>
    </row>
    <row r="74" spans="1:16" x14ac:dyDescent="0.3">
      <c r="A74" s="87">
        <v>73</v>
      </c>
      <c r="B74" s="88" t="str">
        <f>C74&amp;"-"&amp;E74&amp;"-"&amp;F74</f>
        <v>Forge Christian Shooting Team-Unassigned 1-Skeet</v>
      </c>
      <c r="C74" s="88" t="s">
        <v>321</v>
      </c>
      <c r="D74" s="88" t="str">
        <f>INDEX('Tournament Setup'!$B$59:$B$78,MATCH(E74,SquadConcurrents,0))</f>
        <v>Unassigned</v>
      </c>
      <c r="E74" s="88" t="s">
        <v>762</v>
      </c>
      <c r="F74" s="88" t="s">
        <v>143</v>
      </c>
      <c r="G74" s="96" t="str">
        <f>IF(F74="Skeet",IFERROR(INDEX('Shooter-Squad Assignment'!$A:$A,MATCH(C74&amp;"-"&amp;E74&amp;"-"&amp;F74&amp;"-Pos1",'Shooter-Squad Assignment'!$K:$K,0)),""),IF(F74="Trap",IFERROR(INDEX('Shooter-Squad Assignment'!$A:$A,MATCH(C74&amp;"-"&amp;E74&amp;"-"&amp;F74&amp;"-Pos1",'Shooter-Squad Assignment'!$W:$W,0)),""),IF(F74="Sporting Clays",IFERROR(INDEX('Shooter-Squad Assignment'!$A:$A,MATCH(C74&amp;"-"&amp;E74&amp;"-"&amp;F74&amp;"-Pos1",'Shooter-Squad Assignment'!$Z:$Z,0)),""),"")))</f>
        <v/>
      </c>
      <c r="H74" s="88" t="str">
        <f>IF(ISBLANK(G74),"",IFERROR(INDEX('Tournament List'!$D:$D,MATCH(G74,'Tournament List'!$A:$A,0)),""))</f>
        <v/>
      </c>
      <c r="I74" s="96" t="str">
        <f>IF(F74="Skeet",IFERROR(INDEX('Shooter-Squad Assignment'!$A:$A,MATCH(C74&amp;"-"&amp;E74&amp;"-"&amp;F74&amp;"-Pos2",'Shooter-Squad Assignment'!$K:$K,0)),""),IF(F74="Trap",IFERROR(INDEX('Shooter-Squad Assignment'!$A:$A,MATCH(C74&amp;"-"&amp;E74&amp;"-"&amp;F74&amp;"-Pos2",'Shooter-Squad Assignment'!$W:$W,0)),""),IF(F74="Sporting Clays",IFERROR(INDEX('Shooter-Squad Assignment'!$A:$A,MATCH(C74&amp;"-"&amp;E74&amp;"-"&amp;F74&amp;"-Pos2",'Shooter-Squad Assignment'!$Z:$Z,0)),""),"")))</f>
        <v/>
      </c>
      <c r="J74" s="88" t="str">
        <f>IF(ISBLANK(I74),"",IFERROR(INDEX('Tournament List'!$D:$D,MATCH(I74,'Tournament List'!$A:$A,0)),""))</f>
        <v/>
      </c>
      <c r="K74" s="96" t="str">
        <f>IF(F74="Skeet",IFERROR(INDEX('Shooter-Squad Assignment'!$A:$A,MATCH(C74&amp;"-"&amp;E74&amp;"-"&amp;F74&amp;"-Pos3",'Shooter-Squad Assignment'!$K:$K,0)),""),IF(F74="Trap",IFERROR(INDEX('Shooter-Squad Assignment'!$A:$A,MATCH(C74&amp;"-"&amp;E74&amp;"-"&amp;F74&amp;"-Pos3",'Shooter-Squad Assignment'!$W:$W,0)),""),IF(F74="Sporting Clays",IFERROR(INDEX('Shooter-Squad Assignment'!$A:$A,MATCH(C74&amp;"-"&amp;E74&amp;"-"&amp;F74&amp;"-Pos3",'Shooter-Squad Assignment'!$Z:$Z,0)),""),"")))</f>
        <v/>
      </c>
      <c r="L74" s="88" t="str">
        <f>IF(ISBLANK(K74),"",IFERROR(INDEX('Tournament List'!$D:$D,MATCH(K74,'Tournament List'!$A:$A,0)),""))</f>
        <v/>
      </c>
      <c r="M74" s="96" t="str">
        <f>IF(F74="Skeet",IFERROR(INDEX('Shooter-Squad Assignment'!$A:$A,MATCH(C74&amp;"-"&amp;E74&amp;"-"&amp;F74&amp;"-Pos4",'Shooter-Squad Assignment'!$K:$K,0)),""),IF(F74="Trap",IFERROR(INDEX('Shooter-Squad Assignment'!$A:$A,MATCH(C74&amp;"-"&amp;E74&amp;"-"&amp;F74&amp;"-Pos4",'Shooter-Squad Assignment'!$W:$W,0)),""),IF(F74="Sporting Clays",IFERROR(INDEX('Shooter-Squad Assignment'!$A:$A,MATCH(C74&amp;"-"&amp;E74&amp;"-"&amp;F74&amp;"-Pos4",'Shooter-Squad Assignment'!$Z:$Z,0)),""),"")))</f>
        <v/>
      </c>
      <c r="N74" s="88" t="str">
        <f>IF(ISBLANK(M74),"",IFERROR(INDEX('Tournament List'!$D:$D,MATCH(M74,'Tournament List'!$A:$A,0)),""))</f>
        <v/>
      </c>
      <c r="O74" s="96" t="str">
        <f>IF(F74="Skeet",IFERROR(INDEX('Shooter-Squad Assignment'!$A:$A,MATCH(C74&amp;"-"&amp;E74&amp;"-"&amp;F74&amp;"-Pos5",'Shooter-Squad Assignment'!$K:$K,0)),""),IF(F74="Trap",IFERROR(INDEX('Shooter-Squad Assignment'!$A:$A,MATCH(C74&amp;"-"&amp;E74&amp;"-"&amp;F74&amp;"-Pos5",'Shooter-Squad Assignment'!$W:$W,0)),""),IF(F74="Sporting Clays",IFERROR(INDEX('Shooter-Squad Assignment'!$A:$A,MATCH(C74&amp;"-"&amp;E74&amp;"-"&amp;F74&amp;"-Pos5",'Shooter-Squad Assignment'!$Z:$Z,0)),""),"")))</f>
        <v/>
      </c>
      <c r="P74" s="89" t="str">
        <f>IF(ISBLANK(O74),"",IFERROR(INDEX('Tournament List'!$D:$D,MATCH(O74,'Tournament List'!$A:$A,0)),""))</f>
        <v/>
      </c>
    </row>
    <row r="75" spans="1:16" x14ac:dyDescent="0.3">
      <c r="A75" s="87">
        <v>74</v>
      </c>
      <c r="B75" s="88" t="str">
        <f>C75&amp;"-"&amp;E75&amp;"-"&amp;F75</f>
        <v>Forge Christian Shooting Team-Varsity 1-Skeet</v>
      </c>
      <c r="C75" s="88" t="s">
        <v>321</v>
      </c>
      <c r="D75" s="88" t="str">
        <f>INDEX('Tournament Setup'!$B$59:$B$78,MATCH(E75,SquadConcurrents,0))</f>
        <v>Varsity</v>
      </c>
      <c r="E75" s="88" t="s">
        <v>340</v>
      </c>
      <c r="F75" s="88" t="s">
        <v>143</v>
      </c>
      <c r="G75" s="96" t="str">
        <f>IF(F75="Skeet",IFERROR(INDEX('Shooter-Squad Assignment'!$A:$A,MATCH(C75&amp;"-"&amp;E75&amp;"-"&amp;F75&amp;"-Pos1",'Shooter-Squad Assignment'!$K:$K,0)),""),IF(F75="Trap",IFERROR(INDEX('Shooter-Squad Assignment'!$A:$A,MATCH(C75&amp;"-"&amp;E75&amp;"-"&amp;F75&amp;"-Pos1",'Shooter-Squad Assignment'!$W:$W,0)),""),IF(F75="Sporting Clays",IFERROR(INDEX('Shooter-Squad Assignment'!$A:$A,MATCH(C75&amp;"-"&amp;E75&amp;"-"&amp;F75&amp;"-Pos1",'Shooter-Squad Assignment'!$Z:$Z,0)),""),"")))</f>
        <v>24-1045</v>
      </c>
      <c r="H75" s="88" t="str">
        <f>IF(ISBLANK(G75),"",IFERROR(INDEX('Tournament List'!$D:$D,MATCH(G75,'Tournament List'!$A:$A,0)),""))</f>
        <v>Sam Last Name46</v>
      </c>
      <c r="I75" s="96" t="str">
        <f>IF(F75="Skeet",IFERROR(INDEX('Shooter-Squad Assignment'!$A:$A,MATCH(C75&amp;"-"&amp;E75&amp;"-"&amp;F75&amp;"-Pos2",'Shooter-Squad Assignment'!$K:$K,0)),""),IF(F75="Trap",IFERROR(INDEX('Shooter-Squad Assignment'!$A:$A,MATCH(C75&amp;"-"&amp;E75&amp;"-"&amp;F75&amp;"-Pos2",'Shooter-Squad Assignment'!$W:$W,0)),""),IF(F75="Sporting Clays",IFERROR(INDEX('Shooter-Squad Assignment'!$A:$A,MATCH(C75&amp;"-"&amp;E75&amp;"-"&amp;F75&amp;"-Pos2",'Shooter-Squad Assignment'!$Z:$Z,0)),""),"")))</f>
        <v>24-1027</v>
      </c>
      <c r="J75" s="88" t="str">
        <f>IF(ISBLANK(I75),"",IFERROR(INDEX('Tournament List'!$D:$D,MATCH(I75,'Tournament List'!$A:$A,0)),""))</f>
        <v>Brad Last Name28</v>
      </c>
      <c r="K75" s="96" t="str">
        <f>IF(F75="Skeet",IFERROR(INDEX('Shooter-Squad Assignment'!$A:$A,MATCH(C75&amp;"-"&amp;E75&amp;"-"&amp;F75&amp;"-Pos3",'Shooter-Squad Assignment'!$K:$K,0)),""),IF(F75="Trap",IFERROR(INDEX('Shooter-Squad Assignment'!$A:$A,MATCH(C75&amp;"-"&amp;E75&amp;"-"&amp;F75&amp;"-Pos3",'Shooter-Squad Assignment'!$W:$W,0)),""),IF(F75="Sporting Clays",IFERROR(INDEX('Shooter-Squad Assignment'!$A:$A,MATCH(C75&amp;"-"&amp;E75&amp;"-"&amp;F75&amp;"-Pos3",'Shooter-Squad Assignment'!$Z:$Z,0)),""),"")))</f>
        <v>24-1039</v>
      </c>
      <c r="L75" s="88" t="str">
        <f>IF(ISBLANK(K75),"",IFERROR(INDEX('Tournament List'!$D:$D,MATCH(K75,'Tournament List'!$A:$A,0)),""))</f>
        <v>Troy Last Name40</v>
      </c>
      <c r="M75" s="96" t="str">
        <f>IF(F75="Skeet",IFERROR(INDEX('Shooter-Squad Assignment'!$A:$A,MATCH(C75&amp;"-"&amp;E75&amp;"-"&amp;F75&amp;"-Pos4",'Shooter-Squad Assignment'!$K:$K,0)),""),IF(F75="Trap",IFERROR(INDEX('Shooter-Squad Assignment'!$A:$A,MATCH(C75&amp;"-"&amp;E75&amp;"-"&amp;F75&amp;"-Pos4",'Shooter-Squad Assignment'!$W:$W,0)),""),IF(F75="Sporting Clays",IFERROR(INDEX('Shooter-Squad Assignment'!$A:$A,MATCH(C75&amp;"-"&amp;E75&amp;"-"&amp;F75&amp;"-Pos4",'Shooter-Squad Assignment'!$Z:$Z,0)),""),"")))</f>
        <v/>
      </c>
      <c r="N75" s="88" t="str">
        <f>IF(ISBLANK(M75),"",IFERROR(INDEX('Tournament List'!$D:$D,MATCH(M75,'Tournament List'!$A:$A,0)),""))</f>
        <v/>
      </c>
      <c r="O75" s="96" t="str">
        <f>IF(F75="Skeet",IFERROR(INDEX('Shooter-Squad Assignment'!$A:$A,MATCH(C75&amp;"-"&amp;E75&amp;"-"&amp;F75&amp;"-Pos5",'Shooter-Squad Assignment'!$K:$K,0)),""),IF(F75="Trap",IFERROR(INDEX('Shooter-Squad Assignment'!$A:$A,MATCH(C75&amp;"-"&amp;E75&amp;"-"&amp;F75&amp;"-Pos5",'Shooter-Squad Assignment'!$W:$W,0)),""),IF(F75="Sporting Clays",IFERROR(INDEX('Shooter-Squad Assignment'!$A:$A,MATCH(C75&amp;"-"&amp;E75&amp;"-"&amp;F75&amp;"-Pos5",'Shooter-Squad Assignment'!$Z:$Z,0)),""),"")))</f>
        <v/>
      </c>
      <c r="P75" s="89" t="str">
        <f>IF(ISBLANK(O75),"",IFERROR(INDEX('Tournament List'!$D:$D,MATCH(O75,'Tournament List'!$A:$A,0)),""))</f>
        <v/>
      </c>
    </row>
    <row r="76" spans="1:16" x14ac:dyDescent="0.3">
      <c r="A76" s="87">
        <v>75</v>
      </c>
      <c r="B76" s="88" t="str">
        <f>C76&amp;"-"&amp;E76&amp;"-"&amp;F76</f>
        <v>Forge Christian Shooting Team-Varsity 2-Skeet</v>
      </c>
      <c r="C76" s="88" t="s">
        <v>321</v>
      </c>
      <c r="D76" s="88" t="str">
        <f>INDEX('Tournament Setup'!$B$59:$B$78,MATCH(E76,SquadConcurrents,0))</f>
        <v>Varsity</v>
      </c>
      <c r="E76" s="88" t="s">
        <v>346</v>
      </c>
      <c r="F76" s="88" t="s">
        <v>143</v>
      </c>
      <c r="G76" s="96" t="str">
        <f>IF(F76="Skeet",IFERROR(INDEX('Shooter-Squad Assignment'!$A:$A,MATCH(C76&amp;"-"&amp;E76&amp;"-"&amp;F76&amp;"-Pos1",'Shooter-Squad Assignment'!$K:$K,0)),""),IF(F76="Trap",IFERROR(INDEX('Shooter-Squad Assignment'!$A:$A,MATCH(C76&amp;"-"&amp;E76&amp;"-"&amp;F76&amp;"-Pos1",'Shooter-Squad Assignment'!$W:$W,0)),""),IF(F76="Sporting Clays",IFERROR(INDEX('Shooter-Squad Assignment'!$A:$A,MATCH(C76&amp;"-"&amp;E76&amp;"-"&amp;F76&amp;"-Pos1",'Shooter-Squad Assignment'!$Z:$Z,0)),""),"")))</f>
        <v/>
      </c>
      <c r="H76" s="88" t="str">
        <f>IF(ISBLANK(G76),"",IFERROR(INDEX('Tournament List'!$D:$D,MATCH(G76,'Tournament List'!$A:$A,0)),""))</f>
        <v/>
      </c>
      <c r="I76" s="96" t="str">
        <f>IF(F76="Skeet",IFERROR(INDEX('Shooter-Squad Assignment'!$A:$A,MATCH(C76&amp;"-"&amp;E76&amp;"-"&amp;F76&amp;"-Pos2",'Shooter-Squad Assignment'!$K:$K,0)),""),IF(F76="Trap",IFERROR(INDEX('Shooter-Squad Assignment'!$A:$A,MATCH(C76&amp;"-"&amp;E76&amp;"-"&amp;F76&amp;"-Pos2",'Shooter-Squad Assignment'!$W:$W,0)),""),IF(F76="Sporting Clays",IFERROR(INDEX('Shooter-Squad Assignment'!$A:$A,MATCH(C76&amp;"-"&amp;E76&amp;"-"&amp;F76&amp;"-Pos2",'Shooter-Squad Assignment'!$Z:$Z,0)),""),"")))</f>
        <v/>
      </c>
      <c r="J76" s="88" t="str">
        <f>IF(ISBLANK(I76),"",IFERROR(INDEX('Tournament List'!$D:$D,MATCH(I76,'Tournament List'!$A:$A,0)),""))</f>
        <v/>
      </c>
      <c r="K76" s="96" t="str">
        <f>IF(F76="Skeet",IFERROR(INDEX('Shooter-Squad Assignment'!$A:$A,MATCH(C76&amp;"-"&amp;E76&amp;"-"&amp;F76&amp;"-Pos3",'Shooter-Squad Assignment'!$K:$K,0)),""),IF(F76="Trap",IFERROR(INDEX('Shooter-Squad Assignment'!$A:$A,MATCH(C76&amp;"-"&amp;E76&amp;"-"&amp;F76&amp;"-Pos3",'Shooter-Squad Assignment'!$W:$W,0)),""),IF(F76="Sporting Clays",IFERROR(INDEX('Shooter-Squad Assignment'!$A:$A,MATCH(C76&amp;"-"&amp;E76&amp;"-"&amp;F76&amp;"-Pos3",'Shooter-Squad Assignment'!$Z:$Z,0)),""),"")))</f>
        <v/>
      </c>
      <c r="L76" s="88" t="str">
        <f>IF(ISBLANK(K76),"",IFERROR(INDEX('Tournament List'!$D:$D,MATCH(K76,'Tournament List'!$A:$A,0)),""))</f>
        <v/>
      </c>
      <c r="M76" s="96" t="str">
        <f>IF(F76="Skeet",IFERROR(INDEX('Shooter-Squad Assignment'!$A:$A,MATCH(C76&amp;"-"&amp;E76&amp;"-"&amp;F76&amp;"-Pos4",'Shooter-Squad Assignment'!$K:$K,0)),""),IF(F76="Trap",IFERROR(INDEX('Shooter-Squad Assignment'!$A:$A,MATCH(C76&amp;"-"&amp;E76&amp;"-"&amp;F76&amp;"-Pos4",'Shooter-Squad Assignment'!$W:$W,0)),""),IF(F76="Sporting Clays",IFERROR(INDEX('Shooter-Squad Assignment'!$A:$A,MATCH(C76&amp;"-"&amp;E76&amp;"-"&amp;F76&amp;"-Pos4",'Shooter-Squad Assignment'!$Z:$Z,0)),""),"")))</f>
        <v/>
      </c>
      <c r="N76" s="88" t="str">
        <f>IF(ISBLANK(M76),"",IFERROR(INDEX('Tournament List'!$D:$D,MATCH(M76,'Tournament List'!$A:$A,0)),""))</f>
        <v/>
      </c>
      <c r="O76" s="96" t="str">
        <f>IF(F76="Skeet",IFERROR(INDEX('Shooter-Squad Assignment'!$A:$A,MATCH(C76&amp;"-"&amp;E76&amp;"-"&amp;F76&amp;"-Pos5",'Shooter-Squad Assignment'!$K:$K,0)),""),IF(F76="Trap",IFERROR(INDEX('Shooter-Squad Assignment'!$A:$A,MATCH(C76&amp;"-"&amp;E76&amp;"-"&amp;F76&amp;"-Pos5",'Shooter-Squad Assignment'!$W:$W,0)),""),IF(F76="Sporting Clays",IFERROR(INDEX('Shooter-Squad Assignment'!$A:$A,MATCH(C76&amp;"-"&amp;E76&amp;"-"&amp;F76&amp;"-Pos5",'Shooter-Squad Assignment'!$Z:$Z,0)),""),"")))</f>
        <v/>
      </c>
      <c r="P76" s="89" t="str">
        <f>IF(ISBLANK(O76),"",IFERROR(INDEX('Tournament List'!$D:$D,MATCH(O76,'Tournament List'!$A:$A,0)),""))</f>
        <v/>
      </c>
    </row>
    <row r="77" spans="1:16" x14ac:dyDescent="0.3">
      <c r="A77" s="87">
        <v>76</v>
      </c>
      <c r="B77" s="88" t="str">
        <f>C77&amp;"-"&amp;E77&amp;"-"&amp;F77</f>
        <v>Forge Christian Shooting Team-Varsity 3-Skeet</v>
      </c>
      <c r="C77" s="88" t="s">
        <v>321</v>
      </c>
      <c r="D77" s="88" t="str">
        <f>INDEX('Tournament Setup'!$B$59:$B$78,MATCH(E77,SquadConcurrents,0))</f>
        <v>Varsity</v>
      </c>
      <c r="E77" s="88" t="s">
        <v>352</v>
      </c>
      <c r="F77" s="88" t="s">
        <v>143</v>
      </c>
      <c r="G77" s="96" t="str">
        <f>IF(F77="Skeet",IFERROR(INDEX('Shooter-Squad Assignment'!$A:$A,MATCH(C77&amp;"-"&amp;E77&amp;"-"&amp;F77&amp;"-Pos1",'Shooter-Squad Assignment'!$K:$K,0)),""),IF(F77="Trap",IFERROR(INDEX('Shooter-Squad Assignment'!$A:$A,MATCH(C77&amp;"-"&amp;E77&amp;"-"&amp;F77&amp;"-Pos1",'Shooter-Squad Assignment'!$W:$W,0)),""),IF(F77="Sporting Clays",IFERROR(INDEX('Shooter-Squad Assignment'!$A:$A,MATCH(C77&amp;"-"&amp;E77&amp;"-"&amp;F77&amp;"-Pos1",'Shooter-Squad Assignment'!$Z:$Z,0)),""),"")))</f>
        <v/>
      </c>
      <c r="H77" s="88" t="str">
        <f>IF(ISBLANK(G77),"",IFERROR(INDEX('Tournament List'!$D:$D,MATCH(G77,'Tournament List'!$A:$A,0)),""))</f>
        <v/>
      </c>
      <c r="I77" s="96" t="str">
        <f>IF(F77="Skeet",IFERROR(INDEX('Shooter-Squad Assignment'!$A:$A,MATCH(C77&amp;"-"&amp;E77&amp;"-"&amp;F77&amp;"-Pos2",'Shooter-Squad Assignment'!$K:$K,0)),""),IF(F77="Trap",IFERROR(INDEX('Shooter-Squad Assignment'!$A:$A,MATCH(C77&amp;"-"&amp;E77&amp;"-"&amp;F77&amp;"-Pos2",'Shooter-Squad Assignment'!$W:$W,0)),""),IF(F77="Sporting Clays",IFERROR(INDEX('Shooter-Squad Assignment'!$A:$A,MATCH(C77&amp;"-"&amp;E77&amp;"-"&amp;F77&amp;"-Pos2",'Shooter-Squad Assignment'!$Z:$Z,0)),""),"")))</f>
        <v/>
      </c>
      <c r="J77" s="88" t="str">
        <f>IF(ISBLANK(I77),"",IFERROR(INDEX('Tournament List'!$D:$D,MATCH(I77,'Tournament List'!$A:$A,0)),""))</f>
        <v/>
      </c>
      <c r="K77" s="96" t="str">
        <f>IF(F77="Skeet",IFERROR(INDEX('Shooter-Squad Assignment'!$A:$A,MATCH(C77&amp;"-"&amp;E77&amp;"-"&amp;F77&amp;"-Pos3",'Shooter-Squad Assignment'!$K:$K,0)),""),IF(F77="Trap",IFERROR(INDEX('Shooter-Squad Assignment'!$A:$A,MATCH(C77&amp;"-"&amp;E77&amp;"-"&amp;F77&amp;"-Pos3",'Shooter-Squad Assignment'!$W:$W,0)),""),IF(F77="Sporting Clays",IFERROR(INDEX('Shooter-Squad Assignment'!$A:$A,MATCH(C77&amp;"-"&amp;E77&amp;"-"&amp;F77&amp;"-Pos3",'Shooter-Squad Assignment'!$Z:$Z,0)),""),"")))</f>
        <v/>
      </c>
      <c r="L77" s="88" t="str">
        <f>IF(ISBLANK(K77),"",IFERROR(INDEX('Tournament List'!$D:$D,MATCH(K77,'Tournament List'!$A:$A,0)),""))</f>
        <v/>
      </c>
      <c r="M77" s="96" t="str">
        <f>IF(F77="Skeet",IFERROR(INDEX('Shooter-Squad Assignment'!$A:$A,MATCH(C77&amp;"-"&amp;E77&amp;"-"&amp;F77&amp;"-Pos4",'Shooter-Squad Assignment'!$K:$K,0)),""),IF(F77="Trap",IFERROR(INDEX('Shooter-Squad Assignment'!$A:$A,MATCH(C77&amp;"-"&amp;E77&amp;"-"&amp;F77&amp;"-Pos4",'Shooter-Squad Assignment'!$W:$W,0)),""),IF(F77="Sporting Clays",IFERROR(INDEX('Shooter-Squad Assignment'!$A:$A,MATCH(C77&amp;"-"&amp;E77&amp;"-"&amp;F77&amp;"-Pos4",'Shooter-Squad Assignment'!$Z:$Z,0)),""),"")))</f>
        <v/>
      </c>
      <c r="N77" s="88" t="str">
        <f>IF(ISBLANK(M77),"",IFERROR(INDEX('Tournament List'!$D:$D,MATCH(M77,'Tournament List'!$A:$A,0)),""))</f>
        <v/>
      </c>
      <c r="O77" s="96" t="str">
        <f>IF(F77="Skeet",IFERROR(INDEX('Shooter-Squad Assignment'!$A:$A,MATCH(C77&amp;"-"&amp;E77&amp;"-"&amp;F77&amp;"-Pos5",'Shooter-Squad Assignment'!$K:$K,0)),""),IF(F77="Trap",IFERROR(INDEX('Shooter-Squad Assignment'!$A:$A,MATCH(C77&amp;"-"&amp;E77&amp;"-"&amp;F77&amp;"-Pos5",'Shooter-Squad Assignment'!$W:$W,0)),""),IF(F77="Sporting Clays",IFERROR(INDEX('Shooter-Squad Assignment'!$A:$A,MATCH(C77&amp;"-"&amp;E77&amp;"-"&amp;F77&amp;"-Pos5",'Shooter-Squad Assignment'!$Z:$Z,0)),""),"")))</f>
        <v/>
      </c>
      <c r="P77" s="89" t="str">
        <f>IF(ISBLANK(O77),"",IFERROR(INDEX('Tournament List'!$D:$D,MATCH(O77,'Tournament List'!$A:$A,0)),""))</f>
        <v/>
      </c>
    </row>
    <row r="78" spans="1:16" x14ac:dyDescent="0.3">
      <c r="A78" s="87">
        <v>77</v>
      </c>
      <c r="B78" s="88" t="str">
        <f>C78&amp;"-"&amp;E78&amp;"-"&amp;F78</f>
        <v>Forge Christian Shooting Team-Collegiate 1-Sporting Clays</v>
      </c>
      <c r="C78" s="88" t="s">
        <v>321</v>
      </c>
      <c r="D78" s="88" t="str">
        <f>INDEX('Tournament Setup'!$B$59:$B$78,MATCH(E78,SquadConcurrents,0))</f>
        <v>Collegiate</v>
      </c>
      <c r="E78" s="88" t="s">
        <v>342</v>
      </c>
      <c r="F78" s="88" t="s">
        <v>148</v>
      </c>
      <c r="G78" s="96" t="str">
        <f>IF(F78="Skeet",IFERROR(INDEX('Shooter-Squad Assignment'!$A:$A,MATCH(C78&amp;"-"&amp;E78&amp;"-"&amp;F78&amp;"-Pos1",'Shooter-Squad Assignment'!$K:$K,0)),""),IF(F78="Trap",IFERROR(INDEX('Shooter-Squad Assignment'!$A:$A,MATCH(C78&amp;"-"&amp;E78&amp;"-"&amp;F78&amp;"-Pos1",'Shooter-Squad Assignment'!$W:$W,0)),""),IF(F78="Sporting Clays",IFERROR(INDEX('Shooter-Squad Assignment'!$A:$A,MATCH(C78&amp;"-"&amp;E78&amp;"-"&amp;F78&amp;"-Pos1",'Shooter-Squad Assignment'!$Z:$Z,0)),""),"")))</f>
        <v/>
      </c>
      <c r="H78" s="88" t="str">
        <f>IF(ISBLANK(G78),"",IFERROR(INDEX('Tournament List'!$D:$D,MATCH(G78,'Tournament List'!$A:$A,0)),""))</f>
        <v/>
      </c>
      <c r="I78" s="96" t="str">
        <f>IF(F78="Skeet",IFERROR(INDEX('Shooter-Squad Assignment'!$A:$A,MATCH(C78&amp;"-"&amp;E78&amp;"-"&amp;F78&amp;"-Pos2",'Shooter-Squad Assignment'!$K:$K,0)),""),IF(F78="Trap",IFERROR(INDEX('Shooter-Squad Assignment'!$A:$A,MATCH(C78&amp;"-"&amp;E78&amp;"-"&amp;F78&amp;"-Pos2",'Shooter-Squad Assignment'!$W:$W,0)),""),IF(F78="Sporting Clays",IFERROR(INDEX('Shooter-Squad Assignment'!$A:$A,MATCH(C78&amp;"-"&amp;E78&amp;"-"&amp;F78&amp;"-Pos2",'Shooter-Squad Assignment'!$Z:$Z,0)),""),"")))</f>
        <v/>
      </c>
      <c r="J78" s="88" t="str">
        <f>IF(ISBLANK(I78),"",IFERROR(INDEX('Tournament List'!$D:$D,MATCH(I78,'Tournament List'!$A:$A,0)),""))</f>
        <v/>
      </c>
      <c r="K78" s="96" t="str">
        <f>IF(F78="Skeet",IFERROR(INDEX('Shooter-Squad Assignment'!$A:$A,MATCH(C78&amp;"-"&amp;E78&amp;"-"&amp;F78&amp;"-Pos3",'Shooter-Squad Assignment'!$K:$K,0)),""),IF(F78="Trap",IFERROR(INDEX('Shooter-Squad Assignment'!$A:$A,MATCH(C78&amp;"-"&amp;E78&amp;"-"&amp;F78&amp;"-Pos3",'Shooter-Squad Assignment'!$W:$W,0)),""),IF(F78="Sporting Clays",IFERROR(INDEX('Shooter-Squad Assignment'!$A:$A,MATCH(C78&amp;"-"&amp;E78&amp;"-"&amp;F78&amp;"-Pos3",'Shooter-Squad Assignment'!$Z:$Z,0)),""),"")))</f>
        <v/>
      </c>
      <c r="L78" s="88" t="str">
        <f>IF(ISBLANK(K78),"",IFERROR(INDEX('Tournament List'!$D:$D,MATCH(K78,'Tournament List'!$A:$A,0)),""))</f>
        <v/>
      </c>
      <c r="M78" s="96" t="str">
        <f>IF(F78="Skeet",IFERROR(INDEX('Shooter-Squad Assignment'!$A:$A,MATCH(C78&amp;"-"&amp;E78&amp;"-"&amp;F78&amp;"-Pos4",'Shooter-Squad Assignment'!$K:$K,0)),""),IF(F78="Trap",IFERROR(INDEX('Shooter-Squad Assignment'!$A:$A,MATCH(C78&amp;"-"&amp;E78&amp;"-"&amp;F78&amp;"-Pos4",'Shooter-Squad Assignment'!$W:$W,0)),""),IF(F78="Sporting Clays",IFERROR(INDEX('Shooter-Squad Assignment'!$A:$A,MATCH(C78&amp;"-"&amp;E78&amp;"-"&amp;F78&amp;"-Pos4",'Shooter-Squad Assignment'!$Z:$Z,0)),""),"")))</f>
        <v/>
      </c>
      <c r="N78" s="88" t="str">
        <f>IF(ISBLANK(M78),"",IFERROR(INDEX('Tournament List'!$D:$D,MATCH(M78,'Tournament List'!$A:$A,0)),""))</f>
        <v/>
      </c>
      <c r="O78" s="96" t="str">
        <f>IF(F78="Skeet",IFERROR(INDEX('Shooter-Squad Assignment'!$A:$A,MATCH(C78&amp;"-"&amp;E78&amp;"-"&amp;F78&amp;"-Pos5",'Shooter-Squad Assignment'!$K:$K,0)),""),IF(F78="Trap",IFERROR(INDEX('Shooter-Squad Assignment'!$A:$A,MATCH(C78&amp;"-"&amp;E78&amp;"-"&amp;F78&amp;"-Pos5",'Shooter-Squad Assignment'!$W:$W,0)),""),IF(F78="Sporting Clays",IFERROR(INDEX('Shooter-Squad Assignment'!$A:$A,MATCH(C78&amp;"-"&amp;E78&amp;"-"&amp;F78&amp;"-Pos5",'Shooter-Squad Assignment'!$Z:$Z,0)),""),"")))</f>
        <v/>
      </c>
      <c r="P78" s="89" t="str">
        <f>IF(ISBLANK(O78),"",IFERROR(INDEX('Tournament List'!$D:$D,MATCH(O78,'Tournament List'!$A:$A,0)),""))</f>
        <v/>
      </c>
    </row>
    <row r="79" spans="1:16" x14ac:dyDescent="0.3">
      <c r="A79" s="87">
        <v>78</v>
      </c>
      <c r="B79" s="88" t="str">
        <f>C79&amp;"-"&amp;E79&amp;"-"&amp;F79</f>
        <v>Forge Christian Shooting Team-Collegiate 2-Sporting Clays</v>
      </c>
      <c r="C79" s="88" t="s">
        <v>321</v>
      </c>
      <c r="D79" s="88" t="str">
        <f>INDEX('Tournament Setup'!$B$59:$B$78,MATCH(E79,SquadConcurrents,0))</f>
        <v>Collegiate</v>
      </c>
      <c r="E79" s="88" t="s">
        <v>348</v>
      </c>
      <c r="F79" s="88" t="s">
        <v>148</v>
      </c>
      <c r="G79" s="96" t="str">
        <f>IF(F79="Skeet",IFERROR(INDEX('Shooter-Squad Assignment'!$A:$A,MATCH(C79&amp;"-"&amp;E79&amp;"-"&amp;F79&amp;"-Pos1",'Shooter-Squad Assignment'!$K:$K,0)),""),IF(F79="Trap",IFERROR(INDEX('Shooter-Squad Assignment'!$A:$A,MATCH(C79&amp;"-"&amp;E79&amp;"-"&amp;F79&amp;"-Pos1",'Shooter-Squad Assignment'!$W:$W,0)),""),IF(F79="Sporting Clays",IFERROR(INDEX('Shooter-Squad Assignment'!$A:$A,MATCH(C79&amp;"-"&amp;E79&amp;"-"&amp;F79&amp;"-Pos1",'Shooter-Squad Assignment'!$Z:$Z,0)),""),"")))</f>
        <v/>
      </c>
      <c r="H79" s="88" t="str">
        <f>IF(ISBLANK(G79),"",IFERROR(INDEX('Tournament List'!$D:$D,MATCH(G79,'Tournament List'!$A:$A,0)),""))</f>
        <v/>
      </c>
      <c r="I79" s="96" t="str">
        <f>IF(F79="Skeet",IFERROR(INDEX('Shooter-Squad Assignment'!$A:$A,MATCH(C79&amp;"-"&amp;E79&amp;"-"&amp;F79&amp;"-Pos2",'Shooter-Squad Assignment'!$K:$K,0)),""),IF(F79="Trap",IFERROR(INDEX('Shooter-Squad Assignment'!$A:$A,MATCH(C79&amp;"-"&amp;E79&amp;"-"&amp;F79&amp;"-Pos2",'Shooter-Squad Assignment'!$W:$W,0)),""),IF(F79="Sporting Clays",IFERROR(INDEX('Shooter-Squad Assignment'!$A:$A,MATCH(C79&amp;"-"&amp;E79&amp;"-"&amp;F79&amp;"-Pos2",'Shooter-Squad Assignment'!$Z:$Z,0)),""),"")))</f>
        <v/>
      </c>
      <c r="J79" s="88" t="str">
        <f>IF(ISBLANK(I79),"",IFERROR(INDEX('Tournament List'!$D:$D,MATCH(I79,'Tournament List'!$A:$A,0)),""))</f>
        <v/>
      </c>
      <c r="K79" s="96" t="str">
        <f>IF(F79="Skeet",IFERROR(INDEX('Shooter-Squad Assignment'!$A:$A,MATCH(C79&amp;"-"&amp;E79&amp;"-"&amp;F79&amp;"-Pos3",'Shooter-Squad Assignment'!$K:$K,0)),""),IF(F79="Trap",IFERROR(INDEX('Shooter-Squad Assignment'!$A:$A,MATCH(C79&amp;"-"&amp;E79&amp;"-"&amp;F79&amp;"-Pos3",'Shooter-Squad Assignment'!$W:$W,0)),""),IF(F79="Sporting Clays",IFERROR(INDEX('Shooter-Squad Assignment'!$A:$A,MATCH(C79&amp;"-"&amp;E79&amp;"-"&amp;F79&amp;"-Pos3",'Shooter-Squad Assignment'!$Z:$Z,0)),""),"")))</f>
        <v/>
      </c>
      <c r="L79" s="88" t="str">
        <f>IF(ISBLANK(K79),"",IFERROR(INDEX('Tournament List'!$D:$D,MATCH(K79,'Tournament List'!$A:$A,0)),""))</f>
        <v/>
      </c>
      <c r="M79" s="96" t="str">
        <f>IF(F79="Skeet",IFERROR(INDEX('Shooter-Squad Assignment'!$A:$A,MATCH(C79&amp;"-"&amp;E79&amp;"-"&amp;F79&amp;"-Pos4",'Shooter-Squad Assignment'!$K:$K,0)),""),IF(F79="Trap",IFERROR(INDEX('Shooter-Squad Assignment'!$A:$A,MATCH(C79&amp;"-"&amp;E79&amp;"-"&amp;F79&amp;"-Pos4",'Shooter-Squad Assignment'!$W:$W,0)),""),IF(F79="Sporting Clays",IFERROR(INDEX('Shooter-Squad Assignment'!$A:$A,MATCH(C79&amp;"-"&amp;E79&amp;"-"&amp;F79&amp;"-Pos4",'Shooter-Squad Assignment'!$Z:$Z,0)),""),"")))</f>
        <v/>
      </c>
      <c r="N79" s="88" t="str">
        <f>IF(ISBLANK(M79),"",IFERROR(INDEX('Tournament List'!$D:$D,MATCH(M79,'Tournament List'!$A:$A,0)),""))</f>
        <v/>
      </c>
      <c r="O79" s="96" t="str">
        <f>IF(F79="Skeet",IFERROR(INDEX('Shooter-Squad Assignment'!$A:$A,MATCH(C79&amp;"-"&amp;E79&amp;"-"&amp;F79&amp;"-Pos5",'Shooter-Squad Assignment'!$K:$K,0)),""),IF(F79="Trap",IFERROR(INDEX('Shooter-Squad Assignment'!$A:$A,MATCH(C79&amp;"-"&amp;E79&amp;"-"&amp;F79&amp;"-Pos5",'Shooter-Squad Assignment'!$W:$W,0)),""),IF(F79="Sporting Clays",IFERROR(INDEX('Shooter-Squad Assignment'!$A:$A,MATCH(C79&amp;"-"&amp;E79&amp;"-"&amp;F79&amp;"-Pos5",'Shooter-Squad Assignment'!$Z:$Z,0)),""),"")))</f>
        <v/>
      </c>
      <c r="P79" s="89" t="str">
        <f>IF(ISBLANK(O79),"",IFERROR(INDEX('Tournament List'!$D:$D,MATCH(O79,'Tournament List'!$A:$A,0)),""))</f>
        <v/>
      </c>
    </row>
    <row r="80" spans="1:16" x14ac:dyDescent="0.3">
      <c r="A80" s="87">
        <v>79</v>
      </c>
      <c r="B80" s="88" t="str">
        <f>C80&amp;"-"&amp;E80&amp;"-"&amp;F80</f>
        <v>Forge Christian Shooting Team-Collegiate 3-Sporting Clays</v>
      </c>
      <c r="C80" s="88" t="s">
        <v>321</v>
      </c>
      <c r="D80" s="88" t="str">
        <f>INDEX('Tournament Setup'!$B$59:$B$78,MATCH(E80,SquadConcurrents,0))</f>
        <v>Collegiate</v>
      </c>
      <c r="E80" s="88" t="s">
        <v>354</v>
      </c>
      <c r="F80" s="88" t="s">
        <v>148</v>
      </c>
      <c r="G80" s="96" t="str">
        <f>IF(F80="Skeet",IFERROR(INDEX('Shooter-Squad Assignment'!$A:$A,MATCH(C80&amp;"-"&amp;E80&amp;"-"&amp;F80&amp;"-Pos1",'Shooter-Squad Assignment'!$K:$K,0)),""),IF(F80="Trap",IFERROR(INDEX('Shooter-Squad Assignment'!$A:$A,MATCH(C80&amp;"-"&amp;E80&amp;"-"&amp;F80&amp;"-Pos1",'Shooter-Squad Assignment'!$W:$W,0)),""),IF(F80="Sporting Clays",IFERROR(INDEX('Shooter-Squad Assignment'!$A:$A,MATCH(C80&amp;"-"&amp;E80&amp;"-"&amp;F80&amp;"-Pos1",'Shooter-Squad Assignment'!$Z:$Z,0)),""),"")))</f>
        <v/>
      </c>
      <c r="H80" s="88" t="str">
        <f>IF(ISBLANK(G80),"",IFERROR(INDEX('Tournament List'!$D:$D,MATCH(G80,'Tournament List'!$A:$A,0)),""))</f>
        <v/>
      </c>
      <c r="I80" s="96" t="str">
        <f>IF(F80="Skeet",IFERROR(INDEX('Shooter-Squad Assignment'!$A:$A,MATCH(C80&amp;"-"&amp;E80&amp;"-"&amp;F80&amp;"-Pos2",'Shooter-Squad Assignment'!$K:$K,0)),""),IF(F80="Trap",IFERROR(INDEX('Shooter-Squad Assignment'!$A:$A,MATCH(C80&amp;"-"&amp;E80&amp;"-"&amp;F80&amp;"-Pos2",'Shooter-Squad Assignment'!$W:$W,0)),""),IF(F80="Sporting Clays",IFERROR(INDEX('Shooter-Squad Assignment'!$A:$A,MATCH(C80&amp;"-"&amp;E80&amp;"-"&amp;F80&amp;"-Pos2",'Shooter-Squad Assignment'!$Z:$Z,0)),""),"")))</f>
        <v/>
      </c>
      <c r="J80" s="88" t="str">
        <f>IF(ISBLANK(I80),"",IFERROR(INDEX('Tournament List'!$D:$D,MATCH(I80,'Tournament List'!$A:$A,0)),""))</f>
        <v/>
      </c>
      <c r="K80" s="96" t="str">
        <f>IF(F80="Skeet",IFERROR(INDEX('Shooter-Squad Assignment'!$A:$A,MATCH(C80&amp;"-"&amp;E80&amp;"-"&amp;F80&amp;"-Pos3",'Shooter-Squad Assignment'!$K:$K,0)),""),IF(F80="Trap",IFERROR(INDEX('Shooter-Squad Assignment'!$A:$A,MATCH(C80&amp;"-"&amp;E80&amp;"-"&amp;F80&amp;"-Pos3",'Shooter-Squad Assignment'!$W:$W,0)),""),IF(F80="Sporting Clays",IFERROR(INDEX('Shooter-Squad Assignment'!$A:$A,MATCH(C80&amp;"-"&amp;E80&amp;"-"&amp;F80&amp;"-Pos3",'Shooter-Squad Assignment'!$Z:$Z,0)),""),"")))</f>
        <v/>
      </c>
      <c r="L80" s="88" t="str">
        <f>IF(ISBLANK(K80),"",IFERROR(INDEX('Tournament List'!$D:$D,MATCH(K80,'Tournament List'!$A:$A,0)),""))</f>
        <v/>
      </c>
      <c r="M80" s="96" t="str">
        <f>IF(F80="Skeet",IFERROR(INDEX('Shooter-Squad Assignment'!$A:$A,MATCH(C80&amp;"-"&amp;E80&amp;"-"&amp;F80&amp;"-Pos4",'Shooter-Squad Assignment'!$K:$K,0)),""),IF(F80="Trap",IFERROR(INDEX('Shooter-Squad Assignment'!$A:$A,MATCH(C80&amp;"-"&amp;E80&amp;"-"&amp;F80&amp;"-Pos4",'Shooter-Squad Assignment'!$W:$W,0)),""),IF(F80="Sporting Clays",IFERROR(INDEX('Shooter-Squad Assignment'!$A:$A,MATCH(C80&amp;"-"&amp;E80&amp;"-"&amp;F80&amp;"-Pos4",'Shooter-Squad Assignment'!$Z:$Z,0)),""),"")))</f>
        <v/>
      </c>
      <c r="N80" s="88" t="str">
        <f>IF(ISBLANK(M80),"",IFERROR(INDEX('Tournament List'!$D:$D,MATCH(M80,'Tournament List'!$A:$A,0)),""))</f>
        <v/>
      </c>
      <c r="O80" s="96" t="str">
        <f>IF(F80="Skeet",IFERROR(INDEX('Shooter-Squad Assignment'!$A:$A,MATCH(C80&amp;"-"&amp;E80&amp;"-"&amp;F80&amp;"-Pos5",'Shooter-Squad Assignment'!$K:$K,0)),""),IF(F80="Trap",IFERROR(INDEX('Shooter-Squad Assignment'!$A:$A,MATCH(C80&amp;"-"&amp;E80&amp;"-"&amp;F80&amp;"-Pos5",'Shooter-Squad Assignment'!$W:$W,0)),""),IF(F80="Sporting Clays",IFERROR(INDEX('Shooter-Squad Assignment'!$A:$A,MATCH(C80&amp;"-"&amp;E80&amp;"-"&amp;F80&amp;"-Pos5",'Shooter-Squad Assignment'!$Z:$Z,0)),""),"")))</f>
        <v/>
      </c>
      <c r="P80" s="89" t="str">
        <f>IF(ISBLANK(O80),"",IFERROR(INDEX('Tournament List'!$D:$D,MATCH(O80,'Tournament List'!$A:$A,0)),""))</f>
        <v/>
      </c>
    </row>
    <row r="81" spans="1:16" x14ac:dyDescent="0.3">
      <c r="A81" s="87">
        <v>80</v>
      </c>
      <c r="B81" s="88" t="str">
        <f>C81&amp;"-"&amp;E81&amp;"-"&amp;F81</f>
        <v>Forge Christian Shooting Team-Intermediate 1-Sporting Clays</v>
      </c>
      <c r="C81" s="88" t="s">
        <v>321</v>
      </c>
      <c r="D81" s="88" t="str">
        <f>INDEX('Tournament Setup'!$B$59:$B$78,MATCH(E81,SquadConcurrents,0))</f>
        <v>Intermediate</v>
      </c>
      <c r="E81" s="88" t="s">
        <v>338</v>
      </c>
      <c r="F81" s="88" t="s">
        <v>148</v>
      </c>
      <c r="G81" s="96" t="str">
        <f>IF(F81="Skeet",IFERROR(INDEX('Shooter-Squad Assignment'!$A:$A,MATCH(C81&amp;"-"&amp;E81&amp;"-"&amp;F81&amp;"-Pos1",'Shooter-Squad Assignment'!$K:$K,0)),""),IF(F81="Trap",IFERROR(INDEX('Shooter-Squad Assignment'!$A:$A,MATCH(C81&amp;"-"&amp;E81&amp;"-"&amp;F81&amp;"-Pos1",'Shooter-Squad Assignment'!$W:$W,0)),""),IF(F81="Sporting Clays",IFERROR(INDEX('Shooter-Squad Assignment'!$A:$A,MATCH(C81&amp;"-"&amp;E81&amp;"-"&amp;F81&amp;"-Pos1",'Shooter-Squad Assignment'!$Z:$Z,0)),""),"")))</f>
        <v/>
      </c>
      <c r="H81" s="88" t="str">
        <f>IF(ISBLANK(G81),"",IFERROR(INDEX('Tournament List'!$D:$D,MATCH(G81,'Tournament List'!$A:$A,0)),""))</f>
        <v/>
      </c>
      <c r="I81" s="96" t="str">
        <f>IF(F81="Skeet",IFERROR(INDEX('Shooter-Squad Assignment'!$A:$A,MATCH(C81&amp;"-"&amp;E81&amp;"-"&amp;F81&amp;"-Pos2",'Shooter-Squad Assignment'!$K:$K,0)),""),IF(F81="Trap",IFERROR(INDEX('Shooter-Squad Assignment'!$A:$A,MATCH(C81&amp;"-"&amp;E81&amp;"-"&amp;F81&amp;"-Pos2",'Shooter-Squad Assignment'!$W:$W,0)),""),IF(F81="Sporting Clays",IFERROR(INDEX('Shooter-Squad Assignment'!$A:$A,MATCH(C81&amp;"-"&amp;E81&amp;"-"&amp;F81&amp;"-Pos2",'Shooter-Squad Assignment'!$Z:$Z,0)),""),"")))</f>
        <v/>
      </c>
      <c r="J81" s="88" t="str">
        <f>IF(ISBLANK(I81),"",IFERROR(INDEX('Tournament List'!$D:$D,MATCH(I81,'Tournament List'!$A:$A,0)),""))</f>
        <v/>
      </c>
      <c r="K81" s="96" t="str">
        <f>IF(F81="Skeet",IFERROR(INDEX('Shooter-Squad Assignment'!$A:$A,MATCH(C81&amp;"-"&amp;E81&amp;"-"&amp;F81&amp;"-Pos3",'Shooter-Squad Assignment'!$K:$K,0)),""),IF(F81="Trap",IFERROR(INDEX('Shooter-Squad Assignment'!$A:$A,MATCH(C81&amp;"-"&amp;E81&amp;"-"&amp;F81&amp;"-Pos3",'Shooter-Squad Assignment'!$W:$W,0)),""),IF(F81="Sporting Clays",IFERROR(INDEX('Shooter-Squad Assignment'!$A:$A,MATCH(C81&amp;"-"&amp;E81&amp;"-"&amp;F81&amp;"-Pos3",'Shooter-Squad Assignment'!$Z:$Z,0)),""),"")))</f>
        <v/>
      </c>
      <c r="L81" s="88" t="str">
        <f>IF(ISBLANK(K81),"",IFERROR(INDEX('Tournament List'!$D:$D,MATCH(K81,'Tournament List'!$A:$A,0)),""))</f>
        <v/>
      </c>
      <c r="M81" s="96" t="str">
        <f>IF(F81="Skeet",IFERROR(INDEX('Shooter-Squad Assignment'!$A:$A,MATCH(C81&amp;"-"&amp;E81&amp;"-"&amp;F81&amp;"-Pos4",'Shooter-Squad Assignment'!$K:$K,0)),""),IF(F81="Trap",IFERROR(INDEX('Shooter-Squad Assignment'!$A:$A,MATCH(C81&amp;"-"&amp;E81&amp;"-"&amp;F81&amp;"-Pos4",'Shooter-Squad Assignment'!$W:$W,0)),""),IF(F81="Sporting Clays",IFERROR(INDEX('Shooter-Squad Assignment'!$A:$A,MATCH(C81&amp;"-"&amp;E81&amp;"-"&amp;F81&amp;"-Pos4",'Shooter-Squad Assignment'!$Z:$Z,0)),""),"")))</f>
        <v/>
      </c>
      <c r="N81" s="88" t="str">
        <f>IF(ISBLANK(M81),"",IFERROR(INDEX('Tournament List'!$D:$D,MATCH(M81,'Tournament List'!$A:$A,0)),""))</f>
        <v/>
      </c>
      <c r="O81" s="96" t="str">
        <f>IF(F81="Skeet",IFERROR(INDEX('Shooter-Squad Assignment'!$A:$A,MATCH(C81&amp;"-"&amp;E81&amp;"-"&amp;F81&amp;"-Pos5",'Shooter-Squad Assignment'!$K:$K,0)),""),IF(F81="Trap",IFERROR(INDEX('Shooter-Squad Assignment'!$A:$A,MATCH(C81&amp;"-"&amp;E81&amp;"-"&amp;F81&amp;"-Pos5",'Shooter-Squad Assignment'!$W:$W,0)),""),IF(F81="Sporting Clays",IFERROR(INDEX('Shooter-Squad Assignment'!$A:$A,MATCH(C81&amp;"-"&amp;E81&amp;"-"&amp;F81&amp;"-Pos5",'Shooter-Squad Assignment'!$Z:$Z,0)),""),"")))</f>
        <v/>
      </c>
      <c r="P81" s="89" t="str">
        <f>IF(ISBLANK(O81),"",IFERROR(INDEX('Tournament List'!$D:$D,MATCH(O81,'Tournament List'!$A:$A,0)),""))</f>
        <v/>
      </c>
    </row>
    <row r="82" spans="1:16" x14ac:dyDescent="0.3">
      <c r="A82" s="87">
        <v>81</v>
      </c>
      <c r="B82" s="88" t="str">
        <f>C82&amp;"-"&amp;E82&amp;"-"&amp;F82</f>
        <v>Forge Christian Shooting Team-Intermediate 2-Sporting Clays</v>
      </c>
      <c r="C82" s="88" t="s">
        <v>321</v>
      </c>
      <c r="D82" s="88" t="str">
        <f>INDEX('Tournament Setup'!$B$59:$B$78,MATCH(E82,SquadConcurrents,0))</f>
        <v>Intermediate</v>
      </c>
      <c r="E82" s="88" t="s">
        <v>344</v>
      </c>
      <c r="F82" s="88" t="s">
        <v>148</v>
      </c>
      <c r="G82" s="96" t="str">
        <f>IF(F82="Skeet",IFERROR(INDEX('Shooter-Squad Assignment'!$A:$A,MATCH(C82&amp;"-"&amp;E82&amp;"-"&amp;F82&amp;"-Pos1",'Shooter-Squad Assignment'!$K:$K,0)),""),IF(F82="Trap",IFERROR(INDEX('Shooter-Squad Assignment'!$A:$A,MATCH(C82&amp;"-"&amp;E82&amp;"-"&amp;F82&amp;"-Pos1",'Shooter-Squad Assignment'!$W:$W,0)),""),IF(F82="Sporting Clays",IFERROR(INDEX('Shooter-Squad Assignment'!$A:$A,MATCH(C82&amp;"-"&amp;E82&amp;"-"&amp;F82&amp;"-Pos1",'Shooter-Squad Assignment'!$Z:$Z,0)),""),"")))</f>
        <v/>
      </c>
      <c r="H82" s="88" t="str">
        <f>IF(ISBLANK(G82),"",IFERROR(INDEX('Tournament List'!$D:$D,MATCH(G82,'Tournament List'!$A:$A,0)),""))</f>
        <v/>
      </c>
      <c r="I82" s="96" t="str">
        <f>IF(F82="Skeet",IFERROR(INDEX('Shooter-Squad Assignment'!$A:$A,MATCH(C82&amp;"-"&amp;E82&amp;"-"&amp;F82&amp;"-Pos2",'Shooter-Squad Assignment'!$K:$K,0)),""),IF(F82="Trap",IFERROR(INDEX('Shooter-Squad Assignment'!$A:$A,MATCH(C82&amp;"-"&amp;E82&amp;"-"&amp;F82&amp;"-Pos2",'Shooter-Squad Assignment'!$W:$W,0)),""),IF(F82="Sporting Clays",IFERROR(INDEX('Shooter-Squad Assignment'!$A:$A,MATCH(C82&amp;"-"&amp;E82&amp;"-"&amp;F82&amp;"-Pos2",'Shooter-Squad Assignment'!$Z:$Z,0)),""),"")))</f>
        <v/>
      </c>
      <c r="J82" s="88" t="str">
        <f>IF(ISBLANK(I82),"",IFERROR(INDEX('Tournament List'!$D:$D,MATCH(I82,'Tournament List'!$A:$A,0)),""))</f>
        <v/>
      </c>
      <c r="K82" s="96" t="str">
        <f>IF(F82="Skeet",IFERROR(INDEX('Shooter-Squad Assignment'!$A:$A,MATCH(C82&amp;"-"&amp;E82&amp;"-"&amp;F82&amp;"-Pos3",'Shooter-Squad Assignment'!$K:$K,0)),""),IF(F82="Trap",IFERROR(INDEX('Shooter-Squad Assignment'!$A:$A,MATCH(C82&amp;"-"&amp;E82&amp;"-"&amp;F82&amp;"-Pos3",'Shooter-Squad Assignment'!$W:$W,0)),""),IF(F82="Sporting Clays",IFERROR(INDEX('Shooter-Squad Assignment'!$A:$A,MATCH(C82&amp;"-"&amp;E82&amp;"-"&amp;F82&amp;"-Pos3",'Shooter-Squad Assignment'!$Z:$Z,0)),""),"")))</f>
        <v/>
      </c>
      <c r="L82" s="88" t="str">
        <f>IF(ISBLANK(K82),"",IFERROR(INDEX('Tournament List'!$D:$D,MATCH(K82,'Tournament List'!$A:$A,0)),""))</f>
        <v/>
      </c>
      <c r="M82" s="96" t="str">
        <f>IF(F82="Skeet",IFERROR(INDEX('Shooter-Squad Assignment'!$A:$A,MATCH(C82&amp;"-"&amp;E82&amp;"-"&amp;F82&amp;"-Pos4",'Shooter-Squad Assignment'!$K:$K,0)),""),IF(F82="Trap",IFERROR(INDEX('Shooter-Squad Assignment'!$A:$A,MATCH(C82&amp;"-"&amp;E82&amp;"-"&amp;F82&amp;"-Pos4",'Shooter-Squad Assignment'!$W:$W,0)),""),IF(F82="Sporting Clays",IFERROR(INDEX('Shooter-Squad Assignment'!$A:$A,MATCH(C82&amp;"-"&amp;E82&amp;"-"&amp;F82&amp;"-Pos4",'Shooter-Squad Assignment'!$Z:$Z,0)),""),"")))</f>
        <v/>
      </c>
      <c r="N82" s="88" t="str">
        <f>IF(ISBLANK(M82),"",IFERROR(INDEX('Tournament List'!$D:$D,MATCH(M82,'Tournament List'!$A:$A,0)),""))</f>
        <v/>
      </c>
      <c r="O82" s="96" t="str">
        <f>IF(F82="Skeet",IFERROR(INDEX('Shooter-Squad Assignment'!$A:$A,MATCH(C82&amp;"-"&amp;E82&amp;"-"&amp;F82&amp;"-Pos5",'Shooter-Squad Assignment'!$K:$K,0)),""),IF(F82="Trap",IFERROR(INDEX('Shooter-Squad Assignment'!$A:$A,MATCH(C82&amp;"-"&amp;E82&amp;"-"&amp;F82&amp;"-Pos5",'Shooter-Squad Assignment'!$W:$W,0)),""),IF(F82="Sporting Clays",IFERROR(INDEX('Shooter-Squad Assignment'!$A:$A,MATCH(C82&amp;"-"&amp;E82&amp;"-"&amp;F82&amp;"-Pos5",'Shooter-Squad Assignment'!$Z:$Z,0)),""),"")))</f>
        <v/>
      </c>
      <c r="P82" s="89" t="str">
        <f>IF(ISBLANK(O82),"",IFERROR(INDEX('Tournament List'!$D:$D,MATCH(O82,'Tournament List'!$A:$A,0)),""))</f>
        <v/>
      </c>
    </row>
    <row r="83" spans="1:16" x14ac:dyDescent="0.3">
      <c r="A83" s="87">
        <v>82</v>
      </c>
      <c r="B83" s="88" t="str">
        <f>C83&amp;"-"&amp;E83&amp;"-"&amp;F83</f>
        <v>Forge Christian Shooting Team-Intermediate 3-Sporting Clays</v>
      </c>
      <c r="C83" s="88" t="s">
        <v>321</v>
      </c>
      <c r="D83" s="88" t="str">
        <f>INDEX('Tournament Setup'!$B$59:$B$78,MATCH(E83,SquadConcurrents,0))</f>
        <v>Intermediate</v>
      </c>
      <c r="E83" s="88" t="s">
        <v>350</v>
      </c>
      <c r="F83" s="88" t="s">
        <v>148</v>
      </c>
      <c r="G83" s="96" t="str">
        <f>IF(F83="Skeet",IFERROR(INDEX('Shooter-Squad Assignment'!$A:$A,MATCH(C83&amp;"-"&amp;E83&amp;"-"&amp;F83&amp;"-Pos1",'Shooter-Squad Assignment'!$K:$K,0)),""),IF(F83="Trap",IFERROR(INDEX('Shooter-Squad Assignment'!$A:$A,MATCH(C83&amp;"-"&amp;E83&amp;"-"&amp;F83&amp;"-Pos1",'Shooter-Squad Assignment'!$W:$W,0)),""),IF(F83="Sporting Clays",IFERROR(INDEX('Shooter-Squad Assignment'!$A:$A,MATCH(C83&amp;"-"&amp;E83&amp;"-"&amp;F83&amp;"-Pos1",'Shooter-Squad Assignment'!$Z:$Z,0)),""),"")))</f>
        <v/>
      </c>
      <c r="H83" s="88" t="str">
        <f>IF(ISBLANK(G83),"",IFERROR(INDEX('Tournament List'!$D:$D,MATCH(G83,'Tournament List'!$A:$A,0)),""))</f>
        <v/>
      </c>
      <c r="I83" s="96" t="str">
        <f>IF(F83="Skeet",IFERROR(INDEX('Shooter-Squad Assignment'!$A:$A,MATCH(C83&amp;"-"&amp;E83&amp;"-"&amp;F83&amp;"-Pos2",'Shooter-Squad Assignment'!$K:$K,0)),""),IF(F83="Trap",IFERROR(INDEX('Shooter-Squad Assignment'!$A:$A,MATCH(C83&amp;"-"&amp;E83&amp;"-"&amp;F83&amp;"-Pos2",'Shooter-Squad Assignment'!$W:$W,0)),""),IF(F83="Sporting Clays",IFERROR(INDEX('Shooter-Squad Assignment'!$A:$A,MATCH(C83&amp;"-"&amp;E83&amp;"-"&amp;F83&amp;"-Pos2",'Shooter-Squad Assignment'!$Z:$Z,0)),""),"")))</f>
        <v/>
      </c>
      <c r="J83" s="88" t="str">
        <f>IF(ISBLANK(I83),"",IFERROR(INDEX('Tournament List'!$D:$D,MATCH(I83,'Tournament List'!$A:$A,0)),""))</f>
        <v/>
      </c>
      <c r="K83" s="96" t="str">
        <f>IF(F83="Skeet",IFERROR(INDEX('Shooter-Squad Assignment'!$A:$A,MATCH(C83&amp;"-"&amp;E83&amp;"-"&amp;F83&amp;"-Pos3",'Shooter-Squad Assignment'!$K:$K,0)),""),IF(F83="Trap",IFERROR(INDEX('Shooter-Squad Assignment'!$A:$A,MATCH(C83&amp;"-"&amp;E83&amp;"-"&amp;F83&amp;"-Pos3",'Shooter-Squad Assignment'!$W:$W,0)),""),IF(F83="Sporting Clays",IFERROR(INDEX('Shooter-Squad Assignment'!$A:$A,MATCH(C83&amp;"-"&amp;E83&amp;"-"&amp;F83&amp;"-Pos3",'Shooter-Squad Assignment'!$Z:$Z,0)),""),"")))</f>
        <v/>
      </c>
      <c r="L83" s="88" t="str">
        <f>IF(ISBLANK(K83),"",IFERROR(INDEX('Tournament List'!$D:$D,MATCH(K83,'Tournament List'!$A:$A,0)),""))</f>
        <v/>
      </c>
      <c r="M83" s="96" t="str">
        <f>IF(F83="Skeet",IFERROR(INDEX('Shooter-Squad Assignment'!$A:$A,MATCH(C83&amp;"-"&amp;E83&amp;"-"&amp;F83&amp;"-Pos4",'Shooter-Squad Assignment'!$K:$K,0)),""),IF(F83="Trap",IFERROR(INDEX('Shooter-Squad Assignment'!$A:$A,MATCH(C83&amp;"-"&amp;E83&amp;"-"&amp;F83&amp;"-Pos4",'Shooter-Squad Assignment'!$W:$W,0)),""),IF(F83="Sporting Clays",IFERROR(INDEX('Shooter-Squad Assignment'!$A:$A,MATCH(C83&amp;"-"&amp;E83&amp;"-"&amp;F83&amp;"-Pos4",'Shooter-Squad Assignment'!$Z:$Z,0)),""),"")))</f>
        <v/>
      </c>
      <c r="N83" s="88" t="str">
        <f>IF(ISBLANK(M83),"",IFERROR(INDEX('Tournament List'!$D:$D,MATCH(M83,'Tournament List'!$A:$A,0)),""))</f>
        <v/>
      </c>
      <c r="O83" s="96" t="str">
        <f>IF(F83="Skeet",IFERROR(INDEX('Shooter-Squad Assignment'!$A:$A,MATCH(C83&amp;"-"&amp;E83&amp;"-"&amp;F83&amp;"-Pos5",'Shooter-Squad Assignment'!$K:$K,0)),""),IF(F83="Trap",IFERROR(INDEX('Shooter-Squad Assignment'!$A:$A,MATCH(C83&amp;"-"&amp;E83&amp;"-"&amp;F83&amp;"-Pos5",'Shooter-Squad Assignment'!$W:$W,0)),""),IF(F83="Sporting Clays",IFERROR(INDEX('Shooter-Squad Assignment'!$A:$A,MATCH(C83&amp;"-"&amp;E83&amp;"-"&amp;F83&amp;"-Pos5",'Shooter-Squad Assignment'!$Z:$Z,0)),""),"")))</f>
        <v/>
      </c>
      <c r="P83" s="89" t="str">
        <f>IF(ISBLANK(O83),"",IFERROR(INDEX('Tournament List'!$D:$D,MATCH(O83,'Tournament List'!$A:$A,0)),""))</f>
        <v/>
      </c>
    </row>
    <row r="84" spans="1:16" x14ac:dyDescent="0.3">
      <c r="A84" s="87">
        <v>83</v>
      </c>
      <c r="B84" s="88" t="str">
        <f>C84&amp;"-"&amp;E84&amp;"-"&amp;F84</f>
        <v>Forge Christian Shooting Team-Junior Varsity 1-Sporting Clays</v>
      </c>
      <c r="C84" s="88" t="s">
        <v>321</v>
      </c>
      <c r="D84" s="88" t="str">
        <f>INDEX('Tournament Setup'!$B$59:$B$78,MATCH(E84,SquadConcurrents,0))</f>
        <v>Junior Varsity</v>
      </c>
      <c r="E84" s="88" t="s">
        <v>339</v>
      </c>
      <c r="F84" s="88" t="s">
        <v>148</v>
      </c>
      <c r="G84" s="96" t="str">
        <f>IF(F84="Skeet",IFERROR(INDEX('Shooter-Squad Assignment'!$A:$A,MATCH(C84&amp;"-"&amp;E84&amp;"-"&amp;F84&amp;"-Pos1",'Shooter-Squad Assignment'!$K:$K,0)),""),IF(F84="Trap",IFERROR(INDEX('Shooter-Squad Assignment'!$A:$A,MATCH(C84&amp;"-"&amp;E84&amp;"-"&amp;F84&amp;"-Pos1",'Shooter-Squad Assignment'!$W:$W,0)),""),IF(F84="Sporting Clays",IFERROR(INDEX('Shooter-Squad Assignment'!$A:$A,MATCH(C84&amp;"-"&amp;E84&amp;"-"&amp;F84&amp;"-Pos1",'Shooter-Squad Assignment'!$Z:$Z,0)),""),"")))</f>
        <v/>
      </c>
      <c r="H84" s="88" t="str">
        <f>IF(ISBLANK(G84),"",IFERROR(INDEX('Tournament List'!$D:$D,MATCH(G84,'Tournament List'!$A:$A,0)),""))</f>
        <v/>
      </c>
      <c r="I84" s="96" t="str">
        <f>IF(F84="Skeet",IFERROR(INDEX('Shooter-Squad Assignment'!$A:$A,MATCH(C84&amp;"-"&amp;E84&amp;"-"&amp;F84&amp;"-Pos2",'Shooter-Squad Assignment'!$K:$K,0)),""),IF(F84="Trap",IFERROR(INDEX('Shooter-Squad Assignment'!$A:$A,MATCH(C84&amp;"-"&amp;E84&amp;"-"&amp;F84&amp;"-Pos2",'Shooter-Squad Assignment'!$W:$W,0)),""),IF(F84="Sporting Clays",IFERROR(INDEX('Shooter-Squad Assignment'!$A:$A,MATCH(C84&amp;"-"&amp;E84&amp;"-"&amp;F84&amp;"-Pos2",'Shooter-Squad Assignment'!$Z:$Z,0)),""),"")))</f>
        <v/>
      </c>
      <c r="J84" s="88" t="str">
        <f>IF(ISBLANK(I84),"",IFERROR(INDEX('Tournament List'!$D:$D,MATCH(I84,'Tournament List'!$A:$A,0)),""))</f>
        <v/>
      </c>
      <c r="K84" s="96" t="str">
        <f>IF(F84="Skeet",IFERROR(INDEX('Shooter-Squad Assignment'!$A:$A,MATCH(C84&amp;"-"&amp;E84&amp;"-"&amp;F84&amp;"-Pos3",'Shooter-Squad Assignment'!$K:$K,0)),""),IF(F84="Trap",IFERROR(INDEX('Shooter-Squad Assignment'!$A:$A,MATCH(C84&amp;"-"&amp;E84&amp;"-"&amp;F84&amp;"-Pos3",'Shooter-Squad Assignment'!$W:$W,0)),""),IF(F84="Sporting Clays",IFERROR(INDEX('Shooter-Squad Assignment'!$A:$A,MATCH(C84&amp;"-"&amp;E84&amp;"-"&amp;F84&amp;"-Pos3",'Shooter-Squad Assignment'!$Z:$Z,0)),""),"")))</f>
        <v/>
      </c>
      <c r="L84" s="88" t="str">
        <f>IF(ISBLANK(K84),"",IFERROR(INDEX('Tournament List'!$D:$D,MATCH(K84,'Tournament List'!$A:$A,0)),""))</f>
        <v/>
      </c>
      <c r="M84" s="96" t="str">
        <f>IF(F84="Skeet",IFERROR(INDEX('Shooter-Squad Assignment'!$A:$A,MATCH(C84&amp;"-"&amp;E84&amp;"-"&amp;F84&amp;"-Pos4",'Shooter-Squad Assignment'!$K:$K,0)),""),IF(F84="Trap",IFERROR(INDEX('Shooter-Squad Assignment'!$A:$A,MATCH(C84&amp;"-"&amp;E84&amp;"-"&amp;F84&amp;"-Pos4",'Shooter-Squad Assignment'!$W:$W,0)),""),IF(F84="Sporting Clays",IFERROR(INDEX('Shooter-Squad Assignment'!$A:$A,MATCH(C84&amp;"-"&amp;E84&amp;"-"&amp;F84&amp;"-Pos4",'Shooter-Squad Assignment'!$Z:$Z,0)),""),"")))</f>
        <v/>
      </c>
      <c r="N84" s="88" t="str">
        <f>IF(ISBLANK(M84),"",IFERROR(INDEX('Tournament List'!$D:$D,MATCH(M84,'Tournament List'!$A:$A,0)),""))</f>
        <v/>
      </c>
      <c r="O84" s="96" t="str">
        <f>IF(F84="Skeet",IFERROR(INDEX('Shooter-Squad Assignment'!$A:$A,MATCH(C84&amp;"-"&amp;E84&amp;"-"&amp;F84&amp;"-Pos5",'Shooter-Squad Assignment'!$K:$K,0)),""),IF(F84="Trap",IFERROR(INDEX('Shooter-Squad Assignment'!$A:$A,MATCH(C84&amp;"-"&amp;E84&amp;"-"&amp;F84&amp;"-Pos5",'Shooter-Squad Assignment'!$W:$W,0)),""),IF(F84="Sporting Clays",IFERROR(INDEX('Shooter-Squad Assignment'!$A:$A,MATCH(C84&amp;"-"&amp;E84&amp;"-"&amp;F84&amp;"-Pos5",'Shooter-Squad Assignment'!$Z:$Z,0)),""),"")))</f>
        <v/>
      </c>
      <c r="P84" s="89" t="str">
        <f>IF(ISBLANK(O84),"",IFERROR(INDEX('Tournament List'!$D:$D,MATCH(O84,'Tournament List'!$A:$A,0)),""))</f>
        <v/>
      </c>
    </row>
    <row r="85" spans="1:16" x14ac:dyDescent="0.3">
      <c r="A85" s="87">
        <v>84</v>
      </c>
      <c r="B85" s="88" t="str">
        <f>C85&amp;"-"&amp;E85&amp;"-"&amp;F85</f>
        <v>Forge Christian Shooting Team-Junior Varsity 2-Sporting Clays</v>
      </c>
      <c r="C85" s="88" t="s">
        <v>321</v>
      </c>
      <c r="D85" s="88" t="str">
        <f>INDEX('Tournament Setup'!$B$59:$B$78,MATCH(E85,SquadConcurrents,0))</f>
        <v>Junior Varsity</v>
      </c>
      <c r="E85" s="88" t="s">
        <v>345</v>
      </c>
      <c r="F85" s="88" t="s">
        <v>148</v>
      </c>
      <c r="G85" s="96" t="str">
        <f>IF(F85="Skeet",IFERROR(INDEX('Shooter-Squad Assignment'!$A:$A,MATCH(C85&amp;"-"&amp;E85&amp;"-"&amp;F85&amp;"-Pos1",'Shooter-Squad Assignment'!$K:$K,0)),""),IF(F85="Trap",IFERROR(INDEX('Shooter-Squad Assignment'!$A:$A,MATCH(C85&amp;"-"&amp;E85&amp;"-"&amp;F85&amp;"-Pos1",'Shooter-Squad Assignment'!$W:$W,0)),""),IF(F85="Sporting Clays",IFERROR(INDEX('Shooter-Squad Assignment'!$A:$A,MATCH(C85&amp;"-"&amp;E85&amp;"-"&amp;F85&amp;"-Pos1",'Shooter-Squad Assignment'!$Z:$Z,0)),""),"")))</f>
        <v/>
      </c>
      <c r="H85" s="88" t="str">
        <f>IF(ISBLANK(G85),"",IFERROR(INDEX('Tournament List'!$D:$D,MATCH(G85,'Tournament List'!$A:$A,0)),""))</f>
        <v/>
      </c>
      <c r="I85" s="96" t="str">
        <f>IF(F85="Skeet",IFERROR(INDEX('Shooter-Squad Assignment'!$A:$A,MATCH(C85&amp;"-"&amp;E85&amp;"-"&amp;F85&amp;"-Pos2",'Shooter-Squad Assignment'!$K:$K,0)),""),IF(F85="Trap",IFERROR(INDEX('Shooter-Squad Assignment'!$A:$A,MATCH(C85&amp;"-"&amp;E85&amp;"-"&amp;F85&amp;"-Pos2",'Shooter-Squad Assignment'!$W:$W,0)),""),IF(F85="Sporting Clays",IFERROR(INDEX('Shooter-Squad Assignment'!$A:$A,MATCH(C85&amp;"-"&amp;E85&amp;"-"&amp;F85&amp;"-Pos2",'Shooter-Squad Assignment'!$Z:$Z,0)),""),"")))</f>
        <v/>
      </c>
      <c r="J85" s="88" t="str">
        <f>IF(ISBLANK(I85),"",IFERROR(INDEX('Tournament List'!$D:$D,MATCH(I85,'Tournament List'!$A:$A,0)),""))</f>
        <v/>
      </c>
      <c r="K85" s="96" t="str">
        <f>IF(F85="Skeet",IFERROR(INDEX('Shooter-Squad Assignment'!$A:$A,MATCH(C85&amp;"-"&amp;E85&amp;"-"&amp;F85&amp;"-Pos3",'Shooter-Squad Assignment'!$K:$K,0)),""),IF(F85="Trap",IFERROR(INDEX('Shooter-Squad Assignment'!$A:$A,MATCH(C85&amp;"-"&amp;E85&amp;"-"&amp;F85&amp;"-Pos3",'Shooter-Squad Assignment'!$W:$W,0)),""),IF(F85="Sporting Clays",IFERROR(INDEX('Shooter-Squad Assignment'!$A:$A,MATCH(C85&amp;"-"&amp;E85&amp;"-"&amp;F85&amp;"-Pos3",'Shooter-Squad Assignment'!$Z:$Z,0)),""),"")))</f>
        <v/>
      </c>
      <c r="L85" s="88" t="str">
        <f>IF(ISBLANK(K85),"",IFERROR(INDEX('Tournament List'!$D:$D,MATCH(K85,'Tournament List'!$A:$A,0)),""))</f>
        <v/>
      </c>
      <c r="M85" s="96" t="str">
        <f>IF(F85="Skeet",IFERROR(INDEX('Shooter-Squad Assignment'!$A:$A,MATCH(C85&amp;"-"&amp;E85&amp;"-"&amp;F85&amp;"-Pos4",'Shooter-Squad Assignment'!$K:$K,0)),""),IF(F85="Trap",IFERROR(INDEX('Shooter-Squad Assignment'!$A:$A,MATCH(C85&amp;"-"&amp;E85&amp;"-"&amp;F85&amp;"-Pos4",'Shooter-Squad Assignment'!$W:$W,0)),""),IF(F85="Sporting Clays",IFERROR(INDEX('Shooter-Squad Assignment'!$A:$A,MATCH(C85&amp;"-"&amp;E85&amp;"-"&amp;F85&amp;"-Pos4",'Shooter-Squad Assignment'!$Z:$Z,0)),""),"")))</f>
        <v/>
      </c>
      <c r="N85" s="88" t="str">
        <f>IF(ISBLANK(M85),"",IFERROR(INDEX('Tournament List'!$D:$D,MATCH(M85,'Tournament List'!$A:$A,0)),""))</f>
        <v/>
      </c>
      <c r="O85" s="96" t="str">
        <f>IF(F85="Skeet",IFERROR(INDEX('Shooter-Squad Assignment'!$A:$A,MATCH(C85&amp;"-"&amp;E85&amp;"-"&amp;F85&amp;"-Pos5",'Shooter-Squad Assignment'!$K:$K,0)),""),IF(F85="Trap",IFERROR(INDEX('Shooter-Squad Assignment'!$A:$A,MATCH(C85&amp;"-"&amp;E85&amp;"-"&amp;F85&amp;"-Pos5",'Shooter-Squad Assignment'!$W:$W,0)),""),IF(F85="Sporting Clays",IFERROR(INDEX('Shooter-Squad Assignment'!$A:$A,MATCH(C85&amp;"-"&amp;E85&amp;"-"&amp;F85&amp;"-Pos5",'Shooter-Squad Assignment'!$Z:$Z,0)),""),"")))</f>
        <v/>
      </c>
      <c r="P85" s="89" t="str">
        <f>IF(ISBLANK(O85),"",IFERROR(INDEX('Tournament List'!$D:$D,MATCH(O85,'Tournament List'!$A:$A,0)),""))</f>
        <v/>
      </c>
    </row>
    <row r="86" spans="1:16" x14ac:dyDescent="0.3">
      <c r="A86" s="87">
        <v>85</v>
      </c>
      <c r="B86" s="88" t="str">
        <f>C86&amp;"-"&amp;E86&amp;"-"&amp;F86</f>
        <v>Forge Christian Shooting Team-Junior Varsity 3-Sporting Clays</v>
      </c>
      <c r="C86" s="88" t="s">
        <v>321</v>
      </c>
      <c r="D86" s="88" t="str">
        <f>INDEX('Tournament Setup'!$B$59:$B$78,MATCH(E86,SquadConcurrents,0))</f>
        <v>Junior Varsity</v>
      </c>
      <c r="E86" s="88" t="s">
        <v>351</v>
      </c>
      <c r="F86" s="88" t="s">
        <v>148</v>
      </c>
      <c r="G86" s="96" t="str">
        <f>IF(F86="Skeet",IFERROR(INDEX('Shooter-Squad Assignment'!$A:$A,MATCH(C86&amp;"-"&amp;E86&amp;"-"&amp;F86&amp;"-Pos1",'Shooter-Squad Assignment'!$K:$K,0)),""),IF(F86="Trap",IFERROR(INDEX('Shooter-Squad Assignment'!$A:$A,MATCH(C86&amp;"-"&amp;E86&amp;"-"&amp;F86&amp;"-Pos1",'Shooter-Squad Assignment'!$W:$W,0)),""),IF(F86="Sporting Clays",IFERROR(INDEX('Shooter-Squad Assignment'!$A:$A,MATCH(C86&amp;"-"&amp;E86&amp;"-"&amp;F86&amp;"-Pos1",'Shooter-Squad Assignment'!$Z:$Z,0)),""),"")))</f>
        <v/>
      </c>
      <c r="H86" s="88" t="str">
        <f>IF(ISBLANK(G86),"",IFERROR(INDEX('Tournament List'!$D:$D,MATCH(G86,'Tournament List'!$A:$A,0)),""))</f>
        <v/>
      </c>
      <c r="I86" s="96" t="str">
        <f>IF(F86="Skeet",IFERROR(INDEX('Shooter-Squad Assignment'!$A:$A,MATCH(C86&amp;"-"&amp;E86&amp;"-"&amp;F86&amp;"-Pos2",'Shooter-Squad Assignment'!$K:$K,0)),""),IF(F86="Trap",IFERROR(INDEX('Shooter-Squad Assignment'!$A:$A,MATCH(C86&amp;"-"&amp;E86&amp;"-"&amp;F86&amp;"-Pos2",'Shooter-Squad Assignment'!$W:$W,0)),""),IF(F86="Sporting Clays",IFERROR(INDEX('Shooter-Squad Assignment'!$A:$A,MATCH(C86&amp;"-"&amp;E86&amp;"-"&amp;F86&amp;"-Pos2",'Shooter-Squad Assignment'!$Z:$Z,0)),""),"")))</f>
        <v/>
      </c>
      <c r="J86" s="88" t="str">
        <f>IF(ISBLANK(I86),"",IFERROR(INDEX('Tournament List'!$D:$D,MATCH(I86,'Tournament List'!$A:$A,0)),""))</f>
        <v/>
      </c>
      <c r="K86" s="96" t="str">
        <f>IF(F86="Skeet",IFERROR(INDEX('Shooter-Squad Assignment'!$A:$A,MATCH(C86&amp;"-"&amp;E86&amp;"-"&amp;F86&amp;"-Pos3",'Shooter-Squad Assignment'!$K:$K,0)),""),IF(F86="Trap",IFERROR(INDEX('Shooter-Squad Assignment'!$A:$A,MATCH(C86&amp;"-"&amp;E86&amp;"-"&amp;F86&amp;"-Pos3",'Shooter-Squad Assignment'!$W:$W,0)),""),IF(F86="Sporting Clays",IFERROR(INDEX('Shooter-Squad Assignment'!$A:$A,MATCH(C86&amp;"-"&amp;E86&amp;"-"&amp;F86&amp;"-Pos3",'Shooter-Squad Assignment'!$Z:$Z,0)),""),"")))</f>
        <v/>
      </c>
      <c r="L86" s="88" t="str">
        <f>IF(ISBLANK(K86),"",IFERROR(INDEX('Tournament List'!$D:$D,MATCH(K86,'Tournament List'!$A:$A,0)),""))</f>
        <v/>
      </c>
      <c r="M86" s="96" t="str">
        <f>IF(F86="Skeet",IFERROR(INDEX('Shooter-Squad Assignment'!$A:$A,MATCH(C86&amp;"-"&amp;E86&amp;"-"&amp;F86&amp;"-Pos4",'Shooter-Squad Assignment'!$K:$K,0)),""),IF(F86="Trap",IFERROR(INDEX('Shooter-Squad Assignment'!$A:$A,MATCH(C86&amp;"-"&amp;E86&amp;"-"&amp;F86&amp;"-Pos4",'Shooter-Squad Assignment'!$W:$W,0)),""),IF(F86="Sporting Clays",IFERROR(INDEX('Shooter-Squad Assignment'!$A:$A,MATCH(C86&amp;"-"&amp;E86&amp;"-"&amp;F86&amp;"-Pos4",'Shooter-Squad Assignment'!$Z:$Z,0)),""),"")))</f>
        <v/>
      </c>
      <c r="N86" s="88" t="str">
        <f>IF(ISBLANK(M86),"",IFERROR(INDEX('Tournament List'!$D:$D,MATCH(M86,'Tournament List'!$A:$A,0)),""))</f>
        <v/>
      </c>
      <c r="O86" s="96" t="str">
        <f>IF(F86="Skeet",IFERROR(INDEX('Shooter-Squad Assignment'!$A:$A,MATCH(C86&amp;"-"&amp;E86&amp;"-"&amp;F86&amp;"-Pos5",'Shooter-Squad Assignment'!$K:$K,0)),""),IF(F86="Trap",IFERROR(INDEX('Shooter-Squad Assignment'!$A:$A,MATCH(C86&amp;"-"&amp;E86&amp;"-"&amp;F86&amp;"-Pos5",'Shooter-Squad Assignment'!$W:$W,0)),""),IF(F86="Sporting Clays",IFERROR(INDEX('Shooter-Squad Assignment'!$A:$A,MATCH(C86&amp;"-"&amp;E86&amp;"-"&amp;F86&amp;"-Pos5",'Shooter-Squad Assignment'!$Z:$Z,0)),""),"")))</f>
        <v/>
      </c>
      <c r="P86" s="89" t="str">
        <f>IF(ISBLANK(O86),"",IFERROR(INDEX('Tournament List'!$D:$D,MATCH(O86,'Tournament List'!$A:$A,0)),""))</f>
        <v/>
      </c>
    </row>
    <row r="87" spans="1:16" x14ac:dyDescent="0.3">
      <c r="A87" s="87">
        <v>86</v>
      </c>
      <c r="B87" s="88" t="str">
        <f>C87&amp;"-"&amp;E87&amp;"-"&amp;F87</f>
        <v>Forge Christian Shooting Team-Novice 1-Sporting Clays</v>
      </c>
      <c r="C87" s="88" t="s">
        <v>321</v>
      </c>
      <c r="D87" s="88" t="str">
        <f>INDEX('Tournament Setup'!$B$59:$B$78,MATCH(E87,SquadConcurrents,0))</f>
        <v>Novice</v>
      </c>
      <c r="E87" s="88" t="s">
        <v>337</v>
      </c>
      <c r="F87" s="88" t="s">
        <v>148</v>
      </c>
      <c r="G87" s="96" t="str">
        <f>IF(F87="Skeet",IFERROR(INDEX('Shooter-Squad Assignment'!$A:$A,MATCH(C87&amp;"-"&amp;E87&amp;"-"&amp;F87&amp;"-Pos1",'Shooter-Squad Assignment'!$K:$K,0)),""),IF(F87="Trap",IFERROR(INDEX('Shooter-Squad Assignment'!$A:$A,MATCH(C87&amp;"-"&amp;E87&amp;"-"&amp;F87&amp;"-Pos1",'Shooter-Squad Assignment'!$W:$W,0)),""),IF(F87="Sporting Clays",IFERROR(INDEX('Shooter-Squad Assignment'!$A:$A,MATCH(C87&amp;"-"&amp;E87&amp;"-"&amp;F87&amp;"-Pos1",'Shooter-Squad Assignment'!$Z:$Z,0)),""),"")))</f>
        <v/>
      </c>
      <c r="H87" s="88" t="str">
        <f>IF(ISBLANK(G87),"",IFERROR(INDEX('Tournament List'!$D:$D,MATCH(G87,'Tournament List'!$A:$A,0)),""))</f>
        <v/>
      </c>
      <c r="I87" s="96" t="str">
        <f>IF(F87="Skeet",IFERROR(INDEX('Shooter-Squad Assignment'!$A:$A,MATCH(C87&amp;"-"&amp;E87&amp;"-"&amp;F87&amp;"-Pos2",'Shooter-Squad Assignment'!$K:$K,0)),""),IF(F87="Trap",IFERROR(INDEX('Shooter-Squad Assignment'!$A:$A,MATCH(C87&amp;"-"&amp;E87&amp;"-"&amp;F87&amp;"-Pos2",'Shooter-Squad Assignment'!$W:$W,0)),""),IF(F87="Sporting Clays",IFERROR(INDEX('Shooter-Squad Assignment'!$A:$A,MATCH(C87&amp;"-"&amp;E87&amp;"-"&amp;F87&amp;"-Pos2",'Shooter-Squad Assignment'!$Z:$Z,0)),""),"")))</f>
        <v/>
      </c>
      <c r="J87" s="88" t="str">
        <f>IF(ISBLANK(I87),"",IFERROR(INDEX('Tournament List'!$D:$D,MATCH(I87,'Tournament List'!$A:$A,0)),""))</f>
        <v/>
      </c>
      <c r="K87" s="96" t="str">
        <f>IF(F87="Skeet",IFERROR(INDEX('Shooter-Squad Assignment'!$A:$A,MATCH(C87&amp;"-"&amp;E87&amp;"-"&amp;F87&amp;"-Pos3",'Shooter-Squad Assignment'!$K:$K,0)),""),IF(F87="Trap",IFERROR(INDEX('Shooter-Squad Assignment'!$A:$A,MATCH(C87&amp;"-"&amp;E87&amp;"-"&amp;F87&amp;"-Pos3",'Shooter-Squad Assignment'!$W:$W,0)),""),IF(F87="Sporting Clays",IFERROR(INDEX('Shooter-Squad Assignment'!$A:$A,MATCH(C87&amp;"-"&amp;E87&amp;"-"&amp;F87&amp;"-Pos3",'Shooter-Squad Assignment'!$Z:$Z,0)),""),"")))</f>
        <v/>
      </c>
      <c r="L87" s="88" t="str">
        <f>IF(ISBLANK(K87),"",IFERROR(INDEX('Tournament List'!$D:$D,MATCH(K87,'Tournament List'!$A:$A,0)),""))</f>
        <v/>
      </c>
      <c r="M87" s="96" t="str">
        <f>IF(F87="Skeet",IFERROR(INDEX('Shooter-Squad Assignment'!$A:$A,MATCH(C87&amp;"-"&amp;E87&amp;"-"&amp;F87&amp;"-Pos4",'Shooter-Squad Assignment'!$K:$K,0)),""),IF(F87="Trap",IFERROR(INDEX('Shooter-Squad Assignment'!$A:$A,MATCH(C87&amp;"-"&amp;E87&amp;"-"&amp;F87&amp;"-Pos4",'Shooter-Squad Assignment'!$W:$W,0)),""),IF(F87="Sporting Clays",IFERROR(INDEX('Shooter-Squad Assignment'!$A:$A,MATCH(C87&amp;"-"&amp;E87&amp;"-"&amp;F87&amp;"-Pos4",'Shooter-Squad Assignment'!$Z:$Z,0)),""),"")))</f>
        <v/>
      </c>
      <c r="N87" s="88" t="str">
        <f>IF(ISBLANK(M87),"",IFERROR(INDEX('Tournament List'!$D:$D,MATCH(M87,'Tournament List'!$A:$A,0)),""))</f>
        <v/>
      </c>
      <c r="O87" s="96" t="str">
        <f>IF(F87="Skeet",IFERROR(INDEX('Shooter-Squad Assignment'!$A:$A,MATCH(C87&amp;"-"&amp;E87&amp;"-"&amp;F87&amp;"-Pos5",'Shooter-Squad Assignment'!$K:$K,0)),""),IF(F87="Trap",IFERROR(INDEX('Shooter-Squad Assignment'!$A:$A,MATCH(C87&amp;"-"&amp;E87&amp;"-"&amp;F87&amp;"-Pos5",'Shooter-Squad Assignment'!$W:$W,0)),""),IF(F87="Sporting Clays",IFERROR(INDEX('Shooter-Squad Assignment'!$A:$A,MATCH(C87&amp;"-"&amp;E87&amp;"-"&amp;F87&amp;"-Pos5",'Shooter-Squad Assignment'!$Z:$Z,0)),""),"")))</f>
        <v/>
      </c>
      <c r="P87" s="89" t="str">
        <f>IF(ISBLANK(O87),"",IFERROR(INDEX('Tournament List'!$D:$D,MATCH(O87,'Tournament List'!$A:$A,0)),""))</f>
        <v/>
      </c>
    </row>
    <row r="88" spans="1:16" x14ac:dyDescent="0.3">
      <c r="A88" s="87">
        <v>87</v>
      </c>
      <c r="B88" s="88" t="str">
        <f>C88&amp;"-"&amp;E88&amp;"-"&amp;F88</f>
        <v>Forge Christian Shooting Team-Novice 2-Sporting Clays</v>
      </c>
      <c r="C88" s="88" t="s">
        <v>321</v>
      </c>
      <c r="D88" s="88" t="str">
        <f>INDEX('Tournament Setup'!$B$59:$B$78,MATCH(E88,SquadConcurrents,0))</f>
        <v>Novice</v>
      </c>
      <c r="E88" s="88" t="s">
        <v>343</v>
      </c>
      <c r="F88" s="88" t="s">
        <v>148</v>
      </c>
      <c r="G88" s="96" t="str">
        <f>IF(F88="Skeet",IFERROR(INDEX('Shooter-Squad Assignment'!$A:$A,MATCH(C88&amp;"-"&amp;E88&amp;"-"&amp;F88&amp;"-Pos1",'Shooter-Squad Assignment'!$K:$K,0)),""),IF(F88="Trap",IFERROR(INDEX('Shooter-Squad Assignment'!$A:$A,MATCH(C88&amp;"-"&amp;E88&amp;"-"&amp;F88&amp;"-Pos1",'Shooter-Squad Assignment'!$W:$W,0)),""),IF(F88="Sporting Clays",IFERROR(INDEX('Shooter-Squad Assignment'!$A:$A,MATCH(C88&amp;"-"&amp;E88&amp;"-"&amp;F88&amp;"-Pos1",'Shooter-Squad Assignment'!$Z:$Z,0)),""),"")))</f>
        <v/>
      </c>
      <c r="H88" s="88" t="str">
        <f>IF(ISBLANK(G88),"",IFERROR(INDEX('Tournament List'!$D:$D,MATCH(G88,'Tournament List'!$A:$A,0)),""))</f>
        <v/>
      </c>
      <c r="I88" s="96" t="str">
        <f>IF(F88="Skeet",IFERROR(INDEX('Shooter-Squad Assignment'!$A:$A,MATCH(C88&amp;"-"&amp;E88&amp;"-"&amp;F88&amp;"-Pos2",'Shooter-Squad Assignment'!$K:$K,0)),""),IF(F88="Trap",IFERROR(INDEX('Shooter-Squad Assignment'!$A:$A,MATCH(C88&amp;"-"&amp;E88&amp;"-"&amp;F88&amp;"-Pos2",'Shooter-Squad Assignment'!$W:$W,0)),""),IF(F88="Sporting Clays",IFERROR(INDEX('Shooter-Squad Assignment'!$A:$A,MATCH(C88&amp;"-"&amp;E88&amp;"-"&amp;F88&amp;"-Pos2",'Shooter-Squad Assignment'!$Z:$Z,0)),""),"")))</f>
        <v/>
      </c>
      <c r="J88" s="88" t="str">
        <f>IF(ISBLANK(I88),"",IFERROR(INDEX('Tournament List'!$D:$D,MATCH(I88,'Tournament List'!$A:$A,0)),""))</f>
        <v/>
      </c>
      <c r="K88" s="96" t="str">
        <f>IF(F88="Skeet",IFERROR(INDEX('Shooter-Squad Assignment'!$A:$A,MATCH(C88&amp;"-"&amp;E88&amp;"-"&amp;F88&amp;"-Pos3",'Shooter-Squad Assignment'!$K:$K,0)),""),IF(F88="Trap",IFERROR(INDEX('Shooter-Squad Assignment'!$A:$A,MATCH(C88&amp;"-"&amp;E88&amp;"-"&amp;F88&amp;"-Pos3",'Shooter-Squad Assignment'!$W:$W,0)),""),IF(F88="Sporting Clays",IFERROR(INDEX('Shooter-Squad Assignment'!$A:$A,MATCH(C88&amp;"-"&amp;E88&amp;"-"&amp;F88&amp;"-Pos3",'Shooter-Squad Assignment'!$Z:$Z,0)),""),"")))</f>
        <v/>
      </c>
      <c r="L88" s="88" t="str">
        <f>IF(ISBLANK(K88),"",IFERROR(INDEX('Tournament List'!$D:$D,MATCH(K88,'Tournament List'!$A:$A,0)),""))</f>
        <v/>
      </c>
      <c r="M88" s="96" t="str">
        <f>IF(F88="Skeet",IFERROR(INDEX('Shooter-Squad Assignment'!$A:$A,MATCH(C88&amp;"-"&amp;E88&amp;"-"&amp;F88&amp;"-Pos4",'Shooter-Squad Assignment'!$K:$K,0)),""),IF(F88="Trap",IFERROR(INDEX('Shooter-Squad Assignment'!$A:$A,MATCH(C88&amp;"-"&amp;E88&amp;"-"&amp;F88&amp;"-Pos4",'Shooter-Squad Assignment'!$W:$W,0)),""),IF(F88="Sporting Clays",IFERROR(INDEX('Shooter-Squad Assignment'!$A:$A,MATCH(C88&amp;"-"&amp;E88&amp;"-"&amp;F88&amp;"-Pos4",'Shooter-Squad Assignment'!$Z:$Z,0)),""),"")))</f>
        <v/>
      </c>
      <c r="N88" s="88" t="str">
        <f>IF(ISBLANK(M88),"",IFERROR(INDEX('Tournament List'!$D:$D,MATCH(M88,'Tournament List'!$A:$A,0)),""))</f>
        <v/>
      </c>
      <c r="O88" s="96" t="str">
        <f>IF(F88="Skeet",IFERROR(INDEX('Shooter-Squad Assignment'!$A:$A,MATCH(C88&amp;"-"&amp;E88&amp;"-"&amp;F88&amp;"-Pos5",'Shooter-Squad Assignment'!$K:$K,0)),""),IF(F88="Trap",IFERROR(INDEX('Shooter-Squad Assignment'!$A:$A,MATCH(C88&amp;"-"&amp;E88&amp;"-"&amp;F88&amp;"-Pos5",'Shooter-Squad Assignment'!$W:$W,0)),""),IF(F88="Sporting Clays",IFERROR(INDEX('Shooter-Squad Assignment'!$A:$A,MATCH(C88&amp;"-"&amp;E88&amp;"-"&amp;F88&amp;"-Pos5",'Shooter-Squad Assignment'!$Z:$Z,0)),""),"")))</f>
        <v/>
      </c>
      <c r="P88" s="89" t="str">
        <f>IF(ISBLANK(O88),"",IFERROR(INDEX('Tournament List'!$D:$D,MATCH(O88,'Tournament List'!$A:$A,0)),""))</f>
        <v/>
      </c>
    </row>
    <row r="89" spans="1:16" x14ac:dyDescent="0.3">
      <c r="A89" s="87">
        <v>88</v>
      </c>
      <c r="B89" s="88" t="str">
        <f>C89&amp;"-"&amp;E89&amp;"-"&amp;F89</f>
        <v>Forge Christian Shooting Team-Novice 3-Sporting Clays</v>
      </c>
      <c r="C89" s="88" t="s">
        <v>321</v>
      </c>
      <c r="D89" s="88" t="str">
        <f>INDEX('Tournament Setup'!$B$59:$B$78,MATCH(E89,SquadConcurrents,0))</f>
        <v>Novice</v>
      </c>
      <c r="E89" s="88" t="s">
        <v>349</v>
      </c>
      <c r="F89" s="88" t="s">
        <v>148</v>
      </c>
      <c r="G89" s="96" t="str">
        <f>IF(F89="Skeet",IFERROR(INDEX('Shooter-Squad Assignment'!$A:$A,MATCH(C89&amp;"-"&amp;E89&amp;"-"&amp;F89&amp;"-Pos1",'Shooter-Squad Assignment'!$K:$K,0)),""),IF(F89="Trap",IFERROR(INDEX('Shooter-Squad Assignment'!$A:$A,MATCH(C89&amp;"-"&amp;E89&amp;"-"&amp;F89&amp;"-Pos1",'Shooter-Squad Assignment'!$W:$W,0)),""),IF(F89="Sporting Clays",IFERROR(INDEX('Shooter-Squad Assignment'!$A:$A,MATCH(C89&amp;"-"&amp;E89&amp;"-"&amp;F89&amp;"-Pos1",'Shooter-Squad Assignment'!$Z:$Z,0)),""),"")))</f>
        <v/>
      </c>
      <c r="H89" s="88" t="str">
        <f>IF(ISBLANK(G89),"",IFERROR(INDEX('Tournament List'!$D:$D,MATCH(G89,'Tournament List'!$A:$A,0)),""))</f>
        <v/>
      </c>
      <c r="I89" s="96" t="str">
        <f>IF(F89="Skeet",IFERROR(INDEX('Shooter-Squad Assignment'!$A:$A,MATCH(C89&amp;"-"&amp;E89&amp;"-"&amp;F89&amp;"-Pos2",'Shooter-Squad Assignment'!$K:$K,0)),""),IF(F89="Trap",IFERROR(INDEX('Shooter-Squad Assignment'!$A:$A,MATCH(C89&amp;"-"&amp;E89&amp;"-"&amp;F89&amp;"-Pos2",'Shooter-Squad Assignment'!$W:$W,0)),""),IF(F89="Sporting Clays",IFERROR(INDEX('Shooter-Squad Assignment'!$A:$A,MATCH(C89&amp;"-"&amp;E89&amp;"-"&amp;F89&amp;"-Pos2",'Shooter-Squad Assignment'!$Z:$Z,0)),""),"")))</f>
        <v/>
      </c>
      <c r="J89" s="88" t="str">
        <f>IF(ISBLANK(I89),"",IFERROR(INDEX('Tournament List'!$D:$D,MATCH(I89,'Tournament List'!$A:$A,0)),""))</f>
        <v/>
      </c>
      <c r="K89" s="96" t="str">
        <f>IF(F89="Skeet",IFERROR(INDEX('Shooter-Squad Assignment'!$A:$A,MATCH(C89&amp;"-"&amp;E89&amp;"-"&amp;F89&amp;"-Pos3",'Shooter-Squad Assignment'!$K:$K,0)),""),IF(F89="Trap",IFERROR(INDEX('Shooter-Squad Assignment'!$A:$A,MATCH(C89&amp;"-"&amp;E89&amp;"-"&amp;F89&amp;"-Pos3",'Shooter-Squad Assignment'!$W:$W,0)),""),IF(F89="Sporting Clays",IFERROR(INDEX('Shooter-Squad Assignment'!$A:$A,MATCH(C89&amp;"-"&amp;E89&amp;"-"&amp;F89&amp;"-Pos3",'Shooter-Squad Assignment'!$Z:$Z,0)),""),"")))</f>
        <v/>
      </c>
      <c r="L89" s="88" t="str">
        <f>IF(ISBLANK(K89),"",IFERROR(INDEX('Tournament List'!$D:$D,MATCH(K89,'Tournament List'!$A:$A,0)),""))</f>
        <v/>
      </c>
      <c r="M89" s="96" t="str">
        <f>IF(F89="Skeet",IFERROR(INDEX('Shooter-Squad Assignment'!$A:$A,MATCH(C89&amp;"-"&amp;E89&amp;"-"&amp;F89&amp;"-Pos4",'Shooter-Squad Assignment'!$K:$K,0)),""),IF(F89="Trap",IFERROR(INDEX('Shooter-Squad Assignment'!$A:$A,MATCH(C89&amp;"-"&amp;E89&amp;"-"&amp;F89&amp;"-Pos4",'Shooter-Squad Assignment'!$W:$W,0)),""),IF(F89="Sporting Clays",IFERROR(INDEX('Shooter-Squad Assignment'!$A:$A,MATCH(C89&amp;"-"&amp;E89&amp;"-"&amp;F89&amp;"-Pos4",'Shooter-Squad Assignment'!$Z:$Z,0)),""),"")))</f>
        <v/>
      </c>
      <c r="N89" s="88" t="str">
        <f>IF(ISBLANK(M89),"",IFERROR(INDEX('Tournament List'!$D:$D,MATCH(M89,'Tournament List'!$A:$A,0)),""))</f>
        <v/>
      </c>
      <c r="O89" s="96" t="str">
        <f>IF(F89="Skeet",IFERROR(INDEX('Shooter-Squad Assignment'!$A:$A,MATCH(C89&amp;"-"&amp;E89&amp;"-"&amp;F89&amp;"-Pos5",'Shooter-Squad Assignment'!$K:$K,0)),""),IF(F89="Trap",IFERROR(INDEX('Shooter-Squad Assignment'!$A:$A,MATCH(C89&amp;"-"&amp;E89&amp;"-"&amp;F89&amp;"-Pos5",'Shooter-Squad Assignment'!$W:$W,0)),""),IF(F89="Sporting Clays",IFERROR(INDEX('Shooter-Squad Assignment'!$A:$A,MATCH(C89&amp;"-"&amp;E89&amp;"-"&amp;F89&amp;"-Pos5",'Shooter-Squad Assignment'!$Z:$Z,0)),""),"")))</f>
        <v/>
      </c>
      <c r="P89" s="89" t="str">
        <f>IF(ISBLANK(O89),"",IFERROR(INDEX('Tournament List'!$D:$D,MATCH(O89,'Tournament List'!$A:$A,0)),""))</f>
        <v/>
      </c>
    </row>
    <row r="90" spans="1:16" x14ac:dyDescent="0.3">
      <c r="A90" s="87">
        <v>89</v>
      </c>
      <c r="B90" s="88" t="str">
        <f>C90&amp;"-"&amp;E90&amp;"-"&amp;F90</f>
        <v>Forge Christian Shooting Team-Open 1-Sporting Clays</v>
      </c>
      <c r="C90" s="88" t="s">
        <v>321</v>
      </c>
      <c r="D90" s="88" t="str">
        <f>INDEX('Tournament Setup'!$B$59:$B$78,MATCH(E90,SquadConcurrents,0))</f>
        <v>Open</v>
      </c>
      <c r="E90" s="88" t="s">
        <v>341</v>
      </c>
      <c r="F90" s="88" t="s">
        <v>148</v>
      </c>
      <c r="G90" s="96" t="str">
        <f>IF(F90="Skeet",IFERROR(INDEX('Shooter-Squad Assignment'!$A:$A,MATCH(C90&amp;"-"&amp;E90&amp;"-"&amp;F90&amp;"-Pos1",'Shooter-Squad Assignment'!$K:$K,0)),""),IF(F90="Trap",IFERROR(INDEX('Shooter-Squad Assignment'!$A:$A,MATCH(C90&amp;"-"&amp;E90&amp;"-"&amp;F90&amp;"-Pos1",'Shooter-Squad Assignment'!$W:$W,0)),""),IF(F90="Sporting Clays",IFERROR(INDEX('Shooter-Squad Assignment'!$A:$A,MATCH(C90&amp;"-"&amp;E90&amp;"-"&amp;F90&amp;"-Pos1",'Shooter-Squad Assignment'!$Z:$Z,0)),""),"")))</f>
        <v/>
      </c>
      <c r="H90" s="88" t="str">
        <f>IF(ISBLANK(G90),"",IFERROR(INDEX('Tournament List'!$D:$D,MATCH(G90,'Tournament List'!$A:$A,0)),""))</f>
        <v/>
      </c>
      <c r="I90" s="96" t="str">
        <f>IF(F90="Skeet",IFERROR(INDEX('Shooter-Squad Assignment'!$A:$A,MATCH(C90&amp;"-"&amp;E90&amp;"-"&amp;F90&amp;"-Pos2",'Shooter-Squad Assignment'!$K:$K,0)),""),IF(F90="Trap",IFERROR(INDEX('Shooter-Squad Assignment'!$A:$A,MATCH(C90&amp;"-"&amp;E90&amp;"-"&amp;F90&amp;"-Pos2",'Shooter-Squad Assignment'!$W:$W,0)),""),IF(F90="Sporting Clays",IFERROR(INDEX('Shooter-Squad Assignment'!$A:$A,MATCH(C90&amp;"-"&amp;E90&amp;"-"&amp;F90&amp;"-Pos2",'Shooter-Squad Assignment'!$Z:$Z,0)),""),"")))</f>
        <v/>
      </c>
      <c r="J90" s="88" t="str">
        <f>IF(ISBLANK(I90),"",IFERROR(INDEX('Tournament List'!$D:$D,MATCH(I90,'Tournament List'!$A:$A,0)),""))</f>
        <v/>
      </c>
      <c r="K90" s="96" t="str">
        <f>IF(F90="Skeet",IFERROR(INDEX('Shooter-Squad Assignment'!$A:$A,MATCH(C90&amp;"-"&amp;E90&amp;"-"&amp;F90&amp;"-Pos3",'Shooter-Squad Assignment'!$K:$K,0)),""),IF(F90="Trap",IFERROR(INDEX('Shooter-Squad Assignment'!$A:$A,MATCH(C90&amp;"-"&amp;E90&amp;"-"&amp;F90&amp;"-Pos3",'Shooter-Squad Assignment'!$W:$W,0)),""),IF(F90="Sporting Clays",IFERROR(INDEX('Shooter-Squad Assignment'!$A:$A,MATCH(C90&amp;"-"&amp;E90&amp;"-"&amp;F90&amp;"-Pos3",'Shooter-Squad Assignment'!$Z:$Z,0)),""),"")))</f>
        <v/>
      </c>
      <c r="L90" s="88" t="str">
        <f>IF(ISBLANK(K90),"",IFERROR(INDEX('Tournament List'!$D:$D,MATCH(K90,'Tournament List'!$A:$A,0)),""))</f>
        <v/>
      </c>
      <c r="M90" s="96" t="str">
        <f>IF(F90="Skeet",IFERROR(INDEX('Shooter-Squad Assignment'!$A:$A,MATCH(C90&amp;"-"&amp;E90&amp;"-"&amp;F90&amp;"-Pos4",'Shooter-Squad Assignment'!$K:$K,0)),""),IF(F90="Trap",IFERROR(INDEX('Shooter-Squad Assignment'!$A:$A,MATCH(C90&amp;"-"&amp;E90&amp;"-"&amp;F90&amp;"-Pos4",'Shooter-Squad Assignment'!$W:$W,0)),""),IF(F90="Sporting Clays",IFERROR(INDEX('Shooter-Squad Assignment'!$A:$A,MATCH(C90&amp;"-"&amp;E90&amp;"-"&amp;F90&amp;"-Pos4",'Shooter-Squad Assignment'!$Z:$Z,0)),""),"")))</f>
        <v/>
      </c>
      <c r="N90" s="88" t="str">
        <f>IF(ISBLANK(M90),"",IFERROR(INDEX('Tournament List'!$D:$D,MATCH(M90,'Tournament List'!$A:$A,0)),""))</f>
        <v/>
      </c>
      <c r="O90" s="96" t="str">
        <f>IF(F90="Skeet",IFERROR(INDEX('Shooter-Squad Assignment'!$A:$A,MATCH(C90&amp;"-"&amp;E90&amp;"-"&amp;F90&amp;"-Pos5",'Shooter-Squad Assignment'!$K:$K,0)),""),IF(F90="Trap",IFERROR(INDEX('Shooter-Squad Assignment'!$A:$A,MATCH(C90&amp;"-"&amp;E90&amp;"-"&amp;F90&amp;"-Pos5",'Shooter-Squad Assignment'!$W:$W,0)),""),IF(F90="Sporting Clays",IFERROR(INDEX('Shooter-Squad Assignment'!$A:$A,MATCH(C90&amp;"-"&amp;E90&amp;"-"&amp;F90&amp;"-Pos5",'Shooter-Squad Assignment'!$Z:$Z,0)),""),"")))</f>
        <v/>
      </c>
      <c r="P90" s="89" t="str">
        <f>IF(ISBLANK(O90),"",IFERROR(INDEX('Tournament List'!$D:$D,MATCH(O90,'Tournament List'!$A:$A,0)),""))</f>
        <v/>
      </c>
    </row>
    <row r="91" spans="1:16" x14ac:dyDescent="0.3">
      <c r="A91" s="87">
        <v>90</v>
      </c>
      <c r="B91" s="88" t="str">
        <f>C91&amp;"-"&amp;E91&amp;"-"&amp;F91</f>
        <v>Forge Christian Shooting Team-Open 2-Sporting Clays</v>
      </c>
      <c r="C91" s="88" t="s">
        <v>321</v>
      </c>
      <c r="D91" s="88" t="str">
        <f>INDEX('Tournament Setup'!$B$59:$B$78,MATCH(E91,SquadConcurrents,0))</f>
        <v>Open</v>
      </c>
      <c r="E91" s="88" t="s">
        <v>347</v>
      </c>
      <c r="F91" s="88" t="s">
        <v>148</v>
      </c>
      <c r="G91" s="96" t="str">
        <f>IF(F91="Skeet",IFERROR(INDEX('Shooter-Squad Assignment'!$A:$A,MATCH(C91&amp;"-"&amp;E91&amp;"-"&amp;F91&amp;"-Pos1",'Shooter-Squad Assignment'!$K:$K,0)),""),IF(F91="Trap",IFERROR(INDEX('Shooter-Squad Assignment'!$A:$A,MATCH(C91&amp;"-"&amp;E91&amp;"-"&amp;F91&amp;"-Pos1",'Shooter-Squad Assignment'!$W:$W,0)),""),IF(F91="Sporting Clays",IFERROR(INDEX('Shooter-Squad Assignment'!$A:$A,MATCH(C91&amp;"-"&amp;E91&amp;"-"&amp;F91&amp;"-Pos1",'Shooter-Squad Assignment'!$Z:$Z,0)),""),"")))</f>
        <v/>
      </c>
      <c r="H91" s="88" t="str">
        <f>IF(ISBLANK(G91),"",IFERROR(INDEX('Tournament List'!$D:$D,MATCH(G91,'Tournament List'!$A:$A,0)),""))</f>
        <v/>
      </c>
      <c r="I91" s="96" t="str">
        <f>IF(F91="Skeet",IFERROR(INDEX('Shooter-Squad Assignment'!$A:$A,MATCH(C91&amp;"-"&amp;E91&amp;"-"&amp;F91&amp;"-Pos2",'Shooter-Squad Assignment'!$K:$K,0)),""),IF(F91="Trap",IFERROR(INDEX('Shooter-Squad Assignment'!$A:$A,MATCH(C91&amp;"-"&amp;E91&amp;"-"&amp;F91&amp;"-Pos2",'Shooter-Squad Assignment'!$W:$W,0)),""),IF(F91="Sporting Clays",IFERROR(INDEX('Shooter-Squad Assignment'!$A:$A,MATCH(C91&amp;"-"&amp;E91&amp;"-"&amp;F91&amp;"-Pos2",'Shooter-Squad Assignment'!$Z:$Z,0)),""),"")))</f>
        <v/>
      </c>
      <c r="J91" s="88" t="str">
        <f>IF(ISBLANK(I91),"",IFERROR(INDEX('Tournament List'!$D:$D,MATCH(I91,'Tournament List'!$A:$A,0)),""))</f>
        <v/>
      </c>
      <c r="K91" s="96" t="str">
        <f>IF(F91="Skeet",IFERROR(INDEX('Shooter-Squad Assignment'!$A:$A,MATCH(C91&amp;"-"&amp;E91&amp;"-"&amp;F91&amp;"-Pos3",'Shooter-Squad Assignment'!$K:$K,0)),""),IF(F91="Trap",IFERROR(INDEX('Shooter-Squad Assignment'!$A:$A,MATCH(C91&amp;"-"&amp;E91&amp;"-"&amp;F91&amp;"-Pos3",'Shooter-Squad Assignment'!$W:$W,0)),""),IF(F91="Sporting Clays",IFERROR(INDEX('Shooter-Squad Assignment'!$A:$A,MATCH(C91&amp;"-"&amp;E91&amp;"-"&amp;F91&amp;"-Pos3",'Shooter-Squad Assignment'!$Z:$Z,0)),""),"")))</f>
        <v/>
      </c>
      <c r="L91" s="88" t="str">
        <f>IF(ISBLANK(K91),"",IFERROR(INDEX('Tournament List'!$D:$D,MATCH(K91,'Tournament List'!$A:$A,0)),""))</f>
        <v/>
      </c>
      <c r="M91" s="96" t="str">
        <f>IF(F91="Skeet",IFERROR(INDEX('Shooter-Squad Assignment'!$A:$A,MATCH(C91&amp;"-"&amp;E91&amp;"-"&amp;F91&amp;"-Pos4",'Shooter-Squad Assignment'!$K:$K,0)),""),IF(F91="Trap",IFERROR(INDEX('Shooter-Squad Assignment'!$A:$A,MATCH(C91&amp;"-"&amp;E91&amp;"-"&amp;F91&amp;"-Pos4",'Shooter-Squad Assignment'!$W:$W,0)),""),IF(F91="Sporting Clays",IFERROR(INDEX('Shooter-Squad Assignment'!$A:$A,MATCH(C91&amp;"-"&amp;E91&amp;"-"&amp;F91&amp;"-Pos4",'Shooter-Squad Assignment'!$Z:$Z,0)),""),"")))</f>
        <v/>
      </c>
      <c r="N91" s="88" t="str">
        <f>IF(ISBLANK(M91),"",IFERROR(INDEX('Tournament List'!$D:$D,MATCH(M91,'Tournament List'!$A:$A,0)),""))</f>
        <v/>
      </c>
      <c r="O91" s="96" t="str">
        <f>IF(F91="Skeet",IFERROR(INDEX('Shooter-Squad Assignment'!$A:$A,MATCH(C91&amp;"-"&amp;E91&amp;"-"&amp;F91&amp;"-Pos5",'Shooter-Squad Assignment'!$K:$K,0)),""),IF(F91="Trap",IFERROR(INDEX('Shooter-Squad Assignment'!$A:$A,MATCH(C91&amp;"-"&amp;E91&amp;"-"&amp;F91&amp;"-Pos5",'Shooter-Squad Assignment'!$W:$W,0)),""),IF(F91="Sporting Clays",IFERROR(INDEX('Shooter-Squad Assignment'!$A:$A,MATCH(C91&amp;"-"&amp;E91&amp;"-"&amp;F91&amp;"-Pos5",'Shooter-Squad Assignment'!$Z:$Z,0)),""),"")))</f>
        <v/>
      </c>
      <c r="P91" s="89" t="str">
        <f>IF(ISBLANK(O91),"",IFERROR(INDEX('Tournament List'!$D:$D,MATCH(O91,'Tournament List'!$A:$A,0)),""))</f>
        <v/>
      </c>
    </row>
    <row r="92" spans="1:16" x14ac:dyDescent="0.3">
      <c r="A92" s="87">
        <v>91</v>
      </c>
      <c r="B92" s="88" t="str">
        <f>C92&amp;"-"&amp;E92&amp;"-"&amp;F92</f>
        <v>Forge Christian Shooting Team-Open 3-Sporting Clays</v>
      </c>
      <c r="C92" s="88" t="s">
        <v>321</v>
      </c>
      <c r="D92" s="88" t="str">
        <f>INDEX('Tournament Setup'!$B$59:$B$78,MATCH(E92,SquadConcurrents,0))</f>
        <v>Open</v>
      </c>
      <c r="E92" s="88" t="s">
        <v>353</v>
      </c>
      <c r="F92" s="88" t="s">
        <v>148</v>
      </c>
      <c r="G92" s="96" t="str">
        <f>IF(F92="Skeet",IFERROR(INDEX('Shooter-Squad Assignment'!$A:$A,MATCH(C92&amp;"-"&amp;E92&amp;"-"&amp;F92&amp;"-Pos1",'Shooter-Squad Assignment'!$K:$K,0)),""),IF(F92="Trap",IFERROR(INDEX('Shooter-Squad Assignment'!$A:$A,MATCH(C92&amp;"-"&amp;E92&amp;"-"&amp;F92&amp;"-Pos1",'Shooter-Squad Assignment'!$W:$W,0)),""),IF(F92="Sporting Clays",IFERROR(INDEX('Shooter-Squad Assignment'!$A:$A,MATCH(C92&amp;"-"&amp;E92&amp;"-"&amp;F92&amp;"-Pos1",'Shooter-Squad Assignment'!$Z:$Z,0)),""),"")))</f>
        <v/>
      </c>
      <c r="H92" s="88" t="str">
        <f>IF(ISBLANK(G92),"",IFERROR(INDEX('Tournament List'!$D:$D,MATCH(G92,'Tournament List'!$A:$A,0)),""))</f>
        <v/>
      </c>
      <c r="I92" s="96" t="str">
        <f>IF(F92="Skeet",IFERROR(INDEX('Shooter-Squad Assignment'!$A:$A,MATCH(C92&amp;"-"&amp;E92&amp;"-"&amp;F92&amp;"-Pos2",'Shooter-Squad Assignment'!$K:$K,0)),""),IF(F92="Trap",IFERROR(INDEX('Shooter-Squad Assignment'!$A:$A,MATCH(C92&amp;"-"&amp;E92&amp;"-"&amp;F92&amp;"-Pos2",'Shooter-Squad Assignment'!$W:$W,0)),""),IF(F92="Sporting Clays",IFERROR(INDEX('Shooter-Squad Assignment'!$A:$A,MATCH(C92&amp;"-"&amp;E92&amp;"-"&amp;F92&amp;"-Pos2",'Shooter-Squad Assignment'!$Z:$Z,0)),""),"")))</f>
        <v/>
      </c>
      <c r="J92" s="88" t="str">
        <f>IF(ISBLANK(I92),"",IFERROR(INDEX('Tournament List'!$D:$D,MATCH(I92,'Tournament List'!$A:$A,0)),""))</f>
        <v/>
      </c>
      <c r="K92" s="96" t="str">
        <f>IF(F92="Skeet",IFERROR(INDEX('Shooter-Squad Assignment'!$A:$A,MATCH(C92&amp;"-"&amp;E92&amp;"-"&amp;F92&amp;"-Pos3",'Shooter-Squad Assignment'!$K:$K,0)),""),IF(F92="Trap",IFERROR(INDEX('Shooter-Squad Assignment'!$A:$A,MATCH(C92&amp;"-"&amp;E92&amp;"-"&amp;F92&amp;"-Pos3",'Shooter-Squad Assignment'!$W:$W,0)),""),IF(F92="Sporting Clays",IFERROR(INDEX('Shooter-Squad Assignment'!$A:$A,MATCH(C92&amp;"-"&amp;E92&amp;"-"&amp;F92&amp;"-Pos3",'Shooter-Squad Assignment'!$Z:$Z,0)),""),"")))</f>
        <v/>
      </c>
      <c r="L92" s="88" t="str">
        <f>IF(ISBLANK(K92),"",IFERROR(INDEX('Tournament List'!$D:$D,MATCH(K92,'Tournament List'!$A:$A,0)),""))</f>
        <v/>
      </c>
      <c r="M92" s="96" t="str">
        <f>IF(F92="Skeet",IFERROR(INDEX('Shooter-Squad Assignment'!$A:$A,MATCH(C92&amp;"-"&amp;E92&amp;"-"&amp;F92&amp;"-Pos4",'Shooter-Squad Assignment'!$K:$K,0)),""),IF(F92="Trap",IFERROR(INDEX('Shooter-Squad Assignment'!$A:$A,MATCH(C92&amp;"-"&amp;E92&amp;"-"&amp;F92&amp;"-Pos4",'Shooter-Squad Assignment'!$W:$W,0)),""),IF(F92="Sporting Clays",IFERROR(INDEX('Shooter-Squad Assignment'!$A:$A,MATCH(C92&amp;"-"&amp;E92&amp;"-"&amp;F92&amp;"-Pos4",'Shooter-Squad Assignment'!$Z:$Z,0)),""),"")))</f>
        <v/>
      </c>
      <c r="N92" s="88" t="str">
        <f>IF(ISBLANK(M92),"",IFERROR(INDEX('Tournament List'!$D:$D,MATCH(M92,'Tournament List'!$A:$A,0)),""))</f>
        <v/>
      </c>
      <c r="O92" s="96" t="str">
        <f>IF(F92="Skeet",IFERROR(INDEX('Shooter-Squad Assignment'!$A:$A,MATCH(C92&amp;"-"&amp;E92&amp;"-"&amp;F92&amp;"-Pos5",'Shooter-Squad Assignment'!$K:$K,0)),""),IF(F92="Trap",IFERROR(INDEX('Shooter-Squad Assignment'!$A:$A,MATCH(C92&amp;"-"&amp;E92&amp;"-"&amp;F92&amp;"-Pos5",'Shooter-Squad Assignment'!$W:$W,0)),""),IF(F92="Sporting Clays",IFERROR(INDEX('Shooter-Squad Assignment'!$A:$A,MATCH(C92&amp;"-"&amp;E92&amp;"-"&amp;F92&amp;"-Pos5",'Shooter-Squad Assignment'!$Z:$Z,0)),""),"")))</f>
        <v/>
      </c>
      <c r="P92" s="89" t="str">
        <f>IF(ISBLANK(O92),"",IFERROR(INDEX('Tournament List'!$D:$D,MATCH(O92,'Tournament List'!$A:$A,0)),""))</f>
        <v/>
      </c>
    </row>
    <row r="93" spans="1:16" x14ac:dyDescent="0.3">
      <c r="A93" s="87">
        <v>92</v>
      </c>
      <c r="B93" s="88" t="str">
        <f>C93&amp;"-"&amp;E93&amp;"-"&amp;F93</f>
        <v>Forge Christian Shooting Team-Unassigned 1-Sporting Clays</v>
      </c>
      <c r="C93" s="88" t="s">
        <v>321</v>
      </c>
      <c r="D93" s="88" t="str">
        <f>INDEX('Tournament Setup'!$B$59:$B$78,MATCH(E93,SquadConcurrents,0))</f>
        <v>Unassigned</v>
      </c>
      <c r="E93" s="88" t="s">
        <v>762</v>
      </c>
      <c r="F93" s="88" t="s">
        <v>148</v>
      </c>
      <c r="G93" s="96" t="str">
        <f>IF(F93="Skeet",IFERROR(INDEX('Shooter-Squad Assignment'!$A:$A,MATCH(C93&amp;"-"&amp;E93&amp;"-"&amp;F93&amp;"-Pos1",'Shooter-Squad Assignment'!$K:$K,0)),""),IF(F93="Trap",IFERROR(INDEX('Shooter-Squad Assignment'!$A:$A,MATCH(C93&amp;"-"&amp;E93&amp;"-"&amp;F93&amp;"-Pos1",'Shooter-Squad Assignment'!$W:$W,0)),""),IF(F93="Sporting Clays",IFERROR(INDEX('Shooter-Squad Assignment'!$A:$A,MATCH(C93&amp;"-"&amp;E93&amp;"-"&amp;F93&amp;"-Pos1",'Shooter-Squad Assignment'!$Z:$Z,0)),""),"")))</f>
        <v/>
      </c>
      <c r="H93" s="88" t="str">
        <f>IF(ISBLANK(G93),"",IFERROR(INDEX('Tournament List'!$D:$D,MATCH(G93,'Tournament List'!$A:$A,0)),""))</f>
        <v/>
      </c>
      <c r="I93" s="96" t="str">
        <f>IF(F93="Skeet",IFERROR(INDEX('Shooter-Squad Assignment'!$A:$A,MATCH(C93&amp;"-"&amp;E93&amp;"-"&amp;F93&amp;"-Pos2",'Shooter-Squad Assignment'!$K:$K,0)),""),IF(F93="Trap",IFERROR(INDEX('Shooter-Squad Assignment'!$A:$A,MATCH(C93&amp;"-"&amp;E93&amp;"-"&amp;F93&amp;"-Pos2",'Shooter-Squad Assignment'!$W:$W,0)),""),IF(F93="Sporting Clays",IFERROR(INDEX('Shooter-Squad Assignment'!$A:$A,MATCH(C93&amp;"-"&amp;E93&amp;"-"&amp;F93&amp;"-Pos2",'Shooter-Squad Assignment'!$Z:$Z,0)),""),"")))</f>
        <v/>
      </c>
      <c r="J93" s="88" t="str">
        <f>IF(ISBLANK(I93),"",IFERROR(INDEX('Tournament List'!$D:$D,MATCH(I93,'Tournament List'!$A:$A,0)),""))</f>
        <v/>
      </c>
      <c r="K93" s="96" t="str">
        <f>IF(F93="Skeet",IFERROR(INDEX('Shooter-Squad Assignment'!$A:$A,MATCH(C93&amp;"-"&amp;E93&amp;"-"&amp;F93&amp;"-Pos3",'Shooter-Squad Assignment'!$K:$K,0)),""),IF(F93="Trap",IFERROR(INDEX('Shooter-Squad Assignment'!$A:$A,MATCH(C93&amp;"-"&amp;E93&amp;"-"&amp;F93&amp;"-Pos3",'Shooter-Squad Assignment'!$W:$W,0)),""),IF(F93="Sporting Clays",IFERROR(INDEX('Shooter-Squad Assignment'!$A:$A,MATCH(C93&amp;"-"&amp;E93&amp;"-"&amp;F93&amp;"-Pos3",'Shooter-Squad Assignment'!$Z:$Z,0)),""),"")))</f>
        <v/>
      </c>
      <c r="L93" s="88" t="str">
        <f>IF(ISBLANK(K93),"",IFERROR(INDEX('Tournament List'!$D:$D,MATCH(K93,'Tournament List'!$A:$A,0)),""))</f>
        <v/>
      </c>
      <c r="M93" s="96" t="str">
        <f>IF(F93="Skeet",IFERROR(INDEX('Shooter-Squad Assignment'!$A:$A,MATCH(C93&amp;"-"&amp;E93&amp;"-"&amp;F93&amp;"-Pos4",'Shooter-Squad Assignment'!$K:$K,0)),""),IF(F93="Trap",IFERROR(INDEX('Shooter-Squad Assignment'!$A:$A,MATCH(C93&amp;"-"&amp;E93&amp;"-"&amp;F93&amp;"-Pos4",'Shooter-Squad Assignment'!$W:$W,0)),""),IF(F93="Sporting Clays",IFERROR(INDEX('Shooter-Squad Assignment'!$A:$A,MATCH(C93&amp;"-"&amp;E93&amp;"-"&amp;F93&amp;"-Pos4",'Shooter-Squad Assignment'!$Z:$Z,0)),""),"")))</f>
        <v/>
      </c>
      <c r="N93" s="88" t="str">
        <f>IF(ISBLANK(M93),"",IFERROR(INDEX('Tournament List'!$D:$D,MATCH(M93,'Tournament List'!$A:$A,0)),""))</f>
        <v/>
      </c>
      <c r="O93" s="96" t="str">
        <f>IF(F93="Skeet",IFERROR(INDEX('Shooter-Squad Assignment'!$A:$A,MATCH(C93&amp;"-"&amp;E93&amp;"-"&amp;F93&amp;"-Pos5",'Shooter-Squad Assignment'!$K:$K,0)),""),IF(F93="Trap",IFERROR(INDEX('Shooter-Squad Assignment'!$A:$A,MATCH(C93&amp;"-"&amp;E93&amp;"-"&amp;F93&amp;"-Pos5",'Shooter-Squad Assignment'!$W:$W,0)),""),IF(F93="Sporting Clays",IFERROR(INDEX('Shooter-Squad Assignment'!$A:$A,MATCH(C93&amp;"-"&amp;E93&amp;"-"&amp;F93&amp;"-Pos5",'Shooter-Squad Assignment'!$Z:$Z,0)),""),"")))</f>
        <v/>
      </c>
      <c r="P93" s="89" t="str">
        <f>IF(ISBLANK(O93),"",IFERROR(INDEX('Tournament List'!$D:$D,MATCH(O93,'Tournament List'!$A:$A,0)),""))</f>
        <v/>
      </c>
    </row>
    <row r="94" spans="1:16" x14ac:dyDescent="0.3">
      <c r="A94" s="87">
        <v>93</v>
      </c>
      <c r="B94" s="88" t="str">
        <f>C94&amp;"-"&amp;E94&amp;"-"&amp;F94</f>
        <v>Forge Christian Shooting Team-Varsity 1-Sporting Clays</v>
      </c>
      <c r="C94" s="88" t="s">
        <v>321</v>
      </c>
      <c r="D94" s="88" t="str">
        <f>INDEX('Tournament Setup'!$B$59:$B$78,MATCH(E94,SquadConcurrents,0))</f>
        <v>Varsity</v>
      </c>
      <c r="E94" s="88" t="s">
        <v>340</v>
      </c>
      <c r="F94" s="88" t="s">
        <v>148</v>
      </c>
      <c r="G94" s="96" t="str">
        <f>IF(F94="Skeet",IFERROR(INDEX('Shooter-Squad Assignment'!$A:$A,MATCH(C94&amp;"-"&amp;E94&amp;"-"&amp;F94&amp;"-Pos1",'Shooter-Squad Assignment'!$K:$K,0)),""),IF(F94="Trap",IFERROR(INDEX('Shooter-Squad Assignment'!$A:$A,MATCH(C94&amp;"-"&amp;E94&amp;"-"&amp;F94&amp;"-Pos1",'Shooter-Squad Assignment'!$W:$W,0)),""),IF(F94="Sporting Clays",IFERROR(INDEX('Shooter-Squad Assignment'!$A:$A,MATCH(C94&amp;"-"&amp;E94&amp;"-"&amp;F94&amp;"-Pos1",'Shooter-Squad Assignment'!$Z:$Z,0)),""),"")))</f>
        <v/>
      </c>
      <c r="H94" s="88" t="str">
        <f>IF(ISBLANK(G94),"",IFERROR(INDEX('Tournament List'!$D:$D,MATCH(G94,'Tournament List'!$A:$A,0)),""))</f>
        <v/>
      </c>
      <c r="I94" s="96" t="str">
        <f>IF(F94="Skeet",IFERROR(INDEX('Shooter-Squad Assignment'!$A:$A,MATCH(C94&amp;"-"&amp;E94&amp;"-"&amp;F94&amp;"-Pos2",'Shooter-Squad Assignment'!$K:$K,0)),""),IF(F94="Trap",IFERROR(INDEX('Shooter-Squad Assignment'!$A:$A,MATCH(C94&amp;"-"&amp;E94&amp;"-"&amp;F94&amp;"-Pos2",'Shooter-Squad Assignment'!$W:$W,0)),""),IF(F94="Sporting Clays",IFERROR(INDEX('Shooter-Squad Assignment'!$A:$A,MATCH(C94&amp;"-"&amp;E94&amp;"-"&amp;F94&amp;"-Pos2",'Shooter-Squad Assignment'!$Z:$Z,0)),""),"")))</f>
        <v/>
      </c>
      <c r="J94" s="88" t="str">
        <f>IF(ISBLANK(I94),"",IFERROR(INDEX('Tournament List'!$D:$D,MATCH(I94,'Tournament List'!$A:$A,0)),""))</f>
        <v/>
      </c>
      <c r="K94" s="96" t="str">
        <f>IF(F94="Skeet",IFERROR(INDEX('Shooter-Squad Assignment'!$A:$A,MATCH(C94&amp;"-"&amp;E94&amp;"-"&amp;F94&amp;"-Pos3",'Shooter-Squad Assignment'!$K:$K,0)),""),IF(F94="Trap",IFERROR(INDEX('Shooter-Squad Assignment'!$A:$A,MATCH(C94&amp;"-"&amp;E94&amp;"-"&amp;F94&amp;"-Pos3",'Shooter-Squad Assignment'!$W:$W,0)),""),IF(F94="Sporting Clays",IFERROR(INDEX('Shooter-Squad Assignment'!$A:$A,MATCH(C94&amp;"-"&amp;E94&amp;"-"&amp;F94&amp;"-Pos3",'Shooter-Squad Assignment'!$Z:$Z,0)),""),"")))</f>
        <v/>
      </c>
      <c r="L94" s="88" t="str">
        <f>IF(ISBLANK(K94),"",IFERROR(INDEX('Tournament List'!$D:$D,MATCH(K94,'Tournament List'!$A:$A,0)),""))</f>
        <v/>
      </c>
      <c r="M94" s="96" t="str">
        <f>IF(F94="Skeet",IFERROR(INDEX('Shooter-Squad Assignment'!$A:$A,MATCH(C94&amp;"-"&amp;E94&amp;"-"&amp;F94&amp;"-Pos4",'Shooter-Squad Assignment'!$K:$K,0)),""),IF(F94="Trap",IFERROR(INDEX('Shooter-Squad Assignment'!$A:$A,MATCH(C94&amp;"-"&amp;E94&amp;"-"&amp;F94&amp;"-Pos4",'Shooter-Squad Assignment'!$W:$W,0)),""),IF(F94="Sporting Clays",IFERROR(INDEX('Shooter-Squad Assignment'!$A:$A,MATCH(C94&amp;"-"&amp;E94&amp;"-"&amp;F94&amp;"-Pos4",'Shooter-Squad Assignment'!$Z:$Z,0)),""),"")))</f>
        <v/>
      </c>
      <c r="N94" s="88" t="str">
        <f>IF(ISBLANK(M94),"",IFERROR(INDEX('Tournament List'!$D:$D,MATCH(M94,'Tournament List'!$A:$A,0)),""))</f>
        <v/>
      </c>
      <c r="O94" s="96" t="str">
        <f>IF(F94="Skeet",IFERROR(INDEX('Shooter-Squad Assignment'!$A:$A,MATCH(C94&amp;"-"&amp;E94&amp;"-"&amp;F94&amp;"-Pos5",'Shooter-Squad Assignment'!$K:$K,0)),""),IF(F94="Trap",IFERROR(INDEX('Shooter-Squad Assignment'!$A:$A,MATCH(C94&amp;"-"&amp;E94&amp;"-"&amp;F94&amp;"-Pos5",'Shooter-Squad Assignment'!$W:$W,0)),""),IF(F94="Sporting Clays",IFERROR(INDEX('Shooter-Squad Assignment'!$A:$A,MATCH(C94&amp;"-"&amp;E94&amp;"-"&amp;F94&amp;"-Pos5",'Shooter-Squad Assignment'!$Z:$Z,0)),""),"")))</f>
        <v/>
      </c>
      <c r="P94" s="89" t="str">
        <f>IF(ISBLANK(O94),"",IFERROR(INDEX('Tournament List'!$D:$D,MATCH(O94,'Tournament List'!$A:$A,0)),""))</f>
        <v/>
      </c>
    </row>
    <row r="95" spans="1:16" x14ac:dyDescent="0.3">
      <c r="A95" s="87">
        <v>94</v>
      </c>
      <c r="B95" s="88" t="str">
        <f>C95&amp;"-"&amp;E95&amp;"-"&amp;F95</f>
        <v>Forge Christian Shooting Team-Varsity 2-Sporting Clays</v>
      </c>
      <c r="C95" s="88" t="s">
        <v>321</v>
      </c>
      <c r="D95" s="88" t="str">
        <f>INDEX('Tournament Setup'!$B$59:$B$78,MATCH(E95,SquadConcurrents,0))</f>
        <v>Varsity</v>
      </c>
      <c r="E95" s="88" t="s">
        <v>346</v>
      </c>
      <c r="F95" s="88" t="s">
        <v>148</v>
      </c>
      <c r="G95" s="96" t="str">
        <f>IF(F95="Skeet",IFERROR(INDEX('Shooter-Squad Assignment'!$A:$A,MATCH(C95&amp;"-"&amp;E95&amp;"-"&amp;F95&amp;"-Pos1",'Shooter-Squad Assignment'!$K:$K,0)),""),IF(F95="Trap",IFERROR(INDEX('Shooter-Squad Assignment'!$A:$A,MATCH(C95&amp;"-"&amp;E95&amp;"-"&amp;F95&amp;"-Pos1",'Shooter-Squad Assignment'!$W:$W,0)),""),IF(F95="Sporting Clays",IFERROR(INDEX('Shooter-Squad Assignment'!$A:$A,MATCH(C95&amp;"-"&amp;E95&amp;"-"&amp;F95&amp;"-Pos1",'Shooter-Squad Assignment'!$Z:$Z,0)),""),"")))</f>
        <v/>
      </c>
      <c r="H95" s="88" t="str">
        <f>IF(ISBLANK(G95),"",IFERROR(INDEX('Tournament List'!$D:$D,MATCH(G95,'Tournament List'!$A:$A,0)),""))</f>
        <v/>
      </c>
      <c r="I95" s="96" t="str">
        <f>IF(F95="Skeet",IFERROR(INDEX('Shooter-Squad Assignment'!$A:$A,MATCH(C95&amp;"-"&amp;E95&amp;"-"&amp;F95&amp;"-Pos2",'Shooter-Squad Assignment'!$K:$K,0)),""),IF(F95="Trap",IFERROR(INDEX('Shooter-Squad Assignment'!$A:$A,MATCH(C95&amp;"-"&amp;E95&amp;"-"&amp;F95&amp;"-Pos2",'Shooter-Squad Assignment'!$W:$W,0)),""),IF(F95="Sporting Clays",IFERROR(INDEX('Shooter-Squad Assignment'!$A:$A,MATCH(C95&amp;"-"&amp;E95&amp;"-"&amp;F95&amp;"-Pos2",'Shooter-Squad Assignment'!$Z:$Z,0)),""),"")))</f>
        <v/>
      </c>
      <c r="J95" s="88" t="str">
        <f>IF(ISBLANK(I95),"",IFERROR(INDEX('Tournament List'!$D:$D,MATCH(I95,'Tournament List'!$A:$A,0)),""))</f>
        <v/>
      </c>
      <c r="K95" s="96" t="str">
        <f>IF(F95="Skeet",IFERROR(INDEX('Shooter-Squad Assignment'!$A:$A,MATCH(C95&amp;"-"&amp;E95&amp;"-"&amp;F95&amp;"-Pos3",'Shooter-Squad Assignment'!$K:$K,0)),""),IF(F95="Trap",IFERROR(INDEX('Shooter-Squad Assignment'!$A:$A,MATCH(C95&amp;"-"&amp;E95&amp;"-"&amp;F95&amp;"-Pos3",'Shooter-Squad Assignment'!$W:$W,0)),""),IF(F95="Sporting Clays",IFERROR(INDEX('Shooter-Squad Assignment'!$A:$A,MATCH(C95&amp;"-"&amp;E95&amp;"-"&amp;F95&amp;"-Pos3",'Shooter-Squad Assignment'!$Z:$Z,0)),""),"")))</f>
        <v/>
      </c>
      <c r="L95" s="88" t="str">
        <f>IF(ISBLANK(K95),"",IFERROR(INDEX('Tournament List'!$D:$D,MATCH(K95,'Tournament List'!$A:$A,0)),""))</f>
        <v/>
      </c>
      <c r="M95" s="96" t="str">
        <f>IF(F95="Skeet",IFERROR(INDEX('Shooter-Squad Assignment'!$A:$A,MATCH(C95&amp;"-"&amp;E95&amp;"-"&amp;F95&amp;"-Pos4",'Shooter-Squad Assignment'!$K:$K,0)),""),IF(F95="Trap",IFERROR(INDEX('Shooter-Squad Assignment'!$A:$A,MATCH(C95&amp;"-"&amp;E95&amp;"-"&amp;F95&amp;"-Pos4",'Shooter-Squad Assignment'!$W:$W,0)),""),IF(F95="Sporting Clays",IFERROR(INDEX('Shooter-Squad Assignment'!$A:$A,MATCH(C95&amp;"-"&amp;E95&amp;"-"&amp;F95&amp;"-Pos4",'Shooter-Squad Assignment'!$Z:$Z,0)),""),"")))</f>
        <v/>
      </c>
      <c r="N95" s="88" t="str">
        <f>IF(ISBLANK(M95),"",IFERROR(INDEX('Tournament List'!$D:$D,MATCH(M95,'Tournament List'!$A:$A,0)),""))</f>
        <v/>
      </c>
      <c r="O95" s="96" t="str">
        <f>IF(F95="Skeet",IFERROR(INDEX('Shooter-Squad Assignment'!$A:$A,MATCH(C95&amp;"-"&amp;E95&amp;"-"&amp;F95&amp;"-Pos5",'Shooter-Squad Assignment'!$K:$K,0)),""),IF(F95="Trap",IFERROR(INDEX('Shooter-Squad Assignment'!$A:$A,MATCH(C95&amp;"-"&amp;E95&amp;"-"&amp;F95&amp;"-Pos5",'Shooter-Squad Assignment'!$W:$W,0)),""),IF(F95="Sporting Clays",IFERROR(INDEX('Shooter-Squad Assignment'!$A:$A,MATCH(C95&amp;"-"&amp;E95&amp;"-"&amp;F95&amp;"-Pos5",'Shooter-Squad Assignment'!$Z:$Z,0)),""),"")))</f>
        <v/>
      </c>
      <c r="P95" s="89" t="str">
        <f>IF(ISBLANK(O95),"",IFERROR(INDEX('Tournament List'!$D:$D,MATCH(O95,'Tournament List'!$A:$A,0)),""))</f>
        <v/>
      </c>
    </row>
    <row r="96" spans="1:16" x14ac:dyDescent="0.3">
      <c r="A96" s="87">
        <v>95</v>
      </c>
      <c r="B96" s="88" t="str">
        <f>C96&amp;"-"&amp;E96&amp;"-"&amp;F96</f>
        <v>Forge Christian Shooting Team-Varsity 3-Sporting Clays</v>
      </c>
      <c r="C96" s="88" t="s">
        <v>321</v>
      </c>
      <c r="D96" s="88" t="str">
        <f>INDEX('Tournament Setup'!$B$59:$B$78,MATCH(E96,SquadConcurrents,0))</f>
        <v>Varsity</v>
      </c>
      <c r="E96" s="88" t="s">
        <v>352</v>
      </c>
      <c r="F96" s="88" t="s">
        <v>148</v>
      </c>
      <c r="G96" s="96" t="str">
        <f>IF(F96="Skeet",IFERROR(INDEX('Shooter-Squad Assignment'!$A:$A,MATCH(C96&amp;"-"&amp;E96&amp;"-"&amp;F96&amp;"-Pos1",'Shooter-Squad Assignment'!$K:$K,0)),""),IF(F96="Trap",IFERROR(INDEX('Shooter-Squad Assignment'!$A:$A,MATCH(C96&amp;"-"&amp;E96&amp;"-"&amp;F96&amp;"-Pos1",'Shooter-Squad Assignment'!$W:$W,0)),""),IF(F96="Sporting Clays",IFERROR(INDEX('Shooter-Squad Assignment'!$A:$A,MATCH(C96&amp;"-"&amp;E96&amp;"-"&amp;F96&amp;"-Pos1",'Shooter-Squad Assignment'!$Z:$Z,0)),""),"")))</f>
        <v/>
      </c>
      <c r="H96" s="88" t="str">
        <f>IF(ISBLANK(G96),"",IFERROR(INDEX('Tournament List'!$D:$D,MATCH(G96,'Tournament List'!$A:$A,0)),""))</f>
        <v/>
      </c>
      <c r="I96" s="96" t="str">
        <f>IF(F96="Skeet",IFERROR(INDEX('Shooter-Squad Assignment'!$A:$A,MATCH(C96&amp;"-"&amp;E96&amp;"-"&amp;F96&amp;"-Pos2",'Shooter-Squad Assignment'!$K:$K,0)),""),IF(F96="Trap",IFERROR(INDEX('Shooter-Squad Assignment'!$A:$A,MATCH(C96&amp;"-"&amp;E96&amp;"-"&amp;F96&amp;"-Pos2",'Shooter-Squad Assignment'!$W:$W,0)),""),IF(F96="Sporting Clays",IFERROR(INDEX('Shooter-Squad Assignment'!$A:$A,MATCH(C96&amp;"-"&amp;E96&amp;"-"&amp;F96&amp;"-Pos2",'Shooter-Squad Assignment'!$Z:$Z,0)),""),"")))</f>
        <v/>
      </c>
      <c r="J96" s="88" t="str">
        <f>IF(ISBLANK(I96),"",IFERROR(INDEX('Tournament List'!$D:$D,MATCH(I96,'Tournament List'!$A:$A,0)),""))</f>
        <v/>
      </c>
      <c r="K96" s="96" t="str">
        <f>IF(F96="Skeet",IFERROR(INDEX('Shooter-Squad Assignment'!$A:$A,MATCH(C96&amp;"-"&amp;E96&amp;"-"&amp;F96&amp;"-Pos3",'Shooter-Squad Assignment'!$K:$K,0)),""),IF(F96="Trap",IFERROR(INDEX('Shooter-Squad Assignment'!$A:$A,MATCH(C96&amp;"-"&amp;E96&amp;"-"&amp;F96&amp;"-Pos3",'Shooter-Squad Assignment'!$W:$W,0)),""),IF(F96="Sporting Clays",IFERROR(INDEX('Shooter-Squad Assignment'!$A:$A,MATCH(C96&amp;"-"&amp;E96&amp;"-"&amp;F96&amp;"-Pos3",'Shooter-Squad Assignment'!$Z:$Z,0)),""),"")))</f>
        <v/>
      </c>
      <c r="L96" s="88" t="str">
        <f>IF(ISBLANK(K96),"",IFERROR(INDEX('Tournament List'!$D:$D,MATCH(K96,'Tournament List'!$A:$A,0)),""))</f>
        <v/>
      </c>
      <c r="M96" s="96" t="str">
        <f>IF(F96="Skeet",IFERROR(INDEX('Shooter-Squad Assignment'!$A:$A,MATCH(C96&amp;"-"&amp;E96&amp;"-"&amp;F96&amp;"-Pos4",'Shooter-Squad Assignment'!$K:$K,0)),""),IF(F96="Trap",IFERROR(INDEX('Shooter-Squad Assignment'!$A:$A,MATCH(C96&amp;"-"&amp;E96&amp;"-"&amp;F96&amp;"-Pos4",'Shooter-Squad Assignment'!$W:$W,0)),""),IF(F96="Sporting Clays",IFERROR(INDEX('Shooter-Squad Assignment'!$A:$A,MATCH(C96&amp;"-"&amp;E96&amp;"-"&amp;F96&amp;"-Pos4",'Shooter-Squad Assignment'!$Z:$Z,0)),""),"")))</f>
        <v/>
      </c>
      <c r="N96" s="88" t="str">
        <f>IF(ISBLANK(M96),"",IFERROR(INDEX('Tournament List'!$D:$D,MATCH(M96,'Tournament List'!$A:$A,0)),""))</f>
        <v/>
      </c>
      <c r="O96" s="96" t="str">
        <f>IF(F96="Skeet",IFERROR(INDEX('Shooter-Squad Assignment'!$A:$A,MATCH(C96&amp;"-"&amp;E96&amp;"-"&amp;F96&amp;"-Pos5",'Shooter-Squad Assignment'!$K:$K,0)),""),IF(F96="Trap",IFERROR(INDEX('Shooter-Squad Assignment'!$A:$A,MATCH(C96&amp;"-"&amp;E96&amp;"-"&amp;F96&amp;"-Pos5",'Shooter-Squad Assignment'!$W:$W,0)),""),IF(F96="Sporting Clays",IFERROR(INDEX('Shooter-Squad Assignment'!$A:$A,MATCH(C96&amp;"-"&amp;E96&amp;"-"&amp;F96&amp;"-Pos5",'Shooter-Squad Assignment'!$Z:$Z,0)),""),"")))</f>
        <v/>
      </c>
      <c r="P96" s="89" t="str">
        <f>IF(ISBLANK(O96),"",IFERROR(INDEX('Tournament List'!$D:$D,MATCH(O96,'Tournament List'!$A:$A,0)),""))</f>
        <v/>
      </c>
    </row>
    <row r="97" spans="1:16" x14ac:dyDescent="0.3">
      <c r="A97" s="87">
        <v>96</v>
      </c>
      <c r="B97" s="88" t="str">
        <f>C97&amp;"-"&amp;E97&amp;"-"&amp;F97</f>
        <v>Forge Christian Shooting Team-Collegiate 1-Trap</v>
      </c>
      <c r="C97" s="88" t="s">
        <v>321</v>
      </c>
      <c r="D97" s="88" t="str">
        <f>INDEX('Tournament Setup'!$B$59:$B$78,MATCH(E97,SquadConcurrents,0))</f>
        <v>Collegiate</v>
      </c>
      <c r="E97" s="88" t="s">
        <v>342</v>
      </c>
      <c r="F97" s="88" t="s">
        <v>147</v>
      </c>
      <c r="G97" s="96" t="str">
        <f>IF(F97="Skeet",IFERROR(INDEX('Shooter-Squad Assignment'!$A:$A,MATCH(C97&amp;"-"&amp;E97&amp;"-"&amp;F97&amp;"-Pos1",'Shooter-Squad Assignment'!$K:$K,0)),""),IF(F97="Trap",IFERROR(INDEX('Shooter-Squad Assignment'!$A:$A,MATCH(C97&amp;"-"&amp;E97&amp;"-"&amp;F97&amp;"-Pos1",'Shooter-Squad Assignment'!$W:$W,0)),""),IF(F97="Sporting Clays",IFERROR(INDEX('Shooter-Squad Assignment'!$A:$A,MATCH(C97&amp;"-"&amp;E97&amp;"-"&amp;F97&amp;"-Pos1",'Shooter-Squad Assignment'!$Z:$Z,0)),""),"")))</f>
        <v/>
      </c>
      <c r="H97" s="88" t="str">
        <f>IF(ISBLANK(G97),"",IFERROR(INDEX('Tournament List'!$D:$D,MATCH(G97,'Tournament List'!$A:$A,0)),""))</f>
        <v/>
      </c>
      <c r="I97" s="96" t="str">
        <f>IF(F97="Skeet",IFERROR(INDEX('Shooter-Squad Assignment'!$A:$A,MATCH(C97&amp;"-"&amp;E97&amp;"-"&amp;F97&amp;"-Pos2",'Shooter-Squad Assignment'!$K:$K,0)),""),IF(F97="Trap",IFERROR(INDEX('Shooter-Squad Assignment'!$A:$A,MATCH(C97&amp;"-"&amp;E97&amp;"-"&amp;F97&amp;"-Pos2",'Shooter-Squad Assignment'!$W:$W,0)),""),IF(F97="Sporting Clays",IFERROR(INDEX('Shooter-Squad Assignment'!$A:$A,MATCH(C97&amp;"-"&amp;E97&amp;"-"&amp;F97&amp;"-Pos2",'Shooter-Squad Assignment'!$Z:$Z,0)),""),"")))</f>
        <v/>
      </c>
      <c r="J97" s="88" t="str">
        <f>IF(ISBLANK(I97),"",IFERROR(INDEX('Tournament List'!$D:$D,MATCH(I97,'Tournament List'!$A:$A,0)),""))</f>
        <v/>
      </c>
      <c r="K97" s="96" t="str">
        <f>IF(F97="Skeet",IFERROR(INDEX('Shooter-Squad Assignment'!$A:$A,MATCH(C97&amp;"-"&amp;E97&amp;"-"&amp;F97&amp;"-Pos3",'Shooter-Squad Assignment'!$K:$K,0)),""),IF(F97="Trap",IFERROR(INDEX('Shooter-Squad Assignment'!$A:$A,MATCH(C97&amp;"-"&amp;E97&amp;"-"&amp;F97&amp;"-Pos3",'Shooter-Squad Assignment'!$W:$W,0)),""),IF(F97="Sporting Clays",IFERROR(INDEX('Shooter-Squad Assignment'!$A:$A,MATCH(C97&amp;"-"&amp;E97&amp;"-"&amp;F97&amp;"-Pos3",'Shooter-Squad Assignment'!$Z:$Z,0)),""),"")))</f>
        <v/>
      </c>
      <c r="L97" s="88" t="str">
        <f>IF(ISBLANK(K97),"",IFERROR(INDEX('Tournament List'!$D:$D,MATCH(K97,'Tournament List'!$A:$A,0)),""))</f>
        <v/>
      </c>
      <c r="M97" s="96" t="str">
        <f>IF(F97="Skeet",IFERROR(INDEX('Shooter-Squad Assignment'!$A:$A,MATCH(C97&amp;"-"&amp;E97&amp;"-"&amp;F97&amp;"-Pos4",'Shooter-Squad Assignment'!$K:$K,0)),""),IF(F97="Trap",IFERROR(INDEX('Shooter-Squad Assignment'!$A:$A,MATCH(C97&amp;"-"&amp;E97&amp;"-"&amp;F97&amp;"-Pos4",'Shooter-Squad Assignment'!$W:$W,0)),""),IF(F97="Sporting Clays",IFERROR(INDEX('Shooter-Squad Assignment'!$A:$A,MATCH(C97&amp;"-"&amp;E97&amp;"-"&amp;F97&amp;"-Pos4",'Shooter-Squad Assignment'!$Z:$Z,0)),""),"")))</f>
        <v/>
      </c>
      <c r="N97" s="88" t="str">
        <f>IF(ISBLANK(M97),"",IFERROR(INDEX('Tournament List'!$D:$D,MATCH(M97,'Tournament List'!$A:$A,0)),""))</f>
        <v/>
      </c>
      <c r="O97" s="96" t="str">
        <f>IF(F97="Skeet",IFERROR(INDEX('Shooter-Squad Assignment'!$A:$A,MATCH(C97&amp;"-"&amp;E97&amp;"-"&amp;F97&amp;"-Pos5",'Shooter-Squad Assignment'!$K:$K,0)),""),IF(F97="Trap",IFERROR(INDEX('Shooter-Squad Assignment'!$A:$A,MATCH(C97&amp;"-"&amp;E97&amp;"-"&amp;F97&amp;"-Pos5",'Shooter-Squad Assignment'!$W:$W,0)),""),IF(F97="Sporting Clays",IFERROR(INDEX('Shooter-Squad Assignment'!$A:$A,MATCH(C97&amp;"-"&amp;E97&amp;"-"&amp;F97&amp;"-Pos5",'Shooter-Squad Assignment'!$Z:$Z,0)),""),"")))</f>
        <v/>
      </c>
      <c r="P97" s="89" t="str">
        <f>IF(ISBLANK(O97),"",IFERROR(INDEX('Tournament List'!$D:$D,MATCH(O97,'Tournament List'!$A:$A,0)),""))</f>
        <v/>
      </c>
    </row>
    <row r="98" spans="1:16" x14ac:dyDescent="0.3">
      <c r="A98" s="87">
        <v>97</v>
      </c>
      <c r="B98" s="88" t="str">
        <f>C98&amp;"-"&amp;E98&amp;"-"&amp;F98</f>
        <v>Forge Christian Shooting Team-Collegiate 2-Trap</v>
      </c>
      <c r="C98" s="88" t="s">
        <v>321</v>
      </c>
      <c r="D98" s="88" t="str">
        <f>INDEX('Tournament Setup'!$B$59:$B$78,MATCH(E98,SquadConcurrents,0))</f>
        <v>Collegiate</v>
      </c>
      <c r="E98" s="88" t="s">
        <v>348</v>
      </c>
      <c r="F98" s="88" t="s">
        <v>147</v>
      </c>
      <c r="G98" s="96" t="str">
        <f>IF(F98="Skeet",IFERROR(INDEX('Shooter-Squad Assignment'!$A:$A,MATCH(C98&amp;"-"&amp;E98&amp;"-"&amp;F98&amp;"-Pos1",'Shooter-Squad Assignment'!$K:$K,0)),""),IF(F98="Trap",IFERROR(INDEX('Shooter-Squad Assignment'!$A:$A,MATCH(C98&amp;"-"&amp;E98&amp;"-"&amp;F98&amp;"-Pos1",'Shooter-Squad Assignment'!$W:$W,0)),""),IF(F98="Sporting Clays",IFERROR(INDEX('Shooter-Squad Assignment'!$A:$A,MATCH(C98&amp;"-"&amp;E98&amp;"-"&amp;F98&amp;"-Pos1",'Shooter-Squad Assignment'!$Z:$Z,0)),""),"")))</f>
        <v/>
      </c>
      <c r="H98" s="88" t="str">
        <f>IF(ISBLANK(G98),"",IFERROR(INDEX('Tournament List'!$D:$D,MATCH(G98,'Tournament List'!$A:$A,0)),""))</f>
        <v/>
      </c>
      <c r="I98" s="96" t="str">
        <f>IF(F98="Skeet",IFERROR(INDEX('Shooter-Squad Assignment'!$A:$A,MATCH(C98&amp;"-"&amp;E98&amp;"-"&amp;F98&amp;"-Pos2",'Shooter-Squad Assignment'!$K:$K,0)),""),IF(F98="Trap",IFERROR(INDEX('Shooter-Squad Assignment'!$A:$A,MATCH(C98&amp;"-"&amp;E98&amp;"-"&amp;F98&amp;"-Pos2",'Shooter-Squad Assignment'!$W:$W,0)),""),IF(F98="Sporting Clays",IFERROR(INDEX('Shooter-Squad Assignment'!$A:$A,MATCH(C98&amp;"-"&amp;E98&amp;"-"&amp;F98&amp;"-Pos2",'Shooter-Squad Assignment'!$Z:$Z,0)),""),"")))</f>
        <v/>
      </c>
      <c r="J98" s="88" t="str">
        <f>IF(ISBLANK(I98),"",IFERROR(INDEX('Tournament List'!$D:$D,MATCH(I98,'Tournament List'!$A:$A,0)),""))</f>
        <v/>
      </c>
      <c r="K98" s="96" t="str">
        <f>IF(F98="Skeet",IFERROR(INDEX('Shooter-Squad Assignment'!$A:$A,MATCH(C98&amp;"-"&amp;E98&amp;"-"&amp;F98&amp;"-Pos3",'Shooter-Squad Assignment'!$K:$K,0)),""),IF(F98="Trap",IFERROR(INDEX('Shooter-Squad Assignment'!$A:$A,MATCH(C98&amp;"-"&amp;E98&amp;"-"&amp;F98&amp;"-Pos3",'Shooter-Squad Assignment'!$W:$W,0)),""),IF(F98="Sporting Clays",IFERROR(INDEX('Shooter-Squad Assignment'!$A:$A,MATCH(C98&amp;"-"&amp;E98&amp;"-"&amp;F98&amp;"-Pos3",'Shooter-Squad Assignment'!$Z:$Z,0)),""),"")))</f>
        <v/>
      </c>
      <c r="L98" s="88" t="str">
        <f>IF(ISBLANK(K98),"",IFERROR(INDEX('Tournament List'!$D:$D,MATCH(K98,'Tournament List'!$A:$A,0)),""))</f>
        <v/>
      </c>
      <c r="M98" s="96" t="str">
        <f>IF(F98="Skeet",IFERROR(INDEX('Shooter-Squad Assignment'!$A:$A,MATCH(C98&amp;"-"&amp;E98&amp;"-"&amp;F98&amp;"-Pos4",'Shooter-Squad Assignment'!$K:$K,0)),""),IF(F98="Trap",IFERROR(INDEX('Shooter-Squad Assignment'!$A:$A,MATCH(C98&amp;"-"&amp;E98&amp;"-"&amp;F98&amp;"-Pos4",'Shooter-Squad Assignment'!$W:$W,0)),""),IF(F98="Sporting Clays",IFERROR(INDEX('Shooter-Squad Assignment'!$A:$A,MATCH(C98&amp;"-"&amp;E98&amp;"-"&amp;F98&amp;"-Pos4",'Shooter-Squad Assignment'!$Z:$Z,0)),""),"")))</f>
        <v/>
      </c>
      <c r="N98" s="88" t="str">
        <f>IF(ISBLANK(M98),"",IFERROR(INDEX('Tournament List'!$D:$D,MATCH(M98,'Tournament List'!$A:$A,0)),""))</f>
        <v/>
      </c>
      <c r="O98" s="96" t="str">
        <f>IF(F98="Skeet",IFERROR(INDEX('Shooter-Squad Assignment'!$A:$A,MATCH(C98&amp;"-"&amp;E98&amp;"-"&amp;F98&amp;"-Pos5",'Shooter-Squad Assignment'!$K:$K,0)),""),IF(F98="Trap",IFERROR(INDEX('Shooter-Squad Assignment'!$A:$A,MATCH(C98&amp;"-"&amp;E98&amp;"-"&amp;F98&amp;"-Pos5",'Shooter-Squad Assignment'!$W:$W,0)),""),IF(F98="Sporting Clays",IFERROR(INDEX('Shooter-Squad Assignment'!$A:$A,MATCH(C98&amp;"-"&amp;E98&amp;"-"&amp;F98&amp;"-Pos5",'Shooter-Squad Assignment'!$Z:$Z,0)),""),"")))</f>
        <v/>
      </c>
      <c r="P98" s="89" t="str">
        <f>IF(ISBLANK(O98),"",IFERROR(INDEX('Tournament List'!$D:$D,MATCH(O98,'Tournament List'!$A:$A,0)),""))</f>
        <v/>
      </c>
    </row>
    <row r="99" spans="1:16" x14ac:dyDescent="0.3">
      <c r="A99" s="87">
        <v>98</v>
      </c>
      <c r="B99" s="88" t="str">
        <f>C99&amp;"-"&amp;E99&amp;"-"&amp;F99</f>
        <v>Forge Christian Shooting Team-Collegiate 3-Trap</v>
      </c>
      <c r="C99" s="88" t="s">
        <v>321</v>
      </c>
      <c r="D99" s="88" t="str">
        <f>INDEX('Tournament Setup'!$B$59:$B$78,MATCH(E99,SquadConcurrents,0))</f>
        <v>Collegiate</v>
      </c>
      <c r="E99" s="88" t="s">
        <v>354</v>
      </c>
      <c r="F99" s="88" t="s">
        <v>147</v>
      </c>
      <c r="G99" s="96" t="str">
        <f>IF(F99="Skeet",IFERROR(INDEX('Shooter-Squad Assignment'!$A:$A,MATCH(C99&amp;"-"&amp;E99&amp;"-"&amp;F99&amp;"-Pos1",'Shooter-Squad Assignment'!$K:$K,0)),""),IF(F99="Trap",IFERROR(INDEX('Shooter-Squad Assignment'!$A:$A,MATCH(C99&amp;"-"&amp;E99&amp;"-"&amp;F99&amp;"-Pos1",'Shooter-Squad Assignment'!$W:$W,0)),""),IF(F99="Sporting Clays",IFERROR(INDEX('Shooter-Squad Assignment'!$A:$A,MATCH(C99&amp;"-"&amp;E99&amp;"-"&amp;F99&amp;"-Pos1",'Shooter-Squad Assignment'!$Z:$Z,0)),""),"")))</f>
        <v/>
      </c>
      <c r="H99" s="88" t="str">
        <f>IF(ISBLANK(G99),"",IFERROR(INDEX('Tournament List'!$D:$D,MATCH(G99,'Tournament List'!$A:$A,0)),""))</f>
        <v/>
      </c>
      <c r="I99" s="96" t="str">
        <f>IF(F99="Skeet",IFERROR(INDEX('Shooter-Squad Assignment'!$A:$A,MATCH(C99&amp;"-"&amp;E99&amp;"-"&amp;F99&amp;"-Pos2",'Shooter-Squad Assignment'!$K:$K,0)),""),IF(F99="Trap",IFERROR(INDEX('Shooter-Squad Assignment'!$A:$A,MATCH(C99&amp;"-"&amp;E99&amp;"-"&amp;F99&amp;"-Pos2",'Shooter-Squad Assignment'!$W:$W,0)),""),IF(F99="Sporting Clays",IFERROR(INDEX('Shooter-Squad Assignment'!$A:$A,MATCH(C99&amp;"-"&amp;E99&amp;"-"&amp;F99&amp;"-Pos2",'Shooter-Squad Assignment'!$Z:$Z,0)),""),"")))</f>
        <v/>
      </c>
      <c r="J99" s="88" t="str">
        <f>IF(ISBLANK(I99),"",IFERROR(INDEX('Tournament List'!$D:$D,MATCH(I99,'Tournament List'!$A:$A,0)),""))</f>
        <v/>
      </c>
      <c r="K99" s="96" t="str">
        <f>IF(F99="Skeet",IFERROR(INDEX('Shooter-Squad Assignment'!$A:$A,MATCH(C99&amp;"-"&amp;E99&amp;"-"&amp;F99&amp;"-Pos3",'Shooter-Squad Assignment'!$K:$K,0)),""),IF(F99="Trap",IFERROR(INDEX('Shooter-Squad Assignment'!$A:$A,MATCH(C99&amp;"-"&amp;E99&amp;"-"&amp;F99&amp;"-Pos3",'Shooter-Squad Assignment'!$W:$W,0)),""),IF(F99="Sporting Clays",IFERROR(INDEX('Shooter-Squad Assignment'!$A:$A,MATCH(C99&amp;"-"&amp;E99&amp;"-"&amp;F99&amp;"-Pos3",'Shooter-Squad Assignment'!$Z:$Z,0)),""),"")))</f>
        <v/>
      </c>
      <c r="L99" s="88" t="str">
        <f>IF(ISBLANK(K99),"",IFERROR(INDEX('Tournament List'!$D:$D,MATCH(K99,'Tournament List'!$A:$A,0)),""))</f>
        <v/>
      </c>
      <c r="M99" s="96" t="str">
        <f>IF(F99="Skeet",IFERROR(INDEX('Shooter-Squad Assignment'!$A:$A,MATCH(C99&amp;"-"&amp;E99&amp;"-"&amp;F99&amp;"-Pos4",'Shooter-Squad Assignment'!$K:$K,0)),""),IF(F99="Trap",IFERROR(INDEX('Shooter-Squad Assignment'!$A:$A,MATCH(C99&amp;"-"&amp;E99&amp;"-"&amp;F99&amp;"-Pos4",'Shooter-Squad Assignment'!$W:$W,0)),""),IF(F99="Sporting Clays",IFERROR(INDEX('Shooter-Squad Assignment'!$A:$A,MATCH(C99&amp;"-"&amp;E99&amp;"-"&amp;F99&amp;"-Pos4",'Shooter-Squad Assignment'!$Z:$Z,0)),""),"")))</f>
        <v/>
      </c>
      <c r="N99" s="88" t="str">
        <f>IF(ISBLANK(M99),"",IFERROR(INDEX('Tournament List'!$D:$D,MATCH(M99,'Tournament List'!$A:$A,0)),""))</f>
        <v/>
      </c>
      <c r="O99" s="96" t="str">
        <f>IF(F99="Skeet",IFERROR(INDEX('Shooter-Squad Assignment'!$A:$A,MATCH(C99&amp;"-"&amp;E99&amp;"-"&amp;F99&amp;"-Pos5",'Shooter-Squad Assignment'!$K:$K,0)),""),IF(F99="Trap",IFERROR(INDEX('Shooter-Squad Assignment'!$A:$A,MATCH(C99&amp;"-"&amp;E99&amp;"-"&amp;F99&amp;"-Pos5",'Shooter-Squad Assignment'!$W:$W,0)),""),IF(F99="Sporting Clays",IFERROR(INDEX('Shooter-Squad Assignment'!$A:$A,MATCH(C99&amp;"-"&amp;E99&amp;"-"&amp;F99&amp;"-Pos5",'Shooter-Squad Assignment'!$Z:$Z,0)),""),"")))</f>
        <v/>
      </c>
      <c r="P99" s="89" t="str">
        <f>IF(ISBLANK(O99),"",IFERROR(INDEX('Tournament List'!$D:$D,MATCH(O99,'Tournament List'!$A:$A,0)),""))</f>
        <v/>
      </c>
    </row>
    <row r="100" spans="1:16" x14ac:dyDescent="0.3">
      <c r="A100" s="87">
        <v>99</v>
      </c>
      <c r="B100" s="88" t="str">
        <f>C100&amp;"-"&amp;E100&amp;"-"&amp;F100</f>
        <v>Forge Christian Shooting Team-Intermediate 1-Trap</v>
      </c>
      <c r="C100" s="88" t="s">
        <v>321</v>
      </c>
      <c r="D100" s="88" t="str">
        <f>INDEX('Tournament Setup'!$B$59:$B$78,MATCH(E100,SquadConcurrents,0))</f>
        <v>Intermediate</v>
      </c>
      <c r="E100" s="88" t="s">
        <v>338</v>
      </c>
      <c r="F100" s="88" t="s">
        <v>147</v>
      </c>
      <c r="G100" s="96" t="str">
        <f>IF(F100="Skeet",IFERROR(INDEX('Shooter-Squad Assignment'!$A:$A,MATCH(C100&amp;"-"&amp;E100&amp;"-"&amp;F100&amp;"-Pos1",'Shooter-Squad Assignment'!$K:$K,0)),""),IF(F100="Trap",IFERROR(INDEX('Shooter-Squad Assignment'!$A:$A,MATCH(C100&amp;"-"&amp;E100&amp;"-"&amp;F100&amp;"-Pos1",'Shooter-Squad Assignment'!$W:$W,0)),""),IF(F100="Sporting Clays",IFERROR(INDEX('Shooter-Squad Assignment'!$A:$A,MATCH(C100&amp;"-"&amp;E100&amp;"-"&amp;F100&amp;"-Pos1",'Shooter-Squad Assignment'!$Z:$Z,0)),""),"")))</f>
        <v/>
      </c>
      <c r="H100" s="88" t="str">
        <f>IF(ISBLANK(G100),"",IFERROR(INDEX('Tournament List'!$D:$D,MATCH(G100,'Tournament List'!$A:$A,0)),""))</f>
        <v/>
      </c>
      <c r="I100" s="96" t="str">
        <f>IF(F100="Skeet",IFERROR(INDEX('Shooter-Squad Assignment'!$A:$A,MATCH(C100&amp;"-"&amp;E100&amp;"-"&amp;F100&amp;"-Pos2",'Shooter-Squad Assignment'!$K:$K,0)),""),IF(F100="Trap",IFERROR(INDEX('Shooter-Squad Assignment'!$A:$A,MATCH(C100&amp;"-"&amp;E100&amp;"-"&amp;F100&amp;"-Pos2",'Shooter-Squad Assignment'!$W:$W,0)),""),IF(F100="Sporting Clays",IFERROR(INDEX('Shooter-Squad Assignment'!$A:$A,MATCH(C100&amp;"-"&amp;E100&amp;"-"&amp;F100&amp;"-Pos2",'Shooter-Squad Assignment'!$Z:$Z,0)),""),"")))</f>
        <v/>
      </c>
      <c r="J100" s="88" t="str">
        <f>IF(ISBLANK(I100),"",IFERROR(INDEX('Tournament List'!$D:$D,MATCH(I100,'Tournament List'!$A:$A,0)),""))</f>
        <v/>
      </c>
      <c r="K100" s="96" t="str">
        <f>IF(F100="Skeet",IFERROR(INDEX('Shooter-Squad Assignment'!$A:$A,MATCH(C100&amp;"-"&amp;E100&amp;"-"&amp;F100&amp;"-Pos3",'Shooter-Squad Assignment'!$K:$K,0)),""),IF(F100="Trap",IFERROR(INDEX('Shooter-Squad Assignment'!$A:$A,MATCH(C100&amp;"-"&amp;E100&amp;"-"&amp;F100&amp;"-Pos3",'Shooter-Squad Assignment'!$W:$W,0)),""),IF(F100="Sporting Clays",IFERROR(INDEX('Shooter-Squad Assignment'!$A:$A,MATCH(C100&amp;"-"&amp;E100&amp;"-"&amp;F100&amp;"-Pos3",'Shooter-Squad Assignment'!$Z:$Z,0)),""),"")))</f>
        <v/>
      </c>
      <c r="L100" s="88" t="str">
        <f>IF(ISBLANK(K100),"",IFERROR(INDEX('Tournament List'!$D:$D,MATCH(K100,'Tournament List'!$A:$A,0)),""))</f>
        <v/>
      </c>
      <c r="M100" s="96" t="str">
        <f>IF(F100="Skeet",IFERROR(INDEX('Shooter-Squad Assignment'!$A:$A,MATCH(C100&amp;"-"&amp;E100&amp;"-"&amp;F100&amp;"-Pos4",'Shooter-Squad Assignment'!$K:$K,0)),""),IF(F100="Trap",IFERROR(INDEX('Shooter-Squad Assignment'!$A:$A,MATCH(C100&amp;"-"&amp;E100&amp;"-"&amp;F100&amp;"-Pos4",'Shooter-Squad Assignment'!$W:$W,0)),""),IF(F100="Sporting Clays",IFERROR(INDEX('Shooter-Squad Assignment'!$A:$A,MATCH(C100&amp;"-"&amp;E100&amp;"-"&amp;F100&amp;"-Pos4",'Shooter-Squad Assignment'!$Z:$Z,0)),""),"")))</f>
        <v/>
      </c>
      <c r="N100" s="88" t="str">
        <f>IF(ISBLANK(M100),"",IFERROR(INDEX('Tournament List'!$D:$D,MATCH(M100,'Tournament List'!$A:$A,0)),""))</f>
        <v/>
      </c>
      <c r="O100" s="96" t="str">
        <f>IF(F100="Skeet",IFERROR(INDEX('Shooter-Squad Assignment'!$A:$A,MATCH(C100&amp;"-"&amp;E100&amp;"-"&amp;F100&amp;"-Pos5",'Shooter-Squad Assignment'!$K:$K,0)),""),IF(F100="Trap",IFERROR(INDEX('Shooter-Squad Assignment'!$A:$A,MATCH(C100&amp;"-"&amp;E100&amp;"-"&amp;F100&amp;"-Pos5",'Shooter-Squad Assignment'!$W:$W,0)),""),IF(F100="Sporting Clays",IFERROR(INDEX('Shooter-Squad Assignment'!$A:$A,MATCH(C100&amp;"-"&amp;E100&amp;"-"&amp;F100&amp;"-Pos5",'Shooter-Squad Assignment'!$Z:$Z,0)),""),"")))</f>
        <v/>
      </c>
      <c r="P100" s="89" t="str">
        <f>IF(ISBLANK(O100),"",IFERROR(INDEX('Tournament List'!$D:$D,MATCH(O100,'Tournament List'!$A:$A,0)),""))</f>
        <v/>
      </c>
    </row>
    <row r="101" spans="1:16" x14ac:dyDescent="0.3">
      <c r="A101" s="87">
        <v>100</v>
      </c>
      <c r="B101" s="88" t="str">
        <f>C101&amp;"-"&amp;E101&amp;"-"&amp;F101</f>
        <v>Forge Christian Shooting Team-Intermediate 2-Trap</v>
      </c>
      <c r="C101" s="88" t="s">
        <v>321</v>
      </c>
      <c r="D101" s="88" t="str">
        <f>INDEX('Tournament Setup'!$B$59:$B$78,MATCH(E101,SquadConcurrents,0))</f>
        <v>Intermediate</v>
      </c>
      <c r="E101" s="88" t="s">
        <v>344</v>
      </c>
      <c r="F101" s="88" t="s">
        <v>147</v>
      </c>
      <c r="G101" s="96" t="str">
        <f>IF(F101="Skeet",IFERROR(INDEX('Shooter-Squad Assignment'!$A:$A,MATCH(C101&amp;"-"&amp;E101&amp;"-"&amp;F101&amp;"-Pos1",'Shooter-Squad Assignment'!$K:$K,0)),""),IF(F101="Trap",IFERROR(INDEX('Shooter-Squad Assignment'!$A:$A,MATCH(C101&amp;"-"&amp;E101&amp;"-"&amp;F101&amp;"-Pos1",'Shooter-Squad Assignment'!$W:$W,0)),""),IF(F101="Sporting Clays",IFERROR(INDEX('Shooter-Squad Assignment'!$A:$A,MATCH(C101&amp;"-"&amp;E101&amp;"-"&amp;F101&amp;"-Pos1",'Shooter-Squad Assignment'!$Z:$Z,0)),""),"")))</f>
        <v/>
      </c>
      <c r="H101" s="88" t="str">
        <f>IF(ISBLANK(G101),"",IFERROR(INDEX('Tournament List'!$D:$D,MATCH(G101,'Tournament List'!$A:$A,0)),""))</f>
        <v/>
      </c>
      <c r="I101" s="96" t="str">
        <f>IF(F101="Skeet",IFERROR(INDEX('Shooter-Squad Assignment'!$A:$A,MATCH(C101&amp;"-"&amp;E101&amp;"-"&amp;F101&amp;"-Pos2",'Shooter-Squad Assignment'!$K:$K,0)),""),IF(F101="Trap",IFERROR(INDEX('Shooter-Squad Assignment'!$A:$A,MATCH(C101&amp;"-"&amp;E101&amp;"-"&amp;F101&amp;"-Pos2",'Shooter-Squad Assignment'!$W:$W,0)),""),IF(F101="Sporting Clays",IFERROR(INDEX('Shooter-Squad Assignment'!$A:$A,MATCH(C101&amp;"-"&amp;E101&amp;"-"&amp;F101&amp;"-Pos2",'Shooter-Squad Assignment'!$Z:$Z,0)),""),"")))</f>
        <v/>
      </c>
      <c r="J101" s="88" t="str">
        <f>IF(ISBLANK(I101),"",IFERROR(INDEX('Tournament List'!$D:$D,MATCH(I101,'Tournament List'!$A:$A,0)),""))</f>
        <v/>
      </c>
      <c r="K101" s="96" t="str">
        <f>IF(F101="Skeet",IFERROR(INDEX('Shooter-Squad Assignment'!$A:$A,MATCH(C101&amp;"-"&amp;E101&amp;"-"&amp;F101&amp;"-Pos3",'Shooter-Squad Assignment'!$K:$K,0)),""),IF(F101="Trap",IFERROR(INDEX('Shooter-Squad Assignment'!$A:$A,MATCH(C101&amp;"-"&amp;E101&amp;"-"&amp;F101&amp;"-Pos3",'Shooter-Squad Assignment'!$W:$W,0)),""),IF(F101="Sporting Clays",IFERROR(INDEX('Shooter-Squad Assignment'!$A:$A,MATCH(C101&amp;"-"&amp;E101&amp;"-"&amp;F101&amp;"-Pos3",'Shooter-Squad Assignment'!$Z:$Z,0)),""),"")))</f>
        <v/>
      </c>
      <c r="L101" s="88" t="str">
        <f>IF(ISBLANK(K101),"",IFERROR(INDEX('Tournament List'!$D:$D,MATCH(K101,'Tournament List'!$A:$A,0)),""))</f>
        <v/>
      </c>
      <c r="M101" s="96" t="str">
        <f>IF(F101="Skeet",IFERROR(INDEX('Shooter-Squad Assignment'!$A:$A,MATCH(C101&amp;"-"&amp;E101&amp;"-"&amp;F101&amp;"-Pos4",'Shooter-Squad Assignment'!$K:$K,0)),""),IF(F101="Trap",IFERROR(INDEX('Shooter-Squad Assignment'!$A:$A,MATCH(C101&amp;"-"&amp;E101&amp;"-"&amp;F101&amp;"-Pos4",'Shooter-Squad Assignment'!$W:$W,0)),""),IF(F101="Sporting Clays",IFERROR(INDEX('Shooter-Squad Assignment'!$A:$A,MATCH(C101&amp;"-"&amp;E101&amp;"-"&amp;F101&amp;"-Pos4",'Shooter-Squad Assignment'!$Z:$Z,0)),""),"")))</f>
        <v/>
      </c>
      <c r="N101" s="88" t="str">
        <f>IF(ISBLANK(M101),"",IFERROR(INDEX('Tournament List'!$D:$D,MATCH(M101,'Tournament List'!$A:$A,0)),""))</f>
        <v/>
      </c>
      <c r="O101" s="96" t="str">
        <f>IF(F101="Skeet",IFERROR(INDEX('Shooter-Squad Assignment'!$A:$A,MATCH(C101&amp;"-"&amp;E101&amp;"-"&amp;F101&amp;"-Pos5",'Shooter-Squad Assignment'!$K:$K,0)),""),IF(F101="Trap",IFERROR(INDEX('Shooter-Squad Assignment'!$A:$A,MATCH(C101&amp;"-"&amp;E101&amp;"-"&amp;F101&amp;"-Pos5",'Shooter-Squad Assignment'!$W:$W,0)),""),IF(F101="Sporting Clays",IFERROR(INDEX('Shooter-Squad Assignment'!$A:$A,MATCH(C101&amp;"-"&amp;E101&amp;"-"&amp;F101&amp;"-Pos5",'Shooter-Squad Assignment'!$Z:$Z,0)),""),"")))</f>
        <v/>
      </c>
      <c r="P101" s="89" t="str">
        <f>IF(ISBLANK(O101),"",IFERROR(INDEX('Tournament List'!$D:$D,MATCH(O101,'Tournament List'!$A:$A,0)),""))</f>
        <v/>
      </c>
    </row>
    <row r="102" spans="1:16" x14ac:dyDescent="0.3">
      <c r="A102" s="87">
        <v>101</v>
      </c>
      <c r="B102" s="88" t="str">
        <f>C102&amp;"-"&amp;E102&amp;"-"&amp;F102</f>
        <v>Forge Christian Shooting Team-Intermediate 3-Trap</v>
      </c>
      <c r="C102" s="88" t="s">
        <v>321</v>
      </c>
      <c r="D102" s="88" t="str">
        <f>INDEX('Tournament Setup'!$B$59:$B$78,MATCH(E102,SquadConcurrents,0))</f>
        <v>Intermediate</v>
      </c>
      <c r="E102" s="88" t="s">
        <v>350</v>
      </c>
      <c r="F102" s="88" t="s">
        <v>147</v>
      </c>
      <c r="G102" s="96" t="str">
        <f>IF(F102="Skeet",IFERROR(INDEX('Shooter-Squad Assignment'!$A:$A,MATCH(C102&amp;"-"&amp;E102&amp;"-"&amp;F102&amp;"-Pos1",'Shooter-Squad Assignment'!$K:$K,0)),""),IF(F102="Trap",IFERROR(INDEX('Shooter-Squad Assignment'!$A:$A,MATCH(C102&amp;"-"&amp;E102&amp;"-"&amp;F102&amp;"-Pos1",'Shooter-Squad Assignment'!$W:$W,0)),""),IF(F102="Sporting Clays",IFERROR(INDEX('Shooter-Squad Assignment'!$A:$A,MATCH(C102&amp;"-"&amp;E102&amp;"-"&amp;F102&amp;"-Pos1",'Shooter-Squad Assignment'!$Z:$Z,0)),""),"")))</f>
        <v/>
      </c>
      <c r="H102" s="88" t="str">
        <f>IF(ISBLANK(G102),"",IFERROR(INDEX('Tournament List'!$D:$D,MATCH(G102,'Tournament List'!$A:$A,0)),""))</f>
        <v/>
      </c>
      <c r="I102" s="96" t="str">
        <f>IF(F102="Skeet",IFERROR(INDEX('Shooter-Squad Assignment'!$A:$A,MATCH(C102&amp;"-"&amp;E102&amp;"-"&amp;F102&amp;"-Pos2",'Shooter-Squad Assignment'!$K:$K,0)),""),IF(F102="Trap",IFERROR(INDEX('Shooter-Squad Assignment'!$A:$A,MATCH(C102&amp;"-"&amp;E102&amp;"-"&amp;F102&amp;"-Pos2",'Shooter-Squad Assignment'!$W:$W,0)),""),IF(F102="Sporting Clays",IFERROR(INDEX('Shooter-Squad Assignment'!$A:$A,MATCH(C102&amp;"-"&amp;E102&amp;"-"&amp;F102&amp;"-Pos2",'Shooter-Squad Assignment'!$Z:$Z,0)),""),"")))</f>
        <v/>
      </c>
      <c r="J102" s="88" t="str">
        <f>IF(ISBLANK(I102),"",IFERROR(INDEX('Tournament List'!$D:$D,MATCH(I102,'Tournament List'!$A:$A,0)),""))</f>
        <v/>
      </c>
      <c r="K102" s="96" t="str">
        <f>IF(F102="Skeet",IFERROR(INDEX('Shooter-Squad Assignment'!$A:$A,MATCH(C102&amp;"-"&amp;E102&amp;"-"&amp;F102&amp;"-Pos3",'Shooter-Squad Assignment'!$K:$K,0)),""),IF(F102="Trap",IFERROR(INDEX('Shooter-Squad Assignment'!$A:$A,MATCH(C102&amp;"-"&amp;E102&amp;"-"&amp;F102&amp;"-Pos3",'Shooter-Squad Assignment'!$W:$W,0)),""),IF(F102="Sporting Clays",IFERROR(INDEX('Shooter-Squad Assignment'!$A:$A,MATCH(C102&amp;"-"&amp;E102&amp;"-"&amp;F102&amp;"-Pos3",'Shooter-Squad Assignment'!$Z:$Z,0)),""),"")))</f>
        <v/>
      </c>
      <c r="L102" s="88" t="str">
        <f>IF(ISBLANK(K102),"",IFERROR(INDEX('Tournament List'!$D:$D,MATCH(K102,'Tournament List'!$A:$A,0)),""))</f>
        <v/>
      </c>
      <c r="M102" s="96" t="str">
        <f>IF(F102="Skeet",IFERROR(INDEX('Shooter-Squad Assignment'!$A:$A,MATCH(C102&amp;"-"&amp;E102&amp;"-"&amp;F102&amp;"-Pos4",'Shooter-Squad Assignment'!$K:$K,0)),""),IF(F102="Trap",IFERROR(INDEX('Shooter-Squad Assignment'!$A:$A,MATCH(C102&amp;"-"&amp;E102&amp;"-"&amp;F102&amp;"-Pos4",'Shooter-Squad Assignment'!$W:$W,0)),""),IF(F102="Sporting Clays",IFERROR(INDEX('Shooter-Squad Assignment'!$A:$A,MATCH(C102&amp;"-"&amp;E102&amp;"-"&amp;F102&amp;"-Pos4",'Shooter-Squad Assignment'!$Z:$Z,0)),""),"")))</f>
        <v/>
      </c>
      <c r="N102" s="88" t="str">
        <f>IF(ISBLANK(M102),"",IFERROR(INDEX('Tournament List'!$D:$D,MATCH(M102,'Tournament List'!$A:$A,0)),""))</f>
        <v/>
      </c>
      <c r="O102" s="96" t="str">
        <f>IF(F102="Skeet",IFERROR(INDEX('Shooter-Squad Assignment'!$A:$A,MATCH(C102&amp;"-"&amp;E102&amp;"-"&amp;F102&amp;"-Pos5",'Shooter-Squad Assignment'!$K:$K,0)),""),IF(F102="Trap",IFERROR(INDEX('Shooter-Squad Assignment'!$A:$A,MATCH(C102&amp;"-"&amp;E102&amp;"-"&amp;F102&amp;"-Pos5",'Shooter-Squad Assignment'!$W:$W,0)),""),IF(F102="Sporting Clays",IFERROR(INDEX('Shooter-Squad Assignment'!$A:$A,MATCH(C102&amp;"-"&amp;E102&amp;"-"&amp;F102&amp;"-Pos5",'Shooter-Squad Assignment'!$Z:$Z,0)),""),"")))</f>
        <v/>
      </c>
      <c r="P102" s="89" t="str">
        <f>IF(ISBLANK(O102),"",IFERROR(INDEX('Tournament List'!$D:$D,MATCH(O102,'Tournament List'!$A:$A,0)),""))</f>
        <v/>
      </c>
    </row>
    <row r="103" spans="1:16" x14ac:dyDescent="0.3">
      <c r="A103" s="87">
        <v>102</v>
      </c>
      <c r="B103" s="88" t="str">
        <f>C103&amp;"-"&amp;E103&amp;"-"&amp;F103</f>
        <v>Forge Christian Shooting Team-Junior Varsity 1-Trap</v>
      </c>
      <c r="C103" s="88" t="s">
        <v>321</v>
      </c>
      <c r="D103" s="88" t="str">
        <f>INDEX('Tournament Setup'!$B$59:$B$78,MATCH(E103,SquadConcurrents,0))</f>
        <v>Junior Varsity</v>
      </c>
      <c r="E103" s="88" t="s">
        <v>339</v>
      </c>
      <c r="F103" s="88" t="s">
        <v>147</v>
      </c>
      <c r="G103" s="96" t="str">
        <f>IF(F103="Skeet",IFERROR(INDEX('Shooter-Squad Assignment'!$A:$A,MATCH(C103&amp;"-"&amp;E103&amp;"-"&amp;F103&amp;"-Pos1",'Shooter-Squad Assignment'!$K:$K,0)),""),IF(F103="Trap",IFERROR(INDEX('Shooter-Squad Assignment'!$A:$A,MATCH(C103&amp;"-"&amp;E103&amp;"-"&amp;F103&amp;"-Pos1",'Shooter-Squad Assignment'!$W:$W,0)),""),IF(F103="Sporting Clays",IFERROR(INDEX('Shooter-Squad Assignment'!$A:$A,MATCH(C103&amp;"-"&amp;E103&amp;"-"&amp;F103&amp;"-Pos1",'Shooter-Squad Assignment'!$Z:$Z,0)),""),"")))</f>
        <v/>
      </c>
      <c r="H103" s="88" t="str">
        <f>IF(ISBLANK(G103),"",IFERROR(INDEX('Tournament List'!$D:$D,MATCH(G103,'Tournament List'!$A:$A,0)),""))</f>
        <v/>
      </c>
      <c r="I103" s="96" t="str">
        <f>IF(F103="Skeet",IFERROR(INDEX('Shooter-Squad Assignment'!$A:$A,MATCH(C103&amp;"-"&amp;E103&amp;"-"&amp;F103&amp;"-Pos2",'Shooter-Squad Assignment'!$K:$K,0)),""),IF(F103="Trap",IFERROR(INDEX('Shooter-Squad Assignment'!$A:$A,MATCH(C103&amp;"-"&amp;E103&amp;"-"&amp;F103&amp;"-Pos2",'Shooter-Squad Assignment'!$W:$W,0)),""),IF(F103="Sporting Clays",IFERROR(INDEX('Shooter-Squad Assignment'!$A:$A,MATCH(C103&amp;"-"&amp;E103&amp;"-"&amp;F103&amp;"-Pos2",'Shooter-Squad Assignment'!$Z:$Z,0)),""),"")))</f>
        <v/>
      </c>
      <c r="J103" s="88" t="str">
        <f>IF(ISBLANK(I103),"",IFERROR(INDEX('Tournament List'!$D:$D,MATCH(I103,'Tournament List'!$A:$A,0)),""))</f>
        <v/>
      </c>
      <c r="K103" s="96" t="str">
        <f>IF(F103="Skeet",IFERROR(INDEX('Shooter-Squad Assignment'!$A:$A,MATCH(C103&amp;"-"&amp;E103&amp;"-"&amp;F103&amp;"-Pos3",'Shooter-Squad Assignment'!$K:$K,0)),""),IF(F103="Trap",IFERROR(INDEX('Shooter-Squad Assignment'!$A:$A,MATCH(C103&amp;"-"&amp;E103&amp;"-"&amp;F103&amp;"-Pos3",'Shooter-Squad Assignment'!$W:$W,0)),""),IF(F103="Sporting Clays",IFERROR(INDEX('Shooter-Squad Assignment'!$A:$A,MATCH(C103&amp;"-"&amp;E103&amp;"-"&amp;F103&amp;"-Pos3",'Shooter-Squad Assignment'!$Z:$Z,0)),""),"")))</f>
        <v/>
      </c>
      <c r="L103" s="88" t="str">
        <f>IF(ISBLANK(K103),"",IFERROR(INDEX('Tournament List'!$D:$D,MATCH(K103,'Tournament List'!$A:$A,0)),""))</f>
        <v/>
      </c>
      <c r="M103" s="96" t="str">
        <f>IF(F103="Skeet",IFERROR(INDEX('Shooter-Squad Assignment'!$A:$A,MATCH(C103&amp;"-"&amp;E103&amp;"-"&amp;F103&amp;"-Pos4",'Shooter-Squad Assignment'!$K:$K,0)),""),IF(F103="Trap",IFERROR(INDEX('Shooter-Squad Assignment'!$A:$A,MATCH(C103&amp;"-"&amp;E103&amp;"-"&amp;F103&amp;"-Pos4",'Shooter-Squad Assignment'!$W:$W,0)),""),IF(F103="Sporting Clays",IFERROR(INDEX('Shooter-Squad Assignment'!$A:$A,MATCH(C103&amp;"-"&amp;E103&amp;"-"&amp;F103&amp;"-Pos4",'Shooter-Squad Assignment'!$Z:$Z,0)),""),"")))</f>
        <v/>
      </c>
      <c r="N103" s="88" t="str">
        <f>IF(ISBLANK(M103),"",IFERROR(INDEX('Tournament List'!$D:$D,MATCH(M103,'Tournament List'!$A:$A,0)),""))</f>
        <v/>
      </c>
      <c r="O103" s="96" t="str">
        <f>IF(F103="Skeet",IFERROR(INDEX('Shooter-Squad Assignment'!$A:$A,MATCH(C103&amp;"-"&amp;E103&amp;"-"&amp;F103&amp;"-Pos5",'Shooter-Squad Assignment'!$K:$K,0)),""),IF(F103="Trap",IFERROR(INDEX('Shooter-Squad Assignment'!$A:$A,MATCH(C103&amp;"-"&amp;E103&amp;"-"&amp;F103&amp;"-Pos5",'Shooter-Squad Assignment'!$W:$W,0)),""),IF(F103="Sporting Clays",IFERROR(INDEX('Shooter-Squad Assignment'!$A:$A,MATCH(C103&amp;"-"&amp;E103&amp;"-"&amp;F103&amp;"-Pos5",'Shooter-Squad Assignment'!$Z:$Z,0)),""),"")))</f>
        <v/>
      </c>
      <c r="P103" s="89" t="str">
        <f>IF(ISBLANK(O103),"",IFERROR(INDEX('Tournament List'!$D:$D,MATCH(O103,'Tournament List'!$A:$A,0)),""))</f>
        <v/>
      </c>
    </row>
    <row r="104" spans="1:16" x14ac:dyDescent="0.3">
      <c r="A104" s="87">
        <v>103</v>
      </c>
      <c r="B104" s="88" t="str">
        <f>C104&amp;"-"&amp;E104&amp;"-"&amp;F104</f>
        <v>Forge Christian Shooting Team-Junior Varsity 2-Trap</v>
      </c>
      <c r="C104" s="88" t="s">
        <v>321</v>
      </c>
      <c r="D104" s="88" t="str">
        <f>INDEX('Tournament Setup'!$B$59:$B$78,MATCH(E104,SquadConcurrents,0))</f>
        <v>Junior Varsity</v>
      </c>
      <c r="E104" s="88" t="s">
        <v>345</v>
      </c>
      <c r="F104" s="88" t="s">
        <v>147</v>
      </c>
      <c r="G104" s="96" t="str">
        <f>IF(F104="Skeet",IFERROR(INDEX('Shooter-Squad Assignment'!$A:$A,MATCH(C104&amp;"-"&amp;E104&amp;"-"&amp;F104&amp;"-Pos1",'Shooter-Squad Assignment'!$K:$K,0)),""),IF(F104="Trap",IFERROR(INDEX('Shooter-Squad Assignment'!$A:$A,MATCH(C104&amp;"-"&amp;E104&amp;"-"&amp;F104&amp;"-Pos1",'Shooter-Squad Assignment'!$W:$W,0)),""),IF(F104="Sporting Clays",IFERROR(INDEX('Shooter-Squad Assignment'!$A:$A,MATCH(C104&amp;"-"&amp;E104&amp;"-"&amp;F104&amp;"-Pos1",'Shooter-Squad Assignment'!$Z:$Z,0)),""),"")))</f>
        <v/>
      </c>
      <c r="H104" s="88" t="str">
        <f>IF(ISBLANK(G104),"",IFERROR(INDEX('Tournament List'!$D:$D,MATCH(G104,'Tournament List'!$A:$A,0)),""))</f>
        <v/>
      </c>
      <c r="I104" s="96" t="str">
        <f>IF(F104="Skeet",IFERROR(INDEX('Shooter-Squad Assignment'!$A:$A,MATCH(C104&amp;"-"&amp;E104&amp;"-"&amp;F104&amp;"-Pos2",'Shooter-Squad Assignment'!$K:$K,0)),""),IF(F104="Trap",IFERROR(INDEX('Shooter-Squad Assignment'!$A:$A,MATCH(C104&amp;"-"&amp;E104&amp;"-"&amp;F104&amp;"-Pos2",'Shooter-Squad Assignment'!$W:$W,0)),""),IF(F104="Sporting Clays",IFERROR(INDEX('Shooter-Squad Assignment'!$A:$A,MATCH(C104&amp;"-"&amp;E104&amp;"-"&amp;F104&amp;"-Pos2",'Shooter-Squad Assignment'!$Z:$Z,0)),""),"")))</f>
        <v/>
      </c>
      <c r="J104" s="88" t="str">
        <f>IF(ISBLANK(I104),"",IFERROR(INDEX('Tournament List'!$D:$D,MATCH(I104,'Tournament List'!$A:$A,0)),""))</f>
        <v/>
      </c>
      <c r="K104" s="96" t="str">
        <f>IF(F104="Skeet",IFERROR(INDEX('Shooter-Squad Assignment'!$A:$A,MATCH(C104&amp;"-"&amp;E104&amp;"-"&amp;F104&amp;"-Pos3",'Shooter-Squad Assignment'!$K:$K,0)),""),IF(F104="Trap",IFERROR(INDEX('Shooter-Squad Assignment'!$A:$A,MATCH(C104&amp;"-"&amp;E104&amp;"-"&amp;F104&amp;"-Pos3",'Shooter-Squad Assignment'!$W:$W,0)),""),IF(F104="Sporting Clays",IFERROR(INDEX('Shooter-Squad Assignment'!$A:$A,MATCH(C104&amp;"-"&amp;E104&amp;"-"&amp;F104&amp;"-Pos3",'Shooter-Squad Assignment'!$Z:$Z,0)),""),"")))</f>
        <v/>
      </c>
      <c r="L104" s="88" t="str">
        <f>IF(ISBLANK(K104),"",IFERROR(INDEX('Tournament List'!$D:$D,MATCH(K104,'Tournament List'!$A:$A,0)),""))</f>
        <v/>
      </c>
      <c r="M104" s="96" t="str">
        <f>IF(F104="Skeet",IFERROR(INDEX('Shooter-Squad Assignment'!$A:$A,MATCH(C104&amp;"-"&amp;E104&amp;"-"&amp;F104&amp;"-Pos4",'Shooter-Squad Assignment'!$K:$K,0)),""),IF(F104="Trap",IFERROR(INDEX('Shooter-Squad Assignment'!$A:$A,MATCH(C104&amp;"-"&amp;E104&amp;"-"&amp;F104&amp;"-Pos4",'Shooter-Squad Assignment'!$W:$W,0)),""),IF(F104="Sporting Clays",IFERROR(INDEX('Shooter-Squad Assignment'!$A:$A,MATCH(C104&amp;"-"&amp;E104&amp;"-"&amp;F104&amp;"-Pos4",'Shooter-Squad Assignment'!$Z:$Z,0)),""),"")))</f>
        <v/>
      </c>
      <c r="N104" s="88" t="str">
        <f>IF(ISBLANK(M104),"",IFERROR(INDEX('Tournament List'!$D:$D,MATCH(M104,'Tournament List'!$A:$A,0)),""))</f>
        <v/>
      </c>
      <c r="O104" s="96" t="str">
        <f>IF(F104="Skeet",IFERROR(INDEX('Shooter-Squad Assignment'!$A:$A,MATCH(C104&amp;"-"&amp;E104&amp;"-"&amp;F104&amp;"-Pos5",'Shooter-Squad Assignment'!$K:$K,0)),""),IF(F104="Trap",IFERROR(INDEX('Shooter-Squad Assignment'!$A:$A,MATCH(C104&amp;"-"&amp;E104&amp;"-"&amp;F104&amp;"-Pos5",'Shooter-Squad Assignment'!$W:$W,0)),""),IF(F104="Sporting Clays",IFERROR(INDEX('Shooter-Squad Assignment'!$A:$A,MATCH(C104&amp;"-"&amp;E104&amp;"-"&amp;F104&amp;"-Pos5",'Shooter-Squad Assignment'!$Z:$Z,0)),""),"")))</f>
        <v/>
      </c>
      <c r="P104" s="89" t="str">
        <f>IF(ISBLANK(O104),"",IFERROR(INDEX('Tournament List'!$D:$D,MATCH(O104,'Tournament List'!$A:$A,0)),""))</f>
        <v/>
      </c>
    </row>
    <row r="105" spans="1:16" x14ac:dyDescent="0.3">
      <c r="A105" s="87">
        <v>104</v>
      </c>
      <c r="B105" s="88" t="str">
        <f>C105&amp;"-"&amp;E105&amp;"-"&amp;F105</f>
        <v>Forge Christian Shooting Team-Junior Varsity 3-Trap</v>
      </c>
      <c r="C105" s="88" t="s">
        <v>321</v>
      </c>
      <c r="D105" s="88" t="str">
        <f>INDEX('Tournament Setup'!$B$59:$B$78,MATCH(E105,SquadConcurrents,0))</f>
        <v>Junior Varsity</v>
      </c>
      <c r="E105" s="88" t="s">
        <v>351</v>
      </c>
      <c r="F105" s="88" t="s">
        <v>147</v>
      </c>
      <c r="G105" s="96" t="str">
        <f>IF(F105="Skeet",IFERROR(INDEX('Shooter-Squad Assignment'!$A:$A,MATCH(C105&amp;"-"&amp;E105&amp;"-"&amp;F105&amp;"-Pos1",'Shooter-Squad Assignment'!$K:$K,0)),""),IF(F105="Trap",IFERROR(INDEX('Shooter-Squad Assignment'!$A:$A,MATCH(C105&amp;"-"&amp;E105&amp;"-"&amp;F105&amp;"-Pos1",'Shooter-Squad Assignment'!$W:$W,0)),""),IF(F105="Sporting Clays",IFERROR(INDEX('Shooter-Squad Assignment'!$A:$A,MATCH(C105&amp;"-"&amp;E105&amp;"-"&amp;F105&amp;"-Pos1",'Shooter-Squad Assignment'!$Z:$Z,0)),""),"")))</f>
        <v/>
      </c>
      <c r="H105" s="88" t="str">
        <f>IF(ISBLANK(G105),"",IFERROR(INDEX('Tournament List'!$D:$D,MATCH(G105,'Tournament List'!$A:$A,0)),""))</f>
        <v/>
      </c>
      <c r="I105" s="96" t="str">
        <f>IF(F105="Skeet",IFERROR(INDEX('Shooter-Squad Assignment'!$A:$A,MATCH(C105&amp;"-"&amp;E105&amp;"-"&amp;F105&amp;"-Pos2",'Shooter-Squad Assignment'!$K:$K,0)),""),IF(F105="Trap",IFERROR(INDEX('Shooter-Squad Assignment'!$A:$A,MATCH(C105&amp;"-"&amp;E105&amp;"-"&amp;F105&amp;"-Pos2",'Shooter-Squad Assignment'!$W:$W,0)),""),IF(F105="Sporting Clays",IFERROR(INDEX('Shooter-Squad Assignment'!$A:$A,MATCH(C105&amp;"-"&amp;E105&amp;"-"&amp;F105&amp;"-Pos2",'Shooter-Squad Assignment'!$Z:$Z,0)),""),"")))</f>
        <v/>
      </c>
      <c r="J105" s="88" t="str">
        <f>IF(ISBLANK(I105),"",IFERROR(INDEX('Tournament List'!$D:$D,MATCH(I105,'Tournament List'!$A:$A,0)),""))</f>
        <v/>
      </c>
      <c r="K105" s="96" t="str">
        <f>IF(F105="Skeet",IFERROR(INDEX('Shooter-Squad Assignment'!$A:$A,MATCH(C105&amp;"-"&amp;E105&amp;"-"&amp;F105&amp;"-Pos3",'Shooter-Squad Assignment'!$K:$K,0)),""),IF(F105="Trap",IFERROR(INDEX('Shooter-Squad Assignment'!$A:$A,MATCH(C105&amp;"-"&amp;E105&amp;"-"&amp;F105&amp;"-Pos3",'Shooter-Squad Assignment'!$W:$W,0)),""),IF(F105="Sporting Clays",IFERROR(INDEX('Shooter-Squad Assignment'!$A:$A,MATCH(C105&amp;"-"&amp;E105&amp;"-"&amp;F105&amp;"-Pos3",'Shooter-Squad Assignment'!$Z:$Z,0)),""),"")))</f>
        <v/>
      </c>
      <c r="L105" s="88" t="str">
        <f>IF(ISBLANK(K105),"",IFERROR(INDEX('Tournament List'!$D:$D,MATCH(K105,'Tournament List'!$A:$A,0)),""))</f>
        <v/>
      </c>
      <c r="M105" s="96" t="str">
        <f>IF(F105="Skeet",IFERROR(INDEX('Shooter-Squad Assignment'!$A:$A,MATCH(C105&amp;"-"&amp;E105&amp;"-"&amp;F105&amp;"-Pos4",'Shooter-Squad Assignment'!$K:$K,0)),""),IF(F105="Trap",IFERROR(INDEX('Shooter-Squad Assignment'!$A:$A,MATCH(C105&amp;"-"&amp;E105&amp;"-"&amp;F105&amp;"-Pos4",'Shooter-Squad Assignment'!$W:$W,0)),""),IF(F105="Sporting Clays",IFERROR(INDEX('Shooter-Squad Assignment'!$A:$A,MATCH(C105&amp;"-"&amp;E105&amp;"-"&amp;F105&amp;"-Pos4",'Shooter-Squad Assignment'!$Z:$Z,0)),""),"")))</f>
        <v/>
      </c>
      <c r="N105" s="88" t="str">
        <f>IF(ISBLANK(M105),"",IFERROR(INDEX('Tournament List'!$D:$D,MATCH(M105,'Tournament List'!$A:$A,0)),""))</f>
        <v/>
      </c>
      <c r="O105" s="96" t="str">
        <f>IF(F105="Skeet",IFERROR(INDEX('Shooter-Squad Assignment'!$A:$A,MATCH(C105&amp;"-"&amp;E105&amp;"-"&amp;F105&amp;"-Pos5",'Shooter-Squad Assignment'!$K:$K,0)),""),IF(F105="Trap",IFERROR(INDEX('Shooter-Squad Assignment'!$A:$A,MATCH(C105&amp;"-"&amp;E105&amp;"-"&amp;F105&amp;"-Pos5",'Shooter-Squad Assignment'!$W:$W,0)),""),IF(F105="Sporting Clays",IFERROR(INDEX('Shooter-Squad Assignment'!$A:$A,MATCH(C105&amp;"-"&amp;E105&amp;"-"&amp;F105&amp;"-Pos5",'Shooter-Squad Assignment'!$Z:$Z,0)),""),"")))</f>
        <v/>
      </c>
      <c r="P105" s="89" t="str">
        <f>IF(ISBLANK(O105),"",IFERROR(INDEX('Tournament List'!$D:$D,MATCH(O105,'Tournament List'!$A:$A,0)),""))</f>
        <v/>
      </c>
    </row>
    <row r="106" spans="1:16" x14ac:dyDescent="0.3">
      <c r="A106" s="87">
        <v>105</v>
      </c>
      <c r="B106" s="88" t="str">
        <f>C106&amp;"-"&amp;E106&amp;"-"&amp;F106</f>
        <v>Forge Christian Shooting Team-Novice 1-Trap</v>
      </c>
      <c r="C106" s="88" t="s">
        <v>321</v>
      </c>
      <c r="D106" s="88" t="str">
        <f>INDEX('Tournament Setup'!$B$59:$B$78,MATCH(E106,SquadConcurrents,0))</f>
        <v>Novice</v>
      </c>
      <c r="E106" s="88" t="s">
        <v>337</v>
      </c>
      <c r="F106" s="88" t="s">
        <v>147</v>
      </c>
      <c r="G106" s="96" t="str">
        <f>IF(F106="Skeet",IFERROR(INDEX('Shooter-Squad Assignment'!$A:$A,MATCH(C106&amp;"-"&amp;E106&amp;"-"&amp;F106&amp;"-Pos1",'Shooter-Squad Assignment'!$K:$K,0)),""),IF(F106="Trap",IFERROR(INDEX('Shooter-Squad Assignment'!$A:$A,MATCH(C106&amp;"-"&amp;E106&amp;"-"&amp;F106&amp;"-Pos1",'Shooter-Squad Assignment'!$W:$W,0)),""),IF(F106="Sporting Clays",IFERROR(INDEX('Shooter-Squad Assignment'!$A:$A,MATCH(C106&amp;"-"&amp;E106&amp;"-"&amp;F106&amp;"-Pos1",'Shooter-Squad Assignment'!$Z:$Z,0)),""),"")))</f>
        <v/>
      </c>
      <c r="H106" s="88" t="str">
        <f>IF(ISBLANK(G106),"",IFERROR(INDEX('Tournament List'!$D:$D,MATCH(G106,'Tournament List'!$A:$A,0)),""))</f>
        <v/>
      </c>
      <c r="I106" s="96" t="str">
        <f>IF(F106="Skeet",IFERROR(INDEX('Shooter-Squad Assignment'!$A:$A,MATCH(C106&amp;"-"&amp;E106&amp;"-"&amp;F106&amp;"-Pos2",'Shooter-Squad Assignment'!$K:$K,0)),""),IF(F106="Trap",IFERROR(INDEX('Shooter-Squad Assignment'!$A:$A,MATCH(C106&amp;"-"&amp;E106&amp;"-"&amp;F106&amp;"-Pos2",'Shooter-Squad Assignment'!$W:$W,0)),""),IF(F106="Sporting Clays",IFERROR(INDEX('Shooter-Squad Assignment'!$A:$A,MATCH(C106&amp;"-"&amp;E106&amp;"-"&amp;F106&amp;"-Pos2",'Shooter-Squad Assignment'!$Z:$Z,0)),""),"")))</f>
        <v/>
      </c>
      <c r="J106" s="88" t="str">
        <f>IF(ISBLANK(I106),"",IFERROR(INDEX('Tournament List'!$D:$D,MATCH(I106,'Tournament List'!$A:$A,0)),""))</f>
        <v/>
      </c>
      <c r="K106" s="96" t="str">
        <f>IF(F106="Skeet",IFERROR(INDEX('Shooter-Squad Assignment'!$A:$A,MATCH(C106&amp;"-"&amp;E106&amp;"-"&amp;F106&amp;"-Pos3",'Shooter-Squad Assignment'!$K:$K,0)),""),IF(F106="Trap",IFERROR(INDEX('Shooter-Squad Assignment'!$A:$A,MATCH(C106&amp;"-"&amp;E106&amp;"-"&amp;F106&amp;"-Pos3",'Shooter-Squad Assignment'!$W:$W,0)),""),IF(F106="Sporting Clays",IFERROR(INDEX('Shooter-Squad Assignment'!$A:$A,MATCH(C106&amp;"-"&amp;E106&amp;"-"&amp;F106&amp;"-Pos3",'Shooter-Squad Assignment'!$Z:$Z,0)),""),"")))</f>
        <v/>
      </c>
      <c r="L106" s="88" t="str">
        <f>IF(ISBLANK(K106),"",IFERROR(INDEX('Tournament List'!$D:$D,MATCH(K106,'Tournament List'!$A:$A,0)),""))</f>
        <v/>
      </c>
      <c r="M106" s="96" t="str">
        <f>IF(F106="Skeet",IFERROR(INDEX('Shooter-Squad Assignment'!$A:$A,MATCH(C106&amp;"-"&amp;E106&amp;"-"&amp;F106&amp;"-Pos4",'Shooter-Squad Assignment'!$K:$K,0)),""),IF(F106="Trap",IFERROR(INDEX('Shooter-Squad Assignment'!$A:$A,MATCH(C106&amp;"-"&amp;E106&amp;"-"&amp;F106&amp;"-Pos4",'Shooter-Squad Assignment'!$W:$W,0)),""),IF(F106="Sporting Clays",IFERROR(INDEX('Shooter-Squad Assignment'!$A:$A,MATCH(C106&amp;"-"&amp;E106&amp;"-"&amp;F106&amp;"-Pos4",'Shooter-Squad Assignment'!$Z:$Z,0)),""),"")))</f>
        <v/>
      </c>
      <c r="N106" s="88" t="str">
        <f>IF(ISBLANK(M106),"",IFERROR(INDEX('Tournament List'!$D:$D,MATCH(M106,'Tournament List'!$A:$A,0)),""))</f>
        <v/>
      </c>
      <c r="O106" s="96" t="str">
        <f>IF(F106="Skeet",IFERROR(INDEX('Shooter-Squad Assignment'!$A:$A,MATCH(C106&amp;"-"&amp;E106&amp;"-"&amp;F106&amp;"-Pos5",'Shooter-Squad Assignment'!$K:$K,0)),""),IF(F106="Trap",IFERROR(INDEX('Shooter-Squad Assignment'!$A:$A,MATCH(C106&amp;"-"&amp;E106&amp;"-"&amp;F106&amp;"-Pos5",'Shooter-Squad Assignment'!$W:$W,0)),""),IF(F106="Sporting Clays",IFERROR(INDEX('Shooter-Squad Assignment'!$A:$A,MATCH(C106&amp;"-"&amp;E106&amp;"-"&amp;F106&amp;"-Pos5",'Shooter-Squad Assignment'!$Z:$Z,0)),""),"")))</f>
        <v/>
      </c>
      <c r="P106" s="89" t="str">
        <f>IF(ISBLANK(O106),"",IFERROR(INDEX('Tournament List'!$D:$D,MATCH(O106,'Tournament List'!$A:$A,0)),""))</f>
        <v/>
      </c>
    </row>
    <row r="107" spans="1:16" x14ac:dyDescent="0.3">
      <c r="A107" s="87">
        <v>106</v>
      </c>
      <c r="B107" s="88" t="str">
        <f>C107&amp;"-"&amp;E107&amp;"-"&amp;F107</f>
        <v>Forge Christian Shooting Team-Novice 2-Trap</v>
      </c>
      <c r="C107" s="88" t="s">
        <v>321</v>
      </c>
      <c r="D107" s="88" t="str">
        <f>INDEX('Tournament Setup'!$B$59:$B$78,MATCH(E107,SquadConcurrents,0))</f>
        <v>Novice</v>
      </c>
      <c r="E107" s="88" t="s">
        <v>343</v>
      </c>
      <c r="F107" s="88" t="s">
        <v>147</v>
      </c>
      <c r="G107" s="96" t="str">
        <f>IF(F107="Skeet",IFERROR(INDEX('Shooter-Squad Assignment'!$A:$A,MATCH(C107&amp;"-"&amp;E107&amp;"-"&amp;F107&amp;"-Pos1",'Shooter-Squad Assignment'!$K:$K,0)),""),IF(F107="Trap",IFERROR(INDEX('Shooter-Squad Assignment'!$A:$A,MATCH(C107&amp;"-"&amp;E107&amp;"-"&amp;F107&amp;"-Pos1",'Shooter-Squad Assignment'!$W:$W,0)),""),IF(F107="Sporting Clays",IFERROR(INDEX('Shooter-Squad Assignment'!$A:$A,MATCH(C107&amp;"-"&amp;E107&amp;"-"&amp;F107&amp;"-Pos1",'Shooter-Squad Assignment'!$Z:$Z,0)),""),"")))</f>
        <v/>
      </c>
      <c r="H107" s="88" t="str">
        <f>IF(ISBLANK(G107),"",IFERROR(INDEX('Tournament List'!$D:$D,MATCH(G107,'Tournament List'!$A:$A,0)),""))</f>
        <v/>
      </c>
      <c r="I107" s="96" t="str">
        <f>IF(F107="Skeet",IFERROR(INDEX('Shooter-Squad Assignment'!$A:$A,MATCH(C107&amp;"-"&amp;E107&amp;"-"&amp;F107&amp;"-Pos2",'Shooter-Squad Assignment'!$K:$K,0)),""),IF(F107="Trap",IFERROR(INDEX('Shooter-Squad Assignment'!$A:$A,MATCH(C107&amp;"-"&amp;E107&amp;"-"&amp;F107&amp;"-Pos2",'Shooter-Squad Assignment'!$W:$W,0)),""),IF(F107="Sporting Clays",IFERROR(INDEX('Shooter-Squad Assignment'!$A:$A,MATCH(C107&amp;"-"&amp;E107&amp;"-"&amp;F107&amp;"-Pos2",'Shooter-Squad Assignment'!$Z:$Z,0)),""),"")))</f>
        <v/>
      </c>
      <c r="J107" s="88" t="str">
        <f>IF(ISBLANK(I107),"",IFERROR(INDEX('Tournament List'!$D:$D,MATCH(I107,'Tournament List'!$A:$A,0)),""))</f>
        <v/>
      </c>
      <c r="K107" s="96" t="str">
        <f>IF(F107="Skeet",IFERROR(INDEX('Shooter-Squad Assignment'!$A:$A,MATCH(C107&amp;"-"&amp;E107&amp;"-"&amp;F107&amp;"-Pos3",'Shooter-Squad Assignment'!$K:$K,0)),""),IF(F107="Trap",IFERROR(INDEX('Shooter-Squad Assignment'!$A:$A,MATCH(C107&amp;"-"&amp;E107&amp;"-"&amp;F107&amp;"-Pos3",'Shooter-Squad Assignment'!$W:$W,0)),""),IF(F107="Sporting Clays",IFERROR(INDEX('Shooter-Squad Assignment'!$A:$A,MATCH(C107&amp;"-"&amp;E107&amp;"-"&amp;F107&amp;"-Pos3",'Shooter-Squad Assignment'!$Z:$Z,0)),""),"")))</f>
        <v/>
      </c>
      <c r="L107" s="88" t="str">
        <f>IF(ISBLANK(K107),"",IFERROR(INDEX('Tournament List'!$D:$D,MATCH(K107,'Tournament List'!$A:$A,0)),""))</f>
        <v/>
      </c>
      <c r="M107" s="96" t="str">
        <f>IF(F107="Skeet",IFERROR(INDEX('Shooter-Squad Assignment'!$A:$A,MATCH(C107&amp;"-"&amp;E107&amp;"-"&amp;F107&amp;"-Pos4",'Shooter-Squad Assignment'!$K:$K,0)),""),IF(F107="Trap",IFERROR(INDEX('Shooter-Squad Assignment'!$A:$A,MATCH(C107&amp;"-"&amp;E107&amp;"-"&amp;F107&amp;"-Pos4",'Shooter-Squad Assignment'!$W:$W,0)),""),IF(F107="Sporting Clays",IFERROR(INDEX('Shooter-Squad Assignment'!$A:$A,MATCH(C107&amp;"-"&amp;E107&amp;"-"&amp;F107&amp;"-Pos4",'Shooter-Squad Assignment'!$Z:$Z,0)),""),"")))</f>
        <v/>
      </c>
      <c r="N107" s="88" t="str">
        <f>IF(ISBLANK(M107),"",IFERROR(INDEX('Tournament List'!$D:$D,MATCH(M107,'Tournament List'!$A:$A,0)),""))</f>
        <v/>
      </c>
      <c r="O107" s="96" t="str">
        <f>IF(F107="Skeet",IFERROR(INDEX('Shooter-Squad Assignment'!$A:$A,MATCH(C107&amp;"-"&amp;E107&amp;"-"&amp;F107&amp;"-Pos5",'Shooter-Squad Assignment'!$K:$K,0)),""),IF(F107="Trap",IFERROR(INDEX('Shooter-Squad Assignment'!$A:$A,MATCH(C107&amp;"-"&amp;E107&amp;"-"&amp;F107&amp;"-Pos5",'Shooter-Squad Assignment'!$W:$W,0)),""),IF(F107="Sporting Clays",IFERROR(INDEX('Shooter-Squad Assignment'!$A:$A,MATCH(C107&amp;"-"&amp;E107&amp;"-"&amp;F107&amp;"-Pos5",'Shooter-Squad Assignment'!$Z:$Z,0)),""),"")))</f>
        <v/>
      </c>
      <c r="P107" s="89" t="str">
        <f>IF(ISBLANK(O107),"",IFERROR(INDEX('Tournament List'!$D:$D,MATCH(O107,'Tournament List'!$A:$A,0)),""))</f>
        <v/>
      </c>
    </row>
    <row r="108" spans="1:16" x14ac:dyDescent="0.3">
      <c r="A108" s="87">
        <v>107</v>
      </c>
      <c r="B108" s="88" t="str">
        <f>C108&amp;"-"&amp;E108&amp;"-"&amp;F108</f>
        <v>Forge Christian Shooting Team-Novice 3-Trap</v>
      </c>
      <c r="C108" s="88" t="s">
        <v>321</v>
      </c>
      <c r="D108" s="88" t="str">
        <f>INDEX('Tournament Setup'!$B$59:$B$78,MATCH(E108,SquadConcurrents,0))</f>
        <v>Novice</v>
      </c>
      <c r="E108" s="88" t="s">
        <v>349</v>
      </c>
      <c r="F108" s="88" t="s">
        <v>147</v>
      </c>
      <c r="G108" s="96" t="str">
        <f>IF(F108="Skeet",IFERROR(INDEX('Shooter-Squad Assignment'!$A:$A,MATCH(C108&amp;"-"&amp;E108&amp;"-"&amp;F108&amp;"-Pos1",'Shooter-Squad Assignment'!$K:$K,0)),""),IF(F108="Trap",IFERROR(INDEX('Shooter-Squad Assignment'!$A:$A,MATCH(C108&amp;"-"&amp;E108&amp;"-"&amp;F108&amp;"-Pos1",'Shooter-Squad Assignment'!$W:$W,0)),""),IF(F108="Sporting Clays",IFERROR(INDEX('Shooter-Squad Assignment'!$A:$A,MATCH(C108&amp;"-"&amp;E108&amp;"-"&amp;F108&amp;"-Pos1",'Shooter-Squad Assignment'!$Z:$Z,0)),""),"")))</f>
        <v/>
      </c>
      <c r="H108" s="88" t="str">
        <f>IF(ISBLANK(G108),"",IFERROR(INDEX('Tournament List'!$D:$D,MATCH(G108,'Tournament List'!$A:$A,0)),""))</f>
        <v/>
      </c>
      <c r="I108" s="96" t="str">
        <f>IF(F108="Skeet",IFERROR(INDEX('Shooter-Squad Assignment'!$A:$A,MATCH(C108&amp;"-"&amp;E108&amp;"-"&amp;F108&amp;"-Pos2",'Shooter-Squad Assignment'!$K:$K,0)),""),IF(F108="Trap",IFERROR(INDEX('Shooter-Squad Assignment'!$A:$A,MATCH(C108&amp;"-"&amp;E108&amp;"-"&amp;F108&amp;"-Pos2",'Shooter-Squad Assignment'!$W:$W,0)),""),IF(F108="Sporting Clays",IFERROR(INDEX('Shooter-Squad Assignment'!$A:$A,MATCH(C108&amp;"-"&amp;E108&amp;"-"&amp;F108&amp;"-Pos2",'Shooter-Squad Assignment'!$Z:$Z,0)),""),"")))</f>
        <v/>
      </c>
      <c r="J108" s="88" t="str">
        <f>IF(ISBLANK(I108),"",IFERROR(INDEX('Tournament List'!$D:$D,MATCH(I108,'Tournament List'!$A:$A,0)),""))</f>
        <v/>
      </c>
      <c r="K108" s="96" t="str">
        <f>IF(F108="Skeet",IFERROR(INDEX('Shooter-Squad Assignment'!$A:$A,MATCH(C108&amp;"-"&amp;E108&amp;"-"&amp;F108&amp;"-Pos3",'Shooter-Squad Assignment'!$K:$K,0)),""),IF(F108="Trap",IFERROR(INDEX('Shooter-Squad Assignment'!$A:$A,MATCH(C108&amp;"-"&amp;E108&amp;"-"&amp;F108&amp;"-Pos3",'Shooter-Squad Assignment'!$W:$W,0)),""),IF(F108="Sporting Clays",IFERROR(INDEX('Shooter-Squad Assignment'!$A:$A,MATCH(C108&amp;"-"&amp;E108&amp;"-"&amp;F108&amp;"-Pos3",'Shooter-Squad Assignment'!$Z:$Z,0)),""),"")))</f>
        <v/>
      </c>
      <c r="L108" s="88" t="str">
        <f>IF(ISBLANK(K108),"",IFERROR(INDEX('Tournament List'!$D:$D,MATCH(K108,'Tournament List'!$A:$A,0)),""))</f>
        <v/>
      </c>
      <c r="M108" s="96" t="str">
        <f>IF(F108="Skeet",IFERROR(INDEX('Shooter-Squad Assignment'!$A:$A,MATCH(C108&amp;"-"&amp;E108&amp;"-"&amp;F108&amp;"-Pos4",'Shooter-Squad Assignment'!$K:$K,0)),""),IF(F108="Trap",IFERROR(INDEX('Shooter-Squad Assignment'!$A:$A,MATCH(C108&amp;"-"&amp;E108&amp;"-"&amp;F108&amp;"-Pos4",'Shooter-Squad Assignment'!$W:$W,0)),""),IF(F108="Sporting Clays",IFERROR(INDEX('Shooter-Squad Assignment'!$A:$A,MATCH(C108&amp;"-"&amp;E108&amp;"-"&amp;F108&amp;"-Pos4",'Shooter-Squad Assignment'!$Z:$Z,0)),""),"")))</f>
        <v/>
      </c>
      <c r="N108" s="88" t="str">
        <f>IF(ISBLANK(M108),"",IFERROR(INDEX('Tournament List'!$D:$D,MATCH(M108,'Tournament List'!$A:$A,0)),""))</f>
        <v/>
      </c>
      <c r="O108" s="96" t="str">
        <f>IF(F108="Skeet",IFERROR(INDEX('Shooter-Squad Assignment'!$A:$A,MATCH(C108&amp;"-"&amp;E108&amp;"-"&amp;F108&amp;"-Pos5",'Shooter-Squad Assignment'!$K:$K,0)),""),IF(F108="Trap",IFERROR(INDEX('Shooter-Squad Assignment'!$A:$A,MATCH(C108&amp;"-"&amp;E108&amp;"-"&amp;F108&amp;"-Pos5",'Shooter-Squad Assignment'!$W:$W,0)),""),IF(F108="Sporting Clays",IFERROR(INDEX('Shooter-Squad Assignment'!$A:$A,MATCH(C108&amp;"-"&amp;E108&amp;"-"&amp;F108&amp;"-Pos5",'Shooter-Squad Assignment'!$Z:$Z,0)),""),"")))</f>
        <v/>
      </c>
      <c r="P108" s="89" t="str">
        <f>IF(ISBLANK(O108),"",IFERROR(INDEX('Tournament List'!$D:$D,MATCH(O108,'Tournament List'!$A:$A,0)),""))</f>
        <v/>
      </c>
    </row>
    <row r="109" spans="1:16" x14ac:dyDescent="0.3">
      <c r="A109" s="87">
        <v>108</v>
      </c>
      <c r="B109" s="88" t="str">
        <f>C109&amp;"-"&amp;E109&amp;"-"&amp;F109</f>
        <v>Forge Christian Shooting Team-Open 1-Trap</v>
      </c>
      <c r="C109" s="88" t="s">
        <v>321</v>
      </c>
      <c r="D109" s="88" t="str">
        <f>INDEX('Tournament Setup'!$B$59:$B$78,MATCH(E109,SquadConcurrents,0))</f>
        <v>Open</v>
      </c>
      <c r="E109" s="88" t="s">
        <v>341</v>
      </c>
      <c r="F109" s="88" t="s">
        <v>147</v>
      </c>
      <c r="G109" s="96" t="str">
        <f>IF(F109="Skeet",IFERROR(INDEX('Shooter-Squad Assignment'!$A:$A,MATCH(C109&amp;"-"&amp;E109&amp;"-"&amp;F109&amp;"-Pos1",'Shooter-Squad Assignment'!$K:$K,0)),""),IF(F109="Trap",IFERROR(INDEX('Shooter-Squad Assignment'!$A:$A,MATCH(C109&amp;"-"&amp;E109&amp;"-"&amp;F109&amp;"-Pos1",'Shooter-Squad Assignment'!$W:$W,0)),""),IF(F109="Sporting Clays",IFERROR(INDEX('Shooter-Squad Assignment'!$A:$A,MATCH(C109&amp;"-"&amp;E109&amp;"-"&amp;F109&amp;"-Pos1",'Shooter-Squad Assignment'!$Z:$Z,0)),""),"")))</f>
        <v/>
      </c>
      <c r="H109" s="88" t="str">
        <f>IF(ISBLANK(G109),"",IFERROR(INDEX('Tournament List'!$D:$D,MATCH(G109,'Tournament List'!$A:$A,0)),""))</f>
        <v/>
      </c>
      <c r="I109" s="96" t="str">
        <f>IF(F109="Skeet",IFERROR(INDEX('Shooter-Squad Assignment'!$A:$A,MATCH(C109&amp;"-"&amp;E109&amp;"-"&amp;F109&amp;"-Pos2",'Shooter-Squad Assignment'!$K:$K,0)),""),IF(F109="Trap",IFERROR(INDEX('Shooter-Squad Assignment'!$A:$A,MATCH(C109&amp;"-"&amp;E109&amp;"-"&amp;F109&amp;"-Pos2",'Shooter-Squad Assignment'!$W:$W,0)),""),IF(F109="Sporting Clays",IFERROR(INDEX('Shooter-Squad Assignment'!$A:$A,MATCH(C109&amp;"-"&amp;E109&amp;"-"&amp;F109&amp;"-Pos2",'Shooter-Squad Assignment'!$Z:$Z,0)),""),"")))</f>
        <v/>
      </c>
      <c r="J109" s="88" t="str">
        <f>IF(ISBLANK(I109),"",IFERROR(INDEX('Tournament List'!$D:$D,MATCH(I109,'Tournament List'!$A:$A,0)),""))</f>
        <v/>
      </c>
      <c r="K109" s="96" t="str">
        <f>IF(F109="Skeet",IFERROR(INDEX('Shooter-Squad Assignment'!$A:$A,MATCH(C109&amp;"-"&amp;E109&amp;"-"&amp;F109&amp;"-Pos3",'Shooter-Squad Assignment'!$K:$K,0)),""),IF(F109="Trap",IFERROR(INDEX('Shooter-Squad Assignment'!$A:$A,MATCH(C109&amp;"-"&amp;E109&amp;"-"&amp;F109&amp;"-Pos3",'Shooter-Squad Assignment'!$W:$W,0)),""),IF(F109="Sporting Clays",IFERROR(INDEX('Shooter-Squad Assignment'!$A:$A,MATCH(C109&amp;"-"&amp;E109&amp;"-"&amp;F109&amp;"-Pos3",'Shooter-Squad Assignment'!$Z:$Z,0)),""),"")))</f>
        <v/>
      </c>
      <c r="L109" s="88" t="str">
        <f>IF(ISBLANK(K109),"",IFERROR(INDEX('Tournament List'!$D:$D,MATCH(K109,'Tournament List'!$A:$A,0)),""))</f>
        <v/>
      </c>
      <c r="M109" s="96" t="str">
        <f>IF(F109="Skeet",IFERROR(INDEX('Shooter-Squad Assignment'!$A:$A,MATCH(C109&amp;"-"&amp;E109&amp;"-"&amp;F109&amp;"-Pos4",'Shooter-Squad Assignment'!$K:$K,0)),""),IF(F109="Trap",IFERROR(INDEX('Shooter-Squad Assignment'!$A:$A,MATCH(C109&amp;"-"&amp;E109&amp;"-"&amp;F109&amp;"-Pos4",'Shooter-Squad Assignment'!$W:$W,0)),""),IF(F109="Sporting Clays",IFERROR(INDEX('Shooter-Squad Assignment'!$A:$A,MATCH(C109&amp;"-"&amp;E109&amp;"-"&amp;F109&amp;"-Pos4",'Shooter-Squad Assignment'!$Z:$Z,0)),""),"")))</f>
        <v/>
      </c>
      <c r="N109" s="88" t="str">
        <f>IF(ISBLANK(M109),"",IFERROR(INDEX('Tournament List'!$D:$D,MATCH(M109,'Tournament List'!$A:$A,0)),""))</f>
        <v/>
      </c>
      <c r="O109" s="96" t="str">
        <f>IF(F109="Skeet",IFERROR(INDEX('Shooter-Squad Assignment'!$A:$A,MATCH(C109&amp;"-"&amp;E109&amp;"-"&amp;F109&amp;"-Pos5",'Shooter-Squad Assignment'!$K:$K,0)),""),IF(F109="Trap",IFERROR(INDEX('Shooter-Squad Assignment'!$A:$A,MATCH(C109&amp;"-"&amp;E109&amp;"-"&amp;F109&amp;"-Pos5",'Shooter-Squad Assignment'!$W:$W,0)),""),IF(F109="Sporting Clays",IFERROR(INDEX('Shooter-Squad Assignment'!$A:$A,MATCH(C109&amp;"-"&amp;E109&amp;"-"&amp;F109&amp;"-Pos5",'Shooter-Squad Assignment'!$Z:$Z,0)),""),"")))</f>
        <v/>
      </c>
      <c r="P109" s="89" t="str">
        <f>IF(ISBLANK(O109),"",IFERROR(INDEX('Tournament List'!$D:$D,MATCH(O109,'Tournament List'!$A:$A,0)),""))</f>
        <v/>
      </c>
    </row>
    <row r="110" spans="1:16" x14ac:dyDescent="0.3">
      <c r="A110" s="87">
        <v>109</v>
      </c>
      <c r="B110" s="88" t="str">
        <f>C110&amp;"-"&amp;E110&amp;"-"&amp;F110</f>
        <v>Forge Christian Shooting Team-Open 2-Trap</v>
      </c>
      <c r="C110" s="88" t="s">
        <v>321</v>
      </c>
      <c r="D110" s="88" t="str">
        <f>INDEX('Tournament Setup'!$B$59:$B$78,MATCH(E110,SquadConcurrents,0))</f>
        <v>Open</v>
      </c>
      <c r="E110" s="88" t="s">
        <v>347</v>
      </c>
      <c r="F110" s="88" t="s">
        <v>147</v>
      </c>
      <c r="G110" s="96" t="str">
        <f>IF(F110="Skeet",IFERROR(INDEX('Shooter-Squad Assignment'!$A:$A,MATCH(C110&amp;"-"&amp;E110&amp;"-"&amp;F110&amp;"-Pos1",'Shooter-Squad Assignment'!$K:$K,0)),""),IF(F110="Trap",IFERROR(INDEX('Shooter-Squad Assignment'!$A:$A,MATCH(C110&amp;"-"&amp;E110&amp;"-"&amp;F110&amp;"-Pos1",'Shooter-Squad Assignment'!$W:$W,0)),""),IF(F110="Sporting Clays",IFERROR(INDEX('Shooter-Squad Assignment'!$A:$A,MATCH(C110&amp;"-"&amp;E110&amp;"-"&amp;F110&amp;"-Pos1",'Shooter-Squad Assignment'!$Z:$Z,0)),""),"")))</f>
        <v/>
      </c>
      <c r="H110" s="88" t="str">
        <f>IF(ISBLANK(G110),"",IFERROR(INDEX('Tournament List'!$D:$D,MATCH(G110,'Tournament List'!$A:$A,0)),""))</f>
        <v/>
      </c>
      <c r="I110" s="96" t="str">
        <f>IF(F110="Skeet",IFERROR(INDEX('Shooter-Squad Assignment'!$A:$A,MATCH(C110&amp;"-"&amp;E110&amp;"-"&amp;F110&amp;"-Pos2",'Shooter-Squad Assignment'!$K:$K,0)),""),IF(F110="Trap",IFERROR(INDEX('Shooter-Squad Assignment'!$A:$A,MATCH(C110&amp;"-"&amp;E110&amp;"-"&amp;F110&amp;"-Pos2",'Shooter-Squad Assignment'!$W:$W,0)),""),IF(F110="Sporting Clays",IFERROR(INDEX('Shooter-Squad Assignment'!$A:$A,MATCH(C110&amp;"-"&amp;E110&amp;"-"&amp;F110&amp;"-Pos2",'Shooter-Squad Assignment'!$Z:$Z,0)),""),"")))</f>
        <v/>
      </c>
      <c r="J110" s="88" t="str">
        <f>IF(ISBLANK(I110),"",IFERROR(INDEX('Tournament List'!$D:$D,MATCH(I110,'Tournament List'!$A:$A,0)),""))</f>
        <v/>
      </c>
      <c r="K110" s="96" t="str">
        <f>IF(F110="Skeet",IFERROR(INDEX('Shooter-Squad Assignment'!$A:$A,MATCH(C110&amp;"-"&amp;E110&amp;"-"&amp;F110&amp;"-Pos3",'Shooter-Squad Assignment'!$K:$K,0)),""),IF(F110="Trap",IFERROR(INDEX('Shooter-Squad Assignment'!$A:$A,MATCH(C110&amp;"-"&amp;E110&amp;"-"&amp;F110&amp;"-Pos3",'Shooter-Squad Assignment'!$W:$W,0)),""),IF(F110="Sporting Clays",IFERROR(INDEX('Shooter-Squad Assignment'!$A:$A,MATCH(C110&amp;"-"&amp;E110&amp;"-"&amp;F110&amp;"-Pos3",'Shooter-Squad Assignment'!$Z:$Z,0)),""),"")))</f>
        <v/>
      </c>
      <c r="L110" s="88" t="str">
        <f>IF(ISBLANK(K110),"",IFERROR(INDEX('Tournament List'!$D:$D,MATCH(K110,'Tournament List'!$A:$A,0)),""))</f>
        <v/>
      </c>
      <c r="M110" s="96" t="str">
        <f>IF(F110="Skeet",IFERROR(INDEX('Shooter-Squad Assignment'!$A:$A,MATCH(C110&amp;"-"&amp;E110&amp;"-"&amp;F110&amp;"-Pos4",'Shooter-Squad Assignment'!$K:$K,0)),""),IF(F110="Trap",IFERROR(INDEX('Shooter-Squad Assignment'!$A:$A,MATCH(C110&amp;"-"&amp;E110&amp;"-"&amp;F110&amp;"-Pos4",'Shooter-Squad Assignment'!$W:$W,0)),""),IF(F110="Sporting Clays",IFERROR(INDEX('Shooter-Squad Assignment'!$A:$A,MATCH(C110&amp;"-"&amp;E110&amp;"-"&amp;F110&amp;"-Pos4",'Shooter-Squad Assignment'!$Z:$Z,0)),""),"")))</f>
        <v/>
      </c>
      <c r="N110" s="88" t="str">
        <f>IF(ISBLANK(M110),"",IFERROR(INDEX('Tournament List'!$D:$D,MATCH(M110,'Tournament List'!$A:$A,0)),""))</f>
        <v/>
      </c>
      <c r="O110" s="96" t="str">
        <f>IF(F110="Skeet",IFERROR(INDEX('Shooter-Squad Assignment'!$A:$A,MATCH(C110&amp;"-"&amp;E110&amp;"-"&amp;F110&amp;"-Pos5",'Shooter-Squad Assignment'!$K:$K,0)),""),IF(F110="Trap",IFERROR(INDEX('Shooter-Squad Assignment'!$A:$A,MATCH(C110&amp;"-"&amp;E110&amp;"-"&amp;F110&amp;"-Pos5",'Shooter-Squad Assignment'!$W:$W,0)),""),IF(F110="Sporting Clays",IFERROR(INDEX('Shooter-Squad Assignment'!$A:$A,MATCH(C110&amp;"-"&amp;E110&amp;"-"&amp;F110&amp;"-Pos5",'Shooter-Squad Assignment'!$Z:$Z,0)),""),"")))</f>
        <v/>
      </c>
      <c r="P110" s="89" t="str">
        <f>IF(ISBLANK(O110),"",IFERROR(INDEX('Tournament List'!$D:$D,MATCH(O110,'Tournament List'!$A:$A,0)),""))</f>
        <v/>
      </c>
    </row>
    <row r="111" spans="1:16" x14ac:dyDescent="0.3">
      <c r="A111" s="87">
        <v>110</v>
      </c>
      <c r="B111" s="88" t="str">
        <f>C111&amp;"-"&amp;E111&amp;"-"&amp;F111</f>
        <v>Forge Christian Shooting Team-Open 3-Trap</v>
      </c>
      <c r="C111" s="88" t="s">
        <v>321</v>
      </c>
      <c r="D111" s="88" t="str">
        <f>INDEX('Tournament Setup'!$B$59:$B$78,MATCH(E111,SquadConcurrents,0))</f>
        <v>Open</v>
      </c>
      <c r="E111" s="88" t="s">
        <v>353</v>
      </c>
      <c r="F111" s="88" t="s">
        <v>147</v>
      </c>
      <c r="G111" s="96" t="str">
        <f>IF(F111="Skeet",IFERROR(INDEX('Shooter-Squad Assignment'!$A:$A,MATCH(C111&amp;"-"&amp;E111&amp;"-"&amp;F111&amp;"-Pos1",'Shooter-Squad Assignment'!$K:$K,0)),""),IF(F111="Trap",IFERROR(INDEX('Shooter-Squad Assignment'!$A:$A,MATCH(C111&amp;"-"&amp;E111&amp;"-"&amp;F111&amp;"-Pos1",'Shooter-Squad Assignment'!$W:$W,0)),""),IF(F111="Sporting Clays",IFERROR(INDEX('Shooter-Squad Assignment'!$A:$A,MATCH(C111&amp;"-"&amp;E111&amp;"-"&amp;F111&amp;"-Pos1",'Shooter-Squad Assignment'!$Z:$Z,0)),""),"")))</f>
        <v/>
      </c>
      <c r="H111" s="88" t="str">
        <f>IF(ISBLANK(G111),"",IFERROR(INDEX('Tournament List'!$D:$D,MATCH(G111,'Tournament List'!$A:$A,0)),""))</f>
        <v/>
      </c>
      <c r="I111" s="96" t="str">
        <f>IF(F111="Skeet",IFERROR(INDEX('Shooter-Squad Assignment'!$A:$A,MATCH(C111&amp;"-"&amp;E111&amp;"-"&amp;F111&amp;"-Pos2",'Shooter-Squad Assignment'!$K:$K,0)),""),IF(F111="Trap",IFERROR(INDEX('Shooter-Squad Assignment'!$A:$A,MATCH(C111&amp;"-"&amp;E111&amp;"-"&amp;F111&amp;"-Pos2",'Shooter-Squad Assignment'!$W:$W,0)),""),IF(F111="Sporting Clays",IFERROR(INDEX('Shooter-Squad Assignment'!$A:$A,MATCH(C111&amp;"-"&amp;E111&amp;"-"&amp;F111&amp;"-Pos2",'Shooter-Squad Assignment'!$Z:$Z,0)),""),"")))</f>
        <v/>
      </c>
      <c r="J111" s="88" t="str">
        <f>IF(ISBLANK(I111),"",IFERROR(INDEX('Tournament List'!$D:$D,MATCH(I111,'Tournament List'!$A:$A,0)),""))</f>
        <v/>
      </c>
      <c r="K111" s="96" t="str">
        <f>IF(F111="Skeet",IFERROR(INDEX('Shooter-Squad Assignment'!$A:$A,MATCH(C111&amp;"-"&amp;E111&amp;"-"&amp;F111&amp;"-Pos3",'Shooter-Squad Assignment'!$K:$K,0)),""),IF(F111="Trap",IFERROR(INDEX('Shooter-Squad Assignment'!$A:$A,MATCH(C111&amp;"-"&amp;E111&amp;"-"&amp;F111&amp;"-Pos3",'Shooter-Squad Assignment'!$W:$W,0)),""),IF(F111="Sporting Clays",IFERROR(INDEX('Shooter-Squad Assignment'!$A:$A,MATCH(C111&amp;"-"&amp;E111&amp;"-"&amp;F111&amp;"-Pos3",'Shooter-Squad Assignment'!$Z:$Z,0)),""),"")))</f>
        <v/>
      </c>
      <c r="L111" s="88" t="str">
        <f>IF(ISBLANK(K111),"",IFERROR(INDEX('Tournament List'!$D:$D,MATCH(K111,'Tournament List'!$A:$A,0)),""))</f>
        <v/>
      </c>
      <c r="M111" s="96" t="str">
        <f>IF(F111="Skeet",IFERROR(INDEX('Shooter-Squad Assignment'!$A:$A,MATCH(C111&amp;"-"&amp;E111&amp;"-"&amp;F111&amp;"-Pos4",'Shooter-Squad Assignment'!$K:$K,0)),""),IF(F111="Trap",IFERROR(INDEX('Shooter-Squad Assignment'!$A:$A,MATCH(C111&amp;"-"&amp;E111&amp;"-"&amp;F111&amp;"-Pos4",'Shooter-Squad Assignment'!$W:$W,0)),""),IF(F111="Sporting Clays",IFERROR(INDEX('Shooter-Squad Assignment'!$A:$A,MATCH(C111&amp;"-"&amp;E111&amp;"-"&amp;F111&amp;"-Pos4",'Shooter-Squad Assignment'!$Z:$Z,0)),""),"")))</f>
        <v/>
      </c>
      <c r="N111" s="88" t="str">
        <f>IF(ISBLANK(M111),"",IFERROR(INDEX('Tournament List'!$D:$D,MATCH(M111,'Tournament List'!$A:$A,0)),""))</f>
        <v/>
      </c>
      <c r="O111" s="96" t="str">
        <f>IF(F111="Skeet",IFERROR(INDEX('Shooter-Squad Assignment'!$A:$A,MATCH(C111&amp;"-"&amp;E111&amp;"-"&amp;F111&amp;"-Pos5",'Shooter-Squad Assignment'!$K:$K,0)),""),IF(F111="Trap",IFERROR(INDEX('Shooter-Squad Assignment'!$A:$A,MATCH(C111&amp;"-"&amp;E111&amp;"-"&amp;F111&amp;"-Pos5",'Shooter-Squad Assignment'!$W:$W,0)),""),IF(F111="Sporting Clays",IFERROR(INDEX('Shooter-Squad Assignment'!$A:$A,MATCH(C111&amp;"-"&amp;E111&amp;"-"&amp;F111&amp;"-Pos5",'Shooter-Squad Assignment'!$Z:$Z,0)),""),"")))</f>
        <v/>
      </c>
      <c r="P111" s="89" t="str">
        <f>IF(ISBLANK(O111),"",IFERROR(INDEX('Tournament List'!$D:$D,MATCH(O111,'Tournament List'!$A:$A,0)),""))</f>
        <v/>
      </c>
    </row>
    <row r="112" spans="1:16" x14ac:dyDescent="0.3">
      <c r="A112" s="87">
        <v>111</v>
      </c>
      <c r="B112" s="88" t="str">
        <f>C112&amp;"-"&amp;E112&amp;"-"&amp;F112</f>
        <v>Forge Christian Shooting Team-Unassigned 1-Trap</v>
      </c>
      <c r="C112" s="88" t="s">
        <v>321</v>
      </c>
      <c r="D112" s="88" t="str">
        <f>INDEX('Tournament Setup'!$B$59:$B$78,MATCH(E112,SquadConcurrents,0))</f>
        <v>Unassigned</v>
      </c>
      <c r="E112" s="88" t="s">
        <v>762</v>
      </c>
      <c r="F112" s="88" t="s">
        <v>147</v>
      </c>
      <c r="G112" s="96" t="str">
        <f>IF(F112="Skeet",IFERROR(INDEX('Shooter-Squad Assignment'!$A:$A,MATCH(C112&amp;"-"&amp;E112&amp;"-"&amp;F112&amp;"-Pos1",'Shooter-Squad Assignment'!$K:$K,0)),""),IF(F112="Trap",IFERROR(INDEX('Shooter-Squad Assignment'!$A:$A,MATCH(C112&amp;"-"&amp;E112&amp;"-"&amp;F112&amp;"-Pos1",'Shooter-Squad Assignment'!$W:$W,0)),""),IF(F112="Sporting Clays",IFERROR(INDEX('Shooter-Squad Assignment'!$A:$A,MATCH(C112&amp;"-"&amp;E112&amp;"-"&amp;F112&amp;"-Pos1",'Shooter-Squad Assignment'!$Z:$Z,0)),""),"")))</f>
        <v/>
      </c>
      <c r="H112" s="88" t="str">
        <f>IF(ISBLANK(G112),"",IFERROR(INDEX('Tournament List'!$D:$D,MATCH(G112,'Tournament List'!$A:$A,0)),""))</f>
        <v/>
      </c>
      <c r="I112" s="96" t="str">
        <f>IF(F112="Skeet",IFERROR(INDEX('Shooter-Squad Assignment'!$A:$A,MATCH(C112&amp;"-"&amp;E112&amp;"-"&amp;F112&amp;"-Pos2",'Shooter-Squad Assignment'!$K:$K,0)),""),IF(F112="Trap",IFERROR(INDEX('Shooter-Squad Assignment'!$A:$A,MATCH(C112&amp;"-"&amp;E112&amp;"-"&amp;F112&amp;"-Pos2",'Shooter-Squad Assignment'!$W:$W,0)),""),IF(F112="Sporting Clays",IFERROR(INDEX('Shooter-Squad Assignment'!$A:$A,MATCH(C112&amp;"-"&amp;E112&amp;"-"&amp;F112&amp;"-Pos2",'Shooter-Squad Assignment'!$Z:$Z,0)),""),"")))</f>
        <v/>
      </c>
      <c r="J112" s="88" t="str">
        <f>IF(ISBLANK(I112),"",IFERROR(INDEX('Tournament List'!$D:$D,MATCH(I112,'Tournament List'!$A:$A,0)),""))</f>
        <v/>
      </c>
      <c r="K112" s="96" t="str">
        <f>IF(F112="Skeet",IFERROR(INDEX('Shooter-Squad Assignment'!$A:$A,MATCH(C112&amp;"-"&amp;E112&amp;"-"&amp;F112&amp;"-Pos3",'Shooter-Squad Assignment'!$K:$K,0)),""),IF(F112="Trap",IFERROR(INDEX('Shooter-Squad Assignment'!$A:$A,MATCH(C112&amp;"-"&amp;E112&amp;"-"&amp;F112&amp;"-Pos3",'Shooter-Squad Assignment'!$W:$W,0)),""),IF(F112="Sporting Clays",IFERROR(INDEX('Shooter-Squad Assignment'!$A:$A,MATCH(C112&amp;"-"&amp;E112&amp;"-"&amp;F112&amp;"-Pos3",'Shooter-Squad Assignment'!$Z:$Z,0)),""),"")))</f>
        <v/>
      </c>
      <c r="L112" s="88" t="str">
        <f>IF(ISBLANK(K112),"",IFERROR(INDEX('Tournament List'!$D:$D,MATCH(K112,'Tournament List'!$A:$A,0)),""))</f>
        <v/>
      </c>
      <c r="M112" s="96" t="str">
        <f>IF(F112="Skeet",IFERROR(INDEX('Shooter-Squad Assignment'!$A:$A,MATCH(C112&amp;"-"&amp;E112&amp;"-"&amp;F112&amp;"-Pos4",'Shooter-Squad Assignment'!$K:$K,0)),""),IF(F112="Trap",IFERROR(INDEX('Shooter-Squad Assignment'!$A:$A,MATCH(C112&amp;"-"&amp;E112&amp;"-"&amp;F112&amp;"-Pos4",'Shooter-Squad Assignment'!$W:$W,0)),""),IF(F112="Sporting Clays",IFERROR(INDEX('Shooter-Squad Assignment'!$A:$A,MATCH(C112&amp;"-"&amp;E112&amp;"-"&amp;F112&amp;"-Pos4",'Shooter-Squad Assignment'!$Z:$Z,0)),""),"")))</f>
        <v/>
      </c>
      <c r="N112" s="88" t="str">
        <f>IF(ISBLANK(M112),"",IFERROR(INDEX('Tournament List'!$D:$D,MATCH(M112,'Tournament List'!$A:$A,0)),""))</f>
        <v/>
      </c>
      <c r="O112" s="96" t="str">
        <f>IF(F112="Skeet",IFERROR(INDEX('Shooter-Squad Assignment'!$A:$A,MATCH(C112&amp;"-"&amp;E112&amp;"-"&amp;F112&amp;"-Pos5",'Shooter-Squad Assignment'!$K:$K,0)),""),IF(F112="Trap",IFERROR(INDEX('Shooter-Squad Assignment'!$A:$A,MATCH(C112&amp;"-"&amp;E112&amp;"-"&amp;F112&amp;"-Pos5",'Shooter-Squad Assignment'!$W:$W,0)),""),IF(F112="Sporting Clays",IFERROR(INDEX('Shooter-Squad Assignment'!$A:$A,MATCH(C112&amp;"-"&amp;E112&amp;"-"&amp;F112&amp;"-Pos5",'Shooter-Squad Assignment'!$Z:$Z,0)),""),"")))</f>
        <v/>
      </c>
      <c r="P112" s="89" t="str">
        <f>IF(ISBLANK(O112),"",IFERROR(INDEX('Tournament List'!$D:$D,MATCH(O112,'Tournament List'!$A:$A,0)),""))</f>
        <v/>
      </c>
    </row>
    <row r="113" spans="1:16" x14ac:dyDescent="0.3">
      <c r="A113" s="87">
        <v>112</v>
      </c>
      <c r="B113" s="88" t="str">
        <f>C113&amp;"-"&amp;E113&amp;"-"&amp;F113</f>
        <v>Forge Christian Shooting Team-Varsity 1-Trap</v>
      </c>
      <c r="C113" s="88" t="s">
        <v>321</v>
      </c>
      <c r="D113" s="88" t="str">
        <f>INDEX('Tournament Setup'!$B$59:$B$78,MATCH(E113,SquadConcurrents,0))</f>
        <v>Varsity</v>
      </c>
      <c r="E113" s="88" t="s">
        <v>340</v>
      </c>
      <c r="F113" s="88" t="s">
        <v>147</v>
      </c>
      <c r="G113" s="96" t="str">
        <f>IF(F113="Skeet",IFERROR(INDEX('Shooter-Squad Assignment'!$A:$A,MATCH(C113&amp;"-"&amp;E113&amp;"-"&amp;F113&amp;"-Pos1",'Shooter-Squad Assignment'!$K:$K,0)),""),IF(F113="Trap",IFERROR(INDEX('Shooter-Squad Assignment'!$A:$A,MATCH(C113&amp;"-"&amp;E113&amp;"-"&amp;F113&amp;"-Pos1",'Shooter-Squad Assignment'!$W:$W,0)),""),IF(F113="Sporting Clays",IFERROR(INDEX('Shooter-Squad Assignment'!$A:$A,MATCH(C113&amp;"-"&amp;E113&amp;"-"&amp;F113&amp;"-Pos1",'Shooter-Squad Assignment'!$Z:$Z,0)),""),"")))</f>
        <v/>
      </c>
      <c r="H113" s="88" t="str">
        <f>IF(ISBLANK(G113),"",IFERROR(INDEX('Tournament List'!$D:$D,MATCH(G113,'Tournament List'!$A:$A,0)),""))</f>
        <v/>
      </c>
      <c r="I113" s="96" t="str">
        <f>IF(F113="Skeet",IFERROR(INDEX('Shooter-Squad Assignment'!$A:$A,MATCH(C113&amp;"-"&amp;E113&amp;"-"&amp;F113&amp;"-Pos2",'Shooter-Squad Assignment'!$K:$K,0)),""),IF(F113="Trap",IFERROR(INDEX('Shooter-Squad Assignment'!$A:$A,MATCH(C113&amp;"-"&amp;E113&amp;"-"&amp;F113&amp;"-Pos2",'Shooter-Squad Assignment'!$W:$W,0)),""),IF(F113="Sporting Clays",IFERROR(INDEX('Shooter-Squad Assignment'!$A:$A,MATCH(C113&amp;"-"&amp;E113&amp;"-"&amp;F113&amp;"-Pos2",'Shooter-Squad Assignment'!$Z:$Z,0)),""),"")))</f>
        <v/>
      </c>
      <c r="J113" s="88" t="str">
        <f>IF(ISBLANK(I113),"",IFERROR(INDEX('Tournament List'!$D:$D,MATCH(I113,'Tournament List'!$A:$A,0)),""))</f>
        <v/>
      </c>
      <c r="K113" s="96" t="str">
        <f>IF(F113="Skeet",IFERROR(INDEX('Shooter-Squad Assignment'!$A:$A,MATCH(C113&amp;"-"&amp;E113&amp;"-"&amp;F113&amp;"-Pos3",'Shooter-Squad Assignment'!$K:$K,0)),""),IF(F113="Trap",IFERROR(INDEX('Shooter-Squad Assignment'!$A:$A,MATCH(C113&amp;"-"&amp;E113&amp;"-"&amp;F113&amp;"-Pos3",'Shooter-Squad Assignment'!$W:$W,0)),""),IF(F113="Sporting Clays",IFERROR(INDEX('Shooter-Squad Assignment'!$A:$A,MATCH(C113&amp;"-"&amp;E113&amp;"-"&amp;F113&amp;"-Pos3",'Shooter-Squad Assignment'!$Z:$Z,0)),""),"")))</f>
        <v/>
      </c>
      <c r="L113" s="88" t="str">
        <f>IF(ISBLANK(K113),"",IFERROR(INDEX('Tournament List'!$D:$D,MATCH(K113,'Tournament List'!$A:$A,0)),""))</f>
        <v/>
      </c>
      <c r="M113" s="96" t="str">
        <f>IF(F113="Skeet",IFERROR(INDEX('Shooter-Squad Assignment'!$A:$A,MATCH(C113&amp;"-"&amp;E113&amp;"-"&amp;F113&amp;"-Pos4",'Shooter-Squad Assignment'!$K:$K,0)),""),IF(F113="Trap",IFERROR(INDEX('Shooter-Squad Assignment'!$A:$A,MATCH(C113&amp;"-"&amp;E113&amp;"-"&amp;F113&amp;"-Pos4",'Shooter-Squad Assignment'!$W:$W,0)),""),IF(F113="Sporting Clays",IFERROR(INDEX('Shooter-Squad Assignment'!$A:$A,MATCH(C113&amp;"-"&amp;E113&amp;"-"&amp;F113&amp;"-Pos4",'Shooter-Squad Assignment'!$Z:$Z,0)),""),"")))</f>
        <v/>
      </c>
      <c r="N113" s="88" t="str">
        <f>IF(ISBLANK(M113),"",IFERROR(INDEX('Tournament List'!$D:$D,MATCH(M113,'Tournament List'!$A:$A,0)),""))</f>
        <v/>
      </c>
      <c r="O113" s="96" t="str">
        <f>IF(F113="Skeet",IFERROR(INDEX('Shooter-Squad Assignment'!$A:$A,MATCH(C113&amp;"-"&amp;E113&amp;"-"&amp;F113&amp;"-Pos5",'Shooter-Squad Assignment'!$K:$K,0)),""),IF(F113="Trap",IFERROR(INDEX('Shooter-Squad Assignment'!$A:$A,MATCH(C113&amp;"-"&amp;E113&amp;"-"&amp;F113&amp;"-Pos5",'Shooter-Squad Assignment'!$W:$W,0)),""),IF(F113="Sporting Clays",IFERROR(INDEX('Shooter-Squad Assignment'!$A:$A,MATCH(C113&amp;"-"&amp;E113&amp;"-"&amp;F113&amp;"-Pos5",'Shooter-Squad Assignment'!$Z:$Z,0)),""),"")))</f>
        <v/>
      </c>
      <c r="P113" s="89" t="str">
        <f>IF(ISBLANK(O113),"",IFERROR(INDEX('Tournament List'!$D:$D,MATCH(O113,'Tournament List'!$A:$A,0)),""))</f>
        <v/>
      </c>
    </row>
    <row r="114" spans="1:16" x14ac:dyDescent="0.3">
      <c r="A114" s="87">
        <v>113</v>
      </c>
      <c r="B114" s="88" t="str">
        <f>C114&amp;"-"&amp;E114&amp;"-"&amp;F114</f>
        <v>Forge Christian Shooting Team-Varsity 2-Trap</v>
      </c>
      <c r="C114" s="88" t="s">
        <v>321</v>
      </c>
      <c r="D114" s="88" t="str">
        <f>INDEX('Tournament Setup'!$B$59:$B$78,MATCH(E114,SquadConcurrents,0))</f>
        <v>Varsity</v>
      </c>
      <c r="E114" s="88" t="s">
        <v>346</v>
      </c>
      <c r="F114" s="88" t="s">
        <v>147</v>
      </c>
      <c r="G114" s="96" t="str">
        <f>IF(F114="Skeet",IFERROR(INDEX('Shooter-Squad Assignment'!$A:$A,MATCH(C114&amp;"-"&amp;E114&amp;"-"&amp;F114&amp;"-Pos1",'Shooter-Squad Assignment'!$K:$K,0)),""),IF(F114="Trap",IFERROR(INDEX('Shooter-Squad Assignment'!$A:$A,MATCH(C114&amp;"-"&amp;E114&amp;"-"&amp;F114&amp;"-Pos1",'Shooter-Squad Assignment'!$W:$W,0)),""),IF(F114="Sporting Clays",IFERROR(INDEX('Shooter-Squad Assignment'!$A:$A,MATCH(C114&amp;"-"&amp;E114&amp;"-"&amp;F114&amp;"-Pos1",'Shooter-Squad Assignment'!$Z:$Z,0)),""),"")))</f>
        <v/>
      </c>
      <c r="H114" s="88" t="str">
        <f>IF(ISBLANK(G114),"",IFERROR(INDEX('Tournament List'!$D:$D,MATCH(G114,'Tournament List'!$A:$A,0)),""))</f>
        <v/>
      </c>
      <c r="I114" s="96" t="str">
        <f>IF(F114="Skeet",IFERROR(INDEX('Shooter-Squad Assignment'!$A:$A,MATCH(C114&amp;"-"&amp;E114&amp;"-"&amp;F114&amp;"-Pos2",'Shooter-Squad Assignment'!$K:$K,0)),""),IF(F114="Trap",IFERROR(INDEX('Shooter-Squad Assignment'!$A:$A,MATCH(C114&amp;"-"&amp;E114&amp;"-"&amp;F114&amp;"-Pos2",'Shooter-Squad Assignment'!$W:$W,0)),""),IF(F114="Sporting Clays",IFERROR(INDEX('Shooter-Squad Assignment'!$A:$A,MATCH(C114&amp;"-"&amp;E114&amp;"-"&amp;F114&amp;"-Pos2",'Shooter-Squad Assignment'!$Z:$Z,0)),""),"")))</f>
        <v/>
      </c>
      <c r="J114" s="88" t="str">
        <f>IF(ISBLANK(I114),"",IFERROR(INDEX('Tournament List'!$D:$D,MATCH(I114,'Tournament List'!$A:$A,0)),""))</f>
        <v/>
      </c>
      <c r="K114" s="96" t="str">
        <f>IF(F114="Skeet",IFERROR(INDEX('Shooter-Squad Assignment'!$A:$A,MATCH(C114&amp;"-"&amp;E114&amp;"-"&amp;F114&amp;"-Pos3",'Shooter-Squad Assignment'!$K:$K,0)),""),IF(F114="Trap",IFERROR(INDEX('Shooter-Squad Assignment'!$A:$A,MATCH(C114&amp;"-"&amp;E114&amp;"-"&amp;F114&amp;"-Pos3",'Shooter-Squad Assignment'!$W:$W,0)),""),IF(F114="Sporting Clays",IFERROR(INDEX('Shooter-Squad Assignment'!$A:$A,MATCH(C114&amp;"-"&amp;E114&amp;"-"&amp;F114&amp;"-Pos3",'Shooter-Squad Assignment'!$Z:$Z,0)),""),"")))</f>
        <v/>
      </c>
      <c r="L114" s="88" t="str">
        <f>IF(ISBLANK(K114),"",IFERROR(INDEX('Tournament List'!$D:$D,MATCH(K114,'Tournament List'!$A:$A,0)),""))</f>
        <v/>
      </c>
      <c r="M114" s="96" t="str">
        <f>IF(F114="Skeet",IFERROR(INDEX('Shooter-Squad Assignment'!$A:$A,MATCH(C114&amp;"-"&amp;E114&amp;"-"&amp;F114&amp;"-Pos4",'Shooter-Squad Assignment'!$K:$K,0)),""),IF(F114="Trap",IFERROR(INDEX('Shooter-Squad Assignment'!$A:$A,MATCH(C114&amp;"-"&amp;E114&amp;"-"&amp;F114&amp;"-Pos4",'Shooter-Squad Assignment'!$W:$W,0)),""),IF(F114="Sporting Clays",IFERROR(INDEX('Shooter-Squad Assignment'!$A:$A,MATCH(C114&amp;"-"&amp;E114&amp;"-"&amp;F114&amp;"-Pos4",'Shooter-Squad Assignment'!$Z:$Z,0)),""),"")))</f>
        <v/>
      </c>
      <c r="N114" s="88" t="str">
        <f>IF(ISBLANK(M114),"",IFERROR(INDEX('Tournament List'!$D:$D,MATCH(M114,'Tournament List'!$A:$A,0)),""))</f>
        <v/>
      </c>
      <c r="O114" s="96" t="str">
        <f>IF(F114="Skeet",IFERROR(INDEX('Shooter-Squad Assignment'!$A:$A,MATCH(C114&amp;"-"&amp;E114&amp;"-"&amp;F114&amp;"-Pos5",'Shooter-Squad Assignment'!$K:$K,0)),""),IF(F114="Trap",IFERROR(INDEX('Shooter-Squad Assignment'!$A:$A,MATCH(C114&amp;"-"&amp;E114&amp;"-"&amp;F114&amp;"-Pos5",'Shooter-Squad Assignment'!$W:$W,0)),""),IF(F114="Sporting Clays",IFERROR(INDEX('Shooter-Squad Assignment'!$A:$A,MATCH(C114&amp;"-"&amp;E114&amp;"-"&amp;F114&amp;"-Pos5",'Shooter-Squad Assignment'!$Z:$Z,0)),""),"")))</f>
        <v/>
      </c>
      <c r="P114" s="89" t="str">
        <f>IF(ISBLANK(O114),"",IFERROR(INDEX('Tournament List'!$D:$D,MATCH(O114,'Tournament List'!$A:$A,0)),""))</f>
        <v/>
      </c>
    </row>
    <row r="115" spans="1:16" ht="15" thickBot="1" x14ac:dyDescent="0.35">
      <c r="A115" s="90">
        <v>114</v>
      </c>
      <c r="B115" s="91" t="str">
        <f>C115&amp;"-"&amp;E115&amp;"-"&amp;F115</f>
        <v>Forge Christian Shooting Team-Varsity 3-Trap</v>
      </c>
      <c r="C115" s="91" t="s">
        <v>321</v>
      </c>
      <c r="D115" s="91" t="str">
        <f>INDEX('Tournament Setup'!$B$59:$B$78,MATCH(E115,SquadConcurrents,0))</f>
        <v>Varsity</v>
      </c>
      <c r="E115" s="91" t="s">
        <v>352</v>
      </c>
      <c r="F115" s="91" t="s">
        <v>147</v>
      </c>
      <c r="G115" s="97" t="str">
        <f>IF(F115="Skeet",IFERROR(INDEX('Shooter-Squad Assignment'!$A:$A,MATCH(C115&amp;"-"&amp;E115&amp;"-"&amp;F115&amp;"-Pos1",'Shooter-Squad Assignment'!$K:$K,0)),""),IF(F115="Trap",IFERROR(INDEX('Shooter-Squad Assignment'!$A:$A,MATCH(C115&amp;"-"&amp;E115&amp;"-"&amp;F115&amp;"-Pos1",'Shooter-Squad Assignment'!$W:$W,0)),""),IF(F115="Sporting Clays",IFERROR(INDEX('Shooter-Squad Assignment'!$A:$A,MATCH(C115&amp;"-"&amp;E115&amp;"-"&amp;F115&amp;"-Pos1",'Shooter-Squad Assignment'!$Z:$Z,0)),""),"")))</f>
        <v/>
      </c>
      <c r="H115" s="91" t="str">
        <f>IF(ISBLANK(G115),"",IFERROR(INDEX('Tournament List'!$D:$D,MATCH(G115,'Tournament List'!$A:$A,0)),""))</f>
        <v/>
      </c>
      <c r="I115" s="97" t="str">
        <f>IF(F115="Skeet",IFERROR(INDEX('Shooter-Squad Assignment'!$A:$A,MATCH(C115&amp;"-"&amp;E115&amp;"-"&amp;F115&amp;"-Pos2",'Shooter-Squad Assignment'!$K:$K,0)),""),IF(F115="Trap",IFERROR(INDEX('Shooter-Squad Assignment'!$A:$A,MATCH(C115&amp;"-"&amp;E115&amp;"-"&amp;F115&amp;"-Pos2",'Shooter-Squad Assignment'!$W:$W,0)),""),IF(F115="Sporting Clays",IFERROR(INDEX('Shooter-Squad Assignment'!$A:$A,MATCH(C115&amp;"-"&amp;E115&amp;"-"&amp;F115&amp;"-Pos2",'Shooter-Squad Assignment'!$Z:$Z,0)),""),"")))</f>
        <v/>
      </c>
      <c r="J115" s="91" t="str">
        <f>IF(ISBLANK(I115),"",IFERROR(INDEX('Tournament List'!$D:$D,MATCH(I115,'Tournament List'!$A:$A,0)),""))</f>
        <v/>
      </c>
      <c r="K115" s="97" t="str">
        <f>IF(F115="Skeet",IFERROR(INDEX('Shooter-Squad Assignment'!$A:$A,MATCH(C115&amp;"-"&amp;E115&amp;"-"&amp;F115&amp;"-Pos3",'Shooter-Squad Assignment'!$K:$K,0)),""),IF(F115="Trap",IFERROR(INDEX('Shooter-Squad Assignment'!$A:$A,MATCH(C115&amp;"-"&amp;E115&amp;"-"&amp;F115&amp;"-Pos3",'Shooter-Squad Assignment'!$W:$W,0)),""),IF(F115="Sporting Clays",IFERROR(INDEX('Shooter-Squad Assignment'!$A:$A,MATCH(C115&amp;"-"&amp;E115&amp;"-"&amp;F115&amp;"-Pos3",'Shooter-Squad Assignment'!$Z:$Z,0)),""),"")))</f>
        <v/>
      </c>
      <c r="L115" s="91" t="str">
        <f>IF(ISBLANK(K115),"",IFERROR(INDEX('Tournament List'!$D:$D,MATCH(K115,'Tournament List'!$A:$A,0)),""))</f>
        <v/>
      </c>
      <c r="M115" s="97" t="str">
        <f>IF(F115="Skeet",IFERROR(INDEX('Shooter-Squad Assignment'!$A:$A,MATCH(C115&amp;"-"&amp;E115&amp;"-"&amp;F115&amp;"-Pos4",'Shooter-Squad Assignment'!$K:$K,0)),""),IF(F115="Trap",IFERROR(INDEX('Shooter-Squad Assignment'!$A:$A,MATCH(C115&amp;"-"&amp;E115&amp;"-"&amp;F115&amp;"-Pos4",'Shooter-Squad Assignment'!$W:$W,0)),""),IF(F115="Sporting Clays",IFERROR(INDEX('Shooter-Squad Assignment'!$A:$A,MATCH(C115&amp;"-"&amp;E115&amp;"-"&amp;F115&amp;"-Pos4",'Shooter-Squad Assignment'!$Z:$Z,0)),""),"")))</f>
        <v/>
      </c>
      <c r="N115" s="91" t="str">
        <f>IF(ISBLANK(M115),"",IFERROR(INDEX('Tournament List'!$D:$D,MATCH(M115,'Tournament List'!$A:$A,0)),""))</f>
        <v/>
      </c>
      <c r="O115" s="97" t="str">
        <f>IF(F115="Skeet",IFERROR(INDEX('Shooter-Squad Assignment'!$A:$A,MATCH(C115&amp;"-"&amp;E115&amp;"-"&amp;F115&amp;"-Pos5",'Shooter-Squad Assignment'!$K:$K,0)),""),IF(F115="Trap",IFERROR(INDEX('Shooter-Squad Assignment'!$A:$A,MATCH(C115&amp;"-"&amp;E115&amp;"-"&amp;F115&amp;"-Pos5",'Shooter-Squad Assignment'!$W:$W,0)),""),IF(F115="Sporting Clays",IFERROR(INDEX('Shooter-Squad Assignment'!$A:$A,MATCH(C115&amp;"-"&amp;E115&amp;"-"&amp;F115&amp;"-Pos5",'Shooter-Squad Assignment'!$Z:$Z,0)),""),"")))</f>
        <v/>
      </c>
      <c r="P115" s="92" t="str">
        <f>IF(ISBLANK(O115),"",IFERROR(INDEX('Tournament List'!$D:$D,MATCH(O115,'Tournament List'!$A:$A,0)),""))</f>
        <v/>
      </c>
    </row>
    <row r="116" spans="1:16" x14ac:dyDescent="0.3">
      <c r="A116" s="76">
        <v>115</v>
      </c>
      <c r="B116" s="77" t="str">
        <f>C116&amp;"-"&amp;E116&amp;"-"&amp;F116</f>
        <v>High Plains Drifters-Collegiate 1-Skeet</v>
      </c>
      <c r="C116" s="77" t="s">
        <v>307</v>
      </c>
      <c r="D116" s="77" t="str">
        <f>INDEX('Tournament Setup'!$B$59:$B$78,MATCH(E116,SquadConcurrents,0))</f>
        <v>Collegiate</v>
      </c>
      <c r="E116" s="77" t="s">
        <v>342</v>
      </c>
      <c r="F116" s="77" t="s">
        <v>143</v>
      </c>
      <c r="G116" s="93" t="str">
        <f>IF(F116="Skeet",IFERROR(INDEX('Shooter-Squad Assignment'!$A:$A,MATCH(C116&amp;"-"&amp;E116&amp;"-"&amp;F116&amp;"-Pos1",'Shooter-Squad Assignment'!$K:$K,0)),""),IF(F116="Trap",IFERROR(INDEX('Shooter-Squad Assignment'!$A:$A,MATCH(C116&amp;"-"&amp;E116&amp;"-"&amp;F116&amp;"-Pos1",'Shooter-Squad Assignment'!$W:$W,0)),""),IF(F116="Sporting Clays",IFERROR(INDEX('Shooter-Squad Assignment'!$A:$A,MATCH(C116&amp;"-"&amp;E116&amp;"-"&amp;F116&amp;"-Pos1",'Shooter-Squad Assignment'!$Z:$Z,0)),""),"")))</f>
        <v/>
      </c>
      <c r="H116" s="77" t="str">
        <f>IF(ISBLANK(G116),"",IFERROR(INDEX('Tournament List'!$D:$D,MATCH(G116,'Tournament List'!$A:$A,0)),""))</f>
        <v/>
      </c>
      <c r="I116" s="93" t="str">
        <f>IF(F116="Skeet",IFERROR(INDEX('Shooter-Squad Assignment'!$A:$A,MATCH(C116&amp;"-"&amp;E116&amp;"-"&amp;F116&amp;"-Pos2",'Shooter-Squad Assignment'!$K:$K,0)),""),IF(F116="Trap",IFERROR(INDEX('Shooter-Squad Assignment'!$A:$A,MATCH(C116&amp;"-"&amp;E116&amp;"-"&amp;F116&amp;"-Pos2",'Shooter-Squad Assignment'!$W:$W,0)),""),IF(F116="Sporting Clays",IFERROR(INDEX('Shooter-Squad Assignment'!$A:$A,MATCH(C116&amp;"-"&amp;E116&amp;"-"&amp;F116&amp;"-Pos2",'Shooter-Squad Assignment'!$Z:$Z,0)),""),"")))</f>
        <v/>
      </c>
      <c r="J116" s="77" t="str">
        <f>IF(ISBLANK(I116),"",IFERROR(INDEX('Tournament List'!$D:$D,MATCH(I116,'Tournament List'!$A:$A,0)),""))</f>
        <v/>
      </c>
      <c r="K116" s="93" t="str">
        <f>IF(F116="Skeet",IFERROR(INDEX('Shooter-Squad Assignment'!$A:$A,MATCH(C116&amp;"-"&amp;E116&amp;"-"&amp;F116&amp;"-Pos3",'Shooter-Squad Assignment'!$K:$K,0)),""),IF(F116="Trap",IFERROR(INDEX('Shooter-Squad Assignment'!$A:$A,MATCH(C116&amp;"-"&amp;E116&amp;"-"&amp;F116&amp;"-Pos3",'Shooter-Squad Assignment'!$W:$W,0)),""),IF(F116="Sporting Clays",IFERROR(INDEX('Shooter-Squad Assignment'!$A:$A,MATCH(C116&amp;"-"&amp;E116&amp;"-"&amp;F116&amp;"-Pos3",'Shooter-Squad Assignment'!$Z:$Z,0)),""),"")))</f>
        <v/>
      </c>
      <c r="L116" s="77" t="str">
        <f>IF(ISBLANK(K116),"",IFERROR(INDEX('Tournament List'!$D:$D,MATCH(K116,'Tournament List'!$A:$A,0)),""))</f>
        <v/>
      </c>
      <c r="M116" s="93" t="str">
        <f>IF(F116="Skeet",IFERROR(INDEX('Shooter-Squad Assignment'!$A:$A,MATCH(C116&amp;"-"&amp;E116&amp;"-"&amp;F116&amp;"-Pos4",'Shooter-Squad Assignment'!$K:$K,0)),""),IF(F116="Trap",IFERROR(INDEX('Shooter-Squad Assignment'!$A:$A,MATCH(C116&amp;"-"&amp;E116&amp;"-"&amp;F116&amp;"-Pos4",'Shooter-Squad Assignment'!$W:$W,0)),""),IF(F116="Sporting Clays",IFERROR(INDEX('Shooter-Squad Assignment'!$A:$A,MATCH(C116&amp;"-"&amp;E116&amp;"-"&amp;F116&amp;"-Pos4",'Shooter-Squad Assignment'!$Z:$Z,0)),""),"")))</f>
        <v/>
      </c>
      <c r="N116" s="77" t="str">
        <f>IF(ISBLANK(M116),"",IFERROR(INDEX('Tournament List'!$D:$D,MATCH(M116,'Tournament List'!$A:$A,0)),""))</f>
        <v/>
      </c>
      <c r="O116" s="93" t="str">
        <f>IF(F116="Skeet",IFERROR(INDEX('Shooter-Squad Assignment'!$A:$A,MATCH(C116&amp;"-"&amp;E116&amp;"-"&amp;F116&amp;"-Pos5",'Shooter-Squad Assignment'!$K:$K,0)),""),IF(F116="Trap",IFERROR(INDEX('Shooter-Squad Assignment'!$A:$A,MATCH(C116&amp;"-"&amp;E116&amp;"-"&amp;F116&amp;"-Pos5",'Shooter-Squad Assignment'!$W:$W,0)),""),IF(F116="Sporting Clays",IFERROR(INDEX('Shooter-Squad Assignment'!$A:$A,MATCH(C116&amp;"-"&amp;E116&amp;"-"&amp;F116&amp;"-Pos5",'Shooter-Squad Assignment'!$Z:$Z,0)),""),"")))</f>
        <v/>
      </c>
      <c r="P116" s="77" t="str">
        <f>IF(ISBLANK(O116),"",IFERROR(INDEX('Tournament List'!$D:$D,MATCH(O116,'Tournament List'!$A:$A,0)),""))</f>
        <v/>
      </c>
    </row>
    <row r="117" spans="1:16" x14ac:dyDescent="0.3">
      <c r="A117" s="78">
        <v>116</v>
      </c>
      <c r="B117" s="73" t="str">
        <f>C117&amp;"-"&amp;E117&amp;"-"&amp;F117</f>
        <v>High Plains Drifters-Collegiate 2-Skeet</v>
      </c>
      <c r="C117" s="73" t="s">
        <v>307</v>
      </c>
      <c r="D117" s="73" t="str">
        <f>INDEX('Tournament Setup'!$B$59:$B$78,MATCH(E117,SquadConcurrents,0))</f>
        <v>Collegiate</v>
      </c>
      <c r="E117" s="73" t="s">
        <v>348</v>
      </c>
      <c r="F117" s="73" t="s">
        <v>143</v>
      </c>
      <c r="G117" s="94" t="str">
        <f>IF(F117="Skeet",IFERROR(INDEX('Shooter-Squad Assignment'!$A:$A,MATCH(C117&amp;"-"&amp;E117&amp;"-"&amp;F117&amp;"-Pos1",'Shooter-Squad Assignment'!$K:$K,0)),""),IF(F117="Trap",IFERROR(INDEX('Shooter-Squad Assignment'!$A:$A,MATCH(C117&amp;"-"&amp;E117&amp;"-"&amp;F117&amp;"-Pos1",'Shooter-Squad Assignment'!$W:$W,0)),""),IF(F117="Sporting Clays",IFERROR(INDEX('Shooter-Squad Assignment'!$A:$A,MATCH(C117&amp;"-"&amp;E117&amp;"-"&amp;F117&amp;"-Pos1",'Shooter-Squad Assignment'!$Z:$Z,0)),""),"")))</f>
        <v/>
      </c>
      <c r="H117" s="73" t="str">
        <f>IF(ISBLANK(G117),"",IFERROR(INDEX('Tournament List'!$D:$D,MATCH(G117,'Tournament List'!$A:$A,0)),""))</f>
        <v/>
      </c>
      <c r="I117" s="94" t="str">
        <f>IF(F117="Skeet",IFERROR(INDEX('Shooter-Squad Assignment'!$A:$A,MATCH(C117&amp;"-"&amp;E117&amp;"-"&amp;F117&amp;"-Pos2",'Shooter-Squad Assignment'!$K:$K,0)),""),IF(F117="Trap",IFERROR(INDEX('Shooter-Squad Assignment'!$A:$A,MATCH(C117&amp;"-"&amp;E117&amp;"-"&amp;F117&amp;"-Pos2",'Shooter-Squad Assignment'!$W:$W,0)),""),IF(F117="Sporting Clays",IFERROR(INDEX('Shooter-Squad Assignment'!$A:$A,MATCH(C117&amp;"-"&amp;E117&amp;"-"&amp;F117&amp;"-Pos2",'Shooter-Squad Assignment'!$Z:$Z,0)),""),"")))</f>
        <v/>
      </c>
      <c r="J117" s="73" t="str">
        <f>IF(ISBLANK(I117),"",IFERROR(INDEX('Tournament List'!$D:$D,MATCH(I117,'Tournament List'!$A:$A,0)),""))</f>
        <v/>
      </c>
      <c r="K117" s="94" t="str">
        <f>IF(F117="Skeet",IFERROR(INDEX('Shooter-Squad Assignment'!$A:$A,MATCH(C117&amp;"-"&amp;E117&amp;"-"&amp;F117&amp;"-Pos3",'Shooter-Squad Assignment'!$K:$K,0)),""),IF(F117="Trap",IFERROR(INDEX('Shooter-Squad Assignment'!$A:$A,MATCH(C117&amp;"-"&amp;E117&amp;"-"&amp;F117&amp;"-Pos3",'Shooter-Squad Assignment'!$W:$W,0)),""),IF(F117="Sporting Clays",IFERROR(INDEX('Shooter-Squad Assignment'!$A:$A,MATCH(C117&amp;"-"&amp;E117&amp;"-"&amp;F117&amp;"-Pos3",'Shooter-Squad Assignment'!$Z:$Z,0)),""),"")))</f>
        <v/>
      </c>
      <c r="L117" s="73" t="str">
        <f>IF(ISBLANK(K117),"",IFERROR(INDEX('Tournament List'!$D:$D,MATCH(K117,'Tournament List'!$A:$A,0)),""))</f>
        <v/>
      </c>
      <c r="M117" s="94" t="str">
        <f>IF(F117="Skeet",IFERROR(INDEX('Shooter-Squad Assignment'!$A:$A,MATCH(C117&amp;"-"&amp;E117&amp;"-"&amp;F117&amp;"-Pos4",'Shooter-Squad Assignment'!$K:$K,0)),""),IF(F117="Trap",IFERROR(INDEX('Shooter-Squad Assignment'!$A:$A,MATCH(C117&amp;"-"&amp;E117&amp;"-"&amp;F117&amp;"-Pos4",'Shooter-Squad Assignment'!$W:$W,0)),""),IF(F117="Sporting Clays",IFERROR(INDEX('Shooter-Squad Assignment'!$A:$A,MATCH(C117&amp;"-"&amp;E117&amp;"-"&amp;F117&amp;"-Pos4",'Shooter-Squad Assignment'!$Z:$Z,0)),""),"")))</f>
        <v/>
      </c>
      <c r="N117" s="73" t="str">
        <f>IF(ISBLANK(M117),"",IFERROR(INDEX('Tournament List'!$D:$D,MATCH(M117,'Tournament List'!$A:$A,0)),""))</f>
        <v/>
      </c>
      <c r="O117" s="94" t="str">
        <f>IF(F117="Skeet",IFERROR(INDEX('Shooter-Squad Assignment'!$A:$A,MATCH(C117&amp;"-"&amp;E117&amp;"-"&amp;F117&amp;"-Pos5",'Shooter-Squad Assignment'!$K:$K,0)),""),IF(F117="Trap",IFERROR(INDEX('Shooter-Squad Assignment'!$A:$A,MATCH(C117&amp;"-"&amp;E117&amp;"-"&amp;F117&amp;"-Pos5",'Shooter-Squad Assignment'!$W:$W,0)),""),IF(F117="Sporting Clays",IFERROR(INDEX('Shooter-Squad Assignment'!$A:$A,MATCH(C117&amp;"-"&amp;E117&amp;"-"&amp;F117&amp;"-Pos5",'Shooter-Squad Assignment'!$Z:$Z,0)),""),"")))</f>
        <v/>
      </c>
      <c r="P117" s="79" t="str">
        <f>IF(ISBLANK(O117),"",IFERROR(INDEX('Tournament List'!$D:$D,MATCH(O117,'Tournament List'!$A:$A,0)),""))</f>
        <v/>
      </c>
    </row>
    <row r="118" spans="1:16" x14ac:dyDescent="0.3">
      <c r="A118" s="78">
        <v>117</v>
      </c>
      <c r="B118" s="73" t="str">
        <f>C118&amp;"-"&amp;E118&amp;"-"&amp;F118</f>
        <v>High Plains Drifters-Collegiate 3-Skeet</v>
      </c>
      <c r="C118" s="73" t="s">
        <v>307</v>
      </c>
      <c r="D118" s="73" t="str">
        <f>INDEX('Tournament Setup'!$B$59:$B$78,MATCH(E118,SquadConcurrents,0))</f>
        <v>Collegiate</v>
      </c>
      <c r="E118" s="73" t="s">
        <v>354</v>
      </c>
      <c r="F118" s="73" t="s">
        <v>143</v>
      </c>
      <c r="G118" s="94" t="str">
        <f>IF(F118="Skeet",IFERROR(INDEX('Shooter-Squad Assignment'!$A:$A,MATCH(C118&amp;"-"&amp;E118&amp;"-"&amp;F118&amp;"-Pos1",'Shooter-Squad Assignment'!$K:$K,0)),""),IF(F118="Trap",IFERROR(INDEX('Shooter-Squad Assignment'!$A:$A,MATCH(C118&amp;"-"&amp;E118&amp;"-"&amp;F118&amp;"-Pos1",'Shooter-Squad Assignment'!$W:$W,0)),""),IF(F118="Sporting Clays",IFERROR(INDEX('Shooter-Squad Assignment'!$A:$A,MATCH(C118&amp;"-"&amp;E118&amp;"-"&amp;F118&amp;"-Pos1",'Shooter-Squad Assignment'!$Z:$Z,0)),""),"")))</f>
        <v/>
      </c>
      <c r="H118" s="73" t="str">
        <f>IF(ISBLANK(G118),"",IFERROR(INDEX('Tournament List'!$D:$D,MATCH(G118,'Tournament List'!$A:$A,0)),""))</f>
        <v/>
      </c>
      <c r="I118" s="94" t="str">
        <f>IF(F118="Skeet",IFERROR(INDEX('Shooter-Squad Assignment'!$A:$A,MATCH(C118&amp;"-"&amp;E118&amp;"-"&amp;F118&amp;"-Pos2",'Shooter-Squad Assignment'!$K:$K,0)),""),IF(F118="Trap",IFERROR(INDEX('Shooter-Squad Assignment'!$A:$A,MATCH(C118&amp;"-"&amp;E118&amp;"-"&amp;F118&amp;"-Pos2",'Shooter-Squad Assignment'!$W:$W,0)),""),IF(F118="Sporting Clays",IFERROR(INDEX('Shooter-Squad Assignment'!$A:$A,MATCH(C118&amp;"-"&amp;E118&amp;"-"&amp;F118&amp;"-Pos2",'Shooter-Squad Assignment'!$Z:$Z,0)),""),"")))</f>
        <v/>
      </c>
      <c r="J118" s="73" t="str">
        <f>IF(ISBLANK(I118),"",IFERROR(INDEX('Tournament List'!$D:$D,MATCH(I118,'Tournament List'!$A:$A,0)),""))</f>
        <v/>
      </c>
      <c r="K118" s="94" t="str">
        <f>IF(F118="Skeet",IFERROR(INDEX('Shooter-Squad Assignment'!$A:$A,MATCH(C118&amp;"-"&amp;E118&amp;"-"&amp;F118&amp;"-Pos3",'Shooter-Squad Assignment'!$K:$K,0)),""),IF(F118="Trap",IFERROR(INDEX('Shooter-Squad Assignment'!$A:$A,MATCH(C118&amp;"-"&amp;E118&amp;"-"&amp;F118&amp;"-Pos3",'Shooter-Squad Assignment'!$W:$W,0)),""),IF(F118="Sporting Clays",IFERROR(INDEX('Shooter-Squad Assignment'!$A:$A,MATCH(C118&amp;"-"&amp;E118&amp;"-"&amp;F118&amp;"-Pos3",'Shooter-Squad Assignment'!$Z:$Z,0)),""),"")))</f>
        <v/>
      </c>
      <c r="L118" s="73" t="str">
        <f>IF(ISBLANK(K118),"",IFERROR(INDEX('Tournament List'!$D:$D,MATCH(K118,'Tournament List'!$A:$A,0)),""))</f>
        <v/>
      </c>
      <c r="M118" s="94" t="str">
        <f>IF(F118="Skeet",IFERROR(INDEX('Shooter-Squad Assignment'!$A:$A,MATCH(C118&amp;"-"&amp;E118&amp;"-"&amp;F118&amp;"-Pos4",'Shooter-Squad Assignment'!$K:$K,0)),""),IF(F118="Trap",IFERROR(INDEX('Shooter-Squad Assignment'!$A:$A,MATCH(C118&amp;"-"&amp;E118&amp;"-"&amp;F118&amp;"-Pos4",'Shooter-Squad Assignment'!$W:$W,0)),""),IF(F118="Sporting Clays",IFERROR(INDEX('Shooter-Squad Assignment'!$A:$A,MATCH(C118&amp;"-"&amp;E118&amp;"-"&amp;F118&amp;"-Pos4",'Shooter-Squad Assignment'!$Z:$Z,0)),""),"")))</f>
        <v/>
      </c>
      <c r="N118" s="73" t="str">
        <f>IF(ISBLANK(M118),"",IFERROR(INDEX('Tournament List'!$D:$D,MATCH(M118,'Tournament List'!$A:$A,0)),""))</f>
        <v/>
      </c>
      <c r="O118" s="94" t="str">
        <f>IF(F118="Skeet",IFERROR(INDEX('Shooter-Squad Assignment'!$A:$A,MATCH(C118&amp;"-"&amp;E118&amp;"-"&amp;F118&amp;"-Pos5",'Shooter-Squad Assignment'!$K:$K,0)),""),IF(F118="Trap",IFERROR(INDEX('Shooter-Squad Assignment'!$A:$A,MATCH(C118&amp;"-"&amp;E118&amp;"-"&amp;F118&amp;"-Pos5",'Shooter-Squad Assignment'!$W:$W,0)),""),IF(F118="Sporting Clays",IFERROR(INDEX('Shooter-Squad Assignment'!$A:$A,MATCH(C118&amp;"-"&amp;E118&amp;"-"&amp;F118&amp;"-Pos5",'Shooter-Squad Assignment'!$Z:$Z,0)),""),"")))</f>
        <v/>
      </c>
      <c r="P118" s="79" t="str">
        <f>IF(ISBLANK(O118),"",IFERROR(INDEX('Tournament List'!$D:$D,MATCH(O118,'Tournament List'!$A:$A,0)),""))</f>
        <v/>
      </c>
    </row>
    <row r="119" spans="1:16" x14ac:dyDescent="0.3">
      <c r="A119" s="78">
        <v>118</v>
      </c>
      <c r="B119" s="73" t="str">
        <f>C119&amp;"-"&amp;E119&amp;"-"&amp;F119</f>
        <v>High Plains Drifters-Intermediate 1-Skeet</v>
      </c>
      <c r="C119" s="73" t="s">
        <v>307</v>
      </c>
      <c r="D119" s="73" t="str">
        <f>INDEX('Tournament Setup'!$B$59:$B$78,MATCH(E119,SquadConcurrents,0))</f>
        <v>Intermediate</v>
      </c>
      <c r="E119" s="73" t="s">
        <v>338</v>
      </c>
      <c r="F119" s="73" t="s">
        <v>143</v>
      </c>
      <c r="G119" s="94" t="str">
        <f>IF(F119="Skeet",IFERROR(INDEX('Shooter-Squad Assignment'!$A:$A,MATCH(C119&amp;"-"&amp;E119&amp;"-"&amp;F119&amp;"-Pos1",'Shooter-Squad Assignment'!$K:$K,0)),""),IF(F119="Trap",IFERROR(INDEX('Shooter-Squad Assignment'!$A:$A,MATCH(C119&amp;"-"&amp;E119&amp;"-"&amp;F119&amp;"-Pos1",'Shooter-Squad Assignment'!$W:$W,0)),""),IF(F119="Sporting Clays",IFERROR(INDEX('Shooter-Squad Assignment'!$A:$A,MATCH(C119&amp;"-"&amp;E119&amp;"-"&amp;F119&amp;"-Pos1",'Shooter-Squad Assignment'!$Z:$Z,0)),""),"")))</f>
        <v>24-1006</v>
      </c>
      <c r="H119" s="73" t="str">
        <f>IF(ISBLANK(G119),"",IFERROR(INDEX('Tournament List'!$D:$D,MATCH(G119,'Tournament List'!$A:$A,0)),""))</f>
        <v>Blake Last Name7</v>
      </c>
      <c r="I119" s="94" t="str">
        <f>IF(F119="Skeet",IFERROR(INDEX('Shooter-Squad Assignment'!$A:$A,MATCH(C119&amp;"-"&amp;E119&amp;"-"&amp;F119&amp;"-Pos2",'Shooter-Squad Assignment'!$K:$K,0)),""),IF(F119="Trap",IFERROR(INDEX('Shooter-Squad Assignment'!$A:$A,MATCH(C119&amp;"-"&amp;E119&amp;"-"&amp;F119&amp;"-Pos2",'Shooter-Squad Assignment'!$W:$W,0)),""),IF(F119="Sporting Clays",IFERROR(INDEX('Shooter-Squad Assignment'!$A:$A,MATCH(C119&amp;"-"&amp;E119&amp;"-"&amp;F119&amp;"-Pos2",'Shooter-Squad Assignment'!$Z:$Z,0)),""),"")))</f>
        <v>24-1030</v>
      </c>
      <c r="J119" s="73" t="str">
        <f>IF(ISBLANK(I119),"",IFERROR(INDEX('Tournament List'!$D:$D,MATCH(I119,'Tournament List'!$A:$A,0)),""))</f>
        <v>Shelly Last Name31</v>
      </c>
      <c r="K119" s="94" t="str">
        <f>IF(F119="Skeet",IFERROR(INDEX('Shooter-Squad Assignment'!$A:$A,MATCH(C119&amp;"-"&amp;E119&amp;"-"&amp;F119&amp;"-Pos3",'Shooter-Squad Assignment'!$K:$K,0)),""),IF(F119="Trap",IFERROR(INDEX('Shooter-Squad Assignment'!$A:$A,MATCH(C119&amp;"-"&amp;E119&amp;"-"&amp;F119&amp;"-Pos3",'Shooter-Squad Assignment'!$W:$W,0)),""),IF(F119="Sporting Clays",IFERROR(INDEX('Shooter-Squad Assignment'!$A:$A,MATCH(C119&amp;"-"&amp;E119&amp;"-"&amp;F119&amp;"-Pos3",'Shooter-Squad Assignment'!$Z:$Z,0)),""),"")))</f>
        <v>24-1042</v>
      </c>
      <c r="L119" s="73" t="str">
        <f>IF(ISBLANK(K119),"",IFERROR(INDEX('Tournament List'!$D:$D,MATCH(K119,'Tournament List'!$A:$A,0)),""))</f>
        <v>Terry Last Name43</v>
      </c>
      <c r="M119" s="94" t="str">
        <f>IF(F119="Skeet",IFERROR(INDEX('Shooter-Squad Assignment'!$A:$A,MATCH(C119&amp;"-"&amp;E119&amp;"-"&amp;F119&amp;"-Pos4",'Shooter-Squad Assignment'!$K:$K,0)),""),IF(F119="Trap",IFERROR(INDEX('Shooter-Squad Assignment'!$A:$A,MATCH(C119&amp;"-"&amp;E119&amp;"-"&amp;F119&amp;"-Pos4",'Shooter-Squad Assignment'!$W:$W,0)),""),IF(F119="Sporting Clays",IFERROR(INDEX('Shooter-Squad Assignment'!$A:$A,MATCH(C119&amp;"-"&amp;E119&amp;"-"&amp;F119&amp;"-Pos4",'Shooter-Squad Assignment'!$Z:$Z,0)),""),"")))</f>
        <v/>
      </c>
      <c r="N119" s="73" t="str">
        <f>IF(ISBLANK(M119),"",IFERROR(INDEX('Tournament List'!$D:$D,MATCH(M119,'Tournament List'!$A:$A,0)),""))</f>
        <v/>
      </c>
      <c r="O119" s="94" t="str">
        <f>IF(F119="Skeet",IFERROR(INDEX('Shooter-Squad Assignment'!$A:$A,MATCH(C119&amp;"-"&amp;E119&amp;"-"&amp;F119&amp;"-Pos5",'Shooter-Squad Assignment'!$K:$K,0)),""),IF(F119="Trap",IFERROR(INDEX('Shooter-Squad Assignment'!$A:$A,MATCH(C119&amp;"-"&amp;E119&amp;"-"&amp;F119&amp;"-Pos5",'Shooter-Squad Assignment'!$W:$W,0)),""),IF(F119="Sporting Clays",IFERROR(INDEX('Shooter-Squad Assignment'!$A:$A,MATCH(C119&amp;"-"&amp;E119&amp;"-"&amp;F119&amp;"-Pos5",'Shooter-Squad Assignment'!$Z:$Z,0)),""),"")))</f>
        <v/>
      </c>
      <c r="P119" s="79" t="str">
        <f>IF(ISBLANK(O119),"",IFERROR(INDEX('Tournament List'!$D:$D,MATCH(O119,'Tournament List'!$A:$A,0)),""))</f>
        <v/>
      </c>
    </row>
    <row r="120" spans="1:16" x14ac:dyDescent="0.3">
      <c r="A120" s="78">
        <v>119</v>
      </c>
      <c r="B120" s="73" t="str">
        <f>C120&amp;"-"&amp;E120&amp;"-"&amp;F120</f>
        <v>High Plains Drifters-Intermediate 2-Skeet</v>
      </c>
      <c r="C120" s="73" t="s">
        <v>307</v>
      </c>
      <c r="D120" s="73" t="str">
        <f>INDEX('Tournament Setup'!$B$59:$B$78,MATCH(E120,SquadConcurrents,0))</f>
        <v>Intermediate</v>
      </c>
      <c r="E120" s="73" t="s">
        <v>344</v>
      </c>
      <c r="F120" s="73" t="s">
        <v>143</v>
      </c>
      <c r="G120" s="94" t="str">
        <f>IF(F120="Skeet",IFERROR(INDEX('Shooter-Squad Assignment'!$A:$A,MATCH(C120&amp;"-"&amp;E120&amp;"-"&amp;F120&amp;"-Pos1",'Shooter-Squad Assignment'!$K:$K,0)),""),IF(F120="Trap",IFERROR(INDEX('Shooter-Squad Assignment'!$A:$A,MATCH(C120&amp;"-"&amp;E120&amp;"-"&amp;F120&amp;"-Pos1",'Shooter-Squad Assignment'!$W:$W,0)),""),IF(F120="Sporting Clays",IFERROR(INDEX('Shooter-Squad Assignment'!$A:$A,MATCH(C120&amp;"-"&amp;E120&amp;"-"&amp;F120&amp;"-Pos1",'Shooter-Squad Assignment'!$Z:$Z,0)),""),"")))</f>
        <v/>
      </c>
      <c r="H120" s="73" t="str">
        <f>IF(ISBLANK(G120),"",IFERROR(INDEX('Tournament List'!$D:$D,MATCH(G120,'Tournament List'!$A:$A,0)),""))</f>
        <v/>
      </c>
      <c r="I120" s="94" t="str">
        <f>IF(F120="Skeet",IFERROR(INDEX('Shooter-Squad Assignment'!$A:$A,MATCH(C120&amp;"-"&amp;E120&amp;"-"&amp;F120&amp;"-Pos2",'Shooter-Squad Assignment'!$K:$K,0)),""),IF(F120="Trap",IFERROR(INDEX('Shooter-Squad Assignment'!$A:$A,MATCH(C120&amp;"-"&amp;E120&amp;"-"&amp;F120&amp;"-Pos2",'Shooter-Squad Assignment'!$W:$W,0)),""),IF(F120="Sporting Clays",IFERROR(INDEX('Shooter-Squad Assignment'!$A:$A,MATCH(C120&amp;"-"&amp;E120&amp;"-"&amp;F120&amp;"-Pos2",'Shooter-Squad Assignment'!$Z:$Z,0)),""),"")))</f>
        <v/>
      </c>
      <c r="J120" s="73" t="str">
        <f>IF(ISBLANK(I120),"",IFERROR(INDEX('Tournament List'!$D:$D,MATCH(I120,'Tournament List'!$A:$A,0)),""))</f>
        <v/>
      </c>
      <c r="K120" s="94" t="str">
        <f>IF(F120="Skeet",IFERROR(INDEX('Shooter-Squad Assignment'!$A:$A,MATCH(C120&amp;"-"&amp;E120&amp;"-"&amp;F120&amp;"-Pos3",'Shooter-Squad Assignment'!$K:$K,0)),""),IF(F120="Trap",IFERROR(INDEX('Shooter-Squad Assignment'!$A:$A,MATCH(C120&amp;"-"&amp;E120&amp;"-"&amp;F120&amp;"-Pos3",'Shooter-Squad Assignment'!$W:$W,0)),""),IF(F120="Sporting Clays",IFERROR(INDEX('Shooter-Squad Assignment'!$A:$A,MATCH(C120&amp;"-"&amp;E120&amp;"-"&amp;F120&amp;"-Pos3",'Shooter-Squad Assignment'!$Z:$Z,0)),""),"")))</f>
        <v/>
      </c>
      <c r="L120" s="73" t="str">
        <f>IF(ISBLANK(K120),"",IFERROR(INDEX('Tournament List'!$D:$D,MATCH(K120,'Tournament List'!$A:$A,0)),""))</f>
        <v/>
      </c>
      <c r="M120" s="94" t="str">
        <f>IF(F120="Skeet",IFERROR(INDEX('Shooter-Squad Assignment'!$A:$A,MATCH(C120&amp;"-"&amp;E120&amp;"-"&amp;F120&amp;"-Pos4",'Shooter-Squad Assignment'!$K:$K,0)),""),IF(F120="Trap",IFERROR(INDEX('Shooter-Squad Assignment'!$A:$A,MATCH(C120&amp;"-"&amp;E120&amp;"-"&amp;F120&amp;"-Pos4",'Shooter-Squad Assignment'!$W:$W,0)),""),IF(F120="Sporting Clays",IFERROR(INDEX('Shooter-Squad Assignment'!$A:$A,MATCH(C120&amp;"-"&amp;E120&amp;"-"&amp;F120&amp;"-Pos4",'Shooter-Squad Assignment'!$Z:$Z,0)),""),"")))</f>
        <v/>
      </c>
      <c r="N120" s="73" t="str">
        <f>IF(ISBLANK(M120),"",IFERROR(INDEX('Tournament List'!$D:$D,MATCH(M120,'Tournament List'!$A:$A,0)),""))</f>
        <v/>
      </c>
      <c r="O120" s="94" t="str">
        <f>IF(F120="Skeet",IFERROR(INDEX('Shooter-Squad Assignment'!$A:$A,MATCH(C120&amp;"-"&amp;E120&amp;"-"&amp;F120&amp;"-Pos5",'Shooter-Squad Assignment'!$K:$K,0)),""),IF(F120="Trap",IFERROR(INDEX('Shooter-Squad Assignment'!$A:$A,MATCH(C120&amp;"-"&amp;E120&amp;"-"&amp;F120&amp;"-Pos5",'Shooter-Squad Assignment'!$W:$W,0)),""),IF(F120="Sporting Clays",IFERROR(INDEX('Shooter-Squad Assignment'!$A:$A,MATCH(C120&amp;"-"&amp;E120&amp;"-"&amp;F120&amp;"-Pos5",'Shooter-Squad Assignment'!$Z:$Z,0)),""),"")))</f>
        <v/>
      </c>
      <c r="P120" s="79" t="str">
        <f>IF(ISBLANK(O120),"",IFERROR(INDEX('Tournament List'!$D:$D,MATCH(O120,'Tournament List'!$A:$A,0)),""))</f>
        <v/>
      </c>
    </row>
    <row r="121" spans="1:16" x14ac:dyDescent="0.3">
      <c r="A121" s="78">
        <v>120</v>
      </c>
      <c r="B121" s="73" t="str">
        <f>C121&amp;"-"&amp;E121&amp;"-"&amp;F121</f>
        <v>High Plains Drifters-Intermediate 3-Skeet</v>
      </c>
      <c r="C121" s="73" t="s">
        <v>307</v>
      </c>
      <c r="D121" s="73" t="str">
        <f>INDEX('Tournament Setup'!$B$59:$B$78,MATCH(E121,SquadConcurrents,0))</f>
        <v>Intermediate</v>
      </c>
      <c r="E121" s="73" t="s">
        <v>350</v>
      </c>
      <c r="F121" s="73" t="s">
        <v>143</v>
      </c>
      <c r="G121" s="94" t="str">
        <f>IF(F121="Skeet",IFERROR(INDEX('Shooter-Squad Assignment'!$A:$A,MATCH(C121&amp;"-"&amp;E121&amp;"-"&amp;F121&amp;"-Pos1",'Shooter-Squad Assignment'!$K:$K,0)),""),IF(F121="Trap",IFERROR(INDEX('Shooter-Squad Assignment'!$A:$A,MATCH(C121&amp;"-"&amp;E121&amp;"-"&amp;F121&amp;"-Pos1",'Shooter-Squad Assignment'!$W:$W,0)),""),IF(F121="Sporting Clays",IFERROR(INDEX('Shooter-Squad Assignment'!$A:$A,MATCH(C121&amp;"-"&amp;E121&amp;"-"&amp;F121&amp;"-Pos1",'Shooter-Squad Assignment'!$Z:$Z,0)),""),"")))</f>
        <v/>
      </c>
      <c r="H121" s="73" t="str">
        <f>IF(ISBLANK(G121),"",IFERROR(INDEX('Tournament List'!$D:$D,MATCH(G121,'Tournament List'!$A:$A,0)),""))</f>
        <v/>
      </c>
      <c r="I121" s="94" t="str">
        <f>IF(F121="Skeet",IFERROR(INDEX('Shooter-Squad Assignment'!$A:$A,MATCH(C121&amp;"-"&amp;E121&amp;"-"&amp;F121&amp;"-Pos2",'Shooter-Squad Assignment'!$K:$K,0)),""),IF(F121="Trap",IFERROR(INDEX('Shooter-Squad Assignment'!$A:$A,MATCH(C121&amp;"-"&amp;E121&amp;"-"&amp;F121&amp;"-Pos2",'Shooter-Squad Assignment'!$W:$W,0)),""),IF(F121="Sporting Clays",IFERROR(INDEX('Shooter-Squad Assignment'!$A:$A,MATCH(C121&amp;"-"&amp;E121&amp;"-"&amp;F121&amp;"-Pos2",'Shooter-Squad Assignment'!$Z:$Z,0)),""),"")))</f>
        <v/>
      </c>
      <c r="J121" s="73" t="str">
        <f>IF(ISBLANK(I121),"",IFERROR(INDEX('Tournament List'!$D:$D,MATCH(I121,'Tournament List'!$A:$A,0)),""))</f>
        <v/>
      </c>
      <c r="K121" s="94" t="str">
        <f>IF(F121="Skeet",IFERROR(INDEX('Shooter-Squad Assignment'!$A:$A,MATCH(C121&amp;"-"&amp;E121&amp;"-"&amp;F121&amp;"-Pos3",'Shooter-Squad Assignment'!$K:$K,0)),""),IF(F121="Trap",IFERROR(INDEX('Shooter-Squad Assignment'!$A:$A,MATCH(C121&amp;"-"&amp;E121&amp;"-"&amp;F121&amp;"-Pos3",'Shooter-Squad Assignment'!$W:$W,0)),""),IF(F121="Sporting Clays",IFERROR(INDEX('Shooter-Squad Assignment'!$A:$A,MATCH(C121&amp;"-"&amp;E121&amp;"-"&amp;F121&amp;"-Pos3",'Shooter-Squad Assignment'!$Z:$Z,0)),""),"")))</f>
        <v/>
      </c>
      <c r="L121" s="73" t="str">
        <f>IF(ISBLANK(K121),"",IFERROR(INDEX('Tournament List'!$D:$D,MATCH(K121,'Tournament List'!$A:$A,0)),""))</f>
        <v/>
      </c>
      <c r="M121" s="94" t="str">
        <f>IF(F121="Skeet",IFERROR(INDEX('Shooter-Squad Assignment'!$A:$A,MATCH(C121&amp;"-"&amp;E121&amp;"-"&amp;F121&amp;"-Pos4",'Shooter-Squad Assignment'!$K:$K,0)),""),IF(F121="Trap",IFERROR(INDEX('Shooter-Squad Assignment'!$A:$A,MATCH(C121&amp;"-"&amp;E121&amp;"-"&amp;F121&amp;"-Pos4",'Shooter-Squad Assignment'!$W:$W,0)),""),IF(F121="Sporting Clays",IFERROR(INDEX('Shooter-Squad Assignment'!$A:$A,MATCH(C121&amp;"-"&amp;E121&amp;"-"&amp;F121&amp;"-Pos4",'Shooter-Squad Assignment'!$Z:$Z,0)),""),"")))</f>
        <v/>
      </c>
      <c r="N121" s="73" t="str">
        <f>IF(ISBLANK(M121),"",IFERROR(INDEX('Tournament List'!$D:$D,MATCH(M121,'Tournament List'!$A:$A,0)),""))</f>
        <v/>
      </c>
      <c r="O121" s="94" t="str">
        <f>IF(F121="Skeet",IFERROR(INDEX('Shooter-Squad Assignment'!$A:$A,MATCH(C121&amp;"-"&amp;E121&amp;"-"&amp;F121&amp;"-Pos5",'Shooter-Squad Assignment'!$K:$K,0)),""),IF(F121="Trap",IFERROR(INDEX('Shooter-Squad Assignment'!$A:$A,MATCH(C121&amp;"-"&amp;E121&amp;"-"&amp;F121&amp;"-Pos5",'Shooter-Squad Assignment'!$W:$W,0)),""),IF(F121="Sporting Clays",IFERROR(INDEX('Shooter-Squad Assignment'!$A:$A,MATCH(C121&amp;"-"&amp;E121&amp;"-"&amp;F121&amp;"-Pos5",'Shooter-Squad Assignment'!$Z:$Z,0)),""),"")))</f>
        <v/>
      </c>
      <c r="P121" s="79" t="str">
        <f>IF(ISBLANK(O121),"",IFERROR(INDEX('Tournament List'!$D:$D,MATCH(O121,'Tournament List'!$A:$A,0)),""))</f>
        <v/>
      </c>
    </row>
    <row r="122" spans="1:16" x14ac:dyDescent="0.3">
      <c r="A122" s="78">
        <v>121</v>
      </c>
      <c r="B122" s="73" t="str">
        <f>C122&amp;"-"&amp;E122&amp;"-"&amp;F122</f>
        <v>High Plains Drifters-Junior Varsity 1-Skeet</v>
      </c>
      <c r="C122" s="73" t="s">
        <v>307</v>
      </c>
      <c r="D122" s="73" t="str">
        <f>INDEX('Tournament Setup'!$B$59:$B$78,MATCH(E122,SquadConcurrents,0))</f>
        <v>Junior Varsity</v>
      </c>
      <c r="E122" s="73" t="s">
        <v>339</v>
      </c>
      <c r="F122" s="73" t="s">
        <v>143</v>
      </c>
      <c r="G122" s="94" t="str">
        <f>IF(F122="Skeet",IFERROR(INDEX('Shooter-Squad Assignment'!$A:$A,MATCH(C122&amp;"-"&amp;E122&amp;"-"&amp;F122&amp;"-Pos1",'Shooter-Squad Assignment'!$K:$K,0)),""),IF(F122="Trap",IFERROR(INDEX('Shooter-Squad Assignment'!$A:$A,MATCH(C122&amp;"-"&amp;E122&amp;"-"&amp;F122&amp;"-Pos1",'Shooter-Squad Assignment'!$W:$W,0)),""),IF(F122="Sporting Clays",IFERROR(INDEX('Shooter-Squad Assignment'!$A:$A,MATCH(C122&amp;"-"&amp;E122&amp;"-"&amp;F122&amp;"-Pos1",'Shooter-Squad Assignment'!$Z:$Z,0)),""),"")))</f>
        <v/>
      </c>
      <c r="H122" s="73" t="str">
        <f>IF(ISBLANK(G122),"",IFERROR(INDEX('Tournament List'!$D:$D,MATCH(G122,'Tournament List'!$A:$A,0)),""))</f>
        <v/>
      </c>
      <c r="I122" s="94" t="str">
        <f>IF(F122="Skeet",IFERROR(INDEX('Shooter-Squad Assignment'!$A:$A,MATCH(C122&amp;"-"&amp;E122&amp;"-"&amp;F122&amp;"-Pos2",'Shooter-Squad Assignment'!$K:$K,0)),""),IF(F122="Trap",IFERROR(INDEX('Shooter-Squad Assignment'!$A:$A,MATCH(C122&amp;"-"&amp;E122&amp;"-"&amp;F122&amp;"-Pos2",'Shooter-Squad Assignment'!$W:$W,0)),""),IF(F122="Sporting Clays",IFERROR(INDEX('Shooter-Squad Assignment'!$A:$A,MATCH(C122&amp;"-"&amp;E122&amp;"-"&amp;F122&amp;"-Pos2",'Shooter-Squad Assignment'!$Z:$Z,0)),""),"")))</f>
        <v/>
      </c>
      <c r="J122" s="73" t="str">
        <f>IF(ISBLANK(I122),"",IFERROR(INDEX('Tournament List'!$D:$D,MATCH(I122,'Tournament List'!$A:$A,0)),""))</f>
        <v/>
      </c>
      <c r="K122" s="94" t="str">
        <f>IF(F122="Skeet",IFERROR(INDEX('Shooter-Squad Assignment'!$A:$A,MATCH(C122&amp;"-"&amp;E122&amp;"-"&amp;F122&amp;"-Pos3",'Shooter-Squad Assignment'!$K:$K,0)),""),IF(F122="Trap",IFERROR(INDEX('Shooter-Squad Assignment'!$A:$A,MATCH(C122&amp;"-"&amp;E122&amp;"-"&amp;F122&amp;"-Pos3",'Shooter-Squad Assignment'!$W:$W,0)),""),IF(F122="Sporting Clays",IFERROR(INDEX('Shooter-Squad Assignment'!$A:$A,MATCH(C122&amp;"-"&amp;E122&amp;"-"&amp;F122&amp;"-Pos3",'Shooter-Squad Assignment'!$Z:$Z,0)),""),"")))</f>
        <v/>
      </c>
      <c r="L122" s="73" t="str">
        <f>IF(ISBLANK(K122),"",IFERROR(INDEX('Tournament List'!$D:$D,MATCH(K122,'Tournament List'!$A:$A,0)),""))</f>
        <v/>
      </c>
      <c r="M122" s="94" t="str">
        <f>IF(F122="Skeet",IFERROR(INDEX('Shooter-Squad Assignment'!$A:$A,MATCH(C122&amp;"-"&amp;E122&amp;"-"&amp;F122&amp;"-Pos4",'Shooter-Squad Assignment'!$K:$K,0)),""),IF(F122="Trap",IFERROR(INDEX('Shooter-Squad Assignment'!$A:$A,MATCH(C122&amp;"-"&amp;E122&amp;"-"&amp;F122&amp;"-Pos4",'Shooter-Squad Assignment'!$W:$W,0)),""),IF(F122="Sporting Clays",IFERROR(INDEX('Shooter-Squad Assignment'!$A:$A,MATCH(C122&amp;"-"&amp;E122&amp;"-"&amp;F122&amp;"-Pos4",'Shooter-Squad Assignment'!$Z:$Z,0)),""),"")))</f>
        <v/>
      </c>
      <c r="N122" s="73" t="str">
        <f>IF(ISBLANK(M122),"",IFERROR(INDEX('Tournament List'!$D:$D,MATCH(M122,'Tournament List'!$A:$A,0)),""))</f>
        <v/>
      </c>
      <c r="O122" s="94" t="str">
        <f>IF(F122="Skeet",IFERROR(INDEX('Shooter-Squad Assignment'!$A:$A,MATCH(C122&amp;"-"&amp;E122&amp;"-"&amp;F122&amp;"-Pos5",'Shooter-Squad Assignment'!$K:$K,0)),""),IF(F122="Trap",IFERROR(INDEX('Shooter-Squad Assignment'!$A:$A,MATCH(C122&amp;"-"&amp;E122&amp;"-"&amp;F122&amp;"-Pos5",'Shooter-Squad Assignment'!$W:$W,0)),""),IF(F122="Sporting Clays",IFERROR(INDEX('Shooter-Squad Assignment'!$A:$A,MATCH(C122&amp;"-"&amp;E122&amp;"-"&amp;F122&amp;"-Pos5",'Shooter-Squad Assignment'!$Z:$Z,0)),""),"")))</f>
        <v/>
      </c>
      <c r="P122" s="79" t="str">
        <f>IF(ISBLANK(O122),"",IFERROR(INDEX('Tournament List'!$D:$D,MATCH(O122,'Tournament List'!$A:$A,0)),""))</f>
        <v/>
      </c>
    </row>
    <row r="123" spans="1:16" x14ac:dyDescent="0.3">
      <c r="A123" s="78">
        <v>122</v>
      </c>
      <c r="B123" s="73" t="str">
        <f>C123&amp;"-"&amp;E123&amp;"-"&amp;F123</f>
        <v>High Plains Drifters-Junior Varsity 2-Skeet</v>
      </c>
      <c r="C123" s="73" t="s">
        <v>307</v>
      </c>
      <c r="D123" s="73" t="str">
        <f>INDEX('Tournament Setup'!$B$59:$B$78,MATCH(E123,SquadConcurrents,0))</f>
        <v>Junior Varsity</v>
      </c>
      <c r="E123" s="73" t="s">
        <v>345</v>
      </c>
      <c r="F123" s="73" t="s">
        <v>143</v>
      </c>
      <c r="G123" s="94" t="str">
        <f>IF(F123="Skeet",IFERROR(INDEX('Shooter-Squad Assignment'!$A:$A,MATCH(C123&amp;"-"&amp;E123&amp;"-"&amp;F123&amp;"-Pos1",'Shooter-Squad Assignment'!$K:$K,0)),""),IF(F123="Trap",IFERROR(INDEX('Shooter-Squad Assignment'!$A:$A,MATCH(C123&amp;"-"&amp;E123&amp;"-"&amp;F123&amp;"-Pos1",'Shooter-Squad Assignment'!$W:$W,0)),""),IF(F123="Sporting Clays",IFERROR(INDEX('Shooter-Squad Assignment'!$A:$A,MATCH(C123&amp;"-"&amp;E123&amp;"-"&amp;F123&amp;"-Pos1",'Shooter-Squad Assignment'!$Z:$Z,0)),""),"")))</f>
        <v/>
      </c>
      <c r="H123" s="73" t="str">
        <f>IF(ISBLANK(G123),"",IFERROR(INDEX('Tournament List'!$D:$D,MATCH(G123,'Tournament List'!$A:$A,0)),""))</f>
        <v/>
      </c>
      <c r="I123" s="94" t="str">
        <f>IF(F123="Skeet",IFERROR(INDEX('Shooter-Squad Assignment'!$A:$A,MATCH(C123&amp;"-"&amp;E123&amp;"-"&amp;F123&amp;"-Pos2",'Shooter-Squad Assignment'!$K:$K,0)),""),IF(F123="Trap",IFERROR(INDEX('Shooter-Squad Assignment'!$A:$A,MATCH(C123&amp;"-"&amp;E123&amp;"-"&amp;F123&amp;"-Pos2",'Shooter-Squad Assignment'!$W:$W,0)),""),IF(F123="Sporting Clays",IFERROR(INDEX('Shooter-Squad Assignment'!$A:$A,MATCH(C123&amp;"-"&amp;E123&amp;"-"&amp;F123&amp;"-Pos2",'Shooter-Squad Assignment'!$Z:$Z,0)),""),"")))</f>
        <v/>
      </c>
      <c r="J123" s="73" t="str">
        <f>IF(ISBLANK(I123),"",IFERROR(INDEX('Tournament List'!$D:$D,MATCH(I123,'Tournament List'!$A:$A,0)),""))</f>
        <v/>
      </c>
      <c r="K123" s="94" t="str">
        <f>IF(F123="Skeet",IFERROR(INDEX('Shooter-Squad Assignment'!$A:$A,MATCH(C123&amp;"-"&amp;E123&amp;"-"&amp;F123&amp;"-Pos3",'Shooter-Squad Assignment'!$K:$K,0)),""),IF(F123="Trap",IFERROR(INDEX('Shooter-Squad Assignment'!$A:$A,MATCH(C123&amp;"-"&amp;E123&amp;"-"&amp;F123&amp;"-Pos3",'Shooter-Squad Assignment'!$W:$W,0)),""),IF(F123="Sporting Clays",IFERROR(INDEX('Shooter-Squad Assignment'!$A:$A,MATCH(C123&amp;"-"&amp;E123&amp;"-"&amp;F123&amp;"-Pos3",'Shooter-Squad Assignment'!$Z:$Z,0)),""),"")))</f>
        <v/>
      </c>
      <c r="L123" s="73" t="str">
        <f>IF(ISBLANK(K123),"",IFERROR(INDEX('Tournament List'!$D:$D,MATCH(K123,'Tournament List'!$A:$A,0)),""))</f>
        <v/>
      </c>
      <c r="M123" s="94" t="str">
        <f>IF(F123="Skeet",IFERROR(INDEX('Shooter-Squad Assignment'!$A:$A,MATCH(C123&amp;"-"&amp;E123&amp;"-"&amp;F123&amp;"-Pos4",'Shooter-Squad Assignment'!$K:$K,0)),""),IF(F123="Trap",IFERROR(INDEX('Shooter-Squad Assignment'!$A:$A,MATCH(C123&amp;"-"&amp;E123&amp;"-"&amp;F123&amp;"-Pos4",'Shooter-Squad Assignment'!$W:$W,0)),""),IF(F123="Sporting Clays",IFERROR(INDEX('Shooter-Squad Assignment'!$A:$A,MATCH(C123&amp;"-"&amp;E123&amp;"-"&amp;F123&amp;"-Pos4",'Shooter-Squad Assignment'!$Z:$Z,0)),""),"")))</f>
        <v/>
      </c>
      <c r="N123" s="73" t="str">
        <f>IF(ISBLANK(M123),"",IFERROR(INDEX('Tournament List'!$D:$D,MATCH(M123,'Tournament List'!$A:$A,0)),""))</f>
        <v/>
      </c>
      <c r="O123" s="94" t="str">
        <f>IF(F123="Skeet",IFERROR(INDEX('Shooter-Squad Assignment'!$A:$A,MATCH(C123&amp;"-"&amp;E123&amp;"-"&amp;F123&amp;"-Pos5",'Shooter-Squad Assignment'!$K:$K,0)),""),IF(F123="Trap",IFERROR(INDEX('Shooter-Squad Assignment'!$A:$A,MATCH(C123&amp;"-"&amp;E123&amp;"-"&amp;F123&amp;"-Pos5",'Shooter-Squad Assignment'!$W:$W,0)),""),IF(F123="Sporting Clays",IFERROR(INDEX('Shooter-Squad Assignment'!$A:$A,MATCH(C123&amp;"-"&amp;E123&amp;"-"&amp;F123&amp;"-Pos5",'Shooter-Squad Assignment'!$Z:$Z,0)),""),"")))</f>
        <v/>
      </c>
      <c r="P123" s="79" t="str">
        <f>IF(ISBLANK(O123),"",IFERROR(INDEX('Tournament List'!$D:$D,MATCH(O123,'Tournament List'!$A:$A,0)),""))</f>
        <v/>
      </c>
    </row>
    <row r="124" spans="1:16" x14ac:dyDescent="0.3">
      <c r="A124" s="78">
        <v>123</v>
      </c>
      <c r="B124" s="73" t="str">
        <f>C124&amp;"-"&amp;E124&amp;"-"&amp;F124</f>
        <v>High Plains Drifters-Junior Varsity 3-Skeet</v>
      </c>
      <c r="C124" s="73" t="s">
        <v>307</v>
      </c>
      <c r="D124" s="73" t="str">
        <f>INDEX('Tournament Setup'!$B$59:$B$78,MATCH(E124,SquadConcurrents,0))</f>
        <v>Junior Varsity</v>
      </c>
      <c r="E124" s="73" t="s">
        <v>351</v>
      </c>
      <c r="F124" s="73" t="s">
        <v>143</v>
      </c>
      <c r="G124" s="94" t="str">
        <f>IF(F124="Skeet",IFERROR(INDEX('Shooter-Squad Assignment'!$A:$A,MATCH(C124&amp;"-"&amp;E124&amp;"-"&amp;F124&amp;"-Pos1",'Shooter-Squad Assignment'!$K:$K,0)),""),IF(F124="Trap",IFERROR(INDEX('Shooter-Squad Assignment'!$A:$A,MATCH(C124&amp;"-"&amp;E124&amp;"-"&amp;F124&amp;"-Pos1",'Shooter-Squad Assignment'!$W:$W,0)),""),IF(F124="Sporting Clays",IFERROR(INDEX('Shooter-Squad Assignment'!$A:$A,MATCH(C124&amp;"-"&amp;E124&amp;"-"&amp;F124&amp;"-Pos1",'Shooter-Squad Assignment'!$Z:$Z,0)),""),"")))</f>
        <v/>
      </c>
      <c r="H124" s="73" t="str">
        <f>IF(ISBLANK(G124),"",IFERROR(INDEX('Tournament List'!$D:$D,MATCH(G124,'Tournament List'!$A:$A,0)),""))</f>
        <v/>
      </c>
      <c r="I124" s="94" t="str">
        <f>IF(F124="Skeet",IFERROR(INDEX('Shooter-Squad Assignment'!$A:$A,MATCH(C124&amp;"-"&amp;E124&amp;"-"&amp;F124&amp;"-Pos2",'Shooter-Squad Assignment'!$K:$K,0)),""),IF(F124="Trap",IFERROR(INDEX('Shooter-Squad Assignment'!$A:$A,MATCH(C124&amp;"-"&amp;E124&amp;"-"&amp;F124&amp;"-Pos2",'Shooter-Squad Assignment'!$W:$W,0)),""),IF(F124="Sporting Clays",IFERROR(INDEX('Shooter-Squad Assignment'!$A:$A,MATCH(C124&amp;"-"&amp;E124&amp;"-"&amp;F124&amp;"-Pos2",'Shooter-Squad Assignment'!$Z:$Z,0)),""),"")))</f>
        <v/>
      </c>
      <c r="J124" s="73" t="str">
        <f>IF(ISBLANK(I124),"",IFERROR(INDEX('Tournament List'!$D:$D,MATCH(I124,'Tournament List'!$A:$A,0)),""))</f>
        <v/>
      </c>
      <c r="K124" s="94" t="str">
        <f>IF(F124="Skeet",IFERROR(INDEX('Shooter-Squad Assignment'!$A:$A,MATCH(C124&amp;"-"&amp;E124&amp;"-"&amp;F124&amp;"-Pos3",'Shooter-Squad Assignment'!$K:$K,0)),""),IF(F124="Trap",IFERROR(INDEX('Shooter-Squad Assignment'!$A:$A,MATCH(C124&amp;"-"&amp;E124&amp;"-"&amp;F124&amp;"-Pos3",'Shooter-Squad Assignment'!$W:$W,0)),""),IF(F124="Sporting Clays",IFERROR(INDEX('Shooter-Squad Assignment'!$A:$A,MATCH(C124&amp;"-"&amp;E124&amp;"-"&amp;F124&amp;"-Pos3",'Shooter-Squad Assignment'!$Z:$Z,0)),""),"")))</f>
        <v/>
      </c>
      <c r="L124" s="73" t="str">
        <f>IF(ISBLANK(K124),"",IFERROR(INDEX('Tournament List'!$D:$D,MATCH(K124,'Tournament List'!$A:$A,0)),""))</f>
        <v/>
      </c>
      <c r="M124" s="94" t="str">
        <f>IF(F124="Skeet",IFERROR(INDEX('Shooter-Squad Assignment'!$A:$A,MATCH(C124&amp;"-"&amp;E124&amp;"-"&amp;F124&amp;"-Pos4",'Shooter-Squad Assignment'!$K:$K,0)),""),IF(F124="Trap",IFERROR(INDEX('Shooter-Squad Assignment'!$A:$A,MATCH(C124&amp;"-"&amp;E124&amp;"-"&amp;F124&amp;"-Pos4",'Shooter-Squad Assignment'!$W:$W,0)),""),IF(F124="Sporting Clays",IFERROR(INDEX('Shooter-Squad Assignment'!$A:$A,MATCH(C124&amp;"-"&amp;E124&amp;"-"&amp;F124&amp;"-Pos4",'Shooter-Squad Assignment'!$Z:$Z,0)),""),"")))</f>
        <v/>
      </c>
      <c r="N124" s="73" t="str">
        <f>IF(ISBLANK(M124),"",IFERROR(INDEX('Tournament List'!$D:$D,MATCH(M124,'Tournament List'!$A:$A,0)),""))</f>
        <v/>
      </c>
      <c r="O124" s="94" t="str">
        <f>IF(F124="Skeet",IFERROR(INDEX('Shooter-Squad Assignment'!$A:$A,MATCH(C124&amp;"-"&amp;E124&amp;"-"&amp;F124&amp;"-Pos5",'Shooter-Squad Assignment'!$K:$K,0)),""),IF(F124="Trap",IFERROR(INDEX('Shooter-Squad Assignment'!$A:$A,MATCH(C124&amp;"-"&amp;E124&amp;"-"&amp;F124&amp;"-Pos5",'Shooter-Squad Assignment'!$W:$W,0)),""),IF(F124="Sporting Clays",IFERROR(INDEX('Shooter-Squad Assignment'!$A:$A,MATCH(C124&amp;"-"&amp;E124&amp;"-"&amp;F124&amp;"-Pos5",'Shooter-Squad Assignment'!$Z:$Z,0)),""),"")))</f>
        <v/>
      </c>
      <c r="P124" s="79" t="str">
        <f>IF(ISBLANK(O124),"",IFERROR(INDEX('Tournament List'!$D:$D,MATCH(O124,'Tournament List'!$A:$A,0)),""))</f>
        <v/>
      </c>
    </row>
    <row r="125" spans="1:16" x14ac:dyDescent="0.3">
      <c r="A125" s="78">
        <v>124</v>
      </c>
      <c r="B125" s="73" t="str">
        <f>C125&amp;"-"&amp;E125&amp;"-"&amp;F125</f>
        <v>High Plains Drifters-Novice 1-Skeet</v>
      </c>
      <c r="C125" s="73" t="s">
        <v>307</v>
      </c>
      <c r="D125" s="73" t="str">
        <f>INDEX('Tournament Setup'!$B$59:$B$78,MATCH(E125,SquadConcurrents,0))</f>
        <v>Novice</v>
      </c>
      <c r="E125" s="73" t="s">
        <v>337</v>
      </c>
      <c r="F125" s="73" t="s">
        <v>143</v>
      </c>
      <c r="G125" s="94" t="str">
        <f>IF(F125="Skeet",IFERROR(INDEX('Shooter-Squad Assignment'!$A:$A,MATCH(C125&amp;"-"&amp;E125&amp;"-"&amp;F125&amp;"-Pos1",'Shooter-Squad Assignment'!$K:$K,0)),""),IF(F125="Trap",IFERROR(INDEX('Shooter-Squad Assignment'!$A:$A,MATCH(C125&amp;"-"&amp;E125&amp;"-"&amp;F125&amp;"-Pos1",'Shooter-Squad Assignment'!$W:$W,0)),""),IF(F125="Sporting Clays",IFERROR(INDEX('Shooter-Squad Assignment'!$A:$A,MATCH(C125&amp;"-"&amp;E125&amp;"-"&amp;F125&amp;"-Pos1",'Shooter-Squad Assignment'!$Z:$Z,0)),""),"")))</f>
        <v/>
      </c>
      <c r="H125" s="73" t="str">
        <f>IF(ISBLANK(G125),"",IFERROR(INDEX('Tournament List'!$D:$D,MATCH(G125,'Tournament List'!$A:$A,0)),""))</f>
        <v/>
      </c>
      <c r="I125" s="94" t="str">
        <f>IF(F125="Skeet",IFERROR(INDEX('Shooter-Squad Assignment'!$A:$A,MATCH(C125&amp;"-"&amp;E125&amp;"-"&amp;F125&amp;"-Pos2",'Shooter-Squad Assignment'!$K:$K,0)),""),IF(F125="Trap",IFERROR(INDEX('Shooter-Squad Assignment'!$A:$A,MATCH(C125&amp;"-"&amp;E125&amp;"-"&amp;F125&amp;"-Pos2",'Shooter-Squad Assignment'!$W:$W,0)),""),IF(F125="Sporting Clays",IFERROR(INDEX('Shooter-Squad Assignment'!$A:$A,MATCH(C125&amp;"-"&amp;E125&amp;"-"&amp;F125&amp;"-Pos2",'Shooter-Squad Assignment'!$Z:$Z,0)),""),"")))</f>
        <v/>
      </c>
      <c r="J125" s="73" t="str">
        <f>IF(ISBLANK(I125),"",IFERROR(INDEX('Tournament List'!$D:$D,MATCH(I125,'Tournament List'!$A:$A,0)),""))</f>
        <v/>
      </c>
      <c r="K125" s="94" t="str">
        <f>IF(F125="Skeet",IFERROR(INDEX('Shooter-Squad Assignment'!$A:$A,MATCH(C125&amp;"-"&amp;E125&amp;"-"&amp;F125&amp;"-Pos3",'Shooter-Squad Assignment'!$K:$K,0)),""),IF(F125="Trap",IFERROR(INDEX('Shooter-Squad Assignment'!$A:$A,MATCH(C125&amp;"-"&amp;E125&amp;"-"&amp;F125&amp;"-Pos3",'Shooter-Squad Assignment'!$W:$W,0)),""),IF(F125="Sporting Clays",IFERROR(INDEX('Shooter-Squad Assignment'!$A:$A,MATCH(C125&amp;"-"&amp;E125&amp;"-"&amp;F125&amp;"-Pos3",'Shooter-Squad Assignment'!$Z:$Z,0)),""),"")))</f>
        <v/>
      </c>
      <c r="L125" s="73" t="str">
        <f>IF(ISBLANK(K125),"",IFERROR(INDEX('Tournament List'!$D:$D,MATCH(K125,'Tournament List'!$A:$A,0)),""))</f>
        <v/>
      </c>
      <c r="M125" s="94" t="str">
        <f>IF(F125="Skeet",IFERROR(INDEX('Shooter-Squad Assignment'!$A:$A,MATCH(C125&amp;"-"&amp;E125&amp;"-"&amp;F125&amp;"-Pos4",'Shooter-Squad Assignment'!$K:$K,0)),""),IF(F125="Trap",IFERROR(INDEX('Shooter-Squad Assignment'!$A:$A,MATCH(C125&amp;"-"&amp;E125&amp;"-"&amp;F125&amp;"-Pos4",'Shooter-Squad Assignment'!$W:$W,0)),""),IF(F125="Sporting Clays",IFERROR(INDEX('Shooter-Squad Assignment'!$A:$A,MATCH(C125&amp;"-"&amp;E125&amp;"-"&amp;F125&amp;"-Pos4",'Shooter-Squad Assignment'!$Z:$Z,0)),""),"")))</f>
        <v/>
      </c>
      <c r="N125" s="73" t="str">
        <f>IF(ISBLANK(M125),"",IFERROR(INDEX('Tournament List'!$D:$D,MATCH(M125,'Tournament List'!$A:$A,0)),""))</f>
        <v/>
      </c>
      <c r="O125" s="94" t="str">
        <f>IF(F125="Skeet",IFERROR(INDEX('Shooter-Squad Assignment'!$A:$A,MATCH(C125&amp;"-"&amp;E125&amp;"-"&amp;F125&amp;"-Pos5",'Shooter-Squad Assignment'!$K:$K,0)),""),IF(F125="Trap",IFERROR(INDEX('Shooter-Squad Assignment'!$A:$A,MATCH(C125&amp;"-"&amp;E125&amp;"-"&amp;F125&amp;"-Pos5",'Shooter-Squad Assignment'!$W:$W,0)),""),IF(F125="Sporting Clays",IFERROR(INDEX('Shooter-Squad Assignment'!$A:$A,MATCH(C125&amp;"-"&amp;E125&amp;"-"&amp;F125&amp;"-Pos5",'Shooter-Squad Assignment'!$Z:$Z,0)),""),"")))</f>
        <v/>
      </c>
      <c r="P125" s="79" t="str">
        <f>IF(ISBLANK(O125),"",IFERROR(INDEX('Tournament List'!$D:$D,MATCH(O125,'Tournament List'!$A:$A,0)),""))</f>
        <v/>
      </c>
    </row>
    <row r="126" spans="1:16" x14ac:dyDescent="0.3">
      <c r="A126" s="78">
        <v>125</v>
      </c>
      <c r="B126" s="73" t="str">
        <f>C126&amp;"-"&amp;E126&amp;"-"&amp;F126</f>
        <v>High Plains Drifters-Novice 2-Skeet</v>
      </c>
      <c r="C126" s="73" t="s">
        <v>307</v>
      </c>
      <c r="D126" s="73" t="str">
        <f>INDEX('Tournament Setup'!$B$59:$B$78,MATCH(E126,SquadConcurrents,0))</f>
        <v>Novice</v>
      </c>
      <c r="E126" s="73" t="s">
        <v>343</v>
      </c>
      <c r="F126" s="73" t="s">
        <v>143</v>
      </c>
      <c r="G126" s="94" t="str">
        <f>IF(F126="Skeet",IFERROR(INDEX('Shooter-Squad Assignment'!$A:$A,MATCH(C126&amp;"-"&amp;E126&amp;"-"&amp;F126&amp;"-Pos1",'Shooter-Squad Assignment'!$K:$K,0)),""),IF(F126="Trap",IFERROR(INDEX('Shooter-Squad Assignment'!$A:$A,MATCH(C126&amp;"-"&amp;E126&amp;"-"&amp;F126&amp;"-Pos1",'Shooter-Squad Assignment'!$W:$W,0)),""),IF(F126="Sporting Clays",IFERROR(INDEX('Shooter-Squad Assignment'!$A:$A,MATCH(C126&amp;"-"&amp;E126&amp;"-"&amp;F126&amp;"-Pos1",'Shooter-Squad Assignment'!$Z:$Z,0)),""),"")))</f>
        <v/>
      </c>
      <c r="H126" s="73" t="str">
        <f>IF(ISBLANK(G126),"",IFERROR(INDEX('Tournament List'!$D:$D,MATCH(G126,'Tournament List'!$A:$A,0)),""))</f>
        <v/>
      </c>
      <c r="I126" s="94" t="str">
        <f>IF(F126="Skeet",IFERROR(INDEX('Shooter-Squad Assignment'!$A:$A,MATCH(C126&amp;"-"&amp;E126&amp;"-"&amp;F126&amp;"-Pos2",'Shooter-Squad Assignment'!$K:$K,0)),""),IF(F126="Trap",IFERROR(INDEX('Shooter-Squad Assignment'!$A:$A,MATCH(C126&amp;"-"&amp;E126&amp;"-"&amp;F126&amp;"-Pos2",'Shooter-Squad Assignment'!$W:$W,0)),""),IF(F126="Sporting Clays",IFERROR(INDEX('Shooter-Squad Assignment'!$A:$A,MATCH(C126&amp;"-"&amp;E126&amp;"-"&amp;F126&amp;"-Pos2",'Shooter-Squad Assignment'!$Z:$Z,0)),""),"")))</f>
        <v/>
      </c>
      <c r="J126" s="73" t="str">
        <f>IF(ISBLANK(I126),"",IFERROR(INDEX('Tournament List'!$D:$D,MATCH(I126,'Tournament List'!$A:$A,0)),""))</f>
        <v/>
      </c>
      <c r="K126" s="94" t="str">
        <f>IF(F126="Skeet",IFERROR(INDEX('Shooter-Squad Assignment'!$A:$A,MATCH(C126&amp;"-"&amp;E126&amp;"-"&amp;F126&amp;"-Pos3",'Shooter-Squad Assignment'!$K:$K,0)),""),IF(F126="Trap",IFERROR(INDEX('Shooter-Squad Assignment'!$A:$A,MATCH(C126&amp;"-"&amp;E126&amp;"-"&amp;F126&amp;"-Pos3",'Shooter-Squad Assignment'!$W:$W,0)),""),IF(F126="Sporting Clays",IFERROR(INDEX('Shooter-Squad Assignment'!$A:$A,MATCH(C126&amp;"-"&amp;E126&amp;"-"&amp;F126&amp;"-Pos3",'Shooter-Squad Assignment'!$Z:$Z,0)),""),"")))</f>
        <v/>
      </c>
      <c r="L126" s="73" t="str">
        <f>IF(ISBLANK(K126),"",IFERROR(INDEX('Tournament List'!$D:$D,MATCH(K126,'Tournament List'!$A:$A,0)),""))</f>
        <v/>
      </c>
      <c r="M126" s="94" t="str">
        <f>IF(F126="Skeet",IFERROR(INDEX('Shooter-Squad Assignment'!$A:$A,MATCH(C126&amp;"-"&amp;E126&amp;"-"&amp;F126&amp;"-Pos4",'Shooter-Squad Assignment'!$K:$K,0)),""),IF(F126="Trap",IFERROR(INDEX('Shooter-Squad Assignment'!$A:$A,MATCH(C126&amp;"-"&amp;E126&amp;"-"&amp;F126&amp;"-Pos4",'Shooter-Squad Assignment'!$W:$W,0)),""),IF(F126="Sporting Clays",IFERROR(INDEX('Shooter-Squad Assignment'!$A:$A,MATCH(C126&amp;"-"&amp;E126&amp;"-"&amp;F126&amp;"-Pos4",'Shooter-Squad Assignment'!$Z:$Z,0)),""),"")))</f>
        <v/>
      </c>
      <c r="N126" s="73" t="str">
        <f>IF(ISBLANK(M126),"",IFERROR(INDEX('Tournament List'!$D:$D,MATCH(M126,'Tournament List'!$A:$A,0)),""))</f>
        <v/>
      </c>
      <c r="O126" s="94" t="str">
        <f>IF(F126="Skeet",IFERROR(INDEX('Shooter-Squad Assignment'!$A:$A,MATCH(C126&amp;"-"&amp;E126&amp;"-"&amp;F126&amp;"-Pos5",'Shooter-Squad Assignment'!$K:$K,0)),""),IF(F126="Trap",IFERROR(INDEX('Shooter-Squad Assignment'!$A:$A,MATCH(C126&amp;"-"&amp;E126&amp;"-"&amp;F126&amp;"-Pos5",'Shooter-Squad Assignment'!$W:$W,0)),""),IF(F126="Sporting Clays",IFERROR(INDEX('Shooter-Squad Assignment'!$A:$A,MATCH(C126&amp;"-"&amp;E126&amp;"-"&amp;F126&amp;"-Pos5",'Shooter-Squad Assignment'!$Z:$Z,0)),""),"")))</f>
        <v/>
      </c>
      <c r="P126" s="79" t="str">
        <f>IF(ISBLANK(O126),"",IFERROR(INDEX('Tournament List'!$D:$D,MATCH(O126,'Tournament List'!$A:$A,0)),""))</f>
        <v/>
      </c>
    </row>
    <row r="127" spans="1:16" x14ac:dyDescent="0.3">
      <c r="A127" s="78">
        <v>126</v>
      </c>
      <c r="B127" s="73" t="str">
        <f>C127&amp;"-"&amp;E127&amp;"-"&amp;F127</f>
        <v>High Plains Drifters-Novice 3-Skeet</v>
      </c>
      <c r="C127" s="73" t="s">
        <v>307</v>
      </c>
      <c r="D127" s="73" t="str">
        <f>INDEX('Tournament Setup'!$B$59:$B$78,MATCH(E127,SquadConcurrents,0))</f>
        <v>Novice</v>
      </c>
      <c r="E127" s="73" t="s">
        <v>349</v>
      </c>
      <c r="F127" s="73" t="s">
        <v>143</v>
      </c>
      <c r="G127" s="94" t="str">
        <f>IF(F127="Skeet",IFERROR(INDEX('Shooter-Squad Assignment'!$A:$A,MATCH(C127&amp;"-"&amp;E127&amp;"-"&amp;F127&amp;"-Pos1",'Shooter-Squad Assignment'!$K:$K,0)),""),IF(F127="Trap",IFERROR(INDEX('Shooter-Squad Assignment'!$A:$A,MATCH(C127&amp;"-"&amp;E127&amp;"-"&amp;F127&amp;"-Pos1",'Shooter-Squad Assignment'!$W:$W,0)),""),IF(F127="Sporting Clays",IFERROR(INDEX('Shooter-Squad Assignment'!$A:$A,MATCH(C127&amp;"-"&amp;E127&amp;"-"&amp;F127&amp;"-Pos1",'Shooter-Squad Assignment'!$Z:$Z,0)),""),"")))</f>
        <v/>
      </c>
      <c r="H127" s="73" t="str">
        <f>IF(ISBLANK(G127),"",IFERROR(INDEX('Tournament List'!$D:$D,MATCH(G127,'Tournament List'!$A:$A,0)),""))</f>
        <v/>
      </c>
      <c r="I127" s="94" t="str">
        <f>IF(F127="Skeet",IFERROR(INDEX('Shooter-Squad Assignment'!$A:$A,MATCH(C127&amp;"-"&amp;E127&amp;"-"&amp;F127&amp;"-Pos2",'Shooter-Squad Assignment'!$K:$K,0)),""),IF(F127="Trap",IFERROR(INDEX('Shooter-Squad Assignment'!$A:$A,MATCH(C127&amp;"-"&amp;E127&amp;"-"&amp;F127&amp;"-Pos2",'Shooter-Squad Assignment'!$W:$W,0)),""),IF(F127="Sporting Clays",IFERROR(INDEX('Shooter-Squad Assignment'!$A:$A,MATCH(C127&amp;"-"&amp;E127&amp;"-"&amp;F127&amp;"-Pos2",'Shooter-Squad Assignment'!$Z:$Z,0)),""),"")))</f>
        <v/>
      </c>
      <c r="J127" s="73" t="str">
        <f>IF(ISBLANK(I127),"",IFERROR(INDEX('Tournament List'!$D:$D,MATCH(I127,'Tournament List'!$A:$A,0)),""))</f>
        <v/>
      </c>
      <c r="K127" s="94" t="str">
        <f>IF(F127="Skeet",IFERROR(INDEX('Shooter-Squad Assignment'!$A:$A,MATCH(C127&amp;"-"&amp;E127&amp;"-"&amp;F127&amp;"-Pos3",'Shooter-Squad Assignment'!$K:$K,0)),""),IF(F127="Trap",IFERROR(INDEX('Shooter-Squad Assignment'!$A:$A,MATCH(C127&amp;"-"&amp;E127&amp;"-"&amp;F127&amp;"-Pos3",'Shooter-Squad Assignment'!$W:$W,0)),""),IF(F127="Sporting Clays",IFERROR(INDEX('Shooter-Squad Assignment'!$A:$A,MATCH(C127&amp;"-"&amp;E127&amp;"-"&amp;F127&amp;"-Pos3",'Shooter-Squad Assignment'!$Z:$Z,0)),""),"")))</f>
        <v/>
      </c>
      <c r="L127" s="73" t="str">
        <f>IF(ISBLANK(K127),"",IFERROR(INDEX('Tournament List'!$D:$D,MATCH(K127,'Tournament List'!$A:$A,0)),""))</f>
        <v/>
      </c>
      <c r="M127" s="94" t="str">
        <f>IF(F127="Skeet",IFERROR(INDEX('Shooter-Squad Assignment'!$A:$A,MATCH(C127&amp;"-"&amp;E127&amp;"-"&amp;F127&amp;"-Pos4",'Shooter-Squad Assignment'!$K:$K,0)),""),IF(F127="Trap",IFERROR(INDEX('Shooter-Squad Assignment'!$A:$A,MATCH(C127&amp;"-"&amp;E127&amp;"-"&amp;F127&amp;"-Pos4",'Shooter-Squad Assignment'!$W:$W,0)),""),IF(F127="Sporting Clays",IFERROR(INDEX('Shooter-Squad Assignment'!$A:$A,MATCH(C127&amp;"-"&amp;E127&amp;"-"&amp;F127&amp;"-Pos4",'Shooter-Squad Assignment'!$Z:$Z,0)),""),"")))</f>
        <v/>
      </c>
      <c r="N127" s="73" t="str">
        <f>IF(ISBLANK(M127),"",IFERROR(INDEX('Tournament List'!$D:$D,MATCH(M127,'Tournament List'!$A:$A,0)),""))</f>
        <v/>
      </c>
      <c r="O127" s="94" t="str">
        <f>IF(F127="Skeet",IFERROR(INDEX('Shooter-Squad Assignment'!$A:$A,MATCH(C127&amp;"-"&amp;E127&amp;"-"&amp;F127&amp;"-Pos5",'Shooter-Squad Assignment'!$K:$K,0)),""),IF(F127="Trap",IFERROR(INDEX('Shooter-Squad Assignment'!$A:$A,MATCH(C127&amp;"-"&amp;E127&amp;"-"&amp;F127&amp;"-Pos5",'Shooter-Squad Assignment'!$W:$W,0)),""),IF(F127="Sporting Clays",IFERROR(INDEX('Shooter-Squad Assignment'!$A:$A,MATCH(C127&amp;"-"&amp;E127&amp;"-"&amp;F127&amp;"-Pos5",'Shooter-Squad Assignment'!$Z:$Z,0)),""),"")))</f>
        <v/>
      </c>
      <c r="P127" s="79" t="str">
        <f>IF(ISBLANK(O127),"",IFERROR(INDEX('Tournament List'!$D:$D,MATCH(O127,'Tournament List'!$A:$A,0)),""))</f>
        <v/>
      </c>
    </row>
    <row r="128" spans="1:16" x14ac:dyDescent="0.3">
      <c r="A128" s="78">
        <v>127</v>
      </c>
      <c r="B128" s="73" t="str">
        <f>C128&amp;"-"&amp;E128&amp;"-"&amp;F128</f>
        <v>High Plains Drifters-Open 1-Skeet</v>
      </c>
      <c r="C128" s="73" t="s">
        <v>307</v>
      </c>
      <c r="D128" s="73" t="str">
        <f>INDEX('Tournament Setup'!$B$59:$B$78,MATCH(E128,SquadConcurrents,0))</f>
        <v>Open</v>
      </c>
      <c r="E128" s="73" t="s">
        <v>341</v>
      </c>
      <c r="F128" s="73" t="s">
        <v>143</v>
      </c>
      <c r="G128" s="94" t="str">
        <f>IF(F128="Skeet",IFERROR(INDEX('Shooter-Squad Assignment'!$A:$A,MATCH(C128&amp;"-"&amp;E128&amp;"-"&amp;F128&amp;"-Pos1",'Shooter-Squad Assignment'!$K:$K,0)),""),IF(F128="Trap",IFERROR(INDEX('Shooter-Squad Assignment'!$A:$A,MATCH(C128&amp;"-"&amp;E128&amp;"-"&amp;F128&amp;"-Pos1",'Shooter-Squad Assignment'!$W:$W,0)),""),IF(F128="Sporting Clays",IFERROR(INDEX('Shooter-Squad Assignment'!$A:$A,MATCH(C128&amp;"-"&amp;E128&amp;"-"&amp;F128&amp;"-Pos1",'Shooter-Squad Assignment'!$Z:$Z,0)),""),"")))</f>
        <v>24-1018</v>
      </c>
      <c r="H128" s="73" t="str">
        <f>IF(ISBLANK(G128),"",IFERROR(INDEX('Tournament List'!$D:$D,MATCH(G128,'Tournament List'!$A:$A,0)),""))</f>
        <v>Jack Last Name19</v>
      </c>
      <c r="I128" s="94" t="str">
        <f>IF(F128="Skeet",IFERROR(INDEX('Shooter-Squad Assignment'!$A:$A,MATCH(C128&amp;"-"&amp;E128&amp;"-"&amp;F128&amp;"-Pos2",'Shooter-Squad Assignment'!$K:$K,0)),""),IF(F128="Trap",IFERROR(INDEX('Shooter-Squad Assignment'!$A:$A,MATCH(C128&amp;"-"&amp;E128&amp;"-"&amp;F128&amp;"-Pos2",'Shooter-Squad Assignment'!$W:$W,0)),""),IF(F128="Sporting Clays",IFERROR(INDEX('Shooter-Squad Assignment'!$A:$A,MATCH(C128&amp;"-"&amp;E128&amp;"-"&amp;F128&amp;"-Pos2",'Shooter-Squad Assignment'!$Z:$Z,0)),""),"")))</f>
        <v>24-1024</v>
      </c>
      <c r="J128" s="73" t="str">
        <f>IF(ISBLANK(I128),"",IFERROR(INDEX('Tournament List'!$D:$D,MATCH(I128,'Tournament List'!$A:$A,0)),""))</f>
        <v>Harry Last Name25</v>
      </c>
      <c r="K128" s="94" t="str">
        <f>IF(F128="Skeet",IFERROR(INDEX('Shooter-Squad Assignment'!$A:$A,MATCH(C128&amp;"-"&amp;E128&amp;"-"&amp;F128&amp;"-Pos3",'Shooter-Squad Assignment'!$K:$K,0)),""),IF(F128="Trap",IFERROR(INDEX('Shooter-Squad Assignment'!$A:$A,MATCH(C128&amp;"-"&amp;E128&amp;"-"&amp;F128&amp;"-Pos3",'Shooter-Squad Assignment'!$W:$W,0)),""),IF(F128="Sporting Clays",IFERROR(INDEX('Shooter-Squad Assignment'!$A:$A,MATCH(C128&amp;"-"&amp;E128&amp;"-"&amp;F128&amp;"-Pos3",'Shooter-Squad Assignment'!$Z:$Z,0)),""),"")))</f>
        <v>24-1036</v>
      </c>
      <c r="L128" s="73" t="str">
        <f>IF(ISBLANK(K128),"",IFERROR(INDEX('Tournament List'!$D:$D,MATCH(K128,'Tournament List'!$A:$A,0)),""))</f>
        <v>Will Last Name37</v>
      </c>
      <c r="M128" s="94" t="str">
        <f>IF(F128="Skeet",IFERROR(INDEX('Shooter-Squad Assignment'!$A:$A,MATCH(C128&amp;"-"&amp;E128&amp;"-"&amp;F128&amp;"-Pos4",'Shooter-Squad Assignment'!$K:$K,0)),""),IF(F128="Trap",IFERROR(INDEX('Shooter-Squad Assignment'!$A:$A,MATCH(C128&amp;"-"&amp;E128&amp;"-"&amp;F128&amp;"-Pos4",'Shooter-Squad Assignment'!$W:$W,0)),""),IF(F128="Sporting Clays",IFERROR(INDEX('Shooter-Squad Assignment'!$A:$A,MATCH(C128&amp;"-"&amp;E128&amp;"-"&amp;F128&amp;"-Pos4",'Shooter-Squad Assignment'!$Z:$Z,0)),""),"")))</f>
        <v/>
      </c>
      <c r="N128" s="73" t="str">
        <f>IF(ISBLANK(M128),"",IFERROR(INDEX('Tournament List'!$D:$D,MATCH(M128,'Tournament List'!$A:$A,0)),""))</f>
        <v/>
      </c>
      <c r="O128" s="94" t="str">
        <f>IF(F128="Skeet",IFERROR(INDEX('Shooter-Squad Assignment'!$A:$A,MATCH(C128&amp;"-"&amp;E128&amp;"-"&amp;F128&amp;"-Pos5",'Shooter-Squad Assignment'!$K:$K,0)),""),IF(F128="Trap",IFERROR(INDEX('Shooter-Squad Assignment'!$A:$A,MATCH(C128&amp;"-"&amp;E128&amp;"-"&amp;F128&amp;"-Pos5",'Shooter-Squad Assignment'!$W:$W,0)),""),IF(F128="Sporting Clays",IFERROR(INDEX('Shooter-Squad Assignment'!$A:$A,MATCH(C128&amp;"-"&amp;E128&amp;"-"&amp;F128&amp;"-Pos5",'Shooter-Squad Assignment'!$Z:$Z,0)),""),"")))</f>
        <v/>
      </c>
      <c r="P128" s="79" t="str">
        <f>IF(ISBLANK(O128),"",IFERROR(INDEX('Tournament List'!$D:$D,MATCH(O128,'Tournament List'!$A:$A,0)),""))</f>
        <v/>
      </c>
    </row>
    <row r="129" spans="1:16" x14ac:dyDescent="0.3">
      <c r="A129" s="78">
        <v>128</v>
      </c>
      <c r="B129" s="73" t="str">
        <f>C129&amp;"-"&amp;E129&amp;"-"&amp;F129</f>
        <v>High Plains Drifters-Open 2-Skeet</v>
      </c>
      <c r="C129" s="73" t="s">
        <v>307</v>
      </c>
      <c r="D129" s="73" t="str">
        <f>INDEX('Tournament Setup'!$B$59:$B$78,MATCH(E129,SquadConcurrents,0))</f>
        <v>Open</v>
      </c>
      <c r="E129" s="73" t="s">
        <v>347</v>
      </c>
      <c r="F129" s="73" t="s">
        <v>143</v>
      </c>
      <c r="G129" s="94" t="str">
        <f>IF(F129="Skeet",IFERROR(INDEX('Shooter-Squad Assignment'!$A:$A,MATCH(C129&amp;"-"&amp;E129&amp;"-"&amp;F129&amp;"-Pos1",'Shooter-Squad Assignment'!$K:$K,0)),""),IF(F129="Trap",IFERROR(INDEX('Shooter-Squad Assignment'!$A:$A,MATCH(C129&amp;"-"&amp;E129&amp;"-"&amp;F129&amp;"-Pos1",'Shooter-Squad Assignment'!$W:$W,0)),""),IF(F129="Sporting Clays",IFERROR(INDEX('Shooter-Squad Assignment'!$A:$A,MATCH(C129&amp;"-"&amp;E129&amp;"-"&amp;F129&amp;"-Pos1",'Shooter-Squad Assignment'!$Z:$Z,0)),""),"")))</f>
        <v/>
      </c>
      <c r="H129" s="73" t="str">
        <f>IF(ISBLANK(G129),"",IFERROR(INDEX('Tournament List'!$D:$D,MATCH(G129,'Tournament List'!$A:$A,0)),""))</f>
        <v/>
      </c>
      <c r="I129" s="94" t="str">
        <f>IF(F129="Skeet",IFERROR(INDEX('Shooter-Squad Assignment'!$A:$A,MATCH(C129&amp;"-"&amp;E129&amp;"-"&amp;F129&amp;"-Pos2",'Shooter-Squad Assignment'!$K:$K,0)),""),IF(F129="Trap",IFERROR(INDEX('Shooter-Squad Assignment'!$A:$A,MATCH(C129&amp;"-"&amp;E129&amp;"-"&amp;F129&amp;"-Pos2",'Shooter-Squad Assignment'!$W:$W,0)),""),IF(F129="Sporting Clays",IFERROR(INDEX('Shooter-Squad Assignment'!$A:$A,MATCH(C129&amp;"-"&amp;E129&amp;"-"&amp;F129&amp;"-Pos2",'Shooter-Squad Assignment'!$Z:$Z,0)),""),"")))</f>
        <v/>
      </c>
      <c r="J129" s="73" t="str">
        <f>IF(ISBLANK(I129),"",IFERROR(INDEX('Tournament List'!$D:$D,MATCH(I129,'Tournament List'!$A:$A,0)),""))</f>
        <v/>
      </c>
      <c r="K129" s="94" t="str">
        <f>IF(F129="Skeet",IFERROR(INDEX('Shooter-Squad Assignment'!$A:$A,MATCH(C129&amp;"-"&amp;E129&amp;"-"&amp;F129&amp;"-Pos3",'Shooter-Squad Assignment'!$K:$K,0)),""),IF(F129="Trap",IFERROR(INDEX('Shooter-Squad Assignment'!$A:$A,MATCH(C129&amp;"-"&amp;E129&amp;"-"&amp;F129&amp;"-Pos3",'Shooter-Squad Assignment'!$W:$W,0)),""),IF(F129="Sporting Clays",IFERROR(INDEX('Shooter-Squad Assignment'!$A:$A,MATCH(C129&amp;"-"&amp;E129&amp;"-"&amp;F129&amp;"-Pos3",'Shooter-Squad Assignment'!$Z:$Z,0)),""),"")))</f>
        <v/>
      </c>
      <c r="L129" s="73" t="str">
        <f>IF(ISBLANK(K129),"",IFERROR(INDEX('Tournament List'!$D:$D,MATCH(K129,'Tournament List'!$A:$A,0)),""))</f>
        <v/>
      </c>
      <c r="M129" s="94" t="str">
        <f>IF(F129="Skeet",IFERROR(INDEX('Shooter-Squad Assignment'!$A:$A,MATCH(C129&amp;"-"&amp;E129&amp;"-"&amp;F129&amp;"-Pos4",'Shooter-Squad Assignment'!$K:$K,0)),""),IF(F129="Trap",IFERROR(INDEX('Shooter-Squad Assignment'!$A:$A,MATCH(C129&amp;"-"&amp;E129&amp;"-"&amp;F129&amp;"-Pos4",'Shooter-Squad Assignment'!$W:$W,0)),""),IF(F129="Sporting Clays",IFERROR(INDEX('Shooter-Squad Assignment'!$A:$A,MATCH(C129&amp;"-"&amp;E129&amp;"-"&amp;F129&amp;"-Pos4",'Shooter-Squad Assignment'!$Z:$Z,0)),""),"")))</f>
        <v/>
      </c>
      <c r="N129" s="73" t="str">
        <f>IF(ISBLANK(M129),"",IFERROR(INDEX('Tournament List'!$D:$D,MATCH(M129,'Tournament List'!$A:$A,0)),""))</f>
        <v/>
      </c>
      <c r="O129" s="94" t="str">
        <f>IF(F129="Skeet",IFERROR(INDEX('Shooter-Squad Assignment'!$A:$A,MATCH(C129&amp;"-"&amp;E129&amp;"-"&amp;F129&amp;"-Pos5",'Shooter-Squad Assignment'!$K:$K,0)),""),IF(F129="Trap",IFERROR(INDEX('Shooter-Squad Assignment'!$A:$A,MATCH(C129&amp;"-"&amp;E129&amp;"-"&amp;F129&amp;"-Pos5",'Shooter-Squad Assignment'!$W:$W,0)),""),IF(F129="Sporting Clays",IFERROR(INDEX('Shooter-Squad Assignment'!$A:$A,MATCH(C129&amp;"-"&amp;E129&amp;"-"&amp;F129&amp;"-Pos5",'Shooter-Squad Assignment'!$Z:$Z,0)),""),"")))</f>
        <v/>
      </c>
      <c r="P129" s="79" t="str">
        <f>IF(ISBLANK(O129),"",IFERROR(INDEX('Tournament List'!$D:$D,MATCH(O129,'Tournament List'!$A:$A,0)),""))</f>
        <v/>
      </c>
    </row>
    <row r="130" spans="1:16" x14ac:dyDescent="0.3">
      <c r="A130" s="78">
        <v>129</v>
      </c>
      <c r="B130" s="73" t="str">
        <f>C130&amp;"-"&amp;E130&amp;"-"&amp;F130</f>
        <v>High Plains Drifters-Open 3-Skeet</v>
      </c>
      <c r="C130" s="73" t="s">
        <v>307</v>
      </c>
      <c r="D130" s="73" t="str">
        <f>INDEX('Tournament Setup'!$B$59:$B$78,MATCH(E130,SquadConcurrents,0))</f>
        <v>Open</v>
      </c>
      <c r="E130" s="73" t="s">
        <v>353</v>
      </c>
      <c r="F130" s="73" t="s">
        <v>143</v>
      </c>
      <c r="G130" s="94" t="str">
        <f>IF(F130="Skeet",IFERROR(INDEX('Shooter-Squad Assignment'!$A:$A,MATCH(C130&amp;"-"&amp;E130&amp;"-"&amp;F130&amp;"-Pos1",'Shooter-Squad Assignment'!$K:$K,0)),""),IF(F130="Trap",IFERROR(INDEX('Shooter-Squad Assignment'!$A:$A,MATCH(C130&amp;"-"&amp;E130&amp;"-"&amp;F130&amp;"-Pos1",'Shooter-Squad Assignment'!$W:$W,0)),""),IF(F130="Sporting Clays",IFERROR(INDEX('Shooter-Squad Assignment'!$A:$A,MATCH(C130&amp;"-"&amp;E130&amp;"-"&amp;F130&amp;"-Pos1",'Shooter-Squad Assignment'!$Z:$Z,0)),""),"")))</f>
        <v/>
      </c>
      <c r="H130" s="73" t="str">
        <f>IF(ISBLANK(G130),"",IFERROR(INDEX('Tournament List'!$D:$D,MATCH(G130,'Tournament List'!$A:$A,0)),""))</f>
        <v/>
      </c>
      <c r="I130" s="94" t="str">
        <f>IF(F130="Skeet",IFERROR(INDEX('Shooter-Squad Assignment'!$A:$A,MATCH(C130&amp;"-"&amp;E130&amp;"-"&amp;F130&amp;"-Pos2",'Shooter-Squad Assignment'!$K:$K,0)),""),IF(F130="Trap",IFERROR(INDEX('Shooter-Squad Assignment'!$A:$A,MATCH(C130&amp;"-"&amp;E130&amp;"-"&amp;F130&amp;"-Pos2",'Shooter-Squad Assignment'!$W:$W,0)),""),IF(F130="Sporting Clays",IFERROR(INDEX('Shooter-Squad Assignment'!$A:$A,MATCH(C130&amp;"-"&amp;E130&amp;"-"&amp;F130&amp;"-Pos2",'Shooter-Squad Assignment'!$Z:$Z,0)),""),"")))</f>
        <v/>
      </c>
      <c r="J130" s="73" t="str">
        <f>IF(ISBLANK(I130),"",IFERROR(INDEX('Tournament List'!$D:$D,MATCH(I130,'Tournament List'!$A:$A,0)),""))</f>
        <v/>
      </c>
      <c r="K130" s="94" t="str">
        <f>IF(F130="Skeet",IFERROR(INDEX('Shooter-Squad Assignment'!$A:$A,MATCH(C130&amp;"-"&amp;E130&amp;"-"&amp;F130&amp;"-Pos3",'Shooter-Squad Assignment'!$K:$K,0)),""),IF(F130="Trap",IFERROR(INDEX('Shooter-Squad Assignment'!$A:$A,MATCH(C130&amp;"-"&amp;E130&amp;"-"&amp;F130&amp;"-Pos3",'Shooter-Squad Assignment'!$W:$W,0)),""),IF(F130="Sporting Clays",IFERROR(INDEX('Shooter-Squad Assignment'!$A:$A,MATCH(C130&amp;"-"&amp;E130&amp;"-"&amp;F130&amp;"-Pos3",'Shooter-Squad Assignment'!$Z:$Z,0)),""),"")))</f>
        <v/>
      </c>
      <c r="L130" s="73" t="str">
        <f>IF(ISBLANK(K130),"",IFERROR(INDEX('Tournament List'!$D:$D,MATCH(K130,'Tournament List'!$A:$A,0)),""))</f>
        <v/>
      </c>
      <c r="M130" s="94" t="str">
        <f>IF(F130="Skeet",IFERROR(INDEX('Shooter-Squad Assignment'!$A:$A,MATCH(C130&amp;"-"&amp;E130&amp;"-"&amp;F130&amp;"-Pos4",'Shooter-Squad Assignment'!$K:$K,0)),""),IF(F130="Trap",IFERROR(INDEX('Shooter-Squad Assignment'!$A:$A,MATCH(C130&amp;"-"&amp;E130&amp;"-"&amp;F130&amp;"-Pos4",'Shooter-Squad Assignment'!$W:$W,0)),""),IF(F130="Sporting Clays",IFERROR(INDEX('Shooter-Squad Assignment'!$A:$A,MATCH(C130&amp;"-"&amp;E130&amp;"-"&amp;F130&amp;"-Pos4",'Shooter-Squad Assignment'!$Z:$Z,0)),""),"")))</f>
        <v/>
      </c>
      <c r="N130" s="73" t="str">
        <f>IF(ISBLANK(M130),"",IFERROR(INDEX('Tournament List'!$D:$D,MATCH(M130,'Tournament List'!$A:$A,0)),""))</f>
        <v/>
      </c>
      <c r="O130" s="94" t="str">
        <f>IF(F130="Skeet",IFERROR(INDEX('Shooter-Squad Assignment'!$A:$A,MATCH(C130&amp;"-"&amp;E130&amp;"-"&amp;F130&amp;"-Pos5",'Shooter-Squad Assignment'!$K:$K,0)),""),IF(F130="Trap",IFERROR(INDEX('Shooter-Squad Assignment'!$A:$A,MATCH(C130&amp;"-"&amp;E130&amp;"-"&amp;F130&amp;"-Pos5",'Shooter-Squad Assignment'!$W:$W,0)),""),IF(F130="Sporting Clays",IFERROR(INDEX('Shooter-Squad Assignment'!$A:$A,MATCH(C130&amp;"-"&amp;E130&amp;"-"&amp;F130&amp;"-Pos5",'Shooter-Squad Assignment'!$Z:$Z,0)),""),"")))</f>
        <v/>
      </c>
      <c r="P130" s="79" t="str">
        <f>IF(ISBLANK(O130),"",IFERROR(INDEX('Tournament List'!$D:$D,MATCH(O130,'Tournament List'!$A:$A,0)),""))</f>
        <v/>
      </c>
    </row>
    <row r="131" spans="1:16" x14ac:dyDescent="0.3">
      <c r="A131" s="78">
        <v>130</v>
      </c>
      <c r="B131" s="73" t="str">
        <f>C131&amp;"-"&amp;E131&amp;"-"&amp;F131</f>
        <v>High Plains Drifters-Unassigned 1-Skeet</v>
      </c>
      <c r="C131" s="73" t="s">
        <v>307</v>
      </c>
      <c r="D131" s="73" t="str">
        <f>INDEX('Tournament Setup'!$B$59:$B$78,MATCH(E131,SquadConcurrents,0))</f>
        <v>Unassigned</v>
      </c>
      <c r="E131" s="73" t="s">
        <v>762</v>
      </c>
      <c r="F131" s="73" t="s">
        <v>143</v>
      </c>
      <c r="G131" s="94" t="str">
        <f>IF(F131="Skeet",IFERROR(INDEX('Shooter-Squad Assignment'!$A:$A,MATCH(C131&amp;"-"&amp;E131&amp;"-"&amp;F131&amp;"-Pos1",'Shooter-Squad Assignment'!$K:$K,0)),""),IF(F131="Trap",IFERROR(INDEX('Shooter-Squad Assignment'!$A:$A,MATCH(C131&amp;"-"&amp;E131&amp;"-"&amp;F131&amp;"-Pos1",'Shooter-Squad Assignment'!$W:$W,0)),""),IF(F131="Sporting Clays",IFERROR(INDEX('Shooter-Squad Assignment'!$A:$A,MATCH(C131&amp;"-"&amp;E131&amp;"-"&amp;F131&amp;"-Pos1",'Shooter-Squad Assignment'!$Z:$Z,0)),""),"")))</f>
        <v/>
      </c>
      <c r="H131" s="73" t="str">
        <f>IF(ISBLANK(G131),"",IFERROR(INDEX('Tournament List'!$D:$D,MATCH(G131,'Tournament List'!$A:$A,0)),""))</f>
        <v/>
      </c>
      <c r="I131" s="94" t="str">
        <f>IF(F131="Skeet",IFERROR(INDEX('Shooter-Squad Assignment'!$A:$A,MATCH(C131&amp;"-"&amp;E131&amp;"-"&amp;F131&amp;"-Pos2",'Shooter-Squad Assignment'!$K:$K,0)),""),IF(F131="Trap",IFERROR(INDEX('Shooter-Squad Assignment'!$A:$A,MATCH(C131&amp;"-"&amp;E131&amp;"-"&amp;F131&amp;"-Pos2",'Shooter-Squad Assignment'!$W:$W,0)),""),IF(F131="Sporting Clays",IFERROR(INDEX('Shooter-Squad Assignment'!$A:$A,MATCH(C131&amp;"-"&amp;E131&amp;"-"&amp;F131&amp;"-Pos2",'Shooter-Squad Assignment'!$Z:$Z,0)),""),"")))</f>
        <v/>
      </c>
      <c r="J131" s="73" t="str">
        <f>IF(ISBLANK(I131),"",IFERROR(INDEX('Tournament List'!$D:$D,MATCH(I131,'Tournament List'!$A:$A,0)),""))</f>
        <v/>
      </c>
      <c r="K131" s="94" t="str">
        <f>IF(F131="Skeet",IFERROR(INDEX('Shooter-Squad Assignment'!$A:$A,MATCH(C131&amp;"-"&amp;E131&amp;"-"&amp;F131&amp;"-Pos3",'Shooter-Squad Assignment'!$K:$K,0)),""),IF(F131="Trap",IFERROR(INDEX('Shooter-Squad Assignment'!$A:$A,MATCH(C131&amp;"-"&amp;E131&amp;"-"&amp;F131&amp;"-Pos3",'Shooter-Squad Assignment'!$W:$W,0)),""),IF(F131="Sporting Clays",IFERROR(INDEX('Shooter-Squad Assignment'!$A:$A,MATCH(C131&amp;"-"&amp;E131&amp;"-"&amp;F131&amp;"-Pos3",'Shooter-Squad Assignment'!$Z:$Z,0)),""),"")))</f>
        <v/>
      </c>
      <c r="L131" s="73" t="str">
        <f>IF(ISBLANK(K131),"",IFERROR(INDEX('Tournament List'!$D:$D,MATCH(K131,'Tournament List'!$A:$A,0)),""))</f>
        <v/>
      </c>
      <c r="M131" s="94" t="str">
        <f>IF(F131="Skeet",IFERROR(INDEX('Shooter-Squad Assignment'!$A:$A,MATCH(C131&amp;"-"&amp;E131&amp;"-"&amp;F131&amp;"-Pos4",'Shooter-Squad Assignment'!$K:$K,0)),""),IF(F131="Trap",IFERROR(INDEX('Shooter-Squad Assignment'!$A:$A,MATCH(C131&amp;"-"&amp;E131&amp;"-"&amp;F131&amp;"-Pos4",'Shooter-Squad Assignment'!$W:$W,0)),""),IF(F131="Sporting Clays",IFERROR(INDEX('Shooter-Squad Assignment'!$A:$A,MATCH(C131&amp;"-"&amp;E131&amp;"-"&amp;F131&amp;"-Pos4",'Shooter-Squad Assignment'!$Z:$Z,0)),""),"")))</f>
        <v/>
      </c>
      <c r="N131" s="73" t="str">
        <f>IF(ISBLANK(M131),"",IFERROR(INDEX('Tournament List'!$D:$D,MATCH(M131,'Tournament List'!$A:$A,0)),""))</f>
        <v/>
      </c>
      <c r="O131" s="94" t="str">
        <f>IF(F131="Skeet",IFERROR(INDEX('Shooter-Squad Assignment'!$A:$A,MATCH(C131&amp;"-"&amp;E131&amp;"-"&amp;F131&amp;"-Pos5",'Shooter-Squad Assignment'!$K:$K,0)),""),IF(F131="Trap",IFERROR(INDEX('Shooter-Squad Assignment'!$A:$A,MATCH(C131&amp;"-"&amp;E131&amp;"-"&amp;F131&amp;"-Pos5",'Shooter-Squad Assignment'!$W:$W,0)),""),IF(F131="Sporting Clays",IFERROR(INDEX('Shooter-Squad Assignment'!$A:$A,MATCH(C131&amp;"-"&amp;E131&amp;"-"&amp;F131&amp;"-Pos5",'Shooter-Squad Assignment'!$Z:$Z,0)),""),"")))</f>
        <v/>
      </c>
      <c r="P131" s="79" t="str">
        <f>IF(ISBLANK(O131),"",IFERROR(INDEX('Tournament List'!$D:$D,MATCH(O131,'Tournament List'!$A:$A,0)),""))</f>
        <v/>
      </c>
    </row>
    <row r="132" spans="1:16" x14ac:dyDescent="0.3">
      <c r="A132" s="78">
        <v>131</v>
      </c>
      <c r="B132" s="73" t="str">
        <f>C132&amp;"-"&amp;E132&amp;"-"&amp;F132</f>
        <v>High Plains Drifters-Varsity 1-Skeet</v>
      </c>
      <c r="C132" s="73" t="s">
        <v>307</v>
      </c>
      <c r="D132" s="73" t="str">
        <f>INDEX('Tournament Setup'!$B$59:$B$78,MATCH(E132,SquadConcurrents,0))</f>
        <v>Varsity</v>
      </c>
      <c r="E132" s="73" t="s">
        <v>340</v>
      </c>
      <c r="F132" s="73" t="s">
        <v>143</v>
      </c>
      <c r="G132" s="94" t="str">
        <f>IF(F132="Skeet",IFERROR(INDEX('Shooter-Squad Assignment'!$A:$A,MATCH(C132&amp;"-"&amp;E132&amp;"-"&amp;F132&amp;"-Pos1",'Shooter-Squad Assignment'!$K:$K,0)),""),IF(F132="Trap",IFERROR(INDEX('Shooter-Squad Assignment'!$A:$A,MATCH(C132&amp;"-"&amp;E132&amp;"-"&amp;F132&amp;"-Pos1",'Shooter-Squad Assignment'!$W:$W,0)),""),IF(F132="Sporting Clays",IFERROR(INDEX('Shooter-Squad Assignment'!$A:$A,MATCH(C132&amp;"-"&amp;E132&amp;"-"&amp;F132&amp;"-Pos1",'Shooter-Squad Assignment'!$Z:$Z,0)),""),"")))</f>
        <v/>
      </c>
      <c r="H132" s="73" t="str">
        <f>IF(ISBLANK(G132),"",IFERROR(INDEX('Tournament List'!$D:$D,MATCH(G132,'Tournament List'!$A:$A,0)),""))</f>
        <v/>
      </c>
      <c r="I132" s="94" t="str">
        <f>IF(F132="Skeet",IFERROR(INDEX('Shooter-Squad Assignment'!$A:$A,MATCH(C132&amp;"-"&amp;E132&amp;"-"&amp;F132&amp;"-Pos2",'Shooter-Squad Assignment'!$K:$K,0)),""),IF(F132="Trap",IFERROR(INDEX('Shooter-Squad Assignment'!$A:$A,MATCH(C132&amp;"-"&amp;E132&amp;"-"&amp;F132&amp;"-Pos2",'Shooter-Squad Assignment'!$W:$W,0)),""),IF(F132="Sporting Clays",IFERROR(INDEX('Shooter-Squad Assignment'!$A:$A,MATCH(C132&amp;"-"&amp;E132&amp;"-"&amp;F132&amp;"-Pos2",'Shooter-Squad Assignment'!$Z:$Z,0)),""),"")))</f>
        <v/>
      </c>
      <c r="J132" s="73" t="str">
        <f>IF(ISBLANK(I132),"",IFERROR(INDEX('Tournament List'!$D:$D,MATCH(I132,'Tournament List'!$A:$A,0)),""))</f>
        <v/>
      </c>
      <c r="K132" s="94" t="str">
        <f>IF(F132="Skeet",IFERROR(INDEX('Shooter-Squad Assignment'!$A:$A,MATCH(C132&amp;"-"&amp;E132&amp;"-"&amp;F132&amp;"-Pos3",'Shooter-Squad Assignment'!$K:$K,0)),""),IF(F132="Trap",IFERROR(INDEX('Shooter-Squad Assignment'!$A:$A,MATCH(C132&amp;"-"&amp;E132&amp;"-"&amp;F132&amp;"-Pos3",'Shooter-Squad Assignment'!$W:$W,0)),""),IF(F132="Sporting Clays",IFERROR(INDEX('Shooter-Squad Assignment'!$A:$A,MATCH(C132&amp;"-"&amp;E132&amp;"-"&amp;F132&amp;"-Pos3",'Shooter-Squad Assignment'!$Z:$Z,0)),""),"")))</f>
        <v/>
      </c>
      <c r="L132" s="73" t="str">
        <f>IF(ISBLANK(K132),"",IFERROR(INDEX('Tournament List'!$D:$D,MATCH(K132,'Tournament List'!$A:$A,0)),""))</f>
        <v/>
      </c>
      <c r="M132" s="94" t="str">
        <f>IF(F132="Skeet",IFERROR(INDEX('Shooter-Squad Assignment'!$A:$A,MATCH(C132&amp;"-"&amp;E132&amp;"-"&amp;F132&amp;"-Pos4",'Shooter-Squad Assignment'!$K:$K,0)),""),IF(F132="Trap",IFERROR(INDEX('Shooter-Squad Assignment'!$A:$A,MATCH(C132&amp;"-"&amp;E132&amp;"-"&amp;F132&amp;"-Pos4",'Shooter-Squad Assignment'!$W:$W,0)),""),IF(F132="Sporting Clays",IFERROR(INDEX('Shooter-Squad Assignment'!$A:$A,MATCH(C132&amp;"-"&amp;E132&amp;"-"&amp;F132&amp;"-Pos4",'Shooter-Squad Assignment'!$Z:$Z,0)),""),"")))</f>
        <v/>
      </c>
      <c r="N132" s="73" t="str">
        <f>IF(ISBLANK(M132),"",IFERROR(INDEX('Tournament List'!$D:$D,MATCH(M132,'Tournament List'!$A:$A,0)),""))</f>
        <v/>
      </c>
      <c r="O132" s="94" t="str">
        <f>IF(F132="Skeet",IFERROR(INDEX('Shooter-Squad Assignment'!$A:$A,MATCH(C132&amp;"-"&amp;E132&amp;"-"&amp;F132&amp;"-Pos5",'Shooter-Squad Assignment'!$K:$K,0)),""),IF(F132="Trap",IFERROR(INDEX('Shooter-Squad Assignment'!$A:$A,MATCH(C132&amp;"-"&amp;E132&amp;"-"&amp;F132&amp;"-Pos5",'Shooter-Squad Assignment'!$W:$W,0)),""),IF(F132="Sporting Clays",IFERROR(INDEX('Shooter-Squad Assignment'!$A:$A,MATCH(C132&amp;"-"&amp;E132&amp;"-"&amp;F132&amp;"-Pos5",'Shooter-Squad Assignment'!$Z:$Z,0)),""),"")))</f>
        <v/>
      </c>
      <c r="P132" s="79" t="str">
        <f>IF(ISBLANK(O132),"",IFERROR(INDEX('Tournament List'!$D:$D,MATCH(O132,'Tournament List'!$A:$A,0)),""))</f>
        <v/>
      </c>
    </row>
    <row r="133" spans="1:16" x14ac:dyDescent="0.3">
      <c r="A133" s="78">
        <v>132</v>
      </c>
      <c r="B133" s="73" t="str">
        <f>C133&amp;"-"&amp;E133&amp;"-"&amp;F133</f>
        <v>High Plains Drifters-Varsity 2-Skeet</v>
      </c>
      <c r="C133" s="73" t="s">
        <v>307</v>
      </c>
      <c r="D133" s="73" t="str">
        <f>INDEX('Tournament Setup'!$B$59:$B$78,MATCH(E133,SquadConcurrents,0))</f>
        <v>Varsity</v>
      </c>
      <c r="E133" s="73" t="s">
        <v>346</v>
      </c>
      <c r="F133" s="73" t="s">
        <v>143</v>
      </c>
      <c r="G133" s="94" t="str">
        <f>IF(F133="Skeet",IFERROR(INDEX('Shooter-Squad Assignment'!$A:$A,MATCH(C133&amp;"-"&amp;E133&amp;"-"&amp;F133&amp;"-Pos1",'Shooter-Squad Assignment'!$K:$K,0)),""),IF(F133="Trap",IFERROR(INDEX('Shooter-Squad Assignment'!$A:$A,MATCH(C133&amp;"-"&amp;E133&amp;"-"&amp;F133&amp;"-Pos1",'Shooter-Squad Assignment'!$W:$W,0)),""),IF(F133="Sporting Clays",IFERROR(INDEX('Shooter-Squad Assignment'!$A:$A,MATCH(C133&amp;"-"&amp;E133&amp;"-"&amp;F133&amp;"-Pos1",'Shooter-Squad Assignment'!$Z:$Z,0)),""),"")))</f>
        <v/>
      </c>
      <c r="H133" s="73" t="str">
        <f>IF(ISBLANK(G133),"",IFERROR(INDEX('Tournament List'!$D:$D,MATCH(G133,'Tournament List'!$A:$A,0)),""))</f>
        <v/>
      </c>
      <c r="I133" s="94" t="str">
        <f>IF(F133="Skeet",IFERROR(INDEX('Shooter-Squad Assignment'!$A:$A,MATCH(C133&amp;"-"&amp;E133&amp;"-"&amp;F133&amp;"-Pos2",'Shooter-Squad Assignment'!$K:$K,0)),""),IF(F133="Trap",IFERROR(INDEX('Shooter-Squad Assignment'!$A:$A,MATCH(C133&amp;"-"&amp;E133&amp;"-"&amp;F133&amp;"-Pos2",'Shooter-Squad Assignment'!$W:$W,0)),""),IF(F133="Sporting Clays",IFERROR(INDEX('Shooter-Squad Assignment'!$A:$A,MATCH(C133&amp;"-"&amp;E133&amp;"-"&amp;F133&amp;"-Pos2",'Shooter-Squad Assignment'!$Z:$Z,0)),""),"")))</f>
        <v/>
      </c>
      <c r="J133" s="73" t="str">
        <f>IF(ISBLANK(I133),"",IFERROR(INDEX('Tournament List'!$D:$D,MATCH(I133,'Tournament List'!$A:$A,0)),""))</f>
        <v/>
      </c>
      <c r="K133" s="94" t="str">
        <f>IF(F133="Skeet",IFERROR(INDEX('Shooter-Squad Assignment'!$A:$A,MATCH(C133&amp;"-"&amp;E133&amp;"-"&amp;F133&amp;"-Pos3",'Shooter-Squad Assignment'!$K:$K,0)),""),IF(F133="Trap",IFERROR(INDEX('Shooter-Squad Assignment'!$A:$A,MATCH(C133&amp;"-"&amp;E133&amp;"-"&amp;F133&amp;"-Pos3",'Shooter-Squad Assignment'!$W:$W,0)),""),IF(F133="Sporting Clays",IFERROR(INDEX('Shooter-Squad Assignment'!$A:$A,MATCH(C133&amp;"-"&amp;E133&amp;"-"&amp;F133&amp;"-Pos3",'Shooter-Squad Assignment'!$Z:$Z,0)),""),"")))</f>
        <v/>
      </c>
      <c r="L133" s="73" t="str">
        <f>IF(ISBLANK(K133),"",IFERROR(INDEX('Tournament List'!$D:$D,MATCH(K133,'Tournament List'!$A:$A,0)),""))</f>
        <v/>
      </c>
      <c r="M133" s="94" t="str">
        <f>IF(F133="Skeet",IFERROR(INDEX('Shooter-Squad Assignment'!$A:$A,MATCH(C133&amp;"-"&amp;E133&amp;"-"&amp;F133&amp;"-Pos4",'Shooter-Squad Assignment'!$K:$K,0)),""),IF(F133="Trap",IFERROR(INDEX('Shooter-Squad Assignment'!$A:$A,MATCH(C133&amp;"-"&amp;E133&amp;"-"&amp;F133&amp;"-Pos4",'Shooter-Squad Assignment'!$W:$W,0)),""),IF(F133="Sporting Clays",IFERROR(INDEX('Shooter-Squad Assignment'!$A:$A,MATCH(C133&amp;"-"&amp;E133&amp;"-"&amp;F133&amp;"-Pos4",'Shooter-Squad Assignment'!$Z:$Z,0)),""),"")))</f>
        <v/>
      </c>
      <c r="N133" s="73" t="str">
        <f>IF(ISBLANK(M133),"",IFERROR(INDEX('Tournament List'!$D:$D,MATCH(M133,'Tournament List'!$A:$A,0)),""))</f>
        <v/>
      </c>
      <c r="O133" s="94" t="str">
        <f>IF(F133="Skeet",IFERROR(INDEX('Shooter-Squad Assignment'!$A:$A,MATCH(C133&amp;"-"&amp;E133&amp;"-"&amp;F133&amp;"-Pos5",'Shooter-Squad Assignment'!$K:$K,0)),""),IF(F133="Trap",IFERROR(INDEX('Shooter-Squad Assignment'!$A:$A,MATCH(C133&amp;"-"&amp;E133&amp;"-"&amp;F133&amp;"-Pos5",'Shooter-Squad Assignment'!$W:$W,0)),""),IF(F133="Sporting Clays",IFERROR(INDEX('Shooter-Squad Assignment'!$A:$A,MATCH(C133&amp;"-"&amp;E133&amp;"-"&amp;F133&amp;"-Pos5",'Shooter-Squad Assignment'!$Z:$Z,0)),""),"")))</f>
        <v/>
      </c>
      <c r="P133" s="79" t="str">
        <f>IF(ISBLANK(O133),"",IFERROR(INDEX('Tournament List'!$D:$D,MATCH(O133,'Tournament List'!$A:$A,0)),""))</f>
        <v/>
      </c>
    </row>
    <row r="134" spans="1:16" x14ac:dyDescent="0.3">
      <c r="A134" s="78">
        <v>133</v>
      </c>
      <c r="B134" s="73" t="str">
        <f>C134&amp;"-"&amp;E134&amp;"-"&amp;F134</f>
        <v>High Plains Drifters-Varsity 3-Skeet</v>
      </c>
      <c r="C134" s="73" t="s">
        <v>307</v>
      </c>
      <c r="D134" s="73" t="str">
        <f>INDEX('Tournament Setup'!$B$59:$B$78,MATCH(E134,SquadConcurrents,0))</f>
        <v>Varsity</v>
      </c>
      <c r="E134" s="73" t="s">
        <v>352</v>
      </c>
      <c r="F134" s="73" t="s">
        <v>143</v>
      </c>
      <c r="G134" s="94" t="str">
        <f>IF(F134="Skeet",IFERROR(INDEX('Shooter-Squad Assignment'!$A:$A,MATCH(C134&amp;"-"&amp;E134&amp;"-"&amp;F134&amp;"-Pos1",'Shooter-Squad Assignment'!$K:$K,0)),""),IF(F134="Trap",IFERROR(INDEX('Shooter-Squad Assignment'!$A:$A,MATCH(C134&amp;"-"&amp;E134&amp;"-"&amp;F134&amp;"-Pos1",'Shooter-Squad Assignment'!$W:$W,0)),""),IF(F134="Sporting Clays",IFERROR(INDEX('Shooter-Squad Assignment'!$A:$A,MATCH(C134&amp;"-"&amp;E134&amp;"-"&amp;F134&amp;"-Pos1",'Shooter-Squad Assignment'!$Z:$Z,0)),""),"")))</f>
        <v/>
      </c>
      <c r="H134" s="73" t="str">
        <f>IF(ISBLANK(G134),"",IFERROR(INDEX('Tournament List'!$D:$D,MATCH(G134,'Tournament List'!$A:$A,0)),""))</f>
        <v/>
      </c>
      <c r="I134" s="94" t="str">
        <f>IF(F134="Skeet",IFERROR(INDEX('Shooter-Squad Assignment'!$A:$A,MATCH(C134&amp;"-"&amp;E134&amp;"-"&amp;F134&amp;"-Pos2",'Shooter-Squad Assignment'!$K:$K,0)),""),IF(F134="Trap",IFERROR(INDEX('Shooter-Squad Assignment'!$A:$A,MATCH(C134&amp;"-"&amp;E134&amp;"-"&amp;F134&amp;"-Pos2",'Shooter-Squad Assignment'!$W:$W,0)),""),IF(F134="Sporting Clays",IFERROR(INDEX('Shooter-Squad Assignment'!$A:$A,MATCH(C134&amp;"-"&amp;E134&amp;"-"&amp;F134&amp;"-Pos2",'Shooter-Squad Assignment'!$Z:$Z,0)),""),"")))</f>
        <v/>
      </c>
      <c r="J134" s="73" t="str">
        <f>IF(ISBLANK(I134),"",IFERROR(INDEX('Tournament List'!$D:$D,MATCH(I134,'Tournament List'!$A:$A,0)),""))</f>
        <v/>
      </c>
      <c r="K134" s="94" t="str">
        <f>IF(F134="Skeet",IFERROR(INDEX('Shooter-Squad Assignment'!$A:$A,MATCH(C134&amp;"-"&amp;E134&amp;"-"&amp;F134&amp;"-Pos3",'Shooter-Squad Assignment'!$K:$K,0)),""),IF(F134="Trap",IFERROR(INDEX('Shooter-Squad Assignment'!$A:$A,MATCH(C134&amp;"-"&amp;E134&amp;"-"&amp;F134&amp;"-Pos3",'Shooter-Squad Assignment'!$W:$W,0)),""),IF(F134="Sporting Clays",IFERROR(INDEX('Shooter-Squad Assignment'!$A:$A,MATCH(C134&amp;"-"&amp;E134&amp;"-"&amp;F134&amp;"-Pos3",'Shooter-Squad Assignment'!$Z:$Z,0)),""),"")))</f>
        <v/>
      </c>
      <c r="L134" s="73" t="str">
        <f>IF(ISBLANK(K134),"",IFERROR(INDEX('Tournament List'!$D:$D,MATCH(K134,'Tournament List'!$A:$A,0)),""))</f>
        <v/>
      </c>
      <c r="M134" s="94" t="str">
        <f>IF(F134="Skeet",IFERROR(INDEX('Shooter-Squad Assignment'!$A:$A,MATCH(C134&amp;"-"&amp;E134&amp;"-"&amp;F134&amp;"-Pos4",'Shooter-Squad Assignment'!$K:$K,0)),""),IF(F134="Trap",IFERROR(INDEX('Shooter-Squad Assignment'!$A:$A,MATCH(C134&amp;"-"&amp;E134&amp;"-"&amp;F134&amp;"-Pos4",'Shooter-Squad Assignment'!$W:$W,0)),""),IF(F134="Sporting Clays",IFERROR(INDEX('Shooter-Squad Assignment'!$A:$A,MATCH(C134&amp;"-"&amp;E134&amp;"-"&amp;F134&amp;"-Pos4",'Shooter-Squad Assignment'!$Z:$Z,0)),""),"")))</f>
        <v/>
      </c>
      <c r="N134" s="73" t="str">
        <f>IF(ISBLANK(M134),"",IFERROR(INDEX('Tournament List'!$D:$D,MATCH(M134,'Tournament List'!$A:$A,0)),""))</f>
        <v/>
      </c>
      <c r="O134" s="94" t="str">
        <f>IF(F134="Skeet",IFERROR(INDEX('Shooter-Squad Assignment'!$A:$A,MATCH(C134&amp;"-"&amp;E134&amp;"-"&amp;F134&amp;"-Pos5",'Shooter-Squad Assignment'!$K:$K,0)),""),IF(F134="Trap",IFERROR(INDEX('Shooter-Squad Assignment'!$A:$A,MATCH(C134&amp;"-"&amp;E134&amp;"-"&amp;F134&amp;"-Pos5",'Shooter-Squad Assignment'!$W:$W,0)),""),IF(F134="Sporting Clays",IFERROR(INDEX('Shooter-Squad Assignment'!$A:$A,MATCH(C134&amp;"-"&amp;E134&amp;"-"&amp;F134&amp;"-Pos5",'Shooter-Squad Assignment'!$Z:$Z,0)),""),"")))</f>
        <v/>
      </c>
      <c r="P134" s="79" t="str">
        <f>IF(ISBLANK(O134),"",IFERROR(INDEX('Tournament List'!$D:$D,MATCH(O134,'Tournament List'!$A:$A,0)),""))</f>
        <v/>
      </c>
    </row>
    <row r="135" spans="1:16" x14ac:dyDescent="0.3">
      <c r="A135" s="78">
        <v>134</v>
      </c>
      <c r="B135" s="73" t="str">
        <f>C135&amp;"-"&amp;E135&amp;"-"&amp;F135</f>
        <v>High Plains Drifters-Collegiate 1-Sporting Clays</v>
      </c>
      <c r="C135" s="73" t="s">
        <v>307</v>
      </c>
      <c r="D135" s="73" t="str">
        <f>INDEX('Tournament Setup'!$B$59:$B$78,MATCH(E135,SquadConcurrents,0))</f>
        <v>Collegiate</v>
      </c>
      <c r="E135" s="73" t="s">
        <v>342</v>
      </c>
      <c r="F135" s="73" t="s">
        <v>148</v>
      </c>
      <c r="G135" s="94" t="str">
        <f>IF(F135="Skeet",IFERROR(INDEX('Shooter-Squad Assignment'!$A:$A,MATCH(C135&amp;"-"&amp;E135&amp;"-"&amp;F135&amp;"-Pos1",'Shooter-Squad Assignment'!$K:$K,0)),""),IF(F135="Trap",IFERROR(INDEX('Shooter-Squad Assignment'!$A:$A,MATCH(C135&amp;"-"&amp;E135&amp;"-"&amp;F135&amp;"-Pos1",'Shooter-Squad Assignment'!$W:$W,0)),""),IF(F135="Sporting Clays",IFERROR(INDEX('Shooter-Squad Assignment'!$A:$A,MATCH(C135&amp;"-"&amp;E135&amp;"-"&amp;F135&amp;"-Pos1",'Shooter-Squad Assignment'!$Z:$Z,0)),""),"")))</f>
        <v/>
      </c>
      <c r="H135" s="73" t="str">
        <f>IF(ISBLANK(G135),"",IFERROR(INDEX('Tournament List'!$D:$D,MATCH(G135,'Tournament List'!$A:$A,0)),""))</f>
        <v/>
      </c>
      <c r="I135" s="94" t="str">
        <f>IF(F135="Skeet",IFERROR(INDEX('Shooter-Squad Assignment'!$A:$A,MATCH(C135&amp;"-"&amp;E135&amp;"-"&amp;F135&amp;"-Pos2",'Shooter-Squad Assignment'!$K:$K,0)),""),IF(F135="Trap",IFERROR(INDEX('Shooter-Squad Assignment'!$A:$A,MATCH(C135&amp;"-"&amp;E135&amp;"-"&amp;F135&amp;"-Pos2",'Shooter-Squad Assignment'!$W:$W,0)),""),IF(F135="Sporting Clays",IFERROR(INDEX('Shooter-Squad Assignment'!$A:$A,MATCH(C135&amp;"-"&amp;E135&amp;"-"&amp;F135&amp;"-Pos2",'Shooter-Squad Assignment'!$Z:$Z,0)),""),"")))</f>
        <v/>
      </c>
      <c r="J135" s="73" t="str">
        <f>IF(ISBLANK(I135),"",IFERROR(INDEX('Tournament List'!$D:$D,MATCH(I135,'Tournament List'!$A:$A,0)),""))</f>
        <v/>
      </c>
      <c r="K135" s="94" t="str">
        <f>IF(F135="Skeet",IFERROR(INDEX('Shooter-Squad Assignment'!$A:$A,MATCH(C135&amp;"-"&amp;E135&amp;"-"&amp;F135&amp;"-Pos3",'Shooter-Squad Assignment'!$K:$K,0)),""),IF(F135="Trap",IFERROR(INDEX('Shooter-Squad Assignment'!$A:$A,MATCH(C135&amp;"-"&amp;E135&amp;"-"&amp;F135&amp;"-Pos3",'Shooter-Squad Assignment'!$W:$W,0)),""),IF(F135="Sporting Clays",IFERROR(INDEX('Shooter-Squad Assignment'!$A:$A,MATCH(C135&amp;"-"&amp;E135&amp;"-"&amp;F135&amp;"-Pos3",'Shooter-Squad Assignment'!$Z:$Z,0)),""),"")))</f>
        <v/>
      </c>
      <c r="L135" s="73" t="str">
        <f>IF(ISBLANK(K135),"",IFERROR(INDEX('Tournament List'!$D:$D,MATCH(K135,'Tournament List'!$A:$A,0)),""))</f>
        <v/>
      </c>
      <c r="M135" s="94" t="str">
        <f>IF(F135="Skeet",IFERROR(INDEX('Shooter-Squad Assignment'!$A:$A,MATCH(C135&amp;"-"&amp;E135&amp;"-"&amp;F135&amp;"-Pos4",'Shooter-Squad Assignment'!$K:$K,0)),""),IF(F135="Trap",IFERROR(INDEX('Shooter-Squad Assignment'!$A:$A,MATCH(C135&amp;"-"&amp;E135&amp;"-"&amp;F135&amp;"-Pos4",'Shooter-Squad Assignment'!$W:$W,0)),""),IF(F135="Sporting Clays",IFERROR(INDEX('Shooter-Squad Assignment'!$A:$A,MATCH(C135&amp;"-"&amp;E135&amp;"-"&amp;F135&amp;"-Pos4",'Shooter-Squad Assignment'!$Z:$Z,0)),""),"")))</f>
        <v/>
      </c>
      <c r="N135" s="73" t="str">
        <f>IF(ISBLANK(M135),"",IFERROR(INDEX('Tournament List'!$D:$D,MATCH(M135,'Tournament List'!$A:$A,0)),""))</f>
        <v/>
      </c>
      <c r="O135" s="94" t="str">
        <f>IF(F135="Skeet",IFERROR(INDEX('Shooter-Squad Assignment'!$A:$A,MATCH(C135&amp;"-"&amp;E135&amp;"-"&amp;F135&amp;"-Pos5",'Shooter-Squad Assignment'!$K:$K,0)),""),IF(F135="Trap",IFERROR(INDEX('Shooter-Squad Assignment'!$A:$A,MATCH(C135&amp;"-"&amp;E135&amp;"-"&amp;F135&amp;"-Pos5",'Shooter-Squad Assignment'!$W:$W,0)),""),IF(F135="Sporting Clays",IFERROR(INDEX('Shooter-Squad Assignment'!$A:$A,MATCH(C135&amp;"-"&amp;E135&amp;"-"&amp;F135&amp;"-Pos5",'Shooter-Squad Assignment'!$Z:$Z,0)),""),"")))</f>
        <v/>
      </c>
      <c r="P135" s="79" t="str">
        <f>IF(ISBLANK(O135),"",IFERROR(INDEX('Tournament List'!$D:$D,MATCH(O135,'Tournament List'!$A:$A,0)),""))</f>
        <v/>
      </c>
    </row>
    <row r="136" spans="1:16" x14ac:dyDescent="0.3">
      <c r="A136" s="78">
        <v>135</v>
      </c>
      <c r="B136" s="73" t="str">
        <f>C136&amp;"-"&amp;E136&amp;"-"&amp;F136</f>
        <v>High Plains Drifters-Collegiate 2-Sporting Clays</v>
      </c>
      <c r="C136" s="73" t="s">
        <v>307</v>
      </c>
      <c r="D136" s="73" t="str">
        <f>INDEX('Tournament Setup'!$B$59:$B$78,MATCH(E136,SquadConcurrents,0))</f>
        <v>Collegiate</v>
      </c>
      <c r="E136" s="73" t="s">
        <v>348</v>
      </c>
      <c r="F136" s="73" t="s">
        <v>148</v>
      </c>
      <c r="G136" s="94" t="str">
        <f>IF(F136="Skeet",IFERROR(INDEX('Shooter-Squad Assignment'!$A:$A,MATCH(C136&amp;"-"&amp;E136&amp;"-"&amp;F136&amp;"-Pos1",'Shooter-Squad Assignment'!$K:$K,0)),""),IF(F136="Trap",IFERROR(INDEX('Shooter-Squad Assignment'!$A:$A,MATCH(C136&amp;"-"&amp;E136&amp;"-"&amp;F136&amp;"-Pos1",'Shooter-Squad Assignment'!$W:$W,0)),""),IF(F136="Sporting Clays",IFERROR(INDEX('Shooter-Squad Assignment'!$A:$A,MATCH(C136&amp;"-"&amp;E136&amp;"-"&amp;F136&amp;"-Pos1",'Shooter-Squad Assignment'!$Z:$Z,0)),""),"")))</f>
        <v/>
      </c>
      <c r="H136" s="73" t="str">
        <f>IF(ISBLANK(G136),"",IFERROR(INDEX('Tournament List'!$D:$D,MATCH(G136,'Tournament List'!$A:$A,0)),""))</f>
        <v/>
      </c>
      <c r="I136" s="94" t="str">
        <f>IF(F136="Skeet",IFERROR(INDEX('Shooter-Squad Assignment'!$A:$A,MATCH(C136&amp;"-"&amp;E136&amp;"-"&amp;F136&amp;"-Pos2",'Shooter-Squad Assignment'!$K:$K,0)),""),IF(F136="Trap",IFERROR(INDEX('Shooter-Squad Assignment'!$A:$A,MATCH(C136&amp;"-"&amp;E136&amp;"-"&amp;F136&amp;"-Pos2",'Shooter-Squad Assignment'!$W:$W,0)),""),IF(F136="Sporting Clays",IFERROR(INDEX('Shooter-Squad Assignment'!$A:$A,MATCH(C136&amp;"-"&amp;E136&amp;"-"&amp;F136&amp;"-Pos2",'Shooter-Squad Assignment'!$Z:$Z,0)),""),"")))</f>
        <v/>
      </c>
      <c r="J136" s="73" t="str">
        <f>IF(ISBLANK(I136),"",IFERROR(INDEX('Tournament List'!$D:$D,MATCH(I136,'Tournament List'!$A:$A,0)),""))</f>
        <v/>
      </c>
      <c r="K136" s="94" t="str">
        <f>IF(F136="Skeet",IFERROR(INDEX('Shooter-Squad Assignment'!$A:$A,MATCH(C136&amp;"-"&amp;E136&amp;"-"&amp;F136&amp;"-Pos3",'Shooter-Squad Assignment'!$K:$K,0)),""),IF(F136="Trap",IFERROR(INDEX('Shooter-Squad Assignment'!$A:$A,MATCH(C136&amp;"-"&amp;E136&amp;"-"&amp;F136&amp;"-Pos3",'Shooter-Squad Assignment'!$W:$W,0)),""),IF(F136="Sporting Clays",IFERROR(INDEX('Shooter-Squad Assignment'!$A:$A,MATCH(C136&amp;"-"&amp;E136&amp;"-"&amp;F136&amp;"-Pos3",'Shooter-Squad Assignment'!$Z:$Z,0)),""),"")))</f>
        <v/>
      </c>
      <c r="L136" s="73" t="str">
        <f>IF(ISBLANK(K136),"",IFERROR(INDEX('Tournament List'!$D:$D,MATCH(K136,'Tournament List'!$A:$A,0)),""))</f>
        <v/>
      </c>
      <c r="M136" s="94" t="str">
        <f>IF(F136="Skeet",IFERROR(INDEX('Shooter-Squad Assignment'!$A:$A,MATCH(C136&amp;"-"&amp;E136&amp;"-"&amp;F136&amp;"-Pos4",'Shooter-Squad Assignment'!$K:$K,0)),""),IF(F136="Trap",IFERROR(INDEX('Shooter-Squad Assignment'!$A:$A,MATCH(C136&amp;"-"&amp;E136&amp;"-"&amp;F136&amp;"-Pos4",'Shooter-Squad Assignment'!$W:$W,0)),""),IF(F136="Sporting Clays",IFERROR(INDEX('Shooter-Squad Assignment'!$A:$A,MATCH(C136&amp;"-"&amp;E136&amp;"-"&amp;F136&amp;"-Pos4",'Shooter-Squad Assignment'!$Z:$Z,0)),""),"")))</f>
        <v/>
      </c>
      <c r="N136" s="73" t="str">
        <f>IF(ISBLANK(M136),"",IFERROR(INDEX('Tournament List'!$D:$D,MATCH(M136,'Tournament List'!$A:$A,0)),""))</f>
        <v/>
      </c>
      <c r="O136" s="94" t="str">
        <f>IF(F136="Skeet",IFERROR(INDEX('Shooter-Squad Assignment'!$A:$A,MATCH(C136&amp;"-"&amp;E136&amp;"-"&amp;F136&amp;"-Pos5",'Shooter-Squad Assignment'!$K:$K,0)),""),IF(F136="Trap",IFERROR(INDEX('Shooter-Squad Assignment'!$A:$A,MATCH(C136&amp;"-"&amp;E136&amp;"-"&amp;F136&amp;"-Pos5",'Shooter-Squad Assignment'!$W:$W,0)),""),IF(F136="Sporting Clays",IFERROR(INDEX('Shooter-Squad Assignment'!$A:$A,MATCH(C136&amp;"-"&amp;E136&amp;"-"&amp;F136&amp;"-Pos5",'Shooter-Squad Assignment'!$Z:$Z,0)),""),"")))</f>
        <v/>
      </c>
      <c r="P136" s="79" t="str">
        <f>IF(ISBLANK(O136),"",IFERROR(INDEX('Tournament List'!$D:$D,MATCH(O136,'Tournament List'!$A:$A,0)),""))</f>
        <v/>
      </c>
    </row>
    <row r="137" spans="1:16" x14ac:dyDescent="0.3">
      <c r="A137" s="78">
        <v>136</v>
      </c>
      <c r="B137" s="73" t="str">
        <f>C137&amp;"-"&amp;E137&amp;"-"&amp;F137</f>
        <v>High Plains Drifters-Collegiate 3-Sporting Clays</v>
      </c>
      <c r="C137" s="73" t="s">
        <v>307</v>
      </c>
      <c r="D137" s="73" t="str">
        <f>INDEX('Tournament Setup'!$B$59:$B$78,MATCH(E137,SquadConcurrents,0))</f>
        <v>Collegiate</v>
      </c>
      <c r="E137" s="73" t="s">
        <v>354</v>
      </c>
      <c r="F137" s="73" t="s">
        <v>148</v>
      </c>
      <c r="G137" s="94" t="str">
        <f>IF(F137="Skeet",IFERROR(INDEX('Shooter-Squad Assignment'!$A:$A,MATCH(C137&amp;"-"&amp;E137&amp;"-"&amp;F137&amp;"-Pos1",'Shooter-Squad Assignment'!$K:$K,0)),""),IF(F137="Trap",IFERROR(INDEX('Shooter-Squad Assignment'!$A:$A,MATCH(C137&amp;"-"&amp;E137&amp;"-"&amp;F137&amp;"-Pos1",'Shooter-Squad Assignment'!$W:$W,0)),""),IF(F137="Sporting Clays",IFERROR(INDEX('Shooter-Squad Assignment'!$A:$A,MATCH(C137&amp;"-"&amp;E137&amp;"-"&amp;F137&amp;"-Pos1",'Shooter-Squad Assignment'!$Z:$Z,0)),""),"")))</f>
        <v/>
      </c>
      <c r="H137" s="73" t="str">
        <f>IF(ISBLANK(G137),"",IFERROR(INDEX('Tournament List'!$D:$D,MATCH(G137,'Tournament List'!$A:$A,0)),""))</f>
        <v/>
      </c>
      <c r="I137" s="94" t="str">
        <f>IF(F137="Skeet",IFERROR(INDEX('Shooter-Squad Assignment'!$A:$A,MATCH(C137&amp;"-"&amp;E137&amp;"-"&amp;F137&amp;"-Pos2",'Shooter-Squad Assignment'!$K:$K,0)),""),IF(F137="Trap",IFERROR(INDEX('Shooter-Squad Assignment'!$A:$A,MATCH(C137&amp;"-"&amp;E137&amp;"-"&amp;F137&amp;"-Pos2",'Shooter-Squad Assignment'!$W:$W,0)),""),IF(F137="Sporting Clays",IFERROR(INDEX('Shooter-Squad Assignment'!$A:$A,MATCH(C137&amp;"-"&amp;E137&amp;"-"&amp;F137&amp;"-Pos2",'Shooter-Squad Assignment'!$Z:$Z,0)),""),"")))</f>
        <v/>
      </c>
      <c r="J137" s="73" t="str">
        <f>IF(ISBLANK(I137),"",IFERROR(INDEX('Tournament List'!$D:$D,MATCH(I137,'Tournament List'!$A:$A,0)),""))</f>
        <v/>
      </c>
      <c r="K137" s="94" t="str">
        <f>IF(F137="Skeet",IFERROR(INDEX('Shooter-Squad Assignment'!$A:$A,MATCH(C137&amp;"-"&amp;E137&amp;"-"&amp;F137&amp;"-Pos3",'Shooter-Squad Assignment'!$K:$K,0)),""),IF(F137="Trap",IFERROR(INDEX('Shooter-Squad Assignment'!$A:$A,MATCH(C137&amp;"-"&amp;E137&amp;"-"&amp;F137&amp;"-Pos3",'Shooter-Squad Assignment'!$W:$W,0)),""),IF(F137="Sporting Clays",IFERROR(INDEX('Shooter-Squad Assignment'!$A:$A,MATCH(C137&amp;"-"&amp;E137&amp;"-"&amp;F137&amp;"-Pos3",'Shooter-Squad Assignment'!$Z:$Z,0)),""),"")))</f>
        <v/>
      </c>
      <c r="L137" s="73" t="str">
        <f>IF(ISBLANK(K137),"",IFERROR(INDEX('Tournament List'!$D:$D,MATCH(K137,'Tournament List'!$A:$A,0)),""))</f>
        <v/>
      </c>
      <c r="M137" s="94" t="str">
        <f>IF(F137="Skeet",IFERROR(INDEX('Shooter-Squad Assignment'!$A:$A,MATCH(C137&amp;"-"&amp;E137&amp;"-"&amp;F137&amp;"-Pos4",'Shooter-Squad Assignment'!$K:$K,0)),""),IF(F137="Trap",IFERROR(INDEX('Shooter-Squad Assignment'!$A:$A,MATCH(C137&amp;"-"&amp;E137&amp;"-"&amp;F137&amp;"-Pos4",'Shooter-Squad Assignment'!$W:$W,0)),""),IF(F137="Sporting Clays",IFERROR(INDEX('Shooter-Squad Assignment'!$A:$A,MATCH(C137&amp;"-"&amp;E137&amp;"-"&amp;F137&amp;"-Pos4",'Shooter-Squad Assignment'!$Z:$Z,0)),""),"")))</f>
        <v/>
      </c>
      <c r="N137" s="73" t="str">
        <f>IF(ISBLANK(M137),"",IFERROR(INDEX('Tournament List'!$D:$D,MATCH(M137,'Tournament List'!$A:$A,0)),""))</f>
        <v/>
      </c>
      <c r="O137" s="94" t="str">
        <f>IF(F137="Skeet",IFERROR(INDEX('Shooter-Squad Assignment'!$A:$A,MATCH(C137&amp;"-"&amp;E137&amp;"-"&amp;F137&amp;"-Pos5",'Shooter-Squad Assignment'!$K:$K,0)),""),IF(F137="Trap",IFERROR(INDEX('Shooter-Squad Assignment'!$A:$A,MATCH(C137&amp;"-"&amp;E137&amp;"-"&amp;F137&amp;"-Pos5",'Shooter-Squad Assignment'!$W:$W,0)),""),IF(F137="Sporting Clays",IFERROR(INDEX('Shooter-Squad Assignment'!$A:$A,MATCH(C137&amp;"-"&amp;E137&amp;"-"&amp;F137&amp;"-Pos5",'Shooter-Squad Assignment'!$Z:$Z,0)),""),"")))</f>
        <v/>
      </c>
      <c r="P137" s="79" t="str">
        <f>IF(ISBLANK(O137),"",IFERROR(INDEX('Tournament List'!$D:$D,MATCH(O137,'Tournament List'!$A:$A,0)),""))</f>
        <v/>
      </c>
    </row>
    <row r="138" spans="1:16" x14ac:dyDescent="0.3">
      <c r="A138" s="78">
        <v>137</v>
      </c>
      <c r="B138" s="73" t="str">
        <f>C138&amp;"-"&amp;E138&amp;"-"&amp;F138</f>
        <v>High Plains Drifters-Intermediate 1-Sporting Clays</v>
      </c>
      <c r="C138" s="73" t="s">
        <v>307</v>
      </c>
      <c r="D138" s="73" t="str">
        <f>INDEX('Tournament Setup'!$B$59:$B$78,MATCH(E138,SquadConcurrents,0))</f>
        <v>Intermediate</v>
      </c>
      <c r="E138" s="73" t="s">
        <v>338</v>
      </c>
      <c r="F138" s="73" t="s">
        <v>148</v>
      </c>
      <c r="G138" s="94" t="str">
        <f>IF(F138="Skeet",IFERROR(INDEX('Shooter-Squad Assignment'!$A:$A,MATCH(C138&amp;"-"&amp;E138&amp;"-"&amp;F138&amp;"-Pos1",'Shooter-Squad Assignment'!$K:$K,0)),""),IF(F138="Trap",IFERROR(INDEX('Shooter-Squad Assignment'!$A:$A,MATCH(C138&amp;"-"&amp;E138&amp;"-"&amp;F138&amp;"-Pos1",'Shooter-Squad Assignment'!$W:$W,0)),""),IF(F138="Sporting Clays",IFERROR(INDEX('Shooter-Squad Assignment'!$A:$A,MATCH(C138&amp;"-"&amp;E138&amp;"-"&amp;F138&amp;"-Pos1",'Shooter-Squad Assignment'!$Z:$Z,0)),""),"")))</f>
        <v/>
      </c>
      <c r="H138" s="73" t="str">
        <f>IF(ISBLANK(G138),"",IFERROR(INDEX('Tournament List'!$D:$D,MATCH(G138,'Tournament List'!$A:$A,0)),""))</f>
        <v/>
      </c>
      <c r="I138" s="94" t="str">
        <f>IF(F138="Skeet",IFERROR(INDEX('Shooter-Squad Assignment'!$A:$A,MATCH(C138&amp;"-"&amp;E138&amp;"-"&amp;F138&amp;"-Pos2",'Shooter-Squad Assignment'!$K:$K,0)),""),IF(F138="Trap",IFERROR(INDEX('Shooter-Squad Assignment'!$A:$A,MATCH(C138&amp;"-"&amp;E138&amp;"-"&amp;F138&amp;"-Pos2",'Shooter-Squad Assignment'!$W:$W,0)),""),IF(F138="Sporting Clays",IFERROR(INDEX('Shooter-Squad Assignment'!$A:$A,MATCH(C138&amp;"-"&amp;E138&amp;"-"&amp;F138&amp;"-Pos2",'Shooter-Squad Assignment'!$Z:$Z,0)),""),"")))</f>
        <v/>
      </c>
      <c r="J138" s="73" t="str">
        <f>IF(ISBLANK(I138),"",IFERROR(INDEX('Tournament List'!$D:$D,MATCH(I138,'Tournament List'!$A:$A,0)),""))</f>
        <v/>
      </c>
      <c r="K138" s="94" t="str">
        <f>IF(F138="Skeet",IFERROR(INDEX('Shooter-Squad Assignment'!$A:$A,MATCH(C138&amp;"-"&amp;E138&amp;"-"&amp;F138&amp;"-Pos3",'Shooter-Squad Assignment'!$K:$K,0)),""),IF(F138="Trap",IFERROR(INDEX('Shooter-Squad Assignment'!$A:$A,MATCH(C138&amp;"-"&amp;E138&amp;"-"&amp;F138&amp;"-Pos3",'Shooter-Squad Assignment'!$W:$W,0)),""),IF(F138="Sporting Clays",IFERROR(INDEX('Shooter-Squad Assignment'!$A:$A,MATCH(C138&amp;"-"&amp;E138&amp;"-"&amp;F138&amp;"-Pos3",'Shooter-Squad Assignment'!$Z:$Z,0)),""),"")))</f>
        <v/>
      </c>
      <c r="L138" s="73" t="str">
        <f>IF(ISBLANK(K138),"",IFERROR(INDEX('Tournament List'!$D:$D,MATCH(K138,'Tournament List'!$A:$A,0)),""))</f>
        <v/>
      </c>
      <c r="M138" s="94" t="str">
        <f>IF(F138="Skeet",IFERROR(INDEX('Shooter-Squad Assignment'!$A:$A,MATCH(C138&amp;"-"&amp;E138&amp;"-"&amp;F138&amp;"-Pos4",'Shooter-Squad Assignment'!$K:$K,0)),""),IF(F138="Trap",IFERROR(INDEX('Shooter-Squad Assignment'!$A:$A,MATCH(C138&amp;"-"&amp;E138&amp;"-"&amp;F138&amp;"-Pos4",'Shooter-Squad Assignment'!$W:$W,0)),""),IF(F138="Sporting Clays",IFERROR(INDEX('Shooter-Squad Assignment'!$A:$A,MATCH(C138&amp;"-"&amp;E138&amp;"-"&amp;F138&amp;"-Pos4",'Shooter-Squad Assignment'!$Z:$Z,0)),""),"")))</f>
        <v/>
      </c>
      <c r="N138" s="73" t="str">
        <f>IF(ISBLANK(M138),"",IFERROR(INDEX('Tournament List'!$D:$D,MATCH(M138,'Tournament List'!$A:$A,0)),""))</f>
        <v/>
      </c>
      <c r="O138" s="94" t="str">
        <f>IF(F138="Skeet",IFERROR(INDEX('Shooter-Squad Assignment'!$A:$A,MATCH(C138&amp;"-"&amp;E138&amp;"-"&amp;F138&amp;"-Pos5",'Shooter-Squad Assignment'!$K:$K,0)),""),IF(F138="Trap",IFERROR(INDEX('Shooter-Squad Assignment'!$A:$A,MATCH(C138&amp;"-"&amp;E138&amp;"-"&amp;F138&amp;"-Pos5",'Shooter-Squad Assignment'!$W:$W,0)),""),IF(F138="Sporting Clays",IFERROR(INDEX('Shooter-Squad Assignment'!$A:$A,MATCH(C138&amp;"-"&amp;E138&amp;"-"&amp;F138&amp;"-Pos5",'Shooter-Squad Assignment'!$Z:$Z,0)),""),"")))</f>
        <v/>
      </c>
      <c r="P138" s="79" t="str">
        <f>IF(ISBLANK(O138),"",IFERROR(INDEX('Tournament List'!$D:$D,MATCH(O138,'Tournament List'!$A:$A,0)),""))</f>
        <v/>
      </c>
    </row>
    <row r="139" spans="1:16" x14ac:dyDescent="0.3">
      <c r="A139" s="78">
        <v>138</v>
      </c>
      <c r="B139" s="73" t="str">
        <f>C139&amp;"-"&amp;E139&amp;"-"&amp;F139</f>
        <v>High Plains Drifters-Intermediate 2-Sporting Clays</v>
      </c>
      <c r="C139" s="73" t="s">
        <v>307</v>
      </c>
      <c r="D139" s="73" t="str">
        <f>INDEX('Tournament Setup'!$B$59:$B$78,MATCH(E139,SquadConcurrents,0))</f>
        <v>Intermediate</v>
      </c>
      <c r="E139" s="73" t="s">
        <v>344</v>
      </c>
      <c r="F139" s="73" t="s">
        <v>148</v>
      </c>
      <c r="G139" s="94" t="str">
        <f>IF(F139="Skeet",IFERROR(INDEX('Shooter-Squad Assignment'!$A:$A,MATCH(C139&amp;"-"&amp;E139&amp;"-"&amp;F139&amp;"-Pos1",'Shooter-Squad Assignment'!$K:$K,0)),""),IF(F139="Trap",IFERROR(INDEX('Shooter-Squad Assignment'!$A:$A,MATCH(C139&amp;"-"&amp;E139&amp;"-"&amp;F139&amp;"-Pos1",'Shooter-Squad Assignment'!$W:$W,0)),""),IF(F139="Sporting Clays",IFERROR(INDEX('Shooter-Squad Assignment'!$A:$A,MATCH(C139&amp;"-"&amp;E139&amp;"-"&amp;F139&amp;"-Pos1",'Shooter-Squad Assignment'!$Z:$Z,0)),""),"")))</f>
        <v/>
      </c>
      <c r="H139" s="73" t="str">
        <f>IF(ISBLANK(G139),"",IFERROR(INDEX('Tournament List'!$D:$D,MATCH(G139,'Tournament List'!$A:$A,0)),""))</f>
        <v/>
      </c>
      <c r="I139" s="94" t="str">
        <f>IF(F139="Skeet",IFERROR(INDEX('Shooter-Squad Assignment'!$A:$A,MATCH(C139&amp;"-"&amp;E139&amp;"-"&amp;F139&amp;"-Pos2",'Shooter-Squad Assignment'!$K:$K,0)),""),IF(F139="Trap",IFERROR(INDEX('Shooter-Squad Assignment'!$A:$A,MATCH(C139&amp;"-"&amp;E139&amp;"-"&amp;F139&amp;"-Pos2",'Shooter-Squad Assignment'!$W:$W,0)),""),IF(F139="Sporting Clays",IFERROR(INDEX('Shooter-Squad Assignment'!$A:$A,MATCH(C139&amp;"-"&amp;E139&amp;"-"&amp;F139&amp;"-Pos2",'Shooter-Squad Assignment'!$Z:$Z,0)),""),"")))</f>
        <v/>
      </c>
      <c r="J139" s="73" t="str">
        <f>IF(ISBLANK(I139),"",IFERROR(INDEX('Tournament List'!$D:$D,MATCH(I139,'Tournament List'!$A:$A,0)),""))</f>
        <v/>
      </c>
      <c r="K139" s="94" t="str">
        <f>IF(F139="Skeet",IFERROR(INDEX('Shooter-Squad Assignment'!$A:$A,MATCH(C139&amp;"-"&amp;E139&amp;"-"&amp;F139&amp;"-Pos3",'Shooter-Squad Assignment'!$K:$K,0)),""),IF(F139="Trap",IFERROR(INDEX('Shooter-Squad Assignment'!$A:$A,MATCH(C139&amp;"-"&amp;E139&amp;"-"&amp;F139&amp;"-Pos3",'Shooter-Squad Assignment'!$W:$W,0)),""),IF(F139="Sporting Clays",IFERROR(INDEX('Shooter-Squad Assignment'!$A:$A,MATCH(C139&amp;"-"&amp;E139&amp;"-"&amp;F139&amp;"-Pos3",'Shooter-Squad Assignment'!$Z:$Z,0)),""),"")))</f>
        <v/>
      </c>
      <c r="L139" s="73" t="str">
        <f>IF(ISBLANK(K139),"",IFERROR(INDEX('Tournament List'!$D:$D,MATCH(K139,'Tournament List'!$A:$A,0)),""))</f>
        <v/>
      </c>
      <c r="M139" s="94" t="str">
        <f>IF(F139="Skeet",IFERROR(INDEX('Shooter-Squad Assignment'!$A:$A,MATCH(C139&amp;"-"&amp;E139&amp;"-"&amp;F139&amp;"-Pos4",'Shooter-Squad Assignment'!$K:$K,0)),""),IF(F139="Trap",IFERROR(INDEX('Shooter-Squad Assignment'!$A:$A,MATCH(C139&amp;"-"&amp;E139&amp;"-"&amp;F139&amp;"-Pos4",'Shooter-Squad Assignment'!$W:$W,0)),""),IF(F139="Sporting Clays",IFERROR(INDEX('Shooter-Squad Assignment'!$A:$A,MATCH(C139&amp;"-"&amp;E139&amp;"-"&amp;F139&amp;"-Pos4",'Shooter-Squad Assignment'!$Z:$Z,0)),""),"")))</f>
        <v/>
      </c>
      <c r="N139" s="73" t="str">
        <f>IF(ISBLANK(M139),"",IFERROR(INDEX('Tournament List'!$D:$D,MATCH(M139,'Tournament List'!$A:$A,0)),""))</f>
        <v/>
      </c>
      <c r="O139" s="94" t="str">
        <f>IF(F139="Skeet",IFERROR(INDEX('Shooter-Squad Assignment'!$A:$A,MATCH(C139&amp;"-"&amp;E139&amp;"-"&amp;F139&amp;"-Pos5",'Shooter-Squad Assignment'!$K:$K,0)),""),IF(F139="Trap",IFERROR(INDEX('Shooter-Squad Assignment'!$A:$A,MATCH(C139&amp;"-"&amp;E139&amp;"-"&amp;F139&amp;"-Pos5",'Shooter-Squad Assignment'!$W:$W,0)),""),IF(F139="Sporting Clays",IFERROR(INDEX('Shooter-Squad Assignment'!$A:$A,MATCH(C139&amp;"-"&amp;E139&amp;"-"&amp;F139&amp;"-Pos5",'Shooter-Squad Assignment'!$Z:$Z,0)),""),"")))</f>
        <v/>
      </c>
      <c r="P139" s="79" t="str">
        <f>IF(ISBLANK(O139),"",IFERROR(INDEX('Tournament List'!$D:$D,MATCH(O139,'Tournament List'!$A:$A,0)),""))</f>
        <v/>
      </c>
    </row>
    <row r="140" spans="1:16" x14ac:dyDescent="0.3">
      <c r="A140" s="78">
        <v>139</v>
      </c>
      <c r="B140" s="73" t="str">
        <f>C140&amp;"-"&amp;E140&amp;"-"&amp;F140</f>
        <v>High Plains Drifters-Intermediate 3-Sporting Clays</v>
      </c>
      <c r="C140" s="73" t="s">
        <v>307</v>
      </c>
      <c r="D140" s="73" t="str">
        <f>INDEX('Tournament Setup'!$B$59:$B$78,MATCH(E140,SquadConcurrents,0))</f>
        <v>Intermediate</v>
      </c>
      <c r="E140" s="73" t="s">
        <v>350</v>
      </c>
      <c r="F140" s="73" t="s">
        <v>148</v>
      </c>
      <c r="G140" s="94" t="str">
        <f>IF(F140="Skeet",IFERROR(INDEX('Shooter-Squad Assignment'!$A:$A,MATCH(C140&amp;"-"&amp;E140&amp;"-"&amp;F140&amp;"-Pos1",'Shooter-Squad Assignment'!$K:$K,0)),""),IF(F140="Trap",IFERROR(INDEX('Shooter-Squad Assignment'!$A:$A,MATCH(C140&amp;"-"&amp;E140&amp;"-"&amp;F140&amp;"-Pos1",'Shooter-Squad Assignment'!$W:$W,0)),""),IF(F140="Sporting Clays",IFERROR(INDEX('Shooter-Squad Assignment'!$A:$A,MATCH(C140&amp;"-"&amp;E140&amp;"-"&amp;F140&amp;"-Pos1",'Shooter-Squad Assignment'!$Z:$Z,0)),""),"")))</f>
        <v/>
      </c>
      <c r="H140" s="73" t="str">
        <f>IF(ISBLANK(G140),"",IFERROR(INDEX('Tournament List'!$D:$D,MATCH(G140,'Tournament List'!$A:$A,0)),""))</f>
        <v/>
      </c>
      <c r="I140" s="94" t="str">
        <f>IF(F140="Skeet",IFERROR(INDEX('Shooter-Squad Assignment'!$A:$A,MATCH(C140&amp;"-"&amp;E140&amp;"-"&amp;F140&amp;"-Pos2",'Shooter-Squad Assignment'!$K:$K,0)),""),IF(F140="Trap",IFERROR(INDEX('Shooter-Squad Assignment'!$A:$A,MATCH(C140&amp;"-"&amp;E140&amp;"-"&amp;F140&amp;"-Pos2",'Shooter-Squad Assignment'!$W:$W,0)),""),IF(F140="Sporting Clays",IFERROR(INDEX('Shooter-Squad Assignment'!$A:$A,MATCH(C140&amp;"-"&amp;E140&amp;"-"&amp;F140&amp;"-Pos2",'Shooter-Squad Assignment'!$Z:$Z,0)),""),"")))</f>
        <v/>
      </c>
      <c r="J140" s="73" t="str">
        <f>IF(ISBLANK(I140),"",IFERROR(INDEX('Tournament List'!$D:$D,MATCH(I140,'Tournament List'!$A:$A,0)),""))</f>
        <v/>
      </c>
      <c r="K140" s="94" t="str">
        <f>IF(F140="Skeet",IFERROR(INDEX('Shooter-Squad Assignment'!$A:$A,MATCH(C140&amp;"-"&amp;E140&amp;"-"&amp;F140&amp;"-Pos3",'Shooter-Squad Assignment'!$K:$K,0)),""),IF(F140="Trap",IFERROR(INDEX('Shooter-Squad Assignment'!$A:$A,MATCH(C140&amp;"-"&amp;E140&amp;"-"&amp;F140&amp;"-Pos3",'Shooter-Squad Assignment'!$W:$W,0)),""),IF(F140="Sporting Clays",IFERROR(INDEX('Shooter-Squad Assignment'!$A:$A,MATCH(C140&amp;"-"&amp;E140&amp;"-"&amp;F140&amp;"-Pos3",'Shooter-Squad Assignment'!$Z:$Z,0)),""),"")))</f>
        <v/>
      </c>
      <c r="L140" s="73" t="str">
        <f>IF(ISBLANK(K140),"",IFERROR(INDEX('Tournament List'!$D:$D,MATCH(K140,'Tournament List'!$A:$A,0)),""))</f>
        <v/>
      </c>
      <c r="M140" s="94" t="str">
        <f>IF(F140="Skeet",IFERROR(INDEX('Shooter-Squad Assignment'!$A:$A,MATCH(C140&amp;"-"&amp;E140&amp;"-"&amp;F140&amp;"-Pos4",'Shooter-Squad Assignment'!$K:$K,0)),""),IF(F140="Trap",IFERROR(INDEX('Shooter-Squad Assignment'!$A:$A,MATCH(C140&amp;"-"&amp;E140&amp;"-"&amp;F140&amp;"-Pos4",'Shooter-Squad Assignment'!$W:$W,0)),""),IF(F140="Sporting Clays",IFERROR(INDEX('Shooter-Squad Assignment'!$A:$A,MATCH(C140&amp;"-"&amp;E140&amp;"-"&amp;F140&amp;"-Pos4",'Shooter-Squad Assignment'!$Z:$Z,0)),""),"")))</f>
        <v/>
      </c>
      <c r="N140" s="73" t="str">
        <f>IF(ISBLANK(M140),"",IFERROR(INDEX('Tournament List'!$D:$D,MATCH(M140,'Tournament List'!$A:$A,0)),""))</f>
        <v/>
      </c>
      <c r="O140" s="94" t="str">
        <f>IF(F140="Skeet",IFERROR(INDEX('Shooter-Squad Assignment'!$A:$A,MATCH(C140&amp;"-"&amp;E140&amp;"-"&amp;F140&amp;"-Pos5",'Shooter-Squad Assignment'!$K:$K,0)),""),IF(F140="Trap",IFERROR(INDEX('Shooter-Squad Assignment'!$A:$A,MATCH(C140&amp;"-"&amp;E140&amp;"-"&amp;F140&amp;"-Pos5",'Shooter-Squad Assignment'!$W:$W,0)),""),IF(F140="Sporting Clays",IFERROR(INDEX('Shooter-Squad Assignment'!$A:$A,MATCH(C140&amp;"-"&amp;E140&amp;"-"&amp;F140&amp;"-Pos5",'Shooter-Squad Assignment'!$Z:$Z,0)),""),"")))</f>
        <v/>
      </c>
      <c r="P140" s="79" t="str">
        <f>IF(ISBLANK(O140),"",IFERROR(INDEX('Tournament List'!$D:$D,MATCH(O140,'Tournament List'!$A:$A,0)),""))</f>
        <v/>
      </c>
    </row>
    <row r="141" spans="1:16" x14ac:dyDescent="0.3">
      <c r="A141" s="78">
        <v>140</v>
      </c>
      <c r="B141" s="73" t="str">
        <f>C141&amp;"-"&amp;E141&amp;"-"&amp;F141</f>
        <v>High Plains Drifters-Junior Varsity 1-Sporting Clays</v>
      </c>
      <c r="C141" s="73" t="s">
        <v>307</v>
      </c>
      <c r="D141" s="73" t="str">
        <f>INDEX('Tournament Setup'!$B$59:$B$78,MATCH(E141,SquadConcurrents,0))</f>
        <v>Junior Varsity</v>
      </c>
      <c r="E141" s="73" t="s">
        <v>339</v>
      </c>
      <c r="F141" s="73" t="s">
        <v>148</v>
      </c>
      <c r="G141" s="94" t="str">
        <f>IF(F141="Skeet",IFERROR(INDEX('Shooter-Squad Assignment'!$A:$A,MATCH(C141&amp;"-"&amp;E141&amp;"-"&amp;F141&amp;"-Pos1",'Shooter-Squad Assignment'!$K:$K,0)),""),IF(F141="Trap",IFERROR(INDEX('Shooter-Squad Assignment'!$A:$A,MATCH(C141&amp;"-"&amp;E141&amp;"-"&amp;F141&amp;"-Pos1",'Shooter-Squad Assignment'!$W:$W,0)),""),IF(F141="Sporting Clays",IFERROR(INDEX('Shooter-Squad Assignment'!$A:$A,MATCH(C141&amp;"-"&amp;E141&amp;"-"&amp;F141&amp;"-Pos1",'Shooter-Squad Assignment'!$Z:$Z,0)),""),"")))</f>
        <v/>
      </c>
      <c r="H141" s="73" t="str">
        <f>IF(ISBLANK(G141),"",IFERROR(INDEX('Tournament List'!$D:$D,MATCH(G141,'Tournament List'!$A:$A,0)),""))</f>
        <v/>
      </c>
      <c r="I141" s="94" t="str">
        <f>IF(F141="Skeet",IFERROR(INDEX('Shooter-Squad Assignment'!$A:$A,MATCH(C141&amp;"-"&amp;E141&amp;"-"&amp;F141&amp;"-Pos2",'Shooter-Squad Assignment'!$K:$K,0)),""),IF(F141="Trap",IFERROR(INDEX('Shooter-Squad Assignment'!$A:$A,MATCH(C141&amp;"-"&amp;E141&amp;"-"&amp;F141&amp;"-Pos2",'Shooter-Squad Assignment'!$W:$W,0)),""),IF(F141="Sporting Clays",IFERROR(INDEX('Shooter-Squad Assignment'!$A:$A,MATCH(C141&amp;"-"&amp;E141&amp;"-"&amp;F141&amp;"-Pos2",'Shooter-Squad Assignment'!$Z:$Z,0)),""),"")))</f>
        <v/>
      </c>
      <c r="J141" s="73" t="str">
        <f>IF(ISBLANK(I141),"",IFERROR(INDEX('Tournament List'!$D:$D,MATCH(I141,'Tournament List'!$A:$A,0)),""))</f>
        <v/>
      </c>
      <c r="K141" s="94" t="str">
        <f>IF(F141="Skeet",IFERROR(INDEX('Shooter-Squad Assignment'!$A:$A,MATCH(C141&amp;"-"&amp;E141&amp;"-"&amp;F141&amp;"-Pos3",'Shooter-Squad Assignment'!$K:$K,0)),""),IF(F141="Trap",IFERROR(INDEX('Shooter-Squad Assignment'!$A:$A,MATCH(C141&amp;"-"&amp;E141&amp;"-"&amp;F141&amp;"-Pos3",'Shooter-Squad Assignment'!$W:$W,0)),""),IF(F141="Sporting Clays",IFERROR(INDEX('Shooter-Squad Assignment'!$A:$A,MATCH(C141&amp;"-"&amp;E141&amp;"-"&amp;F141&amp;"-Pos3",'Shooter-Squad Assignment'!$Z:$Z,0)),""),"")))</f>
        <v/>
      </c>
      <c r="L141" s="73" t="str">
        <f>IF(ISBLANK(K141),"",IFERROR(INDEX('Tournament List'!$D:$D,MATCH(K141,'Tournament List'!$A:$A,0)),""))</f>
        <v/>
      </c>
      <c r="M141" s="94" t="str">
        <f>IF(F141="Skeet",IFERROR(INDEX('Shooter-Squad Assignment'!$A:$A,MATCH(C141&amp;"-"&amp;E141&amp;"-"&amp;F141&amp;"-Pos4",'Shooter-Squad Assignment'!$K:$K,0)),""),IF(F141="Trap",IFERROR(INDEX('Shooter-Squad Assignment'!$A:$A,MATCH(C141&amp;"-"&amp;E141&amp;"-"&amp;F141&amp;"-Pos4",'Shooter-Squad Assignment'!$W:$W,0)),""),IF(F141="Sporting Clays",IFERROR(INDEX('Shooter-Squad Assignment'!$A:$A,MATCH(C141&amp;"-"&amp;E141&amp;"-"&amp;F141&amp;"-Pos4",'Shooter-Squad Assignment'!$Z:$Z,0)),""),"")))</f>
        <v/>
      </c>
      <c r="N141" s="73" t="str">
        <f>IF(ISBLANK(M141),"",IFERROR(INDEX('Tournament List'!$D:$D,MATCH(M141,'Tournament List'!$A:$A,0)),""))</f>
        <v/>
      </c>
      <c r="O141" s="94" t="str">
        <f>IF(F141="Skeet",IFERROR(INDEX('Shooter-Squad Assignment'!$A:$A,MATCH(C141&amp;"-"&amp;E141&amp;"-"&amp;F141&amp;"-Pos5",'Shooter-Squad Assignment'!$K:$K,0)),""),IF(F141="Trap",IFERROR(INDEX('Shooter-Squad Assignment'!$A:$A,MATCH(C141&amp;"-"&amp;E141&amp;"-"&amp;F141&amp;"-Pos5",'Shooter-Squad Assignment'!$W:$W,0)),""),IF(F141="Sporting Clays",IFERROR(INDEX('Shooter-Squad Assignment'!$A:$A,MATCH(C141&amp;"-"&amp;E141&amp;"-"&amp;F141&amp;"-Pos5",'Shooter-Squad Assignment'!$Z:$Z,0)),""),"")))</f>
        <v/>
      </c>
      <c r="P141" s="79" t="str">
        <f>IF(ISBLANK(O141),"",IFERROR(INDEX('Tournament List'!$D:$D,MATCH(O141,'Tournament List'!$A:$A,0)),""))</f>
        <v/>
      </c>
    </row>
    <row r="142" spans="1:16" x14ac:dyDescent="0.3">
      <c r="A142" s="78">
        <v>141</v>
      </c>
      <c r="B142" s="73" t="str">
        <f>C142&amp;"-"&amp;E142&amp;"-"&amp;F142</f>
        <v>High Plains Drifters-Junior Varsity 2-Sporting Clays</v>
      </c>
      <c r="C142" s="73" t="s">
        <v>307</v>
      </c>
      <c r="D142" s="73" t="str">
        <f>INDEX('Tournament Setup'!$B$59:$B$78,MATCH(E142,SquadConcurrents,0))</f>
        <v>Junior Varsity</v>
      </c>
      <c r="E142" s="73" t="s">
        <v>345</v>
      </c>
      <c r="F142" s="73" t="s">
        <v>148</v>
      </c>
      <c r="G142" s="94" t="str">
        <f>IF(F142="Skeet",IFERROR(INDEX('Shooter-Squad Assignment'!$A:$A,MATCH(C142&amp;"-"&amp;E142&amp;"-"&amp;F142&amp;"-Pos1",'Shooter-Squad Assignment'!$K:$K,0)),""),IF(F142="Trap",IFERROR(INDEX('Shooter-Squad Assignment'!$A:$A,MATCH(C142&amp;"-"&amp;E142&amp;"-"&amp;F142&amp;"-Pos1",'Shooter-Squad Assignment'!$W:$W,0)),""),IF(F142="Sporting Clays",IFERROR(INDEX('Shooter-Squad Assignment'!$A:$A,MATCH(C142&amp;"-"&amp;E142&amp;"-"&amp;F142&amp;"-Pos1",'Shooter-Squad Assignment'!$Z:$Z,0)),""),"")))</f>
        <v/>
      </c>
      <c r="H142" s="73" t="str">
        <f>IF(ISBLANK(G142),"",IFERROR(INDEX('Tournament List'!$D:$D,MATCH(G142,'Tournament List'!$A:$A,0)),""))</f>
        <v/>
      </c>
      <c r="I142" s="94" t="str">
        <f>IF(F142="Skeet",IFERROR(INDEX('Shooter-Squad Assignment'!$A:$A,MATCH(C142&amp;"-"&amp;E142&amp;"-"&amp;F142&amp;"-Pos2",'Shooter-Squad Assignment'!$K:$K,0)),""),IF(F142="Trap",IFERROR(INDEX('Shooter-Squad Assignment'!$A:$A,MATCH(C142&amp;"-"&amp;E142&amp;"-"&amp;F142&amp;"-Pos2",'Shooter-Squad Assignment'!$W:$W,0)),""),IF(F142="Sporting Clays",IFERROR(INDEX('Shooter-Squad Assignment'!$A:$A,MATCH(C142&amp;"-"&amp;E142&amp;"-"&amp;F142&amp;"-Pos2",'Shooter-Squad Assignment'!$Z:$Z,0)),""),"")))</f>
        <v/>
      </c>
      <c r="J142" s="73" t="str">
        <f>IF(ISBLANK(I142),"",IFERROR(INDEX('Tournament List'!$D:$D,MATCH(I142,'Tournament List'!$A:$A,0)),""))</f>
        <v/>
      </c>
      <c r="K142" s="94" t="str">
        <f>IF(F142="Skeet",IFERROR(INDEX('Shooter-Squad Assignment'!$A:$A,MATCH(C142&amp;"-"&amp;E142&amp;"-"&amp;F142&amp;"-Pos3",'Shooter-Squad Assignment'!$K:$K,0)),""),IF(F142="Trap",IFERROR(INDEX('Shooter-Squad Assignment'!$A:$A,MATCH(C142&amp;"-"&amp;E142&amp;"-"&amp;F142&amp;"-Pos3",'Shooter-Squad Assignment'!$W:$W,0)),""),IF(F142="Sporting Clays",IFERROR(INDEX('Shooter-Squad Assignment'!$A:$A,MATCH(C142&amp;"-"&amp;E142&amp;"-"&amp;F142&amp;"-Pos3",'Shooter-Squad Assignment'!$Z:$Z,0)),""),"")))</f>
        <v/>
      </c>
      <c r="L142" s="73" t="str">
        <f>IF(ISBLANK(K142),"",IFERROR(INDEX('Tournament List'!$D:$D,MATCH(K142,'Tournament List'!$A:$A,0)),""))</f>
        <v/>
      </c>
      <c r="M142" s="94" t="str">
        <f>IF(F142="Skeet",IFERROR(INDEX('Shooter-Squad Assignment'!$A:$A,MATCH(C142&amp;"-"&amp;E142&amp;"-"&amp;F142&amp;"-Pos4",'Shooter-Squad Assignment'!$K:$K,0)),""),IF(F142="Trap",IFERROR(INDEX('Shooter-Squad Assignment'!$A:$A,MATCH(C142&amp;"-"&amp;E142&amp;"-"&amp;F142&amp;"-Pos4",'Shooter-Squad Assignment'!$W:$W,0)),""),IF(F142="Sporting Clays",IFERROR(INDEX('Shooter-Squad Assignment'!$A:$A,MATCH(C142&amp;"-"&amp;E142&amp;"-"&amp;F142&amp;"-Pos4",'Shooter-Squad Assignment'!$Z:$Z,0)),""),"")))</f>
        <v/>
      </c>
      <c r="N142" s="73" t="str">
        <f>IF(ISBLANK(M142),"",IFERROR(INDEX('Tournament List'!$D:$D,MATCH(M142,'Tournament List'!$A:$A,0)),""))</f>
        <v/>
      </c>
      <c r="O142" s="94" t="str">
        <f>IF(F142="Skeet",IFERROR(INDEX('Shooter-Squad Assignment'!$A:$A,MATCH(C142&amp;"-"&amp;E142&amp;"-"&amp;F142&amp;"-Pos5",'Shooter-Squad Assignment'!$K:$K,0)),""),IF(F142="Trap",IFERROR(INDEX('Shooter-Squad Assignment'!$A:$A,MATCH(C142&amp;"-"&amp;E142&amp;"-"&amp;F142&amp;"-Pos5",'Shooter-Squad Assignment'!$W:$W,0)),""),IF(F142="Sporting Clays",IFERROR(INDEX('Shooter-Squad Assignment'!$A:$A,MATCH(C142&amp;"-"&amp;E142&amp;"-"&amp;F142&amp;"-Pos5",'Shooter-Squad Assignment'!$Z:$Z,0)),""),"")))</f>
        <v/>
      </c>
      <c r="P142" s="79" t="str">
        <f>IF(ISBLANK(O142),"",IFERROR(INDEX('Tournament List'!$D:$D,MATCH(O142,'Tournament List'!$A:$A,0)),""))</f>
        <v/>
      </c>
    </row>
    <row r="143" spans="1:16" x14ac:dyDescent="0.3">
      <c r="A143" s="78">
        <v>142</v>
      </c>
      <c r="B143" s="73" t="str">
        <f>C143&amp;"-"&amp;E143&amp;"-"&amp;F143</f>
        <v>High Plains Drifters-Junior Varsity 3-Sporting Clays</v>
      </c>
      <c r="C143" s="73" t="s">
        <v>307</v>
      </c>
      <c r="D143" s="73" t="str">
        <f>INDEX('Tournament Setup'!$B$59:$B$78,MATCH(E143,SquadConcurrents,0))</f>
        <v>Junior Varsity</v>
      </c>
      <c r="E143" s="73" t="s">
        <v>351</v>
      </c>
      <c r="F143" s="73" t="s">
        <v>148</v>
      </c>
      <c r="G143" s="94" t="str">
        <f>IF(F143="Skeet",IFERROR(INDEX('Shooter-Squad Assignment'!$A:$A,MATCH(C143&amp;"-"&amp;E143&amp;"-"&amp;F143&amp;"-Pos1",'Shooter-Squad Assignment'!$K:$K,0)),""),IF(F143="Trap",IFERROR(INDEX('Shooter-Squad Assignment'!$A:$A,MATCH(C143&amp;"-"&amp;E143&amp;"-"&amp;F143&amp;"-Pos1",'Shooter-Squad Assignment'!$W:$W,0)),""),IF(F143="Sporting Clays",IFERROR(INDEX('Shooter-Squad Assignment'!$A:$A,MATCH(C143&amp;"-"&amp;E143&amp;"-"&amp;F143&amp;"-Pos1",'Shooter-Squad Assignment'!$Z:$Z,0)),""),"")))</f>
        <v/>
      </c>
      <c r="H143" s="73" t="str">
        <f>IF(ISBLANK(G143),"",IFERROR(INDEX('Tournament List'!$D:$D,MATCH(G143,'Tournament List'!$A:$A,0)),""))</f>
        <v/>
      </c>
      <c r="I143" s="94" t="str">
        <f>IF(F143="Skeet",IFERROR(INDEX('Shooter-Squad Assignment'!$A:$A,MATCH(C143&amp;"-"&amp;E143&amp;"-"&amp;F143&amp;"-Pos2",'Shooter-Squad Assignment'!$K:$K,0)),""),IF(F143="Trap",IFERROR(INDEX('Shooter-Squad Assignment'!$A:$A,MATCH(C143&amp;"-"&amp;E143&amp;"-"&amp;F143&amp;"-Pos2",'Shooter-Squad Assignment'!$W:$W,0)),""),IF(F143="Sporting Clays",IFERROR(INDEX('Shooter-Squad Assignment'!$A:$A,MATCH(C143&amp;"-"&amp;E143&amp;"-"&amp;F143&amp;"-Pos2",'Shooter-Squad Assignment'!$Z:$Z,0)),""),"")))</f>
        <v/>
      </c>
      <c r="J143" s="73" t="str">
        <f>IF(ISBLANK(I143),"",IFERROR(INDEX('Tournament List'!$D:$D,MATCH(I143,'Tournament List'!$A:$A,0)),""))</f>
        <v/>
      </c>
      <c r="K143" s="94" t="str">
        <f>IF(F143="Skeet",IFERROR(INDEX('Shooter-Squad Assignment'!$A:$A,MATCH(C143&amp;"-"&amp;E143&amp;"-"&amp;F143&amp;"-Pos3",'Shooter-Squad Assignment'!$K:$K,0)),""),IF(F143="Trap",IFERROR(INDEX('Shooter-Squad Assignment'!$A:$A,MATCH(C143&amp;"-"&amp;E143&amp;"-"&amp;F143&amp;"-Pos3",'Shooter-Squad Assignment'!$W:$W,0)),""),IF(F143="Sporting Clays",IFERROR(INDEX('Shooter-Squad Assignment'!$A:$A,MATCH(C143&amp;"-"&amp;E143&amp;"-"&amp;F143&amp;"-Pos3",'Shooter-Squad Assignment'!$Z:$Z,0)),""),"")))</f>
        <v/>
      </c>
      <c r="L143" s="73" t="str">
        <f>IF(ISBLANK(K143),"",IFERROR(INDEX('Tournament List'!$D:$D,MATCH(K143,'Tournament List'!$A:$A,0)),""))</f>
        <v/>
      </c>
      <c r="M143" s="94" t="str">
        <f>IF(F143="Skeet",IFERROR(INDEX('Shooter-Squad Assignment'!$A:$A,MATCH(C143&amp;"-"&amp;E143&amp;"-"&amp;F143&amp;"-Pos4",'Shooter-Squad Assignment'!$K:$K,0)),""),IF(F143="Trap",IFERROR(INDEX('Shooter-Squad Assignment'!$A:$A,MATCH(C143&amp;"-"&amp;E143&amp;"-"&amp;F143&amp;"-Pos4",'Shooter-Squad Assignment'!$W:$W,0)),""),IF(F143="Sporting Clays",IFERROR(INDEX('Shooter-Squad Assignment'!$A:$A,MATCH(C143&amp;"-"&amp;E143&amp;"-"&amp;F143&amp;"-Pos4",'Shooter-Squad Assignment'!$Z:$Z,0)),""),"")))</f>
        <v/>
      </c>
      <c r="N143" s="73" t="str">
        <f>IF(ISBLANK(M143),"",IFERROR(INDEX('Tournament List'!$D:$D,MATCH(M143,'Tournament List'!$A:$A,0)),""))</f>
        <v/>
      </c>
      <c r="O143" s="94" t="str">
        <f>IF(F143="Skeet",IFERROR(INDEX('Shooter-Squad Assignment'!$A:$A,MATCH(C143&amp;"-"&amp;E143&amp;"-"&amp;F143&amp;"-Pos5",'Shooter-Squad Assignment'!$K:$K,0)),""),IF(F143="Trap",IFERROR(INDEX('Shooter-Squad Assignment'!$A:$A,MATCH(C143&amp;"-"&amp;E143&amp;"-"&amp;F143&amp;"-Pos5",'Shooter-Squad Assignment'!$W:$W,0)),""),IF(F143="Sporting Clays",IFERROR(INDEX('Shooter-Squad Assignment'!$A:$A,MATCH(C143&amp;"-"&amp;E143&amp;"-"&amp;F143&amp;"-Pos5",'Shooter-Squad Assignment'!$Z:$Z,0)),""),"")))</f>
        <v/>
      </c>
      <c r="P143" s="79" t="str">
        <f>IF(ISBLANK(O143),"",IFERROR(INDEX('Tournament List'!$D:$D,MATCH(O143,'Tournament List'!$A:$A,0)),""))</f>
        <v/>
      </c>
    </row>
    <row r="144" spans="1:16" x14ac:dyDescent="0.3">
      <c r="A144" s="78">
        <v>143</v>
      </c>
      <c r="B144" s="73" t="str">
        <f>C144&amp;"-"&amp;E144&amp;"-"&amp;F144</f>
        <v>High Plains Drifters-Novice 1-Sporting Clays</v>
      </c>
      <c r="C144" s="73" t="s">
        <v>307</v>
      </c>
      <c r="D144" s="73" t="str">
        <f>INDEX('Tournament Setup'!$B$59:$B$78,MATCH(E144,SquadConcurrents,0))</f>
        <v>Novice</v>
      </c>
      <c r="E144" s="73" t="s">
        <v>337</v>
      </c>
      <c r="F144" s="73" t="s">
        <v>148</v>
      </c>
      <c r="G144" s="94" t="str">
        <f>IF(F144="Skeet",IFERROR(INDEX('Shooter-Squad Assignment'!$A:$A,MATCH(C144&amp;"-"&amp;E144&amp;"-"&amp;F144&amp;"-Pos1",'Shooter-Squad Assignment'!$K:$K,0)),""),IF(F144="Trap",IFERROR(INDEX('Shooter-Squad Assignment'!$A:$A,MATCH(C144&amp;"-"&amp;E144&amp;"-"&amp;F144&amp;"-Pos1",'Shooter-Squad Assignment'!$W:$W,0)),""),IF(F144="Sporting Clays",IFERROR(INDEX('Shooter-Squad Assignment'!$A:$A,MATCH(C144&amp;"-"&amp;E144&amp;"-"&amp;F144&amp;"-Pos1",'Shooter-Squad Assignment'!$Z:$Z,0)),""),"")))</f>
        <v/>
      </c>
      <c r="H144" s="73" t="str">
        <f>IF(ISBLANK(G144),"",IFERROR(INDEX('Tournament List'!$D:$D,MATCH(G144,'Tournament List'!$A:$A,0)),""))</f>
        <v/>
      </c>
      <c r="I144" s="94" t="str">
        <f>IF(F144="Skeet",IFERROR(INDEX('Shooter-Squad Assignment'!$A:$A,MATCH(C144&amp;"-"&amp;E144&amp;"-"&amp;F144&amp;"-Pos2",'Shooter-Squad Assignment'!$K:$K,0)),""),IF(F144="Trap",IFERROR(INDEX('Shooter-Squad Assignment'!$A:$A,MATCH(C144&amp;"-"&amp;E144&amp;"-"&amp;F144&amp;"-Pos2",'Shooter-Squad Assignment'!$W:$W,0)),""),IF(F144="Sporting Clays",IFERROR(INDEX('Shooter-Squad Assignment'!$A:$A,MATCH(C144&amp;"-"&amp;E144&amp;"-"&amp;F144&amp;"-Pos2",'Shooter-Squad Assignment'!$Z:$Z,0)),""),"")))</f>
        <v/>
      </c>
      <c r="J144" s="73" t="str">
        <f>IF(ISBLANK(I144),"",IFERROR(INDEX('Tournament List'!$D:$D,MATCH(I144,'Tournament List'!$A:$A,0)),""))</f>
        <v/>
      </c>
      <c r="K144" s="94" t="str">
        <f>IF(F144="Skeet",IFERROR(INDEX('Shooter-Squad Assignment'!$A:$A,MATCH(C144&amp;"-"&amp;E144&amp;"-"&amp;F144&amp;"-Pos3",'Shooter-Squad Assignment'!$K:$K,0)),""),IF(F144="Trap",IFERROR(INDEX('Shooter-Squad Assignment'!$A:$A,MATCH(C144&amp;"-"&amp;E144&amp;"-"&amp;F144&amp;"-Pos3",'Shooter-Squad Assignment'!$W:$W,0)),""),IF(F144="Sporting Clays",IFERROR(INDEX('Shooter-Squad Assignment'!$A:$A,MATCH(C144&amp;"-"&amp;E144&amp;"-"&amp;F144&amp;"-Pos3",'Shooter-Squad Assignment'!$Z:$Z,0)),""),"")))</f>
        <v/>
      </c>
      <c r="L144" s="73" t="str">
        <f>IF(ISBLANK(K144),"",IFERROR(INDEX('Tournament List'!$D:$D,MATCH(K144,'Tournament List'!$A:$A,0)),""))</f>
        <v/>
      </c>
      <c r="M144" s="94" t="str">
        <f>IF(F144="Skeet",IFERROR(INDEX('Shooter-Squad Assignment'!$A:$A,MATCH(C144&amp;"-"&amp;E144&amp;"-"&amp;F144&amp;"-Pos4",'Shooter-Squad Assignment'!$K:$K,0)),""),IF(F144="Trap",IFERROR(INDEX('Shooter-Squad Assignment'!$A:$A,MATCH(C144&amp;"-"&amp;E144&amp;"-"&amp;F144&amp;"-Pos4",'Shooter-Squad Assignment'!$W:$W,0)),""),IF(F144="Sporting Clays",IFERROR(INDEX('Shooter-Squad Assignment'!$A:$A,MATCH(C144&amp;"-"&amp;E144&amp;"-"&amp;F144&amp;"-Pos4",'Shooter-Squad Assignment'!$Z:$Z,0)),""),"")))</f>
        <v/>
      </c>
      <c r="N144" s="73" t="str">
        <f>IF(ISBLANK(M144),"",IFERROR(INDEX('Tournament List'!$D:$D,MATCH(M144,'Tournament List'!$A:$A,0)),""))</f>
        <v/>
      </c>
      <c r="O144" s="94" t="str">
        <f>IF(F144="Skeet",IFERROR(INDEX('Shooter-Squad Assignment'!$A:$A,MATCH(C144&amp;"-"&amp;E144&amp;"-"&amp;F144&amp;"-Pos5",'Shooter-Squad Assignment'!$K:$K,0)),""),IF(F144="Trap",IFERROR(INDEX('Shooter-Squad Assignment'!$A:$A,MATCH(C144&amp;"-"&amp;E144&amp;"-"&amp;F144&amp;"-Pos5",'Shooter-Squad Assignment'!$W:$W,0)),""),IF(F144="Sporting Clays",IFERROR(INDEX('Shooter-Squad Assignment'!$A:$A,MATCH(C144&amp;"-"&amp;E144&amp;"-"&amp;F144&amp;"-Pos5",'Shooter-Squad Assignment'!$Z:$Z,0)),""),"")))</f>
        <v/>
      </c>
      <c r="P144" s="79" t="str">
        <f>IF(ISBLANK(O144),"",IFERROR(INDEX('Tournament List'!$D:$D,MATCH(O144,'Tournament List'!$A:$A,0)),""))</f>
        <v/>
      </c>
    </row>
    <row r="145" spans="1:16" x14ac:dyDescent="0.3">
      <c r="A145" s="78">
        <v>144</v>
      </c>
      <c r="B145" s="73" t="str">
        <f>C145&amp;"-"&amp;E145&amp;"-"&amp;F145</f>
        <v>High Plains Drifters-Novice 2-Sporting Clays</v>
      </c>
      <c r="C145" s="73" t="s">
        <v>307</v>
      </c>
      <c r="D145" s="73" t="str">
        <f>INDEX('Tournament Setup'!$B$59:$B$78,MATCH(E145,SquadConcurrents,0))</f>
        <v>Novice</v>
      </c>
      <c r="E145" s="73" t="s">
        <v>343</v>
      </c>
      <c r="F145" s="73" t="s">
        <v>148</v>
      </c>
      <c r="G145" s="94" t="str">
        <f>IF(F145="Skeet",IFERROR(INDEX('Shooter-Squad Assignment'!$A:$A,MATCH(C145&amp;"-"&amp;E145&amp;"-"&amp;F145&amp;"-Pos1",'Shooter-Squad Assignment'!$K:$K,0)),""),IF(F145="Trap",IFERROR(INDEX('Shooter-Squad Assignment'!$A:$A,MATCH(C145&amp;"-"&amp;E145&amp;"-"&amp;F145&amp;"-Pos1",'Shooter-Squad Assignment'!$W:$W,0)),""),IF(F145="Sporting Clays",IFERROR(INDEX('Shooter-Squad Assignment'!$A:$A,MATCH(C145&amp;"-"&amp;E145&amp;"-"&amp;F145&amp;"-Pos1",'Shooter-Squad Assignment'!$Z:$Z,0)),""),"")))</f>
        <v/>
      </c>
      <c r="H145" s="73" t="str">
        <f>IF(ISBLANK(G145),"",IFERROR(INDEX('Tournament List'!$D:$D,MATCH(G145,'Tournament List'!$A:$A,0)),""))</f>
        <v/>
      </c>
      <c r="I145" s="94" t="str">
        <f>IF(F145="Skeet",IFERROR(INDEX('Shooter-Squad Assignment'!$A:$A,MATCH(C145&amp;"-"&amp;E145&amp;"-"&amp;F145&amp;"-Pos2",'Shooter-Squad Assignment'!$K:$K,0)),""),IF(F145="Trap",IFERROR(INDEX('Shooter-Squad Assignment'!$A:$A,MATCH(C145&amp;"-"&amp;E145&amp;"-"&amp;F145&amp;"-Pos2",'Shooter-Squad Assignment'!$W:$W,0)),""),IF(F145="Sporting Clays",IFERROR(INDEX('Shooter-Squad Assignment'!$A:$A,MATCH(C145&amp;"-"&amp;E145&amp;"-"&amp;F145&amp;"-Pos2",'Shooter-Squad Assignment'!$Z:$Z,0)),""),"")))</f>
        <v/>
      </c>
      <c r="J145" s="73" t="str">
        <f>IF(ISBLANK(I145),"",IFERROR(INDEX('Tournament List'!$D:$D,MATCH(I145,'Tournament List'!$A:$A,0)),""))</f>
        <v/>
      </c>
      <c r="K145" s="94" t="str">
        <f>IF(F145="Skeet",IFERROR(INDEX('Shooter-Squad Assignment'!$A:$A,MATCH(C145&amp;"-"&amp;E145&amp;"-"&amp;F145&amp;"-Pos3",'Shooter-Squad Assignment'!$K:$K,0)),""),IF(F145="Trap",IFERROR(INDEX('Shooter-Squad Assignment'!$A:$A,MATCH(C145&amp;"-"&amp;E145&amp;"-"&amp;F145&amp;"-Pos3",'Shooter-Squad Assignment'!$W:$W,0)),""),IF(F145="Sporting Clays",IFERROR(INDEX('Shooter-Squad Assignment'!$A:$A,MATCH(C145&amp;"-"&amp;E145&amp;"-"&amp;F145&amp;"-Pos3",'Shooter-Squad Assignment'!$Z:$Z,0)),""),"")))</f>
        <v/>
      </c>
      <c r="L145" s="73" t="str">
        <f>IF(ISBLANK(K145),"",IFERROR(INDEX('Tournament List'!$D:$D,MATCH(K145,'Tournament List'!$A:$A,0)),""))</f>
        <v/>
      </c>
      <c r="M145" s="94" t="str">
        <f>IF(F145="Skeet",IFERROR(INDEX('Shooter-Squad Assignment'!$A:$A,MATCH(C145&amp;"-"&amp;E145&amp;"-"&amp;F145&amp;"-Pos4",'Shooter-Squad Assignment'!$K:$K,0)),""),IF(F145="Trap",IFERROR(INDEX('Shooter-Squad Assignment'!$A:$A,MATCH(C145&amp;"-"&amp;E145&amp;"-"&amp;F145&amp;"-Pos4",'Shooter-Squad Assignment'!$W:$W,0)),""),IF(F145="Sporting Clays",IFERROR(INDEX('Shooter-Squad Assignment'!$A:$A,MATCH(C145&amp;"-"&amp;E145&amp;"-"&amp;F145&amp;"-Pos4",'Shooter-Squad Assignment'!$Z:$Z,0)),""),"")))</f>
        <v/>
      </c>
      <c r="N145" s="73" t="str">
        <f>IF(ISBLANK(M145),"",IFERROR(INDEX('Tournament List'!$D:$D,MATCH(M145,'Tournament List'!$A:$A,0)),""))</f>
        <v/>
      </c>
      <c r="O145" s="94" t="str">
        <f>IF(F145="Skeet",IFERROR(INDEX('Shooter-Squad Assignment'!$A:$A,MATCH(C145&amp;"-"&amp;E145&amp;"-"&amp;F145&amp;"-Pos5",'Shooter-Squad Assignment'!$K:$K,0)),""),IF(F145="Trap",IFERROR(INDEX('Shooter-Squad Assignment'!$A:$A,MATCH(C145&amp;"-"&amp;E145&amp;"-"&amp;F145&amp;"-Pos5",'Shooter-Squad Assignment'!$W:$W,0)),""),IF(F145="Sporting Clays",IFERROR(INDEX('Shooter-Squad Assignment'!$A:$A,MATCH(C145&amp;"-"&amp;E145&amp;"-"&amp;F145&amp;"-Pos5",'Shooter-Squad Assignment'!$Z:$Z,0)),""),"")))</f>
        <v/>
      </c>
      <c r="P145" s="79" t="str">
        <f>IF(ISBLANK(O145),"",IFERROR(INDEX('Tournament List'!$D:$D,MATCH(O145,'Tournament List'!$A:$A,0)),""))</f>
        <v/>
      </c>
    </row>
    <row r="146" spans="1:16" x14ac:dyDescent="0.3">
      <c r="A146" s="78">
        <v>145</v>
      </c>
      <c r="B146" s="73" t="str">
        <f>C146&amp;"-"&amp;E146&amp;"-"&amp;F146</f>
        <v>High Plains Drifters-Novice 3-Sporting Clays</v>
      </c>
      <c r="C146" s="73" t="s">
        <v>307</v>
      </c>
      <c r="D146" s="73" t="str">
        <f>INDEX('Tournament Setup'!$B$59:$B$78,MATCH(E146,SquadConcurrents,0))</f>
        <v>Novice</v>
      </c>
      <c r="E146" s="73" t="s">
        <v>349</v>
      </c>
      <c r="F146" s="73" t="s">
        <v>148</v>
      </c>
      <c r="G146" s="94" t="str">
        <f>IF(F146="Skeet",IFERROR(INDEX('Shooter-Squad Assignment'!$A:$A,MATCH(C146&amp;"-"&amp;E146&amp;"-"&amp;F146&amp;"-Pos1",'Shooter-Squad Assignment'!$K:$K,0)),""),IF(F146="Trap",IFERROR(INDEX('Shooter-Squad Assignment'!$A:$A,MATCH(C146&amp;"-"&amp;E146&amp;"-"&amp;F146&amp;"-Pos1",'Shooter-Squad Assignment'!$W:$W,0)),""),IF(F146="Sporting Clays",IFERROR(INDEX('Shooter-Squad Assignment'!$A:$A,MATCH(C146&amp;"-"&amp;E146&amp;"-"&amp;F146&amp;"-Pos1",'Shooter-Squad Assignment'!$Z:$Z,0)),""),"")))</f>
        <v/>
      </c>
      <c r="H146" s="73" t="str">
        <f>IF(ISBLANK(G146),"",IFERROR(INDEX('Tournament List'!$D:$D,MATCH(G146,'Tournament List'!$A:$A,0)),""))</f>
        <v/>
      </c>
      <c r="I146" s="94" t="str">
        <f>IF(F146="Skeet",IFERROR(INDEX('Shooter-Squad Assignment'!$A:$A,MATCH(C146&amp;"-"&amp;E146&amp;"-"&amp;F146&amp;"-Pos2",'Shooter-Squad Assignment'!$K:$K,0)),""),IF(F146="Trap",IFERROR(INDEX('Shooter-Squad Assignment'!$A:$A,MATCH(C146&amp;"-"&amp;E146&amp;"-"&amp;F146&amp;"-Pos2",'Shooter-Squad Assignment'!$W:$W,0)),""),IF(F146="Sporting Clays",IFERROR(INDEX('Shooter-Squad Assignment'!$A:$A,MATCH(C146&amp;"-"&amp;E146&amp;"-"&amp;F146&amp;"-Pos2",'Shooter-Squad Assignment'!$Z:$Z,0)),""),"")))</f>
        <v/>
      </c>
      <c r="J146" s="73" t="str">
        <f>IF(ISBLANK(I146),"",IFERROR(INDEX('Tournament List'!$D:$D,MATCH(I146,'Tournament List'!$A:$A,0)),""))</f>
        <v/>
      </c>
      <c r="K146" s="94" t="str">
        <f>IF(F146="Skeet",IFERROR(INDEX('Shooter-Squad Assignment'!$A:$A,MATCH(C146&amp;"-"&amp;E146&amp;"-"&amp;F146&amp;"-Pos3",'Shooter-Squad Assignment'!$K:$K,0)),""),IF(F146="Trap",IFERROR(INDEX('Shooter-Squad Assignment'!$A:$A,MATCH(C146&amp;"-"&amp;E146&amp;"-"&amp;F146&amp;"-Pos3",'Shooter-Squad Assignment'!$W:$W,0)),""),IF(F146="Sporting Clays",IFERROR(INDEX('Shooter-Squad Assignment'!$A:$A,MATCH(C146&amp;"-"&amp;E146&amp;"-"&amp;F146&amp;"-Pos3",'Shooter-Squad Assignment'!$Z:$Z,0)),""),"")))</f>
        <v/>
      </c>
      <c r="L146" s="73" t="str">
        <f>IF(ISBLANK(K146),"",IFERROR(INDEX('Tournament List'!$D:$D,MATCH(K146,'Tournament List'!$A:$A,0)),""))</f>
        <v/>
      </c>
      <c r="M146" s="94" t="str">
        <f>IF(F146="Skeet",IFERROR(INDEX('Shooter-Squad Assignment'!$A:$A,MATCH(C146&amp;"-"&amp;E146&amp;"-"&amp;F146&amp;"-Pos4",'Shooter-Squad Assignment'!$K:$K,0)),""),IF(F146="Trap",IFERROR(INDEX('Shooter-Squad Assignment'!$A:$A,MATCH(C146&amp;"-"&amp;E146&amp;"-"&amp;F146&amp;"-Pos4",'Shooter-Squad Assignment'!$W:$W,0)),""),IF(F146="Sporting Clays",IFERROR(INDEX('Shooter-Squad Assignment'!$A:$A,MATCH(C146&amp;"-"&amp;E146&amp;"-"&amp;F146&amp;"-Pos4",'Shooter-Squad Assignment'!$Z:$Z,0)),""),"")))</f>
        <v/>
      </c>
      <c r="N146" s="73" t="str">
        <f>IF(ISBLANK(M146),"",IFERROR(INDEX('Tournament List'!$D:$D,MATCH(M146,'Tournament List'!$A:$A,0)),""))</f>
        <v/>
      </c>
      <c r="O146" s="94" t="str">
        <f>IF(F146="Skeet",IFERROR(INDEX('Shooter-Squad Assignment'!$A:$A,MATCH(C146&amp;"-"&amp;E146&amp;"-"&amp;F146&amp;"-Pos5",'Shooter-Squad Assignment'!$K:$K,0)),""),IF(F146="Trap",IFERROR(INDEX('Shooter-Squad Assignment'!$A:$A,MATCH(C146&amp;"-"&amp;E146&amp;"-"&amp;F146&amp;"-Pos5",'Shooter-Squad Assignment'!$W:$W,0)),""),IF(F146="Sporting Clays",IFERROR(INDEX('Shooter-Squad Assignment'!$A:$A,MATCH(C146&amp;"-"&amp;E146&amp;"-"&amp;F146&amp;"-Pos5",'Shooter-Squad Assignment'!$Z:$Z,0)),""),"")))</f>
        <v/>
      </c>
      <c r="P146" s="79" t="str">
        <f>IF(ISBLANK(O146),"",IFERROR(INDEX('Tournament List'!$D:$D,MATCH(O146,'Tournament List'!$A:$A,0)),""))</f>
        <v/>
      </c>
    </row>
    <row r="147" spans="1:16" x14ac:dyDescent="0.3">
      <c r="A147" s="78">
        <v>146</v>
      </c>
      <c r="B147" s="73" t="str">
        <f>C147&amp;"-"&amp;E147&amp;"-"&amp;F147</f>
        <v>High Plains Drifters-Open 1-Sporting Clays</v>
      </c>
      <c r="C147" s="73" t="s">
        <v>307</v>
      </c>
      <c r="D147" s="73" t="str">
        <f>INDEX('Tournament Setup'!$B$59:$B$78,MATCH(E147,SquadConcurrents,0))</f>
        <v>Open</v>
      </c>
      <c r="E147" s="73" t="s">
        <v>341</v>
      </c>
      <c r="F147" s="73" t="s">
        <v>148</v>
      </c>
      <c r="G147" s="94" t="str">
        <f>IF(F147="Skeet",IFERROR(INDEX('Shooter-Squad Assignment'!$A:$A,MATCH(C147&amp;"-"&amp;E147&amp;"-"&amp;F147&amp;"-Pos1",'Shooter-Squad Assignment'!$K:$K,0)),""),IF(F147="Trap",IFERROR(INDEX('Shooter-Squad Assignment'!$A:$A,MATCH(C147&amp;"-"&amp;E147&amp;"-"&amp;F147&amp;"-Pos1",'Shooter-Squad Assignment'!$W:$W,0)),""),IF(F147="Sporting Clays",IFERROR(INDEX('Shooter-Squad Assignment'!$A:$A,MATCH(C147&amp;"-"&amp;E147&amp;"-"&amp;F147&amp;"-Pos1",'Shooter-Squad Assignment'!$Z:$Z,0)),""),"")))</f>
        <v>24-1042</v>
      </c>
      <c r="H147" s="73" t="str">
        <f>IF(ISBLANK(G147),"",IFERROR(INDEX('Tournament List'!$D:$D,MATCH(G147,'Tournament List'!$A:$A,0)),""))</f>
        <v>Terry Last Name43</v>
      </c>
      <c r="I147" s="94" t="str">
        <f>IF(F147="Skeet",IFERROR(INDEX('Shooter-Squad Assignment'!$A:$A,MATCH(C147&amp;"-"&amp;E147&amp;"-"&amp;F147&amp;"-Pos2",'Shooter-Squad Assignment'!$K:$K,0)),""),IF(F147="Trap",IFERROR(INDEX('Shooter-Squad Assignment'!$A:$A,MATCH(C147&amp;"-"&amp;E147&amp;"-"&amp;F147&amp;"-Pos2",'Shooter-Squad Assignment'!$W:$W,0)),""),IF(F147="Sporting Clays",IFERROR(INDEX('Shooter-Squad Assignment'!$A:$A,MATCH(C147&amp;"-"&amp;E147&amp;"-"&amp;F147&amp;"-Pos2",'Shooter-Squad Assignment'!$Z:$Z,0)),""),"")))</f>
        <v>24-1012</v>
      </c>
      <c r="J147" s="73" t="str">
        <f>IF(ISBLANK(I147),"",IFERROR(INDEX('Tournament List'!$D:$D,MATCH(I147,'Tournament List'!$A:$A,0)),""))</f>
        <v>Bruce Last Name13</v>
      </c>
      <c r="K147" s="94" t="str">
        <f>IF(F147="Skeet",IFERROR(INDEX('Shooter-Squad Assignment'!$A:$A,MATCH(C147&amp;"-"&amp;E147&amp;"-"&amp;F147&amp;"-Pos3",'Shooter-Squad Assignment'!$K:$K,0)),""),IF(F147="Trap",IFERROR(INDEX('Shooter-Squad Assignment'!$A:$A,MATCH(C147&amp;"-"&amp;E147&amp;"-"&amp;F147&amp;"-Pos3",'Shooter-Squad Assignment'!$W:$W,0)),""),IF(F147="Sporting Clays",IFERROR(INDEX('Shooter-Squad Assignment'!$A:$A,MATCH(C147&amp;"-"&amp;E147&amp;"-"&amp;F147&amp;"-Pos3",'Shooter-Squad Assignment'!$Z:$Z,0)),""),"")))</f>
        <v>24-1000</v>
      </c>
      <c r="L147" s="73" t="str">
        <f>IF(ISBLANK(K147),"",IFERROR(INDEX('Tournament List'!$D:$D,MATCH(K147,'Tournament List'!$A:$A,0)),""))</f>
        <v>Jason Last Name1</v>
      </c>
      <c r="M147" s="94" t="str">
        <f>IF(F147="Skeet",IFERROR(INDEX('Shooter-Squad Assignment'!$A:$A,MATCH(C147&amp;"-"&amp;E147&amp;"-"&amp;F147&amp;"-Pos4",'Shooter-Squad Assignment'!$K:$K,0)),""),IF(F147="Trap",IFERROR(INDEX('Shooter-Squad Assignment'!$A:$A,MATCH(C147&amp;"-"&amp;E147&amp;"-"&amp;F147&amp;"-Pos4",'Shooter-Squad Assignment'!$W:$W,0)),""),IF(F147="Sporting Clays",IFERROR(INDEX('Shooter-Squad Assignment'!$A:$A,MATCH(C147&amp;"-"&amp;E147&amp;"-"&amp;F147&amp;"-Pos4",'Shooter-Squad Assignment'!$Z:$Z,0)),""),"")))</f>
        <v/>
      </c>
      <c r="N147" s="73" t="str">
        <f>IF(ISBLANK(M147),"",IFERROR(INDEX('Tournament List'!$D:$D,MATCH(M147,'Tournament List'!$A:$A,0)),""))</f>
        <v/>
      </c>
      <c r="O147" s="94" t="str">
        <f>IF(F147="Skeet",IFERROR(INDEX('Shooter-Squad Assignment'!$A:$A,MATCH(C147&amp;"-"&amp;E147&amp;"-"&amp;F147&amp;"-Pos5",'Shooter-Squad Assignment'!$K:$K,0)),""),IF(F147="Trap",IFERROR(INDEX('Shooter-Squad Assignment'!$A:$A,MATCH(C147&amp;"-"&amp;E147&amp;"-"&amp;F147&amp;"-Pos5",'Shooter-Squad Assignment'!$W:$W,0)),""),IF(F147="Sporting Clays",IFERROR(INDEX('Shooter-Squad Assignment'!$A:$A,MATCH(C147&amp;"-"&amp;E147&amp;"-"&amp;F147&amp;"-Pos5",'Shooter-Squad Assignment'!$Z:$Z,0)),""),"")))</f>
        <v/>
      </c>
      <c r="P147" s="79" t="str">
        <f>IF(ISBLANK(O147),"",IFERROR(INDEX('Tournament List'!$D:$D,MATCH(O147,'Tournament List'!$A:$A,0)),""))</f>
        <v/>
      </c>
    </row>
    <row r="148" spans="1:16" x14ac:dyDescent="0.3">
      <c r="A148" s="78">
        <v>147</v>
      </c>
      <c r="B148" s="73" t="str">
        <f>C148&amp;"-"&amp;E148&amp;"-"&amp;F148</f>
        <v>High Plains Drifters-Open 2-Sporting Clays</v>
      </c>
      <c r="C148" s="73" t="s">
        <v>307</v>
      </c>
      <c r="D148" s="73" t="str">
        <f>INDEX('Tournament Setup'!$B$59:$B$78,MATCH(E148,SquadConcurrents,0))</f>
        <v>Open</v>
      </c>
      <c r="E148" s="73" t="s">
        <v>347</v>
      </c>
      <c r="F148" s="73" t="s">
        <v>148</v>
      </c>
      <c r="G148" s="94" t="str">
        <f>IF(F148="Skeet",IFERROR(INDEX('Shooter-Squad Assignment'!$A:$A,MATCH(C148&amp;"-"&amp;E148&amp;"-"&amp;F148&amp;"-Pos1",'Shooter-Squad Assignment'!$K:$K,0)),""),IF(F148="Trap",IFERROR(INDEX('Shooter-Squad Assignment'!$A:$A,MATCH(C148&amp;"-"&amp;E148&amp;"-"&amp;F148&amp;"-Pos1",'Shooter-Squad Assignment'!$W:$W,0)),""),IF(F148="Sporting Clays",IFERROR(INDEX('Shooter-Squad Assignment'!$A:$A,MATCH(C148&amp;"-"&amp;E148&amp;"-"&amp;F148&amp;"-Pos1",'Shooter-Squad Assignment'!$Z:$Z,0)),""),"")))</f>
        <v/>
      </c>
      <c r="H148" s="73" t="str">
        <f>IF(ISBLANK(G148),"",IFERROR(INDEX('Tournament List'!$D:$D,MATCH(G148,'Tournament List'!$A:$A,0)),""))</f>
        <v/>
      </c>
      <c r="I148" s="94" t="str">
        <f>IF(F148="Skeet",IFERROR(INDEX('Shooter-Squad Assignment'!$A:$A,MATCH(C148&amp;"-"&amp;E148&amp;"-"&amp;F148&amp;"-Pos2",'Shooter-Squad Assignment'!$K:$K,0)),""),IF(F148="Trap",IFERROR(INDEX('Shooter-Squad Assignment'!$A:$A,MATCH(C148&amp;"-"&amp;E148&amp;"-"&amp;F148&amp;"-Pos2",'Shooter-Squad Assignment'!$W:$W,0)),""),IF(F148="Sporting Clays",IFERROR(INDEX('Shooter-Squad Assignment'!$A:$A,MATCH(C148&amp;"-"&amp;E148&amp;"-"&amp;F148&amp;"-Pos2",'Shooter-Squad Assignment'!$Z:$Z,0)),""),"")))</f>
        <v/>
      </c>
      <c r="J148" s="73" t="str">
        <f>IF(ISBLANK(I148),"",IFERROR(INDEX('Tournament List'!$D:$D,MATCH(I148,'Tournament List'!$A:$A,0)),""))</f>
        <v/>
      </c>
      <c r="K148" s="94" t="str">
        <f>IF(F148="Skeet",IFERROR(INDEX('Shooter-Squad Assignment'!$A:$A,MATCH(C148&amp;"-"&amp;E148&amp;"-"&amp;F148&amp;"-Pos3",'Shooter-Squad Assignment'!$K:$K,0)),""),IF(F148="Trap",IFERROR(INDEX('Shooter-Squad Assignment'!$A:$A,MATCH(C148&amp;"-"&amp;E148&amp;"-"&amp;F148&amp;"-Pos3",'Shooter-Squad Assignment'!$W:$W,0)),""),IF(F148="Sporting Clays",IFERROR(INDEX('Shooter-Squad Assignment'!$A:$A,MATCH(C148&amp;"-"&amp;E148&amp;"-"&amp;F148&amp;"-Pos3",'Shooter-Squad Assignment'!$Z:$Z,0)),""),"")))</f>
        <v/>
      </c>
      <c r="L148" s="73" t="str">
        <f>IF(ISBLANK(K148),"",IFERROR(INDEX('Tournament List'!$D:$D,MATCH(K148,'Tournament List'!$A:$A,0)),""))</f>
        <v/>
      </c>
      <c r="M148" s="94" t="str">
        <f>IF(F148="Skeet",IFERROR(INDEX('Shooter-Squad Assignment'!$A:$A,MATCH(C148&amp;"-"&amp;E148&amp;"-"&amp;F148&amp;"-Pos4",'Shooter-Squad Assignment'!$K:$K,0)),""),IF(F148="Trap",IFERROR(INDEX('Shooter-Squad Assignment'!$A:$A,MATCH(C148&amp;"-"&amp;E148&amp;"-"&amp;F148&amp;"-Pos4",'Shooter-Squad Assignment'!$W:$W,0)),""),IF(F148="Sporting Clays",IFERROR(INDEX('Shooter-Squad Assignment'!$A:$A,MATCH(C148&amp;"-"&amp;E148&amp;"-"&amp;F148&amp;"-Pos4",'Shooter-Squad Assignment'!$Z:$Z,0)),""),"")))</f>
        <v/>
      </c>
      <c r="N148" s="73" t="str">
        <f>IF(ISBLANK(M148),"",IFERROR(INDEX('Tournament List'!$D:$D,MATCH(M148,'Tournament List'!$A:$A,0)),""))</f>
        <v/>
      </c>
      <c r="O148" s="94" t="str">
        <f>IF(F148="Skeet",IFERROR(INDEX('Shooter-Squad Assignment'!$A:$A,MATCH(C148&amp;"-"&amp;E148&amp;"-"&amp;F148&amp;"-Pos5",'Shooter-Squad Assignment'!$K:$K,0)),""),IF(F148="Trap",IFERROR(INDEX('Shooter-Squad Assignment'!$A:$A,MATCH(C148&amp;"-"&amp;E148&amp;"-"&amp;F148&amp;"-Pos5",'Shooter-Squad Assignment'!$W:$W,0)),""),IF(F148="Sporting Clays",IFERROR(INDEX('Shooter-Squad Assignment'!$A:$A,MATCH(C148&amp;"-"&amp;E148&amp;"-"&amp;F148&amp;"-Pos5",'Shooter-Squad Assignment'!$Z:$Z,0)),""),"")))</f>
        <v/>
      </c>
      <c r="P148" s="79" t="str">
        <f>IF(ISBLANK(O148),"",IFERROR(INDEX('Tournament List'!$D:$D,MATCH(O148,'Tournament List'!$A:$A,0)),""))</f>
        <v/>
      </c>
    </row>
    <row r="149" spans="1:16" x14ac:dyDescent="0.3">
      <c r="A149" s="78">
        <v>148</v>
      </c>
      <c r="B149" s="73" t="str">
        <f>C149&amp;"-"&amp;E149&amp;"-"&amp;F149</f>
        <v>High Plains Drifters-Open 3-Sporting Clays</v>
      </c>
      <c r="C149" s="73" t="s">
        <v>307</v>
      </c>
      <c r="D149" s="73" t="str">
        <f>INDEX('Tournament Setup'!$B$59:$B$78,MATCH(E149,SquadConcurrents,0))</f>
        <v>Open</v>
      </c>
      <c r="E149" s="73" t="s">
        <v>353</v>
      </c>
      <c r="F149" s="73" t="s">
        <v>148</v>
      </c>
      <c r="G149" s="94" t="str">
        <f>IF(F149="Skeet",IFERROR(INDEX('Shooter-Squad Assignment'!$A:$A,MATCH(C149&amp;"-"&amp;E149&amp;"-"&amp;F149&amp;"-Pos1",'Shooter-Squad Assignment'!$K:$K,0)),""),IF(F149="Trap",IFERROR(INDEX('Shooter-Squad Assignment'!$A:$A,MATCH(C149&amp;"-"&amp;E149&amp;"-"&amp;F149&amp;"-Pos1",'Shooter-Squad Assignment'!$W:$W,0)),""),IF(F149="Sporting Clays",IFERROR(INDEX('Shooter-Squad Assignment'!$A:$A,MATCH(C149&amp;"-"&amp;E149&amp;"-"&amp;F149&amp;"-Pos1",'Shooter-Squad Assignment'!$Z:$Z,0)),""),"")))</f>
        <v/>
      </c>
      <c r="H149" s="73" t="str">
        <f>IF(ISBLANK(G149),"",IFERROR(INDEX('Tournament List'!$D:$D,MATCH(G149,'Tournament List'!$A:$A,0)),""))</f>
        <v/>
      </c>
      <c r="I149" s="94" t="str">
        <f>IF(F149="Skeet",IFERROR(INDEX('Shooter-Squad Assignment'!$A:$A,MATCH(C149&amp;"-"&amp;E149&amp;"-"&amp;F149&amp;"-Pos2",'Shooter-Squad Assignment'!$K:$K,0)),""),IF(F149="Trap",IFERROR(INDEX('Shooter-Squad Assignment'!$A:$A,MATCH(C149&amp;"-"&amp;E149&amp;"-"&amp;F149&amp;"-Pos2",'Shooter-Squad Assignment'!$W:$W,0)),""),IF(F149="Sporting Clays",IFERROR(INDEX('Shooter-Squad Assignment'!$A:$A,MATCH(C149&amp;"-"&amp;E149&amp;"-"&amp;F149&amp;"-Pos2",'Shooter-Squad Assignment'!$Z:$Z,0)),""),"")))</f>
        <v/>
      </c>
      <c r="J149" s="73" t="str">
        <f>IF(ISBLANK(I149),"",IFERROR(INDEX('Tournament List'!$D:$D,MATCH(I149,'Tournament List'!$A:$A,0)),""))</f>
        <v/>
      </c>
      <c r="K149" s="94" t="str">
        <f>IF(F149="Skeet",IFERROR(INDEX('Shooter-Squad Assignment'!$A:$A,MATCH(C149&amp;"-"&amp;E149&amp;"-"&amp;F149&amp;"-Pos3",'Shooter-Squad Assignment'!$K:$K,0)),""),IF(F149="Trap",IFERROR(INDEX('Shooter-Squad Assignment'!$A:$A,MATCH(C149&amp;"-"&amp;E149&amp;"-"&amp;F149&amp;"-Pos3",'Shooter-Squad Assignment'!$W:$W,0)),""),IF(F149="Sporting Clays",IFERROR(INDEX('Shooter-Squad Assignment'!$A:$A,MATCH(C149&amp;"-"&amp;E149&amp;"-"&amp;F149&amp;"-Pos3",'Shooter-Squad Assignment'!$Z:$Z,0)),""),"")))</f>
        <v/>
      </c>
      <c r="L149" s="73" t="str">
        <f>IF(ISBLANK(K149),"",IFERROR(INDEX('Tournament List'!$D:$D,MATCH(K149,'Tournament List'!$A:$A,0)),""))</f>
        <v/>
      </c>
      <c r="M149" s="94" t="str">
        <f>IF(F149="Skeet",IFERROR(INDEX('Shooter-Squad Assignment'!$A:$A,MATCH(C149&amp;"-"&amp;E149&amp;"-"&amp;F149&amp;"-Pos4",'Shooter-Squad Assignment'!$K:$K,0)),""),IF(F149="Trap",IFERROR(INDEX('Shooter-Squad Assignment'!$A:$A,MATCH(C149&amp;"-"&amp;E149&amp;"-"&amp;F149&amp;"-Pos4",'Shooter-Squad Assignment'!$W:$W,0)),""),IF(F149="Sporting Clays",IFERROR(INDEX('Shooter-Squad Assignment'!$A:$A,MATCH(C149&amp;"-"&amp;E149&amp;"-"&amp;F149&amp;"-Pos4",'Shooter-Squad Assignment'!$Z:$Z,0)),""),"")))</f>
        <v/>
      </c>
      <c r="N149" s="73" t="str">
        <f>IF(ISBLANK(M149),"",IFERROR(INDEX('Tournament List'!$D:$D,MATCH(M149,'Tournament List'!$A:$A,0)),""))</f>
        <v/>
      </c>
      <c r="O149" s="94" t="str">
        <f>IF(F149="Skeet",IFERROR(INDEX('Shooter-Squad Assignment'!$A:$A,MATCH(C149&amp;"-"&amp;E149&amp;"-"&amp;F149&amp;"-Pos5",'Shooter-Squad Assignment'!$K:$K,0)),""),IF(F149="Trap",IFERROR(INDEX('Shooter-Squad Assignment'!$A:$A,MATCH(C149&amp;"-"&amp;E149&amp;"-"&amp;F149&amp;"-Pos5",'Shooter-Squad Assignment'!$W:$W,0)),""),IF(F149="Sporting Clays",IFERROR(INDEX('Shooter-Squad Assignment'!$A:$A,MATCH(C149&amp;"-"&amp;E149&amp;"-"&amp;F149&amp;"-Pos5",'Shooter-Squad Assignment'!$Z:$Z,0)),""),"")))</f>
        <v/>
      </c>
      <c r="P149" s="79" t="str">
        <f>IF(ISBLANK(O149),"",IFERROR(INDEX('Tournament List'!$D:$D,MATCH(O149,'Tournament List'!$A:$A,0)),""))</f>
        <v/>
      </c>
    </row>
    <row r="150" spans="1:16" x14ac:dyDescent="0.3">
      <c r="A150" s="78">
        <v>149</v>
      </c>
      <c r="B150" s="73" t="str">
        <f>C150&amp;"-"&amp;E150&amp;"-"&amp;F150</f>
        <v>High Plains Drifters-Unassigned 1-Sporting Clays</v>
      </c>
      <c r="C150" s="73" t="s">
        <v>307</v>
      </c>
      <c r="D150" s="73" t="str">
        <f>INDEX('Tournament Setup'!$B$59:$B$78,MATCH(E150,SquadConcurrents,0))</f>
        <v>Unassigned</v>
      </c>
      <c r="E150" s="73" t="s">
        <v>762</v>
      </c>
      <c r="F150" s="73" t="s">
        <v>148</v>
      </c>
      <c r="G150" s="94" t="str">
        <f>IF(F150="Skeet",IFERROR(INDEX('Shooter-Squad Assignment'!$A:$A,MATCH(C150&amp;"-"&amp;E150&amp;"-"&amp;F150&amp;"-Pos1",'Shooter-Squad Assignment'!$K:$K,0)),""),IF(F150="Trap",IFERROR(INDEX('Shooter-Squad Assignment'!$A:$A,MATCH(C150&amp;"-"&amp;E150&amp;"-"&amp;F150&amp;"-Pos1",'Shooter-Squad Assignment'!$W:$W,0)),""),IF(F150="Sporting Clays",IFERROR(INDEX('Shooter-Squad Assignment'!$A:$A,MATCH(C150&amp;"-"&amp;E150&amp;"-"&amp;F150&amp;"-Pos1",'Shooter-Squad Assignment'!$Z:$Z,0)),""),"")))</f>
        <v/>
      </c>
      <c r="H150" s="73" t="str">
        <f>IF(ISBLANK(G150),"",IFERROR(INDEX('Tournament List'!$D:$D,MATCH(G150,'Tournament List'!$A:$A,0)),""))</f>
        <v/>
      </c>
      <c r="I150" s="94" t="str">
        <f>IF(F150="Skeet",IFERROR(INDEX('Shooter-Squad Assignment'!$A:$A,MATCH(C150&amp;"-"&amp;E150&amp;"-"&amp;F150&amp;"-Pos2",'Shooter-Squad Assignment'!$K:$K,0)),""),IF(F150="Trap",IFERROR(INDEX('Shooter-Squad Assignment'!$A:$A,MATCH(C150&amp;"-"&amp;E150&amp;"-"&amp;F150&amp;"-Pos2",'Shooter-Squad Assignment'!$W:$W,0)),""),IF(F150="Sporting Clays",IFERROR(INDEX('Shooter-Squad Assignment'!$A:$A,MATCH(C150&amp;"-"&amp;E150&amp;"-"&amp;F150&amp;"-Pos2",'Shooter-Squad Assignment'!$Z:$Z,0)),""),"")))</f>
        <v/>
      </c>
      <c r="J150" s="73" t="str">
        <f>IF(ISBLANK(I150),"",IFERROR(INDEX('Tournament List'!$D:$D,MATCH(I150,'Tournament List'!$A:$A,0)),""))</f>
        <v/>
      </c>
      <c r="K150" s="94" t="str">
        <f>IF(F150="Skeet",IFERROR(INDEX('Shooter-Squad Assignment'!$A:$A,MATCH(C150&amp;"-"&amp;E150&amp;"-"&amp;F150&amp;"-Pos3",'Shooter-Squad Assignment'!$K:$K,0)),""),IF(F150="Trap",IFERROR(INDEX('Shooter-Squad Assignment'!$A:$A,MATCH(C150&amp;"-"&amp;E150&amp;"-"&amp;F150&amp;"-Pos3",'Shooter-Squad Assignment'!$W:$W,0)),""),IF(F150="Sporting Clays",IFERROR(INDEX('Shooter-Squad Assignment'!$A:$A,MATCH(C150&amp;"-"&amp;E150&amp;"-"&amp;F150&amp;"-Pos3",'Shooter-Squad Assignment'!$Z:$Z,0)),""),"")))</f>
        <v/>
      </c>
      <c r="L150" s="73" t="str">
        <f>IF(ISBLANK(K150),"",IFERROR(INDEX('Tournament List'!$D:$D,MATCH(K150,'Tournament List'!$A:$A,0)),""))</f>
        <v/>
      </c>
      <c r="M150" s="94" t="str">
        <f>IF(F150="Skeet",IFERROR(INDEX('Shooter-Squad Assignment'!$A:$A,MATCH(C150&amp;"-"&amp;E150&amp;"-"&amp;F150&amp;"-Pos4",'Shooter-Squad Assignment'!$K:$K,0)),""),IF(F150="Trap",IFERROR(INDEX('Shooter-Squad Assignment'!$A:$A,MATCH(C150&amp;"-"&amp;E150&amp;"-"&amp;F150&amp;"-Pos4",'Shooter-Squad Assignment'!$W:$W,0)),""),IF(F150="Sporting Clays",IFERROR(INDEX('Shooter-Squad Assignment'!$A:$A,MATCH(C150&amp;"-"&amp;E150&amp;"-"&amp;F150&amp;"-Pos4",'Shooter-Squad Assignment'!$Z:$Z,0)),""),"")))</f>
        <v/>
      </c>
      <c r="N150" s="73" t="str">
        <f>IF(ISBLANK(M150),"",IFERROR(INDEX('Tournament List'!$D:$D,MATCH(M150,'Tournament List'!$A:$A,0)),""))</f>
        <v/>
      </c>
      <c r="O150" s="94" t="str">
        <f>IF(F150="Skeet",IFERROR(INDEX('Shooter-Squad Assignment'!$A:$A,MATCH(C150&amp;"-"&amp;E150&amp;"-"&amp;F150&amp;"-Pos5",'Shooter-Squad Assignment'!$K:$K,0)),""),IF(F150="Trap",IFERROR(INDEX('Shooter-Squad Assignment'!$A:$A,MATCH(C150&amp;"-"&amp;E150&amp;"-"&amp;F150&amp;"-Pos5",'Shooter-Squad Assignment'!$W:$W,0)),""),IF(F150="Sporting Clays",IFERROR(INDEX('Shooter-Squad Assignment'!$A:$A,MATCH(C150&amp;"-"&amp;E150&amp;"-"&amp;F150&amp;"-Pos5",'Shooter-Squad Assignment'!$Z:$Z,0)),""),"")))</f>
        <v/>
      </c>
      <c r="P150" s="79" t="str">
        <f>IF(ISBLANK(O150),"",IFERROR(INDEX('Tournament List'!$D:$D,MATCH(O150,'Tournament List'!$A:$A,0)),""))</f>
        <v/>
      </c>
    </row>
    <row r="151" spans="1:16" x14ac:dyDescent="0.3">
      <c r="A151" s="78">
        <v>150</v>
      </c>
      <c r="B151" s="73" t="str">
        <f>C151&amp;"-"&amp;E151&amp;"-"&amp;F151</f>
        <v>High Plains Drifters-Varsity 1-Sporting Clays</v>
      </c>
      <c r="C151" s="73" t="s">
        <v>307</v>
      </c>
      <c r="D151" s="73" t="str">
        <f>INDEX('Tournament Setup'!$B$59:$B$78,MATCH(E151,SquadConcurrents,0))</f>
        <v>Varsity</v>
      </c>
      <c r="E151" s="73" t="s">
        <v>340</v>
      </c>
      <c r="F151" s="73" t="s">
        <v>148</v>
      </c>
      <c r="G151" s="94" t="str">
        <f>IF(F151="Skeet",IFERROR(INDEX('Shooter-Squad Assignment'!$A:$A,MATCH(C151&amp;"-"&amp;E151&amp;"-"&amp;F151&amp;"-Pos1",'Shooter-Squad Assignment'!$K:$K,0)),""),IF(F151="Trap",IFERROR(INDEX('Shooter-Squad Assignment'!$A:$A,MATCH(C151&amp;"-"&amp;E151&amp;"-"&amp;F151&amp;"-Pos1",'Shooter-Squad Assignment'!$W:$W,0)),""),IF(F151="Sporting Clays",IFERROR(INDEX('Shooter-Squad Assignment'!$A:$A,MATCH(C151&amp;"-"&amp;E151&amp;"-"&amp;F151&amp;"-Pos1",'Shooter-Squad Assignment'!$Z:$Z,0)),""),"")))</f>
        <v>24-1024</v>
      </c>
      <c r="H151" s="73" t="str">
        <f>IF(ISBLANK(G151),"",IFERROR(INDEX('Tournament List'!$D:$D,MATCH(G151,'Tournament List'!$A:$A,0)),""))</f>
        <v>Harry Last Name25</v>
      </c>
      <c r="I151" s="94" t="str">
        <f>IF(F151="Skeet",IFERROR(INDEX('Shooter-Squad Assignment'!$A:$A,MATCH(C151&amp;"-"&amp;E151&amp;"-"&amp;F151&amp;"-Pos2",'Shooter-Squad Assignment'!$K:$K,0)),""),IF(F151="Trap",IFERROR(INDEX('Shooter-Squad Assignment'!$A:$A,MATCH(C151&amp;"-"&amp;E151&amp;"-"&amp;F151&amp;"-Pos2",'Shooter-Squad Assignment'!$W:$W,0)),""),IF(F151="Sporting Clays",IFERROR(INDEX('Shooter-Squad Assignment'!$A:$A,MATCH(C151&amp;"-"&amp;E151&amp;"-"&amp;F151&amp;"-Pos2",'Shooter-Squad Assignment'!$Z:$Z,0)),""),"")))</f>
        <v>24-1018</v>
      </c>
      <c r="J151" s="73" t="str">
        <f>IF(ISBLANK(I151),"",IFERROR(INDEX('Tournament List'!$D:$D,MATCH(I151,'Tournament List'!$A:$A,0)),""))</f>
        <v>Jack Last Name19</v>
      </c>
      <c r="K151" s="94" t="str">
        <f>IF(F151="Skeet",IFERROR(INDEX('Shooter-Squad Assignment'!$A:$A,MATCH(C151&amp;"-"&amp;E151&amp;"-"&amp;F151&amp;"-Pos3",'Shooter-Squad Assignment'!$K:$K,0)),""),IF(F151="Trap",IFERROR(INDEX('Shooter-Squad Assignment'!$A:$A,MATCH(C151&amp;"-"&amp;E151&amp;"-"&amp;F151&amp;"-Pos3",'Shooter-Squad Assignment'!$W:$W,0)),""),IF(F151="Sporting Clays",IFERROR(INDEX('Shooter-Squad Assignment'!$A:$A,MATCH(C151&amp;"-"&amp;E151&amp;"-"&amp;F151&amp;"-Pos3",'Shooter-Squad Assignment'!$Z:$Z,0)),""),"")))</f>
        <v>24-1036</v>
      </c>
      <c r="L151" s="73" t="str">
        <f>IF(ISBLANK(K151),"",IFERROR(INDEX('Tournament List'!$D:$D,MATCH(K151,'Tournament List'!$A:$A,0)),""))</f>
        <v>Will Last Name37</v>
      </c>
      <c r="M151" s="94" t="str">
        <f>IF(F151="Skeet",IFERROR(INDEX('Shooter-Squad Assignment'!$A:$A,MATCH(C151&amp;"-"&amp;E151&amp;"-"&amp;F151&amp;"-Pos4",'Shooter-Squad Assignment'!$K:$K,0)),""),IF(F151="Trap",IFERROR(INDEX('Shooter-Squad Assignment'!$A:$A,MATCH(C151&amp;"-"&amp;E151&amp;"-"&amp;F151&amp;"-Pos4",'Shooter-Squad Assignment'!$W:$W,0)),""),IF(F151="Sporting Clays",IFERROR(INDEX('Shooter-Squad Assignment'!$A:$A,MATCH(C151&amp;"-"&amp;E151&amp;"-"&amp;F151&amp;"-Pos4",'Shooter-Squad Assignment'!$Z:$Z,0)),""),"")))</f>
        <v/>
      </c>
      <c r="N151" s="73" t="str">
        <f>IF(ISBLANK(M151),"",IFERROR(INDEX('Tournament List'!$D:$D,MATCH(M151,'Tournament List'!$A:$A,0)),""))</f>
        <v/>
      </c>
      <c r="O151" s="94" t="str">
        <f>IF(F151="Skeet",IFERROR(INDEX('Shooter-Squad Assignment'!$A:$A,MATCH(C151&amp;"-"&amp;E151&amp;"-"&amp;F151&amp;"-Pos5",'Shooter-Squad Assignment'!$K:$K,0)),""),IF(F151="Trap",IFERROR(INDEX('Shooter-Squad Assignment'!$A:$A,MATCH(C151&amp;"-"&amp;E151&amp;"-"&amp;F151&amp;"-Pos5",'Shooter-Squad Assignment'!$W:$W,0)),""),IF(F151="Sporting Clays",IFERROR(INDEX('Shooter-Squad Assignment'!$A:$A,MATCH(C151&amp;"-"&amp;E151&amp;"-"&amp;F151&amp;"-Pos5",'Shooter-Squad Assignment'!$Z:$Z,0)),""),"")))</f>
        <v/>
      </c>
      <c r="P151" s="79" t="str">
        <f>IF(ISBLANK(O151),"",IFERROR(INDEX('Tournament List'!$D:$D,MATCH(O151,'Tournament List'!$A:$A,0)),""))</f>
        <v/>
      </c>
    </row>
    <row r="152" spans="1:16" x14ac:dyDescent="0.3">
      <c r="A152" s="78">
        <v>151</v>
      </c>
      <c r="B152" s="73" t="str">
        <f>C152&amp;"-"&amp;E152&amp;"-"&amp;F152</f>
        <v>High Plains Drifters-Varsity 2-Sporting Clays</v>
      </c>
      <c r="C152" s="73" t="s">
        <v>307</v>
      </c>
      <c r="D152" s="73" t="str">
        <f>INDEX('Tournament Setup'!$B$59:$B$78,MATCH(E152,SquadConcurrents,0))</f>
        <v>Varsity</v>
      </c>
      <c r="E152" s="73" t="s">
        <v>346</v>
      </c>
      <c r="F152" s="73" t="s">
        <v>148</v>
      </c>
      <c r="G152" s="94" t="str">
        <f>IF(F152="Skeet",IFERROR(INDEX('Shooter-Squad Assignment'!$A:$A,MATCH(C152&amp;"-"&amp;E152&amp;"-"&amp;F152&amp;"-Pos1",'Shooter-Squad Assignment'!$K:$K,0)),""),IF(F152="Trap",IFERROR(INDEX('Shooter-Squad Assignment'!$A:$A,MATCH(C152&amp;"-"&amp;E152&amp;"-"&amp;F152&amp;"-Pos1",'Shooter-Squad Assignment'!$W:$W,0)),""),IF(F152="Sporting Clays",IFERROR(INDEX('Shooter-Squad Assignment'!$A:$A,MATCH(C152&amp;"-"&amp;E152&amp;"-"&amp;F152&amp;"-Pos1",'Shooter-Squad Assignment'!$Z:$Z,0)),""),"")))</f>
        <v/>
      </c>
      <c r="H152" s="73" t="str">
        <f>IF(ISBLANK(G152),"",IFERROR(INDEX('Tournament List'!$D:$D,MATCH(G152,'Tournament List'!$A:$A,0)),""))</f>
        <v/>
      </c>
      <c r="I152" s="94" t="str">
        <f>IF(F152="Skeet",IFERROR(INDEX('Shooter-Squad Assignment'!$A:$A,MATCH(C152&amp;"-"&amp;E152&amp;"-"&amp;F152&amp;"-Pos2",'Shooter-Squad Assignment'!$K:$K,0)),""),IF(F152="Trap",IFERROR(INDEX('Shooter-Squad Assignment'!$A:$A,MATCH(C152&amp;"-"&amp;E152&amp;"-"&amp;F152&amp;"-Pos2",'Shooter-Squad Assignment'!$W:$W,0)),""),IF(F152="Sporting Clays",IFERROR(INDEX('Shooter-Squad Assignment'!$A:$A,MATCH(C152&amp;"-"&amp;E152&amp;"-"&amp;F152&amp;"-Pos2",'Shooter-Squad Assignment'!$Z:$Z,0)),""),"")))</f>
        <v/>
      </c>
      <c r="J152" s="73" t="str">
        <f>IF(ISBLANK(I152),"",IFERROR(INDEX('Tournament List'!$D:$D,MATCH(I152,'Tournament List'!$A:$A,0)),""))</f>
        <v/>
      </c>
      <c r="K152" s="94" t="str">
        <f>IF(F152="Skeet",IFERROR(INDEX('Shooter-Squad Assignment'!$A:$A,MATCH(C152&amp;"-"&amp;E152&amp;"-"&amp;F152&amp;"-Pos3",'Shooter-Squad Assignment'!$K:$K,0)),""),IF(F152="Trap",IFERROR(INDEX('Shooter-Squad Assignment'!$A:$A,MATCH(C152&amp;"-"&amp;E152&amp;"-"&amp;F152&amp;"-Pos3",'Shooter-Squad Assignment'!$W:$W,0)),""),IF(F152="Sporting Clays",IFERROR(INDEX('Shooter-Squad Assignment'!$A:$A,MATCH(C152&amp;"-"&amp;E152&amp;"-"&amp;F152&amp;"-Pos3",'Shooter-Squad Assignment'!$Z:$Z,0)),""),"")))</f>
        <v/>
      </c>
      <c r="L152" s="73" t="str">
        <f>IF(ISBLANK(K152),"",IFERROR(INDEX('Tournament List'!$D:$D,MATCH(K152,'Tournament List'!$A:$A,0)),""))</f>
        <v/>
      </c>
      <c r="M152" s="94" t="str">
        <f>IF(F152="Skeet",IFERROR(INDEX('Shooter-Squad Assignment'!$A:$A,MATCH(C152&amp;"-"&amp;E152&amp;"-"&amp;F152&amp;"-Pos4",'Shooter-Squad Assignment'!$K:$K,0)),""),IF(F152="Trap",IFERROR(INDEX('Shooter-Squad Assignment'!$A:$A,MATCH(C152&amp;"-"&amp;E152&amp;"-"&amp;F152&amp;"-Pos4",'Shooter-Squad Assignment'!$W:$W,0)),""),IF(F152="Sporting Clays",IFERROR(INDEX('Shooter-Squad Assignment'!$A:$A,MATCH(C152&amp;"-"&amp;E152&amp;"-"&amp;F152&amp;"-Pos4",'Shooter-Squad Assignment'!$Z:$Z,0)),""),"")))</f>
        <v/>
      </c>
      <c r="N152" s="73" t="str">
        <f>IF(ISBLANK(M152),"",IFERROR(INDEX('Tournament List'!$D:$D,MATCH(M152,'Tournament List'!$A:$A,0)),""))</f>
        <v/>
      </c>
      <c r="O152" s="94" t="str">
        <f>IF(F152="Skeet",IFERROR(INDEX('Shooter-Squad Assignment'!$A:$A,MATCH(C152&amp;"-"&amp;E152&amp;"-"&amp;F152&amp;"-Pos5",'Shooter-Squad Assignment'!$K:$K,0)),""),IF(F152="Trap",IFERROR(INDEX('Shooter-Squad Assignment'!$A:$A,MATCH(C152&amp;"-"&amp;E152&amp;"-"&amp;F152&amp;"-Pos5",'Shooter-Squad Assignment'!$W:$W,0)),""),IF(F152="Sporting Clays",IFERROR(INDEX('Shooter-Squad Assignment'!$A:$A,MATCH(C152&amp;"-"&amp;E152&amp;"-"&amp;F152&amp;"-Pos5",'Shooter-Squad Assignment'!$Z:$Z,0)),""),"")))</f>
        <v/>
      </c>
      <c r="P152" s="79" t="str">
        <f>IF(ISBLANK(O152),"",IFERROR(INDEX('Tournament List'!$D:$D,MATCH(O152,'Tournament List'!$A:$A,0)),""))</f>
        <v/>
      </c>
    </row>
    <row r="153" spans="1:16" x14ac:dyDescent="0.3">
      <c r="A153" s="78">
        <v>152</v>
      </c>
      <c r="B153" s="73" t="str">
        <f>C153&amp;"-"&amp;E153&amp;"-"&amp;F153</f>
        <v>High Plains Drifters-Varsity 3-Sporting Clays</v>
      </c>
      <c r="C153" s="73" t="s">
        <v>307</v>
      </c>
      <c r="D153" s="73" t="str">
        <f>INDEX('Tournament Setup'!$B$59:$B$78,MATCH(E153,SquadConcurrents,0))</f>
        <v>Varsity</v>
      </c>
      <c r="E153" s="73" t="s">
        <v>352</v>
      </c>
      <c r="F153" s="73" t="s">
        <v>148</v>
      </c>
      <c r="G153" s="94" t="str">
        <f>IF(F153="Skeet",IFERROR(INDEX('Shooter-Squad Assignment'!$A:$A,MATCH(C153&amp;"-"&amp;E153&amp;"-"&amp;F153&amp;"-Pos1",'Shooter-Squad Assignment'!$K:$K,0)),""),IF(F153="Trap",IFERROR(INDEX('Shooter-Squad Assignment'!$A:$A,MATCH(C153&amp;"-"&amp;E153&amp;"-"&amp;F153&amp;"-Pos1",'Shooter-Squad Assignment'!$W:$W,0)),""),IF(F153="Sporting Clays",IFERROR(INDEX('Shooter-Squad Assignment'!$A:$A,MATCH(C153&amp;"-"&amp;E153&amp;"-"&amp;F153&amp;"-Pos1",'Shooter-Squad Assignment'!$Z:$Z,0)),""),"")))</f>
        <v/>
      </c>
      <c r="H153" s="73" t="str">
        <f>IF(ISBLANK(G153),"",IFERROR(INDEX('Tournament List'!$D:$D,MATCH(G153,'Tournament List'!$A:$A,0)),""))</f>
        <v/>
      </c>
      <c r="I153" s="94" t="str">
        <f>IF(F153="Skeet",IFERROR(INDEX('Shooter-Squad Assignment'!$A:$A,MATCH(C153&amp;"-"&amp;E153&amp;"-"&amp;F153&amp;"-Pos2",'Shooter-Squad Assignment'!$K:$K,0)),""),IF(F153="Trap",IFERROR(INDEX('Shooter-Squad Assignment'!$A:$A,MATCH(C153&amp;"-"&amp;E153&amp;"-"&amp;F153&amp;"-Pos2",'Shooter-Squad Assignment'!$W:$W,0)),""),IF(F153="Sporting Clays",IFERROR(INDEX('Shooter-Squad Assignment'!$A:$A,MATCH(C153&amp;"-"&amp;E153&amp;"-"&amp;F153&amp;"-Pos2",'Shooter-Squad Assignment'!$Z:$Z,0)),""),"")))</f>
        <v/>
      </c>
      <c r="J153" s="73" t="str">
        <f>IF(ISBLANK(I153),"",IFERROR(INDEX('Tournament List'!$D:$D,MATCH(I153,'Tournament List'!$A:$A,0)),""))</f>
        <v/>
      </c>
      <c r="K153" s="94" t="str">
        <f>IF(F153="Skeet",IFERROR(INDEX('Shooter-Squad Assignment'!$A:$A,MATCH(C153&amp;"-"&amp;E153&amp;"-"&amp;F153&amp;"-Pos3",'Shooter-Squad Assignment'!$K:$K,0)),""),IF(F153="Trap",IFERROR(INDEX('Shooter-Squad Assignment'!$A:$A,MATCH(C153&amp;"-"&amp;E153&amp;"-"&amp;F153&amp;"-Pos3",'Shooter-Squad Assignment'!$W:$W,0)),""),IF(F153="Sporting Clays",IFERROR(INDEX('Shooter-Squad Assignment'!$A:$A,MATCH(C153&amp;"-"&amp;E153&amp;"-"&amp;F153&amp;"-Pos3",'Shooter-Squad Assignment'!$Z:$Z,0)),""),"")))</f>
        <v/>
      </c>
      <c r="L153" s="73" t="str">
        <f>IF(ISBLANK(K153),"",IFERROR(INDEX('Tournament List'!$D:$D,MATCH(K153,'Tournament List'!$A:$A,0)),""))</f>
        <v/>
      </c>
      <c r="M153" s="94" t="str">
        <f>IF(F153="Skeet",IFERROR(INDEX('Shooter-Squad Assignment'!$A:$A,MATCH(C153&amp;"-"&amp;E153&amp;"-"&amp;F153&amp;"-Pos4",'Shooter-Squad Assignment'!$K:$K,0)),""),IF(F153="Trap",IFERROR(INDEX('Shooter-Squad Assignment'!$A:$A,MATCH(C153&amp;"-"&amp;E153&amp;"-"&amp;F153&amp;"-Pos4",'Shooter-Squad Assignment'!$W:$W,0)),""),IF(F153="Sporting Clays",IFERROR(INDEX('Shooter-Squad Assignment'!$A:$A,MATCH(C153&amp;"-"&amp;E153&amp;"-"&amp;F153&amp;"-Pos4",'Shooter-Squad Assignment'!$Z:$Z,0)),""),"")))</f>
        <v/>
      </c>
      <c r="N153" s="73" t="str">
        <f>IF(ISBLANK(M153),"",IFERROR(INDEX('Tournament List'!$D:$D,MATCH(M153,'Tournament List'!$A:$A,0)),""))</f>
        <v/>
      </c>
      <c r="O153" s="94" t="str">
        <f>IF(F153="Skeet",IFERROR(INDEX('Shooter-Squad Assignment'!$A:$A,MATCH(C153&amp;"-"&amp;E153&amp;"-"&amp;F153&amp;"-Pos5",'Shooter-Squad Assignment'!$K:$K,0)),""),IF(F153="Trap",IFERROR(INDEX('Shooter-Squad Assignment'!$A:$A,MATCH(C153&amp;"-"&amp;E153&amp;"-"&amp;F153&amp;"-Pos5",'Shooter-Squad Assignment'!$W:$W,0)),""),IF(F153="Sporting Clays",IFERROR(INDEX('Shooter-Squad Assignment'!$A:$A,MATCH(C153&amp;"-"&amp;E153&amp;"-"&amp;F153&amp;"-Pos5",'Shooter-Squad Assignment'!$Z:$Z,0)),""),"")))</f>
        <v/>
      </c>
      <c r="P153" s="79" t="str">
        <f>IF(ISBLANK(O153),"",IFERROR(INDEX('Tournament List'!$D:$D,MATCH(O153,'Tournament List'!$A:$A,0)),""))</f>
        <v/>
      </c>
    </row>
    <row r="154" spans="1:16" x14ac:dyDescent="0.3">
      <c r="A154" s="78">
        <v>153</v>
      </c>
      <c r="B154" s="73" t="str">
        <f>C154&amp;"-"&amp;E154&amp;"-"&amp;F154</f>
        <v>High Plains Drifters-Collegiate 1-Trap</v>
      </c>
      <c r="C154" s="73" t="s">
        <v>307</v>
      </c>
      <c r="D154" s="73" t="str">
        <f>INDEX('Tournament Setup'!$B$59:$B$78,MATCH(E154,SquadConcurrents,0))</f>
        <v>Collegiate</v>
      </c>
      <c r="E154" s="73" t="s">
        <v>342</v>
      </c>
      <c r="F154" s="73" t="s">
        <v>147</v>
      </c>
      <c r="G154" s="94" t="str">
        <f>IF(F154="Skeet",IFERROR(INDEX('Shooter-Squad Assignment'!$A:$A,MATCH(C154&amp;"-"&amp;E154&amp;"-"&amp;F154&amp;"-Pos1",'Shooter-Squad Assignment'!$K:$K,0)),""),IF(F154="Trap",IFERROR(INDEX('Shooter-Squad Assignment'!$A:$A,MATCH(C154&amp;"-"&amp;E154&amp;"-"&amp;F154&amp;"-Pos1",'Shooter-Squad Assignment'!$W:$W,0)),""),IF(F154="Sporting Clays",IFERROR(INDEX('Shooter-Squad Assignment'!$A:$A,MATCH(C154&amp;"-"&amp;E154&amp;"-"&amp;F154&amp;"-Pos1",'Shooter-Squad Assignment'!$Z:$Z,0)),""),"")))</f>
        <v/>
      </c>
      <c r="H154" s="73" t="str">
        <f>IF(ISBLANK(G154),"",IFERROR(INDEX('Tournament List'!$D:$D,MATCH(G154,'Tournament List'!$A:$A,0)),""))</f>
        <v/>
      </c>
      <c r="I154" s="94" t="str">
        <f>IF(F154="Skeet",IFERROR(INDEX('Shooter-Squad Assignment'!$A:$A,MATCH(C154&amp;"-"&amp;E154&amp;"-"&amp;F154&amp;"-Pos2",'Shooter-Squad Assignment'!$K:$K,0)),""),IF(F154="Trap",IFERROR(INDEX('Shooter-Squad Assignment'!$A:$A,MATCH(C154&amp;"-"&amp;E154&amp;"-"&amp;F154&amp;"-Pos2",'Shooter-Squad Assignment'!$W:$W,0)),""),IF(F154="Sporting Clays",IFERROR(INDEX('Shooter-Squad Assignment'!$A:$A,MATCH(C154&amp;"-"&amp;E154&amp;"-"&amp;F154&amp;"-Pos2",'Shooter-Squad Assignment'!$Z:$Z,0)),""),"")))</f>
        <v/>
      </c>
      <c r="J154" s="73" t="str">
        <f>IF(ISBLANK(I154),"",IFERROR(INDEX('Tournament List'!$D:$D,MATCH(I154,'Tournament List'!$A:$A,0)),""))</f>
        <v/>
      </c>
      <c r="K154" s="94" t="str">
        <f>IF(F154="Skeet",IFERROR(INDEX('Shooter-Squad Assignment'!$A:$A,MATCH(C154&amp;"-"&amp;E154&amp;"-"&amp;F154&amp;"-Pos3",'Shooter-Squad Assignment'!$K:$K,0)),""),IF(F154="Trap",IFERROR(INDEX('Shooter-Squad Assignment'!$A:$A,MATCH(C154&amp;"-"&amp;E154&amp;"-"&amp;F154&amp;"-Pos3",'Shooter-Squad Assignment'!$W:$W,0)),""),IF(F154="Sporting Clays",IFERROR(INDEX('Shooter-Squad Assignment'!$A:$A,MATCH(C154&amp;"-"&amp;E154&amp;"-"&amp;F154&amp;"-Pos3",'Shooter-Squad Assignment'!$Z:$Z,0)),""),"")))</f>
        <v/>
      </c>
      <c r="L154" s="73" t="str">
        <f>IF(ISBLANK(K154),"",IFERROR(INDEX('Tournament List'!$D:$D,MATCH(K154,'Tournament List'!$A:$A,0)),""))</f>
        <v/>
      </c>
      <c r="M154" s="94" t="str">
        <f>IF(F154="Skeet",IFERROR(INDEX('Shooter-Squad Assignment'!$A:$A,MATCH(C154&amp;"-"&amp;E154&amp;"-"&amp;F154&amp;"-Pos4",'Shooter-Squad Assignment'!$K:$K,0)),""),IF(F154="Trap",IFERROR(INDEX('Shooter-Squad Assignment'!$A:$A,MATCH(C154&amp;"-"&amp;E154&amp;"-"&amp;F154&amp;"-Pos4",'Shooter-Squad Assignment'!$W:$W,0)),""),IF(F154="Sporting Clays",IFERROR(INDEX('Shooter-Squad Assignment'!$A:$A,MATCH(C154&amp;"-"&amp;E154&amp;"-"&amp;F154&amp;"-Pos4",'Shooter-Squad Assignment'!$Z:$Z,0)),""),"")))</f>
        <v/>
      </c>
      <c r="N154" s="73" t="str">
        <f>IF(ISBLANK(M154),"",IFERROR(INDEX('Tournament List'!$D:$D,MATCH(M154,'Tournament List'!$A:$A,0)),""))</f>
        <v/>
      </c>
      <c r="O154" s="94" t="str">
        <f>IF(F154="Skeet",IFERROR(INDEX('Shooter-Squad Assignment'!$A:$A,MATCH(C154&amp;"-"&amp;E154&amp;"-"&amp;F154&amp;"-Pos5",'Shooter-Squad Assignment'!$K:$K,0)),""),IF(F154="Trap",IFERROR(INDEX('Shooter-Squad Assignment'!$A:$A,MATCH(C154&amp;"-"&amp;E154&amp;"-"&amp;F154&amp;"-Pos5",'Shooter-Squad Assignment'!$W:$W,0)),""),IF(F154="Sporting Clays",IFERROR(INDEX('Shooter-Squad Assignment'!$A:$A,MATCH(C154&amp;"-"&amp;E154&amp;"-"&amp;F154&amp;"-Pos5",'Shooter-Squad Assignment'!$Z:$Z,0)),""),"")))</f>
        <v/>
      </c>
      <c r="P154" s="79" t="str">
        <f>IF(ISBLANK(O154),"",IFERROR(INDEX('Tournament List'!$D:$D,MATCH(O154,'Tournament List'!$A:$A,0)),""))</f>
        <v/>
      </c>
    </row>
    <row r="155" spans="1:16" x14ac:dyDescent="0.3">
      <c r="A155" s="78">
        <v>154</v>
      </c>
      <c r="B155" s="73" t="str">
        <f>C155&amp;"-"&amp;E155&amp;"-"&amp;F155</f>
        <v>High Plains Drifters-Collegiate 2-Trap</v>
      </c>
      <c r="C155" s="73" t="s">
        <v>307</v>
      </c>
      <c r="D155" s="73" t="str">
        <f>INDEX('Tournament Setup'!$B$59:$B$78,MATCH(E155,SquadConcurrents,0))</f>
        <v>Collegiate</v>
      </c>
      <c r="E155" s="73" t="s">
        <v>348</v>
      </c>
      <c r="F155" s="73" t="s">
        <v>147</v>
      </c>
      <c r="G155" s="94" t="str">
        <f>IF(F155="Skeet",IFERROR(INDEX('Shooter-Squad Assignment'!$A:$A,MATCH(C155&amp;"-"&amp;E155&amp;"-"&amp;F155&amp;"-Pos1",'Shooter-Squad Assignment'!$K:$K,0)),""),IF(F155="Trap",IFERROR(INDEX('Shooter-Squad Assignment'!$A:$A,MATCH(C155&amp;"-"&amp;E155&amp;"-"&amp;F155&amp;"-Pos1",'Shooter-Squad Assignment'!$W:$W,0)),""),IF(F155="Sporting Clays",IFERROR(INDEX('Shooter-Squad Assignment'!$A:$A,MATCH(C155&amp;"-"&amp;E155&amp;"-"&amp;F155&amp;"-Pos1",'Shooter-Squad Assignment'!$Z:$Z,0)),""),"")))</f>
        <v/>
      </c>
      <c r="H155" s="73" t="str">
        <f>IF(ISBLANK(G155),"",IFERROR(INDEX('Tournament List'!$D:$D,MATCH(G155,'Tournament List'!$A:$A,0)),""))</f>
        <v/>
      </c>
      <c r="I155" s="94" t="str">
        <f>IF(F155="Skeet",IFERROR(INDEX('Shooter-Squad Assignment'!$A:$A,MATCH(C155&amp;"-"&amp;E155&amp;"-"&amp;F155&amp;"-Pos2",'Shooter-Squad Assignment'!$K:$K,0)),""),IF(F155="Trap",IFERROR(INDEX('Shooter-Squad Assignment'!$A:$A,MATCH(C155&amp;"-"&amp;E155&amp;"-"&amp;F155&amp;"-Pos2",'Shooter-Squad Assignment'!$W:$W,0)),""),IF(F155="Sporting Clays",IFERROR(INDEX('Shooter-Squad Assignment'!$A:$A,MATCH(C155&amp;"-"&amp;E155&amp;"-"&amp;F155&amp;"-Pos2",'Shooter-Squad Assignment'!$Z:$Z,0)),""),"")))</f>
        <v/>
      </c>
      <c r="J155" s="73" t="str">
        <f>IF(ISBLANK(I155),"",IFERROR(INDEX('Tournament List'!$D:$D,MATCH(I155,'Tournament List'!$A:$A,0)),""))</f>
        <v/>
      </c>
      <c r="K155" s="94" t="str">
        <f>IF(F155="Skeet",IFERROR(INDEX('Shooter-Squad Assignment'!$A:$A,MATCH(C155&amp;"-"&amp;E155&amp;"-"&amp;F155&amp;"-Pos3",'Shooter-Squad Assignment'!$K:$K,0)),""),IF(F155="Trap",IFERROR(INDEX('Shooter-Squad Assignment'!$A:$A,MATCH(C155&amp;"-"&amp;E155&amp;"-"&amp;F155&amp;"-Pos3",'Shooter-Squad Assignment'!$W:$W,0)),""),IF(F155="Sporting Clays",IFERROR(INDEX('Shooter-Squad Assignment'!$A:$A,MATCH(C155&amp;"-"&amp;E155&amp;"-"&amp;F155&amp;"-Pos3",'Shooter-Squad Assignment'!$Z:$Z,0)),""),"")))</f>
        <v/>
      </c>
      <c r="L155" s="73" t="str">
        <f>IF(ISBLANK(K155),"",IFERROR(INDEX('Tournament List'!$D:$D,MATCH(K155,'Tournament List'!$A:$A,0)),""))</f>
        <v/>
      </c>
      <c r="M155" s="94" t="str">
        <f>IF(F155="Skeet",IFERROR(INDEX('Shooter-Squad Assignment'!$A:$A,MATCH(C155&amp;"-"&amp;E155&amp;"-"&amp;F155&amp;"-Pos4",'Shooter-Squad Assignment'!$K:$K,0)),""),IF(F155="Trap",IFERROR(INDEX('Shooter-Squad Assignment'!$A:$A,MATCH(C155&amp;"-"&amp;E155&amp;"-"&amp;F155&amp;"-Pos4",'Shooter-Squad Assignment'!$W:$W,0)),""),IF(F155="Sporting Clays",IFERROR(INDEX('Shooter-Squad Assignment'!$A:$A,MATCH(C155&amp;"-"&amp;E155&amp;"-"&amp;F155&amp;"-Pos4",'Shooter-Squad Assignment'!$Z:$Z,0)),""),"")))</f>
        <v/>
      </c>
      <c r="N155" s="73" t="str">
        <f>IF(ISBLANK(M155),"",IFERROR(INDEX('Tournament List'!$D:$D,MATCH(M155,'Tournament List'!$A:$A,0)),""))</f>
        <v/>
      </c>
      <c r="O155" s="94" t="str">
        <f>IF(F155="Skeet",IFERROR(INDEX('Shooter-Squad Assignment'!$A:$A,MATCH(C155&amp;"-"&amp;E155&amp;"-"&amp;F155&amp;"-Pos5",'Shooter-Squad Assignment'!$K:$K,0)),""),IF(F155="Trap",IFERROR(INDEX('Shooter-Squad Assignment'!$A:$A,MATCH(C155&amp;"-"&amp;E155&amp;"-"&amp;F155&amp;"-Pos5",'Shooter-Squad Assignment'!$W:$W,0)),""),IF(F155="Sporting Clays",IFERROR(INDEX('Shooter-Squad Assignment'!$A:$A,MATCH(C155&amp;"-"&amp;E155&amp;"-"&amp;F155&amp;"-Pos5",'Shooter-Squad Assignment'!$Z:$Z,0)),""),"")))</f>
        <v/>
      </c>
      <c r="P155" s="79" t="str">
        <f>IF(ISBLANK(O155),"",IFERROR(INDEX('Tournament List'!$D:$D,MATCH(O155,'Tournament List'!$A:$A,0)),""))</f>
        <v/>
      </c>
    </row>
    <row r="156" spans="1:16" x14ac:dyDescent="0.3">
      <c r="A156" s="78">
        <v>155</v>
      </c>
      <c r="B156" s="73" t="str">
        <f>C156&amp;"-"&amp;E156&amp;"-"&amp;F156</f>
        <v>High Plains Drifters-Collegiate 3-Trap</v>
      </c>
      <c r="C156" s="73" t="s">
        <v>307</v>
      </c>
      <c r="D156" s="73" t="str">
        <f>INDEX('Tournament Setup'!$B$59:$B$78,MATCH(E156,SquadConcurrents,0))</f>
        <v>Collegiate</v>
      </c>
      <c r="E156" s="73" t="s">
        <v>354</v>
      </c>
      <c r="F156" s="73" t="s">
        <v>147</v>
      </c>
      <c r="G156" s="94" t="str">
        <f>IF(F156="Skeet",IFERROR(INDEX('Shooter-Squad Assignment'!$A:$A,MATCH(C156&amp;"-"&amp;E156&amp;"-"&amp;F156&amp;"-Pos1",'Shooter-Squad Assignment'!$K:$K,0)),""),IF(F156="Trap",IFERROR(INDEX('Shooter-Squad Assignment'!$A:$A,MATCH(C156&amp;"-"&amp;E156&amp;"-"&amp;F156&amp;"-Pos1",'Shooter-Squad Assignment'!$W:$W,0)),""),IF(F156="Sporting Clays",IFERROR(INDEX('Shooter-Squad Assignment'!$A:$A,MATCH(C156&amp;"-"&amp;E156&amp;"-"&amp;F156&amp;"-Pos1",'Shooter-Squad Assignment'!$Z:$Z,0)),""),"")))</f>
        <v/>
      </c>
      <c r="H156" s="73" t="str">
        <f>IF(ISBLANK(G156),"",IFERROR(INDEX('Tournament List'!$D:$D,MATCH(G156,'Tournament List'!$A:$A,0)),""))</f>
        <v/>
      </c>
      <c r="I156" s="94" t="str">
        <f>IF(F156="Skeet",IFERROR(INDEX('Shooter-Squad Assignment'!$A:$A,MATCH(C156&amp;"-"&amp;E156&amp;"-"&amp;F156&amp;"-Pos2",'Shooter-Squad Assignment'!$K:$K,0)),""),IF(F156="Trap",IFERROR(INDEX('Shooter-Squad Assignment'!$A:$A,MATCH(C156&amp;"-"&amp;E156&amp;"-"&amp;F156&amp;"-Pos2",'Shooter-Squad Assignment'!$W:$W,0)),""),IF(F156="Sporting Clays",IFERROR(INDEX('Shooter-Squad Assignment'!$A:$A,MATCH(C156&amp;"-"&amp;E156&amp;"-"&amp;F156&amp;"-Pos2",'Shooter-Squad Assignment'!$Z:$Z,0)),""),"")))</f>
        <v/>
      </c>
      <c r="J156" s="73" t="str">
        <f>IF(ISBLANK(I156),"",IFERROR(INDEX('Tournament List'!$D:$D,MATCH(I156,'Tournament List'!$A:$A,0)),""))</f>
        <v/>
      </c>
      <c r="K156" s="94" t="str">
        <f>IF(F156="Skeet",IFERROR(INDEX('Shooter-Squad Assignment'!$A:$A,MATCH(C156&amp;"-"&amp;E156&amp;"-"&amp;F156&amp;"-Pos3",'Shooter-Squad Assignment'!$K:$K,0)),""),IF(F156="Trap",IFERROR(INDEX('Shooter-Squad Assignment'!$A:$A,MATCH(C156&amp;"-"&amp;E156&amp;"-"&amp;F156&amp;"-Pos3",'Shooter-Squad Assignment'!$W:$W,0)),""),IF(F156="Sporting Clays",IFERROR(INDEX('Shooter-Squad Assignment'!$A:$A,MATCH(C156&amp;"-"&amp;E156&amp;"-"&amp;F156&amp;"-Pos3",'Shooter-Squad Assignment'!$Z:$Z,0)),""),"")))</f>
        <v/>
      </c>
      <c r="L156" s="73" t="str">
        <f>IF(ISBLANK(K156),"",IFERROR(INDEX('Tournament List'!$D:$D,MATCH(K156,'Tournament List'!$A:$A,0)),""))</f>
        <v/>
      </c>
      <c r="M156" s="94" t="str">
        <f>IF(F156="Skeet",IFERROR(INDEX('Shooter-Squad Assignment'!$A:$A,MATCH(C156&amp;"-"&amp;E156&amp;"-"&amp;F156&amp;"-Pos4",'Shooter-Squad Assignment'!$K:$K,0)),""),IF(F156="Trap",IFERROR(INDEX('Shooter-Squad Assignment'!$A:$A,MATCH(C156&amp;"-"&amp;E156&amp;"-"&amp;F156&amp;"-Pos4",'Shooter-Squad Assignment'!$W:$W,0)),""),IF(F156="Sporting Clays",IFERROR(INDEX('Shooter-Squad Assignment'!$A:$A,MATCH(C156&amp;"-"&amp;E156&amp;"-"&amp;F156&amp;"-Pos4",'Shooter-Squad Assignment'!$Z:$Z,0)),""),"")))</f>
        <v/>
      </c>
      <c r="N156" s="73" t="str">
        <f>IF(ISBLANK(M156),"",IFERROR(INDEX('Tournament List'!$D:$D,MATCH(M156,'Tournament List'!$A:$A,0)),""))</f>
        <v/>
      </c>
      <c r="O156" s="94" t="str">
        <f>IF(F156="Skeet",IFERROR(INDEX('Shooter-Squad Assignment'!$A:$A,MATCH(C156&amp;"-"&amp;E156&amp;"-"&amp;F156&amp;"-Pos5",'Shooter-Squad Assignment'!$K:$K,0)),""),IF(F156="Trap",IFERROR(INDEX('Shooter-Squad Assignment'!$A:$A,MATCH(C156&amp;"-"&amp;E156&amp;"-"&amp;F156&amp;"-Pos5",'Shooter-Squad Assignment'!$W:$W,0)),""),IF(F156="Sporting Clays",IFERROR(INDEX('Shooter-Squad Assignment'!$A:$A,MATCH(C156&amp;"-"&amp;E156&amp;"-"&amp;F156&amp;"-Pos5",'Shooter-Squad Assignment'!$Z:$Z,0)),""),"")))</f>
        <v/>
      </c>
      <c r="P156" s="79" t="str">
        <f>IF(ISBLANK(O156),"",IFERROR(INDEX('Tournament List'!$D:$D,MATCH(O156,'Tournament List'!$A:$A,0)),""))</f>
        <v/>
      </c>
    </row>
    <row r="157" spans="1:16" x14ac:dyDescent="0.3">
      <c r="A157" s="78">
        <v>156</v>
      </c>
      <c r="B157" s="73" t="str">
        <f>C157&amp;"-"&amp;E157&amp;"-"&amp;F157</f>
        <v>High Plains Drifters-Intermediate 1-Trap</v>
      </c>
      <c r="C157" s="73" t="s">
        <v>307</v>
      </c>
      <c r="D157" s="73" t="str">
        <f>INDEX('Tournament Setup'!$B$59:$B$78,MATCH(E157,SquadConcurrents,0))</f>
        <v>Intermediate</v>
      </c>
      <c r="E157" s="73" t="s">
        <v>338</v>
      </c>
      <c r="F157" s="73" t="s">
        <v>147</v>
      </c>
      <c r="G157" s="94" t="str">
        <f>IF(F157="Skeet",IFERROR(INDEX('Shooter-Squad Assignment'!$A:$A,MATCH(C157&amp;"-"&amp;E157&amp;"-"&amp;F157&amp;"-Pos1",'Shooter-Squad Assignment'!$K:$K,0)),""),IF(F157="Trap",IFERROR(INDEX('Shooter-Squad Assignment'!$A:$A,MATCH(C157&amp;"-"&amp;E157&amp;"-"&amp;F157&amp;"-Pos1",'Shooter-Squad Assignment'!$W:$W,0)),""),IF(F157="Sporting Clays",IFERROR(INDEX('Shooter-Squad Assignment'!$A:$A,MATCH(C157&amp;"-"&amp;E157&amp;"-"&amp;F157&amp;"-Pos1",'Shooter-Squad Assignment'!$Z:$Z,0)),""),"")))</f>
        <v/>
      </c>
      <c r="H157" s="73" t="str">
        <f>IF(ISBLANK(G157),"",IFERROR(INDEX('Tournament List'!$D:$D,MATCH(G157,'Tournament List'!$A:$A,0)),""))</f>
        <v/>
      </c>
      <c r="I157" s="94" t="str">
        <f>IF(F157="Skeet",IFERROR(INDEX('Shooter-Squad Assignment'!$A:$A,MATCH(C157&amp;"-"&amp;E157&amp;"-"&amp;F157&amp;"-Pos2",'Shooter-Squad Assignment'!$K:$K,0)),""),IF(F157="Trap",IFERROR(INDEX('Shooter-Squad Assignment'!$A:$A,MATCH(C157&amp;"-"&amp;E157&amp;"-"&amp;F157&amp;"-Pos2",'Shooter-Squad Assignment'!$W:$W,0)),""),IF(F157="Sporting Clays",IFERROR(INDEX('Shooter-Squad Assignment'!$A:$A,MATCH(C157&amp;"-"&amp;E157&amp;"-"&amp;F157&amp;"-Pos2",'Shooter-Squad Assignment'!$Z:$Z,0)),""),"")))</f>
        <v/>
      </c>
      <c r="J157" s="73" t="str">
        <f>IF(ISBLANK(I157),"",IFERROR(INDEX('Tournament List'!$D:$D,MATCH(I157,'Tournament List'!$A:$A,0)),""))</f>
        <v/>
      </c>
      <c r="K157" s="94" t="str">
        <f>IF(F157="Skeet",IFERROR(INDEX('Shooter-Squad Assignment'!$A:$A,MATCH(C157&amp;"-"&amp;E157&amp;"-"&amp;F157&amp;"-Pos3",'Shooter-Squad Assignment'!$K:$K,0)),""),IF(F157="Trap",IFERROR(INDEX('Shooter-Squad Assignment'!$A:$A,MATCH(C157&amp;"-"&amp;E157&amp;"-"&amp;F157&amp;"-Pos3",'Shooter-Squad Assignment'!$W:$W,0)),""),IF(F157="Sporting Clays",IFERROR(INDEX('Shooter-Squad Assignment'!$A:$A,MATCH(C157&amp;"-"&amp;E157&amp;"-"&amp;F157&amp;"-Pos3",'Shooter-Squad Assignment'!$Z:$Z,0)),""),"")))</f>
        <v/>
      </c>
      <c r="L157" s="73" t="str">
        <f>IF(ISBLANK(K157),"",IFERROR(INDEX('Tournament List'!$D:$D,MATCH(K157,'Tournament List'!$A:$A,0)),""))</f>
        <v/>
      </c>
      <c r="M157" s="94" t="str">
        <f>IF(F157="Skeet",IFERROR(INDEX('Shooter-Squad Assignment'!$A:$A,MATCH(C157&amp;"-"&amp;E157&amp;"-"&amp;F157&amp;"-Pos4",'Shooter-Squad Assignment'!$K:$K,0)),""),IF(F157="Trap",IFERROR(INDEX('Shooter-Squad Assignment'!$A:$A,MATCH(C157&amp;"-"&amp;E157&amp;"-"&amp;F157&amp;"-Pos4",'Shooter-Squad Assignment'!$W:$W,0)),""),IF(F157="Sporting Clays",IFERROR(INDEX('Shooter-Squad Assignment'!$A:$A,MATCH(C157&amp;"-"&amp;E157&amp;"-"&amp;F157&amp;"-Pos4",'Shooter-Squad Assignment'!$Z:$Z,0)),""),"")))</f>
        <v/>
      </c>
      <c r="N157" s="73" t="str">
        <f>IF(ISBLANK(M157),"",IFERROR(INDEX('Tournament List'!$D:$D,MATCH(M157,'Tournament List'!$A:$A,0)),""))</f>
        <v/>
      </c>
      <c r="O157" s="94" t="str">
        <f>IF(F157="Skeet",IFERROR(INDEX('Shooter-Squad Assignment'!$A:$A,MATCH(C157&amp;"-"&amp;E157&amp;"-"&amp;F157&amp;"-Pos5",'Shooter-Squad Assignment'!$K:$K,0)),""),IF(F157="Trap",IFERROR(INDEX('Shooter-Squad Assignment'!$A:$A,MATCH(C157&amp;"-"&amp;E157&amp;"-"&amp;F157&amp;"-Pos5",'Shooter-Squad Assignment'!$W:$W,0)),""),IF(F157="Sporting Clays",IFERROR(INDEX('Shooter-Squad Assignment'!$A:$A,MATCH(C157&amp;"-"&amp;E157&amp;"-"&amp;F157&amp;"-Pos5",'Shooter-Squad Assignment'!$Z:$Z,0)),""),"")))</f>
        <v/>
      </c>
      <c r="P157" s="79" t="str">
        <f>IF(ISBLANK(O157),"",IFERROR(INDEX('Tournament List'!$D:$D,MATCH(O157,'Tournament List'!$A:$A,0)),""))</f>
        <v/>
      </c>
    </row>
    <row r="158" spans="1:16" x14ac:dyDescent="0.3">
      <c r="A158" s="78">
        <v>157</v>
      </c>
      <c r="B158" s="73" t="str">
        <f>C158&amp;"-"&amp;E158&amp;"-"&amp;F158</f>
        <v>High Plains Drifters-Intermediate 2-Trap</v>
      </c>
      <c r="C158" s="73" t="s">
        <v>307</v>
      </c>
      <c r="D158" s="73" t="str">
        <f>INDEX('Tournament Setup'!$B$59:$B$78,MATCH(E158,SquadConcurrents,0))</f>
        <v>Intermediate</v>
      </c>
      <c r="E158" s="73" t="s">
        <v>344</v>
      </c>
      <c r="F158" s="73" t="s">
        <v>147</v>
      </c>
      <c r="G158" s="94" t="str">
        <f>IF(F158="Skeet",IFERROR(INDEX('Shooter-Squad Assignment'!$A:$A,MATCH(C158&amp;"-"&amp;E158&amp;"-"&amp;F158&amp;"-Pos1",'Shooter-Squad Assignment'!$K:$K,0)),""),IF(F158="Trap",IFERROR(INDEX('Shooter-Squad Assignment'!$A:$A,MATCH(C158&amp;"-"&amp;E158&amp;"-"&amp;F158&amp;"-Pos1",'Shooter-Squad Assignment'!$W:$W,0)),""),IF(F158="Sporting Clays",IFERROR(INDEX('Shooter-Squad Assignment'!$A:$A,MATCH(C158&amp;"-"&amp;E158&amp;"-"&amp;F158&amp;"-Pos1",'Shooter-Squad Assignment'!$Z:$Z,0)),""),"")))</f>
        <v/>
      </c>
      <c r="H158" s="73" t="str">
        <f>IF(ISBLANK(G158),"",IFERROR(INDEX('Tournament List'!$D:$D,MATCH(G158,'Tournament List'!$A:$A,0)),""))</f>
        <v/>
      </c>
      <c r="I158" s="94" t="str">
        <f>IF(F158="Skeet",IFERROR(INDEX('Shooter-Squad Assignment'!$A:$A,MATCH(C158&amp;"-"&amp;E158&amp;"-"&amp;F158&amp;"-Pos2",'Shooter-Squad Assignment'!$K:$K,0)),""),IF(F158="Trap",IFERROR(INDEX('Shooter-Squad Assignment'!$A:$A,MATCH(C158&amp;"-"&amp;E158&amp;"-"&amp;F158&amp;"-Pos2",'Shooter-Squad Assignment'!$W:$W,0)),""),IF(F158="Sporting Clays",IFERROR(INDEX('Shooter-Squad Assignment'!$A:$A,MATCH(C158&amp;"-"&amp;E158&amp;"-"&amp;F158&amp;"-Pos2",'Shooter-Squad Assignment'!$Z:$Z,0)),""),"")))</f>
        <v/>
      </c>
      <c r="J158" s="73" t="str">
        <f>IF(ISBLANK(I158),"",IFERROR(INDEX('Tournament List'!$D:$D,MATCH(I158,'Tournament List'!$A:$A,0)),""))</f>
        <v/>
      </c>
      <c r="K158" s="94" t="str">
        <f>IF(F158="Skeet",IFERROR(INDEX('Shooter-Squad Assignment'!$A:$A,MATCH(C158&amp;"-"&amp;E158&amp;"-"&amp;F158&amp;"-Pos3",'Shooter-Squad Assignment'!$K:$K,0)),""),IF(F158="Trap",IFERROR(INDEX('Shooter-Squad Assignment'!$A:$A,MATCH(C158&amp;"-"&amp;E158&amp;"-"&amp;F158&amp;"-Pos3",'Shooter-Squad Assignment'!$W:$W,0)),""),IF(F158="Sporting Clays",IFERROR(INDEX('Shooter-Squad Assignment'!$A:$A,MATCH(C158&amp;"-"&amp;E158&amp;"-"&amp;F158&amp;"-Pos3",'Shooter-Squad Assignment'!$Z:$Z,0)),""),"")))</f>
        <v/>
      </c>
      <c r="L158" s="73" t="str">
        <f>IF(ISBLANK(K158),"",IFERROR(INDEX('Tournament List'!$D:$D,MATCH(K158,'Tournament List'!$A:$A,0)),""))</f>
        <v/>
      </c>
      <c r="M158" s="94" t="str">
        <f>IF(F158="Skeet",IFERROR(INDEX('Shooter-Squad Assignment'!$A:$A,MATCH(C158&amp;"-"&amp;E158&amp;"-"&amp;F158&amp;"-Pos4",'Shooter-Squad Assignment'!$K:$K,0)),""),IF(F158="Trap",IFERROR(INDEX('Shooter-Squad Assignment'!$A:$A,MATCH(C158&amp;"-"&amp;E158&amp;"-"&amp;F158&amp;"-Pos4",'Shooter-Squad Assignment'!$W:$W,0)),""),IF(F158="Sporting Clays",IFERROR(INDEX('Shooter-Squad Assignment'!$A:$A,MATCH(C158&amp;"-"&amp;E158&amp;"-"&amp;F158&amp;"-Pos4",'Shooter-Squad Assignment'!$Z:$Z,0)),""),"")))</f>
        <v/>
      </c>
      <c r="N158" s="73" t="str">
        <f>IF(ISBLANK(M158),"",IFERROR(INDEX('Tournament List'!$D:$D,MATCH(M158,'Tournament List'!$A:$A,0)),""))</f>
        <v/>
      </c>
      <c r="O158" s="94" t="str">
        <f>IF(F158="Skeet",IFERROR(INDEX('Shooter-Squad Assignment'!$A:$A,MATCH(C158&amp;"-"&amp;E158&amp;"-"&amp;F158&amp;"-Pos5",'Shooter-Squad Assignment'!$K:$K,0)),""),IF(F158="Trap",IFERROR(INDEX('Shooter-Squad Assignment'!$A:$A,MATCH(C158&amp;"-"&amp;E158&amp;"-"&amp;F158&amp;"-Pos5",'Shooter-Squad Assignment'!$W:$W,0)),""),IF(F158="Sporting Clays",IFERROR(INDEX('Shooter-Squad Assignment'!$A:$A,MATCH(C158&amp;"-"&amp;E158&amp;"-"&amp;F158&amp;"-Pos5",'Shooter-Squad Assignment'!$Z:$Z,0)),""),"")))</f>
        <v/>
      </c>
      <c r="P158" s="79" t="str">
        <f>IF(ISBLANK(O158),"",IFERROR(INDEX('Tournament List'!$D:$D,MATCH(O158,'Tournament List'!$A:$A,0)),""))</f>
        <v/>
      </c>
    </row>
    <row r="159" spans="1:16" x14ac:dyDescent="0.3">
      <c r="A159" s="78">
        <v>158</v>
      </c>
      <c r="B159" s="73" t="str">
        <f>C159&amp;"-"&amp;E159&amp;"-"&amp;F159</f>
        <v>High Plains Drifters-Intermediate 3-Trap</v>
      </c>
      <c r="C159" s="73" t="s">
        <v>307</v>
      </c>
      <c r="D159" s="73" t="str">
        <f>INDEX('Tournament Setup'!$B$59:$B$78,MATCH(E159,SquadConcurrents,0))</f>
        <v>Intermediate</v>
      </c>
      <c r="E159" s="73" t="s">
        <v>350</v>
      </c>
      <c r="F159" s="73" t="s">
        <v>147</v>
      </c>
      <c r="G159" s="94" t="str">
        <f>IF(F159="Skeet",IFERROR(INDEX('Shooter-Squad Assignment'!$A:$A,MATCH(C159&amp;"-"&amp;E159&amp;"-"&amp;F159&amp;"-Pos1",'Shooter-Squad Assignment'!$K:$K,0)),""),IF(F159="Trap",IFERROR(INDEX('Shooter-Squad Assignment'!$A:$A,MATCH(C159&amp;"-"&amp;E159&amp;"-"&amp;F159&amp;"-Pos1",'Shooter-Squad Assignment'!$W:$W,0)),""),IF(F159="Sporting Clays",IFERROR(INDEX('Shooter-Squad Assignment'!$A:$A,MATCH(C159&amp;"-"&amp;E159&amp;"-"&amp;F159&amp;"-Pos1",'Shooter-Squad Assignment'!$Z:$Z,0)),""),"")))</f>
        <v/>
      </c>
      <c r="H159" s="73" t="str">
        <f>IF(ISBLANK(G159),"",IFERROR(INDEX('Tournament List'!$D:$D,MATCH(G159,'Tournament List'!$A:$A,0)),""))</f>
        <v/>
      </c>
      <c r="I159" s="94" t="str">
        <f>IF(F159="Skeet",IFERROR(INDEX('Shooter-Squad Assignment'!$A:$A,MATCH(C159&amp;"-"&amp;E159&amp;"-"&amp;F159&amp;"-Pos2",'Shooter-Squad Assignment'!$K:$K,0)),""),IF(F159="Trap",IFERROR(INDEX('Shooter-Squad Assignment'!$A:$A,MATCH(C159&amp;"-"&amp;E159&amp;"-"&amp;F159&amp;"-Pos2",'Shooter-Squad Assignment'!$W:$W,0)),""),IF(F159="Sporting Clays",IFERROR(INDEX('Shooter-Squad Assignment'!$A:$A,MATCH(C159&amp;"-"&amp;E159&amp;"-"&amp;F159&amp;"-Pos2",'Shooter-Squad Assignment'!$Z:$Z,0)),""),"")))</f>
        <v/>
      </c>
      <c r="J159" s="73" t="str">
        <f>IF(ISBLANK(I159),"",IFERROR(INDEX('Tournament List'!$D:$D,MATCH(I159,'Tournament List'!$A:$A,0)),""))</f>
        <v/>
      </c>
      <c r="K159" s="94" t="str">
        <f>IF(F159="Skeet",IFERROR(INDEX('Shooter-Squad Assignment'!$A:$A,MATCH(C159&amp;"-"&amp;E159&amp;"-"&amp;F159&amp;"-Pos3",'Shooter-Squad Assignment'!$K:$K,0)),""),IF(F159="Trap",IFERROR(INDEX('Shooter-Squad Assignment'!$A:$A,MATCH(C159&amp;"-"&amp;E159&amp;"-"&amp;F159&amp;"-Pos3",'Shooter-Squad Assignment'!$W:$W,0)),""),IF(F159="Sporting Clays",IFERROR(INDEX('Shooter-Squad Assignment'!$A:$A,MATCH(C159&amp;"-"&amp;E159&amp;"-"&amp;F159&amp;"-Pos3",'Shooter-Squad Assignment'!$Z:$Z,0)),""),"")))</f>
        <v/>
      </c>
      <c r="L159" s="73" t="str">
        <f>IF(ISBLANK(K159),"",IFERROR(INDEX('Tournament List'!$D:$D,MATCH(K159,'Tournament List'!$A:$A,0)),""))</f>
        <v/>
      </c>
      <c r="M159" s="94" t="str">
        <f>IF(F159="Skeet",IFERROR(INDEX('Shooter-Squad Assignment'!$A:$A,MATCH(C159&amp;"-"&amp;E159&amp;"-"&amp;F159&amp;"-Pos4",'Shooter-Squad Assignment'!$K:$K,0)),""),IF(F159="Trap",IFERROR(INDEX('Shooter-Squad Assignment'!$A:$A,MATCH(C159&amp;"-"&amp;E159&amp;"-"&amp;F159&amp;"-Pos4",'Shooter-Squad Assignment'!$W:$W,0)),""),IF(F159="Sporting Clays",IFERROR(INDEX('Shooter-Squad Assignment'!$A:$A,MATCH(C159&amp;"-"&amp;E159&amp;"-"&amp;F159&amp;"-Pos4",'Shooter-Squad Assignment'!$Z:$Z,0)),""),"")))</f>
        <v/>
      </c>
      <c r="N159" s="73" t="str">
        <f>IF(ISBLANK(M159),"",IFERROR(INDEX('Tournament List'!$D:$D,MATCH(M159,'Tournament List'!$A:$A,0)),""))</f>
        <v/>
      </c>
      <c r="O159" s="94" t="str">
        <f>IF(F159="Skeet",IFERROR(INDEX('Shooter-Squad Assignment'!$A:$A,MATCH(C159&amp;"-"&amp;E159&amp;"-"&amp;F159&amp;"-Pos5",'Shooter-Squad Assignment'!$K:$K,0)),""),IF(F159="Trap",IFERROR(INDEX('Shooter-Squad Assignment'!$A:$A,MATCH(C159&amp;"-"&amp;E159&amp;"-"&amp;F159&amp;"-Pos5",'Shooter-Squad Assignment'!$W:$W,0)),""),IF(F159="Sporting Clays",IFERROR(INDEX('Shooter-Squad Assignment'!$A:$A,MATCH(C159&amp;"-"&amp;E159&amp;"-"&amp;F159&amp;"-Pos5",'Shooter-Squad Assignment'!$Z:$Z,0)),""),"")))</f>
        <v/>
      </c>
      <c r="P159" s="79" t="str">
        <f>IF(ISBLANK(O159),"",IFERROR(INDEX('Tournament List'!$D:$D,MATCH(O159,'Tournament List'!$A:$A,0)),""))</f>
        <v/>
      </c>
    </row>
    <row r="160" spans="1:16" x14ac:dyDescent="0.3">
      <c r="A160" s="78">
        <v>159</v>
      </c>
      <c r="B160" s="73" t="str">
        <f>C160&amp;"-"&amp;E160&amp;"-"&amp;F160</f>
        <v>High Plains Drifters-Junior Varsity 1-Trap</v>
      </c>
      <c r="C160" s="73" t="s">
        <v>307</v>
      </c>
      <c r="D160" s="73" t="str">
        <f>INDEX('Tournament Setup'!$B$59:$B$78,MATCH(E160,SquadConcurrents,0))</f>
        <v>Junior Varsity</v>
      </c>
      <c r="E160" s="73" t="s">
        <v>339</v>
      </c>
      <c r="F160" s="73" t="s">
        <v>147</v>
      </c>
      <c r="G160" s="94" t="str">
        <f>IF(F160="Skeet",IFERROR(INDEX('Shooter-Squad Assignment'!$A:$A,MATCH(C160&amp;"-"&amp;E160&amp;"-"&amp;F160&amp;"-Pos1",'Shooter-Squad Assignment'!$K:$K,0)),""),IF(F160="Trap",IFERROR(INDEX('Shooter-Squad Assignment'!$A:$A,MATCH(C160&amp;"-"&amp;E160&amp;"-"&amp;F160&amp;"-Pos1",'Shooter-Squad Assignment'!$W:$W,0)),""),IF(F160="Sporting Clays",IFERROR(INDEX('Shooter-Squad Assignment'!$A:$A,MATCH(C160&amp;"-"&amp;E160&amp;"-"&amp;F160&amp;"-Pos1",'Shooter-Squad Assignment'!$Z:$Z,0)),""),"")))</f>
        <v/>
      </c>
      <c r="H160" s="73" t="str">
        <f>IF(ISBLANK(G160),"",IFERROR(INDEX('Tournament List'!$D:$D,MATCH(G160,'Tournament List'!$A:$A,0)),""))</f>
        <v/>
      </c>
      <c r="I160" s="94" t="str">
        <f>IF(F160="Skeet",IFERROR(INDEX('Shooter-Squad Assignment'!$A:$A,MATCH(C160&amp;"-"&amp;E160&amp;"-"&amp;F160&amp;"-Pos2",'Shooter-Squad Assignment'!$K:$K,0)),""),IF(F160="Trap",IFERROR(INDEX('Shooter-Squad Assignment'!$A:$A,MATCH(C160&amp;"-"&amp;E160&amp;"-"&amp;F160&amp;"-Pos2",'Shooter-Squad Assignment'!$W:$W,0)),""),IF(F160="Sporting Clays",IFERROR(INDEX('Shooter-Squad Assignment'!$A:$A,MATCH(C160&amp;"-"&amp;E160&amp;"-"&amp;F160&amp;"-Pos2",'Shooter-Squad Assignment'!$Z:$Z,0)),""),"")))</f>
        <v/>
      </c>
      <c r="J160" s="73" t="str">
        <f>IF(ISBLANK(I160),"",IFERROR(INDEX('Tournament List'!$D:$D,MATCH(I160,'Tournament List'!$A:$A,0)),""))</f>
        <v/>
      </c>
      <c r="K160" s="94" t="str">
        <f>IF(F160="Skeet",IFERROR(INDEX('Shooter-Squad Assignment'!$A:$A,MATCH(C160&amp;"-"&amp;E160&amp;"-"&amp;F160&amp;"-Pos3",'Shooter-Squad Assignment'!$K:$K,0)),""),IF(F160="Trap",IFERROR(INDEX('Shooter-Squad Assignment'!$A:$A,MATCH(C160&amp;"-"&amp;E160&amp;"-"&amp;F160&amp;"-Pos3",'Shooter-Squad Assignment'!$W:$W,0)),""),IF(F160="Sporting Clays",IFERROR(INDEX('Shooter-Squad Assignment'!$A:$A,MATCH(C160&amp;"-"&amp;E160&amp;"-"&amp;F160&amp;"-Pos3",'Shooter-Squad Assignment'!$Z:$Z,0)),""),"")))</f>
        <v/>
      </c>
      <c r="L160" s="73" t="str">
        <f>IF(ISBLANK(K160),"",IFERROR(INDEX('Tournament List'!$D:$D,MATCH(K160,'Tournament List'!$A:$A,0)),""))</f>
        <v/>
      </c>
      <c r="M160" s="94" t="str">
        <f>IF(F160="Skeet",IFERROR(INDEX('Shooter-Squad Assignment'!$A:$A,MATCH(C160&amp;"-"&amp;E160&amp;"-"&amp;F160&amp;"-Pos4",'Shooter-Squad Assignment'!$K:$K,0)),""),IF(F160="Trap",IFERROR(INDEX('Shooter-Squad Assignment'!$A:$A,MATCH(C160&amp;"-"&amp;E160&amp;"-"&amp;F160&amp;"-Pos4",'Shooter-Squad Assignment'!$W:$W,0)),""),IF(F160="Sporting Clays",IFERROR(INDEX('Shooter-Squad Assignment'!$A:$A,MATCH(C160&amp;"-"&amp;E160&amp;"-"&amp;F160&amp;"-Pos4",'Shooter-Squad Assignment'!$Z:$Z,0)),""),"")))</f>
        <v/>
      </c>
      <c r="N160" s="73" t="str">
        <f>IF(ISBLANK(M160),"",IFERROR(INDEX('Tournament List'!$D:$D,MATCH(M160,'Tournament List'!$A:$A,0)),""))</f>
        <v/>
      </c>
      <c r="O160" s="94" t="str">
        <f>IF(F160="Skeet",IFERROR(INDEX('Shooter-Squad Assignment'!$A:$A,MATCH(C160&amp;"-"&amp;E160&amp;"-"&amp;F160&amp;"-Pos5",'Shooter-Squad Assignment'!$K:$K,0)),""),IF(F160="Trap",IFERROR(INDEX('Shooter-Squad Assignment'!$A:$A,MATCH(C160&amp;"-"&amp;E160&amp;"-"&amp;F160&amp;"-Pos5",'Shooter-Squad Assignment'!$W:$W,0)),""),IF(F160="Sporting Clays",IFERROR(INDEX('Shooter-Squad Assignment'!$A:$A,MATCH(C160&amp;"-"&amp;E160&amp;"-"&amp;F160&amp;"-Pos5",'Shooter-Squad Assignment'!$Z:$Z,0)),""),"")))</f>
        <v/>
      </c>
      <c r="P160" s="79" t="str">
        <f>IF(ISBLANK(O160),"",IFERROR(INDEX('Tournament List'!$D:$D,MATCH(O160,'Tournament List'!$A:$A,0)),""))</f>
        <v/>
      </c>
    </row>
    <row r="161" spans="1:16" x14ac:dyDescent="0.3">
      <c r="A161" s="78">
        <v>160</v>
      </c>
      <c r="B161" s="73" t="str">
        <f>C161&amp;"-"&amp;E161&amp;"-"&amp;F161</f>
        <v>High Plains Drifters-Junior Varsity 2-Trap</v>
      </c>
      <c r="C161" s="73" t="s">
        <v>307</v>
      </c>
      <c r="D161" s="73" t="str">
        <f>INDEX('Tournament Setup'!$B$59:$B$78,MATCH(E161,SquadConcurrents,0))</f>
        <v>Junior Varsity</v>
      </c>
      <c r="E161" s="73" t="s">
        <v>345</v>
      </c>
      <c r="F161" s="73" t="s">
        <v>147</v>
      </c>
      <c r="G161" s="94" t="str">
        <f>IF(F161="Skeet",IFERROR(INDEX('Shooter-Squad Assignment'!$A:$A,MATCH(C161&amp;"-"&amp;E161&amp;"-"&amp;F161&amp;"-Pos1",'Shooter-Squad Assignment'!$K:$K,0)),""),IF(F161="Trap",IFERROR(INDEX('Shooter-Squad Assignment'!$A:$A,MATCH(C161&amp;"-"&amp;E161&amp;"-"&amp;F161&amp;"-Pos1",'Shooter-Squad Assignment'!$W:$W,0)),""),IF(F161="Sporting Clays",IFERROR(INDEX('Shooter-Squad Assignment'!$A:$A,MATCH(C161&amp;"-"&amp;E161&amp;"-"&amp;F161&amp;"-Pos1",'Shooter-Squad Assignment'!$Z:$Z,0)),""),"")))</f>
        <v/>
      </c>
      <c r="H161" s="73" t="str">
        <f>IF(ISBLANK(G161),"",IFERROR(INDEX('Tournament List'!$D:$D,MATCH(G161,'Tournament List'!$A:$A,0)),""))</f>
        <v/>
      </c>
      <c r="I161" s="94" t="str">
        <f>IF(F161="Skeet",IFERROR(INDEX('Shooter-Squad Assignment'!$A:$A,MATCH(C161&amp;"-"&amp;E161&amp;"-"&amp;F161&amp;"-Pos2",'Shooter-Squad Assignment'!$K:$K,0)),""),IF(F161="Trap",IFERROR(INDEX('Shooter-Squad Assignment'!$A:$A,MATCH(C161&amp;"-"&amp;E161&amp;"-"&amp;F161&amp;"-Pos2",'Shooter-Squad Assignment'!$W:$W,0)),""),IF(F161="Sporting Clays",IFERROR(INDEX('Shooter-Squad Assignment'!$A:$A,MATCH(C161&amp;"-"&amp;E161&amp;"-"&amp;F161&amp;"-Pos2",'Shooter-Squad Assignment'!$Z:$Z,0)),""),"")))</f>
        <v/>
      </c>
      <c r="J161" s="73" t="str">
        <f>IF(ISBLANK(I161),"",IFERROR(INDEX('Tournament List'!$D:$D,MATCH(I161,'Tournament List'!$A:$A,0)),""))</f>
        <v/>
      </c>
      <c r="K161" s="94" t="str">
        <f>IF(F161="Skeet",IFERROR(INDEX('Shooter-Squad Assignment'!$A:$A,MATCH(C161&amp;"-"&amp;E161&amp;"-"&amp;F161&amp;"-Pos3",'Shooter-Squad Assignment'!$K:$K,0)),""),IF(F161="Trap",IFERROR(INDEX('Shooter-Squad Assignment'!$A:$A,MATCH(C161&amp;"-"&amp;E161&amp;"-"&amp;F161&amp;"-Pos3",'Shooter-Squad Assignment'!$W:$W,0)),""),IF(F161="Sporting Clays",IFERROR(INDEX('Shooter-Squad Assignment'!$A:$A,MATCH(C161&amp;"-"&amp;E161&amp;"-"&amp;F161&amp;"-Pos3",'Shooter-Squad Assignment'!$Z:$Z,0)),""),"")))</f>
        <v/>
      </c>
      <c r="L161" s="73" t="str">
        <f>IF(ISBLANK(K161),"",IFERROR(INDEX('Tournament List'!$D:$D,MATCH(K161,'Tournament List'!$A:$A,0)),""))</f>
        <v/>
      </c>
      <c r="M161" s="94" t="str">
        <f>IF(F161="Skeet",IFERROR(INDEX('Shooter-Squad Assignment'!$A:$A,MATCH(C161&amp;"-"&amp;E161&amp;"-"&amp;F161&amp;"-Pos4",'Shooter-Squad Assignment'!$K:$K,0)),""),IF(F161="Trap",IFERROR(INDEX('Shooter-Squad Assignment'!$A:$A,MATCH(C161&amp;"-"&amp;E161&amp;"-"&amp;F161&amp;"-Pos4",'Shooter-Squad Assignment'!$W:$W,0)),""),IF(F161="Sporting Clays",IFERROR(INDEX('Shooter-Squad Assignment'!$A:$A,MATCH(C161&amp;"-"&amp;E161&amp;"-"&amp;F161&amp;"-Pos4",'Shooter-Squad Assignment'!$Z:$Z,0)),""),"")))</f>
        <v/>
      </c>
      <c r="N161" s="73" t="str">
        <f>IF(ISBLANK(M161),"",IFERROR(INDEX('Tournament List'!$D:$D,MATCH(M161,'Tournament List'!$A:$A,0)),""))</f>
        <v/>
      </c>
      <c r="O161" s="94" t="str">
        <f>IF(F161="Skeet",IFERROR(INDEX('Shooter-Squad Assignment'!$A:$A,MATCH(C161&amp;"-"&amp;E161&amp;"-"&amp;F161&amp;"-Pos5",'Shooter-Squad Assignment'!$K:$K,0)),""),IF(F161="Trap",IFERROR(INDEX('Shooter-Squad Assignment'!$A:$A,MATCH(C161&amp;"-"&amp;E161&amp;"-"&amp;F161&amp;"-Pos5",'Shooter-Squad Assignment'!$W:$W,0)),""),IF(F161="Sporting Clays",IFERROR(INDEX('Shooter-Squad Assignment'!$A:$A,MATCH(C161&amp;"-"&amp;E161&amp;"-"&amp;F161&amp;"-Pos5",'Shooter-Squad Assignment'!$Z:$Z,0)),""),"")))</f>
        <v/>
      </c>
      <c r="P161" s="79" t="str">
        <f>IF(ISBLANK(O161),"",IFERROR(INDEX('Tournament List'!$D:$D,MATCH(O161,'Tournament List'!$A:$A,0)),""))</f>
        <v/>
      </c>
    </row>
    <row r="162" spans="1:16" x14ac:dyDescent="0.3">
      <c r="A162" s="78">
        <v>161</v>
      </c>
      <c r="B162" s="73" t="str">
        <f>C162&amp;"-"&amp;E162&amp;"-"&amp;F162</f>
        <v>High Plains Drifters-Junior Varsity 3-Trap</v>
      </c>
      <c r="C162" s="73" t="s">
        <v>307</v>
      </c>
      <c r="D162" s="73" t="str">
        <f>INDEX('Tournament Setup'!$B$59:$B$78,MATCH(E162,SquadConcurrents,0))</f>
        <v>Junior Varsity</v>
      </c>
      <c r="E162" s="73" t="s">
        <v>351</v>
      </c>
      <c r="F162" s="73" t="s">
        <v>147</v>
      </c>
      <c r="G162" s="94" t="str">
        <f>IF(F162="Skeet",IFERROR(INDEX('Shooter-Squad Assignment'!$A:$A,MATCH(C162&amp;"-"&amp;E162&amp;"-"&amp;F162&amp;"-Pos1",'Shooter-Squad Assignment'!$K:$K,0)),""),IF(F162="Trap",IFERROR(INDEX('Shooter-Squad Assignment'!$A:$A,MATCH(C162&amp;"-"&amp;E162&amp;"-"&amp;F162&amp;"-Pos1",'Shooter-Squad Assignment'!$W:$W,0)),""),IF(F162="Sporting Clays",IFERROR(INDEX('Shooter-Squad Assignment'!$A:$A,MATCH(C162&amp;"-"&amp;E162&amp;"-"&amp;F162&amp;"-Pos1",'Shooter-Squad Assignment'!$Z:$Z,0)),""),"")))</f>
        <v/>
      </c>
      <c r="H162" s="73" t="str">
        <f>IF(ISBLANK(G162),"",IFERROR(INDEX('Tournament List'!$D:$D,MATCH(G162,'Tournament List'!$A:$A,0)),""))</f>
        <v/>
      </c>
      <c r="I162" s="94" t="str">
        <f>IF(F162="Skeet",IFERROR(INDEX('Shooter-Squad Assignment'!$A:$A,MATCH(C162&amp;"-"&amp;E162&amp;"-"&amp;F162&amp;"-Pos2",'Shooter-Squad Assignment'!$K:$K,0)),""),IF(F162="Trap",IFERROR(INDEX('Shooter-Squad Assignment'!$A:$A,MATCH(C162&amp;"-"&amp;E162&amp;"-"&amp;F162&amp;"-Pos2",'Shooter-Squad Assignment'!$W:$W,0)),""),IF(F162="Sporting Clays",IFERROR(INDEX('Shooter-Squad Assignment'!$A:$A,MATCH(C162&amp;"-"&amp;E162&amp;"-"&amp;F162&amp;"-Pos2",'Shooter-Squad Assignment'!$Z:$Z,0)),""),"")))</f>
        <v/>
      </c>
      <c r="J162" s="73" t="str">
        <f>IF(ISBLANK(I162),"",IFERROR(INDEX('Tournament List'!$D:$D,MATCH(I162,'Tournament List'!$A:$A,0)),""))</f>
        <v/>
      </c>
      <c r="K162" s="94" t="str">
        <f>IF(F162="Skeet",IFERROR(INDEX('Shooter-Squad Assignment'!$A:$A,MATCH(C162&amp;"-"&amp;E162&amp;"-"&amp;F162&amp;"-Pos3",'Shooter-Squad Assignment'!$K:$K,0)),""),IF(F162="Trap",IFERROR(INDEX('Shooter-Squad Assignment'!$A:$A,MATCH(C162&amp;"-"&amp;E162&amp;"-"&amp;F162&amp;"-Pos3",'Shooter-Squad Assignment'!$W:$W,0)),""),IF(F162="Sporting Clays",IFERROR(INDEX('Shooter-Squad Assignment'!$A:$A,MATCH(C162&amp;"-"&amp;E162&amp;"-"&amp;F162&amp;"-Pos3",'Shooter-Squad Assignment'!$Z:$Z,0)),""),"")))</f>
        <v/>
      </c>
      <c r="L162" s="73" t="str">
        <f>IF(ISBLANK(K162),"",IFERROR(INDEX('Tournament List'!$D:$D,MATCH(K162,'Tournament List'!$A:$A,0)),""))</f>
        <v/>
      </c>
      <c r="M162" s="94" t="str">
        <f>IF(F162="Skeet",IFERROR(INDEX('Shooter-Squad Assignment'!$A:$A,MATCH(C162&amp;"-"&amp;E162&amp;"-"&amp;F162&amp;"-Pos4",'Shooter-Squad Assignment'!$K:$K,0)),""),IF(F162="Trap",IFERROR(INDEX('Shooter-Squad Assignment'!$A:$A,MATCH(C162&amp;"-"&amp;E162&amp;"-"&amp;F162&amp;"-Pos4",'Shooter-Squad Assignment'!$W:$W,0)),""),IF(F162="Sporting Clays",IFERROR(INDEX('Shooter-Squad Assignment'!$A:$A,MATCH(C162&amp;"-"&amp;E162&amp;"-"&amp;F162&amp;"-Pos4",'Shooter-Squad Assignment'!$Z:$Z,0)),""),"")))</f>
        <v/>
      </c>
      <c r="N162" s="73" t="str">
        <f>IF(ISBLANK(M162),"",IFERROR(INDEX('Tournament List'!$D:$D,MATCH(M162,'Tournament List'!$A:$A,0)),""))</f>
        <v/>
      </c>
      <c r="O162" s="94" t="str">
        <f>IF(F162="Skeet",IFERROR(INDEX('Shooter-Squad Assignment'!$A:$A,MATCH(C162&amp;"-"&amp;E162&amp;"-"&amp;F162&amp;"-Pos5",'Shooter-Squad Assignment'!$K:$K,0)),""),IF(F162="Trap",IFERROR(INDEX('Shooter-Squad Assignment'!$A:$A,MATCH(C162&amp;"-"&amp;E162&amp;"-"&amp;F162&amp;"-Pos5",'Shooter-Squad Assignment'!$W:$W,0)),""),IF(F162="Sporting Clays",IFERROR(INDEX('Shooter-Squad Assignment'!$A:$A,MATCH(C162&amp;"-"&amp;E162&amp;"-"&amp;F162&amp;"-Pos5",'Shooter-Squad Assignment'!$Z:$Z,0)),""),"")))</f>
        <v/>
      </c>
      <c r="P162" s="79" t="str">
        <f>IF(ISBLANK(O162),"",IFERROR(INDEX('Tournament List'!$D:$D,MATCH(O162,'Tournament List'!$A:$A,0)),""))</f>
        <v/>
      </c>
    </row>
    <row r="163" spans="1:16" x14ac:dyDescent="0.3">
      <c r="A163" s="78">
        <v>162</v>
      </c>
      <c r="B163" s="73" t="str">
        <f>C163&amp;"-"&amp;E163&amp;"-"&amp;F163</f>
        <v>High Plains Drifters-Novice 1-Trap</v>
      </c>
      <c r="C163" s="73" t="s">
        <v>307</v>
      </c>
      <c r="D163" s="73" t="str">
        <f>INDEX('Tournament Setup'!$B$59:$B$78,MATCH(E163,SquadConcurrents,0))</f>
        <v>Novice</v>
      </c>
      <c r="E163" s="73" t="s">
        <v>337</v>
      </c>
      <c r="F163" s="73" t="s">
        <v>147</v>
      </c>
      <c r="G163" s="94" t="str">
        <f>IF(F163="Skeet",IFERROR(INDEX('Shooter-Squad Assignment'!$A:$A,MATCH(C163&amp;"-"&amp;E163&amp;"-"&amp;F163&amp;"-Pos1",'Shooter-Squad Assignment'!$K:$K,0)),""),IF(F163="Trap",IFERROR(INDEX('Shooter-Squad Assignment'!$A:$A,MATCH(C163&amp;"-"&amp;E163&amp;"-"&amp;F163&amp;"-Pos1",'Shooter-Squad Assignment'!$W:$W,0)),""),IF(F163="Sporting Clays",IFERROR(INDEX('Shooter-Squad Assignment'!$A:$A,MATCH(C163&amp;"-"&amp;E163&amp;"-"&amp;F163&amp;"-Pos1",'Shooter-Squad Assignment'!$Z:$Z,0)),""),"")))</f>
        <v/>
      </c>
      <c r="H163" s="73" t="str">
        <f>IF(ISBLANK(G163),"",IFERROR(INDEX('Tournament List'!$D:$D,MATCH(G163,'Tournament List'!$A:$A,0)),""))</f>
        <v/>
      </c>
      <c r="I163" s="94" t="str">
        <f>IF(F163="Skeet",IFERROR(INDEX('Shooter-Squad Assignment'!$A:$A,MATCH(C163&amp;"-"&amp;E163&amp;"-"&amp;F163&amp;"-Pos2",'Shooter-Squad Assignment'!$K:$K,0)),""),IF(F163="Trap",IFERROR(INDEX('Shooter-Squad Assignment'!$A:$A,MATCH(C163&amp;"-"&amp;E163&amp;"-"&amp;F163&amp;"-Pos2",'Shooter-Squad Assignment'!$W:$W,0)),""),IF(F163="Sporting Clays",IFERROR(INDEX('Shooter-Squad Assignment'!$A:$A,MATCH(C163&amp;"-"&amp;E163&amp;"-"&amp;F163&amp;"-Pos2",'Shooter-Squad Assignment'!$Z:$Z,0)),""),"")))</f>
        <v/>
      </c>
      <c r="J163" s="73" t="str">
        <f>IF(ISBLANK(I163),"",IFERROR(INDEX('Tournament List'!$D:$D,MATCH(I163,'Tournament List'!$A:$A,0)),""))</f>
        <v/>
      </c>
      <c r="K163" s="94" t="str">
        <f>IF(F163="Skeet",IFERROR(INDEX('Shooter-Squad Assignment'!$A:$A,MATCH(C163&amp;"-"&amp;E163&amp;"-"&amp;F163&amp;"-Pos3",'Shooter-Squad Assignment'!$K:$K,0)),""),IF(F163="Trap",IFERROR(INDEX('Shooter-Squad Assignment'!$A:$A,MATCH(C163&amp;"-"&amp;E163&amp;"-"&amp;F163&amp;"-Pos3",'Shooter-Squad Assignment'!$W:$W,0)),""),IF(F163="Sporting Clays",IFERROR(INDEX('Shooter-Squad Assignment'!$A:$A,MATCH(C163&amp;"-"&amp;E163&amp;"-"&amp;F163&amp;"-Pos3",'Shooter-Squad Assignment'!$Z:$Z,0)),""),"")))</f>
        <v/>
      </c>
      <c r="L163" s="73" t="str">
        <f>IF(ISBLANK(K163),"",IFERROR(INDEX('Tournament List'!$D:$D,MATCH(K163,'Tournament List'!$A:$A,0)),""))</f>
        <v/>
      </c>
      <c r="M163" s="94" t="str">
        <f>IF(F163="Skeet",IFERROR(INDEX('Shooter-Squad Assignment'!$A:$A,MATCH(C163&amp;"-"&amp;E163&amp;"-"&amp;F163&amp;"-Pos4",'Shooter-Squad Assignment'!$K:$K,0)),""),IF(F163="Trap",IFERROR(INDEX('Shooter-Squad Assignment'!$A:$A,MATCH(C163&amp;"-"&amp;E163&amp;"-"&amp;F163&amp;"-Pos4",'Shooter-Squad Assignment'!$W:$W,0)),""),IF(F163="Sporting Clays",IFERROR(INDEX('Shooter-Squad Assignment'!$A:$A,MATCH(C163&amp;"-"&amp;E163&amp;"-"&amp;F163&amp;"-Pos4",'Shooter-Squad Assignment'!$Z:$Z,0)),""),"")))</f>
        <v/>
      </c>
      <c r="N163" s="73" t="str">
        <f>IF(ISBLANK(M163),"",IFERROR(INDEX('Tournament List'!$D:$D,MATCH(M163,'Tournament List'!$A:$A,0)),""))</f>
        <v/>
      </c>
      <c r="O163" s="94" t="str">
        <f>IF(F163="Skeet",IFERROR(INDEX('Shooter-Squad Assignment'!$A:$A,MATCH(C163&amp;"-"&amp;E163&amp;"-"&amp;F163&amp;"-Pos5",'Shooter-Squad Assignment'!$K:$K,0)),""),IF(F163="Trap",IFERROR(INDEX('Shooter-Squad Assignment'!$A:$A,MATCH(C163&amp;"-"&amp;E163&amp;"-"&amp;F163&amp;"-Pos5",'Shooter-Squad Assignment'!$W:$W,0)),""),IF(F163="Sporting Clays",IFERROR(INDEX('Shooter-Squad Assignment'!$A:$A,MATCH(C163&amp;"-"&amp;E163&amp;"-"&amp;F163&amp;"-Pos5",'Shooter-Squad Assignment'!$Z:$Z,0)),""),"")))</f>
        <v/>
      </c>
      <c r="P163" s="79" t="str">
        <f>IF(ISBLANK(O163),"",IFERROR(INDEX('Tournament List'!$D:$D,MATCH(O163,'Tournament List'!$A:$A,0)),""))</f>
        <v/>
      </c>
    </row>
    <row r="164" spans="1:16" x14ac:dyDescent="0.3">
      <c r="A164" s="78">
        <v>163</v>
      </c>
      <c r="B164" s="73" t="str">
        <f>C164&amp;"-"&amp;E164&amp;"-"&amp;F164</f>
        <v>High Plains Drifters-Novice 2-Trap</v>
      </c>
      <c r="C164" s="73" t="s">
        <v>307</v>
      </c>
      <c r="D164" s="73" t="str">
        <f>INDEX('Tournament Setup'!$B$59:$B$78,MATCH(E164,SquadConcurrents,0))</f>
        <v>Novice</v>
      </c>
      <c r="E164" s="73" t="s">
        <v>343</v>
      </c>
      <c r="F164" s="73" t="s">
        <v>147</v>
      </c>
      <c r="G164" s="94" t="str">
        <f>IF(F164="Skeet",IFERROR(INDEX('Shooter-Squad Assignment'!$A:$A,MATCH(C164&amp;"-"&amp;E164&amp;"-"&amp;F164&amp;"-Pos1",'Shooter-Squad Assignment'!$K:$K,0)),""),IF(F164="Trap",IFERROR(INDEX('Shooter-Squad Assignment'!$A:$A,MATCH(C164&amp;"-"&amp;E164&amp;"-"&amp;F164&amp;"-Pos1",'Shooter-Squad Assignment'!$W:$W,0)),""),IF(F164="Sporting Clays",IFERROR(INDEX('Shooter-Squad Assignment'!$A:$A,MATCH(C164&amp;"-"&amp;E164&amp;"-"&amp;F164&amp;"-Pos1",'Shooter-Squad Assignment'!$Z:$Z,0)),""),"")))</f>
        <v/>
      </c>
      <c r="H164" s="73" t="str">
        <f>IF(ISBLANK(G164),"",IFERROR(INDEX('Tournament List'!$D:$D,MATCH(G164,'Tournament List'!$A:$A,0)),""))</f>
        <v/>
      </c>
      <c r="I164" s="94" t="str">
        <f>IF(F164="Skeet",IFERROR(INDEX('Shooter-Squad Assignment'!$A:$A,MATCH(C164&amp;"-"&amp;E164&amp;"-"&amp;F164&amp;"-Pos2",'Shooter-Squad Assignment'!$K:$K,0)),""),IF(F164="Trap",IFERROR(INDEX('Shooter-Squad Assignment'!$A:$A,MATCH(C164&amp;"-"&amp;E164&amp;"-"&amp;F164&amp;"-Pos2",'Shooter-Squad Assignment'!$W:$W,0)),""),IF(F164="Sporting Clays",IFERROR(INDEX('Shooter-Squad Assignment'!$A:$A,MATCH(C164&amp;"-"&amp;E164&amp;"-"&amp;F164&amp;"-Pos2",'Shooter-Squad Assignment'!$Z:$Z,0)),""),"")))</f>
        <v/>
      </c>
      <c r="J164" s="73" t="str">
        <f>IF(ISBLANK(I164),"",IFERROR(INDEX('Tournament List'!$D:$D,MATCH(I164,'Tournament List'!$A:$A,0)),""))</f>
        <v/>
      </c>
      <c r="K164" s="94" t="str">
        <f>IF(F164="Skeet",IFERROR(INDEX('Shooter-Squad Assignment'!$A:$A,MATCH(C164&amp;"-"&amp;E164&amp;"-"&amp;F164&amp;"-Pos3",'Shooter-Squad Assignment'!$K:$K,0)),""),IF(F164="Trap",IFERROR(INDEX('Shooter-Squad Assignment'!$A:$A,MATCH(C164&amp;"-"&amp;E164&amp;"-"&amp;F164&amp;"-Pos3",'Shooter-Squad Assignment'!$W:$W,0)),""),IF(F164="Sporting Clays",IFERROR(INDEX('Shooter-Squad Assignment'!$A:$A,MATCH(C164&amp;"-"&amp;E164&amp;"-"&amp;F164&amp;"-Pos3",'Shooter-Squad Assignment'!$Z:$Z,0)),""),"")))</f>
        <v/>
      </c>
      <c r="L164" s="73" t="str">
        <f>IF(ISBLANK(K164),"",IFERROR(INDEX('Tournament List'!$D:$D,MATCH(K164,'Tournament List'!$A:$A,0)),""))</f>
        <v/>
      </c>
      <c r="M164" s="94" t="str">
        <f>IF(F164="Skeet",IFERROR(INDEX('Shooter-Squad Assignment'!$A:$A,MATCH(C164&amp;"-"&amp;E164&amp;"-"&amp;F164&amp;"-Pos4",'Shooter-Squad Assignment'!$K:$K,0)),""),IF(F164="Trap",IFERROR(INDEX('Shooter-Squad Assignment'!$A:$A,MATCH(C164&amp;"-"&amp;E164&amp;"-"&amp;F164&amp;"-Pos4",'Shooter-Squad Assignment'!$W:$W,0)),""),IF(F164="Sporting Clays",IFERROR(INDEX('Shooter-Squad Assignment'!$A:$A,MATCH(C164&amp;"-"&amp;E164&amp;"-"&amp;F164&amp;"-Pos4",'Shooter-Squad Assignment'!$Z:$Z,0)),""),"")))</f>
        <v/>
      </c>
      <c r="N164" s="73" t="str">
        <f>IF(ISBLANK(M164),"",IFERROR(INDEX('Tournament List'!$D:$D,MATCH(M164,'Tournament List'!$A:$A,0)),""))</f>
        <v/>
      </c>
      <c r="O164" s="94" t="str">
        <f>IF(F164="Skeet",IFERROR(INDEX('Shooter-Squad Assignment'!$A:$A,MATCH(C164&amp;"-"&amp;E164&amp;"-"&amp;F164&amp;"-Pos5",'Shooter-Squad Assignment'!$K:$K,0)),""),IF(F164="Trap",IFERROR(INDEX('Shooter-Squad Assignment'!$A:$A,MATCH(C164&amp;"-"&amp;E164&amp;"-"&amp;F164&amp;"-Pos5",'Shooter-Squad Assignment'!$W:$W,0)),""),IF(F164="Sporting Clays",IFERROR(INDEX('Shooter-Squad Assignment'!$A:$A,MATCH(C164&amp;"-"&amp;E164&amp;"-"&amp;F164&amp;"-Pos5",'Shooter-Squad Assignment'!$Z:$Z,0)),""),"")))</f>
        <v/>
      </c>
      <c r="P164" s="79" t="str">
        <f>IF(ISBLANK(O164),"",IFERROR(INDEX('Tournament List'!$D:$D,MATCH(O164,'Tournament List'!$A:$A,0)),""))</f>
        <v/>
      </c>
    </row>
    <row r="165" spans="1:16" x14ac:dyDescent="0.3">
      <c r="A165" s="78">
        <v>164</v>
      </c>
      <c r="B165" s="73" t="str">
        <f>C165&amp;"-"&amp;E165&amp;"-"&amp;F165</f>
        <v>High Plains Drifters-Novice 3-Trap</v>
      </c>
      <c r="C165" s="73" t="s">
        <v>307</v>
      </c>
      <c r="D165" s="73" t="str">
        <f>INDEX('Tournament Setup'!$B$59:$B$78,MATCH(E165,SquadConcurrents,0))</f>
        <v>Novice</v>
      </c>
      <c r="E165" s="73" t="s">
        <v>349</v>
      </c>
      <c r="F165" s="73" t="s">
        <v>147</v>
      </c>
      <c r="G165" s="94" t="str">
        <f>IF(F165="Skeet",IFERROR(INDEX('Shooter-Squad Assignment'!$A:$A,MATCH(C165&amp;"-"&amp;E165&amp;"-"&amp;F165&amp;"-Pos1",'Shooter-Squad Assignment'!$K:$K,0)),""),IF(F165="Trap",IFERROR(INDEX('Shooter-Squad Assignment'!$A:$A,MATCH(C165&amp;"-"&amp;E165&amp;"-"&amp;F165&amp;"-Pos1",'Shooter-Squad Assignment'!$W:$W,0)),""),IF(F165="Sporting Clays",IFERROR(INDEX('Shooter-Squad Assignment'!$A:$A,MATCH(C165&amp;"-"&amp;E165&amp;"-"&amp;F165&amp;"-Pos1",'Shooter-Squad Assignment'!$Z:$Z,0)),""),"")))</f>
        <v/>
      </c>
      <c r="H165" s="73" t="str">
        <f>IF(ISBLANK(G165),"",IFERROR(INDEX('Tournament List'!$D:$D,MATCH(G165,'Tournament List'!$A:$A,0)),""))</f>
        <v/>
      </c>
      <c r="I165" s="94" t="str">
        <f>IF(F165="Skeet",IFERROR(INDEX('Shooter-Squad Assignment'!$A:$A,MATCH(C165&amp;"-"&amp;E165&amp;"-"&amp;F165&amp;"-Pos2",'Shooter-Squad Assignment'!$K:$K,0)),""),IF(F165="Trap",IFERROR(INDEX('Shooter-Squad Assignment'!$A:$A,MATCH(C165&amp;"-"&amp;E165&amp;"-"&amp;F165&amp;"-Pos2",'Shooter-Squad Assignment'!$W:$W,0)),""),IF(F165="Sporting Clays",IFERROR(INDEX('Shooter-Squad Assignment'!$A:$A,MATCH(C165&amp;"-"&amp;E165&amp;"-"&amp;F165&amp;"-Pos2",'Shooter-Squad Assignment'!$Z:$Z,0)),""),"")))</f>
        <v/>
      </c>
      <c r="J165" s="73" t="str">
        <f>IF(ISBLANK(I165),"",IFERROR(INDEX('Tournament List'!$D:$D,MATCH(I165,'Tournament List'!$A:$A,0)),""))</f>
        <v/>
      </c>
      <c r="K165" s="94" t="str">
        <f>IF(F165="Skeet",IFERROR(INDEX('Shooter-Squad Assignment'!$A:$A,MATCH(C165&amp;"-"&amp;E165&amp;"-"&amp;F165&amp;"-Pos3",'Shooter-Squad Assignment'!$K:$K,0)),""),IF(F165="Trap",IFERROR(INDEX('Shooter-Squad Assignment'!$A:$A,MATCH(C165&amp;"-"&amp;E165&amp;"-"&amp;F165&amp;"-Pos3",'Shooter-Squad Assignment'!$W:$W,0)),""),IF(F165="Sporting Clays",IFERROR(INDEX('Shooter-Squad Assignment'!$A:$A,MATCH(C165&amp;"-"&amp;E165&amp;"-"&amp;F165&amp;"-Pos3",'Shooter-Squad Assignment'!$Z:$Z,0)),""),"")))</f>
        <v/>
      </c>
      <c r="L165" s="73" t="str">
        <f>IF(ISBLANK(K165),"",IFERROR(INDEX('Tournament List'!$D:$D,MATCH(K165,'Tournament List'!$A:$A,0)),""))</f>
        <v/>
      </c>
      <c r="M165" s="94" t="str">
        <f>IF(F165="Skeet",IFERROR(INDEX('Shooter-Squad Assignment'!$A:$A,MATCH(C165&amp;"-"&amp;E165&amp;"-"&amp;F165&amp;"-Pos4",'Shooter-Squad Assignment'!$K:$K,0)),""),IF(F165="Trap",IFERROR(INDEX('Shooter-Squad Assignment'!$A:$A,MATCH(C165&amp;"-"&amp;E165&amp;"-"&amp;F165&amp;"-Pos4",'Shooter-Squad Assignment'!$W:$W,0)),""),IF(F165="Sporting Clays",IFERROR(INDEX('Shooter-Squad Assignment'!$A:$A,MATCH(C165&amp;"-"&amp;E165&amp;"-"&amp;F165&amp;"-Pos4",'Shooter-Squad Assignment'!$Z:$Z,0)),""),"")))</f>
        <v/>
      </c>
      <c r="N165" s="73" t="str">
        <f>IF(ISBLANK(M165),"",IFERROR(INDEX('Tournament List'!$D:$D,MATCH(M165,'Tournament List'!$A:$A,0)),""))</f>
        <v/>
      </c>
      <c r="O165" s="94" t="str">
        <f>IF(F165="Skeet",IFERROR(INDEX('Shooter-Squad Assignment'!$A:$A,MATCH(C165&amp;"-"&amp;E165&amp;"-"&amp;F165&amp;"-Pos5",'Shooter-Squad Assignment'!$K:$K,0)),""),IF(F165="Trap",IFERROR(INDEX('Shooter-Squad Assignment'!$A:$A,MATCH(C165&amp;"-"&amp;E165&amp;"-"&amp;F165&amp;"-Pos5",'Shooter-Squad Assignment'!$W:$W,0)),""),IF(F165="Sporting Clays",IFERROR(INDEX('Shooter-Squad Assignment'!$A:$A,MATCH(C165&amp;"-"&amp;E165&amp;"-"&amp;F165&amp;"-Pos5",'Shooter-Squad Assignment'!$Z:$Z,0)),""),"")))</f>
        <v/>
      </c>
      <c r="P165" s="79" t="str">
        <f>IF(ISBLANK(O165),"",IFERROR(INDEX('Tournament List'!$D:$D,MATCH(O165,'Tournament List'!$A:$A,0)),""))</f>
        <v/>
      </c>
    </row>
    <row r="166" spans="1:16" x14ac:dyDescent="0.3">
      <c r="A166" s="78">
        <v>165</v>
      </c>
      <c r="B166" s="73" t="str">
        <f>C166&amp;"-"&amp;E166&amp;"-"&amp;F166</f>
        <v>High Plains Drifters-Open 1-Trap</v>
      </c>
      <c r="C166" s="73" t="s">
        <v>307</v>
      </c>
      <c r="D166" s="73" t="str">
        <f>INDEX('Tournament Setup'!$B$59:$B$78,MATCH(E166,SquadConcurrents,0))</f>
        <v>Open</v>
      </c>
      <c r="E166" s="73" t="s">
        <v>341</v>
      </c>
      <c r="F166" s="73" t="s">
        <v>147</v>
      </c>
      <c r="G166" s="94" t="str">
        <f>IF(F166="Skeet",IFERROR(INDEX('Shooter-Squad Assignment'!$A:$A,MATCH(C166&amp;"-"&amp;E166&amp;"-"&amp;F166&amp;"-Pos1",'Shooter-Squad Assignment'!$K:$K,0)),""),IF(F166="Trap",IFERROR(INDEX('Shooter-Squad Assignment'!$A:$A,MATCH(C166&amp;"-"&amp;E166&amp;"-"&amp;F166&amp;"-Pos1",'Shooter-Squad Assignment'!$W:$W,0)),""),IF(F166="Sporting Clays",IFERROR(INDEX('Shooter-Squad Assignment'!$A:$A,MATCH(C166&amp;"-"&amp;E166&amp;"-"&amp;F166&amp;"-Pos1",'Shooter-Squad Assignment'!$Z:$Z,0)),""),"")))</f>
        <v>24-1018</v>
      </c>
      <c r="H166" s="73" t="str">
        <f>IF(ISBLANK(G166),"",IFERROR(INDEX('Tournament List'!$D:$D,MATCH(G166,'Tournament List'!$A:$A,0)),""))</f>
        <v>Jack Last Name19</v>
      </c>
      <c r="I166" s="94" t="str">
        <f>IF(F166="Skeet",IFERROR(INDEX('Shooter-Squad Assignment'!$A:$A,MATCH(C166&amp;"-"&amp;E166&amp;"-"&amp;F166&amp;"-Pos2",'Shooter-Squad Assignment'!$K:$K,0)),""),IF(F166="Trap",IFERROR(INDEX('Shooter-Squad Assignment'!$A:$A,MATCH(C166&amp;"-"&amp;E166&amp;"-"&amp;F166&amp;"-Pos2",'Shooter-Squad Assignment'!$W:$W,0)),""),IF(F166="Sporting Clays",IFERROR(INDEX('Shooter-Squad Assignment'!$A:$A,MATCH(C166&amp;"-"&amp;E166&amp;"-"&amp;F166&amp;"-Pos2",'Shooter-Squad Assignment'!$Z:$Z,0)),""),"")))</f>
        <v>24-1024</v>
      </c>
      <c r="J166" s="73" t="str">
        <f>IF(ISBLANK(I166),"",IFERROR(INDEX('Tournament List'!$D:$D,MATCH(I166,'Tournament List'!$A:$A,0)),""))</f>
        <v>Harry Last Name25</v>
      </c>
      <c r="K166" s="94" t="str">
        <f>IF(F166="Skeet",IFERROR(INDEX('Shooter-Squad Assignment'!$A:$A,MATCH(C166&amp;"-"&amp;E166&amp;"-"&amp;F166&amp;"-Pos3",'Shooter-Squad Assignment'!$K:$K,0)),""),IF(F166="Trap",IFERROR(INDEX('Shooter-Squad Assignment'!$A:$A,MATCH(C166&amp;"-"&amp;E166&amp;"-"&amp;F166&amp;"-Pos3",'Shooter-Squad Assignment'!$W:$W,0)),""),IF(F166="Sporting Clays",IFERROR(INDEX('Shooter-Squad Assignment'!$A:$A,MATCH(C166&amp;"-"&amp;E166&amp;"-"&amp;F166&amp;"-Pos3",'Shooter-Squad Assignment'!$Z:$Z,0)),""),"")))</f>
        <v>24-1036</v>
      </c>
      <c r="L166" s="73" t="str">
        <f>IF(ISBLANK(K166),"",IFERROR(INDEX('Tournament List'!$D:$D,MATCH(K166,'Tournament List'!$A:$A,0)),""))</f>
        <v>Will Last Name37</v>
      </c>
      <c r="M166" s="94" t="str">
        <f>IF(F166="Skeet",IFERROR(INDEX('Shooter-Squad Assignment'!$A:$A,MATCH(C166&amp;"-"&amp;E166&amp;"-"&amp;F166&amp;"-Pos4",'Shooter-Squad Assignment'!$K:$K,0)),""),IF(F166="Trap",IFERROR(INDEX('Shooter-Squad Assignment'!$A:$A,MATCH(C166&amp;"-"&amp;E166&amp;"-"&amp;F166&amp;"-Pos4",'Shooter-Squad Assignment'!$W:$W,0)),""),IF(F166="Sporting Clays",IFERROR(INDEX('Shooter-Squad Assignment'!$A:$A,MATCH(C166&amp;"-"&amp;E166&amp;"-"&amp;F166&amp;"-Pos4",'Shooter-Squad Assignment'!$Z:$Z,0)),""),"")))</f>
        <v>24-1006</v>
      </c>
      <c r="N166" s="73" t="str">
        <f>IF(ISBLANK(M166),"",IFERROR(INDEX('Tournament List'!$D:$D,MATCH(M166,'Tournament List'!$A:$A,0)),""))</f>
        <v>Blake Last Name7</v>
      </c>
      <c r="O166" s="94" t="str">
        <f>IF(F166="Skeet",IFERROR(INDEX('Shooter-Squad Assignment'!$A:$A,MATCH(C166&amp;"-"&amp;E166&amp;"-"&amp;F166&amp;"-Pos5",'Shooter-Squad Assignment'!$K:$K,0)),""),IF(F166="Trap",IFERROR(INDEX('Shooter-Squad Assignment'!$A:$A,MATCH(C166&amp;"-"&amp;E166&amp;"-"&amp;F166&amp;"-Pos5",'Shooter-Squad Assignment'!$W:$W,0)),""),IF(F166="Sporting Clays",IFERROR(INDEX('Shooter-Squad Assignment'!$A:$A,MATCH(C166&amp;"-"&amp;E166&amp;"-"&amp;F166&amp;"-Pos5",'Shooter-Squad Assignment'!$Z:$Z,0)),""),"")))</f>
        <v>24-1030</v>
      </c>
      <c r="P166" s="79" t="str">
        <f>IF(ISBLANK(O166),"",IFERROR(INDEX('Tournament List'!$D:$D,MATCH(O166,'Tournament List'!$A:$A,0)),""))</f>
        <v>Shelly Last Name31</v>
      </c>
    </row>
    <row r="167" spans="1:16" x14ac:dyDescent="0.3">
      <c r="A167" s="78">
        <v>166</v>
      </c>
      <c r="B167" s="73" t="str">
        <f>C167&amp;"-"&amp;E167&amp;"-"&amp;F167</f>
        <v>High Plains Drifters-Open 2-Trap</v>
      </c>
      <c r="C167" s="73" t="s">
        <v>307</v>
      </c>
      <c r="D167" s="73" t="str">
        <f>INDEX('Tournament Setup'!$B$59:$B$78,MATCH(E167,SquadConcurrents,0))</f>
        <v>Open</v>
      </c>
      <c r="E167" s="73" t="s">
        <v>347</v>
      </c>
      <c r="F167" s="73" t="s">
        <v>147</v>
      </c>
      <c r="G167" s="94" t="str">
        <f>IF(F167="Skeet",IFERROR(INDEX('Shooter-Squad Assignment'!$A:$A,MATCH(C167&amp;"-"&amp;E167&amp;"-"&amp;F167&amp;"-Pos1",'Shooter-Squad Assignment'!$K:$K,0)),""),IF(F167="Trap",IFERROR(INDEX('Shooter-Squad Assignment'!$A:$A,MATCH(C167&amp;"-"&amp;E167&amp;"-"&amp;F167&amp;"-Pos1",'Shooter-Squad Assignment'!$W:$W,0)),""),IF(F167="Sporting Clays",IFERROR(INDEX('Shooter-Squad Assignment'!$A:$A,MATCH(C167&amp;"-"&amp;E167&amp;"-"&amp;F167&amp;"-Pos1",'Shooter-Squad Assignment'!$Z:$Z,0)),""),"")))</f>
        <v/>
      </c>
      <c r="H167" s="73" t="str">
        <f>IF(ISBLANK(G167),"",IFERROR(INDEX('Tournament List'!$D:$D,MATCH(G167,'Tournament List'!$A:$A,0)),""))</f>
        <v/>
      </c>
      <c r="I167" s="94" t="str">
        <f>IF(F167="Skeet",IFERROR(INDEX('Shooter-Squad Assignment'!$A:$A,MATCH(C167&amp;"-"&amp;E167&amp;"-"&amp;F167&amp;"-Pos2",'Shooter-Squad Assignment'!$K:$K,0)),""),IF(F167="Trap",IFERROR(INDEX('Shooter-Squad Assignment'!$A:$A,MATCH(C167&amp;"-"&amp;E167&amp;"-"&amp;F167&amp;"-Pos2",'Shooter-Squad Assignment'!$W:$W,0)),""),IF(F167="Sporting Clays",IFERROR(INDEX('Shooter-Squad Assignment'!$A:$A,MATCH(C167&amp;"-"&amp;E167&amp;"-"&amp;F167&amp;"-Pos2",'Shooter-Squad Assignment'!$Z:$Z,0)),""),"")))</f>
        <v/>
      </c>
      <c r="J167" s="73" t="str">
        <f>IF(ISBLANK(I167),"",IFERROR(INDEX('Tournament List'!$D:$D,MATCH(I167,'Tournament List'!$A:$A,0)),""))</f>
        <v/>
      </c>
      <c r="K167" s="94" t="str">
        <f>IF(F167="Skeet",IFERROR(INDEX('Shooter-Squad Assignment'!$A:$A,MATCH(C167&amp;"-"&amp;E167&amp;"-"&amp;F167&amp;"-Pos3",'Shooter-Squad Assignment'!$K:$K,0)),""),IF(F167="Trap",IFERROR(INDEX('Shooter-Squad Assignment'!$A:$A,MATCH(C167&amp;"-"&amp;E167&amp;"-"&amp;F167&amp;"-Pos3",'Shooter-Squad Assignment'!$W:$W,0)),""),IF(F167="Sporting Clays",IFERROR(INDEX('Shooter-Squad Assignment'!$A:$A,MATCH(C167&amp;"-"&amp;E167&amp;"-"&amp;F167&amp;"-Pos3",'Shooter-Squad Assignment'!$Z:$Z,0)),""),"")))</f>
        <v/>
      </c>
      <c r="L167" s="73" t="str">
        <f>IF(ISBLANK(K167),"",IFERROR(INDEX('Tournament List'!$D:$D,MATCH(K167,'Tournament List'!$A:$A,0)),""))</f>
        <v/>
      </c>
      <c r="M167" s="94" t="str">
        <f>IF(F167="Skeet",IFERROR(INDEX('Shooter-Squad Assignment'!$A:$A,MATCH(C167&amp;"-"&amp;E167&amp;"-"&amp;F167&amp;"-Pos4",'Shooter-Squad Assignment'!$K:$K,0)),""),IF(F167="Trap",IFERROR(INDEX('Shooter-Squad Assignment'!$A:$A,MATCH(C167&amp;"-"&amp;E167&amp;"-"&amp;F167&amp;"-Pos4",'Shooter-Squad Assignment'!$W:$W,0)),""),IF(F167="Sporting Clays",IFERROR(INDEX('Shooter-Squad Assignment'!$A:$A,MATCH(C167&amp;"-"&amp;E167&amp;"-"&amp;F167&amp;"-Pos4",'Shooter-Squad Assignment'!$Z:$Z,0)),""),"")))</f>
        <v/>
      </c>
      <c r="N167" s="73" t="str">
        <f>IF(ISBLANK(M167),"",IFERROR(INDEX('Tournament List'!$D:$D,MATCH(M167,'Tournament List'!$A:$A,0)),""))</f>
        <v/>
      </c>
      <c r="O167" s="94" t="str">
        <f>IF(F167="Skeet",IFERROR(INDEX('Shooter-Squad Assignment'!$A:$A,MATCH(C167&amp;"-"&amp;E167&amp;"-"&amp;F167&amp;"-Pos5",'Shooter-Squad Assignment'!$K:$K,0)),""),IF(F167="Trap",IFERROR(INDEX('Shooter-Squad Assignment'!$A:$A,MATCH(C167&amp;"-"&amp;E167&amp;"-"&amp;F167&amp;"-Pos5",'Shooter-Squad Assignment'!$W:$W,0)),""),IF(F167="Sporting Clays",IFERROR(INDEX('Shooter-Squad Assignment'!$A:$A,MATCH(C167&amp;"-"&amp;E167&amp;"-"&amp;F167&amp;"-Pos5",'Shooter-Squad Assignment'!$Z:$Z,0)),""),"")))</f>
        <v/>
      </c>
      <c r="P167" s="79" t="str">
        <f>IF(ISBLANK(O167),"",IFERROR(INDEX('Tournament List'!$D:$D,MATCH(O167,'Tournament List'!$A:$A,0)),""))</f>
        <v/>
      </c>
    </row>
    <row r="168" spans="1:16" x14ac:dyDescent="0.3">
      <c r="A168" s="78">
        <v>167</v>
      </c>
      <c r="B168" s="73" t="str">
        <f>C168&amp;"-"&amp;E168&amp;"-"&amp;F168</f>
        <v>High Plains Drifters-Open 3-Trap</v>
      </c>
      <c r="C168" s="73" t="s">
        <v>307</v>
      </c>
      <c r="D168" s="73" t="str">
        <f>INDEX('Tournament Setup'!$B$59:$B$78,MATCH(E168,SquadConcurrents,0))</f>
        <v>Open</v>
      </c>
      <c r="E168" s="73" t="s">
        <v>353</v>
      </c>
      <c r="F168" s="73" t="s">
        <v>147</v>
      </c>
      <c r="G168" s="94" t="str">
        <f>IF(F168="Skeet",IFERROR(INDEX('Shooter-Squad Assignment'!$A:$A,MATCH(C168&amp;"-"&amp;E168&amp;"-"&amp;F168&amp;"-Pos1",'Shooter-Squad Assignment'!$K:$K,0)),""),IF(F168="Trap",IFERROR(INDEX('Shooter-Squad Assignment'!$A:$A,MATCH(C168&amp;"-"&amp;E168&amp;"-"&amp;F168&amp;"-Pos1",'Shooter-Squad Assignment'!$W:$W,0)),""),IF(F168="Sporting Clays",IFERROR(INDEX('Shooter-Squad Assignment'!$A:$A,MATCH(C168&amp;"-"&amp;E168&amp;"-"&amp;F168&amp;"-Pos1",'Shooter-Squad Assignment'!$Z:$Z,0)),""),"")))</f>
        <v/>
      </c>
      <c r="H168" s="73" t="str">
        <f>IF(ISBLANK(G168),"",IFERROR(INDEX('Tournament List'!$D:$D,MATCH(G168,'Tournament List'!$A:$A,0)),""))</f>
        <v/>
      </c>
      <c r="I168" s="94" t="str">
        <f>IF(F168="Skeet",IFERROR(INDEX('Shooter-Squad Assignment'!$A:$A,MATCH(C168&amp;"-"&amp;E168&amp;"-"&amp;F168&amp;"-Pos2",'Shooter-Squad Assignment'!$K:$K,0)),""),IF(F168="Trap",IFERROR(INDEX('Shooter-Squad Assignment'!$A:$A,MATCH(C168&amp;"-"&amp;E168&amp;"-"&amp;F168&amp;"-Pos2",'Shooter-Squad Assignment'!$W:$W,0)),""),IF(F168="Sporting Clays",IFERROR(INDEX('Shooter-Squad Assignment'!$A:$A,MATCH(C168&amp;"-"&amp;E168&amp;"-"&amp;F168&amp;"-Pos2",'Shooter-Squad Assignment'!$Z:$Z,0)),""),"")))</f>
        <v/>
      </c>
      <c r="J168" s="73" t="str">
        <f>IF(ISBLANK(I168),"",IFERROR(INDEX('Tournament List'!$D:$D,MATCH(I168,'Tournament List'!$A:$A,0)),""))</f>
        <v/>
      </c>
      <c r="K168" s="94" t="str">
        <f>IF(F168="Skeet",IFERROR(INDEX('Shooter-Squad Assignment'!$A:$A,MATCH(C168&amp;"-"&amp;E168&amp;"-"&amp;F168&amp;"-Pos3",'Shooter-Squad Assignment'!$K:$K,0)),""),IF(F168="Trap",IFERROR(INDEX('Shooter-Squad Assignment'!$A:$A,MATCH(C168&amp;"-"&amp;E168&amp;"-"&amp;F168&amp;"-Pos3",'Shooter-Squad Assignment'!$W:$W,0)),""),IF(F168="Sporting Clays",IFERROR(INDEX('Shooter-Squad Assignment'!$A:$A,MATCH(C168&amp;"-"&amp;E168&amp;"-"&amp;F168&amp;"-Pos3",'Shooter-Squad Assignment'!$Z:$Z,0)),""),"")))</f>
        <v/>
      </c>
      <c r="L168" s="73" t="str">
        <f>IF(ISBLANK(K168),"",IFERROR(INDEX('Tournament List'!$D:$D,MATCH(K168,'Tournament List'!$A:$A,0)),""))</f>
        <v/>
      </c>
      <c r="M168" s="94" t="str">
        <f>IF(F168="Skeet",IFERROR(INDEX('Shooter-Squad Assignment'!$A:$A,MATCH(C168&amp;"-"&amp;E168&amp;"-"&amp;F168&amp;"-Pos4",'Shooter-Squad Assignment'!$K:$K,0)),""),IF(F168="Trap",IFERROR(INDEX('Shooter-Squad Assignment'!$A:$A,MATCH(C168&amp;"-"&amp;E168&amp;"-"&amp;F168&amp;"-Pos4",'Shooter-Squad Assignment'!$W:$W,0)),""),IF(F168="Sporting Clays",IFERROR(INDEX('Shooter-Squad Assignment'!$A:$A,MATCH(C168&amp;"-"&amp;E168&amp;"-"&amp;F168&amp;"-Pos4",'Shooter-Squad Assignment'!$Z:$Z,0)),""),"")))</f>
        <v/>
      </c>
      <c r="N168" s="73" t="str">
        <f>IF(ISBLANK(M168),"",IFERROR(INDEX('Tournament List'!$D:$D,MATCH(M168,'Tournament List'!$A:$A,0)),""))</f>
        <v/>
      </c>
      <c r="O168" s="94" t="str">
        <f>IF(F168="Skeet",IFERROR(INDEX('Shooter-Squad Assignment'!$A:$A,MATCH(C168&amp;"-"&amp;E168&amp;"-"&amp;F168&amp;"-Pos5",'Shooter-Squad Assignment'!$K:$K,0)),""),IF(F168="Trap",IFERROR(INDEX('Shooter-Squad Assignment'!$A:$A,MATCH(C168&amp;"-"&amp;E168&amp;"-"&amp;F168&amp;"-Pos5",'Shooter-Squad Assignment'!$W:$W,0)),""),IF(F168="Sporting Clays",IFERROR(INDEX('Shooter-Squad Assignment'!$A:$A,MATCH(C168&amp;"-"&amp;E168&amp;"-"&amp;F168&amp;"-Pos5",'Shooter-Squad Assignment'!$Z:$Z,0)),""),"")))</f>
        <v/>
      </c>
      <c r="P168" s="79" t="str">
        <f>IF(ISBLANK(O168),"",IFERROR(INDEX('Tournament List'!$D:$D,MATCH(O168,'Tournament List'!$A:$A,0)),""))</f>
        <v/>
      </c>
    </row>
    <row r="169" spans="1:16" x14ac:dyDescent="0.3">
      <c r="A169" s="78">
        <v>168</v>
      </c>
      <c r="B169" s="73" t="str">
        <f>C169&amp;"-"&amp;E169&amp;"-"&amp;F169</f>
        <v>High Plains Drifters-Unassigned 1-Trap</v>
      </c>
      <c r="C169" s="73" t="s">
        <v>307</v>
      </c>
      <c r="D169" s="73" t="str">
        <f>INDEX('Tournament Setup'!$B$59:$B$78,MATCH(E169,SquadConcurrents,0))</f>
        <v>Unassigned</v>
      </c>
      <c r="E169" s="73" t="s">
        <v>762</v>
      </c>
      <c r="F169" s="73" t="s">
        <v>147</v>
      </c>
      <c r="G169" s="94" t="str">
        <f>IF(F169="Skeet",IFERROR(INDEX('Shooter-Squad Assignment'!$A:$A,MATCH(C169&amp;"-"&amp;E169&amp;"-"&amp;F169&amp;"-Pos1",'Shooter-Squad Assignment'!$K:$K,0)),""),IF(F169="Trap",IFERROR(INDEX('Shooter-Squad Assignment'!$A:$A,MATCH(C169&amp;"-"&amp;E169&amp;"-"&amp;F169&amp;"-Pos1",'Shooter-Squad Assignment'!$W:$W,0)),""),IF(F169="Sporting Clays",IFERROR(INDEX('Shooter-Squad Assignment'!$A:$A,MATCH(C169&amp;"-"&amp;E169&amp;"-"&amp;F169&amp;"-Pos1",'Shooter-Squad Assignment'!$Z:$Z,0)),""),"")))</f>
        <v/>
      </c>
      <c r="H169" s="73" t="str">
        <f>IF(ISBLANK(G169),"",IFERROR(INDEX('Tournament List'!$D:$D,MATCH(G169,'Tournament List'!$A:$A,0)),""))</f>
        <v/>
      </c>
      <c r="I169" s="94" t="str">
        <f>IF(F169="Skeet",IFERROR(INDEX('Shooter-Squad Assignment'!$A:$A,MATCH(C169&amp;"-"&amp;E169&amp;"-"&amp;F169&amp;"-Pos2",'Shooter-Squad Assignment'!$K:$K,0)),""),IF(F169="Trap",IFERROR(INDEX('Shooter-Squad Assignment'!$A:$A,MATCH(C169&amp;"-"&amp;E169&amp;"-"&amp;F169&amp;"-Pos2",'Shooter-Squad Assignment'!$W:$W,0)),""),IF(F169="Sporting Clays",IFERROR(INDEX('Shooter-Squad Assignment'!$A:$A,MATCH(C169&amp;"-"&amp;E169&amp;"-"&amp;F169&amp;"-Pos2",'Shooter-Squad Assignment'!$Z:$Z,0)),""),"")))</f>
        <v/>
      </c>
      <c r="J169" s="73" t="str">
        <f>IF(ISBLANK(I169),"",IFERROR(INDEX('Tournament List'!$D:$D,MATCH(I169,'Tournament List'!$A:$A,0)),""))</f>
        <v/>
      </c>
      <c r="K169" s="94" t="str">
        <f>IF(F169="Skeet",IFERROR(INDEX('Shooter-Squad Assignment'!$A:$A,MATCH(C169&amp;"-"&amp;E169&amp;"-"&amp;F169&amp;"-Pos3",'Shooter-Squad Assignment'!$K:$K,0)),""),IF(F169="Trap",IFERROR(INDEX('Shooter-Squad Assignment'!$A:$A,MATCH(C169&amp;"-"&amp;E169&amp;"-"&amp;F169&amp;"-Pos3",'Shooter-Squad Assignment'!$W:$W,0)),""),IF(F169="Sporting Clays",IFERROR(INDEX('Shooter-Squad Assignment'!$A:$A,MATCH(C169&amp;"-"&amp;E169&amp;"-"&amp;F169&amp;"-Pos3",'Shooter-Squad Assignment'!$Z:$Z,0)),""),"")))</f>
        <v/>
      </c>
      <c r="L169" s="73" t="str">
        <f>IF(ISBLANK(K169),"",IFERROR(INDEX('Tournament List'!$D:$D,MATCH(K169,'Tournament List'!$A:$A,0)),""))</f>
        <v/>
      </c>
      <c r="M169" s="94" t="str">
        <f>IF(F169="Skeet",IFERROR(INDEX('Shooter-Squad Assignment'!$A:$A,MATCH(C169&amp;"-"&amp;E169&amp;"-"&amp;F169&amp;"-Pos4",'Shooter-Squad Assignment'!$K:$K,0)),""),IF(F169="Trap",IFERROR(INDEX('Shooter-Squad Assignment'!$A:$A,MATCH(C169&amp;"-"&amp;E169&amp;"-"&amp;F169&amp;"-Pos4",'Shooter-Squad Assignment'!$W:$W,0)),""),IF(F169="Sporting Clays",IFERROR(INDEX('Shooter-Squad Assignment'!$A:$A,MATCH(C169&amp;"-"&amp;E169&amp;"-"&amp;F169&amp;"-Pos4",'Shooter-Squad Assignment'!$Z:$Z,0)),""),"")))</f>
        <v/>
      </c>
      <c r="N169" s="73" t="str">
        <f>IF(ISBLANK(M169),"",IFERROR(INDEX('Tournament List'!$D:$D,MATCH(M169,'Tournament List'!$A:$A,0)),""))</f>
        <v/>
      </c>
      <c r="O169" s="94" t="str">
        <f>IF(F169="Skeet",IFERROR(INDEX('Shooter-Squad Assignment'!$A:$A,MATCH(C169&amp;"-"&amp;E169&amp;"-"&amp;F169&amp;"-Pos5",'Shooter-Squad Assignment'!$K:$K,0)),""),IF(F169="Trap",IFERROR(INDEX('Shooter-Squad Assignment'!$A:$A,MATCH(C169&amp;"-"&amp;E169&amp;"-"&amp;F169&amp;"-Pos5",'Shooter-Squad Assignment'!$W:$W,0)),""),IF(F169="Sporting Clays",IFERROR(INDEX('Shooter-Squad Assignment'!$A:$A,MATCH(C169&amp;"-"&amp;E169&amp;"-"&amp;F169&amp;"-Pos5",'Shooter-Squad Assignment'!$Z:$Z,0)),""),"")))</f>
        <v/>
      </c>
      <c r="P169" s="79" t="str">
        <f>IF(ISBLANK(O169),"",IFERROR(INDEX('Tournament List'!$D:$D,MATCH(O169,'Tournament List'!$A:$A,0)),""))</f>
        <v/>
      </c>
    </row>
    <row r="170" spans="1:16" x14ac:dyDescent="0.3">
      <c r="A170" s="78">
        <v>169</v>
      </c>
      <c r="B170" s="73" t="str">
        <f>C170&amp;"-"&amp;E170&amp;"-"&amp;F170</f>
        <v>High Plains Drifters-Varsity 1-Trap</v>
      </c>
      <c r="C170" s="73" t="s">
        <v>307</v>
      </c>
      <c r="D170" s="73" t="str">
        <f>INDEX('Tournament Setup'!$B$59:$B$78,MATCH(E170,SquadConcurrents,0))</f>
        <v>Varsity</v>
      </c>
      <c r="E170" s="73" t="s">
        <v>340</v>
      </c>
      <c r="F170" s="73" t="s">
        <v>147</v>
      </c>
      <c r="G170" s="94" t="str">
        <f>IF(F170="Skeet",IFERROR(INDEX('Shooter-Squad Assignment'!$A:$A,MATCH(C170&amp;"-"&amp;E170&amp;"-"&amp;F170&amp;"-Pos1",'Shooter-Squad Assignment'!$K:$K,0)),""),IF(F170="Trap",IFERROR(INDEX('Shooter-Squad Assignment'!$A:$A,MATCH(C170&amp;"-"&amp;E170&amp;"-"&amp;F170&amp;"-Pos1",'Shooter-Squad Assignment'!$W:$W,0)),""),IF(F170="Sporting Clays",IFERROR(INDEX('Shooter-Squad Assignment'!$A:$A,MATCH(C170&amp;"-"&amp;E170&amp;"-"&amp;F170&amp;"-Pos1",'Shooter-Squad Assignment'!$Z:$Z,0)),""),"")))</f>
        <v/>
      </c>
      <c r="H170" s="73" t="str">
        <f>IF(ISBLANK(G170),"",IFERROR(INDEX('Tournament List'!$D:$D,MATCH(G170,'Tournament List'!$A:$A,0)),""))</f>
        <v/>
      </c>
      <c r="I170" s="94" t="str">
        <f>IF(F170="Skeet",IFERROR(INDEX('Shooter-Squad Assignment'!$A:$A,MATCH(C170&amp;"-"&amp;E170&amp;"-"&amp;F170&amp;"-Pos2",'Shooter-Squad Assignment'!$K:$K,0)),""),IF(F170="Trap",IFERROR(INDEX('Shooter-Squad Assignment'!$A:$A,MATCH(C170&amp;"-"&amp;E170&amp;"-"&amp;F170&amp;"-Pos2",'Shooter-Squad Assignment'!$W:$W,0)),""),IF(F170="Sporting Clays",IFERROR(INDEX('Shooter-Squad Assignment'!$A:$A,MATCH(C170&amp;"-"&amp;E170&amp;"-"&amp;F170&amp;"-Pos2",'Shooter-Squad Assignment'!$Z:$Z,0)),""),"")))</f>
        <v/>
      </c>
      <c r="J170" s="73" t="str">
        <f>IF(ISBLANK(I170),"",IFERROR(INDEX('Tournament List'!$D:$D,MATCH(I170,'Tournament List'!$A:$A,0)),""))</f>
        <v/>
      </c>
      <c r="K170" s="94" t="str">
        <f>IF(F170="Skeet",IFERROR(INDEX('Shooter-Squad Assignment'!$A:$A,MATCH(C170&amp;"-"&amp;E170&amp;"-"&amp;F170&amp;"-Pos3",'Shooter-Squad Assignment'!$K:$K,0)),""),IF(F170="Trap",IFERROR(INDEX('Shooter-Squad Assignment'!$A:$A,MATCH(C170&amp;"-"&amp;E170&amp;"-"&amp;F170&amp;"-Pos3",'Shooter-Squad Assignment'!$W:$W,0)),""),IF(F170="Sporting Clays",IFERROR(INDEX('Shooter-Squad Assignment'!$A:$A,MATCH(C170&amp;"-"&amp;E170&amp;"-"&amp;F170&amp;"-Pos3",'Shooter-Squad Assignment'!$Z:$Z,0)),""),"")))</f>
        <v/>
      </c>
      <c r="L170" s="73" t="str">
        <f>IF(ISBLANK(K170),"",IFERROR(INDEX('Tournament List'!$D:$D,MATCH(K170,'Tournament List'!$A:$A,0)),""))</f>
        <v/>
      </c>
      <c r="M170" s="94" t="str">
        <f>IF(F170="Skeet",IFERROR(INDEX('Shooter-Squad Assignment'!$A:$A,MATCH(C170&amp;"-"&amp;E170&amp;"-"&amp;F170&amp;"-Pos4",'Shooter-Squad Assignment'!$K:$K,0)),""),IF(F170="Trap",IFERROR(INDEX('Shooter-Squad Assignment'!$A:$A,MATCH(C170&amp;"-"&amp;E170&amp;"-"&amp;F170&amp;"-Pos4",'Shooter-Squad Assignment'!$W:$W,0)),""),IF(F170="Sporting Clays",IFERROR(INDEX('Shooter-Squad Assignment'!$A:$A,MATCH(C170&amp;"-"&amp;E170&amp;"-"&amp;F170&amp;"-Pos4",'Shooter-Squad Assignment'!$Z:$Z,0)),""),"")))</f>
        <v/>
      </c>
      <c r="N170" s="73" t="str">
        <f>IF(ISBLANK(M170),"",IFERROR(INDEX('Tournament List'!$D:$D,MATCH(M170,'Tournament List'!$A:$A,0)),""))</f>
        <v/>
      </c>
      <c r="O170" s="94" t="str">
        <f>IF(F170="Skeet",IFERROR(INDEX('Shooter-Squad Assignment'!$A:$A,MATCH(C170&amp;"-"&amp;E170&amp;"-"&amp;F170&amp;"-Pos5",'Shooter-Squad Assignment'!$K:$K,0)),""),IF(F170="Trap",IFERROR(INDEX('Shooter-Squad Assignment'!$A:$A,MATCH(C170&amp;"-"&amp;E170&amp;"-"&amp;F170&amp;"-Pos5",'Shooter-Squad Assignment'!$W:$W,0)),""),IF(F170="Sporting Clays",IFERROR(INDEX('Shooter-Squad Assignment'!$A:$A,MATCH(C170&amp;"-"&amp;E170&amp;"-"&amp;F170&amp;"-Pos5",'Shooter-Squad Assignment'!$Z:$Z,0)),""),"")))</f>
        <v/>
      </c>
      <c r="P170" s="79" t="str">
        <f>IF(ISBLANK(O170),"",IFERROR(INDEX('Tournament List'!$D:$D,MATCH(O170,'Tournament List'!$A:$A,0)),""))</f>
        <v/>
      </c>
    </row>
    <row r="171" spans="1:16" x14ac:dyDescent="0.3">
      <c r="A171" s="78">
        <v>170</v>
      </c>
      <c r="B171" s="73" t="str">
        <f>C171&amp;"-"&amp;E171&amp;"-"&amp;F171</f>
        <v>High Plains Drifters-Varsity 2-Trap</v>
      </c>
      <c r="C171" s="73" t="s">
        <v>307</v>
      </c>
      <c r="D171" s="73" t="str">
        <f>INDEX('Tournament Setup'!$B$59:$B$78,MATCH(E171,SquadConcurrents,0))</f>
        <v>Varsity</v>
      </c>
      <c r="E171" s="73" t="s">
        <v>346</v>
      </c>
      <c r="F171" s="73" t="s">
        <v>147</v>
      </c>
      <c r="G171" s="94" t="str">
        <f>IF(F171="Skeet",IFERROR(INDEX('Shooter-Squad Assignment'!$A:$A,MATCH(C171&amp;"-"&amp;E171&amp;"-"&amp;F171&amp;"-Pos1",'Shooter-Squad Assignment'!$K:$K,0)),""),IF(F171="Trap",IFERROR(INDEX('Shooter-Squad Assignment'!$A:$A,MATCH(C171&amp;"-"&amp;E171&amp;"-"&amp;F171&amp;"-Pos1",'Shooter-Squad Assignment'!$W:$W,0)),""),IF(F171="Sporting Clays",IFERROR(INDEX('Shooter-Squad Assignment'!$A:$A,MATCH(C171&amp;"-"&amp;E171&amp;"-"&amp;F171&amp;"-Pos1",'Shooter-Squad Assignment'!$Z:$Z,0)),""),"")))</f>
        <v/>
      </c>
      <c r="H171" s="73" t="str">
        <f>IF(ISBLANK(G171),"",IFERROR(INDEX('Tournament List'!$D:$D,MATCH(G171,'Tournament List'!$A:$A,0)),""))</f>
        <v/>
      </c>
      <c r="I171" s="94" t="str">
        <f>IF(F171="Skeet",IFERROR(INDEX('Shooter-Squad Assignment'!$A:$A,MATCH(C171&amp;"-"&amp;E171&amp;"-"&amp;F171&amp;"-Pos2",'Shooter-Squad Assignment'!$K:$K,0)),""),IF(F171="Trap",IFERROR(INDEX('Shooter-Squad Assignment'!$A:$A,MATCH(C171&amp;"-"&amp;E171&amp;"-"&amp;F171&amp;"-Pos2",'Shooter-Squad Assignment'!$W:$W,0)),""),IF(F171="Sporting Clays",IFERROR(INDEX('Shooter-Squad Assignment'!$A:$A,MATCH(C171&amp;"-"&amp;E171&amp;"-"&amp;F171&amp;"-Pos2",'Shooter-Squad Assignment'!$Z:$Z,0)),""),"")))</f>
        <v/>
      </c>
      <c r="J171" s="73" t="str">
        <f>IF(ISBLANK(I171),"",IFERROR(INDEX('Tournament List'!$D:$D,MATCH(I171,'Tournament List'!$A:$A,0)),""))</f>
        <v/>
      </c>
      <c r="K171" s="94" t="str">
        <f>IF(F171="Skeet",IFERROR(INDEX('Shooter-Squad Assignment'!$A:$A,MATCH(C171&amp;"-"&amp;E171&amp;"-"&amp;F171&amp;"-Pos3",'Shooter-Squad Assignment'!$K:$K,0)),""),IF(F171="Trap",IFERROR(INDEX('Shooter-Squad Assignment'!$A:$A,MATCH(C171&amp;"-"&amp;E171&amp;"-"&amp;F171&amp;"-Pos3",'Shooter-Squad Assignment'!$W:$W,0)),""),IF(F171="Sporting Clays",IFERROR(INDEX('Shooter-Squad Assignment'!$A:$A,MATCH(C171&amp;"-"&amp;E171&amp;"-"&amp;F171&amp;"-Pos3",'Shooter-Squad Assignment'!$Z:$Z,0)),""),"")))</f>
        <v/>
      </c>
      <c r="L171" s="73" t="str">
        <f>IF(ISBLANK(K171),"",IFERROR(INDEX('Tournament List'!$D:$D,MATCH(K171,'Tournament List'!$A:$A,0)),""))</f>
        <v/>
      </c>
      <c r="M171" s="94" t="str">
        <f>IF(F171="Skeet",IFERROR(INDEX('Shooter-Squad Assignment'!$A:$A,MATCH(C171&amp;"-"&amp;E171&amp;"-"&amp;F171&amp;"-Pos4",'Shooter-Squad Assignment'!$K:$K,0)),""),IF(F171="Trap",IFERROR(INDEX('Shooter-Squad Assignment'!$A:$A,MATCH(C171&amp;"-"&amp;E171&amp;"-"&amp;F171&amp;"-Pos4",'Shooter-Squad Assignment'!$W:$W,0)),""),IF(F171="Sporting Clays",IFERROR(INDEX('Shooter-Squad Assignment'!$A:$A,MATCH(C171&amp;"-"&amp;E171&amp;"-"&amp;F171&amp;"-Pos4",'Shooter-Squad Assignment'!$Z:$Z,0)),""),"")))</f>
        <v/>
      </c>
      <c r="N171" s="73" t="str">
        <f>IF(ISBLANK(M171),"",IFERROR(INDEX('Tournament List'!$D:$D,MATCH(M171,'Tournament List'!$A:$A,0)),""))</f>
        <v/>
      </c>
      <c r="O171" s="94" t="str">
        <f>IF(F171="Skeet",IFERROR(INDEX('Shooter-Squad Assignment'!$A:$A,MATCH(C171&amp;"-"&amp;E171&amp;"-"&amp;F171&amp;"-Pos5",'Shooter-Squad Assignment'!$K:$K,0)),""),IF(F171="Trap",IFERROR(INDEX('Shooter-Squad Assignment'!$A:$A,MATCH(C171&amp;"-"&amp;E171&amp;"-"&amp;F171&amp;"-Pos5",'Shooter-Squad Assignment'!$W:$W,0)),""),IF(F171="Sporting Clays",IFERROR(INDEX('Shooter-Squad Assignment'!$A:$A,MATCH(C171&amp;"-"&amp;E171&amp;"-"&amp;F171&amp;"-Pos5",'Shooter-Squad Assignment'!$Z:$Z,0)),""),"")))</f>
        <v/>
      </c>
      <c r="P171" s="79" t="str">
        <f>IF(ISBLANK(O171),"",IFERROR(INDEX('Tournament List'!$D:$D,MATCH(O171,'Tournament List'!$A:$A,0)),""))</f>
        <v/>
      </c>
    </row>
    <row r="172" spans="1:16" ht="15" thickBot="1" x14ac:dyDescent="0.35">
      <c r="A172" s="78">
        <v>171</v>
      </c>
      <c r="B172" s="73" t="str">
        <f>C172&amp;"-"&amp;E172&amp;"-"&amp;F172</f>
        <v>High Plains Drifters-Varsity 3-Trap</v>
      </c>
      <c r="C172" s="73" t="s">
        <v>307</v>
      </c>
      <c r="D172" s="73" t="str">
        <f>INDEX('Tournament Setup'!$B$59:$B$78,MATCH(E172,SquadConcurrents,0))</f>
        <v>Varsity</v>
      </c>
      <c r="E172" s="73" t="s">
        <v>352</v>
      </c>
      <c r="F172" s="73" t="s">
        <v>147</v>
      </c>
      <c r="G172" s="94" t="str">
        <f>IF(F172="Skeet",IFERROR(INDEX('Shooter-Squad Assignment'!$A:$A,MATCH(C172&amp;"-"&amp;E172&amp;"-"&amp;F172&amp;"-Pos1",'Shooter-Squad Assignment'!$K:$K,0)),""),IF(F172="Trap",IFERROR(INDEX('Shooter-Squad Assignment'!$A:$A,MATCH(C172&amp;"-"&amp;E172&amp;"-"&amp;F172&amp;"-Pos1",'Shooter-Squad Assignment'!$W:$W,0)),""),IF(F172="Sporting Clays",IFERROR(INDEX('Shooter-Squad Assignment'!$A:$A,MATCH(C172&amp;"-"&amp;E172&amp;"-"&amp;F172&amp;"-Pos1",'Shooter-Squad Assignment'!$Z:$Z,0)),""),"")))</f>
        <v/>
      </c>
      <c r="H172" s="73" t="str">
        <f>IF(ISBLANK(G172),"",IFERROR(INDEX('Tournament List'!$D:$D,MATCH(G172,'Tournament List'!$A:$A,0)),""))</f>
        <v/>
      </c>
      <c r="I172" s="94" t="str">
        <f>IF(F172="Skeet",IFERROR(INDEX('Shooter-Squad Assignment'!$A:$A,MATCH(C172&amp;"-"&amp;E172&amp;"-"&amp;F172&amp;"-Pos2",'Shooter-Squad Assignment'!$K:$K,0)),""),IF(F172="Trap",IFERROR(INDEX('Shooter-Squad Assignment'!$A:$A,MATCH(C172&amp;"-"&amp;E172&amp;"-"&amp;F172&amp;"-Pos2",'Shooter-Squad Assignment'!$W:$W,0)),""),IF(F172="Sporting Clays",IFERROR(INDEX('Shooter-Squad Assignment'!$A:$A,MATCH(C172&amp;"-"&amp;E172&amp;"-"&amp;F172&amp;"-Pos2",'Shooter-Squad Assignment'!$Z:$Z,0)),""),"")))</f>
        <v/>
      </c>
      <c r="J172" s="73" t="str">
        <f>IF(ISBLANK(I172),"",IFERROR(INDEX('Tournament List'!$D:$D,MATCH(I172,'Tournament List'!$A:$A,0)),""))</f>
        <v/>
      </c>
      <c r="K172" s="94" t="str">
        <f>IF(F172="Skeet",IFERROR(INDEX('Shooter-Squad Assignment'!$A:$A,MATCH(C172&amp;"-"&amp;E172&amp;"-"&amp;F172&amp;"-Pos3",'Shooter-Squad Assignment'!$K:$K,0)),""),IF(F172="Trap",IFERROR(INDEX('Shooter-Squad Assignment'!$A:$A,MATCH(C172&amp;"-"&amp;E172&amp;"-"&amp;F172&amp;"-Pos3",'Shooter-Squad Assignment'!$W:$W,0)),""),IF(F172="Sporting Clays",IFERROR(INDEX('Shooter-Squad Assignment'!$A:$A,MATCH(C172&amp;"-"&amp;E172&amp;"-"&amp;F172&amp;"-Pos3",'Shooter-Squad Assignment'!$Z:$Z,0)),""),"")))</f>
        <v/>
      </c>
      <c r="L172" s="73" t="str">
        <f>IF(ISBLANK(K172),"",IFERROR(INDEX('Tournament List'!$D:$D,MATCH(K172,'Tournament List'!$A:$A,0)),""))</f>
        <v/>
      </c>
      <c r="M172" s="94" t="str">
        <f>IF(F172="Skeet",IFERROR(INDEX('Shooter-Squad Assignment'!$A:$A,MATCH(C172&amp;"-"&amp;E172&amp;"-"&amp;F172&amp;"-Pos4",'Shooter-Squad Assignment'!$K:$K,0)),""),IF(F172="Trap",IFERROR(INDEX('Shooter-Squad Assignment'!$A:$A,MATCH(C172&amp;"-"&amp;E172&amp;"-"&amp;F172&amp;"-Pos4",'Shooter-Squad Assignment'!$W:$W,0)),""),IF(F172="Sporting Clays",IFERROR(INDEX('Shooter-Squad Assignment'!$A:$A,MATCH(C172&amp;"-"&amp;E172&amp;"-"&amp;F172&amp;"-Pos4",'Shooter-Squad Assignment'!$Z:$Z,0)),""),"")))</f>
        <v/>
      </c>
      <c r="N172" s="73" t="str">
        <f>IF(ISBLANK(M172),"",IFERROR(INDEX('Tournament List'!$D:$D,MATCH(M172,'Tournament List'!$A:$A,0)),""))</f>
        <v/>
      </c>
      <c r="O172" s="94" t="str">
        <f>IF(F172="Skeet",IFERROR(INDEX('Shooter-Squad Assignment'!$A:$A,MATCH(C172&amp;"-"&amp;E172&amp;"-"&amp;F172&amp;"-Pos5",'Shooter-Squad Assignment'!$K:$K,0)),""),IF(F172="Trap",IFERROR(INDEX('Shooter-Squad Assignment'!$A:$A,MATCH(C172&amp;"-"&amp;E172&amp;"-"&amp;F172&amp;"-Pos5",'Shooter-Squad Assignment'!$W:$W,0)),""),IF(F172="Sporting Clays",IFERROR(INDEX('Shooter-Squad Assignment'!$A:$A,MATCH(C172&amp;"-"&amp;E172&amp;"-"&amp;F172&amp;"-Pos5",'Shooter-Squad Assignment'!$Z:$Z,0)),""),"")))</f>
        <v/>
      </c>
      <c r="P172" s="79" t="str">
        <f>IF(ISBLANK(O172),"",IFERROR(INDEX('Tournament List'!$D:$D,MATCH(O172,'Tournament List'!$A:$A,0)),""))</f>
        <v/>
      </c>
    </row>
    <row r="173" spans="1:16" x14ac:dyDescent="0.3">
      <c r="A173" s="84">
        <v>172</v>
      </c>
      <c r="B173" s="85" t="str">
        <f>C173&amp;"-"&amp;E173&amp;"-"&amp;F173</f>
        <v>Littleton Target Masters-Collegiate 1-Skeet</v>
      </c>
      <c r="C173" s="85" t="s">
        <v>323</v>
      </c>
      <c r="D173" s="85" t="str">
        <f>INDEX('Tournament Setup'!$B$59:$B$78,MATCH(E173,SquadConcurrents,0))</f>
        <v>Collegiate</v>
      </c>
      <c r="E173" s="85" t="s">
        <v>342</v>
      </c>
      <c r="F173" s="85" t="s">
        <v>143</v>
      </c>
      <c r="G173" s="95" t="str">
        <f>IF(F173="Skeet",IFERROR(INDEX('Shooter-Squad Assignment'!$A:$A,MATCH(C173&amp;"-"&amp;E173&amp;"-"&amp;F173&amp;"-Pos1",'Shooter-Squad Assignment'!$K:$K,0)),""),IF(F173="Trap",IFERROR(INDEX('Shooter-Squad Assignment'!$A:$A,MATCH(C173&amp;"-"&amp;E173&amp;"-"&amp;F173&amp;"-Pos1",'Shooter-Squad Assignment'!$W:$W,0)),""),IF(F173="Sporting Clays",IFERROR(INDEX('Shooter-Squad Assignment'!$A:$A,MATCH(C173&amp;"-"&amp;E173&amp;"-"&amp;F173&amp;"-Pos1",'Shooter-Squad Assignment'!$Z:$Z,0)),""),"")))</f>
        <v>24-1011</v>
      </c>
      <c r="H173" s="85" t="str">
        <f>IF(ISBLANK(G173),"",IFERROR(INDEX('Tournament List'!$D:$D,MATCH(G173,'Tournament List'!$A:$A,0)),""))</f>
        <v>Bob Last Name12</v>
      </c>
      <c r="I173" s="95" t="str">
        <f>IF(F173="Skeet",IFERROR(INDEX('Shooter-Squad Assignment'!$A:$A,MATCH(C173&amp;"-"&amp;E173&amp;"-"&amp;F173&amp;"-Pos2",'Shooter-Squad Assignment'!$K:$K,0)),""),IF(F173="Trap",IFERROR(INDEX('Shooter-Squad Assignment'!$A:$A,MATCH(C173&amp;"-"&amp;E173&amp;"-"&amp;F173&amp;"-Pos2",'Shooter-Squad Assignment'!$W:$W,0)),""),IF(F173="Sporting Clays",IFERROR(INDEX('Shooter-Squad Assignment'!$A:$A,MATCH(C173&amp;"-"&amp;E173&amp;"-"&amp;F173&amp;"-Pos2",'Shooter-Squad Assignment'!$Z:$Z,0)),""),"")))</f>
        <v>24-1017</v>
      </c>
      <c r="J173" s="85" t="str">
        <f>IF(ISBLANK(I173),"",IFERROR(INDEX('Tournament List'!$D:$D,MATCH(I173,'Tournament List'!$A:$A,0)),""))</f>
        <v>Jill Last Name18</v>
      </c>
      <c r="K173" s="95" t="str">
        <f>IF(F173="Skeet",IFERROR(INDEX('Shooter-Squad Assignment'!$A:$A,MATCH(C173&amp;"-"&amp;E173&amp;"-"&amp;F173&amp;"-Pos3",'Shooter-Squad Assignment'!$K:$K,0)),""),IF(F173="Trap",IFERROR(INDEX('Shooter-Squad Assignment'!$A:$A,MATCH(C173&amp;"-"&amp;E173&amp;"-"&amp;F173&amp;"-Pos3",'Shooter-Squad Assignment'!$W:$W,0)),""),IF(F173="Sporting Clays",IFERROR(INDEX('Shooter-Squad Assignment'!$A:$A,MATCH(C173&amp;"-"&amp;E173&amp;"-"&amp;F173&amp;"-Pos3",'Shooter-Squad Assignment'!$Z:$Z,0)),""),"")))</f>
        <v>24-1029</v>
      </c>
      <c r="L173" s="85" t="str">
        <f>IF(ISBLANK(K173),"",IFERROR(INDEX('Tournament List'!$D:$D,MATCH(K173,'Tournament List'!$A:$A,0)),""))</f>
        <v>Judy Last Name30</v>
      </c>
      <c r="M173" s="95" t="str">
        <f>IF(F173="Skeet",IFERROR(INDEX('Shooter-Squad Assignment'!$A:$A,MATCH(C173&amp;"-"&amp;E173&amp;"-"&amp;F173&amp;"-Pos4",'Shooter-Squad Assignment'!$K:$K,0)),""),IF(F173="Trap",IFERROR(INDEX('Shooter-Squad Assignment'!$A:$A,MATCH(C173&amp;"-"&amp;E173&amp;"-"&amp;F173&amp;"-Pos4",'Shooter-Squad Assignment'!$W:$W,0)),""),IF(F173="Sporting Clays",IFERROR(INDEX('Shooter-Squad Assignment'!$A:$A,MATCH(C173&amp;"-"&amp;E173&amp;"-"&amp;F173&amp;"-Pos4",'Shooter-Squad Assignment'!$Z:$Z,0)),""),"")))</f>
        <v/>
      </c>
      <c r="N173" s="85" t="str">
        <f>IF(ISBLANK(M173),"",IFERROR(INDEX('Tournament List'!$D:$D,MATCH(M173,'Tournament List'!$A:$A,0)),""))</f>
        <v/>
      </c>
      <c r="O173" s="95" t="str">
        <f>IF(F173="Skeet",IFERROR(INDEX('Shooter-Squad Assignment'!$A:$A,MATCH(C173&amp;"-"&amp;E173&amp;"-"&amp;F173&amp;"-Pos5",'Shooter-Squad Assignment'!$K:$K,0)),""),IF(F173="Trap",IFERROR(INDEX('Shooter-Squad Assignment'!$A:$A,MATCH(C173&amp;"-"&amp;E173&amp;"-"&amp;F173&amp;"-Pos5",'Shooter-Squad Assignment'!$W:$W,0)),""),IF(F173="Sporting Clays",IFERROR(INDEX('Shooter-Squad Assignment'!$A:$A,MATCH(C173&amp;"-"&amp;E173&amp;"-"&amp;F173&amp;"-Pos5",'Shooter-Squad Assignment'!$Z:$Z,0)),""),"")))</f>
        <v/>
      </c>
      <c r="P173" s="86" t="str">
        <f>IF(ISBLANK(O173),"",IFERROR(INDEX('Tournament List'!$D:$D,MATCH(O173,'Tournament List'!$A:$A,0)),""))</f>
        <v/>
      </c>
    </row>
    <row r="174" spans="1:16" x14ac:dyDescent="0.3">
      <c r="A174" s="87">
        <v>173</v>
      </c>
      <c r="B174" s="88" t="str">
        <f>C174&amp;"-"&amp;E174&amp;"-"&amp;F174</f>
        <v>Littleton Target Masters-Collegiate 2-Skeet</v>
      </c>
      <c r="C174" s="88" t="s">
        <v>323</v>
      </c>
      <c r="D174" s="88" t="str">
        <f>INDEX('Tournament Setup'!$B$59:$B$78,MATCH(E174,SquadConcurrents,0))</f>
        <v>Collegiate</v>
      </c>
      <c r="E174" s="88" t="s">
        <v>348</v>
      </c>
      <c r="F174" s="88" t="s">
        <v>143</v>
      </c>
      <c r="G174" s="96" t="str">
        <f>IF(F174="Skeet",IFERROR(INDEX('Shooter-Squad Assignment'!$A:$A,MATCH(C174&amp;"-"&amp;E174&amp;"-"&amp;F174&amp;"-Pos1",'Shooter-Squad Assignment'!$K:$K,0)),""),IF(F174="Trap",IFERROR(INDEX('Shooter-Squad Assignment'!$A:$A,MATCH(C174&amp;"-"&amp;E174&amp;"-"&amp;F174&amp;"-Pos1",'Shooter-Squad Assignment'!$W:$W,0)),""),IF(F174="Sporting Clays",IFERROR(INDEX('Shooter-Squad Assignment'!$A:$A,MATCH(C174&amp;"-"&amp;E174&amp;"-"&amp;F174&amp;"-Pos1",'Shooter-Squad Assignment'!$Z:$Z,0)),""),"")))</f>
        <v/>
      </c>
      <c r="H174" s="88" t="str">
        <f>IF(ISBLANK(G174),"",IFERROR(INDEX('Tournament List'!$D:$D,MATCH(G174,'Tournament List'!$A:$A,0)),""))</f>
        <v/>
      </c>
      <c r="I174" s="96" t="str">
        <f>IF(F174="Skeet",IFERROR(INDEX('Shooter-Squad Assignment'!$A:$A,MATCH(C174&amp;"-"&amp;E174&amp;"-"&amp;F174&amp;"-Pos2",'Shooter-Squad Assignment'!$K:$K,0)),""),IF(F174="Trap",IFERROR(INDEX('Shooter-Squad Assignment'!$A:$A,MATCH(C174&amp;"-"&amp;E174&amp;"-"&amp;F174&amp;"-Pos2",'Shooter-Squad Assignment'!$W:$W,0)),""),IF(F174="Sporting Clays",IFERROR(INDEX('Shooter-Squad Assignment'!$A:$A,MATCH(C174&amp;"-"&amp;E174&amp;"-"&amp;F174&amp;"-Pos2",'Shooter-Squad Assignment'!$Z:$Z,0)),""),"")))</f>
        <v/>
      </c>
      <c r="J174" s="88" t="str">
        <f>IF(ISBLANK(I174),"",IFERROR(INDEX('Tournament List'!$D:$D,MATCH(I174,'Tournament List'!$A:$A,0)),""))</f>
        <v/>
      </c>
      <c r="K174" s="96" t="str">
        <f>IF(F174="Skeet",IFERROR(INDEX('Shooter-Squad Assignment'!$A:$A,MATCH(C174&amp;"-"&amp;E174&amp;"-"&amp;F174&amp;"-Pos3",'Shooter-Squad Assignment'!$K:$K,0)),""),IF(F174="Trap",IFERROR(INDEX('Shooter-Squad Assignment'!$A:$A,MATCH(C174&amp;"-"&amp;E174&amp;"-"&amp;F174&amp;"-Pos3",'Shooter-Squad Assignment'!$W:$W,0)),""),IF(F174="Sporting Clays",IFERROR(INDEX('Shooter-Squad Assignment'!$A:$A,MATCH(C174&amp;"-"&amp;E174&amp;"-"&amp;F174&amp;"-Pos3",'Shooter-Squad Assignment'!$Z:$Z,0)),""),"")))</f>
        <v/>
      </c>
      <c r="L174" s="88" t="str">
        <f>IF(ISBLANK(K174),"",IFERROR(INDEX('Tournament List'!$D:$D,MATCH(K174,'Tournament List'!$A:$A,0)),""))</f>
        <v/>
      </c>
      <c r="M174" s="96" t="str">
        <f>IF(F174="Skeet",IFERROR(INDEX('Shooter-Squad Assignment'!$A:$A,MATCH(C174&amp;"-"&amp;E174&amp;"-"&amp;F174&amp;"-Pos4",'Shooter-Squad Assignment'!$K:$K,0)),""),IF(F174="Trap",IFERROR(INDEX('Shooter-Squad Assignment'!$A:$A,MATCH(C174&amp;"-"&amp;E174&amp;"-"&amp;F174&amp;"-Pos4",'Shooter-Squad Assignment'!$W:$W,0)),""),IF(F174="Sporting Clays",IFERROR(INDEX('Shooter-Squad Assignment'!$A:$A,MATCH(C174&amp;"-"&amp;E174&amp;"-"&amp;F174&amp;"-Pos4",'Shooter-Squad Assignment'!$Z:$Z,0)),""),"")))</f>
        <v/>
      </c>
      <c r="N174" s="88" t="str">
        <f>IF(ISBLANK(M174),"",IFERROR(INDEX('Tournament List'!$D:$D,MATCH(M174,'Tournament List'!$A:$A,0)),""))</f>
        <v/>
      </c>
      <c r="O174" s="96" t="str">
        <f>IF(F174="Skeet",IFERROR(INDEX('Shooter-Squad Assignment'!$A:$A,MATCH(C174&amp;"-"&amp;E174&amp;"-"&amp;F174&amp;"-Pos5",'Shooter-Squad Assignment'!$K:$K,0)),""),IF(F174="Trap",IFERROR(INDEX('Shooter-Squad Assignment'!$A:$A,MATCH(C174&amp;"-"&amp;E174&amp;"-"&amp;F174&amp;"-Pos5",'Shooter-Squad Assignment'!$W:$W,0)),""),IF(F174="Sporting Clays",IFERROR(INDEX('Shooter-Squad Assignment'!$A:$A,MATCH(C174&amp;"-"&amp;E174&amp;"-"&amp;F174&amp;"-Pos5",'Shooter-Squad Assignment'!$Z:$Z,0)),""),"")))</f>
        <v/>
      </c>
      <c r="P174" s="89" t="str">
        <f>IF(ISBLANK(O174),"",IFERROR(INDEX('Tournament List'!$D:$D,MATCH(O174,'Tournament List'!$A:$A,0)),""))</f>
        <v/>
      </c>
    </row>
    <row r="175" spans="1:16" x14ac:dyDescent="0.3">
      <c r="A175" s="87">
        <v>174</v>
      </c>
      <c r="B175" s="88" t="str">
        <f>C175&amp;"-"&amp;E175&amp;"-"&amp;F175</f>
        <v>Littleton Target Masters-Collegiate 3-Skeet</v>
      </c>
      <c r="C175" s="88" t="s">
        <v>323</v>
      </c>
      <c r="D175" s="88" t="str">
        <f>INDEX('Tournament Setup'!$B$59:$B$78,MATCH(E175,SquadConcurrents,0))</f>
        <v>Collegiate</v>
      </c>
      <c r="E175" s="88" t="s">
        <v>354</v>
      </c>
      <c r="F175" s="88" t="s">
        <v>143</v>
      </c>
      <c r="G175" s="96" t="str">
        <f>IF(F175="Skeet",IFERROR(INDEX('Shooter-Squad Assignment'!$A:$A,MATCH(C175&amp;"-"&amp;E175&amp;"-"&amp;F175&amp;"-Pos1",'Shooter-Squad Assignment'!$K:$K,0)),""),IF(F175="Trap",IFERROR(INDEX('Shooter-Squad Assignment'!$A:$A,MATCH(C175&amp;"-"&amp;E175&amp;"-"&amp;F175&amp;"-Pos1",'Shooter-Squad Assignment'!$W:$W,0)),""),IF(F175="Sporting Clays",IFERROR(INDEX('Shooter-Squad Assignment'!$A:$A,MATCH(C175&amp;"-"&amp;E175&amp;"-"&amp;F175&amp;"-Pos1",'Shooter-Squad Assignment'!$Z:$Z,0)),""),"")))</f>
        <v/>
      </c>
      <c r="H175" s="88" t="str">
        <f>IF(ISBLANK(G175),"",IFERROR(INDEX('Tournament List'!$D:$D,MATCH(G175,'Tournament List'!$A:$A,0)),""))</f>
        <v/>
      </c>
      <c r="I175" s="96" t="str">
        <f>IF(F175="Skeet",IFERROR(INDEX('Shooter-Squad Assignment'!$A:$A,MATCH(C175&amp;"-"&amp;E175&amp;"-"&amp;F175&amp;"-Pos2",'Shooter-Squad Assignment'!$K:$K,0)),""),IF(F175="Trap",IFERROR(INDEX('Shooter-Squad Assignment'!$A:$A,MATCH(C175&amp;"-"&amp;E175&amp;"-"&amp;F175&amp;"-Pos2",'Shooter-Squad Assignment'!$W:$W,0)),""),IF(F175="Sporting Clays",IFERROR(INDEX('Shooter-Squad Assignment'!$A:$A,MATCH(C175&amp;"-"&amp;E175&amp;"-"&amp;F175&amp;"-Pos2",'Shooter-Squad Assignment'!$Z:$Z,0)),""),"")))</f>
        <v/>
      </c>
      <c r="J175" s="88" t="str">
        <f>IF(ISBLANK(I175),"",IFERROR(INDEX('Tournament List'!$D:$D,MATCH(I175,'Tournament List'!$A:$A,0)),""))</f>
        <v/>
      </c>
      <c r="K175" s="96" t="str">
        <f>IF(F175="Skeet",IFERROR(INDEX('Shooter-Squad Assignment'!$A:$A,MATCH(C175&amp;"-"&amp;E175&amp;"-"&amp;F175&amp;"-Pos3",'Shooter-Squad Assignment'!$K:$K,0)),""),IF(F175="Trap",IFERROR(INDEX('Shooter-Squad Assignment'!$A:$A,MATCH(C175&amp;"-"&amp;E175&amp;"-"&amp;F175&amp;"-Pos3",'Shooter-Squad Assignment'!$W:$W,0)),""),IF(F175="Sporting Clays",IFERROR(INDEX('Shooter-Squad Assignment'!$A:$A,MATCH(C175&amp;"-"&amp;E175&amp;"-"&amp;F175&amp;"-Pos3",'Shooter-Squad Assignment'!$Z:$Z,0)),""),"")))</f>
        <v/>
      </c>
      <c r="L175" s="88" t="str">
        <f>IF(ISBLANK(K175),"",IFERROR(INDEX('Tournament List'!$D:$D,MATCH(K175,'Tournament List'!$A:$A,0)),""))</f>
        <v/>
      </c>
      <c r="M175" s="96" t="str">
        <f>IF(F175="Skeet",IFERROR(INDEX('Shooter-Squad Assignment'!$A:$A,MATCH(C175&amp;"-"&amp;E175&amp;"-"&amp;F175&amp;"-Pos4",'Shooter-Squad Assignment'!$K:$K,0)),""),IF(F175="Trap",IFERROR(INDEX('Shooter-Squad Assignment'!$A:$A,MATCH(C175&amp;"-"&amp;E175&amp;"-"&amp;F175&amp;"-Pos4",'Shooter-Squad Assignment'!$W:$W,0)),""),IF(F175="Sporting Clays",IFERROR(INDEX('Shooter-Squad Assignment'!$A:$A,MATCH(C175&amp;"-"&amp;E175&amp;"-"&amp;F175&amp;"-Pos4",'Shooter-Squad Assignment'!$Z:$Z,0)),""),"")))</f>
        <v/>
      </c>
      <c r="N175" s="88" t="str">
        <f>IF(ISBLANK(M175),"",IFERROR(INDEX('Tournament List'!$D:$D,MATCH(M175,'Tournament List'!$A:$A,0)),""))</f>
        <v/>
      </c>
      <c r="O175" s="96" t="str">
        <f>IF(F175="Skeet",IFERROR(INDEX('Shooter-Squad Assignment'!$A:$A,MATCH(C175&amp;"-"&amp;E175&amp;"-"&amp;F175&amp;"-Pos5",'Shooter-Squad Assignment'!$K:$K,0)),""),IF(F175="Trap",IFERROR(INDEX('Shooter-Squad Assignment'!$A:$A,MATCH(C175&amp;"-"&amp;E175&amp;"-"&amp;F175&amp;"-Pos5",'Shooter-Squad Assignment'!$W:$W,0)),""),IF(F175="Sporting Clays",IFERROR(INDEX('Shooter-Squad Assignment'!$A:$A,MATCH(C175&amp;"-"&amp;E175&amp;"-"&amp;F175&amp;"-Pos5",'Shooter-Squad Assignment'!$Z:$Z,0)),""),"")))</f>
        <v/>
      </c>
      <c r="P175" s="89" t="str">
        <f>IF(ISBLANK(O175),"",IFERROR(INDEX('Tournament List'!$D:$D,MATCH(O175,'Tournament List'!$A:$A,0)),""))</f>
        <v/>
      </c>
    </row>
    <row r="176" spans="1:16" x14ac:dyDescent="0.3">
      <c r="A176" s="87">
        <v>175</v>
      </c>
      <c r="B176" s="88" t="str">
        <f>C176&amp;"-"&amp;E176&amp;"-"&amp;F176</f>
        <v>Littleton Target Masters-Intermediate 1-Skeet</v>
      </c>
      <c r="C176" s="88" t="s">
        <v>323</v>
      </c>
      <c r="D176" s="88" t="str">
        <f>INDEX('Tournament Setup'!$B$59:$B$78,MATCH(E176,SquadConcurrents,0))</f>
        <v>Intermediate</v>
      </c>
      <c r="E176" s="88" t="s">
        <v>338</v>
      </c>
      <c r="F176" s="88" t="s">
        <v>143</v>
      </c>
      <c r="G176" s="96" t="str">
        <f>IF(F176="Skeet",IFERROR(INDEX('Shooter-Squad Assignment'!$A:$A,MATCH(C176&amp;"-"&amp;E176&amp;"-"&amp;F176&amp;"-Pos1",'Shooter-Squad Assignment'!$K:$K,0)),""),IF(F176="Trap",IFERROR(INDEX('Shooter-Squad Assignment'!$A:$A,MATCH(C176&amp;"-"&amp;E176&amp;"-"&amp;F176&amp;"-Pos1",'Shooter-Squad Assignment'!$W:$W,0)),""),IF(F176="Sporting Clays",IFERROR(INDEX('Shooter-Squad Assignment'!$A:$A,MATCH(C176&amp;"-"&amp;E176&amp;"-"&amp;F176&amp;"-Pos1",'Shooter-Squad Assignment'!$Z:$Z,0)),""),"")))</f>
        <v/>
      </c>
      <c r="H176" s="88" t="str">
        <f>IF(ISBLANK(G176),"",IFERROR(INDEX('Tournament List'!$D:$D,MATCH(G176,'Tournament List'!$A:$A,0)),""))</f>
        <v/>
      </c>
      <c r="I176" s="96" t="str">
        <f>IF(F176="Skeet",IFERROR(INDEX('Shooter-Squad Assignment'!$A:$A,MATCH(C176&amp;"-"&amp;E176&amp;"-"&amp;F176&amp;"-Pos2",'Shooter-Squad Assignment'!$K:$K,0)),""),IF(F176="Trap",IFERROR(INDEX('Shooter-Squad Assignment'!$A:$A,MATCH(C176&amp;"-"&amp;E176&amp;"-"&amp;F176&amp;"-Pos2",'Shooter-Squad Assignment'!$W:$W,0)),""),IF(F176="Sporting Clays",IFERROR(INDEX('Shooter-Squad Assignment'!$A:$A,MATCH(C176&amp;"-"&amp;E176&amp;"-"&amp;F176&amp;"-Pos2",'Shooter-Squad Assignment'!$Z:$Z,0)),""),"")))</f>
        <v/>
      </c>
      <c r="J176" s="88" t="str">
        <f>IF(ISBLANK(I176),"",IFERROR(INDEX('Tournament List'!$D:$D,MATCH(I176,'Tournament List'!$A:$A,0)),""))</f>
        <v/>
      </c>
      <c r="K176" s="96" t="str">
        <f>IF(F176="Skeet",IFERROR(INDEX('Shooter-Squad Assignment'!$A:$A,MATCH(C176&amp;"-"&amp;E176&amp;"-"&amp;F176&amp;"-Pos3",'Shooter-Squad Assignment'!$K:$K,0)),""),IF(F176="Trap",IFERROR(INDEX('Shooter-Squad Assignment'!$A:$A,MATCH(C176&amp;"-"&amp;E176&amp;"-"&amp;F176&amp;"-Pos3",'Shooter-Squad Assignment'!$W:$W,0)),""),IF(F176="Sporting Clays",IFERROR(INDEX('Shooter-Squad Assignment'!$A:$A,MATCH(C176&amp;"-"&amp;E176&amp;"-"&amp;F176&amp;"-Pos3",'Shooter-Squad Assignment'!$Z:$Z,0)),""),"")))</f>
        <v/>
      </c>
      <c r="L176" s="88" t="str">
        <f>IF(ISBLANK(K176),"",IFERROR(INDEX('Tournament List'!$D:$D,MATCH(K176,'Tournament List'!$A:$A,0)),""))</f>
        <v/>
      </c>
      <c r="M176" s="96" t="str">
        <f>IF(F176="Skeet",IFERROR(INDEX('Shooter-Squad Assignment'!$A:$A,MATCH(C176&amp;"-"&amp;E176&amp;"-"&amp;F176&amp;"-Pos4",'Shooter-Squad Assignment'!$K:$K,0)),""),IF(F176="Trap",IFERROR(INDEX('Shooter-Squad Assignment'!$A:$A,MATCH(C176&amp;"-"&amp;E176&amp;"-"&amp;F176&amp;"-Pos4",'Shooter-Squad Assignment'!$W:$W,0)),""),IF(F176="Sporting Clays",IFERROR(INDEX('Shooter-Squad Assignment'!$A:$A,MATCH(C176&amp;"-"&amp;E176&amp;"-"&amp;F176&amp;"-Pos4",'Shooter-Squad Assignment'!$Z:$Z,0)),""),"")))</f>
        <v/>
      </c>
      <c r="N176" s="88" t="str">
        <f>IF(ISBLANK(M176),"",IFERROR(INDEX('Tournament List'!$D:$D,MATCH(M176,'Tournament List'!$A:$A,0)),""))</f>
        <v/>
      </c>
      <c r="O176" s="96" t="str">
        <f>IF(F176="Skeet",IFERROR(INDEX('Shooter-Squad Assignment'!$A:$A,MATCH(C176&amp;"-"&amp;E176&amp;"-"&amp;F176&amp;"-Pos5",'Shooter-Squad Assignment'!$K:$K,0)),""),IF(F176="Trap",IFERROR(INDEX('Shooter-Squad Assignment'!$A:$A,MATCH(C176&amp;"-"&amp;E176&amp;"-"&amp;F176&amp;"-Pos5",'Shooter-Squad Assignment'!$W:$W,0)),""),IF(F176="Sporting Clays",IFERROR(INDEX('Shooter-Squad Assignment'!$A:$A,MATCH(C176&amp;"-"&amp;E176&amp;"-"&amp;F176&amp;"-Pos5",'Shooter-Squad Assignment'!$Z:$Z,0)),""),"")))</f>
        <v/>
      </c>
      <c r="P176" s="89" t="str">
        <f>IF(ISBLANK(O176),"",IFERROR(INDEX('Tournament List'!$D:$D,MATCH(O176,'Tournament List'!$A:$A,0)),""))</f>
        <v/>
      </c>
    </row>
    <row r="177" spans="1:16" x14ac:dyDescent="0.3">
      <c r="A177" s="87">
        <v>176</v>
      </c>
      <c r="B177" s="88" t="str">
        <f>C177&amp;"-"&amp;E177&amp;"-"&amp;F177</f>
        <v>Littleton Target Masters-Intermediate 2-Skeet</v>
      </c>
      <c r="C177" s="88" t="s">
        <v>323</v>
      </c>
      <c r="D177" s="88" t="str">
        <f>INDEX('Tournament Setup'!$B$59:$B$78,MATCH(E177,SquadConcurrents,0))</f>
        <v>Intermediate</v>
      </c>
      <c r="E177" s="88" t="s">
        <v>344</v>
      </c>
      <c r="F177" s="88" t="s">
        <v>143</v>
      </c>
      <c r="G177" s="96" t="str">
        <f>IF(F177="Skeet",IFERROR(INDEX('Shooter-Squad Assignment'!$A:$A,MATCH(C177&amp;"-"&amp;E177&amp;"-"&amp;F177&amp;"-Pos1",'Shooter-Squad Assignment'!$K:$K,0)),""),IF(F177="Trap",IFERROR(INDEX('Shooter-Squad Assignment'!$A:$A,MATCH(C177&amp;"-"&amp;E177&amp;"-"&amp;F177&amp;"-Pos1",'Shooter-Squad Assignment'!$W:$W,0)),""),IF(F177="Sporting Clays",IFERROR(INDEX('Shooter-Squad Assignment'!$A:$A,MATCH(C177&amp;"-"&amp;E177&amp;"-"&amp;F177&amp;"-Pos1",'Shooter-Squad Assignment'!$Z:$Z,0)),""),"")))</f>
        <v/>
      </c>
      <c r="H177" s="88" t="str">
        <f>IF(ISBLANK(G177),"",IFERROR(INDEX('Tournament List'!$D:$D,MATCH(G177,'Tournament List'!$A:$A,0)),""))</f>
        <v/>
      </c>
      <c r="I177" s="96" t="str">
        <f>IF(F177="Skeet",IFERROR(INDEX('Shooter-Squad Assignment'!$A:$A,MATCH(C177&amp;"-"&amp;E177&amp;"-"&amp;F177&amp;"-Pos2",'Shooter-Squad Assignment'!$K:$K,0)),""),IF(F177="Trap",IFERROR(INDEX('Shooter-Squad Assignment'!$A:$A,MATCH(C177&amp;"-"&amp;E177&amp;"-"&amp;F177&amp;"-Pos2",'Shooter-Squad Assignment'!$W:$W,0)),""),IF(F177="Sporting Clays",IFERROR(INDEX('Shooter-Squad Assignment'!$A:$A,MATCH(C177&amp;"-"&amp;E177&amp;"-"&amp;F177&amp;"-Pos2",'Shooter-Squad Assignment'!$Z:$Z,0)),""),"")))</f>
        <v/>
      </c>
      <c r="J177" s="88" t="str">
        <f>IF(ISBLANK(I177),"",IFERROR(INDEX('Tournament List'!$D:$D,MATCH(I177,'Tournament List'!$A:$A,0)),""))</f>
        <v/>
      </c>
      <c r="K177" s="96" t="str">
        <f>IF(F177="Skeet",IFERROR(INDEX('Shooter-Squad Assignment'!$A:$A,MATCH(C177&amp;"-"&amp;E177&amp;"-"&amp;F177&amp;"-Pos3",'Shooter-Squad Assignment'!$K:$K,0)),""),IF(F177="Trap",IFERROR(INDEX('Shooter-Squad Assignment'!$A:$A,MATCH(C177&amp;"-"&amp;E177&amp;"-"&amp;F177&amp;"-Pos3",'Shooter-Squad Assignment'!$W:$W,0)),""),IF(F177="Sporting Clays",IFERROR(INDEX('Shooter-Squad Assignment'!$A:$A,MATCH(C177&amp;"-"&amp;E177&amp;"-"&amp;F177&amp;"-Pos3",'Shooter-Squad Assignment'!$Z:$Z,0)),""),"")))</f>
        <v/>
      </c>
      <c r="L177" s="88" t="str">
        <f>IF(ISBLANK(K177),"",IFERROR(INDEX('Tournament List'!$D:$D,MATCH(K177,'Tournament List'!$A:$A,0)),""))</f>
        <v/>
      </c>
      <c r="M177" s="96" t="str">
        <f>IF(F177="Skeet",IFERROR(INDEX('Shooter-Squad Assignment'!$A:$A,MATCH(C177&amp;"-"&amp;E177&amp;"-"&amp;F177&amp;"-Pos4",'Shooter-Squad Assignment'!$K:$K,0)),""),IF(F177="Trap",IFERROR(INDEX('Shooter-Squad Assignment'!$A:$A,MATCH(C177&amp;"-"&amp;E177&amp;"-"&amp;F177&amp;"-Pos4",'Shooter-Squad Assignment'!$W:$W,0)),""),IF(F177="Sporting Clays",IFERROR(INDEX('Shooter-Squad Assignment'!$A:$A,MATCH(C177&amp;"-"&amp;E177&amp;"-"&amp;F177&amp;"-Pos4",'Shooter-Squad Assignment'!$Z:$Z,0)),""),"")))</f>
        <v/>
      </c>
      <c r="N177" s="88" t="str">
        <f>IF(ISBLANK(M177),"",IFERROR(INDEX('Tournament List'!$D:$D,MATCH(M177,'Tournament List'!$A:$A,0)),""))</f>
        <v/>
      </c>
      <c r="O177" s="96" t="str">
        <f>IF(F177="Skeet",IFERROR(INDEX('Shooter-Squad Assignment'!$A:$A,MATCH(C177&amp;"-"&amp;E177&amp;"-"&amp;F177&amp;"-Pos5",'Shooter-Squad Assignment'!$K:$K,0)),""),IF(F177="Trap",IFERROR(INDEX('Shooter-Squad Assignment'!$A:$A,MATCH(C177&amp;"-"&amp;E177&amp;"-"&amp;F177&amp;"-Pos5",'Shooter-Squad Assignment'!$W:$W,0)),""),IF(F177="Sporting Clays",IFERROR(INDEX('Shooter-Squad Assignment'!$A:$A,MATCH(C177&amp;"-"&amp;E177&amp;"-"&amp;F177&amp;"-Pos5",'Shooter-Squad Assignment'!$Z:$Z,0)),""),"")))</f>
        <v/>
      </c>
      <c r="P177" s="89" t="str">
        <f>IF(ISBLANK(O177),"",IFERROR(INDEX('Tournament List'!$D:$D,MATCH(O177,'Tournament List'!$A:$A,0)),""))</f>
        <v/>
      </c>
    </row>
    <row r="178" spans="1:16" x14ac:dyDescent="0.3">
      <c r="A178" s="87">
        <v>177</v>
      </c>
      <c r="B178" s="88" t="str">
        <f>C178&amp;"-"&amp;E178&amp;"-"&amp;F178</f>
        <v>Littleton Target Masters-Intermediate 3-Skeet</v>
      </c>
      <c r="C178" s="88" t="s">
        <v>323</v>
      </c>
      <c r="D178" s="88" t="str">
        <f>INDEX('Tournament Setup'!$B$59:$B$78,MATCH(E178,SquadConcurrents,0))</f>
        <v>Intermediate</v>
      </c>
      <c r="E178" s="88" t="s">
        <v>350</v>
      </c>
      <c r="F178" s="88" t="s">
        <v>143</v>
      </c>
      <c r="G178" s="96" t="str">
        <f>IF(F178="Skeet",IFERROR(INDEX('Shooter-Squad Assignment'!$A:$A,MATCH(C178&amp;"-"&amp;E178&amp;"-"&amp;F178&amp;"-Pos1",'Shooter-Squad Assignment'!$K:$K,0)),""),IF(F178="Trap",IFERROR(INDEX('Shooter-Squad Assignment'!$A:$A,MATCH(C178&amp;"-"&amp;E178&amp;"-"&amp;F178&amp;"-Pos1",'Shooter-Squad Assignment'!$W:$W,0)),""),IF(F178="Sporting Clays",IFERROR(INDEX('Shooter-Squad Assignment'!$A:$A,MATCH(C178&amp;"-"&amp;E178&amp;"-"&amp;F178&amp;"-Pos1",'Shooter-Squad Assignment'!$Z:$Z,0)),""),"")))</f>
        <v/>
      </c>
      <c r="H178" s="88" t="str">
        <f>IF(ISBLANK(G178),"",IFERROR(INDEX('Tournament List'!$D:$D,MATCH(G178,'Tournament List'!$A:$A,0)),""))</f>
        <v/>
      </c>
      <c r="I178" s="96" t="str">
        <f>IF(F178="Skeet",IFERROR(INDEX('Shooter-Squad Assignment'!$A:$A,MATCH(C178&amp;"-"&amp;E178&amp;"-"&amp;F178&amp;"-Pos2",'Shooter-Squad Assignment'!$K:$K,0)),""),IF(F178="Trap",IFERROR(INDEX('Shooter-Squad Assignment'!$A:$A,MATCH(C178&amp;"-"&amp;E178&amp;"-"&amp;F178&amp;"-Pos2",'Shooter-Squad Assignment'!$W:$W,0)),""),IF(F178="Sporting Clays",IFERROR(INDEX('Shooter-Squad Assignment'!$A:$A,MATCH(C178&amp;"-"&amp;E178&amp;"-"&amp;F178&amp;"-Pos2",'Shooter-Squad Assignment'!$Z:$Z,0)),""),"")))</f>
        <v/>
      </c>
      <c r="J178" s="88" t="str">
        <f>IF(ISBLANK(I178),"",IFERROR(INDEX('Tournament List'!$D:$D,MATCH(I178,'Tournament List'!$A:$A,0)),""))</f>
        <v/>
      </c>
      <c r="K178" s="96" t="str">
        <f>IF(F178="Skeet",IFERROR(INDEX('Shooter-Squad Assignment'!$A:$A,MATCH(C178&amp;"-"&amp;E178&amp;"-"&amp;F178&amp;"-Pos3",'Shooter-Squad Assignment'!$K:$K,0)),""),IF(F178="Trap",IFERROR(INDEX('Shooter-Squad Assignment'!$A:$A,MATCH(C178&amp;"-"&amp;E178&amp;"-"&amp;F178&amp;"-Pos3",'Shooter-Squad Assignment'!$W:$W,0)),""),IF(F178="Sporting Clays",IFERROR(INDEX('Shooter-Squad Assignment'!$A:$A,MATCH(C178&amp;"-"&amp;E178&amp;"-"&amp;F178&amp;"-Pos3",'Shooter-Squad Assignment'!$Z:$Z,0)),""),"")))</f>
        <v/>
      </c>
      <c r="L178" s="88" t="str">
        <f>IF(ISBLANK(K178),"",IFERROR(INDEX('Tournament List'!$D:$D,MATCH(K178,'Tournament List'!$A:$A,0)),""))</f>
        <v/>
      </c>
      <c r="M178" s="96" t="str">
        <f>IF(F178="Skeet",IFERROR(INDEX('Shooter-Squad Assignment'!$A:$A,MATCH(C178&amp;"-"&amp;E178&amp;"-"&amp;F178&amp;"-Pos4",'Shooter-Squad Assignment'!$K:$K,0)),""),IF(F178="Trap",IFERROR(INDEX('Shooter-Squad Assignment'!$A:$A,MATCH(C178&amp;"-"&amp;E178&amp;"-"&amp;F178&amp;"-Pos4",'Shooter-Squad Assignment'!$W:$W,0)),""),IF(F178="Sporting Clays",IFERROR(INDEX('Shooter-Squad Assignment'!$A:$A,MATCH(C178&amp;"-"&amp;E178&amp;"-"&amp;F178&amp;"-Pos4",'Shooter-Squad Assignment'!$Z:$Z,0)),""),"")))</f>
        <v/>
      </c>
      <c r="N178" s="88" t="str">
        <f>IF(ISBLANK(M178),"",IFERROR(INDEX('Tournament List'!$D:$D,MATCH(M178,'Tournament List'!$A:$A,0)),""))</f>
        <v/>
      </c>
      <c r="O178" s="96" t="str">
        <f>IF(F178="Skeet",IFERROR(INDEX('Shooter-Squad Assignment'!$A:$A,MATCH(C178&amp;"-"&amp;E178&amp;"-"&amp;F178&amp;"-Pos5",'Shooter-Squad Assignment'!$K:$K,0)),""),IF(F178="Trap",IFERROR(INDEX('Shooter-Squad Assignment'!$A:$A,MATCH(C178&amp;"-"&amp;E178&amp;"-"&amp;F178&amp;"-Pos5",'Shooter-Squad Assignment'!$W:$W,0)),""),IF(F178="Sporting Clays",IFERROR(INDEX('Shooter-Squad Assignment'!$A:$A,MATCH(C178&amp;"-"&amp;E178&amp;"-"&amp;F178&amp;"-Pos5",'Shooter-Squad Assignment'!$Z:$Z,0)),""),"")))</f>
        <v/>
      </c>
      <c r="P178" s="89" t="str">
        <f>IF(ISBLANK(O178),"",IFERROR(INDEX('Tournament List'!$D:$D,MATCH(O178,'Tournament List'!$A:$A,0)),""))</f>
        <v/>
      </c>
    </row>
    <row r="179" spans="1:16" x14ac:dyDescent="0.3">
      <c r="A179" s="87">
        <v>178</v>
      </c>
      <c r="B179" s="88" t="str">
        <f>C179&amp;"-"&amp;E179&amp;"-"&amp;F179</f>
        <v>Littleton Target Masters-Junior Varsity 1-Skeet</v>
      </c>
      <c r="C179" s="88" t="s">
        <v>323</v>
      </c>
      <c r="D179" s="88" t="str">
        <f>INDEX('Tournament Setup'!$B$59:$B$78,MATCH(E179,SquadConcurrents,0))</f>
        <v>Junior Varsity</v>
      </c>
      <c r="E179" s="88" t="s">
        <v>339</v>
      </c>
      <c r="F179" s="88" t="s">
        <v>143</v>
      </c>
      <c r="G179" s="96" t="str">
        <f>IF(F179="Skeet",IFERROR(INDEX('Shooter-Squad Assignment'!$A:$A,MATCH(C179&amp;"-"&amp;E179&amp;"-"&amp;F179&amp;"-Pos1",'Shooter-Squad Assignment'!$K:$K,0)),""),IF(F179="Trap",IFERROR(INDEX('Shooter-Squad Assignment'!$A:$A,MATCH(C179&amp;"-"&amp;E179&amp;"-"&amp;F179&amp;"-Pos1",'Shooter-Squad Assignment'!$W:$W,0)),""),IF(F179="Sporting Clays",IFERROR(INDEX('Shooter-Squad Assignment'!$A:$A,MATCH(C179&amp;"-"&amp;E179&amp;"-"&amp;F179&amp;"-Pos1",'Shooter-Squad Assignment'!$Z:$Z,0)),""),"")))</f>
        <v/>
      </c>
      <c r="H179" s="88" t="str">
        <f>IF(ISBLANK(G179),"",IFERROR(INDEX('Tournament List'!$D:$D,MATCH(G179,'Tournament List'!$A:$A,0)),""))</f>
        <v/>
      </c>
      <c r="I179" s="96" t="str">
        <f>IF(F179="Skeet",IFERROR(INDEX('Shooter-Squad Assignment'!$A:$A,MATCH(C179&amp;"-"&amp;E179&amp;"-"&amp;F179&amp;"-Pos2",'Shooter-Squad Assignment'!$K:$K,0)),""),IF(F179="Trap",IFERROR(INDEX('Shooter-Squad Assignment'!$A:$A,MATCH(C179&amp;"-"&amp;E179&amp;"-"&amp;F179&amp;"-Pos2",'Shooter-Squad Assignment'!$W:$W,0)),""),IF(F179="Sporting Clays",IFERROR(INDEX('Shooter-Squad Assignment'!$A:$A,MATCH(C179&amp;"-"&amp;E179&amp;"-"&amp;F179&amp;"-Pos2",'Shooter-Squad Assignment'!$Z:$Z,0)),""),"")))</f>
        <v/>
      </c>
      <c r="J179" s="88" t="str">
        <f>IF(ISBLANK(I179),"",IFERROR(INDEX('Tournament List'!$D:$D,MATCH(I179,'Tournament List'!$A:$A,0)),""))</f>
        <v/>
      </c>
      <c r="K179" s="96" t="str">
        <f>IF(F179="Skeet",IFERROR(INDEX('Shooter-Squad Assignment'!$A:$A,MATCH(C179&amp;"-"&amp;E179&amp;"-"&amp;F179&amp;"-Pos3",'Shooter-Squad Assignment'!$K:$K,0)),""),IF(F179="Trap",IFERROR(INDEX('Shooter-Squad Assignment'!$A:$A,MATCH(C179&amp;"-"&amp;E179&amp;"-"&amp;F179&amp;"-Pos3",'Shooter-Squad Assignment'!$W:$W,0)),""),IF(F179="Sporting Clays",IFERROR(INDEX('Shooter-Squad Assignment'!$A:$A,MATCH(C179&amp;"-"&amp;E179&amp;"-"&amp;F179&amp;"-Pos3",'Shooter-Squad Assignment'!$Z:$Z,0)),""),"")))</f>
        <v/>
      </c>
      <c r="L179" s="88" t="str">
        <f>IF(ISBLANK(K179),"",IFERROR(INDEX('Tournament List'!$D:$D,MATCH(K179,'Tournament List'!$A:$A,0)),""))</f>
        <v/>
      </c>
      <c r="M179" s="96" t="str">
        <f>IF(F179="Skeet",IFERROR(INDEX('Shooter-Squad Assignment'!$A:$A,MATCH(C179&amp;"-"&amp;E179&amp;"-"&amp;F179&amp;"-Pos4",'Shooter-Squad Assignment'!$K:$K,0)),""),IF(F179="Trap",IFERROR(INDEX('Shooter-Squad Assignment'!$A:$A,MATCH(C179&amp;"-"&amp;E179&amp;"-"&amp;F179&amp;"-Pos4",'Shooter-Squad Assignment'!$W:$W,0)),""),IF(F179="Sporting Clays",IFERROR(INDEX('Shooter-Squad Assignment'!$A:$A,MATCH(C179&amp;"-"&amp;E179&amp;"-"&amp;F179&amp;"-Pos4",'Shooter-Squad Assignment'!$Z:$Z,0)),""),"")))</f>
        <v/>
      </c>
      <c r="N179" s="88" t="str">
        <f>IF(ISBLANK(M179),"",IFERROR(INDEX('Tournament List'!$D:$D,MATCH(M179,'Tournament List'!$A:$A,0)),""))</f>
        <v/>
      </c>
      <c r="O179" s="96" t="str">
        <f>IF(F179="Skeet",IFERROR(INDEX('Shooter-Squad Assignment'!$A:$A,MATCH(C179&amp;"-"&amp;E179&amp;"-"&amp;F179&amp;"-Pos5",'Shooter-Squad Assignment'!$K:$K,0)),""),IF(F179="Trap",IFERROR(INDEX('Shooter-Squad Assignment'!$A:$A,MATCH(C179&amp;"-"&amp;E179&amp;"-"&amp;F179&amp;"-Pos5",'Shooter-Squad Assignment'!$W:$W,0)),""),IF(F179="Sporting Clays",IFERROR(INDEX('Shooter-Squad Assignment'!$A:$A,MATCH(C179&amp;"-"&amp;E179&amp;"-"&amp;F179&amp;"-Pos5",'Shooter-Squad Assignment'!$Z:$Z,0)),""),"")))</f>
        <v/>
      </c>
      <c r="P179" s="89" t="str">
        <f>IF(ISBLANK(O179),"",IFERROR(INDEX('Tournament List'!$D:$D,MATCH(O179,'Tournament List'!$A:$A,0)),""))</f>
        <v/>
      </c>
    </row>
    <row r="180" spans="1:16" x14ac:dyDescent="0.3">
      <c r="A180" s="87">
        <v>179</v>
      </c>
      <c r="B180" s="88" t="str">
        <f>C180&amp;"-"&amp;E180&amp;"-"&amp;F180</f>
        <v>Littleton Target Masters-Junior Varsity 2-Skeet</v>
      </c>
      <c r="C180" s="88" t="s">
        <v>323</v>
      </c>
      <c r="D180" s="88" t="str">
        <f>INDEX('Tournament Setup'!$B$59:$B$78,MATCH(E180,SquadConcurrents,0))</f>
        <v>Junior Varsity</v>
      </c>
      <c r="E180" s="88" t="s">
        <v>345</v>
      </c>
      <c r="F180" s="88" t="s">
        <v>143</v>
      </c>
      <c r="G180" s="96" t="str">
        <f>IF(F180="Skeet",IFERROR(INDEX('Shooter-Squad Assignment'!$A:$A,MATCH(C180&amp;"-"&amp;E180&amp;"-"&amp;F180&amp;"-Pos1",'Shooter-Squad Assignment'!$K:$K,0)),""),IF(F180="Trap",IFERROR(INDEX('Shooter-Squad Assignment'!$A:$A,MATCH(C180&amp;"-"&amp;E180&amp;"-"&amp;F180&amp;"-Pos1",'Shooter-Squad Assignment'!$W:$W,0)),""),IF(F180="Sporting Clays",IFERROR(INDEX('Shooter-Squad Assignment'!$A:$A,MATCH(C180&amp;"-"&amp;E180&amp;"-"&amp;F180&amp;"-Pos1",'Shooter-Squad Assignment'!$Z:$Z,0)),""),"")))</f>
        <v/>
      </c>
      <c r="H180" s="88" t="str">
        <f>IF(ISBLANK(G180),"",IFERROR(INDEX('Tournament List'!$D:$D,MATCH(G180,'Tournament List'!$A:$A,0)),""))</f>
        <v/>
      </c>
      <c r="I180" s="96" t="str">
        <f>IF(F180="Skeet",IFERROR(INDEX('Shooter-Squad Assignment'!$A:$A,MATCH(C180&amp;"-"&amp;E180&amp;"-"&amp;F180&amp;"-Pos2",'Shooter-Squad Assignment'!$K:$K,0)),""),IF(F180="Trap",IFERROR(INDEX('Shooter-Squad Assignment'!$A:$A,MATCH(C180&amp;"-"&amp;E180&amp;"-"&amp;F180&amp;"-Pos2",'Shooter-Squad Assignment'!$W:$W,0)),""),IF(F180="Sporting Clays",IFERROR(INDEX('Shooter-Squad Assignment'!$A:$A,MATCH(C180&amp;"-"&amp;E180&amp;"-"&amp;F180&amp;"-Pos2",'Shooter-Squad Assignment'!$Z:$Z,0)),""),"")))</f>
        <v/>
      </c>
      <c r="J180" s="88" t="str">
        <f>IF(ISBLANK(I180),"",IFERROR(INDEX('Tournament List'!$D:$D,MATCH(I180,'Tournament List'!$A:$A,0)),""))</f>
        <v/>
      </c>
      <c r="K180" s="96" t="str">
        <f>IF(F180="Skeet",IFERROR(INDEX('Shooter-Squad Assignment'!$A:$A,MATCH(C180&amp;"-"&amp;E180&amp;"-"&amp;F180&amp;"-Pos3",'Shooter-Squad Assignment'!$K:$K,0)),""),IF(F180="Trap",IFERROR(INDEX('Shooter-Squad Assignment'!$A:$A,MATCH(C180&amp;"-"&amp;E180&amp;"-"&amp;F180&amp;"-Pos3",'Shooter-Squad Assignment'!$W:$W,0)),""),IF(F180="Sporting Clays",IFERROR(INDEX('Shooter-Squad Assignment'!$A:$A,MATCH(C180&amp;"-"&amp;E180&amp;"-"&amp;F180&amp;"-Pos3",'Shooter-Squad Assignment'!$Z:$Z,0)),""),"")))</f>
        <v/>
      </c>
      <c r="L180" s="88" t="str">
        <f>IF(ISBLANK(K180),"",IFERROR(INDEX('Tournament List'!$D:$D,MATCH(K180,'Tournament List'!$A:$A,0)),""))</f>
        <v/>
      </c>
      <c r="M180" s="96" t="str">
        <f>IF(F180="Skeet",IFERROR(INDEX('Shooter-Squad Assignment'!$A:$A,MATCH(C180&amp;"-"&amp;E180&amp;"-"&amp;F180&amp;"-Pos4",'Shooter-Squad Assignment'!$K:$K,0)),""),IF(F180="Trap",IFERROR(INDEX('Shooter-Squad Assignment'!$A:$A,MATCH(C180&amp;"-"&amp;E180&amp;"-"&amp;F180&amp;"-Pos4",'Shooter-Squad Assignment'!$W:$W,0)),""),IF(F180="Sporting Clays",IFERROR(INDEX('Shooter-Squad Assignment'!$A:$A,MATCH(C180&amp;"-"&amp;E180&amp;"-"&amp;F180&amp;"-Pos4",'Shooter-Squad Assignment'!$Z:$Z,0)),""),"")))</f>
        <v/>
      </c>
      <c r="N180" s="88" t="str">
        <f>IF(ISBLANK(M180),"",IFERROR(INDEX('Tournament List'!$D:$D,MATCH(M180,'Tournament List'!$A:$A,0)),""))</f>
        <v/>
      </c>
      <c r="O180" s="96" t="str">
        <f>IF(F180="Skeet",IFERROR(INDEX('Shooter-Squad Assignment'!$A:$A,MATCH(C180&amp;"-"&amp;E180&amp;"-"&amp;F180&amp;"-Pos5",'Shooter-Squad Assignment'!$K:$K,0)),""),IF(F180="Trap",IFERROR(INDEX('Shooter-Squad Assignment'!$A:$A,MATCH(C180&amp;"-"&amp;E180&amp;"-"&amp;F180&amp;"-Pos5",'Shooter-Squad Assignment'!$W:$W,0)),""),IF(F180="Sporting Clays",IFERROR(INDEX('Shooter-Squad Assignment'!$A:$A,MATCH(C180&amp;"-"&amp;E180&amp;"-"&amp;F180&amp;"-Pos5",'Shooter-Squad Assignment'!$Z:$Z,0)),""),"")))</f>
        <v/>
      </c>
      <c r="P180" s="89" t="str">
        <f>IF(ISBLANK(O180),"",IFERROR(INDEX('Tournament List'!$D:$D,MATCH(O180,'Tournament List'!$A:$A,0)),""))</f>
        <v/>
      </c>
    </row>
    <row r="181" spans="1:16" x14ac:dyDescent="0.3">
      <c r="A181" s="87">
        <v>180</v>
      </c>
      <c r="B181" s="88" t="str">
        <f>C181&amp;"-"&amp;E181&amp;"-"&amp;F181</f>
        <v>Littleton Target Masters-Junior Varsity 3-Skeet</v>
      </c>
      <c r="C181" s="88" t="s">
        <v>323</v>
      </c>
      <c r="D181" s="88" t="str">
        <f>INDEX('Tournament Setup'!$B$59:$B$78,MATCH(E181,SquadConcurrents,0))</f>
        <v>Junior Varsity</v>
      </c>
      <c r="E181" s="88" t="s">
        <v>351</v>
      </c>
      <c r="F181" s="88" t="s">
        <v>143</v>
      </c>
      <c r="G181" s="96" t="str">
        <f>IF(F181="Skeet",IFERROR(INDEX('Shooter-Squad Assignment'!$A:$A,MATCH(C181&amp;"-"&amp;E181&amp;"-"&amp;F181&amp;"-Pos1",'Shooter-Squad Assignment'!$K:$K,0)),""),IF(F181="Trap",IFERROR(INDEX('Shooter-Squad Assignment'!$A:$A,MATCH(C181&amp;"-"&amp;E181&amp;"-"&amp;F181&amp;"-Pos1",'Shooter-Squad Assignment'!$W:$W,0)),""),IF(F181="Sporting Clays",IFERROR(INDEX('Shooter-Squad Assignment'!$A:$A,MATCH(C181&amp;"-"&amp;E181&amp;"-"&amp;F181&amp;"-Pos1",'Shooter-Squad Assignment'!$Z:$Z,0)),""),"")))</f>
        <v/>
      </c>
      <c r="H181" s="88" t="str">
        <f>IF(ISBLANK(G181),"",IFERROR(INDEX('Tournament List'!$D:$D,MATCH(G181,'Tournament List'!$A:$A,0)),""))</f>
        <v/>
      </c>
      <c r="I181" s="96" t="str">
        <f>IF(F181="Skeet",IFERROR(INDEX('Shooter-Squad Assignment'!$A:$A,MATCH(C181&amp;"-"&amp;E181&amp;"-"&amp;F181&amp;"-Pos2",'Shooter-Squad Assignment'!$K:$K,0)),""),IF(F181="Trap",IFERROR(INDEX('Shooter-Squad Assignment'!$A:$A,MATCH(C181&amp;"-"&amp;E181&amp;"-"&amp;F181&amp;"-Pos2",'Shooter-Squad Assignment'!$W:$W,0)),""),IF(F181="Sporting Clays",IFERROR(INDEX('Shooter-Squad Assignment'!$A:$A,MATCH(C181&amp;"-"&amp;E181&amp;"-"&amp;F181&amp;"-Pos2",'Shooter-Squad Assignment'!$Z:$Z,0)),""),"")))</f>
        <v/>
      </c>
      <c r="J181" s="88" t="str">
        <f>IF(ISBLANK(I181),"",IFERROR(INDEX('Tournament List'!$D:$D,MATCH(I181,'Tournament List'!$A:$A,0)),""))</f>
        <v/>
      </c>
      <c r="K181" s="96" t="str">
        <f>IF(F181="Skeet",IFERROR(INDEX('Shooter-Squad Assignment'!$A:$A,MATCH(C181&amp;"-"&amp;E181&amp;"-"&amp;F181&amp;"-Pos3",'Shooter-Squad Assignment'!$K:$K,0)),""),IF(F181="Trap",IFERROR(INDEX('Shooter-Squad Assignment'!$A:$A,MATCH(C181&amp;"-"&amp;E181&amp;"-"&amp;F181&amp;"-Pos3",'Shooter-Squad Assignment'!$W:$W,0)),""),IF(F181="Sporting Clays",IFERROR(INDEX('Shooter-Squad Assignment'!$A:$A,MATCH(C181&amp;"-"&amp;E181&amp;"-"&amp;F181&amp;"-Pos3",'Shooter-Squad Assignment'!$Z:$Z,0)),""),"")))</f>
        <v/>
      </c>
      <c r="L181" s="88" t="str">
        <f>IF(ISBLANK(K181),"",IFERROR(INDEX('Tournament List'!$D:$D,MATCH(K181,'Tournament List'!$A:$A,0)),""))</f>
        <v/>
      </c>
      <c r="M181" s="96" t="str">
        <f>IF(F181="Skeet",IFERROR(INDEX('Shooter-Squad Assignment'!$A:$A,MATCH(C181&amp;"-"&amp;E181&amp;"-"&amp;F181&amp;"-Pos4",'Shooter-Squad Assignment'!$K:$K,0)),""),IF(F181="Trap",IFERROR(INDEX('Shooter-Squad Assignment'!$A:$A,MATCH(C181&amp;"-"&amp;E181&amp;"-"&amp;F181&amp;"-Pos4",'Shooter-Squad Assignment'!$W:$W,0)),""),IF(F181="Sporting Clays",IFERROR(INDEX('Shooter-Squad Assignment'!$A:$A,MATCH(C181&amp;"-"&amp;E181&amp;"-"&amp;F181&amp;"-Pos4",'Shooter-Squad Assignment'!$Z:$Z,0)),""),"")))</f>
        <v/>
      </c>
      <c r="N181" s="88" t="str">
        <f>IF(ISBLANK(M181),"",IFERROR(INDEX('Tournament List'!$D:$D,MATCH(M181,'Tournament List'!$A:$A,0)),""))</f>
        <v/>
      </c>
      <c r="O181" s="96" t="str">
        <f>IF(F181="Skeet",IFERROR(INDEX('Shooter-Squad Assignment'!$A:$A,MATCH(C181&amp;"-"&amp;E181&amp;"-"&amp;F181&amp;"-Pos5",'Shooter-Squad Assignment'!$K:$K,0)),""),IF(F181="Trap",IFERROR(INDEX('Shooter-Squad Assignment'!$A:$A,MATCH(C181&amp;"-"&amp;E181&amp;"-"&amp;F181&amp;"-Pos5",'Shooter-Squad Assignment'!$W:$W,0)),""),IF(F181="Sporting Clays",IFERROR(INDEX('Shooter-Squad Assignment'!$A:$A,MATCH(C181&amp;"-"&amp;E181&amp;"-"&amp;F181&amp;"-Pos5",'Shooter-Squad Assignment'!$Z:$Z,0)),""),"")))</f>
        <v/>
      </c>
      <c r="P181" s="89" t="str">
        <f>IF(ISBLANK(O181),"",IFERROR(INDEX('Tournament List'!$D:$D,MATCH(O181,'Tournament List'!$A:$A,0)),""))</f>
        <v/>
      </c>
    </row>
    <row r="182" spans="1:16" x14ac:dyDescent="0.3">
      <c r="A182" s="87">
        <v>181</v>
      </c>
      <c r="B182" s="88" t="str">
        <f>C182&amp;"-"&amp;E182&amp;"-"&amp;F182</f>
        <v>Littleton Target Masters-Novice 1-Skeet</v>
      </c>
      <c r="C182" s="88" t="s">
        <v>323</v>
      </c>
      <c r="D182" s="88" t="str">
        <f>INDEX('Tournament Setup'!$B$59:$B$78,MATCH(E182,SquadConcurrents,0))</f>
        <v>Novice</v>
      </c>
      <c r="E182" s="88" t="s">
        <v>337</v>
      </c>
      <c r="F182" s="88" t="s">
        <v>143</v>
      </c>
      <c r="G182" s="96" t="str">
        <f>IF(F182="Skeet",IFERROR(INDEX('Shooter-Squad Assignment'!$A:$A,MATCH(C182&amp;"-"&amp;E182&amp;"-"&amp;F182&amp;"-Pos1",'Shooter-Squad Assignment'!$K:$K,0)),""),IF(F182="Trap",IFERROR(INDEX('Shooter-Squad Assignment'!$A:$A,MATCH(C182&amp;"-"&amp;E182&amp;"-"&amp;F182&amp;"-Pos1",'Shooter-Squad Assignment'!$W:$W,0)),""),IF(F182="Sporting Clays",IFERROR(INDEX('Shooter-Squad Assignment'!$A:$A,MATCH(C182&amp;"-"&amp;E182&amp;"-"&amp;F182&amp;"-Pos1",'Shooter-Squad Assignment'!$Z:$Z,0)),""),"")))</f>
        <v>24-1035</v>
      </c>
      <c r="H182" s="88" t="str">
        <f>IF(ISBLANK(G182),"",IFERROR(INDEX('Tournament List'!$D:$D,MATCH(G182,'Tournament List'!$A:$A,0)),""))</f>
        <v>Randy Last Name36</v>
      </c>
      <c r="I182" s="96" t="str">
        <f>IF(F182="Skeet",IFERROR(INDEX('Shooter-Squad Assignment'!$A:$A,MATCH(C182&amp;"-"&amp;E182&amp;"-"&amp;F182&amp;"-Pos2",'Shooter-Squad Assignment'!$K:$K,0)),""),IF(F182="Trap",IFERROR(INDEX('Shooter-Squad Assignment'!$A:$A,MATCH(C182&amp;"-"&amp;E182&amp;"-"&amp;F182&amp;"-Pos2",'Shooter-Squad Assignment'!$W:$W,0)),""),IF(F182="Sporting Clays",IFERROR(INDEX('Shooter-Squad Assignment'!$A:$A,MATCH(C182&amp;"-"&amp;E182&amp;"-"&amp;F182&amp;"-Pos2",'Shooter-Squad Assignment'!$Z:$Z,0)),""),"")))</f>
        <v>24-1005</v>
      </c>
      <c r="J182" s="88" t="str">
        <f>IF(ISBLANK(I182),"",IFERROR(INDEX('Tournament List'!$D:$D,MATCH(I182,'Tournament List'!$A:$A,0)),""))</f>
        <v>Ben Last Name6</v>
      </c>
      <c r="K182" s="96" t="str">
        <f>IF(F182="Skeet",IFERROR(INDEX('Shooter-Squad Assignment'!$A:$A,MATCH(C182&amp;"-"&amp;E182&amp;"-"&amp;F182&amp;"-Pos3",'Shooter-Squad Assignment'!$K:$K,0)),""),IF(F182="Trap",IFERROR(INDEX('Shooter-Squad Assignment'!$A:$A,MATCH(C182&amp;"-"&amp;E182&amp;"-"&amp;F182&amp;"-Pos3",'Shooter-Squad Assignment'!$W:$W,0)),""),IF(F182="Sporting Clays",IFERROR(INDEX('Shooter-Squad Assignment'!$A:$A,MATCH(C182&amp;"-"&amp;E182&amp;"-"&amp;F182&amp;"-Pos3",'Shooter-Squad Assignment'!$Z:$Z,0)),""),"")))</f>
        <v>24-1041</v>
      </c>
      <c r="L182" s="88" t="str">
        <f>IF(ISBLANK(K182),"",IFERROR(INDEX('Tournament List'!$D:$D,MATCH(K182,'Tournament List'!$A:$A,0)),""))</f>
        <v>Owen Last Name42</v>
      </c>
      <c r="M182" s="96" t="str">
        <f>IF(F182="Skeet",IFERROR(INDEX('Shooter-Squad Assignment'!$A:$A,MATCH(C182&amp;"-"&amp;E182&amp;"-"&amp;F182&amp;"-Pos4",'Shooter-Squad Assignment'!$K:$K,0)),""),IF(F182="Trap",IFERROR(INDEX('Shooter-Squad Assignment'!$A:$A,MATCH(C182&amp;"-"&amp;E182&amp;"-"&amp;F182&amp;"-Pos4",'Shooter-Squad Assignment'!$W:$W,0)),""),IF(F182="Sporting Clays",IFERROR(INDEX('Shooter-Squad Assignment'!$A:$A,MATCH(C182&amp;"-"&amp;E182&amp;"-"&amp;F182&amp;"-Pos4",'Shooter-Squad Assignment'!$Z:$Z,0)),""),"")))</f>
        <v/>
      </c>
      <c r="N182" s="88" t="str">
        <f>IF(ISBLANK(M182),"",IFERROR(INDEX('Tournament List'!$D:$D,MATCH(M182,'Tournament List'!$A:$A,0)),""))</f>
        <v/>
      </c>
      <c r="O182" s="96" t="str">
        <f>IF(F182="Skeet",IFERROR(INDEX('Shooter-Squad Assignment'!$A:$A,MATCH(C182&amp;"-"&amp;E182&amp;"-"&amp;F182&amp;"-Pos5",'Shooter-Squad Assignment'!$K:$K,0)),""),IF(F182="Trap",IFERROR(INDEX('Shooter-Squad Assignment'!$A:$A,MATCH(C182&amp;"-"&amp;E182&amp;"-"&amp;F182&amp;"-Pos5",'Shooter-Squad Assignment'!$W:$W,0)),""),IF(F182="Sporting Clays",IFERROR(INDEX('Shooter-Squad Assignment'!$A:$A,MATCH(C182&amp;"-"&amp;E182&amp;"-"&amp;F182&amp;"-Pos5",'Shooter-Squad Assignment'!$Z:$Z,0)),""),"")))</f>
        <v/>
      </c>
      <c r="P182" s="89" t="str">
        <f>IF(ISBLANK(O182),"",IFERROR(INDEX('Tournament List'!$D:$D,MATCH(O182,'Tournament List'!$A:$A,0)),""))</f>
        <v/>
      </c>
    </row>
    <row r="183" spans="1:16" x14ac:dyDescent="0.3">
      <c r="A183" s="87">
        <v>182</v>
      </c>
      <c r="B183" s="88" t="str">
        <f>C183&amp;"-"&amp;E183&amp;"-"&amp;F183</f>
        <v>Littleton Target Masters-Novice 2-Skeet</v>
      </c>
      <c r="C183" s="88" t="s">
        <v>323</v>
      </c>
      <c r="D183" s="88" t="str">
        <f>INDEX('Tournament Setup'!$B$59:$B$78,MATCH(E183,SquadConcurrents,0))</f>
        <v>Novice</v>
      </c>
      <c r="E183" s="88" t="s">
        <v>343</v>
      </c>
      <c r="F183" s="88" t="s">
        <v>143</v>
      </c>
      <c r="G183" s="96" t="str">
        <f>IF(F183="Skeet",IFERROR(INDEX('Shooter-Squad Assignment'!$A:$A,MATCH(C183&amp;"-"&amp;E183&amp;"-"&amp;F183&amp;"-Pos1",'Shooter-Squad Assignment'!$K:$K,0)),""),IF(F183="Trap",IFERROR(INDEX('Shooter-Squad Assignment'!$A:$A,MATCH(C183&amp;"-"&amp;E183&amp;"-"&amp;F183&amp;"-Pos1",'Shooter-Squad Assignment'!$W:$W,0)),""),IF(F183="Sporting Clays",IFERROR(INDEX('Shooter-Squad Assignment'!$A:$A,MATCH(C183&amp;"-"&amp;E183&amp;"-"&amp;F183&amp;"-Pos1",'Shooter-Squad Assignment'!$Z:$Z,0)),""),"")))</f>
        <v/>
      </c>
      <c r="H183" s="88" t="str">
        <f>IF(ISBLANK(G183),"",IFERROR(INDEX('Tournament List'!$D:$D,MATCH(G183,'Tournament List'!$A:$A,0)),""))</f>
        <v/>
      </c>
      <c r="I183" s="96" t="str">
        <f>IF(F183="Skeet",IFERROR(INDEX('Shooter-Squad Assignment'!$A:$A,MATCH(C183&amp;"-"&amp;E183&amp;"-"&amp;F183&amp;"-Pos2",'Shooter-Squad Assignment'!$K:$K,0)),""),IF(F183="Trap",IFERROR(INDEX('Shooter-Squad Assignment'!$A:$A,MATCH(C183&amp;"-"&amp;E183&amp;"-"&amp;F183&amp;"-Pos2",'Shooter-Squad Assignment'!$W:$W,0)),""),IF(F183="Sporting Clays",IFERROR(INDEX('Shooter-Squad Assignment'!$A:$A,MATCH(C183&amp;"-"&amp;E183&amp;"-"&amp;F183&amp;"-Pos2",'Shooter-Squad Assignment'!$Z:$Z,0)),""),"")))</f>
        <v/>
      </c>
      <c r="J183" s="88" t="str">
        <f>IF(ISBLANK(I183),"",IFERROR(INDEX('Tournament List'!$D:$D,MATCH(I183,'Tournament List'!$A:$A,0)),""))</f>
        <v/>
      </c>
      <c r="K183" s="96" t="str">
        <f>IF(F183="Skeet",IFERROR(INDEX('Shooter-Squad Assignment'!$A:$A,MATCH(C183&amp;"-"&amp;E183&amp;"-"&amp;F183&amp;"-Pos3",'Shooter-Squad Assignment'!$K:$K,0)),""),IF(F183="Trap",IFERROR(INDEX('Shooter-Squad Assignment'!$A:$A,MATCH(C183&amp;"-"&amp;E183&amp;"-"&amp;F183&amp;"-Pos3",'Shooter-Squad Assignment'!$W:$W,0)),""),IF(F183="Sporting Clays",IFERROR(INDEX('Shooter-Squad Assignment'!$A:$A,MATCH(C183&amp;"-"&amp;E183&amp;"-"&amp;F183&amp;"-Pos3",'Shooter-Squad Assignment'!$Z:$Z,0)),""),"")))</f>
        <v/>
      </c>
      <c r="L183" s="88" t="str">
        <f>IF(ISBLANK(K183),"",IFERROR(INDEX('Tournament List'!$D:$D,MATCH(K183,'Tournament List'!$A:$A,0)),""))</f>
        <v/>
      </c>
      <c r="M183" s="96" t="str">
        <f>IF(F183="Skeet",IFERROR(INDEX('Shooter-Squad Assignment'!$A:$A,MATCH(C183&amp;"-"&amp;E183&amp;"-"&amp;F183&amp;"-Pos4",'Shooter-Squad Assignment'!$K:$K,0)),""),IF(F183="Trap",IFERROR(INDEX('Shooter-Squad Assignment'!$A:$A,MATCH(C183&amp;"-"&amp;E183&amp;"-"&amp;F183&amp;"-Pos4",'Shooter-Squad Assignment'!$W:$W,0)),""),IF(F183="Sporting Clays",IFERROR(INDEX('Shooter-Squad Assignment'!$A:$A,MATCH(C183&amp;"-"&amp;E183&amp;"-"&amp;F183&amp;"-Pos4",'Shooter-Squad Assignment'!$Z:$Z,0)),""),"")))</f>
        <v/>
      </c>
      <c r="N183" s="88" t="str">
        <f>IF(ISBLANK(M183),"",IFERROR(INDEX('Tournament List'!$D:$D,MATCH(M183,'Tournament List'!$A:$A,0)),""))</f>
        <v/>
      </c>
      <c r="O183" s="96" t="str">
        <f>IF(F183="Skeet",IFERROR(INDEX('Shooter-Squad Assignment'!$A:$A,MATCH(C183&amp;"-"&amp;E183&amp;"-"&amp;F183&amp;"-Pos5",'Shooter-Squad Assignment'!$K:$K,0)),""),IF(F183="Trap",IFERROR(INDEX('Shooter-Squad Assignment'!$A:$A,MATCH(C183&amp;"-"&amp;E183&amp;"-"&amp;F183&amp;"-Pos5",'Shooter-Squad Assignment'!$W:$W,0)),""),IF(F183="Sporting Clays",IFERROR(INDEX('Shooter-Squad Assignment'!$A:$A,MATCH(C183&amp;"-"&amp;E183&amp;"-"&amp;F183&amp;"-Pos5",'Shooter-Squad Assignment'!$Z:$Z,0)),""),"")))</f>
        <v/>
      </c>
      <c r="P183" s="89" t="str">
        <f>IF(ISBLANK(O183),"",IFERROR(INDEX('Tournament List'!$D:$D,MATCH(O183,'Tournament List'!$A:$A,0)),""))</f>
        <v/>
      </c>
    </row>
    <row r="184" spans="1:16" x14ac:dyDescent="0.3">
      <c r="A184" s="87">
        <v>183</v>
      </c>
      <c r="B184" s="88" t="str">
        <f>C184&amp;"-"&amp;E184&amp;"-"&amp;F184</f>
        <v>Littleton Target Masters-Novice 3-Skeet</v>
      </c>
      <c r="C184" s="88" t="s">
        <v>323</v>
      </c>
      <c r="D184" s="88" t="str">
        <f>INDEX('Tournament Setup'!$B$59:$B$78,MATCH(E184,SquadConcurrents,0))</f>
        <v>Novice</v>
      </c>
      <c r="E184" s="88" t="s">
        <v>349</v>
      </c>
      <c r="F184" s="88" t="s">
        <v>143</v>
      </c>
      <c r="G184" s="96" t="str">
        <f>IF(F184="Skeet",IFERROR(INDEX('Shooter-Squad Assignment'!$A:$A,MATCH(C184&amp;"-"&amp;E184&amp;"-"&amp;F184&amp;"-Pos1",'Shooter-Squad Assignment'!$K:$K,0)),""),IF(F184="Trap",IFERROR(INDEX('Shooter-Squad Assignment'!$A:$A,MATCH(C184&amp;"-"&amp;E184&amp;"-"&amp;F184&amp;"-Pos1",'Shooter-Squad Assignment'!$W:$W,0)),""),IF(F184="Sporting Clays",IFERROR(INDEX('Shooter-Squad Assignment'!$A:$A,MATCH(C184&amp;"-"&amp;E184&amp;"-"&amp;F184&amp;"-Pos1",'Shooter-Squad Assignment'!$Z:$Z,0)),""),"")))</f>
        <v/>
      </c>
      <c r="H184" s="88" t="str">
        <f>IF(ISBLANK(G184),"",IFERROR(INDEX('Tournament List'!$D:$D,MATCH(G184,'Tournament List'!$A:$A,0)),""))</f>
        <v/>
      </c>
      <c r="I184" s="96" t="str">
        <f>IF(F184="Skeet",IFERROR(INDEX('Shooter-Squad Assignment'!$A:$A,MATCH(C184&amp;"-"&amp;E184&amp;"-"&amp;F184&amp;"-Pos2",'Shooter-Squad Assignment'!$K:$K,0)),""),IF(F184="Trap",IFERROR(INDEX('Shooter-Squad Assignment'!$A:$A,MATCH(C184&amp;"-"&amp;E184&amp;"-"&amp;F184&amp;"-Pos2",'Shooter-Squad Assignment'!$W:$W,0)),""),IF(F184="Sporting Clays",IFERROR(INDEX('Shooter-Squad Assignment'!$A:$A,MATCH(C184&amp;"-"&amp;E184&amp;"-"&amp;F184&amp;"-Pos2",'Shooter-Squad Assignment'!$Z:$Z,0)),""),"")))</f>
        <v/>
      </c>
      <c r="J184" s="88" t="str">
        <f>IF(ISBLANK(I184),"",IFERROR(INDEX('Tournament List'!$D:$D,MATCH(I184,'Tournament List'!$A:$A,0)),""))</f>
        <v/>
      </c>
      <c r="K184" s="96" t="str">
        <f>IF(F184="Skeet",IFERROR(INDEX('Shooter-Squad Assignment'!$A:$A,MATCH(C184&amp;"-"&amp;E184&amp;"-"&amp;F184&amp;"-Pos3",'Shooter-Squad Assignment'!$K:$K,0)),""),IF(F184="Trap",IFERROR(INDEX('Shooter-Squad Assignment'!$A:$A,MATCH(C184&amp;"-"&amp;E184&amp;"-"&amp;F184&amp;"-Pos3",'Shooter-Squad Assignment'!$W:$W,0)),""),IF(F184="Sporting Clays",IFERROR(INDEX('Shooter-Squad Assignment'!$A:$A,MATCH(C184&amp;"-"&amp;E184&amp;"-"&amp;F184&amp;"-Pos3",'Shooter-Squad Assignment'!$Z:$Z,0)),""),"")))</f>
        <v/>
      </c>
      <c r="L184" s="88" t="str">
        <f>IF(ISBLANK(K184),"",IFERROR(INDEX('Tournament List'!$D:$D,MATCH(K184,'Tournament List'!$A:$A,0)),""))</f>
        <v/>
      </c>
      <c r="M184" s="96" t="str">
        <f>IF(F184="Skeet",IFERROR(INDEX('Shooter-Squad Assignment'!$A:$A,MATCH(C184&amp;"-"&amp;E184&amp;"-"&amp;F184&amp;"-Pos4",'Shooter-Squad Assignment'!$K:$K,0)),""),IF(F184="Trap",IFERROR(INDEX('Shooter-Squad Assignment'!$A:$A,MATCH(C184&amp;"-"&amp;E184&amp;"-"&amp;F184&amp;"-Pos4",'Shooter-Squad Assignment'!$W:$W,0)),""),IF(F184="Sporting Clays",IFERROR(INDEX('Shooter-Squad Assignment'!$A:$A,MATCH(C184&amp;"-"&amp;E184&amp;"-"&amp;F184&amp;"-Pos4",'Shooter-Squad Assignment'!$Z:$Z,0)),""),"")))</f>
        <v/>
      </c>
      <c r="N184" s="88" t="str">
        <f>IF(ISBLANK(M184),"",IFERROR(INDEX('Tournament List'!$D:$D,MATCH(M184,'Tournament List'!$A:$A,0)),""))</f>
        <v/>
      </c>
      <c r="O184" s="96" t="str">
        <f>IF(F184="Skeet",IFERROR(INDEX('Shooter-Squad Assignment'!$A:$A,MATCH(C184&amp;"-"&amp;E184&amp;"-"&amp;F184&amp;"-Pos5",'Shooter-Squad Assignment'!$K:$K,0)),""),IF(F184="Trap",IFERROR(INDEX('Shooter-Squad Assignment'!$A:$A,MATCH(C184&amp;"-"&amp;E184&amp;"-"&amp;F184&amp;"-Pos5",'Shooter-Squad Assignment'!$W:$W,0)),""),IF(F184="Sporting Clays",IFERROR(INDEX('Shooter-Squad Assignment'!$A:$A,MATCH(C184&amp;"-"&amp;E184&amp;"-"&amp;F184&amp;"-Pos5",'Shooter-Squad Assignment'!$Z:$Z,0)),""),"")))</f>
        <v/>
      </c>
      <c r="P184" s="89" t="str">
        <f>IF(ISBLANK(O184),"",IFERROR(INDEX('Tournament List'!$D:$D,MATCH(O184,'Tournament List'!$A:$A,0)),""))</f>
        <v/>
      </c>
    </row>
    <row r="185" spans="1:16" x14ac:dyDescent="0.3">
      <c r="A185" s="87">
        <v>184</v>
      </c>
      <c r="B185" s="88" t="str">
        <f>C185&amp;"-"&amp;E185&amp;"-"&amp;F185</f>
        <v>Littleton Target Masters-Open 1-Skeet</v>
      </c>
      <c r="C185" s="88" t="s">
        <v>323</v>
      </c>
      <c r="D185" s="88" t="str">
        <f>INDEX('Tournament Setup'!$B$59:$B$78,MATCH(E185,SquadConcurrents,0))</f>
        <v>Open</v>
      </c>
      <c r="E185" s="88" t="s">
        <v>341</v>
      </c>
      <c r="F185" s="88" t="s">
        <v>143</v>
      </c>
      <c r="G185" s="96" t="str">
        <f>IF(F185="Skeet",IFERROR(INDEX('Shooter-Squad Assignment'!$A:$A,MATCH(C185&amp;"-"&amp;E185&amp;"-"&amp;F185&amp;"-Pos1",'Shooter-Squad Assignment'!$K:$K,0)),""),IF(F185="Trap",IFERROR(INDEX('Shooter-Squad Assignment'!$A:$A,MATCH(C185&amp;"-"&amp;E185&amp;"-"&amp;F185&amp;"-Pos1",'Shooter-Squad Assignment'!$W:$W,0)),""),IF(F185="Sporting Clays",IFERROR(INDEX('Shooter-Squad Assignment'!$A:$A,MATCH(C185&amp;"-"&amp;E185&amp;"-"&amp;F185&amp;"-Pos1",'Shooter-Squad Assignment'!$Z:$Z,0)),""),"")))</f>
        <v/>
      </c>
      <c r="H185" s="88" t="str">
        <f>IF(ISBLANK(G185),"",IFERROR(INDEX('Tournament List'!$D:$D,MATCH(G185,'Tournament List'!$A:$A,0)),""))</f>
        <v/>
      </c>
      <c r="I185" s="96" t="str">
        <f>IF(F185="Skeet",IFERROR(INDEX('Shooter-Squad Assignment'!$A:$A,MATCH(C185&amp;"-"&amp;E185&amp;"-"&amp;F185&amp;"-Pos2",'Shooter-Squad Assignment'!$K:$K,0)),""),IF(F185="Trap",IFERROR(INDEX('Shooter-Squad Assignment'!$A:$A,MATCH(C185&amp;"-"&amp;E185&amp;"-"&amp;F185&amp;"-Pos2",'Shooter-Squad Assignment'!$W:$W,0)),""),IF(F185="Sporting Clays",IFERROR(INDEX('Shooter-Squad Assignment'!$A:$A,MATCH(C185&amp;"-"&amp;E185&amp;"-"&amp;F185&amp;"-Pos2",'Shooter-Squad Assignment'!$Z:$Z,0)),""),"")))</f>
        <v/>
      </c>
      <c r="J185" s="88" t="str">
        <f>IF(ISBLANK(I185),"",IFERROR(INDEX('Tournament List'!$D:$D,MATCH(I185,'Tournament List'!$A:$A,0)),""))</f>
        <v/>
      </c>
      <c r="K185" s="96" t="str">
        <f>IF(F185="Skeet",IFERROR(INDEX('Shooter-Squad Assignment'!$A:$A,MATCH(C185&amp;"-"&amp;E185&amp;"-"&amp;F185&amp;"-Pos3",'Shooter-Squad Assignment'!$K:$K,0)),""),IF(F185="Trap",IFERROR(INDEX('Shooter-Squad Assignment'!$A:$A,MATCH(C185&amp;"-"&amp;E185&amp;"-"&amp;F185&amp;"-Pos3",'Shooter-Squad Assignment'!$W:$W,0)),""),IF(F185="Sporting Clays",IFERROR(INDEX('Shooter-Squad Assignment'!$A:$A,MATCH(C185&amp;"-"&amp;E185&amp;"-"&amp;F185&amp;"-Pos3",'Shooter-Squad Assignment'!$Z:$Z,0)),""),"")))</f>
        <v/>
      </c>
      <c r="L185" s="88" t="str">
        <f>IF(ISBLANK(K185),"",IFERROR(INDEX('Tournament List'!$D:$D,MATCH(K185,'Tournament List'!$A:$A,0)),""))</f>
        <v/>
      </c>
      <c r="M185" s="96" t="str">
        <f>IF(F185="Skeet",IFERROR(INDEX('Shooter-Squad Assignment'!$A:$A,MATCH(C185&amp;"-"&amp;E185&amp;"-"&amp;F185&amp;"-Pos4",'Shooter-Squad Assignment'!$K:$K,0)),""),IF(F185="Trap",IFERROR(INDEX('Shooter-Squad Assignment'!$A:$A,MATCH(C185&amp;"-"&amp;E185&amp;"-"&amp;F185&amp;"-Pos4",'Shooter-Squad Assignment'!$W:$W,0)),""),IF(F185="Sporting Clays",IFERROR(INDEX('Shooter-Squad Assignment'!$A:$A,MATCH(C185&amp;"-"&amp;E185&amp;"-"&amp;F185&amp;"-Pos4",'Shooter-Squad Assignment'!$Z:$Z,0)),""),"")))</f>
        <v/>
      </c>
      <c r="N185" s="88" t="str">
        <f>IF(ISBLANK(M185),"",IFERROR(INDEX('Tournament List'!$D:$D,MATCH(M185,'Tournament List'!$A:$A,0)),""))</f>
        <v/>
      </c>
      <c r="O185" s="96" t="str">
        <f>IF(F185="Skeet",IFERROR(INDEX('Shooter-Squad Assignment'!$A:$A,MATCH(C185&amp;"-"&amp;E185&amp;"-"&amp;F185&amp;"-Pos5",'Shooter-Squad Assignment'!$K:$K,0)),""),IF(F185="Trap",IFERROR(INDEX('Shooter-Squad Assignment'!$A:$A,MATCH(C185&amp;"-"&amp;E185&amp;"-"&amp;F185&amp;"-Pos5",'Shooter-Squad Assignment'!$W:$W,0)),""),IF(F185="Sporting Clays",IFERROR(INDEX('Shooter-Squad Assignment'!$A:$A,MATCH(C185&amp;"-"&amp;E185&amp;"-"&amp;F185&amp;"-Pos5",'Shooter-Squad Assignment'!$Z:$Z,0)),""),"")))</f>
        <v/>
      </c>
      <c r="P185" s="89" t="str">
        <f>IF(ISBLANK(O185),"",IFERROR(INDEX('Tournament List'!$D:$D,MATCH(O185,'Tournament List'!$A:$A,0)),""))</f>
        <v/>
      </c>
    </row>
    <row r="186" spans="1:16" x14ac:dyDescent="0.3">
      <c r="A186" s="87">
        <v>185</v>
      </c>
      <c r="B186" s="88" t="str">
        <f>C186&amp;"-"&amp;E186&amp;"-"&amp;F186</f>
        <v>Littleton Target Masters-Open 2-Skeet</v>
      </c>
      <c r="C186" s="88" t="s">
        <v>323</v>
      </c>
      <c r="D186" s="88" t="str">
        <f>INDEX('Tournament Setup'!$B$59:$B$78,MATCH(E186,SquadConcurrents,0))</f>
        <v>Open</v>
      </c>
      <c r="E186" s="88" t="s">
        <v>347</v>
      </c>
      <c r="F186" s="88" t="s">
        <v>143</v>
      </c>
      <c r="G186" s="96" t="str">
        <f>IF(F186="Skeet",IFERROR(INDEX('Shooter-Squad Assignment'!$A:$A,MATCH(C186&amp;"-"&amp;E186&amp;"-"&amp;F186&amp;"-Pos1",'Shooter-Squad Assignment'!$K:$K,0)),""),IF(F186="Trap",IFERROR(INDEX('Shooter-Squad Assignment'!$A:$A,MATCH(C186&amp;"-"&amp;E186&amp;"-"&amp;F186&amp;"-Pos1",'Shooter-Squad Assignment'!$W:$W,0)),""),IF(F186="Sporting Clays",IFERROR(INDEX('Shooter-Squad Assignment'!$A:$A,MATCH(C186&amp;"-"&amp;E186&amp;"-"&amp;F186&amp;"-Pos1",'Shooter-Squad Assignment'!$Z:$Z,0)),""),"")))</f>
        <v/>
      </c>
      <c r="H186" s="88" t="str">
        <f>IF(ISBLANK(G186),"",IFERROR(INDEX('Tournament List'!$D:$D,MATCH(G186,'Tournament List'!$A:$A,0)),""))</f>
        <v/>
      </c>
      <c r="I186" s="96" t="str">
        <f>IF(F186="Skeet",IFERROR(INDEX('Shooter-Squad Assignment'!$A:$A,MATCH(C186&amp;"-"&amp;E186&amp;"-"&amp;F186&amp;"-Pos2",'Shooter-Squad Assignment'!$K:$K,0)),""),IF(F186="Trap",IFERROR(INDEX('Shooter-Squad Assignment'!$A:$A,MATCH(C186&amp;"-"&amp;E186&amp;"-"&amp;F186&amp;"-Pos2",'Shooter-Squad Assignment'!$W:$W,0)),""),IF(F186="Sporting Clays",IFERROR(INDEX('Shooter-Squad Assignment'!$A:$A,MATCH(C186&amp;"-"&amp;E186&amp;"-"&amp;F186&amp;"-Pos2",'Shooter-Squad Assignment'!$Z:$Z,0)),""),"")))</f>
        <v/>
      </c>
      <c r="J186" s="88" t="str">
        <f>IF(ISBLANK(I186),"",IFERROR(INDEX('Tournament List'!$D:$D,MATCH(I186,'Tournament List'!$A:$A,0)),""))</f>
        <v/>
      </c>
      <c r="K186" s="96" t="str">
        <f>IF(F186="Skeet",IFERROR(INDEX('Shooter-Squad Assignment'!$A:$A,MATCH(C186&amp;"-"&amp;E186&amp;"-"&amp;F186&amp;"-Pos3",'Shooter-Squad Assignment'!$K:$K,0)),""),IF(F186="Trap",IFERROR(INDEX('Shooter-Squad Assignment'!$A:$A,MATCH(C186&amp;"-"&amp;E186&amp;"-"&amp;F186&amp;"-Pos3",'Shooter-Squad Assignment'!$W:$W,0)),""),IF(F186="Sporting Clays",IFERROR(INDEX('Shooter-Squad Assignment'!$A:$A,MATCH(C186&amp;"-"&amp;E186&amp;"-"&amp;F186&amp;"-Pos3",'Shooter-Squad Assignment'!$Z:$Z,0)),""),"")))</f>
        <v/>
      </c>
      <c r="L186" s="88" t="str">
        <f>IF(ISBLANK(K186),"",IFERROR(INDEX('Tournament List'!$D:$D,MATCH(K186,'Tournament List'!$A:$A,0)),""))</f>
        <v/>
      </c>
      <c r="M186" s="96" t="str">
        <f>IF(F186="Skeet",IFERROR(INDEX('Shooter-Squad Assignment'!$A:$A,MATCH(C186&amp;"-"&amp;E186&amp;"-"&amp;F186&amp;"-Pos4",'Shooter-Squad Assignment'!$K:$K,0)),""),IF(F186="Trap",IFERROR(INDEX('Shooter-Squad Assignment'!$A:$A,MATCH(C186&amp;"-"&amp;E186&amp;"-"&amp;F186&amp;"-Pos4",'Shooter-Squad Assignment'!$W:$W,0)),""),IF(F186="Sporting Clays",IFERROR(INDEX('Shooter-Squad Assignment'!$A:$A,MATCH(C186&amp;"-"&amp;E186&amp;"-"&amp;F186&amp;"-Pos4",'Shooter-Squad Assignment'!$Z:$Z,0)),""),"")))</f>
        <v/>
      </c>
      <c r="N186" s="88" t="str">
        <f>IF(ISBLANK(M186),"",IFERROR(INDEX('Tournament List'!$D:$D,MATCH(M186,'Tournament List'!$A:$A,0)),""))</f>
        <v/>
      </c>
      <c r="O186" s="96" t="str">
        <f>IF(F186="Skeet",IFERROR(INDEX('Shooter-Squad Assignment'!$A:$A,MATCH(C186&amp;"-"&amp;E186&amp;"-"&amp;F186&amp;"-Pos5",'Shooter-Squad Assignment'!$K:$K,0)),""),IF(F186="Trap",IFERROR(INDEX('Shooter-Squad Assignment'!$A:$A,MATCH(C186&amp;"-"&amp;E186&amp;"-"&amp;F186&amp;"-Pos5",'Shooter-Squad Assignment'!$W:$W,0)),""),IF(F186="Sporting Clays",IFERROR(INDEX('Shooter-Squad Assignment'!$A:$A,MATCH(C186&amp;"-"&amp;E186&amp;"-"&amp;F186&amp;"-Pos5",'Shooter-Squad Assignment'!$Z:$Z,0)),""),"")))</f>
        <v/>
      </c>
      <c r="P186" s="89" t="str">
        <f>IF(ISBLANK(O186),"",IFERROR(INDEX('Tournament List'!$D:$D,MATCH(O186,'Tournament List'!$A:$A,0)),""))</f>
        <v/>
      </c>
    </row>
    <row r="187" spans="1:16" x14ac:dyDescent="0.3">
      <c r="A187" s="87">
        <v>186</v>
      </c>
      <c r="B187" s="88" t="str">
        <f>C187&amp;"-"&amp;E187&amp;"-"&amp;F187</f>
        <v>Littleton Target Masters-Open 3-Skeet</v>
      </c>
      <c r="C187" s="88" t="s">
        <v>323</v>
      </c>
      <c r="D187" s="88" t="str">
        <f>INDEX('Tournament Setup'!$B$59:$B$78,MATCH(E187,SquadConcurrents,0))</f>
        <v>Open</v>
      </c>
      <c r="E187" s="88" t="s">
        <v>353</v>
      </c>
      <c r="F187" s="88" t="s">
        <v>143</v>
      </c>
      <c r="G187" s="96" t="str">
        <f>IF(F187="Skeet",IFERROR(INDEX('Shooter-Squad Assignment'!$A:$A,MATCH(C187&amp;"-"&amp;E187&amp;"-"&amp;F187&amp;"-Pos1",'Shooter-Squad Assignment'!$K:$K,0)),""),IF(F187="Trap",IFERROR(INDEX('Shooter-Squad Assignment'!$A:$A,MATCH(C187&amp;"-"&amp;E187&amp;"-"&amp;F187&amp;"-Pos1",'Shooter-Squad Assignment'!$W:$W,0)),""),IF(F187="Sporting Clays",IFERROR(INDEX('Shooter-Squad Assignment'!$A:$A,MATCH(C187&amp;"-"&amp;E187&amp;"-"&amp;F187&amp;"-Pos1",'Shooter-Squad Assignment'!$Z:$Z,0)),""),"")))</f>
        <v/>
      </c>
      <c r="H187" s="88" t="str">
        <f>IF(ISBLANK(G187),"",IFERROR(INDEX('Tournament List'!$D:$D,MATCH(G187,'Tournament List'!$A:$A,0)),""))</f>
        <v/>
      </c>
      <c r="I187" s="96" t="str">
        <f>IF(F187="Skeet",IFERROR(INDEX('Shooter-Squad Assignment'!$A:$A,MATCH(C187&amp;"-"&amp;E187&amp;"-"&amp;F187&amp;"-Pos2",'Shooter-Squad Assignment'!$K:$K,0)),""),IF(F187="Trap",IFERROR(INDEX('Shooter-Squad Assignment'!$A:$A,MATCH(C187&amp;"-"&amp;E187&amp;"-"&amp;F187&amp;"-Pos2",'Shooter-Squad Assignment'!$W:$W,0)),""),IF(F187="Sporting Clays",IFERROR(INDEX('Shooter-Squad Assignment'!$A:$A,MATCH(C187&amp;"-"&amp;E187&amp;"-"&amp;F187&amp;"-Pos2",'Shooter-Squad Assignment'!$Z:$Z,0)),""),"")))</f>
        <v/>
      </c>
      <c r="J187" s="88" t="str">
        <f>IF(ISBLANK(I187),"",IFERROR(INDEX('Tournament List'!$D:$D,MATCH(I187,'Tournament List'!$A:$A,0)),""))</f>
        <v/>
      </c>
      <c r="K187" s="96" t="str">
        <f>IF(F187="Skeet",IFERROR(INDEX('Shooter-Squad Assignment'!$A:$A,MATCH(C187&amp;"-"&amp;E187&amp;"-"&amp;F187&amp;"-Pos3",'Shooter-Squad Assignment'!$K:$K,0)),""),IF(F187="Trap",IFERROR(INDEX('Shooter-Squad Assignment'!$A:$A,MATCH(C187&amp;"-"&amp;E187&amp;"-"&amp;F187&amp;"-Pos3",'Shooter-Squad Assignment'!$W:$W,0)),""),IF(F187="Sporting Clays",IFERROR(INDEX('Shooter-Squad Assignment'!$A:$A,MATCH(C187&amp;"-"&amp;E187&amp;"-"&amp;F187&amp;"-Pos3",'Shooter-Squad Assignment'!$Z:$Z,0)),""),"")))</f>
        <v/>
      </c>
      <c r="L187" s="88" t="str">
        <f>IF(ISBLANK(K187),"",IFERROR(INDEX('Tournament List'!$D:$D,MATCH(K187,'Tournament List'!$A:$A,0)),""))</f>
        <v/>
      </c>
      <c r="M187" s="96" t="str">
        <f>IF(F187="Skeet",IFERROR(INDEX('Shooter-Squad Assignment'!$A:$A,MATCH(C187&amp;"-"&amp;E187&amp;"-"&amp;F187&amp;"-Pos4",'Shooter-Squad Assignment'!$K:$K,0)),""),IF(F187="Trap",IFERROR(INDEX('Shooter-Squad Assignment'!$A:$A,MATCH(C187&amp;"-"&amp;E187&amp;"-"&amp;F187&amp;"-Pos4",'Shooter-Squad Assignment'!$W:$W,0)),""),IF(F187="Sporting Clays",IFERROR(INDEX('Shooter-Squad Assignment'!$A:$A,MATCH(C187&amp;"-"&amp;E187&amp;"-"&amp;F187&amp;"-Pos4",'Shooter-Squad Assignment'!$Z:$Z,0)),""),"")))</f>
        <v/>
      </c>
      <c r="N187" s="88" t="str">
        <f>IF(ISBLANK(M187),"",IFERROR(INDEX('Tournament List'!$D:$D,MATCH(M187,'Tournament List'!$A:$A,0)),""))</f>
        <v/>
      </c>
      <c r="O187" s="96" t="str">
        <f>IF(F187="Skeet",IFERROR(INDEX('Shooter-Squad Assignment'!$A:$A,MATCH(C187&amp;"-"&amp;E187&amp;"-"&amp;F187&amp;"-Pos5",'Shooter-Squad Assignment'!$K:$K,0)),""),IF(F187="Trap",IFERROR(INDEX('Shooter-Squad Assignment'!$A:$A,MATCH(C187&amp;"-"&amp;E187&amp;"-"&amp;F187&amp;"-Pos5",'Shooter-Squad Assignment'!$W:$W,0)),""),IF(F187="Sporting Clays",IFERROR(INDEX('Shooter-Squad Assignment'!$A:$A,MATCH(C187&amp;"-"&amp;E187&amp;"-"&amp;F187&amp;"-Pos5",'Shooter-Squad Assignment'!$Z:$Z,0)),""),"")))</f>
        <v/>
      </c>
      <c r="P187" s="89" t="str">
        <f>IF(ISBLANK(O187),"",IFERROR(INDEX('Tournament List'!$D:$D,MATCH(O187,'Tournament List'!$A:$A,0)),""))</f>
        <v/>
      </c>
    </row>
    <row r="188" spans="1:16" x14ac:dyDescent="0.3">
      <c r="A188" s="87">
        <v>187</v>
      </c>
      <c r="B188" s="88" t="str">
        <f>C188&amp;"-"&amp;E188&amp;"-"&amp;F188</f>
        <v>Littleton Target Masters-Unassigned 1-Skeet</v>
      </c>
      <c r="C188" s="88" t="s">
        <v>323</v>
      </c>
      <c r="D188" s="88" t="str">
        <f>INDEX('Tournament Setup'!$B$59:$B$78,MATCH(E188,SquadConcurrents,0))</f>
        <v>Unassigned</v>
      </c>
      <c r="E188" s="88" t="s">
        <v>762</v>
      </c>
      <c r="F188" s="88" t="s">
        <v>143</v>
      </c>
      <c r="G188" s="96" t="str">
        <f>IF(F188="Skeet",IFERROR(INDEX('Shooter-Squad Assignment'!$A:$A,MATCH(C188&amp;"-"&amp;E188&amp;"-"&amp;F188&amp;"-Pos1",'Shooter-Squad Assignment'!$K:$K,0)),""),IF(F188="Trap",IFERROR(INDEX('Shooter-Squad Assignment'!$A:$A,MATCH(C188&amp;"-"&amp;E188&amp;"-"&amp;F188&amp;"-Pos1",'Shooter-Squad Assignment'!$W:$W,0)),""),IF(F188="Sporting Clays",IFERROR(INDEX('Shooter-Squad Assignment'!$A:$A,MATCH(C188&amp;"-"&amp;E188&amp;"-"&amp;F188&amp;"-Pos1",'Shooter-Squad Assignment'!$Z:$Z,0)),""),"")))</f>
        <v/>
      </c>
      <c r="H188" s="88" t="str">
        <f>IF(ISBLANK(G188),"",IFERROR(INDEX('Tournament List'!$D:$D,MATCH(G188,'Tournament List'!$A:$A,0)),""))</f>
        <v/>
      </c>
      <c r="I188" s="96" t="str">
        <f>IF(F188="Skeet",IFERROR(INDEX('Shooter-Squad Assignment'!$A:$A,MATCH(C188&amp;"-"&amp;E188&amp;"-"&amp;F188&amp;"-Pos2",'Shooter-Squad Assignment'!$K:$K,0)),""),IF(F188="Trap",IFERROR(INDEX('Shooter-Squad Assignment'!$A:$A,MATCH(C188&amp;"-"&amp;E188&amp;"-"&amp;F188&amp;"-Pos2",'Shooter-Squad Assignment'!$W:$W,0)),""),IF(F188="Sporting Clays",IFERROR(INDEX('Shooter-Squad Assignment'!$A:$A,MATCH(C188&amp;"-"&amp;E188&amp;"-"&amp;F188&amp;"-Pos2",'Shooter-Squad Assignment'!$Z:$Z,0)),""),"")))</f>
        <v/>
      </c>
      <c r="J188" s="88" t="str">
        <f>IF(ISBLANK(I188),"",IFERROR(INDEX('Tournament List'!$D:$D,MATCH(I188,'Tournament List'!$A:$A,0)),""))</f>
        <v/>
      </c>
      <c r="K188" s="96" t="str">
        <f>IF(F188="Skeet",IFERROR(INDEX('Shooter-Squad Assignment'!$A:$A,MATCH(C188&amp;"-"&amp;E188&amp;"-"&amp;F188&amp;"-Pos3",'Shooter-Squad Assignment'!$K:$K,0)),""),IF(F188="Trap",IFERROR(INDEX('Shooter-Squad Assignment'!$A:$A,MATCH(C188&amp;"-"&amp;E188&amp;"-"&amp;F188&amp;"-Pos3",'Shooter-Squad Assignment'!$W:$W,0)),""),IF(F188="Sporting Clays",IFERROR(INDEX('Shooter-Squad Assignment'!$A:$A,MATCH(C188&amp;"-"&amp;E188&amp;"-"&amp;F188&amp;"-Pos3",'Shooter-Squad Assignment'!$Z:$Z,0)),""),"")))</f>
        <v/>
      </c>
      <c r="L188" s="88" t="str">
        <f>IF(ISBLANK(K188),"",IFERROR(INDEX('Tournament List'!$D:$D,MATCH(K188,'Tournament List'!$A:$A,0)),""))</f>
        <v/>
      </c>
      <c r="M188" s="96" t="str">
        <f>IF(F188="Skeet",IFERROR(INDEX('Shooter-Squad Assignment'!$A:$A,MATCH(C188&amp;"-"&amp;E188&amp;"-"&amp;F188&amp;"-Pos4",'Shooter-Squad Assignment'!$K:$K,0)),""),IF(F188="Trap",IFERROR(INDEX('Shooter-Squad Assignment'!$A:$A,MATCH(C188&amp;"-"&amp;E188&amp;"-"&amp;F188&amp;"-Pos4",'Shooter-Squad Assignment'!$W:$W,0)),""),IF(F188="Sporting Clays",IFERROR(INDEX('Shooter-Squad Assignment'!$A:$A,MATCH(C188&amp;"-"&amp;E188&amp;"-"&amp;F188&amp;"-Pos4",'Shooter-Squad Assignment'!$Z:$Z,0)),""),"")))</f>
        <v/>
      </c>
      <c r="N188" s="88" t="str">
        <f>IF(ISBLANK(M188),"",IFERROR(INDEX('Tournament List'!$D:$D,MATCH(M188,'Tournament List'!$A:$A,0)),""))</f>
        <v/>
      </c>
      <c r="O188" s="96" t="str">
        <f>IF(F188="Skeet",IFERROR(INDEX('Shooter-Squad Assignment'!$A:$A,MATCH(C188&amp;"-"&amp;E188&amp;"-"&amp;F188&amp;"-Pos5",'Shooter-Squad Assignment'!$K:$K,0)),""),IF(F188="Trap",IFERROR(INDEX('Shooter-Squad Assignment'!$A:$A,MATCH(C188&amp;"-"&amp;E188&amp;"-"&amp;F188&amp;"-Pos5",'Shooter-Squad Assignment'!$W:$W,0)),""),IF(F188="Sporting Clays",IFERROR(INDEX('Shooter-Squad Assignment'!$A:$A,MATCH(C188&amp;"-"&amp;E188&amp;"-"&amp;F188&amp;"-Pos5",'Shooter-Squad Assignment'!$Z:$Z,0)),""),"")))</f>
        <v/>
      </c>
      <c r="P188" s="89" t="str">
        <f>IF(ISBLANK(O188),"",IFERROR(INDEX('Tournament List'!$D:$D,MATCH(O188,'Tournament List'!$A:$A,0)),""))</f>
        <v/>
      </c>
    </row>
    <row r="189" spans="1:16" x14ac:dyDescent="0.3">
      <c r="A189" s="87">
        <v>188</v>
      </c>
      <c r="B189" s="88" t="str">
        <f>C189&amp;"-"&amp;E189&amp;"-"&amp;F189</f>
        <v>Littleton Target Masters-Varsity 1-Skeet</v>
      </c>
      <c r="C189" s="88" t="s">
        <v>323</v>
      </c>
      <c r="D189" s="88" t="str">
        <f>INDEX('Tournament Setup'!$B$59:$B$78,MATCH(E189,SquadConcurrents,0))</f>
        <v>Varsity</v>
      </c>
      <c r="E189" s="88" t="s">
        <v>340</v>
      </c>
      <c r="F189" s="88" t="s">
        <v>143</v>
      </c>
      <c r="G189" s="96" t="str">
        <f>IF(F189="Skeet",IFERROR(INDEX('Shooter-Squad Assignment'!$A:$A,MATCH(C189&amp;"-"&amp;E189&amp;"-"&amp;F189&amp;"-Pos1",'Shooter-Squad Assignment'!$K:$K,0)),""),IF(F189="Trap",IFERROR(INDEX('Shooter-Squad Assignment'!$A:$A,MATCH(C189&amp;"-"&amp;E189&amp;"-"&amp;F189&amp;"-Pos1",'Shooter-Squad Assignment'!$W:$W,0)),""),IF(F189="Sporting Clays",IFERROR(INDEX('Shooter-Squad Assignment'!$A:$A,MATCH(C189&amp;"-"&amp;E189&amp;"-"&amp;F189&amp;"-Pos1",'Shooter-Squad Assignment'!$Z:$Z,0)),""),"")))</f>
        <v/>
      </c>
      <c r="H189" s="88" t="str">
        <f>IF(ISBLANK(G189),"",IFERROR(INDEX('Tournament List'!$D:$D,MATCH(G189,'Tournament List'!$A:$A,0)),""))</f>
        <v/>
      </c>
      <c r="I189" s="96" t="str">
        <f>IF(F189="Skeet",IFERROR(INDEX('Shooter-Squad Assignment'!$A:$A,MATCH(C189&amp;"-"&amp;E189&amp;"-"&amp;F189&amp;"-Pos2",'Shooter-Squad Assignment'!$K:$K,0)),""),IF(F189="Trap",IFERROR(INDEX('Shooter-Squad Assignment'!$A:$A,MATCH(C189&amp;"-"&amp;E189&amp;"-"&amp;F189&amp;"-Pos2",'Shooter-Squad Assignment'!$W:$W,0)),""),IF(F189="Sporting Clays",IFERROR(INDEX('Shooter-Squad Assignment'!$A:$A,MATCH(C189&amp;"-"&amp;E189&amp;"-"&amp;F189&amp;"-Pos2",'Shooter-Squad Assignment'!$Z:$Z,0)),""),"")))</f>
        <v/>
      </c>
      <c r="J189" s="88" t="str">
        <f>IF(ISBLANK(I189),"",IFERROR(INDEX('Tournament List'!$D:$D,MATCH(I189,'Tournament List'!$A:$A,0)),""))</f>
        <v/>
      </c>
      <c r="K189" s="96" t="str">
        <f>IF(F189="Skeet",IFERROR(INDEX('Shooter-Squad Assignment'!$A:$A,MATCH(C189&amp;"-"&amp;E189&amp;"-"&amp;F189&amp;"-Pos3",'Shooter-Squad Assignment'!$K:$K,0)),""),IF(F189="Trap",IFERROR(INDEX('Shooter-Squad Assignment'!$A:$A,MATCH(C189&amp;"-"&amp;E189&amp;"-"&amp;F189&amp;"-Pos3",'Shooter-Squad Assignment'!$W:$W,0)),""),IF(F189="Sporting Clays",IFERROR(INDEX('Shooter-Squad Assignment'!$A:$A,MATCH(C189&amp;"-"&amp;E189&amp;"-"&amp;F189&amp;"-Pos3",'Shooter-Squad Assignment'!$Z:$Z,0)),""),"")))</f>
        <v/>
      </c>
      <c r="L189" s="88" t="str">
        <f>IF(ISBLANK(K189),"",IFERROR(INDEX('Tournament List'!$D:$D,MATCH(K189,'Tournament List'!$A:$A,0)),""))</f>
        <v/>
      </c>
      <c r="M189" s="96" t="str">
        <f>IF(F189="Skeet",IFERROR(INDEX('Shooter-Squad Assignment'!$A:$A,MATCH(C189&amp;"-"&amp;E189&amp;"-"&amp;F189&amp;"-Pos4",'Shooter-Squad Assignment'!$K:$K,0)),""),IF(F189="Trap",IFERROR(INDEX('Shooter-Squad Assignment'!$A:$A,MATCH(C189&amp;"-"&amp;E189&amp;"-"&amp;F189&amp;"-Pos4",'Shooter-Squad Assignment'!$W:$W,0)),""),IF(F189="Sporting Clays",IFERROR(INDEX('Shooter-Squad Assignment'!$A:$A,MATCH(C189&amp;"-"&amp;E189&amp;"-"&amp;F189&amp;"-Pos4",'Shooter-Squad Assignment'!$Z:$Z,0)),""),"")))</f>
        <v/>
      </c>
      <c r="N189" s="88" t="str">
        <f>IF(ISBLANK(M189),"",IFERROR(INDEX('Tournament List'!$D:$D,MATCH(M189,'Tournament List'!$A:$A,0)),""))</f>
        <v/>
      </c>
      <c r="O189" s="96" t="str">
        <f>IF(F189="Skeet",IFERROR(INDEX('Shooter-Squad Assignment'!$A:$A,MATCH(C189&amp;"-"&amp;E189&amp;"-"&amp;F189&amp;"-Pos5",'Shooter-Squad Assignment'!$K:$K,0)),""),IF(F189="Trap",IFERROR(INDEX('Shooter-Squad Assignment'!$A:$A,MATCH(C189&amp;"-"&amp;E189&amp;"-"&amp;F189&amp;"-Pos5",'Shooter-Squad Assignment'!$W:$W,0)),""),IF(F189="Sporting Clays",IFERROR(INDEX('Shooter-Squad Assignment'!$A:$A,MATCH(C189&amp;"-"&amp;E189&amp;"-"&amp;F189&amp;"-Pos5",'Shooter-Squad Assignment'!$Z:$Z,0)),""),"")))</f>
        <v/>
      </c>
      <c r="P189" s="89" t="str">
        <f>IF(ISBLANK(O189),"",IFERROR(INDEX('Tournament List'!$D:$D,MATCH(O189,'Tournament List'!$A:$A,0)),""))</f>
        <v/>
      </c>
    </row>
    <row r="190" spans="1:16" x14ac:dyDescent="0.3">
      <c r="A190" s="87">
        <v>189</v>
      </c>
      <c r="B190" s="88" t="str">
        <f>C190&amp;"-"&amp;E190&amp;"-"&amp;F190</f>
        <v>Littleton Target Masters-Varsity 2-Skeet</v>
      </c>
      <c r="C190" s="88" t="s">
        <v>323</v>
      </c>
      <c r="D190" s="88" t="str">
        <f>INDEX('Tournament Setup'!$B$59:$B$78,MATCH(E190,SquadConcurrents,0))</f>
        <v>Varsity</v>
      </c>
      <c r="E190" s="88" t="s">
        <v>346</v>
      </c>
      <c r="F190" s="88" t="s">
        <v>143</v>
      </c>
      <c r="G190" s="96" t="str">
        <f>IF(F190="Skeet",IFERROR(INDEX('Shooter-Squad Assignment'!$A:$A,MATCH(C190&amp;"-"&amp;E190&amp;"-"&amp;F190&amp;"-Pos1",'Shooter-Squad Assignment'!$K:$K,0)),""),IF(F190="Trap",IFERROR(INDEX('Shooter-Squad Assignment'!$A:$A,MATCH(C190&amp;"-"&amp;E190&amp;"-"&amp;F190&amp;"-Pos1",'Shooter-Squad Assignment'!$W:$W,0)),""),IF(F190="Sporting Clays",IFERROR(INDEX('Shooter-Squad Assignment'!$A:$A,MATCH(C190&amp;"-"&amp;E190&amp;"-"&amp;F190&amp;"-Pos1",'Shooter-Squad Assignment'!$Z:$Z,0)),""),"")))</f>
        <v/>
      </c>
      <c r="H190" s="88" t="str">
        <f>IF(ISBLANK(G190),"",IFERROR(INDEX('Tournament List'!$D:$D,MATCH(G190,'Tournament List'!$A:$A,0)),""))</f>
        <v/>
      </c>
      <c r="I190" s="96" t="str">
        <f>IF(F190="Skeet",IFERROR(INDEX('Shooter-Squad Assignment'!$A:$A,MATCH(C190&amp;"-"&amp;E190&amp;"-"&amp;F190&amp;"-Pos2",'Shooter-Squad Assignment'!$K:$K,0)),""),IF(F190="Trap",IFERROR(INDEX('Shooter-Squad Assignment'!$A:$A,MATCH(C190&amp;"-"&amp;E190&amp;"-"&amp;F190&amp;"-Pos2",'Shooter-Squad Assignment'!$W:$W,0)),""),IF(F190="Sporting Clays",IFERROR(INDEX('Shooter-Squad Assignment'!$A:$A,MATCH(C190&amp;"-"&amp;E190&amp;"-"&amp;F190&amp;"-Pos2",'Shooter-Squad Assignment'!$Z:$Z,0)),""),"")))</f>
        <v/>
      </c>
      <c r="J190" s="88" t="str">
        <f>IF(ISBLANK(I190),"",IFERROR(INDEX('Tournament List'!$D:$D,MATCH(I190,'Tournament List'!$A:$A,0)),""))</f>
        <v/>
      </c>
      <c r="K190" s="96" t="str">
        <f>IF(F190="Skeet",IFERROR(INDEX('Shooter-Squad Assignment'!$A:$A,MATCH(C190&amp;"-"&amp;E190&amp;"-"&amp;F190&amp;"-Pos3",'Shooter-Squad Assignment'!$K:$K,0)),""),IF(F190="Trap",IFERROR(INDEX('Shooter-Squad Assignment'!$A:$A,MATCH(C190&amp;"-"&amp;E190&amp;"-"&amp;F190&amp;"-Pos3",'Shooter-Squad Assignment'!$W:$W,0)),""),IF(F190="Sporting Clays",IFERROR(INDEX('Shooter-Squad Assignment'!$A:$A,MATCH(C190&amp;"-"&amp;E190&amp;"-"&amp;F190&amp;"-Pos3",'Shooter-Squad Assignment'!$Z:$Z,0)),""),"")))</f>
        <v/>
      </c>
      <c r="L190" s="88" t="str">
        <f>IF(ISBLANK(K190),"",IFERROR(INDEX('Tournament List'!$D:$D,MATCH(K190,'Tournament List'!$A:$A,0)),""))</f>
        <v/>
      </c>
      <c r="M190" s="96" t="str">
        <f>IF(F190="Skeet",IFERROR(INDEX('Shooter-Squad Assignment'!$A:$A,MATCH(C190&amp;"-"&amp;E190&amp;"-"&amp;F190&amp;"-Pos4",'Shooter-Squad Assignment'!$K:$K,0)),""),IF(F190="Trap",IFERROR(INDEX('Shooter-Squad Assignment'!$A:$A,MATCH(C190&amp;"-"&amp;E190&amp;"-"&amp;F190&amp;"-Pos4",'Shooter-Squad Assignment'!$W:$W,0)),""),IF(F190="Sporting Clays",IFERROR(INDEX('Shooter-Squad Assignment'!$A:$A,MATCH(C190&amp;"-"&amp;E190&amp;"-"&amp;F190&amp;"-Pos4",'Shooter-Squad Assignment'!$Z:$Z,0)),""),"")))</f>
        <v/>
      </c>
      <c r="N190" s="88" t="str">
        <f>IF(ISBLANK(M190),"",IFERROR(INDEX('Tournament List'!$D:$D,MATCH(M190,'Tournament List'!$A:$A,0)),""))</f>
        <v/>
      </c>
      <c r="O190" s="96" t="str">
        <f>IF(F190="Skeet",IFERROR(INDEX('Shooter-Squad Assignment'!$A:$A,MATCH(C190&amp;"-"&amp;E190&amp;"-"&amp;F190&amp;"-Pos5",'Shooter-Squad Assignment'!$K:$K,0)),""),IF(F190="Trap",IFERROR(INDEX('Shooter-Squad Assignment'!$A:$A,MATCH(C190&amp;"-"&amp;E190&amp;"-"&amp;F190&amp;"-Pos5",'Shooter-Squad Assignment'!$W:$W,0)),""),IF(F190="Sporting Clays",IFERROR(INDEX('Shooter-Squad Assignment'!$A:$A,MATCH(C190&amp;"-"&amp;E190&amp;"-"&amp;F190&amp;"-Pos5",'Shooter-Squad Assignment'!$Z:$Z,0)),""),"")))</f>
        <v/>
      </c>
      <c r="P190" s="89" t="str">
        <f>IF(ISBLANK(O190),"",IFERROR(INDEX('Tournament List'!$D:$D,MATCH(O190,'Tournament List'!$A:$A,0)),""))</f>
        <v/>
      </c>
    </row>
    <row r="191" spans="1:16" x14ac:dyDescent="0.3">
      <c r="A191" s="87">
        <v>190</v>
      </c>
      <c r="B191" s="88" t="str">
        <f>C191&amp;"-"&amp;E191&amp;"-"&amp;F191</f>
        <v>Littleton Target Masters-Varsity 3-Skeet</v>
      </c>
      <c r="C191" s="88" t="s">
        <v>323</v>
      </c>
      <c r="D191" s="88" t="str">
        <f>INDEX('Tournament Setup'!$B$59:$B$78,MATCH(E191,SquadConcurrents,0))</f>
        <v>Varsity</v>
      </c>
      <c r="E191" s="88" t="s">
        <v>352</v>
      </c>
      <c r="F191" s="88" t="s">
        <v>143</v>
      </c>
      <c r="G191" s="96" t="str">
        <f>IF(F191="Skeet",IFERROR(INDEX('Shooter-Squad Assignment'!$A:$A,MATCH(C191&amp;"-"&amp;E191&amp;"-"&amp;F191&amp;"-Pos1",'Shooter-Squad Assignment'!$K:$K,0)),""),IF(F191="Trap",IFERROR(INDEX('Shooter-Squad Assignment'!$A:$A,MATCH(C191&amp;"-"&amp;E191&amp;"-"&amp;F191&amp;"-Pos1",'Shooter-Squad Assignment'!$W:$W,0)),""),IF(F191="Sporting Clays",IFERROR(INDEX('Shooter-Squad Assignment'!$A:$A,MATCH(C191&amp;"-"&amp;E191&amp;"-"&amp;F191&amp;"-Pos1",'Shooter-Squad Assignment'!$Z:$Z,0)),""),"")))</f>
        <v/>
      </c>
      <c r="H191" s="88" t="str">
        <f>IF(ISBLANK(G191),"",IFERROR(INDEX('Tournament List'!$D:$D,MATCH(G191,'Tournament List'!$A:$A,0)),""))</f>
        <v/>
      </c>
      <c r="I191" s="96" t="str">
        <f>IF(F191="Skeet",IFERROR(INDEX('Shooter-Squad Assignment'!$A:$A,MATCH(C191&amp;"-"&amp;E191&amp;"-"&amp;F191&amp;"-Pos2",'Shooter-Squad Assignment'!$K:$K,0)),""),IF(F191="Trap",IFERROR(INDEX('Shooter-Squad Assignment'!$A:$A,MATCH(C191&amp;"-"&amp;E191&amp;"-"&amp;F191&amp;"-Pos2",'Shooter-Squad Assignment'!$W:$W,0)),""),IF(F191="Sporting Clays",IFERROR(INDEX('Shooter-Squad Assignment'!$A:$A,MATCH(C191&amp;"-"&amp;E191&amp;"-"&amp;F191&amp;"-Pos2",'Shooter-Squad Assignment'!$Z:$Z,0)),""),"")))</f>
        <v/>
      </c>
      <c r="J191" s="88" t="str">
        <f>IF(ISBLANK(I191),"",IFERROR(INDEX('Tournament List'!$D:$D,MATCH(I191,'Tournament List'!$A:$A,0)),""))</f>
        <v/>
      </c>
      <c r="K191" s="96" t="str">
        <f>IF(F191="Skeet",IFERROR(INDEX('Shooter-Squad Assignment'!$A:$A,MATCH(C191&amp;"-"&amp;E191&amp;"-"&amp;F191&amp;"-Pos3",'Shooter-Squad Assignment'!$K:$K,0)),""),IF(F191="Trap",IFERROR(INDEX('Shooter-Squad Assignment'!$A:$A,MATCH(C191&amp;"-"&amp;E191&amp;"-"&amp;F191&amp;"-Pos3",'Shooter-Squad Assignment'!$W:$W,0)),""),IF(F191="Sporting Clays",IFERROR(INDEX('Shooter-Squad Assignment'!$A:$A,MATCH(C191&amp;"-"&amp;E191&amp;"-"&amp;F191&amp;"-Pos3",'Shooter-Squad Assignment'!$Z:$Z,0)),""),"")))</f>
        <v/>
      </c>
      <c r="L191" s="88" t="str">
        <f>IF(ISBLANK(K191),"",IFERROR(INDEX('Tournament List'!$D:$D,MATCH(K191,'Tournament List'!$A:$A,0)),""))</f>
        <v/>
      </c>
      <c r="M191" s="96" t="str">
        <f>IF(F191="Skeet",IFERROR(INDEX('Shooter-Squad Assignment'!$A:$A,MATCH(C191&amp;"-"&amp;E191&amp;"-"&amp;F191&amp;"-Pos4",'Shooter-Squad Assignment'!$K:$K,0)),""),IF(F191="Trap",IFERROR(INDEX('Shooter-Squad Assignment'!$A:$A,MATCH(C191&amp;"-"&amp;E191&amp;"-"&amp;F191&amp;"-Pos4",'Shooter-Squad Assignment'!$W:$W,0)),""),IF(F191="Sporting Clays",IFERROR(INDEX('Shooter-Squad Assignment'!$A:$A,MATCH(C191&amp;"-"&amp;E191&amp;"-"&amp;F191&amp;"-Pos4",'Shooter-Squad Assignment'!$Z:$Z,0)),""),"")))</f>
        <v/>
      </c>
      <c r="N191" s="88" t="str">
        <f>IF(ISBLANK(M191),"",IFERROR(INDEX('Tournament List'!$D:$D,MATCH(M191,'Tournament List'!$A:$A,0)),""))</f>
        <v/>
      </c>
      <c r="O191" s="96" t="str">
        <f>IF(F191="Skeet",IFERROR(INDEX('Shooter-Squad Assignment'!$A:$A,MATCH(C191&amp;"-"&amp;E191&amp;"-"&amp;F191&amp;"-Pos5",'Shooter-Squad Assignment'!$K:$K,0)),""),IF(F191="Trap",IFERROR(INDEX('Shooter-Squad Assignment'!$A:$A,MATCH(C191&amp;"-"&amp;E191&amp;"-"&amp;F191&amp;"-Pos5",'Shooter-Squad Assignment'!$W:$W,0)),""),IF(F191="Sporting Clays",IFERROR(INDEX('Shooter-Squad Assignment'!$A:$A,MATCH(C191&amp;"-"&amp;E191&amp;"-"&amp;F191&amp;"-Pos5",'Shooter-Squad Assignment'!$Z:$Z,0)),""),"")))</f>
        <v/>
      </c>
      <c r="P191" s="89" t="str">
        <f>IF(ISBLANK(O191),"",IFERROR(INDEX('Tournament List'!$D:$D,MATCH(O191,'Tournament List'!$A:$A,0)),""))</f>
        <v/>
      </c>
    </row>
    <row r="192" spans="1:16" x14ac:dyDescent="0.3">
      <c r="A192" s="87">
        <v>191</v>
      </c>
      <c r="B192" s="88" t="str">
        <f>C192&amp;"-"&amp;E192&amp;"-"&amp;F192</f>
        <v>Littleton Target Masters-Collegiate 1-Sporting Clays</v>
      </c>
      <c r="C192" s="88" t="s">
        <v>323</v>
      </c>
      <c r="D192" s="88" t="str">
        <f>INDEX('Tournament Setup'!$B$59:$B$78,MATCH(E192,SquadConcurrents,0))</f>
        <v>Collegiate</v>
      </c>
      <c r="E192" s="88" t="s">
        <v>342</v>
      </c>
      <c r="F192" s="88" t="s">
        <v>148</v>
      </c>
      <c r="G192" s="96" t="str">
        <f>IF(F192="Skeet",IFERROR(INDEX('Shooter-Squad Assignment'!$A:$A,MATCH(C192&amp;"-"&amp;E192&amp;"-"&amp;F192&amp;"-Pos1",'Shooter-Squad Assignment'!$K:$K,0)),""),IF(F192="Trap",IFERROR(INDEX('Shooter-Squad Assignment'!$A:$A,MATCH(C192&amp;"-"&amp;E192&amp;"-"&amp;F192&amp;"-Pos1",'Shooter-Squad Assignment'!$W:$W,0)),""),IF(F192="Sporting Clays",IFERROR(INDEX('Shooter-Squad Assignment'!$A:$A,MATCH(C192&amp;"-"&amp;E192&amp;"-"&amp;F192&amp;"-Pos1",'Shooter-Squad Assignment'!$Z:$Z,0)),""),"")))</f>
        <v/>
      </c>
      <c r="H192" s="88" t="str">
        <f>IF(ISBLANK(G192),"",IFERROR(INDEX('Tournament List'!$D:$D,MATCH(G192,'Tournament List'!$A:$A,0)),""))</f>
        <v/>
      </c>
      <c r="I192" s="96" t="str">
        <f>IF(F192="Skeet",IFERROR(INDEX('Shooter-Squad Assignment'!$A:$A,MATCH(C192&amp;"-"&amp;E192&amp;"-"&amp;F192&amp;"-Pos2",'Shooter-Squad Assignment'!$K:$K,0)),""),IF(F192="Trap",IFERROR(INDEX('Shooter-Squad Assignment'!$A:$A,MATCH(C192&amp;"-"&amp;E192&amp;"-"&amp;F192&amp;"-Pos2",'Shooter-Squad Assignment'!$W:$W,0)),""),IF(F192="Sporting Clays",IFERROR(INDEX('Shooter-Squad Assignment'!$A:$A,MATCH(C192&amp;"-"&amp;E192&amp;"-"&amp;F192&amp;"-Pos2",'Shooter-Squad Assignment'!$Z:$Z,0)),""),"")))</f>
        <v/>
      </c>
      <c r="J192" s="88" t="str">
        <f>IF(ISBLANK(I192),"",IFERROR(INDEX('Tournament List'!$D:$D,MATCH(I192,'Tournament List'!$A:$A,0)),""))</f>
        <v/>
      </c>
      <c r="K192" s="96" t="str">
        <f>IF(F192="Skeet",IFERROR(INDEX('Shooter-Squad Assignment'!$A:$A,MATCH(C192&amp;"-"&amp;E192&amp;"-"&amp;F192&amp;"-Pos3",'Shooter-Squad Assignment'!$K:$K,0)),""),IF(F192="Trap",IFERROR(INDEX('Shooter-Squad Assignment'!$A:$A,MATCH(C192&amp;"-"&amp;E192&amp;"-"&amp;F192&amp;"-Pos3",'Shooter-Squad Assignment'!$W:$W,0)),""),IF(F192="Sporting Clays",IFERROR(INDEX('Shooter-Squad Assignment'!$A:$A,MATCH(C192&amp;"-"&amp;E192&amp;"-"&amp;F192&amp;"-Pos3",'Shooter-Squad Assignment'!$Z:$Z,0)),""),"")))</f>
        <v/>
      </c>
      <c r="L192" s="88" t="str">
        <f>IF(ISBLANK(K192),"",IFERROR(INDEX('Tournament List'!$D:$D,MATCH(K192,'Tournament List'!$A:$A,0)),""))</f>
        <v/>
      </c>
      <c r="M192" s="96" t="str">
        <f>IF(F192="Skeet",IFERROR(INDEX('Shooter-Squad Assignment'!$A:$A,MATCH(C192&amp;"-"&amp;E192&amp;"-"&amp;F192&amp;"-Pos4",'Shooter-Squad Assignment'!$K:$K,0)),""),IF(F192="Trap",IFERROR(INDEX('Shooter-Squad Assignment'!$A:$A,MATCH(C192&amp;"-"&amp;E192&amp;"-"&amp;F192&amp;"-Pos4",'Shooter-Squad Assignment'!$W:$W,0)),""),IF(F192="Sporting Clays",IFERROR(INDEX('Shooter-Squad Assignment'!$A:$A,MATCH(C192&amp;"-"&amp;E192&amp;"-"&amp;F192&amp;"-Pos4",'Shooter-Squad Assignment'!$Z:$Z,0)),""),"")))</f>
        <v/>
      </c>
      <c r="N192" s="88" t="str">
        <f>IF(ISBLANK(M192),"",IFERROR(INDEX('Tournament List'!$D:$D,MATCH(M192,'Tournament List'!$A:$A,0)),""))</f>
        <v/>
      </c>
      <c r="O192" s="96" t="str">
        <f>IF(F192="Skeet",IFERROR(INDEX('Shooter-Squad Assignment'!$A:$A,MATCH(C192&amp;"-"&amp;E192&amp;"-"&amp;F192&amp;"-Pos5",'Shooter-Squad Assignment'!$K:$K,0)),""),IF(F192="Trap",IFERROR(INDEX('Shooter-Squad Assignment'!$A:$A,MATCH(C192&amp;"-"&amp;E192&amp;"-"&amp;F192&amp;"-Pos5",'Shooter-Squad Assignment'!$W:$W,0)),""),IF(F192="Sporting Clays",IFERROR(INDEX('Shooter-Squad Assignment'!$A:$A,MATCH(C192&amp;"-"&amp;E192&amp;"-"&amp;F192&amp;"-Pos5",'Shooter-Squad Assignment'!$Z:$Z,0)),""),"")))</f>
        <v/>
      </c>
      <c r="P192" s="89" t="str">
        <f>IF(ISBLANK(O192),"",IFERROR(INDEX('Tournament List'!$D:$D,MATCH(O192,'Tournament List'!$A:$A,0)),""))</f>
        <v/>
      </c>
    </row>
    <row r="193" spans="1:16" x14ac:dyDescent="0.3">
      <c r="A193" s="87">
        <v>192</v>
      </c>
      <c r="B193" s="88" t="str">
        <f>C193&amp;"-"&amp;E193&amp;"-"&amp;F193</f>
        <v>Littleton Target Masters-Collegiate 2-Sporting Clays</v>
      </c>
      <c r="C193" s="88" t="s">
        <v>323</v>
      </c>
      <c r="D193" s="88" t="str">
        <f>INDEX('Tournament Setup'!$B$59:$B$78,MATCH(E193,SquadConcurrents,0))</f>
        <v>Collegiate</v>
      </c>
      <c r="E193" s="88" t="s">
        <v>348</v>
      </c>
      <c r="F193" s="88" t="s">
        <v>148</v>
      </c>
      <c r="G193" s="96" t="str">
        <f>IF(F193="Skeet",IFERROR(INDEX('Shooter-Squad Assignment'!$A:$A,MATCH(C193&amp;"-"&amp;E193&amp;"-"&amp;F193&amp;"-Pos1",'Shooter-Squad Assignment'!$K:$K,0)),""),IF(F193="Trap",IFERROR(INDEX('Shooter-Squad Assignment'!$A:$A,MATCH(C193&amp;"-"&amp;E193&amp;"-"&amp;F193&amp;"-Pos1",'Shooter-Squad Assignment'!$W:$W,0)),""),IF(F193="Sporting Clays",IFERROR(INDEX('Shooter-Squad Assignment'!$A:$A,MATCH(C193&amp;"-"&amp;E193&amp;"-"&amp;F193&amp;"-Pos1",'Shooter-Squad Assignment'!$Z:$Z,0)),""),"")))</f>
        <v/>
      </c>
      <c r="H193" s="88" t="str">
        <f>IF(ISBLANK(G193),"",IFERROR(INDEX('Tournament List'!$D:$D,MATCH(G193,'Tournament List'!$A:$A,0)),""))</f>
        <v/>
      </c>
      <c r="I193" s="96" t="str">
        <f>IF(F193="Skeet",IFERROR(INDEX('Shooter-Squad Assignment'!$A:$A,MATCH(C193&amp;"-"&amp;E193&amp;"-"&amp;F193&amp;"-Pos2",'Shooter-Squad Assignment'!$K:$K,0)),""),IF(F193="Trap",IFERROR(INDEX('Shooter-Squad Assignment'!$A:$A,MATCH(C193&amp;"-"&amp;E193&amp;"-"&amp;F193&amp;"-Pos2",'Shooter-Squad Assignment'!$W:$W,0)),""),IF(F193="Sporting Clays",IFERROR(INDEX('Shooter-Squad Assignment'!$A:$A,MATCH(C193&amp;"-"&amp;E193&amp;"-"&amp;F193&amp;"-Pos2",'Shooter-Squad Assignment'!$Z:$Z,0)),""),"")))</f>
        <v/>
      </c>
      <c r="J193" s="88" t="str">
        <f>IF(ISBLANK(I193),"",IFERROR(INDEX('Tournament List'!$D:$D,MATCH(I193,'Tournament List'!$A:$A,0)),""))</f>
        <v/>
      </c>
      <c r="K193" s="96" t="str">
        <f>IF(F193="Skeet",IFERROR(INDEX('Shooter-Squad Assignment'!$A:$A,MATCH(C193&amp;"-"&amp;E193&amp;"-"&amp;F193&amp;"-Pos3",'Shooter-Squad Assignment'!$K:$K,0)),""),IF(F193="Trap",IFERROR(INDEX('Shooter-Squad Assignment'!$A:$A,MATCH(C193&amp;"-"&amp;E193&amp;"-"&amp;F193&amp;"-Pos3",'Shooter-Squad Assignment'!$W:$W,0)),""),IF(F193="Sporting Clays",IFERROR(INDEX('Shooter-Squad Assignment'!$A:$A,MATCH(C193&amp;"-"&amp;E193&amp;"-"&amp;F193&amp;"-Pos3",'Shooter-Squad Assignment'!$Z:$Z,0)),""),"")))</f>
        <v/>
      </c>
      <c r="L193" s="88" t="str">
        <f>IF(ISBLANK(K193),"",IFERROR(INDEX('Tournament List'!$D:$D,MATCH(K193,'Tournament List'!$A:$A,0)),""))</f>
        <v/>
      </c>
      <c r="M193" s="96" t="str">
        <f>IF(F193="Skeet",IFERROR(INDEX('Shooter-Squad Assignment'!$A:$A,MATCH(C193&amp;"-"&amp;E193&amp;"-"&amp;F193&amp;"-Pos4",'Shooter-Squad Assignment'!$K:$K,0)),""),IF(F193="Trap",IFERROR(INDEX('Shooter-Squad Assignment'!$A:$A,MATCH(C193&amp;"-"&amp;E193&amp;"-"&amp;F193&amp;"-Pos4",'Shooter-Squad Assignment'!$W:$W,0)),""),IF(F193="Sporting Clays",IFERROR(INDEX('Shooter-Squad Assignment'!$A:$A,MATCH(C193&amp;"-"&amp;E193&amp;"-"&amp;F193&amp;"-Pos4",'Shooter-Squad Assignment'!$Z:$Z,0)),""),"")))</f>
        <v/>
      </c>
      <c r="N193" s="88" t="str">
        <f>IF(ISBLANK(M193),"",IFERROR(INDEX('Tournament List'!$D:$D,MATCH(M193,'Tournament List'!$A:$A,0)),""))</f>
        <v/>
      </c>
      <c r="O193" s="96" t="str">
        <f>IF(F193="Skeet",IFERROR(INDEX('Shooter-Squad Assignment'!$A:$A,MATCH(C193&amp;"-"&amp;E193&amp;"-"&amp;F193&amp;"-Pos5",'Shooter-Squad Assignment'!$K:$K,0)),""),IF(F193="Trap",IFERROR(INDEX('Shooter-Squad Assignment'!$A:$A,MATCH(C193&amp;"-"&amp;E193&amp;"-"&amp;F193&amp;"-Pos5",'Shooter-Squad Assignment'!$W:$W,0)),""),IF(F193="Sporting Clays",IFERROR(INDEX('Shooter-Squad Assignment'!$A:$A,MATCH(C193&amp;"-"&amp;E193&amp;"-"&amp;F193&amp;"-Pos5",'Shooter-Squad Assignment'!$Z:$Z,0)),""),"")))</f>
        <v/>
      </c>
      <c r="P193" s="89" t="str">
        <f>IF(ISBLANK(O193),"",IFERROR(INDEX('Tournament List'!$D:$D,MATCH(O193,'Tournament List'!$A:$A,0)),""))</f>
        <v/>
      </c>
    </row>
    <row r="194" spans="1:16" x14ac:dyDescent="0.3">
      <c r="A194" s="87">
        <v>193</v>
      </c>
      <c r="B194" s="88" t="str">
        <f>C194&amp;"-"&amp;E194&amp;"-"&amp;F194</f>
        <v>Littleton Target Masters-Collegiate 3-Sporting Clays</v>
      </c>
      <c r="C194" s="88" t="s">
        <v>323</v>
      </c>
      <c r="D194" s="88" t="str">
        <f>INDEX('Tournament Setup'!$B$59:$B$78,MATCH(E194,SquadConcurrents,0))</f>
        <v>Collegiate</v>
      </c>
      <c r="E194" s="88" t="s">
        <v>354</v>
      </c>
      <c r="F194" s="88" t="s">
        <v>148</v>
      </c>
      <c r="G194" s="96" t="str">
        <f>IF(F194="Skeet",IFERROR(INDEX('Shooter-Squad Assignment'!$A:$A,MATCH(C194&amp;"-"&amp;E194&amp;"-"&amp;F194&amp;"-Pos1",'Shooter-Squad Assignment'!$K:$K,0)),""),IF(F194="Trap",IFERROR(INDEX('Shooter-Squad Assignment'!$A:$A,MATCH(C194&amp;"-"&amp;E194&amp;"-"&amp;F194&amp;"-Pos1",'Shooter-Squad Assignment'!$W:$W,0)),""),IF(F194="Sporting Clays",IFERROR(INDEX('Shooter-Squad Assignment'!$A:$A,MATCH(C194&amp;"-"&amp;E194&amp;"-"&amp;F194&amp;"-Pos1",'Shooter-Squad Assignment'!$Z:$Z,0)),""),"")))</f>
        <v/>
      </c>
      <c r="H194" s="88" t="str">
        <f>IF(ISBLANK(G194),"",IFERROR(INDEX('Tournament List'!$D:$D,MATCH(G194,'Tournament List'!$A:$A,0)),""))</f>
        <v/>
      </c>
      <c r="I194" s="96" t="str">
        <f>IF(F194="Skeet",IFERROR(INDEX('Shooter-Squad Assignment'!$A:$A,MATCH(C194&amp;"-"&amp;E194&amp;"-"&amp;F194&amp;"-Pos2",'Shooter-Squad Assignment'!$K:$K,0)),""),IF(F194="Trap",IFERROR(INDEX('Shooter-Squad Assignment'!$A:$A,MATCH(C194&amp;"-"&amp;E194&amp;"-"&amp;F194&amp;"-Pos2",'Shooter-Squad Assignment'!$W:$W,0)),""),IF(F194="Sporting Clays",IFERROR(INDEX('Shooter-Squad Assignment'!$A:$A,MATCH(C194&amp;"-"&amp;E194&amp;"-"&amp;F194&amp;"-Pos2",'Shooter-Squad Assignment'!$Z:$Z,0)),""),"")))</f>
        <v/>
      </c>
      <c r="J194" s="88" t="str">
        <f>IF(ISBLANK(I194),"",IFERROR(INDEX('Tournament List'!$D:$D,MATCH(I194,'Tournament List'!$A:$A,0)),""))</f>
        <v/>
      </c>
      <c r="K194" s="96" t="str">
        <f>IF(F194="Skeet",IFERROR(INDEX('Shooter-Squad Assignment'!$A:$A,MATCH(C194&amp;"-"&amp;E194&amp;"-"&amp;F194&amp;"-Pos3",'Shooter-Squad Assignment'!$K:$K,0)),""),IF(F194="Trap",IFERROR(INDEX('Shooter-Squad Assignment'!$A:$A,MATCH(C194&amp;"-"&amp;E194&amp;"-"&amp;F194&amp;"-Pos3",'Shooter-Squad Assignment'!$W:$W,0)),""),IF(F194="Sporting Clays",IFERROR(INDEX('Shooter-Squad Assignment'!$A:$A,MATCH(C194&amp;"-"&amp;E194&amp;"-"&amp;F194&amp;"-Pos3",'Shooter-Squad Assignment'!$Z:$Z,0)),""),"")))</f>
        <v/>
      </c>
      <c r="L194" s="88" t="str">
        <f>IF(ISBLANK(K194),"",IFERROR(INDEX('Tournament List'!$D:$D,MATCH(K194,'Tournament List'!$A:$A,0)),""))</f>
        <v/>
      </c>
      <c r="M194" s="96" t="str">
        <f>IF(F194="Skeet",IFERROR(INDEX('Shooter-Squad Assignment'!$A:$A,MATCH(C194&amp;"-"&amp;E194&amp;"-"&amp;F194&amp;"-Pos4",'Shooter-Squad Assignment'!$K:$K,0)),""),IF(F194="Trap",IFERROR(INDEX('Shooter-Squad Assignment'!$A:$A,MATCH(C194&amp;"-"&amp;E194&amp;"-"&amp;F194&amp;"-Pos4",'Shooter-Squad Assignment'!$W:$W,0)),""),IF(F194="Sporting Clays",IFERROR(INDEX('Shooter-Squad Assignment'!$A:$A,MATCH(C194&amp;"-"&amp;E194&amp;"-"&amp;F194&amp;"-Pos4",'Shooter-Squad Assignment'!$Z:$Z,0)),""),"")))</f>
        <v/>
      </c>
      <c r="N194" s="88" t="str">
        <f>IF(ISBLANK(M194),"",IFERROR(INDEX('Tournament List'!$D:$D,MATCH(M194,'Tournament List'!$A:$A,0)),""))</f>
        <v/>
      </c>
      <c r="O194" s="96" t="str">
        <f>IF(F194="Skeet",IFERROR(INDEX('Shooter-Squad Assignment'!$A:$A,MATCH(C194&amp;"-"&amp;E194&amp;"-"&amp;F194&amp;"-Pos5",'Shooter-Squad Assignment'!$K:$K,0)),""),IF(F194="Trap",IFERROR(INDEX('Shooter-Squad Assignment'!$A:$A,MATCH(C194&amp;"-"&amp;E194&amp;"-"&amp;F194&amp;"-Pos5",'Shooter-Squad Assignment'!$W:$W,0)),""),IF(F194="Sporting Clays",IFERROR(INDEX('Shooter-Squad Assignment'!$A:$A,MATCH(C194&amp;"-"&amp;E194&amp;"-"&amp;F194&amp;"-Pos5",'Shooter-Squad Assignment'!$Z:$Z,0)),""),"")))</f>
        <v/>
      </c>
      <c r="P194" s="89" t="str">
        <f>IF(ISBLANK(O194),"",IFERROR(INDEX('Tournament List'!$D:$D,MATCH(O194,'Tournament List'!$A:$A,0)),""))</f>
        <v/>
      </c>
    </row>
    <row r="195" spans="1:16" x14ac:dyDescent="0.3">
      <c r="A195" s="87">
        <v>194</v>
      </c>
      <c r="B195" s="88" t="str">
        <f>C195&amp;"-"&amp;E195&amp;"-"&amp;F195</f>
        <v>Littleton Target Masters-Intermediate 1-Sporting Clays</v>
      </c>
      <c r="C195" s="88" t="s">
        <v>323</v>
      </c>
      <c r="D195" s="88" t="str">
        <f>INDEX('Tournament Setup'!$B$59:$B$78,MATCH(E195,SquadConcurrents,0))</f>
        <v>Intermediate</v>
      </c>
      <c r="E195" s="88" t="s">
        <v>338</v>
      </c>
      <c r="F195" s="88" t="s">
        <v>148</v>
      </c>
      <c r="G195" s="96" t="str">
        <f>IF(F195="Skeet",IFERROR(INDEX('Shooter-Squad Assignment'!$A:$A,MATCH(C195&amp;"-"&amp;E195&amp;"-"&amp;F195&amp;"-Pos1",'Shooter-Squad Assignment'!$K:$K,0)),""),IF(F195="Trap",IFERROR(INDEX('Shooter-Squad Assignment'!$A:$A,MATCH(C195&amp;"-"&amp;E195&amp;"-"&amp;F195&amp;"-Pos1",'Shooter-Squad Assignment'!$W:$W,0)),""),IF(F195="Sporting Clays",IFERROR(INDEX('Shooter-Squad Assignment'!$A:$A,MATCH(C195&amp;"-"&amp;E195&amp;"-"&amp;F195&amp;"-Pos1",'Shooter-Squad Assignment'!$Z:$Z,0)),""),"")))</f>
        <v/>
      </c>
      <c r="H195" s="88" t="str">
        <f>IF(ISBLANK(G195),"",IFERROR(INDEX('Tournament List'!$D:$D,MATCH(G195,'Tournament List'!$A:$A,0)),""))</f>
        <v/>
      </c>
      <c r="I195" s="96" t="str">
        <f>IF(F195="Skeet",IFERROR(INDEX('Shooter-Squad Assignment'!$A:$A,MATCH(C195&amp;"-"&amp;E195&amp;"-"&amp;F195&amp;"-Pos2",'Shooter-Squad Assignment'!$K:$K,0)),""),IF(F195="Trap",IFERROR(INDEX('Shooter-Squad Assignment'!$A:$A,MATCH(C195&amp;"-"&amp;E195&amp;"-"&amp;F195&amp;"-Pos2",'Shooter-Squad Assignment'!$W:$W,0)),""),IF(F195="Sporting Clays",IFERROR(INDEX('Shooter-Squad Assignment'!$A:$A,MATCH(C195&amp;"-"&amp;E195&amp;"-"&amp;F195&amp;"-Pos2",'Shooter-Squad Assignment'!$Z:$Z,0)),""),"")))</f>
        <v/>
      </c>
      <c r="J195" s="88" t="str">
        <f>IF(ISBLANK(I195),"",IFERROR(INDEX('Tournament List'!$D:$D,MATCH(I195,'Tournament List'!$A:$A,0)),""))</f>
        <v/>
      </c>
      <c r="K195" s="96" t="str">
        <f>IF(F195="Skeet",IFERROR(INDEX('Shooter-Squad Assignment'!$A:$A,MATCH(C195&amp;"-"&amp;E195&amp;"-"&amp;F195&amp;"-Pos3",'Shooter-Squad Assignment'!$K:$K,0)),""),IF(F195="Trap",IFERROR(INDEX('Shooter-Squad Assignment'!$A:$A,MATCH(C195&amp;"-"&amp;E195&amp;"-"&amp;F195&amp;"-Pos3",'Shooter-Squad Assignment'!$W:$W,0)),""),IF(F195="Sporting Clays",IFERROR(INDEX('Shooter-Squad Assignment'!$A:$A,MATCH(C195&amp;"-"&amp;E195&amp;"-"&amp;F195&amp;"-Pos3",'Shooter-Squad Assignment'!$Z:$Z,0)),""),"")))</f>
        <v/>
      </c>
      <c r="L195" s="88" t="str">
        <f>IF(ISBLANK(K195),"",IFERROR(INDEX('Tournament List'!$D:$D,MATCH(K195,'Tournament List'!$A:$A,0)),""))</f>
        <v/>
      </c>
      <c r="M195" s="96" t="str">
        <f>IF(F195="Skeet",IFERROR(INDEX('Shooter-Squad Assignment'!$A:$A,MATCH(C195&amp;"-"&amp;E195&amp;"-"&amp;F195&amp;"-Pos4",'Shooter-Squad Assignment'!$K:$K,0)),""),IF(F195="Trap",IFERROR(INDEX('Shooter-Squad Assignment'!$A:$A,MATCH(C195&amp;"-"&amp;E195&amp;"-"&amp;F195&amp;"-Pos4",'Shooter-Squad Assignment'!$W:$W,0)),""),IF(F195="Sporting Clays",IFERROR(INDEX('Shooter-Squad Assignment'!$A:$A,MATCH(C195&amp;"-"&amp;E195&amp;"-"&amp;F195&amp;"-Pos4",'Shooter-Squad Assignment'!$Z:$Z,0)),""),"")))</f>
        <v/>
      </c>
      <c r="N195" s="88" t="str">
        <f>IF(ISBLANK(M195),"",IFERROR(INDEX('Tournament List'!$D:$D,MATCH(M195,'Tournament List'!$A:$A,0)),""))</f>
        <v/>
      </c>
      <c r="O195" s="96" t="str">
        <f>IF(F195="Skeet",IFERROR(INDEX('Shooter-Squad Assignment'!$A:$A,MATCH(C195&amp;"-"&amp;E195&amp;"-"&amp;F195&amp;"-Pos5",'Shooter-Squad Assignment'!$K:$K,0)),""),IF(F195="Trap",IFERROR(INDEX('Shooter-Squad Assignment'!$A:$A,MATCH(C195&amp;"-"&amp;E195&amp;"-"&amp;F195&amp;"-Pos5",'Shooter-Squad Assignment'!$W:$W,0)),""),IF(F195="Sporting Clays",IFERROR(INDEX('Shooter-Squad Assignment'!$A:$A,MATCH(C195&amp;"-"&amp;E195&amp;"-"&amp;F195&amp;"-Pos5",'Shooter-Squad Assignment'!$Z:$Z,0)),""),"")))</f>
        <v/>
      </c>
      <c r="P195" s="89" t="str">
        <f>IF(ISBLANK(O195),"",IFERROR(INDEX('Tournament List'!$D:$D,MATCH(O195,'Tournament List'!$A:$A,0)),""))</f>
        <v/>
      </c>
    </row>
    <row r="196" spans="1:16" x14ac:dyDescent="0.3">
      <c r="A196" s="87">
        <v>195</v>
      </c>
      <c r="B196" s="88" t="str">
        <f>C196&amp;"-"&amp;E196&amp;"-"&amp;F196</f>
        <v>Littleton Target Masters-Intermediate 2-Sporting Clays</v>
      </c>
      <c r="C196" s="88" t="s">
        <v>323</v>
      </c>
      <c r="D196" s="88" t="str">
        <f>INDEX('Tournament Setup'!$B$59:$B$78,MATCH(E196,SquadConcurrents,0))</f>
        <v>Intermediate</v>
      </c>
      <c r="E196" s="88" t="s">
        <v>344</v>
      </c>
      <c r="F196" s="88" t="s">
        <v>148</v>
      </c>
      <c r="G196" s="96" t="str">
        <f>IF(F196="Skeet",IFERROR(INDEX('Shooter-Squad Assignment'!$A:$A,MATCH(C196&amp;"-"&amp;E196&amp;"-"&amp;F196&amp;"-Pos1",'Shooter-Squad Assignment'!$K:$K,0)),""),IF(F196="Trap",IFERROR(INDEX('Shooter-Squad Assignment'!$A:$A,MATCH(C196&amp;"-"&amp;E196&amp;"-"&amp;F196&amp;"-Pos1",'Shooter-Squad Assignment'!$W:$W,0)),""),IF(F196="Sporting Clays",IFERROR(INDEX('Shooter-Squad Assignment'!$A:$A,MATCH(C196&amp;"-"&amp;E196&amp;"-"&amp;F196&amp;"-Pos1",'Shooter-Squad Assignment'!$Z:$Z,0)),""),"")))</f>
        <v/>
      </c>
      <c r="H196" s="88" t="str">
        <f>IF(ISBLANK(G196),"",IFERROR(INDEX('Tournament List'!$D:$D,MATCH(G196,'Tournament List'!$A:$A,0)),""))</f>
        <v/>
      </c>
      <c r="I196" s="96" t="str">
        <f>IF(F196="Skeet",IFERROR(INDEX('Shooter-Squad Assignment'!$A:$A,MATCH(C196&amp;"-"&amp;E196&amp;"-"&amp;F196&amp;"-Pos2",'Shooter-Squad Assignment'!$K:$K,0)),""),IF(F196="Trap",IFERROR(INDEX('Shooter-Squad Assignment'!$A:$A,MATCH(C196&amp;"-"&amp;E196&amp;"-"&amp;F196&amp;"-Pos2",'Shooter-Squad Assignment'!$W:$W,0)),""),IF(F196="Sporting Clays",IFERROR(INDEX('Shooter-Squad Assignment'!$A:$A,MATCH(C196&amp;"-"&amp;E196&amp;"-"&amp;F196&amp;"-Pos2",'Shooter-Squad Assignment'!$Z:$Z,0)),""),"")))</f>
        <v/>
      </c>
      <c r="J196" s="88" t="str">
        <f>IF(ISBLANK(I196),"",IFERROR(INDEX('Tournament List'!$D:$D,MATCH(I196,'Tournament List'!$A:$A,0)),""))</f>
        <v/>
      </c>
      <c r="K196" s="96" t="str">
        <f>IF(F196="Skeet",IFERROR(INDEX('Shooter-Squad Assignment'!$A:$A,MATCH(C196&amp;"-"&amp;E196&amp;"-"&amp;F196&amp;"-Pos3",'Shooter-Squad Assignment'!$K:$K,0)),""),IF(F196="Trap",IFERROR(INDEX('Shooter-Squad Assignment'!$A:$A,MATCH(C196&amp;"-"&amp;E196&amp;"-"&amp;F196&amp;"-Pos3",'Shooter-Squad Assignment'!$W:$W,0)),""),IF(F196="Sporting Clays",IFERROR(INDEX('Shooter-Squad Assignment'!$A:$A,MATCH(C196&amp;"-"&amp;E196&amp;"-"&amp;F196&amp;"-Pos3",'Shooter-Squad Assignment'!$Z:$Z,0)),""),"")))</f>
        <v/>
      </c>
      <c r="L196" s="88" t="str">
        <f>IF(ISBLANK(K196),"",IFERROR(INDEX('Tournament List'!$D:$D,MATCH(K196,'Tournament List'!$A:$A,0)),""))</f>
        <v/>
      </c>
      <c r="M196" s="96" t="str">
        <f>IF(F196="Skeet",IFERROR(INDEX('Shooter-Squad Assignment'!$A:$A,MATCH(C196&amp;"-"&amp;E196&amp;"-"&amp;F196&amp;"-Pos4",'Shooter-Squad Assignment'!$K:$K,0)),""),IF(F196="Trap",IFERROR(INDEX('Shooter-Squad Assignment'!$A:$A,MATCH(C196&amp;"-"&amp;E196&amp;"-"&amp;F196&amp;"-Pos4",'Shooter-Squad Assignment'!$W:$W,0)),""),IF(F196="Sporting Clays",IFERROR(INDEX('Shooter-Squad Assignment'!$A:$A,MATCH(C196&amp;"-"&amp;E196&amp;"-"&amp;F196&amp;"-Pos4",'Shooter-Squad Assignment'!$Z:$Z,0)),""),"")))</f>
        <v/>
      </c>
      <c r="N196" s="88" t="str">
        <f>IF(ISBLANK(M196),"",IFERROR(INDEX('Tournament List'!$D:$D,MATCH(M196,'Tournament List'!$A:$A,0)),""))</f>
        <v/>
      </c>
      <c r="O196" s="96" t="str">
        <f>IF(F196="Skeet",IFERROR(INDEX('Shooter-Squad Assignment'!$A:$A,MATCH(C196&amp;"-"&amp;E196&amp;"-"&amp;F196&amp;"-Pos5",'Shooter-Squad Assignment'!$K:$K,0)),""),IF(F196="Trap",IFERROR(INDEX('Shooter-Squad Assignment'!$A:$A,MATCH(C196&amp;"-"&amp;E196&amp;"-"&amp;F196&amp;"-Pos5",'Shooter-Squad Assignment'!$W:$W,0)),""),IF(F196="Sporting Clays",IFERROR(INDEX('Shooter-Squad Assignment'!$A:$A,MATCH(C196&amp;"-"&amp;E196&amp;"-"&amp;F196&amp;"-Pos5",'Shooter-Squad Assignment'!$Z:$Z,0)),""),"")))</f>
        <v/>
      </c>
      <c r="P196" s="89" t="str">
        <f>IF(ISBLANK(O196),"",IFERROR(INDEX('Tournament List'!$D:$D,MATCH(O196,'Tournament List'!$A:$A,0)),""))</f>
        <v/>
      </c>
    </row>
    <row r="197" spans="1:16" x14ac:dyDescent="0.3">
      <c r="A197" s="87">
        <v>196</v>
      </c>
      <c r="B197" s="88" t="str">
        <f>C197&amp;"-"&amp;E197&amp;"-"&amp;F197</f>
        <v>Littleton Target Masters-Intermediate 3-Sporting Clays</v>
      </c>
      <c r="C197" s="88" t="s">
        <v>323</v>
      </c>
      <c r="D197" s="88" t="str">
        <f>INDEX('Tournament Setup'!$B$59:$B$78,MATCH(E197,SquadConcurrents,0))</f>
        <v>Intermediate</v>
      </c>
      <c r="E197" s="88" t="s">
        <v>350</v>
      </c>
      <c r="F197" s="88" t="s">
        <v>148</v>
      </c>
      <c r="G197" s="96" t="str">
        <f>IF(F197="Skeet",IFERROR(INDEX('Shooter-Squad Assignment'!$A:$A,MATCH(C197&amp;"-"&amp;E197&amp;"-"&amp;F197&amp;"-Pos1",'Shooter-Squad Assignment'!$K:$K,0)),""),IF(F197="Trap",IFERROR(INDEX('Shooter-Squad Assignment'!$A:$A,MATCH(C197&amp;"-"&amp;E197&amp;"-"&amp;F197&amp;"-Pos1",'Shooter-Squad Assignment'!$W:$W,0)),""),IF(F197="Sporting Clays",IFERROR(INDEX('Shooter-Squad Assignment'!$A:$A,MATCH(C197&amp;"-"&amp;E197&amp;"-"&amp;F197&amp;"-Pos1",'Shooter-Squad Assignment'!$Z:$Z,0)),""),"")))</f>
        <v/>
      </c>
      <c r="H197" s="88" t="str">
        <f>IF(ISBLANK(G197),"",IFERROR(INDEX('Tournament List'!$D:$D,MATCH(G197,'Tournament List'!$A:$A,0)),""))</f>
        <v/>
      </c>
      <c r="I197" s="96" t="str">
        <f>IF(F197="Skeet",IFERROR(INDEX('Shooter-Squad Assignment'!$A:$A,MATCH(C197&amp;"-"&amp;E197&amp;"-"&amp;F197&amp;"-Pos2",'Shooter-Squad Assignment'!$K:$K,0)),""),IF(F197="Trap",IFERROR(INDEX('Shooter-Squad Assignment'!$A:$A,MATCH(C197&amp;"-"&amp;E197&amp;"-"&amp;F197&amp;"-Pos2",'Shooter-Squad Assignment'!$W:$W,0)),""),IF(F197="Sporting Clays",IFERROR(INDEX('Shooter-Squad Assignment'!$A:$A,MATCH(C197&amp;"-"&amp;E197&amp;"-"&amp;F197&amp;"-Pos2",'Shooter-Squad Assignment'!$Z:$Z,0)),""),"")))</f>
        <v/>
      </c>
      <c r="J197" s="88" t="str">
        <f>IF(ISBLANK(I197),"",IFERROR(INDEX('Tournament List'!$D:$D,MATCH(I197,'Tournament List'!$A:$A,0)),""))</f>
        <v/>
      </c>
      <c r="K197" s="96" t="str">
        <f>IF(F197="Skeet",IFERROR(INDEX('Shooter-Squad Assignment'!$A:$A,MATCH(C197&amp;"-"&amp;E197&amp;"-"&amp;F197&amp;"-Pos3",'Shooter-Squad Assignment'!$K:$K,0)),""),IF(F197="Trap",IFERROR(INDEX('Shooter-Squad Assignment'!$A:$A,MATCH(C197&amp;"-"&amp;E197&amp;"-"&amp;F197&amp;"-Pos3",'Shooter-Squad Assignment'!$W:$W,0)),""),IF(F197="Sporting Clays",IFERROR(INDEX('Shooter-Squad Assignment'!$A:$A,MATCH(C197&amp;"-"&amp;E197&amp;"-"&amp;F197&amp;"-Pos3",'Shooter-Squad Assignment'!$Z:$Z,0)),""),"")))</f>
        <v/>
      </c>
      <c r="L197" s="88" t="str">
        <f>IF(ISBLANK(K197),"",IFERROR(INDEX('Tournament List'!$D:$D,MATCH(K197,'Tournament List'!$A:$A,0)),""))</f>
        <v/>
      </c>
      <c r="M197" s="96" t="str">
        <f>IF(F197="Skeet",IFERROR(INDEX('Shooter-Squad Assignment'!$A:$A,MATCH(C197&amp;"-"&amp;E197&amp;"-"&amp;F197&amp;"-Pos4",'Shooter-Squad Assignment'!$K:$K,0)),""),IF(F197="Trap",IFERROR(INDEX('Shooter-Squad Assignment'!$A:$A,MATCH(C197&amp;"-"&amp;E197&amp;"-"&amp;F197&amp;"-Pos4",'Shooter-Squad Assignment'!$W:$W,0)),""),IF(F197="Sporting Clays",IFERROR(INDEX('Shooter-Squad Assignment'!$A:$A,MATCH(C197&amp;"-"&amp;E197&amp;"-"&amp;F197&amp;"-Pos4",'Shooter-Squad Assignment'!$Z:$Z,0)),""),"")))</f>
        <v/>
      </c>
      <c r="N197" s="88" t="str">
        <f>IF(ISBLANK(M197),"",IFERROR(INDEX('Tournament List'!$D:$D,MATCH(M197,'Tournament List'!$A:$A,0)),""))</f>
        <v/>
      </c>
      <c r="O197" s="96" t="str">
        <f>IF(F197="Skeet",IFERROR(INDEX('Shooter-Squad Assignment'!$A:$A,MATCH(C197&amp;"-"&amp;E197&amp;"-"&amp;F197&amp;"-Pos5",'Shooter-Squad Assignment'!$K:$K,0)),""),IF(F197="Trap",IFERROR(INDEX('Shooter-Squad Assignment'!$A:$A,MATCH(C197&amp;"-"&amp;E197&amp;"-"&amp;F197&amp;"-Pos5",'Shooter-Squad Assignment'!$W:$W,0)),""),IF(F197="Sporting Clays",IFERROR(INDEX('Shooter-Squad Assignment'!$A:$A,MATCH(C197&amp;"-"&amp;E197&amp;"-"&amp;F197&amp;"-Pos5",'Shooter-Squad Assignment'!$Z:$Z,0)),""),"")))</f>
        <v/>
      </c>
      <c r="P197" s="89" t="str">
        <f>IF(ISBLANK(O197),"",IFERROR(INDEX('Tournament List'!$D:$D,MATCH(O197,'Tournament List'!$A:$A,0)),""))</f>
        <v/>
      </c>
    </row>
    <row r="198" spans="1:16" x14ac:dyDescent="0.3">
      <c r="A198" s="87">
        <v>197</v>
      </c>
      <c r="B198" s="88" t="str">
        <f>C198&amp;"-"&amp;E198&amp;"-"&amp;F198</f>
        <v>Littleton Target Masters-Junior Varsity 1-Sporting Clays</v>
      </c>
      <c r="C198" s="88" t="s">
        <v>323</v>
      </c>
      <c r="D198" s="88" t="str">
        <f>INDEX('Tournament Setup'!$B$59:$B$78,MATCH(E198,SquadConcurrents,0))</f>
        <v>Junior Varsity</v>
      </c>
      <c r="E198" s="88" t="s">
        <v>339</v>
      </c>
      <c r="F198" s="88" t="s">
        <v>148</v>
      </c>
      <c r="G198" s="96" t="str">
        <f>IF(F198="Skeet",IFERROR(INDEX('Shooter-Squad Assignment'!$A:$A,MATCH(C198&amp;"-"&amp;E198&amp;"-"&amp;F198&amp;"-Pos1",'Shooter-Squad Assignment'!$K:$K,0)),""),IF(F198="Trap",IFERROR(INDEX('Shooter-Squad Assignment'!$A:$A,MATCH(C198&amp;"-"&amp;E198&amp;"-"&amp;F198&amp;"-Pos1",'Shooter-Squad Assignment'!$W:$W,0)),""),IF(F198="Sporting Clays",IFERROR(INDEX('Shooter-Squad Assignment'!$A:$A,MATCH(C198&amp;"-"&amp;E198&amp;"-"&amp;F198&amp;"-Pos1",'Shooter-Squad Assignment'!$Z:$Z,0)),""),"")))</f>
        <v/>
      </c>
      <c r="H198" s="88" t="str">
        <f>IF(ISBLANK(G198),"",IFERROR(INDEX('Tournament List'!$D:$D,MATCH(G198,'Tournament List'!$A:$A,0)),""))</f>
        <v/>
      </c>
      <c r="I198" s="96" t="str">
        <f>IF(F198="Skeet",IFERROR(INDEX('Shooter-Squad Assignment'!$A:$A,MATCH(C198&amp;"-"&amp;E198&amp;"-"&amp;F198&amp;"-Pos2",'Shooter-Squad Assignment'!$K:$K,0)),""),IF(F198="Trap",IFERROR(INDEX('Shooter-Squad Assignment'!$A:$A,MATCH(C198&amp;"-"&amp;E198&amp;"-"&amp;F198&amp;"-Pos2",'Shooter-Squad Assignment'!$W:$W,0)),""),IF(F198="Sporting Clays",IFERROR(INDEX('Shooter-Squad Assignment'!$A:$A,MATCH(C198&amp;"-"&amp;E198&amp;"-"&amp;F198&amp;"-Pos2",'Shooter-Squad Assignment'!$Z:$Z,0)),""),"")))</f>
        <v/>
      </c>
      <c r="J198" s="88" t="str">
        <f>IF(ISBLANK(I198),"",IFERROR(INDEX('Tournament List'!$D:$D,MATCH(I198,'Tournament List'!$A:$A,0)),""))</f>
        <v/>
      </c>
      <c r="K198" s="96" t="str">
        <f>IF(F198="Skeet",IFERROR(INDEX('Shooter-Squad Assignment'!$A:$A,MATCH(C198&amp;"-"&amp;E198&amp;"-"&amp;F198&amp;"-Pos3",'Shooter-Squad Assignment'!$K:$K,0)),""),IF(F198="Trap",IFERROR(INDEX('Shooter-Squad Assignment'!$A:$A,MATCH(C198&amp;"-"&amp;E198&amp;"-"&amp;F198&amp;"-Pos3",'Shooter-Squad Assignment'!$W:$W,0)),""),IF(F198="Sporting Clays",IFERROR(INDEX('Shooter-Squad Assignment'!$A:$A,MATCH(C198&amp;"-"&amp;E198&amp;"-"&amp;F198&amp;"-Pos3",'Shooter-Squad Assignment'!$Z:$Z,0)),""),"")))</f>
        <v/>
      </c>
      <c r="L198" s="88" t="str">
        <f>IF(ISBLANK(K198),"",IFERROR(INDEX('Tournament List'!$D:$D,MATCH(K198,'Tournament List'!$A:$A,0)),""))</f>
        <v/>
      </c>
      <c r="M198" s="96" t="str">
        <f>IF(F198="Skeet",IFERROR(INDEX('Shooter-Squad Assignment'!$A:$A,MATCH(C198&amp;"-"&amp;E198&amp;"-"&amp;F198&amp;"-Pos4",'Shooter-Squad Assignment'!$K:$K,0)),""),IF(F198="Trap",IFERROR(INDEX('Shooter-Squad Assignment'!$A:$A,MATCH(C198&amp;"-"&amp;E198&amp;"-"&amp;F198&amp;"-Pos4",'Shooter-Squad Assignment'!$W:$W,0)),""),IF(F198="Sporting Clays",IFERROR(INDEX('Shooter-Squad Assignment'!$A:$A,MATCH(C198&amp;"-"&amp;E198&amp;"-"&amp;F198&amp;"-Pos4",'Shooter-Squad Assignment'!$Z:$Z,0)),""),"")))</f>
        <v/>
      </c>
      <c r="N198" s="88" t="str">
        <f>IF(ISBLANK(M198),"",IFERROR(INDEX('Tournament List'!$D:$D,MATCH(M198,'Tournament List'!$A:$A,0)),""))</f>
        <v/>
      </c>
      <c r="O198" s="96" t="str">
        <f>IF(F198="Skeet",IFERROR(INDEX('Shooter-Squad Assignment'!$A:$A,MATCH(C198&amp;"-"&amp;E198&amp;"-"&amp;F198&amp;"-Pos5",'Shooter-Squad Assignment'!$K:$K,0)),""),IF(F198="Trap",IFERROR(INDEX('Shooter-Squad Assignment'!$A:$A,MATCH(C198&amp;"-"&amp;E198&amp;"-"&amp;F198&amp;"-Pos5",'Shooter-Squad Assignment'!$W:$W,0)),""),IF(F198="Sporting Clays",IFERROR(INDEX('Shooter-Squad Assignment'!$A:$A,MATCH(C198&amp;"-"&amp;E198&amp;"-"&amp;F198&amp;"-Pos5",'Shooter-Squad Assignment'!$Z:$Z,0)),""),"")))</f>
        <v/>
      </c>
      <c r="P198" s="89" t="str">
        <f>IF(ISBLANK(O198),"",IFERROR(INDEX('Tournament List'!$D:$D,MATCH(O198,'Tournament List'!$A:$A,0)),""))</f>
        <v/>
      </c>
    </row>
    <row r="199" spans="1:16" x14ac:dyDescent="0.3">
      <c r="A199" s="87">
        <v>198</v>
      </c>
      <c r="B199" s="88" t="str">
        <f>C199&amp;"-"&amp;E199&amp;"-"&amp;F199</f>
        <v>Littleton Target Masters-Junior Varsity 2-Sporting Clays</v>
      </c>
      <c r="C199" s="88" t="s">
        <v>323</v>
      </c>
      <c r="D199" s="88" t="str">
        <f>INDEX('Tournament Setup'!$B$59:$B$78,MATCH(E199,SquadConcurrents,0))</f>
        <v>Junior Varsity</v>
      </c>
      <c r="E199" s="88" t="s">
        <v>345</v>
      </c>
      <c r="F199" s="88" t="s">
        <v>148</v>
      </c>
      <c r="G199" s="96" t="str">
        <f>IF(F199="Skeet",IFERROR(INDEX('Shooter-Squad Assignment'!$A:$A,MATCH(C199&amp;"-"&amp;E199&amp;"-"&amp;F199&amp;"-Pos1",'Shooter-Squad Assignment'!$K:$K,0)),""),IF(F199="Trap",IFERROR(INDEX('Shooter-Squad Assignment'!$A:$A,MATCH(C199&amp;"-"&amp;E199&amp;"-"&amp;F199&amp;"-Pos1",'Shooter-Squad Assignment'!$W:$W,0)),""),IF(F199="Sporting Clays",IFERROR(INDEX('Shooter-Squad Assignment'!$A:$A,MATCH(C199&amp;"-"&amp;E199&amp;"-"&amp;F199&amp;"-Pos1",'Shooter-Squad Assignment'!$Z:$Z,0)),""),"")))</f>
        <v/>
      </c>
      <c r="H199" s="88" t="str">
        <f>IF(ISBLANK(G199),"",IFERROR(INDEX('Tournament List'!$D:$D,MATCH(G199,'Tournament List'!$A:$A,0)),""))</f>
        <v/>
      </c>
      <c r="I199" s="96" t="str">
        <f>IF(F199="Skeet",IFERROR(INDEX('Shooter-Squad Assignment'!$A:$A,MATCH(C199&amp;"-"&amp;E199&amp;"-"&amp;F199&amp;"-Pos2",'Shooter-Squad Assignment'!$K:$K,0)),""),IF(F199="Trap",IFERROR(INDEX('Shooter-Squad Assignment'!$A:$A,MATCH(C199&amp;"-"&amp;E199&amp;"-"&amp;F199&amp;"-Pos2",'Shooter-Squad Assignment'!$W:$W,0)),""),IF(F199="Sporting Clays",IFERROR(INDEX('Shooter-Squad Assignment'!$A:$A,MATCH(C199&amp;"-"&amp;E199&amp;"-"&amp;F199&amp;"-Pos2",'Shooter-Squad Assignment'!$Z:$Z,0)),""),"")))</f>
        <v/>
      </c>
      <c r="J199" s="88" t="str">
        <f>IF(ISBLANK(I199),"",IFERROR(INDEX('Tournament List'!$D:$D,MATCH(I199,'Tournament List'!$A:$A,0)),""))</f>
        <v/>
      </c>
      <c r="K199" s="96" t="str">
        <f>IF(F199="Skeet",IFERROR(INDEX('Shooter-Squad Assignment'!$A:$A,MATCH(C199&amp;"-"&amp;E199&amp;"-"&amp;F199&amp;"-Pos3",'Shooter-Squad Assignment'!$K:$K,0)),""),IF(F199="Trap",IFERROR(INDEX('Shooter-Squad Assignment'!$A:$A,MATCH(C199&amp;"-"&amp;E199&amp;"-"&amp;F199&amp;"-Pos3",'Shooter-Squad Assignment'!$W:$W,0)),""),IF(F199="Sporting Clays",IFERROR(INDEX('Shooter-Squad Assignment'!$A:$A,MATCH(C199&amp;"-"&amp;E199&amp;"-"&amp;F199&amp;"-Pos3",'Shooter-Squad Assignment'!$Z:$Z,0)),""),"")))</f>
        <v/>
      </c>
      <c r="L199" s="88" t="str">
        <f>IF(ISBLANK(K199),"",IFERROR(INDEX('Tournament List'!$D:$D,MATCH(K199,'Tournament List'!$A:$A,0)),""))</f>
        <v/>
      </c>
      <c r="M199" s="96" t="str">
        <f>IF(F199="Skeet",IFERROR(INDEX('Shooter-Squad Assignment'!$A:$A,MATCH(C199&amp;"-"&amp;E199&amp;"-"&amp;F199&amp;"-Pos4",'Shooter-Squad Assignment'!$K:$K,0)),""),IF(F199="Trap",IFERROR(INDEX('Shooter-Squad Assignment'!$A:$A,MATCH(C199&amp;"-"&amp;E199&amp;"-"&amp;F199&amp;"-Pos4",'Shooter-Squad Assignment'!$W:$W,0)),""),IF(F199="Sporting Clays",IFERROR(INDEX('Shooter-Squad Assignment'!$A:$A,MATCH(C199&amp;"-"&amp;E199&amp;"-"&amp;F199&amp;"-Pos4",'Shooter-Squad Assignment'!$Z:$Z,0)),""),"")))</f>
        <v/>
      </c>
      <c r="N199" s="88" t="str">
        <f>IF(ISBLANK(M199),"",IFERROR(INDEX('Tournament List'!$D:$D,MATCH(M199,'Tournament List'!$A:$A,0)),""))</f>
        <v/>
      </c>
      <c r="O199" s="96" t="str">
        <f>IF(F199="Skeet",IFERROR(INDEX('Shooter-Squad Assignment'!$A:$A,MATCH(C199&amp;"-"&amp;E199&amp;"-"&amp;F199&amp;"-Pos5",'Shooter-Squad Assignment'!$K:$K,0)),""),IF(F199="Trap",IFERROR(INDEX('Shooter-Squad Assignment'!$A:$A,MATCH(C199&amp;"-"&amp;E199&amp;"-"&amp;F199&amp;"-Pos5",'Shooter-Squad Assignment'!$W:$W,0)),""),IF(F199="Sporting Clays",IFERROR(INDEX('Shooter-Squad Assignment'!$A:$A,MATCH(C199&amp;"-"&amp;E199&amp;"-"&amp;F199&amp;"-Pos5",'Shooter-Squad Assignment'!$Z:$Z,0)),""),"")))</f>
        <v/>
      </c>
      <c r="P199" s="89" t="str">
        <f>IF(ISBLANK(O199),"",IFERROR(INDEX('Tournament List'!$D:$D,MATCH(O199,'Tournament List'!$A:$A,0)),""))</f>
        <v/>
      </c>
    </row>
    <row r="200" spans="1:16" x14ac:dyDescent="0.3">
      <c r="A200" s="87">
        <v>199</v>
      </c>
      <c r="B200" s="88" t="str">
        <f>C200&amp;"-"&amp;E200&amp;"-"&amp;F200</f>
        <v>Littleton Target Masters-Junior Varsity 3-Sporting Clays</v>
      </c>
      <c r="C200" s="88" t="s">
        <v>323</v>
      </c>
      <c r="D200" s="88" t="str">
        <f>INDEX('Tournament Setup'!$B$59:$B$78,MATCH(E200,SquadConcurrents,0))</f>
        <v>Junior Varsity</v>
      </c>
      <c r="E200" s="88" t="s">
        <v>351</v>
      </c>
      <c r="F200" s="88" t="s">
        <v>148</v>
      </c>
      <c r="G200" s="96" t="str">
        <f>IF(F200="Skeet",IFERROR(INDEX('Shooter-Squad Assignment'!$A:$A,MATCH(C200&amp;"-"&amp;E200&amp;"-"&amp;F200&amp;"-Pos1",'Shooter-Squad Assignment'!$K:$K,0)),""),IF(F200="Trap",IFERROR(INDEX('Shooter-Squad Assignment'!$A:$A,MATCH(C200&amp;"-"&amp;E200&amp;"-"&amp;F200&amp;"-Pos1",'Shooter-Squad Assignment'!$W:$W,0)),""),IF(F200="Sporting Clays",IFERROR(INDEX('Shooter-Squad Assignment'!$A:$A,MATCH(C200&amp;"-"&amp;E200&amp;"-"&amp;F200&amp;"-Pos1",'Shooter-Squad Assignment'!$Z:$Z,0)),""),"")))</f>
        <v/>
      </c>
      <c r="H200" s="88" t="str">
        <f>IF(ISBLANK(G200),"",IFERROR(INDEX('Tournament List'!$D:$D,MATCH(G200,'Tournament List'!$A:$A,0)),""))</f>
        <v/>
      </c>
      <c r="I200" s="96" t="str">
        <f>IF(F200="Skeet",IFERROR(INDEX('Shooter-Squad Assignment'!$A:$A,MATCH(C200&amp;"-"&amp;E200&amp;"-"&amp;F200&amp;"-Pos2",'Shooter-Squad Assignment'!$K:$K,0)),""),IF(F200="Trap",IFERROR(INDEX('Shooter-Squad Assignment'!$A:$A,MATCH(C200&amp;"-"&amp;E200&amp;"-"&amp;F200&amp;"-Pos2",'Shooter-Squad Assignment'!$W:$W,0)),""),IF(F200="Sporting Clays",IFERROR(INDEX('Shooter-Squad Assignment'!$A:$A,MATCH(C200&amp;"-"&amp;E200&amp;"-"&amp;F200&amp;"-Pos2",'Shooter-Squad Assignment'!$Z:$Z,0)),""),"")))</f>
        <v/>
      </c>
      <c r="J200" s="88" t="str">
        <f>IF(ISBLANK(I200),"",IFERROR(INDEX('Tournament List'!$D:$D,MATCH(I200,'Tournament List'!$A:$A,0)),""))</f>
        <v/>
      </c>
      <c r="K200" s="96" t="str">
        <f>IF(F200="Skeet",IFERROR(INDEX('Shooter-Squad Assignment'!$A:$A,MATCH(C200&amp;"-"&amp;E200&amp;"-"&amp;F200&amp;"-Pos3",'Shooter-Squad Assignment'!$K:$K,0)),""),IF(F200="Trap",IFERROR(INDEX('Shooter-Squad Assignment'!$A:$A,MATCH(C200&amp;"-"&amp;E200&amp;"-"&amp;F200&amp;"-Pos3",'Shooter-Squad Assignment'!$W:$W,0)),""),IF(F200="Sporting Clays",IFERROR(INDEX('Shooter-Squad Assignment'!$A:$A,MATCH(C200&amp;"-"&amp;E200&amp;"-"&amp;F200&amp;"-Pos3",'Shooter-Squad Assignment'!$Z:$Z,0)),""),"")))</f>
        <v/>
      </c>
      <c r="L200" s="88" t="str">
        <f>IF(ISBLANK(K200),"",IFERROR(INDEX('Tournament List'!$D:$D,MATCH(K200,'Tournament List'!$A:$A,0)),""))</f>
        <v/>
      </c>
      <c r="M200" s="96" t="str">
        <f>IF(F200="Skeet",IFERROR(INDEX('Shooter-Squad Assignment'!$A:$A,MATCH(C200&amp;"-"&amp;E200&amp;"-"&amp;F200&amp;"-Pos4",'Shooter-Squad Assignment'!$K:$K,0)),""),IF(F200="Trap",IFERROR(INDEX('Shooter-Squad Assignment'!$A:$A,MATCH(C200&amp;"-"&amp;E200&amp;"-"&amp;F200&amp;"-Pos4",'Shooter-Squad Assignment'!$W:$W,0)),""),IF(F200="Sporting Clays",IFERROR(INDEX('Shooter-Squad Assignment'!$A:$A,MATCH(C200&amp;"-"&amp;E200&amp;"-"&amp;F200&amp;"-Pos4",'Shooter-Squad Assignment'!$Z:$Z,0)),""),"")))</f>
        <v/>
      </c>
      <c r="N200" s="88" t="str">
        <f>IF(ISBLANK(M200),"",IFERROR(INDEX('Tournament List'!$D:$D,MATCH(M200,'Tournament List'!$A:$A,0)),""))</f>
        <v/>
      </c>
      <c r="O200" s="96" t="str">
        <f>IF(F200="Skeet",IFERROR(INDEX('Shooter-Squad Assignment'!$A:$A,MATCH(C200&amp;"-"&amp;E200&amp;"-"&amp;F200&amp;"-Pos5",'Shooter-Squad Assignment'!$K:$K,0)),""),IF(F200="Trap",IFERROR(INDEX('Shooter-Squad Assignment'!$A:$A,MATCH(C200&amp;"-"&amp;E200&amp;"-"&amp;F200&amp;"-Pos5",'Shooter-Squad Assignment'!$W:$W,0)),""),IF(F200="Sporting Clays",IFERROR(INDEX('Shooter-Squad Assignment'!$A:$A,MATCH(C200&amp;"-"&amp;E200&amp;"-"&amp;F200&amp;"-Pos5",'Shooter-Squad Assignment'!$Z:$Z,0)),""),"")))</f>
        <v/>
      </c>
      <c r="P200" s="89" t="str">
        <f>IF(ISBLANK(O200),"",IFERROR(INDEX('Tournament List'!$D:$D,MATCH(O200,'Tournament List'!$A:$A,0)),""))</f>
        <v/>
      </c>
    </row>
    <row r="201" spans="1:16" x14ac:dyDescent="0.3">
      <c r="A201" s="87">
        <v>200</v>
      </c>
      <c r="B201" s="88" t="str">
        <f>C201&amp;"-"&amp;E201&amp;"-"&amp;F201</f>
        <v>Littleton Target Masters-Novice 1-Sporting Clays</v>
      </c>
      <c r="C201" s="88" t="s">
        <v>323</v>
      </c>
      <c r="D201" s="88" t="str">
        <f>INDEX('Tournament Setup'!$B$59:$B$78,MATCH(E201,SquadConcurrents,0))</f>
        <v>Novice</v>
      </c>
      <c r="E201" s="88" t="s">
        <v>337</v>
      </c>
      <c r="F201" s="88" t="s">
        <v>148</v>
      </c>
      <c r="G201" s="96" t="str">
        <f>IF(F201="Skeet",IFERROR(INDEX('Shooter-Squad Assignment'!$A:$A,MATCH(C201&amp;"-"&amp;E201&amp;"-"&amp;F201&amp;"-Pos1",'Shooter-Squad Assignment'!$K:$K,0)),""),IF(F201="Trap",IFERROR(INDEX('Shooter-Squad Assignment'!$A:$A,MATCH(C201&amp;"-"&amp;E201&amp;"-"&amp;F201&amp;"-Pos1",'Shooter-Squad Assignment'!$W:$W,0)),""),IF(F201="Sporting Clays",IFERROR(INDEX('Shooter-Squad Assignment'!$A:$A,MATCH(C201&amp;"-"&amp;E201&amp;"-"&amp;F201&amp;"-Pos1",'Shooter-Squad Assignment'!$Z:$Z,0)),""),"")))</f>
        <v/>
      </c>
      <c r="H201" s="88" t="str">
        <f>IF(ISBLANK(G201),"",IFERROR(INDEX('Tournament List'!$D:$D,MATCH(G201,'Tournament List'!$A:$A,0)),""))</f>
        <v/>
      </c>
      <c r="I201" s="96" t="str">
        <f>IF(F201="Skeet",IFERROR(INDEX('Shooter-Squad Assignment'!$A:$A,MATCH(C201&amp;"-"&amp;E201&amp;"-"&amp;F201&amp;"-Pos2",'Shooter-Squad Assignment'!$K:$K,0)),""),IF(F201="Trap",IFERROR(INDEX('Shooter-Squad Assignment'!$A:$A,MATCH(C201&amp;"-"&amp;E201&amp;"-"&amp;F201&amp;"-Pos2",'Shooter-Squad Assignment'!$W:$W,0)),""),IF(F201="Sporting Clays",IFERROR(INDEX('Shooter-Squad Assignment'!$A:$A,MATCH(C201&amp;"-"&amp;E201&amp;"-"&amp;F201&amp;"-Pos2",'Shooter-Squad Assignment'!$Z:$Z,0)),""),"")))</f>
        <v/>
      </c>
      <c r="J201" s="88" t="str">
        <f>IF(ISBLANK(I201),"",IFERROR(INDEX('Tournament List'!$D:$D,MATCH(I201,'Tournament List'!$A:$A,0)),""))</f>
        <v/>
      </c>
      <c r="K201" s="96" t="str">
        <f>IF(F201="Skeet",IFERROR(INDEX('Shooter-Squad Assignment'!$A:$A,MATCH(C201&amp;"-"&amp;E201&amp;"-"&amp;F201&amp;"-Pos3",'Shooter-Squad Assignment'!$K:$K,0)),""),IF(F201="Trap",IFERROR(INDEX('Shooter-Squad Assignment'!$A:$A,MATCH(C201&amp;"-"&amp;E201&amp;"-"&amp;F201&amp;"-Pos3",'Shooter-Squad Assignment'!$W:$W,0)),""),IF(F201="Sporting Clays",IFERROR(INDEX('Shooter-Squad Assignment'!$A:$A,MATCH(C201&amp;"-"&amp;E201&amp;"-"&amp;F201&amp;"-Pos3",'Shooter-Squad Assignment'!$Z:$Z,0)),""),"")))</f>
        <v/>
      </c>
      <c r="L201" s="88" t="str">
        <f>IF(ISBLANK(K201),"",IFERROR(INDEX('Tournament List'!$D:$D,MATCH(K201,'Tournament List'!$A:$A,0)),""))</f>
        <v/>
      </c>
      <c r="M201" s="96" t="str">
        <f>IF(F201="Skeet",IFERROR(INDEX('Shooter-Squad Assignment'!$A:$A,MATCH(C201&amp;"-"&amp;E201&amp;"-"&amp;F201&amp;"-Pos4",'Shooter-Squad Assignment'!$K:$K,0)),""),IF(F201="Trap",IFERROR(INDEX('Shooter-Squad Assignment'!$A:$A,MATCH(C201&amp;"-"&amp;E201&amp;"-"&amp;F201&amp;"-Pos4",'Shooter-Squad Assignment'!$W:$W,0)),""),IF(F201="Sporting Clays",IFERROR(INDEX('Shooter-Squad Assignment'!$A:$A,MATCH(C201&amp;"-"&amp;E201&amp;"-"&amp;F201&amp;"-Pos4",'Shooter-Squad Assignment'!$Z:$Z,0)),""),"")))</f>
        <v/>
      </c>
      <c r="N201" s="88" t="str">
        <f>IF(ISBLANK(M201),"",IFERROR(INDEX('Tournament List'!$D:$D,MATCH(M201,'Tournament List'!$A:$A,0)),""))</f>
        <v/>
      </c>
      <c r="O201" s="96" t="str">
        <f>IF(F201="Skeet",IFERROR(INDEX('Shooter-Squad Assignment'!$A:$A,MATCH(C201&amp;"-"&amp;E201&amp;"-"&amp;F201&amp;"-Pos5",'Shooter-Squad Assignment'!$K:$K,0)),""),IF(F201="Trap",IFERROR(INDEX('Shooter-Squad Assignment'!$A:$A,MATCH(C201&amp;"-"&amp;E201&amp;"-"&amp;F201&amp;"-Pos5",'Shooter-Squad Assignment'!$W:$W,0)),""),IF(F201="Sporting Clays",IFERROR(INDEX('Shooter-Squad Assignment'!$A:$A,MATCH(C201&amp;"-"&amp;E201&amp;"-"&amp;F201&amp;"-Pos5",'Shooter-Squad Assignment'!$Z:$Z,0)),""),"")))</f>
        <v/>
      </c>
      <c r="P201" s="89" t="str">
        <f>IF(ISBLANK(O201),"",IFERROR(INDEX('Tournament List'!$D:$D,MATCH(O201,'Tournament List'!$A:$A,0)),""))</f>
        <v/>
      </c>
    </row>
    <row r="202" spans="1:16" x14ac:dyDescent="0.3">
      <c r="A202" s="87">
        <v>201</v>
      </c>
      <c r="B202" s="88" t="str">
        <f>C202&amp;"-"&amp;E202&amp;"-"&amp;F202</f>
        <v>Littleton Target Masters-Novice 2-Sporting Clays</v>
      </c>
      <c r="C202" s="88" t="s">
        <v>323</v>
      </c>
      <c r="D202" s="88" t="str">
        <f>INDEX('Tournament Setup'!$B$59:$B$78,MATCH(E202,SquadConcurrents,0))</f>
        <v>Novice</v>
      </c>
      <c r="E202" s="88" t="s">
        <v>343</v>
      </c>
      <c r="F202" s="88" t="s">
        <v>148</v>
      </c>
      <c r="G202" s="96" t="str">
        <f>IF(F202="Skeet",IFERROR(INDEX('Shooter-Squad Assignment'!$A:$A,MATCH(C202&amp;"-"&amp;E202&amp;"-"&amp;F202&amp;"-Pos1",'Shooter-Squad Assignment'!$K:$K,0)),""),IF(F202="Trap",IFERROR(INDEX('Shooter-Squad Assignment'!$A:$A,MATCH(C202&amp;"-"&amp;E202&amp;"-"&amp;F202&amp;"-Pos1",'Shooter-Squad Assignment'!$W:$W,0)),""),IF(F202="Sporting Clays",IFERROR(INDEX('Shooter-Squad Assignment'!$A:$A,MATCH(C202&amp;"-"&amp;E202&amp;"-"&amp;F202&amp;"-Pos1",'Shooter-Squad Assignment'!$Z:$Z,0)),""),"")))</f>
        <v/>
      </c>
      <c r="H202" s="88" t="str">
        <f>IF(ISBLANK(G202),"",IFERROR(INDEX('Tournament List'!$D:$D,MATCH(G202,'Tournament List'!$A:$A,0)),""))</f>
        <v/>
      </c>
      <c r="I202" s="96" t="str">
        <f>IF(F202="Skeet",IFERROR(INDEX('Shooter-Squad Assignment'!$A:$A,MATCH(C202&amp;"-"&amp;E202&amp;"-"&amp;F202&amp;"-Pos2",'Shooter-Squad Assignment'!$K:$K,0)),""),IF(F202="Trap",IFERROR(INDEX('Shooter-Squad Assignment'!$A:$A,MATCH(C202&amp;"-"&amp;E202&amp;"-"&amp;F202&amp;"-Pos2",'Shooter-Squad Assignment'!$W:$W,0)),""),IF(F202="Sporting Clays",IFERROR(INDEX('Shooter-Squad Assignment'!$A:$A,MATCH(C202&amp;"-"&amp;E202&amp;"-"&amp;F202&amp;"-Pos2",'Shooter-Squad Assignment'!$Z:$Z,0)),""),"")))</f>
        <v/>
      </c>
      <c r="J202" s="88" t="str">
        <f>IF(ISBLANK(I202),"",IFERROR(INDEX('Tournament List'!$D:$D,MATCH(I202,'Tournament List'!$A:$A,0)),""))</f>
        <v/>
      </c>
      <c r="K202" s="96" t="str">
        <f>IF(F202="Skeet",IFERROR(INDEX('Shooter-Squad Assignment'!$A:$A,MATCH(C202&amp;"-"&amp;E202&amp;"-"&amp;F202&amp;"-Pos3",'Shooter-Squad Assignment'!$K:$K,0)),""),IF(F202="Trap",IFERROR(INDEX('Shooter-Squad Assignment'!$A:$A,MATCH(C202&amp;"-"&amp;E202&amp;"-"&amp;F202&amp;"-Pos3",'Shooter-Squad Assignment'!$W:$W,0)),""),IF(F202="Sporting Clays",IFERROR(INDEX('Shooter-Squad Assignment'!$A:$A,MATCH(C202&amp;"-"&amp;E202&amp;"-"&amp;F202&amp;"-Pos3",'Shooter-Squad Assignment'!$Z:$Z,0)),""),"")))</f>
        <v/>
      </c>
      <c r="L202" s="88" t="str">
        <f>IF(ISBLANK(K202),"",IFERROR(INDEX('Tournament List'!$D:$D,MATCH(K202,'Tournament List'!$A:$A,0)),""))</f>
        <v/>
      </c>
      <c r="M202" s="96" t="str">
        <f>IF(F202="Skeet",IFERROR(INDEX('Shooter-Squad Assignment'!$A:$A,MATCH(C202&amp;"-"&amp;E202&amp;"-"&amp;F202&amp;"-Pos4",'Shooter-Squad Assignment'!$K:$K,0)),""),IF(F202="Trap",IFERROR(INDEX('Shooter-Squad Assignment'!$A:$A,MATCH(C202&amp;"-"&amp;E202&amp;"-"&amp;F202&amp;"-Pos4",'Shooter-Squad Assignment'!$W:$W,0)),""),IF(F202="Sporting Clays",IFERROR(INDEX('Shooter-Squad Assignment'!$A:$A,MATCH(C202&amp;"-"&amp;E202&amp;"-"&amp;F202&amp;"-Pos4",'Shooter-Squad Assignment'!$Z:$Z,0)),""),"")))</f>
        <v/>
      </c>
      <c r="N202" s="88" t="str">
        <f>IF(ISBLANK(M202),"",IFERROR(INDEX('Tournament List'!$D:$D,MATCH(M202,'Tournament List'!$A:$A,0)),""))</f>
        <v/>
      </c>
      <c r="O202" s="96" t="str">
        <f>IF(F202="Skeet",IFERROR(INDEX('Shooter-Squad Assignment'!$A:$A,MATCH(C202&amp;"-"&amp;E202&amp;"-"&amp;F202&amp;"-Pos5",'Shooter-Squad Assignment'!$K:$K,0)),""),IF(F202="Trap",IFERROR(INDEX('Shooter-Squad Assignment'!$A:$A,MATCH(C202&amp;"-"&amp;E202&amp;"-"&amp;F202&amp;"-Pos5",'Shooter-Squad Assignment'!$W:$W,0)),""),IF(F202="Sporting Clays",IFERROR(INDEX('Shooter-Squad Assignment'!$A:$A,MATCH(C202&amp;"-"&amp;E202&amp;"-"&amp;F202&amp;"-Pos5",'Shooter-Squad Assignment'!$Z:$Z,0)),""),"")))</f>
        <v/>
      </c>
      <c r="P202" s="89" t="str">
        <f>IF(ISBLANK(O202),"",IFERROR(INDEX('Tournament List'!$D:$D,MATCH(O202,'Tournament List'!$A:$A,0)),""))</f>
        <v/>
      </c>
    </row>
    <row r="203" spans="1:16" x14ac:dyDescent="0.3">
      <c r="A203" s="87">
        <v>202</v>
      </c>
      <c r="B203" s="88" t="str">
        <f>C203&amp;"-"&amp;E203&amp;"-"&amp;F203</f>
        <v>Littleton Target Masters-Novice 3-Sporting Clays</v>
      </c>
      <c r="C203" s="88" t="s">
        <v>323</v>
      </c>
      <c r="D203" s="88" t="str">
        <f>INDEX('Tournament Setup'!$B$59:$B$78,MATCH(E203,SquadConcurrents,0))</f>
        <v>Novice</v>
      </c>
      <c r="E203" s="88" t="s">
        <v>349</v>
      </c>
      <c r="F203" s="88" t="s">
        <v>148</v>
      </c>
      <c r="G203" s="96" t="str">
        <f>IF(F203="Skeet",IFERROR(INDEX('Shooter-Squad Assignment'!$A:$A,MATCH(C203&amp;"-"&amp;E203&amp;"-"&amp;F203&amp;"-Pos1",'Shooter-Squad Assignment'!$K:$K,0)),""),IF(F203="Trap",IFERROR(INDEX('Shooter-Squad Assignment'!$A:$A,MATCH(C203&amp;"-"&amp;E203&amp;"-"&amp;F203&amp;"-Pos1",'Shooter-Squad Assignment'!$W:$W,0)),""),IF(F203="Sporting Clays",IFERROR(INDEX('Shooter-Squad Assignment'!$A:$A,MATCH(C203&amp;"-"&amp;E203&amp;"-"&amp;F203&amp;"-Pos1",'Shooter-Squad Assignment'!$Z:$Z,0)),""),"")))</f>
        <v/>
      </c>
      <c r="H203" s="88" t="str">
        <f>IF(ISBLANK(G203),"",IFERROR(INDEX('Tournament List'!$D:$D,MATCH(G203,'Tournament List'!$A:$A,0)),""))</f>
        <v/>
      </c>
      <c r="I203" s="96" t="str">
        <f>IF(F203="Skeet",IFERROR(INDEX('Shooter-Squad Assignment'!$A:$A,MATCH(C203&amp;"-"&amp;E203&amp;"-"&amp;F203&amp;"-Pos2",'Shooter-Squad Assignment'!$K:$K,0)),""),IF(F203="Trap",IFERROR(INDEX('Shooter-Squad Assignment'!$A:$A,MATCH(C203&amp;"-"&amp;E203&amp;"-"&amp;F203&amp;"-Pos2",'Shooter-Squad Assignment'!$W:$W,0)),""),IF(F203="Sporting Clays",IFERROR(INDEX('Shooter-Squad Assignment'!$A:$A,MATCH(C203&amp;"-"&amp;E203&amp;"-"&amp;F203&amp;"-Pos2",'Shooter-Squad Assignment'!$Z:$Z,0)),""),"")))</f>
        <v/>
      </c>
      <c r="J203" s="88" t="str">
        <f>IF(ISBLANK(I203),"",IFERROR(INDEX('Tournament List'!$D:$D,MATCH(I203,'Tournament List'!$A:$A,0)),""))</f>
        <v/>
      </c>
      <c r="K203" s="96" t="str">
        <f>IF(F203="Skeet",IFERROR(INDEX('Shooter-Squad Assignment'!$A:$A,MATCH(C203&amp;"-"&amp;E203&amp;"-"&amp;F203&amp;"-Pos3",'Shooter-Squad Assignment'!$K:$K,0)),""),IF(F203="Trap",IFERROR(INDEX('Shooter-Squad Assignment'!$A:$A,MATCH(C203&amp;"-"&amp;E203&amp;"-"&amp;F203&amp;"-Pos3",'Shooter-Squad Assignment'!$W:$W,0)),""),IF(F203="Sporting Clays",IFERROR(INDEX('Shooter-Squad Assignment'!$A:$A,MATCH(C203&amp;"-"&amp;E203&amp;"-"&amp;F203&amp;"-Pos3",'Shooter-Squad Assignment'!$Z:$Z,0)),""),"")))</f>
        <v/>
      </c>
      <c r="L203" s="88" t="str">
        <f>IF(ISBLANK(K203),"",IFERROR(INDEX('Tournament List'!$D:$D,MATCH(K203,'Tournament List'!$A:$A,0)),""))</f>
        <v/>
      </c>
      <c r="M203" s="96" t="str">
        <f>IF(F203="Skeet",IFERROR(INDEX('Shooter-Squad Assignment'!$A:$A,MATCH(C203&amp;"-"&amp;E203&amp;"-"&amp;F203&amp;"-Pos4",'Shooter-Squad Assignment'!$K:$K,0)),""),IF(F203="Trap",IFERROR(INDEX('Shooter-Squad Assignment'!$A:$A,MATCH(C203&amp;"-"&amp;E203&amp;"-"&amp;F203&amp;"-Pos4",'Shooter-Squad Assignment'!$W:$W,0)),""),IF(F203="Sporting Clays",IFERROR(INDEX('Shooter-Squad Assignment'!$A:$A,MATCH(C203&amp;"-"&amp;E203&amp;"-"&amp;F203&amp;"-Pos4",'Shooter-Squad Assignment'!$Z:$Z,0)),""),"")))</f>
        <v/>
      </c>
      <c r="N203" s="88" t="str">
        <f>IF(ISBLANK(M203),"",IFERROR(INDEX('Tournament List'!$D:$D,MATCH(M203,'Tournament List'!$A:$A,0)),""))</f>
        <v/>
      </c>
      <c r="O203" s="96" t="str">
        <f>IF(F203="Skeet",IFERROR(INDEX('Shooter-Squad Assignment'!$A:$A,MATCH(C203&amp;"-"&amp;E203&amp;"-"&amp;F203&amp;"-Pos5",'Shooter-Squad Assignment'!$K:$K,0)),""),IF(F203="Trap",IFERROR(INDEX('Shooter-Squad Assignment'!$A:$A,MATCH(C203&amp;"-"&amp;E203&amp;"-"&amp;F203&amp;"-Pos5",'Shooter-Squad Assignment'!$W:$W,0)),""),IF(F203="Sporting Clays",IFERROR(INDEX('Shooter-Squad Assignment'!$A:$A,MATCH(C203&amp;"-"&amp;E203&amp;"-"&amp;F203&amp;"-Pos5",'Shooter-Squad Assignment'!$Z:$Z,0)),""),"")))</f>
        <v/>
      </c>
      <c r="P203" s="89" t="str">
        <f>IF(ISBLANK(O203),"",IFERROR(INDEX('Tournament List'!$D:$D,MATCH(O203,'Tournament List'!$A:$A,0)),""))</f>
        <v/>
      </c>
    </row>
    <row r="204" spans="1:16" x14ac:dyDescent="0.3">
      <c r="A204" s="87">
        <v>203</v>
      </c>
      <c r="B204" s="88" t="str">
        <f>C204&amp;"-"&amp;E204&amp;"-"&amp;F204</f>
        <v>Littleton Target Masters-Open 1-Sporting Clays</v>
      </c>
      <c r="C204" s="88" t="s">
        <v>323</v>
      </c>
      <c r="D204" s="88" t="str">
        <f>INDEX('Tournament Setup'!$B$59:$B$78,MATCH(E204,SquadConcurrents,0))</f>
        <v>Open</v>
      </c>
      <c r="E204" s="88" t="s">
        <v>341</v>
      </c>
      <c r="F204" s="88" t="s">
        <v>148</v>
      </c>
      <c r="G204" s="96" t="str">
        <f>IF(F204="Skeet",IFERROR(INDEX('Shooter-Squad Assignment'!$A:$A,MATCH(C204&amp;"-"&amp;E204&amp;"-"&amp;F204&amp;"-Pos1",'Shooter-Squad Assignment'!$K:$K,0)),""),IF(F204="Trap",IFERROR(INDEX('Shooter-Squad Assignment'!$A:$A,MATCH(C204&amp;"-"&amp;E204&amp;"-"&amp;F204&amp;"-Pos1",'Shooter-Squad Assignment'!$W:$W,0)),""),IF(F204="Sporting Clays",IFERROR(INDEX('Shooter-Squad Assignment'!$A:$A,MATCH(C204&amp;"-"&amp;E204&amp;"-"&amp;F204&amp;"-Pos1",'Shooter-Squad Assignment'!$Z:$Z,0)),""),"")))</f>
        <v/>
      </c>
      <c r="H204" s="88" t="str">
        <f>IF(ISBLANK(G204),"",IFERROR(INDEX('Tournament List'!$D:$D,MATCH(G204,'Tournament List'!$A:$A,0)),""))</f>
        <v/>
      </c>
      <c r="I204" s="96" t="str">
        <f>IF(F204="Skeet",IFERROR(INDEX('Shooter-Squad Assignment'!$A:$A,MATCH(C204&amp;"-"&amp;E204&amp;"-"&amp;F204&amp;"-Pos2",'Shooter-Squad Assignment'!$K:$K,0)),""),IF(F204="Trap",IFERROR(INDEX('Shooter-Squad Assignment'!$A:$A,MATCH(C204&amp;"-"&amp;E204&amp;"-"&amp;F204&amp;"-Pos2",'Shooter-Squad Assignment'!$W:$W,0)),""),IF(F204="Sporting Clays",IFERROR(INDEX('Shooter-Squad Assignment'!$A:$A,MATCH(C204&amp;"-"&amp;E204&amp;"-"&amp;F204&amp;"-Pos2",'Shooter-Squad Assignment'!$Z:$Z,0)),""),"")))</f>
        <v/>
      </c>
      <c r="J204" s="88" t="str">
        <f>IF(ISBLANK(I204),"",IFERROR(INDEX('Tournament List'!$D:$D,MATCH(I204,'Tournament List'!$A:$A,0)),""))</f>
        <v/>
      </c>
      <c r="K204" s="96" t="str">
        <f>IF(F204="Skeet",IFERROR(INDEX('Shooter-Squad Assignment'!$A:$A,MATCH(C204&amp;"-"&amp;E204&amp;"-"&amp;F204&amp;"-Pos3",'Shooter-Squad Assignment'!$K:$K,0)),""),IF(F204="Trap",IFERROR(INDEX('Shooter-Squad Assignment'!$A:$A,MATCH(C204&amp;"-"&amp;E204&amp;"-"&amp;F204&amp;"-Pos3",'Shooter-Squad Assignment'!$W:$W,0)),""),IF(F204="Sporting Clays",IFERROR(INDEX('Shooter-Squad Assignment'!$A:$A,MATCH(C204&amp;"-"&amp;E204&amp;"-"&amp;F204&amp;"-Pos3",'Shooter-Squad Assignment'!$Z:$Z,0)),""),"")))</f>
        <v/>
      </c>
      <c r="L204" s="88" t="str">
        <f>IF(ISBLANK(K204),"",IFERROR(INDEX('Tournament List'!$D:$D,MATCH(K204,'Tournament List'!$A:$A,0)),""))</f>
        <v/>
      </c>
      <c r="M204" s="96" t="str">
        <f>IF(F204="Skeet",IFERROR(INDEX('Shooter-Squad Assignment'!$A:$A,MATCH(C204&amp;"-"&amp;E204&amp;"-"&amp;F204&amp;"-Pos4",'Shooter-Squad Assignment'!$K:$K,0)),""),IF(F204="Trap",IFERROR(INDEX('Shooter-Squad Assignment'!$A:$A,MATCH(C204&amp;"-"&amp;E204&amp;"-"&amp;F204&amp;"-Pos4",'Shooter-Squad Assignment'!$W:$W,0)),""),IF(F204="Sporting Clays",IFERROR(INDEX('Shooter-Squad Assignment'!$A:$A,MATCH(C204&amp;"-"&amp;E204&amp;"-"&amp;F204&amp;"-Pos4",'Shooter-Squad Assignment'!$Z:$Z,0)),""),"")))</f>
        <v/>
      </c>
      <c r="N204" s="88" t="str">
        <f>IF(ISBLANK(M204),"",IFERROR(INDEX('Tournament List'!$D:$D,MATCH(M204,'Tournament List'!$A:$A,0)),""))</f>
        <v/>
      </c>
      <c r="O204" s="96" t="str">
        <f>IF(F204="Skeet",IFERROR(INDEX('Shooter-Squad Assignment'!$A:$A,MATCH(C204&amp;"-"&amp;E204&amp;"-"&amp;F204&amp;"-Pos5",'Shooter-Squad Assignment'!$K:$K,0)),""),IF(F204="Trap",IFERROR(INDEX('Shooter-Squad Assignment'!$A:$A,MATCH(C204&amp;"-"&amp;E204&amp;"-"&amp;F204&amp;"-Pos5",'Shooter-Squad Assignment'!$W:$W,0)),""),IF(F204="Sporting Clays",IFERROR(INDEX('Shooter-Squad Assignment'!$A:$A,MATCH(C204&amp;"-"&amp;E204&amp;"-"&amp;F204&amp;"-Pos5",'Shooter-Squad Assignment'!$Z:$Z,0)),""),"")))</f>
        <v/>
      </c>
      <c r="P204" s="89" t="str">
        <f>IF(ISBLANK(O204),"",IFERROR(INDEX('Tournament List'!$D:$D,MATCH(O204,'Tournament List'!$A:$A,0)),""))</f>
        <v/>
      </c>
    </row>
    <row r="205" spans="1:16" x14ac:dyDescent="0.3">
      <c r="A205" s="87">
        <v>204</v>
      </c>
      <c r="B205" s="88" t="str">
        <f>C205&amp;"-"&amp;E205&amp;"-"&amp;F205</f>
        <v>Littleton Target Masters-Open 2-Sporting Clays</v>
      </c>
      <c r="C205" s="88" t="s">
        <v>323</v>
      </c>
      <c r="D205" s="88" t="str">
        <f>INDEX('Tournament Setup'!$B$59:$B$78,MATCH(E205,SquadConcurrents,0))</f>
        <v>Open</v>
      </c>
      <c r="E205" s="88" t="s">
        <v>347</v>
      </c>
      <c r="F205" s="88" t="s">
        <v>148</v>
      </c>
      <c r="G205" s="96" t="str">
        <f>IF(F205="Skeet",IFERROR(INDEX('Shooter-Squad Assignment'!$A:$A,MATCH(C205&amp;"-"&amp;E205&amp;"-"&amp;F205&amp;"-Pos1",'Shooter-Squad Assignment'!$K:$K,0)),""),IF(F205="Trap",IFERROR(INDEX('Shooter-Squad Assignment'!$A:$A,MATCH(C205&amp;"-"&amp;E205&amp;"-"&amp;F205&amp;"-Pos1",'Shooter-Squad Assignment'!$W:$W,0)),""),IF(F205="Sporting Clays",IFERROR(INDEX('Shooter-Squad Assignment'!$A:$A,MATCH(C205&amp;"-"&amp;E205&amp;"-"&amp;F205&amp;"-Pos1",'Shooter-Squad Assignment'!$Z:$Z,0)),""),"")))</f>
        <v/>
      </c>
      <c r="H205" s="88" t="str">
        <f>IF(ISBLANK(G205),"",IFERROR(INDEX('Tournament List'!$D:$D,MATCH(G205,'Tournament List'!$A:$A,0)),""))</f>
        <v/>
      </c>
      <c r="I205" s="96" t="str">
        <f>IF(F205="Skeet",IFERROR(INDEX('Shooter-Squad Assignment'!$A:$A,MATCH(C205&amp;"-"&amp;E205&amp;"-"&amp;F205&amp;"-Pos2",'Shooter-Squad Assignment'!$K:$K,0)),""),IF(F205="Trap",IFERROR(INDEX('Shooter-Squad Assignment'!$A:$A,MATCH(C205&amp;"-"&amp;E205&amp;"-"&amp;F205&amp;"-Pos2",'Shooter-Squad Assignment'!$W:$W,0)),""),IF(F205="Sporting Clays",IFERROR(INDEX('Shooter-Squad Assignment'!$A:$A,MATCH(C205&amp;"-"&amp;E205&amp;"-"&amp;F205&amp;"-Pos2",'Shooter-Squad Assignment'!$Z:$Z,0)),""),"")))</f>
        <v/>
      </c>
      <c r="J205" s="88" t="str">
        <f>IF(ISBLANK(I205),"",IFERROR(INDEX('Tournament List'!$D:$D,MATCH(I205,'Tournament List'!$A:$A,0)),""))</f>
        <v/>
      </c>
      <c r="K205" s="96" t="str">
        <f>IF(F205="Skeet",IFERROR(INDEX('Shooter-Squad Assignment'!$A:$A,MATCH(C205&amp;"-"&amp;E205&amp;"-"&amp;F205&amp;"-Pos3",'Shooter-Squad Assignment'!$K:$K,0)),""),IF(F205="Trap",IFERROR(INDEX('Shooter-Squad Assignment'!$A:$A,MATCH(C205&amp;"-"&amp;E205&amp;"-"&amp;F205&amp;"-Pos3",'Shooter-Squad Assignment'!$W:$W,0)),""),IF(F205="Sporting Clays",IFERROR(INDEX('Shooter-Squad Assignment'!$A:$A,MATCH(C205&amp;"-"&amp;E205&amp;"-"&amp;F205&amp;"-Pos3",'Shooter-Squad Assignment'!$Z:$Z,0)),""),"")))</f>
        <v/>
      </c>
      <c r="L205" s="88" t="str">
        <f>IF(ISBLANK(K205),"",IFERROR(INDEX('Tournament List'!$D:$D,MATCH(K205,'Tournament List'!$A:$A,0)),""))</f>
        <v/>
      </c>
      <c r="M205" s="96" t="str">
        <f>IF(F205="Skeet",IFERROR(INDEX('Shooter-Squad Assignment'!$A:$A,MATCH(C205&amp;"-"&amp;E205&amp;"-"&amp;F205&amp;"-Pos4",'Shooter-Squad Assignment'!$K:$K,0)),""),IF(F205="Trap",IFERROR(INDEX('Shooter-Squad Assignment'!$A:$A,MATCH(C205&amp;"-"&amp;E205&amp;"-"&amp;F205&amp;"-Pos4",'Shooter-Squad Assignment'!$W:$W,0)),""),IF(F205="Sporting Clays",IFERROR(INDEX('Shooter-Squad Assignment'!$A:$A,MATCH(C205&amp;"-"&amp;E205&amp;"-"&amp;F205&amp;"-Pos4",'Shooter-Squad Assignment'!$Z:$Z,0)),""),"")))</f>
        <v/>
      </c>
      <c r="N205" s="88" t="str">
        <f>IF(ISBLANK(M205),"",IFERROR(INDEX('Tournament List'!$D:$D,MATCH(M205,'Tournament List'!$A:$A,0)),""))</f>
        <v/>
      </c>
      <c r="O205" s="96" t="str">
        <f>IF(F205="Skeet",IFERROR(INDEX('Shooter-Squad Assignment'!$A:$A,MATCH(C205&amp;"-"&amp;E205&amp;"-"&amp;F205&amp;"-Pos5",'Shooter-Squad Assignment'!$K:$K,0)),""),IF(F205="Trap",IFERROR(INDEX('Shooter-Squad Assignment'!$A:$A,MATCH(C205&amp;"-"&amp;E205&amp;"-"&amp;F205&amp;"-Pos5",'Shooter-Squad Assignment'!$W:$W,0)),""),IF(F205="Sporting Clays",IFERROR(INDEX('Shooter-Squad Assignment'!$A:$A,MATCH(C205&amp;"-"&amp;E205&amp;"-"&amp;F205&amp;"-Pos5",'Shooter-Squad Assignment'!$Z:$Z,0)),""),"")))</f>
        <v/>
      </c>
      <c r="P205" s="89" t="str">
        <f>IF(ISBLANK(O205),"",IFERROR(INDEX('Tournament List'!$D:$D,MATCH(O205,'Tournament List'!$A:$A,0)),""))</f>
        <v/>
      </c>
    </row>
    <row r="206" spans="1:16" x14ac:dyDescent="0.3">
      <c r="A206" s="87">
        <v>205</v>
      </c>
      <c r="B206" s="88" t="str">
        <f>C206&amp;"-"&amp;E206&amp;"-"&amp;F206</f>
        <v>Littleton Target Masters-Open 3-Sporting Clays</v>
      </c>
      <c r="C206" s="88" t="s">
        <v>323</v>
      </c>
      <c r="D206" s="88" t="str">
        <f>INDEX('Tournament Setup'!$B$59:$B$78,MATCH(E206,SquadConcurrents,0))</f>
        <v>Open</v>
      </c>
      <c r="E206" s="88" t="s">
        <v>353</v>
      </c>
      <c r="F206" s="88" t="s">
        <v>148</v>
      </c>
      <c r="G206" s="96" t="str">
        <f>IF(F206="Skeet",IFERROR(INDEX('Shooter-Squad Assignment'!$A:$A,MATCH(C206&amp;"-"&amp;E206&amp;"-"&amp;F206&amp;"-Pos1",'Shooter-Squad Assignment'!$K:$K,0)),""),IF(F206="Trap",IFERROR(INDEX('Shooter-Squad Assignment'!$A:$A,MATCH(C206&amp;"-"&amp;E206&amp;"-"&amp;F206&amp;"-Pos1",'Shooter-Squad Assignment'!$W:$W,0)),""),IF(F206="Sporting Clays",IFERROR(INDEX('Shooter-Squad Assignment'!$A:$A,MATCH(C206&amp;"-"&amp;E206&amp;"-"&amp;F206&amp;"-Pos1",'Shooter-Squad Assignment'!$Z:$Z,0)),""),"")))</f>
        <v/>
      </c>
      <c r="H206" s="88" t="str">
        <f>IF(ISBLANK(G206),"",IFERROR(INDEX('Tournament List'!$D:$D,MATCH(G206,'Tournament List'!$A:$A,0)),""))</f>
        <v/>
      </c>
      <c r="I206" s="96" t="str">
        <f>IF(F206="Skeet",IFERROR(INDEX('Shooter-Squad Assignment'!$A:$A,MATCH(C206&amp;"-"&amp;E206&amp;"-"&amp;F206&amp;"-Pos2",'Shooter-Squad Assignment'!$K:$K,0)),""),IF(F206="Trap",IFERROR(INDEX('Shooter-Squad Assignment'!$A:$A,MATCH(C206&amp;"-"&amp;E206&amp;"-"&amp;F206&amp;"-Pos2",'Shooter-Squad Assignment'!$W:$W,0)),""),IF(F206="Sporting Clays",IFERROR(INDEX('Shooter-Squad Assignment'!$A:$A,MATCH(C206&amp;"-"&amp;E206&amp;"-"&amp;F206&amp;"-Pos2",'Shooter-Squad Assignment'!$Z:$Z,0)),""),"")))</f>
        <v/>
      </c>
      <c r="J206" s="88" t="str">
        <f>IF(ISBLANK(I206),"",IFERROR(INDEX('Tournament List'!$D:$D,MATCH(I206,'Tournament List'!$A:$A,0)),""))</f>
        <v/>
      </c>
      <c r="K206" s="96" t="str">
        <f>IF(F206="Skeet",IFERROR(INDEX('Shooter-Squad Assignment'!$A:$A,MATCH(C206&amp;"-"&amp;E206&amp;"-"&amp;F206&amp;"-Pos3",'Shooter-Squad Assignment'!$K:$K,0)),""),IF(F206="Trap",IFERROR(INDEX('Shooter-Squad Assignment'!$A:$A,MATCH(C206&amp;"-"&amp;E206&amp;"-"&amp;F206&amp;"-Pos3",'Shooter-Squad Assignment'!$W:$W,0)),""),IF(F206="Sporting Clays",IFERROR(INDEX('Shooter-Squad Assignment'!$A:$A,MATCH(C206&amp;"-"&amp;E206&amp;"-"&amp;F206&amp;"-Pos3",'Shooter-Squad Assignment'!$Z:$Z,0)),""),"")))</f>
        <v/>
      </c>
      <c r="L206" s="88" t="str">
        <f>IF(ISBLANK(K206),"",IFERROR(INDEX('Tournament List'!$D:$D,MATCH(K206,'Tournament List'!$A:$A,0)),""))</f>
        <v/>
      </c>
      <c r="M206" s="96" t="str">
        <f>IF(F206="Skeet",IFERROR(INDEX('Shooter-Squad Assignment'!$A:$A,MATCH(C206&amp;"-"&amp;E206&amp;"-"&amp;F206&amp;"-Pos4",'Shooter-Squad Assignment'!$K:$K,0)),""),IF(F206="Trap",IFERROR(INDEX('Shooter-Squad Assignment'!$A:$A,MATCH(C206&amp;"-"&amp;E206&amp;"-"&amp;F206&amp;"-Pos4",'Shooter-Squad Assignment'!$W:$W,0)),""),IF(F206="Sporting Clays",IFERROR(INDEX('Shooter-Squad Assignment'!$A:$A,MATCH(C206&amp;"-"&amp;E206&amp;"-"&amp;F206&amp;"-Pos4",'Shooter-Squad Assignment'!$Z:$Z,0)),""),"")))</f>
        <v/>
      </c>
      <c r="N206" s="88" t="str">
        <f>IF(ISBLANK(M206),"",IFERROR(INDEX('Tournament List'!$D:$D,MATCH(M206,'Tournament List'!$A:$A,0)),""))</f>
        <v/>
      </c>
      <c r="O206" s="96" t="str">
        <f>IF(F206="Skeet",IFERROR(INDEX('Shooter-Squad Assignment'!$A:$A,MATCH(C206&amp;"-"&amp;E206&amp;"-"&amp;F206&amp;"-Pos5",'Shooter-Squad Assignment'!$K:$K,0)),""),IF(F206="Trap",IFERROR(INDEX('Shooter-Squad Assignment'!$A:$A,MATCH(C206&amp;"-"&amp;E206&amp;"-"&amp;F206&amp;"-Pos5",'Shooter-Squad Assignment'!$W:$W,0)),""),IF(F206="Sporting Clays",IFERROR(INDEX('Shooter-Squad Assignment'!$A:$A,MATCH(C206&amp;"-"&amp;E206&amp;"-"&amp;F206&amp;"-Pos5",'Shooter-Squad Assignment'!$Z:$Z,0)),""),"")))</f>
        <v/>
      </c>
      <c r="P206" s="89" t="str">
        <f>IF(ISBLANK(O206),"",IFERROR(INDEX('Tournament List'!$D:$D,MATCH(O206,'Tournament List'!$A:$A,0)),""))</f>
        <v/>
      </c>
    </row>
    <row r="207" spans="1:16" x14ac:dyDescent="0.3">
      <c r="A207" s="87">
        <v>206</v>
      </c>
      <c r="B207" s="88" t="str">
        <f>C207&amp;"-"&amp;E207&amp;"-"&amp;F207</f>
        <v>Littleton Target Masters-Unassigned 1-Sporting Clays</v>
      </c>
      <c r="C207" s="88" t="s">
        <v>323</v>
      </c>
      <c r="D207" s="88" t="str">
        <f>INDEX('Tournament Setup'!$B$59:$B$78,MATCH(E207,SquadConcurrents,0))</f>
        <v>Unassigned</v>
      </c>
      <c r="E207" s="88" t="s">
        <v>762</v>
      </c>
      <c r="F207" s="88" t="s">
        <v>148</v>
      </c>
      <c r="G207" s="96" t="str">
        <f>IF(F207="Skeet",IFERROR(INDEX('Shooter-Squad Assignment'!$A:$A,MATCH(C207&amp;"-"&amp;E207&amp;"-"&amp;F207&amp;"-Pos1",'Shooter-Squad Assignment'!$K:$K,0)),""),IF(F207="Trap",IFERROR(INDEX('Shooter-Squad Assignment'!$A:$A,MATCH(C207&amp;"-"&amp;E207&amp;"-"&amp;F207&amp;"-Pos1",'Shooter-Squad Assignment'!$W:$W,0)),""),IF(F207="Sporting Clays",IFERROR(INDEX('Shooter-Squad Assignment'!$A:$A,MATCH(C207&amp;"-"&amp;E207&amp;"-"&amp;F207&amp;"-Pos1",'Shooter-Squad Assignment'!$Z:$Z,0)),""),"")))</f>
        <v/>
      </c>
      <c r="H207" s="88" t="str">
        <f>IF(ISBLANK(G207),"",IFERROR(INDEX('Tournament List'!$D:$D,MATCH(G207,'Tournament List'!$A:$A,0)),""))</f>
        <v/>
      </c>
      <c r="I207" s="96" t="str">
        <f>IF(F207="Skeet",IFERROR(INDEX('Shooter-Squad Assignment'!$A:$A,MATCH(C207&amp;"-"&amp;E207&amp;"-"&amp;F207&amp;"-Pos2",'Shooter-Squad Assignment'!$K:$K,0)),""),IF(F207="Trap",IFERROR(INDEX('Shooter-Squad Assignment'!$A:$A,MATCH(C207&amp;"-"&amp;E207&amp;"-"&amp;F207&amp;"-Pos2",'Shooter-Squad Assignment'!$W:$W,0)),""),IF(F207="Sporting Clays",IFERROR(INDEX('Shooter-Squad Assignment'!$A:$A,MATCH(C207&amp;"-"&amp;E207&amp;"-"&amp;F207&amp;"-Pos2",'Shooter-Squad Assignment'!$Z:$Z,0)),""),"")))</f>
        <v/>
      </c>
      <c r="J207" s="88" t="str">
        <f>IF(ISBLANK(I207),"",IFERROR(INDEX('Tournament List'!$D:$D,MATCH(I207,'Tournament List'!$A:$A,0)),""))</f>
        <v/>
      </c>
      <c r="K207" s="96" t="str">
        <f>IF(F207="Skeet",IFERROR(INDEX('Shooter-Squad Assignment'!$A:$A,MATCH(C207&amp;"-"&amp;E207&amp;"-"&amp;F207&amp;"-Pos3",'Shooter-Squad Assignment'!$K:$K,0)),""),IF(F207="Trap",IFERROR(INDEX('Shooter-Squad Assignment'!$A:$A,MATCH(C207&amp;"-"&amp;E207&amp;"-"&amp;F207&amp;"-Pos3",'Shooter-Squad Assignment'!$W:$W,0)),""),IF(F207="Sporting Clays",IFERROR(INDEX('Shooter-Squad Assignment'!$A:$A,MATCH(C207&amp;"-"&amp;E207&amp;"-"&amp;F207&amp;"-Pos3",'Shooter-Squad Assignment'!$Z:$Z,0)),""),"")))</f>
        <v/>
      </c>
      <c r="L207" s="88" t="str">
        <f>IF(ISBLANK(K207),"",IFERROR(INDEX('Tournament List'!$D:$D,MATCH(K207,'Tournament List'!$A:$A,0)),""))</f>
        <v/>
      </c>
      <c r="M207" s="96" t="str">
        <f>IF(F207="Skeet",IFERROR(INDEX('Shooter-Squad Assignment'!$A:$A,MATCH(C207&amp;"-"&amp;E207&amp;"-"&amp;F207&amp;"-Pos4",'Shooter-Squad Assignment'!$K:$K,0)),""),IF(F207="Trap",IFERROR(INDEX('Shooter-Squad Assignment'!$A:$A,MATCH(C207&amp;"-"&amp;E207&amp;"-"&amp;F207&amp;"-Pos4",'Shooter-Squad Assignment'!$W:$W,0)),""),IF(F207="Sporting Clays",IFERROR(INDEX('Shooter-Squad Assignment'!$A:$A,MATCH(C207&amp;"-"&amp;E207&amp;"-"&amp;F207&amp;"-Pos4",'Shooter-Squad Assignment'!$Z:$Z,0)),""),"")))</f>
        <v/>
      </c>
      <c r="N207" s="88" t="str">
        <f>IF(ISBLANK(M207),"",IFERROR(INDEX('Tournament List'!$D:$D,MATCH(M207,'Tournament List'!$A:$A,0)),""))</f>
        <v/>
      </c>
      <c r="O207" s="96" t="str">
        <f>IF(F207="Skeet",IFERROR(INDEX('Shooter-Squad Assignment'!$A:$A,MATCH(C207&amp;"-"&amp;E207&amp;"-"&amp;F207&amp;"-Pos5",'Shooter-Squad Assignment'!$K:$K,0)),""),IF(F207="Trap",IFERROR(INDEX('Shooter-Squad Assignment'!$A:$A,MATCH(C207&amp;"-"&amp;E207&amp;"-"&amp;F207&amp;"-Pos5",'Shooter-Squad Assignment'!$W:$W,0)),""),IF(F207="Sporting Clays",IFERROR(INDEX('Shooter-Squad Assignment'!$A:$A,MATCH(C207&amp;"-"&amp;E207&amp;"-"&amp;F207&amp;"-Pos5",'Shooter-Squad Assignment'!$Z:$Z,0)),""),"")))</f>
        <v/>
      </c>
      <c r="P207" s="89" t="str">
        <f>IF(ISBLANK(O207),"",IFERROR(INDEX('Tournament List'!$D:$D,MATCH(O207,'Tournament List'!$A:$A,0)),""))</f>
        <v/>
      </c>
    </row>
    <row r="208" spans="1:16" x14ac:dyDescent="0.3">
      <c r="A208" s="87">
        <v>207</v>
      </c>
      <c r="B208" s="88" t="str">
        <f>C208&amp;"-"&amp;E208&amp;"-"&amp;F208</f>
        <v>Littleton Target Masters-Varsity 1-Sporting Clays</v>
      </c>
      <c r="C208" s="88" t="s">
        <v>323</v>
      </c>
      <c r="D208" s="88" t="str">
        <f>INDEX('Tournament Setup'!$B$59:$B$78,MATCH(E208,SquadConcurrents,0))</f>
        <v>Varsity</v>
      </c>
      <c r="E208" s="88" t="s">
        <v>340</v>
      </c>
      <c r="F208" s="88" t="s">
        <v>148</v>
      </c>
      <c r="G208" s="96" t="str">
        <f>IF(F208="Skeet",IFERROR(INDEX('Shooter-Squad Assignment'!$A:$A,MATCH(C208&amp;"-"&amp;E208&amp;"-"&amp;F208&amp;"-Pos1",'Shooter-Squad Assignment'!$K:$K,0)),""),IF(F208="Trap",IFERROR(INDEX('Shooter-Squad Assignment'!$A:$A,MATCH(C208&amp;"-"&amp;E208&amp;"-"&amp;F208&amp;"-Pos1",'Shooter-Squad Assignment'!$W:$W,0)),""),IF(F208="Sporting Clays",IFERROR(INDEX('Shooter-Squad Assignment'!$A:$A,MATCH(C208&amp;"-"&amp;E208&amp;"-"&amp;F208&amp;"-Pos1",'Shooter-Squad Assignment'!$Z:$Z,0)),""),"")))</f>
        <v/>
      </c>
      <c r="H208" s="88" t="str">
        <f>IF(ISBLANK(G208),"",IFERROR(INDEX('Tournament List'!$D:$D,MATCH(G208,'Tournament List'!$A:$A,0)),""))</f>
        <v/>
      </c>
      <c r="I208" s="96" t="str">
        <f>IF(F208="Skeet",IFERROR(INDEX('Shooter-Squad Assignment'!$A:$A,MATCH(C208&amp;"-"&amp;E208&amp;"-"&amp;F208&amp;"-Pos2",'Shooter-Squad Assignment'!$K:$K,0)),""),IF(F208="Trap",IFERROR(INDEX('Shooter-Squad Assignment'!$A:$A,MATCH(C208&amp;"-"&amp;E208&amp;"-"&amp;F208&amp;"-Pos2",'Shooter-Squad Assignment'!$W:$W,0)),""),IF(F208="Sporting Clays",IFERROR(INDEX('Shooter-Squad Assignment'!$A:$A,MATCH(C208&amp;"-"&amp;E208&amp;"-"&amp;F208&amp;"-Pos2",'Shooter-Squad Assignment'!$Z:$Z,0)),""),"")))</f>
        <v/>
      </c>
      <c r="J208" s="88" t="str">
        <f>IF(ISBLANK(I208),"",IFERROR(INDEX('Tournament List'!$D:$D,MATCH(I208,'Tournament List'!$A:$A,0)),""))</f>
        <v/>
      </c>
      <c r="K208" s="96" t="str">
        <f>IF(F208="Skeet",IFERROR(INDEX('Shooter-Squad Assignment'!$A:$A,MATCH(C208&amp;"-"&amp;E208&amp;"-"&amp;F208&amp;"-Pos3",'Shooter-Squad Assignment'!$K:$K,0)),""),IF(F208="Trap",IFERROR(INDEX('Shooter-Squad Assignment'!$A:$A,MATCH(C208&amp;"-"&amp;E208&amp;"-"&amp;F208&amp;"-Pos3",'Shooter-Squad Assignment'!$W:$W,0)),""),IF(F208="Sporting Clays",IFERROR(INDEX('Shooter-Squad Assignment'!$A:$A,MATCH(C208&amp;"-"&amp;E208&amp;"-"&amp;F208&amp;"-Pos3",'Shooter-Squad Assignment'!$Z:$Z,0)),""),"")))</f>
        <v/>
      </c>
      <c r="L208" s="88" t="str">
        <f>IF(ISBLANK(K208),"",IFERROR(INDEX('Tournament List'!$D:$D,MATCH(K208,'Tournament List'!$A:$A,0)),""))</f>
        <v/>
      </c>
      <c r="M208" s="96" t="str">
        <f>IF(F208="Skeet",IFERROR(INDEX('Shooter-Squad Assignment'!$A:$A,MATCH(C208&amp;"-"&amp;E208&amp;"-"&amp;F208&amp;"-Pos4",'Shooter-Squad Assignment'!$K:$K,0)),""),IF(F208="Trap",IFERROR(INDEX('Shooter-Squad Assignment'!$A:$A,MATCH(C208&amp;"-"&amp;E208&amp;"-"&amp;F208&amp;"-Pos4",'Shooter-Squad Assignment'!$W:$W,0)),""),IF(F208="Sporting Clays",IFERROR(INDEX('Shooter-Squad Assignment'!$A:$A,MATCH(C208&amp;"-"&amp;E208&amp;"-"&amp;F208&amp;"-Pos4",'Shooter-Squad Assignment'!$Z:$Z,0)),""),"")))</f>
        <v/>
      </c>
      <c r="N208" s="88" t="str">
        <f>IF(ISBLANK(M208),"",IFERROR(INDEX('Tournament List'!$D:$D,MATCH(M208,'Tournament List'!$A:$A,0)),""))</f>
        <v/>
      </c>
      <c r="O208" s="96" t="str">
        <f>IF(F208="Skeet",IFERROR(INDEX('Shooter-Squad Assignment'!$A:$A,MATCH(C208&amp;"-"&amp;E208&amp;"-"&amp;F208&amp;"-Pos5",'Shooter-Squad Assignment'!$K:$K,0)),""),IF(F208="Trap",IFERROR(INDEX('Shooter-Squad Assignment'!$A:$A,MATCH(C208&amp;"-"&amp;E208&amp;"-"&amp;F208&amp;"-Pos5",'Shooter-Squad Assignment'!$W:$W,0)),""),IF(F208="Sporting Clays",IFERROR(INDEX('Shooter-Squad Assignment'!$A:$A,MATCH(C208&amp;"-"&amp;E208&amp;"-"&amp;F208&amp;"-Pos5",'Shooter-Squad Assignment'!$Z:$Z,0)),""),"")))</f>
        <v/>
      </c>
      <c r="P208" s="89" t="str">
        <f>IF(ISBLANK(O208),"",IFERROR(INDEX('Tournament List'!$D:$D,MATCH(O208,'Tournament List'!$A:$A,0)),""))</f>
        <v/>
      </c>
    </row>
    <row r="209" spans="1:16" x14ac:dyDescent="0.3">
      <c r="A209" s="87">
        <v>208</v>
      </c>
      <c r="B209" s="88" t="str">
        <f>C209&amp;"-"&amp;E209&amp;"-"&amp;F209</f>
        <v>Littleton Target Masters-Varsity 2-Sporting Clays</v>
      </c>
      <c r="C209" s="88" t="s">
        <v>323</v>
      </c>
      <c r="D209" s="88" t="str">
        <f>INDEX('Tournament Setup'!$B$59:$B$78,MATCH(E209,SquadConcurrents,0))</f>
        <v>Varsity</v>
      </c>
      <c r="E209" s="88" t="s">
        <v>346</v>
      </c>
      <c r="F209" s="88" t="s">
        <v>148</v>
      </c>
      <c r="G209" s="96" t="str">
        <f>IF(F209="Skeet",IFERROR(INDEX('Shooter-Squad Assignment'!$A:$A,MATCH(C209&amp;"-"&amp;E209&amp;"-"&amp;F209&amp;"-Pos1",'Shooter-Squad Assignment'!$K:$K,0)),""),IF(F209="Trap",IFERROR(INDEX('Shooter-Squad Assignment'!$A:$A,MATCH(C209&amp;"-"&amp;E209&amp;"-"&amp;F209&amp;"-Pos1",'Shooter-Squad Assignment'!$W:$W,0)),""),IF(F209="Sporting Clays",IFERROR(INDEX('Shooter-Squad Assignment'!$A:$A,MATCH(C209&amp;"-"&amp;E209&amp;"-"&amp;F209&amp;"-Pos1",'Shooter-Squad Assignment'!$Z:$Z,0)),""),"")))</f>
        <v/>
      </c>
      <c r="H209" s="88" t="str">
        <f>IF(ISBLANK(G209),"",IFERROR(INDEX('Tournament List'!$D:$D,MATCH(G209,'Tournament List'!$A:$A,0)),""))</f>
        <v/>
      </c>
      <c r="I209" s="96" t="str">
        <f>IF(F209="Skeet",IFERROR(INDEX('Shooter-Squad Assignment'!$A:$A,MATCH(C209&amp;"-"&amp;E209&amp;"-"&amp;F209&amp;"-Pos2",'Shooter-Squad Assignment'!$K:$K,0)),""),IF(F209="Trap",IFERROR(INDEX('Shooter-Squad Assignment'!$A:$A,MATCH(C209&amp;"-"&amp;E209&amp;"-"&amp;F209&amp;"-Pos2",'Shooter-Squad Assignment'!$W:$W,0)),""),IF(F209="Sporting Clays",IFERROR(INDEX('Shooter-Squad Assignment'!$A:$A,MATCH(C209&amp;"-"&amp;E209&amp;"-"&amp;F209&amp;"-Pos2",'Shooter-Squad Assignment'!$Z:$Z,0)),""),"")))</f>
        <v/>
      </c>
      <c r="J209" s="88" t="str">
        <f>IF(ISBLANK(I209),"",IFERROR(INDEX('Tournament List'!$D:$D,MATCH(I209,'Tournament List'!$A:$A,0)),""))</f>
        <v/>
      </c>
      <c r="K209" s="96" t="str">
        <f>IF(F209="Skeet",IFERROR(INDEX('Shooter-Squad Assignment'!$A:$A,MATCH(C209&amp;"-"&amp;E209&amp;"-"&amp;F209&amp;"-Pos3",'Shooter-Squad Assignment'!$K:$K,0)),""),IF(F209="Trap",IFERROR(INDEX('Shooter-Squad Assignment'!$A:$A,MATCH(C209&amp;"-"&amp;E209&amp;"-"&amp;F209&amp;"-Pos3",'Shooter-Squad Assignment'!$W:$W,0)),""),IF(F209="Sporting Clays",IFERROR(INDEX('Shooter-Squad Assignment'!$A:$A,MATCH(C209&amp;"-"&amp;E209&amp;"-"&amp;F209&amp;"-Pos3",'Shooter-Squad Assignment'!$Z:$Z,0)),""),"")))</f>
        <v/>
      </c>
      <c r="L209" s="88" t="str">
        <f>IF(ISBLANK(K209),"",IFERROR(INDEX('Tournament List'!$D:$D,MATCH(K209,'Tournament List'!$A:$A,0)),""))</f>
        <v/>
      </c>
      <c r="M209" s="96" t="str">
        <f>IF(F209="Skeet",IFERROR(INDEX('Shooter-Squad Assignment'!$A:$A,MATCH(C209&amp;"-"&amp;E209&amp;"-"&amp;F209&amp;"-Pos4",'Shooter-Squad Assignment'!$K:$K,0)),""),IF(F209="Trap",IFERROR(INDEX('Shooter-Squad Assignment'!$A:$A,MATCH(C209&amp;"-"&amp;E209&amp;"-"&amp;F209&amp;"-Pos4",'Shooter-Squad Assignment'!$W:$W,0)),""),IF(F209="Sporting Clays",IFERROR(INDEX('Shooter-Squad Assignment'!$A:$A,MATCH(C209&amp;"-"&amp;E209&amp;"-"&amp;F209&amp;"-Pos4",'Shooter-Squad Assignment'!$Z:$Z,0)),""),"")))</f>
        <v/>
      </c>
      <c r="N209" s="88" t="str">
        <f>IF(ISBLANK(M209),"",IFERROR(INDEX('Tournament List'!$D:$D,MATCH(M209,'Tournament List'!$A:$A,0)),""))</f>
        <v/>
      </c>
      <c r="O209" s="96" t="str">
        <f>IF(F209="Skeet",IFERROR(INDEX('Shooter-Squad Assignment'!$A:$A,MATCH(C209&amp;"-"&amp;E209&amp;"-"&amp;F209&amp;"-Pos5",'Shooter-Squad Assignment'!$K:$K,0)),""),IF(F209="Trap",IFERROR(INDEX('Shooter-Squad Assignment'!$A:$A,MATCH(C209&amp;"-"&amp;E209&amp;"-"&amp;F209&amp;"-Pos5",'Shooter-Squad Assignment'!$W:$W,0)),""),IF(F209="Sporting Clays",IFERROR(INDEX('Shooter-Squad Assignment'!$A:$A,MATCH(C209&amp;"-"&amp;E209&amp;"-"&amp;F209&amp;"-Pos5",'Shooter-Squad Assignment'!$Z:$Z,0)),""),"")))</f>
        <v/>
      </c>
      <c r="P209" s="89" t="str">
        <f>IF(ISBLANK(O209),"",IFERROR(INDEX('Tournament List'!$D:$D,MATCH(O209,'Tournament List'!$A:$A,0)),""))</f>
        <v/>
      </c>
    </row>
    <row r="210" spans="1:16" x14ac:dyDescent="0.3">
      <c r="A210" s="87">
        <v>209</v>
      </c>
      <c r="B210" s="88" t="str">
        <f>C210&amp;"-"&amp;E210&amp;"-"&amp;F210</f>
        <v>Littleton Target Masters-Varsity 3-Sporting Clays</v>
      </c>
      <c r="C210" s="88" t="s">
        <v>323</v>
      </c>
      <c r="D210" s="88" t="str">
        <f>INDEX('Tournament Setup'!$B$59:$B$78,MATCH(E210,SquadConcurrents,0))</f>
        <v>Varsity</v>
      </c>
      <c r="E210" s="88" t="s">
        <v>352</v>
      </c>
      <c r="F210" s="88" t="s">
        <v>148</v>
      </c>
      <c r="G210" s="96" t="str">
        <f>IF(F210="Skeet",IFERROR(INDEX('Shooter-Squad Assignment'!$A:$A,MATCH(C210&amp;"-"&amp;E210&amp;"-"&amp;F210&amp;"-Pos1",'Shooter-Squad Assignment'!$K:$K,0)),""),IF(F210="Trap",IFERROR(INDEX('Shooter-Squad Assignment'!$A:$A,MATCH(C210&amp;"-"&amp;E210&amp;"-"&amp;F210&amp;"-Pos1",'Shooter-Squad Assignment'!$W:$W,0)),""),IF(F210="Sporting Clays",IFERROR(INDEX('Shooter-Squad Assignment'!$A:$A,MATCH(C210&amp;"-"&amp;E210&amp;"-"&amp;F210&amp;"-Pos1",'Shooter-Squad Assignment'!$Z:$Z,0)),""),"")))</f>
        <v/>
      </c>
      <c r="H210" s="88" t="str">
        <f>IF(ISBLANK(G210),"",IFERROR(INDEX('Tournament List'!$D:$D,MATCH(G210,'Tournament List'!$A:$A,0)),""))</f>
        <v/>
      </c>
      <c r="I210" s="96" t="str">
        <f>IF(F210="Skeet",IFERROR(INDEX('Shooter-Squad Assignment'!$A:$A,MATCH(C210&amp;"-"&amp;E210&amp;"-"&amp;F210&amp;"-Pos2",'Shooter-Squad Assignment'!$K:$K,0)),""),IF(F210="Trap",IFERROR(INDEX('Shooter-Squad Assignment'!$A:$A,MATCH(C210&amp;"-"&amp;E210&amp;"-"&amp;F210&amp;"-Pos2",'Shooter-Squad Assignment'!$W:$W,0)),""),IF(F210="Sporting Clays",IFERROR(INDEX('Shooter-Squad Assignment'!$A:$A,MATCH(C210&amp;"-"&amp;E210&amp;"-"&amp;F210&amp;"-Pos2",'Shooter-Squad Assignment'!$Z:$Z,0)),""),"")))</f>
        <v/>
      </c>
      <c r="J210" s="88" t="str">
        <f>IF(ISBLANK(I210),"",IFERROR(INDEX('Tournament List'!$D:$D,MATCH(I210,'Tournament List'!$A:$A,0)),""))</f>
        <v/>
      </c>
      <c r="K210" s="96" t="str">
        <f>IF(F210="Skeet",IFERROR(INDEX('Shooter-Squad Assignment'!$A:$A,MATCH(C210&amp;"-"&amp;E210&amp;"-"&amp;F210&amp;"-Pos3",'Shooter-Squad Assignment'!$K:$K,0)),""),IF(F210="Trap",IFERROR(INDEX('Shooter-Squad Assignment'!$A:$A,MATCH(C210&amp;"-"&amp;E210&amp;"-"&amp;F210&amp;"-Pos3",'Shooter-Squad Assignment'!$W:$W,0)),""),IF(F210="Sporting Clays",IFERROR(INDEX('Shooter-Squad Assignment'!$A:$A,MATCH(C210&amp;"-"&amp;E210&amp;"-"&amp;F210&amp;"-Pos3",'Shooter-Squad Assignment'!$Z:$Z,0)),""),"")))</f>
        <v/>
      </c>
      <c r="L210" s="88" t="str">
        <f>IF(ISBLANK(K210),"",IFERROR(INDEX('Tournament List'!$D:$D,MATCH(K210,'Tournament List'!$A:$A,0)),""))</f>
        <v/>
      </c>
      <c r="M210" s="96" t="str">
        <f>IF(F210="Skeet",IFERROR(INDEX('Shooter-Squad Assignment'!$A:$A,MATCH(C210&amp;"-"&amp;E210&amp;"-"&amp;F210&amp;"-Pos4",'Shooter-Squad Assignment'!$K:$K,0)),""),IF(F210="Trap",IFERROR(INDEX('Shooter-Squad Assignment'!$A:$A,MATCH(C210&amp;"-"&amp;E210&amp;"-"&amp;F210&amp;"-Pos4",'Shooter-Squad Assignment'!$W:$W,0)),""),IF(F210="Sporting Clays",IFERROR(INDEX('Shooter-Squad Assignment'!$A:$A,MATCH(C210&amp;"-"&amp;E210&amp;"-"&amp;F210&amp;"-Pos4",'Shooter-Squad Assignment'!$Z:$Z,0)),""),"")))</f>
        <v/>
      </c>
      <c r="N210" s="88" t="str">
        <f>IF(ISBLANK(M210),"",IFERROR(INDEX('Tournament List'!$D:$D,MATCH(M210,'Tournament List'!$A:$A,0)),""))</f>
        <v/>
      </c>
      <c r="O210" s="96" t="str">
        <f>IF(F210="Skeet",IFERROR(INDEX('Shooter-Squad Assignment'!$A:$A,MATCH(C210&amp;"-"&amp;E210&amp;"-"&amp;F210&amp;"-Pos5",'Shooter-Squad Assignment'!$K:$K,0)),""),IF(F210="Trap",IFERROR(INDEX('Shooter-Squad Assignment'!$A:$A,MATCH(C210&amp;"-"&amp;E210&amp;"-"&amp;F210&amp;"-Pos5",'Shooter-Squad Assignment'!$W:$W,0)),""),IF(F210="Sporting Clays",IFERROR(INDEX('Shooter-Squad Assignment'!$A:$A,MATCH(C210&amp;"-"&amp;E210&amp;"-"&amp;F210&amp;"-Pos5",'Shooter-Squad Assignment'!$Z:$Z,0)),""),"")))</f>
        <v/>
      </c>
      <c r="P210" s="89" t="str">
        <f>IF(ISBLANK(O210),"",IFERROR(INDEX('Tournament List'!$D:$D,MATCH(O210,'Tournament List'!$A:$A,0)),""))</f>
        <v/>
      </c>
    </row>
    <row r="211" spans="1:16" x14ac:dyDescent="0.3">
      <c r="A211" s="87">
        <v>210</v>
      </c>
      <c r="B211" s="88" t="str">
        <f>C211&amp;"-"&amp;E211&amp;"-"&amp;F211</f>
        <v>Littleton Target Masters-Collegiate 1-Trap</v>
      </c>
      <c r="C211" s="88" t="s">
        <v>323</v>
      </c>
      <c r="D211" s="88" t="str">
        <f>INDEX('Tournament Setup'!$B$59:$B$78,MATCH(E211,SquadConcurrents,0))</f>
        <v>Collegiate</v>
      </c>
      <c r="E211" s="88" t="s">
        <v>342</v>
      </c>
      <c r="F211" s="88" t="s">
        <v>147</v>
      </c>
      <c r="G211" s="96" t="str">
        <f>IF(F211="Skeet",IFERROR(INDEX('Shooter-Squad Assignment'!$A:$A,MATCH(C211&amp;"-"&amp;E211&amp;"-"&amp;F211&amp;"-Pos1",'Shooter-Squad Assignment'!$K:$K,0)),""),IF(F211="Trap",IFERROR(INDEX('Shooter-Squad Assignment'!$A:$A,MATCH(C211&amp;"-"&amp;E211&amp;"-"&amp;F211&amp;"-Pos1",'Shooter-Squad Assignment'!$W:$W,0)),""),IF(F211="Sporting Clays",IFERROR(INDEX('Shooter-Squad Assignment'!$A:$A,MATCH(C211&amp;"-"&amp;E211&amp;"-"&amp;F211&amp;"-Pos1",'Shooter-Squad Assignment'!$Z:$Z,0)),""),"")))</f>
        <v/>
      </c>
      <c r="H211" s="88" t="str">
        <f>IF(ISBLANK(G211),"",IFERROR(INDEX('Tournament List'!$D:$D,MATCH(G211,'Tournament List'!$A:$A,0)),""))</f>
        <v/>
      </c>
      <c r="I211" s="96" t="str">
        <f>IF(F211="Skeet",IFERROR(INDEX('Shooter-Squad Assignment'!$A:$A,MATCH(C211&amp;"-"&amp;E211&amp;"-"&amp;F211&amp;"-Pos2",'Shooter-Squad Assignment'!$K:$K,0)),""),IF(F211="Trap",IFERROR(INDEX('Shooter-Squad Assignment'!$A:$A,MATCH(C211&amp;"-"&amp;E211&amp;"-"&amp;F211&amp;"-Pos2",'Shooter-Squad Assignment'!$W:$W,0)),""),IF(F211="Sporting Clays",IFERROR(INDEX('Shooter-Squad Assignment'!$A:$A,MATCH(C211&amp;"-"&amp;E211&amp;"-"&amp;F211&amp;"-Pos2",'Shooter-Squad Assignment'!$Z:$Z,0)),""),"")))</f>
        <v/>
      </c>
      <c r="J211" s="88" t="str">
        <f>IF(ISBLANK(I211),"",IFERROR(INDEX('Tournament List'!$D:$D,MATCH(I211,'Tournament List'!$A:$A,0)),""))</f>
        <v/>
      </c>
      <c r="K211" s="96" t="str">
        <f>IF(F211="Skeet",IFERROR(INDEX('Shooter-Squad Assignment'!$A:$A,MATCH(C211&amp;"-"&amp;E211&amp;"-"&amp;F211&amp;"-Pos3",'Shooter-Squad Assignment'!$K:$K,0)),""),IF(F211="Trap",IFERROR(INDEX('Shooter-Squad Assignment'!$A:$A,MATCH(C211&amp;"-"&amp;E211&amp;"-"&amp;F211&amp;"-Pos3",'Shooter-Squad Assignment'!$W:$W,0)),""),IF(F211="Sporting Clays",IFERROR(INDEX('Shooter-Squad Assignment'!$A:$A,MATCH(C211&amp;"-"&amp;E211&amp;"-"&amp;F211&amp;"-Pos3",'Shooter-Squad Assignment'!$Z:$Z,0)),""),"")))</f>
        <v/>
      </c>
      <c r="L211" s="88" t="str">
        <f>IF(ISBLANK(K211),"",IFERROR(INDEX('Tournament List'!$D:$D,MATCH(K211,'Tournament List'!$A:$A,0)),""))</f>
        <v/>
      </c>
      <c r="M211" s="96" t="str">
        <f>IF(F211="Skeet",IFERROR(INDEX('Shooter-Squad Assignment'!$A:$A,MATCH(C211&amp;"-"&amp;E211&amp;"-"&amp;F211&amp;"-Pos4",'Shooter-Squad Assignment'!$K:$K,0)),""),IF(F211="Trap",IFERROR(INDEX('Shooter-Squad Assignment'!$A:$A,MATCH(C211&amp;"-"&amp;E211&amp;"-"&amp;F211&amp;"-Pos4",'Shooter-Squad Assignment'!$W:$W,0)),""),IF(F211="Sporting Clays",IFERROR(INDEX('Shooter-Squad Assignment'!$A:$A,MATCH(C211&amp;"-"&amp;E211&amp;"-"&amp;F211&amp;"-Pos4",'Shooter-Squad Assignment'!$Z:$Z,0)),""),"")))</f>
        <v/>
      </c>
      <c r="N211" s="88" t="str">
        <f>IF(ISBLANK(M211),"",IFERROR(INDEX('Tournament List'!$D:$D,MATCH(M211,'Tournament List'!$A:$A,0)),""))</f>
        <v/>
      </c>
      <c r="O211" s="96" t="str">
        <f>IF(F211="Skeet",IFERROR(INDEX('Shooter-Squad Assignment'!$A:$A,MATCH(C211&amp;"-"&amp;E211&amp;"-"&amp;F211&amp;"-Pos5",'Shooter-Squad Assignment'!$K:$K,0)),""),IF(F211="Trap",IFERROR(INDEX('Shooter-Squad Assignment'!$A:$A,MATCH(C211&amp;"-"&amp;E211&amp;"-"&amp;F211&amp;"-Pos5",'Shooter-Squad Assignment'!$W:$W,0)),""),IF(F211="Sporting Clays",IFERROR(INDEX('Shooter-Squad Assignment'!$A:$A,MATCH(C211&amp;"-"&amp;E211&amp;"-"&amp;F211&amp;"-Pos5",'Shooter-Squad Assignment'!$Z:$Z,0)),""),"")))</f>
        <v/>
      </c>
      <c r="P211" s="89" t="str">
        <f>IF(ISBLANK(O211),"",IFERROR(INDEX('Tournament List'!$D:$D,MATCH(O211,'Tournament List'!$A:$A,0)),""))</f>
        <v/>
      </c>
    </row>
    <row r="212" spans="1:16" x14ac:dyDescent="0.3">
      <c r="A212" s="87">
        <v>211</v>
      </c>
      <c r="B212" s="88" t="str">
        <f>C212&amp;"-"&amp;E212&amp;"-"&amp;F212</f>
        <v>Littleton Target Masters-Collegiate 2-Trap</v>
      </c>
      <c r="C212" s="88" t="s">
        <v>323</v>
      </c>
      <c r="D212" s="88" t="str">
        <f>INDEX('Tournament Setup'!$B$59:$B$78,MATCH(E212,SquadConcurrents,0))</f>
        <v>Collegiate</v>
      </c>
      <c r="E212" s="88" t="s">
        <v>348</v>
      </c>
      <c r="F212" s="88" t="s">
        <v>147</v>
      </c>
      <c r="G212" s="96" t="str">
        <f>IF(F212="Skeet",IFERROR(INDEX('Shooter-Squad Assignment'!$A:$A,MATCH(C212&amp;"-"&amp;E212&amp;"-"&amp;F212&amp;"-Pos1",'Shooter-Squad Assignment'!$K:$K,0)),""),IF(F212="Trap",IFERROR(INDEX('Shooter-Squad Assignment'!$A:$A,MATCH(C212&amp;"-"&amp;E212&amp;"-"&amp;F212&amp;"-Pos1",'Shooter-Squad Assignment'!$W:$W,0)),""),IF(F212="Sporting Clays",IFERROR(INDEX('Shooter-Squad Assignment'!$A:$A,MATCH(C212&amp;"-"&amp;E212&amp;"-"&amp;F212&amp;"-Pos1",'Shooter-Squad Assignment'!$Z:$Z,0)),""),"")))</f>
        <v/>
      </c>
      <c r="H212" s="88" t="str">
        <f>IF(ISBLANK(G212),"",IFERROR(INDEX('Tournament List'!$D:$D,MATCH(G212,'Tournament List'!$A:$A,0)),""))</f>
        <v/>
      </c>
      <c r="I212" s="96" t="str">
        <f>IF(F212="Skeet",IFERROR(INDEX('Shooter-Squad Assignment'!$A:$A,MATCH(C212&amp;"-"&amp;E212&amp;"-"&amp;F212&amp;"-Pos2",'Shooter-Squad Assignment'!$K:$K,0)),""),IF(F212="Trap",IFERROR(INDEX('Shooter-Squad Assignment'!$A:$A,MATCH(C212&amp;"-"&amp;E212&amp;"-"&amp;F212&amp;"-Pos2",'Shooter-Squad Assignment'!$W:$W,0)),""),IF(F212="Sporting Clays",IFERROR(INDEX('Shooter-Squad Assignment'!$A:$A,MATCH(C212&amp;"-"&amp;E212&amp;"-"&amp;F212&amp;"-Pos2",'Shooter-Squad Assignment'!$Z:$Z,0)),""),"")))</f>
        <v/>
      </c>
      <c r="J212" s="88" t="str">
        <f>IF(ISBLANK(I212),"",IFERROR(INDEX('Tournament List'!$D:$D,MATCH(I212,'Tournament List'!$A:$A,0)),""))</f>
        <v/>
      </c>
      <c r="K212" s="96" t="str">
        <f>IF(F212="Skeet",IFERROR(INDEX('Shooter-Squad Assignment'!$A:$A,MATCH(C212&amp;"-"&amp;E212&amp;"-"&amp;F212&amp;"-Pos3",'Shooter-Squad Assignment'!$K:$K,0)),""),IF(F212="Trap",IFERROR(INDEX('Shooter-Squad Assignment'!$A:$A,MATCH(C212&amp;"-"&amp;E212&amp;"-"&amp;F212&amp;"-Pos3",'Shooter-Squad Assignment'!$W:$W,0)),""),IF(F212="Sporting Clays",IFERROR(INDEX('Shooter-Squad Assignment'!$A:$A,MATCH(C212&amp;"-"&amp;E212&amp;"-"&amp;F212&amp;"-Pos3",'Shooter-Squad Assignment'!$Z:$Z,0)),""),"")))</f>
        <v/>
      </c>
      <c r="L212" s="88" t="str">
        <f>IF(ISBLANK(K212),"",IFERROR(INDEX('Tournament List'!$D:$D,MATCH(K212,'Tournament List'!$A:$A,0)),""))</f>
        <v/>
      </c>
      <c r="M212" s="96" t="str">
        <f>IF(F212="Skeet",IFERROR(INDEX('Shooter-Squad Assignment'!$A:$A,MATCH(C212&amp;"-"&amp;E212&amp;"-"&amp;F212&amp;"-Pos4",'Shooter-Squad Assignment'!$K:$K,0)),""),IF(F212="Trap",IFERROR(INDEX('Shooter-Squad Assignment'!$A:$A,MATCH(C212&amp;"-"&amp;E212&amp;"-"&amp;F212&amp;"-Pos4",'Shooter-Squad Assignment'!$W:$W,0)),""),IF(F212="Sporting Clays",IFERROR(INDEX('Shooter-Squad Assignment'!$A:$A,MATCH(C212&amp;"-"&amp;E212&amp;"-"&amp;F212&amp;"-Pos4",'Shooter-Squad Assignment'!$Z:$Z,0)),""),"")))</f>
        <v/>
      </c>
      <c r="N212" s="88" t="str">
        <f>IF(ISBLANK(M212),"",IFERROR(INDEX('Tournament List'!$D:$D,MATCH(M212,'Tournament List'!$A:$A,0)),""))</f>
        <v/>
      </c>
      <c r="O212" s="96" t="str">
        <f>IF(F212="Skeet",IFERROR(INDEX('Shooter-Squad Assignment'!$A:$A,MATCH(C212&amp;"-"&amp;E212&amp;"-"&amp;F212&amp;"-Pos5",'Shooter-Squad Assignment'!$K:$K,0)),""),IF(F212="Trap",IFERROR(INDEX('Shooter-Squad Assignment'!$A:$A,MATCH(C212&amp;"-"&amp;E212&amp;"-"&amp;F212&amp;"-Pos5",'Shooter-Squad Assignment'!$W:$W,0)),""),IF(F212="Sporting Clays",IFERROR(INDEX('Shooter-Squad Assignment'!$A:$A,MATCH(C212&amp;"-"&amp;E212&amp;"-"&amp;F212&amp;"-Pos5",'Shooter-Squad Assignment'!$Z:$Z,0)),""),"")))</f>
        <v/>
      </c>
      <c r="P212" s="89" t="str">
        <f>IF(ISBLANK(O212),"",IFERROR(INDEX('Tournament List'!$D:$D,MATCH(O212,'Tournament List'!$A:$A,0)),""))</f>
        <v/>
      </c>
    </row>
    <row r="213" spans="1:16" x14ac:dyDescent="0.3">
      <c r="A213" s="87">
        <v>212</v>
      </c>
      <c r="B213" s="88" t="str">
        <f>C213&amp;"-"&amp;E213&amp;"-"&amp;F213</f>
        <v>Littleton Target Masters-Collegiate 3-Trap</v>
      </c>
      <c r="C213" s="88" t="s">
        <v>323</v>
      </c>
      <c r="D213" s="88" t="str">
        <f>INDEX('Tournament Setup'!$B$59:$B$78,MATCH(E213,SquadConcurrents,0))</f>
        <v>Collegiate</v>
      </c>
      <c r="E213" s="88" t="s">
        <v>354</v>
      </c>
      <c r="F213" s="88" t="s">
        <v>147</v>
      </c>
      <c r="G213" s="96" t="str">
        <f>IF(F213="Skeet",IFERROR(INDEX('Shooter-Squad Assignment'!$A:$A,MATCH(C213&amp;"-"&amp;E213&amp;"-"&amp;F213&amp;"-Pos1",'Shooter-Squad Assignment'!$K:$K,0)),""),IF(F213="Trap",IFERROR(INDEX('Shooter-Squad Assignment'!$A:$A,MATCH(C213&amp;"-"&amp;E213&amp;"-"&amp;F213&amp;"-Pos1",'Shooter-Squad Assignment'!$W:$W,0)),""),IF(F213="Sporting Clays",IFERROR(INDEX('Shooter-Squad Assignment'!$A:$A,MATCH(C213&amp;"-"&amp;E213&amp;"-"&amp;F213&amp;"-Pos1",'Shooter-Squad Assignment'!$Z:$Z,0)),""),"")))</f>
        <v/>
      </c>
      <c r="H213" s="88" t="str">
        <f>IF(ISBLANK(G213),"",IFERROR(INDEX('Tournament List'!$D:$D,MATCH(G213,'Tournament List'!$A:$A,0)),""))</f>
        <v/>
      </c>
      <c r="I213" s="96" t="str">
        <f>IF(F213="Skeet",IFERROR(INDEX('Shooter-Squad Assignment'!$A:$A,MATCH(C213&amp;"-"&amp;E213&amp;"-"&amp;F213&amp;"-Pos2",'Shooter-Squad Assignment'!$K:$K,0)),""),IF(F213="Trap",IFERROR(INDEX('Shooter-Squad Assignment'!$A:$A,MATCH(C213&amp;"-"&amp;E213&amp;"-"&amp;F213&amp;"-Pos2",'Shooter-Squad Assignment'!$W:$W,0)),""),IF(F213="Sporting Clays",IFERROR(INDEX('Shooter-Squad Assignment'!$A:$A,MATCH(C213&amp;"-"&amp;E213&amp;"-"&amp;F213&amp;"-Pos2",'Shooter-Squad Assignment'!$Z:$Z,0)),""),"")))</f>
        <v/>
      </c>
      <c r="J213" s="88" t="str">
        <f>IF(ISBLANK(I213),"",IFERROR(INDEX('Tournament List'!$D:$D,MATCH(I213,'Tournament List'!$A:$A,0)),""))</f>
        <v/>
      </c>
      <c r="K213" s="96" t="str">
        <f>IF(F213="Skeet",IFERROR(INDEX('Shooter-Squad Assignment'!$A:$A,MATCH(C213&amp;"-"&amp;E213&amp;"-"&amp;F213&amp;"-Pos3",'Shooter-Squad Assignment'!$K:$K,0)),""),IF(F213="Trap",IFERROR(INDEX('Shooter-Squad Assignment'!$A:$A,MATCH(C213&amp;"-"&amp;E213&amp;"-"&amp;F213&amp;"-Pos3",'Shooter-Squad Assignment'!$W:$W,0)),""),IF(F213="Sporting Clays",IFERROR(INDEX('Shooter-Squad Assignment'!$A:$A,MATCH(C213&amp;"-"&amp;E213&amp;"-"&amp;F213&amp;"-Pos3",'Shooter-Squad Assignment'!$Z:$Z,0)),""),"")))</f>
        <v/>
      </c>
      <c r="L213" s="88" t="str">
        <f>IF(ISBLANK(K213),"",IFERROR(INDEX('Tournament List'!$D:$D,MATCH(K213,'Tournament List'!$A:$A,0)),""))</f>
        <v/>
      </c>
      <c r="M213" s="96" t="str">
        <f>IF(F213="Skeet",IFERROR(INDEX('Shooter-Squad Assignment'!$A:$A,MATCH(C213&amp;"-"&amp;E213&amp;"-"&amp;F213&amp;"-Pos4",'Shooter-Squad Assignment'!$K:$K,0)),""),IF(F213="Trap",IFERROR(INDEX('Shooter-Squad Assignment'!$A:$A,MATCH(C213&amp;"-"&amp;E213&amp;"-"&amp;F213&amp;"-Pos4",'Shooter-Squad Assignment'!$W:$W,0)),""),IF(F213="Sporting Clays",IFERROR(INDEX('Shooter-Squad Assignment'!$A:$A,MATCH(C213&amp;"-"&amp;E213&amp;"-"&amp;F213&amp;"-Pos4",'Shooter-Squad Assignment'!$Z:$Z,0)),""),"")))</f>
        <v/>
      </c>
      <c r="N213" s="88" t="str">
        <f>IF(ISBLANK(M213),"",IFERROR(INDEX('Tournament List'!$D:$D,MATCH(M213,'Tournament List'!$A:$A,0)),""))</f>
        <v/>
      </c>
      <c r="O213" s="96" t="str">
        <f>IF(F213="Skeet",IFERROR(INDEX('Shooter-Squad Assignment'!$A:$A,MATCH(C213&amp;"-"&amp;E213&amp;"-"&amp;F213&amp;"-Pos5",'Shooter-Squad Assignment'!$K:$K,0)),""),IF(F213="Trap",IFERROR(INDEX('Shooter-Squad Assignment'!$A:$A,MATCH(C213&amp;"-"&amp;E213&amp;"-"&amp;F213&amp;"-Pos5",'Shooter-Squad Assignment'!$W:$W,0)),""),IF(F213="Sporting Clays",IFERROR(INDEX('Shooter-Squad Assignment'!$A:$A,MATCH(C213&amp;"-"&amp;E213&amp;"-"&amp;F213&amp;"-Pos5",'Shooter-Squad Assignment'!$Z:$Z,0)),""),"")))</f>
        <v/>
      </c>
      <c r="P213" s="89" t="str">
        <f>IF(ISBLANK(O213),"",IFERROR(INDEX('Tournament List'!$D:$D,MATCH(O213,'Tournament List'!$A:$A,0)),""))</f>
        <v/>
      </c>
    </row>
    <row r="214" spans="1:16" x14ac:dyDescent="0.3">
      <c r="A214" s="87">
        <v>213</v>
      </c>
      <c r="B214" s="88" t="str">
        <f>C214&amp;"-"&amp;E214&amp;"-"&amp;F214</f>
        <v>Littleton Target Masters-Intermediate 1-Trap</v>
      </c>
      <c r="C214" s="88" t="s">
        <v>323</v>
      </c>
      <c r="D214" s="88" t="str">
        <f>INDEX('Tournament Setup'!$B$59:$B$78,MATCH(E214,SquadConcurrents,0))</f>
        <v>Intermediate</v>
      </c>
      <c r="E214" s="88" t="s">
        <v>338</v>
      </c>
      <c r="F214" s="88" t="s">
        <v>147</v>
      </c>
      <c r="G214" s="96" t="str">
        <f>IF(F214="Skeet",IFERROR(INDEX('Shooter-Squad Assignment'!$A:$A,MATCH(C214&amp;"-"&amp;E214&amp;"-"&amp;F214&amp;"-Pos1",'Shooter-Squad Assignment'!$K:$K,0)),""),IF(F214="Trap",IFERROR(INDEX('Shooter-Squad Assignment'!$A:$A,MATCH(C214&amp;"-"&amp;E214&amp;"-"&amp;F214&amp;"-Pos1",'Shooter-Squad Assignment'!$W:$W,0)),""),IF(F214="Sporting Clays",IFERROR(INDEX('Shooter-Squad Assignment'!$A:$A,MATCH(C214&amp;"-"&amp;E214&amp;"-"&amp;F214&amp;"-Pos1",'Shooter-Squad Assignment'!$Z:$Z,0)),""),"")))</f>
        <v/>
      </c>
      <c r="H214" s="88" t="str">
        <f>IF(ISBLANK(G214),"",IFERROR(INDEX('Tournament List'!$D:$D,MATCH(G214,'Tournament List'!$A:$A,0)),""))</f>
        <v/>
      </c>
      <c r="I214" s="96" t="str">
        <f>IF(F214="Skeet",IFERROR(INDEX('Shooter-Squad Assignment'!$A:$A,MATCH(C214&amp;"-"&amp;E214&amp;"-"&amp;F214&amp;"-Pos2",'Shooter-Squad Assignment'!$K:$K,0)),""),IF(F214="Trap",IFERROR(INDEX('Shooter-Squad Assignment'!$A:$A,MATCH(C214&amp;"-"&amp;E214&amp;"-"&amp;F214&amp;"-Pos2",'Shooter-Squad Assignment'!$W:$W,0)),""),IF(F214="Sporting Clays",IFERROR(INDEX('Shooter-Squad Assignment'!$A:$A,MATCH(C214&amp;"-"&amp;E214&amp;"-"&amp;F214&amp;"-Pos2",'Shooter-Squad Assignment'!$Z:$Z,0)),""),"")))</f>
        <v/>
      </c>
      <c r="J214" s="88" t="str">
        <f>IF(ISBLANK(I214),"",IFERROR(INDEX('Tournament List'!$D:$D,MATCH(I214,'Tournament List'!$A:$A,0)),""))</f>
        <v/>
      </c>
      <c r="K214" s="96" t="str">
        <f>IF(F214="Skeet",IFERROR(INDEX('Shooter-Squad Assignment'!$A:$A,MATCH(C214&amp;"-"&amp;E214&amp;"-"&amp;F214&amp;"-Pos3",'Shooter-Squad Assignment'!$K:$K,0)),""),IF(F214="Trap",IFERROR(INDEX('Shooter-Squad Assignment'!$A:$A,MATCH(C214&amp;"-"&amp;E214&amp;"-"&amp;F214&amp;"-Pos3",'Shooter-Squad Assignment'!$W:$W,0)),""),IF(F214="Sporting Clays",IFERROR(INDEX('Shooter-Squad Assignment'!$A:$A,MATCH(C214&amp;"-"&amp;E214&amp;"-"&amp;F214&amp;"-Pos3",'Shooter-Squad Assignment'!$Z:$Z,0)),""),"")))</f>
        <v/>
      </c>
      <c r="L214" s="88" t="str">
        <f>IF(ISBLANK(K214),"",IFERROR(INDEX('Tournament List'!$D:$D,MATCH(K214,'Tournament List'!$A:$A,0)),""))</f>
        <v/>
      </c>
      <c r="M214" s="96" t="str">
        <f>IF(F214="Skeet",IFERROR(INDEX('Shooter-Squad Assignment'!$A:$A,MATCH(C214&amp;"-"&amp;E214&amp;"-"&amp;F214&amp;"-Pos4",'Shooter-Squad Assignment'!$K:$K,0)),""),IF(F214="Trap",IFERROR(INDEX('Shooter-Squad Assignment'!$A:$A,MATCH(C214&amp;"-"&amp;E214&amp;"-"&amp;F214&amp;"-Pos4",'Shooter-Squad Assignment'!$W:$W,0)),""),IF(F214="Sporting Clays",IFERROR(INDEX('Shooter-Squad Assignment'!$A:$A,MATCH(C214&amp;"-"&amp;E214&amp;"-"&amp;F214&amp;"-Pos4",'Shooter-Squad Assignment'!$Z:$Z,0)),""),"")))</f>
        <v/>
      </c>
      <c r="N214" s="88" t="str">
        <f>IF(ISBLANK(M214),"",IFERROR(INDEX('Tournament List'!$D:$D,MATCH(M214,'Tournament List'!$A:$A,0)),""))</f>
        <v/>
      </c>
      <c r="O214" s="96" t="str">
        <f>IF(F214="Skeet",IFERROR(INDEX('Shooter-Squad Assignment'!$A:$A,MATCH(C214&amp;"-"&amp;E214&amp;"-"&amp;F214&amp;"-Pos5",'Shooter-Squad Assignment'!$K:$K,0)),""),IF(F214="Trap",IFERROR(INDEX('Shooter-Squad Assignment'!$A:$A,MATCH(C214&amp;"-"&amp;E214&amp;"-"&amp;F214&amp;"-Pos5",'Shooter-Squad Assignment'!$W:$W,0)),""),IF(F214="Sporting Clays",IFERROR(INDEX('Shooter-Squad Assignment'!$A:$A,MATCH(C214&amp;"-"&amp;E214&amp;"-"&amp;F214&amp;"-Pos5",'Shooter-Squad Assignment'!$Z:$Z,0)),""),"")))</f>
        <v/>
      </c>
      <c r="P214" s="89" t="str">
        <f>IF(ISBLANK(O214),"",IFERROR(INDEX('Tournament List'!$D:$D,MATCH(O214,'Tournament List'!$A:$A,0)),""))</f>
        <v/>
      </c>
    </row>
    <row r="215" spans="1:16" x14ac:dyDescent="0.3">
      <c r="A215" s="87">
        <v>214</v>
      </c>
      <c r="B215" s="88" t="str">
        <f>C215&amp;"-"&amp;E215&amp;"-"&amp;F215</f>
        <v>Littleton Target Masters-Intermediate 2-Trap</v>
      </c>
      <c r="C215" s="88" t="s">
        <v>323</v>
      </c>
      <c r="D215" s="88" t="str">
        <f>INDEX('Tournament Setup'!$B$59:$B$78,MATCH(E215,SquadConcurrents,0))</f>
        <v>Intermediate</v>
      </c>
      <c r="E215" s="88" t="s">
        <v>344</v>
      </c>
      <c r="F215" s="88" t="s">
        <v>147</v>
      </c>
      <c r="G215" s="96" t="str">
        <f>IF(F215="Skeet",IFERROR(INDEX('Shooter-Squad Assignment'!$A:$A,MATCH(C215&amp;"-"&amp;E215&amp;"-"&amp;F215&amp;"-Pos1",'Shooter-Squad Assignment'!$K:$K,0)),""),IF(F215="Trap",IFERROR(INDEX('Shooter-Squad Assignment'!$A:$A,MATCH(C215&amp;"-"&amp;E215&amp;"-"&amp;F215&amp;"-Pos1",'Shooter-Squad Assignment'!$W:$W,0)),""),IF(F215="Sporting Clays",IFERROR(INDEX('Shooter-Squad Assignment'!$A:$A,MATCH(C215&amp;"-"&amp;E215&amp;"-"&amp;F215&amp;"-Pos1",'Shooter-Squad Assignment'!$Z:$Z,0)),""),"")))</f>
        <v/>
      </c>
      <c r="H215" s="88" t="str">
        <f>IF(ISBLANK(G215),"",IFERROR(INDEX('Tournament List'!$D:$D,MATCH(G215,'Tournament List'!$A:$A,0)),""))</f>
        <v/>
      </c>
      <c r="I215" s="96" t="str">
        <f>IF(F215="Skeet",IFERROR(INDEX('Shooter-Squad Assignment'!$A:$A,MATCH(C215&amp;"-"&amp;E215&amp;"-"&amp;F215&amp;"-Pos2",'Shooter-Squad Assignment'!$K:$K,0)),""),IF(F215="Trap",IFERROR(INDEX('Shooter-Squad Assignment'!$A:$A,MATCH(C215&amp;"-"&amp;E215&amp;"-"&amp;F215&amp;"-Pos2",'Shooter-Squad Assignment'!$W:$W,0)),""),IF(F215="Sporting Clays",IFERROR(INDEX('Shooter-Squad Assignment'!$A:$A,MATCH(C215&amp;"-"&amp;E215&amp;"-"&amp;F215&amp;"-Pos2",'Shooter-Squad Assignment'!$Z:$Z,0)),""),"")))</f>
        <v/>
      </c>
      <c r="J215" s="88" t="str">
        <f>IF(ISBLANK(I215),"",IFERROR(INDEX('Tournament List'!$D:$D,MATCH(I215,'Tournament List'!$A:$A,0)),""))</f>
        <v/>
      </c>
      <c r="K215" s="96" t="str">
        <f>IF(F215="Skeet",IFERROR(INDEX('Shooter-Squad Assignment'!$A:$A,MATCH(C215&amp;"-"&amp;E215&amp;"-"&amp;F215&amp;"-Pos3",'Shooter-Squad Assignment'!$K:$K,0)),""),IF(F215="Trap",IFERROR(INDEX('Shooter-Squad Assignment'!$A:$A,MATCH(C215&amp;"-"&amp;E215&amp;"-"&amp;F215&amp;"-Pos3",'Shooter-Squad Assignment'!$W:$W,0)),""),IF(F215="Sporting Clays",IFERROR(INDEX('Shooter-Squad Assignment'!$A:$A,MATCH(C215&amp;"-"&amp;E215&amp;"-"&amp;F215&amp;"-Pos3",'Shooter-Squad Assignment'!$Z:$Z,0)),""),"")))</f>
        <v/>
      </c>
      <c r="L215" s="88" t="str">
        <f>IF(ISBLANK(K215),"",IFERROR(INDEX('Tournament List'!$D:$D,MATCH(K215,'Tournament List'!$A:$A,0)),""))</f>
        <v/>
      </c>
      <c r="M215" s="96" t="str">
        <f>IF(F215="Skeet",IFERROR(INDEX('Shooter-Squad Assignment'!$A:$A,MATCH(C215&amp;"-"&amp;E215&amp;"-"&amp;F215&amp;"-Pos4",'Shooter-Squad Assignment'!$K:$K,0)),""),IF(F215="Trap",IFERROR(INDEX('Shooter-Squad Assignment'!$A:$A,MATCH(C215&amp;"-"&amp;E215&amp;"-"&amp;F215&amp;"-Pos4",'Shooter-Squad Assignment'!$W:$W,0)),""),IF(F215="Sporting Clays",IFERROR(INDEX('Shooter-Squad Assignment'!$A:$A,MATCH(C215&amp;"-"&amp;E215&amp;"-"&amp;F215&amp;"-Pos4",'Shooter-Squad Assignment'!$Z:$Z,0)),""),"")))</f>
        <v/>
      </c>
      <c r="N215" s="88" t="str">
        <f>IF(ISBLANK(M215),"",IFERROR(INDEX('Tournament List'!$D:$D,MATCH(M215,'Tournament List'!$A:$A,0)),""))</f>
        <v/>
      </c>
      <c r="O215" s="96" t="str">
        <f>IF(F215="Skeet",IFERROR(INDEX('Shooter-Squad Assignment'!$A:$A,MATCH(C215&amp;"-"&amp;E215&amp;"-"&amp;F215&amp;"-Pos5",'Shooter-Squad Assignment'!$K:$K,0)),""),IF(F215="Trap",IFERROR(INDEX('Shooter-Squad Assignment'!$A:$A,MATCH(C215&amp;"-"&amp;E215&amp;"-"&amp;F215&amp;"-Pos5",'Shooter-Squad Assignment'!$W:$W,0)),""),IF(F215="Sporting Clays",IFERROR(INDEX('Shooter-Squad Assignment'!$A:$A,MATCH(C215&amp;"-"&amp;E215&amp;"-"&amp;F215&amp;"-Pos5",'Shooter-Squad Assignment'!$Z:$Z,0)),""),"")))</f>
        <v/>
      </c>
      <c r="P215" s="89" t="str">
        <f>IF(ISBLANK(O215),"",IFERROR(INDEX('Tournament List'!$D:$D,MATCH(O215,'Tournament List'!$A:$A,0)),""))</f>
        <v/>
      </c>
    </row>
    <row r="216" spans="1:16" x14ac:dyDescent="0.3">
      <c r="A216" s="87">
        <v>215</v>
      </c>
      <c r="B216" s="88" t="str">
        <f>C216&amp;"-"&amp;E216&amp;"-"&amp;F216</f>
        <v>Littleton Target Masters-Intermediate 3-Trap</v>
      </c>
      <c r="C216" s="88" t="s">
        <v>323</v>
      </c>
      <c r="D216" s="88" t="str">
        <f>INDEX('Tournament Setup'!$B$59:$B$78,MATCH(E216,SquadConcurrents,0))</f>
        <v>Intermediate</v>
      </c>
      <c r="E216" s="88" t="s">
        <v>350</v>
      </c>
      <c r="F216" s="88" t="s">
        <v>147</v>
      </c>
      <c r="G216" s="96" t="str">
        <f>IF(F216="Skeet",IFERROR(INDEX('Shooter-Squad Assignment'!$A:$A,MATCH(C216&amp;"-"&amp;E216&amp;"-"&amp;F216&amp;"-Pos1",'Shooter-Squad Assignment'!$K:$K,0)),""),IF(F216="Trap",IFERROR(INDEX('Shooter-Squad Assignment'!$A:$A,MATCH(C216&amp;"-"&amp;E216&amp;"-"&amp;F216&amp;"-Pos1",'Shooter-Squad Assignment'!$W:$W,0)),""),IF(F216="Sporting Clays",IFERROR(INDEX('Shooter-Squad Assignment'!$A:$A,MATCH(C216&amp;"-"&amp;E216&amp;"-"&amp;F216&amp;"-Pos1",'Shooter-Squad Assignment'!$Z:$Z,0)),""),"")))</f>
        <v/>
      </c>
      <c r="H216" s="88" t="str">
        <f>IF(ISBLANK(G216),"",IFERROR(INDEX('Tournament List'!$D:$D,MATCH(G216,'Tournament List'!$A:$A,0)),""))</f>
        <v/>
      </c>
      <c r="I216" s="96" t="str">
        <f>IF(F216="Skeet",IFERROR(INDEX('Shooter-Squad Assignment'!$A:$A,MATCH(C216&amp;"-"&amp;E216&amp;"-"&amp;F216&amp;"-Pos2",'Shooter-Squad Assignment'!$K:$K,0)),""),IF(F216="Trap",IFERROR(INDEX('Shooter-Squad Assignment'!$A:$A,MATCH(C216&amp;"-"&amp;E216&amp;"-"&amp;F216&amp;"-Pos2",'Shooter-Squad Assignment'!$W:$W,0)),""),IF(F216="Sporting Clays",IFERROR(INDEX('Shooter-Squad Assignment'!$A:$A,MATCH(C216&amp;"-"&amp;E216&amp;"-"&amp;F216&amp;"-Pos2",'Shooter-Squad Assignment'!$Z:$Z,0)),""),"")))</f>
        <v/>
      </c>
      <c r="J216" s="88" t="str">
        <f>IF(ISBLANK(I216),"",IFERROR(INDEX('Tournament List'!$D:$D,MATCH(I216,'Tournament List'!$A:$A,0)),""))</f>
        <v/>
      </c>
      <c r="K216" s="96" t="str">
        <f>IF(F216="Skeet",IFERROR(INDEX('Shooter-Squad Assignment'!$A:$A,MATCH(C216&amp;"-"&amp;E216&amp;"-"&amp;F216&amp;"-Pos3",'Shooter-Squad Assignment'!$K:$K,0)),""),IF(F216="Trap",IFERROR(INDEX('Shooter-Squad Assignment'!$A:$A,MATCH(C216&amp;"-"&amp;E216&amp;"-"&amp;F216&amp;"-Pos3",'Shooter-Squad Assignment'!$W:$W,0)),""),IF(F216="Sporting Clays",IFERROR(INDEX('Shooter-Squad Assignment'!$A:$A,MATCH(C216&amp;"-"&amp;E216&amp;"-"&amp;F216&amp;"-Pos3",'Shooter-Squad Assignment'!$Z:$Z,0)),""),"")))</f>
        <v/>
      </c>
      <c r="L216" s="88" t="str">
        <f>IF(ISBLANK(K216),"",IFERROR(INDEX('Tournament List'!$D:$D,MATCH(K216,'Tournament List'!$A:$A,0)),""))</f>
        <v/>
      </c>
      <c r="M216" s="96" t="str">
        <f>IF(F216="Skeet",IFERROR(INDEX('Shooter-Squad Assignment'!$A:$A,MATCH(C216&amp;"-"&amp;E216&amp;"-"&amp;F216&amp;"-Pos4",'Shooter-Squad Assignment'!$K:$K,0)),""),IF(F216="Trap",IFERROR(INDEX('Shooter-Squad Assignment'!$A:$A,MATCH(C216&amp;"-"&amp;E216&amp;"-"&amp;F216&amp;"-Pos4",'Shooter-Squad Assignment'!$W:$W,0)),""),IF(F216="Sporting Clays",IFERROR(INDEX('Shooter-Squad Assignment'!$A:$A,MATCH(C216&amp;"-"&amp;E216&amp;"-"&amp;F216&amp;"-Pos4",'Shooter-Squad Assignment'!$Z:$Z,0)),""),"")))</f>
        <v/>
      </c>
      <c r="N216" s="88" t="str">
        <f>IF(ISBLANK(M216),"",IFERROR(INDEX('Tournament List'!$D:$D,MATCH(M216,'Tournament List'!$A:$A,0)),""))</f>
        <v/>
      </c>
      <c r="O216" s="96" t="str">
        <f>IF(F216="Skeet",IFERROR(INDEX('Shooter-Squad Assignment'!$A:$A,MATCH(C216&amp;"-"&amp;E216&amp;"-"&amp;F216&amp;"-Pos5",'Shooter-Squad Assignment'!$K:$K,0)),""),IF(F216="Trap",IFERROR(INDEX('Shooter-Squad Assignment'!$A:$A,MATCH(C216&amp;"-"&amp;E216&amp;"-"&amp;F216&amp;"-Pos5",'Shooter-Squad Assignment'!$W:$W,0)),""),IF(F216="Sporting Clays",IFERROR(INDEX('Shooter-Squad Assignment'!$A:$A,MATCH(C216&amp;"-"&amp;E216&amp;"-"&amp;F216&amp;"-Pos5",'Shooter-Squad Assignment'!$Z:$Z,0)),""),"")))</f>
        <v/>
      </c>
      <c r="P216" s="89" t="str">
        <f>IF(ISBLANK(O216),"",IFERROR(INDEX('Tournament List'!$D:$D,MATCH(O216,'Tournament List'!$A:$A,0)),""))</f>
        <v/>
      </c>
    </row>
    <row r="217" spans="1:16" x14ac:dyDescent="0.3">
      <c r="A217" s="87">
        <v>216</v>
      </c>
      <c r="B217" s="88" t="str">
        <f>C217&amp;"-"&amp;E217&amp;"-"&amp;F217</f>
        <v>Littleton Target Masters-Junior Varsity 1-Trap</v>
      </c>
      <c r="C217" s="88" t="s">
        <v>323</v>
      </c>
      <c r="D217" s="88" t="str">
        <f>INDEX('Tournament Setup'!$B$59:$B$78,MATCH(E217,SquadConcurrents,0))</f>
        <v>Junior Varsity</v>
      </c>
      <c r="E217" s="88" t="s">
        <v>339</v>
      </c>
      <c r="F217" s="88" t="s">
        <v>147</v>
      </c>
      <c r="G217" s="96" t="str">
        <f>IF(F217="Skeet",IFERROR(INDEX('Shooter-Squad Assignment'!$A:$A,MATCH(C217&amp;"-"&amp;E217&amp;"-"&amp;F217&amp;"-Pos1",'Shooter-Squad Assignment'!$K:$K,0)),""),IF(F217="Trap",IFERROR(INDEX('Shooter-Squad Assignment'!$A:$A,MATCH(C217&amp;"-"&amp;E217&amp;"-"&amp;F217&amp;"-Pos1",'Shooter-Squad Assignment'!$W:$W,0)),""),IF(F217="Sporting Clays",IFERROR(INDEX('Shooter-Squad Assignment'!$A:$A,MATCH(C217&amp;"-"&amp;E217&amp;"-"&amp;F217&amp;"-Pos1",'Shooter-Squad Assignment'!$Z:$Z,0)),""),"")))</f>
        <v/>
      </c>
      <c r="H217" s="88" t="str">
        <f>IF(ISBLANK(G217),"",IFERROR(INDEX('Tournament List'!$D:$D,MATCH(G217,'Tournament List'!$A:$A,0)),""))</f>
        <v/>
      </c>
      <c r="I217" s="96" t="str">
        <f>IF(F217="Skeet",IFERROR(INDEX('Shooter-Squad Assignment'!$A:$A,MATCH(C217&amp;"-"&amp;E217&amp;"-"&amp;F217&amp;"-Pos2",'Shooter-Squad Assignment'!$K:$K,0)),""),IF(F217="Trap",IFERROR(INDEX('Shooter-Squad Assignment'!$A:$A,MATCH(C217&amp;"-"&amp;E217&amp;"-"&amp;F217&amp;"-Pos2",'Shooter-Squad Assignment'!$W:$W,0)),""),IF(F217="Sporting Clays",IFERROR(INDEX('Shooter-Squad Assignment'!$A:$A,MATCH(C217&amp;"-"&amp;E217&amp;"-"&amp;F217&amp;"-Pos2",'Shooter-Squad Assignment'!$Z:$Z,0)),""),"")))</f>
        <v/>
      </c>
      <c r="J217" s="88" t="str">
        <f>IF(ISBLANK(I217),"",IFERROR(INDEX('Tournament List'!$D:$D,MATCH(I217,'Tournament List'!$A:$A,0)),""))</f>
        <v/>
      </c>
      <c r="K217" s="96" t="str">
        <f>IF(F217="Skeet",IFERROR(INDEX('Shooter-Squad Assignment'!$A:$A,MATCH(C217&amp;"-"&amp;E217&amp;"-"&amp;F217&amp;"-Pos3",'Shooter-Squad Assignment'!$K:$K,0)),""),IF(F217="Trap",IFERROR(INDEX('Shooter-Squad Assignment'!$A:$A,MATCH(C217&amp;"-"&amp;E217&amp;"-"&amp;F217&amp;"-Pos3",'Shooter-Squad Assignment'!$W:$W,0)),""),IF(F217="Sporting Clays",IFERROR(INDEX('Shooter-Squad Assignment'!$A:$A,MATCH(C217&amp;"-"&amp;E217&amp;"-"&amp;F217&amp;"-Pos3",'Shooter-Squad Assignment'!$Z:$Z,0)),""),"")))</f>
        <v/>
      </c>
      <c r="L217" s="88" t="str">
        <f>IF(ISBLANK(K217),"",IFERROR(INDEX('Tournament List'!$D:$D,MATCH(K217,'Tournament List'!$A:$A,0)),""))</f>
        <v/>
      </c>
      <c r="M217" s="96" t="str">
        <f>IF(F217="Skeet",IFERROR(INDEX('Shooter-Squad Assignment'!$A:$A,MATCH(C217&amp;"-"&amp;E217&amp;"-"&amp;F217&amp;"-Pos4",'Shooter-Squad Assignment'!$K:$K,0)),""),IF(F217="Trap",IFERROR(INDEX('Shooter-Squad Assignment'!$A:$A,MATCH(C217&amp;"-"&amp;E217&amp;"-"&amp;F217&amp;"-Pos4",'Shooter-Squad Assignment'!$W:$W,0)),""),IF(F217="Sporting Clays",IFERROR(INDEX('Shooter-Squad Assignment'!$A:$A,MATCH(C217&amp;"-"&amp;E217&amp;"-"&amp;F217&amp;"-Pos4",'Shooter-Squad Assignment'!$Z:$Z,0)),""),"")))</f>
        <v/>
      </c>
      <c r="N217" s="88" t="str">
        <f>IF(ISBLANK(M217),"",IFERROR(INDEX('Tournament List'!$D:$D,MATCH(M217,'Tournament List'!$A:$A,0)),""))</f>
        <v/>
      </c>
      <c r="O217" s="96" t="str">
        <f>IF(F217="Skeet",IFERROR(INDEX('Shooter-Squad Assignment'!$A:$A,MATCH(C217&amp;"-"&amp;E217&amp;"-"&amp;F217&amp;"-Pos5",'Shooter-Squad Assignment'!$K:$K,0)),""),IF(F217="Trap",IFERROR(INDEX('Shooter-Squad Assignment'!$A:$A,MATCH(C217&amp;"-"&amp;E217&amp;"-"&amp;F217&amp;"-Pos5",'Shooter-Squad Assignment'!$W:$W,0)),""),IF(F217="Sporting Clays",IFERROR(INDEX('Shooter-Squad Assignment'!$A:$A,MATCH(C217&amp;"-"&amp;E217&amp;"-"&amp;F217&amp;"-Pos5",'Shooter-Squad Assignment'!$Z:$Z,0)),""),"")))</f>
        <v/>
      </c>
      <c r="P217" s="89" t="str">
        <f>IF(ISBLANK(O217),"",IFERROR(INDEX('Tournament List'!$D:$D,MATCH(O217,'Tournament List'!$A:$A,0)),""))</f>
        <v/>
      </c>
    </row>
    <row r="218" spans="1:16" x14ac:dyDescent="0.3">
      <c r="A218" s="87">
        <v>217</v>
      </c>
      <c r="B218" s="88" t="str">
        <f>C218&amp;"-"&amp;E218&amp;"-"&amp;F218</f>
        <v>Littleton Target Masters-Junior Varsity 2-Trap</v>
      </c>
      <c r="C218" s="88" t="s">
        <v>323</v>
      </c>
      <c r="D218" s="88" t="str">
        <f>INDEX('Tournament Setup'!$B$59:$B$78,MATCH(E218,SquadConcurrents,0))</f>
        <v>Junior Varsity</v>
      </c>
      <c r="E218" s="88" t="s">
        <v>345</v>
      </c>
      <c r="F218" s="88" t="s">
        <v>147</v>
      </c>
      <c r="G218" s="96" t="str">
        <f>IF(F218="Skeet",IFERROR(INDEX('Shooter-Squad Assignment'!$A:$A,MATCH(C218&amp;"-"&amp;E218&amp;"-"&amp;F218&amp;"-Pos1",'Shooter-Squad Assignment'!$K:$K,0)),""),IF(F218="Trap",IFERROR(INDEX('Shooter-Squad Assignment'!$A:$A,MATCH(C218&amp;"-"&amp;E218&amp;"-"&amp;F218&amp;"-Pos1",'Shooter-Squad Assignment'!$W:$W,0)),""),IF(F218="Sporting Clays",IFERROR(INDEX('Shooter-Squad Assignment'!$A:$A,MATCH(C218&amp;"-"&amp;E218&amp;"-"&amp;F218&amp;"-Pos1",'Shooter-Squad Assignment'!$Z:$Z,0)),""),"")))</f>
        <v/>
      </c>
      <c r="H218" s="88" t="str">
        <f>IF(ISBLANK(G218),"",IFERROR(INDEX('Tournament List'!$D:$D,MATCH(G218,'Tournament List'!$A:$A,0)),""))</f>
        <v/>
      </c>
      <c r="I218" s="96" t="str">
        <f>IF(F218="Skeet",IFERROR(INDEX('Shooter-Squad Assignment'!$A:$A,MATCH(C218&amp;"-"&amp;E218&amp;"-"&amp;F218&amp;"-Pos2",'Shooter-Squad Assignment'!$K:$K,0)),""),IF(F218="Trap",IFERROR(INDEX('Shooter-Squad Assignment'!$A:$A,MATCH(C218&amp;"-"&amp;E218&amp;"-"&amp;F218&amp;"-Pos2",'Shooter-Squad Assignment'!$W:$W,0)),""),IF(F218="Sporting Clays",IFERROR(INDEX('Shooter-Squad Assignment'!$A:$A,MATCH(C218&amp;"-"&amp;E218&amp;"-"&amp;F218&amp;"-Pos2",'Shooter-Squad Assignment'!$Z:$Z,0)),""),"")))</f>
        <v/>
      </c>
      <c r="J218" s="88" t="str">
        <f>IF(ISBLANK(I218),"",IFERROR(INDEX('Tournament List'!$D:$D,MATCH(I218,'Tournament List'!$A:$A,0)),""))</f>
        <v/>
      </c>
      <c r="K218" s="96" t="str">
        <f>IF(F218="Skeet",IFERROR(INDEX('Shooter-Squad Assignment'!$A:$A,MATCH(C218&amp;"-"&amp;E218&amp;"-"&amp;F218&amp;"-Pos3",'Shooter-Squad Assignment'!$K:$K,0)),""),IF(F218="Trap",IFERROR(INDEX('Shooter-Squad Assignment'!$A:$A,MATCH(C218&amp;"-"&amp;E218&amp;"-"&amp;F218&amp;"-Pos3",'Shooter-Squad Assignment'!$W:$W,0)),""),IF(F218="Sporting Clays",IFERROR(INDEX('Shooter-Squad Assignment'!$A:$A,MATCH(C218&amp;"-"&amp;E218&amp;"-"&amp;F218&amp;"-Pos3",'Shooter-Squad Assignment'!$Z:$Z,0)),""),"")))</f>
        <v/>
      </c>
      <c r="L218" s="88" t="str">
        <f>IF(ISBLANK(K218),"",IFERROR(INDEX('Tournament List'!$D:$D,MATCH(K218,'Tournament List'!$A:$A,0)),""))</f>
        <v/>
      </c>
      <c r="M218" s="96" t="str">
        <f>IF(F218="Skeet",IFERROR(INDEX('Shooter-Squad Assignment'!$A:$A,MATCH(C218&amp;"-"&amp;E218&amp;"-"&amp;F218&amp;"-Pos4",'Shooter-Squad Assignment'!$K:$K,0)),""),IF(F218="Trap",IFERROR(INDEX('Shooter-Squad Assignment'!$A:$A,MATCH(C218&amp;"-"&amp;E218&amp;"-"&amp;F218&amp;"-Pos4",'Shooter-Squad Assignment'!$W:$W,0)),""),IF(F218="Sporting Clays",IFERROR(INDEX('Shooter-Squad Assignment'!$A:$A,MATCH(C218&amp;"-"&amp;E218&amp;"-"&amp;F218&amp;"-Pos4",'Shooter-Squad Assignment'!$Z:$Z,0)),""),"")))</f>
        <v/>
      </c>
      <c r="N218" s="88" t="str">
        <f>IF(ISBLANK(M218),"",IFERROR(INDEX('Tournament List'!$D:$D,MATCH(M218,'Tournament List'!$A:$A,0)),""))</f>
        <v/>
      </c>
      <c r="O218" s="96" t="str">
        <f>IF(F218="Skeet",IFERROR(INDEX('Shooter-Squad Assignment'!$A:$A,MATCH(C218&amp;"-"&amp;E218&amp;"-"&amp;F218&amp;"-Pos5",'Shooter-Squad Assignment'!$K:$K,0)),""),IF(F218="Trap",IFERROR(INDEX('Shooter-Squad Assignment'!$A:$A,MATCH(C218&amp;"-"&amp;E218&amp;"-"&amp;F218&amp;"-Pos5",'Shooter-Squad Assignment'!$W:$W,0)),""),IF(F218="Sporting Clays",IFERROR(INDEX('Shooter-Squad Assignment'!$A:$A,MATCH(C218&amp;"-"&amp;E218&amp;"-"&amp;F218&amp;"-Pos5",'Shooter-Squad Assignment'!$Z:$Z,0)),""),"")))</f>
        <v/>
      </c>
      <c r="P218" s="89" t="str">
        <f>IF(ISBLANK(O218),"",IFERROR(INDEX('Tournament List'!$D:$D,MATCH(O218,'Tournament List'!$A:$A,0)),""))</f>
        <v/>
      </c>
    </row>
    <row r="219" spans="1:16" x14ac:dyDescent="0.3">
      <c r="A219" s="87">
        <v>218</v>
      </c>
      <c r="B219" s="88" t="str">
        <f>C219&amp;"-"&amp;E219&amp;"-"&amp;F219</f>
        <v>Littleton Target Masters-Junior Varsity 3-Trap</v>
      </c>
      <c r="C219" s="88" t="s">
        <v>323</v>
      </c>
      <c r="D219" s="88" t="str">
        <f>INDEX('Tournament Setup'!$B$59:$B$78,MATCH(E219,SquadConcurrents,0))</f>
        <v>Junior Varsity</v>
      </c>
      <c r="E219" s="88" t="s">
        <v>351</v>
      </c>
      <c r="F219" s="88" t="s">
        <v>147</v>
      </c>
      <c r="G219" s="96" t="str">
        <f>IF(F219="Skeet",IFERROR(INDEX('Shooter-Squad Assignment'!$A:$A,MATCH(C219&amp;"-"&amp;E219&amp;"-"&amp;F219&amp;"-Pos1",'Shooter-Squad Assignment'!$K:$K,0)),""),IF(F219="Trap",IFERROR(INDEX('Shooter-Squad Assignment'!$A:$A,MATCH(C219&amp;"-"&amp;E219&amp;"-"&amp;F219&amp;"-Pos1",'Shooter-Squad Assignment'!$W:$W,0)),""),IF(F219="Sporting Clays",IFERROR(INDEX('Shooter-Squad Assignment'!$A:$A,MATCH(C219&amp;"-"&amp;E219&amp;"-"&amp;F219&amp;"-Pos1",'Shooter-Squad Assignment'!$Z:$Z,0)),""),"")))</f>
        <v/>
      </c>
      <c r="H219" s="88" t="str">
        <f>IF(ISBLANK(G219),"",IFERROR(INDEX('Tournament List'!$D:$D,MATCH(G219,'Tournament List'!$A:$A,0)),""))</f>
        <v/>
      </c>
      <c r="I219" s="96" t="str">
        <f>IF(F219="Skeet",IFERROR(INDEX('Shooter-Squad Assignment'!$A:$A,MATCH(C219&amp;"-"&amp;E219&amp;"-"&amp;F219&amp;"-Pos2",'Shooter-Squad Assignment'!$K:$K,0)),""),IF(F219="Trap",IFERROR(INDEX('Shooter-Squad Assignment'!$A:$A,MATCH(C219&amp;"-"&amp;E219&amp;"-"&amp;F219&amp;"-Pos2",'Shooter-Squad Assignment'!$W:$W,0)),""),IF(F219="Sporting Clays",IFERROR(INDEX('Shooter-Squad Assignment'!$A:$A,MATCH(C219&amp;"-"&amp;E219&amp;"-"&amp;F219&amp;"-Pos2",'Shooter-Squad Assignment'!$Z:$Z,0)),""),"")))</f>
        <v/>
      </c>
      <c r="J219" s="88" t="str">
        <f>IF(ISBLANK(I219),"",IFERROR(INDEX('Tournament List'!$D:$D,MATCH(I219,'Tournament List'!$A:$A,0)),""))</f>
        <v/>
      </c>
      <c r="K219" s="96" t="str">
        <f>IF(F219="Skeet",IFERROR(INDEX('Shooter-Squad Assignment'!$A:$A,MATCH(C219&amp;"-"&amp;E219&amp;"-"&amp;F219&amp;"-Pos3",'Shooter-Squad Assignment'!$K:$K,0)),""),IF(F219="Trap",IFERROR(INDEX('Shooter-Squad Assignment'!$A:$A,MATCH(C219&amp;"-"&amp;E219&amp;"-"&amp;F219&amp;"-Pos3",'Shooter-Squad Assignment'!$W:$W,0)),""),IF(F219="Sporting Clays",IFERROR(INDEX('Shooter-Squad Assignment'!$A:$A,MATCH(C219&amp;"-"&amp;E219&amp;"-"&amp;F219&amp;"-Pos3",'Shooter-Squad Assignment'!$Z:$Z,0)),""),"")))</f>
        <v/>
      </c>
      <c r="L219" s="88" t="str">
        <f>IF(ISBLANK(K219),"",IFERROR(INDEX('Tournament List'!$D:$D,MATCH(K219,'Tournament List'!$A:$A,0)),""))</f>
        <v/>
      </c>
      <c r="M219" s="96" t="str">
        <f>IF(F219="Skeet",IFERROR(INDEX('Shooter-Squad Assignment'!$A:$A,MATCH(C219&amp;"-"&amp;E219&amp;"-"&amp;F219&amp;"-Pos4",'Shooter-Squad Assignment'!$K:$K,0)),""),IF(F219="Trap",IFERROR(INDEX('Shooter-Squad Assignment'!$A:$A,MATCH(C219&amp;"-"&amp;E219&amp;"-"&amp;F219&amp;"-Pos4",'Shooter-Squad Assignment'!$W:$W,0)),""),IF(F219="Sporting Clays",IFERROR(INDEX('Shooter-Squad Assignment'!$A:$A,MATCH(C219&amp;"-"&amp;E219&amp;"-"&amp;F219&amp;"-Pos4",'Shooter-Squad Assignment'!$Z:$Z,0)),""),"")))</f>
        <v/>
      </c>
      <c r="N219" s="88" t="str">
        <f>IF(ISBLANK(M219),"",IFERROR(INDEX('Tournament List'!$D:$D,MATCH(M219,'Tournament List'!$A:$A,0)),""))</f>
        <v/>
      </c>
      <c r="O219" s="96" t="str">
        <f>IF(F219="Skeet",IFERROR(INDEX('Shooter-Squad Assignment'!$A:$A,MATCH(C219&amp;"-"&amp;E219&amp;"-"&amp;F219&amp;"-Pos5",'Shooter-Squad Assignment'!$K:$K,0)),""),IF(F219="Trap",IFERROR(INDEX('Shooter-Squad Assignment'!$A:$A,MATCH(C219&amp;"-"&amp;E219&amp;"-"&amp;F219&amp;"-Pos5",'Shooter-Squad Assignment'!$W:$W,0)),""),IF(F219="Sporting Clays",IFERROR(INDEX('Shooter-Squad Assignment'!$A:$A,MATCH(C219&amp;"-"&amp;E219&amp;"-"&amp;F219&amp;"-Pos5",'Shooter-Squad Assignment'!$Z:$Z,0)),""),"")))</f>
        <v/>
      </c>
      <c r="P219" s="89" t="str">
        <f>IF(ISBLANK(O219),"",IFERROR(INDEX('Tournament List'!$D:$D,MATCH(O219,'Tournament List'!$A:$A,0)),""))</f>
        <v/>
      </c>
    </row>
    <row r="220" spans="1:16" x14ac:dyDescent="0.3">
      <c r="A220" s="87">
        <v>219</v>
      </c>
      <c r="B220" s="88" t="str">
        <f>C220&amp;"-"&amp;E220&amp;"-"&amp;F220</f>
        <v>Littleton Target Masters-Novice 1-Trap</v>
      </c>
      <c r="C220" s="88" t="s">
        <v>323</v>
      </c>
      <c r="D220" s="88" t="str">
        <f>INDEX('Tournament Setup'!$B$59:$B$78,MATCH(E220,SquadConcurrents,0))</f>
        <v>Novice</v>
      </c>
      <c r="E220" s="88" t="s">
        <v>337</v>
      </c>
      <c r="F220" s="88" t="s">
        <v>147</v>
      </c>
      <c r="G220" s="96" t="str">
        <f>IF(F220="Skeet",IFERROR(INDEX('Shooter-Squad Assignment'!$A:$A,MATCH(C220&amp;"-"&amp;E220&amp;"-"&amp;F220&amp;"-Pos1",'Shooter-Squad Assignment'!$K:$K,0)),""),IF(F220="Trap",IFERROR(INDEX('Shooter-Squad Assignment'!$A:$A,MATCH(C220&amp;"-"&amp;E220&amp;"-"&amp;F220&amp;"-Pos1",'Shooter-Squad Assignment'!$W:$W,0)),""),IF(F220="Sporting Clays",IFERROR(INDEX('Shooter-Squad Assignment'!$A:$A,MATCH(C220&amp;"-"&amp;E220&amp;"-"&amp;F220&amp;"-Pos1",'Shooter-Squad Assignment'!$Z:$Z,0)),""),"")))</f>
        <v/>
      </c>
      <c r="H220" s="88" t="str">
        <f>IF(ISBLANK(G220),"",IFERROR(INDEX('Tournament List'!$D:$D,MATCH(G220,'Tournament List'!$A:$A,0)),""))</f>
        <v/>
      </c>
      <c r="I220" s="96" t="str">
        <f>IF(F220="Skeet",IFERROR(INDEX('Shooter-Squad Assignment'!$A:$A,MATCH(C220&amp;"-"&amp;E220&amp;"-"&amp;F220&amp;"-Pos2",'Shooter-Squad Assignment'!$K:$K,0)),""),IF(F220="Trap",IFERROR(INDEX('Shooter-Squad Assignment'!$A:$A,MATCH(C220&amp;"-"&amp;E220&amp;"-"&amp;F220&amp;"-Pos2",'Shooter-Squad Assignment'!$W:$W,0)),""),IF(F220="Sporting Clays",IFERROR(INDEX('Shooter-Squad Assignment'!$A:$A,MATCH(C220&amp;"-"&amp;E220&amp;"-"&amp;F220&amp;"-Pos2",'Shooter-Squad Assignment'!$Z:$Z,0)),""),"")))</f>
        <v/>
      </c>
      <c r="J220" s="88" t="str">
        <f>IF(ISBLANK(I220),"",IFERROR(INDEX('Tournament List'!$D:$D,MATCH(I220,'Tournament List'!$A:$A,0)),""))</f>
        <v/>
      </c>
      <c r="K220" s="96" t="str">
        <f>IF(F220="Skeet",IFERROR(INDEX('Shooter-Squad Assignment'!$A:$A,MATCH(C220&amp;"-"&amp;E220&amp;"-"&amp;F220&amp;"-Pos3",'Shooter-Squad Assignment'!$K:$K,0)),""),IF(F220="Trap",IFERROR(INDEX('Shooter-Squad Assignment'!$A:$A,MATCH(C220&amp;"-"&amp;E220&amp;"-"&amp;F220&amp;"-Pos3",'Shooter-Squad Assignment'!$W:$W,0)),""),IF(F220="Sporting Clays",IFERROR(INDEX('Shooter-Squad Assignment'!$A:$A,MATCH(C220&amp;"-"&amp;E220&amp;"-"&amp;F220&amp;"-Pos3",'Shooter-Squad Assignment'!$Z:$Z,0)),""),"")))</f>
        <v/>
      </c>
      <c r="L220" s="88" t="str">
        <f>IF(ISBLANK(K220),"",IFERROR(INDEX('Tournament List'!$D:$D,MATCH(K220,'Tournament List'!$A:$A,0)),""))</f>
        <v/>
      </c>
      <c r="M220" s="96" t="str">
        <f>IF(F220="Skeet",IFERROR(INDEX('Shooter-Squad Assignment'!$A:$A,MATCH(C220&amp;"-"&amp;E220&amp;"-"&amp;F220&amp;"-Pos4",'Shooter-Squad Assignment'!$K:$K,0)),""),IF(F220="Trap",IFERROR(INDEX('Shooter-Squad Assignment'!$A:$A,MATCH(C220&amp;"-"&amp;E220&amp;"-"&amp;F220&amp;"-Pos4",'Shooter-Squad Assignment'!$W:$W,0)),""),IF(F220="Sporting Clays",IFERROR(INDEX('Shooter-Squad Assignment'!$A:$A,MATCH(C220&amp;"-"&amp;E220&amp;"-"&amp;F220&amp;"-Pos4",'Shooter-Squad Assignment'!$Z:$Z,0)),""),"")))</f>
        <v/>
      </c>
      <c r="N220" s="88" t="str">
        <f>IF(ISBLANK(M220),"",IFERROR(INDEX('Tournament List'!$D:$D,MATCH(M220,'Tournament List'!$A:$A,0)),""))</f>
        <v/>
      </c>
      <c r="O220" s="96" t="str">
        <f>IF(F220="Skeet",IFERROR(INDEX('Shooter-Squad Assignment'!$A:$A,MATCH(C220&amp;"-"&amp;E220&amp;"-"&amp;F220&amp;"-Pos5",'Shooter-Squad Assignment'!$K:$K,0)),""),IF(F220="Trap",IFERROR(INDEX('Shooter-Squad Assignment'!$A:$A,MATCH(C220&amp;"-"&amp;E220&amp;"-"&amp;F220&amp;"-Pos5",'Shooter-Squad Assignment'!$W:$W,0)),""),IF(F220="Sporting Clays",IFERROR(INDEX('Shooter-Squad Assignment'!$A:$A,MATCH(C220&amp;"-"&amp;E220&amp;"-"&amp;F220&amp;"-Pos5",'Shooter-Squad Assignment'!$Z:$Z,0)),""),"")))</f>
        <v/>
      </c>
      <c r="P220" s="89" t="str">
        <f>IF(ISBLANK(O220),"",IFERROR(INDEX('Tournament List'!$D:$D,MATCH(O220,'Tournament List'!$A:$A,0)),""))</f>
        <v/>
      </c>
    </row>
    <row r="221" spans="1:16" x14ac:dyDescent="0.3">
      <c r="A221" s="87">
        <v>220</v>
      </c>
      <c r="B221" s="88" t="str">
        <f>C221&amp;"-"&amp;E221&amp;"-"&amp;F221</f>
        <v>Littleton Target Masters-Novice 2-Trap</v>
      </c>
      <c r="C221" s="88" t="s">
        <v>323</v>
      </c>
      <c r="D221" s="88" t="str">
        <f>INDEX('Tournament Setup'!$B$59:$B$78,MATCH(E221,SquadConcurrents,0))</f>
        <v>Novice</v>
      </c>
      <c r="E221" s="88" t="s">
        <v>343</v>
      </c>
      <c r="F221" s="88" t="s">
        <v>147</v>
      </c>
      <c r="G221" s="96" t="str">
        <f>IF(F221="Skeet",IFERROR(INDEX('Shooter-Squad Assignment'!$A:$A,MATCH(C221&amp;"-"&amp;E221&amp;"-"&amp;F221&amp;"-Pos1",'Shooter-Squad Assignment'!$K:$K,0)),""),IF(F221="Trap",IFERROR(INDEX('Shooter-Squad Assignment'!$A:$A,MATCH(C221&amp;"-"&amp;E221&amp;"-"&amp;F221&amp;"-Pos1",'Shooter-Squad Assignment'!$W:$W,0)),""),IF(F221="Sporting Clays",IFERROR(INDEX('Shooter-Squad Assignment'!$A:$A,MATCH(C221&amp;"-"&amp;E221&amp;"-"&amp;F221&amp;"-Pos1",'Shooter-Squad Assignment'!$Z:$Z,0)),""),"")))</f>
        <v/>
      </c>
      <c r="H221" s="88" t="str">
        <f>IF(ISBLANK(G221),"",IFERROR(INDEX('Tournament List'!$D:$D,MATCH(G221,'Tournament List'!$A:$A,0)),""))</f>
        <v/>
      </c>
      <c r="I221" s="96" t="str">
        <f>IF(F221="Skeet",IFERROR(INDEX('Shooter-Squad Assignment'!$A:$A,MATCH(C221&amp;"-"&amp;E221&amp;"-"&amp;F221&amp;"-Pos2",'Shooter-Squad Assignment'!$K:$K,0)),""),IF(F221="Trap",IFERROR(INDEX('Shooter-Squad Assignment'!$A:$A,MATCH(C221&amp;"-"&amp;E221&amp;"-"&amp;F221&amp;"-Pos2",'Shooter-Squad Assignment'!$W:$W,0)),""),IF(F221="Sporting Clays",IFERROR(INDEX('Shooter-Squad Assignment'!$A:$A,MATCH(C221&amp;"-"&amp;E221&amp;"-"&amp;F221&amp;"-Pos2",'Shooter-Squad Assignment'!$Z:$Z,0)),""),"")))</f>
        <v/>
      </c>
      <c r="J221" s="88" t="str">
        <f>IF(ISBLANK(I221),"",IFERROR(INDEX('Tournament List'!$D:$D,MATCH(I221,'Tournament List'!$A:$A,0)),""))</f>
        <v/>
      </c>
      <c r="K221" s="96" t="str">
        <f>IF(F221="Skeet",IFERROR(INDEX('Shooter-Squad Assignment'!$A:$A,MATCH(C221&amp;"-"&amp;E221&amp;"-"&amp;F221&amp;"-Pos3",'Shooter-Squad Assignment'!$K:$K,0)),""),IF(F221="Trap",IFERROR(INDEX('Shooter-Squad Assignment'!$A:$A,MATCH(C221&amp;"-"&amp;E221&amp;"-"&amp;F221&amp;"-Pos3",'Shooter-Squad Assignment'!$W:$W,0)),""),IF(F221="Sporting Clays",IFERROR(INDEX('Shooter-Squad Assignment'!$A:$A,MATCH(C221&amp;"-"&amp;E221&amp;"-"&amp;F221&amp;"-Pos3",'Shooter-Squad Assignment'!$Z:$Z,0)),""),"")))</f>
        <v/>
      </c>
      <c r="L221" s="88" t="str">
        <f>IF(ISBLANK(K221),"",IFERROR(INDEX('Tournament List'!$D:$D,MATCH(K221,'Tournament List'!$A:$A,0)),""))</f>
        <v/>
      </c>
      <c r="M221" s="96" t="str">
        <f>IF(F221="Skeet",IFERROR(INDEX('Shooter-Squad Assignment'!$A:$A,MATCH(C221&amp;"-"&amp;E221&amp;"-"&amp;F221&amp;"-Pos4",'Shooter-Squad Assignment'!$K:$K,0)),""),IF(F221="Trap",IFERROR(INDEX('Shooter-Squad Assignment'!$A:$A,MATCH(C221&amp;"-"&amp;E221&amp;"-"&amp;F221&amp;"-Pos4",'Shooter-Squad Assignment'!$W:$W,0)),""),IF(F221="Sporting Clays",IFERROR(INDEX('Shooter-Squad Assignment'!$A:$A,MATCH(C221&amp;"-"&amp;E221&amp;"-"&amp;F221&amp;"-Pos4",'Shooter-Squad Assignment'!$Z:$Z,0)),""),"")))</f>
        <v/>
      </c>
      <c r="N221" s="88" t="str">
        <f>IF(ISBLANK(M221),"",IFERROR(INDEX('Tournament List'!$D:$D,MATCH(M221,'Tournament List'!$A:$A,0)),""))</f>
        <v/>
      </c>
      <c r="O221" s="96" t="str">
        <f>IF(F221="Skeet",IFERROR(INDEX('Shooter-Squad Assignment'!$A:$A,MATCH(C221&amp;"-"&amp;E221&amp;"-"&amp;F221&amp;"-Pos5",'Shooter-Squad Assignment'!$K:$K,0)),""),IF(F221="Trap",IFERROR(INDEX('Shooter-Squad Assignment'!$A:$A,MATCH(C221&amp;"-"&amp;E221&amp;"-"&amp;F221&amp;"-Pos5",'Shooter-Squad Assignment'!$W:$W,0)),""),IF(F221="Sporting Clays",IFERROR(INDEX('Shooter-Squad Assignment'!$A:$A,MATCH(C221&amp;"-"&amp;E221&amp;"-"&amp;F221&amp;"-Pos5",'Shooter-Squad Assignment'!$Z:$Z,0)),""),"")))</f>
        <v/>
      </c>
      <c r="P221" s="89" t="str">
        <f>IF(ISBLANK(O221),"",IFERROR(INDEX('Tournament List'!$D:$D,MATCH(O221,'Tournament List'!$A:$A,0)),""))</f>
        <v/>
      </c>
    </row>
    <row r="222" spans="1:16" x14ac:dyDescent="0.3">
      <c r="A222" s="87">
        <v>221</v>
      </c>
      <c r="B222" s="88" t="str">
        <f>C222&amp;"-"&amp;E222&amp;"-"&amp;F222</f>
        <v>Littleton Target Masters-Novice 3-Trap</v>
      </c>
      <c r="C222" s="88" t="s">
        <v>323</v>
      </c>
      <c r="D222" s="88" t="str">
        <f>INDEX('Tournament Setup'!$B$59:$B$78,MATCH(E222,SquadConcurrents,0))</f>
        <v>Novice</v>
      </c>
      <c r="E222" s="88" t="s">
        <v>349</v>
      </c>
      <c r="F222" s="88" t="s">
        <v>147</v>
      </c>
      <c r="G222" s="96" t="str">
        <f>IF(F222="Skeet",IFERROR(INDEX('Shooter-Squad Assignment'!$A:$A,MATCH(C222&amp;"-"&amp;E222&amp;"-"&amp;F222&amp;"-Pos1",'Shooter-Squad Assignment'!$K:$K,0)),""),IF(F222="Trap",IFERROR(INDEX('Shooter-Squad Assignment'!$A:$A,MATCH(C222&amp;"-"&amp;E222&amp;"-"&amp;F222&amp;"-Pos1",'Shooter-Squad Assignment'!$W:$W,0)),""),IF(F222="Sporting Clays",IFERROR(INDEX('Shooter-Squad Assignment'!$A:$A,MATCH(C222&amp;"-"&amp;E222&amp;"-"&amp;F222&amp;"-Pos1",'Shooter-Squad Assignment'!$Z:$Z,0)),""),"")))</f>
        <v/>
      </c>
      <c r="H222" s="88" t="str">
        <f>IF(ISBLANK(G222),"",IFERROR(INDEX('Tournament List'!$D:$D,MATCH(G222,'Tournament List'!$A:$A,0)),""))</f>
        <v/>
      </c>
      <c r="I222" s="96" t="str">
        <f>IF(F222="Skeet",IFERROR(INDEX('Shooter-Squad Assignment'!$A:$A,MATCH(C222&amp;"-"&amp;E222&amp;"-"&amp;F222&amp;"-Pos2",'Shooter-Squad Assignment'!$K:$K,0)),""),IF(F222="Trap",IFERROR(INDEX('Shooter-Squad Assignment'!$A:$A,MATCH(C222&amp;"-"&amp;E222&amp;"-"&amp;F222&amp;"-Pos2",'Shooter-Squad Assignment'!$W:$W,0)),""),IF(F222="Sporting Clays",IFERROR(INDEX('Shooter-Squad Assignment'!$A:$A,MATCH(C222&amp;"-"&amp;E222&amp;"-"&amp;F222&amp;"-Pos2",'Shooter-Squad Assignment'!$Z:$Z,0)),""),"")))</f>
        <v/>
      </c>
      <c r="J222" s="88" t="str">
        <f>IF(ISBLANK(I222),"",IFERROR(INDEX('Tournament List'!$D:$D,MATCH(I222,'Tournament List'!$A:$A,0)),""))</f>
        <v/>
      </c>
      <c r="K222" s="96" t="str">
        <f>IF(F222="Skeet",IFERROR(INDEX('Shooter-Squad Assignment'!$A:$A,MATCH(C222&amp;"-"&amp;E222&amp;"-"&amp;F222&amp;"-Pos3",'Shooter-Squad Assignment'!$K:$K,0)),""),IF(F222="Trap",IFERROR(INDEX('Shooter-Squad Assignment'!$A:$A,MATCH(C222&amp;"-"&amp;E222&amp;"-"&amp;F222&amp;"-Pos3",'Shooter-Squad Assignment'!$W:$W,0)),""),IF(F222="Sporting Clays",IFERROR(INDEX('Shooter-Squad Assignment'!$A:$A,MATCH(C222&amp;"-"&amp;E222&amp;"-"&amp;F222&amp;"-Pos3",'Shooter-Squad Assignment'!$Z:$Z,0)),""),"")))</f>
        <v/>
      </c>
      <c r="L222" s="88" t="str">
        <f>IF(ISBLANK(K222),"",IFERROR(INDEX('Tournament List'!$D:$D,MATCH(K222,'Tournament List'!$A:$A,0)),""))</f>
        <v/>
      </c>
      <c r="M222" s="96" t="str">
        <f>IF(F222="Skeet",IFERROR(INDEX('Shooter-Squad Assignment'!$A:$A,MATCH(C222&amp;"-"&amp;E222&amp;"-"&amp;F222&amp;"-Pos4",'Shooter-Squad Assignment'!$K:$K,0)),""),IF(F222="Trap",IFERROR(INDEX('Shooter-Squad Assignment'!$A:$A,MATCH(C222&amp;"-"&amp;E222&amp;"-"&amp;F222&amp;"-Pos4",'Shooter-Squad Assignment'!$W:$W,0)),""),IF(F222="Sporting Clays",IFERROR(INDEX('Shooter-Squad Assignment'!$A:$A,MATCH(C222&amp;"-"&amp;E222&amp;"-"&amp;F222&amp;"-Pos4",'Shooter-Squad Assignment'!$Z:$Z,0)),""),"")))</f>
        <v/>
      </c>
      <c r="N222" s="88" t="str">
        <f>IF(ISBLANK(M222),"",IFERROR(INDEX('Tournament List'!$D:$D,MATCH(M222,'Tournament List'!$A:$A,0)),""))</f>
        <v/>
      </c>
      <c r="O222" s="96" t="str">
        <f>IF(F222="Skeet",IFERROR(INDEX('Shooter-Squad Assignment'!$A:$A,MATCH(C222&amp;"-"&amp;E222&amp;"-"&amp;F222&amp;"-Pos5",'Shooter-Squad Assignment'!$K:$K,0)),""),IF(F222="Trap",IFERROR(INDEX('Shooter-Squad Assignment'!$A:$A,MATCH(C222&amp;"-"&amp;E222&amp;"-"&amp;F222&amp;"-Pos5",'Shooter-Squad Assignment'!$W:$W,0)),""),IF(F222="Sporting Clays",IFERROR(INDEX('Shooter-Squad Assignment'!$A:$A,MATCH(C222&amp;"-"&amp;E222&amp;"-"&amp;F222&amp;"-Pos5",'Shooter-Squad Assignment'!$Z:$Z,0)),""),"")))</f>
        <v/>
      </c>
      <c r="P222" s="89" t="str">
        <f>IF(ISBLANK(O222),"",IFERROR(INDEX('Tournament List'!$D:$D,MATCH(O222,'Tournament List'!$A:$A,0)),""))</f>
        <v/>
      </c>
    </row>
    <row r="223" spans="1:16" x14ac:dyDescent="0.3">
      <c r="A223" s="87">
        <v>222</v>
      </c>
      <c r="B223" s="88" t="str">
        <f>C223&amp;"-"&amp;E223&amp;"-"&amp;F223</f>
        <v>Littleton Target Masters-Open 1-Trap</v>
      </c>
      <c r="C223" s="88" t="s">
        <v>323</v>
      </c>
      <c r="D223" s="88" t="str">
        <f>INDEX('Tournament Setup'!$B$59:$B$78,MATCH(E223,SquadConcurrents,0))</f>
        <v>Open</v>
      </c>
      <c r="E223" s="88" t="s">
        <v>341</v>
      </c>
      <c r="F223" s="88" t="s">
        <v>147</v>
      </c>
      <c r="G223" s="96" t="str">
        <f>IF(F223="Skeet",IFERROR(INDEX('Shooter-Squad Assignment'!$A:$A,MATCH(C223&amp;"-"&amp;E223&amp;"-"&amp;F223&amp;"-Pos1",'Shooter-Squad Assignment'!$K:$K,0)),""),IF(F223="Trap",IFERROR(INDEX('Shooter-Squad Assignment'!$A:$A,MATCH(C223&amp;"-"&amp;E223&amp;"-"&amp;F223&amp;"-Pos1",'Shooter-Squad Assignment'!$W:$W,0)),""),IF(F223="Sporting Clays",IFERROR(INDEX('Shooter-Squad Assignment'!$A:$A,MATCH(C223&amp;"-"&amp;E223&amp;"-"&amp;F223&amp;"-Pos1",'Shooter-Squad Assignment'!$Z:$Z,0)),""),"")))</f>
        <v/>
      </c>
      <c r="H223" s="88" t="str">
        <f>IF(ISBLANK(G223),"",IFERROR(INDEX('Tournament List'!$D:$D,MATCH(G223,'Tournament List'!$A:$A,0)),""))</f>
        <v/>
      </c>
      <c r="I223" s="96" t="str">
        <f>IF(F223="Skeet",IFERROR(INDEX('Shooter-Squad Assignment'!$A:$A,MATCH(C223&amp;"-"&amp;E223&amp;"-"&amp;F223&amp;"-Pos2",'Shooter-Squad Assignment'!$K:$K,0)),""),IF(F223="Trap",IFERROR(INDEX('Shooter-Squad Assignment'!$A:$A,MATCH(C223&amp;"-"&amp;E223&amp;"-"&amp;F223&amp;"-Pos2",'Shooter-Squad Assignment'!$W:$W,0)),""),IF(F223="Sporting Clays",IFERROR(INDEX('Shooter-Squad Assignment'!$A:$A,MATCH(C223&amp;"-"&amp;E223&amp;"-"&amp;F223&amp;"-Pos2",'Shooter-Squad Assignment'!$Z:$Z,0)),""),"")))</f>
        <v/>
      </c>
      <c r="J223" s="88" t="str">
        <f>IF(ISBLANK(I223),"",IFERROR(INDEX('Tournament List'!$D:$D,MATCH(I223,'Tournament List'!$A:$A,0)),""))</f>
        <v/>
      </c>
      <c r="K223" s="96" t="str">
        <f>IF(F223="Skeet",IFERROR(INDEX('Shooter-Squad Assignment'!$A:$A,MATCH(C223&amp;"-"&amp;E223&amp;"-"&amp;F223&amp;"-Pos3",'Shooter-Squad Assignment'!$K:$K,0)),""),IF(F223="Trap",IFERROR(INDEX('Shooter-Squad Assignment'!$A:$A,MATCH(C223&amp;"-"&amp;E223&amp;"-"&amp;F223&amp;"-Pos3",'Shooter-Squad Assignment'!$W:$W,0)),""),IF(F223="Sporting Clays",IFERROR(INDEX('Shooter-Squad Assignment'!$A:$A,MATCH(C223&amp;"-"&amp;E223&amp;"-"&amp;F223&amp;"-Pos3",'Shooter-Squad Assignment'!$Z:$Z,0)),""),"")))</f>
        <v/>
      </c>
      <c r="L223" s="88" t="str">
        <f>IF(ISBLANK(K223),"",IFERROR(INDEX('Tournament List'!$D:$D,MATCH(K223,'Tournament List'!$A:$A,0)),""))</f>
        <v/>
      </c>
      <c r="M223" s="96" t="str">
        <f>IF(F223="Skeet",IFERROR(INDEX('Shooter-Squad Assignment'!$A:$A,MATCH(C223&amp;"-"&amp;E223&amp;"-"&amp;F223&amp;"-Pos4",'Shooter-Squad Assignment'!$K:$K,0)),""),IF(F223="Trap",IFERROR(INDEX('Shooter-Squad Assignment'!$A:$A,MATCH(C223&amp;"-"&amp;E223&amp;"-"&amp;F223&amp;"-Pos4",'Shooter-Squad Assignment'!$W:$W,0)),""),IF(F223="Sporting Clays",IFERROR(INDEX('Shooter-Squad Assignment'!$A:$A,MATCH(C223&amp;"-"&amp;E223&amp;"-"&amp;F223&amp;"-Pos4",'Shooter-Squad Assignment'!$Z:$Z,0)),""),"")))</f>
        <v/>
      </c>
      <c r="N223" s="88" t="str">
        <f>IF(ISBLANK(M223),"",IFERROR(INDEX('Tournament List'!$D:$D,MATCH(M223,'Tournament List'!$A:$A,0)),""))</f>
        <v/>
      </c>
      <c r="O223" s="96" t="str">
        <f>IF(F223="Skeet",IFERROR(INDEX('Shooter-Squad Assignment'!$A:$A,MATCH(C223&amp;"-"&amp;E223&amp;"-"&amp;F223&amp;"-Pos5",'Shooter-Squad Assignment'!$K:$K,0)),""),IF(F223="Trap",IFERROR(INDEX('Shooter-Squad Assignment'!$A:$A,MATCH(C223&amp;"-"&amp;E223&amp;"-"&amp;F223&amp;"-Pos5",'Shooter-Squad Assignment'!$W:$W,0)),""),IF(F223="Sporting Clays",IFERROR(INDEX('Shooter-Squad Assignment'!$A:$A,MATCH(C223&amp;"-"&amp;E223&amp;"-"&amp;F223&amp;"-Pos5",'Shooter-Squad Assignment'!$Z:$Z,0)),""),"")))</f>
        <v/>
      </c>
      <c r="P223" s="89" t="str">
        <f>IF(ISBLANK(O223),"",IFERROR(INDEX('Tournament List'!$D:$D,MATCH(O223,'Tournament List'!$A:$A,0)),""))</f>
        <v/>
      </c>
    </row>
    <row r="224" spans="1:16" x14ac:dyDescent="0.3">
      <c r="A224" s="87">
        <v>223</v>
      </c>
      <c r="B224" s="88" t="str">
        <f>C224&amp;"-"&amp;E224&amp;"-"&amp;F224</f>
        <v>Littleton Target Masters-Open 2-Trap</v>
      </c>
      <c r="C224" s="88" t="s">
        <v>323</v>
      </c>
      <c r="D224" s="88" t="str">
        <f>INDEX('Tournament Setup'!$B$59:$B$78,MATCH(E224,SquadConcurrents,0))</f>
        <v>Open</v>
      </c>
      <c r="E224" s="88" t="s">
        <v>347</v>
      </c>
      <c r="F224" s="88" t="s">
        <v>147</v>
      </c>
      <c r="G224" s="96" t="str">
        <f>IF(F224="Skeet",IFERROR(INDEX('Shooter-Squad Assignment'!$A:$A,MATCH(C224&amp;"-"&amp;E224&amp;"-"&amp;F224&amp;"-Pos1",'Shooter-Squad Assignment'!$K:$K,0)),""),IF(F224="Trap",IFERROR(INDEX('Shooter-Squad Assignment'!$A:$A,MATCH(C224&amp;"-"&amp;E224&amp;"-"&amp;F224&amp;"-Pos1",'Shooter-Squad Assignment'!$W:$W,0)),""),IF(F224="Sporting Clays",IFERROR(INDEX('Shooter-Squad Assignment'!$A:$A,MATCH(C224&amp;"-"&amp;E224&amp;"-"&amp;F224&amp;"-Pos1",'Shooter-Squad Assignment'!$Z:$Z,0)),""),"")))</f>
        <v/>
      </c>
      <c r="H224" s="88" t="str">
        <f>IF(ISBLANK(G224),"",IFERROR(INDEX('Tournament List'!$D:$D,MATCH(G224,'Tournament List'!$A:$A,0)),""))</f>
        <v/>
      </c>
      <c r="I224" s="96" t="str">
        <f>IF(F224="Skeet",IFERROR(INDEX('Shooter-Squad Assignment'!$A:$A,MATCH(C224&amp;"-"&amp;E224&amp;"-"&amp;F224&amp;"-Pos2",'Shooter-Squad Assignment'!$K:$K,0)),""),IF(F224="Trap",IFERROR(INDEX('Shooter-Squad Assignment'!$A:$A,MATCH(C224&amp;"-"&amp;E224&amp;"-"&amp;F224&amp;"-Pos2",'Shooter-Squad Assignment'!$W:$W,0)),""),IF(F224="Sporting Clays",IFERROR(INDEX('Shooter-Squad Assignment'!$A:$A,MATCH(C224&amp;"-"&amp;E224&amp;"-"&amp;F224&amp;"-Pos2",'Shooter-Squad Assignment'!$Z:$Z,0)),""),"")))</f>
        <v/>
      </c>
      <c r="J224" s="88" t="str">
        <f>IF(ISBLANK(I224),"",IFERROR(INDEX('Tournament List'!$D:$D,MATCH(I224,'Tournament List'!$A:$A,0)),""))</f>
        <v/>
      </c>
      <c r="K224" s="96" t="str">
        <f>IF(F224="Skeet",IFERROR(INDEX('Shooter-Squad Assignment'!$A:$A,MATCH(C224&amp;"-"&amp;E224&amp;"-"&amp;F224&amp;"-Pos3",'Shooter-Squad Assignment'!$K:$K,0)),""),IF(F224="Trap",IFERROR(INDEX('Shooter-Squad Assignment'!$A:$A,MATCH(C224&amp;"-"&amp;E224&amp;"-"&amp;F224&amp;"-Pos3",'Shooter-Squad Assignment'!$W:$W,0)),""),IF(F224="Sporting Clays",IFERROR(INDEX('Shooter-Squad Assignment'!$A:$A,MATCH(C224&amp;"-"&amp;E224&amp;"-"&amp;F224&amp;"-Pos3",'Shooter-Squad Assignment'!$Z:$Z,0)),""),"")))</f>
        <v/>
      </c>
      <c r="L224" s="88" t="str">
        <f>IF(ISBLANK(K224),"",IFERROR(INDEX('Tournament List'!$D:$D,MATCH(K224,'Tournament List'!$A:$A,0)),""))</f>
        <v/>
      </c>
      <c r="M224" s="96" t="str">
        <f>IF(F224="Skeet",IFERROR(INDEX('Shooter-Squad Assignment'!$A:$A,MATCH(C224&amp;"-"&amp;E224&amp;"-"&amp;F224&amp;"-Pos4",'Shooter-Squad Assignment'!$K:$K,0)),""),IF(F224="Trap",IFERROR(INDEX('Shooter-Squad Assignment'!$A:$A,MATCH(C224&amp;"-"&amp;E224&amp;"-"&amp;F224&amp;"-Pos4",'Shooter-Squad Assignment'!$W:$W,0)),""),IF(F224="Sporting Clays",IFERROR(INDEX('Shooter-Squad Assignment'!$A:$A,MATCH(C224&amp;"-"&amp;E224&amp;"-"&amp;F224&amp;"-Pos4",'Shooter-Squad Assignment'!$Z:$Z,0)),""),"")))</f>
        <v/>
      </c>
      <c r="N224" s="88" t="str">
        <f>IF(ISBLANK(M224),"",IFERROR(INDEX('Tournament List'!$D:$D,MATCH(M224,'Tournament List'!$A:$A,0)),""))</f>
        <v/>
      </c>
      <c r="O224" s="96" t="str">
        <f>IF(F224="Skeet",IFERROR(INDEX('Shooter-Squad Assignment'!$A:$A,MATCH(C224&amp;"-"&amp;E224&amp;"-"&amp;F224&amp;"-Pos5",'Shooter-Squad Assignment'!$K:$K,0)),""),IF(F224="Trap",IFERROR(INDEX('Shooter-Squad Assignment'!$A:$A,MATCH(C224&amp;"-"&amp;E224&amp;"-"&amp;F224&amp;"-Pos5",'Shooter-Squad Assignment'!$W:$W,0)),""),IF(F224="Sporting Clays",IFERROR(INDEX('Shooter-Squad Assignment'!$A:$A,MATCH(C224&amp;"-"&amp;E224&amp;"-"&amp;F224&amp;"-Pos5",'Shooter-Squad Assignment'!$Z:$Z,0)),""),"")))</f>
        <v/>
      </c>
      <c r="P224" s="89" t="str">
        <f>IF(ISBLANK(O224),"",IFERROR(INDEX('Tournament List'!$D:$D,MATCH(O224,'Tournament List'!$A:$A,0)),""))</f>
        <v/>
      </c>
    </row>
    <row r="225" spans="1:16" x14ac:dyDescent="0.3">
      <c r="A225" s="87">
        <v>224</v>
      </c>
      <c r="B225" s="88" t="str">
        <f>C225&amp;"-"&amp;E225&amp;"-"&amp;F225</f>
        <v>Littleton Target Masters-Open 3-Trap</v>
      </c>
      <c r="C225" s="88" t="s">
        <v>323</v>
      </c>
      <c r="D225" s="88" t="str">
        <f>INDEX('Tournament Setup'!$B$59:$B$78,MATCH(E225,SquadConcurrents,0))</f>
        <v>Open</v>
      </c>
      <c r="E225" s="88" t="s">
        <v>353</v>
      </c>
      <c r="F225" s="88" t="s">
        <v>147</v>
      </c>
      <c r="G225" s="96" t="str">
        <f>IF(F225="Skeet",IFERROR(INDEX('Shooter-Squad Assignment'!$A:$A,MATCH(C225&amp;"-"&amp;E225&amp;"-"&amp;F225&amp;"-Pos1",'Shooter-Squad Assignment'!$K:$K,0)),""),IF(F225="Trap",IFERROR(INDEX('Shooter-Squad Assignment'!$A:$A,MATCH(C225&amp;"-"&amp;E225&amp;"-"&amp;F225&amp;"-Pos1",'Shooter-Squad Assignment'!$W:$W,0)),""),IF(F225="Sporting Clays",IFERROR(INDEX('Shooter-Squad Assignment'!$A:$A,MATCH(C225&amp;"-"&amp;E225&amp;"-"&amp;F225&amp;"-Pos1",'Shooter-Squad Assignment'!$Z:$Z,0)),""),"")))</f>
        <v/>
      </c>
      <c r="H225" s="88" t="str">
        <f>IF(ISBLANK(G225),"",IFERROR(INDEX('Tournament List'!$D:$D,MATCH(G225,'Tournament List'!$A:$A,0)),""))</f>
        <v/>
      </c>
      <c r="I225" s="96" t="str">
        <f>IF(F225="Skeet",IFERROR(INDEX('Shooter-Squad Assignment'!$A:$A,MATCH(C225&amp;"-"&amp;E225&amp;"-"&amp;F225&amp;"-Pos2",'Shooter-Squad Assignment'!$K:$K,0)),""),IF(F225="Trap",IFERROR(INDEX('Shooter-Squad Assignment'!$A:$A,MATCH(C225&amp;"-"&amp;E225&amp;"-"&amp;F225&amp;"-Pos2",'Shooter-Squad Assignment'!$W:$W,0)),""),IF(F225="Sporting Clays",IFERROR(INDEX('Shooter-Squad Assignment'!$A:$A,MATCH(C225&amp;"-"&amp;E225&amp;"-"&amp;F225&amp;"-Pos2",'Shooter-Squad Assignment'!$Z:$Z,0)),""),"")))</f>
        <v/>
      </c>
      <c r="J225" s="88" t="str">
        <f>IF(ISBLANK(I225),"",IFERROR(INDEX('Tournament List'!$D:$D,MATCH(I225,'Tournament List'!$A:$A,0)),""))</f>
        <v/>
      </c>
      <c r="K225" s="96" t="str">
        <f>IF(F225="Skeet",IFERROR(INDEX('Shooter-Squad Assignment'!$A:$A,MATCH(C225&amp;"-"&amp;E225&amp;"-"&amp;F225&amp;"-Pos3",'Shooter-Squad Assignment'!$K:$K,0)),""),IF(F225="Trap",IFERROR(INDEX('Shooter-Squad Assignment'!$A:$A,MATCH(C225&amp;"-"&amp;E225&amp;"-"&amp;F225&amp;"-Pos3",'Shooter-Squad Assignment'!$W:$W,0)),""),IF(F225="Sporting Clays",IFERROR(INDEX('Shooter-Squad Assignment'!$A:$A,MATCH(C225&amp;"-"&amp;E225&amp;"-"&amp;F225&amp;"-Pos3",'Shooter-Squad Assignment'!$Z:$Z,0)),""),"")))</f>
        <v/>
      </c>
      <c r="L225" s="88" t="str">
        <f>IF(ISBLANK(K225),"",IFERROR(INDEX('Tournament List'!$D:$D,MATCH(K225,'Tournament List'!$A:$A,0)),""))</f>
        <v/>
      </c>
      <c r="M225" s="96" t="str">
        <f>IF(F225="Skeet",IFERROR(INDEX('Shooter-Squad Assignment'!$A:$A,MATCH(C225&amp;"-"&amp;E225&amp;"-"&amp;F225&amp;"-Pos4",'Shooter-Squad Assignment'!$K:$K,0)),""),IF(F225="Trap",IFERROR(INDEX('Shooter-Squad Assignment'!$A:$A,MATCH(C225&amp;"-"&amp;E225&amp;"-"&amp;F225&amp;"-Pos4",'Shooter-Squad Assignment'!$W:$W,0)),""),IF(F225="Sporting Clays",IFERROR(INDEX('Shooter-Squad Assignment'!$A:$A,MATCH(C225&amp;"-"&amp;E225&amp;"-"&amp;F225&amp;"-Pos4",'Shooter-Squad Assignment'!$Z:$Z,0)),""),"")))</f>
        <v/>
      </c>
      <c r="N225" s="88" t="str">
        <f>IF(ISBLANK(M225),"",IFERROR(INDEX('Tournament List'!$D:$D,MATCH(M225,'Tournament List'!$A:$A,0)),""))</f>
        <v/>
      </c>
      <c r="O225" s="96" t="str">
        <f>IF(F225="Skeet",IFERROR(INDEX('Shooter-Squad Assignment'!$A:$A,MATCH(C225&amp;"-"&amp;E225&amp;"-"&amp;F225&amp;"-Pos5",'Shooter-Squad Assignment'!$K:$K,0)),""),IF(F225="Trap",IFERROR(INDEX('Shooter-Squad Assignment'!$A:$A,MATCH(C225&amp;"-"&amp;E225&amp;"-"&amp;F225&amp;"-Pos5",'Shooter-Squad Assignment'!$W:$W,0)),""),IF(F225="Sporting Clays",IFERROR(INDEX('Shooter-Squad Assignment'!$A:$A,MATCH(C225&amp;"-"&amp;E225&amp;"-"&amp;F225&amp;"-Pos5",'Shooter-Squad Assignment'!$Z:$Z,0)),""),"")))</f>
        <v/>
      </c>
      <c r="P225" s="89" t="str">
        <f>IF(ISBLANK(O225),"",IFERROR(INDEX('Tournament List'!$D:$D,MATCH(O225,'Tournament List'!$A:$A,0)),""))</f>
        <v/>
      </c>
    </row>
    <row r="226" spans="1:16" x14ac:dyDescent="0.3">
      <c r="A226" s="87">
        <v>225</v>
      </c>
      <c r="B226" s="88" t="str">
        <f>C226&amp;"-"&amp;E226&amp;"-"&amp;F226</f>
        <v>Littleton Target Masters-Unassigned 1-Trap</v>
      </c>
      <c r="C226" s="88" t="s">
        <v>323</v>
      </c>
      <c r="D226" s="88" t="str">
        <f>INDEX('Tournament Setup'!$B$59:$B$78,MATCH(E226,SquadConcurrents,0))</f>
        <v>Unassigned</v>
      </c>
      <c r="E226" s="88" t="s">
        <v>762</v>
      </c>
      <c r="F226" s="88" t="s">
        <v>147</v>
      </c>
      <c r="G226" s="96" t="str">
        <f>IF(F226="Skeet",IFERROR(INDEX('Shooter-Squad Assignment'!$A:$A,MATCH(C226&amp;"-"&amp;E226&amp;"-"&amp;F226&amp;"-Pos1",'Shooter-Squad Assignment'!$K:$K,0)),""),IF(F226="Trap",IFERROR(INDEX('Shooter-Squad Assignment'!$A:$A,MATCH(C226&amp;"-"&amp;E226&amp;"-"&amp;F226&amp;"-Pos1",'Shooter-Squad Assignment'!$W:$W,0)),""),IF(F226="Sporting Clays",IFERROR(INDEX('Shooter-Squad Assignment'!$A:$A,MATCH(C226&amp;"-"&amp;E226&amp;"-"&amp;F226&amp;"-Pos1",'Shooter-Squad Assignment'!$Z:$Z,0)),""),"")))</f>
        <v/>
      </c>
      <c r="H226" s="88" t="str">
        <f>IF(ISBLANK(G226),"",IFERROR(INDEX('Tournament List'!$D:$D,MATCH(G226,'Tournament List'!$A:$A,0)),""))</f>
        <v/>
      </c>
      <c r="I226" s="96" t="str">
        <f>IF(F226="Skeet",IFERROR(INDEX('Shooter-Squad Assignment'!$A:$A,MATCH(C226&amp;"-"&amp;E226&amp;"-"&amp;F226&amp;"-Pos2",'Shooter-Squad Assignment'!$K:$K,0)),""),IF(F226="Trap",IFERROR(INDEX('Shooter-Squad Assignment'!$A:$A,MATCH(C226&amp;"-"&amp;E226&amp;"-"&amp;F226&amp;"-Pos2",'Shooter-Squad Assignment'!$W:$W,0)),""),IF(F226="Sporting Clays",IFERROR(INDEX('Shooter-Squad Assignment'!$A:$A,MATCH(C226&amp;"-"&amp;E226&amp;"-"&amp;F226&amp;"-Pos2",'Shooter-Squad Assignment'!$Z:$Z,0)),""),"")))</f>
        <v/>
      </c>
      <c r="J226" s="88" t="str">
        <f>IF(ISBLANK(I226),"",IFERROR(INDEX('Tournament List'!$D:$D,MATCH(I226,'Tournament List'!$A:$A,0)),""))</f>
        <v/>
      </c>
      <c r="K226" s="96" t="str">
        <f>IF(F226="Skeet",IFERROR(INDEX('Shooter-Squad Assignment'!$A:$A,MATCH(C226&amp;"-"&amp;E226&amp;"-"&amp;F226&amp;"-Pos3",'Shooter-Squad Assignment'!$K:$K,0)),""),IF(F226="Trap",IFERROR(INDEX('Shooter-Squad Assignment'!$A:$A,MATCH(C226&amp;"-"&amp;E226&amp;"-"&amp;F226&amp;"-Pos3",'Shooter-Squad Assignment'!$W:$W,0)),""),IF(F226="Sporting Clays",IFERROR(INDEX('Shooter-Squad Assignment'!$A:$A,MATCH(C226&amp;"-"&amp;E226&amp;"-"&amp;F226&amp;"-Pos3",'Shooter-Squad Assignment'!$Z:$Z,0)),""),"")))</f>
        <v/>
      </c>
      <c r="L226" s="88" t="str">
        <f>IF(ISBLANK(K226),"",IFERROR(INDEX('Tournament List'!$D:$D,MATCH(K226,'Tournament List'!$A:$A,0)),""))</f>
        <v/>
      </c>
      <c r="M226" s="96" t="str">
        <f>IF(F226="Skeet",IFERROR(INDEX('Shooter-Squad Assignment'!$A:$A,MATCH(C226&amp;"-"&amp;E226&amp;"-"&amp;F226&amp;"-Pos4",'Shooter-Squad Assignment'!$K:$K,0)),""),IF(F226="Trap",IFERROR(INDEX('Shooter-Squad Assignment'!$A:$A,MATCH(C226&amp;"-"&amp;E226&amp;"-"&amp;F226&amp;"-Pos4",'Shooter-Squad Assignment'!$W:$W,0)),""),IF(F226="Sporting Clays",IFERROR(INDEX('Shooter-Squad Assignment'!$A:$A,MATCH(C226&amp;"-"&amp;E226&amp;"-"&amp;F226&amp;"-Pos4",'Shooter-Squad Assignment'!$Z:$Z,0)),""),"")))</f>
        <v/>
      </c>
      <c r="N226" s="88" t="str">
        <f>IF(ISBLANK(M226),"",IFERROR(INDEX('Tournament List'!$D:$D,MATCH(M226,'Tournament List'!$A:$A,0)),""))</f>
        <v/>
      </c>
      <c r="O226" s="96" t="str">
        <f>IF(F226="Skeet",IFERROR(INDEX('Shooter-Squad Assignment'!$A:$A,MATCH(C226&amp;"-"&amp;E226&amp;"-"&amp;F226&amp;"-Pos5",'Shooter-Squad Assignment'!$K:$K,0)),""),IF(F226="Trap",IFERROR(INDEX('Shooter-Squad Assignment'!$A:$A,MATCH(C226&amp;"-"&amp;E226&amp;"-"&amp;F226&amp;"-Pos5",'Shooter-Squad Assignment'!$W:$W,0)),""),IF(F226="Sporting Clays",IFERROR(INDEX('Shooter-Squad Assignment'!$A:$A,MATCH(C226&amp;"-"&amp;E226&amp;"-"&amp;F226&amp;"-Pos5",'Shooter-Squad Assignment'!$Z:$Z,0)),""),"")))</f>
        <v/>
      </c>
      <c r="P226" s="89" t="str">
        <f>IF(ISBLANK(O226),"",IFERROR(INDEX('Tournament List'!$D:$D,MATCH(O226,'Tournament List'!$A:$A,0)),""))</f>
        <v/>
      </c>
    </row>
    <row r="227" spans="1:16" x14ac:dyDescent="0.3">
      <c r="A227" s="87">
        <v>226</v>
      </c>
      <c r="B227" s="88" t="str">
        <f>C227&amp;"-"&amp;E227&amp;"-"&amp;F227</f>
        <v>Littleton Target Masters-Varsity 1-Trap</v>
      </c>
      <c r="C227" s="88" t="s">
        <v>323</v>
      </c>
      <c r="D227" s="88" t="str">
        <f>INDEX('Tournament Setup'!$B$59:$B$78,MATCH(E227,SquadConcurrents,0))</f>
        <v>Varsity</v>
      </c>
      <c r="E227" s="88" t="s">
        <v>340</v>
      </c>
      <c r="F227" s="88" t="s">
        <v>147</v>
      </c>
      <c r="G227" s="96" t="str">
        <f>IF(F227="Skeet",IFERROR(INDEX('Shooter-Squad Assignment'!$A:$A,MATCH(C227&amp;"-"&amp;E227&amp;"-"&amp;F227&amp;"-Pos1",'Shooter-Squad Assignment'!$K:$K,0)),""),IF(F227="Trap",IFERROR(INDEX('Shooter-Squad Assignment'!$A:$A,MATCH(C227&amp;"-"&amp;E227&amp;"-"&amp;F227&amp;"-Pos1",'Shooter-Squad Assignment'!$W:$W,0)),""),IF(F227="Sporting Clays",IFERROR(INDEX('Shooter-Squad Assignment'!$A:$A,MATCH(C227&amp;"-"&amp;E227&amp;"-"&amp;F227&amp;"-Pos1",'Shooter-Squad Assignment'!$Z:$Z,0)),""),"")))</f>
        <v/>
      </c>
      <c r="H227" s="88" t="str">
        <f>IF(ISBLANK(G227),"",IFERROR(INDEX('Tournament List'!$D:$D,MATCH(G227,'Tournament List'!$A:$A,0)),""))</f>
        <v/>
      </c>
      <c r="I227" s="96" t="str">
        <f>IF(F227="Skeet",IFERROR(INDEX('Shooter-Squad Assignment'!$A:$A,MATCH(C227&amp;"-"&amp;E227&amp;"-"&amp;F227&amp;"-Pos2",'Shooter-Squad Assignment'!$K:$K,0)),""),IF(F227="Trap",IFERROR(INDEX('Shooter-Squad Assignment'!$A:$A,MATCH(C227&amp;"-"&amp;E227&amp;"-"&amp;F227&amp;"-Pos2",'Shooter-Squad Assignment'!$W:$W,0)),""),IF(F227="Sporting Clays",IFERROR(INDEX('Shooter-Squad Assignment'!$A:$A,MATCH(C227&amp;"-"&amp;E227&amp;"-"&amp;F227&amp;"-Pos2",'Shooter-Squad Assignment'!$Z:$Z,0)),""),"")))</f>
        <v/>
      </c>
      <c r="J227" s="88" t="str">
        <f>IF(ISBLANK(I227),"",IFERROR(INDEX('Tournament List'!$D:$D,MATCH(I227,'Tournament List'!$A:$A,0)),""))</f>
        <v/>
      </c>
      <c r="K227" s="96" t="str">
        <f>IF(F227="Skeet",IFERROR(INDEX('Shooter-Squad Assignment'!$A:$A,MATCH(C227&amp;"-"&amp;E227&amp;"-"&amp;F227&amp;"-Pos3",'Shooter-Squad Assignment'!$K:$K,0)),""),IF(F227="Trap",IFERROR(INDEX('Shooter-Squad Assignment'!$A:$A,MATCH(C227&amp;"-"&amp;E227&amp;"-"&amp;F227&amp;"-Pos3",'Shooter-Squad Assignment'!$W:$W,0)),""),IF(F227="Sporting Clays",IFERROR(INDEX('Shooter-Squad Assignment'!$A:$A,MATCH(C227&amp;"-"&amp;E227&amp;"-"&amp;F227&amp;"-Pos3",'Shooter-Squad Assignment'!$Z:$Z,0)),""),"")))</f>
        <v/>
      </c>
      <c r="L227" s="88" t="str">
        <f>IF(ISBLANK(K227),"",IFERROR(INDEX('Tournament List'!$D:$D,MATCH(K227,'Tournament List'!$A:$A,0)),""))</f>
        <v/>
      </c>
      <c r="M227" s="96" t="str">
        <f>IF(F227="Skeet",IFERROR(INDEX('Shooter-Squad Assignment'!$A:$A,MATCH(C227&amp;"-"&amp;E227&amp;"-"&amp;F227&amp;"-Pos4",'Shooter-Squad Assignment'!$K:$K,0)),""),IF(F227="Trap",IFERROR(INDEX('Shooter-Squad Assignment'!$A:$A,MATCH(C227&amp;"-"&amp;E227&amp;"-"&amp;F227&amp;"-Pos4",'Shooter-Squad Assignment'!$W:$W,0)),""),IF(F227="Sporting Clays",IFERROR(INDEX('Shooter-Squad Assignment'!$A:$A,MATCH(C227&amp;"-"&amp;E227&amp;"-"&amp;F227&amp;"-Pos4",'Shooter-Squad Assignment'!$Z:$Z,0)),""),"")))</f>
        <v/>
      </c>
      <c r="N227" s="88" t="str">
        <f>IF(ISBLANK(M227),"",IFERROR(INDEX('Tournament List'!$D:$D,MATCH(M227,'Tournament List'!$A:$A,0)),""))</f>
        <v/>
      </c>
      <c r="O227" s="96" t="str">
        <f>IF(F227="Skeet",IFERROR(INDEX('Shooter-Squad Assignment'!$A:$A,MATCH(C227&amp;"-"&amp;E227&amp;"-"&amp;F227&amp;"-Pos5",'Shooter-Squad Assignment'!$K:$K,0)),""),IF(F227="Trap",IFERROR(INDEX('Shooter-Squad Assignment'!$A:$A,MATCH(C227&amp;"-"&amp;E227&amp;"-"&amp;F227&amp;"-Pos5",'Shooter-Squad Assignment'!$W:$W,0)),""),IF(F227="Sporting Clays",IFERROR(INDEX('Shooter-Squad Assignment'!$A:$A,MATCH(C227&amp;"-"&amp;E227&amp;"-"&amp;F227&amp;"-Pos5",'Shooter-Squad Assignment'!$Z:$Z,0)),""),"")))</f>
        <v/>
      </c>
      <c r="P227" s="89" t="str">
        <f>IF(ISBLANK(O227),"",IFERROR(INDEX('Tournament List'!$D:$D,MATCH(O227,'Tournament List'!$A:$A,0)),""))</f>
        <v/>
      </c>
    </row>
    <row r="228" spans="1:16" x14ac:dyDescent="0.3">
      <c r="A228" s="87">
        <v>227</v>
      </c>
      <c r="B228" s="88" t="str">
        <f>C228&amp;"-"&amp;E228&amp;"-"&amp;F228</f>
        <v>Littleton Target Masters-Varsity 2-Trap</v>
      </c>
      <c r="C228" s="88" t="s">
        <v>323</v>
      </c>
      <c r="D228" s="88" t="str">
        <f>INDEX('Tournament Setup'!$B$59:$B$78,MATCH(E228,SquadConcurrents,0))</f>
        <v>Varsity</v>
      </c>
      <c r="E228" s="88" t="s">
        <v>346</v>
      </c>
      <c r="F228" s="88" t="s">
        <v>147</v>
      </c>
      <c r="G228" s="96" t="str">
        <f>IF(F228="Skeet",IFERROR(INDEX('Shooter-Squad Assignment'!$A:$A,MATCH(C228&amp;"-"&amp;E228&amp;"-"&amp;F228&amp;"-Pos1",'Shooter-Squad Assignment'!$K:$K,0)),""),IF(F228="Trap",IFERROR(INDEX('Shooter-Squad Assignment'!$A:$A,MATCH(C228&amp;"-"&amp;E228&amp;"-"&amp;F228&amp;"-Pos1",'Shooter-Squad Assignment'!$W:$W,0)),""),IF(F228="Sporting Clays",IFERROR(INDEX('Shooter-Squad Assignment'!$A:$A,MATCH(C228&amp;"-"&amp;E228&amp;"-"&amp;F228&amp;"-Pos1",'Shooter-Squad Assignment'!$Z:$Z,0)),""),"")))</f>
        <v/>
      </c>
      <c r="H228" s="88" t="str">
        <f>IF(ISBLANK(G228),"",IFERROR(INDEX('Tournament List'!$D:$D,MATCH(G228,'Tournament List'!$A:$A,0)),""))</f>
        <v/>
      </c>
      <c r="I228" s="96" t="str">
        <f>IF(F228="Skeet",IFERROR(INDEX('Shooter-Squad Assignment'!$A:$A,MATCH(C228&amp;"-"&amp;E228&amp;"-"&amp;F228&amp;"-Pos2",'Shooter-Squad Assignment'!$K:$K,0)),""),IF(F228="Trap",IFERROR(INDEX('Shooter-Squad Assignment'!$A:$A,MATCH(C228&amp;"-"&amp;E228&amp;"-"&amp;F228&amp;"-Pos2",'Shooter-Squad Assignment'!$W:$W,0)),""),IF(F228="Sporting Clays",IFERROR(INDEX('Shooter-Squad Assignment'!$A:$A,MATCH(C228&amp;"-"&amp;E228&amp;"-"&amp;F228&amp;"-Pos2",'Shooter-Squad Assignment'!$Z:$Z,0)),""),"")))</f>
        <v/>
      </c>
      <c r="J228" s="88" t="str">
        <f>IF(ISBLANK(I228),"",IFERROR(INDEX('Tournament List'!$D:$D,MATCH(I228,'Tournament List'!$A:$A,0)),""))</f>
        <v/>
      </c>
      <c r="K228" s="96" t="str">
        <f>IF(F228="Skeet",IFERROR(INDEX('Shooter-Squad Assignment'!$A:$A,MATCH(C228&amp;"-"&amp;E228&amp;"-"&amp;F228&amp;"-Pos3",'Shooter-Squad Assignment'!$K:$K,0)),""),IF(F228="Trap",IFERROR(INDEX('Shooter-Squad Assignment'!$A:$A,MATCH(C228&amp;"-"&amp;E228&amp;"-"&amp;F228&amp;"-Pos3",'Shooter-Squad Assignment'!$W:$W,0)),""),IF(F228="Sporting Clays",IFERROR(INDEX('Shooter-Squad Assignment'!$A:$A,MATCH(C228&amp;"-"&amp;E228&amp;"-"&amp;F228&amp;"-Pos3",'Shooter-Squad Assignment'!$Z:$Z,0)),""),"")))</f>
        <v/>
      </c>
      <c r="L228" s="88" t="str">
        <f>IF(ISBLANK(K228),"",IFERROR(INDEX('Tournament List'!$D:$D,MATCH(K228,'Tournament List'!$A:$A,0)),""))</f>
        <v/>
      </c>
      <c r="M228" s="96" t="str">
        <f>IF(F228="Skeet",IFERROR(INDEX('Shooter-Squad Assignment'!$A:$A,MATCH(C228&amp;"-"&amp;E228&amp;"-"&amp;F228&amp;"-Pos4",'Shooter-Squad Assignment'!$K:$K,0)),""),IF(F228="Trap",IFERROR(INDEX('Shooter-Squad Assignment'!$A:$A,MATCH(C228&amp;"-"&amp;E228&amp;"-"&amp;F228&amp;"-Pos4",'Shooter-Squad Assignment'!$W:$W,0)),""),IF(F228="Sporting Clays",IFERROR(INDEX('Shooter-Squad Assignment'!$A:$A,MATCH(C228&amp;"-"&amp;E228&amp;"-"&amp;F228&amp;"-Pos4",'Shooter-Squad Assignment'!$Z:$Z,0)),""),"")))</f>
        <v/>
      </c>
      <c r="N228" s="88" t="str">
        <f>IF(ISBLANK(M228),"",IFERROR(INDEX('Tournament List'!$D:$D,MATCH(M228,'Tournament List'!$A:$A,0)),""))</f>
        <v/>
      </c>
      <c r="O228" s="96" t="str">
        <f>IF(F228="Skeet",IFERROR(INDEX('Shooter-Squad Assignment'!$A:$A,MATCH(C228&amp;"-"&amp;E228&amp;"-"&amp;F228&amp;"-Pos5",'Shooter-Squad Assignment'!$K:$K,0)),""),IF(F228="Trap",IFERROR(INDEX('Shooter-Squad Assignment'!$A:$A,MATCH(C228&amp;"-"&amp;E228&amp;"-"&amp;F228&amp;"-Pos5",'Shooter-Squad Assignment'!$W:$W,0)),""),IF(F228="Sporting Clays",IFERROR(INDEX('Shooter-Squad Assignment'!$A:$A,MATCH(C228&amp;"-"&amp;E228&amp;"-"&amp;F228&amp;"-Pos5",'Shooter-Squad Assignment'!$Z:$Z,0)),""),"")))</f>
        <v/>
      </c>
      <c r="P228" s="89" t="str">
        <f>IF(ISBLANK(O228),"",IFERROR(INDEX('Tournament List'!$D:$D,MATCH(O228,'Tournament List'!$A:$A,0)),""))</f>
        <v/>
      </c>
    </row>
    <row r="229" spans="1:16" ht="15" thickBot="1" x14ac:dyDescent="0.35">
      <c r="A229" s="90">
        <v>228</v>
      </c>
      <c r="B229" s="91" t="str">
        <f>C229&amp;"-"&amp;E229&amp;"-"&amp;F229</f>
        <v>Littleton Target Masters-Varsity 3-Trap</v>
      </c>
      <c r="C229" s="91" t="s">
        <v>323</v>
      </c>
      <c r="D229" s="91" t="str">
        <f>INDEX('Tournament Setup'!$B$59:$B$78,MATCH(E229,SquadConcurrents,0))</f>
        <v>Varsity</v>
      </c>
      <c r="E229" s="91" t="s">
        <v>352</v>
      </c>
      <c r="F229" s="91" t="s">
        <v>147</v>
      </c>
      <c r="G229" s="97" t="str">
        <f>IF(F229="Skeet",IFERROR(INDEX('Shooter-Squad Assignment'!$A:$A,MATCH(C229&amp;"-"&amp;E229&amp;"-"&amp;F229&amp;"-Pos1",'Shooter-Squad Assignment'!$K:$K,0)),""),IF(F229="Trap",IFERROR(INDEX('Shooter-Squad Assignment'!$A:$A,MATCH(C229&amp;"-"&amp;E229&amp;"-"&amp;F229&amp;"-Pos1",'Shooter-Squad Assignment'!$W:$W,0)),""),IF(F229="Sporting Clays",IFERROR(INDEX('Shooter-Squad Assignment'!$A:$A,MATCH(C229&amp;"-"&amp;E229&amp;"-"&amp;F229&amp;"-Pos1",'Shooter-Squad Assignment'!$Z:$Z,0)),""),"")))</f>
        <v/>
      </c>
      <c r="H229" s="91" t="str">
        <f>IF(ISBLANK(G229),"",IFERROR(INDEX('Tournament List'!$D:$D,MATCH(G229,'Tournament List'!$A:$A,0)),""))</f>
        <v/>
      </c>
      <c r="I229" s="97" t="str">
        <f>IF(F229="Skeet",IFERROR(INDEX('Shooter-Squad Assignment'!$A:$A,MATCH(C229&amp;"-"&amp;E229&amp;"-"&amp;F229&amp;"-Pos2",'Shooter-Squad Assignment'!$K:$K,0)),""),IF(F229="Trap",IFERROR(INDEX('Shooter-Squad Assignment'!$A:$A,MATCH(C229&amp;"-"&amp;E229&amp;"-"&amp;F229&amp;"-Pos2",'Shooter-Squad Assignment'!$W:$W,0)),""),IF(F229="Sporting Clays",IFERROR(INDEX('Shooter-Squad Assignment'!$A:$A,MATCH(C229&amp;"-"&amp;E229&amp;"-"&amp;F229&amp;"-Pos2",'Shooter-Squad Assignment'!$Z:$Z,0)),""),"")))</f>
        <v/>
      </c>
      <c r="J229" s="91" t="str">
        <f>IF(ISBLANK(I229),"",IFERROR(INDEX('Tournament List'!$D:$D,MATCH(I229,'Tournament List'!$A:$A,0)),""))</f>
        <v/>
      </c>
      <c r="K229" s="97" t="str">
        <f>IF(F229="Skeet",IFERROR(INDEX('Shooter-Squad Assignment'!$A:$A,MATCH(C229&amp;"-"&amp;E229&amp;"-"&amp;F229&amp;"-Pos3",'Shooter-Squad Assignment'!$K:$K,0)),""),IF(F229="Trap",IFERROR(INDEX('Shooter-Squad Assignment'!$A:$A,MATCH(C229&amp;"-"&amp;E229&amp;"-"&amp;F229&amp;"-Pos3",'Shooter-Squad Assignment'!$W:$W,0)),""),IF(F229="Sporting Clays",IFERROR(INDEX('Shooter-Squad Assignment'!$A:$A,MATCH(C229&amp;"-"&amp;E229&amp;"-"&amp;F229&amp;"-Pos3",'Shooter-Squad Assignment'!$Z:$Z,0)),""),"")))</f>
        <v/>
      </c>
      <c r="L229" s="91" t="str">
        <f>IF(ISBLANK(K229),"",IFERROR(INDEX('Tournament List'!$D:$D,MATCH(K229,'Tournament List'!$A:$A,0)),""))</f>
        <v/>
      </c>
      <c r="M229" s="97" t="str">
        <f>IF(F229="Skeet",IFERROR(INDEX('Shooter-Squad Assignment'!$A:$A,MATCH(C229&amp;"-"&amp;E229&amp;"-"&amp;F229&amp;"-Pos4",'Shooter-Squad Assignment'!$K:$K,0)),""),IF(F229="Trap",IFERROR(INDEX('Shooter-Squad Assignment'!$A:$A,MATCH(C229&amp;"-"&amp;E229&amp;"-"&amp;F229&amp;"-Pos4",'Shooter-Squad Assignment'!$W:$W,0)),""),IF(F229="Sporting Clays",IFERROR(INDEX('Shooter-Squad Assignment'!$A:$A,MATCH(C229&amp;"-"&amp;E229&amp;"-"&amp;F229&amp;"-Pos4",'Shooter-Squad Assignment'!$Z:$Z,0)),""),"")))</f>
        <v/>
      </c>
      <c r="N229" s="91" t="str">
        <f>IF(ISBLANK(M229),"",IFERROR(INDEX('Tournament List'!$D:$D,MATCH(M229,'Tournament List'!$A:$A,0)),""))</f>
        <v/>
      </c>
      <c r="O229" s="97" t="str">
        <f>IF(F229="Skeet",IFERROR(INDEX('Shooter-Squad Assignment'!$A:$A,MATCH(C229&amp;"-"&amp;E229&amp;"-"&amp;F229&amp;"-Pos5",'Shooter-Squad Assignment'!$K:$K,0)),""),IF(F229="Trap",IFERROR(INDEX('Shooter-Squad Assignment'!$A:$A,MATCH(C229&amp;"-"&amp;E229&amp;"-"&amp;F229&amp;"-Pos5",'Shooter-Squad Assignment'!$W:$W,0)),""),IF(F229="Sporting Clays",IFERROR(INDEX('Shooter-Squad Assignment'!$A:$A,MATCH(C229&amp;"-"&amp;E229&amp;"-"&amp;F229&amp;"-Pos5",'Shooter-Squad Assignment'!$Z:$Z,0)),""),"")))</f>
        <v/>
      </c>
      <c r="P229" s="92" t="str">
        <f>IF(ISBLANK(O229),"",IFERROR(INDEX('Tournament List'!$D:$D,MATCH(O229,'Tournament List'!$A:$A,0)),""))</f>
        <v/>
      </c>
    </row>
    <row r="230" spans="1:16" x14ac:dyDescent="0.3">
      <c r="A230" s="76">
        <v>229</v>
      </c>
      <c r="B230" s="77" t="str">
        <f>C230&amp;"-"&amp;E230&amp;"-"&amp;F230</f>
        <v>Rocky Mountain Clay Busters-Collegiate 1-Skeet</v>
      </c>
      <c r="C230" s="77" t="s">
        <v>319</v>
      </c>
      <c r="D230" s="77" t="str">
        <f>INDEX('Tournament Setup'!$B$59:$B$78,MATCH(E230,SquadConcurrents,0))</f>
        <v>Collegiate</v>
      </c>
      <c r="E230" s="77" t="s">
        <v>342</v>
      </c>
      <c r="F230" s="77" t="s">
        <v>143</v>
      </c>
      <c r="G230" s="93" t="str">
        <f>IF(F230="Skeet",IFERROR(INDEX('Shooter-Squad Assignment'!$A:$A,MATCH(C230&amp;"-"&amp;E230&amp;"-"&amp;F230&amp;"-Pos1",'Shooter-Squad Assignment'!$K:$K,0)),""),IF(F230="Trap",IFERROR(INDEX('Shooter-Squad Assignment'!$A:$A,MATCH(C230&amp;"-"&amp;E230&amp;"-"&amp;F230&amp;"-Pos1",'Shooter-Squad Assignment'!$W:$W,0)),""),IF(F230="Sporting Clays",IFERROR(INDEX('Shooter-Squad Assignment'!$A:$A,MATCH(C230&amp;"-"&amp;E230&amp;"-"&amp;F230&amp;"-Pos1",'Shooter-Squad Assignment'!$Z:$Z,0)),""),"")))</f>
        <v/>
      </c>
      <c r="H230" s="77" t="str">
        <f>IF(ISBLANK(G230),"",IFERROR(INDEX('Tournament List'!$D:$D,MATCH(G230,'Tournament List'!$A:$A,0)),""))</f>
        <v/>
      </c>
      <c r="I230" s="93" t="str">
        <f>IF(F230="Skeet",IFERROR(INDEX('Shooter-Squad Assignment'!$A:$A,MATCH(C230&amp;"-"&amp;E230&amp;"-"&amp;F230&amp;"-Pos2",'Shooter-Squad Assignment'!$K:$K,0)),""),IF(F230="Trap",IFERROR(INDEX('Shooter-Squad Assignment'!$A:$A,MATCH(C230&amp;"-"&amp;E230&amp;"-"&amp;F230&amp;"-Pos2",'Shooter-Squad Assignment'!$W:$W,0)),""),IF(F230="Sporting Clays",IFERROR(INDEX('Shooter-Squad Assignment'!$A:$A,MATCH(C230&amp;"-"&amp;E230&amp;"-"&amp;F230&amp;"-Pos2",'Shooter-Squad Assignment'!$Z:$Z,0)),""),"")))</f>
        <v/>
      </c>
      <c r="J230" s="77" t="str">
        <f>IF(ISBLANK(I230),"",IFERROR(INDEX('Tournament List'!$D:$D,MATCH(I230,'Tournament List'!$A:$A,0)),""))</f>
        <v/>
      </c>
      <c r="K230" s="93" t="str">
        <f>IF(F230="Skeet",IFERROR(INDEX('Shooter-Squad Assignment'!$A:$A,MATCH(C230&amp;"-"&amp;E230&amp;"-"&amp;F230&amp;"-Pos3",'Shooter-Squad Assignment'!$K:$K,0)),""),IF(F230="Trap",IFERROR(INDEX('Shooter-Squad Assignment'!$A:$A,MATCH(C230&amp;"-"&amp;E230&amp;"-"&amp;F230&amp;"-Pos3",'Shooter-Squad Assignment'!$W:$W,0)),""),IF(F230="Sporting Clays",IFERROR(INDEX('Shooter-Squad Assignment'!$A:$A,MATCH(C230&amp;"-"&amp;E230&amp;"-"&amp;F230&amp;"-Pos3",'Shooter-Squad Assignment'!$Z:$Z,0)),""),"")))</f>
        <v/>
      </c>
      <c r="L230" s="77" t="str">
        <f>IF(ISBLANK(K230),"",IFERROR(INDEX('Tournament List'!$D:$D,MATCH(K230,'Tournament List'!$A:$A,0)),""))</f>
        <v/>
      </c>
      <c r="M230" s="93" t="str">
        <f>IF(F230="Skeet",IFERROR(INDEX('Shooter-Squad Assignment'!$A:$A,MATCH(C230&amp;"-"&amp;E230&amp;"-"&amp;F230&amp;"-Pos4",'Shooter-Squad Assignment'!$K:$K,0)),""),IF(F230="Trap",IFERROR(INDEX('Shooter-Squad Assignment'!$A:$A,MATCH(C230&amp;"-"&amp;E230&amp;"-"&amp;F230&amp;"-Pos4",'Shooter-Squad Assignment'!$W:$W,0)),""),IF(F230="Sporting Clays",IFERROR(INDEX('Shooter-Squad Assignment'!$A:$A,MATCH(C230&amp;"-"&amp;E230&amp;"-"&amp;F230&amp;"-Pos4",'Shooter-Squad Assignment'!$Z:$Z,0)),""),"")))</f>
        <v/>
      </c>
      <c r="N230" s="77" t="str">
        <f>IF(ISBLANK(M230),"",IFERROR(INDEX('Tournament List'!$D:$D,MATCH(M230,'Tournament List'!$A:$A,0)),""))</f>
        <v/>
      </c>
      <c r="O230" s="93" t="str">
        <f>IF(F230="Skeet",IFERROR(INDEX('Shooter-Squad Assignment'!$A:$A,MATCH(C230&amp;"-"&amp;E230&amp;"-"&amp;F230&amp;"-Pos5",'Shooter-Squad Assignment'!$K:$K,0)),""),IF(F230="Trap",IFERROR(INDEX('Shooter-Squad Assignment'!$A:$A,MATCH(C230&amp;"-"&amp;E230&amp;"-"&amp;F230&amp;"-Pos5",'Shooter-Squad Assignment'!$W:$W,0)),""),IF(F230="Sporting Clays",IFERROR(INDEX('Shooter-Squad Assignment'!$A:$A,MATCH(C230&amp;"-"&amp;E230&amp;"-"&amp;F230&amp;"-Pos5",'Shooter-Squad Assignment'!$Z:$Z,0)),""),"")))</f>
        <v/>
      </c>
      <c r="P230" s="77" t="str">
        <f>IF(ISBLANK(O230),"",IFERROR(INDEX('Tournament List'!$D:$D,MATCH(O230,'Tournament List'!$A:$A,0)),""))</f>
        <v/>
      </c>
    </row>
    <row r="231" spans="1:16" x14ac:dyDescent="0.3">
      <c r="A231" s="78">
        <v>230</v>
      </c>
      <c r="B231" s="73" t="str">
        <f>C231&amp;"-"&amp;E231&amp;"-"&amp;F231</f>
        <v>Rocky Mountain Clay Busters-Collegiate 2-Skeet</v>
      </c>
      <c r="C231" s="73" t="s">
        <v>319</v>
      </c>
      <c r="D231" s="73" t="str">
        <f>INDEX('Tournament Setup'!$B$59:$B$78,MATCH(E231,SquadConcurrents,0))</f>
        <v>Collegiate</v>
      </c>
      <c r="E231" s="73" t="s">
        <v>348</v>
      </c>
      <c r="F231" s="73" t="s">
        <v>143</v>
      </c>
      <c r="G231" s="94" t="str">
        <f>IF(F231="Skeet",IFERROR(INDEX('Shooter-Squad Assignment'!$A:$A,MATCH(C231&amp;"-"&amp;E231&amp;"-"&amp;F231&amp;"-Pos1",'Shooter-Squad Assignment'!$K:$K,0)),""),IF(F231="Trap",IFERROR(INDEX('Shooter-Squad Assignment'!$A:$A,MATCH(C231&amp;"-"&amp;E231&amp;"-"&amp;F231&amp;"-Pos1",'Shooter-Squad Assignment'!$W:$W,0)),""),IF(F231="Sporting Clays",IFERROR(INDEX('Shooter-Squad Assignment'!$A:$A,MATCH(C231&amp;"-"&amp;E231&amp;"-"&amp;F231&amp;"-Pos1",'Shooter-Squad Assignment'!$Z:$Z,0)),""),"")))</f>
        <v/>
      </c>
      <c r="H231" s="73" t="str">
        <f>IF(ISBLANK(G231),"",IFERROR(INDEX('Tournament List'!$D:$D,MATCH(G231,'Tournament List'!$A:$A,0)),""))</f>
        <v/>
      </c>
      <c r="I231" s="94" t="str">
        <f>IF(F231="Skeet",IFERROR(INDEX('Shooter-Squad Assignment'!$A:$A,MATCH(C231&amp;"-"&amp;E231&amp;"-"&amp;F231&amp;"-Pos2",'Shooter-Squad Assignment'!$K:$K,0)),""),IF(F231="Trap",IFERROR(INDEX('Shooter-Squad Assignment'!$A:$A,MATCH(C231&amp;"-"&amp;E231&amp;"-"&amp;F231&amp;"-Pos2",'Shooter-Squad Assignment'!$W:$W,0)),""),IF(F231="Sporting Clays",IFERROR(INDEX('Shooter-Squad Assignment'!$A:$A,MATCH(C231&amp;"-"&amp;E231&amp;"-"&amp;F231&amp;"-Pos2",'Shooter-Squad Assignment'!$Z:$Z,0)),""),"")))</f>
        <v/>
      </c>
      <c r="J231" s="73" t="str">
        <f>IF(ISBLANK(I231),"",IFERROR(INDEX('Tournament List'!$D:$D,MATCH(I231,'Tournament List'!$A:$A,0)),""))</f>
        <v/>
      </c>
      <c r="K231" s="94" t="str">
        <f>IF(F231="Skeet",IFERROR(INDEX('Shooter-Squad Assignment'!$A:$A,MATCH(C231&amp;"-"&amp;E231&amp;"-"&amp;F231&amp;"-Pos3",'Shooter-Squad Assignment'!$K:$K,0)),""),IF(F231="Trap",IFERROR(INDEX('Shooter-Squad Assignment'!$A:$A,MATCH(C231&amp;"-"&amp;E231&amp;"-"&amp;F231&amp;"-Pos3",'Shooter-Squad Assignment'!$W:$W,0)),""),IF(F231="Sporting Clays",IFERROR(INDEX('Shooter-Squad Assignment'!$A:$A,MATCH(C231&amp;"-"&amp;E231&amp;"-"&amp;F231&amp;"-Pos3",'Shooter-Squad Assignment'!$Z:$Z,0)),""),"")))</f>
        <v/>
      </c>
      <c r="L231" s="73" t="str">
        <f>IF(ISBLANK(K231),"",IFERROR(INDEX('Tournament List'!$D:$D,MATCH(K231,'Tournament List'!$A:$A,0)),""))</f>
        <v/>
      </c>
      <c r="M231" s="94" t="str">
        <f>IF(F231="Skeet",IFERROR(INDEX('Shooter-Squad Assignment'!$A:$A,MATCH(C231&amp;"-"&amp;E231&amp;"-"&amp;F231&amp;"-Pos4",'Shooter-Squad Assignment'!$K:$K,0)),""),IF(F231="Trap",IFERROR(INDEX('Shooter-Squad Assignment'!$A:$A,MATCH(C231&amp;"-"&amp;E231&amp;"-"&amp;F231&amp;"-Pos4",'Shooter-Squad Assignment'!$W:$W,0)),""),IF(F231="Sporting Clays",IFERROR(INDEX('Shooter-Squad Assignment'!$A:$A,MATCH(C231&amp;"-"&amp;E231&amp;"-"&amp;F231&amp;"-Pos4",'Shooter-Squad Assignment'!$Z:$Z,0)),""),"")))</f>
        <v/>
      </c>
      <c r="N231" s="73" t="str">
        <f>IF(ISBLANK(M231),"",IFERROR(INDEX('Tournament List'!$D:$D,MATCH(M231,'Tournament List'!$A:$A,0)),""))</f>
        <v/>
      </c>
      <c r="O231" s="94" t="str">
        <f>IF(F231="Skeet",IFERROR(INDEX('Shooter-Squad Assignment'!$A:$A,MATCH(C231&amp;"-"&amp;E231&amp;"-"&amp;F231&amp;"-Pos5",'Shooter-Squad Assignment'!$K:$K,0)),""),IF(F231="Trap",IFERROR(INDEX('Shooter-Squad Assignment'!$A:$A,MATCH(C231&amp;"-"&amp;E231&amp;"-"&amp;F231&amp;"-Pos5",'Shooter-Squad Assignment'!$W:$W,0)),""),IF(F231="Sporting Clays",IFERROR(INDEX('Shooter-Squad Assignment'!$A:$A,MATCH(C231&amp;"-"&amp;E231&amp;"-"&amp;F231&amp;"-Pos5",'Shooter-Squad Assignment'!$Z:$Z,0)),""),"")))</f>
        <v/>
      </c>
      <c r="P231" s="79" t="str">
        <f>IF(ISBLANK(O231),"",IFERROR(INDEX('Tournament List'!$D:$D,MATCH(O231,'Tournament List'!$A:$A,0)),""))</f>
        <v/>
      </c>
    </row>
    <row r="232" spans="1:16" x14ac:dyDescent="0.3">
      <c r="A232" s="78">
        <v>231</v>
      </c>
      <c r="B232" s="73" t="str">
        <f>C232&amp;"-"&amp;E232&amp;"-"&amp;F232</f>
        <v>Rocky Mountain Clay Busters-Collegiate 3-Skeet</v>
      </c>
      <c r="C232" s="73" t="s">
        <v>319</v>
      </c>
      <c r="D232" s="73" t="str">
        <f>INDEX('Tournament Setup'!$B$59:$B$78,MATCH(E232,SquadConcurrents,0))</f>
        <v>Collegiate</v>
      </c>
      <c r="E232" s="73" t="s">
        <v>354</v>
      </c>
      <c r="F232" s="73" t="s">
        <v>143</v>
      </c>
      <c r="G232" s="94" t="str">
        <f>IF(F232="Skeet",IFERROR(INDEX('Shooter-Squad Assignment'!$A:$A,MATCH(C232&amp;"-"&amp;E232&amp;"-"&amp;F232&amp;"-Pos1",'Shooter-Squad Assignment'!$K:$K,0)),""),IF(F232="Trap",IFERROR(INDEX('Shooter-Squad Assignment'!$A:$A,MATCH(C232&amp;"-"&amp;E232&amp;"-"&amp;F232&amp;"-Pos1",'Shooter-Squad Assignment'!$W:$W,0)),""),IF(F232="Sporting Clays",IFERROR(INDEX('Shooter-Squad Assignment'!$A:$A,MATCH(C232&amp;"-"&amp;E232&amp;"-"&amp;F232&amp;"-Pos1",'Shooter-Squad Assignment'!$Z:$Z,0)),""),"")))</f>
        <v/>
      </c>
      <c r="H232" s="73" t="str">
        <f>IF(ISBLANK(G232),"",IFERROR(INDEX('Tournament List'!$D:$D,MATCH(G232,'Tournament List'!$A:$A,0)),""))</f>
        <v/>
      </c>
      <c r="I232" s="94" t="str">
        <f>IF(F232="Skeet",IFERROR(INDEX('Shooter-Squad Assignment'!$A:$A,MATCH(C232&amp;"-"&amp;E232&amp;"-"&amp;F232&amp;"-Pos2",'Shooter-Squad Assignment'!$K:$K,0)),""),IF(F232="Trap",IFERROR(INDEX('Shooter-Squad Assignment'!$A:$A,MATCH(C232&amp;"-"&amp;E232&amp;"-"&amp;F232&amp;"-Pos2",'Shooter-Squad Assignment'!$W:$W,0)),""),IF(F232="Sporting Clays",IFERROR(INDEX('Shooter-Squad Assignment'!$A:$A,MATCH(C232&amp;"-"&amp;E232&amp;"-"&amp;F232&amp;"-Pos2",'Shooter-Squad Assignment'!$Z:$Z,0)),""),"")))</f>
        <v/>
      </c>
      <c r="J232" s="73" t="str">
        <f>IF(ISBLANK(I232),"",IFERROR(INDEX('Tournament List'!$D:$D,MATCH(I232,'Tournament List'!$A:$A,0)),""))</f>
        <v/>
      </c>
      <c r="K232" s="94" t="str">
        <f>IF(F232="Skeet",IFERROR(INDEX('Shooter-Squad Assignment'!$A:$A,MATCH(C232&amp;"-"&amp;E232&amp;"-"&amp;F232&amp;"-Pos3",'Shooter-Squad Assignment'!$K:$K,0)),""),IF(F232="Trap",IFERROR(INDEX('Shooter-Squad Assignment'!$A:$A,MATCH(C232&amp;"-"&amp;E232&amp;"-"&amp;F232&amp;"-Pos3",'Shooter-Squad Assignment'!$W:$W,0)),""),IF(F232="Sporting Clays",IFERROR(INDEX('Shooter-Squad Assignment'!$A:$A,MATCH(C232&amp;"-"&amp;E232&amp;"-"&amp;F232&amp;"-Pos3",'Shooter-Squad Assignment'!$Z:$Z,0)),""),"")))</f>
        <v/>
      </c>
      <c r="L232" s="73" t="str">
        <f>IF(ISBLANK(K232),"",IFERROR(INDEX('Tournament List'!$D:$D,MATCH(K232,'Tournament List'!$A:$A,0)),""))</f>
        <v/>
      </c>
      <c r="M232" s="94" t="str">
        <f>IF(F232="Skeet",IFERROR(INDEX('Shooter-Squad Assignment'!$A:$A,MATCH(C232&amp;"-"&amp;E232&amp;"-"&amp;F232&amp;"-Pos4",'Shooter-Squad Assignment'!$K:$K,0)),""),IF(F232="Trap",IFERROR(INDEX('Shooter-Squad Assignment'!$A:$A,MATCH(C232&amp;"-"&amp;E232&amp;"-"&amp;F232&amp;"-Pos4",'Shooter-Squad Assignment'!$W:$W,0)),""),IF(F232="Sporting Clays",IFERROR(INDEX('Shooter-Squad Assignment'!$A:$A,MATCH(C232&amp;"-"&amp;E232&amp;"-"&amp;F232&amp;"-Pos4",'Shooter-Squad Assignment'!$Z:$Z,0)),""),"")))</f>
        <v/>
      </c>
      <c r="N232" s="73" t="str">
        <f>IF(ISBLANK(M232),"",IFERROR(INDEX('Tournament List'!$D:$D,MATCH(M232,'Tournament List'!$A:$A,0)),""))</f>
        <v/>
      </c>
      <c r="O232" s="94" t="str">
        <f>IF(F232="Skeet",IFERROR(INDEX('Shooter-Squad Assignment'!$A:$A,MATCH(C232&amp;"-"&amp;E232&amp;"-"&amp;F232&amp;"-Pos5",'Shooter-Squad Assignment'!$K:$K,0)),""),IF(F232="Trap",IFERROR(INDEX('Shooter-Squad Assignment'!$A:$A,MATCH(C232&amp;"-"&amp;E232&amp;"-"&amp;F232&amp;"-Pos5",'Shooter-Squad Assignment'!$W:$W,0)),""),IF(F232="Sporting Clays",IFERROR(INDEX('Shooter-Squad Assignment'!$A:$A,MATCH(C232&amp;"-"&amp;E232&amp;"-"&amp;F232&amp;"-Pos5",'Shooter-Squad Assignment'!$Z:$Z,0)),""),"")))</f>
        <v/>
      </c>
      <c r="P232" s="79" t="str">
        <f>IF(ISBLANK(O232),"",IFERROR(INDEX('Tournament List'!$D:$D,MATCH(O232,'Tournament List'!$A:$A,0)),""))</f>
        <v/>
      </c>
    </row>
    <row r="233" spans="1:16" x14ac:dyDescent="0.3">
      <c r="A233" s="78">
        <v>232</v>
      </c>
      <c r="B233" s="73" t="str">
        <f>C233&amp;"-"&amp;E233&amp;"-"&amp;F233</f>
        <v>Rocky Mountain Clay Busters-Intermediate 1-Skeet</v>
      </c>
      <c r="C233" s="73" t="s">
        <v>319</v>
      </c>
      <c r="D233" s="73" t="str">
        <f>INDEX('Tournament Setup'!$B$59:$B$78,MATCH(E233,SquadConcurrents,0))</f>
        <v>Intermediate</v>
      </c>
      <c r="E233" s="73" t="s">
        <v>338</v>
      </c>
      <c r="F233" s="73" t="s">
        <v>143</v>
      </c>
      <c r="G233" s="94" t="str">
        <f>IF(F233="Skeet",IFERROR(INDEX('Shooter-Squad Assignment'!$A:$A,MATCH(C233&amp;"-"&amp;E233&amp;"-"&amp;F233&amp;"-Pos1",'Shooter-Squad Assignment'!$K:$K,0)),""),IF(F233="Trap",IFERROR(INDEX('Shooter-Squad Assignment'!$A:$A,MATCH(C233&amp;"-"&amp;E233&amp;"-"&amp;F233&amp;"-Pos1",'Shooter-Squad Assignment'!$W:$W,0)),""),IF(F233="Sporting Clays",IFERROR(INDEX('Shooter-Squad Assignment'!$A:$A,MATCH(C233&amp;"-"&amp;E233&amp;"-"&amp;F233&amp;"-Pos1",'Shooter-Squad Assignment'!$Z:$Z,0)),""),"")))</f>
        <v>24-1043</v>
      </c>
      <c r="H233" s="73" t="str">
        <f>IF(ISBLANK(G233),"",IFERROR(INDEX('Tournament List'!$D:$D,MATCH(G233,'Tournament List'!$A:$A,0)),""))</f>
        <v>Trisha Last Name44</v>
      </c>
      <c r="I233" s="94" t="str">
        <f>IF(F233="Skeet",IFERROR(INDEX('Shooter-Squad Assignment'!$A:$A,MATCH(C233&amp;"-"&amp;E233&amp;"-"&amp;F233&amp;"-Pos2",'Shooter-Squad Assignment'!$K:$K,0)),""),IF(F233="Trap",IFERROR(INDEX('Shooter-Squad Assignment'!$A:$A,MATCH(C233&amp;"-"&amp;E233&amp;"-"&amp;F233&amp;"-Pos2",'Shooter-Squad Assignment'!$W:$W,0)),""),IF(F233="Sporting Clays",IFERROR(INDEX('Shooter-Squad Assignment'!$A:$A,MATCH(C233&amp;"-"&amp;E233&amp;"-"&amp;F233&amp;"-Pos2",'Shooter-Squad Assignment'!$Z:$Z,0)),""),"")))</f>
        <v>24-1013</v>
      </c>
      <c r="J233" s="73" t="str">
        <f>IF(ISBLANK(I233),"",IFERROR(INDEX('Tournament List'!$D:$D,MATCH(I233,'Tournament List'!$A:$A,0)),""))</f>
        <v>Henry Last Name14</v>
      </c>
      <c r="K233" s="94" t="str">
        <f>IF(F233="Skeet",IFERROR(INDEX('Shooter-Squad Assignment'!$A:$A,MATCH(C233&amp;"-"&amp;E233&amp;"-"&amp;F233&amp;"-Pos3",'Shooter-Squad Assignment'!$K:$K,0)),""),IF(F233="Trap",IFERROR(INDEX('Shooter-Squad Assignment'!$A:$A,MATCH(C233&amp;"-"&amp;E233&amp;"-"&amp;F233&amp;"-Pos3",'Shooter-Squad Assignment'!$W:$W,0)),""),IF(F233="Sporting Clays",IFERROR(INDEX('Shooter-Squad Assignment'!$A:$A,MATCH(C233&amp;"-"&amp;E233&amp;"-"&amp;F233&amp;"-Pos3",'Shooter-Squad Assignment'!$Z:$Z,0)),""),"")))</f>
        <v>24-1031</v>
      </c>
      <c r="L233" s="73" t="str">
        <f>IF(ISBLANK(K233),"",IFERROR(INDEX('Tournament List'!$D:$D,MATCH(K233,'Tournament List'!$A:$A,0)),""))</f>
        <v>Kelly Last Name32</v>
      </c>
      <c r="M233" s="94" t="str">
        <f>IF(F233="Skeet",IFERROR(INDEX('Shooter-Squad Assignment'!$A:$A,MATCH(C233&amp;"-"&amp;E233&amp;"-"&amp;F233&amp;"-Pos4",'Shooter-Squad Assignment'!$K:$K,0)),""),IF(F233="Trap",IFERROR(INDEX('Shooter-Squad Assignment'!$A:$A,MATCH(C233&amp;"-"&amp;E233&amp;"-"&amp;F233&amp;"-Pos4",'Shooter-Squad Assignment'!$W:$W,0)),""),IF(F233="Sporting Clays",IFERROR(INDEX('Shooter-Squad Assignment'!$A:$A,MATCH(C233&amp;"-"&amp;E233&amp;"-"&amp;F233&amp;"-Pos4",'Shooter-Squad Assignment'!$Z:$Z,0)),""),"")))</f>
        <v/>
      </c>
      <c r="N233" s="73" t="str">
        <f>IF(ISBLANK(M233),"",IFERROR(INDEX('Tournament List'!$D:$D,MATCH(M233,'Tournament List'!$A:$A,0)),""))</f>
        <v/>
      </c>
      <c r="O233" s="94" t="str">
        <f>IF(F233="Skeet",IFERROR(INDEX('Shooter-Squad Assignment'!$A:$A,MATCH(C233&amp;"-"&amp;E233&amp;"-"&amp;F233&amp;"-Pos5",'Shooter-Squad Assignment'!$K:$K,0)),""),IF(F233="Trap",IFERROR(INDEX('Shooter-Squad Assignment'!$A:$A,MATCH(C233&amp;"-"&amp;E233&amp;"-"&amp;F233&amp;"-Pos5",'Shooter-Squad Assignment'!$W:$W,0)),""),IF(F233="Sporting Clays",IFERROR(INDEX('Shooter-Squad Assignment'!$A:$A,MATCH(C233&amp;"-"&amp;E233&amp;"-"&amp;F233&amp;"-Pos5",'Shooter-Squad Assignment'!$Z:$Z,0)),""),"")))</f>
        <v/>
      </c>
      <c r="P233" s="79" t="str">
        <f>IF(ISBLANK(O233),"",IFERROR(INDEX('Tournament List'!$D:$D,MATCH(O233,'Tournament List'!$A:$A,0)),""))</f>
        <v/>
      </c>
    </row>
    <row r="234" spans="1:16" x14ac:dyDescent="0.3">
      <c r="A234" s="78">
        <v>233</v>
      </c>
      <c r="B234" s="73" t="str">
        <f>C234&amp;"-"&amp;E234&amp;"-"&amp;F234</f>
        <v>Rocky Mountain Clay Busters-Intermediate 2-Skeet</v>
      </c>
      <c r="C234" s="73" t="s">
        <v>319</v>
      </c>
      <c r="D234" s="73" t="str">
        <f>INDEX('Tournament Setup'!$B$59:$B$78,MATCH(E234,SquadConcurrents,0))</f>
        <v>Intermediate</v>
      </c>
      <c r="E234" s="73" t="s">
        <v>344</v>
      </c>
      <c r="F234" s="73" t="s">
        <v>143</v>
      </c>
      <c r="G234" s="94" t="str">
        <f>IF(F234="Skeet",IFERROR(INDEX('Shooter-Squad Assignment'!$A:$A,MATCH(C234&amp;"-"&amp;E234&amp;"-"&amp;F234&amp;"-Pos1",'Shooter-Squad Assignment'!$K:$K,0)),""),IF(F234="Trap",IFERROR(INDEX('Shooter-Squad Assignment'!$A:$A,MATCH(C234&amp;"-"&amp;E234&amp;"-"&amp;F234&amp;"-Pos1",'Shooter-Squad Assignment'!$W:$W,0)),""),IF(F234="Sporting Clays",IFERROR(INDEX('Shooter-Squad Assignment'!$A:$A,MATCH(C234&amp;"-"&amp;E234&amp;"-"&amp;F234&amp;"-Pos1",'Shooter-Squad Assignment'!$Z:$Z,0)),""),"")))</f>
        <v/>
      </c>
      <c r="H234" s="73" t="str">
        <f>IF(ISBLANK(G234),"",IFERROR(INDEX('Tournament List'!$D:$D,MATCH(G234,'Tournament List'!$A:$A,0)),""))</f>
        <v/>
      </c>
      <c r="I234" s="94" t="str">
        <f>IF(F234="Skeet",IFERROR(INDEX('Shooter-Squad Assignment'!$A:$A,MATCH(C234&amp;"-"&amp;E234&amp;"-"&amp;F234&amp;"-Pos2",'Shooter-Squad Assignment'!$K:$K,0)),""),IF(F234="Trap",IFERROR(INDEX('Shooter-Squad Assignment'!$A:$A,MATCH(C234&amp;"-"&amp;E234&amp;"-"&amp;F234&amp;"-Pos2",'Shooter-Squad Assignment'!$W:$W,0)),""),IF(F234="Sporting Clays",IFERROR(INDEX('Shooter-Squad Assignment'!$A:$A,MATCH(C234&amp;"-"&amp;E234&amp;"-"&amp;F234&amp;"-Pos2",'Shooter-Squad Assignment'!$Z:$Z,0)),""),"")))</f>
        <v/>
      </c>
      <c r="J234" s="73" t="str">
        <f>IF(ISBLANK(I234),"",IFERROR(INDEX('Tournament List'!$D:$D,MATCH(I234,'Tournament List'!$A:$A,0)),""))</f>
        <v/>
      </c>
      <c r="K234" s="94" t="str">
        <f>IF(F234="Skeet",IFERROR(INDEX('Shooter-Squad Assignment'!$A:$A,MATCH(C234&amp;"-"&amp;E234&amp;"-"&amp;F234&amp;"-Pos3",'Shooter-Squad Assignment'!$K:$K,0)),""),IF(F234="Trap",IFERROR(INDEX('Shooter-Squad Assignment'!$A:$A,MATCH(C234&amp;"-"&amp;E234&amp;"-"&amp;F234&amp;"-Pos3",'Shooter-Squad Assignment'!$W:$W,0)),""),IF(F234="Sporting Clays",IFERROR(INDEX('Shooter-Squad Assignment'!$A:$A,MATCH(C234&amp;"-"&amp;E234&amp;"-"&amp;F234&amp;"-Pos3",'Shooter-Squad Assignment'!$Z:$Z,0)),""),"")))</f>
        <v/>
      </c>
      <c r="L234" s="73" t="str">
        <f>IF(ISBLANK(K234),"",IFERROR(INDEX('Tournament List'!$D:$D,MATCH(K234,'Tournament List'!$A:$A,0)),""))</f>
        <v/>
      </c>
      <c r="M234" s="94" t="str">
        <f>IF(F234="Skeet",IFERROR(INDEX('Shooter-Squad Assignment'!$A:$A,MATCH(C234&amp;"-"&amp;E234&amp;"-"&amp;F234&amp;"-Pos4",'Shooter-Squad Assignment'!$K:$K,0)),""),IF(F234="Trap",IFERROR(INDEX('Shooter-Squad Assignment'!$A:$A,MATCH(C234&amp;"-"&amp;E234&amp;"-"&amp;F234&amp;"-Pos4",'Shooter-Squad Assignment'!$W:$W,0)),""),IF(F234="Sporting Clays",IFERROR(INDEX('Shooter-Squad Assignment'!$A:$A,MATCH(C234&amp;"-"&amp;E234&amp;"-"&amp;F234&amp;"-Pos4",'Shooter-Squad Assignment'!$Z:$Z,0)),""),"")))</f>
        <v/>
      </c>
      <c r="N234" s="73" t="str">
        <f>IF(ISBLANK(M234),"",IFERROR(INDEX('Tournament List'!$D:$D,MATCH(M234,'Tournament List'!$A:$A,0)),""))</f>
        <v/>
      </c>
      <c r="O234" s="94" t="str">
        <f>IF(F234="Skeet",IFERROR(INDEX('Shooter-Squad Assignment'!$A:$A,MATCH(C234&amp;"-"&amp;E234&amp;"-"&amp;F234&amp;"-Pos5",'Shooter-Squad Assignment'!$K:$K,0)),""),IF(F234="Trap",IFERROR(INDEX('Shooter-Squad Assignment'!$A:$A,MATCH(C234&amp;"-"&amp;E234&amp;"-"&amp;F234&amp;"-Pos5",'Shooter-Squad Assignment'!$W:$W,0)),""),IF(F234="Sporting Clays",IFERROR(INDEX('Shooter-Squad Assignment'!$A:$A,MATCH(C234&amp;"-"&amp;E234&amp;"-"&amp;F234&amp;"-Pos5",'Shooter-Squad Assignment'!$Z:$Z,0)),""),"")))</f>
        <v/>
      </c>
      <c r="P234" s="79" t="str">
        <f>IF(ISBLANK(O234),"",IFERROR(INDEX('Tournament List'!$D:$D,MATCH(O234,'Tournament List'!$A:$A,0)),""))</f>
        <v/>
      </c>
    </row>
    <row r="235" spans="1:16" x14ac:dyDescent="0.3">
      <c r="A235" s="78">
        <v>234</v>
      </c>
      <c r="B235" s="73" t="str">
        <f>C235&amp;"-"&amp;E235&amp;"-"&amp;F235</f>
        <v>Rocky Mountain Clay Busters-Intermediate 3-Skeet</v>
      </c>
      <c r="C235" s="73" t="s">
        <v>319</v>
      </c>
      <c r="D235" s="73" t="str">
        <f>INDEX('Tournament Setup'!$B$59:$B$78,MATCH(E235,SquadConcurrents,0))</f>
        <v>Intermediate</v>
      </c>
      <c r="E235" s="73" t="s">
        <v>350</v>
      </c>
      <c r="F235" s="73" t="s">
        <v>143</v>
      </c>
      <c r="G235" s="94" t="str">
        <f>IF(F235="Skeet",IFERROR(INDEX('Shooter-Squad Assignment'!$A:$A,MATCH(C235&amp;"-"&amp;E235&amp;"-"&amp;F235&amp;"-Pos1",'Shooter-Squad Assignment'!$K:$K,0)),""),IF(F235="Trap",IFERROR(INDEX('Shooter-Squad Assignment'!$A:$A,MATCH(C235&amp;"-"&amp;E235&amp;"-"&amp;F235&amp;"-Pos1",'Shooter-Squad Assignment'!$W:$W,0)),""),IF(F235="Sporting Clays",IFERROR(INDEX('Shooter-Squad Assignment'!$A:$A,MATCH(C235&amp;"-"&amp;E235&amp;"-"&amp;F235&amp;"-Pos1",'Shooter-Squad Assignment'!$Z:$Z,0)),""),"")))</f>
        <v/>
      </c>
      <c r="H235" s="73" t="str">
        <f>IF(ISBLANK(G235),"",IFERROR(INDEX('Tournament List'!$D:$D,MATCH(G235,'Tournament List'!$A:$A,0)),""))</f>
        <v/>
      </c>
      <c r="I235" s="94" t="str">
        <f>IF(F235="Skeet",IFERROR(INDEX('Shooter-Squad Assignment'!$A:$A,MATCH(C235&amp;"-"&amp;E235&amp;"-"&amp;F235&amp;"-Pos2",'Shooter-Squad Assignment'!$K:$K,0)),""),IF(F235="Trap",IFERROR(INDEX('Shooter-Squad Assignment'!$A:$A,MATCH(C235&amp;"-"&amp;E235&amp;"-"&amp;F235&amp;"-Pos2",'Shooter-Squad Assignment'!$W:$W,0)),""),IF(F235="Sporting Clays",IFERROR(INDEX('Shooter-Squad Assignment'!$A:$A,MATCH(C235&amp;"-"&amp;E235&amp;"-"&amp;F235&amp;"-Pos2",'Shooter-Squad Assignment'!$Z:$Z,0)),""),"")))</f>
        <v/>
      </c>
      <c r="J235" s="73" t="str">
        <f>IF(ISBLANK(I235),"",IFERROR(INDEX('Tournament List'!$D:$D,MATCH(I235,'Tournament List'!$A:$A,0)),""))</f>
        <v/>
      </c>
      <c r="K235" s="94" t="str">
        <f>IF(F235="Skeet",IFERROR(INDEX('Shooter-Squad Assignment'!$A:$A,MATCH(C235&amp;"-"&amp;E235&amp;"-"&amp;F235&amp;"-Pos3",'Shooter-Squad Assignment'!$K:$K,0)),""),IF(F235="Trap",IFERROR(INDEX('Shooter-Squad Assignment'!$A:$A,MATCH(C235&amp;"-"&amp;E235&amp;"-"&amp;F235&amp;"-Pos3",'Shooter-Squad Assignment'!$W:$W,0)),""),IF(F235="Sporting Clays",IFERROR(INDEX('Shooter-Squad Assignment'!$A:$A,MATCH(C235&amp;"-"&amp;E235&amp;"-"&amp;F235&amp;"-Pos3",'Shooter-Squad Assignment'!$Z:$Z,0)),""),"")))</f>
        <v/>
      </c>
      <c r="L235" s="73" t="str">
        <f>IF(ISBLANK(K235),"",IFERROR(INDEX('Tournament List'!$D:$D,MATCH(K235,'Tournament List'!$A:$A,0)),""))</f>
        <v/>
      </c>
      <c r="M235" s="94" t="str">
        <f>IF(F235="Skeet",IFERROR(INDEX('Shooter-Squad Assignment'!$A:$A,MATCH(C235&amp;"-"&amp;E235&amp;"-"&amp;F235&amp;"-Pos4",'Shooter-Squad Assignment'!$K:$K,0)),""),IF(F235="Trap",IFERROR(INDEX('Shooter-Squad Assignment'!$A:$A,MATCH(C235&amp;"-"&amp;E235&amp;"-"&amp;F235&amp;"-Pos4",'Shooter-Squad Assignment'!$W:$W,0)),""),IF(F235="Sporting Clays",IFERROR(INDEX('Shooter-Squad Assignment'!$A:$A,MATCH(C235&amp;"-"&amp;E235&amp;"-"&amp;F235&amp;"-Pos4",'Shooter-Squad Assignment'!$Z:$Z,0)),""),"")))</f>
        <v/>
      </c>
      <c r="N235" s="73" t="str">
        <f>IF(ISBLANK(M235),"",IFERROR(INDEX('Tournament List'!$D:$D,MATCH(M235,'Tournament List'!$A:$A,0)),""))</f>
        <v/>
      </c>
      <c r="O235" s="94" t="str">
        <f>IF(F235="Skeet",IFERROR(INDEX('Shooter-Squad Assignment'!$A:$A,MATCH(C235&amp;"-"&amp;E235&amp;"-"&amp;F235&amp;"-Pos5",'Shooter-Squad Assignment'!$K:$K,0)),""),IF(F235="Trap",IFERROR(INDEX('Shooter-Squad Assignment'!$A:$A,MATCH(C235&amp;"-"&amp;E235&amp;"-"&amp;F235&amp;"-Pos5",'Shooter-Squad Assignment'!$W:$W,0)),""),IF(F235="Sporting Clays",IFERROR(INDEX('Shooter-Squad Assignment'!$A:$A,MATCH(C235&amp;"-"&amp;E235&amp;"-"&amp;F235&amp;"-Pos5",'Shooter-Squad Assignment'!$Z:$Z,0)),""),"")))</f>
        <v/>
      </c>
      <c r="P235" s="79" t="str">
        <f>IF(ISBLANK(O235),"",IFERROR(INDEX('Tournament List'!$D:$D,MATCH(O235,'Tournament List'!$A:$A,0)),""))</f>
        <v/>
      </c>
    </row>
    <row r="236" spans="1:16" x14ac:dyDescent="0.3">
      <c r="A236" s="78">
        <v>235</v>
      </c>
      <c r="B236" s="73" t="str">
        <f>C236&amp;"-"&amp;E236&amp;"-"&amp;F236</f>
        <v>Rocky Mountain Clay Busters-Junior Varsity 1-Skeet</v>
      </c>
      <c r="C236" s="73" t="s">
        <v>319</v>
      </c>
      <c r="D236" s="73" t="str">
        <f>INDEX('Tournament Setup'!$B$59:$B$78,MATCH(E236,SquadConcurrents,0))</f>
        <v>Junior Varsity</v>
      </c>
      <c r="E236" s="73" t="s">
        <v>339</v>
      </c>
      <c r="F236" s="73" t="s">
        <v>143</v>
      </c>
      <c r="G236" s="94" t="str">
        <f>IF(F236="Skeet",IFERROR(INDEX('Shooter-Squad Assignment'!$A:$A,MATCH(C236&amp;"-"&amp;E236&amp;"-"&amp;F236&amp;"-Pos1",'Shooter-Squad Assignment'!$K:$K,0)),""),IF(F236="Trap",IFERROR(INDEX('Shooter-Squad Assignment'!$A:$A,MATCH(C236&amp;"-"&amp;E236&amp;"-"&amp;F236&amp;"-Pos1",'Shooter-Squad Assignment'!$W:$W,0)),""),IF(F236="Sporting Clays",IFERROR(INDEX('Shooter-Squad Assignment'!$A:$A,MATCH(C236&amp;"-"&amp;E236&amp;"-"&amp;F236&amp;"-Pos1",'Shooter-Squad Assignment'!$Z:$Z,0)),""),"")))</f>
        <v>24-1025</v>
      </c>
      <c r="H236" s="73" t="str">
        <f>IF(ISBLANK(G236),"",IFERROR(INDEX('Tournament List'!$D:$D,MATCH(G236,'Tournament List'!$A:$A,0)),""))</f>
        <v>Gary Last Name26</v>
      </c>
      <c r="I236" s="94" t="str">
        <f>IF(F236="Skeet",IFERROR(INDEX('Shooter-Squad Assignment'!$A:$A,MATCH(C236&amp;"-"&amp;E236&amp;"-"&amp;F236&amp;"-Pos2",'Shooter-Squad Assignment'!$K:$K,0)),""),IF(F236="Trap",IFERROR(INDEX('Shooter-Squad Assignment'!$A:$A,MATCH(C236&amp;"-"&amp;E236&amp;"-"&amp;F236&amp;"-Pos2",'Shooter-Squad Assignment'!$W:$W,0)),""),IF(F236="Sporting Clays",IFERROR(INDEX('Shooter-Squad Assignment'!$A:$A,MATCH(C236&amp;"-"&amp;E236&amp;"-"&amp;F236&amp;"-Pos2",'Shooter-Squad Assignment'!$Z:$Z,0)),""),"")))</f>
        <v>24-1007</v>
      </c>
      <c r="J236" s="73" t="str">
        <f>IF(ISBLANK(I236),"",IFERROR(INDEX('Tournament List'!$D:$D,MATCH(I236,'Tournament List'!$A:$A,0)),""))</f>
        <v>James Last Name8</v>
      </c>
      <c r="K236" s="94" t="str">
        <f>IF(F236="Skeet",IFERROR(INDEX('Shooter-Squad Assignment'!$A:$A,MATCH(C236&amp;"-"&amp;E236&amp;"-"&amp;F236&amp;"-Pos3",'Shooter-Squad Assignment'!$K:$K,0)),""),IF(F236="Trap",IFERROR(INDEX('Shooter-Squad Assignment'!$A:$A,MATCH(C236&amp;"-"&amp;E236&amp;"-"&amp;F236&amp;"-Pos3",'Shooter-Squad Assignment'!$W:$W,0)),""),IF(F236="Sporting Clays",IFERROR(INDEX('Shooter-Squad Assignment'!$A:$A,MATCH(C236&amp;"-"&amp;E236&amp;"-"&amp;F236&amp;"-Pos3",'Shooter-Squad Assignment'!$Z:$Z,0)),""),"")))</f>
        <v>24-1037</v>
      </c>
      <c r="L236" s="73" t="str">
        <f>IF(ISBLANK(K236),"",IFERROR(INDEX('Tournament List'!$D:$D,MATCH(K236,'Tournament List'!$A:$A,0)),""))</f>
        <v>Stuart Last Name38</v>
      </c>
      <c r="M236" s="94" t="str">
        <f>IF(F236="Skeet",IFERROR(INDEX('Shooter-Squad Assignment'!$A:$A,MATCH(C236&amp;"-"&amp;E236&amp;"-"&amp;F236&amp;"-Pos4",'Shooter-Squad Assignment'!$K:$K,0)),""),IF(F236="Trap",IFERROR(INDEX('Shooter-Squad Assignment'!$A:$A,MATCH(C236&amp;"-"&amp;E236&amp;"-"&amp;F236&amp;"-Pos4",'Shooter-Squad Assignment'!$W:$W,0)),""),IF(F236="Sporting Clays",IFERROR(INDEX('Shooter-Squad Assignment'!$A:$A,MATCH(C236&amp;"-"&amp;E236&amp;"-"&amp;F236&amp;"-Pos4",'Shooter-Squad Assignment'!$Z:$Z,0)),""),"")))</f>
        <v/>
      </c>
      <c r="N236" s="73" t="str">
        <f>IF(ISBLANK(M236),"",IFERROR(INDEX('Tournament List'!$D:$D,MATCH(M236,'Tournament List'!$A:$A,0)),""))</f>
        <v/>
      </c>
      <c r="O236" s="94" t="str">
        <f>IF(F236="Skeet",IFERROR(INDEX('Shooter-Squad Assignment'!$A:$A,MATCH(C236&amp;"-"&amp;E236&amp;"-"&amp;F236&amp;"-Pos5",'Shooter-Squad Assignment'!$K:$K,0)),""),IF(F236="Trap",IFERROR(INDEX('Shooter-Squad Assignment'!$A:$A,MATCH(C236&amp;"-"&amp;E236&amp;"-"&amp;F236&amp;"-Pos5",'Shooter-Squad Assignment'!$W:$W,0)),""),IF(F236="Sporting Clays",IFERROR(INDEX('Shooter-Squad Assignment'!$A:$A,MATCH(C236&amp;"-"&amp;E236&amp;"-"&amp;F236&amp;"-Pos5",'Shooter-Squad Assignment'!$Z:$Z,0)),""),"")))</f>
        <v/>
      </c>
      <c r="P236" s="79" t="str">
        <f>IF(ISBLANK(O236),"",IFERROR(INDEX('Tournament List'!$D:$D,MATCH(O236,'Tournament List'!$A:$A,0)),""))</f>
        <v/>
      </c>
    </row>
    <row r="237" spans="1:16" x14ac:dyDescent="0.3">
      <c r="A237" s="78">
        <v>236</v>
      </c>
      <c r="B237" s="73" t="str">
        <f>C237&amp;"-"&amp;E237&amp;"-"&amp;F237</f>
        <v>Rocky Mountain Clay Busters-Junior Varsity 2-Skeet</v>
      </c>
      <c r="C237" s="73" t="s">
        <v>319</v>
      </c>
      <c r="D237" s="73" t="str">
        <f>INDEX('Tournament Setup'!$B$59:$B$78,MATCH(E237,SquadConcurrents,0))</f>
        <v>Junior Varsity</v>
      </c>
      <c r="E237" s="73" t="s">
        <v>345</v>
      </c>
      <c r="F237" s="73" t="s">
        <v>143</v>
      </c>
      <c r="G237" s="94" t="str">
        <f>IF(F237="Skeet",IFERROR(INDEX('Shooter-Squad Assignment'!$A:$A,MATCH(C237&amp;"-"&amp;E237&amp;"-"&amp;F237&amp;"-Pos1",'Shooter-Squad Assignment'!$K:$K,0)),""),IF(F237="Trap",IFERROR(INDEX('Shooter-Squad Assignment'!$A:$A,MATCH(C237&amp;"-"&amp;E237&amp;"-"&amp;F237&amp;"-Pos1",'Shooter-Squad Assignment'!$W:$W,0)),""),IF(F237="Sporting Clays",IFERROR(INDEX('Shooter-Squad Assignment'!$A:$A,MATCH(C237&amp;"-"&amp;E237&amp;"-"&amp;F237&amp;"-Pos1",'Shooter-Squad Assignment'!$Z:$Z,0)),""),"")))</f>
        <v/>
      </c>
      <c r="H237" s="73" t="str">
        <f>IF(ISBLANK(G237),"",IFERROR(INDEX('Tournament List'!$D:$D,MATCH(G237,'Tournament List'!$A:$A,0)),""))</f>
        <v/>
      </c>
      <c r="I237" s="94" t="str">
        <f>IF(F237="Skeet",IFERROR(INDEX('Shooter-Squad Assignment'!$A:$A,MATCH(C237&amp;"-"&amp;E237&amp;"-"&amp;F237&amp;"-Pos2",'Shooter-Squad Assignment'!$K:$K,0)),""),IF(F237="Trap",IFERROR(INDEX('Shooter-Squad Assignment'!$A:$A,MATCH(C237&amp;"-"&amp;E237&amp;"-"&amp;F237&amp;"-Pos2",'Shooter-Squad Assignment'!$W:$W,0)),""),IF(F237="Sporting Clays",IFERROR(INDEX('Shooter-Squad Assignment'!$A:$A,MATCH(C237&amp;"-"&amp;E237&amp;"-"&amp;F237&amp;"-Pos2",'Shooter-Squad Assignment'!$Z:$Z,0)),""),"")))</f>
        <v/>
      </c>
      <c r="J237" s="73" t="str">
        <f>IF(ISBLANK(I237),"",IFERROR(INDEX('Tournament List'!$D:$D,MATCH(I237,'Tournament List'!$A:$A,0)),""))</f>
        <v/>
      </c>
      <c r="K237" s="94" t="str">
        <f>IF(F237="Skeet",IFERROR(INDEX('Shooter-Squad Assignment'!$A:$A,MATCH(C237&amp;"-"&amp;E237&amp;"-"&amp;F237&amp;"-Pos3",'Shooter-Squad Assignment'!$K:$K,0)),""),IF(F237="Trap",IFERROR(INDEX('Shooter-Squad Assignment'!$A:$A,MATCH(C237&amp;"-"&amp;E237&amp;"-"&amp;F237&amp;"-Pos3",'Shooter-Squad Assignment'!$W:$W,0)),""),IF(F237="Sporting Clays",IFERROR(INDEX('Shooter-Squad Assignment'!$A:$A,MATCH(C237&amp;"-"&amp;E237&amp;"-"&amp;F237&amp;"-Pos3",'Shooter-Squad Assignment'!$Z:$Z,0)),""),"")))</f>
        <v/>
      </c>
      <c r="L237" s="73" t="str">
        <f>IF(ISBLANK(K237),"",IFERROR(INDEX('Tournament List'!$D:$D,MATCH(K237,'Tournament List'!$A:$A,0)),""))</f>
        <v/>
      </c>
      <c r="M237" s="94" t="str">
        <f>IF(F237="Skeet",IFERROR(INDEX('Shooter-Squad Assignment'!$A:$A,MATCH(C237&amp;"-"&amp;E237&amp;"-"&amp;F237&amp;"-Pos4",'Shooter-Squad Assignment'!$K:$K,0)),""),IF(F237="Trap",IFERROR(INDEX('Shooter-Squad Assignment'!$A:$A,MATCH(C237&amp;"-"&amp;E237&amp;"-"&amp;F237&amp;"-Pos4",'Shooter-Squad Assignment'!$W:$W,0)),""),IF(F237="Sporting Clays",IFERROR(INDEX('Shooter-Squad Assignment'!$A:$A,MATCH(C237&amp;"-"&amp;E237&amp;"-"&amp;F237&amp;"-Pos4",'Shooter-Squad Assignment'!$Z:$Z,0)),""),"")))</f>
        <v/>
      </c>
      <c r="N237" s="73" t="str">
        <f>IF(ISBLANK(M237),"",IFERROR(INDEX('Tournament List'!$D:$D,MATCH(M237,'Tournament List'!$A:$A,0)),""))</f>
        <v/>
      </c>
      <c r="O237" s="94" t="str">
        <f>IF(F237="Skeet",IFERROR(INDEX('Shooter-Squad Assignment'!$A:$A,MATCH(C237&amp;"-"&amp;E237&amp;"-"&amp;F237&amp;"-Pos5",'Shooter-Squad Assignment'!$K:$K,0)),""),IF(F237="Trap",IFERROR(INDEX('Shooter-Squad Assignment'!$A:$A,MATCH(C237&amp;"-"&amp;E237&amp;"-"&amp;F237&amp;"-Pos5",'Shooter-Squad Assignment'!$W:$W,0)),""),IF(F237="Sporting Clays",IFERROR(INDEX('Shooter-Squad Assignment'!$A:$A,MATCH(C237&amp;"-"&amp;E237&amp;"-"&amp;F237&amp;"-Pos5",'Shooter-Squad Assignment'!$Z:$Z,0)),""),"")))</f>
        <v/>
      </c>
      <c r="P237" s="79" t="str">
        <f>IF(ISBLANK(O237),"",IFERROR(INDEX('Tournament List'!$D:$D,MATCH(O237,'Tournament List'!$A:$A,0)),""))</f>
        <v/>
      </c>
    </row>
    <row r="238" spans="1:16" x14ac:dyDescent="0.3">
      <c r="A238" s="78">
        <v>237</v>
      </c>
      <c r="B238" s="73" t="str">
        <f>C238&amp;"-"&amp;E238&amp;"-"&amp;F238</f>
        <v>Rocky Mountain Clay Busters-Junior Varsity 3-Skeet</v>
      </c>
      <c r="C238" s="73" t="s">
        <v>319</v>
      </c>
      <c r="D238" s="73" t="str">
        <f>INDEX('Tournament Setup'!$B$59:$B$78,MATCH(E238,SquadConcurrents,0))</f>
        <v>Junior Varsity</v>
      </c>
      <c r="E238" s="73" t="s">
        <v>351</v>
      </c>
      <c r="F238" s="73" t="s">
        <v>143</v>
      </c>
      <c r="G238" s="94" t="str">
        <f>IF(F238="Skeet",IFERROR(INDEX('Shooter-Squad Assignment'!$A:$A,MATCH(C238&amp;"-"&amp;E238&amp;"-"&amp;F238&amp;"-Pos1",'Shooter-Squad Assignment'!$K:$K,0)),""),IF(F238="Trap",IFERROR(INDEX('Shooter-Squad Assignment'!$A:$A,MATCH(C238&amp;"-"&amp;E238&amp;"-"&amp;F238&amp;"-Pos1",'Shooter-Squad Assignment'!$W:$W,0)),""),IF(F238="Sporting Clays",IFERROR(INDEX('Shooter-Squad Assignment'!$A:$A,MATCH(C238&amp;"-"&amp;E238&amp;"-"&amp;F238&amp;"-Pos1",'Shooter-Squad Assignment'!$Z:$Z,0)),""),"")))</f>
        <v/>
      </c>
      <c r="H238" s="73" t="str">
        <f>IF(ISBLANK(G238),"",IFERROR(INDEX('Tournament List'!$D:$D,MATCH(G238,'Tournament List'!$A:$A,0)),""))</f>
        <v/>
      </c>
      <c r="I238" s="94" t="str">
        <f>IF(F238="Skeet",IFERROR(INDEX('Shooter-Squad Assignment'!$A:$A,MATCH(C238&amp;"-"&amp;E238&amp;"-"&amp;F238&amp;"-Pos2",'Shooter-Squad Assignment'!$K:$K,0)),""),IF(F238="Trap",IFERROR(INDEX('Shooter-Squad Assignment'!$A:$A,MATCH(C238&amp;"-"&amp;E238&amp;"-"&amp;F238&amp;"-Pos2",'Shooter-Squad Assignment'!$W:$W,0)),""),IF(F238="Sporting Clays",IFERROR(INDEX('Shooter-Squad Assignment'!$A:$A,MATCH(C238&amp;"-"&amp;E238&amp;"-"&amp;F238&amp;"-Pos2",'Shooter-Squad Assignment'!$Z:$Z,0)),""),"")))</f>
        <v/>
      </c>
      <c r="J238" s="73" t="str">
        <f>IF(ISBLANK(I238),"",IFERROR(INDEX('Tournament List'!$D:$D,MATCH(I238,'Tournament List'!$A:$A,0)),""))</f>
        <v/>
      </c>
      <c r="K238" s="94" t="str">
        <f>IF(F238="Skeet",IFERROR(INDEX('Shooter-Squad Assignment'!$A:$A,MATCH(C238&amp;"-"&amp;E238&amp;"-"&amp;F238&amp;"-Pos3",'Shooter-Squad Assignment'!$K:$K,0)),""),IF(F238="Trap",IFERROR(INDEX('Shooter-Squad Assignment'!$A:$A,MATCH(C238&amp;"-"&amp;E238&amp;"-"&amp;F238&amp;"-Pos3",'Shooter-Squad Assignment'!$W:$W,0)),""),IF(F238="Sporting Clays",IFERROR(INDEX('Shooter-Squad Assignment'!$A:$A,MATCH(C238&amp;"-"&amp;E238&amp;"-"&amp;F238&amp;"-Pos3",'Shooter-Squad Assignment'!$Z:$Z,0)),""),"")))</f>
        <v/>
      </c>
      <c r="L238" s="73" t="str">
        <f>IF(ISBLANK(K238),"",IFERROR(INDEX('Tournament List'!$D:$D,MATCH(K238,'Tournament List'!$A:$A,0)),""))</f>
        <v/>
      </c>
      <c r="M238" s="94" t="str">
        <f>IF(F238="Skeet",IFERROR(INDEX('Shooter-Squad Assignment'!$A:$A,MATCH(C238&amp;"-"&amp;E238&amp;"-"&amp;F238&amp;"-Pos4",'Shooter-Squad Assignment'!$K:$K,0)),""),IF(F238="Trap",IFERROR(INDEX('Shooter-Squad Assignment'!$A:$A,MATCH(C238&amp;"-"&amp;E238&amp;"-"&amp;F238&amp;"-Pos4",'Shooter-Squad Assignment'!$W:$W,0)),""),IF(F238="Sporting Clays",IFERROR(INDEX('Shooter-Squad Assignment'!$A:$A,MATCH(C238&amp;"-"&amp;E238&amp;"-"&amp;F238&amp;"-Pos4",'Shooter-Squad Assignment'!$Z:$Z,0)),""),"")))</f>
        <v/>
      </c>
      <c r="N238" s="73" t="str">
        <f>IF(ISBLANK(M238),"",IFERROR(INDEX('Tournament List'!$D:$D,MATCH(M238,'Tournament List'!$A:$A,0)),""))</f>
        <v/>
      </c>
      <c r="O238" s="94" t="str">
        <f>IF(F238="Skeet",IFERROR(INDEX('Shooter-Squad Assignment'!$A:$A,MATCH(C238&amp;"-"&amp;E238&amp;"-"&amp;F238&amp;"-Pos5",'Shooter-Squad Assignment'!$K:$K,0)),""),IF(F238="Trap",IFERROR(INDEX('Shooter-Squad Assignment'!$A:$A,MATCH(C238&amp;"-"&amp;E238&amp;"-"&amp;F238&amp;"-Pos5",'Shooter-Squad Assignment'!$W:$W,0)),""),IF(F238="Sporting Clays",IFERROR(INDEX('Shooter-Squad Assignment'!$A:$A,MATCH(C238&amp;"-"&amp;E238&amp;"-"&amp;F238&amp;"-Pos5",'Shooter-Squad Assignment'!$Z:$Z,0)),""),"")))</f>
        <v/>
      </c>
      <c r="P238" s="79" t="str">
        <f>IF(ISBLANK(O238),"",IFERROR(INDEX('Tournament List'!$D:$D,MATCH(O238,'Tournament List'!$A:$A,0)),""))</f>
        <v/>
      </c>
    </row>
    <row r="239" spans="1:16" x14ac:dyDescent="0.3">
      <c r="A239" s="78">
        <v>238</v>
      </c>
      <c r="B239" s="73" t="str">
        <f>C239&amp;"-"&amp;E239&amp;"-"&amp;F239</f>
        <v>Rocky Mountain Clay Busters-Novice 1-Skeet</v>
      </c>
      <c r="C239" s="73" t="s">
        <v>319</v>
      </c>
      <c r="D239" s="73" t="str">
        <f>INDEX('Tournament Setup'!$B$59:$B$78,MATCH(E239,SquadConcurrents,0))</f>
        <v>Novice</v>
      </c>
      <c r="E239" s="73" t="s">
        <v>337</v>
      </c>
      <c r="F239" s="73" t="s">
        <v>143</v>
      </c>
      <c r="G239" s="94" t="str">
        <f>IF(F239="Skeet",IFERROR(INDEX('Shooter-Squad Assignment'!$A:$A,MATCH(C239&amp;"-"&amp;E239&amp;"-"&amp;F239&amp;"-Pos1",'Shooter-Squad Assignment'!$K:$K,0)),""),IF(F239="Trap",IFERROR(INDEX('Shooter-Squad Assignment'!$A:$A,MATCH(C239&amp;"-"&amp;E239&amp;"-"&amp;F239&amp;"-Pos1",'Shooter-Squad Assignment'!$W:$W,0)),""),IF(F239="Sporting Clays",IFERROR(INDEX('Shooter-Squad Assignment'!$A:$A,MATCH(C239&amp;"-"&amp;E239&amp;"-"&amp;F239&amp;"-Pos1",'Shooter-Squad Assignment'!$Z:$Z,0)),""),"")))</f>
        <v/>
      </c>
      <c r="H239" s="73" t="str">
        <f>IF(ISBLANK(G239),"",IFERROR(INDEX('Tournament List'!$D:$D,MATCH(G239,'Tournament List'!$A:$A,0)),""))</f>
        <v/>
      </c>
      <c r="I239" s="94" t="str">
        <f>IF(F239="Skeet",IFERROR(INDEX('Shooter-Squad Assignment'!$A:$A,MATCH(C239&amp;"-"&amp;E239&amp;"-"&amp;F239&amp;"-Pos2",'Shooter-Squad Assignment'!$K:$K,0)),""),IF(F239="Trap",IFERROR(INDEX('Shooter-Squad Assignment'!$A:$A,MATCH(C239&amp;"-"&amp;E239&amp;"-"&amp;F239&amp;"-Pos2",'Shooter-Squad Assignment'!$W:$W,0)),""),IF(F239="Sporting Clays",IFERROR(INDEX('Shooter-Squad Assignment'!$A:$A,MATCH(C239&amp;"-"&amp;E239&amp;"-"&amp;F239&amp;"-Pos2",'Shooter-Squad Assignment'!$Z:$Z,0)),""),"")))</f>
        <v/>
      </c>
      <c r="J239" s="73" t="str">
        <f>IF(ISBLANK(I239),"",IFERROR(INDEX('Tournament List'!$D:$D,MATCH(I239,'Tournament List'!$A:$A,0)),""))</f>
        <v/>
      </c>
      <c r="K239" s="94" t="str">
        <f>IF(F239="Skeet",IFERROR(INDEX('Shooter-Squad Assignment'!$A:$A,MATCH(C239&amp;"-"&amp;E239&amp;"-"&amp;F239&amp;"-Pos3",'Shooter-Squad Assignment'!$K:$K,0)),""),IF(F239="Trap",IFERROR(INDEX('Shooter-Squad Assignment'!$A:$A,MATCH(C239&amp;"-"&amp;E239&amp;"-"&amp;F239&amp;"-Pos3",'Shooter-Squad Assignment'!$W:$W,0)),""),IF(F239="Sporting Clays",IFERROR(INDEX('Shooter-Squad Assignment'!$A:$A,MATCH(C239&amp;"-"&amp;E239&amp;"-"&amp;F239&amp;"-Pos3",'Shooter-Squad Assignment'!$Z:$Z,0)),""),"")))</f>
        <v/>
      </c>
      <c r="L239" s="73" t="str">
        <f>IF(ISBLANK(K239),"",IFERROR(INDEX('Tournament List'!$D:$D,MATCH(K239,'Tournament List'!$A:$A,0)),""))</f>
        <v/>
      </c>
      <c r="M239" s="94" t="str">
        <f>IF(F239="Skeet",IFERROR(INDEX('Shooter-Squad Assignment'!$A:$A,MATCH(C239&amp;"-"&amp;E239&amp;"-"&amp;F239&amp;"-Pos4",'Shooter-Squad Assignment'!$K:$K,0)),""),IF(F239="Trap",IFERROR(INDEX('Shooter-Squad Assignment'!$A:$A,MATCH(C239&amp;"-"&amp;E239&amp;"-"&amp;F239&amp;"-Pos4",'Shooter-Squad Assignment'!$W:$W,0)),""),IF(F239="Sporting Clays",IFERROR(INDEX('Shooter-Squad Assignment'!$A:$A,MATCH(C239&amp;"-"&amp;E239&amp;"-"&amp;F239&amp;"-Pos4",'Shooter-Squad Assignment'!$Z:$Z,0)),""),"")))</f>
        <v/>
      </c>
      <c r="N239" s="73" t="str">
        <f>IF(ISBLANK(M239),"",IFERROR(INDEX('Tournament List'!$D:$D,MATCH(M239,'Tournament List'!$A:$A,0)),""))</f>
        <v/>
      </c>
      <c r="O239" s="94" t="str">
        <f>IF(F239="Skeet",IFERROR(INDEX('Shooter-Squad Assignment'!$A:$A,MATCH(C239&amp;"-"&amp;E239&amp;"-"&amp;F239&amp;"-Pos5",'Shooter-Squad Assignment'!$K:$K,0)),""),IF(F239="Trap",IFERROR(INDEX('Shooter-Squad Assignment'!$A:$A,MATCH(C239&amp;"-"&amp;E239&amp;"-"&amp;F239&amp;"-Pos5",'Shooter-Squad Assignment'!$W:$W,0)),""),IF(F239="Sporting Clays",IFERROR(INDEX('Shooter-Squad Assignment'!$A:$A,MATCH(C239&amp;"-"&amp;E239&amp;"-"&amp;F239&amp;"-Pos5",'Shooter-Squad Assignment'!$Z:$Z,0)),""),"")))</f>
        <v/>
      </c>
      <c r="P239" s="79" t="str">
        <f>IF(ISBLANK(O239),"",IFERROR(INDEX('Tournament List'!$D:$D,MATCH(O239,'Tournament List'!$A:$A,0)),""))</f>
        <v/>
      </c>
    </row>
    <row r="240" spans="1:16" x14ac:dyDescent="0.3">
      <c r="A240" s="78">
        <v>239</v>
      </c>
      <c r="B240" s="73" t="str">
        <f>C240&amp;"-"&amp;E240&amp;"-"&amp;F240</f>
        <v>Rocky Mountain Clay Busters-Novice 2-Skeet</v>
      </c>
      <c r="C240" s="73" t="s">
        <v>319</v>
      </c>
      <c r="D240" s="73" t="str">
        <f>INDEX('Tournament Setup'!$B$59:$B$78,MATCH(E240,SquadConcurrents,0))</f>
        <v>Novice</v>
      </c>
      <c r="E240" s="73" t="s">
        <v>343</v>
      </c>
      <c r="F240" s="73" t="s">
        <v>143</v>
      </c>
      <c r="G240" s="94" t="str">
        <f>IF(F240="Skeet",IFERROR(INDEX('Shooter-Squad Assignment'!$A:$A,MATCH(C240&amp;"-"&amp;E240&amp;"-"&amp;F240&amp;"-Pos1",'Shooter-Squad Assignment'!$K:$K,0)),""),IF(F240="Trap",IFERROR(INDEX('Shooter-Squad Assignment'!$A:$A,MATCH(C240&amp;"-"&amp;E240&amp;"-"&amp;F240&amp;"-Pos1",'Shooter-Squad Assignment'!$W:$W,0)),""),IF(F240="Sporting Clays",IFERROR(INDEX('Shooter-Squad Assignment'!$A:$A,MATCH(C240&amp;"-"&amp;E240&amp;"-"&amp;F240&amp;"-Pos1",'Shooter-Squad Assignment'!$Z:$Z,0)),""),"")))</f>
        <v/>
      </c>
      <c r="H240" s="73" t="str">
        <f>IF(ISBLANK(G240),"",IFERROR(INDEX('Tournament List'!$D:$D,MATCH(G240,'Tournament List'!$A:$A,0)),""))</f>
        <v/>
      </c>
      <c r="I240" s="94" t="str">
        <f>IF(F240="Skeet",IFERROR(INDEX('Shooter-Squad Assignment'!$A:$A,MATCH(C240&amp;"-"&amp;E240&amp;"-"&amp;F240&amp;"-Pos2",'Shooter-Squad Assignment'!$K:$K,0)),""),IF(F240="Trap",IFERROR(INDEX('Shooter-Squad Assignment'!$A:$A,MATCH(C240&amp;"-"&amp;E240&amp;"-"&amp;F240&amp;"-Pos2",'Shooter-Squad Assignment'!$W:$W,0)),""),IF(F240="Sporting Clays",IFERROR(INDEX('Shooter-Squad Assignment'!$A:$A,MATCH(C240&amp;"-"&amp;E240&amp;"-"&amp;F240&amp;"-Pos2",'Shooter-Squad Assignment'!$Z:$Z,0)),""),"")))</f>
        <v/>
      </c>
      <c r="J240" s="73" t="str">
        <f>IF(ISBLANK(I240),"",IFERROR(INDEX('Tournament List'!$D:$D,MATCH(I240,'Tournament List'!$A:$A,0)),""))</f>
        <v/>
      </c>
      <c r="K240" s="94" t="str">
        <f>IF(F240="Skeet",IFERROR(INDEX('Shooter-Squad Assignment'!$A:$A,MATCH(C240&amp;"-"&amp;E240&amp;"-"&amp;F240&amp;"-Pos3",'Shooter-Squad Assignment'!$K:$K,0)),""),IF(F240="Trap",IFERROR(INDEX('Shooter-Squad Assignment'!$A:$A,MATCH(C240&amp;"-"&amp;E240&amp;"-"&amp;F240&amp;"-Pos3",'Shooter-Squad Assignment'!$W:$W,0)),""),IF(F240="Sporting Clays",IFERROR(INDEX('Shooter-Squad Assignment'!$A:$A,MATCH(C240&amp;"-"&amp;E240&amp;"-"&amp;F240&amp;"-Pos3",'Shooter-Squad Assignment'!$Z:$Z,0)),""),"")))</f>
        <v/>
      </c>
      <c r="L240" s="73" t="str">
        <f>IF(ISBLANK(K240),"",IFERROR(INDEX('Tournament List'!$D:$D,MATCH(K240,'Tournament List'!$A:$A,0)),""))</f>
        <v/>
      </c>
      <c r="M240" s="94" t="str">
        <f>IF(F240="Skeet",IFERROR(INDEX('Shooter-Squad Assignment'!$A:$A,MATCH(C240&amp;"-"&amp;E240&amp;"-"&amp;F240&amp;"-Pos4",'Shooter-Squad Assignment'!$K:$K,0)),""),IF(F240="Trap",IFERROR(INDEX('Shooter-Squad Assignment'!$A:$A,MATCH(C240&amp;"-"&amp;E240&amp;"-"&amp;F240&amp;"-Pos4",'Shooter-Squad Assignment'!$W:$W,0)),""),IF(F240="Sporting Clays",IFERROR(INDEX('Shooter-Squad Assignment'!$A:$A,MATCH(C240&amp;"-"&amp;E240&amp;"-"&amp;F240&amp;"-Pos4",'Shooter-Squad Assignment'!$Z:$Z,0)),""),"")))</f>
        <v/>
      </c>
      <c r="N240" s="73" t="str">
        <f>IF(ISBLANK(M240),"",IFERROR(INDEX('Tournament List'!$D:$D,MATCH(M240,'Tournament List'!$A:$A,0)),""))</f>
        <v/>
      </c>
      <c r="O240" s="94" t="str">
        <f>IF(F240="Skeet",IFERROR(INDEX('Shooter-Squad Assignment'!$A:$A,MATCH(C240&amp;"-"&amp;E240&amp;"-"&amp;F240&amp;"-Pos5",'Shooter-Squad Assignment'!$K:$K,0)),""),IF(F240="Trap",IFERROR(INDEX('Shooter-Squad Assignment'!$A:$A,MATCH(C240&amp;"-"&amp;E240&amp;"-"&amp;F240&amp;"-Pos5",'Shooter-Squad Assignment'!$W:$W,0)),""),IF(F240="Sporting Clays",IFERROR(INDEX('Shooter-Squad Assignment'!$A:$A,MATCH(C240&amp;"-"&amp;E240&amp;"-"&amp;F240&amp;"-Pos5",'Shooter-Squad Assignment'!$Z:$Z,0)),""),"")))</f>
        <v/>
      </c>
      <c r="P240" s="79" t="str">
        <f>IF(ISBLANK(O240),"",IFERROR(INDEX('Tournament List'!$D:$D,MATCH(O240,'Tournament List'!$A:$A,0)),""))</f>
        <v/>
      </c>
    </row>
    <row r="241" spans="1:16" x14ac:dyDescent="0.3">
      <c r="A241" s="78">
        <v>240</v>
      </c>
      <c r="B241" s="73" t="str">
        <f>C241&amp;"-"&amp;E241&amp;"-"&amp;F241</f>
        <v>Rocky Mountain Clay Busters-Novice 3-Skeet</v>
      </c>
      <c r="C241" s="73" t="s">
        <v>319</v>
      </c>
      <c r="D241" s="73" t="str">
        <f>INDEX('Tournament Setup'!$B$59:$B$78,MATCH(E241,SquadConcurrents,0))</f>
        <v>Novice</v>
      </c>
      <c r="E241" s="73" t="s">
        <v>349</v>
      </c>
      <c r="F241" s="73" t="s">
        <v>143</v>
      </c>
      <c r="G241" s="94" t="str">
        <f>IF(F241="Skeet",IFERROR(INDEX('Shooter-Squad Assignment'!$A:$A,MATCH(C241&amp;"-"&amp;E241&amp;"-"&amp;F241&amp;"-Pos1",'Shooter-Squad Assignment'!$K:$K,0)),""),IF(F241="Trap",IFERROR(INDEX('Shooter-Squad Assignment'!$A:$A,MATCH(C241&amp;"-"&amp;E241&amp;"-"&amp;F241&amp;"-Pos1",'Shooter-Squad Assignment'!$W:$W,0)),""),IF(F241="Sporting Clays",IFERROR(INDEX('Shooter-Squad Assignment'!$A:$A,MATCH(C241&amp;"-"&amp;E241&amp;"-"&amp;F241&amp;"-Pos1",'Shooter-Squad Assignment'!$Z:$Z,0)),""),"")))</f>
        <v/>
      </c>
      <c r="H241" s="73" t="str">
        <f>IF(ISBLANK(G241),"",IFERROR(INDEX('Tournament List'!$D:$D,MATCH(G241,'Tournament List'!$A:$A,0)),""))</f>
        <v/>
      </c>
      <c r="I241" s="94" t="str">
        <f>IF(F241="Skeet",IFERROR(INDEX('Shooter-Squad Assignment'!$A:$A,MATCH(C241&amp;"-"&amp;E241&amp;"-"&amp;F241&amp;"-Pos2",'Shooter-Squad Assignment'!$K:$K,0)),""),IF(F241="Trap",IFERROR(INDEX('Shooter-Squad Assignment'!$A:$A,MATCH(C241&amp;"-"&amp;E241&amp;"-"&amp;F241&amp;"-Pos2",'Shooter-Squad Assignment'!$W:$W,0)),""),IF(F241="Sporting Clays",IFERROR(INDEX('Shooter-Squad Assignment'!$A:$A,MATCH(C241&amp;"-"&amp;E241&amp;"-"&amp;F241&amp;"-Pos2",'Shooter-Squad Assignment'!$Z:$Z,0)),""),"")))</f>
        <v/>
      </c>
      <c r="J241" s="73" t="str">
        <f>IF(ISBLANK(I241),"",IFERROR(INDEX('Tournament List'!$D:$D,MATCH(I241,'Tournament List'!$A:$A,0)),""))</f>
        <v/>
      </c>
      <c r="K241" s="94" t="str">
        <f>IF(F241="Skeet",IFERROR(INDEX('Shooter-Squad Assignment'!$A:$A,MATCH(C241&amp;"-"&amp;E241&amp;"-"&amp;F241&amp;"-Pos3",'Shooter-Squad Assignment'!$K:$K,0)),""),IF(F241="Trap",IFERROR(INDEX('Shooter-Squad Assignment'!$A:$A,MATCH(C241&amp;"-"&amp;E241&amp;"-"&amp;F241&amp;"-Pos3",'Shooter-Squad Assignment'!$W:$W,0)),""),IF(F241="Sporting Clays",IFERROR(INDEX('Shooter-Squad Assignment'!$A:$A,MATCH(C241&amp;"-"&amp;E241&amp;"-"&amp;F241&amp;"-Pos3",'Shooter-Squad Assignment'!$Z:$Z,0)),""),"")))</f>
        <v/>
      </c>
      <c r="L241" s="73" t="str">
        <f>IF(ISBLANK(K241),"",IFERROR(INDEX('Tournament List'!$D:$D,MATCH(K241,'Tournament List'!$A:$A,0)),""))</f>
        <v/>
      </c>
      <c r="M241" s="94" t="str">
        <f>IF(F241="Skeet",IFERROR(INDEX('Shooter-Squad Assignment'!$A:$A,MATCH(C241&amp;"-"&amp;E241&amp;"-"&amp;F241&amp;"-Pos4",'Shooter-Squad Assignment'!$K:$K,0)),""),IF(F241="Trap",IFERROR(INDEX('Shooter-Squad Assignment'!$A:$A,MATCH(C241&amp;"-"&amp;E241&amp;"-"&amp;F241&amp;"-Pos4",'Shooter-Squad Assignment'!$W:$W,0)),""),IF(F241="Sporting Clays",IFERROR(INDEX('Shooter-Squad Assignment'!$A:$A,MATCH(C241&amp;"-"&amp;E241&amp;"-"&amp;F241&amp;"-Pos4",'Shooter-Squad Assignment'!$Z:$Z,0)),""),"")))</f>
        <v/>
      </c>
      <c r="N241" s="73" t="str">
        <f>IF(ISBLANK(M241),"",IFERROR(INDEX('Tournament List'!$D:$D,MATCH(M241,'Tournament List'!$A:$A,0)),""))</f>
        <v/>
      </c>
      <c r="O241" s="94" t="str">
        <f>IF(F241="Skeet",IFERROR(INDEX('Shooter-Squad Assignment'!$A:$A,MATCH(C241&amp;"-"&amp;E241&amp;"-"&amp;F241&amp;"-Pos5",'Shooter-Squad Assignment'!$K:$K,0)),""),IF(F241="Trap",IFERROR(INDEX('Shooter-Squad Assignment'!$A:$A,MATCH(C241&amp;"-"&amp;E241&amp;"-"&amp;F241&amp;"-Pos5",'Shooter-Squad Assignment'!$W:$W,0)),""),IF(F241="Sporting Clays",IFERROR(INDEX('Shooter-Squad Assignment'!$A:$A,MATCH(C241&amp;"-"&amp;E241&amp;"-"&amp;F241&amp;"-Pos5",'Shooter-Squad Assignment'!$Z:$Z,0)),""),"")))</f>
        <v/>
      </c>
      <c r="P241" s="79" t="str">
        <f>IF(ISBLANK(O241),"",IFERROR(INDEX('Tournament List'!$D:$D,MATCH(O241,'Tournament List'!$A:$A,0)),""))</f>
        <v/>
      </c>
    </row>
    <row r="242" spans="1:16" x14ac:dyDescent="0.3">
      <c r="A242" s="78">
        <v>241</v>
      </c>
      <c r="B242" s="73" t="str">
        <f>C242&amp;"-"&amp;E242&amp;"-"&amp;F242</f>
        <v>Rocky Mountain Clay Busters-Open 1-Skeet</v>
      </c>
      <c r="C242" s="73" t="s">
        <v>319</v>
      </c>
      <c r="D242" s="73" t="str">
        <f>INDEX('Tournament Setup'!$B$59:$B$78,MATCH(E242,SquadConcurrents,0))</f>
        <v>Open</v>
      </c>
      <c r="E242" s="73" t="s">
        <v>341</v>
      </c>
      <c r="F242" s="73" t="s">
        <v>143</v>
      </c>
      <c r="G242" s="94" t="str">
        <f>IF(F242="Skeet",IFERROR(INDEX('Shooter-Squad Assignment'!$A:$A,MATCH(C242&amp;"-"&amp;E242&amp;"-"&amp;F242&amp;"-Pos1",'Shooter-Squad Assignment'!$K:$K,0)),""),IF(F242="Trap",IFERROR(INDEX('Shooter-Squad Assignment'!$A:$A,MATCH(C242&amp;"-"&amp;E242&amp;"-"&amp;F242&amp;"-Pos1",'Shooter-Squad Assignment'!$W:$W,0)),""),IF(F242="Sporting Clays",IFERROR(INDEX('Shooter-Squad Assignment'!$A:$A,MATCH(C242&amp;"-"&amp;E242&amp;"-"&amp;F242&amp;"-Pos1",'Shooter-Squad Assignment'!$Z:$Z,0)),""),"")))</f>
        <v/>
      </c>
      <c r="H242" s="73" t="str">
        <f>IF(ISBLANK(G242),"",IFERROR(INDEX('Tournament List'!$D:$D,MATCH(G242,'Tournament List'!$A:$A,0)),""))</f>
        <v/>
      </c>
      <c r="I242" s="94" t="str">
        <f>IF(F242="Skeet",IFERROR(INDEX('Shooter-Squad Assignment'!$A:$A,MATCH(C242&amp;"-"&amp;E242&amp;"-"&amp;F242&amp;"-Pos2",'Shooter-Squad Assignment'!$K:$K,0)),""),IF(F242="Trap",IFERROR(INDEX('Shooter-Squad Assignment'!$A:$A,MATCH(C242&amp;"-"&amp;E242&amp;"-"&amp;F242&amp;"-Pos2",'Shooter-Squad Assignment'!$W:$W,0)),""),IF(F242="Sporting Clays",IFERROR(INDEX('Shooter-Squad Assignment'!$A:$A,MATCH(C242&amp;"-"&amp;E242&amp;"-"&amp;F242&amp;"-Pos2",'Shooter-Squad Assignment'!$Z:$Z,0)),""),"")))</f>
        <v/>
      </c>
      <c r="J242" s="73" t="str">
        <f>IF(ISBLANK(I242),"",IFERROR(INDEX('Tournament List'!$D:$D,MATCH(I242,'Tournament List'!$A:$A,0)),""))</f>
        <v/>
      </c>
      <c r="K242" s="94" t="str">
        <f>IF(F242="Skeet",IFERROR(INDEX('Shooter-Squad Assignment'!$A:$A,MATCH(C242&amp;"-"&amp;E242&amp;"-"&amp;F242&amp;"-Pos3",'Shooter-Squad Assignment'!$K:$K,0)),""),IF(F242="Trap",IFERROR(INDEX('Shooter-Squad Assignment'!$A:$A,MATCH(C242&amp;"-"&amp;E242&amp;"-"&amp;F242&amp;"-Pos3",'Shooter-Squad Assignment'!$W:$W,0)),""),IF(F242="Sporting Clays",IFERROR(INDEX('Shooter-Squad Assignment'!$A:$A,MATCH(C242&amp;"-"&amp;E242&amp;"-"&amp;F242&amp;"-Pos3",'Shooter-Squad Assignment'!$Z:$Z,0)),""),"")))</f>
        <v/>
      </c>
      <c r="L242" s="73" t="str">
        <f>IF(ISBLANK(K242),"",IFERROR(INDEX('Tournament List'!$D:$D,MATCH(K242,'Tournament List'!$A:$A,0)),""))</f>
        <v/>
      </c>
      <c r="M242" s="94" t="str">
        <f>IF(F242="Skeet",IFERROR(INDEX('Shooter-Squad Assignment'!$A:$A,MATCH(C242&amp;"-"&amp;E242&amp;"-"&amp;F242&amp;"-Pos4",'Shooter-Squad Assignment'!$K:$K,0)),""),IF(F242="Trap",IFERROR(INDEX('Shooter-Squad Assignment'!$A:$A,MATCH(C242&amp;"-"&amp;E242&amp;"-"&amp;F242&amp;"-Pos4",'Shooter-Squad Assignment'!$W:$W,0)),""),IF(F242="Sporting Clays",IFERROR(INDEX('Shooter-Squad Assignment'!$A:$A,MATCH(C242&amp;"-"&amp;E242&amp;"-"&amp;F242&amp;"-Pos4",'Shooter-Squad Assignment'!$Z:$Z,0)),""),"")))</f>
        <v/>
      </c>
      <c r="N242" s="73" t="str">
        <f>IF(ISBLANK(M242),"",IFERROR(INDEX('Tournament List'!$D:$D,MATCH(M242,'Tournament List'!$A:$A,0)),""))</f>
        <v/>
      </c>
      <c r="O242" s="94" t="str">
        <f>IF(F242="Skeet",IFERROR(INDEX('Shooter-Squad Assignment'!$A:$A,MATCH(C242&amp;"-"&amp;E242&amp;"-"&amp;F242&amp;"-Pos5",'Shooter-Squad Assignment'!$K:$K,0)),""),IF(F242="Trap",IFERROR(INDEX('Shooter-Squad Assignment'!$A:$A,MATCH(C242&amp;"-"&amp;E242&amp;"-"&amp;F242&amp;"-Pos5",'Shooter-Squad Assignment'!$W:$W,0)),""),IF(F242="Sporting Clays",IFERROR(INDEX('Shooter-Squad Assignment'!$A:$A,MATCH(C242&amp;"-"&amp;E242&amp;"-"&amp;F242&amp;"-Pos5",'Shooter-Squad Assignment'!$Z:$Z,0)),""),"")))</f>
        <v/>
      </c>
      <c r="P242" s="79" t="str">
        <f>IF(ISBLANK(O242),"",IFERROR(INDEX('Tournament List'!$D:$D,MATCH(O242,'Tournament List'!$A:$A,0)),""))</f>
        <v/>
      </c>
    </row>
    <row r="243" spans="1:16" x14ac:dyDescent="0.3">
      <c r="A243" s="78">
        <v>242</v>
      </c>
      <c r="B243" s="73" t="str">
        <f>C243&amp;"-"&amp;E243&amp;"-"&amp;F243</f>
        <v>Rocky Mountain Clay Busters-Open 2-Skeet</v>
      </c>
      <c r="C243" s="73" t="s">
        <v>319</v>
      </c>
      <c r="D243" s="73" t="str">
        <f>INDEX('Tournament Setup'!$B$59:$B$78,MATCH(E243,SquadConcurrents,0))</f>
        <v>Open</v>
      </c>
      <c r="E243" s="73" t="s">
        <v>347</v>
      </c>
      <c r="F243" s="73" t="s">
        <v>143</v>
      </c>
      <c r="G243" s="94" t="str">
        <f>IF(F243="Skeet",IFERROR(INDEX('Shooter-Squad Assignment'!$A:$A,MATCH(C243&amp;"-"&amp;E243&amp;"-"&amp;F243&amp;"-Pos1",'Shooter-Squad Assignment'!$K:$K,0)),""),IF(F243="Trap",IFERROR(INDEX('Shooter-Squad Assignment'!$A:$A,MATCH(C243&amp;"-"&amp;E243&amp;"-"&amp;F243&amp;"-Pos1",'Shooter-Squad Assignment'!$W:$W,0)),""),IF(F243="Sporting Clays",IFERROR(INDEX('Shooter-Squad Assignment'!$A:$A,MATCH(C243&amp;"-"&amp;E243&amp;"-"&amp;F243&amp;"-Pos1",'Shooter-Squad Assignment'!$Z:$Z,0)),""),"")))</f>
        <v/>
      </c>
      <c r="H243" s="73" t="str">
        <f>IF(ISBLANK(G243),"",IFERROR(INDEX('Tournament List'!$D:$D,MATCH(G243,'Tournament List'!$A:$A,0)),""))</f>
        <v/>
      </c>
      <c r="I243" s="94" t="str">
        <f>IF(F243="Skeet",IFERROR(INDEX('Shooter-Squad Assignment'!$A:$A,MATCH(C243&amp;"-"&amp;E243&amp;"-"&amp;F243&amp;"-Pos2",'Shooter-Squad Assignment'!$K:$K,0)),""),IF(F243="Trap",IFERROR(INDEX('Shooter-Squad Assignment'!$A:$A,MATCH(C243&amp;"-"&amp;E243&amp;"-"&amp;F243&amp;"-Pos2",'Shooter-Squad Assignment'!$W:$W,0)),""),IF(F243="Sporting Clays",IFERROR(INDEX('Shooter-Squad Assignment'!$A:$A,MATCH(C243&amp;"-"&amp;E243&amp;"-"&amp;F243&amp;"-Pos2",'Shooter-Squad Assignment'!$Z:$Z,0)),""),"")))</f>
        <v/>
      </c>
      <c r="J243" s="73" t="str">
        <f>IF(ISBLANK(I243),"",IFERROR(INDEX('Tournament List'!$D:$D,MATCH(I243,'Tournament List'!$A:$A,0)),""))</f>
        <v/>
      </c>
      <c r="K243" s="94" t="str">
        <f>IF(F243="Skeet",IFERROR(INDEX('Shooter-Squad Assignment'!$A:$A,MATCH(C243&amp;"-"&amp;E243&amp;"-"&amp;F243&amp;"-Pos3",'Shooter-Squad Assignment'!$K:$K,0)),""),IF(F243="Trap",IFERROR(INDEX('Shooter-Squad Assignment'!$A:$A,MATCH(C243&amp;"-"&amp;E243&amp;"-"&amp;F243&amp;"-Pos3",'Shooter-Squad Assignment'!$W:$W,0)),""),IF(F243="Sporting Clays",IFERROR(INDEX('Shooter-Squad Assignment'!$A:$A,MATCH(C243&amp;"-"&amp;E243&amp;"-"&amp;F243&amp;"-Pos3",'Shooter-Squad Assignment'!$Z:$Z,0)),""),"")))</f>
        <v/>
      </c>
      <c r="L243" s="73" t="str">
        <f>IF(ISBLANK(K243),"",IFERROR(INDEX('Tournament List'!$D:$D,MATCH(K243,'Tournament List'!$A:$A,0)),""))</f>
        <v/>
      </c>
      <c r="M243" s="94" t="str">
        <f>IF(F243="Skeet",IFERROR(INDEX('Shooter-Squad Assignment'!$A:$A,MATCH(C243&amp;"-"&amp;E243&amp;"-"&amp;F243&amp;"-Pos4",'Shooter-Squad Assignment'!$K:$K,0)),""),IF(F243="Trap",IFERROR(INDEX('Shooter-Squad Assignment'!$A:$A,MATCH(C243&amp;"-"&amp;E243&amp;"-"&amp;F243&amp;"-Pos4",'Shooter-Squad Assignment'!$W:$W,0)),""),IF(F243="Sporting Clays",IFERROR(INDEX('Shooter-Squad Assignment'!$A:$A,MATCH(C243&amp;"-"&amp;E243&amp;"-"&amp;F243&amp;"-Pos4",'Shooter-Squad Assignment'!$Z:$Z,0)),""),"")))</f>
        <v/>
      </c>
      <c r="N243" s="73" t="str">
        <f>IF(ISBLANK(M243),"",IFERROR(INDEX('Tournament List'!$D:$D,MATCH(M243,'Tournament List'!$A:$A,0)),""))</f>
        <v/>
      </c>
      <c r="O243" s="94" t="str">
        <f>IF(F243="Skeet",IFERROR(INDEX('Shooter-Squad Assignment'!$A:$A,MATCH(C243&amp;"-"&amp;E243&amp;"-"&amp;F243&amp;"-Pos5",'Shooter-Squad Assignment'!$K:$K,0)),""),IF(F243="Trap",IFERROR(INDEX('Shooter-Squad Assignment'!$A:$A,MATCH(C243&amp;"-"&amp;E243&amp;"-"&amp;F243&amp;"-Pos5",'Shooter-Squad Assignment'!$W:$W,0)),""),IF(F243="Sporting Clays",IFERROR(INDEX('Shooter-Squad Assignment'!$A:$A,MATCH(C243&amp;"-"&amp;E243&amp;"-"&amp;F243&amp;"-Pos5",'Shooter-Squad Assignment'!$Z:$Z,0)),""),"")))</f>
        <v/>
      </c>
      <c r="P243" s="79" t="str">
        <f>IF(ISBLANK(O243),"",IFERROR(INDEX('Tournament List'!$D:$D,MATCH(O243,'Tournament List'!$A:$A,0)),""))</f>
        <v/>
      </c>
    </row>
    <row r="244" spans="1:16" x14ac:dyDescent="0.3">
      <c r="A244" s="78">
        <v>243</v>
      </c>
      <c r="B244" s="73" t="str">
        <f>C244&amp;"-"&amp;E244&amp;"-"&amp;F244</f>
        <v>Rocky Mountain Clay Busters-Open 3-Skeet</v>
      </c>
      <c r="C244" s="73" t="s">
        <v>319</v>
      </c>
      <c r="D244" s="73" t="str">
        <f>INDEX('Tournament Setup'!$B$59:$B$78,MATCH(E244,SquadConcurrents,0))</f>
        <v>Open</v>
      </c>
      <c r="E244" s="73" t="s">
        <v>353</v>
      </c>
      <c r="F244" s="73" t="s">
        <v>143</v>
      </c>
      <c r="G244" s="94" t="str">
        <f>IF(F244="Skeet",IFERROR(INDEX('Shooter-Squad Assignment'!$A:$A,MATCH(C244&amp;"-"&amp;E244&amp;"-"&amp;F244&amp;"-Pos1",'Shooter-Squad Assignment'!$K:$K,0)),""),IF(F244="Trap",IFERROR(INDEX('Shooter-Squad Assignment'!$A:$A,MATCH(C244&amp;"-"&amp;E244&amp;"-"&amp;F244&amp;"-Pos1",'Shooter-Squad Assignment'!$W:$W,0)),""),IF(F244="Sporting Clays",IFERROR(INDEX('Shooter-Squad Assignment'!$A:$A,MATCH(C244&amp;"-"&amp;E244&amp;"-"&amp;F244&amp;"-Pos1",'Shooter-Squad Assignment'!$Z:$Z,0)),""),"")))</f>
        <v/>
      </c>
      <c r="H244" s="73" t="str">
        <f>IF(ISBLANK(G244),"",IFERROR(INDEX('Tournament List'!$D:$D,MATCH(G244,'Tournament List'!$A:$A,0)),""))</f>
        <v/>
      </c>
      <c r="I244" s="94" t="str">
        <f>IF(F244="Skeet",IFERROR(INDEX('Shooter-Squad Assignment'!$A:$A,MATCH(C244&amp;"-"&amp;E244&amp;"-"&amp;F244&amp;"-Pos2",'Shooter-Squad Assignment'!$K:$K,0)),""),IF(F244="Trap",IFERROR(INDEX('Shooter-Squad Assignment'!$A:$A,MATCH(C244&amp;"-"&amp;E244&amp;"-"&amp;F244&amp;"-Pos2",'Shooter-Squad Assignment'!$W:$W,0)),""),IF(F244="Sporting Clays",IFERROR(INDEX('Shooter-Squad Assignment'!$A:$A,MATCH(C244&amp;"-"&amp;E244&amp;"-"&amp;F244&amp;"-Pos2",'Shooter-Squad Assignment'!$Z:$Z,0)),""),"")))</f>
        <v/>
      </c>
      <c r="J244" s="73" t="str">
        <f>IF(ISBLANK(I244),"",IFERROR(INDEX('Tournament List'!$D:$D,MATCH(I244,'Tournament List'!$A:$A,0)),""))</f>
        <v/>
      </c>
      <c r="K244" s="94" t="str">
        <f>IF(F244="Skeet",IFERROR(INDEX('Shooter-Squad Assignment'!$A:$A,MATCH(C244&amp;"-"&amp;E244&amp;"-"&amp;F244&amp;"-Pos3",'Shooter-Squad Assignment'!$K:$K,0)),""),IF(F244="Trap",IFERROR(INDEX('Shooter-Squad Assignment'!$A:$A,MATCH(C244&amp;"-"&amp;E244&amp;"-"&amp;F244&amp;"-Pos3",'Shooter-Squad Assignment'!$W:$W,0)),""),IF(F244="Sporting Clays",IFERROR(INDEX('Shooter-Squad Assignment'!$A:$A,MATCH(C244&amp;"-"&amp;E244&amp;"-"&amp;F244&amp;"-Pos3",'Shooter-Squad Assignment'!$Z:$Z,0)),""),"")))</f>
        <v/>
      </c>
      <c r="L244" s="73" t="str">
        <f>IF(ISBLANK(K244),"",IFERROR(INDEX('Tournament List'!$D:$D,MATCH(K244,'Tournament List'!$A:$A,0)),""))</f>
        <v/>
      </c>
      <c r="M244" s="94" t="str">
        <f>IF(F244="Skeet",IFERROR(INDEX('Shooter-Squad Assignment'!$A:$A,MATCH(C244&amp;"-"&amp;E244&amp;"-"&amp;F244&amp;"-Pos4",'Shooter-Squad Assignment'!$K:$K,0)),""),IF(F244="Trap",IFERROR(INDEX('Shooter-Squad Assignment'!$A:$A,MATCH(C244&amp;"-"&amp;E244&amp;"-"&amp;F244&amp;"-Pos4",'Shooter-Squad Assignment'!$W:$W,0)),""),IF(F244="Sporting Clays",IFERROR(INDEX('Shooter-Squad Assignment'!$A:$A,MATCH(C244&amp;"-"&amp;E244&amp;"-"&amp;F244&amp;"-Pos4",'Shooter-Squad Assignment'!$Z:$Z,0)),""),"")))</f>
        <v/>
      </c>
      <c r="N244" s="73" t="str">
        <f>IF(ISBLANK(M244),"",IFERROR(INDEX('Tournament List'!$D:$D,MATCH(M244,'Tournament List'!$A:$A,0)),""))</f>
        <v/>
      </c>
      <c r="O244" s="94" t="str">
        <f>IF(F244="Skeet",IFERROR(INDEX('Shooter-Squad Assignment'!$A:$A,MATCH(C244&amp;"-"&amp;E244&amp;"-"&amp;F244&amp;"-Pos5",'Shooter-Squad Assignment'!$K:$K,0)),""),IF(F244="Trap",IFERROR(INDEX('Shooter-Squad Assignment'!$A:$A,MATCH(C244&amp;"-"&amp;E244&amp;"-"&amp;F244&amp;"-Pos5",'Shooter-Squad Assignment'!$W:$W,0)),""),IF(F244="Sporting Clays",IFERROR(INDEX('Shooter-Squad Assignment'!$A:$A,MATCH(C244&amp;"-"&amp;E244&amp;"-"&amp;F244&amp;"-Pos5",'Shooter-Squad Assignment'!$Z:$Z,0)),""),"")))</f>
        <v/>
      </c>
      <c r="P244" s="79" t="str">
        <f>IF(ISBLANK(O244),"",IFERROR(INDEX('Tournament List'!$D:$D,MATCH(O244,'Tournament List'!$A:$A,0)),""))</f>
        <v/>
      </c>
    </row>
    <row r="245" spans="1:16" x14ac:dyDescent="0.3">
      <c r="A245" s="78">
        <v>244</v>
      </c>
      <c r="B245" s="73" t="str">
        <f>C245&amp;"-"&amp;E245&amp;"-"&amp;F245</f>
        <v>Rocky Mountain Clay Busters-Unassigned 1-Skeet</v>
      </c>
      <c r="C245" s="73" t="s">
        <v>319</v>
      </c>
      <c r="D245" s="73" t="str">
        <f>INDEX('Tournament Setup'!$B$59:$B$78,MATCH(E245,SquadConcurrents,0))</f>
        <v>Unassigned</v>
      </c>
      <c r="E245" s="73" t="s">
        <v>762</v>
      </c>
      <c r="F245" s="73" t="s">
        <v>143</v>
      </c>
      <c r="G245" s="94" t="str">
        <f>IF(F245="Skeet",IFERROR(INDEX('Shooter-Squad Assignment'!$A:$A,MATCH(C245&amp;"-"&amp;E245&amp;"-"&amp;F245&amp;"-Pos1",'Shooter-Squad Assignment'!$K:$K,0)),""),IF(F245="Trap",IFERROR(INDEX('Shooter-Squad Assignment'!$A:$A,MATCH(C245&amp;"-"&amp;E245&amp;"-"&amp;F245&amp;"-Pos1",'Shooter-Squad Assignment'!$W:$W,0)),""),IF(F245="Sporting Clays",IFERROR(INDEX('Shooter-Squad Assignment'!$A:$A,MATCH(C245&amp;"-"&amp;E245&amp;"-"&amp;F245&amp;"-Pos1",'Shooter-Squad Assignment'!$Z:$Z,0)),""),"")))</f>
        <v/>
      </c>
      <c r="H245" s="73" t="str">
        <f>IF(ISBLANK(G245),"",IFERROR(INDEX('Tournament List'!$D:$D,MATCH(G245,'Tournament List'!$A:$A,0)),""))</f>
        <v/>
      </c>
      <c r="I245" s="94" t="str">
        <f>IF(F245="Skeet",IFERROR(INDEX('Shooter-Squad Assignment'!$A:$A,MATCH(C245&amp;"-"&amp;E245&amp;"-"&amp;F245&amp;"-Pos2",'Shooter-Squad Assignment'!$K:$K,0)),""),IF(F245="Trap",IFERROR(INDEX('Shooter-Squad Assignment'!$A:$A,MATCH(C245&amp;"-"&amp;E245&amp;"-"&amp;F245&amp;"-Pos2",'Shooter-Squad Assignment'!$W:$W,0)),""),IF(F245="Sporting Clays",IFERROR(INDEX('Shooter-Squad Assignment'!$A:$A,MATCH(C245&amp;"-"&amp;E245&amp;"-"&amp;F245&amp;"-Pos2",'Shooter-Squad Assignment'!$Z:$Z,0)),""),"")))</f>
        <v/>
      </c>
      <c r="J245" s="73" t="str">
        <f>IF(ISBLANK(I245),"",IFERROR(INDEX('Tournament List'!$D:$D,MATCH(I245,'Tournament List'!$A:$A,0)),""))</f>
        <v/>
      </c>
      <c r="K245" s="94" t="str">
        <f>IF(F245="Skeet",IFERROR(INDEX('Shooter-Squad Assignment'!$A:$A,MATCH(C245&amp;"-"&amp;E245&amp;"-"&amp;F245&amp;"-Pos3",'Shooter-Squad Assignment'!$K:$K,0)),""),IF(F245="Trap",IFERROR(INDEX('Shooter-Squad Assignment'!$A:$A,MATCH(C245&amp;"-"&amp;E245&amp;"-"&amp;F245&amp;"-Pos3",'Shooter-Squad Assignment'!$W:$W,0)),""),IF(F245="Sporting Clays",IFERROR(INDEX('Shooter-Squad Assignment'!$A:$A,MATCH(C245&amp;"-"&amp;E245&amp;"-"&amp;F245&amp;"-Pos3",'Shooter-Squad Assignment'!$Z:$Z,0)),""),"")))</f>
        <v/>
      </c>
      <c r="L245" s="73" t="str">
        <f>IF(ISBLANK(K245),"",IFERROR(INDEX('Tournament List'!$D:$D,MATCH(K245,'Tournament List'!$A:$A,0)),""))</f>
        <v/>
      </c>
      <c r="M245" s="94" t="str">
        <f>IF(F245="Skeet",IFERROR(INDEX('Shooter-Squad Assignment'!$A:$A,MATCH(C245&amp;"-"&amp;E245&amp;"-"&amp;F245&amp;"-Pos4",'Shooter-Squad Assignment'!$K:$K,0)),""),IF(F245="Trap",IFERROR(INDEX('Shooter-Squad Assignment'!$A:$A,MATCH(C245&amp;"-"&amp;E245&amp;"-"&amp;F245&amp;"-Pos4",'Shooter-Squad Assignment'!$W:$W,0)),""),IF(F245="Sporting Clays",IFERROR(INDEX('Shooter-Squad Assignment'!$A:$A,MATCH(C245&amp;"-"&amp;E245&amp;"-"&amp;F245&amp;"-Pos4",'Shooter-Squad Assignment'!$Z:$Z,0)),""),"")))</f>
        <v/>
      </c>
      <c r="N245" s="73" t="str">
        <f>IF(ISBLANK(M245),"",IFERROR(INDEX('Tournament List'!$D:$D,MATCH(M245,'Tournament List'!$A:$A,0)),""))</f>
        <v/>
      </c>
      <c r="O245" s="94" t="str">
        <f>IF(F245="Skeet",IFERROR(INDEX('Shooter-Squad Assignment'!$A:$A,MATCH(C245&amp;"-"&amp;E245&amp;"-"&amp;F245&amp;"-Pos5",'Shooter-Squad Assignment'!$K:$K,0)),""),IF(F245="Trap",IFERROR(INDEX('Shooter-Squad Assignment'!$A:$A,MATCH(C245&amp;"-"&amp;E245&amp;"-"&amp;F245&amp;"-Pos5",'Shooter-Squad Assignment'!$W:$W,0)),""),IF(F245="Sporting Clays",IFERROR(INDEX('Shooter-Squad Assignment'!$A:$A,MATCH(C245&amp;"-"&amp;E245&amp;"-"&amp;F245&amp;"-Pos5",'Shooter-Squad Assignment'!$Z:$Z,0)),""),"")))</f>
        <v/>
      </c>
      <c r="P245" s="79" t="str">
        <f>IF(ISBLANK(O245),"",IFERROR(INDEX('Tournament List'!$D:$D,MATCH(O245,'Tournament List'!$A:$A,0)),""))</f>
        <v/>
      </c>
    </row>
    <row r="246" spans="1:16" x14ac:dyDescent="0.3">
      <c r="A246" s="78">
        <v>245</v>
      </c>
      <c r="B246" s="73" t="str">
        <f>C246&amp;"-"&amp;E246&amp;"-"&amp;F246</f>
        <v>Rocky Mountain Clay Busters-Varsity 1-Skeet</v>
      </c>
      <c r="C246" s="73" t="s">
        <v>319</v>
      </c>
      <c r="D246" s="73" t="str">
        <f>INDEX('Tournament Setup'!$B$59:$B$78,MATCH(E246,SquadConcurrents,0))</f>
        <v>Varsity</v>
      </c>
      <c r="E246" s="73" t="s">
        <v>340</v>
      </c>
      <c r="F246" s="73" t="s">
        <v>143</v>
      </c>
      <c r="G246" s="94" t="str">
        <f>IF(F246="Skeet",IFERROR(INDEX('Shooter-Squad Assignment'!$A:$A,MATCH(C246&amp;"-"&amp;E246&amp;"-"&amp;F246&amp;"-Pos1",'Shooter-Squad Assignment'!$K:$K,0)),""),IF(F246="Trap",IFERROR(INDEX('Shooter-Squad Assignment'!$A:$A,MATCH(C246&amp;"-"&amp;E246&amp;"-"&amp;F246&amp;"-Pos1",'Shooter-Squad Assignment'!$W:$W,0)),""),IF(F246="Sporting Clays",IFERROR(INDEX('Shooter-Squad Assignment'!$A:$A,MATCH(C246&amp;"-"&amp;E246&amp;"-"&amp;F246&amp;"-Pos1",'Shooter-Squad Assignment'!$Z:$Z,0)),""),"")))</f>
        <v/>
      </c>
      <c r="H246" s="73" t="str">
        <f>IF(ISBLANK(G246),"",IFERROR(INDEX('Tournament List'!$D:$D,MATCH(G246,'Tournament List'!$A:$A,0)),""))</f>
        <v/>
      </c>
      <c r="I246" s="94" t="str">
        <f>IF(F246="Skeet",IFERROR(INDEX('Shooter-Squad Assignment'!$A:$A,MATCH(C246&amp;"-"&amp;E246&amp;"-"&amp;F246&amp;"-Pos2",'Shooter-Squad Assignment'!$K:$K,0)),""),IF(F246="Trap",IFERROR(INDEX('Shooter-Squad Assignment'!$A:$A,MATCH(C246&amp;"-"&amp;E246&amp;"-"&amp;F246&amp;"-Pos2",'Shooter-Squad Assignment'!$W:$W,0)),""),IF(F246="Sporting Clays",IFERROR(INDEX('Shooter-Squad Assignment'!$A:$A,MATCH(C246&amp;"-"&amp;E246&amp;"-"&amp;F246&amp;"-Pos2",'Shooter-Squad Assignment'!$Z:$Z,0)),""),"")))</f>
        <v/>
      </c>
      <c r="J246" s="73" t="str">
        <f>IF(ISBLANK(I246),"",IFERROR(INDEX('Tournament List'!$D:$D,MATCH(I246,'Tournament List'!$A:$A,0)),""))</f>
        <v/>
      </c>
      <c r="K246" s="94" t="str">
        <f>IF(F246="Skeet",IFERROR(INDEX('Shooter-Squad Assignment'!$A:$A,MATCH(C246&amp;"-"&amp;E246&amp;"-"&amp;F246&amp;"-Pos3",'Shooter-Squad Assignment'!$K:$K,0)),""),IF(F246="Trap",IFERROR(INDEX('Shooter-Squad Assignment'!$A:$A,MATCH(C246&amp;"-"&amp;E246&amp;"-"&amp;F246&amp;"-Pos3",'Shooter-Squad Assignment'!$W:$W,0)),""),IF(F246="Sporting Clays",IFERROR(INDEX('Shooter-Squad Assignment'!$A:$A,MATCH(C246&amp;"-"&amp;E246&amp;"-"&amp;F246&amp;"-Pos3",'Shooter-Squad Assignment'!$Z:$Z,0)),""),"")))</f>
        <v/>
      </c>
      <c r="L246" s="73" t="str">
        <f>IF(ISBLANK(K246),"",IFERROR(INDEX('Tournament List'!$D:$D,MATCH(K246,'Tournament List'!$A:$A,0)),""))</f>
        <v/>
      </c>
      <c r="M246" s="94" t="str">
        <f>IF(F246="Skeet",IFERROR(INDEX('Shooter-Squad Assignment'!$A:$A,MATCH(C246&amp;"-"&amp;E246&amp;"-"&amp;F246&amp;"-Pos4",'Shooter-Squad Assignment'!$K:$K,0)),""),IF(F246="Trap",IFERROR(INDEX('Shooter-Squad Assignment'!$A:$A,MATCH(C246&amp;"-"&amp;E246&amp;"-"&amp;F246&amp;"-Pos4",'Shooter-Squad Assignment'!$W:$W,0)),""),IF(F246="Sporting Clays",IFERROR(INDEX('Shooter-Squad Assignment'!$A:$A,MATCH(C246&amp;"-"&amp;E246&amp;"-"&amp;F246&amp;"-Pos4",'Shooter-Squad Assignment'!$Z:$Z,0)),""),"")))</f>
        <v/>
      </c>
      <c r="N246" s="73" t="str">
        <f>IF(ISBLANK(M246),"",IFERROR(INDEX('Tournament List'!$D:$D,MATCH(M246,'Tournament List'!$A:$A,0)),""))</f>
        <v/>
      </c>
      <c r="O246" s="94" t="str">
        <f>IF(F246="Skeet",IFERROR(INDEX('Shooter-Squad Assignment'!$A:$A,MATCH(C246&amp;"-"&amp;E246&amp;"-"&amp;F246&amp;"-Pos5",'Shooter-Squad Assignment'!$K:$K,0)),""),IF(F246="Trap",IFERROR(INDEX('Shooter-Squad Assignment'!$A:$A,MATCH(C246&amp;"-"&amp;E246&amp;"-"&amp;F246&amp;"-Pos5",'Shooter-Squad Assignment'!$W:$W,0)),""),IF(F246="Sporting Clays",IFERROR(INDEX('Shooter-Squad Assignment'!$A:$A,MATCH(C246&amp;"-"&amp;E246&amp;"-"&amp;F246&amp;"-Pos5",'Shooter-Squad Assignment'!$Z:$Z,0)),""),"")))</f>
        <v/>
      </c>
      <c r="P246" s="79" t="str">
        <f>IF(ISBLANK(O246),"",IFERROR(INDEX('Tournament List'!$D:$D,MATCH(O246,'Tournament List'!$A:$A,0)),""))</f>
        <v/>
      </c>
    </row>
    <row r="247" spans="1:16" x14ac:dyDescent="0.3">
      <c r="A247" s="78">
        <v>246</v>
      </c>
      <c r="B247" s="73" t="str">
        <f>C247&amp;"-"&amp;E247&amp;"-"&amp;F247</f>
        <v>Rocky Mountain Clay Busters-Varsity 2-Skeet</v>
      </c>
      <c r="C247" s="73" t="s">
        <v>319</v>
      </c>
      <c r="D247" s="73" t="str">
        <f>INDEX('Tournament Setup'!$B$59:$B$78,MATCH(E247,SquadConcurrents,0))</f>
        <v>Varsity</v>
      </c>
      <c r="E247" s="73" t="s">
        <v>346</v>
      </c>
      <c r="F247" s="73" t="s">
        <v>143</v>
      </c>
      <c r="G247" s="94" t="str">
        <f>IF(F247="Skeet",IFERROR(INDEX('Shooter-Squad Assignment'!$A:$A,MATCH(C247&amp;"-"&amp;E247&amp;"-"&amp;F247&amp;"-Pos1",'Shooter-Squad Assignment'!$K:$K,0)),""),IF(F247="Trap",IFERROR(INDEX('Shooter-Squad Assignment'!$A:$A,MATCH(C247&amp;"-"&amp;E247&amp;"-"&amp;F247&amp;"-Pos1",'Shooter-Squad Assignment'!$W:$W,0)),""),IF(F247="Sporting Clays",IFERROR(INDEX('Shooter-Squad Assignment'!$A:$A,MATCH(C247&amp;"-"&amp;E247&amp;"-"&amp;F247&amp;"-Pos1",'Shooter-Squad Assignment'!$Z:$Z,0)),""),"")))</f>
        <v/>
      </c>
      <c r="H247" s="73" t="str">
        <f>IF(ISBLANK(G247),"",IFERROR(INDEX('Tournament List'!$D:$D,MATCH(G247,'Tournament List'!$A:$A,0)),""))</f>
        <v/>
      </c>
      <c r="I247" s="94" t="str">
        <f>IF(F247="Skeet",IFERROR(INDEX('Shooter-Squad Assignment'!$A:$A,MATCH(C247&amp;"-"&amp;E247&amp;"-"&amp;F247&amp;"-Pos2",'Shooter-Squad Assignment'!$K:$K,0)),""),IF(F247="Trap",IFERROR(INDEX('Shooter-Squad Assignment'!$A:$A,MATCH(C247&amp;"-"&amp;E247&amp;"-"&amp;F247&amp;"-Pos2",'Shooter-Squad Assignment'!$W:$W,0)),""),IF(F247="Sporting Clays",IFERROR(INDEX('Shooter-Squad Assignment'!$A:$A,MATCH(C247&amp;"-"&amp;E247&amp;"-"&amp;F247&amp;"-Pos2",'Shooter-Squad Assignment'!$Z:$Z,0)),""),"")))</f>
        <v/>
      </c>
      <c r="J247" s="73" t="str">
        <f>IF(ISBLANK(I247),"",IFERROR(INDEX('Tournament List'!$D:$D,MATCH(I247,'Tournament List'!$A:$A,0)),""))</f>
        <v/>
      </c>
      <c r="K247" s="94" t="str">
        <f>IF(F247="Skeet",IFERROR(INDEX('Shooter-Squad Assignment'!$A:$A,MATCH(C247&amp;"-"&amp;E247&amp;"-"&amp;F247&amp;"-Pos3",'Shooter-Squad Assignment'!$K:$K,0)),""),IF(F247="Trap",IFERROR(INDEX('Shooter-Squad Assignment'!$A:$A,MATCH(C247&amp;"-"&amp;E247&amp;"-"&amp;F247&amp;"-Pos3",'Shooter-Squad Assignment'!$W:$W,0)),""),IF(F247="Sporting Clays",IFERROR(INDEX('Shooter-Squad Assignment'!$A:$A,MATCH(C247&amp;"-"&amp;E247&amp;"-"&amp;F247&amp;"-Pos3",'Shooter-Squad Assignment'!$Z:$Z,0)),""),"")))</f>
        <v/>
      </c>
      <c r="L247" s="73" t="str">
        <f>IF(ISBLANK(K247),"",IFERROR(INDEX('Tournament List'!$D:$D,MATCH(K247,'Tournament List'!$A:$A,0)),""))</f>
        <v/>
      </c>
      <c r="M247" s="94" t="str">
        <f>IF(F247="Skeet",IFERROR(INDEX('Shooter-Squad Assignment'!$A:$A,MATCH(C247&amp;"-"&amp;E247&amp;"-"&amp;F247&amp;"-Pos4",'Shooter-Squad Assignment'!$K:$K,0)),""),IF(F247="Trap",IFERROR(INDEX('Shooter-Squad Assignment'!$A:$A,MATCH(C247&amp;"-"&amp;E247&amp;"-"&amp;F247&amp;"-Pos4",'Shooter-Squad Assignment'!$W:$W,0)),""),IF(F247="Sporting Clays",IFERROR(INDEX('Shooter-Squad Assignment'!$A:$A,MATCH(C247&amp;"-"&amp;E247&amp;"-"&amp;F247&amp;"-Pos4",'Shooter-Squad Assignment'!$Z:$Z,0)),""),"")))</f>
        <v/>
      </c>
      <c r="N247" s="73" t="str">
        <f>IF(ISBLANK(M247),"",IFERROR(INDEX('Tournament List'!$D:$D,MATCH(M247,'Tournament List'!$A:$A,0)),""))</f>
        <v/>
      </c>
      <c r="O247" s="94" t="str">
        <f>IF(F247="Skeet",IFERROR(INDEX('Shooter-Squad Assignment'!$A:$A,MATCH(C247&amp;"-"&amp;E247&amp;"-"&amp;F247&amp;"-Pos5",'Shooter-Squad Assignment'!$K:$K,0)),""),IF(F247="Trap",IFERROR(INDEX('Shooter-Squad Assignment'!$A:$A,MATCH(C247&amp;"-"&amp;E247&amp;"-"&amp;F247&amp;"-Pos5",'Shooter-Squad Assignment'!$W:$W,0)),""),IF(F247="Sporting Clays",IFERROR(INDEX('Shooter-Squad Assignment'!$A:$A,MATCH(C247&amp;"-"&amp;E247&amp;"-"&amp;F247&amp;"-Pos5",'Shooter-Squad Assignment'!$Z:$Z,0)),""),"")))</f>
        <v/>
      </c>
      <c r="P247" s="79" t="str">
        <f>IF(ISBLANK(O247),"",IFERROR(INDEX('Tournament List'!$D:$D,MATCH(O247,'Tournament List'!$A:$A,0)),""))</f>
        <v/>
      </c>
    </row>
    <row r="248" spans="1:16" x14ac:dyDescent="0.3">
      <c r="A248" s="78">
        <v>247</v>
      </c>
      <c r="B248" s="73" t="str">
        <f>C248&amp;"-"&amp;E248&amp;"-"&amp;F248</f>
        <v>Rocky Mountain Clay Busters-Varsity 3-Skeet</v>
      </c>
      <c r="C248" s="73" t="s">
        <v>319</v>
      </c>
      <c r="D248" s="73" t="str">
        <f>INDEX('Tournament Setup'!$B$59:$B$78,MATCH(E248,SquadConcurrents,0))</f>
        <v>Varsity</v>
      </c>
      <c r="E248" s="73" t="s">
        <v>352</v>
      </c>
      <c r="F248" s="73" t="s">
        <v>143</v>
      </c>
      <c r="G248" s="94" t="str">
        <f>IF(F248="Skeet",IFERROR(INDEX('Shooter-Squad Assignment'!$A:$A,MATCH(C248&amp;"-"&amp;E248&amp;"-"&amp;F248&amp;"-Pos1",'Shooter-Squad Assignment'!$K:$K,0)),""),IF(F248="Trap",IFERROR(INDEX('Shooter-Squad Assignment'!$A:$A,MATCH(C248&amp;"-"&amp;E248&amp;"-"&amp;F248&amp;"-Pos1",'Shooter-Squad Assignment'!$W:$W,0)),""),IF(F248="Sporting Clays",IFERROR(INDEX('Shooter-Squad Assignment'!$A:$A,MATCH(C248&amp;"-"&amp;E248&amp;"-"&amp;F248&amp;"-Pos1",'Shooter-Squad Assignment'!$Z:$Z,0)),""),"")))</f>
        <v/>
      </c>
      <c r="H248" s="73" t="str">
        <f>IF(ISBLANK(G248),"",IFERROR(INDEX('Tournament List'!$D:$D,MATCH(G248,'Tournament List'!$A:$A,0)),""))</f>
        <v/>
      </c>
      <c r="I248" s="94" t="str">
        <f>IF(F248="Skeet",IFERROR(INDEX('Shooter-Squad Assignment'!$A:$A,MATCH(C248&amp;"-"&amp;E248&amp;"-"&amp;F248&amp;"-Pos2",'Shooter-Squad Assignment'!$K:$K,0)),""),IF(F248="Trap",IFERROR(INDEX('Shooter-Squad Assignment'!$A:$A,MATCH(C248&amp;"-"&amp;E248&amp;"-"&amp;F248&amp;"-Pos2",'Shooter-Squad Assignment'!$W:$W,0)),""),IF(F248="Sporting Clays",IFERROR(INDEX('Shooter-Squad Assignment'!$A:$A,MATCH(C248&amp;"-"&amp;E248&amp;"-"&amp;F248&amp;"-Pos2",'Shooter-Squad Assignment'!$Z:$Z,0)),""),"")))</f>
        <v/>
      </c>
      <c r="J248" s="73" t="str">
        <f>IF(ISBLANK(I248),"",IFERROR(INDEX('Tournament List'!$D:$D,MATCH(I248,'Tournament List'!$A:$A,0)),""))</f>
        <v/>
      </c>
      <c r="K248" s="94" t="str">
        <f>IF(F248="Skeet",IFERROR(INDEX('Shooter-Squad Assignment'!$A:$A,MATCH(C248&amp;"-"&amp;E248&amp;"-"&amp;F248&amp;"-Pos3",'Shooter-Squad Assignment'!$K:$K,0)),""),IF(F248="Trap",IFERROR(INDEX('Shooter-Squad Assignment'!$A:$A,MATCH(C248&amp;"-"&amp;E248&amp;"-"&amp;F248&amp;"-Pos3",'Shooter-Squad Assignment'!$W:$W,0)),""),IF(F248="Sporting Clays",IFERROR(INDEX('Shooter-Squad Assignment'!$A:$A,MATCH(C248&amp;"-"&amp;E248&amp;"-"&amp;F248&amp;"-Pos3",'Shooter-Squad Assignment'!$Z:$Z,0)),""),"")))</f>
        <v/>
      </c>
      <c r="L248" s="73" t="str">
        <f>IF(ISBLANK(K248),"",IFERROR(INDEX('Tournament List'!$D:$D,MATCH(K248,'Tournament List'!$A:$A,0)),""))</f>
        <v/>
      </c>
      <c r="M248" s="94" t="str">
        <f>IF(F248="Skeet",IFERROR(INDEX('Shooter-Squad Assignment'!$A:$A,MATCH(C248&amp;"-"&amp;E248&amp;"-"&amp;F248&amp;"-Pos4",'Shooter-Squad Assignment'!$K:$K,0)),""),IF(F248="Trap",IFERROR(INDEX('Shooter-Squad Assignment'!$A:$A,MATCH(C248&amp;"-"&amp;E248&amp;"-"&amp;F248&amp;"-Pos4",'Shooter-Squad Assignment'!$W:$W,0)),""),IF(F248="Sporting Clays",IFERROR(INDEX('Shooter-Squad Assignment'!$A:$A,MATCH(C248&amp;"-"&amp;E248&amp;"-"&amp;F248&amp;"-Pos4",'Shooter-Squad Assignment'!$Z:$Z,0)),""),"")))</f>
        <v/>
      </c>
      <c r="N248" s="73" t="str">
        <f>IF(ISBLANK(M248),"",IFERROR(INDEX('Tournament List'!$D:$D,MATCH(M248,'Tournament List'!$A:$A,0)),""))</f>
        <v/>
      </c>
      <c r="O248" s="94" t="str">
        <f>IF(F248="Skeet",IFERROR(INDEX('Shooter-Squad Assignment'!$A:$A,MATCH(C248&amp;"-"&amp;E248&amp;"-"&amp;F248&amp;"-Pos5",'Shooter-Squad Assignment'!$K:$K,0)),""),IF(F248="Trap",IFERROR(INDEX('Shooter-Squad Assignment'!$A:$A,MATCH(C248&amp;"-"&amp;E248&amp;"-"&amp;F248&amp;"-Pos5",'Shooter-Squad Assignment'!$W:$W,0)),""),IF(F248="Sporting Clays",IFERROR(INDEX('Shooter-Squad Assignment'!$A:$A,MATCH(C248&amp;"-"&amp;E248&amp;"-"&amp;F248&amp;"-Pos5",'Shooter-Squad Assignment'!$Z:$Z,0)),""),"")))</f>
        <v/>
      </c>
      <c r="P248" s="79" t="str">
        <f>IF(ISBLANK(O248),"",IFERROR(INDEX('Tournament List'!$D:$D,MATCH(O248,'Tournament List'!$A:$A,0)),""))</f>
        <v/>
      </c>
    </row>
    <row r="249" spans="1:16" x14ac:dyDescent="0.3">
      <c r="A249" s="78">
        <v>248</v>
      </c>
      <c r="B249" s="73" t="str">
        <f>C249&amp;"-"&amp;E249&amp;"-"&amp;F249</f>
        <v>Rocky Mountain Clay Busters-Collegiate 1-Sporting Clays</v>
      </c>
      <c r="C249" s="73" t="s">
        <v>319</v>
      </c>
      <c r="D249" s="73" t="str">
        <f>INDEX('Tournament Setup'!$B$59:$B$78,MATCH(E249,SquadConcurrents,0))</f>
        <v>Collegiate</v>
      </c>
      <c r="E249" s="73" t="s">
        <v>342</v>
      </c>
      <c r="F249" s="73" t="s">
        <v>148</v>
      </c>
      <c r="G249" s="94" t="str">
        <f>IF(F249="Skeet",IFERROR(INDEX('Shooter-Squad Assignment'!$A:$A,MATCH(C249&amp;"-"&amp;E249&amp;"-"&amp;F249&amp;"-Pos1",'Shooter-Squad Assignment'!$K:$K,0)),""),IF(F249="Trap",IFERROR(INDEX('Shooter-Squad Assignment'!$A:$A,MATCH(C249&amp;"-"&amp;E249&amp;"-"&amp;F249&amp;"-Pos1",'Shooter-Squad Assignment'!$W:$W,0)),""),IF(F249="Sporting Clays",IFERROR(INDEX('Shooter-Squad Assignment'!$A:$A,MATCH(C249&amp;"-"&amp;E249&amp;"-"&amp;F249&amp;"-Pos1",'Shooter-Squad Assignment'!$Z:$Z,0)),""),"")))</f>
        <v/>
      </c>
      <c r="H249" s="73" t="str">
        <f>IF(ISBLANK(G249),"",IFERROR(INDEX('Tournament List'!$D:$D,MATCH(G249,'Tournament List'!$A:$A,0)),""))</f>
        <v/>
      </c>
      <c r="I249" s="94" t="str">
        <f>IF(F249="Skeet",IFERROR(INDEX('Shooter-Squad Assignment'!$A:$A,MATCH(C249&amp;"-"&amp;E249&amp;"-"&amp;F249&amp;"-Pos2",'Shooter-Squad Assignment'!$K:$K,0)),""),IF(F249="Trap",IFERROR(INDEX('Shooter-Squad Assignment'!$A:$A,MATCH(C249&amp;"-"&amp;E249&amp;"-"&amp;F249&amp;"-Pos2",'Shooter-Squad Assignment'!$W:$W,0)),""),IF(F249="Sporting Clays",IFERROR(INDEX('Shooter-Squad Assignment'!$A:$A,MATCH(C249&amp;"-"&amp;E249&amp;"-"&amp;F249&amp;"-Pos2",'Shooter-Squad Assignment'!$Z:$Z,0)),""),"")))</f>
        <v/>
      </c>
      <c r="J249" s="73" t="str">
        <f>IF(ISBLANK(I249),"",IFERROR(INDEX('Tournament List'!$D:$D,MATCH(I249,'Tournament List'!$A:$A,0)),""))</f>
        <v/>
      </c>
      <c r="K249" s="94" t="str">
        <f>IF(F249="Skeet",IFERROR(INDEX('Shooter-Squad Assignment'!$A:$A,MATCH(C249&amp;"-"&amp;E249&amp;"-"&amp;F249&amp;"-Pos3",'Shooter-Squad Assignment'!$K:$K,0)),""),IF(F249="Trap",IFERROR(INDEX('Shooter-Squad Assignment'!$A:$A,MATCH(C249&amp;"-"&amp;E249&amp;"-"&amp;F249&amp;"-Pos3",'Shooter-Squad Assignment'!$W:$W,0)),""),IF(F249="Sporting Clays",IFERROR(INDEX('Shooter-Squad Assignment'!$A:$A,MATCH(C249&amp;"-"&amp;E249&amp;"-"&amp;F249&amp;"-Pos3",'Shooter-Squad Assignment'!$Z:$Z,0)),""),"")))</f>
        <v/>
      </c>
      <c r="L249" s="73" t="str">
        <f>IF(ISBLANK(K249),"",IFERROR(INDEX('Tournament List'!$D:$D,MATCH(K249,'Tournament List'!$A:$A,0)),""))</f>
        <v/>
      </c>
      <c r="M249" s="94" t="str">
        <f>IF(F249="Skeet",IFERROR(INDEX('Shooter-Squad Assignment'!$A:$A,MATCH(C249&amp;"-"&amp;E249&amp;"-"&amp;F249&amp;"-Pos4",'Shooter-Squad Assignment'!$K:$K,0)),""),IF(F249="Trap",IFERROR(INDEX('Shooter-Squad Assignment'!$A:$A,MATCH(C249&amp;"-"&amp;E249&amp;"-"&amp;F249&amp;"-Pos4",'Shooter-Squad Assignment'!$W:$W,0)),""),IF(F249="Sporting Clays",IFERROR(INDEX('Shooter-Squad Assignment'!$A:$A,MATCH(C249&amp;"-"&amp;E249&amp;"-"&amp;F249&amp;"-Pos4",'Shooter-Squad Assignment'!$Z:$Z,0)),""),"")))</f>
        <v/>
      </c>
      <c r="N249" s="73" t="str">
        <f>IF(ISBLANK(M249),"",IFERROR(INDEX('Tournament List'!$D:$D,MATCH(M249,'Tournament List'!$A:$A,0)),""))</f>
        <v/>
      </c>
      <c r="O249" s="94" t="str">
        <f>IF(F249="Skeet",IFERROR(INDEX('Shooter-Squad Assignment'!$A:$A,MATCH(C249&amp;"-"&amp;E249&amp;"-"&amp;F249&amp;"-Pos5",'Shooter-Squad Assignment'!$K:$K,0)),""),IF(F249="Trap",IFERROR(INDEX('Shooter-Squad Assignment'!$A:$A,MATCH(C249&amp;"-"&amp;E249&amp;"-"&amp;F249&amp;"-Pos5",'Shooter-Squad Assignment'!$W:$W,0)),""),IF(F249="Sporting Clays",IFERROR(INDEX('Shooter-Squad Assignment'!$A:$A,MATCH(C249&amp;"-"&amp;E249&amp;"-"&amp;F249&amp;"-Pos5",'Shooter-Squad Assignment'!$Z:$Z,0)),""),"")))</f>
        <v/>
      </c>
      <c r="P249" s="79" t="str">
        <f>IF(ISBLANK(O249),"",IFERROR(INDEX('Tournament List'!$D:$D,MATCH(O249,'Tournament List'!$A:$A,0)),""))</f>
        <v/>
      </c>
    </row>
    <row r="250" spans="1:16" x14ac:dyDescent="0.3">
      <c r="A250" s="78">
        <v>249</v>
      </c>
      <c r="B250" s="73" t="str">
        <f>C250&amp;"-"&amp;E250&amp;"-"&amp;F250</f>
        <v>Rocky Mountain Clay Busters-Collegiate 2-Sporting Clays</v>
      </c>
      <c r="C250" s="73" t="s">
        <v>319</v>
      </c>
      <c r="D250" s="73" t="str">
        <f>INDEX('Tournament Setup'!$B$59:$B$78,MATCH(E250,SquadConcurrents,0))</f>
        <v>Collegiate</v>
      </c>
      <c r="E250" s="73" t="s">
        <v>348</v>
      </c>
      <c r="F250" s="73" t="s">
        <v>148</v>
      </c>
      <c r="G250" s="94" t="str">
        <f>IF(F250="Skeet",IFERROR(INDEX('Shooter-Squad Assignment'!$A:$A,MATCH(C250&amp;"-"&amp;E250&amp;"-"&amp;F250&amp;"-Pos1",'Shooter-Squad Assignment'!$K:$K,0)),""),IF(F250="Trap",IFERROR(INDEX('Shooter-Squad Assignment'!$A:$A,MATCH(C250&amp;"-"&amp;E250&amp;"-"&amp;F250&amp;"-Pos1",'Shooter-Squad Assignment'!$W:$W,0)),""),IF(F250="Sporting Clays",IFERROR(INDEX('Shooter-Squad Assignment'!$A:$A,MATCH(C250&amp;"-"&amp;E250&amp;"-"&amp;F250&amp;"-Pos1",'Shooter-Squad Assignment'!$Z:$Z,0)),""),"")))</f>
        <v/>
      </c>
      <c r="H250" s="73" t="str">
        <f>IF(ISBLANK(G250),"",IFERROR(INDEX('Tournament List'!$D:$D,MATCH(G250,'Tournament List'!$A:$A,0)),""))</f>
        <v/>
      </c>
      <c r="I250" s="94" t="str">
        <f>IF(F250="Skeet",IFERROR(INDEX('Shooter-Squad Assignment'!$A:$A,MATCH(C250&amp;"-"&amp;E250&amp;"-"&amp;F250&amp;"-Pos2",'Shooter-Squad Assignment'!$K:$K,0)),""),IF(F250="Trap",IFERROR(INDEX('Shooter-Squad Assignment'!$A:$A,MATCH(C250&amp;"-"&amp;E250&amp;"-"&amp;F250&amp;"-Pos2",'Shooter-Squad Assignment'!$W:$W,0)),""),IF(F250="Sporting Clays",IFERROR(INDEX('Shooter-Squad Assignment'!$A:$A,MATCH(C250&amp;"-"&amp;E250&amp;"-"&amp;F250&amp;"-Pos2",'Shooter-Squad Assignment'!$Z:$Z,0)),""),"")))</f>
        <v/>
      </c>
      <c r="J250" s="73" t="str">
        <f>IF(ISBLANK(I250),"",IFERROR(INDEX('Tournament List'!$D:$D,MATCH(I250,'Tournament List'!$A:$A,0)),""))</f>
        <v/>
      </c>
      <c r="K250" s="94" t="str">
        <f>IF(F250="Skeet",IFERROR(INDEX('Shooter-Squad Assignment'!$A:$A,MATCH(C250&amp;"-"&amp;E250&amp;"-"&amp;F250&amp;"-Pos3",'Shooter-Squad Assignment'!$K:$K,0)),""),IF(F250="Trap",IFERROR(INDEX('Shooter-Squad Assignment'!$A:$A,MATCH(C250&amp;"-"&amp;E250&amp;"-"&amp;F250&amp;"-Pos3",'Shooter-Squad Assignment'!$W:$W,0)),""),IF(F250="Sporting Clays",IFERROR(INDEX('Shooter-Squad Assignment'!$A:$A,MATCH(C250&amp;"-"&amp;E250&amp;"-"&amp;F250&amp;"-Pos3",'Shooter-Squad Assignment'!$Z:$Z,0)),""),"")))</f>
        <v/>
      </c>
      <c r="L250" s="73" t="str">
        <f>IF(ISBLANK(K250),"",IFERROR(INDEX('Tournament List'!$D:$D,MATCH(K250,'Tournament List'!$A:$A,0)),""))</f>
        <v/>
      </c>
      <c r="M250" s="94" t="str">
        <f>IF(F250="Skeet",IFERROR(INDEX('Shooter-Squad Assignment'!$A:$A,MATCH(C250&amp;"-"&amp;E250&amp;"-"&amp;F250&amp;"-Pos4",'Shooter-Squad Assignment'!$K:$K,0)),""),IF(F250="Trap",IFERROR(INDEX('Shooter-Squad Assignment'!$A:$A,MATCH(C250&amp;"-"&amp;E250&amp;"-"&amp;F250&amp;"-Pos4",'Shooter-Squad Assignment'!$W:$W,0)),""),IF(F250="Sporting Clays",IFERROR(INDEX('Shooter-Squad Assignment'!$A:$A,MATCH(C250&amp;"-"&amp;E250&amp;"-"&amp;F250&amp;"-Pos4",'Shooter-Squad Assignment'!$Z:$Z,0)),""),"")))</f>
        <v/>
      </c>
      <c r="N250" s="73" t="str">
        <f>IF(ISBLANK(M250),"",IFERROR(INDEX('Tournament List'!$D:$D,MATCH(M250,'Tournament List'!$A:$A,0)),""))</f>
        <v/>
      </c>
      <c r="O250" s="94" t="str">
        <f>IF(F250="Skeet",IFERROR(INDEX('Shooter-Squad Assignment'!$A:$A,MATCH(C250&amp;"-"&amp;E250&amp;"-"&amp;F250&amp;"-Pos5",'Shooter-Squad Assignment'!$K:$K,0)),""),IF(F250="Trap",IFERROR(INDEX('Shooter-Squad Assignment'!$A:$A,MATCH(C250&amp;"-"&amp;E250&amp;"-"&amp;F250&amp;"-Pos5",'Shooter-Squad Assignment'!$W:$W,0)),""),IF(F250="Sporting Clays",IFERROR(INDEX('Shooter-Squad Assignment'!$A:$A,MATCH(C250&amp;"-"&amp;E250&amp;"-"&amp;F250&amp;"-Pos5",'Shooter-Squad Assignment'!$Z:$Z,0)),""),"")))</f>
        <v/>
      </c>
      <c r="P250" s="79" t="str">
        <f>IF(ISBLANK(O250),"",IFERROR(INDEX('Tournament List'!$D:$D,MATCH(O250,'Tournament List'!$A:$A,0)),""))</f>
        <v/>
      </c>
    </row>
    <row r="251" spans="1:16" x14ac:dyDescent="0.3">
      <c r="A251" s="78">
        <v>250</v>
      </c>
      <c r="B251" s="73" t="str">
        <f>C251&amp;"-"&amp;E251&amp;"-"&amp;F251</f>
        <v>Rocky Mountain Clay Busters-Collegiate 3-Sporting Clays</v>
      </c>
      <c r="C251" s="73" t="s">
        <v>319</v>
      </c>
      <c r="D251" s="73" t="str">
        <f>INDEX('Tournament Setup'!$B$59:$B$78,MATCH(E251,SquadConcurrents,0))</f>
        <v>Collegiate</v>
      </c>
      <c r="E251" s="73" t="s">
        <v>354</v>
      </c>
      <c r="F251" s="73" t="s">
        <v>148</v>
      </c>
      <c r="G251" s="94" t="str">
        <f>IF(F251="Skeet",IFERROR(INDEX('Shooter-Squad Assignment'!$A:$A,MATCH(C251&amp;"-"&amp;E251&amp;"-"&amp;F251&amp;"-Pos1",'Shooter-Squad Assignment'!$K:$K,0)),""),IF(F251="Trap",IFERROR(INDEX('Shooter-Squad Assignment'!$A:$A,MATCH(C251&amp;"-"&amp;E251&amp;"-"&amp;F251&amp;"-Pos1",'Shooter-Squad Assignment'!$W:$W,0)),""),IF(F251="Sporting Clays",IFERROR(INDEX('Shooter-Squad Assignment'!$A:$A,MATCH(C251&amp;"-"&amp;E251&amp;"-"&amp;F251&amp;"-Pos1",'Shooter-Squad Assignment'!$Z:$Z,0)),""),"")))</f>
        <v/>
      </c>
      <c r="H251" s="73" t="str">
        <f>IF(ISBLANK(G251),"",IFERROR(INDEX('Tournament List'!$D:$D,MATCH(G251,'Tournament List'!$A:$A,0)),""))</f>
        <v/>
      </c>
      <c r="I251" s="94" t="str">
        <f>IF(F251="Skeet",IFERROR(INDEX('Shooter-Squad Assignment'!$A:$A,MATCH(C251&amp;"-"&amp;E251&amp;"-"&amp;F251&amp;"-Pos2",'Shooter-Squad Assignment'!$K:$K,0)),""),IF(F251="Trap",IFERROR(INDEX('Shooter-Squad Assignment'!$A:$A,MATCH(C251&amp;"-"&amp;E251&amp;"-"&amp;F251&amp;"-Pos2",'Shooter-Squad Assignment'!$W:$W,0)),""),IF(F251="Sporting Clays",IFERROR(INDEX('Shooter-Squad Assignment'!$A:$A,MATCH(C251&amp;"-"&amp;E251&amp;"-"&amp;F251&amp;"-Pos2",'Shooter-Squad Assignment'!$Z:$Z,0)),""),"")))</f>
        <v/>
      </c>
      <c r="J251" s="73" t="str">
        <f>IF(ISBLANK(I251),"",IFERROR(INDEX('Tournament List'!$D:$D,MATCH(I251,'Tournament List'!$A:$A,0)),""))</f>
        <v/>
      </c>
      <c r="K251" s="94" t="str">
        <f>IF(F251="Skeet",IFERROR(INDEX('Shooter-Squad Assignment'!$A:$A,MATCH(C251&amp;"-"&amp;E251&amp;"-"&amp;F251&amp;"-Pos3",'Shooter-Squad Assignment'!$K:$K,0)),""),IF(F251="Trap",IFERROR(INDEX('Shooter-Squad Assignment'!$A:$A,MATCH(C251&amp;"-"&amp;E251&amp;"-"&amp;F251&amp;"-Pos3",'Shooter-Squad Assignment'!$W:$W,0)),""),IF(F251="Sporting Clays",IFERROR(INDEX('Shooter-Squad Assignment'!$A:$A,MATCH(C251&amp;"-"&amp;E251&amp;"-"&amp;F251&amp;"-Pos3",'Shooter-Squad Assignment'!$Z:$Z,0)),""),"")))</f>
        <v/>
      </c>
      <c r="L251" s="73" t="str">
        <f>IF(ISBLANK(K251),"",IFERROR(INDEX('Tournament List'!$D:$D,MATCH(K251,'Tournament List'!$A:$A,0)),""))</f>
        <v/>
      </c>
      <c r="M251" s="94" t="str">
        <f>IF(F251="Skeet",IFERROR(INDEX('Shooter-Squad Assignment'!$A:$A,MATCH(C251&amp;"-"&amp;E251&amp;"-"&amp;F251&amp;"-Pos4",'Shooter-Squad Assignment'!$K:$K,0)),""),IF(F251="Trap",IFERROR(INDEX('Shooter-Squad Assignment'!$A:$A,MATCH(C251&amp;"-"&amp;E251&amp;"-"&amp;F251&amp;"-Pos4",'Shooter-Squad Assignment'!$W:$W,0)),""),IF(F251="Sporting Clays",IFERROR(INDEX('Shooter-Squad Assignment'!$A:$A,MATCH(C251&amp;"-"&amp;E251&amp;"-"&amp;F251&amp;"-Pos4",'Shooter-Squad Assignment'!$Z:$Z,0)),""),"")))</f>
        <v/>
      </c>
      <c r="N251" s="73" t="str">
        <f>IF(ISBLANK(M251),"",IFERROR(INDEX('Tournament List'!$D:$D,MATCH(M251,'Tournament List'!$A:$A,0)),""))</f>
        <v/>
      </c>
      <c r="O251" s="94" t="str">
        <f>IF(F251="Skeet",IFERROR(INDEX('Shooter-Squad Assignment'!$A:$A,MATCH(C251&amp;"-"&amp;E251&amp;"-"&amp;F251&amp;"-Pos5",'Shooter-Squad Assignment'!$K:$K,0)),""),IF(F251="Trap",IFERROR(INDEX('Shooter-Squad Assignment'!$A:$A,MATCH(C251&amp;"-"&amp;E251&amp;"-"&amp;F251&amp;"-Pos5",'Shooter-Squad Assignment'!$W:$W,0)),""),IF(F251="Sporting Clays",IFERROR(INDEX('Shooter-Squad Assignment'!$A:$A,MATCH(C251&amp;"-"&amp;E251&amp;"-"&amp;F251&amp;"-Pos5",'Shooter-Squad Assignment'!$Z:$Z,0)),""),"")))</f>
        <v/>
      </c>
      <c r="P251" s="79" t="str">
        <f>IF(ISBLANK(O251),"",IFERROR(INDEX('Tournament List'!$D:$D,MATCH(O251,'Tournament List'!$A:$A,0)),""))</f>
        <v/>
      </c>
    </row>
    <row r="252" spans="1:16" x14ac:dyDescent="0.3">
      <c r="A252" s="78">
        <v>251</v>
      </c>
      <c r="B252" s="73" t="str">
        <f>C252&amp;"-"&amp;E252&amp;"-"&amp;F252</f>
        <v>Rocky Mountain Clay Busters-Intermediate 1-Sporting Clays</v>
      </c>
      <c r="C252" s="73" t="s">
        <v>319</v>
      </c>
      <c r="D252" s="73" t="str">
        <f>INDEX('Tournament Setup'!$B$59:$B$78,MATCH(E252,SquadConcurrents,0))</f>
        <v>Intermediate</v>
      </c>
      <c r="E252" s="73" t="s">
        <v>338</v>
      </c>
      <c r="F252" s="73" t="s">
        <v>148</v>
      </c>
      <c r="G252" s="94" t="str">
        <f>IF(F252="Skeet",IFERROR(INDEX('Shooter-Squad Assignment'!$A:$A,MATCH(C252&amp;"-"&amp;E252&amp;"-"&amp;F252&amp;"-Pos1",'Shooter-Squad Assignment'!$K:$K,0)),""),IF(F252="Trap",IFERROR(INDEX('Shooter-Squad Assignment'!$A:$A,MATCH(C252&amp;"-"&amp;E252&amp;"-"&amp;F252&amp;"-Pos1",'Shooter-Squad Assignment'!$W:$W,0)),""),IF(F252="Sporting Clays",IFERROR(INDEX('Shooter-Squad Assignment'!$A:$A,MATCH(C252&amp;"-"&amp;E252&amp;"-"&amp;F252&amp;"-Pos1",'Shooter-Squad Assignment'!$Z:$Z,0)),""),"")))</f>
        <v/>
      </c>
      <c r="H252" s="73" t="str">
        <f>IF(ISBLANK(G252),"",IFERROR(INDEX('Tournament List'!$D:$D,MATCH(G252,'Tournament List'!$A:$A,0)),""))</f>
        <v/>
      </c>
      <c r="I252" s="94" t="str">
        <f>IF(F252="Skeet",IFERROR(INDEX('Shooter-Squad Assignment'!$A:$A,MATCH(C252&amp;"-"&amp;E252&amp;"-"&amp;F252&amp;"-Pos2",'Shooter-Squad Assignment'!$K:$K,0)),""),IF(F252="Trap",IFERROR(INDEX('Shooter-Squad Assignment'!$A:$A,MATCH(C252&amp;"-"&amp;E252&amp;"-"&amp;F252&amp;"-Pos2",'Shooter-Squad Assignment'!$W:$W,0)),""),IF(F252="Sporting Clays",IFERROR(INDEX('Shooter-Squad Assignment'!$A:$A,MATCH(C252&amp;"-"&amp;E252&amp;"-"&amp;F252&amp;"-Pos2",'Shooter-Squad Assignment'!$Z:$Z,0)),""),"")))</f>
        <v/>
      </c>
      <c r="J252" s="73" t="str">
        <f>IF(ISBLANK(I252),"",IFERROR(INDEX('Tournament List'!$D:$D,MATCH(I252,'Tournament List'!$A:$A,0)),""))</f>
        <v/>
      </c>
      <c r="K252" s="94" t="str">
        <f>IF(F252="Skeet",IFERROR(INDEX('Shooter-Squad Assignment'!$A:$A,MATCH(C252&amp;"-"&amp;E252&amp;"-"&amp;F252&amp;"-Pos3",'Shooter-Squad Assignment'!$K:$K,0)),""),IF(F252="Trap",IFERROR(INDEX('Shooter-Squad Assignment'!$A:$A,MATCH(C252&amp;"-"&amp;E252&amp;"-"&amp;F252&amp;"-Pos3",'Shooter-Squad Assignment'!$W:$W,0)),""),IF(F252="Sporting Clays",IFERROR(INDEX('Shooter-Squad Assignment'!$A:$A,MATCH(C252&amp;"-"&amp;E252&amp;"-"&amp;F252&amp;"-Pos3",'Shooter-Squad Assignment'!$Z:$Z,0)),""),"")))</f>
        <v/>
      </c>
      <c r="L252" s="73" t="str">
        <f>IF(ISBLANK(K252),"",IFERROR(INDEX('Tournament List'!$D:$D,MATCH(K252,'Tournament List'!$A:$A,0)),""))</f>
        <v/>
      </c>
      <c r="M252" s="94" t="str">
        <f>IF(F252="Skeet",IFERROR(INDEX('Shooter-Squad Assignment'!$A:$A,MATCH(C252&amp;"-"&amp;E252&amp;"-"&amp;F252&amp;"-Pos4",'Shooter-Squad Assignment'!$K:$K,0)),""),IF(F252="Trap",IFERROR(INDEX('Shooter-Squad Assignment'!$A:$A,MATCH(C252&amp;"-"&amp;E252&amp;"-"&amp;F252&amp;"-Pos4",'Shooter-Squad Assignment'!$W:$W,0)),""),IF(F252="Sporting Clays",IFERROR(INDEX('Shooter-Squad Assignment'!$A:$A,MATCH(C252&amp;"-"&amp;E252&amp;"-"&amp;F252&amp;"-Pos4",'Shooter-Squad Assignment'!$Z:$Z,0)),""),"")))</f>
        <v/>
      </c>
      <c r="N252" s="73" t="str">
        <f>IF(ISBLANK(M252),"",IFERROR(INDEX('Tournament List'!$D:$D,MATCH(M252,'Tournament List'!$A:$A,0)),""))</f>
        <v/>
      </c>
      <c r="O252" s="94" t="str">
        <f>IF(F252="Skeet",IFERROR(INDEX('Shooter-Squad Assignment'!$A:$A,MATCH(C252&amp;"-"&amp;E252&amp;"-"&amp;F252&amp;"-Pos5",'Shooter-Squad Assignment'!$K:$K,0)),""),IF(F252="Trap",IFERROR(INDEX('Shooter-Squad Assignment'!$A:$A,MATCH(C252&amp;"-"&amp;E252&amp;"-"&amp;F252&amp;"-Pos5",'Shooter-Squad Assignment'!$W:$W,0)),""),IF(F252="Sporting Clays",IFERROR(INDEX('Shooter-Squad Assignment'!$A:$A,MATCH(C252&amp;"-"&amp;E252&amp;"-"&amp;F252&amp;"-Pos5",'Shooter-Squad Assignment'!$Z:$Z,0)),""),"")))</f>
        <v/>
      </c>
      <c r="P252" s="79" t="str">
        <f>IF(ISBLANK(O252),"",IFERROR(INDEX('Tournament List'!$D:$D,MATCH(O252,'Tournament List'!$A:$A,0)),""))</f>
        <v/>
      </c>
    </row>
    <row r="253" spans="1:16" x14ac:dyDescent="0.3">
      <c r="A253" s="78">
        <v>252</v>
      </c>
      <c r="B253" s="73" t="str">
        <f>C253&amp;"-"&amp;E253&amp;"-"&amp;F253</f>
        <v>Rocky Mountain Clay Busters-Intermediate 2-Sporting Clays</v>
      </c>
      <c r="C253" s="73" t="s">
        <v>319</v>
      </c>
      <c r="D253" s="73" t="str">
        <f>INDEX('Tournament Setup'!$B$59:$B$78,MATCH(E253,SquadConcurrents,0))</f>
        <v>Intermediate</v>
      </c>
      <c r="E253" s="73" t="s">
        <v>344</v>
      </c>
      <c r="F253" s="73" t="s">
        <v>148</v>
      </c>
      <c r="G253" s="94" t="str">
        <f>IF(F253="Skeet",IFERROR(INDEX('Shooter-Squad Assignment'!$A:$A,MATCH(C253&amp;"-"&amp;E253&amp;"-"&amp;F253&amp;"-Pos1",'Shooter-Squad Assignment'!$K:$K,0)),""),IF(F253="Trap",IFERROR(INDEX('Shooter-Squad Assignment'!$A:$A,MATCH(C253&amp;"-"&amp;E253&amp;"-"&amp;F253&amp;"-Pos1",'Shooter-Squad Assignment'!$W:$W,0)),""),IF(F253="Sporting Clays",IFERROR(INDEX('Shooter-Squad Assignment'!$A:$A,MATCH(C253&amp;"-"&amp;E253&amp;"-"&amp;F253&amp;"-Pos1",'Shooter-Squad Assignment'!$Z:$Z,0)),""),"")))</f>
        <v/>
      </c>
      <c r="H253" s="73" t="str">
        <f>IF(ISBLANK(G253),"",IFERROR(INDEX('Tournament List'!$D:$D,MATCH(G253,'Tournament List'!$A:$A,0)),""))</f>
        <v/>
      </c>
      <c r="I253" s="94" t="str">
        <f>IF(F253="Skeet",IFERROR(INDEX('Shooter-Squad Assignment'!$A:$A,MATCH(C253&amp;"-"&amp;E253&amp;"-"&amp;F253&amp;"-Pos2",'Shooter-Squad Assignment'!$K:$K,0)),""),IF(F253="Trap",IFERROR(INDEX('Shooter-Squad Assignment'!$A:$A,MATCH(C253&amp;"-"&amp;E253&amp;"-"&amp;F253&amp;"-Pos2",'Shooter-Squad Assignment'!$W:$W,0)),""),IF(F253="Sporting Clays",IFERROR(INDEX('Shooter-Squad Assignment'!$A:$A,MATCH(C253&amp;"-"&amp;E253&amp;"-"&amp;F253&amp;"-Pos2",'Shooter-Squad Assignment'!$Z:$Z,0)),""),"")))</f>
        <v/>
      </c>
      <c r="J253" s="73" t="str">
        <f>IF(ISBLANK(I253),"",IFERROR(INDEX('Tournament List'!$D:$D,MATCH(I253,'Tournament List'!$A:$A,0)),""))</f>
        <v/>
      </c>
      <c r="K253" s="94" t="str">
        <f>IF(F253="Skeet",IFERROR(INDEX('Shooter-Squad Assignment'!$A:$A,MATCH(C253&amp;"-"&amp;E253&amp;"-"&amp;F253&amp;"-Pos3",'Shooter-Squad Assignment'!$K:$K,0)),""),IF(F253="Trap",IFERROR(INDEX('Shooter-Squad Assignment'!$A:$A,MATCH(C253&amp;"-"&amp;E253&amp;"-"&amp;F253&amp;"-Pos3",'Shooter-Squad Assignment'!$W:$W,0)),""),IF(F253="Sporting Clays",IFERROR(INDEX('Shooter-Squad Assignment'!$A:$A,MATCH(C253&amp;"-"&amp;E253&amp;"-"&amp;F253&amp;"-Pos3",'Shooter-Squad Assignment'!$Z:$Z,0)),""),"")))</f>
        <v/>
      </c>
      <c r="L253" s="73" t="str">
        <f>IF(ISBLANK(K253),"",IFERROR(INDEX('Tournament List'!$D:$D,MATCH(K253,'Tournament List'!$A:$A,0)),""))</f>
        <v/>
      </c>
      <c r="M253" s="94" t="str">
        <f>IF(F253="Skeet",IFERROR(INDEX('Shooter-Squad Assignment'!$A:$A,MATCH(C253&amp;"-"&amp;E253&amp;"-"&amp;F253&amp;"-Pos4",'Shooter-Squad Assignment'!$K:$K,0)),""),IF(F253="Trap",IFERROR(INDEX('Shooter-Squad Assignment'!$A:$A,MATCH(C253&amp;"-"&amp;E253&amp;"-"&amp;F253&amp;"-Pos4",'Shooter-Squad Assignment'!$W:$W,0)),""),IF(F253="Sporting Clays",IFERROR(INDEX('Shooter-Squad Assignment'!$A:$A,MATCH(C253&amp;"-"&amp;E253&amp;"-"&amp;F253&amp;"-Pos4",'Shooter-Squad Assignment'!$Z:$Z,0)),""),"")))</f>
        <v/>
      </c>
      <c r="N253" s="73" t="str">
        <f>IF(ISBLANK(M253),"",IFERROR(INDEX('Tournament List'!$D:$D,MATCH(M253,'Tournament List'!$A:$A,0)),""))</f>
        <v/>
      </c>
      <c r="O253" s="94" t="str">
        <f>IF(F253="Skeet",IFERROR(INDEX('Shooter-Squad Assignment'!$A:$A,MATCH(C253&amp;"-"&amp;E253&amp;"-"&amp;F253&amp;"-Pos5",'Shooter-Squad Assignment'!$K:$K,0)),""),IF(F253="Trap",IFERROR(INDEX('Shooter-Squad Assignment'!$A:$A,MATCH(C253&amp;"-"&amp;E253&amp;"-"&amp;F253&amp;"-Pos5",'Shooter-Squad Assignment'!$W:$W,0)),""),IF(F253="Sporting Clays",IFERROR(INDEX('Shooter-Squad Assignment'!$A:$A,MATCH(C253&amp;"-"&amp;E253&amp;"-"&amp;F253&amp;"-Pos5",'Shooter-Squad Assignment'!$Z:$Z,0)),""),"")))</f>
        <v/>
      </c>
      <c r="P253" s="79" t="str">
        <f>IF(ISBLANK(O253),"",IFERROR(INDEX('Tournament List'!$D:$D,MATCH(O253,'Tournament List'!$A:$A,0)),""))</f>
        <v/>
      </c>
    </row>
    <row r="254" spans="1:16" x14ac:dyDescent="0.3">
      <c r="A254" s="78">
        <v>253</v>
      </c>
      <c r="B254" s="73" t="str">
        <f>C254&amp;"-"&amp;E254&amp;"-"&amp;F254</f>
        <v>Rocky Mountain Clay Busters-Intermediate 3-Sporting Clays</v>
      </c>
      <c r="C254" s="73" t="s">
        <v>319</v>
      </c>
      <c r="D254" s="73" t="str">
        <f>INDEX('Tournament Setup'!$B$59:$B$78,MATCH(E254,SquadConcurrents,0))</f>
        <v>Intermediate</v>
      </c>
      <c r="E254" s="73" t="s">
        <v>350</v>
      </c>
      <c r="F254" s="73" t="s">
        <v>148</v>
      </c>
      <c r="G254" s="94" t="str">
        <f>IF(F254="Skeet",IFERROR(INDEX('Shooter-Squad Assignment'!$A:$A,MATCH(C254&amp;"-"&amp;E254&amp;"-"&amp;F254&amp;"-Pos1",'Shooter-Squad Assignment'!$K:$K,0)),""),IF(F254="Trap",IFERROR(INDEX('Shooter-Squad Assignment'!$A:$A,MATCH(C254&amp;"-"&amp;E254&amp;"-"&amp;F254&amp;"-Pos1",'Shooter-Squad Assignment'!$W:$W,0)),""),IF(F254="Sporting Clays",IFERROR(INDEX('Shooter-Squad Assignment'!$A:$A,MATCH(C254&amp;"-"&amp;E254&amp;"-"&amp;F254&amp;"-Pos1",'Shooter-Squad Assignment'!$Z:$Z,0)),""),"")))</f>
        <v/>
      </c>
      <c r="H254" s="73" t="str">
        <f>IF(ISBLANK(G254),"",IFERROR(INDEX('Tournament List'!$D:$D,MATCH(G254,'Tournament List'!$A:$A,0)),""))</f>
        <v/>
      </c>
      <c r="I254" s="94" t="str">
        <f>IF(F254="Skeet",IFERROR(INDEX('Shooter-Squad Assignment'!$A:$A,MATCH(C254&amp;"-"&amp;E254&amp;"-"&amp;F254&amp;"-Pos2",'Shooter-Squad Assignment'!$K:$K,0)),""),IF(F254="Trap",IFERROR(INDEX('Shooter-Squad Assignment'!$A:$A,MATCH(C254&amp;"-"&amp;E254&amp;"-"&amp;F254&amp;"-Pos2",'Shooter-Squad Assignment'!$W:$W,0)),""),IF(F254="Sporting Clays",IFERROR(INDEX('Shooter-Squad Assignment'!$A:$A,MATCH(C254&amp;"-"&amp;E254&amp;"-"&amp;F254&amp;"-Pos2",'Shooter-Squad Assignment'!$Z:$Z,0)),""),"")))</f>
        <v/>
      </c>
      <c r="J254" s="73" t="str">
        <f>IF(ISBLANK(I254),"",IFERROR(INDEX('Tournament List'!$D:$D,MATCH(I254,'Tournament List'!$A:$A,0)),""))</f>
        <v/>
      </c>
      <c r="K254" s="94" t="str">
        <f>IF(F254="Skeet",IFERROR(INDEX('Shooter-Squad Assignment'!$A:$A,MATCH(C254&amp;"-"&amp;E254&amp;"-"&amp;F254&amp;"-Pos3",'Shooter-Squad Assignment'!$K:$K,0)),""),IF(F254="Trap",IFERROR(INDEX('Shooter-Squad Assignment'!$A:$A,MATCH(C254&amp;"-"&amp;E254&amp;"-"&amp;F254&amp;"-Pos3",'Shooter-Squad Assignment'!$W:$W,0)),""),IF(F254="Sporting Clays",IFERROR(INDEX('Shooter-Squad Assignment'!$A:$A,MATCH(C254&amp;"-"&amp;E254&amp;"-"&amp;F254&amp;"-Pos3",'Shooter-Squad Assignment'!$Z:$Z,0)),""),"")))</f>
        <v/>
      </c>
      <c r="L254" s="73" t="str">
        <f>IF(ISBLANK(K254),"",IFERROR(INDEX('Tournament List'!$D:$D,MATCH(K254,'Tournament List'!$A:$A,0)),""))</f>
        <v/>
      </c>
      <c r="M254" s="94" t="str">
        <f>IF(F254="Skeet",IFERROR(INDEX('Shooter-Squad Assignment'!$A:$A,MATCH(C254&amp;"-"&amp;E254&amp;"-"&amp;F254&amp;"-Pos4",'Shooter-Squad Assignment'!$K:$K,0)),""),IF(F254="Trap",IFERROR(INDEX('Shooter-Squad Assignment'!$A:$A,MATCH(C254&amp;"-"&amp;E254&amp;"-"&amp;F254&amp;"-Pos4",'Shooter-Squad Assignment'!$W:$W,0)),""),IF(F254="Sporting Clays",IFERROR(INDEX('Shooter-Squad Assignment'!$A:$A,MATCH(C254&amp;"-"&amp;E254&amp;"-"&amp;F254&amp;"-Pos4",'Shooter-Squad Assignment'!$Z:$Z,0)),""),"")))</f>
        <v/>
      </c>
      <c r="N254" s="73" t="str">
        <f>IF(ISBLANK(M254),"",IFERROR(INDEX('Tournament List'!$D:$D,MATCH(M254,'Tournament List'!$A:$A,0)),""))</f>
        <v/>
      </c>
      <c r="O254" s="94" t="str">
        <f>IF(F254="Skeet",IFERROR(INDEX('Shooter-Squad Assignment'!$A:$A,MATCH(C254&amp;"-"&amp;E254&amp;"-"&amp;F254&amp;"-Pos5",'Shooter-Squad Assignment'!$K:$K,0)),""),IF(F254="Trap",IFERROR(INDEX('Shooter-Squad Assignment'!$A:$A,MATCH(C254&amp;"-"&amp;E254&amp;"-"&amp;F254&amp;"-Pos5",'Shooter-Squad Assignment'!$W:$W,0)),""),IF(F254="Sporting Clays",IFERROR(INDEX('Shooter-Squad Assignment'!$A:$A,MATCH(C254&amp;"-"&amp;E254&amp;"-"&amp;F254&amp;"-Pos5",'Shooter-Squad Assignment'!$Z:$Z,0)),""),"")))</f>
        <v/>
      </c>
      <c r="P254" s="79" t="str">
        <f>IF(ISBLANK(O254),"",IFERROR(INDEX('Tournament List'!$D:$D,MATCH(O254,'Tournament List'!$A:$A,0)),""))</f>
        <v/>
      </c>
    </row>
    <row r="255" spans="1:16" x14ac:dyDescent="0.3">
      <c r="A255" s="78">
        <v>254</v>
      </c>
      <c r="B255" s="73" t="str">
        <f>C255&amp;"-"&amp;E255&amp;"-"&amp;F255</f>
        <v>Rocky Mountain Clay Busters-Junior Varsity 1-Sporting Clays</v>
      </c>
      <c r="C255" s="73" t="s">
        <v>319</v>
      </c>
      <c r="D255" s="73" t="str">
        <f>INDEX('Tournament Setup'!$B$59:$B$78,MATCH(E255,SquadConcurrents,0))</f>
        <v>Junior Varsity</v>
      </c>
      <c r="E255" s="73" t="s">
        <v>339</v>
      </c>
      <c r="F255" s="73" t="s">
        <v>148</v>
      </c>
      <c r="G255" s="94" t="str">
        <f>IF(F255="Skeet",IFERROR(INDEX('Shooter-Squad Assignment'!$A:$A,MATCH(C255&amp;"-"&amp;E255&amp;"-"&amp;F255&amp;"-Pos1",'Shooter-Squad Assignment'!$K:$K,0)),""),IF(F255="Trap",IFERROR(INDEX('Shooter-Squad Assignment'!$A:$A,MATCH(C255&amp;"-"&amp;E255&amp;"-"&amp;F255&amp;"-Pos1",'Shooter-Squad Assignment'!$W:$W,0)),""),IF(F255="Sporting Clays",IFERROR(INDEX('Shooter-Squad Assignment'!$A:$A,MATCH(C255&amp;"-"&amp;E255&amp;"-"&amp;F255&amp;"-Pos1",'Shooter-Squad Assignment'!$Z:$Z,0)),""),"")))</f>
        <v/>
      </c>
      <c r="H255" s="73" t="str">
        <f>IF(ISBLANK(G255),"",IFERROR(INDEX('Tournament List'!$D:$D,MATCH(G255,'Tournament List'!$A:$A,0)),""))</f>
        <v/>
      </c>
      <c r="I255" s="94" t="str">
        <f>IF(F255="Skeet",IFERROR(INDEX('Shooter-Squad Assignment'!$A:$A,MATCH(C255&amp;"-"&amp;E255&amp;"-"&amp;F255&amp;"-Pos2",'Shooter-Squad Assignment'!$K:$K,0)),""),IF(F255="Trap",IFERROR(INDEX('Shooter-Squad Assignment'!$A:$A,MATCH(C255&amp;"-"&amp;E255&amp;"-"&amp;F255&amp;"-Pos2",'Shooter-Squad Assignment'!$W:$W,0)),""),IF(F255="Sporting Clays",IFERROR(INDEX('Shooter-Squad Assignment'!$A:$A,MATCH(C255&amp;"-"&amp;E255&amp;"-"&amp;F255&amp;"-Pos2",'Shooter-Squad Assignment'!$Z:$Z,0)),""),"")))</f>
        <v/>
      </c>
      <c r="J255" s="73" t="str">
        <f>IF(ISBLANK(I255),"",IFERROR(INDEX('Tournament List'!$D:$D,MATCH(I255,'Tournament List'!$A:$A,0)),""))</f>
        <v/>
      </c>
      <c r="K255" s="94" t="str">
        <f>IF(F255="Skeet",IFERROR(INDEX('Shooter-Squad Assignment'!$A:$A,MATCH(C255&amp;"-"&amp;E255&amp;"-"&amp;F255&amp;"-Pos3",'Shooter-Squad Assignment'!$K:$K,0)),""),IF(F255="Trap",IFERROR(INDEX('Shooter-Squad Assignment'!$A:$A,MATCH(C255&amp;"-"&amp;E255&amp;"-"&amp;F255&amp;"-Pos3",'Shooter-Squad Assignment'!$W:$W,0)),""),IF(F255="Sporting Clays",IFERROR(INDEX('Shooter-Squad Assignment'!$A:$A,MATCH(C255&amp;"-"&amp;E255&amp;"-"&amp;F255&amp;"-Pos3",'Shooter-Squad Assignment'!$Z:$Z,0)),""),"")))</f>
        <v/>
      </c>
      <c r="L255" s="73" t="str">
        <f>IF(ISBLANK(K255),"",IFERROR(INDEX('Tournament List'!$D:$D,MATCH(K255,'Tournament List'!$A:$A,0)),""))</f>
        <v/>
      </c>
      <c r="M255" s="94" t="str">
        <f>IF(F255="Skeet",IFERROR(INDEX('Shooter-Squad Assignment'!$A:$A,MATCH(C255&amp;"-"&amp;E255&amp;"-"&amp;F255&amp;"-Pos4",'Shooter-Squad Assignment'!$K:$K,0)),""),IF(F255="Trap",IFERROR(INDEX('Shooter-Squad Assignment'!$A:$A,MATCH(C255&amp;"-"&amp;E255&amp;"-"&amp;F255&amp;"-Pos4",'Shooter-Squad Assignment'!$W:$W,0)),""),IF(F255="Sporting Clays",IFERROR(INDEX('Shooter-Squad Assignment'!$A:$A,MATCH(C255&amp;"-"&amp;E255&amp;"-"&amp;F255&amp;"-Pos4",'Shooter-Squad Assignment'!$Z:$Z,0)),""),"")))</f>
        <v/>
      </c>
      <c r="N255" s="73" t="str">
        <f>IF(ISBLANK(M255),"",IFERROR(INDEX('Tournament List'!$D:$D,MATCH(M255,'Tournament List'!$A:$A,0)),""))</f>
        <v/>
      </c>
      <c r="O255" s="94" t="str">
        <f>IF(F255="Skeet",IFERROR(INDEX('Shooter-Squad Assignment'!$A:$A,MATCH(C255&amp;"-"&amp;E255&amp;"-"&amp;F255&amp;"-Pos5",'Shooter-Squad Assignment'!$K:$K,0)),""),IF(F255="Trap",IFERROR(INDEX('Shooter-Squad Assignment'!$A:$A,MATCH(C255&amp;"-"&amp;E255&amp;"-"&amp;F255&amp;"-Pos5",'Shooter-Squad Assignment'!$W:$W,0)),""),IF(F255="Sporting Clays",IFERROR(INDEX('Shooter-Squad Assignment'!$A:$A,MATCH(C255&amp;"-"&amp;E255&amp;"-"&amp;F255&amp;"-Pos5",'Shooter-Squad Assignment'!$Z:$Z,0)),""),"")))</f>
        <v/>
      </c>
      <c r="P255" s="79" t="str">
        <f>IF(ISBLANK(O255),"",IFERROR(INDEX('Tournament List'!$D:$D,MATCH(O255,'Tournament List'!$A:$A,0)),""))</f>
        <v/>
      </c>
    </row>
    <row r="256" spans="1:16" x14ac:dyDescent="0.3">
      <c r="A256" s="78">
        <v>255</v>
      </c>
      <c r="B256" s="73" t="str">
        <f>C256&amp;"-"&amp;E256&amp;"-"&amp;F256</f>
        <v>Rocky Mountain Clay Busters-Junior Varsity 2-Sporting Clays</v>
      </c>
      <c r="C256" s="73" t="s">
        <v>319</v>
      </c>
      <c r="D256" s="73" t="str">
        <f>INDEX('Tournament Setup'!$B$59:$B$78,MATCH(E256,SquadConcurrents,0))</f>
        <v>Junior Varsity</v>
      </c>
      <c r="E256" s="73" t="s">
        <v>345</v>
      </c>
      <c r="F256" s="73" t="s">
        <v>148</v>
      </c>
      <c r="G256" s="94" t="str">
        <f>IF(F256="Skeet",IFERROR(INDEX('Shooter-Squad Assignment'!$A:$A,MATCH(C256&amp;"-"&amp;E256&amp;"-"&amp;F256&amp;"-Pos1",'Shooter-Squad Assignment'!$K:$K,0)),""),IF(F256="Trap",IFERROR(INDEX('Shooter-Squad Assignment'!$A:$A,MATCH(C256&amp;"-"&amp;E256&amp;"-"&amp;F256&amp;"-Pos1",'Shooter-Squad Assignment'!$W:$W,0)),""),IF(F256="Sporting Clays",IFERROR(INDEX('Shooter-Squad Assignment'!$A:$A,MATCH(C256&amp;"-"&amp;E256&amp;"-"&amp;F256&amp;"-Pos1",'Shooter-Squad Assignment'!$Z:$Z,0)),""),"")))</f>
        <v/>
      </c>
      <c r="H256" s="73" t="str">
        <f>IF(ISBLANK(G256),"",IFERROR(INDEX('Tournament List'!$D:$D,MATCH(G256,'Tournament List'!$A:$A,0)),""))</f>
        <v/>
      </c>
      <c r="I256" s="94" t="str">
        <f>IF(F256="Skeet",IFERROR(INDEX('Shooter-Squad Assignment'!$A:$A,MATCH(C256&amp;"-"&amp;E256&amp;"-"&amp;F256&amp;"-Pos2",'Shooter-Squad Assignment'!$K:$K,0)),""),IF(F256="Trap",IFERROR(INDEX('Shooter-Squad Assignment'!$A:$A,MATCH(C256&amp;"-"&amp;E256&amp;"-"&amp;F256&amp;"-Pos2",'Shooter-Squad Assignment'!$W:$W,0)),""),IF(F256="Sporting Clays",IFERROR(INDEX('Shooter-Squad Assignment'!$A:$A,MATCH(C256&amp;"-"&amp;E256&amp;"-"&amp;F256&amp;"-Pos2",'Shooter-Squad Assignment'!$Z:$Z,0)),""),"")))</f>
        <v/>
      </c>
      <c r="J256" s="73" t="str">
        <f>IF(ISBLANK(I256),"",IFERROR(INDEX('Tournament List'!$D:$D,MATCH(I256,'Tournament List'!$A:$A,0)),""))</f>
        <v/>
      </c>
      <c r="K256" s="94" t="str">
        <f>IF(F256="Skeet",IFERROR(INDEX('Shooter-Squad Assignment'!$A:$A,MATCH(C256&amp;"-"&amp;E256&amp;"-"&amp;F256&amp;"-Pos3",'Shooter-Squad Assignment'!$K:$K,0)),""),IF(F256="Trap",IFERROR(INDEX('Shooter-Squad Assignment'!$A:$A,MATCH(C256&amp;"-"&amp;E256&amp;"-"&amp;F256&amp;"-Pos3",'Shooter-Squad Assignment'!$W:$W,0)),""),IF(F256="Sporting Clays",IFERROR(INDEX('Shooter-Squad Assignment'!$A:$A,MATCH(C256&amp;"-"&amp;E256&amp;"-"&amp;F256&amp;"-Pos3",'Shooter-Squad Assignment'!$Z:$Z,0)),""),"")))</f>
        <v/>
      </c>
      <c r="L256" s="73" t="str">
        <f>IF(ISBLANK(K256),"",IFERROR(INDEX('Tournament List'!$D:$D,MATCH(K256,'Tournament List'!$A:$A,0)),""))</f>
        <v/>
      </c>
      <c r="M256" s="94" t="str">
        <f>IF(F256="Skeet",IFERROR(INDEX('Shooter-Squad Assignment'!$A:$A,MATCH(C256&amp;"-"&amp;E256&amp;"-"&amp;F256&amp;"-Pos4",'Shooter-Squad Assignment'!$K:$K,0)),""),IF(F256="Trap",IFERROR(INDEX('Shooter-Squad Assignment'!$A:$A,MATCH(C256&amp;"-"&amp;E256&amp;"-"&amp;F256&amp;"-Pos4",'Shooter-Squad Assignment'!$W:$W,0)),""),IF(F256="Sporting Clays",IFERROR(INDEX('Shooter-Squad Assignment'!$A:$A,MATCH(C256&amp;"-"&amp;E256&amp;"-"&amp;F256&amp;"-Pos4",'Shooter-Squad Assignment'!$Z:$Z,0)),""),"")))</f>
        <v/>
      </c>
      <c r="N256" s="73" t="str">
        <f>IF(ISBLANK(M256),"",IFERROR(INDEX('Tournament List'!$D:$D,MATCH(M256,'Tournament List'!$A:$A,0)),""))</f>
        <v/>
      </c>
      <c r="O256" s="94" t="str">
        <f>IF(F256="Skeet",IFERROR(INDEX('Shooter-Squad Assignment'!$A:$A,MATCH(C256&amp;"-"&amp;E256&amp;"-"&amp;F256&amp;"-Pos5",'Shooter-Squad Assignment'!$K:$K,0)),""),IF(F256="Trap",IFERROR(INDEX('Shooter-Squad Assignment'!$A:$A,MATCH(C256&amp;"-"&amp;E256&amp;"-"&amp;F256&amp;"-Pos5",'Shooter-Squad Assignment'!$W:$W,0)),""),IF(F256="Sporting Clays",IFERROR(INDEX('Shooter-Squad Assignment'!$A:$A,MATCH(C256&amp;"-"&amp;E256&amp;"-"&amp;F256&amp;"-Pos5",'Shooter-Squad Assignment'!$Z:$Z,0)),""),"")))</f>
        <v/>
      </c>
      <c r="P256" s="79" t="str">
        <f>IF(ISBLANK(O256),"",IFERROR(INDEX('Tournament List'!$D:$D,MATCH(O256,'Tournament List'!$A:$A,0)),""))</f>
        <v/>
      </c>
    </row>
    <row r="257" spans="1:16" x14ac:dyDescent="0.3">
      <c r="A257" s="78">
        <v>256</v>
      </c>
      <c r="B257" s="73" t="str">
        <f>C257&amp;"-"&amp;E257&amp;"-"&amp;F257</f>
        <v>Rocky Mountain Clay Busters-Junior Varsity 3-Sporting Clays</v>
      </c>
      <c r="C257" s="73" t="s">
        <v>319</v>
      </c>
      <c r="D257" s="73" t="str">
        <f>INDEX('Tournament Setup'!$B$59:$B$78,MATCH(E257,SquadConcurrents,0))</f>
        <v>Junior Varsity</v>
      </c>
      <c r="E257" s="73" t="s">
        <v>351</v>
      </c>
      <c r="F257" s="73" t="s">
        <v>148</v>
      </c>
      <c r="G257" s="94" t="str">
        <f>IF(F257="Skeet",IFERROR(INDEX('Shooter-Squad Assignment'!$A:$A,MATCH(C257&amp;"-"&amp;E257&amp;"-"&amp;F257&amp;"-Pos1",'Shooter-Squad Assignment'!$K:$K,0)),""),IF(F257="Trap",IFERROR(INDEX('Shooter-Squad Assignment'!$A:$A,MATCH(C257&amp;"-"&amp;E257&amp;"-"&amp;F257&amp;"-Pos1",'Shooter-Squad Assignment'!$W:$W,0)),""),IF(F257="Sporting Clays",IFERROR(INDEX('Shooter-Squad Assignment'!$A:$A,MATCH(C257&amp;"-"&amp;E257&amp;"-"&amp;F257&amp;"-Pos1",'Shooter-Squad Assignment'!$Z:$Z,0)),""),"")))</f>
        <v/>
      </c>
      <c r="H257" s="73" t="str">
        <f>IF(ISBLANK(G257),"",IFERROR(INDEX('Tournament List'!$D:$D,MATCH(G257,'Tournament List'!$A:$A,0)),""))</f>
        <v/>
      </c>
      <c r="I257" s="94" t="str">
        <f>IF(F257="Skeet",IFERROR(INDEX('Shooter-Squad Assignment'!$A:$A,MATCH(C257&amp;"-"&amp;E257&amp;"-"&amp;F257&amp;"-Pos2",'Shooter-Squad Assignment'!$K:$K,0)),""),IF(F257="Trap",IFERROR(INDEX('Shooter-Squad Assignment'!$A:$A,MATCH(C257&amp;"-"&amp;E257&amp;"-"&amp;F257&amp;"-Pos2",'Shooter-Squad Assignment'!$W:$W,0)),""),IF(F257="Sporting Clays",IFERROR(INDEX('Shooter-Squad Assignment'!$A:$A,MATCH(C257&amp;"-"&amp;E257&amp;"-"&amp;F257&amp;"-Pos2",'Shooter-Squad Assignment'!$Z:$Z,0)),""),"")))</f>
        <v/>
      </c>
      <c r="J257" s="73" t="str">
        <f>IF(ISBLANK(I257),"",IFERROR(INDEX('Tournament List'!$D:$D,MATCH(I257,'Tournament List'!$A:$A,0)),""))</f>
        <v/>
      </c>
      <c r="K257" s="94" t="str">
        <f>IF(F257="Skeet",IFERROR(INDEX('Shooter-Squad Assignment'!$A:$A,MATCH(C257&amp;"-"&amp;E257&amp;"-"&amp;F257&amp;"-Pos3",'Shooter-Squad Assignment'!$K:$K,0)),""),IF(F257="Trap",IFERROR(INDEX('Shooter-Squad Assignment'!$A:$A,MATCH(C257&amp;"-"&amp;E257&amp;"-"&amp;F257&amp;"-Pos3",'Shooter-Squad Assignment'!$W:$W,0)),""),IF(F257="Sporting Clays",IFERROR(INDEX('Shooter-Squad Assignment'!$A:$A,MATCH(C257&amp;"-"&amp;E257&amp;"-"&amp;F257&amp;"-Pos3",'Shooter-Squad Assignment'!$Z:$Z,0)),""),"")))</f>
        <v/>
      </c>
      <c r="L257" s="73" t="str">
        <f>IF(ISBLANK(K257),"",IFERROR(INDEX('Tournament List'!$D:$D,MATCH(K257,'Tournament List'!$A:$A,0)),""))</f>
        <v/>
      </c>
      <c r="M257" s="94" t="str">
        <f>IF(F257="Skeet",IFERROR(INDEX('Shooter-Squad Assignment'!$A:$A,MATCH(C257&amp;"-"&amp;E257&amp;"-"&amp;F257&amp;"-Pos4",'Shooter-Squad Assignment'!$K:$K,0)),""),IF(F257="Trap",IFERROR(INDEX('Shooter-Squad Assignment'!$A:$A,MATCH(C257&amp;"-"&amp;E257&amp;"-"&amp;F257&amp;"-Pos4",'Shooter-Squad Assignment'!$W:$W,0)),""),IF(F257="Sporting Clays",IFERROR(INDEX('Shooter-Squad Assignment'!$A:$A,MATCH(C257&amp;"-"&amp;E257&amp;"-"&amp;F257&amp;"-Pos4",'Shooter-Squad Assignment'!$Z:$Z,0)),""),"")))</f>
        <v/>
      </c>
      <c r="N257" s="73" t="str">
        <f>IF(ISBLANK(M257),"",IFERROR(INDEX('Tournament List'!$D:$D,MATCH(M257,'Tournament List'!$A:$A,0)),""))</f>
        <v/>
      </c>
      <c r="O257" s="94" t="str">
        <f>IF(F257="Skeet",IFERROR(INDEX('Shooter-Squad Assignment'!$A:$A,MATCH(C257&amp;"-"&amp;E257&amp;"-"&amp;F257&amp;"-Pos5",'Shooter-Squad Assignment'!$K:$K,0)),""),IF(F257="Trap",IFERROR(INDEX('Shooter-Squad Assignment'!$A:$A,MATCH(C257&amp;"-"&amp;E257&amp;"-"&amp;F257&amp;"-Pos5",'Shooter-Squad Assignment'!$W:$W,0)),""),IF(F257="Sporting Clays",IFERROR(INDEX('Shooter-Squad Assignment'!$A:$A,MATCH(C257&amp;"-"&amp;E257&amp;"-"&amp;F257&amp;"-Pos5",'Shooter-Squad Assignment'!$Z:$Z,0)),""),"")))</f>
        <v/>
      </c>
      <c r="P257" s="79" t="str">
        <f>IF(ISBLANK(O257),"",IFERROR(INDEX('Tournament List'!$D:$D,MATCH(O257,'Tournament List'!$A:$A,0)),""))</f>
        <v/>
      </c>
    </row>
    <row r="258" spans="1:16" x14ac:dyDescent="0.3">
      <c r="A258" s="78">
        <v>257</v>
      </c>
      <c r="B258" s="73" t="str">
        <f>C258&amp;"-"&amp;E258&amp;"-"&amp;F258</f>
        <v>Rocky Mountain Clay Busters-Novice 1-Sporting Clays</v>
      </c>
      <c r="C258" s="73" t="s">
        <v>319</v>
      </c>
      <c r="D258" s="73" t="str">
        <f>INDEX('Tournament Setup'!$B$59:$B$78,MATCH(E258,SquadConcurrents,0))</f>
        <v>Novice</v>
      </c>
      <c r="E258" s="73" t="s">
        <v>337</v>
      </c>
      <c r="F258" s="73" t="s">
        <v>148</v>
      </c>
      <c r="G258" s="94" t="str">
        <f>IF(F258="Skeet",IFERROR(INDEX('Shooter-Squad Assignment'!$A:$A,MATCH(C258&amp;"-"&amp;E258&amp;"-"&amp;F258&amp;"-Pos1",'Shooter-Squad Assignment'!$K:$K,0)),""),IF(F258="Trap",IFERROR(INDEX('Shooter-Squad Assignment'!$A:$A,MATCH(C258&amp;"-"&amp;E258&amp;"-"&amp;F258&amp;"-Pos1",'Shooter-Squad Assignment'!$W:$W,0)),""),IF(F258="Sporting Clays",IFERROR(INDEX('Shooter-Squad Assignment'!$A:$A,MATCH(C258&amp;"-"&amp;E258&amp;"-"&amp;F258&amp;"-Pos1",'Shooter-Squad Assignment'!$Z:$Z,0)),""),"")))</f>
        <v/>
      </c>
      <c r="H258" s="73" t="str">
        <f>IF(ISBLANK(G258),"",IFERROR(INDEX('Tournament List'!$D:$D,MATCH(G258,'Tournament List'!$A:$A,0)),""))</f>
        <v/>
      </c>
      <c r="I258" s="94" t="str">
        <f>IF(F258="Skeet",IFERROR(INDEX('Shooter-Squad Assignment'!$A:$A,MATCH(C258&amp;"-"&amp;E258&amp;"-"&amp;F258&amp;"-Pos2",'Shooter-Squad Assignment'!$K:$K,0)),""),IF(F258="Trap",IFERROR(INDEX('Shooter-Squad Assignment'!$A:$A,MATCH(C258&amp;"-"&amp;E258&amp;"-"&amp;F258&amp;"-Pos2",'Shooter-Squad Assignment'!$W:$W,0)),""),IF(F258="Sporting Clays",IFERROR(INDEX('Shooter-Squad Assignment'!$A:$A,MATCH(C258&amp;"-"&amp;E258&amp;"-"&amp;F258&amp;"-Pos2",'Shooter-Squad Assignment'!$Z:$Z,0)),""),"")))</f>
        <v/>
      </c>
      <c r="J258" s="73" t="str">
        <f>IF(ISBLANK(I258),"",IFERROR(INDEX('Tournament List'!$D:$D,MATCH(I258,'Tournament List'!$A:$A,0)),""))</f>
        <v/>
      </c>
      <c r="K258" s="94" t="str">
        <f>IF(F258="Skeet",IFERROR(INDEX('Shooter-Squad Assignment'!$A:$A,MATCH(C258&amp;"-"&amp;E258&amp;"-"&amp;F258&amp;"-Pos3",'Shooter-Squad Assignment'!$K:$K,0)),""),IF(F258="Trap",IFERROR(INDEX('Shooter-Squad Assignment'!$A:$A,MATCH(C258&amp;"-"&amp;E258&amp;"-"&amp;F258&amp;"-Pos3",'Shooter-Squad Assignment'!$W:$W,0)),""),IF(F258="Sporting Clays",IFERROR(INDEX('Shooter-Squad Assignment'!$A:$A,MATCH(C258&amp;"-"&amp;E258&amp;"-"&amp;F258&amp;"-Pos3",'Shooter-Squad Assignment'!$Z:$Z,0)),""),"")))</f>
        <v/>
      </c>
      <c r="L258" s="73" t="str">
        <f>IF(ISBLANK(K258),"",IFERROR(INDEX('Tournament List'!$D:$D,MATCH(K258,'Tournament List'!$A:$A,0)),""))</f>
        <v/>
      </c>
      <c r="M258" s="94" t="str">
        <f>IF(F258="Skeet",IFERROR(INDEX('Shooter-Squad Assignment'!$A:$A,MATCH(C258&amp;"-"&amp;E258&amp;"-"&amp;F258&amp;"-Pos4",'Shooter-Squad Assignment'!$K:$K,0)),""),IF(F258="Trap",IFERROR(INDEX('Shooter-Squad Assignment'!$A:$A,MATCH(C258&amp;"-"&amp;E258&amp;"-"&amp;F258&amp;"-Pos4",'Shooter-Squad Assignment'!$W:$W,0)),""),IF(F258="Sporting Clays",IFERROR(INDEX('Shooter-Squad Assignment'!$A:$A,MATCH(C258&amp;"-"&amp;E258&amp;"-"&amp;F258&amp;"-Pos4",'Shooter-Squad Assignment'!$Z:$Z,0)),""),"")))</f>
        <v/>
      </c>
      <c r="N258" s="73" t="str">
        <f>IF(ISBLANK(M258),"",IFERROR(INDEX('Tournament List'!$D:$D,MATCH(M258,'Tournament List'!$A:$A,0)),""))</f>
        <v/>
      </c>
      <c r="O258" s="94" t="str">
        <f>IF(F258="Skeet",IFERROR(INDEX('Shooter-Squad Assignment'!$A:$A,MATCH(C258&amp;"-"&amp;E258&amp;"-"&amp;F258&amp;"-Pos5",'Shooter-Squad Assignment'!$K:$K,0)),""),IF(F258="Trap",IFERROR(INDEX('Shooter-Squad Assignment'!$A:$A,MATCH(C258&amp;"-"&amp;E258&amp;"-"&amp;F258&amp;"-Pos5",'Shooter-Squad Assignment'!$W:$W,0)),""),IF(F258="Sporting Clays",IFERROR(INDEX('Shooter-Squad Assignment'!$A:$A,MATCH(C258&amp;"-"&amp;E258&amp;"-"&amp;F258&amp;"-Pos5",'Shooter-Squad Assignment'!$Z:$Z,0)),""),"")))</f>
        <v/>
      </c>
      <c r="P258" s="79" t="str">
        <f>IF(ISBLANK(O258),"",IFERROR(INDEX('Tournament List'!$D:$D,MATCH(O258,'Tournament List'!$A:$A,0)),""))</f>
        <v/>
      </c>
    </row>
    <row r="259" spans="1:16" x14ac:dyDescent="0.3">
      <c r="A259" s="78">
        <v>258</v>
      </c>
      <c r="B259" s="73" t="str">
        <f>C259&amp;"-"&amp;E259&amp;"-"&amp;F259</f>
        <v>Rocky Mountain Clay Busters-Novice 2-Sporting Clays</v>
      </c>
      <c r="C259" s="73" t="s">
        <v>319</v>
      </c>
      <c r="D259" s="73" t="str">
        <f>INDEX('Tournament Setup'!$B$59:$B$78,MATCH(E259,SquadConcurrents,0))</f>
        <v>Novice</v>
      </c>
      <c r="E259" s="73" t="s">
        <v>343</v>
      </c>
      <c r="F259" s="73" t="s">
        <v>148</v>
      </c>
      <c r="G259" s="94" t="str">
        <f>IF(F259="Skeet",IFERROR(INDEX('Shooter-Squad Assignment'!$A:$A,MATCH(C259&amp;"-"&amp;E259&amp;"-"&amp;F259&amp;"-Pos1",'Shooter-Squad Assignment'!$K:$K,0)),""),IF(F259="Trap",IFERROR(INDEX('Shooter-Squad Assignment'!$A:$A,MATCH(C259&amp;"-"&amp;E259&amp;"-"&amp;F259&amp;"-Pos1",'Shooter-Squad Assignment'!$W:$W,0)),""),IF(F259="Sporting Clays",IFERROR(INDEX('Shooter-Squad Assignment'!$A:$A,MATCH(C259&amp;"-"&amp;E259&amp;"-"&amp;F259&amp;"-Pos1",'Shooter-Squad Assignment'!$Z:$Z,0)),""),"")))</f>
        <v/>
      </c>
      <c r="H259" s="73" t="str">
        <f>IF(ISBLANK(G259),"",IFERROR(INDEX('Tournament List'!$D:$D,MATCH(G259,'Tournament List'!$A:$A,0)),""))</f>
        <v/>
      </c>
      <c r="I259" s="94" t="str">
        <f>IF(F259="Skeet",IFERROR(INDEX('Shooter-Squad Assignment'!$A:$A,MATCH(C259&amp;"-"&amp;E259&amp;"-"&amp;F259&amp;"-Pos2",'Shooter-Squad Assignment'!$K:$K,0)),""),IF(F259="Trap",IFERROR(INDEX('Shooter-Squad Assignment'!$A:$A,MATCH(C259&amp;"-"&amp;E259&amp;"-"&amp;F259&amp;"-Pos2",'Shooter-Squad Assignment'!$W:$W,0)),""),IF(F259="Sporting Clays",IFERROR(INDEX('Shooter-Squad Assignment'!$A:$A,MATCH(C259&amp;"-"&amp;E259&amp;"-"&amp;F259&amp;"-Pos2",'Shooter-Squad Assignment'!$Z:$Z,0)),""),"")))</f>
        <v/>
      </c>
      <c r="J259" s="73" t="str">
        <f>IF(ISBLANK(I259),"",IFERROR(INDEX('Tournament List'!$D:$D,MATCH(I259,'Tournament List'!$A:$A,0)),""))</f>
        <v/>
      </c>
      <c r="K259" s="94" t="str">
        <f>IF(F259="Skeet",IFERROR(INDEX('Shooter-Squad Assignment'!$A:$A,MATCH(C259&amp;"-"&amp;E259&amp;"-"&amp;F259&amp;"-Pos3",'Shooter-Squad Assignment'!$K:$K,0)),""),IF(F259="Trap",IFERROR(INDEX('Shooter-Squad Assignment'!$A:$A,MATCH(C259&amp;"-"&amp;E259&amp;"-"&amp;F259&amp;"-Pos3",'Shooter-Squad Assignment'!$W:$W,0)),""),IF(F259="Sporting Clays",IFERROR(INDEX('Shooter-Squad Assignment'!$A:$A,MATCH(C259&amp;"-"&amp;E259&amp;"-"&amp;F259&amp;"-Pos3",'Shooter-Squad Assignment'!$Z:$Z,0)),""),"")))</f>
        <v/>
      </c>
      <c r="L259" s="73" t="str">
        <f>IF(ISBLANK(K259),"",IFERROR(INDEX('Tournament List'!$D:$D,MATCH(K259,'Tournament List'!$A:$A,0)),""))</f>
        <v/>
      </c>
      <c r="M259" s="94" t="str">
        <f>IF(F259="Skeet",IFERROR(INDEX('Shooter-Squad Assignment'!$A:$A,MATCH(C259&amp;"-"&amp;E259&amp;"-"&amp;F259&amp;"-Pos4",'Shooter-Squad Assignment'!$K:$K,0)),""),IF(F259="Trap",IFERROR(INDEX('Shooter-Squad Assignment'!$A:$A,MATCH(C259&amp;"-"&amp;E259&amp;"-"&amp;F259&amp;"-Pos4",'Shooter-Squad Assignment'!$W:$W,0)),""),IF(F259="Sporting Clays",IFERROR(INDEX('Shooter-Squad Assignment'!$A:$A,MATCH(C259&amp;"-"&amp;E259&amp;"-"&amp;F259&amp;"-Pos4",'Shooter-Squad Assignment'!$Z:$Z,0)),""),"")))</f>
        <v/>
      </c>
      <c r="N259" s="73" t="str">
        <f>IF(ISBLANK(M259),"",IFERROR(INDEX('Tournament List'!$D:$D,MATCH(M259,'Tournament List'!$A:$A,0)),""))</f>
        <v/>
      </c>
      <c r="O259" s="94" t="str">
        <f>IF(F259="Skeet",IFERROR(INDEX('Shooter-Squad Assignment'!$A:$A,MATCH(C259&amp;"-"&amp;E259&amp;"-"&amp;F259&amp;"-Pos5",'Shooter-Squad Assignment'!$K:$K,0)),""),IF(F259="Trap",IFERROR(INDEX('Shooter-Squad Assignment'!$A:$A,MATCH(C259&amp;"-"&amp;E259&amp;"-"&amp;F259&amp;"-Pos5",'Shooter-Squad Assignment'!$W:$W,0)),""),IF(F259="Sporting Clays",IFERROR(INDEX('Shooter-Squad Assignment'!$A:$A,MATCH(C259&amp;"-"&amp;E259&amp;"-"&amp;F259&amp;"-Pos5",'Shooter-Squad Assignment'!$Z:$Z,0)),""),"")))</f>
        <v/>
      </c>
      <c r="P259" s="79" t="str">
        <f>IF(ISBLANK(O259),"",IFERROR(INDEX('Tournament List'!$D:$D,MATCH(O259,'Tournament List'!$A:$A,0)),""))</f>
        <v/>
      </c>
    </row>
    <row r="260" spans="1:16" x14ac:dyDescent="0.3">
      <c r="A260" s="78">
        <v>259</v>
      </c>
      <c r="B260" s="73" t="str">
        <f>C260&amp;"-"&amp;E260&amp;"-"&amp;F260</f>
        <v>Rocky Mountain Clay Busters-Novice 3-Sporting Clays</v>
      </c>
      <c r="C260" s="73" t="s">
        <v>319</v>
      </c>
      <c r="D260" s="73" t="str">
        <f>INDEX('Tournament Setup'!$B$59:$B$78,MATCH(E260,SquadConcurrents,0))</f>
        <v>Novice</v>
      </c>
      <c r="E260" s="73" t="s">
        <v>349</v>
      </c>
      <c r="F260" s="73" t="s">
        <v>148</v>
      </c>
      <c r="G260" s="94" t="str">
        <f>IF(F260="Skeet",IFERROR(INDEX('Shooter-Squad Assignment'!$A:$A,MATCH(C260&amp;"-"&amp;E260&amp;"-"&amp;F260&amp;"-Pos1",'Shooter-Squad Assignment'!$K:$K,0)),""),IF(F260="Trap",IFERROR(INDEX('Shooter-Squad Assignment'!$A:$A,MATCH(C260&amp;"-"&amp;E260&amp;"-"&amp;F260&amp;"-Pos1",'Shooter-Squad Assignment'!$W:$W,0)),""),IF(F260="Sporting Clays",IFERROR(INDEX('Shooter-Squad Assignment'!$A:$A,MATCH(C260&amp;"-"&amp;E260&amp;"-"&amp;F260&amp;"-Pos1",'Shooter-Squad Assignment'!$Z:$Z,0)),""),"")))</f>
        <v/>
      </c>
      <c r="H260" s="73" t="str">
        <f>IF(ISBLANK(G260),"",IFERROR(INDEX('Tournament List'!$D:$D,MATCH(G260,'Tournament List'!$A:$A,0)),""))</f>
        <v/>
      </c>
      <c r="I260" s="94" t="str">
        <f>IF(F260="Skeet",IFERROR(INDEX('Shooter-Squad Assignment'!$A:$A,MATCH(C260&amp;"-"&amp;E260&amp;"-"&amp;F260&amp;"-Pos2",'Shooter-Squad Assignment'!$K:$K,0)),""),IF(F260="Trap",IFERROR(INDEX('Shooter-Squad Assignment'!$A:$A,MATCH(C260&amp;"-"&amp;E260&amp;"-"&amp;F260&amp;"-Pos2",'Shooter-Squad Assignment'!$W:$W,0)),""),IF(F260="Sporting Clays",IFERROR(INDEX('Shooter-Squad Assignment'!$A:$A,MATCH(C260&amp;"-"&amp;E260&amp;"-"&amp;F260&amp;"-Pos2",'Shooter-Squad Assignment'!$Z:$Z,0)),""),"")))</f>
        <v/>
      </c>
      <c r="J260" s="73" t="str">
        <f>IF(ISBLANK(I260),"",IFERROR(INDEX('Tournament List'!$D:$D,MATCH(I260,'Tournament List'!$A:$A,0)),""))</f>
        <v/>
      </c>
      <c r="K260" s="94" t="str">
        <f>IF(F260="Skeet",IFERROR(INDEX('Shooter-Squad Assignment'!$A:$A,MATCH(C260&amp;"-"&amp;E260&amp;"-"&amp;F260&amp;"-Pos3",'Shooter-Squad Assignment'!$K:$K,0)),""),IF(F260="Trap",IFERROR(INDEX('Shooter-Squad Assignment'!$A:$A,MATCH(C260&amp;"-"&amp;E260&amp;"-"&amp;F260&amp;"-Pos3",'Shooter-Squad Assignment'!$W:$W,0)),""),IF(F260="Sporting Clays",IFERROR(INDEX('Shooter-Squad Assignment'!$A:$A,MATCH(C260&amp;"-"&amp;E260&amp;"-"&amp;F260&amp;"-Pos3",'Shooter-Squad Assignment'!$Z:$Z,0)),""),"")))</f>
        <v/>
      </c>
      <c r="L260" s="73" t="str">
        <f>IF(ISBLANK(K260),"",IFERROR(INDEX('Tournament List'!$D:$D,MATCH(K260,'Tournament List'!$A:$A,0)),""))</f>
        <v/>
      </c>
      <c r="M260" s="94" t="str">
        <f>IF(F260="Skeet",IFERROR(INDEX('Shooter-Squad Assignment'!$A:$A,MATCH(C260&amp;"-"&amp;E260&amp;"-"&amp;F260&amp;"-Pos4",'Shooter-Squad Assignment'!$K:$K,0)),""),IF(F260="Trap",IFERROR(INDEX('Shooter-Squad Assignment'!$A:$A,MATCH(C260&amp;"-"&amp;E260&amp;"-"&amp;F260&amp;"-Pos4",'Shooter-Squad Assignment'!$W:$W,0)),""),IF(F260="Sporting Clays",IFERROR(INDEX('Shooter-Squad Assignment'!$A:$A,MATCH(C260&amp;"-"&amp;E260&amp;"-"&amp;F260&amp;"-Pos4",'Shooter-Squad Assignment'!$Z:$Z,0)),""),"")))</f>
        <v/>
      </c>
      <c r="N260" s="73" t="str">
        <f>IF(ISBLANK(M260),"",IFERROR(INDEX('Tournament List'!$D:$D,MATCH(M260,'Tournament List'!$A:$A,0)),""))</f>
        <v/>
      </c>
      <c r="O260" s="94" t="str">
        <f>IF(F260="Skeet",IFERROR(INDEX('Shooter-Squad Assignment'!$A:$A,MATCH(C260&amp;"-"&amp;E260&amp;"-"&amp;F260&amp;"-Pos5",'Shooter-Squad Assignment'!$K:$K,0)),""),IF(F260="Trap",IFERROR(INDEX('Shooter-Squad Assignment'!$A:$A,MATCH(C260&amp;"-"&amp;E260&amp;"-"&amp;F260&amp;"-Pos5",'Shooter-Squad Assignment'!$W:$W,0)),""),IF(F260="Sporting Clays",IFERROR(INDEX('Shooter-Squad Assignment'!$A:$A,MATCH(C260&amp;"-"&amp;E260&amp;"-"&amp;F260&amp;"-Pos5",'Shooter-Squad Assignment'!$Z:$Z,0)),""),"")))</f>
        <v/>
      </c>
      <c r="P260" s="79" t="str">
        <f>IF(ISBLANK(O260),"",IFERROR(INDEX('Tournament List'!$D:$D,MATCH(O260,'Tournament List'!$A:$A,0)),""))</f>
        <v/>
      </c>
    </row>
    <row r="261" spans="1:16" x14ac:dyDescent="0.3">
      <c r="A261" s="78">
        <v>260</v>
      </c>
      <c r="B261" s="73" t="str">
        <f>C261&amp;"-"&amp;E261&amp;"-"&amp;F261</f>
        <v>Rocky Mountain Clay Busters-Open 1-Sporting Clays</v>
      </c>
      <c r="C261" s="73" t="s">
        <v>319</v>
      </c>
      <c r="D261" s="73" t="str">
        <f>INDEX('Tournament Setup'!$B$59:$B$78,MATCH(E261,SquadConcurrents,0))</f>
        <v>Open</v>
      </c>
      <c r="E261" s="73" t="s">
        <v>341</v>
      </c>
      <c r="F261" s="73" t="s">
        <v>148</v>
      </c>
      <c r="G261" s="94" t="str">
        <f>IF(F261="Skeet",IFERROR(INDEX('Shooter-Squad Assignment'!$A:$A,MATCH(C261&amp;"-"&amp;E261&amp;"-"&amp;F261&amp;"-Pos1",'Shooter-Squad Assignment'!$K:$K,0)),""),IF(F261="Trap",IFERROR(INDEX('Shooter-Squad Assignment'!$A:$A,MATCH(C261&amp;"-"&amp;E261&amp;"-"&amp;F261&amp;"-Pos1",'Shooter-Squad Assignment'!$W:$W,0)),""),IF(F261="Sporting Clays",IFERROR(INDEX('Shooter-Squad Assignment'!$A:$A,MATCH(C261&amp;"-"&amp;E261&amp;"-"&amp;F261&amp;"-Pos1",'Shooter-Squad Assignment'!$Z:$Z,0)),""),"")))</f>
        <v/>
      </c>
      <c r="H261" s="73" t="str">
        <f>IF(ISBLANK(G261),"",IFERROR(INDEX('Tournament List'!$D:$D,MATCH(G261,'Tournament List'!$A:$A,0)),""))</f>
        <v/>
      </c>
      <c r="I261" s="94" t="str">
        <f>IF(F261="Skeet",IFERROR(INDEX('Shooter-Squad Assignment'!$A:$A,MATCH(C261&amp;"-"&amp;E261&amp;"-"&amp;F261&amp;"-Pos2",'Shooter-Squad Assignment'!$K:$K,0)),""),IF(F261="Trap",IFERROR(INDEX('Shooter-Squad Assignment'!$A:$A,MATCH(C261&amp;"-"&amp;E261&amp;"-"&amp;F261&amp;"-Pos2",'Shooter-Squad Assignment'!$W:$W,0)),""),IF(F261="Sporting Clays",IFERROR(INDEX('Shooter-Squad Assignment'!$A:$A,MATCH(C261&amp;"-"&amp;E261&amp;"-"&amp;F261&amp;"-Pos2",'Shooter-Squad Assignment'!$Z:$Z,0)),""),"")))</f>
        <v/>
      </c>
      <c r="J261" s="73" t="str">
        <f>IF(ISBLANK(I261),"",IFERROR(INDEX('Tournament List'!$D:$D,MATCH(I261,'Tournament List'!$A:$A,0)),""))</f>
        <v/>
      </c>
      <c r="K261" s="94" t="str">
        <f>IF(F261="Skeet",IFERROR(INDEX('Shooter-Squad Assignment'!$A:$A,MATCH(C261&amp;"-"&amp;E261&amp;"-"&amp;F261&amp;"-Pos3",'Shooter-Squad Assignment'!$K:$K,0)),""),IF(F261="Trap",IFERROR(INDEX('Shooter-Squad Assignment'!$A:$A,MATCH(C261&amp;"-"&amp;E261&amp;"-"&amp;F261&amp;"-Pos3",'Shooter-Squad Assignment'!$W:$W,0)),""),IF(F261="Sporting Clays",IFERROR(INDEX('Shooter-Squad Assignment'!$A:$A,MATCH(C261&amp;"-"&amp;E261&amp;"-"&amp;F261&amp;"-Pos3",'Shooter-Squad Assignment'!$Z:$Z,0)),""),"")))</f>
        <v/>
      </c>
      <c r="L261" s="73" t="str">
        <f>IF(ISBLANK(K261),"",IFERROR(INDEX('Tournament List'!$D:$D,MATCH(K261,'Tournament List'!$A:$A,0)),""))</f>
        <v/>
      </c>
      <c r="M261" s="94" t="str">
        <f>IF(F261="Skeet",IFERROR(INDEX('Shooter-Squad Assignment'!$A:$A,MATCH(C261&amp;"-"&amp;E261&amp;"-"&amp;F261&amp;"-Pos4",'Shooter-Squad Assignment'!$K:$K,0)),""),IF(F261="Trap",IFERROR(INDEX('Shooter-Squad Assignment'!$A:$A,MATCH(C261&amp;"-"&amp;E261&amp;"-"&amp;F261&amp;"-Pos4",'Shooter-Squad Assignment'!$W:$W,0)),""),IF(F261="Sporting Clays",IFERROR(INDEX('Shooter-Squad Assignment'!$A:$A,MATCH(C261&amp;"-"&amp;E261&amp;"-"&amp;F261&amp;"-Pos4",'Shooter-Squad Assignment'!$Z:$Z,0)),""),"")))</f>
        <v/>
      </c>
      <c r="N261" s="73" t="str">
        <f>IF(ISBLANK(M261),"",IFERROR(INDEX('Tournament List'!$D:$D,MATCH(M261,'Tournament List'!$A:$A,0)),""))</f>
        <v/>
      </c>
      <c r="O261" s="94" t="str">
        <f>IF(F261="Skeet",IFERROR(INDEX('Shooter-Squad Assignment'!$A:$A,MATCH(C261&amp;"-"&amp;E261&amp;"-"&amp;F261&amp;"-Pos5",'Shooter-Squad Assignment'!$K:$K,0)),""),IF(F261="Trap",IFERROR(INDEX('Shooter-Squad Assignment'!$A:$A,MATCH(C261&amp;"-"&amp;E261&amp;"-"&amp;F261&amp;"-Pos5",'Shooter-Squad Assignment'!$W:$W,0)),""),IF(F261="Sporting Clays",IFERROR(INDEX('Shooter-Squad Assignment'!$A:$A,MATCH(C261&amp;"-"&amp;E261&amp;"-"&amp;F261&amp;"-Pos5",'Shooter-Squad Assignment'!$Z:$Z,0)),""),"")))</f>
        <v/>
      </c>
      <c r="P261" s="79" t="str">
        <f>IF(ISBLANK(O261),"",IFERROR(INDEX('Tournament List'!$D:$D,MATCH(O261,'Tournament List'!$A:$A,0)),""))</f>
        <v/>
      </c>
    </row>
    <row r="262" spans="1:16" x14ac:dyDescent="0.3">
      <c r="A262" s="78">
        <v>261</v>
      </c>
      <c r="B262" s="73" t="str">
        <f>C262&amp;"-"&amp;E262&amp;"-"&amp;F262</f>
        <v>Rocky Mountain Clay Busters-Open 2-Sporting Clays</v>
      </c>
      <c r="C262" s="73" t="s">
        <v>319</v>
      </c>
      <c r="D262" s="73" t="str">
        <f>INDEX('Tournament Setup'!$B$59:$B$78,MATCH(E262,SquadConcurrents,0))</f>
        <v>Open</v>
      </c>
      <c r="E262" s="73" t="s">
        <v>347</v>
      </c>
      <c r="F262" s="73" t="s">
        <v>148</v>
      </c>
      <c r="G262" s="94" t="str">
        <f>IF(F262="Skeet",IFERROR(INDEX('Shooter-Squad Assignment'!$A:$A,MATCH(C262&amp;"-"&amp;E262&amp;"-"&amp;F262&amp;"-Pos1",'Shooter-Squad Assignment'!$K:$K,0)),""),IF(F262="Trap",IFERROR(INDEX('Shooter-Squad Assignment'!$A:$A,MATCH(C262&amp;"-"&amp;E262&amp;"-"&amp;F262&amp;"-Pos1",'Shooter-Squad Assignment'!$W:$W,0)),""),IF(F262="Sporting Clays",IFERROR(INDEX('Shooter-Squad Assignment'!$A:$A,MATCH(C262&amp;"-"&amp;E262&amp;"-"&amp;F262&amp;"-Pos1",'Shooter-Squad Assignment'!$Z:$Z,0)),""),"")))</f>
        <v/>
      </c>
      <c r="H262" s="73" t="str">
        <f>IF(ISBLANK(G262),"",IFERROR(INDEX('Tournament List'!$D:$D,MATCH(G262,'Tournament List'!$A:$A,0)),""))</f>
        <v/>
      </c>
      <c r="I262" s="94" t="str">
        <f>IF(F262="Skeet",IFERROR(INDEX('Shooter-Squad Assignment'!$A:$A,MATCH(C262&amp;"-"&amp;E262&amp;"-"&amp;F262&amp;"-Pos2",'Shooter-Squad Assignment'!$K:$K,0)),""),IF(F262="Trap",IFERROR(INDEX('Shooter-Squad Assignment'!$A:$A,MATCH(C262&amp;"-"&amp;E262&amp;"-"&amp;F262&amp;"-Pos2",'Shooter-Squad Assignment'!$W:$W,0)),""),IF(F262="Sporting Clays",IFERROR(INDEX('Shooter-Squad Assignment'!$A:$A,MATCH(C262&amp;"-"&amp;E262&amp;"-"&amp;F262&amp;"-Pos2",'Shooter-Squad Assignment'!$Z:$Z,0)),""),"")))</f>
        <v/>
      </c>
      <c r="J262" s="73" t="str">
        <f>IF(ISBLANK(I262),"",IFERROR(INDEX('Tournament List'!$D:$D,MATCH(I262,'Tournament List'!$A:$A,0)),""))</f>
        <v/>
      </c>
      <c r="K262" s="94" t="str">
        <f>IF(F262="Skeet",IFERROR(INDEX('Shooter-Squad Assignment'!$A:$A,MATCH(C262&amp;"-"&amp;E262&amp;"-"&amp;F262&amp;"-Pos3",'Shooter-Squad Assignment'!$K:$K,0)),""),IF(F262="Trap",IFERROR(INDEX('Shooter-Squad Assignment'!$A:$A,MATCH(C262&amp;"-"&amp;E262&amp;"-"&amp;F262&amp;"-Pos3",'Shooter-Squad Assignment'!$W:$W,0)),""),IF(F262="Sporting Clays",IFERROR(INDEX('Shooter-Squad Assignment'!$A:$A,MATCH(C262&amp;"-"&amp;E262&amp;"-"&amp;F262&amp;"-Pos3",'Shooter-Squad Assignment'!$Z:$Z,0)),""),"")))</f>
        <v/>
      </c>
      <c r="L262" s="73" t="str">
        <f>IF(ISBLANK(K262),"",IFERROR(INDEX('Tournament List'!$D:$D,MATCH(K262,'Tournament List'!$A:$A,0)),""))</f>
        <v/>
      </c>
      <c r="M262" s="94" t="str">
        <f>IF(F262="Skeet",IFERROR(INDEX('Shooter-Squad Assignment'!$A:$A,MATCH(C262&amp;"-"&amp;E262&amp;"-"&amp;F262&amp;"-Pos4",'Shooter-Squad Assignment'!$K:$K,0)),""),IF(F262="Trap",IFERROR(INDEX('Shooter-Squad Assignment'!$A:$A,MATCH(C262&amp;"-"&amp;E262&amp;"-"&amp;F262&amp;"-Pos4",'Shooter-Squad Assignment'!$W:$W,0)),""),IF(F262="Sporting Clays",IFERROR(INDEX('Shooter-Squad Assignment'!$A:$A,MATCH(C262&amp;"-"&amp;E262&amp;"-"&amp;F262&amp;"-Pos4",'Shooter-Squad Assignment'!$Z:$Z,0)),""),"")))</f>
        <v/>
      </c>
      <c r="N262" s="73" t="str">
        <f>IF(ISBLANK(M262),"",IFERROR(INDEX('Tournament List'!$D:$D,MATCH(M262,'Tournament List'!$A:$A,0)),""))</f>
        <v/>
      </c>
      <c r="O262" s="94" t="str">
        <f>IF(F262="Skeet",IFERROR(INDEX('Shooter-Squad Assignment'!$A:$A,MATCH(C262&amp;"-"&amp;E262&amp;"-"&amp;F262&amp;"-Pos5",'Shooter-Squad Assignment'!$K:$K,0)),""),IF(F262="Trap",IFERROR(INDEX('Shooter-Squad Assignment'!$A:$A,MATCH(C262&amp;"-"&amp;E262&amp;"-"&amp;F262&amp;"-Pos5",'Shooter-Squad Assignment'!$W:$W,0)),""),IF(F262="Sporting Clays",IFERROR(INDEX('Shooter-Squad Assignment'!$A:$A,MATCH(C262&amp;"-"&amp;E262&amp;"-"&amp;F262&amp;"-Pos5",'Shooter-Squad Assignment'!$Z:$Z,0)),""),"")))</f>
        <v/>
      </c>
      <c r="P262" s="79" t="str">
        <f>IF(ISBLANK(O262),"",IFERROR(INDEX('Tournament List'!$D:$D,MATCH(O262,'Tournament List'!$A:$A,0)),""))</f>
        <v/>
      </c>
    </row>
    <row r="263" spans="1:16" x14ac:dyDescent="0.3">
      <c r="A263" s="78">
        <v>262</v>
      </c>
      <c r="B263" s="73" t="str">
        <f>C263&amp;"-"&amp;E263&amp;"-"&amp;F263</f>
        <v>Rocky Mountain Clay Busters-Open 3-Sporting Clays</v>
      </c>
      <c r="C263" s="73" t="s">
        <v>319</v>
      </c>
      <c r="D263" s="73" t="str">
        <f>INDEX('Tournament Setup'!$B$59:$B$78,MATCH(E263,SquadConcurrents,0))</f>
        <v>Open</v>
      </c>
      <c r="E263" s="73" t="s">
        <v>353</v>
      </c>
      <c r="F263" s="73" t="s">
        <v>148</v>
      </c>
      <c r="G263" s="94" t="str">
        <f>IF(F263="Skeet",IFERROR(INDEX('Shooter-Squad Assignment'!$A:$A,MATCH(C263&amp;"-"&amp;E263&amp;"-"&amp;F263&amp;"-Pos1",'Shooter-Squad Assignment'!$K:$K,0)),""),IF(F263="Trap",IFERROR(INDEX('Shooter-Squad Assignment'!$A:$A,MATCH(C263&amp;"-"&amp;E263&amp;"-"&amp;F263&amp;"-Pos1",'Shooter-Squad Assignment'!$W:$W,0)),""),IF(F263="Sporting Clays",IFERROR(INDEX('Shooter-Squad Assignment'!$A:$A,MATCH(C263&amp;"-"&amp;E263&amp;"-"&amp;F263&amp;"-Pos1",'Shooter-Squad Assignment'!$Z:$Z,0)),""),"")))</f>
        <v/>
      </c>
      <c r="H263" s="73" t="str">
        <f>IF(ISBLANK(G263),"",IFERROR(INDEX('Tournament List'!$D:$D,MATCH(G263,'Tournament List'!$A:$A,0)),""))</f>
        <v/>
      </c>
      <c r="I263" s="94" t="str">
        <f>IF(F263="Skeet",IFERROR(INDEX('Shooter-Squad Assignment'!$A:$A,MATCH(C263&amp;"-"&amp;E263&amp;"-"&amp;F263&amp;"-Pos2",'Shooter-Squad Assignment'!$K:$K,0)),""),IF(F263="Trap",IFERROR(INDEX('Shooter-Squad Assignment'!$A:$A,MATCH(C263&amp;"-"&amp;E263&amp;"-"&amp;F263&amp;"-Pos2",'Shooter-Squad Assignment'!$W:$W,0)),""),IF(F263="Sporting Clays",IFERROR(INDEX('Shooter-Squad Assignment'!$A:$A,MATCH(C263&amp;"-"&amp;E263&amp;"-"&amp;F263&amp;"-Pos2",'Shooter-Squad Assignment'!$Z:$Z,0)),""),"")))</f>
        <v/>
      </c>
      <c r="J263" s="73" t="str">
        <f>IF(ISBLANK(I263),"",IFERROR(INDEX('Tournament List'!$D:$D,MATCH(I263,'Tournament List'!$A:$A,0)),""))</f>
        <v/>
      </c>
      <c r="K263" s="94" t="str">
        <f>IF(F263="Skeet",IFERROR(INDEX('Shooter-Squad Assignment'!$A:$A,MATCH(C263&amp;"-"&amp;E263&amp;"-"&amp;F263&amp;"-Pos3",'Shooter-Squad Assignment'!$K:$K,0)),""),IF(F263="Trap",IFERROR(INDEX('Shooter-Squad Assignment'!$A:$A,MATCH(C263&amp;"-"&amp;E263&amp;"-"&amp;F263&amp;"-Pos3",'Shooter-Squad Assignment'!$W:$W,0)),""),IF(F263="Sporting Clays",IFERROR(INDEX('Shooter-Squad Assignment'!$A:$A,MATCH(C263&amp;"-"&amp;E263&amp;"-"&amp;F263&amp;"-Pos3",'Shooter-Squad Assignment'!$Z:$Z,0)),""),"")))</f>
        <v/>
      </c>
      <c r="L263" s="73" t="str">
        <f>IF(ISBLANK(K263),"",IFERROR(INDEX('Tournament List'!$D:$D,MATCH(K263,'Tournament List'!$A:$A,0)),""))</f>
        <v/>
      </c>
      <c r="M263" s="94" t="str">
        <f>IF(F263="Skeet",IFERROR(INDEX('Shooter-Squad Assignment'!$A:$A,MATCH(C263&amp;"-"&amp;E263&amp;"-"&amp;F263&amp;"-Pos4",'Shooter-Squad Assignment'!$K:$K,0)),""),IF(F263="Trap",IFERROR(INDEX('Shooter-Squad Assignment'!$A:$A,MATCH(C263&amp;"-"&amp;E263&amp;"-"&amp;F263&amp;"-Pos4",'Shooter-Squad Assignment'!$W:$W,0)),""),IF(F263="Sporting Clays",IFERROR(INDEX('Shooter-Squad Assignment'!$A:$A,MATCH(C263&amp;"-"&amp;E263&amp;"-"&amp;F263&amp;"-Pos4",'Shooter-Squad Assignment'!$Z:$Z,0)),""),"")))</f>
        <v/>
      </c>
      <c r="N263" s="73" t="str">
        <f>IF(ISBLANK(M263),"",IFERROR(INDEX('Tournament List'!$D:$D,MATCH(M263,'Tournament List'!$A:$A,0)),""))</f>
        <v/>
      </c>
      <c r="O263" s="94" t="str">
        <f>IF(F263="Skeet",IFERROR(INDEX('Shooter-Squad Assignment'!$A:$A,MATCH(C263&amp;"-"&amp;E263&amp;"-"&amp;F263&amp;"-Pos5",'Shooter-Squad Assignment'!$K:$K,0)),""),IF(F263="Trap",IFERROR(INDEX('Shooter-Squad Assignment'!$A:$A,MATCH(C263&amp;"-"&amp;E263&amp;"-"&amp;F263&amp;"-Pos5",'Shooter-Squad Assignment'!$W:$W,0)),""),IF(F263="Sporting Clays",IFERROR(INDEX('Shooter-Squad Assignment'!$A:$A,MATCH(C263&amp;"-"&amp;E263&amp;"-"&amp;F263&amp;"-Pos5",'Shooter-Squad Assignment'!$Z:$Z,0)),""),"")))</f>
        <v/>
      </c>
      <c r="P263" s="79" t="str">
        <f>IF(ISBLANK(O263),"",IFERROR(INDEX('Tournament List'!$D:$D,MATCH(O263,'Tournament List'!$A:$A,0)),""))</f>
        <v/>
      </c>
    </row>
    <row r="264" spans="1:16" x14ac:dyDescent="0.3">
      <c r="A264" s="78">
        <v>263</v>
      </c>
      <c r="B264" s="73" t="str">
        <f>C264&amp;"-"&amp;E264&amp;"-"&amp;F264</f>
        <v>Rocky Mountain Clay Busters-Unassigned 1-Sporting Clays</v>
      </c>
      <c r="C264" s="73" t="s">
        <v>319</v>
      </c>
      <c r="D264" s="73" t="str">
        <f>INDEX('Tournament Setup'!$B$59:$B$78,MATCH(E264,SquadConcurrents,0))</f>
        <v>Unassigned</v>
      </c>
      <c r="E264" s="73" t="s">
        <v>762</v>
      </c>
      <c r="F264" s="73" t="s">
        <v>148</v>
      </c>
      <c r="G264" s="94" t="str">
        <f>IF(F264="Skeet",IFERROR(INDEX('Shooter-Squad Assignment'!$A:$A,MATCH(C264&amp;"-"&amp;E264&amp;"-"&amp;F264&amp;"-Pos1",'Shooter-Squad Assignment'!$K:$K,0)),""),IF(F264="Trap",IFERROR(INDEX('Shooter-Squad Assignment'!$A:$A,MATCH(C264&amp;"-"&amp;E264&amp;"-"&amp;F264&amp;"-Pos1",'Shooter-Squad Assignment'!$W:$W,0)),""),IF(F264="Sporting Clays",IFERROR(INDEX('Shooter-Squad Assignment'!$A:$A,MATCH(C264&amp;"-"&amp;E264&amp;"-"&amp;F264&amp;"-Pos1",'Shooter-Squad Assignment'!$Z:$Z,0)),""),"")))</f>
        <v/>
      </c>
      <c r="H264" s="73" t="str">
        <f>IF(ISBLANK(G264),"",IFERROR(INDEX('Tournament List'!$D:$D,MATCH(G264,'Tournament List'!$A:$A,0)),""))</f>
        <v/>
      </c>
      <c r="I264" s="94" t="str">
        <f>IF(F264="Skeet",IFERROR(INDEX('Shooter-Squad Assignment'!$A:$A,MATCH(C264&amp;"-"&amp;E264&amp;"-"&amp;F264&amp;"-Pos2",'Shooter-Squad Assignment'!$K:$K,0)),""),IF(F264="Trap",IFERROR(INDEX('Shooter-Squad Assignment'!$A:$A,MATCH(C264&amp;"-"&amp;E264&amp;"-"&amp;F264&amp;"-Pos2",'Shooter-Squad Assignment'!$W:$W,0)),""),IF(F264="Sporting Clays",IFERROR(INDEX('Shooter-Squad Assignment'!$A:$A,MATCH(C264&amp;"-"&amp;E264&amp;"-"&amp;F264&amp;"-Pos2",'Shooter-Squad Assignment'!$Z:$Z,0)),""),"")))</f>
        <v/>
      </c>
      <c r="J264" s="73" t="str">
        <f>IF(ISBLANK(I264),"",IFERROR(INDEX('Tournament List'!$D:$D,MATCH(I264,'Tournament List'!$A:$A,0)),""))</f>
        <v/>
      </c>
      <c r="K264" s="94" t="str">
        <f>IF(F264="Skeet",IFERROR(INDEX('Shooter-Squad Assignment'!$A:$A,MATCH(C264&amp;"-"&amp;E264&amp;"-"&amp;F264&amp;"-Pos3",'Shooter-Squad Assignment'!$K:$K,0)),""),IF(F264="Trap",IFERROR(INDEX('Shooter-Squad Assignment'!$A:$A,MATCH(C264&amp;"-"&amp;E264&amp;"-"&amp;F264&amp;"-Pos3",'Shooter-Squad Assignment'!$W:$W,0)),""),IF(F264="Sporting Clays",IFERROR(INDEX('Shooter-Squad Assignment'!$A:$A,MATCH(C264&amp;"-"&amp;E264&amp;"-"&amp;F264&amp;"-Pos3",'Shooter-Squad Assignment'!$Z:$Z,0)),""),"")))</f>
        <v/>
      </c>
      <c r="L264" s="73" t="str">
        <f>IF(ISBLANK(K264),"",IFERROR(INDEX('Tournament List'!$D:$D,MATCH(K264,'Tournament List'!$A:$A,0)),""))</f>
        <v/>
      </c>
      <c r="M264" s="94" t="str">
        <f>IF(F264="Skeet",IFERROR(INDEX('Shooter-Squad Assignment'!$A:$A,MATCH(C264&amp;"-"&amp;E264&amp;"-"&amp;F264&amp;"-Pos4",'Shooter-Squad Assignment'!$K:$K,0)),""),IF(F264="Trap",IFERROR(INDEX('Shooter-Squad Assignment'!$A:$A,MATCH(C264&amp;"-"&amp;E264&amp;"-"&amp;F264&amp;"-Pos4",'Shooter-Squad Assignment'!$W:$W,0)),""),IF(F264="Sporting Clays",IFERROR(INDEX('Shooter-Squad Assignment'!$A:$A,MATCH(C264&amp;"-"&amp;E264&amp;"-"&amp;F264&amp;"-Pos4",'Shooter-Squad Assignment'!$Z:$Z,0)),""),"")))</f>
        <v/>
      </c>
      <c r="N264" s="73" t="str">
        <f>IF(ISBLANK(M264),"",IFERROR(INDEX('Tournament List'!$D:$D,MATCH(M264,'Tournament List'!$A:$A,0)),""))</f>
        <v/>
      </c>
      <c r="O264" s="94" t="str">
        <f>IF(F264="Skeet",IFERROR(INDEX('Shooter-Squad Assignment'!$A:$A,MATCH(C264&amp;"-"&amp;E264&amp;"-"&amp;F264&amp;"-Pos5",'Shooter-Squad Assignment'!$K:$K,0)),""),IF(F264="Trap",IFERROR(INDEX('Shooter-Squad Assignment'!$A:$A,MATCH(C264&amp;"-"&amp;E264&amp;"-"&amp;F264&amp;"-Pos5",'Shooter-Squad Assignment'!$W:$W,0)),""),IF(F264="Sporting Clays",IFERROR(INDEX('Shooter-Squad Assignment'!$A:$A,MATCH(C264&amp;"-"&amp;E264&amp;"-"&amp;F264&amp;"-Pos5",'Shooter-Squad Assignment'!$Z:$Z,0)),""),"")))</f>
        <v/>
      </c>
      <c r="P264" s="79" t="str">
        <f>IF(ISBLANK(O264),"",IFERROR(INDEX('Tournament List'!$D:$D,MATCH(O264,'Tournament List'!$A:$A,0)),""))</f>
        <v/>
      </c>
    </row>
    <row r="265" spans="1:16" x14ac:dyDescent="0.3">
      <c r="A265" s="78">
        <v>264</v>
      </c>
      <c r="B265" s="73" t="str">
        <f>C265&amp;"-"&amp;E265&amp;"-"&amp;F265</f>
        <v>Rocky Mountain Clay Busters-Varsity 1-Sporting Clays</v>
      </c>
      <c r="C265" s="73" t="s">
        <v>319</v>
      </c>
      <c r="D265" s="73" t="str">
        <f>INDEX('Tournament Setup'!$B$59:$B$78,MATCH(E265,SquadConcurrents,0))</f>
        <v>Varsity</v>
      </c>
      <c r="E265" s="73" t="s">
        <v>340</v>
      </c>
      <c r="F265" s="73" t="s">
        <v>148</v>
      </c>
      <c r="G265" s="94" t="str">
        <f>IF(F265="Skeet",IFERROR(INDEX('Shooter-Squad Assignment'!$A:$A,MATCH(C265&amp;"-"&amp;E265&amp;"-"&amp;F265&amp;"-Pos1",'Shooter-Squad Assignment'!$K:$K,0)),""),IF(F265="Trap",IFERROR(INDEX('Shooter-Squad Assignment'!$A:$A,MATCH(C265&amp;"-"&amp;E265&amp;"-"&amp;F265&amp;"-Pos1",'Shooter-Squad Assignment'!$W:$W,0)),""),IF(F265="Sporting Clays",IFERROR(INDEX('Shooter-Squad Assignment'!$A:$A,MATCH(C265&amp;"-"&amp;E265&amp;"-"&amp;F265&amp;"-Pos1",'Shooter-Squad Assignment'!$Z:$Z,0)),""),"")))</f>
        <v/>
      </c>
      <c r="H265" s="73" t="str">
        <f>IF(ISBLANK(G265),"",IFERROR(INDEX('Tournament List'!$D:$D,MATCH(G265,'Tournament List'!$A:$A,0)),""))</f>
        <v/>
      </c>
      <c r="I265" s="94" t="str">
        <f>IF(F265="Skeet",IFERROR(INDEX('Shooter-Squad Assignment'!$A:$A,MATCH(C265&amp;"-"&amp;E265&amp;"-"&amp;F265&amp;"-Pos2",'Shooter-Squad Assignment'!$K:$K,0)),""),IF(F265="Trap",IFERROR(INDEX('Shooter-Squad Assignment'!$A:$A,MATCH(C265&amp;"-"&amp;E265&amp;"-"&amp;F265&amp;"-Pos2",'Shooter-Squad Assignment'!$W:$W,0)),""),IF(F265="Sporting Clays",IFERROR(INDEX('Shooter-Squad Assignment'!$A:$A,MATCH(C265&amp;"-"&amp;E265&amp;"-"&amp;F265&amp;"-Pos2",'Shooter-Squad Assignment'!$Z:$Z,0)),""),"")))</f>
        <v/>
      </c>
      <c r="J265" s="73" t="str">
        <f>IF(ISBLANK(I265),"",IFERROR(INDEX('Tournament List'!$D:$D,MATCH(I265,'Tournament List'!$A:$A,0)),""))</f>
        <v/>
      </c>
      <c r="K265" s="94" t="str">
        <f>IF(F265="Skeet",IFERROR(INDEX('Shooter-Squad Assignment'!$A:$A,MATCH(C265&amp;"-"&amp;E265&amp;"-"&amp;F265&amp;"-Pos3",'Shooter-Squad Assignment'!$K:$K,0)),""),IF(F265="Trap",IFERROR(INDEX('Shooter-Squad Assignment'!$A:$A,MATCH(C265&amp;"-"&amp;E265&amp;"-"&amp;F265&amp;"-Pos3",'Shooter-Squad Assignment'!$W:$W,0)),""),IF(F265="Sporting Clays",IFERROR(INDEX('Shooter-Squad Assignment'!$A:$A,MATCH(C265&amp;"-"&amp;E265&amp;"-"&amp;F265&amp;"-Pos3",'Shooter-Squad Assignment'!$Z:$Z,0)),""),"")))</f>
        <v/>
      </c>
      <c r="L265" s="73" t="str">
        <f>IF(ISBLANK(K265),"",IFERROR(INDEX('Tournament List'!$D:$D,MATCH(K265,'Tournament List'!$A:$A,0)),""))</f>
        <v/>
      </c>
      <c r="M265" s="94" t="str">
        <f>IF(F265="Skeet",IFERROR(INDEX('Shooter-Squad Assignment'!$A:$A,MATCH(C265&amp;"-"&amp;E265&amp;"-"&amp;F265&amp;"-Pos4",'Shooter-Squad Assignment'!$K:$K,0)),""),IF(F265="Trap",IFERROR(INDEX('Shooter-Squad Assignment'!$A:$A,MATCH(C265&amp;"-"&amp;E265&amp;"-"&amp;F265&amp;"-Pos4",'Shooter-Squad Assignment'!$W:$W,0)),""),IF(F265="Sporting Clays",IFERROR(INDEX('Shooter-Squad Assignment'!$A:$A,MATCH(C265&amp;"-"&amp;E265&amp;"-"&amp;F265&amp;"-Pos4",'Shooter-Squad Assignment'!$Z:$Z,0)),""),"")))</f>
        <v/>
      </c>
      <c r="N265" s="73" t="str">
        <f>IF(ISBLANK(M265),"",IFERROR(INDEX('Tournament List'!$D:$D,MATCH(M265,'Tournament List'!$A:$A,0)),""))</f>
        <v/>
      </c>
      <c r="O265" s="94" t="str">
        <f>IF(F265="Skeet",IFERROR(INDEX('Shooter-Squad Assignment'!$A:$A,MATCH(C265&amp;"-"&amp;E265&amp;"-"&amp;F265&amp;"-Pos5",'Shooter-Squad Assignment'!$K:$K,0)),""),IF(F265="Trap",IFERROR(INDEX('Shooter-Squad Assignment'!$A:$A,MATCH(C265&amp;"-"&amp;E265&amp;"-"&amp;F265&amp;"-Pos5",'Shooter-Squad Assignment'!$W:$W,0)),""),IF(F265="Sporting Clays",IFERROR(INDEX('Shooter-Squad Assignment'!$A:$A,MATCH(C265&amp;"-"&amp;E265&amp;"-"&amp;F265&amp;"-Pos5",'Shooter-Squad Assignment'!$Z:$Z,0)),""),"")))</f>
        <v/>
      </c>
      <c r="P265" s="79" t="str">
        <f>IF(ISBLANK(O265),"",IFERROR(INDEX('Tournament List'!$D:$D,MATCH(O265,'Tournament List'!$A:$A,0)),""))</f>
        <v/>
      </c>
    </row>
    <row r="266" spans="1:16" x14ac:dyDescent="0.3">
      <c r="A266" s="78">
        <v>265</v>
      </c>
      <c r="B266" s="73" t="str">
        <f>C266&amp;"-"&amp;E266&amp;"-"&amp;F266</f>
        <v>Rocky Mountain Clay Busters-Varsity 2-Sporting Clays</v>
      </c>
      <c r="C266" s="73" t="s">
        <v>319</v>
      </c>
      <c r="D266" s="73" t="str">
        <f>INDEX('Tournament Setup'!$B$59:$B$78,MATCH(E266,SquadConcurrents,0))</f>
        <v>Varsity</v>
      </c>
      <c r="E266" s="73" t="s">
        <v>346</v>
      </c>
      <c r="F266" s="73" t="s">
        <v>148</v>
      </c>
      <c r="G266" s="94" t="str">
        <f>IF(F266="Skeet",IFERROR(INDEX('Shooter-Squad Assignment'!$A:$A,MATCH(C266&amp;"-"&amp;E266&amp;"-"&amp;F266&amp;"-Pos1",'Shooter-Squad Assignment'!$K:$K,0)),""),IF(F266="Trap",IFERROR(INDEX('Shooter-Squad Assignment'!$A:$A,MATCH(C266&amp;"-"&amp;E266&amp;"-"&amp;F266&amp;"-Pos1",'Shooter-Squad Assignment'!$W:$W,0)),""),IF(F266="Sporting Clays",IFERROR(INDEX('Shooter-Squad Assignment'!$A:$A,MATCH(C266&amp;"-"&amp;E266&amp;"-"&amp;F266&amp;"-Pos1",'Shooter-Squad Assignment'!$Z:$Z,0)),""),"")))</f>
        <v/>
      </c>
      <c r="H266" s="73" t="str">
        <f>IF(ISBLANK(G266),"",IFERROR(INDEX('Tournament List'!$D:$D,MATCH(G266,'Tournament List'!$A:$A,0)),""))</f>
        <v/>
      </c>
      <c r="I266" s="94" t="str">
        <f>IF(F266="Skeet",IFERROR(INDEX('Shooter-Squad Assignment'!$A:$A,MATCH(C266&amp;"-"&amp;E266&amp;"-"&amp;F266&amp;"-Pos2",'Shooter-Squad Assignment'!$K:$K,0)),""),IF(F266="Trap",IFERROR(INDEX('Shooter-Squad Assignment'!$A:$A,MATCH(C266&amp;"-"&amp;E266&amp;"-"&amp;F266&amp;"-Pos2",'Shooter-Squad Assignment'!$W:$W,0)),""),IF(F266="Sporting Clays",IFERROR(INDEX('Shooter-Squad Assignment'!$A:$A,MATCH(C266&amp;"-"&amp;E266&amp;"-"&amp;F266&amp;"-Pos2",'Shooter-Squad Assignment'!$Z:$Z,0)),""),"")))</f>
        <v/>
      </c>
      <c r="J266" s="73" t="str">
        <f>IF(ISBLANK(I266),"",IFERROR(INDEX('Tournament List'!$D:$D,MATCH(I266,'Tournament List'!$A:$A,0)),""))</f>
        <v/>
      </c>
      <c r="K266" s="94" t="str">
        <f>IF(F266="Skeet",IFERROR(INDEX('Shooter-Squad Assignment'!$A:$A,MATCH(C266&amp;"-"&amp;E266&amp;"-"&amp;F266&amp;"-Pos3",'Shooter-Squad Assignment'!$K:$K,0)),""),IF(F266="Trap",IFERROR(INDEX('Shooter-Squad Assignment'!$A:$A,MATCH(C266&amp;"-"&amp;E266&amp;"-"&amp;F266&amp;"-Pos3",'Shooter-Squad Assignment'!$W:$W,0)),""),IF(F266="Sporting Clays",IFERROR(INDEX('Shooter-Squad Assignment'!$A:$A,MATCH(C266&amp;"-"&amp;E266&amp;"-"&amp;F266&amp;"-Pos3",'Shooter-Squad Assignment'!$Z:$Z,0)),""),"")))</f>
        <v/>
      </c>
      <c r="L266" s="73" t="str">
        <f>IF(ISBLANK(K266),"",IFERROR(INDEX('Tournament List'!$D:$D,MATCH(K266,'Tournament List'!$A:$A,0)),""))</f>
        <v/>
      </c>
      <c r="M266" s="94" t="str">
        <f>IF(F266="Skeet",IFERROR(INDEX('Shooter-Squad Assignment'!$A:$A,MATCH(C266&amp;"-"&amp;E266&amp;"-"&amp;F266&amp;"-Pos4",'Shooter-Squad Assignment'!$K:$K,0)),""),IF(F266="Trap",IFERROR(INDEX('Shooter-Squad Assignment'!$A:$A,MATCH(C266&amp;"-"&amp;E266&amp;"-"&amp;F266&amp;"-Pos4",'Shooter-Squad Assignment'!$W:$W,0)),""),IF(F266="Sporting Clays",IFERROR(INDEX('Shooter-Squad Assignment'!$A:$A,MATCH(C266&amp;"-"&amp;E266&amp;"-"&amp;F266&amp;"-Pos4",'Shooter-Squad Assignment'!$Z:$Z,0)),""),"")))</f>
        <v/>
      </c>
      <c r="N266" s="73" t="str">
        <f>IF(ISBLANK(M266),"",IFERROR(INDEX('Tournament List'!$D:$D,MATCH(M266,'Tournament List'!$A:$A,0)),""))</f>
        <v/>
      </c>
      <c r="O266" s="94" t="str">
        <f>IF(F266="Skeet",IFERROR(INDEX('Shooter-Squad Assignment'!$A:$A,MATCH(C266&amp;"-"&amp;E266&amp;"-"&amp;F266&amp;"-Pos5",'Shooter-Squad Assignment'!$K:$K,0)),""),IF(F266="Trap",IFERROR(INDEX('Shooter-Squad Assignment'!$A:$A,MATCH(C266&amp;"-"&amp;E266&amp;"-"&amp;F266&amp;"-Pos5",'Shooter-Squad Assignment'!$W:$W,0)),""),IF(F266="Sporting Clays",IFERROR(INDEX('Shooter-Squad Assignment'!$A:$A,MATCH(C266&amp;"-"&amp;E266&amp;"-"&amp;F266&amp;"-Pos5",'Shooter-Squad Assignment'!$Z:$Z,0)),""),"")))</f>
        <v/>
      </c>
      <c r="P266" s="79" t="str">
        <f>IF(ISBLANK(O266),"",IFERROR(INDEX('Tournament List'!$D:$D,MATCH(O266,'Tournament List'!$A:$A,0)),""))</f>
        <v/>
      </c>
    </row>
    <row r="267" spans="1:16" x14ac:dyDescent="0.3">
      <c r="A267" s="78">
        <v>266</v>
      </c>
      <c r="B267" s="73" t="str">
        <f>C267&amp;"-"&amp;E267&amp;"-"&amp;F267</f>
        <v>Rocky Mountain Clay Busters-Varsity 3-Sporting Clays</v>
      </c>
      <c r="C267" s="73" t="s">
        <v>319</v>
      </c>
      <c r="D267" s="73" t="str">
        <f>INDEX('Tournament Setup'!$B$59:$B$78,MATCH(E267,SquadConcurrents,0))</f>
        <v>Varsity</v>
      </c>
      <c r="E267" s="73" t="s">
        <v>352</v>
      </c>
      <c r="F267" s="73" t="s">
        <v>148</v>
      </c>
      <c r="G267" s="94" t="str">
        <f>IF(F267="Skeet",IFERROR(INDEX('Shooter-Squad Assignment'!$A:$A,MATCH(C267&amp;"-"&amp;E267&amp;"-"&amp;F267&amp;"-Pos1",'Shooter-Squad Assignment'!$K:$K,0)),""),IF(F267="Trap",IFERROR(INDEX('Shooter-Squad Assignment'!$A:$A,MATCH(C267&amp;"-"&amp;E267&amp;"-"&amp;F267&amp;"-Pos1",'Shooter-Squad Assignment'!$W:$W,0)),""),IF(F267="Sporting Clays",IFERROR(INDEX('Shooter-Squad Assignment'!$A:$A,MATCH(C267&amp;"-"&amp;E267&amp;"-"&amp;F267&amp;"-Pos1",'Shooter-Squad Assignment'!$Z:$Z,0)),""),"")))</f>
        <v/>
      </c>
      <c r="H267" s="73" t="str">
        <f>IF(ISBLANK(G267),"",IFERROR(INDEX('Tournament List'!$D:$D,MATCH(G267,'Tournament List'!$A:$A,0)),""))</f>
        <v/>
      </c>
      <c r="I267" s="94" t="str">
        <f>IF(F267="Skeet",IFERROR(INDEX('Shooter-Squad Assignment'!$A:$A,MATCH(C267&amp;"-"&amp;E267&amp;"-"&amp;F267&amp;"-Pos2",'Shooter-Squad Assignment'!$K:$K,0)),""),IF(F267="Trap",IFERROR(INDEX('Shooter-Squad Assignment'!$A:$A,MATCH(C267&amp;"-"&amp;E267&amp;"-"&amp;F267&amp;"-Pos2",'Shooter-Squad Assignment'!$W:$W,0)),""),IF(F267="Sporting Clays",IFERROR(INDEX('Shooter-Squad Assignment'!$A:$A,MATCH(C267&amp;"-"&amp;E267&amp;"-"&amp;F267&amp;"-Pos2",'Shooter-Squad Assignment'!$Z:$Z,0)),""),"")))</f>
        <v/>
      </c>
      <c r="J267" s="73" t="str">
        <f>IF(ISBLANK(I267),"",IFERROR(INDEX('Tournament List'!$D:$D,MATCH(I267,'Tournament List'!$A:$A,0)),""))</f>
        <v/>
      </c>
      <c r="K267" s="94" t="str">
        <f>IF(F267="Skeet",IFERROR(INDEX('Shooter-Squad Assignment'!$A:$A,MATCH(C267&amp;"-"&amp;E267&amp;"-"&amp;F267&amp;"-Pos3",'Shooter-Squad Assignment'!$K:$K,0)),""),IF(F267="Trap",IFERROR(INDEX('Shooter-Squad Assignment'!$A:$A,MATCH(C267&amp;"-"&amp;E267&amp;"-"&amp;F267&amp;"-Pos3",'Shooter-Squad Assignment'!$W:$W,0)),""),IF(F267="Sporting Clays",IFERROR(INDEX('Shooter-Squad Assignment'!$A:$A,MATCH(C267&amp;"-"&amp;E267&amp;"-"&amp;F267&amp;"-Pos3",'Shooter-Squad Assignment'!$Z:$Z,0)),""),"")))</f>
        <v/>
      </c>
      <c r="L267" s="73" t="str">
        <f>IF(ISBLANK(K267),"",IFERROR(INDEX('Tournament List'!$D:$D,MATCH(K267,'Tournament List'!$A:$A,0)),""))</f>
        <v/>
      </c>
      <c r="M267" s="94" t="str">
        <f>IF(F267="Skeet",IFERROR(INDEX('Shooter-Squad Assignment'!$A:$A,MATCH(C267&amp;"-"&amp;E267&amp;"-"&amp;F267&amp;"-Pos4",'Shooter-Squad Assignment'!$K:$K,0)),""),IF(F267="Trap",IFERROR(INDEX('Shooter-Squad Assignment'!$A:$A,MATCH(C267&amp;"-"&amp;E267&amp;"-"&amp;F267&amp;"-Pos4",'Shooter-Squad Assignment'!$W:$W,0)),""),IF(F267="Sporting Clays",IFERROR(INDEX('Shooter-Squad Assignment'!$A:$A,MATCH(C267&amp;"-"&amp;E267&amp;"-"&amp;F267&amp;"-Pos4",'Shooter-Squad Assignment'!$Z:$Z,0)),""),"")))</f>
        <v/>
      </c>
      <c r="N267" s="73" t="str">
        <f>IF(ISBLANK(M267),"",IFERROR(INDEX('Tournament List'!$D:$D,MATCH(M267,'Tournament List'!$A:$A,0)),""))</f>
        <v/>
      </c>
      <c r="O267" s="94" t="str">
        <f>IF(F267="Skeet",IFERROR(INDEX('Shooter-Squad Assignment'!$A:$A,MATCH(C267&amp;"-"&amp;E267&amp;"-"&amp;F267&amp;"-Pos5",'Shooter-Squad Assignment'!$K:$K,0)),""),IF(F267="Trap",IFERROR(INDEX('Shooter-Squad Assignment'!$A:$A,MATCH(C267&amp;"-"&amp;E267&amp;"-"&amp;F267&amp;"-Pos5",'Shooter-Squad Assignment'!$W:$W,0)),""),IF(F267="Sporting Clays",IFERROR(INDEX('Shooter-Squad Assignment'!$A:$A,MATCH(C267&amp;"-"&amp;E267&amp;"-"&amp;F267&amp;"-Pos5",'Shooter-Squad Assignment'!$Z:$Z,0)),""),"")))</f>
        <v/>
      </c>
      <c r="P267" s="79" t="str">
        <f>IF(ISBLANK(O267),"",IFERROR(INDEX('Tournament List'!$D:$D,MATCH(O267,'Tournament List'!$A:$A,0)),""))</f>
        <v/>
      </c>
    </row>
    <row r="268" spans="1:16" x14ac:dyDescent="0.3">
      <c r="A268" s="78">
        <v>267</v>
      </c>
      <c r="B268" s="73" t="str">
        <f>C268&amp;"-"&amp;E268&amp;"-"&amp;F268</f>
        <v>Rocky Mountain Clay Busters-Collegiate 1-Trap</v>
      </c>
      <c r="C268" s="73" t="s">
        <v>319</v>
      </c>
      <c r="D268" s="73" t="str">
        <f>INDEX('Tournament Setup'!$B$59:$B$78,MATCH(E268,SquadConcurrents,0))</f>
        <v>Collegiate</v>
      </c>
      <c r="E268" s="73" t="s">
        <v>342</v>
      </c>
      <c r="F268" s="73" t="s">
        <v>147</v>
      </c>
      <c r="G268" s="94" t="str">
        <f>IF(F268="Skeet",IFERROR(INDEX('Shooter-Squad Assignment'!$A:$A,MATCH(C268&amp;"-"&amp;E268&amp;"-"&amp;F268&amp;"-Pos1",'Shooter-Squad Assignment'!$K:$K,0)),""),IF(F268="Trap",IFERROR(INDEX('Shooter-Squad Assignment'!$A:$A,MATCH(C268&amp;"-"&amp;E268&amp;"-"&amp;F268&amp;"-Pos1",'Shooter-Squad Assignment'!$W:$W,0)),""),IF(F268="Sporting Clays",IFERROR(INDEX('Shooter-Squad Assignment'!$A:$A,MATCH(C268&amp;"-"&amp;E268&amp;"-"&amp;F268&amp;"-Pos1",'Shooter-Squad Assignment'!$Z:$Z,0)),""),"")))</f>
        <v/>
      </c>
      <c r="H268" s="73" t="str">
        <f>IF(ISBLANK(G268),"",IFERROR(INDEX('Tournament List'!$D:$D,MATCH(G268,'Tournament List'!$A:$A,0)),""))</f>
        <v/>
      </c>
      <c r="I268" s="94" t="str">
        <f>IF(F268="Skeet",IFERROR(INDEX('Shooter-Squad Assignment'!$A:$A,MATCH(C268&amp;"-"&amp;E268&amp;"-"&amp;F268&amp;"-Pos2",'Shooter-Squad Assignment'!$K:$K,0)),""),IF(F268="Trap",IFERROR(INDEX('Shooter-Squad Assignment'!$A:$A,MATCH(C268&amp;"-"&amp;E268&amp;"-"&amp;F268&amp;"-Pos2",'Shooter-Squad Assignment'!$W:$W,0)),""),IF(F268="Sporting Clays",IFERROR(INDEX('Shooter-Squad Assignment'!$A:$A,MATCH(C268&amp;"-"&amp;E268&amp;"-"&amp;F268&amp;"-Pos2",'Shooter-Squad Assignment'!$Z:$Z,0)),""),"")))</f>
        <v/>
      </c>
      <c r="J268" s="73" t="str">
        <f>IF(ISBLANK(I268),"",IFERROR(INDEX('Tournament List'!$D:$D,MATCH(I268,'Tournament List'!$A:$A,0)),""))</f>
        <v/>
      </c>
      <c r="K268" s="94" t="str">
        <f>IF(F268="Skeet",IFERROR(INDEX('Shooter-Squad Assignment'!$A:$A,MATCH(C268&amp;"-"&amp;E268&amp;"-"&amp;F268&amp;"-Pos3",'Shooter-Squad Assignment'!$K:$K,0)),""),IF(F268="Trap",IFERROR(INDEX('Shooter-Squad Assignment'!$A:$A,MATCH(C268&amp;"-"&amp;E268&amp;"-"&amp;F268&amp;"-Pos3",'Shooter-Squad Assignment'!$W:$W,0)),""),IF(F268="Sporting Clays",IFERROR(INDEX('Shooter-Squad Assignment'!$A:$A,MATCH(C268&amp;"-"&amp;E268&amp;"-"&amp;F268&amp;"-Pos3",'Shooter-Squad Assignment'!$Z:$Z,0)),""),"")))</f>
        <v/>
      </c>
      <c r="L268" s="73" t="str">
        <f>IF(ISBLANK(K268),"",IFERROR(INDEX('Tournament List'!$D:$D,MATCH(K268,'Tournament List'!$A:$A,0)),""))</f>
        <v/>
      </c>
      <c r="M268" s="94" t="str">
        <f>IF(F268="Skeet",IFERROR(INDEX('Shooter-Squad Assignment'!$A:$A,MATCH(C268&amp;"-"&amp;E268&amp;"-"&amp;F268&amp;"-Pos4",'Shooter-Squad Assignment'!$K:$K,0)),""),IF(F268="Trap",IFERROR(INDEX('Shooter-Squad Assignment'!$A:$A,MATCH(C268&amp;"-"&amp;E268&amp;"-"&amp;F268&amp;"-Pos4",'Shooter-Squad Assignment'!$W:$W,0)),""),IF(F268="Sporting Clays",IFERROR(INDEX('Shooter-Squad Assignment'!$A:$A,MATCH(C268&amp;"-"&amp;E268&amp;"-"&amp;F268&amp;"-Pos4",'Shooter-Squad Assignment'!$Z:$Z,0)),""),"")))</f>
        <v/>
      </c>
      <c r="N268" s="73" t="str">
        <f>IF(ISBLANK(M268),"",IFERROR(INDEX('Tournament List'!$D:$D,MATCH(M268,'Tournament List'!$A:$A,0)),""))</f>
        <v/>
      </c>
      <c r="O268" s="94" t="str">
        <f>IF(F268="Skeet",IFERROR(INDEX('Shooter-Squad Assignment'!$A:$A,MATCH(C268&amp;"-"&amp;E268&amp;"-"&amp;F268&amp;"-Pos5",'Shooter-Squad Assignment'!$K:$K,0)),""),IF(F268="Trap",IFERROR(INDEX('Shooter-Squad Assignment'!$A:$A,MATCH(C268&amp;"-"&amp;E268&amp;"-"&amp;F268&amp;"-Pos5",'Shooter-Squad Assignment'!$W:$W,0)),""),IF(F268="Sporting Clays",IFERROR(INDEX('Shooter-Squad Assignment'!$A:$A,MATCH(C268&amp;"-"&amp;E268&amp;"-"&amp;F268&amp;"-Pos5",'Shooter-Squad Assignment'!$Z:$Z,0)),""),"")))</f>
        <v/>
      </c>
      <c r="P268" s="79" t="str">
        <f>IF(ISBLANK(O268),"",IFERROR(INDEX('Tournament List'!$D:$D,MATCH(O268,'Tournament List'!$A:$A,0)),""))</f>
        <v/>
      </c>
    </row>
    <row r="269" spans="1:16" x14ac:dyDescent="0.3">
      <c r="A269" s="78">
        <v>268</v>
      </c>
      <c r="B269" s="73" t="str">
        <f>C269&amp;"-"&amp;E269&amp;"-"&amp;F269</f>
        <v>Rocky Mountain Clay Busters-Collegiate 2-Trap</v>
      </c>
      <c r="C269" s="73" t="s">
        <v>319</v>
      </c>
      <c r="D269" s="73" t="str">
        <f>INDEX('Tournament Setup'!$B$59:$B$78,MATCH(E269,SquadConcurrents,0))</f>
        <v>Collegiate</v>
      </c>
      <c r="E269" s="73" t="s">
        <v>348</v>
      </c>
      <c r="F269" s="73" t="s">
        <v>147</v>
      </c>
      <c r="G269" s="94" t="str">
        <f>IF(F269="Skeet",IFERROR(INDEX('Shooter-Squad Assignment'!$A:$A,MATCH(C269&amp;"-"&amp;E269&amp;"-"&amp;F269&amp;"-Pos1",'Shooter-Squad Assignment'!$K:$K,0)),""),IF(F269="Trap",IFERROR(INDEX('Shooter-Squad Assignment'!$A:$A,MATCH(C269&amp;"-"&amp;E269&amp;"-"&amp;F269&amp;"-Pos1",'Shooter-Squad Assignment'!$W:$W,0)),""),IF(F269="Sporting Clays",IFERROR(INDEX('Shooter-Squad Assignment'!$A:$A,MATCH(C269&amp;"-"&amp;E269&amp;"-"&amp;F269&amp;"-Pos1",'Shooter-Squad Assignment'!$Z:$Z,0)),""),"")))</f>
        <v/>
      </c>
      <c r="H269" s="73" t="str">
        <f>IF(ISBLANK(G269),"",IFERROR(INDEX('Tournament List'!$D:$D,MATCH(G269,'Tournament List'!$A:$A,0)),""))</f>
        <v/>
      </c>
      <c r="I269" s="94" t="str">
        <f>IF(F269="Skeet",IFERROR(INDEX('Shooter-Squad Assignment'!$A:$A,MATCH(C269&amp;"-"&amp;E269&amp;"-"&amp;F269&amp;"-Pos2",'Shooter-Squad Assignment'!$K:$K,0)),""),IF(F269="Trap",IFERROR(INDEX('Shooter-Squad Assignment'!$A:$A,MATCH(C269&amp;"-"&amp;E269&amp;"-"&amp;F269&amp;"-Pos2",'Shooter-Squad Assignment'!$W:$W,0)),""),IF(F269="Sporting Clays",IFERROR(INDEX('Shooter-Squad Assignment'!$A:$A,MATCH(C269&amp;"-"&amp;E269&amp;"-"&amp;F269&amp;"-Pos2",'Shooter-Squad Assignment'!$Z:$Z,0)),""),"")))</f>
        <v/>
      </c>
      <c r="J269" s="73" t="str">
        <f>IF(ISBLANK(I269),"",IFERROR(INDEX('Tournament List'!$D:$D,MATCH(I269,'Tournament List'!$A:$A,0)),""))</f>
        <v/>
      </c>
      <c r="K269" s="94" t="str">
        <f>IF(F269="Skeet",IFERROR(INDEX('Shooter-Squad Assignment'!$A:$A,MATCH(C269&amp;"-"&amp;E269&amp;"-"&amp;F269&amp;"-Pos3",'Shooter-Squad Assignment'!$K:$K,0)),""),IF(F269="Trap",IFERROR(INDEX('Shooter-Squad Assignment'!$A:$A,MATCH(C269&amp;"-"&amp;E269&amp;"-"&amp;F269&amp;"-Pos3",'Shooter-Squad Assignment'!$W:$W,0)),""),IF(F269="Sporting Clays",IFERROR(INDEX('Shooter-Squad Assignment'!$A:$A,MATCH(C269&amp;"-"&amp;E269&amp;"-"&amp;F269&amp;"-Pos3",'Shooter-Squad Assignment'!$Z:$Z,0)),""),"")))</f>
        <v/>
      </c>
      <c r="L269" s="73" t="str">
        <f>IF(ISBLANK(K269),"",IFERROR(INDEX('Tournament List'!$D:$D,MATCH(K269,'Tournament List'!$A:$A,0)),""))</f>
        <v/>
      </c>
      <c r="M269" s="94" t="str">
        <f>IF(F269="Skeet",IFERROR(INDEX('Shooter-Squad Assignment'!$A:$A,MATCH(C269&amp;"-"&amp;E269&amp;"-"&amp;F269&amp;"-Pos4",'Shooter-Squad Assignment'!$K:$K,0)),""),IF(F269="Trap",IFERROR(INDEX('Shooter-Squad Assignment'!$A:$A,MATCH(C269&amp;"-"&amp;E269&amp;"-"&amp;F269&amp;"-Pos4",'Shooter-Squad Assignment'!$W:$W,0)),""),IF(F269="Sporting Clays",IFERROR(INDEX('Shooter-Squad Assignment'!$A:$A,MATCH(C269&amp;"-"&amp;E269&amp;"-"&amp;F269&amp;"-Pos4",'Shooter-Squad Assignment'!$Z:$Z,0)),""),"")))</f>
        <v/>
      </c>
      <c r="N269" s="73" t="str">
        <f>IF(ISBLANK(M269),"",IFERROR(INDEX('Tournament List'!$D:$D,MATCH(M269,'Tournament List'!$A:$A,0)),""))</f>
        <v/>
      </c>
      <c r="O269" s="94" t="str">
        <f>IF(F269="Skeet",IFERROR(INDEX('Shooter-Squad Assignment'!$A:$A,MATCH(C269&amp;"-"&amp;E269&amp;"-"&amp;F269&amp;"-Pos5",'Shooter-Squad Assignment'!$K:$K,0)),""),IF(F269="Trap",IFERROR(INDEX('Shooter-Squad Assignment'!$A:$A,MATCH(C269&amp;"-"&amp;E269&amp;"-"&amp;F269&amp;"-Pos5",'Shooter-Squad Assignment'!$W:$W,0)),""),IF(F269="Sporting Clays",IFERROR(INDEX('Shooter-Squad Assignment'!$A:$A,MATCH(C269&amp;"-"&amp;E269&amp;"-"&amp;F269&amp;"-Pos5",'Shooter-Squad Assignment'!$Z:$Z,0)),""),"")))</f>
        <v/>
      </c>
      <c r="P269" s="79" t="str">
        <f>IF(ISBLANK(O269),"",IFERROR(INDEX('Tournament List'!$D:$D,MATCH(O269,'Tournament List'!$A:$A,0)),""))</f>
        <v/>
      </c>
    </row>
    <row r="270" spans="1:16" x14ac:dyDescent="0.3">
      <c r="A270" s="78">
        <v>269</v>
      </c>
      <c r="B270" s="73" t="str">
        <f>C270&amp;"-"&amp;E270&amp;"-"&amp;F270</f>
        <v>Rocky Mountain Clay Busters-Collegiate 3-Trap</v>
      </c>
      <c r="C270" s="73" t="s">
        <v>319</v>
      </c>
      <c r="D270" s="73" t="str">
        <f>INDEX('Tournament Setup'!$B$59:$B$78,MATCH(E270,SquadConcurrents,0))</f>
        <v>Collegiate</v>
      </c>
      <c r="E270" s="73" t="s">
        <v>354</v>
      </c>
      <c r="F270" s="73" t="s">
        <v>147</v>
      </c>
      <c r="G270" s="94" t="str">
        <f>IF(F270="Skeet",IFERROR(INDEX('Shooter-Squad Assignment'!$A:$A,MATCH(C270&amp;"-"&amp;E270&amp;"-"&amp;F270&amp;"-Pos1",'Shooter-Squad Assignment'!$K:$K,0)),""),IF(F270="Trap",IFERROR(INDEX('Shooter-Squad Assignment'!$A:$A,MATCH(C270&amp;"-"&amp;E270&amp;"-"&amp;F270&amp;"-Pos1",'Shooter-Squad Assignment'!$W:$W,0)),""),IF(F270="Sporting Clays",IFERROR(INDEX('Shooter-Squad Assignment'!$A:$A,MATCH(C270&amp;"-"&amp;E270&amp;"-"&amp;F270&amp;"-Pos1",'Shooter-Squad Assignment'!$Z:$Z,0)),""),"")))</f>
        <v/>
      </c>
      <c r="H270" s="73" t="str">
        <f>IF(ISBLANK(G270),"",IFERROR(INDEX('Tournament List'!$D:$D,MATCH(G270,'Tournament List'!$A:$A,0)),""))</f>
        <v/>
      </c>
      <c r="I270" s="94" t="str">
        <f>IF(F270="Skeet",IFERROR(INDEX('Shooter-Squad Assignment'!$A:$A,MATCH(C270&amp;"-"&amp;E270&amp;"-"&amp;F270&amp;"-Pos2",'Shooter-Squad Assignment'!$K:$K,0)),""),IF(F270="Trap",IFERROR(INDEX('Shooter-Squad Assignment'!$A:$A,MATCH(C270&amp;"-"&amp;E270&amp;"-"&amp;F270&amp;"-Pos2",'Shooter-Squad Assignment'!$W:$W,0)),""),IF(F270="Sporting Clays",IFERROR(INDEX('Shooter-Squad Assignment'!$A:$A,MATCH(C270&amp;"-"&amp;E270&amp;"-"&amp;F270&amp;"-Pos2",'Shooter-Squad Assignment'!$Z:$Z,0)),""),"")))</f>
        <v/>
      </c>
      <c r="J270" s="73" t="str">
        <f>IF(ISBLANK(I270),"",IFERROR(INDEX('Tournament List'!$D:$D,MATCH(I270,'Tournament List'!$A:$A,0)),""))</f>
        <v/>
      </c>
      <c r="K270" s="94" t="str">
        <f>IF(F270="Skeet",IFERROR(INDEX('Shooter-Squad Assignment'!$A:$A,MATCH(C270&amp;"-"&amp;E270&amp;"-"&amp;F270&amp;"-Pos3",'Shooter-Squad Assignment'!$K:$K,0)),""),IF(F270="Trap",IFERROR(INDEX('Shooter-Squad Assignment'!$A:$A,MATCH(C270&amp;"-"&amp;E270&amp;"-"&amp;F270&amp;"-Pos3",'Shooter-Squad Assignment'!$W:$W,0)),""),IF(F270="Sporting Clays",IFERROR(INDEX('Shooter-Squad Assignment'!$A:$A,MATCH(C270&amp;"-"&amp;E270&amp;"-"&amp;F270&amp;"-Pos3",'Shooter-Squad Assignment'!$Z:$Z,0)),""),"")))</f>
        <v/>
      </c>
      <c r="L270" s="73" t="str">
        <f>IF(ISBLANK(K270),"",IFERROR(INDEX('Tournament List'!$D:$D,MATCH(K270,'Tournament List'!$A:$A,0)),""))</f>
        <v/>
      </c>
      <c r="M270" s="94" t="str">
        <f>IF(F270="Skeet",IFERROR(INDEX('Shooter-Squad Assignment'!$A:$A,MATCH(C270&amp;"-"&amp;E270&amp;"-"&amp;F270&amp;"-Pos4",'Shooter-Squad Assignment'!$K:$K,0)),""),IF(F270="Trap",IFERROR(INDEX('Shooter-Squad Assignment'!$A:$A,MATCH(C270&amp;"-"&amp;E270&amp;"-"&amp;F270&amp;"-Pos4",'Shooter-Squad Assignment'!$W:$W,0)),""),IF(F270="Sporting Clays",IFERROR(INDEX('Shooter-Squad Assignment'!$A:$A,MATCH(C270&amp;"-"&amp;E270&amp;"-"&amp;F270&amp;"-Pos4",'Shooter-Squad Assignment'!$Z:$Z,0)),""),"")))</f>
        <v/>
      </c>
      <c r="N270" s="73" t="str">
        <f>IF(ISBLANK(M270),"",IFERROR(INDEX('Tournament List'!$D:$D,MATCH(M270,'Tournament List'!$A:$A,0)),""))</f>
        <v/>
      </c>
      <c r="O270" s="94" t="str">
        <f>IF(F270="Skeet",IFERROR(INDEX('Shooter-Squad Assignment'!$A:$A,MATCH(C270&amp;"-"&amp;E270&amp;"-"&amp;F270&amp;"-Pos5",'Shooter-Squad Assignment'!$K:$K,0)),""),IF(F270="Trap",IFERROR(INDEX('Shooter-Squad Assignment'!$A:$A,MATCH(C270&amp;"-"&amp;E270&amp;"-"&amp;F270&amp;"-Pos5",'Shooter-Squad Assignment'!$W:$W,0)),""),IF(F270="Sporting Clays",IFERROR(INDEX('Shooter-Squad Assignment'!$A:$A,MATCH(C270&amp;"-"&amp;E270&amp;"-"&amp;F270&amp;"-Pos5",'Shooter-Squad Assignment'!$Z:$Z,0)),""),"")))</f>
        <v/>
      </c>
      <c r="P270" s="79" t="str">
        <f>IF(ISBLANK(O270),"",IFERROR(INDEX('Tournament List'!$D:$D,MATCH(O270,'Tournament List'!$A:$A,0)),""))</f>
        <v/>
      </c>
    </row>
    <row r="271" spans="1:16" x14ac:dyDescent="0.3">
      <c r="A271" s="78">
        <v>270</v>
      </c>
      <c r="B271" s="73" t="str">
        <f>C271&amp;"-"&amp;E271&amp;"-"&amp;F271</f>
        <v>Rocky Mountain Clay Busters-Intermediate 1-Trap</v>
      </c>
      <c r="C271" s="73" t="s">
        <v>319</v>
      </c>
      <c r="D271" s="73" t="str">
        <f>INDEX('Tournament Setup'!$B$59:$B$78,MATCH(E271,SquadConcurrents,0))</f>
        <v>Intermediate</v>
      </c>
      <c r="E271" s="73" t="s">
        <v>338</v>
      </c>
      <c r="F271" s="73" t="s">
        <v>147</v>
      </c>
      <c r="G271" s="94" t="str">
        <f>IF(F271="Skeet",IFERROR(INDEX('Shooter-Squad Assignment'!$A:$A,MATCH(C271&amp;"-"&amp;E271&amp;"-"&amp;F271&amp;"-Pos1",'Shooter-Squad Assignment'!$K:$K,0)),""),IF(F271="Trap",IFERROR(INDEX('Shooter-Squad Assignment'!$A:$A,MATCH(C271&amp;"-"&amp;E271&amp;"-"&amp;F271&amp;"-Pos1",'Shooter-Squad Assignment'!$W:$W,0)),""),IF(F271="Sporting Clays",IFERROR(INDEX('Shooter-Squad Assignment'!$A:$A,MATCH(C271&amp;"-"&amp;E271&amp;"-"&amp;F271&amp;"-Pos1",'Shooter-Squad Assignment'!$Z:$Z,0)),""),"")))</f>
        <v/>
      </c>
      <c r="H271" s="73" t="str">
        <f>IF(ISBLANK(G271),"",IFERROR(INDEX('Tournament List'!$D:$D,MATCH(G271,'Tournament List'!$A:$A,0)),""))</f>
        <v/>
      </c>
      <c r="I271" s="94" t="str">
        <f>IF(F271="Skeet",IFERROR(INDEX('Shooter-Squad Assignment'!$A:$A,MATCH(C271&amp;"-"&amp;E271&amp;"-"&amp;F271&amp;"-Pos2",'Shooter-Squad Assignment'!$K:$K,0)),""),IF(F271="Trap",IFERROR(INDEX('Shooter-Squad Assignment'!$A:$A,MATCH(C271&amp;"-"&amp;E271&amp;"-"&amp;F271&amp;"-Pos2",'Shooter-Squad Assignment'!$W:$W,0)),""),IF(F271="Sporting Clays",IFERROR(INDEX('Shooter-Squad Assignment'!$A:$A,MATCH(C271&amp;"-"&amp;E271&amp;"-"&amp;F271&amp;"-Pos2",'Shooter-Squad Assignment'!$Z:$Z,0)),""),"")))</f>
        <v/>
      </c>
      <c r="J271" s="73" t="str">
        <f>IF(ISBLANK(I271),"",IFERROR(INDEX('Tournament List'!$D:$D,MATCH(I271,'Tournament List'!$A:$A,0)),""))</f>
        <v/>
      </c>
      <c r="K271" s="94" t="str">
        <f>IF(F271="Skeet",IFERROR(INDEX('Shooter-Squad Assignment'!$A:$A,MATCH(C271&amp;"-"&amp;E271&amp;"-"&amp;F271&amp;"-Pos3",'Shooter-Squad Assignment'!$K:$K,0)),""),IF(F271="Trap",IFERROR(INDEX('Shooter-Squad Assignment'!$A:$A,MATCH(C271&amp;"-"&amp;E271&amp;"-"&amp;F271&amp;"-Pos3",'Shooter-Squad Assignment'!$W:$W,0)),""),IF(F271="Sporting Clays",IFERROR(INDEX('Shooter-Squad Assignment'!$A:$A,MATCH(C271&amp;"-"&amp;E271&amp;"-"&amp;F271&amp;"-Pos3",'Shooter-Squad Assignment'!$Z:$Z,0)),""),"")))</f>
        <v/>
      </c>
      <c r="L271" s="73" t="str">
        <f>IF(ISBLANK(K271),"",IFERROR(INDEX('Tournament List'!$D:$D,MATCH(K271,'Tournament List'!$A:$A,0)),""))</f>
        <v/>
      </c>
      <c r="M271" s="94" t="str">
        <f>IF(F271="Skeet",IFERROR(INDEX('Shooter-Squad Assignment'!$A:$A,MATCH(C271&amp;"-"&amp;E271&amp;"-"&amp;F271&amp;"-Pos4",'Shooter-Squad Assignment'!$K:$K,0)),""),IF(F271="Trap",IFERROR(INDEX('Shooter-Squad Assignment'!$A:$A,MATCH(C271&amp;"-"&amp;E271&amp;"-"&amp;F271&amp;"-Pos4",'Shooter-Squad Assignment'!$W:$W,0)),""),IF(F271="Sporting Clays",IFERROR(INDEX('Shooter-Squad Assignment'!$A:$A,MATCH(C271&amp;"-"&amp;E271&amp;"-"&amp;F271&amp;"-Pos4",'Shooter-Squad Assignment'!$Z:$Z,0)),""),"")))</f>
        <v/>
      </c>
      <c r="N271" s="73" t="str">
        <f>IF(ISBLANK(M271),"",IFERROR(INDEX('Tournament List'!$D:$D,MATCH(M271,'Tournament List'!$A:$A,0)),""))</f>
        <v/>
      </c>
      <c r="O271" s="94" t="str">
        <f>IF(F271="Skeet",IFERROR(INDEX('Shooter-Squad Assignment'!$A:$A,MATCH(C271&amp;"-"&amp;E271&amp;"-"&amp;F271&amp;"-Pos5",'Shooter-Squad Assignment'!$K:$K,0)),""),IF(F271="Trap",IFERROR(INDEX('Shooter-Squad Assignment'!$A:$A,MATCH(C271&amp;"-"&amp;E271&amp;"-"&amp;F271&amp;"-Pos5",'Shooter-Squad Assignment'!$W:$W,0)),""),IF(F271="Sporting Clays",IFERROR(INDEX('Shooter-Squad Assignment'!$A:$A,MATCH(C271&amp;"-"&amp;E271&amp;"-"&amp;F271&amp;"-Pos5",'Shooter-Squad Assignment'!$Z:$Z,0)),""),"")))</f>
        <v/>
      </c>
      <c r="P271" s="79" t="str">
        <f>IF(ISBLANK(O271),"",IFERROR(INDEX('Tournament List'!$D:$D,MATCH(O271,'Tournament List'!$A:$A,0)),""))</f>
        <v/>
      </c>
    </row>
    <row r="272" spans="1:16" x14ac:dyDescent="0.3">
      <c r="A272" s="78">
        <v>271</v>
      </c>
      <c r="B272" s="73" t="str">
        <f>C272&amp;"-"&amp;E272&amp;"-"&amp;F272</f>
        <v>Rocky Mountain Clay Busters-Intermediate 2-Trap</v>
      </c>
      <c r="C272" s="73" t="s">
        <v>319</v>
      </c>
      <c r="D272" s="73" t="str">
        <f>INDEX('Tournament Setup'!$B$59:$B$78,MATCH(E272,SquadConcurrents,0))</f>
        <v>Intermediate</v>
      </c>
      <c r="E272" s="73" t="s">
        <v>344</v>
      </c>
      <c r="F272" s="73" t="s">
        <v>147</v>
      </c>
      <c r="G272" s="94" t="str">
        <f>IF(F272="Skeet",IFERROR(INDEX('Shooter-Squad Assignment'!$A:$A,MATCH(C272&amp;"-"&amp;E272&amp;"-"&amp;F272&amp;"-Pos1",'Shooter-Squad Assignment'!$K:$K,0)),""),IF(F272="Trap",IFERROR(INDEX('Shooter-Squad Assignment'!$A:$A,MATCH(C272&amp;"-"&amp;E272&amp;"-"&amp;F272&amp;"-Pos1",'Shooter-Squad Assignment'!$W:$W,0)),""),IF(F272="Sporting Clays",IFERROR(INDEX('Shooter-Squad Assignment'!$A:$A,MATCH(C272&amp;"-"&amp;E272&amp;"-"&amp;F272&amp;"-Pos1",'Shooter-Squad Assignment'!$Z:$Z,0)),""),"")))</f>
        <v/>
      </c>
      <c r="H272" s="73" t="str">
        <f>IF(ISBLANK(G272),"",IFERROR(INDEX('Tournament List'!$D:$D,MATCH(G272,'Tournament List'!$A:$A,0)),""))</f>
        <v/>
      </c>
      <c r="I272" s="94" t="str">
        <f>IF(F272="Skeet",IFERROR(INDEX('Shooter-Squad Assignment'!$A:$A,MATCH(C272&amp;"-"&amp;E272&amp;"-"&amp;F272&amp;"-Pos2",'Shooter-Squad Assignment'!$K:$K,0)),""),IF(F272="Trap",IFERROR(INDEX('Shooter-Squad Assignment'!$A:$A,MATCH(C272&amp;"-"&amp;E272&amp;"-"&amp;F272&amp;"-Pos2",'Shooter-Squad Assignment'!$W:$W,0)),""),IF(F272="Sporting Clays",IFERROR(INDEX('Shooter-Squad Assignment'!$A:$A,MATCH(C272&amp;"-"&amp;E272&amp;"-"&amp;F272&amp;"-Pos2",'Shooter-Squad Assignment'!$Z:$Z,0)),""),"")))</f>
        <v/>
      </c>
      <c r="J272" s="73" t="str">
        <f>IF(ISBLANK(I272),"",IFERROR(INDEX('Tournament List'!$D:$D,MATCH(I272,'Tournament List'!$A:$A,0)),""))</f>
        <v/>
      </c>
      <c r="K272" s="94" t="str">
        <f>IF(F272="Skeet",IFERROR(INDEX('Shooter-Squad Assignment'!$A:$A,MATCH(C272&amp;"-"&amp;E272&amp;"-"&amp;F272&amp;"-Pos3",'Shooter-Squad Assignment'!$K:$K,0)),""),IF(F272="Trap",IFERROR(INDEX('Shooter-Squad Assignment'!$A:$A,MATCH(C272&amp;"-"&amp;E272&amp;"-"&amp;F272&amp;"-Pos3",'Shooter-Squad Assignment'!$W:$W,0)),""),IF(F272="Sporting Clays",IFERROR(INDEX('Shooter-Squad Assignment'!$A:$A,MATCH(C272&amp;"-"&amp;E272&amp;"-"&amp;F272&amp;"-Pos3",'Shooter-Squad Assignment'!$Z:$Z,0)),""),"")))</f>
        <v/>
      </c>
      <c r="L272" s="73" t="str">
        <f>IF(ISBLANK(K272),"",IFERROR(INDEX('Tournament List'!$D:$D,MATCH(K272,'Tournament List'!$A:$A,0)),""))</f>
        <v/>
      </c>
      <c r="M272" s="94" t="str">
        <f>IF(F272="Skeet",IFERROR(INDEX('Shooter-Squad Assignment'!$A:$A,MATCH(C272&amp;"-"&amp;E272&amp;"-"&amp;F272&amp;"-Pos4",'Shooter-Squad Assignment'!$K:$K,0)),""),IF(F272="Trap",IFERROR(INDEX('Shooter-Squad Assignment'!$A:$A,MATCH(C272&amp;"-"&amp;E272&amp;"-"&amp;F272&amp;"-Pos4",'Shooter-Squad Assignment'!$W:$W,0)),""),IF(F272="Sporting Clays",IFERROR(INDEX('Shooter-Squad Assignment'!$A:$A,MATCH(C272&amp;"-"&amp;E272&amp;"-"&amp;F272&amp;"-Pos4",'Shooter-Squad Assignment'!$Z:$Z,0)),""),"")))</f>
        <v/>
      </c>
      <c r="N272" s="73" t="str">
        <f>IF(ISBLANK(M272),"",IFERROR(INDEX('Tournament List'!$D:$D,MATCH(M272,'Tournament List'!$A:$A,0)),""))</f>
        <v/>
      </c>
      <c r="O272" s="94" t="str">
        <f>IF(F272="Skeet",IFERROR(INDEX('Shooter-Squad Assignment'!$A:$A,MATCH(C272&amp;"-"&amp;E272&amp;"-"&amp;F272&amp;"-Pos5",'Shooter-Squad Assignment'!$K:$K,0)),""),IF(F272="Trap",IFERROR(INDEX('Shooter-Squad Assignment'!$A:$A,MATCH(C272&amp;"-"&amp;E272&amp;"-"&amp;F272&amp;"-Pos5",'Shooter-Squad Assignment'!$W:$W,0)),""),IF(F272="Sporting Clays",IFERROR(INDEX('Shooter-Squad Assignment'!$A:$A,MATCH(C272&amp;"-"&amp;E272&amp;"-"&amp;F272&amp;"-Pos5",'Shooter-Squad Assignment'!$Z:$Z,0)),""),"")))</f>
        <v/>
      </c>
      <c r="P272" s="79" t="str">
        <f>IF(ISBLANK(O272),"",IFERROR(INDEX('Tournament List'!$D:$D,MATCH(O272,'Tournament List'!$A:$A,0)),""))</f>
        <v/>
      </c>
    </row>
    <row r="273" spans="1:16" x14ac:dyDescent="0.3">
      <c r="A273" s="78">
        <v>272</v>
      </c>
      <c r="B273" s="73" t="str">
        <f>C273&amp;"-"&amp;E273&amp;"-"&amp;F273</f>
        <v>Rocky Mountain Clay Busters-Intermediate 3-Trap</v>
      </c>
      <c r="C273" s="73" t="s">
        <v>319</v>
      </c>
      <c r="D273" s="73" t="str">
        <f>INDEX('Tournament Setup'!$B$59:$B$78,MATCH(E273,SquadConcurrents,0))</f>
        <v>Intermediate</v>
      </c>
      <c r="E273" s="73" t="s">
        <v>350</v>
      </c>
      <c r="F273" s="73" t="s">
        <v>147</v>
      </c>
      <c r="G273" s="94" t="str">
        <f>IF(F273="Skeet",IFERROR(INDEX('Shooter-Squad Assignment'!$A:$A,MATCH(C273&amp;"-"&amp;E273&amp;"-"&amp;F273&amp;"-Pos1",'Shooter-Squad Assignment'!$K:$K,0)),""),IF(F273="Trap",IFERROR(INDEX('Shooter-Squad Assignment'!$A:$A,MATCH(C273&amp;"-"&amp;E273&amp;"-"&amp;F273&amp;"-Pos1",'Shooter-Squad Assignment'!$W:$W,0)),""),IF(F273="Sporting Clays",IFERROR(INDEX('Shooter-Squad Assignment'!$A:$A,MATCH(C273&amp;"-"&amp;E273&amp;"-"&amp;F273&amp;"-Pos1",'Shooter-Squad Assignment'!$Z:$Z,0)),""),"")))</f>
        <v/>
      </c>
      <c r="H273" s="73" t="str">
        <f>IF(ISBLANK(G273),"",IFERROR(INDEX('Tournament List'!$D:$D,MATCH(G273,'Tournament List'!$A:$A,0)),""))</f>
        <v/>
      </c>
      <c r="I273" s="94" t="str">
        <f>IF(F273="Skeet",IFERROR(INDEX('Shooter-Squad Assignment'!$A:$A,MATCH(C273&amp;"-"&amp;E273&amp;"-"&amp;F273&amp;"-Pos2",'Shooter-Squad Assignment'!$K:$K,0)),""),IF(F273="Trap",IFERROR(INDEX('Shooter-Squad Assignment'!$A:$A,MATCH(C273&amp;"-"&amp;E273&amp;"-"&amp;F273&amp;"-Pos2",'Shooter-Squad Assignment'!$W:$W,0)),""),IF(F273="Sporting Clays",IFERROR(INDEX('Shooter-Squad Assignment'!$A:$A,MATCH(C273&amp;"-"&amp;E273&amp;"-"&amp;F273&amp;"-Pos2",'Shooter-Squad Assignment'!$Z:$Z,0)),""),"")))</f>
        <v/>
      </c>
      <c r="J273" s="73" t="str">
        <f>IF(ISBLANK(I273),"",IFERROR(INDEX('Tournament List'!$D:$D,MATCH(I273,'Tournament List'!$A:$A,0)),""))</f>
        <v/>
      </c>
      <c r="K273" s="94" t="str">
        <f>IF(F273="Skeet",IFERROR(INDEX('Shooter-Squad Assignment'!$A:$A,MATCH(C273&amp;"-"&amp;E273&amp;"-"&amp;F273&amp;"-Pos3",'Shooter-Squad Assignment'!$K:$K,0)),""),IF(F273="Trap",IFERROR(INDEX('Shooter-Squad Assignment'!$A:$A,MATCH(C273&amp;"-"&amp;E273&amp;"-"&amp;F273&amp;"-Pos3",'Shooter-Squad Assignment'!$W:$W,0)),""),IF(F273="Sporting Clays",IFERROR(INDEX('Shooter-Squad Assignment'!$A:$A,MATCH(C273&amp;"-"&amp;E273&amp;"-"&amp;F273&amp;"-Pos3",'Shooter-Squad Assignment'!$Z:$Z,0)),""),"")))</f>
        <v/>
      </c>
      <c r="L273" s="73" t="str">
        <f>IF(ISBLANK(K273),"",IFERROR(INDEX('Tournament List'!$D:$D,MATCH(K273,'Tournament List'!$A:$A,0)),""))</f>
        <v/>
      </c>
      <c r="M273" s="94" t="str">
        <f>IF(F273="Skeet",IFERROR(INDEX('Shooter-Squad Assignment'!$A:$A,MATCH(C273&amp;"-"&amp;E273&amp;"-"&amp;F273&amp;"-Pos4",'Shooter-Squad Assignment'!$K:$K,0)),""),IF(F273="Trap",IFERROR(INDEX('Shooter-Squad Assignment'!$A:$A,MATCH(C273&amp;"-"&amp;E273&amp;"-"&amp;F273&amp;"-Pos4",'Shooter-Squad Assignment'!$W:$W,0)),""),IF(F273="Sporting Clays",IFERROR(INDEX('Shooter-Squad Assignment'!$A:$A,MATCH(C273&amp;"-"&amp;E273&amp;"-"&amp;F273&amp;"-Pos4",'Shooter-Squad Assignment'!$Z:$Z,0)),""),"")))</f>
        <v/>
      </c>
      <c r="N273" s="73" t="str">
        <f>IF(ISBLANK(M273),"",IFERROR(INDEX('Tournament List'!$D:$D,MATCH(M273,'Tournament List'!$A:$A,0)),""))</f>
        <v/>
      </c>
      <c r="O273" s="94" t="str">
        <f>IF(F273="Skeet",IFERROR(INDEX('Shooter-Squad Assignment'!$A:$A,MATCH(C273&amp;"-"&amp;E273&amp;"-"&amp;F273&amp;"-Pos5",'Shooter-Squad Assignment'!$K:$K,0)),""),IF(F273="Trap",IFERROR(INDEX('Shooter-Squad Assignment'!$A:$A,MATCH(C273&amp;"-"&amp;E273&amp;"-"&amp;F273&amp;"-Pos5",'Shooter-Squad Assignment'!$W:$W,0)),""),IF(F273="Sporting Clays",IFERROR(INDEX('Shooter-Squad Assignment'!$A:$A,MATCH(C273&amp;"-"&amp;E273&amp;"-"&amp;F273&amp;"-Pos5",'Shooter-Squad Assignment'!$Z:$Z,0)),""),"")))</f>
        <v/>
      </c>
      <c r="P273" s="79" t="str">
        <f>IF(ISBLANK(O273),"",IFERROR(INDEX('Tournament List'!$D:$D,MATCH(O273,'Tournament List'!$A:$A,0)),""))</f>
        <v/>
      </c>
    </row>
    <row r="274" spans="1:16" x14ac:dyDescent="0.3">
      <c r="A274" s="78">
        <v>273</v>
      </c>
      <c r="B274" s="73" t="str">
        <f>C274&amp;"-"&amp;E274&amp;"-"&amp;F274</f>
        <v>Rocky Mountain Clay Busters-Junior Varsity 1-Trap</v>
      </c>
      <c r="C274" s="73" t="s">
        <v>319</v>
      </c>
      <c r="D274" s="73" t="str">
        <f>INDEX('Tournament Setup'!$B$59:$B$78,MATCH(E274,SquadConcurrents,0))</f>
        <v>Junior Varsity</v>
      </c>
      <c r="E274" s="73" t="s">
        <v>339</v>
      </c>
      <c r="F274" s="73" t="s">
        <v>147</v>
      </c>
      <c r="G274" s="94" t="str">
        <f>IF(F274="Skeet",IFERROR(INDEX('Shooter-Squad Assignment'!$A:$A,MATCH(C274&amp;"-"&amp;E274&amp;"-"&amp;F274&amp;"-Pos1",'Shooter-Squad Assignment'!$K:$K,0)),""),IF(F274="Trap",IFERROR(INDEX('Shooter-Squad Assignment'!$A:$A,MATCH(C274&amp;"-"&amp;E274&amp;"-"&amp;F274&amp;"-Pos1",'Shooter-Squad Assignment'!$W:$W,0)),""),IF(F274="Sporting Clays",IFERROR(INDEX('Shooter-Squad Assignment'!$A:$A,MATCH(C274&amp;"-"&amp;E274&amp;"-"&amp;F274&amp;"-Pos1",'Shooter-Squad Assignment'!$Z:$Z,0)),""),"")))</f>
        <v/>
      </c>
      <c r="H274" s="73" t="str">
        <f>IF(ISBLANK(G274),"",IFERROR(INDEX('Tournament List'!$D:$D,MATCH(G274,'Tournament List'!$A:$A,0)),""))</f>
        <v/>
      </c>
      <c r="I274" s="94" t="str">
        <f>IF(F274="Skeet",IFERROR(INDEX('Shooter-Squad Assignment'!$A:$A,MATCH(C274&amp;"-"&amp;E274&amp;"-"&amp;F274&amp;"-Pos2",'Shooter-Squad Assignment'!$K:$K,0)),""),IF(F274="Trap",IFERROR(INDEX('Shooter-Squad Assignment'!$A:$A,MATCH(C274&amp;"-"&amp;E274&amp;"-"&amp;F274&amp;"-Pos2",'Shooter-Squad Assignment'!$W:$W,0)),""),IF(F274="Sporting Clays",IFERROR(INDEX('Shooter-Squad Assignment'!$A:$A,MATCH(C274&amp;"-"&amp;E274&amp;"-"&amp;F274&amp;"-Pos2",'Shooter-Squad Assignment'!$Z:$Z,0)),""),"")))</f>
        <v/>
      </c>
      <c r="J274" s="73" t="str">
        <f>IF(ISBLANK(I274),"",IFERROR(INDEX('Tournament List'!$D:$D,MATCH(I274,'Tournament List'!$A:$A,0)),""))</f>
        <v/>
      </c>
      <c r="K274" s="94" t="str">
        <f>IF(F274="Skeet",IFERROR(INDEX('Shooter-Squad Assignment'!$A:$A,MATCH(C274&amp;"-"&amp;E274&amp;"-"&amp;F274&amp;"-Pos3",'Shooter-Squad Assignment'!$K:$K,0)),""),IF(F274="Trap",IFERROR(INDEX('Shooter-Squad Assignment'!$A:$A,MATCH(C274&amp;"-"&amp;E274&amp;"-"&amp;F274&amp;"-Pos3",'Shooter-Squad Assignment'!$W:$W,0)),""),IF(F274="Sporting Clays",IFERROR(INDEX('Shooter-Squad Assignment'!$A:$A,MATCH(C274&amp;"-"&amp;E274&amp;"-"&amp;F274&amp;"-Pos3",'Shooter-Squad Assignment'!$Z:$Z,0)),""),"")))</f>
        <v/>
      </c>
      <c r="L274" s="73" t="str">
        <f>IF(ISBLANK(K274),"",IFERROR(INDEX('Tournament List'!$D:$D,MATCH(K274,'Tournament List'!$A:$A,0)),""))</f>
        <v/>
      </c>
      <c r="M274" s="94" t="str">
        <f>IF(F274="Skeet",IFERROR(INDEX('Shooter-Squad Assignment'!$A:$A,MATCH(C274&amp;"-"&amp;E274&amp;"-"&amp;F274&amp;"-Pos4",'Shooter-Squad Assignment'!$K:$K,0)),""),IF(F274="Trap",IFERROR(INDEX('Shooter-Squad Assignment'!$A:$A,MATCH(C274&amp;"-"&amp;E274&amp;"-"&amp;F274&amp;"-Pos4",'Shooter-Squad Assignment'!$W:$W,0)),""),IF(F274="Sporting Clays",IFERROR(INDEX('Shooter-Squad Assignment'!$A:$A,MATCH(C274&amp;"-"&amp;E274&amp;"-"&amp;F274&amp;"-Pos4",'Shooter-Squad Assignment'!$Z:$Z,0)),""),"")))</f>
        <v/>
      </c>
      <c r="N274" s="73" t="str">
        <f>IF(ISBLANK(M274),"",IFERROR(INDEX('Tournament List'!$D:$D,MATCH(M274,'Tournament List'!$A:$A,0)),""))</f>
        <v/>
      </c>
      <c r="O274" s="94" t="str">
        <f>IF(F274="Skeet",IFERROR(INDEX('Shooter-Squad Assignment'!$A:$A,MATCH(C274&amp;"-"&amp;E274&amp;"-"&amp;F274&amp;"-Pos5",'Shooter-Squad Assignment'!$K:$K,0)),""),IF(F274="Trap",IFERROR(INDEX('Shooter-Squad Assignment'!$A:$A,MATCH(C274&amp;"-"&amp;E274&amp;"-"&amp;F274&amp;"-Pos5",'Shooter-Squad Assignment'!$W:$W,0)),""),IF(F274="Sporting Clays",IFERROR(INDEX('Shooter-Squad Assignment'!$A:$A,MATCH(C274&amp;"-"&amp;E274&amp;"-"&amp;F274&amp;"-Pos5",'Shooter-Squad Assignment'!$Z:$Z,0)),""),"")))</f>
        <v/>
      </c>
      <c r="P274" s="79" t="str">
        <f>IF(ISBLANK(O274),"",IFERROR(INDEX('Tournament List'!$D:$D,MATCH(O274,'Tournament List'!$A:$A,0)),""))</f>
        <v/>
      </c>
    </row>
    <row r="275" spans="1:16" x14ac:dyDescent="0.3">
      <c r="A275" s="78">
        <v>274</v>
      </c>
      <c r="B275" s="73" t="str">
        <f>C275&amp;"-"&amp;E275&amp;"-"&amp;F275</f>
        <v>Rocky Mountain Clay Busters-Junior Varsity 2-Trap</v>
      </c>
      <c r="C275" s="73" t="s">
        <v>319</v>
      </c>
      <c r="D275" s="73" t="str">
        <f>INDEX('Tournament Setup'!$B$59:$B$78,MATCH(E275,SquadConcurrents,0))</f>
        <v>Junior Varsity</v>
      </c>
      <c r="E275" s="73" t="s">
        <v>345</v>
      </c>
      <c r="F275" s="73" t="s">
        <v>147</v>
      </c>
      <c r="G275" s="94" t="str">
        <f>IF(F275="Skeet",IFERROR(INDEX('Shooter-Squad Assignment'!$A:$A,MATCH(C275&amp;"-"&amp;E275&amp;"-"&amp;F275&amp;"-Pos1",'Shooter-Squad Assignment'!$K:$K,0)),""),IF(F275="Trap",IFERROR(INDEX('Shooter-Squad Assignment'!$A:$A,MATCH(C275&amp;"-"&amp;E275&amp;"-"&amp;F275&amp;"-Pos1",'Shooter-Squad Assignment'!$W:$W,0)),""),IF(F275="Sporting Clays",IFERROR(INDEX('Shooter-Squad Assignment'!$A:$A,MATCH(C275&amp;"-"&amp;E275&amp;"-"&amp;F275&amp;"-Pos1",'Shooter-Squad Assignment'!$Z:$Z,0)),""),"")))</f>
        <v/>
      </c>
      <c r="H275" s="73" t="str">
        <f>IF(ISBLANK(G275),"",IFERROR(INDEX('Tournament List'!$D:$D,MATCH(G275,'Tournament List'!$A:$A,0)),""))</f>
        <v/>
      </c>
      <c r="I275" s="94" t="str">
        <f>IF(F275="Skeet",IFERROR(INDEX('Shooter-Squad Assignment'!$A:$A,MATCH(C275&amp;"-"&amp;E275&amp;"-"&amp;F275&amp;"-Pos2",'Shooter-Squad Assignment'!$K:$K,0)),""),IF(F275="Trap",IFERROR(INDEX('Shooter-Squad Assignment'!$A:$A,MATCH(C275&amp;"-"&amp;E275&amp;"-"&amp;F275&amp;"-Pos2",'Shooter-Squad Assignment'!$W:$W,0)),""),IF(F275="Sporting Clays",IFERROR(INDEX('Shooter-Squad Assignment'!$A:$A,MATCH(C275&amp;"-"&amp;E275&amp;"-"&amp;F275&amp;"-Pos2",'Shooter-Squad Assignment'!$Z:$Z,0)),""),"")))</f>
        <v/>
      </c>
      <c r="J275" s="73" t="str">
        <f>IF(ISBLANK(I275),"",IFERROR(INDEX('Tournament List'!$D:$D,MATCH(I275,'Tournament List'!$A:$A,0)),""))</f>
        <v/>
      </c>
      <c r="K275" s="94" t="str">
        <f>IF(F275="Skeet",IFERROR(INDEX('Shooter-Squad Assignment'!$A:$A,MATCH(C275&amp;"-"&amp;E275&amp;"-"&amp;F275&amp;"-Pos3",'Shooter-Squad Assignment'!$K:$K,0)),""),IF(F275="Trap",IFERROR(INDEX('Shooter-Squad Assignment'!$A:$A,MATCH(C275&amp;"-"&amp;E275&amp;"-"&amp;F275&amp;"-Pos3",'Shooter-Squad Assignment'!$W:$W,0)),""),IF(F275="Sporting Clays",IFERROR(INDEX('Shooter-Squad Assignment'!$A:$A,MATCH(C275&amp;"-"&amp;E275&amp;"-"&amp;F275&amp;"-Pos3",'Shooter-Squad Assignment'!$Z:$Z,0)),""),"")))</f>
        <v/>
      </c>
      <c r="L275" s="73" t="str">
        <f>IF(ISBLANK(K275),"",IFERROR(INDEX('Tournament List'!$D:$D,MATCH(K275,'Tournament List'!$A:$A,0)),""))</f>
        <v/>
      </c>
      <c r="M275" s="94" t="str">
        <f>IF(F275="Skeet",IFERROR(INDEX('Shooter-Squad Assignment'!$A:$A,MATCH(C275&amp;"-"&amp;E275&amp;"-"&amp;F275&amp;"-Pos4",'Shooter-Squad Assignment'!$K:$K,0)),""),IF(F275="Trap",IFERROR(INDEX('Shooter-Squad Assignment'!$A:$A,MATCH(C275&amp;"-"&amp;E275&amp;"-"&amp;F275&amp;"-Pos4",'Shooter-Squad Assignment'!$W:$W,0)),""),IF(F275="Sporting Clays",IFERROR(INDEX('Shooter-Squad Assignment'!$A:$A,MATCH(C275&amp;"-"&amp;E275&amp;"-"&amp;F275&amp;"-Pos4",'Shooter-Squad Assignment'!$Z:$Z,0)),""),"")))</f>
        <v/>
      </c>
      <c r="N275" s="73" t="str">
        <f>IF(ISBLANK(M275),"",IFERROR(INDEX('Tournament List'!$D:$D,MATCH(M275,'Tournament List'!$A:$A,0)),""))</f>
        <v/>
      </c>
      <c r="O275" s="94" t="str">
        <f>IF(F275="Skeet",IFERROR(INDEX('Shooter-Squad Assignment'!$A:$A,MATCH(C275&amp;"-"&amp;E275&amp;"-"&amp;F275&amp;"-Pos5",'Shooter-Squad Assignment'!$K:$K,0)),""),IF(F275="Trap",IFERROR(INDEX('Shooter-Squad Assignment'!$A:$A,MATCH(C275&amp;"-"&amp;E275&amp;"-"&amp;F275&amp;"-Pos5",'Shooter-Squad Assignment'!$W:$W,0)),""),IF(F275="Sporting Clays",IFERROR(INDEX('Shooter-Squad Assignment'!$A:$A,MATCH(C275&amp;"-"&amp;E275&amp;"-"&amp;F275&amp;"-Pos5",'Shooter-Squad Assignment'!$Z:$Z,0)),""),"")))</f>
        <v/>
      </c>
      <c r="P275" s="79" t="str">
        <f>IF(ISBLANK(O275),"",IFERROR(INDEX('Tournament List'!$D:$D,MATCH(O275,'Tournament List'!$A:$A,0)),""))</f>
        <v/>
      </c>
    </row>
    <row r="276" spans="1:16" x14ac:dyDescent="0.3">
      <c r="A276" s="78">
        <v>275</v>
      </c>
      <c r="B276" s="73" t="str">
        <f>C276&amp;"-"&amp;E276&amp;"-"&amp;F276</f>
        <v>Rocky Mountain Clay Busters-Junior Varsity 3-Trap</v>
      </c>
      <c r="C276" s="73" t="s">
        <v>319</v>
      </c>
      <c r="D276" s="73" t="str">
        <f>INDEX('Tournament Setup'!$B$59:$B$78,MATCH(E276,SquadConcurrents,0))</f>
        <v>Junior Varsity</v>
      </c>
      <c r="E276" s="73" t="s">
        <v>351</v>
      </c>
      <c r="F276" s="73" t="s">
        <v>147</v>
      </c>
      <c r="G276" s="94" t="str">
        <f>IF(F276="Skeet",IFERROR(INDEX('Shooter-Squad Assignment'!$A:$A,MATCH(C276&amp;"-"&amp;E276&amp;"-"&amp;F276&amp;"-Pos1",'Shooter-Squad Assignment'!$K:$K,0)),""),IF(F276="Trap",IFERROR(INDEX('Shooter-Squad Assignment'!$A:$A,MATCH(C276&amp;"-"&amp;E276&amp;"-"&amp;F276&amp;"-Pos1",'Shooter-Squad Assignment'!$W:$W,0)),""),IF(F276="Sporting Clays",IFERROR(INDEX('Shooter-Squad Assignment'!$A:$A,MATCH(C276&amp;"-"&amp;E276&amp;"-"&amp;F276&amp;"-Pos1",'Shooter-Squad Assignment'!$Z:$Z,0)),""),"")))</f>
        <v/>
      </c>
      <c r="H276" s="73" t="str">
        <f>IF(ISBLANK(G276),"",IFERROR(INDEX('Tournament List'!$D:$D,MATCH(G276,'Tournament List'!$A:$A,0)),""))</f>
        <v/>
      </c>
      <c r="I276" s="94" t="str">
        <f>IF(F276="Skeet",IFERROR(INDEX('Shooter-Squad Assignment'!$A:$A,MATCH(C276&amp;"-"&amp;E276&amp;"-"&amp;F276&amp;"-Pos2",'Shooter-Squad Assignment'!$K:$K,0)),""),IF(F276="Trap",IFERROR(INDEX('Shooter-Squad Assignment'!$A:$A,MATCH(C276&amp;"-"&amp;E276&amp;"-"&amp;F276&amp;"-Pos2",'Shooter-Squad Assignment'!$W:$W,0)),""),IF(F276="Sporting Clays",IFERROR(INDEX('Shooter-Squad Assignment'!$A:$A,MATCH(C276&amp;"-"&amp;E276&amp;"-"&amp;F276&amp;"-Pos2",'Shooter-Squad Assignment'!$Z:$Z,0)),""),"")))</f>
        <v/>
      </c>
      <c r="J276" s="73" t="str">
        <f>IF(ISBLANK(I276),"",IFERROR(INDEX('Tournament List'!$D:$D,MATCH(I276,'Tournament List'!$A:$A,0)),""))</f>
        <v/>
      </c>
      <c r="K276" s="94" t="str">
        <f>IF(F276="Skeet",IFERROR(INDEX('Shooter-Squad Assignment'!$A:$A,MATCH(C276&amp;"-"&amp;E276&amp;"-"&amp;F276&amp;"-Pos3",'Shooter-Squad Assignment'!$K:$K,0)),""),IF(F276="Trap",IFERROR(INDEX('Shooter-Squad Assignment'!$A:$A,MATCH(C276&amp;"-"&amp;E276&amp;"-"&amp;F276&amp;"-Pos3",'Shooter-Squad Assignment'!$W:$W,0)),""),IF(F276="Sporting Clays",IFERROR(INDEX('Shooter-Squad Assignment'!$A:$A,MATCH(C276&amp;"-"&amp;E276&amp;"-"&amp;F276&amp;"-Pos3",'Shooter-Squad Assignment'!$Z:$Z,0)),""),"")))</f>
        <v/>
      </c>
      <c r="L276" s="73" t="str">
        <f>IF(ISBLANK(K276),"",IFERROR(INDEX('Tournament List'!$D:$D,MATCH(K276,'Tournament List'!$A:$A,0)),""))</f>
        <v/>
      </c>
      <c r="M276" s="94" t="str">
        <f>IF(F276="Skeet",IFERROR(INDEX('Shooter-Squad Assignment'!$A:$A,MATCH(C276&amp;"-"&amp;E276&amp;"-"&amp;F276&amp;"-Pos4",'Shooter-Squad Assignment'!$K:$K,0)),""),IF(F276="Trap",IFERROR(INDEX('Shooter-Squad Assignment'!$A:$A,MATCH(C276&amp;"-"&amp;E276&amp;"-"&amp;F276&amp;"-Pos4",'Shooter-Squad Assignment'!$W:$W,0)),""),IF(F276="Sporting Clays",IFERROR(INDEX('Shooter-Squad Assignment'!$A:$A,MATCH(C276&amp;"-"&amp;E276&amp;"-"&amp;F276&amp;"-Pos4",'Shooter-Squad Assignment'!$Z:$Z,0)),""),"")))</f>
        <v/>
      </c>
      <c r="N276" s="73" t="str">
        <f>IF(ISBLANK(M276),"",IFERROR(INDEX('Tournament List'!$D:$D,MATCH(M276,'Tournament List'!$A:$A,0)),""))</f>
        <v/>
      </c>
      <c r="O276" s="94" t="str">
        <f>IF(F276="Skeet",IFERROR(INDEX('Shooter-Squad Assignment'!$A:$A,MATCH(C276&amp;"-"&amp;E276&amp;"-"&amp;F276&amp;"-Pos5",'Shooter-Squad Assignment'!$K:$K,0)),""),IF(F276="Trap",IFERROR(INDEX('Shooter-Squad Assignment'!$A:$A,MATCH(C276&amp;"-"&amp;E276&amp;"-"&amp;F276&amp;"-Pos5",'Shooter-Squad Assignment'!$W:$W,0)),""),IF(F276="Sporting Clays",IFERROR(INDEX('Shooter-Squad Assignment'!$A:$A,MATCH(C276&amp;"-"&amp;E276&amp;"-"&amp;F276&amp;"-Pos5",'Shooter-Squad Assignment'!$Z:$Z,0)),""),"")))</f>
        <v/>
      </c>
      <c r="P276" s="79" t="str">
        <f>IF(ISBLANK(O276),"",IFERROR(INDEX('Tournament List'!$D:$D,MATCH(O276,'Tournament List'!$A:$A,0)),""))</f>
        <v/>
      </c>
    </row>
    <row r="277" spans="1:16" x14ac:dyDescent="0.3">
      <c r="A277" s="78">
        <v>276</v>
      </c>
      <c r="B277" s="73" t="str">
        <f>C277&amp;"-"&amp;E277&amp;"-"&amp;F277</f>
        <v>Rocky Mountain Clay Busters-Novice 1-Trap</v>
      </c>
      <c r="C277" s="73" t="s">
        <v>319</v>
      </c>
      <c r="D277" s="73" t="str">
        <f>INDEX('Tournament Setup'!$B$59:$B$78,MATCH(E277,SquadConcurrents,0))</f>
        <v>Novice</v>
      </c>
      <c r="E277" s="73" t="s">
        <v>337</v>
      </c>
      <c r="F277" s="73" t="s">
        <v>147</v>
      </c>
      <c r="G277" s="94" t="str">
        <f>IF(F277="Skeet",IFERROR(INDEX('Shooter-Squad Assignment'!$A:$A,MATCH(C277&amp;"-"&amp;E277&amp;"-"&amp;F277&amp;"-Pos1",'Shooter-Squad Assignment'!$K:$K,0)),""),IF(F277="Trap",IFERROR(INDEX('Shooter-Squad Assignment'!$A:$A,MATCH(C277&amp;"-"&amp;E277&amp;"-"&amp;F277&amp;"-Pos1",'Shooter-Squad Assignment'!$W:$W,0)),""),IF(F277="Sporting Clays",IFERROR(INDEX('Shooter-Squad Assignment'!$A:$A,MATCH(C277&amp;"-"&amp;E277&amp;"-"&amp;F277&amp;"-Pos1",'Shooter-Squad Assignment'!$Z:$Z,0)),""),"")))</f>
        <v/>
      </c>
      <c r="H277" s="73" t="str">
        <f>IF(ISBLANK(G277),"",IFERROR(INDEX('Tournament List'!$D:$D,MATCH(G277,'Tournament List'!$A:$A,0)),""))</f>
        <v/>
      </c>
      <c r="I277" s="94" t="str">
        <f>IF(F277="Skeet",IFERROR(INDEX('Shooter-Squad Assignment'!$A:$A,MATCH(C277&amp;"-"&amp;E277&amp;"-"&amp;F277&amp;"-Pos2",'Shooter-Squad Assignment'!$K:$K,0)),""),IF(F277="Trap",IFERROR(INDEX('Shooter-Squad Assignment'!$A:$A,MATCH(C277&amp;"-"&amp;E277&amp;"-"&amp;F277&amp;"-Pos2",'Shooter-Squad Assignment'!$W:$W,0)),""),IF(F277="Sporting Clays",IFERROR(INDEX('Shooter-Squad Assignment'!$A:$A,MATCH(C277&amp;"-"&amp;E277&amp;"-"&amp;F277&amp;"-Pos2",'Shooter-Squad Assignment'!$Z:$Z,0)),""),"")))</f>
        <v/>
      </c>
      <c r="J277" s="73" t="str">
        <f>IF(ISBLANK(I277),"",IFERROR(INDEX('Tournament List'!$D:$D,MATCH(I277,'Tournament List'!$A:$A,0)),""))</f>
        <v/>
      </c>
      <c r="K277" s="94" t="str">
        <f>IF(F277="Skeet",IFERROR(INDEX('Shooter-Squad Assignment'!$A:$A,MATCH(C277&amp;"-"&amp;E277&amp;"-"&amp;F277&amp;"-Pos3",'Shooter-Squad Assignment'!$K:$K,0)),""),IF(F277="Trap",IFERROR(INDEX('Shooter-Squad Assignment'!$A:$A,MATCH(C277&amp;"-"&amp;E277&amp;"-"&amp;F277&amp;"-Pos3",'Shooter-Squad Assignment'!$W:$W,0)),""),IF(F277="Sporting Clays",IFERROR(INDEX('Shooter-Squad Assignment'!$A:$A,MATCH(C277&amp;"-"&amp;E277&amp;"-"&amp;F277&amp;"-Pos3",'Shooter-Squad Assignment'!$Z:$Z,0)),""),"")))</f>
        <v/>
      </c>
      <c r="L277" s="73" t="str">
        <f>IF(ISBLANK(K277),"",IFERROR(INDEX('Tournament List'!$D:$D,MATCH(K277,'Tournament List'!$A:$A,0)),""))</f>
        <v/>
      </c>
      <c r="M277" s="94" t="str">
        <f>IF(F277="Skeet",IFERROR(INDEX('Shooter-Squad Assignment'!$A:$A,MATCH(C277&amp;"-"&amp;E277&amp;"-"&amp;F277&amp;"-Pos4",'Shooter-Squad Assignment'!$K:$K,0)),""),IF(F277="Trap",IFERROR(INDEX('Shooter-Squad Assignment'!$A:$A,MATCH(C277&amp;"-"&amp;E277&amp;"-"&amp;F277&amp;"-Pos4",'Shooter-Squad Assignment'!$W:$W,0)),""),IF(F277="Sporting Clays",IFERROR(INDEX('Shooter-Squad Assignment'!$A:$A,MATCH(C277&amp;"-"&amp;E277&amp;"-"&amp;F277&amp;"-Pos4",'Shooter-Squad Assignment'!$Z:$Z,0)),""),"")))</f>
        <v/>
      </c>
      <c r="N277" s="73" t="str">
        <f>IF(ISBLANK(M277),"",IFERROR(INDEX('Tournament List'!$D:$D,MATCH(M277,'Tournament List'!$A:$A,0)),""))</f>
        <v/>
      </c>
      <c r="O277" s="94" t="str">
        <f>IF(F277="Skeet",IFERROR(INDEX('Shooter-Squad Assignment'!$A:$A,MATCH(C277&amp;"-"&amp;E277&amp;"-"&amp;F277&amp;"-Pos5",'Shooter-Squad Assignment'!$K:$K,0)),""),IF(F277="Trap",IFERROR(INDEX('Shooter-Squad Assignment'!$A:$A,MATCH(C277&amp;"-"&amp;E277&amp;"-"&amp;F277&amp;"-Pos5",'Shooter-Squad Assignment'!$W:$W,0)),""),IF(F277="Sporting Clays",IFERROR(INDEX('Shooter-Squad Assignment'!$A:$A,MATCH(C277&amp;"-"&amp;E277&amp;"-"&amp;F277&amp;"-Pos5",'Shooter-Squad Assignment'!$Z:$Z,0)),""),"")))</f>
        <v/>
      </c>
      <c r="P277" s="79" t="str">
        <f>IF(ISBLANK(O277),"",IFERROR(INDEX('Tournament List'!$D:$D,MATCH(O277,'Tournament List'!$A:$A,0)),""))</f>
        <v/>
      </c>
    </row>
    <row r="278" spans="1:16" x14ac:dyDescent="0.3">
      <c r="A278" s="78">
        <v>277</v>
      </c>
      <c r="B278" s="73" t="str">
        <f>C278&amp;"-"&amp;E278&amp;"-"&amp;F278</f>
        <v>Rocky Mountain Clay Busters-Novice 2-Trap</v>
      </c>
      <c r="C278" s="73" t="s">
        <v>319</v>
      </c>
      <c r="D278" s="73" t="str">
        <f>INDEX('Tournament Setup'!$B$59:$B$78,MATCH(E278,SquadConcurrents,0))</f>
        <v>Novice</v>
      </c>
      <c r="E278" s="73" t="s">
        <v>343</v>
      </c>
      <c r="F278" s="73" t="s">
        <v>147</v>
      </c>
      <c r="G278" s="94" t="str">
        <f>IF(F278="Skeet",IFERROR(INDEX('Shooter-Squad Assignment'!$A:$A,MATCH(C278&amp;"-"&amp;E278&amp;"-"&amp;F278&amp;"-Pos1",'Shooter-Squad Assignment'!$K:$K,0)),""),IF(F278="Trap",IFERROR(INDEX('Shooter-Squad Assignment'!$A:$A,MATCH(C278&amp;"-"&amp;E278&amp;"-"&amp;F278&amp;"-Pos1",'Shooter-Squad Assignment'!$W:$W,0)),""),IF(F278="Sporting Clays",IFERROR(INDEX('Shooter-Squad Assignment'!$A:$A,MATCH(C278&amp;"-"&amp;E278&amp;"-"&amp;F278&amp;"-Pos1",'Shooter-Squad Assignment'!$Z:$Z,0)),""),"")))</f>
        <v/>
      </c>
      <c r="H278" s="73" t="str">
        <f>IF(ISBLANK(G278),"",IFERROR(INDEX('Tournament List'!$D:$D,MATCH(G278,'Tournament List'!$A:$A,0)),""))</f>
        <v/>
      </c>
      <c r="I278" s="94" t="str">
        <f>IF(F278="Skeet",IFERROR(INDEX('Shooter-Squad Assignment'!$A:$A,MATCH(C278&amp;"-"&amp;E278&amp;"-"&amp;F278&amp;"-Pos2",'Shooter-Squad Assignment'!$K:$K,0)),""),IF(F278="Trap",IFERROR(INDEX('Shooter-Squad Assignment'!$A:$A,MATCH(C278&amp;"-"&amp;E278&amp;"-"&amp;F278&amp;"-Pos2",'Shooter-Squad Assignment'!$W:$W,0)),""),IF(F278="Sporting Clays",IFERROR(INDEX('Shooter-Squad Assignment'!$A:$A,MATCH(C278&amp;"-"&amp;E278&amp;"-"&amp;F278&amp;"-Pos2",'Shooter-Squad Assignment'!$Z:$Z,0)),""),"")))</f>
        <v/>
      </c>
      <c r="J278" s="73" t="str">
        <f>IF(ISBLANK(I278),"",IFERROR(INDEX('Tournament List'!$D:$D,MATCH(I278,'Tournament List'!$A:$A,0)),""))</f>
        <v/>
      </c>
      <c r="K278" s="94" t="str">
        <f>IF(F278="Skeet",IFERROR(INDEX('Shooter-Squad Assignment'!$A:$A,MATCH(C278&amp;"-"&amp;E278&amp;"-"&amp;F278&amp;"-Pos3",'Shooter-Squad Assignment'!$K:$K,0)),""),IF(F278="Trap",IFERROR(INDEX('Shooter-Squad Assignment'!$A:$A,MATCH(C278&amp;"-"&amp;E278&amp;"-"&amp;F278&amp;"-Pos3",'Shooter-Squad Assignment'!$W:$W,0)),""),IF(F278="Sporting Clays",IFERROR(INDEX('Shooter-Squad Assignment'!$A:$A,MATCH(C278&amp;"-"&amp;E278&amp;"-"&amp;F278&amp;"-Pos3",'Shooter-Squad Assignment'!$Z:$Z,0)),""),"")))</f>
        <v/>
      </c>
      <c r="L278" s="73" t="str">
        <f>IF(ISBLANK(K278),"",IFERROR(INDEX('Tournament List'!$D:$D,MATCH(K278,'Tournament List'!$A:$A,0)),""))</f>
        <v/>
      </c>
      <c r="M278" s="94" t="str">
        <f>IF(F278="Skeet",IFERROR(INDEX('Shooter-Squad Assignment'!$A:$A,MATCH(C278&amp;"-"&amp;E278&amp;"-"&amp;F278&amp;"-Pos4",'Shooter-Squad Assignment'!$K:$K,0)),""),IF(F278="Trap",IFERROR(INDEX('Shooter-Squad Assignment'!$A:$A,MATCH(C278&amp;"-"&amp;E278&amp;"-"&amp;F278&amp;"-Pos4",'Shooter-Squad Assignment'!$W:$W,0)),""),IF(F278="Sporting Clays",IFERROR(INDEX('Shooter-Squad Assignment'!$A:$A,MATCH(C278&amp;"-"&amp;E278&amp;"-"&amp;F278&amp;"-Pos4",'Shooter-Squad Assignment'!$Z:$Z,0)),""),"")))</f>
        <v/>
      </c>
      <c r="N278" s="73" t="str">
        <f>IF(ISBLANK(M278),"",IFERROR(INDEX('Tournament List'!$D:$D,MATCH(M278,'Tournament List'!$A:$A,0)),""))</f>
        <v/>
      </c>
      <c r="O278" s="94" t="str">
        <f>IF(F278="Skeet",IFERROR(INDEX('Shooter-Squad Assignment'!$A:$A,MATCH(C278&amp;"-"&amp;E278&amp;"-"&amp;F278&amp;"-Pos5",'Shooter-Squad Assignment'!$K:$K,0)),""),IF(F278="Trap",IFERROR(INDEX('Shooter-Squad Assignment'!$A:$A,MATCH(C278&amp;"-"&amp;E278&amp;"-"&amp;F278&amp;"-Pos5",'Shooter-Squad Assignment'!$W:$W,0)),""),IF(F278="Sporting Clays",IFERROR(INDEX('Shooter-Squad Assignment'!$A:$A,MATCH(C278&amp;"-"&amp;E278&amp;"-"&amp;F278&amp;"-Pos5",'Shooter-Squad Assignment'!$Z:$Z,0)),""),"")))</f>
        <v/>
      </c>
      <c r="P278" s="79" t="str">
        <f>IF(ISBLANK(O278),"",IFERROR(INDEX('Tournament List'!$D:$D,MATCH(O278,'Tournament List'!$A:$A,0)),""))</f>
        <v/>
      </c>
    </row>
    <row r="279" spans="1:16" x14ac:dyDescent="0.3">
      <c r="A279" s="78">
        <v>278</v>
      </c>
      <c r="B279" s="73" t="str">
        <f>C279&amp;"-"&amp;E279&amp;"-"&amp;F279</f>
        <v>Rocky Mountain Clay Busters-Novice 3-Trap</v>
      </c>
      <c r="C279" s="73" t="s">
        <v>319</v>
      </c>
      <c r="D279" s="73" t="str">
        <f>INDEX('Tournament Setup'!$B$59:$B$78,MATCH(E279,SquadConcurrents,0))</f>
        <v>Novice</v>
      </c>
      <c r="E279" s="73" t="s">
        <v>349</v>
      </c>
      <c r="F279" s="73" t="s">
        <v>147</v>
      </c>
      <c r="G279" s="94" t="str">
        <f>IF(F279="Skeet",IFERROR(INDEX('Shooter-Squad Assignment'!$A:$A,MATCH(C279&amp;"-"&amp;E279&amp;"-"&amp;F279&amp;"-Pos1",'Shooter-Squad Assignment'!$K:$K,0)),""),IF(F279="Trap",IFERROR(INDEX('Shooter-Squad Assignment'!$A:$A,MATCH(C279&amp;"-"&amp;E279&amp;"-"&amp;F279&amp;"-Pos1",'Shooter-Squad Assignment'!$W:$W,0)),""),IF(F279="Sporting Clays",IFERROR(INDEX('Shooter-Squad Assignment'!$A:$A,MATCH(C279&amp;"-"&amp;E279&amp;"-"&amp;F279&amp;"-Pos1",'Shooter-Squad Assignment'!$Z:$Z,0)),""),"")))</f>
        <v/>
      </c>
      <c r="H279" s="73" t="str">
        <f>IF(ISBLANK(G279),"",IFERROR(INDEX('Tournament List'!$D:$D,MATCH(G279,'Tournament List'!$A:$A,0)),""))</f>
        <v/>
      </c>
      <c r="I279" s="94" t="str">
        <f>IF(F279="Skeet",IFERROR(INDEX('Shooter-Squad Assignment'!$A:$A,MATCH(C279&amp;"-"&amp;E279&amp;"-"&amp;F279&amp;"-Pos2",'Shooter-Squad Assignment'!$K:$K,0)),""),IF(F279="Trap",IFERROR(INDEX('Shooter-Squad Assignment'!$A:$A,MATCH(C279&amp;"-"&amp;E279&amp;"-"&amp;F279&amp;"-Pos2",'Shooter-Squad Assignment'!$W:$W,0)),""),IF(F279="Sporting Clays",IFERROR(INDEX('Shooter-Squad Assignment'!$A:$A,MATCH(C279&amp;"-"&amp;E279&amp;"-"&amp;F279&amp;"-Pos2",'Shooter-Squad Assignment'!$Z:$Z,0)),""),"")))</f>
        <v/>
      </c>
      <c r="J279" s="73" t="str">
        <f>IF(ISBLANK(I279),"",IFERROR(INDEX('Tournament List'!$D:$D,MATCH(I279,'Tournament List'!$A:$A,0)),""))</f>
        <v/>
      </c>
      <c r="K279" s="94" t="str">
        <f>IF(F279="Skeet",IFERROR(INDEX('Shooter-Squad Assignment'!$A:$A,MATCH(C279&amp;"-"&amp;E279&amp;"-"&amp;F279&amp;"-Pos3",'Shooter-Squad Assignment'!$K:$K,0)),""),IF(F279="Trap",IFERROR(INDEX('Shooter-Squad Assignment'!$A:$A,MATCH(C279&amp;"-"&amp;E279&amp;"-"&amp;F279&amp;"-Pos3",'Shooter-Squad Assignment'!$W:$W,0)),""),IF(F279="Sporting Clays",IFERROR(INDEX('Shooter-Squad Assignment'!$A:$A,MATCH(C279&amp;"-"&amp;E279&amp;"-"&amp;F279&amp;"-Pos3",'Shooter-Squad Assignment'!$Z:$Z,0)),""),"")))</f>
        <v/>
      </c>
      <c r="L279" s="73" t="str">
        <f>IF(ISBLANK(K279),"",IFERROR(INDEX('Tournament List'!$D:$D,MATCH(K279,'Tournament List'!$A:$A,0)),""))</f>
        <v/>
      </c>
      <c r="M279" s="94" t="str">
        <f>IF(F279="Skeet",IFERROR(INDEX('Shooter-Squad Assignment'!$A:$A,MATCH(C279&amp;"-"&amp;E279&amp;"-"&amp;F279&amp;"-Pos4",'Shooter-Squad Assignment'!$K:$K,0)),""),IF(F279="Trap",IFERROR(INDEX('Shooter-Squad Assignment'!$A:$A,MATCH(C279&amp;"-"&amp;E279&amp;"-"&amp;F279&amp;"-Pos4",'Shooter-Squad Assignment'!$W:$W,0)),""),IF(F279="Sporting Clays",IFERROR(INDEX('Shooter-Squad Assignment'!$A:$A,MATCH(C279&amp;"-"&amp;E279&amp;"-"&amp;F279&amp;"-Pos4",'Shooter-Squad Assignment'!$Z:$Z,0)),""),"")))</f>
        <v/>
      </c>
      <c r="N279" s="73" t="str">
        <f>IF(ISBLANK(M279),"",IFERROR(INDEX('Tournament List'!$D:$D,MATCH(M279,'Tournament List'!$A:$A,0)),""))</f>
        <v/>
      </c>
      <c r="O279" s="94" t="str">
        <f>IF(F279="Skeet",IFERROR(INDEX('Shooter-Squad Assignment'!$A:$A,MATCH(C279&amp;"-"&amp;E279&amp;"-"&amp;F279&amp;"-Pos5",'Shooter-Squad Assignment'!$K:$K,0)),""),IF(F279="Trap",IFERROR(INDEX('Shooter-Squad Assignment'!$A:$A,MATCH(C279&amp;"-"&amp;E279&amp;"-"&amp;F279&amp;"-Pos5",'Shooter-Squad Assignment'!$W:$W,0)),""),IF(F279="Sporting Clays",IFERROR(INDEX('Shooter-Squad Assignment'!$A:$A,MATCH(C279&amp;"-"&amp;E279&amp;"-"&amp;F279&amp;"-Pos5",'Shooter-Squad Assignment'!$Z:$Z,0)),""),"")))</f>
        <v/>
      </c>
      <c r="P279" s="79" t="str">
        <f>IF(ISBLANK(O279),"",IFERROR(INDEX('Tournament List'!$D:$D,MATCH(O279,'Tournament List'!$A:$A,0)),""))</f>
        <v/>
      </c>
    </row>
    <row r="280" spans="1:16" x14ac:dyDescent="0.3">
      <c r="A280" s="78">
        <v>279</v>
      </c>
      <c r="B280" s="73" t="str">
        <f>C280&amp;"-"&amp;E280&amp;"-"&amp;F280</f>
        <v>Rocky Mountain Clay Busters-Open 1-Trap</v>
      </c>
      <c r="C280" s="73" t="s">
        <v>319</v>
      </c>
      <c r="D280" s="73" t="str">
        <f>INDEX('Tournament Setup'!$B$59:$B$78,MATCH(E280,SquadConcurrents,0))</f>
        <v>Open</v>
      </c>
      <c r="E280" s="73" t="s">
        <v>341</v>
      </c>
      <c r="F280" s="73" t="s">
        <v>147</v>
      </c>
      <c r="G280" s="94" t="str">
        <f>IF(F280="Skeet",IFERROR(INDEX('Shooter-Squad Assignment'!$A:$A,MATCH(C280&amp;"-"&amp;E280&amp;"-"&amp;F280&amp;"-Pos1",'Shooter-Squad Assignment'!$K:$K,0)),""),IF(F280="Trap",IFERROR(INDEX('Shooter-Squad Assignment'!$A:$A,MATCH(C280&amp;"-"&amp;E280&amp;"-"&amp;F280&amp;"-Pos1",'Shooter-Squad Assignment'!$W:$W,0)),""),IF(F280="Sporting Clays",IFERROR(INDEX('Shooter-Squad Assignment'!$A:$A,MATCH(C280&amp;"-"&amp;E280&amp;"-"&amp;F280&amp;"-Pos1",'Shooter-Squad Assignment'!$Z:$Z,0)),""),"")))</f>
        <v/>
      </c>
      <c r="H280" s="73" t="str">
        <f>IF(ISBLANK(G280),"",IFERROR(INDEX('Tournament List'!$D:$D,MATCH(G280,'Tournament List'!$A:$A,0)),""))</f>
        <v/>
      </c>
      <c r="I280" s="94" t="str">
        <f>IF(F280="Skeet",IFERROR(INDEX('Shooter-Squad Assignment'!$A:$A,MATCH(C280&amp;"-"&amp;E280&amp;"-"&amp;F280&amp;"-Pos2",'Shooter-Squad Assignment'!$K:$K,0)),""),IF(F280="Trap",IFERROR(INDEX('Shooter-Squad Assignment'!$A:$A,MATCH(C280&amp;"-"&amp;E280&amp;"-"&amp;F280&amp;"-Pos2",'Shooter-Squad Assignment'!$W:$W,0)),""),IF(F280="Sporting Clays",IFERROR(INDEX('Shooter-Squad Assignment'!$A:$A,MATCH(C280&amp;"-"&amp;E280&amp;"-"&amp;F280&amp;"-Pos2",'Shooter-Squad Assignment'!$Z:$Z,0)),""),"")))</f>
        <v/>
      </c>
      <c r="J280" s="73" t="str">
        <f>IF(ISBLANK(I280),"",IFERROR(INDEX('Tournament List'!$D:$D,MATCH(I280,'Tournament List'!$A:$A,0)),""))</f>
        <v/>
      </c>
      <c r="K280" s="94" t="str">
        <f>IF(F280="Skeet",IFERROR(INDEX('Shooter-Squad Assignment'!$A:$A,MATCH(C280&amp;"-"&amp;E280&amp;"-"&amp;F280&amp;"-Pos3",'Shooter-Squad Assignment'!$K:$K,0)),""),IF(F280="Trap",IFERROR(INDEX('Shooter-Squad Assignment'!$A:$A,MATCH(C280&amp;"-"&amp;E280&amp;"-"&amp;F280&amp;"-Pos3",'Shooter-Squad Assignment'!$W:$W,0)),""),IF(F280="Sporting Clays",IFERROR(INDEX('Shooter-Squad Assignment'!$A:$A,MATCH(C280&amp;"-"&amp;E280&amp;"-"&amp;F280&amp;"-Pos3",'Shooter-Squad Assignment'!$Z:$Z,0)),""),"")))</f>
        <v/>
      </c>
      <c r="L280" s="73" t="str">
        <f>IF(ISBLANK(K280),"",IFERROR(INDEX('Tournament List'!$D:$D,MATCH(K280,'Tournament List'!$A:$A,0)),""))</f>
        <v/>
      </c>
      <c r="M280" s="94" t="str">
        <f>IF(F280="Skeet",IFERROR(INDEX('Shooter-Squad Assignment'!$A:$A,MATCH(C280&amp;"-"&amp;E280&amp;"-"&amp;F280&amp;"-Pos4",'Shooter-Squad Assignment'!$K:$K,0)),""),IF(F280="Trap",IFERROR(INDEX('Shooter-Squad Assignment'!$A:$A,MATCH(C280&amp;"-"&amp;E280&amp;"-"&amp;F280&amp;"-Pos4",'Shooter-Squad Assignment'!$W:$W,0)),""),IF(F280="Sporting Clays",IFERROR(INDEX('Shooter-Squad Assignment'!$A:$A,MATCH(C280&amp;"-"&amp;E280&amp;"-"&amp;F280&amp;"-Pos4",'Shooter-Squad Assignment'!$Z:$Z,0)),""),"")))</f>
        <v/>
      </c>
      <c r="N280" s="73" t="str">
        <f>IF(ISBLANK(M280),"",IFERROR(INDEX('Tournament List'!$D:$D,MATCH(M280,'Tournament List'!$A:$A,0)),""))</f>
        <v/>
      </c>
      <c r="O280" s="94" t="str">
        <f>IF(F280="Skeet",IFERROR(INDEX('Shooter-Squad Assignment'!$A:$A,MATCH(C280&amp;"-"&amp;E280&amp;"-"&amp;F280&amp;"-Pos5",'Shooter-Squad Assignment'!$K:$K,0)),""),IF(F280="Trap",IFERROR(INDEX('Shooter-Squad Assignment'!$A:$A,MATCH(C280&amp;"-"&amp;E280&amp;"-"&amp;F280&amp;"-Pos5",'Shooter-Squad Assignment'!$W:$W,0)),""),IF(F280="Sporting Clays",IFERROR(INDEX('Shooter-Squad Assignment'!$A:$A,MATCH(C280&amp;"-"&amp;E280&amp;"-"&amp;F280&amp;"-Pos5",'Shooter-Squad Assignment'!$Z:$Z,0)),""),"")))</f>
        <v/>
      </c>
      <c r="P280" s="79" t="str">
        <f>IF(ISBLANK(O280),"",IFERROR(INDEX('Tournament List'!$D:$D,MATCH(O280,'Tournament List'!$A:$A,0)),""))</f>
        <v/>
      </c>
    </row>
    <row r="281" spans="1:16" x14ac:dyDescent="0.3">
      <c r="A281" s="78">
        <v>280</v>
      </c>
      <c r="B281" s="73" t="str">
        <f>C281&amp;"-"&amp;E281&amp;"-"&amp;F281</f>
        <v>Rocky Mountain Clay Busters-Open 2-Trap</v>
      </c>
      <c r="C281" s="73" t="s">
        <v>319</v>
      </c>
      <c r="D281" s="73" t="str">
        <f>INDEX('Tournament Setup'!$B$59:$B$78,MATCH(E281,SquadConcurrents,0))</f>
        <v>Open</v>
      </c>
      <c r="E281" s="73" t="s">
        <v>347</v>
      </c>
      <c r="F281" s="73" t="s">
        <v>147</v>
      </c>
      <c r="G281" s="94" t="str">
        <f>IF(F281="Skeet",IFERROR(INDEX('Shooter-Squad Assignment'!$A:$A,MATCH(C281&amp;"-"&amp;E281&amp;"-"&amp;F281&amp;"-Pos1",'Shooter-Squad Assignment'!$K:$K,0)),""),IF(F281="Trap",IFERROR(INDEX('Shooter-Squad Assignment'!$A:$A,MATCH(C281&amp;"-"&amp;E281&amp;"-"&amp;F281&amp;"-Pos1",'Shooter-Squad Assignment'!$W:$W,0)),""),IF(F281="Sporting Clays",IFERROR(INDEX('Shooter-Squad Assignment'!$A:$A,MATCH(C281&amp;"-"&amp;E281&amp;"-"&amp;F281&amp;"-Pos1",'Shooter-Squad Assignment'!$Z:$Z,0)),""),"")))</f>
        <v/>
      </c>
      <c r="H281" s="73" t="str">
        <f>IF(ISBLANK(G281),"",IFERROR(INDEX('Tournament List'!$D:$D,MATCH(G281,'Tournament List'!$A:$A,0)),""))</f>
        <v/>
      </c>
      <c r="I281" s="94" t="str">
        <f>IF(F281="Skeet",IFERROR(INDEX('Shooter-Squad Assignment'!$A:$A,MATCH(C281&amp;"-"&amp;E281&amp;"-"&amp;F281&amp;"-Pos2",'Shooter-Squad Assignment'!$K:$K,0)),""),IF(F281="Trap",IFERROR(INDEX('Shooter-Squad Assignment'!$A:$A,MATCH(C281&amp;"-"&amp;E281&amp;"-"&amp;F281&amp;"-Pos2",'Shooter-Squad Assignment'!$W:$W,0)),""),IF(F281="Sporting Clays",IFERROR(INDEX('Shooter-Squad Assignment'!$A:$A,MATCH(C281&amp;"-"&amp;E281&amp;"-"&amp;F281&amp;"-Pos2",'Shooter-Squad Assignment'!$Z:$Z,0)),""),"")))</f>
        <v/>
      </c>
      <c r="J281" s="73" t="str">
        <f>IF(ISBLANK(I281),"",IFERROR(INDEX('Tournament List'!$D:$D,MATCH(I281,'Tournament List'!$A:$A,0)),""))</f>
        <v/>
      </c>
      <c r="K281" s="94" t="str">
        <f>IF(F281="Skeet",IFERROR(INDEX('Shooter-Squad Assignment'!$A:$A,MATCH(C281&amp;"-"&amp;E281&amp;"-"&amp;F281&amp;"-Pos3",'Shooter-Squad Assignment'!$K:$K,0)),""),IF(F281="Trap",IFERROR(INDEX('Shooter-Squad Assignment'!$A:$A,MATCH(C281&amp;"-"&amp;E281&amp;"-"&amp;F281&amp;"-Pos3",'Shooter-Squad Assignment'!$W:$W,0)),""),IF(F281="Sporting Clays",IFERROR(INDEX('Shooter-Squad Assignment'!$A:$A,MATCH(C281&amp;"-"&amp;E281&amp;"-"&amp;F281&amp;"-Pos3",'Shooter-Squad Assignment'!$Z:$Z,0)),""),"")))</f>
        <v/>
      </c>
      <c r="L281" s="73" t="str">
        <f>IF(ISBLANK(K281),"",IFERROR(INDEX('Tournament List'!$D:$D,MATCH(K281,'Tournament List'!$A:$A,0)),""))</f>
        <v/>
      </c>
      <c r="M281" s="94" t="str">
        <f>IF(F281="Skeet",IFERROR(INDEX('Shooter-Squad Assignment'!$A:$A,MATCH(C281&amp;"-"&amp;E281&amp;"-"&amp;F281&amp;"-Pos4",'Shooter-Squad Assignment'!$K:$K,0)),""),IF(F281="Trap",IFERROR(INDEX('Shooter-Squad Assignment'!$A:$A,MATCH(C281&amp;"-"&amp;E281&amp;"-"&amp;F281&amp;"-Pos4",'Shooter-Squad Assignment'!$W:$W,0)),""),IF(F281="Sporting Clays",IFERROR(INDEX('Shooter-Squad Assignment'!$A:$A,MATCH(C281&amp;"-"&amp;E281&amp;"-"&amp;F281&amp;"-Pos4",'Shooter-Squad Assignment'!$Z:$Z,0)),""),"")))</f>
        <v/>
      </c>
      <c r="N281" s="73" t="str">
        <f>IF(ISBLANK(M281),"",IFERROR(INDEX('Tournament List'!$D:$D,MATCH(M281,'Tournament List'!$A:$A,0)),""))</f>
        <v/>
      </c>
      <c r="O281" s="94" t="str">
        <f>IF(F281="Skeet",IFERROR(INDEX('Shooter-Squad Assignment'!$A:$A,MATCH(C281&amp;"-"&amp;E281&amp;"-"&amp;F281&amp;"-Pos5",'Shooter-Squad Assignment'!$K:$K,0)),""),IF(F281="Trap",IFERROR(INDEX('Shooter-Squad Assignment'!$A:$A,MATCH(C281&amp;"-"&amp;E281&amp;"-"&amp;F281&amp;"-Pos5",'Shooter-Squad Assignment'!$W:$W,0)),""),IF(F281="Sporting Clays",IFERROR(INDEX('Shooter-Squad Assignment'!$A:$A,MATCH(C281&amp;"-"&amp;E281&amp;"-"&amp;F281&amp;"-Pos5",'Shooter-Squad Assignment'!$Z:$Z,0)),""),"")))</f>
        <v/>
      </c>
      <c r="P281" s="79" t="str">
        <f>IF(ISBLANK(O281),"",IFERROR(INDEX('Tournament List'!$D:$D,MATCH(O281,'Tournament List'!$A:$A,0)),""))</f>
        <v/>
      </c>
    </row>
    <row r="282" spans="1:16" x14ac:dyDescent="0.3">
      <c r="A282" s="78">
        <v>281</v>
      </c>
      <c r="B282" s="73" t="str">
        <f>C282&amp;"-"&amp;E282&amp;"-"&amp;F282</f>
        <v>Rocky Mountain Clay Busters-Open 3-Trap</v>
      </c>
      <c r="C282" s="73" t="s">
        <v>319</v>
      </c>
      <c r="D282" s="73" t="str">
        <f>INDEX('Tournament Setup'!$B$59:$B$78,MATCH(E282,SquadConcurrents,0))</f>
        <v>Open</v>
      </c>
      <c r="E282" s="73" t="s">
        <v>353</v>
      </c>
      <c r="F282" s="73" t="s">
        <v>147</v>
      </c>
      <c r="G282" s="94" t="str">
        <f>IF(F282="Skeet",IFERROR(INDEX('Shooter-Squad Assignment'!$A:$A,MATCH(C282&amp;"-"&amp;E282&amp;"-"&amp;F282&amp;"-Pos1",'Shooter-Squad Assignment'!$K:$K,0)),""),IF(F282="Trap",IFERROR(INDEX('Shooter-Squad Assignment'!$A:$A,MATCH(C282&amp;"-"&amp;E282&amp;"-"&amp;F282&amp;"-Pos1",'Shooter-Squad Assignment'!$W:$W,0)),""),IF(F282="Sporting Clays",IFERROR(INDEX('Shooter-Squad Assignment'!$A:$A,MATCH(C282&amp;"-"&amp;E282&amp;"-"&amp;F282&amp;"-Pos1",'Shooter-Squad Assignment'!$Z:$Z,0)),""),"")))</f>
        <v/>
      </c>
      <c r="H282" s="73" t="str">
        <f>IF(ISBLANK(G282),"",IFERROR(INDEX('Tournament List'!$D:$D,MATCH(G282,'Tournament List'!$A:$A,0)),""))</f>
        <v/>
      </c>
      <c r="I282" s="94" t="str">
        <f>IF(F282="Skeet",IFERROR(INDEX('Shooter-Squad Assignment'!$A:$A,MATCH(C282&amp;"-"&amp;E282&amp;"-"&amp;F282&amp;"-Pos2",'Shooter-Squad Assignment'!$K:$K,0)),""),IF(F282="Trap",IFERROR(INDEX('Shooter-Squad Assignment'!$A:$A,MATCH(C282&amp;"-"&amp;E282&amp;"-"&amp;F282&amp;"-Pos2",'Shooter-Squad Assignment'!$W:$W,0)),""),IF(F282="Sporting Clays",IFERROR(INDEX('Shooter-Squad Assignment'!$A:$A,MATCH(C282&amp;"-"&amp;E282&amp;"-"&amp;F282&amp;"-Pos2",'Shooter-Squad Assignment'!$Z:$Z,0)),""),"")))</f>
        <v/>
      </c>
      <c r="J282" s="73" t="str">
        <f>IF(ISBLANK(I282),"",IFERROR(INDEX('Tournament List'!$D:$D,MATCH(I282,'Tournament List'!$A:$A,0)),""))</f>
        <v/>
      </c>
      <c r="K282" s="94" t="str">
        <f>IF(F282="Skeet",IFERROR(INDEX('Shooter-Squad Assignment'!$A:$A,MATCH(C282&amp;"-"&amp;E282&amp;"-"&amp;F282&amp;"-Pos3",'Shooter-Squad Assignment'!$K:$K,0)),""),IF(F282="Trap",IFERROR(INDEX('Shooter-Squad Assignment'!$A:$A,MATCH(C282&amp;"-"&amp;E282&amp;"-"&amp;F282&amp;"-Pos3",'Shooter-Squad Assignment'!$W:$W,0)),""),IF(F282="Sporting Clays",IFERROR(INDEX('Shooter-Squad Assignment'!$A:$A,MATCH(C282&amp;"-"&amp;E282&amp;"-"&amp;F282&amp;"-Pos3",'Shooter-Squad Assignment'!$Z:$Z,0)),""),"")))</f>
        <v/>
      </c>
      <c r="L282" s="73" t="str">
        <f>IF(ISBLANK(K282),"",IFERROR(INDEX('Tournament List'!$D:$D,MATCH(K282,'Tournament List'!$A:$A,0)),""))</f>
        <v/>
      </c>
      <c r="M282" s="94" t="str">
        <f>IF(F282="Skeet",IFERROR(INDEX('Shooter-Squad Assignment'!$A:$A,MATCH(C282&amp;"-"&amp;E282&amp;"-"&amp;F282&amp;"-Pos4",'Shooter-Squad Assignment'!$K:$K,0)),""),IF(F282="Trap",IFERROR(INDEX('Shooter-Squad Assignment'!$A:$A,MATCH(C282&amp;"-"&amp;E282&amp;"-"&amp;F282&amp;"-Pos4",'Shooter-Squad Assignment'!$W:$W,0)),""),IF(F282="Sporting Clays",IFERROR(INDEX('Shooter-Squad Assignment'!$A:$A,MATCH(C282&amp;"-"&amp;E282&amp;"-"&amp;F282&amp;"-Pos4",'Shooter-Squad Assignment'!$Z:$Z,0)),""),"")))</f>
        <v/>
      </c>
      <c r="N282" s="73" t="str">
        <f>IF(ISBLANK(M282),"",IFERROR(INDEX('Tournament List'!$D:$D,MATCH(M282,'Tournament List'!$A:$A,0)),""))</f>
        <v/>
      </c>
      <c r="O282" s="94" t="str">
        <f>IF(F282="Skeet",IFERROR(INDEX('Shooter-Squad Assignment'!$A:$A,MATCH(C282&amp;"-"&amp;E282&amp;"-"&amp;F282&amp;"-Pos5",'Shooter-Squad Assignment'!$K:$K,0)),""),IF(F282="Trap",IFERROR(INDEX('Shooter-Squad Assignment'!$A:$A,MATCH(C282&amp;"-"&amp;E282&amp;"-"&amp;F282&amp;"-Pos5",'Shooter-Squad Assignment'!$W:$W,0)),""),IF(F282="Sporting Clays",IFERROR(INDEX('Shooter-Squad Assignment'!$A:$A,MATCH(C282&amp;"-"&amp;E282&amp;"-"&amp;F282&amp;"-Pos5",'Shooter-Squad Assignment'!$Z:$Z,0)),""),"")))</f>
        <v/>
      </c>
      <c r="P282" s="79" t="str">
        <f>IF(ISBLANK(O282),"",IFERROR(INDEX('Tournament List'!$D:$D,MATCH(O282,'Tournament List'!$A:$A,0)),""))</f>
        <v/>
      </c>
    </row>
    <row r="283" spans="1:16" x14ac:dyDescent="0.3">
      <c r="A283" s="78">
        <v>282</v>
      </c>
      <c r="B283" s="73" t="str">
        <f>C283&amp;"-"&amp;E283&amp;"-"&amp;F283</f>
        <v>Rocky Mountain Clay Busters-Unassigned 1-Trap</v>
      </c>
      <c r="C283" s="73" t="s">
        <v>319</v>
      </c>
      <c r="D283" s="73" t="str">
        <f>INDEX('Tournament Setup'!$B$59:$B$78,MATCH(E283,SquadConcurrents,0))</f>
        <v>Unassigned</v>
      </c>
      <c r="E283" s="73" t="s">
        <v>762</v>
      </c>
      <c r="F283" s="73" t="s">
        <v>147</v>
      </c>
      <c r="G283" s="94" t="str">
        <f>IF(F283="Skeet",IFERROR(INDEX('Shooter-Squad Assignment'!$A:$A,MATCH(C283&amp;"-"&amp;E283&amp;"-"&amp;F283&amp;"-Pos1",'Shooter-Squad Assignment'!$K:$K,0)),""),IF(F283="Trap",IFERROR(INDEX('Shooter-Squad Assignment'!$A:$A,MATCH(C283&amp;"-"&amp;E283&amp;"-"&amp;F283&amp;"-Pos1",'Shooter-Squad Assignment'!$W:$W,0)),""),IF(F283="Sporting Clays",IFERROR(INDEX('Shooter-Squad Assignment'!$A:$A,MATCH(C283&amp;"-"&amp;E283&amp;"-"&amp;F283&amp;"-Pos1",'Shooter-Squad Assignment'!$Z:$Z,0)),""),"")))</f>
        <v/>
      </c>
      <c r="H283" s="73" t="str">
        <f>IF(ISBLANK(G283),"",IFERROR(INDEX('Tournament List'!$D:$D,MATCH(G283,'Tournament List'!$A:$A,0)),""))</f>
        <v/>
      </c>
      <c r="I283" s="94" t="str">
        <f>IF(F283="Skeet",IFERROR(INDEX('Shooter-Squad Assignment'!$A:$A,MATCH(C283&amp;"-"&amp;E283&amp;"-"&amp;F283&amp;"-Pos2",'Shooter-Squad Assignment'!$K:$K,0)),""),IF(F283="Trap",IFERROR(INDEX('Shooter-Squad Assignment'!$A:$A,MATCH(C283&amp;"-"&amp;E283&amp;"-"&amp;F283&amp;"-Pos2",'Shooter-Squad Assignment'!$W:$W,0)),""),IF(F283="Sporting Clays",IFERROR(INDEX('Shooter-Squad Assignment'!$A:$A,MATCH(C283&amp;"-"&amp;E283&amp;"-"&amp;F283&amp;"-Pos2",'Shooter-Squad Assignment'!$Z:$Z,0)),""),"")))</f>
        <v/>
      </c>
      <c r="J283" s="73" t="str">
        <f>IF(ISBLANK(I283),"",IFERROR(INDEX('Tournament List'!$D:$D,MATCH(I283,'Tournament List'!$A:$A,0)),""))</f>
        <v/>
      </c>
      <c r="K283" s="94" t="str">
        <f>IF(F283="Skeet",IFERROR(INDEX('Shooter-Squad Assignment'!$A:$A,MATCH(C283&amp;"-"&amp;E283&amp;"-"&amp;F283&amp;"-Pos3",'Shooter-Squad Assignment'!$K:$K,0)),""),IF(F283="Trap",IFERROR(INDEX('Shooter-Squad Assignment'!$A:$A,MATCH(C283&amp;"-"&amp;E283&amp;"-"&amp;F283&amp;"-Pos3",'Shooter-Squad Assignment'!$W:$W,0)),""),IF(F283="Sporting Clays",IFERROR(INDEX('Shooter-Squad Assignment'!$A:$A,MATCH(C283&amp;"-"&amp;E283&amp;"-"&amp;F283&amp;"-Pos3",'Shooter-Squad Assignment'!$Z:$Z,0)),""),"")))</f>
        <v/>
      </c>
      <c r="L283" s="73" t="str">
        <f>IF(ISBLANK(K283),"",IFERROR(INDEX('Tournament List'!$D:$D,MATCH(K283,'Tournament List'!$A:$A,0)),""))</f>
        <v/>
      </c>
      <c r="M283" s="94" t="str">
        <f>IF(F283="Skeet",IFERROR(INDEX('Shooter-Squad Assignment'!$A:$A,MATCH(C283&amp;"-"&amp;E283&amp;"-"&amp;F283&amp;"-Pos4",'Shooter-Squad Assignment'!$K:$K,0)),""),IF(F283="Trap",IFERROR(INDEX('Shooter-Squad Assignment'!$A:$A,MATCH(C283&amp;"-"&amp;E283&amp;"-"&amp;F283&amp;"-Pos4",'Shooter-Squad Assignment'!$W:$W,0)),""),IF(F283="Sporting Clays",IFERROR(INDEX('Shooter-Squad Assignment'!$A:$A,MATCH(C283&amp;"-"&amp;E283&amp;"-"&amp;F283&amp;"-Pos4",'Shooter-Squad Assignment'!$Z:$Z,0)),""),"")))</f>
        <v/>
      </c>
      <c r="N283" s="73" t="str">
        <f>IF(ISBLANK(M283),"",IFERROR(INDEX('Tournament List'!$D:$D,MATCH(M283,'Tournament List'!$A:$A,0)),""))</f>
        <v/>
      </c>
      <c r="O283" s="94" t="str">
        <f>IF(F283="Skeet",IFERROR(INDEX('Shooter-Squad Assignment'!$A:$A,MATCH(C283&amp;"-"&amp;E283&amp;"-"&amp;F283&amp;"-Pos5",'Shooter-Squad Assignment'!$K:$K,0)),""),IF(F283="Trap",IFERROR(INDEX('Shooter-Squad Assignment'!$A:$A,MATCH(C283&amp;"-"&amp;E283&amp;"-"&amp;F283&amp;"-Pos5",'Shooter-Squad Assignment'!$W:$W,0)),""),IF(F283="Sporting Clays",IFERROR(INDEX('Shooter-Squad Assignment'!$A:$A,MATCH(C283&amp;"-"&amp;E283&amp;"-"&amp;F283&amp;"-Pos5",'Shooter-Squad Assignment'!$Z:$Z,0)),""),"")))</f>
        <v/>
      </c>
      <c r="P283" s="79" t="str">
        <f>IF(ISBLANK(O283),"",IFERROR(INDEX('Tournament List'!$D:$D,MATCH(O283,'Tournament List'!$A:$A,0)),""))</f>
        <v/>
      </c>
    </row>
    <row r="284" spans="1:16" x14ac:dyDescent="0.3">
      <c r="A284" s="78">
        <v>283</v>
      </c>
      <c r="B284" s="73" t="str">
        <f>C284&amp;"-"&amp;E284&amp;"-"&amp;F284</f>
        <v>Rocky Mountain Clay Busters-Varsity 1-Trap</v>
      </c>
      <c r="C284" s="73" t="s">
        <v>319</v>
      </c>
      <c r="D284" s="73" t="str">
        <f>INDEX('Tournament Setup'!$B$59:$B$78,MATCH(E284,SquadConcurrents,0))</f>
        <v>Varsity</v>
      </c>
      <c r="E284" s="73" t="s">
        <v>340</v>
      </c>
      <c r="F284" s="73" t="s">
        <v>147</v>
      </c>
      <c r="G284" s="94" t="str">
        <f>IF(F284="Skeet",IFERROR(INDEX('Shooter-Squad Assignment'!$A:$A,MATCH(C284&amp;"-"&amp;E284&amp;"-"&amp;F284&amp;"-Pos1",'Shooter-Squad Assignment'!$K:$K,0)),""),IF(F284="Trap",IFERROR(INDEX('Shooter-Squad Assignment'!$A:$A,MATCH(C284&amp;"-"&amp;E284&amp;"-"&amp;F284&amp;"-Pos1",'Shooter-Squad Assignment'!$W:$W,0)),""),IF(F284="Sporting Clays",IFERROR(INDEX('Shooter-Squad Assignment'!$A:$A,MATCH(C284&amp;"-"&amp;E284&amp;"-"&amp;F284&amp;"-Pos1",'Shooter-Squad Assignment'!$Z:$Z,0)),""),"")))</f>
        <v/>
      </c>
      <c r="H284" s="73" t="str">
        <f>IF(ISBLANK(G284),"",IFERROR(INDEX('Tournament List'!$D:$D,MATCH(G284,'Tournament List'!$A:$A,0)),""))</f>
        <v/>
      </c>
      <c r="I284" s="94" t="str">
        <f>IF(F284="Skeet",IFERROR(INDEX('Shooter-Squad Assignment'!$A:$A,MATCH(C284&amp;"-"&amp;E284&amp;"-"&amp;F284&amp;"-Pos2",'Shooter-Squad Assignment'!$K:$K,0)),""),IF(F284="Trap",IFERROR(INDEX('Shooter-Squad Assignment'!$A:$A,MATCH(C284&amp;"-"&amp;E284&amp;"-"&amp;F284&amp;"-Pos2",'Shooter-Squad Assignment'!$W:$W,0)),""),IF(F284="Sporting Clays",IFERROR(INDEX('Shooter-Squad Assignment'!$A:$A,MATCH(C284&amp;"-"&amp;E284&amp;"-"&amp;F284&amp;"-Pos2",'Shooter-Squad Assignment'!$Z:$Z,0)),""),"")))</f>
        <v/>
      </c>
      <c r="J284" s="73" t="str">
        <f>IF(ISBLANK(I284),"",IFERROR(INDEX('Tournament List'!$D:$D,MATCH(I284,'Tournament List'!$A:$A,0)),""))</f>
        <v/>
      </c>
      <c r="K284" s="94" t="str">
        <f>IF(F284="Skeet",IFERROR(INDEX('Shooter-Squad Assignment'!$A:$A,MATCH(C284&amp;"-"&amp;E284&amp;"-"&amp;F284&amp;"-Pos3",'Shooter-Squad Assignment'!$K:$K,0)),""),IF(F284="Trap",IFERROR(INDEX('Shooter-Squad Assignment'!$A:$A,MATCH(C284&amp;"-"&amp;E284&amp;"-"&amp;F284&amp;"-Pos3",'Shooter-Squad Assignment'!$W:$W,0)),""),IF(F284="Sporting Clays",IFERROR(INDEX('Shooter-Squad Assignment'!$A:$A,MATCH(C284&amp;"-"&amp;E284&amp;"-"&amp;F284&amp;"-Pos3",'Shooter-Squad Assignment'!$Z:$Z,0)),""),"")))</f>
        <v/>
      </c>
      <c r="L284" s="73" t="str">
        <f>IF(ISBLANK(K284),"",IFERROR(INDEX('Tournament List'!$D:$D,MATCH(K284,'Tournament List'!$A:$A,0)),""))</f>
        <v/>
      </c>
      <c r="M284" s="94" t="str">
        <f>IF(F284="Skeet",IFERROR(INDEX('Shooter-Squad Assignment'!$A:$A,MATCH(C284&amp;"-"&amp;E284&amp;"-"&amp;F284&amp;"-Pos4",'Shooter-Squad Assignment'!$K:$K,0)),""),IF(F284="Trap",IFERROR(INDEX('Shooter-Squad Assignment'!$A:$A,MATCH(C284&amp;"-"&amp;E284&amp;"-"&amp;F284&amp;"-Pos4",'Shooter-Squad Assignment'!$W:$W,0)),""),IF(F284="Sporting Clays",IFERROR(INDEX('Shooter-Squad Assignment'!$A:$A,MATCH(C284&amp;"-"&amp;E284&amp;"-"&amp;F284&amp;"-Pos4",'Shooter-Squad Assignment'!$Z:$Z,0)),""),"")))</f>
        <v/>
      </c>
      <c r="N284" s="73" t="str">
        <f>IF(ISBLANK(M284),"",IFERROR(INDEX('Tournament List'!$D:$D,MATCH(M284,'Tournament List'!$A:$A,0)),""))</f>
        <v/>
      </c>
      <c r="O284" s="94" t="str">
        <f>IF(F284="Skeet",IFERROR(INDEX('Shooter-Squad Assignment'!$A:$A,MATCH(C284&amp;"-"&amp;E284&amp;"-"&amp;F284&amp;"-Pos5",'Shooter-Squad Assignment'!$K:$K,0)),""),IF(F284="Trap",IFERROR(INDEX('Shooter-Squad Assignment'!$A:$A,MATCH(C284&amp;"-"&amp;E284&amp;"-"&amp;F284&amp;"-Pos5",'Shooter-Squad Assignment'!$W:$W,0)),""),IF(F284="Sporting Clays",IFERROR(INDEX('Shooter-Squad Assignment'!$A:$A,MATCH(C284&amp;"-"&amp;E284&amp;"-"&amp;F284&amp;"-Pos5",'Shooter-Squad Assignment'!$Z:$Z,0)),""),"")))</f>
        <v/>
      </c>
      <c r="P284" s="79" t="str">
        <f>IF(ISBLANK(O284),"",IFERROR(INDEX('Tournament List'!$D:$D,MATCH(O284,'Tournament List'!$A:$A,0)),""))</f>
        <v/>
      </c>
    </row>
    <row r="285" spans="1:16" x14ac:dyDescent="0.3">
      <c r="A285" s="78">
        <v>284</v>
      </c>
      <c r="B285" s="73" t="str">
        <f>C285&amp;"-"&amp;E285&amp;"-"&amp;F285</f>
        <v>Rocky Mountain Clay Busters-Varsity 2-Trap</v>
      </c>
      <c r="C285" s="73" t="s">
        <v>319</v>
      </c>
      <c r="D285" s="73" t="str">
        <f>INDEX('Tournament Setup'!$B$59:$B$78,MATCH(E285,SquadConcurrents,0))</f>
        <v>Varsity</v>
      </c>
      <c r="E285" s="73" t="s">
        <v>346</v>
      </c>
      <c r="F285" s="73" t="s">
        <v>147</v>
      </c>
      <c r="G285" s="94" t="str">
        <f>IF(F285="Skeet",IFERROR(INDEX('Shooter-Squad Assignment'!$A:$A,MATCH(C285&amp;"-"&amp;E285&amp;"-"&amp;F285&amp;"-Pos1",'Shooter-Squad Assignment'!$K:$K,0)),""),IF(F285="Trap",IFERROR(INDEX('Shooter-Squad Assignment'!$A:$A,MATCH(C285&amp;"-"&amp;E285&amp;"-"&amp;F285&amp;"-Pos1",'Shooter-Squad Assignment'!$W:$W,0)),""),IF(F285="Sporting Clays",IFERROR(INDEX('Shooter-Squad Assignment'!$A:$A,MATCH(C285&amp;"-"&amp;E285&amp;"-"&amp;F285&amp;"-Pos1",'Shooter-Squad Assignment'!$Z:$Z,0)),""),"")))</f>
        <v/>
      </c>
      <c r="H285" s="73" t="str">
        <f>IF(ISBLANK(G285),"",IFERROR(INDEX('Tournament List'!$D:$D,MATCH(G285,'Tournament List'!$A:$A,0)),""))</f>
        <v/>
      </c>
      <c r="I285" s="94" t="str">
        <f>IF(F285="Skeet",IFERROR(INDEX('Shooter-Squad Assignment'!$A:$A,MATCH(C285&amp;"-"&amp;E285&amp;"-"&amp;F285&amp;"-Pos2",'Shooter-Squad Assignment'!$K:$K,0)),""),IF(F285="Trap",IFERROR(INDEX('Shooter-Squad Assignment'!$A:$A,MATCH(C285&amp;"-"&amp;E285&amp;"-"&amp;F285&amp;"-Pos2",'Shooter-Squad Assignment'!$W:$W,0)),""),IF(F285="Sporting Clays",IFERROR(INDEX('Shooter-Squad Assignment'!$A:$A,MATCH(C285&amp;"-"&amp;E285&amp;"-"&amp;F285&amp;"-Pos2",'Shooter-Squad Assignment'!$Z:$Z,0)),""),"")))</f>
        <v/>
      </c>
      <c r="J285" s="73" t="str">
        <f>IF(ISBLANK(I285),"",IFERROR(INDEX('Tournament List'!$D:$D,MATCH(I285,'Tournament List'!$A:$A,0)),""))</f>
        <v/>
      </c>
      <c r="K285" s="94" t="str">
        <f>IF(F285="Skeet",IFERROR(INDEX('Shooter-Squad Assignment'!$A:$A,MATCH(C285&amp;"-"&amp;E285&amp;"-"&amp;F285&amp;"-Pos3",'Shooter-Squad Assignment'!$K:$K,0)),""),IF(F285="Trap",IFERROR(INDEX('Shooter-Squad Assignment'!$A:$A,MATCH(C285&amp;"-"&amp;E285&amp;"-"&amp;F285&amp;"-Pos3",'Shooter-Squad Assignment'!$W:$W,0)),""),IF(F285="Sporting Clays",IFERROR(INDEX('Shooter-Squad Assignment'!$A:$A,MATCH(C285&amp;"-"&amp;E285&amp;"-"&amp;F285&amp;"-Pos3",'Shooter-Squad Assignment'!$Z:$Z,0)),""),"")))</f>
        <v/>
      </c>
      <c r="L285" s="73" t="str">
        <f>IF(ISBLANK(K285),"",IFERROR(INDEX('Tournament List'!$D:$D,MATCH(K285,'Tournament List'!$A:$A,0)),""))</f>
        <v/>
      </c>
      <c r="M285" s="94" t="str">
        <f>IF(F285="Skeet",IFERROR(INDEX('Shooter-Squad Assignment'!$A:$A,MATCH(C285&amp;"-"&amp;E285&amp;"-"&amp;F285&amp;"-Pos4",'Shooter-Squad Assignment'!$K:$K,0)),""),IF(F285="Trap",IFERROR(INDEX('Shooter-Squad Assignment'!$A:$A,MATCH(C285&amp;"-"&amp;E285&amp;"-"&amp;F285&amp;"-Pos4",'Shooter-Squad Assignment'!$W:$W,0)),""),IF(F285="Sporting Clays",IFERROR(INDEX('Shooter-Squad Assignment'!$A:$A,MATCH(C285&amp;"-"&amp;E285&amp;"-"&amp;F285&amp;"-Pos4",'Shooter-Squad Assignment'!$Z:$Z,0)),""),"")))</f>
        <v/>
      </c>
      <c r="N285" s="73" t="str">
        <f>IF(ISBLANK(M285),"",IFERROR(INDEX('Tournament List'!$D:$D,MATCH(M285,'Tournament List'!$A:$A,0)),""))</f>
        <v/>
      </c>
      <c r="O285" s="94" t="str">
        <f>IF(F285="Skeet",IFERROR(INDEX('Shooter-Squad Assignment'!$A:$A,MATCH(C285&amp;"-"&amp;E285&amp;"-"&amp;F285&amp;"-Pos5",'Shooter-Squad Assignment'!$K:$K,0)),""),IF(F285="Trap",IFERROR(INDEX('Shooter-Squad Assignment'!$A:$A,MATCH(C285&amp;"-"&amp;E285&amp;"-"&amp;F285&amp;"-Pos5",'Shooter-Squad Assignment'!$W:$W,0)),""),IF(F285="Sporting Clays",IFERROR(INDEX('Shooter-Squad Assignment'!$A:$A,MATCH(C285&amp;"-"&amp;E285&amp;"-"&amp;F285&amp;"-Pos5",'Shooter-Squad Assignment'!$Z:$Z,0)),""),"")))</f>
        <v/>
      </c>
      <c r="P285" s="79" t="str">
        <f>IF(ISBLANK(O285),"",IFERROR(INDEX('Tournament List'!$D:$D,MATCH(O285,'Tournament List'!$A:$A,0)),""))</f>
        <v/>
      </c>
    </row>
    <row r="286" spans="1:16" ht="15" thickBot="1" x14ac:dyDescent="0.35">
      <c r="A286" s="78">
        <v>285</v>
      </c>
      <c r="B286" s="73" t="str">
        <f>C286&amp;"-"&amp;E286&amp;"-"&amp;F286</f>
        <v>Rocky Mountain Clay Busters-Varsity 3-Trap</v>
      </c>
      <c r="C286" s="73" t="s">
        <v>319</v>
      </c>
      <c r="D286" s="73" t="str">
        <f>INDEX('Tournament Setup'!$B$59:$B$78,MATCH(E286,SquadConcurrents,0))</f>
        <v>Varsity</v>
      </c>
      <c r="E286" s="73" t="s">
        <v>352</v>
      </c>
      <c r="F286" s="73" t="s">
        <v>147</v>
      </c>
      <c r="G286" s="94" t="str">
        <f>IF(F286="Skeet",IFERROR(INDEX('Shooter-Squad Assignment'!$A:$A,MATCH(C286&amp;"-"&amp;E286&amp;"-"&amp;F286&amp;"-Pos1",'Shooter-Squad Assignment'!$K:$K,0)),""),IF(F286="Trap",IFERROR(INDEX('Shooter-Squad Assignment'!$A:$A,MATCH(C286&amp;"-"&amp;E286&amp;"-"&amp;F286&amp;"-Pos1",'Shooter-Squad Assignment'!$W:$W,0)),""),IF(F286="Sporting Clays",IFERROR(INDEX('Shooter-Squad Assignment'!$A:$A,MATCH(C286&amp;"-"&amp;E286&amp;"-"&amp;F286&amp;"-Pos1",'Shooter-Squad Assignment'!$Z:$Z,0)),""),"")))</f>
        <v/>
      </c>
      <c r="H286" s="73" t="str">
        <f>IF(ISBLANK(G286),"",IFERROR(INDEX('Tournament List'!$D:$D,MATCH(G286,'Tournament List'!$A:$A,0)),""))</f>
        <v/>
      </c>
      <c r="I286" s="94" t="str">
        <f>IF(F286="Skeet",IFERROR(INDEX('Shooter-Squad Assignment'!$A:$A,MATCH(C286&amp;"-"&amp;E286&amp;"-"&amp;F286&amp;"-Pos2",'Shooter-Squad Assignment'!$K:$K,0)),""),IF(F286="Trap",IFERROR(INDEX('Shooter-Squad Assignment'!$A:$A,MATCH(C286&amp;"-"&amp;E286&amp;"-"&amp;F286&amp;"-Pos2",'Shooter-Squad Assignment'!$W:$W,0)),""),IF(F286="Sporting Clays",IFERROR(INDEX('Shooter-Squad Assignment'!$A:$A,MATCH(C286&amp;"-"&amp;E286&amp;"-"&amp;F286&amp;"-Pos2",'Shooter-Squad Assignment'!$Z:$Z,0)),""),"")))</f>
        <v/>
      </c>
      <c r="J286" s="73" t="str">
        <f>IF(ISBLANK(I286),"",IFERROR(INDEX('Tournament List'!$D:$D,MATCH(I286,'Tournament List'!$A:$A,0)),""))</f>
        <v/>
      </c>
      <c r="K286" s="94" t="str">
        <f>IF(F286="Skeet",IFERROR(INDEX('Shooter-Squad Assignment'!$A:$A,MATCH(C286&amp;"-"&amp;E286&amp;"-"&amp;F286&amp;"-Pos3",'Shooter-Squad Assignment'!$K:$K,0)),""),IF(F286="Trap",IFERROR(INDEX('Shooter-Squad Assignment'!$A:$A,MATCH(C286&amp;"-"&amp;E286&amp;"-"&amp;F286&amp;"-Pos3",'Shooter-Squad Assignment'!$W:$W,0)),""),IF(F286="Sporting Clays",IFERROR(INDEX('Shooter-Squad Assignment'!$A:$A,MATCH(C286&amp;"-"&amp;E286&amp;"-"&amp;F286&amp;"-Pos3",'Shooter-Squad Assignment'!$Z:$Z,0)),""),"")))</f>
        <v/>
      </c>
      <c r="L286" s="73" t="str">
        <f>IF(ISBLANK(K286),"",IFERROR(INDEX('Tournament List'!$D:$D,MATCH(K286,'Tournament List'!$A:$A,0)),""))</f>
        <v/>
      </c>
      <c r="M286" s="94" t="str">
        <f>IF(F286="Skeet",IFERROR(INDEX('Shooter-Squad Assignment'!$A:$A,MATCH(C286&amp;"-"&amp;E286&amp;"-"&amp;F286&amp;"-Pos4",'Shooter-Squad Assignment'!$K:$K,0)),""),IF(F286="Trap",IFERROR(INDEX('Shooter-Squad Assignment'!$A:$A,MATCH(C286&amp;"-"&amp;E286&amp;"-"&amp;F286&amp;"-Pos4",'Shooter-Squad Assignment'!$W:$W,0)),""),IF(F286="Sporting Clays",IFERROR(INDEX('Shooter-Squad Assignment'!$A:$A,MATCH(C286&amp;"-"&amp;E286&amp;"-"&amp;F286&amp;"-Pos4",'Shooter-Squad Assignment'!$Z:$Z,0)),""),"")))</f>
        <v/>
      </c>
      <c r="N286" s="73" t="str">
        <f>IF(ISBLANK(M286),"",IFERROR(INDEX('Tournament List'!$D:$D,MATCH(M286,'Tournament List'!$A:$A,0)),""))</f>
        <v/>
      </c>
      <c r="O286" s="94" t="str">
        <f>IF(F286="Skeet",IFERROR(INDEX('Shooter-Squad Assignment'!$A:$A,MATCH(C286&amp;"-"&amp;E286&amp;"-"&amp;F286&amp;"-Pos5",'Shooter-Squad Assignment'!$K:$K,0)),""),IF(F286="Trap",IFERROR(INDEX('Shooter-Squad Assignment'!$A:$A,MATCH(C286&amp;"-"&amp;E286&amp;"-"&amp;F286&amp;"-Pos5",'Shooter-Squad Assignment'!$W:$W,0)),""),IF(F286="Sporting Clays",IFERROR(INDEX('Shooter-Squad Assignment'!$A:$A,MATCH(C286&amp;"-"&amp;E286&amp;"-"&amp;F286&amp;"-Pos5",'Shooter-Squad Assignment'!$Z:$Z,0)),""),"")))</f>
        <v/>
      </c>
      <c r="P286" s="79" t="str">
        <f>IF(ISBLANK(O286),"",IFERROR(INDEX('Tournament List'!$D:$D,MATCH(O286,'Tournament List'!$A:$A,0)),""))</f>
        <v/>
      </c>
    </row>
    <row r="287" spans="1:16" x14ac:dyDescent="0.3">
      <c r="A287" s="84">
        <v>286</v>
      </c>
      <c r="B287" s="85" t="str">
        <f>C287&amp;"-"&amp;E287&amp;"-"&amp;F287</f>
        <v>Wiggins Tigers Sporting Club-Collegiate 1-Skeet</v>
      </c>
      <c r="C287" s="85" t="s">
        <v>320</v>
      </c>
      <c r="D287" s="85" t="str">
        <f>INDEX('Tournament Setup'!$B$59:$B$78,MATCH(E287,SquadConcurrents,0))</f>
        <v>Collegiate</v>
      </c>
      <c r="E287" s="85" t="s">
        <v>342</v>
      </c>
      <c r="F287" s="85" t="s">
        <v>143</v>
      </c>
      <c r="G287" s="95" t="str">
        <f>IF(F287="Skeet",IFERROR(INDEX('Shooter-Squad Assignment'!$A:$A,MATCH(C287&amp;"-"&amp;E287&amp;"-"&amp;F287&amp;"-Pos1",'Shooter-Squad Assignment'!$K:$K,0)),""),IF(F287="Trap",IFERROR(INDEX('Shooter-Squad Assignment'!$A:$A,MATCH(C287&amp;"-"&amp;E287&amp;"-"&amp;F287&amp;"-Pos1",'Shooter-Squad Assignment'!$W:$W,0)),""),IF(F287="Sporting Clays",IFERROR(INDEX('Shooter-Squad Assignment'!$A:$A,MATCH(C287&amp;"-"&amp;E287&amp;"-"&amp;F287&amp;"-Pos1",'Shooter-Squad Assignment'!$Z:$Z,0)),""),"")))</f>
        <v>24-1038</v>
      </c>
      <c r="H287" s="85" t="str">
        <f>IF(ISBLANK(G287),"",IFERROR(INDEX('Tournament List'!$D:$D,MATCH(G287,'Tournament List'!$A:$A,0)),""))</f>
        <v>Chad Last Name39</v>
      </c>
      <c r="I287" s="95" t="str">
        <f>IF(F287="Skeet",IFERROR(INDEX('Shooter-Squad Assignment'!$A:$A,MATCH(C287&amp;"-"&amp;E287&amp;"-"&amp;F287&amp;"-Pos2",'Shooter-Squad Assignment'!$K:$K,0)),""),IF(F287="Trap",IFERROR(INDEX('Shooter-Squad Assignment'!$A:$A,MATCH(C287&amp;"-"&amp;E287&amp;"-"&amp;F287&amp;"-Pos2",'Shooter-Squad Assignment'!$W:$W,0)),""),IF(F287="Sporting Clays",IFERROR(INDEX('Shooter-Squad Assignment'!$A:$A,MATCH(C287&amp;"-"&amp;E287&amp;"-"&amp;F287&amp;"-Pos2",'Shooter-Squad Assignment'!$Z:$Z,0)),""),"")))</f>
        <v>24-1026</v>
      </c>
      <c r="J287" s="85" t="str">
        <f>IF(ISBLANK(I287),"",IFERROR(INDEX('Tournament List'!$D:$D,MATCH(I287,'Tournament List'!$A:$A,0)),""))</f>
        <v>Becky Last Name27</v>
      </c>
      <c r="K287" s="95" t="str">
        <f>IF(F287="Skeet",IFERROR(INDEX('Shooter-Squad Assignment'!$A:$A,MATCH(C287&amp;"-"&amp;E287&amp;"-"&amp;F287&amp;"-Pos3",'Shooter-Squad Assignment'!$K:$K,0)),""),IF(F287="Trap",IFERROR(INDEX('Shooter-Squad Assignment'!$A:$A,MATCH(C287&amp;"-"&amp;E287&amp;"-"&amp;F287&amp;"-Pos3",'Shooter-Squad Assignment'!$W:$W,0)),""),IF(F287="Sporting Clays",IFERROR(INDEX('Shooter-Squad Assignment'!$A:$A,MATCH(C287&amp;"-"&amp;E287&amp;"-"&amp;F287&amp;"-Pos3",'Shooter-Squad Assignment'!$Z:$Z,0)),""),"")))</f>
        <v>24-1014</v>
      </c>
      <c r="L287" s="85" t="str">
        <f>IF(ISBLANK(K287),"",IFERROR(INDEX('Tournament List'!$D:$D,MATCH(K287,'Tournament List'!$A:$A,0)),""))</f>
        <v>Daniel Last Name15</v>
      </c>
      <c r="M287" s="95" t="str">
        <f>IF(F287="Skeet",IFERROR(INDEX('Shooter-Squad Assignment'!$A:$A,MATCH(C287&amp;"-"&amp;E287&amp;"-"&amp;F287&amp;"-Pos4",'Shooter-Squad Assignment'!$K:$K,0)),""),IF(F287="Trap",IFERROR(INDEX('Shooter-Squad Assignment'!$A:$A,MATCH(C287&amp;"-"&amp;E287&amp;"-"&amp;F287&amp;"-Pos4",'Shooter-Squad Assignment'!$W:$W,0)),""),IF(F287="Sporting Clays",IFERROR(INDEX('Shooter-Squad Assignment'!$A:$A,MATCH(C287&amp;"-"&amp;E287&amp;"-"&amp;F287&amp;"-Pos4",'Shooter-Squad Assignment'!$Z:$Z,0)),""),"")))</f>
        <v/>
      </c>
      <c r="N287" s="85" t="str">
        <f>IF(ISBLANK(M287),"",IFERROR(INDEX('Tournament List'!$D:$D,MATCH(M287,'Tournament List'!$A:$A,0)),""))</f>
        <v/>
      </c>
      <c r="O287" s="95" t="str">
        <f>IF(F287="Skeet",IFERROR(INDEX('Shooter-Squad Assignment'!$A:$A,MATCH(C287&amp;"-"&amp;E287&amp;"-"&amp;F287&amp;"-Pos5",'Shooter-Squad Assignment'!$K:$K,0)),""),IF(F287="Trap",IFERROR(INDEX('Shooter-Squad Assignment'!$A:$A,MATCH(C287&amp;"-"&amp;E287&amp;"-"&amp;F287&amp;"-Pos5",'Shooter-Squad Assignment'!$W:$W,0)),""),IF(F287="Sporting Clays",IFERROR(INDEX('Shooter-Squad Assignment'!$A:$A,MATCH(C287&amp;"-"&amp;E287&amp;"-"&amp;F287&amp;"-Pos5",'Shooter-Squad Assignment'!$Z:$Z,0)),""),"")))</f>
        <v/>
      </c>
      <c r="P287" s="86" t="str">
        <f>IF(ISBLANK(O287),"",IFERROR(INDEX('Tournament List'!$D:$D,MATCH(O287,'Tournament List'!$A:$A,0)),""))</f>
        <v/>
      </c>
    </row>
    <row r="288" spans="1:16" x14ac:dyDescent="0.3">
      <c r="A288" s="87">
        <v>287</v>
      </c>
      <c r="B288" s="88" t="str">
        <f>C288&amp;"-"&amp;E288&amp;"-"&amp;F288</f>
        <v>Wiggins Tigers Sporting Club-Collegiate 2-Skeet</v>
      </c>
      <c r="C288" s="88" t="s">
        <v>320</v>
      </c>
      <c r="D288" s="88" t="str">
        <f>INDEX('Tournament Setup'!$B$59:$B$78,MATCH(E288,SquadConcurrents,0))</f>
        <v>Collegiate</v>
      </c>
      <c r="E288" s="88" t="s">
        <v>348</v>
      </c>
      <c r="F288" s="88" t="s">
        <v>143</v>
      </c>
      <c r="G288" s="96" t="str">
        <f>IF(F288="Skeet",IFERROR(INDEX('Shooter-Squad Assignment'!$A:$A,MATCH(C288&amp;"-"&amp;E288&amp;"-"&amp;F288&amp;"-Pos1",'Shooter-Squad Assignment'!$K:$K,0)),""),IF(F288="Trap",IFERROR(INDEX('Shooter-Squad Assignment'!$A:$A,MATCH(C288&amp;"-"&amp;E288&amp;"-"&amp;F288&amp;"-Pos1",'Shooter-Squad Assignment'!$W:$W,0)),""),IF(F288="Sporting Clays",IFERROR(INDEX('Shooter-Squad Assignment'!$A:$A,MATCH(C288&amp;"-"&amp;E288&amp;"-"&amp;F288&amp;"-Pos1",'Shooter-Squad Assignment'!$Z:$Z,0)),""),"")))</f>
        <v/>
      </c>
      <c r="H288" s="88" t="str">
        <f>IF(ISBLANK(G288),"",IFERROR(INDEX('Tournament List'!$D:$D,MATCH(G288,'Tournament List'!$A:$A,0)),""))</f>
        <v/>
      </c>
      <c r="I288" s="96" t="str">
        <f>IF(F288="Skeet",IFERROR(INDEX('Shooter-Squad Assignment'!$A:$A,MATCH(C288&amp;"-"&amp;E288&amp;"-"&amp;F288&amp;"-Pos2",'Shooter-Squad Assignment'!$K:$K,0)),""),IF(F288="Trap",IFERROR(INDEX('Shooter-Squad Assignment'!$A:$A,MATCH(C288&amp;"-"&amp;E288&amp;"-"&amp;F288&amp;"-Pos2",'Shooter-Squad Assignment'!$W:$W,0)),""),IF(F288="Sporting Clays",IFERROR(INDEX('Shooter-Squad Assignment'!$A:$A,MATCH(C288&amp;"-"&amp;E288&amp;"-"&amp;F288&amp;"-Pos2",'Shooter-Squad Assignment'!$Z:$Z,0)),""),"")))</f>
        <v/>
      </c>
      <c r="J288" s="88" t="str">
        <f>IF(ISBLANK(I288),"",IFERROR(INDEX('Tournament List'!$D:$D,MATCH(I288,'Tournament List'!$A:$A,0)),""))</f>
        <v/>
      </c>
      <c r="K288" s="96" t="str">
        <f>IF(F288="Skeet",IFERROR(INDEX('Shooter-Squad Assignment'!$A:$A,MATCH(C288&amp;"-"&amp;E288&amp;"-"&amp;F288&amp;"-Pos3",'Shooter-Squad Assignment'!$K:$K,0)),""),IF(F288="Trap",IFERROR(INDEX('Shooter-Squad Assignment'!$A:$A,MATCH(C288&amp;"-"&amp;E288&amp;"-"&amp;F288&amp;"-Pos3",'Shooter-Squad Assignment'!$W:$W,0)),""),IF(F288="Sporting Clays",IFERROR(INDEX('Shooter-Squad Assignment'!$A:$A,MATCH(C288&amp;"-"&amp;E288&amp;"-"&amp;F288&amp;"-Pos3",'Shooter-Squad Assignment'!$Z:$Z,0)),""),"")))</f>
        <v/>
      </c>
      <c r="L288" s="88" t="str">
        <f>IF(ISBLANK(K288),"",IFERROR(INDEX('Tournament List'!$D:$D,MATCH(K288,'Tournament List'!$A:$A,0)),""))</f>
        <v/>
      </c>
      <c r="M288" s="96" t="str">
        <f>IF(F288="Skeet",IFERROR(INDEX('Shooter-Squad Assignment'!$A:$A,MATCH(C288&amp;"-"&amp;E288&amp;"-"&amp;F288&amp;"-Pos4",'Shooter-Squad Assignment'!$K:$K,0)),""),IF(F288="Trap",IFERROR(INDEX('Shooter-Squad Assignment'!$A:$A,MATCH(C288&amp;"-"&amp;E288&amp;"-"&amp;F288&amp;"-Pos4",'Shooter-Squad Assignment'!$W:$W,0)),""),IF(F288="Sporting Clays",IFERROR(INDEX('Shooter-Squad Assignment'!$A:$A,MATCH(C288&amp;"-"&amp;E288&amp;"-"&amp;F288&amp;"-Pos4",'Shooter-Squad Assignment'!$Z:$Z,0)),""),"")))</f>
        <v/>
      </c>
      <c r="N288" s="88" t="str">
        <f>IF(ISBLANK(M288),"",IFERROR(INDEX('Tournament List'!$D:$D,MATCH(M288,'Tournament List'!$A:$A,0)),""))</f>
        <v/>
      </c>
      <c r="O288" s="96" t="str">
        <f>IF(F288="Skeet",IFERROR(INDEX('Shooter-Squad Assignment'!$A:$A,MATCH(C288&amp;"-"&amp;E288&amp;"-"&amp;F288&amp;"-Pos5",'Shooter-Squad Assignment'!$K:$K,0)),""),IF(F288="Trap",IFERROR(INDEX('Shooter-Squad Assignment'!$A:$A,MATCH(C288&amp;"-"&amp;E288&amp;"-"&amp;F288&amp;"-Pos5",'Shooter-Squad Assignment'!$W:$W,0)),""),IF(F288="Sporting Clays",IFERROR(INDEX('Shooter-Squad Assignment'!$A:$A,MATCH(C288&amp;"-"&amp;E288&amp;"-"&amp;F288&amp;"-Pos5",'Shooter-Squad Assignment'!$Z:$Z,0)),""),"")))</f>
        <v/>
      </c>
      <c r="P288" s="89" t="str">
        <f>IF(ISBLANK(O288),"",IFERROR(INDEX('Tournament List'!$D:$D,MATCH(O288,'Tournament List'!$A:$A,0)),""))</f>
        <v/>
      </c>
    </row>
    <row r="289" spans="1:16" x14ac:dyDescent="0.3">
      <c r="A289" s="87">
        <v>288</v>
      </c>
      <c r="B289" s="88" t="str">
        <f>C289&amp;"-"&amp;E289&amp;"-"&amp;F289</f>
        <v>Wiggins Tigers Sporting Club-Collegiate 3-Skeet</v>
      </c>
      <c r="C289" s="88" t="s">
        <v>320</v>
      </c>
      <c r="D289" s="88" t="str">
        <f>INDEX('Tournament Setup'!$B$59:$B$78,MATCH(E289,SquadConcurrents,0))</f>
        <v>Collegiate</v>
      </c>
      <c r="E289" s="88" t="s">
        <v>354</v>
      </c>
      <c r="F289" s="88" t="s">
        <v>143</v>
      </c>
      <c r="G289" s="96" t="str">
        <f>IF(F289="Skeet",IFERROR(INDEX('Shooter-Squad Assignment'!$A:$A,MATCH(C289&amp;"-"&amp;E289&amp;"-"&amp;F289&amp;"-Pos1",'Shooter-Squad Assignment'!$K:$K,0)),""),IF(F289="Trap",IFERROR(INDEX('Shooter-Squad Assignment'!$A:$A,MATCH(C289&amp;"-"&amp;E289&amp;"-"&amp;F289&amp;"-Pos1",'Shooter-Squad Assignment'!$W:$W,0)),""),IF(F289="Sporting Clays",IFERROR(INDEX('Shooter-Squad Assignment'!$A:$A,MATCH(C289&amp;"-"&amp;E289&amp;"-"&amp;F289&amp;"-Pos1",'Shooter-Squad Assignment'!$Z:$Z,0)),""),"")))</f>
        <v/>
      </c>
      <c r="H289" s="88" t="str">
        <f>IF(ISBLANK(G289),"",IFERROR(INDEX('Tournament List'!$D:$D,MATCH(G289,'Tournament List'!$A:$A,0)),""))</f>
        <v/>
      </c>
      <c r="I289" s="96" t="str">
        <f>IF(F289="Skeet",IFERROR(INDEX('Shooter-Squad Assignment'!$A:$A,MATCH(C289&amp;"-"&amp;E289&amp;"-"&amp;F289&amp;"-Pos2",'Shooter-Squad Assignment'!$K:$K,0)),""),IF(F289="Trap",IFERROR(INDEX('Shooter-Squad Assignment'!$A:$A,MATCH(C289&amp;"-"&amp;E289&amp;"-"&amp;F289&amp;"-Pos2",'Shooter-Squad Assignment'!$W:$W,0)),""),IF(F289="Sporting Clays",IFERROR(INDEX('Shooter-Squad Assignment'!$A:$A,MATCH(C289&amp;"-"&amp;E289&amp;"-"&amp;F289&amp;"-Pos2",'Shooter-Squad Assignment'!$Z:$Z,0)),""),"")))</f>
        <v/>
      </c>
      <c r="J289" s="88" t="str">
        <f>IF(ISBLANK(I289),"",IFERROR(INDEX('Tournament List'!$D:$D,MATCH(I289,'Tournament List'!$A:$A,0)),""))</f>
        <v/>
      </c>
      <c r="K289" s="96" t="str">
        <f>IF(F289="Skeet",IFERROR(INDEX('Shooter-Squad Assignment'!$A:$A,MATCH(C289&amp;"-"&amp;E289&amp;"-"&amp;F289&amp;"-Pos3",'Shooter-Squad Assignment'!$K:$K,0)),""),IF(F289="Trap",IFERROR(INDEX('Shooter-Squad Assignment'!$A:$A,MATCH(C289&amp;"-"&amp;E289&amp;"-"&amp;F289&amp;"-Pos3",'Shooter-Squad Assignment'!$W:$W,0)),""),IF(F289="Sporting Clays",IFERROR(INDEX('Shooter-Squad Assignment'!$A:$A,MATCH(C289&amp;"-"&amp;E289&amp;"-"&amp;F289&amp;"-Pos3",'Shooter-Squad Assignment'!$Z:$Z,0)),""),"")))</f>
        <v/>
      </c>
      <c r="L289" s="88" t="str">
        <f>IF(ISBLANK(K289),"",IFERROR(INDEX('Tournament List'!$D:$D,MATCH(K289,'Tournament List'!$A:$A,0)),""))</f>
        <v/>
      </c>
      <c r="M289" s="96" t="str">
        <f>IF(F289="Skeet",IFERROR(INDEX('Shooter-Squad Assignment'!$A:$A,MATCH(C289&amp;"-"&amp;E289&amp;"-"&amp;F289&amp;"-Pos4",'Shooter-Squad Assignment'!$K:$K,0)),""),IF(F289="Trap",IFERROR(INDEX('Shooter-Squad Assignment'!$A:$A,MATCH(C289&amp;"-"&amp;E289&amp;"-"&amp;F289&amp;"-Pos4",'Shooter-Squad Assignment'!$W:$W,0)),""),IF(F289="Sporting Clays",IFERROR(INDEX('Shooter-Squad Assignment'!$A:$A,MATCH(C289&amp;"-"&amp;E289&amp;"-"&amp;F289&amp;"-Pos4",'Shooter-Squad Assignment'!$Z:$Z,0)),""),"")))</f>
        <v/>
      </c>
      <c r="N289" s="88" t="str">
        <f>IF(ISBLANK(M289),"",IFERROR(INDEX('Tournament List'!$D:$D,MATCH(M289,'Tournament List'!$A:$A,0)),""))</f>
        <v/>
      </c>
      <c r="O289" s="96" t="str">
        <f>IF(F289="Skeet",IFERROR(INDEX('Shooter-Squad Assignment'!$A:$A,MATCH(C289&amp;"-"&amp;E289&amp;"-"&amp;F289&amp;"-Pos5",'Shooter-Squad Assignment'!$K:$K,0)),""),IF(F289="Trap",IFERROR(INDEX('Shooter-Squad Assignment'!$A:$A,MATCH(C289&amp;"-"&amp;E289&amp;"-"&amp;F289&amp;"-Pos5",'Shooter-Squad Assignment'!$W:$W,0)),""),IF(F289="Sporting Clays",IFERROR(INDEX('Shooter-Squad Assignment'!$A:$A,MATCH(C289&amp;"-"&amp;E289&amp;"-"&amp;F289&amp;"-Pos5",'Shooter-Squad Assignment'!$Z:$Z,0)),""),"")))</f>
        <v/>
      </c>
      <c r="P289" s="89" t="str">
        <f>IF(ISBLANK(O289),"",IFERROR(INDEX('Tournament List'!$D:$D,MATCH(O289,'Tournament List'!$A:$A,0)),""))</f>
        <v/>
      </c>
    </row>
    <row r="290" spans="1:16" x14ac:dyDescent="0.3">
      <c r="A290" s="87">
        <v>289</v>
      </c>
      <c r="B290" s="88" t="str">
        <f>C290&amp;"-"&amp;E290&amp;"-"&amp;F290</f>
        <v>Wiggins Tigers Sporting Club-Intermediate 1-Skeet</v>
      </c>
      <c r="C290" s="88" t="s">
        <v>320</v>
      </c>
      <c r="D290" s="88" t="str">
        <f>INDEX('Tournament Setup'!$B$59:$B$78,MATCH(E290,SquadConcurrents,0))</f>
        <v>Intermediate</v>
      </c>
      <c r="E290" s="88" t="s">
        <v>338</v>
      </c>
      <c r="F290" s="88" t="s">
        <v>143</v>
      </c>
      <c r="G290" s="96" t="str">
        <f>IF(F290="Skeet",IFERROR(INDEX('Shooter-Squad Assignment'!$A:$A,MATCH(C290&amp;"-"&amp;E290&amp;"-"&amp;F290&amp;"-Pos1",'Shooter-Squad Assignment'!$K:$K,0)),""),IF(F290="Trap",IFERROR(INDEX('Shooter-Squad Assignment'!$A:$A,MATCH(C290&amp;"-"&amp;E290&amp;"-"&amp;F290&amp;"-Pos1",'Shooter-Squad Assignment'!$W:$W,0)),""),IF(F290="Sporting Clays",IFERROR(INDEX('Shooter-Squad Assignment'!$A:$A,MATCH(C290&amp;"-"&amp;E290&amp;"-"&amp;F290&amp;"-Pos1",'Shooter-Squad Assignment'!$Z:$Z,0)),""),"")))</f>
        <v/>
      </c>
      <c r="H290" s="88" t="str">
        <f>IF(ISBLANK(G290),"",IFERROR(INDEX('Tournament List'!$D:$D,MATCH(G290,'Tournament List'!$A:$A,0)),""))</f>
        <v/>
      </c>
      <c r="I290" s="96" t="str">
        <f>IF(F290="Skeet",IFERROR(INDEX('Shooter-Squad Assignment'!$A:$A,MATCH(C290&amp;"-"&amp;E290&amp;"-"&amp;F290&amp;"-Pos2",'Shooter-Squad Assignment'!$K:$K,0)),""),IF(F290="Trap",IFERROR(INDEX('Shooter-Squad Assignment'!$A:$A,MATCH(C290&amp;"-"&amp;E290&amp;"-"&amp;F290&amp;"-Pos2",'Shooter-Squad Assignment'!$W:$W,0)),""),IF(F290="Sporting Clays",IFERROR(INDEX('Shooter-Squad Assignment'!$A:$A,MATCH(C290&amp;"-"&amp;E290&amp;"-"&amp;F290&amp;"-Pos2",'Shooter-Squad Assignment'!$Z:$Z,0)),""),"")))</f>
        <v/>
      </c>
      <c r="J290" s="88" t="str">
        <f>IF(ISBLANK(I290),"",IFERROR(INDEX('Tournament List'!$D:$D,MATCH(I290,'Tournament List'!$A:$A,0)),""))</f>
        <v/>
      </c>
      <c r="K290" s="96" t="str">
        <f>IF(F290="Skeet",IFERROR(INDEX('Shooter-Squad Assignment'!$A:$A,MATCH(C290&amp;"-"&amp;E290&amp;"-"&amp;F290&amp;"-Pos3",'Shooter-Squad Assignment'!$K:$K,0)),""),IF(F290="Trap",IFERROR(INDEX('Shooter-Squad Assignment'!$A:$A,MATCH(C290&amp;"-"&amp;E290&amp;"-"&amp;F290&amp;"-Pos3",'Shooter-Squad Assignment'!$W:$W,0)),""),IF(F290="Sporting Clays",IFERROR(INDEX('Shooter-Squad Assignment'!$A:$A,MATCH(C290&amp;"-"&amp;E290&amp;"-"&amp;F290&amp;"-Pos3",'Shooter-Squad Assignment'!$Z:$Z,0)),""),"")))</f>
        <v/>
      </c>
      <c r="L290" s="88" t="str">
        <f>IF(ISBLANK(K290),"",IFERROR(INDEX('Tournament List'!$D:$D,MATCH(K290,'Tournament List'!$A:$A,0)),""))</f>
        <v/>
      </c>
      <c r="M290" s="96" t="str">
        <f>IF(F290="Skeet",IFERROR(INDEX('Shooter-Squad Assignment'!$A:$A,MATCH(C290&amp;"-"&amp;E290&amp;"-"&amp;F290&amp;"-Pos4",'Shooter-Squad Assignment'!$K:$K,0)),""),IF(F290="Trap",IFERROR(INDEX('Shooter-Squad Assignment'!$A:$A,MATCH(C290&amp;"-"&amp;E290&amp;"-"&amp;F290&amp;"-Pos4",'Shooter-Squad Assignment'!$W:$W,0)),""),IF(F290="Sporting Clays",IFERROR(INDEX('Shooter-Squad Assignment'!$A:$A,MATCH(C290&amp;"-"&amp;E290&amp;"-"&amp;F290&amp;"-Pos4",'Shooter-Squad Assignment'!$Z:$Z,0)),""),"")))</f>
        <v/>
      </c>
      <c r="N290" s="88" t="str">
        <f>IF(ISBLANK(M290),"",IFERROR(INDEX('Tournament List'!$D:$D,MATCH(M290,'Tournament List'!$A:$A,0)),""))</f>
        <v/>
      </c>
      <c r="O290" s="96" t="str">
        <f>IF(F290="Skeet",IFERROR(INDEX('Shooter-Squad Assignment'!$A:$A,MATCH(C290&amp;"-"&amp;E290&amp;"-"&amp;F290&amp;"-Pos5",'Shooter-Squad Assignment'!$K:$K,0)),""),IF(F290="Trap",IFERROR(INDEX('Shooter-Squad Assignment'!$A:$A,MATCH(C290&amp;"-"&amp;E290&amp;"-"&amp;F290&amp;"-Pos5",'Shooter-Squad Assignment'!$W:$W,0)),""),IF(F290="Sporting Clays",IFERROR(INDEX('Shooter-Squad Assignment'!$A:$A,MATCH(C290&amp;"-"&amp;E290&amp;"-"&amp;F290&amp;"-Pos5",'Shooter-Squad Assignment'!$Z:$Z,0)),""),"")))</f>
        <v/>
      </c>
      <c r="P290" s="89" t="str">
        <f>IF(ISBLANK(O290),"",IFERROR(INDEX('Tournament List'!$D:$D,MATCH(O290,'Tournament List'!$A:$A,0)),""))</f>
        <v/>
      </c>
    </row>
    <row r="291" spans="1:16" x14ac:dyDescent="0.3">
      <c r="A291" s="87">
        <v>290</v>
      </c>
      <c r="B291" s="88" t="str">
        <f>C291&amp;"-"&amp;E291&amp;"-"&amp;F291</f>
        <v>Wiggins Tigers Sporting Club-Intermediate 2-Skeet</v>
      </c>
      <c r="C291" s="88" t="s">
        <v>320</v>
      </c>
      <c r="D291" s="88" t="str">
        <f>INDEX('Tournament Setup'!$B$59:$B$78,MATCH(E291,SquadConcurrents,0))</f>
        <v>Intermediate</v>
      </c>
      <c r="E291" s="88" t="s">
        <v>344</v>
      </c>
      <c r="F291" s="88" t="s">
        <v>143</v>
      </c>
      <c r="G291" s="96" t="str">
        <f>IF(F291="Skeet",IFERROR(INDEX('Shooter-Squad Assignment'!$A:$A,MATCH(C291&amp;"-"&amp;E291&amp;"-"&amp;F291&amp;"-Pos1",'Shooter-Squad Assignment'!$K:$K,0)),""),IF(F291="Trap",IFERROR(INDEX('Shooter-Squad Assignment'!$A:$A,MATCH(C291&amp;"-"&amp;E291&amp;"-"&amp;F291&amp;"-Pos1",'Shooter-Squad Assignment'!$W:$W,0)),""),IF(F291="Sporting Clays",IFERROR(INDEX('Shooter-Squad Assignment'!$A:$A,MATCH(C291&amp;"-"&amp;E291&amp;"-"&amp;F291&amp;"-Pos1",'Shooter-Squad Assignment'!$Z:$Z,0)),""),"")))</f>
        <v/>
      </c>
      <c r="H291" s="88" t="str">
        <f>IF(ISBLANK(G291),"",IFERROR(INDEX('Tournament List'!$D:$D,MATCH(G291,'Tournament List'!$A:$A,0)),""))</f>
        <v/>
      </c>
      <c r="I291" s="96" t="str">
        <f>IF(F291="Skeet",IFERROR(INDEX('Shooter-Squad Assignment'!$A:$A,MATCH(C291&amp;"-"&amp;E291&amp;"-"&amp;F291&amp;"-Pos2",'Shooter-Squad Assignment'!$K:$K,0)),""),IF(F291="Trap",IFERROR(INDEX('Shooter-Squad Assignment'!$A:$A,MATCH(C291&amp;"-"&amp;E291&amp;"-"&amp;F291&amp;"-Pos2",'Shooter-Squad Assignment'!$W:$W,0)),""),IF(F291="Sporting Clays",IFERROR(INDEX('Shooter-Squad Assignment'!$A:$A,MATCH(C291&amp;"-"&amp;E291&amp;"-"&amp;F291&amp;"-Pos2",'Shooter-Squad Assignment'!$Z:$Z,0)),""),"")))</f>
        <v/>
      </c>
      <c r="J291" s="88" t="str">
        <f>IF(ISBLANK(I291),"",IFERROR(INDEX('Tournament List'!$D:$D,MATCH(I291,'Tournament List'!$A:$A,0)),""))</f>
        <v/>
      </c>
      <c r="K291" s="96" t="str">
        <f>IF(F291="Skeet",IFERROR(INDEX('Shooter-Squad Assignment'!$A:$A,MATCH(C291&amp;"-"&amp;E291&amp;"-"&amp;F291&amp;"-Pos3",'Shooter-Squad Assignment'!$K:$K,0)),""),IF(F291="Trap",IFERROR(INDEX('Shooter-Squad Assignment'!$A:$A,MATCH(C291&amp;"-"&amp;E291&amp;"-"&amp;F291&amp;"-Pos3",'Shooter-Squad Assignment'!$W:$W,0)),""),IF(F291="Sporting Clays",IFERROR(INDEX('Shooter-Squad Assignment'!$A:$A,MATCH(C291&amp;"-"&amp;E291&amp;"-"&amp;F291&amp;"-Pos3",'Shooter-Squad Assignment'!$Z:$Z,0)),""),"")))</f>
        <v/>
      </c>
      <c r="L291" s="88" t="str">
        <f>IF(ISBLANK(K291),"",IFERROR(INDEX('Tournament List'!$D:$D,MATCH(K291,'Tournament List'!$A:$A,0)),""))</f>
        <v/>
      </c>
      <c r="M291" s="96" t="str">
        <f>IF(F291="Skeet",IFERROR(INDEX('Shooter-Squad Assignment'!$A:$A,MATCH(C291&amp;"-"&amp;E291&amp;"-"&amp;F291&amp;"-Pos4",'Shooter-Squad Assignment'!$K:$K,0)),""),IF(F291="Trap",IFERROR(INDEX('Shooter-Squad Assignment'!$A:$A,MATCH(C291&amp;"-"&amp;E291&amp;"-"&amp;F291&amp;"-Pos4",'Shooter-Squad Assignment'!$W:$W,0)),""),IF(F291="Sporting Clays",IFERROR(INDEX('Shooter-Squad Assignment'!$A:$A,MATCH(C291&amp;"-"&amp;E291&amp;"-"&amp;F291&amp;"-Pos4",'Shooter-Squad Assignment'!$Z:$Z,0)),""),"")))</f>
        <v/>
      </c>
      <c r="N291" s="88" t="str">
        <f>IF(ISBLANK(M291),"",IFERROR(INDEX('Tournament List'!$D:$D,MATCH(M291,'Tournament List'!$A:$A,0)),""))</f>
        <v/>
      </c>
      <c r="O291" s="96" t="str">
        <f>IF(F291="Skeet",IFERROR(INDEX('Shooter-Squad Assignment'!$A:$A,MATCH(C291&amp;"-"&amp;E291&amp;"-"&amp;F291&amp;"-Pos5",'Shooter-Squad Assignment'!$K:$K,0)),""),IF(F291="Trap",IFERROR(INDEX('Shooter-Squad Assignment'!$A:$A,MATCH(C291&amp;"-"&amp;E291&amp;"-"&amp;F291&amp;"-Pos5",'Shooter-Squad Assignment'!$W:$W,0)),""),IF(F291="Sporting Clays",IFERROR(INDEX('Shooter-Squad Assignment'!$A:$A,MATCH(C291&amp;"-"&amp;E291&amp;"-"&amp;F291&amp;"-Pos5",'Shooter-Squad Assignment'!$Z:$Z,0)),""),"")))</f>
        <v/>
      </c>
      <c r="P291" s="89" t="str">
        <f>IF(ISBLANK(O291),"",IFERROR(INDEX('Tournament List'!$D:$D,MATCH(O291,'Tournament List'!$A:$A,0)),""))</f>
        <v/>
      </c>
    </row>
    <row r="292" spans="1:16" x14ac:dyDescent="0.3">
      <c r="A292" s="87">
        <v>291</v>
      </c>
      <c r="B292" s="88" t="str">
        <f>C292&amp;"-"&amp;E292&amp;"-"&amp;F292</f>
        <v>Wiggins Tigers Sporting Club-Intermediate 3-Skeet</v>
      </c>
      <c r="C292" s="88" t="s">
        <v>320</v>
      </c>
      <c r="D292" s="88" t="str">
        <f>INDEX('Tournament Setup'!$B$59:$B$78,MATCH(E292,SquadConcurrents,0))</f>
        <v>Intermediate</v>
      </c>
      <c r="E292" s="88" t="s">
        <v>350</v>
      </c>
      <c r="F292" s="88" t="s">
        <v>143</v>
      </c>
      <c r="G292" s="96" t="str">
        <f>IF(F292="Skeet",IFERROR(INDEX('Shooter-Squad Assignment'!$A:$A,MATCH(C292&amp;"-"&amp;E292&amp;"-"&amp;F292&amp;"-Pos1",'Shooter-Squad Assignment'!$K:$K,0)),""),IF(F292="Trap",IFERROR(INDEX('Shooter-Squad Assignment'!$A:$A,MATCH(C292&amp;"-"&amp;E292&amp;"-"&amp;F292&amp;"-Pos1",'Shooter-Squad Assignment'!$W:$W,0)),""),IF(F292="Sporting Clays",IFERROR(INDEX('Shooter-Squad Assignment'!$A:$A,MATCH(C292&amp;"-"&amp;E292&amp;"-"&amp;F292&amp;"-Pos1",'Shooter-Squad Assignment'!$Z:$Z,0)),""),"")))</f>
        <v/>
      </c>
      <c r="H292" s="88" t="str">
        <f>IF(ISBLANK(G292),"",IFERROR(INDEX('Tournament List'!$D:$D,MATCH(G292,'Tournament List'!$A:$A,0)),""))</f>
        <v/>
      </c>
      <c r="I292" s="96" t="str">
        <f>IF(F292="Skeet",IFERROR(INDEX('Shooter-Squad Assignment'!$A:$A,MATCH(C292&amp;"-"&amp;E292&amp;"-"&amp;F292&amp;"-Pos2",'Shooter-Squad Assignment'!$K:$K,0)),""),IF(F292="Trap",IFERROR(INDEX('Shooter-Squad Assignment'!$A:$A,MATCH(C292&amp;"-"&amp;E292&amp;"-"&amp;F292&amp;"-Pos2",'Shooter-Squad Assignment'!$W:$W,0)),""),IF(F292="Sporting Clays",IFERROR(INDEX('Shooter-Squad Assignment'!$A:$A,MATCH(C292&amp;"-"&amp;E292&amp;"-"&amp;F292&amp;"-Pos2",'Shooter-Squad Assignment'!$Z:$Z,0)),""),"")))</f>
        <v/>
      </c>
      <c r="J292" s="88" t="str">
        <f>IF(ISBLANK(I292),"",IFERROR(INDEX('Tournament List'!$D:$D,MATCH(I292,'Tournament List'!$A:$A,0)),""))</f>
        <v/>
      </c>
      <c r="K292" s="96" t="str">
        <f>IF(F292="Skeet",IFERROR(INDEX('Shooter-Squad Assignment'!$A:$A,MATCH(C292&amp;"-"&amp;E292&amp;"-"&amp;F292&amp;"-Pos3",'Shooter-Squad Assignment'!$K:$K,0)),""),IF(F292="Trap",IFERROR(INDEX('Shooter-Squad Assignment'!$A:$A,MATCH(C292&amp;"-"&amp;E292&amp;"-"&amp;F292&amp;"-Pos3",'Shooter-Squad Assignment'!$W:$W,0)),""),IF(F292="Sporting Clays",IFERROR(INDEX('Shooter-Squad Assignment'!$A:$A,MATCH(C292&amp;"-"&amp;E292&amp;"-"&amp;F292&amp;"-Pos3",'Shooter-Squad Assignment'!$Z:$Z,0)),""),"")))</f>
        <v/>
      </c>
      <c r="L292" s="88" t="str">
        <f>IF(ISBLANK(K292),"",IFERROR(INDEX('Tournament List'!$D:$D,MATCH(K292,'Tournament List'!$A:$A,0)),""))</f>
        <v/>
      </c>
      <c r="M292" s="96" t="str">
        <f>IF(F292="Skeet",IFERROR(INDEX('Shooter-Squad Assignment'!$A:$A,MATCH(C292&amp;"-"&amp;E292&amp;"-"&amp;F292&amp;"-Pos4",'Shooter-Squad Assignment'!$K:$K,0)),""),IF(F292="Trap",IFERROR(INDEX('Shooter-Squad Assignment'!$A:$A,MATCH(C292&amp;"-"&amp;E292&amp;"-"&amp;F292&amp;"-Pos4",'Shooter-Squad Assignment'!$W:$W,0)),""),IF(F292="Sporting Clays",IFERROR(INDEX('Shooter-Squad Assignment'!$A:$A,MATCH(C292&amp;"-"&amp;E292&amp;"-"&amp;F292&amp;"-Pos4",'Shooter-Squad Assignment'!$Z:$Z,0)),""),"")))</f>
        <v/>
      </c>
      <c r="N292" s="88" t="str">
        <f>IF(ISBLANK(M292),"",IFERROR(INDEX('Tournament List'!$D:$D,MATCH(M292,'Tournament List'!$A:$A,0)),""))</f>
        <v/>
      </c>
      <c r="O292" s="96" t="str">
        <f>IF(F292="Skeet",IFERROR(INDEX('Shooter-Squad Assignment'!$A:$A,MATCH(C292&amp;"-"&amp;E292&amp;"-"&amp;F292&amp;"-Pos5",'Shooter-Squad Assignment'!$K:$K,0)),""),IF(F292="Trap",IFERROR(INDEX('Shooter-Squad Assignment'!$A:$A,MATCH(C292&amp;"-"&amp;E292&amp;"-"&amp;F292&amp;"-Pos5",'Shooter-Squad Assignment'!$W:$W,0)),""),IF(F292="Sporting Clays",IFERROR(INDEX('Shooter-Squad Assignment'!$A:$A,MATCH(C292&amp;"-"&amp;E292&amp;"-"&amp;F292&amp;"-Pos5",'Shooter-Squad Assignment'!$Z:$Z,0)),""),"")))</f>
        <v/>
      </c>
      <c r="P292" s="89" t="str">
        <f>IF(ISBLANK(O292),"",IFERROR(INDEX('Tournament List'!$D:$D,MATCH(O292,'Tournament List'!$A:$A,0)),""))</f>
        <v/>
      </c>
    </row>
    <row r="293" spans="1:16" x14ac:dyDescent="0.3">
      <c r="A293" s="87">
        <v>292</v>
      </c>
      <c r="B293" s="88" t="str">
        <f>C293&amp;"-"&amp;E293&amp;"-"&amp;F293</f>
        <v>Wiggins Tigers Sporting Club-Junior Varsity 1-Skeet</v>
      </c>
      <c r="C293" s="88" t="s">
        <v>320</v>
      </c>
      <c r="D293" s="88" t="str">
        <f>INDEX('Tournament Setup'!$B$59:$B$78,MATCH(E293,SquadConcurrents,0))</f>
        <v>Junior Varsity</v>
      </c>
      <c r="E293" s="88" t="s">
        <v>339</v>
      </c>
      <c r="F293" s="88" t="s">
        <v>143</v>
      </c>
      <c r="G293" s="96" t="str">
        <f>IF(F293="Skeet",IFERROR(INDEX('Shooter-Squad Assignment'!$A:$A,MATCH(C293&amp;"-"&amp;E293&amp;"-"&amp;F293&amp;"-Pos1",'Shooter-Squad Assignment'!$K:$K,0)),""),IF(F293="Trap",IFERROR(INDEX('Shooter-Squad Assignment'!$A:$A,MATCH(C293&amp;"-"&amp;E293&amp;"-"&amp;F293&amp;"-Pos1",'Shooter-Squad Assignment'!$W:$W,0)),""),IF(F293="Sporting Clays",IFERROR(INDEX('Shooter-Squad Assignment'!$A:$A,MATCH(C293&amp;"-"&amp;E293&amp;"-"&amp;F293&amp;"-Pos1",'Shooter-Squad Assignment'!$Z:$Z,0)),""),"")))</f>
        <v/>
      </c>
      <c r="H293" s="88" t="str">
        <f>IF(ISBLANK(G293),"",IFERROR(INDEX('Tournament List'!$D:$D,MATCH(G293,'Tournament List'!$A:$A,0)),""))</f>
        <v/>
      </c>
      <c r="I293" s="96" t="str">
        <f>IF(F293="Skeet",IFERROR(INDEX('Shooter-Squad Assignment'!$A:$A,MATCH(C293&amp;"-"&amp;E293&amp;"-"&amp;F293&amp;"-Pos2",'Shooter-Squad Assignment'!$K:$K,0)),""),IF(F293="Trap",IFERROR(INDEX('Shooter-Squad Assignment'!$A:$A,MATCH(C293&amp;"-"&amp;E293&amp;"-"&amp;F293&amp;"-Pos2",'Shooter-Squad Assignment'!$W:$W,0)),""),IF(F293="Sporting Clays",IFERROR(INDEX('Shooter-Squad Assignment'!$A:$A,MATCH(C293&amp;"-"&amp;E293&amp;"-"&amp;F293&amp;"-Pos2",'Shooter-Squad Assignment'!$Z:$Z,0)),""),"")))</f>
        <v/>
      </c>
      <c r="J293" s="88" t="str">
        <f>IF(ISBLANK(I293),"",IFERROR(INDEX('Tournament List'!$D:$D,MATCH(I293,'Tournament List'!$A:$A,0)),""))</f>
        <v/>
      </c>
      <c r="K293" s="96" t="str">
        <f>IF(F293="Skeet",IFERROR(INDEX('Shooter-Squad Assignment'!$A:$A,MATCH(C293&amp;"-"&amp;E293&amp;"-"&amp;F293&amp;"-Pos3",'Shooter-Squad Assignment'!$K:$K,0)),""),IF(F293="Trap",IFERROR(INDEX('Shooter-Squad Assignment'!$A:$A,MATCH(C293&amp;"-"&amp;E293&amp;"-"&amp;F293&amp;"-Pos3",'Shooter-Squad Assignment'!$W:$W,0)),""),IF(F293="Sporting Clays",IFERROR(INDEX('Shooter-Squad Assignment'!$A:$A,MATCH(C293&amp;"-"&amp;E293&amp;"-"&amp;F293&amp;"-Pos3",'Shooter-Squad Assignment'!$Z:$Z,0)),""),"")))</f>
        <v/>
      </c>
      <c r="L293" s="88" t="str">
        <f>IF(ISBLANK(K293),"",IFERROR(INDEX('Tournament List'!$D:$D,MATCH(K293,'Tournament List'!$A:$A,0)),""))</f>
        <v/>
      </c>
      <c r="M293" s="96" t="str">
        <f>IF(F293="Skeet",IFERROR(INDEX('Shooter-Squad Assignment'!$A:$A,MATCH(C293&amp;"-"&amp;E293&amp;"-"&amp;F293&amp;"-Pos4",'Shooter-Squad Assignment'!$K:$K,0)),""),IF(F293="Trap",IFERROR(INDEX('Shooter-Squad Assignment'!$A:$A,MATCH(C293&amp;"-"&amp;E293&amp;"-"&amp;F293&amp;"-Pos4",'Shooter-Squad Assignment'!$W:$W,0)),""),IF(F293="Sporting Clays",IFERROR(INDEX('Shooter-Squad Assignment'!$A:$A,MATCH(C293&amp;"-"&amp;E293&amp;"-"&amp;F293&amp;"-Pos4",'Shooter-Squad Assignment'!$Z:$Z,0)),""),"")))</f>
        <v/>
      </c>
      <c r="N293" s="88" t="str">
        <f>IF(ISBLANK(M293),"",IFERROR(INDEX('Tournament List'!$D:$D,MATCH(M293,'Tournament List'!$A:$A,0)),""))</f>
        <v/>
      </c>
      <c r="O293" s="96" t="str">
        <f>IF(F293="Skeet",IFERROR(INDEX('Shooter-Squad Assignment'!$A:$A,MATCH(C293&amp;"-"&amp;E293&amp;"-"&amp;F293&amp;"-Pos5",'Shooter-Squad Assignment'!$K:$K,0)),""),IF(F293="Trap",IFERROR(INDEX('Shooter-Squad Assignment'!$A:$A,MATCH(C293&amp;"-"&amp;E293&amp;"-"&amp;F293&amp;"-Pos5",'Shooter-Squad Assignment'!$W:$W,0)),""),IF(F293="Sporting Clays",IFERROR(INDEX('Shooter-Squad Assignment'!$A:$A,MATCH(C293&amp;"-"&amp;E293&amp;"-"&amp;F293&amp;"-Pos5",'Shooter-Squad Assignment'!$Z:$Z,0)),""),"")))</f>
        <v/>
      </c>
      <c r="P293" s="89" t="str">
        <f>IF(ISBLANK(O293),"",IFERROR(INDEX('Tournament List'!$D:$D,MATCH(O293,'Tournament List'!$A:$A,0)),""))</f>
        <v/>
      </c>
    </row>
    <row r="294" spans="1:16" x14ac:dyDescent="0.3">
      <c r="A294" s="87">
        <v>293</v>
      </c>
      <c r="B294" s="88" t="str">
        <f>C294&amp;"-"&amp;E294&amp;"-"&amp;F294</f>
        <v>Wiggins Tigers Sporting Club-Junior Varsity 2-Skeet</v>
      </c>
      <c r="C294" s="88" t="s">
        <v>320</v>
      </c>
      <c r="D294" s="88" t="str">
        <f>INDEX('Tournament Setup'!$B$59:$B$78,MATCH(E294,SquadConcurrents,0))</f>
        <v>Junior Varsity</v>
      </c>
      <c r="E294" s="88" t="s">
        <v>345</v>
      </c>
      <c r="F294" s="88" t="s">
        <v>143</v>
      </c>
      <c r="G294" s="96" t="str">
        <f>IF(F294="Skeet",IFERROR(INDEX('Shooter-Squad Assignment'!$A:$A,MATCH(C294&amp;"-"&amp;E294&amp;"-"&amp;F294&amp;"-Pos1",'Shooter-Squad Assignment'!$K:$K,0)),""),IF(F294="Trap",IFERROR(INDEX('Shooter-Squad Assignment'!$A:$A,MATCH(C294&amp;"-"&amp;E294&amp;"-"&amp;F294&amp;"-Pos1",'Shooter-Squad Assignment'!$W:$W,0)),""),IF(F294="Sporting Clays",IFERROR(INDEX('Shooter-Squad Assignment'!$A:$A,MATCH(C294&amp;"-"&amp;E294&amp;"-"&amp;F294&amp;"-Pos1",'Shooter-Squad Assignment'!$Z:$Z,0)),""),"")))</f>
        <v/>
      </c>
      <c r="H294" s="88" t="str">
        <f>IF(ISBLANK(G294),"",IFERROR(INDEX('Tournament List'!$D:$D,MATCH(G294,'Tournament List'!$A:$A,0)),""))</f>
        <v/>
      </c>
      <c r="I294" s="96" t="str">
        <f>IF(F294="Skeet",IFERROR(INDEX('Shooter-Squad Assignment'!$A:$A,MATCH(C294&amp;"-"&amp;E294&amp;"-"&amp;F294&amp;"-Pos2",'Shooter-Squad Assignment'!$K:$K,0)),""),IF(F294="Trap",IFERROR(INDEX('Shooter-Squad Assignment'!$A:$A,MATCH(C294&amp;"-"&amp;E294&amp;"-"&amp;F294&amp;"-Pos2",'Shooter-Squad Assignment'!$W:$W,0)),""),IF(F294="Sporting Clays",IFERROR(INDEX('Shooter-Squad Assignment'!$A:$A,MATCH(C294&amp;"-"&amp;E294&amp;"-"&amp;F294&amp;"-Pos2",'Shooter-Squad Assignment'!$Z:$Z,0)),""),"")))</f>
        <v/>
      </c>
      <c r="J294" s="88" t="str">
        <f>IF(ISBLANK(I294),"",IFERROR(INDEX('Tournament List'!$D:$D,MATCH(I294,'Tournament List'!$A:$A,0)),""))</f>
        <v/>
      </c>
      <c r="K294" s="96" t="str">
        <f>IF(F294="Skeet",IFERROR(INDEX('Shooter-Squad Assignment'!$A:$A,MATCH(C294&amp;"-"&amp;E294&amp;"-"&amp;F294&amp;"-Pos3",'Shooter-Squad Assignment'!$K:$K,0)),""),IF(F294="Trap",IFERROR(INDEX('Shooter-Squad Assignment'!$A:$A,MATCH(C294&amp;"-"&amp;E294&amp;"-"&amp;F294&amp;"-Pos3",'Shooter-Squad Assignment'!$W:$W,0)),""),IF(F294="Sporting Clays",IFERROR(INDEX('Shooter-Squad Assignment'!$A:$A,MATCH(C294&amp;"-"&amp;E294&amp;"-"&amp;F294&amp;"-Pos3",'Shooter-Squad Assignment'!$Z:$Z,0)),""),"")))</f>
        <v/>
      </c>
      <c r="L294" s="88" t="str">
        <f>IF(ISBLANK(K294),"",IFERROR(INDEX('Tournament List'!$D:$D,MATCH(K294,'Tournament List'!$A:$A,0)),""))</f>
        <v/>
      </c>
      <c r="M294" s="96" t="str">
        <f>IF(F294="Skeet",IFERROR(INDEX('Shooter-Squad Assignment'!$A:$A,MATCH(C294&amp;"-"&amp;E294&amp;"-"&amp;F294&amp;"-Pos4",'Shooter-Squad Assignment'!$K:$K,0)),""),IF(F294="Trap",IFERROR(INDEX('Shooter-Squad Assignment'!$A:$A,MATCH(C294&amp;"-"&amp;E294&amp;"-"&amp;F294&amp;"-Pos4",'Shooter-Squad Assignment'!$W:$W,0)),""),IF(F294="Sporting Clays",IFERROR(INDEX('Shooter-Squad Assignment'!$A:$A,MATCH(C294&amp;"-"&amp;E294&amp;"-"&amp;F294&amp;"-Pos4",'Shooter-Squad Assignment'!$Z:$Z,0)),""),"")))</f>
        <v/>
      </c>
      <c r="N294" s="88" t="str">
        <f>IF(ISBLANK(M294),"",IFERROR(INDEX('Tournament List'!$D:$D,MATCH(M294,'Tournament List'!$A:$A,0)),""))</f>
        <v/>
      </c>
      <c r="O294" s="96" t="str">
        <f>IF(F294="Skeet",IFERROR(INDEX('Shooter-Squad Assignment'!$A:$A,MATCH(C294&amp;"-"&amp;E294&amp;"-"&amp;F294&amp;"-Pos5",'Shooter-Squad Assignment'!$K:$K,0)),""),IF(F294="Trap",IFERROR(INDEX('Shooter-Squad Assignment'!$A:$A,MATCH(C294&amp;"-"&amp;E294&amp;"-"&amp;F294&amp;"-Pos5",'Shooter-Squad Assignment'!$W:$W,0)),""),IF(F294="Sporting Clays",IFERROR(INDEX('Shooter-Squad Assignment'!$A:$A,MATCH(C294&amp;"-"&amp;E294&amp;"-"&amp;F294&amp;"-Pos5",'Shooter-Squad Assignment'!$Z:$Z,0)),""),"")))</f>
        <v/>
      </c>
      <c r="P294" s="89" t="str">
        <f>IF(ISBLANK(O294),"",IFERROR(INDEX('Tournament List'!$D:$D,MATCH(O294,'Tournament List'!$A:$A,0)),""))</f>
        <v/>
      </c>
    </row>
    <row r="295" spans="1:16" x14ac:dyDescent="0.3">
      <c r="A295" s="87">
        <v>294</v>
      </c>
      <c r="B295" s="88" t="str">
        <f>C295&amp;"-"&amp;E295&amp;"-"&amp;F295</f>
        <v>Wiggins Tigers Sporting Club-Junior Varsity 3-Skeet</v>
      </c>
      <c r="C295" s="88" t="s">
        <v>320</v>
      </c>
      <c r="D295" s="88" t="str">
        <f>INDEX('Tournament Setup'!$B$59:$B$78,MATCH(E295,SquadConcurrents,0))</f>
        <v>Junior Varsity</v>
      </c>
      <c r="E295" s="88" t="s">
        <v>351</v>
      </c>
      <c r="F295" s="88" t="s">
        <v>143</v>
      </c>
      <c r="G295" s="96" t="str">
        <f>IF(F295="Skeet",IFERROR(INDEX('Shooter-Squad Assignment'!$A:$A,MATCH(C295&amp;"-"&amp;E295&amp;"-"&amp;F295&amp;"-Pos1",'Shooter-Squad Assignment'!$K:$K,0)),""),IF(F295="Trap",IFERROR(INDEX('Shooter-Squad Assignment'!$A:$A,MATCH(C295&amp;"-"&amp;E295&amp;"-"&amp;F295&amp;"-Pos1",'Shooter-Squad Assignment'!$W:$W,0)),""),IF(F295="Sporting Clays",IFERROR(INDEX('Shooter-Squad Assignment'!$A:$A,MATCH(C295&amp;"-"&amp;E295&amp;"-"&amp;F295&amp;"-Pos1",'Shooter-Squad Assignment'!$Z:$Z,0)),""),"")))</f>
        <v/>
      </c>
      <c r="H295" s="88" t="str">
        <f>IF(ISBLANK(G295),"",IFERROR(INDEX('Tournament List'!$D:$D,MATCH(G295,'Tournament List'!$A:$A,0)),""))</f>
        <v/>
      </c>
      <c r="I295" s="96" t="str">
        <f>IF(F295="Skeet",IFERROR(INDEX('Shooter-Squad Assignment'!$A:$A,MATCH(C295&amp;"-"&amp;E295&amp;"-"&amp;F295&amp;"-Pos2",'Shooter-Squad Assignment'!$K:$K,0)),""),IF(F295="Trap",IFERROR(INDEX('Shooter-Squad Assignment'!$A:$A,MATCH(C295&amp;"-"&amp;E295&amp;"-"&amp;F295&amp;"-Pos2",'Shooter-Squad Assignment'!$W:$W,0)),""),IF(F295="Sporting Clays",IFERROR(INDEX('Shooter-Squad Assignment'!$A:$A,MATCH(C295&amp;"-"&amp;E295&amp;"-"&amp;F295&amp;"-Pos2",'Shooter-Squad Assignment'!$Z:$Z,0)),""),"")))</f>
        <v/>
      </c>
      <c r="J295" s="88" t="str">
        <f>IF(ISBLANK(I295),"",IFERROR(INDEX('Tournament List'!$D:$D,MATCH(I295,'Tournament List'!$A:$A,0)),""))</f>
        <v/>
      </c>
      <c r="K295" s="96" t="str">
        <f>IF(F295="Skeet",IFERROR(INDEX('Shooter-Squad Assignment'!$A:$A,MATCH(C295&amp;"-"&amp;E295&amp;"-"&amp;F295&amp;"-Pos3",'Shooter-Squad Assignment'!$K:$K,0)),""),IF(F295="Trap",IFERROR(INDEX('Shooter-Squad Assignment'!$A:$A,MATCH(C295&amp;"-"&amp;E295&amp;"-"&amp;F295&amp;"-Pos3",'Shooter-Squad Assignment'!$W:$W,0)),""),IF(F295="Sporting Clays",IFERROR(INDEX('Shooter-Squad Assignment'!$A:$A,MATCH(C295&amp;"-"&amp;E295&amp;"-"&amp;F295&amp;"-Pos3",'Shooter-Squad Assignment'!$Z:$Z,0)),""),"")))</f>
        <v/>
      </c>
      <c r="L295" s="88" t="str">
        <f>IF(ISBLANK(K295),"",IFERROR(INDEX('Tournament List'!$D:$D,MATCH(K295,'Tournament List'!$A:$A,0)),""))</f>
        <v/>
      </c>
      <c r="M295" s="96" t="str">
        <f>IF(F295="Skeet",IFERROR(INDEX('Shooter-Squad Assignment'!$A:$A,MATCH(C295&amp;"-"&amp;E295&amp;"-"&amp;F295&amp;"-Pos4",'Shooter-Squad Assignment'!$K:$K,0)),""),IF(F295="Trap",IFERROR(INDEX('Shooter-Squad Assignment'!$A:$A,MATCH(C295&amp;"-"&amp;E295&amp;"-"&amp;F295&amp;"-Pos4",'Shooter-Squad Assignment'!$W:$W,0)),""),IF(F295="Sporting Clays",IFERROR(INDEX('Shooter-Squad Assignment'!$A:$A,MATCH(C295&amp;"-"&amp;E295&amp;"-"&amp;F295&amp;"-Pos4",'Shooter-Squad Assignment'!$Z:$Z,0)),""),"")))</f>
        <v/>
      </c>
      <c r="N295" s="88" t="str">
        <f>IF(ISBLANK(M295),"",IFERROR(INDEX('Tournament List'!$D:$D,MATCH(M295,'Tournament List'!$A:$A,0)),""))</f>
        <v/>
      </c>
      <c r="O295" s="96" t="str">
        <f>IF(F295="Skeet",IFERROR(INDEX('Shooter-Squad Assignment'!$A:$A,MATCH(C295&amp;"-"&amp;E295&amp;"-"&amp;F295&amp;"-Pos5",'Shooter-Squad Assignment'!$K:$K,0)),""),IF(F295="Trap",IFERROR(INDEX('Shooter-Squad Assignment'!$A:$A,MATCH(C295&amp;"-"&amp;E295&amp;"-"&amp;F295&amp;"-Pos5",'Shooter-Squad Assignment'!$W:$W,0)),""),IF(F295="Sporting Clays",IFERROR(INDEX('Shooter-Squad Assignment'!$A:$A,MATCH(C295&amp;"-"&amp;E295&amp;"-"&amp;F295&amp;"-Pos5",'Shooter-Squad Assignment'!$Z:$Z,0)),""),"")))</f>
        <v/>
      </c>
      <c r="P295" s="89" t="str">
        <f>IF(ISBLANK(O295),"",IFERROR(INDEX('Tournament List'!$D:$D,MATCH(O295,'Tournament List'!$A:$A,0)),""))</f>
        <v/>
      </c>
    </row>
    <row r="296" spans="1:16" x14ac:dyDescent="0.3">
      <c r="A296" s="87">
        <v>295</v>
      </c>
      <c r="B296" s="88" t="str">
        <f>C296&amp;"-"&amp;E296&amp;"-"&amp;F296</f>
        <v>Wiggins Tigers Sporting Club-Novice 1-Skeet</v>
      </c>
      <c r="C296" s="88" t="s">
        <v>320</v>
      </c>
      <c r="D296" s="88" t="str">
        <f>INDEX('Tournament Setup'!$B$59:$B$78,MATCH(E296,SquadConcurrents,0))</f>
        <v>Novice</v>
      </c>
      <c r="E296" s="88" t="s">
        <v>337</v>
      </c>
      <c r="F296" s="88" t="s">
        <v>143</v>
      </c>
      <c r="G296" s="96" t="str">
        <f>IF(F296="Skeet",IFERROR(INDEX('Shooter-Squad Assignment'!$A:$A,MATCH(C296&amp;"-"&amp;E296&amp;"-"&amp;F296&amp;"-Pos1",'Shooter-Squad Assignment'!$K:$K,0)),""),IF(F296="Trap",IFERROR(INDEX('Shooter-Squad Assignment'!$A:$A,MATCH(C296&amp;"-"&amp;E296&amp;"-"&amp;F296&amp;"-Pos1",'Shooter-Squad Assignment'!$W:$W,0)),""),IF(F296="Sporting Clays",IFERROR(INDEX('Shooter-Squad Assignment'!$A:$A,MATCH(C296&amp;"-"&amp;E296&amp;"-"&amp;F296&amp;"-Pos1",'Shooter-Squad Assignment'!$Z:$Z,0)),""),"")))</f>
        <v>24-1044</v>
      </c>
      <c r="H296" s="88" t="str">
        <f>IF(ISBLANK(G296),"",IFERROR(INDEX('Tournament List'!$D:$D,MATCH(G296,'Tournament List'!$A:$A,0)),""))</f>
        <v>Dee Last Name45</v>
      </c>
      <c r="I296" s="96" t="str">
        <f>IF(F296="Skeet",IFERROR(INDEX('Shooter-Squad Assignment'!$A:$A,MATCH(C296&amp;"-"&amp;E296&amp;"-"&amp;F296&amp;"-Pos2",'Shooter-Squad Assignment'!$K:$K,0)),""),IF(F296="Trap",IFERROR(INDEX('Shooter-Squad Assignment'!$A:$A,MATCH(C296&amp;"-"&amp;E296&amp;"-"&amp;F296&amp;"-Pos2",'Shooter-Squad Assignment'!$W:$W,0)),""),IF(F296="Sporting Clays",IFERROR(INDEX('Shooter-Squad Assignment'!$A:$A,MATCH(C296&amp;"-"&amp;E296&amp;"-"&amp;F296&amp;"-Pos2",'Shooter-Squad Assignment'!$Z:$Z,0)),""),"")))</f>
        <v>24-1020</v>
      </c>
      <c r="J296" s="88" t="str">
        <f>IF(ISBLANK(I296),"",IFERROR(INDEX('Tournament List'!$D:$D,MATCH(I296,'Tournament List'!$A:$A,0)),""))</f>
        <v>Nathan Last Name21</v>
      </c>
      <c r="K296" s="96" t="str">
        <f>IF(F296="Skeet",IFERROR(INDEX('Shooter-Squad Assignment'!$A:$A,MATCH(C296&amp;"-"&amp;E296&amp;"-"&amp;F296&amp;"-Pos3",'Shooter-Squad Assignment'!$K:$K,0)),""),IF(F296="Trap",IFERROR(INDEX('Shooter-Squad Assignment'!$A:$A,MATCH(C296&amp;"-"&amp;E296&amp;"-"&amp;F296&amp;"-Pos3",'Shooter-Squad Assignment'!$W:$W,0)),""),IF(F296="Sporting Clays",IFERROR(INDEX('Shooter-Squad Assignment'!$A:$A,MATCH(C296&amp;"-"&amp;E296&amp;"-"&amp;F296&amp;"-Pos3",'Shooter-Squad Assignment'!$Z:$Z,0)),""),"")))</f>
        <v>24-1032</v>
      </c>
      <c r="L296" s="88" t="str">
        <f>IF(ISBLANK(K296),"",IFERROR(INDEX('Tournament List'!$D:$D,MATCH(K296,'Tournament List'!$A:$A,0)),""))</f>
        <v>Missy Last Name33</v>
      </c>
      <c r="M296" s="96" t="str">
        <f>IF(F296="Skeet",IFERROR(INDEX('Shooter-Squad Assignment'!$A:$A,MATCH(C296&amp;"-"&amp;E296&amp;"-"&amp;F296&amp;"-Pos4",'Shooter-Squad Assignment'!$K:$K,0)),""),IF(F296="Trap",IFERROR(INDEX('Shooter-Squad Assignment'!$A:$A,MATCH(C296&amp;"-"&amp;E296&amp;"-"&amp;F296&amp;"-Pos4",'Shooter-Squad Assignment'!$W:$W,0)),""),IF(F296="Sporting Clays",IFERROR(INDEX('Shooter-Squad Assignment'!$A:$A,MATCH(C296&amp;"-"&amp;E296&amp;"-"&amp;F296&amp;"-Pos4",'Shooter-Squad Assignment'!$Z:$Z,0)),""),"")))</f>
        <v/>
      </c>
      <c r="N296" s="88" t="str">
        <f>IF(ISBLANK(M296),"",IFERROR(INDEX('Tournament List'!$D:$D,MATCH(M296,'Tournament List'!$A:$A,0)),""))</f>
        <v/>
      </c>
      <c r="O296" s="96" t="str">
        <f>IF(F296="Skeet",IFERROR(INDEX('Shooter-Squad Assignment'!$A:$A,MATCH(C296&amp;"-"&amp;E296&amp;"-"&amp;F296&amp;"-Pos5",'Shooter-Squad Assignment'!$K:$K,0)),""),IF(F296="Trap",IFERROR(INDEX('Shooter-Squad Assignment'!$A:$A,MATCH(C296&amp;"-"&amp;E296&amp;"-"&amp;F296&amp;"-Pos5",'Shooter-Squad Assignment'!$W:$W,0)),""),IF(F296="Sporting Clays",IFERROR(INDEX('Shooter-Squad Assignment'!$A:$A,MATCH(C296&amp;"-"&amp;E296&amp;"-"&amp;F296&amp;"-Pos5",'Shooter-Squad Assignment'!$Z:$Z,0)),""),"")))</f>
        <v/>
      </c>
      <c r="P296" s="89" t="str">
        <f>IF(ISBLANK(O296),"",IFERROR(INDEX('Tournament List'!$D:$D,MATCH(O296,'Tournament List'!$A:$A,0)),""))</f>
        <v/>
      </c>
    </row>
    <row r="297" spans="1:16" x14ac:dyDescent="0.3">
      <c r="A297" s="87">
        <v>296</v>
      </c>
      <c r="B297" s="88" t="str">
        <f>C297&amp;"-"&amp;E297&amp;"-"&amp;F297</f>
        <v>Wiggins Tigers Sporting Club-Novice 2-Skeet</v>
      </c>
      <c r="C297" s="88" t="s">
        <v>320</v>
      </c>
      <c r="D297" s="88" t="str">
        <f>INDEX('Tournament Setup'!$B$59:$B$78,MATCH(E297,SquadConcurrents,0))</f>
        <v>Novice</v>
      </c>
      <c r="E297" s="88" t="s">
        <v>343</v>
      </c>
      <c r="F297" s="88" t="s">
        <v>143</v>
      </c>
      <c r="G297" s="96" t="str">
        <f>IF(F297="Skeet",IFERROR(INDEX('Shooter-Squad Assignment'!$A:$A,MATCH(C297&amp;"-"&amp;E297&amp;"-"&amp;F297&amp;"-Pos1",'Shooter-Squad Assignment'!$K:$K,0)),""),IF(F297="Trap",IFERROR(INDEX('Shooter-Squad Assignment'!$A:$A,MATCH(C297&amp;"-"&amp;E297&amp;"-"&amp;F297&amp;"-Pos1",'Shooter-Squad Assignment'!$W:$W,0)),""),IF(F297="Sporting Clays",IFERROR(INDEX('Shooter-Squad Assignment'!$A:$A,MATCH(C297&amp;"-"&amp;E297&amp;"-"&amp;F297&amp;"-Pos1",'Shooter-Squad Assignment'!$Z:$Z,0)),""),"")))</f>
        <v/>
      </c>
      <c r="H297" s="88" t="str">
        <f>IF(ISBLANK(G297),"",IFERROR(INDEX('Tournament List'!$D:$D,MATCH(G297,'Tournament List'!$A:$A,0)),""))</f>
        <v/>
      </c>
      <c r="I297" s="96" t="str">
        <f>IF(F297="Skeet",IFERROR(INDEX('Shooter-Squad Assignment'!$A:$A,MATCH(C297&amp;"-"&amp;E297&amp;"-"&amp;F297&amp;"-Pos2",'Shooter-Squad Assignment'!$K:$K,0)),""),IF(F297="Trap",IFERROR(INDEX('Shooter-Squad Assignment'!$A:$A,MATCH(C297&amp;"-"&amp;E297&amp;"-"&amp;F297&amp;"-Pos2",'Shooter-Squad Assignment'!$W:$W,0)),""),IF(F297="Sporting Clays",IFERROR(INDEX('Shooter-Squad Assignment'!$A:$A,MATCH(C297&amp;"-"&amp;E297&amp;"-"&amp;F297&amp;"-Pos2",'Shooter-Squad Assignment'!$Z:$Z,0)),""),"")))</f>
        <v/>
      </c>
      <c r="J297" s="88" t="str">
        <f>IF(ISBLANK(I297),"",IFERROR(INDEX('Tournament List'!$D:$D,MATCH(I297,'Tournament List'!$A:$A,0)),""))</f>
        <v/>
      </c>
      <c r="K297" s="96" t="str">
        <f>IF(F297="Skeet",IFERROR(INDEX('Shooter-Squad Assignment'!$A:$A,MATCH(C297&amp;"-"&amp;E297&amp;"-"&amp;F297&amp;"-Pos3",'Shooter-Squad Assignment'!$K:$K,0)),""),IF(F297="Trap",IFERROR(INDEX('Shooter-Squad Assignment'!$A:$A,MATCH(C297&amp;"-"&amp;E297&amp;"-"&amp;F297&amp;"-Pos3",'Shooter-Squad Assignment'!$W:$W,0)),""),IF(F297="Sporting Clays",IFERROR(INDEX('Shooter-Squad Assignment'!$A:$A,MATCH(C297&amp;"-"&amp;E297&amp;"-"&amp;F297&amp;"-Pos3",'Shooter-Squad Assignment'!$Z:$Z,0)),""),"")))</f>
        <v/>
      </c>
      <c r="L297" s="88" t="str">
        <f>IF(ISBLANK(K297),"",IFERROR(INDEX('Tournament List'!$D:$D,MATCH(K297,'Tournament List'!$A:$A,0)),""))</f>
        <v/>
      </c>
      <c r="M297" s="96" t="str">
        <f>IF(F297="Skeet",IFERROR(INDEX('Shooter-Squad Assignment'!$A:$A,MATCH(C297&amp;"-"&amp;E297&amp;"-"&amp;F297&amp;"-Pos4",'Shooter-Squad Assignment'!$K:$K,0)),""),IF(F297="Trap",IFERROR(INDEX('Shooter-Squad Assignment'!$A:$A,MATCH(C297&amp;"-"&amp;E297&amp;"-"&amp;F297&amp;"-Pos4",'Shooter-Squad Assignment'!$W:$W,0)),""),IF(F297="Sporting Clays",IFERROR(INDEX('Shooter-Squad Assignment'!$A:$A,MATCH(C297&amp;"-"&amp;E297&amp;"-"&amp;F297&amp;"-Pos4",'Shooter-Squad Assignment'!$Z:$Z,0)),""),"")))</f>
        <v/>
      </c>
      <c r="N297" s="88" t="str">
        <f>IF(ISBLANK(M297),"",IFERROR(INDEX('Tournament List'!$D:$D,MATCH(M297,'Tournament List'!$A:$A,0)),""))</f>
        <v/>
      </c>
      <c r="O297" s="96" t="str">
        <f>IF(F297="Skeet",IFERROR(INDEX('Shooter-Squad Assignment'!$A:$A,MATCH(C297&amp;"-"&amp;E297&amp;"-"&amp;F297&amp;"-Pos5",'Shooter-Squad Assignment'!$K:$K,0)),""),IF(F297="Trap",IFERROR(INDEX('Shooter-Squad Assignment'!$A:$A,MATCH(C297&amp;"-"&amp;E297&amp;"-"&amp;F297&amp;"-Pos5",'Shooter-Squad Assignment'!$W:$W,0)),""),IF(F297="Sporting Clays",IFERROR(INDEX('Shooter-Squad Assignment'!$A:$A,MATCH(C297&amp;"-"&amp;E297&amp;"-"&amp;F297&amp;"-Pos5",'Shooter-Squad Assignment'!$Z:$Z,0)),""),"")))</f>
        <v/>
      </c>
      <c r="P297" s="89" t="str">
        <f>IF(ISBLANK(O297),"",IFERROR(INDEX('Tournament List'!$D:$D,MATCH(O297,'Tournament List'!$A:$A,0)),""))</f>
        <v/>
      </c>
    </row>
    <row r="298" spans="1:16" x14ac:dyDescent="0.3">
      <c r="A298" s="87">
        <v>297</v>
      </c>
      <c r="B298" s="88" t="str">
        <f>C298&amp;"-"&amp;E298&amp;"-"&amp;F298</f>
        <v>Wiggins Tigers Sporting Club-Novice 3-Skeet</v>
      </c>
      <c r="C298" s="88" t="s">
        <v>320</v>
      </c>
      <c r="D298" s="88" t="str">
        <f>INDEX('Tournament Setup'!$B$59:$B$78,MATCH(E298,SquadConcurrents,0))</f>
        <v>Novice</v>
      </c>
      <c r="E298" s="88" t="s">
        <v>349</v>
      </c>
      <c r="F298" s="88" t="s">
        <v>143</v>
      </c>
      <c r="G298" s="96" t="str">
        <f>IF(F298="Skeet",IFERROR(INDEX('Shooter-Squad Assignment'!$A:$A,MATCH(C298&amp;"-"&amp;E298&amp;"-"&amp;F298&amp;"-Pos1",'Shooter-Squad Assignment'!$K:$K,0)),""),IF(F298="Trap",IFERROR(INDEX('Shooter-Squad Assignment'!$A:$A,MATCH(C298&amp;"-"&amp;E298&amp;"-"&amp;F298&amp;"-Pos1",'Shooter-Squad Assignment'!$W:$W,0)),""),IF(F298="Sporting Clays",IFERROR(INDEX('Shooter-Squad Assignment'!$A:$A,MATCH(C298&amp;"-"&amp;E298&amp;"-"&amp;F298&amp;"-Pos1",'Shooter-Squad Assignment'!$Z:$Z,0)),""),"")))</f>
        <v/>
      </c>
      <c r="H298" s="88" t="str">
        <f>IF(ISBLANK(G298),"",IFERROR(INDEX('Tournament List'!$D:$D,MATCH(G298,'Tournament List'!$A:$A,0)),""))</f>
        <v/>
      </c>
      <c r="I298" s="96" t="str">
        <f>IF(F298="Skeet",IFERROR(INDEX('Shooter-Squad Assignment'!$A:$A,MATCH(C298&amp;"-"&amp;E298&amp;"-"&amp;F298&amp;"-Pos2",'Shooter-Squad Assignment'!$K:$K,0)),""),IF(F298="Trap",IFERROR(INDEX('Shooter-Squad Assignment'!$A:$A,MATCH(C298&amp;"-"&amp;E298&amp;"-"&amp;F298&amp;"-Pos2",'Shooter-Squad Assignment'!$W:$W,0)),""),IF(F298="Sporting Clays",IFERROR(INDEX('Shooter-Squad Assignment'!$A:$A,MATCH(C298&amp;"-"&amp;E298&amp;"-"&amp;F298&amp;"-Pos2",'Shooter-Squad Assignment'!$Z:$Z,0)),""),"")))</f>
        <v/>
      </c>
      <c r="J298" s="88" t="str">
        <f>IF(ISBLANK(I298),"",IFERROR(INDEX('Tournament List'!$D:$D,MATCH(I298,'Tournament List'!$A:$A,0)),""))</f>
        <v/>
      </c>
      <c r="K298" s="96" t="str">
        <f>IF(F298="Skeet",IFERROR(INDEX('Shooter-Squad Assignment'!$A:$A,MATCH(C298&amp;"-"&amp;E298&amp;"-"&amp;F298&amp;"-Pos3",'Shooter-Squad Assignment'!$K:$K,0)),""),IF(F298="Trap",IFERROR(INDEX('Shooter-Squad Assignment'!$A:$A,MATCH(C298&amp;"-"&amp;E298&amp;"-"&amp;F298&amp;"-Pos3",'Shooter-Squad Assignment'!$W:$W,0)),""),IF(F298="Sporting Clays",IFERROR(INDEX('Shooter-Squad Assignment'!$A:$A,MATCH(C298&amp;"-"&amp;E298&amp;"-"&amp;F298&amp;"-Pos3",'Shooter-Squad Assignment'!$Z:$Z,0)),""),"")))</f>
        <v/>
      </c>
      <c r="L298" s="88" t="str">
        <f>IF(ISBLANK(K298),"",IFERROR(INDEX('Tournament List'!$D:$D,MATCH(K298,'Tournament List'!$A:$A,0)),""))</f>
        <v/>
      </c>
      <c r="M298" s="96" t="str">
        <f>IF(F298="Skeet",IFERROR(INDEX('Shooter-Squad Assignment'!$A:$A,MATCH(C298&amp;"-"&amp;E298&amp;"-"&amp;F298&amp;"-Pos4",'Shooter-Squad Assignment'!$K:$K,0)),""),IF(F298="Trap",IFERROR(INDEX('Shooter-Squad Assignment'!$A:$A,MATCH(C298&amp;"-"&amp;E298&amp;"-"&amp;F298&amp;"-Pos4",'Shooter-Squad Assignment'!$W:$W,0)),""),IF(F298="Sporting Clays",IFERROR(INDEX('Shooter-Squad Assignment'!$A:$A,MATCH(C298&amp;"-"&amp;E298&amp;"-"&amp;F298&amp;"-Pos4",'Shooter-Squad Assignment'!$Z:$Z,0)),""),"")))</f>
        <v/>
      </c>
      <c r="N298" s="88" t="str">
        <f>IF(ISBLANK(M298),"",IFERROR(INDEX('Tournament List'!$D:$D,MATCH(M298,'Tournament List'!$A:$A,0)),""))</f>
        <v/>
      </c>
      <c r="O298" s="96" t="str">
        <f>IF(F298="Skeet",IFERROR(INDEX('Shooter-Squad Assignment'!$A:$A,MATCH(C298&amp;"-"&amp;E298&amp;"-"&amp;F298&amp;"-Pos5",'Shooter-Squad Assignment'!$K:$K,0)),""),IF(F298="Trap",IFERROR(INDEX('Shooter-Squad Assignment'!$A:$A,MATCH(C298&amp;"-"&amp;E298&amp;"-"&amp;F298&amp;"-Pos5",'Shooter-Squad Assignment'!$W:$W,0)),""),IF(F298="Sporting Clays",IFERROR(INDEX('Shooter-Squad Assignment'!$A:$A,MATCH(C298&amp;"-"&amp;E298&amp;"-"&amp;F298&amp;"-Pos5",'Shooter-Squad Assignment'!$Z:$Z,0)),""),"")))</f>
        <v/>
      </c>
      <c r="P298" s="89" t="str">
        <f>IF(ISBLANK(O298),"",IFERROR(INDEX('Tournament List'!$D:$D,MATCH(O298,'Tournament List'!$A:$A,0)),""))</f>
        <v/>
      </c>
    </row>
    <row r="299" spans="1:16" x14ac:dyDescent="0.3">
      <c r="A299" s="87">
        <v>298</v>
      </c>
      <c r="B299" s="88" t="str">
        <f>C299&amp;"-"&amp;E299&amp;"-"&amp;F299</f>
        <v>Wiggins Tigers Sporting Club-Open 1-Skeet</v>
      </c>
      <c r="C299" s="88" t="s">
        <v>320</v>
      </c>
      <c r="D299" s="88" t="str">
        <f>INDEX('Tournament Setup'!$B$59:$B$78,MATCH(E299,SquadConcurrents,0))</f>
        <v>Open</v>
      </c>
      <c r="E299" s="88" t="s">
        <v>341</v>
      </c>
      <c r="F299" s="88" t="s">
        <v>143</v>
      </c>
      <c r="G299" s="96" t="str">
        <f>IF(F299="Skeet",IFERROR(INDEX('Shooter-Squad Assignment'!$A:$A,MATCH(C299&amp;"-"&amp;E299&amp;"-"&amp;F299&amp;"-Pos1",'Shooter-Squad Assignment'!$K:$K,0)),""),IF(F299="Trap",IFERROR(INDEX('Shooter-Squad Assignment'!$A:$A,MATCH(C299&amp;"-"&amp;E299&amp;"-"&amp;F299&amp;"-Pos1",'Shooter-Squad Assignment'!$W:$W,0)),""),IF(F299="Sporting Clays",IFERROR(INDEX('Shooter-Squad Assignment'!$A:$A,MATCH(C299&amp;"-"&amp;E299&amp;"-"&amp;F299&amp;"-Pos1",'Shooter-Squad Assignment'!$Z:$Z,0)),""),"")))</f>
        <v/>
      </c>
      <c r="H299" s="88" t="str">
        <f>IF(ISBLANK(G299),"",IFERROR(INDEX('Tournament List'!$D:$D,MATCH(G299,'Tournament List'!$A:$A,0)),""))</f>
        <v/>
      </c>
      <c r="I299" s="96" t="str">
        <f>IF(F299="Skeet",IFERROR(INDEX('Shooter-Squad Assignment'!$A:$A,MATCH(C299&amp;"-"&amp;E299&amp;"-"&amp;F299&amp;"-Pos2",'Shooter-Squad Assignment'!$K:$K,0)),""),IF(F299="Trap",IFERROR(INDEX('Shooter-Squad Assignment'!$A:$A,MATCH(C299&amp;"-"&amp;E299&amp;"-"&amp;F299&amp;"-Pos2",'Shooter-Squad Assignment'!$W:$W,0)),""),IF(F299="Sporting Clays",IFERROR(INDEX('Shooter-Squad Assignment'!$A:$A,MATCH(C299&amp;"-"&amp;E299&amp;"-"&amp;F299&amp;"-Pos2",'Shooter-Squad Assignment'!$Z:$Z,0)),""),"")))</f>
        <v/>
      </c>
      <c r="J299" s="88" t="str">
        <f>IF(ISBLANK(I299),"",IFERROR(INDEX('Tournament List'!$D:$D,MATCH(I299,'Tournament List'!$A:$A,0)),""))</f>
        <v/>
      </c>
      <c r="K299" s="96" t="str">
        <f>IF(F299="Skeet",IFERROR(INDEX('Shooter-Squad Assignment'!$A:$A,MATCH(C299&amp;"-"&amp;E299&amp;"-"&amp;F299&amp;"-Pos3",'Shooter-Squad Assignment'!$K:$K,0)),""),IF(F299="Trap",IFERROR(INDEX('Shooter-Squad Assignment'!$A:$A,MATCH(C299&amp;"-"&amp;E299&amp;"-"&amp;F299&amp;"-Pos3",'Shooter-Squad Assignment'!$W:$W,0)),""),IF(F299="Sporting Clays",IFERROR(INDEX('Shooter-Squad Assignment'!$A:$A,MATCH(C299&amp;"-"&amp;E299&amp;"-"&amp;F299&amp;"-Pos3",'Shooter-Squad Assignment'!$Z:$Z,0)),""),"")))</f>
        <v/>
      </c>
      <c r="L299" s="88" t="str">
        <f>IF(ISBLANK(K299),"",IFERROR(INDEX('Tournament List'!$D:$D,MATCH(K299,'Tournament List'!$A:$A,0)),""))</f>
        <v/>
      </c>
      <c r="M299" s="96" t="str">
        <f>IF(F299="Skeet",IFERROR(INDEX('Shooter-Squad Assignment'!$A:$A,MATCH(C299&amp;"-"&amp;E299&amp;"-"&amp;F299&amp;"-Pos4",'Shooter-Squad Assignment'!$K:$K,0)),""),IF(F299="Trap",IFERROR(INDEX('Shooter-Squad Assignment'!$A:$A,MATCH(C299&amp;"-"&amp;E299&amp;"-"&amp;F299&amp;"-Pos4",'Shooter-Squad Assignment'!$W:$W,0)),""),IF(F299="Sporting Clays",IFERROR(INDEX('Shooter-Squad Assignment'!$A:$A,MATCH(C299&amp;"-"&amp;E299&amp;"-"&amp;F299&amp;"-Pos4",'Shooter-Squad Assignment'!$Z:$Z,0)),""),"")))</f>
        <v/>
      </c>
      <c r="N299" s="88" t="str">
        <f>IF(ISBLANK(M299),"",IFERROR(INDEX('Tournament List'!$D:$D,MATCH(M299,'Tournament List'!$A:$A,0)),""))</f>
        <v/>
      </c>
      <c r="O299" s="96" t="str">
        <f>IF(F299="Skeet",IFERROR(INDEX('Shooter-Squad Assignment'!$A:$A,MATCH(C299&amp;"-"&amp;E299&amp;"-"&amp;F299&amp;"-Pos5",'Shooter-Squad Assignment'!$K:$K,0)),""),IF(F299="Trap",IFERROR(INDEX('Shooter-Squad Assignment'!$A:$A,MATCH(C299&amp;"-"&amp;E299&amp;"-"&amp;F299&amp;"-Pos5",'Shooter-Squad Assignment'!$W:$W,0)),""),IF(F299="Sporting Clays",IFERROR(INDEX('Shooter-Squad Assignment'!$A:$A,MATCH(C299&amp;"-"&amp;E299&amp;"-"&amp;F299&amp;"-Pos5",'Shooter-Squad Assignment'!$Z:$Z,0)),""),"")))</f>
        <v/>
      </c>
      <c r="P299" s="89" t="str">
        <f>IF(ISBLANK(O299),"",IFERROR(INDEX('Tournament List'!$D:$D,MATCH(O299,'Tournament List'!$A:$A,0)),""))</f>
        <v/>
      </c>
    </row>
    <row r="300" spans="1:16" x14ac:dyDescent="0.3">
      <c r="A300" s="87">
        <v>299</v>
      </c>
      <c r="B300" s="88" t="str">
        <f>C300&amp;"-"&amp;E300&amp;"-"&amp;F300</f>
        <v>Wiggins Tigers Sporting Club-Open 2-Skeet</v>
      </c>
      <c r="C300" s="88" t="s">
        <v>320</v>
      </c>
      <c r="D300" s="88" t="str">
        <f>INDEX('Tournament Setup'!$B$59:$B$78,MATCH(E300,SquadConcurrents,0))</f>
        <v>Open</v>
      </c>
      <c r="E300" s="88" t="s">
        <v>347</v>
      </c>
      <c r="F300" s="88" t="s">
        <v>143</v>
      </c>
      <c r="G300" s="96" t="str">
        <f>IF(F300="Skeet",IFERROR(INDEX('Shooter-Squad Assignment'!$A:$A,MATCH(C300&amp;"-"&amp;E300&amp;"-"&amp;F300&amp;"-Pos1",'Shooter-Squad Assignment'!$K:$K,0)),""),IF(F300="Trap",IFERROR(INDEX('Shooter-Squad Assignment'!$A:$A,MATCH(C300&amp;"-"&amp;E300&amp;"-"&amp;F300&amp;"-Pos1",'Shooter-Squad Assignment'!$W:$W,0)),""),IF(F300="Sporting Clays",IFERROR(INDEX('Shooter-Squad Assignment'!$A:$A,MATCH(C300&amp;"-"&amp;E300&amp;"-"&amp;F300&amp;"-Pos1",'Shooter-Squad Assignment'!$Z:$Z,0)),""),"")))</f>
        <v/>
      </c>
      <c r="H300" s="88" t="str">
        <f>IF(ISBLANK(G300),"",IFERROR(INDEX('Tournament List'!$D:$D,MATCH(G300,'Tournament List'!$A:$A,0)),""))</f>
        <v/>
      </c>
      <c r="I300" s="96" t="str">
        <f>IF(F300="Skeet",IFERROR(INDEX('Shooter-Squad Assignment'!$A:$A,MATCH(C300&amp;"-"&amp;E300&amp;"-"&amp;F300&amp;"-Pos2",'Shooter-Squad Assignment'!$K:$K,0)),""),IF(F300="Trap",IFERROR(INDEX('Shooter-Squad Assignment'!$A:$A,MATCH(C300&amp;"-"&amp;E300&amp;"-"&amp;F300&amp;"-Pos2",'Shooter-Squad Assignment'!$W:$W,0)),""),IF(F300="Sporting Clays",IFERROR(INDEX('Shooter-Squad Assignment'!$A:$A,MATCH(C300&amp;"-"&amp;E300&amp;"-"&amp;F300&amp;"-Pos2",'Shooter-Squad Assignment'!$Z:$Z,0)),""),"")))</f>
        <v/>
      </c>
      <c r="J300" s="88" t="str">
        <f>IF(ISBLANK(I300),"",IFERROR(INDEX('Tournament List'!$D:$D,MATCH(I300,'Tournament List'!$A:$A,0)),""))</f>
        <v/>
      </c>
      <c r="K300" s="96" t="str">
        <f>IF(F300="Skeet",IFERROR(INDEX('Shooter-Squad Assignment'!$A:$A,MATCH(C300&amp;"-"&amp;E300&amp;"-"&amp;F300&amp;"-Pos3",'Shooter-Squad Assignment'!$K:$K,0)),""),IF(F300="Trap",IFERROR(INDEX('Shooter-Squad Assignment'!$A:$A,MATCH(C300&amp;"-"&amp;E300&amp;"-"&amp;F300&amp;"-Pos3",'Shooter-Squad Assignment'!$W:$W,0)),""),IF(F300="Sporting Clays",IFERROR(INDEX('Shooter-Squad Assignment'!$A:$A,MATCH(C300&amp;"-"&amp;E300&amp;"-"&amp;F300&amp;"-Pos3",'Shooter-Squad Assignment'!$Z:$Z,0)),""),"")))</f>
        <v/>
      </c>
      <c r="L300" s="88" t="str">
        <f>IF(ISBLANK(K300),"",IFERROR(INDEX('Tournament List'!$D:$D,MATCH(K300,'Tournament List'!$A:$A,0)),""))</f>
        <v/>
      </c>
      <c r="M300" s="96" t="str">
        <f>IF(F300="Skeet",IFERROR(INDEX('Shooter-Squad Assignment'!$A:$A,MATCH(C300&amp;"-"&amp;E300&amp;"-"&amp;F300&amp;"-Pos4",'Shooter-Squad Assignment'!$K:$K,0)),""),IF(F300="Trap",IFERROR(INDEX('Shooter-Squad Assignment'!$A:$A,MATCH(C300&amp;"-"&amp;E300&amp;"-"&amp;F300&amp;"-Pos4",'Shooter-Squad Assignment'!$W:$W,0)),""),IF(F300="Sporting Clays",IFERROR(INDEX('Shooter-Squad Assignment'!$A:$A,MATCH(C300&amp;"-"&amp;E300&amp;"-"&amp;F300&amp;"-Pos4",'Shooter-Squad Assignment'!$Z:$Z,0)),""),"")))</f>
        <v/>
      </c>
      <c r="N300" s="88" t="str">
        <f>IF(ISBLANK(M300),"",IFERROR(INDEX('Tournament List'!$D:$D,MATCH(M300,'Tournament List'!$A:$A,0)),""))</f>
        <v/>
      </c>
      <c r="O300" s="96" t="str">
        <f>IF(F300="Skeet",IFERROR(INDEX('Shooter-Squad Assignment'!$A:$A,MATCH(C300&amp;"-"&amp;E300&amp;"-"&amp;F300&amp;"-Pos5",'Shooter-Squad Assignment'!$K:$K,0)),""),IF(F300="Trap",IFERROR(INDEX('Shooter-Squad Assignment'!$A:$A,MATCH(C300&amp;"-"&amp;E300&amp;"-"&amp;F300&amp;"-Pos5",'Shooter-Squad Assignment'!$W:$W,0)),""),IF(F300="Sporting Clays",IFERROR(INDEX('Shooter-Squad Assignment'!$A:$A,MATCH(C300&amp;"-"&amp;E300&amp;"-"&amp;F300&amp;"-Pos5",'Shooter-Squad Assignment'!$Z:$Z,0)),""),"")))</f>
        <v/>
      </c>
      <c r="P300" s="89" t="str">
        <f>IF(ISBLANK(O300),"",IFERROR(INDEX('Tournament List'!$D:$D,MATCH(O300,'Tournament List'!$A:$A,0)),""))</f>
        <v/>
      </c>
    </row>
    <row r="301" spans="1:16" x14ac:dyDescent="0.3">
      <c r="A301" s="87">
        <v>300</v>
      </c>
      <c r="B301" s="88" t="str">
        <f>C301&amp;"-"&amp;E301&amp;"-"&amp;F301</f>
        <v>Wiggins Tigers Sporting Club-Open 3-Skeet</v>
      </c>
      <c r="C301" s="88" t="s">
        <v>320</v>
      </c>
      <c r="D301" s="88" t="str">
        <f>INDEX('Tournament Setup'!$B$59:$B$78,MATCH(E301,SquadConcurrents,0))</f>
        <v>Open</v>
      </c>
      <c r="E301" s="88" t="s">
        <v>353</v>
      </c>
      <c r="F301" s="88" t="s">
        <v>143</v>
      </c>
      <c r="G301" s="96" t="str">
        <f>IF(F301="Skeet",IFERROR(INDEX('Shooter-Squad Assignment'!$A:$A,MATCH(C301&amp;"-"&amp;E301&amp;"-"&amp;F301&amp;"-Pos1",'Shooter-Squad Assignment'!$K:$K,0)),""),IF(F301="Trap",IFERROR(INDEX('Shooter-Squad Assignment'!$A:$A,MATCH(C301&amp;"-"&amp;E301&amp;"-"&amp;F301&amp;"-Pos1",'Shooter-Squad Assignment'!$W:$W,0)),""),IF(F301="Sporting Clays",IFERROR(INDEX('Shooter-Squad Assignment'!$A:$A,MATCH(C301&amp;"-"&amp;E301&amp;"-"&amp;F301&amp;"-Pos1",'Shooter-Squad Assignment'!$Z:$Z,0)),""),"")))</f>
        <v/>
      </c>
      <c r="H301" s="88" t="str">
        <f>IF(ISBLANK(G301),"",IFERROR(INDEX('Tournament List'!$D:$D,MATCH(G301,'Tournament List'!$A:$A,0)),""))</f>
        <v/>
      </c>
      <c r="I301" s="96" t="str">
        <f>IF(F301="Skeet",IFERROR(INDEX('Shooter-Squad Assignment'!$A:$A,MATCH(C301&amp;"-"&amp;E301&amp;"-"&amp;F301&amp;"-Pos2",'Shooter-Squad Assignment'!$K:$K,0)),""),IF(F301="Trap",IFERROR(INDEX('Shooter-Squad Assignment'!$A:$A,MATCH(C301&amp;"-"&amp;E301&amp;"-"&amp;F301&amp;"-Pos2",'Shooter-Squad Assignment'!$W:$W,0)),""),IF(F301="Sporting Clays",IFERROR(INDEX('Shooter-Squad Assignment'!$A:$A,MATCH(C301&amp;"-"&amp;E301&amp;"-"&amp;F301&amp;"-Pos2",'Shooter-Squad Assignment'!$Z:$Z,0)),""),"")))</f>
        <v/>
      </c>
      <c r="J301" s="88" t="str">
        <f>IF(ISBLANK(I301),"",IFERROR(INDEX('Tournament List'!$D:$D,MATCH(I301,'Tournament List'!$A:$A,0)),""))</f>
        <v/>
      </c>
      <c r="K301" s="96" t="str">
        <f>IF(F301="Skeet",IFERROR(INDEX('Shooter-Squad Assignment'!$A:$A,MATCH(C301&amp;"-"&amp;E301&amp;"-"&amp;F301&amp;"-Pos3",'Shooter-Squad Assignment'!$K:$K,0)),""),IF(F301="Trap",IFERROR(INDEX('Shooter-Squad Assignment'!$A:$A,MATCH(C301&amp;"-"&amp;E301&amp;"-"&amp;F301&amp;"-Pos3",'Shooter-Squad Assignment'!$W:$W,0)),""),IF(F301="Sporting Clays",IFERROR(INDEX('Shooter-Squad Assignment'!$A:$A,MATCH(C301&amp;"-"&amp;E301&amp;"-"&amp;F301&amp;"-Pos3",'Shooter-Squad Assignment'!$Z:$Z,0)),""),"")))</f>
        <v/>
      </c>
      <c r="L301" s="88" t="str">
        <f>IF(ISBLANK(K301),"",IFERROR(INDEX('Tournament List'!$D:$D,MATCH(K301,'Tournament List'!$A:$A,0)),""))</f>
        <v/>
      </c>
      <c r="M301" s="96" t="str">
        <f>IF(F301="Skeet",IFERROR(INDEX('Shooter-Squad Assignment'!$A:$A,MATCH(C301&amp;"-"&amp;E301&amp;"-"&amp;F301&amp;"-Pos4",'Shooter-Squad Assignment'!$K:$K,0)),""),IF(F301="Trap",IFERROR(INDEX('Shooter-Squad Assignment'!$A:$A,MATCH(C301&amp;"-"&amp;E301&amp;"-"&amp;F301&amp;"-Pos4",'Shooter-Squad Assignment'!$W:$W,0)),""),IF(F301="Sporting Clays",IFERROR(INDEX('Shooter-Squad Assignment'!$A:$A,MATCH(C301&amp;"-"&amp;E301&amp;"-"&amp;F301&amp;"-Pos4",'Shooter-Squad Assignment'!$Z:$Z,0)),""),"")))</f>
        <v/>
      </c>
      <c r="N301" s="88" t="str">
        <f>IF(ISBLANK(M301),"",IFERROR(INDEX('Tournament List'!$D:$D,MATCH(M301,'Tournament List'!$A:$A,0)),""))</f>
        <v/>
      </c>
      <c r="O301" s="96" t="str">
        <f>IF(F301="Skeet",IFERROR(INDEX('Shooter-Squad Assignment'!$A:$A,MATCH(C301&amp;"-"&amp;E301&amp;"-"&amp;F301&amp;"-Pos5",'Shooter-Squad Assignment'!$K:$K,0)),""),IF(F301="Trap",IFERROR(INDEX('Shooter-Squad Assignment'!$A:$A,MATCH(C301&amp;"-"&amp;E301&amp;"-"&amp;F301&amp;"-Pos5",'Shooter-Squad Assignment'!$W:$W,0)),""),IF(F301="Sporting Clays",IFERROR(INDEX('Shooter-Squad Assignment'!$A:$A,MATCH(C301&amp;"-"&amp;E301&amp;"-"&amp;F301&amp;"-Pos5",'Shooter-Squad Assignment'!$Z:$Z,0)),""),"")))</f>
        <v/>
      </c>
      <c r="P301" s="89" t="str">
        <f>IF(ISBLANK(O301),"",IFERROR(INDEX('Tournament List'!$D:$D,MATCH(O301,'Tournament List'!$A:$A,0)),""))</f>
        <v/>
      </c>
    </row>
    <row r="302" spans="1:16" x14ac:dyDescent="0.3">
      <c r="A302" s="87">
        <v>301</v>
      </c>
      <c r="B302" s="88" t="str">
        <f>C302&amp;"-"&amp;E302&amp;"-"&amp;F302</f>
        <v>Wiggins Tigers Sporting Club-Unassigned 1-Skeet</v>
      </c>
      <c r="C302" s="88" t="s">
        <v>320</v>
      </c>
      <c r="D302" s="88" t="str">
        <f>INDEX('Tournament Setup'!$B$59:$B$78,MATCH(E302,SquadConcurrents,0))</f>
        <v>Unassigned</v>
      </c>
      <c r="E302" s="88" t="s">
        <v>762</v>
      </c>
      <c r="F302" s="88" t="s">
        <v>143</v>
      </c>
      <c r="G302" s="96" t="str">
        <f>IF(F302="Skeet",IFERROR(INDEX('Shooter-Squad Assignment'!$A:$A,MATCH(C302&amp;"-"&amp;E302&amp;"-"&amp;F302&amp;"-Pos1",'Shooter-Squad Assignment'!$K:$K,0)),""),IF(F302="Trap",IFERROR(INDEX('Shooter-Squad Assignment'!$A:$A,MATCH(C302&amp;"-"&amp;E302&amp;"-"&amp;F302&amp;"-Pos1",'Shooter-Squad Assignment'!$W:$W,0)),""),IF(F302="Sporting Clays",IFERROR(INDEX('Shooter-Squad Assignment'!$A:$A,MATCH(C302&amp;"-"&amp;E302&amp;"-"&amp;F302&amp;"-Pos1",'Shooter-Squad Assignment'!$Z:$Z,0)),""),"")))</f>
        <v/>
      </c>
      <c r="H302" s="88" t="str">
        <f>IF(ISBLANK(G302),"",IFERROR(INDEX('Tournament List'!$D:$D,MATCH(G302,'Tournament List'!$A:$A,0)),""))</f>
        <v/>
      </c>
      <c r="I302" s="96" t="str">
        <f>IF(F302="Skeet",IFERROR(INDEX('Shooter-Squad Assignment'!$A:$A,MATCH(C302&amp;"-"&amp;E302&amp;"-"&amp;F302&amp;"-Pos2",'Shooter-Squad Assignment'!$K:$K,0)),""),IF(F302="Trap",IFERROR(INDEX('Shooter-Squad Assignment'!$A:$A,MATCH(C302&amp;"-"&amp;E302&amp;"-"&amp;F302&amp;"-Pos2",'Shooter-Squad Assignment'!$W:$W,0)),""),IF(F302="Sporting Clays",IFERROR(INDEX('Shooter-Squad Assignment'!$A:$A,MATCH(C302&amp;"-"&amp;E302&amp;"-"&amp;F302&amp;"-Pos2",'Shooter-Squad Assignment'!$Z:$Z,0)),""),"")))</f>
        <v/>
      </c>
      <c r="J302" s="88" t="str">
        <f>IF(ISBLANK(I302),"",IFERROR(INDEX('Tournament List'!$D:$D,MATCH(I302,'Tournament List'!$A:$A,0)),""))</f>
        <v/>
      </c>
      <c r="K302" s="96" t="str">
        <f>IF(F302="Skeet",IFERROR(INDEX('Shooter-Squad Assignment'!$A:$A,MATCH(C302&amp;"-"&amp;E302&amp;"-"&amp;F302&amp;"-Pos3",'Shooter-Squad Assignment'!$K:$K,0)),""),IF(F302="Trap",IFERROR(INDEX('Shooter-Squad Assignment'!$A:$A,MATCH(C302&amp;"-"&amp;E302&amp;"-"&amp;F302&amp;"-Pos3",'Shooter-Squad Assignment'!$W:$W,0)),""),IF(F302="Sporting Clays",IFERROR(INDEX('Shooter-Squad Assignment'!$A:$A,MATCH(C302&amp;"-"&amp;E302&amp;"-"&amp;F302&amp;"-Pos3",'Shooter-Squad Assignment'!$Z:$Z,0)),""),"")))</f>
        <v/>
      </c>
      <c r="L302" s="88" t="str">
        <f>IF(ISBLANK(K302),"",IFERROR(INDEX('Tournament List'!$D:$D,MATCH(K302,'Tournament List'!$A:$A,0)),""))</f>
        <v/>
      </c>
      <c r="M302" s="96" t="str">
        <f>IF(F302="Skeet",IFERROR(INDEX('Shooter-Squad Assignment'!$A:$A,MATCH(C302&amp;"-"&amp;E302&amp;"-"&amp;F302&amp;"-Pos4",'Shooter-Squad Assignment'!$K:$K,0)),""),IF(F302="Trap",IFERROR(INDEX('Shooter-Squad Assignment'!$A:$A,MATCH(C302&amp;"-"&amp;E302&amp;"-"&amp;F302&amp;"-Pos4",'Shooter-Squad Assignment'!$W:$W,0)),""),IF(F302="Sporting Clays",IFERROR(INDEX('Shooter-Squad Assignment'!$A:$A,MATCH(C302&amp;"-"&amp;E302&amp;"-"&amp;F302&amp;"-Pos4",'Shooter-Squad Assignment'!$Z:$Z,0)),""),"")))</f>
        <v/>
      </c>
      <c r="N302" s="88" t="str">
        <f>IF(ISBLANK(M302),"",IFERROR(INDEX('Tournament List'!$D:$D,MATCH(M302,'Tournament List'!$A:$A,0)),""))</f>
        <v/>
      </c>
      <c r="O302" s="96" t="str">
        <f>IF(F302="Skeet",IFERROR(INDEX('Shooter-Squad Assignment'!$A:$A,MATCH(C302&amp;"-"&amp;E302&amp;"-"&amp;F302&amp;"-Pos5",'Shooter-Squad Assignment'!$K:$K,0)),""),IF(F302="Trap",IFERROR(INDEX('Shooter-Squad Assignment'!$A:$A,MATCH(C302&amp;"-"&amp;E302&amp;"-"&amp;F302&amp;"-Pos5",'Shooter-Squad Assignment'!$W:$W,0)),""),IF(F302="Sporting Clays",IFERROR(INDEX('Shooter-Squad Assignment'!$A:$A,MATCH(C302&amp;"-"&amp;E302&amp;"-"&amp;F302&amp;"-Pos5",'Shooter-Squad Assignment'!$Z:$Z,0)),""),"")))</f>
        <v/>
      </c>
      <c r="P302" s="89" t="str">
        <f>IF(ISBLANK(O302),"",IFERROR(INDEX('Tournament List'!$D:$D,MATCH(O302,'Tournament List'!$A:$A,0)),""))</f>
        <v/>
      </c>
    </row>
    <row r="303" spans="1:16" x14ac:dyDescent="0.3">
      <c r="A303" s="87">
        <v>302</v>
      </c>
      <c r="B303" s="88" t="str">
        <f>C303&amp;"-"&amp;E303&amp;"-"&amp;F303</f>
        <v>Wiggins Tigers Sporting Club-Varsity 1-Skeet</v>
      </c>
      <c r="C303" s="88" t="s">
        <v>320</v>
      </c>
      <c r="D303" s="88" t="str">
        <f>INDEX('Tournament Setup'!$B$59:$B$78,MATCH(E303,SquadConcurrents,0))</f>
        <v>Varsity</v>
      </c>
      <c r="E303" s="88" t="s">
        <v>340</v>
      </c>
      <c r="F303" s="88" t="s">
        <v>143</v>
      </c>
      <c r="G303" s="96" t="str">
        <f>IF(F303="Skeet",IFERROR(INDEX('Shooter-Squad Assignment'!$A:$A,MATCH(C303&amp;"-"&amp;E303&amp;"-"&amp;F303&amp;"-Pos1",'Shooter-Squad Assignment'!$K:$K,0)),""),IF(F303="Trap",IFERROR(INDEX('Shooter-Squad Assignment'!$A:$A,MATCH(C303&amp;"-"&amp;E303&amp;"-"&amp;F303&amp;"-Pos1",'Shooter-Squad Assignment'!$W:$W,0)),""),IF(F303="Sporting Clays",IFERROR(INDEX('Shooter-Squad Assignment'!$A:$A,MATCH(C303&amp;"-"&amp;E303&amp;"-"&amp;F303&amp;"-Pos1",'Shooter-Squad Assignment'!$Z:$Z,0)),""),"")))</f>
        <v/>
      </c>
      <c r="H303" s="88" t="str">
        <f>IF(ISBLANK(G303),"",IFERROR(INDEX('Tournament List'!$D:$D,MATCH(G303,'Tournament List'!$A:$A,0)),""))</f>
        <v/>
      </c>
      <c r="I303" s="96" t="str">
        <f>IF(F303="Skeet",IFERROR(INDEX('Shooter-Squad Assignment'!$A:$A,MATCH(C303&amp;"-"&amp;E303&amp;"-"&amp;F303&amp;"-Pos2",'Shooter-Squad Assignment'!$K:$K,0)),""),IF(F303="Trap",IFERROR(INDEX('Shooter-Squad Assignment'!$A:$A,MATCH(C303&amp;"-"&amp;E303&amp;"-"&amp;F303&amp;"-Pos2",'Shooter-Squad Assignment'!$W:$W,0)),""),IF(F303="Sporting Clays",IFERROR(INDEX('Shooter-Squad Assignment'!$A:$A,MATCH(C303&amp;"-"&amp;E303&amp;"-"&amp;F303&amp;"-Pos2",'Shooter-Squad Assignment'!$Z:$Z,0)),""),"")))</f>
        <v/>
      </c>
      <c r="J303" s="88" t="str">
        <f>IF(ISBLANK(I303),"",IFERROR(INDEX('Tournament List'!$D:$D,MATCH(I303,'Tournament List'!$A:$A,0)),""))</f>
        <v/>
      </c>
      <c r="K303" s="96" t="str">
        <f>IF(F303="Skeet",IFERROR(INDEX('Shooter-Squad Assignment'!$A:$A,MATCH(C303&amp;"-"&amp;E303&amp;"-"&amp;F303&amp;"-Pos3",'Shooter-Squad Assignment'!$K:$K,0)),""),IF(F303="Trap",IFERROR(INDEX('Shooter-Squad Assignment'!$A:$A,MATCH(C303&amp;"-"&amp;E303&amp;"-"&amp;F303&amp;"-Pos3",'Shooter-Squad Assignment'!$W:$W,0)),""),IF(F303="Sporting Clays",IFERROR(INDEX('Shooter-Squad Assignment'!$A:$A,MATCH(C303&amp;"-"&amp;E303&amp;"-"&amp;F303&amp;"-Pos3",'Shooter-Squad Assignment'!$Z:$Z,0)),""),"")))</f>
        <v/>
      </c>
      <c r="L303" s="88" t="str">
        <f>IF(ISBLANK(K303),"",IFERROR(INDEX('Tournament List'!$D:$D,MATCH(K303,'Tournament List'!$A:$A,0)),""))</f>
        <v/>
      </c>
      <c r="M303" s="96" t="str">
        <f>IF(F303="Skeet",IFERROR(INDEX('Shooter-Squad Assignment'!$A:$A,MATCH(C303&amp;"-"&amp;E303&amp;"-"&amp;F303&amp;"-Pos4",'Shooter-Squad Assignment'!$K:$K,0)),""),IF(F303="Trap",IFERROR(INDEX('Shooter-Squad Assignment'!$A:$A,MATCH(C303&amp;"-"&amp;E303&amp;"-"&amp;F303&amp;"-Pos4",'Shooter-Squad Assignment'!$W:$W,0)),""),IF(F303="Sporting Clays",IFERROR(INDEX('Shooter-Squad Assignment'!$A:$A,MATCH(C303&amp;"-"&amp;E303&amp;"-"&amp;F303&amp;"-Pos4",'Shooter-Squad Assignment'!$Z:$Z,0)),""),"")))</f>
        <v/>
      </c>
      <c r="N303" s="88" t="str">
        <f>IF(ISBLANK(M303),"",IFERROR(INDEX('Tournament List'!$D:$D,MATCH(M303,'Tournament List'!$A:$A,0)),""))</f>
        <v/>
      </c>
      <c r="O303" s="96" t="str">
        <f>IF(F303="Skeet",IFERROR(INDEX('Shooter-Squad Assignment'!$A:$A,MATCH(C303&amp;"-"&amp;E303&amp;"-"&amp;F303&amp;"-Pos5",'Shooter-Squad Assignment'!$K:$K,0)),""),IF(F303="Trap",IFERROR(INDEX('Shooter-Squad Assignment'!$A:$A,MATCH(C303&amp;"-"&amp;E303&amp;"-"&amp;F303&amp;"-Pos5",'Shooter-Squad Assignment'!$W:$W,0)),""),IF(F303="Sporting Clays",IFERROR(INDEX('Shooter-Squad Assignment'!$A:$A,MATCH(C303&amp;"-"&amp;E303&amp;"-"&amp;F303&amp;"-Pos5",'Shooter-Squad Assignment'!$Z:$Z,0)),""),"")))</f>
        <v/>
      </c>
      <c r="P303" s="89" t="str">
        <f>IF(ISBLANK(O303),"",IFERROR(INDEX('Tournament List'!$D:$D,MATCH(O303,'Tournament List'!$A:$A,0)),""))</f>
        <v/>
      </c>
    </row>
    <row r="304" spans="1:16" x14ac:dyDescent="0.3">
      <c r="A304" s="87">
        <v>303</v>
      </c>
      <c r="B304" s="88" t="str">
        <f>C304&amp;"-"&amp;E304&amp;"-"&amp;F304</f>
        <v>Wiggins Tigers Sporting Club-Varsity 2-Skeet</v>
      </c>
      <c r="C304" s="88" t="s">
        <v>320</v>
      </c>
      <c r="D304" s="88" t="str">
        <f>INDEX('Tournament Setup'!$B$59:$B$78,MATCH(E304,SquadConcurrents,0))</f>
        <v>Varsity</v>
      </c>
      <c r="E304" s="88" t="s">
        <v>346</v>
      </c>
      <c r="F304" s="88" t="s">
        <v>143</v>
      </c>
      <c r="G304" s="96" t="str">
        <f>IF(F304="Skeet",IFERROR(INDEX('Shooter-Squad Assignment'!$A:$A,MATCH(C304&amp;"-"&amp;E304&amp;"-"&amp;F304&amp;"-Pos1",'Shooter-Squad Assignment'!$K:$K,0)),""),IF(F304="Trap",IFERROR(INDEX('Shooter-Squad Assignment'!$A:$A,MATCH(C304&amp;"-"&amp;E304&amp;"-"&amp;F304&amp;"-Pos1",'Shooter-Squad Assignment'!$W:$W,0)),""),IF(F304="Sporting Clays",IFERROR(INDEX('Shooter-Squad Assignment'!$A:$A,MATCH(C304&amp;"-"&amp;E304&amp;"-"&amp;F304&amp;"-Pos1",'Shooter-Squad Assignment'!$Z:$Z,0)),""),"")))</f>
        <v/>
      </c>
      <c r="H304" s="88" t="str">
        <f>IF(ISBLANK(G304),"",IFERROR(INDEX('Tournament List'!$D:$D,MATCH(G304,'Tournament List'!$A:$A,0)),""))</f>
        <v/>
      </c>
      <c r="I304" s="96" t="str">
        <f>IF(F304="Skeet",IFERROR(INDEX('Shooter-Squad Assignment'!$A:$A,MATCH(C304&amp;"-"&amp;E304&amp;"-"&amp;F304&amp;"-Pos2",'Shooter-Squad Assignment'!$K:$K,0)),""),IF(F304="Trap",IFERROR(INDEX('Shooter-Squad Assignment'!$A:$A,MATCH(C304&amp;"-"&amp;E304&amp;"-"&amp;F304&amp;"-Pos2",'Shooter-Squad Assignment'!$W:$W,0)),""),IF(F304="Sporting Clays",IFERROR(INDEX('Shooter-Squad Assignment'!$A:$A,MATCH(C304&amp;"-"&amp;E304&amp;"-"&amp;F304&amp;"-Pos2",'Shooter-Squad Assignment'!$Z:$Z,0)),""),"")))</f>
        <v/>
      </c>
      <c r="J304" s="88" t="str">
        <f>IF(ISBLANK(I304),"",IFERROR(INDEX('Tournament List'!$D:$D,MATCH(I304,'Tournament List'!$A:$A,0)),""))</f>
        <v/>
      </c>
      <c r="K304" s="96" t="str">
        <f>IF(F304="Skeet",IFERROR(INDEX('Shooter-Squad Assignment'!$A:$A,MATCH(C304&amp;"-"&amp;E304&amp;"-"&amp;F304&amp;"-Pos3",'Shooter-Squad Assignment'!$K:$K,0)),""),IF(F304="Trap",IFERROR(INDEX('Shooter-Squad Assignment'!$A:$A,MATCH(C304&amp;"-"&amp;E304&amp;"-"&amp;F304&amp;"-Pos3",'Shooter-Squad Assignment'!$W:$W,0)),""),IF(F304="Sporting Clays",IFERROR(INDEX('Shooter-Squad Assignment'!$A:$A,MATCH(C304&amp;"-"&amp;E304&amp;"-"&amp;F304&amp;"-Pos3",'Shooter-Squad Assignment'!$Z:$Z,0)),""),"")))</f>
        <v/>
      </c>
      <c r="L304" s="88" t="str">
        <f>IF(ISBLANK(K304),"",IFERROR(INDEX('Tournament List'!$D:$D,MATCH(K304,'Tournament List'!$A:$A,0)),""))</f>
        <v/>
      </c>
      <c r="M304" s="96" t="str">
        <f>IF(F304="Skeet",IFERROR(INDEX('Shooter-Squad Assignment'!$A:$A,MATCH(C304&amp;"-"&amp;E304&amp;"-"&amp;F304&amp;"-Pos4",'Shooter-Squad Assignment'!$K:$K,0)),""),IF(F304="Trap",IFERROR(INDEX('Shooter-Squad Assignment'!$A:$A,MATCH(C304&amp;"-"&amp;E304&amp;"-"&amp;F304&amp;"-Pos4",'Shooter-Squad Assignment'!$W:$W,0)),""),IF(F304="Sporting Clays",IFERROR(INDEX('Shooter-Squad Assignment'!$A:$A,MATCH(C304&amp;"-"&amp;E304&amp;"-"&amp;F304&amp;"-Pos4",'Shooter-Squad Assignment'!$Z:$Z,0)),""),"")))</f>
        <v/>
      </c>
      <c r="N304" s="88" t="str">
        <f>IF(ISBLANK(M304),"",IFERROR(INDEX('Tournament List'!$D:$D,MATCH(M304,'Tournament List'!$A:$A,0)),""))</f>
        <v/>
      </c>
      <c r="O304" s="96" t="str">
        <f>IF(F304="Skeet",IFERROR(INDEX('Shooter-Squad Assignment'!$A:$A,MATCH(C304&amp;"-"&amp;E304&amp;"-"&amp;F304&amp;"-Pos5",'Shooter-Squad Assignment'!$K:$K,0)),""),IF(F304="Trap",IFERROR(INDEX('Shooter-Squad Assignment'!$A:$A,MATCH(C304&amp;"-"&amp;E304&amp;"-"&amp;F304&amp;"-Pos5",'Shooter-Squad Assignment'!$W:$W,0)),""),IF(F304="Sporting Clays",IFERROR(INDEX('Shooter-Squad Assignment'!$A:$A,MATCH(C304&amp;"-"&amp;E304&amp;"-"&amp;F304&amp;"-Pos5",'Shooter-Squad Assignment'!$Z:$Z,0)),""),"")))</f>
        <v/>
      </c>
      <c r="P304" s="89" t="str">
        <f>IF(ISBLANK(O304),"",IFERROR(INDEX('Tournament List'!$D:$D,MATCH(O304,'Tournament List'!$A:$A,0)),""))</f>
        <v/>
      </c>
    </row>
    <row r="305" spans="1:16" x14ac:dyDescent="0.3">
      <c r="A305" s="87">
        <v>304</v>
      </c>
      <c r="B305" s="88" t="str">
        <f>C305&amp;"-"&amp;E305&amp;"-"&amp;F305</f>
        <v>Wiggins Tigers Sporting Club-Varsity 3-Skeet</v>
      </c>
      <c r="C305" s="88" t="s">
        <v>320</v>
      </c>
      <c r="D305" s="88" t="str">
        <f>INDEX('Tournament Setup'!$B$59:$B$78,MATCH(E305,SquadConcurrents,0))</f>
        <v>Varsity</v>
      </c>
      <c r="E305" s="88" t="s">
        <v>352</v>
      </c>
      <c r="F305" s="88" t="s">
        <v>143</v>
      </c>
      <c r="G305" s="96" t="str">
        <f>IF(F305="Skeet",IFERROR(INDEX('Shooter-Squad Assignment'!$A:$A,MATCH(C305&amp;"-"&amp;E305&amp;"-"&amp;F305&amp;"-Pos1",'Shooter-Squad Assignment'!$K:$K,0)),""),IF(F305="Trap",IFERROR(INDEX('Shooter-Squad Assignment'!$A:$A,MATCH(C305&amp;"-"&amp;E305&amp;"-"&amp;F305&amp;"-Pos1",'Shooter-Squad Assignment'!$W:$W,0)),""),IF(F305="Sporting Clays",IFERROR(INDEX('Shooter-Squad Assignment'!$A:$A,MATCH(C305&amp;"-"&amp;E305&amp;"-"&amp;F305&amp;"-Pos1",'Shooter-Squad Assignment'!$Z:$Z,0)),""),"")))</f>
        <v/>
      </c>
      <c r="H305" s="88" t="str">
        <f>IF(ISBLANK(G305),"",IFERROR(INDEX('Tournament List'!$D:$D,MATCH(G305,'Tournament List'!$A:$A,0)),""))</f>
        <v/>
      </c>
      <c r="I305" s="96" t="str">
        <f>IF(F305="Skeet",IFERROR(INDEX('Shooter-Squad Assignment'!$A:$A,MATCH(C305&amp;"-"&amp;E305&amp;"-"&amp;F305&amp;"-Pos2",'Shooter-Squad Assignment'!$K:$K,0)),""),IF(F305="Trap",IFERROR(INDEX('Shooter-Squad Assignment'!$A:$A,MATCH(C305&amp;"-"&amp;E305&amp;"-"&amp;F305&amp;"-Pos2",'Shooter-Squad Assignment'!$W:$W,0)),""),IF(F305="Sporting Clays",IFERROR(INDEX('Shooter-Squad Assignment'!$A:$A,MATCH(C305&amp;"-"&amp;E305&amp;"-"&amp;F305&amp;"-Pos2",'Shooter-Squad Assignment'!$Z:$Z,0)),""),"")))</f>
        <v/>
      </c>
      <c r="J305" s="88" t="str">
        <f>IF(ISBLANK(I305),"",IFERROR(INDEX('Tournament List'!$D:$D,MATCH(I305,'Tournament List'!$A:$A,0)),""))</f>
        <v/>
      </c>
      <c r="K305" s="96" t="str">
        <f>IF(F305="Skeet",IFERROR(INDEX('Shooter-Squad Assignment'!$A:$A,MATCH(C305&amp;"-"&amp;E305&amp;"-"&amp;F305&amp;"-Pos3",'Shooter-Squad Assignment'!$K:$K,0)),""),IF(F305="Trap",IFERROR(INDEX('Shooter-Squad Assignment'!$A:$A,MATCH(C305&amp;"-"&amp;E305&amp;"-"&amp;F305&amp;"-Pos3",'Shooter-Squad Assignment'!$W:$W,0)),""),IF(F305="Sporting Clays",IFERROR(INDEX('Shooter-Squad Assignment'!$A:$A,MATCH(C305&amp;"-"&amp;E305&amp;"-"&amp;F305&amp;"-Pos3",'Shooter-Squad Assignment'!$Z:$Z,0)),""),"")))</f>
        <v/>
      </c>
      <c r="L305" s="88" t="str">
        <f>IF(ISBLANK(K305),"",IFERROR(INDEX('Tournament List'!$D:$D,MATCH(K305,'Tournament List'!$A:$A,0)),""))</f>
        <v/>
      </c>
      <c r="M305" s="96" t="str">
        <f>IF(F305="Skeet",IFERROR(INDEX('Shooter-Squad Assignment'!$A:$A,MATCH(C305&amp;"-"&amp;E305&amp;"-"&amp;F305&amp;"-Pos4",'Shooter-Squad Assignment'!$K:$K,0)),""),IF(F305="Trap",IFERROR(INDEX('Shooter-Squad Assignment'!$A:$A,MATCH(C305&amp;"-"&amp;E305&amp;"-"&amp;F305&amp;"-Pos4",'Shooter-Squad Assignment'!$W:$W,0)),""),IF(F305="Sporting Clays",IFERROR(INDEX('Shooter-Squad Assignment'!$A:$A,MATCH(C305&amp;"-"&amp;E305&amp;"-"&amp;F305&amp;"-Pos4",'Shooter-Squad Assignment'!$Z:$Z,0)),""),"")))</f>
        <v/>
      </c>
      <c r="N305" s="88" t="str">
        <f>IF(ISBLANK(M305),"",IFERROR(INDEX('Tournament List'!$D:$D,MATCH(M305,'Tournament List'!$A:$A,0)),""))</f>
        <v/>
      </c>
      <c r="O305" s="96" t="str">
        <f>IF(F305="Skeet",IFERROR(INDEX('Shooter-Squad Assignment'!$A:$A,MATCH(C305&amp;"-"&amp;E305&amp;"-"&amp;F305&amp;"-Pos5",'Shooter-Squad Assignment'!$K:$K,0)),""),IF(F305="Trap",IFERROR(INDEX('Shooter-Squad Assignment'!$A:$A,MATCH(C305&amp;"-"&amp;E305&amp;"-"&amp;F305&amp;"-Pos5",'Shooter-Squad Assignment'!$W:$W,0)),""),IF(F305="Sporting Clays",IFERROR(INDEX('Shooter-Squad Assignment'!$A:$A,MATCH(C305&amp;"-"&amp;E305&amp;"-"&amp;F305&amp;"-Pos5",'Shooter-Squad Assignment'!$Z:$Z,0)),""),"")))</f>
        <v/>
      </c>
      <c r="P305" s="89" t="str">
        <f>IF(ISBLANK(O305),"",IFERROR(INDEX('Tournament List'!$D:$D,MATCH(O305,'Tournament List'!$A:$A,0)),""))</f>
        <v/>
      </c>
    </row>
    <row r="306" spans="1:16" x14ac:dyDescent="0.3">
      <c r="A306" s="87">
        <v>305</v>
      </c>
      <c r="B306" s="88" t="str">
        <f>C306&amp;"-"&amp;E306&amp;"-"&amp;F306</f>
        <v>Wiggins Tigers Sporting Club-Collegiate 1-Sporting Clays</v>
      </c>
      <c r="C306" s="88" t="s">
        <v>320</v>
      </c>
      <c r="D306" s="88" t="str">
        <f>INDEX('Tournament Setup'!$B$59:$B$78,MATCH(E306,SquadConcurrents,0))</f>
        <v>Collegiate</v>
      </c>
      <c r="E306" s="88" t="s">
        <v>342</v>
      </c>
      <c r="F306" s="88" t="s">
        <v>148</v>
      </c>
      <c r="G306" s="96" t="str">
        <f>IF(F306="Skeet",IFERROR(INDEX('Shooter-Squad Assignment'!$A:$A,MATCH(C306&amp;"-"&amp;E306&amp;"-"&amp;F306&amp;"-Pos1",'Shooter-Squad Assignment'!$K:$K,0)),""),IF(F306="Trap",IFERROR(INDEX('Shooter-Squad Assignment'!$A:$A,MATCH(C306&amp;"-"&amp;E306&amp;"-"&amp;F306&amp;"-Pos1",'Shooter-Squad Assignment'!$W:$W,0)),""),IF(F306="Sporting Clays",IFERROR(INDEX('Shooter-Squad Assignment'!$A:$A,MATCH(C306&amp;"-"&amp;E306&amp;"-"&amp;F306&amp;"-Pos1",'Shooter-Squad Assignment'!$Z:$Z,0)),""),"")))</f>
        <v/>
      </c>
      <c r="H306" s="88" t="str">
        <f>IF(ISBLANK(G306),"",IFERROR(INDEX('Tournament List'!$D:$D,MATCH(G306,'Tournament List'!$A:$A,0)),""))</f>
        <v/>
      </c>
      <c r="I306" s="96" t="str">
        <f>IF(F306="Skeet",IFERROR(INDEX('Shooter-Squad Assignment'!$A:$A,MATCH(C306&amp;"-"&amp;E306&amp;"-"&amp;F306&amp;"-Pos2",'Shooter-Squad Assignment'!$K:$K,0)),""),IF(F306="Trap",IFERROR(INDEX('Shooter-Squad Assignment'!$A:$A,MATCH(C306&amp;"-"&amp;E306&amp;"-"&amp;F306&amp;"-Pos2",'Shooter-Squad Assignment'!$W:$W,0)),""),IF(F306="Sporting Clays",IFERROR(INDEX('Shooter-Squad Assignment'!$A:$A,MATCH(C306&amp;"-"&amp;E306&amp;"-"&amp;F306&amp;"-Pos2",'Shooter-Squad Assignment'!$Z:$Z,0)),""),"")))</f>
        <v/>
      </c>
      <c r="J306" s="88" t="str">
        <f>IF(ISBLANK(I306),"",IFERROR(INDEX('Tournament List'!$D:$D,MATCH(I306,'Tournament List'!$A:$A,0)),""))</f>
        <v/>
      </c>
      <c r="K306" s="96" t="str">
        <f>IF(F306="Skeet",IFERROR(INDEX('Shooter-Squad Assignment'!$A:$A,MATCH(C306&amp;"-"&amp;E306&amp;"-"&amp;F306&amp;"-Pos3",'Shooter-Squad Assignment'!$K:$K,0)),""),IF(F306="Trap",IFERROR(INDEX('Shooter-Squad Assignment'!$A:$A,MATCH(C306&amp;"-"&amp;E306&amp;"-"&amp;F306&amp;"-Pos3",'Shooter-Squad Assignment'!$W:$W,0)),""),IF(F306="Sporting Clays",IFERROR(INDEX('Shooter-Squad Assignment'!$A:$A,MATCH(C306&amp;"-"&amp;E306&amp;"-"&amp;F306&amp;"-Pos3",'Shooter-Squad Assignment'!$Z:$Z,0)),""),"")))</f>
        <v/>
      </c>
      <c r="L306" s="88" t="str">
        <f>IF(ISBLANK(K306),"",IFERROR(INDEX('Tournament List'!$D:$D,MATCH(K306,'Tournament List'!$A:$A,0)),""))</f>
        <v/>
      </c>
      <c r="M306" s="96" t="str">
        <f>IF(F306="Skeet",IFERROR(INDEX('Shooter-Squad Assignment'!$A:$A,MATCH(C306&amp;"-"&amp;E306&amp;"-"&amp;F306&amp;"-Pos4",'Shooter-Squad Assignment'!$K:$K,0)),""),IF(F306="Trap",IFERROR(INDEX('Shooter-Squad Assignment'!$A:$A,MATCH(C306&amp;"-"&amp;E306&amp;"-"&amp;F306&amp;"-Pos4",'Shooter-Squad Assignment'!$W:$W,0)),""),IF(F306="Sporting Clays",IFERROR(INDEX('Shooter-Squad Assignment'!$A:$A,MATCH(C306&amp;"-"&amp;E306&amp;"-"&amp;F306&amp;"-Pos4",'Shooter-Squad Assignment'!$Z:$Z,0)),""),"")))</f>
        <v/>
      </c>
      <c r="N306" s="88" t="str">
        <f>IF(ISBLANK(M306),"",IFERROR(INDEX('Tournament List'!$D:$D,MATCH(M306,'Tournament List'!$A:$A,0)),""))</f>
        <v/>
      </c>
      <c r="O306" s="96" t="str">
        <f>IF(F306="Skeet",IFERROR(INDEX('Shooter-Squad Assignment'!$A:$A,MATCH(C306&amp;"-"&amp;E306&amp;"-"&amp;F306&amp;"-Pos5",'Shooter-Squad Assignment'!$K:$K,0)),""),IF(F306="Trap",IFERROR(INDEX('Shooter-Squad Assignment'!$A:$A,MATCH(C306&amp;"-"&amp;E306&amp;"-"&amp;F306&amp;"-Pos5",'Shooter-Squad Assignment'!$W:$W,0)),""),IF(F306="Sporting Clays",IFERROR(INDEX('Shooter-Squad Assignment'!$A:$A,MATCH(C306&amp;"-"&amp;E306&amp;"-"&amp;F306&amp;"-Pos5",'Shooter-Squad Assignment'!$Z:$Z,0)),""),"")))</f>
        <v/>
      </c>
      <c r="P306" s="89" t="str">
        <f>IF(ISBLANK(O306),"",IFERROR(INDEX('Tournament List'!$D:$D,MATCH(O306,'Tournament List'!$A:$A,0)),""))</f>
        <v/>
      </c>
    </row>
    <row r="307" spans="1:16" x14ac:dyDescent="0.3">
      <c r="A307" s="87">
        <v>306</v>
      </c>
      <c r="B307" s="88" t="str">
        <f>C307&amp;"-"&amp;E307&amp;"-"&amp;F307</f>
        <v>Wiggins Tigers Sporting Club-Collegiate 2-Sporting Clays</v>
      </c>
      <c r="C307" s="88" t="s">
        <v>320</v>
      </c>
      <c r="D307" s="88" t="str">
        <f>INDEX('Tournament Setup'!$B$59:$B$78,MATCH(E307,SquadConcurrents,0))</f>
        <v>Collegiate</v>
      </c>
      <c r="E307" s="88" t="s">
        <v>348</v>
      </c>
      <c r="F307" s="88" t="s">
        <v>148</v>
      </c>
      <c r="G307" s="96" t="str">
        <f>IF(F307="Skeet",IFERROR(INDEX('Shooter-Squad Assignment'!$A:$A,MATCH(C307&amp;"-"&amp;E307&amp;"-"&amp;F307&amp;"-Pos1",'Shooter-Squad Assignment'!$K:$K,0)),""),IF(F307="Trap",IFERROR(INDEX('Shooter-Squad Assignment'!$A:$A,MATCH(C307&amp;"-"&amp;E307&amp;"-"&amp;F307&amp;"-Pos1",'Shooter-Squad Assignment'!$W:$W,0)),""),IF(F307="Sporting Clays",IFERROR(INDEX('Shooter-Squad Assignment'!$A:$A,MATCH(C307&amp;"-"&amp;E307&amp;"-"&amp;F307&amp;"-Pos1",'Shooter-Squad Assignment'!$Z:$Z,0)),""),"")))</f>
        <v/>
      </c>
      <c r="H307" s="88" t="str">
        <f>IF(ISBLANK(G307),"",IFERROR(INDEX('Tournament List'!$D:$D,MATCH(G307,'Tournament List'!$A:$A,0)),""))</f>
        <v/>
      </c>
      <c r="I307" s="96" t="str">
        <f>IF(F307="Skeet",IFERROR(INDEX('Shooter-Squad Assignment'!$A:$A,MATCH(C307&amp;"-"&amp;E307&amp;"-"&amp;F307&amp;"-Pos2",'Shooter-Squad Assignment'!$K:$K,0)),""),IF(F307="Trap",IFERROR(INDEX('Shooter-Squad Assignment'!$A:$A,MATCH(C307&amp;"-"&amp;E307&amp;"-"&amp;F307&amp;"-Pos2",'Shooter-Squad Assignment'!$W:$W,0)),""),IF(F307="Sporting Clays",IFERROR(INDEX('Shooter-Squad Assignment'!$A:$A,MATCH(C307&amp;"-"&amp;E307&amp;"-"&amp;F307&amp;"-Pos2",'Shooter-Squad Assignment'!$Z:$Z,0)),""),"")))</f>
        <v/>
      </c>
      <c r="J307" s="88" t="str">
        <f>IF(ISBLANK(I307),"",IFERROR(INDEX('Tournament List'!$D:$D,MATCH(I307,'Tournament List'!$A:$A,0)),""))</f>
        <v/>
      </c>
      <c r="K307" s="96" t="str">
        <f>IF(F307="Skeet",IFERROR(INDEX('Shooter-Squad Assignment'!$A:$A,MATCH(C307&amp;"-"&amp;E307&amp;"-"&amp;F307&amp;"-Pos3",'Shooter-Squad Assignment'!$K:$K,0)),""),IF(F307="Trap",IFERROR(INDEX('Shooter-Squad Assignment'!$A:$A,MATCH(C307&amp;"-"&amp;E307&amp;"-"&amp;F307&amp;"-Pos3",'Shooter-Squad Assignment'!$W:$W,0)),""),IF(F307="Sporting Clays",IFERROR(INDEX('Shooter-Squad Assignment'!$A:$A,MATCH(C307&amp;"-"&amp;E307&amp;"-"&amp;F307&amp;"-Pos3",'Shooter-Squad Assignment'!$Z:$Z,0)),""),"")))</f>
        <v/>
      </c>
      <c r="L307" s="88" t="str">
        <f>IF(ISBLANK(K307),"",IFERROR(INDEX('Tournament List'!$D:$D,MATCH(K307,'Tournament List'!$A:$A,0)),""))</f>
        <v/>
      </c>
      <c r="M307" s="96" t="str">
        <f>IF(F307="Skeet",IFERROR(INDEX('Shooter-Squad Assignment'!$A:$A,MATCH(C307&amp;"-"&amp;E307&amp;"-"&amp;F307&amp;"-Pos4",'Shooter-Squad Assignment'!$K:$K,0)),""),IF(F307="Trap",IFERROR(INDEX('Shooter-Squad Assignment'!$A:$A,MATCH(C307&amp;"-"&amp;E307&amp;"-"&amp;F307&amp;"-Pos4",'Shooter-Squad Assignment'!$W:$W,0)),""),IF(F307="Sporting Clays",IFERROR(INDEX('Shooter-Squad Assignment'!$A:$A,MATCH(C307&amp;"-"&amp;E307&amp;"-"&amp;F307&amp;"-Pos4",'Shooter-Squad Assignment'!$Z:$Z,0)),""),"")))</f>
        <v/>
      </c>
      <c r="N307" s="88" t="str">
        <f>IF(ISBLANK(M307),"",IFERROR(INDEX('Tournament List'!$D:$D,MATCH(M307,'Tournament List'!$A:$A,0)),""))</f>
        <v/>
      </c>
      <c r="O307" s="96" t="str">
        <f>IF(F307="Skeet",IFERROR(INDEX('Shooter-Squad Assignment'!$A:$A,MATCH(C307&amp;"-"&amp;E307&amp;"-"&amp;F307&amp;"-Pos5",'Shooter-Squad Assignment'!$K:$K,0)),""),IF(F307="Trap",IFERROR(INDEX('Shooter-Squad Assignment'!$A:$A,MATCH(C307&amp;"-"&amp;E307&amp;"-"&amp;F307&amp;"-Pos5",'Shooter-Squad Assignment'!$W:$W,0)),""),IF(F307="Sporting Clays",IFERROR(INDEX('Shooter-Squad Assignment'!$A:$A,MATCH(C307&amp;"-"&amp;E307&amp;"-"&amp;F307&amp;"-Pos5",'Shooter-Squad Assignment'!$Z:$Z,0)),""),"")))</f>
        <v/>
      </c>
      <c r="P307" s="89" t="str">
        <f>IF(ISBLANK(O307),"",IFERROR(INDEX('Tournament List'!$D:$D,MATCH(O307,'Tournament List'!$A:$A,0)),""))</f>
        <v/>
      </c>
    </row>
    <row r="308" spans="1:16" x14ac:dyDescent="0.3">
      <c r="A308" s="87">
        <v>307</v>
      </c>
      <c r="B308" s="88" t="str">
        <f>C308&amp;"-"&amp;E308&amp;"-"&amp;F308</f>
        <v>Wiggins Tigers Sporting Club-Collegiate 3-Sporting Clays</v>
      </c>
      <c r="C308" s="88" t="s">
        <v>320</v>
      </c>
      <c r="D308" s="88" t="str">
        <f>INDEX('Tournament Setup'!$B$59:$B$78,MATCH(E308,SquadConcurrents,0))</f>
        <v>Collegiate</v>
      </c>
      <c r="E308" s="88" t="s">
        <v>354</v>
      </c>
      <c r="F308" s="88" t="s">
        <v>148</v>
      </c>
      <c r="G308" s="96" t="str">
        <f>IF(F308="Skeet",IFERROR(INDEX('Shooter-Squad Assignment'!$A:$A,MATCH(C308&amp;"-"&amp;E308&amp;"-"&amp;F308&amp;"-Pos1",'Shooter-Squad Assignment'!$K:$K,0)),""),IF(F308="Trap",IFERROR(INDEX('Shooter-Squad Assignment'!$A:$A,MATCH(C308&amp;"-"&amp;E308&amp;"-"&amp;F308&amp;"-Pos1",'Shooter-Squad Assignment'!$W:$W,0)),""),IF(F308="Sporting Clays",IFERROR(INDEX('Shooter-Squad Assignment'!$A:$A,MATCH(C308&amp;"-"&amp;E308&amp;"-"&amp;F308&amp;"-Pos1",'Shooter-Squad Assignment'!$Z:$Z,0)),""),"")))</f>
        <v/>
      </c>
      <c r="H308" s="88" t="str">
        <f>IF(ISBLANK(G308),"",IFERROR(INDEX('Tournament List'!$D:$D,MATCH(G308,'Tournament List'!$A:$A,0)),""))</f>
        <v/>
      </c>
      <c r="I308" s="96" t="str">
        <f>IF(F308="Skeet",IFERROR(INDEX('Shooter-Squad Assignment'!$A:$A,MATCH(C308&amp;"-"&amp;E308&amp;"-"&amp;F308&amp;"-Pos2",'Shooter-Squad Assignment'!$K:$K,0)),""),IF(F308="Trap",IFERROR(INDEX('Shooter-Squad Assignment'!$A:$A,MATCH(C308&amp;"-"&amp;E308&amp;"-"&amp;F308&amp;"-Pos2",'Shooter-Squad Assignment'!$W:$W,0)),""),IF(F308="Sporting Clays",IFERROR(INDEX('Shooter-Squad Assignment'!$A:$A,MATCH(C308&amp;"-"&amp;E308&amp;"-"&amp;F308&amp;"-Pos2",'Shooter-Squad Assignment'!$Z:$Z,0)),""),"")))</f>
        <v/>
      </c>
      <c r="J308" s="88" t="str">
        <f>IF(ISBLANK(I308),"",IFERROR(INDEX('Tournament List'!$D:$D,MATCH(I308,'Tournament List'!$A:$A,0)),""))</f>
        <v/>
      </c>
      <c r="K308" s="96" t="str">
        <f>IF(F308="Skeet",IFERROR(INDEX('Shooter-Squad Assignment'!$A:$A,MATCH(C308&amp;"-"&amp;E308&amp;"-"&amp;F308&amp;"-Pos3",'Shooter-Squad Assignment'!$K:$K,0)),""),IF(F308="Trap",IFERROR(INDEX('Shooter-Squad Assignment'!$A:$A,MATCH(C308&amp;"-"&amp;E308&amp;"-"&amp;F308&amp;"-Pos3",'Shooter-Squad Assignment'!$W:$W,0)),""),IF(F308="Sporting Clays",IFERROR(INDEX('Shooter-Squad Assignment'!$A:$A,MATCH(C308&amp;"-"&amp;E308&amp;"-"&amp;F308&amp;"-Pos3",'Shooter-Squad Assignment'!$Z:$Z,0)),""),"")))</f>
        <v/>
      </c>
      <c r="L308" s="88" t="str">
        <f>IF(ISBLANK(K308),"",IFERROR(INDEX('Tournament List'!$D:$D,MATCH(K308,'Tournament List'!$A:$A,0)),""))</f>
        <v/>
      </c>
      <c r="M308" s="96" t="str">
        <f>IF(F308="Skeet",IFERROR(INDEX('Shooter-Squad Assignment'!$A:$A,MATCH(C308&amp;"-"&amp;E308&amp;"-"&amp;F308&amp;"-Pos4",'Shooter-Squad Assignment'!$K:$K,0)),""),IF(F308="Trap",IFERROR(INDEX('Shooter-Squad Assignment'!$A:$A,MATCH(C308&amp;"-"&amp;E308&amp;"-"&amp;F308&amp;"-Pos4",'Shooter-Squad Assignment'!$W:$W,0)),""),IF(F308="Sporting Clays",IFERROR(INDEX('Shooter-Squad Assignment'!$A:$A,MATCH(C308&amp;"-"&amp;E308&amp;"-"&amp;F308&amp;"-Pos4",'Shooter-Squad Assignment'!$Z:$Z,0)),""),"")))</f>
        <v/>
      </c>
      <c r="N308" s="88" t="str">
        <f>IF(ISBLANK(M308),"",IFERROR(INDEX('Tournament List'!$D:$D,MATCH(M308,'Tournament List'!$A:$A,0)),""))</f>
        <v/>
      </c>
      <c r="O308" s="96" t="str">
        <f>IF(F308="Skeet",IFERROR(INDEX('Shooter-Squad Assignment'!$A:$A,MATCH(C308&amp;"-"&amp;E308&amp;"-"&amp;F308&amp;"-Pos5",'Shooter-Squad Assignment'!$K:$K,0)),""),IF(F308="Trap",IFERROR(INDEX('Shooter-Squad Assignment'!$A:$A,MATCH(C308&amp;"-"&amp;E308&amp;"-"&amp;F308&amp;"-Pos5",'Shooter-Squad Assignment'!$W:$W,0)),""),IF(F308="Sporting Clays",IFERROR(INDEX('Shooter-Squad Assignment'!$A:$A,MATCH(C308&amp;"-"&amp;E308&amp;"-"&amp;F308&amp;"-Pos5",'Shooter-Squad Assignment'!$Z:$Z,0)),""),"")))</f>
        <v/>
      </c>
      <c r="P308" s="89" t="str">
        <f>IF(ISBLANK(O308),"",IFERROR(INDEX('Tournament List'!$D:$D,MATCH(O308,'Tournament List'!$A:$A,0)),""))</f>
        <v/>
      </c>
    </row>
    <row r="309" spans="1:16" x14ac:dyDescent="0.3">
      <c r="A309" s="87">
        <v>308</v>
      </c>
      <c r="B309" s="88" t="str">
        <f>C309&amp;"-"&amp;E309&amp;"-"&amp;F309</f>
        <v>Wiggins Tigers Sporting Club-Intermediate 1-Sporting Clays</v>
      </c>
      <c r="C309" s="88" t="s">
        <v>320</v>
      </c>
      <c r="D309" s="88" t="str">
        <f>INDEX('Tournament Setup'!$B$59:$B$78,MATCH(E309,SquadConcurrents,0))</f>
        <v>Intermediate</v>
      </c>
      <c r="E309" s="88" t="s">
        <v>338</v>
      </c>
      <c r="F309" s="88" t="s">
        <v>148</v>
      </c>
      <c r="G309" s="96" t="str">
        <f>IF(F309="Skeet",IFERROR(INDEX('Shooter-Squad Assignment'!$A:$A,MATCH(C309&amp;"-"&amp;E309&amp;"-"&amp;F309&amp;"-Pos1",'Shooter-Squad Assignment'!$K:$K,0)),""),IF(F309="Trap",IFERROR(INDEX('Shooter-Squad Assignment'!$A:$A,MATCH(C309&amp;"-"&amp;E309&amp;"-"&amp;F309&amp;"-Pos1",'Shooter-Squad Assignment'!$W:$W,0)),""),IF(F309="Sporting Clays",IFERROR(INDEX('Shooter-Squad Assignment'!$A:$A,MATCH(C309&amp;"-"&amp;E309&amp;"-"&amp;F309&amp;"-Pos1",'Shooter-Squad Assignment'!$Z:$Z,0)),""),"")))</f>
        <v/>
      </c>
      <c r="H309" s="88" t="str">
        <f>IF(ISBLANK(G309),"",IFERROR(INDEX('Tournament List'!$D:$D,MATCH(G309,'Tournament List'!$A:$A,0)),""))</f>
        <v/>
      </c>
      <c r="I309" s="96" t="str">
        <f>IF(F309="Skeet",IFERROR(INDEX('Shooter-Squad Assignment'!$A:$A,MATCH(C309&amp;"-"&amp;E309&amp;"-"&amp;F309&amp;"-Pos2",'Shooter-Squad Assignment'!$K:$K,0)),""),IF(F309="Trap",IFERROR(INDEX('Shooter-Squad Assignment'!$A:$A,MATCH(C309&amp;"-"&amp;E309&amp;"-"&amp;F309&amp;"-Pos2",'Shooter-Squad Assignment'!$W:$W,0)),""),IF(F309="Sporting Clays",IFERROR(INDEX('Shooter-Squad Assignment'!$A:$A,MATCH(C309&amp;"-"&amp;E309&amp;"-"&amp;F309&amp;"-Pos2",'Shooter-Squad Assignment'!$Z:$Z,0)),""),"")))</f>
        <v/>
      </c>
      <c r="J309" s="88" t="str">
        <f>IF(ISBLANK(I309),"",IFERROR(INDEX('Tournament List'!$D:$D,MATCH(I309,'Tournament List'!$A:$A,0)),""))</f>
        <v/>
      </c>
      <c r="K309" s="96" t="str">
        <f>IF(F309="Skeet",IFERROR(INDEX('Shooter-Squad Assignment'!$A:$A,MATCH(C309&amp;"-"&amp;E309&amp;"-"&amp;F309&amp;"-Pos3",'Shooter-Squad Assignment'!$K:$K,0)),""),IF(F309="Trap",IFERROR(INDEX('Shooter-Squad Assignment'!$A:$A,MATCH(C309&amp;"-"&amp;E309&amp;"-"&amp;F309&amp;"-Pos3",'Shooter-Squad Assignment'!$W:$W,0)),""),IF(F309="Sporting Clays",IFERROR(INDEX('Shooter-Squad Assignment'!$A:$A,MATCH(C309&amp;"-"&amp;E309&amp;"-"&amp;F309&amp;"-Pos3",'Shooter-Squad Assignment'!$Z:$Z,0)),""),"")))</f>
        <v/>
      </c>
      <c r="L309" s="88" t="str">
        <f>IF(ISBLANK(K309),"",IFERROR(INDEX('Tournament List'!$D:$D,MATCH(K309,'Tournament List'!$A:$A,0)),""))</f>
        <v/>
      </c>
      <c r="M309" s="96" t="str">
        <f>IF(F309="Skeet",IFERROR(INDEX('Shooter-Squad Assignment'!$A:$A,MATCH(C309&amp;"-"&amp;E309&amp;"-"&amp;F309&amp;"-Pos4",'Shooter-Squad Assignment'!$K:$K,0)),""),IF(F309="Trap",IFERROR(INDEX('Shooter-Squad Assignment'!$A:$A,MATCH(C309&amp;"-"&amp;E309&amp;"-"&amp;F309&amp;"-Pos4",'Shooter-Squad Assignment'!$W:$W,0)),""),IF(F309="Sporting Clays",IFERROR(INDEX('Shooter-Squad Assignment'!$A:$A,MATCH(C309&amp;"-"&amp;E309&amp;"-"&amp;F309&amp;"-Pos4",'Shooter-Squad Assignment'!$Z:$Z,0)),""),"")))</f>
        <v/>
      </c>
      <c r="N309" s="88" t="str">
        <f>IF(ISBLANK(M309),"",IFERROR(INDEX('Tournament List'!$D:$D,MATCH(M309,'Tournament List'!$A:$A,0)),""))</f>
        <v/>
      </c>
      <c r="O309" s="96" t="str">
        <f>IF(F309="Skeet",IFERROR(INDEX('Shooter-Squad Assignment'!$A:$A,MATCH(C309&amp;"-"&amp;E309&amp;"-"&amp;F309&amp;"-Pos5",'Shooter-Squad Assignment'!$K:$K,0)),""),IF(F309="Trap",IFERROR(INDEX('Shooter-Squad Assignment'!$A:$A,MATCH(C309&amp;"-"&amp;E309&amp;"-"&amp;F309&amp;"-Pos5",'Shooter-Squad Assignment'!$W:$W,0)),""),IF(F309="Sporting Clays",IFERROR(INDEX('Shooter-Squad Assignment'!$A:$A,MATCH(C309&amp;"-"&amp;E309&amp;"-"&amp;F309&amp;"-Pos5",'Shooter-Squad Assignment'!$Z:$Z,0)),""),"")))</f>
        <v/>
      </c>
      <c r="P309" s="89" t="str">
        <f>IF(ISBLANK(O309),"",IFERROR(INDEX('Tournament List'!$D:$D,MATCH(O309,'Tournament List'!$A:$A,0)),""))</f>
        <v/>
      </c>
    </row>
    <row r="310" spans="1:16" x14ac:dyDescent="0.3">
      <c r="A310" s="87">
        <v>309</v>
      </c>
      <c r="B310" s="88" t="str">
        <f>C310&amp;"-"&amp;E310&amp;"-"&amp;F310</f>
        <v>Wiggins Tigers Sporting Club-Intermediate 2-Sporting Clays</v>
      </c>
      <c r="C310" s="88" t="s">
        <v>320</v>
      </c>
      <c r="D310" s="88" t="str">
        <f>INDEX('Tournament Setup'!$B$59:$B$78,MATCH(E310,SquadConcurrents,0))</f>
        <v>Intermediate</v>
      </c>
      <c r="E310" s="88" t="s">
        <v>344</v>
      </c>
      <c r="F310" s="88" t="s">
        <v>148</v>
      </c>
      <c r="G310" s="96" t="str">
        <f>IF(F310="Skeet",IFERROR(INDEX('Shooter-Squad Assignment'!$A:$A,MATCH(C310&amp;"-"&amp;E310&amp;"-"&amp;F310&amp;"-Pos1",'Shooter-Squad Assignment'!$K:$K,0)),""),IF(F310="Trap",IFERROR(INDEX('Shooter-Squad Assignment'!$A:$A,MATCH(C310&amp;"-"&amp;E310&amp;"-"&amp;F310&amp;"-Pos1",'Shooter-Squad Assignment'!$W:$W,0)),""),IF(F310="Sporting Clays",IFERROR(INDEX('Shooter-Squad Assignment'!$A:$A,MATCH(C310&amp;"-"&amp;E310&amp;"-"&amp;F310&amp;"-Pos1",'Shooter-Squad Assignment'!$Z:$Z,0)),""),"")))</f>
        <v/>
      </c>
      <c r="H310" s="88" t="str">
        <f>IF(ISBLANK(G310),"",IFERROR(INDEX('Tournament List'!$D:$D,MATCH(G310,'Tournament List'!$A:$A,0)),""))</f>
        <v/>
      </c>
      <c r="I310" s="96" t="str">
        <f>IF(F310="Skeet",IFERROR(INDEX('Shooter-Squad Assignment'!$A:$A,MATCH(C310&amp;"-"&amp;E310&amp;"-"&amp;F310&amp;"-Pos2",'Shooter-Squad Assignment'!$K:$K,0)),""),IF(F310="Trap",IFERROR(INDEX('Shooter-Squad Assignment'!$A:$A,MATCH(C310&amp;"-"&amp;E310&amp;"-"&amp;F310&amp;"-Pos2",'Shooter-Squad Assignment'!$W:$W,0)),""),IF(F310="Sporting Clays",IFERROR(INDEX('Shooter-Squad Assignment'!$A:$A,MATCH(C310&amp;"-"&amp;E310&amp;"-"&amp;F310&amp;"-Pos2",'Shooter-Squad Assignment'!$Z:$Z,0)),""),"")))</f>
        <v/>
      </c>
      <c r="J310" s="88" t="str">
        <f>IF(ISBLANK(I310),"",IFERROR(INDEX('Tournament List'!$D:$D,MATCH(I310,'Tournament List'!$A:$A,0)),""))</f>
        <v/>
      </c>
      <c r="K310" s="96" t="str">
        <f>IF(F310="Skeet",IFERROR(INDEX('Shooter-Squad Assignment'!$A:$A,MATCH(C310&amp;"-"&amp;E310&amp;"-"&amp;F310&amp;"-Pos3",'Shooter-Squad Assignment'!$K:$K,0)),""),IF(F310="Trap",IFERROR(INDEX('Shooter-Squad Assignment'!$A:$A,MATCH(C310&amp;"-"&amp;E310&amp;"-"&amp;F310&amp;"-Pos3",'Shooter-Squad Assignment'!$W:$W,0)),""),IF(F310="Sporting Clays",IFERROR(INDEX('Shooter-Squad Assignment'!$A:$A,MATCH(C310&amp;"-"&amp;E310&amp;"-"&amp;F310&amp;"-Pos3",'Shooter-Squad Assignment'!$Z:$Z,0)),""),"")))</f>
        <v/>
      </c>
      <c r="L310" s="88" t="str">
        <f>IF(ISBLANK(K310),"",IFERROR(INDEX('Tournament List'!$D:$D,MATCH(K310,'Tournament List'!$A:$A,0)),""))</f>
        <v/>
      </c>
      <c r="M310" s="96" t="str">
        <f>IF(F310="Skeet",IFERROR(INDEX('Shooter-Squad Assignment'!$A:$A,MATCH(C310&amp;"-"&amp;E310&amp;"-"&amp;F310&amp;"-Pos4",'Shooter-Squad Assignment'!$K:$K,0)),""),IF(F310="Trap",IFERROR(INDEX('Shooter-Squad Assignment'!$A:$A,MATCH(C310&amp;"-"&amp;E310&amp;"-"&amp;F310&amp;"-Pos4",'Shooter-Squad Assignment'!$W:$W,0)),""),IF(F310="Sporting Clays",IFERROR(INDEX('Shooter-Squad Assignment'!$A:$A,MATCH(C310&amp;"-"&amp;E310&amp;"-"&amp;F310&amp;"-Pos4",'Shooter-Squad Assignment'!$Z:$Z,0)),""),"")))</f>
        <v/>
      </c>
      <c r="N310" s="88" t="str">
        <f>IF(ISBLANK(M310),"",IFERROR(INDEX('Tournament List'!$D:$D,MATCH(M310,'Tournament List'!$A:$A,0)),""))</f>
        <v/>
      </c>
      <c r="O310" s="96" t="str">
        <f>IF(F310="Skeet",IFERROR(INDEX('Shooter-Squad Assignment'!$A:$A,MATCH(C310&amp;"-"&amp;E310&amp;"-"&amp;F310&amp;"-Pos5",'Shooter-Squad Assignment'!$K:$K,0)),""),IF(F310="Trap",IFERROR(INDEX('Shooter-Squad Assignment'!$A:$A,MATCH(C310&amp;"-"&amp;E310&amp;"-"&amp;F310&amp;"-Pos5",'Shooter-Squad Assignment'!$W:$W,0)),""),IF(F310="Sporting Clays",IFERROR(INDEX('Shooter-Squad Assignment'!$A:$A,MATCH(C310&amp;"-"&amp;E310&amp;"-"&amp;F310&amp;"-Pos5",'Shooter-Squad Assignment'!$Z:$Z,0)),""),"")))</f>
        <v/>
      </c>
      <c r="P310" s="89" t="str">
        <f>IF(ISBLANK(O310),"",IFERROR(INDEX('Tournament List'!$D:$D,MATCH(O310,'Tournament List'!$A:$A,0)),""))</f>
        <v/>
      </c>
    </row>
    <row r="311" spans="1:16" x14ac:dyDescent="0.3">
      <c r="A311" s="87">
        <v>310</v>
      </c>
      <c r="B311" s="88" t="str">
        <f>C311&amp;"-"&amp;E311&amp;"-"&amp;F311</f>
        <v>Wiggins Tigers Sporting Club-Intermediate 3-Sporting Clays</v>
      </c>
      <c r="C311" s="88" t="s">
        <v>320</v>
      </c>
      <c r="D311" s="88" t="str">
        <f>INDEX('Tournament Setup'!$B$59:$B$78,MATCH(E311,SquadConcurrents,0))</f>
        <v>Intermediate</v>
      </c>
      <c r="E311" s="88" t="s">
        <v>350</v>
      </c>
      <c r="F311" s="88" t="s">
        <v>148</v>
      </c>
      <c r="G311" s="96" t="str">
        <f>IF(F311="Skeet",IFERROR(INDEX('Shooter-Squad Assignment'!$A:$A,MATCH(C311&amp;"-"&amp;E311&amp;"-"&amp;F311&amp;"-Pos1",'Shooter-Squad Assignment'!$K:$K,0)),""),IF(F311="Trap",IFERROR(INDEX('Shooter-Squad Assignment'!$A:$A,MATCH(C311&amp;"-"&amp;E311&amp;"-"&amp;F311&amp;"-Pos1",'Shooter-Squad Assignment'!$W:$W,0)),""),IF(F311="Sporting Clays",IFERROR(INDEX('Shooter-Squad Assignment'!$A:$A,MATCH(C311&amp;"-"&amp;E311&amp;"-"&amp;F311&amp;"-Pos1",'Shooter-Squad Assignment'!$Z:$Z,0)),""),"")))</f>
        <v/>
      </c>
      <c r="H311" s="88" t="str">
        <f>IF(ISBLANK(G311),"",IFERROR(INDEX('Tournament List'!$D:$D,MATCH(G311,'Tournament List'!$A:$A,0)),""))</f>
        <v/>
      </c>
      <c r="I311" s="96" t="str">
        <f>IF(F311="Skeet",IFERROR(INDEX('Shooter-Squad Assignment'!$A:$A,MATCH(C311&amp;"-"&amp;E311&amp;"-"&amp;F311&amp;"-Pos2",'Shooter-Squad Assignment'!$K:$K,0)),""),IF(F311="Trap",IFERROR(INDEX('Shooter-Squad Assignment'!$A:$A,MATCH(C311&amp;"-"&amp;E311&amp;"-"&amp;F311&amp;"-Pos2",'Shooter-Squad Assignment'!$W:$W,0)),""),IF(F311="Sporting Clays",IFERROR(INDEX('Shooter-Squad Assignment'!$A:$A,MATCH(C311&amp;"-"&amp;E311&amp;"-"&amp;F311&amp;"-Pos2",'Shooter-Squad Assignment'!$Z:$Z,0)),""),"")))</f>
        <v/>
      </c>
      <c r="J311" s="88" t="str">
        <f>IF(ISBLANK(I311),"",IFERROR(INDEX('Tournament List'!$D:$D,MATCH(I311,'Tournament List'!$A:$A,0)),""))</f>
        <v/>
      </c>
      <c r="K311" s="96" t="str">
        <f>IF(F311="Skeet",IFERROR(INDEX('Shooter-Squad Assignment'!$A:$A,MATCH(C311&amp;"-"&amp;E311&amp;"-"&amp;F311&amp;"-Pos3",'Shooter-Squad Assignment'!$K:$K,0)),""),IF(F311="Trap",IFERROR(INDEX('Shooter-Squad Assignment'!$A:$A,MATCH(C311&amp;"-"&amp;E311&amp;"-"&amp;F311&amp;"-Pos3",'Shooter-Squad Assignment'!$W:$W,0)),""),IF(F311="Sporting Clays",IFERROR(INDEX('Shooter-Squad Assignment'!$A:$A,MATCH(C311&amp;"-"&amp;E311&amp;"-"&amp;F311&amp;"-Pos3",'Shooter-Squad Assignment'!$Z:$Z,0)),""),"")))</f>
        <v/>
      </c>
      <c r="L311" s="88" t="str">
        <f>IF(ISBLANK(K311),"",IFERROR(INDEX('Tournament List'!$D:$D,MATCH(K311,'Tournament List'!$A:$A,0)),""))</f>
        <v/>
      </c>
      <c r="M311" s="96" t="str">
        <f>IF(F311="Skeet",IFERROR(INDEX('Shooter-Squad Assignment'!$A:$A,MATCH(C311&amp;"-"&amp;E311&amp;"-"&amp;F311&amp;"-Pos4",'Shooter-Squad Assignment'!$K:$K,0)),""),IF(F311="Trap",IFERROR(INDEX('Shooter-Squad Assignment'!$A:$A,MATCH(C311&amp;"-"&amp;E311&amp;"-"&amp;F311&amp;"-Pos4",'Shooter-Squad Assignment'!$W:$W,0)),""),IF(F311="Sporting Clays",IFERROR(INDEX('Shooter-Squad Assignment'!$A:$A,MATCH(C311&amp;"-"&amp;E311&amp;"-"&amp;F311&amp;"-Pos4",'Shooter-Squad Assignment'!$Z:$Z,0)),""),"")))</f>
        <v/>
      </c>
      <c r="N311" s="88" t="str">
        <f>IF(ISBLANK(M311),"",IFERROR(INDEX('Tournament List'!$D:$D,MATCH(M311,'Tournament List'!$A:$A,0)),""))</f>
        <v/>
      </c>
      <c r="O311" s="96" t="str">
        <f>IF(F311="Skeet",IFERROR(INDEX('Shooter-Squad Assignment'!$A:$A,MATCH(C311&amp;"-"&amp;E311&amp;"-"&amp;F311&amp;"-Pos5",'Shooter-Squad Assignment'!$K:$K,0)),""),IF(F311="Trap",IFERROR(INDEX('Shooter-Squad Assignment'!$A:$A,MATCH(C311&amp;"-"&amp;E311&amp;"-"&amp;F311&amp;"-Pos5",'Shooter-Squad Assignment'!$W:$W,0)),""),IF(F311="Sporting Clays",IFERROR(INDEX('Shooter-Squad Assignment'!$A:$A,MATCH(C311&amp;"-"&amp;E311&amp;"-"&amp;F311&amp;"-Pos5",'Shooter-Squad Assignment'!$Z:$Z,0)),""),"")))</f>
        <v/>
      </c>
      <c r="P311" s="89" t="str">
        <f>IF(ISBLANK(O311),"",IFERROR(INDEX('Tournament List'!$D:$D,MATCH(O311,'Tournament List'!$A:$A,0)),""))</f>
        <v/>
      </c>
    </row>
    <row r="312" spans="1:16" x14ac:dyDescent="0.3">
      <c r="A312" s="87">
        <v>311</v>
      </c>
      <c r="B312" s="88" t="str">
        <f>C312&amp;"-"&amp;E312&amp;"-"&amp;F312</f>
        <v>Wiggins Tigers Sporting Club-Junior Varsity 1-Sporting Clays</v>
      </c>
      <c r="C312" s="88" t="s">
        <v>320</v>
      </c>
      <c r="D312" s="88" t="str">
        <f>INDEX('Tournament Setup'!$B$59:$B$78,MATCH(E312,SquadConcurrents,0))</f>
        <v>Junior Varsity</v>
      </c>
      <c r="E312" s="88" t="s">
        <v>339</v>
      </c>
      <c r="F312" s="88" t="s">
        <v>148</v>
      </c>
      <c r="G312" s="96" t="str">
        <f>IF(F312="Skeet",IFERROR(INDEX('Shooter-Squad Assignment'!$A:$A,MATCH(C312&amp;"-"&amp;E312&amp;"-"&amp;F312&amp;"-Pos1",'Shooter-Squad Assignment'!$K:$K,0)),""),IF(F312="Trap",IFERROR(INDEX('Shooter-Squad Assignment'!$A:$A,MATCH(C312&amp;"-"&amp;E312&amp;"-"&amp;F312&amp;"-Pos1",'Shooter-Squad Assignment'!$W:$W,0)),""),IF(F312="Sporting Clays",IFERROR(INDEX('Shooter-Squad Assignment'!$A:$A,MATCH(C312&amp;"-"&amp;E312&amp;"-"&amp;F312&amp;"-Pos1",'Shooter-Squad Assignment'!$Z:$Z,0)),""),"")))</f>
        <v/>
      </c>
      <c r="H312" s="88" t="str">
        <f>IF(ISBLANK(G312),"",IFERROR(INDEX('Tournament List'!$D:$D,MATCH(G312,'Tournament List'!$A:$A,0)),""))</f>
        <v/>
      </c>
      <c r="I312" s="96" t="str">
        <f>IF(F312="Skeet",IFERROR(INDEX('Shooter-Squad Assignment'!$A:$A,MATCH(C312&amp;"-"&amp;E312&amp;"-"&amp;F312&amp;"-Pos2",'Shooter-Squad Assignment'!$K:$K,0)),""),IF(F312="Trap",IFERROR(INDEX('Shooter-Squad Assignment'!$A:$A,MATCH(C312&amp;"-"&amp;E312&amp;"-"&amp;F312&amp;"-Pos2",'Shooter-Squad Assignment'!$W:$W,0)),""),IF(F312="Sporting Clays",IFERROR(INDEX('Shooter-Squad Assignment'!$A:$A,MATCH(C312&amp;"-"&amp;E312&amp;"-"&amp;F312&amp;"-Pos2",'Shooter-Squad Assignment'!$Z:$Z,0)),""),"")))</f>
        <v/>
      </c>
      <c r="J312" s="88" t="str">
        <f>IF(ISBLANK(I312),"",IFERROR(INDEX('Tournament List'!$D:$D,MATCH(I312,'Tournament List'!$A:$A,0)),""))</f>
        <v/>
      </c>
      <c r="K312" s="96" t="str">
        <f>IF(F312="Skeet",IFERROR(INDEX('Shooter-Squad Assignment'!$A:$A,MATCH(C312&amp;"-"&amp;E312&amp;"-"&amp;F312&amp;"-Pos3",'Shooter-Squad Assignment'!$K:$K,0)),""),IF(F312="Trap",IFERROR(INDEX('Shooter-Squad Assignment'!$A:$A,MATCH(C312&amp;"-"&amp;E312&amp;"-"&amp;F312&amp;"-Pos3",'Shooter-Squad Assignment'!$W:$W,0)),""),IF(F312="Sporting Clays",IFERROR(INDEX('Shooter-Squad Assignment'!$A:$A,MATCH(C312&amp;"-"&amp;E312&amp;"-"&amp;F312&amp;"-Pos3",'Shooter-Squad Assignment'!$Z:$Z,0)),""),"")))</f>
        <v/>
      </c>
      <c r="L312" s="88" t="str">
        <f>IF(ISBLANK(K312),"",IFERROR(INDEX('Tournament List'!$D:$D,MATCH(K312,'Tournament List'!$A:$A,0)),""))</f>
        <v/>
      </c>
      <c r="M312" s="96" t="str">
        <f>IF(F312="Skeet",IFERROR(INDEX('Shooter-Squad Assignment'!$A:$A,MATCH(C312&amp;"-"&amp;E312&amp;"-"&amp;F312&amp;"-Pos4",'Shooter-Squad Assignment'!$K:$K,0)),""),IF(F312="Trap",IFERROR(INDEX('Shooter-Squad Assignment'!$A:$A,MATCH(C312&amp;"-"&amp;E312&amp;"-"&amp;F312&amp;"-Pos4",'Shooter-Squad Assignment'!$W:$W,0)),""),IF(F312="Sporting Clays",IFERROR(INDEX('Shooter-Squad Assignment'!$A:$A,MATCH(C312&amp;"-"&amp;E312&amp;"-"&amp;F312&amp;"-Pos4",'Shooter-Squad Assignment'!$Z:$Z,0)),""),"")))</f>
        <v/>
      </c>
      <c r="N312" s="88" t="str">
        <f>IF(ISBLANK(M312),"",IFERROR(INDEX('Tournament List'!$D:$D,MATCH(M312,'Tournament List'!$A:$A,0)),""))</f>
        <v/>
      </c>
      <c r="O312" s="96" t="str">
        <f>IF(F312="Skeet",IFERROR(INDEX('Shooter-Squad Assignment'!$A:$A,MATCH(C312&amp;"-"&amp;E312&amp;"-"&amp;F312&amp;"-Pos5",'Shooter-Squad Assignment'!$K:$K,0)),""),IF(F312="Trap",IFERROR(INDEX('Shooter-Squad Assignment'!$A:$A,MATCH(C312&amp;"-"&amp;E312&amp;"-"&amp;F312&amp;"-Pos5",'Shooter-Squad Assignment'!$W:$W,0)),""),IF(F312="Sporting Clays",IFERROR(INDEX('Shooter-Squad Assignment'!$A:$A,MATCH(C312&amp;"-"&amp;E312&amp;"-"&amp;F312&amp;"-Pos5",'Shooter-Squad Assignment'!$Z:$Z,0)),""),"")))</f>
        <v/>
      </c>
      <c r="P312" s="89" t="str">
        <f>IF(ISBLANK(O312),"",IFERROR(INDEX('Tournament List'!$D:$D,MATCH(O312,'Tournament List'!$A:$A,0)),""))</f>
        <v/>
      </c>
    </row>
    <row r="313" spans="1:16" x14ac:dyDescent="0.3">
      <c r="A313" s="87">
        <v>312</v>
      </c>
      <c r="B313" s="88" t="str">
        <f>C313&amp;"-"&amp;E313&amp;"-"&amp;F313</f>
        <v>Wiggins Tigers Sporting Club-Junior Varsity 2-Sporting Clays</v>
      </c>
      <c r="C313" s="88" t="s">
        <v>320</v>
      </c>
      <c r="D313" s="88" t="str">
        <f>INDEX('Tournament Setup'!$B$59:$B$78,MATCH(E313,SquadConcurrents,0))</f>
        <v>Junior Varsity</v>
      </c>
      <c r="E313" s="88" t="s">
        <v>345</v>
      </c>
      <c r="F313" s="88" t="s">
        <v>148</v>
      </c>
      <c r="G313" s="96" t="str">
        <f>IF(F313="Skeet",IFERROR(INDEX('Shooter-Squad Assignment'!$A:$A,MATCH(C313&amp;"-"&amp;E313&amp;"-"&amp;F313&amp;"-Pos1",'Shooter-Squad Assignment'!$K:$K,0)),""),IF(F313="Trap",IFERROR(INDEX('Shooter-Squad Assignment'!$A:$A,MATCH(C313&amp;"-"&amp;E313&amp;"-"&amp;F313&amp;"-Pos1",'Shooter-Squad Assignment'!$W:$W,0)),""),IF(F313="Sporting Clays",IFERROR(INDEX('Shooter-Squad Assignment'!$A:$A,MATCH(C313&amp;"-"&amp;E313&amp;"-"&amp;F313&amp;"-Pos1",'Shooter-Squad Assignment'!$Z:$Z,0)),""),"")))</f>
        <v/>
      </c>
      <c r="H313" s="88" t="str">
        <f>IF(ISBLANK(G313),"",IFERROR(INDEX('Tournament List'!$D:$D,MATCH(G313,'Tournament List'!$A:$A,0)),""))</f>
        <v/>
      </c>
      <c r="I313" s="96" t="str">
        <f>IF(F313="Skeet",IFERROR(INDEX('Shooter-Squad Assignment'!$A:$A,MATCH(C313&amp;"-"&amp;E313&amp;"-"&amp;F313&amp;"-Pos2",'Shooter-Squad Assignment'!$K:$K,0)),""),IF(F313="Trap",IFERROR(INDEX('Shooter-Squad Assignment'!$A:$A,MATCH(C313&amp;"-"&amp;E313&amp;"-"&amp;F313&amp;"-Pos2",'Shooter-Squad Assignment'!$W:$W,0)),""),IF(F313="Sporting Clays",IFERROR(INDEX('Shooter-Squad Assignment'!$A:$A,MATCH(C313&amp;"-"&amp;E313&amp;"-"&amp;F313&amp;"-Pos2",'Shooter-Squad Assignment'!$Z:$Z,0)),""),"")))</f>
        <v/>
      </c>
      <c r="J313" s="88" t="str">
        <f>IF(ISBLANK(I313),"",IFERROR(INDEX('Tournament List'!$D:$D,MATCH(I313,'Tournament List'!$A:$A,0)),""))</f>
        <v/>
      </c>
      <c r="K313" s="96" t="str">
        <f>IF(F313="Skeet",IFERROR(INDEX('Shooter-Squad Assignment'!$A:$A,MATCH(C313&amp;"-"&amp;E313&amp;"-"&amp;F313&amp;"-Pos3",'Shooter-Squad Assignment'!$K:$K,0)),""),IF(F313="Trap",IFERROR(INDEX('Shooter-Squad Assignment'!$A:$A,MATCH(C313&amp;"-"&amp;E313&amp;"-"&amp;F313&amp;"-Pos3",'Shooter-Squad Assignment'!$W:$W,0)),""),IF(F313="Sporting Clays",IFERROR(INDEX('Shooter-Squad Assignment'!$A:$A,MATCH(C313&amp;"-"&amp;E313&amp;"-"&amp;F313&amp;"-Pos3",'Shooter-Squad Assignment'!$Z:$Z,0)),""),"")))</f>
        <v/>
      </c>
      <c r="L313" s="88" t="str">
        <f>IF(ISBLANK(K313),"",IFERROR(INDEX('Tournament List'!$D:$D,MATCH(K313,'Tournament List'!$A:$A,0)),""))</f>
        <v/>
      </c>
      <c r="M313" s="96" t="str">
        <f>IF(F313="Skeet",IFERROR(INDEX('Shooter-Squad Assignment'!$A:$A,MATCH(C313&amp;"-"&amp;E313&amp;"-"&amp;F313&amp;"-Pos4",'Shooter-Squad Assignment'!$K:$K,0)),""),IF(F313="Trap",IFERROR(INDEX('Shooter-Squad Assignment'!$A:$A,MATCH(C313&amp;"-"&amp;E313&amp;"-"&amp;F313&amp;"-Pos4",'Shooter-Squad Assignment'!$W:$W,0)),""),IF(F313="Sporting Clays",IFERROR(INDEX('Shooter-Squad Assignment'!$A:$A,MATCH(C313&amp;"-"&amp;E313&amp;"-"&amp;F313&amp;"-Pos4",'Shooter-Squad Assignment'!$Z:$Z,0)),""),"")))</f>
        <v/>
      </c>
      <c r="N313" s="88" t="str">
        <f>IF(ISBLANK(M313),"",IFERROR(INDEX('Tournament List'!$D:$D,MATCH(M313,'Tournament List'!$A:$A,0)),""))</f>
        <v/>
      </c>
      <c r="O313" s="96" t="str">
        <f>IF(F313="Skeet",IFERROR(INDEX('Shooter-Squad Assignment'!$A:$A,MATCH(C313&amp;"-"&amp;E313&amp;"-"&amp;F313&amp;"-Pos5",'Shooter-Squad Assignment'!$K:$K,0)),""),IF(F313="Trap",IFERROR(INDEX('Shooter-Squad Assignment'!$A:$A,MATCH(C313&amp;"-"&amp;E313&amp;"-"&amp;F313&amp;"-Pos5",'Shooter-Squad Assignment'!$W:$W,0)),""),IF(F313="Sporting Clays",IFERROR(INDEX('Shooter-Squad Assignment'!$A:$A,MATCH(C313&amp;"-"&amp;E313&amp;"-"&amp;F313&amp;"-Pos5",'Shooter-Squad Assignment'!$Z:$Z,0)),""),"")))</f>
        <v/>
      </c>
      <c r="P313" s="89" t="str">
        <f>IF(ISBLANK(O313),"",IFERROR(INDEX('Tournament List'!$D:$D,MATCH(O313,'Tournament List'!$A:$A,0)),""))</f>
        <v/>
      </c>
    </row>
    <row r="314" spans="1:16" x14ac:dyDescent="0.3">
      <c r="A314" s="87">
        <v>313</v>
      </c>
      <c r="B314" s="88" t="str">
        <f>C314&amp;"-"&amp;E314&amp;"-"&amp;F314</f>
        <v>Wiggins Tigers Sporting Club-Junior Varsity 3-Sporting Clays</v>
      </c>
      <c r="C314" s="88" t="s">
        <v>320</v>
      </c>
      <c r="D314" s="88" t="str">
        <f>INDEX('Tournament Setup'!$B$59:$B$78,MATCH(E314,SquadConcurrents,0))</f>
        <v>Junior Varsity</v>
      </c>
      <c r="E314" s="88" t="s">
        <v>351</v>
      </c>
      <c r="F314" s="88" t="s">
        <v>148</v>
      </c>
      <c r="G314" s="96" t="str">
        <f>IF(F314="Skeet",IFERROR(INDEX('Shooter-Squad Assignment'!$A:$A,MATCH(C314&amp;"-"&amp;E314&amp;"-"&amp;F314&amp;"-Pos1",'Shooter-Squad Assignment'!$K:$K,0)),""),IF(F314="Trap",IFERROR(INDEX('Shooter-Squad Assignment'!$A:$A,MATCH(C314&amp;"-"&amp;E314&amp;"-"&amp;F314&amp;"-Pos1",'Shooter-Squad Assignment'!$W:$W,0)),""),IF(F314="Sporting Clays",IFERROR(INDEX('Shooter-Squad Assignment'!$A:$A,MATCH(C314&amp;"-"&amp;E314&amp;"-"&amp;F314&amp;"-Pos1",'Shooter-Squad Assignment'!$Z:$Z,0)),""),"")))</f>
        <v/>
      </c>
      <c r="H314" s="88" t="str">
        <f>IF(ISBLANK(G314),"",IFERROR(INDEX('Tournament List'!$D:$D,MATCH(G314,'Tournament List'!$A:$A,0)),""))</f>
        <v/>
      </c>
      <c r="I314" s="96" t="str">
        <f>IF(F314="Skeet",IFERROR(INDEX('Shooter-Squad Assignment'!$A:$A,MATCH(C314&amp;"-"&amp;E314&amp;"-"&amp;F314&amp;"-Pos2",'Shooter-Squad Assignment'!$K:$K,0)),""),IF(F314="Trap",IFERROR(INDEX('Shooter-Squad Assignment'!$A:$A,MATCH(C314&amp;"-"&amp;E314&amp;"-"&amp;F314&amp;"-Pos2",'Shooter-Squad Assignment'!$W:$W,0)),""),IF(F314="Sporting Clays",IFERROR(INDEX('Shooter-Squad Assignment'!$A:$A,MATCH(C314&amp;"-"&amp;E314&amp;"-"&amp;F314&amp;"-Pos2",'Shooter-Squad Assignment'!$Z:$Z,0)),""),"")))</f>
        <v/>
      </c>
      <c r="J314" s="88" t="str">
        <f>IF(ISBLANK(I314),"",IFERROR(INDEX('Tournament List'!$D:$D,MATCH(I314,'Tournament List'!$A:$A,0)),""))</f>
        <v/>
      </c>
      <c r="K314" s="96" t="str">
        <f>IF(F314="Skeet",IFERROR(INDEX('Shooter-Squad Assignment'!$A:$A,MATCH(C314&amp;"-"&amp;E314&amp;"-"&amp;F314&amp;"-Pos3",'Shooter-Squad Assignment'!$K:$K,0)),""),IF(F314="Trap",IFERROR(INDEX('Shooter-Squad Assignment'!$A:$A,MATCH(C314&amp;"-"&amp;E314&amp;"-"&amp;F314&amp;"-Pos3",'Shooter-Squad Assignment'!$W:$W,0)),""),IF(F314="Sporting Clays",IFERROR(INDEX('Shooter-Squad Assignment'!$A:$A,MATCH(C314&amp;"-"&amp;E314&amp;"-"&amp;F314&amp;"-Pos3",'Shooter-Squad Assignment'!$Z:$Z,0)),""),"")))</f>
        <v/>
      </c>
      <c r="L314" s="88" t="str">
        <f>IF(ISBLANK(K314),"",IFERROR(INDEX('Tournament List'!$D:$D,MATCH(K314,'Tournament List'!$A:$A,0)),""))</f>
        <v/>
      </c>
      <c r="M314" s="96" t="str">
        <f>IF(F314="Skeet",IFERROR(INDEX('Shooter-Squad Assignment'!$A:$A,MATCH(C314&amp;"-"&amp;E314&amp;"-"&amp;F314&amp;"-Pos4",'Shooter-Squad Assignment'!$K:$K,0)),""),IF(F314="Trap",IFERROR(INDEX('Shooter-Squad Assignment'!$A:$A,MATCH(C314&amp;"-"&amp;E314&amp;"-"&amp;F314&amp;"-Pos4",'Shooter-Squad Assignment'!$W:$W,0)),""),IF(F314="Sporting Clays",IFERROR(INDEX('Shooter-Squad Assignment'!$A:$A,MATCH(C314&amp;"-"&amp;E314&amp;"-"&amp;F314&amp;"-Pos4",'Shooter-Squad Assignment'!$Z:$Z,0)),""),"")))</f>
        <v/>
      </c>
      <c r="N314" s="88" t="str">
        <f>IF(ISBLANK(M314),"",IFERROR(INDEX('Tournament List'!$D:$D,MATCH(M314,'Tournament List'!$A:$A,0)),""))</f>
        <v/>
      </c>
      <c r="O314" s="96" t="str">
        <f>IF(F314="Skeet",IFERROR(INDEX('Shooter-Squad Assignment'!$A:$A,MATCH(C314&amp;"-"&amp;E314&amp;"-"&amp;F314&amp;"-Pos5",'Shooter-Squad Assignment'!$K:$K,0)),""),IF(F314="Trap",IFERROR(INDEX('Shooter-Squad Assignment'!$A:$A,MATCH(C314&amp;"-"&amp;E314&amp;"-"&amp;F314&amp;"-Pos5",'Shooter-Squad Assignment'!$W:$W,0)),""),IF(F314="Sporting Clays",IFERROR(INDEX('Shooter-Squad Assignment'!$A:$A,MATCH(C314&amp;"-"&amp;E314&amp;"-"&amp;F314&amp;"-Pos5",'Shooter-Squad Assignment'!$Z:$Z,0)),""),"")))</f>
        <v/>
      </c>
      <c r="P314" s="89" t="str">
        <f>IF(ISBLANK(O314),"",IFERROR(INDEX('Tournament List'!$D:$D,MATCH(O314,'Tournament List'!$A:$A,0)),""))</f>
        <v/>
      </c>
    </row>
    <row r="315" spans="1:16" x14ac:dyDescent="0.3">
      <c r="A315" s="87">
        <v>314</v>
      </c>
      <c r="B315" s="88" t="str">
        <f>C315&amp;"-"&amp;E315&amp;"-"&amp;F315</f>
        <v>Wiggins Tigers Sporting Club-Novice 1-Sporting Clays</v>
      </c>
      <c r="C315" s="88" t="s">
        <v>320</v>
      </c>
      <c r="D315" s="88" t="str">
        <f>INDEX('Tournament Setup'!$B$59:$B$78,MATCH(E315,SquadConcurrents,0))</f>
        <v>Novice</v>
      </c>
      <c r="E315" s="88" t="s">
        <v>337</v>
      </c>
      <c r="F315" s="88" t="s">
        <v>148</v>
      </c>
      <c r="G315" s="96" t="str">
        <f>IF(F315="Skeet",IFERROR(INDEX('Shooter-Squad Assignment'!$A:$A,MATCH(C315&amp;"-"&amp;E315&amp;"-"&amp;F315&amp;"-Pos1",'Shooter-Squad Assignment'!$K:$K,0)),""),IF(F315="Trap",IFERROR(INDEX('Shooter-Squad Assignment'!$A:$A,MATCH(C315&amp;"-"&amp;E315&amp;"-"&amp;F315&amp;"-Pos1",'Shooter-Squad Assignment'!$W:$W,0)),""),IF(F315="Sporting Clays",IFERROR(INDEX('Shooter-Squad Assignment'!$A:$A,MATCH(C315&amp;"-"&amp;E315&amp;"-"&amp;F315&amp;"-Pos1",'Shooter-Squad Assignment'!$Z:$Z,0)),""),"")))</f>
        <v/>
      </c>
      <c r="H315" s="88" t="str">
        <f>IF(ISBLANK(G315),"",IFERROR(INDEX('Tournament List'!$D:$D,MATCH(G315,'Tournament List'!$A:$A,0)),""))</f>
        <v/>
      </c>
      <c r="I315" s="96" t="str">
        <f>IF(F315="Skeet",IFERROR(INDEX('Shooter-Squad Assignment'!$A:$A,MATCH(C315&amp;"-"&amp;E315&amp;"-"&amp;F315&amp;"-Pos2",'Shooter-Squad Assignment'!$K:$K,0)),""),IF(F315="Trap",IFERROR(INDEX('Shooter-Squad Assignment'!$A:$A,MATCH(C315&amp;"-"&amp;E315&amp;"-"&amp;F315&amp;"-Pos2",'Shooter-Squad Assignment'!$W:$W,0)),""),IF(F315="Sporting Clays",IFERROR(INDEX('Shooter-Squad Assignment'!$A:$A,MATCH(C315&amp;"-"&amp;E315&amp;"-"&amp;F315&amp;"-Pos2",'Shooter-Squad Assignment'!$Z:$Z,0)),""),"")))</f>
        <v/>
      </c>
      <c r="J315" s="88" t="str">
        <f>IF(ISBLANK(I315),"",IFERROR(INDEX('Tournament List'!$D:$D,MATCH(I315,'Tournament List'!$A:$A,0)),""))</f>
        <v/>
      </c>
      <c r="K315" s="96" t="str">
        <f>IF(F315="Skeet",IFERROR(INDEX('Shooter-Squad Assignment'!$A:$A,MATCH(C315&amp;"-"&amp;E315&amp;"-"&amp;F315&amp;"-Pos3",'Shooter-Squad Assignment'!$K:$K,0)),""),IF(F315="Trap",IFERROR(INDEX('Shooter-Squad Assignment'!$A:$A,MATCH(C315&amp;"-"&amp;E315&amp;"-"&amp;F315&amp;"-Pos3",'Shooter-Squad Assignment'!$W:$W,0)),""),IF(F315="Sporting Clays",IFERROR(INDEX('Shooter-Squad Assignment'!$A:$A,MATCH(C315&amp;"-"&amp;E315&amp;"-"&amp;F315&amp;"-Pos3",'Shooter-Squad Assignment'!$Z:$Z,0)),""),"")))</f>
        <v/>
      </c>
      <c r="L315" s="88" t="str">
        <f>IF(ISBLANK(K315),"",IFERROR(INDEX('Tournament List'!$D:$D,MATCH(K315,'Tournament List'!$A:$A,0)),""))</f>
        <v/>
      </c>
      <c r="M315" s="96" t="str">
        <f>IF(F315="Skeet",IFERROR(INDEX('Shooter-Squad Assignment'!$A:$A,MATCH(C315&amp;"-"&amp;E315&amp;"-"&amp;F315&amp;"-Pos4",'Shooter-Squad Assignment'!$K:$K,0)),""),IF(F315="Trap",IFERROR(INDEX('Shooter-Squad Assignment'!$A:$A,MATCH(C315&amp;"-"&amp;E315&amp;"-"&amp;F315&amp;"-Pos4",'Shooter-Squad Assignment'!$W:$W,0)),""),IF(F315="Sporting Clays",IFERROR(INDEX('Shooter-Squad Assignment'!$A:$A,MATCH(C315&amp;"-"&amp;E315&amp;"-"&amp;F315&amp;"-Pos4",'Shooter-Squad Assignment'!$Z:$Z,0)),""),"")))</f>
        <v/>
      </c>
      <c r="N315" s="88" t="str">
        <f>IF(ISBLANK(M315),"",IFERROR(INDEX('Tournament List'!$D:$D,MATCH(M315,'Tournament List'!$A:$A,0)),""))</f>
        <v/>
      </c>
      <c r="O315" s="96" t="str">
        <f>IF(F315="Skeet",IFERROR(INDEX('Shooter-Squad Assignment'!$A:$A,MATCH(C315&amp;"-"&amp;E315&amp;"-"&amp;F315&amp;"-Pos5",'Shooter-Squad Assignment'!$K:$K,0)),""),IF(F315="Trap",IFERROR(INDEX('Shooter-Squad Assignment'!$A:$A,MATCH(C315&amp;"-"&amp;E315&amp;"-"&amp;F315&amp;"-Pos5",'Shooter-Squad Assignment'!$W:$W,0)),""),IF(F315="Sporting Clays",IFERROR(INDEX('Shooter-Squad Assignment'!$A:$A,MATCH(C315&amp;"-"&amp;E315&amp;"-"&amp;F315&amp;"-Pos5",'Shooter-Squad Assignment'!$Z:$Z,0)),""),"")))</f>
        <v/>
      </c>
      <c r="P315" s="89" t="str">
        <f>IF(ISBLANK(O315),"",IFERROR(INDEX('Tournament List'!$D:$D,MATCH(O315,'Tournament List'!$A:$A,0)),""))</f>
        <v/>
      </c>
    </row>
    <row r="316" spans="1:16" x14ac:dyDescent="0.3">
      <c r="A316" s="87">
        <v>315</v>
      </c>
      <c r="B316" s="88" t="str">
        <f>C316&amp;"-"&amp;E316&amp;"-"&amp;F316</f>
        <v>Wiggins Tigers Sporting Club-Novice 2-Sporting Clays</v>
      </c>
      <c r="C316" s="88" t="s">
        <v>320</v>
      </c>
      <c r="D316" s="88" t="str">
        <f>INDEX('Tournament Setup'!$B$59:$B$78,MATCH(E316,SquadConcurrents,0))</f>
        <v>Novice</v>
      </c>
      <c r="E316" s="88" t="s">
        <v>343</v>
      </c>
      <c r="F316" s="88" t="s">
        <v>148</v>
      </c>
      <c r="G316" s="96" t="str">
        <f>IF(F316="Skeet",IFERROR(INDEX('Shooter-Squad Assignment'!$A:$A,MATCH(C316&amp;"-"&amp;E316&amp;"-"&amp;F316&amp;"-Pos1",'Shooter-Squad Assignment'!$K:$K,0)),""),IF(F316="Trap",IFERROR(INDEX('Shooter-Squad Assignment'!$A:$A,MATCH(C316&amp;"-"&amp;E316&amp;"-"&amp;F316&amp;"-Pos1",'Shooter-Squad Assignment'!$W:$W,0)),""),IF(F316="Sporting Clays",IFERROR(INDEX('Shooter-Squad Assignment'!$A:$A,MATCH(C316&amp;"-"&amp;E316&amp;"-"&amp;F316&amp;"-Pos1",'Shooter-Squad Assignment'!$Z:$Z,0)),""),"")))</f>
        <v/>
      </c>
      <c r="H316" s="88" t="str">
        <f>IF(ISBLANK(G316),"",IFERROR(INDEX('Tournament List'!$D:$D,MATCH(G316,'Tournament List'!$A:$A,0)),""))</f>
        <v/>
      </c>
      <c r="I316" s="96" t="str">
        <f>IF(F316="Skeet",IFERROR(INDEX('Shooter-Squad Assignment'!$A:$A,MATCH(C316&amp;"-"&amp;E316&amp;"-"&amp;F316&amp;"-Pos2",'Shooter-Squad Assignment'!$K:$K,0)),""),IF(F316="Trap",IFERROR(INDEX('Shooter-Squad Assignment'!$A:$A,MATCH(C316&amp;"-"&amp;E316&amp;"-"&amp;F316&amp;"-Pos2",'Shooter-Squad Assignment'!$W:$W,0)),""),IF(F316="Sporting Clays",IFERROR(INDEX('Shooter-Squad Assignment'!$A:$A,MATCH(C316&amp;"-"&amp;E316&amp;"-"&amp;F316&amp;"-Pos2",'Shooter-Squad Assignment'!$Z:$Z,0)),""),"")))</f>
        <v/>
      </c>
      <c r="J316" s="88" t="str">
        <f>IF(ISBLANK(I316),"",IFERROR(INDEX('Tournament List'!$D:$D,MATCH(I316,'Tournament List'!$A:$A,0)),""))</f>
        <v/>
      </c>
      <c r="K316" s="96" t="str">
        <f>IF(F316="Skeet",IFERROR(INDEX('Shooter-Squad Assignment'!$A:$A,MATCH(C316&amp;"-"&amp;E316&amp;"-"&amp;F316&amp;"-Pos3",'Shooter-Squad Assignment'!$K:$K,0)),""),IF(F316="Trap",IFERROR(INDEX('Shooter-Squad Assignment'!$A:$A,MATCH(C316&amp;"-"&amp;E316&amp;"-"&amp;F316&amp;"-Pos3",'Shooter-Squad Assignment'!$W:$W,0)),""),IF(F316="Sporting Clays",IFERROR(INDEX('Shooter-Squad Assignment'!$A:$A,MATCH(C316&amp;"-"&amp;E316&amp;"-"&amp;F316&amp;"-Pos3",'Shooter-Squad Assignment'!$Z:$Z,0)),""),"")))</f>
        <v/>
      </c>
      <c r="L316" s="88" t="str">
        <f>IF(ISBLANK(K316),"",IFERROR(INDEX('Tournament List'!$D:$D,MATCH(K316,'Tournament List'!$A:$A,0)),""))</f>
        <v/>
      </c>
      <c r="M316" s="96" t="str">
        <f>IF(F316="Skeet",IFERROR(INDEX('Shooter-Squad Assignment'!$A:$A,MATCH(C316&amp;"-"&amp;E316&amp;"-"&amp;F316&amp;"-Pos4",'Shooter-Squad Assignment'!$K:$K,0)),""),IF(F316="Trap",IFERROR(INDEX('Shooter-Squad Assignment'!$A:$A,MATCH(C316&amp;"-"&amp;E316&amp;"-"&amp;F316&amp;"-Pos4",'Shooter-Squad Assignment'!$W:$W,0)),""),IF(F316="Sporting Clays",IFERROR(INDEX('Shooter-Squad Assignment'!$A:$A,MATCH(C316&amp;"-"&amp;E316&amp;"-"&amp;F316&amp;"-Pos4",'Shooter-Squad Assignment'!$Z:$Z,0)),""),"")))</f>
        <v/>
      </c>
      <c r="N316" s="88" t="str">
        <f>IF(ISBLANK(M316),"",IFERROR(INDEX('Tournament List'!$D:$D,MATCH(M316,'Tournament List'!$A:$A,0)),""))</f>
        <v/>
      </c>
      <c r="O316" s="96" t="str">
        <f>IF(F316="Skeet",IFERROR(INDEX('Shooter-Squad Assignment'!$A:$A,MATCH(C316&amp;"-"&amp;E316&amp;"-"&amp;F316&amp;"-Pos5",'Shooter-Squad Assignment'!$K:$K,0)),""),IF(F316="Trap",IFERROR(INDEX('Shooter-Squad Assignment'!$A:$A,MATCH(C316&amp;"-"&amp;E316&amp;"-"&amp;F316&amp;"-Pos5",'Shooter-Squad Assignment'!$W:$W,0)),""),IF(F316="Sporting Clays",IFERROR(INDEX('Shooter-Squad Assignment'!$A:$A,MATCH(C316&amp;"-"&amp;E316&amp;"-"&amp;F316&amp;"-Pos5",'Shooter-Squad Assignment'!$Z:$Z,0)),""),"")))</f>
        <v/>
      </c>
      <c r="P316" s="89" t="str">
        <f>IF(ISBLANK(O316),"",IFERROR(INDEX('Tournament List'!$D:$D,MATCH(O316,'Tournament List'!$A:$A,0)),""))</f>
        <v/>
      </c>
    </row>
    <row r="317" spans="1:16" x14ac:dyDescent="0.3">
      <c r="A317" s="87">
        <v>316</v>
      </c>
      <c r="B317" s="88" t="str">
        <f>C317&amp;"-"&amp;E317&amp;"-"&amp;F317</f>
        <v>Wiggins Tigers Sporting Club-Novice 3-Sporting Clays</v>
      </c>
      <c r="C317" s="88" t="s">
        <v>320</v>
      </c>
      <c r="D317" s="88" t="str">
        <f>INDEX('Tournament Setup'!$B$59:$B$78,MATCH(E317,SquadConcurrents,0))</f>
        <v>Novice</v>
      </c>
      <c r="E317" s="88" t="s">
        <v>349</v>
      </c>
      <c r="F317" s="88" t="s">
        <v>148</v>
      </c>
      <c r="G317" s="96" t="str">
        <f>IF(F317="Skeet",IFERROR(INDEX('Shooter-Squad Assignment'!$A:$A,MATCH(C317&amp;"-"&amp;E317&amp;"-"&amp;F317&amp;"-Pos1",'Shooter-Squad Assignment'!$K:$K,0)),""),IF(F317="Trap",IFERROR(INDEX('Shooter-Squad Assignment'!$A:$A,MATCH(C317&amp;"-"&amp;E317&amp;"-"&amp;F317&amp;"-Pos1",'Shooter-Squad Assignment'!$W:$W,0)),""),IF(F317="Sporting Clays",IFERROR(INDEX('Shooter-Squad Assignment'!$A:$A,MATCH(C317&amp;"-"&amp;E317&amp;"-"&amp;F317&amp;"-Pos1",'Shooter-Squad Assignment'!$Z:$Z,0)),""),"")))</f>
        <v/>
      </c>
      <c r="H317" s="88" t="str">
        <f>IF(ISBLANK(G317),"",IFERROR(INDEX('Tournament List'!$D:$D,MATCH(G317,'Tournament List'!$A:$A,0)),""))</f>
        <v/>
      </c>
      <c r="I317" s="96" t="str">
        <f>IF(F317="Skeet",IFERROR(INDEX('Shooter-Squad Assignment'!$A:$A,MATCH(C317&amp;"-"&amp;E317&amp;"-"&amp;F317&amp;"-Pos2",'Shooter-Squad Assignment'!$K:$K,0)),""),IF(F317="Trap",IFERROR(INDEX('Shooter-Squad Assignment'!$A:$A,MATCH(C317&amp;"-"&amp;E317&amp;"-"&amp;F317&amp;"-Pos2",'Shooter-Squad Assignment'!$W:$W,0)),""),IF(F317="Sporting Clays",IFERROR(INDEX('Shooter-Squad Assignment'!$A:$A,MATCH(C317&amp;"-"&amp;E317&amp;"-"&amp;F317&amp;"-Pos2",'Shooter-Squad Assignment'!$Z:$Z,0)),""),"")))</f>
        <v/>
      </c>
      <c r="J317" s="88" t="str">
        <f>IF(ISBLANK(I317),"",IFERROR(INDEX('Tournament List'!$D:$D,MATCH(I317,'Tournament List'!$A:$A,0)),""))</f>
        <v/>
      </c>
      <c r="K317" s="96" t="str">
        <f>IF(F317="Skeet",IFERROR(INDEX('Shooter-Squad Assignment'!$A:$A,MATCH(C317&amp;"-"&amp;E317&amp;"-"&amp;F317&amp;"-Pos3",'Shooter-Squad Assignment'!$K:$K,0)),""),IF(F317="Trap",IFERROR(INDEX('Shooter-Squad Assignment'!$A:$A,MATCH(C317&amp;"-"&amp;E317&amp;"-"&amp;F317&amp;"-Pos3",'Shooter-Squad Assignment'!$W:$W,0)),""),IF(F317="Sporting Clays",IFERROR(INDEX('Shooter-Squad Assignment'!$A:$A,MATCH(C317&amp;"-"&amp;E317&amp;"-"&amp;F317&amp;"-Pos3",'Shooter-Squad Assignment'!$Z:$Z,0)),""),"")))</f>
        <v/>
      </c>
      <c r="L317" s="88" t="str">
        <f>IF(ISBLANK(K317),"",IFERROR(INDEX('Tournament List'!$D:$D,MATCH(K317,'Tournament List'!$A:$A,0)),""))</f>
        <v/>
      </c>
      <c r="M317" s="96" t="str">
        <f>IF(F317="Skeet",IFERROR(INDEX('Shooter-Squad Assignment'!$A:$A,MATCH(C317&amp;"-"&amp;E317&amp;"-"&amp;F317&amp;"-Pos4",'Shooter-Squad Assignment'!$K:$K,0)),""),IF(F317="Trap",IFERROR(INDEX('Shooter-Squad Assignment'!$A:$A,MATCH(C317&amp;"-"&amp;E317&amp;"-"&amp;F317&amp;"-Pos4",'Shooter-Squad Assignment'!$W:$W,0)),""),IF(F317="Sporting Clays",IFERROR(INDEX('Shooter-Squad Assignment'!$A:$A,MATCH(C317&amp;"-"&amp;E317&amp;"-"&amp;F317&amp;"-Pos4",'Shooter-Squad Assignment'!$Z:$Z,0)),""),"")))</f>
        <v/>
      </c>
      <c r="N317" s="88" t="str">
        <f>IF(ISBLANK(M317),"",IFERROR(INDEX('Tournament List'!$D:$D,MATCH(M317,'Tournament List'!$A:$A,0)),""))</f>
        <v/>
      </c>
      <c r="O317" s="96" t="str">
        <f>IF(F317="Skeet",IFERROR(INDEX('Shooter-Squad Assignment'!$A:$A,MATCH(C317&amp;"-"&amp;E317&amp;"-"&amp;F317&amp;"-Pos5",'Shooter-Squad Assignment'!$K:$K,0)),""),IF(F317="Trap",IFERROR(INDEX('Shooter-Squad Assignment'!$A:$A,MATCH(C317&amp;"-"&amp;E317&amp;"-"&amp;F317&amp;"-Pos5",'Shooter-Squad Assignment'!$W:$W,0)),""),IF(F317="Sporting Clays",IFERROR(INDEX('Shooter-Squad Assignment'!$A:$A,MATCH(C317&amp;"-"&amp;E317&amp;"-"&amp;F317&amp;"-Pos5",'Shooter-Squad Assignment'!$Z:$Z,0)),""),"")))</f>
        <v/>
      </c>
      <c r="P317" s="89" t="str">
        <f>IF(ISBLANK(O317),"",IFERROR(INDEX('Tournament List'!$D:$D,MATCH(O317,'Tournament List'!$A:$A,0)),""))</f>
        <v/>
      </c>
    </row>
    <row r="318" spans="1:16" x14ac:dyDescent="0.3">
      <c r="A318" s="87">
        <v>317</v>
      </c>
      <c r="B318" s="88" t="str">
        <f>C318&amp;"-"&amp;E318&amp;"-"&amp;F318</f>
        <v>Wiggins Tigers Sporting Club-Open 1-Sporting Clays</v>
      </c>
      <c r="C318" s="88" t="s">
        <v>320</v>
      </c>
      <c r="D318" s="88" t="str">
        <f>INDEX('Tournament Setup'!$B$59:$B$78,MATCH(E318,SquadConcurrents,0))</f>
        <v>Open</v>
      </c>
      <c r="E318" s="88" t="s">
        <v>341</v>
      </c>
      <c r="F318" s="88" t="s">
        <v>148</v>
      </c>
      <c r="G318" s="96" t="str">
        <f>IF(F318="Skeet",IFERROR(INDEX('Shooter-Squad Assignment'!$A:$A,MATCH(C318&amp;"-"&amp;E318&amp;"-"&amp;F318&amp;"-Pos1",'Shooter-Squad Assignment'!$K:$K,0)),""),IF(F318="Trap",IFERROR(INDEX('Shooter-Squad Assignment'!$A:$A,MATCH(C318&amp;"-"&amp;E318&amp;"-"&amp;F318&amp;"-Pos1",'Shooter-Squad Assignment'!$W:$W,0)),""),IF(F318="Sporting Clays",IFERROR(INDEX('Shooter-Squad Assignment'!$A:$A,MATCH(C318&amp;"-"&amp;E318&amp;"-"&amp;F318&amp;"-Pos1",'Shooter-Squad Assignment'!$Z:$Z,0)),""),"")))</f>
        <v/>
      </c>
      <c r="H318" s="88" t="str">
        <f>IF(ISBLANK(G318),"",IFERROR(INDEX('Tournament List'!$D:$D,MATCH(G318,'Tournament List'!$A:$A,0)),""))</f>
        <v/>
      </c>
      <c r="I318" s="96" t="str">
        <f>IF(F318="Skeet",IFERROR(INDEX('Shooter-Squad Assignment'!$A:$A,MATCH(C318&amp;"-"&amp;E318&amp;"-"&amp;F318&amp;"-Pos2",'Shooter-Squad Assignment'!$K:$K,0)),""),IF(F318="Trap",IFERROR(INDEX('Shooter-Squad Assignment'!$A:$A,MATCH(C318&amp;"-"&amp;E318&amp;"-"&amp;F318&amp;"-Pos2",'Shooter-Squad Assignment'!$W:$W,0)),""),IF(F318="Sporting Clays",IFERROR(INDEX('Shooter-Squad Assignment'!$A:$A,MATCH(C318&amp;"-"&amp;E318&amp;"-"&amp;F318&amp;"-Pos2",'Shooter-Squad Assignment'!$Z:$Z,0)),""),"")))</f>
        <v/>
      </c>
      <c r="J318" s="88" t="str">
        <f>IF(ISBLANK(I318),"",IFERROR(INDEX('Tournament List'!$D:$D,MATCH(I318,'Tournament List'!$A:$A,0)),""))</f>
        <v/>
      </c>
      <c r="K318" s="96" t="str">
        <f>IF(F318="Skeet",IFERROR(INDEX('Shooter-Squad Assignment'!$A:$A,MATCH(C318&amp;"-"&amp;E318&amp;"-"&amp;F318&amp;"-Pos3",'Shooter-Squad Assignment'!$K:$K,0)),""),IF(F318="Trap",IFERROR(INDEX('Shooter-Squad Assignment'!$A:$A,MATCH(C318&amp;"-"&amp;E318&amp;"-"&amp;F318&amp;"-Pos3",'Shooter-Squad Assignment'!$W:$W,0)),""),IF(F318="Sporting Clays",IFERROR(INDEX('Shooter-Squad Assignment'!$A:$A,MATCH(C318&amp;"-"&amp;E318&amp;"-"&amp;F318&amp;"-Pos3",'Shooter-Squad Assignment'!$Z:$Z,0)),""),"")))</f>
        <v/>
      </c>
      <c r="L318" s="88" t="str">
        <f>IF(ISBLANK(K318),"",IFERROR(INDEX('Tournament List'!$D:$D,MATCH(K318,'Tournament List'!$A:$A,0)),""))</f>
        <v/>
      </c>
      <c r="M318" s="96" t="str">
        <f>IF(F318="Skeet",IFERROR(INDEX('Shooter-Squad Assignment'!$A:$A,MATCH(C318&amp;"-"&amp;E318&amp;"-"&amp;F318&amp;"-Pos4",'Shooter-Squad Assignment'!$K:$K,0)),""),IF(F318="Trap",IFERROR(INDEX('Shooter-Squad Assignment'!$A:$A,MATCH(C318&amp;"-"&amp;E318&amp;"-"&amp;F318&amp;"-Pos4",'Shooter-Squad Assignment'!$W:$W,0)),""),IF(F318="Sporting Clays",IFERROR(INDEX('Shooter-Squad Assignment'!$A:$A,MATCH(C318&amp;"-"&amp;E318&amp;"-"&amp;F318&amp;"-Pos4",'Shooter-Squad Assignment'!$Z:$Z,0)),""),"")))</f>
        <v/>
      </c>
      <c r="N318" s="88" t="str">
        <f>IF(ISBLANK(M318),"",IFERROR(INDEX('Tournament List'!$D:$D,MATCH(M318,'Tournament List'!$A:$A,0)),""))</f>
        <v/>
      </c>
      <c r="O318" s="96" t="str">
        <f>IF(F318="Skeet",IFERROR(INDEX('Shooter-Squad Assignment'!$A:$A,MATCH(C318&amp;"-"&amp;E318&amp;"-"&amp;F318&amp;"-Pos5",'Shooter-Squad Assignment'!$K:$K,0)),""),IF(F318="Trap",IFERROR(INDEX('Shooter-Squad Assignment'!$A:$A,MATCH(C318&amp;"-"&amp;E318&amp;"-"&amp;F318&amp;"-Pos5",'Shooter-Squad Assignment'!$W:$W,0)),""),IF(F318="Sporting Clays",IFERROR(INDEX('Shooter-Squad Assignment'!$A:$A,MATCH(C318&amp;"-"&amp;E318&amp;"-"&amp;F318&amp;"-Pos5",'Shooter-Squad Assignment'!$Z:$Z,0)),""),"")))</f>
        <v/>
      </c>
      <c r="P318" s="89" t="str">
        <f>IF(ISBLANK(O318),"",IFERROR(INDEX('Tournament List'!$D:$D,MATCH(O318,'Tournament List'!$A:$A,0)),""))</f>
        <v/>
      </c>
    </row>
    <row r="319" spans="1:16" x14ac:dyDescent="0.3">
      <c r="A319" s="87">
        <v>318</v>
      </c>
      <c r="B319" s="88" t="str">
        <f>C319&amp;"-"&amp;E319&amp;"-"&amp;F319</f>
        <v>Wiggins Tigers Sporting Club-Open 2-Sporting Clays</v>
      </c>
      <c r="C319" s="88" t="s">
        <v>320</v>
      </c>
      <c r="D319" s="88" t="str">
        <f>INDEX('Tournament Setup'!$B$59:$B$78,MATCH(E319,SquadConcurrents,0))</f>
        <v>Open</v>
      </c>
      <c r="E319" s="88" t="s">
        <v>347</v>
      </c>
      <c r="F319" s="88" t="s">
        <v>148</v>
      </c>
      <c r="G319" s="96" t="str">
        <f>IF(F319="Skeet",IFERROR(INDEX('Shooter-Squad Assignment'!$A:$A,MATCH(C319&amp;"-"&amp;E319&amp;"-"&amp;F319&amp;"-Pos1",'Shooter-Squad Assignment'!$K:$K,0)),""),IF(F319="Trap",IFERROR(INDEX('Shooter-Squad Assignment'!$A:$A,MATCH(C319&amp;"-"&amp;E319&amp;"-"&amp;F319&amp;"-Pos1",'Shooter-Squad Assignment'!$W:$W,0)),""),IF(F319="Sporting Clays",IFERROR(INDEX('Shooter-Squad Assignment'!$A:$A,MATCH(C319&amp;"-"&amp;E319&amp;"-"&amp;F319&amp;"-Pos1",'Shooter-Squad Assignment'!$Z:$Z,0)),""),"")))</f>
        <v/>
      </c>
      <c r="H319" s="88" t="str">
        <f>IF(ISBLANK(G319),"",IFERROR(INDEX('Tournament List'!$D:$D,MATCH(G319,'Tournament List'!$A:$A,0)),""))</f>
        <v/>
      </c>
      <c r="I319" s="96" t="str">
        <f>IF(F319="Skeet",IFERROR(INDEX('Shooter-Squad Assignment'!$A:$A,MATCH(C319&amp;"-"&amp;E319&amp;"-"&amp;F319&amp;"-Pos2",'Shooter-Squad Assignment'!$K:$K,0)),""),IF(F319="Trap",IFERROR(INDEX('Shooter-Squad Assignment'!$A:$A,MATCH(C319&amp;"-"&amp;E319&amp;"-"&amp;F319&amp;"-Pos2",'Shooter-Squad Assignment'!$W:$W,0)),""),IF(F319="Sporting Clays",IFERROR(INDEX('Shooter-Squad Assignment'!$A:$A,MATCH(C319&amp;"-"&amp;E319&amp;"-"&amp;F319&amp;"-Pos2",'Shooter-Squad Assignment'!$Z:$Z,0)),""),"")))</f>
        <v/>
      </c>
      <c r="J319" s="88" t="str">
        <f>IF(ISBLANK(I319),"",IFERROR(INDEX('Tournament List'!$D:$D,MATCH(I319,'Tournament List'!$A:$A,0)),""))</f>
        <v/>
      </c>
      <c r="K319" s="96" t="str">
        <f>IF(F319="Skeet",IFERROR(INDEX('Shooter-Squad Assignment'!$A:$A,MATCH(C319&amp;"-"&amp;E319&amp;"-"&amp;F319&amp;"-Pos3",'Shooter-Squad Assignment'!$K:$K,0)),""),IF(F319="Trap",IFERROR(INDEX('Shooter-Squad Assignment'!$A:$A,MATCH(C319&amp;"-"&amp;E319&amp;"-"&amp;F319&amp;"-Pos3",'Shooter-Squad Assignment'!$W:$W,0)),""),IF(F319="Sporting Clays",IFERROR(INDEX('Shooter-Squad Assignment'!$A:$A,MATCH(C319&amp;"-"&amp;E319&amp;"-"&amp;F319&amp;"-Pos3",'Shooter-Squad Assignment'!$Z:$Z,0)),""),"")))</f>
        <v/>
      </c>
      <c r="L319" s="88" t="str">
        <f>IF(ISBLANK(K319),"",IFERROR(INDEX('Tournament List'!$D:$D,MATCH(K319,'Tournament List'!$A:$A,0)),""))</f>
        <v/>
      </c>
      <c r="M319" s="96" t="str">
        <f>IF(F319="Skeet",IFERROR(INDEX('Shooter-Squad Assignment'!$A:$A,MATCH(C319&amp;"-"&amp;E319&amp;"-"&amp;F319&amp;"-Pos4",'Shooter-Squad Assignment'!$K:$K,0)),""),IF(F319="Trap",IFERROR(INDEX('Shooter-Squad Assignment'!$A:$A,MATCH(C319&amp;"-"&amp;E319&amp;"-"&amp;F319&amp;"-Pos4",'Shooter-Squad Assignment'!$W:$W,0)),""),IF(F319="Sporting Clays",IFERROR(INDEX('Shooter-Squad Assignment'!$A:$A,MATCH(C319&amp;"-"&amp;E319&amp;"-"&amp;F319&amp;"-Pos4",'Shooter-Squad Assignment'!$Z:$Z,0)),""),"")))</f>
        <v/>
      </c>
      <c r="N319" s="88" t="str">
        <f>IF(ISBLANK(M319),"",IFERROR(INDEX('Tournament List'!$D:$D,MATCH(M319,'Tournament List'!$A:$A,0)),""))</f>
        <v/>
      </c>
      <c r="O319" s="96" t="str">
        <f>IF(F319="Skeet",IFERROR(INDEX('Shooter-Squad Assignment'!$A:$A,MATCH(C319&amp;"-"&amp;E319&amp;"-"&amp;F319&amp;"-Pos5",'Shooter-Squad Assignment'!$K:$K,0)),""),IF(F319="Trap",IFERROR(INDEX('Shooter-Squad Assignment'!$A:$A,MATCH(C319&amp;"-"&amp;E319&amp;"-"&amp;F319&amp;"-Pos5",'Shooter-Squad Assignment'!$W:$W,0)),""),IF(F319="Sporting Clays",IFERROR(INDEX('Shooter-Squad Assignment'!$A:$A,MATCH(C319&amp;"-"&amp;E319&amp;"-"&amp;F319&amp;"-Pos5",'Shooter-Squad Assignment'!$Z:$Z,0)),""),"")))</f>
        <v/>
      </c>
      <c r="P319" s="89" t="str">
        <f>IF(ISBLANK(O319),"",IFERROR(INDEX('Tournament List'!$D:$D,MATCH(O319,'Tournament List'!$A:$A,0)),""))</f>
        <v/>
      </c>
    </row>
    <row r="320" spans="1:16" x14ac:dyDescent="0.3">
      <c r="A320" s="87">
        <v>319</v>
      </c>
      <c r="B320" s="88" t="str">
        <f>C320&amp;"-"&amp;E320&amp;"-"&amp;F320</f>
        <v>Wiggins Tigers Sporting Club-Open 3-Sporting Clays</v>
      </c>
      <c r="C320" s="88" t="s">
        <v>320</v>
      </c>
      <c r="D320" s="88" t="str">
        <f>INDEX('Tournament Setup'!$B$59:$B$78,MATCH(E320,SquadConcurrents,0))</f>
        <v>Open</v>
      </c>
      <c r="E320" s="88" t="s">
        <v>353</v>
      </c>
      <c r="F320" s="88" t="s">
        <v>148</v>
      </c>
      <c r="G320" s="96" t="str">
        <f>IF(F320="Skeet",IFERROR(INDEX('Shooter-Squad Assignment'!$A:$A,MATCH(C320&amp;"-"&amp;E320&amp;"-"&amp;F320&amp;"-Pos1",'Shooter-Squad Assignment'!$K:$K,0)),""),IF(F320="Trap",IFERROR(INDEX('Shooter-Squad Assignment'!$A:$A,MATCH(C320&amp;"-"&amp;E320&amp;"-"&amp;F320&amp;"-Pos1",'Shooter-Squad Assignment'!$W:$W,0)),""),IF(F320="Sporting Clays",IFERROR(INDEX('Shooter-Squad Assignment'!$A:$A,MATCH(C320&amp;"-"&amp;E320&amp;"-"&amp;F320&amp;"-Pos1",'Shooter-Squad Assignment'!$Z:$Z,0)),""),"")))</f>
        <v/>
      </c>
      <c r="H320" s="88" t="str">
        <f>IF(ISBLANK(G320),"",IFERROR(INDEX('Tournament List'!$D:$D,MATCH(G320,'Tournament List'!$A:$A,0)),""))</f>
        <v/>
      </c>
      <c r="I320" s="96" t="str">
        <f>IF(F320="Skeet",IFERROR(INDEX('Shooter-Squad Assignment'!$A:$A,MATCH(C320&amp;"-"&amp;E320&amp;"-"&amp;F320&amp;"-Pos2",'Shooter-Squad Assignment'!$K:$K,0)),""),IF(F320="Trap",IFERROR(INDEX('Shooter-Squad Assignment'!$A:$A,MATCH(C320&amp;"-"&amp;E320&amp;"-"&amp;F320&amp;"-Pos2",'Shooter-Squad Assignment'!$W:$W,0)),""),IF(F320="Sporting Clays",IFERROR(INDEX('Shooter-Squad Assignment'!$A:$A,MATCH(C320&amp;"-"&amp;E320&amp;"-"&amp;F320&amp;"-Pos2",'Shooter-Squad Assignment'!$Z:$Z,0)),""),"")))</f>
        <v/>
      </c>
      <c r="J320" s="88" t="str">
        <f>IF(ISBLANK(I320),"",IFERROR(INDEX('Tournament List'!$D:$D,MATCH(I320,'Tournament List'!$A:$A,0)),""))</f>
        <v/>
      </c>
      <c r="K320" s="96" t="str">
        <f>IF(F320="Skeet",IFERROR(INDEX('Shooter-Squad Assignment'!$A:$A,MATCH(C320&amp;"-"&amp;E320&amp;"-"&amp;F320&amp;"-Pos3",'Shooter-Squad Assignment'!$K:$K,0)),""),IF(F320="Trap",IFERROR(INDEX('Shooter-Squad Assignment'!$A:$A,MATCH(C320&amp;"-"&amp;E320&amp;"-"&amp;F320&amp;"-Pos3",'Shooter-Squad Assignment'!$W:$W,0)),""),IF(F320="Sporting Clays",IFERROR(INDEX('Shooter-Squad Assignment'!$A:$A,MATCH(C320&amp;"-"&amp;E320&amp;"-"&amp;F320&amp;"-Pos3",'Shooter-Squad Assignment'!$Z:$Z,0)),""),"")))</f>
        <v/>
      </c>
      <c r="L320" s="88" t="str">
        <f>IF(ISBLANK(K320),"",IFERROR(INDEX('Tournament List'!$D:$D,MATCH(K320,'Tournament List'!$A:$A,0)),""))</f>
        <v/>
      </c>
      <c r="M320" s="96" t="str">
        <f>IF(F320="Skeet",IFERROR(INDEX('Shooter-Squad Assignment'!$A:$A,MATCH(C320&amp;"-"&amp;E320&amp;"-"&amp;F320&amp;"-Pos4",'Shooter-Squad Assignment'!$K:$K,0)),""),IF(F320="Trap",IFERROR(INDEX('Shooter-Squad Assignment'!$A:$A,MATCH(C320&amp;"-"&amp;E320&amp;"-"&amp;F320&amp;"-Pos4",'Shooter-Squad Assignment'!$W:$W,0)),""),IF(F320="Sporting Clays",IFERROR(INDEX('Shooter-Squad Assignment'!$A:$A,MATCH(C320&amp;"-"&amp;E320&amp;"-"&amp;F320&amp;"-Pos4",'Shooter-Squad Assignment'!$Z:$Z,0)),""),"")))</f>
        <v/>
      </c>
      <c r="N320" s="88" t="str">
        <f>IF(ISBLANK(M320),"",IFERROR(INDEX('Tournament List'!$D:$D,MATCH(M320,'Tournament List'!$A:$A,0)),""))</f>
        <v/>
      </c>
      <c r="O320" s="96" t="str">
        <f>IF(F320="Skeet",IFERROR(INDEX('Shooter-Squad Assignment'!$A:$A,MATCH(C320&amp;"-"&amp;E320&amp;"-"&amp;F320&amp;"-Pos5",'Shooter-Squad Assignment'!$K:$K,0)),""),IF(F320="Trap",IFERROR(INDEX('Shooter-Squad Assignment'!$A:$A,MATCH(C320&amp;"-"&amp;E320&amp;"-"&amp;F320&amp;"-Pos5",'Shooter-Squad Assignment'!$W:$W,0)),""),IF(F320="Sporting Clays",IFERROR(INDEX('Shooter-Squad Assignment'!$A:$A,MATCH(C320&amp;"-"&amp;E320&amp;"-"&amp;F320&amp;"-Pos5",'Shooter-Squad Assignment'!$Z:$Z,0)),""),"")))</f>
        <v/>
      </c>
      <c r="P320" s="89" t="str">
        <f>IF(ISBLANK(O320),"",IFERROR(INDEX('Tournament List'!$D:$D,MATCH(O320,'Tournament List'!$A:$A,0)),""))</f>
        <v/>
      </c>
    </row>
    <row r="321" spans="1:16" x14ac:dyDescent="0.3">
      <c r="A321" s="87">
        <v>320</v>
      </c>
      <c r="B321" s="88" t="str">
        <f>C321&amp;"-"&amp;E321&amp;"-"&amp;F321</f>
        <v>Wiggins Tigers Sporting Club-Unassigned 1-Sporting Clays</v>
      </c>
      <c r="C321" s="88" t="s">
        <v>320</v>
      </c>
      <c r="D321" s="88" t="str">
        <f>INDEX('Tournament Setup'!$B$59:$B$78,MATCH(E321,SquadConcurrents,0))</f>
        <v>Unassigned</v>
      </c>
      <c r="E321" s="88" t="s">
        <v>762</v>
      </c>
      <c r="F321" s="88" t="s">
        <v>148</v>
      </c>
      <c r="G321" s="96" t="str">
        <f>IF(F321="Skeet",IFERROR(INDEX('Shooter-Squad Assignment'!$A:$A,MATCH(C321&amp;"-"&amp;E321&amp;"-"&amp;F321&amp;"-Pos1",'Shooter-Squad Assignment'!$K:$K,0)),""),IF(F321="Trap",IFERROR(INDEX('Shooter-Squad Assignment'!$A:$A,MATCH(C321&amp;"-"&amp;E321&amp;"-"&amp;F321&amp;"-Pos1",'Shooter-Squad Assignment'!$W:$W,0)),""),IF(F321="Sporting Clays",IFERROR(INDEX('Shooter-Squad Assignment'!$A:$A,MATCH(C321&amp;"-"&amp;E321&amp;"-"&amp;F321&amp;"-Pos1",'Shooter-Squad Assignment'!$Z:$Z,0)),""),"")))</f>
        <v/>
      </c>
      <c r="H321" s="88" t="str">
        <f>IF(ISBLANK(G321),"",IFERROR(INDEX('Tournament List'!$D:$D,MATCH(G321,'Tournament List'!$A:$A,0)),""))</f>
        <v/>
      </c>
      <c r="I321" s="96" t="str">
        <f>IF(F321="Skeet",IFERROR(INDEX('Shooter-Squad Assignment'!$A:$A,MATCH(C321&amp;"-"&amp;E321&amp;"-"&amp;F321&amp;"-Pos2",'Shooter-Squad Assignment'!$K:$K,0)),""),IF(F321="Trap",IFERROR(INDEX('Shooter-Squad Assignment'!$A:$A,MATCH(C321&amp;"-"&amp;E321&amp;"-"&amp;F321&amp;"-Pos2",'Shooter-Squad Assignment'!$W:$W,0)),""),IF(F321="Sporting Clays",IFERROR(INDEX('Shooter-Squad Assignment'!$A:$A,MATCH(C321&amp;"-"&amp;E321&amp;"-"&amp;F321&amp;"-Pos2",'Shooter-Squad Assignment'!$Z:$Z,0)),""),"")))</f>
        <v/>
      </c>
      <c r="J321" s="88" t="str">
        <f>IF(ISBLANK(I321),"",IFERROR(INDEX('Tournament List'!$D:$D,MATCH(I321,'Tournament List'!$A:$A,0)),""))</f>
        <v/>
      </c>
      <c r="K321" s="96" t="str">
        <f>IF(F321="Skeet",IFERROR(INDEX('Shooter-Squad Assignment'!$A:$A,MATCH(C321&amp;"-"&amp;E321&amp;"-"&amp;F321&amp;"-Pos3",'Shooter-Squad Assignment'!$K:$K,0)),""),IF(F321="Trap",IFERROR(INDEX('Shooter-Squad Assignment'!$A:$A,MATCH(C321&amp;"-"&amp;E321&amp;"-"&amp;F321&amp;"-Pos3",'Shooter-Squad Assignment'!$W:$W,0)),""),IF(F321="Sporting Clays",IFERROR(INDEX('Shooter-Squad Assignment'!$A:$A,MATCH(C321&amp;"-"&amp;E321&amp;"-"&amp;F321&amp;"-Pos3",'Shooter-Squad Assignment'!$Z:$Z,0)),""),"")))</f>
        <v/>
      </c>
      <c r="L321" s="88" t="str">
        <f>IF(ISBLANK(K321),"",IFERROR(INDEX('Tournament List'!$D:$D,MATCH(K321,'Tournament List'!$A:$A,0)),""))</f>
        <v/>
      </c>
      <c r="M321" s="96" t="str">
        <f>IF(F321="Skeet",IFERROR(INDEX('Shooter-Squad Assignment'!$A:$A,MATCH(C321&amp;"-"&amp;E321&amp;"-"&amp;F321&amp;"-Pos4",'Shooter-Squad Assignment'!$K:$K,0)),""),IF(F321="Trap",IFERROR(INDEX('Shooter-Squad Assignment'!$A:$A,MATCH(C321&amp;"-"&amp;E321&amp;"-"&amp;F321&amp;"-Pos4",'Shooter-Squad Assignment'!$W:$W,0)),""),IF(F321="Sporting Clays",IFERROR(INDEX('Shooter-Squad Assignment'!$A:$A,MATCH(C321&amp;"-"&amp;E321&amp;"-"&amp;F321&amp;"-Pos4",'Shooter-Squad Assignment'!$Z:$Z,0)),""),"")))</f>
        <v/>
      </c>
      <c r="N321" s="88" t="str">
        <f>IF(ISBLANK(M321),"",IFERROR(INDEX('Tournament List'!$D:$D,MATCH(M321,'Tournament List'!$A:$A,0)),""))</f>
        <v/>
      </c>
      <c r="O321" s="96" t="str">
        <f>IF(F321="Skeet",IFERROR(INDEX('Shooter-Squad Assignment'!$A:$A,MATCH(C321&amp;"-"&amp;E321&amp;"-"&amp;F321&amp;"-Pos5",'Shooter-Squad Assignment'!$K:$K,0)),""),IF(F321="Trap",IFERROR(INDEX('Shooter-Squad Assignment'!$A:$A,MATCH(C321&amp;"-"&amp;E321&amp;"-"&amp;F321&amp;"-Pos5",'Shooter-Squad Assignment'!$W:$W,0)),""),IF(F321="Sporting Clays",IFERROR(INDEX('Shooter-Squad Assignment'!$A:$A,MATCH(C321&amp;"-"&amp;E321&amp;"-"&amp;F321&amp;"-Pos5",'Shooter-Squad Assignment'!$Z:$Z,0)),""),"")))</f>
        <v/>
      </c>
      <c r="P321" s="89" t="str">
        <f>IF(ISBLANK(O321),"",IFERROR(INDEX('Tournament List'!$D:$D,MATCH(O321,'Tournament List'!$A:$A,0)),""))</f>
        <v/>
      </c>
    </row>
    <row r="322" spans="1:16" x14ac:dyDescent="0.3">
      <c r="A322" s="87">
        <v>321</v>
      </c>
      <c r="B322" s="88" t="str">
        <f>C322&amp;"-"&amp;E322&amp;"-"&amp;F322</f>
        <v>Wiggins Tigers Sporting Club-Varsity 1-Sporting Clays</v>
      </c>
      <c r="C322" s="88" t="s">
        <v>320</v>
      </c>
      <c r="D322" s="88" t="str">
        <f>INDEX('Tournament Setup'!$B$59:$B$78,MATCH(E322,SquadConcurrents,0))</f>
        <v>Varsity</v>
      </c>
      <c r="E322" s="88" t="s">
        <v>340</v>
      </c>
      <c r="F322" s="88" t="s">
        <v>148</v>
      </c>
      <c r="G322" s="96" t="str">
        <f>IF(F322="Skeet",IFERROR(INDEX('Shooter-Squad Assignment'!$A:$A,MATCH(C322&amp;"-"&amp;E322&amp;"-"&amp;F322&amp;"-Pos1",'Shooter-Squad Assignment'!$K:$K,0)),""),IF(F322="Trap",IFERROR(INDEX('Shooter-Squad Assignment'!$A:$A,MATCH(C322&amp;"-"&amp;E322&amp;"-"&amp;F322&amp;"-Pos1",'Shooter-Squad Assignment'!$W:$W,0)),""),IF(F322="Sporting Clays",IFERROR(INDEX('Shooter-Squad Assignment'!$A:$A,MATCH(C322&amp;"-"&amp;E322&amp;"-"&amp;F322&amp;"-Pos1",'Shooter-Squad Assignment'!$Z:$Z,0)),""),"")))</f>
        <v/>
      </c>
      <c r="H322" s="88" t="str">
        <f>IF(ISBLANK(G322),"",IFERROR(INDEX('Tournament List'!$D:$D,MATCH(G322,'Tournament List'!$A:$A,0)),""))</f>
        <v/>
      </c>
      <c r="I322" s="96" t="str">
        <f>IF(F322="Skeet",IFERROR(INDEX('Shooter-Squad Assignment'!$A:$A,MATCH(C322&amp;"-"&amp;E322&amp;"-"&amp;F322&amp;"-Pos2",'Shooter-Squad Assignment'!$K:$K,0)),""),IF(F322="Trap",IFERROR(INDEX('Shooter-Squad Assignment'!$A:$A,MATCH(C322&amp;"-"&amp;E322&amp;"-"&amp;F322&amp;"-Pos2",'Shooter-Squad Assignment'!$W:$W,0)),""),IF(F322="Sporting Clays",IFERROR(INDEX('Shooter-Squad Assignment'!$A:$A,MATCH(C322&amp;"-"&amp;E322&amp;"-"&amp;F322&amp;"-Pos2",'Shooter-Squad Assignment'!$Z:$Z,0)),""),"")))</f>
        <v/>
      </c>
      <c r="J322" s="88" t="str">
        <f>IF(ISBLANK(I322),"",IFERROR(INDEX('Tournament List'!$D:$D,MATCH(I322,'Tournament List'!$A:$A,0)),""))</f>
        <v/>
      </c>
      <c r="K322" s="96" t="str">
        <f>IF(F322="Skeet",IFERROR(INDEX('Shooter-Squad Assignment'!$A:$A,MATCH(C322&amp;"-"&amp;E322&amp;"-"&amp;F322&amp;"-Pos3",'Shooter-Squad Assignment'!$K:$K,0)),""),IF(F322="Trap",IFERROR(INDEX('Shooter-Squad Assignment'!$A:$A,MATCH(C322&amp;"-"&amp;E322&amp;"-"&amp;F322&amp;"-Pos3",'Shooter-Squad Assignment'!$W:$W,0)),""),IF(F322="Sporting Clays",IFERROR(INDEX('Shooter-Squad Assignment'!$A:$A,MATCH(C322&amp;"-"&amp;E322&amp;"-"&amp;F322&amp;"-Pos3",'Shooter-Squad Assignment'!$Z:$Z,0)),""),"")))</f>
        <v/>
      </c>
      <c r="L322" s="88" t="str">
        <f>IF(ISBLANK(K322),"",IFERROR(INDEX('Tournament List'!$D:$D,MATCH(K322,'Tournament List'!$A:$A,0)),""))</f>
        <v/>
      </c>
      <c r="M322" s="96" t="str">
        <f>IF(F322="Skeet",IFERROR(INDEX('Shooter-Squad Assignment'!$A:$A,MATCH(C322&amp;"-"&amp;E322&amp;"-"&amp;F322&amp;"-Pos4",'Shooter-Squad Assignment'!$K:$K,0)),""),IF(F322="Trap",IFERROR(INDEX('Shooter-Squad Assignment'!$A:$A,MATCH(C322&amp;"-"&amp;E322&amp;"-"&amp;F322&amp;"-Pos4",'Shooter-Squad Assignment'!$W:$W,0)),""),IF(F322="Sporting Clays",IFERROR(INDEX('Shooter-Squad Assignment'!$A:$A,MATCH(C322&amp;"-"&amp;E322&amp;"-"&amp;F322&amp;"-Pos4",'Shooter-Squad Assignment'!$Z:$Z,0)),""),"")))</f>
        <v/>
      </c>
      <c r="N322" s="88" t="str">
        <f>IF(ISBLANK(M322),"",IFERROR(INDEX('Tournament List'!$D:$D,MATCH(M322,'Tournament List'!$A:$A,0)),""))</f>
        <v/>
      </c>
      <c r="O322" s="96" t="str">
        <f>IF(F322="Skeet",IFERROR(INDEX('Shooter-Squad Assignment'!$A:$A,MATCH(C322&amp;"-"&amp;E322&amp;"-"&amp;F322&amp;"-Pos5",'Shooter-Squad Assignment'!$K:$K,0)),""),IF(F322="Trap",IFERROR(INDEX('Shooter-Squad Assignment'!$A:$A,MATCH(C322&amp;"-"&amp;E322&amp;"-"&amp;F322&amp;"-Pos5",'Shooter-Squad Assignment'!$W:$W,0)),""),IF(F322="Sporting Clays",IFERROR(INDEX('Shooter-Squad Assignment'!$A:$A,MATCH(C322&amp;"-"&amp;E322&amp;"-"&amp;F322&amp;"-Pos5",'Shooter-Squad Assignment'!$Z:$Z,0)),""),"")))</f>
        <v/>
      </c>
      <c r="P322" s="89" t="str">
        <f>IF(ISBLANK(O322),"",IFERROR(INDEX('Tournament List'!$D:$D,MATCH(O322,'Tournament List'!$A:$A,0)),""))</f>
        <v/>
      </c>
    </row>
    <row r="323" spans="1:16" x14ac:dyDescent="0.3">
      <c r="A323" s="87">
        <v>322</v>
      </c>
      <c r="B323" s="88" t="str">
        <f>C323&amp;"-"&amp;E323&amp;"-"&amp;F323</f>
        <v>Wiggins Tigers Sporting Club-Varsity 2-Sporting Clays</v>
      </c>
      <c r="C323" s="88" t="s">
        <v>320</v>
      </c>
      <c r="D323" s="88" t="str">
        <f>INDEX('Tournament Setup'!$B$59:$B$78,MATCH(E323,SquadConcurrents,0))</f>
        <v>Varsity</v>
      </c>
      <c r="E323" s="88" t="s">
        <v>346</v>
      </c>
      <c r="F323" s="88" t="s">
        <v>148</v>
      </c>
      <c r="G323" s="96" t="str">
        <f>IF(F323="Skeet",IFERROR(INDEX('Shooter-Squad Assignment'!$A:$A,MATCH(C323&amp;"-"&amp;E323&amp;"-"&amp;F323&amp;"-Pos1",'Shooter-Squad Assignment'!$K:$K,0)),""),IF(F323="Trap",IFERROR(INDEX('Shooter-Squad Assignment'!$A:$A,MATCH(C323&amp;"-"&amp;E323&amp;"-"&amp;F323&amp;"-Pos1",'Shooter-Squad Assignment'!$W:$W,0)),""),IF(F323="Sporting Clays",IFERROR(INDEX('Shooter-Squad Assignment'!$A:$A,MATCH(C323&amp;"-"&amp;E323&amp;"-"&amp;F323&amp;"-Pos1",'Shooter-Squad Assignment'!$Z:$Z,0)),""),"")))</f>
        <v/>
      </c>
      <c r="H323" s="88" t="str">
        <f>IF(ISBLANK(G323),"",IFERROR(INDEX('Tournament List'!$D:$D,MATCH(G323,'Tournament List'!$A:$A,0)),""))</f>
        <v/>
      </c>
      <c r="I323" s="96" t="str">
        <f>IF(F323="Skeet",IFERROR(INDEX('Shooter-Squad Assignment'!$A:$A,MATCH(C323&amp;"-"&amp;E323&amp;"-"&amp;F323&amp;"-Pos2",'Shooter-Squad Assignment'!$K:$K,0)),""),IF(F323="Trap",IFERROR(INDEX('Shooter-Squad Assignment'!$A:$A,MATCH(C323&amp;"-"&amp;E323&amp;"-"&amp;F323&amp;"-Pos2",'Shooter-Squad Assignment'!$W:$W,0)),""),IF(F323="Sporting Clays",IFERROR(INDEX('Shooter-Squad Assignment'!$A:$A,MATCH(C323&amp;"-"&amp;E323&amp;"-"&amp;F323&amp;"-Pos2",'Shooter-Squad Assignment'!$Z:$Z,0)),""),"")))</f>
        <v/>
      </c>
      <c r="J323" s="88" t="str">
        <f>IF(ISBLANK(I323),"",IFERROR(INDEX('Tournament List'!$D:$D,MATCH(I323,'Tournament List'!$A:$A,0)),""))</f>
        <v/>
      </c>
      <c r="K323" s="96" t="str">
        <f>IF(F323="Skeet",IFERROR(INDEX('Shooter-Squad Assignment'!$A:$A,MATCH(C323&amp;"-"&amp;E323&amp;"-"&amp;F323&amp;"-Pos3",'Shooter-Squad Assignment'!$K:$K,0)),""),IF(F323="Trap",IFERROR(INDEX('Shooter-Squad Assignment'!$A:$A,MATCH(C323&amp;"-"&amp;E323&amp;"-"&amp;F323&amp;"-Pos3",'Shooter-Squad Assignment'!$W:$W,0)),""),IF(F323="Sporting Clays",IFERROR(INDEX('Shooter-Squad Assignment'!$A:$A,MATCH(C323&amp;"-"&amp;E323&amp;"-"&amp;F323&amp;"-Pos3",'Shooter-Squad Assignment'!$Z:$Z,0)),""),"")))</f>
        <v/>
      </c>
      <c r="L323" s="88" t="str">
        <f>IF(ISBLANK(K323),"",IFERROR(INDEX('Tournament List'!$D:$D,MATCH(K323,'Tournament List'!$A:$A,0)),""))</f>
        <v/>
      </c>
      <c r="M323" s="96" t="str">
        <f>IF(F323="Skeet",IFERROR(INDEX('Shooter-Squad Assignment'!$A:$A,MATCH(C323&amp;"-"&amp;E323&amp;"-"&amp;F323&amp;"-Pos4",'Shooter-Squad Assignment'!$K:$K,0)),""),IF(F323="Trap",IFERROR(INDEX('Shooter-Squad Assignment'!$A:$A,MATCH(C323&amp;"-"&amp;E323&amp;"-"&amp;F323&amp;"-Pos4",'Shooter-Squad Assignment'!$W:$W,0)),""),IF(F323="Sporting Clays",IFERROR(INDEX('Shooter-Squad Assignment'!$A:$A,MATCH(C323&amp;"-"&amp;E323&amp;"-"&amp;F323&amp;"-Pos4",'Shooter-Squad Assignment'!$Z:$Z,0)),""),"")))</f>
        <v/>
      </c>
      <c r="N323" s="88" t="str">
        <f>IF(ISBLANK(M323),"",IFERROR(INDEX('Tournament List'!$D:$D,MATCH(M323,'Tournament List'!$A:$A,0)),""))</f>
        <v/>
      </c>
      <c r="O323" s="96" t="str">
        <f>IF(F323="Skeet",IFERROR(INDEX('Shooter-Squad Assignment'!$A:$A,MATCH(C323&amp;"-"&amp;E323&amp;"-"&amp;F323&amp;"-Pos5",'Shooter-Squad Assignment'!$K:$K,0)),""),IF(F323="Trap",IFERROR(INDEX('Shooter-Squad Assignment'!$A:$A,MATCH(C323&amp;"-"&amp;E323&amp;"-"&amp;F323&amp;"-Pos5",'Shooter-Squad Assignment'!$W:$W,0)),""),IF(F323="Sporting Clays",IFERROR(INDEX('Shooter-Squad Assignment'!$A:$A,MATCH(C323&amp;"-"&amp;E323&amp;"-"&amp;F323&amp;"-Pos5",'Shooter-Squad Assignment'!$Z:$Z,0)),""),"")))</f>
        <v/>
      </c>
      <c r="P323" s="89" t="str">
        <f>IF(ISBLANK(O323),"",IFERROR(INDEX('Tournament List'!$D:$D,MATCH(O323,'Tournament List'!$A:$A,0)),""))</f>
        <v/>
      </c>
    </row>
    <row r="324" spans="1:16" x14ac:dyDescent="0.3">
      <c r="A324" s="87">
        <v>323</v>
      </c>
      <c r="B324" s="88" t="str">
        <f>C324&amp;"-"&amp;E324&amp;"-"&amp;F324</f>
        <v>Wiggins Tigers Sporting Club-Varsity 3-Sporting Clays</v>
      </c>
      <c r="C324" s="88" t="s">
        <v>320</v>
      </c>
      <c r="D324" s="88" t="str">
        <f>INDEX('Tournament Setup'!$B$59:$B$78,MATCH(E324,SquadConcurrents,0))</f>
        <v>Varsity</v>
      </c>
      <c r="E324" s="88" t="s">
        <v>352</v>
      </c>
      <c r="F324" s="88" t="s">
        <v>148</v>
      </c>
      <c r="G324" s="96" t="str">
        <f>IF(F324="Skeet",IFERROR(INDEX('Shooter-Squad Assignment'!$A:$A,MATCH(C324&amp;"-"&amp;E324&amp;"-"&amp;F324&amp;"-Pos1",'Shooter-Squad Assignment'!$K:$K,0)),""),IF(F324="Trap",IFERROR(INDEX('Shooter-Squad Assignment'!$A:$A,MATCH(C324&amp;"-"&amp;E324&amp;"-"&amp;F324&amp;"-Pos1",'Shooter-Squad Assignment'!$W:$W,0)),""),IF(F324="Sporting Clays",IFERROR(INDEX('Shooter-Squad Assignment'!$A:$A,MATCH(C324&amp;"-"&amp;E324&amp;"-"&amp;F324&amp;"-Pos1",'Shooter-Squad Assignment'!$Z:$Z,0)),""),"")))</f>
        <v/>
      </c>
      <c r="H324" s="88" t="str">
        <f>IF(ISBLANK(G324),"",IFERROR(INDEX('Tournament List'!$D:$D,MATCH(G324,'Tournament List'!$A:$A,0)),""))</f>
        <v/>
      </c>
      <c r="I324" s="96" t="str">
        <f>IF(F324="Skeet",IFERROR(INDEX('Shooter-Squad Assignment'!$A:$A,MATCH(C324&amp;"-"&amp;E324&amp;"-"&amp;F324&amp;"-Pos2",'Shooter-Squad Assignment'!$K:$K,0)),""),IF(F324="Trap",IFERROR(INDEX('Shooter-Squad Assignment'!$A:$A,MATCH(C324&amp;"-"&amp;E324&amp;"-"&amp;F324&amp;"-Pos2",'Shooter-Squad Assignment'!$W:$W,0)),""),IF(F324="Sporting Clays",IFERROR(INDEX('Shooter-Squad Assignment'!$A:$A,MATCH(C324&amp;"-"&amp;E324&amp;"-"&amp;F324&amp;"-Pos2",'Shooter-Squad Assignment'!$Z:$Z,0)),""),"")))</f>
        <v/>
      </c>
      <c r="J324" s="88" t="str">
        <f>IF(ISBLANK(I324),"",IFERROR(INDEX('Tournament List'!$D:$D,MATCH(I324,'Tournament List'!$A:$A,0)),""))</f>
        <v/>
      </c>
      <c r="K324" s="96" t="str">
        <f>IF(F324="Skeet",IFERROR(INDEX('Shooter-Squad Assignment'!$A:$A,MATCH(C324&amp;"-"&amp;E324&amp;"-"&amp;F324&amp;"-Pos3",'Shooter-Squad Assignment'!$K:$K,0)),""),IF(F324="Trap",IFERROR(INDEX('Shooter-Squad Assignment'!$A:$A,MATCH(C324&amp;"-"&amp;E324&amp;"-"&amp;F324&amp;"-Pos3",'Shooter-Squad Assignment'!$W:$W,0)),""),IF(F324="Sporting Clays",IFERROR(INDEX('Shooter-Squad Assignment'!$A:$A,MATCH(C324&amp;"-"&amp;E324&amp;"-"&amp;F324&amp;"-Pos3",'Shooter-Squad Assignment'!$Z:$Z,0)),""),"")))</f>
        <v/>
      </c>
      <c r="L324" s="88" t="str">
        <f>IF(ISBLANK(K324),"",IFERROR(INDEX('Tournament List'!$D:$D,MATCH(K324,'Tournament List'!$A:$A,0)),""))</f>
        <v/>
      </c>
      <c r="M324" s="96" t="str">
        <f>IF(F324="Skeet",IFERROR(INDEX('Shooter-Squad Assignment'!$A:$A,MATCH(C324&amp;"-"&amp;E324&amp;"-"&amp;F324&amp;"-Pos4",'Shooter-Squad Assignment'!$K:$K,0)),""),IF(F324="Trap",IFERROR(INDEX('Shooter-Squad Assignment'!$A:$A,MATCH(C324&amp;"-"&amp;E324&amp;"-"&amp;F324&amp;"-Pos4",'Shooter-Squad Assignment'!$W:$W,0)),""),IF(F324="Sporting Clays",IFERROR(INDEX('Shooter-Squad Assignment'!$A:$A,MATCH(C324&amp;"-"&amp;E324&amp;"-"&amp;F324&amp;"-Pos4",'Shooter-Squad Assignment'!$Z:$Z,0)),""),"")))</f>
        <v/>
      </c>
      <c r="N324" s="88" t="str">
        <f>IF(ISBLANK(M324),"",IFERROR(INDEX('Tournament List'!$D:$D,MATCH(M324,'Tournament List'!$A:$A,0)),""))</f>
        <v/>
      </c>
      <c r="O324" s="96" t="str">
        <f>IF(F324="Skeet",IFERROR(INDEX('Shooter-Squad Assignment'!$A:$A,MATCH(C324&amp;"-"&amp;E324&amp;"-"&amp;F324&amp;"-Pos5",'Shooter-Squad Assignment'!$K:$K,0)),""),IF(F324="Trap",IFERROR(INDEX('Shooter-Squad Assignment'!$A:$A,MATCH(C324&amp;"-"&amp;E324&amp;"-"&amp;F324&amp;"-Pos5",'Shooter-Squad Assignment'!$W:$W,0)),""),IF(F324="Sporting Clays",IFERROR(INDEX('Shooter-Squad Assignment'!$A:$A,MATCH(C324&amp;"-"&amp;E324&amp;"-"&amp;F324&amp;"-Pos5",'Shooter-Squad Assignment'!$Z:$Z,0)),""),"")))</f>
        <v/>
      </c>
      <c r="P324" s="89" t="str">
        <f>IF(ISBLANK(O324),"",IFERROR(INDEX('Tournament List'!$D:$D,MATCH(O324,'Tournament List'!$A:$A,0)),""))</f>
        <v/>
      </c>
    </row>
    <row r="325" spans="1:16" x14ac:dyDescent="0.3">
      <c r="A325" s="87">
        <v>324</v>
      </c>
      <c r="B325" s="88" t="str">
        <f>C325&amp;"-"&amp;E325&amp;"-"&amp;F325</f>
        <v>Wiggins Tigers Sporting Club-Collegiate 1-Trap</v>
      </c>
      <c r="C325" s="88" t="s">
        <v>320</v>
      </c>
      <c r="D325" s="88" t="str">
        <f>INDEX('Tournament Setup'!$B$59:$B$78,MATCH(E325,SquadConcurrents,0))</f>
        <v>Collegiate</v>
      </c>
      <c r="E325" s="88" t="s">
        <v>342</v>
      </c>
      <c r="F325" s="88" t="s">
        <v>147</v>
      </c>
      <c r="G325" s="96" t="str">
        <f>IF(F325="Skeet",IFERROR(INDEX('Shooter-Squad Assignment'!$A:$A,MATCH(C325&amp;"-"&amp;E325&amp;"-"&amp;F325&amp;"-Pos1",'Shooter-Squad Assignment'!$K:$K,0)),""),IF(F325="Trap",IFERROR(INDEX('Shooter-Squad Assignment'!$A:$A,MATCH(C325&amp;"-"&amp;E325&amp;"-"&amp;F325&amp;"-Pos1",'Shooter-Squad Assignment'!$W:$W,0)),""),IF(F325="Sporting Clays",IFERROR(INDEX('Shooter-Squad Assignment'!$A:$A,MATCH(C325&amp;"-"&amp;E325&amp;"-"&amp;F325&amp;"-Pos1",'Shooter-Squad Assignment'!$Z:$Z,0)),""),"")))</f>
        <v/>
      </c>
      <c r="H325" s="88" t="str">
        <f>IF(ISBLANK(G325),"",IFERROR(INDEX('Tournament List'!$D:$D,MATCH(G325,'Tournament List'!$A:$A,0)),""))</f>
        <v/>
      </c>
      <c r="I325" s="96" t="str">
        <f>IF(F325="Skeet",IFERROR(INDEX('Shooter-Squad Assignment'!$A:$A,MATCH(C325&amp;"-"&amp;E325&amp;"-"&amp;F325&amp;"-Pos2",'Shooter-Squad Assignment'!$K:$K,0)),""),IF(F325="Trap",IFERROR(INDEX('Shooter-Squad Assignment'!$A:$A,MATCH(C325&amp;"-"&amp;E325&amp;"-"&amp;F325&amp;"-Pos2",'Shooter-Squad Assignment'!$W:$W,0)),""),IF(F325="Sporting Clays",IFERROR(INDEX('Shooter-Squad Assignment'!$A:$A,MATCH(C325&amp;"-"&amp;E325&amp;"-"&amp;F325&amp;"-Pos2",'Shooter-Squad Assignment'!$Z:$Z,0)),""),"")))</f>
        <v/>
      </c>
      <c r="J325" s="88" t="str">
        <f>IF(ISBLANK(I325),"",IFERROR(INDEX('Tournament List'!$D:$D,MATCH(I325,'Tournament List'!$A:$A,0)),""))</f>
        <v/>
      </c>
      <c r="K325" s="96" t="str">
        <f>IF(F325="Skeet",IFERROR(INDEX('Shooter-Squad Assignment'!$A:$A,MATCH(C325&amp;"-"&amp;E325&amp;"-"&amp;F325&amp;"-Pos3",'Shooter-Squad Assignment'!$K:$K,0)),""),IF(F325="Trap",IFERROR(INDEX('Shooter-Squad Assignment'!$A:$A,MATCH(C325&amp;"-"&amp;E325&amp;"-"&amp;F325&amp;"-Pos3",'Shooter-Squad Assignment'!$W:$W,0)),""),IF(F325="Sporting Clays",IFERROR(INDEX('Shooter-Squad Assignment'!$A:$A,MATCH(C325&amp;"-"&amp;E325&amp;"-"&amp;F325&amp;"-Pos3",'Shooter-Squad Assignment'!$Z:$Z,0)),""),"")))</f>
        <v/>
      </c>
      <c r="L325" s="88" t="str">
        <f>IF(ISBLANK(K325),"",IFERROR(INDEX('Tournament List'!$D:$D,MATCH(K325,'Tournament List'!$A:$A,0)),""))</f>
        <v/>
      </c>
      <c r="M325" s="96" t="str">
        <f>IF(F325="Skeet",IFERROR(INDEX('Shooter-Squad Assignment'!$A:$A,MATCH(C325&amp;"-"&amp;E325&amp;"-"&amp;F325&amp;"-Pos4",'Shooter-Squad Assignment'!$K:$K,0)),""),IF(F325="Trap",IFERROR(INDEX('Shooter-Squad Assignment'!$A:$A,MATCH(C325&amp;"-"&amp;E325&amp;"-"&amp;F325&amp;"-Pos4",'Shooter-Squad Assignment'!$W:$W,0)),""),IF(F325="Sporting Clays",IFERROR(INDEX('Shooter-Squad Assignment'!$A:$A,MATCH(C325&amp;"-"&amp;E325&amp;"-"&amp;F325&amp;"-Pos4",'Shooter-Squad Assignment'!$Z:$Z,0)),""),"")))</f>
        <v/>
      </c>
      <c r="N325" s="88" t="str">
        <f>IF(ISBLANK(M325),"",IFERROR(INDEX('Tournament List'!$D:$D,MATCH(M325,'Tournament List'!$A:$A,0)),""))</f>
        <v/>
      </c>
      <c r="O325" s="96" t="str">
        <f>IF(F325="Skeet",IFERROR(INDEX('Shooter-Squad Assignment'!$A:$A,MATCH(C325&amp;"-"&amp;E325&amp;"-"&amp;F325&amp;"-Pos5",'Shooter-Squad Assignment'!$K:$K,0)),""),IF(F325="Trap",IFERROR(INDEX('Shooter-Squad Assignment'!$A:$A,MATCH(C325&amp;"-"&amp;E325&amp;"-"&amp;F325&amp;"-Pos5",'Shooter-Squad Assignment'!$W:$W,0)),""),IF(F325="Sporting Clays",IFERROR(INDEX('Shooter-Squad Assignment'!$A:$A,MATCH(C325&amp;"-"&amp;E325&amp;"-"&amp;F325&amp;"-Pos5",'Shooter-Squad Assignment'!$Z:$Z,0)),""),"")))</f>
        <v/>
      </c>
      <c r="P325" s="89" t="str">
        <f>IF(ISBLANK(O325),"",IFERROR(INDEX('Tournament List'!$D:$D,MATCH(O325,'Tournament List'!$A:$A,0)),""))</f>
        <v/>
      </c>
    </row>
    <row r="326" spans="1:16" x14ac:dyDescent="0.3">
      <c r="A326" s="87">
        <v>325</v>
      </c>
      <c r="B326" s="88" t="str">
        <f>C326&amp;"-"&amp;E326&amp;"-"&amp;F326</f>
        <v>Wiggins Tigers Sporting Club-Collegiate 2-Trap</v>
      </c>
      <c r="C326" s="88" t="s">
        <v>320</v>
      </c>
      <c r="D326" s="88" t="str">
        <f>INDEX('Tournament Setup'!$B$59:$B$78,MATCH(E326,SquadConcurrents,0))</f>
        <v>Collegiate</v>
      </c>
      <c r="E326" s="88" t="s">
        <v>348</v>
      </c>
      <c r="F326" s="88" t="s">
        <v>147</v>
      </c>
      <c r="G326" s="96" t="str">
        <f>IF(F326="Skeet",IFERROR(INDEX('Shooter-Squad Assignment'!$A:$A,MATCH(C326&amp;"-"&amp;E326&amp;"-"&amp;F326&amp;"-Pos1",'Shooter-Squad Assignment'!$K:$K,0)),""),IF(F326="Trap",IFERROR(INDEX('Shooter-Squad Assignment'!$A:$A,MATCH(C326&amp;"-"&amp;E326&amp;"-"&amp;F326&amp;"-Pos1",'Shooter-Squad Assignment'!$W:$W,0)),""),IF(F326="Sporting Clays",IFERROR(INDEX('Shooter-Squad Assignment'!$A:$A,MATCH(C326&amp;"-"&amp;E326&amp;"-"&amp;F326&amp;"-Pos1",'Shooter-Squad Assignment'!$Z:$Z,0)),""),"")))</f>
        <v/>
      </c>
      <c r="H326" s="88" t="str">
        <f>IF(ISBLANK(G326),"",IFERROR(INDEX('Tournament List'!$D:$D,MATCH(G326,'Tournament List'!$A:$A,0)),""))</f>
        <v/>
      </c>
      <c r="I326" s="96" t="str">
        <f>IF(F326="Skeet",IFERROR(INDEX('Shooter-Squad Assignment'!$A:$A,MATCH(C326&amp;"-"&amp;E326&amp;"-"&amp;F326&amp;"-Pos2",'Shooter-Squad Assignment'!$K:$K,0)),""),IF(F326="Trap",IFERROR(INDEX('Shooter-Squad Assignment'!$A:$A,MATCH(C326&amp;"-"&amp;E326&amp;"-"&amp;F326&amp;"-Pos2",'Shooter-Squad Assignment'!$W:$W,0)),""),IF(F326="Sporting Clays",IFERROR(INDEX('Shooter-Squad Assignment'!$A:$A,MATCH(C326&amp;"-"&amp;E326&amp;"-"&amp;F326&amp;"-Pos2",'Shooter-Squad Assignment'!$Z:$Z,0)),""),"")))</f>
        <v/>
      </c>
      <c r="J326" s="88" t="str">
        <f>IF(ISBLANK(I326),"",IFERROR(INDEX('Tournament List'!$D:$D,MATCH(I326,'Tournament List'!$A:$A,0)),""))</f>
        <v/>
      </c>
      <c r="K326" s="96" t="str">
        <f>IF(F326="Skeet",IFERROR(INDEX('Shooter-Squad Assignment'!$A:$A,MATCH(C326&amp;"-"&amp;E326&amp;"-"&amp;F326&amp;"-Pos3",'Shooter-Squad Assignment'!$K:$K,0)),""),IF(F326="Trap",IFERROR(INDEX('Shooter-Squad Assignment'!$A:$A,MATCH(C326&amp;"-"&amp;E326&amp;"-"&amp;F326&amp;"-Pos3",'Shooter-Squad Assignment'!$W:$W,0)),""),IF(F326="Sporting Clays",IFERROR(INDEX('Shooter-Squad Assignment'!$A:$A,MATCH(C326&amp;"-"&amp;E326&amp;"-"&amp;F326&amp;"-Pos3",'Shooter-Squad Assignment'!$Z:$Z,0)),""),"")))</f>
        <v/>
      </c>
      <c r="L326" s="88" t="str">
        <f>IF(ISBLANK(K326),"",IFERROR(INDEX('Tournament List'!$D:$D,MATCH(K326,'Tournament List'!$A:$A,0)),""))</f>
        <v/>
      </c>
      <c r="M326" s="96" t="str">
        <f>IF(F326="Skeet",IFERROR(INDEX('Shooter-Squad Assignment'!$A:$A,MATCH(C326&amp;"-"&amp;E326&amp;"-"&amp;F326&amp;"-Pos4",'Shooter-Squad Assignment'!$K:$K,0)),""),IF(F326="Trap",IFERROR(INDEX('Shooter-Squad Assignment'!$A:$A,MATCH(C326&amp;"-"&amp;E326&amp;"-"&amp;F326&amp;"-Pos4",'Shooter-Squad Assignment'!$W:$W,0)),""),IF(F326="Sporting Clays",IFERROR(INDEX('Shooter-Squad Assignment'!$A:$A,MATCH(C326&amp;"-"&amp;E326&amp;"-"&amp;F326&amp;"-Pos4",'Shooter-Squad Assignment'!$Z:$Z,0)),""),"")))</f>
        <v/>
      </c>
      <c r="N326" s="88" t="str">
        <f>IF(ISBLANK(M326),"",IFERROR(INDEX('Tournament List'!$D:$D,MATCH(M326,'Tournament List'!$A:$A,0)),""))</f>
        <v/>
      </c>
      <c r="O326" s="96" t="str">
        <f>IF(F326="Skeet",IFERROR(INDEX('Shooter-Squad Assignment'!$A:$A,MATCH(C326&amp;"-"&amp;E326&amp;"-"&amp;F326&amp;"-Pos5",'Shooter-Squad Assignment'!$K:$K,0)),""),IF(F326="Trap",IFERROR(INDEX('Shooter-Squad Assignment'!$A:$A,MATCH(C326&amp;"-"&amp;E326&amp;"-"&amp;F326&amp;"-Pos5",'Shooter-Squad Assignment'!$W:$W,0)),""),IF(F326="Sporting Clays",IFERROR(INDEX('Shooter-Squad Assignment'!$A:$A,MATCH(C326&amp;"-"&amp;E326&amp;"-"&amp;F326&amp;"-Pos5",'Shooter-Squad Assignment'!$Z:$Z,0)),""),"")))</f>
        <v/>
      </c>
      <c r="P326" s="89" t="str">
        <f>IF(ISBLANK(O326),"",IFERROR(INDEX('Tournament List'!$D:$D,MATCH(O326,'Tournament List'!$A:$A,0)),""))</f>
        <v/>
      </c>
    </row>
    <row r="327" spans="1:16" x14ac:dyDescent="0.3">
      <c r="A327" s="87">
        <v>326</v>
      </c>
      <c r="B327" s="88" t="str">
        <f>C327&amp;"-"&amp;E327&amp;"-"&amp;F327</f>
        <v>Wiggins Tigers Sporting Club-Collegiate 3-Trap</v>
      </c>
      <c r="C327" s="88" t="s">
        <v>320</v>
      </c>
      <c r="D327" s="88" t="str">
        <f>INDEX('Tournament Setup'!$B$59:$B$78,MATCH(E327,SquadConcurrents,0))</f>
        <v>Collegiate</v>
      </c>
      <c r="E327" s="88" t="s">
        <v>354</v>
      </c>
      <c r="F327" s="88" t="s">
        <v>147</v>
      </c>
      <c r="G327" s="96" t="str">
        <f>IF(F327="Skeet",IFERROR(INDEX('Shooter-Squad Assignment'!$A:$A,MATCH(C327&amp;"-"&amp;E327&amp;"-"&amp;F327&amp;"-Pos1",'Shooter-Squad Assignment'!$K:$K,0)),""),IF(F327="Trap",IFERROR(INDEX('Shooter-Squad Assignment'!$A:$A,MATCH(C327&amp;"-"&amp;E327&amp;"-"&amp;F327&amp;"-Pos1",'Shooter-Squad Assignment'!$W:$W,0)),""),IF(F327="Sporting Clays",IFERROR(INDEX('Shooter-Squad Assignment'!$A:$A,MATCH(C327&amp;"-"&amp;E327&amp;"-"&amp;F327&amp;"-Pos1",'Shooter-Squad Assignment'!$Z:$Z,0)),""),"")))</f>
        <v/>
      </c>
      <c r="H327" s="88" t="str">
        <f>IF(ISBLANK(G327),"",IFERROR(INDEX('Tournament List'!$D:$D,MATCH(G327,'Tournament List'!$A:$A,0)),""))</f>
        <v/>
      </c>
      <c r="I327" s="96" t="str">
        <f>IF(F327="Skeet",IFERROR(INDEX('Shooter-Squad Assignment'!$A:$A,MATCH(C327&amp;"-"&amp;E327&amp;"-"&amp;F327&amp;"-Pos2",'Shooter-Squad Assignment'!$K:$K,0)),""),IF(F327="Trap",IFERROR(INDEX('Shooter-Squad Assignment'!$A:$A,MATCH(C327&amp;"-"&amp;E327&amp;"-"&amp;F327&amp;"-Pos2",'Shooter-Squad Assignment'!$W:$W,0)),""),IF(F327="Sporting Clays",IFERROR(INDEX('Shooter-Squad Assignment'!$A:$A,MATCH(C327&amp;"-"&amp;E327&amp;"-"&amp;F327&amp;"-Pos2",'Shooter-Squad Assignment'!$Z:$Z,0)),""),"")))</f>
        <v/>
      </c>
      <c r="J327" s="88" t="str">
        <f>IF(ISBLANK(I327),"",IFERROR(INDEX('Tournament List'!$D:$D,MATCH(I327,'Tournament List'!$A:$A,0)),""))</f>
        <v/>
      </c>
      <c r="K327" s="96" t="str">
        <f>IF(F327="Skeet",IFERROR(INDEX('Shooter-Squad Assignment'!$A:$A,MATCH(C327&amp;"-"&amp;E327&amp;"-"&amp;F327&amp;"-Pos3",'Shooter-Squad Assignment'!$K:$K,0)),""),IF(F327="Trap",IFERROR(INDEX('Shooter-Squad Assignment'!$A:$A,MATCH(C327&amp;"-"&amp;E327&amp;"-"&amp;F327&amp;"-Pos3",'Shooter-Squad Assignment'!$W:$W,0)),""),IF(F327="Sporting Clays",IFERROR(INDEX('Shooter-Squad Assignment'!$A:$A,MATCH(C327&amp;"-"&amp;E327&amp;"-"&amp;F327&amp;"-Pos3",'Shooter-Squad Assignment'!$Z:$Z,0)),""),"")))</f>
        <v/>
      </c>
      <c r="L327" s="88" t="str">
        <f>IF(ISBLANK(K327),"",IFERROR(INDEX('Tournament List'!$D:$D,MATCH(K327,'Tournament List'!$A:$A,0)),""))</f>
        <v/>
      </c>
      <c r="M327" s="96" t="str">
        <f>IF(F327="Skeet",IFERROR(INDEX('Shooter-Squad Assignment'!$A:$A,MATCH(C327&amp;"-"&amp;E327&amp;"-"&amp;F327&amp;"-Pos4",'Shooter-Squad Assignment'!$K:$K,0)),""),IF(F327="Trap",IFERROR(INDEX('Shooter-Squad Assignment'!$A:$A,MATCH(C327&amp;"-"&amp;E327&amp;"-"&amp;F327&amp;"-Pos4",'Shooter-Squad Assignment'!$W:$W,0)),""),IF(F327="Sporting Clays",IFERROR(INDEX('Shooter-Squad Assignment'!$A:$A,MATCH(C327&amp;"-"&amp;E327&amp;"-"&amp;F327&amp;"-Pos4",'Shooter-Squad Assignment'!$Z:$Z,0)),""),"")))</f>
        <v/>
      </c>
      <c r="N327" s="88" t="str">
        <f>IF(ISBLANK(M327),"",IFERROR(INDEX('Tournament List'!$D:$D,MATCH(M327,'Tournament List'!$A:$A,0)),""))</f>
        <v/>
      </c>
      <c r="O327" s="96" t="str">
        <f>IF(F327="Skeet",IFERROR(INDEX('Shooter-Squad Assignment'!$A:$A,MATCH(C327&amp;"-"&amp;E327&amp;"-"&amp;F327&amp;"-Pos5",'Shooter-Squad Assignment'!$K:$K,0)),""),IF(F327="Trap",IFERROR(INDEX('Shooter-Squad Assignment'!$A:$A,MATCH(C327&amp;"-"&amp;E327&amp;"-"&amp;F327&amp;"-Pos5",'Shooter-Squad Assignment'!$W:$W,0)),""),IF(F327="Sporting Clays",IFERROR(INDEX('Shooter-Squad Assignment'!$A:$A,MATCH(C327&amp;"-"&amp;E327&amp;"-"&amp;F327&amp;"-Pos5",'Shooter-Squad Assignment'!$Z:$Z,0)),""),"")))</f>
        <v/>
      </c>
      <c r="P327" s="89" t="str">
        <f>IF(ISBLANK(O327),"",IFERROR(INDEX('Tournament List'!$D:$D,MATCH(O327,'Tournament List'!$A:$A,0)),""))</f>
        <v/>
      </c>
    </row>
    <row r="328" spans="1:16" x14ac:dyDescent="0.3">
      <c r="A328" s="87">
        <v>327</v>
      </c>
      <c r="B328" s="88" t="str">
        <f>C328&amp;"-"&amp;E328&amp;"-"&amp;F328</f>
        <v>Wiggins Tigers Sporting Club-Intermediate 1-Trap</v>
      </c>
      <c r="C328" s="88" t="s">
        <v>320</v>
      </c>
      <c r="D328" s="88" t="str">
        <f>INDEX('Tournament Setup'!$B$59:$B$78,MATCH(E328,SquadConcurrents,0))</f>
        <v>Intermediate</v>
      </c>
      <c r="E328" s="88" t="s">
        <v>338</v>
      </c>
      <c r="F328" s="88" t="s">
        <v>147</v>
      </c>
      <c r="G328" s="96" t="str">
        <f>IF(F328="Skeet",IFERROR(INDEX('Shooter-Squad Assignment'!$A:$A,MATCH(C328&amp;"-"&amp;E328&amp;"-"&amp;F328&amp;"-Pos1",'Shooter-Squad Assignment'!$K:$K,0)),""),IF(F328="Trap",IFERROR(INDEX('Shooter-Squad Assignment'!$A:$A,MATCH(C328&amp;"-"&amp;E328&amp;"-"&amp;F328&amp;"-Pos1",'Shooter-Squad Assignment'!$W:$W,0)),""),IF(F328="Sporting Clays",IFERROR(INDEX('Shooter-Squad Assignment'!$A:$A,MATCH(C328&amp;"-"&amp;E328&amp;"-"&amp;F328&amp;"-Pos1",'Shooter-Squad Assignment'!$Z:$Z,0)),""),"")))</f>
        <v/>
      </c>
      <c r="H328" s="88" t="str">
        <f>IF(ISBLANK(G328),"",IFERROR(INDEX('Tournament List'!$D:$D,MATCH(G328,'Tournament List'!$A:$A,0)),""))</f>
        <v/>
      </c>
      <c r="I328" s="96" t="str">
        <f>IF(F328="Skeet",IFERROR(INDEX('Shooter-Squad Assignment'!$A:$A,MATCH(C328&amp;"-"&amp;E328&amp;"-"&amp;F328&amp;"-Pos2",'Shooter-Squad Assignment'!$K:$K,0)),""),IF(F328="Trap",IFERROR(INDEX('Shooter-Squad Assignment'!$A:$A,MATCH(C328&amp;"-"&amp;E328&amp;"-"&amp;F328&amp;"-Pos2",'Shooter-Squad Assignment'!$W:$W,0)),""),IF(F328="Sporting Clays",IFERROR(INDEX('Shooter-Squad Assignment'!$A:$A,MATCH(C328&amp;"-"&amp;E328&amp;"-"&amp;F328&amp;"-Pos2",'Shooter-Squad Assignment'!$Z:$Z,0)),""),"")))</f>
        <v/>
      </c>
      <c r="J328" s="88" t="str">
        <f>IF(ISBLANK(I328),"",IFERROR(INDEX('Tournament List'!$D:$D,MATCH(I328,'Tournament List'!$A:$A,0)),""))</f>
        <v/>
      </c>
      <c r="K328" s="96" t="str">
        <f>IF(F328="Skeet",IFERROR(INDEX('Shooter-Squad Assignment'!$A:$A,MATCH(C328&amp;"-"&amp;E328&amp;"-"&amp;F328&amp;"-Pos3",'Shooter-Squad Assignment'!$K:$K,0)),""),IF(F328="Trap",IFERROR(INDEX('Shooter-Squad Assignment'!$A:$A,MATCH(C328&amp;"-"&amp;E328&amp;"-"&amp;F328&amp;"-Pos3",'Shooter-Squad Assignment'!$W:$W,0)),""),IF(F328="Sporting Clays",IFERROR(INDEX('Shooter-Squad Assignment'!$A:$A,MATCH(C328&amp;"-"&amp;E328&amp;"-"&amp;F328&amp;"-Pos3",'Shooter-Squad Assignment'!$Z:$Z,0)),""),"")))</f>
        <v/>
      </c>
      <c r="L328" s="88" t="str">
        <f>IF(ISBLANK(K328),"",IFERROR(INDEX('Tournament List'!$D:$D,MATCH(K328,'Tournament List'!$A:$A,0)),""))</f>
        <v/>
      </c>
      <c r="M328" s="96" t="str">
        <f>IF(F328="Skeet",IFERROR(INDEX('Shooter-Squad Assignment'!$A:$A,MATCH(C328&amp;"-"&amp;E328&amp;"-"&amp;F328&amp;"-Pos4",'Shooter-Squad Assignment'!$K:$K,0)),""),IF(F328="Trap",IFERROR(INDEX('Shooter-Squad Assignment'!$A:$A,MATCH(C328&amp;"-"&amp;E328&amp;"-"&amp;F328&amp;"-Pos4",'Shooter-Squad Assignment'!$W:$W,0)),""),IF(F328="Sporting Clays",IFERROR(INDEX('Shooter-Squad Assignment'!$A:$A,MATCH(C328&amp;"-"&amp;E328&amp;"-"&amp;F328&amp;"-Pos4",'Shooter-Squad Assignment'!$Z:$Z,0)),""),"")))</f>
        <v/>
      </c>
      <c r="N328" s="88" t="str">
        <f>IF(ISBLANK(M328),"",IFERROR(INDEX('Tournament List'!$D:$D,MATCH(M328,'Tournament List'!$A:$A,0)),""))</f>
        <v/>
      </c>
      <c r="O328" s="96" t="str">
        <f>IF(F328="Skeet",IFERROR(INDEX('Shooter-Squad Assignment'!$A:$A,MATCH(C328&amp;"-"&amp;E328&amp;"-"&amp;F328&amp;"-Pos5",'Shooter-Squad Assignment'!$K:$K,0)),""),IF(F328="Trap",IFERROR(INDEX('Shooter-Squad Assignment'!$A:$A,MATCH(C328&amp;"-"&amp;E328&amp;"-"&amp;F328&amp;"-Pos5",'Shooter-Squad Assignment'!$W:$W,0)),""),IF(F328="Sporting Clays",IFERROR(INDEX('Shooter-Squad Assignment'!$A:$A,MATCH(C328&amp;"-"&amp;E328&amp;"-"&amp;F328&amp;"-Pos5",'Shooter-Squad Assignment'!$Z:$Z,0)),""),"")))</f>
        <v/>
      </c>
      <c r="P328" s="89" t="str">
        <f>IF(ISBLANK(O328),"",IFERROR(INDEX('Tournament List'!$D:$D,MATCH(O328,'Tournament List'!$A:$A,0)),""))</f>
        <v/>
      </c>
    </row>
    <row r="329" spans="1:16" x14ac:dyDescent="0.3">
      <c r="A329" s="87">
        <v>328</v>
      </c>
      <c r="B329" s="88" t="str">
        <f>C329&amp;"-"&amp;E329&amp;"-"&amp;F329</f>
        <v>Wiggins Tigers Sporting Club-Intermediate 2-Trap</v>
      </c>
      <c r="C329" s="88" t="s">
        <v>320</v>
      </c>
      <c r="D329" s="88" t="str">
        <f>INDEX('Tournament Setup'!$B$59:$B$78,MATCH(E329,SquadConcurrents,0))</f>
        <v>Intermediate</v>
      </c>
      <c r="E329" s="88" t="s">
        <v>344</v>
      </c>
      <c r="F329" s="88" t="s">
        <v>147</v>
      </c>
      <c r="G329" s="96" t="str">
        <f>IF(F329="Skeet",IFERROR(INDEX('Shooter-Squad Assignment'!$A:$A,MATCH(C329&amp;"-"&amp;E329&amp;"-"&amp;F329&amp;"-Pos1",'Shooter-Squad Assignment'!$K:$K,0)),""),IF(F329="Trap",IFERROR(INDEX('Shooter-Squad Assignment'!$A:$A,MATCH(C329&amp;"-"&amp;E329&amp;"-"&amp;F329&amp;"-Pos1",'Shooter-Squad Assignment'!$W:$W,0)),""),IF(F329="Sporting Clays",IFERROR(INDEX('Shooter-Squad Assignment'!$A:$A,MATCH(C329&amp;"-"&amp;E329&amp;"-"&amp;F329&amp;"-Pos1",'Shooter-Squad Assignment'!$Z:$Z,0)),""),"")))</f>
        <v/>
      </c>
      <c r="H329" s="88" t="str">
        <f>IF(ISBLANK(G329),"",IFERROR(INDEX('Tournament List'!$D:$D,MATCH(G329,'Tournament List'!$A:$A,0)),""))</f>
        <v/>
      </c>
      <c r="I329" s="96" t="str">
        <f>IF(F329="Skeet",IFERROR(INDEX('Shooter-Squad Assignment'!$A:$A,MATCH(C329&amp;"-"&amp;E329&amp;"-"&amp;F329&amp;"-Pos2",'Shooter-Squad Assignment'!$K:$K,0)),""),IF(F329="Trap",IFERROR(INDEX('Shooter-Squad Assignment'!$A:$A,MATCH(C329&amp;"-"&amp;E329&amp;"-"&amp;F329&amp;"-Pos2",'Shooter-Squad Assignment'!$W:$W,0)),""),IF(F329="Sporting Clays",IFERROR(INDEX('Shooter-Squad Assignment'!$A:$A,MATCH(C329&amp;"-"&amp;E329&amp;"-"&amp;F329&amp;"-Pos2",'Shooter-Squad Assignment'!$Z:$Z,0)),""),"")))</f>
        <v/>
      </c>
      <c r="J329" s="88" t="str">
        <f>IF(ISBLANK(I329),"",IFERROR(INDEX('Tournament List'!$D:$D,MATCH(I329,'Tournament List'!$A:$A,0)),""))</f>
        <v/>
      </c>
      <c r="K329" s="96" t="str">
        <f>IF(F329="Skeet",IFERROR(INDEX('Shooter-Squad Assignment'!$A:$A,MATCH(C329&amp;"-"&amp;E329&amp;"-"&amp;F329&amp;"-Pos3",'Shooter-Squad Assignment'!$K:$K,0)),""),IF(F329="Trap",IFERROR(INDEX('Shooter-Squad Assignment'!$A:$A,MATCH(C329&amp;"-"&amp;E329&amp;"-"&amp;F329&amp;"-Pos3",'Shooter-Squad Assignment'!$W:$W,0)),""),IF(F329="Sporting Clays",IFERROR(INDEX('Shooter-Squad Assignment'!$A:$A,MATCH(C329&amp;"-"&amp;E329&amp;"-"&amp;F329&amp;"-Pos3",'Shooter-Squad Assignment'!$Z:$Z,0)),""),"")))</f>
        <v/>
      </c>
      <c r="L329" s="88" t="str">
        <f>IF(ISBLANK(K329),"",IFERROR(INDEX('Tournament List'!$D:$D,MATCH(K329,'Tournament List'!$A:$A,0)),""))</f>
        <v/>
      </c>
      <c r="M329" s="96" t="str">
        <f>IF(F329="Skeet",IFERROR(INDEX('Shooter-Squad Assignment'!$A:$A,MATCH(C329&amp;"-"&amp;E329&amp;"-"&amp;F329&amp;"-Pos4",'Shooter-Squad Assignment'!$K:$K,0)),""),IF(F329="Trap",IFERROR(INDEX('Shooter-Squad Assignment'!$A:$A,MATCH(C329&amp;"-"&amp;E329&amp;"-"&amp;F329&amp;"-Pos4",'Shooter-Squad Assignment'!$W:$W,0)),""),IF(F329="Sporting Clays",IFERROR(INDEX('Shooter-Squad Assignment'!$A:$A,MATCH(C329&amp;"-"&amp;E329&amp;"-"&amp;F329&amp;"-Pos4",'Shooter-Squad Assignment'!$Z:$Z,0)),""),"")))</f>
        <v/>
      </c>
      <c r="N329" s="88" t="str">
        <f>IF(ISBLANK(M329),"",IFERROR(INDEX('Tournament List'!$D:$D,MATCH(M329,'Tournament List'!$A:$A,0)),""))</f>
        <v/>
      </c>
      <c r="O329" s="96" t="str">
        <f>IF(F329="Skeet",IFERROR(INDEX('Shooter-Squad Assignment'!$A:$A,MATCH(C329&amp;"-"&amp;E329&amp;"-"&amp;F329&amp;"-Pos5",'Shooter-Squad Assignment'!$K:$K,0)),""),IF(F329="Trap",IFERROR(INDEX('Shooter-Squad Assignment'!$A:$A,MATCH(C329&amp;"-"&amp;E329&amp;"-"&amp;F329&amp;"-Pos5",'Shooter-Squad Assignment'!$W:$W,0)),""),IF(F329="Sporting Clays",IFERROR(INDEX('Shooter-Squad Assignment'!$A:$A,MATCH(C329&amp;"-"&amp;E329&amp;"-"&amp;F329&amp;"-Pos5",'Shooter-Squad Assignment'!$Z:$Z,0)),""),"")))</f>
        <v/>
      </c>
      <c r="P329" s="89" t="str">
        <f>IF(ISBLANK(O329),"",IFERROR(INDEX('Tournament List'!$D:$D,MATCH(O329,'Tournament List'!$A:$A,0)),""))</f>
        <v/>
      </c>
    </row>
    <row r="330" spans="1:16" x14ac:dyDescent="0.3">
      <c r="A330" s="87">
        <v>329</v>
      </c>
      <c r="B330" s="88" t="str">
        <f>C330&amp;"-"&amp;E330&amp;"-"&amp;F330</f>
        <v>Wiggins Tigers Sporting Club-Intermediate 3-Trap</v>
      </c>
      <c r="C330" s="88" t="s">
        <v>320</v>
      </c>
      <c r="D330" s="88" t="str">
        <f>INDEX('Tournament Setup'!$B$59:$B$78,MATCH(E330,SquadConcurrents,0))</f>
        <v>Intermediate</v>
      </c>
      <c r="E330" s="88" t="s">
        <v>350</v>
      </c>
      <c r="F330" s="88" t="s">
        <v>147</v>
      </c>
      <c r="G330" s="96" t="str">
        <f>IF(F330="Skeet",IFERROR(INDEX('Shooter-Squad Assignment'!$A:$A,MATCH(C330&amp;"-"&amp;E330&amp;"-"&amp;F330&amp;"-Pos1",'Shooter-Squad Assignment'!$K:$K,0)),""),IF(F330="Trap",IFERROR(INDEX('Shooter-Squad Assignment'!$A:$A,MATCH(C330&amp;"-"&amp;E330&amp;"-"&amp;F330&amp;"-Pos1",'Shooter-Squad Assignment'!$W:$W,0)),""),IF(F330="Sporting Clays",IFERROR(INDEX('Shooter-Squad Assignment'!$A:$A,MATCH(C330&amp;"-"&amp;E330&amp;"-"&amp;F330&amp;"-Pos1",'Shooter-Squad Assignment'!$Z:$Z,0)),""),"")))</f>
        <v/>
      </c>
      <c r="H330" s="88" t="str">
        <f>IF(ISBLANK(G330),"",IFERROR(INDEX('Tournament List'!$D:$D,MATCH(G330,'Tournament List'!$A:$A,0)),""))</f>
        <v/>
      </c>
      <c r="I330" s="96" t="str">
        <f>IF(F330="Skeet",IFERROR(INDEX('Shooter-Squad Assignment'!$A:$A,MATCH(C330&amp;"-"&amp;E330&amp;"-"&amp;F330&amp;"-Pos2",'Shooter-Squad Assignment'!$K:$K,0)),""),IF(F330="Trap",IFERROR(INDEX('Shooter-Squad Assignment'!$A:$A,MATCH(C330&amp;"-"&amp;E330&amp;"-"&amp;F330&amp;"-Pos2",'Shooter-Squad Assignment'!$W:$W,0)),""),IF(F330="Sporting Clays",IFERROR(INDEX('Shooter-Squad Assignment'!$A:$A,MATCH(C330&amp;"-"&amp;E330&amp;"-"&amp;F330&amp;"-Pos2",'Shooter-Squad Assignment'!$Z:$Z,0)),""),"")))</f>
        <v/>
      </c>
      <c r="J330" s="88" t="str">
        <f>IF(ISBLANK(I330),"",IFERROR(INDEX('Tournament List'!$D:$D,MATCH(I330,'Tournament List'!$A:$A,0)),""))</f>
        <v/>
      </c>
      <c r="K330" s="96" t="str">
        <f>IF(F330="Skeet",IFERROR(INDEX('Shooter-Squad Assignment'!$A:$A,MATCH(C330&amp;"-"&amp;E330&amp;"-"&amp;F330&amp;"-Pos3",'Shooter-Squad Assignment'!$K:$K,0)),""),IF(F330="Trap",IFERROR(INDEX('Shooter-Squad Assignment'!$A:$A,MATCH(C330&amp;"-"&amp;E330&amp;"-"&amp;F330&amp;"-Pos3",'Shooter-Squad Assignment'!$W:$W,0)),""),IF(F330="Sporting Clays",IFERROR(INDEX('Shooter-Squad Assignment'!$A:$A,MATCH(C330&amp;"-"&amp;E330&amp;"-"&amp;F330&amp;"-Pos3",'Shooter-Squad Assignment'!$Z:$Z,0)),""),"")))</f>
        <v/>
      </c>
      <c r="L330" s="88" t="str">
        <f>IF(ISBLANK(K330),"",IFERROR(INDEX('Tournament List'!$D:$D,MATCH(K330,'Tournament List'!$A:$A,0)),""))</f>
        <v/>
      </c>
      <c r="M330" s="96" t="str">
        <f>IF(F330="Skeet",IFERROR(INDEX('Shooter-Squad Assignment'!$A:$A,MATCH(C330&amp;"-"&amp;E330&amp;"-"&amp;F330&amp;"-Pos4",'Shooter-Squad Assignment'!$K:$K,0)),""),IF(F330="Trap",IFERROR(INDEX('Shooter-Squad Assignment'!$A:$A,MATCH(C330&amp;"-"&amp;E330&amp;"-"&amp;F330&amp;"-Pos4",'Shooter-Squad Assignment'!$W:$W,0)),""),IF(F330="Sporting Clays",IFERROR(INDEX('Shooter-Squad Assignment'!$A:$A,MATCH(C330&amp;"-"&amp;E330&amp;"-"&amp;F330&amp;"-Pos4",'Shooter-Squad Assignment'!$Z:$Z,0)),""),"")))</f>
        <v/>
      </c>
      <c r="N330" s="88" t="str">
        <f>IF(ISBLANK(M330),"",IFERROR(INDEX('Tournament List'!$D:$D,MATCH(M330,'Tournament List'!$A:$A,0)),""))</f>
        <v/>
      </c>
      <c r="O330" s="96" t="str">
        <f>IF(F330="Skeet",IFERROR(INDEX('Shooter-Squad Assignment'!$A:$A,MATCH(C330&amp;"-"&amp;E330&amp;"-"&amp;F330&amp;"-Pos5",'Shooter-Squad Assignment'!$K:$K,0)),""),IF(F330="Trap",IFERROR(INDEX('Shooter-Squad Assignment'!$A:$A,MATCH(C330&amp;"-"&amp;E330&amp;"-"&amp;F330&amp;"-Pos5",'Shooter-Squad Assignment'!$W:$W,0)),""),IF(F330="Sporting Clays",IFERROR(INDEX('Shooter-Squad Assignment'!$A:$A,MATCH(C330&amp;"-"&amp;E330&amp;"-"&amp;F330&amp;"-Pos5",'Shooter-Squad Assignment'!$Z:$Z,0)),""),"")))</f>
        <v/>
      </c>
      <c r="P330" s="89" t="str">
        <f>IF(ISBLANK(O330),"",IFERROR(INDEX('Tournament List'!$D:$D,MATCH(O330,'Tournament List'!$A:$A,0)),""))</f>
        <v/>
      </c>
    </row>
    <row r="331" spans="1:16" x14ac:dyDescent="0.3">
      <c r="A331" s="87">
        <v>330</v>
      </c>
      <c r="B331" s="88" t="str">
        <f>C331&amp;"-"&amp;E331&amp;"-"&amp;F331</f>
        <v>Wiggins Tigers Sporting Club-Junior Varsity 1-Trap</v>
      </c>
      <c r="C331" s="88" t="s">
        <v>320</v>
      </c>
      <c r="D331" s="88" t="str">
        <f>INDEX('Tournament Setup'!$B$59:$B$78,MATCH(E331,SquadConcurrents,0))</f>
        <v>Junior Varsity</v>
      </c>
      <c r="E331" s="88" t="s">
        <v>339</v>
      </c>
      <c r="F331" s="88" t="s">
        <v>147</v>
      </c>
      <c r="G331" s="96" t="str">
        <f>IF(F331="Skeet",IFERROR(INDEX('Shooter-Squad Assignment'!$A:$A,MATCH(C331&amp;"-"&amp;E331&amp;"-"&amp;F331&amp;"-Pos1",'Shooter-Squad Assignment'!$K:$K,0)),""),IF(F331="Trap",IFERROR(INDEX('Shooter-Squad Assignment'!$A:$A,MATCH(C331&amp;"-"&amp;E331&amp;"-"&amp;F331&amp;"-Pos1",'Shooter-Squad Assignment'!$W:$W,0)),""),IF(F331="Sporting Clays",IFERROR(INDEX('Shooter-Squad Assignment'!$A:$A,MATCH(C331&amp;"-"&amp;E331&amp;"-"&amp;F331&amp;"-Pos1",'Shooter-Squad Assignment'!$Z:$Z,0)),""),"")))</f>
        <v/>
      </c>
      <c r="H331" s="88" t="str">
        <f>IF(ISBLANK(G331),"",IFERROR(INDEX('Tournament List'!$D:$D,MATCH(G331,'Tournament List'!$A:$A,0)),""))</f>
        <v/>
      </c>
      <c r="I331" s="96" t="str">
        <f>IF(F331="Skeet",IFERROR(INDEX('Shooter-Squad Assignment'!$A:$A,MATCH(C331&amp;"-"&amp;E331&amp;"-"&amp;F331&amp;"-Pos2",'Shooter-Squad Assignment'!$K:$K,0)),""),IF(F331="Trap",IFERROR(INDEX('Shooter-Squad Assignment'!$A:$A,MATCH(C331&amp;"-"&amp;E331&amp;"-"&amp;F331&amp;"-Pos2",'Shooter-Squad Assignment'!$W:$W,0)),""),IF(F331="Sporting Clays",IFERROR(INDEX('Shooter-Squad Assignment'!$A:$A,MATCH(C331&amp;"-"&amp;E331&amp;"-"&amp;F331&amp;"-Pos2",'Shooter-Squad Assignment'!$Z:$Z,0)),""),"")))</f>
        <v/>
      </c>
      <c r="J331" s="88" t="str">
        <f>IF(ISBLANK(I331),"",IFERROR(INDEX('Tournament List'!$D:$D,MATCH(I331,'Tournament List'!$A:$A,0)),""))</f>
        <v/>
      </c>
      <c r="K331" s="96" t="str">
        <f>IF(F331="Skeet",IFERROR(INDEX('Shooter-Squad Assignment'!$A:$A,MATCH(C331&amp;"-"&amp;E331&amp;"-"&amp;F331&amp;"-Pos3",'Shooter-Squad Assignment'!$K:$K,0)),""),IF(F331="Trap",IFERROR(INDEX('Shooter-Squad Assignment'!$A:$A,MATCH(C331&amp;"-"&amp;E331&amp;"-"&amp;F331&amp;"-Pos3",'Shooter-Squad Assignment'!$W:$W,0)),""),IF(F331="Sporting Clays",IFERROR(INDEX('Shooter-Squad Assignment'!$A:$A,MATCH(C331&amp;"-"&amp;E331&amp;"-"&amp;F331&amp;"-Pos3",'Shooter-Squad Assignment'!$Z:$Z,0)),""),"")))</f>
        <v/>
      </c>
      <c r="L331" s="88" t="str">
        <f>IF(ISBLANK(K331),"",IFERROR(INDEX('Tournament List'!$D:$D,MATCH(K331,'Tournament List'!$A:$A,0)),""))</f>
        <v/>
      </c>
      <c r="M331" s="96" t="str">
        <f>IF(F331="Skeet",IFERROR(INDEX('Shooter-Squad Assignment'!$A:$A,MATCH(C331&amp;"-"&amp;E331&amp;"-"&amp;F331&amp;"-Pos4",'Shooter-Squad Assignment'!$K:$K,0)),""),IF(F331="Trap",IFERROR(INDEX('Shooter-Squad Assignment'!$A:$A,MATCH(C331&amp;"-"&amp;E331&amp;"-"&amp;F331&amp;"-Pos4",'Shooter-Squad Assignment'!$W:$W,0)),""),IF(F331="Sporting Clays",IFERROR(INDEX('Shooter-Squad Assignment'!$A:$A,MATCH(C331&amp;"-"&amp;E331&amp;"-"&amp;F331&amp;"-Pos4",'Shooter-Squad Assignment'!$Z:$Z,0)),""),"")))</f>
        <v/>
      </c>
      <c r="N331" s="88" t="str">
        <f>IF(ISBLANK(M331),"",IFERROR(INDEX('Tournament List'!$D:$D,MATCH(M331,'Tournament List'!$A:$A,0)),""))</f>
        <v/>
      </c>
      <c r="O331" s="96" t="str">
        <f>IF(F331="Skeet",IFERROR(INDEX('Shooter-Squad Assignment'!$A:$A,MATCH(C331&amp;"-"&amp;E331&amp;"-"&amp;F331&amp;"-Pos5",'Shooter-Squad Assignment'!$K:$K,0)),""),IF(F331="Trap",IFERROR(INDEX('Shooter-Squad Assignment'!$A:$A,MATCH(C331&amp;"-"&amp;E331&amp;"-"&amp;F331&amp;"-Pos5",'Shooter-Squad Assignment'!$W:$W,0)),""),IF(F331="Sporting Clays",IFERROR(INDEX('Shooter-Squad Assignment'!$A:$A,MATCH(C331&amp;"-"&amp;E331&amp;"-"&amp;F331&amp;"-Pos5",'Shooter-Squad Assignment'!$Z:$Z,0)),""),"")))</f>
        <v/>
      </c>
      <c r="P331" s="89" t="str">
        <f>IF(ISBLANK(O331),"",IFERROR(INDEX('Tournament List'!$D:$D,MATCH(O331,'Tournament List'!$A:$A,0)),""))</f>
        <v/>
      </c>
    </row>
    <row r="332" spans="1:16" x14ac:dyDescent="0.3">
      <c r="A332" s="87">
        <v>331</v>
      </c>
      <c r="B332" s="88" t="str">
        <f>C332&amp;"-"&amp;E332&amp;"-"&amp;F332</f>
        <v>Wiggins Tigers Sporting Club-Junior Varsity 2-Trap</v>
      </c>
      <c r="C332" s="88" t="s">
        <v>320</v>
      </c>
      <c r="D332" s="88" t="str">
        <f>INDEX('Tournament Setup'!$B$59:$B$78,MATCH(E332,SquadConcurrents,0))</f>
        <v>Junior Varsity</v>
      </c>
      <c r="E332" s="88" t="s">
        <v>345</v>
      </c>
      <c r="F332" s="88" t="s">
        <v>147</v>
      </c>
      <c r="G332" s="96" t="str">
        <f>IF(F332="Skeet",IFERROR(INDEX('Shooter-Squad Assignment'!$A:$A,MATCH(C332&amp;"-"&amp;E332&amp;"-"&amp;F332&amp;"-Pos1",'Shooter-Squad Assignment'!$K:$K,0)),""),IF(F332="Trap",IFERROR(INDEX('Shooter-Squad Assignment'!$A:$A,MATCH(C332&amp;"-"&amp;E332&amp;"-"&amp;F332&amp;"-Pos1",'Shooter-Squad Assignment'!$W:$W,0)),""),IF(F332="Sporting Clays",IFERROR(INDEX('Shooter-Squad Assignment'!$A:$A,MATCH(C332&amp;"-"&amp;E332&amp;"-"&amp;F332&amp;"-Pos1",'Shooter-Squad Assignment'!$Z:$Z,0)),""),"")))</f>
        <v/>
      </c>
      <c r="H332" s="88" t="str">
        <f>IF(ISBLANK(G332),"",IFERROR(INDEX('Tournament List'!$D:$D,MATCH(G332,'Tournament List'!$A:$A,0)),""))</f>
        <v/>
      </c>
      <c r="I332" s="96" t="str">
        <f>IF(F332="Skeet",IFERROR(INDEX('Shooter-Squad Assignment'!$A:$A,MATCH(C332&amp;"-"&amp;E332&amp;"-"&amp;F332&amp;"-Pos2",'Shooter-Squad Assignment'!$K:$K,0)),""),IF(F332="Trap",IFERROR(INDEX('Shooter-Squad Assignment'!$A:$A,MATCH(C332&amp;"-"&amp;E332&amp;"-"&amp;F332&amp;"-Pos2",'Shooter-Squad Assignment'!$W:$W,0)),""),IF(F332="Sporting Clays",IFERROR(INDEX('Shooter-Squad Assignment'!$A:$A,MATCH(C332&amp;"-"&amp;E332&amp;"-"&amp;F332&amp;"-Pos2",'Shooter-Squad Assignment'!$Z:$Z,0)),""),"")))</f>
        <v/>
      </c>
      <c r="J332" s="88" t="str">
        <f>IF(ISBLANK(I332),"",IFERROR(INDEX('Tournament List'!$D:$D,MATCH(I332,'Tournament List'!$A:$A,0)),""))</f>
        <v/>
      </c>
      <c r="K332" s="96" t="str">
        <f>IF(F332="Skeet",IFERROR(INDEX('Shooter-Squad Assignment'!$A:$A,MATCH(C332&amp;"-"&amp;E332&amp;"-"&amp;F332&amp;"-Pos3",'Shooter-Squad Assignment'!$K:$K,0)),""),IF(F332="Trap",IFERROR(INDEX('Shooter-Squad Assignment'!$A:$A,MATCH(C332&amp;"-"&amp;E332&amp;"-"&amp;F332&amp;"-Pos3",'Shooter-Squad Assignment'!$W:$W,0)),""),IF(F332="Sporting Clays",IFERROR(INDEX('Shooter-Squad Assignment'!$A:$A,MATCH(C332&amp;"-"&amp;E332&amp;"-"&amp;F332&amp;"-Pos3",'Shooter-Squad Assignment'!$Z:$Z,0)),""),"")))</f>
        <v/>
      </c>
      <c r="L332" s="88" t="str">
        <f>IF(ISBLANK(K332),"",IFERROR(INDEX('Tournament List'!$D:$D,MATCH(K332,'Tournament List'!$A:$A,0)),""))</f>
        <v/>
      </c>
      <c r="M332" s="96" t="str">
        <f>IF(F332="Skeet",IFERROR(INDEX('Shooter-Squad Assignment'!$A:$A,MATCH(C332&amp;"-"&amp;E332&amp;"-"&amp;F332&amp;"-Pos4",'Shooter-Squad Assignment'!$K:$K,0)),""),IF(F332="Trap",IFERROR(INDEX('Shooter-Squad Assignment'!$A:$A,MATCH(C332&amp;"-"&amp;E332&amp;"-"&amp;F332&amp;"-Pos4",'Shooter-Squad Assignment'!$W:$W,0)),""),IF(F332="Sporting Clays",IFERROR(INDEX('Shooter-Squad Assignment'!$A:$A,MATCH(C332&amp;"-"&amp;E332&amp;"-"&amp;F332&amp;"-Pos4",'Shooter-Squad Assignment'!$Z:$Z,0)),""),"")))</f>
        <v/>
      </c>
      <c r="N332" s="88" t="str">
        <f>IF(ISBLANK(M332),"",IFERROR(INDEX('Tournament List'!$D:$D,MATCH(M332,'Tournament List'!$A:$A,0)),""))</f>
        <v/>
      </c>
      <c r="O332" s="96" t="str">
        <f>IF(F332="Skeet",IFERROR(INDEX('Shooter-Squad Assignment'!$A:$A,MATCH(C332&amp;"-"&amp;E332&amp;"-"&amp;F332&amp;"-Pos5",'Shooter-Squad Assignment'!$K:$K,0)),""),IF(F332="Trap",IFERROR(INDEX('Shooter-Squad Assignment'!$A:$A,MATCH(C332&amp;"-"&amp;E332&amp;"-"&amp;F332&amp;"-Pos5",'Shooter-Squad Assignment'!$W:$W,0)),""),IF(F332="Sporting Clays",IFERROR(INDEX('Shooter-Squad Assignment'!$A:$A,MATCH(C332&amp;"-"&amp;E332&amp;"-"&amp;F332&amp;"-Pos5",'Shooter-Squad Assignment'!$Z:$Z,0)),""),"")))</f>
        <v/>
      </c>
      <c r="P332" s="89" t="str">
        <f>IF(ISBLANK(O332),"",IFERROR(INDEX('Tournament List'!$D:$D,MATCH(O332,'Tournament List'!$A:$A,0)),""))</f>
        <v/>
      </c>
    </row>
    <row r="333" spans="1:16" x14ac:dyDescent="0.3">
      <c r="A333" s="87">
        <v>332</v>
      </c>
      <c r="B333" s="88" t="str">
        <f>C333&amp;"-"&amp;E333&amp;"-"&amp;F333</f>
        <v>Wiggins Tigers Sporting Club-Junior Varsity 3-Trap</v>
      </c>
      <c r="C333" s="88" t="s">
        <v>320</v>
      </c>
      <c r="D333" s="88" t="str">
        <f>INDEX('Tournament Setup'!$B$59:$B$78,MATCH(E333,SquadConcurrents,0))</f>
        <v>Junior Varsity</v>
      </c>
      <c r="E333" s="88" t="s">
        <v>351</v>
      </c>
      <c r="F333" s="88" t="s">
        <v>147</v>
      </c>
      <c r="G333" s="96" t="str">
        <f>IF(F333="Skeet",IFERROR(INDEX('Shooter-Squad Assignment'!$A:$A,MATCH(C333&amp;"-"&amp;E333&amp;"-"&amp;F333&amp;"-Pos1",'Shooter-Squad Assignment'!$K:$K,0)),""),IF(F333="Trap",IFERROR(INDEX('Shooter-Squad Assignment'!$A:$A,MATCH(C333&amp;"-"&amp;E333&amp;"-"&amp;F333&amp;"-Pos1",'Shooter-Squad Assignment'!$W:$W,0)),""),IF(F333="Sporting Clays",IFERROR(INDEX('Shooter-Squad Assignment'!$A:$A,MATCH(C333&amp;"-"&amp;E333&amp;"-"&amp;F333&amp;"-Pos1",'Shooter-Squad Assignment'!$Z:$Z,0)),""),"")))</f>
        <v/>
      </c>
      <c r="H333" s="88" t="str">
        <f>IF(ISBLANK(G333),"",IFERROR(INDEX('Tournament List'!$D:$D,MATCH(G333,'Tournament List'!$A:$A,0)),""))</f>
        <v/>
      </c>
      <c r="I333" s="96" t="str">
        <f>IF(F333="Skeet",IFERROR(INDEX('Shooter-Squad Assignment'!$A:$A,MATCH(C333&amp;"-"&amp;E333&amp;"-"&amp;F333&amp;"-Pos2",'Shooter-Squad Assignment'!$K:$K,0)),""),IF(F333="Trap",IFERROR(INDEX('Shooter-Squad Assignment'!$A:$A,MATCH(C333&amp;"-"&amp;E333&amp;"-"&amp;F333&amp;"-Pos2",'Shooter-Squad Assignment'!$W:$W,0)),""),IF(F333="Sporting Clays",IFERROR(INDEX('Shooter-Squad Assignment'!$A:$A,MATCH(C333&amp;"-"&amp;E333&amp;"-"&amp;F333&amp;"-Pos2",'Shooter-Squad Assignment'!$Z:$Z,0)),""),"")))</f>
        <v/>
      </c>
      <c r="J333" s="88" t="str">
        <f>IF(ISBLANK(I333),"",IFERROR(INDEX('Tournament List'!$D:$D,MATCH(I333,'Tournament List'!$A:$A,0)),""))</f>
        <v/>
      </c>
      <c r="K333" s="96" t="str">
        <f>IF(F333="Skeet",IFERROR(INDEX('Shooter-Squad Assignment'!$A:$A,MATCH(C333&amp;"-"&amp;E333&amp;"-"&amp;F333&amp;"-Pos3",'Shooter-Squad Assignment'!$K:$K,0)),""),IF(F333="Trap",IFERROR(INDEX('Shooter-Squad Assignment'!$A:$A,MATCH(C333&amp;"-"&amp;E333&amp;"-"&amp;F333&amp;"-Pos3",'Shooter-Squad Assignment'!$W:$W,0)),""),IF(F333="Sporting Clays",IFERROR(INDEX('Shooter-Squad Assignment'!$A:$A,MATCH(C333&amp;"-"&amp;E333&amp;"-"&amp;F333&amp;"-Pos3",'Shooter-Squad Assignment'!$Z:$Z,0)),""),"")))</f>
        <v/>
      </c>
      <c r="L333" s="88" t="str">
        <f>IF(ISBLANK(K333),"",IFERROR(INDEX('Tournament List'!$D:$D,MATCH(K333,'Tournament List'!$A:$A,0)),""))</f>
        <v/>
      </c>
      <c r="M333" s="96" t="str">
        <f>IF(F333="Skeet",IFERROR(INDEX('Shooter-Squad Assignment'!$A:$A,MATCH(C333&amp;"-"&amp;E333&amp;"-"&amp;F333&amp;"-Pos4",'Shooter-Squad Assignment'!$K:$K,0)),""),IF(F333="Trap",IFERROR(INDEX('Shooter-Squad Assignment'!$A:$A,MATCH(C333&amp;"-"&amp;E333&amp;"-"&amp;F333&amp;"-Pos4",'Shooter-Squad Assignment'!$W:$W,0)),""),IF(F333="Sporting Clays",IFERROR(INDEX('Shooter-Squad Assignment'!$A:$A,MATCH(C333&amp;"-"&amp;E333&amp;"-"&amp;F333&amp;"-Pos4",'Shooter-Squad Assignment'!$Z:$Z,0)),""),"")))</f>
        <v/>
      </c>
      <c r="N333" s="88" t="str">
        <f>IF(ISBLANK(M333),"",IFERROR(INDEX('Tournament List'!$D:$D,MATCH(M333,'Tournament List'!$A:$A,0)),""))</f>
        <v/>
      </c>
      <c r="O333" s="96" t="str">
        <f>IF(F333="Skeet",IFERROR(INDEX('Shooter-Squad Assignment'!$A:$A,MATCH(C333&amp;"-"&amp;E333&amp;"-"&amp;F333&amp;"-Pos5",'Shooter-Squad Assignment'!$K:$K,0)),""),IF(F333="Trap",IFERROR(INDEX('Shooter-Squad Assignment'!$A:$A,MATCH(C333&amp;"-"&amp;E333&amp;"-"&amp;F333&amp;"-Pos5",'Shooter-Squad Assignment'!$W:$W,0)),""),IF(F333="Sporting Clays",IFERROR(INDEX('Shooter-Squad Assignment'!$A:$A,MATCH(C333&amp;"-"&amp;E333&amp;"-"&amp;F333&amp;"-Pos5",'Shooter-Squad Assignment'!$Z:$Z,0)),""),"")))</f>
        <v/>
      </c>
      <c r="P333" s="89" t="str">
        <f>IF(ISBLANK(O333),"",IFERROR(INDEX('Tournament List'!$D:$D,MATCH(O333,'Tournament List'!$A:$A,0)),""))</f>
        <v/>
      </c>
    </row>
    <row r="334" spans="1:16" x14ac:dyDescent="0.3">
      <c r="A334" s="87">
        <v>333</v>
      </c>
      <c r="B334" s="88" t="str">
        <f>C334&amp;"-"&amp;E334&amp;"-"&amp;F334</f>
        <v>Wiggins Tigers Sporting Club-Novice 1-Trap</v>
      </c>
      <c r="C334" s="88" t="s">
        <v>320</v>
      </c>
      <c r="D334" s="88" t="str">
        <f>INDEX('Tournament Setup'!$B$59:$B$78,MATCH(E334,SquadConcurrents,0))</f>
        <v>Novice</v>
      </c>
      <c r="E334" s="88" t="s">
        <v>337</v>
      </c>
      <c r="F334" s="88" t="s">
        <v>147</v>
      </c>
      <c r="G334" s="96" t="str">
        <f>IF(F334="Skeet",IFERROR(INDEX('Shooter-Squad Assignment'!$A:$A,MATCH(C334&amp;"-"&amp;E334&amp;"-"&amp;F334&amp;"-Pos1",'Shooter-Squad Assignment'!$K:$K,0)),""),IF(F334="Trap",IFERROR(INDEX('Shooter-Squad Assignment'!$A:$A,MATCH(C334&amp;"-"&amp;E334&amp;"-"&amp;F334&amp;"-Pos1",'Shooter-Squad Assignment'!$W:$W,0)),""),IF(F334="Sporting Clays",IFERROR(INDEX('Shooter-Squad Assignment'!$A:$A,MATCH(C334&amp;"-"&amp;E334&amp;"-"&amp;F334&amp;"-Pos1",'Shooter-Squad Assignment'!$Z:$Z,0)),""),"")))</f>
        <v/>
      </c>
      <c r="H334" s="88" t="str">
        <f>IF(ISBLANK(G334),"",IFERROR(INDEX('Tournament List'!$D:$D,MATCH(G334,'Tournament List'!$A:$A,0)),""))</f>
        <v/>
      </c>
      <c r="I334" s="96" t="str">
        <f>IF(F334="Skeet",IFERROR(INDEX('Shooter-Squad Assignment'!$A:$A,MATCH(C334&amp;"-"&amp;E334&amp;"-"&amp;F334&amp;"-Pos2",'Shooter-Squad Assignment'!$K:$K,0)),""),IF(F334="Trap",IFERROR(INDEX('Shooter-Squad Assignment'!$A:$A,MATCH(C334&amp;"-"&amp;E334&amp;"-"&amp;F334&amp;"-Pos2",'Shooter-Squad Assignment'!$W:$W,0)),""),IF(F334="Sporting Clays",IFERROR(INDEX('Shooter-Squad Assignment'!$A:$A,MATCH(C334&amp;"-"&amp;E334&amp;"-"&amp;F334&amp;"-Pos2",'Shooter-Squad Assignment'!$Z:$Z,0)),""),"")))</f>
        <v/>
      </c>
      <c r="J334" s="88" t="str">
        <f>IF(ISBLANK(I334),"",IFERROR(INDEX('Tournament List'!$D:$D,MATCH(I334,'Tournament List'!$A:$A,0)),""))</f>
        <v/>
      </c>
      <c r="K334" s="96" t="str">
        <f>IF(F334="Skeet",IFERROR(INDEX('Shooter-Squad Assignment'!$A:$A,MATCH(C334&amp;"-"&amp;E334&amp;"-"&amp;F334&amp;"-Pos3",'Shooter-Squad Assignment'!$K:$K,0)),""),IF(F334="Trap",IFERROR(INDEX('Shooter-Squad Assignment'!$A:$A,MATCH(C334&amp;"-"&amp;E334&amp;"-"&amp;F334&amp;"-Pos3",'Shooter-Squad Assignment'!$W:$W,0)),""),IF(F334="Sporting Clays",IFERROR(INDEX('Shooter-Squad Assignment'!$A:$A,MATCH(C334&amp;"-"&amp;E334&amp;"-"&amp;F334&amp;"-Pos3",'Shooter-Squad Assignment'!$Z:$Z,0)),""),"")))</f>
        <v/>
      </c>
      <c r="L334" s="88" t="str">
        <f>IF(ISBLANK(K334),"",IFERROR(INDEX('Tournament List'!$D:$D,MATCH(K334,'Tournament List'!$A:$A,0)),""))</f>
        <v/>
      </c>
      <c r="M334" s="96" t="str">
        <f>IF(F334="Skeet",IFERROR(INDEX('Shooter-Squad Assignment'!$A:$A,MATCH(C334&amp;"-"&amp;E334&amp;"-"&amp;F334&amp;"-Pos4",'Shooter-Squad Assignment'!$K:$K,0)),""),IF(F334="Trap",IFERROR(INDEX('Shooter-Squad Assignment'!$A:$A,MATCH(C334&amp;"-"&amp;E334&amp;"-"&amp;F334&amp;"-Pos4",'Shooter-Squad Assignment'!$W:$W,0)),""),IF(F334="Sporting Clays",IFERROR(INDEX('Shooter-Squad Assignment'!$A:$A,MATCH(C334&amp;"-"&amp;E334&amp;"-"&amp;F334&amp;"-Pos4",'Shooter-Squad Assignment'!$Z:$Z,0)),""),"")))</f>
        <v/>
      </c>
      <c r="N334" s="88" t="str">
        <f>IF(ISBLANK(M334),"",IFERROR(INDEX('Tournament List'!$D:$D,MATCH(M334,'Tournament List'!$A:$A,0)),""))</f>
        <v/>
      </c>
      <c r="O334" s="96" t="str">
        <f>IF(F334="Skeet",IFERROR(INDEX('Shooter-Squad Assignment'!$A:$A,MATCH(C334&amp;"-"&amp;E334&amp;"-"&amp;F334&amp;"-Pos5",'Shooter-Squad Assignment'!$K:$K,0)),""),IF(F334="Trap",IFERROR(INDEX('Shooter-Squad Assignment'!$A:$A,MATCH(C334&amp;"-"&amp;E334&amp;"-"&amp;F334&amp;"-Pos5",'Shooter-Squad Assignment'!$W:$W,0)),""),IF(F334="Sporting Clays",IFERROR(INDEX('Shooter-Squad Assignment'!$A:$A,MATCH(C334&amp;"-"&amp;E334&amp;"-"&amp;F334&amp;"-Pos5",'Shooter-Squad Assignment'!$Z:$Z,0)),""),"")))</f>
        <v/>
      </c>
      <c r="P334" s="89" t="str">
        <f>IF(ISBLANK(O334),"",IFERROR(INDEX('Tournament List'!$D:$D,MATCH(O334,'Tournament List'!$A:$A,0)),""))</f>
        <v/>
      </c>
    </row>
    <row r="335" spans="1:16" x14ac:dyDescent="0.3">
      <c r="A335" s="87">
        <v>334</v>
      </c>
      <c r="B335" s="88" t="str">
        <f>C335&amp;"-"&amp;E335&amp;"-"&amp;F335</f>
        <v>Wiggins Tigers Sporting Club-Novice 2-Trap</v>
      </c>
      <c r="C335" s="88" t="s">
        <v>320</v>
      </c>
      <c r="D335" s="88" t="str">
        <f>INDEX('Tournament Setup'!$B$59:$B$78,MATCH(E335,SquadConcurrents,0))</f>
        <v>Novice</v>
      </c>
      <c r="E335" s="88" t="s">
        <v>343</v>
      </c>
      <c r="F335" s="88" t="s">
        <v>147</v>
      </c>
      <c r="G335" s="96" t="str">
        <f>IF(F335="Skeet",IFERROR(INDEX('Shooter-Squad Assignment'!$A:$A,MATCH(C335&amp;"-"&amp;E335&amp;"-"&amp;F335&amp;"-Pos1",'Shooter-Squad Assignment'!$K:$K,0)),""),IF(F335="Trap",IFERROR(INDEX('Shooter-Squad Assignment'!$A:$A,MATCH(C335&amp;"-"&amp;E335&amp;"-"&amp;F335&amp;"-Pos1",'Shooter-Squad Assignment'!$W:$W,0)),""),IF(F335="Sporting Clays",IFERROR(INDEX('Shooter-Squad Assignment'!$A:$A,MATCH(C335&amp;"-"&amp;E335&amp;"-"&amp;F335&amp;"-Pos1",'Shooter-Squad Assignment'!$Z:$Z,0)),""),"")))</f>
        <v/>
      </c>
      <c r="H335" s="88" t="str">
        <f>IF(ISBLANK(G335),"",IFERROR(INDEX('Tournament List'!$D:$D,MATCH(G335,'Tournament List'!$A:$A,0)),""))</f>
        <v/>
      </c>
      <c r="I335" s="96" t="str">
        <f>IF(F335="Skeet",IFERROR(INDEX('Shooter-Squad Assignment'!$A:$A,MATCH(C335&amp;"-"&amp;E335&amp;"-"&amp;F335&amp;"-Pos2",'Shooter-Squad Assignment'!$K:$K,0)),""),IF(F335="Trap",IFERROR(INDEX('Shooter-Squad Assignment'!$A:$A,MATCH(C335&amp;"-"&amp;E335&amp;"-"&amp;F335&amp;"-Pos2",'Shooter-Squad Assignment'!$W:$W,0)),""),IF(F335="Sporting Clays",IFERROR(INDEX('Shooter-Squad Assignment'!$A:$A,MATCH(C335&amp;"-"&amp;E335&amp;"-"&amp;F335&amp;"-Pos2",'Shooter-Squad Assignment'!$Z:$Z,0)),""),"")))</f>
        <v/>
      </c>
      <c r="J335" s="88" t="str">
        <f>IF(ISBLANK(I335),"",IFERROR(INDEX('Tournament List'!$D:$D,MATCH(I335,'Tournament List'!$A:$A,0)),""))</f>
        <v/>
      </c>
      <c r="K335" s="96" t="str">
        <f>IF(F335="Skeet",IFERROR(INDEX('Shooter-Squad Assignment'!$A:$A,MATCH(C335&amp;"-"&amp;E335&amp;"-"&amp;F335&amp;"-Pos3",'Shooter-Squad Assignment'!$K:$K,0)),""),IF(F335="Trap",IFERROR(INDEX('Shooter-Squad Assignment'!$A:$A,MATCH(C335&amp;"-"&amp;E335&amp;"-"&amp;F335&amp;"-Pos3",'Shooter-Squad Assignment'!$W:$W,0)),""),IF(F335="Sporting Clays",IFERROR(INDEX('Shooter-Squad Assignment'!$A:$A,MATCH(C335&amp;"-"&amp;E335&amp;"-"&amp;F335&amp;"-Pos3",'Shooter-Squad Assignment'!$Z:$Z,0)),""),"")))</f>
        <v/>
      </c>
      <c r="L335" s="88" t="str">
        <f>IF(ISBLANK(K335),"",IFERROR(INDEX('Tournament List'!$D:$D,MATCH(K335,'Tournament List'!$A:$A,0)),""))</f>
        <v/>
      </c>
      <c r="M335" s="96" t="str">
        <f>IF(F335="Skeet",IFERROR(INDEX('Shooter-Squad Assignment'!$A:$A,MATCH(C335&amp;"-"&amp;E335&amp;"-"&amp;F335&amp;"-Pos4",'Shooter-Squad Assignment'!$K:$K,0)),""),IF(F335="Trap",IFERROR(INDEX('Shooter-Squad Assignment'!$A:$A,MATCH(C335&amp;"-"&amp;E335&amp;"-"&amp;F335&amp;"-Pos4",'Shooter-Squad Assignment'!$W:$W,0)),""),IF(F335="Sporting Clays",IFERROR(INDEX('Shooter-Squad Assignment'!$A:$A,MATCH(C335&amp;"-"&amp;E335&amp;"-"&amp;F335&amp;"-Pos4",'Shooter-Squad Assignment'!$Z:$Z,0)),""),"")))</f>
        <v/>
      </c>
      <c r="N335" s="88" t="str">
        <f>IF(ISBLANK(M335),"",IFERROR(INDEX('Tournament List'!$D:$D,MATCH(M335,'Tournament List'!$A:$A,0)),""))</f>
        <v/>
      </c>
      <c r="O335" s="96" t="str">
        <f>IF(F335="Skeet",IFERROR(INDEX('Shooter-Squad Assignment'!$A:$A,MATCH(C335&amp;"-"&amp;E335&amp;"-"&amp;F335&amp;"-Pos5",'Shooter-Squad Assignment'!$K:$K,0)),""),IF(F335="Trap",IFERROR(INDEX('Shooter-Squad Assignment'!$A:$A,MATCH(C335&amp;"-"&amp;E335&amp;"-"&amp;F335&amp;"-Pos5",'Shooter-Squad Assignment'!$W:$W,0)),""),IF(F335="Sporting Clays",IFERROR(INDEX('Shooter-Squad Assignment'!$A:$A,MATCH(C335&amp;"-"&amp;E335&amp;"-"&amp;F335&amp;"-Pos5",'Shooter-Squad Assignment'!$Z:$Z,0)),""),"")))</f>
        <v/>
      </c>
      <c r="P335" s="89" t="str">
        <f>IF(ISBLANK(O335),"",IFERROR(INDEX('Tournament List'!$D:$D,MATCH(O335,'Tournament List'!$A:$A,0)),""))</f>
        <v/>
      </c>
    </row>
    <row r="336" spans="1:16" x14ac:dyDescent="0.3">
      <c r="A336" s="87">
        <v>335</v>
      </c>
      <c r="B336" s="88" t="str">
        <f>C336&amp;"-"&amp;E336&amp;"-"&amp;F336</f>
        <v>Wiggins Tigers Sporting Club-Novice 3-Trap</v>
      </c>
      <c r="C336" s="88" t="s">
        <v>320</v>
      </c>
      <c r="D336" s="88" t="str">
        <f>INDEX('Tournament Setup'!$B$59:$B$78,MATCH(E336,SquadConcurrents,0))</f>
        <v>Novice</v>
      </c>
      <c r="E336" s="88" t="s">
        <v>349</v>
      </c>
      <c r="F336" s="88" t="s">
        <v>147</v>
      </c>
      <c r="G336" s="96" t="str">
        <f>IF(F336="Skeet",IFERROR(INDEX('Shooter-Squad Assignment'!$A:$A,MATCH(C336&amp;"-"&amp;E336&amp;"-"&amp;F336&amp;"-Pos1",'Shooter-Squad Assignment'!$K:$K,0)),""),IF(F336="Trap",IFERROR(INDEX('Shooter-Squad Assignment'!$A:$A,MATCH(C336&amp;"-"&amp;E336&amp;"-"&amp;F336&amp;"-Pos1",'Shooter-Squad Assignment'!$W:$W,0)),""),IF(F336="Sporting Clays",IFERROR(INDEX('Shooter-Squad Assignment'!$A:$A,MATCH(C336&amp;"-"&amp;E336&amp;"-"&amp;F336&amp;"-Pos1",'Shooter-Squad Assignment'!$Z:$Z,0)),""),"")))</f>
        <v/>
      </c>
      <c r="H336" s="88" t="str">
        <f>IF(ISBLANK(G336),"",IFERROR(INDEX('Tournament List'!$D:$D,MATCH(G336,'Tournament List'!$A:$A,0)),""))</f>
        <v/>
      </c>
      <c r="I336" s="96" t="str">
        <f>IF(F336="Skeet",IFERROR(INDEX('Shooter-Squad Assignment'!$A:$A,MATCH(C336&amp;"-"&amp;E336&amp;"-"&amp;F336&amp;"-Pos2",'Shooter-Squad Assignment'!$K:$K,0)),""),IF(F336="Trap",IFERROR(INDEX('Shooter-Squad Assignment'!$A:$A,MATCH(C336&amp;"-"&amp;E336&amp;"-"&amp;F336&amp;"-Pos2",'Shooter-Squad Assignment'!$W:$W,0)),""),IF(F336="Sporting Clays",IFERROR(INDEX('Shooter-Squad Assignment'!$A:$A,MATCH(C336&amp;"-"&amp;E336&amp;"-"&amp;F336&amp;"-Pos2",'Shooter-Squad Assignment'!$Z:$Z,0)),""),"")))</f>
        <v/>
      </c>
      <c r="J336" s="88" t="str">
        <f>IF(ISBLANK(I336),"",IFERROR(INDEX('Tournament List'!$D:$D,MATCH(I336,'Tournament List'!$A:$A,0)),""))</f>
        <v/>
      </c>
      <c r="K336" s="96" t="str">
        <f>IF(F336="Skeet",IFERROR(INDEX('Shooter-Squad Assignment'!$A:$A,MATCH(C336&amp;"-"&amp;E336&amp;"-"&amp;F336&amp;"-Pos3",'Shooter-Squad Assignment'!$K:$K,0)),""),IF(F336="Trap",IFERROR(INDEX('Shooter-Squad Assignment'!$A:$A,MATCH(C336&amp;"-"&amp;E336&amp;"-"&amp;F336&amp;"-Pos3",'Shooter-Squad Assignment'!$W:$W,0)),""),IF(F336="Sporting Clays",IFERROR(INDEX('Shooter-Squad Assignment'!$A:$A,MATCH(C336&amp;"-"&amp;E336&amp;"-"&amp;F336&amp;"-Pos3",'Shooter-Squad Assignment'!$Z:$Z,0)),""),"")))</f>
        <v/>
      </c>
      <c r="L336" s="88" t="str">
        <f>IF(ISBLANK(K336),"",IFERROR(INDEX('Tournament List'!$D:$D,MATCH(K336,'Tournament List'!$A:$A,0)),""))</f>
        <v/>
      </c>
      <c r="M336" s="96" t="str">
        <f>IF(F336="Skeet",IFERROR(INDEX('Shooter-Squad Assignment'!$A:$A,MATCH(C336&amp;"-"&amp;E336&amp;"-"&amp;F336&amp;"-Pos4",'Shooter-Squad Assignment'!$K:$K,0)),""),IF(F336="Trap",IFERROR(INDEX('Shooter-Squad Assignment'!$A:$A,MATCH(C336&amp;"-"&amp;E336&amp;"-"&amp;F336&amp;"-Pos4",'Shooter-Squad Assignment'!$W:$W,0)),""),IF(F336="Sporting Clays",IFERROR(INDEX('Shooter-Squad Assignment'!$A:$A,MATCH(C336&amp;"-"&amp;E336&amp;"-"&amp;F336&amp;"-Pos4",'Shooter-Squad Assignment'!$Z:$Z,0)),""),"")))</f>
        <v/>
      </c>
      <c r="N336" s="88" t="str">
        <f>IF(ISBLANK(M336),"",IFERROR(INDEX('Tournament List'!$D:$D,MATCH(M336,'Tournament List'!$A:$A,0)),""))</f>
        <v/>
      </c>
      <c r="O336" s="96" t="str">
        <f>IF(F336="Skeet",IFERROR(INDEX('Shooter-Squad Assignment'!$A:$A,MATCH(C336&amp;"-"&amp;E336&amp;"-"&amp;F336&amp;"-Pos5",'Shooter-Squad Assignment'!$K:$K,0)),""),IF(F336="Trap",IFERROR(INDEX('Shooter-Squad Assignment'!$A:$A,MATCH(C336&amp;"-"&amp;E336&amp;"-"&amp;F336&amp;"-Pos5",'Shooter-Squad Assignment'!$W:$W,0)),""),IF(F336="Sporting Clays",IFERROR(INDEX('Shooter-Squad Assignment'!$A:$A,MATCH(C336&amp;"-"&amp;E336&amp;"-"&amp;F336&amp;"-Pos5",'Shooter-Squad Assignment'!$Z:$Z,0)),""),"")))</f>
        <v/>
      </c>
      <c r="P336" s="89" t="str">
        <f>IF(ISBLANK(O336),"",IFERROR(INDEX('Tournament List'!$D:$D,MATCH(O336,'Tournament List'!$A:$A,0)),""))</f>
        <v/>
      </c>
    </row>
    <row r="337" spans="1:16" x14ac:dyDescent="0.3">
      <c r="A337" s="87">
        <v>336</v>
      </c>
      <c r="B337" s="88" t="str">
        <f>C337&amp;"-"&amp;E337&amp;"-"&amp;F337</f>
        <v>Wiggins Tigers Sporting Club-Open 1-Trap</v>
      </c>
      <c r="C337" s="88" t="s">
        <v>320</v>
      </c>
      <c r="D337" s="88" t="str">
        <f>INDEX('Tournament Setup'!$B$59:$B$78,MATCH(E337,SquadConcurrents,0))</f>
        <v>Open</v>
      </c>
      <c r="E337" s="88" t="s">
        <v>341</v>
      </c>
      <c r="F337" s="88" t="s">
        <v>147</v>
      </c>
      <c r="G337" s="96" t="str">
        <f>IF(F337="Skeet",IFERROR(INDEX('Shooter-Squad Assignment'!$A:$A,MATCH(C337&amp;"-"&amp;E337&amp;"-"&amp;F337&amp;"-Pos1",'Shooter-Squad Assignment'!$K:$K,0)),""),IF(F337="Trap",IFERROR(INDEX('Shooter-Squad Assignment'!$A:$A,MATCH(C337&amp;"-"&amp;E337&amp;"-"&amp;F337&amp;"-Pos1",'Shooter-Squad Assignment'!$W:$W,0)),""),IF(F337="Sporting Clays",IFERROR(INDEX('Shooter-Squad Assignment'!$A:$A,MATCH(C337&amp;"-"&amp;E337&amp;"-"&amp;F337&amp;"-Pos1",'Shooter-Squad Assignment'!$Z:$Z,0)),""),"")))</f>
        <v/>
      </c>
      <c r="H337" s="88" t="str">
        <f>IF(ISBLANK(G337),"",IFERROR(INDEX('Tournament List'!$D:$D,MATCH(G337,'Tournament List'!$A:$A,0)),""))</f>
        <v/>
      </c>
      <c r="I337" s="96" t="str">
        <f>IF(F337="Skeet",IFERROR(INDEX('Shooter-Squad Assignment'!$A:$A,MATCH(C337&amp;"-"&amp;E337&amp;"-"&amp;F337&amp;"-Pos2",'Shooter-Squad Assignment'!$K:$K,0)),""),IF(F337="Trap",IFERROR(INDEX('Shooter-Squad Assignment'!$A:$A,MATCH(C337&amp;"-"&amp;E337&amp;"-"&amp;F337&amp;"-Pos2",'Shooter-Squad Assignment'!$W:$W,0)),""),IF(F337="Sporting Clays",IFERROR(INDEX('Shooter-Squad Assignment'!$A:$A,MATCH(C337&amp;"-"&amp;E337&amp;"-"&amp;F337&amp;"-Pos2",'Shooter-Squad Assignment'!$Z:$Z,0)),""),"")))</f>
        <v/>
      </c>
      <c r="J337" s="88" t="str">
        <f>IF(ISBLANK(I337),"",IFERROR(INDEX('Tournament List'!$D:$D,MATCH(I337,'Tournament List'!$A:$A,0)),""))</f>
        <v/>
      </c>
      <c r="K337" s="96" t="str">
        <f>IF(F337="Skeet",IFERROR(INDEX('Shooter-Squad Assignment'!$A:$A,MATCH(C337&amp;"-"&amp;E337&amp;"-"&amp;F337&amp;"-Pos3",'Shooter-Squad Assignment'!$K:$K,0)),""),IF(F337="Trap",IFERROR(INDEX('Shooter-Squad Assignment'!$A:$A,MATCH(C337&amp;"-"&amp;E337&amp;"-"&amp;F337&amp;"-Pos3",'Shooter-Squad Assignment'!$W:$W,0)),""),IF(F337="Sporting Clays",IFERROR(INDEX('Shooter-Squad Assignment'!$A:$A,MATCH(C337&amp;"-"&amp;E337&amp;"-"&amp;F337&amp;"-Pos3",'Shooter-Squad Assignment'!$Z:$Z,0)),""),"")))</f>
        <v/>
      </c>
      <c r="L337" s="88" t="str">
        <f>IF(ISBLANK(K337),"",IFERROR(INDEX('Tournament List'!$D:$D,MATCH(K337,'Tournament List'!$A:$A,0)),""))</f>
        <v/>
      </c>
      <c r="M337" s="96" t="str">
        <f>IF(F337="Skeet",IFERROR(INDEX('Shooter-Squad Assignment'!$A:$A,MATCH(C337&amp;"-"&amp;E337&amp;"-"&amp;F337&amp;"-Pos4",'Shooter-Squad Assignment'!$K:$K,0)),""),IF(F337="Trap",IFERROR(INDEX('Shooter-Squad Assignment'!$A:$A,MATCH(C337&amp;"-"&amp;E337&amp;"-"&amp;F337&amp;"-Pos4",'Shooter-Squad Assignment'!$W:$W,0)),""),IF(F337="Sporting Clays",IFERROR(INDEX('Shooter-Squad Assignment'!$A:$A,MATCH(C337&amp;"-"&amp;E337&amp;"-"&amp;F337&amp;"-Pos4",'Shooter-Squad Assignment'!$Z:$Z,0)),""),"")))</f>
        <v/>
      </c>
      <c r="N337" s="88" t="str">
        <f>IF(ISBLANK(M337),"",IFERROR(INDEX('Tournament List'!$D:$D,MATCH(M337,'Tournament List'!$A:$A,0)),""))</f>
        <v/>
      </c>
      <c r="O337" s="96" t="str">
        <f>IF(F337="Skeet",IFERROR(INDEX('Shooter-Squad Assignment'!$A:$A,MATCH(C337&amp;"-"&amp;E337&amp;"-"&amp;F337&amp;"-Pos5",'Shooter-Squad Assignment'!$K:$K,0)),""),IF(F337="Trap",IFERROR(INDEX('Shooter-Squad Assignment'!$A:$A,MATCH(C337&amp;"-"&amp;E337&amp;"-"&amp;F337&amp;"-Pos5",'Shooter-Squad Assignment'!$W:$W,0)),""),IF(F337="Sporting Clays",IFERROR(INDEX('Shooter-Squad Assignment'!$A:$A,MATCH(C337&amp;"-"&amp;E337&amp;"-"&amp;F337&amp;"-Pos5",'Shooter-Squad Assignment'!$Z:$Z,0)),""),"")))</f>
        <v/>
      </c>
      <c r="P337" s="89" t="str">
        <f>IF(ISBLANK(O337),"",IFERROR(INDEX('Tournament List'!$D:$D,MATCH(O337,'Tournament List'!$A:$A,0)),""))</f>
        <v/>
      </c>
    </row>
    <row r="338" spans="1:16" x14ac:dyDescent="0.3">
      <c r="A338" s="87">
        <v>337</v>
      </c>
      <c r="B338" s="88" t="str">
        <f>C338&amp;"-"&amp;E338&amp;"-"&amp;F338</f>
        <v>Wiggins Tigers Sporting Club-Open 2-Trap</v>
      </c>
      <c r="C338" s="88" t="s">
        <v>320</v>
      </c>
      <c r="D338" s="88" t="str">
        <f>INDEX('Tournament Setup'!$B$59:$B$78,MATCH(E338,SquadConcurrents,0))</f>
        <v>Open</v>
      </c>
      <c r="E338" s="88" t="s">
        <v>347</v>
      </c>
      <c r="F338" s="88" t="s">
        <v>147</v>
      </c>
      <c r="G338" s="96" t="str">
        <f>IF(F338="Skeet",IFERROR(INDEX('Shooter-Squad Assignment'!$A:$A,MATCH(C338&amp;"-"&amp;E338&amp;"-"&amp;F338&amp;"-Pos1",'Shooter-Squad Assignment'!$K:$K,0)),""),IF(F338="Trap",IFERROR(INDEX('Shooter-Squad Assignment'!$A:$A,MATCH(C338&amp;"-"&amp;E338&amp;"-"&amp;F338&amp;"-Pos1",'Shooter-Squad Assignment'!$W:$W,0)),""),IF(F338="Sporting Clays",IFERROR(INDEX('Shooter-Squad Assignment'!$A:$A,MATCH(C338&amp;"-"&amp;E338&amp;"-"&amp;F338&amp;"-Pos1",'Shooter-Squad Assignment'!$Z:$Z,0)),""),"")))</f>
        <v/>
      </c>
      <c r="H338" s="88" t="str">
        <f>IF(ISBLANK(G338),"",IFERROR(INDEX('Tournament List'!$D:$D,MATCH(G338,'Tournament List'!$A:$A,0)),""))</f>
        <v/>
      </c>
      <c r="I338" s="96" t="str">
        <f>IF(F338="Skeet",IFERROR(INDEX('Shooter-Squad Assignment'!$A:$A,MATCH(C338&amp;"-"&amp;E338&amp;"-"&amp;F338&amp;"-Pos2",'Shooter-Squad Assignment'!$K:$K,0)),""),IF(F338="Trap",IFERROR(INDEX('Shooter-Squad Assignment'!$A:$A,MATCH(C338&amp;"-"&amp;E338&amp;"-"&amp;F338&amp;"-Pos2",'Shooter-Squad Assignment'!$W:$W,0)),""),IF(F338="Sporting Clays",IFERROR(INDEX('Shooter-Squad Assignment'!$A:$A,MATCH(C338&amp;"-"&amp;E338&amp;"-"&amp;F338&amp;"-Pos2",'Shooter-Squad Assignment'!$Z:$Z,0)),""),"")))</f>
        <v/>
      </c>
      <c r="J338" s="88" t="str">
        <f>IF(ISBLANK(I338),"",IFERROR(INDEX('Tournament List'!$D:$D,MATCH(I338,'Tournament List'!$A:$A,0)),""))</f>
        <v/>
      </c>
      <c r="K338" s="96" t="str">
        <f>IF(F338="Skeet",IFERROR(INDEX('Shooter-Squad Assignment'!$A:$A,MATCH(C338&amp;"-"&amp;E338&amp;"-"&amp;F338&amp;"-Pos3",'Shooter-Squad Assignment'!$K:$K,0)),""),IF(F338="Trap",IFERROR(INDEX('Shooter-Squad Assignment'!$A:$A,MATCH(C338&amp;"-"&amp;E338&amp;"-"&amp;F338&amp;"-Pos3",'Shooter-Squad Assignment'!$W:$W,0)),""),IF(F338="Sporting Clays",IFERROR(INDEX('Shooter-Squad Assignment'!$A:$A,MATCH(C338&amp;"-"&amp;E338&amp;"-"&amp;F338&amp;"-Pos3",'Shooter-Squad Assignment'!$Z:$Z,0)),""),"")))</f>
        <v/>
      </c>
      <c r="L338" s="88" t="str">
        <f>IF(ISBLANK(K338),"",IFERROR(INDEX('Tournament List'!$D:$D,MATCH(K338,'Tournament List'!$A:$A,0)),""))</f>
        <v/>
      </c>
      <c r="M338" s="96" t="str">
        <f>IF(F338="Skeet",IFERROR(INDEX('Shooter-Squad Assignment'!$A:$A,MATCH(C338&amp;"-"&amp;E338&amp;"-"&amp;F338&amp;"-Pos4",'Shooter-Squad Assignment'!$K:$K,0)),""),IF(F338="Trap",IFERROR(INDEX('Shooter-Squad Assignment'!$A:$A,MATCH(C338&amp;"-"&amp;E338&amp;"-"&amp;F338&amp;"-Pos4",'Shooter-Squad Assignment'!$W:$W,0)),""),IF(F338="Sporting Clays",IFERROR(INDEX('Shooter-Squad Assignment'!$A:$A,MATCH(C338&amp;"-"&amp;E338&amp;"-"&amp;F338&amp;"-Pos4",'Shooter-Squad Assignment'!$Z:$Z,0)),""),"")))</f>
        <v/>
      </c>
      <c r="N338" s="88" t="str">
        <f>IF(ISBLANK(M338),"",IFERROR(INDEX('Tournament List'!$D:$D,MATCH(M338,'Tournament List'!$A:$A,0)),""))</f>
        <v/>
      </c>
      <c r="O338" s="96" t="str">
        <f>IF(F338="Skeet",IFERROR(INDEX('Shooter-Squad Assignment'!$A:$A,MATCH(C338&amp;"-"&amp;E338&amp;"-"&amp;F338&amp;"-Pos5",'Shooter-Squad Assignment'!$K:$K,0)),""),IF(F338="Trap",IFERROR(INDEX('Shooter-Squad Assignment'!$A:$A,MATCH(C338&amp;"-"&amp;E338&amp;"-"&amp;F338&amp;"-Pos5",'Shooter-Squad Assignment'!$W:$W,0)),""),IF(F338="Sporting Clays",IFERROR(INDEX('Shooter-Squad Assignment'!$A:$A,MATCH(C338&amp;"-"&amp;E338&amp;"-"&amp;F338&amp;"-Pos5",'Shooter-Squad Assignment'!$Z:$Z,0)),""),"")))</f>
        <v/>
      </c>
      <c r="P338" s="89" t="str">
        <f>IF(ISBLANK(O338),"",IFERROR(INDEX('Tournament List'!$D:$D,MATCH(O338,'Tournament List'!$A:$A,0)),""))</f>
        <v/>
      </c>
    </row>
    <row r="339" spans="1:16" x14ac:dyDescent="0.3">
      <c r="A339" s="87">
        <v>338</v>
      </c>
      <c r="B339" s="88" t="str">
        <f>C339&amp;"-"&amp;E339&amp;"-"&amp;F339</f>
        <v>Wiggins Tigers Sporting Club-Open 3-Trap</v>
      </c>
      <c r="C339" s="88" t="s">
        <v>320</v>
      </c>
      <c r="D339" s="88" t="str">
        <f>INDEX('Tournament Setup'!$B$59:$B$78,MATCH(E339,SquadConcurrents,0))</f>
        <v>Open</v>
      </c>
      <c r="E339" s="88" t="s">
        <v>353</v>
      </c>
      <c r="F339" s="88" t="s">
        <v>147</v>
      </c>
      <c r="G339" s="96" t="str">
        <f>IF(F339="Skeet",IFERROR(INDEX('Shooter-Squad Assignment'!$A:$A,MATCH(C339&amp;"-"&amp;E339&amp;"-"&amp;F339&amp;"-Pos1",'Shooter-Squad Assignment'!$K:$K,0)),""),IF(F339="Trap",IFERROR(INDEX('Shooter-Squad Assignment'!$A:$A,MATCH(C339&amp;"-"&amp;E339&amp;"-"&amp;F339&amp;"-Pos1",'Shooter-Squad Assignment'!$W:$W,0)),""),IF(F339="Sporting Clays",IFERROR(INDEX('Shooter-Squad Assignment'!$A:$A,MATCH(C339&amp;"-"&amp;E339&amp;"-"&amp;F339&amp;"-Pos1",'Shooter-Squad Assignment'!$Z:$Z,0)),""),"")))</f>
        <v/>
      </c>
      <c r="H339" s="88" t="str">
        <f>IF(ISBLANK(G339),"",IFERROR(INDEX('Tournament List'!$D:$D,MATCH(G339,'Tournament List'!$A:$A,0)),""))</f>
        <v/>
      </c>
      <c r="I339" s="96" t="str">
        <f>IF(F339="Skeet",IFERROR(INDEX('Shooter-Squad Assignment'!$A:$A,MATCH(C339&amp;"-"&amp;E339&amp;"-"&amp;F339&amp;"-Pos2",'Shooter-Squad Assignment'!$K:$K,0)),""),IF(F339="Trap",IFERROR(INDEX('Shooter-Squad Assignment'!$A:$A,MATCH(C339&amp;"-"&amp;E339&amp;"-"&amp;F339&amp;"-Pos2",'Shooter-Squad Assignment'!$W:$W,0)),""),IF(F339="Sporting Clays",IFERROR(INDEX('Shooter-Squad Assignment'!$A:$A,MATCH(C339&amp;"-"&amp;E339&amp;"-"&amp;F339&amp;"-Pos2",'Shooter-Squad Assignment'!$Z:$Z,0)),""),"")))</f>
        <v/>
      </c>
      <c r="J339" s="88" t="str">
        <f>IF(ISBLANK(I339),"",IFERROR(INDEX('Tournament List'!$D:$D,MATCH(I339,'Tournament List'!$A:$A,0)),""))</f>
        <v/>
      </c>
      <c r="K339" s="96" t="str">
        <f>IF(F339="Skeet",IFERROR(INDEX('Shooter-Squad Assignment'!$A:$A,MATCH(C339&amp;"-"&amp;E339&amp;"-"&amp;F339&amp;"-Pos3",'Shooter-Squad Assignment'!$K:$K,0)),""),IF(F339="Trap",IFERROR(INDEX('Shooter-Squad Assignment'!$A:$A,MATCH(C339&amp;"-"&amp;E339&amp;"-"&amp;F339&amp;"-Pos3",'Shooter-Squad Assignment'!$W:$W,0)),""),IF(F339="Sporting Clays",IFERROR(INDEX('Shooter-Squad Assignment'!$A:$A,MATCH(C339&amp;"-"&amp;E339&amp;"-"&amp;F339&amp;"-Pos3",'Shooter-Squad Assignment'!$Z:$Z,0)),""),"")))</f>
        <v/>
      </c>
      <c r="L339" s="88" t="str">
        <f>IF(ISBLANK(K339),"",IFERROR(INDEX('Tournament List'!$D:$D,MATCH(K339,'Tournament List'!$A:$A,0)),""))</f>
        <v/>
      </c>
      <c r="M339" s="96" t="str">
        <f>IF(F339="Skeet",IFERROR(INDEX('Shooter-Squad Assignment'!$A:$A,MATCH(C339&amp;"-"&amp;E339&amp;"-"&amp;F339&amp;"-Pos4",'Shooter-Squad Assignment'!$K:$K,0)),""),IF(F339="Trap",IFERROR(INDEX('Shooter-Squad Assignment'!$A:$A,MATCH(C339&amp;"-"&amp;E339&amp;"-"&amp;F339&amp;"-Pos4",'Shooter-Squad Assignment'!$W:$W,0)),""),IF(F339="Sporting Clays",IFERROR(INDEX('Shooter-Squad Assignment'!$A:$A,MATCH(C339&amp;"-"&amp;E339&amp;"-"&amp;F339&amp;"-Pos4",'Shooter-Squad Assignment'!$Z:$Z,0)),""),"")))</f>
        <v/>
      </c>
      <c r="N339" s="88" t="str">
        <f>IF(ISBLANK(M339),"",IFERROR(INDEX('Tournament List'!$D:$D,MATCH(M339,'Tournament List'!$A:$A,0)),""))</f>
        <v/>
      </c>
      <c r="O339" s="96" t="str">
        <f>IF(F339="Skeet",IFERROR(INDEX('Shooter-Squad Assignment'!$A:$A,MATCH(C339&amp;"-"&amp;E339&amp;"-"&amp;F339&amp;"-Pos5",'Shooter-Squad Assignment'!$K:$K,0)),""),IF(F339="Trap",IFERROR(INDEX('Shooter-Squad Assignment'!$A:$A,MATCH(C339&amp;"-"&amp;E339&amp;"-"&amp;F339&amp;"-Pos5",'Shooter-Squad Assignment'!$W:$W,0)),""),IF(F339="Sporting Clays",IFERROR(INDEX('Shooter-Squad Assignment'!$A:$A,MATCH(C339&amp;"-"&amp;E339&amp;"-"&amp;F339&amp;"-Pos5",'Shooter-Squad Assignment'!$Z:$Z,0)),""),"")))</f>
        <v/>
      </c>
      <c r="P339" s="89" t="str">
        <f>IF(ISBLANK(O339),"",IFERROR(INDEX('Tournament List'!$D:$D,MATCH(O339,'Tournament List'!$A:$A,0)),""))</f>
        <v/>
      </c>
    </row>
    <row r="340" spans="1:16" x14ac:dyDescent="0.3">
      <c r="A340" s="87">
        <v>339</v>
      </c>
      <c r="B340" s="88" t="str">
        <f>C340&amp;"-"&amp;E340&amp;"-"&amp;F340</f>
        <v>Wiggins Tigers Sporting Club-Unassigned 1-Trap</v>
      </c>
      <c r="C340" s="88" t="s">
        <v>320</v>
      </c>
      <c r="D340" s="88" t="str">
        <f>INDEX('Tournament Setup'!$B$59:$B$78,MATCH(E340,SquadConcurrents,0))</f>
        <v>Unassigned</v>
      </c>
      <c r="E340" s="88" t="s">
        <v>762</v>
      </c>
      <c r="F340" s="88" t="s">
        <v>147</v>
      </c>
      <c r="G340" s="96" t="str">
        <f>IF(F340="Skeet",IFERROR(INDEX('Shooter-Squad Assignment'!$A:$A,MATCH(C340&amp;"-"&amp;E340&amp;"-"&amp;F340&amp;"-Pos1",'Shooter-Squad Assignment'!$K:$K,0)),""),IF(F340="Trap",IFERROR(INDEX('Shooter-Squad Assignment'!$A:$A,MATCH(C340&amp;"-"&amp;E340&amp;"-"&amp;F340&amp;"-Pos1",'Shooter-Squad Assignment'!$W:$W,0)),""),IF(F340="Sporting Clays",IFERROR(INDEX('Shooter-Squad Assignment'!$A:$A,MATCH(C340&amp;"-"&amp;E340&amp;"-"&amp;F340&amp;"-Pos1",'Shooter-Squad Assignment'!$Z:$Z,0)),""),"")))</f>
        <v/>
      </c>
      <c r="H340" s="88" t="str">
        <f>IF(ISBLANK(G340),"",IFERROR(INDEX('Tournament List'!$D:$D,MATCH(G340,'Tournament List'!$A:$A,0)),""))</f>
        <v/>
      </c>
      <c r="I340" s="96" t="str">
        <f>IF(F340="Skeet",IFERROR(INDEX('Shooter-Squad Assignment'!$A:$A,MATCH(C340&amp;"-"&amp;E340&amp;"-"&amp;F340&amp;"-Pos2",'Shooter-Squad Assignment'!$K:$K,0)),""),IF(F340="Trap",IFERROR(INDEX('Shooter-Squad Assignment'!$A:$A,MATCH(C340&amp;"-"&amp;E340&amp;"-"&amp;F340&amp;"-Pos2",'Shooter-Squad Assignment'!$W:$W,0)),""),IF(F340="Sporting Clays",IFERROR(INDEX('Shooter-Squad Assignment'!$A:$A,MATCH(C340&amp;"-"&amp;E340&amp;"-"&amp;F340&amp;"-Pos2",'Shooter-Squad Assignment'!$Z:$Z,0)),""),"")))</f>
        <v/>
      </c>
      <c r="J340" s="88" t="str">
        <f>IF(ISBLANK(I340),"",IFERROR(INDEX('Tournament List'!$D:$D,MATCH(I340,'Tournament List'!$A:$A,0)),""))</f>
        <v/>
      </c>
      <c r="K340" s="96" t="str">
        <f>IF(F340="Skeet",IFERROR(INDEX('Shooter-Squad Assignment'!$A:$A,MATCH(C340&amp;"-"&amp;E340&amp;"-"&amp;F340&amp;"-Pos3",'Shooter-Squad Assignment'!$K:$K,0)),""),IF(F340="Trap",IFERROR(INDEX('Shooter-Squad Assignment'!$A:$A,MATCH(C340&amp;"-"&amp;E340&amp;"-"&amp;F340&amp;"-Pos3",'Shooter-Squad Assignment'!$W:$W,0)),""),IF(F340="Sporting Clays",IFERROR(INDEX('Shooter-Squad Assignment'!$A:$A,MATCH(C340&amp;"-"&amp;E340&amp;"-"&amp;F340&amp;"-Pos3",'Shooter-Squad Assignment'!$Z:$Z,0)),""),"")))</f>
        <v/>
      </c>
      <c r="L340" s="88" t="str">
        <f>IF(ISBLANK(K340),"",IFERROR(INDEX('Tournament List'!$D:$D,MATCH(K340,'Tournament List'!$A:$A,0)),""))</f>
        <v/>
      </c>
      <c r="M340" s="96" t="str">
        <f>IF(F340="Skeet",IFERROR(INDEX('Shooter-Squad Assignment'!$A:$A,MATCH(C340&amp;"-"&amp;E340&amp;"-"&amp;F340&amp;"-Pos4",'Shooter-Squad Assignment'!$K:$K,0)),""),IF(F340="Trap",IFERROR(INDEX('Shooter-Squad Assignment'!$A:$A,MATCH(C340&amp;"-"&amp;E340&amp;"-"&amp;F340&amp;"-Pos4",'Shooter-Squad Assignment'!$W:$W,0)),""),IF(F340="Sporting Clays",IFERROR(INDEX('Shooter-Squad Assignment'!$A:$A,MATCH(C340&amp;"-"&amp;E340&amp;"-"&amp;F340&amp;"-Pos4",'Shooter-Squad Assignment'!$Z:$Z,0)),""),"")))</f>
        <v/>
      </c>
      <c r="N340" s="88" t="str">
        <f>IF(ISBLANK(M340),"",IFERROR(INDEX('Tournament List'!$D:$D,MATCH(M340,'Tournament List'!$A:$A,0)),""))</f>
        <v/>
      </c>
      <c r="O340" s="96" t="str">
        <f>IF(F340="Skeet",IFERROR(INDEX('Shooter-Squad Assignment'!$A:$A,MATCH(C340&amp;"-"&amp;E340&amp;"-"&amp;F340&amp;"-Pos5",'Shooter-Squad Assignment'!$K:$K,0)),""),IF(F340="Trap",IFERROR(INDEX('Shooter-Squad Assignment'!$A:$A,MATCH(C340&amp;"-"&amp;E340&amp;"-"&amp;F340&amp;"-Pos5",'Shooter-Squad Assignment'!$W:$W,0)),""),IF(F340="Sporting Clays",IFERROR(INDEX('Shooter-Squad Assignment'!$A:$A,MATCH(C340&amp;"-"&amp;E340&amp;"-"&amp;F340&amp;"-Pos5",'Shooter-Squad Assignment'!$Z:$Z,0)),""),"")))</f>
        <v/>
      </c>
      <c r="P340" s="89" t="str">
        <f>IF(ISBLANK(O340),"",IFERROR(INDEX('Tournament List'!$D:$D,MATCH(O340,'Tournament List'!$A:$A,0)),""))</f>
        <v/>
      </c>
    </row>
    <row r="341" spans="1:16" x14ac:dyDescent="0.3">
      <c r="A341" s="87">
        <v>340</v>
      </c>
      <c r="B341" s="88" t="str">
        <f>C341&amp;"-"&amp;E341&amp;"-"&amp;F341</f>
        <v>Wiggins Tigers Sporting Club-Varsity 1-Trap</v>
      </c>
      <c r="C341" s="88" t="s">
        <v>320</v>
      </c>
      <c r="D341" s="88" t="str">
        <f>INDEX('Tournament Setup'!$B$59:$B$78,MATCH(E341,SquadConcurrents,0))</f>
        <v>Varsity</v>
      </c>
      <c r="E341" s="88" t="s">
        <v>340</v>
      </c>
      <c r="F341" s="88" t="s">
        <v>147</v>
      </c>
      <c r="G341" s="96" t="str">
        <f>IF(F341="Skeet",IFERROR(INDEX('Shooter-Squad Assignment'!$A:$A,MATCH(C341&amp;"-"&amp;E341&amp;"-"&amp;F341&amp;"-Pos1",'Shooter-Squad Assignment'!$K:$K,0)),""),IF(F341="Trap",IFERROR(INDEX('Shooter-Squad Assignment'!$A:$A,MATCH(C341&amp;"-"&amp;E341&amp;"-"&amp;F341&amp;"-Pos1",'Shooter-Squad Assignment'!$W:$W,0)),""),IF(F341="Sporting Clays",IFERROR(INDEX('Shooter-Squad Assignment'!$A:$A,MATCH(C341&amp;"-"&amp;E341&amp;"-"&amp;F341&amp;"-Pos1",'Shooter-Squad Assignment'!$Z:$Z,0)),""),"")))</f>
        <v/>
      </c>
      <c r="H341" s="88" t="str">
        <f>IF(ISBLANK(G341),"",IFERROR(INDEX('Tournament List'!$D:$D,MATCH(G341,'Tournament List'!$A:$A,0)),""))</f>
        <v/>
      </c>
      <c r="I341" s="96" t="str">
        <f>IF(F341="Skeet",IFERROR(INDEX('Shooter-Squad Assignment'!$A:$A,MATCH(C341&amp;"-"&amp;E341&amp;"-"&amp;F341&amp;"-Pos2",'Shooter-Squad Assignment'!$K:$K,0)),""),IF(F341="Trap",IFERROR(INDEX('Shooter-Squad Assignment'!$A:$A,MATCH(C341&amp;"-"&amp;E341&amp;"-"&amp;F341&amp;"-Pos2",'Shooter-Squad Assignment'!$W:$W,0)),""),IF(F341="Sporting Clays",IFERROR(INDEX('Shooter-Squad Assignment'!$A:$A,MATCH(C341&amp;"-"&amp;E341&amp;"-"&amp;F341&amp;"-Pos2",'Shooter-Squad Assignment'!$Z:$Z,0)),""),"")))</f>
        <v/>
      </c>
      <c r="J341" s="88" t="str">
        <f>IF(ISBLANK(I341),"",IFERROR(INDEX('Tournament List'!$D:$D,MATCH(I341,'Tournament List'!$A:$A,0)),""))</f>
        <v/>
      </c>
      <c r="K341" s="96" t="str">
        <f>IF(F341="Skeet",IFERROR(INDEX('Shooter-Squad Assignment'!$A:$A,MATCH(C341&amp;"-"&amp;E341&amp;"-"&amp;F341&amp;"-Pos3",'Shooter-Squad Assignment'!$K:$K,0)),""),IF(F341="Trap",IFERROR(INDEX('Shooter-Squad Assignment'!$A:$A,MATCH(C341&amp;"-"&amp;E341&amp;"-"&amp;F341&amp;"-Pos3",'Shooter-Squad Assignment'!$W:$W,0)),""),IF(F341="Sporting Clays",IFERROR(INDEX('Shooter-Squad Assignment'!$A:$A,MATCH(C341&amp;"-"&amp;E341&amp;"-"&amp;F341&amp;"-Pos3",'Shooter-Squad Assignment'!$Z:$Z,0)),""),"")))</f>
        <v/>
      </c>
      <c r="L341" s="88" t="str">
        <f>IF(ISBLANK(K341),"",IFERROR(INDEX('Tournament List'!$D:$D,MATCH(K341,'Tournament List'!$A:$A,0)),""))</f>
        <v/>
      </c>
      <c r="M341" s="96" t="str">
        <f>IF(F341="Skeet",IFERROR(INDEX('Shooter-Squad Assignment'!$A:$A,MATCH(C341&amp;"-"&amp;E341&amp;"-"&amp;F341&amp;"-Pos4",'Shooter-Squad Assignment'!$K:$K,0)),""),IF(F341="Trap",IFERROR(INDEX('Shooter-Squad Assignment'!$A:$A,MATCH(C341&amp;"-"&amp;E341&amp;"-"&amp;F341&amp;"-Pos4",'Shooter-Squad Assignment'!$W:$W,0)),""),IF(F341="Sporting Clays",IFERROR(INDEX('Shooter-Squad Assignment'!$A:$A,MATCH(C341&amp;"-"&amp;E341&amp;"-"&amp;F341&amp;"-Pos4",'Shooter-Squad Assignment'!$Z:$Z,0)),""),"")))</f>
        <v/>
      </c>
      <c r="N341" s="88" t="str">
        <f>IF(ISBLANK(M341),"",IFERROR(INDEX('Tournament List'!$D:$D,MATCH(M341,'Tournament List'!$A:$A,0)),""))</f>
        <v/>
      </c>
      <c r="O341" s="96" t="str">
        <f>IF(F341="Skeet",IFERROR(INDEX('Shooter-Squad Assignment'!$A:$A,MATCH(C341&amp;"-"&amp;E341&amp;"-"&amp;F341&amp;"-Pos5",'Shooter-Squad Assignment'!$K:$K,0)),""),IF(F341="Trap",IFERROR(INDEX('Shooter-Squad Assignment'!$A:$A,MATCH(C341&amp;"-"&amp;E341&amp;"-"&amp;F341&amp;"-Pos5",'Shooter-Squad Assignment'!$W:$W,0)),""),IF(F341="Sporting Clays",IFERROR(INDEX('Shooter-Squad Assignment'!$A:$A,MATCH(C341&amp;"-"&amp;E341&amp;"-"&amp;F341&amp;"-Pos5",'Shooter-Squad Assignment'!$Z:$Z,0)),""),"")))</f>
        <v/>
      </c>
      <c r="P341" s="89" t="str">
        <f>IF(ISBLANK(O341),"",IFERROR(INDEX('Tournament List'!$D:$D,MATCH(O341,'Tournament List'!$A:$A,0)),""))</f>
        <v/>
      </c>
    </row>
    <row r="342" spans="1:16" x14ac:dyDescent="0.3">
      <c r="A342" s="87">
        <v>341</v>
      </c>
      <c r="B342" s="88" t="str">
        <f>C342&amp;"-"&amp;E342&amp;"-"&amp;F342</f>
        <v>Wiggins Tigers Sporting Club-Varsity 2-Trap</v>
      </c>
      <c r="C342" s="88" t="s">
        <v>320</v>
      </c>
      <c r="D342" s="88" t="str">
        <f>INDEX('Tournament Setup'!$B$59:$B$78,MATCH(E342,SquadConcurrents,0))</f>
        <v>Varsity</v>
      </c>
      <c r="E342" s="88" t="s">
        <v>346</v>
      </c>
      <c r="F342" s="88" t="s">
        <v>147</v>
      </c>
      <c r="G342" s="96" t="str">
        <f>IF(F342="Skeet",IFERROR(INDEX('Shooter-Squad Assignment'!$A:$A,MATCH(C342&amp;"-"&amp;E342&amp;"-"&amp;F342&amp;"-Pos1",'Shooter-Squad Assignment'!$K:$K,0)),""),IF(F342="Trap",IFERROR(INDEX('Shooter-Squad Assignment'!$A:$A,MATCH(C342&amp;"-"&amp;E342&amp;"-"&amp;F342&amp;"-Pos1",'Shooter-Squad Assignment'!$W:$W,0)),""),IF(F342="Sporting Clays",IFERROR(INDEX('Shooter-Squad Assignment'!$A:$A,MATCH(C342&amp;"-"&amp;E342&amp;"-"&amp;F342&amp;"-Pos1",'Shooter-Squad Assignment'!$Z:$Z,0)),""),"")))</f>
        <v/>
      </c>
      <c r="H342" s="88" t="str">
        <f>IF(ISBLANK(G342),"",IFERROR(INDEX('Tournament List'!$D:$D,MATCH(G342,'Tournament List'!$A:$A,0)),""))</f>
        <v/>
      </c>
      <c r="I342" s="96" t="str">
        <f>IF(F342="Skeet",IFERROR(INDEX('Shooter-Squad Assignment'!$A:$A,MATCH(C342&amp;"-"&amp;E342&amp;"-"&amp;F342&amp;"-Pos2",'Shooter-Squad Assignment'!$K:$K,0)),""),IF(F342="Trap",IFERROR(INDEX('Shooter-Squad Assignment'!$A:$A,MATCH(C342&amp;"-"&amp;E342&amp;"-"&amp;F342&amp;"-Pos2",'Shooter-Squad Assignment'!$W:$W,0)),""),IF(F342="Sporting Clays",IFERROR(INDEX('Shooter-Squad Assignment'!$A:$A,MATCH(C342&amp;"-"&amp;E342&amp;"-"&amp;F342&amp;"-Pos2",'Shooter-Squad Assignment'!$Z:$Z,0)),""),"")))</f>
        <v/>
      </c>
      <c r="J342" s="88" t="str">
        <f>IF(ISBLANK(I342),"",IFERROR(INDEX('Tournament List'!$D:$D,MATCH(I342,'Tournament List'!$A:$A,0)),""))</f>
        <v/>
      </c>
      <c r="K342" s="96" t="str">
        <f>IF(F342="Skeet",IFERROR(INDEX('Shooter-Squad Assignment'!$A:$A,MATCH(C342&amp;"-"&amp;E342&amp;"-"&amp;F342&amp;"-Pos3",'Shooter-Squad Assignment'!$K:$K,0)),""),IF(F342="Trap",IFERROR(INDEX('Shooter-Squad Assignment'!$A:$A,MATCH(C342&amp;"-"&amp;E342&amp;"-"&amp;F342&amp;"-Pos3",'Shooter-Squad Assignment'!$W:$W,0)),""),IF(F342="Sporting Clays",IFERROR(INDEX('Shooter-Squad Assignment'!$A:$A,MATCH(C342&amp;"-"&amp;E342&amp;"-"&amp;F342&amp;"-Pos3",'Shooter-Squad Assignment'!$Z:$Z,0)),""),"")))</f>
        <v/>
      </c>
      <c r="L342" s="88" t="str">
        <f>IF(ISBLANK(K342),"",IFERROR(INDEX('Tournament List'!$D:$D,MATCH(K342,'Tournament List'!$A:$A,0)),""))</f>
        <v/>
      </c>
      <c r="M342" s="96" t="str">
        <f>IF(F342="Skeet",IFERROR(INDEX('Shooter-Squad Assignment'!$A:$A,MATCH(C342&amp;"-"&amp;E342&amp;"-"&amp;F342&amp;"-Pos4",'Shooter-Squad Assignment'!$K:$K,0)),""),IF(F342="Trap",IFERROR(INDEX('Shooter-Squad Assignment'!$A:$A,MATCH(C342&amp;"-"&amp;E342&amp;"-"&amp;F342&amp;"-Pos4",'Shooter-Squad Assignment'!$W:$W,0)),""),IF(F342="Sporting Clays",IFERROR(INDEX('Shooter-Squad Assignment'!$A:$A,MATCH(C342&amp;"-"&amp;E342&amp;"-"&amp;F342&amp;"-Pos4",'Shooter-Squad Assignment'!$Z:$Z,0)),""),"")))</f>
        <v/>
      </c>
      <c r="N342" s="88" t="str">
        <f>IF(ISBLANK(M342),"",IFERROR(INDEX('Tournament List'!$D:$D,MATCH(M342,'Tournament List'!$A:$A,0)),""))</f>
        <v/>
      </c>
      <c r="O342" s="96" t="str">
        <f>IF(F342="Skeet",IFERROR(INDEX('Shooter-Squad Assignment'!$A:$A,MATCH(C342&amp;"-"&amp;E342&amp;"-"&amp;F342&amp;"-Pos5",'Shooter-Squad Assignment'!$K:$K,0)),""),IF(F342="Trap",IFERROR(INDEX('Shooter-Squad Assignment'!$A:$A,MATCH(C342&amp;"-"&amp;E342&amp;"-"&amp;F342&amp;"-Pos5",'Shooter-Squad Assignment'!$W:$W,0)),""),IF(F342="Sporting Clays",IFERROR(INDEX('Shooter-Squad Assignment'!$A:$A,MATCH(C342&amp;"-"&amp;E342&amp;"-"&amp;F342&amp;"-Pos5",'Shooter-Squad Assignment'!$Z:$Z,0)),""),"")))</f>
        <v/>
      </c>
      <c r="P342" s="89" t="str">
        <f>IF(ISBLANK(O342),"",IFERROR(INDEX('Tournament List'!$D:$D,MATCH(O342,'Tournament List'!$A:$A,0)),""))</f>
        <v/>
      </c>
    </row>
    <row r="343" spans="1:16" ht="15" thickBot="1" x14ac:dyDescent="0.35">
      <c r="A343" s="90">
        <v>342</v>
      </c>
      <c r="B343" s="91" t="str">
        <f>C343&amp;"-"&amp;E343&amp;"-"&amp;F343</f>
        <v>Wiggins Tigers Sporting Club-Varsity 3-Trap</v>
      </c>
      <c r="C343" s="91" t="s">
        <v>320</v>
      </c>
      <c r="D343" s="91" t="str">
        <f>INDEX('Tournament Setup'!$B$59:$B$78,MATCH(E343,SquadConcurrents,0))</f>
        <v>Varsity</v>
      </c>
      <c r="E343" s="91" t="s">
        <v>352</v>
      </c>
      <c r="F343" s="91" t="s">
        <v>147</v>
      </c>
      <c r="G343" s="97" t="str">
        <f>IF(F343="Skeet",IFERROR(INDEX('Shooter-Squad Assignment'!$A:$A,MATCH(C343&amp;"-"&amp;E343&amp;"-"&amp;F343&amp;"-Pos1",'Shooter-Squad Assignment'!$K:$K,0)),""),IF(F343="Trap",IFERROR(INDEX('Shooter-Squad Assignment'!$A:$A,MATCH(C343&amp;"-"&amp;E343&amp;"-"&amp;F343&amp;"-Pos1",'Shooter-Squad Assignment'!$W:$W,0)),""),IF(F343="Sporting Clays",IFERROR(INDEX('Shooter-Squad Assignment'!$A:$A,MATCH(C343&amp;"-"&amp;E343&amp;"-"&amp;F343&amp;"-Pos1",'Shooter-Squad Assignment'!$Z:$Z,0)),""),"")))</f>
        <v/>
      </c>
      <c r="H343" s="91" t="str">
        <f>IF(ISBLANK(G343),"",IFERROR(INDEX('Tournament List'!$D:$D,MATCH(G343,'Tournament List'!$A:$A,0)),""))</f>
        <v/>
      </c>
      <c r="I343" s="97" t="str">
        <f>IF(F343="Skeet",IFERROR(INDEX('Shooter-Squad Assignment'!$A:$A,MATCH(C343&amp;"-"&amp;E343&amp;"-"&amp;F343&amp;"-Pos2",'Shooter-Squad Assignment'!$K:$K,0)),""),IF(F343="Trap",IFERROR(INDEX('Shooter-Squad Assignment'!$A:$A,MATCH(C343&amp;"-"&amp;E343&amp;"-"&amp;F343&amp;"-Pos2",'Shooter-Squad Assignment'!$W:$W,0)),""),IF(F343="Sporting Clays",IFERROR(INDEX('Shooter-Squad Assignment'!$A:$A,MATCH(C343&amp;"-"&amp;E343&amp;"-"&amp;F343&amp;"-Pos2",'Shooter-Squad Assignment'!$Z:$Z,0)),""),"")))</f>
        <v/>
      </c>
      <c r="J343" s="91" t="str">
        <f>IF(ISBLANK(I343),"",IFERROR(INDEX('Tournament List'!$D:$D,MATCH(I343,'Tournament List'!$A:$A,0)),""))</f>
        <v/>
      </c>
      <c r="K343" s="97" t="str">
        <f>IF(F343="Skeet",IFERROR(INDEX('Shooter-Squad Assignment'!$A:$A,MATCH(C343&amp;"-"&amp;E343&amp;"-"&amp;F343&amp;"-Pos3",'Shooter-Squad Assignment'!$K:$K,0)),""),IF(F343="Trap",IFERROR(INDEX('Shooter-Squad Assignment'!$A:$A,MATCH(C343&amp;"-"&amp;E343&amp;"-"&amp;F343&amp;"-Pos3",'Shooter-Squad Assignment'!$W:$W,0)),""),IF(F343="Sporting Clays",IFERROR(INDEX('Shooter-Squad Assignment'!$A:$A,MATCH(C343&amp;"-"&amp;E343&amp;"-"&amp;F343&amp;"-Pos3",'Shooter-Squad Assignment'!$Z:$Z,0)),""),"")))</f>
        <v/>
      </c>
      <c r="L343" s="91" t="str">
        <f>IF(ISBLANK(K343),"",IFERROR(INDEX('Tournament List'!$D:$D,MATCH(K343,'Tournament List'!$A:$A,0)),""))</f>
        <v/>
      </c>
      <c r="M343" s="97" t="str">
        <f>IF(F343="Skeet",IFERROR(INDEX('Shooter-Squad Assignment'!$A:$A,MATCH(C343&amp;"-"&amp;E343&amp;"-"&amp;F343&amp;"-Pos4",'Shooter-Squad Assignment'!$K:$K,0)),""),IF(F343="Trap",IFERROR(INDEX('Shooter-Squad Assignment'!$A:$A,MATCH(C343&amp;"-"&amp;E343&amp;"-"&amp;F343&amp;"-Pos4",'Shooter-Squad Assignment'!$W:$W,0)),""),IF(F343="Sporting Clays",IFERROR(INDEX('Shooter-Squad Assignment'!$A:$A,MATCH(C343&amp;"-"&amp;E343&amp;"-"&amp;F343&amp;"-Pos4",'Shooter-Squad Assignment'!$Z:$Z,0)),""),"")))</f>
        <v/>
      </c>
      <c r="N343" s="91" t="str">
        <f>IF(ISBLANK(M343),"",IFERROR(INDEX('Tournament List'!$D:$D,MATCH(M343,'Tournament List'!$A:$A,0)),""))</f>
        <v/>
      </c>
      <c r="O343" s="97" t="str">
        <f>IF(F343="Skeet",IFERROR(INDEX('Shooter-Squad Assignment'!$A:$A,MATCH(C343&amp;"-"&amp;E343&amp;"-"&amp;F343&amp;"-Pos5",'Shooter-Squad Assignment'!$K:$K,0)),""),IF(F343="Trap",IFERROR(INDEX('Shooter-Squad Assignment'!$A:$A,MATCH(C343&amp;"-"&amp;E343&amp;"-"&amp;F343&amp;"-Pos5",'Shooter-Squad Assignment'!$W:$W,0)),""),IF(F343="Sporting Clays",IFERROR(INDEX('Shooter-Squad Assignment'!$A:$A,MATCH(C343&amp;"-"&amp;E343&amp;"-"&amp;F343&amp;"-Pos5",'Shooter-Squad Assignment'!$Z:$Z,0)),""),"")))</f>
        <v/>
      </c>
      <c r="P343" s="92" t="str">
        <f>IF(ISBLANK(O343),"",IFERROR(INDEX('Tournament List'!$D:$D,MATCH(O343,'Tournament List'!$A:$A,0)),""))</f>
        <v/>
      </c>
    </row>
    <row r="344" spans="1:16" x14ac:dyDescent="0.3">
      <c r="A344" s="76">
        <v>343</v>
      </c>
      <c r="B344" s="77" t="str">
        <f>C344&amp;"-"&amp;E344&amp;"-"&amp;F344</f>
        <v>-Collegiate 1-Skeet</v>
      </c>
      <c r="C344" s="77"/>
      <c r="D344" s="77" t="str">
        <f>INDEX('Tournament Setup'!$B$59:$B$78,MATCH(E344,SquadConcurrents,0))</f>
        <v>Collegiate</v>
      </c>
      <c r="E344" s="77" t="s">
        <v>342</v>
      </c>
      <c r="F344" s="77" t="s">
        <v>143</v>
      </c>
      <c r="G344" s="93" t="str">
        <f>IF(F344="Skeet",IFERROR(INDEX('Shooter-Squad Assignment'!$A:$A,MATCH(C344&amp;"-"&amp;E344&amp;"-"&amp;F344&amp;"-Pos1",'Shooter-Squad Assignment'!$K:$K,0)),""),IF(F344="Trap",IFERROR(INDEX('Shooter-Squad Assignment'!$A:$A,MATCH(C344&amp;"-"&amp;E344&amp;"-"&amp;F344&amp;"-Pos1",'Shooter-Squad Assignment'!$W:$W,0)),""),IF(F344="Sporting Clays",IFERROR(INDEX('Shooter-Squad Assignment'!$A:$A,MATCH(C344&amp;"-"&amp;E344&amp;"-"&amp;F344&amp;"-Pos1",'Shooter-Squad Assignment'!$Z:$Z,0)),""),"")))</f>
        <v/>
      </c>
      <c r="H344" s="77" t="str">
        <f>IF(ISBLANK(G344),"",IFERROR(INDEX('Tournament List'!$D:$D,MATCH(G344,'Tournament List'!$A:$A,0)),""))</f>
        <v/>
      </c>
      <c r="I344" s="93" t="str">
        <f>IF(F344="Skeet",IFERROR(INDEX('Shooter-Squad Assignment'!$A:$A,MATCH(C344&amp;"-"&amp;E344&amp;"-"&amp;F344&amp;"-Pos2",'Shooter-Squad Assignment'!$K:$K,0)),""),IF(F344="Trap",IFERROR(INDEX('Shooter-Squad Assignment'!$A:$A,MATCH(C344&amp;"-"&amp;E344&amp;"-"&amp;F344&amp;"-Pos2",'Shooter-Squad Assignment'!$W:$W,0)),""),IF(F344="Sporting Clays",IFERROR(INDEX('Shooter-Squad Assignment'!$A:$A,MATCH(C344&amp;"-"&amp;E344&amp;"-"&amp;F344&amp;"-Pos2",'Shooter-Squad Assignment'!$Z:$Z,0)),""),"")))</f>
        <v/>
      </c>
      <c r="J344" s="77" t="str">
        <f>IF(ISBLANK(I344),"",IFERROR(INDEX('Tournament List'!$D:$D,MATCH(I344,'Tournament List'!$A:$A,0)),""))</f>
        <v/>
      </c>
      <c r="K344" s="93" t="str">
        <f>IF(F344="Skeet",IFERROR(INDEX('Shooter-Squad Assignment'!$A:$A,MATCH(C344&amp;"-"&amp;E344&amp;"-"&amp;F344&amp;"-Pos3",'Shooter-Squad Assignment'!$K:$K,0)),""),IF(F344="Trap",IFERROR(INDEX('Shooter-Squad Assignment'!$A:$A,MATCH(C344&amp;"-"&amp;E344&amp;"-"&amp;F344&amp;"-Pos3",'Shooter-Squad Assignment'!$W:$W,0)),""),IF(F344="Sporting Clays",IFERROR(INDEX('Shooter-Squad Assignment'!$A:$A,MATCH(C344&amp;"-"&amp;E344&amp;"-"&amp;F344&amp;"-Pos3",'Shooter-Squad Assignment'!$Z:$Z,0)),""),"")))</f>
        <v/>
      </c>
      <c r="L344" s="77" t="str">
        <f>IF(ISBLANK(K344),"",IFERROR(INDEX('Tournament List'!$D:$D,MATCH(K344,'Tournament List'!$A:$A,0)),""))</f>
        <v/>
      </c>
      <c r="M344" s="93" t="str">
        <f>IF(F344="Skeet",IFERROR(INDEX('Shooter-Squad Assignment'!$A:$A,MATCH(C344&amp;"-"&amp;E344&amp;"-"&amp;F344&amp;"-Pos4",'Shooter-Squad Assignment'!$K:$K,0)),""),IF(F344="Trap",IFERROR(INDEX('Shooter-Squad Assignment'!$A:$A,MATCH(C344&amp;"-"&amp;E344&amp;"-"&amp;F344&amp;"-Pos4",'Shooter-Squad Assignment'!$W:$W,0)),""),IF(F344="Sporting Clays",IFERROR(INDEX('Shooter-Squad Assignment'!$A:$A,MATCH(C344&amp;"-"&amp;E344&amp;"-"&amp;F344&amp;"-Pos4",'Shooter-Squad Assignment'!$Z:$Z,0)),""),"")))</f>
        <v/>
      </c>
      <c r="N344" s="77" t="str">
        <f>IF(ISBLANK(M344),"",IFERROR(INDEX('Tournament List'!$D:$D,MATCH(M344,'Tournament List'!$A:$A,0)),""))</f>
        <v/>
      </c>
      <c r="O344" s="93" t="str">
        <f>IF(F344="Skeet",IFERROR(INDEX('Shooter-Squad Assignment'!$A:$A,MATCH(C344&amp;"-"&amp;E344&amp;"-"&amp;F344&amp;"-Pos5",'Shooter-Squad Assignment'!$K:$K,0)),""),IF(F344="Trap",IFERROR(INDEX('Shooter-Squad Assignment'!$A:$A,MATCH(C344&amp;"-"&amp;E344&amp;"-"&amp;F344&amp;"-Pos5",'Shooter-Squad Assignment'!$W:$W,0)),""),IF(F344="Sporting Clays",IFERROR(INDEX('Shooter-Squad Assignment'!$A:$A,MATCH(C344&amp;"-"&amp;E344&amp;"-"&amp;F344&amp;"-Pos5",'Shooter-Squad Assignment'!$Z:$Z,0)),""),"")))</f>
        <v/>
      </c>
      <c r="P344" s="77" t="str">
        <f>IF(ISBLANK(O344),"",IFERROR(INDEX('Tournament List'!$D:$D,MATCH(O344,'Tournament List'!$A:$A,0)),""))</f>
        <v/>
      </c>
    </row>
    <row r="345" spans="1:16" x14ac:dyDescent="0.3">
      <c r="A345" s="78">
        <v>344</v>
      </c>
      <c r="B345" s="73" t="str">
        <f>C345&amp;"-"&amp;E345&amp;"-"&amp;F345</f>
        <v>-Collegiate 2-Skeet</v>
      </c>
      <c r="C345" s="73"/>
      <c r="D345" s="73" t="str">
        <f>INDEX('Tournament Setup'!$B$59:$B$78,MATCH(E345,SquadConcurrents,0))</f>
        <v>Collegiate</v>
      </c>
      <c r="E345" s="73" t="s">
        <v>348</v>
      </c>
      <c r="F345" s="73" t="s">
        <v>143</v>
      </c>
      <c r="G345" s="94" t="str">
        <f>IF(F345="Skeet",IFERROR(INDEX('Shooter-Squad Assignment'!$A:$A,MATCH(C345&amp;"-"&amp;E345&amp;"-"&amp;F345&amp;"-Pos1",'Shooter-Squad Assignment'!$K:$K,0)),""),IF(F345="Trap",IFERROR(INDEX('Shooter-Squad Assignment'!$A:$A,MATCH(C345&amp;"-"&amp;E345&amp;"-"&amp;F345&amp;"-Pos1",'Shooter-Squad Assignment'!$W:$W,0)),""),IF(F345="Sporting Clays",IFERROR(INDEX('Shooter-Squad Assignment'!$A:$A,MATCH(C345&amp;"-"&amp;E345&amp;"-"&amp;F345&amp;"-Pos1",'Shooter-Squad Assignment'!$Z:$Z,0)),""),"")))</f>
        <v/>
      </c>
      <c r="H345" s="73" t="str">
        <f>IF(ISBLANK(G345),"",IFERROR(INDEX('Tournament List'!$D:$D,MATCH(G345,'Tournament List'!$A:$A,0)),""))</f>
        <v/>
      </c>
      <c r="I345" s="94" t="str">
        <f>IF(F345="Skeet",IFERROR(INDEX('Shooter-Squad Assignment'!$A:$A,MATCH(C345&amp;"-"&amp;E345&amp;"-"&amp;F345&amp;"-Pos2",'Shooter-Squad Assignment'!$K:$K,0)),""),IF(F345="Trap",IFERROR(INDEX('Shooter-Squad Assignment'!$A:$A,MATCH(C345&amp;"-"&amp;E345&amp;"-"&amp;F345&amp;"-Pos2",'Shooter-Squad Assignment'!$W:$W,0)),""),IF(F345="Sporting Clays",IFERROR(INDEX('Shooter-Squad Assignment'!$A:$A,MATCH(C345&amp;"-"&amp;E345&amp;"-"&amp;F345&amp;"-Pos2",'Shooter-Squad Assignment'!$Z:$Z,0)),""),"")))</f>
        <v/>
      </c>
      <c r="J345" s="73" t="str">
        <f>IF(ISBLANK(I345),"",IFERROR(INDEX('Tournament List'!$D:$D,MATCH(I345,'Tournament List'!$A:$A,0)),""))</f>
        <v/>
      </c>
      <c r="K345" s="94" t="str">
        <f>IF(F345="Skeet",IFERROR(INDEX('Shooter-Squad Assignment'!$A:$A,MATCH(C345&amp;"-"&amp;E345&amp;"-"&amp;F345&amp;"-Pos3",'Shooter-Squad Assignment'!$K:$K,0)),""),IF(F345="Trap",IFERROR(INDEX('Shooter-Squad Assignment'!$A:$A,MATCH(C345&amp;"-"&amp;E345&amp;"-"&amp;F345&amp;"-Pos3",'Shooter-Squad Assignment'!$W:$W,0)),""),IF(F345="Sporting Clays",IFERROR(INDEX('Shooter-Squad Assignment'!$A:$A,MATCH(C345&amp;"-"&amp;E345&amp;"-"&amp;F345&amp;"-Pos3",'Shooter-Squad Assignment'!$Z:$Z,0)),""),"")))</f>
        <v/>
      </c>
      <c r="L345" s="73" t="str">
        <f>IF(ISBLANK(K345),"",IFERROR(INDEX('Tournament List'!$D:$D,MATCH(K345,'Tournament List'!$A:$A,0)),""))</f>
        <v/>
      </c>
      <c r="M345" s="94" t="str">
        <f>IF(F345="Skeet",IFERROR(INDEX('Shooter-Squad Assignment'!$A:$A,MATCH(C345&amp;"-"&amp;E345&amp;"-"&amp;F345&amp;"-Pos4",'Shooter-Squad Assignment'!$K:$K,0)),""),IF(F345="Trap",IFERROR(INDEX('Shooter-Squad Assignment'!$A:$A,MATCH(C345&amp;"-"&amp;E345&amp;"-"&amp;F345&amp;"-Pos4",'Shooter-Squad Assignment'!$W:$W,0)),""),IF(F345="Sporting Clays",IFERROR(INDEX('Shooter-Squad Assignment'!$A:$A,MATCH(C345&amp;"-"&amp;E345&amp;"-"&amp;F345&amp;"-Pos4",'Shooter-Squad Assignment'!$Z:$Z,0)),""),"")))</f>
        <v/>
      </c>
      <c r="N345" s="73" t="str">
        <f>IF(ISBLANK(M345),"",IFERROR(INDEX('Tournament List'!$D:$D,MATCH(M345,'Tournament List'!$A:$A,0)),""))</f>
        <v/>
      </c>
      <c r="O345" s="94" t="str">
        <f>IF(F345="Skeet",IFERROR(INDEX('Shooter-Squad Assignment'!$A:$A,MATCH(C345&amp;"-"&amp;E345&amp;"-"&amp;F345&amp;"-Pos5",'Shooter-Squad Assignment'!$K:$K,0)),""),IF(F345="Trap",IFERROR(INDEX('Shooter-Squad Assignment'!$A:$A,MATCH(C345&amp;"-"&amp;E345&amp;"-"&amp;F345&amp;"-Pos5",'Shooter-Squad Assignment'!$W:$W,0)),""),IF(F345="Sporting Clays",IFERROR(INDEX('Shooter-Squad Assignment'!$A:$A,MATCH(C345&amp;"-"&amp;E345&amp;"-"&amp;F345&amp;"-Pos5",'Shooter-Squad Assignment'!$Z:$Z,0)),""),"")))</f>
        <v/>
      </c>
      <c r="P345" s="79" t="str">
        <f>IF(ISBLANK(O345),"",IFERROR(INDEX('Tournament List'!$D:$D,MATCH(O345,'Tournament List'!$A:$A,0)),""))</f>
        <v/>
      </c>
    </row>
    <row r="346" spans="1:16" x14ac:dyDescent="0.3">
      <c r="A346" s="78">
        <v>345</v>
      </c>
      <c r="B346" s="73" t="str">
        <f>C346&amp;"-"&amp;E346&amp;"-"&amp;F346</f>
        <v>-Collegiate 3-Skeet</v>
      </c>
      <c r="C346" s="73"/>
      <c r="D346" s="73" t="str">
        <f>INDEX('Tournament Setup'!$B$59:$B$78,MATCH(E346,SquadConcurrents,0))</f>
        <v>Collegiate</v>
      </c>
      <c r="E346" s="73" t="s">
        <v>354</v>
      </c>
      <c r="F346" s="73" t="s">
        <v>143</v>
      </c>
      <c r="G346" s="94" t="str">
        <f>IF(F346="Skeet",IFERROR(INDEX('Shooter-Squad Assignment'!$A:$A,MATCH(C346&amp;"-"&amp;E346&amp;"-"&amp;F346&amp;"-Pos1",'Shooter-Squad Assignment'!$K:$K,0)),""),IF(F346="Trap",IFERROR(INDEX('Shooter-Squad Assignment'!$A:$A,MATCH(C346&amp;"-"&amp;E346&amp;"-"&amp;F346&amp;"-Pos1",'Shooter-Squad Assignment'!$W:$W,0)),""),IF(F346="Sporting Clays",IFERROR(INDEX('Shooter-Squad Assignment'!$A:$A,MATCH(C346&amp;"-"&amp;E346&amp;"-"&amp;F346&amp;"-Pos1",'Shooter-Squad Assignment'!$Z:$Z,0)),""),"")))</f>
        <v/>
      </c>
      <c r="H346" s="73" t="str">
        <f>IF(ISBLANK(G346),"",IFERROR(INDEX('Tournament List'!$D:$D,MATCH(G346,'Tournament List'!$A:$A,0)),""))</f>
        <v/>
      </c>
      <c r="I346" s="94" t="str">
        <f>IF(F346="Skeet",IFERROR(INDEX('Shooter-Squad Assignment'!$A:$A,MATCH(C346&amp;"-"&amp;E346&amp;"-"&amp;F346&amp;"-Pos2",'Shooter-Squad Assignment'!$K:$K,0)),""),IF(F346="Trap",IFERROR(INDEX('Shooter-Squad Assignment'!$A:$A,MATCH(C346&amp;"-"&amp;E346&amp;"-"&amp;F346&amp;"-Pos2",'Shooter-Squad Assignment'!$W:$W,0)),""),IF(F346="Sporting Clays",IFERROR(INDEX('Shooter-Squad Assignment'!$A:$A,MATCH(C346&amp;"-"&amp;E346&amp;"-"&amp;F346&amp;"-Pos2",'Shooter-Squad Assignment'!$Z:$Z,0)),""),"")))</f>
        <v/>
      </c>
      <c r="J346" s="73" t="str">
        <f>IF(ISBLANK(I346),"",IFERROR(INDEX('Tournament List'!$D:$D,MATCH(I346,'Tournament List'!$A:$A,0)),""))</f>
        <v/>
      </c>
      <c r="K346" s="94" t="str">
        <f>IF(F346="Skeet",IFERROR(INDEX('Shooter-Squad Assignment'!$A:$A,MATCH(C346&amp;"-"&amp;E346&amp;"-"&amp;F346&amp;"-Pos3",'Shooter-Squad Assignment'!$K:$K,0)),""),IF(F346="Trap",IFERROR(INDEX('Shooter-Squad Assignment'!$A:$A,MATCH(C346&amp;"-"&amp;E346&amp;"-"&amp;F346&amp;"-Pos3",'Shooter-Squad Assignment'!$W:$W,0)),""),IF(F346="Sporting Clays",IFERROR(INDEX('Shooter-Squad Assignment'!$A:$A,MATCH(C346&amp;"-"&amp;E346&amp;"-"&amp;F346&amp;"-Pos3",'Shooter-Squad Assignment'!$Z:$Z,0)),""),"")))</f>
        <v/>
      </c>
      <c r="L346" s="73" t="str">
        <f>IF(ISBLANK(K346),"",IFERROR(INDEX('Tournament List'!$D:$D,MATCH(K346,'Tournament List'!$A:$A,0)),""))</f>
        <v/>
      </c>
      <c r="M346" s="94" t="str">
        <f>IF(F346="Skeet",IFERROR(INDEX('Shooter-Squad Assignment'!$A:$A,MATCH(C346&amp;"-"&amp;E346&amp;"-"&amp;F346&amp;"-Pos4",'Shooter-Squad Assignment'!$K:$K,0)),""),IF(F346="Trap",IFERROR(INDEX('Shooter-Squad Assignment'!$A:$A,MATCH(C346&amp;"-"&amp;E346&amp;"-"&amp;F346&amp;"-Pos4",'Shooter-Squad Assignment'!$W:$W,0)),""),IF(F346="Sporting Clays",IFERROR(INDEX('Shooter-Squad Assignment'!$A:$A,MATCH(C346&amp;"-"&amp;E346&amp;"-"&amp;F346&amp;"-Pos4",'Shooter-Squad Assignment'!$Z:$Z,0)),""),"")))</f>
        <v/>
      </c>
      <c r="N346" s="73" t="str">
        <f>IF(ISBLANK(M346),"",IFERROR(INDEX('Tournament List'!$D:$D,MATCH(M346,'Tournament List'!$A:$A,0)),""))</f>
        <v/>
      </c>
      <c r="O346" s="94" t="str">
        <f>IF(F346="Skeet",IFERROR(INDEX('Shooter-Squad Assignment'!$A:$A,MATCH(C346&amp;"-"&amp;E346&amp;"-"&amp;F346&amp;"-Pos5",'Shooter-Squad Assignment'!$K:$K,0)),""),IF(F346="Trap",IFERROR(INDEX('Shooter-Squad Assignment'!$A:$A,MATCH(C346&amp;"-"&amp;E346&amp;"-"&amp;F346&amp;"-Pos5",'Shooter-Squad Assignment'!$W:$W,0)),""),IF(F346="Sporting Clays",IFERROR(INDEX('Shooter-Squad Assignment'!$A:$A,MATCH(C346&amp;"-"&amp;E346&amp;"-"&amp;F346&amp;"-Pos5",'Shooter-Squad Assignment'!$Z:$Z,0)),""),"")))</f>
        <v/>
      </c>
      <c r="P346" s="79" t="str">
        <f>IF(ISBLANK(O346),"",IFERROR(INDEX('Tournament List'!$D:$D,MATCH(O346,'Tournament List'!$A:$A,0)),""))</f>
        <v/>
      </c>
    </row>
    <row r="347" spans="1:16" x14ac:dyDescent="0.3">
      <c r="A347" s="78">
        <v>346</v>
      </c>
      <c r="B347" s="73" t="str">
        <f>C347&amp;"-"&amp;E347&amp;"-"&amp;F347</f>
        <v>-Intermediate 1-Skeet</v>
      </c>
      <c r="C347" s="73"/>
      <c r="D347" s="73" t="str">
        <f>INDEX('Tournament Setup'!$B$59:$B$78,MATCH(E347,SquadConcurrents,0))</f>
        <v>Intermediate</v>
      </c>
      <c r="E347" s="73" t="s">
        <v>338</v>
      </c>
      <c r="F347" s="73" t="s">
        <v>143</v>
      </c>
      <c r="G347" s="94" t="str">
        <f>IF(F347="Skeet",IFERROR(INDEX('Shooter-Squad Assignment'!$A:$A,MATCH(C347&amp;"-"&amp;E347&amp;"-"&amp;F347&amp;"-Pos1",'Shooter-Squad Assignment'!$K:$K,0)),""),IF(F347="Trap",IFERROR(INDEX('Shooter-Squad Assignment'!$A:$A,MATCH(C347&amp;"-"&amp;E347&amp;"-"&amp;F347&amp;"-Pos1",'Shooter-Squad Assignment'!$W:$W,0)),""),IF(F347="Sporting Clays",IFERROR(INDEX('Shooter-Squad Assignment'!$A:$A,MATCH(C347&amp;"-"&amp;E347&amp;"-"&amp;F347&amp;"-Pos1",'Shooter-Squad Assignment'!$Z:$Z,0)),""),"")))</f>
        <v/>
      </c>
      <c r="H347" s="73" t="str">
        <f>IF(ISBLANK(G347),"",IFERROR(INDEX('Tournament List'!$D:$D,MATCH(G347,'Tournament List'!$A:$A,0)),""))</f>
        <v/>
      </c>
      <c r="I347" s="94" t="str">
        <f>IF(F347="Skeet",IFERROR(INDEX('Shooter-Squad Assignment'!$A:$A,MATCH(C347&amp;"-"&amp;E347&amp;"-"&amp;F347&amp;"-Pos2",'Shooter-Squad Assignment'!$K:$K,0)),""),IF(F347="Trap",IFERROR(INDEX('Shooter-Squad Assignment'!$A:$A,MATCH(C347&amp;"-"&amp;E347&amp;"-"&amp;F347&amp;"-Pos2",'Shooter-Squad Assignment'!$W:$W,0)),""),IF(F347="Sporting Clays",IFERROR(INDEX('Shooter-Squad Assignment'!$A:$A,MATCH(C347&amp;"-"&amp;E347&amp;"-"&amp;F347&amp;"-Pos2",'Shooter-Squad Assignment'!$Z:$Z,0)),""),"")))</f>
        <v/>
      </c>
      <c r="J347" s="73" t="str">
        <f>IF(ISBLANK(I347),"",IFERROR(INDEX('Tournament List'!$D:$D,MATCH(I347,'Tournament List'!$A:$A,0)),""))</f>
        <v/>
      </c>
      <c r="K347" s="94" t="str">
        <f>IF(F347="Skeet",IFERROR(INDEX('Shooter-Squad Assignment'!$A:$A,MATCH(C347&amp;"-"&amp;E347&amp;"-"&amp;F347&amp;"-Pos3",'Shooter-Squad Assignment'!$K:$K,0)),""),IF(F347="Trap",IFERROR(INDEX('Shooter-Squad Assignment'!$A:$A,MATCH(C347&amp;"-"&amp;E347&amp;"-"&amp;F347&amp;"-Pos3",'Shooter-Squad Assignment'!$W:$W,0)),""),IF(F347="Sporting Clays",IFERROR(INDEX('Shooter-Squad Assignment'!$A:$A,MATCH(C347&amp;"-"&amp;E347&amp;"-"&amp;F347&amp;"-Pos3",'Shooter-Squad Assignment'!$Z:$Z,0)),""),"")))</f>
        <v/>
      </c>
      <c r="L347" s="73" t="str">
        <f>IF(ISBLANK(K347),"",IFERROR(INDEX('Tournament List'!$D:$D,MATCH(K347,'Tournament List'!$A:$A,0)),""))</f>
        <v/>
      </c>
      <c r="M347" s="94" t="str">
        <f>IF(F347="Skeet",IFERROR(INDEX('Shooter-Squad Assignment'!$A:$A,MATCH(C347&amp;"-"&amp;E347&amp;"-"&amp;F347&amp;"-Pos4",'Shooter-Squad Assignment'!$K:$K,0)),""),IF(F347="Trap",IFERROR(INDEX('Shooter-Squad Assignment'!$A:$A,MATCH(C347&amp;"-"&amp;E347&amp;"-"&amp;F347&amp;"-Pos4",'Shooter-Squad Assignment'!$W:$W,0)),""),IF(F347="Sporting Clays",IFERROR(INDEX('Shooter-Squad Assignment'!$A:$A,MATCH(C347&amp;"-"&amp;E347&amp;"-"&amp;F347&amp;"-Pos4",'Shooter-Squad Assignment'!$Z:$Z,0)),""),"")))</f>
        <v/>
      </c>
      <c r="N347" s="73" t="str">
        <f>IF(ISBLANK(M347),"",IFERROR(INDEX('Tournament List'!$D:$D,MATCH(M347,'Tournament List'!$A:$A,0)),""))</f>
        <v/>
      </c>
      <c r="O347" s="94" t="str">
        <f>IF(F347="Skeet",IFERROR(INDEX('Shooter-Squad Assignment'!$A:$A,MATCH(C347&amp;"-"&amp;E347&amp;"-"&amp;F347&amp;"-Pos5",'Shooter-Squad Assignment'!$K:$K,0)),""),IF(F347="Trap",IFERROR(INDEX('Shooter-Squad Assignment'!$A:$A,MATCH(C347&amp;"-"&amp;E347&amp;"-"&amp;F347&amp;"-Pos5",'Shooter-Squad Assignment'!$W:$W,0)),""),IF(F347="Sporting Clays",IFERROR(INDEX('Shooter-Squad Assignment'!$A:$A,MATCH(C347&amp;"-"&amp;E347&amp;"-"&amp;F347&amp;"-Pos5",'Shooter-Squad Assignment'!$Z:$Z,0)),""),"")))</f>
        <v/>
      </c>
      <c r="P347" s="79" t="str">
        <f>IF(ISBLANK(O347),"",IFERROR(INDEX('Tournament List'!$D:$D,MATCH(O347,'Tournament List'!$A:$A,0)),""))</f>
        <v/>
      </c>
    </row>
    <row r="348" spans="1:16" x14ac:dyDescent="0.3">
      <c r="A348" s="78">
        <v>347</v>
      </c>
      <c r="B348" s="73" t="str">
        <f>C348&amp;"-"&amp;E348&amp;"-"&amp;F348</f>
        <v>-Intermediate 2-Skeet</v>
      </c>
      <c r="C348" s="73"/>
      <c r="D348" s="73" t="str">
        <f>INDEX('Tournament Setup'!$B$59:$B$78,MATCH(E348,SquadConcurrents,0))</f>
        <v>Intermediate</v>
      </c>
      <c r="E348" s="73" t="s">
        <v>344</v>
      </c>
      <c r="F348" s="73" t="s">
        <v>143</v>
      </c>
      <c r="G348" s="94" t="str">
        <f>IF(F348="Skeet",IFERROR(INDEX('Shooter-Squad Assignment'!$A:$A,MATCH(C348&amp;"-"&amp;E348&amp;"-"&amp;F348&amp;"-Pos1",'Shooter-Squad Assignment'!$K:$K,0)),""),IF(F348="Trap",IFERROR(INDEX('Shooter-Squad Assignment'!$A:$A,MATCH(C348&amp;"-"&amp;E348&amp;"-"&amp;F348&amp;"-Pos1",'Shooter-Squad Assignment'!$W:$W,0)),""),IF(F348="Sporting Clays",IFERROR(INDEX('Shooter-Squad Assignment'!$A:$A,MATCH(C348&amp;"-"&amp;E348&amp;"-"&amp;F348&amp;"-Pos1",'Shooter-Squad Assignment'!$Z:$Z,0)),""),"")))</f>
        <v/>
      </c>
      <c r="H348" s="73" t="str">
        <f>IF(ISBLANK(G348),"",IFERROR(INDEX('Tournament List'!$D:$D,MATCH(G348,'Tournament List'!$A:$A,0)),""))</f>
        <v/>
      </c>
      <c r="I348" s="94" t="str">
        <f>IF(F348="Skeet",IFERROR(INDEX('Shooter-Squad Assignment'!$A:$A,MATCH(C348&amp;"-"&amp;E348&amp;"-"&amp;F348&amp;"-Pos2",'Shooter-Squad Assignment'!$K:$K,0)),""),IF(F348="Trap",IFERROR(INDEX('Shooter-Squad Assignment'!$A:$A,MATCH(C348&amp;"-"&amp;E348&amp;"-"&amp;F348&amp;"-Pos2",'Shooter-Squad Assignment'!$W:$W,0)),""),IF(F348="Sporting Clays",IFERROR(INDEX('Shooter-Squad Assignment'!$A:$A,MATCH(C348&amp;"-"&amp;E348&amp;"-"&amp;F348&amp;"-Pos2",'Shooter-Squad Assignment'!$Z:$Z,0)),""),"")))</f>
        <v/>
      </c>
      <c r="J348" s="73" t="str">
        <f>IF(ISBLANK(I348),"",IFERROR(INDEX('Tournament List'!$D:$D,MATCH(I348,'Tournament List'!$A:$A,0)),""))</f>
        <v/>
      </c>
      <c r="K348" s="94" t="str">
        <f>IF(F348="Skeet",IFERROR(INDEX('Shooter-Squad Assignment'!$A:$A,MATCH(C348&amp;"-"&amp;E348&amp;"-"&amp;F348&amp;"-Pos3",'Shooter-Squad Assignment'!$K:$K,0)),""),IF(F348="Trap",IFERROR(INDEX('Shooter-Squad Assignment'!$A:$A,MATCH(C348&amp;"-"&amp;E348&amp;"-"&amp;F348&amp;"-Pos3",'Shooter-Squad Assignment'!$W:$W,0)),""),IF(F348="Sporting Clays",IFERROR(INDEX('Shooter-Squad Assignment'!$A:$A,MATCH(C348&amp;"-"&amp;E348&amp;"-"&amp;F348&amp;"-Pos3",'Shooter-Squad Assignment'!$Z:$Z,0)),""),"")))</f>
        <v/>
      </c>
      <c r="L348" s="73" t="str">
        <f>IF(ISBLANK(K348),"",IFERROR(INDEX('Tournament List'!$D:$D,MATCH(K348,'Tournament List'!$A:$A,0)),""))</f>
        <v/>
      </c>
      <c r="M348" s="94" t="str">
        <f>IF(F348="Skeet",IFERROR(INDEX('Shooter-Squad Assignment'!$A:$A,MATCH(C348&amp;"-"&amp;E348&amp;"-"&amp;F348&amp;"-Pos4",'Shooter-Squad Assignment'!$K:$K,0)),""),IF(F348="Trap",IFERROR(INDEX('Shooter-Squad Assignment'!$A:$A,MATCH(C348&amp;"-"&amp;E348&amp;"-"&amp;F348&amp;"-Pos4",'Shooter-Squad Assignment'!$W:$W,0)),""),IF(F348="Sporting Clays",IFERROR(INDEX('Shooter-Squad Assignment'!$A:$A,MATCH(C348&amp;"-"&amp;E348&amp;"-"&amp;F348&amp;"-Pos4",'Shooter-Squad Assignment'!$Z:$Z,0)),""),"")))</f>
        <v/>
      </c>
      <c r="N348" s="73" t="str">
        <f>IF(ISBLANK(M348),"",IFERROR(INDEX('Tournament List'!$D:$D,MATCH(M348,'Tournament List'!$A:$A,0)),""))</f>
        <v/>
      </c>
      <c r="O348" s="94" t="str">
        <f>IF(F348="Skeet",IFERROR(INDEX('Shooter-Squad Assignment'!$A:$A,MATCH(C348&amp;"-"&amp;E348&amp;"-"&amp;F348&amp;"-Pos5",'Shooter-Squad Assignment'!$K:$K,0)),""),IF(F348="Trap",IFERROR(INDEX('Shooter-Squad Assignment'!$A:$A,MATCH(C348&amp;"-"&amp;E348&amp;"-"&amp;F348&amp;"-Pos5",'Shooter-Squad Assignment'!$W:$W,0)),""),IF(F348="Sporting Clays",IFERROR(INDEX('Shooter-Squad Assignment'!$A:$A,MATCH(C348&amp;"-"&amp;E348&amp;"-"&amp;F348&amp;"-Pos5",'Shooter-Squad Assignment'!$Z:$Z,0)),""),"")))</f>
        <v/>
      </c>
      <c r="P348" s="79" t="str">
        <f>IF(ISBLANK(O348),"",IFERROR(INDEX('Tournament List'!$D:$D,MATCH(O348,'Tournament List'!$A:$A,0)),""))</f>
        <v/>
      </c>
    </row>
    <row r="349" spans="1:16" x14ac:dyDescent="0.3">
      <c r="A349" s="78">
        <v>348</v>
      </c>
      <c r="B349" s="73" t="str">
        <f>C349&amp;"-"&amp;E349&amp;"-"&amp;F349</f>
        <v>-Intermediate 3-Skeet</v>
      </c>
      <c r="C349" s="73"/>
      <c r="D349" s="73" t="str">
        <f>INDEX('Tournament Setup'!$B$59:$B$78,MATCH(E349,SquadConcurrents,0))</f>
        <v>Intermediate</v>
      </c>
      <c r="E349" s="73" t="s">
        <v>350</v>
      </c>
      <c r="F349" s="73" t="s">
        <v>143</v>
      </c>
      <c r="G349" s="94" t="str">
        <f>IF(F349="Skeet",IFERROR(INDEX('Shooter-Squad Assignment'!$A:$A,MATCH(C349&amp;"-"&amp;E349&amp;"-"&amp;F349&amp;"-Pos1",'Shooter-Squad Assignment'!$K:$K,0)),""),IF(F349="Trap",IFERROR(INDEX('Shooter-Squad Assignment'!$A:$A,MATCH(C349&amp;"-"&amp;E349&amp;"-"&amp;F349&amp;"-Pos1",'Shooter-Squad Assignment'!$W:$W,0)),""),IF(F349="Sporting Clays",IFERROR(INDEX('Shooter-Squad Assignment'!$A:$A,MATCH(C349&amp;"-"&amp;E349&amp;"-"&amp;F349&amp;"-Pos1",'Shooter-Squad Assignment'!$Z:$Z,0)),""),"")))</f>
        <v/>
      </c>
      <c r="H349" s="73" t="str">
        <f>IF(ISBLANK(G349),"",IFERROR(INDEX('Tournament List'!$D:$D,MATCH(G349,'Tournament List'!$A:$A,0)),""))</f>
        <v/>
      </c>
      <c r="I349" s="94" t="str">
        <f>IF(F349="Skeet",IFERROR(INDEX('Shooter-Squad Assignment'!$A:$A,MATCH(C349&amp;"-"&amp;E349&amp;"-"&amp;F349&amp;"-Pos2",'Shooter-Squad Assignment'!$K:$K,0)),""),IF(F349="Trap",IFERROR(INDEX('Shooter-Squad Assignment'!$A:$A,MATCH(C349&amp;"-"&amp;E349&amp;"-"&amp;F349&amp;"-Pos2",'Shooter-Squad Assignment'!$W:$W,0)),""),IF(F349="Sporting Clays",IFERROR(INDEX('Shooter-Squad Assignment'!$A:$A,MATCH(C349&amp;"-"&amp;E349&amp;"-"&amp;F349&amp;"-Pos2",'Shooter-Squad Assignment'!$Z:$Z,0)),""),"")))</f>
        <v/>
      </c>
      <c r="J349" s="73" t="str">
        <f>IF(ISBLANK(I349),"",IFERROR(INDEX('Tournament List'!$D:$D,MATCH(I349,'Tournament List'!$A:$A,0)),""))</f>
        <v/>
      </c>
      <c r="K349" s="94" t="str">
        <f>IF(F349="Skeet",IFERROR(INDEX('Shooter-Squad Assignment'!$A:$A,MATCH(C349&amp;"-"&amp;E349&amp;"-"&amp;F349&amp;"-Pos3",'Shooter-Squad Assignment'!$K:$K,0)),""),IF(F349="Trap",IFERROR(INDEX('Shooter-Squad Assignment'!$A:$A,MATCH(C349&amp;"-"&amp;E349&amp;"-"&amp;F349&amp;"-Pos3",'Shooter-Squad Assignment'!$W:$W,0)),""),IF(F349="Sporting Clays",IFERROR(INDEX('Shooter-Squad Assignment'!$A:$A,MATCH(C349&amp;"-"&amp;E349&amp;"-"&amp;F349&amp;"-Pos3",'Shooter-Squad Assignment'!$Z:$Z,0)),""),"")))</f>
        <v/>
      </c>
      <c r="L349" s="73" t="str">
        <f>IF(ISBLANK(K349),"",IFERROR(INDEX('Tournament List'!$D:$D,MATCH(K349,'Tournament List'!$A:$A,0)),""))</f>
        <v/>
      </c>
      <c r="M349" s="94" t="str">
        <f>IF(F349="Skeet",IFERROR(INDEX('Shooter-Squad Assignment'!$A:$A,MATCH(C349&amp;"-"&amp;E349&amp;"-"&amp;F349&amp;"-Pos4",'Shooter-Squad Assignment'!$K:$K,0)),""),IF(F349="Trap",IFERROR(INDEX('Shooter-Squad Assignment'!$A:$A,MATCH(C349&amp;"-"&amp;E349&amp;"-"&amp;F349&amp;"-Pos4",'Shooter-Squad Assignment'!$W:$W,0)),""),IF(F349="Sporting Clays",IFERROR(INDEX('Shooter-Squad Assignment'!$A:$A,MATCH(C349&amp;"-"&amp;E349&amp;"-"&amp;F349&amp;"-Pos4",'Shooter-Squad Assignment'!$Z:$Z,0)),""),"")))</f>
        <v/>
      </c>
      <c r="N349" s="73" t="str">
        <f>IF(ISBLANK(M349),"",IFERROR(INDEX('Tournament List'!$D:$D,MATCH(M349,'Tournament List'!$A:$A,0)),""))</f>
        <v/>
      </c>
      <c r="O349" s="94" t="str">
        <f>IF(F349="Skeet",IFERROR(INDEX('Shooter-Squad Assignment'!$A:$A,MATCH(C349&amp;"-"&amp;E349&amp;"-"&amp;F349&amp;"-Pos5",'Shooter-Squad Assignment'!$K:$K,0)),""),IF(F349="Trap",IFERROR(INDEX('Shooter-Squad Assignment'!$A:$A,MATCH(C349&amp;"-"&amp;E349&amp;"-"&amp;F349&amp;"-Pos5",'Shooter-Squad Assignment'!$W:$W,0)),""),IF(F349="Sporting Clays",IFERROR(INDEX('Shooter-Squad Assignment'!$A:$A,MATCH(C349&amp;"-"&amp;E349&amp;"-"&amp;F349&amp;"-Pos5",'Shooter-Squad Assignment'!$Z:$Z,0)),""),"")))</f>
        <v/>
      </c>
      <c r="P349" s="79" t="str">
        <f>IF(ISBLANK(O349),"",IFERROR(INDEX('Tournament List'!$D:$D,MATCH(O349,'Tournament List'!$A:$A,0)),""))</f>
        <v/>
      </c>
    </row>
    <row r="350" spans="1:16" x14ac:dyDescent="0.3">
      <c r="A350" s="78">
        <v>349</v>
      </c>
      <c r="B350" s="73" t="str">
        <f>C350&amp;"-"&amp;E350&amp;"-"&amp;F350</f>
        <v>-Junior Varsity 1-Skeet</v>
      </c>
      <c r="C350" s="73"/>
      <c r="D350" s="73" t="str">
        <f>INDEX('Tournament Setup'!$B$59:$B$78,MATCH(E350,SquadConcurrents,0))</f>
        <v>Junior Varsity</v>
      </c>
      <c r="E350" s="73" t="s">
        <v>339</v>
      </c>
      <c r="F350" s="73" t="s">
        <v>143</v>
      </c>
      <c r="G350" s="94" t="str">
        <f>IF(F350="Skeet",IFERROR(INDEX('Shooter-Squad Assignment'!$A:$A,MATCH(C350&amp;"-"&amp;E350&amp;"-"&amp;F350&amp;"-Pos1",'Shooter-Squad Assignment'!$K:$K,0)),""),IF(F350="Trap",IFERROR(INDEX('Shooter-Squad Assignment'!$A:$A,MATCH(C350&amp;"-"&amp;E350&amp;"-"&amp;F350&amp;"-Pos1",'Shooter-Squad Assignment'!$W:$W,0)),""),IF(F350="Sporting Clays",IFERROR(INDEX('Shooter-Squad Assignment'!$A:$A,MATCH(C350&amp;"-"&amp;E350&amp;"-"&amp;F350&amp;"-Pos1",'Shooter-Squad Assignment'!$Z:$Z,0)),""),"")))</f>
        <v/>
      </c>
      <c r="H350" s="73" t="str">
        <f>IF(ISBLANK(G350),"",IFERROR(INDEX('Tournament List'!$D:$D,MATCH(G350,'Tournament List'!$A:$A,0)),""))</f>
        <v/>
      </c>
      <c r="I350" s="94" t="str">
        <f>IF(F350="Skeet",IFERROR(INDEX('Shooter-Squad Assignment'!$A:$A,MATCH(C350&amp;"-"&amp;E350&amp;"-"&amp;F350&amp;"-Pos2",'Shooter-Squad Assignment'!$K:$K,0)),""),IF(F350="Trap",IFERROR(INDEX('Shooter-Squad Assignment'!$A:$A,MATCH(C350&amp;"-"&amp;E350&amp;"-"&amp;F350&amp;"-Pos2",'Shooter-Squad Assignment'!$W:$W,0)),""),IF(F350="Sporting Clays",IFERROR(INDEX('Shooter-Squad Assignment'!$A:$A,MATCH(C350&amp;"-"&amp;E350&amp;"-"&amp;F350&amp;"-Pos2",'Shooter-Squad Assignment'!$Z:$Z,0)),""),"")))</f>
        <v/>
      </c>
      <c r="J350" s="73" t="str">
        <f>IF(ISBLANK(I350),"",IFERROR(INDEX('Tournament List'!$D:$D,MATCH(I350,'Tournament List'!$A:$A,0)),""))</f>
        <v/>
      </c>
      <c r="K350" s="94" t="str">
        <f>IF(F350="Skeet",IFERROR(INDEX('Shooter-Squad Assignment'!$A:$A,MATCH(C350&amp;"-"&amp;E350&amp;"-"&amp;F350&amp;"-Pos3",'Shooter-Squad Assignment'!$K:$K,0)),""),IF(F350="Trap",IFERROR(INDEX('Shooter-Squad Assignment'!$A:$A,MATCH(C350&amp;"-"&amp;E350&amp;"-"&amp;F350&amp;"-Pos3",'Shooter-Squad Assignment'!$W:$W,0)),""),IF(F350="Sporting Clays",IFERROR(INDEX('Shooter-Squad Assignment'!$A:$A,MATCH(C350&amp;"-"&amp;E350&amp;"-"&amp;F350&amp;"-Pos3",'Shooter-Squad Assignment'!$Z:$Z,0)),""),"")))</f>
        <v/>
      </c>
      <c r="L350" s="73" t="str">
        <f>IF(ISBLANK(K350),"",IFERROR(INDEX('Tournament List'!$D:$D,MATCH(K350,'Tournament List'!$A:$A,0)),""))</f>
        <v/>
      </c>
      <c r="M350" s="94" t="str">
        <f>IF(F350="Skeet",IFERROR(INDEX('Shooter-Squad Assignment'!$A:$A,MATCH(C350&amp;"-"&amp;E350&amp;"-"&amp;F350&amp;"-Pos4",'Shooter-Squad Assignment'!$K:$K,0)),""),IF(F350="Trap",IFERROR(INDEX('Shooter-Squad Assignment'!$A:$A,MATCH(C350&amp;"-"&amp;E350&amp;"-"&amp;F350&amp;"-Pos4",'Shooter-Squad Assignment'!$W:$W,0)),""),IF(F350="Sporting Clays",IFERROR(INDEX('Shooter-Squad Assignment'!$A:$A,MATCH(C350&amp;"-"&amp;E350&amp;"-"&amp;F350&amp;"-Pos4",'Shooter-Squad Assignment'!$Z:$Z,0)),""),"")))</f>
        <v/>
      </c>
      <c r="N350" s="73" t="str">
        <f>IF(ISBLANK(M350),"",IFERROR(INDEX('Tournament List'!$D:$D,MATCH(M350,'Tournament List'!$A:$A,0)),""))</f>
        <v/>
      </c>
      <c r="O350" s="94" t="str">
        <f>IF(F350="Skeet",IFERROR(INDEX('Shooter-Squad Assignment'!$A:$A,MATCH(C350&amp;"-"&amp;E350&amp;"-"&amp;F350&amp;"-Pos5",'Shooter-Squad Assignment'!$K:$K,0)),""),IF(F350="Trap",IFERROR(INDEX('Shooter-Squad Assignment'!$A:$A,MATCH(C350&amp;"-"&amp;E350&amp;"-"&amp;F350&amp;"-Pos5",'Shooter-Squad Assignment'!$W:$W,0)),""),IF(F350="Sporting Clays",IFERROR(INDEX('Shooter-Squad Assignment'!$A:$A,MATCH(C350&amp;"-"&amp;E350&amp;"-"&amp;F350&amp;"-Pos5",'Shooter-Squad Assignment'!$Z:$Z,0)),""),"")))</f>
        <v/>
      </c>
      <c r="P350" s="79" t="str">
        <f>IF(ISBLANK(O350),"",IFERROR(INDEX('Tournament List'!$D:$D,MATCH(O350,'Tournament List'!$A:$A,0)),""))</f>
        <v/>
      </c>
    </row>
    <row r="351" spans="1:16" x14ac:dyDescent="0.3">
      <c r="A351" s="78">
        <v>350</v>
      </c>
      <c r="B351" s="73" t="str">
        <f>C351&amp;"-"&amp;E351&amp;"-"&amp;F351</f>
        <v>-Junior Varsity 2-Skeet</v>
      </c>
      <c r="C351" s="73"/>
      <c r="D351" s="73" t="str">
        <f>INDEX('Tournament Setup'!$B$59:$B$78,MATCH(E351,SquadConcurrents,0))</f>
        <v>Junior Varsity</v>
      </c>
      <c r="E351" s="73" t="s">
        <v>345</v>
      </c>
      <c r="F351" s="73" t="s">
        <v>143</v>
      </c>
      <c r="G351" s="94" t="str">
        <f>IF(F351="Skeet",IFERROR(INDEX('Shooter-Squad Assignment'!$A:$A,MATCH(C351&amp;"-"&amp;E351&amp;"-"&amp;F351&amp;"-Pos1",'Shooter-Squad Assignment'!$K:$K,0)),""),IF(F351="Trap",IFERROR(INDEX('Shooter-Squad Assignment'!$A:$A,MATCH(C351&amp;"-"&amp;E351&amp;"-"&amp;F351&amp;"-Pos1",'Shooter-Squad Assignment'!$W:$W,0)),""),IF(F351="Sporting Clays",IFERROR(INDEX('Shooter-Squad Assignment'!$A:$A,MATCH(C351&amp;"-"&amp;E351&amp;"-"&amp;F351&amp;"-Pos1",'Shooter-Squad Assignment'!$Z:$Z,0)),""),"")))</f>
        <v/>
      </c>
      <c r="H351" s="73" t="str">
        <f>IF(ISBLANK(G351),"",IFERROR(INDEX('Tournament List'!$D:$D,MATCH(G351,'Tournament List'!$A:$A,0)),""))</f>
        <v/>
      </c>
      <c r="I351" s="94" t="str">
        <f>IF(F351="Skeet",IFERROR(INDEX('Shooter-Squad Assignment'!$A:$A,MATCH(C351&amp;"-"&amp;E351&amp;"-"&amp;F351&amp;"-Pos2",'Shooter-Squad Assignment'!$K:$K,0)),""),IF(F351="Trap",IFERROR(INDEX('Shooter-Squad Assignment'!$A:$A,MATCH(C351&amp;"-"&amp;E351&amp;"-"&amp;F351&amp;"-Pos2",'Shooter-Squad Assignment'!$W:$W,0)),""),IF(F351="Sporting Clays",IFERROR(INDEX('Shooter-Squad Assignment'!$A:$A,MATCH(C351&amp;"-"&amp;E351&amp;"-"&amp;F351&amp;"-Pos2",'Shooter-Squad Assignment'!$Z:$Z,0)),""),"")))</f>
        <v/>
      </c>
      <c r="J351" s="73" t="str">
        <f>IF(ISBLANK(I351),"",IFERROR(INDEX('Tournament List'!$D:$D,MATCH(I351,'Tournament List'!$A:$A,0)),""))</f>
        <v/>
      </c>
      <c r="K351" s="94" t="str">
        <f>IF(F351="Skeet",IFERROR(INDEX('Shooter-Squad Assignment'!$A:$A,MATCH(C351&amp;"-"&amp;E351&amp;"-"&amp;F351&amp;"-Pos3",'Shooter-Squad Assignment'!$K:$K,0)),""),IF(F351="Trap",IFERROR(INDEX('Shooter-Squad Assignment'!$A:$A,MATCH(C351&amp;"-"&amp;E351&amp;"-"&amp;F351&amp;"-Pos3",'Shooter-Squad Assignment'!$W:$W,0)),""),IF(F351="Sporting Clays",IFERROR(INDEX('Shooter-Squad Assignment'!$A:$A,MATCH(C351&amp;"-"&amp;E351&amp;"-"&amp;F351&amp;"-Pos3",'Shooter-Squad Assignment'!$Z:$Z,0)),""),"")))</f>
        <v/>
      </c>
      <c r="L351" s="73" t="str">
        <f>IF(ISBLANK(K351),"",IFERROR(INDEX('Tournament List'!$D:$D,MATCH(K351,'Tournament List'!$A:$A,0)),""))</f>
        <v/>
      </c>
      <c r="M351" s="94" t="str">
        <f>IF(F351="Skeet",IFERROR(INDEX('Shooter-Squad Assignment'!$A:$A,MATCH(C351&amp;"-"&amp;E351&amp;"-"&amp;F351&amp;"-Pos4",'Shooter-Squad Assignment'!$K:$K,0)),""),IF(F351="Trap",IFERROR(INDEX('Shooter-Squad Assignment'!$A:$A,MATCH(C351&amp;"-"&amp;E351&amp;"-"&amp;F351&amp;"-Pos4",'Shooter-Squad Assignment'!$W:$W,0)),""),IF(F351="Sporting Clays",IFERROR(INDEX('Shooter-Squad Assignment'!$A:$A,MATCH(C351&amp;"-"&amp;E351&amp;"-"&amp;F351&amp;"-Pos4",'Shooter-Squad Assignment'!$Z:$Z,0)),""),"")))</f>
        <v/>
      </c>
      <c r="N351" s="73" t="str">
        <f>IF(ISBLANK(M351),"",IFERROR(INDEX('Tournament List'!$D:$D,MATCH(M351,'Tournament List'!$A:$A,0)),""))</f>
        <v/>
      </c>
      <c r="O351" s="94" t="str">
        <f>IF(F351="Skeet",IFERROR(INDEX('Shooter-Squad Assignment'!$A:$A,MATCH(C351&amp;"-"&amp;E351&amp;"-"&amp;F351&amp;"-Pos5",'Shooter-Squad Assignment'!$K:$K,0)),""),IF(F351="Trap",IFERROR(INDEX('Shooter-Squad Assignment'!$A:$A,MATCH(C351&amp;"-"&amp;E351&amp;"-"&amp;F351&amp;"-Pos5",'Shooter-Squad Assignment'!$W:$W,0)),""),IF(F351="Sporting Clays",IFERROR(INDEX('Shooter-Squad Assignment'!$A:$A,MATCH(C351&amp;"-"&amp;E351&amp;"-"&amp;F351&amp;"-Pos5",'Shooter-Squad Assignment'!$Z:$Z,0)),""),"")))</f>
        <v/>
      </c>
      <c r="P351" s="79" t="str">
        <f>IF(ISBLANK(O351),"",IFERROR(INDEX('Tournament List'!$D:$D,MATCH(O351,'Tournament List'!$A:$A,0)),""))</f>
        <v/>
      </c>
    </row>
    <row r="352" spans="1:16" x14ac:dyDescent="0.3">
      <c r="A352" s="78">
        <v>351</v>
      </c>
      <c r="B352" s="73" t="str">
        <f>C352&amp;"-"&amp;E352&amp;"-"&amp;F352</f>
        <v>-Junior Varsity 3-Skeet</v>
      </c>
      <c r="C352" s="73"/>
      <c r="D352" s="73" t="str">
        <f>INDEX('Tournament Setup'!$B$59:$B$78,MATCH(E352,SquadConcurrents,0))</f>
        <v>Junior Varsity</v>
      </c>
      <c r="E352" s="73" t="s">
        <v>351</v>
      </c>
      <c r="F352" s="73" t="s">
        <v>143</v>
      </c>
      <c r="G352" s="94" t="str">
        <f>IF(F352="Skeet",IFERROR(INDEX('Shooter-Squad Assignment'!$A:$A,MATCH(C352&amp;"-"&amp;E352&amp;"-"&amp;F352&amp;"-Pos1",'Shooter-Squad Assignment'!$K:$K,0)),""),IF(F352="Trap",IFERROR(INDEX('Shooter-Squad Assignment'!$A:$A,MATCH(C352&amp;"-"&amp;E352&amp;"-"&amp;F352&amp;"-Pos1",'Shooter-Squad Assignment'!$W:$W,0)),""),IF(F352="Sporting Clays",IFERROR(INDEX('Shooter-Squad Assignment'!$A:$A,MATCH(C352&amp;"-"&amp;E352&amp;"-"&amp;F352&amp;"-Pos1",'Shooter-Squad Assignment'!$Z:$Z,0)),""),"")))</f>
        <v/>
      </c>
      <c r="H352" s="73" t="str">
        <f>IF(ISBLANK(G352),"",IFERROR(INDEX('Tournament List'!$D:$D,MATCH(G352,'Tournament List'!$A:$A,0)),""))</f>
        <v/>
      </c>
      <c r="I352" s="94" t="str">
        <f>IF(F352="Skeet",IFERROR(INDEX('Shooter-Squad Assignment'!$A:$A,MATCH(C352&amp;"-"&amp;E352&amp;"-"&amp;F352&amp;"-Pos2",'Shooter-Squad Assignment'!$K:$K,0)),""),IF(F352="Trap",IFERROR(INDEX('Shooter-Squad Assignment'!$A:$A,MATCH(C352&amp;"-"&amp;E352&amp;"-"&amp;F352&amp;"-Pos2",'Shooter-Squad Assignment'!$W:$W,0)),""),IF(F352="Sporting Clays",IFERROR(INDEX('Shooter-Squad Assignment'!$A:$A,MATCH(C352&amp;"-"&amp;E352&amp;"-"&amp;F352&amp;"-Pos2",'Shooter-Squad Assignment'!$Z:$Z,0)),""),"")))</f>
        <v/>
      </c>
      <c r="J352" s="73" t="str">
        <f>IF(ISBLANK(I352),"",IFERROR(INDEX('Tournament List'!$D:$D,MATCH(I352,'Tournament List'!$A:$A,0)),""))</f>
        <v/>
      </c>
      <c r="K352" s="94" t="str">
        <f>IF(F352="Skeet",IFERROR(INDEX('Shooter-Squad Assignment'!$A:$A,MATCH(C352&amp;"-"&amp;E352&amp;"-"&amp;F352&amp;"-Pos3",'Shooter-Squad Assignment'!$K:$K,0)),""),IF(F352="Trap",IFERROR(INDEX('Shooter-Squad Assignment'!$A:$A,MATCH(C352&amp;"-"&amp;E352&amp;"-"&amp;F352&amp;"-Pos3",'Shooter-Squad Assignment'!$W:$W,0)),""),IF(F352="Sporting Clays",IFERROR(INDEX('Shooter-Squad Assignment'!$A:$A,MATCH(C352&amp;"-"&amp;E352&amp;"-"&amp;F352&amp;"-Pos3",'Shooter-Squad Assignment'!$Z:$Z,0)),""),"")))</f>
        <v/>
      </c>
      <c r="L352" s="73" t="str">
        <f>IF(ISBLANK(K352),"",IFERROR(INDEX('Tournament List'!$D:$D,MATCH(K352,'Tournament List'!$A:$A,0)),""))</f>
        <v/>
      </c>
      <c r="M352" s="94" t="str">
        <f>IF(F352="Skeet",IFERROR(INDEX('Shooter-Squad Assignment'!$A:$A,MATCH(C352&amp;"-"&amp;E352&amp;"-"&amp;F352&amp;"-Pos4",'Shooter-Squad Assignment'!$K:$K,0)),""),IF(F352="Trap",IFERROR(INDEX('Shooter-Squad Assignment'!$A:$A,MATCH(C352&amp;"-"&amp;E352&amp;"-"&amp;F352&amp;"-Pos4",'Shooter-Squad Assignment'!$W:$W,0)),""),IF(F352="Sporting Clays",IFERROR(INDEX('Shooter-Squad Assignment'!$A:$A,MATCH(C352&amp;"-"&amp;E352&amp;"-"&amp;F352&amp;"-Pos4",'Shooter-Squad Assignment'!$Z:$Z,0)),""),"")))</f>
        <v/>
      </c>
      <c r="N352" s="73" t="str">
        <f>IF(ISBLANK(M352),"",IFERROR(INDEX('Tournament List'!$D:$D,MATCH(M352,'Tournament List'!$A:$A,0)),""))</f>
        <v/>
      </c>
      <c r="O352" s="94" t="str">
        <f>IF(F352="Skeet",IFERROR(INDEX('Shooter-Squad Assignment'!$A:$A,MATCH(C352&amp;"-"&amp;E352&amp;"-"&amp;F352&amp;"-Pos5",'Shooter-Squad Assignment'!$K:$K,0)),""),IF(F352="Trap",IFERROR(INDEX('Shooter-Squad Assignment'!$A:$A,MATCH(C352&amp;"-"&amp;E352&amp;"-"&amp;F352&amp;"-Pos5",'Shooter-Squad Assignment'!$W:$W,0)),""),IF(F352="Sporting Clays",IFERROR(INDEX('Shooter-Squad Assignment'!$A:$A,MATCH(C352&amp;"-"&amp;E352&amp;"-"&amp;F352&amp;"-Pos5",'Shooter-Squad Assignment'!$Z:$Z,0)),""),"")))</f>
        <v/>
      </c>
      <c r="P352" s="79" t="str">
        <f>IF(ISBLANK(O352),"",IFERROR(INDEX('Tournament List'!$D:$D,MATCH(O352,'Tournament List'!$A:$A,0)),""))</f>
        <v/>
      </c>
    </row>
    <row r="353" spans="1:16" x14ac:dyDescent="0.3">
      <c r="A353" s="78">
        <v>352</v>
      </c>
      <c r="B353" s="73" t="str">
        <f>C353&amp;"-"&amp;E353&amp;"-"&amp;F353</f>
        <v>-Novice 1-Skeet</v>
      </c>
      <c r="C353" s="73"/>
      <c r="D353" s="73" t="str">
        <f>INDEX('Tournament Setup'!$B$59:$B$78,MATCH(E353,SquadConcurrents,0))</f>
        <v>Novice</v>
      </c>
      <c r="E353" s="73" t="s">
        <v>337</v>
      </c>
      <c r="F353" s="73" t="s">
        <v>143</v>
      </c>
      <c r="G353" s="94" t="str">
        <f>IF(F353="Skeet",IFERROR(INDEX('Shooter-Squad Assignment'!$A:$A,MATCH(C353&amp;"-"&amp;E353&amp;"-"&amp;F353&amp;"-Pos1",'Shooter-Squad Assignment'!$K:$K,0)),""),IF(F353="Trap",IFERROR(INDEX('Shooter-Squad Assignment'!$A:$A,MATCH(C353&amp;"-"&amp;E353&amp;"-"&amp;F353&amp;"-Pos1",'Shooter-Squad Assignment'!$W:$W,0)),""),IF(F353="Sporting Clays",IFERROR(INDEX('Shooter-Squad Assignment'!$A:$A,MATCH(C353&amp;"-"&amp;E353&amp;"-"&amp;F353&amp;"-Pos1",'Shooter-Squad Assignment'!$Z:$Z,0)),""),"")))</f>
        <v/>
      </c>
      <c r="H353" s="73" t="str">
        <f>IF(ISBLANK(G353),"",IFERROR(INDEX('Tournament List'!$D:$D,MATCH(G353,'Tournament List'!$A:$A,0)),""))</f>
        <v/>
      </c>
      <c r="I353" s="94" t="str">
        <f>IF(F353="Skeet",IFERROR(INDEX('Shooter-Squad Assignment'!$A:$A,MATCH(C353&amp;"-"&amp;E353&amp;"-"&amp;F353&amp;"-Pos2",'Shooter-Squad Assignment'!$K:$K,0)),""),IF(F353="Trap",IFERROR(INDEX('Shooter-Squad Assignment'!$A:$A,MATCH(C353&amp;"-"&amp;E353&amp;"-"&amp;F353&amp;"-Pos2",'Shooter-Squad Assignment'!$W:$W,0)),""),IF(F353="Sporting Clays",IFERROR(INDEX('Shooter-Squad Assignment'!$A:$A,MATCH(C353&amp;"-"&amp;E353&amp;"-"&amp;F353&amp;"-Pos2",'Shooter-Squad Assignment'!$Z:$Z,0)),""),"")))</f>
        <v/>
      </c>
      <c r="J353" s="73" t="str">
        <f>IF(ISBLANK(I353),"",IFERROR(INDEX('Tournament List'!$D:$D,MATCH(I353,'Tournament List'!$A:$A,0)),""))</f>
        <v/>
      </c>
      <c r="K353" s="94" t="str">
        <f>IF(F353="Skeet",IFERROR(INDEX('Shooter-Squad Assignment'!$A:$A,MATCH(C353&amp;"-"&amp;E353&amp;"-"&amp;F353&amp;"-Pos3",'Shooter-Squad Assignment'!$K:$K,0)),""),IF(F353="Trap",IFERROR(INDEX('Shooter-Squad Assignment'!$A:$A,MATCH(C353&amp;"-"&amp;E353&amp;"-"&amp;F353&amp;"-Pos3",'Shooter-Squad Assignment'!$W:$W,0)),""),IF(F353="Sporting Clays",IFERROR(INDEX('Shooter-Squad Assignment'!$A:$A,MATCH(C353&amp;"-"&amp;E353&amp;"-"&amp;F353&amp;"-Pos3",'Shooter-Squad Assignment'!$Z:$Z,0)),""),"")))</f>
        <v/>
      </c>
      <c r="L353" s="73" t="str">
        <f>IF(ISBLANK(K353),"",IFERROR(INDEX('Tournament List'!$D:$D,MATCH(K353,'Tournament List'!$A:$A,0)),""))</f>
        <v/>
      </c>
      <c r="M353" s="94" t="str">
        <f>IF(F353="Skeet",IFERROR(INDEX('Shooter-Squad Assignment'!$A:$A,MATCH(C353&amp;"-"&amp;E353&amp;"-"&amp;F353&amp;"-Pos4",'Shooter-Squad Assignment'!$K:$K,0)),""),IF(F353="Trap",IFERROR(INDEX('Shooter-Squad Assignment'!$A:$A,MATCH(C353&amp;"-"&amp;E353&amp;"-"&amp;F353&amp;"-Pos4",'Shooter-Squad Assignment'!$W:$W,0)),""),IF(F353="Sporting Clays",IFERROR(INDEX('Shooter-Squad Assignment'!$A:$A,MATCH(C353&amp;"-"&amp;E353&amp;"-"&amp;F353&amp;"-Pos4",'Shooter-Squad Assignment'!$Z:$Z,0)),""),"")))</f>
        <v/>
      </c>
      <c r="N353" s="73" t="str">
        <f>IF(ISBLANK(M353),"",IFERROR(INDEX('Tournament List'!$D:$D,MATCH(M353,'Tournament List'!$A:$A,0)),""))</f>
        <v/>
      </c>
      <c r="O353" s="94" t="str">
        <f>IF(F353="Skeet",IFERROR(INDEX('Shooter-Squad Assignment'!$A:$A,MATCH(C353&amp;"-"&amp;E353&amp;"-"&amp;F353&amp;"-Pos5",'Shooter-Squad Assignment'!$K:$K,0)),""),IF(F353="Trap",IFERROR(INDEX('Shooter-Squad Assignment'!$A:$A,MATCH(C353&amp;"-"&amp;E353&amp;"-"&amp;F353&amp;"-Pos5",'Shooter-Squad Assignment'!$W:$W,0)),""),IF(F353="Sporting Clays",IFERROR(INDEX('Shooter-Squad Assignment'!$A:$A,MATCH(C353&amp;"-"&amp;E353&amp;"-"&amp;F353&amp;"-Pos5",'Shooter-Squad Assignment'!$Z:$Z,0)),""),"")))</f>
        <v/>
      </c>
      <c r="P353" s="79" t="str">
        <f>IF(ISBLANK(O353),"",IFERROR(INDEX('Tournament List'!$D:$D,MATCH(O353,'Tournament List'!$A:$A,0)),""))</f>
        <v/>
      </c>
    </row>
    <row r="354" spans="1:16" x14ac:dyDescent="0.3">
      <c r="A354" s="78">
        <v>353</v>
      </c>
      <c r="B354" s="73" t="str">
        <f>C354&amp;"-"&amp;E354&amp;"-"&amp;F354</f>
        <v>-Novice 2-Skeet</v>
      </c>
      <c r="C354" s="73"/>
      <c r="D354" s="73" t="str">
        <f>INDEX('Tournament Setup'!$B$59:$B$78,MATCH(E354,SquadConcurrents,0))</f>
        <v>Novice</v>
      </c>
      <c r="E354" s="73" t="s">
        <v>343</v>
      </c>
      <c r="F354" s="73" t="s">
        <v>143</v>
      </c>
      <c r="G354" s="94" t="str">
        <f>IF(F354="Skeet",IFERROR(INDEX('Shooter-Squad Assignment'!$A:$A,MATCH(C354&amp;"-"&amp;E354&amp;"-"&amp;F354&amp;"-Pos1",'Shooter-Squad Assignment'!$K:$K,0)),""),IF(F354="Trap",IFERROR(INDEX('Shooter-Squad Assignment'!$A:$A,MATCH(C354&amp;"-"&amp;E354&amp;"-"&amp;F354&amp;"-Pos1",'Shooter-Squad Assignment'!$W:$W,0)),""),IF(F354="Sporting Clays",IFERROR(INDEX('Shooter-Squad Assignment'!$A:$A,MATCH(C354&amp;"-"&amp;E354&amp;"-"&amp;F354&amp;"-Pos1",'Shooter-Squad Assignment'!$Z:$Z,0)),""),"")))</f>
        <v/>
      </c>
      <c r="H354" s="73" t="str">
        <f>IF(ISBLANK(G354),"",IFERROR(INDEX('Tournament List'!$D:$D,MATCH(G354,'Tournament List'!$A:$A,0)),""))</f>
        <v/>
      </c>
      <c r="I354" s="94" t="str">
        <f>IF(F354="Skeet",IFERROR(INDEX('Shooter-Squad Assignment'!$A:$A,MATCH(C354&amp;"-"&amp;E354&amp;"-"&amp;F354&amp;"-Pos2",'Shooter-Squad Assignment'!$K:$K,0)),""),IF(F354="Trap",IFERROR(INDEX('Shooter-Squad Assignment'!$A:$A,MATCH(C354&amp;"-"&amp;E354&amp;"-"&amp;F354&amp;"-Pos2",'Shooter-Squad Assignment'!$W:$W,0)),""),IF(F354="Sporting Clays",IFERROR(INDEX('Shooter-Squad Assignment'!$A:$A,MATCH(C354&amp;"-"&amp;E354&amp;"-"&amp;F354&amp;"-Pos2",'Shooter-Squad Assignment'!$Z:$Z,0)),""),"")))</f>
        <v/>
      </c>
      <c r="J354" s="73" t="str">
        <f>IF(ISBLANK(I354),"",IFERROR(INDEX('Tournament List'!$D:$D,MATCH(I354,'Tournament List'!$A:$A,0)),""))</f>
        <v/>
      </c>
      <c r="K354" s="94" t="str">
        <f>IF(F354="Skeet",IFERROR(INDEX('Shooter-Squad Assignment'!$A:$A,MATCH(C354&amp;"-"&amp;E354&amp;"-"&amp;F354&amp;"-Pos3",'Shooter-Squad Assignment'!$K:$K,0)),""),IF(F354="Trap",IFERROR(INDEX('Shooter-Squad Assignment'!$A:$A,MATCH(C354&amp;"-"&amp;E354&amp;"-"&amp;F354&amp;"-Pos3",'Shooter-Squad Assignment'!$W:$W,0)),""),IF(F354="Sporting Clays",IFERROR(INDEX('Shooter-Squad Assignment'!$A:$A,MATCH(C354&amp;"-"&amp;E354&amp;"-"&amp;F354&amp;"-Pos3",'Shooter-Squad Assignment'!$Z:$Z,0)),""),"")))</f>
        <v/>
      </c>
      <c r="L354" s="73" t="str">
        <f>IF(ISBLANK(K354),"",IFERROR(INDEX('Tournament List'!$D:$D,MATCH(K354,'Tournament List'!$A:$A,0)),""))</f>
        <v/>
      </c>
      <c r="M354" s="94" t="str">
        <f>IF(F354="Skeet",IFERROR(INDEX('Shooter-Squad Assignment'!$A:$A,MATCH(C354&amp;"-"&amp;E354&amp;"-"&amp;F354&amp;"-Pos4",'Shooter-Squad Assignment'!$K:$K,0)),""),IF(F354="Trap",IFERROR(INDEX('Shooter-Squad Assignment'!$A:$A,MATCH(C354&amp;"-"&amp;E354&amp;"-"&amp;F354&amp;"-Pos4",'Shooter-Squad Assignment'!$W:$W,0)),""),IF(F354="Sporting Clays",IFERROR(INDEX('Shooter-Squad Assignment'!$A:$A,MATCH(C354&amp;"-"&amp;E354&amp;"-"&amp;F354&amp;"-Pos4",'Shooter-Squad Assignment'!$Z:$Z,0)),""),"")))</f>
        <v/>
      </c>
      <c r="N354" s="73" t="str">
        <f>IF(ISBLANK(M354),"",IFERROR(INDEX('Tournament List'!$D:$D,MATCH(M354,'Tournament List'!$A:$A,0)),""))</f>
        <v/>
      </c>
      <c r="O354" s="94" t="str">
        <f>IF(F354="Skeet",IFERROR(INDEX('Shooter-Squad Assignment'!$A:$A,MATCH(C354&amp;"-"&amp;E354&amp;"-"&amp;F354&amp;"-Pos5",'Shooter-Squad Assignment'!$K:$K,0)),""),IF(F354="Trap",IFERROR(INDEX('Shooter-Squad Assignment'!$A:$A,MATCH(C354&amp;"-"&amp;E354&amp;"-"&amp;F354&amp;"-Pos5",'Shooter-Squad Assignment'!$W:$W,0)),""),IF(F354="Sporting Clays",IFERROR(INDEX('Shooter-Squad Assignment'!$A:$A,MATCH(C354&amp;"-"&amp;E354&amp;"-"&amp;F354&amp;"-Pos5",'Shooter-Squad Assignment'!$Z:$Z,0)),""),"")))</f>
        <v/>
      </c>
      <c r="P354" s="79" t="str">
        <f>IF(ISBLANK(O354),"",IFERROR(INDEX('Tournament List'!$D:$D,MATCH(O354,'Tournament List'!$A:$A,0)),""))</f>
        <v/>
      </c>
    </row>
    <row r="355" spans="1:16" x14ac:dyDescent="0.3">
      <c r="A355" s="78">
        <v>354</v>
      </c>
      <c r="B355" s="73" t="str">
        <f>C355&amp;"-"&amp;E355&amp;"-"&amp;F355</f>
        <v>-Novice 3-Skeet</v>
      </c>
      <c r="C355" s="73"/>
      <c r="D355" s="73" t="str">
        <f>INDEX('Tournament Setup'!$B$59:$B$78,MATCH(E355,SquadConcurrents,0))</f>
        <v>Novice</v>
      </c>
      <c r="E355" s="73" t="s">
        <v>349</v>
      </c>
      <c r="F355" s="73" t="s">
        <v>143</v>
      </c>
      <c r="G355" s="94" t="str">
        <f>IF(F355="Skeet",IFERROR(INDEX('Shooter-Squad Assignment'!$A:$A,MATCH(C355&amp;"-"&amp;E355&amp;"-"&amp;F355&amp;"-Pos1",'Shooter-Squad Assignment'!$K:$K,0)),""),IF(F355="Trap",IFERROR(INDEX('Shooter-Squad Assignment'!$A:$A,MATCH(C355&amp;"-"&amp;E355&amp;"-"&amp;F355&amp;"-Pos1",'Shooter-Squad Assignment'!$W:$W,0)),""),IF(F355="Sporting Clays",IFERROR(INDEX('Shooter-Squad Assignment'!$A:$A,MATCH(C355&amp;"-"&amp;E355&amp;"-"&amp;F355&amp;"-Pos1",'Shooter-Squad Assignment'!$Z:$Z,0)),""),"")))</f>
        <v/>
      </c>
      <c r="H355" s="73" t="str">
        <f>IF(ISBLANK(G355),"",IFERROR(INDEX('Tournament List'!$D:$D,MATCH(G355,'Tournament List'!$A:$A,0)),""))</f>
        <v/>
      </c>
      <c r="I355" s="94" t="str">
        <f>IF(F355="Skeet",IFERROR(INDEX('Shooter-Squad Assignment'!$A:$A,MATCH(C355&amp;"-"&amp;E355&amp;"-"&amp;F355&amp;"-Pos2",'Shooter-Squad Assignment'!$K:$K,0)),""),IF(F355="Trap",IFERROR(INDEX('Shooter-Squad Assignment'!$A:$A,MATCH(C355&amp;"-"&amp;E355&amp;"-"&amp;F355&amp;"-Pos2",'Shooter-Squad Assignment'!$W:$W,0)),""),IF(F355="Sporting Clays",IFERROR(INDEX('Shooter-Squad Assignment'!$A:$A,MATCH(C355&amp;"-"&amp;E355&amp;"-"&amp;F355&amp;"-Pos2",'Shooter-Squad Assignment'!$Z:$Z,0)),""),"")))</f>
        <v/>
      </c>
      <c r="J355" s="73" t="str">
        <f>IF(ISBLANK(I355),"",IFERROR(INDEX('Tournament List'!$D:$D,MATCH(I355,'Tournament List'!$A:$A,0)),""))</f>
        <v/>
      </c>
      <c r="K355" s="94" t="str">
        <f>IF(F355="Skeet",IFERROR(INDEX('Shooter-Squad Assignment'!$A:$A,MATCH(C355&amp;"-"&amp;E355&amp;"-"&amp;F355&amp;"-Pos3",'Shooter-Squad Assignment'!$K:$K,0)),""),IF(F355="Trap",IFERROR(INDEX('Shooter-Squad Assignment'!$A:$A,MATCH(C355&amp;"-"&amp;E355&amp;"-"&amp;F355&amp;"-Pos3",'Shooter-Squad Assignment'!$W:$W,0)),""),IF(F355="Sporting Clays",IFERROR(INDEX('Shooter-Squad Assignment'!$A:$A,MATCH(C355&amp;"-"&amp;E355&amp;"-"&amp;F355&amp;"-Pos3",'Shooter-Squad Assignment'!$Z:$Z,0)),""),"")))</f>
        <v/>
      </c>
      <c r="L355" s="73" t="str">
        <f>IF(ISBLANK(K355),"",IFERROR(INDEX('Tournament List'!$D:$D,MATCH(K355,'Tournament List'!$A:$A,0)),""))</f>
        <v/>
      </c>
      <c r="M355" s="94" t="str">
        <f>IF(F355="Skeet",IFERROR(INDEX('Shooter-Squad Assignment'!$A:$A,MATCH(C355&amp;"-"&amp;E355&amp;"-"&amp;F355&amp;"-Pos4",'Shooter-Squad Assignment'!$K:$K,0)),""),IF(F355="Trap",IFERROR(INDEX('Shooter-Squad Assignment'!$A:$A,MATCH(C355&amp;"-"&amp;E355&amp;"-"&amp;F355&amp;"-Pos4",'Shooter-Squad Assignment'!$W:$W,0)),""),IF(F355="Sporting Clays",IFERROR(INDEX('Shooter-Squad Assignment'!$A:$A,MATCH(C355&amp;"-"&amp;E355&amp;"-"&amp;F355&amp;"-Pos4",'Shooter-Squad Assignment'!$Z:$Z,0)),""),"")))</f>
        <v/>
      </c>
      <c r="N355" s="73" t="str">
        <f>IF(ISBLANK(M355),"",IFERROR(INDEX('Tournament List'!$D:$D,MATCH(M355,'Tournament List'!$A:$A,0)),""))</f>
        <v/>
      </c>
      <c r="O355" s="94" t="str">
        <f>IF(F355="Skeet",IFERROR(INDEX('Shooter-Squad Assignment'!$A:$A,MATCH(C355&amp;"-"&amp;E355&amp;"-"&amp;F355&amp;"-Pos5",'Shooter-Squad Assignment'!$K:$K,0)),""),IF(F355="Trap",IFERROR(INDEX('Shooter-Squad Assignment'!$A:$A,MATCH(C355&amp;"-"&amp;E355&amp;"-"&amp;F355&amp;"-Pos5",'Shooter-Squad Assignment'!$W:$W,0)),""),IF(F355="Sporting Clays",IFERROR(INDEX('Shooter-Squad Assignment'!$A:$A,MATCH(C355&amp;"-"&amp;E355&amp;"-"&amp;F355&amp;"-Pos5",'Shooter-Squad Assignment'!$Z:$Z,0)),""),"")))</f>
        <v/>
      </c>
      <c r="P355" s="79" t="str">
        <f>IF(ISBLANK(O355),"",IFERROR(INDEX('Tournament List'!$D:$D,MATCH(O355,'Tournament List'!$A:$A,0)),""))</f>
        <v/>
      </c>
    </row>
    <row r="356" spans="1:16" x14ac:dyDescent="0.3">
      <c r="A356" s="78">
        <v>355</v>
      </c>
      <c r="B356" s="73" t="str">
        <f>C356&amp;"-"&amp;E356&amp;"-"&amp;F356</f>
        <v>-Open 1-Skeet</v>
      </c>
      <c r="C356" s="73"/>
      <c r="D356" s="73" t="str">
        <f>INDEX('Tournament Setup'!$B$59:$B$78,MATCH(E356,SquadConcurrents,0))</f>
        <v>Open</v>
      </c>
      <c r="E356" s="73" t="s">
        <v>341</v>
      </c>
      <c r="F356" s="73" t="s">
        <v>143</v>
      </c>
      <c r="G356" s="94" t="str">
        <f>IF(F356="Skeet",IFERROR(INDEX('Shooter-Squad Assignment'!$A:$A,MATCH(C356&amp;"-"&amp;E356&amp;"-"&amp;F356&amp;"-Pos1",'Shooter-Squad Assignment'!$K:$K,0)),""),IF(F356="Trap",IFERROR(INDEX('Shooter-Squad Assignment'!$A:$A,MATCH(C356&amp;"-"&amp;E356&amp;"-"&amp;F356&amp;"-Pos1",'Shooter-Squad Assignment'!$W:$W,0)),""),IF(F356="Sporting Clays",IFERROR(INDEX('Shooter-Squad Assignment'!$A:$A,MATCH(C356&amp;"-"&amp;E356&amp;"-"&amp;F356&amp;"-Pos1",'Shooter-Squad Assignment'!$Z:$Z,0)),""),"")))</f>
        <v/>
      </c>
      <c r="H356" s="73" t="str">
        <f>IF(ISBLANK(G356),"",IFERROR(INDEX('Tournament List'!$D:$D,MATCH(G356,'Tournament List'!$A:$A,0)),""))</f>
        <v/>
      </c>
      <c r="I356" s="94" t="str">
        <f>IF(F356="Skeet",IFERROR(INDEX('Shooter-Squad Assignment'!$A:$A,MATCH(C356&amp;"-"&amp;E356&amp;"-"&amp;F356&amp;"-Pos2",'Shooter-Squad Assignment'!$K:$K,0)),""),IF(F356="Trap",IFERROR(INDEX('Shooter-Squad Assignment'!$A:$A,MATCH(C356&amp;"-"&amp;E356&amp;"-"&amp;F356&amp;"-Pos2",'Shooter-Squad Assignment'!$W:$W,0)),""),IF(F356="Sporting Clays",IFERROR(INDEX('Shooter-Squad Assignment'!$A:$A,MATCH(C356&amp;"-"&amp;E356&amp;"-"&amp;F356&amp;"-Pos2",'Shooter-Squad Assignment'!$Z:$Z,0)),""),"")))</f>
        <v/>
      </c>
      <c r="J356" s="73" t="str">
        <f>IF(ISBLANK(I356),"",IFERROR(INDEX('Tournament List'!$D:$D,MATCH(I356,'Tournament List'!$A:$A,0)),""))</f>
        <v/>
      </c>
      <c r="K356" s="94" t="str">
        <f>IF(F356="Skeet",IFERROR(INDEX('Shooter-Squad Assignment'!$A:$A,MATCH(C356&amp;"-"&amp;E356&amp;"-"&amp;F356&amp;"-Pos3",'Shooter-Squad Assignment'!$K:$K,0)),""),IF(F356="Trap",IFERROR(INDEX('Shooter-Squad Assignment'!$A:$A,MATCH(C356&amp;"-"&amp;E356&amp;"-"&amp;F356&amp;"-Pos3",'Shooter-Squad Assignment'!$W:$W,0)),""),IF(F356="Sporting Clays",IFERROR(INDEX('Shooter-Squad Assignment'!$A:$A,MATCH(C356&amp;"-"&amp;E356&amp;"-"&amp;F356&amp;"-Pos3",'Shooter-Squad Assignment'!$Z:$Z,0)),""),"")))</f>
        <v/>
      </c>
      <c r="L356" s="73" t="str">
        <f>IF(ISBLANK(K356),"",IFERROR(INDEX('Tournament List'!$D:$D,MATCH(K356,'Tournament List'!$A:$A,0)),""))</f>
        <v/>
      </c>
      <c r="M356" s="94" t="str">
        <f>IF(F356="Skeet",IFERROR(INDEX('Shooter-Squad Assignment'!$A:$A,MATCH(C356&amp;"-"&amp;E356&amp;"-"&amp;F356&amp;"-Pos4",'Shooter-Squad Assignment'!$K:$K,0)),""),IF(F356="Trap",IFERROR(INDEX('Shooter-Squad Assignment'!$A:$A,MATCH(C356&amp;"-"&amp;E356&amp;"-"&amp;F356&amp;"-Pos4",'Shooter-Squad Assignment'!$W:$W,0)),""),IF(F356="Sporting Clays",IFERROR(INDEX('Shooter-Squad Assignment'!$A:$A,MATCH(C356&amp;"-"&amp;E356&amp;"-"&amp;F356&amp;"-Pos4",'Shooter-Squad Assignment'!$Z:$Z,0)),""),"")))</f>
        <v/>
      </c>
      <c r="N356" s="73" t="str">
        <f>IF(ISBLANK(M356),"",IFERROR(INDEX('Tournament List'!$D:$D,MATCH(M356,'Tournament List'!$A:$A,0)),""))</f>
        <v/>
      </c>
      <c r="O356" s="94" t="str">
        <f>IF(F356="Skeet",IFERROR(INDEX('Shooter-Squad Assignment'!$A:$A,MATCH(C356&amp;"-"&amp;E356&amp;"-"&amp;F356&amp;"-Pos5",'Shooter-Squad Assignment'!$K:$K,0)),""),IF(F356="Trap",IFERROR(INDEX('Shooter-Squad Assignment'!$A:$A,MATCH(C356&amp;"-"&amp;E356&amp;"-"&amp;F356&amp;"-Pos5",'Shooter-Squad Assignment'!$W:$W,0)),""),IF(F356="Sporting Clays",IFERROR(INDEX('Shooter-Squad Assignment'!$A:$A,MATCH(C356&amp;"-"&amp;E356&amp;"-"&amp;F356&amp;"-Pos5",'Shooter-Squad Assignment'!$Z:$Z,0)),""),"")))</f>
        <v/>
      </c>
      <c r="P356" s="79" t="str">
        <f>IF(ISBLANK(O356),"",IFERROR(INDEX('Tournament List'!$D:$D,MATCH(O356,'Tournament List'!$A:$A,0)),""))</f>
        <v/>
      </c>
    </row>
    <row r="357" spans="1:16" x14ac:dyDescent="0.3">
      <c r="A357" s="78">
        <v>356</v>
      </c>
      <c r="B357" s="73" t="str">
        <f>C357&amp;"-"&amp;E357&amp;"-"&amp;F357</f>
        <v>-Open 2-Skeet</v>
      </c>
      <c r="C357" s="73"/>
      <c r="D357" s="73" t="str">
        <f>INDEX('Tournament Setup'!$B$59:$B$78,MATCH(E357,SquadConcurrents,0))</f>
        <v>Open</v>
      </c>
      <c r="E357" s="73" t="s">
        <v>347</v>
      </c>
      <c r="F357" s="73" t="s">
        <v>143</v>
      </c>
      <c r="G357" s="94" t="str">
        <f>IF(F357="Skeet",IFERROR(INDEX('Shooter-Squad Assignment'!$A:$A,MATCH(C357&amp;"-"&amp;E357&amp;"-"&amp;F357&amp;"-Pos1",'Shooter-Squad Assignment'!$K:$K,0)),""),IF(F357="Trap",IFERROR(INDEX('Shooter-Squad Assignment'!$A:$A,MATCH(C357&amp;"-"&amp;E357&amp;"-"&amp;F357&amp;"-Pos1",'Shooter-Squad Assignment'!$W:$W,0)),""),IF(F357="Sporting Clays",IFERROR(INDEX('Shooter-Squad Assignment'!$A:$A,MATCH(C357&amp;"-"&amp;E357&amp;"-"&amp;F357&amp;"-Pos1",'Shooter-Squad Assignment'!$Z:$Z,0)),""),"")))</f>
        <v/>
      </c>
      <c r="H357" s="73" t="str">
        <f>IF(ISBLANK(G357),"",IFERROR(INDEX('Tournament List'!$D:$D,MATCH(G357,'Tournament List'!$A:$A,0)),""))</f>
        <v/>
      </c>
      <c r="I357" s="94" t="str">
        <f>IF(F357="Skeet",IFERROR(INDEX('Shooter-Squad Assignment'!$A:$A,MATCH(C357&amp;"-"&amp;E357&amp;"-"&amp;F357&amp;"-Pos2",'Shooter-Squad Assignment'!$K:$K,0)),""),IF(F357="Trap",IFERROR(INDEX('Shooter-Squad Assignment'!$A:$A,MATCH(C357&amp;"-"&amp;E357&amp;"-"&amp;F357&amp;"-Pos2",'Shooter-Squad Assignment'!$W:$W,0)),""),IF(F357="Sporting Clays",IFERROR(INDEX('Shooter-Squad Assignment'!$A:$A,MATCH(C357&amp;"-"&amp;E357&amp;"-"&amp;F357&amp;"-Pos2",'Shooter-Squad Assignment'!$Z:$Z,0)),""),"")))</f>
        <v/>
      </c>
      <c r="J357" s="73" t="str">
        <f>IF(ISBLANK(I357),"",IFERROR(INDEX('Tournament List'!$D:$D,MATCH(I357,'Tournament List'!$A:$A,0)),""))</f>
        <v/>
      </c>
      <c r="K357" s="94" t="str">
        <f>IF(F357="Skeet",IFERROR(INDEX('Shooter-Squad Assignment'!$A:$A,MATCH(C357&amp;"-"&amp;E357&amp;"-"&amp;F357&amp;"-Pos3",'Shooter-Squad Assignment'!$K:$K,0)),""),IF(F357="Trap",IFERROR(INDEX('Shooter-Squad Assignment'!$A:$A,MATCH(C357&amp;"-"&amp;E357&amp;"-"&amp;F357&amp;"-Pos3",'Shooter-Squad Assignment'!$W:$W,0)),""),IF(F357="Sporting Clays",IFERROR(INDEX('Shooter-Squad Assignment'!$A:$A,MATCH(C357&amp;"-"&amp;E357&amp;"-"&amp;F357&amp;"-Pos3",'Shooter-Squad Assignment'!$Z:$Z,0)),""),"")))</f>
        <v/>
      </c>
      <c r="L357" s="73" t="str">
        <f>IF(ISBLANK(K357),"",IFERROR(INDEX('Tournament List'!$D:$D,MATCH(K357,'Tournament List'!$A:$A,0)),""))</f>
        <v/>
      </c>
      <c r="M357" s="94" t="str">
        <f>IF(F357="Skeet",IFERROR(INDEX('Shooter-Squad Assignment'!$A:$A,MATCH(C357&amp;"-"&amp;E357&amp;"-"&amp;F357&amp;"-Pos4",'Shooter-Squad Assignment'!$K:$K,0)),""),IF(F357="Trap",IFERROR(INDEX('Shooter-Squad Assignment'!$A:$A,MATCH(C357&amp;"-"&amp;E357&amp;"-"&amp;F357&amp;"-Pos4",'Shooter-Squad Assignment'!$W:$W,0)),""),IF(F357="Sporting Clays",IFERROR(INDEX('Shooter-Squad Assignment'!$A:$A,MATCH(C357&amp;"-"&amp;E357&amp;"-"&amp;F357&amp;"-Pos4",'Shooter-Squad Assignment'!$Z:$Z,0)),""),"")))</f>
        <v/>
      </c>
      <c r="N357" s="73" t="str">
        <f>IF(ISBLANK(M357),"",IFERROR(INDEX('Tournament List'!$D:$D,MATCH(M357,'Tournament List'!$A:$A,0)),""))</f>
        <v/>
      </c>
      <c r="O357" s="94" t="str">
        <f>IF(F357="Skeet",IFERROR(INDEX('Shooter-Squad Assignment'!$A:$A,MATCH(C357&amp;"-"&amp;E357&amp;"-"&amp;F357&amp;"-Pos5",'Shooter-Squad Assignment'!$K:$K,0)),""),IF(F357="Trap",IFERROR(INDEX('Shooter-Squad Assignment'!$A:$A,MATCH(C357&amp;"-"&amp;E357&amp;"-"&amp;F357&amp;"-Pos5",'Shooter-Squad Assignment'!$W:$W,0)),""),IF(F357="Sporting Clays",IFERROR(INDEX('Shooter-Squad Assignment'!$A:$A,MATCH(C357&amp;"-"&amp;E357&amp;"-"&amp;F357&amp;"-Pos5",'Shooter-Squad Assignment'!$Z:$Z,0)),""),"")))</f>
        <v/>
      </c>
      <c r="P357" s="79" t="str">
        <f>IF(ISBLANK(O357),"",IFERROR(INDEX('Tournament List'!$D:$D,MATCH(O357,'Tournament List'!$A:$A,0)),""))</f>
        <v/>
      </c>
    </row>
    <row r="358" spans="1:16" x14ac:dyDescent="0.3">
      <c r="A358" s="78">
        <v>357</v>
      </c>
      <c r="B358" s="73" t="str">
        <f>C358&amp;"-"&amp;E358&amp;"-"&amp;F358</f>
        <v>-Open 3-Skeet</v>
      </c>
      <c r="C358" s="73"/>
      <c r="D358" s="73" t="str">
        <f>INDEX('Tournament Setup'!$B$59:$B$78,MATCH(E358,SquadConcurrents,0))</f>
        <v>Open</v>
      </c>
      <c r="E358" s="73" t="s">
        <v>353</v>
      </c>
      <c r="F358" s="73" t="s">
        <v>143</v>
      </c>
      <c r="G358" s="94" t="str">
        <f>IF(F358="Skeet",IFERROR(INDEX('Shooter-Squad Assignment'!$A:$A,MATCH(C358&amp;"-"&amp;E358&amp;"-"&amp;F358&amp;"-Pos1",'Shooter-Squad Assignment'!$K:$K,0)),""),IF(F358="Trap",IFERROR(INDEX('Shooter-Squad Assignment'!$A:$A,MATCH(C358&amp;"-"&amp;E358&amp;"-"&amp;F358&amp;"-Pos1",'Shooter-Squad Assignment'!$W:$W,0)),""),IF(F358="Sporting Clays",IFERROR(INDEX('Shooter-Squad Assignment'!$A:$A,MATCH(C358&amp;"-"&amp;E358&amp;"-"&amp;F358&amp;"-Pos1",'Shooter-Squad Assignment'!$Z:$Z,0)),""),"")))</f>
        <v/>
      </c>
      <c r="H358" s="73" t="str">
        <f>IF(ISBLANK(G358),"",IFERROR(INDEX('Tournament List'!$D:$D,MATCH(G358,'Tournament List'!$A:$A,0)),""))</f>
        <v/>
      </c>
      <c r="I358" s="94" t="str">
        <f>IF(F358="Skeet",IFERROR(INDEX('Shooter-Squad Assignment'!$A:$A,MATCH(C358&amp;"-"&amp;E358&amp;"-"&amp;F358&amp;"-Pos2",'Shooter-Squad Assignment'!$K:$K,0)),""),IF(F358="Trap",IFERROR(INDEX('Shooter-Squad Assignment'!$A:$A,MATCH(C358&amp;"-"&amp;E358&amp;"-"&amp;F358&amp;"-Pos2",'Shooter-Squad Assignment'!$W:$W,0)),""),IF(F358="Sporting Clays",IFERROR(INDEX('Shooter-Squad Assignment'!$A:$A,MATCH(C358&amp;"-"&amp;E358&amp;"-"&amp;F358&amp;"-Pos2",'Shooter-Squad Assignment'!$Z:$Z,0)),""),"")))</f>
        <v/>
      </c>
      <c r="J358" s="73" t="str">
        <f>IF(ISBLANK(I358),"",IFERROR(INDEX('Tournament List'!$D:$D,MATCH(I358,'Tournament List'!$A:$A,0)),""))</f>
        <v/>
      </c>
      <c r="K358" s="94" t="str">
        <f>IF(F358="Skeet",IFERROR(INDEX('Shooter-Squad Assignment'!$A:$A,MATCH(C358&amp;"-"&amp;E358&amp;"-"&amp;F358&amp;"-Pos3",'Shooter-Squad Assignment'!$K:$K,0)),""),IF(F358="Trap",IFERROR(INDEX('Shooter-Squad Assignment'!$A:$A,MATCH(C358&amp;"-"&amp;E358&amp;"-"&amp;F358&amp;"-Pos3",'Shooter-Squad Assignment'!$W:$W,0)),""),IF(F358="Sporting Clays",IFERROR(INDEX('Shooter-Squad Assignment'!$A:$A,MATCH(C358&amp;"-"&amp;E358&amp;"-"&amp;F358&amp;"-Pos3",'Shooter-Squad Assignment'!$Z:$Z,0)),""),"")))</f>
        <v/>
      </c>
      <c r="L358" s="73" t="str">
        <f>IF(ISBLANK(K358),"",IFERROR(INDEX('Tournament List'!$D:$D,MATCH(K358,'Tournament List'!$A:$A,0)),""))</f>
        <v/>
      </c>
      <c r="M358" s="94" t="str">
        <f>IF(F358="Skeet",IFERROR(INDEX('Shooter-Squad Assignment'!$A:$A,MATCH(C358&amp;"-"&amp;E358&amp;"-"&amp;F358&amp;"-Pos4",'Shooter-Squad Assignment'!$K:$K,0)),""),IF(F358="Trap",IFERROR(INDEX('Shooter-Squad Assignment'!$A:$A,MATCH(C358&amp;"-"&amp;E358&amp;"-"&amp;F358&amp;"-Pos4",'Shooter-Squad Assignment'!$W:$W,0)),""),IF(F358="Sporting Clays",IFERROR(INDEX('Shooter-Squad Assignment'!$A:$A,MATCH(C358&amp;"-"&amp;E358&amp;"-"&amp;F358&amp;"-Pos4",'Shooter-Squad Assignment'!$Z:$Z,0)),""),"")))</f>
        <v/>
      </c>
      <c r="N358" s="73" t="str">
        <f>IF(ISBLANK(M358),"",IFERROR(INDEX('Tournament List'!$D:$D,MATCH(M358,'Tournament List'!$A:$A,0)),""))</f>
        <v/>
      </c>
      <c r="O358" s="94" t="str">
        <f>IF(F358="Skeet",IFERROR(INDEX('Shooter-Squad Assignment'!$A:$A,MATCH(C358&amp;"-"&amp;E358&amp;"-"&amp;F358&amp;"-Pos5",'Shooter-Squad Assignment'!$K:$K,0)),""),IF(F358="Trap",IFERROR(INDEX('Shooter-Squad Assignment'!$A:$A,MATCH(C358&amp;"-"&amp;E358&amp;"-"&amp;F358&amp;"-Pos5",'Shooter-Squad Assignment'!$W:$W,0)),""),IF(F358="Sporting Clays",IFERROR(INDEX('Shooter-Squad Assignment'!$A:$A,MATCH(C358&amp;"-"&amp;E358&amp;"-"&amp;F358&amp;"-Pos5",'Shooter-Squad Assignment'!$Z:$Z,0)),""),"")))</f>
        <v/>
      </c>
      <c r="P358" s="79" t="str">
        <f>IF(ISBLANK(O358),"",IFERROR(INDEX('Tournament List'!$D:$D,MATCH(O358,'Tournament List'!$A:$A,0)),""))</f>
        <v/>
      </c>
    </row>
    <row r="359" spans="1:16" x14ac:dyDescent="0.3">
      <c r="A359" s="78">
        <v>358</v>
      </c>
      <c r="B359" s="73" t="str">
        <f>C359&amp;"-"&amp;E359&amp;"-"&amp;F359</f>
        <v>-Unassigned 1-Skeet</v>
      </c>
      <c r="C359" s="73"/>
      <c r="D359" s="73" t="str">
        <f>INDEX('Tournament Setup'!$B$59:$B$78,MATCH(E359,SquadConcurrents,0))</f>
        <v>Unassigned</v>
      </c>
      <c r="E359" s="73" t="s">
        <v>762</v>
      </c>
      <c r="F359" s="73" t="s">
        <v>143</v>
      </c>
      <c r="G359" s="94" t="str">
        <f>IF(F359="Skeet",IFERROR(INDEX('Shooter-Squad Assignment'!$A:$A,MATCH(C359&amp;"-"&amp;E359&amp;"-"&amp;F359&amp;"-Pos1",'Shooter-Squad Assignment'!$K:$K,0)),""),IF(F359="Trap",IFERROR(INDEX('Shooter-Squad Assignment'!$A:$A,MATCH(C359&amp;"-"&amp;E359&amp;"-"&amp;F359&amp;"-Pos1",'Shooter-Squad Assignment'!$W:$W,0)),""),IF(F359="Sporting Clays",IFERROR(INDEX('Shooter-Squad Assignment'!$A:$A,MATCH(C359&amp;"-"&amp;E359&amp;"-"&amp;F359&amp;"-Pos1",'Shooter-Squad Assignment'!$Z:$Z,0)),""),"")))</f>
        <v/>
      </c>
      <c r="H359" s="73" t="str">
        <f>IF(ISBLANK(G359),"",IFERROR(INDEX('Tournament List'!$D:$D,MATCH(G359,'Tournament List'!$A:$A,0)),""))</f>
        <v/>
      </c>
      <c r="I359" s="94" t="str">
        <f>IF(F359="Skeet",IFERROR(INDEX('Shooter-Squad Assignment'!$A:$A,MATCH(C359&amp;"-"&amp;E359&amp;"-"&amp;F359&amp;"-Pos2",'Shooter-Squad Assignment'!$K:$K,0)),""),IF(F359="Trap",IFERROR(INDEX('Shooter-Squad Assignment'!$A:$A,MATCH(C359&amp;"-"&amp;E359&amp;"-"&amp;F359&amp;"-Pos2",'Shooter-Squad Assignment'!$W:$W,0)),""),IF(F359="Sporting Clays",IFERROR(INDEX('Shooter-Squad Assignment'!$A:$A,MATCH(C359&amp;"-"&amp;E359&amp;"-"&amp;F359&amp;"-Pos2",'Shooter-Squad Assignment'!$Z:$Z,0)),""),"")))</f>
        <v/>
      </c>
      <c r="J359" s="73" t="str">
        <f>IF(ISBLANK(I359),"",IFERROR(INDEX('Tournament List'!$D:$D,MATCH(I359,'Tournament List'!$A:$A,0)),""))</f>
        <v/>
      </c>
      <c r="K359" s="94" t="str">
        <f>IF(F359="Skeet",IFERROR(INDEX('Shooter-Squad Assignment'!$A:$A,MATCH(C359&amp;"-"&amp;E359&amp;"-"&amp;F359&amp;"-Pos3",'Shooter-Squad Assignment'!$K:$K,0)),""),IF(F359="Trap",IFERROR(INDEX('Shooter-Squad Assignment'!$A:$A,MATCH(C359&amp;"-"&amp;E359&amp;"-"&amp;F359&amp;"-Pos3",'Shooter-Squad Assignment'!$W:$W,0)),""),IF(F359="Sporting Clays",IFERROR(INDEX('Shooter-Squad Assignment'!$A:$A,MATCH(C359&amp;"-"&amp;E359&amp;"-"&amp;F359&amp;"-Pos3",'Shooter-Squad Assignment'!$Z:$Z,0)),""),"")))</f>
        <v/>
      </c>
      <c r="L359" s="73" t="str">
        <f>IF(ISBLANK(K359),"",IFERROR(INDEX('Tournament List'!$D:$D,MATCH(K359,'Tournament List'!$A:$A,0)),""))</f>
        <v/>
      </c>
      <c r="M359" s="94" t="str">
        <f>IF(F359="Skeet",IFERROR(INDEX('Shooter-Squad Assignment'!$A:$A,MATCH(C359&amp;"-"&amp;E359&amp;"-"&amp;F359&amp;"-Pos4",'Shooter-Squad Assignment'!$K:$K,0)),""),IF(F359="Trap",IFERROR(INDEX('Shooter-Squad Assignment'!$A:$A,MATCH(C359&amp;"-"&amp;E359&amp;"-"&amp;F359&amp;"-Pos4",'Shooter-Squad Assignment'!$W:$W,0)),""),IF(F359="Sporting Clays",IFERROR(INDEX('Shooter-Squad Assignment'!$A:$A,MATCH(C359&amp;"-"&amp;E359&amp;"-"&amp;F359&amp;"-Pos4",'Shooter-Squad Assignment'!$Z:$Z,0)),""),"")))</f>
        <v/>
      </c>
      <c r="N359" s="73" t="str">
        <f>IF(ISBLANK(M359),"",IFERROR(INDEX('Tournament List'!$D:$D,MATCH(M359,'Tournament List'!$A:$A,0)),""))</f>
        <v/>
      </c>
      <c r="O359" s="94" t="str">
        <f>IF(F359="Skeet",IFERROR(INDEX('Shooter-Squad Assignment'!$A:$A,MATCH(C359&amp;"-"&amp;E359&amp;"-"&amp;F359&amp;"-Pos5",'Shooter-Squad Assignment'!$K:$K,0)),""),IF(F359="Trap",IFERROR(INDEX('Shooter-Squad Assignment'!$A:$A,MATCH(C359&amp;"-"&amp;E359&amp;"-"&amp;F359&amp;"-Pos5",'Shooter-Squad Assignment'!$W:$W,0)),""),IF(F359="Sporting Clays",IFERROR(INDEX('Shooter-Squad Assignment'!$A:$A,MATCH(C359&amp;"-"&amp;E359&amp;"-"&amp;F359&amp;"-Pos5",'Shooter-Squad Assignment'!$Z:$Z,0)),""),"")))</f>
        <v/>
      </c>
      <c r="P359" s="79" t="str">
        <f>IF(ISBLANK(O359),"",IFERROR(INDEX('Tournament List'!$D:$D,MATCH(O359,'Tournament List'!$A:$A,0)),""))</f>
        <v/>
      </c>
    </row>
    <row r="360" spans="1:16" x14ac:dyDescent="0.3">
      <c r="A360" s="78">
        <v>359</v>
      </c>
      <c r="B360" s="73" t="str">
        <f>C360&amp;"-"&amp;E360&amp;"-"&amp;F360</f>
        <v>-Varsity 1-Skeet</v>
      </c>
      <c r="C360" s="73"/>
      <c r="D360" s="73" t="str">
        <f>INDEX('Tournament Setup'!$B$59:$B$78,MATCH(E360,SquadConcurrents,0))</f>
        <v>Varsity</v>
      </c>
      <c r="E360" s="73" t="s">
        <v>340</v>
      </c>
      <c r="F360" s="73" t="s">
        <v>143</v>
      </c>
      <c r="G360" s="94" t="str">
        <f>IF(F360="Skeet",IFERROR(INDEX('Shooter-Squad Assignment'!$A:$A,MATCH(C360&amp;"-"&amp;E360&amp;"-"&amp;F360&amp;"-Pos1",'Shooter-Squad Assignment'!$K:$K,0)),""),IF(F360="Trap",IFERROR(INDEX('Shooter-Squad Assignment'!$A:$A,MATCH(C360&amp;"-"&amp;E360&amp;"-"&amp;F360&amp;"-Pos1",'Shooter-Squad Assignment'!$W:$W,0)),""),IF(F360="Sporting Clays",IFERROR(INDEX('Shooter-Squad Assignment'!$A:$A,MATCH(C360&amp;"-"&amp;E360&amp;"-"&amp;F360&amp;"-Pos1",'Shooter-Squad Assignment'!$Z:$Z,0)),""),"")))</f>
        <v/>
      </c>
      <c r="H360" s="73" t="str">
        <f>IF(ISBLANK(G360),"",IFERROR(INDEX('Tournament List'!$D:$D,MATCH(G360,'Tournament List'!$A:$A,0)),""))</f>
        <v/>
      </c>
      <c r="I360" s="94" t="str">
        <f>IF(F360="Skeet",IFERROR(INDEX('Shooter-Squad Assignment'!$A:$A,MATCH(C360&amp;"-"&amp;E360&amp;"-"&amp;F360&amp;"-Pos2",'Shooter-Squad Assignment'!$K:$K,0)),""),IF(F360="Trap",IFERROR(INDEX('Shooter-Squad Assignment'!$A:$A,MATCH(C360&amp;"-"&amp;E360&amp;"-"&amp;F360&amp;"-Pos2",'Shooter-Squad Assignment'!$W:$W,0)),""),IF(F360="Sporting Clays",IFERROR(INDEX('Shooter-Squad Assignment'!$A:$A,MATCH(C360&amp;"-"&amp;E360&amp;"-"&amp;F360&amp;"-Pos2",'Shooter-Squad Assignment'!$Z:$Z,0)),""),"")))</f>
        <v/>
      </c>
      <c r="J360" s="73" t="str">
        <f>IF(ISBLANK(I360),"",IFERROR(INDEX('Tournament List'!$D:$D,MATCH(I360,'Tournament List'!$A:$A,0)),""))</f>
        <v/>
      </c>
      <c r="K360" s="94" t="str">
        <f>IF(F360="Skeet",IFERROR(INDEX('Shooter-Squad Assignment'!$A:$A,MATCH(C360&amp;"-"&amp;E360&amp;"-"&amp;F360&amp;"-Pos3",'Shooter-Squad Assignment'!$K:$K,0)),""),IF(F360="Trap",IFERROR(INDEX('Shooter-Squad Assignment'!$A:$A,MATCH(C360&amp;"-"&amp;E360&amp;"-"&amp;F360&amp;"-Pos3",'Shooter-Squad Assignment'!$W:$W,0)),""),IF(F360="Sporting Clays",IFERROR(INDEX('Shooter-Squad Assignment'!$A:$A,MATCH(C360&amp;"-"&amp;E360&amp;"-"&amp;F360&amp;"-Pos3",'Shooter-Squad Assignment'!$Z:$Z,0)),""),"")))</f>
        <v/>
      </c>
      <c r="L360" s="73" t="str">
        <f>IF(ISBLANK(K360),"",IFERROR(INDEX('Tournament List'!$D:$D,MATCH(K360,'Tournament List'!$A:$A,0)),""))</f>
        <v/>
      </c>
      <c r="M360" s="94" t="str">
        <f>IF(F360="Skeet",IFERROR(INDEX('Shooter-Squad Assignment'!$A:$A,MATCH(C360&amp;"-"&amp;E360&amp;"-"&amp;F360&amp;"-Pos4",'Shooter-Squad Assignment'!$K:$K,0)),""),IF(F360="Trap",IFERROR(INDEX('Shooter-Squad Assignment'!$A:$A,MATCH(C360&amp;"-"&amp;E360&amp;"-"&amp;F360&amp;"-Pos4",'Shooter-Squad Assignment'!$W:$W,0)),""),IF(F360="Sporting Clays",IFERROR(INDEX('Shooter-Squad Assignment'!$A:$A,MATCH(C360&amp;"-"&amp;E360&amp;"-"&amp;F360&amp;"-Pos4",'Shooter-Squad Assignment'!$Z:$Z,0)),""),"")))</f>
        <v/>
      </c>
      <c r="N360" s="73" t="str">
        <f>IF(ISBLANK(M360),"",IFERROR(INDEX('Tournament List'!$D:$D,MATCH(M360,'Tournament List'!$A:$A,0)),""))</f>
        <v/>
      </c>
      <c r="O360" s="94" t="str">
        <f>IF(F360="Skeet",IFERROR(INDEX('Shooter-Squad Assignment'!$A:$A,MATCH(C360&amp;"-"&amp;E360&amp;"-"&amp;F360&amp;"-Pos5",'Shooter-Squad Assignment'!$K:$K,0)),""),IF(F360="Trap",IFERROR(INDEX('Shooter-Squad Assignment'!$A:$A,MATCH(C360&amp;"-"&amp;E360&amp;"-"&amp;F360&amp;"-Pos5",'Shooter-Squad Assignment'!$W:$W,0)),""),IF(F360="Sporting Clays",IFERROR(INDEX('Shooter-Squad Assignment'!$A:$A,MATCH(C360&amp;"-"&amp;E360&amp;"-"&amp;F360&amp;"-Pos5",'Shooter-Squad Assignment'!$Z:$Z,0)),""),"")))</f>
        <v/>
      </c>
      <c r="P360" s="79" t="str">
        <f>IF(ISBLANK(O360),"",IFERROR(INDEX('Tournament List'!$D:$D,MATCH(O360,'Tournament List'!$A:$A,0)),""))</f>
        <v/>
      </c>
    </row>
    <row r="361" spans="1:16" x14ac:dyDescent="0.3">
      <c r="A361" s="78">
        <v>360</v>
      </c>
      <c r="B361" s="73" t="str">
        <f>C361&amp;"-"&amp;E361&amp;"-"&amp;F361</f>
        <v>-Varsity 2-Skeet</v>
      </c>
      <c r="C361" s="73"/>
      <c r="D361" s="73" t="str">
        <f>INDEX('Tournament Setup'!$B$59:$B$78,MATCH(E361,SquadConcurrents,0))</f>
        <v>Varsity</v>
      </c>
      <c r="E361" s="73" t="s">
        <v>346</v>
      </c>
      <c r="F361" s="73" t="s">
        <v>143</v>
      </c>
      <c r="G361" s="94" t="str">
        <f>IF(F361="Skeet",IFERROR(INDEX('Shooter-Squad Assignment'!$A:$A,MATCH(C361&amp;"-"&amp;E361&amp;"-"&amp;F361&amp;"-Pos1",'Shooter-Squad Assignment'!$K:$K,0)),""),IF(F361="Trap",IFERROR(INDEX('Shooter-Squad Assignment'!$A:$A,MATCH(C361&amp;"-"&amp;E361&amp;"-"&amp;F361&amp;"-Pos1",'Shooter-Squad Assignment'!$W:$W,0)),""),IF(F361="Sporting Clays",IFERROR(INDEX('Shooter-Squad Assignment'!$A:$A,MATCH(C361&amp;"-"&amp;E361&amp;"-"&amp;F361&amp;"-Pos1",'Shooter-Squad Assignment'!$Z:$Z,0)),""),"")))</f>
        <v/>
      </c>
      <c r="H361" s="73" t="str">
        <f>IF(ISBLANK(G361),"",IFERROR(INDEX('Tournament List'!$D:$D,MATCH(G361,'Tournament List'!$A:$A,0)),""))</f>
        <v/>
      </c>
      <c r="I361" s="94" t="str">
        <f>IF(F361="Skeet",IFERROR(INDEX('Shooter-Squad Assignment'!$A:$A,MATCH(C361&amp;"-"&amp;E361&amp;"-"&amp;F361&amp;"-Pos2",'Shooter-Squad Assignment'!$K:$K,0)),""),IF(F361="Trap",IFERROR(INDEX('Shooter-Squad Assignment'!$A:$A,MATCH(C361&amp;"-"&amp;E361&amp;"-"&amp;F361&amp;"-Pos2",'Shooter-Squad Assignment'!$W:$W,0)),""),IF(F361="Sporting Clays",IFERROR(INDEX('Shooter-Squad Assignment'!$A:$A,MATCH(C361&amp;"-"&amp;E361&amp;"-"&amp;F361&amp;"-Pos2",'Shooter-Squad Assignment'!$Z:$Z,0)),""),"")))</f>
        <v/>
      </c>
      <c r="J361" s="73" t="str">
        <f>IF(ISBLANK(I361),"",IFERROR(INDEX('Tournament List'!$D:$D,MATCH(I361,'Tournament List'!$A:$A,0)),""))</f>
        <v/>
      </c>
      <c r="K361" s="94" t="str">
        <f>IF(F361="Skeet",IFERROR(INDEX('Shooter-Squad Assignment'!$A:$A,MATCH(C361&amp;"-"&amp;E361&amp;"-"&amp;F361&amp;"-Pos3",'Shooter-Squad Assignment'!$K:$K,0)),""),IF(F361="Trap",IFERROR(INDEX('Shooter-Squad Assignment'!$A:$A,MATCH(C361&amp;"-"&amp;E361&amp;"-"&amp;F361&amp;"-Pos3",'Shooter-Squad Assignment'!$W:$W,0)),""),IF(F361="Sporting Clays",IFERROR(INDEX('Shooter-Squad Assignment'!$A:$A,MATCH(C361&amp;"-"&amp;E361&amp;"-"&amp;F361&amp;"-Pos3",'Shooter-Squad Assignment'!$Z:$Z,0)),""),"")))</f>
        <v/>
      </c>
      <c r="L361" s="73" t="str">
        <f>IF(ISBLANK(K361),"",IFERROR(INDEX('Tournament List'!$D:$D,MATCH(K361,'Tournament List'!$A:$A,0)),""))</f>
        <v/>
      </c>
      <c r="M361" s="94" t="str">
        <f>IF(F361="Skeet",IFERROR(INDEX('Shooter-Squad Assignment'!$A:$A,MATCH(C361&amp;"-"&amp;E361&amp;"-"&amp;F361&amp;"-Pos4",'Shooter-Squad Assignment'!$K:$K,0)),""),IF(F361="Trap",IFERROR(INDEX('Shooter-Squad Assignment'!$A:$A,MATCH(C361&amp;"-"&amp;E361&amp;"-"&amp;F361&amp;"-Pos4",'Shooter-Squad Assignment'!$W:$W,0)),""),IF(F361="Sporting Clays",IFERROR(INDEX('Shooter-Squad Assignment'!$A:$A,MATCH(C361&amp;"-"&amp;E361&amp;"-"&amp;F361&amp;"-Pos4",'Shooter-Squad Assignment'!$Z:$Z,0)),""),"")))</f>
        <v/>
      </c>
      <c r="N361" s="73" t="str">
        <f>IF(ISBLANK(M361),"",IFERROR(INDEX('Tournament List'!$D:$D,MATCH(M361,'Tournament List'!$A:$A,0)),""))</f>
        <v/>
      </c>
      <c r="O361" s="94" t="str">
        <f>IF(F361="Skeet",IFERROR(INDEX('Shooter-Squad Assignment'!$A:$A,MATCH(C361&amp;"-"&amp;E361&amp;"-"&amp;F361&amp;"-Pos5",'Shooter-Squad Assignment'!$K:$K,0)),""),IF(F361="Trap",IFERROR(INDEX('Shooter-Squad Assignment'!$A:$A,MATCH(C361&amp;"-"&amp;E361&amp;"-"&amp;F361&amp;"-Pos5",'Shooter-Squad Assignment'!$W:$W,0)),""),IF(F361="Sporting Clays",IFERROR(INDEX('Shooter-Squad Assignment'!$A:$A,MATCH(C361&amp;"-"&amp;E361&amp;"-"&amp;F361&amp;"-Pos5",'Shooter-Squad Assignment'!$Z:$Z,0)),""),"")))</f>
        <v/>
      </c>
      <c r="P361" s="79" t="str">
        <f>IF(ISBLANK(O361),"",IFERROR(INDEX('Tournament List'!$D:$D,MATCH(O361,'Tournament List'!$A:$A,0)),""))</f>
        <v/>
      </c>
    </row>
    <row r="362" spans="1:16" x14ac:dyDescent="0.3">
      <c r="A362" s="78">
        <v>361</v>
      </c>
      <c r="B362" s="73" t="str">
        <f>C362&amp;"-"&amp;E362&amp;"-"&amp;F362</f>
        <v>-Varsity 3-Skeet</v>
      </c>
      <c r="C362" s="73"/>
      <c r="D362" s="73" t="str">
        <f>INDEX('Tournament Setup'!$B$59:$B$78,MATCH(E362,SquadConcurrents,0))</f>
        <v>Varsity</v>
      </c>
      <c r="E362" s="73" t="s">
        <v>352</v>
      </c>
      <c r="F362" s="73" t="s">
        <v>143</v>
      </c>
      <c r="G362" s="94" t="str">
        <f>IF(F362="Skeet",IFERROR(INDEX('Shooter-Squad Assignment'!$A:$A,MATCH(C362&amp;"-"&amp;E362&amp;"-"&amp;F362&amp;"-Pos1",'Shooter-Squad Assignment'!$K:$K,0)),""),IF(F362="Trap",IFERROR(INDEX('Shooter-Squad Assignment'!$A:$A,MATCH(C362&amp;"-"&amp;E362&amp;"-"&amp;F362&amp;"-Pos1",'Shooter-Squad Assignment'!$W:$W,0)),""),IF(F362="Sporting Clays",IFERROR(INDEX('Shooter-Squad Assignment'!$A:$A,MATCH(C362&amp;"-"&amp;E362&amp;"-"&amp;F362&amp;"-Pos1",'Shooter-Squad Assignment'!$Z:$Z,0)),""),"")))</f>
        <v/>
      </c>
      <c r="H362" s="73" t="str">
        <f>IF(ISBLANK(G362),"",IFERROR(INDEX('Tournament List'!$D:$D,MATCH(G362,'Tournament List'!$A:$A,0)),""))</f>
        <v/>
      </c>
      <c r="I362" s="94" t="str">
        <f>IF(F362="Skeet",IFERROR(INDEX('Shooter-Squad Assignment'!$A:$A,MATCH(C362&amp;"-"&amp;E362&amp;"-"&amp;F362&amp;"-Pos2",'Shooter-Squad Assignment'!$K:$K,0)),""),IF(F362="Trap",IFERROR(INDEX('Shooter-Squad Assignment'!$A:$A,MATCH(C362&amp;"-"&amp;E362&amp;"-"&amp;F362&amp;"-Pos2",'Shooter-Squad Assignment'!$W:$W,0)),""),IF(F362="Sporting Clays",IFERROR(INDEX('Shooter-Squad Assignment'!$A:$A,MATCH(C362&amp;"-"&amp;E362&amp;"-"&amp;F362&amp;"-Pos2",'Shooter-Squad Assignment'!$Z:$Z,0)),""),"")))</f>
        <v/>
      </c>
      <c r="J362" s="73" t="str">
        <f>IF(ISBLANK(I362),"",IFERROR(INDEX('Tournament List'!$D:$D,MATCH(I362,'Tournament List'!$A:$A,0)),""))</f>
        <v/>
      </c>
      <c r="K362" s="94" t="str">
        <f>IF(F362="Skeet",IFERROR(INDEX('Shooter-Squad Assignment'!$A:$A,MATCH(C362&amp;"-"&amp;E362&amp;"-"&amp;F362&amp;"-Pos3",'Shooter-Squad Assignment'!$K:$K,0)),""),IF(F362="Trap",IFERROR(INDEX('Shooter-Squad Assignment'!$A:$A,MATCH(C362&amp;"-"&amp;E362&amp;"-"&amp;F362&amp;"-Pos3",'Shooter-Squad Assignment'!$W:$W,0)),""),IF(F362="Sporting Clays",IFERROR(INDEX('Shooter-Squad Assignment'!$A:$A,MATCH(C362&amp;"-"&amp;E362&amp;"-"&amp;F362&amp;"-Pos3",'Shooter-Squad Assignment'!$Z:$Z,0)),""),"")))</f>
        <v/>
      </c>
      <c r="L362" s="73" t="str">
        <f>IF(ISBLANK(K362),"",IFERROR(INDEX('Tournament List'!$D:$D,MATCH(K362,'Tournament List'!$A:$A,0)),""))</f>
        <v/>
      </c>
      <c r="M362" s="94" t="str">
        <f>IF(F362="Skeet",IFERROR(INDEX('Shooter-Squad Assignment'!$A:$A,MATCH(C362&amp;"-"&amp;E362&amp;"-"&amp;F362&amp;"-Pos4",'Shooter-Squad Assignment'!$K:$K,0)),""),IF(F362="Trap",IFERROR(INDEX('Shooter-Squad Assignment'!$A:$A,MATCH(C362&amp;"-"&amp;E362&amp;"-"&amp;F362&amp;"-Pos4",'Shooter-Squad Assignment'!$W:$W,0)),""),IF(F362="Sporting Clays",IFERROR(INDEX('Shooter-Squad Assignment'!$A:$A,MATCH(C362&amp;"-"&amp;E362&amp;"-"&amp;F362&amp;"-Pos4",'Shooter-Squad Assignment'!$Z:$Z,0)),""),"")))</f>
        <v/>
      </c>
      <c r="N362" s="73" t="str">
        <f>IF(ISBLANK(M362),"",IFERROR(INDEX('Tournament List'!$D:$D,MATCH(M362,'Tournament List'!$A:$A,0)),""))</f>
        <v/>
      </c>
      <c r="O362" s="94" t="str">
        <f>IF(F362="Skeet",IFERROR(INDEX('Shooter-Squad Assignment'!$A:$A,MATCH(C362&amp;"-"&amp;E362&amp;"-"&amp;F362&amp;"-Pos5",'Shooter-Squad Assignment'!$K:$K,0)),""),IF(F362="Trap",IFERROR(INDEX('Shooter-Squad Assignment'!$A:$A,MATCH(C362&amp;"-"&amp;E362&amp;"-"&amp;F362&amp;"-Pos5",'Shooter-Squad Assignment'!$W:$W,0)),""),IF(F362="Sporting Clays",IFERROR(INDEX('Shooter-Squad Assignment'!$A:$A,MATCH(C362&amp;"-"&amp;E362&amp;"-"&amp;F362&amp;"-Pos5",'Shooter-Squad Assignment'!$Z:$Z,0)),""),"")))</f>
        <v/>
      </c>
      <c r="P362" s="79" t="str">
        <f>IF(ISBLANK(O362),"",IFERROR(INDEX('Tournament List'!$D:$D,MATCH(O362,'Tournament List'!$A:$A,0)),""))</f>
        <v/>
      </c>
    </row>
    <row r="363" spans="1:16" x14ac:dyDescent="0.3">
      <c r="A363" s="78">
        <v>362</v>
      </c>
      <c r="B363" s="73" t="str">
        <f>C363&amp;"-"&amp;E363&amp;"-"&amp;F363</f>
        <v>-Collegiate 1-Sporting Clays</v>
      </c>
      <c r="C363" s="73"/>
      <c r="D363" s="73" t="str">
        <f>INDEX('Tournament Setup'!$B$59:$B$78,MATCH(E363,SquadConcurrents,0))</f>
        <v>Collegiate</v>
      </c>
      <c r="E363" s="73" t="s">
        <v>342</v>
      </c>
      <c r="F363" s="73" t="s">
        <v>148</v>
      </c>
      <c r="G363" s="94" t="str">
        <f>IF(F363="Skeet",IFERROR(INDEX('Shooter-Squad Assignment'!$A:$A,MATCH(C363&amp;"-"&amp;E363&amp;"-"&amp;F363&amp;"-Pos1",'Shooter-Squad Assignment'!$K:$K,0)),""),IF(F363="Trap",IFERROR(INDEX('Shooter-Squad Assignment'!$A:$A,MATCH(C363&amp;"-"&amp;E363&amp;"-"&amp;F363&amp;"-Pos1",'Shooter-Squad Assignment'!$W:$W,0)),""),IF(F363="Sporting Clays",IFERROR(INDEX('Shooter-Squad Assignment'!$A:$A,MATCH(C363&amp;"-"&amp;E363&amp;"-"&amp;F363&amp;"-Pos1",'Shooter-Squad Assignment'!$Z:$Z,0)),""),"")))</f>
        <v/>
      </c>
      <c r="H363" s="73" t="str">
        <f>IF(ISBLANK(G363),"",IFERROR(INDEX('Tournament List'!$D:$D,MATCH(G363,'Tournament List'!$A:$A,0)),""))</f>
        <v/>
      </c>
      <c r="I363" s="94" t="str">
        <f>IF(F363="Skeet",IFERROR(INDEX('Shooter-Squad Assignment'!$A:$A,MATCH(C363&amp;"-"&amp;E363&amp;"-"&amp;F363&amp;"-Pos2",'Shooter-Squad Assignment'!$K:$K,0)),""),IF(F363="Trap",IFERROR(INDEX('Shooter-Squad Assignment'!$A:$A,MATCH(C363&amp;"-"&amp;E363&amp;"-"&amp;F363&amp;"-Pos2",'Shooter-Squad Assignment'!$W:$W,0)),""),IF(F363="Sporting Clays",IFERROR(INDEX('Shooter-Squad Assignment'!$A:$A,MATCH(C363&amp;"-"&amp;E363&amp;"-"&amp;F363&amp;"-Pos2",'Shooter-Squad Assignment'!$Z:$Z,0)),""),"")))</f>
        <v/>
      </c>
      <c r="J363" s="73" t="str">
        <f>IF(ISBLANK(I363),"",IFERROR(INDEX('Tournament List'!$D:$D,MATCH(I363,'Tournament List'!$A:$A,0)),""))</f>
        <v/>
      </c>
      <c r="K363" s="94" t="str">
        <f>IF(F363="Skeet",IFERROR(INDEX('Shooter-Squad Assignment'!$A:$A,MATCH(C363&amp;"-"&amp;E363&amp;"-"&amp;F363&amp;"-Pos3",'Shooter-Squad Assignment'!$K:$K,0)),""),IF(F363="Trap",IFERROR(INDEX('Shooter-Squad Assignment'!$A:$A,MATCH(C363&amp;"-"&amp;E363&amp;"-"&amp;F363&amp;"-Pos3",'Shooter-Squad Assignment'!$W:$W,0)),""),IF(F363="Sporting Clays",IFERROR(INDEX('Shooter-Squad Assignment'!$A:$A,MATCH(C363&amp;"-"&amp;E363&amp;"-"&amp;F363&amp;"-Pos3",'Shooter-Squad Assignment'!$Z:$Z,0)),""),"")))</f>
        <v/>
      </c>
      <c r="L363" s="73" t="str">
        <f>IF(ISBLANK(K363),"",IFERROR(INDEX('Tournament List'!$D:$D,MATCH(K363,'Tournament List'!$A:$A,0)),""))</f>
        <v/>
      </c>
      <c r="M363" s="94" t="str">
        <f>IF(F363="Skeet",IFERROR(INDEX('Shooter-Squad Assignment'!$A:$A,MATCH(C363&amp;"-"&amp;E363&amp;"-"&amp;F363&amp;"-Pos4",'Shooter-Squad Assignment'!$K:$K,0)),""),IF(F363="Trap",IFERROR(INDEX('Shooter-Squad Assignment'!$A:$A,MATCH(C363&amp;"-"&amp;E363&amp;"-"&amp;F363&amp;"-Pos4",'Shooter-Squad Assignment'!$W:$W,0)),""),IF(F363="Sporting Clays",IFERROR(INDEX('Shooter-Squad Assignment'!$A:$A,MATCH(C363&amp;"-"&amp;E363&amp;"-"&amp;F363&amp;"-Pos4",'Shooter-Squad Assignment'!$Z:$Z,0)),""),"")))</f>
        <v/>
      </c>
      <c r="N363" s="73" t="str">
        <f>IF(ISBLANK(M363),"",IFERROR(INDEX('Tournament List'!$D:$D,MATCH(M363,'Tournament List'!$A:$A,0)),""))</f>
        <v/>
      </c>
      <c r="O363" s="94" t="str">
        <f>IF(F363="Skeet",IFERROR(INDEX('Shooter-Squad Assignment'!$A:$A,MATCH(C363&amp;"-"&amp;E363&amp;"-"&amp;F363&amp;"-Pos5",'Shooter-Squad Assignment'!$K:$K,0)),""),IF(F363="Trap",IFERROR(INDEX('Shooter-Squad Assignment'!$A:$A,MATCH(C363&amp;"-"&amp;E363&amp;"-"&amp;F363&amp;"-Pos5",'Shooter-Squad Assignment'!$W:$W,0)),""),IF(F363="Sporting Clays",IFERROR(INDEX('Shooter-Squad Assignment'!$A:$A,MATCH(C363&amp;"-"&amp;E363&amp;"-"&amp;F363&amp;"-Pos5",'Shooter-Squad Assignment'!$Z:$Z,0)),""),"")))</f>
        <v/>
      </c>
      <c r="P363" s="79" t="str">
        <f>IF(ISBLANK(O363),"",IFERROR(INDEX('Tournament List'!$D:$D,MATCH(O363,'Tournament List'!$A:$A,0)),""))</f>
        <v/>
      </c>
    </row>
    <row r="364" spans="1:16" x14ac:dyDescent="0.3">
      <c r="A364" s="78">
        <v>363</v>
      </c>
      <c r="B364" s="73" t="str">
        <f>C364&amp;"-"&amp;E364&amp;"-"&amp;F364</f>
        <v>-Collegiate 2-Sporting Clays</v>
      </c>
      <c r="C364" s="73"/>
      <c r="D364" s="73" t="str">
        <f>INDEX('Tournament Setup'!$B$59:$B$78,MATCH(E364,SquadConcurrents,0))</f>
        <v>Collegiate</v>
      </c>
      <c r="E364" s="73" t="s">
        <v>348</v>
      </c>
      <c r="F364" s="73" t="s">
        <v>148</v>
      </c>
      <c r="G364" s="94" t="str">
        <f>IF(F364="Skeet",IFERROR(INDEX('Shooter-Squad Assignment'!$A:$A,MATCH(C364&amp;"-"&amp;E364&amp;"-"&amp;F364&amp;"-Pos1",'Shooter-Squad Assignment'!$K:$K,0)),""),IF(F364="Trap",IFERROR(INDEX('Shooter-Squad Assignment'!$A:$A,MATCH(C364&amp;"-"&amp;E364&amp;"-"&amp;F364&amp;"-Pos1",'Shooter-Squad Assignment'!$W:$W,0)),""),IF(F364="Sporting Clays",IFERROR(INDEX('Shooter-Squad Assignment'!$A:$A,MATCH(C364&amp;"-"&amp;E364&amp;"-"&amp;F364&amp;"-Pos1",'Shooter-Squad Assignment'!$Z:$Z,0)),""),"")))</f>
        <v/>
      </c>
      <c r="H364" s="73" t="str">
        <f>IF(ISBLANK(G364),"",IFERROR(INDEX('Tournament List'!$D:$D,MATCH(G364,'Tournament List'!$A:$A,0)),""))</f>
        <v/>
      </c>
      <c r="I364" s="94" t="str">
        <f>IF(F364="Skeet",IFERROR(INDEX('Shooter-Squad Assignment'!$A:$A,MATCH(C364&amp;"-"&amp;E364&amp;"-"&amp;F364&amp;"-Pos2",'Shooter-Squad Assignment'!$K:$K,0)),""),IF(F364="Trap",IFERROR(INDEX('Shooter-Squad Assignment'!$A:$A,MATCH(C364&amp;"-"&amp;E364&amp;"-"&amp;F364&amp;"-Pos2",'Shooter-Squad Assignment'!$W:$W,0)),""),IF(F364="Sporting Clays",IFERROR(INDEX('Shooter-Squad Assignment'!$A:$A,MATCH(C364&amp;"-"&amp;E364&amp;"-"&amp;F364&amp;"-Pos2",'Shooter-Squad Assignment'!$Z:$Z,0)),""),"")))</f>
        <v/>
      </c>
      <c r="J364" s="73" t="str">
        <f>IF(ISBLANK(I364),"",IFERROR(INDEX('Tournament List'!$D:$D,MATCH(I364,'Tournament List'!$A:$A,0)),""))</f>
        <v/>
      </c>
      <c r="K364" s="94" t="str">
        <f>IF(F364="Skeet",IFERROR(INDEX('Shooter-Squad Assignment'!$A:$A,MATCH(C364&amp;"-"&amp;E364&amp;"-"&amp;F364&amp;"-Pos3",'Shooter-Squad Assignment'!$K:$K,0)),""),IF(F364="Trap",IFERROR(INDEX('Shooter-Squad Assignment'!$A:$A,MATCH(C364&amp;"-"&amp;E364&amp;"-"&amp;F364&amp;"-Pos3",'Shooter-Squad Assignment'!$W:$W,0)),""),IF(F364="Sporting Clays",IFERROR(INDEX('Shooter-Squad Assignment'!$A:$A,MATCH(C364&amp;"-"&amp;E364&amp;"-"&amp;F364&amp;"-Pos3",'Shooter-Squad Assignment'!$Z:$Z,0)),""),"")))</f>
        <v/>
      </c>
      <c r="L364" s="73" t="str">
        <f>IF(ISBLANK(K364),"",IFERROR(INDEX('Tournament List'!$D:$D,MATCH(K364,'Tournament List'!$A:$A,0)),""))</f>
        <v/>
      </c>
      <c r="M364" s="94" t="str">
        <f>IF(F364="Skeet",IFERROR(INDEX('Shooter-Squad Assignment'!$A:$A,MATCH(C364&amp;"-"&amp;E364&amp;"-"&amp;F364&amp;"-Pos4",'Shooter-Squad Assignment'!$K:$K,0)),""),IF(F364="Trap",IFERROR(INDEX('Shooter-Squad Assignment'!$A:$A,MATCH(C364&amp;"-"&amp;E364&amp;"-"&amp;F364&amp;"-Pos4",'Shooter-Squad Assignment'!$W:$W,0)),""),IF(F364="Sporting Clays",IFERROR(INDEX('Shooter-Squad Assignment'!$A:$A,MATCH(C364&amp;"-"&amp;E364&amp;"-"&amp;F364&amp;"-Pos4",'Shooter-Squad Assignment'!$Z:$Z,0)),""),"")))</f>
        <v/>
      </c>
      <c r="N364" s="73" t="str">
        <f>IF(ISBLANK(M364),"",IFERROR(INDEX('Tournament List'!$D:$D,MATCH(M364,'Tournament List'!$A:$A,0)),""))</f>
        <v/>
      </c>
      <c r="O364" s="94" t="str">
        <f>IF(F364="Skeet",IFERROR(INDEX('Shooter-Squad Assignment'!$A:$A,MATCH(C364&amp;"-"&amp;E364&amp;"-"&amp;F364&amp;"-Pos5",'Shooter-Squad Assignment'!$K:$K,0)),""),IF(F364="Trap",IFERROR(INDEX('Shooter-Squad Assignment'!$A:$A,MATCH(C364&amp;"-"&amp;E364&amp;"-"&amp;F364&amp;"-Pos5",'Shooter-Squad Assignment'!$W:$W,0)),""),IF(F364="Sporting Clays",IFERROR(INDEX('Shooter-Squad Assignment'!$A:$A,MATCH(C364&amp;"-"&amp;E364&amp;"-"&amp;F364&amp;"-Pos5",'Shooter-Squad Assignment'!$Z:$Z,0)),""),"")))</f>
        <v/>
      </c>
      <c r="P364" s="79" t="str">
        <f>IF(ISBLANK(O364),"",IFERROR(INDEX('Tournament List'!$D:$D,MATCH(O364,'Tournament List'!$A:$A,0)),""))</f>
        <v/>
      </c>
    </row>
    <row r="365" spans="1:16" x14ac:dyDescent="0.3">
      <c r="A365" s="78">
        <v>364</v>
      </c>
      <c r="B365" s="73" t="str">
        <f>C365&amp;"-"&amp;E365&amp;"-"&amp;F365</f>
        <v>-Collegiate 3-Sporting Clays</v>
      </c>
      <c r="C365" s="73"/>
      <c r="D365" s="73" t="str">
        <f>INDEX('Tournament Setup'!$B$59:$B$78,MATCH(E365,SquadConcurrents,0))</f>
        <v>Collegiate</v>
      </c>
      <c r="E365" s="73" t="s">
        <v>354</v>
      </c>
      <c r="F365" s="73" t="s">
        <v>148</v>
      </c>
      <c r="G365" s="94" t="str">
        <f>IF(F365="Skeet",IFERROR(INDEX('Shooter-Squad Assignment'!$A:$A,MATCH(C365&amp;"-"&amp;E365&amp;"-"&amp;F365&amp;"-Pos1",'Shooter-Squad Assignment'!$K:$K,0)),""),IF(F365="Trap",IFERROR(INDEX('Shooter-Squad Assignment'!$A:$A,MATCH(C365&amp;"-"&amp;E365&amp;"-"&amp;F365&amp;"-Pos1",'Shooter-Squad Assignment'!$W:$W,0)),""),IF(F365="Sporting Clays",IFERROR(INDEX('Shooter-Squad Assignment'!$A:$A,MATCH(C365&amp;"-"&amp;E365&amp;"-"&amp;F365&amp;"-Pos1",'Shooter-Squad Assignment'!$Z:$Z,0)),""),"")))</f>
        <v/>
      </c>
      <c r="H365" s="73" t="str">
        <f>IF(ISBLANK(G365),"",IFERROR(INDEX('Tournament List'!$D:$D,MATCH(G365,'Tournament List'!$A:$A,0)),""))</f>
        <v/>
      </c>
      <c r="I365" s="94" t="str">
        <f>IF(F365="Skeet",IFERROR(INDEX('Shooter-Squad Assignment'!$A:$A,MATCH(C365&amp;"-"&amp;E365&amp;"-"&amp;F365&amp;"-Pos2",'Shooter-Squad Assignment'!$K:$K,0)),""),IF(F365="Trap",IFERROR(INDEX('Shooter-Squad Assignment'!$A:$A,MATCH(C365&amp;"-"&amp;E365&amp;"-"&amp;F365&amp;"-Pos2",'Shooter-Squad Assignment'!$W:$W,0)),""),IF(F365="Sporting Clays",IFERROR(INDEX('Shooter-Squad Assignment'!$A:$A,MATCH(C365&amp;"-"&amp;E365&amp;"-"&amp;F365&amp;"-Pos2",'Shooter-Squad Assignment'!$Z:$Z,0)),""),"")))</f>
        <v/>
      </c>
      <c r="J365" s="73" t="str">
        <f>IF(ISBLANK(I365),"",IFERROR(INDEX('Tournament List'!$D:$D,MATCH(I365,'Tournament List'!$A:$A,0)),""))</f>
        <v/>
      </c>
      <c r="K365" s="94" t="str">
        <f>IF(F365="Skeet",IFERROR(INDEX('Shooter-Squad Assignment'!$A:$A,MATCH(C365&amp;"-"&amp;E365&amp;"-"&amp;F365&amp;"-Pos3",'Shooter-Squad Assignment'!$K:$K,0)),""),IF(F365="Trap",IFERROR(INDEX('Shooter-Squad Assignment'!$A:$A,MATCH(C365&amp;"-"&amp;E365&amp;"-"&amp;F365&amp;"-Pos3",'Shooter-Squad Assignment'!$W:$W,0)),""),IF(F365="Sporting Clays",IFERROR(INDEX('Shooter-Squad Assignment'!$A:$A,MATCH(C365&amp;"-"&amp;E365&amp;"-"&amp;F365&amp;"-Pos3",'Shooter-Squad Assignment'!$Z:$Z,0)),""),"")))</f>
        <v/>
      </c>
      <c r="L365" s="73" t="str">
        <f>IF(ISBLANK(K365),"",IFERROR(INDEX('Tournament List'!$D:$D,MATCH(K365,'Tournament List'!$A:$A,0)),""))</f>
        <v/>
      </c>
      <c r="M365" s="94" t="str">
        <f>IF(F365="Skeet",IFERROR(INDEX('Shooter-Squad Assignment'!$A:$A,MATCH(C365&amp;"-"&amp;E365&amp;"-"&amp;F365&amp;"-Pos4",'Shooter-Squad Assignment'!$K:$K,0)),""),IF(F365="Trap",IFERROR(INDEX('Shooter-Squad Assignment'!$A:$A,MATCH(C365&amp;"-"&amp;E365&amp;"-"&amp;F365&amp;"-Pos4",'Shooter-Squad Assignment'!$W:$W,0)),""),IF(F365="Sporting Clays",IFERROR(INDEX('Shooter-Squad Assignment'!$A:$A,MATCH(C365&amp;"-"&amp;E365&amp;"-"&amp;F365&amp;"-Pos4",'Shooter-Squad Assignment'!$Z:$Z,0)),""),"")))</f>
        <v/>
      </c>
      <c r="N365" s="73" t="str">
        <f>IF(ISBLANK(M365),"",IFERROR(INDEX('Tournament List'!$D:$D,MATCH(M365,'Tournament List'!$A:$A,0)),""))</f>
        <v/>
      </c>
      <c r="O365" s="94" t="str">
        <f>IF(F365="Skeet",IFERROR(INDEX('Shooter-Squad Assignment'!$A:$A,MATCH(C365&amp;"-"&amp;E365&amp;"-"&amp;F365&amp;"-Pos5",'Shooter-Squad Assignment'!$K:$K,0)),""),IF(F365="Trap",IFERROR(INDEX('Shooter-Squad Assignment'!$A:$A,MATCH(C365&amp;"-"&amp;E365&amp;"-"&amp;F365&amp;"-Pos5",'Shooter-Squad Assignment'!$W:$W,0)),""),IF(F365="Sporting Clays",IFERROR(INDEX('Shooter-Squad Assignment'!$A:$A,MATCH(C365&amp;"-"&amp;E365&amp;"-"&amp;F365&amp;"-Pos5",'Shooter-Squad Assignment'!$Z:$Z,0)),""),"")))</f>
        <v/>
      </c>
      <c r="P365" s="79" t="str">
        <f>IF(ISBLANK(O365),"",IFERROR(INDEX('Tournament List'!$D:$D,MATCH(O365,'Tournament List'!$A:$A,0)),""))</f>
        <v/>
      </c>
    </row>
    <row r="366" spans="1:16" x14ac:dyDescent="0.3">
      <c r="A366" s="78">
        <v>365</v>
      </c>
      <c r="B366" s="73" t="str">
        <f>C366&amp;"-"&amp;E366&amp;"-"&amp;F366</f>
        <v>-Intermediate 1-Sporting Clays</v>
      </c>
      <c r="C366" s="73"/>
      <c r="D366" s="73" t="str">
        <f>INDEX('Tournament Setup'!$B$59:$B$78,MATCH(E366,SquadConcurrents,0))</f>
        <v>Intermediate</v>
      </c>
      <c r="E366" s="73" t="s">
        <v>338</v>
      </c>
      <c r="F366" s="73" t="s">
        <v>148</v>
      </c>
      <c r="G366" s="94" t="str">
        <f>IF(F366="Skeet",IFERROR(INDEX('Shooter-Squad Assignment'!$A:$A,MATCH(C366&amp;"-"&amp;E366&amp;"-"&amp;F366&amp;"-Pos1",'Shooter-Squad Assignment'!$K:$K,0)),""),IF(F366="Trap",IFERROR(INDEX('Shooter-Squad Assignment'!$A:$A,MATCH(C366&amp;"-"&amp;E366&amp;"-"&amp;F366&amp;"-Pos1",'Shooter-Squad Assignment'!$W:$W,0)),""),IF(F366="Sporting Clays",IFERROR(INDEX('Shooter-Squad Assignment'!$A:$A,MATCH(C366&amp;"-"&amp;E366&amp;"-"&amp;F366&amp;"-Pos1",'Shooter-Squad Assignment'!$Z:$Z,0)),""),"")))</f>
        <v/>
      </c>
      <c r="H366" s="73" t="str">
        <f>IF(ISBLANK(G366),"",IFERROR(INDEX('Tournament List'!$D:$D,MATCH(G366,'Tournament List'!$A:$A,0)),""))</f>
        <v/>
      </c>
      <c r="I366" s="94" t="str">
        <f>IF(F366="Skeet",IFERROR(INDEX('Shooter-Squad Assignment'!$A:$A,MATCH(C366&amp;"-"&amp;E366&amp;"-"&amp;F366&amp;"-Pos2",'Shooter-Squad Assignment'!$K:$K,0)),""),IF(F366="Trap",IFERROR(INDEX('Shooter-Squad Assignment'!$A:$A,MATCH(C366&amp;"-"&amp;E366&amp;"-"&amp;F366&amp;"-Pos2",'Shooter-Squad Assignment'!$W:$W,0)),""),IF(F366="Sporting Clays",IFERROR(INDEX('Shooter-Squad Assignment'!$A:$A,MATCH(C366&amp;"-"&amp;E366&amp;"-"&amp;F366&amp;"-Pos2",'Shooter-Squad Assignment'!$Z:$Z,0)),""),"")))</f>
        <v/>
      </c>
      <c r="J366" s="73" t="str">
        <f>IF(ISBLANK(I366),"",IFERROR(INDEX('Tournament List'!$D:$D,MATCH(I366,'Tournament List'!$A:$A,0)),""))</f>
        <v/>
      </c>
      <c r="K366" s="94" t="str">
        <f>IF(F366="Skeet",IFERROR(INDEX('Shooter-Squad Assignment'!$A:$A,MATCH(C366&amp;"-"&amp;E366&amp;"-"&amp;F366&amp;"-Pos3",'Shooter-Squad Assignment'!$K:$K,0)),""),IF(F366="Trap",IFERROR(INDEX('Shooter-Squad Assignment'!$A:$A,MATCH(C366&amp;"-"&amp;E366&amp;"-"&amp;F366&amp;"-Pos3",'Shooter-Squad Assignment'!$W:$W,0)),""),IF(F366="Sporting Clays",IFERROR(INDEX('Shooter-Squad Assignment'!$A:$A,MATCH(C366&amp;"-"&amp;E366&amp;"-"&amp;F366&amp;"-Pos3",'Shooter-Squad Assignment'!$Z:$Z,0)),""),"")))</f>
        <v/>
      </c>
      <c r="L366" s="73" t="str">
        <f>IF(ISBLANK(K366),"",IFERROR(INDEX('Tournament List'!$D:$D,MATCH(K366,'Tournament List'!$A:$A,0)),""))</f>
        <v/>
      </c>
      <c r="M366" s="94" t="str">
        <f>IF(F366="Skeet",IFERROR(INDEX('Shooter-Squad Assignment'!$A:$A,MATCH(C366&amp;"-"&amp;E366&amp;"-"&amp;F366&amp;"-Pos4",'Shooter-Squad Assignment'!$K:$K,0)),""),IF(F366="Trap",IFERROR(INDEX('Shooter-Squad Assignment'!$A:$A,MATCH(C366&amp;"-"&amp;E366&amp;"-"&amp;F366&amp;"-Pos4",'Shooter-Squad Assignment'!$W:$W,0)),""),IF(F366="Sporting Clays",IFERROR(INDEX('Shooter-Squad Assignment'!$A:$A,MATCH(C366&amp;"-"&amp;E366&amp;"-"&amp;F366&amp;"-Pos4",'Shooter-Squad Assignment'!$Z:$Z,0)),""),"")))</f>
        <v/>
      </c>
      <c r="N366" s="73" t="str">
        <f>IF(ISBLANK(M366),"",IFERROR(INDEX('Tournament List'!$D:$D,MATCH(M366,'Tournament List'!$A:$A,0)),""))</f>
        <v/>
      </c>
      <c r="O366" s="94" t="str">
        <f>IF(F366="Skeet",IFERROR(INDEX('Shooter-Squad Assignment'!$A:$A,MATCH(C366&amp;"-"&amp;E366&amp;"-"&amp;F366&amp;"-Pos5",'Shooter-Squad Assignment'!$K:$K,0)),""),IF(F366="Trap",IFERROR(INDEX('Shooter-Squad Assignment'!$A:$A,MATCH(C366&amp;"-"&amp;E366&amp;"-"&amp;F366&amp;"-Pos5",'Shooter-Squad Assignment'!$W:$W,0)),""),IF(F366="Sporting Clays",IFERROR(INDEX('Shooter-Squad Assignment'!$A:$A,MATCH(C366&amp;"-"&amp;E366&amp;"-"&amp;F366&amp;"-Pos5",'Shooter-Squad Assignment'!$Z:$Z,0)),""),"")))</f>
        <v/>
      </c>
      <c r="P366" s="79" t="str">
        <f>IF(ISBLANK(O366),"",IFERROR(INDEX('Tournament List'!$D:$D,MATCH(O366,'Tournament List'!$A:$A,0)),""))</f>
        <v/>
      </c>
    </row>
    <row r="367" spans="1:16" x14ac:dyDescent="0.3">
      <c r="A367" s="78">
        <v>366</v>
      </c>
      <c r="B367" s="73" t="str">
        <f>C367&amp;"-"&amp;E367&amp;"-"&amp;F367</f>
        <v>-Intermediate 2-Sporting Clays</v>
      </c>
      <c r="C367" s="73"/>
      <c r="D367" s="73" t="str">
        <f>INDEX('Tournament Setup'!$B$59:$B$78,MATCH(E367,SquadConcurrents,0))</f>
        <v>Intermediate</v>
      </c>
      <c r="E367" s="73" t="s">
        <v>344</v>
      </c>
      <c r="F367" s="73" t="s">
        <v>148</v>
      </c>
      <c r="G367" s="94" t="str">
        <f>IF(F367="Skeet",IFERROR(INDEX('Shooter-Squad Assignment'!$A:$A,MATCH(C367&amp;"-"&amp;E367&amp;"-"&amp;F367&amp;"-Pos1",'Shooter-Squad Assignment'!$K:$K,0)),""),IF(F367="Trap",IFERROR(INDEX('Shooter-Squad Assignment'!$A:$A,MATCH(C367&amp;"-"&amp;E367&amp;"-"&amp;F367&amp;"-Pos1",'Shooter-Squad Assignment'!$W:$W,0)),""),IF(F367="Sporting Clays",IFERROR(INDEX('Shooter-Squad Assignment'!$A:$A,MATCH(C367&amp;"-"&amp;E367&amp;"-"&amp;F367&amp;"-Pos1",'Shooter-Squad Assignment'!$Z:$Z,0)),""),"")))</f>
        <v/>
      </c>
      <c r="H367" s="73" t="str">
        <f>IF(ISBLANK(G367),"",IFERROR(INDEX('Tournament List'!$D:$D,MATCH(G367,'Tournament List'!$A:$A,0)),""))</f>
        <v/>
      </c>
      <c r="I367" s="94" t="str">
        <f>IF(F367="Skeet",IFERROR(INDEX('Shooter-Squad Assignment'!$A:$A,MATCH(C367&amp;"-"&amp;E367&amp;"-"&amp;F367&amp;"-Pos2",'Shooter-Squad Assignment'!$K:$K,0)),""),IF(F367="Trap",IFERROR(INDEX('Shooter-Squad Assignment'!$A:$A,MATCH(C367&amp;"-"&amp;E367&amp;"-"&amp;F367&amp;"-Pos2",'Shooter-Squad Assignment'!$W:$W,0)),""),IF(F367="Sporting Clays",IFERROR(INDEX('Shooter-Squad Assignment'!$A:$A,MATCH(C367&amp;"-"&amp;E367&amp;"-"&amp;F367&amp;"-Pos2",'Shooter-Squad Assignment'!$Z:$Z,0)),""),"")))</f>
        <v/>
      </c>
      <c r="J367" s="73" t="str">
        <f>IF(ISBLANK(I367),"",IFERROR(INDEX('Tournament List'!$D:$D,MATCH(I367,'Tournament List'!$A:$A,0)),""))</f>
        <v/>
      </c>
      <c r="K367" s="94" t="str">
        <f>IF(F367="Skeet",IFERROR(INDEX('Shooter-Squad Assignment'!$A:$A,MATCH(C367&amp;"-"&amp;E367&amp;"-"&amp;F367&amp;"-Pos3",'Shooter-Squad Assignment'!$K:$K,0)),""),IF(F367="Trap",IFERROR(INDEX('Shooter-Squad Assignment'!$A:$A,MATCH(C367&amp;"-"&amp;E367&amp;"-"&amp;F367&amp;"-Pos3",'Shooter-Squad Assignment'!$W:$W,0)),""),IF(F367="Sporting Clays",IFERROR(INDEX('Shooter-Squad Assignment'!$A:$A,MATCH(C367&amp;"-"&amp;E367&amp;"-"&amp;F367&amp;"-Pos3",'Shooter-Squad Assignment'!$Z:$Z,0)),""),"")))</f>
        <v/>
      </c>
      <c r="L367" s="73" t="str">
        <f>IF(ISBLANK(K367),"",IFERROR(INDEX('Tournament List'!$D:$D,MATCH(K367,'Tournament List'!$A:$A,0)),""))</f>
        <v/>
      </c>
      <c r="M367" s="94" t="str">
        <f>IF(F367="Skeet",IFERROR(INDEX('Shooter-Squad Assignment'!$A:$A,MATCH(C367&amp;"-"&amp;E367&amp;"-"&amp;F367&amp;"-Pos4",'Shooter-Squad Assignment'!$K:$K,0)),""),IF(F367="Trap",IFERROR(INDEX('Shooter-Squad Assignment'!$A:$A,MATCH(C367&amp;"-"&amp;E367&amp;"-"&amp;F367&amp;"-Pos4",'Shooter-Squad Assignment'!$W:$W,0)),""),IF(F367="Sporting Clays",IFERROR(INDEX('Shooter-Squad Assignment'!$A:$A,MATCH(C367&amp;"-"&amp;E367&amp;"-"&amp;F367&amp;"-Pos4",'Shooter-Squad Assignment'!$Z:$Z,0)),""),"")))</f>
        <v/>
      </c>
      <c r="N367" s="73" t="str">
        <f>IF(ISBLANK(M367),"",IFERROR(INDEX('Tournament List'!$D:$D,MATCH(M367,'Tournament List'!$A:$A,0)),""))</f>
        <v/>
      </c>
      <c r="O367" s="94" t="str">
        <f>IF(F367="Skeet",IFERROR(INDEX('Shooter-Squad Assignment'!$A:$A,MATCH(C367&amp;"-"&amp;E367&amp;"-"&amp;F367&amp;"-Pos5",'Shooter-Squad Assignment'!$K:$K,0)),""),IF(F367="Trap",IFERROR(INDEX('Shooter-Squad Assignment'!$A:$A,MATCH(C367&amp;"-"&amp;E367&amp;"-"&amp;F367&amp;"-Pos5",'Shooter-Squad Assignment'!$W:$W,0)),""),IF(F367="Sporting Clays",IFERROR(INDEX('Shooter-Squad Assignment'!$A:$A,MATCH(C367&amp;"-"&amp;E367&amp;"-"&amp;F367&amp;"-Pos5",'Shooter-Squad Assignment'!$Z:$Z,0)),""),"")))</f>
        <v/>
      </c>
      <c r="P367" s="79" t="str">
        <f>IF(ISBLANK(O367),"",IFERROR(INDEX('Tournament List'!$D:$D,MATCH(O367,'Tournament List'!$A:$A,0)),""))</f>
        <v/>
      </c>
    </row>
    <row r="368" spans="1:16" x14ac:dyDescent="0.3">
      <c r="A368" s="78">
        <v>367</v>
      </c>
      <c r="B368" s="73" t="str">
        <f>C368&amp;"-"&amp;E368&amp;"-"&amp;F368</f>
        <v>-Intermediate 3-Sporting Clays</v>
      </c>
      <c r="C368" s="73"/>
      <c r="D368" s="73" t="str">
        <f>INDEX('Tournament Setup'!$B$59:$B$78,MATCH(E368,SquadConcurrents,0))</f>
        <v>Intermediate</v>
      </c>
      <c r="E368" s="73" t="s">
        <v>350</v>
      </c>
      <c r="F368" s="73" t="s">
        <v>148</v>
      </c>
      <c r="G368" s="94" t="str">
        <f>IF(F368="Skeet",IFERROR(INDEX('Shooter-Squad Assignment'!$A:$A,MATCH(C368&amp;"-"&amp;E368&amp;"-"&amp;F368&amp;"-Pos1",'Shooter-Squad Assignment'!$K:$K,0)),""),IF(F368="Trap",IFERROR(INDEX('Shooter-Squad Assignment'!$A:$A,MATCH(C368&amp;"-"&amp;E368&amp;"-"&amp;F368&amp;"-Pos1",'Shooter-Squad Assignment'!$W:$W,0)),""),IF(F368="Sporting Clays",IFERROR(INDEX('Shooter-Squad Assignment'!$A:$A,MATCH(C368&amp;"-"&amp;E368&amp;"-"&amp;F368&amp;"-Pos1",'Shooter-Squad Assignment'!$Z:$Z,0)),""),"")))</f>
        <v/>
      </c>
      <c r="H368" s="73" t="str">
        <f>IF(ISBLANK(G368),"",IFERROR(INDEX('Tournament List'!$D:$D,MATCH(G368,'Tournament List'!$A:$A,0)),""))</f>
        <v/>
      </c>
      <c r="I368" s="94" t="str">
        <f>IF(F368="Skeet",IFERROR(INDEX('Shooter-Squad Assignment'!$A:$A,MATCH(C368&amp;"-"&amp;E368&amp;"-"&amp;F368&amp;"-Pos2",'Shooter-Squad Assignment'!$K:$K,0)),""),IF(F368="Trap",IFERROR(INDEX('Shooter-Squad Assignment'!$A:$A,MATCH(C368&amp;"-"&amp;E368&amp;"-"&amp;F368&amp;"-Pos2",'Shooter-Squad Assignment'!$W:$W,0)),""),IF(F368="Sporting Clays",IFERROR(INDEX('Shooter-Squad Assignment'!$A:$A,MATCH(C368&amp;"-"&amp;E368&amp;"-"&amp;F368&amp;"-Pos2",'Shooter-Squad Assignment'!$Z:$Z,0)),""),"")))</f>
        <v/>
      </c>
      <c r="J368" s="73" t="str">
        <f>IF(ISBLANK(I368),"",IFERROR(INDEX('Tournament List'!$D:$D,MATCH(I368,'Tournament List'!$A:$A,0)),""))</f>
        <v/>
      </c>
      <c r="K368" s="94" t="str">
        <f>IF(F368="Skeet",IFERROR(INDEX('Shooter-Squad Assignment'!$A:$A,MATCH(C368&amp;"-"&amp;E368&amp;"-"&amp;F368&amp;"-Pos3",'Shooter-Squad Assignment'!$K:$K,0)),""),IF(F368="Trap",IFERROR(INDEX('Shooter-Squad Assignment'!$A:$A,MATCH(C368&amp;"-"&amp;E368&amp;"-"&amp;F368&amp;"-Pos3",'Shooter-Squad Assignment'!$W:$W,0)),""),IF(F368="Sporting Clays",IFERROR(INDEX('Shooter-Squad Assignment'!$A:$A,MATCH(C368&amp;"-"&amp;E368&amp;"-"&amp;F368&amp;"-Pos3",'Shooter-Squad Assignment'!$Z:$Z,0)),""),"")))</f>
        <v/>
      </c>
      <c r="L368" s="73" t="str">
        <f>IF(ISBLANK(K368),"",IFERROR(INDEX('Tournament List'!$D:$D,MATCH(K368,'Tournament List'!$A:$A,0)),""))</f>
        <v/>
      </c>
      <c r="M368" s="94" t="str">
        <f>IF(F368="Skeet",IFERROR(INDEX('Shooter-Squad Assignment'!$A:$A,MATCH(C368&amp;"-"&amp;E368&amp;"-"&amp;F368&amp;"-Pos4",'Shooter-Squad Assignment'!$K:$K,0)),""),IF(F368="Trap",IFERROR(INDEX('Shooter-Squad Assignment'!$A:$A,MATCH(C368&amp;"-"&amp;E368&amp;"-"&amp;F368&amp;"-Pos4",'Shooter-Squad Assignment'!$W:$W,0)),""),IF(F368="Sporting Clays",IFERROR(INDEX('Shooter-Squad Assignment'!$A:$A,MATCH(C368&amp;"-"&amp;E368&amp;"-"&amp;F368&amp;"-Pos4",'Shooter-Squad Assignment'!$Z:$Z,0)),""),"")))</f>
        <v/>
      </c>
      <c r="N368" s="73" t="str">
        <f>IF(ISBLANK(M368),"",IFERROR(INDEX('Tournament List'!$D:$D,MATCH(M368,'Tournament List'!$A:$A,0)),""))</f>
        <v/>
      </c>
      <c r="O368" s="94" t="str">
        <f>IF(F368="Skeet",IFERROR(INDEX('Shooter-Squad Assignment'!$A:$A,MATCH(C368&amp;"-"&amp;E368&amp;"-"&amp;F368&amp;"-Pos5",'Shooter-Squad Assignment'!$K:$K,0)),""),IF(F368="Trap",IFERROR(INDEX('Shooter-Squad Assignment'!$A:$A,MATCH(C368&amp;"-"&amp;E368&amp;"-"&amp;F368&amp;"-Pos5",'Shooter-Squad Assignment'!$W:$W,0)),""),IF(F368="Sporting Clays",IFERROR(INDEX('Shooter-Squad Assignment'!$A:$A,MATCH(C368&amp;"-"&amp;E368&amp;"-"&amp;F368&amp;"-Pos5",'Shooter-Squad Assignment'!$Z:$Z,0)),""),"")))</f>
        <v/>
      </c>
      <c r="P368" s="79" t="str">
        <f>IF(ISBLANK(O368),"",IFERROR(INDEX('Tournament List'!$D:$D,MATCH(O368,'Tournament List'!$A:$A,0)),""))</f>
        <v/>
      </c>
    </row>
    <row r="369" spans="1:16" x14ac:dyDescent="0.3">
      <c r="A369" s="78">
        <v>368</v>
      </c>
      <c r="B369" s="73" t="str">
        <f>C369&amp;"-"&amp;E369&amp;"-"&amp;F369</f>
        <v>-Junior Varsity 1-Sporting Clays</v>
      </c>
      <c r="C369" s="73"/>
      <c r="D369" s="73" t="str">
        <f>INDEX('Tournament Setup'!$B$59:$B$78,MATCH(E369,SquadConcurrents,0))</f>
        <v>Junior Varsity</v>
      </c>
      <c r="E369" s="73" t="s">
        <v>339</v>
      </c>
      <c r="F369" s="73" t="s">
        <v>148</v>
      </c>
      <c r="G369" s="94" t="str">
        <f>IF(F369="Skeet",IFERROR(INDEX('Shooter-Squad Assignment'!$A:$A,MATCH(C369&amp;"-"&amp;E369&amp;"-"&amp;F369&amp;"-Pos1",'Shooter-Squad Assignment'!$K:$K,0)),""),IF(F369="Trap",IFERROR(INDEX('Shooter-Squad Assignment'!$A:$A,MATCH(C369&amp;"-"&amp;E369&amp;"-"&amp;F369&amp;"-Pos1",'Shooter-Squad Assignment'!$W:$W,0)),""),IF(F369="Sporting Clays",IFERROR(INDEX('Shooter-Squad Assignment'!$A:$A,MATCH(C369&amp;"-"&amp;E369&amp;"-"&amp;F369&amp;"-Pos1",'Shooter-Squad Assignment'!$Z:$Z,0)),""),"")))</f>
        <v/>
      </c>
      <c r="H369" s="73" t="str">
        <f>IF(ISBLANK(G369),"",IFERROR(INDEX('Tournament List'!$D:$D,MATCH(G369,'Tournament List'!$A:$A,0)),""))</f>
        <v/>
      </c>
      <c r="I369" s="94" t="str">
        <f>IF(F369="Skeet",IFERROR(INDEX('Shooter-Squad Assignment'!$A:$A,MATCH(C369&amp;"-"&amp;E369&amp;"-"&amp;F369&amp;"-Pos2",'Shooter-Squad Assignment'!$K:$K,0)),""),IF(F369="Trap",IFERROR(INDEX('Shooter-Squad Assignment'!$A:$A,MATCH(C369&amp;"-"&amp;E369&amp;"-"&amp;F369&amp;"-Pos2",'Shooter-Squad Assignment'!$W:$W,0)),""),IF(F369="Sporting Clays",IFERROR(INDEX('Shooter-Squad Assignment'!$A:$A,MATCH(C369&amp;"-"&amp;E369&amp;"-"&amp;F369&amp;"-Pos2",'Shooter-Squad Assignment'!$Z:$Z,0)),""),"")))</f>
        <v/>
      </c>
      <c r="J369" s="73" t="str">
        <f>IF(ISBLANK(I369),"",IFERROR(INDEX('Tournament List'!$D:$D,MATCH(I369,'Tournament List'!$A:$A,0)),""))</f>
        <v/>
      </c>
      <c r="K369" s="94" t="str">
        <f>IF(F369="Skeet",IFERROR(INDEX('Shooter-Squad Assignment'!$A:$A,MATCH(C369&amp;"-"&amp;E369&amp;"-"&amp;F369&amp;"-Pos3",'Shooter-Squad Assignment'!$K:$K,0)),""),IF(F369="Trap",IFERROR(INDEX('Shooter-Squad Assignment'!$A:$A,MATCH(C369&amp;"-"&amp;E369&amp;"-"&amp;F369&amp;"-Pos3",'Shooter-Squad Assignment'!$W:$W,0)),""),IF(F369="Sporting Clays",IFERROR(INDEX('Shooter-Squad Assignment'!$A:$A,MATCH(C369&amp;"-"&amp;E369&amp;"-"&amp;F369&amp;"-Pos3",'Shooter-Squad Assignment'!$Z:$Z,0)),""),"")))</f>
        <v/>
      </c>
      <c r="L369" s="73" t="str">
        <f>IF(ISBLANK(K369),"",IFERROR(INDEX('Tournament List'!$D:$D,MATCH(K369,'Tournament List'!$A:$A,0)),""))</f>
        <v/>
      </c>
      <c r="M369" s="94" t="str">
        <f>IF(F369="Skeet",IFERROR(INDEX('Shooter-Squad Assignment'!$A:$A,MATCH(C369&amp;"-"&amp;E369&amp;"-"&amp;F369&amp;"-Pos4",'Shooter-Squad Assignment'!$K:$K,0)),""),IF(F369="Trap",IFERROR(INDEX('Shooter-Squad Assignment'!$A:$A,MATCH(C369&amp;"-"&amp;E369&amp;"-"&amp;F369&amp;"-Pos4",'Shooter-Squad Assignment'!$W:$W,0)),""),IF(F369="Sporting Clays",IFERROR(INDEX('Shooter-Squad Assignment'!$A:$A,MATCH(C369&amp;"-"&amp;E369&amp;"-"&amp;F369&amp;"-Pos4",'Shooter-Squad Assignment'!$Z:$Z,0)),""),"")))</f>
        <v/>
      </c>
      <c r="N369" s="73" t="str">
        <f>IF(ISBLANK(M369),"",IFERROR(INDEX('Tournament List'!$D:$D,MATCH(M369,'Tournament List'!$A:$A,0)),""))</f>
        <v/>
      </c>
      <c r="O369" s="94" t="str">
        <f>IF(F369="Skeet",IFERROR(INDEX('Shooter-Squad Assignment'!$A:$A,MATCH(C369&amp;"-"&amp;E369&amp;"-"&amp;F369&amp;"-Pos5",'Shooter-Squad Assignment'!$K:$K,0)),""),IF(F369="Trap",IFERROR(INDEX('Shooter-Squad Assignment'!$A:$A,MATCH(C369&amp;"-"&amp;E369&amp;"-"&amp;F369&amp;"-Pos5",'Shooter-Squad Assignment'!$W:$W,0)),""),IF(F369="Sporting Clays",IFERROR(INDEX('Shooter-Squad Assignment'!$A:$A,MATCH(C369&amp;"-"&amp;E369&amp;"-"&amp;F369&amp;"-Pos5",'Shooter-Squad Assignment'!$Z:$Z,0)),""),"")))</f>
        <v/>
      </c>
      <c r="P369" s="79" t="str">
        <f>IF(ISBLANK(O369),"",IFERROR(INDEX('Tournament List'!$D:$D,MATCH(O369,'Tournament List'!$A:$A,0)),""))</f>
        <v/>
      </c>
    </row>
    <row r="370" spans="1:16" x14ac:dyDescent="0.3">
      <c r="A370" s="78">
        <v>369</v>
      </c>
      <c r="B370" s="73" t="str">
        <f>C370&amp;"-"&amp;E370&amp;"-"&amp;F370</f>
        <v>-Junior Varsity 2-Sporting Clays</v>
      </c>
      <c r="C370" s="73"/>
      <c r="D370" s="73" t="str">
        <f>INDEX('Tournament Setup'!$B$59:$B$78,MATCH(E370,SquadConcurrents,0))</f>
        <v>Junior Varsity</v>
      </c>
      <c r="E370" s="73" t="s">
        <v>345</v>
      </c>
      <c r="F370" s="73" t="s">
        <v>148</v>
      </c>
      <c r="G370" s="94" t="str">
        <f>IF(F370="Skeet",IFERROR(INDEX('Shooter-Squad Assignment'!$A:$A,MATCH(C370&amp;"-"&amp;E370&amp;"-"&amp;F370&amp;"-Pos1",'Shooter-Squad Assignment'!$K:$K,0)),""),IF(F370="Trap",IFERROR(INDEX('Shooter-Squad Assignment'!$A:$A,MATCH(C370&amp;"-"&amp;E370&amp;"-"&amp;F370&amp;"-Pos1",'Shooter-Squad Assignment'!$W:$W,0)),""),IF(F370="Sporting Clays",IFERROR(INDEX('Shooter-Squad Assignment'!$A:$A,MATCH(C370&amp;"-"&amp;E370&amp;"-"&amp;F370&amp;"-Pos1",'Shooter-Squad Assignment'!$Z:$Z,0)),""),"")))</f>
        <v/>
      </c>
      <c r="H370" s="73" t="str">
        <f>IF(ISBLANK(G370),"",IFERROR(INDEX('Tournament List'!$D:$D,MATCH(G370,'Tournament List'!$A:$A,0)),""))</f>
        <v/>
      </c>
      <c r="I370" s="94" t="str">
        <f>IF(F370="Skeet",IFERROR(INDEX('Shooter-Squad Assignment'!$A:$A,MATCH(C370&amp;"-"&amp;E370&amp;"-"&amp;F370&amp;"-Pos2",'Shooter-Squad Assignment'!$K:$K,0)),""),IF(F370="Trap",IFERROR(INDEX('Shooter-Squad Assignment'!$A:$A,MATCH(C370&amp;"-"&amp;E370&amp;"-"&amp;F370&amp;"-Pos2",'Shooter-Squad Assignment'!$W:$W,0)),""),IF(F370="Sporting Clays",IFERROR(INDEX('Shooter-Squad Assignment'!$A:$A,MATCH(C370&amp;"-"&amp;E370&amp;"-"&amp;F370&amp;"-Pos2",'Shooter-Squad Assignment'!$Z:$Z,0)),""),"")))</f>
        <v/>
      </c>
      <c r="J370" s="73" t="str">
        <f>IF(ISBLANK(I370),"",IFERROR(INDEX('Tournament List'!$D:$D,MATCH(I370,'Tournament List'!$A:$A,0)),""))</f>
        <v/>
      </c>
      <c r="K370" s="94" t="str">
        <f>IF(F370="Skeet",IFERROR(INDEX('Shooter-Squad Assignment'!$A:$A,MATCH(C370&amp;"-"&amp;E370&amp;"-"&amp;F370&amp;"-Pos3",'Shooter-Squad Assignment'!$K:$K,0)),""),IF(F370="Trap",IFERROR(INDEX('Shooter-Squad Assignment'!$A:$A,MATCH(C370&amp;"-"&amp;E370&amp;"-"&amp;F370&amp;"-Pos3",'Shooter-Squad Assignment'!$W:$W,0)),""),IF(F370="Sporting Clays",IFERROR(INDEX('Shooter-Squad Assignment'!$A:$A,MATCH(C370&amp;"-"&amp;E370&amp;"-"&amp;F370&amp;"-Pos3",'Shooter-Squad Assignment'!$Z:$Z,0)),""),"")))</f>
        <v/>
      </c>
      <c r="L370" s="73" t="str">
        <f>IF(ISBLANK(K370),"",IFERROR(INDEX('Tournament List'!$D:$D,MATCH(K370,'Tournament List'!$A:$A,0)),""))</f>
        <v/>
      </c>
      <c r="M370" s="94" t="str">
        <f>IF(F370="Skeet",IFERROR(INDEX('Shooter-Squad Assignment'!$A:$A,MATCH(C370&amp;"-"&amp;E370&amp;"-"&amp;F370&amp;"-Pos4",'Shooter-Squad Assignment'!$K:$K,0)),""),IF(F370="Trap",IFERROR(INDEX('Shooter-Squad Assignment'!$A:$A,MATCH(C370&amp;"-"&amp;E370&amp;"-"&amp;F370&amp;"-Pos4",'Shooter-Squad Assignment'!$W:$W,0)),""),IF(F370="Sporting Clays",IFERROR(INDEX('Shooter-Squad Assignment'!$A:$A,MATCH(C370&amp;"-"&amp;E370&amp;"-"&amp;F370&amp;"-Pos4",'Shooter-Squad Assignment'!$Z:$Z,0)),""),"")))</f>
        <v/>
      </c>
      <c r="N370" s="73" t="str">
        <f>IF(ISBLANK(M370),"",IFERROR(INDEX('Tournament List'!$D:$D,MATCH(M370,'Tournament List'!$A:$A,0)),""))</f>
        <v/>
      </c>
      <c r="O370" s="94" t="str">
        <f>IF(F370="Skeet",IFERROR(INDEX('Shooter-Squad Assignment'!$A:$A,MATCH(C370&amp;"-"&amp;E370&amp;"-"&amp;F370&amp;"-Pos5",'Shooter-Squad Assignment'!$K:$K,0)),""),IF(F370="Trap",IFERROR(INDEX('Shooter-Squad Assignment'!$A:$A,MATCH(C370&amp;"-"&amp;E370&amp;"-"&amp;F370&amp;"-Pos5",'Shooter-Squad Assignment'!$W:$W,0)),""),IF(F370="Sporting Clays",IFERROR(INDEX('Shooter-Squad Assignment'!$A:$A,MATCH(C370&amp;"-"&amp;E370&amp;"-"&amp;F370&amp;"-Pos5",'Shooter-Squad Assignment'!$Z:$Z,0)),""),"")))</f>
        <v/>
      </c>
      <c r="P370" s="79" t="str">
        <f>IF(ISBLANK(O370),"",IFERROR(INDEX('Tournament List'!$D:$D,MATCH(O370,'Tournament List'!$A:$A,0)),""))</f>
        <v/>
      </c>
    </row>
    <row r="371" spans="1:16" x14ac:dyDescent="0.3">
      <c r="A371" s="78">
        <v>370</v>
      </c>
      <c r="B371" s="73" t="str">
        <f>C371&amp;"-"&amp;E371&amp;"-"&amp;F371</f>
        <v>-Junior Varsity 3-Sporting Clays</v>
      </c>
      <c r="C371" s="73"/>
      <c r="D371" s="73" t="str">
        <f>INDEX('Tournament Setup'!$B$59:$B$78,MATCH(E371,SquadConcurrents,0))</f>
        <v>Junior Varsity</v>
      </c>
      <c r="E371" s="73" t="s">
        <v>351</v>
      </c>
      <c r="F371" s="73" t="s">
        <v>148</v>
      </c>
      <c r="G371" s="94" t="str">
        <f>IF(F371="Skeet",IFERROR(INDEX('Shooter-Squad Assignment'!$A:$A,MATCH(C371&amp;"-"&amp;E371&amp;"-"&amp;F371&amp;"-Pos1",'Shooter-Squad Assignment'!$K:$K,0)),""),IF(F371="Trap",IFERROR(INDEX('Shooter-Squad Assignment'!$A:$A,MATCH(C371&amp;"-"&amp;E371&amp;"-"&amp;F371&amp;"-Pos1",'Shooter-Squad Assignment'!$W:$W,0)),""),IF(F371="Sporting Clays",IFERROR(INDEX('Shooter-Squad Assignment'!$A:$A,MATCH(C371&amp;"-"&amp;E371&amp;"-"&amp;F371&amp;"-Pos1",'Shooter-Squad Assignment'!$Z:$Z,0)),""),"")))</f>
        <v/>
      </c>
      <c r="H371" s="73" t="str">
        <f>IF(ISBLANK(G371),"",IFERROR(INDEX('Tournament List'!$D:$D,MATCH(G371,'Tournament List'!$A:$A,0)),""))</f>
        <v/>
      </c>
      <c r="I371" s="94" t="str">
        <f>IF(F371="Skeet",IFERROR(INDEX('Shooter-Squad Assignment'!$A:$A,MATCH(C371&amp;"-"&amp;E371&amp;"-"&amp;F371&amp;"-Pos2",'Shooter-Squad Assignment'!$K:$K,0)),""),IF(F371="Trap",IFERROR(INDEX('Shooter-Squad Assignment'!$A:$A,MATCH(C371&amp;"-"&amp;E371&amp;"-"&amp;F371&amp;"-Pos2",'Shooter-Squad Assignment'!$W:$W,0)),""),IF(F371="Sporting Clays",IFERROR(INDEX('Shooter-Squad Assignment'!$A:$A,MATCH(C371&amp;"-"&amp;E371&amp;"-"&amp;F371&amp;"-Pos2",'Shooter-Squad Assignment'!$Z:$Z,0)),""),"")))</f>
        <v/>
      </c>
      <c r="J371" s="73" t="str">
        <f>IF(ISBLANK(I371),"",IFERROR(INDEX('Tournament List'!$D:$D,MATCH(I371,'Tournament List'!$A:$A,0)),""))</f>
        <v/>
      </c>
      <c r="K371" s="94" t="str">
        <f>IF(F371="Skeet",IFERROR(INDEX('Shooter-Squad Assignment'!$A:$A,MATCH(C371&amp;"-"&amp;E371&amp;"-"&amp;F371&amp;"-Pos3",'Shooter-Squad Assignment'!$K:$K,0)),""),IF(F371="Trap",IFERROR(INDEX('Shooter-Squad Assignment'!$A:$A,MATCH(C371&amp;"-"&amp;E371&amp;"-"&amp;F371&amp;"-Pos3",'Shooter-Squad Assignment'!$W:$W,0)),""),IF(F371="Sporting Clays",IFERROR(INDEX('Shooter-Squad Assignment'!$A:$A,MATCH(C371&amp;"-"&amp;E371&amp;"-"&amp;F371&amp;"-Pos3",'Shooter-Squad Assignment'!$Z:$Z,0)),""),"")))</f>
        <v/>
      </c>
      <c r="L371" s="73" t="str">
        <f>IF(ISBLANK(K371),"",IFERROR(INDEX('Tournament List'!$D:$D,MATCH(K371,'Tournament List'!$A:$A,0)),""))</f>
        <v/>
      </c>
      <c r="M371" s="94" t="str">
        <f>IF(F371="Skeet",IFERROR(INDEX('Shooter-Squad Assignment'!$A:$A,MATCH(C371&amp;"-"&amp;E371&amp;"-"&amp;F371&amp;"-Pos4",'Shooter-Squad Assignment'!$K:$K,0)),""),IF(F371="Trap",IFERROR(INDEX('Shooter-Squad Assignment'!$A:$A,MATCH(C371&amp;"-"&amp;E371&amp;"-"&amp;F371&amp;"-Pos4",'Shooter-Squad Assignment'!$W:$W,0)),""),IF(F371="Sporting Clays",IFERROR(INDEX('Shooter-Squad Assignment'!$A:$A,MATCH(C371&amp;"-"&amp;E371&amp;"-"&amp;F371&amp;"-Pos4",'Shooter-Squad Assignment'!$Z:$Z,0)),""),"")))</f>
        <v/>
      </c>
      <c r="N371" s="73" t="str">
        <f>IF(ISBLANK(M371),"",IFERROR(INDEX('Tournament List'!$D:$D,MATCH(M371,'Tournament List'!$A:$A,0)),""))</f>
        <v/>
      </c>
      <c r="O371" s="94" t="str">
        <f>IF(F371="Skeet",IFERROR(INDEX('Shooter-Squad Assignment'!$A:$A,MATCH(C371&amp;"-"&amp;E371&amp;"-"&amp;F371&amp;"-Pos5",'Shooter-Squad Assignment'!$K:$K,0)),""),IF(F371="Trap",IFERROR(INDEX('Shooter-Squad Assignment'!$A:$A,MATCH(C371&amp;"-"&amp;E371&amp;"-"&amp;F371&amp;"-Pos5",'Shooter-Squad Assignment'!$W:$W,0)),""),IF(F371="Sporting Clays",IFERROR(INDEX('Shooter-Squad Assignment'!$A:$A,MATCH(C371&amp;"-"&amp;E371&amp;"-"&amp;F371&amp;"-Pos5",'Shooter-Squad Assignment'!$Z:$Z,0)),""),"")))</f>
        <v/>
      </c>
      <c r="P371" s="79" t="str">
        <f>IF(ISBLANK(O371),"",IFERROR(INDEX('Tournament List'!$D:$D,MATCH(O371,'Tournament List'!$A:$A,0)),""))</f>
        <v/>
      </c>
    </row>
    <row r="372" spans="1:16" x14ac:dyDescent="0.3">
      <c r="A372" s="78">
        <v>371</v>
      </c>
      <c r="B372" s="73" t="str">
        <f>C372&amp;"-"&amp;E372&amp;"-"&amp;F372</f>
        <v>-Novice 1-Sporting Clays</v>
      </c>
      <c r="C372" s="73"/>
      <c r="D372" s="73" t="str">
        <f>INDEX('Tournament Setup'!$B$59:$B$78,MATCH(E372,SquadConcurrents,0))</f>
        <v>Novice</v>
      </c>
      <c r="E372" s="73" t="s">
        <v>337</v>
      </c>
      <c r="F372" s="73" t="s">
        <v>148</v>
      </c>
      <c r="G372" s="94" t="str">
        <f>IF(F372="Skeet",IFERROR(INDEX('Shooter-Squad Assignment'!$A:$A,MATCH(C372&amp;"-"&amp;E372&amp;"-"&amp;F372&amp;"-Pos1",'Shooter-Squad Assignment'!$K:$K,0)),""),IF(F372="Trap",IFERROR(INDEX('Shooter-Squad Assignment'!$A:$A,MATCH(C372&amp;"-"&amp;E372&amp;"-"&amp;F372&amp;"-Pos1",'Shooter-Squad Assignment'!$W:$W,0)),""),IF(F372="Sporting Clays",IFERROR(INDEX('Shooter-Squad Assignment'!$A:$A,MATCH(C372&amp;"-"&amp;E372&amp;"-"&amp;F372&amp;"-Pos1",'Shooter-Squad Assignment'!$Z:$Z,0)),""),"")))</f>
        <v/>
      </c>
      <c r="H372" s="73" t="str">
        <f>IF(ISBLANK(G372),"",IFERROR(INDEX('Tournament List'!$D:$D,MATCH(G372,'Tournament List'!$A:$A,0)),""))</f>
        <v/>
      </c>
      <c r="I372" s="94" t="str">
        <f>IF(F372="Skeet",IFERROR(INDEX('Shooter-Squad Assignment'!$A:$A,MATCH(C372&amp;"-"&amp;E372&amp;"-"&amp;F372&amp;"-Pos2",'Shooter-Squad Assignment'!$K:$K,0)),""),IF(F372="Trap",IFERROR(INDEX('Shooter-Squad Assignment'!$A:$A,MATCH(C372&amp;"-"&amp;E372&amp;"-"&amp;F372&amp;"-Pos2",'Shooter-Squad Assignment'!$W:$W,0)),""),IF(F372="Sporting Clays",IFERROR(INDEX('Shooter-Squad Assignment'!$A:$A,MATCH(C372&amp;"-"&amp;E372&amp;"-"&amp;F372&amp;"-Pos2",'Shooter-Squad Assignment'!$Z:$Z,0)),""),"")))</f>
        <v/>
      </c>
      <c r="J372" s="73" t="str">
        <f>IF(ISBLANK(I372),"",IFERROR(INDEX('Tournament List'!$D:$D,MATCH(I372,'Tournament List'!$A:$A,0)),""))</f>
        <v/>
      </c>
      <c r="K372" s="94" t="str">
        <f>IF(F372="Skeet",IFERROR(INDEX('Shooter-Squad Assignment'!$A:$A,MATCH(C372&amp;"-"&amp;E372&amp;"-"&amp;F372&amp;"-Pos3",'Shooter-Squad Assignment'!$K:$K,0)),""),IF(F372="Trap",IFERROR(INDEX('Shooter-Squad Assignment'!$A:$A,MATCH(C372&amp;"-"&amp;E372&amp;"-"&amp;F372&amp;"-Pos3",'Shooter-Squad Assignment'!$W:$W,0)),""),IF(F372="Sporting Clays",IFERROR(INDEX('Shooter-Squad Assignment'!$A:$A,MATCH(C372&amp;"-"&amp;E372&amp;"-"&amp;F372&amp;"-Pos3",'Shooter-Squad Assignment'!$Z:$Z,0)),""),"")))</f>
        <v/>
      </c>
      <c r="L372" s="73" t="str">
        <f>IF(ISBLANK(K372),"",IFERROR(INDEX('Tournament List'!$D:$D,MATCH(K372,'Tournament List'!$A:$A,0)),""))</f>
        <v/>
      </c>
      <c r="M372" s="94" t="str">
        <f>IF(F372="Skeet",IFERROR(INDEX('Shooter-Squad Assignment'!$A:$A,MATCH(C372&amp;"-"&amp;E372&amp;"-"&amp;F372&amp;"-Pos4",'Shooter-Squad Assignment'!$K:$K,0)),""),IF(F372="Trap",IFERROR(INDEX('Shooter-Squad Assignment'!$A:$A,MATCH(C372&amp;"-"&amp;E372&amp;"-"&amp;F372&amp;"-Pos4",'Shooter-Squad Assignment'!$W:$W,0)),""),IF(F372="Sporting Clays",IFERROR(INDEX('Shooter-Squad Assignment'!$A:$A,MATCH(C372&amp;"-"&amp;E372&amp;"-"&amp;F372&amp;"-Pos4",'Shooter-Squad Assignment'!$Z:$Z,0)),""),"")))</f>
        <v/>
      </c>
      <c r="N372" s="73" t="str">
        <f>IF(ISBLANK(M372),"",IFERROR(INDEX('Tournament List'!$D:$D,MATCH(M372,'Tournament List'!$A:$A,0)),""))</f>
        <v/>
      </c>
      <c r="O372" s="94" t="str">
        <f>IF(F372="Skeet",IFERROR(INDEX('Shooter-Squad Assignment'!$A:$A,MATCH(C372&amp;"-"&amp;E372&amp;"-"&amp;F372&amp;"-Pos5",'Shooter-Squad Assignment'!$K:$K,0)),""),IF(F372="Trap",IFERROR(INDEX('Shooter-Squad Assignment'!$A:$A,MATCH(C372&amp;"-"&amp;E372&amp;"-"&amp;F372&amp;"-Pos5",'Shooter-Squad Assignment'!$W:$W,0)),""),IF(F372="Sporting Clays",IFERROR(INDEX('Shooter-Squad Assignment'!$A:$A,MATCH(C372&amp;"-"&amp;E372&amp;"-"&amp;F372&amp;"-Pos5",'Shooter-Squad Assignment'!$Z:$Z,0)),""),"")))</f>
        <v/>
      </c>
      <c r="P372" s="79" t="str">
        <f>IF(ISBLANK(O372),"",IFERROR(INDEX('Tournament List'!$D:$D,MATCH(O372,'Tournament List'!$A:$A,0)),""))</f>
        <v/>
      </c>
    </row>
    <row r="373" spans="1:16" x14ac:dyDescent="0.3">
      <c r="A373" s="78">
        <v>372</v>
      </c>
      <c r="B373" s="73" t="str">
        <f>C373&amp;"-"&amp;E373&amp;"-"&amp;F373</f>
        <v>-Novice 2-Sporting Clays</v>
      </c>
      <c r="C373" s="73"/>
      <c r="D373" s="73" t="str">
        <f>INDEX('Tournament Setup'!$B$59:$B$78,MATCH(E373,SquadConcurrents,0))</f>
        <v>Novice</v>
      </c>
      <c r="E373" s="73" t="s">
        <v>343</v>
      </c>
      <c r="F373" s="73" t="s">
        <v>148</v>
      </c>
      <c r="G373" s="94" t="str">
        <f>IF(F373="Skeet",IFERROR(INDEX('Shooter-Squad Assignment'!$A:$A,MATCH(C373&amp;"-"&amp;E373&amp;"-"&amp;F373&amp;"-Pos1",'Shooter-Squad Assignment'!$K:$K,0)),""),IF(F373="Trap",IFERROR(INDEX('Shooter-Squad Assignment'!$A:$A,MATCH(C373&amp;"-"&amp;E373&amp;"-"&amp;F373&amp;"-Pos1",'Shooter-Squad Assignment'!$W:$W,0)),""),IF(F373="Sporting Clays",IFERROR(INDEX('Shooter-Squad Assignment'!$A:$A,MATCH(C373&amp;"-"&amp;E373&amp;"-"&amp;F373&amp;"-Pos1",'Shooter-Squad Assignment'!$Z:$Z,0)),""),"")))</f>
        <v/>
      </c>
      <c r="H373" s="73" t="str">
        <f>IF(ISBLANK(G373),"",IFERROR(INDEX('Tournament List'!$D:$D,MATCH(G373,'Tournament List'!$A:$A,0)),""))</f>
        <v/>
      </c>
      <c r="I373" s="94" t="str">
        <f>IF(F373="Skeet",IFERROR(INDEX('Shooter-Squad Assignment'!$A:$A,MATCH(C373&amp;"-"&amp;E373&amp;"-"&amp;F373&amp;"-Pos2",'Shooter-Squad Assignment'!$K:$K,0)),""),IF(F373="Trap",IFERROR(INDEX('Shooter-Squad Assignment'!$A:$A,MATCH(C373&amp;"-"&amp;E373&amp;"-"&amp;F373&amp;"-Pos2",'Shooter-Squad Assignment'!$W:$W,0)),""),IF(F373="Sporting Clays",IFERROR(INDEX('Shooter-Squad Assignment'!$A:$A,MATCH(C373&amp;"-"&amp;E373&amp;"-"&amp;F373&amp;"-Pos2",'Shooter-Squad Assignment'!$Z:$Z,0)),""),"")))</f>
        <v/>
      </c>
      <c r="J373" s="73" t="str">
        <f>IF(ISBLANK(I373),"",IFERROR(INDEX('Tournament List'!$D:$D,MATCH(I373,'Tournament List'!$A:$A,0)),""))</f>
        <v/>
      </c>
      <c r="K373" s="94" t="str">
        <f>IF(F373="Skeet",IFERROR(INDEX('Shooter-Squad Assignment'!$A:$A,MATCH(C373&amp;"-"&amp;E373&amp;"-"&amp;F373&amp;"-Pos3",'Shooter-Squad Assignment'!$K:$K,0)),""),IF(F373="Trap",IFERROR(INDEX('Shooter-Squad Assignment'!$A:$A,MATCH(C373&amp;"-"&amp;E373&amp;"-"&amp;F373&amp;"-Pos3",'Shooter-Squad Assignment'!$W:$W,0)),""),IF(F373="Sporting Clays",IFERROR(INDEX('Shooter-Squad Assignment'!$A:$A,MATCH(C373&amp;"-"&amp;E373&amp;"-"&amp;F373&amp;"-Pos3",'Shooter-Squad Assignment'!$Z:$Z,0)),""),"")))</f>
        <v/>
      </c>
      <c r="L373" s="73" t="str">
        <f>IF(ISBLANK(K373),"",IFERROR(INDEX('Tournament List'!$D:$D,MATCH(K373,'Tournament List'!$A:$A,0)),""))</f>
        <v/>
      </c>
      <c r="M373" s="94" t="str">
        <f>IF(F373="Skeet",IFERROR(INDEX('Shooter-Squad Assignment'!$A:$A,MATCH(C373&amp;"-"&amp;E373&amp;"-"&amp;F373&amp;"-Pos4",'Shooter-Squad Assignment'!$K:$K,0)),""),IF(F373="Trap",IFERROR(INDEX('Shooter-Squad Assignment'!$A:$A,MATCH(C373&amp;"-"&amp;E373&amp;"-"&amp;F373&amp;"-Pos4",'Shooter-Squad Assignment'!$W:$W,0)),""),IF(F373="Sporting Clays",IFERROR(INDEX('Shooter-Squad Assignment'!$A:$A,MATCH(C373&amp;"-"&amp;E373&amp;"-"&amp;F373&amp;"-Pos4",'Shooter-Squad Assignment'!$Z:$Z,0)),""),"")))</f>
        <v/>
      </c>
      <c r="N373" s="73" t="str">
        <f>IF(ISBLANK(M373),"",IFERROR(INDEX('Tournament List'!$D:$D,MATCH(M373,'Tournament List'!$A:$A,0)),""))</f>
        <v/>
      </c>
      <c r="O373" s="94" t="str">
        <f>IF(F373="Skeet",IFERROR(INDEX('Shooter-Squad Assignment'!$A:$A,MATCH(C373&amp;"-"&amp;E373&amp;"-"&amp;F373&amp;"-Pos5",'Shooter-Squad Assignment'!$K:$K,0)),""),IF(F373="Trap",IFERROR(INDEX('Shooter-Squad Assignment'!$A:$A,MATCH(C373&amp;"-"&amp;E373&amp;"-"&amp;F373&amp;"-Pos5",'Shooter-Squad Assignment'!$W:$W,0)),""),IF(F373="Sporting Clays",IFERROR(INDEX('Shooter-Squad Assignment'!$A:$A,MATCH(C373&amp;"-"&amp;E373&amp;"-"&amp;F373&amp;"-Pos5",'Shooter-Squad Assignment'!$Z:$Z,0)),""),"")))</f>
        <v/>
      </c>
      <c r="P373" s="79" t="str">
        <f>IF(ISBLANK(O373),"",IFERROR(INDEX('Tournament List'!$D:$D,MATCH(O373,'Tournament List'!$A:$A,0)),""))</f>
        <v/>
      </c>
    </row>
    <row r="374" spans="1:16" x14ac:dyDescent="0.3">
      <c r="A374" s="78">
        <v>373</v>
      </c>
      <c r="B374" s="73" t="str">
        <f>C374&amp;"-"&amp;E374&amp;"-"&amp;F374</f>
        <v>-Novice 3-Sporting Clays</v>
      </c>
      <c r="C374" s="73"/>
      <c r="D374" s="73" t="str">
        <f>INDEX('Tournament Setup'!$B$59:$B$78,MATCH(E374,SquadConcurrents,0))</f>
        <v>Novice</v>
      </c>
      <c r="E374" s="73" t="s">
        <v>349</v>
      </c>
      <c r="F374" s="73" t="s">
        <v>148</v>
      </c>
      <c r="G374" s="94" t="str">
        <f>IF(F374="Skeet",IFERROR(INDEX('Shooter-Squad Assignment'!$A:$A,MATCH(C374&amp;"-"&amp;E374&amp;"-"&amp;F374&amp;"-Pos1",'Shooter-Squad Assignment'!$K:$K,0)),""),IF(F374="Trap",IFERROR(INDEX('Shooter-Squad Assignment'!$A:$A,MATCH(C374&amp;"-"&amp;E374&amp;"-"&amp;F374&amp;"-Pos1",'Shooter-Squad Assignment'!$W:$W,0)),""),IF(F374="Sporting Clays",IFERROR(INDEX('Shooter-Squad Assignment'!$A:$A,MATCH(C374&amp;"-"&amp;E374&amp;"-"&amp;F374&amp;"-Pos1",'Shooter-Squad Assignment'!$Z:$Z,0)),""),"")))</f>
        <v/>
      </c>
      <c r="H374" s="73" t="str">
        <f>IF(ISBLANK(G374),"",IFERROR(INDEX('Tournament List'!$D:$D,MATCH(G374,'Tournament List'!$A:$A,0)),""))</f>
        <v/>
      </c>
      <c r="I374" s="94" t="str">
        <f>IF(F374="Skeet",IFERROR(INDEX('Shooter-Squad Assignment'!$A:$A,MATCH(C374&amp;"-"&amp;E374&amp;"-"&amp;F374&amp;"-Pos2",'Shooter-Squad Assignment'!$K:$K,0)),""),IF(F374="Trap",IFERROR(INDEX('Shooter-Squad Assignment'!$A:$A,MATCH(C374&amp;"-"&amp;E374&amp;"-"&amp;F374&amp;"-Pos2",'Shooter-Squad Assignment'!$W:$W,0)),""),IF(F374="Sporting Clays",IFERROR(INDEX('Shooter-Squad Assignment'!$A:$A,MATCH(C374&amp;"-"&amp;E374&amp;"-"&amp;F374&amp;"-Pos2",'Shooter-Squad Assignment'!$Z:$Z,0)),""),"")))</f>
        <v/>
      </c>
      <c r="J374" s="73" t="str">
        <f>IF(ISBLANK(I374),"",IFERROR(INDEX('Tournament List'!$D:$D,MATCH(I374,'Tournament List'!$A:$A,0)),""))</f>
        <v/>
      </c>
      <c r="K374" s="94" t="str">
        <f>IF(F374="Skeet",IFERROR(INDEX('Shooter-Squad Assignment'!$A:$A,MATCH(C374&amp;"-"&amp;E374&amp;"-"&amp;F374&amp;"-Pos3",'Shooter-Squad Assignment'!$K:$K,0)),""),IF(F374="Trap",IFERROR(INDEX('Shooter-Squad Assignment'!$A:$A,MATCH(C374&amp;"-"&amp;E374&amp;"-"&amp;F374&amp;"-Pos3",'Shooter-Squad Assignment'!$W:$W,0)),""),IF(F374="Sporting Clays",IFERROR(INDEX('Shooter-Squad Assignment'!$A:$A,MATCH(C374&amp;"-"&amp;E374&amp;"-"&amp;F374&amp;"-Pos3",'Shooter-Squad Assignment'!$Z:$Z,0)),""),"")))</f>
        <v/>
      </c>
      <c r="L374" s="73" t="str">
        <f>IF(ISBLANK(K374),"",IFERROR(INDEX('Tournament List'!$D:$D,MATCH(K374,'Tournament List'!$A:$A,0)),""))</f>
        <v/>
      </c>
      <c r="M374" s="94" t="str">
        <f>IF(F374="Skeet",IFERROR(INDEX('Shooter-Squad Assignment'!$A:$A,MATCH(C374&amp;"-"&amp;E374&amp;"-"&amp;F374&amp;"-Pos4",'Shooter-Squad Assignment'!$K:$K,0)),""),IF(F374="Trap",IFERROR(INDEX('Shooter-Squad Assignment'!$A:$A,MATCH(C374&amp;"-"&amp;E374&amp;"-"&amp;F374&amp;"-Pos4",'Shooter-Squad Assignment'!$W:$W,0)),""),IF(F374="Sporting Clays",IFERROR(INDEX('Shooter-Squad Assignment'!$A:$A,MATCH(C374&amp;"-"&amp;E374&amp;"-"&amp;F374&amp;"-Pos4",'Shooter-Squad Assignment'!$Z:$Z,0)),""),"")))</f>
        <v/>
      </c>
      <c r="N374" s="73" t="str">
        <f>IF(ISBLANK(M374),"",IFERROR(INDEX('Tournament List'!$D:$D,MATCH(M374,'Tournament List'!$A:$A,0)),""))</f>
        <v/>
      </c>
      <c r="O374" s="94" t="str">
        <f>IF(F374="Skeet",IFERROR(INDEX('Shooter-Squad Assignment'!$A:$A,MATCH(C374&amp;"-"&amp;E374&amp;"-"&amp;F374&amp;"-Pos5",'Shooter-Squad Assignment'!$K:$K,0)),""),IF(F374="Trap",IFERROR(INDEX('Shooter-Squad Assignment'!$A:$A,MATCH(C374&amp;"-"&amp;E374&amp;"-"&amp;F374&amp;"-Pos5",'Shooter-Squad Assignment'!$W:$W,0)),""),IF(F374="Sporting Clays",IFERROR(INDEX('Shooter-Squad Assignment'!$A:$A,MATCH(C374&amp;"-"&amp;E374&amp;"-"&amp;F374&amp;"-Pos5",'Shooter-Squad Assignment'!$Z:$Z,0)),""),"")))</f>
        <v/>
      </c>
      <c r="P374" s="79" t="str">
        <f>IF(ISBLANK(O374),"",IFERROR(INDEX('Tournament List'!$D:$D,MATCH(O374,'Tournament List'!$A:$A,0)),""))</f>
        <v/>
      </c>
    </row>
    <row r="375" spans="1:16" x14ac:dyDescent="0.3">
      <c r="A375" s="78">
        <v>374</v>
      </c>
      <c r="B375" s="73" t="str">
        <f>C375&amp;"-"&amp;E375&amp;"-"&amp;F375</f>
        <v>-Open 1-Sporting Clays</v>
      </c>
      <c r="C375" s="73"/>
      <c r="D375" s="73" t="str">
        <f>INDEX('Tournament Setup'!$B$59:$B$78,MATCH(E375,SquadConcurrents,0))</f>
        <v>Open</v>
      </c>
      <c r="E375" s="73" t="s">
        <v>341</v>
      </c>
      <c r="F375" s="73" t="s">
        <v>148</v>
      </c>
      <c r="G375" s="94" t="str">
        <f>IF(F375="Skeet",IFERROR(INDEX('Shooter-Squad Assignment'!$A:$A,MATCH(C375&amp;"-"&amp;E375&amp;"-"&amp;F375&amp;"-Pos1",'Shooter-Squad Assignment'!$K:$K,0)),""),IF(F375="Trap",IFERROR(INDEX('Shooter-Squad Assignment'!$A:$A,MATCH(C375&amp;"-"&amp;E375&amp;"-"&amp;F375&amp;"-Pos1",'Shooter-Squad Assignment'!$W:$W,0)),""),IF(F375="Sporting Clays",IFERROR(INDEX('Shooter-Squad Assignment'!$A:$A,MATCH(C375&amp;"-"&amp;E375&amp;"-"&amp;F375&amp;"-Pos1",'Shooter-Squad Assignment'!$Z:$Z,0)),""),"")))</f>
        <v/>
      </c>
      <c r="H375" s="73" t="str">
        <f>IF(ISBLANK(G375),"",IFERROR(INDEX('Tournament List'!$D:$D,MATCH(G375,'Tournament List'!$A:$A,0)),""))</f>
        <v/>
      </c>
      <c r="I375" s="94" t="str">
        <f>IF(F375="Skeet",IFERROR(INDEX('Shooter-Squad Assignment'!$A:$A,MATCH(C375&amp;"-"&amp;E375&amp;"-"&amp;F375&amp;"-Pos2",'Shooter-Squad Assignment'!$K:$K,0)),""),IF(F375="Trap",IFERROR(INDEX('Shooter-Squad Assignment'!$A:$A,MATCH(C375&amp;"-"&amp;E375&amp;"-"&amp;F375&amp;"-Pos2",'Shooter-Squad Assignment'!$W:$W,0)),""),IF(F375="Sporting Clays",IFERROR(INDEX('Shooter-Squad Assignment'!$A:$A,MATCH(C375&amp;"-"&amp;E375&amp;"-"&amp;F375&amp;"-Pos2",'Shooter-Squad Assignment'!$Z:$Z,0)),""),"")))</f>
        <v/>
      </c>
      <c r="J375" s="73" t="str">
        <f>IF(ISBLANK(I375),"",IFERROR(INDEX('Tournament List'!$D:$D,MATCH(I375,'Tournament List'!$A:$A,0)),""))</f>
        <v/>
      </c>
      <c r="K375" s="94" t="str">
        <f>IF(F375="Skeet",IFERROR(INDEX('Shooter-Squad Assignment'!$A:$A,MATCH(C375&amp;"-"&amp;E375&amp;"-"&amp;F375&amp;"-Pos3",'Shooter-Squad Assignment'!$K:$K,0)),""),IF(F375="Trap",IFERROR(INDEX('Shooter-Squad Assignment'!$A:$A,MATCH(C375&amp;"-"&amp;E375&amp;"-"&amp;F375&amp;"-Pos3",'Shooter-Squad Assignment'!$W:$W,0)),""),IF(F375="Sporting Clays",IFERROR(INDEX('Shooter-Squad Assignment'!$A:$A,MATCH(C375&amp;"-"&amp;E375&amp;"-"&amp;F375&amp;"-Pos3",'Shooter-Squad Assignment'!$Z:$Z,0)),""),"")))</f>
        <v/>
      </c>
      <c r="L375" s="73" t="str">
        <f>IF(ISBLANK(K375),"",IFERROR(INDEX('Tournament List'!$D:$D,MATCH(K375,'Tournament List'!$A:$A,0)),""))</f>
        <v/>
      </c>
      <c r="M375" s="94" t="str">
        <f>IF(F375="Skeet",IFERROR(INDEX('Shooter-Squad Assignment'!$A:$A,MATCH(C375&amp;"-"&amp;E375&amp;"-"&amp;F375&amp;"-Pos4",'Shooter-Squad Assignment'!$K:$K,0)),""),IF(F375="Trap",IFERROR(INDEX('Shooter-Squad Assignment'!$A:$A,MATCH(C375&amp;"-"&amp;E375&amp;"-"&amp;F375&amp;"-Pos4",'Shooter-Squad Assignment'!$W:$W,0)),""),IF(F375="Sporting Clays",IFERROR(INDEX('Shooter-Squad Assignment'!$A:$A,MATCH(C375&amp;"-"&amp;E375&amp;"-"&amp;F375&amp;"-Pos4",'Shooter-Squad Assignment'!$Z:$Z,0)),""),"")))</f>
        <v/>
      </c>
      <c r="N375" s="73" t="str">
        <f>IF(ISBLANK(M375),"",IFERROR(INDEX('Tournament List'!$D:$D,MATCH(M375,'Tournament List'!$A:$A,0)),""))</f>
        <v/>
      </c>
      <c r="O375" s="94" t="str">
        <f>IF(F375="Skeet",IFERROR(INDEX('Shooter-Squad Assignment'!$A:$A,MATCH(C375&amp;"-"&amp;E375&amp;"-"&amp;F375&amp;"-Pos5",'Shooter-Squad Assignment'!$K:$K,0)),""),IF(F375="Trap",IFERROR(INDEX('Shooter-Squad Assignment'!$A:$A,MATCH(C375&amp;"-"&amp;E375&amp;"-"&amp;F375&amp;"-Pos5",'Shooter-Squad Assignment'!$W:$W,0)),""),IF(F375="Sporting Clays",IFERROR(INDEX('Shooter-Squad Assignment'!$A:$A,MATCH(C375&amp;"-"&amp;E375&amp;"-"&amp;F375&amp;"-Pos5",'Shooter-Squad Assignment'!$Z:$Z,0)),""),"")))</f>
        <v/>
      </c>
      <c r="P375" s="79" t="str">
        <f>IF(ISBLANK(O375),"",IFERROR(INDEX('Tournament List'!$D:$D,MATCH(O375,'Tournament List'!$A:$A,0)),""))</f>
        <v/>
      </c>
    </row>
    <row r="376" spans="1:16" x14ac:dyDescent="0.3">
      <c r="A376" s="78">
        <v>375</v>
      </c>
      <c r="B376" s="73" t="str">
        <f>C376&amp;"-"&amp;E376&amp;"-"&amp;F376</f>
        <v>-Open 2-Sporting Clays</v>
      </c>
      <c r="C376" s="73"/>
      <c r="D376" s="73" t="str">
        <f>INDEX('Tournament Setup'!$B$59:$B$78,MATCH(E376,SquadConcurrents,0))</f>
        <v>Open</v>
      </c>
      <c r="E376" s="73" t="s">
        <v>347</v>
      </c>
      <c r="F376" s="73" t="s">
        <v>148</v>
      </c>
      <c r="G376" s="94" t="str">
        <f>IF(F376="Skeet",IFERROR(INDEX('Shooter-Squad Assignment'!$A:$A,MATCH(C376&amp;"-"&amp;E376&amp;"-"&amp;F376&amp;"-Pos1",'Shooter-Squad Assignment'!$K:$K,0)),""),IF(F376="Trap",IFERROR(INDEX('Shooter-Squad Assignment'!$A:$A,MATCH(C376&amp;"-"&amp;E376&amp;"-"&amp;F376&amp;"-Pos1",'Shooter-Squad Assignment'!$W:$W,0)),""),IF(F376="Sporting Clays",IFERROR(INDEX('Shooter-Squad Assignment'!$A:$A,MATCH(C376&amp;"-"&amp;E376&amp;"-"&amp;F376&amp;"-Pos1",'Shooter-Squad Assignment'!$Z:$Z,0)),""),"")))</f>
        <v/>
      </c>
      <c r="H376" s="73" t="str">
        <f>IF(ISBLANK(G376),"",IFERROR(INDEX('Tournament List'!$D:$D,MATCH(G376,'Tournament List'!$A:$A,0)),""))</f>
        <v/>
      </c>
      <c r="I376" s="94" t="str">
        <f>IF(F376="Skeet",IFERROR(INDEX('Shooter-Squad Assignment'!$A:$A,MATCH(C376&amp;"-"&amp;E376&amp;"-"&amp;F376&amp;"-Pos2",'Shooter-Squad Assignment'!$K:$K,0)),""),IF(F376="Trap",IFERROR(INDEX('Shooter-Squad Assignment'!$A:$A,MATCH(C376&amp;"-"&amp;E376&amp;"-"&amp;F376&amp;"-Pos2",'Shooter-Squad Assignment'!$W:$W,0)),""),IF(F376="Sporting Clays",IFERROR(INDEX('Shooter-Squad Assignment'!$A:$A,MATCH(C376&amp;"-"&amp;E376&amp;"-"&amp;F376&amp;"-Pos2",'Shooter-Squad Assignment'!$Z:$Z,0)),""),"")))</f>
        <v/>
      </c>
      <c r="J376" s="73" t="str">
        <f>IF(ISBLANK(I376),"",IFERROR(INDEX('Tournament List'!$D:$D,MATCH(I376,'Tournament List'!$A:$A,0)),""))</f>
        <v/>
      </c>
      <c r="K376" s="94" t="str">
        <f>IF(F376="Skeet",IFERROR(INDEX('Shooter-Squad Assignment'!$A:$A,MATCH(C376&amp;"-"&amp;E376&amp;"-"&amp;F376&amp;"-Pos3",'Shooter-Squad Assignment'!$K:$K,0)),""),IF(F376="Trap",IFERROR(INDEX('Shooter-Squad Assignment'!$A:$A,MATCH(C376&amp;"-"&amp;E376&amp;"-"&amp;F376&amp;"-Pos3",'Shooter-Squad Assignment'!$W:$W,0)),""),IF(F376="Sporting Clays",IFERROR(INDEX('Shooter-Squad Assignment'!$A:$A,MATCH(C376&amp;"-"&amp;E376&amp;"-"&amp;F376&amp;"-Pos3",'Shooter-Squad Assignment'!$Z:$Z,0)),""),"")))</f>
        <v/>
      </c>
      <c r="L376" s="73" t="str">
        <f>IF(ISBLANK(K376),"",IFERROR(INDEX('Tournament List'!$D:$D,MATCH(K376,'Tournament List'!$A:$A,0)),""))</f>
        <v/>
      </c>
      <c r="M376" s="94" t="str">
        <f>IF(F376="Skeet",IFERROR(INDEX('Shooter-Squad Assignment'!$A:$A,MATCH(C376&amp;"-"&amp;E376&amp;"-"&amp;F376&amp;"-Pos4",'Shooter-Squad Assignment'!$K:$K,0)),""),IF(F376="Trap",IFERROR(INDEX('Shooter-Squad Assignment'!$A:$A,MATCH(C376&amp;"-"&amp;E376&amp;"-"&amp;F376&amp;"-Pos4",'Shooter-Squad Assignment'!$W:$W,0)),""),IF(F376="Sporting Clays",IFERROR(INDEX('Shooter-Squad Assignment'!$A:$A,MATCH(C376&amp;"-"&amp;E376&amp;"-"&amp;F376&amp;"-Pos4",'Shooter-Squad Assignment'!$Z:$Z,0)),""),"")))</f>
        <v/>
      </c>
      <c r="N376" s="73" t="str">
        <f>IF(ISBLANK(M376),"",IFERROR(INDEX('Tournament List'!$D:$D,MATCH(M376,'Tournament List'!$A:$A,0)),""))</f>
        <v/>
      </c>
      <c r="O376" s="94" t="str">
        <f>IF(F376="Skeet",IFERROR(INDEX('Shooter-Squad Assignment'!$A:$A,MATCH(C376&amp;"-"&amp;E376&amp;"-"&amp;F376&amp;"-Pos5",'Shooter-Squad Assignment'!$K:$K,0)),""),IF(F376="Trap",IFERROR(INDEX('Shooter-Squad Assignment'!$A:$A,MATCH(C376&amp;"-"&amp;E376&amp;"-"&amp;F376&amp;"-Pos5",'Shooter-Squad Assignment'!$W:$W,0)),""),IF(F376="Sporting Clays",IFERROR(INDEX('Shooter-Squad Assignment'!$A:$A,MATCH(C376&amp;"-"&amp;E376&amp;"-"&amp;F376&amp;"-Pos5",'Shooter-Squad Assignment'!$Z:$Z,0)),""),"")))</f>
        <v/>
      </c>
      <c r="P376" s="79" t="str">
        <f>IF(ISBLANK(O376),"",IFERROR(INDEX('Tournament List'!$D:$D,MATCH(O376,'Tournament List'!$A:$A,0)),""))</f>
        <v/>
      </c>
    </row>
    <row r="377" spans="1:16" x14ac:dyDescent="0.3">
      <c r="A377" s="78">
        <v>376</v>
      </c>
      <c r="B377" s="73" t="str">
        <f>C377&amp;"-"&amp;E377&amp;"-"&amp;F377</f>
        <v>-Open 3-Sporting Clays</v>
      </c>
      <c r="C377" s="73"/>
      <c r="D377" s="73" t="str">
        <f>INDEX('Tournament Setup'!$B$59:$B$78,MATCH(E377,SquadConcurrents,0))</f>
        <v>Open</v>
      </c>
      <c r="E377" s="73" t="s">
        <v>353</v>
      </c>
      <c r="F377" s="73" t="s">
        <v>148</v>
      </c>
      <c r="G377" s="94" t="str">
        <f>IF(F377="Skeet",IFERROR(INDEX('Shooter-Squad Assignment'!$A:$A,MATCH(C377&amp;"-"&amp;E377&amp;"-"&amp;F377&amp;"-Pos1",'Shooter-Squad Assignment'!$K:$K,0)),""),IF(F377="Trap",IFERROR(INDEX('Shooter-Squad Assignment'!$A:$A,MATCH(C377&amp;"-"&amp;E377&amp;"-"&amp;F377&amp;"-Pos1",'Shooter-Squad Assignment'!$W:$W,0)),""),IF(F377="Sporting Clays",IFERROR(INDEX('Shooter-Squad Assignment'!$A:$A,MATCH(C377&amp;"-"&amp;E377&amp;"-"&amp;F377&amp;"-Pos1",'Shooter-Squad Assignment'!$Z:$Z,0)),""),"")))</f>
        <v/>
      </c>
      <c r="H377" s="73" t="str">
        <f>IF(ISBLANK(G377),"",IFERROR(INDEX('Tournament List'!$D:$D,MATCH(G377,'Tournament List'!$A:$A,0)),""))</f>
        <v/>
      </c>
      <c r="I377" s="94" t="str">
        <f>IF(F377="Skeet",IFERROR(INDEX('Shooter-Squad Assignment'!$A:$A,MATCH(C377&amp;"-"&amp;E377&amp;"-"&amp;F377&amp;"-Pos2",'Shooter-Squad Assignment'!$K:$K,0)),""),IF(F377="Trap",IFERROR(INDEX('Shooter-Squad Assignment'!$A:$A,MATCH(C377&amp;"-"&amp;E377&amp;"-"&amp;F377&amp;"-Pos2",'Shooter-Squad Assignment'!$W:$W,0)),""),IF(F377="Sporting Clays",IFERROR(INDEX('Shooter-Squad Assignment'!$A:$A,MATCH(C377&amp;"-"&amp;E377&amp;"-"&amp;F377&amp;"-Pos2",'Shooter-Squad Assignment'!$Z:$Z,0)),""),"")))</f>
        <v/>
      </c>
      <c r="J377" s="73" t="str">
        <f>IF(ISBLANK(I377),"",IFERROR(INDEX('Tournament List'!$D:$D,MATCH(I377,'Tournament List'!$A:$A,0)),""))</f>
        <v/>
      </c>
      <c r="K377" s="94" t="str">
        <f>IF(F377="Skeet",IFERROR(INDEX('Shooter-Squad Assignment'!$A:$A,MATCH(C377&amp;"-"&amp;E377&amp;"-"&amp;F377&amp;"-Pos3",'Shooter-Squad Assignment'!$K:$K,0)),""),IF(F377="Trap",IFERROR(INDEX('Shooter-Squad Assignment'!$A:$A,MATCH(C377&amp;"-"&amp;E377&amp;"-"&amp;F377&amp;"-Pos3",'Shooter-Squad Assignment'!$W:$W,0)),""),IF(F377="Sporting Clays",IFERROR(INDEX('Shooter-Squad Assignment'!$A:$A,MATCH(C377&amp;"-"&amp;E377&amp;"-"&amp;F377&amp;"-Pos3",'Shooter-Squad Assignment'!$Z:$Z,0)),""),"")))</f>
        <v/>
      </c>
      <c r="L377" s="73" t="str">
        <f>IF(ISBLANK(K377),"",IFERROR(INDEX('Tournament List'!$D:$D,MATCH(K377,'Tournament List'!$A:$A,0)),""))</f>
        <v/>
      </c>
      <c r="M377" s="94" t="str">
        <f>IF(F377="Skeet",IFERROR(INDEX('Shooter-Squad Assignment'!$A:$A,MATCH(C377&amp;"-"&amp;E377&amp;"-"&amp;F377&amp;"-Pos4",'Shooter-Squad Assignment'!$K:$K,0)),""),IF(F377="Trap",IFERROR(INDEX('Shooter-Squad Assignment'!$A:$A,MATCH(C377&amp;"-"&amp;E377&amp;"-"&amp;F377&amp;"-Pos4",'Shooter-Squad Assignment'!$W:$W,0)),""),IF(F377="Sporting Clays",IFERROR(INDEX('Shooter-Squad Assignment'!$A:$A,MATCH(C377&amp;"-"&amp;E377&amp;"-"&amp;F377&amp;"-Pos4",'Shooter-Squad Assignment'!$Z:$Z,0)),""),"")))</f>
        <v/>
      </c>
      <c r="N377" s="73" t="str">
        <f>IF(ISBLANK(M377),"",IFERROR(INDEX('Tournament List'!$D:$D,MATCH(M377,'Tournament List'!$A:$A,0)),""))</f>
        <v/>
      </c>
      <c r="O377" s="94" t="str">
        <f>IF(F377="Skeet",IFERROR(INDEX('Shooter-Squad Assignment'!$A:$A,MATCH(C377&amp;"-"&amp;E377&amp;"-"&amp;F377&amp;"-Pos5",'Shooter-Squad Assignment'!$K:$K,0)),""),IF(F377="Trap",IFERROR(INDEX('Shooter-Squad Assignment'!$A:$A,MATCH(C377&amp;"-"&amp;E377&amp;"-"&amp;F377&amp;"-Pos5",'Shooter-Squad Assignment'!$W:$W,0)),""),IF(F377="Sporting Clays",IFERROR(INDEX('Shooter-Squad Assignment'!$A:$A,MATCH(C377&amp;"-"&amp;E377&amp;"-"&amp;F377&amp;"-Pos5",'Shooter-Squad Assignment'!$Z:$Z,0)),""),"")))</f>
        <v/>
      </c>
      <c r="P377" s="79" t="str">
        <f>IF(ISBLANK(O377),"",IFERROR(INDEX('Tournament List'!$D:$D,MATCH(O377,'Tournament List'!$A:$A,0)),""))</f>
        <v/>
      </c>
    </row>
    <row r="378" spans="1:16" x14ac:dyDescent="0.3">
      <c r="A378" s="78">
        <v>377</v>
      </c>
      <c r="B378" s="73" t="str">
        <f>C378&amp;"-"&amp;E378&amp;"-"&amp;F378</f>
        <v>-Unassigned 1-Sporting Clays</v>
      </c>
      <c r="C378" s="73"/>
      <c r="D378" s="73" t="str">
        <f>INDEX('Tournament Setup'!$B$59:$B$78,MATCH(E378,SquadConcurrents,0))</f>
        <v>Unassigned</v>
      </c>
      <c r="E378" s="73" t="s">
        <v>762</v>
      </c>
      <c r="F378" s="73" t="s">
        <v>148</v>
      </c>
      <c r="G378" s="94" t="str">
        <f>IF(F378="Skeet",IFERROR(INDEX('Shooter-Squad Assignment'!$A:$A,MATCH(C378&amp;"-"&amp;E378&amp;"-"&amp;F378&amp;"-Pos1",'Shooter-Squad Assignment'!$K:$K,0)),""),IF(F378="Trap",IFERROR(INDEX('Shooter-Squad Assignment'!$A:$A,MATCH(C378&amp;"-"&amp;E378&amp;"-"&amp;F378&amp;"-Pos1",'Shooter-Squad Assignment'!$W:$W,0)),""),IF(F378="Sporting Clays",IFERROR(INDEX('Shooter-Squad Assignment'!$A:$A,MATCH(C378&amp;"-"&amp;E378&amp;"-"&amp;F378&amp;"-Pos1",'Shooter-Squad Assignment'!$Z:$Z,0)),""),"")))</f>
        <v/>
      </c>
      <c r="H378" s="73" t="str">
        <f>IF(ISBLANK(G378),"",IFERROR(INDEX('Tournament List'!$D:$D,MATCH(G378,'Tournament List'!$A:$A,0)),""))</f>
        <v/>
      </c>
      <c r="I378" s="94" t="str">
        <f>IF(F378="Skeet",IFERROR(INDEX('Shooter-Squad Assignment'!$A:$A,MATCH(C378&amp;"-"&amp;E378&amp;"-"&amp;F378&amp;"-Pos2",'Shooter-Squad Assignment'!$K:$K,0)),""),IF(F378="Trap",IFERROR(INDEX('Shooter-Squad Assignment'!$A:$A,MATCH(C378&amp;"-"&amp;E378&amp;"-"&amp;F378&amp;"-Pos2",'Shooter-Squad Assignment'!$W:$W,0)),""),IF(F378="Sporting Clays",IFERROR(INDEX('Shooter-Squad Assignment'!$A:$A,MATCH(C378&amp;"-"&amp;E378&amp;"-"&amp;F378&amp;"-Pos2",'Shooter-Squad Assignment'!$Z:$Z,0)),""),"")))</f>
        <v/>
      </c>
      <c r="J378" s="73" t="str">
        <f>IF(ISBLANK(I378),"",IFERROR(INDEX('Tournament List'!$D:$D,MATCH(I378,'Tournament List'!$A:$A,0)),""))</f>
        <v/>
      </c>
      <c r="K378" s="94" t="str">
        <f>IF(F378="Skeet",IFERROR(INDEX('Shooter-Squad Assignment'!$A:$A,MATCH(C378&amp;"-"&amp;E378&amp;"-"&amp;F378&amp;"-Pos3",'Shooter-Squad Assignment'!$K:$K,0)),""),IF(F378="Trap",IFERROR(INDEX('Shooter-Squad Assignment'!$A:$A,MATCH(C378&amp;"-"&amp;E378&amp;"-"&amp;F378&amp;"-Pos3",'Shooter-Squad Assignment'!$W:$W,0)),""),IF(F378="Sporting Clays",IFERROR(INDEX('Shooter-Squad Assignment'!$A:$A,MATCH(C378&amp;"-"&amp;E378&amp;"-"&amp;F378&amp;"-Pos3",'Shooter-Squad Assignment'!$Z:$Z,0)),""),"")))</f>
        <v/>
      </c>
      <c r="L378" s="73" t="str">
        <f>IF(ISBLANK(K378),"",IFERROR(INDEX('Tournament List'!$D:$D,MATCH(K378,'Tournament List'!$A:$A,0)),""))</f>
        <v/>
      </c>
      <c r="M378" s="94" t="str">
        <f>IF(F378="Skeet",IFERROR(INDEX('Shooter-Squad Assignment'!$A:$A,MATCH(C378&amp;"-"&amp;E378&amp;"-"&amp;F378&amp;"-Pos4",'Shooter-Squad Assignment'!$K:$K,0)),""),IF(F378="Trap",IFERROR(INDEX('Shooter-Squad Assignment'!$A:$A,MATCH(C378&amp;"-"&amp;E378&amp;"-"&amp;F378&amp;"-Pos4",'Shooter-Squad Assignment'!$W:$W,0)),""),IF(F378="Sporting Clays",IFERROR(INDEX('Shooter-Squad Assignment'!$A:$A,MATCH(C378&amp;"-"&amp;E378&amp;"-"&amp;F378&amp;"-Pos4",'Shooter-Squad Assignment'!$Z:$Z,0)),""),"")))</f>
        <v/>
      </c>
      <c r="N378" s="73" t="str">
        <f>IF(ISBLANK(M378),"",IFERROR(INDEX('Tournament List'!$D:$D,MATCH(M378,'Tournament List'!$A:$A,0)),""))</f>
        <v/>
      </c>
      <c r="O378" s="94" t="str">
        <f>IF(F378="Skeet",IFERROR(INDEX('Shooter-Squad Assignment'!$A:$A,MATCH(C378&amp;"-"&amp;E378&amp;"-"&amp;F378&amp;"-Pos5",'Shooter-Squad Assignment'!$K:$K,0)),""),IF(F378="Trap",IFERROR(INDEX('Shooter-Squad Assignment'!$A:$A,MATCH(C378&amp;"-"&amp;E378&amp;"-"&amp;F378&amp;"-Pos5",'Shooter-Squad Assignment'!$W:$W,0)),""),IF(F378="Sporting Clays",IFERROR(INDEX('Shooter-Squad Assignment'!$A:$A,MATCH(C378&amp;"-"&amp;E378&amp;"-"&amp;F378&amp;"-Pos5",'Shooter-Squad Assignment'!$Z:$Z,0)),""),"")))</f>
        <v/>
      </c>
      <c r="P378" s="79" t="str">
        <f>IF(ISBLANK(O378),"",IFERROR(INDEX('Tournament List'!$D:$D,MATCH(O378,'Tournament List'!$A:$A,0)),""))</f>
        <v/>
      </c>
    </row>
    <row r="379" spans="1:16" x14ac:dyDescent="0.3">
      <c r="A379" s="78">
        <v>378</v>
      </c>
      <c r="B379" s="73" t="str">
        <f>C379&amp;"-"&amp;E379&amp;"-"&amp;F379</f>
        <v>-Varsity 1-Sporting Clays</v>
      </c>
      <c r="C379" s="73"/>
      <c r="D379" s="73" t="str">
        <f>INDEX('Tournament Setup'!$B$59:$B$78,MATCH(E379,SquadConcurrents,0))</f>
        <v>Varsity</v>
      </c>
      <c r="E379" s="73" t="s">
        <v>340</v>
      </c>
      <c r="F379" s="73" t="s">
        <v>148</v>
      </c>
      <c r="G379" s="94" t="str">
        <f>IF(F379="Skeet",IFERROR(INDEX('Shooter-Squad Assignment'!$A:$A,MATCH(C379&amp;"-"&amp;E379&amp;"-"&amp;F379&amp;"-Pos1",'Shooter-Squad Assignment'!$K:$K,0)),""),IF(F379="Trap",IFERROR(INDEX('Shooter-Squad Assignment'!$A:$A,MATCH(C379&amp;"-"&amp;E379&amp;"-"&amp;F379&amp;"-Pos1",'Shooter-Squad Assignment'!$W:$W,0)),""),IF(F379="Sporting Clays",IFERROR(INDEX('Shooter-Squad Assignment'!$A:$A,MATCH(C379&amp;"-"&amp;E379&amp;"-"&amp;F379&amp;"-Pos1",'Shooter-Squad Assignment'!$Z:$Z,0)),""),"")))</f>
        <v/>
      </c>
      <c r="H379" s="73" t="str">
        <f>IF(ISBLANK(G379),"",IFERROR(INDEX('Tournament List'!$D:$D,MATCH(G379,'Tournament List'!$A:$A,0)),""))</f>
        <v/>
      </c>
      <c r="I379" s="94" t="str">
        <f>IF(F379="Skeet",IFERROR(INDEX('Shooter-Squad Assignment'!$A:$A,MATCH(C379&amp;"-"&amp;E379&amp;"-"&amp;F379&amp;"-Pos2",'Shooter-Squad Assignment'!$K:$K,0)),""),IF(F379="Trap",IFERROR(INDEX('Shooter-Squad Assignment'!$A:$A,MATCH(C379&amp;"-"&amp;E379&amp;"-"&amp;F379&amp;"-Pos2",'Shooter-Squad Assignment'!$W:$W,0)),""),IF(F379="Sporting Clays",IFERROR(INDEX('Shooter-Squad Assignment'!$A:$A,MATCH(C379&amp;"-"&amp;E379&amp;"-"&amp;F379&amp;"-Pos2",'Shooter-Squad Assignment'!$Z:$Z,0)),""),"")))</f>
        <v/>
      </c>
      <c r="J379" s="73" t="str">
        <f>IF(ISBLANK(I379),"",IFERROR(INDEX('Tournament List'!$D:$D,MATCH(I379,'Tournament List'!$A:$A,0)),""))</f>
        <v/>
      </c>
      <c r="K379" s="94" t="str">
        <f>IF(F379="Skeet",IFERROR(INDEX('Shooter-Squad Assignment'!$A:$A,MATCH(C379&amp;"-"&amp;E379&amp;"-"&amp;F379&amp;"-Pos3",'Shooter-Squad Assignment'!$K:$K,0)),""),IF(F379="Trap",IFERROR(INDEX('Shooter-Squad Assignment'!$A:$A,MATCH(C379&amp;"-"&amp;E379&amp;"-"&amp;F379&amp;"-Pos3",'Shooter-Squad Assignment'!$W:$W,0)),""),IF(F379="Sporting Clays",IFERROR(INDEX('Shooter-Squad Assignment'!$A:$A,MATCH(C379&amp;"-"&amp;E379&amp;"-"&amp;F379&amp;"-Pos3",'Shooter-Squad Assignment'!$Z:$Z,0)),""),"")))</f>
        <v/>
      </c>
      <c r="L379" s="73" t="str">
        <f>IF(ISBLANK(K379),"",IFERROR(INDEX('Tournament List'!$D:$D,MATCH(K379,'Tournament List'!$A:$A,0)),""))</f>
        <v/>
      </c>
      <c r="M379" s="94" t="str">
        <f>IF(F379="Skeet",IFERROR(INDEX('Shooter-Squad Assignment'!$A:$A,MATCH(C379&amp;"-"&amp;E379&amp;"-"&amp;F379&amp;"-Pos4",'Shooter-Squad Assignment'!$K:$K,0)),""),IF(F379="Trap",IFERROR(INDEX('Shooter-Squad Assignment'!$A:$A,MATCH(C379&amp;"-"&amp;E379&amp;"-"&amp;F379&amp;"-Pos4",'Shooter-Squad Assignment'!$W:$W,0)),""),IF(F379="Sporting Clays",IFERROR(INDEX('Shooter-Squad Assignment'!$A:$A,MATCH(C379&amp;"-"&amp;E379&amp;"-"&amp;F379&amp;"-Pos4",'Shooter-Squad Assignment'!$Z:$Z,0)),""),"")))</f>
        <v/>
      </c>
      <c r="N379" s="73" t="str">
        <f>IF(ISBLANK(M379),"",IFERROR(INDEX('Tournament List'!$D:$D,MATCH(M379,'Tournament List'!$A:$A,0)),""))</f>
        <v/>
      </c>
      <c r="O379" s="94" t="str">
        <f>IF(F379="Skeet",IFERROR(INDEX('Shooter-Squad Assignment'!$A:$A,MATCH(C379&amp;"-"&amp;E379&amp;"-"&amp;F379&amp;"-Pos5",'Shooter-Squad Assignment'!$K:$K,0)),""),IF(F379="Trap",IFERROR(INDEX('Shooter-Squad Assignment'!$A:$A,MATCH(C379&amp;"-"&amp;E379&amp;"-"&amp;F379&amp;"-Pos5",'Shooter-Squad Assignment'!$W:$W,0)),""),IF(F379="Sporting Clays",IFERROR(INDEX('Shooter-Squad Assignment'!$A:$A,MATCH(C379&amp;"-"&amp;E379&amp;"-"&amp;F379&amp;"-Pos5",'Shooter-Squad Assignment'!$Z:$Z,0)),""),"")))</f>
        <v/>
      </c>
      <c r="P379" s="79" t="str">
        <f>IF(ISBLANK(O379),"",IFERROR(INDEX('Tournament List'!$D:$D,MATCH(O379,'Tournament List'!$A:$A,0)),""))</f>
        <v/>
      </c>
    </row>
    <row r="380" spans="1:16" x14ac:dyDescent="0.3">
      <c r="A380" s="78">
        <v>379</v>
      </c>
      <c r="B380" s="73" t="str">
        <f>C380&amp;"-"&amp;E380&amp;"-"&amp;F380</f>
        <v>-Varsity 2-Sporting Clays</v>
      </c>
      <c r="C380" s="73"/>
      <c r="D380" s="73" t="str">
        <f>INDEX('Tournament Setup'!$B$59:$B$78,MATCH(E380,SquadConcurrents,0))</f>
        <v>Varsity</v>
      </c>
      <c r="E380" s="73" t="s">
        <v>346</v>
      </c>
      <c r="F380" s="73" t="s">
        <v>148</v>
      </c>
      <c r="G380" s="94" t="str">
        <f>IF(F380="Skeet",IFERROR(INDEX('Shooter-Squad Assignment'!$A:$A,MATCH(C380&amp;"-"&amp;E380&amp;"-"&amp;F380&amp;"-Pos1",'Shooter-Squad Assignment'!$K:$K,0)),""),IF(F380="Trap",IFERROR(INDEX('Shooter-Squad Assignment'!$A:$A,MATCH(C380&amp;"-"&amp;E380&amp;"-"&amp;F380&amp;"-Pos1",'Shooter-Squad Assignment'!$W:$W,0)),""),IF(F380="Sporting Clays",IFERROR(INDEX('Shooter-Squad Assignment'!$A:$A,MATCH(C380&amp;"-"&amp;E380&amp;"-"&amp;F380&amp;"-Pos1",'Shooter-Squad Assignment'!$Z:$Z,0)),""),"")))</f>
        <v/>
      </c>
      <c r="H380" s="73" t="str">
        <f>IF(ISBLANK(G380),"",IFERROR(INDEX('Tournament List'!$D:$D,MATCH(G380,'Tournament List'!$A:$A,0)),""))</f>
        <v/>
      </c>
      <c r="I380" s="94" t="str">
        <f>IF(F380="Skeet",IFERROR(INDEX('Shooter-Squad Assignment'!$A:$A,MATCH(C380&amp;"-"&amp;E380&amp;"-"&amp;F380&amp;"-Pos2",'Shooter-Squad Assignment'!$K:$K,0)),""),IF(F380="Trap",IFERROR(INDEX('Shooter-Squad Assignment'!$A:$A,MATCH(C380&amp;"-"&amp;E380&amp;"-"&amp;F380&amp;"-Pos2",'Shooter-Squad Assignment'!$W:$W,0)),""),IF(F380="Sporting Clays",IFERROR(INDEX('Shooter-Squad Assignment'!$A:$A,MATCH(C380&amp;"-"&amp;E380&amp;"-"&amp;F380&amp;"-Pos2",'Shooter-Squad Assignment'!$Z:$Z,0)),""),"")))</f>
        <v/>
      </c>
      <c r="J380" s="73" t="str">
        <f>IF(ISBLANK(I380),"",IFERROR(INDEX('Tournament List'!$D:$D,MATCH(I380,'Tournament List'!$A:$A,0)),""))</f>
        <v/>
      </c>
      <c r="K380" s="94" t="str">
        <f>IF(F380="Skeet",IFERROR(INDEX('Shooter-Squad Assignment'!$A:$A,MATCH(C380&amp;"-"&amp;E380&amp;"-"&amp;F380&amp;"-Pos3",'Shooter-Squad Assignment'!$K:$K,0)),""),IF(F380="Trap",IFERROR(INDEX('Shooter-Squad Assignment'!$A:$A,MATCH(C380&amp;"-"&amp;E380&amp;"-"&amp;F380&amp;"-Pos3",'Shooter-Squad Assignment'!$W:$W,0)),""),IF(F380="Sporting Clays",IFERROR(INDEX('Shooter-Squad Assignment'!$A:$A,MATCH(C380&amp;"-"&amp;E380&amp;"-"&amp;F380&amp;"-Pos3",'Shooter-Squad Assignment'!$Z:$Z,0)),""),"")))</f>
        <v/>
      </c>
      <c r="L380" s="73" t="str">
        <f>IF(ISBLANK(K380),"",IFERROR(INDEX('Tournament List'!$D:$D,MATCH(K380,'Tournament List'!$A:$A,0)),""))</f>
        <v/>
      </c>
      <c r="M380" s="94" t="str">
        <f>IF(F380="Skeet",IFERROR(INDEX('Shooter-Squad Assignment'!$A:$A,MATCH(C380&amp;"-"&amp;E380&amp;"-"&amp;F380&amp;"-Pos4",'Shooter-Squad Assignment'!$K:$K,0)),""),IF(F380="Trap",IFERROR(INDEX('Shooter-Squad Assignment'!$A:$A,MATCH(C380&amp;"-"&amp;E380&amp;"-"&amp;F380&amp;"-Pos4",'Shooter-Squad Assignment'!$W:$W,0)),""),IF(F380="Sporting Clays",IFERROR(INDEX('Shooter-Squad Assignment'!$A:$A,MATCH(C380&amp;"-"&amp;E380&amp;"-"&amp;F380&amp;"-Pos4",'Shooter-Squad Assignment'!$Z:$Z,0)),""),"")))</f>
        <v/>
      </c>
      <c r="N380" s="73" t="str">
        <f>IF(ISBLANK(M380),"",IFERROR(INDEX('Tournament List'!$D:$D,MATCH(M380,'Tournament List'!$A:$A,0)),""))</f>
        <v/>
      </c>
      <c r="O380" s="94" t="str">
        <f>IF(F380="Skeet",IFERROR(INDEX('Shooter-Squad Assignment'!$A:$A,MATCH(C380&amp;"-"&amp;E380&amp;"-"&amp;F380&amp;"-Pos5",'Shooter-Squad Assignment'!$K:$K,0)),""),IF(F380="Trap",IFERROR(INDEX('Shooter-Squad Assignment'!$A:$A,MATCH(C380&amp;"-"&amp;E380&amp;"-"&amp;F380&amp;"-Pos5",'Shooter-Squad Assignment'!$W:$W,0)),""),IF(F380="Sporting Clays",IFERROR(INDEX('Shooter-Squad Assignment'!$A:$A,MATCH(C380&amp;"-"&amp;E380&amp;"-"&amp;F380&amp;"-Pos5",'Shooter-Squad Assignment'!$Z:$Z,0)),""),"")))</f>
        <v/>
      </c>
      <c r="P380" s="79" t="str">
        <f>IF(ISBLANK(O380),"",IFERROR(INDEX('Tournament List'!$D:$D,MATCH(O380,'Tournament List'!$A:$A,0)),""))</f>
        <v/>
      </c>
    </row>
    <row r="381" spans="1:16" x14ac:dyDescent="0.3">
      <c r="A381" s="78">
        <v>380</v>
      </c>
      <c r="B381" s="73" t="str">
        <f>C381&amp;"-"&amp;E381&amp;"-"&amp;F381</f>
        <v>-Varsity 3-Sporting Clays</v>
      </c>
      <c r="C381" s="73"/>
      <c r="D381" s="73" t="str">
        <f>INDEX('Tournament Setup'!$B$59:$B$78,MATCH(E381,SquadConcurrents,0))</f>
        <v>Varsity</v>
      </c>
      <c r="E381" s="73" t="s">
        <v>352</v>
      </c>
      <c r="F381" s="73" t="s">
        <v>148</v>
      </c>
      <c r="G381" s="94" t="str">
        <f>IF(F381="Skeet",IFERROR(INDEX('Shooter-Squad Assignment'!$A:$A,MATCH(C381&amp;"-"&amp;E381&amp;"-"&amp;F381&amp;"-Pos1",'Shooter-Squad Assignment'!$K:$K,0)),""),IF(F381="Trap",IFERROR(INDEX('Shooter-Squad Assignment'!$A:$A,MATCH(C381&amp;"-"&amp;E381&amp;"-"&amp;F381&amp;"-Pos1",'Shooter-Squad Assignment'!$W:$W,0)),""),IF(F381="Sporting Clays",IFERROR(INDEX('Shooter-Squad Assignment'!$A:$A,MATCH(C381&amp;"-"&amp;E381&amp;"-"&amp;F381&amp;"-Pos1",'Shooter-Squad Assignment'!$Z:$Z,0)),""),"")))</f>
        <v/>
      </c>
      <c r="H381" s="73" t="str">
        <f>IF(ISBLANK(G381),"",IFERROR(INDEX('Tournament List'!$D:$D,MATCH(G381,'Tournament List'!$A:$A,0)),""))</f>
        <v/>
      </c>
      <c r="I381" s="94" t="str">
        <f>IF(F381="Skeet",IFERROR(INDEX('Shooter-Squad Assignment'!$A:$A,MATCH(C381&amp;"-"&amp;E381&amp;"-"&amp;F381&amp;"-Pos2",'Shooter-Squad Assignment'!$K:$K,0)),""),IF(F381="Trap",IFERROR(INDEX('Shooter-Squad Assignment'!$A:$A,MATCH(C381&amp;"-"&amp;E381&amp;"-"&amp;F381&amp;"-Pos2",'Shooter-Squad Assignment'!$W:$W,0)),""),IF(F381="Sporting Clays",IFERROR(INDEX('Shooter-Squad Assignment'!$A:$A,MATCH(C381&amp;"-"&amp;E381&amp;"-"&amp;F381&amp;"-Pos2",'Shooter-Squad Assignment'!$Z:$Z,0)),""),"")))</f>
        <v/>
      </c>
      <c r="J381" s="73" t="str">
        <f>IF(ISBLANK(I381),"",IFERROR(INDEX('Tournament List'!$D:$D,MATCH(I381,'Tournament List'!$A:$A,0)),""))</f>
        <v/>
      </c>
      <c r="K381" s="94" t="str">
        <f>IF(F381="Skeet",IFERROR(INDEX('Shooter-Squad Assignment'!$A:$A,MATCH(C381&amp;"-"&amp;E381&amp;"-"&amp;F381&amp;"-Pos3",'Shooter-Squad Assignment'!$K:$K,0)),""),IF(F381="Trap",IFERROR(INDEX('Shooter-Squad Assignment'!$A:$A,MATCH(C381&amp;"-"&amp;E381&amp;"-"&amp;F381&amp;"-Pos3",'Shooter-Squad Assignment'!$W:$W,0)),""),IF(F381="Sporting Clays",IFERROR(INDEX('Shooter-Squad Assignment'!$A:$A,MATCH(C381&amp;"-"&amp;E381&amp;"-"&amp;F381&amp;"-Pos3",'Shooter-Squad Assignment'!$Z:$Z,0)),""),"")))</f>
        <v/>
      </c>
      <c r="L381" s="73" t="str">
        <f>IF(ISBLANK(K381),"",IFERROR(INDEX('Tournament List'!$D:$D,MATCH(K381,'Tournament List'!$A:$A,0)),""))</f>
        <v/>
      </c>
      <c r="M381" s="94" t="str">
        <f>IF(F381="Skeet",IFERROR(INDEX('Shooter-Squad Assignment'!$A:$A,MATCH(C381&amp;"-"&amp;E381&amp;"-"&amp;F381&amp;"-Pos4",'Shooter-Squad Assignment'!$K:$K,0)),""),IF(F381="Trap",IFERROR(INDEX('Shooter-Squad Assignment'!$A:$A,MATCH(C381&amp;"-"&amp;E381&amp;"-"&amp;F381&amp;"-Pos4",'Shooter-Squad Assignment'!$W:$W,0)),""),IF(F381="Sporting Clays",IFERROR(INDEX('Shooter-Squad Assignment'!$A:$A,MATCH(C381&amp;"-"&amp;E381&amp;"-"&amp;F381&amp;"-Pos4",'Shooter-Squad Assignment'!$Z:$Z,0)),""),"")))</f>
        <v/>
      </c>
      <c r="N381" s="73" t="str">
        <f>IF(ISBLANK(M381),"",IFERROR(INDEX('Tournament List'!$D:$D,MATCH(M381,'Tournament List'!$A:$A,0)),""))</f>
        <v/>
      </c>
      <c r="O381" s="94" t="str">
        <f>IF(F381="Skeet",IFERROR(INDEX('Shooter-Squad Assignment'!$A:$A,MATCH(C381&amp;"-"&amp;E381&amp;"-"&amp;F381&amp;"-Pos5",'Shooter-Squad Assignment'!$K:$K,0)),""),IF(F381="Trap",IFERROR(INDEX('Shooter-Squad Assignment'!$A:$A,MATCH(C381&amp;"-"&amp;E381&amp;"-"&amp;F381&amp;"-Pos5",'Shooter-Squad Assignment'!$W:$W,0)),""),IF(F381="Sporting Clays",IFERROR(INDEX('Shooter-Squad Assignment'!$A:$A,MATCH(C381&amp;"-"&amp;E381&amp;"-"&amp;F381&amp;"-Pos5",'Shooter-Squad Assignment'!$Z:$Z,0)),""),"")))</f>
        <v/>
      </c>
      <c r="P381" s="79" t="str">
        <f>IF(ISBLANK(O381),"",IFERROR(INDEX('Tournament List'!$D:$D,MATCH(O381,'Tournament List'!$A:$A,0)),""))</f>
        <v/>
      </c>
    </row>
    <row r="382" spans="1:16" x14ac:dyDescent="0.3">
      <c r="A382" s="78">
        <v>381</v>
      </c>
      <c r="B382" s="73" t="str">
        <f>C382&amp;"-"&amp;E382&amp;"-"&amp;F382</f>
        <v>-Collegiate 1-Trap</v>
      </c>
      <c r="C382" s="73"/>
      <c r="D382" s="73" t="str">
        <f>INDEX('Tournament Setup'!$B$59:$B$78,MATCH(E382,SquadConcurrents,0))</f>
        <v>Collegiate</v>
      </c>
      <c r="E382" s="73" t="s">
        <v>342</v>
      </c>
      <c r="F382" s="73" t="s">
        <v>147</v>
      </c>
      <c r="G382" s="94" t="str">
        <f>IF(F382="Skeet",IFERROR(INDEX('Shooter-Squad Assignment'!$A:$A,MATCH(C382&amp;"-"&amp;E382&amp;"-"&amp;F382&amp;"-Pos1",'Shooter-Squad Assignment'!$K:$K,0)),""),IF(F382="Trap",IFERROR(INDEX('Shooter-Squad Assignment'!$A:$A,MATCH(C382&amp;"-"&amp;E382&amp;"-"&amp;F382&amp;"-Pos1",'Shooter-Squad Assignment'!$W:$W,0)),""),IF(F382="Sporting Clays",IFERROR(INDEX('Shooter-Squad Assignment'!$A:$A,MATCH(C382&amp;"-"&amp;E382&amp;"-"&amp;F382&amp;"-Pos1",'Shooter-Squad Assignment'!$Z:$Z,0)),""),"")))</f>
        <v/>
      </c>
      <c r="H382" s="73" t="str">
        <f>IF(ISBLANK(G382),"",IFERROR(INDEX('Tournament List'!$D:$D,MATCH(G382,'Tournament List'!$A:$A,0)),""))</f>
        <v/>
      </c>
      <c r="I382" s="94" t="str">
        <f>IF(F382="Skeet",IFERROR(INDEX('Shooter-Squad Assignment'!$A:$A,MATCH(C382&amp;"-"&amp;E382&amp;"-"&amp;F382&amp;"-Pos2",'Shooter-Squad Assignment'!$K:$K,0)),""),IF(F382="Trap",IFERROR(INDEX('Shooter-Squad Assignment'!$A:$A,MATCH(C382&amp;"-"&amp;E382&amp;"-"&amp;F382&amp;"-Pos2",'Shooter-Squad Assignment'!$W:$W,0)),""),IF(F382="Sporting Clays",IFERROR(INDEX('Shooter-Squad Assignment'!$A:$A,MATCH(C382&amp;"-"&amp;E382&amp;"-"&amp;F382&amp;"-Pos2",'Shooter-Squad Assignment'!$Z:$Z,0)),""),"")))</f>
        <v/>
      </c>
      <c r="J382" s="73" t="str">
        <f>IF(ISBLANK(I382),"",IFERROR(INDEX('Tournament List'!$D:$D,MATCH(I382,'Tournament List'!$A:$A,0)),""))</f>
        <v/>
      </c>
      <c r="K382" s="94" t="str">
        <f>IF(F382="Skeet",IFERROR(INDEX('Shooter-Squad Assignment'!$A:$A,MATCH(C382&amp;"-"&amp;E382&amp;"-"&amp;F382&amp;"-Pos3",'Shooter-Squad Assignment'!$K:$K,0)),""),IF(F382="Trap",IFERROR(INDEX('Shooter-Squad Assignment'!$A:$A,MATCH(C382&amp;"-"&amp;E382&amp;"-"&amp;F382&amp;"-Pos3",'Shooter-Squad Assignment'!$W:$W,0)),""),IF(F382="Sporting Clays",IFERROR(INDEX('Shooter-Squad Assignment'!$A:$A,MATCH(C382&amp;"-"&amp;E382&amp;"-"&amp;F382&amp;"-Pos3",'Shooter-Squad Assignment'!$Z:$Z,0)),""),"")))</f>
        <v/>
      </c>
      <c r="L382" s="73" t="str">
        <f>IF(ISBLANK(K382),"",IFERROR(INDEX('Tournament List'!$D:$D,MATCH(K382,'Tournament List'!$A:$A,0)),""))</f>
        <v/>
      </c>
      <c r="M382" s="94" t="str">
        <f>IF(F382="Skeet",IFERROR(INDEX('Shooter-Squad Assignment'!$A:$A,MATCH(C382&amp;"-"&amp;E382&amp;"-"&amp;F382&amp;"-Pos4",'Shooter-Squad Assignment'!$K:$K,0)),""),IF(F382="Trap",IFERROR(INDEX('Shooter-Squad Assignment'!$A:$A,MATCH(C382&amp;"-"&amp;E382&amp;"-"&amp;F382&amp;"-Pos4",'Shooter-Squad Assignment'!$W:$W,0)),""),IF(F382="Sporting Clays",IFERROR(INDEX('Shooter-Squad Assignment'!$A:$A,MATCH(C382&amp;"-"&amp;E382&amp;"-"&amp;F382&amp;"-Pos4",'Shooter-Squad Assignment'!$Z:$Z,0)),""),"")))</f>
        <v/>
      </c>
      <c r="N382" s="73" t="str">
        <f>IF(ISBLANK(M382),"",IFERROR(INDEX('Tournament List'!$D:$D,MATCH(M382,'Tournament List'!$A:$A,0)),""))</f>
        <v/>
      </c>
      <c r="O382" s="94" t="str">
        <f>IF(F382="Skeet",IFERROR(INDEX('Shooter-Squad Assignment'!$A:$A,MATCH(C382&amp;"-"&amp;E382&amp;"-"&amp;F382&amp;"-Pos5",'Shooter-Squad Assignment'!$K:$K,0)),""),IF(F382="Trap",IFERROR(INDEX('Shooter-Squad Assignment'!$A:$A,MATCH(C382&amp;"-"&amp;E382&amp;"-"&amp;F382&amp;"-Pos5",'Shooter-Squad Assignment'!$W:$W,0)),""),IF(F382="Sporting Clays",IFERROR(INDEX('Shooter-Squad Assignment'!$A:$A,MATCH(C382&amp;"-"&amp;E382&amp;"-"&amp;F382&amp;"-Pos5",'Shooter-Squad Assignment'!$Z:$Z,0)),""),"")))</f>
        <v/>
      </c>
      <c r="P382" s="79" t="str">
        <f>IF(ISBLANK(O382),"",IFERROR(INDEX('Tournament List'!$D:$D,MATCH(O382,'Tournament List'!$A:$A,0)),""))</f>
        <v/>
      </c>
    </row>
    <row r="383" spans="1:16" x14ac:dyDescent="0.3">
      <c r="A383" s="78">
        <v>382</v>
      </c>
      <c r="B383" s="73" t="str">
        <f>C383&amp;"-"&amp;E383&amp;"-"&amp;F383</f>
        <v>-Collegiate 2-Trap</v>
      </c>
      <c r="C383" s="73"/>
      <c r="D383" s="73" t="str">
        <f>INDEX('Tournament Setup'!$B$59:$B$78,MATCH(E383,SquadConcurrents,0))</f>
        <v>Collegiate</v>
      </c>
      <c r="E383" s="73" t="s">
        <v>348</v>
      </c>
      <c r="F383" s="73" t="s">
        <v>147</v>
      </c>
      <c r="G383" s="94" t="str">
        <f>IF(F383="Skeet",IFERROR(INDEX('Shooter-Squad Assignment'!$A:$A,MATCH(C383&amp;"-"&amp;E383&amp;"-"&amp;F383&amp;"-Pos1",'Shooter-Squad Assignment'!$K:$K,0)),""),IF(F383="Trap",IFERROR(INDEX('Shooter-Squad Assignment'!$A:$A,MATCH(C383&amp;"-"&amp;E383&amp;"-"&amp;F383&amp;"-Pos1",'Shooter-Squad Assignment'!$W:$W,0)),""),IF(F383="Sporting Clays",IFERROR(INDEX('Shooter-Squad Assignment'!$A:$A,MATCH(C383&amp;"-"&amp;E383&amp;"-"&amp;F383&amp;"-Pos1",'Shooter-Squad Assignment'!$Z:$Z,0)),""),"")))</f>
        <v/>
      </c>
      <c r="H383" s="73" t="str">
        <f>IF(ISBLANK(G383),"",IFERROR(INDEX('Tournament List'!$D:$D,MATCH(G383,'Tournament List'!$A:$A,0)),""))</f>
        <v/>
      </c>
      <c r="I383" s="94" t="str">
        <f>IF(F383="Skeet",IFERROR(INDEX('Shooter-Squad Assignment'!$A:$A,MATCH(C383&amp;"-"&amp;E383&amp;"-"&amp;F383&amp;"-Pos2",'Shooter-Squad Assignment'!$K:$K,0)),""),IF(F383="Trap",IFERROR(INDEX('Shooter-Squad Assignment'!$A:$A,MATCH(C383&amp;"-"&amp;E383&amp;"-"&amp;F383&amp;"-Pos2",'Shooter-Squad Assignment'!$W:$W,0)),""),IF(F383="Sporting Clays",IFERROR(INDEX('Shooter-Squad Assignment'!$A:$A,MATCH(C383&amp;"-"&amp;E383&amp;"-"&amp;F383&amp;"-Pos2",'Shooter-Squad Assignment'!$Z:$Z,0)),""),"")))</f>
        <v/>
      </c>
      <c r="J383" s="73" t="str">
        <f>IF(ISBLANK(I383),"",IFERROR(INDEX('Tournament List'!$D:$D,MATCH(I383,'Tournament List'!$A:$A,0)),""))</f>
        <v/>
      </c>
      <c r="K383" s="94" t="str">
        <f>IF(F383="Skeet",IFERROR(INDEX('Shooter-Squad Assignment'!$A:$A,MATCH(C383&amp;"-"&amp;E383&amp;"-"&amp;F383&amp;"-Pos3",'Shooter-Squad Assignment'!$K:$K,0)),""),IF(F383="Trap",IFERROR(INDEX('Shooter-Squad Assignment'!$A:$A,MATCH(C383&amp;"-"&amp;E383&amp;"-"&amp;F383&amp;"-Pos3",'Shooter-Squad Assignment'!$W:$W,0)),""),IF(F383="Sporting Clays",IFERROR(INDEX('Shooter-Squad Assignment'!$A:$A,MATCH(C383&amp;"-"&amp;E383&amp;"-"&amp;F383&amp;"-Pos3",'Shooter-Squad Assignment'!$Z:$Z,0)),""),"")))</f>
        <v/>
      </c>
      <c r="L383" s="73" t="str">
        <f>IF(ISBLANK(K383),"",IFERROR(INDEX('Tournament List'!$D:$D,MATCH(K383,'Tournament List'!$A:$A,0)),""))</f>
        <v/>
      </c>
      <c r="M383" s="94" t="str">
        <f>IF(F383="Skeet",IFERROR(INDEX('Shooter-Squad Assignment'!$A:$A,MATCH(C383&amp;"-"&amp;E383&amp;"-"&amp;F383&amp;"-Pos4",'Shooter-Squad Assignment'!$K:$K,0)),""),IF(F383="Trap",IFERROR(INDEX('Shooter-Squad Assignment'!$A:$A,MATCH(C383&amp;"-"&amp;E383&amp;"-"&amp;F383&amp;"-Pos4",'Shooter-Squad Assignment'!$W:$W,0)),""),IF(F383="Sporting Clays",IFERROR(INDEX('Shooter-Squad Assignment'!$A:$A,MATCH(C383&amp;"-"&amp;E383&amp;"-"&amp;F383&amp;"-Pos4",'Shooter-Squad Assignment'!$Z:$Z,0)),""),"")))</f>
        <v/>
      </c>
      <c r="N383" s="73" t="str">
        <f>IF(ISBLANK(M383),"",IFERROR(INDEX('Tournament List'!$D:$D,MATCH(M383,'Tournament List'!$A:$A,0)),""))</f>
        <v/>
      </c>
      <c r="O383" s="94" t="str">
        <f>IF(F383="Skeet",IFERROR(INDEX('Shooter-Squad Assignment'!$A:$A,MATCH(C383&amp;"-"&amp;E383&amp;"-"&amp;F383&amp;"-Pos5",'Shooter-Squad Assignment'!$K:$K,0)),""),IF(F383="Trap",IFERROR(INDEX('Shooter-Squad Assignment'!$A:$A,MATCH(C383&amp;"-"&amp;E383&amp;"-"&amp;F383&amp;"-Pos5",'Shooter-Squad Assignment'!$W:$W,0)),""),IF(F383="Sporting Clays",IFERROR(INDEX('Shooter-Squad Assignment'!$A:$A,MATCH(C383&amp;"-"&amp;E383&amp;"-"&amp;F383&amp;"-Pos5",'Shooter-Squad Assignment'!$Z:$Z,0)),""),"")))</f>
        <v/>
      </c>
      <c r="P383" s="79" t="str">
        <f>IF(ISBLANK(O383),"",IFERROR(INDEX('Tournament List'!$D:$D,MATCH(O383,'Tournament List'!$A:$A,0)),""))</f>
        <v/>
      </c>
    </row>
    <row r="384" spans="1:16" x14ac:dyDescent="0.3">
      <c r="A384" s="78">
        <v>383</v>
      </c>
      <c r="B384" s="73" t="str">
        <f>C384&amp;"-"&amp;E384&amp;"-"&amp;F384</f>
        <v>-Collegiate 3-Trap</v>
      </c>
      <c r="C384" s="73"/>
      <c r="D384" s="73" t="str">
        <f>INDEX('Tournament Setup'!$B$59:$B$78,MATCH(E384,SquadConcurrents,0))</f>
        <v>Collegiate</v>
      </c>
      <c r="E384" s="73" t="s">
        <v>354</v>
      </c>
      <c r="F384" s="73" t="s">
        <v>147</v>
      </c>
      <c r="G384" s="94" t="str">
        <f>IF(F384="Skeet",IFERROR(INDEX('Shooter-Squad Assignment'!$A:$A,MATCH(C384&amp;"-"&amp;E384&amp;"-"&amp;F384&amp;"-Pos1",'Shooter-Squad Assignment'!$K:$K,0)),""),IF(F384="Trap",IFERROR(INDEX('Shooter-Squad Assignment'!$A:$A,MATCH(C384&amp;"-"&amp;E384&amp;"-"&amp;F384&amp;"-Pos1",'Shooter-Squad Assignment'!$W:$W,0)),""),IF(F384="Sporting Clays",IFERROR(INDEX('Shooter-Squad Assignment'!$A:$A,MATCH(C384&amp;"-"&amp;E384&amp;"-"&amp;F384&amp;"-Pos1",'Shooter-Squad Assignment'!$Z:$Z,0)),""),"")))</f>
        <v/>
      </c>
      <c r="H384" s="73" t="str">
        <f>IF(ISBLANK(G384),"",IFERROR(INDEX('Tournament List'!$D:$D,MATCH(G384,'Tournament List'!$A:$A,0)),""))</f>
        <v/>
      </c>
      <c r="I384" s="94" t="str">
        <f>IF(F384="Skeet",IFERROR(INDEX('Shooter-Squad Assignment'!$A:$A,MATCH(C384&amp;"-"&amp;E384&amp;"-"&amp;F384&amp;"-Pos2",'Shooter-Squad Assignment'!$K:$K,0)),""),IF(F384="Trap",IFERROR(INDEX('Shooter-Squad Assignment'!$A:$A,MATCH(C384&amp;"-"&amp;E384&amp;"-"&amp;F384&amp;"-Pos2",'Shooter-Squad Assignment'!$W:$W,0)),""),IF(F384="Sporting Clays",IFERROR(INDEX('Shooter-Squad Assignment'!$A:$A,MATCH(C384&amp;"-"&amp;E384&amp;"-"&amp;F384&amp;"-Pos2",'Shooter-Squad Assignment'!$Z:$Z,0)),""),"")))</f>
        <v/>
      </c>
      <c r="J384" s="73" t="str">
        <f>IF(ISBLANK(I384),"",IFERROR(INDEX('Tournament List'!$D:$D,MATCH(I384,'Tournament List'!$A:$A,0)),""))</f>
        <v/>
      </c>
      <c r="K384" s="94" t="str">
        <f>IF(F384="Skeet",IFERROR(INDEX('Shooter-Squad Assignment'!$A:$A,MATCH(C384&amp;"-"&amp;E384&amp;"-"&amp;F384&amp;"-Pos3",'Shooter-Squad Assignment'!$K:$K,0)),""),IF(F384="Trap",IFERROR(INDEX('Shooter-Squad Assignment'!$A:$A,MATCH(C384&amp;"-"&amp;E384&amp;"-"&amp;F384&amp;"-Pos3",'Shooter-Squad Assignment'!$W:$W,0)),""),IF(F384="Sporting Clays",IFERROR(INDEX('Shooter-Squad Assignment'!$A:$A,MATCH(C384&amp;"-"&amp;E384&amp;"-"&amp;F384&amp;"-Pos3",'Shooter-Squad Assignment'!$Z:$Z,0)),""),"")))</f>
        <v/>
      </c>
      <c r="L384" s="73" t="str">
        <f>IF(ISBLANK(K384),"",IFERROR(INDEX('Tournament List'!$D:$D,MATCH(K384,'Tournament List'!$A:$A,0)),""))</f>
        <v/>
      </c>
      <c r="M384" s="94" t="str">
        <f>IF(F384="Skeet",IFERROR(INDEX('Shooter-Squad Assignment'!$A:$A,MATCH(C384&amp;"-"&amp;E384&amp;"-"&amp;F384&amp;"-Pos4",'Shooter-Squad Assignment'!$K:$K,0)),""),IF(F384="Trap",IFERROR(INDEX('Shooter-Squad Assignment'!$A:$A,MATCH(C384&amp;"-"&amp;E384&amp;"-"&amp;F384&amp;"-Pos4",'Shooter-Squad Assignment'!$W:$W,0)),""),IF(F384="Sporting Clays",IFERROR(INDEX('Shooter-Squad Assignment'!$A:$A,MATCH(C384&amp;"-"&amp;E384&amp;"-"&amp;F384&amp;"-Pos4",'Shooter-Squad Assignment'!$Z:$Z,0)),""),"")))</f>
        <v/>
      </c>
      <c r="N384" s="73" t="str">
        <f>IF(ISBLANK(M384),"",IFERROR(INDEX('Tournament List'!$D:$D,MATCH(M384,'Tournament List'!$A:$A,0)),""))</f>
        <v/>
      </c>
      <c r="O384" s="94" t="str">
        <f>IF(F384="Skeet",IFERROR(INDEX('Shooter-Squad Assignment'!$A:$A,MATCH(C384&amp;"-"&amp;E384&amp;"-"&amp;F384&amp;"-Pos5",'Shooter-Squad Assignment'!$K:$K,0)),""),IF(F384="Trap",IFERROR(INDEX('Shooter-Squad Assignment'!$A:$A,MATCH(C384&amp;"-"&amp;E384&amp;"-"&amp;F384&amp;"-Pos5",'Shooter-Squad Assignment'!$W:$W,0)),""),IF(F384="Sporting Clays",IFERROR(INDEX('Shooter-Squad Assignment'!$A:$A,MATCH(C384&amp;"-"&amp;E384&amp;"-"&amp;F384&amp;"-Pos5",'Shooter-Squad Assignment'!$Z:$Z,0)),""),"")))</f>
        <v/>
      </c>
      <c r="P384" s="79" t="str">
        <f>IF(ISBLANK(O384),"",IFERROR(INDEX('Tournament List'!$D:$D,MATCH(O384,'Tournament List'!$A:$A,0)),""))</f>
        <v/>
      </c>
    </row>
    <row r="385" spans="1:16" x14ac:dyDescent="0.3">
      <c r="A385" s="78">
        <v>384</v>
      </c>
      <c r="B385" s="73" t="str">
        <f>C385&amp;"-"&amp;E385&amp;"-"&amp;F385</f>
        <v>-Intermediate 1-Trap</v>
      </c>
      <c r="C385" s="73"/>
      <c r="D385" s="73" t="str">
        <f>INDEX('Tournament Setup'!$B$59:$B$78,MATCH(E385,SquadConcurrents,0))</f>
        <v>Intermediate</v>
      </c>
      <c r="E385" s="73" t="s">
        <v>338</v>
      </c>
      <c r="F385" s="73" t="s">
        <v>147</v>
      </c>
      <c r="G385" s="94" t="str">
        <f>IF(F385="Skeet",IFERROR(INDEX('Shooter-Squad Assignment'!$A:$A,MATCH(C385&amp;"-"&amp;E385&amp;"-"&amp;F385&amp;"-Pos1",'Shooter-Squad Assignment'!$K:$K,0)),""),IF(F385="Trap",IFERROR(INDEX('Shooter-Squad Assignment'!$A:$A,MATCH(C385&amp;"-"&amp;E385&amp;"-"&amp;F385&amp;"-Pos1",'Shooter-Squad Assignment'!$W:$W,0)),""),IF(F385="Sporting Clays",IFERROR(INDEX('Shooter-Squad Assignment'!$A:$A,MATCH(C385&amp;"-"&amp;E385&amp;"-"&amp;F385&amp;"-Pos1",'Shooter-Squad Assignment'!$Z:$Z,0)),""),"")))</f>
        <v/>
      </c>
      <c r="H385" s="73" t="str">
        <f>IF(ISBLANK(G385),"",IFERROR(INDEX('Tournament List'!$D:$D,MATCH(G385,'Tournament List'!$A:$A,0)),""))</f>
        <v/>
      </c>
      <c r="I385" s="94" t="str">
        <f>IF(F385="Skeet",IFERROR(INDEX('Shooter-Squad Assignment'!$A:$A,MATCH(C385&amp;"-"&amp;E385&amp;"-"&amp;F385&amp;"-Pos2",'Shooter-Squad Assignment'!$K:$K,0)),""),IF(F385="Trap",IFERROR(INDEX('Shooter-Squad Assignment'!$A:$A,MATCH(C385&amp;"-"&amp;E385&amp;"-"&amp;F385&amp;"-Pos2",'Shooter-Squad Assignment'!$W:$W,0)),""),IF(F385="Sporting Clays",IFERROR(INDEX('Shooter-Squad Assignment'!$A:$A,MATCH(C385&amp;"-"&amp;E385&amp;"-"&amp;F385&amp;"-Pos2",'Shooter-Squad Assignment'!$Z:$Z,0)),""),"")))</f>
        <v/>
      </c>
      <c r="J385" s="73" t="str">
        <f>IF(ISBLANK(I385),"",IFERROR(INDEX('Tournament List'!$D:$D,MATCH(I385,'Tournament List'!$A:$A,0)),""))</f>
        <v/>
      </c>
      <c r="K385" s="94" t="str">
        <f>IF(F385="Skeet",IFERROR(INDEX('Shooter-Squad Assignment'!$A:$A,MATCH(C385&amp;"-"&amp;E385&amp;"-"&amp;F385&amp;"-Pos3",'Shooter-Squad Assignment'!$K:$K,0)),""),IF(F385="Trap",IFERROR(INDEX('Shooter-Squad Assignment'!$A:$A,MATCH(C385&amp;"-"&amp;E385&amp;"-"&amp;F385&amp;"-Pos3",'Shooter-Squad Assignment'!$W:$W,0)),""),IF(F385="Sporting Clays",IFERROR(INDEX('Shooter-Squad Assignment'!$A:$A,MATCH(C385&amp;"-"&amp;E385&amp;"-"&amp;F385&amp;"-Pos3",'Shooter-Squad Assignment'!$Z:$Z,0)),""),"")))</f>
        <v/>
      </c>
      <c r="L385" s="73" t="str">
        <f>IF(ISBLANK(K385),"",IFERROR(INDEX('Tournament List'!$D:$D,MATCH(K385,'Tournament List'!$A:$A,0)),""))</f>
        <v/>
      </c>
      <c r="M385" s="94" t="str">
        <f>IF(F385="Skeet",IFERROR(INDEX('Shooter-Squad Assignment'!$A:$A,MATCH(C385&amp;"-"&amp;E385&amp;"-"&amp;F385&amp;"-Pos4",'Shooter-Squad Assignment'!$K:$K,0)),""),IF(F385="Trap",IFERROR(INDEX('Shooter-Squad Assignment'!$A:$A,MATCH(C385&amp;"-"&amp;E385&amp;"-"&amp;F385&amp;"-Pos4",'Shooter-Squad Assignment'!$W:$W,0)),""),IF(F385="Sporting Clays",IFERROR(INDEX('Shooter-Squad Assignment'!$A:$A,MATCH(C385&amp;"-"&amp;E385&amp;"-"&amp;F385&amp;"-Pos4",'Shooter-Squad Assignment'!$Z:$Z,0)),""),"")))</f>
        <v/>
      </c>
      <c r="N385" s="73" t="str">
        <f>IF(ISBLANK(M385),"",IFERROR(INDEX('Tournament List'!$D:$D,MATCH(M385,'Tournament List'!$A:$A,0)),""))</f>
        <v/>
      </c>
      <c r="O385" s="94" t="str">
        <f>IF(F385="Skeet",IFERROR(INDEX('Shooter-Squad Assignment'!$A:$A,MATCH(C385&amp;"-"&amp;E385&amp;"-"&amp;F385&amp;"-Pos5",'Shooter-Squad Assignment'!$K:$K,0)),""),IF(F385="Trap",IFERROR(INDEX('Shooter-Squad Assignment'!$A:$A,MATCH(C385&amp;"-"&amp;E385&amp;"-"&amp;F385&amp;"-Pos5",'Shooter-Squad Assignment'!$W:$W,0)),""),IF(F385="Sporting Clays",IFERROR(INDEX('Shooter-Squad Assignment'!$A:$A,MATCH(C385&amp;"-"&amp;E385&amp;"-"&amp;F385&amp;"-Pos5",'Shooter-Squad Assignment'!$Z:$Z,0)),""),"")))</f>
        <v/>
      </c>
      <c r="P385" s="79" t="str">
        <f>IF(ISBLANK(O385),"",IFERROR(INDEX('Tournament List'!$D:$D,MATCH(O385,'Tournament List'!$A:$A,0)),""))</f>
        <v/>
      </c>
    </row>
    <row r="386" spans="1:16" x14ac:dyDescent="0.3">
      <c r="A386" s="78">
        <v>385</v>
      </c>
      <c r="B386" s="73" t="str">
        <f>C386&amp;"-"&amp;E386&amp;"-"&amp;F386</f>
        <v>-Intermediate 2-Trap</v>
      </c>
      <c r="C386" s="73"/>
      <c r="D386" s="73" t="str">
        <f>INDEX('Tournament Setup'!$B$59:$B$78,MATCH(E386,SquadConcurrents,0))</f>
        <v>Intermediate</v>
      </c>
      <c r="E386" s="73" t="s">
        <v>344</v>
      </c>
      <c r="F386" s="73" t="s">
        <v>147</v>
      </c>
      <c r="G386" s="94" t="str">
        <f>IF(F386="Skeet",IFERROR(INDEX('Shooter-Squad Assignment'!$A:$A,MATCH(C386&amp;"-"&amp;E386&amp;"-"&amp;F386&amp;"-Pos1",'Shooter-Squad Assignment'!$K:$K,0)),""),IF(F386="Trap",IFERROR(INDEX('Shooter-Squad Assignment'!$A:$A,MATCH(C386&amp;"-"&amp;E386&amp;"-"&amp;F386&amp;"-Pos1",'Shooter-Squad Assignment'!$W:$W,0)),""),IF(F386="Sporting Clays",IFERROR(INDEX('Shooter-Squad Assignment'!$A:$A,MATCH(C386&amp;"-"&amp;E386&amp;"-"&amp;F386&amp;"-Pos1",'Shooter-Squad Assignment'!$Z:$Z,0)),""),"")))</f>
        <v/>
      </c>
      <c r="H386" s="73" t="str">
        <f>IF(ISBLANK(G386),"",IFERROR(INDEX('Tournament List'!$D:$D,MATCH(G386,'Tournament List'!$A:$A,0)),""))</f>
        <v/>
      </c>
      <c r="I386" s="94" t="str">
        <f>IF(F386="Skeet",IFERROR(INDEX('Shooter-Squad Assignment'!$A:$A,MATCH(C386&amp;"-"&amp;E386&amp;"-"&amp;F386&amp;"-Pos2",'Shooter-Squad Assignment'!$K:$K,0)),""),IF(F386="Trap",IFERROR(INDEX('Shooter-Squad Assignment'!$A:$A,MATCH(C386&amp;"-"&amp;E386&amp;"-"&amp;F386&amp;"-Pos2",'Shooter-Squad Assignment'!$W:$W,0)),""),IF(F386="Sporting Clays",IFERROR(INDEX('Shooter-Squad Assignment'!$A:$A,MATCH(C386&amp;"-"&amp;E386&amp;"-"&amp;F386&amp;"-Pos2",'Shooter-Squad Assignment'!$Z:$Z,0)),""),"")))</f>
        <v/>
      </c>
      <c r="J386" s="73" t="str">
        <f>IF(ISBLANK(I386),"",IFERROR(INDEX('Tournament List'!$D:$D,MATCH(I386,'Tournament List'!$A:$A,0)),""))</f>
        <v/>
      </c>
      <c r="K386" s="94" t="str">
        <f>IF(F386="Skeet",IFERROR(INDEX('Shooter-Squad Assignment'!$A:$A,MATCH(C386&amp;"-"&amp;E386&amp;"-"&amp;F386&amp;"-Pos3",'Shooter-Squad Assignment'!$K:$K,0)),""),IF(F386="Trap",IFERROR(INDEX('Shooter-Squad Assignment'!$A:$A,MATCH(C386&amp;"-"&amp;E386&amp;"-"&amp;F386&amp;"-Pos3",'Shooter-Squad Assignment'!$W:$W,0)),""),IF(F386="Sporting Clays",IFERROR(INDEX('Shooter-Squad Assignment'!$A:$A,MATCH(C386&amp;"-"&amp;E386&amp;"-"&amp;F386&amp;"-Pos3",'Shooter-Squad Assignment'!$Z:$Z,0)),""),"")))</f>
        <v/>
      </c>
      <c r="L386" s="73" t="str">
        <f>IF(ISBLANK(K386),"",IFERROR(INDEX('Tournament List'!$D:$D,MATCH(K386,'Tournament List'!$A:$A,0)),""))</f>
        <v/>
      </c>
      <c r="M386" s="94" t="str">
        <f>IF(F386="Skeet",IFERROR(INDEX('Shooter-Squad Assignment'!$A:$A,MATCH(C386&amp;"-"&amp;E386&amp;"-"&amp;F386&amp;"-Pos4",'Shooter-Squad Assignment'!$K:$K,0)),""),IF(F386="Trap",IFERROR(INDEX('Shooter-Squad Assignment'!$A:$A,MATCH(C386&amp;"-"&amp;E386&amp;"-"&amp;F386&amp;"-Pos4",'Shooter-Squad Assignment'!$W:$W,0)),""),IF(F386="Sporting Clays",IFERROR(INDEX('Shooter-Squad Assignment'!$A:$A,MATCH(C386&amp;"-"&amp;E386&amp;"-"&amp;F386&amp;"-Pos4",'Shooter-Squad Assignment'!$Z:$Z,0)),""),"")))</f>
        <v/>
      </c>
      <c r="N386" s="73" t="str">
        <f>IF(ISBLANK(M386),"",IFERROR(INDEX('Tournament List'!$D:$D,MATCH(M386,'Tournament List'!$A:$A,0)),""))</f>
        <v/>
      </c>
      <c r="O386" s="94" t="str">
        <f>IF(F386="Skeet",IFERROR(INDEX('Shooter-Squad Assignment'!$A:$A,MATCH(C386&amp;"-"&amp;E386&amp;"-"&amp;F386&amp;"-Pos5",'Shooter-Squad Assignment'!$K:$K,0)),""),IF(F386="Trap",IFERROR(INDEX('Shooter-Squad Assignment'!$A:$A,MATCH(C386&amp;"-"&amp;E386&amp;"-"&amp;F386&amp;"-Pos5",'Shooter-Squad Assignment'!$W:$W,0)),""),IF(F386="Sporting Clays",IFERROR(INDEX('Shooter-Squad Assignment'!$A:$A,MATCH(C386&amp;"-"&amp;E386&amp;"-"&amp;F386&amp;"-Pos5",'Shooter-Squad Assignment'!$Z:$Z,0)),""),"")))</f>
        <v/>
      </c>
      <c r="P386" s="79" t="str">
        <f>IF(ISBLANK(O386),"",IFERROR(INDEX('Tournament List'!$D:$D,MATCH(O386,'Tournament List'!$A:$A,0)),""))</f>
        <v/>
      </c>
    </row>
    <row r="387" spans="1:16" x14ac:dyDescent="0.3">
      <c r="A387" s="78">
        <v>386</v>
      </c>
      <c r="B387" s="73" t="str">
        <f>C387&amp;"-"&amp;E387&amp;"-"&amp;F387</f>
        <v>-Intermediate 3-Trap</v>
      </c>
      <c r="C387" s="73"/>
      <c r="D387" s="73" t="str">
        <f>INDEX('Tournament Setup'!$B$59:$B$78,MATCH(E387,SquadConcurrents,0))</f>
        <v>Intermediate</v>
      </c>
      <c r="E387" s="73" t="s">
        <v>350</v>
      </c>
      <c r="F387" s="73" t="s">
        <v>147</v>
      </c>
      <c r="G387" s="94" t="str">
        <f>IF(F387="Skeet",IFERROR(INDEX('Shooter-Squad Assignment'!$A:$A,MATCH(C387&amp;"-"&amp;E387&amp;"-"&amp;F387&amp;"-Pos1",'Shooter-Squad Assignment'!$K:$K,0)),""),IF(F387="Trap",IFERROR(INDEX('Shooter-Squad Assignment'!$A:$A,MATCH(C387&amp;"-"&amp;E387&amp;"-"&amp;F387&amp;"-Pos1",'Shooter-Squad Assignment'!$W:$W,0)),""),IF(F387="Sporting Clays",IFERROR(INDEX('Shooter-Squad Assignment'!$A:$A,MATCH(C387&amp;"-"&amp;E387&amp;"-"&amp;F387&amp;"-Pos1",'Shooter-Squad Assignment'!$Z:$Z,0)),""),"")))</f>
        <v/>
      </c>
      <c r="H387" s="73" t="str">
        <f>IF(ISBLANK(G387),"",IFERROR(INDEX('Tournament List'!$D:$D,MATCH(G387,'Tournament List'!$A:$A,0)),""))</f>
        <v/>
      </c>
      <c r="I387" s="94" t="str">
        <f>IF(F387="Skeet",IFERROR(INDEX('Shooter-Squad Assignment'!$A:$A,MATCH(C387&amp;"-"&amp;E387&amp;"-"&amp;F387&amp;"-Pos2",'Shooter-Squad Assignment'!$K:$K,0)),""),IF(F387="Trap",IFERROR(INDEX('Shooter-Squad Assignment'!$A:$A,MATCH(C387&amp;"-"&amp;E387&amp;"-"&amp;F387&amp;"-Pos2",'Shooter-Squad Assignment'!$W:$W,0)),""),IF(F387="Sporting Clays",IFERROR(INDEX('Shooter-Squad Assignment'!$A:$A,MATCH(C387&amp;"-"&amp;E387&amp;"-"&amp;F387&amp;"-Pos2",'Shooter-Squad Assignment'!$Z:$Z,0)),""),"")))</f>
        <v/>
      </c>
      <c r="J387" s="73" t="str">
        <f>IF(ISBLANK(I387),"",IFERROR(INDEX('Tournament List'!$D:$D,MATCH(I387,'Tournament List'!$A:$A,0)),""))</f>
        <v/>
      </c>
      <c r="K387" s="94" t="str">
        <f>IF(F387="Skeet",IFERROR(INDEX('Shooter-Squad Assignment'!$A:$A,MATCH(C387&amp;"-"&amp;E387&amp;"-"&amp;F387&amp;"-Pos3",'Shooter-Squad Assignment'!$K:$K,0)),""),IF(F387="Trap",IFERROR(INDEX('Shooter-Squad Assignment'!$A:$A,MATCH(C387&amp;"-"&amp;E387&amp;"-"&amp;F387&amp;"-Pos3",'Shooter-Squad Assignment'!$W:$W,0)),""),IF(F387="Sporting Clays",IFERROR(INDEX('Shooter-Squad Assignment'!$A:$A,MATCH(C387&amp;"-"&amp;E387&amp;"-"&amp;F387&amp;"-Pos3",'Shooter-Squad Assignment'!$Z:$Z,0)),""),"")))</f>
        <v/>
      </c>
      <c r="L387" s="73" t="str">
        <f>IF(ISBLANK(K387),"",IFERROR(INDEX('Tournament List'!$D:$D,MATCH(K387,'Tournament List'!$A:$A,0)),""))</f>
        <v/>
      </c>
      <c r="M387" s="94" t="str">
        <f>IF(F387="Skeet",IFERROR(INDEX('Shooter-Squad Assignment'!$A:$A,MATCH(C387&amp;"-"&amp;E387&amp;"-"&amp;F387&amp;"-Pos4",'Shooter-Squad Assignment'!$K:$K,0)),""),IF(F387="Trap",IFERROR(INDEX('Shooter-Squad Assignment'!$A:$A,MATCH(C387&amp;"-"&amp;E387&amp;"-"&amp;F387&amp;"-Pos4",'Shooter-Squad Assignment'!$W:$W,0)),""),IF(F387="Sporting Clays",IFERROR(INDEX('Shooter-Squad Assignment'!$A:$A,MATCH(C387&amp;"-"&amp;E387&amp;"-"&amp;F387&amp;"-Pos4",'Shooter-Squad Assignment'!$Z:$Z,0)),""),"")))</f>
        <v/>
      </c>
      <c r="N387" s="73" t="str">
        <f>IF(ISBLANK(M387),"",IFERROR(INDEX('Tournament List'!$D:$D,MATCH(M387,'Tournament List'!$A:$A,0)),""))</f>
        <v/>
      </c>
      <c r="O387" s="94" t="str">
        <f>IF(F387="Skeet",IFERROR(INDEX('Shooter-Squad Assignment'!$A:$A,MATCH(C387&amp;"-"&amp;E387&amp;"-"&amp;F387&amp;"-Pos5",'Shooter-Squad Assignment'!$K:$K,0)),""),IF(F387="Trap",IFERROR(INDEX('Shooter-Squad Assignment'!$A:$A,MATCH(C387&amp;"-"&amp;E387&amp;"-"&amp;F387&amp;"-Pos5",'Shooter-Squad Assignment'!$W:$W,0)),""),IF(F387="Sporting Clays",IFERROR(INDEX('Shooter-Squad Assignment'!$A:$A,MATCH(C387&amp;"-"&amp;E387&amp;"-"&amp;F387&amp;"-Pos5",'Shooter-Squad Assignment'!$Z:$Z,0)),""),"")))</f>
        <v/>
      </c>
      <c r="P387" s="79" t="str">
        <f>IF(ISBLANK(O387),"",IFERROR(INDEX('Tournament List'!$D:$D,MATCH(O387,'Tournament List'!$A:$A,0)),""))</f>
        <v/>
      </c>
    </row>
    <row r="388" spans="1:16" x14ac:dyDescent="0.3">
      <c r="A388" s="78">
        <v>387</v>
      </c>
      <c r="B388" s="73" t="str">
        <f>C388&amp;"-"&amp;E388&amp;"-"&amp;F388</f>
        <v>-Junior Varsity 1-Trap</v>
      </c>
      <c r="C388" s="73"/>
      <c r="D388" s="73" t="str">
        <f>INDEX('Tournament Setup'!$B$59:$B$78,MATCH(E388,SquadConcurrents,0))</f>
        <v>Junior Varsity</v>
      </c>
      <c r="E388" s="73" t="s">
        <v>339</v>
      </c>
      <c r="F388" s="73" t="s">
        <v>147</v>
      </c>
      <c r="G388" s="94" t="str">
        <f>IF(F388="Skeet",IFERROR(INDEX('Shooter-Squad Assignment'!$A:$A,MATCH(C388&amp;"-"&amp;E388&amp;"-"&amp;F388&amp;"-Pos1",'Shooter-Squad Assignment'!$K:$K,0)),""),IF(F388="Trap",IFERROR(INDEX('Shooter-Squad Assignment'!$A:$A,MATCH(C388&amp;"-"&amp;E388&amp;"-"&amp;F388&amp;"-Pos1",'Shooter-Squad Assignment'!$W:$W,0)),""),IF(F388="Sporting Clays",IFERROR(INDEX('Shooter-Squad Assignment'!$A:$A,MATCH(C388&amp;"-"&amp;E388&amp;"-"&amp;F388&amp;"-Pos1",'Shooter-Squad Assignment'!$Z:$Z,0)),""),"")))</f>
        <v/>
      </c>
      <c r="H388" s="73" t="str">
        <f>IF(ISBLANK(G388),"",IFERROR(INDEX('Tournament List'!$D:$D,MATCH(G388,'Tournament List'!$A:$A,0)),""))</f>
        <v/>
      </c>
      <c r="I388" s="94" t="str">
        <f>IF(F388="Skeet",IFERROR(INDEX('Shooter-Squad Assignment'!$A:$A,MATCH(C388&amp;"-"&amp;E388&amp;"-"&amp;F388&amp;"-Pos2",'Shooter-Squad Assignment'!$K:$K,0)),""),IF(F388="Trap",IFERROR(INDEX('Shooter-Squad Assignment'!$A:$A,MATCH(C388&amp;"-"&amp;E388&amp;"-"&amp;F388&amp;"-Pos2",'Shooter-Squad Assignment'!$W:$W,0)),""),IF(F388="Sporting Clays",IFERROR(INDEX('Shooter-Squad Assignment'!$A:$A,MATCH(C388&amp;"-"&amp;E388&amp;"-"&amp;F388&amp;"-Pos2",'Shooter-Squad Assignment'!$Z:$Z,0)),""),"")))</f>
        <v/>
      </c>
      <c r="J388" s="73" t="str">
        <f>IF(ISBLANK(I388),"",IFERROR(INDEX('Tournament List'!$D:$D,MATCH(I388,'Tournament List'!$A:$A,0)),""))</f>
        <v/>
      </c>
      <c r="K388" s="94" t="str">
        <f>IF(F388="Skeet",IFERROR(INDEX('Shooter-Squad Assignment'!$A:$A,MATCH(C388&amp;"-"&amp;E388&amp;"-"&amp;F388&amp;"-Pos3",'Shooter-Squad Assignment'!$K:$K,0)),""),IF(F388="Trap",IFERROR(INDEX('Shooter-Squad Assignment'!$A:$A,MATCH(C388&amp;"-"&amp;E388&amp;"-"&amp;F388&amp;"-Pos3",'Shooter-Squad Assignment'!$W:$W,0)),""),IF(F388="Sporting Clays",IFERROR(INDEX('Shooter-Squad Assignment'!$A:$A,MATCH(C388&amp;"-"&amp;E388&amp;"-"&amp;F388&amp;"-Pos3",'Shooter-Squad Assignment'!$Z:$Z,0)),""),"")))</f>
        <v/>
      </c>
      <c r="L388" s="73" t="str">
        <f>IF(ISBLANK(K388),"",IFERROR(INDEX('Tournament List'!$D:$D,MATCH(K388,'Tournament List'!$A:$A,0)),""))</f>
        <v/>
      </c>
      <c r="M388" s="94" t="str">
        <f>IF(F388="Skeet",IFERROR(INDEX('Shooter-Squad Assignment'!$A:$A,MATCH(C388&amp;"-"&amp;E388&amp;"-"&amp;F388&amp;"-Pos4",'Shooter-Squad Assignment'!$K:$K,0)),""),IF(F388="Trap",IFERROR(INDEX('Shooter-Squad Assignment'!$A:$A,MATCH(C388&amp;"-"&amp;E388&amp;"-"&amp;F388&amp;"-Pos4",'Shooter-Squad Assignment'!$W:$W,0)),""),IF(F388="Sporting Clays",IFERROR(INDEX('Shooter-Squad Assignment'!$A:$A,MATCH(C388&amp;"-"&amp;E388&amp;"-"&amp;F388&amp;"-Pos4",'Shooter-Squad Assignment'!$Z:$Z,0)),""),"")))</f>
        <v/>
      </c>
      <c r="N388" s="73" t="str">
        <f>IF(ISBLANK(M388),"",IFERROR(INDEX('Tournament List'!$D:$D,MATCH(M388,'Tournament List'!$A:$A,0)),""))</f>
        <v/>
      </c>
      <c r="O388" s="94" t="str">
        <f>IF(F388="Skeet",IFERROR(INDEX('Shooter-Squad Assignment'!$A:$A,MATCH(C388&amp;"-"&amp;E388&amp;"-"&amp;F388&amp;"-Pos5",'Shooter-Squad Assignment'!$K:$K,0)),""),IF(F388="Trap",IFERROR(INDEX('Shooter-Squad Assignment'!$A:$A,MATCH(C388&amp;"-"&amp;E388&amp;"-"&amp;F388&amp;"-Pos5",'Shooter-Squad Assignment'!$W:$W,0)),""),IF(F388="Sporting Clays",IFERROR(INDEX('Shooter-Squad Assignment'!$A:$A,MATCH(C388&amp;"-"&amp;E388&amp;"-"&amp;F388&amp;"-Pos5",'Shooter-Squad Assignment'!$Z:$Z,0)),""),"")))</f>
        <v/>
      </c>
      <c r="P388" s="79" t="str">
        <f>IF(ISBLANK(O388),"",IFERROR(INDEX('Tournament List'!$D:$D,MATCH(O388,'Tournament List'!$A:$A,0)),""))</f>
        <v/>
      </c>
    </row>
    <row r="389" spans="1:16" x14ac:dyDescent="0.3">
      <c r="A389" s="78">
        <v>388</v>
      </c>
      <c r="B389" s="73" t="str">
        <f>C389&amp;"-"&amp;E389&amp;"-"&amp;F389</f>
        <v>-Junior Varsity 2-Trap</v>
      </c>
      <c r="C389" s="73"/>
      <c r="D389" s="73" t="str">
        <f>INDEX('Tournament Setup'!$B$59:$B$78,MATCH(E389,SquadConcurrents,0))</f>
        <v>Junior Varsity</v>
      </c>
      <c r="E389" s="73" t="s">
        <v>345</v>
      </c>
      <c r="F389" s="73" t="s">
        <v>147</v>
      </c>
      <c r="G389" s="94" t="str">
        <f>IF(F389="Skeet",IFERROR(INDEX('Shooter-Squad Assignment'!$A:$A,MATCH(C389&amp;"-"&amp;E389&amp;"-"&amp;F389&amp;"-Pos1",'Shooter-Squad Assignment'!$K:$K,0)),""),IF(F389="Trap",IFERROR(INDEX('Shooter-Squad Assignment'!$A:$A,MATCH(C389&amp;"-"&amp;E389&amp;"-"&amp;F389&amp;"-Pos1",'Shooter-Squad Assignment'!$W:$W,0)),""),IF(F389="Sporting Clays",IFERROR(INDEX('Shooter-Squad Assignment'!$A:$A,MATCH(C389&amp;"-"&amp;E389&amp;"-"&amp;F389&amp;"-Pos1",'Shooter-Squad Assignment'!$Z:$Z,0)),""),"")))</f>
        <v/>
      </c>
      <c r="H389" s="73" t="str">
        <f>IF(ISBLANK(G389),"",IFERROR(INDEX('Tournament List'!$D:$D,MATCH(G389,'Tournament List'!$A:$A,0)),""))</f>
        <v/>
      </c>
      <c r="I389" s="94" t="str">
        <f>IF(F389="Skeet",IFERROR(INDEX('Shooter-Squad Assignment'!$A:$A,MATCH(C389&amp;"-"&amp;E389&amp;"-"&amp;F389&amp;"-Pos2",'Shooter-Squad Assignment'!$K:$K,0)),""),IF(F389="Trap",IFERROR(INDEX('Shooter-Squad Assignment'!$A:$A,MATCH(C389&amp;"-"&amp;E389&amp;"-"&amp;F389&amp;"-Pos2",'Shooter-Squad Assignment'!$W:$W,0)),""),IF(F389="Sporting Clays",IFERROR(INDEX('Shooter-Squad Assignment'!$A:$A,MATCH(C389&amp;"-"&amp;E389&amp;"-"&amp;F389&amp;"-Pos2",'Shooter-Squad Assignment'!$Z:$Z,0)),""),"")))</f>
        <v/>
      </c>
      <c r="J389" s="73" t="str">
        <f>IF(ISBLANK(I389),"",IFERROR(INDEX('Tournament List'!$D:$D,MATCH(I389,'Tournament List'!$A:$A,0)),""))</f>
        <v/>
      </c>
      <c r="K389" s="94" t="str">
        <f>IF(F389="Skeet",IFERROR(INDEX('Shooter-Squad Assignment'!$A:$A,MATCH(C389&amp;"-"&amp;E389&amp;"-"&amp;F389&amp;"-Pos3",'Shooter-Squad Assignment'!$K:$K,0)),""),IF(F389="Trap",IFERROR(INDEX('Shooter-Squad Assignment'!$A:$A,MATCH(C389&amp;"-"&amp;E389&amp;"-"&amp;F389&amp;"-Pos3",'Shooter-Squad Assignment'!$W:$W,0)),""),IF(F389="Sporting Clays",IFERROR(INDEX('Shooter-Squad Assignment'!$A:$A,MATCH(C389&amp;"-"&amp;E389&amp;"-"&amp;F389&amp;"-Pos3",'Shooter-Squad Assignment'!$Z:$Z,0)),""),"")))</f>
        <v/>
      </c>
      <c r="L389" s="73" t="str">
        <f>IF(ISBLANK(K389),"",IFERROR(INDEX('Tournament List'!$D:$D,MATCH(K389,'Tournament List'!$A:$A,0)),""))</f>
        <v/>
      </c>
      <c r="M389" s="94" t="str">
        <f>IF(F389="Skeet",IFERROR(INDEX('Shooter-Squad Assignment'!$A:$A,MATCH(C389&amp;"-"&amp;E389&amp;"-"&amp;F389&amp;"-Pos4",'Shooter-Squad Assignment'!$K:$K,0)),""),IF(F389="Trap",IFERROR(INDEX('Shooter-Squad Assignment'!$A:$A,MATCH(C389&amp;"-"&amp;E389&amp;"-"&amp;F389&amp;"-Pos4",'Shooter-Squad Assignment'!$W:$W,0)),""),IF(F389="Sporting Clays",IFERROR(INDEX('Shooter-Squad Assignment'!$A:$A,MATCH(C389&amp;"-"&amp;E389&amp;"-"&amp;F389&amp;"-Pos4",'Shooter-Squad Assignment'!$Z:$Z,0)),""),"")))</f>
        <v/>
      </c>
      <c r="N389" s="73" t="str">
        <f>IF(ISBLANK(M389),"",IFERROR(INDEX('Tournament List'!$D:$D,MATCH(M389,'Tournament List'!$A:$A,0)),""))</f>
        <v/>
      </c>
      <c r="O389" s="94" t="str">
        <f>IF(F389="Skeet",IFERROR(INDEX('Shooter-Squad Assignment'!$A:$A,MATCH(C389&amp;"-"&amp;E389&amp;"-"&amp;F389&amp;"-Pos5",'Shooter-Squad Assignment'!$K:$K,0)),""),IF(F389="Trap",IFERROR(INDEX('Shooter-Squad Assignment'!$A:$A,MATCH(C389&amp;"-"&amp;E389&amp;"-"&amp;F389&amp;"-Pos5",'Shooter-Squad Assignment'!$W:$W,0)),""),IF(F389="Sporting Clays",IFERROR(INDEX('Shooter-Squad Assignment'!$A:$A,MATCH(C389&amp;"-"&amp;E389&amp;"-"&amp;F389&amp;"-Pos5",'Shooter-Squad Assignment'!$Z:$Z,0)),""),"")))</f>
        <v/>
      </c>
      <c r="P389" s="79" t="str">
        <f>IF(ISBLANK(O389),"",IFERROR(INDEX('Tournament List'!$D:$D,MATCH(O389,'Tournament List'!$A:$A,0)),""))</f>
        <v/>
      </c>
    </row>
    <row r="390" spans="1:16" x14ac:dyDescent="0.3">
      <c r="A390" s="78">
        <v>389</v>
      </c>
      <c r="B390" s="73" t="str">
        <f>C390&amp;"-"&amp;E390&amp;"-"&amp;F390</f>
        <v>-Junior Varsity 3-Trap</v>
      </c>
      <c r="C390" s="73"/>
      <c r="D390" s="73" t="str">
        <f>INDEX('Tournament Setup'!$B$59:$B$78,MATCH(E390,SquadConcurrents,0))</f>
        <v>Junior Varsity</v>
      </c>
      <c r="E390" s="73" t="s">
        <v>351</v>
      </c>
      <c r="F390" s="73" t="s">
        <v>147</v>
      </c>
      <c r="G390" s="94" t="str">
        <f>IF(F390="Skeet",IFERROR(INDEX('Shooter-Squad Assignment'!$A:$A,MATCH(C390&amp;"-"&amp;E390&amp;"-"&amp;F390&amp;"-Pos1",'Shooter-Squad Assignment'!$K:$K,0)),""),IF(F390="Trap",IFERROR(INDEX('Shooter-Squad Assignment'!$A:$A,MATCH(C390&amp;"-"&amp;E390&amp;"-"&amp;F390&amp;"-Pos1",'Shooter-Squad Assignment'!$W:$W,0)),""),IF(F390="Sporting Clays",IFERROR(INDEX('Shooter-Squad Assignment'!$A:$A,MATCH(C390&amp;"-"&amp;E390&amp;"-"&amp;F390&amp;"-Pos1",'Shooter-Squad Assignment'!$Z:$Z,0)),""),"")))</f>
        <v/>
      </c>
      <c r="H390" s="73" t="str">
        <f>IF(ISBLANK(G390),"",IFERROR(INDEX('Tournament List'!$D:$D,MATCH(G390,'Tournament List'!$A:$A,0)),""))</f>
        <v/>
      </c>
      <c r="I390" s="94" t="str">
        <f>IF(F390="Skeet",IFERROR(INDEX('Shooter-Squad Assignment'!$A:$A,MATCH(C390&amp;"-"&amp;E390&amp;"-"&amp;F390&amp;"-Pos2",'Shooter-Squad Assignment'!$K:$K,0)),""),IF(F390="Trap",IFERROR(INDEX('Shooter-Squad Assignment'!$A:$A,MATCH(C390&amp;"-"&amp;E390&amp;"-"&amp;F390&amp;"-Pos2",'Shooter-Squad Assignment'!$W:$W,0)),""),IF(F390="Sporting Clays",IFERROR(INDEX('Shooter-Squad Assignment'!$A:$A,MATCH(C390&amp;"-"&amp;E390&amp;"-"&amp;F390&amp;"-Pos2",'Shooter-Squad Assignment'!$Z:$Z,0)),""),"")))</f>
        <v/>
      </c>
      <c r="J390" s="73" t="str">
        <f>IF(ISBLANK(I390),"",IFERROR(INDEX('Tournament List'!$D:$D,MATCH(I390,'Tournament List'!$A:$A,0)),""))</f>
        <v/>
      </c>
      <c r="K390" s="94" t="str">
        <f>IF(F390="Skeet",IFERROR(INDEX('Shooter-Squad Assignment'!$A:$A,MATCH(C390&amp;"-"&amp;E390&amp;"-"&amp;F390&amp;"-Pos3",'Shooter-Squad Assignment'!$K:$K,0)),""),IF(F390="Trap",IFERROR(INDEX('Shooter-Squad Assignment'!$A:$A,MATCH(C390&amp;"-"&amp;E390&amp;"-"&amp;F390&amp;"-Pos3",'Shooter-Squad Assignment'!$W:$W,0)),""),IF(F390="Sporting Clays",IFERROR(INDEX('Shooter-Squad Assignment'!$A:$A,MATCH(C390&amp;"-"&amp;E390&amp;"-"&amp;F390&amp;"-Pos3",'Shooter-Squad Assignment'!$Z:$Z,0)),""),"")))</f>
        <v/>
      </c>
      <c r="L390" s="73" t="str">
        <f>IF(ISBLANK(K390),"",IFERROR(INDEX('Tournament List'!$D:$D,MATCH(K390,'Tournament List'!$A:$A,0)),""))</f>
        <v/>
      </c>
      <c r="M390" s="94" t="str">
        <f>IF(F390="Skeet",IFERROR(INDEX('Shooter-Squad Assignment'!$A:$A,MATCH(C390&amp;"-"&amp;E390&amp;"-"&amp;F390&amp;"-Pos4",'Shooter-Squad Assignment'!$K:$K,0)),""),IF(F390="Trap",IFERROR(INDEX('Shooter-Squad Assignment'!$A:$A,MATCH(C390&amp;"-"&amp;E390&amp;"-"&amp;F390&amp;"-Pos4",'Shooter-Squad Assignment'!$W:$W,0)),""),IF(F390="Sporting Clays",IFERROR(INDEX('Shooter-Squad Assignment'!$A:$A,MATCH(C390&amp;"-"&amp;E390&amp;"-"&amp;F390&amp;"-Pos4",'Shooter-Squad Assignment'!$Z:$Z,0)),""),"")))</f>
        <v/>
      </c>
      <c r="N390" s="73" t="str">
        <f>IF(ISBLANK(M390),"",IFERROR(INDEX('Tournament List'!$D:$D,MATCH(M390,'Tournament List'!$A:$A,0)),""))</f>
        <v/>
      </c>
      <c r="O390" s="94" t="str">
        <f>IF(F390="Skeet",IFERROR(INDEX('Shooter-Squad Assignment'!$A:$A,MATCH(C390&amp;"-"&amp;E390&amp;"-"&amp;F390&amp;"-Pos5",'Shooter-Squad Assignment'!$K:$K,0)),""),IF(F390="Trap",IFERROR(INDEX('Shooter-Squad Assignment'!$A:$A,MATCH(C390&amp;"-"&amp;E390&amp;"-"&amp;F390&amp;"-Pos5",'Shooter-Squad Assignment'!$W:$W,0)),""),IF(F390="Sporting Clays",IFERROR(INDEX('Shooter-Squad Assignment'!$A:$A,MATCH(C390&amp;"-"&amp;E390&amp;"-"&amp;F390&amp;"-Pos5",'Shooter-Squad Assignment'!$Z:$Z,0)),""),"")))</f>
        <v/>
      </c>
      <c r="P390" s="79" t="str">
        <f>IF(ISBLANK(O390),"",IFERROR(INDEX('Tournament List'!$D:$D,MATCH(O390,'Tournament List'!$A:$A,0)),""))</f>
        <v/>
      </c>
    </row>
    <row r="391" spans="1:16" x14ac:dyDescent="0.3">
      <c r="A391" s="78">
        <v>390</v>
      </c>
      <c r="B391" s="73" t="str">
        <f>C391&amp;"-"&amp;E391&amp;"-"&amp;F391</f>
        <v>-Novice 1-Trap</v>
      </c>
      <c r="C391" s="73"/>
      <c r="D391" s="73" t="str">
        <f>INDEX('Tournament Setup'!$B$59:$B$78,MATCH(E391,SquadConcurrents,0))</f>
        <v>Novice</v>
      </c>
      <c r="E391" s="73" t="s">
        <v>337</v>
      </c>
      <c r="F391" s="73" t="s">
        <v>147</v>
      </c>
      <c r="G391" s="94" t="str">
        <f>IF(F391="Skeet",IFERROR(INDEX('Shooter-Squad Assignment'!$A:$A,MATCH(C391&amp;"-"&amp;E391&amp;"-"&amp;F391&amp;"-Pos1",'Shooter-Squad Assignment'!$K:$K,0)),""),IF(F391="Trap",IFERROR(INDEX('Shooter-Squad Assignment'!$A:$A,MATCH(C391&amp;"-"&amp;E391&amp;"-"&amp;F391&amp;"-Pos1",'Shooter-Squad Assignment'!$W:$W,0)),""),IF(F391="Sporting Clays",IFERROR(INDEX('Shooter-Squad Assignment'!$A:$A,MATCH(C391&amp;"-"&amp;E391&amp;"-"&amp;F391&amp;"-Pos1",'Shooter-Squad Assignment'!$Z:$Z,0)),""),"")))</f>
        <v/>
      </c>
      <c r="H391" s="73" t="str">
        <f>IF(ISBLANK(G391),"",IFERROR(INDEX('Tournament List'!$D:$D,MATCH(G391,'Tournament List'!$A:$A,0)),""))</f>
        <v/>
      </c>
      <c r="I391" s="94" t="str">
        <f>IF(F391="Skeet",IFERROR(INDEX('Shooter-Squad Assignment'!$A:$A,MATCH(C391&amp;"-"&amp;E391&amp;"-"&amp;F391&amp;"-Pos2",'Shooter-Squad Assignment'!$K:$K,0)),""),IF(F391="Trap",IFERROR(INDEX('Shooter-Squad Assignment'!$A:$A,MATCH(C391&amp;"-"&amp;E391&amp;"-"&amp;F391&amp;"-Pos2",'Shooter-Squad Assignment'!$W:$W,0)),""),IF(F391="Sporting Clays",IFERROR(INDEX('Shooter-Squad Assignment'!$A:$A,MATCH(C391&amp;"-"&amp;E391&amp;"-"&amp;F391&amp;"-Pos2",'Shooter-Squad Assignment'!$Z:$Z,0)),""),"")))</f>
        <v/>
      </c>
      <c r="J391" s="73" t="str">
        <f>IF(ISBLANK(I391),"",IFERROR(INDEX('Tournament List'!$D:$D,MATCH(I391,'Tournament List'!$A:$A,0)),""))</f>
        <v/>
      </c>
      <c r="K391" s="94" t="str">
        <f>IF(F391="Skeet",IFERROR(INDEX('Shooter-Squad Assignment'!$A:$A,MATCH(C391&amp;"-"&amp;E391&amp;"-"&amp;F391&amp;"-Pos3",'Shooter-Squad Assignment'!$K:$K,0)),""),IF(F391="Trap",IFERROR(INDEX('Shooter-Squad Assignment'!$A:$A,MATCH(C391&amp;"-"&amp;E391&amp;"-"&amp;F391&amp;"-Pos3",'Shooter-Squad Assignment'!$W:$W,0)),""),IF(F391="Sporting Clays",IFERROR(INDEX('Shooter-Squad Assignment'!$A:$A,MATCH(C391&amp;"-"&amp;E391&amp;"-"&amp;F391&amp;"-Pos3",'Shooter-Squad Assignment'!$Z:$Z,0)),""),"")))</f>
        <v/>
      </c>
      <c r="L391" s="73" t="str">
        <f>IF(ISBLANK(K391),"",IFERROR(INDEX('Tournament List'!$D:$D,MATCH(K391,'Tournament List'!$A:$A,0)),""))</f>
        <v/>
      </c>
      <c r="M391" s="94" t="str">
        <f>IF(F391="Skeet",IFERROR(INDEX('Shooter-Squad Assignment'!$A:$A,MATCH(C391&amp;"-"&amp;E391&amp;"-"&amp;F391&amp;"-Pos4",'Shooter-Squad Assignment'!$K:$K,0)),""),IF(F391="Trap",IFERROR(INDEX('Shooter-Squad Assignment'!$A:$A,MATCH(C391&amp;"-"&amp;E391&amp;"-"&amp;F391&amp;"-Pos4",'Shooter-Squad Assignment'!$W:$W,0)),""),IF(F391="Sporting Clays",IFERROR(INDEX('Shooter-Squad Assignment'!$A:$A,MATCH(C391&amp;"-"&amp;E391&amp;"-"&amp;F391&amp;"-Pos4",'Shooter-Squad Assignment'!$Z:$Z,0)),""),"")))</f>
        <v/>
      </c>
      <c r="N391" s="73" t="str">
        <f>IF(ISBLANK(M391),"",IFERROR(INDEX('Tournament List'!$D:$D,MATCH(M391,'Tournament List'!$A:$A,0)),""))</f>
        <v/>
      </c>
      <c r="O391" s="94" t="str">
        <f>IF(F391="Skeet",IFERROR(INDEX('Shooter-Squad Assignment'!$A:$A,MATCH(C391&amp;"-"&amp;E391&amp;"-"&amp;F391&amp;"-Pos5",'Shooter-Squad Assignment'!$K:$K,0)),""),IF(F391="Trap",IFERROR(INDEX('Shooter-Squad Assignment'!$A:$A,MATCH(C391&amp;"-"&amp;E391&amp;"-"&amp;F391&amp;"-Pos5",'Shooter-Squad Assignment'!$W:$W,0)),""),IF(F391="Sporting Clays",IFERROR(INDEX('Shooter-Squad Assignment'!$A:$A,MATCH(C391&amp;"-"&amp;E391&amp;"-"&amp;F391&amp;"-Pos5",'Shooter-Squad Assignment'!$Z:$Z,0)),""),"")))</f>
        <v/>
      </c>
      <c r="P391" s="79" t="str">
        <f>IF(ISBLANK(O391),"",IFERROR(INDEX('Tournament List'!$D:$D,MATCH(O391,'Tournament List'!$A:$A,0)),""))</f>
        <v/>
      </c>
    </row>
    <row r="392" spans="1:16" x14ac:dyDescent="0.3">
      <c r="A392" s="78">
        <v>391</v>
      </c>
      <c r="B392" s="73" t="str">
        <f>C392&amp;"-"&amp;E392&amp;"-"&amp;F392</f>
        <v>-Novice 2-Trap</v>
      </c>
      <c r="C392" s="73"/>
      <c r="D392" s="73" t="str">
        <f>INDEX('Tournament Setup'!$B$59:$B$78,MATCH(E392,SquadConcurrents,0))</f>
        <v>Novice</v>
      </c>
      <c r="E392" s="73" t="s">
        <v>343</v>
      </c>
      <c r="F392" s="73" t="s">
        <v>147</v>
      </c>
      <c r="G392" s="94" t="str">
        <f>IF(F392="Skeet",IFERROR(INDEX('Shooter-Squad Assignment'!$A:$A,MATCH(C392&amp;"-"&amp;E392&amp;"-"&amp;F392&amp;"-Pos1",'Shooter-Squad Assignment'!$K:$K,0)),""),IF(F392="Trap",IFERROR(INDEX('Shooter-Squad Assignment'!$A:$A,MATCH(C392&amp;"-"&amp;E392&amp;"-"&amp;F392&amp;"-Pos1",'Shooter-Squad Assignment'!$W:$W,0)),""),IF(F392="Sporting Clays",IFERROR(INDEX('Shooter-Squad Assignment'!$A:$A,MATCH(C392&amp;"-"&amp;E392&amp;"-"&amp;F392&amp;"-Pos1",'Shooter-Squad Assignment'!$Z:$Z,0)),""),"")))</f>
        <v/>
      </c>
      <c r="H392" s="73" t="str">
        <f>IF(ISBLANK(G392),"",IFERROR(INDEX('Tournament List'!$D:$D,MATCH(G392,'Tournament List'!$A:$A,0)),""))</f>
        <v/>
      </c>
      <c r="I392" s="94" t="str">
        <f>IF(F392="Skeet",IFERROR(INDEX('Shooter-Squad Assignment'!$A:$A,MATCH(C392&amp;"-"&amp;E392&amp;"-"&amp;F392&amp;"-Pos2",'Shooter-Squad Assignment'!$K:$K,0)),""),IF(F392="Trap",IFERROR(INDEX('Shooter-Squad Assignment'!$A:$A,MATCH(C392&amp;"-"&amp;E392&amp;"-"&amp;F392&amp;"-Pos2",'Shooter-Squad Assignment'!$W:$W,0)),""),IF(F392="Sporting Clays",IFERROR(INDEX('Shooter-Squad Assignment'!$A:$A,MATCH(C392&amp;"-"&amp;E392&amp;"-"&amp;F392&amp;"-Pos2",'Shooter-Squad Assignment'!$Z:$Z,0)),""),"")))</f>
        <v/>
      </c>
      <c r="J392" s="73" t="str">
        <f>IF(ISBLANK(I392),"",IFERROR(INDEX('Tournament List'!$D:$D,MATCH(I392,'Tournament List'!$A:$A,0)),""))</f>
        <v/>
      </c>
      <c r="K392" s="94" t="str">
        <f>IF(F392="Skeet",IFERROR(INDEX('Shooter-Squad Assignment'!$A:$A,MATCH(C392&amp;"-"&amp;E392&amp;"-"&amp;F392&amp;"-Pos3",'Shooter-Squad Assignment'!$K:$K,0)),""),IF(F392="Trap",IFERROR(INDEX('Shooter-Squad Assignment'!$A:$A,MATCH(C392&amp;"-"&amp;E392&amp;"-"&amp;F392&amp;"-Pos3",'Shooter-Squad Assignment'!$W:$W,0)),""),IF(F392="Sporting Clays",IFERROR(INDEX('Shooter-Squad Assignment'!$A:$A,MATCH(C392&amp;"-"&amp;E392&amp;"-"&amp;F392&amp;"-Pos3",'Shooter-Squad Assignment'!$Z:$Z,0)),""),"")))</f>
        <v/>
      </c>
      <c r="L392" s="73" t="str">
        <f>IF(ISBLANK(K392),"",IFERROR(INDEX('Tournament List'!$D:$D,MATCH(K392,'Tournament List'!$A:$A,0)),""))</f>
        <v/>
      </c>
      <c r="M392" s="94" t="str">
        <f>IF(F392="Skeet",IFERROR(INDEX('Shooter-Squad Assignment'!$A:$A,MATCH(C392&amp;"-"&amp;E392&amp;"-"&amp;F392&amp;"-Pos4",'Shooter-Squad Assignment'!$K:$K,0)),""),IF(F392="Trap",IFERROR(INDEX('Shooter-Squad Assignment'!$A:$A,MATCH(C392&amp;"-"&amp;E392&amp;"-"&amp;F392&amp;"-Pos4",'Shooter-Squad Assignment'!$W:$W,0)),""),IF(F392="Sporting Clays",IFERROR(INDEX('Shooter-Squad Assignment'!$A:$A,MATCH(C392&amp;"-"&amp;E392&amp;"-"&amp;F392&amp;"-Pos4",'Shooter-Squad Assignment'!$Z:$Z,0)),""),"")))</f>
        <v/>
      </c>
      <c r="N392" s="73" t="str">
        <f>IF(ISBLANK(M392),"",IFERROR(INDEX('Tournament List'!$D:$D,MATCH(M392,'Tournament List'!$A:$A,0)),""))</f>
        <v/>
      </c>
      <c r="O392" s="94" t="str">
        <f>IF(F392="Skeet",IFERROR(INDEX('Shooter-Squad Assignment'!$A:$A,MATCH(C392&amp;"-"&amp;E392&amp;"-"&amp;F392&amp;"-Pos5",'Shooter-Squad Assignment'!$K:$K,0)),""),IF(F392="Trap",IFERROR(INDEX('Shooter-Squad Assignment'!$A:$A,MATCH(C392&amp;"-"&amp;E392&amp;"-"&amp;F392&amp;"-Pos5",'Shooter-Squad Assignment'!$W:$W,0)),""),IF(F392="Sporting Clays",IFERROR(INDEX('Shooter-Squad Assignment'!$A:$A,MATCH(C392&amp;"-"&amp;E392&amp;"-"&amp;F392&amp;"-Pos5",'Shooter-Squad Assignment'!$Z:$Z,0)),""),"")))</f>
        <v/>
      </c>
      <c r="P392" s="79" t="str">
        <f>IF(ISBLANK(O392),"",IFERROR(INDEX('Tournament List'!$D:$D,MATCH(O392,'Tournament List'!$A:$A,0)),""))</f>
        <v/>
      </c>
    </row>
    <row r="393" spans="1:16" x14ac:dyDescent="0.3">
      <c r="A393" s="78">
        <v>392</v>
      </c>
      <c r="B393" s="73" t="str">
        <f>C393&amp;"-"&amp;E393&amp;"-"&amp;F393</f>
        <v>-Novice 3-Trap</v>
      </c>
      <c r="C393" s="73"/>
      <c r="D393" s="73" t="str">
        <f>INDEX('Tournament Setup'!$B$59:$B$78,MATCH(E393,SquadConcurrents,0))</f>
        <v>Novice</v>
      </c>
      <c r="E393" s="73" t="s">
        <v>349</v>
      </c>
      <c r="F393" s="73" t="s">
        <v>147</v>
      </c>
      <c r="G393" s="94" t="str">
        <f>IF(F393="Skeet",IFERROR(INDEX('Shooter-Squad Assignment'!$A:$A,MATCH(C393&amp;"-"&amp;E393&amp;"-"&amp;F393&amp;"-Pos1",'Shooter-Squad Assignment'!$K:$K,0)),""),IF(F393="Trap",IFERROR(INDEX('Shooter-Squad Assignment'!$A:$A,MATCH(C393&amp;"-"&amp;E393&amp;"-"&amp;F393&amp;"-Pos1",'Shooter-Squad Assignment'!$W:$W,0)),""),IF(F393="Sporting Clays",IFERROR(INDEX('Shooter-Squad Assignment'!$A:$A,MATCH(C393&amp;"-"&amp;E393&amp;"-"&amp;F393&amp;"-Pos1",'Shooter-Squad Assignment'!$Z:$Z,0)),""),"")))</f>
        <v/>
      </c>
      <c r="H393" s="73" t="str">
        <f>IF(ISBLANK(G393),"",IFERROR(INDEX('Tournament List'!$D:$D,MATCH(G393,'Tournament List'!$A:$A,0)),""))</f>
        <v/>
      </c>
      <c r="I393" s="94" t="str">
        <f>IF(F393="Skeet",IFERROR(INDEX('Shooter-Squad Assignment'!$A:$A,MATCH(C393&amp;"-"&amp;E393&amp;"-"&amp;F393&amp;"-Pos2",'Shooter-Squad Assignment'!$K:$K,0)),""),IF(F393="Trap",IFERROR(INDEX('Shooter-Squad Assignment'!$A:$A,MATCH(C393&amp;"-"&amp;E393&amp;"-"&amp;F393&amp;"-Pos2",'Shooter-Squad Assignment'!$W:$W,0)),""),IF(F393="Sporting Clays",IFERROR(INDEX('Shooter-Squad Assignment'!$A:$A,MATCH(C393&amp;"-"&amp;E393&amp;"-"&amp;F393&amp;"-Pos2",'Shooter-Squad Assignment'!$Z:$Z,0)),""),"")))</f>
        <v/>
      </c>
      <c r="J393" s="73" t="str">
        <f>IF(ISBLANK(I393),"",IFERROR(INDEX('Tournament List'!$D:$D,MATCH(I393,'Tournament List'!$A:$A,0)),""))</f>
        <v/>
      </c>
      <c r="K393" s="94" t="str">
        <f>IF(F393="Skeet",IFERROR(INDEX('Shooter-Squad Assignment'!$A:$A,MATCH(C393&amp;"-"&amp;E393&amp;"-"&amp;F393&amp;"-Pos3",'Shooter-Squad Assignment'!$K:$K,0)),""),IF(F393="Trap",IFERROR(INDEX('Shooter-Squad Assignment'!$A:$A,MATCH(C393&amp;"-"&amp;E393&amp;"-"&amp;F393&amp;"-Pos3",'Shooter-Squad Assignment'!$W:$W,0)),""),IF(F393="Sporting Clays",IFERROR(INDEX('Shooter-Squad Assignment'!$A:$A,MATCH(C393&amp;"-"&amp;E393&amp;"-"&amp;F393&amp;"-Pos3",'Shooter-Squad Assignment'!$Z:$Z,0)),""),"")))</f>
        <v/>
      </c>
      <c r="L393" s="73" t="str">
        <f>IF(ISBLANK(K393),"",IFERROR(INDEX('Tournament List'!$D:$D,MATCH(K393,'Tournament List'!$A:$A,0)),""))</f>
        <v/>
      </c>
      <c r="M393" s="94" t="str">
        <f>IF(F393="Skeet",IFERROR(INDEX('Shooter-Squad Assignment'!$A:$A,MATCH(C393&amp;"-"&amp;E393&amp;"-"&amp;F393&amp;"-Pos4",'Shooter-Squad Assignment'!$K:$K,0)),""),IF(F393="Trap",IFERROR(INDEX('Shooter-Squad Assignment'!$A:$A,MATCH(C393&amp;"-"&amp;E393&amp;"-"&amp;F393&amp;"-Pos4",'Shooter-Squad Assignment'!$W:$W,0)),""),IF(F393="Sporting Clays",IFERROR(INDEX('Shooter-Squad Assignment'!$A:$A,MATCH(C393&amp;"-"&amp;E393&amp;"-"&amp;F393&amp;"-Pos4",'Shooter-Squad Assignment'!$Z:$Z,0)),""),"")))</f>
        <v/>
      </c>
      <c r="N393" s="73" t="str">
        <f>IF(ISBLANK(M393),"",IFERROR(INDEX('Tournament List'!$D:$D,MATCH(M393,'Tournament List'!$A:$A,0)),""))</f>
        <v/>
      </c>
      <c r="O393" s="94" t="str">
        <f>IF(F393="Skeet",IFERROR(INDEX('Shooter-Squad Assignment'!$A:$A,MATCH(C393&amp;"-"&amp;E393&amp;"-"&amp;F393&amp;"-Pos5",'Shooter-Squad Assignment'!$K:$K,0)),""),IF(F393="Trap",IFERROR(INDEX('Shooter-Squad Assignment'!$A:$A,MATCH(C393&amp;"-"&amp;E393&amp;"-"&amp;F393&amp;"-Pos5",'Shooter-Squad Assignment'!$W:$W,0)),""),IF(F393="Sporting Clays",IFERROR(INDEX('Shooter-Squad Assignment'!$A:$A,MATCH(C393&amp;"-"&amp;E393&amp;"-"&amp;F393&amp;"-Pos5",'Shooter-Squad Assignment'!$Z:$Z,0)),""),"")))</f>
        <v/>
      </c>
      <c r="P393" s="79" t="str">
        <f>IF(ISBLANK(O393),"",IFERROR(INDEX('Tournament List'!$D:$D,MATCH(O393,'Tournament List'!$A:$A,0)),""))</f>
        <v/>
      </c>
    </row>
    <row r="394" spans="1:16" x14ac:dyDescent="0.3">
      <c r="A394" s="78">
        <v>393</v>
      </c>
      <c r="B394" s="73" t="str">
        <f>C394&amp;"-"&amp;E394&amp;"-"&amp;F394</f>
        <v>-Open 1-Trap</v>
      </c>
      <c r="C394" s="73"/>
      <c r="D394" s="73" t="str">
        <f>INDEX('Tournament Setup'!$B$59:$B$78,MATCH(E394,SquadConcurrents,0))</f>
        <v>Open</v>
      </c>
      <c r="E394" s="73" t="s">
        <v>341</v>
      </c>
      <c r="F394" s="73" t="s">
        <v>147</v>
      </c>
      <c r="G394" s="94" t="str">
        <f>IF(F394="Skeet",IFERROR(INDEX('Shooter-Squad Assignment'!$A:$A,MATCH(C394&amp;"-"&amp;E394&amp;"-"&amp;F394&amp;"-Pos1",'Shooter-Squad Assignment'!$K:$K,0)),""),IF(F394="Trap",IFERROR(INDEX('Shooter-Squad Assignment'!$A:$A,MATCH(C394&amp;"-"&amp;E394&amp;"-"&amp;F394&amp;"-Pos1",'Shooter-Squad Assignment'!$W:$W,0)),""),IF(F394="Sporting Clays",IFERROR(INDEX('Shooter-Squad Assignment'!$A:$A,MATCH(C394&amp;"-"&amp;E394&amp;"-"&amp;F394&amp;"-Pos1",'Shooter-Squad Assignment'!$Z:$Z,0)),""),"")))</f>
        <v/>
      </c>
      <c r="H394" s="73" t="str">
        <f>IF(ISBLANK(G394),"",IFERROR(INDEX('Tournament List'!$D:$D,MATCH(G394,'Tournament List'!$A:$A,0)),""))</f>
        <v/>
      </c>
      <c r="I394" s="94" t="str">
        <f>IF(F394="Skeet",IFERROR(INDEX('Shooter-Squad Assignment'!$A:$A,MATCH(C394&amp;"-"&amp;E394&amp;"-"&amp;F394&amp;"-Pos2",'Shooter-Squad Assignment'!$K:$K,0)),""),IF(F394="Trap",IFERROR(INDEX('Shooter-Squad Assignment'!$A:$A,MATCH(C394&amp;"-"&amp;E394&amp;"-"&amp;F394&amp;"-Pos2",'Shooter-Squad Assignment'!$W:$W,0)),""),IF(F394="Sporting Clays",IFERROR(INDEX('Shooter-Squad Assignment'!$A:$A,MATCH(C394&amp;"-"&amp;E394&amp;"-"&amp;F394&amp;"-Pos2",'Shooter-Squad Assignment'!$Z:$Z,0)),""),"")))</f>
        <v/>
      </c>
      <c r="J394" s="73" t="str">
        <f>IF(ISBLANK(I394),"",IFERROR(INDEX('Tournament List'!$D:$D,MATCH(I394,'Tournament List'!$A:$A,0)),""))</f>
        <v/>
      </c>
      <c r="K394" s="94" t="str">
        <f>IF(F394="Skeet",IFERROR(INDEX('Shooter-Squad Assignment'!$A:$A,MATCH(C394&amp;"-"&amp;E394&amp;"-"&amp;F394&amp;"-Pos3",'Shooter-Squad Assignment'!$K:$K,0)),""),IF(F394="Trap",IFERROR(INDEX('Shooter-Squad Assignment'!$A:$A,MATCH(C394&amp;"-"&amp;E394&amp;"-"&amp;F394&amp;"-Pos3",'Shooter-Squad Assignment'!$W:$W,0)),""),IF(F394="Sporting Clays",IFERROR(INDEX('Shooter-Squad Assignment'!$A:$A,MATCH(C394&amp;"-"&amp;E394&amp;"-"&amp;F394&amp;"-Pos3",'Shooter-Squad Assignment'!$Z:$Z,0)),""),"")))</f>
        <v/>
      </c>
      <c r="L394" s="73" t="str">
        <f>IF(ISBLANK(K394),"",IFERROR(INDEX('Tournament List'!$D:$D,MATCH(K394,'Tournament List'!$A:$A,0)),""))</f>
        <v/>
      </c>
      <c r="M394" s="94" t="str">
        <f>IF(F394="Skeet",IFERROR(INDEX('Shooter-Squad Assignment'!$A:$A,MATCH(C394&amp;"-"&amp;E394&amp;"-"&amp;F394&amp;"-Pos4",'Shooter-Squad Assignment'!$K:$K,0)),""),IF(F394="Trap",IFERROR(INDEX('Shooter-Squad Assignment'!$A:$A,MATCH(C394&amp;"-"&amp;E394&amp;"-"&amp;F394&amp;"-Pos4",'Shooter-Squad Assignment'!$W:$W,0)),""),IF(F394="Sporting Clays",IFERROR(INDEX('Shooter-Squad Assignment'!$A:$A,MATCH(C394&amp;"-"&amp;E394&amp;"-"&amp;F394&amp;"-Pos4",'Shooter-Squad Assignment'!$Z:$Z,0)),""),"")))</f>
        <v/>
      </c>
      <c r="N394" s="73" t="str">
        <f>IF(ISBLANK(M394),"",IFERROR(INDEX('Tournament List'!$D:$D,MATCH(M394,'Tournament List'!$A:$A,0)),""))</f>
        <v/>
      </c>
      <c r="O394" s="94" t="str">
        <f>IF(F394="Skeet",IFERROR(INDEX('Shooter-Squad Assignment'!$A:$A,MATCH(C394&amp;"-"&amp;E394&amp;"-"&amp;F394&amp;"-Pos5",'Shooter-Squad Assignment'!$K:$K,0)),""),IF(F394="Trap",IFERROR(INDEX('Shooter-Squad Assignment'!$A:$A,MATCH(C394&amp;"-"&amp;E394&amp;"-"&amp;F394&amp;"-Pos5",'Shooter-Squad Assignment'!$W:$W,0)),""),IF(F394="Sporting Clays",IFERROR(INDEX('Shooter-Squad Assignment'!$A:$A,MATCH(C394&amp;"-"&amp;E394&amp;"-"&amp;F394&amp;"-Pos5",'Shooter-Squad Assignment'!$Z:$Z,0)),""),"")))</f>
        <v/>
      </c>
      <c r="P394" s="79" t="str">
        <f>IF(ISBLANK(O394),"",IFERROR(INDEX('Tournament List'!$D:$D,MATCH(O394,'Tournament List'!$A:$A,0)),""))</f>
        <v/>
      </c>
    </row>
    <row r="395" spans="1:16" x14ac:dyDescent="0.3">
      <c r="A395" s="78">
        <v>394</v>
      </c>
      <c r="B395" s="73" t="str">
        <f>C395&amp;"-"&amp;E395&amp;"-"&amp;F395</f>
        <v>-Open 2-Trap</v>
      </c>
      <c r="C395" s="73"/>
      <c r="D395" s="73" t="str">
        <f>INDEX('Tournament Setup'!$B$59:$B$78,MATCH(E395,SquadConcurrents,0))</f>
        <v>Open</v>
      </c>
      <c r="E395" s="73" t="s">
        <v>347</v>
      </c>
      <c r="F395" s="73" t="s">
        <v>147</v>
      </c>
      <c r="G395" s="94" t="str">
        <f>IF(F395="Skeet",IFERROR(INDEX('Shooter-Squad Assignment'!$A:$A,MATCH(C395&amp;"-"&amp;E395&amp;"-"&amp;F395&amp;"-Pos1",'Shooter-Squad Assignment'!$K:$K,0)),""),IF(F395="Trap",IFERROR(INDEX('Shooter-Squad Assignment'!$A:$A,MATCH(C395&amp;"-"&amp;E395&amp;"-"&amp;F395&amp;"-Pos1",'Shooter-Squad Assignment'!$W:$W,0)),""),IF(F395="Sporting Clays",IFERROR(INDEX('Shooter-Squad Assignment'!$A:$A,MATCH(C395&amp;"-"&amp;E395&amp;"-"&amp;F395&amp;"-Pos1",'Shooter-Squad Assignment'!$Z:$Z,0)),""),"")))</f>
        <v/>
      </c>
      <c r="H395" s="73" t="str">
        <f>IF(ISBLANK(G395),"",IFERROR(INDEX('Tournament List'!$D:$D,MATCH(G395,'Tournament List'!$A:$A,0)),""))</f>
        <v/>
      </c>
      <c r="I395" s="94" t="str">
        <f>IF(F395="Skeet",IFERROR(INDEX('Shooter-Squad Assignment'!$A:$A,MATCH(C395&amp;"-"&amp;E395&amp;"-"&amp;F395&amp;"-Pos2",'Shooter-Squad Assignment'!$K:$K,0)),""),IF(F395="Trap",IFERROR(INDEX('Shooter-Squad Assignment'!$A:$A,MATCH(C395&amp;"-"&amp;E395&amp;"-"&amp;F395&amp;"-Pos2",'Shooter-Squad Assignment'!$W:$W,0)),""),IF(F395="Sporting Clays",IFERROR(INDEX('Shooter-Squad Assignment'!$A:$A,MATCH(C395&amp;"-"&amp;E395&amp;"-"&amp;F395&amp;"-Pos2",'Shooter-Squad Assignment'!$Z:$Z,0)),""),"")))</f>
        <v/>
      </c>
      <c r="J395" s="73" t="str">
        <f>IF(ISBLANK(I395),"",IFERROR(INDEX('Tournament List'!$D:$D,MATCH(I395,'Tournament List'!$A:$A,0)),""))</f>
        <v/>
      </c>
      <c r="K395" s="94" t="str">
        <f>IF(F395="Skeet",IFERROR(INDEX('Shooter-Squad Assignment'!$A:$A,MATCH(C395&amp;"-"&amp;E395&amp;"-"&amp;F395&amp;"-Pos3",'Shooter-Squad Assignment'!$K:$K,0)),""),IF(F395="Trap",IFERROR(INDEX('Shooter-Squad Assignment'!$A:$A,MATCH(C395&amp;"-"&amp;E395&amp;"-"&amp;F395&amp;"-Pos3",'Shooter-Squad Assignment'!$W:$W,0)),""),IF(F395="Sporting Clays",IFERROR(INDEX('Shooter-Squad Assignment'!$A:$A,MATCH(C395&amp;"-"&amp;E395&amp;"-"&amp;F395&amp;"-Pos3",'Shooter-Squad Assignment'!$Z:$Z,0)),""),"")))</f>
        <v/>
      </c>
      <c r="L395" s="73" t="str">
        <f>IF(ISBLANK(K395),"",IFERROR(INDEX('Tournament List'!$D:$D,MATCH(K395,'Tournament List'!$A:$A,0)),""))</f>
        <v/>
      </c>
      <c r="M395" s="94" t="str">
        <f>IF(F395="Skeet",IFERROR(INDEX('Shooter-Squad Assignment'!$A:$A,MATCH(C395&amp;"-"&amp;E395&amp;"-"&amp;F395&amp;"-Pos4",'Shooter-Squad Assignment'!$K:$K,0)),""),IF(F395="Trap",IFERROR(INDEX('Shooter-Squad Assignment'!$A:$A,MATCH(C395&amp;"-"&amp;E395&amp;"-"&amp;F395&amp;"-Pos4",'Shooter-Squad Assignment'!$W:$W,0)),""),IF(F395="Sporting Clays",IFERROR(INDEX('Shooter-Squad Assignment'!$A:$A,MATCH(C395&amp;"-"&amp;E395&amp;"-"&amp;F395&amp;"-Pos4",'Shooter-Squad Assignment'!$Z:$Z,0)),""),"")))</f>
        <v/>
      </c>
      <c r="N395" s="73" t="str">
        <f>IF(ISBLANK(M395),"",IFERROR(INDEX('Tournament List'!$D:$D,MATCH(M395,'Tournament List'!$A:$A,0)),""))</f>
        <v/>
      </c>
      <c r="O395" s="94" t="str">
        <f>IF(F395="Skeet",IFERROR(INDEX('Shooter-Squad Assignment'!$A:$A,MATCH(C395&amp;"-"&amp;E395&amp;"-"&amp;F395&amp;"-Pos5",'Shooter-Squad Assignment'!$K:$K,0)),""),IF(F395="Trap",IFERROR(INDEX('Shooter-Squad Assignment'!$A:$A,MATCH(C395&amp;"-"&amp;E395&amp;"-"&amp;F395&amp;"-Pos5",'Shooter-Squad Assignment'!$W:$W,0)),""),IF(F395="Sporting Clays",IFERROR(INDEX('Shooter-Squad Assignment'!$A:$A,MATCH(C395&amp;"-"&amp;E395&amp;"-"&amp;F395&amp;"-Pos5",'Shooter-Squad Assignment'!$Z:$Z,0)),""),"")))</f>
        <v/>
      </c>
      <c r="P395" s="79" t="str">
        <f>IF(ISBLANK(O395),"",IFERROR(INDEX('Tournament List'!$D:$D,MATCH(O395,'Tournament List'!$A:$A,0)),""))</f>
        <v/>
      </c>
    </row>
    <row r="396" spans="1:16" x14ac:dyDescent="0.3">
      <c r="A396" s="78">
        <v>395</v>
      </c>
      <c r="B396" s="73" t="str">
        <f>C396&amp;"-"&amp;E396&amp;"-"&amp;F396</f>
        <v>-Open 3-Trap</v>
      </c>
      <c r="C396" s="73"/>
      <c r="D396" s="73" t="str">
        <f>INDEX('Tournament Setup'!$B$59:$B$78,MATCH(E396,SquadConcurrents,0))</f>
        <v>Open</v>
      </c>
      <c r="E396" s="73" t="s">
        <v>353</v>
      </c>
      <c r="F396" s="73" t="s">
        <v>147</v>
      </c>
      <c r="G396" s="94" t="str">
        <f>IF(F396="Skeet",IFERROR(INDEX('Shooter-Squad Assignment'!$A:$A,MATCH(C396&amp;"-"&amp;E396&amp;"-"&amp;F396&amp;"-Pos1",'Shooter-Squad Assignment'!$K:$K,0)),""),IF(F396="Trap",IFERROR(INDEX('Shooter-Squad Assignment'!$A:$A,MATCH(C396&amp;"-"&amp;E396&amp;"-"&amp;F396&amp;"-Pos1",'Shooter-Squad Assignment'!$W:$W,0)),""),IF(F396="Sporting Clays",IFERROR(INDEX('Shooter-Squad Assignment'!$A:$A,MATCH(C396&amp;"-"&amp;E396&amp;"-"&amp;F396&amp;"-Pos1",'Shooter-Squad Assignment'!$Z:$Z,0)),""),"")))</f>
        <v/>
      </c>
      <c r="H396" s="73" t="str">
        <f>IF(ISBLANK(G396),"",IFERROR(INDEX('Tournament List'!$D:$D,MATCH(G396,'Tournament List'!$A:$A,0)),""))</f>
        <v/>
      </c>
      <c r="I396" s="94" t="str">
        <f>IF(F396="Skeet",IFERROR(INDEX('Shooter-Squad Assignment'!$A:$A,MATCH(C396&amp;"-"&amp;E396&amp;"-"&amp;F396&amp;"-Pos2",'Shooter-Squad Assignment'!$K:$K,0)),""),IF(F396="Trap",IFERROR(INDEX('Shooter-Squad Assignment'!$A:$A,MATCH(C396&amp;"-"&amp;E396&amp;"-"&amp;F396&amp;"-Pos2",'Shooter-Squad Assignment'!$W:$W,0)),""),IF(F396="Sporting Clays",IFERROR(INDEX('Shooter-Squad Assignment'!$A:$A,MATCH(C396&amp;"-"&amp;E396&amp;"-"&amp;F396&amp;"-Pos2",'Shooter-Squad Assignment'!$Z:$Z,0)),""),"")))</f>
        <v/>
      </c>
      <c r="J396" s="73" t="str">
        <f>IF(ISBLANK(I396),"",IFERROR(INDEX('Tournament List'!$D:$D,MATCH(I396,'Tournament List'!$A:$A,0)),""))</f>
        <v/>
      </c>
      <c r="K396" s="94" t="str">
        <f>IF(F396="Skeet",IFERROR(INDEX('Shooter-Squad Assignment'!$A:$A,MATCH(C396&amp;"-"&amp;E396&amp;"-"&amp;F396&amp;"-Pos3",'Shooter-Squad Assignment'!$K:$K,0)),""),IF(F396="Trap",IFERROR(INDEX('Shooter-Squad Assignment'!$A:$A,MATCH(C396&amp;"-"&amp;E396&amp;"-"&amp;F396&amp;"-Pos3",'Shooter-Squad Assignment'!$W:$W,0)),""),IF(F396="Sporting Clays",IFERROR(INDEX('Shooter-Squad Assignment'!$A:$A,MATCH(C396&amp;"-"&amp;E396&amp;"-"&amp;F396&amp;"-Pos3",'Shooter-Squad Assignment'!$Z:$Z,0)),""),"")))</f>
        <v/>
      </c>
      <c r="L396" s="73" t="str">
        <f>IF(ISBLANK(K396),"",IFERROR(INDEX('Tournament List'!$D:$D,MATCH(K396,'Tournament List'!$A:$A,0)),""))</f>
        <v/>
      </c>
      <c r="M396" s="94" t="str">
        <f>IF(F396="Skeet",IFERROR(INDEX('Shooter-Squad Assignment'!$A:$A,MATCH(C396&amp;"-"&amp;E396&amp;"-"&amp;F396&amp;"-Pos4",'Shooter-Squad Assignment'!$K:$K,0)),""),IF(F396="Trap",IFERROR(INDEX('Shooter-Squad Assignment'!$A:$A,MATCH(C396&amp;"-"&amp;E396&amp;"-"&amp;F396&amp;"-Pos4",'Shooter-Squad Assignment'!$W:$W,0)),""),IF(F396="Sporting Clays",IFERROR(INDEX('Shooter-Squad Assignment'!$A:$A,MATCH(C396&amp;"-"&amp;E396&amp;"-"&amp;F396&amp;"-Pos4",'Shooter-Squad Assignment'!$Z:$Z,0)),""),"")))</f>
        <v/>
      </c>
      <c r="N396" s="73" t="str">
        <f>IF(ISBLANK(M396),"",IFERROR(INDEX('Tournament List'!$D:$D,MATCH(M396,'Tournament List'!$A:$A,0)),""))</f>
        <v/>
      </c>
      <c r="O396" s="94" t="str">
        <f>IF(F396="Skeet",IFERROR(INDEX('Shooter-Squad Assignment'!$A:$A,MATCH(C396&amp;"-"&amp;E396&amp;"-"&amp;F396&amp;"-Pos5",'Shooter-Squad Assignment'!$K:$K,0)),""),IF(F396="Trap",IFERROR(INDEX('Shooter-Squad Assignment'!$A:$A,MATCH(C396&amp;"-"&amp;E396&amp;"-"&amp;F396&amp;"-Pos5",'Shooter-Squad Assignment'!$W:$W,0)),""),IF(F396="Sporting Clays",IFERROR(INDEX('Shooter-Squad Assignment'!$A:$A,MATCH(C396&amp;"-"&amp;E396&amp;"-"&amp;F396&amp;"-Pos5",'Shooter-Squad Assignment'!$Z:$Z,0)),""),"")))</f>
        <v/>
      </c>
      <c r="P396" s="79" t="str">
        <f>IF(ISBLANK(O396),"",IFERROR(INDEX('Tournament List'!$D:$D,MATCH(O396,'Tournament List'!$A:$A,0)),""))</f>
        <v/>
      </c>
    </row>
    <row r="397" spans="1:16" x14ac:dyDescent="0.3">
      <c r="A397" s="78">
        <v>396</v>
      </c>
      <c r="B397" s="73" t="str">
        <f>C397&amp;"-"&amp;E397&amp;"-"&amp;F397</f>
        <v>-Unassigned 1-Trap</v>
      </c>
      <c r="C397" s="73"/>
      <c r="D397" s="73" t="str">
        <f>INDEX('Tournament Setup'!$B$59:$B$78,MATCH(E397,SquadConcurrents,0))</f>
        <v>Unassigned</v>
      </c>
      <c r="E397" s="73" t="s">
        <v>762</v>
      </c>
      <c r="F397" s="73" t="s">
        <v>147</v>
      </c>
      <c r="G397" s="94" t="str">
        <f>IF(F397="Skeet",IFERROR(INDEX('Shooter-Squad Assignment'!$A:$A,MATCH(C397&amp;"-"&amp;E397&amp;"-"&amp;F397&amp;"-Pos1",'Shooter-Squad Assignment'!$K:$K,0)),""),IF(F397="Trap",IFERROR(INDEX('Shooter-Squad Assignment'!$A:$A,MATCH(C397&amp;"-"&amp;E397&amp;"-"&amp;F397&amp;"-Pos1",'Shooter-Squad Assignment'!$W:$W,0)),""),IF(F397="Sporting Clays",IFERROR(INDEX('Shooter-Squad Assignment'!$A:$A,MATCH(C397&amp;"-"&amp;E397&amp;"-"&amp;F397&amp;"-Pos1",'Shooter-Squad Assignment'!$Z:$Z,0)),""),"")))</f>
        <v/>
      </c>
      <c r="H397" s="73" t="str">
        <f>IF(ISBLANK(G397),"",IFERROR(INDEX('Tournament List'!$D:$D,MATCH(G397,'Tournament List'!$A:$A,0)),""))</f>
        <v/>
      </c>
      <c r="I397" s="94" t="str">
        <f>IF(F397="Skeet",IFERROR(INDEX('Shooter-Squad Assignment'!$A:$A,MATCH(C397&amp;"-"&amp;E397&amp;"-"&amp;F397&amp;"-Pos2",'Shooter-Squad Assignment'!$K:$K,0)),""),IF(F397="Trap",IFERROR(INDEX('Shooter-Squad Assignment'!$A:$A,MATCH(C397&amp;"-"&amp;E397&amp;"-"&amp;F397&amp;"-Pos2",'Shooter-Squad Assignment'!$W:$W,0)),""),IF(F397="Sporting Clays",IFERROR(INDEX('Shooter-Squad Assignment'!$A:$A,MATCH(C397&amp;"-"&amp;E397&amp;"-"&amp;F397&amp;"-Pos2",'Shooter-Squad Assignment'!$Z:$Z,0)),""),"")))</f>
        <v/>
      </c>
      <c r="J397" s="73" t="str">
        <f>IF(ISBLANK(I397),"",IFERROR(INDEX('Tournament List'!$D:$D,MATCH(I397,'Tournament List'!$A:$A,0)),""))</f>
        <v/>
      </c>
      <c r="K397" s="94" t="str">
        <f>IF(F397="Skeet",IFERROR(INDEX('Shooter-Squad Assignment'!$A:$A,MATCH(C397&amp;"-"&amp;E397&amp;"-"&amp;F397&amp;"-Pos3",'Shooter-Squad Assignment'!$K:$K,0)),""),IF(F397="Trap",IFERROR(INDEX('Shooter-Squad Assignment'!$A:$A,MATCH(C397&amp;"-"&amp;E397&amp;"-"&amp;F397&amp;"-Pos3",'Shooter-Squad Assignment'!$W:$W,0)),""),IF(F397="Sporting Clays",IFERROR(INDEX('Shooter-Squad Assignment'!$A:$A,MATCH(C397&amp;"-"&amp;E397&amp;"-"&amp;F397&amp;"-Pos3",'Shooter-Squad Assignment'!$Z:$Z,0)),""),"")))</f>
        <v/>
      </c>
      <c r="L397" s="73" t="str">
        <f>IF(ISBLANK(K397),"",IFERROR(INDEX('Tournament List'!$D:$D,MATCH(K397,'Tournament List'!$A:$A,0)),""))</f>
        <v/>
      </c>
      <c r="M397" s="94" t="str">
        <f>IF(F397="Skeet",IFERROR(INDEX('Shooter-Squad Assignment'!$A:$A,MATCH(C397&amp;"-"&amp;E397&amp;"-"&amp;F397&amp;"-Pos4",'Shooter-Squad Assignment'!$K:$K,0)),""),IF(F397="Trap",IFERROR(INDEX('Shooter-Squad Assignment'!$A:$A,MATCH(C397&amp;"-"&amp;E397&amp;"-"&amp;F397&amp;"-Pos4",'Shooter-Squad Assignment'!$W:$W,0)),""),IF(F397="Sporting Clays",IFERROR(INDEX('Shooter-Squad Assignment'!$A:$A,MATCH(C397&amp;"-"&amp;E397&amp;"-"&amp;F397&amp;"-Pos4",'Shooter-Squad Assignment'!$Z:$Z,0)),""),"")))</f>
        <v/>
      </c>
      <c r="N397" s="73" t="str">
        <f>IF(ISBLANK(M397),"",IFERROR(INDEX('Tournament List'!$D:$D,MATCH(M397,'Tournament List'!$A:$A,0)),""))</f>
        <v/>
      </c>
      <c r="O397" s="94" t="str">
        <f>IF(F397="Skeet",IFERROR(INDEX('Shooter-Squad Assignment'!$A:$A,MATCH(C397&amp;"-"&amp;E397&amp;"-"&amp;F397&amp;"-Pos5",'Shooter-Squad Assignment'!$K:$K,0)),""),IF(F397="Trap",IFERROR(INDEX('Shooter-Squad Assignment'!$A:$A,MATCH(C397&amp;"-"&amp;E397&amp;"-"&amp;F397&amp;"-Pos5",'Shooter-Squad Assignment'!$W:$W,0)),""),IF(F397="Sporting Clays",IFERROR(INDEX('Shooter-Squad Assignment'!$A:$A,MATCH(C397&amp;"-"&amp;E397&amp;"-"&amp;F397&amp;"-Pos5",'Shooter-Squad Assignment'!$Z:$Z,0)),""),"")))</f>
        <v/>
      </c>
      <c r="P397" s="79" t="str">
        <f>IF(ISBLANK(O397),"",IFERROR(INDEX('Tournament List'!$D:$D,MATCH(O397,'Tournament List'!$A:$A,0)),""))</f>
        <v/>
      </c>
    </row>
    <row r="398" spans="1:16" x14ac:dyDescent="0.3">
      <c r="A398" s="78">
        <v>397</v>
      </c>
      <c r="B398" s="73" t="str">
        <f>C398&amp;"-"&amp;E398&amp;"-"&amp;F398</f>
        <v>-Varsity 1-Trap</v>
      </c>
      <c r="C398" s="73"/>
      <c r="D398" s="73" t="str">
        <f>INDEX('Tournament Setup'!$B$59:$B$78,MATCH(E398,SquadConcurrents,0))</f>
        <v>Varsity</v>
      </c>
      <c r="E398" s="73" t="s">
        <v>340</v>
      </c>
      <c r="F398" s="73" t="s">
        <v>147</v>
      </c>
      <c r="G398" s="94" t="str">
        <f>IF(F398="Skeet",IFERROR(INDEX('Shooter-Squad Assignment'!$A:$A,MATCH(C398&amp;"-"&amp;E398&amp;"-"&amp;F398&amp;"-Pos1",'Shooter-Squad Assignment'!$K:$K,0)),""),IF(F398="Trap",IFERROR(INDEX('Shooter-Squad Assignment'!$A:$A,MATCH(C398&amp;"-"&amp;E398&amp;"-"&amp;F398&amp;"-Pos1",'Shooter-Squad Assignment'!$W:$W,0)),""),IF(F398="Sporting Clays",IFERROR(INDEX('Shooter-Squad Assignment'!$A:$A,MATCH(C398&amp;"-"&amp;E398&amp;"-"&amp;F398&amp;"-Pos1",'Shooter-Squad Assignment'!$Z:$Z,0)),""),"")))</f>
        <v/>
      </c>
      <c r="H398" s="73" t="str">
        <f>IF(ISBLANK(G398),"",IFERROR(INDEX('Tournament List'!$D:$D,MATCH(G398,'Tournament List'!$A:$A,0)),""))</f>
        <v/>
      </c>
      <c r="I398" s="94" t="str">
        <f>IF(F398="Skeet",IFERROR(INDEX('Shooter-Squad Assignment'!$A:$A,MATCH(C398&amp;"-"&amp;E398&amp;"-"&amp;F398&amp;"-Pos2",'Shooter-Squad Assignment'!$K:$K,0)),""),IF(F398="Trap",IFERROR(INDEX('Shooter-Squad Assignment'!$A:$A,MATCH(C398&amp;"-"&amp;E398&amp;"-"&amp;F398&amp;"-Pos2",'Shooter-Squad Assignment'!$W:$W,0)),""),IF(F398="Sporting Clays",IFERROR(INDEX('Shooter-Squad Assignment'!$A:$A,MATCH(C398&amp;"-"&amp;E398&amp;"-"&amp;F398&amp;"-Pos2",'Shooter-Squad Assignment'!$Z:$Z,0)),""),"")))</f>
        <v/>
      </c>
      <c r="J398" s="73" t="str">
        <f>IF(ISBLANK(I398),"",IFERROR(INDEX('Tournament List'!$D:$D,MATCH(I398,'Tournament List'!$A:$A,0)),""))</f>
        <v/>
      </c>
      <c r="K398" s="94" t="str">
        <f>IF(F398="Skeet",IFERROR(INDEX('Shooter-Squad Assignment'!$A:$A,MATCH(C398&amp;"-"&amp;E398&amp;"-"&amp;F398&amp;"-Pos3",'Shooter-Squad Assignment'!$K:$K,0)),""),IF(F398="Trap",IFERROR(INDEX('Shooter-Squad Assignment'!$A:$A,MATCH(C398&amp;"-"&amp;E398&amp;"-"&amp;F398&amp;"-Pos3",'Shooter-Squad Assignment'!$W:$W,0)),""),IF(F398="Sporting Clays",IFERROR(INDEX('Shooter-Squad Assignment'!$A:$A,MATCH(C398&amp;"-"&amp;E398&amp;"-"&amp;F398&amp;"-Pos3",'Shooter-Squad Assignment'!$Z:$Z,0)),""),"")))</f>
        <v/>
      </c>
      <c r="L398" s="73" t="str">
        <f>IF(ISBLANK(K398),"",IFERROR(INDEX('Tournament List'!$D:$D,MATCH(K398,'Tournament List'!$A:$A,0)),""))</f>
        <v/>
      </c>
      <c r="M398" s="94" t="str">
        <f>IF(F398="Skeet",IFERROR(INDEX('Shooter-Squad Assignment'!$A:$A,MATCH(C398&amp;"-"&amp;E398&amp;"-"&amp;F398&amp;"-Pos4",'Shooter-Squad Assignment'!$K:$K,0)),""),IF(F398="Trap",IFERROR(INDEX('Shooter-Squad Assignment'!$A:$A,MATCH(C398&amp;"-"&amp;E398&amp;"-"&amp;F398&amp;"-Pos4",'Shooter-Squad Assignment'!$W:$W,0)),""),IF(F398="Sporting Clays",IFERROR(INDEX('Shooter-Squad Assignment'!$A:$A,MATCH(C398&amp;"-"&amp;E398&amp;"-"&amp;F398&amp;"-Pos4",'Shooter-Squad Assignment'!$Z:$Z,0)),""),"")))</f>
        <v/>
      </c>
      <c r="N398" s="73" t="str">
        <f>IF(ISBLANK(M398),"",IFERROR(INDEX('Tournament List'!$D:$D,MATCH(M398,'Tournament List'!$A:$A,0)),""))</f>
        <v/>
      </c>
      <c r="O398" s="94" t="str">
        <f>IF(F398="Skeet",IFERROR(INDEX('Shooter-Squad Assignment'!$A:$A,MATCH(C398&amp;"-"&amp;E398&amp;"-"&amp;F398&amp;"-Pos5",'Shooter-Squad Assignment'!$K:$K,0)),""),IF(F398="Trap",IFERROR(INDEX('Shooter-Squad Assignment'!$A:$A,MATCH(C398&amp;"-"&amp;E398&amp;"-"&amp;F398&amp;"-Pos5",'Shooter-Squad Assignment'!$W:$W,0)),""),IF(F398="Sporting Clays",IFERROR(INDEX('Shooter-Squad Assignment'!$A:$A,MATCH(C398&amp;"-"&amp;E398&amp;"-"&amp;F398&amp;"-Pos5",'Shooter-Squad Assignment'!$Z:$Z,0)),""),"")))</f>
        <v/>
      </c>
      <c r="P398" s="79" t="str">
        <f>IF(ISBLANK(O398),"",IFERROR(INDEX('Tournament List'!$D:$D,MATCH(O398,'Tournament List'!$A:$A,0)),""))</f>
        <v/>
      </c>
    </row>
    <row r="399" spans="1:16" x14ac:dyDescent="0.3">
      <c r="A399" s="78">
        <v>398</v>
      </c>
      <c r="B399" s="73" t="str">
        <f>C399&amp;"-"&amp;E399&amp;"-"&amp;F399</f>
        <v>-Varsity 2-Trap</v>
      </c>
      <c r="C399" s="73"/>
      <c r="D399" s="73" t="str">
        <f>INDEX('Tournament Setup'!$B$59:$B$78,MATCH(E399,SquadConcurrents,0))</f>
        <v>Varsity</v>
      </c>
      <c r="E399" s="73" t="s">
        <v>346</v>
      </c>
      <c r="F399" s="73" t="s">
        <v>147</v>
      </c>
      <c r="G399" s="94" t="str">
        <f>IF(F399="Skeet",IFERROR(INDEX('Shooter-Squad Assignment'!$A:$A,MATCH(C399&amp;"-"&amp;E399&amp;"-"&amp;F399&amp;"-Pos1",'Shooter-Squad Assignment'!$K:$K,0)),""),IF(F399="Trap",IFERROR(INDEX('Shooter-Squad Assignment'!$A:$A,MATCH(C399&amp;"-"&amp;E399&amp;"-"&amp;F399&amp;"-Pos1",'Shooter-Squad Assignment'!$W:$W,0)),""),IF(F399="Sporting Clays",IFERROR(INDEX('Shooter-Squad Assignment'!$A:$A,MATCH(C399&amp;"-"&amp;E399&amp;"-"&amp;F399&amp;"-Pos1",'Shooter-Squad Assignment'!$Z:$Z,0)),""),"")))</f>
        <v/>
      </c>
      <c r="H399" s="73" t="str">
        <f>IF(ISBLANK(G399),"",IFERROR(INDEX('Tournament List'!$D:$D,MATCH(G399,'Tournament List'!$A:$A,0)),""))</f>
        <v/>
      </c>
      <c r="I399" s="94" t="str">
        <f>IF(F399="Skeet",IFERROR(INDEX('Shooter-Squad Assignment'!$A:$A,MATCH(C399&amp;"-"&amp;E399&amp;"-"&amp;F399&amp;"-Pos2",'Shooter-Squad Assignment'!$K:$K,0)),""),IF(F399="Trap",IFERROR(INDEX('Shooter-Squad Assignment'!$A:$A,MATCH(C399&amp;"-"&amp;E399&amp;"-"&amp;F399&amp;"-Pos2",'Shooter-Squad Assignment'!$W:$W,0)),""),IF(F399="Sporting Clays",IFERROR(INDEX('Shooter-Squad Assignment'!$A:$A,MATCH(C399&amp;"-"&amp;E399&amp;"-"&amp;F399&amp;"-Pos2",'Shooter-Squad Assignment'!$Z:$Z,0)),""),"")))</f>
        <v/>
      </c>
      <c r="J399" s="73" t="str">
        <f>IF(ISBLANK(I399),"",IFERROR(INDEX('Tournament List'!$D:$D,MATCH(I399,'Tournament List'!$A:$A,0)),""))</f>
        <v/>
      </c>
      <c r="K399" s="94" t="str">
        <f>IF(F399="Skeet",IFERROR(INDEX('Shooter-Squad Assignment'!$A:$A,MATCH(C399&amp;"-"&amp;E399&amp;"-"&amp;F399&amp;"-Pos3",'Shooter-Squad Assignment'!$K:$K,0)),""),IF(F399="Trap",IFERROR(INDEX('Shooter-Squad Assignment'!$A:$A,MATCH(C399&amp;"-"&amp;E399&amp;"-"&amp;F399&amp;"-Pos3",'Shooter-Squad Assignment'!$W:$W,0)),""),IF(F399="Sporting Clays",IFERROR(INDEX('Shooter-Squad Assignment'!$A:$A,MATCH(C399&amp;"-"&amp;E399&amp;"-"&amp;F399&amp;"-Pos3",'Shooter-Squad Assignment'!$Z:$Z,0)),""),"")))</f>
        <v/>
      </c>
      <c r="L399" s="73" t="str">
        <f>IF(ISBLANK(K399),"",IFERROR(INDEX('Tournament List'!$D:$D,MATCH(K399,'Tournament List'!$A:$A,0)),""))</f>
        <v/>
      </c>
      <c r="M399" s="94" t="str">
        <f>IF(F399="Skeet",IFERROR(INDEX('Shooter-Squad Assignment'!$A:$A,MATCH(C399&amp;"-"&amp;E399&amp;"-"&amp;F399&amp;"-Pos4",'Shooter-Squad Assignment'!$K:$K,0)),""),IF(F399="Trap",IFERROR(INDEX('Shooter-Squad Assignment'!$A:$A,MATCH(C399&amp;"-"&amp;E399&amp;"-"&amp;F399&amp;"-Pos4",'Shooter-Squad Assignment'!$W:$W,0)),""),IF(F399="Sporting Clays",IFERROR(INDEX('Shooter-Squad Assignment'!$A:$A,MATCH(C399&amp;"-"&amp;E399&amp;"-"&amp;F399&amp;"-Pos4",'Shooter-Squad Assignment'!$Z:$Z,0)),""),"")))</f>
        <v/>
      </c>
      <c r="N399" s="73" t="str">
        <f>IF(ISBLANK(M399),"",IFERROR(INDEX('Tournament List'!$D:$D,MATCH(M399,'Tournament List'!$A:$A,0)),""))</f>
        <v/>
      </c>
      <c r="O399" s="94" t="str">
        <f>IF(F399="Skeet",IFERROR(INDEX('Shooter-Squad Assignment'!$A:$A,MATCH(C399&amp;"-"&amp;E399&amp;"-"&amp;F399&amp;"-Pos5",'Shooter-Squad Assignment'!$K:$K,0)),""),IF(F399="Trap",IFERROR(INDEX('Shooter-Squad Assignment'!$A:$A,MATCH(C399&amp;"-"&amp;E399&amp;"-"&amp;F399&amp;"-Pos5",'Shooter-Squad Assignment'!$W:$W,0)),""),IF(F399="Sporting Clays",IFERROR(INDEX('Shooter-Squad Assignment'!$A:$A,MATCH(C399&amp;"-"&amp;E399&amp;"-"&amp;F399&amp;"-Pos5",'Shooter-Squad Assignment'!$Z:$Z,0)),""),"")))</f>
        <v/>
      </c>
      <c r="P399" s="79" t="str">
        <f>IF(ISBLANK(O399),"",IFERROR(INDEX('Tournament List'!$D:$D,MATCH(O399,'Tournament List'!$A:$A,0)),""))</f>
        <v/>
      </c>
    </row>
    <row r="400" spans="1:16" ht="15" thickBot="1" x14ac:dyDescent="0.35">
      <c r="A400" s="78">
        <v>399</v>
      </c>
      <c r="B400" s="73" t="str">
        <f>C400&amp;"-"&amp;E400&amp;"-"&amp;F400</f>
        <v>-Varsity 3-Trap</v>
      </c>
      <c r="C400" s="73"/>
      <c r="D400" s="73" t="str">
        <f>INDEX('Tournament Setup'!$B$59:$B$78,MATCH(E400,SquadConcurrents,0))</f>
        <v>Varsity</v>
      </c>
      <c r="E400" s="73" t="s">
        <v>352</v>
      </c>
      <c r="F400" s="73" t="s">
        <v>147</v>
      </c>
      <c r="G400" s="94" t="str">
        <f>IF(F400="Skeet",IFERROR(INDEX('Shooter-Squad Assignment'!$A:$A,MATCH(C400&amp;"-"&amp;E400&amp;"-"&amp;F400&amp;"-Pos1",'Shooter-Squad Assignment'!$K:$K,0)),""),IF(F400="Trap",IFERROR(INDEX('Shooter-Squad Assignment'!$A:$A,MATCH(C400&amp;"-"&amp;E400&amp;"-"&amp;F400&amp;"-Pos1",'Shooter-Squad Assignment'!$W:$W,0)),""),IF(F400="Sporting Clays",IFERROR(INDEX('Shooter-Squad Assignment'!$A:$A,MATCH(C400&amp;"-"&amp;E400&amp;"-"&amp;F400&amp;"-Pos1",'Shooter-Squad Assignment'!$Z:$Z,0)),""),"")))</f>
        <v/>
      </c>
      <c r="H400" s="73" t="str">
        <f>IF(ISBLANK(G400),"",IFERROR(INDEX('Tournament List'!$D:$D,MATCH(G400,'Tournament List'!$A:$A,0)),""))</f>
        <v/>
      </c>
      <c r="I400" s="94" t="str">
        <f>IF(F400="Skeet",IFERROR(INDEX('Shooter-Squad Assignment'!$A:$A,MATCH(C400&amp;"-"&amp;E400&amp;"-"&amp;F400&amp;"-Pos2",'Shooter-Squad Assignment'!$K:$K,0)),""),IF(F400="Trap",IFERROR(INDEX('Shooter-Squad Assignment'!$A:$A,MATCH(C400&amp;"-"&amp;E400&amp;"-"&amp;F400&amp;"-Pos2",'Shooter-Squad Assignment'!$W:$W,0)),""),IF(F400="Sporting Clays",IFERROR(INDEX('Shooter-Squad Assignment'!$A:$A,MATCH(C400&amp;"-"&amp;E400&amp;"-"&amp;F400&amp;"-Pos2",'Shooter-Squad Assignment'!$Z:$Z,0)),""),"")))</f>
        <v/>
      </c>
      <c r="J400" s="73" t="str">
        <f>IF(ISBLANK(I400),"",IFERROR(INDEX('Tournament List'!$D:$D,MATCH(I400,'Tournament List'!$A:$A,0)),""))</f>
        <v/>
      </c>
      <c r="K400" s="94" t="str">
        <f>IF(F400="Skeet",IFERROR(INDEX('Shooter-Squad Assignment'!$A:$A,MATCH(C400&amp;"-"&amp;E400&amp;"-"&amp;F400&amp;"-Pos3",'Shooter-Squad Assignment'!$K:$K,0)),""),IF(F400="Trap",IFERROR(INDEX('Shooter-Squad Assignment'!$A:$A,MATCH(C400&amp;"-"&amp;E400&amp;"-"&amp;F400&amp;"-Pos3",'Shooter-Squad Assignment'!$W:$W,0)),""),IF(F400="Sporting Clays",IFERROR(INDEX('Shooter-Squad Assignment'!$A:$A,MATCH(C400&amp;"-"&amp;E400&amp;"-"&amp;F400&amp;"-Pos3",'Shooter-Squad Assignment'!$Z:$Z,0)),""),"")))</f>
        <v/>
      </c>
      <c r="L400" s="73" t="str">
        <f>IF(ISBLANK(K400),"",IFERROR(INDEX('Tournament List'!$D:$D,MATCH(K400,'Tournament List'!$A:$A,0)),""))</f>
        <v/>
      </c>
      <c r="M400" s="94" t="str">
        <f>IF(F400="Skeet",IFERROR(INDEX('Shooter-Squad Assignment'!$A:$A,MATCH(C400&amp;"-"&amp;E400&amp;"-"&amp;F400&amp;"-Pos4",'Shooter-Squad Assignment'!$K:$K,0)),""),IF(F400="Trap",IFERROR(INDEX('Shooter-Squad Assignment'!$A:$A,MATCH(C400&amp;"-"&amp;E400&amp;"-"&amp;F400&amp;"-Pos4",'Shooter-Squad Assignment'!$W:$W,0)),""),IF(F400="Sporting Clays",IFERROR(INDEX('Shooter-Squad Assignment'!$A:$A,MATCH(C400&amp;"-"&amp;E400&amp;"-"&amp;F400&amp;"-Pos4",'Shooter-Squad Assignment'!$Z:$Z,0)),""),"")))</f>
        <v/>
      </c>
      <c r="N400" s="73" t="str">
        <f>IF(ISBLANK(M400),"",IFERROR(INDEX('Tournament List'!$D:$D,MATCH(M400,'Tournament List'!$A:$A,0)),""))</f>
        <v/>
      </c>
      <c r="O400" s="94" t="str">
        <f>IF(F400="Skeet",IFERROR(INDEX('Shooter-Squad Assignment'!$A:$A,MATCH(C400&amp;"-"&amp;E400&amp;"-"&amp;F400&amp;"-Pos5",'Shooter-Squad Assignment'!$K:$K,0)),""),IF(F400="Trap",IFERROR(INDEX('Shooter-Squad Assignment'!$A:$A,MATCH(C400&amp;"-"&amp;E400&amp;"-"&amp;F400&amp;"-Pos5",'Shooter-Squad Assignment'!$W:$W,0)),""),IF(F400="Sporting Clays",IFERROR(INDEX('Shooter-Squad Assignment'!$A:$A,MATCH(C400&amp;"-"&amp;E400&amp;"-"&amp;F400&amp;"-Pos5",'Shooter-Squad Assignment'!$Z:$Z,0)),""),"")))</f>
        <v/>
      </c>
      <c r="P400" s="79" t="str">
        <f>IF(ISBLANK(O400),"",IFERROR(INDEX('Tournament List'!$D:$D,MATCH(O400,'Tournament List'!$A:$A,0)),""))</f>
        <v/>
      </c>
    </row>
    <row r="401" spans="1:16" x14ac:dyDescent="0.3">
      <c r="A401" s="84">
        <v>400</v>
      </c>
      <c r="B401" s="85" t="str">
        <f>C401&amp;"-"&amp;E401&amp;"-"&amp;F401</f>
        <v>-Collegiate 1-Skeet</v>
      </c>
      <c r="C401" s="85"/>
      <c r="D401" s="85" t="str">
        <f>INDEX('Tournament Setup'!$B$59:$B$78,MATCH(E401,SquadConcurrents,0))</f>
        <v>Collegiate</v>
      </c>
      <c r="E401" s="85" t="s">
        <v>342</v>
      </c>
      <c r="F401" s="85" t="s">
        <v>143</v>
      </c>
      <c r="G401" s="95" t="str">
        <f>IF(F401="Skeet",IFERROR(INDEX('Shooter-Squad Assignment'!$A:$A,MATCH(C401&amp;"-"&amp;E401&amp;"-"&amp;F401&amp;"-Pos1",'Shooter-Squad Assignment'!$K:$K,0)),""),IF(F401="Trap",IFERROR(INDEX('Shooter-Squad Assignment'!$A:$A,MATCH(C401&amp;"-"&amp;E401&amp;"-"&amp;F401&amp;"-Pos1",'Shooter-Squad Assignment'!$W:$W,0)),""),IF(F401="Sporting Clays",IFERROR(INDEX('Shooter-Squad Assignment'!$A:$A,MATCH(C401&amp;"-"&amp;E401&amp;"-"&amp;F401&amp;"-Pos1",'Shooter-Squad Assignment'!$Z:$Z,0)),""),"")))</f>
        <v/>
      </c>
      <c r="H401" s="85" t="str">
        <f>IF(ISBLANK(G401),"",IFERROR(INDEX('Tournament List'!$D:$D,MATCH(G401,'Tournament List'!$A:$A,0)),""))</f>
        <v/>
      </c>
      <c r="I401" s="95" t="str">
        <f>IF(F401="Skeet",IFERROR(INDEX('Shooter-Squad Assignment'!$A:$A,MATCH(C401&amp;"-"&amp;E401&amp;"-"&amp;F401&amp;"-Pos2",'Shooter-Squad Assignment'!$K:$K,0)),""),IF(F401="Trap",IFERROR(INDEX('Shooter-Squad Assignment'!$A:$A,MATCH(C401&amp;"-"&amp;E401&amp;"-"&amp;F401&amp;"-Pos2",'Shooter-Squad Assignment'!$W:$W,0)),""),IF(F401="Sporting Clays",IFERROR(INDEX('Shooter-Squad Assignment'!$A:$A,MATCH(C401&amp;"-"&amp;E401&amp;"-"&amp;F401&amp;"-Pos2",'Shooter-Squad Assignment'!$Z:$Z,0)),""),"")))</f>
        <v/>
      </c>
      <c r="J401" s="85" t="str">
        <f>IF(ISBLANK(I401),"",IFERROR(INDEX('Tournament List'!$D:$D,MATCH(I401,'Tournament List'!$A:$A,0)),""))</f>
        <v/>
      </c>
      <c r="K401" s="95" t="str">
        <f>IF(F401="Skeet",IFERROR(INDEX('Shooter-Squad Assignment'!$A:$A,MATCH(C401&amp;"-"&amp;E401&amp;"-"&amp;F401&amp;"-Pos3",'Shooter-Squad Assignment'!$K:$K,0)),""),IF(F401="Trap",IFERROR(INDEX('Shooter-Squad Assignment'!$A:$A,MATCH(C401&amp;"-"&amp;E401&amp;"-"&amp;F401&amp;"-Pos3",'Shooter-Squad Assignment'!$W:$W,0)),""),IF(F401="Sporting Clays",IFERROR(INDEX('Shooter-Squad Assignment'!$A:$A,MATCH(C401&amp;"-"&amp;E401&amp;"-"&amp;F401&amp;"-Pos3",'Shooter-Squad Assignment'!$Z:$Z,0)),""),"")))</f>
        <v/>
      </c>
      <c r="L401" s="85" t="str">
        <f>IF(ISBLANK(K401),"",IFERROR(INDEX('Tournament List'!$D:$D,MATCH(K401,'Tournament List'!$A:$A,0)),""))</f>
        <v/>
      </c>
      <c r="M401" s="95" t="str">
        <f>IF(F401="Skeet",IFERROR(INDEX('Shooter-Squad Assignment'!$A:$A,MATCH(C401&amp;"-"&amp;E401&amp;"-"&amp;F401&amp;"-Pos4",'Shooter-Squad Assignment'!$K:$K,0)),""),IF(F401="Trap",IFERROR(INDEX('Shooter-Squad Assignment'!$A:$A,MATCH(C401&amp;"-"&amp;E401&amp;"-"&amp;F401&amp;"-Pos4",'Shooter-Squad Assignment'!$W:$W,0)),""),IF(F401="Sporting Clays",IFERROR(INDEX('Shooter-Squad Assignment'!$A:$A,MATCH(C401&amp;"-"&amp;E401&amp;"-"&amp;F401&amp;"-Pos4",'Shooter-Squad Assignment'!$Z:$Z,0)),""),"")))</f>
        <v/>
      </c>
      <c r="N401" s="85" t="str">
        <f>IF(ISBLANK(M401),"",IFERROR(INDEX('Tournament List'!$D:$D,MATCH(M401,'Tournament List'!$A:$A,0)),""))</f>
        <v/>
      </c>
      <c r="O401" s="95" t="str">
        <f>IF(F401="Skeet",IFERROR(INDEX('Shooter-Squad Assignment'!$A:$A,MATCH(C401&amp;"-"&amp;E401&amp;"-"&amp;F401&amp;"-Pos5",'Shooter-Squad Assignment'!$K:$K,0)),""),IF(F401="Trap",IFERROR(INDEX('Shooter-Squad Assignment'!$A:$A,MATCH(C401&amp;"-"&amp;E401&amp;"-"&amp;F401&amp;"-Pos5",'Shooter-Squad Assignment'!$W:$W,0)),""),IF(F401="Sporting Clays",IFERROR(INDEX('Shooter-Squad Assignment'!$A:$A,MATCH(C401&amp;"-"&amp;E401&amp;"-"&amp;F401&amp;"-Pos5",'Shooter-Squad Assignment'!$Z:$Z,0)),""),"")))</f>
        <v/>
      </c>
      <c r="P401" s="86" t="str">
        <f>IF(ISBLANK(O401),"",IFERROR(INDEX('Tournament List'!$D:$D,MATCH(O401,'Tournament List'!$A:$A,0)),""))</f>
        <v/>
      </c>
    </row>
    <row r="402" spans="1:16" x14ac:dyDescent="0.3">
      <c r="A402" s="87">
        <v>401</v>
      </c>
      <c r="B402" s="88" t="str">
        <f>C402&amp;"-"&amp;E402&amp;"-"&amp;F402</f>
        <v>-Collegiate 2-Skeet</v>
      </c>
      <c r="C402" s="88"/>
      <c r="D402" s="88" t="str">
        <f>INDEX('Tournament Setup'!$B$59:$B$78,MATCH(E402,SquadConcurrents,0))</f>
        <v>Collegiate</v>
      </c>
      <c r="E402" s="88" t="s">
        <v>348</v>
      </c>
      <c r="F402" s="88" t="s">
        <v>143</v>
      </c>
      <c r="G402" s="96" t="str">
        <f>IF(F402="Skeet",IFERROR(INDEX('Shooter-Squad Assignment'!$A:$A,MATCH(C402&amp;"-"&amp;E402&amp;"-"&amp;F402&amp;"-Pos1",'Shooter-Squad Assignment'!$K:$K,0)),""),IF(F402="Trap",IFERROR(INDEX('Shooter-Squad Assignment'!$A:$A,MATCH(C402&amp;"-"&amp;E402&amp;"-"&amp;F402&amp;"-Pos1",'Shooter-Squad Assignment'!$W:$W,0)),""),IF(F402="Sporting Clays",IFERROR(INDEX('Shooter-Squad Assignment'!$A:$A,MATCH(C402&amp;"-"&amp;E402&amp;"-"&amp;F402&amp;"-Pos1",'Shooter-Squad Assignment'!$Z:$Z,0)),""),"")))</f>
        <v/>
      </c>
      <c r="H402" s="88" t="str">
        <f>IF(ISBLANK(G402),"",IFERROR(INDEX('Tournament List'!$D:$D,MATCH(G402,'Tournament List'!$A:$A,0)),""))</f>
        <v/>
      </c>
      <c r="I402" s="96" t="str">
        <f>IF(F402="Skeet",IFERROR(INDEX('Shooter-Squad Assignment'!$A:$A,MATCH(C402&amp;"-"&amp;E402&amp;"-"&amp;F402&amp;"-Pos2",'Shooter-Squad Assignment'!$K:$K,0)),""),IF(F402="Trap",IFERROR(INDEX('Shooter-Squad Assignment'!$A:$A,MATCH(C402&amp;"-"&amp;E402&amp;"-"&amp;F402&amp;"-Pos2",'Shooter-Squad Assignment'!$W:$W,0)),""),IF(F402="Sporting Clays",IFERROR(INDEX('Shooter-Squad Assignment'!$A:$A,MATCH(C402&amp;"-"&amp;E402&amp;"-"&amp;F402&amp;"-Pos2",'Shooter-Squad Assignment'!$Z:$Z,0)),""),"")))</f>
        <v/>
      </c>
      <c r="J402" s="88" t="str">
        <f>IF(ISBLANK(I402),"",IFERROR(INDEX('Tournament List'!$D:$D,MATCH(I402,'Tournament List'!$A:$A,0)),""))</f>
        <v/>
      </c>
      <c r="K402" s="96" t="str">
        <f>IF(F402="Skeet",IFERROR(INDEX('Shooter-Squad Assignment'!$A:$A,MATCH(C402&amp;"-"&amp;E402&amp;"-"&amp;F402&amp;"-Pos3",'Shooter-Squad Assignment'!$K:$K,0)),""),IF(F402="Trap",IFERROR(INDEX('Shooter-Squad Assignment'!$A:$A,MATCH(C402&amp;"-"&amp;E402&amp;"-"&amp;F402&amp;"-Pos3",'Shooter-Squad Assignment'!$W:$W,0)),""),IF(F402="Sporting Clays",IFERROR(INDEX('Shooter-Squad Assignment'!$A:$A,MATCH(C402&amp;"-"&amp;E402&amp;"-"&amp;F402&amp;"-Pos3",'Shooter-Squad Assignment'!$Z:$Z,0)),""),"")))</f>
        <v/>
      </c>
      <c r="L402" s="88" t="str">
        <f>IF(ISBLANK(K402),"",IFERROR(INDEX('Tournament List'!$D:$D,MATCH(K402,'Tournament List'!$A:$A,0)),""))</f>
        <v/>
      </c>
      <c r="M402" s="96" t="str">
        <f>IF(F402="Skeet",IFERROR(INDEX('Shooter-Squad Assignment'!$A:$A,MATCH(C402&amp;"-"&amp;E402&amp;"-"&amp;F402&amp;"-Pos4",'Shooter-Squad Assignment'!$K:$K,0)),""),IF(F402="Trap",IFERROR(INDEX('Shooter-Squad Assignment'!$A:$A,MATCH(C402&amp;"-"&amp;E402&amp;"-"&amp;F402&amp;"-Pos4",'Shooter-Squad Assignment'!$W:$W,0)),""),IF(F402="Sporting Clays",IFERROR(INDEX('Shooter-Squad Assignment'!$A:$A,MATCH(C402&amp;"-"&amp;E402&amp;"-"&amp;F402&amp;"-Pos4",'Shooter-Squad Assignment'!$Z:$Z,0)),""),"")))</f>
        <v/>
      </c>
      <c r="N402" s="88" t="str">
        <f>IF(ISBLANK(M402),"",IFERROR(INDEX('Tournament List'!$D:$D,MATCH(M402,'Tournament List'!$A:$A,0)),""))</f>
        <v/>
      </c>
      <c r="O402" s="96" t="str">
        <f>IF(F402="Skeet",IFERROR(INDEX('Shooter-Squad Assignment'!$A:$A,MATCH(C402&amp;"-"&amp;E402&amp;"-"&amp;F402&amp;"-Pos5",'Shooter-Squad Assignment'!$K:$K,0)),""),IF(F402="Trap",IFERROR(INDEX('Shooter-Squad Assignment'!$A:$A,MATCH(C402&amp;"-"&amp;E402&amp;"-"&amp;F402&amp;"-Pos5",'Shooter-Squad Assignment'!$W:$W,0)),""),IF(F402="Sporting Clays",IFERROR(INDEX('Shooter-Squad Assignment'!$A:$A,MATCH(C402&amp;"-"&amp;E402&amp;"-"&amp;F402&amp;"-Pos5",'Shooter-Squad Assignment'!$Z:$Z,0)),""),"")))</f>
        <v/>
      </c>
      <c r="P402" s="89" t="str">
        <f>IF(ISBLANK(O402),"",IFERROR(INDEX('Tournament List'!$D:$D,MATCH(O402,'Tournament List'!$A:$A,0)),""))</f>
        <v/>
      </c>
    </row>
    <row r="403" spans="1:16" x14ac:dyDescent="0.3">
      <c r="A403" s="87">
        <v>402</v>
      </c>
      <c r="B403" s="88" t="str">
        <f>C403&amp;"-"&amp;E403&amp;"-"&amp;F403</f>
        <v>-Collegiate 3-Skeet</v>
      </c>
      <c r="C403" s="88"/>
      <c r="D403" s="88" t="str">
        <f>INDEX('Tournament Setup'!$B$59:$B$78,MATCH(E403,SquadConcurrents,0))</f>
        <v>Collegiate</v>
      </c>
      <c r="E403" s="88" t="s">
        <v>354</v>
      </c>
      <c r="F403" s="88" t="s">
        <v>143</v>
      </c>
      <c r="G403" s="96" t="str">
        <f>IF(F403="Skeet",IFERROR(INDEX('Shooter-Squad Assignment'!$A:$A,MATCH(C403&amp;"-"&amp;E403&amp;"-"&amp;F403&amp;"-Pos1",'Shooter-Squad Assignment'!$K:$K,0)),""),IF(F403="Trap",IFERROR(INDEX('Shooter-Squad Assignment'!$A:$A,MATCH(C403&amp;"-"&amp;E403&amp;"-"&amp;F403&amp;"-Pos1",'Shooter-Squad Assignment'!$W:$W,0)),""),IF(F403="Sporting Clays",IFERROR(INDEX('Shooter-Squad Assignment'!$A:$A,MATCH(C403&amp;"-"&amp;E403&amp;"-"&amp;F403&amp;"-Pos1",'Shooter-Squad Assignment'!$Z:$Z,0)),""),"")))</f>
        <v/>
      </c>
      <c r="H403" s="88" t="str">
        <f>IF(ISBLANK(G403),"",IFERROR(INDEX('Tournament List'!$D:$D,MATCH(G403,'Tournament List'!$A:$A,0)),""))</f>
        <v/>
      </c>
      <c r="I403" s="96" t="str">
        <f>IF(F403="Skeet",IFERROR(INDEX('Shooter-Squad Assignment'!$A:$A,MATCH(C403&amp;"-"&amp;E403&amp;"-"&amp;F403&amp;"-Pos2",'Shooter-Squad Assignment'!$K:$K,0)),""),IF(F403="Trap",IFERROR(INDEX('Shooter-Squad Assignment'!$A:$A,MATCH(C403&amp;"-"&amp;E403&amp;"-"&amp;F403&amp;"-Pos2",'Shooter-Squad Assignment'!$W:$W,0)),""),IF(F403="Sporting Clays",IFERROR(INDEX('Shooter-Squad Assignment'!$A:$A,MATCH(C403&amp;"-"&amp;E403&amp;"-"&amp;F403&amp;"-Pos2",'Shooter-Squad Assignment'!$Z:$Z,0)),""),"")))</f>
        <v/>
      </c>
      <c r="J403" s="88" t="str">
        <f>IF(ISBLANK(I403),"",IFERROR(INDEX('Tournament List'!$D:$D,MATCH(I403,'Tournament List'!$A:$A,0)),""))</f>
        <v/>
      </c>
      <c r="K403" s="96" t="str">
        <f>IF(F403="Skeet",IFERROR(INDEX('Shooter-Squad Assignment'!$A:$A,MATCH(C403&amp;"-"&amp;E403&amp;"-"&amp;F403&amp;"-Pos3",'Shooter-Squad Assignment'!$K:$K,0)),""),IF(F403="Trap",IFERROR(INDEX('Shooter-Squad Assignment'!$A:$A,MATCH(C403&amp;"-"&amp;E403&amp;"-"&amp;F403&amp;"-Pos3",'Shooter-Squad Assignment'!$W:$W,0)),""),IF(F403="Sporting Clays",IFERROR(INDEX('Shooter-Squad Assignment'!$A:$A,MATCH(C403&amp;"-"&amp;E403&amp;"-"&amp;F403&amp;"-Pos3",'Shooter-Squad Assignment'!$Z:$Z,0)),""),"")))</f>
        <v/>
      </c>
      <c r="L403" s="88" t="str">
        <f>IF(ISBLANK(K403),"",IFERROR(INDEX('Tournament List'!$D:$D,MATCH(K403,'Tournament List'!$A:$A,0)),""))</f>
        <v/>
      </c>
      <c r="M403" s="96" t="str">
        <f>IF(F403="Skeet",IFERROR(INDEX('Shooter-Squad Assignment'!$A:$A,MATCH(C403&amp;"-"&amp;E403&amp;"-"&amp;F403&amp;"-Pos4",'Shooter-Squad Assignment'!$K:$K,0)),""),IF(F403="Trap",IFERROR(INDEX('Shooter-Squad Assignment'!$A:$A,MATCH(C403&amp;"-"&amp;E403&amp;"-"&amp;F403&amp;"-Pos4",'Shooter-Squad Assignment'!$W:$W,0)),""),IF(F403="Sporting Clays",IFERROR(INDEX('Shooter-Squad Assignment'!$A:$A,MATCH(C403&amp;"-"&amp;E403&amp;"-"&amp;F403&amp;"-Pos4",'Shooter-Squad Assignment'!$Z:$Z,0)),""),"")))</f>
        <v/>
      </c>
      <c r="N403" s="88" t="str">
        <f>IF(ISBLANK(M403),"",IFERROR(INDEX('Tournament List'!$D:$D,MATCH(M403,'Tournament List'!$A:$A,0)),""))</f>
        <v/>
      </c>
      <c r="O403" s="96" t="str">
        <f>IF(F403="Skeet",IFERROR(INDEX('Shooter-Squad Assignment'!$A:$A,MATCH(C403&amp;"-"&amp;E403&amp;"-"&amp;F403&amp;"-Pos5",'Shooter-Squad Assignment'!$K:$K,0)),""),IF(F403="Trap",IFERROR(INDEX('Shooter-Squad Assignment'!$A:$A,MATCH(C403&amp;"-"&amp;E403&amp;"-"&amp;F403&amp;"-Pos5",'Shooter-Squad Assignment'!$W:$W,0)),""),IF(F403="Sporting Clays",IFERROR(INDEX('Shooter-Squad Assignment'!$A:$A,MATCH(C403&amp;"-"&amp;E403&amp;"-"&amp;F403&amp;"-Pos5",'Shooter-Squad Assignment'!$Z:$Z,0)),""),"")))</f>
        <v/>
      </c>
      <c r="P403" s="89" t="str">
        <f>IF(ISBLANK(O403),"",IFERROR(INDEX('Tournament List'!$D:$D,MATCH(O403,'Tournament List'!$A:$A,0)),""))</f>
        <v/>
      </c>
    </row>
    <row r="404" spans="1:16" x14ac:dyDescent="0.3">
      <c r="A404" s="87">
        <v>403</v>
      </c>
      <c r="B404" s="88" t="str">
        <f>C404&amp;"-"&amp;E404&amp;"-"&amp;F404</f>
        <v>-Intermediate 1-Skeet</v>
      </c>
      <c r="C404" s="88"/>
      <c r="D404" s="88" t="str">
        <f>INDEX('Tournament Setup'!$B$59:$B$78,MATCH(E404,SquadConcurrents,0))</f>
        <v>Intermediate</v>
      </c>
      <c r="E404" s="88" t="s">
        <v>338</v>
      </c>
      <c r="F404" s="88" t="s">
        <v>143</v>
      </c>
      <c r="G404" s="96" t="str">
        <f>IF(F404="Skeet",IFERROR(INDEX('Shooter-Squad Assignment'!$A:$A,MATCH(C404&amp;"-"&amp;E404&amp;"-"&amp;F404&amp;"-Pos1",'Shooter-Squad Assignment'!$K:$K,0)),""),IF(F404="Trap",IFERROR(INDEX('Shooter-Squad Assignment'!$A:$A,MATCH(C404&amp;"-"&amp;E404&amp;"-"&amp;F404&amp;"-Pos1",'Shooter-Squad Assignment'!$W:$W,0)),""),IF(F404="Sporting Clays",IFERROR(INDEX('Shooter-Squad Assignment'!$A:$A,MATCH(C404&amp;"-"&amp;E404&amp;"-"&amp;F404&amp;"-Pos1",'Shooter-Squad Assignment'!$Z:$Z,0)),""),"")))</f>
        <v/>
      </c>
      <c r="H404" s="88" t="str">
        <f>IF(ISBLANK(G404),"",IFERROR(INDEX('Tournament List'!$D:$D,MATCH(G404,'Tournament List'!$A:$A,0)),""))</f>
        <v/>
      </c>
      <c r="I404" s="96" t="str">
        <f>IF(F404="Skeet",IFERROR(INDEX('Shooter-Squad Assignment'!$A:$A,MATCH(C404&amp;"-"&amp;E404&amp;"-"&amp;F404&amp;"-Pos2",'Shooter-Squad Assignment'!$K:$K,0)),""),IF(F404="Trap",IFERROR(INDEX('Shooter-Squad Assignment'!$A:$A,MATCH(C404&amp;"-"&amp;E404&amp;"-"&amp;F404&amp;"-Pos2",'Shooter-Squad Assignment'!$W:$W,0)),""),IF(F404="Sporting Clays",IFERROR(INDEX('Shooter-Squad Assignment'!$A:$A,MATCH(C404&amp;"-"&amp;E404&amp;"-"&amp;F404&amp;"-Pos2",'Shooter-Squad Assignment'!$Z:$Z,0)),""),"")))</f>
        <v/>
      </c>
      <c r="J404" s="88" t="str">
        <f>IF(ISBLANK(I404),"",IFERROR(INDEX('Tournament List'!$D:$D,MATCH(I404,'Tournament List'!$A:$A,0)),""))</f>
        <v/>
      </c>
      <c r="K404" s="96" t="str">
        <f>IF(F404="Skeet",IFERROR(INDEX('Shooter-Squad Assignment'!$A:$A,MATCH(C404&amp;"-"&amp;E404&amp;"-"&amp;F404&amp;"-Pos3",'Shooter-Squad Assignment'!$K:$K,0)),""),IF(F404="Trap",IFERROR(INDEX('Shooter-Squad Assignment'!$A:$A,MATCH(C404&amp;"-"&amp;E404&amp;"-"&amp;F404&amp;"-Pos3",'Shooter-Squad Assignment'!$W:$W,0)),""),IF(F404="Sporting Clays",IFERROR(INDEX('Shooter-Squad Assignment'!$A:$A,MATCH(C404&amp;"-"&amp;E404&amp;"-"&amp;F404&amp;"-Pos3",'Shooter-Squad Assignment'!$Z:$Z,0)),""),"")))</f>
        <v/>
      </c>
      <c r="L404" s="88" t="str">
        <f>IF(ISBLANK(K404),"",IFERROR(INDEX('Tournament List'!$D:$D,MATCH(K404,'Tournament List'!$A:$A,0)),""))</f>
        <v/>
      </c>
      <c r="M404" s="96" t="str">
        <f>IF(F404="Skeet",IFERROR(INDEX('Shooter-Squad Assignment'!$A:$A,MATCH(C404&amp;"-"&amp;E404&amp;"-"&amp;F404&amp;"-Pos4",'Shooter-Squad Assignment'!$K:$K,0)),""),IF(F404="Trap",IFERROR(INDEX('Shooter-Squad Assignment'!$A:$A,MATCH(C404&amp;"-"&amp;E404&amp;"-"&amp;F404&amp;"-Pos4",'Shooter-Squad Assignment'!$W:$W,0)),""),IF(F404="Sporting Clays",IFERROR(INDEX('Shooter-Squad Assignment'!$A:$A,MATCH(C404&amp;"-"&amp;E404&amp;"-"&amp;F404&amp;"-Pos4",'Shooter-Squad Assignment'!$Z:$Z,0)),""),"")))</f>
        <v/>
      </c>
      <c r="N404" s="88" t="str">
        <f>IF(ISBLANK(M404),"",IFERROR(INDEX('Tournament List'!$D:$D,MATCH(M404,'Tournament List'!$A:$A,0)),""))</f>
        <v/>
      </c>
      <c r="O404" s="96" t="str">
        <f>IF(F404="Skeet",IFERROR(INDEX('Shooter-Squad Assignment'!$A:$A,MATCH(C404&amp;"-"&amp;E404&amp;"-"&amp;F404&amp;"-Pos5",'Shooter-Squad Assignment'!$K:$K,0)),""),IF(F404="Trap",IFERROR(INDEX('Shooter-Squad Assignment'!$A:$A,MATCH(C404&amp;"-"&amp;E404&amp;"-"&amp;F404&amp;"-Pos5",'Shooter-Squad Assignment'!$W:$W,0)),""),IF(F404="Sporting Clays",IFERROR(INDEX('Shooter-Squad Assignment'!$A:$A,MATCH(C404&amp;"-"&amp;E404&amp;"-"&amp;F404&amp;"-Pos5",'Shooter-Squad Assignment'!$Z:$Z,0)),""),"")))</f>
        <v/>
      </c>
      <c r="P404" s="89" t="str">
        <f>IF(ISBLANK(O404),"",IFERROR(INDEX('Tournament List'!$D:$D,MATCH(O404,'Tournament List'!$A:$A,0)),""))</f>
        <v/>
      </c>
    </row>
    <row r="405" spans="1:16" x14ac:dyDescent="0.3">
      <c r="A405" s="87">
        <v>404</v>
      </c>
      <c r="B405" s="88" t="str">
        <f>C405&amp;"-"&amp;E405&amp;"-"&amp;F405</f>
        <v>-Intermediate 2-Skeet</v>
      </c>
      <c r="C405" s="88"/>
      <c r="D405" s="88" t="str">
        <f>INDEX('Tournament Setup'!$B$59:$B$78,MATCH(E405,SquadConcurrents,0))</f>
        <v>Intermediate</v>
      </c>
      <c r="E405" s="88" t="s">
        <v>344</v>
      </c>
      <c r="F405" s="88" t="s">
        <v>143</v>
      </c>
      <c r="G405" s="96" t="str">
        <f>IF(F405="Skeet",IFERROR(INDEX('Shooter-Squad Assignment'!$A:$A,MATCH(C405&amp;"-"&amp;E405&amp;"-"&amp;F405&amp;"-Pos1",'Shooter-Squad Assignment'!$K:$K,0)),""),IF(F405="Trap",IFERROR(INDEX('Shooter-Squad Assignment'!$A:$A,MATCH(C405&amp;"-"&amp;E405&amp;"-"&amp;F405&amp;"-Pos1",'Shooter-Squad Assignment'!$W:$W,0)),""),IF(F405="Sporting Clays",IFERROR(INDEX('Shooter-Squad Assignment'!$A:$A,MATCH(C405&amp;"-"&amp;E405&amp;"-"&amp;F405&amp;"-Pos1",'Shooter-Squad Assignment'!$Z:$Z,0)),""),"")))</f>
        <v/>
      </c>
      <c r="H405" s="88" t="str">
        <f>IF(ISBLANK(G405),"",IFERROR(INDEX('Tournament List'!$D:$D,MATCH(G405,'Tournament List'!$A:$A,0)),""))</f>
        <v/>
      </c>
      <c r="I405" s="96" t="str">
        <f>IF(F405="Skeet",IFERROR(INDEX('Shooter-Squad Assignment'!$A:$A,MATCH(C405&amp;"-"&amp;E405&amp;"-"&amp;F405&amp;"-Pos2",'Shooter-Squad Assignment'!$K:$K,0)),""),IF(F405="Trap",IFERROR(INDEX('Shooter-Squad Assignment'!$A:$A,MATCH(C405&amp;"-"&amp;E405&amp;"-"&amp;F405&amp;"-Pos2",'Shooter-Squad Assignment'!$W:$W,0)),""),IF(F405="Sporting Clays",IFERROR(INDEX('Shooter-Squad Assignment'!$A:$A,MATCH(C405&amp;"-"&amp;E405&amp;"-"&amp;F405&amp;"-Pos2",'Shooter-Squad Assignment'!$Z:$Z,0)),""),"")))</f>
        <v/>
      </c>
      <c r="J405" s="88" t="str">
        <f>IF(ISBLANK(I405),"",IFERROR(INDEX('Tournament List'!$D:$D,MATCH(I405,'Tournament List'!$A:$A,0)),""))</f>
        <v/>
      </c>
      <c r="K405" s="96" t="str">
        <f>IF(F405="Skeet",IFERROR(INDEX('Shooter-Squad Assignment'!$A:$A,MATCH(C405&amp;"-"&amp;E405&amp;"-"&amp;F405&amp;"-Pos3",'Shooter-Squad Assignment'!$K:$K,0)),""),IF(F405="Trap",IFERROR(INDEX('Shooter-Squad Assignment'!$A:$A,MATCH(C405&amp;"-"&amp;E405&amp;"-"&amp;F405&amp;"-Pos3",'Shooter-Squad Assignment'!$W:$W,0)),""),IF(F405="Sporting Clays",IFERROR(INDEX('Shooter-Squad Assignment'!$A:$A,MATCH(C405&amp;"-"&amp;E405&amp;"-"&amp;F405&amp;"-Pos3",'Shooter-Squad Assignment'!$Z:$Z,0)),""),"")))</f>
        <v/>
      </c>
      <c r="L405" s="88" t="str">
        <f>IF(ISBLANK(K405),"",IFERROR(INDEX('Tournament List'!$D:$D,MATCH(K405,'Tournament List'!$A:$A,0)),""))</f>
        <v/>
      </c>
      <c r="M405" s="96" t="str">
        <f>IF(F405="Skeet",IFERROR(INDEX('Shooter-Squad Assignment'!$A:$A,MATCH(C405&amp;"-"&amp;E405&amp;"-"&amp;F405&amp;"-Pos4",'Shooter-Squad Assignment'!$K:$K,0)),""),IF(F405="Trap",IFERROR(INDEX('Shooter-Squad Assignment'!$A:$A,MATCH(C405&amp;"-"&amp;E405&amp;"-"&amp;F405&amp;"-Pos4",'Shooter-Squad Assignment'!$W:$W,0)),""),IF(F405="Sporting Clays",IFERROR(INDEX('Shooter-Squad Assignment'!$A:$A,MATCH(C405&amp;"-"&amp;E405&amp;"-"&amp;F405&amp;"-Pos4",'Shooter-Squad Assignment'!$Z:$Z,0)),""),"")))</f>
        <v/>
      </c>
      <c r="N405" s="88" t="str">
        <f>IF(ISBLANK(M405),"",IFERROR(INDEX('Tournament List'!$D:$D,MATCH(M405,'Tournament List'!$A:$A,0)),""))</f>
        <v/>
      </c>
      <c r="O405" s="96" t="str">
        <f>IF(F405="Skeet",IFERROR(INDEX('Shooter-Squad Assignment'!$A:$A,MATCH(C405&amp;"-"&amp;E405&amp;"-"&amp;F405&amp;"-Pos5",'Shooter-Squad Assignment'!$K:$K,0)),""),IF(F405="Trap",IFERROR(INDEX('Shooter-Squad Assignment'!$A:$A,MATCH(C405&amp;"-"&amp;E405&amp;"-"&amp;F405&amp;"-Pos5",'Shooter-Squad Assignment'!$W:$W,0)),""),IF(F405="Sporting Clays",IFERROR(INDEX('Shooter-Squad Assignment'!$A:$A,MATCH(C405&amp;"-"&amp;E405&amp;"-"&amp;F405&amp;"-Pos5",'Shooter-Squad Assignment'!$Z:$Z,0)),""),"")))</f>
        <v/>
      </c>
      <c r="P405" s="89" t="str">
        <f>IF(ISBLANK(O405),"",IFERROR(INDEX('Tournament List'!$D:$D,MATCH(O405,'Tournament List'!$A:$A,0)),""))</f>
        <v/>
      </c>
    </row>
    <row r="406" spans="1:16" x14ac:dyDescent="0.3">
      <c r="A406" s="87">
        <v>405</v>
      </c>
      <c r="B406" s="88" t="str">
        <f>C406&amp;"-"&amp;E406&amp;"-"&amp;F406</f>
        <v>-Intermediate 3-Skeet</v>
      </c>
      <c r="C406" s="88"/>
      <c r="D406" s="88" t="str">
        <f>INDEX('Tournament Setup'!$B$59:$B$78,MATCH(E406,SquadConcurrents,0))</f>
        <v>Intermediate</v>
      </c>
      <c r="E406" s="88" t="s">
        <v>350</v>
      </c>
      <c r="F406" s="88" t="s">
        <v>143</v>
      </c>
      <c r="G406" s="96" t="str">
        <f>IF(F406="Skeet",IFERROR(INDEX('Shooter-Squad Assignment'!$A:$A,MATCH(C406&amp;"-"&amp;E406&amp;"-"&amp;F406&amp;"-Pos1",'Shooter-Squad Assignment'!$K:$K,0)),""),IF(F406="Trap",IFERROR(INDEX('Shooter-Squad Assignment'!$A:$A,MATCH(C406&amp;"-"&amp;E406&amp;"-"&amp;F406&amp;"-Pos1",'Shooter-Squad Assignment'!$W:$W,0)),""),IF(F406="Sporting Clays",IFERROR(INDEX('Shooter-Squad Assignment'!$A:$A,MATCH(C406&amp;"-"&amp;E406&amp;"-"&amp;F406&amp;"-Pos1",'Shooter-Squad Assignment'!$Z:$Z,0)),""),"")))</f>
        <v/>
      </c>
      <c r="H406" s="88" t="str">
        <f>IF(ISBLANK(G406),"",IFERROR(INDEX('Tournament List'!$D:$D,MATCH(G406,'Tournament List'!$A:$A,0)),""))</f>
        <v/>
      </c>
      <c r="I406" s="96" t="str">
        <f>IF(F406="Skeet",IFERROR(INDEX('Shooter-Squad Assignment'!$A:$A,MATCH(C406&amp;"-"&amp;E406&amp;"-"&amp;F406&amp;"-Pos2",'Shooter-Squad Assignment'!$K:$K,0)),""),IF(F406="Trap",IFERROR(INDEX('Shooter-Squad Assignment'!$A:$A,MATCH(C406&amp;"-"&amp;E406&amp;"-"&amp;F406&amp;"-Pos2",'Shooter-Squad Assignment'!$W:$W,0)),""),IF(F406="Sporting Clays",IFERROR(INDEX('Shooter-Squad Assignment'!$A:$A,MATCH(C406&amp;"-"&amp;E406&amp;"-"&amp;F406&amp;"-Pos2",'Shooter-Squad Assignment'!$Z:$Z,0)),""),"")))</f>
        <v/>
      </c>
      <c r="J406" s="88" t="str">
        <f>IF(ISBLANK(I406),"",IFERROR(INDEX('Tournament List'!$D:$D,MATCH(I406,'Tournament List'!$A:$A,0)),""))</f>
        <v/>
      </c>
      <c r="K406" s="96" t="str">
        <f>IF(F406="Skeet",IFERROR(INDEX('Shooter-Squad Assignment'!$A:$A,MATCH(C406&amp;"-"&amp;E406&amp;"-"&amp;F406&amp;"-Pos3",'Shooter-Squad Assignment'!$K:$K,0)),""),IF(F406="Trap",IFERROR(INDEX('Shooter-Squad Assignment'!$A:$A,MATCH(C406&amp;"-"&amp;E406&amp;"-"&amp;F406&amp;"-Pos3",'Shooter-Squad Assignment'!$W:$W,0)),""),IF(F406="Sporting Clays",IFERROR(INDEX('Shooter-Squad Assignment'!$A:$A,MATCH(C406&amp;"-"&amp;E406&amp;"-"&amp;F406&amp;"-Pos3",'Shooter-Squad Assignment'!$Z:$Z,0)),""),"")))</f>
        <v/>
      </c>
      <c r="L406" s="88" t="str">
        <f>IF(ISBLANK(K406),"",IFERROR(INDEX('Tournament List'!$D:$D,MATCH(K406,'Tournament List'!$A:$A,0)),""))</f>
        <v/>
      </c>
      <c r="M406" s="96" t="str">
        <f>IF(F406="Skeet",IFERROR(INDEX('Shooter-Squad Assignment'!$A:$A,MATCH(C406&amp;"-"&amp;E406&amp;"-"&amp;F406&amp;"-Pos4",'Shooter-Squad Assignment'!$K:$K,0)),""),IF(F406="Trap",IFERROR(INDEX('Shooter-Squad Assignment'!$A:$A,MATCH(C406&amp;"-"&amp;E406&amp;"-"&amp;F406&amp;"-Pos4",'Shooter-Squad Assignment'!$W:$W,0)),""),IF(F406="Sporting Clays",IFERROR(INDEX('Shooter-Squad Assignment'!$A:$A,MATCH(C406&amp;"-"&amp;E406&amp;"-"&amp;F406&amp;"-Pos4",'Shooter-Squad Assignment'!$Z:$Z,0)),""),"")))</f>
        <v/>
      </c>
      <c r="N406" s="88" t="str">
        <f>IF(ISBLANK(M406),"",IFERROR(INDEX('Tournament List'!$D:$D,MATCH(M406,'Tournament List'!$A:$A,0)),""))</f>
        <v/>
      </c>
      <c r="O406" s="96" t="str">
        <f>IF(F406="Skeet",IFERROR(INDEX('Shooter-Squad Assignment'!$A:$A,MATCH(C406&amp;"-"&amp;E406&amp;"-"&amp;F406&amp;"-Pos5",'Shooter-Squad Assignment'!$K:$K,0)),""),IF(F406="Trap",IFERROR(INDEX('Shooter-Squad Assignment'!$A:$A,MATCH(C406&amp;"-"&amp;E406&amp;"-"&amp;F406&amp;"-Pos5",'Shooter-Squad Assignment'!$W:$W,0)),""),IF(F406="Sporting Clays",IFERROR(INDEX('Shooter-Squad Assignment'!$A:$A,MATCH(C406&amp;"-"&amp;E406&amp;"-"&amp;F406&amp;"-Pos5",'Shooter-Squad Assignment'!$Z:$Z,0)),""),"")))</f>
        <v/>
      </c>
      <c r="P406" s="89" t="str">
        <f>IF(ISBLANK(O406),"",IFERROR(INDEX('Tournament List'!$D:$D,MATCH(O406,'Tournament List'!$A:$A,0)),""))</f>
        <v/>
      </c>
    </row>
    <row r="407" spans="1:16" x14ac:dyDescent="0.3">
      <c r="A407" s="87">
        <v>406</v>
      </c>
      <c r="B407" s="88" t="str">
        <f>C407&amp;"-"&amp;E407&amp;"-"&amp;F407</f>
        <v>-Junior Varsity 1-Skeet</v>
      </c>
      <c r="C407" s="88"/>
      <c r="D407" s="88" t="str">
        <f>INDEX('Tournament Setup'!$B$59:$B$78,MATCH(E407,SquadConcurrents,0))</f>
        <v>Junior Varsity</v>
      </c>
      <c r="E407" s="88" t="s">
        <v>339</v>
      </c>
      <c r="F407" s="88" t="s">
        <v>143</v>
      </c>
      <c r="G407" s="96" t="str">
        <f>IF(F407="Skeet",IFERROR(INDEX('Shooter-Squad Assignment'!$A:$A,MATCH(C407&amp;"-"&amp;E407&amp;"-"&amp;F407&amp;"-Pos1",'Shooter-Squad Assignment'!$K:$K,0)),""),IF(F407="Trap",IFERROR(INDEX('Shooter-Squad Assignment'!$A:$A,MATCH(C407&amp;"-"&amp;E407&amp;"-"&amp;F407&amp;"-Pos1",'Shooter-Squad Assignment'!$W:$W,0)),""),IF(F407="Sporting Clays",IFERROR(INDEX('Shooter-Squad Assignment'!$A:$A,MATCH(C407&amp;"-"&amp;E407&amp;"-"&amp;F407&amp;"-Pos1",'Shooter-Squad Assignment'!$Z:$Z,0)),""),"")))</f>
        <v/>
      </c>
      <c r="H407" s="88" t="str">
        <f>IF(ISBLANK(G407),"",IFERROR(INDEX('Tournament List'!$D:$D,MATCH(G407,'Tournament List'!$A:$A,0)),""))</f>
        <v/>
      </c>
      <c r="I407" s="96" t="str">
        <f>IF(F407="Skeet",IFERROR(INDEX('Shooter-Squad Assignment'!$A:$A,MATCH(C407&amp;"-"&amp;E407&amp;"-"&amp;F407&amp;"-Pos2",'Shooter-Squad Assignment'!$K:$K,0)),""),IF(F407="Trap",IFERROR(INDEX('Shooter-Squad Assignment'!$A:$A,MATCH(C407&amp;"-"&amp;E407&amp;"-"&amp;F407&amp;"-Pos2",'Shooter-Squad Assignment'!$W:$W,0)),""),IF(F407="Sporting Clays",IFERROR(INDEX('Shooter-Squad Assignment'!$A:$A,MATCH(C407&amp;"-"&amp;E407&amp;"-"&amp;F407&amp;"-Pos2",'Shooter-Squad Assignment'!$Z:$Z,0)),""),"")))</f>
        <v/>
      </c>
      <c r="J407" s="88" t="str">
        <f>IF(ISBLANK(I407),"",IFERROR(INDEX('Tournament List'!$D:$D,MATCH(I407,'Tournament List'!$A:$A,0)),""))</f>
        <v/>
      </c>
      <c r="K407" s="96" t="str">
        <f>IF(F407="Skeet",IFERROR(INDEX('Shooter-Squad Assignment'!$A:$A,MATCH(C407&amp;"-"&amp;E407&amp;"-"&amp;F407&amp;"-Pos3",'Shooter-Squad Assignment'!$K:$K,0)),""),IF(F407="Trap",IFERROR(INDEX('Shooter-Squad Assignment'!$A:$A,MATCH(C407&amp;"-"&amp;E407&amp;"-"&amp;F407&amp;"-Pos3",'Shooter-Squad Assignment'!$W:$W,0)),""),IF(F407="Sporting Clays",IFERROR(INDEX('Shooter-Squad Assignment'!$A:$A,MATCH(C407&amp;"-"&amp;E407&amp;"-"&amp;F407&amp;"-Pos3",'Shooter-Squad Assignment'!$Z:$Z,0)),""),"")))</f>
        <v/>
      </c>
      <c r="L407" s="88" t="str">
        <f>IF(ISBLANK(K407),"",IFERROR(INDEX('Tournament List'!$D:$D,MATCH(K407,'Tournament List'!$A:$A,0)),""))</f>
        <v/>
      </c>
      <c r="M407" s="96" t="str">
        <f>IF(F407="Skeet",IFERROR(INDEX('Shooter-Squad Assignment'!$A:$A,MATCH(C407&amp;"-"&amp;E407&amp;"-"&amp;F407&amp;"-Pos4",'Shooter-Squad Assignment'!$K:$K,0)),""),IF(F407="Trap",IFERROR(INDEX('Shooter-Squad Assignment'!$A:$A,MATCH(C407&amp;"-"&amp;E407&amp;"-"&amp;F407&amp;"-Pos4",'Shooter-Squad Assignment'!$W:$W,0)),""),IF(F407="Sporting Clays",IFERROR(INDEX('Shooter-Squad Assignment'!$A:$A,MATCH(C407&amp;"-"&amp;E407&amp;"-"&amp;F407&amp;"-Pos4",'Shooter-Squad Assignment'!$Z:$Z,0)),""),"")))</f>
        <v/>
      </c>
      <c r="N407" s="88" t="str">
        <f>IF(ISBLANK(M407),"",IFERROR(INDEX('Tournament List'!$D:$D,MATCH(M407,'Tournament List'!$A:$A,0)),""))</f>
        <v/>
      </c>
      <c r="O407" s="96" t="str">
        <f>IF(F407="Skeet",IFERROR(INDEX('Shooter-Squad Assignment'!$A:$A,MATCH(C407&amp;"-"&amp;E407&amp;"-"&amp;F407&amp;"-Pos5",'Shooter-Squad Assignment'!$K:$K,0)),""),IF(F407="Trap",IFERROR(INDEX('Shooter-Squad Assignment'!$A:$A,MATCH(C407&amp;"-"&amp;E407&amp;"-"&amp;F407&amp;"-Pos5",'Shooter-Squad Assignment'!$W:$W,0)),""),IF(F407="Sporting Clays",IFERROR(INDEX('Shooter-Squad Assignment'!$A:$A,MATCH(C407&amp;"-"&amp;E407&amp;"-"&amp;F407&amp;"-Pos5",'Shooter-Squad Assignment'!$Z:$Z,0)),""),"")))</f>
        <v/>
      </c>
      <c r="P407" s="89" t="str">
        <f>IF(ISBLANK(O407),"",IFERROR(INDEX('Tournament List'!$D:$D,MATCH(O407,'Tournament List'!$A:$A,0)),""))</f>
        <v/>
      </c>
    </row>
    <row r="408" spans="1:16" x14ac:dyDescent="0.3">
      <c r="A408" s="87">
        <v>407</v>
      </c>
      <c r="B408" s="88" t="str">
        <f>C408&amp;"-"&amp;E408&amp;"-"&amp;F408</f>
        <v>-Junior Varsity 2-Skeet</v>
      </c>
      <c r="C408" s="88"/>
      <c r="D408" s="88" t="str">
        <f>INDEX('Tournament Setup'!$B$59:$B$78,MATCH(E408,SquadConcurrents,0))</f>
        <v>Junior Varsity</v>
      </c>
      <c r="E408" s="88" t="s">
        <v>345</v>
      </c>
      <c r="F408" s="88" t="s">
        <v>143</v>
      </c>
      <c r="G408" s="96" t="str">
        <f>IF(F408="Skeet",IFERROR(INDEX('Shooter-Squad Assignment'!$A:$A,MATCH(C408&amp;"-"&amp;E408&amp;"-"&amp;F408&amp;"-Pos1",'Shooter-Squad Assignment'!$K:$K,0)),""),IF(F408="Trap",IFERROR(INDEX('Shooter-Squad Assignment'!$A:$A,MATCH(C408&amp;"-"&amp;E408&amp;"-"&amp;F408&amp;"-Pos1",'Shooter-Squad Assignment'!$W:$W,0)),""),IF(F408="Sporting Clays",IFERROR(INDEX('Shooter-Squad Assignment'!$A:$A,MATCH(C408&amp;"-"&amp;E408&amp;"-"&amp;F408&amp;"-Pos1",'Shooter-Squad Assignment'!$Z:$Z,0)),""),"")))</f>
        <v/>
      </c>
      <c r="H408" s="88" t="str">
        <f>IF(ISBLANK(G408),"",IFERROR(INDEX('Tournament List'!$D:$D,MATCH(G408,'Tournament List'!$A:$A,0)),""))</f>
        <v/>
      </c>
      <c r="I408" s="96" t="str">
        <f>IF(F408="Skeet",IFERROR(INDEX('Shooter-Squad Assignment'!$A:$A,MATCH(C408&amp;"-"&amp;E408&amp;"-"&amp;F408&amp;"-Pos2",'Shooter-Squad Assignment'!$K:$K,0)),""),IF(F408="Trap",IFERROR(INDEX('Shooter-Squad Assignment'!$A:$A,MATCH(C408&amp;"-"&amp;E408&amp;"-"&amp;F408&amp;"-Pos2",'Shooter-Squad Assignment'!$W:$W,0)),""),IF(F408="Sporting Clays",IFERROR(INDEX('Shooter-Squad Assignment'!$A:$A,MATCH(C408&amp;"-"&amp;E408&amp;"-"&amp;F408&amp;"-Pos2",'Shooter-Squad Assignment'!$Z:$Z,0)),""),"")))</f>
        <v/>
      </c>
      <c r="J408" s="88" t="str">
        <f>IF(ISBLANK(I408),"",IFERROR(INDEX('Tournament List'!$D:$D,MATCH(I408,'Tournament List'!$A:$A,0)),""))</f>
        <v/>
      </c>
      <c r="K408" s="96" t="str">
        <f>IF(F408="Skeet",IFERROR(INDEX('Shooter-Squad Assignment'!$A:$A,MATCH(C408&amp;"-"&amp;E408&amp;"-"&amp;F408&amp;"-Pos3",'Shooter-Squad Assignment'!$K:$K,0)),""),IF(F408="Trap",IFERROR(INDEX('Shooter-Squad Assignment'!$A:$A,MATCH(C408&amp;"-"&amp;E408&amp;"-"&amp;F408&amp;"-Pos3",'Shooter-Squad Assignment'!$W:$W,0)),""),IF(F408="Sporting Clays",IFERROR(INDEX('Shooter-Squad Assignment'!$A:$A,MATCH(C408&amp;"-"&amp;E408&amp;"-"&amp;F408&amp;"-Pos3",'Shooter-Squad Assignment'!$Z:$Z,0)),""),"")))</f>
        <v/>
      </c>
      <c r="L408" s="88" t="str">
        <f>IF(ISBLANK(K408),"",IFERROR(INDEX('Tournament List'!$D:$D,MATCH(K408,'Tournament List'!$A:$A,0)),""))</f>
        <v/>
      </c>
      <c r="M408" s="96" t="str">
        <f>IF(F408="Skeet",IFERROR(INDEX('Shooter-Squad Assignment'!$A:$A,MATCH(C408&amp;"-"&amp;E408&amp;"-"&amp;F408&amp;"-Pos4",'Shooter-Squad Assignment'!$K:$K,0)),""),IF(F408="Trap",IFERROR(INDEX('Shooter-Squad Assignment'!$A:$A,MATCH(C408&amp;"-"&amp;E408&amp;"-"&amp;F408&amp;"-Pos4",'Shooter-Squad Assignment'!$W:$W,0)),""),IF(F408="Sporting Clays",IFERROR(INDEX('Shooter-Squad Assignment'!$A:$A,MATCH(C408&amp;"-"&amp;E408&amp;"-"&amp;F408&amp;"-Pos4",'Shooter-Squad Assignment'!$Z:$Z,0)),""),"")))</f>
        <v/>
      </c>
      <c r="N408" s="88" t="str">
        <f>IF(ISBLANK(M408),"",IFERROR(INDEX('Tournament List'!$D:$D,MATCH(M408,'Tournament List'!$A:$A,0)),""))</f>
        <v/>
      </c>
      <c r="O408" s="96" t="str">
        <f>IF(F408="Skeet",IFERROR(INDEX('Shooter-Squad Assignment'!$A:$A,MATCH(C408&amp;"-"&amp;E408&amp;"-"&amp;F408&amp;"-Pos5",'Shooter-Squad Assignment'!$K:$K,0)),""),IF(F408="Trap",IFERROR(INDEX('Shooter-Squad Assignment'!$A:$A,MATCH(C408&amp;"-"&amp;E408&amp;"-"&amp;F408&amp;"-Pos5",'Shooter-Squad Assignment'!$W:$W,0)),""),IF(F408="Sporting Clays",IFERROR(INDEX('Shooter-Squad Assignment'!$A:$A,MATCH(C408&amp;"-"&amp;E408&amp;"-"&amp;F408&amp;"-Pos5",'Shooter-Squad Assignment'!$Z:$Z,0)),""),"")))</f>
        <v/>
      </c>
      <c r="P408" s="89" t="str">
        <f>IF(ISBLANK(O408),"",IFERROR(INDEX('Tournament List'!$D:$D,MATCH(O408,'Tournament List'!$A:$A,0)),""))</f>
        <v/>
      </c>
    </row>
    <row r="409" spans="1:16" x14ac:dyDescent="0.3">
      <c r="A409" s="87">
        <v>408</v>
      </c>
      <c r="B409" s="88" t="str">
        <f>C409&amp;"-"&amp;E409&amp;"-"&amp;F409</f>
        <v>-Junior Varsity 3-Skeet</v>
      </c>
      <c r="C409" s="88"/>
      <c r="D409" s="88" t="str">
        <f>INDEX('Tournament Setup'!$B$59:$B$78,MATCH(E409,SquadConcurrents,0))</f>
        <v>Junior Varsity</v>
      </c>
      <c r="E409" s="88" t="s">
        <v>351</v>
      </c>
      <c r="F409" s="88" t="s">
        <v>143</v>
      </c>
      <c r="G409" s="96" t="str">
        <f>IF(F409="Skeet",IFERROR(INDEX('Shooter-Squad Assignment'!$A:$A,MATCH(C409&amp;"-"&amp;E409&amp;"-"&amp;F409&amp;"-Pos1",'Shooter-Squad Assignment'!$K:$K,0)),""),IF(F409="Trap",IFERROR(INDEX('Shooter-Squad Assignment'!$A:$A,MATCH(C409&amp;"-"&amp;E409&amp;"-"&amp;F409&amp;"-Pos1",'Shooter-Squad Assignment'!$W:$W,0)),""),IF(F409="Sporting Clays",IFERROR(INDEX('Shooter-Squad Assignment'!$A:$A,MATCH(C409&amp;"-"&amp;E409&amp;"-"&amp;F409&amp;"-Pos1",'Shooter-Squad Assignment'!$Z:$Z,0)),""),"")))</f>
        <v/>
      </c>
      <c r="H409" s="88" t="str">
        <f>IF(ISBLANK(G409),"",IFERROR(INDEX('Tournament List'!$D:$D,MATCH(G409,'Tournament List'!$A:$A,0)),""))</f>
        <v/>
      </c>
      <c r="I409" s="96" t="str">
        <f>IF(F409="Skeet",IFERROR(INDEX('Shooter-Squad Assignment'!$A:$A,MATCH(C409&amp;"-"&amp;E409&amp;"-"&amp;F409&amp;"-Pos2",'Shooter-Squad Assignment'!$K:$K,0)),""),IF(F409="Trap",IFERROR(INDEX('Shooter-Squad Assignment'!$A:$A,MATCH(C409&amp;"-"&amp;E409&amp;"-"&amp;F409&amp;"-Pos2",'Shooter-Squad Assignment'!$W:$W,0)),""),IF(F409="Sporting Clays",IFERROR(INDEX('Shooter-Squad Assignment'!$A:$A,MATCH(C409&amp;"-"&amp;E409&amp;"-"&amp;F409&amp;"-Pos2",'Shooter-Squad Assignment'!$Z:$Z,0)),""),"")))</f>
        <v/>
      </c>
      <c r="J409" s="88" t="str">
        <f>IF(ISBLANK(I409),"",IFERROR(INDEX('Tournament List'!$D:$D,MATCH(I409,'Tournament List'!$A:$A,0)),""))</f>
        <v/>
      </c>
      <c r="K409" s="96" t="str">
        <f>IF(F409="Skeet",IFERROR(INDEX('Shooter-Squad Assignment'!$A:$A,MATCH(C409&amp;"-"&amp;E409&amp;"-"&amp;F409&amp;"-Pos3",'Shooter-Squad Assignment'!$K:$K,0)),""),IF(F409="Trap",IFERROR(INDEX('Shooter-Squad Assignment'!$A:$A,MATCH(C409&amp;"-"&amp;E409&amp;"-"&amp;F409&amp;"-Pos3",'Shooter-Squad Assignment'!$W:$W,0)),""),IF(F409="Sporting Clays",IFERROR(INDEX('Shooter-Squad Assignment'!$A:$A,MATCH(C409&amp;"-"&amp;E409&amp;"-"&amp;F409&amp;"-Pos3",'Shooter-Squad Assignment'!$Z:$Z,0)),""),"")))</f>
        <v/>
      </c>
      <c r="L409" s="88" t="str">
        <f>IF(ISBLANK(K409),"",IFERROR(INDEX('Tournament List'!$D:$D,MATCH(K409,'Tournament List'!$A:$A,0)),""))</f>
        <v/>
      </c>
      <c r="M409" s="96" t="str">
        <f>IF(F409="Skeet",IFERROR(INDEX('Shooter-Squad Assignment'!$A:$A,MATCH(C409&amp;"-"&amp;E409&amp;"-"&amp;F409&amp;"-Pos4",'Shooter-Squad Assignment'!$K:$K,0)),""),IF(F409="Trap",IFERROR(INDEX('Shooter-Squad Assignment'!$A:$A,MATCH(C409&amp;"-"&amp;E409&amp;"-"&amp;F409&amp;"-Pos4",'Shooter-Squad Assignment'!$W:$W,0)),""),IF(F409="Sporting Clays",IFERROR(INDEX('Shooter-Squad Assignment'!$A:$A,MATCH(C409&amp;"-"&amp;E409&amp;"-"&amp;F409&amp;"-Pos4",'Shooter-Squad Assignment'!$Z:$Z,0)),""),"")))</f>
        <v/>
      </c>
      <c r="N409" s="88" t="str">
        <f>IF(ISBLANK(M409),"",IFERROR(INDEX('Tournament List'!$D:$D,MATCH(M409,'Tournament List'!$A:$A,0)),""))</f>
        <v/>
      </c>
      <c r="O409" s="96" t="str">
        <f>IF(F409="Skeet",IFERROR(INDEX('Shooter-Squad Assignment'!$A:$A,MATCH(C409&amp;"-"&amp;E409&amp;"-"&amp;F409&amp;"-Pos5",'Shooter-Squad Assignment'!$K:$K,0)),""),IF(F409="Trap",IFERROR(INDEX('Shooter-Squad Assignment'!$A:$A,MATCH(C409&amp;"-"&amp;E409&amp;"-"&amp;F409&amp;"-Pos5",'Shooter-Squad Assignment'!$W:$W,0)),""),IF(F409="Sporting Clays",IFERROR(INDEX('Shooter-Squad Assignment'!$A:$A,MATCH(C409&amp;"-"&amp;E409&amp;"-"&amp;F409&amp;"-Pos5",'Shooter-Squad Assignment'!$Z:$Z,0)),""),"")))</f>
        <v/>
      </c>
      <c r="P409" s="89" t="str">
        <f>IF(ISBLANK(O409),"",IFERROR(INDEX('Tournament List'!$D:$D,MATCH(O409,'Tournament List'!$A:$A,0)),""))</f>
        <v/>
      </c>
    </row>
    <row r="410" spans="1:16" x14ac:dyDescent="0.3">
      <c r="A410" s="87">
        <v>409</v>
      </c>
      <c r="B410" s="88" t="str">
        <f>C410&amp;"-"&amp;E410&amp;"-"&amp;F410</f>
        <v>-Novice 1-Skeet</v>
      </c>
      <c r="C410" s="88"/>
      <c r="D410" s="88" t="str">
        <f>INDEX('Tournament Setup'!$B$59:$B$78,MATCH(E410,SquadConcurrents,0))</f>
        <v>Novice</v>
      </c>
      <c r="E410" s="88" t="s">
        <v>337</v>
      </c>
      <c r="F410" s="88" t="s">
        <v>143</v>
      </c>
      <c r="G410" s="96" t="str">
        <f>IF(F410="Skeet",IFERROR(INDEX('Shooter-Squad Assignment'!$A:$A,MATCH(C410&amp;"-"&amp;E410&amp;"-"&amp;F410&amp;"-Pos1",'Shooter-Squad Assignment'!$K:$K,0)),""),IF(F410="Trap",IFERROR(INDEX('Shooter-Squad Assignment'!$A:$A,MATCH(C410&amp;"-"&amp;E410&amp;"-"&amp;F410&amp;"-Pos1",'Shooter-Squad Assignment'!$W:$W,0)),""),IF(F410="Sporting Clays",IFERROR(INDEX('Shooter-Squad Assignment'!$A:$A,MATCH(C410&amp;"-"&amp;E410&amp;"-"&amp;F410&amp;"-Pos1",'Shooter-Squad Assignment'!$Z:$Z,0)),""),"")))</f>
        <v/>
      </c>
      <c r="H410" s="88" t="str">
        <f>IF(ISBLANK(G410),"",IFERROR(INDEX('Tournament List'!$D:$D,MATCH(G410,'Tournament List'!$A:$A,0)),""))</f>
        <v/>
      </c>
      <c r="I410" s="96" t="str">
        <f>IF(F410="Skeet",IFERROR(INDEX('Shooter-Squad Assignment'!$A:$A,MATCH(C410&amp;"-"&amp;E410&amp;"-"&amp;F410&amp;"-Pos2",'Shooter-Squad Assignment'!$K:$K,0)),""),IF(F410="Trap",IFERROR(INDEX('Shooter-Squad Assignment'!$A:$A,MATCH(C410&amp;"-"&amp;E410&amp;"-"&amp;F410&amp;"-Pos2",'Shooter-Squad Assignment'!$W:$W,0)),""),IF(F410="Sporting Clays",IFERROR(INDEX('Shooter-Squad Assignment'!$A:$A,MATCH(C410&amp;"-"&amp;E410&amp;"-"&amp;F410&amp;"-Pos2",'Shooter-Squad Assignment'!$Z:$Z,0)),""),"")))</f>
        <v/>
      </c>
      <c r="J410" s="88" t="str">
        <f>IF(ISBLANK(I410),"",IFERROR(INDEX('Tournament List'!$D:$D,MATCH(I410,'Tournament List'!$A:$A,0)),""))</f>
        <v/>
      </c>
      <c r="K410" s="96" t="str">
        <f>IF(F410="Skeet",IFERROR(INDEX('Shooter-Squad Assignment'!$A:$A,MATCH(C410&amp;"-"&amp;E410&amp;"-"&amp;F410&amp;"-Pos3",'Shooter-Squad Assignment'!$K:$K,0)),""),IF(F410="Trap",IFERROR(INDEX('Shooter-Squad Assignment'!$A:$A,MATCH(C410&amp;"-"&amp;E410&amp;"-"&amp;F410&amp;"-Pos3",'Shooter-Squad Assignment'!$W:$W,0)),""),IF(F410="Sporting Clays",IFERROR(INDEX('Shooter-Squad Assignment'!$A:$A,MATCH(C410&amp;"-"&amp;E410&amp;"-"&amp;F410&amp;"-Pos3",'Shooter-Squad Assignment'!$Z:$Z,0)),""),"")))</f>
        <v/>
      </c>
      <c r="L410" s="88" t="str">
        <f>IF(ISBLANK(K410),"",IFERROR(INDEX('Tournament List'!$D:$D,MATCH(K410,'Tournament List'!$A:$A,0)),""))</f>
        <v/>
      </c>
      <c r="M410" s="96" t="str">
        <f>IF(F410="Skeet",IFERROR(INDEX('Shooter-Squad Assignment'!$A:$A,MATCH(C410&amp;"-"&amp;E410&amp;"-"&amp;F410&amp;"-Pos4",'Shooter-Squad Assignment'!$K:$K,0)),""),IF(F410="Trap",IFERROR(INDEX('Shooter-Squad Assignment'!$A:$A,MATCH(C410&amp;"-"&amp;E410&amp;"-"&amp;F410&amp;"-Pos4",'Shooter-Squad Assignment'!$W:$W,0)),""),IF(F410="Sporting Clays",IFERROR(INDEX('Shooter-Squad Assignment'!$A:$A,MATCH(C410&amp;"-"&amp;E410&amp;"-"&amp;F410&amp;"-Pos4",'Shooter-Squad Assignment'!$Z:$Z,0)),""),"")))</f>
        <v/>
      </c>
      <c r="N410" s="88" t="str">
        <f>IF(ISBLANK(M410),"",IFERROR(INDEX('Tournament List'!$D:$D,MATCH(M410,'Tournament List'!$A:$A,0)),""))</f>
        <v/>
      </c>
      <c r="O410" s="96" t="str">
        <f>IF(F410="Skeet",IFERROR(INDEX('Shooter-Squad Assignment'!$A:$A,MATCH(C410&amp;"-"&amp;E410&amp;"-"&amp;F410&amp;"-Pos5",'Shooter-Squad Assignment'!$K:$K,0)),""),IF(F410="Trap",IFERROR(INDEX('Shooter-Squad Assignment'!$A:$A,MATCH(C410&amp;"-"&amp;E410&amp;"-"&amp;F410&amp;"-Pos5",'Shooter-Squad Assignment'!$W:$W,0)),""),IF(F410="Sporting Clays",IFERROR(INDEX('Shooter-Squad Assignment'!$A:$A,MATCH(C410&amp;"-"&amp;E410&amp;"-"&amp;F410&amp;"-Pos5",'Shooter-Squad Assignment'!$Z:$Z,0)),""),"")))</f>
        <v/>
      </c>
      <c r="P410" s="89" t="str">
        <f>IF(ISBLANK(O410),"",IFERROR(INDEX('Tournament List'!$D:$D,MATCH(O410,'Tournament List'!$A:$A,0)),""))</f>
        <v/>
      </c>
    </row>
    <row r="411" spans="1:16" x14ac:dyDescent="0.3">
      <c r="A411" s="87">
        <v>410</v>
      </c>
      <c r="B411" s="88" t="str">
        <f>C411&amp;"-"&amp;E411&amp;"-"&amp;F411</f>
        <v>-Novice 2-Skeet</v>
      </c>
      <c r="C411" s="88"/>
      <c r="D411" s="88" t="str">
        <f>INDEX('Tournament Setup'!$B$59:$B$78,MATCH(E411,SquadConcurrents,0))</f>
        <v>Novice</v>
      </c>
      <c r="E411" s="88" t="s">
        <v>343</v>
      </c>
      <c r="F411" s="88" t="s">
        <v>143</v>
      </c>
      <c r="G411" s="96" t="str">
        <f>IF(F411="Skeet",IFERROR(INDEX('Shooter-Squad Assignment'!$A:$A,MATCH(C411&amp;"-"&amp;E411&amp;"-"&amp;F411&amp;"-Pos1",'Shooter-Squad Assignment'!$K:$K,0)),""),IF(F411="Trap",IFERROR(INDEX('Shooter-Squad Assignment'!$A:$A,MATCH(C411&amp;"-"&amp;E411&amp;"-"&amp;F411&amp;"-Pos1",'Shooter-Squad Assignment'!$W:$W,0)),""),IF(F411="Sporting Clays",IFERROR(INDEX('Shooter-Squad Assignment'!$A:$A,MATCH(C411&amp;"-"&amp;E411&amp;"-"&amp;F411&amp;"-Pos1",'Shooter-Squad Assignment'!$Z:$Z,0)),""),"")))</f>
        <v/>
      </c>
      <c r="H411" s="88" t="str">
        <f>IF(ISBLANK(G411),"",IFERROR(INDEX('Tournament List'!$D:$D,MATCH(G411,'Tournament List'!$A:$A,0)),""))</f>
        <v/>
      </c>
      <c r="I411" s="96" t="str">
        <f>IF(F411="Skeet",IFERROR(INDEX('Shooter-Squad Assignment'!$A:$A,MATCH(C411&amp;"-"&amp;E411&amp;"-"&amp;F411&amp;"-Pos2",'Shooter-Squad Assignment'!$K:$K,0)),""),IF(F411="Trap",IFERROR(INDEX('Shooter-Squad Assignment'!$A:$A,MATCH(C411&amp;"-"&amp;E411&amp;"-"&amp;F411&amp;"-Pos2",'Shooter-Squad Assignment'!$W:$W,0)),""),IF(F411="Sporting Clays",IFERROR(INDEX('Shooter-Squad Assignment'!$A:$A,MATCH(C411&amp;"-"&amp;E411&amp;"-"&amp;F411&amp;"-Pos2",'Shooter-Squad Assignment'!$Z:$Z,0)),""),"")))</f>
        <v/>
      </c>
      <c r="J411" s="88" t="str">
        <f>IF(ISBLANK(I411),"",IFERROR(INDEX('Tournament List'!$D:$D,MATCH(I411,'Tournament List'!$A:$A,0)),""))</f>
        <v/>
      </c>
      <c r="K411" s="96" t="str">
        <f>IF(F411="Skeet",IFERROR(INDEX('Shooter-Squad Assignment'!$A:$A,MATCH(C411&amp;"-"&amp;E411&amp;"-"&amp;F411&amp;"-Pos3",'Shooter-Squad Assignment'!$K:$K,0)),""),IF(F411="Trap",IFERROR(INDEX('Shooter-Squad Assignment'!$A:$A,MATCH(C411&amp;"-"&amp;E411&amp;"-"&amp;F411&amp;"-Pos3",'Shooter-Squad Assignment'!$W:$W,0)),""),IF(F411="Sporting Clays",IFERROR(INDEX('Shooter-Squad Assignment'!$A:$A,MATCH(C411&amp;"-"&amp;E411&amp;"-"&amp;F411&amp;"-Pos3",'Shooter-Squad Assignment'!$Z:$Z,0)),""),"")))</f>
        <v/>
      </c>
      <c r="L411" s="88" t="str">
        <f>IF(ISBLANK(K411),"",IFERROR(INDEX('Tournament List'!$D:$D,MATCH(K411,'Tournament List'!$A:$A,0)),""))</f>
        <v/>
      </c>
      <c r="M411" s="96" t="str">
        <f>IF(F411="Skeet",IFERROR(INDEX('Shooter-Squad Assignment'!$A:$A,MATCH(C411&amp;"-"&amp;E411&amp;"-"&amp;F411&amp;"-Pos4",'Shooter-Squad Assignment'!$K:$K,0)),""),IF(F411="Trap",IFERROR(INDEX('Shooter-Squad Assignment'!$A:$A,MATCH(C411&amp;"-"&amp;E411&amp;"-"&amp;F411&amp;"-Pos4",'Shooter-Squad Assignment'!$W:$W,0)),""),IF(F411="Sporting Clays",IFERROR(INDEX('Shooter-Squad Assignment'!$A:$A,MATCH(C411&amp;"-"&amp;E411&amp;"-"&amp;F411&amp;"-Pos4",'Shooter-Squad Assignment'!$Z:$Z,0)),""),"")))</f>
        <v/>
      </c>
      <c r="N411" s="88" t="str">
        <f>IF(ISBLANK(M411),"",IFERROR(INDEX('Tournament List'!$D:$D,MATCH(M411,'Tournament List'!$A:$A,0)),""))</f>
        <v/>
      </c>
      <c r="O411" s="96" t="str">
        <f>IF(F411="Skeet",IFERROR(INDEX('Shooter-Squad Assignment'!$A:$A,MATCH(C411&amp;"-"&amp;E411&amp;"-"&amp;F411&amp;"-Pos5",'Shooter-Squad Assignment'!$K:$K,0)),""),IF(F411="Trap",IFERROR(INDEX('Shooter-Squad Assignment'!$A:$A,MATCH(C411&amp;"-"&amp;E411&amp;"-"&amp;F411&amp;"-Pos5",'Shooter-Squad Assignment'!$W:$W,0)),""),IF(F411="Sporting Clays",IFERROR(INDEX('Shooter-Squad Assignment'!$A:$A,MATCH(C411&amp;"-"&amp;E411&amp;"-"&amp;F411&amp;"-Pos5",'Shooter-Squad Assignment'!$Z:$Z,0)),""),"")))</f>
        <v/>
      </c>
      <c r="P411" s="89" t="str">
        <f>IF(ISBLANK(O411),"",IFERROR(INDEX('Tournament List'!$D:$D,MATCH(O411,'Tournament List'!$A:$A,0)),""))</f>
        <v/>
      </c>
    </row>
    <row r="412" spans="1:16" x14ac:dyDescent="0.3">
      <c r="A412" s="87">
        <v>411</v>
      </c>
      <c r="B412" s="88" t="str">
        <f>C412&amp;"-"&amp;E412&amp;"-"&amp;F412</f>
        <v>-Novice 3-Skeet</v>
      </c>
      <c r="C412" s="88"/>
      <c r="D412" s="88" t="str">
        <f>INDEX('Tournament Setup'!$B$59:$B$78,MATCH(E412,SquadConcurrents,0))</f>
        <v>Novice</v>
      </c>
      <c r="E412" s="88" t="s">
        <v>349</v>
      </c>
      <c r="F412" s="88" t="s">
        <v>143</v>
      </c>
      <c r="G412" s="96" t="str">
        <f>IF(F412="Skeet",IFERROR(INDEX('Shooter-Squad Assignment'!$A:$A,MATCH(C412&amp;"-"&amp;E412&amp;"-"&amp;F412&amp;"-Pos1",'Shooter-Squad Assignment'!$K:$K,0)),""),IF(F412="Trap",IFERROR(INDEX('Shooter-Squad Assignment'!$A:$A,MATCH(C412&amp;"-"&amp;E412&amp;"-"&amp;F412&amp;"-Pos1",'Shooter-Squad Assignment'!$W:$W,0)),""),IF(F412="Sporting Clays",IFERROR(INDEX('Shooter-Squad Assignment'!$A:$A,MATCH(C412&amp;"-"&amp;E412&amp;"-"&amp;F412&amp;"-Pos1",'Shooter-Squad Assignment'!$Z:$Z,0)),""),"")))</f>
        <v/>
      </c>
      <c r="H412" s="88" t="str">
        <f>IF(ISBLANK(G412),"",IFERROR(INDEX('Tournament List'!$D:$D,MATCH(G412,'Tournament List'!$A:$A,0)),""))</f>
        <v/>
      </c>
      <c r="I412" s="96" t="str">
        <f>IF(F412="Skeet",IFERROR(INDEX('Shooter-Squad Assignment'!$A:$A,MATCH(C412&amp;"-"&amp;E412&amp;"-"&amp;F412&amp;"-Pos2",'Shooter-Squad Assignment'!$K:$K,0)),""),IF(F412="Trap",IFERROR(INDEX('Shooter-Squad Assignment'!$A:$A,MATCH(C412&amp;"-"&amp;E412&amp;"-"&amp;F412&amp;"-Pos2",'Shooter-Squad Assignment'!$W:$W,0)),""),IF(F412="Sporting Clays",IFERROR(INDEX('Shooter-Squad Assignment'!$A:$A,MATCH(C412&amp;"-"&amp;E412&amp;"-"&amp;F412&amp;"-Pos2",'Shooter-Squad Assignment'!$Z:$Z,0)),""),"")))</f>
        <v/>
      </c>
      <c r="J412" s="88" t="str">
        <f>IF(ISBLANK(I412),"",IFERROR(INDEX('Tournament List'!$D:$D,MATCH(I412,'Tournament List'!$A:$A,0)),""))</f>
        <v/>
      </c>
      <c r="K412" s="96" t="str">
        <f>IF(F412="Skeet",IFERROR(INDEX('Shooter-Squad Assignment'!$A:$A,MATCH(C412&amp;"-"&amp;E412&amp;"-"&amp;F412&amp;"-Pos3",'Shooter-Squad Assignment'!$K:$K,0)),""),IF(F412="Trap",IFERROR(INDEX('Shooter-Squad Assignment'!$A:$A,MATCH(C412&amp;"-"&amp;E412&amp;"-"&amp;F412&amp;"-Pos3",'Shooter-Squad Assignment'!$W:$W,0)),""),IF(F412="Sporting Clays",IFERROR(INDEX('Shooter-Squad Assignment'!$A:$A,MATCH(C412&amp;"-"&amp;E412&amp;"-"&amp;F412&amp;"-Pos3",'Shooter-Squad Assignment'!$Z:$Z,0)),""),"")))</f>
        <v/>
      </c>
      <c r="L412" s="88" t="str">
        <f>IF(ISBLANK(K412),"",IFERROR(INDEX('Tournament List'!$D:$D,MATCH(K412,'Tournament List'!$A:$A,0)),""))</f>
        <v/>
      </c>
      <c r="M412" s="96" t="str">
        <f>IF(F412="Skeet",IFERROR(INDEX('Shooter-Squad Assignment'!$A:$A,MATCH(C412&amp;"-"&amp;E412&amp;"-"&amp;F412&amp;"-Pos4",'Shooter-Squad Assignment'!$K:$K,0)),""),IF(F412="Trap",IFERROR(INDEX('Shooter-Squad Assignment'!$A:$A,MATCH(C412&amp;"-"&amp;E412&amp;"-"&amp;F412&amp;"-Pos4",'Shooter-Squad Assignment'!$W:$W,0)),""),IF(F412="Sporting Clays",IFERROR(INDEX('Shooter-Squad Assignment'!$A:$A,MATCH(C412&amp;"-"&amp;E412&amp;"-"&amp;F412&amp;"-Pos4",'Shooter-Squad Assignment'!$Z:$Z,0)),""),"")))</f>
        <v/>
      </c>
      <c r="N412" s="88" t="str">
        <f>IF(ISBLANK(M412),"",IFERROR(INDEX('Tournament List'!$D:$D,MATCH(M412,'Tournament List'!$A:$A,0)),""))</f>
        <v/>
      </c>
      <c r="O412" s="96" t="str">
        <f>IF(F412="Skeet",IFERROR(INDEX('Shooter-Squad Assignment'!$A:$A,MATCH(C412&amp;"-"&amp;E412&amp;"-"&amp;F412&amp;"-Pos5",'Shooter-Squad Assignment'!$K:$K,0)),""),IF(F412="Trap",IFERROR(INDEX('Shooter-Squad Assignment'!$A:$A,MATCH(C412&amp;"-"&amp;E412&amp;"-"&amp;F412&amp;"-Pos5",'Shooter-Squad Assignment'!$W:$W,0)),""),IF(F412="Sporting Clays",IFERROR(INDEX('Shooter-Squad Assignment'!$A:$A,MATCH(C412&amp;"-"&amp;E412&amp;"-"&amp;F412&amp;"-Pos5",'Shooter-Squad Assignment'!$Z:$Z,0)),""),"")))</f>
        <v/>
      </c>
      <c r="P412" s="89" t="str">
        <f>IF(ISBLANK(O412),"",IFERROR(INDEX('Tournament List'!$D:$D,MATCH(O412,'Tournament List'!$A:$A,0)),""))</f>
        <v/>
      </c>
    </row>
    <row r="413" spans="1:16" x14ac:dyDescent="0.3">
      <c r="A413" s="87">
        <v>412</v>
      </c>
      <c r="B413" s="88" t="str">
        <f>C413&amp;"-"&amp;E413&amp;"-"&amp;F413</f>
        <v>-Open 1-Skeet</v>
      </c>
      <c r="C413" s="88"/>
      <c r="D413" s="88" t="str">
        <f>INDEX('Tournament Setup'!$B$59:$B$78,MATCH(E413,SquadConcurrents,0))</f>
        <v>Open</v>
      </c>
      <c r="E413" s="88" t="s">
        <v>341</v>
      </c>
      <c r="F413" s="88" t="s">
        <v>143</v>
      </c>
      <c r="G413" s="96" t="str">
        <f>IF(F413="Skeet",IFERROR(INDEX('Shooter-Squad Assignment'!$A:$A,MATCH(C413&amp;"-"&amp;E413&amp;"-"&amp;F413&amp;"-Pos1",'Shooter-Squad Assignment'!$K:$K,0)),""),IF(F413="Trap",IFERROR(INDEX('Shooter-Squad Assignment'!$A:$A,MATCH(C413&amp;"-"&amp;E413&amp;"-"&amp;F413&amp;"-Pos1",'Shooter-Squad Assignment'!$W:$W,0)),""),IF(F413="Sporting Clays",IFERROR(INDEX('Shooter-Squad Assignment'!$A:$A,MATCH(C413&amp;"-"&amp;E413&amp;"-"&amp;F413&amp;"-Pos1",'Shooter-Squad Assignment'!$Z:$Z,0)),""),"")))</f>
        <v/>
      </c>
      <c r="H413" s="88" t="str">
        <f>IF(ISBLANK(G413),"",IFERROR(INDEX('Tournament List'!$D:$D,MATCH(G413,'Tournament List'!$A:$A,0)),""))</f>
        <v/>
      </c>
      <c r="I413" s="96" t="str">
        <f>IF(F413="Skeet",IFERROR(INDEX('Shooter-Squad Assignment'!$A:$A,MATCH(C413&amp;"-"&amp;E413&amp;"-"&amp;F413&amp;"-Pos2",'Shooter-Squad Assignment'!$K:$K,0)),""),IF(F413="Trap",IFERROR(INDEX('Shooter-Squad Assignment'!$A:$A,MATCH(C413&amp;"-"&amp;E413&amp;"-"&amp;F413&amp;"-Pos2",'Shooter-Squad Assignment'!$W:$W,0)),""),IF(F413="Sporting Clays",IFERROR(INDEX('Shooter-Squad Assignment'!$A:$A,MATCH(C413&amp;"-"&amp;E413&amp;"-"&amp;F413&amp;"-Pos2",'Shooter-Squad Assignment'!$Z:$Z,0)),""),"")))</f>
        <v/>
      </c>
      <c r="J413" s="88" t="str">
        <f>IF(ISBLANK(I413),"",IFERROR(INDEX('Tournament List'!$D:$D,MATCH(I413,'Tournament List'!$A:$A,0)),""))</f>
        <v/>
      </c>
      <c r="K413" s="96" t="str">
        <f>IF(F413="Skeet",IFERROR(INDEX('Shooter-Squad Assignment'!$A:$A,MATCH(C413&amp;"-"&amp;E413&amp;"-"&amp;F413&amp;"-Pos3",'Shooter-Squad Assignment'!$K:$K,0)),""),IF(F413="Trap",IFERROR(INDEX('Shooter-Squad Assignment'!$A:$A,MATCH(C413&amp;"-"&amp;E413&amp;"-"&amp;F413&amp;"-Pos3",'Shooter-Squad Assignment'!$W:$W,0)),""),IF(F413="Sporting Clays",IFERROR(INDEX('Shooter-Squad Assignment'!$A:$A,MATCH(C413&amp;"-"&amp;E413&amp;"-"&amp;F413&amp;"-Pos3",'Shooter-Squad Assignment'!$Z:$Z,0)),""),"")))</f>
        <v/>
      </c>
      <c r="L413" s="88" t="str">
        <f>IF(ISBLANK(K413),"",IFERROR(INDEX('Tournament List'!$D:$D,MATCH(K413,'Tournament List'!$A:$A,0)),""))</f>
        <v/>
      </c>
      <c r="M413" s="96" t="str">
        <f>IF(F413="Skeet",IFERROR(INDEX('Shooter-Squad Assignment'!$A:$A,MATCH(C413&amp;"-"&amp;E413&amp;"-"&amp;F413&amp;"-Pos4",'Shooter-Squad Assignment'!$K:$K,0)),""),IF(F413="Trap",IFERROR(INDEX('Shooter-Squad Assignment'!$A:$A,MATCH(C413&amp;"-"&amp;E413&amp;"-"&amp;F413&amp;"-Pos4",'Shooter-Squad Assignment'!$W:$W,0)),""),IF(F413="Sporting Clays",IFERROR(INDEX('Shooter-Squad Assignment'!$A:$A,MATCH(C413&amp;"-"&amp;E413&amp;"-"&amp;F413&amp;"-Pos4",'Shooter-Squad Assignment'!$Z:$Z,0)),""),"")))</f>
        <v/>
      </c>
      <c r="N413" s="88" t="str">
        <f>IF(ISBLANK(M413),"",IFERROR(INDEX('Tournament List'!$D:$D,MATCH(M413,'Tournament List'!$A:$A,0)),""))</f>
        <v/>
      </c>
      <c r="O413" s="96" t="str">
        <f>IF(F413="Skeet",IFERROR(INDEX('Shooter-Squad Assignment'!$A:$A,MATCH(C413&amp;"-"&amp;E413&amp;"-"&amp;F413&amp;"-Pos5",'Shooter-Squad Assignment'!$K:$K,0)),""),IF(F413="Trap",IFERROR(INDEX('Shooter-Squad Assignment'!$A:$A,MATCH(C413&amp;"-"&amp;E413&amp;"-"&amp;F413&amp;"-Pos5",'Shooter-Squad Assignment'!$W:$W,0)),""),IF(F413="Sporting Clays",IFERROR(INDEX('Shooter-Squad Assignment'!$A:$A,MATCH(C413&amp;"-"&amp;E413&amp;"-"&amp;F413&amp;"-Pos5",'Shooter-Squad Assignment'!$Z:$Z,0)),""),"")))</f>
        <v/>
      </c>
      <c r="P413" s="89" t="str">
        <f>IF(ISBLANK(O413),"",IFERROR(INDEX('Tournament List'!$D:$D,MATCH(O413,'Tournament List'!$A:$A,0)),""))</f>
        <v/>
      </c>
    </row>
    <row r="414" spans="1:16" x14ac:dyDescent="0.3">
      <c r="A414" s="87">
        <v>413</v>
      </c>
      <c r="B414" s="88" t="str">
        <f>C414&amp;"-"&amp;E414&amp;"-"&amp;F414</f>
        <v>-Open 2-Skeet</v>
      </c>
      <c r="C414" s="88"/>
      <c r="D414" s="88" t="str">
        <f>INDEX('Tournament Setup'!$B$59:$B$78,MATCH(E414,SquadConcurrents,0))</f>
        <v>Open</v>
      </c>
      <c r="E414" s="88" t="s">
        <v>347</v>
      </c>
      <c r="F414" s="88" t="s">
        <v>143</v>
      </c>
      <c r="G414" s="96" t="str">
        <f>IF(F414="Skeet",IFERROR(INDEX('Shooter-Squad Assignment'!$A:$A,MATCH(C414&amp;"-"&amp;E414&amp;"-"&amp;F414&amp;"-Pos1",'Shooter-Squad Assignment'!$K:$K,0)),""),IF(F414="Trap",IFERROR(INDEX('Shooter-Squad Assignment'!$A:$A,MATCH(C414&amp;"-"&amp;E414&amp;"-"&amp;F414&amp;"-Pos1",'Shooter-Squad Assignment'!$W:$W,0)),""),IF(F414="Sporting Clays",IFERROR(INDEX('Shooter-Squad Assignment'!$A:$A,MATCH(C414&amp;"-"&amp;E414&amp;"-"&amp;F414&amp;"-Pos1",'Shooter-Squad Assignment'!$Z:$Z,0)),""),"")))</f>
        <v/>
      </c>
      <c r="H414" s="88" t="str">
        <f>IF(ISBLANK(G414),"",IFERROR(INDEX('Tournament List'!$D:$D,MATCH(G414,'Tournament List'!$A:$A,0)),""))</f>
        <v/>
      </c>
      <c r="I414" s="96" t="str">
        <f>IF(F414="Skeet",IFERROR(INDEX('Shooter-Squad Assignment'!$A:$A,MATCH(C414&amp;"-"&amp;E414&amp;"-"&amp;F414&amp;"-Pos2",'Shooter-Squad Assignment'!$K:$K,0)),""),IF(F414="Trap",IFERROR(INDEX('Shooter-Squad Assignment'!$A:$A,MATCH(C414&amp;"-"&amp;E414&amp;"-"&amp;F414&amp;"-Pos2",'Shooter-Squad Assignment'!$W:$W,0)),""),IF(F414="Sporting Clays",IFERROR(INDEX('Shooter-Squad Assignment'!$A:$A,MATCH(C414&amp;"-"&amp;E414&amp;"-"&amp;F414&amp;"-Pos2",'Shooter-Squad Assignment'!$Z:$Z,0)),""),"")))</f>
        <v/>
      </c>
      <c r="J414" s="88" t="str">
        <f>IF(ISBLANK(I414),"",IFERROR(INDEX('Tournament List'!$D:$D,MATCH(I414,'Tournament List'!$A:$A,0)),""))</f>
        <v/>
      </c>
      <c r="K414" s="96" t="str">
        <f>IF(F414="Skeet",IFERROR(INDEX('Shooter-Squad Assignment'!$A:$A,MATCH(C414&amp;"-"&amp;E414&amp;"-"&amp;F414&amp;"-Pos3",'Shooter-Squad Assignment'!$K:$K,0)),""),IF(F414="Trap",IFERROR(INDEX('Shooter-Squad Assignment'!$A:$A,MATCH(C414&amp;"-"&amp;E414&amp;"-"&amp;F414&amp;"-Pos3",'Shooter-Squad Assignment'!$W:$W,0)),""),IF(F414="Sporting Clays",IFERROR(INDEX('Shooter-Squad Assignment'!$A:$A,MATCH(C414&amp;"-"&amp;E414&amp;"-"&amp;F414&amp;"-Pos3",'Shooter-Squad Assignment'!$Z:$Z,0)),""),"")))</f>
        <v/>
      </c>
      <c r="L414" s="88" t="str">
        <f>IF(ISBLANK(K414),"",IFERROR(INDEX('Tournament List'!$D:$D,MATCH(K414,'Tournament List'!$A:$A,0)),""))</f>
        <v/>
      </c>
      <c r="M414" s="96" t="str">
        <f>IF(F414="Skeet",IFERROR(INDEX('Shooter-Squad Assignment'!$A:$A,MATCH(C414&amp;"-"&amp;E414&amp;"-"&amp;F414&amp;"-Pos4",'Shooter-Squad Assignment'!$K:$K,0)),""),IF(F414="Trap",IFERROR(INDEX('Shooter-Squad Assignment'!$A:$A,MATCH(C414&amp;"-"&amp;E414&amp;"-"&amp;F414&amp;"-Pos4",'Shooter-Squad Assignment'!$W:$W,0)),""),IF(F414="Sporting Clays",IFERROR(INDEX('Shooter-Squad Assignment'!$A:$A,MATCH(C414&amp;"-"&amp;E414&amp;"-"&amp;F414&amp;"-Pos4",'Shooter-Squad Assignment'!$Z:$Z,0)),""),"")))</f>
        <v/>
      </c>
      <c r="N414" s="88" t="str">
        <f>IF(ISBLANK(M414),"",IFERROR(INDEX('Tournament List'!$D:$D,MATCH(M414,'Tournament List'!$A:$A,0)),""))</f>
        <v/>
      </c>
      <c r="O414" s="96" t="str">
        <f>IF(F414="Skeet",IFERROR(INDEX('Shooter-Squad Assignment'!$A:$A,MATCH(C414&amp;"-"&amp;E414&amp;"-"&amp;F414&amp;"-Pos5",'Shooter-Squad Assignment'!$K:$K,0)),""),IF(F414="Trap",IFERROR(INDEX('Shooter-Squad Assignment'!$A:$A,MATCH(C414&amp;"-"&amp;E414&amp;"-"&amp;F414&amp;"-Pos5",'Shooter-Squad Assignment'!$W:$W,0)),""),IF(F414="Sporting Clays",IFERROR(INDEX('Shooter-Squad Assignment'!$A:$A,MATCH(C414&amp;"-"&amp;E414&amp;"-"&amp;F414&amp;"-Pos5",'Shooter-Squad Assignment'!$Z:$Z,0)),""),"")))</f>
        <v/>
      </c>
      <c r="P414" s="89" t="str">
        <f>IF(ISBLANK(O414),"",IFERROR(INDEX('Tournament List'!$D:$D,MATCH(O414,'Tournament List'!$A:$A,0)),""))</f>
        <v/>
      </c>
    </row>
    <row r="415" spans="1:16" x14ac:dyDescent="0.3">
      <c r="A415" s="87">
        <v>414</v>
      </c>
      <c r="B415" s="88" t="str">
        <f>C415&amp;"-"&amp;E415&amp;"-"&amp;F415</f>
        <v>-Open 3-Skeet</v>
      </c>
      <c r="C415" s="88"/>
      <c r="D415" s="88" t="str">
        <f>INDEX('Tournament Setup'!$B$59:$B$78,MATCH(E415,SquadConcurrents,0))</f>
        <v>Open</v>
      </c>
      <c r="E415" s="88" t="s">
        <v>353</v>
      </c>
      <c r="F415" s="88" t="s">
        <v>143</v>
      </c>
      <c r="G415" s="96" t="str">
        <f>IF(F415="Skeet",IFERROR(INDEX('Shooter-Squad Assignment'!$A:$A,MATCH(C415&amp;"-"&amp;E415&amp;"-"&amp;F415&amp;"-Pos1",'Shooter-Squad Assignment'!$K:$K,0)),""),IF(F415="Trap",IFERROR(INDEX('Shooter-Squad Assignment'!$A:$A,MATCH(C415&amp;"-"&amp;E415&amp;"-"&amp;F415&amp;"-Pos1",'Shooter-Squad Assignment'!$W:$W,0)),""),IF(F415="Sporting Clays",IFERROR(INDEX('Shooter-Squad Assignment'!$A:$A,MATCH(C415&amp;"-"&amp;E415&amp;"-"&amp;F415&amp;"-Pos1",'Shooter-Squad Assignment'!$Z:$Z,0)),""),"")))</f>
        <v/>
      </c>
      <c r="H415" s="88" t="str">
        <f>IF(ISBLANK(G415),"",IFERROR(INDEX('Tournament List'!$D:$D,MATCH(G415,'Tournament List'!$A:$A,0)),""))</f>
        <v/>
      </c>
      <c r="I415" s="96" t="str">
        <f>IF(F415="Skeet",IFERROR(INDEX('Shooter-Squad Assignment'!$A:$A,MATCH(C415&amp;"-"&amp;E415&amp;"-"&amp;F415&amp;"-Pos2",'Shooter-Squad Assignment'!$K:$K,0)),""),IF(F415="Trap",IFERROR(INDEX('Shooter-Squad Assignment'!$A:$A,MATCH(C415&amp;"-"&amp;E415&amp;"-"&amp;F415&amp;"-Pos2",'Shooter-Squad Assignment'!$W:$W,0)),""),IF(F415="Sporting Clays",IFERROR(INDEX('Shooter-Squad Assignment'!$A:$A,MATCH(C415&amp;"-"&amp;E415&amp;"-"&amp;F415&amp;"-Pos2",'Shooter-Squad Assignment'!$Z:$Z,0)),""),"")))</f>
        <v/>
      </c>
      <c r="J415" s="88" t="str">
        <f>IF(ISBLANK(I415),"",IFERROR(INDEX('Tournament List'!$D:$D,MATCH(I415,'Tournament List'!$A:$A,0)),""))</f>
        <v/>
      </c>
      <c r="K415" s="96" t="str">
        <f>IF(F415="Skeet",IFERROR(INDEX('Shooter-Squad Assignment'!$A:$A,MATCH(C415&amp;"-"&amp;E415&amp;"-"&amp;F415&amp;"-Pos3",'Shooter-Squad Assignment'!$K:$K,0)),""),IF(F415="Trap",IFERROR(INDEX('Shooter-Squad Assignment'!$A:$A,MATCH(C415&amp;"-"&amp;E415&amp;"-"&amp;F415&amp;"-Pos3",'Shooter-Squad Assignment'!$W:$W,0)),""),IF(F415="Sporting Clays",IFERROR(INDEX('Shooter-Squad Assignment'!$A:$A,MATCH(C415&amp;"-"&amp;E415&amp;"-"&amp;F415&amp;"-Pos3",'Shooter-Squad Assignment'!$Z:$Z,0)),""),"")))</f>
        <v/>
      </c>
      <c r="L415" s="88" t="str">
        <f>IF(ISBLANK(K415),"",IFERROR(INDEX('Tournament List'!$D:$D,MATCH(K415,'Tournament List'!$A:$A,0)),""))</f>
        <v/>
      </c>
      <c r="M415" s="96" t="str">
        <f>IF(F415="Skeet",IFERROR(INDEX('Shooter-Squad Assignment'!$A:$A,MATCH(C415&amp;"-"&amp;E415&amp;"-"&amp;F415&amp;"-Pos4",'Shooter-Squad Assignment'!$K:$K,0)),""),IF(F415="Trap",IFERROR(INDEX('Shooter-Squad Assignment'!$A:$A,MATCH(C415&amp;"-"&amp;E415&amp;"-"&amp;F415&amp;"-Pos4",'Shooter-Squad Assignment'!$W:$W,0)),""),IF(F415="Sporting Clays",IFERROR(INDEX('Shooter-Squad Assignment'!$A:$A,MATCH(C415&amp;"-"&amp;E415&amp;"-"&amp;F415&amp;"-Pos4",'Shooter-Squad Assignment'!$Z:$Z,0)),""),"")))</f>
        <v/>
      </c>
      <c r="N415" s="88" t="str">
        <f>IF(ISBLANK(M415),"",IFERROR(INDEX('Tournament List'!$D:$D,MATCH(M415,'Tournament List'!$A:$A,0)),""))</f>
        <v/>
      </c>
      <c r="O415" s="96" t="str">
        <f>IF(F415="Skeet",IFERROR(INDEX('Shooter-Squad Assignment'!$A:$A,MATCH(C415&amp;"-"&amp;E415&amp;"-"&amp;F415&amp;"-Pos5",'Shooter-Squad Assignment'!$K:$K,0)),""),IF(F415="Trap",IFERROR(INDEX('Shooter-Squad Assignment'!$A:$A,MATCH(C415&amp;"-"&amp;E415&amp;"-"&amp;F415&amp;"-Pos5",'Shooter-Squad Assignment'!$W:$W,0)),""),IF(F415="Sporting Clays",IFERROR(INDEX('Shooter-Squad Assignment'!$A:$A,MATCH(C415&amp;"-"&amp;E415&amp;"-"&amp;F415&amp;"-Pos5",'Shooter-Squad Assignment'!$Z:$Z,0)),""),"")))</f>
        <v/>
      </c>
      <c r="P415" s="89" t="str">
        <f>IF(ISBLANK(O415),"",IFERROR(INDEX('Tournament List'!$D:$D,MATCH(O415,'Tournament List'!$A:$A,0)),""))</f>
        <v/>
      </c>
    </row>
    <row r="416" spans="1:16" x14ac:dyDescent="0.3">
      <c r="A416" s="87">
        <v>415</v>
      </c>
      <c r="B416" s="88" t="str">
        <f>C416&amp;"-"&amp;E416&amp;"-"&amp;F416</f>
        <v>-Unassigned 1-Skeet</v>
      </c>
      <c r="C416" s="88"/>
      <c r="D416" s="88" t="str">
        <f>INDEX('Tournament Setup'!$B$59:$B$78,MATCH(E416,SquadConcurrents,0))</f>
        <v>Unassigned</v>
      </c>
      <c r="E416" s="88" t="s">
        <v>762</v>
      </c>
      <c r="F416" s="88" t="s">
        <v>143</v>
      </c>
      <c r="G416" s="96" t="str">
        <f>IF(F416="Skeet",IFERROR(INDEX('Shooter-Squad Assignment'!$A:$A,MATCH(C416&amp;"-"&amp;E416&amp;"-"&amp;F416&amp;"-Pos1",'Shooter-Squad Assignment'!$K:$K,0)),""),IF(F416="Trap",IFERROR(INDEX('Shooter-Squad Assignment'!$A:$A,MATCH(C416&amp;"-"&amp;E416&amp;"-"&amp;F416&amp;"-Pos1",'Shooter-Squad Assignment'!$W:$W,0)),""),IF(F416="Sporting Clays",IFERROR(INDEX('Shooter-Squad Assignment'!$A:$A,MATCH(C416&amp;"-"&amp;E416&amp;"-"&amp;F416&amp;"-Pos1",'Shooter-Squad Assignment'!$Z:$Z,0)),""),"")))</f>
        <v/>
      </c>
      <c r="H416" s="88" t="str">
        <f>IF(ISBLANK(G416),"",IFERROR(INDEX('Tournament List'!$D:$D,MATCH(G416,'Tournament List'!$A:$A,0)),""))</f>
        <v/>
      </c>
      <c r="I416" s="96" t="str">
        <f>IF(F416="Skeet",IFERROR(INDEX('Shooter-Squad Assignment'!$A:$A,MATCH(C416&amp;"-"&amp;E416&amp;"-"&amp;F416&amp;"-Pos2",'Shooter-Squad Assignment'!$K:$K,0)),""),IF(F416="Trap",IFERROR(INDEX('Shooter-Squad Assignment'!$A:$A,MATCH(C416&amp;"-"&amp;E416&amp;"-"&amp;F416&amp;"-Pos2",'Shooter-Squad Assignment'!$W:$W,0)),""),IF(F416="Sporting Clays",IFERROR(INDEX('Shooter-Squad Assignment'!$A:$A,MATCH(C416&amp;"-"&amp;E416&amp;"-"&amp;F416&amp;"-Pos2",'Shooter-Squad Assignment'!$Z:$Z,0)),""),"")))</f>
        <v/>
      </c>
      <c r="J416" s="88" t="str">
        <f>IF(ISBLANK(I416),"",IFERROR(INDEX('Tournament List'!$D:$D,MATCH(I416,'Tournament List'!$A:$A,0)),""))</f>
        <v/>
      </c>
      <c r="K416" s="96" t="str">
        <f>IF(F416="Skeet",IFERROR(INDEX('Shooter-Squad Assignment'!$A:$A,MATCH(C416&amp;"-"&amp;E416&amp;"-"&amp;F416&amp;"-Pos3",'Shooter-Squad Assignment'!$K:$K,0)),""),IF(F416="Trap",IFERROR(INDEX('Shooter-Squad Assignment'!$A:$A,MATCH(C416&amp;"-"&amp;E416&amp;"-"&amp;F416&amp;"-Pos3",'Shooter-Squad Assignment'!$W:$W,0)),""),IF(F416="Sporting Clays",IFERROR(INDEX('Shooter-Squad Assignment'!$A:$A,MATCH(C416&amp;"-"&amp;E416&amp;"-"&amp;F416&amp;"-Pos3",'Shooter-Squad Assignment'!$Z:$Z,0)),""),"")))</f>
        <v/>
      </c>
      <c r="L416" s="88" t="str">
        <f>IF(ISBLANK(K416),"",IFERROR(INDEX('Tournament List'!$D:$D,MATCH(K416,'Tournament List'!$A:$A,0)),""))</f>
        <v/>
      </c>
      <c r="M416" s="96" t="str">
        <f>IF(F416="Skeet",IFERROR(INDEX('Shooter-Squad Assignment'!$A:$A,MATCH(C416&amp;"-"&amp;E416&amp;"-"&amp;F416&amp;"-Pos4",'Shooter-Squad Assignment'!$K:$K,0)),""),IF(F416="Trap",IFERROR(INDEX('Shooter-Squad Assignment'!$A:$A,MATCH(C416&amp;"-"&amp;E416&amp;"-"&amp;F416&amp;"-Pos4",'Shooter-Squad Assignment'!$W:$W,0)),""),IF(F416="Sporting Clays",IFERROR(INDEX('Shooter-Squad Assignment'!$A:$A,MATCH(C416&amp;"-"&amp;E416&amp;"-"&amp;F416&amp;"-Pos4",'Shooter-Squad Assignment'!$Z:$Z,0)),""),"")))</f>
        <v/>
      </c>
      <c r="N416" s="88" t="str">
        <f>IF(ISBLANK(M416),"",IFERROR(INDEX('Tournament List'!$D:$D,MATCH(M416,'Tournament List'!$A:$A,0)),""))</f>
        <v/>
      </c>
      <c r="O416" s="96" t="str">
        <f>IF(F416="Skeet",IFERROR(INDEX('Shooter-Squad Assignment'!$A:$A,MATCH(C416&amp;"-"&amp;E416&amp;"-"&amp;F416&amp;"-Pos5",'Shooter-Squad Assignment'!$K:$K,0)),""),IF(F416="Trap",IFERROR(INDEX('Shooter-Squad Assignment'!$A:$A,MATCH(C416&amp;"-"&amp;E416&amp;"-"&amp;F416&amp;"-Pos5",'Shooter-Squad Assignment'!$W:$W,0)),""),IF(F416="Sporting Clays",IFERROR(INDEX('Shooter-Squad Assignment'!$A:$A,MATCH(C416&amp;"-"&amp;E416&amp;"-"&amp;F416&amp;"-Pos5",'Shooter-Squad Assignment'!$Z:$Z,0)),""),"")))</f>
        <v/>
      </c>
      <c r="P416" s="89" t="str">
        <f>IF(ISBLANK(O416),"",IFERROR(INDEX('Tournament List'!$D:$D,MATCH(O416,'Tournament List'!$A:$A,0)),""))</f>
        <v/>
      </c>
    </row>
    <row r="417" spans="1:16" x14ac:dyDescent="0.3">
      <c r="A417" s="87">
        <v>416</v>
      </c>
      <c r="B417" s="88" t="str">
        <f>C417&amp;"-"&amp;E417&amp;"-"&amp;F417</f>
        <v>-Varsity 1-Skeet</v>
      </c>
      <c r="C417" s="88"/>
      <c r="D417" s="88" t="str">
        <f>INDEX('Tournament Setup'!$B$59:$B$78,MATCH(E417,SquadConcurrents,0))</f>
        <v>Varsity</v>
      </c>
      <c r="E417" s="88" t="s">
        <v>340</v>
      </c>
      <c r="F417" s="88" t="s">
        <v>143</v>
      </c>
      <c r="G417" s="96" t="str">
        <f>IF(F417="Skeet",IFERROR(INDEX('Shooter-Squad Assignment'!$A:$A,MATCH(C417&amp;"-"&amp;E417&amp;"-"&amp;F417&amp;"-Pos1",'Shooter-Squad Assignment'!$K:$K,0)),""),IF(F417="Trap",IFERROR(INDEX('Shooter-Squad Assignment'!$A:$A,MATCH(C417&amp;"-"&amp;E417&amp;"-"&amp;F417&amp;"-Pos1",'Shooter-Squad Assignment'!$W:$W,0)),""),IF(F417="Sporting Clays",IFERROR(INDEX('Shooter-Squad Assignment'!$A:$A,MATCH(C417&amp;"-"&amp;E417&amp;"-"&amp;F417&amp;"-Pos1",'Shooter-Squad Assignment'!$Z:$Z,0)),""),"")))</f>
        <v/>
      </c>
      <c r="H417" s="88" t="str">
        <f>IF(ISBLANK(G417),"",IFERROR(INDEX('Tournament List'!$D:$D,MATCH(G417,'Tournament List'!$A:$A,0)),""))</f>
        <v/>
      </c>
      <c r="I417" s="96" t="str">
        <f>IF(F417="Skeet",IFERROR(INDEX('Shooter-Squad Assignment'!$A:$A,MATCH(C417&amp;"-"&amp;E417&amp;"-"&amp;F417&amp;"-Pos2",'Shooter-Squad Assignment'!$K:$K,0)),""),IF(F417="Trap",IFERROR(INDEX('Shooter-Squad Assignment'!$A:$A,MATCH(C417&amp;"-"&amp;E417&amp;"-"&amp;F417&amp;"-Pos2",'Shooter-Squad Assignment'!$W:$W,0)),""),IF(F417="Sporting Clays",IFERROR(INDEX('Shooter-Squad Assignment'!$A:$A,MATCH(C417&amp;"-"&amp;E417&amp;"-"&amp;F417&amp;"-Pos2",'Shooter-Squad Assignment'!$Z:$Z,0)),""),"")))</f>
        <v/>
      </c>
      <c r="J417" s="88" t="str">
        <f>IF(ISBLANK(I417),"",IFERROR(INDEX('Tournament List'!$D:$D,MATCH(I417,'Tournament List'!$A:$A,0)),""))</f>
        <v/>
      </c>
      <c r="K417" s="96" t="str">
        <f>IF(F417="Skeet",IFERROR(INDEX('Shooter-Squad Assignment'!$A:$A,MATCH(C417&amp;"-"&amp;E417&amp;"-"&amp;F417&amp;"-Pos3",'Shooter-Squad Assignment'!$K:$K,0)),""),IF(F417="Trap",IFERROR(INDEX('Shooter-Squad Assignment'!$A:$A,MATCH(C417&amp;"-"&amp;E417&amp;"-"&amp;F417&amp;"-Pos3",'Shooter-Squad Assignment'!$W:$W,0)),""),IF(F417="Sporting Clays",IFERROR(INDEX('Shooter-Squad Assignment'!$A:$A,MATCH(C417&amp;"-"&amp;E417&amp;"-"&amp;F417&amp;"-Pos3",'Shooter-Squad Assignment'!$Z:$Z,0)),""),"")))</f>
        <v/>
      </c>
      <c r="L417" s="88" t="str">
        <f>IF(ISBLANK(K417),"",IFERROR(INDEX('Tournament List'!$D:$D,MATCH(K417,'Tournament List'!$A:$A,0)),""))</f>
        <v/>
      </c>
      <c r="M417" s="96" t="str">
        <f>IF(F417="Skeet",IFERROR(INDEX('Shooter-Squad Assignment'!$A:$A,MATCH(C417&amp;"-"&amp;E417&amp;"-"&amp;F417&amp;"-Pos4",'Shooter-Squad Assignment'!$K:$K,0)),""),IF(F417="Trap",IFERROR(INDEX('Shooter-Squad Assignment'!$A:$A,MATCH(C417&amp;"-"&amp;E417&amp;"-"&amp;F417&amp;"-Pos4",'Shooter-Squad Assignment'!$W:$W,0)),""),IF(F417="Sporting Clays",IFERROR(INDEX('Shooter-Squad Assignment'!$A:$A,MATCH(C417&amp;"-"&amp;E417&amp;"-"&amp;F417&amp;"-Pos4",'Shooter-Squad Assignment'!$Z:$Z,0)),""),"")))</f>
        <v/>
      </c>
      <c r="N417" s="88" t="str">
        <f>IF(ISBLANK(M417),"",IFERROR(INDEX('Tournament List'!$D:$D,MATCH(M417,'Tournament List'!$A:$A,0)),""))</f>
        <v/>
      </c>
      <c r="O417" s="96" t="str">
        <f>IF(F417="Skeet",IFERROR(INDEX('Shooter-Squad Assignment'!$A:$A,MATCH(C417&amp;"-"&amp;E417&amp;"-"&amp;F417&amp;"-Pos5",'Shooter-Squad Assignment'!$K:$K,0)),""),IF(F417="Trap",IFERROR(INDEX('Shooter-Squad Assignment'!$A:$A,MATCH(C417&amp;"-"&amp;E417&amp;"-"&amp;F417&amp;"-Pos5",'Shooter-Squad Assignment'!$W:$W,0)),""),IF(F417="Sporting Clays",IFERROR(INDEX('Shooter-Squad Assignment'!$A:$A,MATCH(C417&amp;"-"&amp;E417&amp;"-"&amp;F417&amp;"-Pos5",'Shooter-Squad Assignment'!$Z:$Z,0)),""),"")))</f>
        <v/>
      </c>
      <c r="P417" s="89" t="str">
        <f>IF(ISBLANK(O417),"",IFERROR(INDEX('Tournament List'!$D:$D,MATCH(O417,'Tournament List'!$A:$A,0)),""))</f>
        <v/>
      </c>
    </row>
    <row r="418" spans="1:16" x14ac:dyDescent="0.3">
      <c r="A418" s="87">
        <v>417</v>
      </c>
      <c r="B418" s="88" t="str">
        <f>C418&amp;"-"&amp;E418&amp;"-"&amp;F418</f>
        <v>-Varsity 2-Skeet</v>
      </c>
      <c r="C418" s="88"/>
      <c r="D418" s="88" t="str">
        <f>INDEX('Tournament Setup'!$B$59:$B$78,MATCH(E418,SquadConcurrents,0))</f>
        <v>Varsity</v>
      </c>
      <c r="E418" s="88" t="s">
        <v>346</v>
      </c>
      <c r="F418" s="88" t="s">
        <v>143</v>
      </c>
      <c r="G418" s="96" t="str">
        <f>IF(F418="Skeet",IFERROR(INDEX('Shooter-Squad Assignment'!$A:$A,MATCH(C418&amp;"-"&amp;E418&amp;"-"&amp;F418&amp;"-Pos1",'Shooter-Squad Assignment'!$K:$K,0)),""),IF(F418="Trap",IFERROR(INDEX('Shooter-Squad Assignment'!$A:$A,MATCH(C418&amp;"-"&amp;E418&amp;"-"&amp;F418&amp;"-Pos1",'Shooter-Squad Assignment'!$W:$W,0)),""),IF(F418="Sporting Clays",IFERROR(INDEX('Shooter-Squad Assignment'!$A:$A,MATCH(C418&amp;"-"&amp;E418&amp;"-"&amp;F418&amp;"-Pos1",'Shooter-Squad Assignment'!$Z:$Z,0)),""),"")))</f>
        <v/>
      </c>
      <c r="H418" s="88" t="str">
        <f>IF(ISBLANK(G418),"",IFERROR(INDEX('Tournament List'!$D:$D,MATCH(G418,'Tournament List'!$A:$A,0)),""))</f>
        <v/>
      </c>
      <c r="I418" s="96" t="str">
        <f>IF(F418="Skeet",IFERROR(INDEX('Shooter-Squad Assignment'!$A:$A,MATCH(C418&amp;"-"&amp;E418&amp;"-"&amp;F418&amp;"-Pos2",'Shooter-Squad Assignment'!$K:$K,0)),""),IF(F418="Trap",IFERROR(INDEX('Shooter-Squad Assignment'!$A:$A,MATCH(C418&amp;"-"&amp;E418&amp;"-"&amp;F418&amp;"-Pos2",'Shooter-Squad Assignment'!$W:$W,0)),""),IF(F418="Sporting Clays",IFERROR(INDEX('Shooter-Squad Assignment'!$A:$A,MATCH(C418&amp;"-"&amp;E418&amp;"-"&amp;F418&amp;"-Pos2",'Shooter-Squad Assignment'!$Z:$Z,0)),""),"")))</f>
        <v/>
      </c>
      <c r="J418" s="88" t="str">
        <f>IF(ISBLANK(I418),"",IFERROR(INDEX('Tournament List'!$D:$D,MATCH(I418,'Tournament List'!$A:$A,0)),""))</f>
        <v/>
      </c>
      <c r="K418" s="96" t="str">
        <f>IF(F418="Skeet",IFERROR(INDEX('Shooter-Squad Assignment'!$A:$A,MATCH(C418&amp;"-"&amp;E418&amp;"-"&amp;F418&amp;"-Pos3",'Shooter-Squad Assignment'!$K:$K,0)),""),IF(F418="Trap",IFERROR(INDEX('Shooter-Squad Assignment'!$A:$A,MATCH(C418&amp;"-"&amp;E418&amp;"-"&amp;F418&amp;"-Pos3",'Shooter-Squad Assignment'!$W:$W,0)),""),IF(F418="Sporting Clays",IFERROR(INDEX('Shooter-Squad Assignment'!$A:$A,MATCH(C418&amp;"-"&amp;E418&amp;"-"&amp;F418&amp;"-Pos3",'Shooter-Squad Assignment'!$Z:$Z,0)),""),"")))</f>
        <v/>
      </c>
      <c r="L418" s="88" t="str">
        <f>IF(ISBLANK(K418),"",IFERROR(INDEX('Tournament List'!$D:$D,MATCH(K418,'Tournament List'!$A:$A,0)),""))</f>
        <v/>
      </c>
      <c r="M418" s="96" t="str">
        <f>IF(F418="Skeet",IFERROR(INDEX('Shooter-Squad Assignment'!$A:$A,MATCH(C418&amp;"-"&amp;E418&amp;"-"&amp;F418&amp;"-Pos4",'Shooter-Squad Assignment'!$K:$K,0)),""),IF(F418="Trap",IFERROR(INDEX('Shooter-Squad Assignment'!$A:$A,MATCH(C418&amp;"-"&amp;E418&amp;"-"&amp;F418&amp;"-Pos4",'Shooter-Squad Assignment'!$W:$W,0)),""),IF(F418="Sporting Clays",IFERROR(INDEX('Shooter-Squad Assignment'!$A:$A,MATCH(C418&amp;"-"&amp;E418&amp;"-"&amp;F418&amp;"-Pos4",'Shooter-Squad Assignment'!$Z:$Z,0)),""),"")))</f>
        <v/>
      </c>
      <c r="N418" s="88" t="str">
        <f>IF(ISBLANK(M418),"",IFERROR(INDEX('Tournament List'!$D:$D,MATCH(M418,'Tournament List'!$A:$A,0)),""))</f>
        <v/>
      </c>
      <c r="O418" s="96" t="str">
        <f>IF(F418="Skeet",IFERROR(INDEX('Shooter-Squad Assignment'!$A:$A,MATCH(C418&amp;"-"&amp;E418&amp;"-"&amp;F418&amp;"-Pos5",'Shooter-Squad Assignment'!$K:$K,0)),""),IF(F418="Trap",IFERROR(INDEX('Shooter-Squad Assignment'!$A:$A,MATCH(C418&amp;"-"&amp;E418&amp;"-"&amp;F418&amp;"-Pos5",'Shooter-Squad Assignment'!$W:$W,0)),""),IF(F418="Sporting Clays",IFERROR(INDEX('Shooter-Squad Assignment'!$A:$A,MATCH(C418&amp;"-"&amp;E418&amp;"-"&amp;F418&amp;"-Pos5",'Shooter-Squad Assignment'!$Z:$Z,0)),""),"")))</f>
        <v/>
      </c>
      <c r="P418" s="89" t="str">
        <f>IF(ISBLANK(O418),"",IFERROR(INDEX('Tournament List'!$D:$D,MATCH(O418,'Tournament List'!$A:$A,0)),""))</f>
        <v/>
      </c>
    </row>
    <row r="419" spans="1:16" x14ac:dyDescent="0.3">
      <c r="A419" s="87">
        <v>418</v>
      </c>
      <c r="B419" s="88" t="str">
        <f>C419&amp;"-"&amp;E419&amp;"-"&amp;F419</f>
        <v>-Varsity 3-Skeet</v>
      </c>
      <c r="C419" s="88"/>
      <c r="D419" s="88" t="str">
        <f>INDEX('Tournament Setup'!$B$59:$B$78,MATCH(E419,SquadConcurrents,0))</f>
        <v>Varsity</v>
      </c>
      <c r="E419" s="88" t="s">
        <v>352</v>
      </c>
      <c r="F419" s="88" t="s">
        <v>143</v>
      </c>
      <c r="G419" s="96" t="str">
        <f>IF(F419="Skeet",IFERROR(INDEX('Shooter-Squad Assignment'!$A:$A,MATCH(C419&amp;"-"&amp;E419&amp;"-"&amp;F419&amp;"-Pos1",'Shooter-Squad Assignment'!$K:$K,0)),""),IF(F419="Trap",IFERROR(INDEX('Shooter-Squad Assignment'!$A:$A,MATCH(C419&amp;"-"&amp;E419&amp;"-"&amp;F419&amp;"-Pos1",'Shooter-Squad Assignment'!$W:$W,0)),""),IF(F419="Sporting Clays",IFERROR(INDEX('Shooter-Squad Assignment'!$A:$A,MATCH(C419&amp;"-"&amp;E419&amp;"-"&amp;F419&amp;"-Pos1",'Shooter-Squad Assignment'!$Z:$Z,0)),""),"")))</f>
        <v/>
      </c>
      <c r="H419" s="88" t="str">
        <f>IF(ISBLANK(G419),"",IFERROR(INDEX('Tournament List'!$D:$D,MATCH(G419,'Tournament List'!$A:$A,0)),""))</f>
        <v/>
      </c>
      <c r="I419" s="96" t="str">
        <f>IF(F419="Skeet",IFERROR(INDEX('Shooter-Squad Assignment'!$A:$A,MATCH(C419&amp;"-"&amp;E419&amp;"-"&amp;F419&amp;"-Pos2",'Shooter-Squad Assignment'!$K:$K,0)),""),IF(F419="Trap",IFERROR(INDEX('Shooter-Squad Assignment'!$A:$A,MATCH(C419&amp;"-"&amp;E419&amp;"-"&amp;F419&amp;"-Pos2",'Shooter-Squad Assignment'!$W:$W,0)),""),IF(F419="Sporting Clays",IFERROR(INDEX('Shooter-Squad Assignment'!$A:$A,MATCH(C419&amp;"-"&amp;E419&amp;"-"&amp;F419&amp;"-Pos2",'Shooter-Squad Assignment'!$Z:$Z,0)),""),"")))</f>
        <v/>
      </c>
      <c r="J419" s="88" t="str">
        <f>IF(ISBLANK(I419),"",IFERROR(INDEX('Tournament List'!$D:$D,MATCH(I419,'Tournament List'!$A:$A,0)),""))</f>
        <v/>
      </c>
      <c r="K419" s="96" t="str">
        <f>IF(F419="Skeet",IFERROR(INDEX('Shooter-Squad Assignment'!$A:$A,MATCH(C419&amp;"-"&amp;E419&amp;"-"&amp;F419&amp;"-Pos3",'Shooter-Squad Assignment'!$K:$K,0)),""),IF(F419="Trap",IFERROR(INDEX('Shooter-Squad Assignment'!$A:$A,MATCH(C419&amp;"-"&amp;E419&amp;"-"&amp;F419&amp;"-Pos3",'Shooter-Squad Assignment'!$W:$W,0)),""),IF(F419="Sporting Clays",IFERROR(INDEX('Shooter-Squad Assignment'!$A:$A,MATCH(C419&amp;"-"&amp;E419&amp;"-"&amp;F419&amp;"-Pos3",'Shooter-Squad Assignment'!$Z:$Z,0)),""),"")))</f>
        <v/>
      </c>
      <c r="L419" s="88" t="str">
        <f>IF(ISBLANK(K419),"",IFERROR(INDEX('Tournament List'!$D:$D,MATCH(K419,'Tournament List'!$A:$A,0)),""))</f>
        <v/>
      </c>
      <c r="M419" s="96" t="str">
        <f>IF(F419="Skeet",IFERROR(INDEX('Shooter-Squad Assignment'!$A:$A,MATCH(C419&amp;"-"&amp;E419&amp;"-"&amp;F419&amp;"-Pos4",'Shooter-Squad Assignment'!$K:$K,0)),""),IF(F419="Trap",IFERROR(INDEX('Shooter-Squad Assignment'!$A:$A,MATCH(C419&amp;"-"&amp;E419&amp;"-"&amp;F419&amp;"-Pos4",'Shooter-Squad Assignment'!$W:$W,0)),""),IF(F419="Sporting Clays",IFERROR(INDEX('Shooter-Squad Assignment'!$A:$A,MATCH(C419&amp;"-"&amp;E419&amp;"-"&amp;F419&amp;"-Pos4",'Shooter-Squad Assignment'!$Z:$Z,0)),""),"")))</f>
        <v/>
      </c>
      <c r="N419" s="88" t="str">
        <f>IF(ISBLANK(M419),"",IFERROR(INDEX('Tournament List'!$D:$D,MATCH(M419,'Tournament List'!$A:$A,0)),""))</f>
        <v/>
      </c>
      <c r="O419" s="96" t="str">
        <f>IF(F419="Skeet",IFERROR(INDEX('Shooter-Squad Assignment'!$A:$A,MATCH(C419&amp;"-"&amp;E419&amp;"-"&amp;F419&amp;"-Pos5",'Shooter-Squad Assignment'!$K:$K,0)),""),IF(F419="Trap",IFERROR(INDEX('Shooter-Squad Assignment'!$A:$A,MATCH(C419&amp;"-"&amp;E419&amp;"-"&amp;F419&amp;"-Pos5",'Shooter-Squad Assignment'!$W:$W,0)),""),IF(F419="Sporting Clays",IFERROR(INDEX('Shooter-Squad Assignment'!$A:$A,MATCH(C419&amp;"-"&amp;E419&amp;"-"&amp;F419&amp;"-Pos5",'Shooter-Squad Assignment'!$Z:$Z,0)),""),"")))</f>
        <v/>
      </c>
      <c r="P419" s="89" t="str">
        <f>IF(ISBLANK(O419),"",IFERROR(INDEX('Tournament List'!$D:$D,MATCH(O419,'Tournament List'!$A:$A,0)),""))</f>
        <v/>
      </c>
    </row>
    <row r="420" spans="1:16" x14ac:dyDescent="0.3">
      <c r="A420" s="87">
        <v>419</v>
      </c>
      <c r="B420" s="88" t="str">
        <f>C420&amp;"-"&amp;E420&amp;"-"&amp;F420</f>
        <v>-Collegiate 1-Sporting Clays</v>
      </c>
      <c r="C420" s="88"/>
      <c r="D420" s="88" t="str">
        <f>INDEX('Tournament Setup'!$B$59:$B$78,MATCH(E420,SquadConcurrents,0))</f>
        <v>Collegiate</v>
      </c>
      <c r="E420" s="88" t="s">
        <v>342</v>
      </c>
      <c r="F420" s="88" t="s">
        <v>148</v>
      </c>
      <c r="G420" s="96" t="str">
        <f>IF(F420="Skeet",IFERROR(INDEX('Shooter-Squad Assignment'!$A:$A,MATCH(C420&amp;"-"&amp;E420&amp;"-"&amp;F420&amp;"-Pos1",'Shooter-Squad Assignment'!$K:$K,0)),""),IF(F420="Trap",IFERROR(INDEX('Shooter-Squad Assignment'!$A:$A,MATCH(C420&amp;"-"&amp;E420&amp;"-"&amp;F420&amp;"-Pos1",'Shooter-Squad Assignment'!$W:$W,0)),""),IF(F420="Sporting Clays",IFERROR(INDEX('Shooter-Squad Assignment'!$A:$A,MATCH(C420&amp;"-"&amp;E420&amp;"-"&amp;F420&amp;"-Pos1",'Shooter-Squad Assignment'!$Z:$Z,0)),""),"")))</f>
        <v/>
      </c>
      <c r="H420" s="88" t="str">
        <f>IF(ISBLANK(G420),"",IFERROR(INDEX('Tournament List'!$D:$D,MATCH(G420,'Tournament List'!$A:$A,0)),""))</f>
        <v/>
      </c>
      <c r="I420" s="96" t="str">
        <f>IF(F420="Skeet",IFERROR(INDEX('Shooter-Squad Assignment'!$A:$A,MATCH(C420&amp;"-"&amp;E420&amp;"-"&amp;F420&amp;"-Pos2",'Shooter-Squad Assignment'!$K:$K,0)),""),IF(F420="Trap",IFERROR(INDEX('Shooter-Squad Assignment'!$A:$A,MATCH(C420&amp;"-"&amp;E420&amp;"-"&amp;F420&amp;"-Pos2",'Shooter-Squad Assignment'!$W:$W,0)),""),IF(F420="Sporting Clays",IFERROR(INDEX('Shooter-Squad Assignment'!$A:$A,MATCH(C420&amp;"-"&amp;E420&amp;"-"&amp;F420&amp;"-Pos2",'Shooter-Squad Assignment'!$Z:$Z,0)),""),"")))</f>
        <v/>
      </c>
      <c r="J420" s="88" t="str">
        <f>IF(ISBLANK(I420),"",IFERROR(INDEX('Tournament List'!$D:$D,MATCH(I420,'Tournament List'!$A:$A,0)),""))</f>
        <v/>
      </c>
      <c r="K420" s="96" t="str">
        <f>IF(F420="Skeet",IFERROR(INDEX('Shooter-Squad Assignment'!$A:$A,MATCH(C420&amp;"-"&amp;E420&amp;"-"&amp;F420&amp;"-Pos3",'Shooter-Squad Assignment'!$K:$K,0)),""),IF(F420="Trap",IFERROR(INDEX('Shooter-Squad Assignment'!$A:$A,MATCH(C420&amp;"-"&amp;E420&amp;"-"&amp;F420&amp;"-Pos3",'Shooter-Squad Assignment'!$W:$W,0)),""),IF(F420="Sporting Clays",IFERROR(INDEX('Shooter-Squad Assignment'!$A:$A,MATCH(C420&amp;"-"&amp;E420&amp;"-"&amp;F420&amp;"-Pos3",'Shooter-Squad Assignment'!$Z:$Z,0)),""),"")))</f>
        <v/>
      </c>
      <c r="L420" s="88" t="str">
        <f>IF(ISBLANK(K420),"",IFERROR(INDEX('Tournament List'!$D:$D,MATCH(K420,'Tournament List'!$A:$A,0)),""))</f>
        <v/>
      </c>
      <c r="M420" s="96" t="str">
        <f>IF(F420="Skeet",IFERROR(INDEX('Shooter-Squad Assignment'!$A:$A,MATCH(C420&amp;"-"&amp;E420&amp;"-"&amp;F420&amp;"-Pos4",'Shooter-Squad Assignment'!$K:$K,0)),""),IF(F420="Trap",IFERROR(INDEX('Shooter-Squad Assignment'!$A:$A,MATCH(C420&amp;"-"&amp;E420&amp;"-"&amp;F420&amp;"-Pos4",'Shooter-Squad Assignment'!$W:$W,0)),""),IF(F420="Sporting Clays",IFERROR(INDEX('Shooter-Squad Assignment'!$A:$A,MATCH(C420&amp;"-"&amp;E420&amp;"-"&amp;F420&amp;"-Pos4",'Shooter-Squad Assignment'!$Z:$Z,0)),""),"")))</f>
        <v/>
      </c>
      <c r="N420" s="88" t="str">
        <f>IF(ISBLANK(M420),"",IFERROR(INDEX('Tournament List'!$D:$D,MATCH(M420,'Tournament List'!$A:$A,0)),""))</f>
        <v/>
      </c>
      <c r="O420" s="96" t="str">
        <f>IF(F420="Skeet",IFERROR(INDEX('Shooter-Squad Assignment'!$A:$A,MATCH(C420&amp;"-"&amp;E420&amp;"-"&amp;F420&amp;"-Pos5",'Shooter-Squad Assignment'!$K:$K,0)),""),IF(F420="Trap",IFERROR(INDEX('Shooter-Squad Assignment'!$A:$A,MATCH(C420&amp;"-"&amp;E420&amp;"-"&amp;F420&amp;"-Pos5",'Shooter-Squad Assignment'!$W:$W,0)),""),IF(F420="Sporting Clays",IFERROR(INDEX('Shooter-Squad Assignment'!$A:$A,MATCH(C420&amp;"-"&amp;E420&amp;"-"&amp;F420&amp;"-Pos5",'Shooter-Squad Assignment'!$Z:$Z,0)),""),"")))</f>
        <v/>
      </c>
      <c r="P420" s="89" t="str">
        <f>IF(ISBLANK(O420),"",IFERROR(INDEX('Tournament List'!$D:$D,MATCH(O420,'Tournament List'!$A:$A,0)),""))</f>
        <v/>
      </c>
    </row>
    <row r="421" spans="1:16" x14ac:dyDescent="0.3">
      <c r="A421" s="87">
        <v>420</v>
      </c>
      <c r="B421" s="88" t="str">
        <f>C421&amp;"-"&amp;E421&amp;"-"&amp;F421</f>
        <v>-Collegiate 2-Sporting Clays</v>
      </c>
      <c r="C421" s="88"/>
      <c r="D421" s="88" t="str">
        <f>INDEX('Tournament Setup'!$B$59:$B$78,MATCH(E421,SquadConcurrents,0))</f>
        <v>Collegiate</v>
      </c>
      <c r="E421" s="88" t="s">
        <v>348</v>
      </c>
      <c r="F421" s="88" t="s">
        <v>148</v>
      </c>
      <c r="G421" s="96" t="str">
        <f>IF(F421="Skeet",IFERROR(INDEX('Shooter-Squad Assignment'!$A:$A,MATCH(C421&amp;"-"&amp;E421&amp;"-"&amp;F421&amp;"-Pos1",'Shooter-Squad Assignment'!$K:$K,0)),""),IF(F421="Trap",IFERROR(INDEX('Shooter-Squad Assignment'!$A:$A,MATCH(C421&amp;"-"&amp;E421&amp;"-"&amp;F421&amp;"-Pos1",'Shooter-Squad Assignment'!$W:$W,0)),""),IF(F421="Sporting Clays",IFERROR(INDEX('Shooter-Squad Assignment'!$A:$A,MATCH(C421&amp;"-"&amp;E421&amp;"-"&amp;F421&amp;"-Pos1",'Shooter-Squad Assignment'!$Z:$Z,0)),""),"")))</f>
        <v/>
      </c>
      <c r="H421" s="88" t="str">
        <f>IF(ISBLANK(G421),"",IFERROR(INDEX('Tournament List'!$D:$D,MATCH(G421,'Tournament List'!$A:$A,0)),""))</f>
        <v/>
      </c>
      <c r="I421" s="96" t="str">
        <f>IF(F421="Skeet",IFERROR(INDEX('Shooter-Squad Assignment'!$A:$A,MATCH(C421&amp;"-"&amp;E421&amp;"-"&amp;F421&amp;"-Pos2",'Shooter-Squad Assignment'!$K:$K,0)),""),IF(F421="Trap",IFERROR(INDEX('Shooter-Squad Assignment'!$A:$A,MATCH(C421&amp;"-"&amp;E421&amp;"-"&amp;F421&amp;"-Pos2",'Shooter-Squad Assignment'!$W:$W,0)),""),IF(F421="Sporting Clays",IFERROR(INDEX('Shooter-Squad Assignment'!$A:$A,MATCH(C421&amp;"-"&amp;E421&amp;"-"&amp;F421&amp;"-Pos2",'Shooter-Squad Assignment'!$Z:$Z,0)),""),"")))</f>
        <v/>
      </c>
      <c r="J421" s="88" t="str">
        <f>IF(ISBLANK(I421),"",IFERROR(INDEX('Tournament List'!$D:$D,MATCH(I421,'Tournament List'!$A:$A,0)),""))</f>
        <v/>
      </c>
      <c r="K421" s="96" t="str">
        <f>IF(F421="Skeet",IFERROR(INDEX('Shooter-Squad Assignment'!$A:$A,MATCH(C421&amp;"-"&amp;E421&amp;"-"&amp;F421&amp;"-Pos3",'Shooter-Squad Assignment'!$K:$K,0)),""),IF(F421="Trap",IFERROR(INDEX('Shooter-Squad Assignment'!$A:$A,MATCH(C421&amp;"-"&amp;E421&amp;"-"&amp;F421&amp;"-Pos3",'Shooter-Squad Assignment'!$W:$W,0)),""),IF(F421="Sporting Clays",IFERROR(INDEX('Shooter-Squad Assignment'!$A:$A,MATCH(C421&amp;"-"&amp;E421&amp;"-"&amp;F421&amp;"-Pos3",'Shooter-Squad Assignment'!$Z:$Z,0)),""),"")))</f>
        <v/>
      </c>
      <c r="L421" s="88" t="str">
        <f>IF(ISBLANK(K421),"",IFERROR(INDEX('Tournament List'!$D:$D,MATCH(K421,'Tournament List'!$A:$A,0)),""))</f>
        <v/>
      </c>
      <c r="M421" s="96" t="str">
        <f>IF(F421="Skeet",IFERROR(INDEX('Shooter-Squad Assignment'!$A:$A,MATCH(C421&amp;"-"&amp;E421&amp;"-"&amp;F421&amp;"-Pos4",'Shooter-Squad Assignment'!$K:$K,0)),""),IF(F421="Trap",IFERROR(INDEX('Shooter-Squad Assignment'!$A:$A,MATCH(C421&amp;"-"&amp;E421&amp;"-"&amp;F421&amp;"-Pos4",'Shooter-Squad Assignment'!$W:$W,0)),""),IF(F421="Sporting Clays",IFERROR(INDEX('Shooter-Squad Assignment'!$A:$A,MATCH(C421&amp;"-"&amp;E421&amp;"-"&amp;F421&amp;"-Pos4",'Shooter-Squad Assignment'!$Z:$Z,0)),""),"")))</f>
        <v/>
      </c>
      <c r="N421" s="88" t="str">
        <f>IF(ISBLANK(M421),"",IFERROR(INDEX('Tournament List'!$D:$D,MATCH(M421,'Tournament List'!$A:$A,0)),""))</f>
        <v/>
      </c>
      <c r="O421" s="96" t="str">
        <f>IF(F421="Skeet",IFERROR(INDEX('Shooter-Squad Assignment'!$A:$A,MATCH(C421&amp;"-"&amp;E421&amp;"-"&amp;F421&amp;"-Pos5",'Shooter-Squad Assignment'!$K:$K,0)),""),IF(F421="Trap",IFERROR(INDEX('Shooter-Squad Assignment'!$A:$A,MATCH(C421&amp;"-"&amp;E421&amp;"-"&amp;F421&amp;"-Pos5",'Shooter-Squad Assignment'!$W:$W,0)),""),IF(F421="Sporting Clays",IFERROR(INDEX('Shooter-Squad Assignment'!$A:$A,MATCH(C421&amp;"-"&amp;E421&amp;"-"&amp;F421&amp;"-Pos5",'Shooter-Squad Assignment'!$Z:$Z,0)),""),"")))</f>
        <v/>
      </c>
      <c r="P421" s="89" t="str">
        <f>IF(ISBLANK(O421),"",IFERROR(INDEX('Tournament List'!$D:$D,MATCH(O421,'Tournament List'!$A:$A,0)),""))</f>
        <v/>
      </c>
    </row>
    <row r="422" spans="1:16" x14ac:dyDescent="0.3">
      <c r="A422" s="87">
        <v>421</v>
      </c>
      <c r="B422" s="88" t="str">
        <f>C422&amp;"-"&amp;E422&amp;"-"&amp;F422</f>
        <v>-Collegiate 3-Sporting Clays</v>
      </c>
      <c r="C422" s="88"/>
      <c r="D422" s="88" t="str">
        <f>INDEX('Tournament Setup'!$B$59:$B$78,MATCH(E422,SquadConcurrents,0))</f>
        <v>Collegiate</v>
      </c>
      <c r="E422" s="88" t="s">
        <v>354</v>
      </c>
      <c r="F422" s="88" t="s">
        <v>148</v>
      </c>
      <c r="G422" s="96" t="str">
        <f>IF(F422="Skeet",IFERROR(INDEX('Shooter-Squad Assignment'!$A:$A,MATCH(C422&amp;"-"&amp;E422&amp;"-"&amp;F422&amp;"-Pos1",'Shooter-Squad Assignment'!$K:$K,0)),""),IF(F422="Trap",IFERROR(INDEX('Shooter-Squad Assignment'!$A:$A,MATCH(C422&amp;"-"&amp;E422&amp;"-"&amp;F422&amp;"-Pos1",'Shooter-Squad Assignment'!$W:$W,0)),""),IF(F422="Sporting Clays",IFERROR(INDEX('Shooter-Squad Assignment'!$A:$A,MATCH(C422&amp;"-"&amp;E422&amp;"-"&amp;F422&amp;"-Pos1",'Shooter-Squad Assignment'!$Z:$Z,0)),""),"")))</f>
        <v/>
      </c>
      <c r="H422" s="88" t="str">
        <f>IF(ISBLANK(G422),"",IFERROR(INDEX('Tournament List'!$D:$D,MATCH(G422,'Tournament List'!$A:$A,0)),""))</f>
        <v/>
      </c>
      <c r="I422" s="96" t="str">
        <f>IF(F422="Skeet",IFERROR(INDEX('Shooter-Squad Assignment'!$A:$A,MATCH(C422&amp;"-"&amp;E422&amp;"-"&amp;F422&amp;"-Pos2",'Shooter-Squad Assignment'!$K:$K,0)),""),IF(F422="Trap",IFERROR(INDEX('Shooter-Squad Assignment'!$A:$A,MATCH(C422&amp;"-"&amp;E422&amp;"-"&amp;F422&amp;"-Pos2",'Shooter-Squad Assignment'!$W:$W,0)),""),IF(F422="Sporting Clays",IFERROR(INDEX('Shooter-Squad Assignment'!$A:$A,MATCH(C422&amp;"-"&amp;E422&amp;"-"&amp;F422&amp;"-Pos2",'Shooter-Squad Assignment'!$Z:$Z,0)),""),"")))</f>
        <v/>
      </c>
      <c r="J422" s="88" t="str">
        <f>IF(ISBLANK(I422),"",IFERROR(INDEX('Tournament List'!$D:$D,MATCH(I422,'Tournament List'!$A:$A,0)),""))</f>
        <v/>
      </c>
      <c r="K422" s="96" t="str">
        <f>IF(F422="Skeet",IFERROR(INDEX('Shooter-Squad Assignment'!$A:$A,MATCH(C422&amp;"-"&amp;E422&amp;"-"&amp;F422&amp;"-Pos3",'Shooter-Squad Assignment'!$K:$K,0)),""),IF(F422="Trap",IFERROR(INDEX('Shooter-Squad Assignment'!$A:$A,MATCH(C422&amp;"-"&amp;E422&amp;"-"&amp;F422&amp;"-Pos3",'Shooter-Squad Assignment'!$W:$W,0)),""),IF(F422="Sporting Clays",IFERROR(INDEX('Shooter-Squad Assignment'!$A:$A,MATCH(C422&amp;"-"&amp;E422&amp;"-"&amp;F422&amp;"-Pos3",'Shooter-Squad Assignment'!$Z:$Z,0)),""),"")))</f>
        <v/>
      </c>
      <c r="L422" s="88" t="str">
        <f>IF(ISBLANK(K422),"",IFERROR(INDEX('Tournament List'!$D:$D,MATCH(K422,'Tournament List'!$A:$A,0)),""))</f>
        <v/>
      </c>
      <c r="M422" s="96" t="str">
        <f>IF(F422="Skeet",IFERROR(INDEX('Shooter-Squad Assignment'!$A:$A,MATCH(C422&amp;"-"&amp;E422&amp;"-"&amp;F422&amp;"-Pos4",'Shooter-Squad Assignment'!$K:$K,0)),""),IF(F422="Trap",IFERROR(INDEX('Shooter-Squad Assignment'!$A:$A,MATCH(C422&amp;"-"&amp;E422&amp;"-"&amp;F422&amp;"-Pos4",'Shooter-Squad Assignment'!$W:$W,0)),""),IF(F422="Sporting Clays",IFERROR(INDEX('Shooter-Squad Assignment'!$A:$A,MATCH(C422&amp;"-"&amp;E422&amp;"-"&amp;F422&amp;"-Pos4",'Shooter-Squad Assignment'!$Z:$Z,0)),""),"")))</f>
        <v/>
      </c>
      <c r="N422" s="88" t="str">
        <f>IF(ISBLANK(M422),"",IFERROR(INDEX('Tournament List'!$D:$D,MATCH(M422,'Tournament List'!$A:$A,0)),""))</f>
        <v/>
      </c>
      <c r="O422" s="96" t="str">
        <f>IF(F422="Skeet",IFERROR(INDEX('Shooter-Squad Assignment'!$A:$A,MATCH(C422&amp;"-"&amp;E422&amp;"-"&amp;F422&amp;"-Pos5",'Shooter-Squad Assignment'!$K:$K,0)),""),IF(F422="Trap",IFERROR(INDEX('Shooter-Squad Assignment'!$A:$A,MATCH(C422&amp;"-"&amp;E422&amp;"-"&amp;F422&amp;"-Pos5",'Shooter-Squad Assignment'!$W:$W,0)),""),IF(F422="Sporting Clays",IFERROR(INDEX('Shooter-Squad Assignment'!$A:$A,MATCH(C422&amp;"-"&amp;E422&amp;"-"&amp;F422&amp;"-Pos5",'Shooter-Squad Assignment'!$Z:$Z,0)),""),"")))</f>
        <v/>
      </c>
      <c r="P422" s="89" t="str">
        <f>IF(ISBLANK(O422),"",IFERROR(INDEX('Tournament List'!$D:$D,MATCH(O422,'Tournament List'!$A:$A,0)),""))</f>
        <v/>
      </c>
    </row>
    <row r="423" spans="1:16" x14ac:dyDescent="0.3">
      <c r="A423" s="87">
        <v>422</v>
      </c>
      <c r="B423" s="88" t="str">
        <f>C423&amp;"-"&amp;E423&amp;"-"&amp;F423</f>
        <v>-Intermediate 1-Sporting Clays</v>
      </c>
      <c r="C423" s="88"/>
      <c r="D423" s="88" t="str">
        <f>INDEX('Tournament Setup'!$B$59:$B$78,MATCH(E423,SquadConcurrents,0))</f>
        <v>Intermediate</v>
      </c>
      <c r="E423" s="88" t="s">
        <v>338</v>
      </c>
      <c r="F423" s="88" t="s">
        <v>148</v>
      </c>
      <c r="G423" s="96" t="str">
        <f>IF(F423="Skeet",IFERROR(INDEX('Shooter-Squad Assignment'!$A:$A,MATCH(C423&amp;"-"&amp;E423&amp;"-"&amp;F423&amp;"-Pos1",'Shooter-Squad Assignment'!$K:$K,0)),""),IF(F423="Trap",IFERROR(INDEX('Shooter-Squad Assignment'!$A:$A,MATCH(C423&amp;"-"&amp;E423&amp;"-"&amp;F423&amp;"-Pos1",'Shooter-Squad Assignment'!$W:$W,0)),""),IF(F423="Sporting Clays",IFERROR(INDEX('Shooter-Squad Assignment'!$A:$A,MATCH(C423&amp;"-"&amp;E423&amp;"-"&amp;F423&amp;"-Pos1",'Shooter-Squad Assignment'!$Z:$Z,0)),""),"")))</f>
        <v/>
      </c>
      <c r="H423" s="88" t="str">
        <f>IF(ISBLANK(G423),"",IFERROR(INDEX('Tournament List'!$D:$D,MATCH(G423,'Tournament List'!$A:$A,0)),""))</f>
        <v/>
      </c>
      <c r="I423" s="96" t="str">
        <f>IF(F423="Skeet",IFERROR(INDEX('Shooter-Squad Assignment'!$A:$A,MATCH(C423&amp;"-"&amp;E423&amp;"-"&amp;F423&amp;"-Pos2",'Shooter-Squad Assignment'!$K:$K,0)),""),IF(F423="Trap",IFERROR(INDEX('Shooter-Squad Assignment'!$A:$A,MATCH(C423&amp;"-"&amp;E423&amp;"-"&amp;F423&amp;"-Pos2",'Shooter-Squad Assignment'!$W:$W,0)),""),IF(F423="Sporting Clays",IFERROR(INDEX('Shooter-Squad Assignment'!$A:$A,MATCH(C423&amp;"-"&amp;E423&amp;"-"&amp;F423&amp;"-Pos2",'Shooter-Squad Assignment'!$Z:$Z,0)),""),"")))</f>
        <v/>
      </c>
      <c r="J423" s="88" t="str">
        <f>IF(ISBLANK(I423),"",IFERROR(INDEX('Tournament List'!$D:$D,MATCH(I423,'Tournament List'!$A:$A,0)),""))</f>
        <v/>
      </c>
      <c r="K423" s="96" t="str">
        <f>IF(F423="Skeet",IFERROR(INDEX('Shooter-Squad Assignment'!$A:$A,MATCH(C423&amp;"-"&amp;E423&amp;"-"&amp;F423&amp;"-Pos3",'Shooter-Squad Assignment'!$K:$K,0)),""),IF(F423="Trap",IFERROR(INDEX('Shooter-Squad Assignment'!$A:$A,MATCH(C423&amp;"-"&amp;E423&amp;"-"&amp;F423&amp;"-Pos3",'Shooter-Squad Assignment'!$W:$W,0)),""),IF(F423="Sporting Clays",IFERROR(INDEX('Shooter-Squad Assignment'!$A:$A,MATCH(C423&amp;"-"&amp;E423&amp;"-"&amp;F423&amp;"-Pos3",'Shooter-Squad Assignment'!$Z:$Z,0)),""),"")))</f>
        <v/>
      </c>
      <c r="L423" s="88" t="str">
        <f>IF(ISBLANK(K423),"",IFERROR(INDEX('Tournament List'!$D:$D,MATCH(K423,'Tournament List'!$A:$A,0)),""))</f>
        <v/>
      </c>
      <c r="M423" s="96" t="str">
        <f>IF(F423="Skeet",IFERROR(INDEX('Shooter-Squad Assignment'!$A:$A,MATCH(C423&amp;"-"&amp;E423&amp;"-"&amp;F423&amp;"-Pos4",'Shooter-Squad Assignment'!$K:$K,0)),""),IF(F423="Trap",IFERROR(INDEX('Shooter-Squad Assignment'!$A:$A,MATCH(C423&amp;"-"&amp;E423&amp;"-"&amp;F423&amp;"-Pos4",'Shooter-Squad Assignment'!$W:$W,0)),""),IF(F423="Sporting Clays",IFERROR(INDEX('Shooter-Squad Assignment'!$A:$A,MATCH(C423&amp;"-"&amp;E423&amp;"-"&amp;F423&amp;"-Pos4",'Shooter-Squad Assignment'!$Z:$Z,0)),""),"")))</f>
        <v/>
      </c>
      <c r="N423" s="88" t="str">
        <f>IF(ISBLANK(M423),"",IFERROR(INDEX('Tournament List'!$D:$D,MATCH(M423,'Tournament List'!$A:$A,0)),""))</f>
        <v/>
      </c>
      <c r="O423" s="96" t="str">
        <f>IF(F423="Skeet",IFERROR(INDEX('Shooter-Squad Assignment'!$A:$A,MATCH(C423&amp;"-"&amp;E423&amp;"-"&amp;F423&amp;"-Pos5",'Shooter-Squad Assignment'!$K:$K,0)),""),IF(F423="Trap",IFERROR(INDEX('Shooter-Squad Assignment'!$A:$A,MATCH(C423&amp;"-"&amp;E423&amp;"-"&amp;F423&amp;"-Pos5",'Shooter-Squad Assignment'!$W:$W,0)),""),IF(F423="Sporting Clays",IFERROR(INDEX('Shooter-Squad Assignment'!$A:$A,MATCH(C423&amp;"-"&amp;E423&amp;"-"&amp;F423&amp;"-Pos5",'Shooter-Squad Assignment'!$Z:$Z,0)),""),"")))</f>
        <v/>
      </c>
      <c r="P423" s="89" t="str">
        <f>IF(ISBLANK(O423),"",IFERROR(INDEX('Tournament List'!$D:$D,MATCH(O423,'Tournament List'!$A:$A,0)),""))</f>
        <v/>
      </c>
    </row>
    <row r="424" spans="1:16" x14ac:dyDescent="0.3">
      <c r="A424" s="87">
        <v>423</v>
      </c>
      <c r="B424" s="88" t="str">
        <f>C424&amp;"-"&amp;E424&amp;"-"&amp;F424</f>
        <v>-Intermediate 2-Sporting Clays</v>
      </c>
      <c r="C424" s="88"/>
      <c r="D424" s="88" t="str">
        <f>INDEX('Tournament Setup'!$B$59:$B$78,MATCH(E424,SquadConcurrents,0))</f>
        <v>Intermediate</v>
      </c>
      <c r="E424" s="88" t="s">
        <v>344</v>
      </c>
      <c r="F424" s="88" t="s">
        <v>148</v>
      </c>
      <c r="G424" s="96" t="str">
        <f>IF(F424="Skeet",IFERROR(INDEX('Shooter-Squad Assignment'!$A:$A,MATCH(C424&amp;"-"&amp;E424&amp;"-"&amp;F424&amp;"-Pos1",'Shooter-Squad Assignment'!$K:$K,0)),""),IF(F424="Trap",IFERROR(INDEX('Shooter-Squad Assignment'!$A:$A,MATCH(C424&amp;"-"&amp;E424&amp;"-"&amp;F424&amp;"-Pos1",'Shooter-Squad Assignment'!$W:$W,0)),""),IF(F424="Sporting Clays",IFERROR(INDEX('Shooter-Squad Assignment'!$A:$A,MATCH(C424&amp;"-"&amp;E424&amp;"-"&amp;F424&amp;"-Pos1",'Shooter-Squad Assignment'!$Z:$Z,0)),""),"")))</f>
        <v/>
      </c>
      <c r="H424" s="88" t="str">
        <f>IF(ISBLANK(G424),"",IFERROR(INDEX('Tournament List'!$D:$D,MATCH(G424,'Tournament List'!$A:$A,0)),""))</f>
        <v/>
      </c>
      <c r="I424" s="96" t="str">
        <f>IF(F424="Skeet",IFERROR(INDEX('Shooter-Squad Assignment'!$A:$A,MATCH(C424&amp;"-"&amp;E424&amp;"-"&amp;F424&amp;"-Pos2",'Shooter-Squad Assignment'!$K:$K,0)),""),IF(F424="Trap",IFERROR(INDEX('Shooter-Squad Assignment'!$A:$A,MATCH(C424&amp;"-"&amp;E424&amp;"-"&amp;F424&amp;"-Pos2",'Shooter-Squad Assignment'!$W:$W,0)),""),IF(F424="Sporting Clays",IFERROR(INDEX('Shooter-Squad Assignment'!$A:$A,MATCH(C424&amp;"-"&amp;E424&amp;"-"&amp;F424&amp;"-Pos2",'Shooter-Squad Assignment'!$Z:$Z,0)),""),"")))</f>
        <v/>
      </c>
      <c r="J424" s="88" t="str">
        <f>IF(ISBLANK(I424),"",IFERROR(INDEX('Tournament List'!$D:$D,MATCH(I424,'Tournament List'!$A:$A,0)),""))</f>
        <v/>
      </c>
      <c r="K424" s="96" t="str">
        <f>IF(F424="Skeet",IFERROR(INDEX('Shooter-Squad Assignment'!$A:$A,MATCH(C424&amp;"-"&amp;E424&amp;"-"&amp;F424&amp;"-Pos3",'Shooter-Squad Assignment'!$K:$K,0)),""),IF(F424="Trap",IFERROR(INDEX('Shooter-Squad Assignment'!$A:$A,MATCH(C424&amp;"-"&amp;E424&amp;"-"&amp;F424&amp;"-Pos3",'Shooter-Squad Assignment'!$W:$W,0)),""),IF(F424="Sporting Clays",IFERROR(INDEX('Shooter-Squad Assignment'!$A:$A,MATCH(C424&amp;"-"&amp;E424&amp;"-"&amp;F424&amp;"-Pos3",'Shooter-Squad Assignment'!$Z:$Z,0)),""),"")))</f>
        <v/>
      </c>
      <c r="L424" s="88" t="str">
        <f>IF(ISBLANK(K424),"",IFERROR(INDEX('Tournament List'!$D:$D,MATCH(K424,'Tournament List'!$A:$A,0)),""))</f>
        <v/>
      </c>
      <c r="M424" s="96" t="str">
        <f>IF(F424="Skeet",IFERROR(INDEX('Shooter-Squad Assignment'!$A:$A,MATCH(C424&amp;"-"&amp;E424&amp;"-"&amp;F424&amp;"-Pos4",'Shooter-Squad Assignment'!$K:$K,0)),""),IF(F424="Trap",IFERROR(INDEX('Shooter-Squad Assignment'!$A:$A,MATCH(C424&amp;"-"&amp;E424&amp;"-"&amp;F424&amp;"-Pos4",'Shooter-Squad Assignment'!$W:$W,0)),""),IF(F424="Sporting Clays",IFERROR(INDEX('Shooter-Squad Assignment'!$A:$A,MATCH(C424&amp;"-"&amp;E424&amp;"-"&amp;F424&amp;"-Pos4",'Shooter-Squad Assignment'!$Z:$Z,0)),""),"")))</f>
        <v/>
      </c>
      <c r="N424" s="88" t="str">
        <f>IF(ISBLANK(M424),"",IFERROR(INDEX('Tournament List'!$D:$D,MATCH(M424,'Tournament List'!$A:$A,0)),""))</f>
        <v/>
      </c>
      <c r="O424" s="96" t="str">
        <f>IF(F424="Skeet",IFERROR(INDEX('Shooter-Squad Assignment'!$A:$A,MATCH(C424&amp;"-"&amp;E424&amp;"-"&amp;F424&amp;"-Pos5",'Shooter-Squad Assignment'!$K:$K,0)),""),IF(F424="Trap",IFERROR(INDEX('Shooter-Squad Assignment'!$A:$A,MATCH(C424&amp;"-"&amp;E424&amp;"-"&amp;F424&amp;"-Pos5",'Shooter-Squad Assignment'!$W:$W,0)),""),IF(F424="Sporting Clays",IFERROR(INDEX('Shooter-Squad Assignment'!$A:$A,MATCH(C424&amp;"-"&amp;E424&amp;"-"&amp;F424&amp;"-Pos5",'Shooter-Squad Assignment'!$Z:$Z,0)),""),"")))</f>
        <v/>
      </c>
      <c r="P424" s="89" t="str">
        <f>IF(ISBLANK(O424),"",IFERROR(INDEX('Tournament List'!$D:$D,MATCH(O424,'Tournament List'!$A:$A,0)),""))</f>
        <v/>
      </c>
    </row>
    <row r="425" spans="1:16" x14ac:dyDescent="0.3">
      <c r="A425" s="87">
        <v>424</v>
      </c>
      <c r="B425" s="88" t="str">
        <f>C425&amp;"-"&amp;E425&amp;"-"&amp;F425</f>
        <v>-Intermediate 3-Sporting Clays</v>
      </c>
      <c r="C425" s="88"/>
      <c r="D425" s="88" t="str">
        <f>INDEX('Tournament Setup'!$B$59:$B$78,MATCH(E425,SquadConcurrents,0))</f>
        <v>Intermediate</v>
      </c>
      <c r="E425" s="88" t="s">
        <v>350</v>
      </c>
      <c r="F425" s="88" t="s">
        <v>148</v>
      </c>
      <c r="G425" s="96" t="str">
        <f>IF(F425="Skeet",IFERROR(INDEX('Shooter-Squad Assignment'!$A:$A,MATCH(C425&amp;"-"&amp;E425&amp;"-"&amp;F425&amp;"-Pos1",'Shooter-Squad Assignment'!$K:$K,0)),""),IF(F425="Trap",IFERROR(INDEX('Shooter-Squad Assignment'!$A:$A,MATCH(C425&amp;"-"&amp;E425&amp;"-"&amp;F425&amp;"-Pos1",'Shooter-Squad Assignment'!$W:$W,0)),""),IF(F425="Sporting Clays",IFERROR(INDEX('Shooter-Squad Assignment'!$A:$A,MATCH(C425&amp;"-"&amp;E425&amp;"-"&amp;F425&amp;"-Pos1",'Shooter-Squad Assignment'!$Z:$Z,0)),""),"")))</f>
        <v/>
      </c>
      <c r="H425" s="88" t="str">
        <f>IF(ISBLANK(G425),"",IFERROR(INDEX('Tournament List'!$D:$D,MATCH(G425,'Tournament List'!$A:$A,0)),""))</f>
        <v/>
      </c>
      <c r="I425" s="96" t="str">
        <f>IF(F425="Skeet",IFERROR(INDEX('Shooter-Squad Assignment'!$A:$A,MATCH(C425&amp;"-"&amp;E425&amp;"-"&amp;F425&amp;"-Pos2",'Shooter-Squad Assignment'!$K:$K,0)),""),IF(F425="Trap",IFERROR(INDEX('Shooter-Squad Assignment'!$A:$A,MATCH(C425&amp;"-"&amp;E425&amp;"-"&amp;F425&amp;"-Pos2",'Shooter-Squad Assignment'!$W:$W,0)),""),IF(F425="Sporting Clays",IFERROR(INDEX('Shooter-Squad Assignment'!$A:$A,MATCH(C425&amp;"-"&amp;E425&amp;"-"&amp;F425&amp;"-Pos2",'Shooter-Squad Assignment'!$Z:$Z,0)),""),"")))</f>
        <v/>
      </c>
      <c r="J425" s="88" t="str">
        <f>IF(ISBLANK(I425),"",IFERROR(INDEX('Tournament List'!$D:$D,MATCH(I425,'Tournament List'!$A:$A,0)),""))</f>
        <v/>
      </c>
      <c r="K425" s="96" t="str">
        <f>IF(F425="Skeet",IFERROR(INDEX('Shooter-Squad Assignment'!$A:$A,MATCH(C425&amp;"-"&amp;E425&amp;"-"&amp;F425&amp;"-Pos3",'Shooter-Squad Assignment'!$K:$K,0)),""),IF(F425="Trap",IFERROR(INDEX('Shooter-Squad Assignment'!$A:$A,MATCH(C425&amp;"-"&amp;E425&amp;"-"&amp;F425&amp;"-Pos3",'Shooter-Squad Assignment'!$W:$W,0)),""),IF(F425="Sporting Clays",IFERROR(INDEX('Shooter-Squad Assignment'!$A:$A,MATCH(C425&amp;"-"&amp;E425&amp;"-"&amp;F425&amp;"-Pos3",'Shooter-Squad Assignment'!$Z:$Z,0)),""),"")))</f>
        <v/>
      </c>
      <c r="L425" s="88" t="str">
        <f>IF(ISBLANK(K425),"",IFERROR(INDEX('Tournament List'!$D:$D,MATCH(K425,'Tournament List'!$A:$A,0)),""))</f>
        <v/>
      </c>
      <c r="M425" s="96" t="str">
        <f>IF(F425="Skeet",IFERROR(INDEX('Shooter-Squad Assignment'!$A:$A,MATCH(C425&amp;"-"&amp;E425&amp;"-"&amp;F425&amp;"-Pos4",'Shooter-Squad Assignment'!$K:$K,0)),""),IF(F425="Trap",IFERROR(INDEX('Shooter-Squad Assignment'!$A:$A,MATCH(C425&amp;"-"&amp;E425&amp;"-"&amp;F425&amp;"-Pos4",'Shooter-Squad Assignment'!$W:$W,0)),""),IF(F425="Sporting Clays",IFERROR(INDEX('Shooter-Squad Assignment'!$A:$A,MATCH(C425&amp;"-"&amp;E425&amp;"-"&amp;F425&amp;"-Pos4",'Shooter-Squad Assignment'!$Z:$Z,0)),""),"")))</f>
        <v/>
      </c>
      <c r="N425" s="88" t="str">
        <f>IF(ISBLANK(M425),"",IFERROR(INDEX('Tournament List'!$D:$D,MATCH(M425,'Tournament List'!$A:$A,0)),""))</f>
        <v/>
      </c>
      <c r="O425" s="96" t="str">
        <f>IF(F425="Skeet",IFERROR(INDEX('Shooter-Squad Assignment'!$A:$A,MATCH(C425&amp;"-"&amp;E425&amp;"-"&amp;F425&amp;"-Pos5",'Shooter-Squad Assignment'!$K:$K,0)),""),IF(F425="Trap",IFERROR(INDEX('Shooter-Squad Assignment'!$A:$A,MATCH(C425&amp;"-"&amp;E425&amp;"-"&amp;F425&amp;"-Pos5",'Shooter-Squad Assignment'!$W:$W,0)),""),IF(F425="Sporting Clays",IFERROR(INDEX('Shooter-Squad Assignment'!$A:$A,MATCH(C425&amp;"-"&amp;E425&amp;"-"&amp;F425&amp;"-Pos5",'Shooter-Squad Assignment'!$Z:$Z,0)),""),"")))</f>
        <v/>
      </c>
      <c r="P425" s="89" t="str">
        <f>IF(ISBLANK(O425),"",IFERROR(INDEX('Tournament List'!$D:$D,MATCH(O425,'Tournament List'!$A:$A,0)),""))</f>
        <v/>
      </c>
    </row>
    <row r="426" spans="1:16" x14ac:dyDescent="0.3">
      <c r="A426" s="87">
        <v>425</v>
      </c>
      <c r="B426" s="88" t="str">
        <f>C426&amp;"-"&amp;E426&amp;"-"&amp;F426</f>
        <v>-Junior Varsity 1-Sporting Clays</v>
      </c>
      <c r="C426" s="88"/>
      <c r="D426" s="88" t="str">
        <f>INDEX('Tournament Setup'!$B$59:$B$78,MATCH(E426,SquadConcurrents,0))</f>
        <v>Junior Varsity</v>
      </c>
      <c r="E426" s="88" t="s">
        <v>339</v>
      </c>
      <c r="F426" s="88" t="s">
        <v>148</v>
      </c>
      <c r="G426" s="96" t="str">
        <f>IF(F426="Skeet",IFERROR(INDEX('Shooter-Squad Assignment'!$A:$A,MATCH(C426&amp;"-"&amp;E426&amp;"-"&amp;F426&amp;"-Pos1",'Shooter-Squad Assignment'!$K:$K,0)),""),IF(F426="Trap",IFERROR(INDEX('Shooter-Squad Assignment'!$A:$A,MATCH(C426&amp;"-"&amp;E426&amp;"-"&amp;F426&amp;"-Pos1",'Shooter-Squad Assignment'!$W:$W,0)),""),IF(F426="Sporting Clays",IFERROR(INDEX('Shooter-Squad Assignment'!$A:$A,MATCH(C426&amp;"-"&amp;E426&amp;"-"&amp;F426&amp;"-Pos1",'Shooter-Squad Assignment'!$Z:$Z,0)),""),"")))</f>
        <v/>
      </c>
      <c r="H426" s="88" t="str">
        <f>IF(ISBLANK(G426),"",IFERROR(INDEX('Tournament List'!$D:$D,MATCH(G426,'Tournament List'!$A:$A,0)),""))</f>
        <v/>
      </c>
      <c r="I426" s="96" t="str">
        <f>IF(F426="Skeet",IFERROR(INDEX('Shooter-Squad Assignment'!$A:$A,MATCH(C426&amp;"-"&amp;E426&amp;"-"&amp;F426&amp;"-Pos2",'Shooter-Squad Assignment'!$K:$K,0)),""),IF(F426="Trap",IFERROR(INDEX('Shooter-Squad Assignment'!$A:$A,MATCH(C426&amp;"-"&amp;E426&amp;"-"&amp;F426&amp;"-Pos2",'Shooter-Squad Assignment'!$W:$W,0)),""),IF(F426="Sporting Clays",IFERROR(INDEX('Shooter-Squad Assignment'!$A:$A,MATCH(C426&amp;"-"&amp;E426&amp;"-"&amp;F426&amp;"-Pos2",'Shooter-Squad Assignment'!$Z:$Z,0)),""),"")))</f>
        <v/>
      </c>
      <c r="J426" s="88" t="str">
        <f>IF(ISBLANK(I426),"",IFERROR(INDEX('Tournament List'!$D:$D,MATCH(I426,'Tournament List'!$A:$A,0)),""))</f>
        <v/>
      </c>
      <c r="K426" s="96" t="str">
        <f>IF(F426="Skeet",IFERROR(INDEX('Shooter-Squad Assignment'!$A:$A,MATCH(C426&amp;"-"&amp;E426&amp;"-"&amp;F426&amp;"-Pos3",'Shooter-Squad Assignment'!$K:$K,0)),""),IF(F426="Trap",IFERROR(INDEX('Shooter-Squad Assignment'!$A:$A,MATCH(C426&amp;"-"&amp;E426&amp;"-"&amp;F426&amp;"-Pos3",'Shooter-Squad Assignment'!$W:$W,0)),""),IF(F426="Sporting Clays",IFERROR(INDEX('Shooter-Squad Assignment'!$A:$A,MATCH(C426&amp;"-"&amp;E426&amp;"-"&amp;F426&amp;"-Pos3",'Shooter-Squad Assignment'!$Z:$Z,0)),""),"")))</f>
        <v/>
      </c>
      <c r="L426" s="88" t="str">
        <f>IF(ISBLANK(K426),"",IFERROR(INDEX('Tournament List'!$D:$D,MATCH(K426,'Tournament List'!$A:$A,0)),""))</f>
        <v/>
      </c>
      <c r="M426" s="96" t="str">
        <f>IF(F426="Skeet",IFERROR(INDEX('Shooter-Squad Assignment'!$A:$A,MATCH(C426&amp;"-"&amp;E426&amp;"-"&amp;F426&amp;"-Pos4",'Shooter-Squad Assignment'!$K:$K,0)),""),IF(F426="Trap",IFERROR(INDEX('Shooter-Squad Assignment'!$A:$A,MATCH(C426&amp;"-"&amp;E426&amp;"-"&amp;F426&amp;"-Pos4",'Shooter-Squad Assignment'!$W:$W,0)),""),IF(F426="Sporting Clays",IFERROR(INDEX('Shooter-Squad Assignment'!$A:$A,MATCH(C426&amp;"-"&amp;E426&amp;"-"&amp;F426&amp;"-Pos4",'Shooter-Squad Assignment'!$Z:$Z,0)),""),"")))</f>
        <v/>
      </c>
      <c r="N426" s="88" t="str">
        <f>IF(ISBLANK(M426),"",IFERROR(INDEX('Tournament List'!$D:$D,MATCH(M426,'Tournament List'!$A:$A,0)),""))</f>
        <v/>
      </c>
      <c r="O426" s="96" t="str">
        <f>IF(F426="Skeet",IFERROR(INDEX('Shooter-Squad Assignment'!$A:$A,MATCH(C426&amp;"-"&amp;E426&amp;"-"&amp;F426&amp;"-Pos5",'Shooter-Squad Assignment'!$K:$K,0)),""),IF(F426="Trap",IFERROR(INDEX('Shooter-Squad Assignment'!$A:$A,MATCH(C426&amp;"-"&amp;E426&amp;"-"&amp;F426&amp;"-Pos5",'Shooter-Squad Assignment'!$W:$W,0)),""),IF(F426="Sporting Clays",IFERROR(INDEX('Shooter-Squad Assignment'!$A:$A,MATCH(C426&amp;"-"&amp;E426&amp;"-"&amp;F426&amp;"-Pos5",'Shooter-Squad Assignment'!$Z:$Z,0)),""),"")))</f>
        <v/>
      </c>
      <c r="P426" s="89" t="str">
        <f>IF(ISBLANK(O426),"",IFERROR(INDEX('Tournament List'!$D:$D,MATCH(O426,'Tournament List'!$A:$A,0)),""))</f>
        <v/>
      </c>
    </row>
    <row r="427" spans="1:16" x14ac:dyDescent="0.3">
      <c r="A427" s="87">
        <v>426</v>
      </c>
      <c r="B427" s="88" t="str">
        <f>C427&amp;"-"&amp;E427&amp;"-"&amp;F427</f>
        <v>-Junior Varsity 2-Sporting Clays</v>
      </c>
      <c r="C427" s="88"/>
      <c r="D427" s="88" t="str">
        <f>INDEX('Tournament Setup'!$B$59:$B$78,MATCH(E427,SquadConcurrents,0))</f>
        <v>Junior Varsity</v>
      </c>
      <c r="E427" s="88" t="s">
        <v>345</v>
      </c>
      <c r="F427" s="88" t="s">
        <v>148</v>
      </c>
      <c r="G427" s="96" t="str">
        <f>IF(F427="Skeet",IFERROR(INDEX('Shooter-Squad Assignment'!$A:$A,MATCH(C427&amp;"-"&amp;E427&amp;"-"&amp;F427&amp;"-Pos1",'Shooter-Squad Assignment'!$K:$K,0)),""),IF(F427="Trap",IFERROR(INDEX('Shooter-Squad Assignment'!$A:$A,MATCH(C427&amp;"-"&amp;E427&amp;"-"&amp;F427&amp;"-Pos1",'Shooter-Squad Assignment'!$W:$W,0)),""),IF(F427="Sporting Clays",IFERROR(INDEX('Shooter-Squad Assignment'!$A:$A,MATCH(C427&amp;"-"&amp;E427&amp;"-"&amp;F427&amp;"-Pos1",'Shooter-Squad Assignment'!$Z:$Z,0)),""),"")))</f>
        <v/>
      </c>
      <c r="H427" s="88" t="str">
        <f>IF(ISBLANK(G427),"",IFERROR(INDEX('Tournament List'!$D:$D,MATCH(G427,'Tournament List'!$A:$A,0)),""))</f>
        <v/>
      </c>
      <c r="I427" s="96" t="str">
        <f>IF(F427="Skeet",IFERROR(INDEX('Shooter-Squad Assignment'!$A:$A,MATCH(C427&amp;"-"&amp;E427&amp;"-"&amp;F427&amp;"-Pos2",'Shooter-Squad Assignment'!$K:$K,0)),""),IF(F427="Trap",IFERROR(INDEX('Shooter-Squad Assignment'!$A:$A,MATCH(C427&amp;"-"&amp;E427&amp;"-"&amp;F427&amp;"-Pos2",'Shooter-Squad Assignment'!$W:$W,0)),""),IF(F427="Sporting Clays",IFERROR(INDEX('Shooter-Squad Assignment'!$A:$A,MATCH(C427&amp;"-"&amp;E427&amp;"-"&amp;F427&amp;"-Pos2",'Shooter-Squad Assignment'!$Z:$Z,0)),""),"")))</f>
        <v/>
      </c>
      <c r="J427" s="88" t="str">
        <f>IF(ISBLANK(I427),"",IFERROR(INDEX('Tournament List'!$D:$D,MATCH(I427,'Tournament List'!$A:$A,0)),""))</f>
        <v/>
      </c>
      <c r="K427" s="96" t="str">
        <f>IF(F427="Skeet",IFERROR(INDEX('Shooter-Squad Assignment'!$A:$A,MATCH(C427&amp;"-"&amp;E427&amp;"-"&amp;F427&amp;"-Pos3",'Shooter-Squad Assignment'!$K:$K,0)),""),IF(F427="Trap",IFERROR(INDEX('Shooter-Squad Assignment'!$A:$A,MATCH(C427&amp;"-"&amp;E427&amp;"-"&amp;F427&amp;"-Pos3",'Shooter-Squad Assignment'!$W:$W,0)),""),IF(F427="Sporting Clays",IFERROR(INDEX('Shooter-Squad Assignment'!$A:$A,MATCH(C427&amp;"-"&amp;E427&amp;"-"&amp;F427&amp;"-Pos3",'Shooter-Squad Assignment'!$Z:$Z,0)),""),"")))</f>
        <v/>
      </c>
      <c r="L427" s="88" t="str">
        <f>IF(ISBLANK(K427),"",IFERROR(INDEX('Tournament List'!$D:$D,MATCH(K427,'Tournament List'!$A:$A,0)),""))</f>
        <v/>
      </c>
      <c r="M427" s="96" t="str">
        <f>IF(F427="Skeet",IFERROR(INDEX('Shooter-Squad Assignment'!$A:$A,MATCH(C427&amp;"-"&amp;E427&amp;"-"&amp;F427&amp;"-Pos4",'Shooter-Squad Assignment'!$K:$K,0)),""),IF(F427="Trap",IFERROR(INDEX('Shooter-Squad Assignment'!$A:$A,MATCH(C427&amp;"-"&amp;E427&amp;"-"&amp;F427&amp;"-Pos4",'Shooter-Squad Assignment'!$W:$W,0)),""),IF(F427="Sporting Clays",IFERROR(INDEX('Shooter-Squad Assignment'!$A:$A,MATCH(C427&amp;"-"&amp;E427&amp;"-"&amp;F427&amp;"-Pos4",'Shooter-Squad Assignment'!$Z:$Z,0)),""),"")))</f>
        <v/>
      </c>
      <c r="N427" s="88" t="str">
        <f>IF(ISBLANK(M427),"",IFERROR(INDEX('Tournament List'!$D:$D,MATCH(M427,'Tournament List'!$A:$A,0)),""))</f>
        <v/>
      </c>
      <c r="O427" s="96" t="str">
        <f>IF(F427="Skeet",IFERROR(INDEX('Shooter-Squad Assignment'!$A:$A,MATCH(C427&amp;"-"&amp;E427&amp;"-"&amp;F427&amp;"-Pos5",'Shooter-Squad Assignment'!$K:$K,0)),""),IF(F427="Trap",IFERROR(INDEX('Shooter-Squad Assignment'!$A:$A,MATCH(C427&amp;"-"&amp;E427&amp;"-"&amp;F427&amp;"-Pos5",'Shooter-Squad Assignment'!$W:$W,0)),""),IF(F427="Sporting Clays",IFERROR(INDEX('Shooter-Squad Assignment'!$A:$A,MATCH(C427&amp;"-"&amp;E427&amp;"-"&amp;F427&amp;"-Pos5",'Shooter-Squad Assignment'!$Z:$Z,0)),""),"")))</f>
        <v/>
      </c>
      <c r="P427" s="89" t="str">
        <f>IF(ISBLANK(O427),"",IFERROR(INDEX('Tournament List'!$D:$D,MATCH(O427,'Tournament List'!$A:$A,0)),""))</f>
        <v/>
      </c>
    </row>
    <row r="428" spans="1:16" x14ac:dyDescent="0.3">
      <c r="A428" s="87">
        <v>427</v>
      </c>
      <c r="B428" s="88" t="str">
        <f>C428&amp;"-"&amp;E428&amp;"-"&amp;F428</f>
        <v>-Junior Varsity 3-Sporting Clays</v>
      </c>
      <c r="C428" s="88"/>
      <c r="D428" s="88" t="str">
        <f>INDEX('Tournament Setup'!$B$59:$B$78,MATCH(E428,SquadConcurrents,0))</f>
        <v>Junior Varsity</v>
      </c>
      <c r="E428" s="88" t="s">
        <v>351</v>
      </c>
      <c r="F428" s="88" t="s">
        <v>148</v>
      </c>
      <c r="G428" s="96" t="str">
        <f>IF(F428="Skeet",IFERROR(INDEX('Shooter-Squad Assignment'!$A:$A,MATCH(C428&amp;"-"&amp;E428&amp;"-"&amp;F428&amp;"-Pos1",'Shooter-Squad Assignment'!$K:$K,0)),""),IF(F428="Trap",IFERROR(INDEX('Shooter-Squad Assignment'!$A:$A,MATCH(C428&amp;"-"&amp;E428&amp;"-"&amp;F428&amp;"-Pos1",'Shooter-Squad Assignment'!$W:$W,0)),""),IF(F428="Sporting Clays",IFERROR(INDEX('Shooter-Squad Assignment'!$A:$A,MATCH(C428&amp;"-"&amp;E428&amp;"-"&amp;F428&amp;"-Pos1",'Shooter-Squad Assignment'!$Z:$Z,0)),""),"")))</f>
        <v/>
      </c>
      <c r="H428" s="88" t="str">
        <f>IF(ISBLANK(G428),"",IFERROR(INDEX('Tournament List'!$D:$D,MATCH(G428,'Tournament List'!$A:$A,0)),""))</f>
        <v/>
      </c>
      <c r="I428" s="96" t="str">
        <f>IF(F428="Skeet",IFERROR(INDEX('Shooter-Squad Assignment'!$A:$A,MATCH(C428&amp;"-"&amp;E428&amp;"-"&amp;F428&amp;"-Pos2",'Shooter-Squad Assignment'!$K:$K,0)),""),IF(F428="Trap",IFERROR(INDEX('Shooter-Squad Assignment'!$A:$A,MATCH(C428&amp;"-"&amp;E428&amp;"-"&amp;F428&amp;"-Pos2",'Shooter-Squad Assignment'!$W:$W,0)),""),IF(F428="Sporting Clays",IFERROR(INDEX('Shooter-Squad Assignment'!$A:$A,MATCH(C428&amp;"-"&amp;E428&amp;"-"&amp;F428&amp;"-Pos2",'Shooter-Squad Assignment'!$Z:$Z,0)),""),"")))</f>
        <v/>
      </c>
      <c r="J428" s="88" t="str">
        <f>IF(ISBLANK(I428),"",IFERROR(INDEX('Tournament List'!$D:$D,MATCH(I428,'Tournament List'!$A:$A,0)),""))</f>
        <v/>
      </c>
      <c r="K428" s="96" t="str">
        <f>IF(F428="Skeet",IFERROR(INDEX('Shooter-Squad Assignment'!$A:$A,MATCH(C428&amp;"-"&amp;E428&amp;"-"&amp;F428&amp;"-Pos3",'Shooter-Squad Assignment'!$K:$K,0)),""),IF(F428="Trap",IFERROR(INDEX('Shooter-Squad Assignment'!$A:$A,MATCH(C428&amp;"-"&amp;E428&amp;"-"&amp;F428&amp;"-Pos3",'Shooter-Squad Assignment'!$W:$W,0)),""),IF(F428="Sporting Clays",IFERROR(INDEX('Shooter-Squad Assignment'!$A:$A,MATCH(C428&amp;"-"&amp;E428&amp;"-"&amp;F428&amp;"-Pos3",'Shooter-Squad Assignment'!$Z:$Z,0)),""),"")))</f>
        <v/>
      </c>
      <c r="L428" s="88" t="str">
        <f>IF(ISBLANK(K428),"",IFERROR(INDEX('Tournament List'!$D:$D,MATCH(K428,'Tournament List'!$A:$A,0)),""))</f>
        <v/>
      </c>
      <c r="M428" s="96" t="str">
        <f>IF(F428="Skeet",IFERROR(INDEX('Shooter-Squad Assignment'!$A:$A,MATCH(C428&amp;"-"&amp;E428&amp;"-"&amp;F428&amp;"-Pos4",'Shooter-Squad Assignment'!$K:$K,0)),""),IF(F428="Trap",IFERROR(INDEX('Shooter-Squad Assignment'!$A:$A,MATCH(C428&amp;"-"&amp;E428&amp;"-"&amp;F428&amp;"-Pos4",'Shooter-Squad Assignment'!$W:$W,0)),""),IF(F428="Sporting Clays",IFERROR(INDEX('Shooter-Squad Assignment'!$A:$A,MATCH(C428&amp;"-"&amp;E428&amp;"-"&amp;F428&amp;"-Pos4",'Shooter-Squad Assignment'!$Z:$Z,0)),""),"")))</f>
        <v/>
      </c>
      <c r="N428" s="88" t="str">
        <f>IF(ISBLANK(M428),"",IFERROR(INDEX('Tournament List'!$D:$D,MATCH(M428,'Tournament List'!$A:$A,0)),""))</f>
        <v/>
      </c>
      <c r="O428" s="96" t="str">
        <f>IF(F428="Skeet",IFERROR(INDEX('Shooter-Squad Assignment'!$A:$A,MATCH(C428&amp;"-"&amp;E428&amp;"-"&amp;F428&amp;"-Pos5",'Shooter-Squad Assignment'!$K:$K,0)),""),IF(F428="Trap",IFERROR(INDEX('Shooter-Squad Assignment'!$A:$A,MATCH(C428&amp;"-"&amp;E428&amp;"-"&amp;F428&amp;"-Pos5",'Shooter-Squad Assignment'!$W:$W,0)),""),IF(F428="Sporting Clays",IFERROR(INDEX('Shooter-Squad Assignment'!$A:$A,MATCH(C428&amp;"-"&amp;E428&amp;"-"&amp;F428&amp;"-Pos5",'Shooter-Squad Assignment'!$Z:$Z,0)),""),"")))</f>
        <v/>
      </c>
      <c r="P428" s="89" t="str">
        <f>IF(ISBLANK(O428),"",IFERROR(INDEX('Tournament List'!$D:$D,MATCH(O428,'Tournament List'!$A:$A,0)),""))</f>
        <v/>
      </c>
    </row>
    <row r="429" spans="1:16" x14ac:dyDescent="0.3">
      <c r="A429" s="87">
        <v>428</v>
      </c>
      <c r="B429" s="88" t="str">
        <f>C429&amp;"-"&amp;E429&amp;"-"&amp;F429</f>
        <v>-Novice 1-Sporting Clays</v>
      </c>
      <c r="C429" s="88"/>
      <c r="D429" s="88" t="str">
        <f>INDEX('Tournament Setup'!$B$59:$B$78,MATCH(E429,SquadConcurrents,0))</f>
        <v>Novice</v>
      </c>
      <c r="E429" s="88" t="s">
        <v>337</v>
      </c>
      <c r="F429" s="88" t="s">
        <v>148</v>
      </c>
      <c r="G429" s="96" t="str">
        <f>IF(F429="Skeet",IFERROR(INDEX('Shooter-Squad Assignment'!$A:$A,MATCH(C429&amp;"-"&amp;E429&amp;"-"&amp;F429&amp;"-Pos1",'Shooter-Squad Assignment'!$K:$K,0)),""),IF(F429="Trap",IFERROR(INDEX('Shooter-Squad Assignment'!$A:$A,MATCH(C429&amp;"-"&amp;E429&amp;"-"&amp;F429&amp;"-Pos1",'Shooter-Squad Assignment'!$W:$W,0)),""),IF(F429="Sporting Clays",IFERROR(INDEX('Shooter-Squad Assignment'!$A:$A,MATCH(C429&amp;"-"&amp;E429&amp;"-"&amp;F429&amp;"-Pos1",'Shooter-Squad Assignment'!$Z:$Z,0)),""),"")))</f>
        <v/>
      </c>
      <c r="H429" s="88" t="str">
        <f>IF(ISBLANK(G429),"",IFERROR(INDEX('Tournament List'!$D:$D,MATCH(G429,'Tournament List'!$A:$A,0)),""))</f>
        <v/>
      </c>
      <c r="I429" s="96" t="str">
        <f>IF(F429="Skeet",IFERROR(INDEX('Shooter-Squad Assignment'!$A:$A,MATCH(C429&amp;"-"&amp;E429&amp;"-"&amp;F429&amp;"-Pos2",'Shooter-Squad Assignment'!$K:$K,0)),""),IF(F429="Trap",IFERROR(INDEX('Shooter-Squad Assignment'!$A:$A,MATCH(C429&amp;"-"&amp;E429&amp;"-"&amp;F429&amp;"-Pos2",'Shooter-Squad Assignment'!$W:$W,0)),""),IF(F429="Sporting Clays",IFERROR(INDEX('Shooter-Squad Assignment'!$A:$A,MATCH(C429&amp;"-"&amp;E429&amp;"-"&amp;F429&amp;"-Pos2",'Shooter-Squad Assignment'!$Z:$Z,0)),""),"")))</f>
        <v/>
      </c>
      <c r="J429" s="88" t="str">
        <f>IF(ISBLANK(I429),"",IFERROR(INDEX('Tournament List'!$D:$D,MATCH(I429,'Tournament List'!$A:$A,0)),""))</f>
        <v/>
      </c>
      <c r="K429" s="96" t="str">
        <f>IF(F429="Skeet",IFERROR(INDEX('Shooter-Squad Assignment'!$A:$A,MATCH(C429&amp;"-"&amp;E429&amp;"-"&amp;F429&amp;"-Pos3",'Shooter-Squad Assignment'!$K:$K,0)),""),IF(F429="Trap",IFERROR(INDEX('Shooter-Squad Assignment'!$A:$A,MATCH(C429&amp;"-"&amp;E429&amp;"-"&amp;F429&amp;"-Pos3",'Shooter-Squad Assignment'!$W:$W,0)),""),IF(F429="Sporting Clays",IFERROR(INDEX('Shooter-Squad Assignment'!$A:$A,MATCH(C429&amp;"-"&amp;E429&amp;"-"&amp;F429&amp;"-Pos3",'Shooter-Squad Assignment'!$Z:$Z,0)),""),"")))</f>
        <v/>
      </c>
      <c r="L429" s="88" t="str">
        <f>IF(ISBLANK(K429),"",IFERROR(INDEX('Tournament List'!$D:$D,MATCH(K429,'Tournament List'!$A:$A,0)),""))</f>
        <v/>
      </c>
      <c r="M429" s="96" t="str">
        <f>IF(F429="Skeet",IFERROR(INDEX('Shooter-Squad Assignment'!$A:$A,MATCH(C429&amp;"-"&amp;E429&amp;"-"&amp;F429&amp;"-Pos4",'Shooter-Squad Assignment'!$K:$K,0)),""),IF(F429="Trap",IFERROR(INDEX('Shooter-Squad Assignment'!$A:$A,MATCH(C429&amp;"-"&amp;E429&amp;"-"&amp;F429&amp;"-Pos4",'Shooter-Squad Assignment'!$W:$W,0)),""),IF(F429="Sporting Clays",IFERROR(INDEX('Shooter-Squad Assignment'!$A:$A,MATCH(C429&amp;"-"&amp;E429&amp;"-"&amp;F429&amp;"-Pos4",'Shooter-Squad Assignment'!$Z:$Z,0)),""),"")))</f>
        <v/>
      </c>
      <c r="N429" s="88" t="str">
        <f>IF(ISBLANK(M429),"",IFERROR(INDEX('Tournament List'!$D:$D,MATCH(M429,'Tournament List'!$A:$A,0)),""))</f>
        <v/>
      </c>
      <c r="O429" s="96" t="str">
        <f>IF(F429="Skeet",IFERROR(INDEX('Shooter-Squad Assignment'!$A:$A,MATCH(C429&amp;"-"&amp;E429&amp;"-"&amp;F429&amp;"-Pos5",'Shooter-Squad Assignment'!$K:$K,0)),""),IF(F429="Trap",IFERROR(INDEX('Shooter-Squad Assignment'!$A:$A,MATCH(C429&amp;"-"&amp;E429&amp;"-"&amp;F429&amp;"-Pos5",'Shooter-Squad Assignment'!$W:$W,0)),""),IF(F429="Sporting Clays",IFERROR(INDEX('Shooter-Squad Assignment'!$A:$A,MATCH(C429&amp;"-"&amp;E429&amp;"-"&amp;F429&amp;"-Pos5",'Shooter-Squad Assignment'!$Z:$Z,0)),""),"")))</f>
        <v/>
      </c>
      <c r="P429" s="89" t="str">
        <f>IF(ISBLANK(O429),"",IFERROR(INDEX('Tournament List'!$D:$D,MATCH(O429,'Tournament List'!$A:$A,0)),""))</f>
        <v/>
      </c>
    </row>
    <row r="430" spans="1:16" x14ac:dyDescent="0.3">
      <c r="A430" s="87">
        <v>429</v>
      </c>
      <c r="B430" s="88" t="str">
        <f>C430&amp;"-"&amp;E430&amp;"-"&amp;F430</f>
        <v>-Novice 2-Sporting Clays</v>
      </c>
      <c r="C430" s="88"/>
      <c r="D430" s="88" t="str">
        <f>INDEX('Tournament Setup'!$B$59:$B$78,MATCH(E430,SquadConcurrents,0))</f>
        <v>Novice</v>
      </c>
      <c r="E430" s="88" t="s">
        <v>343</v>
      </c>
      <c r="F430" s="88" t="s">
        <v>148</v>
      </c>
      <c r="G430" s="96" t="str">
        <f>IF(F430="Skeet",IFERROR(INDEX('Shooter-Squad Assignment'!$A:$A,MATCH(C430&amp;"-"&amp;E430&amp;"-"&amp;F430&amp;"-Pos1",'Shooter-Squad Assignment'!$K:$K,0)),""),IF(F430="Trap",IFERROR(INDEX('Shooter-Squad Assignment'!$A:$A,MATCH(C430&amp;"-"&amp;E430&amp;"-"&amp;F430&amp;"-Pos1",'Shooter-Squad Assignment'!$W:$W,0)),""),IF(F430="Sporting Clays",IFERROR(INDEX('Shooter-Squad Assignment'!$A:$A,MATCH(C430&amp;"-"&amp;E430&amp;"-"&amp;F430&amp;"-Pos1",'Shooter-Squad Assignment'!$Z:$Z,0)),""),"")))</f>
        <v/>
      </c>
      <c r="H430" s="88" t="str">
        <f>IF(ISBLANK(G430),"",IFERROR(INDEX('Tournament List'!$D:$D,MATCH(G430,'Tournament List'!$A:$A,0)),""))</f>
        <v/>
      </c>
      <c r="I430" s="96" t="str">
        <f>IF(F430="Skeet",IFERROR(INDEX('Shooter-Squad Assignment'!$A:$A,MATCH(C430&amp;"-"&amp;E430&amp;"-"&amp;F430&amp;"-Pos2",'Shooter-Squad Assignment'!$K:$K,0)),""),IF(F430="Trap",IFERROR(INDEX('Shooter-Squad Assignment'!$A:$A,MATCH(C430&amp;"-"&amp;E430&amp;"-"&amp;F430&amp;"-Pos2",'Shooter-Squad Assignment'!$W:$W,0)),""),IF(F430="Sporting Clays",IFERROR(INDEX('Shooter-Squad Assignment'!$A:$A,MATCH(C430&amp;"-"&amp;E430&amp;"-"&amp;F430&amp;"-Pos2",'Shooter-Squad Assignment'!$Z:$Z,0)),""),"")))</f>
        <v/>
      </c>
      <c r="J430" s="88" t="str">
        <f>IF(ISBLANK(I430),"",IFERROR(INDEX('Tournament List'!$D:$D,MATCH(I430,'Tournament List'!$A:$A,0)),""))</f>
        <v/>
      </c>
      <c r="K430" s="96" t="str">
        <f>IF(F430="Skeet",IFERROR(INDEX('Shooter-Squad Assignment'!$A:$A,MATCH(C430&amp;"-"&amp;E430&amp;"-"&amp;F430&amp;"-Pos3",'Shooter-Squad Assignment'!$K:$K,0)),""),IF(F430="Trap",IFERROR(INDEX('Shooter-Squad Assignment'!$A:$A,MATCH(C430&amp;"-"&amp;E430&amp;"-"&amp;F430&amp;"-Pos3",'Shooter-Squad Assignment'!$W:$W,0)),""),IF(F430="Sporting Clays",IFERROR(INDEX('Shooter-Squad Assignment'!$A:$A,MATCH(C430&amp;"-"&amp;E430&amp;"-"&amp;F430&amp;"-Pos3",'Shooter-Squad Assignment'!$Z:$Z,0)),""),"")))</f>
        <v/>
      </c>
      <c r="L430" s="88" t="str">
        <f>IF(ISBLANK(K430),"",IFERROR(INDEX('Tournament List'!$D:$D,MATCH(K430,'Tournament List'!$A:$A,0)),""))</f>
        <v/>
      </c>
      <c r="M430" s="96" t="str">
        <f>IF(F430="Skeet",IFERROR(INDEX('Shooter-Squad Assignment'!$A:$A,MATCH(C430&amp;"-"&amp;E430&amp;"-"&amp;F430&amp;"-Pos4",'Shooter-Squad Assignment'!$K:$K,0)),""),IF(F430="Trap",IFERROR(INDEX('Shooter-Squad Assignment'!$A:$A,MATCH(C430&amp;"-"&amp;E430&amp;"-"&amp;F430&amp;"-Pos4",'Shooter-Squad Assignment'!$W:$W,0)),""),IF(F430="Sporting Clays",IFERROR(INDEX('Shooter-Squad Assignment'!$A:$A,MATCH(C430&amp;"-"&amp;E430&amp;"-"&amp;F430&amp;"-Pos4",'Shooter-Squad Assignment'!$Z:$Z,0)),""),"")))</f>
        <v/>
      </c>
      <c r="N430" s="88" t="str">
        <f>IF(ISBLANK(M430),"",IFERROR(INDEX('Tournament List'!$D:$D,MATCH(M430,'Tournament List'!$A:$A,0)),""))</f>
        <v/>
      </c>
      <c r="O430" s="96" t="str">
        <f>IF(F430="Skeet",IFERROR(INDEX('Shooter-Squad Assignment'!$A:$A,MATCH(C430&amp;"-"&amp;E430&amp;"-"&amp;F430&amp;"-Pos5",'Shooter-Squad Assignment'!$K:$K,0)),""),IF(F430="Trap",IFERROR(INDEX('Shooter-Squad Assignment'!$A:$A,MATCH(C430&amp;"-"&amp;E430&amp;"-"&amp;F430&amp;"-Pos5",'Shooter-Squad Assignment'!$W:$W,0)),""),IF(F430="Sporting Clays",IFERROR(INDEX('Shooter-Squad Assignment'!$A:$A,MATCH(C430&amp;"-"&amp;E430&amp;"-"&amp;F430&amp;"-Pos5",'Shooter-Squad Assignment'!$Z:$Z,0)),""),"")))</f>
        <v/>
      </c>
      <c r="P430" s="89" t="str">
        <f>IF(ISBLANK(O430),"",IFERROR(INDEX('Tournament List'!$D:$D,MATCH(O430,'Tournament List'!$A:$A,0)),""))</f>
        <v/>
      </c>
    </row>
    <row r="431" spans="1:16" x14ac:dyDescent="0.3">
      <c r="A431" s="87">
        <v>430</v>
      </c>
      <c r="B431" s="88" t="str">
        <f>C431&amp;"-"&amp;E431&amp;"-"&amp;F431</f>
        <v>-Novice 3-Sporting Clays</v>
      </c>
      <c r="C431" s="88"/>
      <c r="D431" s="88" t="str">
        <f>INDEX('Tournament Setup'!$B$59:$B$78,MATCH(E431,SquadConcurrents,0))</f>
        <v>Novice</v>
      </c>
      <c r="E431" s="88" t="s">
        <v>349</v>
      </c>
      <c r="F431" s="88" t="s">
        <v>148</v>
      </c>
      <c r="G431" s="96" t="str">
        <f>IF(F431="Skeet",IFERROR(INDEX('Shooter-Squad Assignment'!$A:$A,MATCH(C431&amp;"-"&amp;E431&amp;"-"&amp;F431&amp;"-Pos1",'Shooter-Squad Assignment'!$K:$K,0)),""),IF(F431="Trap",IFERROR(INDEX('Shooter-Squad Assignment'!$A:$A,MATCH(C431&amp;"-"&amp;E431&amp;"-"&amp;F431&amp;"-Pos1",'Shooter-Squad Assignment'!$W:$W,0)),""),IF(F431="Sporting Clays",IFERROR(INDEX('Shooter-Squad Assignment'!$A:$A,MATCH(C431&amp;"-"&amp;E431&amp;"-"&amp;F431&amp;"-Pos1",'Shooter-Squad Assignment'!$Z:$Z,0)),""),"")))</f>
        <v/>
      </c>
      <c r="H431" s="88" t="str">
        <f>IF(ISBLANK(G431),"",IFERROR(INDEX('Tournament List'!$D:$D,MATCH(G431,'Tournament List'!$A:$A,0)),""))</f>
        <v/>
      </c>
      <c r="I431" s="96" t="str">
        <f>IF(F431="Skeet",IFERROR(INDEX('Shooter-Squad Assignment'!$A:$A,MATCH(C431&amp;"-"&amp;E431&amp;"-"&amp;F431&amp;"-Pos2",'Shooter-Squad Assignment'!$K:$K,0)),""),IF(F431="Trap",IFERROR(INDEX('Shooter-Squad Assignment'!$A:$A,MATCH(C431&amp;"-"&amp;E431&amp;"-"&amp;F431&amp;"-Pos2",'Shooter-Squad Assignment'!$W:$W,0)),""),IF(F431="Sporting Clays",IFERROR(INDEX('Shooter-Squad Assignment'!$A:$A,MATCH(C431&amp;"-"&amp;E431&amp;"-"&amp;F431&amp;"-Pos2",'Shooter-Squad Assignment'!$Z:$Z,0)),""),"")))</f>
        <v/>
      </c>
      <c r="J431" s="88" t="str">
        <f>IF(ISBLANK(I431),"",IFERROR(INDEX('Tournament List'!$D:$D,MATCH(I431,'Tournament List'!$A:$A,0)),""))</f>
        <v/>
      </c>
      <c r="K431" s="96" t="str">
        <f>IF(F431="Skeet",IFERROR(INDEX('Shooter-Squad Assignment'!$A:$A,MATCH(C431&amp;"-"&amp;E431&amp;"-"&amp;F431&amp;"-Pos3",'Shooter-Squad Assignment'!$K:$K,0)),""),IF(F431="Trap",IFERROR(INDEX('Shooter-Squad Assignment'!$A:$A,MATCH(C431&amp;"-"&amp;E431&amp;"-"&amp;F431&amp;"-Pos3",'Shooter-Squad Assignment'!$W:$W,0)),""),IF(F431="Sporting Clays",IFERROR(INDEX('Shooter-Squad Assignment'!$A:$A,MATCH(C431&amp;"-"&amp;E431&amp;"-"&amp;F431&amp;"-Pos3",'Shooter-Squad Assignment'!$Z:$Z,0)),""),"")))</f>
        <v/>
      </c>
      <c r="L431" s="88" t="str">
        <f>IF(ISBLANK(K431),"",IFERROR(INDEX('Tournament List'!$D:$D,MATCH(K431,'Tournament List'!$A:$A,0)),""))</f>
        <v/>
      </c>
      <c r="M431" s="96" t="str">
        <f>IF(F431="Skeet",IFERROR(INDEX('Shooter-Squad Assignment'!$A:$A,MATCH(C431&amp;"-"&amp;E431&amp;"-"&amp;F431&amp;"-Pos4",'Shooter-Squad Assignment'!$K:$K,0)),""),IF(F431="Trap",IFERROR(INDEX('Shooter-Squad Assignment'!$A:$A,MATCH(C431&amp;"-"&amp;E431&amp;"-"&amp;F431&amp;"-Pos4",'Shooter-Squad Assignment'!$W:$W,0)),""),IF(F431="Sporting Clays",IFERROR(INDEX('Shooter-Squad Assignment'!$A:$A,MATCH(C431&amp;"-"&amp;E431&amp;"-"&amp;F431&amp;"-Pos4",'Shooter-Squad Assignment'!$Z:$Z,0)),""),"")))</f>
        <v/>
      </c>
      <c r="N431" s="88" t="str">
        <f>IF(ISBLANK(M431),"",IFERROR(INDEX('Tournament List'!$D:$D,MATCH(M431,'Tournament List'!$A:$A,0)),""))</f>
        <v/>
      </c>
      <c r="O431" s="96" t="str">
        <f>IF(F431="Skeet",IFERROR(INDEX('Shooter-Squad Assignment'!$A:$A,MATCH(C431&amp;"-"&amp;E431&amp;"-"&amp;F431&amp;"-Pos5",'Shooter-Squad Assignment'!$K:$K,0)),""),IF(F431="Trap",IFERROR(INDEX('Shooter-Squad Assignment'!$A:$A,MATCH(C431&amp;"-"&amp;E431&amp;"-"&amp;F431&amp;"-Pos5",'Shooter-Squad Assignment'!$W:$W,0)),""),IF(F431="Sporting Clays",IFERROR(INDEX('Shooter-Squad Assignment'!$A:$A,MATCH(C431&amp;"-"&amp;E431&amp;"-"&amp;F431&amp;"-Pos5",'Shooter-Squad Assignment'!$Z:$Z,0)),""),"")))</f>
        <v/>
      </c>
      <c r="P431" s="89" t="str">
        <f>IF(ISBLANK(O431),"",IFERROR(INDEX('Tournament List'!$D:$D,MATCH(O431,'Tournament List'!$A:$A,0)),""))</f>
        <v/>
      </c>
    </row>
    <row r="432" spans="1:16" x14ac:dyDescent="0.3">
      <c r="A432" s="87">
        <v>431</v>
      </c>
      <c r="B432" s="88" t="str">
        <f>C432&amp;"-"&amp;E432&amp;"-"&amp;F432</f>
        <v>-Open 1-Sporting Clays</v>
      </c>
      <c r="C432" s="88"/>
      <c r="D432" s="88" t="str">
        <f>INDEX('Tournament Setup'!$B$59:$B$78,MATCH(E432,SquadConcurrents,0))</f>
        <v>Open</v>
      </c>
      <c r="E432" s="88" t="s">
        <v>341</v>
      </c>
      <c r="F432" s="88" t="s">
        <v>148</v>
      </c>
      <c r="G432" s="96" t="str">
        <f>IF(F432="Skeet",IFERROR(INDEX('Shooter-Squad Assignment'!$A:$A,MATCH(C432&amp;"-"&amp;E432&amp;"-"&amp;F432&amp;"-Pos1",'Shooter-Squad Assignment'!$K:$K,0)),""),IF(F432="Trap",IFERROR(INDEX('Shooter-Squad Assignment'!$A:$A,MATCH(C432&amp;"-"&amp;E432&amp;"-"&amp;F432&amp;"-Pos1",'Shooter-Squad Assignment'!$W:$W,0)),""),IF(F432="Sporting Clays",IFERROR(INDEX('Shooter-Squad Assignment'!$A:$A,MATCH(C432&amp;"-"&amp;E432&amp;"-"&amp;F432&amp;"-Pos1",'Shooter-Squad Assignment'!$Z:$Z,0)),""),"")))</f>
        <v/>
      </c>
      <c r="H432" s="88" t="str">
        <f>IF(ISBLANK(G432),"",IFERROR(INDEX('Tournament List'!$D:$D,MATCH(G432,'Tournament List'!$A:$A,0)),""))</f>
        <v/>
      </c>
      <c r="I432" s="96" t="str">
        <f>IF(F432="Skeet",IFERROR(INDEX('Shooter-Squad Assignment'!$A:$A,MATCH(C432&amp;"-"&amp;E432&amp;"-"&amp;F432&amp;"-Pos2",'Shooter-Squad Assignment'!$K:$K,0)),""),IF(F432="Trap",IFERROR(INDEX('Shooter-Squad Assignment'!$A:$A,MATCH(C432&amp;"-"&amp;E432&amp;"-"&amp;F432&amp;"-Pos2",'Shooter-Squad Assignment'!$W:$W,0)),""),IF(F432="Sporting Clays",IFERROR(INDEX('Shooter-Squad Assignment'!$A:$A,MATCH(C432&amp;"-"&amp;E432&amp;"-"&amp;F432&amp;"-Pos2",'Shooter-Squad Assignment'!$Z:$Z,0)),""),"")))</f>
        <v/>
      </c>
      <c r="J432" s="88" t="str">
        <f>IF(ISBLANK(I432),"",IFERROR(INDEX('Tournament List'!$D:$D,MATCH(I432,'Tournament List'!$A:$A,0)),""))</f>
        <v/>
      </c>
      <c r="K432" s="96" t="str">
        <f>IF(F432="Skeet",IFERROR(INDEX('Shooter-Squad Assignment'!$A:$A,MATCH(C432&amp;"-"&amp;E432&amp;"-"&amp;F432&amp;"-Pos3",'Shooter-Squad Assignment'!$K:$K,0)),""),IF(F432="Trap",IFERROR(INDEX('Shooter-Squad Assignment'!$A:$A,MATCH(C432&amp;"-"&amp;E432&amp;"-"&amp;F432&amp;"-Pos3",'Shooter-Squad Assignment'!$W:$W,0)),""),IF(F432="Sporting Clays",IFERROR(INDEX('Shooter-Squad Assignment'!$A:$A,MATCH(C432&amp;"-"&amp;E432&amp;"-"&amp;F432&amp;"-Pos3",'Shooter-Squad Assignment'!$Z:$Z,0)),""),"")))</f>
        <v/>
      </c>
      <c r="L432" s="88" t="str">
        <f>IF(ISBLANK(K432),"",IFERROR(INDEX('Tournament List'!$D:$D,MATCH(K432,'Tournament List'!$A:$A,0)),""))</f>
        <v/>
      </c>
      <c r="M432" s="96" t="str">
        <f>IF(F432="Skeet",IFERROR(INDEX('Shooter-Squad Assignment'!$A:$A,MATCH(C432&amp;"-"&amp;E432&amp;"-"&amp;F432&amp;"-Pos4",'Shooter-Squad Assignment'!$K:$K,0)),""),IF(F432="Trap",IFERROR(INDEX('Shooter-Squad Assignment'!$A:$A,MATCH(C432&amp;"-"&amp;E432&amp;"-"&amp;F432&amp;"-Pos4",'Shooter-Squad Assignment'!$W:$W,0)),""),IF(F432="Sporting Clays",IFERROR(INDEX('Shooter-Squad Assignment'!$A:$A,MATCH(C432&amp;"-"&amp;E432&amp;"-"&amp;F432&amp;"-Pos4",'Shooter-Squad Assignment'!$Z:$Z,0)),""),"")))</f>
        <v/>
      </c>
      <c r="N432" s="88" t="str">
        <f>IF(ISBLANK(M432),"",IFERROR(INDEX('Tournament List'!$D:$D,MATCH(M432,'Tournament List'!$A:$A,0)),""))</f>
        <v/>
      </c>
      <c r="O432" s="96" t="str">
        <f>IF(F432="Skeet",IFERROR(INDEX('Shooter-Squad Assignment'!$A:$A,MATCH(C432&amp;"-"&amp;E432&amp;"-"&amp;F432&amp;"-Pos5",'Shooter-Squad Assignment'!$K:$K,0)),""),IF(F432="Trap",IFERROR(INDEX('Shooter-Squad Assignment'!$A:$A,MATCH(C432&amp;"-"&amp;E432&amp;"-"&amp;F432&amp;"-Pos5",'Shooter-Squad Assignment'!$W:$W,0)),""),IF(F432="Sporting Clays",IFERROR(INDEX('Shooter-Squad Assignment'!$A:$A,MATCH(C432&amp;"-"&amp;E432&amp;"-"&amp;F432&amp;"-Pos5",'Shooter-Squad Assignment'!$Z:$Z,0)),""),"")))</f>
        <v/>
      </c>
      <c r="P432" s="89" t="str">
        <f>IF(ISBLANK(O432),"",IFERROR(INDEX('Tournament List'!$D:$D,MATCH(O432,'Tournament List'!$A:$A,0)),""))</f>
        <v/>
      </c>
    </row>
    <row r="433" spans="1:16" x14ac:dyDescent="0.3">
      <c r="A433" s="87">
        <v>432</v>
      </c>
      <c r="B433" s="88" t="str">
        <f>C433&amp;"-"&amp;E433&amp;"-"&amp;F433</f>
        <v>-Open 2-Sporting Clays</v>
      </c>
      <c r="C433" s="88"/>
      <c r="D433" s="88" t="str">
        <f>INDEX('Tournament Setup'!$B$59:$B$78,MATCH(E433,SquadConcurrents,0))</f>
        <v>Open</v>
      </c>
      <c r="E433" s="88" t="s">
        <v>347</v>
      </c>
      <c r="F433" s="88" t="s">
        <v>148</v>
      </c>
      <c r="G433" s="96" t="str">
        <f>IF(F433="Skeet",IFERROR(INDEX('Shooter-Squad Assignment'!$A:$A,MATCH(C433&amp;"-"&amp;E433&amp;"-"&amp;F433&amp;"-Pos1",'Shooter-Squad Assignment'!$K:$K,0)),""),IF(F433="Trap",IFERROR(INDEX('Shooter-Squad Assignment'!$A:$A,MATCH(C433&amp;"-"&amp;E433&amp;"-"&amp;F433&amp;"-Pos1",'Shooter-Squad Assignment'!$W:$W,0)),""),IF(F433="Sporting Clays",IFERROR(INDEX('Shooter-Squad Assignment'!$A:$A,MATCH(C433&amp;"-"&amp;E433&amp;"-"&amp;F433&amp;"-Pos1",'Shooter-Squad Assignment'!$Z:$Z,0)),""),"")))</f>
        <v/>
      </c>
      <c r="H433" s="88" t="str">
        <f>IF(ISBLANK(G433),"",IFERROR(INDEX('Tournament List'!$D:$D,MATCH(G433,'Tournament List'!$A:$A,0)),""))</f>
        <v/>
      </c>
      <c r="I433" s="96" t="str">
        <f>IF(F433="Skeet",IFERROR(INDEX('Shooter-Squad Assignment'!$A:$A,MATCH(C433&amp;"-"&amp;E433&amp;"-"&amp;F433&amp;"-Pos2",'Shooter-Squad Assignment'!$K:$K,0)),""),IF(F433="Trap",IFERROR(INDEX('Shooter-Squad Assignment'!$A:$A,MATCH(C433&amp;"-"&amp;E433&amp;"-"&amp;F433&amp;"-Pos2",'Shooter-Squad Assignment'!$W:$W,0)),""),IF(F433="Sporting Clays",IFERROR(INDEX('Shooter-Squad Assignment'!$A:$A,MATCH(C433&amp;"-"&amp;E433&amp;"-"&amp;F433&amp;"-Pos2",'Shooter-Squad Assignment'!$Z:$Z,0)),""),"")))</f>
        <v/>
      </c>
      <c r="J433" s="88" t="str">
        <f>IF(ISBLANK(I433),"",IFERROR(INDEX('Tournament List'!$D:$D,MATCH(I433,'Tournament List'!$A:$A,0)),""))</f>
        <v/>
      </c>
      <c r="K433" s="96" t="str">
        <f>IF(F433="Skeet",IFERROR(INDEX('Shooter-Squad Assignment'!$A:$A,MATCH(C433&amp;"-"&amp;E433&amp;"-"&amp;F433&amp;"-Pos3",'Shooter-Squad Assignment'!$K:$K,0)),""),IF(F433="Trap",IFERROR(INDEX('Shooter-Squad Assignment'!$A:$A,MATCH(C433&amp;"-"&amp;E433&amp;"-"&amp;F433&amp;"-Pos3",'Shooter-Squad Assignment'!$W:$W,0)),""),IF(F433="Sporting Clays",IFERROR(INDEX('Shooter-Squad Assignment'!$A:$A,MATCH(C433&amp;"-"&amp;E433&amp;"-"&amp;F433&amp;"-Pos3",'Shooter-Squad Assignment'!$Z:$Z,0)),""),"")))</f>
        <v/>
      </c>
      <c r="L433" s="88" t="str">
        <f>IF(ISBLANK(K433),"",IFERROR(INDEX('Tournament List'!$D:$D,MATCH(K433,'Tournament List'!$A:$A,0)),""))</f>
        <v/>
      </c>
      <c r="M433" s="96" t="str">
        <f>IF(F433="Skeet",IFERROR(INDEX('Shooter-Squad Assignment'!$A:$A,MATCH(C433&amp;"-"&amp;E433&amp;"-"&amp;F433&amp;"-Pos4",'Shooter-Squad Assignment'!$K:$K,0)),""),IF(F433="Trap",IFERROR(INDEX('Shooter-Squad Assignment'!$A:$A,MATCH(C433&amp;"-"&amp;E433&amp;"-"&amp;F433&amp;"-Pos4",'Shooter-Squad Assignment'!$W:$W,0)),""),IF(F433="Sporting Clays",IFERROR(INDEX('Shooter-Squad Assignment'!$A:$A,MATCH(C433&amp;"-"&amp;E433&amp;"-"&amp;F433&amp;"-Pos4",'Shooter-Squad Assignment'!$Z:$Z,0)),""),"")))</f>
        <v/>
      </c>
      <c r="N433" s="88" t="str">
        <f>IF(ISBLANK(M433),"",IFERROR(INDEX('Tournament List'!$D:$D,MATCH(M433,'Tournament List'!$A:$A,0)),""))</f>
        <v/>
      </c>
      <c r="O433" s="96" t="str">
        <f>IF(F433="Skeet",IFERROR(INDEX('Shooter-Squad Assignment'!$A:$A,MATCH(C433&amp;"-"&amp;E433&amp;"-"&amp;F433&amp;"-Pos5",'Shooter-Squad Assignment'!$K:$K,0)),""),IF(F433="Trap",IFERROR(INDEX('Shooter-Squad Assignment'!$A:$A,MATCH(C433&amp;"-"&amp;E433&amp;"-"&amp;F433&amp;"-Pos5",'Shooter-Squad Assignment'!$W:$W,0)),""),IF(F433="Sporting Clays",IFERROR(INDEX('Shooter-Squad Assignment'!$A:$A,MATCH(C433&amp;"-"&amp;E433&amp;"-"&amp;F433&amp;"-Pos5",'Shooter-Squad Assignment'!$Z:$Z,0)),""),"")))</f>
        <v/>
      </c>
      <c r="P433" s="89" t="str">
        <f>IF(ISBLANK(O433),"",IFERROR(INDEX('Tournament List'!$D:$D,MATCH(O433,'Tournament List'!$A:$A,0)),""))</f>
        <v/>
      </c>
    </row>
    <row r="434" spans="1:16" x14ac:dyDescent="0.3">
      <c r="A434" s="87">
        <v>433</v>
      </c>
      <c r="B434" s="88" t="str">
        <f>C434&amp;"-"&amp;E434&amp;"-"&amp;F434</f>
        <v>-Open 3-Sporting Clays</v>
      </c>
      <c r="C434" s="88"/>
      <c r="D434" s="88" t="str">
        <f>INDEX('Tournament Setup'!$B$59:$B$78,MATCH(E434,SquadConcurrents,0))</f>
        <v>Open</v>
      </c>
      <c r="E434" s="88" t="s">
        <v>353</v>
      </c>
      <c r="F434" s="88" t="s">
        <v>148</v>
      </c>
      <c r="G434" s="96" t="str">
        <f>IF(F434="Skeet",IFERROR(INDEX('Shooter-Squad Assignment'!$A:$A,MATCH(C434&amp;"-"&amp;E434&amp;"-"&amp;F434&amp;"-Pos1",'Shooter-Squad Assignment'!$K:$K,0)),""),IF(F434="Trap",IFERROR(INDEX('Shooter-Squad Assignment'!$A:$A,MATCH(C434&amp;"-"&amp;E434&amp;"-"&amp;F434&amp;"-Pos1",'Shooter-Squad Assignment'!$W:$W,0)),""),IF(F434="Sporting Clays",IFERROR(INDEX('Shooter-Squad Assignment'!$A:$A,MATCH(C434&amp;"-"&amp;E434&amp;"-"&amp;F434&amp;"-Pos1",'Shooter-Squad Assignment'!$Z:$Z,0)),""),"")))</f>
        <v/>
      </c>
      <c r="H434" s="88" t="str">
        <f>IF(ISBLANK(G434),"",IFERROR(INDEX('Tournament List'!$D:$D,MATCH(G434,'Tournament List'!$A:$A,0)),""))</f>
        <v/>
      </c>
      <c r="I434" s="96" t="str">
        <f>IF(F434="Skeet",IFERROR(INDEX('Shooter-Squad Assignment'!$A:$A,MATCH(C434&amp;"-"&amp;E434&amp;"-"&amp;F434&amp;"-Pos2",'Shooter-Squad Assignment'!$K:$K,0)),""),IF(F434="Trap",IFERROR(INDEX('Shooter-Squad Assignment'!$A:$A,MATCH(C434&amp;"-"&amp;E434&amp;"-"&amp;F434&amp;"-Pos2",'Shooter-Squad Assignment'!$W:$W,0)),""),IF(F434="Sporting Clays",IFERROR(INDEX('Shooter-Squad Assignment'!$A:$A,MATCH(C434&amp;"-"&amp;E434&amp;"-"&amp;F434&amp;"-Pos2",'Shooter-Squad Assignment'!$Z:$Z,0)),""),"")))</f>
        <v/>
      </c>
      <c r="J434" s="88" t="str">
        <f>IF(ISBLANK(I434),"",IFERROR(INDEX('Tournament List'!$D:$D,MATCH(I434,'Tournament List'!$A:$A,0)),""))</f>
        <v/>
      </c>
      <c r="K434" s="96" t="str">
        <f>IF(F434="Skeet",IFERROR(INDEX('Shooter-Squad Assignment'!$A:$A,MATCH(C434&amp;"-"&amp;E434&amp;"-"&amp;F434&amp;"-Pos3",'Shooter-Squad Assignment'!$K:$K,0)),""),IF(F434="Trap",IFERROR(INDEX('Shooter-Squad Assignment'!$A:$A,MATCH(C434&amp;"-"&amp;E434&amp;"-"&amp;F434&amp;"-Pos3",'Shooter-Squad Assignment'!$W:$W,0)),""),IF(F434="Sporting Clays",IFERROR(INDEX('Shooter-Squad Assignment'!$A:$A,MATCH(C434&amp;"-"&amp;E434&amp;"-"&amp;F434&amp;"-Pos3",'Shooter-Squad Assignment'!$Z:$Z,0)),""),"")))</f>
        <v/>
      </c>
      <c r="L434" s="88" t="str">
        <f>IF(ISBLANK(K434),"",IFERROR(INDEX('Tournament List'!$D:$D,MATCH(K434,'Tournament List'!$A:$A,0)),""))</f>
        <v/>
      </c>
      <c r="M434" s="96" t="str">
        <f>IF(F434="Skeet",IFERROR(INDEX('Shooter-Squad Assignment'!$A:$A,MATCH(C434&amp;"-"&amp;E434&amp;"-"&amp;F434&amp;"-Pos4",'Shooter-Squad Assignment'!$K:$K,0)),""),IF(F434="Trap",IFERROR(INDEX('Shooter-Squad Assignment'!$A:$A,MATCH(C434&amp;"-"&amp;E434&amp;"-"&amp;F434&amp;"-Pos4",'Shooter-Squad Assignment'!$W:$W,0)),""),IF(F434="Sporting Clays",IFERROR(INDEX('Shooter-Squad Assignment'!$A:$A,MATCH(C434&amp;"-"&amp;E434&amp;"-"&amp;F434&amp;"-Pos4",'Shooter-Squad Assignment'!$Z:$Z,0)),""),"")))</f>
        <v/>
      </c>
      <c r="N434" s="88" t="str">
        <f>IF(ISBLANK(M434),"",IFERROR(INDEX('Tournament List'!$D:$D,MATCH(M434,'Tournament List'!$A:$A,0)),""))</f>
        <v/>
      </c>
      <c r="O434" s="96" t="str">
        <f>IF(F434="Skeet",IFERROR(INDEX('Shooter-Squad Assignment'!$A:$A,MATCH(C434&amp;"-"&amp;E434&amp;"-"&amp;F434&amp;"-Pos5",'Shooter-Squad Assignment'!$K:$K,0)),""),IF(F434="Trap",IFERROR(INDEX('Shooter-Squad Assignment'!$A:$A,MATCH(C434&amp;"-"&amp;E434&amp;"-"&amp;F434&amp;"-Pos5",'Shooter-Squad Assignment'!$W:$W,0)),""),IF(F434="Sporting Clays",IFERROR(INDEX('Shooter-Squad Assignment'!$A:$A,MATCH(C434&amp;"-"&amp;E434&amp;"-"&amp;F434&amp;"-Pos5",'Shooter-Squad Assignment'!$Z:$Z,0)),""),"")))</f>
        <v/>
      </c>
      <c r="P434" s="89" t="str">
        <f>IF(ISBLANK(O434),"",IFERROR(INDEX('Tournament List'!$D:$D,MATCH(O434,'Tournament List'!$A:$A,0)),""))</f>
        <v/>
      </c>
    </row>
    <row r="435" spans="1:16" x14ac:dyDescent="0.3">
      <c r="A435" s="87">
        <v>434</v>
      </c>
      <c r="B435" s="88" t="str">
        <f>C435&amp;"-"&amp;E435&amp;"-"&amp;F435</f>
        <v>-Unassigned 1-Sporting Clays</v>
      </c>
      <c r="C435" s="88"/>
      <c r="D435" s="88" t="str">
        <f>INDEX('Tournament Setup'!$B$59:$B$78,MATCH(E435,SquadConcurrents,0))</f>
        <v>Unassigned</v>
      </c>
      <c r="E435" s="88" t="s">
        <v>762</v>
      </c>
      <c r="F435" s="88" t="s">
        <v>148</v>
      </c>
      <c r="G435" s="96" t="str">
        <f>IF(F435="Skeet",IFERROR(INDEX('Shooter-Squad Assignment'!$A:$A,MATCH(C435&amp;"-"&amp;E435&amp;"-"&amp;F435&amp;"-Pos1",'Shooter-Squad Assignment'!$K:$K,0)),""),IF(F435="Trap",IFERROR(INDEX('Shooter-Squad Assignment'!$A:$A,MATCH(C435&amp;"-"&amp;E435&amp;"-"&amp;F435&amp;"-Pos1",'Shooter-Squad Assignment'!$W:$W,0)),""),IF(F435="Sporting Clays",IFERROR(INDEX('Shooter-Squad Assignment'!$A:$A,MATCH(C435&amp;"-"&amp;E435&amp;"-"&amp;F435&amp;"-Pos1",'Shooter-Squad Assignment'!$Z:$Z,0)),""),"")))</f>
        <v/>
      </c>
      <c r="H435" s="88" t="str">
        <f>IF(ISBLANK(G435),"",IFERROR(INDEX('Tournament List'!$D:$D,MATCH(G435,'Tournament List'!$A:$A,0)),""))</f>
        <v/>
      </c>
      <c r="I435" s="96" t="str">
        <f>IF(F435="Skeet",IFERROR(INDEX('Shooter-Squad Assignment'!$A:$A,MATCH(C435&amp;"-"&amp;E435&amp;"-"&amp;F435&amp;"-Pos2",'Shooter-Squad Assignment'!$K:$K,0)),""),IF(F435="Trap",IFERROR(INDEX('Shooter-Squad Assignment'!$A:$A,MATCH(C435&amp;"-"&amp;E435&amp;"-"&amp;F435&amp;"-Pos2",'Shooter-Squad Assignment'!$W:$W,0)),""),IF(F435="Sporting Clays",IFERROR(INDEX('Shooter-Squad Assignment'!$A:$A,MATCH(C435&amp;"-"&amp;E435&amp;"-"&amp;F435&amp;"-Pos2",'Shooter-Squad Assignment'!$Z:$Z,0)),""),"")))</f>
        <v/>
      </c>
      <c r="J435" s="88" t="str">
        <f>IF(ISBLANK(I435),"",IFERROR(INDEX('Tournament List'!$D:$D,MATCH(I435,'Tournament List'!$A:$A,0)),""))</f>
        <v/>
      </c>
      <c r="K435" s="96" t="str">
        <f>IF(F435="Skeet",IFERROR(INDEX('Shooter-Squad Assignment'!$A:$A,MATCH(C435&amp;"-"&amp;E435&amp;"-"&amp;F435&amp;"-Pos3",'Shooter-Squad Assignment'!$K:$K,0)),""),IF(F435="Trap",IFERROR(INDEX('Shooter-Squad Assignment'!$A:$A,MATCH(C435&amp;"-"&amp;E435&amp;"-"&amp;F435&amp;"-Pos3",'Shooter-Squad Assignment'!$W:$W,0)),""),IF(F435="Sporting Clays",IFERROR(INDEX('Shooter-Squad Assignment'!$A:$A,MATCH(C435&amp;"-"&amp;E435&amp;"-"&amp;F435&amp;"-Pos3",'Shooter-Squad Assignment'!$Z:$Z,0)),""),"")))</f>
        <v/>
      </c>
      <c r="L435" s="88" t="str">
        <f>IF(ISBLANK(K435),"",IFERROR(INDEX('Tournament List'!$D:$D,MATCH(K435,'Tournament List'!$A:$A,0)),""))</f>
        <v/>
      </c>
      <c r="M435" s="96" t="str">
        <f>IF(F435="Skeet",IFERROR(INDEX('Shooter-Squad Assignment'!$A:$A,MATCH(C435&amp;"-"&amp;E435&amp;"-"&amp;F435&amp;"-Pos4",'Shooter-Squad Assignment'!$K:$K,0)),""),IF(F435="Trap",IFERROR(INDEX('Shooter-Squad Assignment'!$A:$A,MATCH(C435&amp;"-"&amp;E435&amp;"-"&amp;F435&amp;"-Pos4",'Shooter-Squad Assignment'!$W:$W,0)),""),IF(F435="Sporting Clays",IFERROR(INDEX('Shooter-Squad Assignment'!$A:$A,MATCH(C435&amp;"-"&amp;E435&amp;"-"&amp;F435&amp;"-Pos4",'Shooter-Squad Assignment'!$Z:$Z,0)),""),"")))</f>
        <v/>
      </c>
      <c r="N435" s="88" t="str">
        <f>IF(ISBLANK(M435),"",IFERROR(INDEX('Tournament List'!$D:$D,MATCH(M435,'Tournament List'!$A:$A,0)),""))</f>
        <v/>
      </c>
      <c r="O435" s="96" t="str">
        <f>IF(F435="Skeet",IFERROR(INDEX('Shooter-Squad Assignment'!$A:$A,MATCH(C435&amp;"-"&amp;E435&amp;"-"&amp;F435&amp;"-Pos5",'Shooter-Squad Assignment'!$K:$K,0)),""),IF(F435="Trap",IFERROR(INDEX('Shooter-Squad Assignment'!$A:$A,MATCH(C435&amp;"-"&amp;E435&amp;"-"&amp;F435&amp;"-Pos5",'Shooter-Squad Assignment'!$W:$W,0)),""),IF(F435="Sporting Clays",IFERROR(INDEX('Shooter-Squad Assignment'!$A:$A,MATCH(C435&amp;"-"&amp;E435&amp;"-"&amp;F435&amp;"-Pos5",'Shooter-Squad Assignment'!$Z:$Z,0)),""),"")))</f>
        <v/>
      </c>
      <c r="P435" s="89" t="str">
        <f>IF(ISBLANK(O435),"",IFERROR(INDEX('Tournament List'!$D:$D,MATCH(O435,'Tournament List'!$A:$A,0)),""))</f>
        <v/>
      </c>
    </row>
    <row r="436" spans="1:16" x14ac:dyDescent="0.3">
      <c r="A436" s="87">
        <v>435</v>
      </c>
      <c r="B436" s="88" t="str">
        <f>C436&amp;"-"&amp;E436&amp;"-"&amp;F436</f>
        <v>-Varsity 1-Sporting Clays</v>
      </c>
      <c r="C436" s="88"/>
      <c r="D436" s="88" t="str">
        <f>INDEX('Tournament Setup'!$B$59:$B$78,MATCH(E436,SquadConcurrents,0))</f>
        <v>Varsity</v>
      </c>
      <c r="E436" s="88" t="s">
        <v>340</v>
      </c>
      <c r="F436" s="88" t="s">
        <v>148</v>
      </c>
      <c r="G436" s="96" t="str">
        <f>IF(F436="Skeet",IFERROR(INDEX('Shooter-Squad Assignment'!$A:$A,MATCH(C436&amp;"-"&amp;E436&amp;"-"&amp;F436&amp;"-Pos1",'Shooter-Squad Assignment'!$K:$K,0)),""),IF(F436="Trap",IFERROR(INDEX('Shooter-Squad Assignment'!$A:$A,MATCH(C436&amp;"-"&amp;E436&amp;"-"&amp;F436&amp;"-Pos1",'Shooter-Squad Assignment'!$W:$W,0)),""),IF(F436="Sporting Clays",IFERROR(INDEX('Shooter-Squad Assignment'!$A:$A,MATCH(C436&amp;"-"&amp;E436&amp;"-"&amp;F436&amp;"-Pos1",'Shooter-Squad Assignment'!$Z:$Z,0)),""),"")))</f>
        <v/>
      </c>
      <c r="H436" s="88" t="str">
        <f>IF(ISBLANK(G436),"",IFERROR(INDEX('Tournament List'!$D:$D,MATCH(G436,'Tournament List'!$A:$A,0)),""))</f>
        <v/>
      </c>
      <c r="I436" s="96" t="str">
        <f>IF(F436="Skeet",IFERROR(INDEX('Shooter-Squad Assignment'!$A:$A,MATCH(C436&amp;"-"&amp;E436&amp;"-"&amp;F436&amp;"-Pos2",'Shooter-Squad Assignment'!$K:$K,0)),""),IF(F436="Trap",IFERROR(INDEX('Shooter-Squad Assignment'!$A:$A,MATCH(C436&amp;"-"&amp;E436&amp;"-"&amp;F436&amp;"-Pos2",'Shooter-Squad Assignment'!$W:$W,0)),""),IF(F436="Sporting Clays",IFERROR(INDEX('Shooter-Squad Assignment'!$A:$A,MATCH(C436&amp;"-"&amp;E436&amp;"-"&amp;F436&amp;"-Pos2",'Shooter-Squad Assignment'!$Z:$Z,0)),""),"")))</f>
        <v/>
      </c>
      <c r="J436" s="88" t="str">
        <f>IF(ISBLANK(I436),"",IFERROR(INDEX('Tournament List'!$D:$D,MATCH(I436,'Tournament List'!$A:$A,0)),""))</f>
        <v/>
      </c>
      <c r="K436" s="96" t="str">
        <f>IF(F436="Skeet",IFERROR(INDEX('Shooter-Squad Assignment'!$A:$A,MATCH(C436&amp;"-"&amp;E436&amp;"-"&amp;F436&amp;"-Pos3",'Shooter-Squad Assignment'!$K:$K,0)),""),IF(F436="Trap",IFERROR(INDEX('Shooter-Squad Assignment'!$A:$A,MATCH(C436&amp;"-"&amp;E436&amp;"-"&amp;F436&amp;"-Pos3",'Shooter-Squad Assignment'!$W:$W,0)),""),IF(F436="Sporting Clays",IFERROR(INDEX('Shooter-Squad Assignment'!$A:$A,MATCH(C436&amp;"-"&amp;E436&amp;"-"&amp;F436&amp;"-Pos3",'Shooter-Squad Assignment'!$Z:$Z,0)),""),"")))</f>
        <v/>
      </c>
      <c r="L436" s="88" t="str">
        <f>IF(ISBLANK(K436),"",IFERROR(INDEX('Tournament List'!$D:$D,MATCH(K436,'Tournament List'!$A:$A,0)),""))</f>
        <v/>
      </c>
      <c r="M436" s="96" t="str">
        <f>IF(F436="Skeet",IFERROR(INDEX('Shooter-Squad Assignment'!$A:$A,MATCH(C436&amp;"-"&amp;E436&amp;"-"&amp;F436&amp;"-Pos4",'Shooter-Squad Assignment'!$K:$K,0)),""),IF(F436="Trap",IFERROR(INDEX('Shooter-Squad Assignment'!$A:$A,MATCH(C436&amp;"-"&amp;E436&amp;"-"&amp;F436&amp;"-Pos4",'Shooter-Squad Assignment'!$W:$W,0)),""),IF(F436="Sporting Clays",IFERROR(INDEX('Shooter-Squad Assignment'!$A:$A,MATCH(C436&amp;"-"&amp;E436&amp;"-"&amp;F436&amp;"-Pos4",'Shooter-Squad Assignment'!$Z:$Z,0)),""),"")))</f>
        <v/>
      </c>
      <c r="N436" s="88" t="str">
        <f>IF(ISBLANK(M436),"",IFERROR(INDEX('Tournament List'!$D:$D,MATCH(M436,'Tournament List'!$A:$A,0)),""))</f>
        <v/>
      </c>
      <c r="O436" s="96" t="str">
        <f>IF(F436="Skeet",IFERROR(INDEX('Shooter-Squad Assignment'!$A:$A,MATCH(C436&amp;"-"&amp;E436&amp;"-"&amp;F436&amp;"-Pos5",'Shooter-Squad Assignment'!$K:$K,0)),""),IF(F436="Trap",IFERROR(INDEX('Shooter-Squad Assignment'!$A:$A,MATCH(C436&amp;"-"&amp;E436&amp;"-"&amp;F436&amp;"-Pos5",'Shooter-Squad Assignment'!$W:$W,0)),""),IF(F436="Sporting Clays",IFERROR(INDEX('Shooter-Squad Assignment'!$A:$A,MATCH(C436&amp;"-"&amp;E436&amp;"-"&amp;F436&amp;"-Pos5",'Shooter-Squad Assignment'!$Z:$Z,0)),""),"")))</f>
        <v/>
      </c>
      <c r="P436" s="89" t="str">
        <f>IF(ISBLANK(O436),"",IFERROR(INDEX('Tournament List'!$D:$D,MATCH(O436,'Tournament List'!$A:$A,0)),""))</f>
        <v/>
      </c>
    </row>
    <row r="437" spans="1:16" x14ac:dyDescent="0.3">
      <c r="A437" s="87">
        <v>436</v>
      </c>
      <c r="B437" s="88" t="str">
        <f>C437&amp;"-"&amp;E437&amp;"-"&amp;F437</f>
        <v>-Varsity 2-Sporting Clays</v>
      </c>
      <c r="C437" s="88"/>
      <c r="D437" s="88" t="str">
        <f>INDEX('Tournament Setup'!$B$59:$B$78,MATCH(E437,SquadConcurrents,0))</f>
        <v>Varsity</v>
      </c>
      <c r="E437" s="88" t="s">
        <v>346</v>
      </c>
      <c r="F437" s="88" t="s">
        <v>148</v>
      </c>
      <c r="G437" s="96" t="str">
        <f>IF(F437="Skeet",IFERROR(INDEX('Shooter-Squad Assignment'!$A:$A,MATCH(C437&amp;"-"&amp;E437&amp;"-"&amp;F437&amp;"-Pos1",'Shooter-Squad Assignment'!$K:$K,0)),""),IF(F437="Trap",IFERROR(INDEX('Shooter-Squad Assignment'!$A:$A,MATCH(C437&amp;"-"&amp;E437&amp;"-"&amp;F437&amp;"-Pos1",'Shooter-Squad Assignment'!$W:$W,0)),""),IF(F437="Sporting Clays",IFERROR(INDEX('Shooter-Squad Assignment'!$A:$A,MATCH(C437&amp;"-"&amp;E437&amp;"-"&amp;F437&amp;"-Pos1",'Shooter-Squad Assignment'!$Z:$Z,0)),""),"")))</f>
        <v/>
      </c>
      <c r="H437" s="88" t="str">
        <f>IF(ISBLANK(G437),"",IFERROR(INDEX('Tournament List'!$D:$D,MATCH(G437,'Tournament List'!$A:$A,0)),""))</f>
        <v/>
      </c>
      <c r="I437" s="96" t="str">
        <f>IF(F437="Skeet",IFERROR(INDEX('Shooter-Squad Assignment'!$A:$A,MATCH(C437&amp;"-"&amp;E437&amp;"-"&amp;F437&amp;"-Pos2",'Shooter-Squad Assignment'!$K:$K,0)),""),IF(F437="Trap",IFERROR(INDEX('Shooter-Squad Assignment'!$A:$A,MATCH(C437&amp;"-"&amp;E437&amp;"-"&amp;F437&amp;"-Pos2",'Shooter-Squad Assignment'!$W:$W,0)),""),IF(F437="Sporting Clays",IFERROR(INDEX('Shooter-Squad Assignment'!$A:$A,MATCH(C437&amp;"-"&amp;E437&amp;"-"&amp;F437&amp;"-Pos2",'Shooter-Squad Assignment'!$Z:$Z,0)),""),"")))</f>
        <v/>
      </c>
      <c r="J437" s="88" t="str">
        <f>IF(ISBLANK(I437),"",IFERROR(INDEX('Tournament List'!$D:$D,MATCH(I437,'Tournament List'!$A:$A,0)),""))</f>
        <v/>
      </c>
      <c r="K437" s="96" t="str">
        <f>IF(F437="Skeet",IFERROR(INDEX('Shooter-Squad Assignment'!$A:$A,MATCH(C437&amp;"-"&amp;E437&amp;"-"&amp;F437&amp;"-Pos3",'Shooter-Squad Assignment'!$K:$K,0)),""),IF(F437="Trap",IFERROR(INDEX('Shooter-Squad Assignment'!$A:$A,MATCH(C437&amp;"-"&amp;E437&amp;"-"&amp;F437&amp;"-Pos3",'Shooter-Squad Assignment'!$W:$W,0)),""),IF(F437="Sporting Clays",IFERROR(INDEX('Shooter-Squad Assignment'!$A:$A,MATCH(C437&amp;"-"&amp;E437&amp;"-"&amp;F437&amp;"-Pos3",'Shooter-Squad Assignment'!$Z:$Z,0)),""),"")))</f>
        <v/>
      </c>
      <c r="L437" s="88" t="str">
        <f>IF(ISBLANK(K437),"",IFERROR(INDEX('Tournament List'!$D:$D,MATCH(K437,'Tournament List'!$A:$A,0)),""))</f>
        <v/>
      </c>
      <c r="M437" s="96" t="str">
        <f>IF(F437="Skeet",IFERROR(INDEX('Shooter-Squad Assignment'!$A:$A,MATCH(C437&amp;"-"&amp;E437&amp;"-"&amp;F437&amp;"-Pos4",'Shooter-Squad Assignment'!$K:$K,0)),""),IF(F437="Trap",IFERROR(INDEX('Shooter-Squad Assignment'!$A:$A,MATCH(C437&amp;"-"&amp;E437&amp;"-"&amp;F437&amp;"-Pos4",'Shooter-Squad Assignment'!$W:$W,0)),""),IF(F437="Sporting Clays",IFERROR(INDEX('Shooter-Squad Assignment'!$A:$A,MATCH(C437&amp;"-"&amp;E437&amp;"-"&amp;F437&amp;"-Pos4",'Shooter-Squad Assignment'!$Z:$Z,0)),""),"")))</f>
        <v/>
      </c>
      <c r="N437" s="88" t="str">
        <f>IF(ISBLANK(M437),"",IFERROR(INDEX('Tournament List'!$D:$D,MATCH(M437,'Tournament List'!$A:$A,0)),""))</f>
        <v/>
      </c>
      <c r="O437" s="96" t="str">
        <f>IF(F437="Skeet",IFERROR(INDEX('Shooter-Squad Assignment'!$A:$A,MATCH(C437&amp;"-"&amp;E437&amp;"-"&amp;F437&amp;"-Pos5",'Shooter-Squad Assignment'!$K:$K,0)),""),IF(F437="Trap",IFERROR(INDEX('Shooter-Squad Assignment'!$A:$A,MATCH(C437&amp;"-"&amp;E437&amp;"-"&amp;F437&amp;"-Pos5",'Shooter-Squad Assignment'!$W:$W,0)),""),IF(F437="Sporting Clays",IFERROR(INDEX('Shooter-Squad Assignment'!$A:$A,MATCH(C437&amp;"-"&amp;E437&amp;"-"&amp;F437&amp;"-Pos5",'Shooter-Squad Assignment'!$Z:$Z,0)),""),"")))</f>
        <v/>
      </c>
      <c r="P437" s="89" t="str">
        <f>IF(ISBLANK(O437),"",IFERROR(INDEX('Tournament List'!$D:$D,MATCH(O437,'Tournament List'!$A:$A,0)),""))</f>
        <v/>
      </c>
    </row>
    <row r="438" spans="1:16" x14ac:dyDescent="0.3">
      <c r="A438" s="87">
        <v>437</v>
      </c>
      <c r="B438" s="88" t="str">
        <f>C438&amp;"-"&amp;E438&amp;"-"&amp;F438</f>
        <v>-Varsity 3-Sporting Clays</v>
      </c>
      <c r="C438" s="88"/>
      <c r="D438" s="88" t="str">
        <f>INDEX('Tournament Setup'!$B$59:$B$78,MATCH(E438,SquadConcurrents,0))</f>
        <v>Varsity</v>
      </c>
      <c r="E438" s="88" t="s">
        <v>352</v>
      </c>
      <c r="F438" s="88" t="s">
        <v>148</v>
      </c>
      <c r="G438" s="96" t="str">
        <f>IF(F438="Skeet",IFERROR(INDEX('Shooter-Squad Assignment'!$A:$A,MATCH(C438&amp;"-"&amp;E438&amp;"-"&amp;F438&amp;"-Pos1",'Shooter-Squad Assignment'!$K:$K,0)),""),IF(F438="Trap",IFERROR(INDEX('Shooter-Squad Assignment'!$A:$A,MATCH(C438&amp;"-"&amp;E438&amp;"-"&amp;F438&amp;"-Pos1",'Shooter-Squad Assignment'!$W:$W,0)),""),IF(F438="Sporting Clays",IFERROR(INDEX('Shooter-Squad Assignment'!$A:$A,MATCH(C438&amp;"-"&amp;E438&amp;"-"&amp;F438&amp;"-Pos1",'Shooter-Squad Assignment'!$Z:$Z,0)),""),"")))</f>
        <v/>
      </c>
      <c r="H438" s="88" t="str">
        <f>IF(ISBLANK(G438),"",IFERROR(INDEX('Tournament List'!$D:$D,MATCH(G438,'Tournament List'!$A:$A,0)),""))</f>
        <v/>
      </c>
      <c r="I438" s="96" t="str">
        <f>IF(F438="Skeet",IFERROR(INDEX('Shooter-Squad Assignment'!$A:$A,MATCH(C438&amp;"-"&amp;E438&amp;"-"&amp;F438&amp;"-Pos2",'Shooter-Squad Assignment'!$K:$K,0)),""),IF(F438="Trap",IFERROR(INDEX('Shooter-Squad Assignment'!$A:$A,MATCH(C438&amp;"-"&amp;E438&amp;"-"&amp;F438&amp;"-Pos2",'Shooter-Squad Assignment'!$W:$W,0)),""),IF(F438="Sporting Clays",IFERROR(INDEX('Shooter-Squad Assignment'!$A:$A,MATCH(C438&amp;"-"&amp;E438&amp;"-"&amp;F438&amp;"-Pos2",'Shooter-Squad Assignment'!$Z:$Z,0)),""),"")))</f>
        <v/>
      </c>
      <c r="J438" s="88" t="str">
        <f>IF(ISBLANK(I438),"",IFERROR(INDEX('Tournament List'!$D:$D,MATCH(I438,'Tournament List'!$A:$A,0)),""))</f>
        <v/>
      </c>
      <c r="K438" s="96" t="str">
        <f>IF(F438="Skeet",IFERROR(INDEX('Shooter-Squad Assignment'!$A:$A,MATCH(C438&amp;"-"&amp;E438&amp;"-"&amp;F438&amp;"-Pos3",'Shooter-Squad Assignment'!$K:$K,0)),""),IF(F438="Trap",IFERROR(INDEX('Shooter-Squad Assignment'!$A:$A,MATCH(C438&amp;"-"&amp;E438&amp;"-"&amp;F438&amp;"-Pos3",'Shooter-Squad Assignment'!$W:$W,0)),""),IF(F438="Sporting Clays",IFERROR(INDEX('Shooter-Squad Assignment'!$A:$A,MATCH(C438&amp;"-"&amp;E438&amp;"-"&amp;F438&amp;"-Pos3",'Shooter-Squad Assignment'!$Z:$Z,0)),""),"")))</f>
        <v/>
      </c>
      <c r="L438" s="88" t="str">
        <f>IF(ISBLANK(K438),"",IFERROR(INDEX('Tournament List'!$D:$D,MATCH(K438,'Tournament List'!$A:$A,0)),""))</f>
        <v/>
      </c>
      <c r="M438" s="96" t="str">
        <f>IF(F438="Skeet",IFERROR(INDEX('Shooter-Squad Assignment'!$A:$A,MATCH(C438&amp;"-"&amp;E438&amp;"-"&amp;F438&amp;"-Pos4",'Shooter-Squad Assignment'!$K:$K,0)),""),IF(F438="Trap",IFERROR(INDEX('Shooter-Squad Assignment'!$A:$A,MATCH(C438&amp;"-"&amp;E438&amp;"-"&amp;F438&amp;"-Pos4",'Shooter-Squad Assignment'!$W:$W,0)),""),IF(F438="Sporting Clays",IFERROR(INDEX('Shooter-Squad Assignment'!$A:$A,MATCH(C438&amp;"-"&amp;E438&amp;"-"&amp;F438&amp;"-Pos4",'Shooter-Squad Assignment'!$Z:$Z,0)),""),"")))</f>
        <v/>
      </c>
      <c r="N438" s="88" t="str">
        <f>IF(ISBLANK(M438),"",IFERROR(INDEX('Tournament List'!$D:$D,MATCH(M438,'Tournament List'!$A:$A,0)),""))</f>
        <v/>
      </c>
      <c r="O438" s="96" t="str">
        <f>IF(F438="Skeet",IFERROR(INDEX('Shooter-Squad Assignment'!$A:$A,MATCH(C438&amp;"-"&amp;E438&amp;"-"&amp;F438&amp;"-Pos5",'Shooter-Squad Assignment'!$K:$K,0)),""),IF(F438="Trap",IFERROR(INDEX('Shooter-Squad Assignment'!$A:$A,MATCH(C438&amp;"-"&amp;E438&amp;"-"&amp;F438&amp;"-Pos5",'Shooter-Squad Assignment'!$W:$W,0)),""),IF(F438="Sporting Clays",IFERROR(INDEX('Shooter-Squad Assignment'!$A:$A,MATCH(C438&amp;"-"&amp;E438&amp;"-"&amp;F438&amp;"-Pos5",'Shooter-Squad Assignment'!$Z:$Z,0)),""),"")))</f>
        <v/>
      </c>
      <c r="P438" s="89" t="str">
        <f>IF(ISBLANK(O438),"",IFERROR(INDEX('Tournament List'!$D:$D,MATCH(O438,'Tournament List'!$A:$A,0)),""))</f>
        <v/>
      </c>
    </row>
    <row r="439" spans="1:16" x14ac:dyDescent="0.3">
      <c r="A439" s="87">
        <v>438</v>
      </c>
      <c r="B439" s="88" t="str">
        <f>C439&amp;"-"&amp;E439&amp;"-"&amp;F439</f>
        <v>-Collegiate 1-Trap</v>
      </c>
      <c r="C439" s="88"/>
      <c r="D439" s="88" t="str">
        <f>INDEX('Tournament Setup'!$B$59:$B$78,MATCH(E439,SquadConcurrents,0))</f>
        <v>Collegiate</v>
      </c>
      <c r="E439" s="88" t="s">
        <v>342</v>
      </c>
      <c r="F439" s="88" t="s">
        <v>147</v>
      </c>
      <c r="G439" s="96" t="str">
        <f>IF(F439="Skeet",IFERROR(INDEX('Shooter-Squad Assignment'!$A:$A,MATCH(C439&amp;"-"&amp;E439&amp;"-"&amp;F439&amp;"-Pos1",'Shooter-Squad Assignment'!$K:$K,0)),""),IF(F439="Trap",IFERROR(INDEX('Shooter-Squad Assignment'!$A:$A,MATCH(C439&amp;"-"&amp;E439&amp;"-"&amp;F439&amp;"-Pos1",'Shooter-Squad Assignment'!$W:$W,0)),""),IF(F439="Sporting Clays",IFERROR(INDEX('Shooter-Squad Assignment'!$A:$A,MATCH(C439&amp;"-"&amp;E439&amp;"-"&amp;F439&amp;"-Pos1",'Shooter-Squad Assignment'!$Z:$Z,0)),""),"")))</f>
        <v/>
      </c>
      <c r="H439" s="88" t="str">
        <f>IF(ISBLANK(G439),"",IFERROR(INDEX('Tournament List'!$D:$D,MATCH(G439,'Tournament List'!$A:$A,0)),""))</f>
        <v/>
      </c>
      <c r="I439" s="96" t="str">
        <f>IF(F439="Skeet",IFERROR(INDEX('Shooter-Squad Assignment'!$A:$A,MATCH(C439&amp;"-"&amp;E439&amp;"-"&amp;F439&amp;"-Pos2",'Shooter-Squad Assignment'!$K:$K,0)),""),IF(F439="Trap",IFERROR(INDEX('Shooter-Squad Assignment'!$A:$A,MATCH(C439&amp;"-"&amp;E439&amp;"-"&amp;F439&amp;"-Pos2",'Shooter-Squad Assignment'!$W:$W,0)),""),IF(F439="Sporting Clays",IFERROR(INDEX('Shooter-Squad Assignment'!$A:$A,MATCH(C439&amp;"-"&amp;E439&amp;"-"&amp;F439&amp;"-Pos2",'Shooter-Squad Assignment'!$Z:$Z,0)),""),"")))</f>
        <v/>
      </c>
      <c r="J439" s="88" t="str">
        <f>IF(ISBLANK(I439),"",IFERROR(INDEX('Tournament List'!$D:$D,MATCH(I439,'Tournament List'!$A:$A,0)),""))</f>
        <v/>
      </c>
      <c r="K439" s="96" t="str">
        <f>IF(F439="Skeet",IFERROR(INDEX('Shooter-Squad Assignment'!$A:$A,MATCH(C439&amp;"-"&amp;E439&amp;"-"&amp;F439&amp;"-Pos3",'Shooter-Squad Assignment'!$K:$K,0)),""),IF(F439="Trap",IFERROR(INDEX('Shooter-Squad Assignment'!$A:$A,MATCH(C439&amp;"-"&amp;E439&amp;"-"&amp;F439&amp;"-Pos3",'Shooter-Squad Assignment'!$W:$W,0)),""),IF(F439="Sporting Clays",IFERROR(INDEX('Shooter-Squad Assignment'!$A:$A,MATCH(C439&amp;"-"&amp;E439&amp;"-"&amp;F439&amp;"-Pos3",'Shooter-Squad Assignment'!$Z:$Z,0)),""),"")))</f>
        <v/>
      </c>
      <c r="L439" s="88" t="str">
        <f>IF(ISBLANK(K439),"",IFERROR(INDEX('Tournament List'!$D:$D,MATCH(K439,'Tournament List'!$A:$A,0)),""))</f>
        <v/>
      </c>
      <c r="M439" s="96" t="str">
        <f>IF(F439="Skeet",IFERROR(INDEX('Shooter-Squad Assignment'!$A:$A,MATCH(C439&amp;"-"&amp;E439&amp;"-"&amp;F439&amp;"-Pos4",'Shooter-Squad Assignment'!$K:$K,0)),""),IF(F439="Trap",IFERROR(INDEX('Shooter-Squad Assignment'!$A:$A,MATCH(C439&amp;"-"&amp;E439&amp;"-"&amp;F439&amp;"-Pos4",'Shooter-Squad Assignment'!$W:$W,0)),""),IF(F439="Sporting Clays",IFERROR(INDEX('Shooter-Squad Assignment'!$A:$A,MATCH(C439&amp;"-"&amp;E439&amp;"-"&amp;F439&amp;"-Pos4",'Shooter-Squad Assignment'!$Z:$Z,0)),""),"")))</f>
        <v/>
      </c>
      <c r="N439" s="88" t="str">
        <f>IF(ISBLANK(M439),"",IFERROR(INDEX('Tournament List'!$D:$D,MATCH(M439,'Tournament List'!$A:$A,0)),""))</f>
        <v/>
      </c>
      <c r="O439" s="96" t="str">
        <f>IF(F439="Skeet",IFERROR(INDEX('Shooter-Squad Assignment'!$A:$A,MATCH(C439&amp;"-"&amp;E439&amp;"-"&amp;F439&amp;"-Pos5",'Shooter-Squad Assignment'!$K:$K,0)),""),IF(F439="Trap",IFERROR(INDEX('Shooter-Squad Assignment'!$A:$A,MATCH(C439&amp;"-"&amp;E439&amp;"-"&amp;F439&amp;"-Pos5",'Shooter-Squad Assignment'!$W:$W,0)),""),IF(F439="Sporting Clays",IFERROR(INDEX('Shooter-Squad Assignment'!$A:$A,MATCH(C439&amp;"-"&amp;E439&amp;"-"&amp;F439&amp;"-Pos5",'Shooter-Squad Assignment'!$Z:$Z,0)),""),"")))</f>
        <v/>
      </c>
      <c r="P439" s="89" t="str">
        <f>IF(ISBLANK(O439),"",IFERROR(INDEX('Tournament List'!$D:$D,MATCH(O439,'Tournament List'!$A:$A,0)),""))</f>
        <v/>
      </c>
    </row>
    <row r="440" spans="1:16" x14ac:dyDescent="0.3">
      <c r="A440" s="87">
        <v>439</v>
      </c>
      <c r="B440" s="88" t="str">
        <f>C440&amp;"-"&amp;E440&amp;"-"&amp;F440</f>
        <v>-Collegiate 2-Trap</v>
      </c>
      <c r="C440" s="88"/>
      <c r="D440" s="88" t="str">
        <f>INDEX('Tournament Setup'!$B$59:$B$78,MATCH(E440,SquadConcurrents,0))</f>
        <v>Collegiate</v>
      </c>
      <c r="E440" s="88" t="s">
        <v>348</v>
      </c>
      <c r="F440" s="88" t="s">
        <v>147</v>
      </c>
      <c r="G440" s="96" t="str">
        <f>IF(F440="Skeet",IFERROR(INDEX('Shooter-Squad Assignment'!$A:$A,MATCH(C440&amp;"-"&amp;E440&amp;"-"&amp;F440&amp;"-Pos1",'Shooter-Squad Assignment'!$K:$K,0)),""),IF(F440="Trap",IFERROR(INDEX('Shooter-Squad Assignment'!$A:$A,MATCH(C440&amp;"-"&amp;E440&amp;"-"&amp;F440&amp;"-Pos1",'Shooter-Squad Assignment'!$W:$W,0)),""),IF(F440="Sporting Clays",IFERROR(INDEX('Shooter-Squad Assignment'!$A:$A,MATCH(C440&amp;"-"&amp;E440&amp;"-"&amp;F440&amp;"-Pos1",'Shooter-Squad Assignment'!$Z:$Z,0)),""),"")))</f>
        <v/>
      </c>
      <c r="H440" s="88" t="str">
        <f>IF(ISBLANK(G440),"",IFERROR(INDEX('Tournament List'!$D:$D,MATCH(G440,'Tournament List'!$A:$A,0)),""))</f>
        <v/>
      </c>
      <c r="I440" s="96" t="str">
        <f>IF(F440="Skeet",IFERROR(INDEX('Shooter-Squad Assignment'!$A:$A,MATCH(C440&amp;"-"&amp;E440&amp;"-"&amp;F440&amp;"-Pos2",'Shooter-Squad Assignment'!$K:$K,0)),""),IF(F440="Trap",IFERROR(INDEX('Shooter-Squad Assignment'!$A:$A,MATCH(C440&amp;"-"&amp;E440&amp;"-"&amp;F440&amp;"-Pos2",'Shooter-Squad Assignment'!$W:$W,0)),""),IF(F440="Sporting Clays",IFERROR(INDEX('Shooter-Squad Assignment'!$A:$A,MATCH(C440&amp;"-"&amp;E440&amp;"-"&amp;F440&amp;"-Pos2",'Shooter-Squad Assignment'!$Z:$Z,0)),""),"")))</f>
        <v/>
      </c>
      <c r="J440" s="88" t="str">
        <f>IF(ISBLANK(I440),"",IFERROR(INDEX('Tournament List'!$D:$D,MATCH(I440,'Tournament List'!$A:$A,0)),""))</f>
        <v/>
      </c>
      <c r="K440" s="96" t="str">
        <f>IF(F440="Skeet",IFERROR(INDEX('Shooter-Squad Assignment'!$A:$A,MATCH(C440&amp;"-"&amp;E440&amp;"-"&amp;F440&amp;"-Pos3",'Shooter-Squad Assignment'!$K:$K,0)),""),IF(F440="Trap",IFERROR(INDEX('Shooter-Squad Assignment'!$A:$A,MATCH(C440&amp;"-"&amp;E440&amp;"-"&amp;F440&amp;"-Pos3",'Shooter-Squad Assignment'!$W:$W,0)),""),IF(F440="Sporting Clays",IFERROR(INDEX('Shooter-Squad Assignment'!$A:$A,MATCH(C440&amp;"-"&amp;E440&amp;"-"&amp;F440&amp;"-Pos3",'Shooter-Squad Assignment'!$Z:$Z,0)),""),"")))</f>
        <v/>
      </c>
      <c r="L440" s="88" t="str">
        <f>IF(ISBLANK(K440),"",IFERROR(INDEX('Tournament List'!$D:$D,MATCH(K440,'Tournament List'!$A:$A,0)),""))</f>
        <v/>
      </c>
      <c r="M440" s="96" t="str">
        <f>IF(F440="Skeet",IFERROR(INDEX('Shooter-Squad Assignment'!$A:$A,MATCH(C440&amp;"-"&amp;E440&amp;"-"&amp;F440&amp;"-Pos4",'Shooter-Squad Assignment'!$K:$K,0)),""),IF(F440="Trap",IFERROR(INDEX('Shooter-Squad Assignment'!$A:$A,MATCH(C440&amp;"-"&amp;E440&amp;"-"&amp;F440&amp;"-Pos4",'Shooter-Squad Assignment'!$W:$W,0)),""),IF(F440="Sporting Clays",IFERROR(INDEX('Shooter-Squad Assignment'!$A:$A,MATCH(C440&amp;"-"&amp;E440&amp;"-"&amp;F440&amp;"-Pos4",'Shooter-Squad Assignment'!$Z:$Z,0)),""),"")))</f>
        <v/>
      </c>
      <c r="N440" s="88" t="str">
        <f>IF(ISBLANK(M440),"",IFERROR(INDEX('Tournament List'!$D:$D,MATCH(M440,'Tournament List'!$A:$A,0)),""))</f>
        <v/>
      </c>
      <c r="O440" s="96" t="str">
        <f>IF(F440="Skeet",IFERROR(INDEX('Shooter-Squad Assignment'!$A:$A,MATCH(C440&amp;"-"&amp;E440&amp;"-"&amp;F440&amp;"-Pos5",'Shooter-Squad Assignment'!$K:$K,0)),""),IF(F440="Trap",IFERROR(INDEX('Shooter-Squad Assignment'!$A:$A,MATCH(C440&amp;"-"&amp;E440&amp;"-"&amp;F440&amp;"-Pos5",'Shooter-Squad Assignment'!$W:$W,0)),""),IF(F440="Sporting Clays",IFERROR(INDEX('Shooter-Squad Assignment'!$A:$A,MATCH(C440&amp;"-"&amp;E440&amp;"-"&amp;F440&amp;"-Pos5",'Shooter-Squad Assignment'!$Z:$Z,0)),""),"")))</f>
        <v/>
      </c>
      <c r="P440" s="89" t="str">
        <f>IF(ISBLANK(O440),"",IFERROR(INDEX('Tournament List'!$D:$D,MATCH(O440,'Tournament List'!$A:$A,0)),""))</f>
        <v/>
      </c>
    </row>
    <row r="441" spans="1:16" x14ac:dyDescent="0.3">
      <c r="A441" s="87">
        <v>440</v>
      </c>
      <c r="B441" s="88" t="str">
        <f>C441&amp;"-"&amp;E441&amp;"-"&amp;F441</f>
        <v>-Collegiate 3-Trap</v>
      </c>
      <c r="C441" s="88"/>
      <c r="D441" s="88" t="str">
        <f>INDEX('Tournament Setup'!$B$59:$B$78,MATCH(E441,SquadConcurrents,0))</f>
        <v>Collegiate</v>
      </c>
      <c r="E441" s="88" t="s">
        <v>354</v>
      </c>
      <c r="F441" s="88" t="s">
        <v>147</v>
      </c>
      <c r="G441" s="96" t="str">
        <f>IF(F441="Skeet",IFERROR(INDEX('Shooter-Squad Assignment'!$A:$A,MATCH(C441&amp;"-"&amp;E441&amp;"-"&amp;F441&amp;"-Pos1",'Shooter-Squad Assignment'!$K:$K,0)),""),IF(F441="Trap",IFERROR(INDEX('Shooter-Squad Assignment'!$A:$A,MATCH(C441&amp;"-"&amp;E441&amp;"-"&amp;F441&amp;"-Pos1",'Shooter-Squad Assignment'!$W:$W,0)),""),IF(F441="Sporting Clays",IFERROR(INDEX('Shooter-Squad Assignment'!$A:$A,MATCH(C441&amp;"-"&amp;E441&amp;"-"&amp;F441&amp;"-Pos1",'Shooter-Squad Assignment'!$Z:$Z,0)),""),"")))</f>
        <v/>
      </c>
      <c r="H441" s="88" t="str">
        <f>IF(ISBLANK(G441),"",IFERROR(INDEX('Tournament List'!$D:$D,MATCH(G441,'Tournament List'!$A:$A,0)),""))</f>
        <v/>
      </c>
      <c r="I441" s="96" t="str">
        <f>IF(F441="Skeet",IFERROR(INDEX('Shooter-Squad Assignment'!$A:$A,MATCH(C441&amp;"-"&amp;E441&amp;"-"&amp;F441&amp;"-Pos2",'Shooter-Squad Assignment'!$K:$K,0)),""),IF(F441="Trap",IFERROR(INDEX('Shooter-Squad Assignment'!$A:$A,MATCH(C441&amp;"-"&amp;E441&amp;"-"&amp;F441&amp;"-Pos2",'Shooter-Squad Assignment'!$W:$W,0)),""),IF(F441="Sporting Clays",IFERROR(INDEX('Shooter-Squad Assignment'!$A:$A,MATCH(C441&amp;"-"&amp;E441&amp;"-"&amp;F441&amp;"-Pos2",'Shooter-Squad Assignment'!$Z:$Z,0)),""),"")))</f>
        <v/>
      </c>
      <c r="J441" s="88" t="str">
        <f>IF(ISBLANK(I441),"",IFERROR(INDEX('Tournament List'!$D:$D,MATCH(I441,'Tournament List'!$A:$A,0)),""))</f>
        <v/>
      </c>
      <c r="K441" s="96" t="str">
        <f>IF(F441="Skeet",IFERROR(INDEX('Shooter-Squad Assignment'!$A:$A,MATCH(C441&amp;"-"&amp;E441&amp;"-"&amp;F441&amp;"-Pos3",'Shooter-Squad Assignment'!$K:$K,0)),""),IF(F441="Trap",IFERROR(INDEX('Shooter-Squad Assignment'!$A:$A,MATCH(C441&amp;"-"&amp;E441&amp;"-"&amp;F441&amp;"-Pos3",'Shooter-Squad Assignment'!$W:$W,0)),""),IF(F441="Sporting Clays",IFERROR(INDEX('Shooter-Squad Assignment'!$A:$A,MATCH(C441&amp;"-"&amp;E441&amp;"-"&amp;F441&amp;"-Pos3",'Shooter-Squad Assignment'!$Z:$Z,0)),""),"")))</f>
        <v/>
      </c>
      <c r="L441" s="88" t="str">
        <f>IF(ISBLANK(K441),"",IFERROR(INDEX('Tournament List'!$D:$D,MATCH(K441,'Tournament List'!$A:$A,0)),""))</f>
        <v/>
      </c>
      <c r="M441" s="96" t="str">
        <f>IF(F441="Skeet",IFERROR(INDEX('Shooter-Squad Assignment'!$A:$A,MATCH(C441&amp;"-"&amp;E441&amp;"-"&amp;F441&amp;"-Pos4",'Shooter-Squad Assignment'!$K:$K,0)),""),IF(F441="Trap",IFERROR(INDEX('Shooter-Squad Assignment'!$A:$A,MATCH(C441&amp;"-"&amp;E441&amp;"-"&amp;F441&amp;"-Pos4",'Shooter-Squad Assignment'!$W:$W,0)),""),IF(F441="Sporting Clays",IFERROR(INDEX('Shooter-Squad Assignment'!$A:$A,MATCH(C441&amp;"-"&amp;E441&amp;"-"&amp;F441&amp;"-Pos4",'Shooter-Squad Assignment'!$Z:$Z,0)),""),"")))</f>
        <v/>
      </c>
      <c r="N441" s="88" t="str">
        <f>IF(ISBLANK(M441),"",IFERROR(INDEX('Tournament List'!$D:$D,MATCH(M441,'Tournament List'!$A:$A,0)),""))</f>
        <v/>
      </c>
      <c r="O441" s="96" t="str">
        <f>IF(F441="Skeet",IFERROR(INDEX('Shooter-Squad Assignment'!$A:$A,MATCH(C441&amp;"-"&amp;E441&amp;"-"&amp;F441&amp;"-Pos5",'Shooter-Squad Assignment'!$K:$K,0)),""),IF(F441="Trap",IFERROR(INDEX('Shooter-Squad Assignment'!$A:$A,MATCH(C441&amp;"-"&amp;E441&amp;"-"&amp;F441&amp;"-Pos5",'Shooter-Squad Assignment'!$W:$W,0)),""),IF(F441="Sporting Clays",IFERROR(INDEX('Shooter-Squad Assignment'!$A:$A,MATCH(C441&amp;"-"&amp;E441&amp;"-"&amp;F441&amp;"-Pos5",'Shooter-Squad Assignment'!$Z:$Z,0)),""),"")))</f>
        <v/>
      </c>
      <c r="P441" s="89" t="str">
        <f>IF(ISBLANK(O441),"",IFERROR(INDEX('Tournament List'!$D:$D,MATCH(O441,'Tournament List'!$A:$A,0)),""))</f>
        <v/>
      </c>
    </row>
    <row r="442" spans="1:16" x14ac:dyDescent="0.3">
      <c r="A442" s="87">
        <v>441</v>
      </c>
      <c r="B442" s="88" t="str">
        <f>C442&amp;"-"&amp;E442&amp;"-"&amp;F442</f>
        <v>-Intermediate 1-Trap</v>
      </c>
      <c r="C442" s="88"/>
      <c r="D442" s="88" t="str">
        <f>INDEX('Tournament Setup'!$B$59:$B$78,MATCH(E442,SquadConcurrents,0))</f>
        <v>Intermediate</v>
      </c>
      <c r="E442" s="88" t="s">
        <v>338</v>
      </c>
      <c r="F442" s="88" t="s">
        <v>147</v>
      </c>
      <c r="G442" s="96" t="str">
        <f>IF(F442="Skeet",IFERROR(INDEX('Shooter-Squad Assignment'!$A:$A,MATCH(C442&amp;"-"&amp;E442&amp;"-"&amp;F442&amp;"-Pos1",'Shooter-Squad Assignment'!$K:$K,0)),""),IF(F442="Trap",IFERROR(INDEX('Shooter-Squad Assignment'!$A:$A,MATCH(C442&amp;"-"&amp;E442&amp;"-"&amp;F442&amp;"-Pos1",'Shooter-Squad Assignment'!$W:$W,0)),""),IF(F442="Sporting Clays",IFERROR(INDEX('Shooter-Squad Assignment'!$A:$A,MATCH(C442&amp;"-"&amp;E442&amp;"-"&amp;F442&amp;"-Pos1",'Shooter-Squad Assignment'!$Z:$Z,0)),""),"")))</f>
        <v/>
      </c>
      <c r="H442" s="88" t="str">
        <f>IF(ISBLANK(G442),"",IFERROR(INDEX('Tournament List'!$D:$D,MATCH(G442,'Tournament List'!$A:$A,0)),""))</f>
        <v/>
      </c>
      <c r="I442" s="96" t="str">
        <f>IF(F442="Skeet",IFERROR(INDEX('Shooter-Squad Assignment'!$A:$A,MATCH(C442&amp;"-"&amp;E442&amp;"-"&amp;F442&amp;"-Pos2",'Shooter-Squad Assignment'!$K:$K,0)),""),IF(F442="Trap",IFERROR(INDEX('Shooter-Squad Assignment'!$A:$A,MATCH(C442&amp;"-"&amp;E442&amp;"-"&amp;F442&amp;"-Pos2",'Shooter-Squad Assignment'!$W:$W,0)),""),IF(F442="Sporting Clays",IFERROR(INDEX('Shooter-Squad Assignment'!$A:$A,MATCH(C442&amp;"-"&amp;E442&amp;"-"&amp;F442&amp;"-Pos2",'Shooter-Squad Assignment'!$Z:$Z,0)),""),"")))</f>
        <v/>
      </c>
      <c r="J442" s="88" t="str">
        <f>IF(ISBLANK(I442),"",IFERROR(INDEX('Tournament List'!$D:$D,MATCH(I442,'Tournament List'!$A:$A,0)),""))</f>
        <v/>
      </c>
      <c r="K442" s="96" t="str">
        <f>IF(F442="Skeet",IFERROR(INDEX('Shooter-Squad Assignment'!$A:$A,MATCH(C442&amp;"-"&amp;E442&amp;"-"&amp;F442&amp;"-Pos3",'Shooter-Squad Assignment'!$K:$K,0)),""),IF(F442="Trap",IFERROR(INDEX('Shooter-Squad Assignment'!$A:$A,MATCH(C442&amp;"-"&amp;E442&amp;"-"&amp;F442&amp;"-Pos3",'Shooter-Squad Assignment'!$W:$W,0)),""),IF(F442="Sporting Clays",IFERROR(INDEX('Shooter-Squad Assignment'!$A:$A,MATCH(C442&amp;"-"&amp;E442&amp;"-"&amp;F442&amp;"-Pos3",'Shooter-Squad Assignment'!$Z:$Z,0)),""),"")))</f>
        <v/>
      </c>
      <c r="L442" s="88" t="str">
        <f>IF(ISBLANK(K442),"",IFERROR(INDEX('Tournament List'!$D:$D,MATCH(K442,'Tournament List'!$A:$A,0)),""))</f>
        <v/>
      </c>
      <c r="M442" s="96" t="str">
        <f>IF(F442="Skeet",IFERROR(INDEX('Shooter-Squad Assignment'!$A:$A,MATCH(C442&amp;"-"&amp;E442&amp;"-"&amp;F442&amp;"-Pos4",'Shooter-Squad Assignment'!$K:$K,0)),""),IF(F442="Trap",IFERROR(INDEX('Shooter-Squad Assignment'!$A:$A,MATCH(C442&amp;"-"&amp;E442&amp;"-"&amp;F442&amp;"-Pos4",'Shooter-Squad Assignment'!$W:$W,0)),""),IF(F442="Sporting Clays",IFERROR(INDEX('Shooter-Squad Assignment'!$A:$A,MATCH(C442&amp;"-"&amp;E442&amp;"-"&amp;F442&amp;"-Pos4",'Shooter-Squad Assignment'!$Z:$Z,0)),""),"")))</f>
        <v/>
      </c>
      <c r="N442" s="88" t="str">
        <f>IF(ISBLANK(M442),"",IFERROR(INDEX('Tournament List'!$D:$D,MATCH(M442,'Tournament List'!$A:$A,0)),""))</f>
        <v/>
      </c>
      <c r="O442" s="96" t="str">
        <f>IF(F442="Skeet",IFERROR(INDEX('Shooter-Squad Assignment'!$A:$A,MATCH(C442&amp;"-"&amp;E442&amp;"-"&amp;F442&amp;"-Pos5",'Shooter-Squad Assignment'!$K:$K,0)),""),IF(F442="Trap",IFERROR(INDEX('Shooter-Squad Assignment'!$A:$A,MATCH(C442&amp;"-"&amp;E442&amp;"-"&amp;F442&amp;"-Pos5",'Shooter-Squad Assignment'!$W:$W,0)),""),IF(F442="Sporting Clays",IFERROR(INDEX('Shooter-Squad Assignment'!$A:$A,MATCH(C442&amp;"-"&amp;E442&amp;"-"&amp;F442&amp;"-Pos5",'Shooter-Squad Assignment'!$Z:$Z,0)),""),"")))</f>
        <v/>
      </c>
      <c r="P442" s="89" t="str">
        <f>IF(ISBLANK(O442),"",IFERROR(INDEX('Tournament List'!$D:$D,MATCH(O442,'Tournament List'!$A:$A,0)),""))</f>
        <v/>
      </c>
    </row>
    <row r="443" spans="1:16" x14ac:dyDescent="0.3">
      <c r="A443" s="87">
        <v>442</v>
      </c>
      <c r="B443" s="88" t="str">
        <f>C443&amp;"-"&amp;E443&amp;"-"&amp;F443</f>
        <v>-Intermediate 2-Trap</v>
      </c>
      <c r="C443" s="88"/>
      <c r="D443" s="88" t="str">
        <f>INDEX('Tournament Setup'!$B$59:$B$78,MATCH(E443,SquadConcurrents,0))</f>
        <v>Intermediate</v>
      </c>
      <c r="E443" s="88" t="s">
        <v>344</v>
      </c>
      <c r="F443" s="88" t="s">
        <v>147</v>
      </c>
      <c r="G443" s="96" t="str">
        <f>IF(F443="Skeet",IFERROR(INDEX('Shooter-Squad Assignment'!$A:$A,MATCH(C443&amp;"-"&amp;E443&amp;"-"&amp;F443&amp;"-Pos1",'Shooter-Squad Assignment'!$K:$K,0)),""),IF(F443="Trap",IFERROR(INDEX('Shooter-Squad Assignment'!$A:$A,MATCH(C443&amp;"-"&amp;E443&amp;"-"&amp;F443&amp;"-Pos1",'Shooter-Squad Assignment'!$W:$W,0)),""),IF(F443="Sporting Clays",IFERROR(INDEX('Shooter-Squad Assignment'!$A:$A,MATCH(C443&amp;"-"&amp;E443&amp;"-"&amp;F443&amp;"-Pos1",'Shooter-Squad Assignment'!$Z:$Z,0)),""),"")))</f>
        <v/>
      </c>
      <c r="H443" s="88" t="str">
        <f>IF(ISBLANK(G443),"",IFERROR(INDEX('Tournament List'!$D:$D,MATCH(G443,'Tournament List'!$A:$A,0)),""))</f>
        <v/>
      </c>
      <c r="I443" s="96" t="str">
        <f>IF(F443="Skeet",IFERROR(INDEX('Shooter-Squad Assignment'!$A:$A,MATCH(C443&amp;"-"&amp;E443&amp;"-"&amp;F443&amp;"-Pos2",'Shooter-Squad Assignment'!$K:$K,0)),""),IF(F443="Trap",IFERROR(INDEX('Shooter-Squad Assignment'!$A:$A,MATCH(C443&amp;"-"&amp;E443&amp;"-"&amp;F443&amp;"-Pos2",'Shooter-Squad Assignment'!$W:$W,0)),""),IF(F443="Sporting Clays",IFERROR(INDEX('Shooter-Squad Assignment'!$A:$A,MATCH(C443&amp;"-"&amp;E443&amp;"-"&amp;F443&amp;"-Pos2",'Shooter-Squad Assignment'!$Z:$Z,0)),""),"")))</f>
        <v/>
      </c>
      <c r="J443" s="88" t="str">
        <f>IF(ISBLANK(I443),"",IFERROR(INDEX('Tournament List'!$D:$D,MATCH(I443,'Tournament List'!$A:$A,0)),""))</f>
        <v/>
      </c>
      <c r="K443" s="96" t="str">
        <f>IF(F443="Skeet",IFERROR(INDEX('Shooter-Squad Assignment'!$A:$A,MATCH(C443&amp;"-"&amp;E443&amp;"-"&amp;F443&amp;"-Pos3",'Shooter-Squad Assignment'!$K:$K,0)),""),IF(F443="Trap",IFERROR(INDEX('Shooter-Squad Assignment'!$A:$A,MATCH(C443&amp;"-"&amp;E443&amp;"-"&amp;F443&amp;"-Pos3",'Shooter-Squad Assignment'!$W:$W,0)),""),IF(F443="Sporting Clays",IFERROR(INDEX('Shooter-Squad Assignment'!$A:$A,MATCH(C443&amp;"-"&amp;E443&amp;"-"&amp;F443&amp;"-Pos3",'Shooter-Squad Assignment'!$Z:$Z,0)),""),"")))</f>
        <v/>
      </c>
      <c r="L443" s="88" t="str">
        <f>IF(ISBLANK(K443),"",IFERROR(INDEX('Tournament List'!$D:$D,MATCH(K443,'Tournament List'!$A:$A,0)),""))</f>
        <v/>
      </c>
      <c r="M443" s="96" t="str">
        <f>IF(F443="Skeet",IFERROR(INDEX('Shooter-Squad Assignment'!$A:$A,MATCH(C443&amp;"-"&amp;E443&amp;"-"&amp;F443&amp;"-Pos4",'Shooter-Squad Assignment'!$K:$K,0)),""),IF(F443="Trap",IFERROR(INDEX('Shooter-Squad Assignment'!$A:$A,MATCH(C443&amp;"-"&amp;E443&amp;"-"&amp;F443&amp;"-Pos4",'Shooter-Squad Assignment'!$W:$W,0)),""),IF(F443="Sporting Clays",IFERROR(INDEX('Shooter-Squad Assignment'!$A:$A,MATCH(C443&amp;"-"&amp;E443&amp;"-"&amp;F443&amp;"-Pos4",'Shooter-Squad Assignment'!$Z:$Z,0)),""),"")))</f>
        <v/>
      </c>
      <c r="N443" s="88" t="str">
        <f>IF(ISBLANK(M443),"",IFERROR(INDEX('Tournament List'!$D:$D,MATCH(M443,'Tournament List'!$A:$A,0)),""))</f>
        <v/>
      </c>
      <c r="O443" s="96" t="str">
        <f>IF(F443="Skeet",IFERROR(INDEX('Shooter-Squad Assignment'!$A:$A,MATCH(C443&amp;"-"&amp;E443&amp;"-"&amp;F443&amp;"-Pos5",'Shooter-Squad Assignment'!$K:$K,0)),""),IF(F443="Trap",IFERROR(INDEX('Shooter-Squad Assignment'!$A:$A,MATCH(C443&amp;"-"&amp;E443&amp;"-"&amp;F443&amp;"-Pos5",'Shooter-Squad Assignment'!$W:$W,0)),""),IF(F443="Sporting Clays",IFERROR(INDEX('Shooter-Squad Assignment'!$A:$A,MATCH(C443&amp;"-"&amp;E443&amp;"-"&amp;F443&amp;"-Pos5",'Shooter-Squad Assignment'!$Z:$Z,0)),""),"")))</f>
        <v/>
      </c>
      <c r="P443" s="89" t="str">
        <f>IF(ISBLANK(O443),"",IFERROR(INDEX('Tournament List'!$D:$D,MATCH(O443,'Tournament List'!$A:$A,0)),""))</f>
        <v/>
      </c>
    </row>
    <row r="444" spans="1:16" x14ac:dyDescent="0.3">
      <c r="A444" s="87">
        <v>443</v>
      </c>
      <c r="B444" s="88" t="str">
        <f>C444&amp;"-"&amp;E444&amp;"-"&amp;F444</f>
        <v>-Intermediate 3-Trap</v>
      </c>
      <c r="C444" s="88"/>
      <c r="D444" s="88" t="str">
        <f>INDEX('Tournament Setup'!$B$59:$B$78,MATCH(E444,SquadConcurrents,0))</f>
        <v>Intermediate</v>
      </c>
      <c r="E444" s="88" t="s">
        <v>350</v>
      </c>
      <c r="F444" s="88" t="s">
        <v>147</v>
      </c>
      <c r="G444" s="96" t="str">
        <f>IF(F444="Skeet",IFERROR(INDEX('Shooter-Squad Assignment'!$A:$A,MATCH(C444&amp;"-"&amp;E444&amp;"-"&amp;F444&amp;"-Pos1",'Shooter-Squad Assignment'!$K:$K,0)),""),IF(F444="Trap",IFERROR(INDEX('Shooter-Squad Assignment'!$A:$A,MATCH(C444&amp;"-"&amp;E444&amp;"-"&amp;F444&amp;"-Pos1",'Shooter-Squad Assignment'!$W:$W,0)),""),IF(F444="Sporting Clays",IFERROR(INDEX('Shooter-Squad Assignment'!$A:$A,MATCH(C444&amp;"-"&amp;E444&amp;"-"&amp;F444&amp;"-Pos1",'Shooter-Squad Assignment'!$Z:$Z,0)),""),"")))</f>
        <v/>
      </c>
      <c r="H444" s="88" t="str">
        <f>IF(ISBLANK(G444),"",IFERROR(INDEX('Tournament List'!$D:$D,MATCH(G444,'Tournament List'!$A:$A,0)),""))</f>
        <v/>
      </c>
      <c r="I444" s="96" t="str">
        <f>IF(F444="Skeet",IFERROR(INDEX('Shooter-Squad Assignment'!$A:$A,MATCH(C444&amp;"-"&amp;E444&amp;"-"&amp;F444&amp;"-Pos2",'Shooter-Squad Assignment'!$K:$K,0)),""),IF(F444="Trap",IFERROR(INDEX('Shooter-Squad Assignment'!$A:$A,MATCH(C444&amp;"-"&amp;E444&amp;"-"&amp;F444&amp;"-Pos2",'Shooter-Squad Assignment'!$W:$W,0)),""),IF(F444="Sporting Clays",IFERROR(INDEX('Shooter-Squad Assignment'!$A:$A,MATCH(C444&amp;"-"&amp;E444&amp;"-"&amp;F444&amp;"-Pos2",'Shooter-Squad Assignment'!$Z:$Z,0)),""),"")))</f>
        <v/>
      </c>
      <c r="J444" s="88" t="str">
        <f>IF(ISBLANK(I444),"",IFERROR(INDEX('Tournament List'!$D:$D,MATCH(I444,'Tournament List'!$A:$A,0)),""))</f>
        <v/>
      </c>
      <c r="K444" s="96" t="str">
        <f>IF(F444="Skeet",IFERROR(INDEX('Shooter-Squad Assignment'!$A:$A,MATCH(C444&amp;"-"&amp;E444&amp;"-"&amp;F444&amp;"-Pos3",'Shooter-Squad Assignment'!$K:$K,0)),""),IF(F444="Trap",IFERROR(INDEX('Shooter-Squad Assignment'!$A:$A,MATCH(C444&amp;"-"&amp;E444&amp;"-"&amp;F444&amp;"-Pos3",'Shooter-Squad Assignment'!$W:$W,0)),""),IF(F444="Sporting Clays",IFERROR(INDEX('Shooter-Squad Assignment'!$A:$A,MATCH(C444&amp;"-"&amp;E444&amp;"-"&amp;F444&amp;"-Pos3",'Shooter-Squad Assignment'!$Z:$Z,0)),""),"")))</f>
        <v/>
      </c>
      <c r="L444" s="88" t="str">
        <f>IF(ISBLANK(K444),"",IFERROR(INDEX('Tournament List'!$D:$D,MATCH(K444,'Tournament List'!$A:$A,0)),""))</f>
        <v/>
      </c>
      <c r="M444" s="96" t="str">
        <f>IF(F444="Skeet",IFERROR(INDEX('Shooter-Squad Assignment'!$A:$A,MATCH(C444&amp;"-"&amp;E444&amp;"-"&amp;F444&amp;"-Pos4",'Shooter-Squad Assignment'!$K:$K,0)),""),IF(F444="Trap",IFERROR(INDEX('Shooter-Squad Assignment'!$A:$A,MATCH(C444&amp;"-"&amp;E444&amp;"-"&amp;F444&amp;"-Pos4",'Shooter-Squad Assignment'!$W:$W,0)),""),IF(F444="Sporting Clays",IFERROR(INDEX('Shooter-Squad Assignment'!$A:$A,MATCH(C444&amp;"-"&amp;E444&amp;"-"&amp;F444&amp;"-Pos4",'Shooter-Squad Assignment'!$Z:$Z,0)),""),"")))</f>
        <v/>
      </c>
      <c r="N444" s="88" t="str">
        <f>IF(ISBLANK(M444),"",IFERROR(INDEX('Tournament List'!$D:$D,MATCH(M444,'Tournament List'!$A:$A,0)),""))</f>
        <v/>
      </c>
      <c r="O444" s="96" t="str">
        <f>IF(F444="Skeet",IFERROR(INDEX('Shooter-Squad Assignment'!$A:$A,MATCH(C444&amp;"-"&amp;E444&amp;"-"&amp;F444&amp;"-Pos5",'Shooter-Squad Assignment'!$K:$K,0)),""),IF(F444="Trap",IFERROR(INDEX('Shooter-Squad Assignment'!$A:$A,MATCH(C444&amp;"-"&amp;E444&amp;"-"&amp;F444&amp;"-Pos5",'Shooter-Squad Assignment'!$W:$W,0)),""),IF(F444="Sporting Clays",IFERROR(INDEX('Shooter-Squad Assignment'!$A:$A,MATCH(C444&amp;"-"&amp;E444&amp;"-"&amp;F444&amp;"-Pos5",'Shooter-Squad Assignment'!$Z:$Z,0)),""),"")))</f>
        <v/>
      </c>
      <c r="P444" s="89" t="str">
        <f>IF(ISBLANK(O444),"",IFERROR(INDEX('Tournament List'!$D:$D,MATCH(O444,'Tournament List'!$A:$A,0)),""))</f>
        <v/>
      </c>
    </row>
    <row r="445" spans="1:16" x14ac:dyDescent="0.3">
      <c r="A445" s="87">
        <v>444</v>
      </c>
      <c r="B445" s="88" t="str">
        <f>C445&amp;"-"&amp;E445&amp;"-"&amp;F445</f>
        <v>-Junior Varsity 1-Trap</v>
      </c>
      <c r="C445" s="88"/>
      <c r="D445" s="88" t="str">
        <f>INDEX('Tournament Setup'!$B$59:$B$78,MATCH(E445,SquadConcurrents,0))</f>
        <v>Junior Varsity</v>
      </c>
      <c r="E445" s="88" t="s">
        <v>339</v>
      </c>
      <c r="F445" s="88" t="s">
        <v>147</v>
      </c>
      <c r="G445" s="96" t="str">
        <f>IF(F445="Skeet",IFERROR(INDEX('Shooter-Squad Assignment'!$A:$A,MATCH(C445&amp;"-"&amp;E445&amp;"-"&amp;F445&amp;"-Pos1",'Shooter-Squad Assignment'!$K:$K,0)),""),IF(F445="Trap",IFERROR(INDEX('Shooter-Squad Assignment'!$A:$A,MATCH(C445&amp;"-"&amp;E445&amp;"-"&amp;F445&amp;"-Pos1",'Shooter-Squad Assignment'!$W:$W,0)),""),IF(F445="Sporting Clays",IFERROR(INDEX('Shooter-Squad Assignment'!$A:$A,MATCH(C445&amp;"-"&amp;E445&amp;"-"&amp;F445&amp;"-Pos1",'Shooter-Squad Assignment'!$Z:$Z,0)),""),"")))</f>
        <v/>
      </c>
      <c r="H445" s="88" t="str">
        <f>IF(ISBLANK(G445),"",IFERROR(INDEX('Tournament List'!$D:$D,MATCH(G445,'Tournament List'!$A:$A,0)),""))</f>
        <v/>
      </c>
      <c r="I445" s="96" t="str">
        <f>IF(F445="Skeet",IFERROR(INDEX('Shooter-Squad Assignment'!$A:$A,MATCH(C445&amp;"-"&amp;E445&amp;"-"&amp;F445&amp;"-Pos2",'Shooter-Squad Assignment'!$K:$K,0)),""),IF(F445="Trap",IFERROR(INDEX('Shooter-Squad Assignment'!$A:$A,MATCH(C445&amp;"-"&amp;E445&amp;"-"&amp;F445&amp;"-Pos2",'Shooter-Squad Assignment'!$W:$W,0)),""),IF(F445="Sporting Clays",IFERROR(INDEX('Shooter-Squad Assignment'!$A:$A,MATCH(C445&amp;"-"&amp;E445&amp;"-"&amp;F445&amp;"-Pos2",'Shooter-Squad Assignment'!$Z:$Z,0)),""),"")))</f>
        <v/>
      </c>
      <c r="J445" s="88" t="str">
        <f>IF(ISBLANK(I445),"",IFERROR(INDEX('Tournament List'!$D:$D,MATCH(I445,'Tournament List'!$A:$A,0)),""))</f>
        <v/>
      </c>
      <c r="K445" s="96" t="str">
        <f>IF(F445="Skeet",IFERROR(INDEX('Shooter-Squad Assignment'!$A:$A,MATCH(C445&amp;"-"&amp;E445&amp;"-"&amp;F445&amp;"-Pos3",'Shooter-Squad Assignment'!$K:$K,0)),""),IF(F445="Trap",IFERROR(INDEX('Shooter-Squad Assignment'!$A:$A,MATCH(C445&amp;"-"&amp;E445&amp;"-"&amp;F445&amp;"-Pos3",'Shooter-Squad Assignment'!$W:$W,0)),""),IF(F445="Sporting Clays",IFERROR(INDEX('Shooter-Squad Assignment'!$A:$A,MATCH(C445&amp;"-"&amp;E445&amp;"-"&amp;F445&amp;"-Pos3",'Shooter-Squad Assignment'!$Z:$Z,0)),""),"")))</f>
        <v/>
      </c>
      <c r="L445" s="88" t="str">
        <f>IF(ISBLANK(K445),"",IFERROR(INDEX('Tournament List'!$D:$D,MATCH(K445,'Tournament List'!$A:$A,0)),""))</f>
        <v/>
      </c>
      <c r="M445" s="96" t="str">
        <f>IF(F445="Skeet",IFERROR(INDEX('Shooter-Squad Assignment'!$A:$A,MATCH(C445&amp;"-"&amp;E445&amp;"-"&amp;F445&amp;"-Pos4",'Shooter-Squad Assignment'!$K:$K,0)),""),IF(F445="Trap",IFERROR(INDEX('Shooter-Squad Assignment'!$A:$A,MATCH(C445&amp;"-"&amp;E445&amp;"-"&amp;F445&amp;"-Pos4",'Shooter-Squad Assignment'!$W:$W,0)),""),IF(F445="Sporting Clays",IFERROR(INDEX('Shooter-Squad Assignment'!$A:$A,MATCH(C445&amp;"-"&amp;E445&amp;"-"&amp;F445&amp;"-Pos4",'Shooter-Squad Assignment'!$Z:$Z,0)),""),"")))</f>
        <v/>
      </c>
      <c r="N445" s="88" t="str">
        <f>IF(ISBLANK(M445),"",IFERROR(INDEX('Tournament List'!$D:$D,MATCH(M445,'Tournament List'!$A:$A,0)),""))</f>
        <v/>
      </c>
      <c r="O445" s="96" t="str">
        <f>IF(F445="Skeet",IFERROR(INDEX('Shooter-Squad Assignment'!$A:$A,MATCH(C445&amp;"-"&amp;E445&amp;"-"&amp;F445&amp;"-Pos5",'Shooter-Squad Assignment'!$K:$K,0)),""),IF(F445="Trap",IFERROR(INDEX('Shooter-Squad Assignment'!$A:$A,MATCH(C445&amp;"-"&amp;E445&amp;"-"&amp;F445&amp;"-Pos5",'Shooter-Squad Assignment'!$W:$W,0)),""),IF(F445="Sporting Clays",IFERROR(INDEX('Shooter-Squad Assignment'!$A:$A,MATCH(C445&amp;"-"&amp;E445&amp;"-"&amp;F445&amp;"-Pos5",'Shooter-Squad Assignment'!$Z:$Z,0)),""),"")))</f>
        <v/>
      </c>
      <c r="P445" s="89" t="str">
        <f>IF(ISBLANK(O445),"",IFERROR(INDEX('Tournament List'!$D:$D,MATCH(O445,'Tournament List'!$A:$A,0)),""))</f>
        <v/>
      </c>
    </row>
    <row r="446" spans="1:16" x14ac:dyDescent="0.3">
      <c r="A446" s="87">
        <v>445</v>
      </c>
      <c r="B446" s="88" t="str">
        <f>C446&amp;"-"&amp;E446&amp;"-"&amp;F446</f>
        <v>-Junior Varsity 2-Trap</v>
      </c>
      <c r="C446" s="88"/>
      <c r="D446" s="88" t="str">
        <f>INDEX('Tournament Setup'!$B$59:$B$78,MATCH(E446,SquadConcurrents,0))</f>
        <v>Junior Varsity</v>
      </c>
      <c r="E446" s="88" t="s">
        <v>345</v>
      </c>
      <c r="F446" s="88" t="s">
        <v>147</v>
      </c>
      <c r="G446" s="96" t="str">
        <f>IF(F446="Skeet",IFERROR(INDEX('Shooter-Squad Assignment'!$A:$A,MATCH(C446&amp;"-"&amp;E446&amp;"-"&amp;F446&amp;"-Pos1",'Shooter-Squad Assignment'!$K:$K,0)),""),IF(F446="Trap",IFERROR(INDEX('Shooter-Squad Assignment'!$A:$A,MATCH(C446&amp;"-"&amp;E446&amp;"-"&amp;F446&amp;"-Pos1",'Shooter-Squad Assignment'!$W:$W,0)),""),IF(F446="Sporting Clays",IFERROR(INDEX('Shooter-Squad Assignment'!$A:$A,MATCH(C446&amp;"-"&amp;E446&amp;"-"&amp;F446&amp;"-Pos1",'Shooter-Squad Assignment'!$Z:$Z,0)),""),"")))</f>
        <v/>
      </c>
      <c r="H446" s="88" t="str">
        <f>IF(ISBLANK(G446),"",IFERROR(INDEX('Tournament List'!$D:$D,MATCH(G446,'Tournament List'!$A:$A,0)),""))</f>
        <v/>
      </c>
      <c r="I446" s="96" t="str">
        <f>IF(F446="Skeet",IFERROR(INDEX('Shooter-Squad Assignment'!$A:$A,MATCH(C446&amp;"-"&amp;E446&amp;"-"&amp;F446&amp;"-Pos2",'Shooter-Squad Assignment'!$K:$K,0)),""),IF(F446="Trap",IFERROR(INDEX('Shooter-Squad Assignment'!$A:$A,MATCH(C446&amp;"-"&amp;E446&amp;"-"&amp;F446&amp;"-Pos2",'Shooter-Squad Assignment'!$W:$W,0)),""),IF(F446="Sporting Clays",IFERROR(INDEX('Shooter-Squad Assignment'!$A:$A,MATCH(C446&amp;"-"&amp;E446&amp;"-"&amp;F446&amp;"-Pos2",'Shooter-Squad Assignment'!$Z:$Z,0)),""),"")))</f>
        <v/>
      </c>
      <c r="J446" s="88" t="str">
        <f>IF(ISBLANK(I446),"",IFERROR(INDEX('Tournament List'!$D:$D,MATCH(I446,'Tournament List'!$A:$A,0)),""))</f>
        <v/>
      </c>
      <c r="K446" s="96" t="str">
        <f>IF(F446="Skeet",IFERROR(INDEX('Shooter-Squad Assignment'!$A:$A,MATCH(C446&amp;"-"&amp;E446&amp;"-"&amp;F446&amp;"-Pos3",'Shooter-Squad Assignment'!$K:$K,0)),""),IF(F446="Trap",IFERROR(INDEX('Shooter-Squad Assignment'!$A:$A,MATCH(C446&amp;"-"&amp;E446&amp;"-"&amp;F446&amp;"-Pos3",'Shooter-Squad Assignment'!$W:$W,0)),""),IF(F446="Sporting Clays",IFERROR(INDEX('Shooter-Squad Assignment'!$A:$A,MATCH(C446&amp;"-"&amp;E446&amp;"-"&amp;F446&amp;"-Pos3",'Shooter-Squad Assignment'!$Z:$Z,0)),""),"")))</f>
        <v/>
      </c>
      <c r="L446" s="88" t="str">
        <f>IF(ISBLANK(K446),"",IFERROR(INDEX('Tournament List'!$D:$D,MATCH(K446,'Tournament List'!$A:$A,0)),""))</f>
        <v/>
      </c>
      <c r="M446" s="96" t="str">
        <f>IF(F446="Skeet",IFERROR(INDEX('Shooter-Squad Assignment'!$A:$A,MATCH(C446&amp;"-"&amp;E446&amp;"-"&amp;F446&amp;"-Pos4",'Shooter-Squad Assignment'!$K:$K,0)),""),IF(F446="Trap",IFERROR(INDEX('Shooter-Squad Assignment'!$A:$A,MATCH(C446&amp;"-"&amp;E446&amp;"-"&amp;F446&amp;"-Pos4",'Shooter-Squad Assignment'!$W:$W,0)),""),IF(F446="Sporting Clays",IFERROR(INDEX('Shooter-Squad Assignment'!$A:$A,MATCH(C446&amp;"-"&amp;E446&amp;"-"&amp;F446&amp;"-Pos4",'Shooter-Squad Assignment'!$Z:$Z,0)),""),"")))</f>
        <v/>
      </c>
      <c r="N446" s="88" t="str">
        <f>IF(ISBLANK(M446),"",IFERROR(INDEX('Tournament List'!$D:$D,MATCH(M446,'Tournament List'!$A:$A,0)),""))</f>
        <v/>
      </c>
      <c r="O446" s="96" t="str">
        <f>IF(F446="Skeet",IFERROR(INDEX('Shooter-Squad Assignment'!$A:$A,MATCH(C446&amp;"-"&amp;E446&amp;"-"&amp;F446&amp;"-Pos5",'Shooter-Squad Assignment'!$K:$K,0)),""),IF(F446="Trap",IFERROR(INDEX('Shooter-Squad Assignment'!$A:$A,MATCH(C446&amp;"-"&amp;E446&amp;"-"&amp;F446&amp;"-Pos5",'Shooter-Squad Assignment'!$W:$W,0)),""),IF(F446="Sporting Clays",IFERROR(INDEX('Shooter-Squad Assignment'!$A:$A,MATCH(C446&amp;"-"&amp;E446&amp;"-"&amp;F446&amp;"-Pos5",'Shooter-Squad Assignment'!$Z:$Z,0)),""),"")))</f>
        <v/>
      </c>
      <c r="P446" s="89" t="str">
        <f>IF(ISBLANK(O446),"",IFERROR(INDEX('Tournament List'!$D:$D,MATCH(O446,'Tournament List'!$A:$A,0)),""))</f>
        <v/>
      </c>
    </row>
    <row r="447" spans="1:16" x14ac:dyDescent="0.3">
      <c r="A447" s="87">
        <v>446</v>
      </c>
      <c r="B447" s="88" t="str">
        <f>C447&amp;"-"&amp;E447&amp;"-"&amp;F447</f>
        <v>-Junior Varsity 3-Trap</v>
      </c>
      <c r="C447" s="88"/>
      <c r="D447" s="88" t="str">
        <f>INDEX('Tournament Setup'!$B$59:$B$78,MATCH(E447,SquadConcurrents,0))</f>
        <v>Junior Varsity</v>
      </c>
      <c r="E447" s="88" t="s">
        <v>351</v>
      </c>
      <c r="F447" s="88" t="s">
        <v>147</v>
      </c>
      <c r="G447" s="96" t="str">
        <f>IF(F447="Skeet",IFERROR(INDEX('Shooter-Squad Assignment'!$A:$A,MATCH(C447&amp;"-"&amp;E447&amp;"-"&amp;F447&amp;"-Pos1",'Shooter-Squad Assignment'!$K:$K,0)),""),IF(F447="Trap",IFERROR(INDEX('Shooter-Squad Assignment'!$A:$A,MATCH(C447&amp;"-"&amp;E447&amp;"-"&amp;F447&amp;"-Pos1",'Shooter-Squad Assignment'!$W:$W,0)),""),IF(F447="Sporting Clays",IFERROR(INDEX('Shooter-Squad Assignment'!$A:$A,MATCH(C447&amp;"-"&amp;E447&amp;"-"&amp;F447&amp;"-Pos1",'Shooter-Squad Assignment'!$Z:$Z,0)),""),"")))</f>
        <v/>
      </c>
      <c r="H447" s="88" t="str">
        <f>IF(ISBLANK(G447),"",IFERROR(INDEX('Tournament List'!$D:$D,MATCH(G447,'Tournament List'!$A:$A,0)),""))</f>
        <v/>
      </c>
      <c r="I447" s="96" t="str">
        <f>IF(F447="Skeet",IFERROR(INDEX('Shooter-Squad Assignment'!$A:$A,MATCH(C447&amp;"-"&amp;E447&amp;"-"&amp;F447&amp;"-Pos2",'Shooter-Squad Assignment'!$K:$K,0)),""),IF(F447="Trap",IFERROR(INDEX('Shooter-Squad Assignment'!$A:$A,MATCH(C447&amp;"-"&amp;E447&amp;"-"&amp;F447&amp;"-Pos2",'Shooter-Squad Assignment'!$W:$W,0)),""),IF(F447="Sporting Clays",IFERROR(INDEX('Shooter-Squad Assignment'!$A:$A,MATCH(C447&amp;"-"&amp;E447&amp;"-"&amp;F447&amp;"-Pos2",'Shooter-Squad Assignment'!$Z:$Z,0)),""),"")))</f>
        <v/>
      </c>
      <c r="J447" s="88" t="str">
        <f>IF(ISBLANK(I447),"",IFERROR(INDEX('Tournament List'!$D:$D,MATCH(I447,'Tournament List'!$A:$A,0)),""))</f>
        <v/>
      </c>
      <c r="K447" s="96" t="str">
        <f>IF(F447="Skeet",IFERROR(INDEX('Shooter-Squad Assignment'!$A:$A,MATCH(C447&amp;"-"&amp;E447&amp;"-"&amp;F447&amp;"-Pos3",'Shooter-Squad Assignment'!$K:$K,0)),""),IF(F447="Trap",IFERROR(INDEX('Shooter-Squad Assignment'!$A:$A,MATCH(C447&amp;"-"&amp;E447&amp;"-"&amp;F447&amp;"-Pos3",'Shooter-Squad Assignment'!$W:$W,0)),""),IF(F447="Sporting Clays",IFERROR(INDEX('Shooter-Squad Assignment'!$A:$A,MATCH(C447&amp;"-"&amp;E447&amp;"-"&amp;F447&amp;"-Pos3",'Shooter-Squad Assignment'!$Z:$Z,0)),""),"")))</f>
        <v/>
      </c>
      <c r="L447" s="88" t="str">
        <f>IF(ISBLANK(K447),"",IFERROR(INDEX('Tournament List'!$D:$D,MATCH(K447,'Tournament List'!$A:$A,0)),""))</f>
        <v/>
      </c>
      <c r="M447" s="96" t="str">
        <f>IF(F447="Skeet",IFERROR(INDEX('Shooter-Squad Assignment'!$A:$A,MATCH(C447&amp;"-"&amp;E447&amp;"-"&amp;F447&amp;"-Pos4",'Shooter-Squad Assignment'!$K:$K,0)),""),IF(F447="Trap",IFERROR(INDEX('Shooter-Squad Assignment'!$A:$A,MATCH(C447&amp;"-"&amp;E447&amp;"-"&amp;F447&amp;"-Pos4",'Shooter-Squad Assignment'!$W:$W,0)),""),IF(F447="Sporting Clays",IFERROR(INDEX('Shooter-Squad Assignment'!$A:$A,MATCH(C447&amp;"-"&amp;E447&amp;"-"&amp;F447&amp;"-Pos4",'Shooter-Squad Assignment'!$Z:$Z,0)),""),"")))</f>
        <v/>
      </c>
      <c r="N447" s="88" t="str">
        <f>IF(ISBLANK(M447),"",IFERROR(INDEX('Tournament List'!$D:$D,MATCH(M447,'Tournament List'!$A:$A,0)),""))</f>
        <v/>
      </c>
      <c r="O447" s="96" t="str">
        <f>IF(F447="Skeet",IFERROR(INDEX('Shooter-Squad Assignment'!$A:$A,MATCH(C447&amp;"-"&amp;E447&amp;"-"&amp;F447&amp;"-Pos5",'Shooter-Squad Assignment'!$K:$K,0)),""),IF(F447="Trap",IFERROR(INDEX('Shooter-Squad Assignment'!$A:$A,MATCH(C447&amp;"-"&amp;E447&amp;"-"&amp;F447&amp;"-Pos5",'Shooter-Squad Assignment'!$W:$W,0)),""),IF(F447="Sporting Clays",IFERROR(INDEX('Shooter-Squad Assignment'!$A:$A,MATCH(C447&amp;"-"&amp;E447&amp;"-"&amp;F447&amp;"-Pos5",'Shooter-Squad Assignment'!$Z:$Z,0)),""),"")))</f>
        <v/>
      </c>
      <c r="P447" s="89" t="str">
        <f>IF(ISBLANK(O447),"",IFERROR(INDEX('Tournament List'!$D:$D,MATCH(O447,'Tournament List'!$A:$A,0)),""))</f>
        <v/>
      </c>
    </row>
    <row r="448" spans="1:16" x14ac:dyDescent="0.3">
      <c r="A448" s="87">
        <v>447</v>
      </c>
      <c r="B448" s="88" t="str">
        <f>C448&amp;"-"&amp;E448&amp;"-"&amp;F448</f>
        <v>-Novice 1-Trap</v>
      </c>
      <c r="C448" s="88"/>
      <c r="D448" s="88" t="str">
        <f>INDEX('Tournament Setup'!$B$59:$B$78,MATCH(E448,SquadConcurrents,0))</f>
        <v>Novice</v>
      </c>
      <c r="E448" s="88" t="s">
        <v>337</v>
      </c>
      <c r="F448" s="88" t="s">
        <v>147</v>
      </c>
      <c r="G448" s="96" t="str">
        <f>IF(F448="Skeet",IFERROR(INDEX('Shooter-Squad Assignment'!$A:$A,MATCH(C448&amp;"-"&amp;E448&amp;"-"&amp;F448&amp;"-Pos1",'Shooter-Squad Assignment'!$K:$K,0)),""),IF(F448="Trap",IFERROR(INDEX('Shooter-Squad Assignment'!$A:$A,MATCH(C448&amp;"-"&amp;E448&amp;"-"&amp;F448&amp;"-Pos1",'Shooter-Squad Assignment'!$W:$W,0)),""),IF(F448="Sporting Clays",IFERROR(INDEX('Shooter-Squad Assignment'!$A:$A,MATCH(C448&amp;"-"&amp;E448&amp;"-"&amp;F448&amp;"-Pos1",'Shooter-Squad Assignment'!$Z:$Z,0)),""),"")))</f>
        <v/>
      </c>
      <c r="H448" s="88" t="str">
        <f>IF(ISBLANK(G448),"",IFERROR(INDEX('Tournament List'!$D:$D,MATCH(G448,'Tournament List'!$A:$A,0)),""))</f>
        <v/>
      </c>
      <c r="I448" s="96" t="str">
        <f>IF(F448="Skeet",IFERROR(INDEX('Shooter-Squad Assignment'!$A:$A,MATCH(C448&amp;"-"&amp;E448&amp;"-"&amp;F448&amp;"-Pos2",'Shooter-Squad Assignment'!$K:$K,0)),""),IF(F448="Trap",IFERROR(INDEX('Shooter-Squad Assignment'!$A:$A,MATCH(C448&amp;"-"&amp;E448&amp;"-"&amp;F448&amp;"-Pos2",'Shooter-Squad Assignment'!$W:$W,0)),""),IF(F448="Sporting Clays",IFERROR(INDEX('Shooter-Squad Assignment'!$A:$A,MATCH(C448&amp;"-"&amp;E448&amp;"-"&amp;F448&amp;"-Pos2",'Shooter-Squad Assignment'!$Z:$Z,0)),""),"")))</f>
        <v/>
      </c>
      <c r="J448" s="88" t="str">
        <f>IF(ISBLANK(I448),"",IFERROR(INDEX('Tournament List'!$D:$D,MATCH(I448,'Tournament List'!$A:$A,0)),""))</f>
        <v/>
      </c>
      <c r="K448" s="96" t="str">
        <f>IF(F448="Skeet",IFERROR(INDEX('Shooter-Squad Assignment'!$A:$A,MATCH(C448&amp;"-"&amp;E448&amp;"-"&amp;F448&amp;"-Pos3",'Shooter-Squad Assignment'!$K:$K,0)),""),IF(F448="Trap",IFERROR(INDEX('Shooter-Squad Assignment'!$A:$A,MATCH(C448&amp;"-"&amp;E448&amp;"-"&amp;F448&amp;"-Pos3",'Shooter-Squad Assignment'!$W:$W,0)),""),IF(F448="Sporting Clays",IFERROR(INDEX('Shooter-Squad Assignment'!$A:$A,MATCH(C448&amp;"-"&amp;E448&amp;"-"&amp;F448&amp;"-Pos3",'Shooter-Squad Assignment'!$Z:$Z,0)),""),"")))</f>
        <v/>
      </c>
      <c r="L448" s="88" t="str">
        <f>IF(ISBLANK(K448),"",IFERROR(INDEX('Tournament List'!$D:$D,MATCH(K448,'Tournament List'!$A:$A,0)),""))</f>
        <v/>
      </c>
      <c r="M448" s="96" t="str">
        <f>IF(F448="Skeet",IFERROR(INDEX('Shooter-Squad Assignment'!$A:$A,MATCH(C448&amp;"-"&amp;E448&amp;"-"&amp;F448&amp;"-Pos4",'Shooter-Squad Assignment'!$K:$K,0)),""),IF(F448="Trap",IFERROR(INDEX('Shooter-Squad Assignment'!$A:$A,MATCH(C448&amp;"-"&amp;E448&amp;"-"&amp;F448&amp;"-Pos4",'Shooter-Squad Assignment'!$W:$W,0)),""),IF(F448="Sporting Clays",IFERROR(INDEX('Shooter-Squad Assignment'!$A:$A,MATCH(C448&amp;"-"&amp;E448&amp;"-"&amp;F448&amp;"-Pos4",'Shooter-Squad Assignment'!$Z:$Z,0)),""),"")))</f>
        <v/>
      </c>
      <c r="N448" s="88" t="str">
        <f>IF(ISBLANK(M448),"",IFERROR(INDEX('Tournament List'!$D:$D,MATCH(M448,'Tournament List'!$A:$A,0)),""))</f>
        <v/>
      </c>
      <c r="O448" s="96" t="str">
        <f>IF(F448="Skeet",IFERROR(INDEX('Shooter-Squad Assignment'!$A:$A,MATCH(C448&amp;"-"&amp;E448&amp;"-"&amp;F448&amp;"-Pos5",'Shooter-Squad Assignment'!$K:$K,0)),""),IF(F448="Trap",IFERROR(INDEX('Shooter-Squad Assignment'!$A:$A,MATCH(C448&amp;"-"&amp;E448&amp;"-"&amp;F448&amp;"-Pos5",'Shooter-Squad Assignment'!$W:$W,0)),""),IF(F448="Sporting Clays",IFERROR(INDEX('Shooter-Squad Assignment'!$A:$A,MATCH(C448&amp;"-"&amp;E448&amp;"-"&amp;F448&amp;"-Pos5",'Shooter-Squad Assignment'!$Z:$Z,0)),""),"")))</f>
        <v/>
      </c>
      <c r="P448" s="89" t="str">
        <f>IF(ISBLANK(O448),"",IFERROR(INDEX('Tournament List'!$D:$D,MATCH(O448,'Tournament List'!$A:$A,0)),""))</f>
        <v/>
      </c>
    </row>
    <row r="449" spans="1:16" x14ac:dyDescent="0.3">
      <c r="A449" s="87">
        <v>448</v>
      </c>
      <c r="B449" s="88" t="str">
        <f>C449&amp;"-"&amp;E449&amp;"-"&amp;F449</f>
        <v>-Novice 2-Trap</v>
      </c>
      <c r="C449" s="88"/>
      <c r="D449" s="88" t="str">
        <f>INDEX('Tournament Setup'!$B$59:$B$78,MATCH(E449,SquadConcurrents,0))</f>
        <v>Novice</v>
      </c>
      <c r="E449" s="88" t="s">
        <v>343</v>
      </c>
      <c r="F449" s="88" t="s">
        <v>147</v>
      </c>
      <c r="G449" s="96" t="str">
        <f>IF(F449="Skeet",IFERROR(INDEX('Shooter-Squad Assignment'!$A:$A,MATCH(C449&amp;"-"&amp;E449&amp;"-"&amp;F449&amp;"-Pos1",'Shooter-Squad Assignment'!$K:$K,0)),""),IF(F449="Trap",IFERROR(INDEX('Shooter-Squad Assignment'!$A:$A,MATCH(C449&amp;"-"&amp;E449&amp;"-"&amp;F449&amp;"-Pos1",'Shooter-Squad Assignment'!$W:$W,0)),""),IF(F449="Sporting Clays",IFERROR(INDEX('Shooter-Squad Assignment'!$A:$A,MATCH(C449&amp;"-"&amp;E449&amp;"-"&amp;F449&amp;"-Pos1",'Shooter-Squad Assignment'!$Z:$Z,0)),""),"")))</f>
        <v/>
      </c>
      <c r="H449" s="88" t="str">
        <f>IF(ISBLANK(G449),"",IFERROR(INDEX('Tournament List'!$D:$D,MATCH(G449,'Tournament List'!$A:$A,0)),""))</f>
        <v/>
      </c>
      <c r="I449" s="96" t="str">
        <f>IF(F449="Skeet",IFERROR(INDEX('Shooter-Squad Assignment'!$A:$A,MATCH(C449&amp;"-"&amp;E449&amp;"-"&amp;F449&amp;"-Pos2",'Shooter-Squad Assignment'!$K:$K,0)),""),IF(F449="Trap",IFERROR(INDEX('Shooter-Squad Assignment'!$A:$A,MATCH(C449&amp;"-"&amp;E449&amp;"-"&amp;F449&amp;"-Pos2",'Shooter-Squad Assignment'!$W:$W,0)),""),IF(F449="Sporting Clays",IFERROR(INDEX('Shooter-Squad Assignment'!$A:$A,MATCH(C449&amp;"-"&amp;E449&amp;"-"&amp;F449&amp;"-Pos2",'Shooter-Squad Assignment'!$Z:$Z,0)),""),"")))</f>
        <v/>
      </c>
      <c r="J449" s="88" t="str">
        <f>IF(ISBLANK(I449),"",IFERROR(INDEX('Tournament List'!$D:$D,MATCH(I449,'Tournament List'!$A:$A,0)),""))</f>
        <v/>
      </c>
      <c r="K449" s="96" t="str">
        <f>IF(F449="Skeet",IFERROR(INDEX('Shooter-Squad Assignment'!$A:$A,MATCH(C449&amp;"-"&amp;E449&amp;"-"&amp;F449&amp;"-Pos3",'Shooter-Squad Assignment'!$K:$K,0)),""),IF(F449="Trap",IFERROR(INDEX('Shooter-Squad Assignment'!$A:$A,MATCH(C449&amp;"-"&amp;E449&amp;"-"&amp;F449&amp;"-Pos3",'Shooter-Squad Assignment'!$W:$W,0)),""),IF(F449="Sporting Clays",IFERROR(INDEX('Shooter-Squad Assignment'!$A:$A,MATCH(C449&amp;"-"&amp;E449&amp;"-"&amp;F449&amp;"-Pos3",'Shooter-Squad Assignment'!$Z:$Z,0)),""),"")))</f>
        <v/>
      </c>
      <c r="L449" s="88" t="str">
        <f>IF(ISBLANK(K449),"",IFERROR(INDEX('Tournament List'!$D:$D,MATCH(K449,'Tournament List'!$A:$A,0)),""))</f>
        <v/>
      </c>
      <c r="M449" s="96" t="str">
        <f>IF(F449="Skeet",IFERROR(INDEX('Shooter-Squad Assignment'!$A:$A,MATCH(C449&amp;"-"&amp;E449&amp;"-"&amp;F449&amp;"-Pos4",'Shooter-Squad Assignment'!$K:$K,0)),""),IF(F449="Trap",IFERROR(INDEX('Shooter-Squad Assignment'!$A:$A,MATCH(C449&amp;"-"&amp;E449&amp;"-"&amp;F449&amp;"-Pos4",'Shooter-Squad Assignment'!$W:$W,0)),""),IF(F449="Sporting Clays",IFERROR(INDEX('Shooter-Squad Assignment'!$A:$A,MATCH(C449&amp;"-"&amp;E449&amp;"-"&amp;F449&amp;"-Pos4",'Shooter-Squad Assignment'!$Z:$Z,0)),""),"")))</f>
        <v/>
      </c>
      <c r="N449" s="88" t="str">
        <f>IF(ISBLANK(M449),"",IFERROR(INDEX('Tournament List'!$D:$D,MATCH(M449,'Tournament List'!$A:$A,0)),""))</f>
        <v/>
      </c>
      <c r="O449" s="96" t="str">
        <f>IF(F449="Skeet",IFERROR(INDEX('Shooter-Squad Assignment'!$A:$A,MATCH(C449&amp;"-"&amp;E449&amp;"-"&amp;F449&amp;"-Pos5",'Shooter-Squad Assignment'!$K:$K,0)),""),IF(F449="Trap",IFERROR(INDEX('Shooter-Squad Assignment'!$A:$A,MATCH(C449&amp;"-"&amp;E449&amp;"-"&amp;F449&amp;"-Pos5",'Shooter-Squad Assignment'!$W:$W,0)),""),IF(F449="Sporting Clays",IFERROR(INDEX('Shooter-Squad Assignment'!$A:$A,MATCH(C449&amp;"-"&amp;E449&amp;"-"&amp;F449&amp;"-Pos5",'Shooter-Squad Assignment'!$Z:$Z,0)),""),"")))</f>
        <v/>
      </c>
      <c r="P449" s="89" t="str">
        <f>IF(ISBLANK(O449),"",IFERROR(INDEX('Tournament List'!$D:$D,MATCH(O449,'Tournament List'!$A:$A,0)),""))</f>
        <v/>
      </c>
    </row>
    <row r="450" spans="1:16" x14ac:dyDescent="0.3">
      <c r="A450" s="87">
        <v>449</v>
      </c>
      <c r="B450" s="88" t="str">
        <f>C450&amp;"-"&amp;E450&amp;"-"&amp;F450</f>
        <v>-Novice 3-Trap</v>
      </c>
      <c r="C450" s="88"/>
      <c r="D450" s="88" t="str">
        <f>INDEX('Tournament Setup'!$B$59:$B$78,MATCH(E450,SquadConcurrents,0))</f>
        <v>Novice</v>
      </c>
      <c r="E450" s="88" t="s">
        <v>349</v>
      </c>
      <c r="F450" s="88" t="s">
        <v>147</v>
      </c>
      <c r="G450" s="96" t="str">
        <f>IF(F450="Skeet",IFERROR(INDEX('Shooter-Squad Assignment'!$A:$A,MATCH(C450&amp;"-"&amp;E450&amp;"-"&amp;F450&amp;"-Pos1",'Shooter-Squad Assignment'!$K:$K,0)),""),IF(F450="Trap",IFERROR(INDEX('Shooter-Squad Assignment'!$A:$A,MATCH(C450&amp;"-"&amp;E450&amp;"-"&amp;F450&amp;"-Pos1",'Shooter-Squad Assignment'!$W:$W,0)),""),IF(F450="Sporting Clays",IFERROR(INDEX('Shooter-Squad Assignment'!$A:$A,MATCH(C450&amp;"-"&amp;E450&amp;"-"&amp;F450&amp;"-Pos1",'Shooter-Squad Assignment'!$Z:$Z,0)),""),"")))</f>
        <v/>
      </c>
      <c r="H450" s="88" t="str">
        <f>IF(ISBLANK(G450),"",IFERROR(INDEX('Tournament List'!$D:$D,MATCH(G450,'Tournament List'!$A:$A,0)),""))</f>
        <v/>
      </c>
      <c r="I450" s="96" t="str">
        <f>IF(F450="Skeet",IFERROR(INDEX('Shooter-Squad Assignment'!$A:$A,MATCH(C450&amp;"-"&amp;E450&amp;"-"&amp;F450&amp;"-Pos2",'Shooter-Squad Assignment'!$K:$K,0)),""),IF(F450="Trap",IFERROR(INDEX('Shooter-Squad Assignment'!$A:$A,MATCH(C450&amp;"-"&amp;E450&amp;"-"&amp;F450&amp;"-Pos2",'Shooter-Squad Assignment'!$W:$W,0)),""),IF(F450="Sporting Clays",IFERROR(INDEX('Shooter-Squad Assignment'!$A:$A,MATCH(C450&amp;"-"&amp;E450&amp;"-"&amp;F450&amp;"-Pos2",'Shooter-Squad Assignment'!$Z:$Z,0)),""),"")))</f>
        <v/>
      </c>
      <c r="J450" s="88" t="str">
        <f>IF(ISBLANK(I450),"",IFERROR(INDEX('Tournament List'!$D:$D,MATCH(I450,'Tournament List'!$A:$A,0)),""))</f>
        <v/>
      </c>
      <c r="K450" s="96" t="str">
        <f>IF(F450="Skeet",IFERROR(INDEX('Shooter-Squad Assignment'!$A:$A,MATCH(C450&amp;"-"&amp;E450&amp;"-"&amp;F450&amp;"-Pos3",'Shooter-Squad Assignment'!$K:$K,0)),""),IF(F450="Trap",IFERROR(INDEX('Shooter-Squad Assignment'!$A:$A,MATCH(C450&amp;"-"&amp;E450&amp;"-"&amp;F450&amp;"-Pos3",'Shooter-Squad Assignment'!$W:$W,0)),""),IF(F450="Sporting Clays",IFERROR(INDEX('Shooter-Squad Assignment'!$A:$A,MATCH(C450&amp;"-"&amp;E450&amp;"-"&amp;F450&amp;"-Pos3",'Shooter-Squad Assignment'!$Z:$Z,0)),""),"")))</f>
        <v/>
      </c>
      <c r="L450" s="88" t="str">
        <f>IF(ISBLANK(K450),"",IFERROR(INDEX('Tournament List'!$D:$D,MATCH(K450,'Tournament List'!$A:$A,0)),""))</f>
        <v/>
      </c>
      <c r="M450" s="96" t="str">
        <f>IF(F450="Skeet",IFERROR(INDEX('Shooter-Squad Assignment'!$A:$A,MATCH(C450&amp;"-"&amp;E450&amp;"-"&amp;F450&amp;"-Pos4",'Shooter-Squad Assignment'!$K:$K,0)),""),IF(F450="Trap",IFERROR(INDEX('Shooter-Squad Assignment'!$A:$A,MATCH(C450&amp;"-"&amp;E450&amp;"-"&amp;F450&amp;"-Pos4",'Shooter-Squad Assignment'!$W:$W,0)),""),IF(F450="Sporting Clays",IFERROR(INDEX('Shooter-Squad Assignment'!$A:$A,MATCH(C450&amp;"-"&amp;E450&amp;"-"&amp;F450&amp;"-Pos4",'Shooter-Squad Assignment'!$Z:$Z,0)),""),"")))</f>
        <v/>
      </c>
      <c r="N450" s="88" t="str">
        <f>IF(ISBLANK(M450),"",IFERROR(INDEX('Tournament List'!$D:$D,MATCH(M450,'Tournament List'!$A:$A,0)),""))</f>
        <v/>
      </c>
      <c r="O450" s="96" t="str">
        <f>IF(F450="Skeet",IFERROR(INDEX('Shooter-Squad Assignment'!$A:$A,MATCH(C450&amp;"-"&amp;E450&amp;"-"&amp;F450&amp;"-Pos5",'Shooter-Squad Assignment'!$K:$K,0)),""),IF(F450="Trap",IFERROR(INDEX('Shooter-Squad Assignment'!$A:$A,MATCH(C450&amp;"-"&amp;E450&amp;"-"&amp;F450&amp;"-Pos5",'Shooter-Squad Assignment'!$W:$W,0)),""),IF(F450="Sporting Clays",IFERROR(INDEX('Shooter-Squad Assignment'!$A:$A,MATCH(C450&amp;"-"&amp;E450&amp;"-"&amp;F450&amp;"-Pos5",'Shooter-Squad Assignment'!$Z:$Z,0)),""),"")))</f>
        <v/>
      </c>
      <c r="P450" s="89" t="str">
        <f>IF(ISBLANK(O450),"",IFERROR(INDEX('Tournament List'!$D:$D,MATCH(O450,'Tournament List'!$A:$A,0)),""))</f>
        <v/>
      </c>
    </row>
    <row r="451" spans="1:16" x14ac:dyDescent="0.3">
      <c r="A451" s="87">
        <v>450</v>
      </c>
      <c r="B451" s="88" t="str">
        <f>C451&amp;"-"&amp;E451&amp;"-"&amp;F451</f>
        <v>-Open 1-Trap</v>
      </c>
      <c r="C451" s="88"/>
      <c r="D451" s="88" t="str">
        <f>INDEX('Tournament Setup'!$B$59:$B$78,MATCH(E451,SquadConcurrents,0))</f>
        <v>Open</v>
      </c>
      <c r="E451" s="88" t="s">
        <v>341</v>
      </c>
      <c r="F451" s="88" t="s">
        <v>147</v>
      </c>
      <c r="G451" s="96" t="str">
        <f>IF(F451="Skeet",IFERROR(INDEX('Shooter-Squad Assignment'!$A:$A,MATCH(C451&amp;"-"&amp;E451&amp;"-"&amp;F451&amp;"-Pos1",'Shooter-Squad Assignment'!$K:$K,0)),""),IF(F451="Trap",IFERROR(INDEX('Shooter-Squad Assignment'!$A:$A,MATCH(C451&amp;"-"&amp;E451&amp;"-"&amp;F451&amp;"-Pos1",'Shooter-Squad Assignment'!$W:$W,0)),""),IF(F451="Sporting Clays",IFERROR(INDEX('Shooter-Squad Assignment'!$A:$A,MATCH(C451&amp;"-"&amp;E451&amp;"-"&amp;F451&amp;"-Pos1",'Shooter-Squad Assignment'!$Z:$Z,0)),""),"")))</f>
        <v/>
      </c>
      <c r="H451" s="88" t="str">
        <f>IF(ISBLANK(G451),"",IFERROR(INDEX('Tournament List'!$D:$D,MATCH(G451,'Tournament List'!$A:$A,0)),""))</f>
        <v/>
      </c>
      <c r="I451" s="96" t="str">
        <f>IF(F451="Skeet",IFERROR(INDEX('Shooter-Squad Assignment'!$A:$A,MATCH(C451&amp;"-"&amp;E451&amp;"-"&amp;F451&amp;"-Pos2",'Shooter-Squad Assignment'!$K:$K,0)),""),IF(F451="Trap",IFERROR(INDEX('Shooter-Squad Assignment'!$A:$A,MATCH(C451&amp;"-"&amp;E451&amp;"-"&amp;F451&amp;"-Pos2",'Shooter-Squad Assignment'!$W:$W,0)),""),IF(F451="Sporting Clays",IFERROR(INDEX('Shooter-Squad Assignment'!$A:$A,MATCH(C451&amp;"-"&amp;E451&amp;"-"&amp;F451&amp;"-Pos2",'Shooter-Squad Assignment'!$Z:$Z,0)),""),"")))</f>
        <v/>
      </c>
      <c r="J451" s="88" t="str">
        <f>IF(ISBLANK(I451),"",IFERROR(INDEX('Tournament List'!$D:$D,MATCH(I451,'Tournament List'!$A:$A,0)),""))</f>
        <v/>
      </c>
      <c r="K451" s="96" t="str">
        <f>IF(F451="Skeet",IFERROR(INDEX('Shooter-Squad Assignment'!$A:$A,MATCH(C451&amp;"-"&amp;E451&amp;"-"&amp;F451&amp;"-Pos3",'Shooter-Squad Assignment'!$K:$K,0)),""),IF(F451="Trap",IFERROR(INDEX('Shooter-Squad Assignment'!$A:$A,MATCH(C451&amp;"-"&amp;E451&amp;"-"&amp;F451&amp;"-Pos3",'Shooter-Squad Assignment'!$W:$W,0)),""),IF(F451="Sporting Clays",IFERROR(INDEX('Shooter-Squad Assignment'!$A:$A,MATCH(C451&amp;"-"&amp;E451&amp;"-"&amp;F451&amp;"-Pos3",'Shooter-Squad Assignment'!$Z:$Z,0)),""),"")))</f>
        <v/>
      </c>
      <c r="L451" s="88" t="str">
        <f>IF(ISBLANK(K451),"",IFERROR(INDEX('Tournament List'!$D:$D,MATCH(K451,'Tournament List'!$A:$A,0)),""))</f>
        <v/>
      </c>
      <c r="M451" s="96" t="str">
        <f>IF(F451="Skeet",IFERROR(INDEX('Shooter-Squad Assignment'!$A:$A,MATCH(C451&amp;"-"&amp;E451&amp;"-"&amp;F451&amp;"-Pos4",'Shooter-Squad Assignment'!$K:$K,0)),""),IF(F451="Trap",IFERROR(INDEX('Shooter-Squad Assignment'!$A:$A,MATCH(C451&amp;"-"&amp;E451&amp;"-"&amp;F451&amp;"-Pos4",'Shooter-Squad Assignment'!$W:$W,0)),""),IF(F451="Sporting Clays",IFERROR(INDEX('Shooter-Squad Assignment'!$A:$A,MATCH(C451&amp;"-"&amp;E451&amp;"-"&amp;F451&amp;"-Pos4",'Shooter-Squad Assignment'!$Z:$Z,0)),""),"")))</f>
        <v/>
      </c>
      <c r="N451" s="88" t="str">
        <f>IF(ISBLANK(M451),"",IFERROR(INDEX('Tournament List'!$D:$D,MATCH(M451,'Tournament List'!$A:$A,0)),""))</f>
        <v/>
      </c>
      <c r="O451" s="96" t="str">
        <f>IF(F451="Skeet",IFERROR(INDEX('Shooter-Squad Assignment'!$A:$A,MATCH(C451&amp;"-"&amp;E451&amp;"-"&amp;F451&amp;"-Pos5",'Shooter-Squad Assignment'!$K:$K,0)),""),IF(F451="Trap",IFERROR(INDEX('Shooter-Squad Assignment'!$A:$A,MATCH(C451&amp;"-"&amp;E451&amp;"-"&amp;F451&amp;"-Pos5",'Shooter-Squad Assignment'!$W:$W,0)),""),IF(F451="Sporting Clays",IFERROR(INDEX('Shooter-Squad Assignment'!$A:$A,MATCH(C451&amp;"-"&amp;E451&amp;"-"&amp;F451&amp;"-Pos5",'Shooter-Squad Assignment'!$Z:$Z,0)),""),"")))</f>
        <v/>
      </c>
      <c r="P451" s="89" t="str">
        <f>IF(ISBLANK(O451),"",IFERROR(INDEX('Tournament List'!$D:$D,MATCH(O451,'Tournament List'!$A:$A,0)),""))</f>
        <v/>
      </c>
    </row>
    <row r="452" spans="1:16" x14ac:dyDescent="0.3">
      <c r="A452" s="87">
        <v>451</v>
      </c>
      <c r="B452" s="88" t="str">
        <f>C452&amp;"-"&amp;E452&amp;"-"&amp;F452</f>
        <v>-Open 2-Trap</v>
      </c>
      <c r="C452" s="88"/>
      <c r="D452" s="88" t="str">
        <f>INDEX('Tournament Setup'!$B$59:$B$78,MATCH(E452,SquadConcurrents,0))</f>
        <v>Open</v>
      </c>
      <c r="E452" s="88" t="s">
        <v>347</v>
      </c>
      <c r="F452" s="88" t="s">
        <v>147</v>
      </c>
      <c r="G452" s="96" t="str">
        <f>IF(F452="Skeet",IFERROR(INDEX('Shooter-Squad Assignment'!$A:$A,MATCH(C452&amp;"-"&amp;E452&amp;"-"&amp;F452&amp;"-Pos1",'Shooter-Squad Assignment'!$K:$K,0)),""),IF(F452="Trap",IFERROR(INDEX('Shooter-Squad Assignment'!$A:$A,MATCH(C452&amp;"-"&amp;E452&amp;"-"&amp;F452&amp;"-Pos1",'Shooter-Squad Assignment'!$W:$W,0)),""),IF(F452="Sporting Clays",IFERROR(INDEX('Shooter-Squad Assignment'!$A:$A,MATCH(C452&amp;"-"&amp;E452&amp;"-"&amp;F452&amp;"-Pos1",'Shooter-Squad Assignment'!$Z:$Z,0)),""),"")))</f>
        <v/>
      </c>
      <c r="H452" s="88" t="str">
        <f>IF(ISBLANK(G452),"",IFERROR(INDEX('Tournament List'!$D:$D,MATCH(G452,'Tournament List'!$A:$A,0)),""))</f>
        <v/>
      </c>
      <c r="I452" s="96" t="str">
        <f>IF(F452="Skeet",IFERROR(INDEX('Shooter-Squad Assignment'!$A:$A,MATCH(C452&amp;"-"&amp;E452&amp;"-"&amp;F452&amp;"-Pos2",'Shooter-Squad Assignment'!$K:$K,0)),""),IF(F452="Trap",IFERROR(INDEX('Shooter-Squad Assignment'!$A:$A,MATCH(C452&amp;"-"&amp;E452&amp;"-"&amp;F452&amp;"-Pos2",'Shooter-Squad Assignment'!$W:$W,0)),""),IF(F452="Sporting Clays",IFERROR(INDEX('Shooter-Squad Assignment'!$A:$A,MATCH(C452&amp;"-"&amp;E452&amp;"-"&amp;F452&amp;"-Pos2",'Shooter-Squad Assignment'!$Z:$Z,0)),""),"")))</f>
        <v/>
      </c>
      <c r="J452" s="88" t="str">
        <f>IF(ISBLANK(I452),"",IFERROR(INDEX('Tournament List'!$D:$D,MATCH(I452,'Tournament List'!$A:$A,0)),""))</f>
        <v/>
      </c>
      <c r="K452" s="96" t="str">
        <f>IF(F452="Skeet",IFERROR(INDEX('Shooter-Squad Assignment'!$A:$A,MATCH(C452&amp;"-"&amp;E452&amp;"-"&amp;F452&amp;"-Pos3",'Shooter-Squad Assignment'!$K:$K,0)),""),IF(F452="Trap",IFERROR(INDEX('Shooter-Squad Assignment'!$A:$A,MATCH(C452&amp;"-"&amp;E452&amp;"-"&amp;F452&amp;"-Pos3",'Shooter-Squad Assignment'!$W:$W,0)),""),IF(F452="Sporting Clays",IFERROR(INDEX('Shooter-Squad Assignment'!$A:$A,MATCH(C452&amp;"-"&amp;E452&amp;"-"&amp;F452&amp;"-Pos3",'Shooter-Squad Assignment'!$Z:$Z,0)),""),"")))</f>
        <v/>
      </c>
      <c r="L452" s="88" t="str">
        <f>IF(ISBLANK(K452),"",IFERROR(INDEX('Tournament List'!$D:$D,MATCH(K452,'Tournament List'!$A:$A,0)),""))</f>
        <v/>
      </c>
      <c r="M452" s="96" t="str">
        <f>IF(F452="Skeet",IFERROR(INDEX('Shooter-Squad Assignment'!$A:$A,MATCH(C452&amp;"-"&amp;E452&amp;"-"&amp;F452&amp;"-Pos4",'Shooter-Squad Assignment'!$K:$K,0)),""),IF(F452="Trap",IFERROR(INDEX('Shooter-Squad Assignment'!$A:$A,MATCH(C452&amp;"-"&amp;E452&amp;"-"&amp;F452&amp;"-Pos4",'Shooter-Squad Assignment'!$W:$W,0)),""),IF(F452="Sporting Clays",IFERROR(INDEX('Shooter-Squad Assignment'!$A:$A,MATCH(C452&amp;"-"&amp;E452&amp;"-"&amp;F452&amp;"-Pos4",'Shooter-Squad Assignment'!$Z:$Z,0)),""),"")))</f>
        <v/>
      </c>
      <c r="N452" s="88" t="str">
        <f>IF(ISBLANK(M452),"",IFERROR(INDEX('Tournament List'!$D:$D,MATCH(M452,'Tournament List'!$A:$A,0)),""))</f>
        <v/>
      </c>
      <c r="O452" s="96" t="str">
        <f>IF(F452="Skeet",IFERROR(INDEX('Shooter-Squad Assignment'!$A:$A,MATCH(C452&amp;"-"&amp;E452&amp;"-"&amp;F452&amp;"-Pos5",'Shooter-Squad Assignment'!$K:$K,0)),""),IF(F452="Trap",IFERROR(INDEX('Shooter-Squad Assignment'!$A:$A,MATCH(C452&amp;"-"&amp;E452&amp;"-"&amp;F452&amp;"-Pos5",'Shooter-Squad Assignment'!$W:$W,0)),""),IF(F452="Sporting Clays",IFERROR(INDEX('Shooter-Squad Assignment'!$A:$A,MATCH(C452&amp;"-"&amp;E452&amp;"-"&amp;F452&amp;"-Pos5",'Shooter-Squad Assignment'!$Z:$Z,0)),""),"")))</f>
        <v/>
      </c>
      <c r="P452" s="89" t="str">
        <f>IF(ISBLANK(O452),"",IFERROR(INDEX('Tournament List'!$D:$D,MATCH(O452,'Tournament List'!$A:$A,0)),""))</f>
        <v/>
      </c>
    </row>
    <row r="453" spans="1:16" x14ac:dyDescent="0.3">
      <c r="A453" s="87">
        <v>452</v>
      </c>
      <c r="B453" s="88" t="str">
        <f>C453&amp;"-"&amp;E453&amp;"-"&amp;F453</f>
        <v>-Open 3-Trap</v>
      </c>
      <c r="C453" s="88"/>
      <c r="D453" s="88" t="str">
        <f>INDEX('Tournament Setup'!$B$59:$B$78,MATCH(E453,SquadConcurrents,0))</f>
        <v>Open</v>
      </c>
      <c r="E453" s="88" t="s">
        <v>353</v>
      </c>
      <c r="F453" s="88" t="s">
        <v>147</v>
      </c>
      <c r="G453" s="96" t="str">
        <f>IF(F453="Skeet",IFERROR(INDEX('Shooter-Squad Assignment'!$A:$A,MATCH(C453&amp;"-"&amp;E453&amp;"-"&amp;F453&amp;"-Pos1",'Shooter-Squad Assignment'!$K:$K,0)),""),IF(F453="Trap",IFERROR(INDEX('Shooter-Squad Assignment'!$A:$A,MATCH(C453&amp;"-"&amp;E453&amp;"-"&amp;F453&amp;"-Pos1",'Shooter-Squad Assignment'!$W:$W,0)),""),IF(F453="Sporting Clays",IFERROR(INDEX('Shooter-Squad Assignment'!$A:$A,MATCH(C453&amp;"-"&amp;E453&amp;"-"&amp;F453&amp;"-Pos1",'Shooter-Squad Assignment'!$Z:$Z,0)),""),"")))</f>
        <v/>
      </c>
      <c r="H453" s="88" t="str">
        <f>IF(ISBLANK(G453),"",IFERROR(INDEX('Tournament List'!$D:$D,MATCH(G453,'Tournament List'!$A:$A,0)),""))</f>
        <v/>
      </c>
      <c r="I453" s="96" t="str">
        <f>IF(F453="Skeet",IFERROR(INDEX('Shooter-Squad Assignment'!$A:$A,MATCH(C453&amp;"-"&amp;E453&amp;"-"&amp;F453&amp;"-Pos2",'Shooter-Squad Assignment'!$K:$K,0)),""),IF(F453="Trap",IFERROR(INDEX('Shooter-Squad Assignment'!$A:$A,MATCH(C453&amp;"-"&amp;E453&amp;"-"&amp;F453&amp;"-Pos2",'Shooter-Squad Assignment'!$W:$W,0)),""),IF(F453="Sporting Clays",IFERROR(INDEX('Shooter-Squad Assignment'!$A:$A,MATCH(C453&amp;"-"&amp;E453&amp;"-"&amp;F453&amp;"-Pos2",'Shooter-Squad Assignment'!$Z:$Z,0)),""),"")))</f>
        <v/>
      </c>
      <c r="J453" s="88" t="str">
        <f>IF(ISBLANK(I453),"",IFERROR(INDEX('Tournament List'!$D:$D,MATCH(I453,'Tournament List'!$A:$A,0)),""))</f>
        <v/>
      </c>
      <c r="K453" s="96" t="str">
        <f>IF(F453="Skeet",IFERROR(INDEX('Shooter-Squad Assignment'!$A:$A,MATCH(C453&amp;"-"&amp;E453&amp;"-"&amp;F453&amp;"-Pos3",'Shooter-Squad Assignment'!$K:$K,0)),""),IF(F453="Trap",IFERROR(INDEX('Shooter-Squad Assignment'!$A:$A,MATCH(C453&amp;"-"&amp;E453&amp;"-"&amp;F453&amp;"-Pos3",'Shooter-Squad Assignment'!$W:$W,0)),""),IF(F453="Sporting Clays",IFERROR(INDEX('Shooter-Squad Assignment'!$A:$A,MATCH(C453&amp;"-"&amp;E453&amp;"-"&amp;F453&amp;"-Pos3",'Shooter-Squad Assignment'!$Z:$Z,0)),""),"")))</f>
        <v/>
      </c>
      <c r="L453" s="88" t="str">
        <f>IF(ISBLANK(K453),"",IFERROR(INDEX('Tournament List'!$D:$D,MATCH(K453,'Tournament List'!$A:$A,0)),""))</f>
        <v/>
      </c>
      <c r="M453" s="96" t="str">
        <f>IF(F453="Skeet",IFERROR(INDEX('Shooter-Squad Assignment'!$A:$A,MATCH(C453&amp;"-"&amp;E453&amp;"-"&amp;F453&amp;"-Pos4",'Shooter-Squad Assignment'!$K:$K,0)),""),IF(F453="Trap",IFERROR(INDEX('Shooter-Squad Assignment'!$A:$A,MATCH(C453&amp;"-"&amp;E453&amp;"-"&amp;F453&amp;"-Pos4",'Shooter-Squad Assignment'!$W:$W,0)),""),IF(F453="Sporting Clays",IFERROR(INDEX('Shooter-Squad Assignment'!$A:$A,MATCH(C453&amp;"-"&amp;E453&amp;"-"&amp;F453&amp;"-Pos4",'Shooter-Squad Assignment'!$Z:$Z,0)),""),"")))</f>
        <v/>
      </c>
      <c r="N453" s="88" t="str">
        <f>IF(ISBLANK(M453),"",IFERROR(INDEX('Tournament List'!$D:$D,MATCH(M453,'Tournament List'!$A:$A,0)),""))</f>
        <v/>
      </c>
      <c r="O453" s="96" t="str">
        <f>IF(F453="Skeet",IFERROR(INDEX('Shooter-Squad Assignment'!$A:$A,MATCH(C453&amp;"-"&amp;E453&amp;"-"&amp;F453&amp;"-Pos5",'Shooter-Squad Assignment'!$K:$K,0)),""),IF(F453="Trap",IFERROR(INDEX('Shooter-Squad Assignment'!$A:$A,MATCH(C453&amp;"-"&amp;E453&amp;"-"&amp;F453&amp;"-Pos5",'Shooter-Squad Assignment'!$W:$W,0)),""),IF(F453="Sporting Clays",IFERROR(INDEX('Shooter-Squad Assignment'!$A:$A,MATCH(C453&amp;"-"&amp;E453&amp;"-"&amp;F453&amp;"-Pos5",'Shooter-Squad Assignment'!$Z:$Z,0)),""),"")))</f>
        <v/>
      </c>
      <c r="P453" s="89" t="str">
        <f>IF(ISBLANK(O453),"",IFERROR(INDEX('Tournament List'!$D:$D,MATCH(O453,'Tournament List'!$A:$A,0)),""))</f>
        <v/>
      </c>
    </row>
    <row r="454" spans="1:16" x14ac:dyDescent="0.3">
      <c r="A454" s="87">
        <v>453</v>
      </c>
      <c r="B454" s="88" t="str">
        <f>C454&amp;"-"&amp;E454&amp;"-"&amp;F454</f>
        <v>-Unassigned 1-Trap</v>
      </c>
      <c r="C454" s="88"/>
      <c r="D454" s="88" t="str">
        <f>INDEX('Tournament Setup'!$B$59:$B$78,MATCH(E454,SquadConcurrents,0))</f>
        <v>Unassigned</v>
      </c>
      <c r="E454" s="88" t="s">
        <v>762</v>
      </c>
      <c r="F454" s="88" t="s">
        <v>147</v>
      </c>
      <c r="G454" s="96" t="str">
        <f>IF(F454="Skeet",IFERROR(INDEX('Shooter-Squad Assignment'!$A:$A,MATCH(C454&amp;"-"&amp;E454&amp;"-"&amp;F454&amp;"-Pos1",'Shooter-Squad Assignment'!$K:$K,0)),""),IF(F454="Trap",IFERROR(INDEX('Shooter-Squad Assignment'!$A:$A,MATCH(C454&amp;"-"&amp;E454&amp;"-"&amp;F454&amp;"-Pos1",'Shooter-Squad Assignment'!$W:$W,0)),""),IF(F454="Sporting Clays",IFERROR(INDEX('Shooter-Squad Assignment'!$A:$A,MATCH(C454&amp;"-"&amp;E454&amp;"-"&amp;F454&amp;"-Pos1",'Shooter-Squad Assignment'!$Z:$Z,0)),""),"")))</f>
        <v/>
      </c>
      <c r="H454" s="88" t="str">
        <f>IF(ISBLANK(G454),"",IFERROR(INDEX('Tournament List'!$D:$D,MATCH(G454,'Tournament List'!$A:$A,0)),""))</f>
        <v/>
      </c>
      <c r="I454" s="96" t="str">
        <f>IF(F454="Skeet",IFERROR(INDEX('Shooter-Squad Assignment'!$A:$A,MATCH(C454&amp;"-"&amp;E454&amp;"-"&amp;F454&amp;"-Pos2",'Shooter-Squad Assignment'!$K:$K,0)),""),IF(F454="Trap",IFERROR(INDEX('Shooter-Squad Assignment'!$A:$A,MATCH(C454&amp;"-"&amp;E454&amp;"-"&amp;F454&amp;"-Pos2",'Shooter-Squad Assignment'!$W:$W,0)),""),IF(F454="Sporting Clays",IFERROR(INDEX('Shooter-Squad Assignment'!$A:$A,MATCH(C454&amp;"-"&amp;E454&amp;"-"&amp;F454&amp;"-Pos2",'Shooter-Squad Assignment'!$Z:$Z,0)),""),"")))</f>
        <v/>
      </c>
      <c r="J454" s="88" t="str">
        <f>IF(ISBLANK(I454),"",IFERROR(INDEX('Tournament List'!$D:$D,MATCH(I454,'Tournament List'!$A:$A,0)),""))</f>
        <v/>
      </c>
      <c r="K454" s="96" t="str">
        <f>IF(F454="Skeet",IFERROR(INDEX('Shooter-Squad Assignment'!$A:$A,MATCH(C454&amp;"-"&amp;E454&amp;"-"&amp;F454&amp;"-Pos3",'Shooter-Squad Assignment'!$K:$K,0)),""),IF(F454="Trap",IFERROR(INDEX('Shooter-Squad Assignment'!$A:$A,MATCH(C454&amp;"-"&amp;E454&amp;"-"&amp;F454&amp;"-Pos3",'Shooter-Squad Assignment'!$W:$W,0)),""),IF(F454="Sporting Clays",IFERROR(INDEX('Shooter-Squad Assignment'!$A:$A,MATCH(C454&amp;"-"&amp;E454&amp;"-"&amp;F454&amp;"-Pos3",'Shooter-Squad Assignment'!$Z:$Z,0)),""),"")))</f>
        <v/>
      </c>
      <c r="L454" s="88" t="str">
        <f>IF(ISBLANK(K454),"",IFERROR(INDEX('Tournament List'!$D:$D,MATCH(K454,'Tournament List'!$A:$A,0)),""))</f>
        <v/>
      </c>
      <c r="M454" s="96" t="str">
        <f>IF(F454="Skeet",IFERROR(INDEX('Shooter-Squad Assignment'!$A:$A,MATCH(C454&amp;"-"&amp;E454&amp;"-"&amp;F454&amp;"-Pos4",'Shooter-Squad Assignment'!$K:$K,0)),""),IF(F454="Trap",IFERROR(INDEX('Shooter-Squad Assignment'!$A:$A,MATCH(C454&amp;"-"&amp;E454&amp;"-"&amp;F454&amp;"-Pos4",'Shooter-Squad Assignment'!$W:$W,0)),""),IF(F454="Sporting Clays",IFERROR(INDEX('Shooter-Squad Assignment'!$A:$A,MATCH(C454&amp;"-"&amp;E454&amp;"-"&amp;F454&amp;"-Pos4",'Shooter-Squad Assignment'!$Z:$Z,0)),""),"")))</f>
        <v/>
      </c>
      <c r="N454" s="88" t="str">
        <f>IF(ISBLANK(M454),"",IFERROR(INDEX('Tournament List'!$D:$D,MATCH(M454,'Tournament List'!$A:$A,0)),""))</f>
        <v/>
      </c>
      <c r="O454" s="96" t="str">
        <f>IF(F454="Skeet",IFERROR(INDEX('Shooter-Squad Assignment'!$A:$A,MATCH(C454&amp;"-"&amp;E454&amp;"-"&amp;F454&amp;"-Pos5",'Shooter-Squad Assignment'!$K:$K,0)),""),IF(F454="Trap",IFERROR(INDEX('Shooter-Squad Assignment'!$A:$A,MATCH(C454&amp;"-"&amp;E454&amp;"-"&amp;F454&amp;"-Pos5",'Shooter-Squad Assignment'!$W:$W,0)),""),IF(F454="Sporting Clays",IFERROR(INDEX('Shooter-Squad Assignment'!$A:$A,MATCH(C454&amp;"-"&amp;E454&amp;"-"&amp;F454&amp;"-Pos5",'Shooter-Squad Assignment'!$Z:$Z,0)),""),"")))</f>
        <v/>
      </c>
      <c r="P454" s="89" t="str">
        <f>IF(ISBLANK(O454),"",IFERROR(INDEX('Tournament List'!$D:$D,MATCH(O454,'Tournament List'!$A:$A,0)),""))</f>
        <v/>
      </c>
    </row>
    <row r="455" spans="1:16" x14ac:dyDescent="0.3">
      <c r="A455" s="87">
        <v>454</v>
      </c>
      <c r="B455" s="88" t="str">
        <f>C455&amp;"-"&amp;E455&amp;"-"&amp;F455</f>
        <v>-Varsity 1-Trap</v>
      </c>
      <c r="C455" s="88"/>
      <c r="D455" s="88" t="str">
        <f>INDEX('Tournament Setup'!$B$59:$B$78,MATCH(E455,SquadConcurrents,0))</f>
        <v>Varsity</v>
      </c>
      <c r="E455" s="88" t="s">
        <v>340</v>
      </c>
      <c r="F455" s="88" t="s">
        <v>147</v>
      </c>
      <c r="G455" s="96" t="str">
        <f>IF(F455="Skeet",IFERROR(INDEX('Shooter-Squad Assignment'!$A:$A,MATCH(C455&amp;"-"&amp;E455&amp;"-"&amp;F455&amp;"-Pos1",'Shooter-Squad Assignment'!$K:$K,0)),""),IF(F455="Trap",IFERROR(INDEX('Shooter-Squad Assignment'!$A:$A,MATCH(C455&amp;"-"&amp;E455&amp;"-"&amp;F455&amp;"-Pos1",'Shooter-Squad Assignment'!$W:$W,0)),""),IF(F455="Sporting Clays",IFERROR(INDEX('Shooter-Squad Assignment'!$A:$A,MATCH(C455&amp;"-"&amp;E455&amp;"-"&amp;F455&amp;"-Pos1",'Shooter-Squad Assignment'!$Z:$Z,0)),""),"")))</f>
        <v/>
      </c>
      <c r="H455" s="88" t="str">
        <f>IF(ISBLANK(G455),"",IFERROR(INDEX('Tournament List'!$D:$D,MATCH(G455,'Tournament List'!$A:$A,0)),""))</f>
        <v/>
      </c>
      <c r="I455" s="96" t="str">
        <f>IF(F455="Skeet",IFERROR(INDEX('Shooter-Squad Assignment'!$A:$A,MATCH(C455&amp;"-"&amp;E455&amp;"-"&amp;F455&amp;"-Pos2",'Shooter-Squad Assignment'!$K:$K,0)),""),IF(F455="Trap",IFERROR(INDEX('Shooter-Squad Assignment'!$A:$A,MATCH(C455&amp;"-"&amp;E455&amp;"-"&amp;F455&amp;"-Pos2",'Shooter-Squad Assignment'!$W:$W,0)),""),IF(F455="Sporting Clays",IFERROR(INDEX('Shooter-Squad Assignment'!$A:$A,MATCH(C455&amp;"-"&amp;E455&amp;"-"&amp;F455&amp;"-Pos2",'Shooter-Squad Assignment'!$Z:$Z,0)),""),"")))</f>
        <v/>
      </c>
      <c r="J455" s="88" t="str">
        <f>IF(ISBLANK(I455),"",IFERROR(INDEX('Tournament List'!$D:$D,MATCH(I455,'Tournament List'!$A:$A,0)),""))</f>
        <v/>
      </c>
      <c r="K455" s="96" t="str">
        <f>IF(F455="Skeet",IFERROR(INDEX('Shooter-Squad Assignment'!$A:$A,MATCH(C455&amp;"-"&amp;E455&amp;"-"&amp;F455&amp;"-Pos3",'Shooter-Squad Assignment'!$K:$K,0)),""),IF(F455="Trap",IFERROR(INDEX('Shooter-Squad Assignment'!$A:$A,MATCH(C455&amp;"-"&amp;E455&amp;"-"&amp;F455&amp;"-Pos3",'Shooter-Squad Assignment'!$W:$W,0)),""),IF(F455="Sporting Clays",IFERROR(INDEX('Shooter-Squad Assignment'!$A:$A,MATCH(C455&amp;"-"&amp;E455&amp;"-"&amp;F455&amp;"-Pos3",'Shooter-Squad Assignment'!$Z:$Z,0)),""),"")))</f>
        <v/>
      </c>
      <c r="L455" s="88" t="str">
        <f>IF(ISBLANK(K455),"",IFERROR(INDEX('Tournament List'!$D:$D,MATCH(K455,'Tournament List'!$A:$A,0)),""))</f>
        <v/>
      </c>
      <c r="M455" s="96" t="str">
        <f>IF(F455="Skeet",IFERROR(INDEX('Shooter-Squad Assignment'!$A:$A,MATCH(C455&amp;"-"&amp;E455&amp;"-"&amp;F455&amp;"-Pos4",'Shooter-Squad Assignment'!$K:$K,0)),""),IF(F455="Trap",IFERROR(INDEX('Shooter-Squad Assignment'!$A:$A,MATCH(C455&amp;"-"&amp;E455&amp;"-"&amp;F455&amp;"-Pos4",'Shooter-Squad Assignment'!$W:$W,0)),""),IF(F455="Sporting Clays",IFERROR(INDEX('Shooter-Squad Assignment'!$A:$A,MATCH(C455&amp;"-"&amp;E455&amp;"-"&amp;F455&amp;"-Pos4",'Shooter-Squad Assignment'!$Z:$Z,0)),""),"")))</f>
        <v/>
      </c>
      <c r="N455" s="88" t="str">
        <f>IF(ISBLANK(M455),"",IFERROR(INDEX('Tournament List'!$D:$D,MATCH(M455,'Tournament List'!$A:$A,0)),""))</f>
        <v/>
      </c>
      <c r="O455" s="96" t="str">
        <f>IF(F455="Skeet",IFERROR(INDEX('Shooter-Squad Assignment'!$A:$A,MATCH(C455&amp;"-"&amp;E455&amp;"-"&amp;F455&amp;"-Pos5",'Shooter-Squad Assignment'!$K:$K,0)),""),IF(F455="Trap",IFERROR(INDEX('Shooter-Squad Assignment'!$A:$A,MATCH(C455&amp;"-"&amp;E455&amp;"-"&amp;F455&amp;"-Pos5",'Shooter-Squad Assignment'!$W:$W,0)),""),IF(F455="Sporting Clays",IFERROR(INDEX('Shooter-Squad Assignment'!$A:$A,MATCH(C455&amp;"-"&amp;E455&amp;"-"&amp;F455&amp;"-Pos5",'Shooter-Squad Assignment'!$Z:$Z,0)),""),"")))</f>
        <v/>
      </c>
      <c r="P455" s="89" t="str">
        <f>IF(ISBLANK(O455),"",IFERROR(INDEX('Tournament List'!$D:$D,MATCH(O455,'Tournament List'!$A:$A,0)),""))</f>
        <v/>
      </c>
    </row>
    <row r="456" spans="1:16" x14ac:dyDescent="0.3">
      <c r="A456" s="87">
        <v>455</v>
      </c>
      <c r="B456" s="88" t="str">
        <f>C456&amp;"-"&amp;E456&amp;"-"&amp;F456</f>
        <v>-Varsity 2-Trap</v>
      </c>
      <c r="C456" s="88"/>
      <c r="D456" s="88" t="str">
        <f>INDEX('Tournament Setup'!$B$59:$B$78,MATCH(E456,SquadConcurrents,0))</f>
        <v>Varsity</v>
      </c>
      <c r="E456" s="88" t="s">
        <v>346</v>
      </c>
      <c r="F456" s="88" t="s">
        <v>147</v>
      </c>
      <c r="G456" s="96" t="str">
        <f>IF(F456="Skeet",IFERROR(INDEX('Shooter-Squad Assignment'!$A:$A,MATCH(C456&amp;"-"&amp;E456&amp;"-"&amp;F456&amp;"-Pos1",'Shooter-Squad Assignment'!$K:$K,0)),""),IF(F456="Trap",IFERROR(INDEX('Shooter-Squad Assignment'!$A:$A,MATCH(C456&amp;"-"&amp;E456&amp;"-"&amp;F456&amp;"-Pos1",'Shooter-Squad Assignment'!$W:$W,0)),""),IF(F456="Sporting Clays",IFERROR(INDEX('Shooter-Squad Assignment'!$A:$A,MATCH(C456&amp;"-"&amp;E456&amp;"-"&amp;F456&amp;"-Pos1",'Shooter-Squad Assignment'!$Z:$Z,0)),""),"")))</f>
        <v/>
      </c>
      <c r="H456" s="88" t="str">
        <f>IF(ISBLANK(G456),"",IFERROR(INDEX('Tournament List'!$D:$D,MATCH(G456,'Tournament List'!$A:$A,0)),""))</f>
        <v/>
      </c>
      <c r="I456" s="96" t="str">
        <f>IF(F456="Skeet",IFERROR(INDEX('Shooter-Squad Assignment'!$A:$A,MATCH(C456&amp;"-"&amp;E456&amp;"-"&amp;F456&amp;"-Pos2",'Shooter-Squad Assignment'!$K:$K,0)),""),IF(F456="Trap",IFERROR(INDEX('Shooter-Squad Assignment'!$A:$A,MATCH(C456&amp;"-"&amp;E456&amp;"-"&amp;F456&amp;"-Pos2",'Shooter-Squad Assignment'!$W:$W,0)),""),IF(F456="Sporting Clays",IFERROR(INDEX('Shooter-Squad Assignment'!$A:$A,MATCH(C456&amp;"-"&amp;E456&amp;"-"&amp;F456&amp;"-Pos2",'Shooter-Squad Assignment'!$Z:$Z,0)),""),"")))</f>
        <v/>
      </c>
      <c r="J456" s="88" t="str">
        <f>IF(ISBLANK(I456),"",IFERROR(INDEX('Tournament List'!$D:$D,MATCH(I456,'Tournament List'!$A:$A,0)),""))</f>
        <v/>
      </c>
      <c r="K456" s="96" t="str">
        <f>IF(F456="Skeet",IFERROR(INDEX('Shooter-Squad Assignment'!$A:$A,MATCH(C456&amp;"-"&amp;E456&amp;"-"&amp;F456&amp;"-Pos3",'Shooter-Squad Assignment'!$K:$K,0)),""),IF(F456="Trap",IFERROR(INDEX('Shooter-Squad Assignment'!$A:$A,MATCH(C456&amp;"-"&amp;E456&amp;"-"&amp;F456&amp;"-Pos3",'Shooter-Squad Assignment'!$W:$W,0)),""),IF(F456="Sporting Clays",IFERROR(INDEX('Shooter-Squad Assignment'!$A:$A,MATCH(C456&amp;"-"&amp;E456&amp;"-"&amp;F456&amp;"-Pos3",'Shooter-Squad Assignment'!$Z:$Z,0)),""),"")))</f>
        <v/>
      </c>
      <c r="L456" s="88" t="str">
        <f>IF(ISBLANK(K456),"",IFERROR(INDEX('Tournament List'!$D:$D,MATCH(K456,'Tournament List'!$A:$A,0)),""))</f>
        <v/>
      </c>
      <c r="M456" s="96" t="str">
        <f>IF(F456="Skeet",IFERROR(INDEX('Shooter-Squad Assignment'!$A:$A,MATCH(C456&amp;"-"&amp;E456&amp;"-"&amp;F456&amp;"-Pos4",'Shooter-Squad Assignment'!$K:$K,0)),""),IF(F456="Trap",IFERROR(INDEX('Shooter-Squad Assignment'!$A:$A,MATCH(C456&amp;"-"&amp;E456&amp;"-"&amp;F456&amp;"-Pos4",'Shooter-Squad Assignment'!$W:$W,0)),""),IF(F456="Sporting Clays",IFERROR(INDEX('Shooter-Squad Assignment'!$A:$A,MATCH(C456&amp;"-"&amp;E456&amp;"-"&amp;F456&amp;"-Pos4",'Shooter-Squad Assignment'!$Z:$Z,0)),""),"")))</f>
        <v/>
      </c>
      <c r="N456" s="88" t="str">
        <f>IF(ISBLANK(M456),"",IFERROR(INDEX('Tournament List'!$D:$D,MATCH(M456,'Tournament List'!$A:$A,0)),""))</f>
        <v/>
      </c>
      <c r="O456" s="96" t="str">
        <f>IF(F456="Skeet",IFERROR(INDEX('Shooter-Squad Assignment'!$A:$A,MATCH(C456&amp;"-"&amp;E456&amp;"-"&amp;F456&amp;"-Pos5",'Shooter-Squad Assignment'!$K:$K,0)),""),IF(F456="Trap",IFERROR(INDEX('Shooter-Squad Assignment'!$A:$A,MATCH(C456&amp;"-"&amp;E456&amp;"-"&amp;F456&amp;"-Pos5",'Shooter-Squad Assignment'!$W:$W,0)),""),IF(F456="Sporting Clays",IFERROR(INDEX('Shooter-Squad Assignment'!$A:$A,MATCH(C456&amp;"-"&amp;E456&amp;"-"&amp;F456&amp;"-Pos5",'Shooter-Squad Assignment'!$Z:$Z,0)),""),"")))</f>
        <v/>
      </c>
      <c r="P456" s="89" t="str">
        <f>IF(ISBLANK(O456),"",IFERROR(INDEX('Tournament List'!$D:$D,MATCH(O456,'Tournament List'!$A:$A,0)),""))</f>
        <v/>
      </c>
    </row>
    <row r="457" spans="1:16" ht="15" thickBot="1" x14ac:dyDescent="0.35">
      <c r="A457" s="90">
        <v>456</v>
      </c>
      <c r="B457" s="91" t="str">
        <f>C457&amp;"-"&amp;E457&amp;"-"&amp;F457</f>
        <v>-Varsity 3-Trap</v>
      </c>
      <c r="C457" s="91"/>
      <c r="D457" s="91" t="str">
        <f>INDEX('Tournament Setup'!$B$59:$B$78,MATCH(E457,SquadConcurrents,0))</f>
        <v>Varsity</v>
      </c>
      <c r="E457" s="91" t="s">
        <v>352</v>
      </c>
      <c r="F457" s="91" t="s">
        <v>147</v>
      </c>
      <c r="G457" s="97" t="str">
        <f>IF(F457="Skeet",IFERROR(INDEX('Shooter-Squad Assignment'!$A:$A,MATCH(C457&amp;"-"&amp;E457&amp;"-"&amp;F457&amp;"-Pos1",'Shooter-Squad Assignment'!$K:$K,0)),""),IF(F457="Trap",IFERROR(INDEX('Shooter-Squad Assignment'!$A:$A,MATCH(C457&amp;"-"&amp;E457&amp;"-"&amp;F457&amp;"-Pos1",'Shooter-Squad Assignment'!$W:$W,0)),""),IF(F457="Sporting Clays",IFERROR(INDEX('Shooter-Squad Assignment'!$A:$A,MATCH(C457&amp;"-"&amp;E457&amp;"-"&amp;F457&amp;"-Pos1",'Shooter-Squad Assignment'!$Z:$Z,0)),""),"")))</f>
        <v/>
      </c>
      <c r="H457" s="91" t="str">
        <f>IF(ISBLANK(G457),"",IFERROR(INDEX('Tournament List'!$D:$D,MATCH(G457,'Tournament List'!$A:$A,0)),""))</f>
        <v/>
      </c>
      <c r="I457" s="97" t="str">
        <f>IF(F457="Skeet",IFERROR(INDEX('Shooter-Squad Assignment'!$A:$A,MATCH(C457&amp;"-"&amp;E457&amp;"-"&amp;F457&amp;"-Pos2",'Shooter-Squad Assignment'!$K:$K,0)),""),IF(F457="Trap",IFERROR(INDEX('Shooter-Squad Assignment'!$A:$A,MATCH(C457&amp;"-"&amp;E457&amp;"-"&amp;F457&amp;"-Pos2",'Shooter-Squad Assignment'!$W:$W,0)),""),IF(F457="Sporting Clays",IFERROR(INDEX('Shooter-Squad Assignment'!$A:$A,MATCH(C457&amp;"-"&amp;E457&amp;"-"&amp;F457&amp;"-Pos2",'Shooter-Squad Assignment'!$Z:$Z,0)),""),"")))</f>
        <v/>
      </c>
      <c r="J457" s="91" t="str">
        <f>IF(ISBLANK(I457),"",IFERROR(INDEX('Tournament List'!$D:$D,MATCH(I457,'Tournament List'!$A:$A,0)),""))</f>
        <v/>
      </c>
      <c r="K457" s="97" t="str">
        <f>IF(F457="Skeet",IFERROR(INDEX('Shooter-Squad Assignment'!$A:$A,MATCH(C457&amp;"-"&amp;E457&amp;"-"&amp;F457&amp;"-Pos3",'Shooter-Squad Assignment'!$K:$K,0)),""),IF(F457="Trap",IFERROR(INDEX('Shooter-Squad Assignment'!$A:$A,MATCH(C457&amp;"-"&amp;E457&amp;"-"&amp;F457&amp;"-Pos3",'Shooter-Squad Assignment'!$W:$W,0)),""),IF(F457="Sporting Clays",IFERROR(INDEX('Shooter-Squad Assignment'!$A:$A,MATCH(C457&amp;"-"&amp;E457&amp;"-"&amp;F457&amp;"-Pos3",'Shooter-Squad Assignment'!$Z:$Z,0)),""),"")))</f>
        <v/>
      </c>
      <c r="L457" s="91" t="str">
        <f>IF(ISBLANK(K457),"",IFERROR(INDEX('Tournament List'!$D:$D,MATCH(K457,'Tournament List'!$A:$A,0)),""))</f>
        <v/>
      </c>
      <c r="M457" s="97" t="str">
        <f>IF(F457="Skeet",IFERROR(INDEX('Shooter-Squad Assignment'!$A:$A,MATCH(C457&amp;"-"&amp;E457&amp;"-"&amp;F457&amp;"-Pos4",'Shooter-Squad Assignment'!$K:$K,0)),""),IF(F457="Trap",IFERROR(INDEX('Shooter-Squad Assignment'!$A:$A,MATCH(C457&amp;"-"&amp;E457&amp;"-"&amp;F457&amp;"-Pos4",'Shooter-Squad Assignment'!$W:$W,0)),""),IF(F457="Sporting Clays",IFERROR(INDEX('Shooter-Squad Assignment'!$A:$A,MATCH(C457&amp;"-"&amp;E457&amp;"-"&amp;F457&amp;"-Pos4",'Shooter-Squad Assignment'!$Z:$Z,0)),""),"")))</f>
        <v/>
      </c>
      <c r="N457" s="91" t="str">
        <f>IF(ISBLANK(M457),"",IFERROR(INDEX('Tournament List'!$D:$D,MATCH(M457,'Tournament List'!$A:$A,0)),""))</f>
        <v/>
      </c>
      <c r="O457" s="97" t="str">
        <f>IF(F457="Skeet",IFERROR(INDEX('Shooter-Squad Assignment'!$A:$A,MATCH(C457&amp;"-"&amp;E457&amp;"-"&amp;F457&amp;"-Pos5",'Shooter-Squad Assignment'!$K:$K,0)),""),IF(F457="Trap",IFERROR(INDEX('Shooter-Squad Assignment'!$A:$A,MATCH(C457&amp;"-"&amp;E457&amp;"-"&amp;F457&amp;"-Pos5",'Shooter-Squad Assignment'!$W:$W,0)),""),IF(F457="Sporting Clays",IFERROR(INDEX('Shooter-Squad Assignment'!$A:$A,MATCH(C457&amp;"-"&amp;E457&amp;"-"&amp;F457&amp;"-Pos5",'Shooter-Squad Assignment'!$Z:$Z,0)),""),"")))</f>
        <v/>
      </c>
      <c r="P457" s="92" t="str">
        <f>IF(ISBLANK(O457),"",IFERROR(INDEX('Tournament List'!$D:$D,MATCH(O457,'Tournament List'!$A:$A,0)),""))</f>
        <v/>
      </c>
    </row>
    <row r="458" spans="1:16" x14ac:dyDescent="0.3">
      <c r="A458" s="76">
        <v>457</v>
      </c>
      <c r="B458" s="77" t="str">
        <f>C458&amp;"-"&amp;E458&amp;"-"&amp;F458</f>
        <v>-Collegiate 1-Skeet</v>
      </c>
      <c r="C458" s="77"/>
      <c r="D458" s="77" t="str">
        <f>INDEX('Tournament Setup'!$B$59:$B$78,MATCH(E458,SquadConcurrents,0))</f>
        <v>Collegiate</v>
      </c>
      <c r="E458" s="77" t="s">
        <v>342</v>
      </c>
      <c r="F458" s="77" t="s">
        <v>143</v>
      </c>
      <c r="G458" s="93" t="str">
        <f>IF(F458="Skeet",IFERROR(INDEX('Shooter-Squad Assignment'!$A:$A,MATCH(C458&amp;"-"&amp;E458&amp;"-"&amp;F458&amp;"-Pos1",'Shooter-Squad Assignment'!$K:$K,0)),""),IF(F458="Trap",IFERROR(INDEX('Shooter-Squad Assignment'!$A:$A,MATCH(C458&amp;"-"&amp;E458&amp;"-"&amp;F458&amp;"-Pos1",'Shooter-Squad Assignment'!$W:$W,0)),""),IF(F458="Sporting Clays",IFERROR(INDEX('Shooter-Squad Assignment'!$A:$A,MATCH(C458&amp;"-"&amp;E458&amp;"-"&amp;F458&amp;"-Pos1",'Shooter-Squad Assignment'!$Z:$Z,0)),""),"")))</f>
        <v/>
      </c>
      <c r="H458" s="77" t="str">
        <f>IF(ISBLANK(G458),"",IFERROR(INDEX('Tournament List'!$D:$D,MATCH(G458,'Tournament List'!$A:$A,0)),""))</f>
        <v/>
      </c>
      <c r="I458" s="93" t="str">
        <f>IF(F458="Skeet",IFERROR(INDEX('Shooter-Squad Assignment'!$A:$A,MATCH(C458&amp;"-"&amp;E458&amp;"-"&amp;F458&amp;"-Pos2",'Shooter-Squad Assignment'!$K:$K,0)),""),IF(F458="Trap",IFERROR(INDEX('Shooter-Squad Assignment'!$A:$A,MATCH(C458&amp;"-"&amp;E458&amp;"-"&amp;F458&amp;"-Pos2",'Shooter-Squad Assignment'!$W:$W,0)),""),IF(F458="Sporting Clays",IFERROR(INDEX('Shooter-Squad Assignment'!$A:$A,MATCH(C458&amp;"-"&amp;E458&amp;"-"&amp;F458&amp;"-Pos2",'Shooter-Squad Assignment'!$Z:$Z,0)),""),"")))</f>
        <v/>
      </c>
      <c r="J458" s="77" t="str">
        <f>IF(ISBLANK(I458),"",IFERROR(INDEX('Tournament List'!$D:$D,MATCH(I458,'Tournament List'!$A:$A,0)),""))</f>
        <v/>
      </c>
      <c r="K458" s="93" t="str">
        <f>IF(F458="Skeet",IFERROR(INDEX('Shooter-Squad Assignment'!$A:$A,MATCH(C458&amp;"-"&amp;E458&amp;"-"&amp;F458&amp;"-Pos3",'Shooter-Squad Assignment'!$K:$K,0)),""),IF(F458="Trap",IFERROR(INDEX('Shooter-Squad Assignment'!$A:$A,MATCH(C458&amp;"-"&amp;E458&amp;"-"&amp;F458&amp;"-Pos3",'Shooter-Squad Assignment'!$W:$W,0)),""),IF(F458="Sporting Clays",IFERROR(INDEX('Shooter-Squad Assignment'!$A:$A,MATCH(C458&amp;"-"&amp;E458&amp;"-"&amp;F458&amp;"-Pos3",'Shooter-Squad Assignment'!$Z:$Z,0)),""),"")))</f>
        <v/>
      </c>
      <c r="L458" s="77" t="str">
        <f>IF(ISBLANK(K458),"",IFERROR(INDEX('Tournament List'!$D:$D,MATCH(K458,'Tournament List'!$A:$A,0)),""))</f>
        <v/>
      </c>
      <c r="M458" s="93" t="str">
        <f>IF(F458="Skeet",IFERROR(INDEX('Shooter-Squad Assignment'!$A:$A,MATCH(C458&amp;"-"&amp;E458&amp;"-"&amp;F458&amp;"-Pos4",'Shooter-Squad Assignment'!$K:$K,0)),""),IF(F458="Trap",IFERROR(INDEX('Shooter-Squad Assignment'!$A:$A,MATCH(C458&amp;"-"&amp;E458&amp;"-"&amp;F458&amp;"-Pos4",'Shooter-Squad Assignment'!$W:$W,0)),""),IF(F458="Sporting Clays",IFERROR(INDEX('Shooter-Squad Assignment'!$A:$A,MATCH(C458&amp;"-"&amp;E458&amp;"-"&amp;F458&amp;"-Pos4",'Shooter-Squad Assignment'!$Z:$Z,0)),""),"")))</f>
        <v/>
      </c>
      <c r="N458" s="77" t="str">
        <f>IF(ISBLANK(M458),"",IFERROR(INDEX('Tournament List'!$D:$D,MATCH(M458,'Tournament List'!$A:$A,0)),""))</f>
        <v/>
      </c>
      <c r="O458" s="93" t="str">
        <f>IF(F458="Skeet",IFERROR(INDEX('Shooter-Squad Assignment'!$A:$A,MATCH(C458&amp;"-"&amp;E458&amp;"-"&amp;F458&amp;"-Pos5",'Shooter-Squad Assignment'!$K:$K,0)),""),IF(F458="Trap",IFERROR(INDEX('Shooter-Squad Assignment'!$A:$A,MATCH(C458&amp;"-"&amp;E458&amp;"-"&amp;F458&amp;"-Pos5",'Shooter-Squad Assignment'!$W:$W,0)),""),IF(F458="Sporting Clays",IFERROR(INDEX('Shooter-Squad Assignment'!$A:$A,MATCH(C458&amp;"-"&amp;E458&amp;"-"&amp;F458&amp;"-Pos5",'Shooter-Squad Assignment'!$Z:$Z,0)),""),"")))</f>
        <v/>
      </c>
      <c r="P458" s="77" t="str">
        <f>IF(ISBLANK(O458),"",IFERROR(INDEX('Tournament List'!$D:$D,MATCH(O458,'Tournament List'!$A:$A,0)),""))</f>
        <v/>
      </c>
    </row>
    <row r="459" spans="1:16" x14ac:dyDescent="0.3">
      <c r="A459" s="78">
        <v>458</v>
      </c>
      <c r="B459" s="73" t="str">
        <f>C459&amp;"-"&amp;E459&amp;"-"&amp;F459</f>
        <v>-Collegiate 2-Skeet</v>
      </c>
      <c r="C459" s="73"/>
      <c r="D459" s="73" t="str">
        <f>INDEX('Tournament Setup'!$B$59:$B$78,MATCH(E459,SquadConcurrents,0))</f>
        <v>Collegiate</v>
      </c>
      <c r="E459" s="73" t="s">
        <v>348</v>
      </c>
      <c r="F459" s="73" t="s">
        <v>143</v>
      </c>
      <c r="G459" s="94" t="str">
        <f>IF(F459="Skeet",IFERROR(INDEX('Shooter-Squad Assignment'!$A:$A,MATCH(C459&amp;"-"&amp;E459&amp;"-"&amp;F459&amp;"-Pos1",'Shooter-Squad Assignment'!$K:$K,0)),""),IF(F459="Trap",IFERROR(INDEX('Shooter-Squad Assignment'!$A:$A,MATCH(C459&amp;"-"&amp;E459&amp;"-"&amp;F459&amp;"-Pos1",'Shooter-Squad Assignment'!$W:$W,0)),""),IF(F459="Sporting Clays",IFERROR(INDEX('Shooter-Squad Assignment'!$A:$A,MATCH(C459&amp;"-"&amp;E459&amp;"-"&amp;F459&amp;"-Pos1",'Shooter-Squad Assignment'!$Z:$Z,0)),""),"")))</f>
        <v/>
      </c>
      <c r="H459" s="73" t="str">
        <f>IF(ISBLANK(G459),"",IFERROR(INDEX('Tournament List'!$D:$D,MATCH(G459,'Tournament List'!$A:$A,0)),""))</f>
        <v/>
      </c>
      <c r="I459" s="94" t="str">
        <f>IF(F459="Skeet",IFERROR(INDEX('Shooter-Squad Assignment'!$A:$A,MATCH(C459&amp;"-"&amp;E459&amp;"-"&amp;F459&amp;"-Pos2",'Shooter-Squad Assignment'!$K:$K,0)),""),IF(F459="Trap",IFERROR(INDEX('Shooter-Squad Assignment'!$A:$A,MATCH(C459&amp;"-"&amp;E459&amp;"-"&amp;F459&amp;"-Pos2",'Shooter-Squad Assignment'!$W:$W,0)),""),IF(F459="Sporting Clays",IFERROR(INDEX('Shooter-Squad Assignment'!$A:$A,MATCH(C459&amp;"-"&amp;E459&amp;"-"&amp;F459&amp;"-Pos2",'Shooter-Squad Assignment'!$Z:$Z,0)),""),"")))</f>
        <v/>
      </c>
      <c r="J459" s="73" t="str">
        <f>IF(ISBLANK(I459),"",IFERROR(INDEX('Tournament List'!$D:$D,MATCH(I459,'Tournament List'!$A:$A,0)),""))</f>
        <v/>
      </c>
      <c r="K459" s="94" t="str">
        <f>IF(F459="Skeet",IFERROR(INDEX('Shooter-Squad Assignment'!$A:$A,MATCH(C459&amp;"-"&amp;E459&amp;"-"&amp;F459&amp;"-Pos3",'Shooter-Squad Assignment'!$K:$K,0)),""),IF(F459="Trap",IFERROR(INDEX('Shooter-Squad Assignment'!$A:$A,MATCH(C459&amp;"-"&amp;E459&amp;"-"&amp;F459&amp;"-Pos3",'Shooter-Squad Assignment'!$W:$W,0)),""),IF(F459="Sporting Clays",IFERROR(INDEX('Shooter-Squad Assignment'!$A:$A,MATCH(C459&amp;"-"&amp;E459&amp;"-"&amp;F459&amp;"-Pos3",'Shooter-Squad Assignment'!$Z:$Z,0)),""),"")))</f>
        <v/>
      </c>
      <c r="L459" s="73" t="str">
        <f>IF(ISBLANK(K459),"",IFERROR(INDEX('Tournament List'!$D:$D,MATCH(K459,'Tournament List'!$A:$A,0)),""))</f>
        <v/>
      </c>
      <c r="M459" s="94" t="str">
        <f>IF(F459="Skeet",IFERROR(INDEX('Shooter-Squad Assignment'!$A:$A,MATCH(C459&amp;"-"&amp;E459&amp;"-"&amp;F459&amp;"-Pos4",'Shooter-Squad Assignment'!$K:$K,0)),""),IF(F459="Trap",IFERROR(INDEX('Shooter-Squad Assignment'!$A:$A,MATCH(C459&amp;"-"&amp;E459&amp;"-"&amp;F459&amp;"-Pos4",'Shooter-Squad Assignment'!$W:$W,0)),""),IF(F459="Sporting Clays",IFERROR(INDEX('Shooter-Squad Assignment'!$A:$A,MATCH(C459&amp;"-"&amp;E459&amp;"-"&amp;F459&amp;"-Pos4",'Shooter-Squad Assignment'!$Z:$Z,0)),""),"")))</f>
        <v/>
      </c>
      <c r="N459" s="73" t="str">
        <f>IF(ISBLANK(M459),"",IFERROR(INDEX('Tournament List'!$D:$D,MATCH(M459,'Tournament List'!$A:$A,0)),""))</f>
        <v/>
      </c>
      <c r="O459" s="94" t="str">
        <f>IF(F459="Skeet",IFERROR(INDEX('Shooter-Squad Assignment'!$A:$A,MATCH(C459&amp;"-"&amp;E459&amp;"-"&amp;F459&amp;"-Pos5",'Shooter-Squad Assignment'!$K:$K,0)),""),IF(F459="Trap",IFERROR(INDEX('Shooter-Squad Assignment'!$A:$A,MATCH(C459&amp;"-"&amp;E459&amp;"-"&amp;F459&amp;"-Pos5",'Shooter-Squad Assignment'!$W:$W,0)),""),IF(F459="Sporting Clays",IFERROR(INDEX('Shooter-Squad Assignment'!$A:$A,MATCH(C459&amp;"-"&amp;E459&amp;"-"&amp;F459&amp;"-Pos5",'Shooter-Squad Assignment'!$Z:$Z,0)),""),"")))</f>
        <v/>
      </c>
      <c r="P459" s="79" t="str">
        <f>IF(ISBLANK(O459),"",IFERROR(INDEX('Tournament List'!$D:$D,MATCH(O459,'Tournament List'!$A:$A,0)),""))</f>
        <v/>
      </c>
    </row>
    <row r="460" spans="1:16" x14ac:dyDescent="0.3">
      <c r="A460" s="78">
        <v>459</v>
      </c>
      <c r="B460" s="73" t="str">
        <f>C460&amp;"-"&amp;E460&amp;"-"&amp;F460</f>
        <v>-Collegiate 3-Skeet</v>
      </c>
      <c r="C460" s="73"/>
      <c r="D460" s="73" t="str">
        <f>INDEX('Tournament Setup'!$B$59:$B$78,MATCH(E460,SquadConcurrents,0))</f>
        <v>Collegiate</v>
      </c>
      <c r="E460" s="73" t="s">
        <v>354</v>
      </c>
      <c r="F460" s="73" t="s">
        <v>143</v>
      </c>
      <c r="G460" s="94" t="str">
        <f>IF(F460="Skeet",IFERROR(INDEX('Shooter-Squad Assignment'!$A:$A,MATCH(C460&amp;"-"&amp;E460&amp;"-"&amp;F460&amp;"-Pos1",'Shooter-Squad Assignment'!$K:$K,0)),""),IF(F460="Trap",IFERROR(INDEX('Shooter-Squad Assignment'!$A:$A,MATCH(C460&amp;"-"&amp;E460&amp;"-"&amp;F460&amp;"-Pos1",'Shooter-Squad Assignment'!$W:$W,0)),""),IF(F460="Sporting Clays",IFERROR(INDEX('Shooter-Squad Assignment'!$A:$A,MATCH(C460&amp;"-"&amp;E460&amp;"-"&amp;F460&amp;"-Pos1",'Shooter-Squad Assignment'!$Z:$Z,0)),""),"")))</f>
        <v/>
      </c>
      <c r="H460" s="73" t="str">
        <f>IF(ISBLANK(G460),"",IFERROR(INDEX('Tournament List'!$D:$D,MATCH(G460,'Tournament List'!$A:$A,0)),""))</f>
        <v/>
      </c>
      <c r="I460" s="94" t="str">
        <f>IF(F460="Skeet",IFERROR(INDEX('Shooter-Squad Assignment'!$A:$A,MATCH(C460&amp;"-"&amp;E460&amp;"-"&amp;F460&amp;"-Pos2",'Shooter-Squad Assignment'!$K:$K,0)),""),IF(F460="Trap",IFERROR(INDEX('Shooter-Squad Assignment'!$A:$A,MATCH(C460&amp;"-"&amp;E460&amp;"-"&amp;F460&amp;"-Pos2",'Shooter-Squad Assignment'!$W:$W,0)),""),IF(F460="Sporting Clays",IFERROR(INDEX('Shooter-Squad Assignment'!$A:$A,MATCH(C460&amp;"-"&amp;E460&amp;"-"&amp;F460&amp;"-Pos2",'Shooter-Squad Assignment'!$Z:$Z,0)),""),"")))</f>
        <v/>
      </c>
      <c r="J460" s="73" t="str">
        <f>IF(ISBLANK(I460),"",IFERROR(INDEX('Tournament List'!$D:$D,MATCH(I460,'Tournament List'!$A:$A,0)),""))</f>
        <v/>
      </c>
      <c r="K460" s="94" t="str">
        <f>IF(F460="Skeet",IFERROR(INDEX('Shooter-Squad Assignment'!$A:$A,MATCH(C460&amp;"-"&amp;E460&amp;"-"&amp;F460&amp;"-Pos3",'Shooter-Squad Assignment'!$K:$K,0)),""),IF(F460="Trap",IFERROR(INDEX('Shooter-Squad Assignment'!$A:$A,MATCH(C460&amp;"-"&amp;E460&amp;"-"&amp;F460&amp;"-Pos3",'Shooter-Squad Assignment'!$W:$W,0)),""),IF(F460="Sporting Clays",IFERROR(INDEX('Shooter-Squad Assignment'!$A:$A,MATCH(C460&amp;"-"&amp;E460&amp;"-"&amp;F460&amp;"-Pos3",'Shooter-Squad Assignment'!$Z:$Z,0)),""),"")))</f>
        <v/>
      </c>
      <c r="L460" s="73" t="str">
        <f>IF(ISBLANK(K460),"",IFERROR(INDEX('Tournament List'!$D:$D,MATCH(K460,'Tournament List'!$A:$A,0)),""))</f>
        <v/>
      </c>
      <c r="M460" s="94" t="str">
        <f>IF(F460="Skeet",IFERROR(INDEX('Shooter-Squad Assignment'!$A:$A,MATCH(C460&amp;"-"&amp;E460&amp;"-"&amp;F460&amp;"-Pos4",'Shooter-Squad Assignment'!$K:$K,0)),""),IF(F460="Trap",IFERROR(INDEX('Shooter-Squad Assignment'!$A:$A,MATCH(C460&amp;"-"&amp;E460&amp;"-"&amp;F460&amp;"-Pos4",'Shooter-Squad Assignment'!$W:$W,0)),""),IF(F460="Sporting Clays",IFERROR(INDEX('Shooter-Squad Assignment'!$A:$A,MATCH(C460&amp;"-"&amp;E460&amp;"-"&amp;F460&amp;"-Pos4",'Shooter-Squad Assignment'!$Z:$Z,0)),""),"")))</f>
        <v/>
      </c>
      <c r="N460" s="73" t="str">
        <f>IF(ISBLANK(M460),"",IFERROR(INDEX('Tournament List'!$D:$D,MATCH(M460,'Tournament List'!$A:$A,0)),""))</f>
        <v/>
      </c>
      <c r="O460" s="94" t="str">
        <f>IF(F460="Skeet",IFERROR(INDEX('Shooter-Squad Assignment'!$A:$A,MATCH(C460&amp;"-"&amp;E460&amp;"-"&amp;F460&amp;"-Pos5",'Shooter-Squad Assignment'!$K:$K,0)),""),IF(F460="Trap",IFERROR(INDEX('Shooter-Squad Assignment'!$A:$A,MATCH(C460&amp;"-"&amp;E460&amp;"-"&amp;F460&amp;"-Pos5",'Shooter-Squad Assignment'!$W:$W,0)),""),IF(F460="Sporting Clays",IFERROR(INDEX('Shooter-Squad Assignment'!$A:$A,MATCH(C460&amp;"-"&amp;E460&amp;"-"&amp;F460&amp;"-Pos5",'Shooter-Squad Assignment'!$Z:$Z,0)),""),"")))</f>
        <v/>
      </c>
      <c r="P460" s="79" t="str">
        <f>IF(ISBLANK(O460),"",IFERROR(INDEX('Tournament List'!$D:$D,MATCH(O460,'Tournament List'!$A:$A,0)),""))</f>
        <v/>
      </c>
    </row>
    <row r="461" spans="1:16" x14ac:dyDescent="0.3">
      <c r="A461" s="78">
        <v>460</v>
      </c>
      <c r="B461" s="73" t="str">
        <f>C461&amp;"-"&amp;E461&amp;"-"&amp;F461</f>
        <v>-Intermediate 1-Skeet</v>
      </c>
      <c r="C461" s="73"/>
      <c r="D461" s="73" t="str">
        <f>INDEX('Tournament Setup'!$B$59:$B$78,MATCH(E461,SquadConcurrents,0))</f>
        <v>Intermediate</v>
      </c>
      <c r="E461" s="73" t="s">
        <v>338</v>
      </c>
      <c r="F461" s="73" t="s">
        <v>143</v>
      </c>
      <c r="G461" s="94" t="str">
        <f>IF(F461="Skeet",IFERROR(INDEX('Shooter-Squad Assignment'!$A:$A,MATCH(C461&amp;"-"&amp;E461&amp;"-"&amp;F461&amp;"-Pos1",'Shooter-Squad Assignment'!$K:$K,0)),""),IF(F461="Trap",IFERROR(INDEX('Shooter-Squad Assignment'!$A:$A,MATCH(C461&amp;"-"&amp;E461&amp;"-"&amp;F461&amp;"-Pos1",'Shooter-Squad Assignment'!$W:$W,0)),""),IF(F461="Sporting Clays",IFERROR(INDEX('Shooter-Squad Assignment'!$A:$A,MATCH(C461&amp;"-"&amp;E461&amp;"-"&amp;F461&amp;"-Pos1",'Shooter-Squad Assignment'!$Z:$Z,0)),""),"")))</f>
        <v/>
      </c>
      <c r="H461" s="73" t="str">
        <f>IF(ISBLANK(G461),"",IFERROR(INDEX('Tournament List'!$D:$D,MATCH(G461,'Tournament List'!$A:$A,0)),""))</f>
        <v/>
      </c>
      <c r="I461" s="94" t="str">
        <f>IF(F461="Skeet",IFERROR(INDEX('Shooter-Squad Assignment'!$A:$A,MATCH(C461&amp;"-"&amp;E461&amp;"-"&amp;F461&amp;"-Pos2",'Shooter-Squad Assignment'!$K:$K,0)),""),IF(F461="Trap",IFERROR(INDEX('Shooter-Squad Assignment'!$A:$A,MATCH(C461&amp;"-"&amp;E461&amp;"-"&amp;F461&amp;"-Pos2",'Shooter-Squad Assignment'!$W:$W,0)),""),IF(F461="Sporting Clays",IFERROR(INDEX('Shooter-Squad Assignment'!$A:$A,MATCH(C461&amp;"-"&amp;E461&amp;"-"&amp;F461&amp;"-Pos2",'Shooter-Squad Assignment'!$Z:$Z,0)),""),"")))</f>
        <v/>
      </c>
      <c r="J461" s="73" t="str">
        <f>IF(ISBLANK(I461),"",IFERROR(INDEX('Tournament List'!$D:$D,MATCH(I461,'Tournament List'!$A:$A,0)),""))</f>
        <v/>
      </c>
      <c r="K461" s="94" t="str">
        <f>IF(F461="Skeet",IFERROR(INDEX('Shooter-Squad Assignment'!$A:$A,MATCH(C461&amp;"-"&amp;E461&amp;"-"&amp;F461&amp;"-Pos3",'Shooter-Squad Assignment'!$K:$K,0)),""),IF(F461="Trap",IFERROR(INDEX('Shooter-Squad Assignment'!$A:$A,MATCH(C461&amp;"-"&amp;E461&amp;"-"&amp;F461&amp;"-Pos3",'Shooter-Squad Assignment'!$W:$W,0)),""),IF(F461="Sporting Clays",IFERROR(INDEX('Shooter-Squad Assignment'!$A:$A,MATCH(C461&amp;"-"&amp;E461&amp;"-"&amp;F461&amp;"-Pos3",'Shooter-Squad Assignment'!$Z:$Z,0)),""),"")))</f>
        <v/>
      </c>
      <c r="L461" s="73" t="str">
        <f>IF(ISBLANK(K461),"",IFERROR(INDEX('Tournament List'!$D:$D,MATCH(K461,'Tournament List'!$A:$A,0)),""))</f>
        <v/>
      </c>
      <c r="M461" s="94" t="str">
        <f>IF(F461="Skeet",IFERROR(INDEX('Shooter-Squad Assignment'!$A:$A,MATCH(C461&amp;"-"&amp;E461&amp;"-"&amp;F461&amp;"-Pos4",'Shooter-Squad Assignment'!$K:$K,0)),""),IF(F461="Trap",IFERROR(INDEX('Shooter-Squad Assignment'!$A:$A,MATCH(C461&amp;"-"&amp;E461&amp;"-"&amp;F461&amp;"-Pos4",'Shooter-Squad Assignment'!$W:$W,0)),""),IF(F461="Sporting Clays",IFERROR(INDEX('Shooter-Squad Assignment'!$A:$A,MATCH(C461&amp;"-"&amp;E461&amp;"-"&amp;F461&amp;"-Pos4",'Shooter-Squad Assignment'!$Z:$Z,0)),""),"")))</f>
        <v/>
      </c>
      <c r="N461" s="73" t="str">
        <f>IF(ISBLANK(M461),"",IFERROR(INDEX('Tournament List'!$D:$D,MATCH(M461,'Tournament List'!$A:$A,0)),""))</f>
        <v/>
      </c>
      <c r="O461" s="94" t="str">
        <f>IF(F461="Skeet",IFERROR(INDEX('Shooter-Squad Assignment'!$A:$A,MATCH(C461&amp;"-"&amp;E461&amp;"-"&amp;F461&amp;"-Pos5",'Shooter-Squad Assignment'!$K:$K,0)),""),IF(F461="Trap",IFERROR(INDEX('Shooter-Squad Assignment'!$A:$A,MATCH(C461&amp;"-"&amp;E461&amp;"-"&amp;F461&amp;"-Pos5",'Shooter-Squad Assignment'!$W:$W,0)),""),IF(F461="Sporting Clays",IFERROR(INDEX('Shooter-Squad Assignment'!$A:$A,MATCH(C461&amp;"-"&amp;E461&amp;"-"&amp;F461&amp;"-Pos5",'Shooter-Squad Assignment'!$Z:$Z,0)),""),"")))</f>
        <v/>
      </c>
      <c r="P461" s="79" t="str">
        <f>IF(ISBLANK(O461),"",IFERROR(INDEX('Tournament List'!$D:$D,MATCH(O461,'Tournament List'!$A:$A,0)),""))</f>
        <v/>
      </c>
    </row>
    <row r="462" spans="1:16" x14ac:dyDescent="0.3">
      <c r="A462" s="78">
        <v>461</v>
      </c>
      <c r="B462" s="73" t="str">
        <f>C462&amp;"-"&amp;E462&amp;"-"&amp;F462</f>
        <v>-Intermediate 2-Skeet</v>
      </c>
      <c r="C462" s="73"/>
      <c r="D462" s="73" t="str">
        <f>INDEX('Tournament Setup'!$B$59:$B$78,MATCH(E462,SquadConcurrents,0))</f>
        <v>Intermediate</v>
      </c>
      <c r="E462" s="73" t="s">
        <v>344</v>
      </c>
      <c r="F462" s="73" t="s">
        <v>143</v>
      </c>
      <c r="G462" s="94" t="str">
        <f>IF(F462="Skeet",IFERROR(INDEX('Shooter-Squad Assignment'!$A:$A,MATCH(C462&amp;"-"&amp;E462&amp;"-"&amp;F462&amp;"-Pos1",'Shooter-Squad Assignment'!$K:$K,0)),""),IF(F462="Trap",IFERROR(INDEX('Shooter-Squad Assignment'!$A:$A,MATCH(C462&amp;"-"&amp;E462&amp;"-"&amp;F462&amp;"-Pos1",'Shooter-Squad Assignment'!$W:$W,0)),""),IF(F462="Sporting Clays",IFERROR(INDEX('Shooter-Squad Assignment'!$A:$A,MATCH(C462&amp;"-"&amp;E462&amp;"-"&amp;F462&amp;"-Pos1",'Shooter-Squad Assignment'!$Z:$Z,0)),""),"")))</f>
        <v/>
      </c>
      <c r="H462" s="73" t="str">
        <f>IF(ISBLANK(G462),"",IFERROR(INDEX('Tournament List'!$D:$D,MATCH(G462,'Tournament List'!$A:$A,0)),""))</f>
        <v/>
      </c>
      <c r="I462" s="94" t="str">
        <f>IF(F462="Skeet",IFERROR(INDEX('Shooter-Squad Assignment'!$A:$A,MATCH(C462&amp;"-"&amp;E462&amp;"-"&amp;F462&amp;"-Pos2",'Shooter-Squad Assignment'!$K:$K,0)),""),IF(F462="Trap",IFERROR(INDEX('Shooter-Squad Assignment'!$A:$A,MATCH(C462&amp;"-"&amp;E462&amp;"-"&amp;F462&amp;"-Pos2",'Shooter-Squad Assignment'!$W:$W,0)),""),IF(F462="Sporting Clays",IFERROR(INDEX('Shooter-Squad Assignment'!$A:$A,MATCH(C462&amp;"-"&amp;E462&amp;"-"&amp;F462&amp;"-Pos2",'Shooter-Squad Assignment'!$Z:$Z,0)),""),"")))</f>
        <v/>
      </c>
      <c r="J462" s="73" t="str">
        <f>IF(ISBLANK(I462),"",IFERROR(INDEX('Tournament List'!$D:$D,MATCH(I462,'Tournament List'!$A:$A,0)),""))</f>
        <v/>
      </c>
      <c r="K462" s="94" t="str">
        <f>IF(F462="Skeet",IFERROR(INDEX('Shooter-Squad Assignment'!$A:$A,MATCH(C462&amp;"-"&amp;E462&amp;"-"&amp;F462&amp;"-Pos3",'Shooter-Squad Assignment'!$K:$K,0)),""),IF(F462="Trap",IFERROR(INDEX('Shooter-Squad Assignment'!$A:$A,MATCH(C462&amp;"-"&amp;E462&amp;"-"&amp;F462&amp;"-Pos3",'Shooter-Squad Assignment'!$W:$W,0)),""),IF(F462="Sporting Clays",IFERROR(INDEX('Shooter-Squad Assignment'!$A:$A,MATCH(C462&amp;"-"&amp;E462&amp;"-"&amp;F462&amp;"-Pos3",'Shooter-Squad Assignment'!$Z:$Z,0)),""),"")))</f>
        <v/>
      </c>
      <c r="L462" s="73" t="str">
        <f>IF(ISBLANK(K462),"",IFERROR(INDEX('Tournament List'!$D:$D,MATCH(K462,'Tournament List'!$A:$A,0)),""))</f>
        <v/>
      </c>
      <c r="M462" s="94" t="str">
        <f>IF(F462="Skeet",IFERROR(INDEX('Shooter-Squad Assignment'!$A:$A,MATCH(C462&amp;"-"&amp;E462&amp;"-"&amp;F462&amp;"-Pos4",'Shooter-Squad Assignment'!$K:$K,0)),""),IF(F462="Trap",IFERROR(INDEX('Shooter-Squad Assignment'!$A:$A,MATCH(C462&amp;"-"&amp;E462&amp;"-"&amp;F462&amp;"-Pos4",'Shooter-Squad Assignment'!$W:$W,0)),""),IF(F462="Sporting Clays",IFERROR(INDEX('Shooter-Squad Assignment'!$A:$A,MATCH(C462&amp;"-"&amp;E462&amp;"-"&amp;F462&amp;"-Pos4",'Shooter-Squad Assignment'!$Z:$Z,0)),""),"")))</f>
        <v/>
      </c>
      <c r="N462" s="73" t="str">
        <f>IF(ISBLANK(M462),"",IFERROR(INDEX('Tournament List'!$D:$D,MATCH(M462,'Tournament List'!$A:$A,0)),""))</f>
        <v/>
      </c>
      <c r="O462" s="94" t="str">
        <f>IF(F462="Skeet",IFERROR(INDEX('Shooter-Squad Assignment'!$A:$A,MATCH(C462&amp;"-"&amp;E462&amp;"-"&amp;F462&amp;"-Pos5",'Shooter-Squad Assignment'!$K:$K,0)),""),IF(F462="Trap",IFERROR(INDEX('Shooter-Squad Assignment'!$A:$A,MATCH(C462&amp;"-"&amp;E462&amp;"-"&amp;F462&amp;"-Pos5",'Shooter-Squad Assignment'!$W:$W,0)),""),IF(F462="Sporting Clays",IFERROR(INDEX('Shooter-Squad Assignment'!$A:$A,MATCH(C462&amp;"-"&amp;E462&amp;"-"&amp;F462&amp;"-Pos5",'Shooter-Squad Assignment'!$Z:$Z,0)),""),"")))</f>
        <v/>
      </c>
      <c r="P462" s="79" t="str">
        <f>IF(ISBLANK(O462),"",IFERROR(INDEX('Tournament List'!$D:$D,MATCH(O462,'Tournament List'!$A:$A,0)),""))</f>
        <v/>
      </c>
    </row>
    <row r="463" spans="1:16" x14ac:dyDescent="0.3">
      <c r="A463" s="78">
        <v>462</v>
      </c>
      <c r="B463" s="73" t="str">
        <f>C463&amp;"-"&amp;E463&amp;"-"&amp;F463</f>
        <v>-Intermediate 3-Skeet</v>
      </c>
      <c r="C463" s="73"/>
      <c r="D463" s="73" t="str">
        <f>INDEX('Tournament Setup'!$B$59:$B$78,MATCH(E463,SquadConcurrents,0))</f>
        <v>Intermediate</v>
      </c>
      <c r="E463" s="73" t="s">
        <v>350</v>
      </c>
      <c r="F463" s="73" t="s">
        <v>143</v>
      </c>
      <c r="G463" s="94" t="str">
        <f>IF(F463="Skeet",IFERROR(INDEX('Shooter-Squad Assignment'!$A:$A,MATCH(C463&amp;"-"&amp;E463&amp;"-"&amp;F463&amp;"-Pos1",'Shooter-Squad Assignment'!$K:$K,0)),""),IF(F463="Trap",IFERROR(INDEX('Shooter-Squad Assignment'!$A:$A,MATCH(C463&amp;"-"&amp;E463&amp;"-"&amp;F463&amp;"-Pos1",'Shooter-Squad Assignment'!$W:$W,0)),""),IF(F463="Sporting Clays",IFERROR(INDEX('Shooter-Squad Assignment'!$A:$A,MATCH(C463&amp;"-"&amp;E463&amp;"-"&amp;F463&amp;"-Pos1",'Shooter-Squad Assignment'!$Z:$Z,0)),""),"")))</f>
        <v/>
      </c>
      <c r="H463" s="73" t="str">
        <f>IF(ISBLANK(G463),"",IFERROR(INDEX('Tournament List'!$D:$D,MATCH(G463,'Tournament List'!$A:$A,0)),""))</f>
        <v/>
      </c>
      <c r="I463" s="94" t="str">
        <f>IF(F463="Skeet",IFERROR(INDEX('Shooter-Squad Assignment'!$A:$A,MATCH(C463&amp;"-"&amp;E463&amp;"-"&amp;F463&amp;"-Pos2",'Shooter-Squad Assignment'!$K:$K,0)),""),IF(F463="Trap",IFERROR(INDEX('Shooter-Squad Assignment'!$A:$A,MATCH(C463&amp;"-"&amp;E463&amp;"-"&amp;F463&amp;"-Pos2",'Shooter-Squad Assignment'!$W:$W,0)),""),IF(F463="Sporting Clays",IFERROR(INDEX('Shooter-Squad Assignment'!$A:$A,MATCH(C463&amp;"-"&amp;E463&amp;"-"&amp;F463&amp;"-Pos2",'Shooter-Squad Assignment'!$Z:$Z,0)),""),"")))</f>
        <v/>
      </c>
      <c r="J463" s="73" t="str">
        <f>IF(ISBLANK(I463),"",IFERROR(INDEX('Tournament List'!$D:$D,MATCH(I463,'Tournament List'!$A:$A,0)),""))</f>
        <v/>
      </c>
      <c r="K463" s="94" t="str">
        <f>IF(F463="Skeet",IFERROR(INDEX('Shooter-Squad Assignment'!$A:$A,MATCH(C463&amp;"-"&amp;E463&amp;"-"&amp;F463&amp;"-Pos3",'Shooter-Squad Assignment'!$K:$K,0)),""),IF(F463="Trap",IFERROR(INDEX('Shooter-Squad Assignment'!$A:$A,MATCH(C463&amp;"-"&amp;E463&amp;"-"&amp;F463&amp;"-Pos3",'Shooter-Squad Assignment'!$W:$W,0)),""),IF(F463="Sporting Clays",IFERROR(INDEX('Shooter-Squad Assignment'!$A:$A,MATCH(C463&amp;"-"&amp;E463&amp;"-"&amp;F463&amp;"-Pos3",'Shooter-Squad Assignment'!$Z:$Z,0)),""),"")))</f>
        <v/>
      </c>
      <c r="L463" s="73" t="str">
        <f>IF(ISBLANK(K463),"",IFERROR(INDEX('Tournament List'!$D:$D,MATCH(K463,'Tournament List'!$A:$A,0)),""))</f>
        <v/>
      </c>
      <c r="M463" s="94" t="str">
        <f>IF(F463="Skeet",IFERROR(INDEX('Shooter-Squad Assignment'!$A:$A,MATCH(C463&amp;"-"&amp;E463&amp;"-"&amp;F463&amp;"-Pos4",'Shooter-Squad Assignment'!$K:$K,0)),""),IF(F463="Trap",IFERROR(INDEX('Shooter-Squad Assignment'!$A:$A,MATCH(C463&amp;"-"&amp;E463&amp;"-"&amp;F463&amp;"-Pos4",'Shooter-Squad Assignment'!$W:$W,0)),""),IF(F463="Sporting Clays",IFERROR(INDEX('Shooter-Squad Assignment'!$A:$A,MATCH(C463&amp;"-"&amp;E463&amp;"-"&amp;F463&amp;"-Pos4",'Shooter-Squad Assignment'!$Z:$Z,0)),""),"")))</f>
        <v/>
      </c>
      <c r="N463" s="73" t="str">
        <f>IF(ISBLANK(M463),"",IFERROR(INDEX('Tournament List'!$D:$D,MATCH(M463,'Tournament List'!$A:$A,0)),""))</f>
        <v/>
      </c>
      <c r="O463" s="94" t="str">
        <f>IF(F463="Skeet",IFERROR(INDEX('Shooter-Squad Assignment'!$A:$A,MATCH(C463&amp;"-"&amp;E463&amp;"-"&amp;F463&amp;"-Pos5",'Shooter-Squad Assignment'!$K:$K,0)),""),IF(F463="Trap",IFERROR(INDEX('Shooter-Squad Assignment'!$A:$A,MATCH(C463&amp;"-"&amp;E463&amp;"-"&amp;F463&amp;"-Pos5",'Shooter-Squad Assignment'!$W:$W,0)),""),IF(F463="Sporting Clays",IFERROR(INDEX('Shooter-Squad Assignment'!$A:$A,MATCH(C463&amp;"-"&amp;E463&amp;"-"&amp;F463&amp;"-Pos5",'Shooter-Squad Assignment'!$Z:$Z,0)),""),"")))</f>
        <v/>
      </c>
      <c r="P463" s="79" t="str">
        <f>IF(ISBLANK(O463),"",IFERROR(INDEX('Tournament List'!$D:$D,MATCH(O463,'Tournament List'!$A:$A,0)),""))</f>
        <v/>
      </c>
    </row>
    <row r="464" spans="1:16" x14ac:dyDescent="0.3">
      <c r="A464" s="78">
        <v>463</v>
      </c>
      <c r="B464" s="73" t="str">
        <f>C464&amp;"-"&amp;E464&amp;"-"&amp;F464</f>
        <v>-Junior Varsity 1-Skeet</v>
      </c>
      <c r="C464" s="73"/>
      <c r="D464" s="73" t="str">
        <f>INDEX('Tournament Setup'!$B$59:$B$78,MATCH(E464,SquadConcurrents,0))</f>
        <v>Junior Varsity</v>
      </c>
      <c r="E464" s="73" t="s">
        <v>339</v>
      </c>
      <c r="F464" s="73" t="s">
        <v>143</v>
      </c>
      <c r="G464" s="94" t="str">
        <f>IF(F464="Skeet",IFERROR(INDEX('Shooter-Squad Assignment'!$A:$A,MATCH(C464&amp;"-"&amp;E464&amp;"-"&amp;F464&amp;"-Pos1",'Shooter-Squad Assignment'!$K:$K,0)),""),IF(F464="Trap",IFERROR(INDEX('Shooter-Squad Assignment'!$A:$A,MATCH(C464&amp;"-"&amp;E464&amp;"-"&amp;F464&amp;"-Pos1",'Shooter-Squad Assignment'!$W:$W,0)),""),IF(F464="Sporting Clays",IFERROR(INDEX('Shooter-Squad Assignment'!$A:$A,MATCH(C464&amp;"-"&amp;E464&amp;"-"&amp;F464&amp;"-Pos1",'Shooter-Squad Assignment'!$Z:$Z,0)),""),"")))</f>
        <v/>
      </c>
      <c r="H464" s="73" t="str">
        <f>IF(ISBLANK(G464),"",IFERROR(INDEX('Tournament List'!$D:$D,MATCH(G464,'Tournament List'!$A:$A,0)),""))</f>
        <v/>
      </c>
      <c r="I464" s="94" t="str">
        <f>IF(F464="Skeet",IFERROR(INDEX('Shooter-Squad Assignment'!$A:$A,MATCH(C464&amp;"-"&amp;E464&amp;"-"&amp;F464&amp;"-Pos2",'Shooter-Squad Assignment'!$K:$K,0)),""),IF(F464="Trap",IFERROR(INDEX('Shooter-Squad Assignment'!$A:$A,MATCH(C464&amp;"-"&amp;E464&amp;"-"&amp;F464&amp;"-Pos2",'Shooter-Squad Assignment'!$W:$W,0)),""),IF(F464="Sporting Clays",IFERROR(INDEX('Shooter-Squad Assignment'!$A:$A,MATCH(C464&amp;"-"&amp;E464&amp;"-"&amp;F464&amp;"-Pos2",'Shooter-Squad Assignment'!$Z:$Z,0)),""),"")))</f>
        <v/>
      </c>
      <c r="J464" s="73" t="str">
        <f>IF(ISBLANK(I464),"",IFERROR(INDEX('Tournament List'!$D:$D,MATCH(I464,'Tournament List'!$A:$A,0)),""))</f>
        <v/>
      </c>
      <c r="K464" s="94" t="str">
        <f>IF(F464="Skeet",IFERROR(INDEX('Shooter-Squad Assignment'!$A:$A,MATCH(C464&amp;"-"&amp;E464&amp;"-"&amp;F464&amp;"-Pos3",'Shooter-Squad Assignment'!$K:$K,0)),""),IF(F464="Trap",IFERROR(INDEX('Shooter-Squad Assignment'!$A:$A,MATCH(C464&amp;"-"&amp;E464&amp;"-"&amp;F464&amp;"-Pos3",'Shooter-Squad Assignment'!$W:$W,0)),""),IF(F464="Sporting Clays",IFERROR(INDEX('Shooter-Squad Assignment'!$A:$A,MATCH(C464&amp;"-"&amp;E464&amp;"-"&amp;F464&amp;"-Pos3",'Shooter-Squad Assignment'!$Z:$Z,0)),""),"")))</f>
        <v/>
      </c>
      <c r="L464" s="73" t="str">
        <f>IF(ISBLANK(K464),"",IFERROR(INDEX('Tournament List'!$D:$D,MATCH(K464,'Tournament List'!$A:$A,0)),""))</f>
        <v/>
      </c>
      <c r="M464" s="94" t="str">
        <f>IF(F464="Skeet",IFERROR(INDEX('Shooter-Squad Assignment'!$A:$A,MATCH(C464&amp;"-"&amp;E464&amp;"-"&amp;F464&amp;"-Pos4",'Shooter-Squad Assignment'!$K:$K,0)),""),IF(F464="Trap",IFERROR(INDEX('Shooter-Squad Assignment'!$A:$A,MATCH(C464&amp;"-"&amp;E464&amp;"-"&amp;F464&amp;"-Pos4",'Shooter-Squad Assignment'!$W:$W,0)),""),IF(F464="Sporting Clays",IFERROR(INDEX('Shooter-Squad Assignment'!$A:$A,MATCH(C464&amp;"-"&amp;E464&amp;"-"&amp;F464&amp;"-Pos4",'Shooter-Squad Assignment'!$Z:$Z,0)),""),"")))</f>
        <v/>
      </c>
      <c r="N464" s="73" t="str">
        <f>IF(ISBLANK(M464),"",IFERROR(INDEX('Tournament List'!$D:$D,MATCH(M464,'Tournament List'!$A:$A,0)),""))</f>
        <v/>
      </c>
      <c r="O464" s="94" t="str">
        <f>IF(F464="Skeet",IFERROR(INDEX('Shooter-Squad Assignment'!$A:$A,MATCH(C464&amp;"-"&amp;E464&amp;"-"&amp;F464&amp;"-Pos5",'Shooter-Squad Assignment'!$K:$K,0)),""),IF(F464="Trap",IFERROR(INDEX('Shooter-Squad Assignment'!$A:$A,MATCH(C464&amp;"-"&amp;E464&amp;"-"&amp;F464&amp;"-Pos5",'Shooter-Squad Assignment'!$W:$W,0)),""),IF(F464="Sporting Clays",IFERROR(INDEX('Shooter-Squad Assignment'!$A:$A,MATCH(C464&amp;"-"&amp;E464&amp;"-"&amp;F464&amp;"-Pos5",'Shooter-Squad Assignment'!$Z:$Z,0)),""),"")))</f>
        <v/>
      </c>
      <c r="P464" s="79" t="str">
        <f>IF(ISBLANK(O464),"",IFERROR(INDEX('Tournament List'!$D:$D,MATCH(O464,'Tournament List'!$A:$A,0)),""))</f>
        <v/>
      </c>
    </row>
    <row r="465" spans="1:16" x14ac:dyDescent="0.3">
      <c r="A465" s="78">
        <v>464</v>
      </c>
      <c r="B465" s="73" t="str">
        <f>C465&amp;"-"&amp;E465&amp;"-"&amp;F465</f>
        <v>-Junior Varsity 2-Skeet</v>
      </c>
      <c r="C465" s="73"/>
      <c r="D465" s="73" t="str">
        <f>INDEX('Tournament Setup'!$B$59:$B$78,MATCH(E465,SquadConcurrents,0))</f>
        <v>Junior Varsity</v>
      </c>
      <c r="E465" s="73" t="s">
        <v>345</v>
      </c>
      <c r="F465" s="73" t="s">
        <v>143</v>
      </c>
      <c r="G465" s="94" t="str">
        <f>IF(F465="Skeet",IFERROR(INDEX('Shooter-Squad Assignment'!$A:$A,MATCH(C465&amp;"-"&amp;E465&amp;"-"&amp;F465&amp;"-Pos1",'Shooter-Squad Assignment'!$K:$K,0)),""),IF(F465="Trap",IFERROR(INDEX('Shooter-Squad Assignment'!$A:$A,MATCH(C465&amp;"-"&amp;E465&amp;"-"&amp;F465&amp;"-Pos1",'Shooter-Squad Assignment'!$W:$W,0)),""),IF(F465="Sporting Clays",IFERROR(INDEX('Shooter-Squad Assignment'!$A:$A,MATCH(C465&amp;"-"&amp;E465&amp;"-"&amp;F465&amp;"-Pos1",'Shooter-Squad Assignment'!$Z:$Z,0)),""),"")))</f>
        <v/>
      </c>
      <c r="H465" s="73" t="str">
        <f>IF(ISBLANK(G465),"",IFERROR(INDEX('Tournament List'!$D:$D,MATCH(G465,'Tournament List'!$A:$A,0)),""))</f>
        <v/>
      </c>
      <c r="I465" s="94" t="str">
        <f>IF(F465="Skeet",IFERROR(INDEX('Shooter-Squad Assignment'!$A:$A,MATCH(C465&amp;"-"&amp;E465&amp;"-"&amp;F465&amp;"-Pos2",'Shooter-Squad Assignment'!$K:$K,0)),""),IF(F465="Trap",IFERROR(INDEX('Shooter-Squad Assignment'!$A:$A,MATCH(C465&amp;"-"&amp;E465&amp;"-"&amp;F465&amp;"-Pos2",'Shooter-Squad Assignment'!$W:$W,0)),""),IF(F465="Sporting Clays",IFERROR(INDEX('Shooter-Squad Assignment'!$A:$A,MATCH(C465&amp;"-"&amp;E465&amp;"-"&amp;F465&amp;"-Pos2",'Shooter-Squad Assignment'!$Z:$Z,0)),""),"")))</f>
        <v/>
      </c>
      <c r="J465" s="73" t="str">
        <f>IF(ISBLANK(I465),"",IFERROR(INDEX('Tournament List'!$D:$D,MATCH(I465,'Tournament List'!$A:$A,0)),""))</f>
        <v/>
      </c>
      <c r="K465" s="94" t="str">
        <f>IF(F465="Skeet",IFERROR(INDEX('Shooter-Squad Assignment'!$A:$A,MATCH(C465&amp;"-"&amp;E465&amp;"-"&amp;F465&amp;"-Pos3",'Shooter-Squad Assignment'!$K:$K,0)),""),IF(F465="Trap",IFERROR(INDEX('Shooter-Squad Assignment'!$A:$A,MATCH(C465&amp;"-"&amp;E465&amp;"-"&amp;F465&amp;"-Pos3",'Shooter-Squad Assignment'!$W:$W,0)),""),IF(F465="Sporting Clays",IFERROR(INDEX('Shooter-Squad Assignment'!$A:$A,MATCH(C465&amp;"-"&amp;E465&amp;"-"&amp;F465&amp;"-Pos3",'Shooter-Squad Assignment'!$Z:$Z,0)),""),"")))</f>
        <v/>
      </c>
      <c r="L465" s="73" t="str">
        <f>IF(ISBLANK(K465),"",IFERROR(INDEX('Tournament List'!$D:$D,MATCH(K465,'Tournament List'!$A:$A,0)),""))</f>
        <v/>
      </c>
      <c r="M465" s="94" t="str">
        <f>IF(F465="Skeet",IFERROR(INDEX('Shooter-Squad Assignment'!$A:$A,MATCH(C465&amp;"-"&amp;E465&amp;"-"&amp;F465&amp;"-Pos4",'Shooter-Squad Assignment'!$K:$K,0)),""),IF(F465="Trap",IFERROR(INDEX('Shooter-Squad Assignment'!$A:$A,MATCH(C465&amp;"-"&amp;E465&amp;"-"&amp;F465&amp;"-Pos4",'Shooter-Squad Assignment'!$W:$W,0)),""),IF(F465="Sporting Clays",IFERROR(INDEX('Shooter-Squad Assignment'!$A:$A,MATCH(C465&amp;"-"&amp;E465&amp;"-"&amp;F465&amp;"-Pos4",'Shooter-Squad Assignment'!$Z:$Z,0)),""),"")))</f>
        <v/>
      </c>
      <c r="N465" s="73" t="str">
        <f>IF(ISBLANK(M465),"",IFERROR(INDEX('Tournament List'!$D:$D,MATCH(M465,'Tournament List'!$A:$A,0)),""))</f>
        <v/>
      </c>
      <c r="O465" s="94" t="str">
        <f>IF(F465="Skeet",IFERROR(INDEX('Shooter-Squad Assignment'!$A:$A,MATCH(C465&amp;"-"&amp;E465&amp;"-"&amp;F465&amp;"-Pos5",'Shooter-Squad Assignment'!$K:$K,0)),""),IF(F465="Trap",IFERROR(INDEX('Shooter-Squad Assignment'!$A:$A,MATCH(C465&amp;"-"&amp;E465&amp;"-"&amp;F465&amp;"-Pos5",'Shooter-Squad Assignment'!$W:$W,0)),""),IF(F465="Sporting Clays",IFERROR(INDEX('Shooter-Squad Assignment'!$A:$A,MATCH(C465&amp;"-"&amp;E465&amp;"-"&amp;F465&amp;"-Pos5",'Shooter-Squad Assignment'!$Z:$Z,0)),""),"")))</f>
        <v/>
      </c>
      <c r="P465" s="79" t="str">
        <f>IF(ISBLANK(O465),"",IFERROR(INDEX('Tournament List'!$D:$D,MATCH(O465,'Tournament List'!$A:$A,0)),""))</f>
        <v/>
      </c>
    </row>
    <row r="466" spans="1:16" x14ac:dyDescent="0.3">
      <c r="A466" s="78">
        <v>465</v>
      </c>
      <c r="B466" s="73" t="str">
        <f>C466&amp;"-"&amp;E466&amp;"-"&amp;F466</f>
        <v>-Junior Varsity 3-Skeet</v>
      </c>
      <c r="C466" s="73"/>
      <c r="D466" s="73" t="str">
        <f>INDEX('Tournament Setup'!$B$59:$B$78,MATCH(E466,SquadConcurrents,0))</f>
        <v>Junior Varsity</v>
      </c>
      <c r="E466" s="73" t="s">
        <v>351</v>
      </c>
      <c r="F466" s="73" t="s">
        <v>143</v>
      </c>
      <c r="G466" s="94" t="str">
        <f>IF(F466="Skeet",IFERROR(INDEX('Shooter-Squad Assignment'!$A:$A,MATCH(C466&amp;"-"&amp;E466&amp;"-"&amp;F466&amp;"-Pos1",'Shooter-Squad Assignment'!$K:$K,0)),""),IF(F466="Trap",IFERROR(INDEX('Shooter-Squad Assignment'!$A:$A,MATCH(C466&amp;"-"&amp;E466&amp;"-"&amp;F466&amp;"-Pos1",'Shooter-Squad Assignment'!$W:$W,0)),""),IF(F466="Sporting Clays",IFERROR(INDEX('Shooter-Squad Assignment'!$A:$A,MATCH(C466&amp;"-"&amp;E466&amp;"-"&amp;F466&amp;"-Pos1",'Shooter-Squad Assignment'!$Z:$Z,0)),""),"")))</f>
        <v/>
      </c>
      <c r="H466" s="73" t="str">
        <f>IF(ISBLANK(G466),"",IFERROR(INDEX('Tournament List'!$D:$D,MATCH(G466,'Tournament List'!$A:$A,0)),""))</f>
        <v/>
      </c>
      <c r="I466" s="94" t="str">
        <f>IF(F466="Skeet",IFERROR(INDEX('Shooter-Squad Assignment'!$A:$A,MATCH(C466&amp;"-"&amp;E466&amp;"-"&amp;F466&amp;"-Pos2",'Shooter-Squad Assignment'!$K:$K,0)),""),IF(F466="Trap",IFERROR(INDEX('Shooter-Squad Assignment'!$A:$A,MATCH(C466&amp;"-"&amp;E466&amp;"-"&amp;F466&amp;"-Pos2",'Shooter-Squad Assignment'!$W:$W,0)),""),IF(F466="Sporting Clays",IFERROR(INDEX('Shooter-Squad Assignment'!$A:$A,MATCH(C466&amp;"-"&amp;E466&amp;"-"&amp;F466&amp;"-Pos2",'Shooter-Squad Assignment'!$Z:$Z,0)),""),"")))</f>
        <v/>
      </c>
      <c r="J466" s="73" t="str">
        <f>IF(ISBLANK(I466),"",IFERROR(INDEX('Tournament List'!$D:$D,MATCH(I466,'Tournament List'!$A:$A,0)),""))</f>
        <v/>
      </c>
      <c r="K466" s="94" t="str">
        <f>IF(F466="Skeet",IFERROR(INDEX('Shooter-Squad Assignment'!$A:$A,MATCH(C466&amp;"-"&amp;E466&amp;"-"&amp;F466&amp;"-Pos3",'Shooter-Squad Assignment'!$K:$K,0)),""),IF(F466="Trap",IFERROR(INDEX('Shooter-Squad Assignment'!$A:$A,MATCH(C466&amp;"-"&amp;E466&amp;"-"&amp;F466&amp;"-Pos3",'Shooter-Squad Assignment'!$W:$W,0)),""),IF(F466="Sporting Clays",IFERROR(INDEX('Shooter-Squad Assignment'!$A:$A,MATCH(C466&amp;"-"&amp;E466&amp;"-"&amp;F466&amp;"-Pos3",'Shooter-Squad Assignment'!$Z:$Z,0)),""),"")))</f>
        <v/>
      </c>
      <c r="L466" s="73" t="str">
        <f>IF(ISBLANK(K466),"",IFERROR(INDEX('Tournament List'!$D:$D,MATCH(K466,'Tournament List'!$A:$A,0)),""))</f>
        <v/>
      </c>
      <c r="M466" s="94" t="str">
        <f>IF(F466="Skeet",IFERROR(INDEX('Shooter-Squad Assignment'!$A:$A,MATCH(C466&amp;"-"&amp;E466&amp;"-"&amp;F466&amp;"-Pos4",'Shooter-Squad Assignment'!$K:$K,0)),""),IF(F466="Trap",IFERROR(INDEX('Shooter-Squad Assignment'!$A:$A,MATCH(C466&amp;"-"&amp;E466&amp;"-"&amp;F466&amp;"-Pos4",'Shooter-Squad Assignment'!$W:$W,0)),""),IF(F466="Sporting Clays",IFERROR(INDEX('Shooter-Squad Assignment'!$A:$A,MATCH(C466&amp;"-"&amp;E466&amp;"-"&amp;F466&amp;"-Pos4",'Shooter-Squad Assignment'!$Z:$Z,0)),""),"")))</f>
        <v/>
      </c>
      <c r="N466" s="73" t="str">
        <f>IF(ISBLANK(M466),"",IFERROR(INDEX('Tournament List'!$D:$D,MATCH(M466,'Tournament List'!$A:$A,0)),""))</f>
        <v/>
      </c>
      <c r="O466" s="94" t="str">
        <f>IF(F466="Skeet",IFERROR(INDEX('Shooter-Squad Assignment'!$A:$A,MATCH(C466&amp;"-"&amp;E466&amp;"-"&amp;F466&amp;"-Pos5",'Shooter-Squad Assignment'!$K:$K,0)),""),IF(F466="Trap",IFERROR(INDEX('Shooter-Squad Assignment'!$A:$A,MATCH(C466&amp;"-"&amp;E466&amp;"-"&amp;F466&amp;"-Pos5",'Shooter-Squad Assignment'!$W:$W,0)),""),IF(F466="Sporting Clays",IFERROR(INDEX('Shooter-Squad Assignment'!$A:$A,MATCH(C466&amp;"-"&amp;E466&amp;"-"&amp;F466&amp;"-Pos5",'Shooter-Squad Assignment'!$Z:$Z,0)),""),"")))</f>
        <v/>
      </c>
      <c r="P466" s="79" t="str">
        <f>IF(ISBLANK(O466),"",IFERROR(INDEX('Tournament List'!$D:$D,MATCH(O466,'Tournament List'!$A:$A,0)),""))</f>
        <v/>
      </c>
    </row>
    <row r="467" spans="1:16" x14ac:dyDescent="0.3">
      <c r="A467" s="78">
        <v>466</v>
      </c>
      <c r="B467" s="73" t="str">
        <f>C467&amp;"-"&amp;E467&amp;"-"&amp;F467</f>
        <v>-Novice 1-Skeet</v>
      </c>
      <c r="C467" s="73"/>
      <c r="D467" s="73" t="str">
        <f>INDEX('Tournament Setup'!$B$59:$B$78,MATCH(E467,SquadConcurrents,0))</f>
        <v>Novice</v>
      </c>
      <c r="E467" s="73" t="s">
        <v>337</v>
      </c>
      <c r="F467" s="73" t="s">
        <v>143</v>
      </c>
      <c r="G467" s="94" t="str">
        <f>IF(F467="Skeet",IFERROR(INDEX('Shooter-Squad Assignment'!$A:$A,MATCH(C467&amp;"-"&amp;E467&amp;"-"&amp;F467&amp;"-Pos1",'Shooter-Squad Assignment'!$K:$K,0)),""),IF(F467="Trap",IFERROR(INDEX('Shooter-Squad Assignment'!$A:$A,MATCH(C467&amp;"-"&amp;E467&amp;"-"&amp;F467&amp;"-Pos1",'Shooter-Squad Assignment'!$W:$W,0)),""),IF(F467="Sporting Clays",IFERROR(INDEX('Shooter-Squad Assignment'!$A:$A,MATCH(C467&amp;"-"&amp;E467&amp;"-"&amp;F467&amp;"-Pos1",'Shooter-Squad Assignment'!$Z:$Z,0)),""),"")))</f>
        <v/>
      </c>
      <c r="H467" s="73" t="str">
        <f>IF(ISBLANK(G467),"",IFERROR(INDEX('Tournament List'!$D:$D,MATCH(G467,'Tournament List'!$A:$A,0)),""))</f>
        <v/>
      </c>
      <c r="I467" s="94" t="str">
        <f>IF(F467="Skeet",IFERROR(INDEX('Shooter-Squad Assignment'!$A:$A,MATCH(C467&amp;"-"&amp;E467&amp;"-"&amp;F467&amp;"-Pos2",'Shooter-Squad Assignment'!$K:$K,0)),""),IF(F467="Trap",IFERROR(INDEX('Shooter-Squad Assignment'!$A:$A,MATCH(C467&amp;"-"&amp;E467&amp;"-"&amp;F467&amp;"-Pos2",'Shooter-Squad Assignment'!$W:$W,0)),""),IF(F467="Sporting Clays",IFERROR(INDEX('Shooter-Squad Assignment'!$A:$A,MATCH(C467&amp;"-"&amp;E467&amp;"-"&amp;F467&amp;"-Pos2",'Shooter-Squad Assignment'!$Z:$Z,0)),""),"")))</f>
        <v/>
      </c>
      <c r="J467" s="73" t="str">
        <f>IF(ISBLANK(I467),"",IFERROR(INDEX('Tournament List'!$D:$D,MATCH(I467,'Tournament List'!$A:$A,0)),""))</f>
        <v/>
      </c>
      <c r="K467" s="94" t="str">
        <f>IF(F467="Skeet",IFERROR(INDEX('Shooter-Squad Assignment'!$A:$A,MATCH(C467&amp;"-"&amp;E467&amp;"-"&amp;F467&amp;"-Pos3",'Shooter-Squad Assignment'!$K:$K,0)),""),IF(F467="Trap",IFERROR(INDEX('Shooter-Squad Assignment'!$A:$A,MATCH(C467&amp;"-"&amp;E467&amp;"-"&amp;F467&amp;"-Pos3",'Shooter-Squad Assignment'!$W:$W,0)),""),IF(F467="Sporting Clays",IFERROR(INDEX('Shooter-Squad Assignment'!$A:$A,MATCH(C467&amp;"-"&amp;E467&amp;"-"&amp;F467&amp;"-Pos3",'Shooter-Squad Assignment'!$Z:$Z,0)),""),"")))</f>
        <v/>
      </c>
      <c r="L467" s="73" t="str">
        <f>IF(ISBLANK(K467),"",IFERROR(INDEX('Tournament List'!$D:$D,MATCH(K467,'Tournament List'!$A:$A,0)),""))</f>
        <v/>
      </c>
      <c r="M467" s="94" t="str">
        <f>IF(F467="Skeet",IFERROR(INDEX('Shooter-Squad Assignment'!$A:$A,MATCH(C467&amp;"-"&amp;E467&amp;"-"&amp;F467&amp;"-Pos4",'Shooter-Squad Assignment'!$K:$K,0)),""),IF(F467="Trap",IFERROR(INDEX('Shooter-Squad Assignment'!$A:$A,MATCH(C467&amp;"-"&amp;E467&amp;"-"&amp;F467&amp;"-Pos4",'Shooter-Squad Assignment'!$W:$W,0)),""),IF(F467="Sporting Clays",IFERROR(INDEX('Shooter-Squad Assignment'!$A:$A,MATCH(C467&amp;"-"&amp;E467&amp;"-"&amp;F467&amp;"-Pos4",'Shooter-Squad Assignment'!$Z:$Z,0)),""),"")))</f>
        <v/>
      </c>
      <c r="N467" s="73" t="str">
        <f>IF(ISBLANK(M467),"",IFERROR(INDEX('Tournament List'!$D:$D,MATCH(M467,'Tournament List'!$A:$A,0)),""))</f>
        <v/>
      </c>
      <c r="O467" s="94" t="str">
        <f>IF(F467="Skeet",IFERROR(INDEX('Shooter-Squad Assignment'!$A:$A,MATCH(C467&amp;"-"&amp;E467&amp;"-"&amp;F467&amp;"-Pos5",'Shooter-Squad Assignment'!$K:$K,0)),""),IF(F467="Trap",IFERROR(INDEX('Shooter-Squad Assignment'!$A:$A,MATCH(C467&amp;"-"&amp;E467&amp;"-"&amp;F467&amp;"-Pos5",'Shooter-Squad Assignment'!$W:$W,0)),""),IF(F467="Sporting Clays",IFERROR(INDEX('Shooter-Squad Assignment'!$A:$A,MATCH(C467&amp;"-"&amp;E467&amp;"-"&amp;F467&amp;"-Pos5",'Shooter-Squad Assignment'!$Z:$Z,0)),""),"")))</f>
        <v/>
      </c>
      <c r="P467" s="79" t="str">
        <f>IF(ISBLANK(O467),"",IFERROR(INDEX('Tournament List'!$D:$D,MATCH(O467,'Tournament List'!$A:$A,0)),""))</f>
        <v/>
      </c>
    </row>
    <row r="468" spans="1:16" x14ac:dyDescent="0.3">
      <c r="A468" s="78">
        <v>467</v>
      </c>
      <c r="B468" s="73" t="str">
        <f>C468&amp;"-"&amp;E468&amp;"-"&amp;F468</f>
        <v>-Novice 2-Skeet</v>
      </c>
      <c r="C468" s="73"/>
      <c r="D468" s="73" t="str">
        <f>INDEX('Tournament Setup'!$B$59:$B$78,MATCH(E468,SquadConcurrents,0))</f>
        <v>Novice</v>
      </c>
      <c r="E468" s="73" t="s">
        <v>343</v>
      </c>
      <c r="F468" s="73" t="s">
        <v>143</v>
      </c>
      <c r="G468" s="94" t="str">
        <f>IF(F468="Skeet",IFERROR(INDEX('Shooter-Squad Assignment'!$A:$A,MATCH(C468&amp;"-"&amp;E468&amp;"-"&amp;F468&amp;"-Pos1",'Shooter-Squad Assignment'!$K:$K,0)),""),IF(F468="Trap",IFERROR(INDEX('Shooter-Squad Assignment'!$A:$A,MATCH(C468&amp;"-"&amp;E468&amp;"-"&amp;F468&amp;"-Pos1",'Shooter-Squad Assignment'!$W:$W,0)),""),IF(F468="Sporting Clays",IFERROR(INDEX('Shooter-Squad Assignment'!$A:$A,MATCH(C468&amp;"-"&amp;E468&amp;"-"&amp;F468&amp;"-Pos1",'Shooter-Squad Assignment'!$Z:$Z,0)),""),"")))</f>
        <v/>
      </c>
      <c r="H468" s="73" t="str">
        <f>IF(ISBLANK(G468),"",IFERROR(INDEX('Tournament List'!$D:$D,MATCH(G468,'Tournament List'!$A:$A,0)),""))</f>
        <v/>
      </c>
      <c r="I468" s="94" t="str">
        <f>IF(F468="Skeet",IFERROR(INDEX('Shooter-Squad Assignment'!$A:$A,MATCH(C468&amp;"-"&amp;E468&amp;"-"&amp;F468&amp;"-Pos2",'Shooter-Squad Assignment'!$K:$K,0)),""),IF(F468="Trap",IFERROR(INDEX('Shooter-Squad Assignment'!$A:$A,MATCH(C468&amp;"-"&amp;E468&amp;"-"&amp;F468&amp;"-Pos2",'Shooter-Squad Assignment'!$W:$W,0)),""),IF(F468="Sporting Clays",IFERROR(INDEX('Shooter-Squad Assignment'!$A:$A,MATCH(C468&amp;"-"&amp;E468&amp;"-"&amp;F468&amp;"-Pos2",'Shooter-Squad Assignment'!$Z:$Z,0)),""),"")))</f>
        <v/>
      </c>
      <c r="J468" s="73" t="str">
        <f>IF(ISBLANK(I468),"",IFERROR(INDEX('Tournament List'!$D:$D,MATCH(I468,'Tournament List'!$A:$A,0)),""))</f>
        <v/>
      </c>
      <c r="K468" s="94" t="str">
        <f>IF(F468="Skeet",IFERROR(INDEX('Shooter-Squad Assignment'!$A:$A,MATCH(C468&amp;"-"&amp;E468&amp;"-"&amp;F468&amp;"-Pos3",'Shooter-Squad Assignment'!$K:$K,0)),""),IF(F468="Trap",IFERROR(INDEX('Shooter-Squad Assignment'!$A:$A,MATCH(C468&amp;"-"&amp;E468&amp;"-"&amp;F468&amp;"-Pos3",'Shooter-Squad Assignment'!$W:$W,0)),""),IF(F468="Sporting Clays",IFERROR(INDEX('Shooter-Squad Assignment'!$A:$A,MATCH(C468&amp;"-"&amp;E468&amp;"-"&amp;F468&amp;"-Pos3",'Shooter-Squad Assignment'!$Z:$Z,0)),""),"")))</f>
        <v/>
      </c>
      <c r="L468" s="73" t="str">
        <f>IF(ISBLANK(K468),"",IFERROR(INDEX('Tournament List'!$D:$D,MATCH(K468,'Tournament List'!$A:$A,0)),""))</f>
        <v/>
      </c>
      <c r="M468" s="94" t="str">
        <f>IF(F468="Skeet",IFERROR(INDEX('Shooter-Squad Assignment'!$A:$A,MATCH(C468&amp;"-"&amp;E468&amp;"-"&amp;F468&amp;"-Pos4",'Shooter-Squad Assignment'!$K:$K,0)),""),IF(F468="Trap",IFERROR(INDEX('Shooter-Squad Assignment'!$A:$A,MATCH(C468&amp;"-"&amp;E468&amp;"-"&amp;F468&amp;"-Pos4",'Shooter-Squad Assignment'!$W:$W,0)),""),IF(F468="Sporting Clays",IFERROR(INDEX('Shooter-Squad Assignment'!$A:$A,MATCH(C468&amp;"-"&amp;E468&amp;"-"&amp;F468&amp;"-Pos4",'Shooter-Squad Assignment'!$Z:$Z,0)),""),"")))</f>
        <v/>
      </c>
      <c r="N468" s="73" t="str">
        <f>IF(ISBLANK(M468),"",IFERROR(INDEX('Tournament List'!$D:$D,MATCH(M468,'Tournament List'!$A:$A,0)),""))</f>
        <v/>
      </c>
      <c r="O468" s="94" t="str">
        <f>IF(F468="Skeet",IFERROR(INDEX('Shooter-Squad Assignment'!$A:$A,MATCH(C468&amp;"-"&amp;E468&amp;"-"&amp;F468&amp;"-Pos5",'Shooter-Squad Assignment'!$K:$K,0)),""),IF(F468="Trap",IFERROR(INDEX('Shooter-Squad Assignment'!$A:$A,MATCH(C468&amp;"-"&amp;E468&amp;"-"&amp;F468&amp;"-Pos5",'Shooter-Squad Assignment'!$W:$W,0)),""),IF(F468="Sporting Clays",IFERROR(INDEX('Shooter-Squad Assignment'!$A:$A,MATCH(C468&amp;"-"&amp;E468&amp;"-"&amp;F468&amp;"-Pos5",'Shooter-Squad Assignment'!$Z:$Z,0)),""),"")))</f>
        <v/>
      </c>
      <c r="P468" s="79" t="str">
        <f>IF(ISBLANK(O468),"",IFERROR(INDEX('Tournament List'!$D:$D,MATCH(O468,'Tournament List'!$A:$A,0)),""))</f>
        <v/>
      </c>
    </row>
    <row r="469" spans="1:16" x14ac:dyDescent="0.3">
      <c r="A469" s="78">
        <v>468</v>
      </c>
      <c r="B469" s="73" t="str">
        <f>C469&amp;"-"&amp;E469&amp;"-"&amp;F469</f>
        <v>-Novice 3-Skeet</v>
      </c>
      <c r="C469" s="73"/>
      <c r="D469" s="73" t="str">
        <f>INDEX('Tournament Setup'!$B$59:$B$78,MATCH(E469,SquadConcurrents,0))</f>
        <v>Novice</v>
      </c>
      <c r="E469" s="73" t="s">
        <v>349</v>
      </c>
      <c r="F469" s="73" t="s">
        <v>143</v>
      </c>
      <c r="G469" s="94" t="str">
        <f>IF(F469="Skeet",IFERROR(INDEX('Shooter-Squad Assignment'!$A:$A,MATCH(C469&amp;"-"&amp;E469&amp;"-"&amp;F469&amp;"-Pos1",'Shooter-Squad Assignment'!$K:$K,0)),""),IF(F469="Trap",IFERROR(INDEX('Shooter-Squad Assignment'!$A:$A,MATCH(C469&amp;"-"&amp;E469&amp;"-"&amp;F469&amp;"-Pos1",'Shooter-Squad Assignment'!$W:$W,0)),""),IF(F469="Sporting Clays",IFERROR(INDEX('Shooter-Squad Assignment'!$A:$A,MATCH(C469&amp;"-"&amp;E469&amp;"-"&amp;F469&amp;"-Pos1",'Shooter-Squad Assignment'!$Z:$Z,0)),""),"")))</f>
        <v/>
      </c>
      <c r="H469" s="73" t="str">
        <f>IF(ISBLANK(G469),"",IFERROR(INDEX('Tournament List'!$D:$D,MATCH(G469,'Tournament List'!$A:$A,0)),""))</f>
        <v/>
      </c>
      <c r="I469" s="94" t="str">
        <f>IF(F469="Skeet",IFERROR(INDEX('Shooter-Squad Assignment'!$A:$A,MATCH(C469&amp;"-"&amp;E469&amp;"-"&amp;F469&amp;"-Pos2",'Shooter-Squad Assignment'!$K:$K,0)),""),IF(F469="Trap",IFERROR(INDEX('Shooter-Squad Assignment'!$A:$A,MATCH(C469&amp;"-"&amp;E469&amp;"-"&amp;F469&amp;"-Pos2",'Shooter-Squad Assignment'!$W:$W,0)),""),IF(F469="Sporting Clays",IFERROR(INDEX('Shooter-Squad Assignment'!$A:$A,MATCH(C469&amp;"-"&amp;E469&amp;"-"&amp;F469&amp;"-Pos2",'Shooter-Squad Assignment'!$Z:$Z,0)),""),"")))</f>
        <v/>
      </c>
      <c r="J469" s="73" t="str">
        <f>IF(ISBLANK(I469),"",IFERROR(INDEX('Tournament List'!$D:$D,MATCH(I469,'Tournament List'!$A:$A,0)),""))</f>
        <v/>
      </c>
      <c r="K469" s="94" t="str">
        <f>IF(F469="Skeet",IFERROR(INDEX('Shooter-Squad Assignment'!$A:$A,MATCH(C469&amp;"-"&amp;E469&amp;"-"&amp;F469&amp;"-Pos3",'Shooter-Squad Assignment'!$K:$K,0)),""),IF(F469="Trap",IFERROR(INDEX('Shooter-Squad Assignment'!$A:$A,MATCH(C469&amp;"-"&amp;E469&amp;"-"&amp;F469&amp;"-Pos3",'Shooter-Squad Assignment'!$W:$W,0)),""),IF(F469="Sporting Clays",IFERROR(INDEX('Shooter-Squad Assignment'!$A:$A,MATCH(C469&amp;"-"&amp;E469&amp;"-"&amp;F469&amp;"-Pos3",'Shooter-Squad Assignment'!$Z:$Z,0)),""),"")))</f>
        <v/>
      </c>
      <c r="L469" s="73" t="str">
        <f>IF(ISBLANK(K469),"",IFERROR(INDEX('Tournament List'!$D:$D,MATCH(K469,'Tournament List'!$A:$A,0)),""))</f>
        <v/>
      </c>
      <c r="M469" s="94" t="str">
        <f>IF(F469="Skeet",IFERROR(INDEX('Shooter-Squad Assignment'!$A:$A,MATCH(C469&amp;"-"&amp;E469&amp;"-"&amp;F469&amp;"-Pos4",'Shooter-Squad Assignment'!$K:$K,0)),""),IF(F469="Trap",IFERROR(INDEX('Shooter-Squad Assignment'!$A:$A,MATCH(C469&amp;"-"&amp;E469&amp;"-"&amp;F469&amp;"-Pos4",'Shooter-Squad Assignment'!$W:$W,0)),""),IF(F469="Sporting Clays",IFERROR(INDEX('Shooter-Squad Assignment'!$A:$A,MATCH(C469&amp;"-"&amp;E469&amp;"-"&amp;F469&amp;"-Pos4",'Shooter-Squad Assignment'!$Z:$Z,0)),""),"")))</f>
        <v/>
      </c>
      <c r="N469" s="73" t="str">
        <f>IF(ISBLANK(M469),"",IFERROR(INDEX('Tournament List'!$D:$D,MATCH(M469,'Tournament List'!$A:$A,0)),""))</f>
        <v/>
      </c>
      <c r="O469" s="94" t="str">
        <f>IF(F469="Skeet",IFERROR(INDEX('Shooter-Squad Assignment'!$A:$A,MATCH(C469&amp;"-"&amp;E469&amp;"-"&amp;F469&amp;"-Pos5",'Shooter-Squad Assignment'!$K:$K,0)),""),IF(F469="Trap",IFERROR(INDEX('Shooter-Squad Assignment'!$A:$A,MATCH(C469&amp;"-"&amp;E469&amp;"-"&amp;F469&amp;"-Pos5",'Shooter-Squad Assignment'!$W:$W,0)),""),IF(F469="Sporting Clays",IFERROR(INDEX('Shooter-Squad Assignment'!$A:$A,MATCH(C469&amp;"-"&amp;E469&amp;"-"&amp;F469&amp;"-Pos5",'Shooter-Squad Assignment'!$Z:$Z,0)),""),"")))</f>
        <v/>
      </c>
      <c r="P469" s="79" t="str">
        <f>IF(ISBLANK(O469),"",IFERROR(INDEX('Tournament List'!$D:$D,MATCH(O469,'Tournament List'!$A:$A,0)),""))</f>
        <v/>
      </c>
    </row>
    <row r="470" spans="1:16" x14ac:dyDescent="0.3">
      <c r="A470" s="78">
        <v>469</v>
      </c>
      <c r="B470" s="73" t="str">
        <f>C470&amp;"-"&amp;E470&amp;"-"&amp;F470</f>
        <v>-Open 1-Skeet</v>
      </c>
      <c r="C470" s="73"/>
      <c r="D470" s="73" t="str">
        <f>INDEX('Tournament Setup'!$B$59:$B$78,MATCH(E470,SquadConcurrents,0))</f>
        <v>Open</v>
      </c>
      <c r="E470" s="73" t="s">
        <v>341</v>
      </c>
      <c r="F470" s="73" t="s">
        <v>143</v>
      </c>
      <c r="G470" s="94" t="str">
        <f>IF(F470="Skeet",IFERROR(INDEX('Shooter-Squad Assignment'!$A:$A,MATCH(C470&amp;"-"&amp;E470&amp;"-"&amp;F470&amp;"-Pos1",'Shooter-Squad Assignment'!$K:$K,0)),""),IF(F470="Trap",IFERROR(INDEX('Shooter-Squad Assignment'!$A:$A,MATCH(C470&amp;"-"&amp;E470&amp;"-"&amp;F470&amp;"-Pos1",'Shooter-Squad Assignment'!$W:$W,0)),""),IF(F470="Sporting Clays",IFERROR(INDEX('Shooter-Squad Assignment'!$A:$A,MATCH(C470&amp;"-"&amp;E470&amp;"-"&amp;F470&amp;"-Pos1",'Shooter-Squad Assignment'!$Z:$Z,0)),""),"")))</f>
        <v/>
      </c>
      <c r="H470" s="73" t="str">
        <f>IF(ISBLANK(G470),"",IFERROR(INDEX('Tournament List'!$D:$D,MATCH(G470,'Tournament List'!$A:$A,0)),""))</f>
        <v/>
      </c>
      <c r="I470" s="94" t="str">
        <f>IF(F470="Skeet",IFERROR(INDEX('Shooter-Squad Assignment'!$A:$A,MATCH(C470&amp;"-"&amp;E470&amp;"-"&amp;F470&amp;"-Pos2",'Shooter-Squad Assignment'!$K:$K,0)),""),IF(F470="Trap",IFERROR(INDEX('Shooter-Squad Assignment'!$A:$A,MATCH(C470&amp;"-"&amp;E470&amp;"-"&amp;F470&amp;"-Pos2",'Shooter-Squad Assignment'!$W:$W,0)),""),IF(F470="Sporting Clays",IFERROR(INDEX('Shooter-Squad Assignment'!$A:$A,MATCH(C470&amp;"-"&amp;E470&amp;"-"&amp;F470&amp;"-Pos2",'Shooter-Squad Assignment'!$Z:$Z,0)),""),"")))</f>
        <v/>
      </c>
      <c r="J470" s="73" t="str">
        <f>IF(ISBLANK(I470),"",IFERROR(INDEX('Tournament List'!$D:$D,MATCH(I470,'Tournament List'!$A:$A,0)),""))</f>
        <v/>
      </c>
      <c r="K470" s="94" t="str">
        <f>IF(F470="Skeet",IFERROR(INDEX('Shooter-Squad Assignment'!$A:$A,MATCH(C470&amp;"-"&amp;E470&amp;"-"&amp;F470&amp;"-Pos3",'Shooter-Squad Assignment'!$K:$K,0)),""),IF(F470="Trap",IFERROR(INDEX('Shooter-Squad Assignment'!$A:$A,MATCH(C470&amp;"-"&amp;E470&amp;"-"&amp;F470&amp;"-Pos3",'Shooter-Squad Assignment'!$W:$W,0)),""),IF(F470="Sporting Clays",IFERROR(INDEX('Shooter-Squad Assignment'!$A:$A,MATCH(C470&amp;"-"&amp;E470&amp;"-"&amp;F470&amp;"-Pos3",'Shooter-Squad Assignment'!$Z:$Z,0)),""),"")))</f>
        <v/>
      </c>
      <c r="L470" s="73" t="str">
        <f>IF(ISBLANK(K470),"",IFERROR(INDEX('Tournament List'!$D:$D,MATCH(K470,'Tournament List'!$A:$A,0)),""))</f>
        <v/>
      </c>
      <c r="M470" s="94" t="str">
        <f>IF(F470="Skeet",IFERROR(INDEX('Shooter-Squad Assignment'!$A:$A,MATCH(C470&amp;"-"&amp;E470&amp;"-"&amp;F470&amp;"-Pos4",'Shooter-Squad Assignment'!$K:$K,0)),""),IF(F470="Trap",IFERROR(INDEX('Shooter-Squad Assignment'!$A:$A,MATCH(C470&amp;"-"&amp;E470&amp;"-"&amp;F470&amp;"-Pos4",'Shooter-Squad Assignment'!$W:$W,0)),""),IF(F470="Sporting Clays",IFERROR(INDEX('Shooter-Squad Assignment'!$A:$A,MATCH(C470&amp;"-"&amp;E470&amp;"-"&amp;F470&amp;"-Pos4",'Shooter-Squad Assignment'!$Z:$Z,0)),""),"")))</f>
        <v/>
      </c>
      <c r="N470" s="73" t="str">
        <f>IF(ISBLANK(M470),"",IFERROR(INDEX('Tournament List'!$D:$D,MATCH(M470,'Tournament List'!$A:$A,0)),""))</f>
        <v/>
      </c>
      <c r="O470" s="94" t="str">
        <f>IF(F470="Skeet",IFERROR(INDEX('Shooter-Squad Assignment'!$A:$A,MATCH(C470&amp;"-"&amp;E470&amp;"-"&amp;F470&amp;"-Pos5",'Shooter-Squad Assignment'!$K:$K,0)),""),IF(F470="Trap",IFERROR(INDEX('Shooter-Squad Assignment'!$A:$A,MATCH(C470&amp;"-"&amp;E470&amp;"-"&amp;F470&amp;"-Pos5",'Shooter-Squad Assignment'!$W:$W,0)),""),IF(F470="Sporting Clays",IFERROR(INDEX('Shooter-Squad Assignment'!$A:$A,MATCH(C470&amp;"-"&amp;E470&amp;"-"&amp;F470&amp;"-Pos5",'Shooter-Squad Assignment'!$Z:$Z,0)),""),"")))</f>
        <v/>
      </c>
      <c r="P470" s="79" t="str">
        <f>IF(ISBLANK(O470),"",IFERROR(INDEX('Tournament List'!$D:$D,MATCH(O470,'Tournament List'!$A:$A,0)),""))</f>
        <v/>
      </c>
    </row>
    <row r="471" spans="1:16" x14ac:dyDescent="0.3">
      <c r="A471" s="78">
        <v>470</v>
      </c>
      <c r="B471" s="73" t="str">
        <f>C471&amp;"-"&amp;E471&amp;"-"&amp;F471</f>
        <v>-Open 2-Skeet</v>
      </c>
      <c r="C471" s="73"/>
      <c r="D471" s="73" t="str">
        <f>INDEX('Tournament Setup'!$B$59:$B$78,MATCH(E471,SquadConcurrents,0))</f>
        <v>Open</v>
      </c>
      <c r="E471" s="73" t="s">
        <v>347</v>
      </c>
      <c r="F471" s="73" t="s">
        <v>143</v>
      </c>
      <c r="G471" s="94" t="str">
        <f>IF(F471="Skeet",IFERROR(INDEX('Shooter-Squad Assignment'!$A:$A,MATCH(C471&amp;"-"&amp;E471&amp;"-"&amp;F471&amp;"-Pos1",'Shooter-Squad Assignment'!$K:$K,0)),""),IF(F471="Trap",IFERROR(INDEX('Shooter-Squad Assignment'!$A:$A,MATCH(C471&amp;"-"&amp;E471&amp;"-"&amp;F471&amp;"-Pos1",'Shooter-Squad Assignment'!$W:$W,0)),""),IF(F471="Sporting Clays",IFERROR(INDEX('Shooter-Squad Assignment'!$A:$A,MATCH(C471&amp;"-"&amp;E471&amp;"-"&amp;F471&amp;"-Pos1",'Shooter-Squad Assignment'!$Z:$Z,0)),""),"")))</f>
        <v/>
      </c>
      <c r="H471" s="73" t="str">
        <f>IF(ISBLANK(G471),"",IFERROR(INDEX('Tournament List'!$D:$D,MATCH(G471,'Tournament List'!$A:$A,0)),""))</f>
        <v/>
      </c>
      <c r="I471" s="94" t="str">
        <f>IF(F471="Skeet",IFERROR(INDEX('Shooter-Squad Assignment'!$A:$A,MATCH(C471&amp;"-"&amp;E471&amp;"-"&amp;F471&amp;"-Pos2",'Shooter-Squad Assignment'!$K:$K,0)),""),IF(F471="Trap",IFERROR(INDEX('Shooter-Squad Assignment'!$A:$A,MATCH(C471&amp;"-"&amp;E471&amp;"-"&amp;F471&amp;"-Pos2",'Shooter-Squad Assignment'!$W:$W,0)),""),IF(F471="Sporting Clays",IFERROR(INDEX('Shooter-Squad Assignment'!$A:$A,MATCH(C471&amp;"-"&amp;E471&amp;"-"&amp;F471&amp;"-Pos2",'Shooter-Squad Assignment'!$Z:$Z,0)),""),"")))</f>
        <v/>
      </c>
      <c r="J471" s="73" t="str">
        <f>IF(ISBLANK(I471),"",IFERROR(INDEX('Tournament List'!$D:$D,MATCH(I471,'Tournament List'!$A:$A,0)),""))</f>
        <v/>
      </c>
      <c r="K471" s="94" t="str">
        <f>IF(F471="Skeet",IFERROR(INDEX('Shooter-Squad Assignment'!$A:$A,MATCH(C471&amp;"-"&amp;E471&amp;"-"&amp;F471&amp;"-Pos3",'Shooter-Squad Assignment'!$K:$K,0)),""),IF(F471="Trap",IFERROR(INDEX('Shooter-Squad Assignment'!$A:$A,MATCH(C471&amp;"-"&amp;E471&amp;"-"&amp;F471&amp;"-Pos3",'Shooter-Squad Assignment'!$W:$W,0)),""),IF(F471="Sporting Clays",IFERROR(INDEX('Shooter-Squad Assignment'!$A:$A,MATCH(C471&amp;"-"&amp;E471&amp;"-"&amp;F471&amp;"-Pos3",'Shooter-Squad Assignment'!$Z:$Z,0)),""),"")))</f>
        <v/>
      </c>
      <c r="L471" s="73" t="str">
        <f>IF(ISBLANK(K471),"",IFERROR(INDEX('Tournament List'!$D:$D,MATCH(K471,'Tournament List'!$A:$A,0)),""))</f>
        <v/>
      </c>
      <c r="M471" s="94" t="str">
        <f>IF(F471="Skeet",IFERROR(INDEX('Shooter-Squad Assignment'!$A:$A,MATCH(C471&amp;"-"&amp;E471&amp;"-"&amp;F471&amp;"-Pos4",'Shooter-Squad Assignment'!$K:$K,0)),""),IF(F471="Trap",IFERROR(INDEX('Shooter-Squad Assignment'!$A:$A,MATCH(C471&amp;"-"&amp;E471&amp;"-"&amp;F471&amp;"-Pos4",'Shooter-Squad Assignment'!$W:$W,0)),""),IF(F471="Sporting Clays",IFERROR(INDEX('Shooter-Squad Assignment'!$A:$A,MATCH(C471&amp;"-"&amp;E471&amp;"-"&amp;F471&amp;"-Pos4",'Shooter-Squad Assignment'!$Z:$Z,0)),""),"")))</f>
        <v/>
      </c>
      <c r="N471" s="73" t="str">
        <f>IF(ISBLANK(M471),"",IFERROR(INDEX('Tournament List'!$D:$D,MATCH(M471,'Tournament List'!$A:$A,0)),""))</f>
        <v/>
      </c>
      <c r="O471" s="94" t="str">
        <f>IF(F471="Skeet",IFERROR(INDEX('Shooter-Squad Assignment'!$A:$A,MATCH(C471&amp;"-"&amp;E471&amp;"-"&amp;F471&amp;"-Pos5",'Shooter-Squad Assignment'!$K:$K,0)),""),IF(F471="Trap",IFERROR(INDEX('Shooter-Squad Assignment'!$A:$A,MATCH(C471&amp;"-"&amp;E471&amp;"-"&amp;F471&amp;"-Pos5",'Shooter-Squad Assignment'!$W:$W,0)),""),IF(F471="Sporting Clays",IFERROR(INDEX('Shooter-Squad Assignment'!$A:$A,MATCH(C471&amp;"-"&amp;E471&amp;"-"&amp;F471&amp;"-Pos5",'Shooter-Squad Assignment'!$Z:$Z,0)),""),"")))</f>
        <v/>
      </c>
      <c r="P471" s="79" t="str">
        <f>IF(ISBLANK(O471),"",IFERROR(INDEX('Tournament List'!$D:$D,MATCH(O471,'Tournament List'!$A:$A,0)),""))</f>
        <v/>
      </c>
    </row>
    <row r="472" spans="1:16" x14ac:dyDescent="0.3">
      <c r="A472" s="78">
        <v>471</v>
      </c>
      <c r="B472" s="73" t="str">
        <f>C472&amp;"-"&amp;E472&amp;"-"&amp;F472</f>
        <v>-Open 3-Skeet</v>
      </c>
      <c r="C472" s="73"/>
      <c r="D472" s="73" t="str">
        <f>INDEX('Tournament Setup'!$B$59:$B$78,MATCH(E472,SquadConcurrents,0))</f>
        <v>Open</v>
      </c>
      <c r="E472" s="73" t="s">
        <v>353</v>
      </c>
      <c r="F472" s="73" t="s">
        <v>143</v>
      </c>
      <c r="G472" s="94" t="str">
        <f>IF(F472="Skeet",IFERROR(INDEX('Shooter-Squad Assignment'!$A:$A,MATCH(C472&amp;"-"&amp;E472&amp;"-"&amp;F472&amp;"-Pos1",'Shooter-Squad Assignment'!$K:$K,0)),""),IF(F472="Trap",IFERROR(INDEX('Shooter-Squad Assignment'!$A:$A,MATCH(C472&amp;"-"&amp;E472&amp;"-"&amp;F472&amp;"-Pos1",'Shooter-Squad Assignment'!$W:$W,0)),""),IF(F472="Sporting Clays",IFERROR(INDEX('Shooter-Squad Assignment'!$A:$A,MATCH(C472&amp;"-"&amp;E472&amp;"-"&amp;F472&amp;"-Pos1",'Shooter-Squad Assignment'!$Z:$Z,0)),""),"")))</f>
        <v/>
      </c>
      <c r="H472" s="73" t="str">
        <f>IF(ISBLANK(G472),"",IFERROR(INDEX('Tournament List'!$D:$D,MATCH(G472,'Tournament List'!$A:$A,0)),""))</f>
        <v/>
      </c>
      <c r="I472" s="94" t="str">
        <f>IF(F472="Skeet",IFERROR(INDEX('Shooter-Squad Assignment'!$A:$A,MATCH(C472&amp;"-"&amp;E472&amp;"-"&amp;F472&amp;"-Pos2",'Shooter-Squad Assignment'!$K:$K,0)),""),IF(F472="Trap",IFERROR(INDEX('Shooter-Squad Assignment'!$A:$A,MATCH(C472&amp;"-"&amp;E472&amp;"-"&amp;F472&amp;"-Pos2",'Shooter-Squad Assignment'!$W:$W,0)),""),IF(F472="Sporting Clays",IFERROR(INDEX('Shooter-Squad Assignment'!$A:$A,MATCH(C472&amp;"-"&amp;E472&amp;"-"&amp;F472&amp;"-Pos2",'Shooter-Squad Assignment'!$Z:$Z,0)),""),"")))</f>
        <v/>
      </c>
      <c r="J472" s="73" t="str">
        <f>IF(ISBLANK(I472),"",IFERROR(INDEX('Tournament List'!$D:$D,MATCH(I472,'Tournament List'!$A:$A,0)),""))</f>
        <v/>
      </c>
      <c r="K472" s="94" t="str">
        <f>IF(F472="Skeet",IFERROR(INDEX('Shooter-Squad Assignment'!$A:$A,MATCH(C472&amp;"-"&amp;E472&amp;"-"&amp;F472&amp;"-Pos3",'Shooter-Squad Assignment'!$K:$K,0)),""),IF(F472="Trap",IFERROR(INDEX('Shooter-Squad Assignment'!$A:$A,MATCH(C472&amp;"-"&amp;E472&amp;"-"&amp;F472&amp;"-Pos3",'Shooter-Squad Assignment'!$W:$W,0)),""),IF(F472="Sporting Clays",IFERROR(INDEX('Shooter-Squad Assignment'!$A:$A,MATCH(C472&amp;"-"&amp;E472&amp;"-"&amp;F472&amp;"-Pos3",'Shooter-Squad Assignment'!$Z:$Z,0)),""),"")))</f>
        <v/>
      </c>
      <c r="L472" s="73" t="str">
        <f>IF(ISBLANK(K472),"",IFERROR(INDEX('Tournament List'!$D:$D,MATCH(K472,'Tournament List'!$A:$A,0)),""))</f>
        <v/>
      </c>
      <c r="M472" s="94" t="str">
        <f>IF(F472="Skeet",IFERROR(INDEX('Shooter-Squad Assignment'!$A:$A,MATCH(C472&amp;"-"&amp;E472&amp;"-"&amp;F472&amp;"-Pos4",'Shooter-Squad Assignment'!$K:$K,0)),""),IF(F472="Trap",IFERROR(INDEX('Shooter-Squad Assignment'!$A:$A,MATCH(C472&amp;"-"&amp;E472&amp;"-"&amp;F472&amp;"-Pos4",'Shooter-Squad Assignment'!$W:$W,0)),""),IF(F472="Sporting Clays",IFERROR(INDEX('Shooter-Squad Assignment'!$A:$A,MATCH(C472&amp;"-"&amp;E472&amp;"-"&amp;F472&amp;"-Pos4",'Shooter-Squad Assignment'!$Z:$Z,0)),""),"")))</f>
        <v/>
      </c>
      <c r="N472" s="73" t="str">
        <f>IF(ISBLANK(M472),"",IFERROR(INDEX('Tournament List'!$D:$D,MATCH(M472,'Tournament List'!$A:$A,0)),""))</f>
        <v/>
      </c>
      <c r="O472" s="94" t="str">
        <f>IF(F472="Skeet",IFERROR(INDEX('Shooter-Squad Assignment'!$A:$A,MATCH(C472&amp;"-"&amp;E472&amp;"-"&amp;F472&amp;"-Pos5",'Shooter-Squad Assignment'!$K:$K,0)),""),IF(F472="Trap",IFERROR(INDEX('Shooter-Squad Assignment'!$A:$A,MATCH(C472&amp;"-"&amp;E472&amp;"-"&amp;F472&amp;"-Pos5",'Shooter-Squad Assignment'!$W:$W,0)),""),IF(F472="Sporting Clays",IFERROR(INDEX('Shooter-Squad Assignment'!$A:$A,MATCH(C472&amp;"-"&amp;E472&amp;"-"&amp;F472&amp;"-Pos5",'Shooter-Squad Assignment'!$Z:$Z,0)),""),"")))</f>
        <v/>
      </c>
      <c r="P472" s="79" t="str">
        <f>IF(ISBLANK(O472),"",IFERROR(INDEX('Tournament List'!$D:$D,MATCH(O472,'Tournament List'!$A:$A,0)),""))</f>
        <v/>
      </c>
    </row>
    <row r="473" spans="1:16" x14ac:dyDescent="0.3">
      <c r="A473" s="78">
        <v>472</v>
      </c>
      <c r="B473" s="73" t="str">
        <f>C473&amp;"-"&amp;E473&amp;"-"&amp;F473</f>
        <v>-Unassigned 1-Skeet</v>
      </c>
      <c r="C473" s="73"/>
      <c r="D473" s="73" t="str">
        <f>INDEX('Tournament Setup'!$B$59:$B$78,MATCH(E473,SquadConcurrents,0))</f>
        <v>Unassigned</v>
      </c>
      <c r="E473" s="73" t="s">
        <v>762</v>
      </c>
      <c r="F473" s="73" t="s">
        <v>143</v>
      </c>
      <c r="G473" s="94" t="str">
        <f>IF(F473="Skeet",IFERROR(INDEX('Shooter-Squad Assignment'!$A:$A,MATCH(C473&amp;"-"&amp;E473&amp;"-"&amp;F473&amp;"-Pos1",'Shooter-Squad Assignment'!$K:$K,0)),""),IF(F473="Trap",IFERROR(INDEX('Shooter-Squad Assignment'!$A:$A,MATCH(C473&amp;"-"&amp;E473&amp;"-"&amp;F473&amp;"-Pos1",'Shooter-Squad Assignment'!$W:$W,0)),""),IF(F473="Sporting Clays",IFERROR(INDEX('Shooter-Squad Assignment'!$A:$A,MATCH(C473&amp;"-"&amp;E473&amp;"-"&amp;F473&amp;"-Pos1",'Shooter-Squad Assignment'!$Z:$Z,0)),""),"")))</f>
        <v/>
      </c>
      <c r="H473" s="73" t="str">
        <f>IF(ISBLANK(G473),"",IFERROR(INDEX('Tournament List'!$D:$D,MATCH(G473,'Tournament List'!$A:$A,0)),""))</f>
        <v/>
      </c>
      <c r="I473" s="94" t="str">
        <f>IF(F473="Skeet",IFERROR(INDEX('Shooter-Squad Assignment'!$A:$A,MATCH(C473&amp;"-"&amp;E473&amp;"-"&amp;F473&amp;"-Pos2",'Shooter-Squad Assignment'!$K:$K,0)),""),IF(F473="Trap",IFERROR(INDEX('Shooter-Squad Assignment'!$A:$A,MATCH(C473&amp;"-"&amp;E473&amp;"-"&amp;F473&amp;"-Pos2",'Shooter-Squad Assignment'!$W:$W,0)),""),IF(F473="Sporting Clays",IFERROR(INDEX('Shooter-Squad Assignment'!$A:$A,MATCH(C473&amp;"-"&amp;E473&amp;"-"&amp;F473&amp;"-Pos2",'Shooter-Squad Assignment'!$Z:$Z,0)),""),"")))</f>
        <v/>
      </c>
      <c r="J473" s="73" t="str">
        <f>IF(ISBLANK(I473),"",IFERROR(INDEX('Tournament List'!$D:$D,MATCH(I473,'Tournament List'!$A:$A,0)),""))</f>
        <v/>
      </c>
      <c r="K473" s="94" t="str">
        <f>IF(F473="Skeet",IFERROR(INDEX('Shooter-Squad Assignment'!$A:$A,MATCH(C473&amp;"-"&amp;E473&amp;"-"&amp;F473&amp;"-Pos3",'Shooter-Squad Assignment'!$K:$K,0)),""),IF(F473="Trap",IFERROR(INDEX('Shooter-Squad Assignment'!$A:$A,MATCH(C473&amp;"-"&amp;E473&amp;"-"&amp;F473&amp;"-Pos3",'Shooter-Squad Assignment'!$W:$W,0)),""),IF(F473="Sporting Clays",IFERROR(INDEX('Shooter-Squad Assignment'!$A:$A,MATCH(C473&amp;"-"&amp;E473&amp;"-"&amp;F473&amp;"-Pos3",'Shooter-Squad Assignment'!$Z:$Z,0)),""),"")))</f>
        <v/>
      </c>
      <c r="L473" s="73" t="str">
        <f>IF(ISBLANK(K473),"",IFERROR(INDEX('Tournament List'!$D:$D,MATCH(K473,'Tournament List'!$A:$A,0)),""))</f>
        <v/>
      </c>
      <c r="M473" s="94" t="str">
        <f>IF(F473="Skeet",IFERROR(INDEX('Shooter-Squad Assignment'!$A:$A,MATCH(C473&amp;"-"&amp;E473&amp;"-"&amp;F473&amp;"-Pos4",'Shooter-Squad Assignment'!$K:$K,0)),""),IF(F473="Trap",IFERROR(INDEX('Shooter-Squad Assignment'!$A:$A,MATCH(C473&amp;"-"&amp;E473&amp;"-"&amp;F473&amp;"-Pos4",'Shooter-Squad Assignment'!$W:$W,0)),""),IF(F473="Sporting Clays",IFERROR(INDEX('Shooter-Squad Assignment'!$A:$A,MATCH(C473&amp;"-"&amp;E473&amp;"-"&amp;F473&amp;"-Pos4",'Shooter-Squad Assignment'!$Z:$Z,0)),""),"")))</f>
        <v/>
      </c>
      <c r="N473" s="73" t="str">
        <f>IF(ISBLANK(M473),"",IFERROR(INDEX('Tournament List'!$D:$D,MATCH(M473,'Tournament List'!$A:$A,0)),""))</f>
        <v/>
      </c>
      <c r="O473" s="94" t="str">
        <f>IF(F473="Skeet",IFERROR(INDEX('Shooter-Squad Assignment'!$A:$A,MATCH(C473&amp;"-"&amp;E473&amp;"-"&amp;F473&amp;"-Pos5",'Shooter-Squad Assignment'!$K:$K,0)),""),IF(F473="Trap",IFERROR(INDEX('Shooter-Squad Assignment'!$A:$A,MATCH(C473&amp;"-"&amp;E473&amp;"-"&amp;F473&amp;"-Pos5",'Shooter-Squad Assignment'!$W:$W,0)),""),IF(F473="Sporting Clays",IFERROR(INDEX('Shooter-Squad Assignment'!$A:$A,MATCH(C473&amp;"-"&amp;E473&amp;"-"&amp;F473&amp;"-Pos5",'Shooter-Squad Assignment'!$Z:$Z,0)),""),"")))</f>
        <v/>
      </c>
      <c r="P473" s="79" t="str">
        <f>IF(ISBLANK(O473),"",IFERROR(INDEX('Tournament List'!$D:$D,MATCH(O473,'Tournament List'!$A:$A,0)),""))</f>
        <v/>
      </c>
    </row>
    <row r="474" spans="1:16" x14ac:dyDescent="0.3">
      <c r="A474" s="78">
        <v>473</v>
      </c>
      <c r="B474" s="73" t="str">
        <f>C474&amp;"-"&amp;E474&amp;"-"&amp;F474</f>
        <v>-Varsity 1-Skeet</v>
      </c>
      <c r="C474" s="73"/>
      <c r="D474" s="73" t="str">
        <f>INDEX('Tournament Setup'!$B$59:$B$78,MATCH(E474,SquadConcurrents,0))</f>
        <v>Varsity</v>
      </c>
      <c r="E474" s="73" t="s">
        <v>340</v>
      </c>
      <c r="F474" s="73" t="s">
        <v>143</v>
      </c>
      <c r="G474" s="94" t="str">
        <f>IF(F474="Skeet",IFERROR(INDEX('Shooter-Squad Assignment'!$A:$A,MATCH(C474&amp;"-"&amp;E474&amp;"-"&amp;F474&amp;"-Pos1",'Shooter-Squad Assignment'!$K:$K,0)),""),IF(F474="Trap",IFERROR(INDEX('Shooter-Squad Assignment'!$A:$A,MATCH(C474&amp;"-"&amp;E474&amp;"-"&amp;F474&amp;"-Pos1",'Shooter-Squad Assignment'!$W:$W,0)),""),IF(F474="Sporting Clays",IFERROR(INDEX('Shooter-Squad Assignment'!$A:$A,MATCH(C474&amp;"-"&amp;E474&amp;"-"&amp;F474&amp;"-Pos1",'Shooter-Squad Assignment'!$Z:$Z,0)),""),"")))</f>
        <v/>
      </c>
      <c r="H474" s="73" t="str">
        <f>IF(ISBLANK(G474),"",IFERROR(INDEX('Tournament List'!$D:$D,MATCH(G474,'Tournament List'!$A:$A,0)),""))</f>
        <v/>
      </c>
      <c r="I474" s="94" t="str">
        <f>IF(F474="Skeet",IFERROR(INDEX('Shooter-Squad Assignment'!$A:$A,MATCH(C474&amp;"-"&amp;E474&amp;"-"&amp;F474&amp;"-Pos2",'Shooter-Squad Assignment'!$K:$K,0)),""),IF(F474="Trap",IFERROR(INDEX('Shooter-Squad Assignment'!$A:$A,MATCH(C474&amp;"-"&amp;E474&amp;"-"&amp;F474&amp;"-Pos2",'Shooter-Squad Assignment'!$W:$W,0)),""),IF(F474="Sporting Clays",IFERROR(INDEX('Shooter-Squad Assignment'!$A:$A,MATCH(C474&amp;"-"&amp;E474&amp;"-"&amp;F474&amp;"-Pos2",'Shooter-Squad Assignment'!$Z:$Z,0)),""),"")))</f>
        <v/>
      </c>
      <c r="J474" s="73" t="str">
        <f>IF(ISBLANK(I474),"",IFERROR(INDEX('Tournament List'!$D:$D,MATCH(I474,'Tournament List'!$A:$A,0)),""))</f>
        <v/>
      </c>
      <c r="K474" s="94" t="str">
        <f>IF(F474="Skeet",IFERROR(INDEX('Shooter-Squad Assignment'!$A:$A,MATCH(C474&amp;"-"&amp;E474&amp;"-"&amp;F474&amp;"-Pos3",'Shooter-Squad Assignment'!$K:$K,0)),""),IF(F474="Trap",IFERROR(INDEX('Shooter-Squad Assignment'!$A:$A,MATCH(C474&amp;"-"&amp;E474&amp;"-"&amp;F474&amp;"-Pos3",'Shooter-Squad Assignment'!$W:$W,0)),""),IF(F474="Sporting Clays",IFERROR(INDEX('Shooter-Squad Assignment'!$A:$A,MATCH(C474&amp;"-"&amp;E474&amp;"-"&amp;F474&amp;"-Pos3",'Shooter-Squad Assignment'!$Z:$Z,0)),""),"")))</f>
        <v/>
      </c>
      <c r="L474" s="73" t="str">
        <f>IF(ISBLANK(K474),"",IFERROR(INDEX('Tournament List'!$D:$D,MATCH(K474,'Tournament List'!$A:$A,0)),""))</f>
        <v/>
      </c>
      <c r="M474" s="94" t="str">
        <f>IF(F474="Skeet",IFERROR(INDEX('Shooter-Squad Assignment'!$A:$A,MATCH(C474&amp;"-"&amp;E474&amp;"-"&amp;F474&amp;"-Pos4",'Shooter-Squad Assignment'!$K:$K,0)),""),IF(F474="Trap",IFERROR(INDEX('Shooter-Squad Assignment'!$A:$A,MATCH(C474&amp;"-"&amp;E474&amp;"-"&amp;F474&amp;"-Pos4",'Shooter-Squad Assignment'!$W:$W,0)),""),IF(F474="Sporting Clays",IFERROR(INDEX('Shooter-Squad Assignment'!$A:$A,MATCH(C474&amp;"-"&amp;E474&amp;"-"&amp;F474&amp;"-Pos4",'Shooter-Squad Assignment'!$Z:$Z,0)),""),"")))</f>
        <v/>
      </c>
      <c r="N474" s="73" t="str">
        <f>IF(ISBLANK(M474),"",IFERROR(INDEX('Tournament List'!$D:$D,MATCH(M474,'Tournament List'!$A:$A,0)),""))</f>
        <v/>
      </c>
      <c r="O474" s="94" t="str">
        <f>IF(F474="Skeet",IFERROR(INDEX('Shooter-Squad Assignment'!$A:$A,MATCH(C474&amp;"-"&amp;E474&amp;"-"&amp;F474&amp;"-Pos5",'Shooter-Squad Assignment'!$K:$K,0)),""),IF(F474="Trap",IFERROR(INDEX('Shooter-Squad Assignment'!$A:$A,MATCH(C474&amp;"-"&amp;E474&amp;"-"&amp;F474&amp;"-Pos5",'Shooter-Squad Assignment'!$W:$W,0)),""),IF(F474="Sporting Clays",IFERROR(INDEX('Shooter-Squad Assignment'!$A:$A,MATCH(C474&amp;"-"&amp;E474&amp;"-"&amp;F474&amp;"-Pos5",'Shooter-Squad Assignment'!$Z:$Z,0)),""),"")))</f>
        <v/>
      </c>
      <c r="P474" s="79" t="str">
        <f>IF(ISBLANK(O474),"",IFERROR(INDEX('Tournament List'!$D:$D,MATCH(O474,'Tournament List'!$A:$A,0)),""))</f>
        <v/>
      </c>
    </row>
    <row r="475" spans="1:16" x14ac:dyDescent="0.3">
      <c r="A475" s="78">
        <v>474</v>
      </c>
      <c r="B475" s="73" t="str">
        <f>C475&amp;"-"&amp;E475&amp;"-"&amp;F475</f>
        <v>-Varsity 2-Skeet</v>
      </c>
      <c r="C475" s="73"/>
      <c r="D475" s="73" t="str">
        <f>INDEX('Tournament Setup'!$B$59:$B$78,MATCH(E475,SquadConcurrents,0))</f>
        <v>Varsity</v>
      </c>
      <c r="E475" s="73" t="s">
        <v>346</v>
      </c>
      <c r="F475" s="73" t="s">
        <v>143</v>
      </c>
      <c r="G475" s="94" t="str">
        <f>IF(F475="Skeet",IFERROR(INDEX('Shooter-Squad Assignment'!$A:$A,MATCH(C475&amp;"-"&amp;E475&amp;"-"&amp;F475&amp;"-Pos1",'Shooter-Squad Assignment'!$K:$K,0)),""),IF(F475="Trap",IFERROR(INDEX('Shooter-Squad Assignment'!$A:$A,MATCH(C475&amp;"-"&amp;E475&amp;"-"&amp;F475&amp;"-Pos1",'Shooter-Squad Assignment'!$W:$W,0)),""),IF(F475="Sporting Clays",IFERROR(INDEX('Shooter-Squad Assignment'!$A:$A,MATCH(C475&amp;"-"&amp;E475&amp;"-"&amp;F475&amp;"-Pos1",'Shooter-Squad Assignment'!$Z:$Z,0)),""),"")))</f>
        <v/>
      </c>
      <c r="H475" s="73" t="str">
        <f>IF(ISBLANK(G475),"",IFERROR(INDEX('Tournament List'!$D:$D,MATCH(G475,'Tournament List'!$A:$A,0)),""))</f>
        <v/>
      </c>
      <c r="I475" s="94" t="str">
        <f>IF(F475="Skeet",IFERROR(INDEX('Shooter-Squad Assignment'!$A:$A,MATCH(C475&amp;"-"&amp;E475&amp;"-"&amp;F475&amp;"-Pos2",'Shooter-Squad Assignment'!$K:$K,0)),""),IF(F475="Trap",IFERROR(INDEX('Shooter-Squad Assignment'!$A:$A,MATCH(C475&amp;"-"&amp;E475&amp;"-"&amp;F475&amp;"-Pos2",'Shooter-Squad Assignment'!$W:$W,0)),""),IF(F475="Sporting Clays",IFERROR(INDEX('Shooter-Squad Assignment'!$A:$A,MATCH(C475&amp;"-"&amp;E475&amp;"-"&amp;F475&amp;"-Pos2",'Shooter-Squad Assignment'!$Z:$Z,0)),""),"")))</f>
        <v/>
      </c>
      <c r="J475" s="73" t="str">
        <f>IF(ISBLANK(I475),"",IFERROR(INDEX('Tournament List'!$D:$D,MATCH(I475,'Tournament List'!$A:$A,0)),""))</f>
        <v/>
      </c>
      <c r="K475" s="94" t="str">
        <f>IF(F475="Skeet",IFERROR(INDEX('Shooter-Squad Assignment'!$A:$A,MATCH(C475&amp;"-"&amp;E475&amp;"-"&amp;F475&amp;"-Pos3",'Shooter-Squad Assignment'!$K:$K,0)),""),IF(F475="Trap",IFERROR(INDEX('Shooter-Squad Assignment'!$A:$A,MATCH(C475&amp;"-"&amp;E475&amp;"-"&amp;F475&amp;"-Pos3",'Shooter-Squad Assignment'!$W:$W,0)),""),IF(F475="Sporting Clays",IFERROR(INDEX('Shooter-Squad Assignment'!$A:$A,MATCH(C475&amp;"-"&amp;E475&amp;"-"&amp;F475&amp;"-Pos3",'Shooter-Squad Assignment'!$Z:$Z,0)),""),"")))</f>
        <v/>
      </c>
      <c r="L475" s="73" t="str">
        <f>IF(ISBLANK(K475),"",IFERROR(INDEX('Tournament List'!$D:$D,MATCH(K475,'Tournament List'!$A:$A,0)),""))</f>
        <v/>
      </c>
      <c r="M475" s="94" t="str">
        <f>IF(F475="Skeet",IFERROR(INDEX('Shooter-Squad Assignment'!$A:$A,MATCH(C475&amp;"-"&amp;E475&amp;"-"&amp;F475&amp;"-Pos4",'Shooter-Squad Assignment'!$K:$K,0)),""),IF(F475="Trap",IFERROR(INDEX('Shooter-Squad Assignment'!$A:$A,MATCH(C475&amp;"-"&amp;E475&amp;"-"&amp;F475&amp;"-Pos4",'Shooter-Squad Assignment'!$W:$W,0)),""),IF(F475="Sporting Clays",IFERROR(INDEX('Shooter-Squad Assignment'!$A:$A,MATCH(C475&amp;"-"&amp;E475&amp;"-"&amp;F475&amp;"-Pos4",'Shooter-Squad Assignment'!$Z:$Z,0)),""),"")))</f>
        <v/>
      </c>
      <c r="N475" s="73" t="str">
        <f>IF(ISBLANK(M475),"",IFERROR(INDEX('Tournament List'!$D:$D,MATCH(M475,'Tournament List'!$A:$A,0)),""))</f>
        <v/>
      </c>
      <c r="O475" s="94" t="str">
        <f>IF(F475="Skeet",IFERROR(INDEX('Shooter-Squad Assignment'!$A:$A,MATCH(C475&amp;"-"&amp;E475&amp;"-"&amp;F475&amp;"-Pos5",'Shooter-Squad Assignment'!$K:$K,0)),""),IF(F475="Trap",IFERROR(INDEX('Shooter-Squad Assignment'!$A:$A,MATCH(C475&amp;"-"&amp;E475&amp;"-"&amp;F475&amp;"-Pos5",'Shooter-Squad Assignment'!$W:$W,0)),""),IF(F475="Sporting Clays",IFERROR(INDEX('Shooter-Squad Assignment'!$A:$A,MATCH(C475&amp;"-"&amp;E475&amp;"-"&amp;F475&amp;"-Pos5",'Shooter-Squad Assignment'!$Z:$Z,0)),""),"")))</f>
        <v/>
      </c>
      <c r="P475" s="79" t="str">
        <f>IF(ISBLANK(O475),"",IFERROR(INDEX('Tournament List'!$D:$D,MATCH(O475,'Tournament List'!$A:$A,0)),""))</f>
        <v/>
      </c>
    </row>
    <row r="476" spans="1:16" x14ac:dyDescent="0.3">
      <c r="A476" s="78">
        <v>475</v>
      </c>
      <c r="B476" s="73" t="str">
        <f>C476&amp;"-"&amp;E476&amp;"-"&amp;F476</f>
        <v>-Varsity 3-Skeet</v>
      </c>
      <c r="C476" s="73"/>
      <c r="D476" s="73" t="str">
        <f>INDEX('Tournament Setup'!$B$59:$B$78,MATCH(E476,SquadConcurrents,0))</f>
        <v>Varsity</v>
      </c>
      <c r="E476" s="73" t="s">
        <v>352</v>
      </c>
      <c r="F476" s="73" t="s">
        <v>143</v>
      </c>
      <c r="G476" s="94" t="str">
        <f>IF(F476="Skeet",IFERROR(INDEX('Shooter-Squad Assignment'!$A:$A,MATCH(C476&amp;"-"&amp;E476&amp;"-"&amp;F476&amp;"-Pos1",'Shooter-Squad Assignment'!$K:$K,0)),""),IF(F476="Trap",IFERROR(INDEX('Shooter-Squad Assignment'!$A:$A,MATCH(C476&amp;"-"&amp;E476&amp;"-"&amp;F476&amp;"-Pos1",'Shooter-Squad Assignment'!$W:$W,0)),""),IF(F476="Sporting Clays",IFERROR(INDEX('Shooter-Squad Assignment'!$A:$A,MATCH(C476&amp;"-"&amp;E476&amp;"-"&amp;F476&amp;"-Pos1",'Shooter-Squad Assignment'!$Z:$Z,0)),""),"")))</f>
        <v/>
      </c>
      <c r="H476" s="73" t="str">
        <f>IF(ISBLANK(G476),"",IFERROR(INDEX('Tournament List'!$D:$D,MATCH(G476,'Tournament List'!$A:$A,0)),""))</f>
        <v/>
      </c>
      <c r="I476" s="94" t="str">
        <f>IF(F476="Skeet",IFERROR(INDEX('Shooter-Squad Assignment'!$A:$A,MATCH(C476&amp;"-"&amp;E476&amp;"-"&amp;F476&amp;"-Pos2",'Shooter-Squad Assignment'!$K:$K,0)),""),IF(F476="Trap",IFERROR(INDEX('Shooter-Squad Assignment'!$A:$A,MATCH(C476&amp;"-"&amp;E476&amp;"-"&amp;F476&amp;"-Pos2",'Shooter-Squad Assignment'!$W:$W,0)),""),IF(F476="Sporting Clays",IFERROR(INDEX('Shooter-Squad Assignment'!$A:$A,MATCH(C476&amp;"-"&amp;E476&amp;"-"&amp;F476&amp;"-Pos2",'Shooter-Squad Assignment'!$Z:$Z,0)),""),"")))</f>
        <v/>
      </c>
      <c r="J476" s="73" t="str">
        <f>IF(ISBLANK(I476),"",IFERROR(INDEX('Tournament List'!$D:$D,MATCH(I476,'Tournament List'!$A:$A,0)),""))</f>
        <v/>
      </c>
      <c r="K476" s="94" t="str">
        <f>IF(F476="Skeet",IFERROR(INDEX('Shooter-Squad Assignment'!$A:$A,MATCH(C476&amp;"-"&amp;E476&amp;"-"&amp;F476&amp;"-Pos3",'Shooter-Squad Assignment'!$K:$K,0)),""),IF(F476="Trap",IFERROR(INDEX('Shooter-Squad Assignment'!$A:$A,MATCH(C476&amp;"-"&amp;E476&amp;"-"&amp;F476&amp;"-Pos3",'Shooter-Squad Assignment'!$W:$W,0)),""),IF(F476="Sporting Clays",IFERROR(INDEX('Shooter-Squad Assignment'!$A:$A,MATCH(C476&amp;"-"&amp;E476&amp;"-"&amp;F476&amp;"-Pos3",'Shooter-Squad Assignment'!$Z:$Z,0)),""),"")))</f>
        <v/>
      </c>
      <c r="L476" s="73" t="str">
        <f>IF(ISBLANK(K476),"",IFERROR(INDEX('Tournament List'!$D:$D,MATCH(K476,'Tournament List'!$A:$A,0)),""))</f>
        <v/>
      </c>
      <c r="M476" s="94" t="str">
        <f>IF(F476="Skeet",IFERROR(INDEX('Shooter-Squad Assignment'!$A:$A,MATCH(C476&amp;"-"&amp;E476&amp;"-"&amp;F476&amp;"-Pos4",'Shooter-Squad Assignment'!$K:$K,0)),""),IF(F476="Trap",IFERROR(INDEX('Shooter-Squad Assignment'!$A:$A,MATCH(C476&amp;"-"&amp;E476&amp;"-"&amp;F476&amp;"-Pos4",'Shooter-Squad Assignment'!$W:$W,0)),""),IF(F476="Sporting Clays",IFERROR(INDEX('Shooter-Squad Assignment'!$A:$A,MATCH(C476&amp;"-"&amp;E476&amp;"-"&amp;F476&amp;"-Pos4",'Shooter-Squad Assignment'!$Z:$Z,0)),""),"")))</f>
        <v/>
      </c>
      <c r="N476" s="73" t="str">
        <f>IF(ISBLANK(M476),"",IFERROR(INDEX('Tournament List'!$D:$D,MATCH(M476,'Tournament List'!$A:$A,0)),""))</f>
        <v/>
      </c>
      <c r="O476" s="94" t="str">
        <f>IF(F476="Skeet",IFERROR(INDEX('Shooter-Squad Assignment'!$A:$A,MATCH(C476&amp;"-"&amp;E476&amp;"-"&amp;F476&amp;"-Pos5",'Shooter-Squad Assignment'!$K:$K,0)),""),IF(F476="Trap",IFERROR(INDEX('Shooter-Squad Assignment'!$A:$A,MATCH(C476&amp;"-"&amp;E476&amp;"-"&amp;F476&amp;"-Pos5",'Shooter-Squad Assignment'!$W:$W,0)),""),IF(F476="Sporting Clays",IFERROR(INDEX('Shooter-Squad Assignment'!$A:$A,MATCH(C476&amp;"-"&amp;E476&amp;"-"&amp;F476&amp;"-Pos5",'Shooter-Squad Assignment'!$Z:$Z,0)),""),"")))</f>
        <v/>
      </c>
      <c r="P476" s="79" t="str">
        <f>IF(ISBLANK(O476),"",IFERROR(INDEX('Tournament List'!$D:$D,MATCH(O476,'Tournament List'!$A:$A,0)),""))</f>
        <v/>
      </c>
    </row>
    <row r="477" spans="1:16" x14ac:dyDescent="0.3">
      <c r="A477" s="78">
        <v>476</v>
      </c>
      <c r="B477" s="73" t="str">
        <f>C477&amp;"-"&amp;E477&amp;"-"&amp;F477</f>
        <v>-Collegiate 1-Sporting Clays</v>
      </c>
      <c r="C477" s="73"/>
      <c r="D477" s="73" t="str">
        <f>INDEX('Tournament Setup'!$B$59:$B$78,MATCH(E477,SquadConcurrents,0))</f>
        <v>Collegiate</v>
      </c>
      <c r="E477" s="73" t="s">
        <v>342</v>
      </c>
      <c r="F477" s="73" t="s">
        <v>148</v>
      </c>
      <c r="G477" s="94" t="str">
        <f>IF(F477="Skeet",IFERROR(INDEX('Shooter-Squad Assignment'!$A:$A,MATCH(C477&amp;"-"&amp;E477&amp;"-"&amp;F477&amp;"-Pos1",'Shooter-Squad Assignment'!$K:$K,0)),""),IF(F477="Trap",IFERROR(INDEX('Shooter-Squad Assignment'!$A:$A,MATCH(C477&amp;"-"&amp;E477&amp;"-"&amp;F477&amp;"-Pos1",'Shooter-Squad Assignment'!$W:$W,0)),""),IF(F477="Sporting Clays",IFERROR(INDEX('Shooter-Squad Assignment'!$A:$A,MATCH(C477&amp;"-"&amp;E477&amp;"-"&amp;F477&amp;"-Pos1",'Shooter-Squad Assignment'!$Z:$Z,0)),""),"")))</f>
        <v/>
      </c>
      <c r="H477" s="73" t="str">
        <f>IF(ISBLANK(G477),"",IFERROR(INDEX('Tournament List'!$D:$D,MATCH(G477,'Tournament List'!$A:$A,0)),""))</f>
        <v/>
      </c>
      <c r="I477" s="94" t="str">
        <f>IF(F477="Skeet",IFERROR(INDEX('Shooter-Squad Assignment'!$A:$A,MATCH(C477&amp;"-"&amp;E477&amp;"-"&amp;F477&amp;"-Pos2",'Shooter-Squad Assignment'!$K:$K,0)),""),IF(F477="Trap",IFERROR(INDEX('Shooter-Squad Assignment'!$A:$A,MATCH(C477&amp;"-"&amp;E477&amp;"-"&amp;F477&amp;"-Pos2",'Shooter-Squad Assignment'!$W:$W,0)),""),IF(F477="Sporting Clays",IFERROR(INDEX('Shooter-Squad Assignment'!$A:$A,MATCH(C477&amp;"-"&amp;E477&amp;"-"&amp;F477&amp;"-Pos2",'Shooter-Squad Assignment'!$Z:$Z,0)),""),"")))</f>
        <v/>
      </c>
      <c r="J477" s="73" t="str">
        <f>IF(ISBLANK(I477),"",IFERROR(INDEX('Tournament List'!$D:$D,MATCH(I477,'Tournament List'!$A:$A,0)),""))</f>
        <v/>
      </c>
      <c r="K477" s="94" t="str">
        <f>IF(F477="Skeet",IFERROR(INDEX('Shooter-Squad Assignment'!$A:$A,MATCH(C477&amp;"-"&amp;E477&amp;"-"&amp;F477&amp;"-Pos3",'Shooter-Squad Assignment'!$K:$K,0)),""),IF(F477="Trap",IFERROR(INDEX('Shooter-Squad Assignment'!$A:$A,MATCH(C477&amp;"-"&amp;E477&amp;"-"&amp;F477&amp;"-Pos3",'Shooter-Squad Assignment'!$W:$W,0)),""),IF(F477="Sporting Clays",IFERROR(INDEX('Shooter-Squad Assignment'!$A:$A,MATCH(C477&amp;"-"&amp;E477&amp;"-"&amp;F477&amp;"-Pos3",'Shooter-Squad Assignment'!$Z:$Z,0)),""),"")))</f>
        <v/>
      </c>
      <c r="L477" s="73" t="str">
        <f>IF(ISBLANK(K477),"",IFERROR(INDEX('Tournament List'!$D:$D,MATCH(K477,'Tournament List'!$A:$A,0)),""))</f>
        <v/>
      </c>
      <c r="M477" s="94" t="str">
        <f>IF(F477="Skeet",IFERROR(INDEX('Shooter-Squad Assignment'!$A:$A,MATCH(C477&amp;"-"&amp;E477&amp;"-"&amp;F477&amp;"-Pos4",'Shooter-Squad Assignment'!$K:$K,0)),""),IF(F477="Trap",IFERROR(INDEX('Shooter-Squad Assignment'!$A:$A,MATCH(C477&amp;"-"&amp;E477&amp;"-"&amp;F477&amp;"-Pos4",'Shooter-Squad Assignment'!$W:$W,0)),""),IF(F477="Sporting Clays",IFERROR(INDEX('Shooter-Squad Assignment'!$A:$A,MATCH(C477&amp;"-"&amp;E477&amp;"-"&amp;F477&amp;"-Pos4",'Shooter-Squad Assignment'!$Z:$Z,0)),""),"")))</f>
        <v/>
      </c>
      <c r="N477" s="73" t="str">
        <f>IF(ISBLANK(M477),"",IFERROR(INDEX('Tournament List'!$D:$D,MATCH(M477,'Tournament List'!$A:$A,0)),""))</f>
        <v/>
      </c>
      <c r="O477" s="94" t="str">
        <f>IF(F477="Skeet",IFERROR(INDEX('Shooter-Squad Assignment'!$A:$A,MATCH(C477&amp;"-"&amp;E477&amp;"-"&amp;F477&amp;"-Pos5",'Shooter-Squad Assignment'!$K:$K,0)),""),IF(F477="Trap",IFERROR(INDEX('Shooter-Squad Assignment'!$A:$A,MATCH(C477&amp;"-"&amp;E477&amp;"-"&amp;F477&amp;"-Pos5",'Shooter-Squad Assignment'!$W:$W,0)),""),IF(F477="Sporting Clays",IFERROR(INDEX('Shooter-Squad Assignment'!$A:$A,MATCH(C477&amp;"-"&amp;E477&amp;"-"&amp;F477&amp;"-Pos5",'Shooter-Squad Assignment'!$Z:$Z,0)),""),"")))</f>
        <v/>
      </c>
      <c r="P477" s="79" t="str">
        <f>IF(ISBLANK(O477),"",IFERROR(INDEX('Tournament List'!$D:$D,MATCH(O477,'Tournament List'!$A:$A,0)),""))</f>
        <v/>
      </c>
    </row>
    <row r="478" spans="1:16" x14ac:dyDescent="0.3">
      <c r="A478" s="78">
        <v>477</v>
      </c>
      <c r="B478" s="73" t="str">
        <f>C478&amp;"-"&amp;E478&amp;"-"&amp;F478</f>
        <v>-Collegiate 2-Sporting Clays</v>
      </c>
      <c r="C478" s="73"/>
      <c r="D478" s="73" t="str">
        <f>INDEX('Tournament Setup'!$B$59:$B$78,MATCH(E478,SquadConcurrents,0))</f>
        <v>Collegiate</v>
      </c>
      <c r="E478" s="73" t="s">
        <v>348</v>
      </c>
      <c r="F478" s="73" t="s">
        <v>148</v>
      </c>
      <c r="G478" s="94" t="str">
        <f>IF(F478="Skeet",IFERROR(INDEX('Shooter-Squad Assignment'!$A:$A,MATCH(C478&amp;"-"&amp;E478&amp;"-"&amp;F478&amp;"-Pos1",'Shooter-Squad Assignment'!$K:$K,0)),""),IF(F478="Trap",IFERROR(INDEX('Shooter-Squad Assignment'!$A:$A,MATCH(C478&amp;"-"&amp;E478&amp;"-"&amp;F478&amp;"-Pos1",'Shooter-Squad Assignment'!$W:$W,0)),""),IF(F478="Sporting Clays",IFERROR(INDEX('Shooter-Squad Assignment'!$A:$A,MATCH(C478&amp;"-"&amp;E478&amp;"-"&amp;F478&amp;"-Pos1",'Shooter-Squad Assignment'!$Z:$Z,0)),""),"")))</f>
        <v/>
      </c>
      <c r="H478" s="73" t="str">
        <f>IF(ISBLANK(G478),"",IFERROR(INDEX('Tournament List'!$D:$D,MATCH(G478,'Tournament List'!$A:$A,0)),""))</f>
        <v/>
      </c>
      <c r="I478" s="94" t="str">
        <f>IF(F478="Skeet",IFERROR(INDEX('Shooter-Squad Assignment'!$A:$A,MATCH(C478&amp;"-"&amp;E478&amp;"-"&amp;F478&amp;"-Pos2",'Shooter-Squad Assignment'!$K:$K,0)),""),IF(F478="Trap",IFERROR(INDEX('Shooter-Squad Assignment'!$A:$A,MATCH(C478&amp;"-"&amp;E478&amp;"-"&amp;F478&amp;"-Pos2",'Shooter-Squad Assignment'!$W:$W,0)),""),IF(F478="Sporting Clays",IFERROR(INDEX('Shooter-Squad Assignment'!$A:$A,MATCH(C478&amp;"-"&amp;E478&amp;"-"&amp;F478&amp;"-Pos2",'Shooter-Squad Assignment'!$Z:$Z,0)),""),"")))</f>
        <v/>
      </c>
      <c r="J478" s="73" t="str">
        <f>IF(ISBLANK(I478),"",IFERROR(INDEX('Tournament List'!$D:$D,MATCH(I478,'Tournament List'!$A:$A,0)),""))</f>
        <v/>
      </c>
      <c r="K478" s="94" t="str">
        <f>IF(F478="Skeet",IFERROR(INDEX('Shooter-Squad Assignment'!$A:$A,MATCH(C478&amp;"-"&amp;E478&amp;"-"&amp;F478&amp;"-Pos3",'Shooter-Squad Assignment'!$K:$K,0)),""),IF(F478="Trap",IFERROR(INDEX('Shooter-Squad Assignment'!$A:$A,MATCH(C478&amp;"-"&amp;E478&amp;"-"&amp;F478&amp;"-Pos3",'Shooter-Squad Assignment'!$W:$W,0)),""),IF(F478="Sporting Clays",IFERROR(INDEX('Shooter-Squad Assignment'!$A:$A,MATCH(C478&amp;"-"&amp;E478&amp;"-"&amp;F478&amp;"-Pos3",'Shooter-Squad Assignment'!$Z:$Z,0)),""),"")))</f>
        <v/>
      </c>
      <c r="L478" s="73" t="str">
        <f>IF(ISBLANK(K478),"",IFERROR(INDEX('Tournament List'!$D:$D,MATCH(K478,'Tournament List'!$A:$A,0)),""))</f>
        <v/>
      </c>
      <c r="M478" s="94" t="str">
        <f>IF(F478="Skeet",IFERROR(INDEX('Shooter-Squad Assignment'!$A:$A,MATCH(C478&amp;"-"&amp;E478&amp;"-"&amp;F478&amp;"-Pos4",'Shooter-Squad Assignment'!$K:$K,0)),""),IF(F478="Trap",IFERROR(INDEX('Shooter-Squad Assignment'!$A:$A,MATCH(C478&amp;"-"&amp;E478&amp;"-"&amp;F478&amp;"-Pos4",'Shooter-Squad Assignment'!$W:$W,0)),""),IF(F478="Sporting Clays",IFERROR(INDEX('Shooter-Squad Assignment'!$A:$A,MATCH(C478&amp;"-"&amp;E478&amp;"-"&amp;F478&amp;"-Pos4",'Shooter-Squad Assignment'!$Z:$Z,0)),""),"")))</f>
        <v/>
      </c>
      <c r="N478" s="73" t="str">
        <f>IF(ISBLANK(M478),"",IFERROR(INDEX('Tournament List'!$D:$D,MATCH(M478,'Tournament List'!$A:$A,0)),""))</f>
        <v/>
      </c>
      <c r="O478" s="94" t="str">
        <f>IF(F478="Skeet",IFERROR(INDEX('Shooter-Squad Assignment'!$A:$A,MATCH(C478&amp;"-"&amp;E478&amp;"-"&amp;F478&amp;"-Pos5",'Shooter-Squad Assignment'!$K:$K,0)),""),IF(F478="Trap",IFERROR(INDEX('Shooter-Squad Assignment'!$A:$A,MATCH(C478&amp;"-"&amp;E478&amp;"-"&amp;F478&amp;"-Pos5",'Shooter-Squad Assignment'!$W:$W,0)),""),IF(F478="Sporting Clays",IFERROR(INDEX('Shooter-Squad Assignment'!$A:$A,MATCH(C478&amp;"-"&amp;E478&amp;"-"&amp;F478&amp;"-Pos5",'Shooter-Squad Assignment'!$Z:$Z,0)),""),"")))</f>
        <v/>
      </c>
      <c r="P478" s="79" t="str">
        <f>IF(ISBLANK(O478),"",IFERROR(INDEX('Tournament List'!$D:$D,MATCH(O478,'Tournament List'!$A:$A,0)),""))</f>
        <v/>
      </c>
    </row>
    <row r="479" spans="1:16" x14ac:dyDescent="0.3">
      <c r="A479" s="78">
        <v>478</v>
      </c>
      <c r="B479" s="73" t="str">
        <f>C479&amp;"-"&amp;E479&amp;"-"&amp;F479</f>
        <v>-Collegiate 3-Sporting Clays</v>
      </c>
      <c r="C479" s="73"/>
      <c r="D479" s="73" t="str">
        <f>INDEX('Tournament Setup'!$B$59:$B$78,MATCH(E479,SquadConcurrents,0))</f>
        <v>Collegiate</v>
      </c>
      <c r="E479" s="73" t="s">
        <v>354</v>
      </c>
      <c r="F479" s="73" t="s">
        <v>148</v>
      </c>
      <c r="G479" s="94" t="str">
        <f>IF(F479="Skeet",IFERROR(INDEX('Shooter-Squad Assignment'!$A:$A,MATCH(C479&amp;"-"&amp;E479&amp;"-"&amp;F479&amp;"-Pos1",'Shooter-Squad Assignment'!$K:$K,0)),""),IF(F479="Trap",IFERROR(INDEX('Shooter-Squad Assignment'!$A:$A,MATCH(C479&amp;"-"&amp;E479&amp;"-"&amp;F479&amp;"-Pos1",'Shooter-Squad Assignment'!$W:$W,0)),""),IF(F479="Sporting Clays",IFERROR(INDEX('Shooter-Squad Assignment'!$A:$A,MATCH(C479&amp;"-"&amp;E479&amp;"-"&amp;F479&amp;"-Pos1",'Shooter-Squad Assignment'!$Z:$Z,0)),""),"")))</f>
        <v/>
      </c>
      <c r="H479" s="73" t="str">
        <f>IF(ISBLANK(G479),"",IFERROR(INDEX('Tournament List'!$D:$D,MATCH(G479,'Tournament List'!$A:$A,0)),""))</f>
        <v/>
      </c>
      <c r="I479" s="94" t="str">
        <f>IF(F479="Skeet",IFERROR(INDEX('Shooter-Squad Assignment'!$A:$A,MATCH(C479&amp;"-"&amp;E479&amp;"-"&amp;F479&amp;"-Pos2",'Shooter-Squad Assignment'!$K:$K,0)),""),IF(F479="Trap",IFERROR(INDEX('Shooter-Squad Assignment'!$A:$A,MATCH(C479&amp;"-"&amp;E479&amp;"-"&amp;F479&amp;"-Pos2",'Shooter-Squad Assignment'!$W:$W,0)),""),IF(F479="Sporting Clays",IFERROR(INDEX('Shooter-Squad Assignment'!$A:$A,MATCH(C479&amp;"-"&amp;E479&amp;"-"&amp;F479&amp;"-Pos2",'Shooter-Squad Assignment'!$Z:$Z,0)),""),"")))</f>
        <v/>
      </c>
      <c r="J479" s="73" t="str">
        <f>IF(ISBLANK(I479),"",IFERROR(INDEX('Tournament List'!$D:$D,MATCH(I479,'Tournament List'!$A:$A,0)),""))</f>
        <v/>
      </c>
      <c r="K479" s="94" t="str">
        <f>IF(F479="Skeet",IFERROR(INDEX('Shooter-Squad Assignment'!$A:$A,MATCH(C479&amp;"-"&amp;E479&amp;"-"&amp;F479&amp;"-Pos3",'Shooter-Squad Assignment'!$K:$K,0)),""),IF(F479="Trap",IFERROR(INDEX('Shooter-Squad Assignment'!$A:$A,MATCH(C479&amp;"-"&amp;E479&amp;"-"&amp;F479&amp;"-Pos3",'Shooter-Squad Assignment'!$W:$W,0)),""),IF(F479="Sporting Clays",IFERROR(INDEX('Shooter-Squad Assignment'!$A:$A,MATCH(C479&amp;"-"&amp;E479&amp;"-"&amp;F479&amp;"-Pos3",'Shooter-Squad Assignment'!$Z:$Z,0)),""),"")))</f>
        <v/>
      </c>
      <c r="L479" s="73" t="str">
        <f>IF(ISBLANK(K479),"",IFERROR(INDEX('Tournament List'!$D:$D,MATCH(K479,'Tournament List'!$A:$A,0)),""))</f>
        <v/>
      </c>
      <c r="M479" s="94" t="str">
        <f>IF(F479="Skeet",IFERROR(INDEX('Shooter-Squad Assignment'!$A:$A,MATCH(C479&amp;"-"&amp;E479&amp;"-"&amp;F479&amp;"-Pos4",'Shooter-Squad Assignment'!$K:$K,0)),""),IF(F479="Trap",IFERROR(INDEX('Shooter-Squad Assignment'!$A:$A,MATCH(C479&amp;"-"&amp;E479&amp;"-"&amp;F479&amp;"-Pos4",'Shooter-Squad Assignment'!$W:$W,0)),""),IF(F479="Sporting Clays",IFERROR(INDEX('Shooter-Squad Assignment'!$A:$A,MATCH(C479&amp;"-"&amp;E479&amp;"-"&amp;F479&amp;"-Pos4",'Shooter-Squad Assignment'!$Z:$Z,0)),""),"")))</f>
        <v/>
      </c>
      <c r="N479" s="73" t="str">
        <f>IF(ISBLANK(M479),"",IFERROR(INDEX('Tournament List'!$D:$D,MATCH(M479,'Tournament List'!$A:$A,0)),""))</f>
        <v/>
      </c>
      <c r="O479" s="94" t="str">
        <f>IF(F479="Skeet",IFERROR(INDEX('Shooter-Squad Assignment'!$A:$A,MATCH(C479&amp;"-"&amp;E479&amp;"-"&amp;F479&amp;"-Pos5",'Shooter-Squad Assignment'!$K:$K,0)),""),IF(F479="Trap",IFERROR(INDEX('Shooter-Squad Assignment'!$A:$A,MATCH(C479&amp;"-"&amp;E479&amp;"-"&amp;F479&amp;"-Pos5",'Shooter-Squad Assignment'!$W:$W,0)),""),IF(F479="Sporting Clays",IFERROR(INDEX('Shooter-Squad Assignment'!$A:$A,MATCH(C479&amp;"-"&amp;E479&amp;"-"&amp;F479&amp;"-Pos5",'Shooter-Squad Assignment'!$Z:$Z,0)),""),"")))</f>
        <v/>
      </c>
      <c r="P479" s="79" t="str">
        <f>IF(ISBLANK(O479),"",IFERROR(INDEX('Tournament List'!$D:$D,MATCH(O479,'Tournament List'!$A:$A,0)),""))</f>
        <v/>
      </c>
    </row>
    <row r="480" spans="1:16" x14ac:dyDescent="0.3">
      <c r="A480" s="78">
        <v>479</v>
      </c>
      <c r="B480" s="73" t="str">
        <f>C480&amp;"-"&amp;E480&amp;"-"&amp;F480</f>
        <v>-Intermediate 1-Sporting Clays</v>
      </c>
      <c r="C480" s="73"/>
      <c r="D480" s="73" t="str">
        <f>INDEX('Tournament Setup'!$B$59:$B$78,MATCH(E480,SquadConcurrents,0))</f>
        <v>Intermediate</v>
      </c>
      <c r="E480" s="73" t="s">
        <v>338</v>
      </c>
      <c r="F480" s="73" t="s">
        <v>148</v>
      </c>
      <c r="G480" s="94" t="str">
        <f>IF(F480="Skeet",IFERROR(INDEX('Shooter-Squad Assignment'!$A:$A,MATCH(C480&amp;"-"&amp;E480&amp;"-"&amp;F480&amp;"-Pos1",'Shooter-Squad Assignment'!$K:$K,0)),""),IF(F480="Trap",IFERROR(INDEX('Shooter-Squad Assignment'!$A:$A,MATCH(C480&amp;"-"&amp;E480&amp;"-"&amp;F480&amp;"-Pos1",'Shooter-Squad Assignment'!$W:$W,0)),""),IF(F480="Sporting Clays",IFERROR(INDEX('Shooter-Squad Assignment'!$A:$A,MATCH(C480&amp;"-"&amp;E480&amp;"-"&amp;F480&amp;"-Pos1",'Shooter-Squad Assignment'!$Z:$Z,0)),""),"")))</f>
        <v/>
      </c>
      <c r="H480" s="73" t="str">
        <f>IF(ISBLANK(G480),"",IFERROR(INDEX('Tournament List'!$D:$D,MATCH(G480,'Tournament List'!$A:$A,0)),""))</f>
        <v/>
      </c>
      <c r="I480" s="94" t="str">
        <f>IF(F480="Skeet",IFERROR(INDEX('Shooter-Squad Assignment'!$A:$A,MATCH(C480&amp;"-"&amp;E480&amp;"-"&amp;F480&amp;"-Pos2",'Shooter-Squad Assignment'!$K:$K,0)),""),IF(F480="Trap",IFERROR(INDEX('Shooter-Squad Assignment'!$A:$A,MATCH(C480&amp;"-"&amp;E480&amp;"-"&amp;F480&amp;"-Pos2",'Shooter-Squad Assignment'!$W:$W,0)),""),IF(F480="Sporting Clays",IFERROR(INDEX('Shooter-Squad Assignment'!$A:$A,MATCH(C480&amp;"-"&amp;E480&amp;"-"&amp;F480&amp;"-Pos2",'Shooter-Squad Assignment'!$Z:$Z,0)),""),"")))</f>
        <v/>
      </c>
      <c r="J480" s="73" t="str">
        <f>IF(ISBLANK(I480),"",IFERROR(INDEX('Tournament List'!$D:$D,MATCH(I480,'Tournament List'!$A:$A,0)),""))</f>
        <v/>
      </c>
      <c r="K480" s="94" t="str">
        <f>IF(F480="Skeet",IFERROR(INDEX('Shooter-Squad Assignment'!$A:$A,MATCH(C480&amp;"-"&amp;E480&amp;"-"&amp;F480&amp;"-Pos3",'Shooter-Squad Assignment'!$K:$K,0)),""),IF(F480="Trap",IFERROR(INDEX('Shooter-Squad Assignment'!$A:$A,MATCH(C480&amp;"-"&amp;E480&amp;"-"&amp;F480&amp;"-Pos3",'Shooter-Squad Assignment'!$W:$W,0)),""),IF(F480="Sporting Clays",IFERROR(INDEX('Shooter-Squad Assignment'!$A:$A,MATCH(C480&amp;"-"&amp;E480&amp;"-"&amp;F480&amp;"-Pos3",'Shooter-Squad Assignment'!$Z:$Z,0)),""),"")))</f>
        <v/>
      </c>
      <c r="L480" s="73" t="str">
        <f>IF(ISBLANK(K480),"",IFERROR(INDEX('Tournament List'!$D:$D,MATCH(K480,'Tournament List'!$A:$A,0)),""))</f>
        <v/>
      </c>
      <c r="M480" s="94" t="str">
        <f>IF(F480="Skeet",IFERROR(INDEX('Shooter-Squad Assignment'!$A:$A,MATCH(C480&amp;"-"&amp;E480&amp;"-"&amp;F480&amp;"-Pos4",'Shooter-Squad Assignment'!$K:$K,0)),""),IF(F480="Trap",IFERROR(INDEX('Shooter-Squad Assignment'!$A:$A,MATCH(C480&amp;"-"&amp;E480&amp;"-"&amp;F480&amp;"-Pos4",'Shooter-Squad Assignment'!$W:$W,0)),""),IF(F480="Sporting Clays",IFERROR(INDEX('Shooter-Squad Assignment'!$A:$A,MATCH(C480&amp;"-"&amp;E480&amp;"-"&amp;F480&amp;"-Pos4",'Shooter-Squad Assignment'!$Z:$Z,0)),""),"")))</f>
        <v/>
      </c>
      <c r="N480" s="73" t="str">
        <f>IF(ISBLANK(M480),"",IFERROR(INDEX('Tournament List'!$D:$D,MATCH(M480,'Tournament List'!$A:$A,0)),""))</f>
        <v/>
      </c>
      <c r="O480" s="94" t="str">
        <f>IF(F480="Skeet",IFERROR(INDEX('Shooter-Squad Assignment'!$A:$A,MATCH(C480&amp;"-"&amp;E480&amp;"-"&amp;F480&amp;"-Pos5",'Shooter-Squad Assignment'!$K:$K,0)),""),IF(F480="Trap",IFERROR(INDEX('Shooter-Squad Assignment'!$A:$A,MATCH(C480&amp;"-"&amp;E480&amp;"-"&amp;F480&amp;"-Pos5",'Shooter-Squad Assignment'!$W:$W,0)),""),IF(F480="Sporting Clays",IFERROR(INDEX('Shooter-Squad Assignment'!$A:$A,MATCH(C480&amp;"-"&amp;E480&amp;"-"&amp;F480&amp;"-Pos5",'Shooter-Squad Assignment'!$Z:$Z,0)),""),"")))</f>
        <v/>
      </c>
      <c r="P480" s="79" t="str">
        <f>IF(ISBLANK(O480),"",IFERROR(INDEX('Tournament List'!$D:$D,MATCH(O480,'Tournament List'!$A:$A,0)),""))</f>
        <v/>
      </c>
    </row>
    <row r="481" spans="1:16" x14ac:dyDescent="0.3">
      <c r="A481" s="78">
        <v>480</v>
      </c>
      <c r="B481" s="73" t="str">
        <f>C481&amp;"-"&amp;E481&amp;"-"&amp;F481</f>
        <v>-Intermediate 2-Sporting Clays</v>
      </c>
      <c r="C481" s="73"/>
      <c r="D481" s="73" t="str">
        <f>INDEX('Tournament Setup'!$B$59:$B$78,MATCH(E481,SquadConcurrents,0))</f>
        <v>Intermediate</v>
      </c>
      <c r="E481" s="73" t="s">
        <v>344</v>
      </c>
      <c r="F481" s="73" t="s">
        <v>148</v>
      </c>
      <c r="G481" s="94" t="str">
        <f>IF(F481="Skeet",IFERROR(INDEX('Shooter-Squad Assignment'!$A:$A,MATCH(C481&amp;"-"&amp;E481&amp;"-"&amp;F481&amp;"-Pos1",'Shooter-Squad Assignment'!$K:$K,0)),""),IF(F481="Trap",IFERROR(INDEX('Shooter-Squad Assignment'!$A:$A,MATCH(C481&amp;"-"&amp;E481&amp;"-"&amp;F481&amp;"-Pos1",'Shooter-Squad Assignment'!$W:$W,0)),""),IF(F481="Sporting Clays",IFERROR(INDEX('Shooter-Squad Assignment'!$A:$A,MATCH(C481&amp;"-"&amp;E481&amp;"-"&amp;F481&amp;"-Pos1",'Shooter-Squad Assignment'!$Z:$Z,0)),""),"")))</f>
        <v/>
      </c>
      <c r="H481" s="73" t="str">
        <f>IF(ISBLANK(G481),"",IFERROR(INDEX('Tournament List'!$D:$D,MATCH(G481,'Tournament List'!$A:$A,0)),""))</f>
        <v/>
      </c>
      <c r="I481" s="94" t="str">
        <f>IF(F481="Skeet",IFERROR(INDEX('Shooter-Squad Assignment'!$A:$A,MATCH(C481&amp;"-"&amp;E481&amp;"-"&amp;F481&amp;"-Pos2",'Shooter-Squad Assignment'!$K:$K,0)),""),IF(F481="Trap",IFERROR(INDEX('Shooter-Squad Assignment'!$A:$A,MATCH(C481&amp;"-"&amp;E481&amp;"-"&amp;F481&amp;"-Pos2",'Shooter-Squad Assignment'!$W:$W,0)),""),IF(F481="Sporting Clays",IFERROR(INDEX('Shooter-Squad Assignment'!$A:$A,MATCH(C481&amp;"-"&amp;E481&amp;"-"&amp;F481&amp;"-Pos2",'Shooter-Squad Assignment'!$Z:$Z,0)),""),"")))</f>
        <v/>
      </c>
      <c r="J481" s="73" t="str">
        <f>IF(ISBLANK(I481),"",IFERROR(INDEX('Tournament List'!$D:$D,MATCH(I481,'Tournament List'!$A:$A,0)),""))</f>
        <v/>
      </c>
      <c r="K481" s="94" t="str">
        <f>IF(F481="Skeet",IFERROR(INDEX('Shooter-Squad Assignment'!$A:$A,MATCH(C481&amp;"-"&amp;E481&amp;"-"&amp;F481&amp;"-Pos3",'Shooter-Squad Assignment'!$K:$K,0)),""),IF(F481="Trap",IFERROR(INDEX('Shooter-Squad Assignment'!$A:$A,MATCH(C481&amp;"-"&amp;E481&amp;"-"&amp;F481&amp;"-Pos3",'Shooter-Squad Assignment'!$W:$W,0)),""),IF(F481="Sporting Clays",IFERROR(INDEX('Shooter-Squad Assignment'!$A:$A,MATCH(C481&amp;"-"&amp;E481&amp;"-"&amp;F481&amp;"-Pos3",'Shooter-Squad Assignment'!$Z:$Z,0)),""),"")))</f>
        <v/>
      </c>
      <c r="L481" s="73" t="str">
        <f>IF(ISBLANK(K481),"",IFERROR(INDEX('Tournament List'!$D:$D,MATCH(K481,'Tournament List'!$A:$A,0)),""))</f>
        <v/>
      </c>
      <c r="M481" s="94" t="str">
        <f>IF(F481="Skeet",IFERROR(INDEX('Shooter-Squad Assignment'!$A:$A,MATCH(C481&amp;"-"&amp;E481&amp;"-"&amp;F481&amp;"-Pos4",'Shooter-Squad Assignment'!$K:$K,0)),""),IF(F481="Trap",IFERROR(INDEX('Shooter-Squad Assignment'!$A:$A,MATCH(C481&amp;"-"&amp;E481&amp;"-"&amp;F481&amp;"-Pos4",'Shooter-Squad Assignment'!$W:$W,0)),""),IF(F481="Sporting Clays",IFERROR(INDEX('Shooter-Squad Assignment'!$A:$A,MATCH(C481&amp;"-"&amp;E481&amp;"-"&amp;F481&amp;"-Pos4",'Shooter-Squad Assignment'!$Z:$Z,0)),""),"")))</f>
        <v/>
      </c>
      <c r="N481" s="73" t="str">
        <f>IF(ISBLANK(M481),"",IFERROR(INDEX('Tournament List'!$D:$D,MATCH(M481,'Tournament List'!$A:$A,0)),""))</f>
        <v/>
      </c>
      <c r="O481" s="94" t="str">
        <f>IF(F481="Skeet",IFERROR(INDEX('Shooter-Squad Assignment'!$A:$A,MATCH(C481&amp;"-"&amp;E481&amp;"-"&amp;F481&amp;"-Pos5",'Shooter-Squad Assignment'!$K:$K,0)),""),IF(F481="Trap",IFERROR(INDEX('Shooter-Squad Assignment'!$A:$A,MATCH(C481&amp;"-"&amp;E481&amp;"-"&amp;F481&amp;"-Pos5",'Shooter-Squad Assignment'!$W:$W,0)),""),IF(F481="Sporting Clays",IFERROR(INDEX('Shooter-Squad Assignment'!$A:$A,MATCH(C481&amp;"-"&amp;E481&amp;"-"&amp;F481&amp;"-Pos5",'Shooter-Squad Assignment'!$Z:$Z,0)),""),"")))</f>
        <v/>
      </c>
      <c r="P481" s="79" t="str">
        <f>IF(ISBLANK(O481),"",IFERROR(INDEX('Tournament List'!$D:$D,MATCH(O481,'Tournament List'!$A:$A,0)),""))</f>
        <v/>
      </c>
    </row>
    <row r="482" spans="1:16" x14ac:dyDescent="0.3">
      <c r="A482" s="78">
        <v>481</v>
      </c>
      <c r="B482" s="73" t="str">
        <f>C482&amp;"-"&amp;E482&amp;"-"&amp;F482</f>
        <v>-Intermediate 3-Sporting Clays</v>
      </c>
      <c r="C482" s="73"/>
      <c r="D482" s="73" t="str">
        <f>INDEX('Tournament Setup'!$B$59:$B$78,MATCH(E482,SquadConcurrents,0))</f>
        <v>Intermediate</v>
      </c>
      <c r="E482" s="73" t="s">
        <v>350</v>
      </c>
      <c r="F482" s="73" t="s">
        <v>148</v>
      </c>
      <c r="G482" s="94" t="str">
        <f>IF(F482="Skeet",IFERROR(INDEX('Shooter-Squad Assignment'!$A:$A,MATCH(C482&amp;"-"&amp;E482&amp;"-"&amp;F482&amp;"-Pos1",'Shooter-Squad Assignment'!$K:$K,0)),""),IF(F482="Trap",IFERROR(INDEX('Shooter-Squad Assignment'!$A:$A,MATCH(C482&amp;"-"&amp;E482&amp;"-"&amp;F482&amp;"-Pos1",'Shooter-Squad Assignment'!$W:$W,0)),""),IF(F482="Sporting Clays",IFERROR(INDEX('Shooter-Squad Assignment'!$A:$A,MATCH(C482&amp;"-"&amp;E482&amp;"-"&amp;F482&amp;"-Pos1",'Shooter-Squad Assignment'!$Z:$Z,0)),""),"")))</f>
        <v/>
      </c>
      <c r="H482" s="73" t="str">
        <f>IF(ISBLANK(G482),"",IFERROR(INDEX('Tournament List'!$D:$D,MATCH(G482,'Tournament List'!$A:$A,0)),""))</f>
        <v/>
      </c>
      <c r="I482" s="94" t="str">
        <f>IF(F482="Skeet",IFERROR(INDEX('Shooter-Squad Assignment'!$A:$A,MATCH(C482&amp;"-"&amp;E482&amp;"-"&amp;F482&amp;"-Pos2",'Shooter-Squad Assignment'!$K:$K,0)),""),IF(F482="Trap",IFERROR(INDEX('Shooter-Squad Assignment'!$A:$A,MATCH(C482&amp;"-"&amp;E482&amp;"-"&amp;F482&amp;"-Pos2",'Shooter-Squad Assignment'!$W:$W,0)),""),IF(F482="Sporting Clays",IFERROR(INDEX('Shooter-Squad Assignment'!$A:$A,MATCH(C482&amp;"-"&amp;E482&amp;"-"&amp;F482&amp;"-Pos2",'Shooter-Squad Assignment'!$Z:$Z,0)),""),"")))</f>
        <v/>
      </c>
      <c r="J482" s="73" t="str">
        <f>IF(ISBLANK(I482),"",IFERROR(INDEX('Tournament List'!$D:$D,MATCH(I482,'Tournament List'!$A:$A,0)),""))</f>
        <v/>
      </c>
      <c r="K482" s="94" t="str">
        <f>IF(F482="Skeet",IFERROR(INDEX('Shooter-Squad Assignment'!$A:$A,MATCH(C482&amp;"-"&amp;E482&amp;"-"&amp;F482&amp;"-Pos3",'Shooter-Squad Assignment'!$K:$K,0)),""),IF(F482="Trap",IFERROR(INDEX('Shooter-Squad Assignment'!$A:$A,MATCH(C482&amp;"-"&amp;E482&amp;"-"&amp;F482&amp;"-Pos3",'Shooter-Squad Assignment'!$W:$W,0)),""),IF(F482="Sporting Clays",IFERROR(INDEX('Shooter-Squad Assignment'!$A:$A,MATCH(C482&amp;"-"&amp;E482&amp;"-"&amp;F482&amp;"-Pos3",'Shooter-Squad Assignment'!$Z:$Z,0)),""),"")))</f>
        <v/>
      </c>
      <c r="L482" s="73" t="str">
        <f>IF(ISBLANK(K482),"",IFERROR(INDEX('Tournament List'!$D:$D,MATCH(K482,'Tournament List'!$A:$A,0)),""))</f>
        <v/>
      </c>
      <c r="M482" s="94" t="str">
        <f>IF(F482="Skeet",IFERROR(INDEX('Shooter-Squad Assignment'!$A:$A,MATCH(C482&amp;"-"&amp;E482&amp;"-"&amp;F482&amp;"-Pos4",'Shooter-Squad Assignment'!$K:$K,0)),""),IF(F482="Trap",IFERROR(INDEX('Shooter-Squad Assignment'!$A:$A,MATCH(C482&amp;"-"&amp;E482&amp;"-"&amp;F482&amp;"-Pos4",'Shooter-Squad Assignment'!$W:$W,0)),""),IF(F482="Sporting Clays",IFERROR(INDEX('Shooter-Squad Assignment'!$A:$A,MATCH(C482&amp;"-"&amp;E482&amp;"-"&amp;F482&amp;"-Pos4",'Shooter-Squad Assignment'!$Z:$Z,0)),""),"")))</f>
        <v/>
      </c>
      <c r="N482" s="73" t="str">
        <f>IF(ISBLANK(M482),"",IFERROR(INDEX('Tournament List'!$D:$D,MATCH(M482,'Tournament List'!$A:$A,0)),""))</f>
        <v/>
      </c>
      <c r="O482" s="94" t="str">
        <f>IF(F482="Skeet",IFERROR(INDEX('Shooter-Squad Assignment'!$A:$A,MATCH(C482&amp;"-"&amp;E482&amp;"-"&amp;F482&amp;"-Pos5",'Shooter-Squad Assignment'!$K:$K,0)),""),IF(F482="Trap",IFERROR(INDEX('Shooter-Squad Assignment'!$A:$A,MATCH(C482&amp;"-"&amp;E482&amp;"-"&amp;F482&amp;"-Pos5",'Shooter-Squad Assignment'!$W:$W,0)),""),IF(F482="Sporting Clays",IFERROR(INDEX('Shooter-Squad Assignment'!$A:$A,MATCH(C482&amp;"-"&amp;E482&amp;"-"&amp;F482&amp;"-Pos5",'Shooter-Squad Assignment'!$Z:$Z,0)),""),"")))</f>
        <v/>
      </c>
      <c r="P482" s="79" t="str">
        <f>IF(ISBLANK(O482),"",IFERROR(INDEX('Tournament List'!$D:$D,MATCH(O482,'Tournament List'!$A:$A,0)),""))</f>
        <v/>
      </c>
    </row>
    <row r="483" spans="1:16" x14ac:dyDescent="0.3">
      <c r="A483" s="78">
        <v>482</v>
      </c>
      <c r="B483" s="73" t="str">
        <f>C483&amp;"-"&amp;E483&amp;"-"&amp;F483</f>
        <v>-Junior Varsity 1-Sporting Clays</v>
      </c>
      <c r="C483" s="73"/>
      <c r="D483" s="73" t="str">
        <f>INDEX('Tournament Setup'!$B$59:$B$78,MATCH(E483,SquadConcurrents,0))</f>
        <v>Junior Varsity</v>
      </c>
      <c r="E483" s="73" t="s">
        <v>339</v>
      </c>
      <c r="F483" s="73" t="s">
        <v>148</v>
      </c>
      <c r="G483" s="94" t="str">
        <f>IF(F483="Skeet",IFERROR(INDEX('Shooter-Squad Assignment'!$A:$A,MATCH(C483&amp;"-"&amp;E483&amp;"-"&amp;F483&amp;"-Pos1",'Shooter-Squad Assignment'!$K:$K,0)),""),IF(F483="Trap",IFERROR(INDEX('Shooter-Squad Assignment'!$A:$A,MATCH(C483&amp;"-"&amp;E483&amp;"-"&amp;F483&amp;"-Pos1",'Shooter-Squad Assignment'!$W:$W,0)),""),IF(F483="Sporting Clays",IFERROR(INDEX('Shooter-Squad Assignment'!$A:$A,MATCH(C483&amp;"-"&amp;E483&amp;"-"&amp;F483&amp;"-Pos1",'Shooter-Squad Assignment'!$Z:$Z,0)),""),"")))</f>
        <v/>
      </c>
      <c r="H483" s="73" t="str">
        <f>IF(ISBLANK(G483),"",IFERROR(INDEX('Tournament List'!$D:$D,MATCH(G483,'Tournament List'!$A:$A,0)),""))</f>
        <v/>
      </c>
      <c r="I483" s="94" t="str">
        <f>IF(F483="Skeet",IFERROR(INDEX('Shooter-Squad Assignment'!$A:$A,MATCH(C483&amp;"-"&amp;E483&amp;"-"&amp;F483&amp;"-Pos2",'Shooter-Squad Assignment'!$K:$K,0)),""),IF(F483="Trap",IFERROR(INDEX('Shooter-Squad Assignment'!$A:$A,MATCH(C483&amp;"-"&amp;E483&amp;"-"&amp;F483&amp;"-Pos2",'Shooter-Squad Assignment'!$W:$W,0)),""),IF(F483="Sporting Clays",IFERROR(INDEX('Shooter-Squad Assignment'!$A:$A,MATCH(C483&amp;"-"&amp;E483&amp;"-"&amp;F483&amp;"-Pos2",'Shooter-Squad Assignment'!$Z:$Z,0)),""),"")))</f>
        <v/>
      </c>
      <c r="J483" s="73" t="str">
        <f>IF(ISBLANK(I483),"",IFERROR(INDEX('Tournament List'!$D:$D,MATCH(I483,'Tournament List'!$A:$A,0)),""))</f>
        <v/>
      </c>
      <c r="K483" s="94" t="str">
        <f>IF(F483="Skeet",IFERROR(INDEX('Shooter-Squad Assignment'!$A:$A,MATCH(C483&amp;"-"&amp;E483&amp;"-"&amp;F483&amp;"-Pos3",'Shooter-Squad Assignment'!$K:$K,0)),""),IF(F483="Trap",IFERROR(INDEX('Shooter-Squad Assignment'!$A:$A,MATCH(C483&amp;"-"&amp;E483&amp;"-"&amp;F483&amp;"-Pos3",'Shooter-Squad Assignment'!$W:$W,0)),""),IF(F483="Sporting Clays",IFERROR(INDEX('Shooter-Squad Assignment'!$A:$A,MATCH(C483&amp;"-"&amp;E483&amp;"-"&amp;F483&amp;"-Pos3",'Shooter-Squad Assignment'!$Z:$Z,0)),""),"")))</f>
        <v/>
      </c>
      <c r="L483" s="73" t="str">
        <f>IF(ISBLANK(K483),"",IFERROR(INDEX('Tournament List'!$D:$D,MATCH(K483,'Tournament List'!$A:$A,0)),""))</f>
        <v/>
      </c>
      <c r="M483" s="94" t="str">
        <f>IF(F483="Skeet",IFERROR(INDEX('Shooter-Squad Assignment'!$A:$A,MATCH(C483&amp;"-"&amp;E483&amp;"-"&amp;F483&amp;"-Pos4",'Shooter-Squad Assignment'!$K:$K,0)),""),IF(F483="Trap",IFERROR(INDEX('Shooter-Squad Assignment'!$A:$A,MATCH(C483&amp;"-"&amp;E483&amp;"-"&amp;F483&amp;"-Pos4",'Shooter-Squad Assignment'!$W:$W,0)),""),IF(F483="Sporting Clays",IFERROR(INDEX('Shooter-Squad Assignment'!$A:$A,MATCH(C483&amp;"-"&amp;E483&amp;"-"&amp;F483&amp;"-Pos4",'Shooter-Squad Assignment'!$Z:$Z,0)),""),"")))</f>
        <v/>
      </c>
      <c r="N483" s="73" t="str">
        <f>IF(ISBLANK(M483),"",IFERROR(INDEX('Tournament List'!$D:$D,MATCH(M483,'Tournament List'!$A:$A,0)),""))</f>
        <v/>
      </c>
      <c r="O483" s="94" t="str">
        <f>IF(F483="Skeet",IFERROR(INDEX('Shooter-Squad Assignment'!$A:$A,MATCH(C483&amp;"-"&amp;E483&amp;"-"&amp;F483&amp;"-Pos5",'Shooter-Squad Assignment'!$K:$K,0)),""),IF(F483="Trap",IFERROR(INDEX('Shooter-Squad Assignment'!$A:$A,MATCH(C483&amp;"-"&amp;E483&amp;"-"&amp;F483&amp;"-Pos5",'Shooter-Squad Assignment'!$W:$W,0)),""),IF(F483="Sporting Clays",IFERROR(INDEX('Shooter-Squad Assignment'!$A:$A,MATCH(C483&amp;"-"&amp;E483&amp;"-"&amp;F483&amp;"-Pos5",'Shooter-Squad Assignment'!$Z:$Z,0)),""),"")))</f>
        <v/>
      </c>
      <c r="P483" s="79" t="str">
        <f>IF(ISBLANK(O483),"",IFERROR(INDEX('Tournament List'!$D:$D,MATCH(O483,'Tournament List'!$A:$A,0)),""))</f>
        <v/>
      </c>
    </row>
    <row r="484" spans="1:16" x14ac:dyDescent="0.3">
      <c r="A484" s="78">
        <v>483</v>
      </c>
      <c r="B484" s="73" t="str">
        <f>C484&amp;"-"&amp;E484&amp;"-"&amp;F484</f>
        <v>-Junior Varsity 2-Sporting Clays</v>
      </c>
      <c r="C484" s="73"/>
      <c r="D484" s="73" t="str">
        <f>INDEX('Tournament Setup'!$B$59:$B$78,MATCH(E484,SquadConcurrents,0))</f>
        <v>Junior Varsity</v>
      </c>
      <c r="E484" s="73" t="s">
        <v>345</v>
      </c>
      <c r="F484" s="73" t="s">
        <v>148</v>
      </c>
      <c r="G484" s="94" t="str">
        <f>IF(F484="Skeet",IFERROR(INDEX('Shooter-Squad Assignment'!$A:$A,MATCH(C484&amp;"-"&amp;E484&amp;"-"&amp;F484&amp;"-Pos1",'Shooter-Squad Assignment'!$K:$K,0)),""),IF(F484="Trap",IFERROR(INDEX('Shooter-Squad Assignment'!$A:$A,MATCH(C484&amp;"-"&amp;E484&amp;"-"&amp;F484&amp;"-Pos1",'Shooter-Squad Assignment'!$W:$W,0)),""),IF(F484="Sporting Clays",IFERROR(INDEX('Shooter-Squad Assignment'!$A:$A,MATCH(C484&amp;"-"&amp;E484&amp;"-"&amp;F484&amp;"-Pos1",'Shooter-Squad Assignment'!$Z:$Z,0)),""),"")))</f>
        <v/>
      </c>
      <c r="H484" s="73" t="str">
        <f>IF(ISBLANK(G484),"",IFERROR(INDEX('Tournament List'!$D:$D,MATCH(G484,'Tournament List'!$A:$A,0)),""))</f>
        <v/>
      </c>
      <c r="I484" s="94" t="str">
        <f>IF(F484="Skeet",IFERROR(INDEX('Shooter-Squad Assignment'!$A:$A,MATCH(C484&amp;"-"&amp;E484&amp;"-"&amp;F484&amp;"-Pos2",'Shooter-Squad Assignment'!$K:$K,0)),""),IF(F484="Trap",IFERROR(INDEX('Shooter-Squad Assignment'!$A:$A,MATCH(C484&amp;"-"&amp;E484&amp;"-"&amp;F484&amp;"-Pos2",'Shooter-Squad Assignment'!$W:$W,0)),""),IF(F484="Sporting Clays",IFERROR(INDEX('Shooter-Squad Assignment'!$A:$A,MATCH(C484&amp;"-"&amp;E484&amp;"-"&amp;F484&amp;"-Pos2",'Shooter-Squad Assignment'!$Z:$Z,0)),""),"")))</f>
        <v/>
      </c>
      <c r="J484" s="73" t="str">
        <f>IF(ISBLANK(I484),"",IFERROR(INDEX('Tournament List'!$D:$D,MATCH(I484,'Tournament List'!$A:$A,0)),""))</f>
        <v/>
      </c>
      <c r="K484" s="94" t="str">
        <f>IF(F484="Skeet",IFERROR(INDEX('Shooter-Squad Assignment'!$A:$A,MATCH(C484&amp;"-"&amp;E484&amp;"-"&amp;F484&amp;"-Pos3",'Shooter-Squad Assignment'!$K:$K,0)),""),IF(F484="Trap",IFERROR(INDEX('Shooter-Squad Assignment'!$A:$A,MATCH(C484&amp;"-"&amp;E484&amp;"-"&amp;F484&amp;"-Pos3",'Shooter-Squad Assignment'!$W:$W,0)),""),IF(F484="Sporting Clays",IFERROR(INDEX('Shooter-Squad Assignment'!$A:$A,MATCH(C484&amp;"-"&amp;E484&amp;"-"&amp;F484&amp;"-Pos3",'Shooter-Squad Assignment'!$Z:$Z,0)),""),"")))</f>
        <v/>
      </c>
      <c r="L484" s="73" t="str">
        <f>IF(ISBLANK(K484),"",IFERROR(INDEX('Tournament List'!$D:$D,MATCH(K484,'Tournament List'!$A:$A,0)),""))</f>
        <v/>
      </c>
      <c r="M484" s="94" t="str">
        <f>IF(F484="Skeet",IFERROR(INDEX('Shooter-Squad Assignment'!$A:$A,MATCH(C484&amp;"-"&amp;E484&amp;"-"&amp;F484&amp;"-Pos4",'Shooter-Squad Assignment'!$K:$K,0)),""),IF(F484="Trap",IFERROR(INDEX('Shooter-Squad Assignment'!$A:$A,MATCH(C484&amp;"-"&amp;E484&amp;"-"&amp;F484&amp;"-Pos4",'Shooter-Squad Assignment'!$W:$W,0)),""),IF(F484="Sporting Clays",IFERROR(INDEX('Shooter-Squad Assignment'!$A:$A,MATCH(C484&amp;"-"&amp;E484&amp;"-"&amp;F484&amp;"-Pos4",'Shooter-Squad Assignment'!$Z:$Z,0)),""),"")))</f>
        <v/>
      </c>
      <c r="N484" s="73" t="str">
        <f>IF(ISBLANK(M484),"",IFERROR(INDEX('Tournament List'!$D:$D,MATCH(M484,'Tournament List'!$A:$A,0)),""))</f>
        <v/>
      </c>
      <c r="O484" s="94" t="str">
        <f>IF(F484="Skeet",IFERROR(INDEX('Shooter-Squad Assignment'!$A:$A,MATCH(C484&amp;"-"&amp;E484&amp;"-"&amp;F484&amp;"-Pos5",'Shooter-Squad Assignment'!$K:$K,0)),""),IF(F484="Trap",IFERROR(INDEX('Shooter-Squad Assignment'!$A:$A,MATCH(C484&amp;"-"&amp;E484&amp;"-"&amp;F484&amp;"-Pos5",'Shooter-Squad Assignment'!$W:$W,0)),""),IF(F484="Sporting Clays",IFERROR(INDEX('Shooter-Squad Assignment'!$A:$A,MATCH(C484&amp;"-"&amp;E484&amp;"-"&amp;F484&amp;"-Pos5",'Shooter-Squad Assignment'!$Z:$Z,0)),""),"")))</f>
        <v/>
      </c>
      <c r="P484" s="79" t="str">
        <f>IF(ISBLANK(O484),"",IFERROR(INDEX('Tournament List'!$D:$D,MATCH(O484,'Tournament List'!$A:$A,0)),""))</f>
        <v/>
      </c>
    </row>
    <row r="485" spans="1:16" x14ac:dyDescent="0.3">
      <c r="A485" s="78">
        <v>484</v>
      </c>
      <c r="B485" s="73" t="str">
        <f>C485&amp;"-"&amp;E485&amp;"-"&amp;F485</f>
        <v>-Junior Varsity 3-Sporting Clays</v>
      </c>
      <c r="C485" s="73"/>
      <c r="D485" s="73" t="str">
        <f>INDEX('Tournament Setup'!$B$59:$B$78,MATCH(E485,SquadConcurrents,0))</f>
        <v>Junior Varsity</v>
      </c>
      <c r="E485" s="73" t="s">
        <v>351</v>
      </c>
      <c r="F485" s="73" t="s">
        <v>148</v>
      </c>
      <c r="G485" s="94" t="str">
        <f>IF(F485="Skeet",IFERROR(INDEX('Shooter-Squad Assignment'!$A:$A,MATCH(C485&amp;"-"&amp;E485&amp;"-"&amp;F485&amp;"-Pos1",'Shooter-Squad Assignment'!$K:$K,0)),""),IF(F485="Trap",IFERROR(INDEX('Shooter-Squad Assignment'!$A:$A,MATCH(C485&amp;"-"&amp;E485&amp;"-"&amp;F485&amp;"-Pos1",'Shooter-Squad Assignment'!$W:$W,0)),""),IF(F485="Sporting Clays",IFERROR(INDEX('Shooter-Squad Assignment'!$A:$A,MATCH(C485&amp;"-"&amp;E485&amp;"-"&amp;F485&amp;"-Pos1",'Shooter-Squad Assignment'!$Z:$Z,0)),""),"")))</f>
        <v/>
      </c>
      <c r="H485" s="73" t="str">
        <f>IF(ISBLANK(G485),"",IFERROR(INDEX('Tournament List'!$D:$D,MATCH(G485,'Tournament List'!$A:$A,0)),""))</f>
        <v/>
      </c>
      <c r="I485" s="94" t="str">
        <f>IF(F485="Skeet",IFERROR(INDEX('Shooter-Squad Assignment'!$A:$A,MATCH(C485&amp;"-"&amp;E485&amp;"-"&amp;F485&amp;"-Pos2",'Shooter-Squad Assignment'!$K:$K,0)),""),IF(F485="Trap",IFERROR(INDEX('Shooter-Squad Assignment'!$A:$A,MATCH(C485&amp;"-"&amp;E485&amp;"-"&amp;F485&amp;"-Pos2",'Shooter-Squad Assignment'!$W:$W,0)),""),IF(F485="Sporting Clays",IFERROR(INDEX('Shooter-Squad Assignment'!$A:$A,MATCH(C485&amp;"-"&amp;E485&amp;"-"&amp;F485&amp;"-Pos2",'Shooter-Squad Assignment'!$Z:$Z,0)),""),"")))</f>
        <v/>
      </c>
      <c r="J485" s="73" t="str">
        <f>IF(ISBLANK(I485),"",IFERROR(INDEX('Tournament List'!$D:$D,MATCH(I485,'Tournament List'!$A:$A,0)),""))</f>
        <v/>
      </c>
      <c r="K485" s="94" t="str">
        <f>IF(F485="Skeet",IFERROR(INDEX('Shooter-Squad Assignment'!$A:$A,MATCH(C485&amp;"-"&amp;E485&amp;"-"&amp;F485&amp;"-Pos3",'Shooter-Squad Assignment'!$K:$K,0)),""),IF(F485="Trap",IFERROR(INDEX('Shooter-Squad Assignment'!$A:$A,MATCH(C485&amp;"-"&amp;E485&amp;"-"&amp;F485&amp;"-Pos3",'Shooter-Squad Assignment'!$W:$W,0)),""),IF(F485="Sporting Clays",IFERROR(INDEX('Shooter-Squad Assignment'!$A:$A,MATCH(C485&amp;"-"&amp;E485&amp;"-"&amp;F485&amp;"-Pos3",'Shooter-Squad Assignment'!$Z:$Z,0)),""),"")))</f>
        <v/>
      </c>
      <c r="L485" s="73" t="str">
        <f>IF(ISBLANK(K485),"",IFERROR(INDEX('Tournament List'!$D:$D,MATCH(K485,'Tournament List'!$A:$A,0)),""))</f>
        <v/>
      </c>
      <c r="M485" s="94" t="str">
        <f>IF(F485="Skeet",IFERROR(INDEX('Shooter-Squad Assignment'!$A:$A,MATCH(C485&amp;"-"&amp;E485&amp;"-"&amp;F485&amp;"-Pos4",'Shooter-Squad Assignment'!$K:$K,0)),""),IF(F485="Trap",IFERROR(INDEX('Shooter-Squad Assignment'!$A:$A,MATCH(C485&amp;"-"&amp;E485&amp;"-"&amp;F485&amp;"-Pos4",'Shooter-Squad Assignment'!$W:$W,0)),""),IF(F485="Sporting Clays",IFERROR(INDEX('Shooter-Squad Assignment'!$A:$A,MATCH(C485&amp;"-"&amp;E485&amp;"-"&amp;F485&amp;"-Pos4",'Shooter-Squad Assignment'!$Z:$Z,0)),""),"")))</f>
        <v/>
      </c>
      <c r="N485" s="73" t="str">
        <f>IF(ISBLANK(M485),"",IFERROR(INDEX('Tournament List'!$D:$D,MATCH(M485,'Tournament List'!$A:$A,0)),""))</f>
        <v/>
      </c>
      <c r="O485" s="94" t="str">
        <f>IF(F485="Skeet",IFERROR(INDEX('Shooter-Squad Assignment'!$A:$A,MATCH(C485&amp;"-"&amp;E485&amp;"-"&amp;F485&amp;"-Pos5",'Shooter-Squad Assignment'!$K:$K,0)),""),IF(F485="Trap",IFERROR(INDEX('Shooter-Squad Assignment'!$A:$A,MATCH(C485&amp;"-"&amp;E485&amp;"-"&amp;F485&amp;"-Pos5",'Shooter-Squad Assignment'!$W:$W,0)),""),IF(F485="Sporting Clays",IFERROR(INDEX('Shooter-Squad Assignment'!$A:$A,MATCH(C485&amp;"-"&amp;E485&amp;"-"&amp;F485&amp;"-Pos5",'Shooter-Squad Assignment'!$Z:$Z,0)),""),"")))</f>
        <v/>
      </c>
      <c r="P485" s="79" t="str">
        <f>IF(ISBLANK(O485),"",IFERROR(INDEX('Tournament List'!$D:$D,MATCH(O485,'Tournament List'!$A:$A,0)),""))</f>
        <v/>
      </c>
    </row>
    <row r="486" spans="1:16" x14ac:dyDescent="0.3">
      <c r="A486" s="78">
        <v>485</v>
      </c>
      <c r="B486" s="73" t="str">
        <f>C486&amp;"-"&amp;E486&amp;"-"&amp;F486</f>
        <v>-Novice 1-Sporting Clays</v>
      </c>
      <c r="C486" s="73"/>
      <c r="D486" s="73" t="str">
        <f>INDEX('Tournament Setup'!$B$59:$B$78,MATCH(E486,SquadConcurrents,0))</f>
        <v>Novice</v>
      </c>
      <c r="E486" s="73" t="s">
        <v>337</v>
      </c>
      <c r="F486" s="73" t="s">
        <v>148</v>
      </c>
      <c r="G486" s="94" t="str">
        <f>IF(F486="Skeet",IFERROR(INDEX('Shooter-Squad Assignment'!$A:$A,MATCH(C486&amp;"-"&amp;E486&amp;"-"&amp;F486&amp;"-Pos1",'Shooter-Squad Assignment'!$K:$K,0)),""),IF(F486="Trap",IFERROR(INDEX('Shooter-Squad Assignment'!$A:$A,MATCH(C486&amp;"-"&amp;E486&amp;"-"&amp;F486&amp;"-Pos1",'Shooter-Squad Assignment'!$W:$W,0)),""),IF(F486="Sporting Clays",IFERROR(INDEX('Shooter-Squad Assignment'!$A:$A,MATCH(C486&amp;"-"&amp;E486&amp;"-"&amp;F486&amp;"-Pos1",'Shooter-Squad Assignment'!$Z:$Z,0)),""),"")))</f>
        <v/>
      </c>
      <c r="H486" s="73" t="str">
        <f>IF(ISBLANK(G486),"",IFERROR(INDEX('Tournament List'!$D:$D,MATCH(G486,'Tournament List'!$A:$A,0)),""))</f>
        <v/>
      </c>
      <c r="I486" s="94" t="str">
        <f>IF(F486="Skeet",IFERROR(INDEX('Shooter-Squad Assignment'!$A:$A,MATCH(C486&amp;"-"&amp;E486&amp;"-"&amp;F486&amp;"-Pos2",'Shooter-Squad Assignment'!$K:$K,0)),""),IF(F486="Trap",IFERROR(INDEX('Shooter-Squad Assignment'!$A:$A,MATCH(C486&amp;"-"&amp;E486&amp;"-"&amp;F486&amp;"-Pos2",'Shooter-Squad Assignment'!$W:$W,0)),""),IF(F486="Sporting Clays",IFERROR(INDEX('Shooter-Squad Assignment'!$A:$A,MATCH(C486&amp;"-"&amp;E486&amp;"-"&amp;F486&amp;"-Pos2",'Shooter-Squad Assignment'!$Z:$Z,0)),""),"")))</f>
        <v/>
      </c>
      <c r="J486" s="73" t="str">
        <f>IF(ISBLANK(I486),"",IFERROR(INDEX('Tournament List'!$D:$D,MATCH(I486,'Tournament List'!$A:$A,0)),""))</f>
        <v/>
      </c>
      <c r="K486" s="94" t="str">
        <f>IF(F486="Skeet",IFERROR(INDEX('Shooter-Squad Assignment'!$A:$A,MATCH(C486&amp;"-"&amp;E486&amp;"-"&amp;F486&amp;"-Pos3",'Shooter-Squad Assignment'!$K:$K,0)),""),IF(F486="Trap",IFERROR(INDEX('Shooter-Squad Assignment'!$A:$A,MATCH(C486&amp;"-"&amp;E486&amp;"-"&amp;F486&amp;"-Pos3",'Shooter-Squad Assignment'!$W:$W,0)),""),IF(F486="Sporting Clays",IFERROR(INDEX('Shooter-Squad Assignment'!$A:$A,MATCH(C486&amp;"-"&amp;E486&amp;"-"&amp;F486&amp;"-Pos3",'Shooter-Squad Assignment'!$Z:$Z,0)),""),"")))</f>
        <v/>
      </c>
      <c r="L486" s="73" t="str">
        <f>IF(ISBLANK(K486),"",IFERROR(INDEX('Tournament List'!$D:$D,MATCH(K486,'Tournament List'!$A:$A,0)),""))</f>
        <v/>
      </c>
      <c r="M486" s="94" t="str">
        <f>IF(F486="Skeet",IFERROR(INDEX('Shooter-Squad Assignment'!$A:$A,MATCH(C486&amp;"-"&amp;E486&amp;"-"&amp;F486&amp;"-Pos4",'Shooter-Squad Assignment'!$K:$K,0)),""),IF(F486="Trap",IFERROR(INDEX('Shooter-Squad Assignment'!$A:$A,MATCH(C486&amp;"-"&amp;E486&amp;"-"&amp;F486&amp;"-Pos4",'Shooter-Squad Assignment'!$W:$W,0)),""),IF(F486="Sporting Clays",IFERROR(INDEX('Shooter-Squad Assignment'!$A:$A,MATCH(C486&amp;"-"&amp;E486&amp;"-"&amp;F486&amp;"-Pos4",'Shooter-Squad Assignment'!$Z:$Z,0)),""),"")))</f>
        <v/>
      </c>
      <c r="N486" s="73" t="str">
        <f>IF(ISBLANK(M486),"",IFERROR(INDEX('Tournament List'!$D:$D,MATCH(M486,'Tournament List'!$A:$A,0)),""))</f>
        <v/>
      </c>
      <c r="O486" s="94" t="str">
        <f>IF(F486="Skeet",IFERROR(INDEX('Shooter-Squad Assignment'!$A:$A,MATCH(C486&amp;"-"&amp;E486&amp;"-"&amp;F486&amp;"-Pos5",'Shooter-Squad Assignment'!$K:$K,0)),""),IF(F486="Trap",IFERROR(INDEX('Shooter-Squad Assignment'!$A:$A,MATCH(C486&amp;"-"&amp;E486&amp;"-"&amp;F486&amp;"-Pos5",'Shooter-Squad Assignment'!$W:$W,0)),""),IF(F486="Sporting Clays",IFERROR(INDEX('Shooter-Squad Assignment'!$A:$A,MATCH(C486&amp;"-"&amp;E486&amp;"-"&amp;F486&amp;"-Pos5",'Shooter-Squad Assignment'!$Z:$Z,0)),""),"")))</f>
        <v/>
      </c>
      <c r="P486" s="79" t="str">
        <f>IF(ISBLANK(O486),"",IFERROR(INDEX('Tournament List'!$D:$D,MATCH(O486,'Tournament List'!$A:$A,0)),""))</f>
        <v/>
      </c>
    </row>
    <row r="487" spans="1:16" x14ac:dyDescent="0.3">
      <c r="A487" s="78">
        <v>486</v>
      </c>
      <c r="B487" s="73" t="str">
        <f>C487&amp;"-"&amp;E487&amp;"-"&amp;F487</f>
        <v>-Novice 2-Sporting Clays</v>
      </c>
      <c r="C487" s="73"/>
      <c r="D487" s="73" t="str">
        <f>INDEX('Tournament Setup'!$B$59:$B$78,MATCH(E487,SquadConcurrents,0))</f>
        <v>Novice</v>
      </c>
      <c r="E487" s="73" t="s">
        <v>343</v>
      </c>
      <c r="F487" s="73" t="s">
        <v>148</v>
      </c>
      <c r="G487" s="94" t="str">
        <f>IF(F487="Skeet",IFERROR(INDEX('Shooter-Squad Assignment'!$A:$A,MATCH(C487&amp;"-"&amp;E487&amp;"-"&amp;F487&amp;"-Pos1",'Shooter-Squad Assignment'!$K:$K,0)),""),IF(F487="Trap",IFERROR(INDEX('Shooter-Squad Assignment'!$A:$A,MATCH(C487&amp;"-"&amp;E487&amp;"-"&amp;F487&amp;"-Pos1",'Shooter-Squad Assignment'!$W:$W,0)),""),IF(F487="Sporting Clays",IFERROR(INDEX('Shooter-Squad Assignment'!$A:$A,MATCH(C487&amp;"-"&amp;E487&amp;"-"&amp;F487&amp;"-Pos1",'Shooter-Squad Assignment'!$Z:$Z,0)),""),"")))</f>
        <v/>
      </c>
      <c r="H487" s="73" t="str">
        <f>IF(ISBLANK(G487),"",IFERROR(INDEX('Tournament List'!$D:$D,MATCH(G487,'Tournament List'!$A:$A,0)),""))</f>
        <v/>
      </c>
      <c r="I487" s="94" t="str">
        <f>IF(F487="Skeet",IFERROR(INDEX('Shooter-Squad Assignment'!$A:$A,MATCH(C487&amp;"-"&amp;E487&amp;"-"&amp;F487&amp;"-Pos2",'Shooter-Squad Assignment'!$K:$K,0)),""),IF(F487="Trap",IFERROR(INDEX('Shooter-Squad Assignment'!$A:$A,MATCH(C487&amp;"-"&amp;E487&amp;"-"&amp;F487&amp;"-Pos2",'Shooter-Squad Assignment'!$W:$W,0)),""),IF(F487="Sporting Clays",IFERROR(INDEX('Shooter-Squad Assignment'!$A:$A,MATCH(C487&amp;"-"&amp;E487&amp;"-"&amp;F487&amp;"-Pos2",'Shooter-Squad Assignment'!$Z:$Z,0)),""),"")))</f>
        <v/>
      </c>
      <c r="J487" s="73" t="str">
        <f>IF(ISBLANK(I487),"",IFERROR(INDEX('Tournament List'!$D:$D,MATCH(I487,'Tournament List'!$A:$A,0)),""))</f>
        <v/>
      </c>
      <c r="K487" s="94" t="str">
        <f>IF(F487="Skeet",IFERROR(INDEX('Shooter-Squad Assignment'!$A:$A,MATCH(C487&amp;"-"&amp;E487&amp;"-"&amp;F487&amp;"-Pos3",'Shooter-Squad Assignment'!$K:$K,0)),""),IF(F487="Trap",IFERROR(INDEX('Shooter-Squad Assignment'!$A:$A,MATCH(C487&amp;"-"&amp;E487&amp;"-"&amp;F487&amp;"-Pos3",'Shooter-Squad Assignment'!$W:$W,0)),""),IF(F487="Sporting Clays",IFERROR(INDEX('Shooter-Squad Assignment'!$A:$A,MATCH(C487&amp;"-"&amp;E487&amp;"-"&amp;F487&amp;"-Pos3",'Shooter-Squad Assignment'!$Z:$Z,0)),""),"")))</f>
        <v/>
      </c>
      <c r="L487" s="73" t="str">
        <f>IF(ISBLANK(K487),"",IFERROR(INDEX('Tournament List'!$D:$D,MATCH(K487,'Tournament List'!$A:$A,0)),""))</f>
        <v/>
      </c>
      <c r="M487" s="94" t="str">
        <f>IF(F487="Skeet",IFERROR(INDEX('Shooter-Squad Assignment'!$A:$A,MATCH(C487&amp;"-"&amp;E487&amp;"-"&amp;F487&amp;"-Pos4",'Shooter-Squad Assignment'!$K:$K,0)),""),IF(F487="Trap",IFERROR(INDEX('Shooter-Squad Assignment'!$A:$A,MATCH(C487&amp;"-"&amp;E487&amp;"-"&amp;F487&amp;"-Pos4",'Shooter-Squad Assignment'!$W:$W,0)),""),IF(F487="Sporting Clays",IFERROR(INDEX('Shooter-Squad Assignment'!$A:$A,MATCH(C487&amp;"-"&amp;E487&amp;"-"&amp;F487&amp;"-Pos4",'Shooter-Squad Assignment'!$Z:$Z,0)),""),"")))</f>
        <v/>
      </c>
      <c r="N487" s="73" t="str">
        <f>IF(ISBLANK(M487),"",IFERROR(INDEX('Tournament List'!$D:$D,MATCH(M487,'Tournament List'!$A:$A,0)),""))</f>
        <v/>
      </c>
      <c r="O487" s="94" t="str">
        <f>IF(F487="Skeet",IFERROR(INDEX('Shooter-Squad Assignment'!$A:$A,MATCH(C487&amp;"-"&amp;E487&amp;"-"&amp;F487&amp;"-Pos5",'Shooter-Squad Assignment'!$K:$K,0)),""),IF(F487="Trap",IFERROR(INDEX('Shooter-Squad Assignment'!$A:$A,MATCH(C487&amp;"-"&amp;E487&amp;"-"&amp;F487&amp;"-Pos5",'Shooter-Squad Assignment'!$W:$W,0)),""),IF(F487="Sporting Clays",IFERROR(INDEX('Shooter-Squad Assignment'!$A:$A,MATCH(C487&amp;"-"&amp;E487&amp;"-"&amp;F487&amp;"-Pos5",'Shooter-Squad Assignment'!$Z:$Z,0)),""),"")))</f>
        <v/>
      </c>
      <c r="P487" s="79" t="str">
        <f>IF(ISBLANK(O487),"",IFERROR(INDEX('Tournament List'!$D:$D,MATCH(O487,'Tournament List'!$A:$A,0)),""))</f>
        <v/>
      </c>
    </row>
    <row r="488" spans="1:16" x14ac:dyDescent="0.3">
      <c r="A488" s="78">
        <v>487</v>
      </c>
      <c r="B488" s="73" t="str">
        <f>C488&amp;"-"&amp;E488&amp;"-"&amp;F488</f>
        <v>-Novice 3-Sporting Clays</v>
      </c>
      <c r="C488" s="73"/>
      <c r="D488" s="73" t="str">
        <f>INDEX('Tournament Setup'!$B$59:$B$78,MATCH(E488,SquadConcurrents,0))</f>
        <v>Novice</v>
      </c>
      <c r="E488" s="73" t="s">
        <v>349</v>
      </c>
      <c r="F488" s="73" t="s">
        <v>148</v>
      </c>
      <c r="G488" s="94" t="str">
        <f>IF(F488="Skeet",IFERROR(INDEX('Shooter-Squad Assignment'!$A:$A,MATCH(C488&amp;"-"&amp;E488&amp;"-"&amp;F488&amp;"-Pos1",'Shooter-Squad Assignment'!$K:$K,0)),""),IF(F488="Trap",IFERROR(INDEX('Shooter-Squad Assignment'!$A:$A,MATCH(C488&amp;"-"&amp;E488&amp;"-"&amp;F488&amp;"-Pos1",'Shooter-Squad Assignment'!$W:$W,0)),""),IF(F488="Sporting Clays",IFERROR(INDEX('Shooter-Squad Assignment'!$A:$A,MATCH(C488&amp;"-"&amp;E488&amp;"-"&amp;F488&amp;"-Pos1",'Shooter-Squad Assignment'!$Z:$Z,0)),""),"")))</f>
        <v/>
      </c>
      <c r="H488" s="73" t="str">
        <f>IF(ISBLANK(G488),"",IFERROR(INDEX('Tournament List'!$D:$D,MATCH(G488,'Tournament List'!$A:$A,0)),""))</f>
        <v/>
      </c>
      <c r="I488" s="94" t="str">
        <f>IF(F488="Skeet",IFERROR(INDEX('Shooter-Squad Assignment'!$A:$A,MATCH(C488&amp;"-"&amp;E488&amp;"-"&amp;F488&amp;"-Pos2",'Shooter-Squad Assignment'!$K:$K,0)),""),IF(F488="Trap",IFERROR(INDEX('Shooter-Squad Assignment'!$A:$A,MATCH(C488&amp;"-"&amp;E488&amp;"-"&amp;F488&amp;"-Pos2",'Shooter-Squad Assignment'!$W:$W,0)),""),IF(F488="Sporting Clays",IFERROR(INDEX('Shooter-Squad Assignment'!$A:$A,MATCH(C488&amp;"-"&amp;E488&amp;"-"&amp;F488&amp;"-Pos2",'Shooter-Squad Assignment'!$Z:$Z,0)),""),"")))</f>
        <v/>
      </c>
      <c r="J488" s="73" t="str">
        <f>IF(ISBLANK(I488),"",IFERROR(INDEX('Tournament List'!$D:$D,MATCH(I488,'Tournament List'!$A:$A,0)),""))</f>
        <v/>
      </c>
      <c r="K488" s="94" t="str">
        <f>IF(F488="Skeet",IFERROR(INDEX('Shooter-Squad Assignment'!$A:$A,MATCH(C488&amp;"-"&amp;E488&amp;"-"&amp;F488&amp;"-Pos3",'Shooter-Squad Assignment'!$K:$K,0)),""),IF(F488="Trap",IFERROR(INDEX('Shooter-Squad Assignment'!$A:$A,MATCH(C488&amp;"-"&amp;E488&amp;"-"&amp;F488&amp;"-Pos3",'Shooter-Squad Assignment'!$W:$W,0)),""),IF(F488="Sporting Clays",IFERROR(INDEX('Shooter-Squad Assignment'!$A:$A,MATCH(C488&amp;"-"&amp;E488&amp;"-"&amp;F488&amp;"-Pos3",'Shooter-Squad Assignment'!$Z:$Z,0)),""),"")))</f>
        <v/>
      </c>
      <c r="L488" s="73" t="str">
        <f>IF(ISBLANK(K488),"",IFERROR(INDEX('Tournament List'!$D:$D,MATCH(K488,'Tournament List'!$A:$A,0)),""))</f>
        <v/>
      </c>
      <c r="M488" s="94" t="str">
        <f>IF(F488="Skeet",IFERROR(INDEX('Shooter-Squad Assignment'!$A:$A,MATCH(C488&amp;"-"&amp;E488&amp;"-"&amp;F488&amp;"-Pos4",'Shooter-Squad Assignment'!$K:$K,0)),""),IF(F488="Trap",IFERROR(INDEX('Shooter-Squad Assignment'!$A:$A,MATCH(C488&amp;"-"&amp;E488&amp;"-"&amp;F488&amp;"-Pos4",'Shooter-Squad Assignment'!$W:$W,0)),""),IF(F488="Sporting Clays",IFERROR(INDEX('Shooter-Squad Assignment'!$A:$A,MATCH(C488&amp;"-"&amp;E488&amp;"-"&amp;F488&amp;"-Pos4",'Shooter-Squad Assignment'!$Z:$Z,0)),""),"")))</f>
        <v/>
      </c>
      <c r="N488" s="73" t="str">
        <f>IF(ISBLANK(M488),"",IFERROR(INDEX('Tournament List'!$D:$D,MATCH(M488,'Tournament List'!$A:$A,0)),""))</f>
        <v/>
      </c>
      <c r="O488" s="94" t="str">
        <f>IF(F488="Skeet",IFERROR(INDEX('Shooter-Squad Assignment'!$A:$A,MATCH(C488&amp;"-"&amp;E488&amp;"-"&amp;F488&amp;"-Pos5",'Shooter-Squad Assignment'!$K:$K,0)),""),IF(F488="Trap",IFERROR(INDEX('Shooter-Squad Assignment'!$A:$A,MATCH(C488&amp;"-"&amp;E488&amp;"-"&amp;F488&amp;"-Pos5",'Shooter-Squad Assignment'!$W:$W,0)),""),IF(F488="Sporting Clays",IFERROR(INDEX('Shooter-Squad Assignment'!$A:$A,MATCH(C488&amp;"-"&amp;E488&amp;"-"&amp;F488&amp;"-Pos5",'Shooter-Squad Assignment'!$Z:$Z,0)),""),"")))</f>
        <v/>
      </c>
      <c r="P488" s="79" t="str">
        <f>IF(ISBLANK(O488),"",IFERROR(INDEX('Tournament List'!$D:$D,MATCH(O488,'Tournament List'!$A:$A,0)),""))</f>
        <v/>
      </c>
    </row>
    <row r="489" spans="1:16" x14ac:dyDescent="0.3">
      <c r="A489" s="78">
        <v>488</v>
      </c>
      <c r="B489" s="73" t="str">
        <f>C489&amp;"-"&amp;E489&amp;"-"&amp;F489</f>
        <v>-Open 1-Sporting Clays</v>
      </c>
      <c r="C489" s="73"/>
      <c r="D489" s="73" t="str">
        <f>INDEX('Tournament Setup'!$B$59:$B$78,MATCH(E489,SquadConcurrents,0))</f>
        <v>Open</v>
      </c>
      <c r="E489" s="73" t="s">
        <v>341</v>
      </c>
      <c r="F489" s="73" t="s">
        <v>148</v>
      </c>
      <c r="G489" s="94" t="str">
        <f>IF(F489="Skeet",IFERROR(INDEX('Shooter-Squad Assignment'!$A:$A,MATCH(C489&amp;"-"&amp;E489&amp;"-"&amp;F489&amp;"-Pos1",'Shooter-Squad Assignment'!$K:$K,0)),""),IF(F489="Trap",IFERROR(INDEX('Shooter-Squad Assignment'!$A:$A,MATCH(C489&amp;"-"&amp;E489&amp;"-"&amp;F489&amp;"-Pos1",'Shooter-Squad Assignment'!$W:$W,0)),""),IF(F489="Sporting Clays",IFERROR(INDEX('Shooter-Squad Assignment'!$A:$A,MATCH(C489&amp;"-"&amp;E489&amp;"-"&amp;F489&amp;"-Pos1",'Shooter-Squad Assignment'!$Z:$Z,0)),""),"")))</f>
        <v/>
      </c>
      <c r="H489" s="73" t="str">
        <f>IF(ISBLANK(G489),"",IFERROR(INDEX('Tournament List'!$D:$D,MATCH(G489,'Tournament List'!$A:$A,0)),""))</f>
        <v/>
      </c>
      <c r="I489" s="94" t="str">
        <f>IF(F489="Skeet",IFERROR(INDEX('Shooter-Squad Assignment'!$A:$A,MATCH(C489&amp;"-"&amp;E489&amp;"-"&amp;F489&amp;"-Pos2",'Shooter-Squad Assignment'!$K:$K,0)),""),IF(F489="Trap",IFERROR(INDEX('Shooter-Squad Assignment'!$A:$A,MATCH(C489&amp;"-"&amp;E489&amp;"-"&amp;F489&amp;"-Pos2",'Shooter-Squad Assignment'!$W:$W,0)),""),IF(F489="Sporting Clays",IFERROR(INDEX('Shooter-Squad Assignment'!$A:$A,MATCH(C489&amp;"-"&amp;E489&amp;"-"&amp;F489&amp;"-Pos2",'Shooter-Squad Assignment'!$Z:$Z,0)),""),"")))</f>
        <v/>
      </c>
      <c r="J489" s="73" t="str">
        <f>IF(ISBLANK(I489),"",IFERROR(INDEX('Tournament List'!$D:$D,MATCH(I489,'Tournament List'!$A:$A,0)),""))</f>
        <v/>
      </c>
      <c r="K489" s="94" t="str">
        <f>IF(F489="Skeet",IFERROR(INDEX('Shooter-Squad Assignment'!$A:$A,MATCH(C489&amp;"-"&amp;E489&amp;"-"&amp;F489&amp;"-Pos3",'Shooter-Squad Assignment'!$K:$K,0)),""),IF(F489="Trap",IFERROR(INDEX('Shooter-Squad Assignment'!$A:$A,MATCH(C489&amp;"-"&amp;E489&amp;"-"&amp;F489&amp;"-Pos3",'Shooter-Squad Assignment'!$W:$W,0)),""),IF(F489="Sporting Clays",IFERROR(INDEX('Shooter-Squad Assignment'!$A:$A,MATCH(C489&amp;"-"&amp;E489&amp;"-"&amp;F489&amp;"-Pos3",'Shooter-Squad Assignment'!$Z:$Z,0)),""),"")))</f>
        <v/>
      </c>
      <c r="L489" s="73" t="str">
        <f>IF(ISBLANK(K489),"",IFERROR(INDEX('Tournament List'!$D:$D,MATCH(K489,'Tournament List'!$A:$A,0)),""))</f>
        <v/>
      </c>
      <c r="M489" s="94" t="str">
        <f>IF(F489="Skeet",IFERROR(INDEX('Shooter-Squad Assignment'!$A:$A,MATCH(C489&amp;"-"&amp;E489&amp;"-"&amp;F489&amp;"-Pos4",'Shooter-Squad Assignment'!$K:$K,0)),""),IF(F489="Trap",IFERROR(INDEX('Shooter-Squad Assignment'!$A:$A,MATCH(C489&amp;"-"&amp;E489&amp;"-"&amp;F489&amp;"-Pos4",'Shooter-Squad Assignment'!$W:$W,0)),""),IF(F489="Sporting Clays",IFERROR(INDEX('Shooter-Squad Assignment'!$A:$A,MATCH(C489&amp;"-"&amp;E489&amp;"-"&amp;F489&amp;"-Pos4",'Shooter-Squad Assignment'!$Z:$Z,0)),""),"")))</f>
        <v/>
      </c>
      <c r="N489" s="73" t="str">
        <f>IF(ISBLANK(M489),"",IFERROR(INDEX('Tournament List'!$D:$D,MATCH(M489,'Tournament List'!$A:$A,0)),""))</f>
        <v/>
      </c>
      <c r="O489" s="94" t="str">
        <f>IF(F489="Skeet",IFERROR(INDEX('Shooter-Squad Assignment'!$A:$A,MATCH(C489&amp;"-"&amp;E489&amp;"-"&amp;F489&amp;"-Pos5",'Shooter-Squad Assignment'!$K:$K,0)),""),IF(F489="Trap",IFERROR(INDEX('Shooter-Squad Assignment'!$A:$A,MATCH(C489&amp;"-"&amp;E489&amp;"-"&amp;F489&amp;"-Pos5",'Shooter-Squad Assignment'!$W:$W,0)),""),IF(F489="Sporting Clays",IFERROR(INDEX('Shooter-Squad Assignment'!$A:$A,MATCH(C489&amp;"-"&amp;E489&amp;"-"&amp;F489&amp;"-Pos5",'Shooter-Squad Assignment'!$Z:$Z,0)),""),"")))</f>
        <v/>
      </c>
      <c r="P489" s="79" t="str">
        <f>IF(ISBLANK(O489),"",IFERROR(INDEX('Tournament List'!$D:$D,MATCH(O489,'Tournament List'!$A:$A,0)),""))</f>
        <v/>
      </c>
    </row>
    <row r="490" spans="1:16" x14ac:dyDescent="0.3">
      <c r="A490" s="78">
        <v>489</v>
      </c>
      <c r="B490" s="73" t="str">
        <f>C490&amp;"-"&amp;E490&amp;"-"&amp;F490</f>
        <v>-Open 2-Sporting Clays</v>
      </c>
      <c r="C490" s="73"/>
      <c r="D490" s="73" t="str">
        <f>INDEX('Tournament Setup'!$B$59:$B$78,MATCH(E490,SquadConcurrents,0))</f>
        <v>Open</v>
      </c>
      <c r="E490" s="73" t="s">
        <v>347</v>
      </c>
      <c r="F490" s="73" t="s">
        <v>148</v>
      </c>
      <c r="G490" s="94" t="str">
        <f>IF(F490="Skeet",IFERROR(INDEX('Shooter-Squad Assignment'!$A:$A,MATCH(C490&amp;"-"&amp;E490&amp;"-"&amp;F490&amp;"-Pos1",'Shooter-Squad Assignment'!$K:$K,0)),""),IF(F490="Trap",IFERROR(INDEX('Shooter-Squad Assignment'!$A:$A,MATCH(C490&amp;"-"&amp;E490&amp;"-"&amp;F490&amp;"-Pos1",'Shooter-Squad Assignment'!$W:$W,0)),""),IF(F490="Sporting Clays",IFERROR(INDEX('Shooter-Squad Assignment'!$A:$A,MATCH(C490&amp;"-"&amp;E490&amp;"-"&amp;F490&amp;"-Pos1",'Shooter-Squad Assignment'!$Z:$Z,0)),""),"")))</f>
        <v/>
      </c>
      <c r="H490" s="73" t="str">
        <f>IF(ISBLANK(G490),"",IFERROR(INDEX('Tournament List'!$D:$D,MATCH(G490,'Tournament List'!$A:$A,0)),""))</f>
        <v/>
      </c>
      <c r="I490" s="94" t="str">
        <f>IF(F490="Skeet",IFERROR(INDEX('Shooter-Squad Assignment'!$A:$A,MATCH(C490&amp;"-"&amp;E490&amp;"-"&amp;F490&amp;"-Pos2",'Shooter-Squad Assignment'!$K:$K,0)),""),IF(F490="Trap",IFERROR(INDEX('Shooter-Squad Assignment'!$A:$A,MATCH(C490&amp;"-"&amp;E490&amp;"-"&amp;F490&amp;"-Pos2",'Shooter-Squad Assignment'!$W:$W,0)),""),IF(F490="Sporting Clays",IFERROR(INDEX('Shooter-Squad Assignment'!$A:$A,MATCH(C490&amp;"-"&amp;E490&amp;"-"&amp;F490&amp;"-Pos2",'Shooter-Squad Assignment'!$Z:$Z,0)),""),"")))</f>
        <v/>
      </c>
      <c r="J490" s="73" t="str">
        <f>IF(ISBLANK(I490),"",IFERROR(INDEX('Tournament List'!$D:$D,MATCH(I490,'Tournament List'!$A:$A,0)),""))</f>
        <v/>
      </c>
      <c r="K490" s="94" t="str">
        <f>IF(F490="Skeet",IFERROR(INDEX('Shooter-Squad Assignment'!$A:$A,MATCH(C490&amp;"-"&amp;E490&amp;"-"&amp;F490&amp;"-Pos3",'Shooter-Squad Assignment'!$K:$K,0)),""),IF(F490="Trap",IFERROR(INDEX('Shooter-Squad Assignment'!$A:$A,MATCH(C490&amp;"-"&amp;E490&amp;"-"&amp;F490&amp;"-Pos3",'Shooter-Squad Assignment'!$W:$W,0)),""),IF(F490="Sporting Clays",IFERROR(INDEX('Shooter-Squad Assignment'!$A:$A,MATCH(C490&amp;"-"&amp;E490&amp;"-"&amp;F490&amp;"-Pos3",'Shooter-Squad Assignment'!$Z:$Z,0)),""),"")))</f>
        <v/>
      </c>
      <c r="L490" s="73" t="str">
        <f>IF(ISBLANK(K490),"",IFERROR(INDEX('Tournament List'!$D:$D,MATCH(K490,'Tournament List'!$A:$A,0)),""))</f>
        <v/>
      </c>
      <c r="M490" s="94" t="str">
        <f>IF(F490="Skeet",IFERROR(INDEX('Shooter-Squad Assignment'!$A:$A,MATCH(C490&amp;"-"&amp;E490&amp;"-"&amp;F490&amp;"-Pos4",'Shooter-Squad Assignment'!$K:$K,0)),""),IF(F490="Trap",IFERROR(INDEX('Shooter-Squad Assignment'!$A:$A,MATCH(C490&amp;"-"&amp;E490&amp;"-"&amp;F490&amp;"-Pos4",'Shooter-Squad Assignment'!$W:$W,0)),""),IF(F490="Sporting Clays",IFERROR(INDEX('Shooter-Squad Assignment'!$A:$A,MATCH(C490&amp;"-"&amp;E490&amp;"-"&amp;F490&amp;"-Pos4",'Shooter-Squad Assignment'!$Z:$Z,0)),""),"")))</f>
        <v/>
      </c>
      <c r="N490" s="73" t="str">
        <f>IF(ISBLANK(M490),"",IFERROR(INDEX('Tournament List'!$D:$D,MATCH(M490,'Tournament List'!$A:$A,0)),""))</f>
        <v/>
      </c>
      <c r="O490" s="94" t="str">
        <f>IF(F490="Skeet",IFERROR(INDEX('Shooter-Squad Assignment'!$A:$A,MATCH(C490&amp;"-"&amp;E490&amp;"-"&amp;F490&amp;"-Pos5",'Shooter-Squad Assignment'!$K:$K,0)),""),IF(F490="Trap",IFERROR(INDEX('Shooter-Squad Assignment'!$A:$A,MATCH(C490&amp;"-"&amp;E490&amp;"-"&amp;F490&amp;"-Pos5",'Shooter-Squad Assignment'!$W:$W,0)),""),IF(F490="Sporting Clays",IFERROR(INDEX('Shooter-Squad Assignment'!$A:$A,MATCH(C490&amp;"-"&amp;E490&amp;"-"&amp;F490&amp;"-Pos5",'Shooter-Squad Assignment'!$Z:$Z,0)),""),"")))</f>
        <v/>
      </c>
      <c r="P490" s="79" t="str">
        <f>IF(ISBLANK(O490),"",IFERROR(INDEX('Tournament List'!$D:$D,MATCH(O490,'Tournament List'!$A:$A,0)),""))</f>
        <v/>
      </c>
    </row>
    <row r="491" spans="1:16" x14ac:dyDescent="0.3">
      <c r="A491" s="78">
        <v>490</v>
      </c>
      <c r="B491" s="73" t="str">
        <f>C491&amp;"-"&amp;E491&amp;"-"&amp;F491</f>
        <v>-Open 3-Sporting Clays</v>
      </c>
      <c r="C491" s="73"/>
      <c r="D491" s="73" t="str">
        <f>INDEX('Tournament Setup'!$B$59:$B$78,MATCH(E491,SquadConcurrents,0))</f>
        <v>Open</v>
      </c>
      <c r="E491" s="73" t="s">
        <v>353</v>
      </c>
      <c r="F491" s="73" t="s">
        <v>148</v>
      </c>
      <c r="G491" s="94" t="str">
        <f>IF(F491="Skeet",IFERROR(INDEX('Shooter-Squad Assignment'!$A:$A,MATCH(C491&amp;"-"&amp;E491&amp;"-"&amp;F491&amp;"-Pos1",'Shooter-Squad Assignment'!$K:$K,0)),""),IF(F491="Trap",IFERROR(INDEX('Shooter-Squad Assignment'!$A:$A,MATCH(C491&amp;"-"&amp;E491&amp;"-"&amp;F491&amp;"-Pos1",'Shooter-Squad Assignment'!$W:$W,0)),""),IF(F491="Sporting Clays",IFERROR(INDEX('Shooter-Squad Assignment'!$A:$A,MATCH(C491&amp;"-"&amp;E491&amp;"-"&amp;F491&amp;"-Pos1",'Shooter-Squad Assignment'!$Z:$Z,0)),""),"")))</f>
        <v/>
      </c>
      <c r="H491" s="73" t="str">
        <f>IF(ISBLANK(G491),"",IFERROR(INDEX('Tournament List'!$D:$D,MATCH(G491,'Tournament List'!$A:$A,0)),""))</f>
        <v/>
      </c>
      <c r="I491" s="94" t="str">
        <f>IF(F491="Skeet",IFERROR(INDEX('Shooter-Squad Assignment'!$A:$A,MATCH(C491&amp;"-"&amp;E491&amp;"-"&amp;F491&amp;"-Pos2",'Shooter-Squad Assignment'!$K:$K,0)),""),IF(F491="Trap",IFERROR(INDEX('Shooter-Squad Assignment'!$A:$A,MATCH(C491&amp;"-"&amp;E491&amp;"-"&amp;F491&amp;"-Pos2",'Shooter-Squad Assignment'!$W:$W,0)),""),IF(F491="Sporting Clays",IFERROR(INDEX('Shooter-Squad Assignment'!$A:$A,MATCH(C491&amp;"-"&amp;E491&amp;"-"&amp;F491&amp;"-Pos2",'Shooter-Squad Assignment'!$Z:$Z,0)),""),"")))</f>
        <v/>
      </c>
      <c r="J491" s="73" t="str">
        <f>IF(ISBLANK(I491),"",IFERROR(INDEX('Tournament List'!$D:$D,MATCH(I491,'Tournament List'!$A:$A,0)),""))</f>
        <v/>
      </c>
      <c r="K491" s="94" t="str">
        <f>IF(F491="Skeet",IFERROR(INDEX('Shooter-Squad Assignment'!$A:$A,MATCH(C491&amp;"-"&amp;E491&amp;"-"&amp;F491&amp;"-Pos3",'Shooter-Squad Assignment'!$K:$K,0)),""),IF(F491="Trap",IFERROR(INDEX('Shooter-Squad Assignment'!$A:$A,MATCH(C491&amp;"-"&amp;E491&amp;"-"&amp;F491&amp;"-Pos3",'Shooter-Squad Assignment'!$W:$W,0)),""),IF(F491="Sporting Clays",IFERROR(INDEX('Shooter-Squad Assignment'!$A:$A,MATCH(C491&amp;"-"&amp;E491&amp;"-"&amp;F491&amp;"-Pos3",'Shooter-Squad Assignment'!$Z:$Z,0)),""),"")))</f>
        <v/>
      </c>
      <c r="L491" s="73" t="str">
        <f>IF(ISBLANK(K491),"",IFERROR(INDEX('Tournament List'!$D:$D,MATCH(K491,'Tournament List'!$A:$A,0)),""))</f>
        <v/>
      </c>
      <c r="M491" s="94" t="str">
        <f>IF(F491="Skeet",IFERROR(INDEX('Shooter-Squad Assignment'!$A:$A,MATCH(C491&amp;"-"&amp;E491&amp;"-"&amp;F491&amp;"-Pos4",'Shooter-Squad Assignment'!$K:$K,0)),""),IF(F491="Trap",IFERROR(INDEX('Shooter-Squad Assignment'!$A:$A,MATCH(C491&amp;"-"&amp;E491&amp;"-"&amp;F491&amp;"-Pos4",'Shooter-Squad Assignment'!$W:$W,0)),""),IF(F491="Sporting Clays",IFERROR(INDEX('Shooter-Squad Assignment'!$A:$A,MATCH(C491&amp;"-"&amp;E491&amp;"-"&amp;F491&amp;"-Pos4",'Shooter-Squad Assignment'!$Z:$Z,0)),""),"")))</f>
        <v/>
      </c>
      <c r="N491" s="73" t="str">
        <f>IF(ISBLANK(M491),"",IFERROR(INDEX('Tournament List'!$D:$D,MATCH(M491,'Tournament List'!$A:$A,0)),""))</f>
        <v/>
      </c>
      <c r="O491" s="94" t="str">
        <f>IF(F491="Skeet",IFERROR(INDEX('Shooter-Squad Assignment'!$A:$A,MATCH(C491&amp;"-"&amp;E491&amp;"-"&amp;F491&amp;"-Pos5",'Shooter-Squad Assignment'!$K:$K,0)),""),IF(F491="Trap",IFERROR(INDEX('Shooter-Squad Assignment'!$A:$A,MATCH(C491&amp;"-"&amp;E491&amp;"-"&amp;F491&amp;"-Pos5",'Shooter-Squad Assignment'!$W:$W,0)),""),IF(F491="Sporting Clays",IFERROR(INDEX('Shooter-Squad Assignment'!$A:$A,MATCH(C491&amp;"-"&amp;E491&amp;"-"&amp;F491&amp;"-Pos5",'Shooter-Squad Assignment'!$Z:$Z,0)),""),"")))</f>
        <v/>
      </c>
      <c r="P491" s="79" t="str">
        <f>IF(ISBLANK(O491),"",IFERROR(INDEX('Tournament List'!$D:$D,MATCH(O491,'Tournament List'!$A:$A,0)),""))</f>
        <v/>
      </c>
    </row>
    <row r="492" spans="1:16" x14ac:dyDescent="0.3">
      <c r="A492" s="78">
        <v>491</v>
      </c>
      <c r="B492" s="73" t="str">
        <f>C492&amp;"-"&amp;E492&amp;"-"&amp;F492</f>
        <v>-Unassigned 1-Sporting Clays</v>
      </c>
      <c r="C492" s="73"/>
      <c r="D492" s="73" t="str">
        <f>INDEX('Tournament Setup'!$B$59:$B$78,MATCH(E492,SquadConcurrents,0))</f>
        <v>Unassigned</v>
      </c>
      <c r="E492" s="73" t="s">
        <v>762</v>
      </c>
      <c r="F492" s="73" t="s">
        <v>148</v>
      </c>
      <c r="G492" s="94" t="str">
        <f>IF(F492="Skeet",IFERROR(INDEX('Shooter-Squad Assignment'!$A:$A,MATCH(C492&amp;"-"&amp;E492&amp;"-"&amp;F492&amp;"-Pos1",'Shooter-Squad Assignment'!$K:$K,0)),""),IF(F492="Trap",IFERROR(INDEX('Shooter-Squad Assignment'!$A:$A,MATCH(C492&amp;"-"&amp;E492&amp;"-"&amp;F492&amp;"-Pos1",'Shooter-Squad Assignment'!$W:$W,0)),""),IF(F492="Sporting Clays",IFERROR(INDEX('Shooter-Squad Assignment'!$A:$A,MATCH(C492&amp;"-"&amp;E492&amp;"-"&amp;F492&amp;"-Pos1",'Shooter-Squad Assignment'!$Z:$Z,0)),""),"")))</f>
        <v/>
      </c>
      <c r="H492" s="73" t="str">
        <f>IF(ISBLANK(G492),"",IFERROR(INDEX('Tournament List'!$D:$D,MATCH(G492,'Tournament List'!$A:$A,0)),""))</f>
        <v/>
      </c>
      <c r="I492" s="94" t="str">
        <f>IF(F492="Skeet",IFERROR(INDEX('Shooter-Squad Assignment'!$A:$A,MATCH(C492&amp;"-"&amp;E492&amp;"-"&amp;F492&amp;"-Pos2",'Shooter-Squad Assignment'!$K:$K,0)),""),IF(F492="Trap",IFERROR(INDEX('Shooter-Squad Assignment'!$A:$A,MATCH(C492&amp;"-"&amp;E492&amp;"-"&amp;F492&amp;"-Pos2",'Shooter-Squad Assignment'!$W:$W,0)),""),IF(F492="Sporting Clays",IFERROR(INDEX('Shooter-Squad Assignment'!$A:$A,MATCH(C492&amp;"-"&amp;E492&amp;"-"&amp;F492&amp;"-Pos2",'Shooter-Squad Assignment'!$Z:$Z,0)),""),"")))</f>
        <v/>
      </c>
      <c r="J492" s="73" t="str">
        <f>IF(ISBLANK(I492),"",IFERROR(INDEX('Tournament List'!$D:$D,MATCH(I492,'Tournament List'!$A:$A,0)),""))</f>
        <v/>
      </c>
      <c r="K492" s="94" t="str">
        <f>IF(F492="Skeet",IFERROR(INDEX('Shooter-Squad Assignment'!$A:$A,MATCH(C492&amp;"-"&amp;E492&amp;"-"&amp;F492&amp;"-Pos3",'Shooter-Squad Assignment'!$K:$K,0)),""),IF(F492="Trap",IFERROR(INDEX('Shooter-Squad Assignment'!$A:$A,MATCH(C492&amp;"-"&amp;E492&amp;"-"&amp;F492&amp;"-Pos3",'Shooter-Squad Assignment'!$W:$W,0)),""),IF(F492="Sporting Clays",IFERROR(INDEX('Shooter-Squad Assignment'!$A:$A,MATCH(C492&amp;"-"&amp;E492&amp;"-"&amp;F492&amp;"-Pos3",'Shooter-Squad Assignment'!$Z:$Z,0)),""),"")))</f>
        <v/>
      </c>
      <c r="L492" s="73" t="str">
        <f>IF(ISBLANK(K492),"",IFERROR(INDEX('Tournament List'!$D:$D,MATCH(K492,'Tournament List'!$A:$A,0)),""))</f>
        <v/>
      </c>
      <c r="M492" s="94" t="str">
        <f>IF(F492="Skeet",IFERROR(INDEX('Shooter-Squad Assignment'!$A:$A,MATCH(C492&amp;"-"&amp;E492&amp;"-"&amp;F492&amp;"-Pos4",'Shooter-Squad Assignment'!$K:$K,0)),""),IF(F492="Trap",IFERROR(INDEX('Shooter-Squad Assignment'!$A:$A,MATCH(C492&amp;"-"&amp;E492&amp;"-"&amp;F492&amp;"-Pos4",'Shooter-Squad Assignment'!$W:$W,0)),""),IF(F492="Sporting Clays",IFERROR(INDEX('Shooter-Squad Assignment'!$A:$A,MATCH(C492&amp;"-"&amp;E492&amp;"-"&amp;F492&amp;"-Pos4",'Shooter-Squad Assignment'!$Z:$Z,0)),""),"")))</f>
        <v/>
      </c>
      <c r="N492" s="73" t="str">
        <f>IF(ISBLANK(M492),"",IFERROR(INDEX('Tournament List'!$D:$D,MATCH(M492,'Tournament List'!$A:$A,0)),""))</f>
        <v/>
      </c>
      <c r="O492" s="94" t="str">
        <f>IF(F492="Skeet",IFERROR(INDEX('Shooter-Squad Assignment'!$A:$A,MATCH(C492&amp;"-"&amp;E492&amp;"-"&amp;F492&amp;"-Pos5",'Shooter-Squad Assignment'!$K:$K,0)),""),IF(F492="Trap",IFERROR(INDEX('Shooter-Squad Assignment'!$A:$A,MATCH(C492&amp;"-"&amp;E492&amp;"-"&amp;F492&amp;"-Pos5",'Shooter-Squad Assignment'!$W:$W,0)),""),IF(F492="Sporting Clays",IFERROR(INDEX('Shooter-Squad Assignment'!$A:$A,MATCH(C492&amp;"-"&amp;E492&amp;"-"&amp;F492&amp;"-Pos5",'Shooter-Squad Assignment'!$Z:$Z,0)),""),"")))</f>
        <v/>
      </c>
      <c r="P492" s="79" t="str">
        <f>IF(ISBLANK(O492),"",IFERROR(INDEX('Tournament List'!$D:$D,MATCH(O492,'Tournament List'!$A:$A,0)),""))</f>
        <v/>
      </c>
    </row>
    <row r="493" spans="1:16" x14ac:dyDescent="0.3">
      <c r="A493" s="78">
        <v>492</v>
      </c>
      <c r="B493" s="73" t="str">
        <f>C493&amp;"-"&amp;E493&amp;"-"&amp;F493</f>
        <v>-Varsity 1-Sporting Clays</v>
      </c>
      <c r="C493" s="73"/>
      <c r="D493" s="73" t="str">
        <f>INDEX('Tournament Setup'!$B$59:$B$78,MATCH(E493,SquadConcurrents,0))</f>
        <v>Varsity</v>
      </c>
      <c r="E493" s="73" t="s">
        <v>340</v>
      </c>
      <c r="F493" s="73" t="s">
        <v>148</v>
      </c>
      <c r="G493" s="94" t="str">
        <f>IF(F493="Skeet",IFERROR(INDEX('Shooter-Squad Assignment'!$A:$A,MATCH(C493&amp;"-"&amp;E493&amp;"-"&amp;F493&amp;"-Pos1",'Shooter-Squad Assignment'!$K:$K,0)),""),IF(F493="Trap",IFERROR(INDEX('Shooter-Squad Assignment'!$A:$A,MATCH(C493&amp;"-"&amp;E493&amp;"-"&amp;F493&amp;"-Pos1",'Shooter-Squad Assignment'!$W:$W,0)),""),IF(F493="Sporting Clays",IFERROR(INDEX('Shooter-Squad Assignment'!$A:$A,MATCH(C493&amp;"-"&amp;E493&amp;"-"&amp;F493&amp;"-Pos1",'Shooter-Squad Assignment'!$Z:$Z,0)),""),"")))</f>
        <v/>
      </c>
      <c r="H493" s="73" t="str">
        <f>IF(ISBLANK(G493),"",IFERROR(INDEX('Tournament List'!$D:$D,MATCH(G493,'Tournament List'!$A:$A,0)),""))</f>
        <v/>
      </c>
      <c r="I493" s="94" t="str">
        <f>IF(F493="Skeet",IFERROR(INDEX('Shooter-Squad Assignment'!$A:$A,MATCH(C493&amp;"-"&amp;E493&amp;"-"&amp;F493&amp;"-Pos2",'Shooter-Squad Assignment'!$K:$K,0)),""),IF(F493="Trap",IFERROR(INDEX('Shooter-Squad Assignment'!$A:$A,MATCH(C493&amp;"-"&amp;E493&amp;"-"&amp;F493&amp;"-Pos2",'Shooter-Squad Assignment'!$W:$W,0)),""),IF(F493="Sporting Clays",IFERROR(INDEX('Shooter-Squad Assignment'!$A:$A,MATCH(C493&amp;"-"&amp;E493&amp;"-"&amp;F493&amp;"-Pos2",'Shooter-Squad Assignment'!$Z:$Z,0)),""),"")))</f>
        <v/>
      </c>
      <c r="J493" s="73" t="str">
        <f>IF(ISBLANK(I493),"",IFERROR(INDEX('Tournament List'!$D:$D,MATCH(I493,'Tournament List'!$A:$A,0)),""))</f>
        <v/>
      </c>
      <c r="K493" s="94" t="str">
        <f>IF(F493="Skeet",IFERROR(INDEX('Shooter-Squad Assignment'!$A:$A,MATCH(C493&amp;"-"&amp;E493&amp;"-"&amp;F493&amp;"-Pos3",'Shooter-Squad Assignment'!$K:$K,0)),""),IF(F493="Trap",IFERROR(INDEX('Shooter-Squad Assignment'!$A:$A,MATCH(C493&amp;"-"&amp;E493&amp;"-"&amp;F493&amp;"-Pos3",'Shooter-Squad Assignment'!$W:$W,0)),""),IF(F493="Sporting Clays",IFERROR(INDEX('Shooter-Squad Assignment'!$A:$A,MATCH(C493&amp;"-"&amp;E493&amp;"-"&amp;F493&amp;"-Pos3",'Shooter-Squad Assignment'!$Z:$Z,0)),""),"")))</f>
        <v/>
      </c>
      <c r="L493" s="73" t="str">
        <f>IF(ISBLANK(K493),"",IFERROR(INDEX('Tournament List'!$D:$D,MATCH(K493,'Tournament List'!$A:$A,0)),""))</f>
        <v/>
      </c>
      <c r="M493" s="94" t="str">
        <f>IF(F493="Skeet",IFERROR(INDEX('Shooter-Squad Assignment'!$A:$A,MATCH(C493&amp;"-"&amp;E493&amp;"-"&amp;F493&amp;"-Pos4",'Shooter-Squad Assignment'!$K:$K,0)),""),IF(F493="Trap",IFERROR(INDEX('Shooter-Squad Assignment'!$A:$A,MATCH(C493&amp;"-"&amp;E493&amp;"-"&amp;F493&amp;"-Pos4",'Shooter-Squad Assignment'!$W:$W,0)),""),IF(F493="Sporting Clays",IFERROR(INDEX('Shooter-Squad Assignment'!$A:$A,MATCH(C493&amp;"-"&amp;E493&amp;"-"&amp;F493&amp;"-Pos4",'Shooter-Squad Assignment'!$Z:$Z,0)),""),"")))</f>
        <v/>
      </c>
      <c r="N493" s="73" t="str">
        <f>IF(ISBLANK(M493),"",IFERROR(INDEX('Tournament List'!$D:$D,MATCH(M493,'Tournament List'!$A:$A,0)),""))</f>
        <v/>
      </c>
      <c r="O493" s="94" t="str">
        <f>IF(F493="Skeet",IFERROR(INDEX('Shooter-Squad Assignment'!$A:$A,MATCH(C493&amp;"-"&amp;E493&amp;"-"&amp;F493&amp;"-Pos5",'Shooter-Squad Assignment'!$K:$K,0)),""),IF(F493="Trap",IFERROR(INDEX('Shooter-Squad Assignment'!$A:$A,MATCH(C493&amp;"-"&amp;E493&amp;"-"&amp;F493&amp;"-Pos5",'Shooter-Squad Assignment'!$W:$W,0)),""),IF(F493="Sporting Clays",IFERROR(INDEX('Shooter-Squad Assignment'!$A:$A,MATCH(C493&amp;"-"&amp;E493&amp;"-"&amp;F493&amp;"-Pos5",'Shooter-Squad Assignment'!$Z:$Z,0)),""),"")))</f>
        <v/>
      </c>
      <c r="P493" s="79" t="str">
        <f>IF(ISBLANK(O493),"",IFERROR(INDEX('Tournament List'!$D:$D,MATCH(O493,'Tournament List'!$A:$A,0)),""))</f>
        <v/>
      </c>
    </row>
    <row r="494" spans="1:16" x14ac:dyDescent="0.3">
      <c r="A494" s="78">
        <v>493</v>
      </c>
      <c r="B494" s="73" t="str">
        <f>C494&amp;"-"&amp;E494&amp;"-"&amp;F494</f>
        <v>-Varsity 2-Sporting Clays</v>
      </c>
      <c r="C494" s="73"/>
      <c r="D494" s="73" t="str">
        <f>INDEX('Tournament Setup'!$B$59:$B$78,MATCH(E494,SquadConcurrents,0))</f>
        <v>Varsity</v>
      </c>
      <c r="E494" s="73" t="s">
        <v>346</v>
      </c>
      <c r="F494" s="73" t="s">
        <v>148</v>
      </c>
      <c r="G494" s="94" t="str">
        <f>IF(F494="Skeet",IFERROR(INDEX('Shooter-Squad Assignment'!$A:$A,MATCH(C494&amp;"-"&amp;E494&amp;"-"&amp;F494&amp;"-Pos1",'Shooter-Squad Assignment'!$K:$K,0)),""),IF(F494="Trap",IFERROR(INDEX('Shooter-Squad Assignment'!$A:$A,MATCH(C494&amp;"-"&amp;E494&amp;"-"&amp;F494&amp;"-Pos1",'Shooter-Squad Assignment'!$W:$W,0)),""),IF(F494="Sporting Clays",IFERROR(INDEX('Shooter-Squad Assignment'!$A:$A,MATCH(C494&amp;"-"&amp;E494&amp;"-"&amp;F494&amp;"-Pos1",'Shooter-Squad Assignment'!$Z:$Z,0)),""),"")))</f>
        <v/>
      </c>
      <c r="H494" s="73" t="str">
        <f>IF(ISBLANK(G494),"",IFERROR(INDEX('Tournament List'!$D:$D,MATCH(G494,'Tournament List'!$A:$A,0)),""))</f>
        <v/>
      </c>
      <c r="I494" s="94" t="str">
        <f>IF(F494="Skeet",IFERROR(INDEX('Shooter-Squad Assignment'!$A:$A,MATCH(C494&amp;"-"&amp;E494&amp;"-"&amp;F494&amp;"-Pos2",'Shooter-Squad Assignment'!$K:$K,0)),""),IF(F494="Trap",IFERROR(INDEX('Shooter-Squad Assignment'!$A:$A,MATCH(C494&amp;"-"&amp;E494&amp;"-"&amp;F494&amp;"-Pos2",'Shooter-Squad Assignment'!$W:$W,0)),""),IF(F494="Sporting Clays",IFERROR(INDEX('Shooter-Squad Assignment'!$A:$A,MATCH(C494&amp;"-"&amp;E494&amp;"-"&amp;F494&amp;"-Pos2",'Shooter-Squad Assignment'!$Z:$Z,0)),""),"")))</f>
        <v/>
      </c>
      <c r="J494" s="73" t="str">
        <f>IF(ISBLANK(I494),"",IFERROR(INDEX('Tournament List'!$D:$D,MATCH(I494,'Tournament List'!$A:$A,0)),""))</f>
        <v/>
      </c>
      <c r="K494" s="94" t="str">
        <f>IF(F494="Skeet",IFERROR(INDEX('Shooter-Squad Assignment'!$A:$A,MATCH(C494&amp;"-"&amp;E494&amp;"-"&amp;F494&amp;"-Pos3",'Shooter-Squad Assignment'!$K:$K,0)),""),IF(F494="Trap",IFERROR(INDEX('Shooter-Squad Assignment'!$A:$A,MATCH(C494&amp;"-"&amp;E494&amp;"-"&amp;F494&amp;"-Pos3",'Shooter-Squad Assignment'!$W:$W,0)),""),IF(F494="Sporting Clays",IFERROR(INDEX('Shooter-Squad Assignment'!$A:$A,MATCH(C494&amp;"-"&amp;E494&amp;"-"&amp;F494&amp;"-Pos3",'Shooter-Squad Assignment'!$Z:$Z,0)),""),"")))</f>
        <v/>
      </c>
      <c r="L494" s="73" t="str">
        <f>IF(ISBLANK(K494),"",IFERROR(INDEX('Tournament List'!$D:$D,MATCH(K494,'Tournament List'!$A:$A,0)),""))</f>
        <v/>
      </c>
      <c r="M494" s="94" t="str">
        <f>IF(F494="Skeet",IFERROR(INDEX('Shooter-Squad Assignment'!$A:$A,MATCH(C494&amp;"-"&amp;E494&amp;"-"&amp;F494&amp;"-Pos4",'Shooter-Squad Assignment'!$K:$K,0)),""),IF(F494="Trap",IFERROR(INDEX('Shooter-Squad Assignment'!$A:$A,MATCH(C494&amp;"-"&amp;E494&amp;"-"&amp;F494&amp;"-Pos4",'Shooter-Squad Assignment'!$W:$W,0)),""),IF(F494="Sporting Clays",IFERROR(INDEX('Shooter-Squad Assignment'!$A:$A,MATCH(C494&amp;"-"&amp;E494&amp;"-"&amp;F494&amp;"-Pos4",'Shooter-Squad Assignment'!$Z:$Z,0)),""),"")))</f>
        <v/>
      </c>
      <c r="N494" s="73" t="str">
        <f>IF(ISBLANK(M494),"",IFERROR(INDEX('Tournament List'!$D:$D,MATCH(M494,'Tournament List'!$A:$A,0)),""))</f>
        <v/>
      </c>
      <c r="O494" s="94" t="str">
        <f>IF(F494="Skeet",IFERROR(INDEX('Shooter-Squad Assignment'!$A:$A,MATCH(C494&amp;"-"&amp;E494&amp;"-"&amp;F494&amp;"-Pos5",'Shooter-Squad Assignment'!$K:$K,0)),""),IF(F494="Trap",IFERROR(INDEX('Shooter-Squad Assignment'!$A:$A,MATCH(C494&amp;"-"&amp;E494&amp;"-"&amp;F494&amp;"-Pos5",'Shooter-Squad Assignment'!$W:$W,0)),""),IF(F494="Sporting Clays",IFERROR(INDEX('Shooter-Squad Assignment'!$A:$A,MATCH(C494&amp;"-"&amp;E494&amp;"-"&amp;F494&amp;"-Pos5",'Shooter-Squad Assignment'!$Z:$Z,0)),""),"")))</f>
        <v/>
      </c>
      <c r="P494" s="79" t="str">
        <f>IF(ISBLANK(O494),"",IFERROR(INDEX('Tournament List'!$D:$D,MATCH(O494,'Tournament List'!$A:$A,0)),""))</f>
        <v/>
      </c>
    </row>
    <row r="495" spans="1:16" x14ac:dyDescent="0.3">
      <c r="A495" s="78">
        <v>494</v>
      </c>
      <c r="B495" s="73" t="str">
        <f>C495&amp;"-"&amp;E495&amp;"-"&amp;F495</f>
        <v>-Varsity 3-Sporting Clays</v>
      </c>
      <c r="C495" s="73"/>
      <c r="D495" s="73" t="str">
        <f>INDEX('Tournament Setup'!$B$59:$B$78,MATCH(E495,SquadConcurrents,0))</f>
        <v>Varsity</v>
      </c>
      <c r="E495" s="73" t="s">
        <v>352</v>
      </c>
      <c r="F495" s="73" t="s">
        <v>148</v>
      </c>
      <c r="G495" s="94" t="str">
        <f>IF(F495="Skeet",IFERROR(INDEX('Shooter-Squad Assignment'!$A:$A,MATCH(C495&amp;"-"&amp;E495&amp;"-"&amp;F495&amp;"-Pos1",'Shooter-Squad Assignment'!$K:$K,0)),""),IF(F495="Trap",IFERROR(INDEX('Shooter-Squad Assignment'!$A:$A,MATCH(C495&amp;"-"&amp;E495&amp;"-"&amp;F495&amp;"-Pos1",'Shooter-Squad Assignment'!$W:$W,0)),""),IF(F495="Sporting Clays",IFERROR(INDEX('Shooter-Squad Assignment'!$A:$A,MATCH(C495&amp;"-"&amp;E495&amp;"-"&amp;F495&amp;"-Pos1",'Shooter-Squad Assignment'!$Z:$Z,0)),""),"")))</f>
        <v/>
      </c>
      <c r="H495" s="73" t="str">
        <f>IF(ISBLANK(G495),"",IFERROR(INDEX('Tournament List'!$D:$D,MATCH(G495,'Tournament List'!$A:$A,0)),""))</f>
        <v/>
      </c>
      <c r="I495" s="94" t="str">
        <f>IF(F495="Skeet",IFERROR(INDEX('Shooter-Squad Assignment'!$A:$A,MATCH(C495&amp;"-"&amp;E495&amp;"-"&amp;F495&amp;"-Pos2",'Shooter-Squad Assignment'!$K:$K,0)),""),IF(F495="Trap",IFERROR(INDEX('Shooter-Squad Assignment'!$A:$A,MATCH(C495&amp;"-"&amp;E495&amp;"-"&amp;F495&amp;"-Pos2",'Shooter-Squad Assignment'!$W:$W,0)),""),IF(F495="Sporting Clays",IFERROR(INDEX('Shooter-Squad Assignment'!$A:$A,MATCH(C495&amp;"-"&amp;E495&amp;"-"&amp;F495&amp;"-Pos2",'Shooter-Squad Assignment'!$Z:$Z,0)),""),"")))</f>
        <v/>
      </c>
      <c r="J495" s="73" t="str">
        <f>IF(ISBLANK(I495),"",IFERROR(INDEX('Tournament List'!$D:$D,MATCH(I495,'Tournament List'!$A:$A,0)),""))</f>
        <v/>
      </c>
      <c r="K495" s="94" t="str">
        <f>IF(F495="Skeet",IFERROR(INDEX('Shooter-Squad Assignment'!$A:$A,MATCH(C495&amp;"-"&amp;E495&amp;"-"&amp;F495&amp;"-Pos3",'Shooter-Squad Assignment'!$K:$K,0)),""),IF(F495="Trap",IFERROR(INDEX('Shooter-Squad Assignment'!$A:$A,MATCH(C495&amp;"-"&amp;E495&amp;"-"&amp;F495&amp;"-Pos3",'Shooter-Squad Assignment'!$W:$W,0)),""),IF(F495="Sporting Clays",IFERROR(INDEX('Shooter-Squad Assignment'!$A:$A,MATCH(C495&amp;"-"&amp;E495&amp;"-"&amp;F495&amp;"-Pos3",'Shooter-Squad Assignment'!$Z:$Z,0)),""),"")))</f>
        <v/>
      </c>
      <c r="L495" s="73" t="str">
        <f>IF(ISBLANK(K495),"",IFERROR(INDEX('Tournament List'!$D:$D,MATCH(K495,'Tournament List'!$A:$A,0)),""))</f>
        <v/>
      </c>
      <c r="M495" s="94" t="str">
        <f>IF(F495="Skeet",IFERROR(INDEX('Shooter-Squad Assignment'!$A:$A,MATCH(C495&amp;"-"&amp;E495&amp;"-"&amp;F495&amp;"-Pos4",'Shooter-Squad Assignment'!$K:$K,0)),""),IF(F495="Trap",IFERROR(INDEX('Shooter-Squad Assignment'!$A:$A,MATCH(C495&amp;"-"&amp;E495&amp;"-"&amp;F495&amp;"-Pos4",'Shooter-Squad Assignment'!$W:$W,0)),""),IF(F495="Sporting Clays",IFERROR(INDEX('Shooter-Squad Assignment'!$A:$A,MATCH(C495&amp;"-"&amp;E495&amp;"-"&amp;F495&amp;"-Pos4",'Shooter-Squad Assignment'!$Z:$Z,0)),""),"")))</f>
        <v/>
      </c>
      <c r="N495" s="73" t="str">
        <f>IF(ISBLANK(M495),"",IFERROR(INDEX('Tournament List'!$D:$D,MATCH(M495,'Tournament List'!$A:$A,0)),""))</f>
        <v/>
      </c>
      <c r="O495" s="94" t="str">
        <f>IF(F495="Skeet",IFERROR(INDEX('Shooter-Squad Assignment'!$A:$A,MATCH(C495&amp;"-"&amp;E495&amp;"-"&amp;F495&amp;"-Pos5",'Shooter-Squad Assignment'!$K:$K,0)),""),IF(F495="Trap",IFERROR(INDEX('Shooter-Squad Assignment'!$A:$A,MATCH(C495&amp;"-"&amp;E495&amp;"-"&amp;F495&amp;"-Pos5",'Shooter-Squad Assignment'!$W:$W,0)),""),IF(F495="Sporting Clays",IFERROR(INDEX('Shooter-Squad Assignment'!$A:$A,MATCH(C495&amp;"-"&amp;E495&amp;"-"&amp;F495&amp;"-Pos5",'Shooter-Squad Assignment'!$Z:$Z,0)),""),"")))</f>
        <v/>
      </c>
      <c r="P495" s="79" t="str">
        <f>IF(ISBLANK(O495),"",IFERROR(INDEX('Tournament List'!$D:$D,MATCH(O495,'Tournament List'!$A:$A,0)),""))</f>
        <v/>
      </c>
    </row>
    <row r="496" spans="1:16" x14ac:dyDescent="0.3">
      <c r="A496" s="78">
        <v>495</v>
      </c>
      <c r="B496" s="73" t="str">
        <f>C496&amp;"-"&amp;E496&amp;"-"&amp;F496</f>
        <v>-Collegiate 1-Trap</v>
      </c>
      <c r="C496" s="73"/>
      <c r="D496" s="73" t="str">
        <f>INDEX('Tournament Setup'!$B$59:$B$78,MATCH(E496,SquadConcurrents,0))</f>
        <v>Collegiate</v>
      </c>
      <c r="E496" s="73" t="s">
        <v>342</v>
      </c>
      <c r="F496" s="73" t="s">
        <v>147</v>
      </c>
      <c r="G496" s="94" t="str">
        <f>IF(F496="Skeet",IFERROR(INDEX('Shooter-Squad Assignment'!$A:$A,MATCH(C496&amp;"-"&amp;E496&amp;"-"&amp;F496&amp;"-Pos1",'Shooter-Squad Assignment'!$K:$K,0)),""),IF(F496="Trap",IFERROR(INDEX('Shooter-Squad Assignment'!$A:$A,MATCH(C496&amp;"-"&amp;E496&amp;"-"&amp;F496&amp;"-Pos1",'Shooter-Squad Assignment'!$W:$W,0)),""),IF(F496="Sporting Clays",IFERROR(INDEX('Shooter-Squad Assignment'!$A:$A,MATCH(C496&amp;"-"&amp;E496&amp;"-"&amp;F496&amp;"-Pos1",'Shooter-Squad Assignment'!$Z:$Z,0)),""),"")))</f>
        <v/>
      </c>
      <c r="H496" s="73" t="str">
        <f>IF(ISBLANK(G496),"",IFERROR(INDEX('Tournament List'!$D:$D,MATCH(G496,'Tournament List'!$A:$A,0)),""))</f>
        <v/>
      </c>
      <c r="I496" s="94" t="str">
        <f>IF(F496="Skeet",IFERROR(INDEX('Shooter-Squad Assignment'!$A:$A,MATCH(C496&amp;"-"&amp;E496&amp;"-"&amp;F496&amp;"-Pos2",'Shooter-Squad Assignment'!$K:$K,0)),""),IF(F496="Trap",IFERROR(INDEX('Shooter-Squad Assignment'!$A:$A,MATCH(C496&amp;"-"&amp;E496&amp;"-"&amp;F496&amp;"-Pos2",'Shooter-Squad Assignment'!$W:$W,0)),""),IF(F496="Sporting Clays",IFERROR(INDEX('Shooter-Squad Assignment'!$A:$A,MATCH(C496&amp;"-"&amp;E496&amp;"-"&amp;F496&amp;"-Pos2",'Shooter-Squad Assignment'!$Z:$Z,0)),""),"")))</f>
        <v/>
      </c>
      <c r="J496" s="73" t="str">
        <f>IF(ISBLANK(I496),"",IFERROR(INDEX('Tournament List'!$D:$D,MATCH(I496,'Tournament List'!$A:$A,0)),""))</f>
        <v/>
      </c>
      <c r="K496" s="94" t="str">
        <f>IF(F496="Skeet",IFERROR(INDEX('Shooter-Squad Assignment'!$A:$A,MATCH(C496&amp;"-"&amp;E496&amp;"-"&amp;F496&amp;"-Pos3",'Shooter-Squad Assignment'!$K:$K,0)),""),IF(F496="Trap",IFERROR(INDEX('Shooter-Squad Assignment'!$A:$A,MATCH(C496&amp;"-"&amp;E496&amp;"-"&amp;F496&amp;"-Pos3",'Shooter-Squad Assignment'!$W:$W,0)),""),IF(F496="Sporting Clays",IFERROR(INDEX('Shooter-Squad Assignment'!$A:$A,MATCH(C496&amp;"-"&amp;E496&amp;"-"&amp;F496&amp;"-Pos3",'Shooter-Squad Assignment'!$Z:$Z,0)),""),"")))</f>
        <v/>
      </c>
      <c r="L496" s="73" t="str">
        <f>IF(ISBLANK(K496),"",IFERROR(INDEX('Tournament List'!$D:$D,MATCH(K496,'Tournament List'!$A:$A,0)),""))</f>
        <v/>
      </c>
      <c r="M496" s="94" t="str">
        <f>IF(F496="Skeet",IFERROR(INDEX('Shooter-Squad Assignment'!$A:$A,MATCH(C496&amp;"-"&amp;E496&amp;"-"&amp;F496&amp;"-Pos4",'Shooter-Squad Assignment'!$K:$K,0)),""),IF(F496="Trap",IFERROR(INDEX('Shooter-Squad Assignment'!$A:$A,MATCH(C496&amp;"-"&amp;E496&amp;"-"&amp;F496&amp;"-Pos4",'Shooter-Squad Assignment'!$W:$W,0)),""),IF(F496="Sporting Clays",IFERROR(INDEX('Shooter-Squad Assignment'!$A:$A,MATCH(C496&amp;"-"&amp;E496&amp;"-"&amp;F496&amp;"-Pos4",'Shooter-Squad Assignment'!$Z:$Z,0)),""),"")))</f>
        <v/>
      </c>
      <c r="N496" s="73" t="str">
        <f>IF(ISBLANK(M496),"",IFERROR(INDEX('Tournament List'!$D:$D,MATCH(M496,'Tournament List'!$A:$A,0)),""))</f>
        <v/>
      </c>
      <c r="O496" s="94" t="str">
        <f>IF(F496="Skeet",IFERROR(INDEX('Shooter-Squad Assignment'!$A:$A,MATCH(C496&amp;"-"&amp;E496&amp;"-"&amp;F496&amp;"-Pos5",'Shooter-Squad Assignment'!$K:$K,0)),""),IF(F496="Trap",IFERROR(INDEX('Shooter-Squad Assignment'!$A:$A,MATCH(C496&amp;"-"&amp;E496&amp;"-"&amp;F496&amp;"-Pos5",'Shooter-Squad Assignment'!$W:$W,0)),""),IF(F496="Sporting Clays",IFERROR(INDEX('Shooter-Squad Assignment'!$A:$A,MATCH(C496&amp;"-"&amp;E496&amp;"-"&amp;F496&amp;"-Pos5",'Shooter-Squad Assignment'!$Z:$Z,0)),""),"")))</f>
        <v/>
      </c>
      <c r="P496" s="79" t="str">
        <f>IF(ISBLANK(O496),"",IFERROR(INDEX('Tournament List'!$D:$D,MATCH(O496,'Tournament List'!$A:$A,0)),""))</f>
        <v/>
      </c>
    </row>
    <row r="497" spans="1:16" x14ac:dyDescent="0.3">
      <c r="A497" s="78">
        <v>496</v>
      </c>
      <c r="B497" s="73" t="str">
        <f>C497&amp;"-"&amp;E497&amp;"-"&amp;F497</f>
        <v>-Collegiate 2-Trap</v>
      </c>
      <c r="C497" s="73"/>
      <c r="D497" s="73" t="str">
        <f>INDEX('Tournament Setup'!$B$59:$B$78,MATCH(E497,SquadConcurrents,0))</f>
        <v>Collegiate</v>
      </c>
      <c r="E497" s="73" t="s">
        <v>348</v>
      </c>
      <c r="F497" s="73" t="s">
        <v>147</v>
      </c>
      <c r="G497" s="94" t="str">
        <f>IF(F497="Skeet",IFERROR(INDEX('Shooter-Squad Assignment'!$A:$A,MATCH(C497&amp;"-"&amp;E497&amp;"-"&amp;F497&amp;"-Pos1",'Shooter-Squad Assignment'!$K:$K,0)),""),IF(F497="Trap",IFERROR(INDEX('Shooter-Squad Assignment'!$A:$A,MATCH(C497&amp;"-"&amp;E497&amp;"-"&amp;F497&amp;"-Pos1",'Shooter-Squad Assignment'!$W:$W,0)),""),IF(F497="Sporting Clays",IFERROR(INDEX('Shooter-Squad Assignment'!$A:$A,MATCH(C497&amp;"-"&amp;E497&amp;"-"&amp;F497&amp;"-Pos1",'Shooter-Squad Assignment'!$Z:$Z,0)),""),"")))</f>
        <v/>
      </c>
      <c r="H497" s="73" t="str">
        <f>IF(ISBLANK(G497),"",IFERROR(INDEX('Tournament List'!$D:$D,MATCH(G497,'Tournament List'!$A:$A,0)),""))</f>
        <v/>
      </c>
      <c r="I497" s="94" t="str">
        <f>IF(F497="Skeet",IFERROR(INDEX('Shooter-Squad Assignment'!$A:$A,MATCH(C497&amp;"-"&amp;E497&amp;"-"&amp;F497&amp;"-Pos2",'Shooter-Squad Assignment'!$K:$K,0)),""),IF(F497="Trap",IFERROR(INDEX('Shooter-Squad Assignment'!$A:$A,MATCH(C497&amp;"-"&amp;E497&amp;"-"&amp;F497&amp;"-Pos2",'Shooter-Squad Assignment'!$W:$W,0)),""),IF(F497="Sporting Clays",IFERROR(INDEX('Shooter-Squad Assignment'!$A:$A,MATCH(C497&amp;"-"&amp;E497&amp;"-"&amp;F497&amp;"-Pos2",'Shooter-Squad Assignment'!$Z:$Z,0)),""),"")))</f>
        <v/>
      </c>
      <c r="J497" s="73" t="str">
        <f>IF(ISBLANK(I497),"",IFERROR(INDEX('Tournament List'!$D:$D,MATCH(I497,'Tournament List'!$A:$A,0)),""))</f>
        <v/>
      </c>
      <c r="K497" s="94" t="str">
        <f>IF(F497="Skeet",IFERROR(INDEX('Shooter-Squad Assignment'!$A:$A,MATCH(C497&amp;"-"&amp;E497&amp;"-"&amp;F497&amp;"-Pos3",'Shooter-Squad Assignment'!$K:$K,0)),""),IF(F497="Trap",IFERROR(INDEX('Shooter-Squad Assignment'!$A:$A,MATCH(C497&amp;"-"&amp;E497&amp;"-"&amp;F497&amp;"-Pos3",'Shooter-Squad Assignment'!$W:$W,0)),""),IF(F497="Sporting Clays",IFERROR(INDEX('Shooter-Squad Assignment'!$A:$A,MATCH(C497&amp;"-"&amp;E497&amp;"-"&amp;F497&amp;"-Pos3",'Shooter-Squad Assignment'!$Z:$Z,0)),""),"")))</f>
        <v/>
      </c>
      <c r="L497" s="73" t="str">
        <f>IF(ISBLANK(K497),"",IFERROR(INDEX('Tournament List'!$D:$D,MATCH(K497,'Tournament List'!$A:$A,0)),""))</f>
        <v/>
      </c>
      <c r="M497" s="94" t="str">
        <f>IF(F497="Skeet",IFERROR(INDEX('Shooter-Squad Assignment'!$A:$A,MATCH(C497&amp;"-"&amp;E497&amp;"-"&amp;F497&amp;"-Pos4",'Shooter-Squad Assignment'!$K:$K,0)),""),IF(F497="Trap",IFERROR(INDEX('Shooter-Squad Assignment'!$A:$A,MATCH(C497&amp;"-"&amp;E497&amp;"-"&amp;F497&amp;"-Pos4",'Shooter-Squad Assignment'!$W:$W,0)),""),IF(F497="Sporting Clays",IFERROR(INDEX('Shooter-Squad Assignment'!$A:$A,MATCH(C497&amp;"-"&amp;E497&amp;"-"&amp;F497&amp;"-Pos4",'Shooter-Squad Assignment'!$Z:$Z,0)),""),"")))</f>
        <v/>
      </c>
      <c r="N497" s="73" t="str">
        <f>IF(ISBLANK(M497),"",IFERROR(INDEX('Tournament List'!$D:$D,MATCH(M497,'Tournament List'!$A:$A,0)),""))</f>
        <v/>
      </c>
      <c r="O497" s="94" t="str">
        <f>IF(F497="Skeet",IFERROR(INDEX('Shooter-Squad Assignment'!$A:$A,MATCH(C497&amp;"-"&amp;E497&amp;"-"&amp;F497&amp;"-Pos5",'Shooter-Squad Assignment'!$K:$K,0)),""),IF(F497="Trap",IFERROR(INDEX('Shooter-Squad Assignment'!$A:$A,MATCH(C497&amp;"-"&amp;E497&amp;"-"&amp;F497&amp;"-Pos5",'Shooter-Squad Assignment'!$W:$W,0)),""),IF(F497="Sporting Clays",IFERROR(INDEX('Shooter-Squad Assignment'!$A:$A,MATCH(C497&amp;"-"&amp;E497&amp;"-"&amp;F497&amp;"-Pos5",'Shooter-Squad Assignment'!$Z:$Z,0)),""),"")))</f>
        <v/>
      </c>
      <c r="P497" s="79" t="str">
        <f>IF(ISBLANK(O497),"",IFERROR(INDEX('Tournament List'!$D:$D,MATCH(O497,'Tournament List'!$A:$A,0)),""))</f>
        <v/>
      </c>
    </row>
    <row r="498" spans="1:16" x14ac:dyDescent="0.3">
      <c r="A498" s="78">
        <v>497</v>
      </c>
      <c r="B498" s="73" t="str">
        <f>C498&amp;"-"&amp;E498&amp;"-"&amp;F498</f>
        <v>-Collegiate 3-Trap</v>
      </c>
      <c r="C498" s="73"/>
      <c r="D498" s="73" t="str">
        <f>INDEX('Tournament Setup'!$B$59:$B$78,MATCH(E498,SquadConcurrents,0))</f>
        <v>Collegiate</v>
      </c>
      <c r="E498" s="73" t="s">
        <v>354</v>
      </c>
      <c r="F498" s="73" t="s">
        <v>147</v>
      </c>
      <c r="G498" s="94" t="str">
        <f>IF(F498="Skeet",IFERROR(INDEX('Shooter-Squad Assignment'!$A:$A,MATCH(C498&amp;"-"&amp;E498&amp;"-"&amp;F498&amp;"-Pos1",'Shooter-Squad Assignment'!$K:$K,0)),""),IF(F498="Trap",IFERROR(INDEX('Shooter-Squad Assignment'!$A:$A,MATCH(C498&amp;"-"&amp;E498&amp;"-"&amp;F498&amp;"-Pos1",'Shooter-Squad Assignment'!$W:$W,0)),""),IF(F498="Sporting Clays",IFERROR(INDEX('Shooter-Squad Assignment'!$A:$A,MATCH(C498&amp;"-"&amp;E498&amp;"-"&amp;F498&amp;"-Pos1",'Shooter-Squad Assignment'!$Z:$Z,0)),""),"")))</f>
        <v/>
      </c>
      <c r="H498" s="73" t="str">
        <f>IF(ISBLANK(G498),"",IFERROR(INDEX('Tournament List'!$D:$D,MATCH(G498,'Tournament List'!$A:$A,0)),""))</f>
        <v/>
      </c>
      <c r="I498" s="94" t="str">
        <f>IF(F498="Skeet",IFERROR(INDEX('Shooter-Squad Assignment'!$A:$A,MATCH(C498&amp;"-"&amp;E498&amp;"-"&amp;F498&amp;"-Pos2",'Shooter-Squad Assignment'!$K:$K,0)),""),IF(F498="Trap",IFERROR(INDEX('Shooter-Squad Assignment'!$A:$A,MATCH(C498&amp;"-"&amp;E498&amp;"-"&amp;F498&amp;"-Pos2",'Shooter-Squad Assignment'!$W:$W,0)),""),IF(F498="Sporting Clays",IFERROR(INDEX('Shooter-Squad Assignment'!$A:$A,MATCH(C498&amp;"-"&amp;E498&amp;"-"&amp;F498&amp;"-Pos2",'Shooter-Squad Assignment'!$Z:$Z,0)),""),"")))</f>
        <v/>
      </c>
      <c r="J498" s="73" t="str">
        <f>IF(ISBLANK(I498),"",IFERROR(INDEX('Tournament List'!$D:$D,MATCH(I498,'Tournament List'!$A:$A,0)),""))</f>
        <v/>
      </c>
      <c r="K498" s="94" t="str">
        <f>IF(F498="Skeet",IFERROR(INDEX('Shooter-Squad Assignment'!$A:$A,MATCH(C498&amp;"-"&amp;E498&amp;"-"&amp;F498&amp;"-Pos3",'Shooter-Squad Assignment'!$K:$K,0)),""),IF(F498="Trap",IFERROR(INDEX('Shooter-Squad Assignment'!$A:$A,MATCH(C498&amp;"-"&amp;E498&amp;"-"&amp;F498&amp;"-Pos3",'Shooter-Squad Assignment'!$W:$W,0)),""),IF(F498="Sporting Clays",IFERROR(INDEX('Shooter-Squad Assignment'!$A:$A,MATCH(C498&amp;"-"&amp;E498&amp;"-"&amp;F498&amp;"-Pos3",'Shooter-Squad Assignment'!$Z:$Z,0)),""),"")))</f>
        <v/>
      </c>
      <c r="L498" s="73" t="str">
        <f>IF(ISBLANK(K498),"",IFERROR(INDEX('Tournament List'!$D:$D,MATCH(K498,'Tournament List'!$A:$A,0)),""))</f>
        <v/>
      </c>
      <c r="M498" s="94" t="str">
        <f>IF(F498="Skeet",IFERROR(INDEX('Shooter-Squad Assignment'!$A:$A,MATCH(C498&amp;"-"&amp;E498&amp;"-"&amp;F498&amp;"-Pos4",'Shooter-Squad Assignment'!$K:$K,0)),""),IF(F498="Trap",IFERROR(INDEX('Shooter-Squad Assignment'!$A:$A,MATCH(C498&amp;"-"&amp;E498&amp;"-"&amp;F498&amp;"-Pos4",'Shooter-Squad Assignment'!$W:$W,0)),""),IF(F498="Sporting Clays",IFERROR(INDEX('Shooter-Squad Assignment'!$A:$A,MATCH(C498&amp;"-"&amp;E498&amp;"-"&amp;F498&amp;"-Pos4",'Shooter-Squad Assignment'!$Z:$Z,0)),""),"")))</f>
        <v/>
      </c>
      <c r="N498" s="73" t="str">
        <f>IF(ISBLANK(M498),"",IFERROR(INDEX('Tournament List'!$D:$D,MATCH(M498,'Tournament List'!$A:$A,0)),""))</f>
        <v/>
      </c>
      <c r="O498" s="94" t="str">
        <f>IF(F498="Skeet",IFERROR(INDEX('Shooter-Squad Assignment'!$A:$A,MATCH(C498&amp;"-"&amp;E498&amp;"-"&amp;F498&amp;"-Pos5",'Shooter-Squad Assignment'!$K:$K,0)),""),IF(F498="Trap",IFERROR(INDEX('Shooter-Squad Assignment'!$A:$A,MATCH(C498&amp;"-"&amp;E498&amp;"-"&amp;F498&amp;"-Pos5",'Shooter-Squad Assignment'!$W:$W,0)),""),IF(F498="Sporting Clays",IFERROR(INDEX('Shooter-Squad Assignment'!$A:$A,MATCH(C498&amp;"-"&amp;E498&amp;"-"&amp;F498&amp;"-Pos5",'Shooter-Squad Assignment'!$Z:$Z,0)),""),"")))</f>
        <v/>
      </c>
      <c r="P498" s="79" t="str">
        <f>IF(ISBLANK(O498),"",IFERROR(INDEX('Tournament List'!$D:$D,MATCH(O498,'Tournament List'!$A:$A,0)),""))</f>
        <v/>
      </c>
    </row>
    <row r="499" spans="1:16" x14ac:dyDescent="0.3">
      <c r="A499" s="78">
        <v>498</v>
      </c>
      <c r="B499" s="73" t="str">
        <f>C499&amp;"-"&amp;E499&amp;"-"&amp;F499</f>
        <v>-Intermediate 1-Trap</v>
      </c>
      <c r="C499" s="73"/>
      <c r="D499" s="73" t="str">
        <f>INDEX('Tournament Setup'!$B$59:$B$78,MATCH(E499,SquadConcurrents,0))</f>
        <v>Intermediate</v>
      </c>
      <c r="E499" s="73" t="s">
        <v>338</v>
      </c>
      <c r="F499" s="73" t="s">
        <v>147</v>
      </c>
      <c r="G499" s="94" t="str">
        <f>IF(F499="Skeet",IFERROR(INDEX('Shooter-Squad Assignment'!$A:$A,MATCH(C499&amp;"-"&amp;E499&amp;"-"&amp;F499&amp;"-Pos1",'Shooter-Squad Assignment'!$K:$K,0)),""),IF(F499="Trap",IFERROR(INDEX('Shooter-Squad Assignment'!$A:$A,MATCH(C499&amp;"-"&amp;E499&amp;"-"&amp;F499&amp;"-Pos1",'Shooter-Squad Assignment'!$W:$W,0)),""),IF(F499="Sporting Clays",IFERROR(INDEX('Shooter-Squad Assignment'!$A:$A,MATCH(C499&amp;"-"&amp;E499&amp;"-"&amp;F499&amp;"-Pos1",'Shooter-Squad Assignment'!$Z:$Z,0)),""),"")))</f>
        <v/>
      </c>
      <c r="H499" s="73" t="str">
        <f>IF(ISBLANK(G499),"",IFERROR(INDEX('Tournament List'!$D:$D,MATCH(G499,'Tournament List'!$A:$A,0)),""))</f>
        <v/>
      </c>
      <c r="I499" s="94" t="str">
        <f>IF(F499="Skeet",IFERROR(INDEX('Shooter-Squad Assignment'!$A:$A,MATCH(C499&amp;"-"&amp;E499&amp;"-"&amp;F499&amp;"-Pos2",'Shooter-Squad Assignment'!$K:$K,0)),""),IF(F499="Trap",IFERROR(INDEX('Shooter-Squad Assignment'!$A:$A,MATCH(C499&amp;"-"&amp;E499&amp;"-"&amp;F499&amp;"-Pos2",'Shooter-Squad Assignment'!$W:$W,0)),""),IF(F499="Sporting Clays",IFERROR(INDEX('Shooter-Squad Assignment'!$A:$A,MATCH(C499&amp;"-"&amp;E499&amp;"-"&amp;F499&amp;"-Pos2",'Shooter-Squad Assignment'!$Z:$Z,0)),""),"")))</f>
        <v/>
      </c>
      <c r="J499" s="73" t="str">
        <f>IF(ISBLANK(I499),"",IFERROR(INDEX('Tournament List'!$D:$D,MATCH(I499,'Tournament List'!$A:$A,0)),""))</f>
        <v/>
      </c>
      <c r="K499" s="94" t="str">
        <f>IF(F499="Skeet",IFERROR(INDEX('Shooter-Squad Assignment'!$A:$A,MATCH(C499&amp;"-"&amp;E499&amp;"-"&amp;F499&amp;"-Pos3",'Shooter-Squad Assignment'!$K:$K,0)),""),IF(F499="Trap",IFERROR(INDEX('Shooter-Squad Assignment'!$A:$A,MATCH(C499&amp;"-"&amp;E499&amp;"-"&amp;F499&amp;"-Pos3",'Shooter-Squad Assignment'!$W:$W,0)),""),IF(F499="Sporting Clays",IFERROR(INDEX('Shooter-Squad Assignment'!$A:$A,MATCH(C499&amp;"-"&amp;E499&amp;"-"&amp;F499&amp;"-Pos3",'Shooter-Squad Assignment'!$Z:$Z,0)),""),"")))</f>
        <v/>
      </c>
      <c r="L499" s="73" t="str">
        <f>IF(ISBLANK(K499),"",IFERROR(INDEX('Tournament List'!$D:$D,MATCH(K499,'Tournament List'!$A:$A,0)),""))</f>
        <v/>
      </c>
      <c r="M499" s="94" t="str">
        <f>IF(F499="Skeet",IFERROR(INDEX('Shooter-Squad Assignment'!$A:$A,MATCH(C499&amp;"-"&amp;E499&amp;"-"&amp;F499&amp;"-Pos4",'Shooter-Squad Assignment'!$K:$K,0)),""),IF(F499="Trap",IFERROR(INDEX('Shooter-Squad Assignment'!$A:$A,MATCH(C499&amp;"-"&amp;E499&amp;"-"&amp;F499&amp;"-Pos4",'Shooter-Squad Assignment'!$W:$W,0)),""),IF(F499="Sporting Clays",IFERROR(INDEX('Shooter-Squad Assignment'!$A:$A,MATCH(C499&amp;"-"&amp;E499&amp;"-"&amp;F499&amp;"-Pos4",'Shooter-Squad Assignment'!$Z:$Z,0)),""),"")))</f>
        <v/>
      </c>
      <c r="N499" s="73" t="str">
        <f>IF(ISBLANK(M499),"",IFERROR(INDEX('Tournament List'!$D:$D,MATCH(M499,'Tournament List'!$A:$A,0)),""))</f>
        <v/>
      </c>
      <c r="O499" s="94" t="str">
        <f>IF(F499="Skeet",IFERROR(INDEX('Shooter-Squad Assignment'!$A:$A,MATCH(C499&amp;"-"&amp;E499&amp;"-"&amp;F499&amp;"-Pos5",'Shooter-Squad Assignment'!$K:$K,0)),""),IF(F499="Trap",IFERROR(INDEX('Shooter-Squad Assignment'!$A:$A,MATCH(C499&amp;"-"&amp;E499&amp;"-"&amp;F499&amp;"-Pos5",'Shooter-Squad Assignment'!$W:$W,0)),""),IF(F499="Sporting Clays",IFERROR(INDEX('Shooter-Squad Assignment'!$A:$A,MATCH(C499&amp;"-"&amp;E499&amp;"-"&amp;F499&amp;"-Pos5",'Shooter-Squad Assignment'!$Z:$Z,0)),""),"")))</f>
        <v/>
      </c>
      <c r="P499" s="79" t="str">
        <f>IF(ISBLANK(O499),"",IFERROR(INDEX('Tournament List'!$D:$D,MATCH(O499,'Tournament List'!$A:$A,0)),""))</f>
        <v/>
      </c>
    </row>
    <row r="500" spans="1:16" x14ac:dyDescent="0.3">
      <c r="A500" s="78">
        <v>499</v>
      </c>
      <c r="B500" s="73" t="str">
        <f>C500&amp;"-"&amp;E500&amp;"-"&amp;F500</f>
        <v>-Intermediate 2-Trap</v>
      </c>
      <c r="C500" s="73"/>
      <c r="D500" s="73" t="str">
        <f>INDEX('Tournament Setup'!$B$59:$B$78,MATCH(E500,SquadConcurrents,0))</f>
        <v>Intermediate</v>
      </c>
      <c r="E500" s="73" t="s">
        <v>344</v>
      </c>
      <c r="F500" s="73" t="s">
        <v>147</v>
      </c>
      <c r="G500" s="94" t="str">
        <f>IF(F500="Skeet",IFERROR(INDEX('Shooter-Squad Assignment'!$A:$A,MATCH(C500&amp;"-"&amp;E500&amp;"-"&amp;F500&amp;"-Pos1",'Shooter-Squad Assignment'!$K:$K,0)),""),IF(F500="Trap",IFERROR(INDEX('Shooter-Squad Assignment'!$A:$A,MATCH(C500&amp;"-"&amp;E500&amp;"-"&amp;F500&amp;"-Pos1",'Shooter-Squad Assignment'!$W:$W,0)),""),IF(F500="Sporting Clays",IFERROR(INDEX('Shooter-Squad Assignment'!$A:$A,MATCH(C500&amp;"-"&amp;E500&amp;"-"&amp;F500&amp;"-Pos1",'Shooter-Squad Assignment'!$Z:$Z,0)),""),"")))</f>
        <v/>
      </c>
      <c r="H500" s="73" t="str">
        <f>IF(ISBLANK(G500),"",IFERROR(INDEX('Tournament List'!$D:$D,MATCH(G500,'Tournament List'!$A:$A,0)),""))</f>
        <v/>
      </c>
      <c r="I500" s="94" t="str">
        <f>IF(F500="Skeet",IFERROR(INDEX('Shooter-Squad Assignment'!$A:$A,MATCH(C500&amp;"-"&amp;E500&amp;"-"&amp;F500&amp;"-Pos2",'Shooter-Squad Assignment'!$K:$K,0)),""),IF(F500="Trap",IFERROR(INDEX('Shooter-Squad Assignment'!$A:$A,MATCH(C500&amp;"-"&amp;E500&amp;"-"&amp;F500&amp;"-Pos2",'Shooter-Squad Assignment'!$W:$W,0)),""),IF(F500="Sporting Clays",IFERROR(INDEX('Shooter-Squad Assignment'!$A:$A,MATCH(C500&amp;"-"&amp;E500&amp;"-"&amp;F500&amp;"-Pos2",'Shooter-Squad Assignment'!$Z:$Z,0)),""),"")))</f>
        <v/>
      </c>
      <c r="J500" s="73" t="str">
        <f>IF(ISBLANK(I500),"",IFERROR(INDEX('Tournament List'!$D:$D,MATCH(I500,'Tournament List'!$A:$A,0)),""))</f>
        <v/>
      </c>
      <c r="K500" s="94" t="str">
        <f>IF(F500="Skeet",IFERROR(INDEX('Shooter-Squad Assignment'!$A:$A,MATCH(C500&amp;"-"&amp;E500&amp;"-"&amp;F500&amp;"-Pos3",'Shooter-Squad Assignment'!$K:$K,0)),""),IF(F500="Trap",IFERROR(INDEX('Shooter-Squad Assignment'!$A:$A,MATCH(C500&amp;"-"&amp;E500&amp;"-"&amp;F500&amp;"-Pos3",'Shooter-Squad Assignment'!$W:$W,0)),""),IF(F500="Sporting Clays",IFERROR(INDEX('Shooter-Squad Assignment'!$A:$A,MATCH(C500&amp;"-"&amp;E500&amp;"-"&amp;F500&amp;"-Pos3",'Shooter-Squad Assignment'!$Z:$Z,0)),""),"")))</f>
        <v/>
      </c>
      <c r="L500" s="73" t="str">
        <f>IF(ISBLANK(K500),"",IFERROR(INDEX('Tournament List'!$D:$D,MATCH(K500,'Tournament List'!$A:$A,0)),""))</f>
        <v/>
      </c>
      <c r="M500" s="94" t="str">
        <f>IF(F500="Skeet",IFERROR(INDEX('Shooter-Squad Assignment'!$A:$A,MATCH(C500&amp;"-"&amp;E500&amp;"-"&amp;F500&amp;"-Pos4",'Shooter-Squad Assignment'!$K:$K,0)),""),IF(F500="Trap",IFERROR(INDEX('Shooter-Squad Assignment'!$A:$A,MATCH(C500&amp;"-"&amp;E500&amp;"-"&amp;F500&amp;"-Pos4",'Shooter-Squad Assignment'!$W:$W,0)),""),IF(F500="Sporting Clays",IFERROR(INDEX('Shooter-Squad Assignment'!$A:$A,MATCH(C500&amp;"-"&amp;E500&amp;"-"&amp;F500&amp;"-Pos4",'Shooter-Squad Assignment'!$Z:$Z,0)),""),"")))</f>
        <v/>
      </c>
      <c r="N500" s="73" t="str">
        <f>IF(ISBLANK(M500),"",IFERROR(INDEX('Tournament List'!$D:$D,MATCH(M500,'Tournament List'!$A:$A,0)),""))</f>
        <v/>
      </c>
      <c r="O500" s="94" t="str">
        <f>IF(F500="Skeet",IFERROR(INDEX('Shooter-Squad Assignment'!$A:$A,MATCH(C500&amp;"-"&amp;E500&amp;"-"&amp;F500&amp;"-Pos5",'Shooter-Squad Assignment'!$K:$K,0)),""),IF(F500="Trap",IFERROR(INDEX('Shooter-Squad Assignment'!$A:$A,MATCH(C500&amp;"-"&amp;E500&amp;"-"&amp;F500&amp;"-Pos5",'Shooter-Squad Assignment'!$W:$W,0)),""),IF(F500="Sporting Clays",IFERROR(INDEX('Shooter-Squad Assignment'!$A:$A,MATCH(C500&amp;"-"&amp;E500&amp;"-"&amp;F500&amp;"-Pos5",'Shooter-Squad Assignment'!$Z:$Z,0)),""),"")))</f>
        <v/>
      </c>
      <c r="P500" s="79" t="str">
        <f>IF(ISBLANK(O500),"",IFERROR(INDEX('Tournament List'!$D:$D,MATCH(O500,'Tournament List'!$A:$A,0)),""))</f>
        <v/>
      </c>
    </row>
    <row r="501" spans="1:16" x14ac:dyDescent="0.3">
      <c r="A501" s="78">
        <v>500</v>
      </c>
      <c r="B501" s="73" t="str">
        <f>C501&amp;"-"&amp;E501&amp;"-"&amp;F501</f>
        <v>-Intermediate 3-Trap</v>
      </c>
      <c r="C501" s="73"/>
      <c r="D501" s="73" t="str">
        <f>INDEX('Tournament Setup'!$B$59:$B$78,MATCH(E501,SquadConcurrents,0))</f>
        <v>Intermediate</v>
      </c>
      <c r="E501" s="73" t="s">
        <v>350</v>
      </c>
      <c r="F501" s="73" t="s">
        <v>147</v>
      </c>
      <c r="G501" s="94" t="str">
        <f>IF(F501="Skeet",IFERROR(INDEX('Shooter-Squad Assignment'!$A:$A,MATCH(C501&amp;"-"&amp;E501&amp;"-"&amp;F501&amp;"-Pos1",'Shooter-Squad Assignment'!$K:$K,0)),""),IF(F501="Trap",IFERROR(INDEX('Shooter-Squad Assignment'!$A:$A,MATCH(C501&amp;"-"&amp;E501&amp;"-"&amp;F501&amp;"-Pos1",'Shooter-Squad Assignment'!$W:$W,0)),""),IF(F501="Sporting Clays",IFERROR(INDEX('Shooter-Squad Assignment'!$A:$A,MATCH(C501&amp;"-"&amp;E501&amp;"-"&amp;F501&amp;"-Pos1",'Shooter-Squad Assignment'!$Z:$Z,0)),""),"")))</f>
        <v/>
      </c>
      <c r="H501" s="73" t="str">
        <f>IF(ISBLANK(G501),"",IFERROR(INDEX('Tournament List'!$D:$D,MATCH(G501,'Tournament List'!$A:$A,0)),""))</f>
        <v/>
      </c>
      <c r="I501" s="94" t="str">
        <f>IF(F501="Skeet",IFERROR(INDEX('Shooter-Squad Assignment'!$A:$A,MATCH(C501&amp;"-"&amp;E501&amp;"-"&amp;F501&amp;"-Pos2",'Shooter-Squad Assignment'!$K:$K,0)),""),IF(F501="Trap",IFERROR(INDEX('Shooter-Squad Assignment'!$A:$A,MATCH(C501&amp;"-"&amp;E501&amp;"-"&amp;F501&amp;"-Pos2",'Shooter-Squad Assignment'!$W:$W,0)),""),IF(F501="Sporting Clays",IFERROR(INDEX('Shooter-Squad Assignment'!$A:$A,MATCH(C501&amp;"-"&amp;E501&amp;"-"&amp;F501&amp;"-Pos2",'Shooter-Squad Assignment'!$Z:$Z,0)),""),"")))</f>
        <v/>
      </c>
      <c r="J501" s="73" t="str">
        <f>IF(ISBLANK(I501),"",IFERROR(INDEX('Tournament List'!$D:$D,MATCH(I501,'Tournament List'!$A:$A,0)),""))</f>
        <v/>
      </c>
      <c r="K501" s="94" t="str">
        <f>IF(F501="Skeet",IFERROR(INDEX('Shooter-Squad Assignment'!$A:$A,MATCH(C501&amp;"-"&amp;E501&amp;"-"&amp;F501&amp;"-Pos3",'Shooter-Squad Assignment'!$K:$K,0)),""),IF(F501="Trap",IFERROR(INDEX('Shooter-Squad Assignment'!$A:$A,MATCH(C501&amp;"-"&amp;E501&amp;"-"&amp;F501&amp;"-Pos3",'Shooter-Squad Assignment'!$W:$W,0)),""),IF(F501="Sporting Clays",IFERROR(INDEX('Shooter-Squad Assignment'!$A:$A,MATCH(C501&amp;"-"&amp;E501&amp;"-"&amp;F501&amp;"-Pos3",'Shooter-Squad Assignment'!$Z:$Z,0)),""),"")))</f>
        <v/>
      </c>
      <c r="L501" s="73" t="str">
        <f>IF(ISBLANK(K501),"",IFERROR(INDEX('Tournament List'!$D:$D,MATCH(K501,'Tournament List'!$A:$A,0)),""))</f>
        <v/>
      </c>
      <c r="M501" s="94" t="str">
        <f>IF(F501="Skeet",IFERROR(INDEX('Shooter-Squad Assignment'!$A:$A,MATCH(C501&amp;"-"&amp;E501&amp;"-"&amp;F501&amp;"-Pos4",'Shooter-Squad Assignment'!$K:$K,0)),""),IF(F501="Trap",IFERROR(INDEX('Shooter-Squad Assignment'!$A:$A,MATCH(C501&amp;"-"&amp;E501&amp;"-"&amp;F501&amp;"-Pos4",'Shooter-Squad Assignment'!$W:$W,0)),""),IF(F501="Sporting Clays",IFERROR(INDEX('Shooter-Squad Assignment'!$A:$A,MATCH(C501&amp;"-"&amp;E501&amp;"-"&amp;F501&amp;"-Pos4",'Shooter-Squad Assignment'!$Z:$Z,0)),""),"")))</f>
        <v/>
      </c>
      <c r="N501" s="73" t="str">
        <f>IF(ISBLANK(M501),"",IFERROR(INDEX('Tournament List'!$D:$D,MATCH(M501,'Tournament List'!$A:$A,0)),""))</f>
        <v/>
      </c>
      <c r="O501" s="94" t="str">
        <f>IF(F501="Skeet",IFERROR(INDEX('Shooter-Squad Assignment'!$A:$A,MATCH(C501&amp;"-"&amp;E501&amp;"-"&amp;F501&amp;"-Pos5",'Shooter-Squad Assignment'!$K:$K,0)),""),IF(F501="Trap",IFERROR(INDEX('Shooter-Squad Assignment'!$A:$A,MATCH(C501&amp;"-"&amp;E501&amp;"-"&amp;F501&amp;"-Pos5",'Shooter-Squad Assignment'!$W:$W,0)),""),IF(F501="Sporting Clays",IFERROR(INDEX('Shooter-Squad Assignment'!$A:$A,MATCH(C501&amp;"-"&amp;E501&amp;"-"&amp;F501&amp;"-Pos5",'Shooter-Squad Assignment'!$Z:$Z,0)),""),"")))</f>
        <v/>
      </c>
      <c r="P501" s="79" t="str">
        <f>IF(ISBLANK(O501),"",IFERROR(INDEX('Tournament List'!$D:$D,MATCH(O501,'Tournament List'!$A:$A,0)),""))</f>
        <v/>
      </c>
    </row>
    <row r="502" spans="1:16" x14ac:dyDescent="0.3">
      <c r="A502" s="78">
        <v>501</v>
      </c>
      <c r="B502" s="73" t="str">
        <f>C502&amp;"-"&amp;E502&amp;"-"&amp;F502</f>
        <v>-Junior Varsity 1-Trap</v>
      </c>
      <c r="C502" s="73"/>
      <c r="D502" s="73" t="str">
        <f>INDEX('Tournament Setup'!$B$59:$B$78,MATCH(E502,SquadConcurrents,0))</f>
        <v>Junior Varsity</v>
      </c>
      <c r="E502" s="73" t="s">
        <v>339</v>
      </c>
      <c r="F502" s="73" t="s">
        <v>147</v>
      </c>
      <c r="G502" s="94" t="str">
        <f>IF(F502="Skeet",IFERROR(INDEX('Shooter-Squad Assignment'!$A:$A,MATCH(C502&amp;"-"&amp;E502&amp;"-"&amp;F502&amp;"-Pos1",'Shooter-Squad Assignment'!$K:$K,0)),""),IF(F502="Trap",IFERROR(INDEX('Shooter-Squad Assignment'!$A:$A,MATCH(C502&amp;"-"&amp;E502&amp;"-"&amp;F502&amp;"-Pos1",'Shooter-Squad Assignment'!$W:$W,0)),""),IF(F502="Sporting Clays",IFERROR(INDEX('Shooter-Squad Assignment'!$A:$A,MATCH(C502&amp;"-"&amp;E502&amp;"-"&amp;F502&amp;"-Pos1",'Shooter-Squad Assignment'!$Z:$Z,0)),""),"")))</f>
        <v/>
      </c>
      <c r="H502" s="73" t="str">
        <f>IF(ISBLANK(G502),"",IFERROR(INDEX('Tournament List'!$D:$D,MATCH(G502,'Tournament List'!$A:$A,0)),""))</f>
        <v/>
      </c>
      <c r="I502" s="94" t="str">
        <f>IF(F502="Skeet",IFERROR(INDEX('Shooter-Squad Assignment'!$A:$A,MATCH(C502&amp;"-"&amp;E502&amp;"-"&amp;F502&amp;"-Pos2",'Shooter-Squad Assignment'!$K:$K,0)),""),IF(F502="Trap",IFERROR(INDEX('Shooter-Squad Assignment'!$A:$A,MATCH(C502&amp;"-"&amp;E502&amp;"-"&amp;F502&amp;"-Pos2",'Shooter-Squad Assignment'!$W:$W,0)),""),IF(F502="Sporting Clays",IFERROR(INDEX('Shooter-Squad Assignment'!$A:$A,MATCH(C502&amp;"-"&amp;E502&amp;"-"&amp;F502&amp;"-Pos2",'Shooter-Squad Assignment'!$Z:$Z,0)),""),"")))</f>
        <v/>
      </c>
      <c r="J502" s="73" t="str">
        <f>IF(ISBLANK(I502),"",IFERROR(INDEX('Tournament List'!$D:$D,MATCH(I502,'Tournament List'!$A:$A,0)),""))</f>
        <v/>
      </c>
      <c r="K502" s="94" t="str">
        <f>IF(F502="Skeet",IFERROR(INDEX('Shooter-Squad Assignment'!$A:$A,MATCH(C502&amp;"-"&amp;E502&amp;"-"&amp;F502&amp;"-Pos3",'Shooter-Squad Assignment'!$K:$K,0)),""),IF(F502="Trap",IFERROR(INDEX('Shooter-Squad Assignment'!$A:$A,MATCH(C502&amp;"-"&amp;E502&amp;"-"&amp;F502&amp;"-Pos3",'Shooter-Squad Assignment'!$W:$W,0)),""),IF(F502="Sporting Clays",IFERROR(INDEX('Shooter-Squad Assignment'!$A:$A,MATCH(C502&amp;"-"&amp;E502&amp;"-"&amp;F502&amp;"-Pos3",'Shooter-Squad Assignment'!$Z:$Z,0)),""),"")))</f>
        <v/>
      </c>
      <c r="L502" s="73" t="str">
        <f>IF(ISBLANK(K502),"",IFERROR(INDEX('Tournament List'!$D:$D,MATCH(K502,'Tournament List'!$A:$A,0)),""))</f>
        <v/>
      </c>
      <c r="M502" s="94" t="str">
        <f>IF(F502="Skeet",IFERROR(INDEX('Shooter-Squad Assignment'!$A:$A,MATCH(C502&amp;"-"&amp;E502&amp;"-"&amp;F502&amp;"-Pos4",'Shooter-Squad Assignment'!$K:$K,0)),""),IF(F502="Trap",IFERROR(INDEX('Shooter-Squad Assignment'!$A:$A,MATCH(C502&amp;"-"&amp;E502&amp;"-"&amp;F502&amp;"-Pos4",'Shooter-Squad Assignment'!$W:$W,0)),""),IF(F502="Sporting Clays",IFERROR(INDEX('Shooter-Squad Assignment'!$A:$A,MATCH(C502&amp;"-"&amp;E502&amp;"-"&amp;F502&amp;"-Pos4",'Shooter-Squad Assignment'!$Z:$Z,0)),""),"")))</f>
        <v/>
      </c>
      <c r="N502" s="73" t="str">
        <f>IF(ISBLANK(M502),"",IFERROR(INDEX('Tournament List'!$D:$D,MATCH(M502,'Tournament List'!$A:$A,0)),""))</f>
        <v/>
      </c>
      <c r="O502" s="94" t="str">
        <f>IF(F502="Skeet",IFERROR(INDEX('Shooter-Squad Assignment'!$A:$A,MATCH(C502&amp;"-"&amp;E502&amp;"-"&amp;F502&amp;"-Pos5",'Shooter-Squad Assignment'!$K:$K,0)),""),IF(F502="Trap",IFERROR(INDEX('Shooter-Squad Assignment'!$A:$A,MATCH(C502&amp;"-"&amp;E502&amp;"-"&amp;F502&amp;"-Pos5",'Shooter-Squad Assignment'!$W:$W,0)),""),IF(F502="Sporting Clays",IFERROR(INDEX('Shooter-Squad Assignment'!$A:$A,MATCH(C502&amp;"-"&amp;E502&amp;"-"&amp;F502&amp;"-Pos5",'Shooter-Squad Assignment'!$Z:$Z,0)),""),"")))</f>
        <v/>
      </c>
      <c r="P502" s="79" t="str">
        <f>IF(ISBLANK(O502),"",IFERROR(INDEX('Tournament List'!$D:$D,MATCH(O502,'Tournament List'!$A:$A,0)),""))</f>
        <v/>
      </c>
    </row>
    <row r="503" spans="1:16" x14ac:dyDescent="0.3">
      <c r="A503" s="78">
        <v>502</v>
      </c>
      <c r="B503" s="73" t="str">
        <f>C503&amp;"-"&amp;E503&amp;"-"&amp;F503</f>
        <v>-Junior Varsity 2-Trap</v>
      </c>
      <c r="C503" s="73"/>
      <c r="D503" s="73" t="str">
        <f>INDEX('Tournament Setup'!$B$59:$B$78,MATCH(E503,SquadConcurrents,0))</f>
        <v>Junior Varsity</v>
      </c>
      <c r="E503" s="73" t="s">
        <v>345</v>
      </c>
      <c r="F503" s="73" t="s">
        <v>147</v>
      </c>
      <c r="G503" s="94" t="str">
        <f>IF(F503="Skeet",IFERROR(INDEX('Shooter-Squad Assignment'!$A:$A,MATCH(C503&amp;"-"&amp;E503&amp;"-"&amp;F503&amp;"-Pos1",'Shooter-Squad Assignment'!$K:$K,0)),""),IF(F503="Trap",IFERROR(INDEX('Shooter-Squad Assignment'!$A:$A,MATCH(C503&amp;"-"&amp;E503&amp;"-"&amp;F503&amp;"-Pos1",'Shooter-Squad Assignment'!$W:$W,0)),""),IF(F503="Sporting Clays",IFERROR(INDEX('Shooter-Squad Assignment'!$A:$A,MATCH(C503&amp;"-"&amp;E503&amp;"-"&amp;F503&amp;"-Pos1",'Shooter-Squad Assignment'!$Z:$Z,0)),""),"")))</f>
        <v/>
      </c>
      <c r="H503" s="73" t="str">
        <f>IF(ISBLANK(G503),"",IFERROR(INDEX('Tournament List'!$D:$D,MATCH(G503,'Tournament List'!$A:$A,0)),""))</f>
        <v/>
      </c>
      <c r="I503" s="94" t="str">
        <f>IF(F503="Skeet",IFERROR(INDEX('Shooter-Squad Assignment'!$A:$A,MATCH(C503&amp;"-"&amp;E503&amp;"-"&amp;F503&amp;"-Pos2",'Shooter-Squad Assignment'!$K:$K,0)),""),IF(F503="Trap",IFERROR(INDEX('Shooter-Squad Assignment'!$A:$A,MATCH(C503&amp;"-"&amp;E503&amp;"-"&amp;F503&amp;"-Pos2",'Shooter-Squad Assignment'!$W:$W,0)),""),IF(F503="Sporting Clays",IFERROR(INDEX('Shooter-Squad Assignment'!$A:$A,MATCH(C503&amp;"-"&amp;E503&amp;"-"&amp;F503&amp;"-Pos2",'Shooter-Squad Assignment'!$Z:$Z,0)),""),"")))</f>
        <v/>
      </c>
      <c r="J503" s="73" t="str">
        <f>IF(ISBLANK(I503),"",IFERROR(INDEX('Tournament List'!$D:$D,MATCH(I503,'Tournament List'!$A:$A,0)),""))</f>
        <v/>
      </c>
      <c r="K503" s="94" t="str">
        <f>IF(F503="Skeet",IFERROR(INDEX('Shooter-Squad Assignment'!$A:$A,MATCH(C503&amp;"-"&amp;E503&amp;"-"&amp;F503&amp;"-Pos3",'Shooter-Squad Assignment'!$K:$K,0)),""),IF(F503="Trap",IFERROR(INDEX('Shooter-Squad Assignment'!$A:$A,MATCH(C503&amp;"-"&amp;E503&amp;"-"&amp;F503&amp;"-Pos3",'Shooter-Squad Assignment'!$W:$W,0)),""),IF(F503="Sporting Clays",IFERROR(INDEX('Shooter-Squad Assignment'!$A:$A,MATCH(C503&amp;"-"&amp;E503&amp;"-"&amp;F503&amp;"-Pos3",'Shooter-Squad Assignment'!$Z:$Z,0)),""),"")))</f>
        <v/>
      </c>
      <c r="L503" s="73" t="str">
        <f>IF(ISBLANK(K503),"",IFERROR(INDEX('Tournament List'!$D:$D,MATCH(K503,'Tournament List'!$A:$A,0)),""))</f>
        <v/>
      </c>
      <c r="M503" s="94" t="str">
        <f>IF(F503="Skeet",IFERROR(INDEX('Shooter-Squad Assignment'!$A:$A,MATCH(C503&amp;"-"&amp;E503&amp;"-"&amp;F503&amp;"-Pos4",'Shooter-Squad Assignment'!$K:$K,0)),""),IF(F503="Trap",IFERROR(INDEX('Shooter-Squad Assignment'!$A:$A,MATCH(C503&amp;"-"&amp;E503&amp;"-"&amp;F503&amp;"-Pos4",'Shooter-Squad Assignment'!$W:$W,0)),""),IF(F503="Sporting Clays",IFERROR(INDEX('Shooter-Squad Assignment'!$A:$A,MATCH(C503&amp;"-"&amp;E503&amp;"-"&amp;F503&amp;"-Pos4",'Shooter-Squad Assignment'!$Z:$Z,0)),""),"")))</f>
        <v/>
      </c>
      <c r="N503" s="73" t="str">
        <f>IF(ISBLANK(M503),"",IFERROR(INDEX('Tournament List'!$D:$D,MATCH(M503,'Tournament List'!$A:$A,0)),""))</f>
        <v/>
      </c>
      <c r="O503" s="94" t="str">
        <f>IF(F503="Skeet",IFERROR(INDEX('Shooter-Squad Assignment'!$A:$A,MATCH(C503&amp;"-"&amp;E503&amp;"-"&amp;F503&amp;"-Pos5",'Shooter-Squad Assignment'!$K:$K,0)),""),IF(F503="Trap",IFERROR(INDEX('Shooter-Squad Assignment'!$A:$A,MATCH(C503&amp;"-"&amp;E503&amp;"-"&amp;F503&amp;"-Pos5",'Shooter-Squad Assignment'!$W:$W,0)),""),IF(F503="Sporting Clays",IFERROR(INDEX('Shooter-Squad Assignment'!$A:$A,MATCH(C503&amp;"-"&amp;E503&amp;"-"&amp;F503&amp;"-Pos5",'Shooter-Squad Assignment'!$Z:$Z,0)),""),"")))</f>
        <v/>
      </c>
      <c r="P503" s="79" t="str">
        <f>IF(ISBLANK(O503),"",IFERROR(INDEX('Tournament List'!$D:$D,MATCH(O503,'Tournament List'!$A:$A,0)),""))</f>
        <v/>
      </c>
    </row>
    <row r="504" spans="1:16" x14ac:dyDescent="0.3">
      <c r="A504" s="78">
        <v>503</v>
      </c>
      <c r="B504" s="73" t="str">
        <f>C504&amp;"-"&amp;E504&amp;"-"&amp;F504</f>
        <v>-Junior Varsity 3-Trap</v>
      </c>
      <c r="C504" s="73"/>
      <c r="D504" s="73" t="str">
        <f>INDEX('Tournament Setup'!$B$59:$B$78,MATCH(E504,SquadConcurrents,0))</f>
        <v>Junior Varsity</v>
      </c>
      <c r="E504" s="73" t="s">
        <v>351</v>
      </c>
      <c r="F504" s="73" t="s">
        <v>147</v>
      </c>
      <c r="G504" s="94" t="str">
        <f>IF(F504="Skeet",IFERROR(INDEX('Shooter-Squad Assignment'!$A:$A,MATCH(C504&amp;"-"&amp;E504&amp;"-"&amp;F504&amp;"-Pos1",'Shooter-Squad Assignment'!$K:$K,0)),""),IF(F504="Trap",IFERROR(INDEX('Shooter-Squad Assignment'!$A:$A,MATCH(C504&amp;"-"&amp;E504&amp;"-"&amp;F504&amp;"-Pos1",'Shooter-Squad Assignment'!$W:$W,0)),""),IF(F504="Sporting Clays",IFERROR(INDEX('Shooter-Squad Assignment'!$A:$A,MATCH(C504&amp;"-"&amp;E504&amp;"-"&amp;F504&amp;"-Pos1",'Shooter-Squad Assignment'!$Z:$Z,0)),""),"")))</f>
        <v/>
      </c>
      <c r="H504" s="73" t="str">
        <f>IF(ISBLANK(G504),"",IFERROR(INDEX('Tournament List'!$D:$D,MATCH(G504,'Tournament List'!$A:$A,0)),""))</f>
        <v/>
      </c>
      <c r="I504" s="94" t="str">
        <f>IF(F504="Skeet",IFERROR(INDEX('Shooter-Squad Assignment'!$A:$A,MATCH(C504&amp;"-"&amp;E504&amp;"-"&amp;F504&amp;"-Pos2",'Shooter-Squad Assignment'!$K:$K,0)),""),IF(F504="Trap",IFERROR(INDEX('Shooter-Squad Assignment'!$A:$A,MATCH(C504&amp;"-"&amp;E504&amp;"-"&amp;F504&amp;"-Pos2",'Shooter-Squad Assignment'!$W:$W,0)),""),IF(F504="Sporting Clays",IFERROR(INDEX('Shooter-Squad Assignment'!$A:$A,MATCH(C504&amp;"-"&amp;E504&amp;"-"&amp;F504&amp;"-Pos2",'Shooter-Squad Assignment'!$Z:$Z,0)),""),"")))</f>
        <v/>
      </c>
      <c r="J504" s="73" t="str">
        <f>IF(ISBLANK(I504),"",IFERROR(INDEX('Tournament List'!$D:$D,MATCH(I504,'Tournament List'!$A:$A,0)),""))</f>
        <v/>
      </c>
      <c r="K504" s="94" t="str">
        <f>IF(F504="Skeet",IFERROR(INDEX('Shooter-Squad Assignment'!$A:$A,MATCH(C504&amp;"-"&amp;E504&amp;"-"&amp;F504&amp;"-Pos3",'Shooter-Squad Assignment'!$K:$K,0)),""),IF(F504="Trap",IFERROR(INDEX('Shooter-Squad Assignment'!$A:$A,MATCH(C504&amp;"-"&amp;E504&amp;"-"&amp;F504&amp;"-Pos3",'Shooter-Squad Assignment'!$W:$W,0)),""),IF(F504="Sporting Clays",IFERROR(INDEX('Shooter-Squad Assignment'!$A:$A,MATCH(C504&amp;"-"&amp;E504&amp;"-"&amp;F504&amp;"-Pos3",'Shooter-Squad Assignment'!$Z:$Z,0)),""),"")))</f>
        <v/>
      </c>
      <c r="L504" s="73" t="str">
        <f>IF(ISBLANK(K504),"",IFERROR(INDEX('Tournament List'!$D:$D,MATCH(K504,'Tournament List'!$A:$A,0)),""))</f>
        <v/>
      </c>
      <c r="M504" s="94" t="str">
        <f>IF(F504="Skeet",IFERROR(INDEX('Shooter-Squad Assignment'!$A:$A,MATCH(C504&amp;"-"&amp;E504&amp;"-"&amp;F504&amp;"-Pos4",'Shooter-Squad Assignment'!$K:$K,0)),""),IF(F504="Trap",IFERROR(INDEX('Shooter-Squad Assignment'!$A:$A,MATCH(C504&amp;"-"&amp;E504&amp;"-"&amp;F504&amp;"-Pos4",'Shooter-Squad Assignment'!$W:$W,0)),""),IF(F504="Sporting Clays",IFERROR(INDEX('Shooter-Squad Assignment'!$A:$A,MATCH(C504&amp;"-"&amp;E504&amp;"-"&amp;F504&amp;"-Pos4",'Shooter-Squad Assignment'!$Z:$Z,0)),""),"")))</f>
        <v/>
      </c>
      <c r="N504" s="73" t="str">
        <f>IF(ISBLANK(M504),"",IFERROR(INDEX('Tournament List'!$D:$D,MATCH(M504,'Tournament List'!$A:$A,0)),""))</f>
        <v/>
      </c>
      <c r="O504" s="94" t="str">
        <f>IF(F504="Skeet",IFERROR(INDEX('Shooter-Squad Assignment'!$A:$A,MATCH(C504&amp;"-"&amp;E504&amp;"-"&amp;F504&amp;"-Pos5",'Shooter-Squad Assignment'!$K:$K,0)),""),IF(F504="Trap",IFERROR(INDEX('Shooter-Squad Assignment'!$A:$A,MATCH(C504&amp;"-"&amp;E504&amp;"-"&amp;F504&amp;"-Pos5",'Shooter-Squad Assignment'!$W:$W,0)),""),IF(F504="Sporting Clays",IFERROR(INDEX('Shooter-Squad Assignment'!$A:$A,MATCH(C504&amp;"-"&amp;E504&amp;"-"&amp;F504&amp;"-Pos5",'Shooter-Squad Assignment'!$Z:$Z,0)),""),"")))</f>
        <v/>
      </c>
      <c r="P504" s="79" t="str">
        <f>IF(ISBLANK(O504),"",IFERROR(INDEX('Tournament List'!$D:$D,MATCH(O504,'Tournament List'!$A:$A,0)),""))</f>
        <v/>
      </c>
    </row>
    <row r="505" spans="1:16" x14ac:dyDescent="0.3">
      <c r="A505" s="78">
        <v>504</v>
      </c>
      <c r="B505" s="73" t="str">
        <f>C505&amp;"-"&amp;E505&amp;"-"&amp;F505</f>
        <v>-Novice 1-Trap</v>
      </c>
      <c r="C505" s="73"/>
      <c r="D505" s="73" t="str">
        <f>INDEX('Tournament Setup'!$B$59:$B$78,MATCH(E505,SquadConcurrents,0))</f>
        <v>Novice</v>
      </c>
      <c r="E505" s="73" t="s">
        <v>337</v>
      </c>
      <c r="F505" s="73" t="s">
        <v>147</v>
      </c>
      <c r="G505" s="94" t="str">
        <f>IF(F505="Skeet",IFERROR(INDEX('Shooter-Squad Assignment'!$A:$A,MATCH(C505&amp;"-"&amp;E505&amp;"-"&amp;F505&amp;"-Pos1",'Shooter-Squad Assignment'!$K:$K,0)),""),IF(F505="Trap",IFERROR(INDEX('Shooter-Squad Assignment'!$A:$A,MATCH(C505&amp;"-"&amp;E505&amp;"-"&amp;F505&amp;"-Pos1",'Shooter-Squad Assignment'!$W:$W,0)),""),IF(F505="Sporting Clays",IFERROR(INDEX('Shooter-Squad Assignment'!$A:$A,MATCH(C505&amp;"-"&amp;E505&amp;"-"&amp;F505&amp;"-Pos1",'Shooter-Squad Assignment'!$Z:$Z,0)),""),"")))</f>
        <v/>
      </c>
      <c r="H505" s="73" t="str">
        <f>IF(ISBLANK(G505),"",IFERROR(INDEX('Tournament List'!$D:$D,MATCH(G505,'Tournament List'!$A:$A,0)),""))</f>
        <v/>
      </c>
      <c r="I505" s="94" t="str">
        <f>IF(F505="Skeet",IFERROR(INDEX('Shooter-Squad Assignment'!$A:$A,MATCH(C505&amp;"-"&amp;E505&amp;"-"&amp;F505&amp;"-Pos2",'Shooter-Squad Assignment'!$K:$K,0)),""),IF(F505="Trap",IFERROR(INDEX('Shooter-Squad Assignment'!$A:$A,MATCH(C505&amp;"-"&amp;E505&amp;"-"&amp;F505&amp;"-Pos2",'Shooter-Squad Assignment'!$W:$W,0)),""),IF(F505="Sporting Clays",IFERROR(INDEX('Shooter-Squad Assignment'!$A:$A,MATCH(C505&amp;"-"&amp;E505&amp;"-"&amp;F505&amp;"-Pos2",'Shooter-Squad Assignment'!$Z:$Z,0)),""),"")))</f>
        <v/>
      </c>
      <c r="J505" s="73" t="str">
        <f>IF(ISBLANK(I505),"",IFERROR(INDEX('Tournament List'!$D:$D,MATCH(I505,'Tournament List'!$A:$A,0)),""))</f>
        <v/>
      </c>
      <c r="K505" s="94" t="str">
        <f>IF(F505="Skeet",IFERROR(INDEX('Shooter-Squad Assignment'!$A:$A,MATCH(C505&amp;"-"&amp;E505&amp;"-"&amp;F505&amp;"-Pos3",'Shooter-Squad Assignment'!$K:$K,0)),""),IF(F505="Trap",IFERROR(INDEX('Shooter-Squad Assignment'!$A:$A,MATCH(C505&amp;"-"&amp;E505&amp;"-"&amp;F505&amp;"-Pos3",'Shooter-Squad Assignment'!$W:$W,0)),""),IF(F505="Sporting Clays",IFERROR(INDEX('Shooter-Squad Assignment'!$A:$A,MATCH(C505&amp;"-"&amp;E505&amp;"-"&amp;F505&amp;"-Pos3",'Shooter-Squad Assignment'!$Z:$Z,0)),""),"")))</f>
        <v/>
      </c>
      <c r="L505" s="73" t="str">
        <f>IF(ISBLANK(K505),"",IFERROR(INDEX('Tournament List'!$D:$D,MATCH(K505,'Tournament List'!$A:$A,0)),""))</f>
        <v/>
      </c>
      <c r="M505" s="94" t="str">
        <f>IF(F505="Skeet",IFERROR(INDEX('Shooter-Squad Assignment'!$A:$A,MATCH(C505&amp;"-"&amp;E505&amp;"-"&amp;F505&amp;"-Pos4",'Shooter-Squad Assignment'!$K:$K,0)),""),IF(F505="Trap",IFERROR(INDEX('Shooter-Squad Assignment'!$A:$A,MATCH(C505&amp;"-"&amp;E505&amp;"-"&amp;F505&amp;"-Pos4",'Shooter-Squad Assignment'!$W:$W,0)),""),IF(F505="Sporting Clays",IFERROR(INDEX('Shooter-Squad Assignment'!$A:$A,MATCH(C505&amp;"-"&amp;E505&amp;"-"&amp;F505&amp;"-Pos4",'Shooter-Squad Assignment'!$Z:$Z,0)),""),"")))</f>
        <v/>
      </c>
      <c r="N505" s="73" t="str">
        <f>IF(ISBLANK(M505),"",IFERROR(INDEX('Tournament List'!$D:$D,MATCH(M505,'Tournament List'!$A:$A,0)),""))</f>
        <v/>
      </c>
      <c r="O505" s="94" t="str">
        <f>IF(F505="Skeet",IFERROR(INDEX('Shooter-Squad Assignment'!$A:$A,MATCH(C505&amp;"-"&amp;E505&amp;"-"&amp;F505&amp;"-Pos5",'Shooter-Squad Assignment'!$K:$K,0)),""),IF(F505="Trap",IFERROR(INDEX('Shooter-Squad Assignment'!$A:$A,MATCH(C505&amp;"-"&amp;E505&amp;"-"&amp;F505&amp;"-Pos5",'Shooter-Squad Assignment'!$W:$W,0)),""),IF(F505="Sporting Clays",IFERROR(INDEX('Shooter-Squad Assignment'!$A:$A,MATCH(C505&amp;"-"&amp;E505&amp;"-"&amp;F505&amp;"-Pos5",'Shooter-Squad Assignment'!$Z:$Z,0)),""),"")))</f>
        <v/>
      </c>
      <c r="P505" s="79" t="str">
        <f>IF(ISBLANK(O505),"",IFERROR(INDEX('Tournament List'!$D:$D,MATCH(O505,'Tournament List'!$A:$A,0)),""))</f>
        <v/>
      </c>
    </row>
    <row r="506" spans="1:16" x14ac:dyDescent="0.3">
      <c r="A506" s="78">
        <v>505</v>
      </c>
      <c r="B506" s="73" t="str">
        <f>C506&amp;"-"&amp;E506&amp;"-"&amp;F506</f>
        <v>-Novice 2-Trap</v>
      </c>
      <c r="C506" s="73"/>
      <c r="D506" s="73" t="str">
        <f>INDEX('Tournament Setup'!$B$59:$B$78,MATCH(E506,SquadConcurrents,0))</f>
        <v>Novice</v>
      </c>
      <c r="E506" s="73" t="s">
        <v>343</v>
      </c>
      <c r="F506" s="73" t="s">
        <v>147</v>
      </c>
      <c r="G506" s="94" t="str">
        <f>IF(F506="Skeet",IFERROR(INDEX('Shooter-Squad Assignment'!$A:$A,MATCH(C506&amp;"-"&amp;E506&amp;"-"&amp;F506&amp;"-Pos1",'Shooter-Squad Assignment'!$K:$K,0)),""),IF(F506="Trap",IFERROR(INDEX('Shooter-Squad Assignment'!$A:$A,MATCH(C506&amp;"-"&amp;E506&amp;"-"&amp;F506&amp;"-Pos1",'Shooter-Squad Assignment'!$W:$W,0)),""),IF(F506="Sporting Clays",IFERROR(INDEX('Shooter-Squad Assignment'!$A:$A,MATCH(C506&amp;"-"&amp;E506&amp;"-"&amp;F506&amp;"-Pos1",'Shooter-Squad Assignment'!$Z:$Z,0)),""),"")))</f>
        <v/>
      </c>
      <c r="H506" s="73" t="str">
        <f>IF(ISBLANK(G506),"",IFERROR(INDEX('Tournament List'!$D:$D,MATCH(G506,'Tournament List'!$A:$A,0)),""))</f>
        <v/>
      </c>
      <c r="I506" s="94" t="str">
        <f>IF(F506="Skeet",IFERROR(INDEX('Shooter-Squad Assignment'!$A:$A,MATCH(C506&amp;"-"&amp;E506&amp;"-"&amp;F506&amp;"-Pos2",'Shooter-Squad Assignment'!$K:$K,0)),""),IF(F506="Trap",IFERROR(INDEX('Shooter-Squad Assignment'!$A:$A,MATCH(C506&amp;"-"&amp;E506&amp;"-"&amp;F506&amp;"-Pos2",'Shooter-Squad Assignment'!$W:$W,0)),""),IF(F506="Sporting Clays",IFERROR(INDEX('Shooter-Squad Assignment'!$A:$A,MATCH(C506&amp;"-"&amp;E506&amp;"-"&amp;F506&amp;"-Pos2",'Shooter-Squad Assignment'!$Z:$Z,0)),""),"")))</f>
        <v/>
      </c>
      <c r="J506" s="73" t="str">
        <f>IF(ISBLANK(I506),"",IFERROR(INDEX('Tournament List'!$D:$D,MATCH(I506,'Tournament List'!$A:$A,0)),""))</f>
        <v/>
      </c>
      <c r="K506" s="94" t="str">
        <f>IF(F506="Skeet",IFERROR(INDEX('Shooter-Squad Assignment'!$A:$A,MATCH(C506&amp;"-"&amp;E506&amp;"-"&amp;F506&amp;"-Pos3",'Shooter-Squad Assignment'!$K:$K,0)),""),IF(F506="Trap",IFERROR(INDEX('Shooter-Squad Assignment'!$A:$A,MATCH(C506&amp;"-"&amp;E506&amp;"-"&amp;F506&amp;"-Pos3",'Shooter-Squad Assignment'!$W:$W,0)),""),IF(F506="Sporting Clays",IFERROR(INDEX('Shooter-Squad Assignment'!$A:$A,MATCH(C506&amp;"-"&amp;E506&amp;"-"&amp;F506&amp;"-Pos3",'Shooter-Squad Assignment'!$Z:$Z,0)),""),"")))</f>
        <v/>
      </c>
      <c r="L506" s="73" t="str">
        <f>IF(ISBLANK(K506),"",IFERROR(INDEX('Tournament List'!$D:$D,MATCH(K506,'Tournament List'!$A:$A,0)),""))</f>
        <v/>
      </c>
      <c r="M506" s="94" t="str">
        <f>IF(F506="Skeet",IFERROR(INDEX('Shooter-Squad Assignment'!$A:$A,MATCH(C506&amp;"-"&amp;E506&amp;"-"&amp;F506&amp;"-Pos4",'Shooter-Squad Assignment'!$K:$K,0)),""),IF(F506="Trap",IFERROR(INDEX('Shooter-Squad Assignment'!$A:$A,MATCH(C506&amp;"-"&amp;E506&amp;"-"&amp;F506&amp;"-Pos4",'Shooter-Squad Assignment'!$W:$W,0)),""),IF(F506="Sporting Clays",IFERROR(INDEX('Shooter-Squad Assignment'!$A:$A,MATCH(C506&amp;"-"&amp;E506&amp;"-"&amp;F506&amp;"-Pos4",'Shooter-Squad Assignment'!$Z:$Z,0)),""),"")))</f>
        <v/>
      </c>
      <c r="N506" s="73" t="str">
        <f>IF(ISBLANK(M506),"",IFERROR(INDEX('Tournament List'!$D:$D,MATCH(M506,'Tournament List'!$A:$A,0)),""))</f>
        <v/>
      </c>
      <c r="O506" s="94" t="str">
        <f>IF(F506="Skeet",IFERROR(INDEX('Shooter-Squad Assignment'!$A:$A,MATCH(C506&amp;"-"&amp;E506&amp;"-"&amp;F506&amp;"-Pos5",'Shooter-Squad Assignment'!$K:$K,0)),""),IF(F506="Trap",IFERROR(INDEX('Shooter-Squad Assignment'!$A:$A,MATCH(C506&amp;"-"&amp;E506&amp;"-"&amp;F506&amp;"-Pos5",'Shooter-Squad Assignment'!$W:$W,0)),""),IF(F506="Sporting Clays",IFERROR(INDEX('Shooter-Squad Assignment'!$A:$A,MATCH(C506&amp;"-"&amp;E506&amp;"-"&amp;F506&amp;"-Pos5",'Shooter-Squad Assignment'!$Z:$Z,0)),""),"")))</f>
        <v/>
      </c>
      <c r="P506" s="79" t="str">
        <f>IF(ISBLANK(O506),"",IFERROR(INDEX('Tournament List'!$D:$D,MATCH(O506,'Tournament List'!$A:$A,0)),""))</f>
        <v/>
      </c>
    </row>
    <row r="507" spans="1:16" x14ac:dyDescent="0.3">
      <c r="A507" s="78">
        <v>506</v>
      </c>
      <c r="B507" s="73" t="str">
        <f>C507&amp;"-"&amp;E507&amp;"-"&amp;F507</f>
        <v>-Novice 3-Trap</v>
      </c>
      <c r="C507" s="73"/>
      <c r="D507" s="73" t="str">
        <f>INDEX('Tournament Setup'!$B$59:$B$78,MATCH(E507,SquadConcurrents,0))</f>
        <v>Novice</v>
      </c>
      <c r="E507" s="73" t="s">
        <v>349</v>
      </c>
      <c r="F507" s="73" t="s">
        <v>147</v>
      </c>
      <c r="G507" s="94" t="str">
        <f>IF(F507="Skeet",IFERROR(INDEX('Shooter-Squad Assignment'!$A:$A,MATCH(C507&amp;"-"&amp;E507&amp;"-"&amp;F507&amp;"-Pos1",'Shooter-Squad Assignment'!$K:$K,0)),""),IF(F507="Trap",IFERROR(INDEX('Shooter-Squad Assignment'!$A:$A,MATCH(C507&amp;"-"&amp;E507&amp;"-"&amp;F507&amp;"-Pos1",'Shooter-Squad Assignment'!$W:$W,0)),""),IF(F507="Sporting Clays",IFERROR(INDEX('Shooter-Squad Assignment'!$A:$A,MATCH(C507&amp;"-"&amp;E507&amp;"-"&amp;F507&amp;"-Pos1",'Shooter-Squad Assignment'!$Z:$Z,0)),""),"")))</f>
        <v/>
      </c>
      <c r="H507" s="73" t="str">
        <f>IF(ISBLANK(G507),"",IFERROR(INDEX('Tournament List'!$D:$D,MATCH(G507,'Tournament List'!$A:$A,0)),""))</f>
        <v/>
      </c>
      <c r="I507" s="94" t="str">
        <f>IF(F507="Skeet",IFERROR(INDEX('Shooter-Squad Assignment'!$A:$A,MATCH(C507&amp;"-"&amp;E507&amp;"-"&amp;F507&amp;"-Pos2",'Shooter-Squad Assignment'!$K:$K,0)),""),IF(F507="Trap",IFERROR(INDEX('Shooter-Squad Assignment'!$A:$A,MATCH(C507&amp;"-"&amp;E507&amp;"-"&amp;F507&amp;"-Pos2",'Shooter-Squad Assignment'!$W:$W,0)),""),IF(F507="Sporting Clays",IFERROR(INDEX('Shooter-Squad Assignment'!$A:$A,MATCH(C507&amp;"-"&amp;E507&amp;"-"&amp;F507&amp;"-Pos2",'Shooter-Squad Assignment'!$Z:$Z,0)),""),"")))</f>
        <v/>
      </c>
      <c r="J507" s="73" t="str">
        <f>IF(ISBLANK(I507),"",IFERROR(INDEX('Tournament List'!$D:$D,MATCH(I507,'Tournament List'!$A:$A,0)),""))</f>
        <v/>
      </c>
      <c r="K507" s="94" t="str">
        <f>IF(F507="Skeet",IFERROR(INDEX('Shooter-Squad Assignment'!$A:$A,MATCH(C507&amp;"-"&amp;E507&amp;"-"&amp;F507&amp;"-Pos3",'Shooter-Squad Assignment'!$K:$K,0)),""),IF(F507="Trap",IFERROR(INDEX('Shooter-Squad Assignment'!$A:$A,MATCH(C507&amp;"-"&amp;E507&amp;"-"&amp;F507&amp;"-Pos3",'Shooter-Squad Assignment'!$W:$W,0)),""),IF(F507="Sporting Clays",IFERROR(INDEX('Shooter-Squad Assignment'!$A:$A,MATCH(C507&amp;"-"&amp;E507&amp;"-"&amp;F507&amp;"-Pos3",'Shooter-Squad Assignment'!$Z:$Z,0)),""),"")))</f>
        <v/>
      </c>
      <c r="L507" s="73" t="str">
        <f>IF(ISBLANK(K507),"",IFERROR(INDEX('Tournament List'!$D:$D,MATCH(K507,'Tournament List'!$A:$A,0)),""))</f>
        <v/>
      </c>
      <c r="M507" s="94" t="str">
        <f>IF(F507="Skeet",IFERROR(INDEX('Shooter-Squad Assignment'!$A:$A,MATCH(C507&amp;"-"&amp;E507&amp;"-"&amp;F507&amp;"-Pos4",'Shooter-Squad Assignment'!$K:$K,0)),""),IF(F507="Trap",IFERROR(INDEX('Shooter-Squad Assignment'!$A:$A,MATCH(C507&amp;"-"&amp;E507&amp;"-"&amp;F507&amp;"-Pos4",'Shooter-Squad Assignment'!$W:$W,0)),""),IF(F507="Sporting Clays",IFERROR(INDEX('Shooter-Squad Assignment'!$A:$A,MATCH(C507&amp;"-"&amp;E507&amp;"-"&amp;F507&amp;"-Pos4",'Shooter-Squad Assignment'!$Z:$Z,0)),""),"")))</f>
        <v/>
      </c>
      <c r="N507" s="73" t="str">
        <f>IF(ISBLANK(M507),"",IFERROR(INDEX('Tournament List'!$D:$D,MATCH(M507,'Tournament List'!$A:$A,0)),""))</f>
        <v/>
      </c>
      <c r="O507" s="94" t="str">
        <f>IF(F507="Skeet",IFERROR(INDEX('Shooter-Squad Assignment'!$A:$A,MATCH(C507&amp;"-"&amp;E507&amp;"-"&amp;F507&amp;"-Pos5",'Shooter-Squad Assignment'!$K:$K,0)),""),IF(F507="Trap",IFERROR(INDEX('Shooter-Squad Assignment'!$A:$A,MATCH(C507&amp;"-"&amp;E507&amp;"-"&amp;F507&amp;"-Pos5",'Shooter-Squad Assignment'!$W:$W,0)),""),IF(F507="Sporting Clays",IFERROR(INDEX('Shooter-Squad Assignment'!$A:$A,MATCH(C507&amp;"-"&amp;E507&amp;"-"&amp;F507&amp;"-Pos5",'Shooter-Squad Assignment'!$Z:$Z,0)),""),"")))</f>
        <v/>
      </c>
      <c r="P507" s="79" t="str">
        <f>IF(ISBLANK(O507),"",IFERROR(INDEX('Tournament List'!$D:$D,MATCH(O507,'Tournament List'!$A:$A,0)),""))</f>
        <v/>
      </c>
    </row>
    <row r="508" spans="1:16" x14ac:dyDescent="0.3">
      <c r="A508" s="78">
        <v>507</v>
      </c>
      <c r="B508" s="73" t="str">
        <f>C508&amp;"-"&amp;E508&amp;"-"&amp;F508</f>
        <v>-Open 1-Trap</v>
      </c>
      <c r="C508" s="73"/>
      <c r="D508" s="73" t="str">
        <f>INDEX('Tournament Setup'!$B$59:$B$78,MATCH(E508,SquadConcurrents,0))</f>
        <v>Open</v>
      </c>
      <c r="E508" s="73" t="s">
        <v>341</v>
      </c>
      <c r="F508" s="73" t="s">
        <v>147</v>
      </c>
      <c r="G508" s="94" t="str">
        <f>IF(F508="Skeet",IFERROR(INDEX('Shooter-Squad Assignment'!$A:$A,MATCH(C508&amp;"-"&amp;E508&amp;"-"&amp;F508&amp;"-Pos1",'Shooter-Squad Assignment'!$K:$K,0)),""),IF(F508="Trap",IFERROR(INDEX('Shooter-Squad Assignment'!$A:$A,MATCH(C508&amp;"-"&amp;E508&amp;"-"&amp;F508&amp;"-Pos1",'Shooter-Squad Assignment'!$W:$W,0)),""),IF(F508="Sporting Clays",IFERROR(INDEX('Shooter-Squad Assignment'!$A:$A,MATCH(C508&amp;"-"&amp;E508&amp;"-"&amp;F508&amp;"-Pos1",'Shooter-Squad Assignment'!$Z:$Z,0)),""),"")))</f>
        <v/>
      </c>
      <c r="H508" s="73" t="str">
        <f>IF(ISBLANK(G508),"",IFERROR(INDEX('Tournament List'!$D:$D,MATCH(G508,'Tournament List'!$A:$A,0)),""))</f>
        <v/>
      </c>
      <c r="I508" s="94" t="str">
        <f>IF(F508="Skeet",IFERROR(INDEX('Shooter-Squad Assignment'!$A:$A,MATCH(C508&amp;"-"&amp;E508&amp;"-"&amp;F508&amp;"-Pos2",'Shooter-Squad Assignment'!$K:$K,0)),""),IF(F508="Trap",IFERROR(INDEX('Shooter-Squad Assignment'!$A:$A,MATCH(C508&amp;"-"&amp;E508&amp;"-"&amp;F508&amp;"-Pos2",'Shooter-Squad Assignment'!$W:$W,0)),""),IF(F508="Sporting Clays",IFERROR(INDEX('Shooter-Squad Assignment'!$A:$A,MATCH(C508&amp;"-"&amp;E508&amp;"-"&amp;F508&amp;"-Pos2",'Shooter-Squad Assignment'!$Z:$Z,0)),""),"")))</f>
        <v/>
      </c>
      <c r="J508" s="73" t="str">
        <f>IF(ISBLANK(I508),"",IFERROR(INDEX('Tournament List'!$D:$D,MATCH(I508,'Tournament List'!$A:$A,0)),""))</f>
        <v/>
      </c>
      <c r="K508" s="94" t="str">
        <f>IF(F508="Skeet",IFERROR(INDEX('Shooter-Squad Assignment'!$A:$A,MATCH(C508&amp;"-"&amp;E508&amp;"-"&amp;F508&amp;"-Pos3",'Shooter-Squad Assignment'!$K:$K,0)),""),IF(F508="Trap",IFERROR(INDEX('Shooter-Squad Assignment'!$A:$A,MATCH(C508&amp;"-"&amp;E508&amp;"-"&amp;F508&amp;"-Pos3",'Shooter-Squad Assignment'!$W:$W,0)),""),IF(F508="Sporting Clays",IFERROR(INDEX('Shooter-Squad Assignment'!$A:$A,MATCH(C508&amp;"-"&amp;E508&amp;"-"&amp;F508&amp;"-Pos3",'Shooter-Squad Assignment'!$Z:$Z,0)),""),"")))</f>
        <v/>
      </c>
      <c r="L508" s="73" t="str">
        <f>IF(ISBLANK(K508),"",IFERROR(INDEX('Tournament List'!$D:$D,MATCH(K508,'Tournament List'!$A:$A,0)),""))</f>
        <v/>
      </c>
      <c r="M508" s="94" t="str">
        <f>IF(F508="Skeet",IFERROR(INDEX('Shooter-Squad Assignment'!$A:$A,MATCH(C508&amp;"-"&amp;E508&amp;"-"&amp;F508&amp;"-Pos4",'Shooter-Squad Assignment'!$K:$K,0)),""),IF(F508="Trap",IFERROR(INDEX('Shooter-Squad Assignment'!$A:$A,MATCH(C508&amp;"-"&amp;E508&amp;"-"&amp;F508&amp;"-Pos4",'Shooter-Squad Assignment'!$W:$W,0)),""),IF(F508="Sporting Clays",IFERROR(INDEX('Shooter-Squad Assignment'!$A:$A,MATCH(C508&amp;"-"&amp;E508&amp;"-"&amp;F508&amp;"-Pos4",'Shooter-Squad Assignment'!$Z:$Z,0)),""),"")))</f>
        <v/>
      </c>
      <c r="N508" s="73" t="str">
        <f>IF(ISBLANK(M508),"",IFERROR(INDEX('Tournament List'!$D:$D,MATCH(M508,'Tournament List'!$A:$A,0)),""))</f>
        <v/>
      </c>
      <c r="O508" s="94" t="str">
        <f>IF(F508="Skeet",IFERROR(INDEX('Shooter-Squad Assignment'!$A:$A,MATCH(C508&amp;"-"&amp;E508&amp;"-"&amp;F508&amp;"-Pos5",'Shooter-Squad Assignment'!$K:$K,0)),""),IF(F508="Trap",IFERROR(INDEX('Shooter-Squad Assignment'!$A:$A,MATCH(C508&amp;"-"&amp;E508&amp;"-"&amp;F508&amp;"-Pos5",'Shooter-Squad Assignment'!$W:$W,0)),""),IF(F508="Sporting Clays",IFERROR(INDEX('Shooter-Squad Assignment'!$A:$A,MATCH(C508&amp;"-"&amp;E508&amp;"-"&amp;F508&amp;"-Pos5",'Shooter-Squad Assignment'!$Z:$Z,0)),""),"")))</f>
        <v/>
      </c>
      <c r="P508" s="79" t="str">
        <f>IF(ISBLANK(O508),"",IFERROR(INDEX('Tournament List'!$D:$D,MATCH(O508,'Tournament List'!$A:$A,0)),""))</f>
        <v/>
      </c>
    </row>
    <row r="509" spans="1:16" x14ac:dyDescent="0.3">
      <c r="A509" s="78">
        <v>508</v>
      </c>
      <c r="B509" s="73" t="str">
        <f>C509&amp;"-"&amp;E509&amp;"-"&amp;F509</f>
        <v>-Open 2-Trap</v>
      </c>
      <c r="C509" s="73"/>
      <c r="D509" s="73" t="str">
        <f>INDEX('Tournament Setup'!$B$59:$B$78,MATCH(E509,SquadConcurrents,0))</f>
        <v>Open</v>
      </c>
      <c r="E509" s="73" t="s">
        <v>347</v>
      </c>
      <c r="F509" s="73" t="s">
        <v>147</v>
      </c>
      <c r="G509" s="94" t="str">
        <f>IF(F509="Skeet",IFERROR(INDEX('Shooter-Squad Assignment'!$A:$A,MATCH(C509&amp;"-"&amp;E509&amp;"-"&amp;F509&amp;"-Pos1",'Shooter-Squad Assignment'!$K:$K,0)),""),IF(F509="Trap",IFERROR(INDEX('Shooter-Squad Assignment'!$A:$A,MATCH(C509&amp;"-"&amp;E509&amp;"-"&amp;F509&amp;"-Pos1",'Shooter-Squad Assignment'!$W:$W,0)),""),IF(F509="Sporting Clays",IFERROR(INDEX('Shooter-Squad Assignment'!$A:$A,MATCH(C509&amp;"-"&amp;E509&amp;"-"&amp;F509&amp;"-Pos1",'Shooter-Squad Assignment'!$Z:$Z,0)),""),"")))</f>
        <v/>
      </c>
      <c r="H509" s="73" t="str">
        <f>IF(ISBLANK(G509),"",IFERROR(INDEX('Tournament List'!$D:$D,MATCH(G509,'Tournament List'!$A:$A,0)),""))</f>
        <v/>
      </c>
      <c r="I509" s="94" t="str">
        <f>IF(F509="Skeet",IFERROR(INDEX('Shooter-Squad Assignment'!$A:$A,MATCH(C509&amp;"-"&amp;E509&amp;"-"&amp;F509&amp;"-Pos2",'Shooter-Squad Assignment'!$K:$K,0)),""),IF(F509="Trap",IFERROR(INDEX('Shooter-Squad Assignment'!$A:$A,MATCH(C509&amp;"-"&amp;E509&amp;"-"&amp;F509&amp;"-Pos2",'Shooter-Squad Assignment'!$W:$W,0)),""),IF(F509="Sporting Clays",IFERROR(INDEX('Shooter-Squad Assignment'!$A:$A,MATCH(C509&amp;"-"&amp;E509&amp;"-"&amp;F509&amp;"-Pos2",'Shooter-Squad Assignment'!$Z:$Z,0)),""),"")))</f>
        <v/>
      </c>
      <c r="J509" s="73" t="str">
        <f>IF(ISBLANK(I509),"",IFERROR(INDEX('Tournament List'!$D:$D,MATCH(I509,'Tournament List'!$A:$A,0)),""))</f>
        <v/>
      </c>
      <c r="K509" s="94" t="str">
        <f>IF(F509="Skeet",IFERROR(INDEX('Shooter-Squad Assignment'!$A:$A,MATCH(C509&amp;"-"&amp;E509&amp;"-"&amp;F509&amp;"-Pos3",'Shooter-Squad Assignment'!$K:$K,0)),""),IF(F509="Trap",IFERROR(INDEX('Shooter-Squad Assignment'!$A:$A,MATCH(C509&amp;"-"&amp;E509&amp;"-"&amp;F509&amp;"-Pos3",'Shooter-Squad Assignment'!$W:$W,0)),""),IF(F509="Sporting Clays",IFERROR(INDEX('Shooter-Squad Assignment'!$A:$A,MATCH(C509&amp;"-"&amp;E509&amp;"-"&amp;F509&amp;"-Pos3",'Shooter-Squad Assignment'!$Z:$Z,0)),""),"")))</f>
        <v/>
      </c>
      <c r="L509" s="73" t="str">
        <f>IF(ISBLANK(K509),"",IFERROR(INDEX('Tournament List'!$D:$D,MATCH(K509,'Tournament List'!$A:$A,0)),""))</f>
        <v/>
      </c>
      <c r="M509" s="94" t="str">
        <f>IF(F509="Skeet",IFERROR(INDEX('Shooter-Squad Assignment'!$A:$A,MATCH(C509&amp;"-"&amp;E509&amp;"-"&amp;F509&amp;"-Pos4",'Shooter-Squad Assignment'!$K:$K,0)),""),IF(F509="Trap",IFERROR(INDEX('Shooter-Squad Assignment'!$A:$A,MATCH(C509&amp;"-"&amp;E509&amp;"-"&amp;F509&amp;"-Pos4",'Shooter-Squad Assignment'!$W:$W,0)),""),IF(F509="Sporting Clays",IFERROR(INDEX('Shooter-Squad Assignment'!$A:$A,MATCH(C509&amp;"-"&amp;E509&amp;"-"&amp;F509&amp;"-Pos4",'Shooter-Squad Assignment'!$Z:$Z,0)),""),"")))</f>
        <v/>
      </c>
      <c r="N509" s="73" t="str">
        <f>IF(ISBLANK(M509),"",IFERROR(INDEX('Tournament List'!$D:$D,MATCH(M509,'Tournament List'!$A:$A,0)),""))</f>
        <v/>
      </c>
      <c r="O509" s="94" t="str">
        <f>IF(F509="Skeet",IFERROR(INDEX('Shooter-Squad Assignment'!$A:$A,MATCH(C509&amp;"-"&amp;E509&amp;"-"&amp;F509&amp;"-Pos5",'Shooter-Squad Assignment'!$K:$K,0)),""),IF(F509="Trap",IFERROR(INDEX('Shooter-Squad Assignment'!$A:$A,MATCH(C509&amp;"-"&amp;E509&amp;"-"&amp;F509&amp;"-Pos5",'Shooter-Squad Assignment'!$W:$W,0)),""),IF(F509="Sporting Clays",IFERROR(INDEX('Shooter-Squad Assignment'!$A:$A,MATCH(C509&amp;"-"&amp;E509&amp;"-"&amp;F509&amp;"-Pos5",'Shooter-Squad Assignment'!$Z:$Z,0)),""),"")))</f>
        <v/>
      </c>
      <c r="P509" s="79" t="str">
        <f>IF(ISBLANK(O509),"",IFERROR(INDEX('Tournament List'!$D:$D,MATCH(O509,'Tournament List'!$A:$A,0)),""))</f>
        <v/>
      </c>
    </row>
    <row r="510" spans="1:16" x14ac:dyDescent="0.3">
      <c r="A510" s="78">
        <v>509</v>
      </c>
      <c r="B510" s="73" t="str">
        <f>C510&amp;"-"&amp;E510&amp;"-"&amp;F510</f>
        <v>-Open 3-Trap</v>
      </c>
      <c r="C510" s="73"/>
      <c r="D510" s="73" t="str">
        <f>INDEX('Tournament Setup'!$B$59:$B$78,MATCH(E510,SquadConcurrents,0))</f>
        <v>Open</v>
      </c>
      <c r="E510" s="73" t="s">
        <v>353</v>
      </c>
      <c r="F510" s="73" t="s">
        <v>147</v>
      </c>
      <c r="G510" s="94" t="str">
        <f>IF(F510="Skeet",IFERROR(INDEX('Shooter-Squad Assignment'!$A:$A,MATCH(C510&amp;"-"&amp;E510&amp;"-"&amp;F510&amp;"-Pos1",'Shooter-Squad Assignment'!$K:$K,0)),""),IF(F510="Trap",IFERROR(INDEX('Shooter-Squad Assignment'!$A:$A,MATCH(C510&amp;"-"&amp;E510&amp;"-"&amp;F510&amp;"-Pos1",'Shooter-Squad Assignment'!$W:$W,0)),""),IF(F510="Sporting Clays",IFERROR(INDEX('Shooter-Squad Assignment'!$A:$A,MATCH(C510&amp;"-"&amp;E510&amp;"-"&amp;F510&amp;"-Pos1",'Shooter-Squad Assignment'!$Z:$Z,0)),""),"")))</f>
        <v/>
      </c>
      <c r="H510" s="73" t="str">
        <f>IF(ISBLANK(G510),"",IFERROR(INDEX('Tournament List'!$D:$D,MATCH(G510,'Tournament List'!$A:$A,0)),""))</f>
        <v/>
      </c>
      <c r="I510" s="94" t="str">
        <f>IF(F510="Skeet",IFERROR(INDEX('Shooter-Squad Assignment'!$A:$A,MATCH(C510&amp;"-"&amp;E510&amp;"-"&amp;F510&amp;"-Pos2",'Shooter-Squad Assignment'!$K:$K,0)),""),IF(F510="Trap",IFERROR(INDEX('Shooter-Squad Assignment'!$A:$A,MATCH(C510&amp;"-"&amp;E510&amp;"-"&amp;F510&amp;"-Pos2",'Shooter-Squad Assignment'!$W:$W,0)),""),IF(F510="Sporting Clays",IFERROR(INDEX('Shooter-Squad Assignment'!$A:$A,MATCH(C510&amp;"-"&amp;E510&amp;"-"&amp;F510&amp;"-Pos2",'Shooter-Squad Assignment'!$Z:$Z,0)),""),"")))</f>
        <v/>
      </c>
      <c r="J510" s="73" t="str">
        <f>IF(ISBLANK(I510),"",IFERROR(INDEX('Tournament List'!$D:$D,MATCH(I510,'Tournament List'!$A:$A,0)),""))</f>
        <v/>
      </c>
      <c r="K510" s="94" t="str">
        <f>IF(F510="Skeet",IFERROR(INDEX('Shooter-Squad Assignment'!$A:$A,MATCH(C510&amp;"-"&amp;E510&amp;"-"&amp;F510&amp;"-Pos3",'Shooter-Squad Assignment'!$K:$K,0)),""),IF(F510="Trap",IFERROR(INDEX('Shooter-Squad Assignment'!$A:$A,MATCH(C510&amp;"-"&amp;E510&amp;"-"&amp;F510&amp;"-Pos3",'Shooter-Squad Assignment'!$W:$W,0)),""),IF(F510="Sporting Clays",IFERROR(INDEX('Shooter-Squad Assignment'!$A:$A,MATCH(C510&amp;"-"&amp;E510&amp;"-"&amp;F510&amp;"-Pos3",'Shooter-Squad Assignment'!$Z:$Z,0)),""),"")))</f>
        <v/>
      </c>
      <c r="L510" s="73" t="str">
        <f>IF(ISBLANK(K510),"",IFERROR(INDEX('Tournament List'!$D:$D,MATCH(K510,'Tournament List'!$A:$A,0)),""))</f>
        <v/>
      </c>
      <c r="M510" s="94" t="str">
        <f>IF(F510="Skeet",IFERROR(INDEX('Shooter-Squad Assignment'!$A:$A,MATCH(C510&amp;"-"&amp;E510&amp;"-"&amp;F510&amp;"-Pos4",'Shooter-Squad Assignment'!$K:$K,0)),""),IF(F510="Trap",IFERROR(INDEX('Shooter-Squad Assignment'!$A:$A,MATCH(C510&amp;"-"&amp;E510&amp;"-"&amp;F510&amp;"-Pos4",'Shooter-Squad Assignment'!$W:$W,0)),""),IF(F510="Sporting Clays",IFERROR(INDEX('Shooter-Squad Assignment'!$A:$A,MATCH(C510&amp;"-"&amp;E510&amp;"-"&amp;F510&amp;"-Pos4",'Shooter-Squad Assignment'!$Z:$Z,0)),""),"")))</f>
        <v/>
      </c>
      <c r="N510" s="73" t="str">
        <f>IF(ISBLANK(M510),"",IFERROR(INDEX('Tournament List'!$D:$D,MATCH(M510,'Tournament List'!$A:$A,0)),""))</f>
        <v/>
      </c>
      <c r="O510" s="94" t="str">
        <f>IF(F510="Skeet",IFERROR(INDEX('Shooter-Squad Assignment'!$A:$A,MATCH(C510&amp;"-"&amp;E510&amp;"-"&amp;F510&amp;"-Pos5",'Shooter-Squad Assignment'!$K:$K,0)),""),IF(F510="Trap",IFERROR(INDEX('Shooter-Squad Assignment'!$A:$A,MATCH(C510&amp;"-"&amp;E510&amp;"-"&amp;F510&amp;"-Pos5",'Shooter-Squad Assignment'!$W:$W,0)),""),IF(F510="Sporting Clays",IFERROR(INDEX('Shooter-Squad Assignment'!$A:$A,MATCH(C510&amp;"-"&amp;E510&amp;"-"&amp;F510&amp;"-Pos5",'Shooter-Squad Assignment'!$Z:$Z,0)),""),"")))</f>
        <v/>
      </c>
      <c r="P510" s="79" t="str">
        <f>IF(ISBLANK(O510),"",IFERROR(INDEX('Tournament List'!$D:$D,MATCH(O510,'Tournament List'!$A:$A,0)),""))</f>
        <v/>
      </c>
    </row>
    <row r="511" spans="1:16" x14ac:dyDescent="0.3">
      <c r="A511" s="78">
        <v>510</v>
      </c>
      <c r="B511" s="73" t="str">
        <f>C511&amp;"-"&amp;E511&amp;"-"&amp;F511</f>
        <v>-Unassigned 1-Trap</v>
      </c>
      <c r="C511" s="73"/>
      <c r="D511" s="73" t="str">
        <f>INDEX('Tournament Setup'!$B$59:$B$78,MATCH(E511,SquadConcurrents,0))</f>
        <v>Unassigned</v>
      </c>
      <c r="E511" s="73" t="s">
        <v>762</v>
      </c>
      <c r="F511" s="73" t="s">
        <v>147</v>
      </c>
      <c r="G511" s="94" t="str">
        <f>IF(F511="Skeet",IFERROR(INDEX('Shooter-Squad Assignment'!$A:$A,MATCH(C511&amp;"-"&amp;E511&amp;"-"&amp;F511&amp;"-Pos1",'Shooter-Squad Assignment'!$K:$K,0)),""),IF(F511="Trap",IFERROR(INDEX('Shooter-Squad Assignment'!$A:$A,MATCH(C511&amp;"-"&amp;E511&amp;"-"&amp;F511&amp;"-Pos1",'Shooter-Squad Assignment'!$W:$W,0)),""),IF(F511="Sporting Clays",IFERROR(INDEX('Shooter-Squad Assignment'!$A:$A,MATCH(C511&amp;"-"&amp;E511&amp;"-"&amp;F511&amp;"-Pos1",'Shooter-Squad Assignment'!$Z:$Z,0)),""),"")))</f>
        <v/>
      </c>
      <c r="H511" s="73" t="str">
        <f>IF(ISBLANK(G511),"",IFERROR(INDEX('Tournament List'!$D:$D,MATCH(G511,'Tournament List'!$A:$A,0)),""))</f>
        <v/>
      </c>
      <c r="I511" s="94" t="str">
        <f>IF(F511="Skeet",IFERROR(INDEX('Shooter-Squad Assignment'!$A:$A,MATCH(C511&amp;"-"&amp;E511&amp;"-"&amp;F511&amp;"-Pos2",'Shooter-Squad Assignment'!$K:$K,0)),""),IF(F511="Trap",IFERROR(INDEX('Shooter-Squad Assignment'!$A:$A,MATCH(C511&amp;"-"&amp;E511&amp;"-"&amp;F511&amp;"-Pos2",'Shooter-Squad Assignment'!$W:$W,0)),""),IF(F511="Sporting Clays",IFERROR(INDEX('Shooter-Squad Assignment'!$A:$A,MATCH(C511&amp;"-"&amp;E511&amp;"-"&amp;F511&amp;"-Pos2",'Shooter-Squad Assignment'!$Z:$Z,0)),""),"")))</f>
        <v/>
      </c>
      <c r="J511" s="73" t="str">
        <f>IF(ISBLANK(I511),"",IFERROR(INDEX('Tournament List'!$D:$D,MATCH(I511,'Tournament List'!$A:$A,0)),""))</f>
        <v/>
      </c>
      <c r="K511" s="94" t="str">
        <f>IF(F511="Skeet",IFERROR(INDEX('Shooter-Squad Assignment'!$A:$A,MATCH(C511&amp;"-"&amp;E511&amp;"-"&amp;F511&amp;"-Pos3",'Shooter-Squad Assignment'!$K:$K,0)),""),IF(F511="Trap",IFERROR(INDEX('Shooter-Squad Assignment'!$A:$A,MATCH(C511&amp;"-"&amp;E511&amp;"-"&amp;F511&amp;"-Pos3",'Shooter-Squad Assignment'!$W:$W,0)),""),IF(F511="Sporting Clays",IFERROR(INDEX('Shooter-Squad Assignment'!$A:$A,MATCH(C511&amp;"-"&amp;E511&amp;"-"&amp;F511&amp;"-Pos3",'Shooter-Squad Assignment'!$Z:$Z,0)),""),"")))</f>
        <v/>
      </c>
      <c r="L511" s="73" t="str">
        <f>IF(ISBLANK(K511),"",IFERROR(INDEX('Tournament List'!$D:$D,MATCH(K511,'Tournament List'!$A:$A,0)),""))</f>
        <v/>
      </c>
      <c r="M511" s="94" t="str">
        <f>IF(F511="Skeet",IFERROR(INDEX('Shooter-Squad Assignment'!$A:$A,MATCH(C511&amp;"-"&amp;E511&amp;"-"&amp;F511&amp;"-Pos4",'Shooter-Squad Assignment'!$K:$K,0)),""),IF(F511="Trap",IFERROR(INDEX('Shooter-Squad Assignment'!$A:$A,MATCH(C511&amp;"-"&amp;E511&amp;"-"&amp;F511&amp;"-Pos4",'Shooter-Squad Assignment'!$W:$W,0)),""),IF(F511="Sporting Clays",IFERROR(INDEX('Shooter-Squad Assignment'!$A:$A,MATCH(C511&amp;"-"&amp;E511&amp;"-"&amp;F511&amp;"-Pos4",'Shooter-Squad Assignment'!$Z:$Z,0)),""),"")))</f>
        <v/>
      </c>
      <c r="N511" s="73" t="str">
        <f>IF(ISBLANK(M511),"",IFERROR(INDEX('Tournament List'!$D:$D,MATCH(M511,'Tournament List'!$A:$A,0)),""))</f>
        <v/>
      </c>
      <c r="O511" s="94" t="str">
        <f>IF(F511="Skeet",IFERROR(INDEX('Shooter-Squad Assignment'!$A:$A,MATCH(C511&amp;"-"&amp;E511&amp;"-"&amp;F511&amp;"-Pos5",'Shooter-Squad Assignment'!$K:$K,0)),""),IF(F511="Trap",IFERROR(INDEX('Shooter-Squad Assignment'!$A:$A,MATCH(C511&amp;"-"&amp;E511&amp;"-"&amp;F511&amp;"-Pos5",'Shooter-Squad Assignment'!$W:$W,0)),""),IF(F511="Sporting Clays",IFERROR(INDEX('Shooter-Squad Assignment'!$A:$A,MATCH(C511&amp;"-"&amp;E511&amp;"-"&amp;F511&amp;"-Pos5",'Shooter-Squad Assignment'!$Z:$Z,0)),""),"")))</f>
        <v/>
      </c>
      <c r="P511" s="79" t="str">
        <f>IF(ISBLANK(O511),"",IFERROR(INDEX('Tournament List'!$D:$D,MATCH(O511,'Tournament List'!$A:$A,0)),""))</f>
        <v/>
      </c>
    </row>
    <row r="512" spans="1:16" x14ac:dyDescent="0.3">
      <c r="A512" s="78">
        <v>511</v>
      </c>
      <c r="B512" s="73" t="str">
        <f>C512&amp;"-"&amp;E512&amp;"-"&amp;F512</f>
        <v>-Varsity 1-Trap</v>
      </c>
      <c r="C512" s="73"/>
      <c r="D512" s="73" t="str">
        <f>INDEX('Tournament Setup'!$B$59:$B$78,MATCH(E512,SquadConcurrents,0))</f>
        <v>Varsity</v>
      </c>
      <c r="E512" s="73" t="s">
        <v>340</v>
      </c>
      <c r="F512" s="73" t="s">
        <v>147</v>
      </c>
      <c r="G512" s="94" t="str">
        <f>IF(F512="Skeet",IFERROR(INDEX('Shooter-Squad Assignment'!$A:$A,MATCH(C512&amp;"-"&amp;E512&amp;"-"&amp;F512&amp;"-Pos1",'Shooter-Squad Assignment'!$K:$K,0)),""),IF(F512="Trap",IFERROR(INDEX('Shooter-Squad Assignment'!$A:$A,MATCH(C512&amp;"-"&amp;E512&amp;"-"&amp;F512&amp;"-Pos1",'Shooter-Squad Assignment'!$W:$W,0)),""),IF(F512="Sporting Clays",IFERROR(INDEX('Shooter-Squad Assignment'!$A:$A,MATCH(C512&amp;"-"&amp;E512&amp;"-"&amp;F512&amp;"-Pos1",'Shooter-Squad Assignment'!$Z:$Z,0)),""),"")))</f>
        <v/>
      </c>
      <c r="H512" s="73" t="str">
        <f>IF(ISBLANK(G512),"",IFERROR(INDEX('Tournament List'!$D:$D,MATCH(G512,'Tournament List'!$A:$A,0)),""))</f>
        <v/>
      </c>
      <c r="I512" s="94" t="str">
        <f>IF(F512="Skeet",IFERROR(INDEX('Shooter-Squad Assignment'!$A:$A,MATCH(C512&amp;"-"&amp;E512&amp;"-"&amp;F512&amp;"-Pos2",'Shooter-Squad Assignment'!$K:$K,0)),""),IF(F512="Trap",IFERROR(INDEX('Shooter-Squad Assignment'!$A:$A,MATCH(C512&amp;"-"&amp;E512&amp;"-"&amp;F512&amp;"-Pos2",'Shooter-Squad Assignment'!$W:$W,0)),""),IF(F512="Sporting Clays",IFERROR(INDEX('Shooter-Squad Assignment'!$A:$A,MATCH(C512&amp;"-"&amp;E512&amp;"-"&amp;F512&amp;"-Pos2",'Shooter-Squad Assignment'!$Z:$Z,0)),""),"")))</f>
        <v/>
      </c>
      <c r="J512" s="73" t="str">
        <f>IF(ISBLANK(I512),"",IFERROR(INDEX('Tournament List'!$D:$D,MATCH(I512,'Tournament List'!$A:$A,0)),""))</f>
        <v/>
      </c>
      <c r="K512" s="94" t="str">
        <f>IF(F512="Skeet",IFERROR(INDEX('Shooter-Squad Assignment'!$A:$A,MATCH(C512&amp;"-"&amp;E512&amp;"-"&amp;F512&amp;"-Pos3",'Shooter-Squad Assignment'!$K:$K,0)),""),IF(F512="Trap",IFERROR(INDEX('Shooter-Squad Assignment'!$A:$A,MATCH(C512&amp;"-"&amp;E512&amp;"-"&amp;F512&amp;"-Pos3",'Shooter-Squad Assignment'!$W:$W,0)),""),IF(F512="Sporting Clays",IFERROR(INDEX('Shooter-Squad Assignment'!$A:$A,MATCH(C512&amp;"-"&amp;E512&amp;"-"&amp;F512&amp;"-Pos3",'Shooter-Squad Assignment'!$Z:$Z,0)),""),"")))</f>
        <v/>
      </c>
      <c r="L512" s="73" t="str">
        <f>IF(ISBLANK(K512),"",IFERROR(INDEX('Tournament List'!$D:$D,MATCH(K512,'Tournament List'!$A:$A,0)),""))</f>
        <v/>
      </c>
      <c r="M512" s="94" t="str">
        <f>IF(F512="Skeet",IFERROR(INDEX('Shooter-Squad Assignment'!$A:$A,MATCH(C512&amp;"-"&amp;E512&amp;"-"&amp;F512&amp;"-Pos4",'Shooter-Squad Assignment'!$K:$K,0)),""),IF(F512="Trap",IFERROR(INDEX('Shooter-Squad Assignment'!$A:$A,MATCH(C512&amp;"-"&amp;E512&amp;"-"&amp;F512&amp;"-Pos4",'Shooter-Squad Assignment'!$W:$W,0)),""),IF(F512="Sporting Clays",IFERROR(INDEX('Shooter-Squad Assignment'!$A:$A,MATCH(C512&amp;"-"&amp;E512&amp;"-"&amp;F512&amp;"-Pos4",'Shooter-Squad Assignment'!$Z:$Z,0)),""),"")))</f>
        <v/>
      </c>
      <c r="N512" s="73" t="str">
        <f>IF(ISBLANK(M512),"",IFERROR(INDEX('Tournament List'!$D:$D,MATCH(M512,'Tournament List'!$A:$A,0)),""))</f>
        <v/>
      </c>
      <c r="O512" s="94" t="str">
        <f>IF(F512="Skeet",IFERROR(INDEX('Shooter-Squad Assignment'!$A:$A,MATCH(C512&amp;"-"&amp;E512&amp;"-"&amp;F512&amp;"-Pos5",'Shooter-Squad Assignment'!$K:$K,0)),""),IF(F512="Trap",IFERROR(INDEX('Shooter-Squad Assignment'!$A:$A,MATCH(C512&amp;"-"&amp;E512&amp;"-"&amp;F512&amp;"-Pos5",'Shooter-Squad Assignment'!$W:$W,0)),""),IF(F512="Sporting Clays",IFERROR(INDEX('Shooter-Squad Assignment'!$A:$A,MATCH(C512&amp;"-"&amp;E512&amp;"-"&amp;F512&amp;"-Pos5",'Shooter-Squad Assignment'!$Z:$Z,0)),""),"")))</f>
        <v/>
      </c>
      <c r="P512" s="79" t="str">
        <f>IF(ISBLANK(O512),"",IFERROR(INDEX('Tournament List'!$D:$D,MATCH(O512,'Tournament List'!$A:$A,0)),""))</f>
        <v/>
      </c>
    </row>
    <row r="513" spans="1:16" x14ac:dyDescent="0.3">
      <c r="A513" s="78">
        <v>512</v>
      </c>
      <c r="B513" s="73" t="str">
        <f>C513&amp;"-"&amp;E513&amp;"-"&amp;F513</f>
        <v>-Varsity 2-Trap</v>
      </c>
      <c r="C513" s="73"/>
      <c r="D513" s="73" t="str">
        <f>INDEX('Tournament Setup'!$B$59:$B$78,MATCH(E513,SquadConcurrents,0))</f>
        <v>Varsity</v>
      </c>
      <c r="E513" s="73" t="s">
        <v>346</v>
      </c>
      <c r="F513" s="73" t="s">
        <v>147</v>
      </c>
      <c r="G513" s="94" t="str">
        <f>IF(F513="Skeet",IFERROR(INDEX('Shooter-Squad Assignment'!$A:$A,MATCH(C513&amp;"-"&amp;E513&amp;"-"&amp;F513&amp;"-Pos1",'Shooter-Squad Assignment'!$K:$K,0)),""),IF(F513="Trap",IFERROR(INDEX('Shooter-Squad Assignment'!$A:$A,MATCH(C513&amp;"-"&amp;E513&amp;"-"&amp;F513&amp;"-Pos1",'Shooter-Squad Assignment'!$W:$W,0)),""),IF(F513="Sporting Clays",IFERROR(INDEX('Shooter-Squad Assignment'!$A:$A,MATCH(C513&amp;"-"&amp;E513&amp;"-"&amp;F513&amp;"-Pos1",'Shooter-Squad Assignment'!$Z:$Z,0)),""),"")))</f>
        <v/>
      </c>
      <c r="H513" s="73" t="str">
        <f>IF(ISBLANK(G513),"",IFERROR(INDEX('Tournament List'!$D:$D,MATCH(G513,'Tournament List'!$A:$A,0)),""))</f>
        <v/>
      </c>
      <c r="I513" s="94" t="str">
        <f>IF(F513="Skeet",IFERROR(INDEX('Shooter-Squad Assignment'!$A:$A,MATCH(C513&amp;"-"&amp;E513&amp;"-"&amp;F513&amp;"-Pos2",'Shooter-Squad Assignment'!$K:$K,0)),""),IF(F513="Trap",IFERROR(INDEX('Shooter-Squad Assignment'!$A:$A,MATCH(C513&amp;"-"&amp;E513&amp;"-"&amp;F513&amp;"-Pos2",'Shooter-Squad Assignment'!$W:$W,0)),""),IF(F513="Sporting Clays",IFERROR(INDEX('Shooter-Squad Assignment'!$A:$A,MATCH(C513&amp;"-"&amp;E513&amp;"-"&amp;F513&amp;"-Pos2",'Shooter-Squad Assignment'!$Z:$Z,0)),""),"")))</f>
        <v/>
      </c>
      <c r="J513" s="73" t="str">
        <f>IF(ISBLANK(I513),"",IFERROR(INDEX('Tournament List'!$D:$D,MATCH(I513,'Tournament List'!$A:$A,0)),""))</f>
        <v/>
      </c>
      <c r="K513" s="94" t="str">
        <f>IF(F513="Skeet",IFERROR(INDEX('Shooter-Squad Assignment'!$A:$A,MATCH(C513&amp;"-"&amp;E513&amp;"-"&amp;F513&amp;"-Pos3",'Shooter-Squad Assignment'!$K:$K,0)),""),IF(F513="Trap",IFERROR(INDEX('Shooter-Squad Assignment'!$A:$A,MATCH(C513&amp;"-"&amp;E513&amp;"-"&amp;F513&amp;"-Pos3",'Shooter-Squad Assignment'!$W:$W,0)),""),IF(F513="Sporting Clays",IFERROR(INDEX('Shooter-Squad Assignment'!$A:$A,MATCH(C513&amp;"-"&amp;E513&amp;"-"&amp;F513&amp;"-Pos3",'Shooter-Squad Assignment'!$Z:$Z,0)),""),"")))</f>
        <v/>
      </c>
      <c r="L513" s="73" t="str">
        <f>IF(ISBLANK(K513),"",IFERROR(INDEX('Tournament List'!$D:$D,MATCH(K513,'Tournament List'!$A:$A,0)),""))</f>
        <v/>
      </c>
      <c r="M513" s="94" t="str">
        <f>IF(F513="Skeet",IFERROR(INDEX('Shooter-Squad Assignment'!$A:$A,MATCH(C513&amp;"-"&amp;E513&amp;"-"&amp;F513&amp;"-Pos4",'Shooter-Squad Assignment'!$K:$K,0)),""),IF(F513="Trap",IFERROR(INDEX('Shooter-Squad Assignment'!$A:$A,MATCH(C513&amp;"-"&amp;E513&amp;"-"&amp;F513&amp;"-Pos4",'Shooter-Squad Assignment'!$W:$W,0)),""),IF(F513="Sporting Clays",IFERROR(INDEX('Shooter-Squad Assignment'!$A:$A,MATCH(C513&amp;"-"&amp;E513&amp;"-"&amp;F513&amp;"-Pos4",'Shooter-Squad Assignment'!$Z:$Z,0)),""),"")))</f>
        <v/>
      </c>
      <c r="N513" s="73" t="str">
        <f>IF(ISBLANK(M513),"",IFERROR(INDEX('Tournament List'!$D:$D,MATCH(M513,'Tournament List'!$A:$A,0)),""))</f>
        <v/>
      </c>
      <c r="O513" s="94" t="str">
        <f>IF(F513="Skeet",IFERROR(INDEX('Shooter-Squad Assignment'!$A:$A,MATCH(C513&amp;"-"&amp;E513&amp;"-"&amp;F513&amp;"-Pos5",'Shooter-Squad Assignment'!$K:$K,0)),""),IF(F513="Trap",IFERROR(INDEX('Shooter-Squad Assignment'!$A:$A,MATCH(C513&amp;"-"&amp;E513&amp;"-"&amp;F513&amp;"-Pos5",'Shooter-Squad Assignment'!$W:$W,0)),""),IF(F513="Sporting Clays",IFERROR(INDEX('Shooter-Squad Assignment'!$A:$A,MATCH(C513&amp;"-"&amp;E513&amp;"-"&amp;F513&amp;"-Pos5",'Shooter-Squad Assignment'!$Z:$Z,0)),""),"")))</f>
        <v/>
      </c>
      <c r="P513" s="79" t="str">
        <f>IF(ISBLANK(O513),"",IFERROR(INDEX('Tournament List'!$D:$D,MATCH(O513,'Tournament List'!$A:$A,0)),""))</f>
        <v/>
      </c>
    </row>
    <row r="514" spans="1:16" ht="15" thickBot="1" x14ac:dyDescent="0.35">
      <c r="A514" s="78">
        <v>513</v>
      </c>
      <c r="B514" s="73" t="str">
        <f>C514&amp;"-"&amp;E514&amp;"-"&amp;F514</f>
        <v>-Varsity 3-Trap</v>
      </c>
      <c r="C514" s="73"/>
      <c r="D514" s="73" t="str">
        <f>INDEX('Tournament Setup'!$B$59:$B$78,MATCH(E514,SquadConcurrents,0))</f>
        <v>Varsity</v>
      </c>
      <c r="E514" s="73" t="s">
        <v>352</v>
      </c>
      <c r="F514" s="73" t="s">
        <v>147</v>
      </c>
      <c r="G514" s="94" t="str">
        <f>IF(F514="Skeet",IFERROR(INDEX('Shooter-Squad Assignment'!$A:$A,MATCH(C514&amp;"-"&amp;E514&amp;"-"&amp;F514&amp;"-Pos1",'Shooter-Squad Assignment'!$K:$K,0)),""),IF(F514="Trap",IFERROR(INDEX('Shooter-Squad Assignment'!$A:$A,MATCH(C514&amp;"-"&amp;E514&amp;"-"&amp;F514&amp;"-Pos1",'Shooter-Squad Assignment'!$W:$W,0)),""),IF(F514="Sporting Clays",IFERROR(INDEX('Shooter-Squad Assignment'!$A:$A,MATCH(C514&amp;"-"&amp;E514&amp;"-"&amp;F514&amp;"-Pos1",'Shooter-Squad Assignment'!$Z:$Z,0)),""),"")))</f>
        <v/>
      </c>
      <c r="H514" s="73" t="str">
        <f>IF(ISBLANK(G514),"",IFERROR(INDEX('Tournament List'!$D:$D,MATCH(G514,'Tournament List'!$A:$A,0)),""))</f>
        <v/>
      </c>
      <c r="I514" s="94" t="str">
        <f>IF(F514="Skeet",IFERROR(INDEX('Shooter-Squad Assignment'!$A:$A,MATCH(C514&amp;"-"&amp;E514&amp;"-"&amp;F514&amp;"-Pos2",'Shooter-Squad Assignment'!$K:$K,0)),""),IF(F514="Trap",IFERROR(INDEX('Shooter-Squad Assignment'!$A:$A,MATCH(C514&amp;"-"&amp;E514&amp;"-"&amp;F514&amp;"-Pos2",'Shooter-Squad Assignment'!$W:$W,0)),""),IF(F514="Sporting Clays",IFERROR(INDEX('Shooter-Squad Assignment'!$A:$A,MATCH(C514&amp;"-"&amp;E514&amp;"-"&amp;F514&amp;"-Pos2",'Shooter-Squad Assignment'!$Z:$Z,0)),""),"")))</f>
        <v/>
      </c>
      <c r="J514" s="73" t="str">
        <f>IF(ISBLANK(I514),"",IFERROR(INDEX('Tournament List'!$D:$D,MATCH(I514,'Tournament List'!$A:$A,0)),""))</f>
        <v/>
      </c>
      <c r="K514" s="94" t="str">
        <f>IF(F514="Skeet",IFERROR(INDEX('Shooter-Squad Assignment'!$A:$A,MATCH(C514&amp;"-"&amp;E514&amp;"-"&amp;F514&amp;"-Pos3",'Shooter-Squad Assignment'!$K:$K,0)),""),IF(F514="Trap",IFERROR(INDEX('Shooter-Squad Assignment'!$A:$A,MATCH(C514&amp;"-"&amp;E514&amp;"-"&amp;F514&amp;"-Pos3",'Shooter-Squad Assignment'!$W:$W,0)),""),IF(F514="Sporting Clays",IFERROR(INDEX('Shooter-Squad Assignment'!$A:$A,MATCH(C514&amp;"-"&amp;E514&amp;"-"&amp;F514&amp;"-Pos3",'Shooter-Squad Assignment'!$Z:$Z,0)),""),"")))</f>
        <v/>
      </c>
      <c r="L514" s="73" t="str">
        <f>IF(ISBLANK(K514),"",IFERROR(INDEX('Tournament List'!$D:$D,MATCH(K514,'Tournament List'!$A:$A,0)),""))</f>
        <v/>
      </c>
      <c r="M514" s="94" t="str">
        <f>IF(F514="Skeet",IFERROR(INDEX('Shooter-Squad Assignment'!$A:$A,MATCH(C514&amp;"-"&amp;E514&amp;"-"&amp;F514&amp;"-Pos4",'Shooter-Squad Assignment'!$K:$K,0)),""),IF(F514="Trap",IFERROR(INDEX('Shooter-Squad Assignment'!$A:$A,MATCH(C514&amp;"-"&amp;E514&amp;"-"&amp;F514&amp;"-Pos4",'Shooter-Squad Assignment'!$W:$W,0)),""),IF(F514="Sporting Clays",IFERROR(INDEX('Shooter-Squad Assignment'!$A:$A,MATCH(C514&amp;"-"&amp;E514&amp;"-"&amp;F514&amp;"-Pos4",'Shooter-Squad Assignment'!$Z:$Z,0)),""),"")))</f>
        <v/>
      </c>
      <c r="N514" s="73" t="str">
        <f>IF(ISBLANK(M514),"",IFERROR(INDEX('Tournament List'!$D:$D,MATCH(M514,'Tournament List'!$A:$A,0)),""))</f>
        <v/>
      </c>
      <c r="O514" s="94" t="str">
        <f>IF(F514="Skeet",IFERROR(INDEX('Shooter-Squad Assignment'!$A:$A,MATCH(C514&amp;"-"&amp;E514&amp;"-"&amp;F514&amp;"-Pos5",'Shooter-Squad Assignment'!$K:$K,0)),""),IF(F514="Trap",IFERROR(INDEX('Shooter-Squad Assignment'!$A:$A,MATCH(C514&amp;"-"&amp;E514&amp;"-"&amp;F514&amp;"-Pos5",'Shooter-Squad Assignment'!$W:$W,0)),""),IF(F514="Sporting Clays",IFERROR(INDEX('Shooter-Squad Assignment'!$A:$A,MATCH(C514&amp;"-"&amp;E514&amp;"-"&amp;F514&amp;"-Pos5",'Shooter-Squad Assignment'!$Z:$Z,0)),""),"")))</f>
        <v/>
      </c>
      <c r="P514" s="79" t="str">
        <f>IF(ISBLANK(O514),"",IFERROR(INDEX('Tournament List'!$D:$D,MATCH(O514,'Tournament List'!$A:$A,0)),""))</f>
        <v/>
      </c>
    </row>
    <row r="515" spans="1:16" x14ac:dyDescent="0.3">
      <c r="A515" s="84">
        <v>514</v>
      </c>
      <c r="B515" s="85" t="str">
        <f>C515&amp;"-"&amp;E515&amp;"-"&amp;F515</f>
        <v>-Collegiate 1-Skeet</v>
      </c>
      <c r="C515" s="85"/>
      <c r="D515" s="85" t="str">
        <f>INDEX('Tournament Setup'!$B$59:$B$78,MATCH(E515,SquadConcurrents,0))</f>
        <v>Collegiate</v>
      </c>
      <c r="E515" s="85" t="s">
        <v>342</v>
      </c>
      <c r="F515" s="85" t="s">
        <v>143</v>
      </c>
      <c r="G515" s="95" t="str">
        <f>IF(F515="Skeet",IFERROR(INDEX('Shooter-Squad Assignment'!$A:$A,MATCH(C515&amp;"-"&amp;E515&amp;"-"&amp;F515&amp;"-Pos1",'Shooter-Squad Assignment'!$K:$K,0)),""),IF(F515="Trap",IFERROR(INDEX('Shooter-Squad Assignment'!$A:$A,MATCH(C515&amp;"-"&amp;E515&amp;"-"&amp;F515&amp;"-Pos1",'Shooter-Squad Assignment'!$W:$W,0)),""),IF(F515="Sporting Clays",IFERROR(INDEX('Shooter-Squad Assignment'!$A:$A,MATCH(C515&amp;"-"&amp;E515&amp;"-"&amp;F515&amp;"-Pos1",'Shooter-Squad Assignment'!$Z:$Z,0)),""),"")))</f>
        <v/>
      </c>
      <c r="H515" s="85" t="str">
        <f>IF(ISBLANK(G515),"",IFERROR(INDEX('Tournament List'!$D:$D,MATCH(G515,'Tournament List'!$A:$A,0)),""))</f>
        <v/>
      </c>
      <c r="I515" s="95" t="str">
        <f>IF(F515="Skeet",IFERROR(INDEX('Shooter-Squad Assignment'!$A:$A,MATCH(C515&amp;"-"&amp;E515&amp;"-"&amp;F515&amp;"-Pos2",'Shooter-Squad Assignment'!$K:$K,0)),""),IF(F515="Trap",IFERROR(INDEX('Shooter-Squad Assignment'!$A:$A,MATCH(C515&amp;"-"&amp;E515&amp;"-"&amp;F515&amp;"-Pos2",'Shooter-Squad Assignment'!$W:$W,0)),""),IF(F515="Sporting Clays",IFERROR(INDEX('Shooter-Squad Assignment'!$A:$A,MATCH(C515&amp;"-"&amp;E515&amp;"-"&amp;F515&amp;"-Pos2",'Shooter-Squad Assignment'!$Z:$Z,0)),""),"")))</f>
        <v/>
      </c>
      <c r="J515" s="85" t="str">
        <f>IF(ISBLANK(I515),"",IFERROR(INDEX('Tournament List'!$D:$D,MATCH(I515,'Tournament List'!$A:$A,0)),""))</f>
        <v/>
      </c>
      <c r="K515" s="95" t="str">
        <f>IF(F515="Skeet",IFERROR(INDEX('Shooter-Squad Assignment'!$A:$A,MATCH(C515&amp;"-"&amp;E515&amp;"-"&amp;F515&amp;"-Pos3",'Shooter-Squad Assignment'!$K:$K,0)),""),IF(F515="Trap",IFERROR(INDEX('Shooter-Squad Assignment'!$A:$A,MATCH(C515&amp;"-"&amp;E515&amp;"-"&amp;F515&amp;"-Pos3",'Shooter-Squad Assignment'!$W:$W,0)),""),IF(F515="Sporting Clays",IFERROR(INDEX('Shooter-Squad Assignment'!$A:$A,MATCH(C515&amp;"-"&amp;E515&amp;"-"&amp;F515&amp;"-Pos3",'Shooter-Squad Assignment'!$Z:$Z,0)),""),"")))</f>
        <v/>
      </c>
      <c r="L515" s="85" t="str">
        <f>IF(ISBLANK(K515),"",IFERROR(INDEX('Tournament List'!$D:$D,MATCH(K515,'Tournament List'!$A:$A,0)),""))</f>
        <v/>
      </c>
      <c r="M515" s="95" t="str">
        <f>IF(F515="Skeet",IFERROR(INDEX('Shooter-Squad Assignment'!$A:$A,MATCH(C515&amp;"-"&amp;E515&amp;"-"&amp;F515&amp;"-Pos4",'Shooter-Squad Assignment'!$K:$K,0)),""),IF(F515="Trap",IFERROR(INDEX('Shooter-Squad Assignment'!$A:$A,MATCH(C515&amp;"-"&amp;E515&amp;"-"&amp;F515&amp;"-Pos4",'Shooter-Squad Assignment'!$W:$W,0)),""),IF(F515="Sporting Clays",IFERROR(INDEX('Shooter-Squad Assignment'!$A:$A,MATCH(C515&amp;"-"&amp;E515&amp;"-"&amp;F515&amp;"-Pos4",'Shooter-Squad Assignment'!$Z:$Z,0)),""),"")))</f>
        <v/>
      </c>
      <c r="N515" s="85" t="str">
        <f>IF(ISBLANK(M515),"",IFERROR(INDEX('Tournament List'!$D:$D,MATCH(M515,'Tournament List'!$A:$A,0)),""))</f>
        <v/>
      </c>
      <c r="O515" s="95" t="str">
        <f>IF(F515="Skeet",IFERROR(INDEX('Shooter-Squad Assignment'!$A:$A,MATCH(C515&amp;"-"&amp;E515&amp;"-"&amp;F515&amp;"-Pos5",'Shooter-Squad Assignment'!$K:$K,0)),""),IF(F515="Trap",IFERROR(INDEX('Shooter-Squad Assignment'!$A:$A,MATCH(C515&amp;"-"&amp;E515&amp;"-"&amp;F515&amp;"-Pos5",'Shooter-Squad Assignment'!$W:$W,0)),""),IF(F515="Sporting Clays",IFERROR(INDEX('Shooter-Squad Assignment'!$A:$A,MATCH(C515&amp;"-"&amp;E515&amp;"-"&amp;F515&amp;"-Pos5",'Shooter-Squad Assignment'!$Z:$Z,0)),""),"")))</f>
        <v/>
      </c>
      <c r="P515" s="86" t="str">
        <f>IF(ISBLANK(O515),"",IFERROR(INDEX('Tournament List'!$D:$D,MATCH(O515,'Tournament List'!$A:$A,0)),""))</f>
        <v/>
      </c>
    </row>
    <row r="516" spans="1:16" x14ac:dyDescent="0.3">
      <c r="A516" s="87">
        <v>515</v>
      </c>
      <c r="B516" s="88" t="str">
        <f>C516&amp;"-"&amp;E516&amp;"-"&amp;F516</f>
        <v>-Collegiate 2-Skeet</v>
      </c>
      <c r="C516" s="88"/>
      <c r="D516" s="88" t="str">
        <f>INDEX('Tournament Setup'!$B$59:$B$78,MATCH(E516,SquadConcurrents,0))</f>
        <v>Collegiate</v>
      </c>
      <c r="E516" s="88" t="s">
        <v>348</v>
      </c>
      <c r="F516" s="88" t="s">
        <v>143</v>
      </c>
      <c r="G516" s="96" t="str">
        <f>IF(F516="Skeet",IFERROR(INDEX('Shooter-Squad Assignment'!$A:$A,MATCH(C516&amp;"-"&amp;E516&amp;"-"&amp;F516&amp;"-Pos1",'Shooter-Squad Assignment'!$K:$K,0)),""),IF(F516="Trap",IFERROR(INDEX('Shooter-Squad Assignment'!$A:$A,MATCH(C516&amp;"-"&amp;E516&amp;"-"&amp;F516&amp;"-Pos1",'Shooter-Squad Assignment'!$W:$W,0)),""),IF(F516="Sporting Clays",IFERROR(INDEX('Shooter-Squad Assignment'!$A:$A,MATCH(C516&amp;"-"&amp;E516&amp;"-"&amp;F516&amp;"-Pos1",'Shooter-Squad Assignment'!$Z:$Z,0)),""),"")))</f>
        <v/>
      </c>
      <c r="H516" s="88" t="str">
        <f>IF(ISBLANK(G516),"",IFERROR(INDEX('Tournament List'!$D:$D,MATCH(G516,'Tournament List'!$A:$A,0)),""))</f>
        <v/>
      </c>
      <c r="I516" s="96" t="str">
        <f>IF(F516="Skeet",IFERROR(INDEX('Shooter-Squad Assignment'!$A:$A,MATCH(C516&amp;"-"&amp;E516&amp;"-"&amp;F516&amp;"-Pos2",'Shooter-Squad Assignment'!$K:$K,0)),""),IF(F516="Trap",IFERROR(INDEX('Shooter-Squad Assignment'!$A:$A,MATCH(C516&amp;"-"&amp;E516&amp;"-"&amp;F516&amp;"-Pos2",'Shooter-Squad Assignment'!$W:$W,0)),""),IF(F516="Sporting Clays",IFERROR(INDEX('Shooter-Squad Assignment'!$A:$A,MATCH(C516&amp;"-"&amp;E516&amp;"-"&amp;F516&amp;"-Pos2",'Shooter-Squad Assignment'!$Z:$Z,0)),""),"")))</f>
        <v/>
      </c>
      <c r="J516" s="88" t="str">
        <f>IF(ISBLANK(I516),"",IFERROR(INDEX('Tournament List'!$D:$D,MATCH(I516,'Tournament List'!$A:$A,0)),""))</f>
        <v/>
      </c>
      <c r="K516" s="96" t="str">
        <f>IF(F516="Skeet",IFERROR(INDEX('Shooter-Squad Assignment'!$A:$A,MATCH(C516&amp;"-"&amp;E516&amp;"-"&amp;F516&amp;"-Pos3",'Shooter-Squad Assignment'!$K:$K,0)),""),IF(F516="Trap",IFERROR(INDEX('Shooter-Squad Assignment'!$A:$A,MATCH(C516&amp;"-"&amp;E516&amp;"-"&amp;F516&amp;"-Pos3",'Shooter-Squad Assignment'!$W:$W,0)),""),IF(F516="Sporting Clays",IFERROR(INDEX('Shooter-Squad Assignment'!$A:$A,MATCH(C516&amp;"-"&amp;E516&amp;"-"&amp;F516&amp;"-Pos3",'Shooter-Squad Assignment'!$Z:$Z,0)),""),"")))</f>
        <v/>
      </c>
      <c r="L516" s="88" t="str">
        <f>IF(ISBLANK(K516),"",IFERROR(INDEX('Tournament List'!$D:$D,MATCH(K516,'Tournament List'!$A:$A,0)),""))</f>
        <v/>
      </c>
      <c r="M516" s="96" t="str">
        <f>IF(F516="Skeet",IFERROR(INDEX('Shooter-Squad Assignment'!$A:$A,MATCH(C516&amp;"-"&amp;E516&amp;"-"&amp;F516&amp;"-Pos4",'Shooter-Squad Assignment'!$K:$K,0)),""),IF(F516="Trap",IFERROR(INDEX('Shooter-Squad Assignment'!$A:$A,MATCH(C516&amp;"-"&amp;E516&amp;"-"&amp;F516&amp;"-Pos4",'Shooter-Squad Assignment'!$W:$W,0)),""),IF(F516="Sporting Clays",IFERROR(INDEX('Shooter-Squad Assignment'!$A:$A,MATCH(C516&amp;"-"&amp;E516&amp;"-"&amp;F516&amp;"-Pos4",'Shooter-Squad Assignment'!$Z:$Z,0)),""),"")))</f>
        <v/>
      </c>
      <c r="N516" s="88" t="str">
        <f>IF(ISBLANK(M516),"",IFERROR(INDEX('Tournament List'!$D:$D,MATCH(M516,'Tournament List'!$A:$A,0)),""))</f>
        <v/>
      </c>
      <c r="O516" s="96" t="str">
        <f>IF(F516="Skeet",IFERROR(INDEX('Shooter-Squad Assignment'!$A:$A,MATCH(C516&amp;"-"&amp;E516&amp;"-"&amp;F516&amp;"-Pos5",'Shooter-Squad Assignment'!$K:$K,0)),""),IF(F516="Trap",IFERROR(INDEX('Shooter-Squad Assignment'!$A:$A,MATCH(C516&amp;"-"&amp;E516&amp;"-"&amp;F516&amp;"-Pos5",'Shooter-Squad Assignment'!$W:$W,0)),""),IF(F516="Sporting Clays",IFERROR(INDEX('Shooter-Squad Assignment'!$A:$A,MATCH(C516&amp;"-"&amp;E516&amp;"-"&amp;F516&amp;"-Pos5",'Shooter-Squad Assignment'!$Z:$Z,0)),""),"")))</f>
        <v/>
      </c>
      <c r="P516" s="89" t="str">
        <f>IF(ISBLANK(O516),"",IFERROR(INDEX('Tournament List'!$D:$D,MATCH(O516,'Tournament List'!$A:$A,0)),""))</f>
        <v/>
      </c>
    </row>
    <row r="517" spans="1:16" x14ac:dyDescent="0.3">
      <c r="A517" s="87">
        <v>516</v>
      </c>
      <c r="B517" s="88" t="str">
        <f>C517&amp;"-"&amp;E517&amp;"-"&amp;F517</f>
        <v>-Collegiate 3-Skeet</v>
      </c>
      <c r="C517" s="88"/>
      <c r="D517" s="88" t="str">
        <f>INDEX('Tournament Setup'!$B$59:$B$78,MATCH(E517,SquadConcurrents,0))</f>
        <v>Collegiate</v>
      </c>
      <c r="E517" s="88" t="s">
        <v>354</v>
      </c>
      <c r="F517" s="88" t="s">
        <v>143</v>
      </c>
      <c r="G517" s="96" t="str">
        <f>IF(F517="Skeet",IFERROR(INDEX('Shooter-Squad Assignment'!$A:$A,MATCH(C517&amp;"-"&amp;E517&amp;"-"&amp;F517&amp;"-Pos1",'Shooter-Squad Assignment'!$K:$K,0)),""),IF(F517="Trap",IFERROR(INDEX('Shooter-Squad Assignment'!$A:$A,MATCH(C517&amp;"-"&amp;E517&amp;"-"&amp;F517&amp;"-Pos1",'Shooter-Squad Assignment'!$W:$W,0)),""),IF(F517="Sporting Clays",IFERROR(INDEX('Shooter-Squad Assignment'!$A:$A,MATCH(C517&amp;"-"&amp;E517&amp;"-"&amp;F517&amp;"-Pos1",'Shooter-Squad Assignment'!$Z:$Z,0)),""),"")))</f>
        <v/>
      </c>
      <c r="H517" s="88" t="str">
        <f>IF(ISBLANK(G517),"",IFERROR(INDEX('Tournament List'!$D:$D,MATCH(G517,'Tournament List'!$A:$A,0)),""))</f>
        <v/>
      </c>
      <c r="I517" s="96" t="str">
        <f>IF(F517="Skeet",IFERROR(INDEX('Shooter-Squad Assignment'!$A:$A,MATCH(C517&amp;"-"&amp;E517&amp;"-"&amp;F517&amp;"-Pos2",'Shooter-Squad Assignment'!$K:$K,0)),""),IF(F517="Trap",IFERROR(INDEX('Shooter-Squad Assignment'!$A:$A,MATCH(C517&amp;"-"&amp;E517&amp;"-"&amp;F517&amp;"-Pos2",'Shooter-Squad Assignment'!$W:$W,0)),""),IF(F517="Sporting Clays",IFERROR(INDEX('Shooter-Squad Assignment'!$A:$A,MATCH(C517&amp;"-"&amp;E517&amp;"-"&amp;F517&amp;"-Pos2",'Shooter-Squad Assignment'!$Z:$Z,0)),""),"")))</f>
        <v/>
      </c>
      <c r="J517" s="88" t="str">
        <f>IF(ISBLANK(I517),"",IFERROR(INDEX('Tournament List'!$D:$D,MATCH(I517,'Tournament List'!$A:$A,0)),""))</f>
        <v/>
      </c>
      <c r="K517" s="96" t="str">
        <f>IF(F517="Skeet",IFERROR(INDEX('Shooter-Squad Assignment'!$A:$A,MATCH(C517&amp;"-"&amp;E517&amp;"-"&amp;F517&amp;"-Pos3",'Shooter-Squad Assignment'!$K:$K,0)),""),IF(F517="Trap",IFERROR(INDEX('Shooter-Squad Assignment'!$A:$A,MATCH(C517&amp;"-"&amp;E517&amp;"-"&amp;F517&amp;"-Pos3",'Shooter-Squad Assignment'!$W:$W,0)),""),IF(F517="Sporting Clays",IFERROR(INDEX('Shooter-Squad Assignment'!$A:$A,MATCH(C517&amp;"-"&amp;E517&amp;"-"&amp;F517&amp;"-Pos3",'Shooter-Squad Assignment'!$Z:$Z,0)),""),"")))</f>
        <v/>
      </c>
      <c r="L517" s="88" t="str">
        <f>IF(ISBLANK(K517),"",IFERROR(INDEX('Tournament List'!$D:$D,MATCH(K517,'Tournament List'!$A:$A,0)),""))</f>
        <v/>
      </c>
      <c r="M517" s="96" t="str">
        <f>IF(F517="Skeet",IFERROR(INDEX('Shooter-Squad Assignment'!$A:$A,MATCH(C517&amp;"-"&amp;E517&amp;"-"&amp;F517&amp;"-Pos4",'Shooter-Squad Assignment'!$K:$K,0)),""),IF(F517="Trap",IFERROR(INDEX('Shooter-Squad Assignment'!$A:$A,MATCH(C517&amp;"-"&amp;E517&amp;"-"&amp;F517&amp;"-Pos4",'Shooter-Squad Assignment'!$W:$W,0)),""),IF(F517="Sporting Clays",IFERROR(INDEX('Shooter-Squad Assignment'!$A:$A,MATCH(C517&amp;"-"&amp;E517&amp;"-"&amp;F517&amp;"-Pos4",'Shooter-Squad Assignment'!$Z:$Z,0)),""),"")))</f>
        <v/>
      </c>
      <c r="N517" s="88" t="str">
        <f>IF(ISBLANK(M517),"",IFERROR(INDEX('Tournament List'!$D:$D,MATCH(M517,'Tournament List'!$A:$A,0)),""))</f>
        <v/>
      </c>
      <c r="O517" s="96" t="str">
        <f>IF(F517="Skeet",IFERROR(INDEX('Shooter-Squad Assignment'!$A:$A,MATCH(C517&amp;"-"&amp;E517&amp;"-"&amp;F517&amp;"-Pos5",'Shooter-Squad Assignment'!$K:$K,0)),""),IF(F517="Trap",IFERROR(INDEX('Shooter-Squad Assignment'!$A:$A,MATCH(C517&amp;"-"&amp;E517&amp;"-"&amp;F517&amp;"-Pos5",'Shooter-Squad Assignment'!$W:$W,0)),""),IF(F517="Sporting Clays",IFERROR(INDEX('Shooter-Squad Assignment'!$A:$A,MATCH(C517&amp;"-"&amp;E517&amp;"-"&amp;F517&amp;"-Pos5",'Shooter-Squad Assignment'!$Z:$Z,0)),""),"")))</f>
        <v/>
      </c>
      <c r="P517" s="89" t="str">
        <f>IF(ISBLANK(O517),"",IFERROR(INDEX('Tournament List'!$D:$D,MATCH(O517,'Tournament List'!$A:$A,0)),""))</f>
        <v/>
      </c>
    </row>
    <row r="518" spans="1:16" x14ac:dyDescent="0.3">
      <c r="A518" s="87">
        <v>517</v>
      </c>
      <c r="B518" s="88" t="str">
        <f>C518&amp;"-"&amp;E518&amp;"-"&amp;F518</f>
        <v>-Intermediate 1-Skeet</v>
      </c>
      <c r="C518" s="88"/>
      <c r="D518" s="88" t="str">
        <f>INDEX('Tournament Setup'!$B$59:$B$78,MATCH(E518,SquadConcurrents,0))</f>
        <v>Intermediate</v>
      </c>
      <c r="E518" s="88" t="s">
        <v>338</v>
      </c>
      <c r="F518" s="88" t="s">
        <v>143</v>
      </c>
      <c r="G518" s="96" t="str">
        <f>IF(F518="Skeet",IFERROR(INDEX('Shooter-Squad Assignment'!$A:$A,MATCH(C518&amp;"-"&amp;E518&amp;"-"&amp;F518&amp;"-Pos1",'Shooter-Squad Assignment'!$K:$K,0)),""),IF(F518="Trap",IFERROR(INDEX('Shooter-Squad Assignment'!$A:$A,MATCH(C518&amp;"-"&amp;E518&amp;"-"&amp;F518&amp;"-Pos1",'Shooter-Squad Assignment'!$W:$W,0)),""),IF(F518="Sporting Clays",IFERROR(INDEX('Shooter-Squad Assignment'!$A:$A,MATCH(C518&amp;"-"&amp;E518&amp;"-"&amp;F518&amp;"-Pos1",'Shooter-Squad Assignment'!$Z:$Z,0)),""),"")))</f>
        <v/>
      </c>
      <c r="H518" s="88" t="str">
        <f>IF(ISBLANK(G518),"",IFERROR(INDEX('Tournament List'!$D:$D,MATCH(G518,'Tournament List'!$A:$A,0)),""))</f>
        <v/>
      </c>
      <c r="I518" s="96" t="str">
        <f>IF(F518="Skeet",IFERROR(INDEX('Shooter-Squad Assignment'!$A:$A,MATCH(C518&amp;"-"&amp;E518&amp;"-"&amp;F518&amp;"-Pos2",'Shooter-Squad Assignment'!$K:$K,0)),""),IF(F518="Trap",IFERROR(INDEX('Shooter-Squad Assignment'!$A:$A,MATCH(C518&amp;"-"&amp;E518&amp;"-"&amp;F518&amp;"-Pos2",'Shooter-Squad Assignment'!$W:$W,0)),""),IF(F518="Sporting Clays",IFERROR(INDEX('Shooter-Squad Assignment'!$A:$A,MATCH(C518&amp;"-"&amp;E518&amp;"-"&amp;F518&amp;"-Pos2",'Shooter-Squad Assignment'!$Z:$Z,0)),""),"")))</f>
        <v/>
      </c>
      <c r="J518" s="88" t="str">
        <f>IF(ISBLANK(I518),"",IFERROR(INDEX('Tournament List'!$D:$D,MATCH(I518,'Tournament List'!$A:$A,0)),""))</f>
        <v/>
      </c>
      <c r="K518" s="96" t="str">
        <f>IF(F518="Skeet",IFERROR(INDEX('Shooter-Squad Assignment'!$A:$A,MATCH(C518&amp;"-"&amp;E518&amp;"-"&amp;F518&amp;"-Pos3",'Shooter-Squad Assignment'!$K:$K,0)),""),IF(F518="Trap",IFERROR(INDEX('Shooter-Squad Assignment'!$A:$A,MATCH(C518&amp;"-"&amp;E518&amp;"-"&amp;F518&amp;"-Pos3",'Shooter-Squad Assignment'!$W:$W,0)),""),IF(F518="Sporting Clays",IFERROR(INDEX('Shooter-Squad Assignment'!$A:$A,MATCH(C518&amp;"-"&amp;E518&amp;"-"&amp;F518&amp;"-Pos3",'Shooter-Squad Assignment'!$Z:$Z,0)),""),"")))</f>
        <v/>
      </c>
      <c r="L518" s="88" t="str">
        <f>IF(ISBLANK(K518),"",IFERROR(INDEX('Tournament List'!$D:$D,MATCH(K518,'Tournament List'!$A:$A,0)),""))</f>
        <v/>
      </c>
      <c r="M518" s="96" t="str">
        <f>IF(F518="Skeet",IFERROR(INDEX('Shooter-Squad Assignment'!$A:$A,MATCH(C518&amp;"-"&amp;E518&amp;"-"&amp;F518&amp;"-Pos4",'Shooter-Squad Assignment'!$K:$K,0)),""),IF(F518="Trap",IFERROR(INDEX('Shooter-Squad Assignment'!$A:$A,MATCH(C518&amp;"-"&amp;E518&amp;"-"&amp;F518&amp;"-Pos4",'Shooter-Squad Assignment'!$W:$W,0)),""),IF(F518="Sporting Clays",IFERROR(INDEX('Shooter-Squad Assignment'!$A:$A,MATCH(C518&amp;"-"&amp;E518&amp;"-"&amp;F518&amp;"-Pos4",'Shooter-Squad Assignment'!$Z:$Z,0)),""),"")))</f>
        <v/>
      </c>
      <c r="N518" s="88" t="str">
        <f>IF(ISBLANK(M518),"",IFERROR(INDEX('Tournament List'!$D:$D,MATCH(M518,'Tournament List'!$A:$A,0)),""))</f>
        <v/>
      </c>
      <c r="O518" s="96" t="str">
        <f>IF(F518="Skeet",IFERROR(INDEX('Shooter-Squad Assignment'!$A:$A,MATCH(C518&amp;"-"&amp;E518&amp;"-"&amp;F518&amp;"-Pos5",'Shooter-Squad Assignment'!$K:$K,0)),""),IF(F518="Trap",IFERROR(INDEX('Shooter-Squad Assignment'!$A:$A,MATCH(C518&amp;"-"&amp;E518&amp;"-"&amp;F518&amp;"-Pos5",'Shooter-Squad Assignment'!$W:$W,0)),""),IF(F518="Sporting Clays",IFERROR(INDEX('Shooter-Squad Assignment'!$A:$A,MATCH(C518&amp;"-"&amp;E518&amp;"-"&amp;F518&amp;"-Pos5",'Shooter-Squad Assignment'!$Z:$Z,0)),""),"")))</f>
        <v/>
      </c>
      <c r="P518" s="89" t="str">
        <f>IF(ISBLANK(O518),"",IFERROR(INDEX('Tournament List'!$D:$D,MATCH(O518,'Tournament List'!$A:$A,0)),""))</f>
        <v/>
      </c>
    </row>
    <row r="519" spans="1:16" x14ac:dyDescent="0.3">
      <c r="A519" s="87">
        <v>518</v>
      </c>
      <c r="B519" s="88" t="str">
        <f>C519&amp;"-"&amp;E519&amp;"-"&amp;F519</f>
        <v>-Intermediate 2-Skeet</v>
      </c>
      <c r="C519" s="88"/>
      <c r="D519" s="88" t="str">
        <f>INDEX('Tournament Setup'!$B$59:$B$78,MATCH(E519,SquadConcurrents,0))</f>
        <v>Intermediate</v>
      </c>
      <c r="E519" s="88" t="s">
        <v>344</v>
      </c>
      <c r="F519" s="88" t="s">
        <v>143</v>
      </c>
      <c r="G519" s="96" t="str">
        <f>IF(F519="Skeet",IFERROR(INDEX('Shooter-Squad Assignment'!$A:$A,MATCH(C519&amp;"-"&amp;E519&amp;"-"&amp;F519&amp;"-Pos1",'Shooter-Squad Assignment'!$K:$K,0)),""),IF(F519="Trap",IFERROR(INDEX('Shooter-Squad Assignment'!$A:$A,MATCH(C519&amp;"-"&amp;E519&amp;"-"&amp;F519&amp;"-Pos1",'Shooter-Squad Assignment'!$W:$W,0)),""),IF(F519="Sporting Clays",IFERROR(INDEX('Shooter-Squad Assignment'!$A:$A,MATCH(C519&amp;"-"&amp;E519&amp;"-"&amp;F519&amp;"-Pos1",'Shooter-Squad Assignment'!$Z:$Z,0)),""),"")))</f>
        <v/>
      </c>
      <c r="H519" s="88" t="str">
        <f>IF(ISBLANK(G519),"",IFERROR(INDEX('Tournament List'!$D:$D,MATCH(G519,'Tournament List'!$A:$A,0)),""))</f>
        <v/>
      </c>
      <c r="I519" s="96" t="str">
        <f>IF(F519="Skeet",IFERROR(INDEX('Shooter-Squad Assignment'!$A:$A,MATCH(C519&amp;"-"&amp;E519&amp;"-"&amp;F519&amp;"-Pos2",'Shooter-Squad Assignment'!$K:$K,0)),""),IF(F519="Trap",IFERROR(INDEX('Shooter-Squad Assignment'!$A:$A,MATCH(C519&amp;"-"&amp;E519&amp;"-"&amp;F519&amp;"-Pos2",'Shooter-Squad Assignment'!$W:$W,0)),""),IF(F519="Sporting Clays",IFERROR(INDEX('Shooter-Squad Assignment'!$A:$A,MATCH(C519&amp;"-"&amp;E519&amp;"-"&amp;F519&amp;"-Pos2",'Shooter-Squad Assignment'!$Z:$Z,0)),""),"")))</f>
        <v/>
      </c>
      <c r="J519" s="88" t="str">
        <f>IF(ISBLANK(I519),"",IFERROR(INDEX('Tournament List'!$D:$D,MATCH(I519,'Tournament List'!$A:$A,0)),""))</f>
        <v/>
      </c>
      <c r="K519" s="96" t="str">
        <f>IF(F519="Skeet",IFERROR(INDEX('Shooter-Squad Assignment'!$A:$A,MATCH(C519&amp;"-"&amp;E519&amp;"-"&amp;F519&amp;"-Pos3",'Shooter-Squad Assignment'!$K:$K,0)),""),IF(F519="Trap",IFERROR(INDEX('Shooter-Squad Assignment'!$A:$A,MATCH(C519&amp;"-"&amp;E519&amp;"-"&amp;F519&amp;"-Pos3",'Shooter-Squad Assignment'!$W:$W,0)),""),IF(F519="Sporting Clays",IFERROR(INDEX('Shooter-Squad Assignment'!$A:$A,MATCH(C519&amp;"-"&amp;E519&amp;"-"&amp;F519&amp;"-Pos3",'Shooter-Squad Assignment'!$Z:$Z,0)),""),"")))</f>
        <v/>
      </c>
      <c r="L519" s="88" t="str">
        <f>IF(ISBLANK(K519),"",IFERROR(INDEX('Tournament List'!$D:$D,MATCH(K519,'Tournament List'!$A:$A,0)),""))</f>
        <v/>
      </c>
      <c r="M519" s="96" t="str">
        <f>IF(F519="Skeet",IFERROR(INDEX('Shooter-Squad Assignment'!$A:$A,MATCH(C519&amp;"-"&amp;E519&amp;"-"&amp;F519&amp;"-Pos4",'Shooter-Squad Assignment'!$K:$K,0)),""),IF(F519="Trap",IFERROR(INDEX('Shooter-Squad Assignment'!$A:$A,MATCH(C519&amp;"-"&amp;E519&amp;"-"&amp;F519&amp;"-Pos4",'Shooter-Squad Assignment'!$W:$W,0)),""),IF(F519="Sporting Clays",IFERROR(INDEX('Shooter-Squad Assignment'!$A:$A,MATCH(C519&amp;"-"&amp;E519&amp;"-"&amp;F519&amp;"-Pos4",'Shooter-Squad Assignment'!$Z:$Z,0)),""),"")))</f>
        <v/>
      </c>
      <c r="N519" s="88" t="str">
        <f>IF(ISBLANK(M519),"",IFERROR(INDEX('Tournament List'!$D:$D,MATCH(M519,'Tournament List'!$A:$A,0)),""))</f>
        <v/>
      </c>
      <c r="O519" s="96" t="str">
        <f>IF(F519="Skeet",IFERROR(INDEX('Shooter-Squad Assignment'!$A:$A,MATCH(C519&amp;"-"&amp;E519&amp;"-"&amp;F519&amp;"-Pos5",'Shooter-Squad Assignment'!$K:$K,0)),""),IF(F519="Trap",IFERROR(INDEX('Shooter-Squad Assignment'!$A:$A,MATCH(C519&amp;"-"&amp;E519&amp;"-"&amp;F519&amp;"-Pos5",'Shooter-Squad Assignment'!$W:$W,0)),""),IF(F519="Sporting Clays",IFERROR(INDEX('Shooter-Squad Assignment'!$A:$A,MATCH(C519&amp;"-"&amp;E519&amp;"-"&amp;F519&amp;"-Pos5",'Shooter-Squad Assignment'!$Z:$Z,0)),""),"")))</f>
        <v/>
      </c>
      <c r="P519" s="89" t="str">
        <f>IF(ISBLANK(O519),"",IFERROR(INDEX('Tournament List'!$D:$D,MATCH(O519,'Tournament List'!$A:$A,0)),""))</f>
        <v/>
      </c>
    </row>
    <row r="520" spans="1:16" x14ac:dyDescent="0.3">
      <c r="A520" s="87">
        <v>519</v>
      </c>
      <c r="B520" s="88" t="str">
        <f>C520&amp;"-"&amp;E520&amp;"-"&amp;F520</f>
        <v>-Intermediate 3-Skeet</v>
      </c>
      <c r="C520" s="88"/>
      <c r="D520" s="88" t="str">
        <f>INDEX('Tournament Setup'!$B$59:$B$78,MATCH(E520,SquadConcurrents,0))</f>
        <v>Intermediate</v>
      </c>
      <c r="E520" s="88" t="s">
        <v>350</v>
      </c>
      <c r="F520" s="88" t="s">
        <v>143</v>
      </c>
      <c r="G520" s="96" t="str">
        <f>IF(F520="Skeet",IFERROR(INDEX('Shooter-Squad Assignment'!$A:$A,MATCH(C520&amp;"-"&amp;E520&amp;"-"&amp;F520&amp;"-Pos1",'Shooter-Squad Assignment'!$K:$K,0)),""),IF(F520="Trap",IFERROR(INDEX('Shooter-Squad Assignment'!$A:$A,MATCH(C520&amp;"-"&amp;E520&amp;"-"&amp;F520&amp;"-Pos1",'Shooter-Squad Assignment'!$W:$W,0)),""),IF(F520="Sporting Clays",IFERROR(INDEX('Shooter-Squad Assignment'!$A:$A,MATCH(C520&amp;"-"&amp;E520&amp;"-"&amp;F520&amp;"-Pos1",'Shooter-Squad Assignment'!$Z:$Z,0)),""),"")))</f>
        <v/>
      </c>
      <c r="H520" s="88" t="str">
        <f>IF(ISBLANK(G520),"",IFERROR(INDEX('Tournament List'!$D:$D,MATCH(G520,'Tournament List'!$A:$A,0)),""))</f>
        <v/>
      </c>
      <c r="I520" s="96" t="str">
        <f>IF(F520="Skeet",IFERROR(INDEX('Shooter-Squad Assignment'!$A:$A,MATCH(C520&amp;"-"&amp;E520&amp;"-"&amp;F520&amp;"-Pos2",'Shooter-Squad Assignment'!$K:$K,0)),""),IF(F520="Trap",IFERROR(INDEX('Shooter-Squad Assignment'!$A:$A,MATCH(C520&amp;"-"&amp;E520&amp;"-"&amp;F520&amp;"-Pos2",'Shooter-Squad Assignment'!$W:$W,0)),""),IF(F520="Sporting Clays",IFERROR(INDEX('Shooter-Squad Assignment'!$A:$A,MATCH(C520&amp;"-"&amp;E520&amp;"-"&amp;F520&amp;"-Pos2",'Shooter-Squad Assignment'!$Z:$Z,0)),""),"")))</f>
        <v/>
      </c>
      <c r="J520" s="88" t="str">
        <f>IF(ISBLANK(I520),"",IFERROR(INDEX('Tournament List'!$D:$D,MATCH(I520,'Tournament List'!$A:$A,0)),""))</f>
        <v/>
      </c>
      <c r="K520" s="96" t="str">
        <f>IF(F520="Skeet",IFERROR(INDEX('Shooter-Squad Assignment'!$A:$A,MATCH(C520&amp;"-"&amp;E520&amp;"-"&amp;F520&amp;"-Pos3",'Shooter-Squad Assignment'!$K:$K,0)),""),IF(F520="Trap",IFERROR(INDEX('Shooter-Squad Assignment'!$A:$A,MATCH(C520&amp;"-"&amp;E520&amp;"-"&amp;F520&amp;"-Pos3",'Shooter-Squad Assignment'!$W:$W,0)),""),IF(F520="Sporting Clays",IFERROR(INDEX('Shooter-Squad Assignment'!$A:$A,MATCH(C520&amp;"-"&amp;E520&amp;"-"&amp;F520&amp;"-Pos3",'Shooter-Squad Assignment'!$Z:$Z,0)),""),"")))</f>
        <v/>
      </c>
      <c r="L520" s="88" t="str">
        <f>IF(ISBLANK(K520),"",IFERROR(INDEX('Tournament List'!$D:$D,MATCH(K520,'Tournament List'!$A:$A,0)),""))</f>
        <v/>
      </c>
      <c r="M520" s="96" t="str">
        <f>IF(F520="Skeet",IFERROR(INDEX('Shooter-Squad Assignment'!$A:$A,MATCH(C520&amp;"-"&amp;E520&amp;"-"&amp;F520&amp;"-Pos4",'Shooter-Squad Assignment'!$K:$K,0)),""),IF(F520="Trap",IFERROR(INDEX('Shooter-Squad Assignment'!$A:$A,MATCH(C520&amp;"-"&amp;E520&amp;"-"&amp;F520&amp;"-Pos4",'Shooter-Squad Assignment'!$W:$W,0)),""),IF(F520="Sporting Clays",IFERROR(INDEX('Shooter-Squad Assignment'!$A:$A,MATCH(C520&amp;"-"&amp;E520&amp;"-"&amp;F520&amp;"-Pos4",'Shooter-Squad Assignment'!$Z:$Z,0)),""),"")))</f>
        <v/>
      </c>
      <c r="N520" s="88" t="str">
        <f>IF(ISBLANK(M520),"",IFERROR(INDEX('Tournament List'!$D:$D,MATCH(M520,'Tournament List'!$A:$A,0)),""))</f>
        <v/>
      </c>
      <c r="O520" s="96" t="str">
        <f>IF(F520="Skeet",IFERROR(INDEX('Shooter-Squad Assignment'!$A:$A,MATCH(C520&amp;"-"&amp;E520&amp;"-"&amp;F520&amp;"-Pos5",'Shooter-Squad Assignment'!$K:$K,0)),""),IF(F520="Trap",IFERROR(INDEX('Shooter-Squad Assignment'!$A:$A,MATCH(C520&amp;"-"&amp;E520&amp;"-"&amp;F520&amp;"-Pos5",'Shooter-Squad Assignment'!$W:$W,0)),""),IF(F520="Sporting Clays",IFERROR(INDEX('Shooter-Squad Assignment'!$A:$A,MATCH(C520&amp;"-"&amp;E520&amp;"-"&amp;F520&amp;"-Pos5",'Shooter-Squad Assignment'!$Z:$Z,0)),""),"")))</f>
        <v/>
      </c>
      <c r="P520" s="89" t="str">
        <f>IF(ISBLANK(O520),"",IFERROR(INDEX('Tournament List'!$D:$D,MATCH(O520,'Tournament List'!$A:$A,0)),""))</f>
        <v/>
      </c>
    </row>
    <row r="521" spans="1:16" x14ac:dyDescent="0.3">
      <c r="A521" s="87">
        <v>520</v>
      </c>
      <c r="B521" s="88" t="str">
        <f>C521&amp;"-"&amp;E521&amp;"-"&amp;F521</f>
        <v>-Junior Varsity 1-Skeet</v>
      </c>
      <c r="C521" s="88"/>
      <c r="D521" s="88" t="str">
        <f>INDEX('Tournament Setup'!$B$59:$B$78,MATCH(E521,SquadConcurrents,0))</f>
        <v>Junior Varsity</v>
      </c>
      <c r="E521" s="88" t="s">
        <v>339</v>
      </c>
      <c r="F521" s="88" t="s">
        <v>143</v>
      </c>
      <c r="G521" s="96" t="str">
        <f>IF(F521="Skeet",IFERROR(INDEX('Shooter-Squad Assignment'!$A:$A,MATCH(C521&amp;"-"&amp;E521&amp;"-"&amp;F521&amp;"-Pos1",'Shooter-Squad Assignment'!$K:$K,0)),""),IF(F521="Trap",IFERROR(INDEX('Shooter-Squad Assignment'!$A:$A,MATCH(C521&amp;"-"&amp;E521&amp;"-"&amp;F521&amp;"-Pos1",'Shooter-Squad Assignment'!$W:$W,0)),""),IF(F521="Sporting Clays",IFERROR(INDEX('Shooter-Squad Assignment'!$A:$A,MATCH(C521&amp;"-"&amp;E521&amp;"-"&amp;F521&amp;"-Pos1",'Shooter-Squad Assignment'!$Z:$Z,0)),""),"")))</f>
        <v/>
      </c>
      <c r="H521" s="88" t="str">
        <f>IF(ISBLANK(G521),"",IFERROR(INDEX('Tournament List'!$D:$D,MATCH(G521,'Tournament List'!$A:$A,0)),""))</f>
        <v/>
      </c>
      <c r="I521" s="96" t="str">
        <f>IF(F521="Skeet",IFERROR(INDEX('Shooter-Squad Assignment'!$A:$A,MATCH(C521&amp;"-"&amp;E521&amp;"-"&amp;F521&amp;"-Pos2",'Shooter-Squad Assignment'!$K:$K,0)),""),IF(F521="Trap",IFERROR(INDEX('Shooter-Squad Assignment'!$A:$A,MATCH(C521&amp;"-"&amp;E521&amp;"-"&amp;F521&amp;"-Pos2",'Shooter-Squad Assignment'!$W:$W,0)),""),IF(F521="Sporting Clays",IFERROR(INDEX('Shooter-Squad Assignment'!$A:$A,MATCH(C521&amp;"-"&amp;E521&amp;"-"&amp;F521&amp;"-Pos2",'Shooter-Squad Assignment'!$Z:$Z,0)),""),"")))</f>
        <v/>
      </c>
      <c r="J521" s="88" t="str">
        <f>IF(ISBLANK(I521),"",IFERROR(INDEX('Tournament List'!$D:$D,MATCH(I521,'Tournament List'!$A:$A,0)),""))</f>
        <v/>
      </c>
      <c r="K521" s="96" t="str">
        <f>IF(F521="Skeet",IFERROR(INDEX('Shooter-Squad Assignment'!$A:$A,MATCH(C521&amp;"-"&amp;E521&amp;"-"&amp;F521&amp;"-Pos3",'Shooter-Squad Assignment'!$K:$K,0)),""),IF(F521="Trap",IFERROR(INDEX('Shooter-Squad Assignment'!$A:$A,MATCH(C521&amp;"-"&amp;E521&amp;"-"&amp;F521&amp;"-Pos3",'Shooter-Squad Assignment'!$W:$W,0)),""),IF(F521="Sporting Clays",IFERROR(INDEX('Shooter-Squad Assignment'!$A:$A,MATCH(C521&amp;"-"&amp;E521&amp;"-"&amp;F521&amp;"-Pos3",'Shooter-Squad Assignment'!$Z:$Z,0)),""),"")))</f>
        <v/>
      </c>
      <c r="L521" s="88" t="str">
        <f>IF(ISBLANK(K521),"",IFERROR(INDEX('Tournament List'!$D:$D,MATCH(K521,'Tournament List'!$A:$A,0)),""))</f>
        <v/>
      </c>
      <c r="M521" s="96" t="str">
        <f>IF(F521="Skeet",IFERROR(INDEX('Shooter-Squad Assignment'!$A:$A,MATCH(C521&amp;"-"&amp;E521&amp;"-"&amp;F521&amp;"-Pos4",'Shooter-Squad Assignment'!$K:$K,0)),""),IF(F521="Trap",IFERROR(INDEX('Shooter-Squad Assignment'!$A:$A,MATCH(C521&amp;"-"&amp;E521&amp;"-"&amp;F521&amp;"-Pos4",'Shooter-Squad Assignment'!$W:$W,0)),""),IF(F521="Sporting Clays",IFERROR(INDEX('Shooter-Squad Assignment'!$A:$A,MATCH(C521&amp;"-"&amp;E521&amp;"-"&amp;F521&amp;"-Pos4",'Shooter-Squad Assignment'!$Z:$Z,0)),""),"")))</f>
        <v/>
      </c>
      <c r="N521" s="88" t="str">
        <f>IF(ISBLANK(M521),"",IFERROR(INDEX('Tournament List'!$D:$D,MATCH(M521,'Tournament List'!$A:$A,0)),""))</f>
        <v/>
      </c>
      <c r="O521" s="96" t="str">
        <f>IF(F521="Skeet",IFERROR(INDEX('Shooter-Squad Assignment'!$A:$A,MATCH(C521&amp;"-"&amp;E521&amp;"-"&amp;F521&amp;"-Pos5",'Shooter-Squad Assignment'!$K:$K,0)),""),IF(F521="Trap",IFERROR(INDEX('Shooter-Squad Assignment'!$A:$A,MATCH(C521&amp;"-"&amp;E521&amp;"-"&amp;F521&amp;"-Pos5",'Shooter-Squad Assignment'!$W:$W,0)),""),IF(F521="Sporting Clays",IFERROR(INDEX('Shooter-Squad Assignment'!$A:$A,MATCH(C521&amp;"-"&amp;E521&amp;"-"&amp;F521&amp;"-Pos5",'Shooter-Squad Assignment'!$Z:$Z,0)),""),"")))</f>
        <v/>
      </c>
      <c r="P521" s="89" t="str">
        <f>IF(ISBLANK(O521),"",IFERROR(INDEX('Tournament List'!$D:$D,MATCH(O521,'Tournament List'!$A:$A,0)),""))</f>
        <v/>
      </c>
    </row>
    <row r="522" spans="1:16" x14ac:dyDescent="0.3">
      <c r="A522" s="87">
        <v>521</v>
      </c>
      <c r="B522" s="88" t="str">
        <f>C522&amp;"-"&amp;E522&amp;"-"&amp;F522</f>
        <v>-Junior Varsity 2-Skeet</v>
      </c>
      <c r="C522" s="88"/>
      <c r="D522" s="88" t="str">
        <f>INDEX('Tournament Setup'!$B$59:$B$78,MATCH(E522,SquadConcurrents,0))</f>
        <v>Junior Varsity</v>
      </c>
      <c r="E522" s="88" t="s">
        <v>345</v>
      </c>
      <c r="F522" s="88" t="s">
        <v>143</v>
      </c>
      <c r="G522" s="96" t="str">
        <f>IF(F522="Skeet",IFERROR(INDEX('Shooter-Squad Assignment'!$A:$A,MATCH(C522&amp;"-"&amp;E522&amp;"-"&amp;F522&amp;"-Pos1",'Shooter-Squad Assignment'!$K:$K,0)),""),IF(F522="Trap",IFERROR(INDEX('Shooter-Squad Assignment'!$A:$A,MATCH(C522&amp;"-"&amp;E522&amp;"-"&amp;F522&amp;"-Pos1",'Shooter-Squad Assignment'!$W:$W,0)),""),IF(F522="Sporting Clays",IFERROR(INDEX('Shooter-Squad Assignment'!$A:$A,MATCH(C522&amp;"-"&amp;E522&amp;"-"&amp;F522&amp;"-Pos1",'Shooter-Squad Assignment'!$Z:$Z,0)),""),"")))</f>
        <v/>
      </c>
      <c r="H522" s="88" t="str">
        <f>IF(ISBLANK(G522),"",IFERROR(INDEX('Tournament List'!$D:$D,MATCH(G522,'Tournament List'!$A:$A,0)),""))</f>
        <v/>
      </c>
      <c r="I522" s="96" t="str">
        <f>IF(F522="Skeet",IFERROR(INDEX('Shooter-Squad Assignment'!$A:$A,MATCH(C522&amp;"-"&amp;E522&amp;"-"&amp;F522&amp;"-Pos2",'Shooter-Squad Assignment'!$K:$K,0)),""),IF(F522="Trap",IFERROR(INDEX('Shooter-Squad Assignment'!$A:$A,MATCH(C522&amp;"-"&amp;E522&amp;"-"&amp;F522&amp;"-Pos2",'Shooter-Squad Assignment'!$W:$W,0)),""),IF(F522="Sporting Clays",IFERROR(INDEX('Shooter-Squad Assignment'!$A:$A,MATCH(C522&amp;"-"&amp;E522&amp;"-"&amp;F522&amp;"-Pos2",'Shooter-Squad Assignment'!$Z:$Z,0)),""),"")))</f>
        <v/>
      </c>
      <c r="J522" s="88" t="str">
        <f>IF(ISBLANK(I522),"",IFERROR(INDEX('Tournament List'!$D:$D,MATCH(I522,'Tournament List'!$A:$A,0)),""))</f>
        <v/>
      </c>
      <c r="K522" s="96" t="str">
        <f>IF(F522="Skeet",IFERROR(INDEX('Shooter-Squad Assignment'!$A:$A,MATCH(C522&amp;"-"&amp;E522&amp;"-"&amp;F522&amp;"-Pos3",'Shooter-Squad Assignment'!$K:$K,0)),""),IF(F522="Trap",IFERROR(INDEX('Shooter-Squad Assignment'!$A:$A,MATCH(C522&amp;"-"&amp;E522&amp;"-"&amp;F522&amp;"-Pos3",'Shooter-Squad Assignment'!$W:$W,0)),""),IF(F522="Sporting Clays",IFERROR(INDEX('Shooter-Squad Assignment'!$A:$A,MATCH(C522&amp;"-"&amp;E522&amp;"-"&amp;F522&amp;"-Pos3",'Shooter-Squad Assignment'!$Z:$Z,0)),""),"")))</f>
        <v/>
      </c>
      <c r="L522" s="88" t="str">
        <f>IF(ISBLANK(K522),"",IFERROR(INDEX('Tournament List'!$D:$D,MATCH(K522,'Tournament List'!$A:$A,0)),""))</f>
        <v/>
      </c>
      <c r="M522" s="96" t="str">
        <f>IF(F522="Skeet",IFERROR(INDEX('Shooter-Squad Assignment'!$A:$A,MATCH(C522&amp;"-"&amp;E522&amp;"-"&amp;F522&amp;"-Pos4",'Shooter-Squad Assignment'!$K:$K,0)),""),IF(F522="Trap",IFERROR(INDEX('Shooter-Squad Assignment'!$A:$A,MATCH(C522&amp;"-"&amp;E522&amp;"-"&amp;F522&amp;"-Pos4",'Shooter-Squad Assignment'!$W:$W,0)),""),IF(F522="Sporting Clays",IFERROR(INDEX('Shooter-Squad Assignment'!$A:$A,MATCH(C522&amp;"-"&amp;E522&amp;"-"&amp;F522&amp;"-Pos4",'Shooter-Squad Assignment'!$Z:$Z,0)),""),"")))</f>
        <v/>
      </c>
      <c r="N522" s="88" t="str">
        <f>IF(ISBLANK(M522),"",IFERROR(INDEX('Tournament List'!$D:$D,MATCH(M522,'Tournament List'!$A:$A,0)),""))</f>
        <v/>
      </c>
      <c r="O522" s="96" t="str">
        <f>IF(F522="Skeet",IFERROR(INDEX('Shooter-Squad Assignment'!$A:$A,MATCH(C522&amp;"-"&amp;E522&amp;"-"&amp;F522&amp;"-Pos5",'Shooter-Squad Assignment'!$K:$K,0)),""),IF(F522="Trap",IFERROR(INDEX('Shooter-Squad Assignment'!$A:$A,MATCH(C522&amp;"-"&amp;E522&amp;"-"&amp;F522&amp;"-Pos5",'Shooter-Squad Assignment'!$W:$W,0)),""),IF(F522="Sporting Clays",IFERROR(INDEX('Shooter-Squad Assignment'!$A:$A,MATCH(C522&amp;"-"&amp;E522&amp;"-"&amp;F522&amp;"-Pos5",'Shooter-Squad Assignment'!$Z:$Z,0)),""),"")))</f>
        <v/>
      </c>
      <c r="P522" s="89" t="str">
        <f>IF(ISBLANK(O522),"",IFERROR(INDEX('Tournament List'!$D:$D,MATCH(O522,'Tournament List'!$A:$A,0)),""))</f>
        <v/>
      </c>
    </row>
    <row r="523" spans="1:16" x14ac:dyDescent="0.3">
      <c r="A523" s="87">
        <v>522</v>
      </c>
      <c r="B523" s="88" t="str">
        <f>C523&amp;"-"&amp;E523&amp;"-"&amp;F523</f>
        <v>-Junior Varsity 3-Skeet</v>
      </c>
      <c r="C523" s="88"/>
      <c r="D523" s="88" t="str">
        <f>INDEX('Tournament Setup'!$B$59:$B$78,MATCH(E523,SquadConcurrents,0))</f>
        <v>Junior Varsity</v>
      </c>
      <c r="E523" s="88" t="s">
        <v>351</v>
      </c>
      <c r="F523" s="88" t="s">
        <v>143</v>
      </c>
      <c r="G523" s="96" t="str">
        <f>IF(F523="Skeet",IFERROR(INDEX('Shooter-Squad Assignment'!$A:$A,MATCH(C523&amp;"-"&amp;E523&amp;"-"&amp;F523&amp;"-Pos1",'Shooter-Squad Assignment'!$K:$K,0)),""),IF(F523="Trap",IFERROR(INDEX('Shooter-Squad Assignment'!$A:$A,MATCH(C523&amp;"-"&amp;E523&amp;"-"&amp;F523&amp;"-Pos1",'Shooter-Squad Assignment'!$W:$W,0)),""),IF(F523="Sporting Clays",IFERROR(INDEX('Shooter-Squad Assignment'!$A:$A,MATCH(C523&amp;"-"&amp;E523&amp;"-"&amp;F523&amp;"-Pos1",'Shooter-Squad Assignment'!$Z:$Z,0)),""),"")))</f>
        <v/>
      </c>
      <c r="H523" s="88" t="str">
        <f>IF(ISBLANK(G523),"",IFERROR(INDEX('Tournament List'!$D:$D,MATCH(G523,'Tournament List'!$A:$A,0)),""))</f>
        <v/>
      </c>
      <c r="I523" s="96" t="str">
        <f>IF(F523="Skeet",IFERROR(INDEX('Shooter-Squad Assignment'!$A:$A,MATCH(C523&amp;"-"&amp;E523&amp;"-"&amp;F523&amp;"-Pos2",'Shooter-Squad Assignment'!$K:$K,0)),""),IF(F523="Trap",IFERROR(INDEX('Shooter-Squad Assignment'!$A:$A,MATCH(C523&amp;"-"&amp;E523&amp;"-"&amp;F523&amp;"-Pos2",'Shooter-Squad Assignment'!$W:$W,0)),""),IF(F523="Sporting Clays",IFERROR(INDEX('Shooter-Squad Assignment'!$A:$A,MATCH(C523&amp;"-"&amp;E523&amp;"-"&amp;F523&amp;"-Pos2",'Shooter-Squad Assignment'!$Z:$Z,0)),""),"")))</f>
        <v/>
      </c>
      <c r="J523" s="88" t="str">
        <f>IF(ISBLANK(I523),"",IFERROR(INDEX('Tournament List'!$D:$D,MATCH(I523,'Tournament List'!$A:$A,0)),""))</f>
        <v/>
      </c>
      <c r="K523" s="96" t="str">
        <f>IF(F523="Skeet",IFERROR(INDEX('Shooter-Squad Assignment'!$A:$A,MATCH(C523&amp;"-"&amp;E523&amp;"-"&amp;F523&amp;"-Pos3",'Shooter-Squad Assignment'!$K:$K,0)),""),IF(F523="Trap",IFERROR(INDEX('Shooter-Squad Assignment'!$A:$A,MATCH(C523&amp;"-"&amp;E523&amp;"-"&amp;F523&amp;"-Pos3",'Shooter-Squad Assignment'!$W:$W,0)),""),IF(F523="Sporting Clays",IFERROR(INDEX('Shooter-Squad Assignment'!$A:$A,MATCH(C523&amp;"-"&amp;E523&amp;"-"&amp;F523&amp;"-Pos3",'Shooter-Squad Assignment'!$Z:$Z,0)),""),"")))</f>
        <v/>
      </c>
      <c r="L523" s="88" t="str">
        <f>IF(ISBLANK(K523),"",IFERROR(INDEX('Tournament List'!$D:$D,MATCH(K523,'Tournament List'!$A:$A,0)),""))</f>
        <v/>
      </c>
      <c r="M523" s="96" t="str">
        <f>IF(F523="Skeet",IFERROR(INDEX('Shooter-Squad Assignment'!$A:$A,MATCH(C523&amp;"-"&amp;E523&amp;"-"&amp;F523&amp;"-Pos4",'Shooter-Squad Assignment'!$K:$K,0)),""),IF(F523="Trap",IFERROR(INDEX('Shooter-Squad Assignment'!$A:$A,MATCH(C523&amp;"-"&amp;E523&amp;"-"&amp;F523&amp;"-Pos4",'Shooter-Squad Assignment'!$W:$W,0)),""),IF(F523="Sporting Clays",IFERROR(INDEX('Shooter-Squad Assignment'!$A:$A,MATCH(C523&amp;"-"&amp;E523&amp;"-"&amp;F523&amp;"-Pos4",'Shooter-Squad Assignment'!$Z:$Z,0)),""),"")))</f>
        <v/>
      </c>
      <c r="N523" s="88" t="str">
        <f>IF(ISBLANK(M523),"",IFERROR(INDEX('Tournament List'!$D:$D,MATCH(M523,'Tournament List'!$A:$A,0)),""))</f>
        <v/>
      </c>
      <c r="O523" s="96" t="str">
        <f>IF(F523="Skeet",IFERROR(INDEX('Shooter-Squad Assignment'!$A:$A,MATCH(C523&amp;"-"&amp;E523&amp;"-"&amp;F523&amp;"-Pos5",'Shooter-Squad Assignment'!$K:$K,0)),""),IF(F523="Trap",IFERROR(INDEX('Shooter-Squad Assignment'!$A:$A,MATCH(C523&amp;"-"&amp;E523&amp;"-"&amp;F523&amp;"-Pos5",'Shooter-Squad Assignment'!$W:$W,0)),""),IF(F523="Sporting Clays",IFERROR(INDEX('Shooter-Squad Assignment'!$A:$A,MATCH(C523&amp;"-"&amp;E523&amp;"-"&amp;F523&amp;"-Pos5",'Shooter-Squad Assignment'!$Z:$Z,0)),""),"")))</f>
        <v/>
      </c>
      <c r="P523" s="89" t="str">
        <f>IF(ISBLANK(O523),"",IFERROR(INDEX('Tournament List'!$D:$D,MATCH(O523,'Tournament List'!$A:$A,0)),""))</f>
        <v/>
      </c>
    </row>
    <row r="524" spans="1:16" x14ac:dyDescent="0.3">
      <c r="A524" s="87">
        <v>523</v>
      </c>
      <c r="B524" s="88" t="str">
        <f>C524&amp;"-"&amp;E524&amp;"-"&amp;F524</f>
        <v>-Novice 1-Skeet</v>
      </c>
      <c r="C524" s="88"/>
      <c r="D524" s="88" t="str">
        <f>INDEX('Tournament Setup'!$B$59:$B$78,MATCH(E524,SquadConcurrents,0))</f>
        <v>Novice</v>
      </c>
      <c r="E524" s="88" t="s">
        <v>337</v>
      </c>
      <c r="F524" s="88" t="s">
        <v>143</v>
      </c>
      <c r="G524" s="96" t="str">
        <f>IF(F524="Skeet",IFERROR(INDEX('Shooter-Squad Assignment'!$A:$A,MATCH(C524&amp;"-"&amp;E524&amp;"-"&amp;F524&amp;"-Pos1",'Shooter-Squad Assignment'!$K:$K,0)),""),IF(F524="Trap",IFERROR(INDEX('Shooter-Squad Assignment'!$A:$A,MATCH(C524&amp;"-"&amp;E524&amp;"-"&amp;F524&amp;"-Pos1",'Shooter-Squad Assignment'!$W:$W,0)),""),IF(F524="Sporting Clays",IFERROR(INDEX('Shooter-Squad Assignment'!$A:$A,MATCH(C524&amp;"-"&amp;E524&amp;"-"&amp;F524&amp;"-Pos1",'Shooter-Squad Assignment'!$Z:$Z,0)),""),"")))</f>
        <v/>
      </c>
      <c r="H524" s="88" t="str">
        <f>IF(ISBLANK(G524),"",IFERROR(INDEX('Tournament List'!$D:$D,MATCH(G524,'Tournament List'!$A:$A,0)),""))</f>
        <v/>
      </c>
      <c r="I524" s="96" t="str">
        <f>IF(F524="Skeet",IFERROR(INDEX('Shooter-Squad Assignment'!$A:$A,MATCH(C524&amp;"-"&amp;E524&amp;"-"&amp;F524&amp;"-Pos2",'Shooter-Squad Assignment'!$K:$K,0)),""),IF(F524="Trap",IFERROR(INDEX('Shooter-Squad Assignment'!$A:$A,MATCH(C524&amp;"-"&amp;E524&amp;"-"&amp;F524&amp;"-Pos2",'Shooter-Squad Assignment'!$W:$W,0)),""),IF(F524="Sporting Clays",IFERROR(INDEX('Shooter-Squad Assignment'!$A:$A,MATCH(C524&amp;"-"&amp;E524&amp;"-"&amp;F524&amp;"-Pos2",'Shooter-Squad Assignment'!$Z:$Z,0)),""),"")))</f>
        <v/>
      </c>
      <c r="J524" s="88" t="str">
        <f>IF(ISBLANK(I524),"",IFERROR(INDEX('Tournament List'!$D:$D,MATCH(I524,'Tournament List'!$A:$A,0)),""))</f>
        <v/>
      </c>
      <c r="K524" s="96" t="str">
        <f>IF(F524="Skeet",IFERROR(INDEX('Shooter-Squad Assignment'!$A:$A,MATCH(C524&amp;"-"&amp;E524&amp;"-"&amp;F524&amp;"-Pos3",'Shooter-Squad Assignment'!$K:$K,0)),""),IF(F524="Trap",IFERROR(INDEX('Shooter-Squad Assignment'!$A:$A,MATCH(C524&amp;"-"&amp;E524&amp;"-"&amp;F524&amp;"-Pos3",'Shooter-Squad Assignment'!$W:$W,0)),""),IF(F524="Sporting Clays",IFERROR(INDEX('Shooter-Squad Assignment'!$A:$A,MATCH(C524&amp;"-"&amp;E524&amp;"-"&amp;F524&amp;"-Pos3",'Shooter-Squad Assignment'!$Z:$Z,0)),""),"")))</f>
        <v/>
      </c>
      <c r="L524" s="88" t="str">
        <f>IF(ISBLANK(K524),"",IFERROR(INDEX('Tournament List'!$D:$D,MATCH(K524,'Tournament List'!$A:$A,0)),""))</f>
        <v/>
      </c>
      <c r="M524" s="96" t="str">
        <f>IF(F524="Skeet",IFERROR(INDEX('Shooter-Squad Assignment'!$A:$A,MATCH(C524&amp;"-"&amp;E524&amp;"-"&amp;F524&amp;"-Pos4",'Shooter-Squad Assignment'!$K:$K,0)),""),IF(F524="Trap",IFERROR(INDEX('Shooter-Squad Assignment'!$A:$A,MATCH(C524&amp;"-"&amp;E524&amp;"-"&amp;F524&amp;"-Pos4",'Shooter-Squad Assignment'!$W:$W,0)),""),IF(F524="Sporting Clays",IFERROR(INDEX('Shooter-Squad Assignment'!$A:$A,MATCH(C524&amp;"-"&amp;E524&amp;"-"&amp;F524&amp;"-Pos4",'Shooter-Squad Assignment'!$Z:$Z,0)),""),"")))</f>
        <v/>
      </c>
      <c r="N524" s="88" t="str">
        <f>IF(ISBLANK(M524),"",IFERROR(INDEX('Tournament List'!$D:$D,MATCH(M524,'Tournament List'!$A:$A,0)),""))</f>
        <v/>
      </c>
      <c r="O524" s="96" t="str">
        <f>IF(F524="Skeet",IFERROR(INDEX('Shooter-Squad Assignment'!$A:$A,MATCH(C524&amp;"-"&amp;E524&amp;"-"&amp;F524&amp;"-Pos5",'Shooter-Squad Assignment'!$K:$K,0)),""),IF(F524="Trap",IFERROR(INDEX('Shooter-Squad Assignment'!$A:$A,MATCH(C524&amp;"-"&amp;E524&amp;"-"&amp;F524&amp;"-Pos5",'Shooter-Squad Assignment'!$W:$W,0)),""),IF(F524="Sporting Clays",IFERROR(INDEX('Shooter-Squad Assignment'!$A:$A,MATCH(C524&amp;"-"&amp;E524&amp;"-"&amp;F524&amp;"-Pos5",'Shooter-Squad Assignment'!$Z:$Z,0)),""),"")))</f>
        <v/>
      </c>
      <c r="P524" s="89" t="str">
        <f>IF(ISBLANK(O524),"",IFERROR(INDEX('Tournament List'!$D:$D,MATCH(O524,'Tournament List'!$A:$A,0)),""))</f>
        <v/>
      </c>
    </row>
    <row r="525" spans="1:16" x14ac:dyDescent="0.3">
      <c r="A525" s="87">
        <v>524</v>
      </c>
      <c r="B525" s="88" t="str">
        <f>C525&amp;"-"&amp;E525&amp;"-"&amp;F525</f>
        <v>-Novice 2-Skeet</v>
      </c>
      <c r="C525" s="88"/>
      <c r="D525" s="88" t="str">
        <f>INDEX('Tournament Setup'!$B$59:$B$78,MATCH(E525,SquadConcurrents,0))</f>
        <v>Novice</v>
      </c>
      <c r="E525" s="88" t="s">
        <v>343</v>
      </c>
      <c r="F525" s="88" t="s">
        <v>143</v>
      </c>
      <c r="G525" s="96" t="str">
        <f>IF(F525="Skeet",IFERROR(INDEX('Shooter-Squad Assignment'!$A:$A,MATCH(C525&amp;"-"&amp;E525&amp;"-"&amp;F525&amp;"-Pos1",'Shooter-Squad Assignment'!$K:$K,0)),""),IF(F525="Trap",IFERROR(INDEX('Shooter-Squad Assignment'!$A:$A,MATCH(C525&amp;"-"&amp;E525&amp;"-"&amp;F525&amp;"-Pos1",'Shooter-Squad Assignment'!$W:$W,0)),""),IF(F525="Sporting Clays",IFERROR(INDEX('Shooter-Squad Assignment'!$A:$A,MATCH(C525&amp;"-"&amp;E525&amp;"-"&amp;F525&amp;"-Pos1",'Shooter-Squad Assignment'!$Z:$Z,0)),""),"")))</f>
        <v/>
      </c>
      <c r="H525" s="88" t="str">
        <f>IF(ISBLANK(G525),"",IFERROR(INDEX('Tournament List'!$D:$D,MATCH(G525,'Tournament List'!$A:$A,0)),""))</f>
        <v/>
      </c>
      <c r="I525" s="96" t="str">
        <f>IF(F525="Skeet",IFERROR(INDEX('Shooter-Squad Assignment'!$A:$A,MATCH(C525&amp;"-"&amp;E525&amp;"-"&amp;F525&amp;"-Pos2",'Shooter-Squad Assignment'!$K:$K,0)),""),IF(F525="Trap",IFERROR(INDEX('Shooter-Squad Assignment'!$A:$A,MATCH(C525&amp;"-"&amp;E525&amp;"-"&amp;F525&amp;"-Pos2",'Shooter-Squad Assignment'!$W:$W,0)),""),IF(F525="Sporting Clays",IFERROR(INDEX('Shooter-Squad Assignment'!$A:$A,MATCH(C525&amp;"-"&amp;E525&amp;"-"&amp;F525&amp;"-Pos2",'Shooter-Squad Assignment'!$Z:$Z,0)),""),"")))</f>
        <v/>
      </c>
      <c r="J525" s="88" t="str">
        <f>IF(ISBLANK(I525),"",IFERROR(INDEX('Tournament List'!$D:$D,MATCH(I525,'Tournament List'!$A:$A,0)),""))</f>
        <v/>
      </c>
      <c r="K525" s="96" t="str">
        <f>IF(F525="Skeet",IFERROR(INDEX('Shooter-Squad Assignment'!$A:$A,MATCH(C525&amp;"-"&amp;E525&amp;"-"&amp;F525&amp;"-Pos3",'Shooter-Squad Assignment'!$K:$K,0)),""),IF(F525="Trap",IFERROR(INDEX('Shooter-Squad Assignment'!$A:$A,MATCH(C525&amp;"-"&amp;E525&amp;"-"&amp;F525&amp;"-Pos3",'Shooter-Squad Assignment'!$W:$W,0)),""),IF(F525="Sporting Clays",IFERROR(INDEX('Shooter-Squad Assignment'!$A:$A,MATCH(C525&amp;"-"&amp;E525&amp;"-"&amp;F525&amp;"-Pos3",'Shooter-Squad Assignment'!$Z:$Z,0)),""),"")))</f>
        <v/>
      </c>
      <c r="L525" s="88" t="str">
        <f>IF(ISBLANK(K525),"",IFERROR(INDEX('Tournament List'!$D:$D,MATCH(K525,'Tournament List'!$A:$A,0)),""))</f>
        <v/>
      </c>
      <c r="M525" s="96" t="str">
        <f>IF(F525="Skeet",IFERROR(INDEX('Shooter-Squad Assignment'!$A:$A,MATCH(C525&amp;"-"&amp;E525&amp;"-"&amp;F525&amp;"-Pos4",'Shooter-Squad Assignment'!$K:$K,0)),""),IF(F525="Trap",IFERROR(INDEX('Shooter-Squad Assignment'!$A:$A,MATCH(C525&amp;"-"&amp;E525&amp;"-"&amp;F525&amp;"-Pos4",'Shooter-Squad Assignment'!$W:$W,0)),""),IF(F525="Sporting Clays",IFERROR(INDEX('Shooter-Squad Assignment'!$A:$A,MATCH(C525&amp;"-"&amp;E525&amp;"-"&amp;F525&amp;"-Pos4",'Shooter-Squad Assignment'!$Z:$Z,0)),""),"")))</f>
        <v/>
      </c>
      <c r="N525" s="88" t="str">
        <f>IF(ISBLANK(M525),"",IFERROR(INDEX('Tournament List'!$D:$D,MATCH(M525,'Tournament List'!$A:$A,0)),""))</f>
        <v/>
      </c>
      <c r="O525" s="96" t="str">
        <f>IF(F525="Skeet",IFERROR(INDEX('Shooter-Squad Assignment'!$A:$A,MATCH(C525&amp;"-"&amp;E525&amp;"-"&amp;F525&amp;"-Pos5",'Shooter-Squad Assignment'!$K:$K,0)),""),IF(F525="Trap",IFERROR(INDEX('Shooter-Squad Assignment'!$A:$A,MATCH(C525&amp;"-"&amp;E525&amp;"-"&amp;F525&amp;"-Pos5",'Shooter-Squad Assignment'!$W:$W,0)),""),IF(F525="Sporting Clays",IFERROR(INDEX('Shooter-Squad Assignment'!$A:$A,MATCH(C525&amp;"-"&amp;E525&amp;"-"&amp;F525&amp;"-Pos5",'Shooter-Squad Assignment'!$Z:$Z,0)),""),"")))</f>
        <v/>
      </c>
      <c r="P525" s="89" t="str">
        <f>IF(ISBLANK(O525),"",IFERROR(INDEX('Tournament List'!$D:$D,MATCH(O525,'Tournament List'!$A:$A,0)),""))</f>
        <v/>
      </c>
    </row>
    <row r="526" spans="1:16" x14ac:dyDescent="0.3">
      <c r="A526" s="87">
        <v>525</v>
      </c>
      <c r="B526" s="88" t="str">
        <f>C526&amp;"-"&amp;E526&amp;"-"&amp;F526</f>
        <v>-Novice 3-Skeet</v>
      </c>
      <c r="C526" s="88"/>
      <c r="D526" s="88" t="str">
        <f>INDEX('Tournament Setup'!$B$59:$B$78,MATCH(E526,SquadConcurrents,0))</f>
        <v>Novice</v>
      </c>
      <c r="E526" s="88" t="s">
        <v>349</v>
      </c>
      <c r="F526" s="88" t="s">
        <v>143</v>
      </c>
      <c r="G526" s="96" t="str">
        <f>IF(F526="Skeet",IFERROR(INDEX('Shooter-Squad Assignment'!$A:$A,MATCH(C526&amp;"-"&amp;E526&amp;"-"&amp;F526&amp;"-Pos1",'Shooter-Squad Assignment'!$K:$K,0)),""),IF(F526="Trap",IFERROR(INDEX('Shooter-Squad Assignment'!$A:$A,MATCH(C526&amp;"-"&amp;E526&amp;"-"&amp;F526&amp;"-Pos1",'Shooter-Squad Assignment'!$W:$W,0)),""),IF(F526="Sporting Clays",IFERROR(INDEX('Shooter-Squad Assignment'!$A:$A,MATCH(C526&amp;"-"&amp;E526&amp;"-"&amp;F526&amp;"-Pos1",'Shooter-Squad Assignment'!$Z:$Z,0)),""),"")))</f>
        <v/>
      </c>
      <c r="H526" s="88" t="str">
        <f>IF(ISBLANK(G526),"",IFERROR(INDEX('Tournament List'!$D:$D,MATCH(G526,'Tournament List'!$A:$A,0)),""))</f>
        <v/>
      </c>
      <c r="I526" s="96" t="str">
        <f>IF(F526="Skeet",IFERROR(INDEX('Shooter-Squad Assignment'!$A:$A,MATCH(C526&amp;"-"&amp;E526&amp;"-"&amp;F526&amp;"-Pos2",'Shooter-Squad Assignment'!$K:$K,0)),""),IF(F526="Trap",IFERROR(INDEX('Shooter-Squad Assignment'!$A:$A,MATCH(C526&amp;"-"&amp;E526&amp;"-"&amp;F526&amp;"-Pos2",'Shooter-Squad Assignment'!$W:$W,0)),""),IF(F526="Sporting Clays",IFERROR(INDEX('Shooter-Squad Assignment'!$A:$A,MATCH(C526&amp;"-"&amp;E526&amp;"-"&amp;F526&amp;"-Pos2",'Shooter-Squad Assignment'!$Z:$Z,0)),""),"")))</f>
        <v/>
      </c>
      <c r="J526" s="88" t="str">
        <f>IF(ISBLANK(I526),"",IFERROR(INDEX('Tournament List'!$D:$D,MATCH(I526,'Tournament List'!$A:$A,0)),""))</f>
        <v/>
      </c>
      <c r="K526" s="96" t="str">
        <f>IF(F526="Skeet",IFERROR(INDEX('Shooter-Squad Assignment'!$A:$A,MATCH(C526&amp;"-"&amp;E526&amp;"-"&amp;F526&amp;"-Pos3",'Shooter-Squad Assignment'!$K:$K,0)),""),IF(F526="Trap",IFERROR(INDEX('Shooter-Squad Assignment'!$A:$A,MATCH(C526&amp;"-"&amp;E526&amp;"-"&amp;F526&amp;"-Pos3",'Shooter-Squad Assignment'!$W:$W,0)),""),IF(F526="Sporting Clays",IFERROR(INDEX('Shooter-Squad Assignment'!$A:$A,MATCH(C526&amp;"-"&amp;E526&amp;"-"&amp;F526&amp;"-Pos3",'Shooter-Squad Assignment'!$Z:$Z,0)),""),"")))</f>
        <v/>
      </c>
      <c r="L526" s="88" t="str">
        <f>IF(ISBLANK(K526),"",IFERROR(INDEX('Tournament List'!$D:$D,MATCH(K526,'Tournament List'!$A:$A,0)),""))</f>
        <v/>
      </c>
      <c r="M526" s="96" t="str">
        <f>IF(F526="Skeet",IFERROR(INDEX('Shooter-Squad Assignment'!$A:$A,MATCH(C526&amp;"-"&amp;E526&amp;"-"&amp;F526&amp;"-Pos4",'Shooter-Squad Assignment'!$K:$K,0)),""),IF(F526="Trap",IFERROR(INDEX('Shooter-Squad Assignment'!$A:$A,MATCH(C526&amp;"-"&amp;E526&amp;"-"&amp;F526&amp;"-Pos4",'Shooter-Squad Assignment'!$W:$W,0)),""),IF(F526="Sporting Clays",IFERROR(INDEX('Shooter-Squad Assignment'!$A:$A,MATCH(C526&amp;"-"&amp;E526&amp;"-"&amp;F526&amp;"-Pos4",'Shooter-Squad Assignment'!$Z:$Z,0)),""),"")))</f>
        <v/>
      </c>
      <c r="N526" s="88" t="str">
        <f>IF(ISBLANK(M526),"",IFERROR(INDEX('Tournament List'!$D:$D,MATCH(M526,'Tournament List'!$A:$A,0)),""))</f>
        <v/>
      </c>
      <c r="O526" s="96" t="str">
        <f>IF(F526="Skeet",IFERROR(INDEX('Shooter-Squad Assignment'!$A:$A,MATCH(C526&amp;"-"&amp;E526&amp;"-"&amp;F526&amp;"-Pos5",'Shooter-Squad Assignment'!$K:$K,0)),""),IF(F526="Trap",IFERROR(INDEX('Shooter-Squad Assignment'!$A:$A,MATCH(C526&amp;"-"&amp;E526&amp;"-"&amp;F526&amp;"-Pos5",'Shooter-Squad Assignment'!$W:$W,0)),""),IF(F526="Sporting Clays",IFERROR(INDEX('Shooter-Squad Assignment'!$A:$A,MATCH(C526&amp;"-"&amp;E526&amp;"-"&amp;F526&amp;"-Pos5",'Shooter-Squad Assignment'!$Z:$Z,0)),""),"")))</f>
        <v/>
      </c>
      <c r="P526" s="89" t="str">
        <f>IF(ISBLANK(O526),"",IFERROR(INDEX('Tournament List'!$D:$D,MATCH(O526,'Tournament List'!$A:$A,0)),""))</f>
        <v/>
      </c>
    </row>
    <row r="527" spans="1:16" x14ac:dyDescent="0.3">
      <c r="A527" s="87">
        <v>526</v>
      </c>
      <c r="B527" s="88" t="str">
        <f>C527&amp;"-"&amp;E527&amp;"-"&amp;F527</f>
        <v>-Open 1-Skeet</v>
      </c>
      <c r="C527" s="88"/>
      <c r="D527" s="88" t="str">
        <f>INDEX('Tournament Setup'!$B$59:$B$78,MATCH(E527,SquadConcurrents,0))</f>
        <v>Open</v>
      </c>
      <c r="E527" s="88" t="s">
        <v>341</v>
      </c>
      <c r="F527" s="88" t="s">
        <v>143</v>
      </c>
      <c r="G527" s="96" t="str">
        <f>IF(F527="Skeet",IFERROR(INDEX('Shooter-Squad Assignment'!$A:$A,MATCH(C527&amp;"-"&amp;E527&amp;"-"&amp;F527&amp;"-Pos1",'Shooter-Squad Assignment'!$K:$K,0)),""),IF(F527="Trap",IFERROR(INDEX('Shooter-Squad Assignment'!$A:$A,MATCH(C527&amp;"-"&amp;E527&amp;"-"&amp;F527&amp;"-Pos1",'Shooter-Squad Assignment'!$W:$W,0)),""),IF(F527="Sporting Clays",IFERROR(INDEX('Shooter-Squad Assignment'!$A:$A,MATCH(C527&amp;"-"&amp;E527&amp;"-"&amp;F527&amp;"-Pos1",'Shooter-Squad Assignment'!$Z:$Z,0)),""),"")))</f>
        <v/>
      </c>
      <c r="H527" s="88" t="str">
        <f>IF(ISBLANK(G527),"",IFERROR(INDEX('Tournament List'!$D:$D,MATCH(G527,'Tournament List'!$A:$A,0)),""))</f>
        <v/>
      </c>
      <c r="I527" s="96" t="str">
        <f>IF(F527="Skeet",IFERROR(INDEX('Shooter-Squad Assignment'!$A:$A,MATCH(C527&amp;"-"&amp;E527&amp;"-"&amp;F527&amp;"-Pos2",'Shooter-Squad Assignment'!$K:$K,0)),""),IF(F527="Trap",IFERROR(INDEX('Shooter-Squad Assignment'!$A:$A,MATCH(C527&amp;"-"&amp;E527&amp;"-"&amp;F527&amp;"-Pos2",'Shooter-Squad Assignment'!$W:$W,0)),""),IF(F527="Sporting Clays",IFERROR(INDEX('Shooter-Squad Assignment'!$A:$A,MATCH(C527&amp;"-"&amp;E527&amp;"-"&amp;F527&amp;"-Pos2",'Shooter-Squad Assignment'!$Z:$Z,0)),""),"")))</f>
        <v/>
      </c>
      <c r="J527" s="88" t="str">
        <f>IF(ISBLANK(I527),"",IFERROR(INDEX('Tournament List'!$D:$D,MATCH(I527,'Tournament List'!$A:$A,0)),""))</f>
        <v/>
      </c>
      <c r="K527" s="96" t="str">
        <f>IF(F527="Skeet",IFERROR(INDEX('Shooter-Squad Assignment'!$A:$A,MATCH(C527&amp;"-"&amp;E527&amp;"-"&amp;F527&amp;"-Pos3",'Shooter-Squad Assignment'!$K:$K,0)),""),IF(F527="Trap",IFERROR(INDEX('Shooter-Squad Assignment'!$A:$A,MATCH(C527&amp;"-"&amp;E527&amp;"-"&amp;F527&amp;"-Pos3",'Shooter-Squad Assignment'!$W:$W,0)),""),IF(F527="Sporting Clays",IFERROR(INDEX('Shooter-Squad Assignment'!$A:$A,MATCH(C527&amp;"-"&amp;E527&amp;"-"&amp;F527&amp;"-Pos3",'Shooter-Squad Assignment'!$Z:$Z,0)),""),"")))</f>
        <v/>
      </c>
      <c r="L527" s="88" t="str">
        <f>IF(ISBLANK(K527),"",IFERROR(INDEX('Tournament List'!$D:$D,MATCH(K527,'Tournament List'!$A:$A,0)),""))</f>
        <v/>
      </c>
      <c r="M527" s="96" t="str">
        <f>IF(F527="Skeet",IFERROR(INDEX('Shooter-Squad Assignment'!$A:$A,MATCH(C527&amp;"-"&amp;E527&amp;"-"&amp;F527&amp;"-Pos4",'Shooter-Squad Assignment'!$K:$K,0)),""),IF(F527="Trap",IFERROR(INDEX('Shooter-Squad Assignment'!$A:$A,MATCH(C527&amp;"-"&amp;E527&amp;"-"&amp;F527&amp;"-Pos4",'Shooter-Squad Assignment'!$W:$W,0)),""),IF(F527="Sporting Clays",IFERROR(INDEX('Shooter-Squad Assignment'!$A:$A,MATCH(C527&amp;"-"&amp;E527&amp;"-"&amp;F527&amp;"-Pos4",'Shooter-Squad Assignment'!$Z:$Z,0)),""),"")))</f>
        <v/>
      </c>
      <c r="N527" s="88" t="str">
        <f>IF(ISBLANK(M527),"",IFERROR(INDEX('Tournament List'!$D:$D,MATCH(M527,'Tournament List'!$A:$A,0)),""))</f>
        <v/>
      </c>
      <c r="O527" s="96" t="str">
        <f>IF(F527="Skeet",IFERROR(INDEX('Shooter-Squad Assignment'!$A:$A,MATCH(C527&amp;"-"&amp;E527&amp;"-"&amp;F527&amp;"-Pos5",'Shooter-Squad Assignment'!$K:$K,0)),""),IF(F527="Trap",IFERROR(INDEX('Shooter-Squad Assignment'!$A:$A,MATCH(C527&amp;"-"&amp;E527&amp;"-"&amp;F527&amp;"-Pos5",'Shooter-Squad Assignment'!$W:$W,0)),""),IF(F527="Sporting Clays",IFERROR(INDEX('Shooter-Squad Assignment'!$A:$A,MATCH(C527&amp;"-"&amp;E527&amp;"-"&amp;F527&amp;"-Pos5",'Shooter-Squad Assignment'!$Z:$Z,0)),""),"")))</f>
        <v/>
      </c>
      <c r="P527" s="89" t="str">
        <f>IF(ISBLANK(O527),"",IFERROR(INDEX('Tournament List'!$D:$D,MATCH(O527,'Tournament List'!$A:$A,0)),""))</f>
        <v/>
      </c>
    </row>
    <row r="528" spans="1:16" x14ac:dyDescent="0.3">
      <c r="A528" s="87">
        <v>527</v>
      </c>
      <c r="B528" s="88" t="str">
        <f>C528&amp;"-"&amp;E528&amp;"-"&amp;F528</f>
        <v>-Open 2-Skeet</v>
      </c>
      <c r="C528" s="88"/>
      <c r="D528" s="88" t="str">
        <f>INDEX('Tournament Setup'!$B$59:$B$78,MATCH(E528,SquadConcurrents,0))</f>
        <v>Open</v>
      </c>
      <c r="E528" s="88" t="s">
        <v>347</v>
      </c>
      <c r="F528" s="88" t="s">
        <v>143</v>
      </c>
      <c r="G528" s="96" t="str">
        <f>IF(F528="Skeet",IFERROR(INDEX('Shooter-Squad Assignment'!$A:$A,MATCH(C528&amp;"-"&amp;E528&amp;"-"&amp;F528&amp;"-Pos1",'Shooter-Squad Assignment'!$K:$K,0)),""),IF(F528="Trap",IFERROR(INDEX('Shooter-Squad Assignment'!$A:$A,MATCH(C528&amp;"-"&amp;E528&amp;"-"&amp;F528&amp;"-Pos1",'Shooter-Squad Assignment'!$W:$W,0)),""),IF(F528="Sporting Clays",IFERROR(INDEX('Shooter-Squad Assignment'!$A:$A,MATCH(C528&amp;"-"&amp;E528&amp;"-"&amp;F528&amp;"-Pos1",'Shooter-Squad Assignment'!$Z:$Z,0)),""),"")))</f>
        <v/>
      </c>
      <c r="H528" s="88" t="str">
        <f>IF(ISBLANK(G528),"",IFERROR(INDEX('Tournament List'!$D:$D,MATCH(G528,'Tournament List'!$A:$A,0)),""))</f>
        <v/>
      </c>
      <c r="I528" s="96" t="str">
        <f>IF(F528="Skeet",IFERROR(INDEX('Shooter-Squad Assignment'!$A:$A,MATCH(C528&amp;"-"&amp;E528&amp;"-"&amp;F528&amp;"-Pos2",'Shooter-Squad Assignment'!$K:$K,0)),""),IF(F528="Trap",IFERROR(INDEX('Shooter-Squad Assignment'!$A:$A,MATCH(C528&amp;"-"&amp;E528&amp;"-"&amp;F528&amp;"-Pos2",'Shooter-Squad Assignment'!$W:$W,0)),""),IF(F528="Sporting Clays",IFERROR(INDEX('Shooter-Squad Assignment'!$A:$A,MATCH(C528&amp;"-"&amp;E528&amp;"-"&amp;F528&amp;"-Pos2",'Shooter-Squad Assignment'!$Z:$Z,0)),""),"")))</f>
        <v/>
      </c>
      <c r="J528" s="88" t="str">
        <f>IF(ISBLANK(I528),"",IFERROR(INDEX('Tournament List'!$D:$D,MATCH(I528,'Tournament List'!$A:$A,0)),""))</f>
        <v/>
      </c>
      <c r="K528" s="96" t="str">
        <f>IF(F528="Skeet",IFERROR(INDEX('Shooter-Squad Assignment'!$A:$A,MATCH(C528&amp;"-"&amp;E528&amp;"-"&amp;F528&amp;"-Pos3",'Shooter-Squad Assignment'!$K:$K,0)),""),IF(F528="Trap",IFERROR(INDEX('Shooter-Squad Assignment'!$A:$A,MATCH(C528&amp;"-"&amp;E528&amp;"-"&amp;F528&amp;"-Pos3",'Shooter-Squad Assignment'!$W:$W,0)),""),IF(F528="Sporting Clays",IFERROR(INDEX('Shooter-Squad Assignment'!$A:$A,MATCH(C528&amp;"-"&amp;E528&amp;"-"&amp;F528&amp;"-Pos3",'Shooter-Squad Assignment'!$Z:$Z,0)),""),"")))</f>
        <v/>
      </c>
      <c r="L528" s="88" t="str">
        <f>IF(ISBLANK(K528),"",IFERROR(INDEX('Tournament List'!$D:$D,MATCH(K528,'Tournament List'!$A:$A,0)),""))</f>
        <v/>
      </c>
      <c r="M528" s="96" t="str">
        <f>IF(F528="Skeet",IFERROR(INDEX('Shooter-Squad Assignment'!$A:$A,MATCH(C528&amp;"-"&amp;E528&amp;"-"&amp;F528&amp;"-Pos4",'Shooter-Squad Assignment'!$K:$K,0)),""),IF(F528="Trap",IFERROR(INDEX('Shooter-Squad Assignment'!$A:$A,MATCH(C528&amp;"-"&amp;E528&amp;"-"&amp;F528&amp;"-Pos4",'Shooter-Squad Assignment'!$W:$W,0)),""),IF(F528="Sporting Clays",IFERROR(INDEX('Shooter-Squad Assignment'!$A:$A,MATCH(C528&amp;"-"&amp;E528&amp;"-"&amp;F528&amp;"-Pos4",'Shooter-Squad Assignment'!$Z:$Z,0)),""),"")))</f>
        <v/>
      </c>
      <c r="N528" s="88" t="str">
        <f>IF(ISBLANK(M528),"",IFERROR(INDEX('Tournament List'!$D:$D,MATCH(M528,'Tournament List'!$A:$A,0)),""))</f>
        <v/>
      </c>
      <c r="O528" s="96" t="str">
        <f>IF(F528="Skeet",IFERROR(INDEX('Shooter-Squad Assignment'!$A:$A,MATCH(C528&amp;"-"&amp;E528&amp;"-"&amp;F528&amp;"-Pos5",'Shooter-Squad Assignment'!$K:$K,0)),""),IF(F528="Trap",IFERROR(INDEX('Shooter-Squad Assignment'!$A:$A,MATCH(C528&amp;"-"&amp;E528&amp;"-"&amp;F528&amp;"-Pos5",'Shooter-Squad Assignment'!$W:$W,0)),""),IF(F528="Sporting Clays",IFERROR(INDEX('Shooter-Squad Assignment'!$A:$A,MATCH(C528&amp;"-"&amp;E528&amp;"-"&amp;F528&amp;"-Pos5",'Shooter-Squad Assignment'!$Z:$Z,0)),""),"")))</f>
        <v/>
      </c>
      <c r="P528" s="89" t="str">
        <f>IF(ISBLANK(O528),"",IFERROR(INDEX('Tournament List'!$D:$D,MATCH(O528,'Tournament List'!$A:$A,0)),""))</f>
        <v/>
      </c>
    </row>
    <row r="529" spans="1:16" x14ac:dyDescent="0.3">
      <c r="A529" s="87">
        <v>528</v>
      </c>
      <c r="B529" s="88" t="str">
        <f>C529&amp;"-"&amp;E529&amp;"-"&amp;F529</f>
        <v>-Open 3-Skeet</v>
      </c>
      <c r="C529" s="88"/>
      <c r="D529" s="88" t="str">
        <f>INDEX('Tournament Setup'!$B$59:$B$78,MATCH(E529,SquadConcurrents,0))</f>
        <v>Open</v>
      </c>
      <c r="E529" s="88" t="s">
        <v>353</v>
      </c>
      <c r="F529" s="88" t="s">
        <v>143</v>
      </c>
      <c r="G529" s="96" t="str">
        <f>IF(F529="Skeet",IFERROR(INDEX('Shooter-Squad Assignment'!$A:$A,MATCH(C529&amp;"-"&amp;E529&amp;"-"&amp;F529&amp;"-Pos1",'Shooter-Squad Assignment'!$K:$K,0)),""),IF(F529="Trap",IFERROR(INDEX('Shooter-Squad Assignment'!$A:$A,MATCH(C529&amp;"-"&amp;E529&amp;"-"&amp;F529&amp;"-Pos1",'Shooter-Squad Assignment'!$W:$W,0)),""),IF(F529="Sporting Clays",IFERROR(INDEX('Shooter-Squad Assignment'!$A:$A,MATCH(C529&amp;"-"&amp;E529&amp;"-"&amp;F529&amp;"-Pos1",'Shooter-Squad Assignment'!$Z:$Z,0)),""),"")))</f>
        <v/>
      </c>
      <c r="H529" s="88" t="str">
        <f>IF(ISBLANK(G529),"",IFERROR(INDEX('Tournament List'!$D:$D,MATCH(G529,'Tournament List'!$A:$A,0)),""))</f>
        <v/>
      </c>
      <c r="I529" s="96" t="str">
        <f>IF(F529="Skeet",IFERROR(INDEX('Shooter-Squad Assignment'!$A:$A,MATCH(C529&amp;"-"&amp;E529&amp;"-"&amp;F529&amp;"-Pos2",'Shooter-Squad Assignment'!$K:$K,0)),""),IF(F529="Trap",IFERROR(INDEX('Shooter-Squad Assignment'!$A:$A,MATCH(C529&amp;"-"&amp;E529&amp;"-"&amp;F529&amp;"-Pos2",'Shooter-Squad Assignment'!$W:$W,0)),""),IF(F529="Sporting Clays",IFERROR(INDEX('Shooter-Squad Assignment'!$A:$A,MATCH(C529&amp;"-"&amp;E529&amp;"-"&amp;F529&amp;"-Pos2",'Shooter-Squad Assignment'!$Z:$Z,0)),""),"")))</f>
        <v/>
      </c>
      <c r="J529" s="88" t="str">
        <f>IF(ISBLANK(I529),"",IFERROR(INDEX('Tournament List'!$D:$D,MATCH(I529,'Tournament List'!$A:$A,0)),""))</f>
        <v/>
      </c>
      <c r="K529" s="96" t="str">
        <f>IF(F529="Skeet",IFERROR(INDEX('Shooter-Squad Assignment'!$A:$A,MATCH(C529&amp;"-"&amp;E529&amp;"-"&amp;F529&amp;"-Pos3",'Shooter-Squad Assignment'!$K:$K,0)),""),IF(F529="Trap",IFERROR(INDEX('Shooter-Squad Assignment'!$A:$A,MATCH(C529&amp;"-"&amp;E529&amp;"-"&amp;F529&amp;"-Pos3",'Shooter-Squad Assignment'!$W:$W,0)),""),IF(F529="Sporting Clays",IFERROR(INDEX('Shooter-Squad Assignment'!$A:$A,MATCH(C529&amp;"-"&amp;E529&amp;"-"&amp;F529&amp;"-Pos3",'Shooter-Squad Assignment'!$Z:$Z,0)),""),"")))</f>
        <v/>
      </c>
      <c r="L529" s="88" t="str">
        <f>IF(ISBLANK(K529),"",IFERROR(INDEX('Tournament List'!$D:$D,MATCH(K529,'Tournament List'!$A:$A,0)),""))</f>
        <v/>
      </c>
      <c r="M529" s="96" t="str">
        <f>IF(F529="Skeet",IFERROR(INDEX('Shooter-Squad Assignment'!$A:$A,MATCH(C529&amp;"-"&amp;E529&amp;"-"&amp;F529&amp;"-Pos4",'Shooter-Squad Assignment'!$K:$K,0)),""),IF(F529="Trap",IFERROR(INDEX('Shooter-Squad Assignment'!$A:$A,MATCH(C529&amp;"-"&amp;E529&amp;"-"&amp;F529&amp;"-Pos4",'Shooter-Squad Assignment'!$W:$W,0)),""),IF(F529="Sporting Clays",IFERROR(INDEX('Shooter-Squad Assignment'!$A:$A,MATCH(C529&amp;"-"&amp;E529&amp;"-"&amp;F529&amp;"-Pos4",'Shooter-Squad Assignment'!$Z:$Z,0)),""),"")))</f>
        <v/>
      </c>
      <c r="N529" s="88" t="str">
        <f>IF(ISBLANK(M529),"",IFERROR(INDEX('Tournament List'!$D:$D,MATCH(M529,'Tournament List'!$A:$A,0)),""))</f>
        <v/>
      </c>
      <c r="O529" s="96" t="str">
        <f>IF(F529="Skeet",IFERROR(INDEX('Shooter-Squad Assignment'!$A:$A,MATCH(C529&amp;"-"&amp;E529&amp;"-"&amp;F529&amp;"-Pos5",'Shooter-Squad Assignment'!$K:$K,0)),""),IF(F529="Trap",IFERROR(INDEX('Shooter-Squad Assignment'!$A:$A,MATCH(C529&amp;"-"&amp;E529&amp;"-"&amp;F529&amp;"-Pos5",'Shooter-Squad Assignment'!$W:$W,0)),""),IF(F529="Sporting Clays",IFERROR(INDEX('Shooter-Squad Assignment'!$A:$A,MATCH(C529&amp;"-"&amp;E529&amp;"-"&amp;F529&amp;"-Pos5",'Shooter-Squad Assignment'!$Z:$Z,0)),""),"")))</f>
        <v/>
      </c>
      <c r="P529" s="89" t="str">
        <f>IF(ISBLANK(O529),"",IFERROR(INDEX('Tournament List'!$D:$D,MATCH(O529,'Tournament List'!$A:$A,0)),""))</f>
        <v/>
      </c>
    </row>
    <row r="530" spans="1:16" x14ac:dyDescent="0.3">
      <c r="A530" s="87">
        <v>529</v>
      </c>
      <c r="B530" s="88" t="str">
        <f>C530&amp;"-"&amp;E530&amp;"-"&amp;F530</f>
        <v>-Unassigned 1-Skeet</v>
      </c>
      <c r="C530" s="88"/>
      <c r="D530" s="88" t="str">
        <f>INDEX('Tournament Setup'!$B$59:$B$78,MATCH(E530,SquadConcurrents,0))</f>
        <v>Unassigned</v>
      </c>
      <c r="E530" s="88" t="s">
        <v>762</v>
      </c>
      <c r="F530" s="88" t="s">
        <v>143</v>
      </c>
      <c r="G530" s="96" t="str">
        <f>IF(F530="Skeet",IFERROR(INDEX('Shooter-Squad Assignment'!$A:$A,MATCH(C530&amp;"-"&amp;E530&amp;"-"&amp;F530&amp;"-Pos1",'Shooter-Squad Assignment'!$K:$K,0)),""),IF(F530="Trap",IFERROR(INDEX('Shooter-Squad Assignment'!$A:$A,MATCH(C530&amp;"-"&amp;E530&amp;"-"&amp;F530&amp;"-Pos1",'Shooter-Squad Assignment'!$W:$W,0)),""),IF(F530="Sporting Clays",IFERROR(INDEX('Shooter-Squad Assignment'!$A:$A,MATCH(C530&amp;"-"&amp;E530&amp;"-"&amp;F530&amp;"-Pos1",'Shooter-Squad Assignment'!$Z:$Z,0)),""),"")))</f>
        <v/>
      </c>
      <c r="H530" s="88" t="str">
        <f>IF(ISBLANK(G530),"",IFERROR(INDEX('Tournament List'!$D:$D,MATCH(G530,'Tournament List'!$A:$A,0)),""))</f>
        <v/>
      </c>
      <c r="I530" s="96" t="str">
        <f>IF(F530="Skeet",IFERROR(INDEX('Shooter-Squad Assignment'!$A:$A,MATCH(C530&amp;"-"&amp;E530&amp;"-"&amp;F530&amp;"-Pos2",'Shooter-Squad Assignment'!$K:$K,0)),""),IF(F530="Trap",IFERROR(INDEX('Shooter-Squad Assignment'!$A:$A,MATCH(C530&amp;"-"&amp;E530&amp;"-"&amp;F530&amp;"-Pos2",'Shooter-Squad Assignment'!$W:$W,0)),""),IF(F530="Sporting Clays",IFERROR(INDEX('Shooter-Squad Assignment'!$A:$A,MATCH(C530&amp;"-"&amp;E530&amp;"-"&amp;F530&amp;"-Pos2",'Shooter-Squad Assignment'!$Z:$Z,0)),""),"")))</f>
        <v/>
      </c>
      <c r="J530" s="88" t="str">
        <f>IF(ISBLANK(I530),"",IFERROR(INDEX('Tournament List'!$D:$D,MATCH(I530,'Tournament List'!$A:$A,0)),""))</f>
        <v/>
      </c>
      <c r="K530" s="96" t="str">
        <f>IF(F530="Skeet",IFERROR(INDEX('Shooter-Squad Assignment'!$A:$A,MATCH(C530&amp;"-"&amp;E530&amp;"-"&amp;F530&amp;"-Pos3",'Shooter-Squad Assignment'!$K:$K,0)),""),IF(F530="Trap",IFERROR(INDEX('Shooter-Squad Assignment'!$A:$A,MATCH(C530&amp;"-"&amp;E530&amp;"-"&amp;F530&amp;"-Pos3",'Shooter-Squad Assignment'!$W:$W,0)),""),IF(F530="Sporting Clays",IFERROR(INDEX('Shooter-Squad Assignment'!$A:$A,MATCH(C530&amp;"-"&amp;E530&amp;"-"&amp;F530&amp;"-Pos3",'Shooter-Squad Assignment'!$Z:$Z,0)),""),"")))</f>
        <v/>
      </c>
      <c r="L530" s="88" t="str">
        <f>IF(ISBLANK(K530),"",IFERROR(INDEX('Tournament List'!$D:$D,MATCH(K530,'Tournament List'!$A:$A,0)),""))</f>
        <v/>
      </c>
      <c r="M530" s="96" t="str">
        <f>IF(F530="Skeet",IFERROR(INDEX('Shooter-Squad Assignment'!$A:$A,MATCH(C530&amp;"-"&amp;E530&amp;"-"&amp;F530&amp;"-Pos4",'Shooter-Squad Assignment'!$K:$K,0)),""),IF(F530="Trap",IFERROR(INDEX('Shooter-Squad Assignment'!$A:$A,MATCH(C530&amp;"-"&amp;E530&amp;"-"&amp;F530&amp;"-Pos4",'Shooter-Squad Assignment'!$W:$W,0)),""),IF(F530="Sporting Clays",IFERROR(INDEX('Shooter-Squad Assignment'!$A:$A,MATCH(C530&amp;"-"&amp;E530&amp;"-"&amp;F530&amp;"-Pos4",'Shooter-Squad Assignment'!$Z:$Z,0)),""),"")))</f>
        <v/>
      </c>
      <c r="N530" s="88" t="str">
        <f>IF(ISBLANK(M530),"",IFERROR(INDEX('Tournament List'!$D:$D,MATCH(M530,'Tournament List'!$A:$A,0)),""))</f>
        <v/>
      </c>
      <c r="O530" s="96" t="str">
        <f>IF(F530="Skeet",IFERROR(INDEX('Shooter-Squad Assignment'!$A:$A,MATCH(C530&amp;"-"&amp;E530&amp;"-"&amp;F530&amp;"-Pos5",'Shooter-Squad Assignment'!$K:$K,0)),""),IF(F530="Trap",IFERROR(INDEX('Shooter-Squad Assignment'!$A:$A,MATCH(C530&amp;"-"&amp;E530&amp;"-"&amp;F530&amp;"-Pos5",'Shooter-Squad Assignment'!$W:$W,0)),""),IF(F530="Sporting Clays",IFERROR(INDEX('Shooter-Squad Assignment'!$A:$A,MATCH(C530&amp;"-"&amp;E530&amp;"-"&amp;F530&amp;"-Pos5",'Shooter-Squad Assignment'!$Z:$Z,0)),""),"")))</f>
        <v/>
      </c>
      <c r="P530" s="89" t="str">
        <f>IF(ISBLANK(O530),"",IFERROR(INDEX('Tournament List'!$D:$D,MATCH(O530,'Tournament List'!$A:$A,0)),""))</f>
        <v/>
      </c>
    </row>
    <row r="531" spans="1:16" x14ac:dyDescent="0.3">
      <c r="A531" s="87">
        <v>530</v>
      </c>
      <c r="B531" s="88" t="str">
        <f>C531&amp;"-"&amp;E531&amp;"-"&amp;F531</f>
        <v>-Varsity 1-Skeet</v>
      </c>
      <c r="C531" s="88"/>
      <c r="D531" s="88" t="str">
        <f>INDEX('Tournament Setup'!$B$59:$B$78,MATCH(E531,SquadConcurrents,0))</f>
        <v>Varsity</v>
      </c>
      <c r="E531" s="88" t="s">
        <v>340</v>
      </c>
      <c r="F531" s="88" t="s">
        <v>143</v>
      </c>
      <c r="G531" s="96" t="str">
        <f>IF(F531="Skeet",IFERROR(INDEX('Shooter-Squad Assignment'!$A:$A,MATCH(C531&amp;"-"&amp;E531&amp;"-"&amp;F531&amp;"-Pos1",'Shooter-Squad Assignment'!$K:$K,0)),""),IF(F531="Trap",IFERROR(INDEX('Shooter-Squad Assignment'!$A:$A,MATCH(C531&amp;"-"&amp;E531&amp;"-"&amp;F531&amp;"-Pos1",'Shooter-Squad Assignment'!$W:$W,0)),""),IF(F531="Sporting Clays",IFERROR(INDEX('Shooter-Squad Assignment'!$A:$A,MATCH(C531&amp;"-"&amp;E531&amp;"-"&amp;F531&amp;"-Pos1",'Shooter-Squad Assignment'!$Z:$Z,0)),""),"")))</f>
        <v/>
      </c>
      <c r="H531" s="88" t="str">
        <f>IF(ISBLANK(G531),"",IFERROR(INDEX('Tournament List'!$D:$D,MATCH(G531,'Tournament List'!$A:$A,0)),""))</f>
        <v/>
      </c>
      <c r="I531" s="96" t="str">
        <f>IF(F531="Skeet",IFERROR(INDEX('Shooter-Squad Assignment'!$A:$A,MATCH(C531&amp;"-"&amp;E531&amp;"-"&amp;F531&amp;"-Pos2",'Shooter-Squad Assignment'!$K:$K,0)),""),IF(F531="Trap",IFERROR(INDEX('Shooter-Squad Assignment'!$A:$A,MATCH(C531&amp;"-"&amp;E531&amp;"-"&amp;F531&amp;"-Pos2",'Shooter-Squad Assignment'!$W:$W,0)),""),IF(F531="Sporting Clays",IFERROR(INDEX('Shooter-Squad Assignment'!$A:$A,MATCH(C531&amp;"-"&amp;E531&amp;"-"&amp;F531&amp;"-Pos2",'Shooter-Squad Assignment'!$Z:$Z,0)),""),"")))</f>
        <v/>
      </c>
      <c r="J531" s="88" t="str">
        <f>IF(ISBLANK(I531),"",IFERROR(INDEX('Tournament List'!$D:$D,MATCH(I531,'Tournament List'!$A:$A,0)),""))</f>
        <v/>
      </c>
      <c r="K531" s="96" t="str">
        <f>IF(F531="Skeet",IFERROR(INDEX('Shooter-Squad Assignment'!$A:$A,MATCH(C531&amp;"-"&amp;E531&amp;"-"&amp;F531&amp;"-Pos3",'Shooter-Squad Assignment'!$K:$K,0)),""),IF(F531="Trap",IFERROR(INDEX('Shooter-Squad Assignment'!$A:$A,MATCH(C531&amp;"-"&amp;E531&amp;"-"&amp;F531&amp;"-Pos3",'Shooter-Squad Assignment'!$W:$W,0)),""),IF(F531="Sporting Clays",IFERROR(INDEX('Shooter-Squad Assignment'!$A:$A,MATCH(C531&amp;"-"&amp;E531&amp;"-"&amp;F531&amp;"-Pos3",'Shooter-Squad Assignment'!$Z:$Z,0)),""),"")))</f>
        <v/>
      </c>
      <c r="L531" s="88" t="str">
        <f>IF(ISBLANK(K531),"",IFERROR(INDEX('Tournament List'!$D:$D,MATCH(K531,'Tournament List'!$A:$A,0)),""))</f>
        <v/>
      </c>
      <c r="M531" s="96" t="str">
        <f>IF(F531="Skeet",IFERROR(INDEX('Shooter-Squad Assignment'!$A:$A,MATCH(C531&amp;"-"&amp;E531&amp;"-"&amp;F531&amp;"-Pos4",'Shooter-Squad Assignment'!$K:$K,0)),""),IF(F531="Trap",IFERROR(INDEX('Shooter-Squad Assignment'!$A:$A,MATCH(C531&amp;"-"&amp;E531&amp;"-"&amp;F531&amp;"-Pos4",'Shooter-Squad Assignment'!$W:$W,0)),""),IF(F531="Sporting Clays",IFERROR(INDEX('Shooter-Squad Assignment'!$A:$A,MATCH(C531&amp;"-"&amp;E531&amp;"-"&amp;F531&amp;"-Pos4",'Shooter-Squad Assignment'!$Z:$Z,0)),""),"")))</f>
        <v/>
      </c>
      <c r="N531" s="88" t="str">
        <f>IF(ISBLANK(M531),"",IFERROR(INDEX('Tournament List'!$D:$D,MATCH(M531,'Tournament List'!$A:$A,0)),""))</f>
        <v/>
      </c>
      <c r="O531" s="96" t="str">
        <f>IF(F531="Skeet",IFERROR(INDEX('Shooter-Squad Assignment'!$A:$A,MATCH(C531&amp;"-"&amp;E531&amp;"-"&amp;F531&amp;"-Pos5",'Shooter-Squad Assignment'!$K:$K,0)),""),IF(F531="Trap",IFERROR(INDEX('Shooter-Squad Assignment'!$A:$A,MATCH(C531&amp;"-"&amp;E531&amp;"-"&amp;F531&amp;"-Pos5",'Shooter-Squad Assignment'!$W:$W,0)),""),IF(F531="Sporting Clays",IFERROR(INDEX('Shooter-Squad Assignment'!$A:$A,MATCH(C531&amp;"-"&amp;E531&amp;"-"&amp;F531&amp;"-Pos5",'Shooter-Squad Assignment'!$Z:$Z,0)),""),"")))</f>
        <v/>
      </c>
      <c r="P531" s="89" t="str">
        <f>IF(ISBLANK(O531),"",IFERROR(INDEX('Tournament List'!$D:$D,MATCH(O531,'Tournament List'!$A:$A,0)),""))</f>
        <v/>
      </c>
    </row>
    <row r="532" spans="1:16" x14ac:dyDescent="0.3">
      <c r="A532" s="87">
        <v>531</v>
      </c>
      <c r="B532" s="88" t="str">
        <f>C532&amp;"-"&amp;E532&amp;"-"&amp;F532</f>
        <v>-Varsity 2-Skeet</v>
      </c>
      <c r="C532" s="88"/>
      <c r="D532" s="88" t="str">
        <f>INDEX('Tournament Setup'!$B$59:$B$78,MATCH(E532,SquadConcurrents,0))</f>
        <v>Varsity</v>
      </c>
      <c r="E532" s="88" t="s">
        <v>346</v>
      </c>
      <c r="F532" s="88" t="s">
        <v>143</v>
      </c>
      <c r="G532" s="96" t="str">
        <f>IF(F532="Skeet",IFERROR(INDEX('Shooter-Squad Assignment'!$A:$A,MATCH(C532&amp;"-"&amp;E532&amp;"-"&amp;F532&amp;"-Pos1",'Shooter-Squad Assignment'!$K:$K,0)),""),IF(F532="Trap",IFERROR(INDEX('Shooter-Squad Assignment'!$A:$A,MATCH(C532&amp;"-"&amp;E532&amp;"-"&amp;F532&amp;"-Pos1",'Shooter-Squad Assignment'!$W:$W,0)),""),IF(F532="Sporting Clays",IFERROR(INDEX('Shooter-Squad Assignment'!$A:$A,MATCH(C532&amp;"-"&amp;E532&amp;"-"&amp;F532&amp;"-Pos1",'Shooter-Squad Assignment'!$Z:$Z,0)),""),"")))</f>
        <v/>
      </c>
      <c r="H532" s="88" t="str">
        <f>IF(ISBLANK(G532),"",IFERROR(INDEX('Tournament List'!$D:$D,MATCH(G532,'Tournament List'!$A:$A,0)),""))</f>
        <v/>
      </c>
      <c r="I532" s="96" t="str">
        <f>IF(F532="Skeet",IFERROR(INDEX('Shooter-Squad Assignment'!$A:$A,MATCH(C532&amp;"-"&amp;E532&amp;"-"&amp;F532&amp;"-Pos2",'Shooter-Squad Assignment'!$K:$K,0)),""),IF(F532="Trap",IFERROR(INDEX('Shooter-Squad Assignment'!$A:$A,MATCH(C532&amp;"-"&amp;E532&amp;"-"&amp;F532&amp;"-Pos2",'Shooter-Squad Assignment'!$W:$W,0)),""),IF(F532="Sporting Clays",IFERROR(INDEX('Shooter-Squad Assignment'!$A:$A,MATCH(C532&amp;"-"&amp;E532&amp;"-"&amp;F532&amp;"-Pos2",'Shooter-Squad Assignment'!$Z:$Z,0)),""),"")))</f>
        <v/>
      </c>
      <c r="J532" s="88" t="str">
        <f>IF(ISBLANK(I532),"",IFERROR(INDEX('Tournament List'!$D:$D,MATCH(I532,'Tournament List'!$A:$A,0)),""))</f>
        <v/>
      </c>
      <c r="K532" s="96" t="str">
        <f>IF(F532="Skeet",IFERROR(INDEX('Shooter-Squad Assignment'!$A:$A,MATCH(C532&amp;"-"&amp;E532&amp;"-"&amp;F532&amp;"-Pos3",'Shooter-Squad Assignment'!$K:$K,0)),""),IF(F532="Trap",IFERROR(INDEX('Shooter-Squad Assignment'!$A:$A,MATCH(C532&amp;"-"&amp;E532&amp;"-"&amp;F532&amp;"-Pos3",'Shooter-Squad Assignment'!$W:$W,0)),""),IF(F532="Sporting Clays",IFERROR(INDEX('Shooter-Squad Assignment'!$A:$A,MATCH(C532&amp;"-"&amp;E532&amp;"-"&amp;F532&amp;"-Pos3",'Shooter-Squad Assignment'!$Z:$Z,0)),""),"")))</f>
        <v/>
      </c>
      <c r="L532" s="88" t="str">
        <f>IF(ISBLANK(K532),"",IFERROR(INDEX('Tournament List'!$D:$D,MATCH(K532,'Tournament List'!$A:$A,0)),""))</f>
        <v/>
      </c>
      <c r="M532" s="96" t="str">
        <f>IF(F532="Skeet",IFERROR(INDEX('Shooter-Squad Assignment'!$A:$A,MATCH(C532&amp;"-"&amp;E532&amp;"-"&amp;F532&amp;"-Pos4",'Shooter-Squad Assignment'!$K:$K,0)),""),IF(F532="Trap",IFERROR(INDEX('Shooter-Squad Assignment'!$A:$A,MATCH(C532&amp;"-"&amp;E532&amp;"-"&amp;F532&amp;"-Pos4",'Shooter-Squad Assignment'!$W:$W,0)),""),IF(F532="Sporting Clays",IFERROR(INDEX('Shooter-Squad Assignment'!$A:$A,MATCH(C532&amp;"-"&amp;E532&amp;"-"&amp;F532&amp;"-Pos4",'Shooter-Squad Assignment'!$Z:$Z,0)),""),"")))</f>
        <v/>
      </c>
      <c r="N532" s="88" t="str">
        <f>IF(ISBLANK(M532),"",IFERROR(INDEX('Tournament List'!$D:$D,MATCH(M532,'Tournament List'!$A:$A,0)),""))</f>
        <v/>
      </c>
      <c r="O532" s="96" t="str">
        <f>IF(F532="Skeet",IFERROR(INDEX('Shooter-Squad Assignment'!$A:$A,MATCH(C532&amp;"-"&amp;E532&amp;"-"&amp;F532&amp;"-Pos5",'Shooter-Squad Assignment'!$K:$K,0)),""),IF(F532="Trap",IFERROR(INDEX('Shooter-Squad Assignment'!$A:$A,MATCH(C532&amp;"-"&amp;E532&amp;"-"&amp;F532&amp;"-Pos5",'Shooter-Squad Assignment'!$W:$W,0)),""),IF(F532="Sporting Clays",IFERROR(INDEX('Shooter-Squad Assignment'!$A:$A,MATCH(C532&amp;"-"&amp;E532&amp;"-"&amp;F532&amp;"-Pos5",'Shooter-Squad Assignment'!$Z:$Z,0)),""),"")))</f>
        <v/>
      </c>
      <c r="P532" s="89" t="str">
        <f>IF(ISBLANK(O532),"",IFERROR(INDEX('Tournament List'!$D:$D,MATCH(O532,'Tournament List'!$A:$A,0)),""))</f>
        <v/>
      </c>
    </row>
    <row r="533" spans="1:16" x14ac:dyDescent="0.3">
      <c r="A533" s="87">
        <v>532</v>
      </c>
      <c r="B533" s="88" t="str">
        <f>C533&amp;"-"&amp;E533&amp;"-"&amp;F533</f>
        <v>-Varsity 3-Skeet</v>
      </c>
      <c r="C533" s="88"/>
      <c r="D533" s="88" t="str">
        <f>INDEX('Tournament Setup'!$B$59:$B$78,MATCH(E533,SquadConcurrents,0))</f>
        <v>Varsity</v>
      </c>
      <c r="E533" s="88" t="s">
        <v>352</v>
      </c>
      <c r="F533" s="88" t="s">
        <v>143</v>
      </c>
      <c r="G533" s="96" t="str">
        <f>IF(F533="Skeet",IFERROR(INDEX('Shooter-Squad Assignment'!$A:$A,MATCH(C533&amp;"-"&amp;E533&amp;"-"&amp;F533&amp;"-Pos1",'Shooter-Squad Assignment'!$K:$K,0)),""),IF(F533="Trap",IFERROR(INDEX('Shooter-Squad Assignment'!$A:$A,MATCH(C533&amp;"-"&amp;E533&amp;"-"&amp;F533&amp;"-Pos1",'Shooter-Squad Assignment'!$W:$W,0)),""),IF(F533="Sporting Clays",IFERROR(INDEX('Shooter-Squad Assignment'!$A:$A,MATCH(C533&amp;"-"&amp;E533&amp;"-"&amp;F533&amp;"-Pos1",'Shooter-Squad Assignment'!$Z:$Z,0)),""),"")))</f>
        <v/>
      </c>
      <c r="H533" s="88" t="str">
        <f>IF(ISBLANK(G533),"",IFERROR(INDEX('Tournament List'!$D:$D,MATCH(G533,'Tournament List'!$A:$A,0)),""))</f>
        <v/>
      </c>
      <c r="I533" s="96" t="str">
        <f>IF(F533="Skeet",IFERROR(INDEX('Shooter-Squad Assignment'!$A:$A,MATCH(C533&amp;"-"&amp;E533&amp;"-"&amp;F533&amp;"-Pos2",'Shooter-Squad Assignment'!$K:$K,0)),""),IF(F533="Trap",IFERROR(INDEX('Shooter-Squad Assignment'!$A:$A,MATCH(C533&amp;"-"&amp;E533&amp;"-"&amp;F533&amp;"-Pos2",'Shooter-Squad Assignment'!$W:$W,0)),""),IF(F533="Sporting Clays",IFERROR(INDEX('Shooter-Squad Assignment'!$A:$A,MATCH(C533&amp;"-"&amp;E533&amp;"-"&amp;F533&amp;"-Pos2",'Shooter-Squad Assignment'!$Z:$Z,0)),""),"")))</f>
        <v/>
      </c>
      <c r="J533" s="88" t="str">
        <f>IF(ISBLANK(I533),"",IFERROR(INDEX('Tournament List'!$D:$D,MATCH(I533,'Tournament List'!$A:$A,0)),""))</f>
        <v/>
      </c>
      <c r="K533" s="96" t="str">
        <f>IF(F533="Skeet",IFERROR(INDEX('Shooter-Squad Assignment'!$A:$A,MATCH(C533&amp;"-"&amp;E533&amp;"-"&amp;F533&amp;"-Pos3",'Shooter-Squad Assignment'!$K:$K,0)),""),IF(F533="Trap",IFERROR(INDEX('Shooter-Squad Assignment'!$A:$A,MATCH(C533&amp;"-"&amp;E533&amp;"-"&amp;F533&amp;"-Pos3",'Shooter-Squad Assignment'!$W:$W,0)),""),IF(F533="Sporting Clays",IFERROR(INDEX('Shooter-Squad Assignment'!$A:$A,MATCH(C533&amp;"-"&amp;E533&amp;"-"&amp;F533&amp;"-Pos3",'Shooter-Squad Assignment'!$Z:$Z,0)),""),"")))</f>
        <v/>
      </c>
      <c r="L533" s="88" t="str">
        <f>IF(ISBLANK(K533),"",IFERROR(INDEX('Tournament List'!$D:$D,MATCH(K533,'Tournament List'!$A:$A,0)),""))</f>
        <v/>
      </c>
      <c r="M533" s="96" t="str">
        <f>IF(F533="Skeet",IFERROR(INDEX('Shooter-Squad Assignment'!$A:$A,MATCH(C533&amp;"-"&amp;E533&amp;"-"&amp;F533&amp;"-Pos4",'Shooter-Squad Assignment'!$K:$K,0)),""),IF(F533="Trap",IFERROR(INDEX('Shooter-Squad Assignment'!$A:$A,MATCH(C533&amp;"-"&amp;E533&amp;"-"&amp;F533&amp;"-Pos4",'Shooter-Squad Assignment'!$W:$W,0)),""),IF(F533="Sporting Clays",IFERROR(INDEX('Shooter-Squad Assignment'!$A:$A,MATCH(C533&amp;"-"&amp;E533&amp;"-"&amp;F533&amp;"-Pos4",'Shooter-Squad Assignment'!$Z:$Z,0)),""),"")))</f>
        <v/>
      </c>
      <c r="N533" s="88" t="str">
        <f>IF(ISBLANK(M533),"",IFERROR(INDEX('Tournament List'!$D:$D,MATCH(M533,'Tournament List'!$A:$A,0)),""))</f>
        <v/>
      </c>
      <c r="O533" s="96" t="str">
        <f>IF(F533="Skeet",IFERROR(INDEX('Shooter-Squad Assignment'!$A:$A,MATCH(C533&amp;"-"&amp;E533&amp;"-"&amp;F533&amp;"-Pos5",'Shooter-Squad Assignment'!$K:$K,0)),""),IF(F533="Trap",IFERROR(INDEX('Shooter-Squad Assignment'!$A:$A,MATCH(C533&amp;"-"&amp;E533&amp;"-"&amp;F533&amp;"-Pos5",'Shooter-Squad Assignment'!$W:$W,0)),""),IF(F533="Sporting Clays",IFERROR(INDEX('Shooter-Squad Assignment'!$A:$A,MATCH(C533&amp;"-"&amp;E533&amp;"-"&amp;F533&amp;"-Pos5",'Shooter-Squad Assignment'!$Z:$Z,0)),""),"")))</f>
        <v/>
      </c>
      <c r="P533" s="89" t="str">
        <f>IF(ISBLANK(O533),"",IFERROR(INDEX('Tournament List'!$D:$D,MATCH(O533,'Tournament List'!$A:$A,0)),""))</f>
        <v/>
      </c>
    </row>
    <row r="534" spans="1:16" x14ac:dyDescent="0.3">
      <c r="A534" s="87">
        <v>533</v>
      </c>
      <c r="B534" s="88" t="str">
        <f>C534&amp;"-"&amp;E534&amp;"-"&amp;F534</f>
        <v>-Collegiate 1-Sporting Clays</v>
      </c>
      <c r="C534" s="88"/>
      <c r="D534" s="88" t="str">
        <f>INDEX('Tournament Setup'!$B$59:$B$78,MATCH(E534,SquadConcurrents,0))</f>
        <v>Collegiate</v>
      </c>
      <c r="E534" s="88" t="s">
        <v>342</v>
      </c>
      <c r="F534" s="88" t="s">
        <v>148</v>
      </c>
      <c r="G534" s="96" t="str">
        <f>IF(F534="Skeet",IFERROR(INDEX('Shooter-Squad Assignment'!$A:$A,MATCH(C534&amp;"-"&amp;E534&amp;"-"&amp;F534&amp;"-Pos1",'Shooter-Squad Assignment'!$K:$K,0)),""),IF(F534="Trap",IFERROR(INDEX('Shooter-Squad Assignment'!$A:$A,MATCH(C534&amp;"-"&amp;E534&amp;"-"&amp;F534&amp;"-Pos1",'Shooter-Squad Assignment'!$W:$W,0)),""),IF(F534="Sporting Clays",IFERROR(INDEX('Shooter-Squad Assignment'!$A:$A,MATCH(C534&amp;"-"&amp;E534&amp;"-"&amp;F534&amp;"-Pos1",'Shooter-Squad Assignment'!$Z:$Z,0)),""),"")))</f>
        <v/>
      </c>
      <c r="H534" s="88" t="str">
        <f>IF(ISBLANK(G534),"",IFERROR(INDEX('Tournament List'!$D:$D,MATCH(G534,'Tournament List'!$A:$A,0)),""))</f>
        <v/>
      </c>
      <c r="I534" s="96" t="str">
        <f>IF(F534="Skeet",IFERROR(INDEX('Shooter-Squad Assignment'!$A:$A,MATCH(C534&amp;"-"&amp;E534&amp;"-"&amp;F534&amp;"-Pos2",'Shooter-Squad Assignment'!$K:$K,0)),""),IF(F534="Trap",IFERROR(INDEX('Shooter-Squad Assignment'!$A:$A,MATCH(C534&amp;"-"&amp;E534&amp;"-"&amp;F534&amp;"-Pos2",'Shooter-Squad Assignment'!$W:$W,0)),""),IF(F534="Sporting Clays",IFERROR(INDEX('Shooter-Squad Assignment'!$A:$A,MATCH(C534&amp;"-"&amp;E534&amp;"-"&amp;F534&amp;"-Pos2",'Shooter-Squad Assignment'!$Z:$Z,0)),""),"")))</f>
        <v/>
      </c>
      <c r="J534" s="88" t="str">
        <f>IF(ISBLANK(I534),"",IFERROR(INDEX('Tournament List'!$D:$D,MATCH(I534,'Tournament List'!$A:$A,0)),""))</f>
        <v/>
      </c>
      <c r="K534" s="96" t="str">
        <f>IF(F534="Skeet",IFERROR(INDEX('Shooter-Squad Assignment'!$A:$A,MATCH(C534&amp;"-"&amp;E534&amp;"-"&amp;F534&amp;"-Pos3",'Shooter-Squad Assignment'!$K:$K,0)),""),IF(F534="Trap",IFERROR(INDEX('Shooter-Squad Assignment'!$A:$A,MATCH(C534&amp;"-"&amp;E534&amp;"-"&amp;F534&amp;"-Pos3",'Shooter-Squad Assignment'!$W:$W,0)),""),IF(F534="Sporting Clays",IFERROR(INDEX('Shooter-Squad Assignment'!$A:$A,MATCH(C534&amp;"-"&amp;E534&amp;"-"&amp;F534&amp;"-Pos3",'Shooter-Squad Assignment'!$Z:$Z,0)),""),"")))</f>
        <v/>
      </c>
      <c r="L534" s="88" t="str">
        <f>IF(ISBLANK(K534),"",IFERROR(INDEX('Tournament List'!$D:$D,MATCH(K534,'Tournament List'!$A:$A,0)),""))</f>
        <v/>
      </c>
      <c r="M534" s="96" t="str">
        <f>IF(F534="Skeet",IFERROR(INDEX('Shooter-Squad Assignment'!$A:$A,MATCH(C534&amp;"-"&amp;E534&amp;"-"&amp;F534&amp;"-Pos4",'Shooter-Squad Assignment'!$K:$K,0)),""),IF(F534="Trap",IFERROR(INDEX('Shooter-Squad Assignment'!$A:$A,MATCH(C534&amp;"-"&amp;E534&amp;"-"&amp;F534&amp;"-Pos4",'Shooter-Squad Assignment'!$W:$W,0)),""),IF(F534="Sporting Clays",IFERROR(INDEX('Shooter-Squad Assignment'!$A:$A,MATCH(C534&amp;"-"&amp;E534&amp;"-"&amp;F534&amp;"-Pos4",'Shooter-Squad Assignment'!$Z:$Z,0)),""),"")))</f>
        <v/>
      </c>
      <c r="N534" s="88" t="str">
        <f>IF(ISBLANK(M534),"",IFERROR(INDEX('Tournament List'!$D:$D,MATCH(M534,'Tournament List'!$A:$A,0)),""))</f>
        <v/>
      </c>
      <c r="O534" s="96" t="str">
        <f>IF(F534="Skeet",IFERROR(INDEX('Shooter-Squad Assignment'!$A:$A,MATCH(C534&amp;"-"&amp;E534&amp;"-"&amp;F534&amp;"-Pos5",'Shooter-Squad Assignment'!$K:$K,0)),""),IF(F534="Trap",IFERROR(INDEX('Shooter-Squad Assignment'!$A:$A,MATCH(C534&amp;"-"&amp;E534&amp;"-"&amp;F534&amp;"-Pos5",'Shooter-Squad Assignment'!$W:$W,0)),""),IF(F534="Sporting Clays",IFERROR(INDEX('Shooter-Squad Assignment'!$A:$A,MATCH(C534&amp;"-"&amp;E534&amp;"-"&amp;F534&amp;"-Pos5",'Shooter-Squad Assignment'!$Z:$Z,0)),""),"")))</f>
        <v/>
      </c>
      <c r="P534" s="89" t="str">
        <f>IF(ISBLANK(O534),"",IFERROR(INDEX('Tournament List'!$D:$D,MATCH(O534,'Tournament List'!$A:$A,0)),""))</f>
        <v/>
      </c>
    </row>
    <row r="535" spans="1:16" x14ac:dyDescent="0.3">
      <c r="A535" s="87">
        <v>534</v>
      </c>
      <c r="B535" s="88" t="str">
        <f>C535&amp;"-"&amp;E535&amp;"-"&amp;F535</f>
        <v>-Collegiate 2-Sporting Clays</v>
      </c>
      <c r="C535" s="88"/>
      <c r="D535" s="88" t="str">
        <f>INDEX('Tournament Setup'!$B$59:$B$78,MATCH(E535,SquadConcurrents,0))</f>
        <v>Collegiate</v>
      </c>
      <c r="E535" s="88" t="s">
        <v>348</v>
      </c>
      <c r="F535" s="88" t="s">
        <v>148</v>
      </c>
      <c r="G535" s="96" t="str">
        <f>IF(F535="Skeet",IFERROR(INDEX('Shooter-Squad Assignment'!$A:$A,MATCH(C535&amp;"-"&amp;E535&amp;"-"&amp;F535&amp;"-Pos1",'Shooter-Squad Assignment'!$K:$K,0)),""),IF(F535="Trap",IFERROR(INDEX('Shooter-Squad Assignment'!$A:$A,MATCH(C535&amp;"-"&amp;E535&amp;"-"&amp;F535&amp;"-Pos1",'Shooter-Squad Assignment'!$W:$W,0)),""),IF(F535="Sporting Clays",IFERROR(INDEX('Shooter-Squad Assignment'!$A:$A,MATCH(C535&amp;"-"&amp;E535&amp;"-"&amp;F535&amp;"-Pos1",'Shooter-Squad Assignment'!$Z:$Z,0)),""),"")))</f>
        <v/>
      </c>
      <c r="H535" s="88" t="str">
        <f>IF(ISBLANK(G535),"",IFERROR(INDEX('Tournament List'!$D:$D,MATCH(G535,'Tournament List'!$A:$A,0)),""))</f>
        <v/>
      </c>
      <c r="I535" s="96" t="str">
        <f>IF(F535="Skeet",IFERROR(INDEX('Shooter-Squad Assignment'!$A:$A,MATCH(C535&amp;"-"&amp;E535&amp;"-"&amp;F535&amp;"-Pos2",'Shooter-Squad Assignment'!$K:$K,0)),""),IF(F535="Trap",IFERROR(INDEX('Shooter-Squad Assignment'!$A:$A,MATCH(C535&amp;"-"&amp;E535&amp;"-"&amp;F535&amp;"-Pos2",'Shooter-Squad Assignment'!$W:$W,0)),""),IF(F535="Sporting Clays",IFERROR(INDEX('Shooter-Squad Assignment'!$A:$A,MATCH(C535&amp;"-"&amp;E535&amp;"-"&amp;F535&amp;"-Pos2",'Shooter-Squad Assignment'!$Z:$Z,0)),""),"")))</f>
        <v/>
      </c>
      <c r="J535" s="88" t="str">
        <f>IF(ISBLANK(I535),"",IFERROR(INDEX('Tournament List'!$D:$D,MATCH(I535,'Tournament List'!$A:$A,0)),""))</f>
        <v/>
      </c>
      <c r="K535" s="96" t="str">
        <f>IF(F535="Skeet",IFERROR(INDEX('Shooter-Squad Assignment'!$A:$A,MATCH(C535&amp;"-"&amp;E535&amp;"-"&amp;F535&amp;"-Pos3",'Shooter-Squad Assignment'!$K:$K,0)),""),IF(F535="Trap",IFERROR(INDEX('Shooter-Squad Assignment'!$A:$A,MATCH(C535&amp;"-"&amp;E535&amp;"-"&amp;F535&amp;"-Pos3",'Shooter-Squad Assignment'!$W:$W,0)),""),IF(F535="Sporting Clays",IFERROR(INDEX('Shooter-Squad Assignment'!$A:$A,MATCH(C535&amp;"-"&amp;E535&amp;"-"&amp;F535&amp;"-Pos3",'Shooter-Squad Assignment'!$Z:$Z,0)),""),"")))</f>
        <v/>
      </c>
      <c r="L535" s="88" t="str">
        <f>IF(ISBLANK(K535),"",IFERROR(INDEX('Tournament List'!$D:$D,MATCH(K535,'Tournament List'!$A:$A,0)),""))</f>
        <v/>
      </c>
      <c r="M535" s="96" t="str">
        <f>IF(F535="Skeet",IFERROR(INDEX('Shooter-Squad Assignment'!$A:$A,MATCH(C535&amp;"-"&amp;E535&amp;"-"&amp;F535&amp;"-Pos4",'Shooter-Squad Assignment'!$K:$K,0)),""),IF(F535="Trap",IFERROR(INDEX('Shooter-Squad Assignment'!$A:$A,MATCH(C535&amp;"-"&amp;E535&amp;"-"&amp;F535&amp;"-Pos4",'Shooter-Squad Assignment'!$W:$W,0)),""),IF(F535="Sporting Clays",IFERROR(INDEX('Shooter-Squad Assignment'!$A:$A,MATCH(C535&amp;"-"&amp;E535&amp;"-"&amp;F535&amp;"-Pos4",'Shooter-Squad Assignment'!$Z:$Z,0)),""),"")))</f>
        <v/>
      </c>
      <c r="N535" s="88" t="str">
        <f>IF(ISBLANK(M535),"",IFERROR(INDEX('Tournament List'!$D:$D,MATCH(M535,'Tournament List'!$A:$A,0)),""))</f>
        <v/>
      </c>
      <c r="O535" s="96" t="str">
        <f>IF(F535="Skeet",IFERROR(INDEX('Shooter-Squad Assignment'!$A:$A,MATCH(C535&amp;"-"&amp;E535&amp;"-"&amp;F535&amp;"-Pos5",'Shooter-Squad Assignment'!$K:$K,0)),""),IF(F535="Trap",IFERROR(INDEX('Shooter-Squad Assignment'!$A:$A,MATCH(C535&amp;"-"&amp;E535&amp;"-"&amp;F535&amp;"-Pos5",'Shooter-Squad Assignment'!$W:$W,0)),""),IF(F535="Sporting Clays",IFERROR(INDEX('Shooter-Squad Assignment'!$A:$A,MATCH(C535&amp;"-"&amp;E535&amp;"-"&amp;F535&amp;"-Pos5",'Shooter-Squad Assignment'!$Z:$Z,0)),""),"")))</f>
        <v/>
      </c>
      <c r="P535" s="89" t="str">
        <f>IF(ISBLANK(O535),"",IFERROR(INDEX('Tournament List'!$D:$D,MATCH(O535,'Tournament List'!$A:$A,0)),""))</f>
        <v/>
      </c>
    </row>
    <row r="536" spans="1:16" x14ac:dyDescent="0.3">
      <c r="A536" s="87">
        <v>535</v>
      </c>
      <c r="B536" s="88" t="str">
        <f>C536&amp;"-"&amp;E536&amp;"-"&amp;F536</f>
        <v>-Collegiate 3-Sporting Clays</v>
      </c>
      <c r="C536" s="88"/>
      <c r="D536" s="88" t="str">
        <f>INDEX('Tournament Setup'!$B$59:$B$78,MATCH(E536,SquadConcurrents,0))</f>
        <v>Collegiate</v>
      </c>
      <c r="E536" s="88" t="s">
        <v>354</v>
      </c>
      <c r="F536" s="88" t="s">
        <v>148</v>
      </c>
      <c r="G536" s="96" t="str">
        <f>IF(F536="Skeet",IFERROR(INDEX('Shooter-Squad Assignment'!$A:$A,MATCH(C536&amp;"-"&amp;E536&amp;"-"&amp;F536&amp;"-Pos1",'Shooter-Squad Assignment'!$K:$K,0)),""),IF(F536="Trap",IFERROR(INDEX('Shooter-Squad Assignment'!$A:$A,MATCH(C536&amp;"-"&amp;E536&amp;"-"&amp;F536&amp;"-Pos1",'Shooter-Squad Assignment'!$W:$W,0)),""),IF(F536="Sporting Clays",IFERROR(INDEX('Shooter-Squad Assignment'!$A:$A,MATCH(C536&amp;"-"&amp;E536&amp;"-"&amp;F536&amp;"-Pos1",'Shooter-Squad Assignment'!$Z:$Z,0)),""),"")))</f>
        <v/>
      </c>
      <c r="H536" s="88" t="str">
        <f>IF(ISBLANK(G536),"",IFERROR(INDEX('Tournament List'!$D:$D,MATCH(G536,'Tournament List'!$A:$A,0)),""))</f>
        <v/>
      </c>
      <c r="I536" s="96" t="str">
        <f>IF(F536="Skeet",IFERROR(INDEX('Shooter-Squad Assignment'!$A:$A,MATCH(C536&amp;"-"&amp;E536&amp;"-"&amp;F536&amp;"-Pos2",'Shooter-Squad Assignment'!$K:$K,0)),""),IF(F536="Trap",IFERROR(INDEX('Shooter-Squad Assignment'!$A:$A,MATCH(C536&amp;"-"&amp;E536&amp;"-"&amp;F536&amp;"-Pos2",'Shooter-Squad Assignment'!$W:$W,0)),""),IF(F536="Sporting Clays",IFERROR(INDEX('Shooter-Squad Assignment'!$A:$A,MATCH(C536&amp;"-"&amp;E536&amp;"-"&amp;F536&amp;"-Pos2",'Shooter-Squad Assignment'!$Z:$Z,0)),""),"")))</f>
        <v/>
      </c>
      <c r="J536" s="88" t="str">
        <f>IF(ISBLANK(I536),"",IFERROR(INDEX('Tournament List'!$D:$D,MATCH(I536,'Tournament List'!$A:$A,0)),""))</f>
        <v/>
      </c>
      <c r="K536" s="96" t="str">
        <f>IF(F536="Skeet",IFERROR(INDEX('Shooter-Squad Assignment'!$A:$A,MATCH(C536&amp;"-"&amp;E536&amp;"-"&amp;F536&amp;"-Pos3",'Shooter-Squad Assignment'!$K:$K,0)),""),IF(F536="Trap",IFERROR(INDEX('Shooter-Squad Assignment'!$A:$A,MATCH(C536&amp;"-"&amp;E536&amp;"-"&amp;F536&amp;"-Pos3",'Shooter-Squad Assignment'!$W:$W,0)),""),IF(F536="Sporting Clays",IFERROR(INDEX('Shooter-Squad Assignment'!$A:$A,MATCH(C536&amp;"-"&amp;E536&amp;"-"&amp;F536&amp;"-Pos3",'Shooter-Squad Assignment'!$Z:$Z,0)),""),"")))</f>
        <v/>
      </c>
      <c r="L536" s="88" t="str">
        <f>IF(ISBLANK(K536),"",IFERROR(INDEX('Tournament List'!$D:$D,MATCH(K536,'Tournament List'!$A:$A,0)),""))</f>
        <v/>
      </c>
      <c r="M536" s="96" t="str">
        <f>IF(F536="Skeet",IFERROR(INDEX('Shooter-Squad Assignment'!$A:$A,MATCH(C536&amp;"-"&amp;E536&amp;"-"&amp;F536&amp;"-Pos4",'Shooter-Squad Assignment'!$K:$K,0)),""),IF(F536="Trap",IFERROR(INDEX('Shooter-Squad Assignment'!$A:$A,MATCH(C536&amp;"-"&amp;E536&amp;"-"&amp;F536&amp;"-Pos4",'Shooter-Squad Assignment'!$W:$W,0)),""),IF(F536="Sporting Clays",IFERROR(INDEX('Shooter-Squad Assignment'!$A:$A,MATCH(C536&amp;"-"&amp;E536&amp;"-"&amp;F536&amp;"-Pos4",'Shooter-Squad Assignment'!$Z:$Z,0)),""),"")))</f>
        <v/>
      </c>
      <c r="N536" s="88" t="str">
        <f>IF(ISBLANK(M536),"",IFERROR(INDEX('Tournament List'!$D:$D,MATCH(M536,'Tournament List'!$A:$A,0)),""))</f>
        <v/>
      </c>
      <c r="O536" s="96" t="str">
        <f>IF(F536="Skeet",IFERROR(INDEX('Shooter-Squad Assignment'!$A:$A,MATCH(C536&amp;"-"&amp;E536&amp;"-"&amp;F536&amp;"-Pos5",'Shooter-Squad Assignment'!$K:$K,0)),""),IF(F536="Trap",IFERROR(INDEX('Shooter-Squad Assignment'!$A:$A,MATCH(C536&amp;"-"&amp;E536&amp;"-"&amp;F536&amp;"-Pos5",'Shooter-Squad Assignment'!$W:$W,0)),""),IF(F536="Sporting Clays",IFERROR(INDEX('Shooter-Squad Assignment'!$A:$A,MATCH(C536&amp;"-"&amp;E536&amp;"-"&amp;F536&amp;"-Pos5",'Shooter-Squad Assignment'!$Z:$Z,0)),""),"")))</f>
        <v/>
      </c>
      <c r="P536" s="89" t="str">
        <f>IF(ISBLANK(O536),"",IFERROR(INDEX('Tournament List'!$D:$D,MATCH(O536,'Tournament List'!$A:$A,0)),""))</f>
        <v/>
      </c>
    </row>
    <row r="537" spans="1:16" x14ac:dyDescent="0.3">
      <c r="A537" s="87">
        <v>536</v>
      </c>
      <c r="B537" s="88" t="str">
        <f>C537&amp;"-"&amp;E537&amp;"-"&amp;F537</f>
        <v>-Intermediate 1-Sporting Clays</v>
      </c>
      <c r="C537" s="88"/>
      <c r="D537" s="88" t="str">
        <f>INDEX('Tournament Setup'!$B$59:$B$78,MATCH(E537,SquadConcurrents,0))</f>
        <v>Intermediate</v>
      </c>
      <c r="E537" s="88" t="s">
        <v>338</v>
      </c>
      <c r="F537" s="88" t="s">
        <v>148</v>
      </c>
      <c r="G537" s="96" t="str">
        <f>IF(F537="Skeet",IFERROR(INDEX('Shooter-Squad Assignment'!$A:$A,MATCH(C537&amp;"-"&amp;E537&amp;"-"&amp;F537&amp;"-Pos1",'Shooter-Squad Assignment'!$K:$K,0)),""),IF(F537="Trap",IFERROR(INDEX('Shooter-Squad Assignment'!$A:$A,MATCH(C537&amp;"-"&amp;E537&amp;"-"&amp;F537&amp;"-Pos1",'Shooter-Squad Assignment'!$W:$W,0)),""),IF(F537="Sporting Clays",IFERROR(INDEX('Shooter-Squad Assignment'!$A:$A,MATCH(C537&amp;"-"&amp;E537&amp;"-"&amp;F537&amp;"-Pos1",'Shooter-Squad Assignment'!$Z:$Z,0)),""),"")))</f>
        <v/>
      </c>
      <c r="H537" s="88" t="str">
        <f>IF(ISBLANK(G537),"",IFERROR(INDEX('Tournament List'!$D:$D,MATCH(G537,'Tournament List'!$A:$A,0)),""))</f>
        <v/>
      </c>
      <c r="I537" s="96" t="str">
        <f>IF(F537="Skeet",IFERROR(INDEX('Shooter-Squad Assignment'!$A:$A,MATCH(C537&amp;"-"&amp;E537&amp;"-"&amp;F537&amp;"-Pos2",'Shooter-Squad Assignment'!$K:$K,0)),""),IF(F537="Trap",IFERROR(INDEX('Shooter-Squad Assignment'!$A:$A,MATCH(C537&amp;"-"&amp;E537&amp;"-"&amp;F537&amp;"-Pos2",'Shooter-Squad Assignment'!$W:$W,0)),""),IF(F537="Sporting Clays",IFERROR(INDEX('Shooter-Squad Assignment'!$A:$A,MATCH(C537&amp;"-"&amp;E537&amp;"-"&amp;F537&amp;"-Pos2",'Shooter-Squad Assignment'!$Z:$Z,0)),""),"")))</f>
        <v/>
      </c>
      <c r="J537" s="88" t="str">
        <f>IF(ISBLANK(I537),"",IFERROR(INDEX('Tournament List'!$D:$D,MATCH(I537,'Tournament List'!$A:$A,0)),""))</f>
        <v/>
      </c>
      <c r="K537" s="96" t="str">
        <f>IF(F537="Skeet",IFERROR(INDEX('Shooter-Squad Assignment'!$A:$A,MATCH(C537&amp;"-"&amp;E537&amp;"-"&amp;F537&amp;"-Pos3",'Shooter-Squad Assignment'!$K:$K,0)),""),IF(F537="Trap",IFERROR(INDEX('Shooter-Squad Assignment'!$A:$A,MATCH(C537&amp;"-"&amp;E537&amp;"-"&amp;F537&amp;"-Pos3",'Shooter-Squad Assignment'!$W:$W,0)),""),IF(F537="Sporting Clays",IFERROR(INDEX('Shooter-Squad Assignment'!$A:$A,MATCH(C537&amp;"-"&amp;E537&amp;"-"&amp;F537&amp;"-Pos3",'Shooter-Squad Assignment'!$Z:$Z,0)),""),"")))</f>
        <v/>
      </c>
      <c r="L537" s="88" t="str">
        <f>IF(ISBLANK(K537),"",IFERROR(INDEX('Tournament List'!$D:$D,MATCH(K537,'Tournament List'!$A:$A,0)),""))</f>
        <v/>
      </c>
      <c r="M537" s="96" t="str">
        <f>IF(F537="Skeet",IFERROR(INDEX('Shooter-Squad Assignment'!$A:$A,MATCH(C537&amp;"-"&amp;E537&amp;"-"&amp;F537&amp;"-Pos4",'Shooter-Squad Assignment'!$K:$K,0)),""),IF(F537="Trap",IFERROR(INDEX('Shooter-Squad Assignment'!$A:$A,MATCH(C537&amp;"-"&amp;E537&amp;"-"&amp;F537&amp;"-Pos4",'Shooter-Squad Assignment'!$W:$W,0)),""),IF(F537="Sporting Clays",IFERROR(INDEX('Shooter-Squad Assignment'!$A:$A,MATCH(C537&amp;"-"&amp;E537&amp;"-"&amp;F537&amp;"-Pos4",'Shooter-Squad Assignment'!$Z:$Z,0)),""),"")))</f>
        <v/>
      </c>
      <c r="N537" s="88" t="str">
        <f>IF(ISBLANK(M537),"",IFERROR(INDEX('Tournament List'!$D:$D,MATCH(M537,'Tournament List'!$A:$A,0)),""))</f>
        <v/>
      </c>
      <c r="O537" s="96" t="str">
        <f>IF(F537="Skeet",IFERROR(INDEX('Shooter-Squad Assignment'!$A:$A,MATCH(C537&amp;"-"&amp;E537&amp;"-"&amp;F537&amp;"-Pos5",'Shooter-Squad Assignment'!$K:$K,0)),""),IF(F537="Trap",IFERROR(INDEX('Shooter-Squad Assignment'!$A:$A,MATCH(C537&amp;"-"&amp;E537&amp;"-"&amp;F537&amp;"-Pos5",'Shooter-Squad Assignment'!$W:$W,0)),""),IF(F537="Sporting Clays",IFERROR(INDEX('Shooter-Squad Assignment'!$A:$A,MATCH(C537&amp;"-"&amp;E537&amp;"-"&amp;F537&amp;"-Pos5",'Shooter-Squad Assignment'!$Z:$Z,0)),""),"")))</f>
        <v/>
      </c>
      <c r="P537" s="89" t="str">
        <f>IF(ISBLANK(O537),"",IFERROR(INDEX('Tournament List'!$D:$D,MATCH(O537,'Tournament List'!$A:$A,0)),""))</f>
        <v/>
      </c>
    </row>
    <row r="538" spans="1:16" x14ac:dyDescent="0.3">
      <c r="A538" s="87">
        <v>537</v>
      </c>
      <c r="B538" s="88" t="str">
        <f>C538&amp;"-"&amp;E538&amp;"-"&amp;F538</f>
        <v>-Intermediate 2-Sporting Clays</v>
      </c>
      <c r="C538" s="88"/>
      <c r="D538" s="88" t="str">
        <f>INDEX('Tournament Setup'!$B$59:$B$78,MATCH(E538,SquadConcurrents,0))</f>
        <v>Intermediate</v>
      </c>
      <c r="E538" s="88" t="s">
        <v>344</v>
      </c>
      <c r="F538" s="88" t="s">
        <v>148</v>
      </c>
      <c r="G538" s="96" t="str">
        <f>IF(F538="Skeet",IFERROR(INDEX('Shooter-Squad Assignment'!$A:$A,MATCH(C538&amp;"-"&amp;E538&amp;"-"&amp;F538&amp;"-Pos1",'Shooter-Squad Assignment'!$K:$K,0)),""),IF(F538="Trap",IFERROR(INDEX('Shooter-Squad Assignment'!$A:$A,MATCH(C538&amp;"-"&amp;E538&amp;"-"&amp;F538&amp;"-Pos1",'Shooter-Squad Assignment'!$W:$W,0)),""),IF(F538="Sporting Clays",IFERROR(INDEX('Shooter-Squad Assignment'!$A:$A,MATCH(C538&amp;"-"&amp;E538&amp;"-"&amp;F538&amp;"-Pos1",'Shooter-Squad Assignment'!$Z:$Z,0)),""),"")))</f>
        <v/>
      </c>
      <c r="H538" s="88" t="str">
        <f>IF(ISBLANK(G538),"",IFERROR(INDEX('Tournament List'!$D:$D,MATCH(G538,'Tournament List'!$A:$A,0)),""))</f>
        <v/>
      </c>
      <c r="I538" s="96" t="str">
        <f>IF(F538="Skeet",IFERROR(INDEX('Shooter-Squad Assignment'!$A:$A,MATCH(C538&amp;"-"&amp;E538&amp;"-"&amp;F538&amp;"-Pos2",'Shooter-Squad Assignment'!$K:$K,0)),""),IF(F538="Trap",IFERROR(INDEX('Shooter-Squad Assignment'!$A:$A,MATCH(C538&amp;"-"&amp;E538&amp;"-"&amp;F538&amp;"-Pos2",'Shooter-Squad Assignment'!$W:$W,0)),""),IF(F538="Sporting Clays",IFERROR(INDEX('Shooter-Squad Assignment'!$A:$A,MATCH(C538&amp;"-"&amp;E538&amp;"-"&amp;F538&amp;"-Pos2",'Shooter-Squad Assignment'!$Z:$Z,0)),""),"")))</f>
        <v/>
      </c>
      <c r="J538" s="88" t="str">
        <f>IF(ISBLANK(I538),"",IFERROR(INDEX('Tournament List'!$D:$D,MATCH(I538,'Tournament List'!$A:$A,0)),""))</f>
        <v/>
      </c>
      <c r="K538" s="96" t="str">
        <f>IF(F538="Skeet",IFERROR(INDEX('Shooter-Squad Assignment'!$A:$A,MATCH(C538&amp;"-"&amp;E538&amp;"-"&amp;F538&amp;"-Pos3",'Shooter-Squad Assignment'!$K:$K,0)),""),IF(F538="Trap",IFERROR(INDEX('Shooter-Squad Assignment'!$A:$A,MATCH(C538&amp;"-"&amp;E538&amp;"-"&amp;F538&amp;"-Pos3",'Shooter-Squad Assignment'!$W:$W,0)),""),IF(F538="Sporting Clays",IFERROR(INDEX('Shooter-Squad Assignment'!$A:$A,MATCH(C538&amp;"-"&amp;E538&amp;"-"&amp;F538&amp;"-Pos3",'Shooter-Squad Assignment'!$Z:$Z,0)),""),"")))</f>
        <v/>
      </c>
      <c r="L538" s="88" t="str">
        <f>IF(ISBLANK(K538),"",IFERROR(INDEX('Tournament List'!$D:$D,MATCH(K538,'Tournament List'!$A:$A,0)),""))</f>
        <v/>
      </c>
      <c r="M538" s="96" t="str">
        <f>IF(F538="Skeet",IFERROR(INDEX('Shooter-Squad Assignment'!$A:$A,MATCH(C538&amp;"-"&amp;E538&amp;"-"&amp;F538&amp;"-Pos4",'Shooter-Squad Assignment'!$K:$K,0)),""),IF(F538="Trap",IFERROR(INDEX('Shooter-Squad Assignment'!$A:$A,MATCH(C538&amp;"-"&amp;E538&amp;"-"&amp;F538&amp;"-Pos4",'Shooter-Squad Assignment'!$W:$W,0)),""),IF(F538="Sporting Clays",IFERROR(INDEX('Shooter-Squad Assignment'!$A:$A,MATCH(C538&amp;"-"&amp;E538&amp;"-"&amp;F538&amp;"-Pos4",'Shooter-Squad Assignment'!$Z:$Z,0)),""),"")))</f>
        <v/>
      </c>
      <c r="N538" s="88" t="str">
        <f>IF(ISBLANK(M538),"",IFERROR(INDEX('Tournament List'!$D:$D,MATCH(M538,'Tournament List'!$A:$A,0)),""))</f>
        <v/>
      </c>
      <c r="O538" s="96" t="str">
        <f>IF(F538="Skeet",IFERROR(INDEX('Shooter-Squad Assignment'!$A:$A,MATCH(C538&amp;"-"&amp;E538&amp;"-"&amp;F538&amp;"-Pos5",'Shooter-Squad Assignment'!$K:$K,0)),""),IF(F538="Trap",IFERROR(INDEX('Shooter-Squad Assignment'!$A:$A,MATCH(C538&amp;"-"&amp;E538&amp;"-"&amp;F538&amp;"-Pos5",'Shooter-Squad Assignment'!$W:$W,0)),""),IF(F538="Sporting Clays",IFERROR(INDEX('Shooter-Squad Assignment'!$A:$A,MATCH(C538&amp;"-"&amp;E538&amp;"-"&amp;F538&amp;"-Pos5",'Shooter-Squad Assignment'!$Z:$Z,0)),""),"")))</f>
        <v/>
      </c>
      <c r="P538" s="89" t="str">
        <f>IF(ISBLANK(O538),"",IFERROR(INDEX('Tournament List'!$D:$D,MATCH(O538,'Tournament List'!$A:$A,0)),""))</f>
        <v/>
      </c>
    </row>
    <row r="539" spans="1:16" x14ac:dyDescent="0.3">
      <c r="A539" s="87">
        <v>538</v>
      </c>
      <c r="B539" s="88" t="str">
        <f>C539&amp;"-"&amp;E539&amp;"-"&amp;F539</f>
        <v>-Intermediate 3-Sporting Clays</v>
      </c>
      <c r="C539" s="88"/>
      <c r="D539" s="88" t="str">
        <f>INDEX('Tournament Setup'!$B$59:$B$78,MATCH(E539,SquadConcurrents,0))</f>
        <v>Intermediate</v>
      </c>
      <c r="E539" s="88" t="s">
        <v>350</v>
      </c>
      <c r="F539" s="88" t="s">
        <v>148</v>
      </c>
      <c r="G539" s="96" t="str">
        <f>IF(F539="Skeet",IFERROR(INDEX('Shooter-Squad Assignment'!$A:$A,MATCH(C539&amp;"-"&amp;E539&amp;"-"&amp;F539&amp;"-Pos1",'Shooter-Squad Assignment'!$K:$K,0)),""),IF(F539="Trap",IFERROR(INDEX('Shooter-Squad Assignment'!$A:$A,MATCH(C539&amp;"-"&amp;E539&amp;"-"&amp;F539&amp;"-Pos1",'Shooter-Squad Assignment'!$W:$W,0)),""),IF(F539="Sporting Clays",IFERROR(INDEX('Shooter-Squad Assignment'!$A:$A,MATCH(C539&amp;"-"&amp;E539&amp;"-"&amp;F539&amp;"-Pos1",'Shooter-Squad Assignment'!$Z:$Z,0)),""),"")))</f>
        <v/>
      </c>
      <c r="H539" s="88" t="str">
        <f>IF(ISBLANK(G539),"",IFERROR(INDEX('Tournament List'!$D:$D,MATCH(G539,'Tournament List'!$A:$A,0)),""))</f>
        <v/>
      </c>
      <c r="I539" s="96" t="str">
        <f>IF(F539="Skeet",IFERROR(INDEX('Shooter-Squad Assignment'!$A:$A,MATCH(C539&amp;"-"&amp;E539&amp;"-"&amp;F539&amp;"-Pos2",'Shooter-Squad Assignment'!$K:$K,0)),""),IF(F539="Trap",IFERROR(INDEX('Shooter-Squad Assignment'!$A:$A,MATCH(C539&amp;"-"&amp;E539&amp;"-"&amp;F539&amp;"-Pos2",'Shooter-Squad Assignment'!$W:$W,0)),""),IF(F539="Sporting Clays",IFERROR(INDEX('Shooter-Squad Assignment'!$A:$A,MATCH(C539&amp;"-"&amp;E539&amp;"-"&amp;F539&amp;"-Pos2",'Shooter-Squad Assignment'!$Z:$Z,0)),""),"")))</f>
        <v/>
      </c>
      <c r="J539" s="88" t="str">
        <f>IF(ISBLANK(I539),"",IFERROR(INDEX('Tournament List'!$D:$D,MATCH(I539,'Tournament List'!$A:$A,0)),""))</f>
        <v/>
      </c>
      <c r="K539" s="96" t="str">
        <f>IF(F539="Skeet",IFERROR(INDEX('Shooter-Squad Assignment'!$A:$A,MATCH(C539&amp;"-"&amp;E539&amp;"-"&amp;F539&amp;"-Pos3",'Shooter-Squad Assignment'!$K:$K,0)),""),IF(F539="Trap",IFERROR(INDEX('Shooter-Squad Assignment'!$A:$A,MATCH(C539&amp;"-"&amp;E539&amp;"-"&amp;F539&amp;"-Pos3",'Shooter-Squad Assignment'!$W:$W,0)),""),IF(F539="Sporting Clays",IFERROR(INDEX('Shooter-Squad Assignment'!$A:$A,MATCH(C539&amp;"-"&amp;E539&amp;"-"&amp;F539&amp;"-Pos3",'Shooter-Squad Assignment'!$Z:$Z,0)),""),"")))</f>
        <v/>
      </c>
      <c r="L539" s="88" t="str">
        <f>IF(ISBLANK(K539),"",IFERROR(INDEX('Tournament List'!$D:$D,MATCH(K539,'Tournament List'!$A:$A,0)),""))</f>
        <v/>
      </c>
      <c r="M539" s="96" t="str">
        <f>IF(F539="Skeet",IFERROR(INDEX('Shooter-Squad Assignment'!$A:$A,MATCH(C539&amp;"-"&amp;E539&amp;"-"&amp;F539&amp;"-Pos4",'Shooter-Squad Assignment'!$K:$K,0)),""),IF(F539="Trap",IFERROR(INDEX('Shooter-Squad Assignment'!$A:$A,MATCH(C539&amp;"-"&amp;E539&amp;"-"&amp;F539&amp;"-Pos4",'Shooter-Squad Assignment'!$W:$W,0)),""),IF(F539="Sporting Clays",IFERROR(INDEX('Shooter-Squad Assignment'!$A:$A,MATCH(C539&amp;"-"&amp;E539&amp;"-"&amp;F539&amp;"-Pos4",'Shooter-Squad Assignment'!$Z:$Z,0)),""),"")))</f>
        <v/>
      </c>
      <c r="N539" s="88" t="str">
        <f>IF(ISBLANK(M539),"",IFERROR(INDEX('Tournament List'!$D:$D,MATCH(M539,'Tournament List'!$A:$A,0)),""))</f>
        <v/>
      </c>
      <c r="O539" s="96" t="str">
        <f>IF(F539="Skeet",IFERROR(INDEX('Shooter-Squad Assignment'!$A:$A,MATCH(C539&amp;"-"&amp;E539&amp;"-"&amp;F539&amp;"-Pos5",'Shooter-Squad Assignment'!$K:$K,0)),""),IF(F539="Trap",IFERROR(INDEX('Shooter-Squad Assignment'!$A:$A,MATCH(C539&amp;"-"&amp;E539&amp;"-"&amp;F539&amp;"-Pos5",'Shooter-Squad Assignment'!$W:$W,0)),""),IF(F539="Sporting Clays",IFERROR(INDEX('Shooter-Squad Assignment'!$A:$A,MATCH(C539&amp;"-"&amp;E539&amp;"-"&amp;F539&amp;"-Pos5",'Shooter-Squad Assignment'!$Z:$Z,0)),""),"")))</f>
        <v/>
      </c>
      <c r="P539" s="89" t="str">
        <f>IF(ISBLANK(O539),"",IFERROR(INDEX('Tournament List'!$D:$D,MATCH(O539,'Tournament List'!$A:$A,0)),""))</f>
        <v/>
      </c>
    </row>
    <row r="540" spans="1:16" x14ac:dyDescent="0.3">
      <c r="A540" s="87">
        <v>539</v>
      </c>
      <c r="B540" s="88" t="str">
        <f>C540&amp;"-"&amp;E540&amp;"-"&amp;F540</f>
        <v>-Junior Varsity 1-Sporting Clays</v>
      </c>
      <c r="C540" s="88"/>
      <c r="D540" s="88" t="str">
        <f>INDEX('Tournament Setup'!$B$59:$B$78,MATCH(E540,SquadConcurrents,0))</f>
        <v>Junior Varsity</v>
      </c>
      <c r="E540" s="88" t="s">
        <v>339</v>
      </c>
      <c r="F540" s="88" t="s">
        <v>148</v>
      </c>
      <c r="G540" s="96" t="str">
        <f>IF(F540="Skeet",IFERROR(INDEX('Shooter-Squad Assignment'!$A:$A,MATCH(C540&amp;"-"&amp;E540&amp;"-"&amp;F540&amp;"-Pos1",'Shooter-Squad Assignment'!$K:$K,0)),""),IF(F540="Trap",IFERROR(INDEX('Shooter-Squad Assignment'!$A:$A,MATCH(C540&amp;"-"&amp;E540&amp;"-"&amp;F540&amp;"-Pos1",'Shooter-Squad Assignment'!$W:$W,0)),""),IF(F540="Sporting Clays",IFERROR(INDEX('Shooter-Squad Assignment'!$A:$A,MATCH(C540&amp;"-"&amp;E540&amp;"-"&amp;F540&amp;"-Pos1",'Shooter-Squad Assignment'!$Z:$Z,0)),""),"")))</f>
        <v/>
      </c>
      <c r="H540" s="88" t="str">
        <f>IF(ISBLANK(G540),"",IFERROR(INDEX('Tournament List'!$D:$D,MATCH(G540,'Tournament List'!$A:$A,0)),""))</f>
        <v/>
      </c>
      <c r="I540" s="96" t="str">
        <f>IF(F540="Skeet",IFERROR(INDEX('Shooter-Squad Assignment'!$A:$A,MATCH(C540&amp;"-"&amp;E540&amp;"-"&amp;F540&amp;"-Pos2",'Shooter-Squad Assignment'!$K:$K,0)),""),IF(F540="Trap",IFERROR(INDEX('Shooter-Squad Assignment'!$A:$A,MATCH(C540&amp;"-"&amp;E540&amp;"-"&amp;F540&amp;"-Pos2",'Shooter-Squad Assignment'!$W:$W,0)),""),IF(F540="Sporting Clays",IFERROR(INDEX('Shooter-Squad Assignment'!$A:$A,MATCH(C540&amp;"-"&amp;E540&amp;"-"&amp;F540&amp;"-Pos2",'Shooter-Squad Assignment'!$Z:$Z,0)),""),"")))</f>
        <v/>
      </c>
      <c r="J540" s="88" t="str">
        <f>IF(ISBLANK(I540),"",IFERROR(INDEX('Tournament List'!$D:$D,MATCH(I540,'Tournament List'!$A:$A,0)),""))</f>
        <v/>
      </c>
      <c r="K540" s="96" t="str">
        <f>IF(F540="Skeet",IFERROR(INDEX('Shooter-Squad Assignment'!$A:$A,MATCH(C540&amp;"-"&amp;E540&amp;"-"&amp;F540&amp;"-Pos3",'Shooter-Squad Assignment'!$K:$K,0)),""),IF(F540="Trap",IFERROR(INDEX('Shooter-Squad Assignment'!$A:$A,MATCH(C540&amp;"-"&amp;E540&amp;"-"&amp;F540&amp;"-Pos3",'Shooter-Squad Assignment'!$W:$W,0)),""),IF(F540="Sporting Clays",IFERROR(INDEX('Shooter-Squad Assignment'!$A:$A,MATCH(C540&amp;"-"&amp;E540&amp;"-"&amp;F540&amp;"-Pos3",'Shooter-Squad Assignment'!$Z:$Z,0)),""),"")))</f>
        <v/>
      </c>
      <c r="L540" s="88" t="str">
        <f>IF(ISBLANK(K540),"",IFERROR(INDEX('Tournament List'!$D:$D,MATCH(K540,'Tournament List'!$A:$A,0)),""))</f>
        <v/>
      </c>
      <c r="M540" s="96" t="str">
        <f>IF(F540="Skeet",IFERROR(INDEX('Shooter-Squad Assignment'!$A:$A,MATCH(C540&amp;"-"&amp;E540&amp;"-"&amp;F540&amp;"-Pos4",'Shooter-Squad Assignment'!$K:$K,0)),""),IF(F540="Trap",IFERROR(INDEX('Shooter-Squad Assignment'!$A:$A,MATCH(C540&amp;"-"&amp;E540&amp;"-"&amp;F540&amp;"-Pos4",'Shooter-Squad Assignment'!$W:$W,0)),""),IF(F540="Sporting Clays",IFERROR(INDEX('Shooter-Squad Assignment'!$A:$A,MATCH(C540&amp;"-"&amp;E540&amp;"-"&amp;F540&amp;"-Pos4",'Shooter-Squad Assignment'!$Z:$Z,0)),""),"")))</f>
        <v/>
      </c>
      <c r="N540" s="88" t="str">
        <f>IF(ISBLANK(M540),"",IFERROR(INDEX('Tournament List'!$D:$D,MATCH(M540,'Tournament List'!$A:$A,0)),""))</f>
        <v/>
      </c>
      <c r="O540" s="96" t="str">
        <f>IF(F540="Skeet",IFERROR(INDEX('Shooter-Squad Assignment'!$A:$A,MATCH(C540&amp;"-"&amp;E540&amp;"-"&amp;F540&amp;"-Pos5",'Shooter-Squad Assignment'!$K:$K,0)),""),IF(F540="Trap",IFERROR(INDEX('Shooter-Squad Assignment'!$A:$A,MATCH(C540&amp;"-"&amp;E540&amp;"-"&amp;F540&amp;"-Pos5",'Shooter-Squad Assignment'!$W:$W,0)),""),IF(F540="Sporting Clays",IFERROR(INDEX('Shooter-Squad Assignment'!$A:$A,MATCH(C540&amp;"-"&amp;E540&amp;"-"&amp;F540&amp;"-Pos5",'Shooter-Squad Assignment'!$Z:$Z,0)),""),"")))</f>
        <v/>
      </c>
      <c r="P540" s="89" t="str">
        <f>IF(ISBLANK(O540),"",IFERROR(INDEX('Tournament List'!$D:$D,MATCH(O540,'Tournament List'!$A:$A,0)),""))</f>
        <v/>
      </c>
    </row>
    <row r="541" spans="1:16" x14ac:dyDescent="0.3">
      <c r="A541" s="87">
        <v>540</v>
      </c>
      <c r="B541" s="88" t="str">
        <f>C541&amp;"-"&amp;E541&amp;"-"&amp;F541</f>
        <v>-Junior Varsity 2-Sporting Clays</v>
      </c>
      <c r="C541" s="88"/>
      <c r="D541" s="88" t="str">
        <f>INDEX('Tournament Setup'!$B$59:$B$78,MATCH(E541,SquadConcurrents,0))</f>
        <v>Junior Varsity</v>
      </c>
      <c r="E541" s="88" t="s">
        <v>345</v>
      </c>
      <c r="F541" s="88" t="s">
        <v>148</v>
      </c>
      <c r="G541" s="96" t="str">
        <f>IF(F541="Skeet",IFERROR(INDEX('Shooter-Squad Assignment'!$A:$A,MATCH(C541&amp;"-"&amp;E541&amp;"-"&amp;F541&amp;"-Pos1",'Shooter-Squad Assignment'!$K:$K,0)),""),IF(F541="Trap",IFERROR(INDEX('Shooter-Squad Assignment'!$A:$A,MATCH(C541&amp;"-"&amp;E541&amp;"-"&amp;F541&amp;"-Pos1",'Shooter-Squad Assignment'!$W:$W,0)),""),IF(F541="Sporting Clays",IFERROR(INDEX('Shooter-Squad Assignment'!$A:$A,MATCH(C541&amp;"-"&amp;E541&amp;"-"&amp;F541&amp;"-Pos1",'Shooter-Squad Assignment'!$Z:$Z,0)),""),"")))</f>
        <v/>
      </c>
      <c r="H541" s="88" t="str">
        <f>IF(ISBLANK(G541),"",IFERROR(INDEX('Tournament List'!$D:$D,MATCH(G541,'Tournament List'!$A:$A,0)),""))</f>
        <v/>
      </c>
      <c r="I541" s="96" t="str">
        <f>IF(F541="Skeet",IFERROR(INDEX('Shooter-Squad Assignment'!$A:$A,MATCH(C541&amp;"-"&amp;E541&amp;"-"&amp;F541&amp;"-Pos2",'Shooter-Squad Assignment'!$K:$K,0)),""),IF(F541="Trap",IFERROR(INDEX('Shooter-Squad Assignment'!$A:$A,MATCH(C541&amp;"-"&amp;E541&amp;"-"&amp;F541&amp;"-Pos2",'Shooter-Squad Assignment'!$W:$W,0)),""),IF(F541="Sporting Clays",IFERROR(INDEX('Shooter-Squad Assignment'!$A:$A,MATCH(C541&amp;"-"&amp;E541&amp;"-"&amp;F541&amp;"-Pos2",'Shooter-Squad Assignment'!$Z:$Z,0)),""),"")))</f>
        <v/>
      </c>
      <c r="J541" s="88" t="str">
        <f>IF(ISBLANK(I541),"",IFERROR(INDEX('Tournament List'!$D:$D,MATCH(I541,'Tournament List'!$A:$A,0)),""))</f>
        <v/>
      </c>
      <c r="K541" s="96" t="str">
        <f>IF(F541="Skeet",IFERROR(INDEX('Shooter-Squad Assignment'!$A:$A,MATCH(C541&amp;"-"&amp;E541&amp;"-"&amp;F541&amp;"-Pos3",'Shooter-Squad Assignment'!$K:$K,0)),""),IF(F541="Trap",IFERROR(INDEX('Shooter-Squad Assignment'!$A:$A,MATCH(C541&amp;"-"&amp;E541&amp;"-"&amp;F541&amp;"-Pos3",'Shooter-Squad Assignment'!$W:$W,0)),""),IF(F541="Sporting Clays",IFERROR(INDEX('Shooter-Squad Assignment'!$A:$A,MATCH(C541&amp;"-"&amp;E541&amp;"-"&amp;F541&amp;"-Pos3",'Shooter-Squad Assignment'!$Z:$Z,0)),""),"")))</f>
        <v/>
      </c>
      <c r="L541" s="88" t="str">
        <f>IF(ISBLANK(K541),"",IFERROR(INDEX('Tournament List'!$D:$D,MATCH(K541,'Tournament List'!$A:$A,0)),""))</f>
        <v/>
      </c>
      <c r="M541" s="96" t="str">
        <f>IF(F541="Skeet",IFERROR(INDEX('Shooter-Squad Assignment'!$A:$A,MATCH(C541&amp;"-"&amp;E541&amp;"-"&amp;F541&amp;"-Pos4",'Shooter-Squad Assignment'!$K:$K,0)),""),IF(F541="Trap",IFERROR(INDEX('Shooter-Squad Assignment'!$A:$A,MATCH(C541&amp;"-"&amp;E541&amp;"-"&amp;F541&amp;"-Pos4",'Shooter-Squad Assignment'!$W:$W,0)),""),IF(F541="Sporting Clays",IFERROR(INDEX('Shooter-Squad Assignment'!$A:$A,MATCH(C541&amp;"-"&amp;E541&amp;"-"&amp;F541&amp;"-Pos4",'Shooter-Squad Assignment'!$Z:$Z,0)),""),"")))</f>
        <v/>
      </c>
      <c r="N541" s="88" t="str">
        <f>IF(ISBLANK(M541),"",IFERROR(INDEX('Tournament List'!$D:$D,MATCH(M541,'Tournament List'!$A:$A,0)),""))</f>
        <v/>
      </c>
      <c r="O541" s="96" t="str">
        <f>IF(F541="Skeet",IFERROR(INDEX('Shooter-Squad Assignment'!$A:$A,MATCH(C541&amp;"-"&amp;E541&amp;"-"&amp;F541&amp;"-Pos5",'Shooter-Squad Assignment'!$K:$K,0)),""),IF(F541="Trap",IFERROR(INDEX('Shooter-Squad Assignment'!$A:$A,MATCH(C541&amp;"-"&amp;E541&amp;"-"&amp;F541&amp;"-Pos5",'Shooter-Squad Assignment'!$W:$W,0)),""),IF(F541="Sporting Clays",IFERROR(INDEX('Shooter-Squad Assignment'!$A:$A,MATCH(C541&amp;"-"&amp;E541&amp;"-"&amp;F541&amp;"-Pos5",'Shooter-Squad Assignment'!$Z:$Z,0)),""),"")))</f>
        <v/>
      </c>
      <c r="P541" s="89" t="str">
        <f>IF(ISBLANK(O541),"",IFERROR(INDEX('Tournament List'!$D:$D,MATCH(O541,'Tournament List'!$A:$A,0)),""))</f>
        <v/>
      </c>
    </row>
    <row r="542" spans="1:16" x14ac:dyDescent="0.3">
      <c r="A542" s="87">
        <v>541</v>
      </c>
      <c r="B542" s="88" t="str">
        <f>C542&amp;"-"&amp;E542&amp;"-"&amp;F542</f>
        <v>-Junior Varsity 3-Sporting Clays</v>
      </c>
      <c r="C542" s="88"/>
      <c r="D542" s="88" t="str">
        <f>INDEX('Tournament Setup'!$B$59:$B$78,MATCH(E542,SquadConcurrents,0))</f>
        <v>Junior Varsity</v>
      </c>
      <c r="E542" s="88" t="s">
        <v>351</v>
      </c>
      <c r="F542" s="88" t="s">
        <v>148</v>
      </c>
      <c r="G542" s="96" t="str">
        <f>IF(F542="Skeet",IFERROR(INDEX('Shooter-Squad Assignment'!$A:$A,MATCH(C542&amp;"-"&amp;E542&amp;"-"&amp;F542&amp;"-Pos1",'Shooter-Squad Assignment'!$K:$K,0)),""),IF(F542="Trap",IFERROR(INDEX('Shooter-Squad Assignment'!$A:$A,MATCH(C542&amp;"-"&amp;E542&amp;"-"&amp;F542&amp;"-Pos1",'Shooter-Squad Assignment'!$W:$W,0)),""),IF(F542="Sporting Clays",IFERROR(INDEX('Shooter-Squad Assignment'!$A:$A,MATCH(C542&amp;"-"&amp;E542&amp;"-"&amp;F542&amp;"-Pos1",'Shooter-Squad Assignment'!$Z:$Z,0)),""),"")))</f>
        <v/>
      </c>
      <c r="H542" s="88" t="str">
        <f>IF(ISBLANK(G542),"",IFERROR(INDEX('Tournament List'!$D:$D,MATCH(G542,'Tournament List'!$A:$A,0)),""))</f>
        <v/>
      </c>
      <c r="I542" s="96" t="str">
        <f>IF(F542="Skeet",IFERROR(INDEX('Shooter-Squad Assignment'!$A:$A,MATCH(C542&amp;"-"&amp;E542&amp;"-"&amp;F542&amp;"-Pos2",'Shooter-Squad Assignment'!$K:$K,0)),""),IF(F542="Trap",IFERROR(INDEX('Shooter-Squad Assignment'!$A:$A,MATCH(C542&amp;"-"&amp;E542&amp;"-"&amp;F542&amp;"-Pos2",'Shooter-Squad Assignment'!$W:$W,0)),""),IF(F542="Sporting Clays",IFERROR(INDEX('Shooter-Squad Assignment'!$A:$A,MATCH(C542&amp;"-"&amp;E542&amp;"-"&amp;F542&amp;"-Pos2",'Shooter-Squad Assignment'!$Z:$Z,0)),""),"")))</f>
        <v/>
      </c>
      <c r="J542" s="88" t="str">
        <f>IF(ISBLANK(I542),"",IFERROR(INDEX('Tournament List'!$D:$D,MATCH(I542,'Tournament List'!$A:$A,0)),""))</f>
        <v/>
      </c>
      <c r="K542" s="96" t="str">
        <f>IF(F542="Skeet",IFERROR(INDEX('Shooter-Squad Assignment'!$A:$A,MATCH(C542&amp;"-"&amp;E542&amp;"-"&amp;F542&amp;"-Pos3",'Shooter-Squad Assignment'!$K:$K,0)),""),IF(F542="Trap",IFERROR(INDEX('Shooter-Squad Assignment'!$A:$A,MATCH(C542&amp;"-"&amp;E542&amp;"-"&amp;F542&amp;"-Pos3",'Shooter-Squad Assignment'!$W:$W,0)),""),IF(F542="Sporting Clays",IFERROR(INDEX('Shooter-Squad Assignment'!$A:$A,MATCH(C542&amp;"-"&amp;E542&amp;"-"&amp;F542&amp;"-Pos3",'Shooter-Squad Assignment'!$Z:$Z,0)),""),"")))</f>
        <v/>
      </c>
      <c r="L542" s="88" t="str">
        <f>IF(ISBLANK(K542),"",IFERROR(INDEX('Tournament List'!$D:$D,MATCH(K542,'Tournament List'!$A:$A,0)),""))</f>
        <v/>
      </c>
      <c r="M542" s="96" t="str">
        <f>IF(F542="Skeet",IFERROR(INDEX('Shooter-Squad Assignment'!$A:$A,MATCH(C542&amp;"-"&amp;E542&amp;"-"&amp;F542&amp;"-Pos4",'Shooter-Squad Assignment'!$K:$K,0)),""),IF(F542="Trap",IFERROR(INDEX('Shooter-Squad Assignment'!$A:$A,MATCH(C542&amp;"-"&amp;E542&amp;"-"&amp;F542&amp;"-Pos4",'Shooter-Squad Assignment'!$W:$W,0)),""),IF(F542="Sporting Clays",IFERROR(INDEX('Shooter-Squad Assignment'!$A:$A,MATCH(C542&amp;"-"&amp;E542&amp;"-"&amp;F542&amp;"-Pos4",'Shooter-Squad Assignment'!$Z:$Z,0)),""),"")))</f>
        <v/>
      </c>
      <c r="N542" s="88" t="str">
        <f>IF(ISBLANK(M542),"",IFERROR(INDEX('Tournament List'!$D:$D,MATCH(M542,'Tournament List'!$A:$A,0)),""))</f>
        <v/>
      </c>
      <c r="O542" s="96" t="str">
        <f>IF(F542="Skeet",IFERROR(INDEX('Shooter-Squad Assignment'!$A:$A,MATCH(C542&amp;"-"&amp;E542&amp;"-"&amp;F542&amp;"-Pos5",'Shooter-Squad Assignment'!$K:$K,0)),""),IF(F542="Trap",IFERROR(INDEX('Shooter-Squad Assignment'!$A:$A,MATCH(C542&amp;"-"&amp;E542&amp;"-"&amp;F542&amp;"-Pos5",'Shooter-Squad Assignment'!$W:$W,0)),""),IF(F542="Sporting Clays",IFERROR(INDEX('Shooter-Squad Assignment'!$A:$A,MATCH(C542&amp;"-"&amp;E542&amp;"-"&amp;F542&amp;"-Pos5",'Shooter-Squad Assignment'!$Z:$Z,0)),""),"")))</f>
        <v/>
      </c>
      <c r="P542" s="89" t="str">
        <f>IF(ISBLANK(O542),"",IFERROR(INDEX('Tournament List'!$D:$D,MATCH(O542,'Tournament List'!$A:$A,0)),""))</f>
        <v/>
      </c>
    </row>
    <row r="543" spans="1:16" x14ac:dyDescent="0.3">
      <c r="A543" s="87">
        <v>542</v>
      </c>
      <c r="B543" s="88" t="str">
        <f>C543&amp;"-"&amp;E543&amp;"-"&amp;F543</f>
        <v>-Novice 1-Sporting Clays</v>
      </c>
      <c r="C543" s="88"/>
      <c r="D543" s="88" t="str">
        <f>INDEX('Tournament Setup'!$B$59:$B$78,MATCH(E543,SquadConcurrents,0))</f>
        <v>Novice</v>
      </c>
      <c r="E543" s="88" t="s">
        <v>337</v>
      </c>
      <c r="F543" s="88" t="s">
        <v>148</v>
      </c>
      <c r="G543" s="96" t="str">
        <f>IF(F543="Skeet",IFERROR(INDEX('Shooter-Squad Assignment'!$A:$A,MATCH(C543&amp;"-"&amp;E543&amp;"-"&amp;F543&amp;"-Pos1",'Shooter-Squad Assignment'!$K:$K,0)),""),IF(F543="Trap",IFERROR(INDEX('Shooter-Squad Assignment'!$A:$A,MATCH(C543&amp;"-"&amp;E543&amp;"-"&amp;F543&amp;"-Pos1",'Shooter-Squad Assignment'!$W:$W,0)),""),IF(F543="Sporting Clays",IFERROR(INDEX('Shooter-Squad Assignment'!$A:$A,MATCH(C543&amp;"-"&amp;E543&amp;"-"&amp;F543&amp;"-Pos1",'Shooter-Squad Assignment'!$Z:$Z,0)),""),"")))</f>
        <v/>
      </c>
      <c r="H543" s="88" t="str">
        <f>IF(ISBLANK(G543),"",IFERROR(INDEX('Tournament List'!$D:$D,MATCH(G543,'Tournament List'!$A:$A,0)),""))</f>
        <v/>
      </c>
      <c r="I543" s="96" t="str">
        <f>IF(F543="Skeet",IFERROR(INDEX('Shooter-Squad Assignment'!$A:$A,MATCH(C543&amp;"-"&amp;E543&amp;"-"&amp;F543&amp;"-Pos2",'Shooter-Squad Assignment'!$K:$K,0)),""),IF(F543="Trap",IFERROR(INDEX('Shooter-Squad Assignment'!$A:$A,MATCH(C543&amp;"-"&amp;E543&amp;"-"&amp;F543&amp;"-Pos2",'Shooter-Squad Assignment'!$W:$W,0)),""),IF(F543="Sporting Clays",IFERROR(INDEX('Shooter-Squad Assignment'!$A:$A,MATCH(C543&amp;"-"&amp;E543&amp;"-"&amp;F543&amp;"-Pos2",'Shooter-Squad Assignment'!$Z:$Z,0)),""),"")))</f>
        <v/>
      </c>
      <c r="J543" s="88" t="str">
        <f>IF(ISBLANK(I543),"",IFERROR(INDEX('Tournament List'!$D:$D,MATCH(I543,'Tournament List'!$A:$A,0)),""))</f>
        <v/>
      </c>
      <c r="K543" s="96" t="str">
        <f>IF(F543="Skeet",IFERROR(INDEX('Shooter-Squad Assignment'!$A:$A,MATCH(C543&amp;"-"&amp;E543&amp;"-"&amp;F543&amp;"-Pos3",'Shooter-Squad Assignment'!$K:$K,0)),""),IF(F543="Trap",IFERROR(INDEX('Shooter-Squad Assignment'!$A:$A,MATCH(C543&amp;"-"&amp;E543&amp;"-"&amp;F543&amp;"-Pos3",'Shooter-Squad Assignment'!$W:$W,0)),""),IF(F543="Sporting Clays",IFERROR(INDEX('Shooter-Squad Assignment'!$A:$A,MATCH(C543&amp;"-"&amp;E543&amp;"-"&amp;F543&amp;"-Pos3",'Shooter-Squad Assignment'!$Z:$Z,0)),""),"")))</f>
        <v/>
      </c>
      <c r="L543" s="88" t="str">
        <f>IF(ISBLANK(K543),"",IFERROR(INDEX('Tournament List'!$D:$D,MATCH(K543,'Tournament List'!$A:$A,0)),""))</f>
        <v/>
      </c>
      <c r="M543" s="96" t="str">
        <f>IF(F543="Skeet",IFERROR(INDEX('Shooter-Squad Assignment'!$A:$A,MATCH(C543&amp;"-"&amp;E543&amp;"-"&amp;F543&amp;"-Pos4",'Shooter-Squad Assignment'!$K:$K,0)),""),IF(F543="Trap",IFERROR(INDEX('Shooter-Squad Assignment'!$A:$A,MATCH(C543&amp;"-"&amp;E543&amp;"-"&amp;F543&amp;"-Pos4",'Shooter-Squad Assignment'!$W:$W,0)),""),IF(F543="Sporting Clays",IFERROR(INDEX('Shooter-Squad Assignment'!$A:$A,MATCH(C543&amp;"-"&amp;E543&amp;"-"&amp;F543&amp;"-Pos4",'Shooter-Squad Assignment'!$Z:$Z,0)),""),"")))</f>
        <v/>
      </c>
      <c r="N543" s="88" t="str">
        <f>IF(ISBLANK(M543),"",IFERROR(INDEX('Tournament List'!$D:$D,MATCH(M543,'Tournament List'!$A:$A,0)),""))</f>
        <v/>
      </c>
      <c r="O543" s="96" t="str">
        <f>IF(F543="Skeet",IFERROR(INDEX('Shooter-Squad Assignment'!$A:$A,MATCH(C543&amp;"-"&amp;E543&amp;"-"&amp;F543&amp;"-Pos5",'Shooter-Squad Assignment'!$K:$K,0)),""),IF(F543="Trap",IFERROR(INDEX('Shooter-Squad Assignment'!$A:$A,MATCH(C543&amp;"-"&amp;E543&amp;"-"&amp;F543&amp;"-Pos5",'Shooter-Squad Assignment'!$W:$W,0)),""),IF(F543="Sporting Clays",IFERROR(INDEX('Shooter-Squad Assignment'!$A:$A,MATCH(C543&amp;"-"&amp;E543&amp;"-"&amp;F543&amp;"-Pos5",'Shooter-Squad Assignment'!$Z:$Z,0)),""),"")))</f>
        <v/>
      </c>
      <c r="P543" s="89" t="str">
        <f>IF(ISBLANK(O543),"",IFERROR(INDEX('Tournament List'!$D:$D,MATCH(O543,'Tournament List'!$A:$A,0)),""))</f>
        <v/>
      </c>
    </row>
    <row r="544" spans="1:16" x14ac:dyDescent="0.3">
      <c r="A544" s="87">
        <v>543</v>
      </c>
      <c r="B544" s="88" t="str">
        <f>C544&amp;"-"&amp;E544&amp;"-"&amp;F544</f>
        <v>-Novice 2-Sporting Clays</v>
      </c>
      <c r="C544" s="88"/>
      <c r="D544" s="88" t="str">
        <f>INDEX('Tournament Setup'!$B$59:$B$78,MATCH(E544,SquadConcurrents,0))</f>
        <v>Novice</v>
      </c>
      <c r="E544" s="88" t="s">
        <v>343</v>
      </c>
      <c r="F544" s="88" t="s">
        <v>148</v>
      </c>
      <c r="G544" s="96" t="str">
        <f>IF(F544="Skeet",IFERROR(INDEX('Shooter-Squad Assignment'!$A:$A,MATCH(C544&amp;"-"&amp;E544&amp;"-"&amp;F544&amp;"-Pos1",'Shooter-Squad Assignment'!$K:$K,0)),""),IF(F544="Trap",IFERROR(INDEX('Shooter-Squad Assignment'!$A:$A,MATCH(C544&amp;"-"&amp;E544&amp;"-"&amp;F544&amp;"-Pos1",'Shooter-Squad Assignment'!$W:$W,0)),""),IF(F544="Sporting Clays",IFERROR(INDEX('Shooter-Squad Assignment'!$A:$A,MATCH(C544&amp;"-"&amp;E544&amp;"-"&amp;F544&amp;"-Pos1",'Shooter-Squad Assignment'!$Z:$Z,0)),""),"")))</f>
        <v/>
      </c>
      <c r="H544" s="88" t="str">
        <f>IF(ISBLANK(G544),"",IFERROR(INDEX('Tournament List'!$D:$D,MATCH(G544,'Tournament List'!$A:$A,0)),""))</f>
        <v/>
      </c>
      <c r="I544" s="96" t="str">
        <f>IF(F544="Skeet",IFERROR(INDEX('Shooter-Squad Assignment'!$A:$A,MATCH(C544&amp;"-"&amp;E544&amp;"-"&amp;F544&amp;"-Pos2",'Shooter-Squad Assignment'!$K:$K,0)),""),IF(F544="Trap",IFERROR(INDEX('Shooter-Squad Assignment'!$A:$A,MATCH(C544&amp;"-"&amp;E544&amp;"-"&amp;F544&amp;"-Pos2",'Shooter-Squad Assignment'!$W:$W,0)),""),IF(F544="Sporting Clays",IFERROR(INDEX('Shooter-Squad Assignment'!$A:$A,MATCH(C544&amp;"-"&amp;E544&amp;"-"&amp;F544&amp;"-Pos2",'Shooter-Squad Assignment'!$Z:$Z,0)),""),"")))</f>
        <v/>
      </c>
      <c r="J544" s="88" t="str">
        <f>IF(ISBLANK(I544),"",IFERROR(INDEX('Tournament List'!$D:$D,MATCH(I544,'Tournament List'!$A:$A,0)),""))</f>
        <v/>
      </c>
      <c r="K544" s="96" t="str">
        <f>IF(F544="Skeet",IFERROR(INDEX('Shooter-Squad Assignment'!$A:$A,MATCH(C544&amp;"-"&amp;E544&amp;"-"&amp;F544&amp;"-Pos3",'Shooter-Squad Assignment'!$K:$K,0)),""),IF(F544="Trap",IFERROR(INDEX('Shooter-Squad Assignment'!$A:$A,MATCH(C544&amp;"-"&amp;E544&amp;"-"&amp;F544&amp;"-Pos3",'Shooter-Squad Assignment'!$W:$W,0)),""),IF(F544="Sporting Clays",IFERROR(INDEX('Shooter-Squad Assignment'!$A:$A,MATCH(C544&amp;"-"&amp;E544&amp;"-"&amp;F544&amp;"-Pos3",'Shooter-Squad Assignment'!$Z:$Z,0)),""),"")))</f>
        <v/>
      </c>
      <c r="L544" s="88" t="str">
        <f>IF(ISBLANK(K544),"",IFERROR(INDEX('Tournament List'!$D:$D,MATCH(K544,'Tournament List'!$A:$A,0)),""))</f>
        <v/>
      </c>
      <c r="M544" s="96" t="str">
        <f>IF(F544="Skeet",IFERROR(INDEX('Shooter-Squad Assignment'!$A:$A,MATCH(C544&amp;"-"&amp;E544&amp;"-"&amp;F544&amp;"-Pos4",'Shooter-Squad Assignment'!$K:$K,0)),""),IF(F544="Trap",IFERROR(INDEX('Shooter-Squad Assignment'!$A:$A,MATCH(C544&amp;"-"&amp;E544&amp;"-"&amp;F544&amp;"-Pos4",'Shooter-Squad Assignment'!$W:$W,0)),""),IF(F544="Sporting Clays",IFERROR(INDEX('Shooter-Squad Assignment'!$A:$A,MATCH(C544&amp;"-"&amp;E544&amp;"-"&amp;F544&amp;"-Pos4",'Shooter-Squad Assignment'!$Z:$Z,0)),""),"")))</f>
        <v/>
      </c>
      <c r="N544" s="88" t="str">
        <f>IF(ISBLANK(M544),"",IFERROR(INDEX('Tournament List'!$D:$D,MATCH(M544,'Tournament List'!$A:$A,0)),""))</f>
        <v/>
      </c>
      <c r="O544" s="96" t="str">
        <f>IF(F544="Skeet",IFERROR(INDEX('Shooter-Squad Assignment'!$A:$A,MATCH(C544&amp;"-"&amp;E544&amp;"-"&amp;F544&amp;"-Pos5",'Shooter-Squad Assignment'!$K:$K,0)),""),IF(F544="Trap",IFERROR(INDEX('Shooter-Squad Assignment'!$A:$A,MATCH(C544&amp;"-"&amp;E544&amp;"-"&amp;F544&amp;"-Pos5",'Shooter-Squad Assignment'!$W:$W,0)),""),IF(F544="Sporting Clays",IFERROR(INDEX('Shooter-Squad Assignment'!$A:$A,MATCH(C544&amp;"-"&amp;E544&amp;"-"&amp;F544&amp;"-Pos5",'Shooter-Squad Assignment'!$Z:$Z,0)),""),"")))</f>
        <v/>
      </c>
      <c r="P544" s="89" t="str">
        <f>IF(ISBLANK(O544),"",IFERROR(INDEX('Tournament List'!$D:$D,MATCH(O544,'Tournament List'!$A:$A,0)),""))</f>
        <v/>
      </c>
    </row>
    <row r="545" spans="1:16" x14ac:dyDescent="0.3">
      <c r="A545" s="87">
        <v>544</v>
      </c>
      <c r="B545" s="88" t="str">
        <f>C545&amp;"-"&amp;E545&amp;"-"&amp;F545</f>
        <v>-Novice 3-Sporting Clays</v>
      </c>
      <c r="C545" s="88"/>
      <c r="D545" s="88" t="str">
        <f>INDEX('Tournament Setup'!$B$59:$B$78,MATCH(E545,SquadConcurrents,0))</f>
        <v>Novice</v>
      </c>
      <c r="E545" s="88" t="s">
        <v>349</v>
      </c>
      <c r="F545" s="88" t="s">
        <v>148</v>
      </c>
      <c r="G545" s="96" t="str">
        <f>IF(F545="Skeet",IFERROR(INDEX('Shooter-Squad Assignment'!$A:$A,MATCH(C545&amp;"-"&amp;E545&amp;"-"&amp;F545&amp;"-Pos1",'Shooter-Squad Assignment'!$K:$K,0)),""),IF(F545="Trap",IFERROR(INDEX('Shooter-Squad Assignment'!$A:$A,MATCH(C545&amp;"-"&amp;E545&amp;"-"&amp;F545&amp;"-Pos1",'Shooter-Squad Assignment'!$W:$W,0)),""),IF(F545="Sporting Clays",IFERROR(INDEX('Shooter-Squad Assignment'!$A:$A,MATCH(C545&amp;"-"&amp;E545&amp;"-"&amp;F545&amp;"-Pos1",'Shooter-Squad Assignment'!$Z:$Z,0)),""),"")))</f>
        <v/>
      </c>
      <c r="H545" s="88" t="str">
        <f>IF(ISBLANK(G545),"",IFERROR(INDEX('Tournament List'!$D:$D,MATCH(G545,'Tournament List'!$A:$A,0)),""))</f>
        <v/>
      </c>
      <c r="I545" s="96" t="str">
        <f>IF(F545="Skeet",IFERROR(INDEX('Shooter-Squad Assignment'!$A:$A,MATCH(C545&amp;"-"&amp;E545&amp;"-"&amp;F545&amp;"-Pos2",'Shooter-Squad Assignment'!$K:$K,0)),""),IF(F545="Trap",IFERROR(INDEX('Shooter-Squad Assignment'!$A:$A,MATCH(C545&amp;"-"&amp;E545&amp;"-"&amp;F545&amp;"-Pos2",'Shooter-Squad Assignment'!$W:$W,0)),""),IF(F545="Sporting Clays",IFERROR(INDEX('Shooter-Squad Assignment'!$A:$A,MATCH(C545&amp;"-"&amp;E545&amp;"-"&amp;F545&amp;"-Pos2",'Shooter-Squad Assignment'!$Z:$Z,0)),""),"")))</f>
        <v/>
      </c>
      <c r="J545" s="88" t="str">
        <f>IF(ISBLANK(I545),"",IFERROR(INDEX('Tournament List'!$D:$D,MATCH(I545,'Tournament List'!$A:$A,0)),""))</f>
        <v/>
      </c>
      <c r="K545" s="96" t="str">
        <f>IF(F545="Skeet",IFERROR(INDEX('Shooter-Squad Assignment'!$A:$A,MATCH(C545&amp;"-"&amp;E545&amp;"-"&amp;F545&amp;"-Pos3",'Shooter-Squad Assignment'!$K:$K,0)),""),IF(F545="Trap",IFERROR(INDEX('Shooter-Squad Assignment'!$A:$A,MATCH(C545&amp;"-"&amp;E545&amp;"-"&amp;F545&amp;"-Pos3",'Shooter-Squad Assignment'!$W:$W,0)),""),IF(F545="Sporting Clays",IFERROR(INDEX('Shooter-Squad Assignment'!$A:$A,MATCH(C545&amp;"-"&amp;E545&amp;"-"&amp;F545&amp;"-Pos3",'Shooter-Squad Assignment'!$Z:$Z,0)),""),"")))</f>
        <v/>
      </c>
      <c r="L545" s="88" t="str">
        <f>IF(ISBLANK(K545),"",IFERROR(INDEX('Tournament List'!$D:$D,MATCH(K545,'Tournament List'!$A:$A,0)),""))</f>
        <v/>
      </c>
      <c r="M545" s="96" t="str">
        <f>IF(F545="Skeet",IFERROR(INDEX('Shooter-Squad Assignment'!$A:$A,MATCH(C545&amp;"-"&amp;E545&amp;"-"&amp;F545&amp;"-Pos4",'Shooter-Squad Assignment'!$K:$K,0)),""),IF(F545="Trap",IFERROR(INDEX('Shooter-Squad Assignment'!$A:$A,MATCH(C545&amp;"-"&amp;E545&amp;"-"&amp;F545&amp;"-Pos4",'Shooter-Squad Assignment'!$W:$W,0)),""),IF(F545="Sporting Clays",IFERROR(INDEX('Shooter-Squad Assignment'!$A:$A,MATCH(C545&amp;"-"&amp;E545&amp;"-"&amp;F545&amp;"-Pos4",'Shooter-Squad Assignment'!$Z:$Z,0)),""),"")))</f>
        <v/>
      </c>
      <c r="N545" s="88" t="str">
        <f>IF(ISBLANK(M545),"",IFERROR(INDEX('Tournament List'!$D:$D,MATCH(M545,'Tournament List'!$A:$A,0)),""))</f>
        <v/>
      </c>
      <c r="O545" s="96" t="str">
        <f>IF(F545="Skeet",IFERROR(INDEX('Shooter-Squad Assignment'!$A:$A,MATCH(C545&amp;"-"&amp;E545&amp;"-"&amp;F545&amp;"-Pos5",'Shooter-Squad Assignment'!$K:$K,0)),""),IF(F545="Trap",IFERROR(INDEX('Shooter-Squad Assignment'!$A:$A,MATCH(C545&amp;"-"&amp;E545&amp;"-"&amp;F545&amp;"-Pos5",'Shooter-Squad Assignment'!$W:$W,0)),""),IF(F545="Sporting Clays",IFERROR(INDEX('Shooter-Squad Assignment'!$A:$A,MATCH(C545&amp;"-"&amp;E545&amp;"-"&amp;F545&amp;"-Pos5",'Shooter-Squad Assignment'!$Z:$Z,0)),""),"")))</f>
        <v/>
      </c>
      <c r="P545" s="89" t="str">
        <f>IF(ISBLANK(O545),"",IFERROR(INDEX('Tournament List'!$D:$D,MATCH(O545,'Tournament List'!$A:$A,0)),""))</f>
        <v/>
      </c>
    </row>
    <row r="546" spans="1:16" x14ac:dyDescent="0.3">
      <c r="A546" s="87">
        <v>545</v>
      </c>
      <c r="B546" s="88" t="str">
        <f>C546&amp;"-"&amp;E546&amp;"-"&amp;F546</f>
        <v>-Open 1-Sporting Clays</v>
      </c>
      <c r="C546" s="88"/>
      <c r="D546" s="88" t="str">
        <f>INDEX('Tournament Setup'!$B$59:$B$78,MATCH(E546,SquadConcurrents,0))</f>
        <v>Open</v>
      </c>
      <c r="E546" s="88" t="s">
        <v>341</v>
      </c>
      <c r="F546" s="88" t="s">
        <v>148</v>
      </c>
      <c r="G546" s="96" t="str">
        <f>IF(F546="Skeet",IFERROR(INDEX('Shooter-Squad Assignment'!$A:$A,MATCH(C546&amp;"-"&amp;E546&amp;"-"&amp;F546&amp;"-Pos1",'Shooter-Squad Assignment'!$K:$K,0)),""),IF(F546="Trap",IFERROR(INDEX('Shooter-Squad Assignment'!$A:$A,MATCH(C546&amp;"-"&amp;E546&amp;"-"&amp;F546&amp;"-Pos1",'Shooter-Squad Assignment'!$W:$W,0)),""),IF(F546="Sporting Clays",IFERROR(INDEX('Shooter-Squad Assignment'!$A:$A,MATCH(C546&amp;"-"&amp;E546&amp;"-"&amp;F546&amp;"-Pos1",'Shooter-Squad Assignment'!$Z:$Z,0)),""),"")))</f>
        <v/>
      </c>
      <c r="H546" s="88" t="str">
        <f>IF(ISBLANK(G546),"",IFERROR(INDEX('Tournament List'!$D:$D,MATCH(G546,'Tournament List'!$A:$A,0)),""))</f>
        <v/>
      </c>
      <c r="I546" s="96" t="str">
        <f>IF(F546="Skeet",IFERROR(INDEX('Shooter-Squad Assignment'!$A:$A,MATCH(C546&amp;"-"&amp;E546&amp;"-"&amp;F546&amp;"-Pos2",'Shooter-Squad Assignment'!$K:$K,0)),""),IF(F546="Trap",IFERROR(INDEX('Shooter-Squad Assignment'!$A:$A,MATCH(C546&amp;"-"&amp;E546&amp;"-"&amp;F546&amp;"-Pos2",'Shooter-Squad Assignment'!$W:$W,0)),""),IF(F546="Sporting Clays",IFERROR(INDEX('Shooter-Squad Assignment'!$A:$A,MATCH(C546&amp;"-"&amp;E546&amp;"-"&amp;F546&amp;"-Pos2",'Shooter-Squad Assignment'!$Z:$Z,0)),""),"")))</f>
        <v/>
      </c>
      <c r="J546" s="88" t="str">
        <f>IF(ISBLANK(I546),"",IFERROR(INDEX('Tournament List'!$D:$D,MATCH(I546,'Tournament List'!$A:$A,0)),""))</f>
        <v/>
      </c>
      <c r="K546" s="96" t="str">
        <f>IF(F546="Skeet",IFERROR(INDEX('Shooter-Squad Assignment'!$A:$A,MATCH(C546&amp;"-"&amp;E546&amp;"-"&amp;F546&amp;"-Pos3",'Shooter-Squad Assignment'!$K:$K,0)),""),IF(F546="Trap",IFERROR(INDEX('Shooter-Squad Assignment'!$A:$A,MATCH(C546&amp;"-"&amp;E546&amp;"-"&amp;F546&amp;"-Pos3",'Shooter-Squad Assignment'!$W:$W,0)),""),IF(F546="Sporting Clays",IFERROR(INDEX('Shooter-Squad Assignment'!$A:$A,MATCH(C546&amp;"-"&amp;E546&amp;"-"&amp;F546&amp;"-Pos3",'Shooter-Squad Assignment'!$Z:$Z,0)),""),"")))</f>
        <v/>
      </c>
      <c r="L546" s="88" t="str">
        <f>IF(ISBLANK(K546),"",IFERROR(INDEX('Tournament List'!$D:$D,MATCH(K546,'Tournament List'!$A:$A,0)),""))</f>
        <v/>
      </c>
      <c r="M546" s="96" t="str">
        <f>IF(F546="Skeet",IFERROR(INDEX('Shooter-Squad Assignment'!$A:$A,MATCH(C546&amp;"-"&amp;E546&amp;"-"&amp;F546&amp;"-Pos4",'Shooter-Squad Assignment'!$K:$K,0)),""),IF(F546="Trap",IFERROR(INDEX('Shooter-Squad Assignment'!$A:$A,MATCH(C546&amp;"-"&amp;E546&amp;"-"&amp;F546&amp;"-Pos4",'Shooter-Squad Assignment'!$W:$W,0)),""),IF(F546="Sporting Clays",IFERROR(INDEX('Shooter-Squad Assignment'!$A:$A,MATCH(C546&amp;"-"&amp;E546&amp;"-"&amp;F546&amp;"-Pos4",'Shooter-Squad Assignment'!$Z:$Z,0)),""),"")))</f>
        <v/>
      </c>
      <c r="N546" s="88" t="str">
        <f>IF(ISBLANK(M546),"",IFERROR(INDEX('Tournament List'!$D:$D,MATCH(M546,'Tournament List'!$A:$A,0)),""))</f>
        <v/>
      </c>
      <c r="O546" s="96" t="str">
        <f>IF(F546="Skeet",IFERROR(INDEX('Shooter-Squad Assignment'!$A:$A,MATCH(C546&amp;"-"&amp;E546&amp;"-"&amp;F546&amp;"-Pos5",'Shooter-Squad Assignment'!$K:$K,0)),""),IF(F546="Trap",IFERROR(INDEX('Shooter-Squad Assignment'!$A:$A,MATCH(C546&amp;"-"&amp;E546&amp;"-"&amp;F546&amp;"-Pos5",'Shooter-Squad Assignment'!$W:$W,0)),""),IF(F546="Sporting Clays",IFERROR(INDEX('Shooter-Squad Assignment'!$A:$A,MATCH(C546&amp;"-"&amp;E546&amp;"-"&amp;F546&amp;"-Pos5",'Shooter-Squad Assignment'!$Z:$Z,0)),""),"")))</f>
        <v/>
      </c>
      <c r="P546" s="89" t="str">
        <f>IF(ISBLANK(O546),"",IFERROR(INDEX('Tournament List'!$D:$D,MATCH(O546,'Tournament List'!$A:$A,0)),""))</f>
        <v/>
      </c>
    </row>
    <row r="547" spans="1:16" x14ac:dyDescent="0.3">
      <c r="A547" s="87">
        <v>546</v>
      </c>
      <c r="B547" s="88" t="str">
        <f>C547&amp;"-"&amp;E547&amp;"-"&amp;F547</f>
        <v>-Open 2-Sporting Clays</v>
      </c>
      <c r="C547" s="88"/>
      <c r="D547" s="88" t="str">
        <f>INDEX('Tournament Setup'!$B$59:$B$78,MATCH(E547,SquadConcurrents,0))</f>
        <v>Open</v>
      </c>
      <c r="E547" s="88" t="s">
        <v>347</v>
      </c>
      <c r="F547" s="88" t="s">
        <v>148</v>
      </c>
      <c r="G547" s="96" t="str">
        <f>IF(F547="Skeet",IFERROR(INDEX('Shooter-Squad Assignment'!$A:$A,MATCH(C547&amp;"-"&amp;E547&amp;"-"&amp;F547&amp;"-Pos1",'Shooter-Squad Assignment'!$K:$K,0)),""),IF(F547="Trap",IFERROR(INDEX('Shooter-Squad Assignment'!$A:$A,MATCH(C547&amp;"-"&amp;E547&amp;"-"&amp;F547&amp;"-Pos1",'Shooter-Squad Assignment'!$W:$W,0)),""),IF(F547="Sporting Clays",IFERROR(INDEX('Shooter-Squad Assignment'!$A:$A,MATCH(C547&amp;"-"&amp;E547&amp;"-"&amp;F547&amp;"-Pos1",'Shooter-Squad Assignment'!$Z:$Z,0)),""),"")))</f>
        <v/>
      </c>
      <c r="H547" s="88" t="str">
        <f>IF(ISBLANK(G547),"",IFERROR(INDEX('Tournament List'!$D:$D,MATCH(G547,'Tournament List'!$A:$A,0)),""))</f>
        <v/>
      </c>
      <c r="I547" s="96" t="str">
        <f>IF(F547="Skeet",IFERROR(INDEX('Shooter-Squad Assignment'!$A:$A,MATCH(C547&amp;"-"&amp;E547&amp;"-"&amp;F547&amp;"-Pos2",'Shooter-Squad Assignment'!$K:$K,0)),""),IF(F547="Trap",IFERROR(INDEX('Shooter-Squad Assignment'!$A:$A,MATCH(C547&amp;"-"&amp;E547&amp;"-"&amp;F547&amp;"-Pos2",'Shooter-Squad Assignment'!$W:$W,0)),""),IF(F547="Sporting Clays",IFERROR(INDEX('Shooter-Squad Assignment'!$A:$A,MATCH(C547&amp;"-"&amp;E547&amp;"-"&amp;F547&amp;"-Pos2",'Shooter-Squad Assignment'!$Z:$Z,0)),""),"")))</f>
        <v/>
      </c>
      <c r="J547" s="88" t="str">
        <f>IF(ISBLANK(I547),"",IFERROR(INDEX('Tournament List'!$D:$D,MATCH(I547,'Tournament List'!$A:$A,0)),""))</f>
        <v/>
      </c>
      <c r="K547" s="96" t="str">
        <f>IF(F547="Skeet",IFERROR(INDEX('Shooter-Squad Assignment'!$A:$A,MATCH(C547&amp;"-"&amp;E547&amp;"-"&amp;F547&amp;"-Pos3",'Shooter-Squad Assignment'!$K:$K,0)),""),IF(F547="Trap",IFERROR(INDEX('Shooter-Squad Assignment'!$A:$A,MATCH(C547&amp;"-"&amp;E547&amp;"-"&amp;F547&amp;"-Pos3",'Shooter-Squad Assignment'!$W:$W,0)),""),IF(F547="Sporting Clays",IFERROR(INDEX('Shooter-Squad Assignment'!$A:$A,MATCH(C547&amp;"-"&amp;E547&amp;"-"&amp;F547&amp;"-Pos3",'Shooter-Squad Assignment'!$Z:$Z,0)),""),"")))</f>
        <v/>
      </c>
      <c r="L547" s="88" t="str">
        <f>IF(ISBLANK(K547),"",IFERROR(INDEX('Tournament List'!$D:$D,MATCH(K547,'Tournament List'!$A:$A,0)),""))</f>
        <v/>
      </c>
      <c r="M547" s="96" t="str">
        <f>IF(F547="Skeet",IFERROR(INDEX('Shooter-Squad Assignment'!$A:$A,MATCH(C547&amp;"-"&amp;E547&amp;"-"&amp;F547&amp;"-Pos4",'Shooter-Squad Assignment'!$K:$K,0)),""),IF(F547="Trap",IFERROR(INDEX('Shooter-Squad Assignment'!$A:$A,MATCH(C547&amp;"-"&amp;E547&amp;"-"&amp;F547&amp;"-Pos4",'Shooter-Squad Assignment'!$W:$W,0)),""),IF(F547="Sporting Clays",IFERROR(INDEX('Shooter-Squad Assignment'!$A:$A,MATCH(C547&amp;"-"&amp;E547&amp;"-"&amp;F547&amp;"-Pos4",'Shooter-Squad Assignment'!$Z:$Z,0)),""),"")))</f>
        <v/>
      </c>
      <c r="N547" s="88" t="str">
        <f>IF(ISBLANK(M547),"",IFERROR(INDEX('Tournament List'!$D:$D,MATCH(M547,'Tournament List'!$A:$A,0)),""))</f>
        <v/>
      </c>
      <c r="O547" s="96" t="str">
        <f>IF(F547="Skeet",IFERROR(INDEX('Shooter-Squad Assignment'!$A:$A,MATCH(C547&amp;"-"&amp;E547&amp;"-"&amp;F547&amp;"-Pos5",'Shooter-Squad Assignment'!$K:$K,0)),""),IF(F547="Trap",IFERROR(INDEX('Shooter-Squad Assignment'!$A:$A,MATCH(C547&amp;"-"&amp;E547&amp;"-"&amp;F547&amp;"-Pos5",'Shooter-Squad Assignment'!$W:$W,0)),""),IF(F547="Sporting Clays",IFERROR(INDEX('Shooter-Squad Assignment'!$A:$A,MATCH(C547&amp;"-"&amp;E547&amp;"-"&amp;F547&amp;"-Pos5",'Shooter-Squad Assignment'!$Z:$Z,0)),""),"")))</f>
        <v/>
      </c>
      <c r="P547" s="89" t="str">
        <f>IF(ISBLANK(O547),"",IFERROR(INDEX('Tournament List'!$D:$D,MATCH(O547,'Tournament List'!$A:$A,0)),""))</f>
        <v/>
      </c>
    </row>
    <row r="548" spans="1:16" x14ac:dyDescent="0.3">
      <c r="A548" s="87">
        <v>547</v>
      </c>
      <c r="B548" s="88" t="str">
        <f>C548&amp;"-"&amp;E548&amp;"-"&amp;F548</f>
        <v>-Open 3-Sporting Clays</v>
      </c>
      <c r="C548" s="88"/>
      <c r="D548" s="88" t="str">
        <f>INDEX('Tournament Setup'!$B$59:$B$78,MATCH(E548,SquadConcurrents,0))</f>
        <v>Open</v>
      </c>
      <c r="E548" s="88" t="s">
        <v>353</v>
      </c>
      <c r="F548" s="88" t="s">
        <v>148</v>
      </c>
      <c r="G548" s="96" t="str">
        <f>IF(F548="Skeet",IFERROR(INDEX('Shooter-Squad Assignment'!$A:$A,MATCH(C548&amp;"-"&amp;E548&amp;"-"&amp;F548&amp;"-Pos1",'Shooter-Squad Assignment'!$K:$K,0)),""),IF(F548="Trap",IFERROR(INDEX('Shooter-Squad Assignment'!$A:$A,MATCH(C548&amp;"-"&amp;E548&amp;"-"&amp;F548&amp;"-Pos1",'Shooter-Squad Assignment'!$W:$W,0)),""),IF(F548="Sporting Clays",IFERROR(INDEX('Shooter-Squad Assignment'!$A:$A,MATCH(C548&amp;"-"&amp;E548&amp;"-"&amp;F548&amp;"-Pos1",'Shooter-Squad Assignment'!$Z:$Z,0)),""),"")))</f>
        <v/>
      </c>
      <c r="H548" s="88" t="str">
        <f>IF(ISBLANK(G548),"",IFERROR(INDEX('Tournament List'!$D:$D,MATCH(G548,'Tournament List'!$A:$A,0)),""))</f>
        <v/>
      </c>
      <c r="I548" s="96" t="str">
        <f>IF(F548="Skeet",IFERROR(INDEX('Shooter-Squad Assignment'!$A:$A,MATCH(C548&amp;"-"&amp;E548&amp;"-"&amp;F548&amp;"-Pos2",'Shooter-Squad Assignment'!$K:$K,0)),""),IF(F548="Trap",IFERROR(INDEX('Shooter-Squad Assignment'!$A:$A,MATCH(C548&amp;"-"&amp;E548&amp;"-"&amp;F548&amp;"-Pos2",'Shooter-Squad Assignment'!$W:$W,0)),""),IF(F548="Sporting Clays",IFERROR(INDEX('Shooter-Squad Assignment'!$A:$A,MATCH(C548&amp;"-"&amp;E548&amp;"-"&amp;F548&amp;"-Pos2",'Shooter-Squad Assignment'!$Z:$Z,0)),""),"")))</f>
        <v/>
      </c>
      <c r="J548" s="88" t="str">
        <f>IF(ISBLANK(I548),"",IFERROR(INDEX('Tournament List'!$D:$D,MATCH(I548,'Tournament List'!$A:$A,0)),""))</f>
        <v/>
      </c>
      <c r="K548" s="96" t="str">
        <f>IF(F548="Skeet",IFERROR(INDEX('Shooter-Squad Assignment'!$A:$A,MATCH(C548&amp;"-"&amp;E548&amp;"-"&amp;F548&amp;"-Pos3",'Shooter-Squad Assignment'!$K:$K,0)),""),IF(F548="Trap",IFERROR(INDEX('Shooter-Squad Assignment'!$A:$A,MATCH(C548&amp;"-"&amp;E548&amp;"-"&amp;F548&amp;"-Pos3",'Shooter-Squad Assignment'!$W:$W,0)),""),IF(F548="Sporting Clays",IFERROR(INDEX('Shooter-Squad Assignment'!$A:$A,MATCH(C548&amp;"-"&amp;E548&amp;"-"&amp;F548&amp;"-Pos3",'Shooter-Squad Assignment'!$Z:$Z,0)),""),"")))</f>
        <v/>
      </c>
      <c r="L548" s="88" t="str">
        <f>IF(ISBLANK(K548),"",IFERROR(INDEX('Tournament List'!$D:$D,MATCH(K548,'Tournament List'!$A:$A,0)),""))</f>
        <v/>
      </c>
      <c r="M548" s="96" t="str">
        <f>IF(F548="Skeet",IFERROR(INDEX('Shooter-Squad Assignment'!$A:$A,MATCH(C548&amp;"-"&amp;E548&amp;"-"&amp;F548&amp;"-Pos4",'Shooter-Squad Assignment'!$K:$K,0)),""),IF(F548="Trap",IFERROR(INDEX('Shooter-Squad Assignment'!$A:$A,MATCH(C548&amp;"-"&amp;E548&amp;"-"&amp;F548&amp;"-Pos4",'Shooter-Squad Assignment'!$W:$W,0)),""),IF(F548="Sporting Clays",IFERROR(INDEX('Shooter-Squad Assignment'!$A:$A,MATCH(C548&amp;"-"&amp;E548&amp;"-"&amp;F548&amp;"-Pos4",'Shooter-Squad Assignment'!$Z:$Z,0)),""),"")))</f>
        <v/>
      </c>
      <c r="N548" s="88" t="str">
        <f>IF(ISBLANK(M548),"",IFERROR(INDEX('Tournament List'!$D:$D,MATCH(M548,'Tournament List'!$A:$A,0)),""))</f>
        <v/>
      </c>
      <c r="O548" s="96" t="str">
        <f>IF(F548="Skeet",IFERROR(INDEX('Shooter-Squad Assignment'!$A:$A,MATCH(C548&amp;"-"&amp;E548&amp;"-"&amp;F548&amp;"-Pos5",'Shooter-Squad Assignment'!$K:$K,0)),""),IF(F548="Trap",IFERROR(INDEX('Shooter-Squad Assignment'!$A:$A,MATCH(C548&amp;"-"&amp;E548&amp;"-"&amp;F548&amp;"-Pos5",'Shooter-Squad Assignment'!$W:$W,0)),""),IF(F548="Sporting Clays",IFERROR(INDEX('Shooter-Squad Assignment'!$A:$A,MATCH(C548&amp;"-"&amp;E548&amp;"-"&amp;F548&amp;"-Pos5",'Shooter-Squad Assignment'!$Z:$Z,0)),""),"")))</f>
        <v/>
      </c>
      <c r="P548" s="89" t="str">
        <f>IF(ISBLANK(O548),"",IFERROR(INDEX('Tournament List'!$D:$D,MATCH(O548,'Tournament List'!$A:$A,0)),""))</f>
        <v/>
      </c>
    </row>
    <row r="549" spans="1:16" x14ac:dyDescent="0.3">
      <c r="A549" s="87">
        <v>548</v>
      </c>
      <c r="B549" s="88" t="str">
        <f>C549&amp;"-"&amp;E549&amp;"-"&amp;F549</f>
        <v>-Unassigned 1-Sporting Clays</v>
      </c>
      <c r="C549" s="88"/>
      <c r="D549" s="88" t="str">
        <f>INDEX('Tournament Setup'!$B$59:$B$78,MATCH(E549,SquadConcurrents,0))</f>
        <v>Unassigned</v>
      </c>
      <c r="E549" s="88" t="s">
        <v>762</v>
      </c>
      <c r="F549" s="88" t="s">
        <v>148</v>
      </c>
      <c r="G549" s="96" t="str">
        <f>IF(F549="Skeet",IFERROR(INDEX('Shooter-Squad Assignment'!$A:$A,MATCH(C549&amp;"-"&amp;E549&amp;"-"&amp;F549&amp;"-Pos1",'Shooter-Squad Assignment'!$K:$K,0)),""),IF(F549="Trap",IFERROR(INDEX('Shooter-Squad Assignment'!$A:$A,MATCH(C549&amp;"-"&amp;E549&amp;"-"&amp;F549&amp;"-Pos1",'Shooter-Squad Assignment'!$W:$W,0)),""),IF(F549="Sporting Clays",IFERROR(INDEX('Shooter-Squad Assignment'!$A:$A,MATCH(C549&amp;"-"&amp;E549&amp;"-"&amp;F549&amp;"-Pos1",'Shooter-Squad Assignment'!$Z:$Z,0)),""),"")))</f>
        <v/>
      </c>
      <c r="H549" s="88" t="str">
        <f>IF(ISBLANK(G549),"",IFERROR(INDEX('Tournament List'!$D:$D,MATCH(G549,'Tournament List'!$A:$A,0)),""))</f>
        <v/>
      </c>
      <c r="I549" s="96" t="str">
        <f>IF(F549="Skeet",IFERROR(INDEX('Shooter-Squad Assignment'!$A:$A,MATCH(C549&amp;"-"&amp;E549&amp;"-"&amp;F549&amp;"-Pos2",'Shooter-Squad Assignment'!$K:$K,0)),""),IF(F549="Trap",IFERROR(INDEX('Shooter-Squad Assignment'!$A:$A,MATCH(C549&amp;"-"&amp;E549&amp;"-"&amp;F549&amp;"-Pos2",'Shooter-Squad Assignment'!$W:$W,0)),""),IF(F549="Sporting Clays",IFERROR(INDEX('Shooter-Squad Assignment'!$A:$A,MATCH(C549&amp;"-"&amp;E549&amp;"-"&amp;F549&amp;"-Pos2",'Shooter-Squad Assignment'!$Z:$Z,0)),""),"")))</f>
        <v/>
      </c>
      <c r="J549" s="88" t="str">
        <f>IF(ISBLANK(I549),"",IFERROR(INDEX('Tournament List'!$D:$D,MATCH(I549,'Tournament List'!$A:$A,0)),""))</f>
        <v/>
      </c>
      <c r="K549" s="96" t="str">
        <f>IF(F549="Skeet",IFERROR(INDEX('Shooter-Squad Assignment'!$A:$A,MATCH(C549&amp;"-"&amp;E549&amp;"-"&amp;F549&amp;"-Pos3",'Shooter-Squad Assignment'!$K:$K,0)),""),IF(F549="Trap",IFERROR(INDEX('Shooter-Squad Assignment'!$A:$A,MATCH(C549&amp;"-"&amp;E549&amp;"-"&amp;F549&amp;"-Pos3",'Shooter-Squad Assignment'!$W:$W,0)),""),IF(F549="Sporting Clays",IFERROR(INDEX('Shooter-Squad Assignment'!$A:$A,MATCH(C549&amp;"-"&amp;E549&amp;"-"&amp;F549&amp;"-Pos3",'Shooter-Squad Assignment'!$Z:$Z,0)),""),"")))</f>
        <v/>
      </c>
      <c r="L549" s="88" t="str">
        <f>IF(ISBLANK(K549),"",IFERROR(INDEX('Tournament List'!$D:$D,MATCH(K549,'Tournament List'!$A:$A,0)),""))</f>
        <v/>
      </c>
      <c r="M549" s="96" t="str">
        <f>IF(F549="Skeet",IFERROR(INDEX('Shooter-Squad Assignment'!$A:$A,MATCH(C549&amp;"-"&amp;E549&amp;"-"&amp;F549&amp;"-Pos4",'Shooter-Squad Assignment'!$K:$K,0)),""),IF(F549="Trap",IFERROR(INDEX('Shooter-Squad Assignment'!$A:$A,MATCH(C549&amp;"-"&amp;E549&amp;"-"&amp;F549&amp;"-Pos4",'Shooter-Squad Assignment'!$W:$W,0)),""),IF(F549="Sporting Clays",IFERROR(INDEX('Shooter-Squad Assignment'!$A:$A,MATCH(C549&amp;"-"&amp;E549&amp;"-"&amp;F549&amp;"-Pos4",'Shooter-Squad Assignment'!$Z:$Z,0)),""),"")))</f>
        <v/>
      </c>
      <c r="N549" s="88" t="str">
        <f>IF(ISBLANK(M549),"",IFERROR(INDEX('Tournament List'!$D:$D,MATCH(M549,'Tournament List'!$A:$A,0)),""))</f>
        <v/>
      </c>
      <c r="O549" s="96" t="str">
        <f>IF(F549="Skeet",IFERROR(INDEX('Shooter-Squad Assignment'!$A:$A,MATCH(C549&amp;"-"&amp;E549&amp;"-"&amp;F549&amp;"-Pos5",'Shooter-Squad Assignment'!$K:$K,0)),""),IF(F549="Trap",IFERROR(INDEX('Shooter-Squad Assignment'!$A:$A,MATCH(C549&amp;"-"&amp;E549&amp;"-"&amp;F549&amp;"-Pos5",'Shooter-Squad Assignment'!$W:$W,0)),""),IF(F549="Sporting Clays",IFERROR(INDEX('Shooter-Squad Assignment'!$A:$A,MATCH(C549&amp;"-"&amp;E549&amp;"-"&amp;F549&amp;"-Pos5",'Shooter-Squad Assignment'!$Z:$Z,0)),""),"")))</f>
        <v/>
      </c>
      <c r="P549" s="89" t="str">
        <f>IF(ISBLANK(O549),"",IFERROR(INDEX('Tournament List'!$D:$D,MATCH(O549,'Tournament List'!$A:$A,0)),""))</f>
        <v/>
      </c>
    </row>
    <row r="550" spans="1:16" x14ac:dyDescent="0.3">
      <c r="A550" s="87">
        <v>549</v>
      </c>
      <c r="B550" s="88" t="str">
        <f>C550&amp;"-"&amp;E550&amp;"-"&amp;F550</f>
        <v>-Varsity 1-Sporting Clays</v>
      </c>
      <c r="C550" s="88"/>
      <c r="D550" s="88" t="str">
        <f>INDEX('Tournament Setup'!$B$59:$B$78,MATCH(E550,SquadConcurrents,0))</f>
        <v>Varsity</v>
      </c>
      <c r="E550" s="88" t="s">
        <v>340</v>
      </c>
      <c r="F550" s="88" t="s">
        <v>148</v>
      </c>
      <c r="G550" s="96" t="str">
        <f>IF(F550="Skeet",IFERROR(INDEX('Shooter-Squad Assignment'!$A:$A,MATCH(C550&amp;"-"&amp;E550&amp;"-"&amp;F550&amp;"-Pos1",'Shooter-Squad Assignment'!$K:$K,0)),""),IF(F550="Trap",IFERROR(INDEX('Shooter-Squad Assignment'!$A:$A,MATCH(C550&amp;"-"&amp;E550&amp;"-"&amp;F550&amp;"-Pos1",'Shooter-Squad Assignment'!$W:$W,0)),""),IF(F550="Sporting Clays",IFERROR(INDEX('Shooter-Squad Assignment'!$A:$A,MATCH(C550&amp;"-"&amp;E550&amp;"-"&amp;F550&amp;"-Pos1",'Shooter-Squad Assignment'!$Z:$Z,0)),""),"")))</f>
        <v/>
      </c>
      <c r="H550" s="88" t="str">
        <f>IF(ISBLANK(G550),"",IFERROR(INDEX('Tournament List'!$D:$D,MATCH(G550,'Tournament List'!$A:$A,0)),""))</f>
        <v/>
      </c>
      <c r="I550" s="96" t="str">
        <f>IF(F550="Skeet",IFERROR(INDEX('Shooter-Squad Assignment'!$A:$A,MATCH(C550&amp;"-"&amp;E550&amp;"-"&amp;F550&amp;"-Pos2",'Shooter-Squad Assignment'!$K:$K,0)),""),IF(F550="Trap",IFERROR(INDEX('Shooter-Squad Assignment'!$A:$A,MATCH(C550&amp;"-"&amp;E550&amp;"-"&amp;F550&amp;"-Pos2",'Shooter-Squad Assignment'!$W:$W,0)),""),IF(F550="Sporting Clays",IFERROR(INDEX('Shooter-Squad Assignment'!$A:$A,MATCH(C550&amp;"-"&amp;E550&amp;"-"&amp;F550&amp;"-Pos2",'Shooter-Squad Assignment'!$Z:$Z,0)),""),"")))</f>
        <v/>
      </c>
      <c r="J550" s="88" t="str">
        <f>IF(ISBLANK(I550),"",IFERROR(INDEX('Tournament List'!$D:$D,MATCH(I550,'Tournament List'!$A:$A,0)),""))</f>
        <v/>
      </c>
      <c r="K550" s="96" t="str">
        <f>IF(F550="Skeet",IFERROR(INDEX('Shooter-Squad Assignment'!$A:$A,MATCH(C550&amp;"-"&amp;E550&amp;"-"&amp;F550&amp;"-Pos3",'Shooter-Squad Assignment'!$K:$K,0)),""),IF(F550="Trap",IFERROR(INDEX('Shooter-Squad Assignment'!$A:$A,MATCH(C550&amp;"-"&amp;E550&amp;"-"&amp;F550&amp;"-Pos3",'Shooter-Squad Assignment'!$W:$W,0)),""),IF(F550="Sporting Clays",IFERROR(INDEX('Shooter-Squad Assignment'!$A:$A,MATCH(C550&amp;"-"&amp;E550&amp;"-"&amp;F550&amp;"-Pos3",'Shooter-Squad Assignment'!$Z:$Z,0)),""),"")))</f>
        <v/>
      </c>
      <c r="L550" s="88" t="str">
        <f>IF(ISBLANK(K550),"",IFERROR(INDEX('Tournament List'!$D:$D,MATCH(K550,'Tournament List'!$A:$A,0)),""))</f>
        <v/>
      </c>
      <c r="M550" s="96" t="str">
        <f>IF(F550="Skeet",IFERROR(INDEX('Shooter-Squad Assignment'!$A:$A,MATCH(C550&amp;"-"&amp;E550&amp;"-"&amp;F550&amp;"-Pos4",'Shooter-Squad Assignment'!$K:$K,0)),""),IF(F550="Trap",IFERROR(INDEX('Shooter-Squad Assignment'!$A:$A,MATCH(C550&amp;"-"&amp;E550&amp;"-"&amp;F550&amp;"-Pos4",'Shooter-Squad Assignment'!$W:$W,0)),""),IF(F550="Sporting Clays",IFERROR(INDEX('Shooter-Squad Assignment'!$A:$A,MATCH(C550&amp;"-"&amp;E550&amp;"-"&amp;F550&amp;"-Pos4",'Shooter-Squad Assignment'!$Z:$Z,0)),""),"")))</f>
        <v/>
      </c>
      <c r="N550" s="88" t="str">
        <f>IF(ISBLANK(M550),"",IFERROR(INDEX('Tournament List'!$D:$D,MATCH(M550,'Tournament List'!$A:$A,0)),""))</f>
        <v/>
      </c>
      <c r="O550" s="96" t="str">
        <f>IF(F550="Skeet",IFERROR(INDEX('Shooter-Squad Assignment'!$A:$A,MATCH(C550&amp;"-"&amp;E550&amp;"-"&amp;F550&amp;"-Pos5",'Shooter-Squad Assignment'!$K:$K,0)),""),IF(F550="Trap",IFERROR(INDEX('Shooter-Squad Assignment'!$A:$A,MATCH(C550&amp;"-"&amp;E550&amp;"-"&amp;F550&amp;"-Pos5",'Shooter-Squad Assignment'!$W:$W,0)),""),IF(F550="Sporting Clays",IFERROR(INDEX('Shooter-Squad Assignment'!$A:$A,MATCH(C550&amp;"-"&amp;E550&amp;"-"&amp;F550&amp;"-Pos5",'Shooter-Squad Assignment'!$Z:$Z,0)),""),"")))</f>
        <v/>
      </c>
      <c r="P550" s="89" t="str">
        <f>IF(ISBLANK(O550),"",IFERROR(INDEX('Tournament List'!$D:$D,MATCH(O550,'Tournament List'!$A:$A,0)),""))</f>
        <v/>
      </c>
    </row>
    <row r="551" spans="1:16" x14ac:dyDescent="0.3">
      <c r="A551" s="87">
        <v>550</v>
      </c>
      <c r="B551" s="88" t="str">
        <f>C551&amp;"-"&amp;E551&amp;"-"&amp;F551</f>
        <v>-Varsity 2-Sporting Clays</v>
      </c>
      <c r="C551" s="88"/>
      <c r="D551" s="88" t="str">
        <f>INDEX('Tournament Setup'!$B$59:$B$78,MATCH(E551,SquadConcurrents,0))</f>
        <v>Varsity</v>
      </c>
      <c r="E551" s="88" t="s">
        <v>346</v>
      </c>
      <c r="F551" s="88" t="s">
        <v>148</v>
      </c>
      <c r="G551" s="96" t="str">
        <f>IF(F551="Skeet",IFERROR(INDEX('Shooter-Squad Assignment'!$A:$A,MATCH(C551&amp;"-"&amp;E551&amp;"-"&amp;F551&amp;"-Pos1",'Shooter-Squad Assignment'!$K:$K,0)),""),IF(F551="Trap",IFERROR(INDEX('Shooter-Squad Assignment'!$A:$A,MATCH(C551&amp;"-"&amp;E551&amp;"-"&amp;F551&amp;"-Pos1",'Shooter-Squad Assignment'!$W:$W,0)),""),IF(F551="Sporting Clays",IFERROR(INDEX('Shooter-Squad Assignment'!$A:$A,MATCH(C551&amp;"-"&amp;E551&amp;"-"&amp;F551&amp;"-Pos1",'Shooter-Squad Assignment'!$Z:$Z,0)),""),"")))</f>
        <v/>
      </c>
      <c r="H551" s="88" t="str">
        <f>IF(ISBLANK(G551),"",IFERROR(INDEX('Tournament List'!$D:$D,MATCH(G551,'Tournament List'!$A:$A,0)),""))</f>
        <v/>
      </c>
      <c r="I551" s="96" t="str">
        <f>IF(F551="Skeet",IFERROR(INDEX('Shooter-Squad Assignment'!$A:$A,MATCH(C551&amp;"-"&amp;E551&amp;"-"&amp;F551&amp;"-Pos2",'Shooter-Squad Assignment'!$K:$K,0)),""),IF(F551="Trap",IFERROR(INDEX('Shooter-Squad Assignment'!$A:$A,MATCH(C551&amp;"-"&amp;E551&amp;"-"&amp;F551&amp;"-Pos2",'Shooter-Squad Assignment'!$W:$W,0)),""),IF(F551="Sporting Clays",IFERROR(INDEX('Shooter-Squad Assignment'!$A:$A,MATCH(C551&amp;"-"&amp;E551&amp;"-"&amp;F551&amp;"-Pos2",'Shooter-Squad Assignment'!$Z:$Z,0)),""),"")))</f>
        <v/>
      </c>
      <c r="J551" s="88" t="str">
        <f>IF(ISBLANK(I551),"",IFERROR(INDEX('Tournament List'!$D:$D,MATCH(I551,'Tournament List'!$A:$A,0)),""))</f>
        <v/>
      </c>
      <c r="K551" s="96" t="str">
        <f>IF(F551="Skeet",IFERROR(INDEX('Shooter-Squad Assignment'!$A:$A,MATCH(C551&amp;"-"&amp;E551&amp;"-"&amp;F551&amp;"-Pos3",'Shooter-Squad Assignment'!$K:$K,0)),""),IF(F551="Trap",IFERROR(INDEX('Shooter-Squad Assignment'!$A:$A,MATCH(C551&amp;"-"&amp;E551&amp;"-"&amp;F551&amp;"-Pos3",'Shooter-Squad Assignment'!$W:$W,0)),""),IF(F551="Sporting Clays",IFERROR(INDEX('Shooter-Squad Assignment'!$A:$A,MATCH(C551&amp;"-"&amp;E551&amp;"-"&amp;F551&amp;"-Pos3",'Shooter-Squad Assignment'!$Z:$Z,0)),""),"")))</f>
        <v/>
      </c>
      <c r="L551" s="88" t="str">
        <f>IF(ISBLANK(K551),"",IFERROR(INDEX('Tournament List'!$D:$D,MATCH(K551,'Tournament List'!$A:$A,0)),""))</f>
        <v/>
      </c>
      <c r="M551" s="96" t="str">
        <f>IF(F551="Skeet",IFERROR(INDEX('Shooter-Squad Assignment'!$A:$A,MATCH(C551&amp;"-"&amp;E551&amp;"-"&amp;F551&amp;"-Pos4",'Shooter-Squad Assignment'!$K:$K,0)),""),IF(F551="Trap",IFERROR(INDEX('Shooter-Squad Assignment'!$A:$A,MATCH(C551&amp;"-"&amp;E551&amp;"-"&amp;F551&amp;"-Pos4",'Shooter-Squad Assignment'!$W:$W,0)),""),IF(F551="Sporting Clays",IFERROR(INDEX('Shooter-Squad Assignment'!$A:$A,MATCH(C551&amp;"-"&amp;E551&amp;"-"&amp;F551&amp;"-Pos4",'Shooter-Squad Assignment'!$Z:$Z,0)),""),"")))</f>
        <v/>
      </c>
      <c r="N551" s="88" t="str">
        <f>IF(ISBLANK(M551),"",IFERROR(INDEX('Tournament List'!$D:$D,MATCH(M551,'Tournament List'!$A:$A,0)),""))</f>
        <v/>
      </c>
      <c r="O551" s="96" t="str">
        <f>IF(F551="Skeet",IFERROR(INDEX('Shooter-Squad Assignment'!$A:$A,MATCH(C551&amp;"-"&amp;E551&amp;"-"&amp;F551&amp;"-Pos5",'Shooter-Squad Assignment'!$K:$K,0)),""),IF(F551="Trap",IFERROR(INDEX('Shooter-Squad Assignment'!$A:$A,MATCH(C551&amp;"-"&amp;E551&amp;"-"&amp;F551&amp;"-Pos5",'Shooter-Squad Assignment'!$W:$W,0)),""),IF(F551="Sporting Clays",IFERROR(INDEX('Shooter-Squad Assignment'!$A:$A,MATCH(C551&amp;"-"&amp;E551&amp;"-"&amp;F551&amp;"-Pos5",'Shooter-Squad Assignment'!$Z:$Z,0)),""),"")))</f>
        <v/>
      </c>
      <c r="P551" s="89" t="str">
        <f>IF(ISBLANK(O551),"",IFERROR(INDEX('Tournament List'!$D:$D,MATCH(O551,'Tournament List'!$A:$A,0)),""))</f>
        <v/>
      </c>
    </row>
    <row r="552" spans="1:16" x14ac:dyDescent="0.3">
      <c r="A552" s="87">
        <v>551</v>
      </c>
      <c r="B552" s="88" t="str">
        <f>C552&amp;"-"&amp;E552&amp;"-"&amp;F552</f>
        <v>-Varsity 3-Sporting Clays</v>
      </c>
      <c r="C552" s="88"/>
      <c r="D552" s="88" t="str">
        <f>INDEX('Tournament Setup'!$B$59:$B$78,MATCH(E552,SquadConcurrents,0))</f>
        <v>Varsity</v>
      </c>
      <c r="E552" s="88" t="s">
        <v>352</v>
      </c>
      <c r="F552" s="88" t="s">
        <v>148</v>
      </c>
      <c r="G552" s="96" t="str">
        <f>IF(F552="Skeet",IFERROR(INDEX('Shooter-Squad Assignment'!$A:$A,MATCH(C552&amp;"-"&amp;E552&amp;"-"&amp;F552&amp;"-Pos1",'Shooter-Squad Assignment'!$K:$K,0)),""),IF(F552="Trap",IFERROR(INDEX('Shooter-Squad Assignment'!$A:$A,MATCH(C552&amp;"-"&amp;E552&amp;"-"&amp;F552&amp;"-Pos1",'Shooter-Squad Assignment'!$W:$W,0)),""),IF(F552="Sporting Clays",IFERROR(INDEX('Shooter-Squad Assignment'!$A:$A,MATCH(C552&amp;"-"&amp;E552&amp;"-"&amp;F552&amp;"-Pos1",'Shooter-Squad Assignment'!$Z:$Z,0)),""),"")))</f>
        <v/>
      </c>
      <c r="H552" s="88" t="str">
        <f>IF(ISBLANK(G552),"",IFERROR(INDEX('Tournament List'!$D:$D,MATCH(G552,'Tournament List'!$A:$A,0)),""))</f>
        <v/>
      </c>
      <c r="I552" s="96" t="str">
        <f>IF(F552="Skeet",IFERROR(INDEX('Shooter-Squad Assignment'!$A:$A,MATCH(C552&amp;"-"&amp;E552&amp;"-"&amp;F552&amp;"-Pos2",'Shooter-Squad Assignment'!$K:$K,0)),""),IF(F552="Trap",IFERROR(INDEX('Shooter-Squad Assignment'!$A:$A,MATCH(C552&amp;"-"&amp;E552&amp;"-"&amp;F552&amp;"-Pos2",'Shooter-Squad Assignment'!$W:$W,0)),""),IF(F552="Sporting Clays",IFERROR(INDEX('Shooter-Squad Assignment'!$A:$A,MATCH(C552&amp;"-"&amp;E552&amp;"-"&amp;F552&amp;"-Pos2",'Shooter-Squad Assignment'!$Z:$Z,0)),""),"")))</f>
        <v/>
      </c>
      <c r="J552" s="88" t="str">
        <f>IF(ISBLANK(I552),"",IFERROR(INDEX('Tournament List'!$D:$D,MATCH(I552,'Tournament List'!$A:$A,0)),""))</f>
        <v/>
      </c>
      <c r="K552" s="96" t="str">
        <f>IF(F552="Skeet",IFERROR(INDEX('Shooter-Squad Assignment'!$A:$A,MATCH(C552&amp;"-"&amp;E552&amp;"-"&amp;F552&amp;"-Pos3",'Shooter-Squad Assignment'!$K:$K,0)),""),IF(F552="Trap",IFERROR(INDEX('Shooter-Squad Assignment'!$A:$A,MATCH(C552&amp;"-"&amp;E552&amp;"-"&amp;F552&amp;"-Pos3",'Shooter-Squad Assignment'!$W:$W,0)),""),IF(F552="Sporting Clays",IFERROR(INDEX('Shooter-Squad Assignment'!$A:$A,MATCH(C552&amp;"-"&amp;E552&amp;"-"&amp;F552&amp;"-Pos3",'Shooter-Squad Assignment'!$Z:$Z,0)),""),"")))</f>
        <v/>
      </c>
      <c r="L552" s="88" t="str">
        <f>IF(ISBLANK(K552),"",IFERROR(INDEX('Tournament List'!$D:$D,MATCH(K552,'Tournament List'!$A:$A,0)),""))</f>
        <v/>
      </c>
      <c r="M552" s="96" t="str">
        <f>IF(F552="Skeet",IFERROR(INDEX('Shooter-Squad Assignment'!$A:$A,MATCH(C552&amp;"-"&amp;E552&amp;"-"&amp;F552&amp;"-Pos4",'Shooter-Squad Assignment'!$K:$K,0)),""),IF(F552="Trap",IFERROR(INDEX('Shooter-Squad Assignment'!$A:$A,MATCH(C552&amp;"-"&amp;E552&amp;"-"&amp;F552&amp;"-Pos4",'Shooter-Squad Assignment'!$W:$W,0)),""),IF(F552="Sporting Clays",IFERROR(INDEX('Shooter-Squad Assignment'!$A:$A,MATCH(C552&amp;"-"&amp;E552&amp;"-"&amp;F552&amp;"-Pos4",'Shooter-Squad Assignment'!$Z:$Z,0)),""),"")))</f>
        <v/>
      </c>
      <c r="N552" s="88" t="str">
        <f>IF(ISBLANK(M552),"",IFERROR(INDEX('Tournament List'!$D:$D,MATCH(M552,'Tournament List'!$A:$A,0)),""))</f>
        <v/>
      </c>
      <c r="O552" s="96" t="str">
        <f>IF(F552="Skeet",IFERROR(INDEX('Shooter-Squad Assignment'!$A:$A,MATCH(C552&amp;"-"&amp;E552&amp;"-"&amp;F552&amp;"-Pos5",'Shooter-Squad Assignment'!$K:$K,0)),""),IF(F552="Trap",IFERROR(INDEX('Shooter-Squad Assignment'!$A:$A,MATCH(C552&amp;"-"&amp;E552&amp;"-"&amp;F552&amp;"-Pos5",'Shooter-Squad Assignment'!$W:$W,0)),""),IF(F552="Sporting Clays",IFERROR(INDEX('Shooter-Squad Assignment'!$A:$A,MATCH(C552&amp;"-"&amp;E552&amp;"-"&amp;F552&amp;"-Pos5",'Shooter-Squad Assignment'!$Z:$Z,0)),""),"")))</f>
        <v/>
      </c>
      <c r="P552" s="89" t="str">
        <f>IF(ISBLANK(O552),"",IFERROR(INDEX('Tournament List'!$D:$D,MATCH(O552,'Tournament List'!$A:$A,0)),""))</f>
        <v/>
      </c>
    </row>
    <row r="553" spans="1:16" x14ac:dyDescent="0.3">
      <c r="A553" s="87">
        <v>552</v>
      </c>
      <c r="B553" s="88" t="str">
        <f>C553&amp;"-"&amp;E553&amp;"-"&amp;F553</f>
        <v>-Collegiate 1-Trap</v>
      </c>
      <c r="C553" s="88"/>
      <c r="D553" s="88" t="str">
        <f>INDEX('Tournament Setup'!$B$59:$B$78,MATCH(E553,SquadConcurrents,0))</f>
        <v>Collegiate</v>
      </c>
      <c r="E553" s="88" t="s">
        <v>342</v>
      </c>
      <c r="F553" s="88" t="s">
        <v>147</v>
      </c>
      <c r="G553" s="96" t="str">
        <f>IF(F553="Skeet",IFERROR(INDEX('Shooter-Squad Assignment'!$A:$A,MATCH(C553&amp;"-"&amp;E553&amp;"-"&amp;F553&amp;"-Pos1",'Shooter-Squad Assignment'!$K:$K,0)),""),IF(F553="Trap",IFERROR(INDEX('Shooter-Squad Assignment'!$A:$A,MATCH(C553&amp;"-"&amp;E553&amp;"-"&amp;F553&amp;"-Pos1",'Shooter-Squad Assignment'!$W:$W,0)),""),IF(F553="Sporting Clays",IFERROR(INDEX('Shooter-Squad Assignment'!$A:$A,MATCH(C553&amp;"-"&amp;E553&amp;"-"&amp;F553&amp;"-Pos1",'Shooter-Squad Assignment'!$Z:$Z,0)),""),"")))</f>
        <v/>
      </c>
      <c r="H553" s="88" t="str">
        <f>IF(ISBLANK(G553),"",IFERROR(INDEX('Tournament List'!$D:$D,MATCH(G553,'Tournament List'!$A:$A,0)),""))</f>
        <v/>
      </c>
      <c r="I553" s="96" t="str">
        <f>IF(F553="Skeet",IFERROR(INDEX('Shooter-Squad Assignment'!$A:$A,MATCH(C553&amp;"-"&amp;E553&amp;"-"&amp;F553&amp;"-Pos2",'Shooter-Squad Assignment'!$K:$K,0)),""),IF(F553="Trap",IFERROR(INDEX('Shooter-Squad Assignment'!$A:$A,MATCH(C553&amp;"-"&amp;E553&amp;"-"&amp;F553&amp;"-Pos2",'Shooter-Squad Assignment'!$W:$W,0)),""),IF(F553="Sporting Clays",IFERROR(INDEX('Shooter-Squad Assignment'!$A:$A,MATCH(C553&amp;"-"&amp;E553&amp;"-"&amp;F553&amp;"-Pos2",'Shooter-Squad Assignment'!$Z:$Z,0)),""),"")))</f>
        <v/>
      </c>
      <c r="J553" s="88" t="str">
        <f>IF(ISBLANK(I553),"",IFERROR(INDEX('Tournament List'!$D:$D,MATCH(I553,'Tournament List'!$A:$A,0)),""))</f>
        <v/>
      </c>
      <c r="K553" s="96" t="str">
        <f>IF(F553="Skeet",IFERROR(INDEX('Shooter-Squad Assignment'!$A:$A,MATCH(C553&amp;"-"&amp;E553&amp;"-"&amp;F553&amp;"-Pos3",'Shooter-Squad Assignment'!$K:$K,0)),""),IF(F553="Trap",IFERROR(INDEX('Shooter-Squad Assignment'!$A:$A,MATCH(C553&amp;"-"&amp;E553&amp;"-"&amp;F553&amp;"-Pos3",'Shooter-Squad Assignment'!$W:$W,0)),""),IF(F553="Sporting Clays",IFERROR(INDEX('Shooter-Squad Assignment'!$A:$A,MATCH(C553&amp;"-"&amp;E553&amp;"-"&amp;F553&amp;"-Pos3",'Shooter-Squad Assignment'!$Z:$Z,0)),""),"")))</f>
        <v/>
      </c>
      <c r="L553" s="88" t="str">
        <f>IF(ISBLANK(K553),"",IFERROR(INDEX('Tournament List'!$D:$D,MATCH(K553,'Tournament List'!$A:$A,0)),""))</f>
        <v/>
      </c>
      <c r="M553" s="96" t="str">
        <f>IF(F553="Skeet",IFERROR(INDEX('Shooter-Squad Assignment'!$A:$A,MATCH(C553&amp;"-"&amp;E553&amp;"-"&amp;F553&amp;"-Pos4",'Shooter-Squad Assignment'!$K:$K,0)),""),IF(F553="Trap",IFERROR(INDEX('Shooter-Squad Assignment'!$A:$A,MATCH(C553&amp;"-"&amp;E553&amp;"-"&amp;F553&amp;"-Pos4",'Shooter-Squad Assignment'!$W:$W,0)),""),IF(F553="Sporting Clays",IFERROR(INDEX('Shooter-Squad Assignment'!$A:$A,MATCH(C553&amp;"-"&amp;E553&amp;"-"&amp;F553&amp;"-Pos4",'Shooter-Squad Assignment'!$Z:$Z,0)),""),"")))</f>
        <v/>
      </c>
      <c r="N553" s="88" t="str">
        <f>IF(ISBLANK(M553),"",IFERROR(INDEX('Tournament List'!$D:$D,MATCH(M553,'Tournament List'!$A:$A,0)),""))</f>
        <v/>
      </c>
      <c r="O553" s="96" t="str">
        <f>IF(F553="Skeet",IFERROR(INDEX('Shooter-Squad Assignment'!$A:$A,MATCH(C553&amp;"-"&amp;E553&amp;"-"&amp;F553&amp;"-Pos5",'Shooter-Squad Assignment'!$K:$K,0)),""),IF(F553="Trap",IFERROR(INDEX('Shooter-Squad Assignment'!$A:$A,MATCH(C553&amp;"-"&amp;E553&amp;"-"&amp;F553&amp;"-Pos5",'Shooter-Squad Assignment'!$W:$W,0)),""),IF(F553="Sporting Clays",IFERROR(INDEX('Shooter-Squad Assignment'!$A:$A,MATCH(C553&amp;"-"&amp;E553&amp;"-"&amp;F553&amp;"-Pos5",'Shooter-Squad Assignment'!$Z:$Z,0)),""),"")))</f>
        <v/>
      </c>
      <c r="P553" s="89" t="str">
        <f>IF(ISBLANK(O553),"",IFERROR(INDEX('Tournament List'!$D:$D,MATCH(O553,'Tournament List'!$A:$A,0)),""))</f>
        <v/>
      </c>
    </row>
    <row r="554" spans="1:16" x14ac:dyDescent="0.3">
      <c r="A554" s="87">
        <v>553</v>
      </c>
      <c r="B554" s="88" t="str">
        <f>C554&amp;"-"&amp;E554&amp;"-"&amp;F554</f>
        <v>-Collegiate 2-Trap</v>
      </c>
      <c r="C554" s="88"/>
      <c r="D554" s="88" t="str">
        <f>INDEX('Tournament Setup'!$B$59:$B$78,MATCH(E554,SquadConcurrents,0))</f>
        <v>Collegiate</v>
      </c>
      <c r="E554" s="88" t="s">
        <v>348</v>
      </c>
      <c r="F554" s="88" t="s">
        <v>147</v>
      </c>
      <c r="G554" s="96" t="str">
        <f>IF(F554="Skeet",IFERROR(INDEX('Shooter-Squad Assignment'!$A:$A,MATCH(C554&amp;"-"&amp;E554&amp;"-"&amp;F554&amp;"-Pos1",'Shooter-Squad Assignment'!$K:$K,0)),""),IF(F554="Trap",IFERROR(INDEX('Shooter-Squad Assignment'!$A:$A,MATCH(C554&amp;"-"&amp;E554&amp;"-"&amp;F554&amp;"-Pos1",'Shooter-Squad Assignment'!$W:$W,0)),""),IF(F554="Sporting Clays",IFERROR(INDEX('Shooter-Squad Assignment'!$A:$A,MATCH(C554&amp;"-"&amp;E554&amp;"-"&amp;F554&amp;"-Pos1",'Shooter-Squad Assignment'!$Z:$Z,0)),""),"")))</f>
        <v/>
      </c>
      <c r="H554" s="88" t="str">
        <f>IF(ISBLANK(G554),"",IFERROR(INDEX('Tournament List'!$D:$D,MATCH(G554,'Tournament List'!$A:$A,0)),""))</f>
        <v/>
      </c>
      <c r="I554" s="96" t="str">
        <f>IF(F554="Skeet",IFERROR(INDEX('Shooter-Squad Assignment'!$A:$A,MATCH(C554&amp;"-"&amp;E554&amp;"-"&amp;F554&amp;"-Pos2",'Shooter-Squad Assignment'!$K:$K,0)),""),IF(F554="Trap",IFERROR(INDEX('Shooter-Squad Assignment'!$A:$A,MATCH(C554&amp;"-"&amp;E554&amp;"-"&amp;F554&amp;"-Pos2",'Shooter-Squad Assignment'!$W:$W,0)),""),IF(F554="Sporting Clays",IFERROR(INDEX('Shooter-Squad Assignment'!$A:$A,MATCH(C554&amp;"-"&amp;E554&amp;"-"&amp;F554&amp;"-Pos2",'Shooter-Squad Assignment'!$Z:$Z,0)),""),"")))</f>
        <v/>
      </c>
      <c r="J554" s="88" t="str">
        <f>IF(ISBLANK(I554),"",IFERROR(INDEX('Tournament List'!$D:$D,MATCH(I554,'Tournament List'!$A:$A,0)),""))</f>
        <v/>
      </c>
      <c r="K554" s="96" t="str">
        <f>IF(F554="Skeet",IFERROR(INDEX('Shooter-Squad Assignment'!$A:$A,MATCH(C554&amp;"-"&amp;E554&amp;"-"&amp;F554&amp;"-Pos3",'Shooter-Squad Assignment'!$K:$K,0)),""),IF(F554="Trap",IFERROR(INDEX('Shooter-Squad Assignment'!$A:$A,MATCH(C554&amp;"-"&amp;E554&amp;"-"&amp;F554&amp;"-Pos3",'Shooter-Squad Assignment'!$W:$W,0)),""),IF(F554="Sporting Clays",IFERROR(INDEX('Shooter-Squad Assignment'!$A:$A,MATCH(C554&amp;"-"&amp;E554&amp;"-"&amp;F554&amp;"-Pos3",'Shooter-Squad Assignment'!$Z:$Z,0)),""),"")))</f>
        <v/>
      </c>
      <c r="L554" s="88" t="str">
        <f>IF(ISBLANK(K554),"",IFERROR(INDEX('Tournament List'!$D:$D,MATCH(K554,'Tournament List'!$A:$A,0)),""))</f>
        <v/>
      </c>
      <c r="M554" s="96" t="str">
        <f>IF(F554="Skeet",IFERROR(INDEX('Shooter-Squad Assignment'!$A:$A,MATCH(C554&amp;"-"&amp;E554&amp;"-"&amp;F554&amp;"-Pos4",'Shooter-Squad Assignment'!$K:$K,0)),""),IF(F554="Trap",IFERROR(INDEX('Shooter-Squad Assignment'!$A:$A,MATCH(C554&amp;"-"&amp;E554&amp;"-"&amp;F554&amp;"-Pos4",'Shooter-Squad Assignment'!$W:$W,0)),""),IF(F554="Sporting Clays",IFERROR(INDEX('Shooter-Squad Assignment'!$A:$A,MATCH(C554&amp;"-"&amp;E554&amp;"-"&amp;F554&amp;"-Pos4",'Shooter-Squad Assignment'!$Z:$Z,0)),""),"")))</f>
        <v/>
      </c>
      <c r="N554" s="88" t="str">
        <f>IF(ISBLANK(M554),"",IFERROR(INDEX('Tournament List'!$D:$D,MATCH(M554,'Tournament List'!$A:$A,0)),""))</f>
        <v/>
      </c>
      <c r="O554" s="96" t="str">
        <f>IF(F554="Skeet",IFERROR(INDEX('Shooter-Squad Assignment'!$A:$A,MATCH(C554&amp;"-"&amp;E554&amp;"-"&amp;F554&amp;"-Pos5",'Shooter-Squad Assignment'!$K:$K,0)),""),IF(F554="Trap",IFERROR(INDEX('Shooter-Squad Assignment'!$A:$A,MATCH(C554&amp;"-"&amp;E554&amp;"-"&amp;F554&amp;"-Pos5",'Shooter-Squad Assignment'!$W:$W,0)),""),IF(F554="Sporting Clays",IFERROR(INDEX('Shooter-Squad Assignment'!$A:$A,MATCH(C554&amp;"-"&amp;E554&amp;"-"&amp;F554&amp;"-Pos5",'Shooter-Squad Assignment'!$Z:$Z,0)),""),"")))</f>
        <v/>
      </c>
      <c r="P554" s="89" t="str">
        <f>IF(ISBLANK(O554),"",IFERROR(INDEX('Tournament List'!$D:$D,MATCH(O554,'Tournament List'!$A:$A,0)),""))</f>
        <v/>
      </c>
    </row>
    <row r="555" spans="1:16" x14ac:dyDescent="0.3">
      <c r="A555" s="87">
        <v>554</v>
      </c>
      <c r="B555" s="88" t="str">
        <f>C555&amp;"-"&amp;E555&amp;"-"&amp;F555</f>
        <v>-Collegiate 3-Trap</v>
      </c>
      <c r="C555" s="88"/>
      <c r="D555" s="88" t="str">
        <f>INDEX('Tournament Setup'!$B$59:$B$78,MATCH(E555,SquadConcurrents,0))</f>
        <v>Collegiate</v>
      </c>
      <c r="E555" s="88" t="s">
        <v>354</v>
      </c>
      <c r="F555" s="88" t="s">
        <v>147</v>
      </c>
      <c r="G555" s="96" t="str">
        <f>IF(F555="Skeet",IFERROR(INDEX('Shooter-Squad Assignment'!$A:$A,MATCH(C555&amp;"-"&amp;E555&amp;"-"&amp;F555&amp;"-Pos1",'Shooter-Squad Assignment'!$K:$K,0)),""),IF(F555="Trap",IFERROR(INDEX('Shooter-Squad Assignment'!$A:$A,MATCH(C555&amp;"-"&amp;E555&amp;"-"&amp;F555&amp;"-Pos1",'Shooter-Squad Assignment'!$W:$W,0)),""),IF(F555="Sporting Clays",IFERROR(INDEX('Shooter-Squad Assignment'!$A:$A,MATCH(C555&amp;"-"&amp;E555&amp;"-"&amp;F555&amp;"-Pos1",'Shooter-Squad Assignment'!$Z:$Z,0)),""),"")))</f>
        <v/>
      </c>
      <c r="H555" s="88" t="str">
        <f>IF(ISBLANK(G555),"",IFERROR(INDEX('Tournament List'!$D:$D,MATCH(G555,'Tournament List'!$A:$A,0)),""))</f>
        <v/>
      </c>
      <c r="I555" s="96" t="str">
        <f>IF(F555="Skeet",IFERROR(INDEX('Shooter-Squad Assignment'!$A:$A,MATCH(C555&amp;"-"&amp;E555&amp;"-"&amp;F555&amp;"-Pos2",'Shooter-Squad Assignment'!$K:$K,0)),""),IF(F555="Trap",IFERROR(INDEX('Shooter-Squad Assignment'!$A:$A,MATCH(C555&amp;"-"&amp;E555&amp;"-"&amp;F555&amp;"-Pos2",'Shooter-Squad Assignment'!$W:$W,0)),""),IF(F555="Sporting Clays",IFERROR(INDEX('Shooter-Squad Assignment'!$A:$A,MATCH(C555&amp;"-"&amp;E555&amp;"-"&amp;F555&amp;"-Pos2",'Shooter-Squad Assignment'!$Z:$Z,0)),""),"")))</f>
        <v/>
      </c>
      <c r="J555" s="88" t="str">
        <f>IF(ISBLANK(I555),"",IFERROR(INDEX('Tournament List'!$D:$D,MATCH(I555,'Tournament List'!$A:$A,0)),""))</f>
        <v/>
      </c>
      <c r="K555" s="96" t="str">
        <f>IF(F555="Skeet",IFERROR(INDEX('Shooter-Squad Assignment'!$A:$A,MATCH(C555&amp;"-"&amp;E555&amp;"-"&amp;F555&amp;"-Pos3",'Shooter-Squad Assignment'!$K:$K,0)),""),IF(F555="Trap",IFERROR(INDEX('Shooter-Squad Assignment'!$A:$A,MATCH(C555&amp;"-"&amp;E555&amp;"-"&amp;F555&amp;"-Pos3",'Shooter-Squad Assignment'!$W:$W,0)),""),IF(F555="Sporting Clays",IFERROR(INDEX('Shooter-Squad Assignment'!$A:$A,MATCH(C555&amp;"-"&amp;E555&amp;"-"&amp;F555&amp;"-Pos3",'Shooter-Squad Assignment'!$Z:$Z,0)),""),"")))</f>
        <v/>
      </c>
      <c r="L555" s="88" t="str">
        <f>IF(ISBLANK(K555),"",IFERROR(INDEX('Tournament List'!$D:$D,MATCH(K555,'Tournament List'!$A:$A,0)),""))</f>
        <v/>
      </c>
      <c r="M555" s="96" t="str">
        <f>IF(F555="Skeet",IFERROR(INDEX('Shooter-Squad Assignment'!$A:$A,MATCH(C555&amp;"-"&amp;E555&amp;"-"&amp;F555&amp;"-Pos4",'Shooter-Squad Assignment'!$K:$K,0)),""),IF(F555="Trap",IFERROR(INDEX('Shooter-Squad Assignment'!$A:$A,MATCH(C555&amp;"-"&amp;E555&amp;"-"&amp;F555&amp;"-Pos4",'Shooter-Squad Assignment'!$W:$W,0)),""),IF(F555="Sporting Clays",IFERROR(INDEX('Shooter-Squad Assignment'!$A:$A,MATCH(C555&amp;"-"&amp;E555&amp;"-"&amp;F555&amp;"-Pos4",'Shooter-Squad Assignment'!$Z:$Z,0)),""),"")))</f>
        <v/>
      </c>
      <c r="N555" s="88" t="str">
        <f>IF(ISBLANK(M555),"",IFERROR(INDEX('Tournament List'!$D:$D,MATCH(M555,'Tournament List'!$A:$A,0)),""))</f>
        <v/>
      </c>
      <c r="O555" s="96" t="str">
        <f>IF(F555="Skeet",IFERROR(INDEX('Shooter-Squad Assignment'!$A:$A,MATCH(C555&amp;"-"&amp;E555&amp;"-"&amp;F555&amp;"-Pos5",'Shooter-Squad Assignment'!$K:$K,0)),""),IF(F555="Trap",IFERROR(INDEX('Shooter-Squad Assignment'!$A:$A,MATCH(C555&amp;"-"&amp;E555&amp;"-"&amp;F555&amp;"-Pos5",'Shooter-Squad Assignment'!$W:$W,0)),""),IF(F555="Sporting Clays",IFERROR(INDEX('Shooter-Squad Assignment'!$A:$A,MATCH(C555&amp;"-"&amp;E555&amp;"-"&amp;F555&amp;"-Pos5",'Shooter-Squad Assignment'!$Z:$Z,0)),""),"")))</f>
        <v/>
      </c>
      <c r="P555" s="89" t="str">
        <f>IF(ISBLANK(O555),"",IFERROR(INDEX('Tournament List'!$D:$D,MATCH(O555,'Tournament List'!$A:$A,0)),""))</f>
        <v/>
      </c>
    </row>
    <row r="556" spans="1:16" x14ac:dyDescent="0.3">
      <c r="A556" s="87">
        <v>555</v>
      </c>
      <c r="B556" s="88" t="str">
        <f>C556&amp;"-"&amp;E556&amp;"-"&amp;F556</f>
        <v>-Intermediate 1-Trap</v>
      </c>
      <c r="C556" s="88"/>
      <c r="D556" s="88" t="str">
        <f>INDEX('Tournament Setup'!$B$59:$B$78,MATCH(E556,SquadConcurrents,0))</f>
        <v>Intermediate</v>
      </c>
      <c r="E556" s="88" t="s">
        <v>338</v>
      </c>
      <c r="F556" s="88" t="s">
        <v>147</v>
      </c>
      <c r="G556" s="96" t="str">
        <f>IF(F556="Skeet",IFERROR(INDEX('Shooter-Squad Assignment'!$A:$A,MATCH(C556&amp;"-"&amp;E556&amp;"-"&amp;F556&amp;"-Pos1",'Shooter-Squad Assignment'!$K:$K,0)),""),IF(F556="Trap",IFERROR(INDEX('Shooter-Squad Assignment'!$A:$A,MATCH(C556&amp;"-"&amp;E556&amp;"-"&amp;F556&amp;"-Pos1",'Shooter-Squad Assignment'!$W:$W,0)),""),IF(F556="Sporting Clays",IFERROR(INDEX('Shooter-Squad Assignment'!$A:$A,MATCH(C556&amp;"-"&amp;E556&amp;"-"&amp;F556&amp;"-Pos1",'Shooter-Squad Assignment'!$Z:$Z,0)),""),"")))</f>
        <v/>
      </c>
      <c r="H556" s="88" t="str">
        <f>IF(ISBLANK(G556),"",IFERROR(INDEX('Tournament List'!$D:$D,MATCH(G556,'Tournament List'!$A:$A,0)),""))</f>
        <v/>
      </c>
      <c r="I556" s="96" t="str">
        <f>IF(F556="Skeet",IFERROR(INDEX('Shooter-Squad Assignment'!$A:$A,MATCH(C556&amp;"-"&amp;E556&amp;"-"&amp;F556&amp;"-Pos2",'Shooter-Squad Assignment'!$K:$K,0)),""),IF(F556="Trap",IFERROR(INDEX('Shooter-Squad Assignment'!$A:$A,MATCH(C556&amp;"-"&amp;E556&amp;"-"&amp;F556&amp;"-Pos2",'Shooter-Squad Assignment'!$W:$W,0)),""),IF(F556="Sporting Clays",IFERROR(INDEX('Shooter-Squad Assignment'!$A:$A,MATCH(C556&amp;"-"&amp;E556&amp;"-"&amp;F556&amp;"-Pos2",'Shooter-Squad Assignment'!$Z:$Z,0)),""),"")))</f>
        <v/>
      </c>
      <c r="J556" s="88" t="str">
        <f>IF(ISBLANK(I556),"",IFERROR(INDEX('Tournament List'!$D:$D,MATCH(I556,'Tournament List'!$A:$A,0)),""))</f>
        <v/>
      </c>
      <c r="K556" s="96" t="str">
        <f>IF(F556="Skeet",IFERROR(INDEX('Shooter-Squad Assignment'!$A:$A,MATCH(C556&amp;"-"&amp;E556&amp;"-"&amp;F556&amp;"-Pos3",'Shooter-Squad Assignment'!$K:$K,0)),""),IF(F556="Trap",IFERROR(INDEX('Shooter-Squad Assignment'!$A:$A,MATCH(C556&amp;"-"&amp;E556&amp;"-"&amp;F556&amp;"-Pos3",'Shooter-Squad Assignment'!$W:$W,0)),""),IF(F556="Sporting Clays",IFERROR(INDEX('Shooter-Squad Assignment'!$A:$A,MATCH(C556&amp;"-"&amp;E556&amp;"-"&amp;F556&amp;"-Pos3",'Shooter-Squad Assignment'!$Z:$Z,0)),""),"")))</f>
        <v/>
      </c>
      <c r="L556" s="88" t="str">
        <f>IF(ISBLANK(K556),"",IFERROR(INDEX('Tournament List'!$D:$D,MATCH(K556,'Tournament List'!$A:$A,0)),""))</f>
        <v/>
      </c>
      <c r="M556" s="96" t="str">
        <f>IF(F556="Skeet",IFERROR(INDEX('Shooter-Squad Assignment'!$A:$A,MATCH(C556&amp;"-"&amp;E556&amp;"-"&amp;F556&amp;"-Pos4",'Shooter-Squad Assignment'!$K:$K,0)),""),IF(F556="Trap",IFERROR(INDEX('Shooter-Squad Assignment'!$A:$A,MATCH(C556&amp;"-"&amp;E556&amp;"-"&amp;F556&amp;"-Pos4",'Shooter-Squad Assignment'!$W:$W,0)),""),IF(F556="Sporting Clays",IFERROR(INDEX('Shooter-Squad Assignment'!$A:$A,MATCH(C556&amp;"-"&amp;E556&amp;"-"&amp;F556&amp;"-Pos4",'Shooter-Squad Assignment'!$Z:$Z,0)),""),"")))</f>
        <v/>
      </c>
      <c r="N556" s="88" t="str">
        <f>IF(ISBLANK(M556),"",IFERROR(INDEX('Tournament List'!$D:$D,MATCH(M556,'Tournament List'!$A:$A,0)),""))</f>
        <v/>
      </c>
      <c r="O556" s="96" t="str">
        <f>IF(F556="Skeet",IFERROR(INDEX('Shooter-Squad Assignment'!$A:$A,MATCH(C556&amp;"-"&amp;E556&amp;"-"&amp;F556&amp;"-Pos5",'Shooter-Squad Assignment'!$K:$K,0)),""),IF(F556="Trap",IFERROR(INDEX('Shooter-Squad Assignment'!$A:$A,MATCH(C556&amp;"-"&amp;E556&amp;"-"&amp;F556&amp;"-Pos5",'Shooter-Squad Assignment'!$W:$W,0)),""),IF(F556="Sporting Clays",IFERROR(INDEX('Shooter-Squad Assignment'!$A:$A,MATCH(C556&amp;"-"&amp;E556&amp;"-"&amp;F556&amp;"-Pos5",'Shooter-Squad Assignment'!$Z:$Z,0)),""),"")))</f>
        <v/>
      </c>
      <c r="P556" s="89" t="str">
        <f>IF(ISBLANK(O556),"",IFERROR(INDEX('Tournament List'!$D:$D,MATCH(O556,'Tournament List'!$A:$A,0)),""))</f>
        <v/>
      </c>
    </row>
    <row r="557" spans="1:16" x14ac:dyDescent="0.3">
      <c r="A557" s="87">
        <v>556</v>
      </c>
      <c r="B557" s="88" t="str">
        <f>C557&amp;"-"&amp;E557&amp;"-"&amp;F557</f>
        <v>-Intermediate 2-Trap</v>
      </c>
      <c r="C557" s="88"/>
      <c r="D557" s="88" t="str">
        <f>INDEX('Tournament Setup'!$B$59:$B$78,MATCH(E557,SquadConcurrents,0))</f>
        <v>Intermediate</v>
      </c>
      <c r="E557" s="88" t="s">
        <v>344</v>
      </c>
      <c r="F557" s="88" t="s">
        <v>147</v>
      </c>
      <c r="G557" s="96" t="str">
        <f>IF(F557="Skeet",IFERROR(INDEX('Shooter-Squad Assignment'!$A:$A,MATCH(C557&amp;"-"&amp;E557&amp;"-"&amp;F557&amp;"-Pos1",'Shooter-Squad Assignment'!$K:$K,0)),""),IF(F557="Trap",IFERROR(INDEX('Shooter-Squad Assignment'!$A:$A,MATCH(C557&amp;"-"&amp;E557&amp;"-"&amp;F557&amp;"-Pos1",'Shooter-Squad Assignment'!$W:$W,0)),""),IF(F557="Sporting Clays",IFERROR(INDEX('Shooter-Squad Assignment'!$A:$A,MATCH(C557&amp;"-"&amp;E557&amp;"-"&amp;F557&amp;"-Pos1",'Shooter-Squad Assignment'!$Z:$Z,0)),""),"")))</f>
        <v/>
      </c>
      <c r="H557" s="88" t="str">
        <f>IF(ISBLANK(G557),"",IFERROR(INDEX('Tournament List'!$D:$D,MATCH(G557,'Tournament List'!$A:$A,0)),""))</f>
        <v/>
      </c>
      <c r="I557" s="96" t="str">
        <f>IF(F557="Skeet",IFERROR(INDEX('Shooter-Squad Assignment'!$A:$A,MATCH(C557&amp;"-"&amp;E557&amp;"-"&amp;F557&amp;"-Pos2",'Shooter-Squad Assignment'!$K:$K,0)),""),IF(F557="Trap",IFERROR(INDEX('Shooter-Squad Assignment'!$A:$A,MATCH(C557&amp;"-"&amp;E557&amp;"-"&amp;F557&amp;"-Pos2",'Shooter-Squad Assignment'!$W:$W,0)),""),IF(F557="Sporting Clays",IFERROR(INDEX('Shooter-Squad Assignment'!$A:$A,MATCH(C557&amp;"-"&amp;E557&amp;"-"&amp;F557&amp;"-Pos2",'Shooter-Squad Assignment'!$Z:$Z,0)),""),"")))</f>
        <v/>
      </c>
      <c r="J557" s="88" t="str">
        <f>IF(ISBLANK(I557),"",IFERROR(INDEX('Tournament List'!$D:$D,MATCH(I557,'Tournament List'!$A:$A,0)),""))</f>
        <v/>
      </c>
      <c r="K557" s="96" t="str">
        <f>IF(F557="Skeet",IFERROR(INDEX('Shooter-Squad Assignment'!$A:$A,MATCH(C557&amp;"-"&amp;E557&amp;"-"&amp;F557&amp;"-Pos3",'Shooter-Squad Assignment'!$K:$K,0)),""),IF(F557="Trap",IFERROR(INDEX('Shooter-Squad Assignment'!$A:$A,MATCH(C557&amp;"-"&amp;E557&amp;"-"&amp;F557&amp;"-Pos3",'Shooter-Squad Assignment'!$W:$W,0)),""),IF(F557="Sporting Clays",IFERROR(INDEX('Shooter-Squad Assignment'!$A:$A,MATCH(C557&amp;"-"&amp;E557&amp;"-"&amp;F557&amp;"-Pos3",'Shooter-Squad Assignment'!$Z:$Z,0)),""),"")))</f>
        <v/>
      </c>
      <c r="L557" s="88" t="str">
        <f>IF(ISBLANK(K557),"",IFERROR(INDEX('Tournament List'!$D:$D,MATCH(K557,'Tournament List'!$A:$A,0)),""))</f>
        <v/>
      </c>
      <c r="M557" s="96" t="str">
        <f>IF(F557="Skeet",IFERROR(INDEX('Shooter-Squad Assignment'!$A:$A,MATCH(C557&amp;"-"&amp;E557&amp;"-"&amp;F557&amp;"-Pos4",'Shooter-Squad Assignment'!$K:$K,0)),""),IF(F557="Trap",IFERROR(INDEX('Shooter-Squad Assignment'!$A:$A,MATCH(C557&amp;"-"&amp;E557&amp;"-"&amp;F557&amp;"-Pos4",'Shooter-Squad Assignment'!$W:$W,0)),""),IF(F557="Sporting Clays",IFERROR(INDEX('Shooter-Squad Assignment'!$A:$A,MATCH(C557&amp;"-"&amp;E557&amp;"-"&amp;F557&amp;"-Pos4",'Shooter-Squad Assignment'!$Z:$Z,0)),""),"")))</f>
        <v/>
      </c>
      <c r="N557" s="88" t="str">
        <f>IF(ISBLANK(M557),"",IFERROR(INDEX('Tournament List'!$D:$D,MATCH(M557,'Tournament List'!$A:$A,0)),""))</f>
        <v/>
      </c>
      <c r="O557" s="96" t="str">
        <f>IF(F557="Skeet",IFERROR(INDEX('Shooter-Squad Assignment'!$A:$A,MATCH(C557&amp;"-"&amp;E557&amp;"-"&amp;F557&amp;"-Pos5",'Shooter-Squad Assignment'!$K:$K,0)),""),IF(F557="Trap",IFERROR(INDEX('Shooter-Squad Assignment'!$A:$A,MATCH(C557&amp;"-"&amp;E557&amp;"-"&amp;F557&amp;"-Pos5",'Shooter-Squad Assignment'!$W:$W,0)),""),IF(F557="Sporting Clays",IFERROR(INDEX('Shooter-Squad Assignment'!$A:$A,MATCH(C557&amp;"-"&amp;E557&amp;"-"&amp;F557&amp;"-Pos5",'Shooter-Squad Assignment'!$Z:$Z,0)),""),"")))</f>
        <v/>
      </c>
      <c r="P557" s="89" t="str">
        <f>IF(ISBLANK(O557),"",IFERROR(INDEX('Tournament List'!$D:$D,MATCH(O557,'Tournament List'!$A:$A,0)),""))</f>
        <v/>
      </c>
    </row>
    <row r="558" spans="1:16" x14ac:dyDescent="0.3">
      <c r="A558" s="87">
        <v>557</v>
      </c>
      <c r="B558" s="88" t="str">
        <f>C558&amp;"-"&amp;E558&amp;"-"&amp;F558</f>
        <v>-Intermediate 3-Trap</v>
      </c>
      <c r="C558" s="88"/>
      <c r="D558" s="88" t="str">
        <f>INDEX('Tournament Setup'!$B$59:$B$78,MATCH(E558,SquadConcurrents,0))</f>
        <v>Intermediate</v>
      </c>
      <c r="E558" s="88" t="s">
        <v>350</v>
      </c>
      <c r="F558" s="88" t="s">
        <v>147</v>
      </c>
      <c r="G558" s="96" t="str">
        <f>IF(F558="Skeet",IFERROR(INDEX('Shooter-Squad Assignment'!$A:$A,MATCH(C558&amp;"-"&amp;E558&amp;"-"&amp;F558&amp;"-Pos1",'Shooter-Squad Assignment'!$K:$K,0)),""),IF(F558="Trap",IFERROR(INDEX('Shooter-Squad Assignment'!$A:$A,MATCH(C558&amp;"-"&amp;E558&amp;"-"&amp;F558&amp;"-Pos1",'Shooter-Squad Assignment'!$W:$W,0)),""),IF(F558="Sporting Clays",IFERROR(INDEX('Shooter-Squad Assignment'!$A:$A,MATCH(C558&amp;"-"&amp;E558&amp;"-"&amp;F558&amp;"-Pos1",'Shooter-Squad Assignment'!$Z:$Z,0)),""),"")))</f>
        <v/>
      </c>
      <c r="H558" s="88" t="str">
        <f>IF(ISBLANK(G558),"",IFERROR(INDEX('Tournament List'!$D:$D,MATCH(G558,'Tournament List'!$A:$A,0)),""))</f>
        <v/>
      </c>
      <c r="I558" s="96" t="str">
        <f>IF(F558="Skeet",IFERROR(INDEX('Shooter-Squad Assignment'!$A:$A,MATCH(C558&amp;"-"&amp;E558&amp;"-"&amp;F558&amp;"-Pos2",'Shooter-Squad Assignment'!$K:$K,0)),""),IF(F558="Trap",IFERROR(INDEX('Shooter-Squad Assignment'!$A:$A,MATCH(C558&amp;"-"&amp;E558&amp;"-"&amp;F558&amp;"-Pos2",'Shooter-Squad Assignment'!$W:$W,0)),""),IF(F558="Sporting Clays",IFERROR(INDEX('Shooter-Squad Assignment'!$A:$A,MATCH(C558&amp;"-"&amp;E558&amp;"-"&amp;F558&amp;"-Pos2",'Shooter-Squad Assignment'!$Z:$Z,0)),""),"")))</f>
        <v/>
      </c>
      <c r="J558" s="88" t="str">
        <f>IF(ISBLANK(I558),"",IFERROR(INDEX('Tournament List'!$D:$D,MATCH(I558,'Tournament List'!$A:$A,0)),""))</f>
        <v/>
      </c>
      <c r="K558" s="96" t="str">
        <f>IF(F558="Skeet",IFERROR(INDEX('Shooter-Squad Assignment'!$A:$A,MATCH(C558&amp;"-"&amp;E558&amp;"-"&amp;F558&amp;"-Pos3",'Shooter-Squad Assignment'!$K:$K,0)),""),IF(F558="Trap",IFERROR(INDEX('Shooter-Squad Assignment'!$A:$A,MATCH(C558&amp;"-"&amp;E558&amp;"-"&amp;F558&amp;"-Pos3",'Shooter-Squad Assignment'!$W:$W,0)),""),IF(F558="Sporting Clays",IFERROR(INDEX('Shooter-Squad Assignment'!$A:$A,MATCH(C558&amp;"-"&amp;E558&amp;"-"&amp;F558&amp;"-Pos3",'Shooter-Squad Assignment'!$Z:$Z,0)),""),"")))</f>
        <v/>
      </c>
      <c r="L558" s="88" t="str">
        <f>IF(ISBLANK(K558),"",IFERROR(INDEX('Tournament List'!$D:$D,MATCH(K558,'Tournament List'!$A:$A,0)),""))</f>
        <v/>
      </c>
      <c r="M558" s="96" t="str">
        <f>IF(F558="Skeet",IFERROR(INDEX('Shooter-Squad Assignment'!$A:$A,MATCH(C558&amp;"-"&amp;E558&amp;"-"&amp;F558&amp;"-Pos4",'Shooter-Squad Assignment'!$K:$K,0)),""),IF(F558="Trap",IFERROR(INDEX('Shooter-Squad Assignment'!$A:$A,MATCH(C558&amp;"-"&amp;E558&amp;"-"&amp;F558&amp;"-Pos4",'Shooter-Squad Assignment'!$W:$W,0)),""),IF(F558="Sporting Clays",IFERROR(INDEX('Shooter-Squad Assignment'!$A:$A,MATCH(C558&amp;"-"&amp;E558&amp;"-"&amp;F558&amp;"-Pos4",'Shooter-Squad Assignment'!$Z:$Z,0)),""),"")))</f>
        <v/>
      </c>
      <c r="N558" s="88" t="str">
        <f>IF(ISBLANK(M558),"",IFERROR(INDEX('Tournament List'!$D:$D,MATCH(M558,'Tournament List'!$A:$A,0)),""))</f>
        <v/>
      </c>
      <c r="O558" s="96" t="str">
        <f>IF(F558="Skeet",IFERROR(INDEX('Shooter-Squad Assignment'!$A:$A,MATCH(C558&amp;"-"&amp;E558&amp;"-"&amp;F558&amp;"-Pos5",'Shooter-Squad Assignment'!$K:$K,0)),""),IF(F558="Trap",IFERROR(INDEX('Shooter-Squad Assignment'!$A:$A,MATCH(C558&amp;"-"&amp;E558&amp;"-"&amp;F558&amp;"-Pos5",'Shooter-Squad Assignment'!$W:$W,0)),""),IF(F558="Sporting Clays",IFERROR(INDEX('Shooter-Squad Assignment'!$A:$A,MATCH(C558&amp;"-"&amp;E558&amp;"-"&amp;F558&amp;"-Pos5",'Shooter-Squad Assignment'!$Z:$Z,0)),""),"")))</f>
        <v/>
      </c>
      <c r="P558" s="89" t="str">
        <f>IF(ISBLANK(O558),"",IFERROR(INDEX('Tournament List'!$D:$D,MATCH(O558,'Tournament List'!$A:$A,0)),""))</f>
        <v/>
      </c>
    </row>
    <row r="559" spans="1:16" x14ac:dyDescent="0.3">
      <c r="A559" s="87">
        <v>558</v>
      </c>
      <c r="B559" s="88" t="str">
        <f>C559&amp;"-"&amp;E559&amp;"-"&amp;F559</f>
        <v>-Junior Varsity 1-Trap</v>
      </c>
      <c r="C559" s="88"/>
      <c r="D559" s="88" t="str">
        <f>INDEX('Tournament Setup'!$B$59:$B$78,MATCH(E559,SquadConcurrents,0))</f>
        <v>Junior Varsity</v>
      </c>
      <c r="E559" s="88" t="s">
        <v>339</v>
      </c>
      <c r="F559" s="88" t="s">
        <v>147</v>
      </c>
      <c r="G559" s="96" t="str">
        <f>IF(F559="Skeet",IFERROR(INDEX('Shooter-Squad Assignment'!$A:$A,MATCH(C559&amp;"-"&amp;E559&amp;"-"&amp;F559&amp;"-Pos1",'Shooter-Squad Assignment'!$K:$K,0)),""),IF(F559="Trap",IFERROR(INDEX('Shooter-Squad Assignment'!$A:$A,MATCH(C559&amp;"-"&amp;E559&amp;"-"&amp;F559&amp;"-Pos1",'Shooter-Squad Assignment'!$W:$W,0)),""),IF(F559="Sporting Clays",IFERROR(INDEX('Shooter-Squad Assignment'!$A:$A,MATCH(C559&amp;"-"&amp;E559&amp;"-"&amp;F559&amp;"-Pos1",'Shooter-Squad Assignment'!$Z:$Z,0)),""),"")))</f>
        <v/>
      </c>
      <c r="H559" s="88" t="str">
        <f>IF(ISBLANK(G559),"",IFERROR(INDEX('Tournament List'!$D:$D,MATCH(G559,'Tournament List'!$A:$A,0)),""))</f>
        <v/>
      </c>
      <c r="I559" s="96" t="str">
        <f>IF(F559="Skeet",IFERROR(INDEX('Shooter-Squad Assignment'!$A:$A,MATCH(C559&amp;"-"&amp;E559&amp;"-"&amp;F559&amp;"-Pos2",'Shooter-Squad Assignment'!$K:$K,0)),""),IF(F559="Trap",IFERROR(INDEX('Shooter-Squad Assignment'!$A:$A,MATCH(C559&amp;"-"&amp;E559&amp;"-"&amp;F559&amp;"-Pos2",'Shooter-Squad Assignment'!$W:$W,0)),""),IF(F559="Sporting Clays",IFERROR(INDEX('Shooter-Squad Assignment'!$A:$A,MATCH(C559&amp;"-"&amp;E559&amp;"-"&amp;F559&amp;"-Pos2",'Shooter-Squad Assignment'!$Z:$Z,0)),""),"")))</f>
        <v/>
      </c>
      <c r="J559" s="88" t="str">
        <f>IF(ISBLANK(I559),"",IFERROR(INDEX('Tournament List'!$D:$D,MATCH(I559,'Tournament List'!$A:$A,0)),""))</f>
        <v/>
      </c>
      <c r="K559" s="96" t="str">
        <f>IF(F559="Skeet",IFERROR(INDEX('Shooter-Squad Assignment'!$A:$A,MATCH(C559&amp;"-"&amp;E559&amp;"-"&amp;F559&amp;"-Pos3",'Shooter-Squad Assignment'!$K:$K,0)),""),IF(F559="Trap",IFERROR(INDEX('Shooter-Squad Assignment'!$A:$A,MATCH(C559&amp;"-"&amp;E559&amp;"-"&amp;F559&amp;"-Pos3",'Shooter-Squad Assignment'!$W:$W,0)),""),IF(F559="Sporting Clays",IFERROR(INDEX('Shooter-Squad Assignment'!$A:$A,MATCH(C559&amp;"-"&amp;E559&amp;"-"&amp;F559&amp;"-Pos3",'Shooter-Squad Assignment'!$Z:$Z,0)),""),"")))</f>
        <v/>
      </c>
      <c r="L559" s="88" t="str">
        <f>IF(ISBLANK(K559),"",IFERROR(INDEX('Tournament List'!$D:$D,MATCH(K559,'Tournament List'!$A:$A,0)),""))</f>
        <v/>
      </c>
      <c r="M559" s="96" t="str">
        <f>IF(F559="Skeet",IFERROR(INDEX('Shooter-Squad Assignment'!$A:$A,MATCH(C559&amp;"-"&amp;E559&amp;"-"&amp;F559&amp;"-Pos4",'Shooter-Squad Assignment'!$K:$K,0)),""),IF(F559="Trap",IFERROR(INDEX('Shooter-Squad Assignment'!$A:$A,MATCH(C559&amp;"-"&amp;E559&amp;"-"&amp;F559&amp;"-Pos4",'Shooter-Squad Assignment'!$W:$W,0)),""),IF(F559="Sporting Clays",IFERROR(INDEX('Shooter-Squad Assignment'!$A:$A,MATCH(C559&amp;"-"&amp;E559&amp;"-"&amp;F559&amp;"-Pos4",'Shooter-Squad Assignment'!$Z:$Z,0)),""),"")))</f>
        <v/>
      </c>
      <c r="N559" s="88" t="str">
        <f>IF(ISBLANK(M559),"",IFERROR(INDEX('Tournament List'!$D:$D,MATCH(M559,'Tournament List'!$A:$A,0)),""))</f>
        <v/>
      </c>
      <c r="O559" s="96" t="str">
        <f>IF(F559="Skeet",IFERROR(INDEX('Shooter-Squad Assignment'!$A:$A,MATCH(C559&amp;"-"&amp;E559&amp;"-"&amp;F559&amp;"-Pos5",'Shooter-Squad Assignment'!$K:$K,0)),""),IF(F559="Trap",IFERROR(INDEX('Shooter-Squad Assignment'!$A:$A,MATCH(C559&amp;"-"&amp;E559&amp;"-"&amp;F559&amp;"-Pos5",'Shooter-Squad Assignment'!$W:$W,0)),""),IF(F559="Sporting Clays",IFERROR(INDEX('Shooter-Squad Assignment'!$A:$A,MATCH(C559&amp;"-"&amp;E559&amp;"-"&amp;F559&amp;"-Pos5",'Shooter-Squad Assignment'!$Z:$Z,0)),""),"")))</f>
        <v/>
      </c>
      <c r="P559" s="89" t="str">
        <f>IF(ISBLANK(O559),"",IFERROR(INDEX('Tournament List'!$D:$D,MATCH(O559,'Tournament List'!$A:$A,0)),""))</f>
        <v/>
      </c>
    </row>
    <row r="560" spans="1:16" x14ac:dyDescent="0.3">
      <c r="A560" s="87">
        <v>559</v>
      </c>
      <c r="B560" s="88" t="str">
        <f>C560&amp;"-"&amp;E560&amp;"-"&amp;F560</f>
        <v>-Junior Varsity 2-Trap</v>
      </c>
      <c r="C560" s="88"/>
      <c r="D560" s="88" t="str">
        <f>INDEX('Tournament Setup'!$B$59:$B$78,MATCH(E560,SquadConcurrents,0))</f>
        <v>Junior Varsity</v>
      </c>
      <c r="E560" s="88" t="s">
        <v>345</v>
      </c>
      <c r="F560" s="88" t="s">
        <v>147</v>
      </c>
      <c r="G560" s="96" t="str">
        <f>IF(F560="Skeet",IFERROR(INDEX('Shooter-Squad Assignment'!$A:$A,MATCH(C560&amp;"-"&amp;E560&amp;"-"&amp;F560&amp;"-Pos1",'Shooter-Squad Assignment'!$K:$K,0)),""),IF(F560="Trap",IFERROR(INDEX('Shooter-Squad Assignment'!$A:$A,MATCH(C560&amp;"-"&amp;E560&amp;"-"&amp;F560&amp;"-Pos1",'Shooter-Squad Assignment'!$W:$W,0)),""),IF(F560="Sporting Clays",IFERROR(INDEX('Shooter-Squad Assignment'!$A:$A,MATCH(C560&amp;"-"&amp;E560&amp;"-"&amp;F560&amp;"-Pos1",'Shooter-Squad Assignment'!$Z:$Z,0)),""),"")))</f>
        <v/>
      </c>
      <c r="H560" s="88" t="str">
        <f>IF(ISBLANK(G560),"",IFERROR(INDEX('Tournament List'!$D:$D,MATCH(G560,'Tournament List'!$A:$A,0)),""))</f>
        <v/>
      </c>
      <c r="I560" s="96" t="str">
        <f>IF(F560="Skeet",IFERROR(INDEX('Shooter-Squad Assignment'!$A:$A,MATCH(C560&amp;"-"&amp;E560&amp;"-"&amp;F560&amp;"-Pos2",'Shooter-Squad Assignment'!$K:$K,0)),""),IF(F560="Trap",IFERROR(INDEX('Shooter-Squad Assignment'!$A:$A,MATCH(C560&amp;"-"&amp;E560&amp;"-"&amp;F560&amp;"-Pos2",'Shooter-Squad Assignment'!$W:$W,0)),""),IF(F560="Sporting Clays",IFERROR(INDEX('Shooter-Squad Assignment'!$A:$A,MATCH(C560&amp;"-"&amp;E560&amp;"-"&amp;F560&amp;"-Pos2",'Shooter-Squad Assignment'!$Z:$Z,0)),""),"")))</f>
        <v/>
      </c>
      <c r="J560" s="88" t="str">
        <f>IF(ISBLANK(I560),"",IFERROR(INDEX('Tournament List'!$D:$D,MATCH(I560,'Tournament List'!$A:$A,0)),""))</f>
        <v/>
      </c>
      <c r="K560" s="96" t="str">
        <f>IF(F560="Skeet",IFERROR(INDEX('Shooter-Squad Assignment'!$A:$A,MATCH(C560&amp;"-"&amp;E560&amp;"-"&amp;F560&amp;"-Pos3",'Shooter-Squad Assignment'!$K:$K,0)),""),IF(F560="Trap",IFERROR(INDEX('Shooter-Squad Assignment'!$A:$A,MATCH(C560&amp;"-"&amp;E560&amp;"-"&amp;F560&amp;"-Pos3",'Shooter-Squad Assignment'!$W:$W,0)),""),IF(F560="Sporting Clays",IFERROR(INDEX('Shooter-Squad Assignment'!$A:$A,MATCH(C560&amp;"-"&amp;E560&amp;"-"&amp;F560&amp;"-Pos3",'Shooter-Squad Assignment'!$Z:$Z,0)),""),"")))</f>
        <v/>
      </c>
      <c r="L560" s="88" t="str">
        <f>IF(ISBLANK(K560),"",IFERROR(INDEX('Tournament List'!$D:$D,MATCH(K560,'Tournament List'!$A:$A,0)),""))</f>
        <v/>
      </c>
      <c r="M560" s="96" t="str">
        <f>IF(F560="Skeet",IFERROR(INDEX('Shooter-Squad Assignment'!$A:$A,MATCH(C560&amp;"-"&amp;E560&amp;"-"&amp;F560&amp;"-Pos4",'Shooter-Squad Assignment'!$K:$K,0)),""),IF(F560="Trap",IFERROR(INDEX('Shooter-Squad Assignment'!$A:$A,MATCH(C560&amp;"-"&amp;E560&amp;"-"&amp;F560&amp;"-Pos4",'Shooter-Squad Assignment'!$W:$W,0)),""),IF(F560="Sporting Clays",IFERROR(INDEX('Shooter-Squad Assignment'!$A:$A,MATCH(C560&amp;"-"&amp;E560&amp;"-"&amp;F560&amp;"-Pos4",'Shooter-Squad Assignment'!$Z:$Z,0)),""),"")))</f>
        <v/>
      </c>
      <c r="N560" s="88" t="str">
        <f>IF(ISBLANK(M560),"",IFERROR(INDEX('Tournament List'!$D:$D,MATCH(M560,'Tournament List'!$A:$A,0)),""))</f>
        <v/>
      </c>
      <c r="O560" s="96" t="str">
        <f>IF(F560="Skeet",IFERROR(INDEX('Shooter-Squad Assignment'!$A:$A,MATCH(C560&amp;"-"&amp;E560&amp;"-"&amp;F560&amp;"-Pos5",'Shooter-Squad Assignment'!$K:$K,0)),""),IF(F560="Trap",IFERROR(INDEX('Shooter-Squad Assignment'!$A:$A,MATCH(C560&amp;"-"&amp;E560&amp;"-"&amp;F560&amp;"-Pos5",'Shooter-Squad Assignment'!$W:$W,0)),""),IF(F560="Sporting Clays",IFERROR(INDEX('Shooter-Squad Assignment'!$A:$A,MATCH(C560&amp;"-"&amp;E560&amp;"-"&amp;F560&amp;"-Pos5",'Shooter-Squad Assignment'!$Z:$Z,0)),""),"")))</f>
        <v/>
      </c>
      <c r="P560" s="89" t="str">
        <f>IF(ISBLANK(O560),"",IFERROR(INDEX('Tournament List'!$D:$D,MATCH(O560,'Tournament List'!$A:$A,0)),""))</f>
        <v/>
      </c>
    </row>
    <row r="561" spans="1:16" x14ac:dyDescent="0.3">
      <c r="A561" s="87">
        <v>560</v>
      </c>
      <c r="B561" s="88" t="str">
        <f>C561&amp;"-"&amp;E561&amp;"-"&amp;F561</f>
        <v>-Junior Varsity 3-Trap</v>
      </c>
      <c r="C561" s="88"/>
      <c r="D561" s="88" t="str">
        <f>INDEX('Tournament Setup'!$B$59:$B$78,MATCH(E561,SquadConcurrents,0))</f>
        <v>Junior Varsity</v>
      </c>
      <c r="E561" s="88" t="s">
        <v>351</v>
      </c>
      <c r="F561" s="88" t="s">
        <v>147</v>
      </c>
      <c r="G561" s="96" t="str">
        <f>IF(F561="Skeet",IFERROR(INDEX('Shooter-Squad Assignment'!$A:$A,MATCH(C561&amp;"-"&amp;E561&amp;"-"&amp;F561&amp;"-Pos1",'Shooter-Squad Assignment'!$K:$K,0)),""),IF(F561="Trap",IFERROR(INDEX('Shooter-Squad Assignment'!$A:$A,MATCH(C561&amp;"-"&amp;E561&amp;"-"&amp;F561&amp;"-Pos1",'Shooter-Squad Assignment'!$W:$W,0)),""),IF(F561="Sporting Clays",IFERROR(INDEX('Shooter-Squad Assignment'!$A:$A,MATCH(C561&amp;"-"&amp;E561&amp;"-"&amp;F561&amp;"-Pos1",'Shooter-Squad Assignment'!$Z:$Z,0)),""),"")))</f>
        <v/>
      </c>
      <c r="H561" s="88" t="str">
        <f>IF(ISBLANK(G561),"",IFERROR(INDEX('Tournament List'!$D:$D,MATCH(G561,'Tournament List'!$A:$A,0)),""))</f>
        <v/>
      </c>
      <c r="I561" s="96" t="str">
        <f>IF(F561="Skeet",IFERROR(INDEX('Shooter-Squad Assignment'!$A:$A,MATCH(C561&amp;"-"&amp;E561&amp;"-"&amp;F561&amp;"-Pos2",'Shooter-Squad Assignment'!$K:$K,0)),""),IF(F561="Trap",IFERROR(INDEX('Shooter-Squad Assignment'!$A:$A,MATCH(C561&amp;"-"&amp;E561&amp;"-"&amp;F561&amp;"-Pos2",'Shooter-Squad Assignment'!$W:$W,0)),""),IF(F561="Sporting Clays",IFERROR(INDEX('Shooter-Squad Assignment'!$A:$A,MATCH(C561&amp;"-"&amp;E561&amp;"-"&amp;F561&amp;"-Pos2",'Shooter-Squad Assignment'!$Z:$Z,0)),""),"")))</f>
        <v/>
      </c>
      <c r="J561" s="88" t="str">
        <f>IF(ISBLANK(I561),"",IFERROR(INDEX('Tournament List'!$D:$D,MATCH(I561,'Tournament List'!$A:$A,0)),""))</f>
        <v/>
      </c>
      <c r="K561" s="96" t="str">
        <f>IF(F561="Skeet",IFERROR(INDEX('Shooter-Squad Assignment'!$A:$A,MATCH(C561&amp;"-"&amp;E561&amp;"-"&amp;F561&amp;"-Pos3",'Shooter-Squad Assignment'!$K:$K,0)),""),IF(F561="Trap",IFERROR(INDEX('Shooter-Squad Assignment'!$A:$A,MATCH(C561&amp;"-"&amp;E561&amp;"-"&amp;F561&amp;"-Pos3",'Shooter-Squad Assignment'!$W:$W,0)),""),IF(F561="Sporting Clays",IFERROR(INDEX('Shooter-Squad Assignment'!$A:$A,MATCH(C561&amp;"-"&amp;E561&amp;"-"&amp;F561&amp;"-Pos3",'Shooter-Squad Assignment'!$Z:$Z,0)),""),"")))</f>
        <v/>
      </c>
      <c r="L561" s="88" t="str">
        <f>IF(ISBLANK(K561),"",IFERROR(INDEX('Tournament List'!$D:$D,MATCH(K561,'Tournament List'!$A:$A,0)),""))</f>
        <v/>
      </c>
      <c r="M561" s="96" t="str">
        <f>IF(F561="Skeet",IFERROR(INDEX('Shooter-Squad Assignment'!$A:$A,MATCH(C561&amp;"-"&amp;E561&amp;"-"&amp;F561&amp;"-Pos4",'Shooter-Squad Assignment'!$K:$K,0)),""),IF(F561="Trap",IFERROR(INDEX('Shooter-Squad Assignment'!$A:$A,MATCH(C561&amp;"-"&amp;E561&amp;"-"&amp;F561&amp;"-Pos4",'Shooter-Squad Assignment'!$W:$W,0)),""),IF(F561="Sporting Clays",IFERROR(INDEX('Shooter-Squad Assignment'!$A:$A,MATCH(C561&amp;"-"&amp;E561&amp;"-"&amp;F561&amp;"-Pos4",'Shooter-Squad Assignment'!$Z:$Z,0)),""),"")))</f>
        <v/>
      </c>
      <c r="N561" s="88" t="str">
        <f>IF(ISBLANK(M561),"",IFERROR(INDEX('Tournament List'!$D:$D,MATCH(M561,'Tournament List'!$A:$A,0)),""))</f>
        <v/>
      </c>
      <c r="O561" s="96" t="str">
        <f>IF(F561="Skeet",IFERROR(INDEX('Shooter-Squad Assignment'!$A:$A,MATCH(C561&amp;"-"&amp;E561&amp;"-"&amp;F561&amp;"-Pos5",'Shooter-Squad Assignment'!$K:$K,0)),""),IF(F561="Trap",IFERROR(INDEX('Shooter-Squad Assignment'!$A:$A,MATCH(C561&amp;"-"&amp;E561&amp;"-"&amp;F561&amp;"-Pos5",'Shooter-Squad Assignment'!$W:$W,0)),""),IF(F561="Sporting Clays",IFERROR(INDEX('Shooter-Squad Assignment'!$A:$A,MATCH(C561&amp;"-"&amp;E561&amp;"-"&amp;F561&amp;"-Pos5",'Shooter-Squad Assignment'!$Z:$Z,0)),""),"")))</f>
        <v/>
      </c>
      <c r="P561" s="89" t="str">
        <f>IF(ISBLANK(O561),"",IFERROR(INDEX('Tournament List'!$D:$D,MATCH(O561,'Tournament List'!$A:$A,0)),""))</f>
        <v/>
      </c>
    </row>
    <row r="562" spans="1:16" x14ac:dyDescent="0.3">
      <c r="A562" s="87">
        <v>561</v>
      </c>
      <c r="B562" s="88" t="str">
        <f>C562&amp;"-"&amp;E562&amp;"-"&amp;F562</f>
        <v>-Novice 1-Trap</v>
      </c>
      <c r="C562" s="88"/>
      <c r="D562" s="88" t="str">
        <f>INDEX('Tournament Setup'!$B$59:$B$78,MATCH(E562,SquadConcurrents,0))</f>
        <v>Novice</v>
      </c>
      <c r="E562" s="88" t="s">
        <v>337</v>
      </c>
      <c r="F562" s="88" t="s">
        <v>147</v>
      </c>
      <c r="G562" s="96" t="str">
        <f>IF(F562="Skeet",IFERROR(INDEX('Shooter-Squad Assignment'!$A:$A,MATCH(C562&amp;"-"&amp;E562&amp;"-"&amp;F562&amp;"-Pos1",'Shooter-Squad Assignment'!$K:$K,0)),""),IF(F562="Trap",IFERROR(INDEX('Shooter-Squad Assignment'!$A:$A,MATCH(C562&amp;"-"&amp;E562&amp;"-"&amp;F562&amp;"-Pos1",'Shooter-Squad Assignment'!$W:$W,0)),""),IF(F562="Sporting Clays",IFERROR(INDEX('Shooter-Squad Assignment'!$A:$A,MATCH(C562&amp;"-"&amp;E562&amp;"-"&amp;F562&amp;"-Pos1",'Shooter-Squad Assignment'!$Z:$Z,0)),""),"")))</f>
        <v/>
      </c>
      <c r="H562" s="88" t="str">
        <f>IF(ISBLANK(G562),"",IFERROR(INDEX('Tournament List'!$D:$D,MATCH(G562,'Tournament List'!$A:$A,0)),""))</f>
        <v/>
      </c>
      <c r="I562" s="96" t="str">
        <f>IF(F562="Skeet",IFERROR(INDEX('Shooter-Squad Assignment'!$A:$A,MATCH(C562&amp;"-"&amp;E562&amp;"-"&amp;F562&amp;"-Pos2",'Shooter-Squad Assignment'!$K:$K,0)),""),IF(F562="Trap",IFERROR(INDEX('Shooter-Squad Assignment'!$A:$A,MATCH(C562&amp;"-"&amp;E562&amp;"-"&amp;F562&amp;"-Pos2",'Shooter-Squad Assignment'!$W:$W,0)),""),IF(F562="Sporting Clays",IFERROR(INDEX('Shooter-Squad Assignment'!$A:$A,MATCH(C562&amp;"-"&amp;E562&amp;"-"&amp;F562&amp;"-Pos2",'Shooter-Squad Assignment'!$Z:$Z,0)),""),"")))</f>
        <v/>
      </c>
      <c r="J562" s="88" t="str">
        <f>IF(ISBLANK(I562),"",IFERROR(INDEX('Tournament List'!$D:$D,MATCH(I562,'Tournament List'!$A:$A,0)),""))</f>
        <v/>
      </c>
      <c r="K562" s="96" t="str">
        <f>IF(F562="Skeet",IFERROR(INDEX('Shooter-Squad Assignment'!$A:$A,MATCH(C562&amp;"-"&amp;E562&amp;"-"&amp;F562&amp;"-Pos3",'Shooter-Squad Assignment'!$K:$K,0)),""),IF(F562="Trap",IFERROR(INDEX('Shooter-Squad Assignment'!$A:$A,MATCH(C562&amp;"-"&amp;E562&amp;"-"&amp;F562&amp;"-Pos3",'Shooter-Squad Assignment'!$W:$W,0)),""),IF(F562="Sporting Clays",IFERROR(INDEX('Shooter-Squad Assignment'!$A:$A,MATCH(C562&amp;"-"&amp;E562&amp;"-"&amp;F562&amp;"-Pos3",'Shooter-Squad Assignment'!$Z:$Z,0)),""),"")))</f>
        <v/>
      </c>
      <c r="L562" s="88" t="str">
        <f>IF(ISBLANK(K562),"",IFERROR(INDEX('Tournament List'!$D:$D,MATCH(K562,'Tournament List'!$A:$A,0)),""))</f>
        <v/>
      </c>
      <c r="M562" s="96" t="str">
        <f>IF(F562="Skeet",IFERROR(INDEX('Shooter-Squad Assignment'!$A:$A,MATCH(C562&amp;"-"&amp;E562&amp;"-"&amp;F562&amp;"-Pos4",'Shooter-Squad Assignment'!$K:$K,0)),""),IF(F562="Trap",IFERROR(INDEX('Shooter-Squad Assignment'!$A:$A,MATCH(C562&amp;"-"&amp;E562&amp;"-"&amp;F562&amp;"-Pos4",'Shooter-Squad Assignment'!$W:$W,0)),""),IF(F562="Sporting Clays",IFERROR(INDEX('Shooter-Squad Assignment'!$A:$A,MATCH(C562&amp;"-"&amp;E562&amp;"-"&amp;F562&amp;"-Pos4",'Shooter-Squad Assignment'!$Z:$Z,0)),""),"")))</f>
        <v/>
      </c>
      <c r="N562" s="88" t="str">
        <f>IF(ISBLANK(M562),"",IFERROR(INDEX('Tournament List'!$D:$D,MATCH(M562,'Tournament List'!$A:$A,0)),""))</f>
        <v/>
      </c>
      <c r="O562" s="96" t="str">
        <f>IF(F562="Skeet",IFERROR(INDEX('Shooter-Squad Assignment'!$A:$A,MATCH(C562&amp;"-"&amp;E562&amp;"-"&amp;F562&amp;"-Pos5",'Shooter-Squad Assignment'!$K:$K,0)),""),IF(F562="Trap",IFERROR(INDEX('Shooter-Squad Assignment'!$A:$A,MATCH(C562&amp;"-"&amp;E562&amp;"-"&amp;F562&amp;"-Pos5",'Shooter-Squad Assignment'!$W:$W,0)),""),IF(F562="Sporting Clays",IFERROR(INDEX('Shooter-Squad Assignment'!$A:$A,MATCH(C562&amp;"-"&amp;E562&amp;"-"&amp;F562&amp;"-Pos5",'Shooter-Squad Assignment'!$Z:$Z,0)),""),"")))</f>
        <v/>
      </c>
      <c r="P562" s="89" t="str">
        <f>IF(ISBLANK(O562),"",IFERROR(INDEX('Tournament List'!$D:$D,MATCH(O562,'Tournament List'!$A:$A,0)),""))</f>
        <v/>
      </c>
    </row>
    <row r="563" spans="1:16" x14ac:dyDescent="0.3">
      <c r="A563" s="87">
        <v>562</v>
      </c>
      <c r="B563" s="88" t="str">
        <f>C563&amp;"-"&amp;E563&amp;"-"&amp;F563</f>
        <v>-Novice 2-Trap</v>
      </c>
      <c r="C563" s="88"/>
      <c r="D563" s="88" t="str">
        <f>INDEX('Tournament Setup'!$B$59:$B$78,MATCH(E563,SquadConcurrents,0))</f>
        <v>Novice</v>
      </c>
      <c r="E563" s="88" t="s">
        <v>343</v>
      </c>
      <c r="F563" s="88" t="s">
        <v>147</v>
      </c>
      <c r="G563" s="96" t="str">
        <f>IF(F563="Skeet",IFERROR(INDEX('Shooter-Squad Assignment'!$A:$A,MATCH(C563&amp;"-"&amp;E563&amp;"-"&amp;F563&amp;"-Pos1",'Shooter-Squad Assignment'!$K:$K,0)),""),IF(F563="Trap",IFERROR(INDEX('Shooter-Squad Assignment'!$A:$A,MATCH(C563&amp;"-"&amp;E563&amp;"-"&amp;F563&amp;"-Pos1",'Shooter-Squad Assignment'!$W:$W,0)),""),IF(F563="Sporting Clays",IFERROR(INDEX('Shooter-Squad Assignment'!$A:$A,MATCH(C563&amp;"-"&amp;E563&amp;"-"&amp;F563&amp;"-Pos1",'Shooter-Squad Assignment'!$Z:$Z,0)),""),"")))</f>
        <v/>
      </c>
      <c r="H563" s="88" t="str">
        <f>IF(ISBLANK(G563),"",IFERROR(INDEX('Tournament List'!$D:$D,MATCH(G563,'Tournament List'!$A:$A,0)),""))</f>
        <v/>
      </c>
      <c r="I563" s="96" t="str">
        <f>IF(F563="Skeet",IFERROR(INDEX('Shooter-Squad Assignment'!$A:$A,MATCH(C563&amp;"-"&amp;E563&amp;"-"&amp;F563&amp;"-Pos2",'Shooter-Squad Assignment'!$K:$K,0)),""),IF(F563="Trap",IFERROR(INDEX('Shooter-Squad Assignment'!$A:$A,MATCH(C563&amp;"-"&amp;E563&amp;"-"&amp;F563&amp;"-Pos2",'Shooter-Squad Assignment'!$W:$W,0)),""),IF(F563="Sporting Clays",IFERROR(INDEX('Shooter-Squad Assignment'!$A:$A,MATCH(C563&amp;"-"&amp;E563&amp;"-"&amp;F563&amp;"-Pos2",'Shooter-Squad Assignment'!$Z:$Z,0)),""),"")))</f>
        <v/>
      </c>
      <c r="J563" s="88" t="str">
        <f>IF(ISBLANK(I563),"",IFERROR(INDEX('Tournament List'!$D:$D,MATCH(I563,'Tournament List'!$A:$A,0)),""))</f>
        <v/>
      </c>
      <c r="K563" s="96" t="str">
        <f>IF(F563="Skeet",IFERROR(INDEX('Shooter-Squad Assignment'!$A:$A,MATCH(C563&amp;"-"&amp;E563&amp;"-"&amp;F563&amp;"-Pos3",'Shooter-Squad Assignment'!$K:$K,0)),""),IF(F563="Trap",IFERROR(INDEX('Shooter-Squad Assignment'!$A:$A,MATCH(C563&amp;"-"&amp;E563&amp;"-"&amp;F563&amp;"-Pos3",'Shooter-Squad Assignment'!$W:$W,0)),""),IF(F563="Sporting Clays",IFERROR(INDEX('Shooter-Squad Assignment'!$A:$A,MATCH(C563&amp;"-"&amp;E563&amp;"-"&amp;F563&amp;"-Pos3",'Shooter-Squad Assignment'!$Z:$Z,0)),""),"")))</f>
        <v/>
      </c>
      <c r="L563" s="88" t="str">
        <f>IF(ISBLANK(K563),"",IFERROR(INDEX('Tournament List'!$D:$D,MATCH(K563,'Tournament List'!$A:$A,0)),""))</f>
        <v/>
      </c>
      <c r="M563" s="96" t="str">
        <f>IF(F563="Skeet",IFERROR(INDEX('Shooter-Squad Assignment'!$A:$A,MATCH(C563&amp;"-"&amp;E563&amp;"-"&amp;F563&amp;"-Pos4",'Shooter-Squad Assignment'!$K:$K,0)),""),IF(F563="Trap",IFERROR(INDEX('Shooter-Squad Assignment'!$A:$A,MATCH(C563&amp;"-"&amp;E563&amp;"-"&amp;F563&amp;"-Pos4",'Shooter-Squad Assignment'!$W:$W,0)),""),IF(F563="Sporting Clays",IFERROR(INDEX('Shooter-Squad Assignment'!$A:$A,MATCH(C563&amp;"-"&amp;E563&amp;"-"&amp;F563&amp;"-Pos4",'Shooter-Squad Assignment'!$Z:$Z,0)),""),"")))</f>
        <v/>
      </c>
      <c r="N563" s="88" t="str">
        <f>IF(ISBLANK(M563),"",IFERROR(INDEX('Tournament List'!$D:$D,MATCH(M563,'Tournament List'!$A:$A,0)),""))</f>
        <v/>
      </c>
      <c r="O563" s="96" t="str">
        <f>IF(F563="Skeet",IFERROR(INDEX('Shooter-Squad Assignment'!$A:$A,MATCH(C563&amp;"-"&amp;E563&amp;"-"&amp;F563&amp;"-Pos5",'Shooter-Squad Assignment'!$K:$K,0)),""),IF(F563="Trap",IFERROR(INDEX('Shooter-Squad Assignment'!$A:$A,MATCH(C563&amp;"-"&amp;E563&amp;"-"&amp;F563&amp;"-Pos5",'Shooter-Squad Assignment'!$W:$W,0)),""),IF(F563="Sporting Clays",IFERROR(INDEX('Shooter-Squad Assignment'!$A:$A,MATCH(C563&amp;"-"&amp;E563&amp;"-"&amp;F563&amp;"-Pos5",'Shooter-Squad Assignment'!$Z:$Z,0)),""),"")))</f>
        <v/>
      </c>
      <c r="P563" s="89" t="str">
        <f>IF(ISBLANK(O563),"",IFERROR(INDEX('Tournament List'!$D:$D,MATCH(O563,'Tournament List'!$A:$A,0)),""))</f>
        <v/>
      </c>
    </row>
    <row r="564" spans="1:16" x14ac:dyDescent="0.3">
      <c r="A564" s="87">
        <v>563</v>
      </c>
      <c r="B564" s="88" t="str">
        <f>C564&amp;"-"&amp;E564&amp;"-"&amp;F564</f>
        <v>-Novice 3-Trap</v>
      </c>
      <c r="C564" s="88"/>
      <c r="D564" s="88" t="str">
        <f>INDEX('Tournament Setup'!$B$59:$B$78,MATCH(E564,SquadConcurrents,0))</f>
        <v>Novice</v>
      </c>
      <c r="E564" s="88" t="s">
        <v>349</v>
      </c>
      <c r="F564" s="88" t="s">
        <v>147</v>
      </c>
      <c r="G564" s="96" t="str">
        <f>IF(F564="Skeet",IFERROR(INDEX('Shooter-Squad Assignment'!$A:$A,MATCH(C564&amp;"-"&amp;E564&amp;"-"&amp;F564&amp;"-Pos1",'Shooter-Squad Assignment'!$K:$K,0)),""),IF(F564="Trap",IFERROR(INDEX('Shooter-Squad Assignment'!$A:$A,MATCH(C564&amp;"-"&amp;E564&amp;"-"&amp;F564&amp;"-Pos1",'Shooter-Squad Assignment'!$W:$W,0)),""),IF(F564="Sporting Clays",IFERROR(INDEX('Shooter-Squad Assignment'!$A:$A,MATCH(C564&amp;"-"&amp;E564&amp;"-"&amp;F564&amp;"-Pos1",'Shooter-Squad Assignment'!$Z:$Z,0)),""),"")))</f>
        <v/>
      </c>
      <c r="H564" s="88" t="str">
        <f>IF(ISBLANK(G564),"",IFERROR(INDEX('Tournament List'!$D:$D,MATCH(G564,'Tournament List'!$A:$A,0)),""))</f>
        <v/>
      </c>
      <c r="I564" s="96" t="str">
        <f>IF(F564="Skeet",IFERROR(INDEX('Shooter-Squad Assignment'!$A:$A,MATCH(C564&amp;"-"&amp;E564&amp;"-"&amp;F564&amp;"-Pos2",'Shooter-Squad Assignment'!$K:$K,0)),""),IF(F564="Trap",IFERROR(INDEX('Shooter-Squad Assignment'!$A:$A,MATCH(C564&amp;"-"&amp;E564&amp;"-"&amp;F564&amp;"-Pos2",'Shooter-Squad Assignment'!$W:$W,0)),""),IF(F564="Sporting Clays",IFERROR(INDEX('Shooter-Squad Assignment'!$A:$A,MATCH(C564&amp;"-"&amp;E564&amp;"-"&amp;F564&amp;"-Pos2",'Shooter-Squad Assignment'!$Z:$Z,0)),""),"")))</f>
        <v/>
      </c>
      <c r="J564" s="88" t="str">
        <f>IF(ISBLANK(I564),"",IFERROR(INDEX('Tournament List'!$D:$D,MATCH(I564,'Tournament List'!$A:$A,0)),""))</f>
        <v/>
      </c>
      <c r="K564" s="96" t="str">
        <f>IF(F564="Skeet",IFERROR(INDEX('Shooter-Squad Assignment'!$A:$A,MATCH(C564&amp;"-"&amp;E564&amp;"-"&amp;F564&amp;"-Pos3",'Shooter-Squad Assignment'!$K:$K,0)),""),IF(F564="Trap",IFERROR(INDEX('Shooter-Squad Assignment'!$A:$A,MATCH(C564&amp;"-"&amp;E564&amp;"-"&amp;F564&amp;"-Pos3",'Shooter-Squad Assignment'!$W:$W,0)),""),IF(F564="Sporting Clays",IFERROR(INDEX('Shooter-Squad Assignment'!$A:$A,MATCH(C564&amp;"-"&amp;E564&amp;"-"&amp;F564&amp;"-Pos3",'Shooter-Squad Assignment'!$Z:$Z,0)),""),"")))</f>
        <v/>
      </c>
      <c r="L564" s="88" t="str">
        <f>IF(ISBLANK(K564),"",IFERROR(INDEX('Tournament List'!$D:$D,MATCH(K564,'Tournament List'!$A:$A,0)),""))</f>
        <v/>
      </c>
      <c r="M564" s="96" t="str">
        <f>IF(F564="Skeet",IFERROR(INDEX('Shooter-Squad Assignment'!$A:$A,MATCH(C564&amp;"-"&amp;E564&amp;"-"&amp;F564&amp;"-Pos4",'Shooter-Squad Assignment'!$K:$K,0)),""),IF(F564="Trap",IFERROR(INDEX('Shooter-Squad Assignment'!$A:$A,MATCH(C564&amp;"-"&amp;E564&amp;"-"&amp;F564&amp;"-Pos4",'Shooter-Squad Assignment'!$W:$W,0)),""),IF(F564="Sporting Clays",IFERROR(INDEX('Shooter-Squad Assignment'!$A:$A,MATCH(C564&amp;"-"&amp;E564&amp;"-"&amp;F564&amp;"-Pos4",'Shooter-Squad Assignment'!$Z:$Z,0)),""),"")))</f>
        <v/>
      </c>
      <c r="N564" s="88" t="str">
        <f>IF(ISBLANK(M564),"",IFERROR(INDEX('Tournament List'!$D:$D,MATCH(M564,'Tournament List'!$A:$A,0)),""))</f>
        <v/>
      </c>
      <c r="O564" s="96" t="str">
        <f>IF(F564="Skeet",IFERROR(INDEX('Shooter-Squad Assignment'!$A:$A,MATCH(C564&amp;"-"&amp;E564&amp;"-"&amp;F564&amp;"-Pos5",'Shooter-Squad Assignment'!$K:$K,0)),""),IF(F564="Trap",IFERROR(INDEX('Shooter-Squad Assignment'!$A:$A,MATCH(C564&amp;"-"&amp;E564&amp;"-"&amp;F564&amp;"-Pos5",'Shooter-Squad Assignment'!$W:$W,0)),""),IF(F564="Sporting Clays",IFERROR(INDEX('Shooter-Squad Assignment'!$A:$A,MATCH(C564&amp;"-"&amp;E564&amp;"-"&amp;F564&amp;"-Pos5",'Shooter-Squad Assignment'!$Z:$Z,0)),""),"")))</f>
        <v/>
      </c>
      <c r="P564" s="89" t="str">
        <f>IF(ISBLANK(O564),"",IFERROR(INDEX('Tournament List'!$D:$D,MATCH(O564,'Tournament List'!$A:$A,0)),""))</f>
        <v/>
      </c>
    </row>
    <row r="565" spans="1:16" x14ac:dyDescent="0.3">
      <c r="A565" s="87">
        <v>564</v>
      </c>
      <c r="B565" s="88" t="str">
        <f>C565&amp;"-"&amp;E565&amp;"-"&amp;F565</f>
        <v>-Open 1-Trap</v>
      </c>
      <c r="C565" s="88"/>
      <c r="D565" s="88" t="str">
        <f>INDEX('Tournament Setup'!$B$59:$B$78,MATCH(E565,SquadConcurrents,0))</f>
        <v>Open</v>
      </c>
      <c r="E565" s="88" t="s">
        <v>341</v>
      </c>
      <c r="F565" s="88" t="s">
        <v>147</v>
      </c>
      <c r="G565" s="96" t="str">
        <f>IF(F565="Skeet",IFERROR(INDEX('Shooter-Squad Assignment'!$A:$A,MATCH(C565&amp;"-"&amp;E565&amp;"-"&amp;F565&amp;"-Pos1",'Shooter-Squad Assignment'!$K:$K,0)),""),IF(F565="Trap",IFERROR(INDEX('Shooter-Squad Assignment'!$A:$A,MATCH(C565&amp;"-"&amp;E565&amp;"-"&amp;F565&amp;"-Pos1",'Shooter-Squad Assignment'!$W:$W,0)),""),IF(F565="Sporting Clays",IFERROR(INDEX('Shooter-Squad Assignment'!$A:$A,MATCH(C565&amp;"-"&amp;E565&amp;"-"&amp;F565&amp;"-Pos1",'Shooter-Squad Assignment'!$Z:$Z,0)),""),"")))</f>
        <v/>
      </c>
      <c r="H565" s="88" t="str">
        <f>IF(ISBLANK(G565),"",IFERROR(INDEX('Tournament List'!$D:$D,MATCH(G565,'Tournament List'!$A:$A,0)),""))</f>
        <v/>
      </c>
      <c r="I565" s="96" t="str">
        <f>IF(F565="Skeet",IFERROR(INDEX('Shooter-Squad Assignment'!$A:$A,MATCH(C565&amp;"-"&amp;E565&amp;"-"&amp;F565&amp;"-Pos2",'Shooter-Squad Assignment'!$K:$K,0)),""),IF(F565="Trap",IFERROR(INDEX('Shooter-Squad Assignment'!$A:$A,MATCH(C565&amp;"-"&amp;E565&amp;"-"&amp;F565&amp;"-Pos2",'Shooter-Squad Assignment'!$W:$W,0)),""),IF(F565="Sporting Clays",IFERROR(INDEX('Shooter-Squad Assignment'!$A:$A,MATCH(C565&amp;"-"&amp;E565&amp;"-"&amp;F565&amp;"-Pos2",'Shooter-Squad Assignment'!$Z:$Z,0)),""),"")))</f>
        <v/>
      </c>
      <c r="J565" s="88" t="str">
        <f>IF(ISBLANK(I565),"",IFERROR(INDEX('Tournament List'!$D:$D,MATCH(I565,'Tournament List'!$A:$A,0)),""))</f>
        <v/>
      </c>
      <c r="K565" s="96" t="str">
        <f>IF(F565="Skeet",IFERROR(INDEX('Shooter-Squad Assignment'!$A:$A,MATCH(C565&amp;"-"&amp;E565&amp;"-"&amp;F565&amp;"-Pos3",'Shooter-Squad Assignment'!$K:$K,0)),""),IF(F565="Trap",IFERROR(INDEX('Shooter-Squad Assignment'!$A:$A,MATCH(C565&amp;"-"&amp;E565&amp;"-"&amp;F565&amp;"-Pos3",'Shooter-Squad Assignment'!$W:$W,0)),""),IF(F565="Sporting Clays",IFERROR(INDEX('Shooter-Squad Assignment'!$A:$A,MATCH(C565&amp;"-"&amp;E565&amp;"-"&amp;F565&amp;"-Pos3",'Shooter-Squad Assignment'!$Z:$Z,0)),""),"")))</f>
        <v/>
      </c>
      <c r="L565" s="88" t="str">
        <f>IF(ISBLANK(K565),"",IFERROR(INDEX('Tournament List'!$D:$D,MATCH(K565,'Tournament List'!$A:$A,0)),""))</f>
        <v/>
      </c>
      <c r="M565" s="96" t="str">
        <f>IF(F565="Skeet",IFERROR(INDEX('Shooter-Squad Assignment'!$A:$A,MATCH(C565&amp;"-"&amp;E565&amp;"-"&amp;F565&amp;"-Pos4",'Shooter-Squad Assignment'!$K:$K,0)),""),IF(F565="Trap",IFERROR(INDEX('Shooter-Squad Assignment'!$A:$A,MATCH(C565&amp;"-"&amp;E565&amp;"-"&amp;F565&amp;"-Pos4",'Shooter-Squad Assignment'!$W:$W,0)),""),IF(F565="Sporting Clays",IFERROR(INDEX('Shooter-Squad Assignment'!$A:$A,MATCH(C565&amp;"-"&amp;E565&amp;"-"&amp;F565&amp;"-Pos4",'Shooter-Squad Assignment'!$Z:$Z,0)),""),"")))</f>
        <v/>
      </c>
      <c r="N565" s="88" t="str">
        <f>IF(ISBLANK(M565),"",IFERROR(INDEX('Tournament List'!$D:$D,MATCH(M565,'Tournament List'!$A:$A,0)),""))</f>
        <v/>
      </c>
      <c r="O565" s="96" t="str">
        <f>IF(F565="Skeet",IFERROR(INDEX('Shooter-Squad Assignment'!$A:$A,MATCH(C565&amp;"-"&amp;E565&amp;"-"&amp;F565&amp;"-Pos5",'Shooter-Squad Assignment'!$K:$K,0)),""),IF(F565="Trap",IFERROR(INDEX('Shooter-Squad Assignment'!$A:$A,MATCH(C565&amp;"-"&amp;E565&amp;"-"&amp;F565&amp;"-Pos5",'Shooter-Squad Assignment'!$W:$W,0)),""),IF(F565="Sporting Clays",IFERROR(INDEX('Shooter-Squad Assignment'!$A:$A,MATCH(C565&amp;"-"&amp;E565&amp;"-"&amp;F565&amp;"-Pos5",'Shooter-Squad Assignment'!$Z:$Z,0)),""),"")))</f>
        <v/>
      </c>
      <c r="P565" s="89" t="str">
        <f>IF(ISBLANK(O565),"",IFERROR(INDEX('Tournament List'!$D:$D,MATCH(O565,'Tournament List'!$A:$A,0)),""))</f>
        <v/>
      </c>
    </row>
    <row r="566" spans="1:16" x14ac:dyDescent="0.3">
      <c r="A566" s="87">
        <v>565</v>
      </c>
      <c r="B566" s="88" t="str">
        <f>C566&amp;"-"&amp;E566&amp;"-"&amp;F566</f>
        <v>-Open 2-Trap</v>
      </c>
      <c r="C566" s="88"/>
      <c r="D566" s="88" t="str">
        <f>INDEX('Tournament Setup'!$B$59:$B$78,MATCH(E566,SquadConcurrents,0))</f>
        <v>Open</v>
      </c>
      <c r="E566" s="88" t="s">
        <v>347</v>
      </c>
      <c r="F566" s="88" t="s">
        <v>147</v>
      </c>
      <c r="G566" s="96" t="str">
        <f>IF(F566="Skeet",IFERROR(INDEX('Shooter-Squad Assignment'!$A:$A,MATCH(C566&amp;"-"&amp;E566&amp;"-"&amp;F566&amp;"-Pos1",'Shooter-Squad Assignment'!$K:$K,0)),""),IF(F566="Trap",IFERROR(INDEX('Shooter-Squad Assignment'!$A:$A,MATCH(C566&amp;"-"&amp;E566&amp;"-"&amp;F566&amp;"-Pos1",'Shooter-Squad Assignment'!$W:$W,0)),""),IF(F566="Sporting Clays",IFERROR(INDEX('Shooter-Squad Assignment'!$A:$A,MATCH(C566&amp;"-"&amp;E566&amp;"-"&amp;F566&amp;"-Pos1",'Shooter-Squad Assignment'!$Z:$Z,0)),""),"")))</f>
        <v/>
      </c>
      <c r="H566" s="88" t="str">
        <f>IF(ISBLANK(G566),"",IFERROR(INDEX('Tournament List'!$D:$D,MATCH(G566,'Tournament List'!$A:$A,0)),""))</f>
        <v/>
      </c>
      <c r="I566" s="96" t="str">
        <f>IF(F566="Skeet",IFERROR(INDEX('Shooter-Squad Assignment'!$A:$A,MATCH(C566&amp;"-"&amp;E566&amp;"-"&amp;F566&amp;"-Pos2",'Shooter-Squad Assignment'!$K:$K,0)),""),IF(F566="Trap",IFERROR(INDEX('Shooter-Squad Assignment'!$A:$A,MATCH(C566&amp;"-"&amp;E566&amp;"-"&amp;F566&amp;"-Pos2",'Shooter-Squad Assignment'!$W:$W,0)),""),IF(F566="Sporting Clays",IFERROR(INDEX('Shooter-Squad Assignment'!$A:$A,MATCH(C566&amp;"-"&amp;E566&amp;"-"&amp;F566&amp;"-Pos2",'Shooter-Squad Assignment'!$Z:$Z,0)),""),"")))</f>
        <v/>
      </c>
      <c r="J566" s="88" t="str">
        <f>IF(ISBLANK(I566),"",IFERROR(INDEX('Tournament List'!$D:$D,MATCH(I566,'Tournament List'!$A:$A,0)),""))</f>
        <v/>
      </c>
      <c r="K566" s="96" t="str">
        <f>IF(F566="Skeet",IFERROR(INDEX('Shooter-Squad Assignment'!$A:$A,MATCH(C566&amp;"-"&amp;E566&amp;"-"&amp;F566&amp;"-Pos3",'Shooter-Squad Assignment'!$K:$K,0)),""),IF(F566="Trap",IFERROR(INDEX('Shooter-Squad Assignment'!$A:$A,MATCH(C566&amp;"-"&amp;E566&amp;"-"&amp;F566&amp;"-Pos3",'Shooter-Squad Assignment'!$W:$W,0)),""),IF(F566="Sporting Clays",IFERROR(INDEX('Shooter-Squad Assignment'!$A:$A,MATCH(C566&amp;"-"&amp;E566&amp;"-"&amp;F566&amp;"-Pos3",'Shooter-Squad Assignment'!$Z:$Z,0)),""),"")))</f>
        <v/>
      </c>
      <c r="L566" s="88" t="str">
        <f>IF(ISBLANK(K566),"",IFERROR(INDEX('Tournament List'!$D:$D,MATCH(K566,'Tournament List'!$A:$A,0)),""))</f>
        <v/>
      </c>
      <c r="M566" s="96" t="str">
        <f>IF(F566="Skeet",IFERROR(INDEX('Shooter-Squad Assignment'!$A:$A,MATCH(C566&amp;"-"&amp;E566&amp;"-"&amp;F566&amp;"-Pos4",'Shooter-Squad Assignment'!$K:$K,0)),""),IF(F566="Trap",IFERROR(INDEX('Shooter-Squad Assignment'!$A:$A,MATCH(C566&amp;"-"&amp;E566&amp;"-"&amp;F566&amp;"-Pos4",'Shooter-Squad Assignment'!$W:$W,0)),""),IF(F566="Sporting Clays",IFERROR(INDEX('Shooter-Squad Assignment'!$A:$A,MATCH(C566&amp;"-"&amp;E566&amp;"-"&amp;F566&amp;"-Pos4",'Shooter-Squad Assignment'!$Z:$Z,0)),""),"")))</f>
        <v/>
      </c>
      <c r="N566" s="88" t="str">
        <f>IF(ISBLANK(M566),"",IFERROR(INDEX('Tournament List'!$D:$D,MATCH(M566,'Tournament List'!$A:$A,0)),""))</f>
        <v/>
      </c>
      <c r="O566" s="96" t="str">
        <f>IF(F566="Skeet",IFERROR(INDEX('Shooter-Squad Assignment'!$A:$A,MATCH(C566&amp;"-"&amp;E566&amp;"-"&amp;F566&amp;"-Pos5",'Shooter-Squad Assignment'!$K:$K,0)),""),IF(F566="Trap",IFERROR(INDEX('Shooter-Squad Assignment'!$A:$A,MATCH(C566&amp;"-"&amp;E566&amp;"-"&amp;F566&amp;"-Pos5",'Shooter-Squad Assignment'!$W:$W,0)),""),IF(F566="Sporting Clays",IFERROR(INDEX('Shooter-Squad Assignment'!$A:$A,MATCH(C566&amp;"-"&amp;E566&amp;"-"&amp;F566&amp;"-Pos5",'Shooter-Squad Assignment'!$Z:$Z,0)),""),"")))</f>
        <v/>
      </c>
      <c r="P566" s="89" t="str">
        <f>IF(ISBLANK(O566),"",IFERROR(INDEX('Tournament List'!$D:$D,MATCH(O566,'Tournament List'!$A:$A,0)),""))</f>
        <v/>
      </c>
    </row>
    <row r="567" spans="1:16" x14ac:dyDescent="0.3">
      <c r="A567" s="87">
        <v>566</v>
      </c>
      <c r="B567" s="88" t="str">
        <f>C567&amp;"-"&amp;E567&amp;"-"&amp;F567</f>
        <v>-Open 3-Trap</v>
      </c>
      <c r="C567" s="88"/>
      <c r="D567" s="88" t="str">
        <f>INDEX('Tournament Setup'!$B$59:$B$78,MATCH(E567,SquadConcurrents,0))</f>
        <v>Open</v>
      </c>
      <c r="E567" s="88" t="s">
        <v>353</v>
      </c>
      <c r="F567" s="88" t="s">
        <v>147</v>
      </c>
      <c r="G567" s="96" t="str">
        <f>IF(F567="Skeet",IFERROR(INDEX('Shooter-Squad Assignment'!$A:$A,MATCH(C567&amp;"-"&amp;E567&amp;"-"&amp;F567&amp;"-Pos1",'Shooter-Squad Assignment'!$K:$K,0)),""),IF(F567="Trap",IFERROR(INDEX('Shooter-Squad Assignment'!$A:$A,MATCH(C567&amp;"-"&amp;E567&amp;"-"&amp;F567&amp;"-Pos1",'Shooter-Squad Assignment'!$W:$W,0)),""),IF(F567="Sporting Clays",IFERROR(INDEX('Shooter-Squad Assignment'!$A:$A,MATCH(C567&amp;"-"&amp;E567&amp;"-"&amp;F567&amp;"-Pos1",'Shooter-Squad Assignment'!$Z:$Z,0)),""),"")))</f>
        <v/>
      </c>
      <c r="H567" s="88" t="str">
        <f>IF(ISBLANK(G567),"",IFERROR(INDEX('Tournament List'!$D:$D,MATCH(G567,'Tournament List'!$A:$A,0)),""))</f>
        <v/>
      </c>
      <c r="I567" s="96" t="str">
        <f>IF(F567="Skeet",IFERROR(INDEX('Shooter-Squad Assignment'!$A:$A,MATCH(C567&amp;"-"&amp;E567&amp;"-"&amp;F567&amp;"-Pos2",'Shooter-Squad Assignment'!$K:$K,0)),""),IF(F567="Trap",IFERROR(INDEX('Shooter-Squad Assignment'!$A:$A,MATCH(C567&amp;"-"&amp;E567&amp;"-"&amp;F567&amp;"-Pos2",'Shooter-Squad Assignment'!$W:$W,0)),""),IF(F567="Sporting Clays",IFERROR(INDEX('Shooter-Squad Assignment'!$A:$A,MATCH(C567&amp;"-"&amp;E567&amp;"-"&amp;F567&amp;"-Pos2",'Shooter-Squad Assignment'!$Z:$Z,0)),""),"")))</f>
        <v/>
      </c>
      <c r="J567" s="88" t="str">
        <f>IF(ISBLANK(I567),"",IFERROR(INDEX('Tournament List'!$D:$D,MATCH(I567,'Tournament List'!$A:$A,0)),""))</f>
        <v/>
      </c>
      <c r="K567" s="96" t="str">
        <f>IF(F567="Skeet",IFERROR(INDEX('Shooter-Squad Assignment'!$A:$A,MATCH(C567&amp;"-"&amp;E567&amp;"-"&amp;F567&amp;"-Pos3",'Shooter-Squad Assignment'!$K:$K,0)),""),IF(F567="Trap",IFERROR(INDEX('Shooter-Squad Assignment'!$A:$A,MATCH(C567&amp;"-"&amp;E567&amp;"-"&amp;F567&amp;"-Pos3",'Shooter-Squad Assignment'!$W:$W,0)),""),IF(F567="Sporting Clays",IFERROR(INDEX('Shooter-Squad Assignment'!$A:$A,MATCH(C567&amp;"-"&amp;E567&amp;"-"&amp;F567&amp;"-Pos3",'Shooter-Squad Assignment'!$Z:$Z,0)),""),"")))</f>
        <v/>
      </c>
      <c r="L567" s="88" t="str">
        <f>IF(ISBLANK(K567),"",IFERROR(INDEX('Tournament List'!$D:$D,MATCH(K567,'Tournament List'!$A:$A,0)),""))</f>
        <v/>
      </c>
      <c r="M567" s="96" t="str">
        <f>IF(F567="Skeet",IFERROR(INDEX('Shooter-Squad Assignment'!$A:$A,MATCH(C567&amp;"-"&amp;E567&amp;"-"&amp;F567&amp;"-Pos4",'Shooter-Squad Assignment'!$K:$K,0)),""),IF(F567="Trap",IFERROR(INDEX('Shooter-Squad Assignment'!$A:$A,MATCH(C567&amp;"-"&amp;E567&amp;"-"&amp;F567&amp;"-Pos4",'Shooter-Squad Assignment'!$W:$W,0)),""),IF(F567="Sporting Clays",IFERROR(INDEX('Shooter-Squad Assignment'!$A:$A,MATCH(C567&amp;"-"&amp;E567&amp;"-"&amp;F567&amp;"-Pos4",'Shooter-Squad Assignment'!$Z:$Z,0)),""),"")))</f>
        <v/>
      </c>
      <c r="N567" s="88" t="str">
        <f>IF(ISBLANK(M567),"",IFERROR(INDEX('Tournament List'!$D:$D,MATCH(M567,'Tournament List'!$A:$A,0)),""))</f>
        <v/>
      </c>
      <c r="O567" s="96" t="str">
        <f>IF(F567="Skeet",IFERROR(INDEX('Shooter-Squad Assignment'!$A:$A,MATCH(C567&amp;"-"&amp;E567&amp;"-"&amp;F567&amp;"-Pos5",'Shooter-Squad Assignment'!$K:$K,0)),""),IF(F567="Trap",IFERROR(INDEX('Shooter-Squad Assignment'!$A:$A,MATCH(C567&amp;"-"&amp;E567&amp;"-"&amp;F567&amp;"-Pos5",'Shooter-Squad Assignment'!$W:$W,0)),""),IF(F567="Sporting Clays",IFERROR(INDEX('Shooter-Squad Assignment'!$A:$A,MATCH(C567&amp;"-"&amp;E567&amp;"-"&amp;F567&amp;"-Pos5",'Shooter-Squad Assignment'!$Z:$Z,0)),""),"")))</f>
        <v/>
      </c>
      <c r="P567" s="89" t="str">
        <f>IF(ISBLANK(O567),"",IFERROR(INDEX('Tournament List'!$D:$D,MATCH(O567,'Tournament List'!$A:$A,0)),""))</f>
        <v/>
      </c>
    </row>
    <row r="568" spans="1:16" x14ac:dyDescent="0.3">
      <c r="A568" s="87">
        <v>567</v>
      </c>
      <c r="B568" s="88" t="str">
        <f>C568&amp;"-"&amp;E568&amp;"-"&amp;F568</f>
        <v>-Unassigned 1-Trap</v>
      </c>
      <c r="C568" s="88"/>
      <c r="D568" s="88" t="str">
        <f>INDEX('Tournament Setup'!$B$59:$B$78,MATCH(E568,SquadConcurrents,0))</f>
        <v>Unassigned</v>
      </c>
      <c r="E568" s="88" t="s">
        <v>762</v>
      </c>
      <c r="F568" s="88" t="s">
        <v>147</v>
      </c>
      <c r="G568" s="96" t="str">
        <f>IF(F568="Skeet",IFERROR(INDEX('Shooter-Squad Assignment'!$A:$A,MATCH(C568&amp;"-"&amp;E568&amp;"-"&amp;F568&amp;"-Pos1",'Shooter-Squad Assignment'!$K:$K,0)),""),IF(F568="Trap",IFERROR(INDEX('Shooter-Squad Assignment'!$A:$A,MATCH(C568&amp;"-"&amp;E568&amp;"-"&amp;F568&amp;"-Pos1",'Shooter-Squad Assignment'!$W:$W,0)),""),IF(F568="Sporting Clays",IFERROR(INDEX('Shooter-Squad Assignment'!$A:$A,MATCH(C568&amp;"-"&amp;E568&amp;"-"&amp;F568&amp;"-Pos1",'Shooter-Squad Assignment'!$Z:$Z,0)),""),"")))</f>
        <v/>
      </c>
      <c r="H568" s="88" t="str">
        <f>IF(ISBLANK(G568),"",IFERROR(INDEX('Tournament List'!$D:$D,MATCH(G568,'Tournament List'!$A:$A,0)),""))</f>
        <v/>
      </c>
      <c r="I568" s="96" t="str">
        <f>IF(F568="Skeet",IFERROR(INDEX('Shooter-Squad Assignment'!$A:$A,MATCH(C568&amp;"-"&amp;E568&amp;"-"&amp;F568&amp;"-Pos2",'Shooter-Squad Assignment'!$K:$K,0)),""),IF(F568="Trap",IFERROR(INDEX('Shooter-Squad Assignment'!$A:$A,MATCH(C568&amp;"-"&amp;E568&amp;"-"&amp;F568&amp;"-Pos2",'Shooter-Squad Assignment'!$W:$W,0)),""),IF(F568="Sporting Clays",IFERROR(INDEX('Shooter-Squad Assignment'!$A:$A,MATCH(C568&amp;"-"&amp;E568&amp;"-"&amp;F568&amp;"-Pos2",'Shooter-Squad Assignment'!$Z:$Z,0)),""),"")))</f>
        <v/>
      </c>
      <c r="J568" s="88" t="str">
        <f>IF(ISBLANK(I568),"",IFERROR(INDEX('Tournament List'!$D:$D,MATCH(I568,'Tournament List'!$A:$A,0)),""))</f>
        <v/>
      </c>
      <c r="K568" s="96" t="str">
        <f>IF(F568="Skeet",IFERROR(INDEX('Shooter-Squad Assignment'!$A:$A,MATCH(C568&amp;"-"&amp;E568&amp;"-"&amp;F568&amp;"-Pos3",'Shooter-Squad Assignment'!$K:$K,0)),""),IF(F568="Trap",IFERROR(INDEX('Shooter-Squad Assignment'!$A:$A,MATCH(C568&amp;"-"&amp;E568&amp;"-"&amp;F568&amp;"-Pos3",'Shooter-Squad Assignment'!$W:$W,0)),""),IF(F568="Sporting Clays",IFERROR(INDEX('Shooter-Squad Assignment'!$A:$A,MATCH(C568&amp;"-"&amp;E568&amp;"-"&amp;F568&amp;"-Pos3",'Shooter-Squad Assignment'!$Z:$Z,0)),""),"")))</f>
        <v/>
      </c>
      <c r="L568" s="88" t="str">
        <f>IF(ISBLANK(K568),"",IFERROR(INDEX('Tournament List'!$D:$D,MATCH(K568,'Tournament List'!$A:$A,0)),""))</f>
        <v/>
      </c>
      <c r="M568" s="96" t="str">
        <f>IF(F568="Skeet",IFERROR(INDEX('Shooter-Squad Assignment'!$A:$A,MATCH(C568&amp;"-"&amp;E568&amp;"-"&amp;F568&amp;"-Pos4",'Shooter-Squad Assignment'!$K:$K,0)),""),IF(F568="Trap",IFERROR(INDEX('Shooter-Squad Assignment'!$A:$A,MATCH(C568&amp;"-"&amp;E568&amp;"-"&amp;F568&amp;"-Pos4",'Shooter-Squad Assignment'!$W:$W,0)),""),IF(F568="Sporting Clays",IFERROR(INDEX('Shooter-Squad Assignment'!$A:$A,MATCH(C568&amp;"-"&amp;E568&amp;"-"&amp;F568&amp;"-Pos4",'Shooter-Squad Assignment'!$Z:$Z,0)),""),"")))</f>
        <v/>
      </c>
      <c r="N568" s="88" t="str">
        <f>IF(ISBLANK(M568),"",IFERROR(INDEX('Tournament List'!$D:$D,MATCH(M568,'Tournament List'!$A:$A,0)),""))</f>
        <v/>
      </c>
      <c r="O568" s="96" t="str">
        <f>IF(F568="Skeet",IFERROR(INDEX('Shooter-Squad Assignment'!$A:$A,MATCH(C568&amp;"-"&amp;E568&amp;"-"&amp;F568&amp;"-Pos5",'Shooter-Squad Assignment'!$K:$K,0)),""),IF(F568="Trap",IFERROR(INDEX('Shooter-Squad Assignment'!$A:$A,MATCH(C568&amp;"-"&amp;E568&amp;"-"&amp;F568&amp;"-Pos5",'Shooter-Squad Assignment'!$W:$W,0)),""),IF(F568="Sporting Clays",IFERROR(INDEX('Shooter-Squad Assignment'!$A:$A,MATCH(C568&amp;"-"&amp;E568&amp;"-"&amp;F568&amp;"-Pos5",'Shooter-Squad Assignment'!$Z:$Z,0)),""),"")))</f>
        <v/>
      </c>
      <c r="P568" s="89" t="str">
        <f>IF(ISBLANK(O568),"",IFERROR(INDEX('Tournament List'!$D:$D,MATCH(O568,'Tournament List'!$A:$A,0)),""))</f>
        <v/>
      </c>
    </row>
    <row r="569" spans="1:16" x14ac:dyDescent="0.3">
      <c r="A569" s="87">
        <v>568</v>
      </c>
      <c r="B569" s="88" t="str">
        <f>C569&amp;"-"&amp;E569&amp;"-"&amp;F569</f>
        <v>-Varsity 1-Trap</v>
      </c>
      <c r="C569" s="88"/>
      <c r="D569" s="88" t="str">
        <f>INDEX('Tournament Setup'!$B$59:$B$78,MATCH(E569,SquadConcurrents,0))</f>
        <v>Varsity</v>
      </c>
      <c r="E569" s="88" t="s">
        <v>340</v>
      </c>
      <c r="F569" s="88" t="s">
        <v>147</v>
      </c>
      <c r="G569" s="96" t="str">
        <f>IF(F569="Skeet",IFERROR(INDEX('Shooter-Squad Assignment'!$A:$A,MATCH(C569&amp;"-"&amp;E569&amp;"-"&amp;F569&amp;"-Pos1",'Shooter-Squad Assignment'!$K:$K,0)),""),IF(F569="Trap",IFERROR(INDEX('Shooter-Squad Assignment'!$A:$A,MATCH(C569&amp;"-"&amp;E569&amp;"-"&amp;F569&amp;"-Pos1",'Shooter-Squad Assignment'!$W:$W,0)),""),IF(F569="Sporting Clays",IFERROR(INDEX('Shooter-Squad Assignment'!$A:$A,MATCH(C569&amp;"-"&amp;E569&amp;"-"&amp;F569&amp;"-Pos1",'Shooter-Squad Assignment'!$Z:$Z,0)),""),"")))</f>
        <v/>
      </c>
      <c r="H569" s="88" t="str">
        <f>IF(ISBLANK(G569),"",IFERROR(INDEX('Tournament List'!$D:$D,MATCH(G569,'Tournament List'!$A:$A,0)),""))</f>
        <v/>
      </c>
      <c r="I569" s="96" t="str">
        <f>IF(F569="Skeet",IFERROR(INDEX('Shooter-Squad Assignment'!$A:$A,MATCH(C569&amp;"-"&amp;E569&amp;"-"&amp;F569&amp;"-Pos2",'Shooter-Squad Assignment'!$K:$K,0)),""),IF(F569="Trap",IFERROR(INDEX('Shooter-Squad Assignment'!$A:$A,MATCH(C569&amp;"-"&amp;E569&amp;"-"&amp;F569&amp;"-Pos2",'Shooter-Squad Assignment'!$W:$W,0)),""),IF(F569="Sporting Clays",IFERROR(INDEX('Shooter-Squad Assignment'!$A:$A,MATCH(C569&amp;"-"&amp;E569&amp;"-"&amp;F569&amp;"-Pos2",'Shooter-Squad Assignment'!$Z:$Z,0)),""),"")))</f>
        <v/>
      </c>
      <c r="J569" s="88" t="str">
        <f>IF(ISBLANK(I569),"",IFERROR(INDEX('Tournament List'!$D:$D,MATCH(I569,'Tournament List'!$A:$A,0)),""))</f>
        <v/>
      </c>
      <c r="K569" s="96" t="str">
        <f>IF(F569="Skeet",IFERROR(INDEX('Shooter-Squad Assignment'!$A:$A,MATCH(C569&amp;"-"&amp;E569&amp;"-"&amp;F569&amp;"-Pos3",'Shooter-Squad Assignment'!$K:$K,0)),""),IF(F569="Trap",IFERROR(INDEX('Shooter-Squad Assignment'!$A:$A,MATCH(C569&amp;"-"&amp;E569&amp;"-"&amp;F569&amp;"-Pos3",'Shooter-Squad Assignment'!$W:$W,0)),""),IF(F569="Sporting Clays",IFERROR(INDEX('Shooter-Squad Assignment'!$A:$A,MATCH(C569&amp;"-"&amp;E569&amp;"-"&amp;F569&amp;"-Pos3",'Shooter-Squad Assignment'!$Z:$Z,0)),""),"")))</f>
        <v/>
      </c>
      <c r="L569" s="88" t="str">
        <f>IF(ISBLANK(K569),"",IFERROR(INDEX('Tournament List'!$D:$D,MATCH(K569,'Tournament List'!$A:$A,0)),""))</f>
        <v/>
      </c>
      <c r="M569" s="96" t="str">
        <f>IF(F569="Skeet",IFERROR(INDEX('Shooter-Squad Assignment'!$A:$A,MATCH(C569&amp;"-"&amp;E569&amp;"-"&amp;F569&amp;"-Pos4",'Shooter-Squad Assignment'!$K:$K,0)),""),IF(F569="Trap",IFERROR(INDEX('Shooter-Squad Assignment'!$A:$A,MATCH(C569&amp;"-"&amp;E569&amp;"-"&amp;F569&amp;"-Pos4",'Shooter-Squad Assignment'!$W:$W,0)),""),IF(F569="Sporting Clays",IFERROR(INDEX('Shooter-Squad Assignment'!$A:$A,MATCH(C569&amp;"-"&amp;E569&amp;"-"&amp;F569&amp;"-Pos4",'Shooter-Squad Assignment'!$Z:$Z,0)),""),"")))</f>
        <v/>
      </c>
      <c r="N569" s="88" t="str">
        <f>IF(ISBLANK(M569),"",IFERROR(INDEX('Tournament List'!$D:$D,MATCH(M569,'Tournament List'!$A:$A,0)),""))</f>
        <v/>
      </c>
      <c r="O569" s="96" t="str">
        <f>IF(F569="Skeet",IFERROR(INDEX('Shooter-Squad Assignment'!$A:$A,MATCH(C569&amp;"-"&amp;E569&amp;"-"&amp;F569&amp;"-Pos5",'Shooter-Squad Assignment'!$K:$K,0)),""),IF(F569="Trap",IFERROR(INDEX('Shooter-Squad Assignment'!$A:$A,MATCH(C569&amp;"-"&amp;E569&amp;"-"&amp;F569&amp;"-Pos5",'Shooter-Squad Assignment'!$W:$W,0)),""),IF(F569="Sporting Clays",IFERROR(INDEX('Shooter-Squad Assignment'!$A:$A,MATCH(C569&amp;"-"&amp;E569&amp;"-"&amp;F569&amp;"-Pos5",'Shooter-Squad Assignment'!$Z:$Z,0)),""),"")))</f>
        <v/>
      </c>
      <c r="P569" s="89" t="str">
        <f>IF(ISBLANK(O569),"",IFERROR(INDEX('Tournament List'!$D:$D,MATCH(O569,'Tournament List'!$A:$A,0)),""))</f>
        <v/>
      </c>
    </row>
    <row r="570" spans="1:16" x14ac:dyDescent="0.3">
      <c r="A570" s="87">
        <v>569</v>
      </c>
      <c r="B570" s="88" t="str">
        <f>C570&amp;"-"&amp;E570&amp;"-"&amp;F570</f>
        <v>-Varsity 2-Trap</v>
      </c>
      <c r="C570" s="88"/>
      <c r="D570" s="88" t="str">
        <f>INDEX('Tournament Setup'!$B$59:$B$78,MATCH(E570,SquadConcurrents,0))</f>
        <v>Varsity</v>
      </c>
      <c r="E570" s="88" t="s">
        <v>346</v>
      </c>
      <c r="F570" s="88" t="s">
        <v>147</v>
      </c>
      <c r="G570" s="96" t="str">
        <f>IF(F570="Skeet",IFERROR(INDEX('Shooter-Squad Assignment'!$A:$A,MATCH(C570&amp;"-"&amp;E570&amp;"-"&amp;F570&amp;"-Pos1",'Shooter-Squad Assignment'!$K:$K,0)),""),IF(F570="Trap",IFERROR(INDEX('Shooter-Squad Assignment'!$A:$A,MATCH(C570&amp;"-"&amp;E570&amp;"-"&amp;F570&amp;"-Pos1",'Shooter-Squad Assignment'!$W:$W,0)),""),IF(F570="Sporting Clays",IFERROR(INDEX('Shooter-Squad Assignment'!$A:$A,MATCH(C570&amp;"-"&amp;E570&amp;"-"&amp;F570&amp;"-Pos1",'Shooter-Squad Assignment'!$Z:$Z,0)),""),"")))</f>
        <v/>
      </c>
      <c r="H570" s="88" t="str">
        <f>IF(ISBLANK(G570),"",IFERROR(INDEX('Tournament List'!$D:$D,MATCH(G570,'Tournament List'!$A:$A,0)),""))</f>
        <v/>
      </c>
      <c r="I570" s="96" t="str">
        <f>IF(F570="Skeet",IFERROR(INDEX('Shooter-Squad Assignment'!$A:$A,MATCH(C570&amp;"-"&amp;E570&amp;"-"&amp;F570&amp;"-Pos2",'Shooter-Squad Assignment'!$K:$K,0)),""),IF(F570="Trap",IFERROR(INDEX('Shooter-Squad Assignment'!$A:$A,MATCH(C570&amp;"-"&amp;E570&amp;"-"&amp;F570&amp;"-Pos2",'Shooter-Squad Assignment'!$W:$W,0)),""),IF(F570="Sporting Clays",IFERROR(INDEX('Shooter-Squad Assignment'!$A:$A,MATCH(C570&amp;"-"&amp;E570&amp;"-"&amp;F570&amp;"-Pos2",'Shooter-Squad Assignment'!$Z:$Z,0)),""),"")))</f>
        <v/>
      </c>
      <c r="J570" s="88" t="str">
        <f>IF(ISBLANK(I570),"",IFERROR(INDEX('Tournament List'!$D:$D,MATCH(I570,'Tournament List'!$A:$A,0)),""))</f>
        <v/>
      </c>
      <c r="K570" s="96" t="str">
        <f>IF(F570="Skeet",IFERROR(INDEX('Shooter-Squad Assignment'!$A:$A,MATCH(C570&amp;"-"&amp;E570&amp;"-"&amp;F570&amp;"-Pos3",'Shooter-Squad Assignment'!$K:$K,0)),""),IF(F570="Trap",IFERROR(INDEX('Shooter-Squad Assignment'!$A:$A,MATCH(C570&amp;"-"&amp;E570&amp;"-"&amp;F570&amp;"-Pos3",'Shooter-Squad Assignment'!$W:$W,0)),""),IF(F570="Sporting Clays",IFERROR(INDEX('Shooter-Squad Assignment'!$A:$A,MATCH(C570&amp;"-"&amp;E570&amp;"-"&amp;F570&amp;"-Pos3",'Shooter-Squad Assignment'!$Z:$Z,0)),""),"")))</f>
        <v/>
      </c>
      <c r="L570" s="88" t="str">
        <f>IF(ISBLANK(K570),"",IFERROR(INDEX('Tournament List'!$D:$D,MATCH(K570,'Tournament List'!$A:$A,0)),""))</f>
        <v/>
      </c>
      <c r="M570" s="96" t="str">
        <f>IF(F570="Skeet",IFERROR(INDEX('Shooter-Squad Assignment'!$A:$A,MATCH(C570&amp;"-"&amp;E570&amp;"-"&amp;F570&amp;"-Pos4",'Shooter-Squad Assignment'!$K:$K,0)),""),IF(F570="Trap",IFERROR(INDEX('Shooter-Squad Assignment'!$A:$A,MATCH(C570&amp;"-"&amp;E570&amp;"-"&amp;F570&amp;"-Pos4",'Shooter-Squad Assignment'!$W:$W,0)),""),IF(F570="Sporting Clays",IFERROR(INDEX('Shooter-Squad Assignment'!$A:$A,MATCH(C570&amp;"-"&amp;E570&amp;"-"&amp;F570&amp;"-Pos4",'Shooter-Squad Assignment'!$Z:$Z,0)),""),"")))</f>
        <v/>
      </c>
      <c r="N570" s="88" t="str">
        <f>IF(ISBLANK(M570),"",IFERROR(INDEX('Tournament List'!$D:$D,MATCH(M570,'Tournament List'!$A:$A,0)),""))</f>
        <v/>
      </c>
      <c r="O570" s="96" t="str">
        <f>IF(F570="Skeet",IFERROR(INDEX('Shooter-Squad Assignment'!$A:$A,MATCH(C570&amp;"-"&amp;E570&amp;"-"&amp;F570&amp;"-Pos5",'Shooter-Squad Assignment'!$K:$K,0)),""),IF(F570="Trap",IFERROR(INDEX('Shooter-Squad Assignment'!$A:$A,MATCH(C570&amp;"-"&amp;E570&amp;"-"&amp;F570&amp;"-Pos5",'Shooter-Squad Assignment'!$W:$W,0)),""),IF(F570="Sporting Clays",IFERROR(INDEX('Shooter-Squad Assignment'!$A:$A,MATCH(C570&amp;"-"&amp;E570&amp;"-"&amp;F570&amp;"-Pos5",'Shooter-Squad Assignment'!$Z:$Z,0)),""),"")))</f>
        <v/>
      </c>
      <c r="P570" s="89" t="str">
        <f>IF(ISBLANK(O570),"",IFERROR(INDEX('Tournament List'!$D:$D,MATCH(O570,'Tournament List'!$A:$A,0)),""))</f>
        <v/>
      </c>
    </row>
    <row r="571" spans="1:16" ht="15" thickBot="1" x14ac:dyDescent="0.35">
      <c r="A571" s="90">
        <v>570</v>
      </c>
      <c r="B571" s="91" t="str">
        <f>C571&amp;"-"&amp;E571&amp;"-"&amp;F571</f>
        <v>-Varsity 3-Trap</v>
      </c>
      <c r="C571" s="91"/>
      <c r="D571" s="91" t="str">
        <f>INDEX('Tournament Setup'!$B$59:$B$78,MATCH(E571,SquadConcurrents,0))</f>
        <v>Varsity</v>
      </c>
      <c r="E571" s="91" t="s">
        <v>352</v>
      </c>
      <c r="F571" s="91" t="s">
        <v>147</v>
      </c>
      <c r="G571" s="97" t="str">
        <f>IF(F571="Skeet",IFERROR(INDEX('Shooter-Squad Assignment'!$A:$A,MATCH(C571&amp;"-"&amp;E571&amp;"-"&amp;F571&amp;"-Pos1",'Shooter-Squad Assignment'!$K:$K,0)),""),IF(F571="Trap",IFERROR(INDEX('Shooter-Squad Assignment'!$A:$A,MATCH(C571&amp;"-"&amp;E571&amp;"-"&amp;F571&amp;"-Pos1",'Shooter-Squad Assignment'!$W:$W,0)),""),IF(F571="Sporting Clays",IFERROR(INDEX('Shooter-Squad Assignment'!$A:$A,MATCH(C571&amp;"-"&amp;E571&amp;"-"&amp;F571&amp;"-Pos1",'Shooter-Squad Assignment'!$Z:$Z,0)),""),"")))</f>
        <v/>
      </c>
      <c r="H571" s="91" t="str">
        <f>IF(ISBLANK(G571),"",IFERROR(INDEX('Tournament List'!$D:$D,MATCH(G571,'Tournament List'!$A:$A,0)),""))</f>
        <v/>
      </c>
      <c r="I571" s="97" t="str">
        <f>IF(F571="Skeet",IFERROR(INDEX('Shooter-Squad Assignment'!$A:$A,MATCH(C571&amp;"-"&amp;E571&amp;"-"&amp;F571&amp;"-Pos2",'Shooter-Squad Assignment'!$K:$K,0)),""),IF(F571="Trap",IFERROR(INDEX('Shooter-Squad Assignment'!$A:$A,MATCH(C571&amp;"-"&amp;E571&amp;"-"&amp;F571&amp;"-Pos2",'Shooter-Squad Assignment'!$W:$W,0)),""),IF(F571="Sporting Clays",IFERROR(INDEX('Shooter-Squad Assignment'!$A:$A,MATCH(C571&amp;"-"&amp;E571&amp;"-"&amp;F571&amp;"-Pos2",'Shooter-Squad Assignment'!$Z:$Z,0)),""),"")))</f>
        <v/>
      </c>
      <c r="J571" s="91" t="str">
        <f>IF(ISBLANK(I571),"",IFERROR(INDEX('Tournament List'!$D:$D,MATCH(I571,'Tournament List'!$A:$A,0)),""))</f>
        <v/>
      </c>
      <c r="K571" s="97" t="str">
        <f>IF(F571="Skeet",IFERROR(INDEX('Shooter-Squad Assignment'!$A:$A,MATCH(C571&amp;"-"&amp;E571&amp;"-"&amp;F571&amp;"-Pos3",'Shooter-Squad Assignment'!$K:$K,0)),""),IF(F571="Trap",IFERROR(INDEX('Shooter-Squad Assignment'!$A:$A,MATCH(C571&amp;"-"&amp;E571&amp;"-"&amp;F571&amp;"-Pos3",'Shooter-Squad Assignment'!$W:$W,0)),""),IF(F571="Sporting Clays",IFERROR(INDEX('Shooter-Squad Assignment'!$A:$A,MATCH(C571&amp;"-"&amp;E571&amp;"-"&amp;F571&amp;"-Pos3",'Shooter-Squad Assignment'!$Z:$Z,0)),""),"")))</f>
        <v/>
      </c>
      <c r="L571" s="91" t="str">
        <f>IF(ISBLANK(K571),"",IFERROR(INDEX('Tournament List'!$D:$D,MATCH(K571,'Tournament List'!$A:$A,0)),""))</f>
        <v/>
      </c>
      <c r="M571" s="97" t="str">
        <f>IF(F571="Skeet",IFERROR(INDEX('Shooter-Squad Assignment'!$A:$A,MATCH(C571&amp;"-"&amp;E571&amp;"-"&amp;F571&amp;"-Pos4",'Shooter-Squad Assignment'!$K:$K,0)),""),IF(F571="Trap",IFERROR(INDEX('Shooter-Squad Assignment'!$A:$A,MATCH(C571&amp;"-"&amp;E571&amp;"-"&amp;F571&amp;"-Pos4",'Shooter-Squad Assignment'!$W:$W,0)),""),IF(F571="Sporting Clays",IFERROR(INDEX('Shooter-Squad Assignment'!$A:$A,MATCH(C571&amp;"-"&amp;E571&amp;"-"&amp;F571&amp;"-Pos4",'Shooter-Squad Assignment'!$Z:$Z,0)),""),"")))</f>
        <v/>
      </c>
      <c r="N571" s="91" t="str">
        <f>IF(ISBLANK(M571),"",IFERROR(INDEX('Tournament List'!$D:$D,MATCH(M571,'Tournament List'!$A:$A,0)),""))</f>
        <v/>
      </c>
      <c r="O571" s="97" t="str">
        <f>IF(F571="Skeet",IFERROR(INDEX('Shooter-Squad Assignment'!$A:$A,MATCH(C571&amp;"-"&amp;E571&amp;"-"&amp;F571&amp;"-Pos5",'Shooter-Squad Assignment'!$K:$K,0)),""),IF(F571="Trap",IFERROR(INDEX('Shooter-Squad Assignment'!$A:$A,MATCH(C571&amp;"-"&amp;E571&amp;"-"&amp;F571&amp;"-Pos5",'Shooter-Squad Assignment'!$W:$W,0)),""),IF(F571="Sporting Clays",IFERROR(INDEX('Shooter-Squad Assignment'!$A:$A,MATCH(C571&amp;"-"&amp;E571&amp;"-"&amp;F571&amp;"-Pos5",'Shooter-Squad Assignment'!$Z:$Z,0)),""),"")))</f>
        <v/>
      </c>
      <c r="P571" s="92" t="str">
        <f>IF(ISBLANK(O571),"",IFERROR(INDEX('Tournament List'!$D:$D,MATCH(O571,'Tournament List'!$A:$A,0)),""))</f>
        <v/>
      </c>
    </row>
    <row r="572" spans="1:16" x14ac:dyDescent="0.3">
      <c r="A572" s="76">
        <v>571</v>
      </c>
      <c r="B572" s="77" t="str">
        <f>C572&amp;"-"&amp;E572&amp;"-"&amp;F572</f>
        <v>-Collegiate 1-Skeet</v>
      </c>
      <c r="C572" s="77"/>
      <c r="D572" s="77" t="str">
        <f>INDEX('Tournament Setup'!$B$59:$B$78,MATCH(E572,SquadConcurrents,0))</f>
        <v>Collegiate</v>
      </c>
      <c r="E572" s="77" t="s">
        <v>342</v>
      </c>
      <c r="F572" s="77" t="s">
        <v>143</v>
      </c>
      <c r="G572" s="93" t="str">
        <f>IF(F572="Skeet",IFERROR(INDEX('Shooter-Squad Assignment'!$A:$A,MATCH(C572&amp;"-"&amp;E572&amp;"-"&amp;F572&amp;"-Pos1",'Shooter-Squad Assignment'!$K:$K,0)),""),IF(F572="Trap",IFERROR(INDEX('Shooter-Squad Assignment'!$A:$A,MATCH(C572&amp;"-"&amp;E572&amp;"-"&amp;F572&amp;"-Pos1",'Shooter-Squad Assignment'!$W:$W,0)),""),IF(F572="Sporting Clays",IFERROR(INDEX('Shooter-Squad Assignment'!$A:$A,MATCH(C572&amp;"-"&amp;E572&amp;"-"&amp;F572&amp;"-Pos1",'Shooter-Squad Assignment'!$Z:$Z,0)),""),"")))</f>
        <v/>
      </c>
      <c r="H572" s="77" t="str">
        <f>IF(ISBLANK(G572),"",IFERROR(INDEX('Tournament List'!$D:$D,MATCH(G572,'Tournament List'!$A:$A,0)),""))</f>
        <v/>
      </c>
      <c r="I572" s="93" t="str">
        <f>IF(F572="Skeet",IFERROR(INDEX('Shooter-Squad Assignment'!$A:$A,MATCH(C572&amp;"-"&amp;E572&amp;"-"&amp;F572&amp;"-Pos2",'Shooter-Squad Assignment'!$K:$K,0)),""),IF(F572="Trap",IFERROR(INDEX('Shooter-Squad Assignment'!$A:$A,MATCH(C572&amp;"-"&amp;E572&amp;"-"&amp;F572&amp;"-Pos2",'Shooter-Squad Assignment'!$W:$W,0)),""),IF(F572="Sporting Clays",IFERROR(INDEX('Shooter-Squad Assignment'!$A:$A,MATCH(C572&amp;"-"&amp;E572&amp;"-"&amp;F572&amp;"-Pos2",'Shooter-Squad Assignment'!$Z:$Z,0)),""),"")))</f>
        <v/>
      </c>
      <c r="J572" s="77" t="str">
        <f>IF(ISBLANK(I572),"",IFERROR(INDEX('Tournament List'!$D:$D,MATCH(I572,'Tournament List'!$A:$A,0)),""))</f>
        <v/>
      </c>
      <c r="K572" s="93" t="str">
        <f>IF(F572="Skeet",IFERROR(INDEX('Shooter-Squad Assignment'!$A:$A,MATCH(C572&amp;"-"&amp;E572&amp;"-"&amp;F572&amp;"-Pos3",'Shooter-Squad Assignment'!$K:$K,0)),""),IF(F572="Trap",IFERROR(INDEX('Shooter-Squad Assignment'!$A:$A,MATCH(C572&amp;"-"&amp;E572&amp;"-"&amp;F572&amp;"-Pos3",'Shooter-Squad Assignment'!$W:$W,0)),""),IF(F572="Sporting Clays",IFERROR(INDEX('Shooter-Squad Assignment'!$A:$A,MATCH(C572&amp;"-"&amp;E572&amp;"-"&amp;F572&amp;"-Pos3",'Shooter-Squad Assignment'!$Z:$Z,0)),""),"")))</f>
        <v/>
      </c>
      <c r="L572" s="77" t="str">
        <f>IF(ISBLANK(K572),"",IFERROR(INDEX('Tournament List'!$D:$D,MATCH(K572,'Tournament List'!$A:$A,0)),""))</f>
        <v/>
      </c>
      <c r="M572" s="93" t="str">
        <f>IF(F572="Skeet",IFERROR(INDEX('Shooter-Squad Assignment'!$A:$A,MATCH(C572&amp;"-"&amp;E572&amp;"-"&amp;F572&amp;"-Pos4",'Shooter-Squad Assignment'!$K:$K,0)),""),IF(F572="Trap",IFERROR(INDEX('Shooter-Squad Assignment'!$A:$A,MATCH(C572&amp;"-"&amp;E572&amp;"-"&amp;F572&amp;"-Pos4",'Shooter-Squad Assignment'!$W:$W,0)),""),IF(F572="Sporting Clays",IFERROR(INDEX('Shooter-Squad Assignment'!$A:$A,MATCH(C572&amp;"-"&amp;E572&amp;"-"&amp;F572&amp;"-Pos4",'Shooter-Squad Assignment'!$Z:$Z,0)),""),"")))</f>
        <v/>
      </c>
      <c r="N572" s="77" t="str">
        <f>IF(ISBLANK(M572),"",IFERROR(INDEX('Tournament List'!$D:$D,MATCH(M572,'Tournament List'!$A:$A,0)),""))</f>
        <v/>
      </c>
      <c r="O572" s="93" t="str">
        <f>IF(F572="Skeet",IFERROR(INDEX('Shooter-Squad Assignment'!$A:$A,MATCH(C572&amp;"-"&amp;E572&amp;"-"&amp;F572&amp;"-Pos5",'Shooter-Squad Assignment'!$K:$K,0)),""),IF(F572="Trap",IFERROR(INDEX('Shooter-Squad Assignment'!$A:$A,MATCH(C572&amp;"-"&amp;E572&amp;"-"&amp;F572&amp;"-Pos5",'Shooter-Squad Assignment'!$W:$W,0)),""),IF(F572="Sporting Clays",IFERROR(INDEX('Shooter-Squad Assignment'!$A:$A,MATCH(C572&amp;"-"&amp;E572&amp;"-"&amp;F572&amp;"-Pos5",'Shooter-Squad Assignment'!$Z:$Z,0)),""),"")))</f>
        <v/>
      </c>
      <c r="P572" s="77" t="str">
        <f>IF(ISBLANK(O572),"",IFERROR(INDEX('Tournament List'!$D:$D,MATCH(O572,'Tournament List'!$A:$A,0)),""))</f>
        <v/>
      </c>
    </row>
    <row r="573" spans="1:16" x14ac:dyDescent="0.3">
      <c r="A573" s="78">
        <v>572</v>
      </c>
      <c r="B573" s="73" t="str">
        <f>C573&amp;"-"&amp;E573&amp;"-"&amp;F573</f>
        <v>-Collegiate 2-Skeet</v>
      </c>
      <c r="C573" s="73"/>
      <c r="D573" s="73" t="str">
        <f>INDEX('Tournament Setup'!$B$59:$B$78,MATCH(E573,SquadConcurrents,0))</f>
        <v>Collegiate</v>
      </c>
      <c r="E573" s="73" t="s">
        <v>348</v>
      </c>
      <c r="F573" s="73" t="s">
        <v>143</v>
      </c>
      <c r="G573" s="94" t="str">
        <f>IF(F573="Skeet",IFERROR(INDEX('Shooter-Squad Assignment'!$A:$A,MATCH(C573&amp;"-"&amp;E573&amp;"-"&amp;F573&amp;"-Pos1",'Shooter-Squad Assignment'!$K:$K,0)),""),IF(F573="Trap",IFERROR(INDEX('Shooter-Squad Assignment'!$A:$A,MATCH(C573&amp;"-"&amp;E573&amp;"-"&amp;F573&amp;"-Pos1",'Shooter-Squad Assignment'!$W:$W,0)),""),IF(F573="Sporting Clays",IFERROR(INDEX('Shooter-Squad Assignment'!$A:$A,MATCH(C573&amp;"-"&amp;E573&amp;"-"&amp;F573&amp;"-Pos1",'Shooter-Squad Assignment'!$Z:$Z,0)),""),"")))</f>
        <v/>
      </c>
      <c r="H573" s="73" t="str">
        <f>IF(ISBLANK(G573),"",IFERROR(INDEX('Tournament List'!$D:$D,MATCH(G573,'Tournament List'!$A:$A,0)),""))</f>
        <v/>
      </c>
      <c r="I573" s="94" t="str">
        <f>IF(F573="Skeet",IFERROR(INDEX('Shooter-Squad Assignment'!$A:$A,MATCH(C573&amp;"-"&amp;E573&amp;"-"&amp;F573&amp;"-Pos2",'Shooter-Squad Assignment'!$K:$K,0)),""),IF(F573="Trap",IFERROR(INDEX('Shooter-Squad Assignment'!$A:$A,MATCH(C573&amp;"-"&amp;E573&amp;"-"&amp;F573&amp;"-Pos2",'Shooter-Squad Assignment'!$W:$W,0)),""),IF(F573="Sporting Clays",IFERROR(INDEX('Shooter-Squad Assignment'!$A:$A,MATCH(C573&amp;"-"&amp;E573&amp;"-"&amp;F573&amp;"-Pos2",'Shooter-Squad Assignment'!$Z:$Z,0)),""),"")))</f>
        <v/>
      </c>
      <c r="J573" s="73" t="str">
        <f>IF(ISBLANK(I573),"",IFERROR(INDEX('Tournament List'!$D:$D,MATCH(I573,'Tournament List'!$A:$A,0)),""))</f>
        <v/>
      </c>
      <c r="K573" s="94" t="str">
        <f>IF(F573="Skeet",IFERROR(INDEX('Shooter-Squad Assignment'!$A:$A,MATCH(C573&amp;"-"&amp;E573&amp;"-"&amp;F573&amp;"-Pos3",'Shooter-Squad Assignment'!$K:$K,0)),""),IF(F573="Trap",IFERROR(INDEX('Shooter-Squad Assignment'!$A:$A,MATCH(C573&amp;"-"&amp;E573&amp;"-"&amp;F573&amp;"-Pos3",'Shooter-Squad Assignment'!$W:$W,0)),""),IF(F573="Sporting Clays",IFERROR(INDEX('Shooter-Squad Assignment'!$A:$A,MATCH(C573&amp;"-"&amp;E573&amp;"-"&amp;F573&amp;"-Pos3",'Shooter-Squad Assignment'!$Z:$Z,0)),""),"")))</f>
        <v/>
      </c>
      <c r="L573" s="73" t="str">
        <f>IF(ISBLANK(K573),"",IFERROR(INDEX('Tournament List'!$D:$D,MATCH(K573,'Tournament List'!$A:$A,0)),""))</f>
        <v/>
      </c>
      <c r="M573" s="94" t="str">
        <f>IF(F573="Skeet",IFERROR(INDEX('Shooter-Squad Assignment'!$A:$A,MATCH(C573&amp;"-"&amp;E573&amp;"-"&amp;F573&amp;"-Pos4",'Shooter-Squad Assignment'!$K:$K,0)),""),IF(F573="Trap",IFERROR(INDEX('Shooter-Squad Assignment'!$A:$A,MATCH(C573&amp;"-"&amp;E573&amp;"-"&amp;F573&amp;"-Pos4",'Shooter-Squad Assignment'!$W:$W,0)),""),IF(F573="Sporting Clays",IFERROR(INDEX('Shooter-Squad Assignment'!$A:$A,MATCH(C573&amp;"-"&amp;E573&amp;"-"&amp;F573&amp;"-Pos4",'Shooter-Squad Assignment'!$Z:$Z,0)),""),"")))</f>
        <v/>
      </c>
      <c r="N573" s="73" t="str">
        <f>IF(ISBLANK(M573),"",IFERROR(INDEX('Tournament List'!$D:$D,MATCH(M573,'Tournament List'!$A:$A,0)),""))</f>
        <v/>
      </c>
      <c r="O573" s="94" t="str">
        <f>IF(F573="Skeet",IFERROR(INDEX('Shooter-Squad Assignment'!$A:$A,MATCH(C573&amp;"-"&amp;E573&amp;"-"&amp;F573&amp;"-Pos5",'Shooter-Squad Assignment'!$K:$K,0)),""),IF(F573="Trap",IFERROR(INDEX('Shooter-Squad Assignment'!$A:$A,MATCH(C573&amp;"-"&amp;E573&amp;"-"&amp;F573&amp;"-Pos5",'Shooter-Squad Assignment'!$W:$W,0)),""),IF(F573="Sporting Clays",IFERROR(INDEX('Shooter-Squad Assignment'!$A:$A,MATCH(C573&amp;"-"&amp;E573&amp;"-"&amp;F573&amp;"-Pos5",'Shooter-Squad Assignment'!$Z:$Z,0)),""),"")))</f>
        <v/>
      </c>
      <c r="P573" s="79" t="str">
        <f>IF(ISBLANK(O573),"",IFERROR(INDEX('Tournament List'!$D:$D,MATCH(O573,'Tournament List'!$A:$A,0)),""))</f>
        <v/>
      </c>
    </row>
    <row r="574" spans="1:16" x14ac:dyDescent="0.3">
      <c r="A574" s="78">
        <v>573</v>
      </c>
      <c r="B574" s="73" t="str">
        <f>C574&amp;"-"&amp;E574&amp;"-"&amp;F574</f>
        <v>-Collegiate 3-Skeet</v>
      </c>
      <c r="C574" s="73"/>
      <c r="D574" s="73" t="str">
        <f>INDEX('Tournament Setup'!$B$59:$B$78,MATCH(E574,SquadConcurrents,0))</f>
        <v>Collegiate</v>
      </c>
      <c r="E574" s="73" t="s">
        <v>354</v>
      </c>
      <c r="F574" s="73" t="s">
        <v>143</v>
      </c>
      <c r="G574" s="94" t="str">
        <f>IF(F574="Skeet",IFERROR(INDEX('Shooter-Squad Assignment'!$A:$A,MATCH(C574&amp;"-"&amp;E574&amp;"-"&amp;F574&amp;"-Pos1",'Shooter-Squad Assignment'!$K:$K,0)),""),IF(F574="Trap",IFERROR(INDEX('Shooter-Squad Assignment'!$A:$A,MATCH(C574&amp;"-"&amp;E574&amp;"-"&amp;F574&amp;"-Pos1",'Shooter-Squad Assignment'!$W:$W,0)),""),IF(F574="Sporting Clays",IFERROR(INDEX('Shooter-Squad Assignment'!$A:$A,MATCH(C574&amp;"-"&amp;E574&amp;"-"&amp;F574&amp;"-Pos1",'Shooter-Squad Assignment'!$Z:$Z,0)),""),"")))</f>
        <v/>
      </c>
      <c r="H574" s="73" t="str">
        <f>IF(ISBLANK(G574),"",IFERROR(INDEX('Tournament List'!$D:$D,MATCH(G574,'Tournament List'!$A:$A,0)),""))</f>
        <v/>
      </c>
      <c r="I574" s="94" t="str">
        <f>IF(F574="Skeet",IFERROR(INDEX('Shooter-Squad Assignment'!$A:$A,MATCH(C574&amp;"-"&amp;E574&amp;"-"&amp;F574&amp;"-Pos2",'Shooter-Squad Assignment'!$K:$K,0)),""),IF(F574="Trap",IFERROR(INDEX('Shooter-Squad Assignment'!$A:$A,MATCH(C574&amp;"-"&amp;E574&amp;"-"&amp;F574&amp;"-Pos2",'Shooter-Squad Assignment'!$W:$W,0)),""),IF(F574="Sporting Clays",IFERROR(INDEX('Shooter-Squad Assignment'!$A:$A,MATCH(C574&amp;"-"&amp;E574&amp;"-"&amp;F574&amp;"-Pos2",'Shooter-Squad Assignment'!$Z:$Z,0)),""),"")))</f>
        <v/>
      </c>
      <c r="J574" s="73" t="str">
        <f>IF(ISBLANK(I574),"",IFERROR(INDEX('Tournament List'!$D:$D,MATCH(I574,'Tournament List'!$A:$A,0)),""))</f>
        <v/>
      </c>
      <c r="K574" s="94" t="str">
        <f>IF(F574="Skeet",IFERROR(INDEX('Shooter-Squad Assignment'!$A:$A,MATCH(C574&amp;"-"&amp;E574&amp;"-"&amp;F574&amp;"-Pos3",'Shooter-Squad Assignment'!$K:$K,0)),""),IF(F574="Trap",IFERROR(INDEX('Shooter-Squad Assignment'!$A:$A,MATCH(C574&amp;"-"&amp;E574&amp;"-"&amp;F574&amp;"-Pos3",'Shooter-Squad Assignment'!$W:$W,0)),""),IF(F574="Sporting Clays",IFERROR(INDEX('Shooter-Squad Assignment'!$A:$A,MATCH(C574&amp;"-"&amp;E574&amp;"-"&amp;F574&amp;"-Pos3",'Shooter-Squad Assignment'!$Z:$Z,0)),""),"")))</f>
        <v/>
      </c>
      <c r="L574" s="73" t="str">
        <f>IF(ISBLANK(K574),"",IFERROR(INDEX('Tournament List'!$D:$D,MATCH(K574,'Tournament List'!$A:$A,0)),""))</f>
        <v/>
      </c>
      <c r="M574" s="94" t="str">
        <f>IF(F574="Skeet",IFERROR(INDEX('Shooter-Squad Assignment'!$A:$A,MATCH(C574&amp;"-"&amp;E574&amp;"-"&amp;F574&amp;"-Pos4",'Shooter-Squad Assignment'!$K:$K,0)),""),IF(F574="Trap",IFERROR(INDEX('Shooter-Squad Assignment'!$A:$A,MATCH(C574&amp;"-"&amp;E574&amp;"-"&amp;F574&amp;"-Pos4",'Shooter-Squad Assignment'!$W:$W,0)),""),IF(F574="Sporting Clays",IFERROR(INDEX('Shooter-Squad Assignment'!$A:$A,MATCH(C574&amp;"-"&amp;E574&amp;"-"&amp;F574&amp;"-Pos4",'Shooter-Squad Assignment'!$Z:$Z,0)),""),"")))</f>
        <v/>
      </c>
      <c r="N574" s="73" t="str">
        <f>IF(ISBLANK(M574),"",IFERROR(INDEX('Tournament List'!$D:$D,MATCH(M574,'Tournament List'!$A:$A,0)),""))</f>
        <v/>
      </c>
      <c r="O574" s="94" t="str">
        <f>IF(F574="Skeet",IFERROR(INDEX('Shooter-Squad Assignment'!$A:$A,MATCH(C574&amp;"-"&amp;E574&amp;"-"&amp;F574&amp;"-Pos5",'Shooter-Squad Assignment'!$K:$K,0)),""),IF(F574="Trap",IFERROR(INDEX('Shooter-Squad Assignment'!$A:$A,MATCH(C574&amp;"-"&amp;E574&amp;"-"&amp;F574&amp;"-Pos5",'Shooter-Squad Assignment'!$W:$W,0)),""),IF(F574="Sporting Clays",IFERROR(INDEX('Shooter-Squad Assignment'!$A:$A,MATCH(C574&amp;"-"&amp;E574&amp;"-"&amp;F574&amp;"-Pos5",'Shooter-Squad Assignment'!$Z:$Z,0)),""),"")))</f>
        <v/>
      </c>
      <c r="P574" s="79" t="str">
        <f>IF(ISBLANK(O574),"",IFERROR(INDEX('Tournament List'!$D:$D,MATCH(O574,'Tournament List'!$A:$A,0)),""))</f>
        <v/>
      </c>
    </row>
    <row r="575" spans="1:16" x14ac:dyDescent="0.3">
      <c r="A575" s="78">
        <v>574</v>
      </c>
      <c r="B575" s="73" t="str">
        <f>C575&amp;"-"&amp;E575&amp;"-"&amp;F575</f>
        <v>-Intermediate 1-Skeet</v>
      </c>
      <c r="C575" s="73"/>
      <c r="D575" s="73" t="str">
        <f>INDEX('Tournament Setup'!$B$59:$B$78,MATCH(E575,SquadConcurrents,0))</f>
        <v>Intermediate</v>
      </c>
      <c r="E575" s="73" t="s">
        <v>338</v>
      </c>
      <c r="F575" s="73" t="s">
        <v>143</v>
      </c>
      <c r="G575" s="94" t="str">
        <f>IF(F575="Skeet",IFERROR(INDEX('Shooter-Squad Assignment'!$A:$A,MATCH(C575&amp;"-"&amp;E575&amp;"-"&amp;F575&amp;"-Pos1",'Shooter-Squad Assignment'!$K:$K,0)),""),IF(F575="Trap",IFERROR(INDEX('Shooter-Squad Assignment'!$A:$A,MATCH(C575&amp;"-"&amp;E575&amp;"-"&amp;F575&amp;"-Pos1",'Shooter-Squad Assignment'!$W:$W,0)),""),IF(F575="Sporting Clays",IFERROR(INDEX('Shooter-Squad Assignment'!$A:$A,MATCH(C575&amp;"-"&amp;E575&amp;"-"&amp;F575&amp;"-Pos1",'Shooter-Squad Assignment'!$Z:$Z,0)),""),"")))</f>
        <v/>
      </c>
      <c r="H575" s="73" t="str">
        <f>IF(ISBLANK(G575),"",IFERROR(INDEX('Tournament List'!$D:$D,MATCH(G575,'Tournament List'!$A:$A,0)),""))</f>
        <v/>
      </c>
      <c r="I575" s="94" t="str">
        <f>IF(F575="Skeet",IFERROR(INDEX('Shooter-Squad Assignment'!$A:$A,MATCH(C575&amp;"-"&amp;E575&amp;"-"&amp;F575&amp;"-Pos2",'Shooter-Squad Assignment'!$K:$K,0)),""),IF(F575="Trap",IFERROR(INDEX('Shooter-Squad Assignment'!$A:$A,MATCH(C575&amp;"-"&amp;E575&amp;"-"&amp;F575&amp;"-Pos2",'Shooter-Squad Assignment'!$W:$W,0)),""),IF(F575="Sporting Clays",IFERROR(INDEX('Shooter-Squad Assignment'!$A:$A,MATCH(C575&amp;"-"&amp;E575&amp;"-"&amp;F575&amp;"-Pos2",'Shooter-Squad Assignment'!$Z:$Z,0)),""),"")))</f>
        <v/>
      </c>
      <c r="J575" s="73" t="str">
        <f>IF(ISBLANK(I575),"",IFERROR(INDEX('Tournament List'!$D:$D,MATCH(I575,'Tournament List'!$A:$A,0)),""))</f>
        <v/>
      </c>
      <c r="K575" s="94" t="str">
        <f>IF(F575="Skeet",IFERROR(INDEX('Shooter-Squad Assignment'!$A:$A,MATCH(C575&amp;"-"&amp;E575&amp;"-"&amp;F575&amp;"-Pos3",'Shooter-Squad Assignment'!$K:$K,0)),""),IF(F575="Trap",IFERROR(INDEX('Shooter-Squad Assignment'!$A:$A,MATCH(C575&amp;"-"&amp;E575&amp;"-"&amp;F575&amp;"-Pos3",'Shooter-Squad Assignment'!$W:$W,0)),""),IF(F575="Sporting Clays",IFERROR(INDEX('Shooter-Squad Assignment'!$A:$A,MATCH(C575&amp;"-"&amp;E575&amp;"-"&amp;F575&amp;"-Pos3",'Shooter-Squad Assignment'!$Z:$Z,0)),""),"")))</f>
        <v/>
      </c>
      <c r="L575" s="73" t="str">
        <f>IF(ISBLANK(K575),"",IFERROR(INDEX('Tournament List'!$D:$D,MATCH(K575,'Tournament List'!$A:$A,0)),""))</f>
        <v/>
      </c>
      <c r="M575" s="94" t="str">
        <f>IF(F575="Skeet",IFERROR(INDEX('Shooter-Squad Assignment'!$A:$A,MATCH(C575&amp;"-"&amp;E575&amp;"-"&amp;F575&amp;"-Pos4",'Shooter-Squad Assignment'!$K:$K,0)),""),IF(F575="Trap",IFERROR(INDEX('Shooter-Squad Assignment'!$A:$A,MATCH(C575&amp;"-"&amp;E575&amp;"-"&amp;F575&amp;"-Pos4",'Shooter-Squad Assignment'!$W:$W,0)),""),IF(F575="Sporting Clays",IFERROR(INDEX('Shooter-Squad Assignment'!$A:$A,MATCH(C575&amp;"-"&amp;E575&amp;"-"&amp;F575&amp;"-Pos4",'Shooter-Squad Assignment'!$Z:$Z,0)),""),"")))</f>
        <v/>
      </c>
      <c r="N575" s="73" t="str">
        <f>IF(ISBLANK(M575),"",IFERROR(INDEX('Tournament List'!$D:$D,MATCH(M575,'Tournament List'!$A:$A,0)),""))</f>
        <v/>
      </c>
      <c r="O575" s="94" t="str">
        <f>IF(F575="Skeet",IFERROR(INDEX('Shooter-Squad Assignment'!$A:$A,MATCH(C575&amp;"-"&amp;E575&amp;"-"&amp;F575&amp;"-Pos5",'Shooter-Squad Assignment'!$K:$K,0)),""),IF(F575="Trap",IFERROR(INDEX('Shooter-Squad Assignment'!$A:$A,MATCH(C575&amp;"-"&amp;E575&amp;"-"&amp;F575&amp;"-Pos5",'Shooter-Squad Assignment'!$W:$W,0)),""),IF(F575="Sporting Clays",IFERROR(INDEX('Shooter-Squad Assignment'!$A:$A,MATCH(C575&amp;"-"&amp;E575&amp;"-"&amp;F575&amp;"-Pos5",'Shooter-Squad Assignment'!$Z:$Z,0)),""),"")))</f>
        <v/>
      </c>
      <c r="P575" s="79" t="str">
        <f>IF(ISBLANK(O575),"",IFERROR(INDEX('Tournament List'!$D:$D,MATCH(O575,'Tournament List'!$A:$A,0)),""))</f>
        <v/>
      </c>
    </row>
    <row r="576" spans="1:16" x14ac:dyDescent="0.3">
      <c r="A576" s="78">
        <v>575</v>
      </c>
      <c r="B576" s="73" t="str">
        <f>C576&amp;"-"&amp;E576&amp;"-"&amp;F576</f>
        <v>-Intermediate 2-Skeet</v>
      </c>
      <c r="C576" s="73"/>
      <c r="D576" s="73" t="str">
        <f>INDEX('Tournament Setup'!$B$59:$B$78,MATCH(E576,SquadConcurrents,0))</f>
        <v>Intermediate</v>
      </c>
      <c r="E576" s="73" t="s">
        <v>344</v>
      </c>
      <c r="F576" s="73" t="s">
        <v>143</v>
      </c>
      <c r="G576" s="94" t="str">
        <f>IF(F576="Skeet",IFERROR(INDEX('Shooter-Squad Assignment'!$A:$A,MATCH(C576&amp;"-"&amp;E576&amp;"-"&amp;F576&amp;"-Pos1",'Shooter-Squad Assignment'!$K:$K,0)),""),IF(F576="Trap",IFERROR(INDEX('Shooter-Squad Assignment'!$A:$A,MATCH(C576&amp;"-"&amp;E576&amp;"-"&amp;F576&amp;"-Pos1",'Shooter-Squad Assignment'!$W:$W,0)),""),IF(F576="Sporting Clays",IFERROR(INDEX('Shooter-Squad Assignment'!$A:$A,MATCH(C576&amp;"-"&amp;E576&amp;"-"&amp;F576&amp;"-Pos1",'Shooter-Squad Assignment'!$Z:$Z,0)),""),"")))</f>
        <v/>
      </c>
      <c r="H576" s="73" t="str">
        <f>IF(ISBLANK(G576),"",IFERROR(INDEX('Tournament List'!$D:$D,MATCH(G576,'Tournament List'!$A:$A,0)),""))</f>
        <v/>
      </c>
      <c r="I576" s="94" t="str">
        <f>IF(F576="Skeet",IFERROR(INDEX('Shooter-Squad Assignment'!$A:$A,MATCH(C576&amp;"-"&amp;E576&amp;"-"&amp;F576&amp;"-Pos2",'Shooter-Squad Assignment'!$K:$K,0)),""),IF(F576="Trap",IFERROR(INDEX('Shooter-Squad Assignment'!$A:$A,MATCH(C576&amp;"-"&amp;E576&amp;"-"&amp;F576&amp;"-Pos2",'Shooter-Squad Assignment'!$W:$W,0)),""),IF(F576="Sporting Clays",IFERROR(INDEX('Shooter-Squad Assignment'!$A:$A,MATCH(C576&amp;"-"&amp;E576&amp;"-"&amp;F576&amp;"-Pos2",'Shooter-Squad Assignment'!$Z:$Z,0)),""),"")))</f>
        <v/>
      </c>
      <c r="J576" s="73" t="str">
        <f>IF(ISBLANK(I576),"",IFERROR(INDEX('Tournament List'!$D:$D,MATCH(I576,'Tournament List'!$A:$A,0)),""))</f>
        <v/>
      </c>
      <c r="K576" s="94" t="str">
        <f>IF(F576="Skeet",IFERROR(INDEX('Shooter-Squad Assignment'!$A:$A,MATCH(C576&amp;"-"&amp;E576&amp;"-"&amp;F576&amp;"-Pos3",'Shooter-Squad Assignment'!$K:$K,0)),""),IF(F576="Trap",IFERROR(INDEX('Shooter-Squad Assignment'!$A:$A,MATCH(C576&amp;"-"&amp;E576&amp;"-"&amp;F576&amp;"-Pos3",'Shooter-Squad Assignment'!$W:$W,0)),""),IF(F576="Sporting Clays",IFERROR(INDEX('Shooter-Squad Assignment'!$A:$A,MATCH(C576&amp;"-"&amp;E576&amp;"-"&amp;F576&amp;"-Pos3",'Shooter-Squad Assignment'!$Z:$Z,0)),""),"")))</f>
        <v/>
      </c>
      <c r="L576" s="73" t="str">
        <f>IF(ISBLANK(K576),"",IFERROR(INDEX('Tournament List'!$D:$D,MATCH(K576,'Tournament List'!$A:$A,0)),""))</f>
        <v/>
      </c>
      <c r="M576" s="94" t="str">
        <f>IF(F576="Skeet",IFERROR(INDEX('Shooter-Squad Assignment'!$A:$A,MATCH(C576&amp;"-"&amp;E576&amp;"-"&amp;F576&amp;"-Pos4",'Shooter-Squad Assignment'!$K:$K,0)),""),IF(F576="Trap",IFERROR(INDEX('Shooter-Squad Assignment'!$A:$A,MATCH(C576&amp;"-"&amp;E576&amp;"-"&amp;F576&amp;"-Pos4",'Shooter-Squad Assignment'!$W:$W,0)),""),IF(F576="Sporting Clays",IFERROR(INDEX('Shooter-Squad Assignment'!$A:$A,MATCH(C576&amp;"-"&amp;E576&amp;"-"&amp;F576&amp;"-Pos4",'Shooter-Squad Assignment'!$Z:$Z,0)),""),"")))</f>
        <v/>
      </c>
      <c r="N576" s="73" t="str">
        <f>IF(ISBLANK(M576),"",IFERROR(INDEX('Tournament List'!$D:$D,MATCH(M576,'Tournament List'!$A:$A,0)),""))</f>
        <v/>
      </c>
      <c r="O576" s="94" t="str">
        <f>IF(F576="Skeet",IFERROR(INDEX('Shooter-Squad Assignment'!$A:$A,MATCH(C576&amp;"-"&amp;E576&amp;"-"&amp;F576&amp;"-Pos5",'Shooter-Squad Assignment'!$K:$K,0)),""),IF(F576="Trap",IFERROR(INDEX('Shooter-Squad Assignment'!$A:$A,MATCH(C576&amp;"-"&amp;E576&amp;"-"&amp;F576&amp;"-Pos5",'Shooter-Squad Assignment'!$W:$W,0)),""),IF(F576="Sporting Clays",IFERROR(INDEX('Shooter-Squad Assignment'!$A:$A,MATCH(C576&amp;"-"&amp;E576&amp;"-"&amp;F576&amp;"-Pos5",'Shooter-Squad Assignment'!$Z:$Z,0)),""),"")))</f>
        <v/>
      </c>
      <c r="P576" s="79" t="str">
        <f>IF(ISBLANK(O576),"",IFERROR(INDEX('Tournament List'!$D:$D,MATCH(O576,'Tournament List'!$A:$A,0)),""))</f>
        <v/>
      </c>
    </row>
    <row r="577" spans="1:16" x14ac:dyDescent="0.3">
      <c r="A577" s="78">
        <v>576</v>
      </c>
      <c r="B577" s="73" t="str">
        <f>C577&amp;"-"&amp;E577&amp;"-"&amp;F577</f>
        <v>-Intermediate 3-Skeet</v>
      </c>
      <c r="C577" s="73"/>
      <c r="D577" s="73" t="str">
        <f>INDEX('Tournament Setup'!$B$59:$B$78,MATCH(E577,SquadConcurrents,0))</f>
        <v>Intermediate</v>
      </c>
      <c r="E577" s="73" t="s">
        <v>350</v>
      </c>
      <c r="F577" s="73" t="s">
        <v>143</v>
      </c>
      <c r="G577" s="94" t="str">
        <f>IF(F577="Skeet",IFERROR(INDEX('Shooter-Squad Assignment'!$A:$A,MATCH(C577&amp;"-"&amp;E577&amp;"-"&amp;F577&amp;"-Pos1",'Shooter-Squad Assignment'!$K:$K,0)),""),IF(F577="Trap",IFERROR(INDEX('Shooter-Squad Assignment'!$A:$A,MATCH(C577&amp;"-"&amp;E577&amp;"-"&amp;F577&amp;"-Pos1",'Shooter-Squad Assignment'!$W:$W,0)),""),IF(F577="Sporting Clays",IFERROR(INDEX('Shooter-Squad Assignment'!$A:$A,MATCH(C577&amp;"-"&amp;E577&amp;"-"&amp;F577&amp;"-Pos1",'Shooter-Squad Assignment'!$Z:$Z,0)),""),"")))</f>
        <v/>
      </c>
      <c r="H577" s="73" t="str">
        <f>IF(ISBLANK(G577),"",IFERROR(INDEX('Tournament List'!$D:$D,MATCH(G577,'Tournament List'!$A:$A,0)),""))</f>
        <v/>
      </c>
      <c r="I577" s="94" t="str">
        <f>IF(F577="Skeet",IFERROR(INDEX('Shooter-Squad Assignment'!$A:$A,MATCH(C577&amp;"-"&amp;E577&amp;"-"&amp;F577&amp;"-Pos2",'Shooter-Squad Assignment'!$K:$K,0)),""),IF(F577="Trap",IFERROR(INDEX('Shooter-Squad Assignment'!$A:$A,MATCH(C577&amp;"-"&amp;E577&amp;"-"&amp;F577&amp;"-Pos2",'Shooter-Squad Assignment'!$W:$W,0)),""),IF(F577="Sporting Clays",IFERROR(INDEX('Shooter-Squad Assignment'!$A:$A,MATCH(C577&amp;"-"&amp;E577&amp;"-"&amp;F577&amp;"-Pos2",'Shooter-Squad Assignment'!$Z:$Z,0)),""),"")))</f>
        <v/>
      </c>
      <c r="J577" s="73" t="str">
        <f>IF(ISBLANK(I577),"",IFERROR(INDEX('Tournament List'!$D:$D,MATCH(I577,'Tournament List'!$A:$A,0)),""))</f>
        <v/>
      </c>
      <c r="K577" s="94" t="str">
        <f>IF(F577="Skeet",IFERROR(INDEX('Shooter-Squad Assignment'!$A:$A,MATCH(C577&amp;"-"&amp;E577&amp;"-"&amp;F577&amp;"-Pos3",'Shooter-Squad Assignment'!$K:$K,0)),""),IF(F577="Trap",IFERROR(INDEX('Shooter-Squad Assignment'!$A:$A,MATCH(C577&amp;"-"&amp;E577&amp;"-"&amp;F577&amp;"-Pos3",'Shooter-Squad Assignment'!$W:$W,0)),""),IF(F577="Sporting Clays",IFERROR(INDEX('Shooter-Squad Assignment'!$A:$A,MATCH(C577&amp;"-"&amp;E577&amp;"-"&amp;F577&amp;"-Pos3",'Shooter-Squad Assignment'!$Z:$Z,0)),""),"")))</f>
        <v/>
      </c>
      <c r="L577" s="73" t="str">
        <f>IF(ISBLANK(K577),"",IFERROR(INDEX('Tournament List'!$D:$D,MATCH(K577,'Tournament List'!$A:$A,0)),""))</f>
        <v/>
      </c>
      <c r="M577" s="94" t="str">
        <f>IF(F577="Skeet",IFERROR(INDEX('Shooter-Squad Assignment'!$A:$A,MATCH(C577&amp;"-"&amp;E577&amp;"-"&amp;F577&amp;"-Pos4",'Shooter-Squad Assignment'!$K:$K,0)),""),IF(F577="Trap",IFERROR(INDEX('Shooter-Squad Assignment'!$A:$A,MATCH(C577&amp;"-"&amp;E577&amp;"-"&amp;F577&amp;"-Pos4",'Shooter-Squad Assignment'!$W:$W,0)),""),IF(F577="Sporting Clays",IFERROR(INDEX('Shooter-Squad Assignment'!$A:$A,MATCH(C577&amp;"-"&amp;E577&amp;"-"&amp;F577&amp;"-Pos4",'Shooter-Squad Assignment'!$Z:$Z,0)),""),"")))</f>
        <v/>
      </c>
      <c r="N577" s="73" t="str">
        <f>IF(ISBLANK(M577),"",IFERROR(INDEX('Tournament List'!$D:$D,MATCH(M577,'Tournament List'!$A:$A,0)),""))</f>
        <v/>
      </c>
      <c r="O577" s="94" t="str">
        <f>IF(F577="Skeet",IFERROR(INDEX('Shooter-Squad Assignment'!$A:$A,MATCH(C577&amp;"-"&amp;E577&amp;"-"&amp;F577&amp;"-Pos5",'Shooter-Squad Assignment'!$K:$K,0)),""),IF(F577="Trap",IFERROR(INDEX('Shooter-Squad Assignment'!$A:$A,MATCH(C577&amp;"-"&amp;E577&amp;"-"&amp;F577&amp;"-Pos5",'Shooter-Squad Assignment'!$W:$W,0)),""),IF(F577="Sporting Clays",IFERROR(INDEX('Shooter-Squad Assignment'!$A:$A,MATCH(C577&amp;"-"&amp;E577&amp;"-"&amp;F577&amp;"-Pos5",'Shooter-Squad Assignment'!$Z:$Z,0)),""),"")))</f>
        <v/>
      </c>
      <c r="P577" s="79" t="str">
        <f>IF(ISBLANK(O577),"",IFERROR(INDEX('Tournament List'!$D:$D,MATCH(O577,'Tournament List'!$A:$A,0)),""))</f>
        <v/>
      </c>
    </row>
    <row r="578" spans="1:16" x14ac:dyDescent="0.3">
      <c r="A578" s="78">
        <v>577</v>
      </c>
      <c r="B578" s="73" t="str">
        <f>C578&amp;"-"&amp;E578&amp;"-"&amp;F578</f>
        <v>-Junior Varsity 1-Skeet</v>
      </c>
      <c r="C578" s="73"/>
      <c r="D578" s="73" t="str">
        <f>INDEX('Tournament Setup'!$B$59:$B$78,MATCH(E578,SquadConcurrents,0))</f>
        <v>Junior Varsity</v>
      </c>
      <c r="E578" s="73" t="s">
        <v>339</v>
      </c>
      <c r="F578" s="73" t="s">
        <v>143</v>
      </c>
      <c r="G578" s="94" t="str">
        <f>IF(F578="Skeet",IFERROR(INDEX('Shooter-Squad Assignment'!$A:$A,MATCH(C578&amp;"-"&amp;E578&amp;"-"&amp;F578&amp;"-Pos1",'Shooter-Squad Assignment'!$K:$K,0)),""),IF(F578="Trap",IFERROR(INDEX('Shooter-Squad Assignment'!$A:$A,MATCH(C578&amp;"-"&amp;E578&amp;"-"&amp;F578&amp;"-Pos1",'Shooter-Squad Assignment'!$W:$W,0)),""),IF(F578="Sporting Clays",IFERROR(INDEX('Shooter-Squad Assignment'!$A:$A,MATCH(C578&amp;"-"&amp;E578&amp;"-"&amp;F578&amp;"-Pos1",'Shooter-Squad Assignment'!$Z:$Z,0)),""),"")))</f>
        <v/>
      </c>
      <c r="H578" s="73" t="str">
        <f>IF(ISBLANK(G578),"",IFERROR(INDEX('Tournament List'!$D:$D,MATCH(G578,'Tournament List'!$A:$A,0)),""))</f>
        <v/>
      </c>
      <c r="I578" s="94" t="str">
        <f>IF(F578="Skeet",IFERROR(INDEX('Shooter-Squad Assignment'!$A:$A,MATCH(C578&amp;"-"&amp;E578&amp;"-"&amp;F578&amp;"-Pos2",'Shooter-Squad Assignment'!$K:$K,0)),""),IF(F578="Trap",IFERROR(INDEX('Shooter-Squad Assignment'!$A:$A,MATCH(C578&amp;"-"&amp;E578&amp;"-"&amp;F578&amp;"-Pos2",'Shooter-Squad Assignment'!$W:$W,0)),""),IF(F578="Sporting Clays",IFERROR(INDEX('Shooter-Squad Assignment'!$A:$A,MATCH(C578&amp;"-"&amp;E578&amp;"-"&amp;F578&amp;"-Pos2",'Shooter-Squad Assignment'!$Z:$Z,0)),""),"")))</f>
        <v/>
      </c>
      <c r="J578" s="73" t="str">
        <f>IF(ISBLANK(I578),"",IFERROR(INDEX('Tournament List'!$D:$D,MATCH(I578,'Tournament List'!$A:$A,0)),""))</f>
        <v/>
      </c>
      <c r="K578" s="94" t="str">
        <f>IF(F578="Skeet",IFERROR(INDEX('Shooter-Squad Assignment'!$A:$A,MATCH(C578&amp;"-"&amp;E578&amp;"-"&amp;F578&amp;"-Pos3",'Shooter-Squad Assignment'!$K:$K,0)),""),IF(F578="Trap",IFERROR(INDEX('Shooter-Squad Assignment'!$A:$A,MATCH(C578&amp;"-"&amp;E578&amp;"-"&amp;F578&amp;"-Pos3",'Shooter-Squad Assignment'!$W:$W,0)),""),IF(F578="Sporting Clays",IFERROR(INDEX('Shooter-Squad Assignment'!$A:$A,MATCH(C578&amp;"-"&amp;E578&amp;"-"&amp;F578&amp;"-Pos3",'Shooter-Squad Assignment'!$Z:$Z,0)),""),"")))</f>
        <v/>
      </c>
      <c r="L578" s="73" t="str">
        <f>IF(ISBLANK(K578),"",IFERROR(INDEX('Tournament List'!$D:$D,MATCH(K578,'Tournament List'!$A:$A,0)),""))</f>
        <v/>
      </c>
      <c r="M578" s="94" t="str">
        <f>IF(F578="Skeet",IFERROR(INDEX('Shooter-Squad Assignment'!$A:$A,MATCH(C578&amp;"-"&amp;E578&amp;"-"&amp;F578&amp;"-Pos4",'Shooter-Squad Assignment'!$K:$K,0)),""),IF(F578="Trap",IFERROR(INDEX('Shooter-Squad Assignment'!$A:$A,MATCH(C578&amp;"-"&amp;E578&amp;"-"&amp;F578&amp;"-Pos4",'Shooter-Squad Assignment'!$W:$W,0)),""),IF(F578="Sporting Clays",IFERROR(INDEX('Shooter-Squad Assignment'!$A:$A,MATCH(C578&amp;"-"&amp;E578&amp;"-"&amp;F578&amp;"-Pos4",'Shooter-Squad Assignment'!$Z:$Z,0)),""),"")))</f>
        <v/>
      </c>
      <c r="N578" s="73" t="str">
        <f>IF(ISBLANK(M578),"",IFERROR(INDEX('Tournament List'!$D:$D,MATCH(M578,'Tournament List'!$A:$A,0)),""))</f>
        <v/>
      </c>
      <c r="O578" s="94" t="str">
        <f>IF(F578="Skeet",IFERROR(INDEX('Shooter-Squad Assignment'!$A:$A,MATCH(C578&amp;"-"&amp;E578&amp;"-"&amp;F578&amp;"-Pos5",'Shooter-Squad Assignment'!$K:$K,0)),""),IF(F578="Trap",IFERROR(INDEX('Shooter-Squad Assignment'!$A:$A,MATCH(C578&amp;"-"&amp;E578&amp;"-"&amp;F578&amp;"-Pos5",'Shooter-Squad Assignment'!$W:$W,0)),""),IF(F578="Sporting Clays",IFERROR(INDEX('Shooter-Squad Assignment'!$A:$A,MATCH(C578&amp;"-"&amp;E578&amp;"-"&amp;F578&amp;"-Pos5",'Shooter-Squad Assignment'!$Z:$Z,0)),""),"")))</f>
        <v/>
      </c>
      <c r="P578" s="79" t="str">
        <f>IF(ISBLANK(O578),"",IFERROR(INDEX('Tournament List'!$D:$D,MATCH(O578,'Tournament List'!$A:$A,0)),""))</f>
        <v/>
      </c>
    </row>
    <row r="579" spans="1:16" x14ac:dyDescent="0.3">
      <c r="A579" s="78">
        <v>578</v>
      </c>
      <c r="B579" s="73" t="str">
        <f>C579&amp;"-"&amp;E579&amp;"-"&amp;F579</f>
        <v>-Junior Varsity 2-Skeet</v>
      </c>
      <c r="C579" s="73"/>
      <c r="D579" s="73" t="str">
        <f>INDEX('Tournament Setup'!$B$59:$B$78,MATCH(E579,SquadConcurrents,0))</f>
        <v>Junior Varsity</v>
      </c>
      <c r="E579" s="73" t="s">
        <v>345</v>
      </c>
      <c r="F579" s="73" t="s">
        <v>143</v>
      </c>
      <c r="G579" s="94" t="str">
        <f>IF(F579="Skeet",IFERROR(INDEX('Shooter-Squad Assignment'!$A:$A,MATCH(C579&amp;"-"&amp;E579&amp;"-"&amp;F579&amp;"-Pos1",'Shooter-Squad Assignment'!$K:$K,0)),""),IF(F579="Trap",IFERROR(INDEX('Shooter-Squad Assignment'!$A:$A,MATCH(C579&amp;"-"&amp;E579&amp;"-"&amp;F579&amp;"-Pos1",'Shooter-Squad Assignment'!$W:$W,0)),""),IF(F579="Sporting Clays",IFERROR(INDEX('Shooter-Squad Assignment'!$A:$A,MATCH(C579&amp;"-"&amp;E579&amp;"-"&amp;F579&amp;"-Pos1",'Shooter-Squad Assignment'!$Z:$Z,0)),""),"")))</f>
        <v/>
      </c>
      <c r="H579" s="73" t="str">
        <f>IF(ISBLANK(G579),"",IFERROR(INDEX('Tournament List'!$D:$D,MATCH(G579,'Tournament List'!$A:$A,0)),""))</f>
        <v/>
      </c>
      <c r="I579" s="94" t="str">
        <f>IF(F579="Skeet",IFERROR(INDEX('Shooter-Squad Assignment'!$A:$A,MATCH(C579&amp;"-"&amp;E579&amp;"-"&amp;F579&amp;"-Pos2",'Shooter-Squad Assignment'!$K:$K,0)),""),IF(F579="Trap",IFERROR(INDEX('Shooter-Squad Assignment'!$A:$A,MATCH(C579&amp;"-"&amp;E579&amp;"-"&amp;F579&amp;"-Pos2",'Shooter-Squad Assignment'!$W:$W,0)),""),IF(F579="Sporting Clays",IFERROR(INDEX('Shooter-Squad Assignment'!$A:$A,MATCH(C579&amp;"-"&amp;E579&amp;"-"&amp;F579&amp;"-Pos2",'Shooter-Squad Assignment'!$Z:$Z,0)),""),"")))</f>
        <v/>
      </c>
      <c r="J579" s="73" t="str">
        <f>IF(ISBLANK(I579),"",IFERROR(INDEX('Tournament List'!$D:$D,MATCH(I579,'Tournament List'!$A:$A,0)),""))</f>
        <v/>
      </c>
      <c r="K579" s="94" t="str">
        <f>IF(F579="Skeet",IFERROR(INDEX('Shooter-Squad Assignment'!$A:$A,MATCH(C579&amp;"-"&amp;E579&amp;"-"&amp;F579&amp;"-Pos3",'Shooter-Squad Assignment'!$K:$K,0)),""),IF(F579="Trap",IFERROR(INDEX('Shooter-Squad Assignment'!$A:$A,MATCH(C579&amp;"-"&amp;E579&amp;"-"&amp;F579&amp;"-Pos3",'Shooter-Squad Assignment'!$W:$W,0)),""),IF(F579="Sporting Clays",IFERROR(INDEX('Shooter-Squad Assignment'!$A:$A,MATCH(C579&amp;"-"&amp;E579&amp;"-"&amp;F579&amp;"-Pos3",'Shooter-Squad Assignment'!$Z:$Z,0)),""),"")))</f>
        <v/>
      </c>
      <c r="L579" s="73" t="str">
        <f>IF(ISBLANK(K579),"",IFERROR(INDEX('Tournament List'!$D:$D,MATCH(K579,'Tournament List'!$A:$A,0)),""))</f>
        <v/>
      </c>
      <c r="M579" s="94" t="str">
        <f>IF(F579="Skeet",IFERROR(INDEX('Shooter-Squad Assignment'!$A:$A,MATCH(C579&amp;"-"&amp;E579&amp;"-"&amp;F579&amp;"-Pos4",'Shooter-Squad Assignment'!$K:$K,0)),""),IF(F579="Trap",IFERROR(INDEX('Shooter-Squad Assignment'!$A:$A,MATCH(C579&amp;"-"&amp;E579&amp;"-"&amp;F579&amp;"-Pos4",'Shooter-Squad Assignment'!$W:$W,0)),""),IF(F579="Sporting Clays",IFERROR(INDEX('Shooter-Squad Assignment'!$A:$A,MATCH(C579&amp;"-"&amp;E579&amp;"-"&amp;F579&amp;"-Pos4",'Shooter-Squad Assignment'!$Z:$Z,0)),""),"")))</f>
        <v/>
      </c>
      <c r="N579" s="73" t="str">
        <f>IF(ISBLANK(M579),"",IFERROR(INDEX('Tournament List'!$D:$D,MATCH(M579,'Tournament List'!$A:$A,0)),""))</f>
        <v/>
      </c>
      <c r="O579" s="94" t="str">
        <f>IF(F579="Skeet",IFERROR(INDEX('Shooter-Squad Assignment'!$A:$A,MATCH(C579&amp;"-"&amp;E579&amp;"-"&amp;F579&amp;"-Pos5",'Shooter-Squad Assignment'!$K:$K,0)),""),IF(F579="Trap",IFERROR(INDEX('Shooter-Squad Assignment'!$A:$A,MATCH(C579&amp;"-"&amp;E579&amp;"-"&amp;F579&amp;"-Pos5",'Shooter-Squad Assignment'!$W:$W,0)),""),IF(F579="Sporting Clays",IFERROR(INDEX('Shooter-Squad Assignment'!$A:$A,MATCH(C579&amp;"-"&amp;E579&amp;"-"&amp;F579&amp;"-Pos5",'Shooter-Squad Assignment'!$Z:$Z,0)),""),"")))</f>
        <v/>
      </c>
      <c r="P579" s="79" t="str">
        <f>IF(ISBLANK(O579),"",IFERROR(INDEX('Tournament List'!$D:$D,MATCH(O579,'Tournament List'!$A:$A,0)),""))</f>
        <v/>
      </c>
    </row>
    <row r="580" spans="1:16" x14ac:dyDescent="0.3">
      <c r="A580" s="78">
        <v>579</v>
      </c>
      <c r="B580" s="73" t="str">
        <f>C580&amp;"-"&amp;E580&amp;"-"&amp;F580</f>
        <v>-Junior Varsity 3-Skeet</v>
      </c>
      <c r="C580" s="73"/>
      <c r="D580" s="73" t="str">
        <f>INDEX('Tournament Setup'!$B$59:$B$78,MATCH(E580,SquadConcurrents,0))</f>
        <v>Junior Varsity</v>
      </c>
      <c r="E580" s="73" t="s">
        <v>351</v>
      </c>
      <c r="F580" s="73" t="s">
        <v>143</v>
      </c>
      <c r="G580" s="94" t="str">
        <f>IF(F580="Skeet",IFERROR(INDEX('Shooter-Squad Assignment'!$A:$A,MATCH(C580&amp;"-"&amp;E580&amp;"-"&amp;F580&amp;"-Pos1",'Shooter-Squad Assignment'!$K:$K,0)),""),IF(F580="Trap",IFERROR(INDEX('Shooter-Squad Assignment'!$A:$A,MATCH(C580&amp;"-"&amp;E580&amp;"-"&amp;F580&amp;"-Pos1",'Shooter-Squad Assignment'!$W:$W,0)),""),IF(F580="Sporting Clays",IFERROR(INDEX('Shooter-Squad Assignment'!$A:$A,MATCH(C580&amp;"-"&amp;E580&amp;"-"&amp;F580&amp;"-Pos1",'Shooter-Squad Assignment'!$Z:$Z,0)),""),"")))</f>
        <v/>
      </c>
      <c r="H580" s="73" t="str">
        <f>IF(ISBLANK(G580),"",IFERROR(INDEX('Tournament List'!$D:$D,MATCH(G580,'Tournament List'!$A:$A,0)),""))</f>
        <v/>
      </c>
      <c r="I580" s="94" t="str">
        <f>IF(F580="Skeet",IFERROR(INDEX('Shooter-Squad Assignment'!$A:$A,MATCH(C580&amp;"-"&amp;E580&amp;"-"&amp;F580&amp;"-Pos2",'Shooter-Squad Assignment'!$K:$K,0)),""),IF(F580="Trap",IFERROR(INDEX('Shooter-Squad Assignment'!$A:$A,MATCH(C580&amp;"-"&amp;E580&amp;"-"&amp;F580&amp;"-Pos2",'Shooter-Squad Assignment'!$W:$W,0)),""),IF(F580="Sporting Clays",IFERROR(INDEX('Shooter-Squad Assignment'!$A:$A,MATCH(C580&amp;"-"&amp;E580&amp;"-"&amp;F580&amp;"-Pos2",'Shooter-Squad Assignment'!$Z:$Z,0)),""),"")))</f>
        <v/>
      </c>
      <c r="J580" s="73" t="str">
        <f>IF(ISBLANK(I580),"",IFERROR(INDEX('Tournament List'!$D:$D,MATCH(I580,'Tournament List'!$A:$A,0)),""))</f>
        <v/>
      </c>
      <c r="K580" s="94" t="str">
        <f>IF(F580="Skeet",IFERROR(INDEX('Shooter-Squad Assignment'!$A:$A,MATCH(C580&amp;"-"&amp;E580&amp;"-"&amp;F580&amp;"-Pos3",'Shooter-Squad Assignment'!$K:$K,0)),""),IF(F580="Trap",IFERROR(INDEX('Shooter-Squad Assignment'!$A:$A,MATCH(C580&amp;"-"&amp;E580&amp;"-"&amp;F580&amp;"-Pos3",'Shooter-Squad Assignment'!$W:$W,0)),""),IF(F580="Sporting Clays",IFERROR(INDEX('Shooter-Squad Assignment'!$A:$A,MATCH(C580&amp;"-"&amp;E580&amp;"-"&amp;F580&amp;"-Pos3",'Shooter-Squad Assignment'!$Z:$Z,0)),""),"")))</f>
        <v/>
      </c>
      <c r="L580" s="73" t="str">
        <f>IF(ISBLANK(K580),"",IFERROR(INDEX('Tournament List'!$D:$D,MATCH(K580,'Tournament List'!$A:$A,0)),""))</f>
        <v/>
      </c>
      <c r="M580" s="94" t="str">
        <f>IF(F580="Skeet",IFERROR(INDEX('Shooter-Squad Assignment'!$A:$A,MATCH(C580&amp;"-"&amp;E580&amp;"-"&amp;F580&amp;"-Pos4",'Shooter-Squad Assignment'!$K:$K,0)),""),IF(F580="Trap",IFERROR(INDEX('Shooter-Squad Assignment'!$A:$A,MATCH(C580&amp;"-"&amp;E580&amp;"-"&amp;F580&amp;"-Pos4",'Shooter-Squad Assignment'!$W:$W,0)),""),IF(F580="Sporting Clays",IFERROR(INDEX('Shooter-Squad Assignment'!$A:$A,MATCH(C580&amp;"-"&amp;E580&amp;"-"&amp;F580&amp;"-Pos4",'Shooter-Squad Assignment'!$Z:$Z,0)),""),"")))</f>
        <v/>
      </c>
      <c r="N580" s="73" t="str">
        <f>IF(ISBLANK(M580),"",IFERROR(INDEX('Tournament List'!$D:$D,MATCH(M580,'Tournament List'!$A:$A,0)),""))</f>
        <v/>
      </c>
      <c r="O580" s="94" t="str">
        <f>IF(F580="Skeet",IFERROR(INDEX('Shooter-Squad Assignment'!$A:$A,MATCH(C580&amp;"-"&amp;E580&amp;"-"&amp;F580&amp;"-Pos5",'Shooter-Squad Assignment'!$K:$K,0)),""),IF(F580="Trap",IFERROR(INDEX('Shooter-Squad Assignment'!$A:$A,MATCH(C580&amp;"-"&amp;E580&amp;"-"&amp;F580&amp;"-Pos5",'Shooter-Squad Assignment'!$W:$W,0)),""),IF(F580="Sporting Clays",IFERROR(INDEX('Shooter-Squad Assignment'!$A:$A,MATCH(C580&amp;"-"&amp;E580&amp;"-"&amp;F580&amp;"-Pos5",'Shooter-Squad Assignment'!$Z:$Z,0)),""),"")))</f>
        <v/>
      </c>
      <c r="P580" s="79" t="str">
        <f>IF(ISBLANK(O580),"",IFERROR(INDEX('Tournament List'!$D:$D,MATCH(O580,'Tournament List'!$A:$A,0)),""))</f>
        <v/>
      </c>
    </row>
    <row r="581" spans="1:16" x14ac:dyDescent="0.3">
      <c r="A581" s="78">
        <v>580</v>
      </c>
      <c r="B581" s="73" t="str">
        <f>C581&amp;"-"&amp;E581&amp;"-"&amp;F581</f>
        <v>-Novice 1-Skeet</v>
      </c>
      <c r="C581" s="73"/>
      <c r="D581" s="73" t="str">
        <f>INDEX('Tournament Setup'!$B$59:$B$78,MATCH(E581,SquadConcurrents,0))</f>
        <v>Novice</v>
      </c>
      <c r="E581" s="73" t="s">
        <v>337</v>
      </c>
      <c r="F581" s="73" t="s">
        <v>143</v>
      </c>
      <c r="G581" s="94" t="str">
        <f>IF(F581="Skeet",IFERROR(INDEX('Shooter-Squad Assignment'!$A:$A,MATCH(C581&amp;"-"&amp;E581&amp;"-"&amp;F581&amp;"-Pos1",'Shooter-Squad Assignment'!$K:$K,0)),""),IF(F581="Trap",IFERROR(INDEX('Shooter-Squad Assignment'!$A:$A,MATCH(C581&amp;"-"&amp;E581&amp;"-"&amp;F581&amp;"-Pos1",'Shooter-Squad Assignment'!$W:$W,0)),""),IF(F581="Sporting Clays",IFERROR(INDEX('Shooter-Squad Assignment'!$A:$A,MATCH(C581&amp;"-"&amp;E581&amp;"-"&amp;F581&amp;"-Pos1",'Shooter-Squad Assignment'!$Z:$Z,0)),""),"")))</f>
        <v/>
      </c>
      <c r="H581" s="73" t="str">
        <f>IF(ISBLANK(G581),"",IFERROR(INDEX('Tournament List'!$D:$D,MATCH(G581,'Tournament List'!$A:$A,0)),""))</f>
        <v/>
      </c>
      <c r="I581" s="94" t="str">
        <f>IF(F581="Skeet",IFERROR(INDEX('Shooter-Squad Assignment'!$A:$A,MATCH(C581&amp;"-"&amp;E581&amp;"-"&amp;F581&amp;"-Pos2",'Shooter-Squad Assignment'!$K:$K,0)),""),IF(F581="Trap",IFERROR(INDEX('Shooter-Squad Assignment'!$A:$A,MATCH(C581&amp;"-"&amp;E581&amp;"-"&amp;F581&amp;"-Pos2",'Shooter-Squad Assignment'!$W:$W,0)),""),IF(F581="Sporting Clays",IFERROR(INDEX('Shooter-Squad Assignment'!$A:$A,MATCH(C581&amp;"-"&amp;E581&amp;"-"&amp;F581&amp;"-Pos2",'Shooter-Squad Assignment'!$Z:$Z,0)),""),"")))</f>
        <v/>
      </c>
      <c r="J581" s="73" t="str">
        <f>IF(ISBLANK(I581),"",IFERROR(INDEX('Tournament List'!$D:$D,MATCH(I581,'Tournament List'!$A:$A,0)),""))</f>
        <v/>
      </c>
      <c r="K581" s="94" t="str">
        <f>IF(F581="Skeet",IFERROR(INDEX('Shooter-Squad Assignment'!$A:$A,MATCH(C581&amp;"-"&amp;E581&amp;"-"&amp;F581&amp;"-Pos3",'Shooter-Squad Assignment'!$K:$K,0)),""),IF(F581="Trap",IFERROR(INDEX('Shooter-Squad Assignment'!$A:$A,MATCH(C581&amp;"-"&amp;E581&amp;"-"&amp;F581&amp;"-Pos3",'Shooter-Squad Assignment'!$W:$W,0)),""),IF(F581="Sporting Clays",IFERROR(INDEX('Shooter-Squad Assignment'!$A:$A,MATCH(C581&amp;"-"&amp;E581&amp;"-"&amp;F581&amp;"-Pos3",'Shooter-Squad Assignment'!$Z:$Z,0)),""),"")))</f>
        <v/>
      </c>
      <c r="L581" s="73" t="str">
        <f>IF(ISBLANK(K581),"",IFERROR(INDEX('Tournament List'!$D:$D,MATCH(K581,'Tournament List'!$A:$A,0)),""))</f>
        <v/>
      </c>
      <c r="M581" s="94" t="str">
        <f>IF(F581="Skeet",IFERROR(INDEX('Shooter-Squad Assignment'!$A:$A,MATCH(C581&amp;"-"&amp;E581&amp;"-"&amp;F581&amp;"-Pos4",'Shooter-Squad Assignment'!$K:$K,0)),""),IF(F581="Trap",IFERROR(INDEX('Shooter-Squad Assignment'!$A:$A,MATCH(C581&amp;"-"&amp;E581&amp;"-"&amp;F581&amp;"-Pos4",'Shooter-Squad Assignment'!$W:$W,0)),""),IF(F581="Sporting Clays",IFERROR(INDEX('Shooter-Squad Assignment'!$A:$A,MATCH(C581&amp;"-"&amp;E581&amp;"-"&amp;F581&amp;"-Pos4",'Shooter-Squad Assignment'!$Z:$Z,0)),""),"")))</f>
        <v/>
      </c>
      <c r="N581" s="73" t="str">
        <f>IF(ISBLANK(M581),"",IFERROR(INDEX('Tournament List'!$D:$D,MATCH(M581,'Tournament List'!$A:$A,0)),""))</f>
        <v/>
      </c>
      <c r="O581" s="94" t="str">
        <f>IF(F581="Skeet",IFERROR(INDEX('Shooter-Squad Assignment'!$A:$A,MATCH(C581&amp;"-"&amp;E581&amp;"-"&amp;F581&amp;"-Pos5",'Shooter-Squad Assignment'!$K:$K,0)),""),IF(F581="Trap",IFERROR(INDEX('Shooter-Squad Assignment'!$A:$A,MATCH(C581&amp;"-"&amp;E581&amp;"-"&amp;F581&amp;"-Pos5",'Shooter-Squad Assignment'!$W:$W,0)),""),IF(F581="Sporting Clays",IFERROR(INDEX('Shooter-Squad Assignment'!$A:$A,MATCH(C581&amp;"-"&amp;E581&amp;"-"&amp;F581&amp;"-Pos5",'Shooter-Squad Assignment'!$Z:$Z,0)),""),"")))</f>
        <v/>
      </c>
      <c r="P581" s="79" t="str">
        <f>IF(ISBLANK(O581),"",IFERROR(INDEX('Tournament List'!$D:$D,MATCH(O581,'Tournament List'!$A:$A,0)),""))</f>
        <v/>
      </c>
    </row>
    <row r="582" spans="1:16" x14ac:dyDescent="0.3">
      <c r="A582" s="78">
        <v>581</v>
      </c>
      <c r="B582" s="73" t="str">
        <f>C582&amp;"-"&amp;E582&amp;"-"&amp;F582</f>
        <v>-Novice 2-Skeet</v>
      </c>
      <c r="C582" s="73"/>
      <c r="D582" s="73" t="str">
        <f>INDEX('Tournament Setup'!$B$59:$B$78,MATCH(E582,SquadConcurrents,0))</f>
        <v>Novice</v>
      </c>
      <c r="E582" s="73" t="s">
        <v>343</v>
      </c>
      <c r="F582" s="73" t="s">
        <v>143</v>
      </c>
      <c r="G582" s="94" t="str">
        <f>IF(F582="Skeet",IFERROR(INDEX('Shooter-Squad Assignment'!$A:$A,MATCH(C582&amp;"-"&amp;E582&amp;"-"&amp;F582&amp;"-Pos1",'Shooter-Squad Assignment'!$K:$K,0)),""),IF(F582="Trap",IFERROR(INDEX('Shooter-Squad Assignment'!$A:$A,MATCH(C582&amp;"-"&amp;E582&amp;"-"&amp;F582&amp;"-Pos1",'Shooter-Squad Assignment'!$W:$W,0)),""),IF(F582="Sporting Clays",IFERROR(INDEX('Shooter-Squad Assignment'!$A:$A,MATCH(C582&amp;"-"&amp;E582&amp;"-"&amp;F582&amp;"-Pos1",'Shooter-Squad Assignment'!$Z:$Z,0)),""),"")))</f>
        <v/>
      </c>
      <c r="H582" s="73" t="str">
        <f>IF(ISBLANK(G582),"",IFERROR(INDEX('Tournament List'!$D:$D,MATCH(G582,'Tournament List'!$A:$A,0)),""))</f>
        <v/>
      </c>
      <c r="I582" s="94" t="str">
        <f>IF(F582="Skeet",IFERROR(INDEX('Shooter-Squad Assignment'!$A:$A,MATCH(C582&amp;"-"&amp;E582&amp;"-"&amp;F582&amp;"-Pos2",'Shooter-Squad Assignment'!$K:$K,0)),""),IF(F582="Trap",IFERROR(INDEX('Shooter-Squad Assignment'!$A:$A,MATCH(C582&amp;"-"&amp;E582&amp;"-"&amp;F582&amp;"-Pos2",'Shooter-Squad Assignment'!$W:$W,0)),""),IF(F582="Sporting Clays",IFERROR(INDEX('Shooter-Squad Assignment'!$A:$A,MATCH(C582&amp;"-"&amp;E582&amp;"-"&amp;F582&amp;"-Pos2",'Shooter-Squad Assignment'!$Z:$Z,0)),""),"")))</f>
        <v/>
      </c>
      <c r="J582" s="73" t="str">
        <f>IF(ISBLANK(I582),"",IFERROR(INDEX('Tournament List'!$D:$D,MATCH(I582,'Tournament List'!$A:$A,0)),""))</f>
        <v/>
      </c>
      <c r="K582" s="94" t="str">
        <f>IF(F582="Skeet",IFERROR(INDEX('Shooter-Squad Assignment'!$A:$A,MATCH(C582&amp;"-"&amp;E582&amp;"-"&amp;F582&amp;"-Pos3",'Shooter-Squad Assignment'!$K:$K,0)),""),IF(F582="Trap",IFERROR(INDEX('Shooter-Squad Assignment'!$A:$A,MATCH(C582&amp;"-"&amp;E582&amp;"-"&amp;F582&amp;"-Pos3",'Shooter-Squad Assignment'!$W:$W,0)),""),IF(F582="Sporting Clays",IFERROR(INDEX('Shooter-Squad Assignment'!$A:$A,MATCH(C582&amp;"-"&amp;E582&amp;"-"&amp;F582&amp;"-Pos3",'Shooter-Squad Assignment'!$Z:$Z,0)),""),"")))</f>
        <v/>
      </c>
      <c r="L582" s="73" t="str">
        <f>IF(ISBLANK(K582),"",IFERROR(INDEX('Tournament List'!$D:$D,MATCH(K582,'Tournament List'!$A:$A,0)),""))</f>
        <v/>
      </c>
      <c r="M582" s="94" t="str">
        <f>IF(F582="Skeet",IFERROR(INDEX('Shooter-Squad Assignment'!$A:$A,MATCH(C582&amp;"-"&amp;E582&amp;"-"&amp;F582&amp;"-Pos4",'Shooter-Squad Assignment'!$K:$K,0)),""),IF(F582="Trap",IFERROR(INDEX('Shooter-Squad Assignment'!$A:$A,MATCH(C582&amp;"-"&amp;E582&amp;"-"&amp;F582&amp;"-Pos4",'Shooter-Squad Assignment'!$W:$W,0)),""),IF(F582="Sporting Clays",IFERROR(INDEX('Shooter-Squad Assignment'!$A:$A,MATCH(C582&amp;"-"&amp;E582&amp;"-"&amp;F582&amp;"-Pos4",'Shooter-Squad Assignment'!$Z:$Z,0)),""),"")))</f>
        <v/>
      </c>
      <c r="N582" s="73" t="str">
        <f>IF(ISBLANK(M582),"",IFERROR(INDEX('Tournament List'!$D:$D,MATCH(M582,'Tournament List'!$A:$A,0)),""))</f>
        <v/>
      </c>
      <c r="O582" s="94" t="str">
        <f>IF(F582="Skeet",IFERROR(INDEX('Shooter-Squad Assignment'!$A:$A,MATCH(C582&amp;"-"&amp;E582&amp;"-"&amp;F582&amp;"-Pos5",'Shooter-Squad Assignment'!$K:$K,0)),""),IF(F582="Trap",IFERROR(INDEX('Shooter-Squad Assignment'!$A:$A,MATCH(C582&amp;"-"&amp;E582&amp;"-"&amp;F582&amp;"-Pos5",'Shooter-Squad Assignment'!$W:$W,0)),""),IF(F582="Sporting Clays",IFERROR(INDEX('Shooter-Squad Assignment'!$A:$A,MATCH(C582&amp;"-"&amp;E582&amp;"-"&amp;F582&amp;"-Pos5",'Shooter-Squad Assignment'!$Z:$Z,0)),""),"")))</f>
        <v/>
      </c>
      <c r="P582" s="79" t="str">
        <f>IF(ISBLANK(O582),"",IFERROR(INDEX('Tournament List'!$D:$D,MATCH(O582,'Tournament List'!$A:$A,0)),""))</f>
        <v/>
      </c>
    </row>
    <row r="583" spans="1:16" x14ac:dyDescent="0.3">
      <c r="A583" s="78">
        <v>582</v>
      </c>
      <c r="B583" s="73" t="str">
        <f>C583&amp;"-"&amp;E583&amp;"-"&amp;F583</f>
        <v>-Novice 3-Skeet</v>
      </c>
      <c r="C583" s="73"/>
      <c r="D583" s="73" t="str">
        <f>INDEX('Tournament Setup'!$B$59:$B$78,MATCH(E583,SquadConcurrents,0))</f>
        <v>Novice</v>
      </c>
      <c r="E583" s="73" t="s">
        <v>349</v>
      </c>
      <c r="F583" s="73" t="s">
        <v>143</v>
      </c>
      <c r="G583" s="94" t="str">
        <f>IF(F583="Skeet",IFERROR(INDEX('Shooter-Squad Assignment'!$A:$A,MATCH(C583&amp;"-"&amp;E583&amp;"-"&amp;F583&amp;"-Pos1",'Shooter-Squad Assignment'!$K:$K,0)),""),IF(F583="Trap",IFERROR(INDEX('Shooter-Squad Assignment'!$A:$A,MATCH(C583&amp;"-"&amp;E583&amp;"-"&amp;F583&amp;"-Pos1",'Shooter-Squad Assignment'!$W:$W,0)),""),IF(F583="Sporting Clays",IFERROR(INDEX('Shooter-Squad Assignment'!$A:$A,MATCH(C583&amp;"-"&amp;E583&amp;"-"&amp;F583&amp;"-Pos1",'Shooter-Squad Assignment'!$Z:$Z,0)),""),"")))</f>
        <v/>
      </c>
      <c r="H583" s="73" t="str">
        <f>IF(ISBLANK(G583),"",IFERROR(INDEX('Tournament List'!$D:$D,MATCH(G583,'Tournament List'!$A:$A,0)),""))</f>
        <v/>
      </c>
      <c r="I583" s="94" t="str">
        <f>IF(F583="Skeet",IFERROR(INDEX('Shooter-Squad Assignment'!$A:$A,MATCH(C583&amp;"-"&amp;E583&amp;"-"&amp;F583&amp;"-Pos2",'Shooter-Squad Assignment'!$K:$K,0)),""),IF(F583="Trap",IFERROR(INDEX('Shooter-Squad Assignment'!$A:$A,MATCH(C583&amp;"-"&amp;E583&amp;"-"&amp;F583&amp;"-Pos2",'Shooter-Squad Assignment'!$W:$W,0)),""),IF(F583="Sporting Clays",IFERROR(INDEX('Shooter-Squad Assignment'!$A:$A,MATCH(C583&amp;"-"&amp;E583&amp;"-"&amp;F583&amp;"-Pos2",'Shooter-Squad Assignment'!$Z:$Z,0)),""),"")))</f>
        <v/>
      </c>
      <c r="J583" s="73" t="str">
        <f>IF(ISBLANK(I583),"",IFERROR(INDEX('Tournament List'!$D:$D,MATCH(I583,'Tournament List'!$A:$A,0)),""))</f>
        <v/>
      </c>
      <c r="K583" s="94" t="str">
        <f>IF(F583="Skeet",IFERROR(INDEX('Shooter-Squad Assignment'!$A:$A,MATCH(C583&amp;"-"&amp;E583&amp;"-"&amp;F583&amp;"-Pos3",'Shooter-Squad Assignment'!$K:$K,0)),""),IF(F583="Trap",IFERROR(INDEX('Shooter-Squad Assignment'!$A:$A,MATCH(C583&amp;"-"&amp;E583&amp;"-"&amp;F583&amp;"-Pos3",'Shooter-Squad Assignment'!$W:$W,0)),""),IF(F583="Sporting Clays",IFERROR(INDEX('Shooter-Squad Assignment'!$A:$A,MATCH(C583&amp;"-"&amp;E583&amp;"-"&amp;F583&amp;"-Pos3",'Shooter-Squad Assignment'!$Z:$Z,0)),""),"")))</f>
        <v/>
      </c>
      <c r="L583" s="73" t="str">
        <f>IF(ISBLANK(K583),"",IFERROR(INDEX('Tournament List'!$D:$D,MATCH(K583,'Tournament List'!$A:$A,0)),""))</f>
        <v/>
      </c>
      <c r="M583" s="94" t="str">
        <f>IF(F583="Skeet",IFERROR(INDEX('Shooter-Squad Assignment'!$A:$A,MATCH(C583&amp;"-"&amp;E583&amp;"-"&amp;F583&amp;"-Pos4",'Shooter-Squad Assignment'!$K:$K,0)),""),IF(F583="Trap",IFERROR(INDEX('Shooter-Squad Assignment'!$A:$A,MATCH(C583&amp;"-"&amp;E583&amp;"-"&amp;F583&amp;"-Pos4",'Shooter-Squad Assignment'!$W:$W,0)),""),IF(F583="Sporting Clays",IFERROR(INDEX('Shooter-Squad Assignment'!$A:$A,MATCH(C583&amp;"-"&amp;E583&amp;"-"&amp;F583&amp;"-Pos4",'Shooter-Squad Assignment'!$Z:$Z,0)),""),"")))</f>
        <v/>
      </c>
      <c r="N583" s="73" t="str">
        <f>IF(ISBLANK(M583),"",IFERROR(INDEX('Tournament List'!$D:$D,MATCH(M583,'Tournament List'!$A:$A,0)),""))</f>
        <v/>
      </c>
      <c r="O583" s="94" t="str">
        <f>IF(F583="Skeet",IFERROR(INDEX('Shooter-Squad Assignment'!$A:$A,MATCH(C583&amp;"-"&amp;E583&amp;"-"&amp;F583&amp;"-Pos5",'Shooter-Squad Assignment'!$K:$K,0)),""),IF(F583="Trap",IFERROR(INDEX('Shooter-Squad Assignment'!$A:$A,MATCH(C583&amp;"-"&amp;E583&amp;"-"&amp;F583&amp;"-Pos5",'Shooter-Squad Assignment'!$W:$W,0)),""),IF(F583="Sporting Clays",IFERROR(INDEX('Shooter-Squad Assignment'!$A:$A,MATCH(C583&amp;"-"&amp;E583&amp;"-"&amp;F583&amp;"-Pos5",'Shooter-Squad Assignment'!$Z:$Z,0)),""),"")))</f>
        <v/>
      </c>
      <c r="P583" s="79" t="str">
        <f>IF(ISBLANK(O583),"",IFERROR(INDEX('Tournament List'!$D:$D,MATCH(O583,'Tournament List'!$A:$A,0)),""))</f>
        <v/>
      </c>
    </row>
    <row r="584" spans="1:16" x14ac:dyDescent="0.3">
      <c r="A584" s="78">
        <v>583</v>
      </c>
      <c r="B584" s="73" t="str">
        <f>C584&amp;"-"&amp;E584&amp;"-"&amp;F584</f>
        <v>-Open 1-Skeet</v>
      </c>
      <c r="C584" s="73"/>
      <c r="D584" s="73" t="str">
        <f>INDEX('Tournament Setup'!$B$59:$B$78,MATCH(E584,SquadConcurrents,0))</f>
        <v>Open</v>
      </c>
      <c r="E584" s="73" t="s">
        <v>341</v>
      </c>
      <c r="F584" s="73" t="s">
        <v>143</v>
      </c>
      <c r="G584" s="94" t="str">
        <f>IF(F584="Skeet",IFERROR(INDEX('Shooter-Squad Assignment'!$A:$A,MATCH(C584&amp;"-"&amp;E584&amp;"-"&amp;F584&amp;"-Pos1",'Shooter-Squad Assignment'!$K:$K,0)),""),IF(F584="Trap",IFERROR(INDEX('Shooter-Squad Assignment'!$A:$A,MATCH(C584&amp;"-"&amp;E584&amp;"-"&amp;F584&amp;"-Pos1",'Shooter-Squad Assignment'!$W:$W,0)),""),IF(F584="Sporting Clays",IFERROR(INDEX('Shooter-Squad Assignment'!$A:$A,MATCH(C584&amp;"-"&amp;E584&amp;"-"&amp;F584&amp;"-Pos1",'Shooter-Squad Assignment'!$Z:$Z,0)),""),"")))</f>
        <v/>
      </c>
      <c r="H584" s="73" t="str">
        <f>IF(ISBLANK(G584),"",IFERROR(INDEX('Tournament List'!$D:$D,MATCH(G584,'Tournament List'!$A:$A,0)),""))</f>
        <v/>
      </c>
      <c r="I584" s="94" t="str">
        <f>IF(F584="Skeet",IFERROR(INDEX('Shooter-Squad Assignment'!$A:$A,MATCH(C584&amp;"-"&amp;E584&amp;"-"&amp;F584&amp;"-Pos2",'Shooter-Squad Assignment'!$K:$K,0)),""),IF(F584="Trap",IFERROR(INDEX('Shooter-Squad Assignment'!$A:$A,MATCH(C584&amp;"-"&amp;E584&amp;"-"&amp;F584&amp;"-Pos2",'Shooter-Squad Assignment'!$W:$W,0)),""),IF(F584="Sporting Clays",IFERROR(INDEX('Shooter-Squad Assignment'!$A:$A,MATCH(C584&amp;"-"&amp;E584&amp;"-"&amp;F584&amp;"-Pos2",'Shooter-Squad Assignment'!$Z:$Z,0)),""),"")))</f>
        <v/>
      </c>
      <c r="J584" s="73" t="str">
        <f>IF(ISBLANK(I584),"",IFERROR(INDEX('Tournament List'!$D:$D,MATCH(I584,'Tournament List'!$A:$A,0)),""))</f>
        <v/>
      </c>
      <c r="K584" s="94" t="str">
        <f>IF(F584="Skeet",IFERROR(INDEX('Shooter-Squad Assignment'!$A:$A,MATCH(C584&amp;"-"&amp;E584&amp;"-"&amp;F584&amp;"-Pos3",'Shooter-Squad Assignment'!$K:$K,0)),""),IF(F584="Trap",IFERROR(INDEX('Shooter-Squad Assignment'!$A:$A,MATCH(C584&amp;"-"&amp;E584&amp;"-"&amp;F584&amp;"-Pos3",'Shooter-Squad Assignment'!$W:$W,0)),""),IF(F584="Sporting Clays",IFERROR(INDEX('Shooter-Squad Assignment'!$A:$A,MATCH(C584&amp;"-"&amp;E584&amp;"-"&amp;F584&amp;"-Pos3",'Shooter-Squad Assignment'!$Z:$Z,0)),""),"")))</f>
        <v/>
      </c>
      <c r="L584" s="73" t="str">
        <f>IF(ISBLANK(K584),"",IFERROR(INDEX('Tournament List'!$D:$D,MATCH(K584,'Tournament List'!$A:$A,0)),""))</f>
        <v/>
      </c>
      <c r="M584" s="94" t="str">
        <f>IF(F584="Skeet",IFERROR(INDEX('Shooter-Squad Assignment'!$A:$A,MATCH(C584&amp;"-"&amp;E584&amp;"-"&amp;F584&amp;"-Pos4",'Shooter-Squad Assignment'!$K:$K,0)),""),IF(F584="Trap",IFERROR(INDEX('Shooter-Squad Assignment'!$A:$A,MATCH(C584&amp;"-"&amp;E584&amp;"-"&amp;F584&amp;"-Pos4",'Shooter-Squad Assignment'!$W:$W,0)),""),IF(F584="Sporting Clays",IFERROR(INDEX('Shooter-Squad Assignment'!$A:$A,MATCH(C584&amp;"-"&amp;E584&amp;"-"&amp;F584&amp;"-Pos4",'Shooter-Squad Assignment'!$Z:$Z,0)),""),"")))</f>
        <v/>
      </c>
      <c r="N584" s="73" t="str">
        <f>IF(ISBLANK(M584),"",IFERROR(INDEX('Tournament List'!$D:$D,MATCH(M584,'Tournament List'!$A:$A,0)),""))</f>
        <v/>
      </c>
      <c r="O584" s="94" t="str">
        <f>IF(F584="Skeet",IFERROR(INDEX('Shooter-Squad Assignment'!$A:$A,MATCH(C584&amp;"-"&amp;E584&amp;"-"&amp;F584&amp;"-Pos5",'Shooter-Squad Assignment'!$K:$K,0)),""),IF(F584="Trap",IFERROR(INDEX('Shooter-Squad Assignment'!$A:$A,MATCH(C584&amp;"-"&amp;E584&amp;"-"&amp;F584&amp;"-Pos5",'Shooter-Squad Assignment'!$W:$W,0)),""),IF(F584="Sporting Clays",IFERROR(INDEX('Shooter-Squad Assignment'!$A:$A,MATCH(C584&amp;"-"&amp;E584&amp;"-"&amp;F584&amp;"-Pos5",'Shooter-Squad Assignment'!$Z:$Z,0)),""),"")))</f>
        <v/>
      </c>
      <c r="P584" s="79" t="str">
        <f>IF(ISBLANK(O584),"",IFERROR(INDEX('Tournament List'!$D:$D,MATCH(O584,'Tournament List'!$A:$A,0)),""))</f>
        <v/>
      </c>
    </row>
    <row r="585" spans="1:16" x14ac:dyDescent="0.3">
      <c r="A585" s="78">
        <v>584</v>
      </c>
      <c r="B585" s="73" t="str">
        <f>C585&amp;"-"&amp;E585&amp;"-"&amp;F585</f>
        <v>-Open 2-Skeet</v>
      </c>
      <c r="C585" s="73"/>
      <c r="D585" s="73" t="str">
        <f>INDEX('Tournament Setup'!$B$59:$B$78,MATCH(E585,SquadConcurrents,0))</f>
        <v>Open</v>
      </c>
      <c r="E585" s="73" t="s">
        <v>347</v>
      </c>
      <c r="F585" s="73" t="s">
        <v>143</v>
      </c>
      <c r="G585" s="94" t="str">
        <f>IF(F585="Skeet",IFERROR(INDEX('Shooter-Squad Assignment'!$A:$A,MATCH(C585&amp;"-"&amp;E585&amp;"-"&amp;F585&amp;"-Pos1",'Shooter-Squad Assignment'!$K:$K,0)),""),IF(F585="Trap",IFERROR(INDEX('Shooter-Squad Assignment'!$A:$A,MATCH(C585&amp;"-"&amp;E585&amp;"-"&amp;F585&amp;"-Pos1",'Shooter-Squad Assignment'!$W:$W,0)),""),IF(F585="Sporting Clays",IFERROR(INDEX('Shooter-Squad Assignment'!$A:$A,MATCH(C585&amp;"-"&amp;E585&amp;"-"&amp;F585&amp;"-Pos1",'Shooter-Squad Assignment'!$Z:$Z,0)),""),"")))</f>
        <v/>
      </c>
      <c r="H585" s="73" t="str">
        <f>IF(ISBLANK(G585),"",IFERROR(INDEX('Tournament List'!$D:$D,MATCH(G585,'Tournament List'!$A:$A,0)),""))</f>
        <v/>
      </c>
      <c r="I585" s="94" t="str">
        <f>IF(F585="Skeet",IFERROR(INDEX('Shooter-Squad Assignment'!$A:$A,MATCH(C585&amp;"-"&amp;E585&amp;"-"&amp;F585&amp;"-Pos2",'Shooter-Squad Assignment'!$K:$K,0)),""),IF(F585="Trap",IFERROR(INDEX('Shooter-Squad Assignment'!$A:$A,MATCH(C585&amp;"-"&amp;E585&amp;"-"&amp;F585&amp;"-Pos2",'Shooter-Squad Assignment'!$W:$W,0)),""),IF(F585="Sporting Clays",IFERROR(INDEX('Shooter-Squad Assignment'!$A:$A,MATCH(C585&amp;"-"&amp;E585&amp;"-"&amp;F585&amp;"-Pos2",'Shooter-Squad Assignment'!$Z:$Z,0)),""),"")))</f>
        <v/>
      </c>
      <c r="J585" s="73" t="str">
        <f>IF(ISBLANK(I585),"",IFERROR(INDEX('Tournament List'!$D:$D,MATCH(I585,'Tournament List'!$A:$A,0)),""))</f>
        <v/>
      </c>
      <c r="K585" s="94" t="str">
        <f>IF(F585="Skeet",IFERROR(INDEX('Shooter-Squad Assignment'!$A:$A,MATCH(C585&amp;"-"&amp;E585&amp;"-"&amp;F585&amp;"-Pos3",'Shooter-Squad Assignment'!$K:$K,0)),""),IF(F585="Trap",IFERROR(INDEX('Shooter-Squad Assignment'!$A:$A,MATCH(C585&amp;"-"&amp;E585&amp;"-"&amp;F585&amp;"-Pos3",'Shooter-Squad Assignment'!$W:$W,0)),""),IF(F585="Sporting Clays",IFERROR(INDEX('Shooter-Squad Assignment'!$A:$A,MATCH(C585&amp;"-"&amp;E585&amp;"-"&amp;F585&amp;"-Pos3",'Shooter-Squad Assignment'!$Z:$Z,0)),""),"")))</f>
        <v/>
      </c>
      <c r="L585" s="73" t="str">
        <f>IF(ISBLANK(K585),"",IFERROR(INDEX('Tournament List'!$D:$D,MATCH(K585,'Tournament List'!$A:$A,0)),""))</f>
        <v/>
      </c>
      <c r="M585" s="94" t="str">
        <f>IF(F585="Skeet",IFERROR(INDEX('Shooter-Squad Assignment'!$A:$A,MATCH(C585&amp;"-"&amp;E585&amp;"-"&amp;F585&amp;"-Pos4",'Shooter-Squad Assignment'!$K:$K,0)),""),IF(F585="Trap",IFERROR(INDEX('Shooter-Squad Assignment'!$A:$A,MATCH(C585&amp;"-"&amp;E585&amp;"-"&amp;F585&amp;"-Pos4",'Shooter-Squad Assignment'!$W:$W,0)),""),IF(F585="Sporting Clays",IFERROR(INDEX('Shooter-Squad Assignment'!$A:$A,MATCH(C585&amp;"-"&amp;E585&amp;"-"&amp;F585&amp;"-Pos4",'Shooter-Squad Assignment'!$Z:$Z,0)),""),"")))</f>
        <v/>
      </c>
      <c r="N585" s="73" t="str">
        <f>IF(ISBLANK(M585),"",IFERROR(INDEX('Tournament List'!$D:$D,MATCH(M585,'Tournament List'!$A:$A,0)),""))</f>
        <v/>
      </c>
      <c r="O585" s="94" t="str">
        <f>IF(F585="Skeet",IFERROR(INDEX('Shooter-Squad Assignment'!$A:$A,MATCH(C585&amp;"-"&amp;E585&amp;"-"&amp;F585&amp;"-Pos5",'Shooter-Squad Assignment'!$K:$K,0)),""),IF(F585="Trap",IFERROR(INDEX('Shooter-Squad Assignment'!$A:$A,MATCH(C585&amp;"-"&amp;E585&amp;"-"&amp;F585&amp;"-Pos5",'Shooter-Squad Assignment'!$W:$W,0)),""),IF(F585="Sporting Clays",IFERROR(INDEX('Shooter-Squad Assignment'!$A:$A,MATCH(C585&amp;"-"&amp;E585&amp;"-"&amp;F585&amp;"-Pos5",'Shooter-Squad Assignment'!$Z:$Z,0)),""),"")))</f>
        <v/>
      </c>
      <c r="P585" s="79" t="str">
        <f>IF(ISBLANK(O585),"",IFERROR(INDEX('Tournament List'!$D:$D,MATCH(O585,'Tournament List'!$A:$A,0)),""))</f>
        <v/>
      </c>
    </row>
    <row r="586" spans="1:16" x14ac:dyDescent="0.3">
      <c r="A586" s="78">
        <v>585</v>
      </c>
      <c r="B586" s="73" t="str">
        <f>C586&amp;"-"&amp;E586&amp;"-"&amp;F586</f>
        <v>-Open 3-Skeet</v>
      </c>
      <c r="C586" s="73"/>
      <c r="D586" s="73" t="str">
        <f>INDEX('Tournament Setup'!$B$59:$B$78,MATCH(E586,SquadConcurrents,0))</f>
        <v>Open</v>
      </c>
      <c r="E586" s="73" t="s">
        <v>353</v>
      </c>
      <c r="F586" s="73" t="s">
        <v>143</v>
      </c>
      <c r="G586" s="94" t="str">
        <f>IF(F586="Skeet",IFERROR(INDEX('Shooter-Squad Assignment'!$A:$A,MATCH(C586&amp;"-"&amp;E586&amp;"-"&amp;F586&amp;"-Pos1",'Shooter-Squad Assignment'!$K:$K,0)),""),IF(F586="Trap",IFERROR(INDEX('Shooter-Squad Assignment'!$A:$A,MATCH(C586&amp;"-"&amp;E586&amp;"-"&amp;F586&amp;"-Pos1",'Shooter-Squad Assignment'!$W:$W,0)),""),IF(F586="Sporting Clays",IFERROR(INDEX('Shooter-Squad Assignment'!$A:$A,MATCH(C586&amp;"-"&amp;E586&amp;"-"&amp;F586&amp;"-Pos1",'Shooter-Squad Assignment'!$Z:$Z,0)),""),"")))</f>
        <v/>
      </c>
      <c r="H586" s="73" t="str">
        <f>IF(ISBLANK(G586),"",IFERROR(INDEX('Tournament List'!$D:$D,MATCH(G586,'Tournament List'!$A:$A,0)),""))</f>
        <v/>
      </c>
      <c r="I586" s="94" t="str">
        <f>IF(F586="Skeet",IFERROR(INDEX('Shooter-Squad Assignment'!$A:$A,MATCH(C586&amp;"-"&amp;E586&amp;"-"&amp;F586&amp;"-Pos2",'Shooter-Squad Assignment'!$K:$K,0)),""),IF(F586="Trap",IFERROR(INDEX('Shooter-Squad Assignment'!$A:$A,MATCH(C586&amp;"-"&amp;E586&amp;"-"&amp;F586&amp;"-Pos2",'Shooter-Squad Assignment'!$W:$W,0)),""),IF(F586="Sporting Clays",IFERROR(INDEX('Shooter-Squad Assignment'!$A:$A,MATCH(C586&amp;"-"&amp;E586&amp;"-"&amp;F586&amp;"-Pos2",'Shooter-Squad Assignment'!$Z:$Z,0)),""),"")))</f>
        <v/>
      </c>
      <c r="J586" s="73" t="str">
        <f>IF(ISBLANK(I586),"",IFERROR(INDEX('Tournament List'!$D:$D,MATCH(I586,'Tournament List'!$A:$A,0)),""))</f>
        <v/>
      </c>
      <c r="K586" s="94" t="str">
        <f>IF(F586="Skeet",IFERROR(INDEX('Shooter-Squad Assignment'!$A:$A,MATCH(C586&amp;"-"&amp;E586&amp;"-"&amp;F586&amp;"-Pos3",'Shooter-Squad Assignment'!$K:$K,0)),""),IF(F586="Trap",IFERROR(INDEX('Shooter-Squad Assignment'!$A:$A,MATCH(C586&amp;"-"&amp;E586&amp;"-"&amp;F586&amp;"-Pos3",'Shooter-Squad Assignment'!$W:$W,0)),""),IF(F586="Sporting Clays",IFERROR(INDEX('Shooter-Squad Assignment'!$A:$A,MATCH(C586&amp;"-"&amp;E586&amp;"-"&amp;F586&amp;"-Pos3",'Shooter-Squad Assignment'!$Z:$Z,0)),""),"")))</f>
        <v/>
      </c>
      <c r="L586" s="73" t="str">
        <f>IF(ISBLANK(K586),"",IFERROR(INDEX('Tournament List'!$D:$D,MATCH(K586,'Tournament List'!$A:$A,0)),""))</f>
        <v/>
      </c>
      <c r="M586" s="94" t="str">
        <f>IF(F586="Skeet",IFERROR(INDEX('Shooter-Squad Assignment'!$A:$A,MATCH(C586&amp;"-"&amp;E586&amp;"-"&amp;F586&amp;"-Pos4",'Shooter-Squad Assignment'!$K:$K,0)),""),IF(F586="Trap",IFERROR(INDEX('Shooter-Squad Assignment'!$A:$A,MATCH(C586&amp;"-"&amp;E586&amp;"-"&amp;F586&amp;"-Pos4",'Shooter-Squad Assignment'!$W:$W,0)),""),IF(F586="Sporting Clays",IFERROR(INDEX('Shooter-Squad Assignment'!$A:$A,MATCH(C586&amp;"-"&amp;E586&amp;"-"&amp;F586&amp;"-Pos4",'Shooter-Squad Assignment'!$Z:$Z,0)),""),"")))</f>
        <v/>
      </c>
      <c r="N586" s="73" t="str">
        <f>IF(ISBLANK(M586),"",IFERROR(INDEX('Tournament List'!$D:$D,MATCH(M586,'Tournament List'!$A:$A,0)),""))</f>
        <v/>
      </c>
      <c r="O586" s="94" t="str">
        <f>IF(F586="Skeet",IFERROR(INDEX('Shooter-Squad Assignment'!$A:$A,MATCH(C586&amp;"-"&amp;E586&amp;"-"&amp;F586&amp;"-Pos5",'Shooter-Squad Assignment'!$K:$K,0)),""),IF(F586="Trap",IFERROR(INDEX('Shooter-Squad Assignment'!$A:$A,MATCH(C586&amp;"-"&amp;E586&amp;"-"&amp;F586&amp;"-Pos5",'Shooter-Squad Assignment'!$W:$W,0)),""),IF(F586="Sporting Clays",IFERROR(INDEX('Shooter-Squad Assignment'!$A:$A,MATCH(C586&amp;"-"&amp;E586&amp;"-"&amp;F586&amp;"-Pos5",'Shooter-Squad Assignment'!$Z:$Z,0)),""),"")))</f>
        <v/>
      </c>
      <c r="P586" s="79" t="str">
        <f>IF(ISBLANK(O586),"",IFERROR(INDEX('Tournament List'!$D:$D,MATCH(O586,'Tournament List'!$A:$A,0)),""))</f>
        <v/>
      </c>
    </row>
    <row r="587" spans="1:16" x14ac:dyDescent="0.3">
      <c r="A587" s="78">
        <v>586</v>
      </c>
      <c r="B587" s="73" t="str">
        <f>C587&amp;"-"&amp;E587&amp;"-"&amp;F587</f>
        <v>-Unassigned 1-Skeet</v>
      </c>
      <c r="C587" s="73"/>
      <c r="D587" s="73" t="str">
        <f>INDEX('Tournament Setup'!$B$59:$B$78,MATCH(E587,SquadConcurrents,0))</f>
        <v>Unassigned</v>
      </c>
      <c r="E587" s="73" t="s">
        <v>762</v>
      </c>
      <c r="F587" s="73" t="s">
        <v>143</v>
      </c>
      <c r="G587" s="94" t="str">
        <f>IF(F587="Skeet",IFERROR(INDEX('Shooter-Squad Assignment'!$A:$A,MATCH(C587&amp;"-"&amp;E587&amp;"-"&amp;F587&amp;"-Pos1",'Shooter-Squad Assignment'!$K:$K,0)),""),IF(F587="Trap",IFERROR(INDEX('Shooter-Squad Assignment'!$A:$A,MATCH(C587&amp;"-"&amp;E587&amp;"-"&amp;F587&amp;"-Pos1",'Shooter-Squad Assignment'!$W:$W,0)),""),IF(F587="Sporting Clays",IFERROR(INDEX('Shooter-Squad Assignment'!$A:$A,MATCH(C587&amp;"-"&amp;E587&amp;"-"&amp;F587&amp;"-Pos1",'Shooter-Squad Assignment'!$Z:$Z,0)),""),"")))</f>
        <v/>
      </c>
      <c r="H587" s="73" t="str">
        <f>IF(ISBLANK(G587),"",IFERROR(INDEX('Tournament List'!$D:$D,MATCH(G587,'Tournament List'!$A:$A,0)),""))</f>
        <v/>
      </c>
      <c r="I587" s="94" t="str">
        <f>IF(F587="Skeet",IFERROR(INDEX('Shooter-Squad Assignment'!$A:$A,MATCH(C587&amp;"-"&amp;E587&amp;"-"&amp;F587&amp;"-Pos2",'Shooter-Squad Assignment'!$K:$K,0)),""),IF(F587="Trap",IFERROR(INDEX('Shooter-Squad Assignment'!$A:$A,MATCH(C587&amp;"-"&amp;E587&amp;"-"&amp;F587&amp;"-Pos2",'Shooter-Squad Assignment'!$W:$W,0)),""),IF(F587="Sporting Clays",IFERROR(INDEX('Shooter-Squad Assignment'!$A:$A,MATCH(C587&amp;"-"&amp;E587&amp;"-"&amp;F587&amp;"-Pos2",'Shooter-Squad Assignment'!$Z:$Z,0)),""),"")))</f>
        <v/>
      </c>
      <c r="J587" s="73" t="str">
        <f>IF(ISBLANK(I587),"",IFERROR(INDEX('Tournament List'!$D:$D,MATCH(I587,'Tournament List'!$A:$A,0)),""))</f>
        <v/>
      </c>
      <c r="K587" s="94" t="str">
        <f>IF(F587="Skeet",IFERROR(INDEX('Shooter-Squad Assignment'!$A:$A,MATCH(C587&amp;"-"&amp;E587&amp;"-"&amp;F587&amp;"-Pos3",'Shooter-Squad Assignment'!$K:$K,0)),""),IF(F587="Trap",IFERROR(INDEX('Shooter-Squad Assignment'!$A:$A,MATCH(C587&amp;"-"&amp;E587&amp;"-"&amp;F587&amp;"-Pos3",'Shooter-Squad Assignment'!$W:$W,0)),""),IF(F587="Sporting Clays",IFERROR(INDEX('Shooter-Squad Assignment'!$A:$A,MATCH(C587&amp;"-"&amp;E587&amp;"-"&amp;F587&amp;"-Pos3",'Shooter-Squad Assignment'!$Z:$Z,0)),""),"")))</f>
        <v/>
      </c>
      <c r="L587" s="73" t="str">
        <f>IF(ISBLANK(K587),"",IFERROR(INDEX('Tournament List'!$D:$D,MATCH(K587,'Tournament List'!$A:$A,0)),""))</f>
        <v/>
      </c>
      <c r="M587" s="94" t="str">
        <f>IF(F587="Skeet",IFERROR(INDEX('Shooter-Squad Assignment'!$A:$A,MATCH(C587&amp;"-"&amp;E587&amp;"-"&amp;F587&amp;"-Pos4",'Shooter-Squad Assignment'!$K:$K,0)),""),IF(F587="Trap",IFERROR(INDEX('Shooter-Squad Assignment'!$A:$A,MATCH(C587&amp;"-"&amp;E587&amp;"-"&amp;F587&amp;"-Pos4",'Shooter-Squad Assignment'!$W:$W,0)),""),IF(F587="Sporting Clays",IFERROR(INDEX('Shooter-Squad Assignment'!$A:$A,MATCH(C587&amp;"-"&amp;E587&amp;"-"&amp;F587&amp;"-Pos4",'Shooter-Squad Assignment'!$Z:$Z,0)),""),"")))</f>
        <v/>
      </c>
      <c r="N587" s="73" t="str">
        <f>IF(ISBLANK(M587),"",IFERROR(INDEX('Tournament List'!$D:$D,MATCH(M587,'Tournament List'!$A:$A,0)),""))</f>
        <v/>
      </c>
      <c r="O587" s="94" t="str">
        <f>IF(F587="Skeet",IFERROR(INDEX('Shooter-Squad Assignment'!$A:$A,MATCH(C587&amp;"-"&amp;E587&amp;"-"&amp;F587&amp;"-Pos5",'Shooter-Squad Assignment'!$K:$K,0)),""),IF(F587="Trap",IFERROR(INDEX('Shooter-Squad Assignment'!$A:$A,MATCH(C587&amp;"-"&amp;E587&amp;"-"&amp;F587&amp;"-Pos5",'Shooter-Squad Assignment'!$W:$W,0)),""),IF(F587="Sporting Clays",IFERROR(INDEX('Shooter-Squad Assignment'!$A:$A,MATCH(C587&amp;"-"&amp;E587&amp;"-"&amp;F587&amp;"-Pos5",'Shooter-Squad Assignment'!$Z:$Z,0)),""),"")))</f>
        <v/>
      </c>
      <c r="P587" s="79" t="str">
        <f>IF(ISBLANK(O587),"",IFERROR(INDEX('Tournament List'!$D:$D,MATCH(O587,'Tournament List'!$A:$A,0)),""))</f>
        <v/>
      </c>
    </row>
    <row r="588" spans="1:16" x14ac:dyDescent="0.3">
      <c r="A588" s="78">
        <v>587</v>
      </c>
      <c r="B588" s="73" t="str">
        <f>C588&amp;"-"&amp;E588&amp;"-"&amp;F588</f>
        <v>-Varsity 1-Skeet</v>
      </c>
      <c r="C588" s="73"/>
      <c r="D588" s="73" t="str">
        <f>INDEX('Tournament Setup'!$B$59:$B$78,MATCH(E588,SquadConcurrents,0))</f>
        <v>Varsity</v>
      </c>
      <c r="E588" s="73" t="s">
        <v>340</v>
      </c>
      <c r="F588" s="73" t="s">
        <v>143</v>
      </c>
      <c r="G588" s="94" t="str">
        <f>IF(F588="Skeet",IFERROR(INDEX('Shooter-Squad Assignment'!$A:$A,MATCH(C588&amp;"-"&amp;E588&amp;"-"&amp;F588&amp;"-Pos1",'Shooter-Squad Assignment'!$K:$K,0)),""),IF(F588="Trap",IFERROR(INDEX('Shooter-Squad Assignment'!$A:$A,MATCH(C588&amp;"-"&amp;E588&amp;"-"&amp;F588&amp;"-Pos1",'Shooter-Squad Assignment'!$W:$W,0)),""),IF(F588="Sporting Clays",IFERROR(INDEX('Shooter-Squad Assignment'!$A:$A,MATCH(C588&amp;"-"&amp;E588&amp;"-"&amp;F588&amp;"-Pos1",'Shooter-Squad Assignment'!$Z:$Z,0)),""),"")))</f>
        <v/>
      </c>
      <c r="H588" s="73" t="str">
        <f>IF(ISBLANK(G588),"",IFERROR(INDEX('Tournament List'!$D:$D,MATCH(G588,'Tournament List'!$A:$A,0)),""))</f>
        <v/>
      </c>
      <c r="I588" s="94" t="str">
        <f>IF(F588="Skeet",IFERROR(INDEX('Shooter-Squad Assignment'!$A:$A,MATCH(C588&amp;"-"&amp;E588&amp;"-"&amp;F588&amp;"-Pos2",'Shooter-Squad Assignment'!$K:$K,0)),""),IF(F588="Trap",IFERROR(INDEX('Shooter-Squad Assignment'!$A:$A,MATCH(C588&amp;"-"&amp;E588&amp;"-"&amp;F588&amp;"-Pos2",'Shooter-Squad Assignment'!$W:$W,0)),""),IF(F588="Sporting Clays",IFERROR(INDEX('Shooter-Squad Assignment'!$A:$A,MATCH(C588&amp;"-"&amp;E588&amp;"-"&amp;F588&amp;"-Pos2",'Shooter-Squad Assignment'!$Z:$Z,0)),""),"")))</f>
        <v/>
      </c>
      <c r="J588" s="73" t="str">
        <f>IF(ISBLANK(I588),"",IFERROR(INDEX('Tournament List'!$D:$D,MATCH(I588,'Tournament List'!$A:$A,0)),""))</f>
        <v/>
      </c>
      <c r="K588" s="94" t="str">
        <f>IF(F588="Skeet",IFERROR(INDEX('Shooter-Squad Assignment'!$A:$A,MATCH(C588&amp;"-"&amp;E588&amp;"-"&amp;F588&amp;"-Pos3",'Shooter-Squad Assignment'!$K:$K,0)),""),IF(F588="Trap",IFERROR(INDEX('Shooter-Squad Assignment'!$A:$A,MATCH(C588&amp;"-"&amp;E588&amp;"-"&amp;F588&amp;"-Pos3",'Shooter-Squad Assignment'!$W:$W,0)),""),IF(F588="Sporting Clays",IFERROR(INDEX('Shooter-Squad Assignment'!$A:$A,MATCH(C588&amp;"-"&amp;E588&amp;"-"&amp;F588&amp;"-Pos3",'Shooter-Squad Assignment'!$Z:$Z,0)),""),"")))</f>
        <v/>
      </c>
      <c r="L588" s="73" t="str">
        <f>IF(ISBLANK(K588),"",IFERROR(INDEX('Tournament List'!$D:$D,MATCH(K588,'Tournament List'!$A:$A,0)),""))</f>
        <v/>
      </c>
      <c r="M588" s="94" t="str">
        <f>IF(F588="Skeet",IFERROR(INDEX('Shooter-Squad Assignment'!$A:$A,MATCH(C588&amp;"-"&amp;E588&amp;"-"&amp;F588&amp;"-Pos4",'Shooter-Squad Assignment'!$K:$K,0)),""),IF(F588="Trap",IFERROR(INDEX('Shooter-Squad Assignment'!$A:$A,MATCH(C588&amp;"-"&amp;E588&amp;"-"&amp;F588&amp;"-Pos4",'Shooter-Squad Assignment'!$W:$W,0)),""),IF(F588="Sporting Clays",IFERROR(INDEX('Shooter-Squad Assignment'!$A:$A,MATCH(C588&amp;"-"&amp;E588&amp;"-"&amp;F588&amp;"-Pos4",'Shooter-Squad Assignment'!$Z:$Z,0)),""),"")))</f>
        <v/>
      </c>
      <c r="N588" s="73" t="str">
        <f>IF(ISBLANK(M588),"",IFERROR(INDEX('Tournament List'!$D:$D,MATCH(M588,'Tournament List'!$A:$A,0)),""))</f>
        <v/>
      </c>
      <c r="O588" s="94" t="str">
        <f>IF(F588="Skeet",IFERROR(INDEX('Shooter-Squad Assignment'!$A:$A,MATCH(C588&amp;"-"&amp;E588&amp;"-"&amp;F588&amp;"-Pos5",'Shooter-Squad Assignment'!$K:$K,0)),""),IF(F588="Trap",IFERROR(INDEX('Shooter-Squad Assignment'!$A:$A,MATCH(C588&amp;"-"&amp;E588&amp;"-"&amp;F588&amp;"-Pos5",'Shooter-Squad Assignment'!$W:$W,0)),""),IF(F588="Sporting Clays",IFERROR(INDEX('Shooter-Squad Assignment'!$A:$A,MATCH(C588&amp;"-"&amp;E588&amp;"-"&amp;F588&amp;"-Pos5",'Shooter-Squad Assignment'!$Z:$Z,0)),""),"")))</f>
        <v/>
      </c>
      <c r="P588" s="79" t="str">
        <f>IF(ISBLANK(O588),"",IFERROR(INDEX('Tournament List'!$D:$D,MATCH(O588,'Tournament List'!$A:$A,0)),""))</f>
        <v/>
      </c>
    </row>
    <row r="589" spans="1:16" x14ac:dyDescent="0.3">
      <c r="A589" s="78">
        <v>588</v>
      </c>
      <c r="B589" s="73" t="str">
        <f>C589&amp;"-"&amp;E589&amp;"-"&amp;F589</f>
        <v>-Varsity 2-Skeet</v>
      </c>
      <c r="C589" s="73"/>
      <c r="D589" s="73" t="str">
        <f>INDEX('Tournament Setup'!$B$59:$B$78,MATCH(E589,SquadConcurrents,0))</f>
        <v>Varsity</v>
      </c>
      <c r="E589" s="73" t="s">
        <v>346</v>
      </c>
      <c r="F589" s="73" t="s">
        <v>143</v>
      </c>
      <c r="G589" s="94" t="str">
        <f>IF(F589="Skeet",IFERROR(INDEX('Shooter-Squad Assignment'!$A:$A,MATCH(C589&amp;"-"&amp;E589&amp;"-"&amp;F589&amp;"-Pos1",'Shooter-Squad Assignment'!$K:$K,0)),""),IF(F589="Trap",IFERROR(INDEX('Shooter-Squad Assignment'!$A:$A,MATCH(C589&amp;"-"&amp;E589&amp;"-"&amp;F589&amp;"-Pos1",'Shooter-Squad Assignment'!$W:$W,0)),""),IF(F589="Sporting Clays",IFERROR(INDEX('Shooter-Squad Assignment'!$A:$A,MATCH(C589&amp;"-"&amp;E589&amp;"-"&amp;F589&amp;"-Pos1",'Shooter-Squad Assignment'!$Z:$Z,0)),""),"")))</f>
        <v/>
      </c>
      <c r="H589" s="73" t="str">
        <f>IF(ISBLANK(G589),"",IFERROR(INDEX('Tournament List'!$D:$D,MATCH(G589,'Tournament List'!$A:$A,0)),""))</f>
        <v/>
      </c>
      <c r="I589" s="94" t="str">
        <f>IF(F589="Skeet",IFERROR(INDEX('Shooter-Squad Assignment'!$A:$A,MATCH(C589&amp;"-"&amp;E589&amp;"-"&amp;F589&amp;"-Pos2",'Shooter-Squad Assignment'!$K:$K,0)),""),IF(F589="Trap",IFERROR(INDEX('Shooter-Squad Assignment'!$A:$A,MATCH(C589&amp;"-"&amp;E589&amp;"-"&amp;F589&amp;"-Pos2",'Shooter-Squad Assignment'!$W:$W,0)),""),IF(F589="Sporting Clays",IFERROR(INDEX('Shooter-Squad Assignment'!$A:$A,MATCH(C589&amp;"-"&amp;E589&amp;"-"&amp;F589&amp;"-Pos2",'Shooter-Squad Assignment'!$Z:$Z,0)),""),"")))</f>
        <v/>
      </c>
      <c r="J589" s="73" t="str">
        <f>IF(ISBLANK(I589),"",IFERROR(INDEX('Tournament List'!$D:$D,MATCH(I589,'Tournament List'!$A:$A,0)),""))</f>
        <v/>
      </c>
      <c r="K589" s="94" t="str">
        <f>IF(F589="Skeet",IFERROR(INDEX('Shooter-Squad Assignment'!$A:$A,MATCH(C589&amp;"-"&amp;E589&amp;"-"&amp;F589&amp;"-Pos3",'Shooter-Squad Assignment'!$K:$K,0)),""),IF(F589="Trap",IFERROR(INDEX('Shooter-Squad Assignment'!$A:$A,MATCH(C589&amp;"-"&amp;E589&amp;"-"&amp;F589&amp;"-Pos3",'Shooter-Squad Assignment'!$W:$W,0)),""),IF(F589="Sporting Clays",IFERROR(INDEX('Shooter-Squad Assignment'!$A:$A,MATCH(C589&amp;"-"&amp;E589&amp;"-"&amp;F589&amp;"-Pos3",'Shooter-Squad Assignment'!$Z:$Z,0)),""),"")))</f>
        <v/>
      </c>
      <c r="L589" s="73" t="str">
        <f>IF(ISBLANK(K589),"",IFERROR(INDEX('Tournament List'!$D:$D,MATCH(K589,'Tournament List'!$A:$A,0)),""))</f>
        <v/>
      </c>
      <c r="M589" s="94" t="str">
        <f>IF(F589="Skeet",IFERROR(INDEX('Shooter-Squad Assignment'!$A:$A,MATCH(C589&amp;"-"&amp;E589&amp;"-"&amp;F589&amp;"-Pos4",'Shooter-Squad Assignment'!$K:$K,0)),""),IF(F589="Trap",IFERROR(INDEX('Shooter-Squad Assignment'!$A:$A,MATCH(C589&amp;"-"&amp;E589&amp;"-"&amp;F589&amp;"-Pos4",'Shooter-Squad Assignment'!$W:$W,0)),""),IF(F589="Sporting Clays",IFERROR(INDEX('Shooter-Squad Assignment'!$A:$A,MATCH(C589&amp;"-"&amp;E589&amp;"-"&amp;F589&amp;"-Pos4",'Shooter-Squad Assignment'!$Z:$Z,0)),""),"")))</f>
        <v/>
      </c>
      <c r="N589" s="73" t="str">
        <f>IF(ISBLANK(M589),"",IFERROR(INDEX('Tournament List'!$D:$D,MATCH(M589,'Tournament List'!$A:$A,0)),""))</f>
        <v/>
      </c>
      <c r="O589" s="94" t="str">
        <f>IF(F589="Skeet",IFERROR(INDEX('Shooter-Squad Assignment'!$A:$A,MATCH(C589&amp;"-"&amp;E589&amp;"-"&amp;F589&amp;"-Pos5",'Shooter-Squad Assignment'!$K:$K,0)),""),IF(F589="Trap",IFERROR(INDEX('Shooter-Squad Assignment'!$A:$A,MATCH(C589&amp;"-"&amp;E589&amp;"-"&amp;F589&amp;"-Pos5",'Shooter-Squad Assignment'!$W:$W,0)),""),IF(F589="Sporting Clays",IFERROR(INDEX('Shooter-Squad Assignment'!$A:$A,MATCH(C589&amp;"-"&amp;E589&amp;"-"&amp;F589&amp;"-Pos5",'Shooter-Squad Assignment'!$Z:$Z,0)),""),"")))</f>
        <v/>
      </c>
      <c r="P589" s="79" t="str">
        <f>IF(ISBLANK(O589),"",IFERROR(INDEX('Tournament List'!$D:$D,MATCH(O589,'Tournament List'!$A:$A,0)),""))</f>
        <v/>
      </c>
    </row>
    <row r="590" spans="1:16" x14ac:dyDescent="0.3">
      <c r="A590" s="78">
        <v>589</v>
      </c>
      <c r="B590" s="73" t="str">
        <f>C590&amp;"-"&amp;E590&amp;"-"&amp;F590</f>
        <v>-Varsity 3-Skeet</v>
      </c>
      <c r="C590" s="73"/>
      <c r="D590" s="73" t="str">
        <f>INDEX('Tournament Setup'!$B$59:$B$78,MATCH(E590,SquadConcurrents,0))</f>
        <v>Varsity</v>
      </c>
      <c r="E590" s="73" t="s">
        <v>352</v>
      </c>
      <c r="F590" s="73" t="s">
        <v>143</v>
      </c>
      <c r="G590" s="94" t="str">
        <f>IF(F590="Skeet",IFERROR(INDEX('Shooter-Squad Assignment'!$A:$A,MATCH(C590&amp;"-"&amp;E590&amp;"-"&amp;F590&amp;"-Pos1",'Shooter-Squad Assignment'!$K:$K,0)),""),IF(F590="Trap",IFERROR(INDEX('Shooter-Squad Assignment'!$A:$A,MATCH(C590&amp;"-"&amp;E590&amp;"-"&amp;F590&amp;"-Pos1",'Shooter-Squad Assignment'!$W:$W,0)),""),IF(F590="Sporting Clays",IFERROR(INDEX('Shooter-Squad Assignment'!$A:$A,MATCH(C590&amp;"-"&amp;E590&amp;"-"&amp;F590&amp;"-Pos1",'Shooter-Squad Assignment'!$Z:$Z,0)),""),"")))</f>
        <v/>
      </c>
      <c r="H590" s="73" t="str">
        <f>IF(ISBLANK(G590),"",IFERROR(INDEX('Tournament List'!$D:$D,MATCH(G590,'Tournament List'!$A:$A,0)),""))</f>
        <v/>
      </c>
      <c r="I590" s="94" t="str">
        <f>IF(F590="Skeet",IFERROR(INDEX('Shooter-Squad Assignment'!$A:$A,MATCH(C590&amp;"-"&amp;E590&amp;"-"&amp;F590&amp;"-Pos2",'Shooter-Squad Assignment'!$K:$K,0)),""),IF(F590="Trap",IFERROR(INDEX('Shooter-Squad Assignment'!$A:$A,MATCH(C590&amp;"-"&amp;E590&amp;"-"&amp;F590&amp;"-Pos2",'Shooter-Squad Assignment'!$W:$W,0)),""),IF(F590="Sporting Clays",IFERROR(INDEX('Shooter-Squad Assignment'!$A:$A,MATCH(C590&amp;"-"&amp;E590&amp;"-"&amp;F590&amp;"-Pos2",'Shooter-Squad Assignment'!$Z:$Z,0)),""),"")))</f>
        <v/>
      </c>
      <c r="J590" s="73" t="str">
        <f>IF(ISBLANK(I590),"",IFERROR(INDEX('Tournament List'!$D:$D,MATCH(I590,'Tournament List'!$A:$A,0)),""))</f>
        <v/>
      </c>
      <c r="K590" s="94" t="str">
        <f>IF(F590="Skeet",IFERROR(INDEX('Shooter-Squad Assignment'!$A:$A,MATCH(C590&amp;"-"&amp;E590&amp;"-"&amp;F590&amp;"-Pos3",'Shooter-Squad Assignment'!$K:$K,0)),""),IF(F590="Trap",IFERROR(INDEX('Shooter-Squad Assignment'!$A:$A,MATCH(C590&amp;"-"&amp;E590&amp;"-"&amp;F590&amp;"-Pos3",'Shooter-Squad Assignment'!$W:$W,0)),""),IF(F590="Sporting Clays",IFERROR(INDEX('Shooter-Squad Assignment'!$A:$A,MATCH(C590&amp;"-"&amp;E590&amp;"-"&amp;F590&amp;"-Pos3",'Shooter-Squad Assignment'!$Z:$Z,0)),""),"")))</f>
        <v/>
      </c>
      <c r="L590" s="73" t="str">
        <f>IF(ISBLANK(K590),"",IFERROR(INDEX('Tournament List'!$D:$D,MATCH(K590,'Tournament List'!$A:$A,0)),""))</f>
        <v/>
      </c>
      <c r="M590" s="94" t="str">
        <f>IF(F590="Skeet",IFERROR(INDEX('Shooter-Squad Assignment'!$A:$A,MATCH(C590&amp;"-"&amp;E590&amp;"-"&amp;F590&amp;"-Pos4",'Shooter-Squad Assignment'!$K:$K,0)),""),IF(F590="Trap",IFERROR(INDEX('Shooter-Squad Assignment'!$A:$A,MATCH(C590&amp;"-"&amp;E590&amp;"-"&amp;F590&amp;"-Pos4",'Shooter-Squad Assignment'!$W:$W,0)),""),IF(F590="Sporting Clays",IFERROR(INDEX('Shooter-Squad Assignment'!$A:$A,MATCH(C590&amp;"-"&amp;E590&amp;"-"&amp;F590&amp;"-Pos4",'Shooter-Squad Assignment'!$Z:$Z,0)),""),"")))</f>
        <v/>
      </c>
      <c r="N590" s="73" t="str">
        <f>IF(ISBLANK(M590),"",IFERROR(INDEX('Tournament List'!$D:$D,MATCH(M590,'Tournament List'!$A:$A,0)),""))</f>
        <v/>
      </c>
      <c r="O590" s="94" t="str">
        <f>IF(F590="Skeet",IFERROR(INDEX('Shooter-Squad Assignment'!$A:$A,MATCH(C590&amp;"-"&amp;E590&amp;"-"&amp;F590&amp;"-Pos5",'Shooter-Squad Assignment'!$K:$K,0)),""),IF(F590="Trap",IFERROR(INDEX('Shooter-Squad Assignment'!$A:$A,MATCH(C590&amp;"-"&amp;E590&amp;"-"&amp;F590&amp;"-Pos5",'Shooter-Squad Assignment'!$W:$W,0)),""),IF(F590="Sporting Clays",IFERROR(INDEX('Shooter-Squad Assignment'!$A:$A,MATCH(C590&amp;"-"&amp;E590&amp;"-"&amp;F590&amp;"-Pos5",'Shooter-Squad Assignment'!$Z:$Z,0)),""),"")))</f>
        <v/>
      </c>
      <c r="P590" s="79" t="str">
        <f>IF(ISBLANK(O590),"",IFERROR(INDEX('Tournament List'!$D:$D,MATCH(O590,'Tournament List'!$A:$A,0)),""))</f>
        <v/>
      </c>
    </row>
    <row r="591" spans="1:16" x14ac:dyDescent="0.3">
      <c r="A591" s="78">
        <v>590</v>
      </c>
      <c r="B591" s="73" t="str">
        <f>C591&amp;"-"&amp;E591&amp;"-"&amp;F591</f>
        <v>-Collegiate 1-Sporting Clays</v>
      </c>
      <c r="C591" s="73"/>
      <c r="D591" s="73" t="str">
        <f>INDEX('Tournament Setup'!$B$59:$B$78,MATCH(E591,SquadConcurrents,0))</f>
        <v>Collegiate</v>
      </c>
      <c r="E591" s="73" t="s">
        <v>342</v>
      </c>
      <c r="F591" s="73" t="s">
        <v>148</v>
      </c>
      <c r="G591" s="94" t="str">
        <f>IF(F591="Skeet",IFERROR(INDEX('Shooter-Squad Assignment'!$A:$A,MATCH(C591&amp;"-"&amp;E591&amp;"-"&amp;F591&amp;"-Pos1",'Shooter-Squad Assignment'!$K:$K,0)),""),IF(F591="Trap",IFERROR(INDEX('Shooter-Squad Assignment'!$A:$A,MATCH(C591&amp;"-"&amp;E591&amp;"-"&amp;F591&amp;"-Pos1",'Shooter-Squad Assignment'!$W:$W,0)),""),IF(F591="Sporting Clays",IFERROR(INDEX('Shooter-Squad Assignment'!$A:$A,MATCH(C591&amp;"-"&amp;E591&amp;"-"&amp;F591&amp;"-Pos1",'Shooter-Squad Assignment'!$Z:$Z,0)),""),"")))</f>
        <v/>
      </c>
      <c r="H591" s="73" t="str">
        <f>IF(ISBLANK(G591),"",IFERROR(INDEX('Tournament List'!$D:$D,MATCH(G591,'Tournament List'!$A:$A,0)),""))</f>
        <v/>
      </c>
      <c r="I591" s="94" t="str">
        <f>IF(F591="Skeet",IFERROR(INDEX('Shooter-Squad Assignment'!$A:$A,MATCH(C591&amp;"-"&amp;E591&amp;"-"&amp;F591&amp;"-Pos2",'Shooter-Squad Assignment'!$K:$K,0)),""),IF(F591="Trap",IFERROR(INDEX('Shooter-Squad Assignment'!$A:$A,MATCH(C591&amp;"-"&amp;E591&amp;"-"&amp;F591&amp;"-Pos2",'Shooter-Squad Assignment'!$W:$W,0)),""),IF(F591="Sporting Clays",IFERROR(INDEX('Shooter-Squad Assignment'!$A:$A,MATCH(C591&amp;"-"&amp;E591&amp;"-"&amp;F591&amp;"-Pos2",'Shooter-Squad Assignment'!$Z:$Z,0)),""),"")))</f>
        <v/>
      </c>
      <c r="J591" s="73" t="str">
        <f>IF(ISBLANK(I591),"",IFERROR(INDEX('Tournament List'!$D:$D,MATCH(I591,'Tournament List'!$A:$A,0)),""))</f>
        <v/>
      </c>
      <c r="K591" s="94" t="str">
        <f>IF(F591="Skeet",IFERROR(INDEX('Shooter-Squad Assignment'!$A:$A,MATCH(C591&amp;"-"&amp;E591&amp;"-"&amp;F591&amp;"-Pos3",'Shooter-Squad Assignment'!$K:$K,0)),""),IF(F591="Trap",IFERROR(INDEX('Shooter-Squad Assignment'!$A:$A,MATCH(C591&amp;"-"&amp;E591&amp;"-"&amp;F591&amp;"-Pos3",'Shooter-Squad Assignment'!$W:$W,0)),""),IF(F591="Sporting Clays",IFERROR(INDEX('Shooter-Squad Assignment'!$A:$A,MATCH(C591&amp;"-"&amp;E591&amp;"-"&amp;F591&amp;"-Pos3",'Shooter-Squad Assignment'!$Z:$Z,0)),""),"")))</f>
        <v/>
      </c>
      <c r="L591" s="73" t="str">
        <f>IF(ISBLANK(K591),"",IFERROR(INDEX('Tournament List'!$D:$D,MATCH(K591,'Tournament List'!$A:$A,0)),""))</f>
        <v/>
      </c>
      <c r="M591" s="94" t="str">
        <f>IF(F591="Skeet",IFERROR(INDEX('Shooter-Squad Assignment'!$A:$A,MATCH(C591&amp;"-"&amp;E591&amp;"-"&amp;F591&amp;"-Pos4",'Shooter-Squad Assignment'!$K:$K,0)),""),IF(F591="Trap",IFERROR(INDEX('Shooter-Squad Assignment'!$A:$A,MATCH(C591&amp;"-"&amp;E591&amp;"-"&amp;F591&amp;"-Pos4",'Shooter-Squad Assignment'!$W:$W,0)),""),IF(F591="Sporting Clays",IFERROR(INDEX('Shooter-Squad Assignment'!$A:$A,MATCH(C591&amp;"-"&amp;E591&amp;"-"&amp;F591&amp;"-Pos4",'Shooter-Squad Assignment'!$Z:$Z,0)),""),"")))</f>
        <v/>
      </c>
      <c r="N591" s="73" t="str">
        <f>IF(ISBLANK(M591),"",IFERROR(INDEX('Tournament List'!$D:$D,MATCH(M591,'Tournament List'!$A:$A,0)),""))</f>
        <v/>
      </c>
      <c r="O591" s="94" t="str">
        <f>IF(F591="Skeet",IFERROR(INDEX('Shooter-Squad Assignment'!$A:$A,MATCH(C591&amp;"-"&amp;E591&amp;"-"&amp;F591&amp;"-Pos5",'Shooter-Squad Assignment'!$K:$K,0)),""),IF(F591="Trap",IFERROR(INDEX('Shooter-Squad Assignment'!$A:$A,MATCH(C591&amp;"-"&amp;E591&amp;"-"&amp;F591&amp;"-Pos5",'Shooter-Squad Assignment'!$W:$W,0)),""),IF(F591="Sporting Clays",IFERROR(INDEX('Shooter-Squad Assignment'!$A:$A,MATCH(C591&amp;"-"&amp;E591&amp;"-"&amp;F591&amp;"-Pos5",'Shooter-Squad Assignment'!$Z:$Z,0)),""),"")))</f>
        <v/>
      </c>
      <c r="P591" s="79" t="str">
        <f>IF(ISBLANK(O591),"",IFERROR(INDEX('Tournament List'!$D:$D,MATCH(O591,'Tournament List'!$A:$A,0)),""))</f>
        <v/>
      </c>
    </row>
    <row r="592" spans="1:16" x14ac:dyDescent="0.3">
      <c r="A592" s="78">
        <v>591</v>
      </c>
      <c r="B592" s="73" t="str">
        <f>C592&amp;"-"&amp;E592&amp;"-"&amp;F592</f>
        <v>-Collegiate 2-Sporting Clays</v>
      </c>
      <c r="C592" s="73"/>
      <c r="D592" s="73" t="str">
        <f>INDEX('Tournament Setup'!$B$59:$B$78,MATCH(E592,SquadConcurrents,0))</f>
        <v>Collegiate</v>
      </c>
      <c r="E592" s="73" t="s">
        <v>348</v>
      </c>
      <c r="F592" s="73" t="s">
        <v>148</v>
      </c>
      <c r="G592" s="94" t="str">
        <f>IF(F592="Skeet",IFERROR(INDEX('Shooter-Squad Assignment'!$A:$A,MATCH(C592&amp;"-"&amp;E592&amp;"-"&amp;F592&amp;"-Pos1",'Shooter-Squad Assignment'!$K:$K,0)),""),IF(F592="Trap",IFERROR(INDEX('Shooter-Squad Assignment'!$A:$A,MATCH(C592&amp;"-"&amp;E592&amp;"-"&amp;F592&amp;"-Pos1",'Shooter-Squad Assignment'!$W:$W,0)),""),IF(F592="Sporting Clays",IFERROR(INDEX('Shooter-Squad Assignment'!$A:$A,MATCH(C592&amp;"-"&amp;E592&amp;"-"&amp;F592&amp;"-Pos1",'Shooter-Squad Assignment'!$Z:$Z,0)),""),"")))</f>
        <v/>
      </c>
      <c r="H592" s="73" t="str">
        <f>IF(ISBLANK(G592),"",IFERROR(INDEX('Tournament List'!$D:$D,MATCH(G592,'Tournament List'!$A:$A,0)),""))</f>
        <v/>
      </c>
      <c r="I592" s="94" t="str">
        <f>IF(F592="Skeet",IFERROR(INDEX('Shooter-Squad Assignment'!$A:$A,MATCH(C592&amp;"-"&amp;E592&amp;"-"&amp;F592&amp;"-Pos2",'Shooter-Squad Assignment'!$K:$K,0)),""),IF(F592="Trap",IFERROR(INDEX('Shooter-Squad Assignment'!$A:$A,MATCH(C592&amp;"-"&amp;E592&amp;"-"&amp;F592&amp;"-Pos2",'Shooter-Squad Assignment'!$W:$W,0)),""),IF(F592="Sporting Clays",IFERROR(INDEX('Shooter-Squad Assignment'!$A:$A,MATCH(C592&amp;"-"&amp;E592&amp;"-"&amp;F592&amp;"-Pos2",'Shooter-Squad Assignment'!$Z:$Z,0)),""),"")))</f>
        <v/>
      </c>
      <c r="J592" s="73" t="str">
        <f>IF(ISBLANK(I592),"",IFERROR(INDEX('Tournament List'!$D:$D,MATCH(I592,'Tournament List'!$A:$A,0)),""))</f>
        <v/>
      </c>
      <c r="K592" s="94" t="str">
        <f>IF(F592="Skeet",IFERROR(INDEX('Shooter-Squad Assignment'!$A:$A,MATCH(C592&amp;"-"&amp;E592&amp;"-"&amp;F592&amp;"-Pos3",'Shooter-Squad Assignment'!$K:$K,0)),""),IF(F592="Trap",IFERROR(INDEX('Shooter-Squad Assignment'!$A:$A,MATCH(C592&amp;"-"&amp;E592&amp;"-"&amp;F592&amp;"-Pos3",'Shooter-Squad Assignment'!$W:$W,0)),""),IF(F592="Sporting Clays",IFERROR(INDEX('Shooter-Squad Assignment'!$A:$A,MATCH(C592&amp;"-"&amp;E592&amp;"-"&amp;F592&amp;"-Pos3",'Shooter-Squad Assignment'!$Z:$Z,0)),""),"")))</f>
        <v/>
      </c>
      <c r="L592" s="73" t="str">
        <f>IF(ISBLANK(K592),"",IFERROR(INDEX('Tournament List'!$D:$D,MATCH(K592,'Tournament List'!$A:$A,0)),""))</f>
        <v/>
      </c>
      <c r="M592" s="94" t="str">
        <f>IF(F592="Skeet",IFERROR(INDEX('Shooter-Squad Assignment'!$A:$A,MATCH(C592&amp;"-"&amp;E592&amp;"-"&amp;F592&amp;"-Pos4",'Shooter-Squad Assignment'!$K:$K,0)),""),IF(F592="Trap",IFERROR(INDEX('Shooter-Squad Assignment'!$A:$A,MATCH(C592&amp;"-"&amp;E592&amp;"-"&amp;F592&amp;"-Pos4",'Shooter-Squad Assignment'!$W:$W,0)),""),IF(F592="Sporting Clays",IFERROR(INDEX('Shooter-Squad Assignment'!$A:$A,MATCH(C592&amp;"-"&amp;E592&amp;"-"&amp;F592&amp;"-Pos4",'Shooter-Squad Assignment'!$Z:$Z,0)),""),"")))</f>
        <v/>
      </c>
      <c r="N592" s="73" t="str">
        <f>IF(ISBLANK(M592),"",IFERROR(INDEX('Tournament List'!$D:$D,MATCH(M592,'Tournament List'!$A:$A,0)),""))</f>
        <v/>
      </c>
      <c r="O592" s="94" t="str">
        <f>IF(F592="Skeet",IFERROR(INDEX('Shooter-Squad Assignment'!$A:$A,MATCH(C592&amp;"-"&amp;E592&amp;"-"&amp;F592&amp;"-Pos5",'Shooter-Squad Assignment'!$K:$K,0)),""),IF(F592="Trap",IFERROR(INDEX('Shooter-Squad Assignment'!$A:$A,MATCH(C592&amp;"-"&amp;E592&amp;"-"&amp;F592&amp;"-Pos5",'Shooter-Squad Assignment'!$W:$W,0)),""),IF(F592="Sporting Clays",IFERROR(INDEX('Shooter-Squad Assignment'!$A:$A,MATCH(C592&amp;"-"&amp;E592&amp;"-"&amp;F592&amp;"-Pos5",'Shooter-Squad Assignment'!$Z:$Z,0)),""),"")))</f>
        <v/>
      </c>
      <c r="P592" s="79" t="str">
        <f>IF(ISBLANK(O592),"",IFERROR(INDEX('Tournament List'!$D:$D,MATCH(O592,'Tournament List'!$A:$A,0)),""))</f>
        <v/>
      </c>
    </row>
    <row r="593" spans="1:16" x14ac:dyDescent="0.3">
      <c r="A593" s="78">
        <v>592</v>
      </c>
      <c r="B593" s="73" t="str">
        <f>C593&amp;"-"&amp;E593&amp;"-"&amp;F593</f>
        <v>-Collegiate 3-Sporting Clays</v>
      </c>
      <c r="C593" s="73"/>
      <c r="D593" s="73" t="str">
        <f>INDEX('Tournament Setup'!$B$59:$B$78,MATCH(E593,SquadConcurrents,0))</f>
        <v>Collegiate</v>
      </c>
      <c r="E593" s="73" t="s">
        <v>354</v>
      </c>
      <c r="F593" s="73" t="s">
        <v>148</v>
      </c>
      <c r="G593" s="94" t="str">
        <f>IF(F593="Skeet",IFERROR(INDEX('Shooter-Squad Assignment'!$A:$A,MATCH(C593&amp;"-"&amp;E593&amp;"-"&amp;F593&amp;"-Pos1",'Shooter-Squad Assignment'!$K:$K,0)),""),IF(F593="Trap",IFERROR(INDEX('Shooter-Squad Assignment'!$A:$A,MATCH(C593&amp;"-"&amp;E593&amp;"-"&amp;F593&amp;"-Pos1",'Shooter-Squad Assignment'!$W:$W,0)),""),IF(F593="Sporting Clays",IFERROR(INDEX('Shooter-Squad Assignment'!$A:$A,MATCH(C593&amp;"-"&amp;E593&amp;"-"&amp;F593&amp;"-Pos1",'Shooter-Squad Assignment'!$Z:$Z,0)),""),"")))</f>
        <v/>
      </c>
      <c r="H593" s="73" t="str">
        <f>IF(ISBLANK(G593),"",IFERROR(INDEX('Tournament List'!$D:$D,MATCH(G593,'Tournament List'!$A:$A,0)),""))</f>
        <v/>
      </c>
      <c r="I593" s="94" t="str">
        <f>IF(F593="Skeet",IFERROR(INDEX('Shooter-Squad Assignment'!$A:$A,MATCH(C593&amp;"-"&amp;E593&amp;"-"&amp;F593&amp;"-Pos2",'Shooter-Squad Assignment'!$K:$K,0)),""),IF(F593="Trap",IFERROR(INDEX('Shooter-Squad Assignment'!$A:$A,MATCH(C593&amp;"-"&amp;E593&amp;"-"&amp;F593&amp;"-Pos2",'Shooter-Squad Assignment'!$W:$W,0)),""),IF(F593="Sporting Clays",IFERROR(INDEX('Shooter-Squad Assignment'!$A:$A,MATCH(C593&amp;"-"&amp;E593&amp;"-"&amp;F593&amp;"-Pos2",'Shooter-Squad Assignment'!$Z:$Z,0)),""),"")))</f>
        <v/>
      </c>
      <c r="J593" s="73" t="str">
        <f>IF(ISBLANK(I593),"",IFERROR(INDEX('Tournament List'!$D:$D,MATCH(I593,'Tournament List'!$A:$A,0)),""))</f>
        <v/>
      </c>
      <c r="K593" s="94" t="str">
        <f>IF(F593="Skeet",IFERROR(INDEX('Shooter-Squad Assignment'!$A:$A,MATCH(C593&amp;"-"&amp;E593&amp;"-"&amp;F593&amp;"-Pos3",'Shooter-Squad Assignment'!$K:$K,0)),""),IF(F593="Trap",IFERROR(INDEX('Shooter-Squad Assignment'!$A:$A,MATCH(C593&amp;"-"&amp;E593&amp;"-"&amp;F593&amp;"-Pos3",'Shooter-Squad Assignment'!$W:$W,0)),""),IF(F593="Sporting Clays",IFERROR(INDEX('Shooter-Squad Assignment'!$A:$A,MATCH(C593&amp;"-"&amp;E593&amp;"-"&amp;F593&amp;"-Pos3",'Shooter-Squad Assignment'!$Z:$Z,0)),""),"")))</f>
        <v/>
      </c>
      <c r="L593" s="73" t="str">
        <f>IF(ISBLANK(K593),"",IFERROR(INDEX('Tournament List'!$D:$D,MATCH(K593,'Tournament List'!$A:$A,0)),""))</f>
        <v/>
      </c>
      <c r="M593" s="94" t="str">
        <f>IF(F593="Skeet",IFERROR(INDEX('Shooter-Squad Assignment'!$A:$A,MATCH(C593&amp;"-"&amp;E593&amp;"-"&amp;F593&amp;"-Pos4",'Shooter-Squad Assignment'!$K:$K,0)),""),IF(F593="Trap",IFERROR(INDEX('Shooter-Squad Assignment'!$A:$A,MATCH(C593&amp;"-"&amp;E593&amp;"-"&amp;F593&amp;"-Pos4",'Shooter-Squad Assignment'!$W:$W,0)),""),IF(F593="Sporting Clays",IFERROR(INDEX('Shooter-Squad Assignment'!$A:$A,MATCH(C593&amp;"-"&amp;E593&amp;"-"&amp;F593&amp;"-Pos4",'Shooter-Squad Assignment'!$Z:$Z,0)),""),"")))</f>
        <v/>
      </c>
      <c r="N593" s="73" t="str">
        <f>IF(ISBLANK(M593),"",IFERROR(INDEX('Tournament List'!$D:$D,MATCH(M593,'Tournament List'!$A:$A,0)),""))</f>
        <v/>
      </c>
      <c r="O593" s="94" t="str">
        <f>IF(F593="Skeet",IFERROR(INDEX('Shooter-Squad Assignment'!$A:$A,MATCH(C593&amp;"-"&amp;E593&amp;"-"&amp;F593&amp;"-Pos5",'Shooter-Squad Assignment'!$K:$K,0)),""),IF(F593="Trap",IFERROR(INDEX('Shooter-Squad Assignment'!$A:$A,MATCH(C593&amp;"-"&amp;E593&amp;"-"&amp;F593&amp;"-Pos5",'Shooter-Squad Assignment'!$W:$W,0)),""),IF(F593="Sporting Clays",IFERROR(INDEX('Shooter-Squad Assignment'!$A:$A,MATCH(C593&amp;"-"&amp;E593&amp;"-"&amp;F593&amp;"-Pos5",'Shooter-Squad Assignment'!$Z:$Z,0)),""),"")))</f>
        <v/>
      </c>
      <c r="P593" s="79" t="str">
        <f>IF(ISBLANK(O593),"",IFERROR(INDEX('Tournament List'!$D:$D,MATCH(O593,'Tournament List'!$A:$A,0)),""))</f>
        <v/>
      </c>
    </row>
    <row r="594" spans="1:16" x14ac:dyDescent="0.3">
      <c r="A594" s="78">
        <v>593</v>
      </c>
      <c r="B594" s="73" t="str">
        <f>C594&amp;"-"&amp;E594&amp;"-"&amp;F594</f>
        <v>-Intermediate 1-Sporting Clays</v>
      </c>
      <c r="C594" s="73"/>
      <c r="D594" s="73" t="str">
        <f>INDEX('Tournament Setup'!$B$59:$B$78,MATCH(E594,SquadConcurrents,0))</f>
        <v>Intermediate</v>
      </c>
      <c r="E594" s="73" t="s">
        <v>338</v>
      </c>
      <c r="F594" s="73" t="s">
        <v>148</v>
      </c>
      <c r="G594" s="94" t="str">
        <f>IF(F594="Skeet",IFERROR(INDEX('Shooter-Squad Assignment'!$A:$A,MATCH(C594&amp;"-"&amp;E594&amp;"-"&amp;F594&amp;"-Pos1",'Shooter-Squad Assignment'!$K:$K,0)),""),IF(F594="Trap",IFERROR(INDEX('Shooter-Squad Assignment'!$A:$A,MATCH(C594&amp;"-"&amp;E594&amp;"-"&amp;F594&amp;"-Pos1",'Shooter-Squad Assignment'!$W:$W,0)),""),IF(F594="Sporting Clays",IFERROR(INDEX('Shooter-Squad Assignment'!$A:$A,MATCH(C594&amp;"-"&amp;E594&amp;"-"&amp;F594&amp;"-Pos1",'Shooter-Squad Assignment'!$Z:$Z,0)),""),"")))</f>
        <v/>
      </c>
      <c r="H594" s="73" t="str">
        <f>IF(ISBLANK(G594),"",IFERROR(INDEX('Tournament List'!$D:$D,MATCH(G594,'Tournament List'!$A:$A,0)),""))</f>
        <v/>
      </c>
      <c r="I594" s="94" t="str">
        <f>IF(F594="Skeet",IFERROR(INDEX('Shooter-Squad Assignment'!$A:$A,MATCH(C594&amp;"-"&amp;E594&amp;"-"&amp;F594&amp;"-Pos2",'Shooter-Squad Assignment'!$K:$K,0)),""),IF(F594="Trap",IFERROR(INDEX('Shooter-Squad Assignment'!$A:$A,MATCH(C594&amp;"-"&amp;E594&amp;"-"&amp;F594&amp;"-Pos2",'Shooter-Squad Assignment'!$W:$W,0)),""),IF(F594="Sporting Clays",IFERROR(INDEX('Shooter-Squad Assignment'!$A:$A,MATCH(C594&amp;"-"&amp;E594&amp;"-"&amp;F594&amp;"-Pos2",'Shooter-Squad Assignment'!$Z:$Z,0)),""),"")))</f>
        <v/>
      </c>
      <c r="J594" s="73" t="str">
        <f>IF(ISBLANK(I594),"",IFERROR(INDEX('Tournament List'!$D:$D,MATCH(I594,'Tournament List'!$A:$A,0)),""))</f>
        <v/>
      </c>
      <c r="K594" s="94" t="str">
        <f>IF(F594="Skeet",IFERROR(INDEX('Shooter-Squad Assignment'!$A:$A,MATCH(C594&amp;"-"&amp;E594&amp;"-"&amp;F594&amp;"-Pos3",'Shooter-Squad Assignment'!$K:$K,0)),""),IF(F594="Trap",IFERROR(INDEX('Shooter-Squad Assignment'!$A:$A,MATCH(C594&amp;"-"&amp;E594&amp;"-"&amp;F594&amp;"-Pos3",'Shooter-Squad Assignment'!$W:$W,0)),""),IF(F594="Sporting Clays",IFERROR(INDEX('Shooter-Squad Assignment'!$A:$A,MATCH(C594&amp;"-"&amp;E594&amp;"-"&amp;F594&amp;"-Pos3",'Shooter-Squad Assignment'!$Z:$Z,0)),""),"")))</f>
        <v/>
      </c>
      <c r="L594" s="73" t="str">
        <f>IF(ISBLANK(K594),"",IFERROR(INDEX('Tournament List'!$D:$D,MATCH(K594,'Tournament List'!$A:$A,0)),""))</f>
        <v/>
      </c>
      <c r="M594" s="94" t="str">
        <f>IF(F594="Skeet",IFERROR(INDEX('Shooter-Squad Assignment'!$A:$A,MATCH(C594&amp;"-"&amp;E594&amp;"-"&amp;F594&amp;"-Pos4",'Shooter-Squad Assignment'!$K:$K,0)),""),IF(F594="Trap",IFERROR(INDEX('Shooter-Squad Assignment'!$A:$A,MATCH(C594&amp;"-"&amp;E594&amp;"-"&amp;F594&amp;"-Pos4",'Shooter-Squad Assignment'!$W:$W,0)),""),IF(F594="Sporting Clays",IFERROR(INDEX('Shooter-Squad Assignment'!$A:$A,MATCH(C594&amp;"-"&amp;E594&amp;"-"&amp;F594&amp;"-Pos4",'Shooter-Squad Assignment'!$Z:$Z,0)),""),"")))</f>
        <v/>
      </c>
      <c r="N594" s="73" t="str">
        <f>IF(ISBLANK(M594),"",IFERROR(INDEX('Tournament List'!$D:$D,MATCH(M594,'Tournament List'!$A:$A,0)),""))</f>
        <v/>
      </c>
      <c r="O594" s="94" t="str">
        <f>IF(F594="Skeet",IFERROR(INDEX('Shooter-Squad Assignment'!$A:$A,MATCH(C594&amp;"-"&amp;E594&amp;"-"&amp;F594&amp;"-Pos5",'Shooter-Squad Assignment'!$K:$K,0)),""),IF(F594="Trap",IFERROR(INDEX('Shooter-Squad Assignment'!$A:$A,MATCH(C594&amp;"-"&amp;E594&amp;"-"&amp;F594&amp;"-Pos5",'Shooter-Squad Assignment'!$W:$W,0)),""),IF(F594="Sporting Clays",IFERROR(INDEX('Shooter-Squad Assignment'!$A:$A,MATCH(C594&amp;"-"&amp;E594&amp;"-"&amp;F594&amp;"-Pos5",'Shooter-Squad Assignment'!$Z:$Z,0)),""),"")))</f>
        <v/>
      </c>
      <c r="P594" s="79" t="str">
        <f>IF(ISBLANK(O594),"",IFERROR(INDEX('Tournament List'!$D:$D,MATCH(O594,'Tournament List'!$A:$A,0)),""))</f>
        <v/>
      </c>
    </row>
    <row r="595" spans="1:16" x14ac:dyDescent="0.3">
      <c r="A595" s="78">
        <v>594</v>
      </c>
      <c r="B595" s="73" t="str">
        <f>C595&amp;"-"&amp;E595&amp;"-"&amp;F595</f>
        <v>-Intermediate 2-Sporting Clays</v>
      </c>
      <c r="C595" s="73"/>
      <c r="D595" s="73" t="str">
        <f>INDEX('Tournament Setup'!$B$59:$B$78,MATCH(E595,SquadConcurrents,0))</f>
        <v>Intermediate</v>
      </c>
      <c r="E595" s="73" t="s">
        <v>344</v>
      </c>
      <c r="F595" s="73" t="s">
        <v>148</v>
      </c>
      <c r="G595" s="94" t="str">
        <f>IF(F595="Skeet",IFERROR(INDEX('Shooter-Squad Assignment'!$A:$A,MATCH(C595&amp;"-"&amp;E595&amp;"-"&amp;F595&amp;"-Pos1",'Shooter-Squad Assignment'!$K:$K,0)),""),IF(F595="Trap",IFERROR(INDEX('Shooter-Squad Assignment'!$A:$A,MATCH(C595&amp;"-"&amp;E595&amp;"-"&amp;F595&amp;"-Pos1",'Shooter-Squad Assignment'!$W:$W,0)),""),IF(F595="Sporting Clays",IFERROR(INDEX('Shooter-Squad Assignment'!$A:$A,MATCH(C595&amp;"-"&amp;E595&amp;"-"&amp;F595&amp;"-Pos1",'Shooter-Squad Assignment'!$Z:$Z,0)),""),"")))</f>
        <v/>
      </c>
      <c r="H595" s="73" t="str">
        <f>IF(ISBLANK(G595),"",IFERROR(INDEX('Tournament List'!$D:$D,MATCH(G595,'Tournament List'!$A:$A,0)),""))</f>
        <v/>
      </c>
      <c r="I595" s="94" t="str">
        <f>IF(F595="Skeet",IFERROR(INDEX('Shooter-Squad Assignment'!$A:$A,MATCH(C595&amp;"-"&amp;E595&amp;"-"&amp;F595&amp;"-Pos2",'Shooter-Squad Assignment'!$K:$K,0)),""),IF(F595="Trap",IFERROR(INDEX('Shooter-Squad Assignment'!$A:$A,MATCH(C595&amp;"-"&amp;E595&amp;"-"&amp;F595&amp;"-Pos2",'Shooter-Squad Assignment'!$W:$W,0)),""),IF(F595="Sporting Clays",IFERROR(INDEX('Shooter-Squad Assignment'!$A:$A,MATCH(C595&amp;"-"&amp;E595&amp;"-"&amp;F595&amp;"-Pos2",'Shooter-Squad Assignment'!$Z:$Z,0)),""),"")))</f>
        <v/>
      </c>
      <c r="J595" s="73" t="str">
        <f>IF(ISBLANK(I595),"",IFERROR(INDEX('Tournament List'!$D:$D,MATCH(I595,'Tournament List'!$A:$A,0)),""))</f>
        <v/>
      </c>
      <c r="K595" s="94" t="str">
        <f>IF(F595="Skeet",IFERROR(INDEX('Shooter-Squad Assignment'!$A:$A,MATCH(C595&amp;"-"&amp;E595&amp;"-"&amp;F595&amp;"-Pos3",'Shooter-Squad Assignment'!$K:$K,0)),""),IF(F595="Trap",IFERROR(INDEX('Shooter-Squad Assignment'!$A:$A,MATCH(C595&amp;"-"&amp;E595&amp;"-"&amp;F595&amp;"-Pos3",'Shooter-Squad Assignment'!$W:$W,0)),""),IF(F595="Sporting Clays",IFERROR(INDEX('Shooter-Squad Assignment'!$A:$A,MATCH(C595&amp;"-"&amp;E595&amp;"-"&amp;F595&amp;"-Pos3",'Shooter-Squad Assignment'!$Z:$Z,0)),""),"")))</f>
        <v/>
      </c>
      <c r="L595" s="73" t="str">
        <f>IF(ISBLANK(K595),"",IFERROR(INDEX('Tournament List'!$D:$D,MATCH(K595,'Tournament List'!$A:$A,0)),""))</f>
        <v/>
      </c>
      <c r="M595" s="94" t="str">
        <f>IF(F595="Skeet",IFERROR(INDEX('Shooter-Squad Assignment'!$A:$A,MATCH(C595&amp;"-"&amp;E595&amp;"-"&amp;F595&amp;"-Pos4",'Shooter-Squad Assignment'!$K:$K,0)),""),IF(F595="Trap",IFERROR(INDEX('Shooter-Squad Assignment'!$A:$A,MATCH(C595&amp;"-"&amp;E595&amp;"-"&amp;F595&amp;"-Pos4",'Shooter-Squad Assignment'!$W:$W,0)),""),IF(F595="Sporting Clays",IFERROR(INDEX('Shooter-Squad Assignment'!$A:$A,MATCH(C595&amp;"-"&amp;E595&amp;"-"&amp;F595&amp;"-Pos4",'Shooter-Squad Assignment'!$Z:$Z,0)),""),"")))</f>
        <v/>
      </c>
      <c r="N595" s="73" t="str">
        <f>IF(ISBLANK(M595),"",IFERROR(INDEX('Tournament List'!$D:$D,MATCH(M595,'Tournament List'!$A:$A,0)),""))</f>
        <v/>
      </c>
      <c r="O595" s="94" t="str">
        <f>IF(F595="Skeet",IFERROR(INDEX('Shooter-Squad Assignment'!$A:$A,MATCH(C595&amp;"-"&amp;E595&amp;"-"&amp;F595&amp;"-Pos5",'Shooter-Squad Assignment'!$K:$K,0)),""),IF(F595="Trap",IFERROR(INDEX('Shooter-Squad Assignment'!$A:$A,MATCH(C595&amp;"-"&amp;E595&amp;"-"&amp;F595&amp;"-Pos5",'Shooter-Squad Assignment'!$W:$W,0)),""),IF(F595="Sporting Clays",IFERROR(INDEX('Shooter-Squad Assignment'!$A:$A,MATCH(C595&amp;"-"&amp;E595&amp;"-"&amp;F595&amp;"-Pos5",'Shooter-Squad Assignment'!$Z:$Z,0)),""),"")))</f>
        <v/>
      </c>
      <c r="P595" s="79" t="str">
        <f>IF(ISBLANK(O595),"",IFERROR(INDEX('Tournament List'!$D:$D,MATCH(O595,'Tournament List'!$A:$A,0)),""))</f>
        <v/>
      </c>
    </row>
    <row r="596" spans="1:16" x14ac:dyDescent="0.3">
      <c r="A596" s="78">
        <v>595</v>
      </c>
      <c r="B596" s="73" t="str">
        <f>C596&amp;"-"&amp;E596&amp;"-"&amp;F596</f>
        <v>-Intermediate 3-Sporting Clays</v>
      </c>
      <c r="C596" s="73"/>
      <c r="D596" s="73" t="str">
        <f>INDEX('Tournament Setup'!$B$59:$B$78,MATCH(E596,SquadConcurrents,0))</f>
        <v>Intermediate</v>
      </c>
      <c r="E596" s="73" t="s">
        <v>350</v>
      </c>
      <c r="F596" s="73" t="s">
        <v>148</v>
      </c>
      <c r="G596" s="94" t="str">
        <f>IF(F596="Skeet",IFERROR(INDEX('Shooter-Squad Assignment'!$A:$A,MATCH(C596&amp;"-"&amp;E596&amp;"-"&amp;F596&amp;"-Pos1",'Shooter-Squad Assignment'!$K:$K,0)),""),IF(F596="Trap",IFERROR(INDEX('Shooter-Squad Assignment'!$A:$A,MATCH(C596&amp;"-"&amp;E596&amp;"-"&amp;F596&amp;"-Pos1",'Shooter-Squad Assignment'!$W:$W,0)),""),IF(F596="Sporting Clays",IFERROR(INDEX('Shooter-Squad Assignment'!$A:$A,MATCH(C596&amp;"-"&amp;E596&amp;"-"&amp;F596&amp;"-Pos1",'Shooter-Squad Assignment'!$Z:$Z,0)),""),"")))</f>
        <v/>
      </c>
      <c r="H596" s="73" t="str">
        <f>IF(ISBLANK(G596),"",IFERROR(INDEX('Tournament List'!$D:$D,MATCH(G596,'Tournament List'!$A:$A,0)),""))</f>
        <v/>
      </c>
      <c r="I596" s="94" t="str">
        <f>IF(F596="Skeet",IFERROR(INDEX('Shooter-Squad Assignment'!$A:$A,MATCH(C596&amp;"-"&amp;E596&amp;"-"&amp;F596&amp;"-Pos2",'Shooter-Squad Assignment'!$K:$K,0)),""),IF(F596="Trap",IFERROR(INDEX('Shooter-Squad Assignment'!$A:$A,MATCH(C596&amp;"-"&amp;E596&amp;"-"&amp;F596&amp;"-Pos2",'Shooter-Squad Assignment'!$W:$W,0)),""),IF(F596="Sporting Clays",IFERROR(INDEX('Shooter-Squad Assignment'!$A:$A,MATCH(C596&amp;"-"&amp;E596&amp;"-"&amp;F596&amp;"-Pos2",'Shooter-Squad Assignment'!$Z:$Z,0)),""),"")))</f>
        <v/>
      </c>
      <c r="J596" s="73" t="str">
        <f>IF(ISBLANK(I596),"",IFERROR(INDEX('Tournament List'!$D:$D,MATCH(I596,'Tournament List'!$A:$A,0)),""))</f>
        <v/>
      </c>
      <c r="K596" s="94" t="str">
        <f>IF(F596="Skeet",IFERROR(INDEX('Shooter-Squad Assignment'!$A:$A,MATCH(C596&amp;"-"&amp;E596&amp;"-"&amp;F596&amp;"-Pos3",'Shooter-Squad Assignment'!$K:$K,0)),""),IF(F596="Trap",IFERROR(INDEX('Shooter-Squad Assignment'!$A:$A,MATCH(C596&amp;"-"&amp;E596&amp;"-"&amp;F596&amp;"-Pos3",'Shooter-Squad Assignment'!$W:$W,0)),""),IF(F596="Sporting Clays",IFERROR(INDEX('Shooter-Squad Assignment'!$A:$A,MATCH(C596&amp;"-"&amp;E596&amp;"-"&amp;F596&amp;"-Pos3",'Shooter-Squad Assignment'!$Z:$Z,0)),""),"")))</f>
        <v/>
      </c>
      <c r="L596" s="73" t="str">
        <f>IF(ISBLANK(K596),"",IFERROR(INDEX('Tournament List'!$D:$D,MATCH(K596,'Tournament List'!$A:$A,0)),""))</f>
        <v/>
      </c>
      <c r="M596" s="94" t="str">
        <f>IF(F596="Skeet",IFERROR(INDEX('Shooter-Squad Assignment'!$A:$A,MATCH(C596&amp;"-"&amp;E596&amp;"-"&amp;F596&amp;"-Pos4",'Shooter-Squad Assignment'!$K:$K,0)),""),IF(F596="Trap",IFERROR(INDEX('Shooter-Squad Assignment'!$A:$A,MATCH(C596&amp;"-"&amp;E596&amp;"-"&amp;F596&amp;"-Pos4",'Shooter-Squad Assignment'!$W:$W,0)),""),IF(F596="Sporting Clays",IFERROR(INDEX('Shooter-Squad Assignment'!$A:$A,MATCH(C596&amp;"-"&amp;E596&amp;"-"&amp;F596&amp;"-Pos4",'Shooter-Squad Assignment'!$Z:$Z,0)),""),"")))</f>
        <v/>
      </c>
      <c r="N596" s="73" t="str">
        <f>IF(ISBLANK(M596),"",IFERROR(INDEX('Tournament List'!$D:$D,MATCH(M596,'Tournament List'!$A:$A,0)),""))</f>
        <v/>
      </c>
      <c r="O596" s="94" t="str">
        <f>IF(F596="Skeet",IFERROR(INDEX('Shooter-Squad Assignment'!$A:$A,MATCH(C596&amp;"-"&amp;E596&amp;"-"&amp;F596&amp;"-Pos5",'Shooter-Squad Assignment'!$K:$K,0)),""),IF(F596="Trap",IFERROR(INDEX('Shooter-Squad Assignment'!$A:$A,MATCH(C596&amp;"-"&amp;E596&amp;"-"&amp;F596&amp;"-Pos5",'Shooter-Squad Assignment'!$W:$W,0)),""),IF(F596="Sporting Clays",IFERROR(INDEX('Shooter-Squad Assignment'!$A:$A,MATCH(C596&amp;"-"&amp;E596&amp;"-"&amp;F596&amp;"-Pos5",'Shooter-Squad Assignment'!$Z:$Z,0)),""),"")))</f>
        <v/>
      </c>
      <c r="P596" s="79" t="str">
        <f>IF(ISBLANK(O596),"",IFERROR(INDEX('Tournament List'!$D:$D,MATCH(O596,'Tournament List'!$A:$A,0)),""))</f>
        <v/>
      </c>
    </row>
    <row r="597" spans="1:16" x14ac:dyDescent="0.3">
      <c r="A597" s="78">
        <v>596</v>
      </c>
      <c r="B597" s="73" t="str">
        <f>C597&amp;"-"&amp;E597&amp;"-"&amp;F597</f>
        <v>-Junior Varsity 1-Sporting Clays</v>
      </c>
      <c r="C597" s="73"/>
      <c r="D597" s="73" t="str">
        <f>INDEX('Tournament Setup'!$B$59:$B$78,MATCH(E597,SquadConcurrents,0))</f>
        <v>Junior Varsity</v>
      </c>
      <c r="E597" s="73" t="s">
        <v>339</v>
      </c>
      <c r="F597" s="73" t="s">
        <v>148</v>
      </c>
      <c r="G597" s="94" t="str">
        <f>IF(F597="Skeet",IFERROR(INDEX('Shooter-Squad Assignment'!$A:$A,MATCH(C597&amp;"-"&amp;E597&amp;"-"&amp;F597&amp;"-Pos1",'Shooter-Squad Assignment'!$K:$K,0)),""),IF(F597="Trap",IFERROR(INDEX('Shooter-Squad Assignment'!$A:$A,MATCH(C597&amp;"-"&amp;E597&amp;"-"&amp;F597&amp;"-Pos1",'Shooter-Squad Assignment'!$W:$W,0)),""),IF(F597="Sporting Clays",IFERROR(INDEX('Shooter-Squad Assignment'!$A:$A,MATCH(C597&amp;"-"&amp;E597&amp;"-"&amp;F597&amp;"-Pos1",'Shooter-Squad Assignment'!$Z:$Z,0)),""),"")))</f>
        <v/>
      </c>
      <c r="H597" s="73" t="str">
        <f>IF(ISBLANK(G597),"",IFERROR(INDEX('Tournament List'!$D:$D,MATCH(G597,'Tournament List'!$A:$A,0)),""))</f>
        <v/>
      </c>
      <c r="I597" s="94" t="str">
        <f>IF(F597="Skeet",IFERROR(INDEX('Shooter-Squad Assignment'!$A:$A,MATCH(C597&amp;"-"&amp;E597&amp;"-"&amp;F597&amp;"-Pos2",'Shooter-Squad Assignment'!$K:$K,0)),""),IF(F597="Trap",IFERROR(INDEX('Shooter-Squad Assignment'!$A:$A,MATCH(C597&amp;"-"&amp;E597&amp;"-"&amp;F597&amp;"-Pos2",'Shooter-Squad Assignment'!$W:$W,0)),""),IF(F597="Sporting Clays",IFERROR(INDEX('Shooter-Squad Assignment'!$A:$A,MATCH(C597&amp;"-"&amp;E597&amp;"-"&amp;F597&amp;"-Pos2",'Shooter-Squad Assignment'!$Z:$Z,0)),""),"")))</f>
        <v/>
      </c>
      <c r="J597" s="73" t="str">
        <f>IF(ISBLANK(I597),"",IFERROR(INDEX('Tournament List'!$D:$D,MATCH(I597,'Tournament List'!$A:$A,0)),""))</f>
        <v/>
      </c>
      <c r="K597" s="94" t="str">
        <f>IF(F597="Skeet",IFERROR(INDEX('Shooter-Squad Assignment'!$A:$A,MATCH(C597&amp;"-"&amp;E597&amp;"-"&amp;F597&amp;"-Pos3",'Shooter-Squad Assignment'!$K:$K,0)),""),IF(F597="Trap",IFERROR(INDEX('Shooter-Squad Assignment'!$A:$A,MATCH(C597&amp;"-"&amp;E597&amp;"-"&amp;F597&amp;"-Pos3",'Shooter-Squad Assignment'!$W:$W,0)),""),IF(F597="Sporting Clays",IFERROR(INDEX('Shooter-Squad Assignment'!$A:$A,MATCH(C597&amp;"-"&amp;E597&amp;"-"&amp;F597&amp;"-Pos3",'Shooter-Squad Assignment'!$Z:$Z,0)),""),"")))</f>
        <v/>
      </c>
      <c r="L597" s="73" t="str">
        <f>IF(ISBLANK(K597),"",IFERROR(INDEX('Tournament List'!$D:$D,MATCH(K597,'Tournament List'!$A:$A,0)),""))</f>
        <v/>
      </c>
      <c r="M597" s="94" t="str">
        <f>IF(F597="Skeet",IFERROR(INDEX('Shooter-Squad Assignment'!$A:$A,MATCH(C597&amp;"-"&amp;E597&amp;"-"&amp;F597&amp;"-Pos4",'Shooter-Squad Assignment'!$K:$K,0)),""),IF(F597="Trap",IFERROR(INDEX('Shooter-Squad Assignment'!$A:$A,MATCH(C597&amp;"-"&amp;E597&amp;"-"&amp;F597&amp;"-Pos4",'Shooter-Squad Assignment'!$W:$W,0)),""),IF(F597="Sporting Clays",IFERROR(INDEX('Shooter-Squad Assignment'!$A:$A,MATCH(C597&amp;"-"&amp;E597&amp;"-"&amp;F597&amp;"-Pos4",'Shooter-Squad Assignment'!$Z:$Z,0)),""),"")))</f>
        <v/>
      </c>
      <c r="N597" s="73" t="str">
        <f>IF(ISBLANK(M597),"",IFERROR(INDEX('Tournament List'!$D:$D,MATCH(M597,'Tournament List'!$A:$A,0)),""))</f>
        <v/>
      </c>
      <c r="O597" s="94" t="str">
        <f>IF(F597="Skeet",IFERROR(INDEX('Shooter-Squad Assignment'!$A:$A,MATCH(C597&amp;"-"&amp;E597&amp;"-"&amp;F597&amp;"-Pos5",'Shooter-Squad Assignment'!$K:$K,0)),""),IF(F597="Trap",IFERROR(INDEX('Shooter-Squad Assignment'!$A:$A,MATCH(C597&amp;"-"&amp;E597&amp;"-"&amp;F597&amp;"-Pos5",'Shooter-Squad Assignment'!$W:$W,0)),""),IF(F597="Sporting Clays",IFERROR(INDEX('Shooter-Squad Assignment'!$A:$A,MATCH(C597&amp;"-"&amp;E597&amp;"-"&amp;F597&amp;"-Pos5",'Shooter-Squad Assignment'!$Z:$Z,0)),""),"")))</f>
        <v/>
      </c>
      <c r="P597" s="79" t="str">
        <f>IF(ISBLANK(O597),"",IFERROR(INDEX('Tournament List'!$D:$D,MATCH(O597,'Tournament List'!$A:$A,0)),""))</f>
        <v/>
      </c>
    </row>
    <row r="598" spans="1:16" x14ac:dyDescent="0.3">
      <c r="A598" s="78">
        <v>597</v>
      </c>
      <c r="B598" s="73" t="str">
        <f>C598&amp;"-"&amp;E598&amp;"-"&amp;F598</f>
        <v>-Junior Varsity 2-Sporting Clays</v>
      </c>
      <c r="C598" s="73"/>
      <c r="D598" s="73" t="str">
        <f>INDEX('Tournament Setup'!$B$59:$B$78,MATCH(E598,SquadConcurrents,0))</f>
        <v>Junior Varsity</v>
      </c>
      <c r="E598" s="73" t="s">
        <v>345</v>
      </c>
      <c r="F598" s="73" t="s">
        <v>148</v>
      </c>
      <c r="G598" s="94" t="str">
        <f>IF(F598="Skeet",IFERROR(INDEX('Shooter-Squad Assignment'!$A:$A,MATCH(C598&amp;"-"&amp;E598&amp;"-"&amp;F598&amp;"-Pos1",'Shooter-Squad Assignment'!$K:$K,0)),""),IF(F598="Trap",IFERROR(INDEX('Shooter-Squad Assignment'!$A:$A,MATCH(C598&amp;"-"&amp;E598&amp;"-"&amp;F598&amp;"-Pos1",'Shooter-Squad Assignment'!$W:$W,0)),""),IF(F598="Sporting Clays",IFERROR(INDEX('Shooter-Squad Assignment'!$A:$A,MATCH(C598&amp;"-"&amp;E598&amp;"-"&amp;F598&amp;"-Pos1",'Shooter-Squad Assignment'!$Z:$Z,0)),""),"")))</f>
        <v/>
      </c>
      <c r="H598" s="73" t="str">
        <f>IF(ISBLANK(G598),"",IFERROR(INDEX('Tournament List'!$D:$D,MATCH(G598,'Tournament List'!$A:$A,0)),""))</f>
        <v/>
      </c>
      <c r="I598" s="94" t="str">
        <f>IF(F598="Skeet",IFERROR(INDEX('Shooter-Squad Assignment'!$A:$A,MATCH(C598&amp;"-"&amp;E598&amp;"-"&amp;F598&amp;"-Pos2",'Shooter-Squad Assignment'!$K:$K,0)),""),IF(F598="Trap",IFERROR(INDEX('Shooter-Squad Assignment'!$A:$A,MATCH(C598&amp;"-"&amp;E598&amp;"-"&amp;F598&amp;"-Pos2",'Shooter-Squad Assignment'!$W:$W,0)),""),IF(F598="Sporting Clays",IFERROR(INDEX('Shooter-Squad Assignment'!$A:$A,MATCH(C598&amp;"-"&amp;E598&amp;"-"&amp;F598&amp;"-Pos2",'Shooter-Squad Assignment'!$Z:$Z,0)),""),"")))</f>
        <v/>
      </c>
      <c r="J598" s="73" t="str">
        <f>IF(ISBLANK(I598),"",IFERROR(INDEX('Tournament List'!$D:$D,MATCH(I598,'Tournament List'!$A:$A,0)),""))</f>
        <v/>
      </c>
      <c r="K598" s="94" t="str">
        <f>IF(F598="Skeet",IFERROR(INDEX('Shooter-Squad Assignment'!$A:$A,MATCH(C598&amp;"-"&amp;E598&amp;"-"&amp;F598&amp;"-Pos3",'Shooter-Squad Assignment'!$K:$K,0)),""),IF(F598="Trap",IFERROR(INDEX('Shooter-Squad Assignment'!$A:$A,MATCH(C598&amp;"-"&amp;E598&amp;"-"&amp;F598&amp;"-Pos3",'Shooter-Squad Assignment'!$W:$W,0)),""),IF(F598="Sporting Clays",IFERROR(INDEX('Shooter-Squad Assignment'!$A:$A,MATCH(C598&amp;"-"&amp;E598&amp;"-"&amp;F598&amp;"-Pos3",'Shooter-Squad Assignment'!$Z:$Z,0)),""),"")))</f>
        <v/>
      </c>
      <c r="L598" s="73" t="str">
        <f>IF(ISBLANK(K598),"",IFERROR(INDEX('Tournament List'!$D:$D,MATCH(K598,'Tournament List'!$A:$A,0)),""))</f>
        <v/>
      </c>
      <c r="M598" s="94" t="str">
        <f>IF(F598="Skeet",IFERROR(INDEX('Shooter-Squad Assignment'!$A:$A,MATCH(C598&amp;"-"&amp;E598&amp;"-"&amp;F598&amp;"-Pos4",'Shooter-Squad Assignment'!$K:$K,0)),""),IF(F598="Trap",IFERROR(INDEX('Shooter-Squad Assignment'!$A:$A,MATCH(C598&amp;"-"&amp;E598&amp;"-"&amp;F598&amp;"-Pos4",'Shooter-Squad Assignment'!$W:$W,0)),""),IF(F598="Sporting Clays",IFERROR(INDEX('Shooter-Squad Assignment'!$A:$A,MATCH(C598&amp;"-"&amp;E598&amp;"-"&amp;F598&amp;"-Pos4",'Shooter-Squad Assignment'!$Z:$Z,0)),""),"")))</f>
        <v/>
      </c>
      <c r="N598" s="73" t="str">
        <f>IF(ISBLANK(M598),"",IFERROR(INDEX('Tournament List'!$D:$D,MATCH(M598,'Tournament List'!$A:$A,0)),""))</f>
        <v/>
      </c>
      <c r="O598" s="94" t="str">
        <f>IF(F598="Skeet",IFERROR(INDEX('Shooter-Squad Assignment'!$A:$A,MATCH(C598&amp;"-"&amp;E598&amp;"-"&amp;F598&amp;"-Pos5",'Shooter-Squad Assignment'!$K:$K,0)),""),IF(F598="Trap",IFERROR(INDEX('Shooter-Squad Assignment'!$A:$A,MATCH(C598&amp;"-"&amp;E598&amp;"-"&amp;F598&amp;"-Pos5",'Shooter-Squad Assignment'!$W:$W,0)),""),IF(F598="Sporting Clays",IFERROR(INDEX('Shooter-Squad Assignment'!$A:$A,MATCH(C598&amp;"-"&amp;E598&amp;"-"&amp;F598&amp;"-Pos5",'Shooter-Squad Assignment'!$Z:$Z,0)),""),"")))</f>
        <v/>
      </c>
      <c r="P598" s="79" t="str">
        <f>IF(ISBLANK(O598),"",IFERROR(INDEX('Tournament List'!$D:$D,MATCH(O598,'Tournament List'!$A:$A,0)),""))</f>
        <v/>
      </c>
    </row>
    <row r="599" spans="1:16" x14ac:dyDescent="0.3">
      <c r="A599" s="78">
        <v>598</v>
      </c>
      <c r="B599" s="73" t="str">
        <f>C599&amp;"-"&amp;E599&amp;"-"&amp;F599</f>
        <v>-Junior Varsity 3-Sporting Clays</v>
      </c>
      <c r="C599" s="73"/>
      <c r="D599" s="73" t="str">
        <f>INDEX('Tournament Setup'!$B$59:$B$78,MATCH(E599,SquadConcurrents,0))</f>
        <v>Junior Varsity</v>
      </c>
      <c r="E599" s="73" t="s">
        <v>351</v>
      </c>
      <c r="F599" s="73" t="s">
        <v>148</v>
      </c>
      <c r="G599" s="94" t="str">
        <f>IF(F599="Skeet",IFERROR(INDEX('Shooter-Squad Assignment'!$A:$A,MATCH(C599&amp;"-"&amp;E599&amp;"-"&amp;F599&amp;"-Pos1",'Shooter-Squad Assignment'!$K:$K,0)),""),IF(F599="Trap",IFERROR(INDEX('Shooter-Squad Assignment'!$A:$A,MATCH(C599&amp;"-"&amp;E599&amp;"-"&amp;F599&amp;"-Pos1",'Shooter-Squad Assignment'!$W:$W,0)),""),IF(F599="Sporting Clays",IFERROR(INDEX('Shooter-Squad Assignment'!$A:$A,MATCH(C599&amp;"-"&amp;E599&amp;"-"&amp;F599&amp;"-Pos1",'Shooter-Squad Assignment'!$Z:$Z,0)),""),"")))</f>
        <v/>
      </c>
      <c r="H599" s="73" t="str">
        <f>IF(ISBLANK(G599),"",IFERROR(INDEX('Tournament List'!$D:$D,MATCH(G599,'Tournament List'!$A:$A,0)),""))</f>
        <v/>
      </c>
      <c r="I599" s="94" t="str">
        <f>IF(F599="Skeet",IFERROR(INDEX('Shooter-Squad Assignment'!$A:$A,MATCH(C599&amp;"-"&amp;E599&amp;"-"&amp;F599&amp;"-Pos2",'Shooter-Squad Assignment'!$K:$K,0)),""),IF(F599="Trap",IFERROR(INDEX('Shooter-Squad Assignment'!$A:$A,MATCH(C599&amp;"-"&amp;E599&amp;"-"&amp;F599&amp;"-Pos2",'Shooter-Squad Assignment'!$W:$W,0)),""),IF(F599="Sporting Clays",IFERROR(INDEX('Shooter-Squad Assignment'!$A:$A,MATCH(C599&amp;"-"&amp;E599&amp;"-"&amp;F599&amp;"-Pos2",'Shooter-Squad Assignment'!$Z:$Z,0)),""),"")))</f>
        <v/>
      </c>
      <c r="J599" s="73" t="str">
        <f>IF(ISBLANK(I599),"",IFERROR(INDEX('Tournament List'!$D:$D,MATCH(I599,'Tournament List'!$A:$A,0)),""))</f>
        <v/>
      </c>
      <c r="K599" s="94" t="str">
        <f>IF(F599="Skeet",IFERROR(INDEX('Shooter-Squad Assignment'!$A:$A,MATCH(C599&amp;"-"&amp;E599&amp;"-"&amp;F599&amp;"-Pos3",'Shooter-Squad Assignment'!$K:$K,0)),""),IF(F599="Trap",IFERROR(INDEX('Shooter-Squad Assignment'!$A:$A,MATCH(C599&amp;"-"&amp;E599&amp;"-"&amp;F599&amp;"-Pos3",'Shooter-Squad Assignment'!$W:$W,0)),""),IF(F599="Sporting Clays",IFERROR(INDEX('Shooter-Squad Assignment'!$A:$A,MATCH(C599&amp;"-"&amp;E599&amp;"-"&amp;F599&amp;"-Pos3",'Shooter-Squad Assignment'!$Z:$Z,0)),""),"")))</f>
        <v/>
      </c>
      <c r="L599" s="73" t="str">
        <f>IF(ISBLANK(K599),"",IFERROR(INDEX('Tournament List'!$D:$D,MATCH(K599,'Tournament List'!$A:$A,0)),""))</f>
        <v/>
      </c>
      <c r="M599" s="94" t="str">
        <f>IF(F599="Skeet",IFERROR(INDEX('Shooter-Squad Assignment'!$A:$A,MATCH(C599&amp;"-"&amp;E599&amp;"-"&amp;F599&amp;"-Pos4",'Shooter-Squad Assignment'!$K:$K,0)),""),IF(F599="Trap",IFERROR(INDEX('Shooter-Squad Assignment'!$A:$A,MATCH(C599&amp;"-"&amp;E599&amp;"-"&amp;F599&amp;"-Pos4",'Shooter-Squad Assignment'!$W:$W,0)),""),IF(F599="Sporting Clays",IFERROR(INDEX('Shooter-Squad Assignment'!$A:$A,MATCH(C599&amp;"-"&amp;E599&amp;"-"&amp;F599&amp;"-Pos4",'Shooter-Squad Assignment'!$Z:$Z,0)),""),"")))</f>
        <v/>
      </c>
      <c r="N599" s="73" t="str">
        <f>IF(ISBLANK(M599),"",IFERROR(INDEX('Tournament List'!$D:$D,MATCH(M599,'Tournament List'!$A:$A,0)),""))</f>
        <v/>
      </c>
      <c r="O599" s="94" t="str">
        <f>IF(F599="Skeet",IFERROR(INDEX('Shooter-Squad Assignment'!$A:$A,MATCH(C599&amp;"-"&amp;E599&amp;"-"&amp;F599&amp;"-Pos5",'Shooter-Squad Assignment'!$K:$K,0)),""),IF(F599="Trap",IFERROR(INDEX('Shooter-Squad Assignment'!$A:$A,MATCH(C599&amp;"-"&amp;E599&amp;"-"&amp;F599&amp;"-Pos5",'Shooter-Squad Assignment'!$W:$W,0)),""),IF(F599="Sporting Clays",IFERROR(INDEX('Shooter-Squad Assignment'!$A:$A,MATCH(C599&amp;"-"&amp;E599&amp;"-"&amp;F599&amp;"-Pos5",'Shooter-Squad Assignment'!$Z:$Z,0)),""),"")))</f>
        <v/>
      </c>
      <c r="P599" s="79" t="str">
        <f>IF(ISBLANK(O599),"",IFERROR(INDEX('Tournament List'!$D:$D,MATCH(O599,'Tournament List'!$A:$A,0)),""))</f>
        <v/>
      </c>
    </row>
    <row r="600" spans="1:16" x14ac:dyDescent="0.3">
      <c r="A600" s="78">
        <v>599</v>
      </c>
      <c r="B600" s="73" t="str">
        <f>C600&amp;"-"&amp;E600&amp;"-"&amp;F600</f>
        <v>-Novice 1-Sporting Clays</v>
      </c>
      <c r="C600" s="73"/>
      <c r="D600" s="73" t="str">
        <f>INDEX('Tournament Setup'!$B$59:$B$78,MATCH(E600,SquadConcurrents,0))</f>
        <v>Novice</v>
      </c>
      <c r="E600" s="73" t="s">
        <v>337</v>
      </c>
      <c r="F600" s="73" t="s">
        <v>148</v>
      </c>
      <c r="G600" s="94" t="str">
        <f>IF(F600="Skeet",IFERROR(INDEX('Shooter-Squad Assignment'!$A:$A,MATCH(C600&amp;"-"&amp;E600&amp;"-"&amp;F600&amp;"-Pos1",'Shooter-Squad Assignment'!$K:$K,0)),""),IF(F600="Trap",IFERROR(INDEX('Shooter-Squad Assignment'!$A:$A,MATCH(C600&amp;"-"&amp;E600&amp;"-"&amp;F600&amp;"-Pos1",'Shooter-Squad Assignment'!$W:$W,0)),""),IF(F600="Sporting Clays",IFERROR(INDEX('Shooter-Squad Assignment'!$A:$A,MATCH(C600&amp;"-"&amp;E600&amp;"-"&amp;F600&amp;"-Pos1",'Shooter-Squad Assignment'!$Z:$Z,0)),""),"")))</f>
        <v/>
      </c>
      <c r="H600" s="73" t="str">
        <f>IF(ISBLANK(G600),"",IFERROR(INDEX('Tournament List'!$D:$D,MATCH(G600,'Tournament List'!$A:$A,0)),""))</f>
        <v/>
      </c>
      <c r="I600" s="94" t="str">
        <f>IF(F600="Skeet",IFERROR(INDEX('Shooter-Squad Assignment'!$A:$A,MATCH(C600&amp;"-"&amp;E600&amp;"-"&amp;F600&amp;"-Pos2",'Shooter-Squad Assignment'!$K:$K,0)),""),IF(F600="Trap",IFERROR(INDEX('Shooter-Squad Assignment'!$A:$A,MATCH(C600&amp;"-"&amp;E600&amp;"-"&amp;F600&amp;"-Pos2",'Shooter-Squad Assignment'!$W:$W,0)),""),IF(F600="Sporting Clays",IFERROR(INDEX('Shooter-Squad Assignment'!$A:$A,MATCH(C600&amp;"-"&amp;E600&amp;"-"&amp;F600&amp;"-Pos2",'Shooter-Squad Assignment'!$Z:$Z,0)),""),"")))</f>
        <v/>
      </c>
      <c r="J600" s="73" t="str">
        <f>IF(ISBLANK(I600),"",IFERROR(INDEX('Tournament List'!$D:$D,MATCH(I600,'Tournament List'!$A:$A,0)),""))</f>
        <v/>
      </c>
      <c r="K600" s="94" t="str">
        <f>IF(F600="Skeet",IFERROR(INDEX('Shooter-Squad Assignment'!$A:$A,MATCH(C600&amp;"-"&amp;E600&amp;"-"&amp;F600&amp;"-Pos3",'Shooter-Squad Assignment'!$K:$K,0)),""),IF(F600="Trap",IFERROR(INDEX('Shooter-Squad Assignment'!$A:$A,MATCH(C600&amp;"-"&amp;E600&amp;"-"&amp;F600&amp;"-Pos3",'Shooter-Squad Assignment'!$W:$W,0)),""),IF(F600="Sporting Clays",IFERROR(INDEX('Shooter-Squad Assignment'!$A:$A,MATCH(C600&amp;"-"&amp;E600&amp;"-"&amp;F600&amp;"-Pos3",'Shooter-Squad Assignment'!$Z:$Z,0)),""),"")))</f>
        <v/>
      </c>
      <c r="L600" s="73" t="str">
        <f>IF(ISBLANK(K600),"",IFERROR(INDEX('Tournament List'!$D:$D,MATCH(K600,'Tournament List'!$A:$A,0)),""))</f>
        <v/>
      </c>
      <c r="M600" s="94" t="str">
        <f>IF(F600="Skeet",IFERROR(INDEX('Shooter-Squad Assignment'!$A:$A,MATCH(C600&amp;"-"&amp;E600&amp;"-"&amp;F600&amp;"-Pos4",'Shooter-Squad Assignment'!$K:$K,0)),""),IF(F600="Trap",IFERROR(INDEX('Shooter-Squad Assignment'!$A:$A,MATCH(C600&amp;"-"&amp;E600&amp;"-"&amp;F600&amp;"-Pos4",'Shooter-Squad Assignment'!$W:$W,0)),""),IF(F600="Sporting Clays",IFERROR(INDEX('Shooter-Squad Assignment'!$A:$A,MATCH(C600&amp;"-"&amp;E600&amp;"-"&amp;F600&amp;"-Pos4",'Shooter-Squad Assignment'!$Z:$Z,0)),""),"")))</f>
        <v/>
      </c>
      <c r="N600" s="73" t="str">
        <f>IF(ISBLANK(M600),"",IFERROR(INDEX('Tournament List'!$D:$D,MATCH(M600,'Tournament List'!$A:$A,0)),""))</f>
        <v/>
      </c>
      <c r="O600" s="94" t="str">
        <f>IF(F600="Skeet",IFERROR(INDEX('Shooter-Squad Assignment'!$A:$A,MATCH(C600&amp;"-"&amp;E600&amp;"-"&amp;F600&amp;"-Pos5",'Shooter-Squad Assignment'!$K:$K,0)),""),IF(F600="Trap",IFERROR(INDEX('Shooter-Squad Assignment'!$A:$A,MATCH(C600&amp;"-"&amp;E600&amp;"-"&amp;F600&amp;"-Pos5",'Shooter-Squad Assignment'!$W:$W,0)),""),IF(F600="Sporting Clays",IFERROR(INDEX('Shooter-Squad Assignment'!$A:$A,MATCH(C600&amp;"-"&amp;E600&amp;"-"&amp;F600&amp;"-Pos5",'Shooter-Squad Assignment'!$Z:$Z,0)),""),"")))</f>
        <v/>
      </c>
      <c r="P600" s="79" t="str">
        <f>IF(ISBLANK(O600),"",IFERROR(INDEX('Tournament List'!$D:$D,MATCH(O600,'Tournament List'!$A:$A,0)),""))</f>
        <v/>
      </c>
    </row>
    <row r="601" spans="1:16" x14ac:dyDescent="0.3">
      <c r="A601" s="78">
        <v>600</v>
      </c>
      <c r="B601" s="73" t="str">
        <f>C601&amp;"-"&amp;E601&amp;"-"&amp;F601</f>
        <v>-Novice 2-Sporting Clays</v>
      </c>
      <c r="C601" s="73"/>
      <c r="D601" s="73" t="str">
        <f>INDEX('Tournament Setup'!$B$59:$B$78,MATCH(E601,SquadConcurrents,0))</f>
        <v>Novice</v>
      </c>
      <c r="E601" s="73" t="s">
        <v>343</v>
      </c>
      <c r="F601" s="73" t="s">
        <v>148</v>
      </c>
      <c r="G601" s="94" t="str">
        <f>IF(F601="Skeet",IFERROR(INDEX('Shooter-Squad Assignment'!$A:$A,MATCH(C601&amp;"-"&amp;E601&amp;"-"&amp;F601&amp;"-Pos1",'Shooter-Squad Assignment'!$K:$K,0)),""),IF(F601="Trap",IFERROR(INDEX('Shooter-Squad Assignment'!$A:$A,MATCH(C601&amp;"-"&amp;E601&amp;"-"&amp;F601&amp;"-Pos1",'Shooter-Squad Assignment'!$W:$W,0)),""),IF(F601="Sporting Clays",IFERROR(INDEX('Shooter-Squad Assignment'!$A:$A,MATCH(C601&amp;"-"&amp;E601&amp;"-"&amp;F601&amp;"-Pos1",'Shooter-Squad Assignment'!$Z:$Z,0)),""),"")))</f>
        <v/>
      </c>
      <c r="H601" s="73" t="str">
        <f>IF(ISBLANK(G601),"",IFERROR(INDEX('Tournament List'!$D:$D,MATCH(G601,'Tournament List'!$A:$A,0)),""))</f>
        <v/>
      </c>
      <c r="I601" s="94" t="str">
        <f>IF(F601="Skeet",IFERROR(INDEX('Shooter-Squad Assignment'!$A:$A,MATCH(C601&amp;"-"&amp;E601&amp;"-"&amp;F601&amp;"-Pos2",'Shooter-Squad Assignment'!$K:$K,0)),""),IF(F601="Trap",IFERROR(INDEX('Shooter-Squad Assignment'!$A:$A,MATCH(C601&amp;"-"&amp;E601&amp;"-"&amp;F601&amp;"-Pos2",'Shooter-Squad Assignment'!$W:$W,0)),""),IF(F601="Sporting Clays",IFERROR(INDEX('Shooter-Squad Assignment'!$A:$A,MATCH(C601&amp;"-"&amp;E601&amp;"-"&amp;F601&amp;"-Pos2",'Shooter-Squad Assignment'!$Z:$Z,0)),""),"")))</f>
        <v/>
      </c>
      <c r="J601" s="73" t="str">
        <f>IF(ISBLANK(I601),"",IFERROR(INDEX('Tournament List'!$D:$D,MATCH(I601,'Tournament List'!$A:$A,0)),""))</f>
        <v/>
      </c>
      <c r="K601" s="94" t="str">
        <f>IF(F601="Skeet",IFERROR(INDEX('Shooter-Squad Assignment'!$A:$A,MATCH(C601&amp;"-"&amp;E601&amp;"-"&amp;F601&amp;"-Pos3",'Shooter-Squad Assignment'!$K:$K,0)),""),IF(F601="Trap",IFERROR(INDEX('Shooter-Squad Assignment'!$A:$A,MATCH(C601&amp;"-"&amp;E601&amp;"-"&amp;F601&amp;"-Pos3",'Shooter-Squad Assignment'!$W:$W,0)),""),IF(F601="Sporting Clays",IFERROR(INDEX('Shooter-Squad Assignment'!$A:$A,MATCH(C601&amp;"-"&amp;E601&amp;"-"&amp;F601&amp;"-Pos3",'Shooter-Squad Assignment'!$Z:$Z,0)),""),"")))</f>
        <v/>
      </c>
      <c r="L601" s="73" t="str">
        <f>IF(ISBLANK(K601),"",IFERROR(INDEX('Tournament List'!$D:$D,MATCH(K601,'Tournament List'!$A:$A,0)),""))</f>
        <v/>
      </c>
      <c r="M601" s="94" t="str">
        <f>IF(F601="Skeet",IFERROR(INDEX('Shooter-Squad Assignment'!$A:$A,MATCH(C601&amp;"-"&amp;E601&amp;"-"&amp;F601&amp;"-Pos4",'Shooter-Squad Assignment'!$K:$K,0)),""),IF(F601="Trap",IFERROR(INDEX('Shooter-Squad Assignment'!$A:$A,MATCH(C601&amp;"-"&amp;E601&amp;"-"&amp;F601&amp;"-Pos4",'Shooter-Squad Assignment'!$W:$W,0)),""),IF(F601="Sporting Clays",IFERROR(INDEX('Shooter-Squad Assignment'!$A:$A,MATCH(C601&amp;"-"&amp;E601&amp;"-"&amp;F601&amp;"-Pos4",'Shooter-Squad Assignment'!$Z:$Z,0)),""),"")))</f>
        <v/>
      </c>
      <c r="N601" s="73" t="str">
        <f>IF(ISBLANK(M601),"",IFERROR(INDEX('Tournament List'!$D:$D,MATCH(M601,'Tournament List'!$A:$A,0)),""))</f>
        <v/>
      </c>
      <c r="O601" s="94" t="str">
        <f>IF(F601="Skeet",IFERROR(INDEX('Shooter-Squad Assignment'!$A:$A,MATCH(C601&amp;"-"&amp;E601&amp;"-"&amp;F601&amp;"-Pos5",'Shooter-Squad Assignment'!$K:$K,0)),""),IF(F601="Trap",IFERROR(INDEX('Shooter-Squad Assignment'!$A:$A,MATCH(C601&amp;"-"&amp;E601&amp;"-"&amp;F601&amp;"-Pos5",'Shooter-Squad Assignment'!$W:$W,0)),""),IF(F601="Sporting Clays",IFERROR(INDEX('Shooter-Squad Assignment'!$A:$A,MATCH(C601&amp;"-"&amp;E601&amp;"-"&amp;F601&amp;"-Pos5",'Shooter-Squad Assignment'!$Z:$Z,0)),""),"")))</f>
        <v/>
      </c>
      <c r="P601" s="79" t="str">
        <f>IF(ISBLANK(O601),"",IFERROR(INDEX('Tournament List'!$D:$D,MATCH(O601,'Tournament List'!$A:$A,0)),""))</f>
        <v/>
      </c>
    </row>
    <row r="602" spans="1:16" x14ac:dyDescent="0.3">
      <c r="A602" s="78">
        <v>601</v>
      </c>
      <c r="B602" s="73" t="str">
        <f>C602&amp;"-"&amp;E602&amp;"-"&amp;F602</f>
        <v>-Novice 3-Sporting Clays</v>
      </c>
      <c r="C602" s="73"/>
      <c r="D602" s="73" t="str">
        <f>INDEX('Tournament Setup'!$B$59:$B$78,MATCH(E602,SquadConcurrents,0))</f>
        <v>Novice</v>
      </c>
      <c r="E602" s="73" t="s">
        <v>349</v>
      </c>
      <c r="F602" s="73" t="s">
        <v>148</v>
      </c>
      <c r="G602" s="94" t="str">
        <f>IF(F602="Skeet",IFERROR(INDEX('Shooter-Squad Assignment'!$A:$A,MATCH(C602&amp;"-"&amp;E602&amp;"-"&amp;F602&amp;"-Pos1",'Shooter-Squad Assignment'!$K:$K,0)),""),IF(F602="Trap",IFERROR(INDEX('Shooter-Squad Assignment'!$A:$A,MATCH(C602&amp;"-"&amp;E602&amp;"-"&amp;F602&amp;"-Pos1",'Shooter-Squad Assignment'!$W:$W,0)),""),IF(F602="Sporting Clays",IFERROR(INDEX('Shooter-Squad Assignment'!$A:$A,MATCH(C602&amp;"-"&amp;E602&amp;"-"&amp;F602&amp;"-Pos1",'Shooter-Squad Assignment'!$Z:$Z,0)),""),"")))</f>
        <v/>
      </c>
      <c r="H602" s="73" t="str">
        <f>IF(ISBLANK(G602),"",IFERROR(INDEX('Tournament List'!$D:$D,MATCH(G602,'Tournament List'!$A:$A,0)),""))</f>
        <v/>
      </c>
      <c r="I602" s="94" t="str">
        <f>IF(F602="Skeet",IFERROR(INDEX('Shooter-Squad Assignment'!$A:$A,MATCH(C602&amp;"-"&amp;E602&amp;"-"&amp;F602&amp;"-Pos2",'Shooter-Squad Assignment'!$K:$K,0)),""),IF(F602="Trap",IFERROR(INDEX('Shooter-Squad Assignment'!$A:$A,MATCH(C602&amp;"-"&amp;E602&amp;"-"&amp;F602&amp;"-Pos2",'Shooter-Squad Assignment'!$W:$W,0)),""),IF(F602="Sporting Clays",IFERROR(INDEX('Shooter-Squad Assignment'!$A:$A,MATCH(C602&amp;"-"&amp;E602&amp;"-"&amp;F602&amp;"-Pos2",'Shooter-Squad Assignment'!$Z:$Z,0)),""),"")))</f>
        <v/>
      </c>
      <c r="J602" s="73" t="str">
        <f>IF(ISBLANK(I602),"",IFERROR(INDEX('Tournament List'!$D:$D,MATCH(I602,'Tournament List'!$A:$A,0)),""))</f>
        <v/>
      </c>
      <c r="K602" s="94" t="str">
        <f>IF(F602="Skeet",IFERROR(INDEX('Shooter-Squad Assignment'!$A:$A,MATCH(C602&amp;"-"&amp;E602&amp;"-"&amp;F602&amp;"-Pos3",'Shooter-Squad Assignment'!$K:$K,0)),""),IF(F602="Trap",IFERROR(INDEX('Shooter-Squad Assignment'!$A:$A,MATCH(C602&amp;"-"&amp;E602&amp;"-"&amp;F602&amp;"-Pos3",'Shooter-Squad Assignment'!$W:$W,0)),""),IF(F602="Sporting Clays",IFERROR(INDEX('Shooter-Squad Assignment'!$A:$A,MATCH(C602&amp;"-"&amp;E602&amp;"-"&amp;F602&amp;"-Pos3",'Shooter-Squad Assignment'!$Z:$Z,0)),""),"")))</f>
        <v/>
      </c>
      <c r="L602" s="73" t="str">
        <f>IF(ISBLANK(K602),"",IFERROR(INDEX('Tournament List'!$D:$D,MATCH(K602,'Tournament List'!$A:$A,0)),""))</f>
        <v/>
      </c>
      <c r="M602" s="94" t="str">
        <f>IF(F602="Skeet",IFERROR(INDEX('Shooter-Squad Assignment'!$A:$A,MATCH(C602&amp;"-"&amp;E602&amp;"-"&amp;F602&amp;"-Pos4",'Shooter-Squad Assignment'!$K:$K,0)),""),IF(F602="Trap",IFERROR(INDEX('Shooter-Squad Assignment'!$A:$A,MATCH(C602&amp;"-"&amp;E602&amp;"-"&amp;F602&amp;"-Pos4",'Shooter-Squad Assignment'!$W:$W,0)),""),IF(F602="Sporting Clays",IFERROR(INDEX('Shooter-Squad Assignment'!$A:$A,MATCH(C602&amp;"-"&amp;E602&amp;"-"&amp;F602&amp;"-Pos4",'Shooter-Squad Assignment'!$Z:$Z,0)),""),"")))</f>
        <v/>
      </c>
      <c r="N602" s="73" t="str">
        <f>IF(ISBLANK(M602),"",IFERROR(INDEX('Tournament List'!$D:$D,MATCH(M602,'Tournament List'!$A:$A,0)),""))</f>
        <v/>
      </c>
      <c r="O602" s="94" t="str">
        <f>IF(F602="Skeet",IFERROR(INDEX('Shooter-Squad Assignment'!$A:$A,MATCH(C602&amp;"-"&amp;E602&amp;"-"&amp;F602&amp;"-Pos5",'Shooter-Squad Assignment'!$K:$K,0)),""),IF(F602="Trap",IFERROR(INDEX('Shooter-Squad Assignment'!$A:$A,MATCH(C602&amp;"-"&amp;E602&amp;"-"&amp;F602&amp;"-Pos5",'Shooter-Squad Assignment'!$W:$W,0)),""),IF(F602="Sporting Clays",IFERROR(INDEX('Shooter-Squad Assignment'!$A:$A,MATCH(C602&amp;"-"&amp;E602&amp;"-"&amp;F602&amp;"-Pos5",'Shooter-Squad Assignment'!$Z:$Z,0)),""),"")))</f>
        <v/>
      </c>
      <c r="P602" s="79" t="str">
        <f>IF(ISBLANK(O602),"",IFERROR(INDEX('Tournament List'!$D:$D,MATCH(O602,'Tournament List'!$A:$A,0)),""))</f>
        <v/>
      </c>
    </row>
    <row r="603" spans="1:16" x14ac:dyDescent="0.3">
      <c r="A603" s="78">
        <v>602</v>
      </c>
      <c r="B603" s="73" t="str">
        <f>C603&amp;"-"&amp;E603&amp;"-"&amp;F603</f>
        <v>-Open 1-Sporting Clays</v>
      </c>
      <c r="C603" s="73"/>
      <c r="D603" s="73" t="str">
        <f>INDEX('Tournament Setup'!$B$59:$B$78,MATCH(E603,SquadConcurrents,0))</f>
        <v>Open</v>
      </c>
      <c r="E603" s="73" t="s">
        <v>341</v>
      </c>
      <c r="F603" s="73" t="s">
        <v>148</v>
      </c>
      <c r="G603" s="94" t="str">
        <f>IF(F603="Skeet",IFERROR(INDEX('Shooter-Squad Assignment'!$A:$A,MATCH(C603&amp;"-"&amp;E603&amp;"-"&amp;F603&amp;"-Pos1",'Shooter-Squad Assignment'!$K:$K,0)),""),IF(F603="Trap",IFERROR(INDEX('Shooter-Squad Assignment'!$A:$A,MATCH(C603&amp;"-"&amp;E603&amp;"-"&amp;F603&amp;"-Pos1",'Shooter-Squad Assignment'!$W:$W,0)),""),IF(F603="Sporting Clays",IFERROR(INDEX('Shooter-Squad Assignment'!$A:$A,MATCH(C603&amp;"-"&amp;E603&amp;"-"&amp;F603&amp;"-Pos1",'Shooter-Squad Assignment'!$Z:$Z,0)),""),"")))</f>
        <v/>
      </c>
      <c r="H603" s="73" t="str">
        <f>IF(ISBLANK(G603),"",IFERROR(INDEX('Tournament List'!$D:$D,MATCH(G603,'Tournament List'!$A:$A,0)),""))</f>
        <v/>
      </c>
      <c r="I603" s="94" t="str">
        <f>IF(F603="Skeet",IFERROR(INDEX('Shooter-Squad Assignment'!$A:$A,MATCH(C603&amp;"-"&amp;E603&amp;"-"&amp;F603&amp;"-Pos2",'Shooter-Squad Assignment'!$K:$K,0)),""),IF(F603="Trap",IFERROR(INDEX('Shooter-Squad Assignment'!$A:$A,MATCH(C603&amp;"-"&amp;E603&amp;"-"&amp;F603&amp;"-Pos2",'Shooter-Squad Assignment'!$W:$W,0)),""),IF(F603="Sporting Clays",IFERROR(INDEX('Shooter-Squad Assignment'!$A:$A,MATCH(C603&amp;"-"&amp;E603&amp;"-"&amp;F603&amp;"-Pos2",'Shooter-Squad Assignment'!$Z:$Z,0)),""),"")))</f>
        <v/>
      </c>
      <c r="J603" s="73" t="str">
        <f>IF(ISBLANK(I603),"",IFERROR(INDEX('Tournament List'!$D:$D,MATCH(I603,'Tournament List'!$A:$A,0)),""))</f>
        <v/>
      </c>
      <c r="K603" s="94" t="str">
        <f>IF(F603="Skeet",IFERROR(INDEX('Shooter-Squad Assignment'!$A:$A,MATCH(C603&amp;"-"&amp;E603&amp;"-"&amp;F603&amp;"-Pos3",'Shooter-Squad Assignment'!$K:$K,0)),""),IF(F603="Trap",IFERROR(INDEX('Shooter-Squad Assignment'!$A:$A,MATCH(C603&amp;"-"&amp;E603&amp;"-"&amp;F603&amp;"-Pos3",'Shooter-Squad Assignment'!$W:$W,0)),""),IF(F603="Sporting Clays",IFERROR(INDEX('Shooter-Squad Assignment'!$A:$A,MATCH(C603&amp;"-"&amp;E603&amp;"-"&amp;F603&amp;"-Pos3",'Shooter-Squad Assignment'!$Z:$Z,0)),""),"")))</f>
        <v/>
      </c>
      <c r="L603" s="73" t="str">
        <f>IF(ISBLANK(K603),"",IFERROR(INDEX('Tournament List'!$D:$D,MATCH(K603,'Tournament List'!$A:$A,0)),""))</f>
        <v/>
      </c>
      <c r="M603" s="94" t="str">
        <f>IF(F603="Skeet",IFERROR(INDEX('Shooter-Squad Assignment'!$A:$A,MATCH(C603&amp;"-"&amp;E603&amp;"-"&amp;F603&amp;"-Pos4",'Shooter-Squad Assignment'!$K:$K,0)),""),IF(F603="Trap",IFERROR(INDEX('Shooter-Squad Assignment'!$A:$A,MATCH(C603&amp;"-"&amp;E603&amp;"-"&amp;F603&amp;"-Pos4",'Shooter-Squad Assignment'!$W:$W,0)),""),IF(F603="Sporting Clays",IFERROR(INDEX('Shooter-Squad Assignment'!$A:$A,MATCH(C603&amp;"-"&amp;E603&amp;"-"&amp;F603&amp;"-Pos4",'Shooter-Squad Assignment'!$Z:$Z,0)),""),"")))</f>
        <v/>
      </c>
      <c r="N603" s="73" t="str">
        <f>IF(ISBLANK(M603),"",IFERROR(INDEX('Tournament List'!$D:$D,MATCH(M603,'Tournament List'!$A:$A,0)),""))</f>
        <v/>
      </c>
      <c r="O603" s="94" t="str">
        <f>IF(F603="Skeet",IFERROR(INDEX('Shooter-Squad Assignment'!$A:$A,MATCH(C603&amp;"-"&amp;E603&amp;"-"&amp;F603&amp;"-Pos5",'Shooter-Squad Assignment'!$K:$K,0)),""),IF(F603="Trap",IFERROR(INDEX('Shooter-Squad Assignment'!$A:$A,MATCH(C603&amp;"-"&amp;E603&amp;"-"&amp;F603&amp;"-Pos5",'Shooter-Squad Assignment'!$W:$W,0)),""),IF(F603="Sporting Clays",IFERROR(INDEX('Shooter-Squad Assignment'!$A:$A,MATCH(C603&amp;"-"&amp;E603&amp;"-"&amp;F603&amp;"-Pos5",'Shooter-Squad Assignment'!$Z:$Z,0)),""),"")))</f>
        <v/>
      </c>
      <c r="P603" s="79" t="str">
        <f>IF(ISBLANK(O603),"",IFERROR(INDEX('Tournament List'!$D:$D,MATCH(O603,'Tournament List'!$A:$A,0)),""))</f>
        <v/>
      </c>
    </row>
    <row r="604" spans="1:16" x14ac:dyDescent="0.3">
      <c r="A604" s="78">
        <v>603</v>
      </c>
      <c r="B604" s="73" t="str">
        <f>C604&amp;"-"&amp;E604&amp;"-"&amp;F604</f>
        <v>-Open 2-Sporting Clays</v>
      </c>
      <c r="C604" s="73"/>
      <c r="D604" s="73" t="str">
        <f>INDEX('Tournament Setup'!$B$59:$B$78,MATCH(E604,SquadConcurrents,0))</f>
        <v>Open</v>
      </c>
      <c r="E604" s="73" t="s">
        <v>347</v>
      </c>
      <c r="F604" s="73" t="s">
        <v>148</v>
      </c>
      <c r="G604" s="94" t="str">
        <f>IF(F604="Skeet",IFERROR(INDEX('Shooter-Squad Assignment'!$A:$A,MATCH(C604&amp;"-"&amp;E604&amp;"-"&amp;F604&amp;"-Pos1",'Shooter-Squad Assignment'!$K:$K,0)),""),IF(F604="Trap",IFERROR(INDEX('Shooter-Squad Assignment'!$A:$A,MATCH(C604&amp;"-"&amp;E604&amp;"-"&amp;F604&amp;"-Pos1",'Shooter-Squad Assignment'!$W:$W,0)),""),IF(F604="Sporting Clays",IFERROR(INDEX('Shooter-Squad Assignment'!$A:$A,MATCH(C604&amp;"-"&amp;E604&amp;"-"&amp;F604&amp;"-Pos1",'Shooter-Squad Assignment'!$Z:$Z,0)),""),"")))</f>
        <v/>
      </c>
      <c r="H604" s="73" t="str">
        <f>IF(ISBLANK(G604),"",IFERROR(INDEX('Tournament List'!$D:$D,MATCH(G604,'Tournament List'!$A:$A,0)),""))</f>
        <v/>
      </c>
      <c r="I604" s="94" t="str">
        <f>IF(F604="Skeet",IFERROR(INDEX('Shooter-Squad Assignment'!$A:$A,MATCH(C604&amp;"-"&amp;E604&amp;"-"&amp;F604&amp;"-Pos2",'Shooter-Squad Assignment'!$K:$K,0)),""),IF(F604="Trap",IFERROR(INDEX('Shooter-Squad Assignment'!$A:$A,MATCH(C604&amp;"-"&amp;E604&amp;"-"&amp;F604&amp;"-Pos2",'Shooter-Squad Assignment'!$W:$W,0)),""),IF(F604="Sporting Clays",IFERROR(INDEX('Shooter-Squad Assignment'!$A:$A,MATCH(C604&amp;"-"&amp;E604&amp;"-"&amp;F604&amp;"-Pos2",'Shooter-Squad Assignment'!$Z:$Z,0)),""),"")))</f>
        <v/>
      </c>
      <c r="J604" s="73" t="str">
        <f>IF(ISBLANK(I604),"",IFERROR(INDEX('Tournament List'!$D:$D,MATCH(I604,'Tournament List'!$A:$A,0)),""))</f>
        <v/>
      </c>
      <c r="K604" s="94" t="str">
        <f>IF(F604="Skeet",IFERROR(INDEX('Shooter-Squad Assignment'!$A:$A,MATCH(C604&amp;"-"&amp;E604&amp;"-"&amp;F604&amp;"-Pos3",'Shooter-Squad Assignment'!$K:$K,0)),""),IF(F604="Trap",IFERROR(INDEX('Shooter-Squad Assignment'!$A:$A,MATCH(C604&amp;"-"&amp;E604&amp;"-"&amp;F604&amp;"-Pos3",'Shooter-Squad Assignment'!$W:$W,0)),""),IF(F604="Sporting Clays",IFERROR(INDEX('Shooter-Squad Assignment'!$A:$A,MATCH(C604&amp;"-"&amp;E604&amp;"-"&amp;F604&amp;"-Pos3",'Shooter-Squad Assignment'!$Z:$Z,0)),""),"")))</f>
        <v/>
      </c>
      <c r="L604" s="73" t="str">
        <f>IF(ISBLANK(K604),"",IFERROR(INDEX('Tournament List'!$D:$D,MATCH(K604,'Tournament List'!$A:$A,0)),""))</f>
        <v/>
      </c>
      <c r="M604" s="94" t="str">
        <f>IF(F604="Skeet",IFERROR(INDEX('Shooter-Squad Assignment'!$A:$A,MATCH(C604&amp;"-"&amp;E604&amp;"-"&amp;F604&amp;"-Pos4",'Shooter-Squad Assignment'!$K:$K,0)),""),IF(F604="Trap",IFERROR(INDEX('Shooter-Squad Assignment'!$A:$A,MATCH(C604&amp;"-"&amp;E604&amp;"-"&amp;F604&amp;"-Pos4",'Shooter-Squad Assignment'!$W:$W,0)),""),IF(F604="Sporting Clays",IFERROR(INDEX('Shooter-Squad Assignment'!$A:$A,MATCH(C604&amp;"-"&amp;E604&amp;"-"&amp;F604&amp;"-Pos4",'Shooter-Squad Assignment'!$Z:$Z,0)),""),"")))</f>
        <v/>
      </c>
      <c r="N604" s="73" t="str">
        <f>IF(ISBLANK(M604),"",IFERROR(INDEX('Tournament List'!$D:$D,MATCH(M604,'Tournament List'!$A:$A,0)),""))</f>
        <v/>
      </c>
      <c r="O604" s="94" t="str">
        <f>IF(F604="Skeet",IFERROR(INDEX('Shooter-Squad Assignment'!$A:$A,MATCH(C604&amp;"-"&amp;E604&amp;"-"&amp;F604&amp;"-Pos5",'Shooter-Squad Assignment'!$K:$K,0)),""),IF(F604="Trap",IFERROR(INDEX('Shooter-Squad Assignment'!$A:$A,MATCH(C604&amp;"-"&amp;E604&amp;"-"&amp;F604&amp;"-Pos5",'Shooter-Squad Assignment'!$W:$W,0)),""),IF(F604="Sporting Clays",IFERROR(INDEX('Shooter-Squad Assignment'!$A:$A,MATCH(C604&amp;"-"&amp;E604&amp;"-"&amp;F604&amp;"-Pos5",'Shooter-Squad Assignment'!$Z:$Z,0)),""),"")))</f>
        <v/>
      </c>
      <c r="P604" s="79" t="str">
        <f>IF(ISBLANK(O604),"",IFERROR(INDEX('Tournament List'!$D:$D,MATCH(O604,'Tournament List'!$A:$A,0)),""))</f>
        <v/>
      </c>
    </row>
    <row r="605" spans="1:16" x14ac:dyDescent="0.3">
      <c r="A605" s="78">
        <v>604</v>
      </c>
      <c r="B605" s="73" t="str">
        <f>C605&amp;"-"&amp;E605&amp;"-"&amp;F605</f>
        <v>-Open 3-Sporting Clays</v>
      </c>
      <c r="C605" s="73"/>
      <c r="D605" s="73" t="str">
        <f>INDEX('Tournament Setup'!$B$59:$B$78,MATCH(E605,SquadConcurrents,0))</f>
        <v>Open</v>
      </c>
      <c r="E605" s="73" t="s">
        <v>353</v>
      </c>
      <c r="F605" s="73" t="s">
        <v>148</v>
      </c>
      <c r="G605" s="94" t="str">
        <f>IF(F605="Skeet",IFERROR(INDEX('Shooter-Squad Assignment'!$A:$A,MATCH(C605&amp;"-"&amp;E605&amp;"-"&amp;F605&amp;"-Pos1",'Shooter-Squad Assignment'!$K:$K,0)),""),IF(F605="Trap",IFERROR(INDEX('Shooter-Squad Assignment'!$A:$A,MATCH(C605&amp;"-"&amp;E605&amp;"-"&amp;F605&amp;"-Pos1",'Shooter-Squad Assignment'!$W:$W,0)),""),IF(F605="Sporting Clays",IFERROR(INDEX('Shooter-Squad Assignment'!$A:$A,MATCH(C605&amp;"-"&amp;E605&amp;"-"&amp;F605&amp;"-Pos1",'Shooter-Squad Assignment'!$Z:$Z,0)),""),"")))</f>
        <v/>
      </c>
      <c r="H605" s="73" t="str">
        <f>IF(ISBLANK(G605),"",IFERROR(INDEX('Tournament List'!$D:$D,MATCH(G605,'Tournament List'!$A:$A,0)),""))</f>
        <v/>
      </c>
      <c r="I605" s="94" t="str">
        <f>IF(F605="Skeet",IFERROR(INDEX('Shooter-Squad Assignment'!$A:$A,MATCH(C605&amp;"-"&amp;E605&amp;"-"&amp;F605&amp;"-Pos2",'Shooter-Squad Assignment'!$K:$K,0)),""),IF(F605="Trap",IFERROR(INDEX('Shooter-Squad Assignment'!$A:$A,MATCH(C605&amp;"-"&amp;E605&amp;"-"&amp;F605&amp;"-Pos2",'Shooter-Squad Assignment'!$W:$W,0)),""),IF(F605="Sporting Clays",IFERROR(INDEX('Shooter-Squad Assignment'!$A:$A,MATCH(C605&amp;"-"&amp;E605&amp;"-"&amp;F605&amp;"-Pos2",'Shooter-Squad Assignment'!$Z:$Z,0)),""),"")))</f>
        <v/>
      </c>
      <c r="J605" s="73" t="str">
        <f>IF(ISBLANK(I605),"",IFERROR(INDEX('Tournament List'!$D:$D,MATCH(I605,'Tournament List'!$A:$A,0)),""))</f>
        <v/>
      </c>
      <c r="K605" s="94" t="str">
        <f>IF(F605="Skeet",IFERROR(INDEX('Shooter-Squad Assignment'!$A:$A,MATCH(C605&amp;"-"&amp;E605&amp;"-"&amp;F605&amp;"-Pos3",'Shooter-Squad Assignment'!$K:$K,0)),""),IF(F605="Trap",IFERROR(INDEX('Shooter-Squad Assignment'!$A:$A,MATCH(C605&amp;"-"&amp;E605&amp;"-"&amp;F605&amp;"-Pos3",'Shooter-Squad Assignment'!$W:$W,0)),""),IF(F605="Sporting Clays",IFERROR(INDEX('Shooter-Squad Assignment'!$A:$A,MATCH(C605&amp;"-"&amp;E605&amp;"-"&amp;F605&amp;"-Pos3",'Shooter-Squad Assignment'!$Z:$Z,0)),""),"")))</f>
        <v/>
      </c>
      <c r="L605" s="73" t="str">
        <f>IF(ISBLANK(K605),"",IFERROR(INDEX('Tournament List'!$D:$D,MATCH(K605,'Tournament List'!$A:$A,0)),""))</f>
        <v/>
      </c>
      <c r="M605" s="94" t="str">
        <f>IF(F605="Skeet",IFERROR(INDEX('Shooter-Squad Assignment'!$A:$A,MATCH(C605&amp;"-"&amp;E605&amp;"-"&amp;F605&amp;"-Pos4",'Shooter-Squad Assignment'!$K:$K,0)),""),IF(F605="Trap",IFERROR(INDEX('Shooter-Squad Assignment'!$A:$A,MATCH(C605&amp;"-"&amp;E605&amp;"-"&amp;F605&amp;"-Pos4",'Shooter-Squad Assignment'!$W:$W,0)),""),IF(F605="Sporting Clays",IFERROR(INDEX('Shooter-Squad Assignment'!$A:$A,MATCH(C605&amp;"-"&amp;E605&amp;"-"&amp;F605&amp;"-Pos4",'Shooter-Squad Assignment'!$Z:$Z,0)),""),"")))</f>
        <v/>
      </c>
      <c r="N605" s="73" t="str">
        <f>IF(ISBLANK(M605),"",IFERROR(INDEX('Tournament List'!$D:$D,MATCH(M605,'Tournament List'!$A:$A,0)),""))</f>
        <v/>
      </c>
      <c r="O605" s="94" t="str">
        <f>IF(F605="Skeet",IFERROR(INDEX('Shooter-Squad Assignment'!$A:$A,MATCH(C605&amp;"-"&amp;E605&amp;"-"&amp;F605&amp;"-Pos5",'Shooter-Squad Assignment'!$K:$K,0)),""),IF(F605="Trap",IFERROR(INDEX('Shooter-Squad Assignment'!$A:$A,MATCH(C605&amp;"-"&amp;E605&amp;"-"&amp;F605&amp;"-Pos5",'Shooter-Squad Assignment'!$W:$W,0)),""),IF(F605="Sporting Clays",IFERROR(INDEX('Shooter-Squad Assignment'!$A:$A,MATCH(C605&amp;"-"&amp;E605&amp;"-"&amp;F605&amp;"-Pos5",'Shooter-Squad Assignment'!$Z:$Z,0)),""),"")))</f>
        <v/>
      </c>
      <c r="P605" s="79" t="str">
        <f>IF(ISBLANK(O605),"",IFERROR(INDEX('Tournament List'!$D:$D,MATCH(O605,'Tournament List'!$A:$A,0)),""))</f>
        <v/>
      </c>
    </row>
    <row r="606" spans="1:16" x14ac:dyDescent="0.3">
      <c r="A606" s="78">
        <v>605</v>
      </c>
      <c r="B606" s="73" t="str">
        <f>C606&amp;"-"&amp;E606&amp;"-"&amp;F606</f>
        <v>-Unassigned 1-Sporting Clays</v>
      </c>
      <c r="C606" s="73"/>
      <c r="D606" s="73" t="str">
        <f>INDEX('Tournament Setup'!$B$59:$B$78,MATCH(E606,SquadConcurrents,0))</f>
        <v>Unassigned</v>
      </c>
      <c r="E606" s="73" t="s">
        <v>762</v>
      </c>
      <c r="F606" s="73" t="s">
        <v>148</v>
      </c>
      <c r="G606" s="94" t="str">
        <f>IF(F606="Skeet",IFERROR(INDEX('Shooter-Squad Assignment'!$A:$A,MATCH(C606&amp;"-"&amp;E606&amp;"-"&amp;F606&amp;"-Pos1",'Shooter-Squad Assignment'!$K:$K,0)),""),IF(F606="Trap",IFERROR(INDEX('Shooter-Squad Assignment'!$A:$A,MATCH(C606&amp;"-"&amp;E606&amp;"-"&amp;F606&amp;"-Pos1",'Shooter-Squad Assignment'!$W:$W,0)),""),IF(F606="Sporting Clays",IFERROR(INDEX('Shooter-Squad Assignment'!$A:$A,MATCH(C606&amp;"-"&amp;E606&amp;"-"&amp;F606&amp;"-Pos1",'Shooter-Squad Assignment'!$Z:$Z,0)),""),"")))</f>
        <v/>
      </c>
      <c r="H606" s="73" t="str">
        <f>IF(ISBLANK(G606),"",IFERROR(INDEX('Tournament List'!$D:$D,MATCH(G606,'Tournament List'!$A:$A,0)),""))</f>
        <v/>
      </c>
      <c r="I606" s="94" t="str">
        <f>IF(F606="Skeet",IFERROR(INDEX('Shooter-Squad Assignment'!$A:$A,MATCH(C606&amp;"-"&amp;E606&amp;"-"&amp;F606&amp;"-Pos2",'Shooter-Squad Assignment'!$K:$K,0)),""),IF(F606="Trap",IFERROR(INDEX('Shooter-Squad Assignment'!$A:$A,MATCH(C606&amp;"-"&amp;E606&amp;"-"&amp;F606&amp;"-Pos2",'Shooter-Squad Assignment'!$W:$W,0)),""),IF(F606="Sporting Clays",IFERROR(INDEX('Shooter-Squad Assignment'!$A:$A,MATCH(C606&amp;"-"&amp;E606&amp;"-"&amp;F606&amp;"-Pos2",'Shooter-Squad Assignment'!$Z:$Z,0)),""),"")))</f>
        <v/>
      </c>
      <c r="J606" s="73" t="str">
        <f>IF(ISBLANK(I606),"",IFERROR(INDEX('Tournament List'!$D:$D,MATCH(I606,'Tournament List'!$A:$A,0)),""))</f>
        <v/>
      </c>
      <c r="K606" s="94" t="str">
        <f>IF(F606="Skeet",IFERROR(INDEX('Shooter-Squad Assignment'!$A:$A,MATCH(C606&amp;"-"&amp;E606&amp;"-"&amp;F606&amp;"-Pos3",'Shooter-Squad Assignment'!$K:$K,0)),""),IF(F606="Trap",IFERROR(INDEX('Shooter-Squad Assignment'!$A:$A,MATCH(C606&amp;"-"&amp;E606&amp;"-"&amp;F606&amp;"-Pos3",'Shooter-Squad Assignment'!$W:$W,0)),""),IF(F606="Sporting Clays",IFERROR(INDEX('Shooter-Squad Assignment'!$A:$A,MATCH(C606&amp;"-"&amp;E606&amp;"-"&amp;F606&amp;"-Pos3",'Shooter-Squad Assignment'!$Z:$Z,0)),""),"")))</f>
        <v/>
      </c>
      <c r="L606" s="73" t="str">
        <f>IF(ISBLANK(K606),"",IFERROR(INDEX('Tournament List'!$D:$D,MATCH(K606,'Tournament List'!$A:$A,0)),""))</f>
        <v/>
      </c>
      <c r="M606" s="94" t="str">
        <f>IF(F606="Skeet",IFERROR(INDEX('Shooter-Squad Assignment'!$A:$A,MATCH(C606&amp;"-"&amp;E606&amp;"-"&amp;F606&amp;"-Pos4",'Shooter-Squad Assignment'!$K:$K,0)),""),IF(F606="Trap",IFERROR(INDEX('Shooter-Squad Assignment'!$A:$A,MATCH(C606&amp;"-"&amp;E606&amp;"-"&amp;F606&amp;"-Pos4",'Shooter-Squad Assignment'!$W:$W,0)),""),IF(F606="Sporting Clays",IFERROR(INDEX('Shooter-Squad Assignment'!$A:$A,MATCH(C606&amp;"-"&amp;E606&amp;"-"&amp;F606&amp;"-Pos4",'Shooter-Squad Assignment'!$Z:$Z,0)),""),"")))</f>
        <v/>
      </c>
      <c r="N606" s="73" t="str">
        <f>IF(ISBLANK(M606),"",IFERROR(INDEX('Tournament List'!$D:$D,MATCH(M606,'Tournament List'!$A:$A,0)),""))</f>
        <v/>
      </c>
      <c r="O606" s="94" t="str">
        <f>IF(F606="Skeet",IFERROR(INDEX('Shooter-Squad Assignment'!$A:$A,MATCH(C606&amp;"-"&amp;E606&amp;"-"&amp;F606&amp;"-Pos5",'Shooter-Squad Assignment'!$K:$K,0)),""),IF(F606="Trap",IFERROR(INDEX('Shooter-Squad Assignment'!$A:$A,MATCH(C606&amp;"-"&amp;E606&amp;"-"&amp;F606&amp;"-Pos5",'Shooter-Squad Assignment'!$W:$W,0)),""),IF(F606="Sporting Clays",IFERROR(INDEX('Shooter-Squad Assignment'!$A:$A,MATCH(C606&amp;"-"&amp;E606&amp;"-"&amp;F606&amp;"-Pos5",'Shooter-Squad Assignment'!$Z:$Z,0)),""),"")))</f>
        <v/>
      </c>
      <c r="P606" s="79" t="str">
        <f>IF(ISBLANK(O606),"",IFERROR(INDEX('Tournament List'!$D:$D,MATCH(O606,'Tournament List'!$A:$A,0)),""))</f>
        <v/>
      </c>
    </row>
    <row r="607" spans="1:16" x14ac:dyDescent="0.3">
      <c r="A607" s="78">
        <v>606</v>
      </c>
      <c r="B607" s="73" t="str">
        <f>C607&amp;"-"&amp;E607&amp;"-"&amp;F607</f>
        <v>-Varsity 1-Sporting Clays</v>
      </c>
      <c r="C607" s="73"/>
      <c r="D607" s="73" t="str">
        <f>INDEX('Tournament Setup'!$B$59:$B$78,MATCH(E607,SquadConcurrents,0))</f>
        <v>Varsity</v>
      </c>
      <c r="E607" s="73" t="s">
        <v>340</v>
      </c>
      <c r="F607" s="73" t="s">
        <v>148</v>
      </c>
      <c r="G607" s="94" t="str">
        <f>IF(F607="Skeet",IFERROR(INDEX('Shooter-Squad Assignment'!$A:$A,MATCH(C607&amp;"-"&amp;E607&amp;"-"&amp;F607&amp;"-Pos1",'Shooter-Squad Assignment'!$K:$K,0)),""),IF(F607="Trap",IFERROR(INDEX('Shooter-Squad Assignment'!$A:$A,MATCH(C607&amp;"-"&amp;E607&amp;"-"&amp;F607&amp;"-Pos1",'Shooter-Squad Assignment'!$W:$W,0)),""),IF(F607="Sporting Clays",IFERROR(INDEX('Shooter-Squad Assignment'!$A:$A,MATCH(C607&amp;"-"&amp;E607&amp;"-"&amp;F607&amp;"-Pos1",'Shooter-Squad Assignment'!$Z:$Z,0)),""),"")))</f>
        <v/>
      </c>
      <c r="H607" s="73" t="str">
        <f>IF(ISBLANK(G607),"",IFERROR(INDEX('Tournament List'!$D:$D,MATCH(G607,'Tournament List'!$A:$A,0)),""))</f>
        <v/>
      </c>
      <c r="I607" s="94" t="str">
        <f>IF(F607="Skeet",IFERROR(INDEX('Shooter-Squad Assignment'!$A:$A,MATCH(C607&amp;"-"&amp;E607&amp;"-"&amp;F607&amp;"-Pos2",'Shooter-Squad Assignment'!$K:$K,0)),""),IF(F607="Trap",IFERROR(INDEX('Shooter-Squad Assignment'!$A:$A,MATCH(C607&amp;"-"&amp;E607&amp;"-"&amp;F607&amp;"-Pos2",'Shooter-Squad Assignment'!$W:$W,0)),""),IF(F607="Sporting Clays",IFERROR(INDEX('Shooter-Squad Assignment'!$A:$A,MATCH(C607&amp;"-"&amp;E607&amp;"-"&amp;F607&amp;"-Pos2",'Shooter-Squad Assignment'!$Z:$Z,0)),""),"")))</f>
        <v/>
      </c>
      <c r="J607" s="73" t="str">
        <f>IF(ISBLANK(I607),"",IFERROR(INDEX('Tournament List'!$D:$D,MATCH(I607,'Tournament List'!$A:$A,0)),""))</f>
        <v/>
      </c>
      <c r="K607" s="94" t="str">
        <f>IF(F607="Skeet",IFERROR(INDEX('Shooter-Squad Assignment'!$A:$A,MATCH(C607&amp;"-"&amp;E607&amp;"-"&amp;F607&amp;"-Pos3",'Shooter-Squad Assignment'!$K:$K,0)),""),IF(F607="Trap",IFERROR(INDEX('Shooter-Squad Assignment'!$A:$A,MATCH(C607&amp;"-"&amp;E607&amp;"-"&amp;F607&amp;"-Pos3",'Shooter-Squad Assignment'!$W:$W,0)),""),IF(F607="Sporting Clays",IFERROR(INDEX('Shooter-Squad Assignment'!$A:$A,MATCH(C607&amp;"-"&amp;E607&amp;"-"&amp;F607&amp;"-Pos3",'Shooter-Squad Assignment'!$Z:$Z,0)),""),"")))</f>
        <v/>
      </c>
      <c r="L607" s="73" t="str">
        <f>IF(ISBLANK(K607),"",IFERROR(INDEX('Tournament List'!$D:$D,MATCH(K607,'Tournament List'!$A:$A,0)),""))</f>
        <v/>
      </c>
      <c r="M607" s="94" t="str">
        <f>IF(F607="Skeet",IFERROR(INDEX('Shooter-Squad Assignment'!$A:$A,MATCH(C607&amp;"-"&amp;E607&amp;"-"&amp;F607&amp;"-Pos4",'Shooter-Squad Assignment'!$K:$K,0)),""),IF(F607="Trap",IFERROR(INDEX('Shooter-Squad Assignment'!$A:$A,MATCH(C607&amp;"-"&amp;E607&amp;"-"&amp;F607&amp;"-Pos4",'Shooter-Squad Assignment'!$W:$W,0)),""),IF(F607="Sporting Clays",IFERROR(INDEX('Shooter-Squad Assignment'!$A:$A,MATCH(C607&amp;"-"&amp;E607&amp;"-"&amp;F607&amp;"-Pos4",'Shooter-Squad Assignment'!$Z:$Z,0)),""),"")))</f>
        <v/>
      </c>
      <c r="N607" s="73" t="str">
        <f>IF(ISBLANK(M607),"",IFERROR(INDEX('Tournament List'!$D:$D,MATCH(M607,'Tournament List'!$A:$A,0)),""))</f>
        <v/>
      </c>
      <c r="O607" s="94" t="str">
        <f>IF(F607="Skeet",IFERROR(INDEX('Shooter-Squad Assignment'!$A:$A,MATCH(C607&amp;"-"&amp;E607&amp;"-"&amp;F607&amp;"-Pos5",'Shooter-Squad Assignment'!$K:$K,0)),""),IF(F607="Trap",IFERROR(INDEX('Shooter-Squad Assignment'!$A:$A,MATCH(C607&amp;"-"&amp;E607&amp;"-"&amp;F607&amp;"-Pos5",'Shooter-Squad Assignment'!$W:$W,0)),""),IF(F607="Sporting Clays",IFERROR(INDEX('Shooter-Squad Assignment'!$A:$A,MATCH(C607&amp;"-"&amp;E607&amp;"-"&amp;F607&amp;"-Pos5",'Shooter-Squad Assignment'!$Z:$Z,0)),""),"")))</f>
        <v/>
      </c>
      <c r="P607" s="79" t="str">
        <f>IF(ISBLANK(O607),"",IFERROR(INDEX('Tournament List'!$D:$D,MATCH(O607,'Tournament List'!$A:$A,0)),""))</f>
        <v/>
      </c>
    </row>
    <row r="608" spans="1:16" x14ac:dyDescent="0.3">
      <c r="A608" s="78">
        <v>607</v>
      </c>
      <c r="B608" s="73" t="str">
        <f>C608&amp;"-"&amp;E608&amp;"-"&amp;F608</f>
        <v>-Varsity 2-Sporting Clays</v>
      </c>
      <c r="C608" s="73"/>
      <c r="D608" s="73" t="str">
        <f>INDEX('Tournament Setup'!$B$59:$B$78,MATCH(E608,SquadConcurrents,0))</f>
        <v>Varsity</v>
      </c>
      <c r="E608" s="73" t="s">
        <v>346</v>
      </c>
      <c r="F608" s="73" t="s">
        <v>148</v>
      </c>
      <c r="G608" s="94" t="str">
        <f>IF(F608="Skeet",IFERROR(INDEX('Shooter-Squad Assignment'!$A:$A,MATCH(C608&amp;"-"&amp;E608&amp;"-"&amp;F608&amp;"-Pos1",'Shooter-Squad Assignment'!$K:$K,0)),""),IF(F608="Trap",IFERROR(INDEX('Shooter-Squad Assignment'!$A:$A,MATCH(C608&amp;"-"&amp;E608&amp;"-"&amp;F608&amp;"-Pos1",'Shooter-Squad Assignment'!$W:$W,0)),""),IF(F608="Sporting Clays",IFERROR(INDEX('Shooter-Squad Assignment'!$A:$A,MATCH(C608&amp;"-"&amp;E608&amp;"-"&amp;F608&amp;"-Pos1",'Shooter-Squad Assignment'!$Z:$Z,0)),""),"")))</f>
        <v/>
      </c>
      <c r="H608" s="73" t="str">
        <f>IF(ISBLANK(G608),"",IFERROR(INDEX('Tournament List'!$D:$D,MATCH(G608,'Tournament List'!$A:$A,0)),""))</f>
        <v/>
      </c>
      <c r="I608" s="94" t="str">
        <f>IF(F608="Skeet",IFERROR(INDEX('Shooter-Squad Assignment'!$A:$A,MATCH(C608&amp;"-"&amp;E608&amp;"-"&amp;F608&amp;"-Pos2",'Shooter-Squad Assignment'!$K:$K,0)),""),IF(F608="Trap",IFERROR(INDEX('Shooter-Squad Assignment'!$A:$A,MATCH(C608&amp;"-"&amp;E608&amp;"-"&amp;F608&amp;"-Pos2",'Shooter-Squad Assignment'!$W:$W,0)),""),IF(F608="Sporting Clays",IFERROR(INDEX('Shooter-Squad Assignment'!$A:$A,MATCH(C608&amp;"-"&amp;E608&amp;"-"&amp;F608&amp;"-Pos2",'Shooter-Squad Assignment'!$Z:$Z,0)),""),"")))</f>
        <v/>
      </c>
      <c r="J608" s="73" t="str">
        <f>IF(ISBLANK(I608),"",IFERROR(INDEX('Tournament List'!$D:$D,MATCH(I608,'Tournament List'!$A:$A,0)),""))</f>
        <v/>
      </c>
      <c r="K608" s="94" t="str">
        <f>IF(F608="Skeet",IFERROR(INDEX('Shooter-Squad Assignment'!$A:$A,MATCH(C608&amp;"-"&amp;E608&amp;"-"&amp;F608&amp;"-Pos3",'Shooter-Squad Assignment'!$K:$K,0)),""),IF(F608="Trap",IFERROR(INDEX('Shooter-Squad Assignment'!$A:$A,MATCH(C608&amp;"-"&amp;E608&amp;"-"&amp;F608&amp;"-Pos3",'Shooter-Squad Assignment'!$W:$W,0)),""),IF(F608="Sporting Clays",IFERROR(INDEX('Shooter-Squad Assignment'!$A:$A,MATCH(C608&amp;"-"&amp;E608&amp;"-"&amp;F608&amp;"-Pos3",'Shooter-Squad Assignment'!$Z:$Z,0)),""),"")))</f>
        <v/>
      </c>
      <c r="L608" s="73" t="str">
        <f>IF(ISBLANK(K608),"",IFERROR(INDEX('Tournament List'!$D:$D,MATCH(K608,'Tournament List'!$A:$A,0)),""))</f>
        <v/>
      </c>
      <c r="M608" s="94" t="str">
        <f>IF(F608="Skeet",IFERROR(INDEX('Shooter-Squad Assignment'!$A:$A,MATCH(C608&amp;"-"&amp;E608&amp;"-"&amp;F608&amp;"-Pos4",'Shooter-Squad Assignment'!$K:$K,0)),""),IF(F608="Trap",IFERROR(INDEX('Shooter-Squad Assignment'!$A:$A,MATCH(C608&amp;"-"&amp;E608&amp;"-"&amp;F608&amp;"-Pos4",'Shooter-Squad Assignment'!$W:$W,0)),""),IF(F608="Sporting Clays",IFERROR(INDEX('Shooter-Squad Assignment'!$A:$A,MATCH(C608&amp;"-"&amp;E608&amp;"-"&amp;F608&amp;"-Pos4",'Shooter-Squad Assignment'!$Z:$Z,0)),""),"")))</f>
        <v/>
      </c>
      <c r="N608" s="73" t="str">
        <f>IF(ISBLANK(M608),"",IFERROR(INDEX('Tournament List'!$D:$D,MATCH(M608,'Tournament List'!$A:$A,0)),""))</f>
        <v/>
      </c>
      <c r="O608" s="94" t="str">
        <f>IF(F608="Skeet",IFERROR(INDEX('Shooter-Squad Assignment'!$A:$A,MATCH(C608&amp;"-"&amp;E608&amp;"-"&amp;F608&amp;"-Pos5",'Shooter-Squad Assignment'!$K:$K,0)),""),IF(F608="Trap",IFERROR(INDEX('Shooter-Squad Assignment'!$A:$A,MATCH(C608&amp;"-"&amp;E608&amp;"-"&amp;F608&amp;"-Pos5",'Shooter-Squad Assignment'!$W:$W,0)),""),IF(F608="Sporting Clays",IFERROR(INDEX('Shooter-Squad Assignment'!$A:$A,MATCH(C608&amp;"-"&amp;E608&amp;"-"&amp;F608&amp;"-Pos5",'Shooter-Squad Assignment'!$Z:$Z,0)),""),"")))</f>
        <v/>
      </c>
      <c r="P608" s="79" t="str">
        <f>IF(ISBLANK(O608),"",IFERROR(INDEX('Tournament List'!$D:$D,MATCH(O608,'Tournament List'!$A:$A,0)),""))</f>
        <v/>
      </c>
    </row>
    <row r="609" spans="1:16" x14ac:dyDescent="0.3">
      <c r="A609" s="78">
        <v>608</v>
      </c>
      <c r="B609" s="73" t="str">
        <f>C609&amp;"-"&amp;E609&amp;"-"&amp;F609</f>
        <v>-Varsity 3-Sporting Clays</v>
      </c>
      <c r="C609" s="73"/>
      <c r="D609" s="73" t="str">
        <f>INDEX('Tournament Setup'!$B$59:$B$78,MATCH(E609,SquadConcurrents,0))</f>
        <v>Varsity</v>
      </c>
      <c r="E609" s="73" t="s">
        <v>352</v>
      </c>
      <c r="F609" s="73" t="s">
        <v>148</v>
      </c>
      <c r="G609" s="94" t="str">
        <f>IF(F609="Skeet",IFERROR(INDEX('Shooter-Squad Assignment'!$A:$A,MATCH(C609&amp;"-"&amp;E609&amp;"-"&amp;F609&amp;"-Pos1",'Shooter-Squad Assignment'!$K:$K,0)),""),IF(F609="Trap",IFERROR(INDEX('Shooter-Squad Assignment'!$A:$A,MATCH(C609&amp;"-"&amp;E609&amp;"-"&amp;F609&amp;"-Pos1",'Shooter-Squad Assignment'!$W:$W,0)),""),IF(F609="Sporting Clays",IFERROR(INDEX('Shooter-Squad Assignment'!$A:$A,MATCH(C609&amp;"-"&amp;E609&amp;"-"&amp;F609&amp;"-Pos1",'Shooter-Squad Assignment'!$Z:$Z,0)),""),"")))</f>
        <v/>
      </c>
      <c r="H609" s="73" t="str">
        <f>IF(ISBLANK(G609),"",IFERROR(INDEX('Tournament List'!$D:$D,MATCH(G609,'Tournament List'!$A:$A,0)),""))</f>
        <v/>
      </c>
      <c r="I609" s="94" t="str">
        <f>IF(F609="Skeet",IFERROR(INDEX('Shooter-Squad Assignment'!$A:$A,MATCH(C609&amp;"-"&amp;E609&amp;"-"&amp;F609&amp;"-Pos2",'Shooter-Squad Assignment'!$K:$K,0)),""),IF(F609="Trap",IFERROR(INDEX('Shooter-Squad Assignment'!$A:$A,MATCH(C609&amp;"-"&amp;E609&amp;"-"&amp;F609&amp;"-Pos2",'Shooter-Squad Assignment'!$W:$W,0)),""),IF(F609="Sporting Clays",IFERROR(INDEX('Shooter-Squad Assignment'!$A:$A,MATCH(C609&amp;"-"&amp;E609&amp;"-"&amp;F609&amp;"-Pos2",'Shooter-Squad Assignment'!$Z:$Z,0)),""),"")))</f>
        <v/>
      </c>
      <c r="J609" s="73" t="str">
        <f>IF(ISBLANK(I609),"",IFERROR(INDEX('Tournament List'!$D:$D,MATCH(I609,'Tournament List'!$A:$A,0)),""))</f>
        <v/>
      </c>
      <c r="K609" s="94" t="str">
        <f>IF(F609="Skeet",IFERROR(INDEX('Shooter-Squad Assignment'!$A:$A,MATCH(C609&amp;"-"&amp;E609&amp;"-"&amp;F609&amp;"-Pos3",'Shooter-Squad Assignment'!$K:$K,0)),""),IF(F609="Trap",IFERROR(INDEX('Shooter-Squad Assignment'!$A:$A,MATCH(C609&amp;"-"&amp;E609&amp;"-"&amp;F609&amp;"-Pos3",'Shooter-Squad Assignment'!$W:$W,0)),""),IF(F609="Sporting Clays",IFERROR(INDEX('Shooter-Squad Assignment'!$A:$A,MATCH(C609&amp;"-"&amp;E609&amp;"-"&amp;F609&amp;"-Pos3",'Shooter-Squad Assignment'!$Z:$Z,0)),""),"")))</f>
        <v/>
      </c>
      <c r="L609" s="73" t="str">
        <f>IF(ISBLANK(K609),"",IFERROR(INDEX('Tournament List'!$D:$D,MATCH(K609,'Tournament List'!$A:$A,0)),""))</f>
        <v/>
      </c>
      <c r="M609" s="94" t="str">
        <f>IF(F609="Skeet",IFERROR(INDEX('Shooter-Squad Assignment'!$A:$A,MATCH(C609&amp;"-"&amp;E609&amp;"-"&amp;F609&amp;"-Pos4",'Shooter-Squad Assignment'!$K:$K,0)),""),IF(F609="Trap",IFERROR(INDEX('Shooter-Squad Assignment'!$A:$A,MATCH(C609&amp;"-"&amp;E609&amp;"-"&amp;F609&amp;"-Pos4",'Shooter-Squad Assignment'!$W:$W,0)),""),IF(F609="Sporting Clays",IFERROR(INDEX('Shooter-Squad Assignment'!$A:$A,MATCH(C609&amp;"-"&amp;E609&amp;"-"&amp;F609&amp;"-Pos4",'Shooter-Squad Assignment'!$Z:$Z,0)),""),"")))</f>
        <v/>
      </c>
      <c r="N609" s="73" t="str">
        <f>IF(ISBLANK(M609),"",IFERROR(INDEX('Tournament List'!$D:$D,MATCH(M609,'Tournament List'!$A:$A,0)),""))</f>
        <v/>
      </c>
      <c r="O609" s="94" t="str">
        <f>IF(F609="Skeet",IFERROR(INDEX('Shooter-Squad Assignment'!$A:$A,MATCH(C609&amp;"-"&amp;E609&amp;"-"&amp;F609&amp;"-Pos5",'Shooter-Squad Assignment'!$K:$K,0)),""),IF(F609="Trap",IFERROR(INDEX('Shooter-Squad Assignment'!$A:$A,MATCH(C609&amp;"-"&amp;E609&amp;"-"&amp;F609&amp;"-Pos5",'Shooter-Squad Assignment'!$W:$W,0)),""),IF(F609="Sporting Clays",IFERROR(INDEX('Shooter-Squad Assignment'!$A:$A,MATCH(C609&amp;"-"&amp;E609&amp;"-"&amp;F609&amp;"-Pos5",'Shooter-Squad Assignment'!$Z:$Z,0)),""),"")))</f>
        <v/>
      </c>
      <c r="P609" s="79" t="str">
        <f>IF(ISBLANK(O609),"",IFERROR(INDEX('Tournament List'!$D:$D,MATCH(O609,'Tournament List'!$A:$A,0)),""))</f>
        <v/>
      </c>
    </row>
    <row r="610" spans="1:16" x14ac:dyDescent="0.3">
      <c r="A610" s="78">
        <v>609</v>
      </c>
      <c r="B610" s="73" t="str">
        <f>C610&amp;"-"&amp;E610&amp;"-"&amp;F610</f>
        <v>-Collegiate 1-Trap</v>
      </c>
      <c r="C610" s="73"/>
      <c r="D610" s="73" t="str">
        <f>INDEX('Tournament Setup'!$B$59:$B$78,MATCH(E610,SquadConcurrents,0))</f>
        <v>Collegiate</v>
      </c>
      <c r="E610" s="73" t="s">
        <v>342</v>
      </c>
      <c r="F610" s="73" t="s">
        <v>147</v>
      </c>
      <c r="G610" s="94" t="str">
        <f>IF(F610="Skeet",IFERROR(INDEX('Shooter-Squad Assignment'!$A:$A,MATCH(C610&amp;"-"&amp;E610&amp;"-"&amp;F610&amp;"-Pos1",'Shooter-Squad Assignment'!$K:$K,0)),""),IF(F610="Trap",IFERROR(INDEX('Shooter-Squad Assignment'!$A:$A,MATCH(C610&amp;"-"&amp;E610&amp;"-"&amp;F610&amp;"-Pos1",'Shooter-Squad Assignment'!$W:$W,0)),""),IF(F610="Sporting Clays",IFERROR(INDEX('Shooter-Squad Assignment'!$A:$A,MATCH(C610&amp;"-"&amp;E610&amp;"-"&amp;F610&amp;"-Pos1",'Shooter-Squad Assignment'!$Z:$Z,0)),""),"")))</f>
        <v/>
      </c>
      <c r="H610" s="73" t="str">
        <f>IF(ISBLANK(G610),"",IFERROR(INDEX('Tournament List'!$D:$D,MATCH(G610,'Tournament List'!$A:$A,0)),""))</f>
        <v/>
      </c>
      <c r="I610" s="94" t="str">
        <f>IF(F610="Skeet",IFERROR(INDEX('Shooter-Squad Assignment'!$A:$A,MATCH(C610&amp;"-"&amp;E610&amp;"-"&amp;F610&amp;"-Pos2",'Shooter-Squad Assignment'!$K:$K,0)),""),IF(F610="Trap",IFERROR(INDEX('Shooter-Squad Assignment'!$A:$A,MATCH(C610&amp;"-"&amp;E610&amp;"-"&amp;F610&amp;"-Pos2",'Shooter-Squad Assignment'!$W:$W,0)),""),IF(F610="Sporting Clays",IFERROR(INDEX('Shooter-Squad Assignment'!$A:$A,MATCH(C610&amp;"-"&amp;E610&amp;"-"&amp;F610&amp;"-Pos2",'Shooter-Squad Assignment'!$Z:$Z,0)),""),"")))</f>
        <v/>
      </c>
      <c r="J610" s="73" t="str">
        <f>IF(ISBLANK(I610),"",IFERROR(INDEX('Tournament List'!$D:$D,MATCH(I610,'Tournament List'!$A:$A,0)),""))</f>
        <v/>
      </c>
      <c r="K610" s="94" t="str">
        <f>IF(F610="Skeet",IFERROR(INDEX('Shooter-Squad Assignment'!$A:$A,MATCH(C610&amp;"-"&amp;E610&amp;"-"&amp;F610&amp;"-Pos3",'Shooter-Squad Assignment'!$K:$K,0)),""),IF(F610="Trap",IFERROR(INDEX('Shooter-Squad Assignment'!$A:$A,MATCH(C610&amp;"-"&amp;E610&amp;"-"&amp;F610&amp;"-Pos3",'Shooter-Squad Assignment'!$W:$W,0)),""),IF(F610="Sporting Clays",IFERROR(INDEX('Shooter-Squad Assignment'!$A:$A,MATCH(C610&amp;"-"&amp;E610&amp;"-"&amp;F610&amp;"-Pos3",'Shooter-Squad Assignment'!$Z:$Z,0)),""),"")))</f>
        <v/>
      </c>
      <c r="L610" s="73" t="str">
        <f>IF(ISBLANK(K610),"",IFERROR(INDEX('Tournament List'!$D:$D,MATCH(K610,'Tournament List'!$A:$A,0)),""))</f>
        <v/>
      </c>
      <c r="M610" s="94" t="str">
        <f>IF(F610="Skeet",IFERROR(INDEX('Shooter-Squad Assignment'!$A:$A,MATCH(C610&amp;"-"&amp;E610&amp;"-"&amp;F610&amp;"-Pos4",'Shooter-Squad Assignment'!$K:$K,0)),""),IF(F610="Trap",IFERROR(INDEX('Shooter-Squad Assignment'!$A:$A,MATCH(C610&amp;"-"&amp;E610&amp;"-"&amp;F610&amp;"-Pos4",'Shooter-Squad Assignment'!$W:$W,0)),""),IF(F610="Sporting Clays",IFERROR(INDEX('Shooter-Squad Assignment'!$A:$A,MATCH(C610&amp;"-"&amp;E610&amp;"-"&amp;F610&amp;"-Pos4",'Shooter-Squad Assignment'!$Z:$Z,0)),""),"")))</f>
        <v/>
      </c>
      <c r="N610" s="73" t="str">
        <f>IF(ISBLANK(M610),"",IFERROR(INDEX('Tournament List'!$D:$D,MATCH(M610,'Tournament List'!$A:$A,0)),""))</f>
        <v/>
      </c>
      <c r="O610" s="94" t="str">
        <f>IF(F610="Skeet",IFERROR(INDEX('Shooter-Squad Assignment'!$A:$A,MATCH(C610&amp;"-"&amp;E610&amp;"-"&amp;F610&amp;"-Pos5",'Shooter-Squad Assignment'!$K:$K,0)),""),IF(F610="Trap",IFERROR(INDEX('Shooter-Squad Assignment'!$A:$A,MATCH(C610&amp;"-"&amp;E610&amp;"-"&amp;F610&amp;"-Pos5",'Shooter-Squad Assignment'!$W:$W,0)),""),IF(F610="Sporting Clays",IFERROR(INDEX('Shooter-Squad Assignment'!$A:$A,MATCH(C610&amp;"-"&amp;E610&amp;"-"&amp;F610&amp;"-Pos5",'Shooter-Squad Assignment'!$Z:$Z,0)),""),"")))</f>
        <v/>
      </c>
      <c r="P610" s="79" t="str">
        <f>IF(ISBLANK(O610),"",IFERROR(INDEX('Tournament List'!$D:$D,MATCH(O610,'Tournament List'!$A:$A,0)),""))</f>
        <v/>
      </c>
    </row>
    <row r="611" spans="1:16" x14ac:dyDescent="0.3">
      <c r="A611" s="78">
        <v>610</v>
      </c>
      <c r="B611" s="73" t="str">
        <f>C611&amp;"-"&amp;E611&amp;"-"&amp;F611</f>
        <v>-Collegiate 2-Trap</v>
      </c>
      <c r="C611" s="73"/>
      <c r="D611" s="73" t="str">
        <f>INDEX('Tournament Setup'!$B$59:$B$78,MATCH(E611,SquadConcurrents,0))</f>
        <v>Collegiate</v>
      </c>
      <c r="E611" s="73" t="s">
        <v>348</v>
      </c>
      <c r="F611" s="73" t="s">
        <v>147</v>
      </c>
      <c r="G611" s="94" t="str">
        <f>IF(F611="Skeet",IFERROR(INDEX('Shooter-Squad Assignment'!$A:$A,MATCH(C611&amp;"-"&amp;E611&amp;"-"&amp;F611&amp;"-Pos1",'Shooter-Squad Assignment'!$K:$K,0)),""),IF(F611="Trap",IFERROR(INDEX('Shooter-Squad Assignment'!$A:$A,MATCH(C611&amp;"-"&amp;E611&amp;"-"&amp;F611&amp;"-Pos1",'Shooter-Squad Assignment'!$W:$W,0)),""),IF(F611="Sporting Clays",IFERROR(INDEX('Shooter-Squad Assignment'!$A:$A,MATCH(C611&amp;"-"&amp;E611&amp;"-"&amp;F611&amp;"-Pos1",'Shooter-Squad Assignment'!$Z:$Z,0)),""),"")))</f>
        <v/>
      </c>
      <c r="H611" s="73" t="str">
        <f>IF(ISBLANK(G611),"",IFERROR(INDEX('Tournament List'!$D:$D,MATCH(G611,'Tournament List'!$A:$A,0)),""))</f>
        <v/>
      </c>
      <c r="I611" s="94" t="str">
        <f>IF(F611="Skeet",IFERROR(INDEX('Shooter-Squad Assignment'!$A:$A,MATCH(C611&amp;"-"&amp;E611&amp;"-"&amp;F611&amp;"-Pos2",'Shooter-Squad Assignment'!$K:$K,0)),""),IF(F611="Trap",IFERROR(INDEX('Shooter-Squad Assignment'!$A:$A,MATCH(C611&amp;"-"&amp;E611&amp;"-"&amp;F611&amp;"-Pos2",'Shooter-Squad Assignment'!$W:$W,0)),""),IF(F611="Sporting Clays",IFERROR(INDEX('Shooter-Squad Assignment'!$A:$A,MATCH(C611&amp;"-"&amp;E611&amp;"-"&amp;F611&amp;"-Pos2",'Shooter-Squad Assignment'!$Z:$Z,0)),""),"")))</f>
        <v/>
      </c>
      <c r="J611" s="73" t="str">
        <f>IF(ISBLANK(I611),"",IFERROR(INDEX('Tournament List'!$D:$D,MATCH(I611,'Tournament List'!$A:$A,0)),""))</f>
        <v/>
      </c>
      <c r="K611" s="94" t="str">
        <f>IF(F611="Skeet",IFERROR(INDEX('Shooter-Squad Assignment'!$A:$A,MATCH(C611&amp;"-"&amp;E611&amp;"-"&amp;F611&amp;"-Pos3",'Shooter-Squad Assignment'!$K:$K,0)),""),IF(F611="Trap",IFERROR(INDEX('Shooter-Squad Assignment'!$A:$A,MATCH(C611&amp;"-"&amp;E611&amp;"-"&amp;F611&amp;"-Pos3",'Shooter-Squad Assignment'!$W:$W,0)),""),IF(F611="Sporting Clays",IFERROR(INDEX('Shooter-Squad Assignment'!$A:$A,MATCH(C611&amp;"-"&amp;E611&amp;"-"&amp;F611&amp;"-Pos3",'Shooter-Squad Assignment'!$Z:$Z,0)),""),"")))</f>
        <v/>
      </c>
      <c r="L611" s="73" t="str">
        <f>IF(ISBLANK(K611),"",IFERROR(INDEX('Tournament List'!$D:$D,MATCH(K611,'Tournament List'!$A:$A,0)),""))</f>
        <v/>
      </c>
      <c r="M611" s="94" t="str">
        <f>IF(F611="Skeet",IFERROR(INDEX('Shooter-Squad Assignment'!$A:$A,MATCH(C611&amp;"-"&amp;E611&amp;"-"&amp;F611&amp;"-Pos4",'Shooter-Squad Assignment'!$K:$K,0)),""),IF(F611="Trap",IFERROR(INDEX('Shooter-Squad Assignment'!$A:$A,MATCH(C611&amp;"-"&amp;E611&amp;"-"&amp;F611&amp;"-Pos4",'Shooter-Squad Assignment'!$W:$W,0)),""),IF(F611="Sporting Clays",IFERROR(INDEX('Shooter-Squad Assignment'!$A:$A,MATCH(C611&amp;"-"&amp;E611&amp;"-"&amp;F611&amp;"-Pos4",'Shooter-Squad Assignment'!$Z:$Z,0)),""),"")))</f>
        <v/>
      </c>
      <c r="N611" s="73" t="str">
        <f>IF(ISBLANK(M611),"",IFERROR(INDEX('Tournament List'!$D:$D,MATCH(M611,'Tournament List'!$A:$A,0)),""))</f>
        <v/>
      </c>
      <c r="O611" s="94" t="str">
        <f>IF(F611="Skeet",IFERROR(INDEX('Shooter-Squad Assignment'!$A:$A,MATCH(C611&amp;"-"&amp;E611&amp;"-"&amp;F611&amp;"-Pos5",'Shooter-Squad Assignment'!$K:$K,0)),""),IF(F611="Trap",IFERROR(INDEX('Shooter-Squad Assignment'!$A:$A,MATCH(C611&amp;"-"&amp;E611&amp;"-"&amp;F611&amp;"-Pos5",'Shooter-Squad Assignment'!$W:$W,0)),""),IF(F611="Sporting Clays",IFERROR(INDEX('Shooter-Squad Assignment'!$A:$A,MATCH(C611&amp;"-"&amp;E611&amp;"-"&amp;F611&amp;"-Pos5",'Shooter-Squad Assignment'!$Z:$Z,0)),""),"")))</f>
        <v/>
      </c>
      <c r="P611" s="79" t="str">
        <f>IF(ISBLANK(O611),"",IFERROR(INDEX('Tournament List'!$D:$D,MATCH(O611,'Tournament List'!$A:$A,0)),""))</f>
        <v/>
      </c>
    </row>
    <row r="612" spans="1:16" x14ac:dyDescent="0.3">
      <c r="A612" s="78">
        <v>611</v>
      </c>
      <c r="B612" s="73" t="str">
        <f>C612&amp;"-"&amp;E612&amp;"-"&amp;F612</f>
        <v>-Collegiate 3-Trap</v>
      </c>
      <c r="C612" s="73"/>
      <c r="D612" s="73" t="str">
        <f>INDEX('Tournament Setup'!$B$59:$B$78,MATCH(E612,SquadConcurrents,0))</f>
        <v>Collegiate</v>
      </c>
      <c r="E612" s="73" t="s">
        <v>354</v>
      </c>
      <c r="F612" s="73" t="s">
        <v>147</v>
      </c>
      <c r="G612" s="94" t="str">
        <f>IF(F612="Skeet",IFERROR(INDEX('Shooter-Squad Assignment'!$A:$A,MATCH(C612&amp;"-"&amp;E612&amp;"-"&amp;F612&amp;"-Pos1",'Shooter-Squad Assignment'!$K:$K,0)),""),IF(F612="Trap",IFERROR(INDEX('Shooter-Squad Assignment'!$A:$A,MATCH(C612&amp;"-"&amp;E612&amp;"-"&amp;F612&amp;"-Pos1",'Shooter-Squad Assignment'!$W:$W,0)),""),IF(F612="Sporting Clays",IFERROR(INDEX('Shooter-Squad Assignment'!$A:$A,MATCH(C612&amp;"-"&amp;E612&amp;"-"&amp;F612&amp;"-Pos1",'Shooter-Squad Assignment'!$Z:$Z,0)),""),"")))</f>
        <v/>
      </c>
      <c r="H612" s="73" t="str">
        <f>IF(ISBLANK(G612),"",IFERROR(INDEX('Tournament List'!$D:$D,MATCH(G612,'Tournament List'!$A:$A,0)),""))</f>
        <v/>
      </c>
      <c r="I612" s="94" t="str">
        <f>IF(F612="Skeet",IFERROR(INDEX('Shooter-Squad Assignment'!$A:$A,MATCH(C612&amp;"-"&amp;E612&amp;"-"&amp;F612&amp;"-Pos2",'Shooter-Squad Assignment'!$K:$K,0)),""),IF(F612="Trap",IFERROR(INDEX('Shooter-Squad Assignment'!$A:$A,MATCH(C612&amp;"-"&amp;E612&amp;"-"&amp;F612&amp;"-Pos2",'Shooter-Squad Assignment'!$W:$W,0)),""),IF(F612="Sporting Clays",IFERROR(INDEX('Shooter-Squad Assignment'!$A:$A,MATCH(C612&amp;"-"&amp;E612&amp;"-"&amp;F612&amp;"-Pos2",'Shooter-Squad Assignment'!$Z:$Z,0)),""),"")))</f>
        <v/>
      </c>
      <c r="J612" s="73" t="str">
        <f>IF(ISBLANK(I612),"",IFERROR(INDEX('Tournament List'!$D:$D,MATCH(I612,'Tournament List'!$A:$A,0)),""))</f>
        <v/>
      </c>
      <c r="K612" s="94" t="str">
        <f>IF(F612="Skeet",IFERROR(INDEX('Shooter-Squad Assignment'!$A:$A,MATCH(C612&amp;"-"&amp;E612&amp;"-"&amp;F612&amp;"-Pos3",'Shooter-Squad Assignment'!$K:$K,0)),""),IF(F612="Trap",IFERROR(INDEX('Shooter-Squad Assignment'!$A:$A,MATCH(C612&amp;"-"&amp;E612&amp;"-"&amp;F612&amp;"-Pos3",'Shooter-Squad Assignment'!$W:$W,0)),""),IF(F612="Sporting Clays",IFERROR(INDEX('Shooter-Squad Assignment'!$A:$A,MATCH(C612&amp;"-"&amp;E612&amp;"-"&amp;F612&amp;"-Pos3",'Shooter-Squad Assignment'!$Z:$Z,0)),""),"")))</f>
        <v/>
      </c>
      <c r="L612" s="73" t="str">
        <f>IF(ISBLANK(K612),"",IFERROR(INDEX('Tournament List'!$D:$D,MATCH(K612,'Tournament List'!$A:$A,0)),""))</f>
        <v/>
      </c>
      <c r="M612" s="94" t="str">
        <f>IF(F612="Skeet",IFERROR(INDEX('Shooter-Squad Assignment'!$A:$A,MATCH(C612&amp;"-"&amp;E612&amp;"-"&amp;F612&amp;"-Pos4",'Shooter-Squad Assignment'!$K:$K,0)),""),IF(F612="Trap",IFERROR(INDEX('Shooter-Squad Assignment'!$A:$A,MATCH(C612&amp;"-"&amp;E612&amp;"-"&amp;F612&amp;"-Pos4",'Shooter-Squad Assignment'!$W:$W,0)),""),IF(F612="Sporting Clays",IFERROR(INDEX('Shooter-Squad Assignment'!$A:$A,MATCH(C612&amp;"-"&amp;E612&amp;"-"&amp;F612&amp;"-Pos4",'Shooter-Squad Assignment'!$Z:$Z,0)),""),"")))</f>
        <v/>
      </c>
      <c r="N612" s="73" t="str">
        <f>IF(ISBLANK(M612),"",IFERROR(INDEX('Tournament List'!$D:$D,MATCH(M612,'Tournament List'!$A:$A,0)),""))</f>
        <v/>
      </c>
      <c r="O612" s="94" t="str">
        <f>IF(F612="Skeet",IFERROR(INDEX('Shooter-Squad Assignment'!$A:$A,MATCH(C612&amp;"-"&amp;E612&amp;"-"&amp;F612&amp;"-Pos5",'Shooter-Squad Assignment'!$K:$K,0)),""),IF(F612="Trap",IFERROR(INDEX('Shooter-Squad Assignment'!$A:$A,MATCH(C612&amp;"-"&amp;E612&amp;"-"&amp;F612&amp;"-Pos5",'Shooter-Squad Assignment'!$W:$W,0)),""),IF(F612="Sporting Clays",IFERROR(INDEX('Shooter-Squad Assignment'!$A:$A,MATCH(C612&amp;"-"&amp;E612&amp;"-"&amp;F612&amp;"-Pos5",'Shooter-Squad Assignment'!$Z:$Z,0)),""),"")))</f>
        <v/>
      </c>
      <c r="P612" s="79" t="str">
        <f>IF(ISBLANK(O612),"",IFERROR(INDEX('Tournament List'!$D:$D,MATCH(O612,'Tournament List'!$A:$A,0)),""))</f>
        <v/>
      </c>
    </row>
    <row r="613" spans="1:16" x14ac:dyDescent="0.3">
      <c r="A613" s="78">
        <v>612</v>
      </c>
      <c r="B613" s="73" t="str">
        <f>C613&amp;"-"&amp;E613&amp;"-"&amp;F613</f>
        <v>-Intermediate 1-Trap</v>
      </c>
      <c r="C613" s="73"/>
      <c r="D613" s="73" t="str">
        <f>INDEX('Tournament Setup'!$B$59:$B$78,MATCH(E613,SquadConcurrents,0))</f>
        <v>Intermediate</v>
      </c>
      <c r="E613" s="73" t="s">
        <v>338</v>
      </c>
      <c r="F613" s="73" t="s">
        <v>147</v>
      </c>
      <c r="G613" s="94" t="str">
        <f>IF(F613="Skeet",IFERROR(INDEX('Shooter-Squad Assignment'!$A:$A,MATCH(C613&amp;"-"&amp;E613&amp;"-"&amp;F613&amp;"-Pos1",'Shooter-Squad Assignment'!$K:$K,0)),""),IF(F613="Trap",IFERROR(INDEX('Shooter-Squad Assignment'!$A:$A,MATCH(C613&amp;"-"&amp;E613&amp;"-"&amp;F613&amp;"-Pos1",'Shooter-Squad Assignment'!$W:$W,0)),""),IF(F613="Sporting Clays",IFERROR(INDEX('Shooter-Squad Assignment'!$A:$A,MATCH(C613&amp;"-"&amp;E613&amp;"-"&amp;F613&amp;"-Pos1",'Shooter-Squad Assignment'!$Z:$Z,0)),""),"")))</f>
        <v/>
      </c>
      <c r="H613" s="73" t="str">
        <f>IF(ISBLANK(G613),"",IFERROR(INDEX('Tournament List'!$D:$D,MATCH(G613,'Tournament List'!$A:$A,0)),""))</f>
        <v/>
      </c>
      <c r="I613" s="94" t="str">
        <f>IF(F613="Skeet",IFERROR(INDEX('Shooter-Squad Assignment'!$A:$A,MATCH(C613&amp;"-"&amp;E613&amp;"-"&amp;F613&amp;"-Pos2",'Shooter-Squad Assignment'!$K:$K,0)),""),IF(F613="Trap",IFERROR(INDEX('Shooter-Squad Assignment'!$A:$A,MATCH(C613&amp;"-"&amp;E613&amp;"-"&amp;F613&amp;"-Pos2",'Shooter-Squad Assignment'!$W:$W,0)),""),IF(F613="Sporting Clays",IFERROR(INDEX('Shooter-Squad Assignment'!$A:$A,MATCH(C613&amp;"-"&amp;E613&amp;"-"&amp;F613&amp;"-Pos2",'Shooter-Squad Assignment'!$Z:$Z,0)),""),"")))</f>
        <v/>
      </c>
      <c r="J613" s="73" t="str">
        <f>IF(ISBLANK(I613),"",IFERROR(INDEX('Tournament List'!$D:$D,MATCH(I613,'Tournament List'!$A:$A,0)),""))</f>
        <v/>
      </c>
      <c r="K613" s="94" t="str">
        <f>IF(F613="Skeet",IFERROR(INDEX('Shooter-Squad Assignment'!$A:$A,MATCH(C613&amp;"-"&amp;E613&amp;"-"&amp;F613&amp;"-Pos3",'Shooter-Squad Assignment'!$K:$K,0)),""),IF(F613="Trap",IFERROR(INDEX('Shooter-Squad Assignment'!$A:$A,MATCH(C613&amp;"-"&amp;E613&amp;"-"&amp;F613&amp;"-Pos3",'Shooter-Squad Assignment'!$W:$W,0)),""),IF(F613="Sporting Clays",IFERROR(INDEX('Shooter-Squad Assignment'!$A:$A,MATCH(C613&amp;"-"&amp;E613&amp;"-"&amp;F613&amp;"-Pos3",'Shooter-Squad Assignment'!$Z:$Z,0)),""),"")))</f>
        <v/>
      </c>
      <c r="L613" s="73" t="str">
        <f>IF(ISBLANK(K613),"",IFERROR(INDEX('Tournament List'!$D:$D,MATCH(K613,'Tournament List'!$A:$A,0)),""))</f>
        <v/>
      </c>
      <c r="M613" s="94" t="str">
        <f>IF(F613="Skeet",IFERROR(INDEX('Shooter-Squad Assignment'!$A:$A,MATCH(C613&amp;"-"&amp;E613&amp;"-"&amp;F613&amp;"-Pos4",'Shooter-Squad Assignment'!$K:$K,0)),""),IF(F613="Trap",IFERROR(INDEX('Shooter-Squad Assignment'!$A:$A,MATCH(C613&amp;"-"&amp;E613&amp;"-"&amp;F613&amp;"-Pos4",'Shooter-Squad Assignment'!$W:$W,0)),""),IF(F613="Sporting Clays",IFERROR(INDEX('Shooter-Squad Assignment'!$A:$A,MATCH(C613&amp;"-"&amp;E613&amp;"-"&amp;F613&amp;"-Pos4",'Shooter-Squad Assignment'!$Z:$Z,0)),""),"")))</f>
        <v/>
      </c>
      <c r="N613" s="73" t="str">
        <f>IF(ISBLANK(M613),"",IFERROR(INDEX('Tournament List'!$D:$D,MATCH(M613,'Tournament List'!$A:$A,0)),""))</f>
        <v/>
      </c>
      <c r="O613" s="94" t="str">
        <f>IF(F613="Skeet",IFERROR(INDEX('Shooter-Squad Assignment'!$A:$A,MATCH(C613&amp;"-"&amp;E613&amp;"-"&amp;F613&amp;"-Pos5",'Shooter-Squad Assignment'!$K:$K,0)),""),IF(F613="Trap",IFERROR(INDEX('Shooter-Squad Assignment'!$A:$A,MATCH(C613&amp;"-"&amp;E613&amp;"-"&amp;F613&amp;"-Pos5",'Shooter-Squad Assignment'!$W:$W,0)),""),IF(F613="Sporting Clays",IFERROR(INDEX('Shooter-Squad Assignment'!$A:$A,MATCH(C613&amp;"-"&amp;E613&amp;"-"&amp;F613&amp;"-Pos5",'Shooter-Squad Assignment'!$Z:$Z,0)),""),"")))</f>
        <v/>
      </c>
      <c r="P613" s="79" t="str">
        <f>IF(ISBLANK(O613),"",IFERROR(INDEX('Tournament List'!$D:$D,MATCH(O613,'Tournament List'!$A:$A,0)),""))</f>
        <v/>
      </c>
    </row>
    <row r="614" spans="1:16" x14ac:dyDescent="0.3">
      <c r="A614" s="78">
        <v>613</v>
      </c>
      <c r="B614" s="73" t="str">
        <f>C614&amp;"-"&amp;E614&amp;"-"&amp;F614</f>
        <v>-Intermediate 2-Trap</v>
      </c>
      <c r="C614" s="73"/>
      <c r="D614" s="73" t="str">
        <f>INDEX('Tournament Setup'!$B$59:$B$78,MATCH(E614,SquadConcurrents,0))</f>
        <v>Intermediate</v>
      </c>
      <c r="E614" s="73" t="s">
        <v>344</v>
      </c>
      <c r="F614" s="73" t="s">
        <v>147</v>
      </c>
      <c r="G614" s="94" t="str">
        <f>IF(F614="Skeet",IFERROR(INDEX('Shooter-Squad Assignment'!$A:$A,MATCH(C614&amp;"-"&amp;E614&amp;"-"&amp;F614&amp;"-Pos1",'Shooter-Squad Assignment'!$K:$K,0)),""),IF(F614="Trap",IFERROR(INDEX('Shooter-Squad Assignment'!$A:$A,MATCH(C614&amp;"-"&amp;E614&amp;"-"&amp;F614&amp;"-Pos1",'Shooter-Squad Assignment'!$W:$W,0)),""),IF(F614="Sporting Clays",IFERROR(INDEX('Shooter-Squad Assignment'!$A:$A,MATCH(C614&amp;"-"&amp;E614&amp;"-"&amp;F614&amp;"-Pos1",'Shooter-Squad Assignment'!$Z:$Z,0)),""),"")))</f>
        <v/>
      </c>
      <c r="H614" s="73" t="str">
        <f>IF(ISBLANK(G614),"",IFERROR(INDEX('Tournament List'!$D:$D,MATCH(G614,'Tournament List'!$A:$A,0)),""))</f>
        <v/>
      </c>
      <c r="I614" s="94" t="str">
        <f>IF(F614="Skeet",IFERROR(INDEX('Shooter-Squad Assignment'!$A:$A,MATCH(C614&amp;"-"&amp;E614&amp;"-"&amp;F614&amp;"-Pos2",'Shooter-Squad Assignment'!$K:$K,0)),""),IF(F614="Trap",IFERROR(INDEX('Shooter-Squad Assignment'!$A:$A,MATCH(C614&amp;"-"&amp;E614&amp;"-"&amp;F614&amp;"-Pos2",'Shooter-Squad Assignment'!$W:$W,0)),""),IF(F614="Sporting Clays",IFERROR(INDEX('Shooter-Squad Assignment'!$A:$A,MATCH(C614&amp;"-"&amp;E614&amp;"-"&amp;F614&amp;"-Pos2",'Shooter-Squad Assignment'!$Z:$Z,0)),""),"")))</f>
        <v/>
      </c>
      <c r="J614" s="73" t="str">
        <f>IF(ISBLANK(I614),"",IFERROR(INDEX('Tournament List'!$D:$D,MATCH(I614,'Tournament List'!$A:$A,0)),""))</f>
        <v/>
      </c>
      <c r="K614" s="94" t="str">
        <f>IF(F614="Skeet",IFERROR(INDEX('Shooter-Squad Assignment'!$A:$A,MATCH(C614&amp;"-"&amp;E614&amp;"-"&amp;F614&amp;"-Pos3",'Shooter-Squad Assignment'!$K:$K,0)),""),IF(F614="Trap",IFERROR(INDEX('Shooter-Squad Assignment'!$A:$A,MATCH(C614&amp;"-"&amp;E614&amp;"-"&amp;F614&amp;"-Pos3",'Shooter-Squad Assignment'!$W:$W,0)),""),IF(F614="Sporting Clays",IFERROR(INDEX('Shooter-Squad Assignment'!$A:$A,MATCH(C614&amp;"-"&amp;E614&amp;"-"&amp;F614&amp;"-Pos3",'Shooter-Squad Assignment'!$Z:$Z,0)),""),"")))</f>
        <v/>
      </c>
      <c r="L614" s="73" t="str">
        <f>IF(ISBLANK(K614),"",IFERROR(INDEX('Tournament List'!$D:$D,MATCH(K614,'Tournament List'!$A:$A,0)),""))</f>
        <v/>
      </c>
      <c r="M614" s="94" t="str">
        <f>IF(F614="Skeet",IFERROR(INDEX('Shooter-Squad Assignment'!$A:$A,MATCH(C614&amp;"-"&amp;E614&amp;"-"&amp;F614&amp;"-Pos4",'Shooter-Squad Assignment'!$K:$K,0)),""),IF(F614="Trap",IFERROR(INDEX('Shooter-Squad Assignment'!$A:$A,MATCH(C614&amp;"-"&amp;E614&amp;"-"&amp;F614&amp;"-Pos4",'Shooter-Squad Assignment'!$W:$W,0)),""),IF(F614="Sporting Clays",IFERROR(INDEX('Shooter-Squad Assignment'!$A:$A,MATCH(C614&amp;"-"&amp;E614&amp;"-"&amp;F614&amp;"-Pos4",'Shooter-Squad Assignment'!$Z:$Z,0)),""),"")))</f>
        <v/>
      </c>
      <c r="N614" s="73" t="str">
        <f>IF(ISBLANK(M614),"",IFERROR(INDEX('Tournament List'!$D:$D,MATCH(M614,'Tournament List'!$A:$A,0)),""))</f>
        <v/>
      </c>
      <c r="O614" s="94" t="str">
        <f>IF(F614="Skeet",IFERROR(INDEX('Shooter-Squad Assignment'!$A:$A,MATCH(C614&amp;"-"&amp;E614&amp;"-"&amp;F614&amp;"-Pos5",'Shooter-Squad Assignment'!$K:$K,0)),""),IF(F614="Trap",IFERROR(INDEX('Shooter-Squad Assignment'!$A:$A,MATCH(C614&amp;"-"&amp;E614&amp;"-"&amp;F614&amp;"-Pos5",'Shooter-Squad Assignment'!$W:$W,0)),""),IF(F614="Sporting Clays",IFERROR(INDEX('Shooter-Squad Assignment'!$A:$A,MATCH(C614&amp;"-"&amp;E614&amp;"-"&amp;F614&amp;"-Pos5",'Shooter-Squad Assignment'!$Z:$Z,0)),""),"")))</f>
        <v/>
      </c>
      <c r="P614" s="79" t="str">
        <f>IF(ISBLANK(O614),"",IFERROR(INDEX('Tournament List'!$D:$D,MATCH(O614,'Tournament List'!$A:$A,0)),""))</f>
        <v/>
      </c>
    </row>
    <row r="615" spans="1:16" x14ac:dyDescent="0.3">
      <c r="A615" s="78">
        <v>614</v>
      </c>
      <c r="B615" s="73" t="str">
        <f>C615&amp;"-"&amp;E615&amp;"-"&amp;F615</f>
        <v>-Intermediate 3-Trap</v>
      </c>
      <c r="C615" s="73"/>
      <c r="D615" s="73" t="str">
        <f>INDEX('Tournament Setup'!$B$59:$B$78,MATCH(E615,SquadConcurrents,0))</f>
        <v>Intermediate</v>
      </c>
      <c r="E615" s="73" t="s">
        <v>350</v>
      </c>
      <c r="F615" s="73" t="s">
        <v>147</v>
      </c>
      <c r="G615" s="94" t="str">
        <f>IF(F615="Skeet",IFERROR(INDEX('Shooter-Squad Assignment'!$A:$A,MATCH(C615&amp;"-"&amp;E615&amp;"-"&amp;F615&amp;"-Pos1",'Shooter-Squad Assignment'!$K:$K,0)),""),IF(F615="Trap",IFERROR(INDEX('Shooter-Squad Assignment'!$A:$A,MATCH(C615&amp;"-"&amp;E615&amp;"-"&amp;F615&amp;"-Pos1",'Shooter-Squad Assignment'!$W:$W,0)),""),IF(F615="Sporting Clays",IFERROR(INDEX('Shooter-Squad Assignment'!$A:$A,MATCH(C615&amp;"-"&amp;E615&amp;"-"&amp;F615&amp;"-Pos1",'Shooter-Squad Assignment'!$Z:$Z,0)),""),"")))</f>
        <v/>
      </c>
      <c r="H615" s="73" t="str">
        <f>IF(ISBLANK(G615),"",IFERROR(INDEX('Tournament List'!$D:$D,MATCH(G615,'Tournament List'!$A:$A,0)),""))</f>
        <v/>
      </c>
      <c r="I615" s="94" t="str">
        <f>IF(F615="Skeet",IFERROR(INDEX('Shooter-Squad Assignment'!$A:$A,MATCH(C615&amp;"-"&amp;E615&amp;"-"&amp;F615&amp;"-Pos2",'Shooter-Squad Assignment'!$K:$K,0)),""),IF(F615="Trap",IFERROR(INDEX('Shooter-Squad Assignment'!$A:$A,MATCH(C615&amp;"-"&amp;E615&amp;"-"&amp;F615&amp;"-Pos2",'Shooter-Squad Assignment'!$W:$W,0)),""),IF(F615="Sporting Clays",IFERROR(INDEX('Shooter-Squad Assignment'!$A:$A,MATCH(C615&amp;"-"&amp;E615&amp;"-"&amp;F615&amp;"-Pos2",'Shooter-Squad Assignment'!$Z:$Z,0)),""),"")))</f>
        <v/>
      </c>
      <c r="J615" s="73" t="str">
        <f>IF(ISBLANK(I615),"",IFERROR(INDEX('Tournament List'!$D:$D,MATCH(I615,'Tournament List'!$A:$A,0)),""))</f>
        <v/>
      </c>
      <c r="K615" s="94" t="str">
        <f>IF(F615="Skeet",IFERROR(INDEX('Shooter-Squad Assignment'!$A:$A,MATCH(C615&amp;"-"&amp;E615&amp;"-"&amp;F615&amp;"-Pos3",'Shooter-Squad Assignment'!$K:$K,0)),""),IF(F615="Trap",IFERROR(INDEX('Shooter-Squad Assignment'!$A:$A,MATCH(C615&amp;"-"&amp;E615&amp;"-"&amp;F615&amp;"-Pos3",'Shooter-Squad Assignment'!$W:$W,0)),""),IF(F615="Sporting Clays",IFERROR(INDEX('Shooter-Squad Assignment'!$A:$A,MATCH(C615&amp;"-"&amp;E615&amp;"-"&amp;F615&amp;"-Pos3",'Shooter-Squad Assignment'!$Z:$Z,0)),""),"")))</f>
        <v/>
      </c>
      <c r="L615" s="73" t="str">
        <f>IF(ISBLANK(K615),"",IFERROR(INDEX('Tournament List'!$D:$D,MATCH(K615,'Tournament List'!$A:$A,0)),""))</f>
        <v/>
      </c>
      <c r="M615" s="94" t="str">
        <f>IF(F615="Skeet",IFERROR(INDEX('Shooter-Squad Assignment'!$A:$A,MATCH(C615&amp;"-"&amp;E615&amp;"-"&amp;F615&amp;"-Pos4",'Shooter-Squad Assignment'!$K:$K,0)),""),IF(F615="Trap",IFERROR(INDEX('Shooter-Squad Assignment'!$A:$A,MATCH(C615&amp;"-"&amp;E615&amp;"-"&amp;F615&amp;"-Pos4",'Shooter-Squad Assignment'!$W:$W,0)),""),IF(F615="Sporting Clays",IFERROR(INDEX('Shooter-Squad Assignment'!$A:$A,MATCH(C615&amp;"-"&amp;E615&amp;"-"&amp;F615&amp;"-Pos4",'Shooter-Squad Assignment'!$Z:$Z,0)),""),"")))</f>
        <v/>
      </c>
      <c r="N615" s="73" t="str">
        <f>IF(ISBLANK(M615),"",IFERROR(INDEX('Tournament List'!$D:$D,MATCH(M615,'Tournament List'!$A:$A,0)),""))</f>
        <v/>
      </c>
      <c r="O615" s="94" t="str">
        <f>IF(F615="Skeet",IFERROR(INDEX('Shooter-Squad Assignment'!$A:$A,MATCH(C615&amp;"-"&amp;E615&amp;"-"&amp;F615&amp;"-Pos5",'Shooter-Squad Assignment'!$K:$K,0)),""),IF(F615="Trap",IFERROR(INDEX('Shooter-Squad Assignment'!$A:$A,MATCH(C615&amp;"-"&amp;E615&amp;"-"&amp;F615&amp;"-Pos5",'Shooter-Squad Assignment'!$W:$W,0)),""),IF(F615="Sporting Clays",IFERROR(INDEX('Shooter-Squad Assignment'!$A:$A,MATCH(C615&amp;"-"&amp;E615&amp;"-"&amp;F615&amp;"-Pos5",'Shooter-Squad Assignment'!$Z:$Z,0)),""),"")))</f>
        <v/>
      </c>
      <c r="P615" s="79" t="str">
        <f>IF(ISBLANK(O615),"",IFERROR(INDEX('Tournament List'!$D:$D,MATCH(O615,'Tournament List'!$A:$A,0)),""))</f>
        <v/>
      </c>
    </row>
    <row r="616" spans="1:16" x14ac:dyDescent="0.3">
      <c r="A616" s="78">
        <v>615</v>
      </c>
      <c r="B616" s="73" t="str">
        <f>C616&amp;"-"&amp;E616&amp;"-"&amp;F616</f>
        <v>-Junior Varsity 1-Trap</v>
      </c>
      <c r="C616" s="73"/>
      <c r="D616" s="73" t="str">
        <f>INDEX('Tournament Setup'!$B$59:$B$78,MATCH(E616,SquadConcurrents,0))</f>
        <v>Junior Varsity</v>
      </c>
      <c r="E616" s="73" t="s">
        <v>339</v>
      </c>
      <c r="F616" s="73" t="s">
        <v>147</v>
      </c>
      <c r="G616" s="94" t="str">
        <f>IF(F616="Skeet",IFERROR(INDEX('Shooter-Squad Assignment'!$A:$A,MATCH(C616&amp;"-"&amp;E616&amp;"-"&amp;F616&amp;"-Pos1",'Shooter-Squad Assignment'!$K:$K,0)),""),IF(F616="Trap",IFERROR(INDEX('Shooter-Squad Assignment'!$A:$A,MATCH(C616&amp;"-"&amp;E616&amp;"-"&amp;F616&amp;"-Pos1",'Shooter-Squad Assignment'!$W:$W,0)),""),IF(F616="Sporting Clays",IFERROR(INDEX('Shooter-Squad Assignment'!$A:$A,MATCH(C616&amp;"-"&amp;E616&amp;"-"&amp;F616&amp;"-Pos1",'Shooter-Squad Assignment'!$Z:$Z,0)),""),"")))</f>
        <v/>
      </c>
      <c r="H616" s="73" t="str">
        <f>IF(ISBLANK(G616),"",IFERROR(INDEX('Tournament List'!$D:$D,MATCH(G616,'Tournament List'!$A:$A,0)),""))</f>
        <v/>
      </c>
      <c r="I616" s="94" t="str">
        <f>IF(F616="Skeet",IFERROR(INDEX('Shooter-Squad Assignment'!$A:$A,MATCH(C616&amp;"-"&amp;E616&amp;"-"&amp;F616&amp;"-Pos2",'Shooter-Squad Assignment'!$K:$K,0)),""),IF(F616="Trap",IFERROR(INDEX('Shooter-Squad Assignment'!$A:$A,MATCH(C616&amp;"-"&amp;E616&amp;"-"&amp;F616&amp;"-Pos2",'Shooter-Squad Assignment'!$W:$W,0)),""),IF(F616="Sporting Clays",IFERROR(INDEX('Shooter-Squad Assignment'!$A:$A,MATCH(C616&amp;"-"&amp;E616&amp;"-"&amp;F616&amp;"-Pos2",'Shooter-Squad Assignment'!$Z:$Z,0)),""),"")))</f>
        <v/>
      </c>
      <c r="J616" s="73" t="str">
        <f>IF(ISBLANK(I616),"",IFERROR(INDEX('Tournament List'!$D:$D,MATCH(I616,'Tournament List'!$A:$A,0)),""))</f>
        <v/>
      </c>
      <c r="K616" s="94" t="str">
        <f>IF(F616="Skeet",IFERROR(INDEX('Shooter-Squad Assignment'!$A:$A,MATCH(C616&amp;"-"&amp;E616&amp;"-"&amp;F616&amp;"-Pos3",'Shooter-Squad Assignment'!$K:$K,0)),""),IF(F616="Trap",IFERROR(INDEX('Shooter-Squad Assignment'!$A:$A,MATCH(C616&amp;"-"&amp;E616&amp;"-"&amp;F616&amp;"-Pos3",'Shooter-Squad Assignment'!$W:$W,0)),""),IF(F616="Sporting Clays",IFERROR(INDEX('Shooter-Squad Assignment'!$A:$A,MATCH(C616&amp;"-"&amp;E616&amp;"-"&amp;F616&amp;"-Pos3",'Shooter-Squad Assignment'!$Z:$Z,0)),""),"")))</f>
        <v/>
      </c>
      <c r="L616" s="73" t="str">
        <f>IF(ISBLANK(K616),"",IFERROR(INDEX('Tournament List'!$D:$D,MATCH(K616,'Tournament List'!$A:$A,0)),""))</f>
        <v/>
      </c>
      <c r="M616" s="94" t="str">
        <f>IF(F616="Skeet",IFERROR(INDEX('Shooter-Squad Assignment'!$A:$A,MATCH(C616&amp;"-"&amp;E616&amp;"-"&amp;F616&amp;"-Pos4",'Shooter-Squad Assignment'!$K:$K,0)),""),IF(F616="Trap",IFERROR(INDEX('Shooter-Squad Assignment'!$A:$A,MATCH(C616&amp;"-"&amp;E616&amp;"-"&amp;F616&amp;"-Pos4",'Shooter-Squad Assignment'!$W:$W,0)),""),IF(F616="Sporting Clays",IFERROR(INDEX('Shooter-Squad Assignment'!$A:$A,MATCH(C616&amp;"-"&amp;E616&amp;"-"&amp;F616&amp;"-Pos4",'Shooter-Squad Assignment'!$Z:$Z,0)),""),"")))</f>
        <v/>
      </c>
      <c r="N616" s="73" t="str">
        <f>IF(ISBLANK(M616),"",IFERROR(INDEX('Tournament List'!$D:$D,MATCH(M616,'Tournament List'!$A:$A,0)),""))</f>
        <v/>
      </c>
      <c r="O616" s="94" t="str">
        <f>IF(F616="Skeet",IFERROR(INDEX('Shooter-Squad Assignment'!$A:$A,MATCH(C616&amp;"-"&amp;E616&amp;"-"&amp;F616&amp;"-Pos5",'Shooter-Squad Assignment'!$K:$K,0)),""),IF(F616="Trap",IFERROR(INDEX('Shooter-Squad Assignment'!$A:$A,MATCH(C616&amp;"-"&amp;E616&amp;"-"&amp;F616&amp;"-Pos5",'Shooter-Squad Assignment'!$W:$W,0)),""),IF(F616="Sporting Clays",IFERROR(INDEX('Shooter-Squad Assignment'!$A:$A,MATCH(C616&amp;"-"&amp;E616&amp;"-"&amp;F616&amp;"-Pos5",'Shooter-Squad Assignment'!$Z:$Z,0)),""),"")))</f>
        <v/>
      </c>
      <c r="P616" s="79" t="str">
        <f>IF(ISBLANK(O616),"",IFERROR(INDEX('Tournament List'!$D:$D,MATCH(O616,'Tournament List'!$A:$A,0)),""))</f>
        <v/>
      </c>
    </row>
    <row r="617" spans="1:16" x14ac:dyDescent="0.3">
      <c r="A617" s="78">
        <v>616</v>
      </c>
      <c r="B617" s="73" t="str">
        <f>C617&amp;"-"&amp;E617&amp;"-"&amp;F617</f>
        <v>-Junior Varsity 2-Trap</v>
      </c>
      <c r="C617" s="73"/>
      <c r="D617" s="73" t="str">
        <f>INDEX('Tournament Setup'!$B$59:$B$78,MATCH(E617,SquadConcurrents,0))</f>
        <v>Junior Varsity</v>
      </c>
      <c r="E617" s="73" t="s">
        <v>345</v>
      </c>
      <c r="F617" s="73" t="s">
        <v>147</v>
      </c>
      <c r="G617" s="94" t="str">
        <f>IF(F617="Skeet",IFERROR(INDEX('Shooter-Squad Assignment'!$A:$A,MATCH(C617&amp;"-"&amp;E617&amp;"-"&amp;F617&amp;"-Pos1",'Shooter-Squad Assignment'!$K:$K,0)),""),IF(F617="Trap",IFERROR(INDEX('Shooter-Squad Assignment'!$A:$A,MATCH(C617&amp;"-"&amp;E617&amp;"-"&amp;F617&amp;"-Pos1",'Shooter-Squad Assignment'!$W:$W,0)),""),IF(F617="Sporting Clays",IFERROR(INDEX('Shooter-Squad Assignment'!$A:$A,MATCH(C617&amp;"-"&amp;E617&amp;"-"&amp;F617&amp;"-Pos1",'Shooter-Squad Assignment'!$Z:$Z,0)),""),"")))</f>
        <v/>
      </c>
      <c r="H617" s="73" t="str">
        <f>IF(ISBLANK(G617),"",IFERROR(INDEX('Tournament List'!$D:$D,MATCH(G617,'Tournament List'!$A:$A,0)),""))</f>
        <v/>
      </c>
      <c r="I617" s="94" t="str">
        <f>IF(F617="Skeet",IFERROR(INDEX('Shooter-Squad Assignment'!$A:$A,MATCH(C617&amp;"-"&amp;E617&amp;"-"&amp;F617&amp;"-Pos2",'Shooter-Squad Assignment'!$K:$K,0)),""),IF(F617="Trap",IFERROR(INDEX('Shooter-Squad Assignment'!$A:$A,MATCH(C617&amp;"-"&amp;E617&amp;"-"&amp;F617&amp;"-Pos2",'Shooter-Squad Assignment'!$W:$W,0)),""),IF(F617="Sporting Clays",IFERROR(INDEX('Shooter-Squad Assignment'!$A:$A,MATCH(C617&amp;"-"&amp;E617&amp;"-"&amp;F617&amp;"-Pos2",'Shooter-Squad Assignment'!$Z:$Z,0)),""),"")))</f>
        <v/>
      </c>
      <c r="J617" s="73" t="str">
        <f>IF(ISBLANK(I617),"",IFERROR(INDEX('Tournament List'!$D:$D,MATCH(I617,'Tournament List'!$A:$A,0)),""))</f>
        <v/>
      </c>
      <c r="K617" s="94" t="str">
        <f>IF(F617="Skeet",IFERROR(INDEX('Shooter-Squad Assignment'!$A:$A,MATCH(C617&amp;"-"&amp;E617&amp;"-"&amp;F617&amp;"-Pos3",'Shooter-Squad Assignment'!$K:$K,0)),""),IF(F617="Trap",IFERROR(INDEX('Shooter-Squad Assignment'!$A:$A,MATCH(C617&amp;"-"&amp;E617&amp;"-"&amp;F617&amp;"-Pos3",'Shooter-Squad Assignment'!$W:$W,0)),""),IF(F617="Sporting Clays",IFERROR(INDEX('Shooter-Squad Assignment'!$A:$A,MATCH(C617&amp;"-"&amp;E617&amp;"-"&amp;F617&amp;"-Pos3",'Shooter-Squad Assignment'!$Z:$Z,0)),""),"")))</f>
        <v/>
      </c>
      <c r="L617" s="73" t="str">
        <f>IF(ISBLANK(K617),"",IFERROR(INDEX('Tournament List'!$D:$D,MATCH(K617,'Tournament List'!$A:$A,0)),""))</f>
        <v/>
      </c>
      <c r="M617" s="94" t="str">
        <f>IF(F617="Skeet",IFERROR(INDEX('Shooter-Squad Assignment'!$A:$A,MATCH(C617&amp;"-"&amp;E617&amp;"-"&amp;F617&amp;"-Pos4",'Shooter-Squad Assignment'!$K:$K,0)),""),IF(F617="Trap",IFERROR(INDEX('Shooter-Squad Assignment'!$A:$A,MATCH(C617&amp;"-"&amp;E617&amp;"-"&amp;F617&amp;"-Pos4",'Shooter-Squad Assignment'!$W:$W,0)),""),IF(F617="Sporting Clays",IFERROR(INDEX('Shooter-Squad Assignment'!$A:$A,MATCH(C617&amp;"-"&amp;E617&amp;"-"&amp;F617&amp;"-Pos4",'Shooter-Squad Assignment'!$Z:$Z,0)),""),"")))</f>
        <v/>
      </c>
      <c r="N617" s="73" t="str">
        <f>IF(ISBLANK(M617),"",IFERROR(INDEX('Tournament List'!$D:$D,MATCH(M617,'Tournament List'!$A:$A,0)),""))</f>
        <v/>
      </c>
      <c r="O617" s="94" t="str">
        <f>IF(F617="Skeet",IFERROR(INDEX('Shooter-Squad Assignment'!$A:$A,MATCH(C617&amp;"-"&amp;E617&amp;"-"&amp;F617&amp;"-Pos5",'Shooter-Squad Assignment'!$K:$K,0)),""),IF(F617="Trap",IFERROR(INDEX('Shooter-Squad Assignment'!$A:$A,MATCH(C617&amp;"-"&amp;E617&amp;"-"&amp;F617&amp;"-Pos5",'Shooter-Squad Assignment'!$W:$W,0)),""),IF(F617="Sporting Clays",IFERROR(INDEX('Shooter-Squad Assignment'!$A:$A,MATCH(C617&amp;"-"&amp;E617&amp;"-"&amp;F617&amp;"-Pos5",'Shooter-Squad Assignment'!$Z:$Z,0)),""),"")))</f>
        <v/>
      </c>
      <c r="P617" s="79" t="str">
        <f>IF(ISBLANK(O617),"",IFERROR(INDEX('Tournament List'!$D:$D,MATCH(O617,'Tournament List'!$A:$A,0)),""))</f>
        <v/>
      </c>
    </row>
    <row r="618" spans="1:16" x14ac:dyDescent="0.3">
      <c r="A618" s="78">
        <v>617</v>
      </c>
      <c r="B618" s="73" t="str">
        <f>C618&amp;"-"&amp;E618&amp;"-"&amp;F618</f>
        <v>-Junior Varsity 3-Trap</v>
      </c>
      <c r="C618" s="73"/>
      <c r="D618" s="73" t="str">
        <f>INDEX('Tournament Setup'!$B$59:$B$78,MATCH(E618,SquadConcurrents,0))</f>
        <v>Junior Varsity</v>
      </c>
      <c r="E618" s="73" t="s">
        <v>351</v>
      </c>
      <c r="F618" s="73" t="s">
        <v>147</v>
      </c>
      <c r="G618" s="94" t="str">
        <f>IF(F618="Skeet",IFERROR(INDEX('Shooter-Squad Assignment'!$A:$A,MATCH(C618&amp;"-"&amp;E618&amp;"-"&amp;F618&amp;"-Pos1",'Shooter-Squad Assignment'!$K:$K,0)),""),IF(F618="Trap",IFERROR(INDEX('Shooter-Squad Assignment'!$A:$A,MATCH(C618&amp;"-"&amp;E618&amp;"-"&amp;F618&amp;"-Pos1",'Shooter-Squad Assignment'!$W:$W,0)),""),IF(F618="Sporting Clays",IFERROR(INDEX('Shooter-Squad Assignment'!$A:$A,MATCH(C618&amp;"-"&amp;E618&amp;"-"&amp;F618&amp;"-Pos1",'Shooter-Squad Assignment'!$Z:$Z,0)),""),"")))</f>
        <v/>
      </c>
      <c r="H618" s="73" t="str">
        <f>IF(ISBLANK(G618),"",IFERROR(INDEX('Tournament List'!$D:$D,MATCH(G618,'Tournament List'!$A:$A,0)),""))</f>
        <v/>
      </c>
      <c r="I618" s="94" t="str">
        <f>IF(F618="Skeet",IFERROR(INDEX('Shooter-Squad Assignment'!$A:$A,MATCH(C618&amp;"-"&amp;E618&amp;"-"&amp;F618&amp;"-Pos2",'Shooter-Squad Assignment'!$K:$K,0)),""),IF(F618="Trap",IFERROR(INDEX('Shooter-Squad Assignment'!$A:$A,MATCH(C618&amp;"-"&amp;E618&amp;"-"&amp;F618&amp;"-Pos2",'Shooter-Squad Assignment'!$W:$W,0)),""),IF(F618="Sporting Clays",IFERROR(INDEX('Shooter-Squad Assignment'!$A:$A,MATCH(C618&amp;"-"&amp;E618&amp;"-"&amp;F618&amp;"-Pos2",'Shooter-Squad Assignment'!$Z:$Z,0)),""),"")))</f>
        <v/>
      </c>
      <c r="J618" s="73" t="str">
        <f>IF(ISBLANK(I618),"",IFERROR(INDEX('Tournament List'!$D:$D,MATCH(I618,'Tournament List'!$A:$A,0)),""))</f>
        <v/>
      </c>
      <c r="K618" s="94" t="str">
        <f>IF(F618="Skeet",IFERROR(INDEX('Shooter-Squad Assignment'!$A:$A,MATCH(C618&amp;"-"&amp;E618&amp;"-"&amp;F618&amp;"-Pos3",'Shooter-Squad Assignment'!$K:$K,0)),""),IF(F618="Trap",IFERROR(INDEX('Shooter-Squad Assignment'!$A:$A,MATCH(C618&amp;"-"&amp;E618&amp;"-"&amp;F618&amp;"-Pos3",'Shooter-Squad Assignment'!$W:$W,0)),""),IF(F618="Sporting Clays",IFERROR(INDEX('Shooter-Squad Assignment'!$A:$A,MATCH(C618&amp;"-"&amp;E618&amp;"-"&amp;F618&amp;"-Pos3",'Shooter-Squad Assignment'!$Z:$Z,0)),""),"")))</f>
        <v/>
      </c>
      <c r="L618" s="73" t="str">
        <f>IF(ISBLANK(K618),"",IFERROR(INDEX('Tournament List'!$D:$D,MATCH(K618,'Tournament List'!$A:$A,0)),""))</f>
        <v/>
      </c>
      <c r="M618" s="94" t="str">
        <f>IF(F618="Skeet",IFERROR(INDEX('Shooter-Squad Assignment'!$A:$A,MATCH(C618&amp;"-"&amp;E618&amp;"-"&amp;F618&amp;"-Pos4",'Shooter-Squad Assignment'!$K:$K,0)),""),IF(F618="Trap",IFERROR(INDEX('Shooter-Squad Assignment'!$A:$A,MATCH(C618&amp;"-"&amp;E618&amp;"-"&amp;F618&amp;"-Pos4",'Shooter-Squad Assignment'!$W:$W,0)),""),IF(F618="Sporting Clays",IFERROR(INDEX('Shooter-Squad Assignment'!$A:$A,MATCH(C618&amp;"-"&amp;E618&amp;"-"&amp;F618&amp;"-Pos4",'Shooter-Squad Assignment'!$Z:$Z,0)),""),"")))</f>
        <v/>
      </c>
      <c r="N618" s="73" t="str">
        <f>IF(ISBLANK(M618),"",IFERROR(INDEX('Tournament List'!$D:$D,MATCH(M618,'Tournament List'!$A:$A,0)),""))</f>
        <v/>
      </c>
      <c r="O618" s="94" t="str">
        <f>IF(F618="Skeet",IFERROR(INDEX('Shooter-Squad Assignment'!$A:$A,MATCH(C618&amp;"-"&amp;E618&amp;"-"&amp;F618&amp;"-Pos5",'Shooter-Squad Assignment'!$K:$K,0)),""),IF(F618="Trap",IFERROR(INDEX('Shooter-Squad Assignment'!$A:$A,MATCH(C618&amp;"-"&amp;E618&amp;"-"&amp;F618&amp;"-Pos5",'Shooter-Squad Assignment'!$W:$W,0)),""),IF(F618="Sporting Clays",IFERROR(INDEX('Shooter-Squad Assignment'!$A:$A,MATCH(C618&amp;"-"&amp;E618&amp;"-"&amp;F618&amp;"-Pos5",'Shooter-Squad Assignment'!$Z:$Z,0)),""),"")))</f>
        <v/>
      </c>
      <c r="P618" s="79" t="str">
        <f>IF(ISBLANK(O618),"",IFERROR(INDEX('Tournament List'!$D:$D,MATCH(O618,'Tournament List'!$A:$A,0)),""))</f>
        <v/>
      </c>
    </row>
    <row r="619" spans="1:16" x14ac:dyDescent="0.3">
      <c r="A619" s="78">
        <v>618</v>
      </c>
      <c r="B619" s="73" t="str">
        <f>C619&amp;"-"&amp;E619&amp;"-"&amp;F619</f>
        <v>-Novice 1-Trap</v>
      </c>
      <c r="C619" s="73"/>
      <c r="D619" s="73" t="str">
        <f>INDEX('Tournament Setup'!$B$59:$B$78,MATCH(E619,SquadConcurrents,0))</f>
        <v>Novice</v>
      </c>
      <c r="E619" s="73" t="s">
        <v>337</v>
      </c>
      <c r="F619" s="73" t="s">
        <v>147</v>
      </c>
      <c r="G619" s="94" t="str">
        <f>IF(F619="Skeet",IFERROR(INDEX('Shooter-Squad Assignment'!$A:$A,MATCH(C619&amp;"-"&amp;E619&amp;"-"&amp;F619&amp;"-Pos1",'Shooter-Squad Assignment'!$K:$K,0)),""),IF(F619="Trap",IFERROR(INDEX('Shooter-Squad Assignment'!$A:$A,MATCH(C619&amp;"-"&amp;E619&amp;"-"&amp;F619&amp;"-Pos1",'Shooter-Squad Assignment'!$W:$W,0)),""),IF(F619="Sporting Clays",IFERROR(INDEX('Shooter-Squad Assignment'!$A:$A,MATCH(C619&amp;"-"&amp;E619&amp;"-"&amp;F619&amp;"-Pos1",'Shooter-Squad Assignment'!$Z:$Z,0)),""),"")))</f>
        <v/>
      </c>
      <c r="H619" s="73" t="str">
        <f>IF(ISBLANK(G619),"",IFERROR(INDEX('Tournament List'!$D:$D,MATCH(G619,'Tournament List'!$A:$A,0)),""))</f>
        <v/>
      </c>
      <c r="I619" s="94" t="str">
        <f>IF(F619="Skeet",IFERROR(INDEX('Shooter-Squad Assignment'!$A:$A,MATCH(C619&amp;"-"&amp;E619&amp;"-"&amp;F619&amp;"-Pos2",'Shooter-Squad Assignment'!$K:$K,0)),""),IF(F619="Trap",IFERROR(INDEX('Shooter-Squad Assignment'!$A:$A,MATCH(C619&amp;"-"&amp;E619&amp;"-"&amp;F619&amp;"-Pos2",'Shooter-Squad Assignment'!$W:$W,0)),""),IF(F619="Sporting Clays",IFERROR(INDEX('Shooter-Squad Assignment'!$A:$A,MATCH(C619&amp;"-"&amp;E619&amp;"-"&amp;F619&amp;"-Pos2",'Shooter-Squad Assignment'!$Z:$Z,0)),""),"")))</f>
        <v/>
      </c>
      <c r="J619" s="73" t="str">
        <f>IF(ISBLANK(I619),"",IFERROR(INDEX('Tournament List'!$D:$D,MATCH(I619,'Tournament List'!$A:$A,0)),""))</f>
        <v/>
      </c>
      <c r="K619" s="94" t="str">
        <f>IF(F619="Skeet",IFERROR(INDEX('Shooter-Squad Assignment'!$A:$A,MATCH(C619&amp;"-"&amp;E619&amp;"-"&amp;F619&amp;"-Pos3",'Shooter-Squad Assignment'!$K:$K,0)),""),IF(F619="Trap",IFERROR(INDEX('Shooter-Squad Assignment'!$A:$A,MATCH(C619&amp;"-"&amp;E619&amp;"-"&amp;F619&amp;"-Pos3",'Shooter-Squad Assignment'!$W:$W,0)),""),IF(F619="Sporting Clays",IFERROR(INDEX('Shooter-Squad Assignment'!$A:$A,MATCH(C619&amp;"-"&amp;E619&amp;"-"&amp;F619&amp;"-Pos3",'Shooter-Squad Assignment'!$Z:$Z,0)),""),"")))</f>
        <v/>
      </c>
      <c r="L619" s="73" t="str">
        <f>IF(ISBLANK(K619),"",IFERROR(INDEX('Tournament List'!$D:$D,MATCH(K619,'Tournament List'!$A:$A,0)),""))</f>
        <v/>
      </c>
      <c r="M619" s="94" t="str">
        <f>IF(F619="Skeet",IFERROR(INDEX('Shooter-Squad Assignment'!$A:$A,MATCH(C619&amp;"-"&amp;E619&amp;"-"&amp;F619&amp;"-Pos4",'Shooter-Squad Assignment'!$K:$K,0)),""),IF(F619="Trap",IFERROR(INDEX('Shooter-Squad Assignment'!$A:$A,MATCH(C619&amp;"-"&amp;E619&amp;"-"&amp;F619&amp;"-Pos4",'Shooter-Squad Assignment'!$W:$W,0)),""),IF(F619="Sporting Clays",IFERROR(INDEX('Shooter-Squad Assignment'!$A:$A,MATCH(C619&amp;"-"&amp;E619&amp;"-"&amp;F619&amp;"-Pos4",'Shooter-Squad Assignment'!$Z:$Z,0)),""),"")))</f>
        <v/>
      </c>
      <c r="N619" s="73" t="str">
        <f>IF(ISBLANK(M619),"",IFERROR(INDEX('Tournament List'!$D:$D,MATCH(M619,'Tournament List'!$A:$A,0)),""))</f>
        <v/>
      </c>
      <c r="O619" s="94" t="str">
        <f>IF(F619="Skeet",IFERROR(INDEX('Shooter-Squad Assignment'!$A:$A,MATCH(C619&amp;"-"&amp;E619&amp;"-"&amp;F619&amp;"-Pos5",'Shooter-Squad Assignment'!$K:$K,0)),""),IF(F619="Trap",IFERROR(INDEX('Shooter-Squad Assignment'!$A:$A,MATCH(C619&amp;"-"&amp;E619&amp;"-"&amp;F619&amp;"-Pos5",'Shooter-Squad Assignment'!$W:$W,0)),""),IF(F619="Sporting Clays",IFERROR(INDEX('Shooter-Squad Assignment'!$A:$A,MATCH(C619&amp;"-"&amp;E619&amp;"-"&amp;F619&amp;"-Pos5",'Shooter-Squad Assignment'!$Z:$Z,0)),""),"")))</f>
        <v/>
      </c>
      <c r="P619" s="79" t="str">
        <f>IF(ISBLANK(O619),"",IFERROR(INDEX('Tournament List'!$D:$D,MATCH(O619,'Tournament List'!$A:$A,0)),""))</f>
        <v/>
      </c>
    </row>
    <row r="620" spans="1:16" x14ac:dyDescent="0.3">
      <c r="A620" s="78">
        <v>619</v>
      </c>
      <c r="B620" s="73" t="str">
        <f>C620&amp;"-"&amp;E620&amp;"-"&amp;F620</f>
        <v>-Novice 2-Trap</v>
      </c>
      <c r="C620" s="73"/>
      <c r="D620" s="73" t="str">
        <f>INDEX('Tournament Setup'!$B$59:$B$78,MATCH(E620,SquadConcurrents,0))</f>
        <v>Novice</v>
      </c>
      <c r="E620" s="73" t="s">
        <v>343</v>
      </c>
      <c r="F620" s="73" t="s">
        <v>147</v>
      </c>
      <c r="G620" s="94" t="str">
        <f>IF(F620="Skeet",IFERROR(INDEX('Shooter-Squad Assignment'!$A:$A,MATCH(C620&amp;"-"&amp;E620&amp;"-"&amp;F620&amp;"-Pos1",'Shooter-Squad Assignment'!$K:$K,0)),""),IF(F620="Trap",IFERROR(INDEX('Shooter-Squad Assignment'!$A:$A,MATCH(C620&amp;"-"&amp;E620&amp;"-"&amp;F620&amp;"-Pos1",'Shooter-Squad Assignment'!$W:$W,0)),""),IF(F620="Sporting Clays",IFERROR(INDEX('Shooter-Squad Assignment'!$A:$A,MATCH(C620&amp;"-"&amp;E620&amp;"-"&amp;F620&amp;"-Pos1",'Shooter-Squad Assignment'!$Z:$Z,0)),""),"")))</f>
        <v/>
      </c>
      <c r="H620" s="73" t="str">
        <f>IF(ISBLANK(G620),"",IFERROR(INDEX('Tournament List'!$D:$D,MATCH(G620,'Tournament List'!$A:$A,0)),""))</f>
        <v/>
      </c>
      <c r="I620" s="94" t="str">
        <f>IF(F620="Skeet",IFERROR(INDEX('Shooter-Squad Assignment'!$A:$A,MATCH(C620&amp;"-"&amp;E620&amp;"-"&amp;F620&amp;"-Pos2",'Shooter-Squad Assignment'!$K:$K,0)),""),IF(F620="Trap",IFERROR(INDEX('Shooter-Squad Assignment'!$A:$A,MATCH(C620&amp;"-"&amp;E620&amp;"-"&amp;F620&amp;"-Pos2",'Shooter-Squad Assignment'!$W:$W,0)),""),IF(F620="Sporting Clays",IFERROR(INDEX('Shooter-Squad Assignment'!$A:$A,MATCH(C620&amp;"-"&amp;E620&amp;"-"&amp;F620&amp;"-Pos2",'Shooter-Squad Assignment'!$Z:$Z,0)),""),"")))</f>
        <v/>
      </c>
      <c r="J620" s="73" t="str">
        <f>IF(ISBLANK(I620),"",IFERROR(INDEX('Tournament List'!$D:$D,MATCH(I620,'Tournament List'!$A:$A,0)),""))</f>
        <v/>
      </c>
      <c r="K620" s="94" t="str">
        <f>IF(F620="Skeet",IFERROR(INDEX('Shooter-Squad Assignment'!$A:$A,MATCH(C620&amp;"-"&amp;E620&amp;"-"&amp;F620&amp;"-Pos3",'Shooter-Squad Assignment'!$K:$K,0)),""),IF(F620="Trap",IFERROR(INDEX('Shooter-Squad Assignment'!$A:$A,MATCH(C620&amp;"-"&amp;E620&amp;"-"&amp;F620&amp;"-Pos3",'Shooter-Squad Assignment'!$W:$W,0)),""),IF(F620="Sporting Clays",IFERROR(INDEX('Shooter-Squad Assignment'!$A:$A,MATCH(C620&amp;"-"&amp;E620&amp;"-"&amp;F620&amp;"-Pos3",'Shooter-Squad Assignment'!$Z:$Z,0)),""),"")))</f>
        <v/>
      </c>
      <c r="L620" s="73" t="str">
        <f>IF(ISBLANK(K620),"",IFERROR(INDEX('Tournament List'!$D:$D,MATCH(K620,'Tournament List'!$A:$A,0)),""))</f>
        <v/>
      </c>
      <c r="M620" s="94" t="str">
        <f>IF(F620="Skeet",IFERROR(INDEX('Shooter-Squad Assignment'!$A:$A,MATCH(C620&amp;"-"&amp;E620&amp;"-"&amp;F620&amp;"-Pos4",'Shooter-Squad Assignment'!$K:$K,0)),""),IF(F620="Trap",IFERROR(INDEX('Shooter-Squad Assignment'!$A:$A,MATCH(C620&amp;"-"&amp;E620&amp;"-"&amp;F620&amp;"-Pos4",'Shooter-Squad Assignment'!$W:$W,0)),""),IF(F620="Sporting Clays",IFERROR(INDEX('Shooter-Squad Assignment'!$A:$A,MATCH(C620&amp;"-"&amp;E620&amp;"-"&amp;F620&amp;"-Pos4",'Shooter-Squad Assignment'!$Z:$Z,0)),""),"")))</f>
        <v/>
      </c>
      <c r="N620" s="73" t="str">
        <f>IF(ISBLANK(M620),"",IFERROR(INDEX('Tournament List'!$D:$D,MATCH(M620,'Tournament List'!$A:$A,0)),""))</f>
        <v/>
      </c>
      <c r="O620" s="94" t="str">
        <f>IF(F620="Skeet",IFERROR(INDEX('Shooter-Squad Assignment'!$A:$A,MATCH(C620&amp;"-"&amp;E620&amp;"-"&amp;F620&amp;"-Pos5",'Shooter-Squad Assignment'!$K:$K,0)),""),IF(F620="Trap",IFERROR(INDEX('Shooter-Squad Assignment'!$A:$A,MATCH(C620&amp;"-"&amp;E620&amp;"-"&amp;F620&amp;"-Pos5",'Shooter-Squad Assignment'!$W:$W,0)),""),IF(F620="Sporting Clays",IFERROR(INDEX('Shooter-Squad Assignment'!$A:$A,MATCH(C620&amp;"-"&amp;E620&amp;"-"&amp;F620&amp;"-Pos5",'Shooter-Squad Assignment'!$Z:$Z,0)),""),"")))</f>
        <v/>
      </c>
      <c r="P620" s="79" t="str">
        <f>IF(ISBLANK(O620),"",IFERROR(INDEX('Tournament List'!$D:$D,MATCH(O620,'Tournament List'!$A:$A,0)),""))</f>
        <v/>
      </c>
    </row>
    <row r="621" spans="1:16" x14ac:dyDescent="0.3">
      <c r="A621" s="78">
        <v>620</v>
      </c>
      <c r="B621" s="73" t="str">
        <f>C621&amp;"-"&amp;E621&amp;"-"&amp;F621</f>
        <v>-Novice 3-Trap</v>
      </c>
      <c r="C621" s="73"/>
      <c r="D621" s="73" t="str">
        <f>INDEX('Tournament Setup'!$B$59:$B$78,MATCH(E621,SquadConcurrents,0))</f>
        <v>Novice</v>
      </c>
      <c r="E621" s="73" t="s">
        <v>349</v>
      </c>
      <c r="F621" s="73" t="s">
        <v>147</v>
      </c>
      <c r="G621" s="94" t="str">
        <f>IF(F621="Skeet",IFERROR(INDEX('Shooter-Squad Assignment'!$A:$A,MATCH(C621&amp;"-"&amp;E621&amp;"-"&amp;F621&amp;"-Pos1",'Shooter-Squad Assignment'!$K:$K,0)),""),IF(F621="Trap",IFERROR(INDEX('Shooter-Squad Assignment'!$A:$A,MATCH(C621&amp;"-"&amp;E621&amp;"-"&amp;F621&amp;"-Pos1",'Shooter-Squad Assignment'!$W:$W,0)),""),IF(F621="Sporting Clays",IFERROR(INDEX('Shooter-Squad Assignment'!$A:$A,MATCH(C621&amp;"-"&amp;E621&amp;"-"&amp;F621&amp;"-Pos1",'Shooter-Squad Assignment'!$Z:$Z,0)),""),"")))</f>
        <v/>
      </c>
      <c r="H621" s="73" t="str">
        <f>IF(ISBLANK(G621),"",IFERROR(INDEX('Tournament List'!$D:$D,MATCH(G621,'Tournament List'!$A:$A,0)),""))</f>
        <v/>
      </c>
      <c r="I621" s="94" t="str">
        <f>IF(F621="Skeet",IFERROR(INDEX('Shooter-Squad Assignment'!$A:$A,MATCH(C621&amp;"-"&amp;E621&amp;"-"&amp;F621&amp;"-Pos2",'Shooter-Squad Assignment'!$K:$K,0)),""),IF(F621="Trap",IFERROR(INDEX('Shooter-Squad Assignment'!$A:$A,MATCH(C621&amp;"-"&amp;E621&amp;"-"&amp;F621&amp;"-Pos2",'Shooter-Squad Assignment'!$W:$W,0)),""),IF(F621="Sporting Clays",IFERROR(INDEX('Shooter-Squad Assignment'!$A:$A,MATCH(C621&amp;"-"&amp;E621&amp;"-"&amp;F621&amp;"-Pos2",'Shooter-Squad Assignment'!$Z:$Z,0)),""),"")))</f>
        <v/>
      </c>
      <c r="J621" s="73" t="str">
        <f>IF(ISBLANK(I621),"",IFERROR(INDEX('Tournament List'!$D:$D,MATCH(I621,'Tournament List'!$A:$A,0)),""))</f>
        <v/>
      </c>
      <c r="K621" s="94" t="str">
        <f>IF(F621="Skeet",IFERROR(INDEX('Shooter-Squad Assignment'!$A:$A,MATCH(C621&amp;"-"&amp;E621&amp;"-"&amp;F621&amp;"-Pos3",'Shooter-Squad Assignment'!$K:$K,0)),""),IF(F621="Trap",IFERROR(INDEX('Shooter-Squad Assignment'!$A:$A,MATCH(C621&amp;"-"&amp;E621&amp;"-"&amp;F621&amp;"-Pos3",'Shooter-Squad Assignment'!$W:$W,0)),""),IF(F621="Sporting Clays",IFERROR(INDEX('Shooter-Squad Assignment'!$A:$A,MATCH(C621&amp;"-"&amp;E621&amp;"-"&amp;F621&amp;"-Pos3",'Shooter-Squad Assignment'!$Z:$Z,0)),""),"")))</f>
        <v/>
      </c>
      <c r="L621" s="73" t="str">
        <f>IF(ISBLANK(K621),"",IFERROR(INDEX('Tournament List'!$D:$D,MATCH(K621,'Tournament List'!$A:$A,0)),""))</f>
        <v/>
      </c>
      <c r="M621" s="94" t="str">
        <f>IF(F621="Skeet",IFERROR(INDEX('Shooter-Squad Assignment'!$A:$A,MATCH(C621&amp;"-"&amp;E621&amp;"-"&amp;F621&amp;"-Pos4",'Shooter-Squad Assignment'!$K:$K,0)),""),IF(F621="Trap",IFERROR(INDEX('Shooter-Squad Assignment'!$A:$A,MATCH(C621&amp;"-"&amp;E621&amp;"-"&amp;F621&amp;"-Pos4",'Shooter-Squad Assignment'!$W:$W,0)),""),IF(F621="Sporting Clays",IFERROR(INDEX('Shooter-Squad Assignment'!$A:$A,MATCH(C621&amp;"-"&amp;E621&amp;"-"&amp;F621&amp;"-Pos4",'Shooter-Squad Assignment'!$Z:$Z,0)),""),"")))</f>
        <v/>
      </c>
      <c r="N621" s="73" t="str">
        <f>IF(ISBLANK(M621),"",IFERROR(INDEX('Tournament List'!$D:$D,MATCH(M621,'Tournament List'!$A:$A,0)),""))</f>
        <v/>
      </c>
      <c r="O621" s="94" t="str">
        <f>IF(F621="Skeet",IFERROR(INDEX('Shooter-Squad Assignment'!$A:$A,MATCH(C621&amp;"-"&amp;E621&amp;"-"&amp;F621&amp;"-Pos5",'Shooter-Squad Assignment'!$K:$K,0)),""),IF(F621="Trap",IFERROR(INDEX('Shooter-Squad Assignment'!$A:$A,MATCH(C621&amp;"-"&amp;E621&amp;"-"&amp;F621&amp;"-Pos5",'Shooter-Squad Assignment'!$W:$W,0)),""),IF(F621="Sporting Clays",IFERROR(INDEX('Shooter-Squad Assignment'!$A:$A,MATCH(C621&amp;"-"&amp;E621&amp;"-"&amp;F621&amp;"-Pos5",'Shooter-Squad Assignment'!$Z:$Z,0)),""),"")))</f>
        <v/>
      </c>
      <c r="P621" s="79" t="str">
        <f>IF(ISBLANK(O621),"",IFERROR(INDEX('Tournament List'!$D:$D,MATCH(O621,'Tournament List'!$A:$A,0)),""))</f>
        <v/>
      </c>
    </row>
    <row r="622" spans="1:16" x14ac:dyDescent="0.3">
      <c r="A622" s="78">
        <v>621</v>
      </c>
      <c r="B622" s="73" t="str">
        <f>C622&amp;"-"&amp;E622&amp;"-"&amp;F622</f>
        <v>-Open 1-Trap</v>
      </c>
      <c r="C622" s="73"/>
      <c r="D622" s="73" t="str">
        <f>INDEX('Tournament Setup'!$B$59:$B$78,MATCH(E622,SquadConcurrents,0))</f>
        <v>Open</v>
      </c>
      <c r="E622" s="73" t="s">
        <v>341</v>
      </c>
      <c r="F622" s="73" t="s">
        <v>147</v>
      </c>
      <c r="G622" s="94" t="str">
        <f>IF(F622="Skeet",IFERROR(INDEX('Shooter-Squad Assignment'!$A:$A,MATCH(C622&amp;"-"&amp;E622&amp;"-"&amp;F622&amp;"-Pos1",'Shooter-Squad Assignment'!$K:$K,0)),""),IF(F622="Trap",IFERROR(INDEX('Shooter-Squad Assignment'!$A:$A,MATCH(C622&amp;"-"&amp;E622&amp;"-"&amp;F622&amp;"-Pos1",'Shooter-Squad Assignment'!$W:$W,0)),""),IF(F622="Sporting Clays",IFERROR(INDEX('Shooter-Squad Assignment'!$A:$A,MATCH(C622&amp;"-"&amp;E622&amp;"-"&amp;F622&amp;"-Pos1",'Shooter-Squad Assignment'!$Z:$Z,0)),""),"")))</f>
        <v/>
      </c>
      <c r="H622" s="73" t="str">
        <f>IF(ISBLANK(G622),"",IFERROR(INDEX('Tournament List'!$D:$D,MATCH(G622,'Tournament List'!$A:$A,0)),""))</f>
        <v/>
      </c>
      <c r="I622" s="94" t="str">
        <f>IF(F622="Skeet",IFERROR(INDEX('Shooter-Squad Assignment'!$A:$A,MATCH(C622&amp;"-"&amp;E622&amp;"-"&amp;F622&amp;"-Pos2",'Shooter-Squad Assignment'!$K:$K,0)),""),IF(F622="Trap",IFERROR(INDEX('Shooter-Squad Assignment'!$A:$A,MATCH(C622&amp;"-"&amp;E622&amp;"-"&amp;F622&amp;"-Pos2",'Shooter-Squad Assignment'!$W:$W,0)),""),IF(F622="Sporting Clays",IFERROR(INDEX('Shooter-Squad Assignment'!$A:$A,MATCH(C622&amp;"-"&amp;E622&amp;"-"&amp;F622&amp;"-Pos2",'Shooter-Squad Assignment'!$Z:$Z,0)),""),"")))</f>
        <v/>
      </c>
      <c r="J622" s="73" t="str">
        <f>IF(ISBLANK(I622),"",IFERROR(INDEX('Tournament List'!$D:$D,MATCH(I622,'Tournament List'!$A:$A,0)),""))</f>
        <v/>
      </c>
      <c r="K622" s="94" t="str">
        <f>IF(F622="Skeet",IFERROR(INDEX('Shooter-Squad Assignment'!$A:$A,MATCH(C622&amp;"-"&amp;E622&amp;"-"&amp;F622&amp;"-Pos3",'Shooter-Squad Assignment'!$K:$K,0)),""),IF(F622="Trap",IFERROR(INDEX('Shooter-Squad Assignment'!$A:$A,MATCH(C622&amp;"-"&amp;E622&amp;"-"&amp;F622&amp;"-Pos3",'Shooter-Squad Assignment'!$W:$W,0)),""),IF(F622="Sporting Clays",IFERROR(INDEX('Shooter-Squad Assignment'!$A:$A,MATCH(C622&amp;"-"&amp;E622&amp;"-"&amp;F622&amp;"-Pos3",'Shooter-Squad Assignment'!$Z:$Z,0)),""),"")))</f>
        <v/>
      </c>
      <c r="L622" s="73" t="str">
        <f>IF(ISBLANK(K622),"",IFERROR(INDEX('Tournament List'!$D:$D,MATCH(K622,'Tournament List'!$A:$A,0)),""))</f>
        <v/>
      </c>
      <c r="M622" s="94" t="str">
        <f>IF(F622="Skeet",IFERROR(INDEX('Shooter-Squad Assignment'!$A:$A,MATCH(C622&amp;"-"&amp;E622&amp;"-"&amp;F622&amp;"-Pos4",'Shooter-Squad Assignment'!$K:$K,0)),""),IF(F622="Trap",IFERROR(INDEX('Shooter-Squad Assignment'!$A:$A,MATCH(C622&amp;"-"&amp;E622&amp;"-"&amp;F622&amp;"-Pos4",'Shooter-Squad Assignment'!$W:$W,0)),""),IF(F622="Sporting Clays",IFERROR(INDEX('Shooter-Squad Assignment'!$A:$A,MATCH(C622&amp;"-"&amp;E622&amp;"-"&amp;F622&amp;"-Pos4",'Shooter-Squad Assignment'!$Z:$Z,0)),""),"")))</f>
        <v/>
      </c>
      <c r="N622" s="73" t="str">
        <f>IF(ISBLANK(M622),"",IFERROR(INDEX('Tournament List'!$D:$D,MATCH(M622,'Tournament List'!$A:$A,0)),""))</f>
        <v/>
      </c>
      <c r="O622" s="94" t="str">
        <f>IF(F622="Skeet",IFERROR(INDEX('Shooter-Squad Assignment'!$A:$A,MATCH(C622&amp;"-"&amp;E622&amp;"-"&amp;F622&amp;"-Pos5",'Shooter-Squad Assignment'!$K:$K,0)),""),IF(F622="Trap",IFERROR(INDEX('Shooter-Squad Assignment'!$A:$A,MATCH(C622&amp;"-"&amp;E622&amp;"-"&amp;F622&amp;"-Pos5",'Shooter-Squad Assignment'!$W:$W,0)),""),IF(F622="Sporting Clays",IFERROR(INDEX('Shooter-Squad Assignment'!$A:$A,MATCH(C622&amp;"-"&amp;E622&amp;"-"&amp;F622&amp;"-Pos5",'Shooter-Squad Assignment'!$Z:$Z,0)),""),"")))</f>
        <v/>
      </c>
      <c r="P622" s="79" t="str">
        <f>IF(ISBLANK(O622),"",IFERROR(INDEX('Tournament List'!$D:$D,MATCH(O622,'Tournament List'!$A:$A,0)),""))</f>
        <v/>
      </c>
    </row>
    <row r="623" spans="1:16" x14ac:dyDescent="0.3">
      <c r="A623" s="78">
        <v>622</v>
      </c>
      <c r="B623" s="73" t="str">
        <f>C623&amp;"-"&amp;E623&amp;"-"&amp;F623</f>
        <v>-Open 2-Trap</v>
      </c>
      <c r="C623" s="73"/>
      <c r="D623" s="73" t="str">
        <f>INDEX('Tournament Setup'!$B$59:$B$78,MATCH(E623,SquadConcurrents,0))</f>
        <v>Open</v>
      </c>
      <c r="E623" s="73" t="s">
        <v>347</v>
      </c>
      <c r="F623" s="73" t="s">
        <v>147</v>
      </c>
      <c r="G623" s="94" t="str">
        <f>IF(F623="Skeet",IFERROR(INDEX('Shooter-Squad Assignment'!$A:$A,MATCH(C623&amp;"-"&amp;E623&amp;"-"&amp;F623&amp;"-Pos1",'Shooter-Squad Assignment'!$K:$K,0)),""),IF(F623="Trap",IFERROR(INDEX('Shooter-Squad Assignment'!$A:$A,MATCH(C623&amp;"-"&amp;E623&amp;"-"&amp;F623&amp;"-Pos1",'Shooter-Squad Assignment'!$W:$W,0)),""),IF(F623="Sporting Clays",IFERROR(INDEX('Shooter-Squad Assignment'!$A:$A,MATCH(C623&amp;"-"&amp;E623&amp;"-"&amp;F623&amp;"-Pos1",'Shooter-Squad Assignment'!$Z:$Z,0)),""),"")))</f>
        <v/>
      </c>
      <c r="H623" s="73" t="str">
        <f>IF(ISBLANK(G623),"",IFERROR(INDEX('Tournament List'!$D:$D,MATCH(G623,'Tournament List'!$A:$A,0)),""))</f>
        <v/>
      </c>
      <c r="I623" s="94" t="str">
        <f>IF(F623="Skeet",IFERROR(INDEX('Shooter-Squad Assignment'!$A:$A,MATCH(C623&amp;"-"&amp;E623&amp;"-"&amp;F623&amp;"-Pos2",'Shooter-Squad Assignment'!$K:$K,0)),""),IF(F623="Trap",IFERROR(INDEX('Shooter-Squad Assignment'!$A:$A,MATCH(C623&amp;"-"&amp;E623&amp;"-"&amp;F623&amp;"-Pos2",'Shooter-Squad Assignment'!$W:$W,0)),""),IF(F623="Sporting Clays",IFERROR(INDEX('Shooter-Squad Assignment'!$A:$A,MATCH(C623&amp;"-"&amp;E623&amp;"-"&amp;F623&amp;"-Pos2",'Shooter-Squad Assignment'!$Z:$Z,0)),""),"")))</f>
        <v/>
      </c>
      <c r="J623" s="73" t="str">
        <f>IF(ISBLANK(I623),"",IFERROR(INDEX('Tournament List'!$D:$D,MATCH(I623,'Tournament List'!$A:$A,0)),""))</f>
        <v/>
      </c>
      <c r="K623" s="94" t="str">
        <f>IF(F623="Skeet",IFERROR(INDEX('Shooter-Squad Assignment'!$A:$A,MATCH(C623&amp;"-"&amp;E623&amp;"-"&amp;F623&amp;"-Pos3",'Shooter-Squad Assignment'!$K:$K,0)),""),IF(F623="Trap",IFERROR(INDEX('Shooter-Squad Assignment'!$A:$A,MATCH(C623&amp;"-"&amp;E623&amp;"-"&amp;F623&amp;"-Pos3",'Shooter-Squad Assignment'!$W:$W,0)),""),IF(F623="Sporting Clays",IFERROR(INDEX('Shooter-Squad Assignment'!$A:$A,MATCH(C623&amp;"-"&amp;E623&amp;"-"&amp;F623&amp;"-Pos3",'Shooter-Squad Assignment'!$Z:$Z,0)),""),"")))</f>
        <v/>
      </c>
      <c r="L623" s="73" t="str">
        <f>IF(ISBLANK(K623),"",IFERROR(INDEX('Tournament List'!$D:$D,MATCH(K623,'Tournament List'!$A:$A,0)),""))</f>
        <v/>
      </c>
      <c r="M623" s="94" t="str">
        <f>IF(F623="Skeet",IFERROR(INDEX('Shooter-Squad Assignment'!$A:$A,MATCH(C623&amp;"-"&amp;E623&amp;"-"&amp;F623&amp;"-Pos4",'Shooter-Squad Assignment'!$K:$K,0)),""),IF(F623="Trap",IFERROR(INDEX('Shooter-Squad Assignment'!$A:$A,MATCH(C623&amp;"-"&amp;E623&amp;"-"&amp;F623&amp;"-Pos4",'Shooter-Squad Assignment'!$W:$W,0)),""),IF(F623="Sporting Clays",IFERROR(INDEX('Shooter-Squad Assignment'!$A:$A,MATCH(C623&amp;"-"&amp;E623&amp;"-"&amp;F623&amp;"-Pos4",'Shooter-Squad Assignment'!$Z:$Z,0)),""),"")))</f>
        <v/>
      </c>
      <c r="N623" s="73" t="str">
        <f>IF(ISBLANK(M623),"",IFERROR(INDEX('Tournament List'!$D:$D,MATCH(M623,'Tournament List'!$A:$A,0)),""))</f>
        <v/>
      </c>
      <c r="O623" s="94" t="str">
        <f>IF(F623="Skeet",IFERROR(INDEX('Shooter-Squad Assignment'!$A:$A,MATCH(C623&amp;"-"&amp;E623&amp;"-"&amp;F623&amp;"-Pos5",'Shooter-Squad Assignment'!$K:$K,0)),""),IF(F623="Trap",IFERROR(INDEX('Shooter-Squad Assignment'!$A:$A,MATCH(C623&amp;"-"&amp;E623&amp;"-"&amp;F623&amp;"-Pos5",'Shooter-Squad Assignment'!$W:$W,0)),""),IF(F623="Sporting Clays",IFERROR(INDEX('Shooter-Squad Assignment'!$A:$A,MATCH(C623&amp;"-"&amp;E623&amp;"-"&amp;F623&amp;"-Pos5",'Shooter-Squad Assignment'!$Z:$Z,0)),""),"")))</f>
        <v/>
      </c>
      <c r="P623" s="79" t="str">
        <f>IF(ISBLANK(O623),"",IFERROR(INDEX('Tournament List'!$D:$D,MATCH(O623,'Tournament List'!$A:$A,0)),""))</f>
        <v/>
      </c>
    </row>
    <row r="624" spans="1:16" x14ac:dyDescent="0.3">
      <c r="A624" s="78">
        <v>623</v>
      </c>
      <c r="B624" s="73" t="str">
        <f>C624&amp;"-"&amp;E624&amp;"-"&amp;F624</f>
        <v>-Open 3-Trap</v>
      </c>
      <c r="C624" s="73"/>
      <c r="D624" s="73" t="str">
        <f>INDEX('Tournament Setup'!$B$59:$B$78,MATCH(E624,SquadConcurrents,0))</f>
        <v>Open</v>
      </c>
      <c r="E624" s="73" t="s">
        <v>353</v>
      </c>
      <c r="F624" s="73" t="s">
        <v>147</v>
      </c>
      <c r="G624" s="94" t="str">
        <f>IF(F624="Skeet",IFERROR(INDEX('Shooter-Squad Assignment'!$A:$A,MATCH(C624&amp;"-"&amp;E624&amp;"-"&amp;F624&amp;"-Pos1",'Shooter-Squad Assignment'!$K:$K,0)),""),IF(F624="Trap",IFERROR(INDEX('Shooter-Squad Assignment'!$A:$A,MATCH(C624&amp;"-"&amp;E624&amp;"-"&amp;F624&amp;"-Pos1",'Shooter-Squad Assignment'!$W:$W,0)),""),IF(F624="Sporting Clays",IFERROR(INDEX('Shooter-Squad Assignment'!$A:$A,MATCH(C624&amp;"-"&amp;E624&amp;"-"&amp;F624&amp;"-Pos1",'Shooter-Squad Assignment'!$Z:$Z,0)),""),"")))</f>
        <v/>
      </c>
      <c r="H624" s="73" t="str">
        <f>IF(ISBLANK(G624),"",IFERROR(INDEX('Tournament List'!$D:$D,MATCH(G624,'Tournament List'!$A:$A,0)),""))</f>
        <v/>
      </c>
      <c r="I624" s="94" t="str">
        <f>IF(F624="Skeet",IFERROR(INDEX('Shooter-Squad Assignment'!$A:$A,MATCH(C624&amp;"-"&amp;E624&amp;"-"&amp;F624&amp;"-Pos2",'Shooter-Squad Assignment'!$K:$K,0)),""),IF(F624="Trap",IFERROR(INDEX('Shooter-Squad Assignment'!$A:$A,MATCH(C624&amp;"-"&amp;E624&amp;"-"&amp;F624&amp;"-Pos2",'Shooter-Squad Assignment'!$W:$W,0)),""),IF(F624="Sporting Clays",IFERROR(INDEX('Shooter-Squad Assignment'!$A:$A,MATCH(C624&amp;"-"&amp;E624&amp;"-"&amp;F624&amp;"-Pos2",'Shooter-Squad Assignment'!$Z:$Z,0)),""),"")))</f>
        <v/>
      </c>
      <c r="J624" s="73" t="str">
        <f>IF(ISBLANK(I624),"",IFERROR(INDEX('Tournament List'!$D:$D,MATCH(I624,'Tournament List'!$A:$A,0)),""))</f>
        <v/>
      </c>
      <c r="K624" s="94" t="str">
        <f>IF(F624="Skeet",IFERROR(INDEX('Shooter-Squad Assignment'!$A:$A,MATCH(C624&amp;"-"&amp;E624&amp;"-"&amp;F624&amp;"-Pos3",'Shooter-Squad Assignment'!$K:$K,0)),""),IF(F624="Trap",IFERROR(INDEX('Shooter-Squad Assignment'!$A:$A,MATCH(C624&amp;"-"&amp;E624&amp;"-"&amp;F624&amp;"-Pos3",'Shooter-Squad Assignment'!$W:$W,0)),""),IF(F624="Sporting Clays",IFERROR(INDEX('Shooter-Squad Assignment'!$A:$A,MATCH(C624&amp;"-"&amp;E624&amp;"-"&amp;F624&amp;"-Pos3",'Shooter-Squad Assignment'!$Z:$Z,0)),""),"")))</f>
        <v/>
      </c>
      <c r="L624" s="73" t="str">
        <f>IF(ISBLANK(K624),"",IFERROR(INDEX('Tournament List'!$D:$D,MATCH(K624,'Tournament List'!$A:$A,0)),""))</f>
        <v/>
      </c>
      <c r="M624" s="94" t="str">
        <f>IF(F624="Skeet",IFERROR(INDEX('Shooter-Squad Assignment'!$A:$A,MATCH(C624&amp;"-"&amp;E624&amp;"-"&amp;F624&amp;"-Pos4",'Shooter-Squad Assignment'!$K:$K,0)),""),IF(F624="Trap",IFERROR(INDEX('Shooter-Squad Assignment'!$A:$A,MATCH(C624&amp;"-"&amp;E624&amp;"-"&amp;F624&amp;"-Pos4",'Shooter-Squad Assignment'!$W:$W,0)),""),IF(F624="Sporting Clays",IFERROR(INDEX('Shooter-Squad Assignment'!$A:$A,MATCH(C624&amp;"-"&amp;E624&amp;"-"&amp;F624&amp;"-Pos4",'Shooter-Squad Assignment'!$Z:$Z,0)),""),"")))</f>
        <v/>
      </c>
      <c r="N624" s="73" t="str">
        <f>IF(ISBLANK(M624),"",IFERROR(INDEX('Tournament List'!$D:$D,MATCH(M624,'Tournament List'!$A:$A,0)),""))</f>
        <v/>
      </c>
      <c r="O624" s="94" t="str">
        <f>IF(F624="Skeet",IFERROR(INDEX('Shooter-Squad Assignment'!$A:$A,MATCH(C624&amp;"-"&amp;E624&amp;"-"&amp;F624&amp;"-Pos5",'Shooter-Squad Assignment'!$K:$K,0)),""),IF(F624="Trap",IFERROR(INDEX('Shooter-Squad Assignment'!$A:$A,MATCH(C624&amp;"-"&amp;E624&amp;"-"&amp;F624&amp;"-Pos5",'Shooter-Squad Assignment'!$W:$W,0)),""),IF(F624="Sporting Clays",IFERROR(INDEX('Shooter-Squad Assignment'!$A:$A,MATCH(C624&amp;"-"&amp;E624&amp;"-"&amp;F624&amp;"-Pos5",'Shooter-Squad Assignment'!$Z:$Z,0)),""),"")))</f>
        <v/>
      </c>
      <c r="P624" s="79" t="str">
        <f>IF(ISBLANK(O624),"",IFERROR(INDEX('Tournament List'!$D:$D,MATCH(O624,'Tournament List'!$A:$A,0)),""))</f>
        <v/>
      </c>
    </row>
    <row r="625" spans="1:16" x14ac:dyDescent="0.3">
      <c r="A625" s="78">
        <v>624</v>
      </c>
      <c r="B625" s="73" t="str">
        <f>C625&amp;"-"&amp;E625&amp;"-"&amp;F625</f>
        <v>-Unassigned 1-Trap</v>
      </c>
      <c r="C625" s="73"/>
      <c r="D625" s="73" t="str">
        <f>INDEX('Tournament Setup'!$B$59:$B$78,MATCH(E625,SquadConcurrents,0))</f>
        <v>Unassigned</v>
      </c>
      <c r="E625" s="73" t="s">
        <v>762</v>
      </c>
      <c r="F625" s="73" t="s">
        <v>147</v>
      </c>
      <c r="G625" s="94" t="str">
        <f>IF(F625="Skeet",IFERROR(INDEX('Shooter-Squad Assignment'!$A:$A,MATCH(C625&amp;"-"&amp;E625&amp;"-"&amp;F625&amp;"-Pos1",'Shooter-Squad Assignment'!$K:$K,0)),""),IF(F625="Trap",IFERROR(INDEX('Shooter-Squad Assignment'!$A:$A,MATCH(C625&amp;"-"&amp;E625&amp;"-"&amp;F625&amp;"-Pos1",'Shooter-Squad Assignment'!$W:$W,0)),""),IF(F625="Sporting Clays",IFERROR(INDEX('Shooter-Squad Assignment'!$A:$A,MATCH(C625&amp;"-"&amp;E625&amp;"-"&amp;F625&amp;"-Pos1",'Shooter-Squad Assignment'!$Z:$Z,0)),""),"")))</f>
        <v/>
      </c>
      <c r="H625" s="73" t="str">
        <f>IF(ISBLANK(G625),"",IFERROR(INDEX('Tournament List'!$D:$D,MATCH(G625,'Tournament List'!$A:$A,0)),""))</f>
        <v/>
      </c>
      <c r="I625" s="94" t="str">
        <f>IF(F625="Skeet",IFERROR(INDEX('Shooter-Squad Assignment'!$A:$A,MATCH(C625&amp;"-"&amp;E625&amp;"-"&amp;F625&amp;"-Pos2",'Shooter-Squad Assignment'!$K:$K,0)),""),IF(F625="Trap",IFERROR(INDEX('Shooter-Squad Assignment'!$A:$A,MATCH(C625&amp;"-"&amp;E625&amp;"-"&amp;F625&amp;"-Pos2",'Shooter-Squad Assignment'!$W:$W,0)),""),IF(F625="Sporting Clays",IFERROR(INDEX('Shooter-Squad Assignment'!$A:$A,MATCH(C625&amp;"-"&amp;E625&amp;"-"&amp;F625&amp;"-Pos2",'Shooter-Squad Assignment'!$Z:$Z,0)),""),"")))</f>
        <v/>
      </c>
      <c r="J625" s="73" t="str">
        <f>IF(ISBLANK(I625),"",IFERROR(INDEX('Tournament List'!$D:$D,MATCH(I625,'Tournament List'!$A:$A,0)),""))</f>
        <v/>
      </c>
      <c r="K625" s="94" t="str">
        <f>IF(F625="Skeet",IFERROR(INDEX('Shooter-Squad Assignment'!$A:$A,MATCH(C625&amp;"-"&amp;E625&amp;"-"&amp;F625&amp;"-Pos3",'Shooter-Squad Assignment'!$K:$K,0)),""),IF(F625="Trap",IFERROR(INDEX('Shooter-Squad Assignment'!$A:$A,MATCH(C625&amp;"-"&amp;E625&amp;"-"&amp;F625&amp;"-Pos3",'Shooter-Squad Assignment'!$W:$W,0)),""),IF(F625="Sporting Clays",IFERROR(INDEX('Shooter-Squad Assignment'!$A:$A,MATCH(C625&amp;"-"&amp;E625&amp;"-"&amp;F625&amp;"-Pos3",'Shooter-Squad Assignment'!$Z:$Z,0)),""),"")))</f>
        <v/>
      </c>
      <c r="L625" s="73" t="str">
        <f>IF(ISBLANK(K625),"",IFERROR(INDEX('Tournament List'!$D:$D,MATCH(K625,'Tournament List'!$A:$A,0)),""))</f>
        <v/>
      </c>
      <c r="M625" s="94" t="str">
        <f>IF(F625="Skeet",IFERROR(INDEX('Shooter-Squad Assignment'!$A:$A,MATCH(C625&amp;"-"&amp;E625&amp;"-"&amp;F625&amp;"-Pos4",'Shooter-Squad Assignment'!$K:$K,0)),""),IF(F625="Trap",IFERROR(INDEX('Shooter-Squad Assignment'!$A:$A,MATCH(C625&amp;"-"&amp;E625&amp;"-"&amp;F625&amp;"-Pos4",'Shooter-Squad Assignment'!$W:$W,0)),""),IF(F625="Sporting Clays",IFERROR(INDEX('Shooter-Squad Assignment'!$A:$A,MATCH(C625&amp;"-"&amp;E625&amp;"-"&amp;F625&amp;"-Pos4",'Shooter-Squad Assignment'!$Z:$Z,0)),""),"")))</f>
        <v/>
      </c>
      <c r="N625" s="73" t="str">
        <f>IF(ISBLANK(M625),"",IFERROR(INDEX('Tournament List'!$D:$D,MATCH(M625,'Tournament List'!$A:$A,0)),""))</f>
        <v/>
      </c>
      <c r="O625" s="94" t="str">
        <f>IF(F625="Skeet",IFERROR(INDEX('Shooter-Squad Assignment'!$A:$A,MATCH(C625&amp;"-"&amp;E625&amp;"-"&amp;F625&amp;"-Pos5",'Shooter-Squad Assignment'!$K:$K,0)),""),IF(F625="Trap",IFERROR(INDEX('Shooter-Squad Assignment'!$A:$A,MATCH(C625&amp;"-"&amp;E625&amp;"-"&amp;F625&amp;"-Pos5",'Shooter-Squad Assignment'!$W:$W,0)),""),IF(F625="Sporting Clays",IFERROR(INDEX('Shooter-Squad Assignment'!$A:$A,MATCH(C625&amp;"-"&amp;E625&amp;"-"&amp;F625&amp;"-Pos5",'Shooter-Squad Assignment'!$Z:$Z,0)),""),"")))</f>
        <v/>
      </c>
      <c r="P625" s="79" t="str">
        <f>IF(ISBLANK(O625),"",IFERROR(INDEX('Tournament List'!$D:$D,MATCH(O625,'Tournament List'!$A:$A,0)),""))</f>
        <v/>
      </c>
    </row>
    <row r="626" spans="1:16" x14ac:dyDescent="0.3">
      <c r="A626" s="78">
        <v>625</v>
      </c>
      <c r="B626" s="73" t="str">
        <f>C626&amp;"-"&amp;E626&amp;"-"&amp;F626</f>
        <v>-Varsity 1-Trap</v>
      </c>
      <c r="C626" s="73"/>
      <c r="D626" s="73" t="str">
        <f>INDEX('Tournament Setup'!$B$59:$B$78,MATCH(E626,SquadConcurrents,0))</f>
        <v>Varsity</v>
      </c>
      <c r="E626" s="73" t="s">
        <v>340</v>
      </c>
      <c r="F626" s="73" t="s">
        <v>147</v>
      </c>
      <c r="G626" s="94" t="str">
        <f>IF(F626="Skeet",IFERROR(INDEX('Shooter-Squad Assignment'!$A:$A,MATCH(C626&amp;"-"&amp;E626&amp;"-"&amp;F626&amp;"-Pos1",'Shooter-Squad Assignment'!$K:$K,0)),""),IF(F626="Trap",IFERROR(INDEX('Shooter-Squad Assignment'!$A:$A,MATCH(C626&amp;"-"&amp;E626&amp;"-"&amp;F626&amp;"-Pos1",'Shooter-Squad Assignment'!$W:$W,0)),""),IF(F626="Sporting Clays",IFERROR(INDEX('Shooter-Squad Assignment'!$A:$A,MATCH(C626&amp;"-"&amp;E626&amp;"-"&amp;F626&amp;"-Pos1",'Shooter-Squad Assignment'!$Z:$Z,0)),""),"")))</f>
        <v/>
      </c>
      <c r="H626" s="73" t="str">
        <f>IF(ISBLANK(G626),"",IFERROR(INDEX('Tournament List'!$D:$D,MATCH(G626,'Tournament List'!$A:$A,0)),""))</f>
        <v/>
      </c>
      <c r="I626" s="94" t="str">
        <f>IF(F626="Skeet",IFERROR(INDEX('Shooter-Squad Assignment'!$A:$A,MATCH(C626&amp;"-"&amp;E626&amp;"-"&amp;F626&amp;"-Pos2",'Shooter-Squad Assignment'!$K:$K,0)),""),IF(F626="Trap",IFERROR(INDEX('Shooter-Squad Assignment'!$A:$A,MATCH(C626&amp;"-"&amp;E626&amp;"-"&amp;F626&amp;"-Pos2",'Shooter-Squad Assignment'!$W:$W,0)),""),IF(F626="Sporting Clays",IFERROR(INDEX('Shooter-Squad Assignment'!$A:$A,MATCH(C626&amp;"-"&amp;E626&amp;"-"&amp;F626&amp;"-Pos2",'Shooter-Squad Assignment'!$Z:$Z,0)),""),"")))</f>
        <v/>
      </c>
      <c r="J626" s="73" t="str">
        <f>IF(ISBLANK(I626),"",IFERROR(INDEX('Tournament List'!$D:$D,MATCH(I626,'Tournament List'!$A:$A,0)),""))</f>
        <v/>
      </c>
      <c r="K626" s="94" t="str">
        <f>IF(F626="Skeet",IFERROR(INDEX('Shooter-Squad Assignment'!$A:$A,MATCH(C626&amp;"-"&amp;E626&amp;"-"&amp;F626&amp;"-Pos3",'Shooter-Squad Assignment'!$K:$K,0)),""),IF(F626="Trap",IFERROR(INDEX('Shooter-Squad Assignment'!$A:$A,MATCH(C626&amp;"-"&amp;E626&amp;"-"&amp;F626&amp;"-Pos3",'Shooter-Squad Assignment'!$W:$W,0)),""),IF(F626="Sporting Clays",IFERROR(INDEX('Shooter-Squad Assignment'!$A:$A,MATCH(C626&amp;"-"&amp;E626&amp;"-"&amp;F626&amp;"-Pos3",'Shooter-Squad Assignment'!$Z:$Z,0)),""),"")))</f>
        <v/>
      </c>
      <c r="L626" s="73" t="str">
        <f>IF(ISBLANK(K626),"",IFERROR(INDEX('Tournament List'!$D:$D,MATCH(K626,'Tournament List'!$A:$A,0)),""))</f>
        <v/>
      </c>
      <c r="M626" s="94" t="str">
        <f>IF(F626="Skeet",IFERROR(INDEX('Shooter-Squad Assignment'!$A:$A,MATCH(C626&amp;"-"&amp;E626&amp;"-"&amp;F626&amp;"-Pos4",'Shooter-Squad Assignment'!$K:$K,0)),""),IF(F626="Trap",IFERROR(INDEX('Shooter-Squad Assignment'!$A:$A,MATCH(C626&amp;"-"&amp;E626&amp;"-"&amp;F626&amp;"-Pos4",'Shooter-Squad Assignment'!$W:$W,0)),""),IF(F626="Sporting Clays",IFERROR(INDEX('Shooter-Squad Assignment'!$A:$A,MATCH(C626&amp;"-"&amp;E626&amp;"-"&amp;F626&amp;"-Pos4",'Shooter-Squad Assignment'!$Z:$Z,0)),""),"")))</f>
        <v/>
      </c>
      <c r="N626" s="73" t="str">
        <f>IF(ISBLANK(M626),"",IFERROR(INDEX('Tournament List'!$D:$D,MATCH(M626,'Tournament List'!$A:$A,0)),""))</f>
        <v/>
      </c>
      <c r="O626" s="94" t="str">
        <f>IF(F626="Skeet",IFERROR(INDEX('Shooter-Squad Assignment'!$A:$A,MATCH(C626&amp;"-"&amp;E626&amp;"-"&amp;F626&amp;"-Pos5",'Shooter-Squad Assignment'!$K:$K,0)),""),IF(F626="Trap",IFERROR(INDEX('Shooter-Squad Assignment'!$A:$A,MATCH(C626&amp;"-"&amp;E626&amp;"-"&amp;F626&amp;"-Pos5",'Shooter-Squad Assignment'!$W:$W,0)),""),IF(F626="Sporting Clays",IFERROR(INDEX('Shooter-Squad Assignment'!$A:$A,MATCH(C626&amp;"-"&amp;E626&amp;"-"&amp;F626&amp;"-Pos5",'Shooter-Squad Assignment'!$Z:$Z,0)),""),"")))</f>
        <v/>
      </c>
      <c r="P626" s="79" t="str">
        <f>IF(ISBLANK(O626),"",IFERROR(INDEX('Tournament List'!$D:$D,MATCH(O626,'Tournament List'!$A:$A,0)),""))</f>
        <v/>
      </c>
    </row>
    <row r="627" spans="1:16" x14ac:dyDescent="0.3">
      <c r="A627" s="78">
        <v>626</v>
      </c>
      <c r="B627" s="73" t="str">
        <f>C627&amp;"-"&amp;E627&amp;"-"&amp;F627</f>
        <v>-Varsity 2-Trap</v>
      </c>
      <c r="C627" s="73"/>
      <c r="D627" s="73" t="str">
        <f>INDEX('Tournament Setup'!$B$59:$B$78,MATCH(E627,SquadConcurrents,0))</f>
        <v>Varsity</v>
      </c>
      <c r="E627" s="73" t="s">
        <v>346</v>
      </c>
      <c r="F627" s="73" t="s">
        <v>147</v>
      </c>
      <c r="G627" s="94" t="str">
        <f>IF(F627="Skeet",IFERROR(INDEX('Shooter-Squad Assignment'!$A:$A,MATCH(C627&amp;"-"&amp;E627&amp;"-"&amp;F627&amp;"-Pos1",'Shooter-Squad Assignment'!$K:$K,0)),""),IF(F627="Trap",IFERROR(INDEX('Shooter-Squad Assignment'!$A:$A,MATCH(C627&amp;"-"&amp;E627&amp;"-"&amp;F627&amp;"-Pos1",'Shooter-Squad Assignment'!$W:$W,0)),""),IF(F627="Sporting Clays",IFERROR(INDEX('Shooter-Squad Assignment'!$A:$A,MATCH(C627&amp;"-"&amp;E627&amp;"-"&amp;F627&amp;"-Pos1",'Shooter-Squad Assignment'!$Z:$Z,0)),""),"")))</f>
        <v/>
      </c>
      <c r="H627" s="73" t="str">
        <f>IF(ISBLANK(G627),"",IFERROR(INDEX('Tournament List'!$D:$D,MATCH(G627,'Tournament List'!$A:$A,0)),""))</f>
        <v/>
      </c>
      <c r="I627" s="94" t="str">
        <f>IF(F627="Skeet",IFERROR(INDEX('Shooter-Squad Assignment'!$A:$A,MATCH(C627&amp;"-"&amp;E627&amp;"-"&amp;F627&amp;"-Pos2",'Shooter-Squad Assignment'!$K:$K,0)),""),IF(F627="Trap",IFERROR(INDEX('Shooter-Squad Assignment'!$A:$A,MATCH(C627&amp;"-"&amp;E627&amp;"-"&amp;F627&amp;"-Pos2",'Shooter-Squad Assignment'!$W:$W,0)),""),IF(F627="Sporting Clays",IFERROR(INDEX('Shooter-Squad Assignment'!$A:$A,MATCH(C627&amp;"-"&amp;E627&amp;"-"&amp;F627&amp;"-Pos2",'Shooter-Squad Assignment'!$Z:$Z,0)),""),"")))</f>
        <v/>
      </c>
      <c r="J627" s="73" t="str">
        <f>IF(ISBLANK(I627),"",IFERROR(INDEX('Tournament List'!$D:$D,MATCH(I627,'Tournament List'!$A:$A,0)),""))</f>
        <v/>
      </c>
      <c r="K627" s="94" t="str">
        <f>IF(F627="Skeet",IFERROR(INDEX('Shooter-Squad Assignment'!$A:$A,MATCH(C627&amp;"-"&amp;E627&amp;"-"&amp;F627&amp;"-Pos3",'Shooter-Squad Assignment'!$K:$K,0)),""),IF(F627="Trap",IFERROR(INDEX('Shooter-Squad Assignment'!$A:$A,MATCH(C627&amp;"-"&amp;E627&amp;"-"&amp;F627&amp;"-Pos3",'Shooter-Squad Assignment'!$W:$W,0)),""),IF(F627="Sporting Clays",IFERROR(INDEX('Shooter-Squad Assignment'!$A:$A,MATCH(C627&amp;"-"&amp;E627&amp;"-"&amp;F627&amp;"-Pos3",'Shooter-Squad Assignment'!$Z:$Z,0)),""),"")))</f>
        <v/>
      </c>
      <c r="L627" s="73" t="str">
        <f>IF(ISBLANK(K627),"",IFERROR(INDEX('Tournament List'!$D:$D,MATCH(K627,'Tournament List'!$A:$A,0)),""))</f>
        <v/>
      </c>
      <c r="M627" s="94" t="str">
        <f>IF(F627="Skeet",IFERROR(INDEX('Shooter-Squad Assignment'!$A:$A,MATCH(C627&amp;"-"&amp;E627&amp;"-"&amp;F627&amp;"-Pos4",'Shooter-Squad Assignment'!$K:$K,0)),""),IF(F627="Trap",IFERROR(INDEX('Shooter-Squad Assignment'!$A:$A,MATCH(C627&amp;"-"&amp;E627&amp;"-"&amp;F627&amp;"-Pos4",'Shooter-Squad Assignment'!$W:$W,0)),""),IF(F627="Sporting Clays",IFERROR(INDEX('Shooter-Squad Assignment'!$A:$A,MATCH(C627&amp;"-"&amp;E627&amp;"-"&amp;F627&amp;"-Pos4",'Shooter-Squad Assignment'!$Z:$Z,0)),""),"")))</f>
        <v/>
      </c>
      <c r="N627" s="73" t="str">
        <f>IF(ISBLANK(M627),"",IFERROR(INDEX('Tournament List'!$D:$D,MATCH(M627,'Tournament List'!$A:$A,0)),""))</f>
        <v/>
      </c>
      <c r="O627" s="94" t="str">
        <f>IF(F627="Skeet",IFERROR(INDEX('Shooter-Squad Assignment'!$A:$A,MATCH(C627&amp;"-"&amp;E627&amp;"-"&amp;F627&amp;"-Pos5",'Shooter-Squad Assignment'!$K:$K,0)),""),IF(F627="Trap",IFERROR(INDEX('Shooter-Squad Assignment'!$A:$A,MATCH(C627&amp;"-"&amp;E627&amp;"-"&amp;F627&amp;"-Pos5",'Shooter-Squad Assignment'!$W:$W,0)),""),IF(F627="Sporting Clays",IFERROR(INDEX('Shooter-Squad Assignment'!$A:$A,MATCH(C627&amp;"-"&amp;E627&amp;"-"&amp;F627&amp;"-Pos5",'Shooter-Squad Assignment'!$Z:$Z,0)),""),"")))</f>
        <v/>
      </c>
      <c r="P627" s="79" t="str">
        <f>IF(ISBLANK(O627),"",IFERROR(INDEX('Tournament List'!$D:$D,MATCH(O627,'Tournament List'!$A:$A,0)),""))</f>
        <v/>
      </c>
    </row>
    <row r="628" spans="1:16" ht="15" thickBot="1" x14ac:dyDescent="0.35">
      <c r="A628" s="78">
        <v>627</v>
      </c>
      <c r="B628" s="73" t="str">
        <f>C628&amp;"-"&amp;E628&amp;"-"&amp;F628</f>
        <v>-Varsity 3-Trap</v>
      </c>
      <c r="C628" s="73"/>
      <c r="D628" s="73" t="str">
        <f>INDEX('Tournament Setup'!$B$59:$B$78,MATCH(E628,SquadConcurrents,0))</f>
        <v>Varsity</v>
      </c>
      <c r="E628" s="73" t="s">
        <v>352</v>
      </c>
      <c r="F628" s="73" t="s">
        <v>147</v>
      </c>
      <c r="G628" s="94" t="str">
        <f>IF(F628="Skeet",IFERROR(INDEX('Shooter-Squad Assignment'!$A:$A,MATCH(C628&amp;"-"&amp;E628&amp;"-"&amp;F628&amp;"-Pos1",'Shooter-Squad Assignment'!$K:$K,0)),""),IF(F628="Trap",IFERROR(INDEX('Shooter-Squad Assignment'!$A:$A,MATCH(C628&amp;"-"&amp;E628&amp;"-"&amp;F628&amp;"-Pos1",'Shooter-Squad Assignment'!$W:$W,0)),""),IF(F628="Sporting Clays",IFERROR(INDEX('Shooter-Squad Assignment'!$A:$A,MATCH(C628&amp;"-"&amp;E628&amp;"-"&amp;F628&amp;"-Pos1",'Shooter-Squad Assignment'!$Z:$Z,0)),""),"")))</f>
        <v/>
      </c>
      <c r="H628" s="73" t="str">
        <f>IF(ISBLANK(G628),"",IFERROR(INDEX('Tournament List'!$D:$D,MATCH(G628,'Tournament List'!$A:$A,0)),""))</f>
        <v/>
      </c>
      <c r="I628" s="94" t="str">
        <f>IF(F628="Skeet",IFERROR(INDEX('Shooter-Squad Assignment'!$A:$A,MATCH(C628&amp;"-"&amp;E628&amp;"-"&amp;F628&amp;"-Pos2",'Shooter-Squad Assignment'!$K:$K,0)),""),IF(F628="Trap",IFERROR(INDEX('Shooter-Squad Assignment'!$A:$A,MATCH(C628&amp;"-"&amp;E628&amp;"-"&amp;F628&amp;"-Pos2",'Shooter-Squad Assignment'!$W:$W,0)),""),IF(F628="Sporting Clays",IFERROR(INDEX('Shooter-Squad Assignment'!$A:$A,MATCH(C628&amp;"-"&amp;E628&amp;"-"&amp;F628&amp;"-Pos2",'Shooter-Squad Assignment'!$Z:$Z,0)),""),"")))</f>
        <v/>
      </c>
      <c r="J628" s="73" t="str">
        <f>IF(ISBLANK(I628),"",IFERROR(INDEX('Tournament List'!$D:$D,MATCH(I628,'Tournament List'!$A:$A,0)),""))</f>
        <v/>
      </c>
      <c r="K628" s="94" t="str">
        <f>IF(F628="Skeet",IFERROR(INDEX('Shooter-Squad Assignment'!$A:$A,MATCH(C628&amp;"-"&amp;E628&amp;"-"&amp;F628&amp;"-Pos3",'Shooter-Squad Assignment'!$K:$K,0)),""),IF(F628="Trap",IFERROR(INDEX('Shooter-Squad Assignment'!$A:$A,MATCH(C628&amp;"-"&amp;E628&amp;"-"&amp;F628&amp;"-Pos3",'Shooter-Squad Assignment'!$W:$W,0)),""),IF(F628="Sporting Clays",IFERROR(INDEX('Shooter-Squad Assignment'!$A:$A,MATCH(C628&amp;"-"&amp;E628&amp;"-"&amp;F628&amp;"-Pos3",'Shooter-Squad Assignment'!$Z:$Z,0)),""),"")))</f>
        <v/>
      </c>
      <c r="L628" s="73" t="str">
        <f>IF(ISBLANK(K628),"",IFERROR(INDEX('Tournament List'!$D:$D,MATCH(K628,'Tournament List'!$A:$A,0)),""))</f>
        <v/>
      </c>
      <c r="M628" s="94" t="str">
        <f>IF(F628="Skeet",IFERROR(INDEX('Shooter-Squad Assignment'!$A:$A,MATCH(C628&amp;"-"&amp;E628&amp;"-"&amp;F628&amp;"-Pos4",'Shooter-Squad Assignment'!$K:$K,0)),""),IF(F628="Trap",IFERROR(INDEX('Shooter-Squad Assignment'!$A:$A,MATCH(C628&amp;"-"&amp;E628&amp;"-"&amp;F628&amp;"-Pos4",'Shooter-Squad Assignment'!$W:$W,0)),""),IF(F628="Sporting Clays",IFERROR(INDEX('Shooter-Squad Assignment'!$A:$A,MATCH(C628&amp;"-"&amp;E628&amp;"-"&amp;F628&amp;"-Pos4",'Shooter-Squad Assignment'!$Z:$Z,0)),""),"")))</f>
        <v/>
      </c>
      <c r="N628" s="73" t="str">
        <f>IF(ISBLANK(M628),"",IFERROR(INDEX('Tournament List'!$D:$D,MATCH(M628,'Tournament List'!$A:$A,0)),""))</f>
        <v/>
      </c>
      <c r="O628" s="94" t="str">
        <f>IF(F628="Skeet",IFERROR(INDEX('Shooter-Squad Assignment'!$A:$A,MATCH(C628&amp;"-"&amp;E628&amp;"-"&amp;F628&amp;"-Pos5",'Shooter-Squad Assignment'!$K:$K,0)),""),IF(F628="Trap",IFERROR(INDEX('Shooter-Squad Assignment'!$A:$A,MATCH(C628&amp;"-"&amp;E628&amp;"-"&amp;F628&amp;"-Pos5",'Shooter-Squad Assignment'!$W:$W,0)),""),IF(F628="Sporting Clays",IFERROR(INDEX('Shooter-Squad Assignment'!$A:$A,MATCH(C628&amp;"-"&amp;E628&amp;"-"&amp;F628&amp;"-Pos5",'Shooter-Squad Assignment'!$Z:$Z,0)),""),"")))</f>
        <v/>
      </c>
      <c r="P628" s="79" t="str">
        <f>IF(ISBLANK(O628),"",IFERROR(INDEX('Tournament List'!$D:$D,MATCH(O628,'Tournament List'!$A:$A,0)),""))</f>
        <v/>
      </c>
    </row>
    <row r="629" spans="1:16" x14ac:dyDescent="0.3">
      <c r="A629" s="84">
        <v>628</v>
      </c>
      <c r="B629" s="85" t="str">
        <f>C629&amp;"-"&amp;E629&amp;"-"&amp;F629</f>
        <v>-Collegiate 1-Skeet</v>
      </c>
      <c r="C629" s="85"/>
      <c r="D629" s="85" t="str">
        <f>INDEX('Tournament Setup'!$B$59:$B$78,MATCH(E629,SquadConcurrents,0))</f>
        <v>Collegiate</v>
      </c>
      <c r="E629" s="85" t="s">
        <v>342</v>
      </c>
      <c r="F629" s="85" t="s">
        <v>143</v>
      </c>
      <c r="G629" s="95" t="str">
        <f>IF(F629="Skeet",IFERROR(INDEX('Shooter-Squad Assignment'!$A:$A,MATCH(C629&amp;"-"&amp;E629&amp;"-"&amp;F629&amp;"-Pos1",'Shooter-Squad Assignment'!$K:$K,0)),""),IF(F629="Trap",IFERROR(INDEX('Shooter-Squad Assignment'!$A:$A,MATCH(C629&amp;"-"&amp;E629&amp;"-"&amp;F629&amp;"-Pos1",'Shooter-Squad Assignment'!$W:$W,0)),""),IF(F629="Sporting Clays",IFERROR(INDEX('Shooter-Squad Assignment'!$A:$A,MATCH(C629&amp;"-"&amp;E629&amp;"-"&amp;F629&amp;"-Pos1",'Shooter-Squad Assignment'!$Z:$Z,0)),""),"")))</f>
        <v/>
      </c>
      <c r="H629" s="85" t="str">
        <f>IF(ISBLANK(G629),"",IFERROR(INDEX('Tournament List'!$D:$D,MATCH(G629,'Tournament List'!$A:$A,0)),""))</f>
        <v/>
      </c>
      <c r="I629" s="95" t="str">
        <f>IF(F629="Skeet",IFERROR(INDEX('Shooter-Squad Assignment'!$A:$A,MATCH(C629&amp;"-"&amp;E629&amp;"-"&amp;F629&amp;"-Pos2",'Shooter-Squad Assignment'!$K:$K,0)),""),IF(F629="Trap",IFERROR(INDEX('Shooter-Squad Assignment'!$A:$A,MATCH(C629&amp;"-"&amp;E629&amp;"-"&amp;F629&amp;"-Pos2",'Shooter-Squad Assignment'!$W:$W,0)),""),IF(F629="Sporting Clays",IFERROR(INDEX('Shooter-Squad Assignment'!$A:$A,MATCH(C629&amp;"-"&amp;E629&amp;"-"&amp;F629&amp;"-Pos2",'Shooter-Squad Assignment'!$Z:$Z,0)),""),"")))</f>
        <v/>
      </c>
      <c r="J629" s="85" t="str">
        <f>IF(ISBLANK(I629),"",IFERROR(INDEX('Tournament List'!$D:$D,MATCH(I629,'Tournament List'!$A:$A,0)),""))</f>
        <v/>
      </c>
      <c r="K629" s="95" t="str">
        <f>IF(F629="Skeet",IFERROR(INDEX('Shooter-Squad Assignment'!$A:$A,MATCH(C629&amp;"-"&amp;E629&amp;"-"&amp;F629&amp;"-Pos3",'Shooter-Squad Assignment'!$K:$K,0)),""),IF(F629="Trap",IFERROR(INDEX('Shooter-Squad Assignment'!$A:$A,MATCH(C629&amp;"-"&amp;E629&amp;"-"&amp;F629&amp;"-Pos3",'Shooter-Squad Assignment'!$W:$W,0)),""),IF(F629="Sporting Clays",IFERROR(INDEX('Shooter-Squad Assignment'!$A:$A,MATCH(C629&amp;"-"&amp;E629&amp;"-"&amp;F629&amp;"-Pos3",'Shooter-Squad Assignment'!$Z:$Z,0)),""),"")))</f>
        <v/>
      </c>
      <c r="L629" s="85" t="str">
        <f>IF(ISBLANK(K629),"",IFERROR(INDEX('Tournament List'!$D:$D,MATCH(K629,'Tournament List'!$A:$A,0)),""))</f>
        <v/>
      </c>
      <c r="M629" s="95" t="str">
        <f>IF(F629="Skeet",IFERROR(INDEX('Shooter-Squad Assignment'!$A:$A,MATCH(C629&amp;"-"&amp;E629&amp;"-"&amp;F629&amp;"-Pos4",'Shooter-Squad Assignment'!$K:$K,0)),""),IF(F629="Trap",IFERROR(INDEX('Shooter-Squad Assignment'!$A:$A,MATCH(C629&amp;"-"&amp;E629&amp;"-"&amp;F629&amp;"-Pos4",'Shooter-Squad Assignment'!$W:$W,0)),""),IF(F629="Sporting Clays",IFERROR(INDEX('Shooter-Squad Assignment'!$A:$A,MATCH(C629&amp;"-"&amp;E629&amp;"-"&amp;F629&amp;"-Pos4",'Shooter-Squad Assignment'!$Z:$Z,0)),""),"")))</f>
        <v/>
      </c>
      <c r="N629" s="85" t="str">
        <f>IF(ISBLANK(M629),"",IFERROR(INDEX('Tournament List'!$D:$D,MATCH(M629,'Tournament List'!$A:$A,0)),""))</f>
        <v/>
      </c>
      <c r="O629" s="95" t="str">
        <f>IF(F629="Skeet",IFERROR(INDEX('Shooter-Squad Assignment'!$A:$A,MATCH(C629&amp;"-"&amp;E629&amp;"-"&amp;F629&amp;"-Pos5",'Shooter-Squad Assignment'!$K:$K,0)),""),IF(F629="Trap",IFERROR(INDEX('Shooter-Squad Assignment'!$A:$A,MATCH(C629&amp;"-"&amp;E629&amp;"-"&amp;F629&amp;"-Pos5",'Shooter-Squad Assignment'!$W:$W,0)),""),IF(F629="Sporting Clays",IFERROR(INDEX('Shooter-Squad Assignment'!$A:$A,MATCH(C629&amp;"-"&amp;E629&amp;"-"&amp;F629&amp;"-Pos5",'Shooter-Squad Assignment'!$Z:$Z,0)),""),"")))</f>
        <v/>
      </c>
      <c r="P629" s="86" t="str">
        <f>IF(ISBLANK(O629),"",IFERROR(INDEX('Tournament List'!$D:$D,MATCH(O629,'Tournament List'!$A:$A,0)),""))</f>
        <v/>
      </c>
    </row>
    <row r="630" spans="1:16" x14ac:dyDescent="0.3">
      <c r="A630" s="87">
        <v>629</v>
      </c>
      <c r="B630" s="88" t="str">
        <f>C630&amp;"-"&amp;E630&amp;"-"&amp;F630</f>
        <v>-Collegiate 2-Skeet</v>
      </c>
      <c r="C630" s="88"/>
      <c r="D630" s="88" t="str">
        <f>INDEX('Tournament Setup'!$B$59:$B$78,MATCH(E630,SquadConcurrents,0))</f>
        <v>Collegiate</v>
      </c>
      <c r="E630" s="88" t="s">
        <v>348</v>
      </c>
      <c r="F630" s="88" t="s">
        <v>143</v>
      </c>
      <c r="G630" s="96" t="str">
        <f>IF(F630="Skeet",IFERROR(INDEX('Shooter-Squad Assignment'!$A:$A,MATCH(C630&amp;"-"&amp;E630&amp;"-"&amp;F630&amp;"-Pos1",'Shooter-Squad Assignment'!$K:$K,0)),""),IF(F630="Trap",IFERROR(INDEX('Shooter-Squad Assignment'!$A:$A,MATCH(C630&amp;"-"&amp;E630&amp;"-"&amp;F630&amp;"-Pos1",'Shooter-Squad Assignment'!$W:$W,0)),""),IF(F630="Sporting Clays",IFERROR(INDEX('Shooter-Squad Assignment'!$A:$A,MATCH(C630&amp;"-"&amp;E630&amp;"-"&amp;F630&amp;"-Pos1",'Shooter-Squad Assignment'!$Z:$Z,0)),""),"")))</f>
        <v/>
      </c>
      <c r="H630" s="88" t="str">
        <f>IF(ISBLANK(G630),"",IFERROR(INDEX('Tournament List'!$D:$D,MATCH(G630,'Tournament List'!$A:$A,0)),""))</f>
        <v/>
      </c>
      <c r="I630" s="96" t="str">
        <f>IF(F630="Skeet",IFERROR(INDEX('Shooter-Squad Assignment'!$A:$A,MATCH(C630&amp;"-"&amp;E630&amp;"-"&amp;F630&amp;"-Pos2",'Shooter-Squad Assignment'!$K:$K,0)),""),IF(F630="Trap",IFERROR(INDEX('Shooter-Squad Assignment'!$A:$A,MATCH(C630&amp;"-"&amp;E630&amp;"-"&amp;F630&amp;"-Pos2",'Shooter-Squad Assignment'!$W:$W,0)),""),IF(F630="Sporting Clays",IFERROR(INDEX('Shooter-Squad Assignment'!$A:$A,MATCH(C630&amp;"-"&amp;E630&amp;"-"&amp;F630&amp;"-Pos2",'Shooter-Squad Assignment'!$Z:$Z,0)),""),"")))</f>
        <v/>
      </c>
      <c r="J630" s="88" t="str">
        <f>IF(ISBLANK(I630),"",IFERROR(INDEX('Tournament List'!$D:$D,MATCH(I630,'Tournament List'!$A:$A,0)),""))</f>
        <v/>
      </c>
      <c r="K630" s="96" t="str">
        <f>IF(F630="Skeet",IFERROR(INDEX('Shooter-Squad Assignment'!$A:$A,MATCH(C630&amp;"-"&amp;E630&amp;"-"&amp;F630&amp;"-Pos3",'Shooter-Squad Assignment'!$K:$K,0)),""),IF(F630="Trap",IFERROR(INDEX('Shooter-Squad Assignment'!$A:$A,MATCH(C630&amp;"-"&amp;E630&amp;"-"&amp;F630&amp;"-Pos3",'Shooter-Squad Assignment'!$W:$W,0)),""),IF(F630="Sporting Clays",IFERROR(INDEX('Shooter-Squad Assignment'!$A:$A,MATCH(C630&amp;"-"&amp;E630&amp;"-"&amp;F630&amp;"-Pos3",'Shooter-Squad Assignment'!$Z:$Z,0)),""),"")))</f>
        <v/>
      </c>
      <c r="L630" s="88" t="str">
        <f>IF(ISBLANK(K630),"",IFERROR(INDEX('Tournament List'!$D:$D,MATCH(K630,'Tournament List'!$A:$A,0)),""))</f>
        <v/>
      </c>
      <c r="M630" s="96" t="str">
        <f>IF(F630="Skeet",IFERROR(INDEX('Shooter-Squad Assignment'!$A:$A,MATCH(C630&amp;"-"&amp;E630&amp;"-"&amp;F630&amp;"-Pos4",'Shooter-Squad Assignment'!$K:$K,0)),""),IF(F630="Trap",IFERROR(INDEX('Shooter-Squad Assignment'!$A:$A,MATCH(C630&amp;"-"&amp;E630&amp;"-"&amp;F630&amp;"-Pos4",'Shooter-Squad Assignment'!$W:$W,0)),""),IF(F630="Sporting Clays",IFERROR(INDEX('Shooter-Squad Assignment'!$A:$A,MATCH(C630&amp;"-"&amp;E630&amp;"-"&amp;F630&amp;"-Pos4",'Shooter-Squad Assignment'!$Z:$Z,0)),""),"")))</f>
        <v/>
      </c>
      <c r="N630" s="88" t="str">
        <f>IF(ISBLANK(M630),"",IFERROR(INDEX('Tournament List'!$D:$D,MATCH(M630,'Tournament List'!$A:$A,0)),""))</f>
        <v/>
      </c>
      <c r="O630" s="96" t="str">
        <f>IF(F630="Skeet",IFERROR(INDEX('Shooter-Squad Assignment'!$A:$A,MATCH(C630&amp;"-"&amp;E630&amp;"-"&amp;F630&amp;"-Pos5",'Shooter-Squad Assignment'!$K:$K,0)),""),IF(F630="Trap",IFERROR(INDEX('Shooter-Squad Assignment'!$A:$A,MATCH(C630&amp;"-"&amp;E630&amp;"-"&amp;F630&amp;"-Pos5",'Shooter-Squad Assignment'!$W:$W,0)),""),IF(F630="Sporting Clays",IFERROR(INDEX('Shooter-Squad Assignment'!$A:$A,MATCH(C630&amp;"-"&amp;E630&amp;"-"&amp;F630&amp;"-Pos5",'Shooter-Squad Assignment'!$Z:$Z,0)),""),"")))</f>
        <v/>
      </c>
      <c r="P630" s="89" t="str">
        <f>IF(ISBLANK(O630),"",IFERROR(INDEX('Tournament List'!$D:$D,MATCH(O630,'Tournament List'!$A:$A,0)),""))</f>
        <v/>
      </c>
    </row>
    <row r="631" spans="1:16" x14ac:dyDescent="0.3">
      <c r="A631" s="87">
        <v>630</v>
      </c>
      <c r="B631" s="88" t="str">
        <f>C631&amp;"-"&amp;E631&amp;"-"&amp;F631</f>
        <v>-Collegiate 3-Skeet</v>
      </c>
      <c r="C631" s="88"/>
      <c r="D631" s="88" t="str">
        <f>INDEX('Tournament Setup'!$B$59:$B$78,MATCH(E631,SquadConcurrents,0))</f>
        <v>Collegiate</v>
      </c>
      <c r="E631" s="88" t="s">
        <v>354</v>
      </c>
      <c r="F631" s="88" t="s">
        <v>143</v>
      </c>
      <c r="G631" s="96" t="str">
        <f>IF(F631="Skeet",IFERROR(INDEX('Shooter-Squad Assignment'!$A:$A,MATCH(C631&amp;"-"&amp;E631&amp;"-"&amp;F631&amp;"-Pos1",'Shooter-Squad Assignment'!$K:$K,0)),""),IF(F631="Trap",IFERROR(INDEX('Shooter-Squad Assignment'!$A:$A,MATCH(C631&amp;"-"&amp;E631&amp;"-"&amp;F631&amp;"-Pos1",'Shooter-Squad Assignment'!$W:$W,0)),""),IF(F631="Sporting Clays",IFERROR(INDEX('Shooter-Squad Assignment'!$A:$A,MATCH(C631&amp;"-"&amp;E631&amp;"-"&amp;F631&amp;"-Pos1",'Shooter-Squad Assignment'!$Z:$Z,0)),""),"")))</f>
        <v/>
      </c>
      <c r="H631" s="88" t="str">
        <f>IF(ISBLANK(G631),"",IFERROR(INDEX('Tournament List'!$D:$D,MATCH(G631,'Tournament List'!$A:$A,0)),""))</f>
        <v/>
      </c>
      <c r="I631" s="96" t="str">
        <f>IF(F631="Skeet",IFERROR(INDEX('Shooter-Squad Assignment'!$A:$A,MATCH(C631&amp;"-"&amp;E631&amp;"-"&amp;F631&amp;"-Pos2",'Shooter-Squad Assignment'!$K:$K,0)),""),IF(F631="Trap",IFERROR(INDEX('Shooter-Squad Assignment'!$A:$A,MATCH(C631&amp;"-"&amp;E631&amp;"-"&amp;F631&amp;"-Pos2",'Shooter-Squad Assignment'!$W:$W,0)),""),IF(F631="Sporting Clays",IFERROR(INDEX('Shooter-Squad Assignment'!$A:$A,MATCH(C631&amp;"-"&amp;E631&amp;"-"&amp;F631&amp;"-Pos2",'Shooter-Squad Assignment'!$Z:$Z,0)),""),"")))</f>
        <v/>
      </c>
      <c r="J631" s="88" t="str">
        <f>IF(ISBLANK(I631),"",IFERROR(INDEX('Tournament List'!$D:$D,MATCH(I631,'Tournament List'!$A:$A,0)),""))</f>
        <v/>
      </c>
      <c r="K631" s="96" t="str">
        <f>IF(F631="Skeet",IFERROR(INDEX('Shooter-Squad Assignment'!$A:$A,MATCH(C631&amp;"-"&amp;E631&amp;"-"&amp;F631&amp;"-Pos3",'Shooter-Squad Assignment'!$K:$K,0)),""),IF(F631="Trap",IFERROR(INDEX('Shooter-Squad Assignment'!$A:$A,MATCH(C631&amp;"-"&amp;E631&amp;"-"&amp;F631&amp;"-Pos3",'Shooter-Squad Assignment'!$W:$W,0)),""),IF(F631="Sporting Clays",IFERROR(INDEX('Shooter-Squad Assignment'!$A:$A,MATCH(C631&amp;"-"&amp;E631&amp;"-"&amp;F631&amp;"-Pos3",'Shooter-Squad Assignment'!$Z:$Z,0)),""),"")))</f>
        <v/>
      </c>
      <c r="L631" s="88" t="str">
        <f>IF(ISBLANK(K631),"",IFERROR(INDEX('Tournament List'!$D:$D,MATCH(K631,'Tournament List'!$A:$A,0)),""))</f>
        <v/>
      </c>
      <c r="M631" s="96" t="str">
        <f>IF(F631="Skeet",IFERROR(INDEX('Shooter-Squad Assignment'!$A:$A,MATCH(C631&amp;"-"&amp;E631&amp;"-"&amp;F631&amp;"-Pos4",'Shooter-Squad Assignment'!$K:$K,0)),""),IF(F631="Trap",IFERROR(INDEX('Shooter-Squad Assignment'!$A:$A,MATCH(C631&amp;"-"&amp;E631&amp;"-"&amp;F631&amp;"-Pos4",'Shooter-Squad Assignment'!$W:$W,0)),""),IF(F631="Sporting Clays",IFERROR(INDEX('Shooter-Squad Assignment'!$A:$A,MATCH(C631&amp;"-"&amp;E631&amp;"-"&amp;F631&amp;"-Pos4",'Shooter-Squad Assignment'!$Z:$Z,0)),""),"")))</f>
        <v/>
      </c>
      <c r="N631" s="88" t="str">
        <f>IF(ISBLANK(M631),"",IFERROR(INDEX('Tournament List'!$D:$D,MATCH(M631,'Tournament List'!$A:$A,0)),""))</f>
        <v/>
      </c>
      <c r="O631" s="96" t="str">
        <f>IF(F631="Skeet",IFERROR(INDEX('Shooter-Squad Assignment'!$A:$A,MATCH(C631&amp;"-"&amp;E631&amp;"-"&amp;F631&amp;"-Pos5",'Shooter-Squad Assignment'!$K:$K,0)),""),IF(F631="Trap",IFERROR(INDEX('Shooter-Squad Assignment'!$A:$A,MATCH(C631&amp;"-"&amp;E631&amp;"-"&amp;F631&amp;"-Pos5",'Shooter-Squad Assignment'!$W:$W,0)),""),IF(F631="Sporting Clays",IFERROR(INDEX('Shooter-Squad Assignment'!$A:$A,MATCH(C631&amp;"-"&amp;E631&amp;"-"&amp;F631&amp;"-Pos5",'Shooter-Squad Assignment'!$Z:$Z,0)),""),"")))</f>
        <v/>
      </c>
      <c r="P631" s="89" t="str">
        <f>IF(ISBLANK(O631),"",IFERROR(INDEX('Tournament List'!$D:$D,MATCH(O631,'Tournament List'!$A:$A,0)),""))</f>
        <v/>
      </c>
    </row>
    <row r="632" spans="1:16" x14ac:dyDescent="0.3">
      <c r="A632" s="87">
        <v>631</v>
      </c>
      <c r="B632" s="88" t="str">
        <f>C632&amp;"-"&amp;E632&amp;"-"&amp;F632</f>
        <v>-Intermediate 1-Skeet</v>
      </c>
      <c r="C632" s="88"/>
      <c r="D632" s="88" t="str">
        <f>INDEX('Tournament Setup'!$B$59:$B$78,MATCH(E632,SquadConcurrents,0))</f>
        <v>Intermediate</v>
      </c>
      <c r="E632" s="88" t="s">
        <v>338</v>
      </c>
      <c r="F632" s="88" t="s">
        <v>143</v>
      </c>
      <c r="G632" s="96" t="str">
        <f>IF(F632="Skeet",IFERROR(INDEX('Shooter-Squad Assignment'!$A:$A,MATCH(C632&amp;"-"&amp;E632&amp;"-"&amp;F632&amp;"-Pos1",'Shooter-Squad Assignment'!$K:$K,0)),""),IF(F632="Trap",IFERROR(INDEX('Shooter-Squad Assignment'!$A:$A,MATCH(C632&amp;"-"&amp;E632&amp;"-"&amp;F632&amp;"-Pos1",'Shooter-Squad Assignment'!$W:$W,0)),""),IF(F632="Sporting Clays",IFERROR(INDEX('Shooter-Squad Assignment'!$A:$A,MATCH(C632&amp;"-"&amp;E632&amp;"-"&amp;F632&amp;"-Pos1",'Shooter-Squad Assignment'!$Z:$Z,0)),""),"")))</f>
        <v/>
      </c>
      <c r="H632" s="88" t="str">
        <f>IF(ISBLANK(G632),"",IFERROR(INDEX('Tournament List'!$D:$D,MATCH(G632,'Tournament List'!$A:$A,0)),""))</f>
        <v/>
      </c>
      <c r="I632" s="96" t="str">
        <f>IF(F632="Skeet",IFERROR(INDEX('Shooter-Squad Assignment'!$A:$A,MATCH(C632&amp;"-"&amp;E632&amp;"-"&amp;F632&amp;"-Pos2",'Shooter-Squad Assignment'!$K:$K,0)),""),IF(F632="Trap",IFERROR(INDEX('Shooter-Squad Assignment'!$A:$A,MATCH(C632&amp;"-"&amp;E632&amp;"-"&amp;F632&amp;"-Pos2",'Shooter-Squad Assignment'!$W:$W,0)),""),IF(F632="Sporting Clays",IFERROR(INDEX('Shooter-Squad Assignment'!$A:$A,MATCH(C632&amp;"-"&amp;E632&amp;"-"&amp;F632&amp;"-Pos2",'Shooter-Squad Assignment'!$Z:$Z,0)),""),"")))</f>
        <v/>
      </c>
      <c r="J632" s="88" t="str">
        <f>IF(ISBLANK(I632),"",IFERROR(INDEX('Tournament List'!$D:$D,MATCH(I632,'Tournament List'!$A:$A,0)),""))</f>
        <v/>
      </c>
      <c r="K632" s="96" t="str">
        <f>IF(F632="Skeet",IFERROR(INDEX('Shooter-Squad Assignment'!$A:$A,MATCH(C632&amp;"-"&amp;E632&amp;"-"&amp;F632&amp;"-Pos3",'Shooter-Squad Assignment'!$K:$K,0)),""),IF(F632="Trap",IFERROR(INDEX('Shooter-Squad Assignment'!$A:$A,MATCH(C632&amp;"-"&amp;E632&amp;"-"&amp;F632&amp;"-Pos3",'Shooter-Squad Assignment'!$W:$W,0)),""),IF(F632="Sporting Clays",IFERROR(INDEX('Shooter-Squad Assignment'!$A:$A,MATCH(C632&amp;"-"&amp;E632&amp;"-"&amp;F632&amp;"-Pos3",'Shooter-Squad Assignment'!$Z:$Z,0)),""),"")))</f>
        <v/>
      </c>
      <c r="L632" s="88" t="str">
        <f>IF(ISBLANK(K632),"",IFERROR(INDEX('Tournament List'!$D:$D,MATCH(K632,'Tournament List'!$A:$A,0)),""))</f>
        <v/>
      </c>
      <c r="M632" s="96" t="str">
        <f>IF(F632="Skeet",IFERROR(INDEX('Shooter-Squad Assignment'!$A:$A,MATCH(C632&amp;"-"&amp;E632&amp;"-"&amp;F632&amp;"-Pos4",'Shooter-Squad Assignment'!$K:$K,0)),""),IF(F632="Trap",IFERROR(INDEX('Shooter-Squad Assignment'!$A:$A,MATCH(C632&amp;"-"&amp;E632&amp;"-"&amp;F632&amp;"-Pos4",'Shooter-Squad Assignment'!$W:$W,0)),""),IF(F632="Sporting Clays",IFERROR(INDEX('Shooter-Squad Assignment'!$A:$A,MATCH(C632&amp;"-"&amp;E632&amp;"-"&amp;F632&amp;"-Pos4",'Shooter-Squad Assignment'!$Z:$Z,0)),""),"")))</f>
        <v/>
      </c>
      <c r="N632" s="88" t="str">
        <f>IF(ISBLANK(M632),"",IFERROR(INDEX('Tournament List'!$D:$D,MATCH(M632,'Tournament List'!$A:$A,0)),""))</f>
        <v/>
      </c>
      <c r="O632" s="96" t="str">
        <f>IF(F632="Skeet",IFERROR(INDEX('Shooter-Squad Assignment'!$A:$A,MATCH(C632&amp;"-"&amp;E632&amp;"-"&amp;F632&amp;"-Pos5",'Shooter-Squad Assignment'!$K:$K,0)),""),IF(F632="Trap",IFERROR(INDEX('Shooter-Squad Assignment'!$A:$A,MATCH(C632&amp;"-"&amp;E632&amp;"-"&amp;F632&amp;"-Pos5",'Shooter-Squad Assignment'!$W:$W,0)),""),IF(F632="Sporting Clays",IFERROR(INDEX('Shooter-Squad Assignment'!$A:$A,MATCH(C632&amp;"-"&amp;E632&amp;"-"&amp;F632&amp;"-Pos5",'Shooter-Squad Assignment'!$Z:$Z,0)),""),"")))</f>
        <v/>
      </c>
      <c r="P632" s="89" t="str">
        <f>IF(ISBLANK(O632),"",IFERROR(INDEX('Tournament List'!$D:$D,MATCH(O632,'Tournament List'!$A:$A,0)),""))</f>
        <v/>
      </c>
    </row>
    <row r="633" spans="1:16" x14ac:dyDescent="0.3">
      <c r="A633" s="87">
        <v>632</v>
      </c>
      <c r="B633" s="88" t="str">
        <f>C633&amp;"-"&amp;E633&amp;"-"&amp;F633</f>
        <v>-Intermediate 2-Skeet</v>
      </c>
      <c r="C633" s="88"/>
      <c r="D633" s="88" t="str">
        <f>INDEX('Tournament Setup'!$B$59:$B$78,MATCH(E633,SquadConcurrents,0))</f>
        <v>Intermediate</v>
      </c>
      <c r="E633" s="88" t="s">
        <v>344</v>
      </c>
      <c r="F633" s="88" t="s">
        <v>143</v>
      </c>
      <c r="G633" s="96" t="str">
        <f>IF(F633="Skeet",IFERROR(INDEX('Shooter-Squad Assignment'!$A:$A,MATCH(C633&amp;"-"&amp;E633&amp;"-"&amp;F633&amp;"-Pos1",'Shooter-Squad Assignment'!$K:$K,0)),""),IF(F633="Trap",IFERROR(INDEX('Shooter-Squad Assignment'!$A:$A,MATCH(C633&amp;"-"&amp;E633&amp;"-"&amp;F633&amp;"-Pos1",'Shooter-Squad Assignment'!$W:$W,0)),""),IF(F633="Sporting Clays",IFERROR(INDEX('Shooter-Squad Assignment'!$A:$A,MATCH(C633&amp;"-"&amp;E633&amp;"-"&amp;F633&amp;"-Pos1",'Shooter-Squad Assignment'!$Z:$Z,0)),""),"")))</f>
        <v/>
      </c>
      <c r="H633" s="88" t="str">
        <f>IF(ISBLANK(G633),"",IFERROR(INDEX('Tournament List'!$D:$D,MATCH(G633,'Tournament List'!$A:$A,0)),""))</f>
        <v/>
      </c>
      <c r="I633" s="96" t="str">
        <f>IF(F633="Skeet",IFERROR(INDEX('Shooter-Squad Assignment'!$A:$A,MATCH(C633&amp;"-"&amp;E633&amp;"-"&amp;F633&amp;"-Pos2",'Shooter-Squad Assignment'!$K:$K,0)),""),IF(F633="Trap",IFERROR(INDEX('Shooter-Squad Assignment'!$A:$A,MATCH(C633&amp;"-"&amp;E633&amp;"-"&amp;F633&amp;"-Pos2",'Shooter-Squad Assignment'!$W:$W,0)),""),IF(F633="Sporting Clays",IFERROR(INDEX('Shooter-Squad Assignment'!$A:$A,MATCH(C633&amp;"-"&amp;E633&amp;"-"&amp;F633&amp;"-Pos2",'Shooter-Squad Assignment'!$Z:$Z,0)),""),"")))</f>
        <v/>
      </c>
      <c r="J633" s="88" t="str">
        <f>IF(ISBLANK(I633),"",IFERROR(INDEX('Tournament List'!$D:$D,MATCH(I633,'Tournament List'!$A:$A,0)),""))</f>
        <v/>
      </c>
      <c r="K633" s="96" t="str">
        <f>IF(F633="Skeet",IFERROR(INDEX('Shooter-Squad Assignment'!$A:$A,MATCH(C633&amp;"-"&amp;E633&amp;"-"&amp;F633&amp;"-Pos3",'Shooter-Squad Assignment'!$K:$K,0)),""),IF(F633="Trap",IFERROR(INDEX('Shooter-Squad Assignment'!$A:$A,MATCH(C633&amp;"-"&amp;E633&amp;"-"&amp;F633&amp;"-Pos3",'Shooter-Squad Assignment'!$W:$W,0)),""),IF(F633="Sporting Clays",IFERROR(INDEX('Shooter-Squad Assignment'!$A:$A,MATCH(C633&amp;"-"&amp;E633&amp;"-"&amp;F633&amp;"-Pos3",'Shooter-Squad Assignment'!$Z:$Z,0)),""),"")))</f>
        <v/>
      </c>
      <c r="L633" s="88" t="str">
        <f>IF(ISBLANK(K633),"",IFERROR(INDEX('Tournament List'!$D:$D,MATCH(K633,'Tournament List'!$A:$A,0)),""))</f>
        <v/>
      </c>
      <c r="M633" s="96" t="str">
        <f>IF(F633="Skeet",IFERROR(INDEX('Shooter-Squad Assignment'!$A:$A,MATCH(C633&amp;"-"&amp;E633&amp;"-"&amp;F633&amp;"-Pos4",'Shooter-Squad Assignment'!$K:$K,0)),""),IF(F633="Trap",IFERROR(INDEX('Shooter-Squad Assignment'!$A:$A,MATCH(C633&amp;"-"&amp;E633&amp;"-"&amp;F633&amp;"-Pos4",'Shooter-Squad Assignment'!$W:$W,0)),""),IF(F633="Sporting Clays",IFERROR(INDEX('Shooter-Squad Assignment'!$A:$A,MATCH(C633&amp;"-"&amp;E633&amp;"-"&amp;F633&amp;"-Pos4",'Shooter-Squad Assignment'!$Z:$Z,0)),""),"")))</f>
        <v/>
      </c>
      <c r="N633" s="88" t="str">
        <f>IF(ISBLANK(M633),"",IFERROR(INDEX('Tournament List'!$D:$D,MATCH(M633,'Tournament List'!$A:$A,0)),""))</f>
        <v/>
      </c>
      <c r="O633" s="96" t="str">
        <f>IF(F633="Skeet",IFERROR(INDEX('Shooter-Squad Assignment'!$A:$A,MATCH(C633&amp;"-"&amp;E633&amp;"-"&amp;F633&amp;"-Pos5",'Shooter-Squad Assignment'!$K:$K,0)),""),IF(F633="Trap",IFERROR(INDEX('Shooter-Squad Assignment'!$A:$A,MATCH(C633&amp;"-"&amp;E633&amp;"-"&amp;F633&amp;"-Pos5",'Shooter-Squad Assignment'!$W:$W,0)),""),IF(F633="Sporting Clays",IFERROR(INDEX('Shooter-Squad Assignment'!$A:$A,MATCH(C633&amp;"-"&amp;E633&amp;"-"&amp;F633&amp;"-Pos5",'Shooter-Squad Assignment'!$Z:$Z,0)),""),"")))</f>
        <v/>
      </c>
      <c r="P633" s="89" t="str">
        <f>IF(ISBLANK(O633),"",IFERROR(INDEX('Tournament List'!$D:$D,MATCH(O633,'Tournament List'!$A:$A,0)),""))</f>
        <v/>
      </c>
    </row>
    <row r="634" spans="1:16" x14ac:dyDescent="0.3">
      <c r="A634" s="87">
        <v>633</v>
      </c>
      <c r="B634" s="88" t="str">
        <f>C634&amp;"-"&amp;E634&amp;"-"&amp;F634</f>
        <v>-Intermediate 3-Skeet</v>
      </c>
      <c r="C634" s="88"/>
      <c r="D634" s="88" t="str">
        <f>INDEX('Tournament Setup'!$B$59:$B$78,MATCH(E634,SquadConcurrents,0))</f>
        <v>Intermediate</v>
      </c>
      <c r="E634" s="88" t="s">
        <v>350</v>
      </c>
      <c r="F634" s="88" t="s">
        <v>143</v>
      </c>
      <c r="G634" s="96" t="str">
        <f>IF(F634="Skeet",IFERROR(INDEX('Shooter-Squad Assignment'!$A:$A,MATCH(C634&amp;"-"&amp;E634&amp;"-"&amp;F634&amp;"-Pos1",'Shooter-Squad Assignment'!$K:$K,0)),""),IF(F634="Trap",IFERROR(INDEX('Shooter-Squad Assignment'!$A:$A,MATCH(C634&amp;"-"&amp;E634&amp;"-"&amp;F634&amp;"-Pos1",'Shooter-Squad Assignment'!$W:$W,0)),""),IF(F634="Sporting Clays",IFERROR(INDEX('Shooter-Squad Assignment'!$A:$A,MATCH(C634&amp;"-"&amp;E634&amp;"-"&amp;F634&amp;"-Pos1",'Shooter-Squad Assignment'!$Z:$Z,0)),""),"")))</f>
        <v/>
      </c>
      <c r="H634" s="88" t="str">
        <f>IF(ISBLANK(G634),"",IFERROR(INDEX('Tournament List'!$D:$D,MATCH(G634,'Tournament List'!$A:$A,0)),""))</f>
        <v/>
      </c>
      <c r="I634" s="96" t="str">
        <f>IF(F634="Skeet",IFERROR(INDEX('Shooter-Squad Assignment'!$A:$A,MATCH(C634&amp;"-"&amp;E634&amp;"-"&amp;F634&amp;"-Pos2",'Shooter-Squad Assignment'!$K:$K,0)),""),IF(F634="Trap",IFERROR(INDEX('Shooter-Squad Assignment'!$A:$A,MATCH(C634&amp;"-"&amp;E634&amp;"-"&amp;F634&amp;"-Pos2",'Shooter-Squad Assignment'!$W:$W,0)),""),IF(F634="Sporting Clays",IFERROR(INDEX('Shooter-Squad Assignment'!$A:$A,MATCH(C634&amp;"-"&amp;E634&amp;"-"&amp;F634&amp;"-Pos2",'Shooter-Squad Assignment'!$Z:$Z,0)),""),"")))</f>
        <v/>
      </c>
      <c r="J634" s="88" t="str">
        <f>IF(ISBLANK(I634),"",IFERROR(INDEX('Tournament List'!$D:$D,MATCH(I634,'Tournament List'!$A:$A,0)),""))</f>
        <v/>
      </c>
      <c r="K634" s="96" t="str">
        <f>IF(F634="Skeet",IFERROR(INDEX('Shooter-Squad Assignment'!$A:$A,MATCH(C634&amp;"-"&amp;E634&amp;"-"&amp;F634&amp;"-Pos3",'Shooter-Squad Assignment'!$K:$K,0)),""),IF(F634="Trap",IFERROR(INDEX('Shooter-Squad Assignment'!$A:$A,MATCH(C634&amp;"-"&amp;E634&amp;"-"&amp;F634&amp;"-Pos3",'Shooter-Squad Assignment'!$W:$W,0)),""),IF(F634="Sporting Clays",IFERROR(INDEX('Shooter-Squad Assignment'!$A:$A,MATCH(C634&amp;"-"&amp;E634&amp;"-"&amp;F634&amp;"-Pos3",'Shooter-Squad Assignment'!$Z:$Z,0)),""),"")))</f>
        <v/>
      </c>
      <c r="L634" s="88" t="str">
        <f>IF(ISBLANK(K634),"",IFERROR(INDEX('Tournament List'!$D:$D,MATCH(K634,'Tournament List'!$A:$A,0)),""))</f>
        <v/>
      </c>
      <c r="M634" s="96" t="str">
        <f>IF(F634="Skeet",IFERROR(INDEX('Shooter-Squad Assignment'!$A:$A,MATCH(C634&amp;"-"&amp;E634&amp;"-"&amp;F634&amp;"-Pos4",'Shooter-Squad Assignment'!$K:$K,0)),""),IF(F634="Trap",IFERROR(INDEX('Shooter-Squad Assignment'!$A:$A,MATCH(C634&amp;"-"&amp;E634&amp;"-"&amp;F634&amp;"-Pos4",'Shooter-Squad Assignment'!$W:$W,0)),""),IF(F634="Sporting Clays",IFERROR(INDEX('Shooter-Squad Assignment'!$A:$A,MATCH(C634&amp;"-"&amp;E634&amp;"-"&amp;F634&amp;"-Pos4",'Shooter-Squad Assignment'!$Z:$Z,0)),""),"")))</f>
        <v/>
      </c>
      <c r="N634" s="88" t="str">
        <f>IF(ISBLANK(M634),"",IFERROR(INDEX('Tournament List'!$D:$D,MATCH(M634,'Tournament List'!$A:$A,0)),""))</f>
        <v/>
      </c>
      <c r="O634" s="96" t="str">
        <f>IF(F634="Skeet",IFERROR(INDEX('Shooter-Squad Assignment'!$A:$A,MATCH(C634&amp;"-"&amp;E634&amp;"-"&amp;F634&amp;"-Pos5",'Shooter-Squad Assignment'!$K:$K,0)),""),IF(F634="Trap",IFERROR(INDEX('Shooter-Squad Assignment'!$A:$A,MATCH(C634&amp;"-"&amp;E634&amp;"-"&amp;F634&amp;"-Pos5",'Shooter-Squad Assignment'!$W:$W,0)),""),IF(F634="Sporting Clays",IFERROR(INDEX('Shooter-Squad Assignment'!$A:$A,MATCH(C634&amp;"-"&amp;E634&amp;"-"&amp;F634&amp;"-Pos5",'Shooter-Squad Assignment'!$Z:$Z,0)),""),"")))</f>
        <v/>
      </c>
      <c r="P634" s="89" t="str">
        <f>IF(ISBLANK(O634),"",IFERROR(INDEX('Tournament List'!$D:$D,MATCH(O634,'Tournament List'!$A:$A,0)),""))</f>
        <v/>
      </c>
    </row>
    <row r="635" spans="1:16" x14ac:dyDescent="0.3">
      <c r="A635" s="87">
        <v>634</v>
      </c>
      <c r="B635" s="88" t="str">
        <f>C635&amp;"-"&amp;E635&amp;"-"&amp;F635</f>
        <v>-Junior Varsity 1-Skeet</v>
      </c>
      <c r="C635" s="88"/>
      <c r="D635" s="88" t="str">
        <f>INDEX('Tournament Setup'!$B$59:$B$78,MATCH(E635,SquadConcurrents,0))</f>
        <v>Junior Varsity</v>
      </c>
      <c r="E635" s="88" t="s">
        <v>339</v>
      </c>
      <c r="F635" s="88" t="s">
        <v>143</v>
      </c>
      <c r="G635" s="96" t="str">
        <f>IF(F635="Skeet",IFERROR(INDEX('Shooter-Squad Assignment'!$A:$A,MATCH(C635&amp;"-"&amp;E635&amp;"-"&amp;F635&amp;"-Pos1",'Shooter-Squad Assignment'!$K:$K,0)),""),IF(F635="Trap",IFERROR(INDEX('Shooter-Squad Assignment'!$A:$A,MATCH(C635&amp;"-"&amp;E635&amp;"-"&amp;F635&amp;"-Pos1",'Shooter-Squad Assignment'!$W:$W,0)),""),IF(F635="Sporting Clays",IFERROR(INDEX('Shooter-Squad Assignment'!$A:$A,MATCH(C635&amp;"-"&amp;E635&amp;"-"&amp;F635&amp;"-Pos1",'Shooter-Squad Assignment'!$Z:$Z,0)),""),"")))</f>
        <v/>
      </c>
      <c r="H635" s="88" t="str">
        <f>IF(ISBLANK(G635),"",IFERROR(INDEX('Tournament List'!$D:$D,MATCH(G635,'Tournament List'!$A:$A,0)),""))</f>
        <v/>
      </c>
      <c r="I635" s="96" t="str">
        <f>IF(F635="Skeet",IFERROR(INDEX('Shooter-Squad Assignment'!$A:$A,MATCH(C635&amp;"-"&amp;E635&amp;"-"&amp;F635&amp;"-Pos2",'Shooter-Squad Assignment'!$K:$K,0)),""),IF(F635="Trap",IFERROR(INDEX('Shooter-Squad Assignment'!$A:$A,MATCH(C635&amp;"-"&amp;E635&amp;"-"&amp;F635&amp;"-Pos2",'Shooter-Squad Assignment'!$W:$W,0)),""),IF(F635="Sporting Clays",IFERROR(INDEX('Shooter-Squad Assignment'!$A:$A,MATCH(C635&amp;"-"&amp;E635&amp;"-"&amp;F635&amp;"-Pos2",'Shooter-Squad Assignment'!$Z:$Z,0)),""),"")))</f>
        <v/>
      </c>
      <c r="J635" s="88" t="str">
        <f>IF(ISBLANK(I635),"",IFERROR(INDEX('Tournament List'!$D:$D,MATCH(I635,'Tournament List'!$A:$A,0)),""))</f>
        <v/>
      </c>
      <c r="K635" s="96" t="str">
        <f>IF(F635="Skeet",IFERROR(INDEX('Shooter-Squad Assignment'!$A:$A,MATCH(C635&amp;"-"&amp;E635&amp;"-"&amp;F635&amp;"-Pos3",'Shooter-Squad Assignment'!$K:$K,0)),""),IF(F635="Trap",IFERROR(INDEX('Shooter-Squad Assignment'!$A:$A,MATCH(C635&amp;"-"&amp;E635&amp;"-"&amp;F635&amp;"-Pos3",'Shooter-Squad Assignment'!$W:$W,0)),""),IF(F635="Sporting Clays",IFERROR(INDEX('Shooter-Squad Assignment'!$A:$A,MATCH(C635&amp;"-"&amp;E635&amp;"-"&amp;F635&amp;"-Pos3",'Shooter-Squad Assignment'!$Z:$Z,0)),""),"")))</f>
        <v/>
      </c>
      <c r="L635" s="88" t="str">
        <f>IF(ISBLANK(K635),"",IFERROR(INDEX('Tournament List'!$D:$D,MATCH(K635,'Tournament List'!$A:$A,0)),""))</f>
        <v/>
      </c>
      <c r="M635" s="96" t="str">
        <f>IF(F635="Skeet",IFERROR(INDEX('Shooter-Squad Assignment'!$A:$A,MATCH(C635&amp;"-"&amp;E635&amp;"-"&amp;F635&amp;"-Pos4",'Shooter-Squad Assignment'!$K:$K,0)),""),IF(F635="Trap",IFERROR(INDEX('Shooter-Squad Assignment'!$A:$A,MATCH(C635&amp;"-"&amp;E635&amp;"-"&amp;F635&amp;"-Pos4",'Shooter-Squad Assignment'!$W:$W,0)),""),IF(F635="Sporting Clays",IFERROR(INDEX('Shooter-Squad Assignment'!$A:$A,MATCH(C635&amp;"-"&amp;E635&amp;"-"&amp;F635&amp;"-Pos4",'Shooter-Squad Assignment'!$Z:$Z,0)),""),"")))</f>
        <v/>
      </c>
      <c r="N635" s="88" t="str">
        <f>IF(ISBLANK(M635),"",IFERROR(INDEX('Tournament List'!$D:$D,MATCH(M635,'Tournament List'!$A:$A,0)),""))</f>
        <v/>
      </c>
      <c r="O635" s="96" t="str">
        <f>IF(F635="Skeet",IFERROR(INDEX('Shooter-Squad Assignment'!$A:$A,MATCH(C635&amp;"-"&amp;E635&amp;"-"&amp;F635&amp;"-Pos5",'Shooter-Squad Assignment'!$K:$K,0)),""),IF(F635="Trap",IFERROR(INDEX('Shooter-Squad Assignment'!$A:$A,MATCH(C635&amp;"-"&amp;E635&amp;"-"&amp;F635&amp;"-Pos5",'Shooter-Squad Assignment'!$W:$W,0)),""),IF(F635="Sporting Clays",IFERROR(INDEX('Shooter-Squad Assignment'!$A:$A,MATCH(C635&amp;"-"&amp;E635&amp;"-"&amp;F635&amp;"-Pos5",'Shooter-Squad Assignment'!$Z:$Z,0)),""),"")))</f>
        <v/>
      </c>
      <c r="P635" s="89" t="str">
        <f>IF(ISBLANK(O635),"",IFERROR(INDEX('Tournament List'!$D:$D,MATCH(O635,'Tournament List'!$A:$A,0)),""))</f>
        <v/>
      </c>
    </row>
    <row r="636" spans="1:16" x14ac:dyDescent="0.3">
      <c r="A636" s="87">
        <v>635</v>
      </c>
      <c r="B636" s="88" t="str">
        <f>C636&amp;"-"&amp;E636&amp;"-"&amp;F636</f>
        <v>-Junior Varsity 2-Skeet</v>
      </c>
      <c r="C636" s="88"/>
      <c r="D636" s="88" t="str">
        <f>INDEX('Tournament Setup'!$B$59:$B$78,MATCH(E636,SquadConcurrents,0))</f>
        <v>Junior Varsity</v>
      </c>
      <c r="E636" s="88" t="s">
        <v>345</v>
      </c>
      <c r="F636" s="88" t="s">
        <v>143</v>
      </c>
      <c r="G636" s="96" t="str">
        <f>IF(F636="Skeet",IFERROR(INDEX('Shooter-Squad Assignment'!$A:$A,MATCH(C636&amp;"-"&amp;E636&amp;"-"&amp;F636&amp;"-Pos1",'Shooter-Squad Assignment'!$K:$K,0)),""),IF(F636="Trap",IFERROR(INDEX('Shooter-Squad Assignment'!$A:$A,MATCH(C636&amp;"-"&amp;E636&amp;"-"&amp;F636&amp;"-Pos1",'Shooter-Squad Assignment'!$W:$W,0)),""),IF(F636="Sporting Clays",IFERROR(INDEX('Shooter-Squad Assignment'!$A:$A,MATCH(C636&amp;"-"&amp;E636&amp;"-"&amp;F636&amp;"-Pos1",'Shooter-Squad Assignment'!$Z:$Z,0)),""),"")))</f>
        <v/>
      </c>
      <c r="H636" s="88" t="str">
        <f>IF(ISBLANK(G636),"",IFERROR(INDEX('Tournament List'!$D:$D,MATCH(G636,'Tournament List'!$A:$A,0)),""))</f>
        <v/>
      </c>
      <c r="I636" s="96" t="str">
        <f>IF(F636="Skeet",IFERROR(INDEX('Shooter-Squad Assignment'!$A:$A,MATCH(C636&amp;"-"&amp;E636&amp;"-"&amp;F636&amp;"-Pos2",'Shooter-Squad Assignment'!$K:$K,0)),""),IF(F636="Trap",IFERROR(INDEX('Shooter-Squad Assignment'!$A:$A,MATCH(C636&amp;"-"&amp;E636&amp;"-"&amp;F636&amp;"-Pos2",'Shooter-Squad Assignment'!$W:$W,0)),""),IF(F636="Sporting Clays",IFERROR(INDEX('Shooter-Squad Assignment'!$A:$A,MATCH(C636&amp;"-"&amp;E636&amp;"-"&amp;F636&amp;"-Pos2",'Shooter-Squad Assignment'!$Z:$Z,0)),""),"")))</f>
        <v/>
      </c>
      <c r="J636" s="88" t="str">
        <f>IF(ISBLANK(I636),"",IFERROR(INDEX('Tournament List'!$D:$D,MATCH(I636,'Tournament List'!$A:$A,0)),""))</f>
        <v/>
      </c>
      <c r="K636" s="96" t="str">
        <f>IF(F636="Skeet",IFERROR(INDEX('Shooter-Squad Assignment'!$A:$A,MATCH(C636&amp;"-"&amp;E636&amp;"-"&amp;F636&amp;"-Pos3",'Shooter-Squad Assignment'!$K:$K,0)),""),IF(F636="Trap",IFERROR(INDEX('Shooter-Squad Assignment'!$A:$A,MATCH(C636&amp;"-"&amp;E636&amp;"-"&amp;F636&amp;"-Pos3",'Shooter-Squad Assignment'!$W:$W,0)),""),IF(F636="Sporting Clays",IFERROR(INDEX('Shooter-Squad Assignment'!$A:$A,MATCH(C636&amp;"-"&amp;E636&amp;"-"&amp;F636&amp;"-Pos3",'Shooter-Squad Assignment'!$Z:$Z,0)),""),"")))</f>
        <v/>
      </c>
      <c r="L636" s="88" t="str">
        <f>IF(ISBLANK(K636),"",IFERROR(INDEX('Tournament List'!$D:$D,MATCH(K636,'Tournament List'!$A:$A,0)),""))</f>
        <v/>
      </c>
      <c r="M636" s="96" t="str">
        <f>IF(F636="Skeet",IFERROR(INDEX('Shooter-Squad Assignment'!$A:$A,MATCH(C636&amp;"-"&amp;E636&amp;"-"&amp;F636&amp;"-Pos4",'Shooter-Squad Assignment'!$K:$K,0)),""),IF(F636="Trap",IFERROR(INDEX('Shooter-Squad Assignment'!$A:$A,MATCH(C636&amp;"-"&amp;E636&amp;"-"&amp;F636&amp;"-Pos4",'Shooter-Squad Assignment'!$W:$W,0)),""),IF(F636="Sporting Clays",IFERROR(INDEX('Shooter-Squad Assignment'!$A:$A,MATCH(C636&amp;"-"&amp;E636&amp;"-"&amp;F636&amp;"-Pos4",'Shooter-Squad Assignment'!$Z:$Z,0)),""),"")))</f>
        <v/>
      </c>
      <c r="N636" s="88" t="str">
        <f>IF(ISBLANK(M636),"",IFERROR(INDEX('Tournament List'!$D:$D,MATCH(M636,'Tournament List'!$A:$A,0)),""))</f>
        <v/>
      </c>
      <c r="O636" s="96" t="str">
        <f>IF(F636="Skeet",IFERROR(INDEX('Shooter-Squad Assignment'!$A:$A,MATCH(C636&amp;"-"&amp;E636&amp;"-"&amp;F636&amp;"-Pos5",'Shooter-Squad Assignment'!$K:$K,0)),""),IF(F636="Trap",IFERROR(INDEX('Shooter-Squad Assignment'!$A:$A,MATCH(C636&amp;"-"&amp;E636&amp;"-"&amp;F636&amp;"-Pos5",'Shooter-Squad Assignment'!$W:$W,0)),""),IF(F636="Sporting Clays",IFERROR(INDEX('Shooter-Squad Assignment'!$A:$A,MATCH(C636&amp;"-"&amp;E636&amp;"-"&amp;F636&amp;"-Pos5",'Shooter-Squad Assignment'!$Z:$Z,0)),""),"")))</f>
        <v/>
      </c>
      <c r="P636" s="89" t="str">
        <f>IF(ISBLANK(O636),"",IFERROR(INDEX('Tournament List'!$D:$D,MATCH(O636,'Tournament List'!$A:$A,0)),""))</f>
        <v/>
      </c>
    </row>
    <row r="637" spans="1:16" x14ac:dyDescent="0.3">
      <c r="A637" s="87">
        <v>636</v>
      </c>
      <c r="B637" s="88" t="str">
        <f>C637&amp;"-"&amp;E637&amp;"-"&amp;F637</f>
        <v>-Junior Varsity 3-Skeet</v>
      </c>
      <c r="C637" s="88"/>
      <c r="D637" s="88" t="str">
        <f>INDEX('Tournament Setup'!$B$59:$B$78,MATCH(E637,SquadConcurrents,0))</f>
        <v>Junior Varsity</v>
      </c>
      <c r="E637" s="88" t="s">
        <v>351</v>
      </c>
      <c r="F637" s="88" t="s">
        <v>143</v>
      </c>
      <c r="G637" s="96" t="str">
        <f>IF(F637="Skeet",IFERROR(INDEX('Shooter-Squad Assignment'!$A:$A,MATCH(C637&amp;"-"&amp;E637&amp;"-"&amp;F637&amp;"-Pos1",'Shooter-Squad Assignment'!$K:$K,0)),""),IF(F637="Trap",IFERROR(INDEX('Shooter-Squad Assignment'!$A:$A,MATCH(C637&amp;"-"&amp;E637&amp;"-"&amp;F637&amp;"-Pos1",'Shooter-Squad Assignment'!$W:$W,0)),""),IF(F637="Sporting Clays",IFERROR(INDEX('Shooter-Squad Assignment'!$A:$A,MATCH(C637&amp;"-"&amp;E637&amp;"-"&amp;F637&amp;"-Pos1",'Shooter-Squad Assignment'!$Z:$Z,0)),""),"")))</f>
        <v/>
      </c>
      <c r="H637" s="88" t="str">
        <f>IF(ISBLANK(G637),"",IFERROR(INDEX('Tournament List'!$D:$D,MATCH(G637,'Tournament List'!$A:$A,0)),""))</f>
        <v/>
      </c>
      <c r="I637" s="96" t="str">
        <f>IF(F637="Skeet",IFERROR(INDEX('Shooter-Squad Assignment'!$A:$A,MATCH(C637&amp;"-"&amp;E637&amp;"-"&amp;F637&amp;"-Pos2",'Shooter-Squad Assignment'!$K:$K,0)),""),IF(F637="Trap",IFERROR(INDEX('Shooter-Squad Assignment'!$A:$A,MATCH(C637&amp;"-"&amp;E637&amp;"-"&amp;F637&amp;"-Pos2",'Shooter-Squad Assignment'!$W:$W,0)),""),IF(F637="Sporting Clays",IFERROR(INDEX('Shooter-Squad Assignment'!$A:$A,MATCH(C637&amp;"-"&amp;E637&amp;"-"&amp;F637&amp;"-Pos2",'Shooter-Squad Assignment'!$Z:$Z,0)),""),"")))</f>
        <v/>
      </c>
      <c r="J637" s="88" t="str">
        <f>IF(ISBLANK(I637),"",IFERROR(INDEX('Tournament List'!$D:$D,MATCH(I637,'Tournament List'!$A:$A,0)),""))</f>
        <v/>
      </c>
      <c r="K637" s="96" t="str">
        <f>IF(F637="Skeet",IFERROR(INDEX('Shooter-Squad Assignment'!$A:$A,MATCH(C637&amp;"-"&amp;E637&amp;"-"&amp;F637&amp;"-Pos3",'Shooter-Squad Assignment'!$K:$K,0)),""),IF(F637="Trap",IFERROR(INDEX('Shooter-Squad Assignment'!$A:$A,MATCH(C637&amp;"-"&amp;E637&amp;"-"&amp;F637&amp;"-Pos3",'Shooter-Squad Assignment'!$W:$W,0)),""),IF(F637="Sporting Clays",IFERROR(INDEX('Shooter-Squad Assignment'!$A:$A,MATCH(C637&amp;"-"&amp;E637&amp;"-"&amp;F637&amp;"-Pos3",'Shooter-Squad Assignment'!$Z:$Z,0)),""),"")))</f>
        <v/>
      </c>
      <c r="L637" s="88" t="str">
        <f>IF(ISBLANK(K637),"",IFERROR(INDEX('Tournament List'!$D:$D,MATCH(K637,'Tournament List'!$A:$A,0)),""))</f>
        <v/>
      </c>
      <c r="M637" s="96" t="str">
        <f>IF(F637="Skeet",IFERROR(INDEX('Shooter-Squad Assignment'!$A:$A,MATCH(C637&amp;"-"&amp;E637&amp;"-"&amp;F637&amp;"-Pos4",'Shooter-Squad Assignment'!$K:$K,0)),""),IF(F637="Trap",IFERROR(INDEX('Shooter-Squad Assignment'!$A:$A,MATCH(C637&amp;"-"&amp;E637&amp;"-"&amp;F637&amp;"-Pos4",'Shooter-Squad Assignment'!$W:$W,0)),""),IF(F637="Sporting Clays",IFERROR(INDEX('Shooter-Squad Assignment'!$A:$A,MATCH(C637&amp;"-"&amp;E637&amp;"-"&amp;F637&amp;"-Pos4",'Shooter-Squad Assignment'!$Z:$Z,0)),""),"")))</f>
        <v/>
      </c>
      <c r="N637" s="88" t="str">
        <f>IF(ISBLANK(M637),"",IFERROR(INDEX('Tournament List'!$D:$D,MATCH(M637,'Tournament List'!$A:$A,0)),""))</f>
        <v/>
      </c>
      <c r="O637" s="96" t="str">
        <f>IF(F637="Skeet",IFERROR(INDEX('Shooter-Squad Assignment'!$A:$A,MATCH(C637&amp;"-"&amp;E637&amp;"-"&amp;F637&amp;"-Pos5",'Shooter-Squad Assignment'!$K:$K,0)),""),IF(F637="Trap",IFERROR(INDEX('Shooter-Squad Assignment'!$A:$A,MATCH(C637&amp;"-"&amp;E637&amp;"-"&amp;F637&amp;"-Pos5",'Shooter-Squad Assignment'!$W:$W,0)),""),IF(F637="Sporting Clays",IFERROR(INDEX('Shooter-Squad Assignment'!$A:$A,MATCH(C637&amp;"-"&amp;E637&amp;"-"&amp;F637&amp;"-Pos5",'Shooter-Squad Assignment'!$Z:$Z,0)),""),"")))</f>
        <v/>
      </c>
      <c r="P637" s="89" t="str">
        <f>IF(ISBLANK(O637),"",IFERROR(INDEX('Tournament List'!$D:$D,MATCH(O637,'Tournament List'!$A:$A,0)),""))</f>
        <v/>
      </c>
    </row>
    <row r="638" spans="1:16" x14ac:dyDescent="0.3">
      <c r="A638" s="87">
        <v>637</v>
      </c>
      <c r="B638" s="88" t="str">
        <f>C638&amp;"-"&amp;E638&amp;"-"&amp;F638</f>
        <v>-Novice 1-Skeet</v>
      </c>
      <c r="C638" s="88"/>
      <c r="D638" s="88" t="str">
        <f>INDEX('Tournament Setup'!$B$59:$B$78,MATCH(E638,SquadConcurrents,0))</f>
        <v>Novice</v>
      </c>
      <c r="E638" s="88" t="s">
        <v>337</v>
      </c>
      <c r="F638" s="88" t="s">
        <v>143</v>
      </c>
      <c r="G638" s="96" t="str">
        <f>IF(F638="Skeet",IFERROR(INDEX('Shooter-Squad Assignment'!$A:$A,MATCH(C638&amp;"-"&amp;E638&amp;"-"&amp;F638&amp;"-Pos1",'Shooter-Squad Assignment'!$K:$K,0)),""),IF(F638="Trap",IFERROR(INDEX('Shooter-Squad Assignment'!$A:$A,MATCH(C638&amp;"-"&amp;E638&amp;"-"&amp;F638&amp;"-Pos1",'Shooter-Squad Assignment'!$W:$W,0)),""),IF(F638="Sporting Clays",IFERROR(INDEX('Shooter-Squad Assignment'!$A:$A,MATCH(C638&amp;"-"&amp;E638&amp;"-"&amp;F638&amp;"-Pos1",'Shooter-Squad Assignment'!$Z:$Z,0)),""),"")))</f>
        <v/>
      </c>
      <c r="H638" s="88" t="str">
        <f>IF(ISBLANK(G638),"",IFERROR(INDEX('Tournament List'!$D:$D,MATCH(G638,'Tournament List'!$A:$A,0)),""))</f>
        <v/>
      </c>
      <c r="I638" s="96" t="str">
        <f>IF(F638="Skeet",IFERROR(INDEX('Shooter-Squad Assignment'!$A:$A,MATCH(C638&amp;"-"&amp;E638&amp;"-"&amp;F638&amp;"-Pos2",'Shooter-Squad Assignment'!$K:$K,0)),""),IF(F638="Trap",IFERROR(INDEX('Shooter-Squad Assignment'!$A:$A,MATCH(C638&amp;"-"&amp;E638&amp;"-"&amp;F638&amp;"-Pos2",'Shooter-Squad Assignment'!$W:$W,0)),""),IF(F638="Sporting Clays",IFERROR(INDEX('Shooter-Squad Assignment'!$A:$A,MATCH(C638&amp;"-"&amp;E638&amp;"-"&amp;F638&amp;"-Pos2",'Shooter-Squad Assignment'!$Z:$Z,0)),""),"")))</f>
        <v/>
      </c>
      <c r="J638" s="88" t="str">
        <f>IF(ISBLANK(I638),"",IFERROR(INDEX('Tournament List'!$D:$D,MATCH(I638,'Tournament List'!$A:$A,0)),""))</f>
        <v/>
      </c>
      <c r="K638" s="96" t="str">
        <f>IF(F638="Skeet",IFERROR(INDEX('Shooter-Squad Assignment'!$A:$A,MATCH(C638&amp;"-"&amp;E638&amp;"-"&amp;F638&amp;"-Pos3",'Shooter-Squad Assignment'!$K:$K,0)),""),IF(F638="Trap",IFERROR(INDEX('Shooter-Squad Assignment'!$A:$A,MATCH(C638&amp;"-"&amp;E638&amp;"-"&amp;F638&amp;"-Pos3",'Shooter-Squad Assignment'!$W:$W,0)),""),IF(F638="Sporting Clays",IFERROR(INDEX('Shooter-Squad Assignment'!$A:$A,MATCH(C638&amp;"-"&amp;E638&amp;"-"&amp;F638&amp;"-Pos3",'Shooter-Squad Assignment'!$Z:$Z,0)),""),"")))</f>
        <v/>
      </c>
      <c r="L638" s="88" t="str">
        <f>IF(ISBLANK(K638),"",IFERROR(INDEX('Tournament List'!$D:$D,MATCH(K638,'Tournament List'!$A:$A,0)),""))</f>
        <v/>
      </c>
      <c r="M638" s="96" t="str">
        <f>IF(F638="Skeet",IFERROR(INDEX('Shooter-Squad Assignment'!$A:$A,MATCH(C638&amp;"-"&amp;E638&amp;"-"&amp;F638&amp;"-Pos4",'Shooter-Squad Assignment'!$K:$K,0)),""),IF(F638="Trap",IFERROR(INDEX('Shooter-Squad Assignment'!$A:$A,MATCH(C638&amp;"-"&amp;E638&amp;"-"&amp;F638&amp;"-Pos4",'Shooter-Squad Assignment'!$W:$W,0)),""),IF(F638="Sporting Clays",IFERROR(INDEX('Shooter-Squad Assignment'!$A:$A,MATCH(C638&amp;"-"&amp;E638&amp;"-"&amp;F638&amp;"-Pos4",'Shooter-Squad Assignment'!$Z:$Z,0)),""),"")))</f>
        <v/>
      </c>
      <c r="N638" s="88" t="str">
        <f>IF(ISBLANK(M638),"",IFERROR(INDEX('Tournament List'!$D:$D,MATCH(M638,'Tournament List'!$A:$A,0)),""))</f>
        <v/>
      </c>
      <c r="O638" s="96" t="str">
        <f>IF(F638="Skeet",IFERROR(INDEX('Shooter-Squad Assignment'!$A:$A,MATCH(C638&amp;"-"&amp;E638&amp;"-"&amp;F638&amp;"-Pos5",'Shooter-Squad Assignment'!$K:$K,0)),""),IF(F638="Trap",IFERROR(INDEX('Shooter-Squad Assignment'!$A:$A,MATCH(C638&amp;"-"&amp;E638&amp;"-"&amp;F638&amp;"-Pos5",'Shooter-Squad Assignment'!$W:$W,0)),""),IF(F638="Sporting Clays",IFERROR(INDEX('Shooter-Squad Assignment'!$A:$A,MATCH(C638&amp;"-"&amp;E638&amp;"-"&amp;F638&amp;"-Pos5",'Shooter-Squad Assignment'!$Z:$Z,0)),""),"")))</f>
        <v/>
      </c>
      <c r="P638" s="89" t="str">
        <f>IF(ISBLANK(O638),"",IFERROR(INDEX('Tournament List'!$D:$D,MATCH(O638,'Tournament List'!$A:$A,0)),""))</f>
        <v/>
      </c>
    </row>
    <row r="639" spans="1:16" x14ac:dyDescent="0.3">
      <c r="A639" s="87">
        <v>638</v>
      </c>
      <c r="B639" s="88" t="str">
        <f>C639&amp;"-"&amp;E639&amp;"-"&amp;F639</f>
        <v>-Novice 2-Skeet</v>
      </c>
      <c r="C639" s="88"/>
      <c r="D639" s="88" t="str">
        <f>INDEX('Tournament Setup'!$B$59:$B$78,MATCH(E639,SquadConcurrents,0))</f>
        <v>Novice</v>
      </c>
      <c r="E639" s="88" t="s">
        <v>343</v>
      </c>
      <c r="F639" s="88" t="s">
        <v>143</v>
      </c>
      <c r="G639" s="96" t="str">
        <f>IF(F639="Skeet",IFERROR(INDEX('Shooter-Squad Assignment'!$A:$A,MATCH(C639&amp;"-"&amp;E639&amp;"-"&amp;F639&amp;"-Pos1",'Shooter-Squad Assignment'!$K:$K,0)),""),IF(F639="Trap",IFERROR(INDEX('Shooter-Squad Assignment'!$A:$A,MATCH(C639&amp;"-"&amp;E639&amp;"-"&amp;F639&amp;"-Pos1",'Shooter-Squad Assignment'!$W:$W,0)),""),IF(F639="Sporting Clays",IFERROR(INDEX('Shooter-Squad Assignment'!$A:$A,MATCH(C639&amp;"-"&amp;E639&amp;"-"&amp;F639&amp;"-Pos1",'Shooter-Squad Assignment'!$Z:$Z,0)),""),"")))</f>
        <v/>
      </c>
      <c r="H639" s="88" t="str">
        <f>IF(ISBLANK(G639),"",IFERROR(INDEX('Tournament List'!$D:$D,MATCH(G639,'Tournament List'!$A:$A,0)),""))</f>
        <v/>
      </c>
      <c r="I639" s="96" t="str">
        <f>IF(F639="Skeet",IFERROR(INDEX('Shooter-Squad Assignment'!$A:$A,MATCH(C639&amp;"-"&amp;E639&amp;"-"&amp;F639&amp;"-Pos2",'Shooter-Squad Assignment'!$K:$K,0)),""),IF(F639="Trap",IFERROR(INDEX('Shooter-Squad Assignment'!$A:$A,MATCH(C639&amp;"-"&amp;E639&amp;"-"&amp;F639&amp;"-Pos2",'Shooter-Squad Assignment'!$W:$W,0)),""),IF(F639="Sporting Clays",IFERROR(INDEX('Shooter-Squad Assignment'!$A:$A,MATCH(C639&amp;"-"&amp;E639&amp;"-"&amp;F639&amp;"-Pos2",'Shooter-Squad Assignment'!$Z:$Z,0)),""),"")))</f>
        <v/>
      </c>
      <c r="J639" s="88" t="str">
        <f>IF(ISBLANK(I639),"",IFERROR(INDEX('Tournament List'!$D:$D,MATCH(I639,'Tournament List'!$A:$A,0)),""))</f>
        <v/>
      </c>
      <c r="K639" s="96" t="str">
        <f>IF(F639="Skeet",IFERROR(INDEX('Shooter-Squad Assignment'!$A:$A,MATCH(C639&amp;"-"&amp;E639&amp;"-"&amp;F639&amp;"-Pos3",'Shooter-Squad Assignment'!$K:$K,0)),""),IF(F639="Trap",IFERROR(INDEX('Shooter-Squad Assignment'!$A:$A,MATCH(C639&amp;"-"&amp;E639&amp;"-"&amp;F639&amp;"-Pos3",'Shooter-Squad Assignment'!$W:$W,0)),""),IF(F639="Sporting Clays",IFERROR(INDEX('Shooter-Squad Assignment'!$A:$A,MATCH(C639&amp;"-"&amp;E639&amp;"-"&amp;F639&amp;"-Pos3",'Shooter-Squad Assignment'!$Z:$Z,0)),""),"")))</f>
        <v/>
      </c>
      <c r="L639" s="88" t="str">
        <f>IF(ISBLANK(K639),"",IFERROR(INDEX('Tournament List'!$D:$D,MATCH(K639,'Tournament List'!$A:$A,0)),""))</f>
        <v/>
      </c>
      <c r="M639" s="96" t="str">
        <f>IF(F639="Skeet",IFERROR(INDEX('Shooter-Squad Assignment'!$A:$A,MATCH(C639&amp;"-"&amp;E639&amp;"-"&amp;F639&amp;"-Pos4",'Shooter-Squad Assignment'!$K:$K,0)),""),IF(F639="Trap",IFERROR(INDEX('Shooter-Squad Assignment'!$A:$A,MATCH(C639&amp;"-"&amp;E639&amp;"-"&amp;F639&amp;"-Pos4",'Shooter-Squad Assignment'!$W:$W,0)),""),IF(F639="Sporting Clays",IFERROR(INDEX('Shooter-Squad Assignment'!$A:$A,MATCH(C639&amp;"-"&amp;E639&amp;"-"&amp;F639&amp;"-Pos4",'Shooter-Squad Assignment'!$Z:$Z,0)),""),"")))</f>
        <v/>
      </c>
      <c r="N639" s="88" t="str">
        <f>IF(ISBLANK(M639),"",IFERROR(INDEX('Tournament List'!$D:$D,MATCH(M639,'Tournament List'!$A:$A,0)),""))</f>
        <v/>
      </c>
      <c r="O639" s="96" t="str">
        <f>IF(F639="Skeet",IFERROR(INDEX('Shooter-Squad Assignment'!$A:$A,MATCH(C639&amp;"-"&amp;E639&amp;"-"&amp;F639&amp;"-Pos5",'Shooter-Squad Assignment'!$K:$K,0)),""),IF(F639="Trap",IFERROR(INDEX('Shooter-Squad Assignment'!$A:$A,MATCH(C639&amp;"-"&amp;E639&amp;"-"&amp;F639&amp;"-Pos5",'Shooter-Squad Assignment'!$W:$W,0)),""),IF(F639="Sporting Clays",IFERROR(INDEX('Shooter-Squad Assignment'!$A:$A,MATCH(C639&amp;"-"&amp;E639&amp;"-"&amp;F639&amp;"-Pos5",'Shooter-Squad Assignment'!$Z:$Z,0)),""),"")))</f>
        <v/>
      </c>
      <c r="P639" s="89" t="str">
        <f>IF(ISBLANK(O639),"",IFERROR(INDEX('Tournament List'!$D:$D,MATCH(O639,'Tournament List'!$A:$A,0)),""))</f>
        <v/>
      </c>
    </row>
    <row r="640" spans="1:16" x14ac:dyDescent="0.3">
      <c r="A640" s="87">
        <v>639</v>
      </c>
      <c r="B640" s="88" t="str">
        <f>C640&amp;"-"&amp;E640&amp;"-"&amp;F640</f>
        <v>-Novice 3-Skeet</v>
      </c>
      <c r="C640" s="88"/>
      <c r="D640" s="88" t="str">
        <f>INDEX('Tournament Setup'!$B$59:$B$78,MATCH(E640,SquadConcurrents,0))</f>
        <v>Novice</v>
      </c>
      <c r="E640" s="88" t="s">
        <v>349</v>
      </c>
      <c r="F640" s="88" t="s">
        <v>143</v>
      </c>
      <c r="G640" s="96" t="str">
        <f>IF(F640="Skeet",IFERROR(INDEX('Shooter-Squad Assignment'!$A:$A,MATCH(C640&amp;"-"&amp;E640&amp;"-"&amp;F640&amp;"-Pos1",'Shooter-Squad Assignment'!$K:$K,0)),""),IF(F640="Trap",IFERROR(INDEX('Shooter-Squad Assignment'!$A:$A,MATCH(C640&amp;"-"&amp;E640&amp;"-"&amp;F640&amp;"-Pos1",'Shooter-Squad Assignment'!$W:$W,0)),""),IF(F640="Sporting Clays",IFERROR(INDEX('Shooter-Squad Assignment'!$A:$A,MATCH(C640&amp;"-"&amp;E640&amp;"-"&amp;F640&amp;"-Pos1",'Shooter-Squad Assignment'!$Z:$Z,0)),""),"")))</f>
        <v/>
      </c>
      <c r="H640" s="88" t="str">
        <f>IF(ISBLANK(G640),"",IFERROR(INDEX('Tournament List'!$D:$D,MATCH(G640,'Tournament List'!$A:$A,0)),""))</f>
        <v/>
      </c>
      <c r="I640" s="96" t="str">
        <f>IF(F640="Skeet",IFERROR(INDEX('Shooter-Squad Assignment'!$A:$A,MATCH(C640&amp;"-"&amp;E640&amp;"-"&amp;F640&amp;"-Pos2",'Shooter-Squad Assignment'!$K:$K,0)),""),IF(F640="Trap",IFERROR(INDEX('Shooter-Squad Assignment'!$A:$A,MATCH(C640&amp;"-"&amp;E640&amp;"-"&amp;F640&amp;"-Pos2",'Shooter-Squad Assignment'!$W:$W,0)),""),IF(F640="Sporting Clays",IFERROR(INDEX('Shooter-Squad Assignment'!$A:$A,MATCH(C640&amp;"-"&amp;E640&amp;"-"&amp;F640&amp;"-Pos2",'Shooter-Squad Assignment'!$Z:$Z,0)),""),"")))</f>
        <v/>
      </c>
      <c r="J640" s="88" t="str">
        <f>IF(ISBLANK(I640),"",IFERROR(INDEX('Tournament List'!$D:$D,MATCH(I640,'Tournament List'!$A:$A,0)),""))</f>
        <v/>
      </c>
      <c r="K640" s="96" t="str">
        <f>IF(F640="Skeet",IFERROR(INDEX('Shooter-Squad Assignment'!$A:$A,MATCH(C640&amp;"-"&amp;E640&amp;"-"&amp;F640&amp;"-Pos3",'Shooter-Squad Assignment'!$K:$K,0)),""),IF(F640="Trap",IFERROR(INDEX('Shooter-Squad Assignment'!$A:$A,MATCH(C640&amp;"-"&amp;E640&amp;"-"&amp;F640&amp;"-Pos3",'Shooter-Squad Assignment'!$W:$W,0)),""),IF(F640="Sporting Clays",IFERROR(INDEX('Shooter-Squad Assignment'!$A:$A,MATCH(C640&amp;"-"&amp;E640&amp;"-"&amp;F640&amp;"-Pos3",'Shooter-Squad Assignment'!$Z:$Z,0)),""),"")))</f>
        <v/>
      </c>
      <c r="L640" s="88" t="str">
        <f>IF(ISBLANK(K640),"",IFERROR(INDEX('Tournament List'!$D:$D,MATCH(K640,'Tournament List'!$A:$A,0)),""))</f>
        <v/>
      </c>
      <c r="M640" s="96" t="str">
        <f>IF(F640="Skeet",IFERROR(INDEX('Shooter-Squad Assignment'!$A:$A,MATCH(C640&amp;"-"&amp;E640&amp;"-"&amp;F640&amp;"-Pos4",'Shooter-Squad Assignment'!$K:$K,0)),""),IF(F640="Trap",IFERROR(INDEX('Shooter-Squad Assignment'!$A:$A,MATCH(C640&amp;"-"&amp;E640&amp;"-"&amp;F640&amp;"-Pos4",'Shooter-Squad Assignment'!$W:$W,0)),""),IF(F640="Sporting Clays",IFERROR(INDEX('Shooter-Squad Assignment'!$A:$A,MATCH(C640&amp;"-"&amp;E640&amp;"-"&amp;F640&amp;"-Pos4",'Shooter-Squad Assignment'!$Z:$Z,0)),""),"")))</f>
        <v/>
      </c>
      <c r="N640" s="88" t="str">
        <f>IF(ISBLANK(M640),"",IFERROR(INDEX('Tournament List'!$D:$D,MATCH(M640,'Tournament List'!$A:$A,0)),""))</f>
        <v/>
      </c>
      <c r="O640" s="96" t="str">
        <f>IF(F640="Skeet",IFERROR(INDEX('Shooter-Squad Assignment'!$A:$A,MATCH(C640&amp;"-"&amp;E640&amp;"-"&amp;F640&amp;"-Pos5",'Shooter-Squad Assignment'!$K:$K,0)),""),IF(F640="Trap",IFERROR(INDEX('Shooter-Squad Assignment'!$A:$A,MATCH(C640&amp;"-"&amp;E640&amp;"-"&amp;F640&amp;"-Pos5",'Shooter-Squad Assignment'!$W:$W,0)),""),IF(F640="Sporting Clays",IFERROR(INDEX('Shooter-Squad Assignment'!$A:$A,MATCH(C640&amp;"-"&amp;E640&amp;"-"&amp;F640&amp;"-Pos5",'Shooter-Squad Assignment'!$Z:$Z,0)),""),"")))</f>
        <v/>
      </c>
      <c r="P640" s="89" t="str">
        <f>IF(ISBLANK(O640),"",IFERROR(INDEX('Tournament List'!$D:$D,MATCH(O640,'Tournament List'!$A:$A,0)),""))</f>
        <v/>
      </c>
    </row>
    <row r="641" spans="1:16" x14ac:dyDescent="0.3">
      <c r="A641" s="87">
        <v>640</v>
      </c>
      <c r="B641" s="88" t="str">
        <f>C641&amp;"-"&amp;E641&amp;"-"&amp;F641</f>
        <v>-Open 1-Skeet</v>
      </c>
      <c r="C641" s="88"/>
      <c r="D641" s="88" t="str">
        <f>INDEX('Tournament Setup'!$B$59:$B$78,MATCH(E641,SquadConcurrents,0))</f>
        <v>Open</v>
      </c>
      <c r="E641" s="88" t="s">
        <v>341</v>
      </c>
      <c r="F641" s="88" t="s">
        <v>143</v>
      </c>
      <c r="G641" s="96" t="str">
        <f>IF(F641="Skeet",IFERROR(INDEX('Shooter-Squad Assignment'!$A:$A,MATCH(C641&amp;"-"&amp;E641&amp;"-"&amp;F641&amp;"-Pos1",'Shooter-Squad Assignment'!$K:$K,0)),""),IF(F641="Trap",IFERROR(INDEX('Shooter-Squad Assignment'!$A:$A,MATCH(C641&amp;"-"&amp;E641&amp;"-"&amp;F641&amp;"-Pos1",'Shooter-Squad Assignment'!$W:$W,0)),""),IF(F641="Sporting Clays",IFERROR(INDEX('Shooter-Squad Assignment'!$A:$A,MATCH(C641&amp;"-"&amp;E641&amp;"-"&amp;F641&amp;"-Pos1",'Shooter-Squad Assignment'!$Z:$Z,0)),""),"")))</f>
        <v/>
      </c>
      <c r="H641" s="88" t="str">
        <f>IF(ISBLANK(G641),"",IFERROR(INDEX('Tournament List'!$D:$D,MATCH(G641,'Tournament List'!$A:$A,0)),""))</f>
        <v/>
      </c>
      <c r="I641" s="96" t="str">
        <f>IF(F641="Skeet",IFERROR(INDEX('Shooter-Squad Assignment'!$A:$A,MATCH(C641&amp;"-"&amp;E641&amp;"-"&amp;F641&amp;"-Pos2",'Shooter-Squad Assignment'!$K:$K,0)),""),IF(F641="Trap",IFERROR(INDEX('Shooter-Squad Assignment'!$A:$A,MATCH(C641&amp;"-"&amp;E641&amp;"-"&amp;F641&amp;"-Pos2",'Shooter-Squad Assignment'!$W:$W,0)),""),IF(F641="Sporting Clays",IFERROR(INDEX('Shooter-Squad Assignment'!$A:$A,MATCH(C641&amp;"-"&amp;E641&amp;"-"&amp;F641&amp;"-Pos2",'Shooter-Squad Assignment'!$Z:$Z,0)),""),"")))</f>
        <v/>
      </c>
      <c r="J641" s="88" t="str">
        <f>IF(ISBLANK(I641),"",IFERROR(INDEX('Tournament List'!$D:$D,MATCH(I641,'Tournament List'!$A:$A,0)),""))</f>
        <v/>
      </c>
      <c r="K641" s="96" t="str">
        <f>IF(F641="Skeet",IFERROR(INDEX('Shooter-Squad Assignment'!$A:$A,MATCH(C641&amp;"-"&amp;E641&amp;"-"&amp;F641&amp;"-Pos3",'Shooter-Squad Assignment'!$K:$K,0)),""),IF(F641="Trap",IFERROR(INDEX('Shooter-Squad Assignment'!$A:$A,MATCH(C641&amp;"-"&amp;E641&amp;"-"&amp;F641&amp;"-Pos3",'Shooter-Squad Assignment'!$W:$W,0)),""),IF(F641="Sporting Clays",IFERROR(INDEX('Shooter-Squad Assignment'!$A:$A,MATCH(C641&amp;"-"&amp;E641&amp;"-"&amp;F641&amp;"-Pos3",'Shooter-Squad Assignment'!$Z:$Z,0)),""),"")))</f>
        <v/>
      </c>
      <c r="L641" s="88" t="str">
        <f>IF(ISBLANK(K641),"",IFERROR(INDEX('Tournament List'!$D:$D,MATCH(K641,'Tournament List'!$A:$A,0)),""))</f>
        <v/>
      </c>
      <c r="M641" s="96" t="str">
        <f>IF(F641="Skeet",IFERROR(INDEX('Shooter-Squad Assignment'!$A:$A,MATCH(C641&amp;"-"&amp;E641&amp;"-"&amp;F641&amp;"-Pos4",'Shooter-Squad Assignment'!$K:$K,0)),""),IF(F641="Trap",IFERROR(INDEX('Shooter-Squad Assignment'!$A:$A,MATCH(C641&amp;"-"&amp;E641&amp;"-"&amp;F641&amp;"-Pos4",'Shooter-Squad Assignment'!$W:$W,0)),""),IF(F641="Sporting Clays",IFERROR(INDEX('Shooter-Squad Assignment'!$A:$A,MATCH(C641&amp;"-"&amp;E641&amp;"-"&amp;F641&amp;"-Pos4",'Shooter-Squad Assignment'!$Z:$Z,0)),""),"")))</f>
        <v/>
      </c>
      <c r="N641" s="88" t="str">
        <f>IF(ISBLANK(M641),"",IFERROR(INDEX('Tournament List'!$D:$D,MATCH(M641,'Tournament List'!$A:$A,0)),""))</f>
        <v/>
      </c>
      <c r="O641" s="96" t="str">
        <f>IF(F641="Skeet",IFERROR(INDEX('Shooter-Squad Assignment'!$A:$A,MATCH(C641&amp;"-"&amp;E641&amp;"-"&amp;F641&amp;"-Pos5",'Shooter-Squad Assignment'!$K:$K,0)),""),IF(F641="Trap",IFERROR(INDEX('Shooter-Squad Assignment'!$A:$A,MATCH(C641&amp;"-"&amp;E641&amp;"-"&amp;F641&amp;"-Pos5",'Shooter-Squad Assignment'!$W:$W,0)),""),IF(F641="Sporting Clays",IFERROR(INDEX('Shooter-Squad Assignment'!$A:$A,MATCH(C641&amp;"-"&amp;E641&amp;"-"&amp;F641&amp;"-Pos5",'Shooter-Squad Assignment'!$Z:$Z,0)),""),"")))</f>
        <v/>
      </c>
      <c r="P641" s="89" t="str">
        <f>IF(ISBLANK(O641),"",IFERROR(INDEX('Tournament List'!$D:$D,MATCH(O641,'Tournament List'!$A:$A,0)),""))</f>
        <v/>
      </c>
    </row>
    <row r="642" spans="1:16" x14ac:dyDescent="0.3">
      <c r="A642" s="87">
        <v>641</v>
      </c>
      <c r="B642" s="88" t="str">
        <f>C642&amp;"-"&amp;E642&amp;"-"&amp;F642</f>
        <v>-Open 2-Skeet</v>
      </c>
      <c r="C642" s="88"/>
      <c r="D642" s="88" t="str">
        <f>INDEX('Tournament Setup'!$B$59:$B$78,MATCH(E642,SquadConcurrents,0))</f>
        <v>Open</v>
      </c>
      <c r="E642" s="88" t="s">
        <v>347</v>
      </c>
      <c r="F642" s="88" t="s">
        <v>143</v>
      </c>
      <c r="G642" s="96" t="str">
        <f>IF(F642="Skeet",IFERROR(INDEX('Shooter-Squad Assignment'!$A:$A,MATCH(C642&amp;"-"&amp;E642&amp;"-"&amp;F642&amp;"-Pos1",'Shooter-Squad Assignment'!$K:$K,0)),""),IF(F642="Trap",IFERROR(INDEX('Shooter-Squad Assignment'!$A:$A,MATCH(C642&amp;"-"&amp;E642&amp;"-"&amp;F642&amp;"-Pos1",'Shooter-Squad Assignment'!$W:$W,0)),""),IF(F642="Sporting Clays",IFERROR(INDEX('Shooter-Squad Assignment'!$A:$A,MATCH(C642&amp;"-"&amp;E642&amp;"-"&amp;F642&amp;"-Pos1",'Shooter-Squad Assignment'!$Z:$Z,0)),""),"")))</f>
        <v/>
      </c>
      <c r="H642" s="88" t="str">
        <f>IF(ISBLANK(G642),"",IFERROR(INDEX('Tournament List'!$D:$D,MATCH(G642,'Tournament List'!$A:$A,0)),""))</f>
        <v/>
      </c>
      <c r="I642" s="96" t="str">
        <f>IF(F642="Skeet",IFERROR(INDEX('Shooter-Squad Assignment'!$A:$A,MATCH(C642&amp;"-"&amp;E642&amp;"-"&amp;F642&amp;"-Pos2",'Shooter-Squad Assignment'!$K:$K,0)),""),IF(F642="Trap",IFERROR(INDEX('Shooter-Squad Assignment'!$A:$A,MATCH(C642&amp;"-"&amp;E642&amp;"-"&amp;F642&amp;"-Pos2",'Shooter-Squad Assignment'!$W:$W,0)),""),IF(F642="Sporting Clays",IFERROR(INDEX('Shooter-Squad Assignment'!$A:$A,MATCH(C642&amp;"-"&amp;E642&amp;"-"&amp;F642&amp;"-Pos2",'Shooter-Squad Assignment'!$Z:$Z,0)),""),"")))</f>
        <v/>
      </c>
      <c r="J642" s="88" t="str">
        <f>IF(ISBLANK(I642),"",IFERROR(INDEX('Tournament List'!$D:$D,MATCH(I642,'Tournament List'!$A:$A,0)),""))</f>
        <v/>
      </c>
      <c r="K642" s="96" t="str">
        <f>IF(F642="Skeet",IFERROR(INDEX('Shooter-Squad Assignment'!$A:$A,MATCH(C642&amp;"-"&amp;E642&amp;"-"&amp;F642&amp;"-Pos3",'Shooter-Squad Assignment'!$K:$K,0)),""),IF(F642="Trap",IFERROR(INDEX('Shooter-Squad Assignment'!$A:$A,MATCH(C642&amp;"-"&amp;E642&amp;"-"&amp;F642&amp;"-Pos3",'Shooter-Squad Assignment'!$W:$W,0)),""),IF(F642="Sporting Clays",IFERROR(INDEX('Shooter-Squad Assignment'!$A:$A,MATCH(C642&amp;"-"&amp;E642&amp;"-"&amp;F642&amp;"-Pos3",'Shooter-Squad Assignment'!$Z:$Z,0)),""),"")))</f>
        <v/>
      </c>
      <c r="L642" s="88" t="str">
        <f>IF(ISBLANK(K642),"",IFERROR(INDEX('Tournament List'!$D:$D,MATCH(K642,'Tournament List'!$A:$A,0)),""))</f>
        <v/>
      </c>
      <c r="M642" s="96" t="str">
        <f>IF(F642="Skeet",IFERROR(INDEX('Shooter-Squad Assignment'!$A:$A,MATCH(C642&amp;"-"&amp;E642&amp;"-"&amp;F642&amp;"-Pos4",'Shooter-Squad Assignment'!$K:$K,0)),""),IF(F642="Trap",IFERROR(INDEX('Shooter-Squad Assignment'!$A:$A,MATCH(C642&amp;"-"&amp;E642&amp;"-"&amp;F642&amp;"-Pos4",'Shooter-Squad Assignment'!$W:$W,0)),""),IF(F642="Sporting Clays",IFERROR(INDEX('Shooter-Squad Assignment'!$A:$A,MATCH(C642&amp;"-"&amp;E642&amp;"-"&amp;F642&amp;"-Pos4",'Shooter-Squad Assignment'!$Z:$Z,0)),""),"")))</f>
        <v/>
      </c>
      <c r="N642" s="88" t="str">
        <f>IF(ISBLANK(M642),"",IFERROR(INDEX('Tournament List'!$D:$D,MATCH(M642,'Tournament List'!$A:$A,0)),""))</f>
        <v/>
      </c>
      <c r="O642" s="96" t="str">
        <f>IF(F642="Skeet",IFERROR(INDEX('Shooter-Squad Assignment'!$A:$A,MATCH(C642&amp;"-"&amp;E642&amp;"-"&amp;F642&amp;"-Pos5",'Shooter-Squad Assignment'!$K:$K,0)),""),IF(F642="Trap",IFERROR(INDEX('Shooter-Squad Assignment'!$A:$A,MATCH(C642&amp;"-"&amp;E642&amp;"-"&amp;F642&amp;"-Pos5",'Shooter-Squad Assignment'!$W:$W,0)),""),IF(F642="Sporting Clays",IFERROR(INDEX('Shooter-Squad Assignment'!$A:$A,MATCH(C642&amp;"-"&amp;E642&amp;"-"&amp;F642&amp;"-Pos5",'Shooter-Squad Assignment'!$Z:$Z,0)),""),"")))</f>
        <v/>
      </c>
      <c r="P642" s="89" t="str">
        <f>IF(ISBLANK(O642),"",IFERROR(INDEX('Tournament List'!$D:$D,MATCH(O642,'Tournament List'!$A:$A,0)),""))</f>
        <v/>
      </c>
    </row>
    <row r="643" spans="1:16" x14ac:dyDescent="0.3">
      <c r="A643" s="87">
        <v>642</v>
      </c>
      <c r="B643" s="88" t="str">
        <f>C643&amp;"-"&amp;E643&amp;"-"&amp;F643</f>
        <v>-Open 3-Skeet</v>
      </c>
      <c r="C643" s="88"/>
      <c r="D643" s="88" t="str">
        <f>INDEX('Tournament Setup'!$B$59:$B$78,MATCH(E643,SquadConcurrents,0))</f>
        <v>Open</v>
      </c>
      <c r="E643" s="88" t="s">
        <v>353</v>
      </c>
      <c r="F643" s="88" t="s">
        <v>143</v>
      </c>
      <c r="G643" s="96" t="str">
        <f>IF(F643="Skeet",IFERROR(INDEX('Shooter-Squad Assignment'!$A:$A,MATCH(C643&amp;"-"&amp;E643&amp;"-"&amp;F643&amp;"-Pos1",'Shooter-Squad Assignment'!$K:$K,0)),""),IF(F643="Trap",IFERROR(INDEX('Shooter-Squad Assignment'!$A:$A,MATCH(C643&amp;"-"&amp;E643&amp;"-"&amp;F643&amp;"-Pos1",'Shooter-Squad Assignment'!$W:$W,0)),""),IF(F643="Sporting Clays",IFERROR(INDEX('Shooter-Squad Assignment'!$A:$A,MATCH(C643&amp;"-"&amp;E643&amp;"-"&amp;F643&amp;"-Pos1",'Shooter-Squad Assignment'!$Z:$Z,0)),""),"")))</f>
        <v/>
      </c>
      <c r="H643" s="88" t="str">
        <f>IF(ISBLANK(G643),"",IFERROR(INDEX('Tournament List'!$D:$D,MATCH(G643,'Tournament List'!$A:$A,0)),""))</f>
        <v/>
      </c>
      <c r="I643" s="96" t="str">
        <f>IF(F643="Skeet",IFERROR(INDEX('Shooter-Squad Assignment'!$A:$A,MATCH(C643&amp;"-"&amp;E643&amp;"-"&amp;F643&amp;"-Pos2",'Shooter-Squad Assignment'!$K:$K,0)),""),IF(F643="Trap",IFERROR(INDEX('Shooter-Squad Assignment'!$A:$A,MATCH(C643&amp;"-"&amp;E643&amp;"-"&amp;F643&amp;"-Pos2",'Shooter-Squad Assignment'!$W:$W,0)),""),IF(F643="Sporting Clays",IFERROR(INDEX('Shooter-Squad Assignment'!$A:$A,MATCH(C643&amp;"-"&amp;E643&amp;"-"&amp;F643&amp;"-Pos2",'Shooter-Squad Assignment'!$Z:$Z,0)),""),"")))</f>
        <v/>
      </c>
      <c r="J643" s="88" t="str">
        <f>IF(ISBLANK(I643),"",IFERROR(INDEX('Tournament List'!$D:$D,MATCH(I643,'Tournament List'!$A:$A,0)),""))</f>
        <v/>
      </c>
      <c r="K643" s="96" t="str">
        <f>IF(F643="Skeet",IFERROR(INDEX('Shooter-Squad Assignment'!$A:$A,MATCH(C643&amp;"-"&amp;E643&amp;"-"&amp;F643&amp;"-Pos3",'Shooter-Squad Assignment'!$K:$K,0)),""),IF(F643="Trap",IFERROR(INDEX('Shooter-Squad Assignment'!$A:$A,MATCH(C643&amp;"-"&amp;E643&amp;"-"&amp;F643&amp;"-Pos3",'Shooter-Squad Assignment'!$W:$W,0)),""),IF(F643="Sporting Clays",IFERROR(INDEX('Shooter-Squad Assignment'!$A:$A,MATCH(C643&amp;"-"&amp;E643&amp;"-"&amp;F643&amp;"-Pos3",'Shooter-Squad Assignment'!$Z:$Z,0)),""),"")))</f>
        <v/>
      </c>
      <c r="L643" s="88" t="str">
        <f>IF(ISBLANK(K643),"",IFERROR(INDEX('Tournament List'!$D:$D,MATCH(K643,'Tournament List'!$A:$A,0)),""))</f>
        <v/>
      </c>
      <c r="M643" s="96" t="str">
        <f>IF(F643="Skeet",IFERROR(INDEX('Shooter-Squad Assignment'!$A:$A,MATCH(C643&amp;"-"&amp;E643&amp;"-"&amp;F643&amp;"-Pos4",'Shooter-Squad Assignment'!$K:$K,0)),""),IF(F643="Trap",IFERROR(INDEX('Shooter-Squad Assignment'!$A:$A,MATCH(C643&amp;"-"&amp;E643&amp;"-"&amp;F643&amp;"-Pos4",'Shooter-Squad Assignment'!$W:$W,0)),""),IF(F643="Sporting Clays",IFERROR(INDEX('Shooter-Squad Assignment'!$A:$A,MATCH(C643&amp;"-"&amp;E643&amp;"-"&amp;F643&amp;"-Pos4",'Shooter-Squad Assignment'!$Z:$Z,0)),""),"")))</f>
        <v/>
      </c>
      <c r="N643" s="88" t="str">
        <f>IF(ISBLANK(M643),"",IFERROR(INDEX('Tournament List'!$D:$D,MATCH(M643,'Tournament List'!$A:$A,0)),""))</f>
        <v/>
      </c>
      <c r="O643" s="96" t="str">
        <f>IF(F643="Skeet",IFERROR(INDEX('Shooter-Squad Assignment'!$A:$A,MATCH(C643&amp;"-"&amp;E643&amp;"-"&amp;F643&amp;"-Pos5",'Shooter-Squad Assignment'!$K:$K,0)),""),IF(F643="Trap",IFERROR(INDEX('Shooter-Squad Assignment'!$A:$A,MATCH(C643&amp;"-"&amp;E643&amp;"-"&amp;F643&amp;"-Pos5",'Shooter-Squad Assignment'!$W:$W,0)),""),IF(F643="Sporting Clays",IFERROR(INDEX('Shooter-Squad Assignment'!$A:$A,MATCH(C643&amp;"-"&amp;E643&amp;"-"&amp;F643&amp;"-Pos5",'Shooter-Squad Assignment'!$Z:$Z,0)),""),"")))</f>
        <v/>
      </c>
      <c r="P643" s="89" t="str">
        <f>IF(ISBLANK(O643),"",IFERROR(INDEX('Tournament List'!$D:$D,MATCH(O643,'Tournament List'!$A:$A,0)),""))</f>
        <v/>
      </c>
    </row>
    <row r="644" spans="1:16" x14ac:dyDescent="0.3">
      <c r="A644" s="87">
        <v>643</v>
      </c>
      <c r="B644" s="88" t="str">
        <f>C644&amp;"-"&amp;E644&amp;"-"&amp;F644</f>
        <v>-Unassigned 1-Skeet</v>
      </c>
      <c r="C644" s="88"/>
      <c r="D644" s="88" t="str">
        <f>INDEX('Tournament Setup'!$B$59:$B$78,MATCH(E644,SquadConcurrents,0))</f>
        <v>Unassigned</v>
      </c>
      <c r="E644" s="88" t="s">
        <v>762</v>
      </c>
      <c r="F644" s="88" t="s">
        <v>143</v>
      </c>
      <c r="G644" s="96" t="str">
        <f>IF(F644="Skeet",IFERROR(INDEX('Shooter-Squad Assignment'!$A:$A,MATCH(C644&amp;"-"&amp;E644&amp;"-"&amp;F644&amp;"-Pos1",'Shooter-Squad Assignment'!$K:$K,0)),""),IF(F644="Trap",IFERROR(INDEX('Shooter-Squad Assignment'!$A:$A,MATCH(C644&amp;"-"&amp;E644&amp;"-"&amp;F644&amp;"-Pos1",'Shooter-Squad Assignment'!$W:$W,0)),""),IF(F644="Sporting Clays",IFERROR(INDEX('Shooter-Squad Assignment'!$A:$A,MATCH(C644&amp;"-"&amp;E644&amp;"-"&amp;F644&amp;"-Pos1",'Shooter-Squad Assignment'!$Z:$Z,0)),""),"")))</f>
        <v/>
      </c>
      <c r="H644" s="88" t="str">
        <f>IF(ISBLANK(G644),"",IFERROR(INDEX('Tournament List'!$D:$D,MATCH(G644,'Tournament List'!$A:$A,0)),""))</f>
        <v/>
      </c>
      <c r="I644" s="96" t="str">
        <f>IF(F644="Skeet",IFERROR(INDEX('Shooter-Squad Assignment'!$A:$A,MATCH(C644&amp;"-"&amp;E644&amp;"-"&amp;F644&amp;"-Pos2",'Shooter-Squad Assignment'!$K:$K,0)),""),IF(F644="Trap",IFERROR(INDEX('Shooter-Squad Assignment'!$A:$A,MATCH(C644&amp;"-"&amp;E644&amp;"-"&amp;F644&amp;"-Pos2",'Shooter-Squad Assignment'!$W:$W,0)),""),IF(F644="Sporting Clays",IFERROR(INDEX('Shooter-Squad Assignment'!$A:$A,MATCH(C644&amp;"-"&amp;E644&amp;"-"&amp;F644&amp;"-Pos2",'Shooter-Squad Assignment'!$Z:$Z,0)),""),"")))</f>
        <v/>
      </c>
      <c r="J644" s="88" t="str">
        <f>IF(ISBLANK(I644),"",IFERROR(INDEX('Tournament List'!$D:$D,MATCH(I644,'Tournament List'!$A:$A,0)),""))</f>
        <v/>
      </c>
      <c r="K644" s="96" t="str">
        <f>IF(F644="Skeet",IFERROR(INDEX('Shooter-Squad Assignment'!$A:$A,MATCH(C644&amp;"-"&amp;E644&amp;"-"&amp;F644&amp;"-Pos3",'Shooter-Squad Assignment'!$K:$K,0)),""),IF(F644="Trap",IFERROR(INDEX('Shooter-Squad Assignment'!$A:$A,MATCH(C644&amp;"-"&amp;E644&amp;"-"&amp;F644&amp;"-Pos3",'Shooter-Squad Assignment'!$W:$W,0)),""),IF(F644="Sporting Clays",IFERROR(INDEX('Shooter-Squad Assignment'!$A:$A,MATCH(C644&amp;"-"&amp;E644&amp;"-"&amp;F644&amp;"-Pos3",'Shooter-Squad Assignment'!$Z:$Z,0)),""),"")))</f>
        <v/>
      </c>
      <c r="L644" s="88" t="str">
        <f>IF(ISBLANK(K644),"",IFERROR(INDEX('Tournament List'!$D:$D,MATCH(K644,'Tournament List'!$A:$A,0)),""))</f>
        <v/>
      </c>
      <c r="M644" s="96" t="str">
        <f>IF(F644="Skeet",IFERROR(INDEX('Shooter-Squad Assignment'!$A:$A,MATCH(C644&amp;"-"&amp;E644&amp;"-"&amp;F644&amp;"-Pos4",'Shooter-Squad Assignment'!$K:$K,0)),""),IF(F644="Trap",IFERROR(INDEX('Shooter-Squad Assignment'!$A:$A,MATCH(C644&amp;"-"&amp;E644&amp;"-"&amp;F644&amp;"-Pos4",'Shooter-Squad Assignment'!$W:$W,0)),""),IF(F644="Sporting Clays",IFERROR(INDEX('Shooter-Squad Assignment'!$A:$A,MATCH(C644&amp;"-"&amp;E644&amp;"-"&amp;F644&amp;"-Pos4",'Shooter-Squad Assignment'!$Z:$Z,0)),""),"")))</f>
        <v/>
      </c>
      <c r="N644" s="88" t="str">
        <f>IF(ISBLANK(M644),"",IFERROR(INDEX('Tournament List'!$D:$D,MATCH(M644,'Tournament List'!$A:$A,0)),""))</f>
        <v/>
      </c>
      <c r="O644" s="96" t="str">
        <f>IF(F644="Skeet",IFERROR(INDEX('Shooter-Squad Assignment'!$A:$A,MATCH(C644&amp;"-"&amp;E644&amp;"-"&amp;F644&amp;"-Pos5",'Shooter-Squad Assignment'!$K:$K,0)),""),IF(F644="Trap",IFERROR(INDEX('Shooter-Squad Assignment'!$A:$A,MATCH(C644&amp;"-"&amp;E644&amp;"-"&amp;F644&amp;"-Pos5",'Shooter-Squad Assignment'!$W:$W,0)),""),IF(F644="Sporting Clays",IFERROR(INDEX('Shooter-Squad Assignment'!$A:$A,MATCH(C644&amp;"-"&amp;E644&amp;"-"&amp;F644&amp;"-Pos5",'Shooter-Squad Assignment'!$Z:$Z,0)),""),"")))</f>
        <v/>
      </c>
      <c r="P644" s="89" t="str">
        <f>IF(ISBLANK(O644),"",IFERROR(INDEX('Tournament List'!$D:$D,MATCH(O644,'Tournament List'!$A:$A,0)),""))</f>
        <v/>
      </c>
    </row>
    <row r="645" spans="1:16" x14ac:dyDescent="0.3">
      <c r="A645" s="87">
        <v>644</v>
      </c>
      <c r="B645" s="88" t="str">
        <f>C645&amp;"-"&amp;E645&amp;"-"&amp;F645</f>
        <v>-Varsity 1-Skeet</v>
      </c>
      <c r="C645" s="88"/>
      <c r="D645" s="88" t="str">
        <f>INDEX('Tournament Setup'!$B$59:$B$78,MATCH(E645,SquadConcurrents,0))</f>
        <v>Varsity</v>
      </c>
      <c r="E645" s="88" t="s">
        <v>340</v>
      </c>
      <c r="F645" s="88" t="s">
        <v>143</v>
      </c>
      <c r="G645" s="96" t="str">
        <f>IF(F645="Skeet",IFERROR(INDEX('Shooter-Squad Assignment'!$A:$A,MATCH(C645&amp;"-"&amp;E645&amp;"-"&amp;F645&amp;"-Pos1",'Shooter-Squad Assignment'!$K:$K,0)),""),IF(F645="Trap",IFERROR(INDEX('Shooter-Squad Assignment'!$A:$A,MATCH(C645&amp;"-"&amp;E645&amp;"-"&amp;F645&amp;"-Pos1",'Shooter-Squad Assignment'!$W:$W,0)),""),IF(F645="Sporting Clays",IFERROR(INDEX('Shooter-Squad Assignment'!$A:$A,MATCH(C645&amp;"-"&amp;E645&amp;"-"&amp;F645&amp;"-Pos1",'Shooter-Squad Assignment'!$Z:$Z,0)),""),"")))</f>
        <v/>
      </c>
      <c r="H645" s="88" t="str">
        <f>IF(ISBLANK(G645),"",IFERROR(INDEX('Tournament List'!$D:$D,MATCH(G645,'Tournament List'!$A:$A,0)),""))</f>
        <v/>
      </c>
      <c r="I645" s="96" t="str">
        <f>IF(F645="Skeet",IFERROR(INDEX('Shooter-Squad Assignment'!$A:$A,MATCH(C645&amp;"-"&amp;E645&amp;"-"&amp;F645&amp;"-Pos2",'Shooter-Squad Assignment'!$K:$K,0)),""),IF(F645="Trap",IFERROR(INDEX('Shooter-Squad Assignment'!$A:$A,MATCH(C645&amp;"-"&amp;E645&amp;"-"&amp;F645&amp;"-Pos2",'Shooter-Squad Assignment'!$W:$W,0)),""),IF(F645="Sporting Clays",IFERROR(INDEX('Shooter-Squad Assignment'!$A:$A,MATCH(C645&amp;"-"&amp;E645&amp;"-"&amp;F645&amp;"-Pos2",'Shooter-Squad Assignment'!$Z:$Z,0)),""),"")))</f>
        <v/>
      </c>
      <c r="J645" s="88" t="str">
        <f>IF(ISBLANK(I645),"",IFERROR(INDEX('Tournament List'!$D:$D,MATCH(I645,'Tournament List'!$A:$A,0)),""))</f>
        <v/>
      </c>
      <c r="K645" s="96" t="str">
        <f>IF(F645="Skeet",IFERROR(INDEX('Shooter-Squad Assignment'!$A:$A,MATCH(C645&amp;"-"&amp;E645&amp;"-"&amp;F645&amp;"-Pos3",'Shooter-Squad Assignment'!$K:$K,0)),""),IF(F645="Trap",IFERROR(INDEX('Shooter-Squad Assignment'!$A:$A,MATCH(C645&amp;"-"&amp;E645&amp;"-"&amp;F645&amp;"-Pos3",'Shooter-Squad Assignment'!$W:$W,0)),""),IF(F645="Sporting Clays",IFERROR(INDEX('Shooter-Squad Assignment'!$A:$A,MATCH(C645&amp;"-"&amp;E645&amp;"-"&amp;F645&amp;"-Pos3",'Shooter-Squad Assignment'!$Z:$Z,0)),""),"")))</f>
        <v/>
      </c>
      <c r="L645" s="88" t="str">
        <f>IF(ISBLANK(K645),"",IFERROR(INDEX('Tournament List'!$D:$D,MATCH(K645,'Tournament List'!$A:$A,0)),""))</f>
        <v/>
      </c>
      <c r="M645" s="96" t="str">
        <f>IF(F645="Skeet",IFERROR(INDEX('Shooter-Squad Assignment'!$A:$A,MATCH(C645&amp;"-"&amp;E645&amp;"-"&amp;F645&amp;"-Pos4",'Shooter-Squad Assignment'!$K:$K,0)),""),IF(F645="Trap",IFERROR(INDEX('Shooter-Squad Assignment'!$A:$A,MATCH(C645&amp;"-"&amp;E645&amp;"-"&amp;F645&amp;"-Pos4",'Shooter-Squad Assignment'!$W:$W,0)),""),IF(F645="Sporting Clays",IFERROR(INDEX('Shooter-Squad Assignment'!$A:$A,MATCH(C645&amp;"-"&amp;E645&amp;"-"&amp;F645&amp;"-Pos4",'Shooter-Squad Assignment'!$Z:$Z,0)),""),"")))</f>
        <v/>
      </c>
      <c r="N645" s="88" t="str">
        <f>IF(ISBLANK(M645),"",IFERROR(INDEX('Tournament List'!$D:$D,MATCH(M645,'Tournament List'!$A:$A,0)),""))</f>
        <v/>
      </c>
      <c r="O645" s="96" t="str">
        <f>IF(F645="Skeet",IFERROR(INDEX('Shooter-Squad Assignment'!$A:$A,MATCH(C645&amp;"-"&amp;E645&amp;"-"&amp;F645&amp;"-Pos5",'Shooter-Squad Assignment'!$K:$K,0)),""),IF(F645="Trap",IFERROR(INDEX('Shooter-Squad Assignment'!$A:$A,MATCH(C645&amp;"-"&amp;E645&amp;"-"&amp;F645&amp;"-Pos5",'Shooter-Squad Assignment'!$W:$W,0)),""),IF(F645="Sporting Clays",IFERROR(INDEX('Shooter-Squad Assignment'!$A:$A,MATCH(C645&amp;"-"&amp;E645&amp;"-"&amp;F645&amp;"-Pos5",'Shooter-Squad Assignment'!$Z:$Z,0)),""),"")))</f>
        <v/>
      </c>
      <c r="P645" s="89" t="str">
        <f>IF(ISBLANK(O645),"",IFERROR(INDEX('Tournament List'!$D:$D,MATCH(O645,'Tournament List'!$A:$A,0)),""))</f>
        <v/>
      </c>
    </row>
    <row r="646" spans="1:16" x14ac:dyDescent="0.3">
      <c r="A646" s="87">
        <v>645</v>
      </c>
      <c r="B646" s="88" t="str">
        <f>C646&amp;"-"&amp;E646&amp;"-"&amp;F646</f>
        <v>-Varsity 2-Skeet</v>
      </c>
      <c r="C646" s="88"/>
      <c r="D646" s="88" t="str">
        <f>INDEX('Tournament Setup'!$B$59:$B$78,MATCH(E646,SquadConcurrents,0))</f>
        <v>Varsity</v>
      </c>
      <c r="E646" s="88" t="s">
        <v>346</v>
      </c>
      <c r="F646" s="88" t="s">
        <v>143</v>
      </c>
      <c r="G646" s="96" t="str">
        <f>IF(F646="Skeet",IFERROR(INDEX('Shooter-Squad Assignment'!$A:$A,MATCH(C646&amp;"-"&amp;E646&amp;"-"&amp;F646&amp;"-Pos1",'Shooter-Squad Assignment'!$K:$K,0)),""),IF(F646="Trap",IFERROR(INDEX('Shooter-Squad Assignment'!$A:$A,MATCH(C646&amp;"-"&amp;E646&amp;"-"&amp;F646&amp;"-Pos1",'Shooter-Squad Assignment'!$W:$W,0)),""),IF(F646="Sporting Clays",IFERROR(INDEX('Shooter-Squad Assignment'!$A:$A,MATCH(C646&amp;"-"&amp;E646&amp;"-"&amp;F646&amp;"-Pos1",'Shooter-Squad Assignment'!$Z:$Z,0)),""),"")))</f>
        <v/>
      </c>
      <c r="H646" s="88" t="str">
        <f>IF(ISBLANK(G646),"",IFERROR(INDEX('Tournament List'!$D:$D,MATCH(G646,'Tournament List'!$A:$A,0)),""))</f>
        <v/>
      </c>
      <c r="I646" s="96" t="str">
        <f>IF(F646="Skeet",IFERROR(INDEX('Shooter-Squad Assignment'!$A:$A,MATCH(C646&amp;"-"&amp;E646&amp;"-"&amp;F646&amp;"-Pos2",'Shooter-Squad Assignment'!$K:$K,0)),""),IF(F646="Trap",IFERROR(INDEX('Shooter-Squad Assignment'!$A:$A,MATCH(C646&amp;"-"&amp;E646&amp;"-"&amp;F646&amp;"-Pos2",'Shooter-Squad Assignment'!$W:$W,0)),""),IF(F646="Sporting Clays",IFERROR(INDEX('Shooter-Squad Assignment'!$A:$A,MATCH(C646&amp;"-"&amp;E646&amp;"-"&amp;F646&amp;"-Pos2",'Shooter-Squad Assignment'!$Z:$Z,0)),""),"")))</f>
        <v/>
      </c>
      <c r="J646" s="88" t="str">
        <f>IF(ISBLANK(I646),"",IFERROR(INDEX('Tournament List'!$D:$D,MATCH(I646,'Tournament List'!$A:$A,0)),""))</f>
        <v/>
      </c>
      <c r="K646" s="96" t="str">
        <f>IF(F646="Skeet",IFERROR(INDEX('Shooter-Squad Assignment'!$A:$A,MATCH(C646&amp;"-"&amp;E646&amp;"-"&amp;F646&amp;"-Pos3",'Shooter-Squad Assignment'!$K:$K,0)),""),IF(F646="Trap",IFERROR(INDEX('Shooter-Squad Assignment'!$A:$A,MATCH(C646&amp;"-"&amp;E646&amp;"-"&amp;F646&amp;"-Pos3",'Shooter-Squad Assignment'!$W:$W,0)),""),IF(F646="Sporting Clays",IFERROR(INDEX('Shooter-Squad Assignment'!$A:$A,MATCH(C646&amp;"-"&amp;E646&amp;"-"&amp;F646&amp;"-Pos3",'Shooter-Squad Assignment'!$Z:$Z,0)),""),"")))</f>
        <v/>
      </c>
      <c r="L646" s="88" t="str">
        <f>IF(ISBLANK(K646),"",IFERROR(INDEX('Tournament List'!$D:$D,MATCH(K646,'Tournament List'!$A:$A,0)),""))</f>
        <v/>
      </c>
      <c r="M646" s="96" t="str">
        <f>IF(F646="Skeet",IFERROR(INDEX('Shooter-Squad Assignment'!$A:$A,MATCH(C646&amp;"-"&amp;E646&amp;"-"&amp;F646&amp;"-Pos4",'Shooter-Squad Assignment'!$K:$K,0)),""),IF(F646="Trap",IFERROR(INDEX('Shooter-Squad Assignment'!$A:$A,MATCH(C646&amp;"-"&amp;E646&amp;"-"&amp;F646&amp;"-Pos4",'Shooter-Squad Assignment'!$W:$W,0)),""),IF(F646="Sporting Clays",IFERROR(INDEX('Shooter-Squad Assignment'!$A:$A,MATCH(C646&amp;"-"&amp;E646&amp;"-"&amp;F646&amp;"-Pos4",'Shooter-Squad Assignment'!$Z:$Z,0)),""),"")))</f>
        <v/>
      </c>
      <c r="N646" s="88" t="str">
        <f>IF(ISBLANK(M646),"",IFERROR(INDEX('Tournament List'!$D:$D,MATCH(M646,'Tournament List'!$A:$A,0)),""))</f>
        <v/>
      </c>
      <c r="O646" s="96" t="str">
        <f>IF(F646="Skeet",IFERROR(INDEX('Shooter-Squad Assignment'!$A:$A,MATCH(C646&amp;"-"&amp;E646&amp;"-"&amp;F646&amp;"-Pos5",'Shooter-Squad Assignment'!$K:$K,0)),""),IF(F646="Trap",IFERROR(INDEX('Shooter-Squad Assignment'!$A:$A,MATCH(C646&amp;"-"&amp;E646&amp;"-"&amp;F646&amp;"-Pos5",'Shooter-Squad Assignment'!$W:$W,0)),""),IF(F646="Sporting Clays",IFERROR(INDEX('Shooter-Squad Assignment'!$A:$A,MATCH(C646&amp;"-"&amp;E646&amp;"-"&amp;F646&amp;"-Pos5",'Shooter-Squad Assignment'!$Z:$Z,0)),""),"")))</f>
        <v/>
      </c>
      <c r="P646" s="89" t="str">
        <f>IF(ISBLANK(O646),"",IFERROR(INDEX('Tournament List'!$D:$D,MATCH(O646,'Tournament List'!$A:$A,0)),""))</f>
        <v/>
      </c>
    </row>
    <row r="647" spans="1:16" x14ac:dyDescent="0.3">
      <c r="A647" s="87">
        <v>646</v>
      </c>
      <c r="B647" s="88" t="str">
        <f>C647&amp;"-"&amp;E647&amp;"-"&amp;F647</f>
        <v>-Varsity 3-Skeet</v>
      </c>
      <c r="C647" s="88"/>
      <c r="D647" s="88" t="str">
        <f>INDEX('Tournament Setup'!$B$59:$B$78,MATCH(E647,SquadConcurrents,0))</f>
        <v>Varsity</v>
      </c>
      <c r="E647" s="88" t="s">
        <v>352</v>
      </c>
      <c r="F647" s="88" t="s">
        <v>143</v>
      </c>
      <c r="G647" s="96" t="str">
        <f>IF(F647="Skeet",IFERROR(INDEX('Shooter-Squad Assignment'!$A:$A,MATCH(C647&amp;"-"&amp;E647&amp;"-"&amp;F647&amp;"-Pos1",'Shooter-Squad Assignment'!$K:$K,0)),""),IF(F647="Trap",IFERROR(INDEX('Shooter-Squad Assignment'!$A:$A,MATCH(C647&amp;"-"&amp;E647&amp;"-"&amp;F647&amp;"-Pos1",'Shooter-Squad Assignment'!$W:$W,0)),""),IF(F647="Sporting Clays",IFERROR(INDEX('Shooter-Squad Assignment'!$A:$A,MATCH(C647&amp;"-"&amp;E647&amp;"-"&amp;F647&amp;"-Pos1",'Shooter-Squad Assignment'!$Z:$Z,0)),""),"")))</f>
        <v/>
      </c>
      <c r="H647" s="88" t="str">
        <f>IF(ISBLANK(G647),"",IFERROR(INDEX('Tournament List'!$D:$D,MATCH(G647,'Tournament List'!$A:$A,0)),""))</f>
        <v/>
      </c>
      <c r="I647" s="96" t="str">
        <f>IF(F647="Skeet",IFERROR(INDEX('Shooter-Squad Assignment'!$A:$A,MATCH(C647&amp;"-"&amp;E647&amp;"-"&amp;F647&amp;"-Pos2",'Shooter-Squad Assignment'!$K:$K,0)),""),IF(F647="Trap",IFERROR(INDEX('Shooter-Squad Assignment'!$A:$A,MATCH(C647&amp;"-"&amp;E647&amp;"-"&amp;F647&amp;"-Pos2",'Shooter-Squad Assignment'!$W:$W,0)),""),IF(F647="Sporting Clays",IFERROR(INDEX('Shooter-Squad Assignment'!$A:$A,MATCH(C647&amp;"-"&amp;E647&amp;"-"&amp;F647&amp;"-Pos2",'Shooter-Squad Assignment'!$Z:$Z,0)),""),"")))</f>
        <v/>
      </c>
      <c r="J647" s="88" t="str">
        <f>IF(ISBLANK(I647),"",IFERROR(INDEX('Tournament List'!$D:$D,MATCH(I647,'Tournament List'!$A:$A,0)),""))</f>
        <v/>
      </c>
      <c r="K647" s="96" t="str">
        <f>IF(F647="Skeet",IFERROR(INDEX('Shooter-Squad Assignment'!$A:$A,MATCH(C647&amp;"-"&amp;E647&amp;"-"&amp;F647&amp;"-Pos3",'Shooter-Squad Assignment'!$K:$K,0)),""),IF(F647="Trap",IFERROR(INDEX('Shooter-Squad Assignment'!$A:$A,MATCH(C647&amp;"-"&amp;E647&amp;"-"&amp;F647&amp;"-Pos3",'Shooter-Squad Assignment'!$W:$W,0)),""),IF(F647="Sporting Clays",IFERROR(INDEX('Shooter-Squad Assignment'!$A:$A,MATCH(C647&amp;"-"&amp;E647&amp;"-"&amp;F647&amp;"-Pos3",'Shooter-Squad Assignment'!$Z:$Z,0)),""),"")))</f>
        <v/>
      </c>
      <c r="L647" s="88" t="str">
        <f>IF(ISBLANK(K647),"",IFERROR(INDEX('Tournament List'!$D:$D,MATCH(K647,'Tournament List'!$A:$A,0)),""))</f>
        <v/>
      </c>
      <c r="M647" s="96" t="str">
        <f>IF(F647="Skeet",IFERROR(INDEX('Shooter-Squad Assignment'!$A:$A,MATCH(C647&amp;"-"&amp;E647&amp;"-"&amp;F647&amp;"-Pos4",'Shooter-Squad Assignment'!$K:$K,0)),""),IF(F647="Trap",IFERROR(INDEX('Shooter-Squad Assignment'!$A:$A,MATCH(C647&amp;"-"&amp;E647&amp;"-"&amp;F647&amp;"-Pos4",'Shooter-Squad Assignment'!$W:$W,0)),""),IF(F647="Sporting Clays",IFERROR(INDEX('Shooter-Squad Assignment'!$A:$A,MATCH(C647&amp;"-"&amp;E647&amp;"-"&amp;F647&amp;"-Pos4",'Shooter-Squad Assignment'!$Z:$Z,0)),""),"")))</f>
        <v/>
      </c>
      <c r="N647" s="88" t="str">
        <f>IF(ISBLANK(M647),"",IFERROR(INDEX('Tournament List'!$D:$D,MATCH(M647,'Tournament List'!$A:$A,0)),""))</f>
        <v/>
      </c>
      <c r="O647" s="96" t="str">
        <f>IF(F647="Skeet",IFERROR(INDEX('Shooter-Squad Assignment'!$A:$A,MATCH(C647&amp;"-"&amp;E647&amp;"-"&amp;F647&amp;"-Pos5",'Shooter-Squad Assignment'!$K:$K,0)),""),IF(F647="Trap",IFERROR(INDEX('Shooter-Squad Assignment'!$A:$A,MATCH(C647&amp;"-"&amp;E647&amp;"-"&amp;F647&amp;"-Pos5",'Shooter-Squad Assignment'!$W:$W,0)),""),IF(F647="Sporting Clays",IFERROR(INDEX('Shooter-Squad Assignment'!$A:$A,MATCH(C647&amp;"-"&amp;E647&amp;"-"&amp;F647&amp;"-Pos5",'Shooter-Squad Assignment'!$Z:$Z,0)),""),"")))</f>
        <v/>
      </c>
      <c r="P647" s="89" t="str">
        <f>IF(ISBLANK(O647),"",IFERROR(INDEX('Tournament List'!$D:$D,MATCH(O647,'Tournament List'!$A:$A,0)),""))</f>
        <v/>
      </c>
    </row>
    <row r="648" spans="1:16" x14ac:dyDescent="0.3">
      <c r="A648" s="87">
        <v>647</v>
      </c>
      <c r="B648" s="88" t="str">
        <f>C648&amp;"-"&amp;E648&amp;"-"&amp;F648</f>
        <v>-Collegiate 1-Sporting Clays</v>
      </c>
      <c r="C648" s="88"/>
      <c r="D648" s="88" t="str">
        <f>INDEX('Tournament Setup'!$B$59:$B$78,MATCH(E648,SquadConcurrents,0))</f>
        <v>Collegiate</v>
      </c>
      <c r="E648" s="88" t="s">
        <v>342</v>
      </c>
      <c r="F648" s="88" t="s">
        <v>148</v>
      </c>
      <c r="G648" s="96" t="str">
        <f>IF(F648="Skeet",IFERROR(INDEX('Shooter-Squad Assignment'!$A:$A,MATCH(C648&amp;"-"&amp;E648&amp;"-"&amp;F648&amp;"-Pos1",'Shooter-Squad Assignment'!$K:$K,0)),""),IF(F648="Trap",IFERROR(INDEX('Shooter-Squad Assignment'!$A:$A,MATCH(C648&amp;"-"&amp;E648&amp;"-"&amp;F648&amp;"-Pos1",'Shooter-Squad Assignment'!$W:$W,0)),""),IF(F648="Sporting Clays",IFERROR(INDEX('Shooter-Squad Assignment'!$A:$A,MATCH(C648&amp;"-"&amp;E648&amp;"-"&amp;F648&amp;"-Pos1",'Shooter-Squad Assignment'!$Z:$Z,0)),""),"")))</f>
        <v/>
      </c>
      <c r="H648" s="88" t="str">
        <f>IF(ISBLANK(G648),"",IFERROR(INDEX('Tournament List'!$D:$D,MATCH(G648,'Tournament List'!$A:$A,0)),""))</f>
        <v/>
      </c>
      <c r="I648" s="96" t="str">
        <f>IF(F648="Skeet",IFERROR(INDEX('Shooter-Squad Assignment'!$A:$A,MATCH(C648&amp;"-"&amp;E648&amp;"-"&amp;F648&amp;"-Pos2",'Shooter-Squad Assignment'!$K:$K,0)),""),IF(F648="Trap",IFERROR(INDEX('Shooter-Squad Assignment'!$A:$A,MATCH(C648&amp;"-"&amp;E648&amp;"-"&amp;F648&amp;"-Pos2",'Shooter-Squad Assignment'!$W:$W,0)),""),IF(F648="Sporting Clays",IFERROR(INDEX('Shooter-Squad Assignment'!$A:$A,MATCH(C648&amp;"-"&amp;E648&amp;"-"&amp;F648&amp;"-Pos2",'Shooter-Squad Assignment'!$Z:$Z,0)),""),"")))</f>
        <v/>
      </c>
      <c r="J648" s="88" t="str">
        <f>IF(ISBLANK(I648),"",IFERROR(INDEX('Tournament List'!$D:$D,MATCH(I648,'Tournament List'!$A:$A,0)),""))</f>
        <v/>
      </c>
      <c r="K648" s="96" t="str">
        <f>IF(F648="Skeet",IFERROR(INDEX('Shooter-Squad Assignment'!$A:$A,MATCH(C648&amp;"-"&amp;E648&amp;"-"&amp;F648&amp;"-Pos3",'Shooter-Squad Assignment'!$K:$K,0)),""),IF(F648="Trap",IFERROR(INDEX('Shooter-Squad Assignment'!$A:$A,MATCH(C648&amp;"-"&amp;E648&amp;"-"&amp;F648&amp;"-Pos3",'Shooter-Squad Assignment'!$W:$W,0)),""),IF(F648="Sporting Clays",IFERROR(INDEX('Shooter-Squad Assignment'!$A:$A,MATCH(C648&amp;"-"&amp;E648&amp;"-"&amp;F648&amp;"-Pos3",'Shooter-Squad Assignment'!$Z:$Z,0)),""),"")))</f>
        <v/>
      </c>
      <c r="L648" s="88" t="str">
        <f>IF(ISBLANK(K648),"",IFERROR(INDEX('Tournament List'!$D:$D,MATCH(K648,'Tournament List'!$A:$A,0)),""))</f>
        <v/>
      </c>
      <c r="M648" s="96" t="str">
        <f>IF(F648="Skeet",IFERROR(INDEX('Shooter-Squad Assignment'!$A:$A,MATCH(C648&amp;"-"&amp;E648&amp;"-"&amp;F648&amp;"-Pos4",'Shooter-Squad Assignment'!$K:$K,0)),""),IF(F648="Trap",IFERROR(INDEX('Shooter-Squad Assignment'!$A:$A,MATCH(C648&amp;"-"&amp;E648&amp;"-"&amp;F648&amp;"-Pos4",'Shooter-Squad Assignment'!$W:$W,0)),""),IF(F648="Sporting Clays",IFERROR(INDEX('Shooter-Squad Assignment'!$A:$A,MATCH(C648&amp;"-"&amp;E648&amp;"-"&amp;F648&amp;"-Pos4",'Shooter-Squad Assignment'!$Z:$Z,0)),""),"")))</f>
        <v/>
      </c>
      <c r="N648" s="88" t="str">
        <f>IF(ISBLANK(M648),"",IFERROR(INDEX('Tournament List'!$D:$D,MATCH(M648,'Tournament List'!$A:$A,0)),""))</f>
        <v/>
      </c>
      <c r="O648" s="96" t="str">
        <f>IF(F648="Skeet",IFERROR(INDEX('Shooter-Squad Assignment'!$A:$A,MATCH(C648&amp;"-"&amp;E648&amp;"-"&amp;F648&amp;"-Pos5",'Shooter-Squad Assignment'!$K:$K,0)),""),IF(F648="Trap",IFERROR(INDEX('Shooter-Squad Assignment'!$A:$A,MATCH(C648&amp;"-"&amp;E648&amp;"-"&amp;F648&amp;"-Pos5",'Shooter-Squad Assignment'!$W:$W,0)),""),IF(F648="Sporting Clays",IFERROR(INDEX('Shooter-Squad Assignment'!$A:$A,MATCH(C648&amp;"-"&amp;E648&amp;"-"&amp;F648&amp;"-Pos5",'Shooter-Squad Assignment'!$Z:$Z,0)),""),"")))</f>
        <v/>
      </c>
      <c r="P648" s="89" t="str">
        <f>IF(ISBLANK(O648),"",IFERROR(INDEX('Tournament List'!$D:$D,MATCH(O648,'Tournament List'!$A:$A,0)),""))</f>
        <v/>
      </c>
    </row>
    <row r="649" spans="1:16" x14ac:dyDescent="0.3">
      <c r="A649" s="87">
        <v>648</v>
      </c>
      <c r="B649" s="88" t="str">
        <f>C649&amp;"-"&amp;E649&amp;"-"&amp;F649</f>
        <v>-Collegiate 2-Sporting Clays</v>
      </c>
      <c r="C649" s="88"/>
      <c r="D649" s="88" t="str">
        <f>INDEX('Tournament Setup'!$B$59:$B$78,MATCH(E649,SquadConcurrents,0))</f>
        <v>Collegiate</v>
      </c>
      <c r="E649" s="88" t="s">
        <v>348</v>
      </c>
      <c r="F649" s="88" t="s">
        <v>148</v>
      </c>
      <c r="G649" s="96" t="str">
        <f>IF(F649="Skeet",IFERROR(INDEX('Shooter-Squad Assignment'!$A:$A,MATCH(C649&amp;"-"&amp;E649&amp;"-"&amp;F649&amp;"-Pos1",'Shooter-Squad Assignment'!$K:$K,0)),""),IF(F649="Trap",IFERROR(INDEX('Shooter-Squad Assignment'!$A:$A,MATCH(C649&amp;"-"&amp;E649&amp;"-"&amp;F649&amp;"-Pos1",'Shooter-Squad Assignment'!$W:$W,0)),""),IF(F649="Sporting Clays",IFERROR(INDEX('Shooter-Squad Assignment'!$A:$A,MATCH(C649&amp;"-"&amp;E649&amp;"-"&amp;F649&amp;"-Pos1",'Shooter-Squad Assignment'!$Z:$Z,0)),""),"")))</f>
        <v/>
      </c>
      <c r="H649" s="88" t="str">
        <f>IF(ISBLANK(G649),"",IFERROR(INDEX('Tournament List'!$D:$D,MATCH(G649,'Tournament List'!$A:$A,0)),""))</f>
        <v/>
      </c>
      <c r="I649" s="96" t="str">
        <f>IF(F649="Skeet",IFERROR(INDEX('Shooter-Squad Assignment'!$A:$A,MATCH(C649&amp;"-"&amp;E649&amp;"-"&amp;F649&amp;"-Pos2",'Shooter-Squad Assignment'!$K:$K,0)),""),IF(F649="Trap",IFERROR(INDEX('Shooter-Squad Assignment'!$A:$A,MATCH(C649&amp;"-"&amp;E649&amp;"-"&amp;F649&amp;"-Pos2",'Shooter-Squad Assignment'!$W:$W,0)),""),IF(F649="Sporting Clays",IFERROR(INDEX('Shooter-Squad Assignment'!$A:$A,MATCH(C649&amp;"-"&amp;E649&amp;"-"&amp;F649&amp;"-Pos2",'Shooter-Squad Assignment'!$Z:$Z,0)),""),"")))</f>
        <v/>
      </c>
      <c r="J649" s="88" t="str">
        <f>IF(ISBLANK(I649),"",IFERROR(INDEX('Tournament List'!$D:$D,MATCH(I649,'Tournament List'!$A:$A,0)),""))</f>
        <v/>
      </c>
      <c r="K649" s="96" t="str">
        <f>IF(F649="Skeet",IFERROR(INDEX('Shooter-Squad Assignment'!$A:$A,MATCH(C649&amp;"-"&amp;E649&amp;"-"&amp;F649&amp;"-Pos3",'Shooter-Squad Assignment'!$K:$K,0)),""),IF(F649="Trap",IFERROR(INDEX('Shooter-Squad Assignment'!$A:$A,MATCH(C649&amp;"-"&amp;E649&amp;"-"&amp;F649&amp;"-Pos3",'Shooter-Squad Assignment'!$W:$W,0)),""),IF(F649="Sporting Clays",IFERROR(INDEX('Shooter-Squad Assignment'!$A:$A,MATCH(C649&amp;"-"&amp;E649&amp;"-"&amp;F649&amp;"-Pos3",'Shooter-Squad Assignment'!$Z:$Z,0)),""),"")))</f>
        <v/>
      </c>
      <c r="L649" s="88" t="str">
        <f>IF(ISBLANK(K649),"",IFERROR(INDEX('Tournament List'!$D:$D,MATCH(K649,'Tournament List'!$A:$A,0)),""))</f>
        <v/>
      </c>
      <c r="M649" s="96" t="str">
        <f>IF(F649="Skeet",IFERROR(INDEX('Shooter-Squad Assignment'!$A:$A,MATCH(C649&amp;"-"&amp;E649&amp;"-"&amp;F649&amp;"-Pos4",'Shooter-Squad Assignment'!$K:$K,0)),""),IF(F649="Trap",IFERROR(INDEX('Shooter-Squad Assignment'!$A:$A,MATCH(C649&amp;"-"&amp;E649&amp;"-"&amp;F649&amp;"-Pos4",'Shooter-Squad Assignment'!$W:$W,0)),""),IF(F649="Sporting Clays",IFERROR(INDEX('Shooter-Squad Assignment'!$A:$A,MATCH(C649&amp;"-"&amp;E649&amp;"-"&amp;F649&amp;"-Pos4",'Shooter-Squad Assignment'!$Z:$Z,0)),""),"")))</f>
        <v/>
      </c>
      <c r="N649" s="88" t="str">
        <f>IF(ISBLANK(M649),"",IFERROR(INDEX('Tournament List'!$D:$D,MATCH(M649,'Tournament List'!$A:$A,0)),""))</f>
        <v/>
      </c>
      <c r="O649" s="96" t="str">
        <f>IF(F649="Skeet",IFERROR(INDEX('Shooter-Squad Assignment'!$A:$A,MATCH(C649&amp;"-"&amp;E649&amp;"-"&amp;F649&amp;"-Pos5",'Shooter-Squad Assignment'!$K:$K,0)),""),IF(F649="Trap",IFERROR(INDEX('Shooter-Squad Assignment'!$A:$A,MATCH(C649&amp;"-"&amp;E649&amp;"-"&amp;F649&amp;"-Pos5",'Shooter-Squad Assignment'!$W:$W,0)),""),IF(F649="Sporting Clays",IFERROR(INDEX('Shooter-Squad Assignment'!$A:$A,MATCH(C649&amp;"-"&amp;E649&amp;"-"&amp;F649&amp;"-Pos5",'Shooter-Squad Assignment'!$Z:$Z,0)),""),"")))</f>
        <v/>
      </c>
      <c r="P649" s="89" t="str">
        <f>IF(ISBLANK(O649),"",IFERROR(INDEX('Tournament List'!$D:$D,MATCH(O649,'Tournament List'!$A:$A,0)),""))</f>
        <v/>
      </c>
    </row>
    <row r="650" spans="1:16" x14ac:dyDescent="0.3">
      <c r="A650" s="87">
        <v>649</v>
      </c>
      <c r="B650" s="88" t="str">
        <f>C650&amp;"-"&amp;E650&amp;"-"&amp;F650</f>
        <v>-Collegiate 3-Sporting Clays</v>
      </c>
      <c r="C650" s="88"/>
      <c r="D650" s="88" t="str">
        <f>INDEX('Tournament Setup'!$B$59:$B$78,MATCH(E650,SquadConcurrents,0))</f>
        <v>Collegiate</v>
      </c>
      <c r="E650" s="88" t="s">
        <v>354</v>
      </c>
      <c r="F650" s="88" t="s">
        <v>148</v>
      </c>
      <c r="G650" s="96" t="str">
        <f>IF(F650="Skeet",IFERROR(INDEX('Shooter-Squad Assignment'!$A:$A,MATCH(C650&amp;"-"&amp;E650&amp;"-"&amp;F650&amp;"-Pos1",'Shooter-Squad Assignment'!$K:$K,0)),""),IF(F650="Trap",IFERROR(INDEX('Shooter-Squad Assignment'!$A:$A,MATCH(C650&amp;"-"&amp;E650&amp;"-"&amp;F650&amp;"-Pos1",'Shooter-Squad Assignment'!$W:$W,0)),""),IF(F650="Sporting Clays",IFERROR(INDEX('Shooter-Squad Assignment'!$A:$A,MATCH(C650&amp;"-"&amp;E650&amp;"-"&amp;F650&amp;"-Pos1",'Shooter-Squad Assignment'!$Z:$Z,0)),""),"")))</f>
        <v/>
      </c>
      <c r="H650" s="88" t="str">
        <f>IF(ISBLANK(G650),"",IFERROR(INDEX('Tournament List'!$D:$D,MATCH(G650,'Tournament List'!$A:$A,0)),""))</f>
        <v/>
      </c>
      <c r="I650" s="96" t="str">
        <f>IF(F650="Skeet",IFERROR(INDEX('Shooter-Squad Assignment'!$A:$A,MATCH(C650&amp;"-"&amp;E650&amp;"-"&amp;F650&amp;"-Pos2",'Shooter-Squad Assignment'!$K:$K,0)),""),IF(F650="Trap",IFERROR(INDEX('Shooter-Squad Assignment'!$A:$A,MATCH(C650&amp;"-"&amp;E650&amp;"-"&amp;F650&amp;"-Pos2",'Shooter-Squad Assignment'!$W:$W,0)),""),IF(F650="Sporting Clays",IFERROR(INDEX('Shooter-Squad Assignment'!$A:$A,MATCH(C650&amp;"-"&amp;E650&amp;"-"&amp;F650&amp;"-Pos2",'Shooter-Squad Assignment'!$Z:$Z,0)),""),"")))</f>
        <v/>
      </c>
      <c r="J650" s="88" t="str">
        <f>IF(ISBLANK(I650),"",IFERROR(INDEX('Tournament List'!$D:$D,MATCH(I650,'Tournament List'!$A:$A,0)),""))</f>
        <v/>
      </c>
      <c r="K650" s="96" t="str">
        <f>IF(F650="Skeet",IFERROR(INDEX('Shooter-Squad Assignment'!$A:$A,MATCH(C650&amp;"-"&amp;E650&amp;"-"&amp;F650&amp;"-Pos3",'Shooter-Squad Assignment'!$K:$K,0)),""),IF(F650="Trap",IFERROR(INDEX('Shooter-Squad Assignment'!$A:$A,MATCH(C650&amp;"-"&amp;E650&amp;"-"&amp;F650&amp;"-Pos3",'Shooter-Squad Assignment'!$W:$W,0)),""),IF(F650="Sporting Clays",IFERROR(INDEX('Shooter-Squad Assignment'!$A:$A,MATCH(C650&amp;"-"&amp;E650&amp;"-"&amp;F650&amp;"-Pos3",'Shooter-Squad Assignment'!$Z:$Z,0)),""),"")))</f>
        <v/>
      </c>
      <c r="L650" s="88" t="str">
        <f>IF(ISBLANK(K650),"",IFERROR(INDEX('Tournament List'!$D:$D,MATCH(K650,'Tournament List'!$A:$A,0)),""))</f>
        <v/>
      </c>
      <c r="M650" s="96" t="str">
        <f>IF(F650="Skeet",IFERROR(INDEX('Shooter-Squad Assignment'!$A:$A,MATCH(C650&amp;"-"&amp;E650&amp;"-"&amp;F650&amp;"-Pos4",'Shooter-Squad Assignment'!$K:$K,0)),""),IF(F650="Trap",IFERROR(INDEX('Shooter-Squad Assignment'!$A:$A,MATCH(C650&amp;"-"&amp;E650&amp;"-"&amp;F650&amp;"-Pos4",'Shooter-Squad Assignment'!$W:$W,0)),""),IF(F650="Sporting Clays",IFERROR(INDEX('Shooter-Squad Assignment'!$A:$A,MATCH(C650&amp;"-"&amp;E650&amp;"-"&amp;F650&amp;"-Pos4",'Shooter-Squad Assignment'!$Z:$Z,0)),""),"")))</f>
        <v/>
      </c>
      <c r="N650" s="88" t="str">
        <f>IF(ISBLANK(M650),"",IFERROR(INDEX('Tournament List'!$D:$D,MATCH(M650,'Tournament List'!$A:$A,0)),""))</f>
        <v/>
      </c>
      <c r="O650" s="96" t="str">
        <f>IF(F650="Skeet",IFERROR(INDEX('Shooter-Squad Assignment'!$A:$A,MATCH(C650&amp;"-"&amp;E650&amp;"-"&amp;F650&amp;"-Pos5",'Shooter-Squad Assignment'!$K:$K,0)),""),IF(F650="Trap",IFERROR(INDEX('Shooter-Squad Assignment'!$A:$A,MATCH(C650&amp;"-"&amp;E650&amp;"-"&amp;F650&amp;"-Pos5",'Shooter-Squad Assignment'!$W:$W,0)),""),IF(F650="Sporting Clays",IFERROR(INDEX('Shooter-Squad Assignment'!$A:$A,MATCH(C650&amp;"-"&amp;E650&amp;"-"&amp;F650&amp;"-Pos5",'Shooter-Squad Assignment'!$Z:$Z,0)),""),"")))</f>
        <v/>
      </c>
      <c r="P650" s="89" t="str">
        <f>IF(ISBLANK(O650),"",IFERROR(INDEX('Tournament List'!$D:$D,MATCH(O650,'Tournament List'!$A:$A,0)),""))</f>
        <v/>
      </c>
    </row>
    <row r="651" spans="1:16" x14ac:dyDescent="0.3">
      <c r="A651" s="87">
        <v>650</v>
      </c>
      <c r="B651" s="88" t="str">
        <f>C651&amp;"-"&amp;E651&amp;"-"&amp;F651</f>
        <v>-Intermediate 1-Sporting Clays</v>
      </c>
      <c r="C651" s="88"/>
      <c r="D651" s="88" t="str">
        <f>INDEX('Tournament Setup'!$B$59:$B$78,MATCH(E651,SquadConcurrents,0))</f>
        <v>Intermediate</v>
      </c>
      <c r="E651" s="88" t="s">
        <v>338</v>
      </c>
      <c r="F651" s="88" t="s">
        <v>148</v>
      </c>
      <c r="G651" s="96" t="str">
        <f>IF(F651="Skeet",IFERROR(INDEX('Shooter-Squad Assignment'!$A:$A,MATCH(C651&amp;"-"&amp;E651&amp;"-"&amp;F651&amp;"-Pos1",'Shooter-Squad Assignment'!$K:$K,0)),""),IF(F651="Trap",IFERROR(INDEX('Shooter-Squad Assignment'!$A:$A,MATCH(C651&amp;"-"&amp;E651&amp;"-"&amp;F651&amp;"-Pos1",'Shooter-Squad Assignment'!$W:$W,0)),""),IF(F651="Sporting Clays",IFERROR(INDEX('Shooter-Squad Assignment'!$A:$A,MATCH(C651&amp;"-"&amp;E651&amp;"-"&amp;F651&amp;"-Pos1",'Shooter-Squad Assignment'!$Z:$Z,0)),""),"")))</f>
        <v/>
      </c>
      <c r="H651" s="88" t="str">
        <f>IF(ISBLANK(G651),"",IFERROR(INDEX('Tournament List'!$D:$D,MATCH(G651,'Tournament List'!$A:$A,0)),""))</f>
        <v/>
      </c>
      <c r="I651" s="96" t="str">
        <f>IF(F651="Skeet",IFERROR(INDEX('Shooter-Squad Assignment'!$A:$A,MATCH(C651&amp;"-"&amp;E651&amp;"-"&amp;F651&amp;"-Pos2",'Shooter-Squad Assignment'!$K:$K,0)),""),IF(F651="Trap",IFERROR(INDEX('Shooter-Squad Assignment'!$A:$A,MATCH(C651&amp;"-"&amp;E651&amp;"-"&amp;F651&amp;"-Pos2",'Shooter-Squad Assignment'!$W:$W,0)),""),IF(F651="Sporting Clays",IFERROR(INDEX('Shooter-Squad Assignment'!$A:$A,MATCH(C651&amp;"-"&amp;E651&amp;"-"&amp;F651&amp;"-Pos2",'Shooter-Squad Assignment'!$Z:$Z,0)),""),"")))</f>
        <v/>
      </c>
      <c r="J651" s="88" t="str">
        <f>IF(ISBLANK(I651),"",IFERROR(INDEX('Tournament List'!$D:$D,MATCH(I651,'Tournament List'!$A:$A,0)),""))</f>
        <v/>
      </c>
      <c r="K651" s="96" t="str">
        <f>IF(F651="Skeet",IFERROR(INDEX('Shooter-Squad Assignment'!$A:$A,MATCH(C651&amp;"-"&amp;E651&amp;"-"&amp;F651&amp;"-Pos3",'Shooter-Squad Assignment'!$K:$K,0)),""),IF(F651="Trap",IFERROR(INDEX('Shooter-Squad Assignment'!$A:$A,MATCH(C651&amp;"-"&amp;E651&amp;"-"&amp;F651&amp;"-Pos3",'Shooter-Squad Assignment'!$W:$W,0)),""),IF(F651="Sporting Clays",IFERROR(INDEX('Shooter-Squad Assignment'!$A:$A,MATCH(C651&amp;"-"&amp;E651&amp;"-"&amp;F651&amp;"-Pos3",'Shooter-Squad Assignment'!$Z:$Z,0)),""),"")))</f>
        <v/>
      </c>
      <c r="L651" s="88" t="str">
        <f>IF(ISBLANK(K651),"",IFERROR(INDEX('Tournament List'!$D:$D,MATCH(K651,'Tournament List'!$A:$A,0)),""))</f>
        <v/>
      </c>
      <c r="M651" s="96" t="str">
        <f>IF(F651="Skeet",IFERROR(INDEX('Shooter-Squad Assignment'!$A:$A,MATCH(C651&amp;"-"&amp;E651&amp;"-"&amp;F651&amp;"-Pos4",'Shooter-Squad Assignment'!$K:$K,0)),""),IF(F651="Trap",IFERROR(INDEX('Shooter-Squad Assignment'!$A:$A,MATCH(C651&amp;"-"&amp;E651&amp;"-"&amp;F651&amp;"-Pos4",'Shooter-Squad Assignment'!$W:$W,0)),""),IF(F651="Sporting Clays",IFERROR(INDEX('Shooter-Squad Assignment'!$A:$A,MATCH(C651&amp;"-"&amp;E651&amp;"-"&amp;F651&amp;"-Pos4",'Shooter-Squad Assignment'!$Z:$Z,0)),""),"")))</f>
        <v/>
      </c>
      <c r="N651" s="88" t="str">
        <f>IF(ISBLANK(M651),"",IFERROR(INDEX('Tournament List'!$D:$D,MATCH(M651,'Tournament List'!$A:$A,0)),""))</f>
        <v/>
      </c>
      <c r="O651" s="96" t="str">
        <f>IF(F651="Skeet",IFERROR(INDEX('Shooter-Squad Assignment'!$A:$A,MATCH(C651&amp;"-"&amp;E651&amp;"-"&amp;F651&amp;"-Pos5",'Shooter-Squad Assignment'!$K:$K,0)),""),IF(F651="Trap",IFERROR(INDEX('Shooter-Squad Assignment'!$A:$A,MATCH(C651&amp;"-"&amp;E651&amp;"-"&amp;F651&amp;"-Pos5",'Shooter-Squad Assignment'!$W:$W,0)),""),IF(F651="Sporting Clays",IFERROR(INDEX('Shooter-Squad Assignment'!$A:$A,MATCH(C651&amp;"-"&amp;E651&amp;"-"&amp;F651&amp;"-Pos5",'Shooter-Squad Assignment'!$Z:$Z,0)),""),"")))</f>
        <v/>
      </c>
      <c r="P651" s="89" t="str">
        <f>IF(ISBLANK(O651),"",IFERROR(INDEX('Tournament List'!$D:$D,MATCH(O651,'Tournament List'!$A:$A,0)),""))</f>
        <v/>
      </c>
    </row>
    <row r="652" spans="1:16" x14ac:dyDescent="0.3">
      <c r="A652" s="87">
        <v>651</v>
      </c>
      <c r="B652" s="88" t="str">
        <f>C652&amp;"-"&amp;E652&amp;"-"&amp;F652</f>
        <v>-Intermediate 2-Sporting Clays</v>
      </c>
      <c r="C652" s="88"/>
      <c r="D652" s="88" t="str">
        <f>INDEX('Tournament Setup'!$B$59:$B$78,MATCH(E652,SquadConcurrents,0))</f>
        <v>Intermediate</v>
      </c>
      <c r="E652" s="88" t="s">
        <v>344</v>
      </c>
      <c r="F652" s="88" t="s">
        <v>148</v>
      </c>
      <c r="G652" s="96" t="str">
        <f>IF(F652="Skeet",IFERROR(INDEX('Shooter-Squad Assignment'!$A:$A,MATCH(C652&amp;"-"&amp;E652&amp;"-"&amp;F652&amp;"-Pos1",'Shooter-Squad Assignment'!$K:$K,0)),""),IF(F652="Trap",IFERROR(INDEX('Shooter-Squad Assignment'!$A:$A,MATCH(C652&amp;"-"&amp;E652&amp;"-"&amp;F652&amp;"-Pos1",'Shooter-Squad Assignment'!$W:$W,0)),""),IF(F652="Sporting Clays",IFERROR(INDEX('Shooter-Squad Assignment'!$A:$A,MATCH(C652&amp;"-"&amp;E652&amp;"-"&amp;F652&amp;"-Pos1",'Shooter-Squad Assignment'!$Z:$Z,0)),""),"")))</f>
        <v/>
      </c>
      <c r="H652" s="88" t="str">
        <f>IF(ISBLANK(G652),"",IFERROR(INDEX('Tournament List'!$D:$D,MATCH(G652,'Tournament List'!$A:$A,0)),""))</f>
        <v/>
      </c>
      <c r="I652" s="96" t="str">
        <f>IF(F652="Skeet",IFERROR(INDEX('Shooter-Squad Assignment'!$A:$A,MATCH(C652&amp;"-"&amp;E652&amp;"-"&amp;F652&amp;"-Pos2",'Shooter-Squad Assignment'!$K:$K,0)),""),IF(F652="Trap",IFERROR(INDEX('Shooter-Squad Assignment'!$A:$A,MATCH(C652&amp;"-"&amp;E652&amp;"-"&amp;F652&amp;"-Pos2",'Shooter-Squad Assignment'!$W:$W,0)),""),IF(F652="Sporting Clays",IFERROR(INDEX('Shooter-Squad Assignment'!$A:$A,MATCH(C652&amp;"-"&amp;E652&amp;"-"&amp;F652&amp;"-Pos2",'Shooter-Squad Assignment'!$Z:$Z,0)),""),"")))</f>
        <v/>
      </c>
      <c r="J652" s="88" t="str">
        <f>IF(ISBLANK(I652),"",IFERROR(INDEX('Tournament List'!$D:$D,MATCH(I652,'Tournament List'!$A:$A,0)),""))</f>
        <v/>
      </c>
      <c r="K652" s="96" t="str">
        <f>IF(F652="Skeet",IFERROR(INDEX('Shooter-Squad Assignment'!$A:$A,MATCH(C652&amp;"-"&amp;E652&amp;"-"&amp;F652&amp;"-Pos3",'Shooter-Squad Assignment'!$K:$K,0)),""),IF(F652="Trap",IFERROR(INDEX('Shooter-Squad Assignment'!$A:$A,MATCH(C652&amp;"-"&amp;E652&amp;"-"&amp;F652&amp;"-Pos3",'Shooter-Squad Assignment'!$W:$W,0)),""),IF(F652="Sporting Clays",IFERROR(INDEX('Shooter-Squad Assignment'!$A:$A,MATCH(C652&amp;"-"&amp;E652&amp;"-"&amp;F652&amp;"-Pos3",'Shooter-Squad Assignment'!$Z:$Z,0)),""),"")))</f>
        <v/>
      </c>
      <c r="L652" s="88" t="str">
        <f>IF(ISBLANK(K652),"",IFERROR(INDEX('Tournament List'!$D:$D,MATCH(K652,'Tournament List'!$A:$A,0)),""))</f>
        <v/>
      </c>
      <c r="M652" s="96" t="str">
        <f>IF(F652="Skeet",IFERROR(INDEX('Shooter-Squad Assignment'!$A:$A,MATCH(C652&amp;"-"&amp;E652&amp;"-"&amp;F652&amp;"-Pos4",'Shooter-Squad Assignment'!$K:$K,0)),""),IF(F652="Trap",IFERROR(INDEX('Shooter-Squad Assignment'!$A:$A,MATCH(C652&amp;"-"&amp;E652&amp;"-"&amp;F652&amp;"-Pos4",'Shooter-Squad Assignment'!$W:$W,0)),""),IF(F652="Sporting Clays",IFERROR(INDEX('Shooter-Squad Assignment'!$A:$A,MATCH(C652&amp;"-"&amp;E652&amp;"-"&amp;F652&amp;"-Pos4",'Shooter-Squad Assignment'!$Z:$Z,0)),""),"")))</f>
        <v/>
      </c>
      <c r="N652" s="88" t="str">
        <f>IF(ISBLANK(M652),"",IFERROR(INDEX('Tournament List'!$D:$D,MATCH(M652,'Tournament List'!$A:$A,0)),""))</f>
        <v/>
      </c>
      <c r="O652" s="96" t="str">
        <f>IF(F652="Skeet",IFERROR(INDEX('Shooter-Squad Assignment'!$A:$A,MATCH(C652&amp;"-"&amp;E652&amp;"-"&amp;F652&amp;"-Pos5",'Shooter-Squad Assignment'!$K:$K,0)),""),IF(F652="Trap",IFERROR(INDEX('Shooter-Squad Assignment'!$A:$A,MATCH(C652&amp;"-"&amp;E652&amp;"-"&amp;F652&amp;"-Pos5",'Shooter-Squad Assignment'!$W:$W,0)),""),IF(F652="Sporting Clays",IFERROR(INDEX('Shooter-Squad Assignment'!$A:$A,MATCH(C652&amp;"-"&amp;E652&amp;"-"&amp;F652&amp;"-Pos5",'Shooter-Squad Assignment'!$Z:$Z,0)),""),"")))</f>
        <v/>
      </c>
      <c r="P652" s="89" t="str">
        <f>IF(ISBLANK(O652),"",IFERROR(INDEX('Tournament List'!$D:$D,MATCH(O652,'Tournament List'!$A:$A,0)),""))</f>
        <v/>
      </c>
    </row>
    <row r="653" spans="1:16" x14ac:dyDescent="0.3">
      <c r="A653" s="87">
        <v>652</v>
      </c>
      <c r="B653" s="88" t="str">
        <f>C653&amp;"-"&amp;E653&amp;"-"&amp;F653</f>
        <v>-Intermediate 3-Sporting Clays</v>
      </c>
      <c r="C653" s="88"/>
      <c r="D653" s="88" t="str">
        <f>INDEX('Tournament Setup'!$B$59:$B$78,MATCH(E653,SquadConcurrents,0))</f>
        <v>Intermediate</v>
      </c>
      <c r="E653" s="88" t="s">
        <v>350</v>
      </c>
      <c r="F653" s="88" t="s">
        <v>148</v>
      </c>
      <c r="G653" s="96" t="str">
        <f>IF(F653="Skeet",IFERROR(INDEX('Shooter-Squad Assignment'!$A:$A,MATCH(C653&amp;"-"&amp;E653&amp;"-"&amp;F653&amp;"-Pos1",'Shooter-Squad Assignment'!$K:$K,0)),""),IF(F653="Trap",IFERROR(INDEX('Shooter-Squad Assignment'!$A:$A,MATCH(C653&amp;"-"&amp;E653&amp;"-"&amp;F653&amp;"-Pos1",'Shooter-Squad Assignment'!$W:$W,0)),""),IF(F653="Sporting Clays",IFERROR(INDEX('Shooter-Squad Assignment'!$A:$A,MATCH(C653&amp;"-"&amp;E653&amp;"-"&amp;F653&amp;"-Pos1",'Shooter-Squad Assignment'!$Z:$Z,0)),""),"")))</f>
        <v/>
      </c>
      <c r="H653" s="88" t="str">
        <f>IF(ISBLANK(G653),"",IFERROR(INDEX('Tournament List'!$D:$D,MATCH(G653,'Tournament List'!$A:$A,0)),""))</f>
        <v/>
      </c>
      <c r="I653" s="96" t="str">
        <f>IF(F653="Skeet",IFERROR(INDEX('Shooter-Squad Assignment'!$A:$A,MATCH(C653&amp;"-"&amp;E653&amp;"-"&amp;F653&amp;"-Pos2",'Shooter-Squad Assignment'!$K:$K,0)),""),IF(F653="Trap",IFERROR(INDEX('Shooter-Squad Assignment'!$A:$A,MATCH(C653&amp;"-"&amp;E653&amp;"-"&amp;F653&amp;"-Pos2",'Shooter-Squad Assignment'!$W:$W,0)),""),IF(F653="Sporting Clays",IFERROR(INDEX('Shooter-Squad Assignment'!$A:$A,MATCH(C653&amp;"-"&amp;E653&amp;"-"&amp;F653&amp;"-Pos2",'Shooter-Squad Assignment'!$Z:$Z,0)),""),"")))</f>
        <v/>
      </c>
      <c r="J653" s="88" t="str">
        <f>IF(ISBLANK(I653),"",IFERROR(INDEX('Tournament List'!$D:$D,MATCH(I653,'Tournament List'!$A:$A,0)),""))</f>
        <v/>
      </c>
      <c r="K653" s="96" t="str">
        <f>IF(F653="Skeet",IFERROR(INDEX('Shooter-Squad Assignment'!$A:$A,MATCH(C653&amp;"-"&amp;E653&amp;"-"&amp;F653&amp;"-Pos3",'Shooter-Squad Assignment'!$K:$K,0)),""),IF(F653="Trap",IFERROR(INDEX('Shooter-Squad Assignment'!$A:$A,MATCH(C653&amp;"-"&amp;E653&amp;"-"&amp;F653&amp;"-Pos3",'Shooter-Squad Assignment'!$W:$W,0)),""),IF(F653="Sporting Clays",IFERROR(INDEX('Shooter-Squad Assignment'!$A:$A,MATCH(C653&amp;"-"&amp;E653&amp;"-"&amp;F653&amp;"-Pos3",'Shooter-Squad Assignment'!$Z:$Z,0)),""),"")))</f>
        <v/>
      </c>
      <c r="L653" s="88" t="str">
        <f>IF(ISBLANK(K653),"",IFERROR(INDEX('Tournament List'!$D:$D,MATCH(K653,'Tournament List'!$A:$A,0)),""))</f>
        <v/>
      </c>
      <c r="M653" s="96" t="str">
        <f>IF(F653="Skeet",IFERROR(INDEX('Shooter-Squad Assignment'!$A:$A,MATCH(C653&amp;"-"&amp;E653&amp;"-"&amp;F653&amp;"-Pos4",'Shooter-Squad Assignment'!$K:$K,0)),""),IF(F653="Trap",IFERROR(INDEX('Shooter-Squad Assignment'!$A:$A,MATCH(C653&amp;"-"&amp;E653&amp;"-"&amp;F653&amp;"-Pos4",'Shooter-Squad Assignment'!$W:$W,0)),""),IF(F653="Sporting Clays",IFERROR(INDEX('Shooter-Squad Assignment'!$A:$A,MATCH(C653&amp;"-"&amp;E653&amp;"-"&amp;F653&amp;"-Pos4",'Shooter-Squad Assignment'!$Z:$Z,0)),""),"")))</f>
        <v/>
      </c>
      <c r="N653" s="88" t="str">
        <f>IF(ISBLANK(M653),"",IFERROR(INDEX('Tournament List'!$D:$D,MATCH(M653,'Tournament List'!$A:$A,0)),""))</f>
        <v/>
      </c>
      <c r="O653" s="96" t="str">
        <f>IF(F653="Skeet",IFERROR(INDEX('Shooter-Squad Assignment'!$A:$A,MATCH(C653&amp;"-"&amp;E653&amp;"-"&amp;F653&amp;"-Pos5",'Shooter-Squad Assignment'!$K:$K,0)),""),IF(F653="Trap",IFERROR(INDEX('Shooter-Squad Assignment'!$A:$A,MATCH(C653&amp;"-"&amp;E653&amp;"-"&amp;F653&amp;"-Pos5",'Shooter-Squad Assignment'!$W:$W,0)),""),IF(F653="Sporting Clays",IFERROR(INDEX('Shooter-Squad Assignment'!$A:$A,MATCH(C653&amp;"-"&amp;E653&amp;"-"&amp;F653&amp;"-Pos5",'Shooter-Squad Assignment'!$Z:$Z,0)),""),"")))</f>
        <v/>
      </c>
      <c r="P653" s="89" t="str">
        <f>IF(ISBLANK(O653),"",IFERROR(INDEX('Tournament List'!$D:$D,MATCH(O653,'Tournament List'!$A:$A,0)),""))</f>
        <v/>
      </c>
    </row>
    <row r="654" spans="1:16" x14ac:dyDescent="0.3">
      <c r="A654" s="87">
        <v>653</v>
      </c>
      <c r="B654" s="88" t="str">
        <f>C654&amp;"-"&amp;E654&amp;"-"&amp;F654</f>
        <v>-Junior Varsity 1-Sporting Clays</v>
      </c>
      <c r="C654" s="88"/>
      <c r="D654" s="88" t="str">
        <f>INDEX('Tournament Setup'!$B$59:$B$78,MATCH(E654,SquadConcurrents,0))</f>
        <v>Junior Varsity</v>
      </c>
      <c r="E654" s="88" t="s">
        <v>339</v>
      </c>
      <c r="F654" s="88" t="s">
        <v>148</v>
      </c>
      <c r="G654" s="96" t="str">
        <f>IF(F654="Skeet",IFERROR(INDEX('Shooter-Squad Assignment'!$A:$A,MATCH(C654&amp;"-"&amp;E654&amp;"-"&amp;F654&amp;"-Pos1",'Shooter-Squad Assignment'!$K:$K,0)),""),IF(F654="Trap",IFERROR(INDEX('Shooter-Squad Assignment'!$A:$A,MATCH(C654&amp;"-"&amp;E654&amp;"-"&amp;F654&amp;"-Pos1",'Shooter-Squad Assignment'!$W:$W,0)),""),IF(F654="Sporting Clays",IFERROR(INDEX('Shooter-Squad Assignment'!$A:$A,MATCH(C654&amp;"-"&amp;E654&amp;"-"&amp;F654&amp;"-Pos1",'Shooter-Squad Assignment'!$Z:$Z,0)),""),"")))</f>
        <v/>
      </c>
      <c r="H654" s="88" t="str">
        <f>IF(ISBLANK(G654),"",IFERROR(INDEX('Tournament List'!$D:$D,MATCH(G654,'Tournament List'!$A:$A,0)),""))</f>
        <v/>
      </c>
      <c r="I654" s="96" t="str">
        <f>IF(F654="Skeet",IFERROR(INDEX('Shooter-Squad Assignment'!$A:$A,MATCH(C654&amp;"-"&amp;E654&amp;"-"&amp;F654&amp;"-Pos2",'Shooter-Squad Assignment'!$K:$K,0)),""),IF(F654="Trap",IFERROR(INDEX('Shooter-Squad Assignment'!$A:$A,MATCH(C654&amp;"-"&amp;E654&amp;"-"&amp;F654&amp;"-Pos2",'Shooter-Squad Assignment'!$W:$W,0)),""),IF(F654="Sporting Clays",IFERROR(INDEX('Shooter-Squad Assignment'!$A:$A,MATCH(C654&amp;"-"&amp;E654&amp;"-"&amp;F654&amp;"-Pos2",'Shooter-Squad Assignment'!$Z:$Z,0)),""),"")))</f>
        <v/>
      </c>
      <c r="J654" s="88" t="str">
        <f>IF(ISBLANK(I654),"",IFERROR(INDEX('Tournament List'!$D:$D,MATCH(I654,'Tournament List'!$A:$A,0)),""))</f>
        <v/>
      </c>
      <c r="K654" s="96" t="str">
        <f>IF(F654="Skeet",IFERROR(INDEX('Shooter-Squad Assignment'!$A:$A,MATCH(C654&amp;"-"&amp;E654&amp;"-"&amp;F654&amp;"-Pos3",'Shooter-Squad Assignment'!$K:$K,0)),""),IF(F654="Trap",IFERROR(INDEX('Shooter-Squad Assignment'!$A:$A,MATCH(C654&amp;"-"&amp;E654&amp;"-"&amp;F654&amp;"-Pos3",'Shooter-Squad Assignment'!$W:$W,0)),""),IF(F654="Sporting Clays",IFERROR(INDEX('Shooter-Squad Assignment'!$A:$A,MATCH(C654&amp;"-"&amp;E654&amp;"-"&amp;F654&amp;"-Pos3",'Shooter-Squad Assignment'!$Z:$Z,0)),""),"")))</f>
        <v/>
      </c>
      <c r="L654" s="88" t="str">
        <f>IF(ISBLANK(K654),"",IFERROR(INDEX('Tournament List'!$D:$D,MATCH(K654,'Tournament List'!$A:$A,0)),""))</f>
        <v/>
      </c>
      <c r="M654" s="96" t="str">
        <f>IF(F654="Skeet",IFERROR(INDEX('Shooter-Squad Assignment'!$A:$A,MATCH(C654&amp;"-"&amp;E654&amp;"-"&amp;F654&amp;"-Pos4",'Shooter-Squad Assignment'!$K:$K,0)),""),IF(F654="Trap",IFERROR(INDEX('Shooter-Squad Assignment'!$A:$A,MATCH(C654&amp;"-"&amp;E654&amp;"-"&amp;F654&amp;"-Pos4",'Shooter-Squad Assignment'!$W:$W,0)),""),IF(F654="Sporting Clays",IFERROR(INDEX('Shooter-Squad Assignment'!$A:$A,MATCH(C654&amp;"-"&amp;E654&amp;"-"&amp;F654&amp;"-Pos4",'Shooter-Squad Assignment'!$Z:$Z,0)),""),"")))</f>
        <v/>
      </c>
      <c r="N654" s="88" t="str">
        <f>IF(ISBLANK(M654),"",IFERROR(INDEX('Tournament List'!$D:$D,MATCH(M654,'Tournament List'!$A:$A,0)),""))</f>
        <v/>
      </c>
      <c r="O654" s="96" t="str">
        <f>IF(F654="Skeet",IFERROR(INDEX('Shooter-Squad Assignment'!$A:$A,MATCH(C654&amp;"-"&amp;E654&amp;"-"&amp;F654&amp;"-Pos5",'Shooter-Squad Assignment'!$K:$K,0)),""),IF(F654="Trap",IFERROR(INDEX('Shooter-Squad Assignment'!$A:$A,MATCH(C654&amp;"-"&amp;E654&amp;"-"&amp;F654&amp;"-Pos5",'Shooter-Squad Assignment'!$W:$W,0)),""),IF(F654="Sporting Clays",IFERROR(INDEX('Shooter-Squad Assignment'!$A:$A,MATCH(C654&amp;"-"&amp;E654&amp;"-"&amp;F654&amp;"-Pos5",'Shooter-Squad Assignment'!$Z:$Z,0)),""),"")))</f>
        <v/>
      </c>
      <c r="P654" s="89" t="str">
        <f>IF(ISBLANK(O654),"",IFERROR(INDEX('Tournament List'!$D:$D,MATCH(O654,'Tournament List'!$A:$A,0)),""))</f>
        <v/>
      </c>
    </row>
    <row r="655" spans="1:16" x14ac:dyDescent="0.3">
      <c r="A655" s="87">
        <v>654</v>
      </c>
      <c r="B655" s="88" t="str">
        <f>C655&amp;"-"&amp;E655&amp;"-"&amp;F655</f>
        <v>-Junior Varsity 2-Sporting Clays</v>
      </c>
      <c r="C655" s="88"/>
      <c r="D655" s="88" t="str">
        <f>INDEX('Tournament Setup'!$B$59:$B$78,MATCH(E655,SquadConcurrents,0))</f>
        <v>Junior Varsity</v>
      </c>
      <c r="E655" s="88" t="s">
        <v>345</v>
      </c>
      <c r="F655" s="88" t="s">
        <v>148</v>
      </c>
      <c r="G655" s="96" t="str">
        <f>IF(F655="Skeet",IFERROR(INDEX('Shooter-Squad Assignment'!$A:$A,MATCH(C655&amp;"-"&amp;E655&amp;"-"&amp;F655&amp;"-Pos1",'Shooter-Squad Assignment'!$K:$K,0)),""),IF(F655="Trap",IFERROR(INDEX('Shooter-Squad Assignment'!$A:$A,MATCH(C655&amp;"-"&amp;E655&amp;"-"&amp;F655&amp;"-Pos1",'Shooter-Squad Assignment'!$W:$W,0)),""),IF(F655="Sporting Clays",IFERROR(INDEX('Shooter-Squad Assignment'!$A:$A,MATCH(C655&amp;"-"&amp;E655&amp;"-"&amp;F655&amp;"-Pos1",'Shooter-Squad Assignment'!$Z:$Z,0)),""),"")))</f>
        <v/>
      </c>
      <c r="H655" s="88" t="str">
        <f>IF(ISBLANK(G655),"",IFERROR(INDEX('Tournament List'!$D:$D,MATCH(G655,'Tournament List'!$A:$A,0)),""))</f>
        <v/>
      </c>
      <c r="I655" s="96" t="str">
        <f>IF(F655="Skeet",IFERROR(INDEX('Shooter-Squad Assignment'!$A:$A,MATCH(C655&amp;"-"&amp;E655&amp;"-"&amp;F655&amp;"-Pos2",'Shooter-Squad Assignment'!$K:$K,0)),""),IF(F655="Trap",IFERROR(INDEX('Shooter-Squad Assignment'!$A:$A,MATCH(C655&amp;"-"&amp;E655&amp;"-"&amp;F655&amp;"-Pos2",'Shooter-Squad Assignment'!$W:$W,0)),""),IF(F655="Sporting Clays",IFERROR(INDEX('Shooter-Squad Assignment'!$A:$A,MATCH(C655&amp;"-"&amp;E655&amp;"-"&amp;F655&amp;"-Pos2",'Shooter-Squad Assignment'!$Z:$Z,0)),""),"")))</f>
        <v/>
      </c>
      <c r="J655" s="88" t="str">
        <f>IF(ISBLANK(I655),"",IFERROR(INDEX('Tournament List'!$D:$D,MATCH(I655,'Tournament List'!$A:$A,0)),""))</f>
        <v/>
      </c>
      <c r="K655" s="96" t="str">
        <f>IF(F655="Skeet",IFERROR(INDEX('Shooter-Squad Assignment'!$A:$A,MATCH(C655&amp;"-"&amp;E655&amp;"-"&amp;F655&amp;"-Pos3",'Shooter-Squad Assignment'!$K:$K,0)),""),IF(F655="Trap",IFERROR(INDEX('Shooter-Squad Assignment'!$A:$A,MATCH(C655&amp;"-"&amp;E655&amp;"-"&amp;F655&amp;"-Pos3",'Shooter-Squad Assignment'!$W:$W,0)),""),IF(F655="Sporting Clays",IFERROR(INDEX('Shooter-Squad Assignment'!$A:$A,MATCH(C655&amp;"-"&amp;E655&amp;"-"&amp;F655&amp;"-Pos3",'Shooter-Squad Assignment'!$Z:$Z,0)),""),"")))</f>
        <v/>
      </c>
      <c r="L655" s="88" t="str">
        <f>IF(ISBLANK(K655),"",IFERROR(INDEX('Tournament List'!$D:$D,MATCH(K655,'Tournament List'!$A:$A,0)),""))</f>
        <v/>
      </c>
      <c r="M655" s="96" t="str">
        <f>IF(F655="Skeet",IFERROR(INDEX('Shooter-Squad Assignment'!$A:$A,MATCH(C655&amp;"-"&amp;E655&amp;"-"&amp;F655&amp;"-Pos4",'Shooter-Squad Assignment'!$K:$K,0)),""),IF(F655="Trap",IFERROR(INDEX('Shooter-Squad Assignment'!$A:$A,MATCH(C655&amp;"-"&amp;E655&amp;"-"&amp;F655&amp;"-Pos4",'Shooter-Squad Assignment'!$W:$W,0)),""),IF(F655="Sporting Clays",IFERROR(INDEX('Shooter-Squad Assignment'!$A:$A,MATCH(C655&amp;"-"&amp;E655&amp;"-"&amp;F655&amp;"-Pos4",'Shooter-Squad Assignment'!$Z:$Z,0)),""),"")))</f>
        <v/>
      </c>
      <c r="N655" s="88" t="str">
        <f>IF(ISBLANK(M655),"",IFERROR(INDEX('Tournament List'!$D:$D,MATCH(M655,'Tournament List'!$A:$A,0)),""))</f>
        <v/>
      </c>
      <c r="O655" s="96" t="str">
        <f>IF(F655="Skeet",IFERROR(INDEX('Shooter-Squad Assignment'!$A:$A,MATCH(C655&amp;"-"&amp;E655&amp;"-"&amp;F655&amp;"-Pos5",'Shooter-Squad Assignment'!$K:$K,0)),""),IF(F655="Trap",IFERROR(INDEX('Shooter-Squad Assignment'!$A:$A,MATCH(C655&amp;"-"&amp;E655&amp;"-"&amp;F655&amp;"-Pos5",'Shooter-Squad Assignment'!$W:$W,0)),""),IF(F655="Sporting Clays",IFERROR(INDEX('Shooter-Squad Assignment'!$A:$A,MATCH(C655&amp;"-"&amp;E655&amp;"-"&amp;F655&amp;"-Pos5",'Shooter-Squad Assignment'!$Z:$Z,0)),""),"")))</f>
        <v/>
      </c>
      <c r="P655" s="89" t="str">
        <f>IF(ISBLANK(O655),"",IFERROR(INDEX('Tournament List'!$D:$D,MATCH(O655,'Tournament List'!$A:$A,0)),""))</f>
        <v/>
      </c>
    </row>
    <row r="656" spans="1:16" x14ac:dyDescent="0.3">
      <c r="A656" s="87">
        <v>655</v>
      </c>
      <c r="B656" s="88" t="str">
        <f>C656&amp;"-"&amp;E656&amp;"-"&amp;F656</f>
        <v>-Junior Varsity 3-Sporting Clays</v>
      </c>
      <c r="C656" s="88"/>
      <c r="D656" s="88" t="str">
        <f>INDEX('Tournament Setup'!$B$59:$B$78,MATCH(E656,SquadConcurrents,0))</f>
        <v>Junior Varsity</v>
      </c>
      <c r="E656" s="88" t="s">
        <v>351</v>
      </c>
      <c r="F656" s="88" t="s">
        <v>148</v>
      </c>
      <c r="G656" s="96" t="str">
        <f>IF(F656="Skeet",IFERROR(INDEX('Shooter-Squad Assignment'!$A:$A,MATCH(C656&amp;"-"&amp;E656&amp;"-"&amp;F656&amp;"-Pos1",'Shooter-Squad Assignment'!$K:$K,0)),""),IF(F656="Trap",IFERROR(INDEX('Shooter-Squad Assignment'!$A:$A,MATCH(C656&amp;"-"&amp;E656&amp;"-"&amp;F656&amp;"-Pos1",'Shooter-Squad Assignment'!$W:$W,0)),""),IF(F656="Sporting Clays",IFERROR(INDEX('Shooter-Squad Assignment'!$A:$A,MATCH(C656&amp;"-"&amp;E656&amp;"-"&amp;F656&amp;"-Pos1",'Shooter-Squad Assignment'!$Z:$Z,0)),""),"")))</f>
        <v/>
      </c>
      <c r="H656" s="88" t="str">
        <f>IF(ISBLANK(G656),"",IFERROR(INDEX('Tournament List'!$D:$D,MATCH(G656,'Tournament List'!$A:$A,0)),""))</f>
        <v/>
      </c>
      <c r="I656" s="96" t="str">
        <f>IF(F656="Skeet",IFERROR(INDEX('Shooter-Squad Assignment'!$A:$A,MATCH(C656&amp;"-"&amp;E656&amp;"-"&amp;F656&amp;"-Pos2",'Shooter-Squad Assignment'!$K:$K,0)),""),IF(F656="Trap",IFERROR(INDEX('Shooter-Squad Assignment'!$A:$A,MATCH(C656&amp;"-"&amp;E656&amp;"-"&amp;F656&amp;"-Pos2",'Shooter-Squad Assignment'!$W:$W,0)),""),IF(F656="Sporting Clays",IFERROR(INDEX('Shooter-Squad Assignment'!$A:$A,MATCH(C656&amp;"-"&amp;E656&amp;"-"&amp;F656&amp;"-Pos2",'Shooter-Squad Assignment'!$Z:$Z,0)),""),"")))</f>
        <v/>
      </c>
      <c r="J656" s="88" t="str">
        <f>IF(ISBLANK(I656),"",IFERROR(INDEX('Tournament List'!$D:$D,MATCH(I656,'Tournament List'!$A:$A,0)),""))</f>
        <v/>
      </c>
      <c r="K656" s="96" t="str">
        <f>IF(F656="Skeet",IFERROR(INDEX('Shooter-Squad Assignment'!$A:$A,MATCH(C656&amp;"-"&amp;E656&amp;"-"&amp;F656&amp;"-Pos3",'Shooter-Squad Assignment'!$K:$K,0)),""),IF(F656="Trap",IFERROR(INDEX('Shooter-Squad Assignment'!$A:$A,MATCH(C656&amp;"-"&amp;E656&amp;"-"&amp;F656&amp;"-Pos3",'Shooter-Squad Assignment'!$W:$W,0)),""),IF(F656="Sporting Clays",IFERROR(INDEX('Shooter-Squad Assignment'!$A:$A,MATCH(C656&amp;"-"&amp;E656&amp;"-"&amp;F656&amp;"-Pos3",'Shooter-Squad Assignment'!$Z:$Z,0)),""),"")))</f>
        <v/>
      </c>
      <c r="L656" s="88" t="str">
        <f>IF(ISBLANK(K656),"",IFERROR(INDEX('Tournament List'!$D:$D,MATCH(K656,'Tournament List'!$A:$A,0)),""))</f>
        <v/>
      </c>
      <c r="M656" s="96" t="str">
        <f>IF(F656="Skeet",IFERROR(INDEX('Shooter-Squad Assignment'!$A:$A,MATCH(C656&amp;"-"&amp;E656&amp;"-"&amp;F656&amp;"-Pos4",'Shooter-Squad Assignment'!$K:$K,0)),""),IF(F656="Trap",IFERROR(INDEX('Shooter-Squad Assignment'!$A:$A,MATCH(C656&amp;"-"&amp;E656&amp;"-"&amp;F656&amp;"-Pos4",'Shooter-Squad Assignment'!$W:$W,0)),""),IF(F656="Sporting Clays",IFERROR(INDEX('Shooter-Squad Assignment'!$A:$A,MATCH(C656&amp;"-"&amp;E656&amp;"-"&amp;F656&amp;"-Pos4",'Shooter-Squad Assignment'!$Z:$Z,0)),""),"")))</f>
        <v/>
      </c>
      <c r="N656" s="88" t="str">
        <f>IF(ISBLANK(M656),"",IFERROR(INDEX('Tournament List'!$D:$D,MATCH(M656,'Tournament List'!$A:$A,0)),""))</f>
        <v/>
      </c>
      <c r="O656" s="96" t="str">
        <f>IF(F656="Skeet",IFERROR(INDEX('Shooter-Squad Assignment'!$A:$A,MATCH(C656&amp;"-"&amp;E656&amp;"-"&amp;F656&amp;"-Pos5",'Shooter-Squad Assignment'!$K:$K,0)),""),IF(F656="Trap",IFERROR(INDEX('Shooter-Squad Assignment'!$A:$A,MATCH(C656&amp;"-"&amp;E656&amp;"-"&amp;F656&amp;"-Pos5",'Shooter-Squad Assignment'!$W:$W,0)),""),IF(F656="Sporting Clays",IFERROR(INDEX('Shooter-Squad Assignment'!$A:$A,MATCH(C656&amp;"-"&amp;E656&amp;"-"&amp;F656&amp;"-Pos5",'Shooter-Squad Assignment'!$Z:$Z,0)),""),"")))</f>
        <v/>
      </c>
      <c r="P656" s="89" t="str">
        <f>IF(ISBLANK(O656),"",IFERROR(INDEX('Tournament List'!$D:$D,MATCH(O656,'Tournament List'!$A:$A,0)),""))</f>
        <v/>
      </c>
    </row>
    <row r="657" spans="1:16" x14ac:dyDescent="0.3">
      <c r="A657" s="87">
        <v>656</v>
      </c>
      <c r="B657" s="88" t="str">
        <f>C657&amp;"-"&amp;E657&amp;"-"&amp;F657</f>
        <v>-Novice 1-Sporting Clays</v>
      </c>
      <c r="C657" s="88"/>
      <c r="D657" s="88" t="str">
        <f>INDEX('Tournament Setup'!$B$59:$B$78,MATCH(E657,SquadConcurrents,0))</f>
        <v>Novice</v>
      </c>
      <c r="E657" s="88" t="s">
        <v>337</v>
      </c>
      <c r="F657" s="88" t="s">
        <v>148</v>
      </c>
      <c r="G657" s="96" t="str">
        <f>IF(F657="Skeet",IFERROR(INDEX('Shooter-Squad Assignment'!$A:$A,MATCH(C657&amp;"-"&amp;E657&amp;"-"&amp;F657&amp;"-Pos1",'Shooter-Squad Assignment'!$K:$K,0)),""),IF(F657="Trap",IFERROR(INDEX('Shooter-Squad Assignment'!$A:$A,MATCH(C657&amp;"-"&amp;E657&amp;"-"&amp;F657&amp;"-Pos1",'Shooter-Squad Assignment'!$W:$W,0)),""),IF(F657="Sporting Clays",IFERROR(INDEX('Shooter-Squad Assignment'!$A:$A,MATCH(C657&amp;"-"&amp;E657&amp;"-"&amp;F657&amp;"-Pos1",'Shooter-Squad Assignment'!$Z:$Z,0)),""),"")))</f>
        <v/>
      </c>
      <c r="H657" s="88" t="str">
        <f>IF(ISBLANK(G657),"",IFERROR(INDEX('Tournament List'!$D:$D,MATCH(G657,'Tournament List'!$A:$A,0)),""))</f>
        <v/>
      </c>
      <c r="I657" s="96" t="str">
        <f>IF(F657="Skeet",IFERROR(INDEX('Shooter-Squad Assignment'!$A:$A,MATCH(C657&amp;"-"&amp;E657&amp;"-"&amp;F657&amp;"-Pos2",'Shooter-Squad Assignment'!$K:$K,0)),""),IF(F657="Trap",IFERROR(INDEX('Shooter-Squad Assignment'!$A:$A,MATCH(C657&amp;"-"&amp;E657&amp;"-"&amp;F657&amp;"-Pos2",'Shooter-Squad Assignment'!$W:$W,0)),""),IF(F657="Sporting Clays",IFERROR(INDEX('Shooter-Squad Assignment'!$A:$A,MATCH(C657&amp;"-"&amp;E657&amp;"-"&amp;F657&amp;"-Pos2",'Shooter-Squad Assignment'!$Z:$Z,0)),""),"")))</f>
        <v/>
      </c>
      <c r="J657" s="88" t="str">
        <f>IF(ISBLANK(I657),"",IFERROR(INDEX('Tournament List'!$D:$D,MATCH(I657,'Tournament List'!$A:$A,0)),""))</f>
        <v/>
      </c>
      <c r="K657" s="96" t="str">
        <f>IF(F657="Skeet",IFERROR(INDEX('Shooter-Squad Assignment'!$A:$A,MATCH(C657&amp;"-"&amp;E657&amp;"-"&amp;F657&amp;"-Pos3",'Shooter-Squad Assignment'!$K:$K,0)),""),IF(F657="Trap",IFERROR(INDEX('Shooter-Squad Assignment'!$A:$A,MATCH(C657&amp;"-"&amp;E657&amp;"-"&amp;F657&amp;"-Pos3",'Shooter-Squad Assignment'!$W:$W,0)),""),IF(F657="Sporting Clays",IFERROR(INDEX('Shooter-Squad Assignment'!$A:$A,MATCH(C657&amp;"-"&amp;E657&amp;"-"&amp;F657&amp;"-Pos3",'Shooter-Squad Assignment'!$Z:$Z,0)),""),"")))</f>
        <v/>
      </c>
      <c r="L657" s="88" t="str">
        <f>IF(ISBLANK(K657),"",IFERROR(INDEX('Tournament List'!$D:$D,MATCH(K657,'Tournament List'!$A:$A,0)),""))</f>
        <v/>
      </c>
      <c r="M657" s="96" t="str">
        <f>IF(F657="Skeet",IFERROR(INDEX('Shooter-Squad Assignment'!$A:$A,MATCH(C657&amp;"-"&amp;E657&amp;"-"&amp;F657&amp;"-Pos4",'Shooter-Squad Assignment'!$K:$K,0)),""),IF(F657="Trap",IFERROR(INDEX('Shooter-Squad Assignment'!$A:$A,MATCH(C657&amp;"-"&amp;E657&amp;"-"&amp;F657&amp;"-Pos4",'Shooter-Squad Assignment'!$W:$W,0)),""),IF(F657="Sporting Clays",IFERROR(INDEX('Shooter-Squad Assignment'!$A:$A,MATCH(C657&amp;"-"&amp;E657&amp;"-"&amp;F657&amp;"-Pos4",'Shooter-Squad Assignment'!$Z:$Z,0)),""),"")))</f>
        <v/>
      </c>
      <c r="N657" s="88" t="str">
        <f>IF(ISBLANK(M657),"",IFERROR(INDEX('Tournament List'!$D:$D,MATCH(M657,'Tournament List'!$A:$A,0)),""))</f>
        <v/>
      </c>
      <c r="O657" s="96" t="str">
        <f>IF(F657="Skeet",IFERROR(INDEX('Shooter-Squad Assignment'!$A:$A,MATCH(C657&amp;"-"&amp;E657&amp;"-"&amp;F657&amp;"-Pos5",'Shooter-Squad Assignment'!$K:$K,0)),""),IF(F657="Trap",IFERROR(INDEX('Shooter-Squad Assignment'!$A:$A,MATCH(C657&amp;"-"&amp;E657&amp;"-"&amp;F657&amp;"-Pos5",'Shooter-Squad Assignment'!$W:$W,0)),""),IF(F657="Sporting Clays",IFERROR(INDEX('Shooter-Squad Assignment'!$A:$A,MATCH(C657&amp;"-"&amp;E657&amp;"-"&amp;F657&amp;"-Pos5",'Shooter-Squad Assignment'!$Z:$Z,0)),""),"")))</f>
        <v/>
      </c>
      <c r="P657" s="89" t="str">
        <f>IF(ISBLANK(O657),"",IFERROR(INDEX('Tournament List'!$D:$D,MATCH(O657,'Tournament List'!$A:$A,0)),""))</f>
        <v/>
      </c>
    </row>
    <row r="658" spans="1:16" x14ac:dyDescent="0.3">
      <c r="A658" s="87">
        <v>657</v>
      </c>
      <c r="B658" s="88" t="str">
        <f>C658&amp;"-"&amp;E658&amp;"-"&amp;F658</f>
        <v>-Novice 2-Sporting Clays</v>
      </c>
      <c r="C658" s="88"/>
      <c r="D658" s="88" t="str">
        <f>INDEX('Tournament Setup'!$B$59:$B$78,MATCH(E658,SquadConcurrents,0))</f>
        <v>Novice</v>
      </c>
      <c r="E658" s="88" t="s">
        <v>343</v>
      </c>
      <c r="F658" s="88" t="s">
        <v>148</v>
      </c>
      <c r="G658" s="96" t="str">
        <f>IF(F658="Skeet",IFERROR(INDEX('Shooter-Squad Assignment'!$A:$A,MATCH(C658&amp;"-"&amp;E658&amp;"-"&amp;F658&amp;"-Pos1",'Shooter-Squad Assignment'!$K:$K,0)),""),IF(F658="Trap",IFERROR(INDEX('Shooter-Squad Assignment'!$A:$A,MATCH(C658&amp;"-"&amp;E658&amp;"-"&amp;F658&amp;"-Pos1",'Shooter-Squad Assignment'!$W:$W,0)),""),IF(F658="Sporting Clays",IFERROR(INDEX('Shooter-Squad Assignment'!$A:$A,MATCH(C658&amp;"-"&amp;E658&amp;"-"&amp;F658&amp;"-Pos1",'Shooter-Squad Assignment'!$Z:$Z,0)),""),"")))</f>
        <v/>
      </c>
      <c r="H658" s="88" t="str">
        <f>IF(ISBLANK(G658),"",IFERROR(INDEX('Tournament List'!$D:$D,MATCH(G658,'Tournament List'!$A:$A,0)),""))</f>
        <v/>
      </c>
      <c r="I658" s="96" t="str">
        <f>IF(F658="Skeet",IFERROR(INDEX('Shooter-Squad Assignment'!$A:$A,MATCH(C658&amp;"-"&amp;E658&amp;"-"&amp;F658&amp;"-Pos2",'Shooter-Squad Assignment'!$K:$K,0)),""),IF(F658="Trap",IFERROR(INDEX('Shooter-Squad Assignment'!$A:$A,MATCH(C658&amp;"-"&amp;E658&amp;"-"&amp;F658&amp;"-Pos2",'Shooter-Squad Assignment'!$W:$W,0)),""),IF(F658="Sporting Clays",IFERROR(INDEX('Shooter-Squad Assignment'!$A:$A,MATCH(C658&amp;"-"&amp;E658&amp;"-"&amp;F658&amp;"-Pos2",'Shooter-Squad Assignment'!$Z:$Z,0)),""),"")))</f>
        <v/>
      </c>
      <c r="J658" s="88" t="str">
        <f>IF(ISBLANK(I658),"",IFERROR(INDEX('Tournament List'!$D:$D,MATCH(I658,'Tournament List'!$A:$A,0)),""))</f>
        <v/>
      </c>
      <c r="K658" s="96" t="str">
        <f>IF(F658="Skeet",IFERROR(INDEX('Shooter-Squad Assignment'!$A:$A,MATCH(C658&amp;"-"&amp;E658&amp;"-"&amp;F658&amp;"-Pos3",'Shooter-Squad Assignment'!$K:$K,0)),""),IF(F658="Trap",IFERROR(INDEX('Shooter-Squad Assignment'!$A:$A,MATCH(C658&amp;"-"&amp;E658&amp;"-"&amp;F658&amp;"-Pos3",'Shooter-Squad Assignment'!$W:$W,0)),""),IF(F658="Sporting Clays",IFERROR(INDEX('Shooter-Squad Assignment'!$A:$A,MATCH(C658&amp;"-"&amp;E658&amp;"-"&amp;F658&amp;"-Pos3",'Shooter-Squad Assignment'!$Z:$Z,0)),""),"")))</f>
        <v/>
      </c>
      <c r="L658" s="88" t="str">
        <f>IF(ISBLANK(K658),"",IFERROR(INDEX('Tournament List'!$D:$D,MATCH(K658,'Tournament List'!$A:$A,0)),""))</f>
        <v/>
      </c>
      <c r="M658" s="96" t="str">
        <f>IF(F658="Skeet",IFERROR(INDEX('Shooter-Squad Assignment'!$A:$A,MATCH(C658&amp;"-"&amp;E658&amp;"-"&amp;F658&amp;"-Pos4",'Shooter-Squad Assignment'!$K:$K,0)),""),IF(F658="Trap",IFERROR(INDEX('Shooter-Squad Assignment'!$A:$A,MATCH(C658&amp;"-"&amp;E658&amp;"-"&amp;F658&amp;"-Pos4",'Shooter-Squad Assignment'!$W:$W,0)),""),IF(F658="Sporting Clays",IFERROR(INDEX('Shooter-Squad Assignment'!$A:$A,MATCH(C658&amp;"-"&amp;E658&amp;"-"&amp;F658&amp;"-Pos4",'Shooter-Squad Assignment'!$Z:$Z,0)),""),"")))</f>
        <v/>
      </c>
      <c r="N658" s="88" t="str">
        <f>IF(ISBLANK(M658),"",IFERROR(INDEX('Tournament List'!$D:$D,MATCH(M658,'Tournament List'!$A:$A,0)),""))</f>
        <v/>
      </c>
      <c r="O658" s="96" t="str">
        <f>IF(F658="Skeet",IFERROR(INDEX('Shooter-Squad Assignment'!$A:$A,MATCH(C658&amp;"-"&amp;E658&amp;"-"&amp;F658&amp;"-Pos5",'Shooter-Squad Assignment'!$K:$K,0)),""),IF(F658="Trap",IFERROR(INDEX('Shooter-Squad Assignment'!$A:$A,MATCH(C658&amp;"-"&amp;E658&amp;"-"&amp;F658&amp;"-Pos5",'Shooter-Squad Assignment'!$W:$W,0)),""),IF(F658="Sporting Clays",IFERROR(INDEX('Shooter-Squad Assignment'!$A:$A,MATCH(C658&amp;"-"&amp;E658&amp;"-"&amp;F658&amp;"-Pos5",'Shooter-Squad Assignment'!$Z:$Z,0)),""),"")))</f>
        <v/>
      </c>
      <c r="P658" s="89" t="str">
        <f>IF(ISBLANK(O658),"",IFERROR(INDEX('Tournament List'!$D:$D,MATCH(O658,'Tournament List'!$A:$A,0)),""))</f>
        <v/>
      </c>
    </row>
    <row r="659" spans="1:16" x14ac:dyDescent="0.3">
      <c r="A659" s="87">
        <v>658</v>
      </c>
      <c r="B659" s="88" t="str">
        <f>C659&amp;"-"&amp;E659&amp;"-"&amp;F659</f>
        <v>-Novice 3-Sporting Clays</v>
      </c>
      <c r="C659" s="88"/>
      <c r="D659" s="88" t="str">
        <f>INDEX('Tournament Setup'!$B$59:$B$78,MATCH(E659,SquadConcurrents,0))</f>
        <v>Novice</v>
      </c>
      <c r="E659" s="88" t="s">
        <v>349</v>
      </c>
      <c r="F659" s="88" t="s">
        <v>148</v>
      </c>
      <c r="G659" s="96" t="str">
        <f>IF(F659="Skeet",IFERROR(INDEX('Shooter-Squad Assignment'!$A:$A,MATCH(C659&amp;"-"&amp;E659&amp;"-"&amp;F659&amp;"-Pos1",'Shooter-Squad Assignment'!$K:$K,0)),""),IF(F659="Trap",IFERROR(INDEX('Shooter-Squad Assignment'!$A:$A,MATCH(C659&amp;"-"&amp;E659&amp;"-"&amp;F659&amp;"-Pos1",'Shooter-Squad Assignment'!$W:$W,0)),""),IF(F659="Sporting Clays",IFERROR(INDEX('Shooter-Squad Assignment'!$A:$A,MATCH(C659&amp;"-"&amp;E659&amp;"-"&amp;F659&amp;"-Pos1",'Shooter-Squad Assignment'!$Z:$Z,0)),""),"")))</f>
        <v/>
      </c>
      <c r="H659" s="88" t="str">
        <f>IF(ISBLANK(G659),"",IFERROR(INDEX('Tournament List'!$D:$D,MATCH(G659,'Tournament List'!$A:$A,0)),""))</f>
        <v/>
      </c>
      <c r="I659" s="96" t="str">
        <f>IF(F659="Skeet",IFERROR(INDEX('Shooter-Squad Assignment'!$A:$A,MATCH(C659&amp;"-"&amp;E659&amp;"-"&amp;F659&amp;"-Pos2",'Shooter-Squad Assignment'!$K:$K,0)),""),IF(F659="Trap",IFERROR(INDEX('Shooter-Squad Assignment'!$A:$A,MATCH(C659&amp;"-"&amp;E659&amp;"-"&amp;F659&amp;"-Pos2",'Shooter-Squad Assignment'!$W:$W,0)),""),IF(F659="Sporting Clays",IFERROR(INDEX('Shooter-Squad Assignment'!$A:$A,MATCH(C659&amp;"-"&amp;E659&amp;"-"&amp;F659&amp;"-Pos2",'Shooter-Squad Assignment'!$Z:$Z,0)),""),"")))</f>
        <v/>
      </c>
      <c r="J659" s="88" t="str">
        <f>IF(ISBLANK(I659),"",IFERROR(INDEX('Tournament List'!$D:$D,MATCH(I659,'Tournament List'!$A:$A,0)),""))</f>
        <v/>
      </c>
      <c r="K659" s="96" t="str">
        <f>IF(F659="Skeet",IFERROR(INDEX('Shooter-Squad Assignment'!$A:$A,MATCH(C659&amp;"-"&amp;E659&amp;"-"&amp;F659&amp;"-Pos3",'Shooter-Squad Assignment'!$K:$K,0)),""),IF(F659="Trap",IFERROR(INDEX('Shooter-Squad Assignment'!$A:$A,MATCH(C659&amp;"-"&amp;E659&amp;"-"&amp;F659&amp;"-Pos3",'Shooter-Squad Assignment'!$W:$W,0)),""),IF(F659="Sporting Clays",IFERROR(INDEX('Shooter-Squad Assignment'!$A:$A,MATCH(C659&amp;"-"&amp;E659&amp;"-"&amp;F659&amp;"-Pos3",'Shooter-Squad Assignment'!$Z:$Z,0)),""),"")))</f>
        <v/>
      </c>
      <c r="L659" s="88" t="str">
        <f>IF(ISBLANK(K659),"",IFERROR(INDEX('Tournament List'!$D:$D,MATCH(K659,'Tournament List'!$A:$A,0)),""))</f>
        <v/>
      </c>
      <c r="M659" s="96" t="str">
        <f>IF(F659="Skeet",IFERROR(INDEX('Shooter-Squad Assignment'!$A:$A,MATCH(C659&amp;"-"&amp;E659&amp;"-"&amp;F659&amp;"-Pos4",'Shooter-Squad Assignment'!$K:$K,0)),""),IF(F659="Trap",IFERROR(INDEX('Shooter-Squad Assignment'!$A:$A,MATCH(C659&amp;"-"&amp;E659&amp;"-"&amp;F659&amp;"-Pos4",'Shooter-Squad Assignment'!$W:$W,0)),""),IF(F659="Sporting Clays",IFERROR(INDEX('Shooter-Squad Assignment'!$A:$A,MATCH(C659&amp;"-"&amp;E659&amp;"-"&amp;F659&amp;"-Pos4",'Shooter-Squad Assignment'!$Z:$Z,0)),""),"")))</f>
        <v/>
      </c>
      <c r="N659" s="88" t="str">
        <f>IF(ISBLANK(M659),"",IFERROR(INDEX('Tournament List'!$D:$D,MATCH(M659,'Tournament List'!$A:$A,0)),""))</f>
        <v/>
      </c>
      <c r="O659" s="96" t="str">
        <f>IF(F659="Skeet",IFERROR(INDEX('Shooter-Squad Assignment'!$A:$A,MATCH(C659&amp;"-"&amp;E659&amp;"-"&amp;F659&amp;"-Pos5",'Shooter-Squad Assignment'!$K:$K,0)),""),IF(F659="Trap",IFERROR(INDEX('Shooter-Squad Assignment'!$A:$A,MATCH(C659&amp;"-"&amp;E659&amp;"-"&amp;F659&amp;"-Pos5",'Shooter-Squad Assignment'!$W:$W,0)),""),IF(F659="Sporting Clays",IFERROR(INDEX('Shooter-Squad Assignment'!$A:$A,MATCH(C659&amp;"-"&amp;E659&amp;"-"&amp;F659&amp;"-Pos5",'Shooter-Squad Assignment'!$Z:$Z,0)),""),"")))</f>
        <v/>
      </c>
      <c r="P659" s="89" t="str">
        <f>IF(ISBLANK(O659),"",IFERROR(INDEX('Tournament List'!$D:$D,MATCH(O659,'Tournament List'!$A:$A,0)),""))</f>
        <v/>
      </c>
    </row>
    <row r="660" spans="1:16" x14ac:dyDescent="0.3">
      <c r="A660" s="87">
        <v>659</v>
      </c>
      <c r="B660" s="88" t="str">
        <f>C660&amp;"-"&amp;E660&amp;"-"&amp;F660</f>
        <v>-Open 1-Sporting Clays</v>
      </c>
      <c r="C660" s="88"/>
      <c r="D660" s="88" t="str">
        <f>INDEX('Tournament Setup'!$B$59:$B$78,MATCH(E660,SquadConcurrents,0))</f>
        <v>Open</v>
      </c>
      <c r="E660" s="88" t="s">
        <v>341</v>
      </c>
      <c r="F660" s="88" t="s">
        <v>148</v>
      </c>
      <c r="G660" s="96" t="str">
        <f>IF(F660="Skeet",IFERROR(INDEX('Shooter-Squad Assignment'!$A:$A,MATCH(C660&amp;"-"&amp;E660&amp;"-"&amp;F660&amp;"-Pos1",'Shooter-Squad Assignment'!$K:$K,0)),""),IF(F660="Trap",IFERROR(INDEX('Shooter-Squad Assignment'!$A:$A,MATCH(C660&amp;"-"&amp;E660&amp;"-"&amp;F660&amp;"-Pos1",'Shooter-Squad Assignment'!$W:$W,0)),""),IF(F660="Sporting Clays",IFERROR(INDEX('Shooter-Squad Assignment'!$A:$A,MATCH(C660&amp;"-"&amp;E660&amp;"-"&amp;F660&amp;"-Pos1",'Shooter-Squad Assignment'!$Z:$Z,0)),""),"")))</f>
        <v/>
      </c>
      <c r="H660" s="88" t="str">
        <f>IF(ISBLANK(G660),"",IFERROR(INDEX('Tournament List'!$D:$D,MATCH(G660,'Tournament List'!$A:$A,0)),""))</f>
        <v/>
      </c>
      <c r="I660" s="96" t="str">
        <f>IF(F660="Skeet",IFERROR(INDEX('Shooter-Squad Assignment'!$A:$A,MATCH(C660&amp;"-"&amp;E660&amp;"-"&amp;F660&amp;"-Pos2",'Shooter-Squad Assignment'!$K:$K,0)),""),IF(F660="Trap",IFERROR(INDEX('Shooter-Squad Assignment'!$A:$A,MATCH(C660&amp;"-"&amp;E660&amp;"-"&amp;F660&amp;"-Pos2",'Shooter-Squad Assignment'!$W:$W,0)),""),IF(F660="Sporting Clays",IFERROR(INDEX('Shooter-Squad Assignment'!$A:$A,MATCH(C660&amp;"-"&amp;E660&amp;"-"&amp;F660&amp;"-Pos2",'Shooter-Squad Assignment'!$Z:$Z,0)),""),"")))</f>
        <v/>
      </c>
      <c r="J660" s="88" t="str">
        <f>IF(ISBLANK(I660),"",IFERROR(INDEX('Tournament List'!$D:$D,MATCH(I660,'Tournament List'!$A:$A,0)),""))</f>
        <v/>
      </c>
      <c r="K660" s="96" t="str">
        <f>IF(F660="Skeet",IFERROR(INDEX('Shooter-Squad Assignment'!$A:$A,MATCH(C660&amp;"-"&amp;E660&amp;"-"&amp;F660&amp;"-Pos3",'Shooter-Squad Assignment'!$K:$K,0)),""),IF(F660="Trap",IFERROR(INDEX('Shooter-Squad Assignment'!$A:$A,MATCH(C660&amp;"-"&amp;E660&amp;"-"&amp;F660&amp;"-Pos3",'Shooter-Squad Assignment'!$W:$W,0)),""),IF(F660="Sporting Clays",IFERROR(INDEX('Shooter-Squad Assignment'!$A:$A,MATCH(C660&amp;"-"&amp;E660&amp;"-"&amp;F660&amp;"-Pos3",'Shooter-Squad Assignment'!$Z:$Z,0)),""),"")))</f>
        <v/>
      </c>
      <c r="L660" s="88" t="str">
        <f>IF(ISBLANK(K660),"",IFERROR(INDEX('Tournament List'!$D:$D,MATCH(K660,'Tournament List'!$A:$A,0)),""))</f>
        <v/>
      </c>
      <c r="M660" s="96" t="str">
        <f>IF(F660="Skeet",IFERROR(INDEX('Shooter-Squad Assignment'!$A:$A,MATCH(C660&amp;"-"&amp;E660&amp;"-"&amp;F660&amp;"-Pos4",'Shooter-Squad Assignment'!$K:$K,0)),""),IF(F660="Trap",IFERROR(INDEX('Shooter-Squad Assignment'!$A:$A,MATCH(C660&amp;"-"&amp;E660&amp;"-"&amp;F660&amp;"-Pos4",'Shooter-Squad Assignment'!$W:$W,0)),""),IF(F660="Sporting Clays",IFERROR(INDEX('Shooter-Squad Assignment'!$A:$A,MATCH(C660&amp;"-"&amp;E660&amp;"-"&amp;F660&amp;"-Pos4",'Shooter-Squad Assignment'!$Z:$Z,0)),""),"")))</f>
        <v/>
      </c>
      <c r="N660" s="88" t="str">
        <f>IF(ISBLANK(M660),"",IFERROR(INDEX('Tournament List'!$D:$D,MATCH(M660,'Tournament List'!$A:$A,0)),""))</f>
        <v/>
      </c>
      <c r="O660" s="96" t="str">
        <f>IF(F660="Skeet",IFERROR(INDEX('Shooter-Squad Assignment'!$A:$A,MATCH(C660&amp;"-"&amp;E660&amp;"-"&amp;F660&amp;"-Pos5",'Shooter-Squad Assignment'!$K:$K,0)),""),IF(F660="Trap",IFERROR(INDEX('Shooter-Squad Assignment'!$A:$A,MATCH(C660&amp;"-"&amp;E660&amp;"-"&amp;F660&amp;"-Pos5",'Shooter-Squad Assignment'!$W:$W,0)),""),IF(F660="Sporting Clays",IFERROR(INDEX('Shooter-Squad Assignment'!$A:$A,MATCH(C660&amp;"-"&amp;E660&amp;"-"&amp;F660&amp;"-Pos5",'Shooter-Squad Assignment'!$Z:$Z,0)),""),"")))</f>
        <v/>
      </c>
      <c r="P660" s="89" t="str">
        <f>IF(ISBLANK(O660),"",IFERROR(INDEX('Tournament List'!$D:$D,MATCH(O660,'Tournament List'!$A:$A,0)),""))</f>
        <v/>
      </c>
    </row>
    <row r="661" spans="1:16" x14ac:dyDescent="0.3">
      <c r="A661" s="87">
        <v>660</v>
      </c>
      <c r="B661" s="88" t="str">
        <f>C661&amp;"-"&amp;E661&amp;"-"&amp;F661</f>
        <v>-Open 2-Sporting Clays</v>
      </c>
      <c r="C661" s="88"/>
      <c r="D661" s="88" t="str">
        <f>INDEX('Tournament Setup'!$B$59:$B$78,MATCH(E661,SquadConcurrents,0))</f>
        <v>Open</v>
      </c>
      <c r="E661" s="88" t="s">
        <v>347</v>
      </c>
      <c r="F661" s="88" t="s">
        <v>148</v>
      </c>
      <c r="G661" s="96" t="str">
        <f>IF(F661="Skeet",IFERROR(INDEX('Shooter-Squad Assignment'!$A:$A,MATCH(C661&amp;"-"&amp;E661&amp;"-"&amp;F661&amp;"-Pos1",'Shooter-Squad Assignment'!$K:$K,0)),""),IF(F661="Trap",IFERROR(INDEX('Shooter-Squad Assignment'!$A:$A,MATCH(C661&amp;"-"&amp;E661&amp;"-"&amp;F661&amp;"-Pos1",'Shooter-Squad Assignment'!$W:$W,0)),""),IF(F661="Sporting Clays",IFERROR(INDEX('Shooter-Squad Assignment'!$A:$A,MATCH(C661&amp;"-"&amp;E661&amp;"-"&amp;F661&amp;"-Pos1",'Shooter-Squad Assignment'!$Z:$Z,0)),""),"")))</f>
        <v/>
      </c>
      <c r="H661" s="88" t="str">
        <f>IF(ISBLANK(G661),"",IFERROR(INDEX('Tournament List'!$D:$D,MATCH(G661,'Tournament List'!$A:$A,0)),""))</f>
        <v/>
      </c>
      <c r="I661" s="96" t="str">
        <f>IF(F661="Skeet",IFERROR(INDEX('Shooter-Squad Assignment'!$A:$A,MATCH(C661&amp;"-"&amp;E661&amp;"-"&amp;F661&amp;"-Pos2",'Shooter-Squad Assignment'!$K:$K,0)),""),IF(F661="Trap",IFERROR(INDEX('Shooter-Squad Assignment'!$A:$A,MATCH(C661&amp;"-"&amp;E661&amp;"-"&amp;F661&amp;"-Pos2",'Shooter-Squad Assignment'!$W:$W,0)),""),IF(F661="Sporting Clays",IFERROR(INDEX('Shooter-Squad Assignment'!$A:$A,MATCH(C661&amp;"-"&amp;E661&amp;"-"&amp;F661&amp;"-Pos2",'Shooter-Squad Assignment'!$Z:$Z,0)),""),"")))</f>
        <v/>
      </c>
      <c r="J661" s="88" t="str">
        <f>IF(ISBLANK(I661),"",IFERROR(INDEX('Tournament List'!$D:$D,MATCH(I661,'Tournament List'!$A:$A,0)),""))</f>
        <v/>
      </c>
      <c r="K661" s="96" t="str">
        <f>IF(F661="Skeet",IFERROR(INDEX('Shooter-Squad Assignment'!$A:$A,MATCH(C661&amp;"-"&amp;E661&amp;"-"&amp;F661&amp;"-Pos3",'Shooter-Squad Assignment'!$K:$K,0)),""),IF(F661="Trap",IFERROR(INDEX('Shooter-Squad Assignment'!$A:$A,MATCH(C661&amp;"-"&amp;E661&amp;"-"&amp;F661&amp;"-Pos3",'Shooter-Squad Assignment'!$W:$W,0)),""),IF(F661="Sporting Clays",IFERROR(INDEX('Shooter-Squad Assignment'!$A:$A,MATCH(C661&amp;"-"&amp;E661&amp;"-"&amp;F661&amp;"-Pos3",'Shooter-Squad Assignment'!$Z:$Z,0)),""),"")))</f>
        <v/>
      </c>
      <c r="L661" s="88" t="str">
        <f>IF(ISBLANK(K661),"",IFERROR(INDEX('Tournament List'!$D:$D,MATCH(K661,'Tournament List'!$A:$A,0)),""))</f>
        <v/>
      </c>
      <c r="M661" s="96" t="str">
        <f>IF(F661="Skeet",IFERROR(INDEX('Shooter-Squad Assignment'!$A:$A,MATCH(C661&amp;"-"&amp;E661&amp;"-"&amp;F661&amp;"-Pos4",'Shooter-Squad Assignment'!$K:$K,0)),""),IF(F661="Trap",IFERROR(INDEX('Shooter-Squad Assignment'!$A:$A,MATCH(C661&amp;"-"&amp;E661&amp;"-"&amp;F661&amp;"-Pos4",'Shooter-Squad Assignment'!$W:$W,0)),""),IF(F661="Sporting Clays",IFERROR(INDEX('Shooter-Squad Assignment'!$A:$A,MATCH(C661&amp;"-"&amp;E661&amp;"-"&amp;F661&amp;"-Pos4",'Shooter-Squad Assignment'!$Z:$Z,0)),""),"")))</f>
        <v/>
      </c>
      <c r="N661" s="88" t="str">
        <f>IF(ISBLANK(M661),"",IFERROR(INDEX('Tournament List'!$D:$D,MATCH(M661,'Tournament List'!$A:$A,0)),""))</f>
        <v/>
      </c>
      <c r="O661" s="96" t="str">
        <f>IF(F661="Skeet",IFERROR(INDEX('Shooter-Squad Assignment'!$A:$A,MATCH(C661&amp;"-"&amp;E661&amp;"-"&amp;F661&amp;"-Pos5",'Shooter-Squad Assignment'!$K:$K,0)),""),IF(F661="Trap",IFERROR(INDEX('Shooter-Squad Assignment'!$A:$A,MATCH(C661&amp;"-"&amp;E661&amp;"-"&amp;F661&amp;"-Pos5",'Shooter-Squad Assignment'!$W:$W,0)),""),IF(F661="Sporting Clays",IFERROR(INDEX('Shooter-Squad Assignment'!$A:$A,MATCH(C661&amp;"-"&amp;E661&amp;"-"&amp;F661&amp;"-Pos5",'Shooter-Squad Assignment'!$Z:$Z,0)),""),"")))</f>
        <v/>
      </c>
      <c r="P661" s="89" t="str">
        <f>IF(ISBLANK(O661),"",IFERROR(INDEX('Tournament List'!$D:$D,MATCH(O661,'Tournament List'!$A:$A,0)),""))</f>
        <v/>
      </c>
    </row>
    <row r="662" spans="1:16" x14ac:dyDescent="0.3">
      <c r="A662" s="87">
        <v>661</v>
      </c>
      <c r="B662" s="88" t="str">
        <f>C662&amp;"-"&amp;E662&amp;"-"&amp;F662</f>
        <v>-Open 3-Sporting Clays</v>
      </c>
      <c r="C662" s="88"/>
      <c r="D662" s="88" t="str">
        <f>INDEX('Tournament Setup'!$B$59:$B$78,MATCH(E662,SquadConcurrents,0))</f>
        <v>Open</v>
      </c>
      <c r="E662" s="88" t="s">
        <v>353</v>
      </c>
      <c r="F662" s="88" t="s">
        <v>148</v>
      </c>
      <c r="G662" s="96" t="str">
        <f>IF(F662="Skeet",IFERROR(INDEX('Shooter-Squad Assignment'!$A:$A,MATCH(C662&amp;"-"&amp;E662&amp;"-"&amp;F662&amp;"-Pos1",'Shooter-Squad Assignment'!$K:$K,0)),""),IF(F662="Trap",IFERROR(INDEX('Shooter-Squad Assignment'!$A:$A,MATCH(C662&amp;"-"&amp;E662&amp;"-"&amp;F662&amp;"-Pos1",'Shooter-Squad Assignment'!$W:$W,0)),""),IF(F662="Sporting Clays",IFERROR(INDEX('Shooter-Squad Assignment'!$A:$A,MATCH(C662&amp;"-"&amp;E662&amp;"-"&amp;F662&amp;"-Pos1",'Shooter-Squad Assignment'!$Z:$Z,0)),""),"")))</f>
        <v/>
      </c>
      <c r="H662" s="88" t="str">
        <f>IF(ISBLANK(G662),"",IFERROR(INDEX('Tournament List'!$D:$D,MATCH(G662,'Tournament List'!$A:$A,0)),""))</f>
        <v/>
      </c>
      <c r="I662" s="96" t="str">
        <f>IF(F662="Skeet",IFERROR(INDEX('Shooter-Squad Assignment'!$A:$A,MATCH(C662&amp;"-"&amp;E662&amp;"-"&amp;F662&amp;"-Pos2",'Shooter-Squad Assignment'!$K:$K,0)),""),IF(F662="Trap",IFERROR(INDEX('Shooter-Squad Assignment'!$A:$A,MATCH(C662&amp;"-"&amp;E662&amp;"-"&amp;F662&amp;"-Pos2",'Shooter-Squad Assignment'!$W:$W,0)),""),IF(F662="Sporting Clays",IFERROR(INDEX('Shooter-Squad Assignment'!$A:$A,MATCH(C662&amp;"-"&amp;E662&amp;"-"&amp;F662&amp;"-Pos2",'Shooter-Squad Assignment'!$Z:$Z,0)),""),"")))</f>
        <v/>
      </c>
      <c r="J662" s="88" t="str">
        <f>IF(ISBLANK(I662),"",IFERROR(INDEX('Tournament List'!$D:$D,MATCH(I662,'Tournament List'!$A:$A,0)),""))</f>
        <v/>
      </c>
      <c r="K662" s="96" t="str">
        <f>IF(F662="Skeet",IFERROR(INDEX('Shooter-Squad Assignment'!$A:$A,MATCH(C662&amp;"-"&amp;E662&amp;"-"&amp;F662&amp;"-Pos3",'Shooter-Squad Assignment'!$K:$K,0)),""),IF(F662="Trap",IFERROR(INDEX('Shooter-Squad Assignment'!$A:$A,MATCH(C662&amp;"-"&amp;E662&amp;"-"&amp;F662&amp;"-Pos3",'Shooter-Squad Assignment'!$W:$W,0)),""),IF(F662="Sporting Clays",IFERROR(INDEX('Shooter-Squad Assignment'!$A:$A,MATCH(C662&amp;"-"&amp;E662&amp;"-"&amp;F662&amp;"-Pos3",'Shooter-Squad Assignment'!$Z:$Z,0)),""),"")))</f>
        <v/>
      </c>
      <c r="L662" s="88" t="str">
        <f>IF(ISBLANK(K662),"",IFERROR(INDEX('Tournament List'!$D:$D,MATCH(K662,'Tournament List'!$A:$A,0)),""))</f>
        <v/>
      </c>
      <c r="M662" s="96" t="str">
        <f>IF(F662="Skeet",IFERROR(INDEX('Shooter-Squad Assignment'!$A:$A,MATCH(C662&amp;"-"&amp;E662&amp;"-"&amp;F662&amp;"-Pos4",'Shooter-Squad Assignment'!$K:$K,0)),""),IF(F662="Trap",IFERROR(INDEX('Shooter-Squad Assignment'!$A:$A,MATCH(C662&amp;"-"&amp;E662&amp;"-"&amp;F662&amp;"-Pos4",'Shooter-Squad Assignment'!$W:$W,0)),""),IF(F662="Sporting Clays",IFERROR(INDEX('Shooter-Squad Assignment'!$A:$A,MATCH(C662&amp;"-"&amp;E662&amp;"-"&amp;F662&amp;"-Pos4",'Shooter-Squad Assignment'!$Z:$Z,0)),""),"")))</f>
        <v/>
      </c>
      <c r="N662" s="88" t="str">
        <f>IF(ISBLANK(M662),"",IFERROR(INDEX('Tournament List'!$D:$D,MATCH(M662,'Tournament List'!$A:$A,0)),""))</f>
        <v/>
      </c>
      <c r="O662" s="96" t="str">
        <f>IF(F662="Skeet",IFERROR(INDEX('Shooter-Squad Assignment'!$A:$A,MATCH(C662&amp;"-"&amp;E662&amp;"-"&amp;F662&amp;"-Pos5",'Shooter-Squad Assignment'!$K:$K,0)),""),IF(F662="Trap",IFERROR(INDEX('Shooter-Squad Assignment'!$A:$A,MATCH(C662&amp;"-"&amp;E662&amp;"-"&amp;F662&amp;"-Pos5",'Shooter-Squad Assignment'!$W:$W,0)),""),IF(F662="Sporting Clays",IFERROR(INDEX('Shooter-Squad Assignment'!$A:$A,MATCH(C662&amp;"-"&amp;E662&amp;"-"&amp;F662&amp;"-Pos5",'Shooter-Squad Assignment'!$Z:$Z,0)),""),"")))</f>
        <v/>
      </c>
      <c r="P662" s="89" t="str">
        <f>IF(ISBLANK(O662),"",IFERROR(INDEX('Tournament List'!$D:$D,MATCH(O662,'Tournament List'!$A:$A,0)),""))</f>
        <v/>
      </c>
    </row>
    <row r="663" spans="1:16" x14ac:dyDescent="0.3">
      <c r="A663" s="87">
        <v>662</v>
      </c>
      <c r="B663" s="88" t="str">
        <f>C663&amp;"-"&amp;E663&amp;"-"&amp;F663</f>
        <v>-Unassigned 1-Sporting Clays</v>
      </c>
      <c r="C663" s="88"/>
      <c r="D663" s="88" t="str">
        <f>INDEX('Tournament Setup'!$B$59:$B$78,MATCH(E663,SquadConcurrents,0))</f>
        <v>Unassigned</v>
      </c>
      <c r="E663" s="88" t="s">
        <v>762</v>
      </c>
      <c r="F663" s="88" t="s">
        <v>148</v>
      </c>
      <c r="G663" s="96" t="str">
        <f>IF(F663="Skeet",IFERROR(INDEX('Shooter-Squad Assignment'!$A:$A,MATCH(C663&amp;"-"&amp;E663&amp;"-"&amp;F663&amp;"-Pos1",'Shooter-Squad Assignment'!$K:$K,0)),""),IF(F663="Trap",IFERROR(INDEX('Shooter-Squad Assignment'!$A:$A,MATCH(C663&amp;"-"&amp;E663&amp;"-"&amp;F663&amp;"-Pos1",'Shooter-Squad Assignment'!$W:$W,0)),""),IF(F663="Sporting Clays",IFERROR(INDEX('Shooter-Squad Assignment'!$A:$A,MATCH(C663&amp;"-"&amp;E663&amp;"-"&amp;F663&amp;"-Pos1",'Shooter-Squad Assignment'!$Z:$Z,0)),""),"")))</f>
        <v/>
      </c>
      <c r="H663" s="88" t="str">
        <f>IF(ISBLANK(G663),"",IFERROR(INDEX('Tournament List'!$D:$D,MATCH(G663,'Tournament List'!$A:$A,0)),""))</f>
        <v/>
      </c>
      <c r="I663" s="96" t="str">
        <f>IF(F663="Skeet",IFERROR(INDEX('Shooter-Squad Assignment'!$A:$A,MATCH(C663&amp;"-"&amp;E663&amp;"-"&amp;F663&amp;"-Pos2",'Shooter-Squad Assignment'!$K:$K,0)),""),IF(F663="Trap",IFERROR(INDEX('Shooter-Squad Assignment'!$A:$A,MATCH(C663&amp;"-"&amp;E663&amp;"-"&amp;F663&amp;"-Pos2",'Shooter-Squad Assignment'!$W:$W,0)),""),IF(F663="Sporting Clays",IFERROR(INDEX('Shooter-Squad Assignment'!$A:$A,MATCH(C663&amp;"-"&amp;E663&amp;"-"&amp;F663&amp;"-Pos2",'Shooter-Squad Assignment'!$Z:$Z,0)),""),"")))</f>
        <v/>
      </c>
      <c r="J663" s="88" t="str">
        <f>IF(ISBLANK(I663),"",IFERROR(INDEX('Tournament List'!$D:$D,MATCH(I663,'Tournament List'!$A:$A,0)),""))</f>
        <v/>
      </c>
      <c r="K663" s="96" t="str">
        <f>IF(F663="Skeet",IFERROR(INDEX('Shooter-Squad Assignment'!$A:$A,MATCH(C663&amp;"-"&amp;E663&amp;"-"&amp;F663&amp;"-Pos3",'Shooter-Squad Assignment'!$K:$K,0)),""),IF(F663="Trap",IFERROR(INDEX('Shooter-Squad Assignment'!$A:$A,MATCH(C663&amp;"-"&amp;E663&amp;"-"&amp;F663&amp;"-Pos3",'Shooter-Squad Assignment'!$W:$W,0)),""),IF(F663="Sporting Clays",IFERROR(INDEX('Shooter-Squad Assignment'!$A:$A,MATCH(C663&amp;"-"&amp;E663&amp;"-"&amp;F663&amp;"-Pos3",'Shooter-Squad Assignment'!$Z:$Z,0)),""),"")))</f>
        <v/>
      </c>
      <c r="L663" s="88" t="str">
        <f>IF(ISBLANK(K663),"",IFERROR(INDEX('Tournament List'!$D:$D,MATCH(K663,'Tournament List'!$A:$A,0)),""))</f>
        <v/>
      </c>
      <c r="M663" s="96" t="str">
        <f>IF(F663="Skeet",IFERROR(INDEX('Shooter-Squad Assignment'!$A:$A,MATCH(C663&amp;"-"&amp;E663&amp;"-"&amp;F663&amp;"-Pos4",'Shooter-Squad Assignment'!$K:$K,0)),""),IF(F663="Trap",IFERROR(INDEX('Shooter-Squad Assignment'!$A:$A,MATCH(C663&amp;"-"&amp;E663&amp;"-"&amp;F663&amp;"-Pos4",'Shooter-Squad Assignment'!$W:$W,0)),""),IF(F663="Sporting Clays",IFERROR(INDEX('Shooter-Squad Assignment'!$A:$A,MATCH(C663&amp;"-"&amp;E663&amp;"-"&amp;F663&amp;"-Pos4",'Shooter-Squad Assignment'!$Z:$Z,0)),""),"")))</f>
        <v/>
      </c>
      <c r="N663" s="88" t="str">
        <f>IF(ISBLANK(M663),"",IFERROR(INDEX('Tournament List'!$D:$D,MATCH(M663,'Tournament List'!$A:$A,0)),""))</f>
        <v/>
      </c>
      <c r="O663" s="96" t="str">
        <f>IF(F663="Skeet",IFERROR(INDEX('Shooter-Squad Assignment'!$A:$A,MATCH(C663&amp;"-"&amp;E663&amp;"-"&amp;F663&amp;"-Pos5",'Shooter-Squad Assignment'!$K:$K,0)),""),IF(F663="Trap",IFERROR(INDEX('Shooter-Squad Assignment'!$A:$A,MATCH(C663&amp;"-"&amp;E663&amp;"-"&amp;F663&amp;"-Pos5",'Shooter-Squad Assignment'!$W:$W,0)),""),IF(F663="Sporting Clays",IFERROR(INDEX('Shooter-Squad Assignment'!$A:$A,MATCH(C663&amp;"-"&amp;E663&amp;"-"&amp;F663&amp;"-Pos5",'Shooter-Squad Assignment'!$Z:$Z,0)),""),"")))</f>
        <v/>
      </c>
      <c r="P663" s="89" t="str">
        <f>IF(ISBLANK(O663),"",IFERROR(INDEX('Tournament List'!$D:$D,MATCH(O663,'Tournament List'!$A:$A,0)),""))</f>
        <v/>
      </c>
    </row>
    <row r="664" spans="1:16" x14ac:dyDescent="0.3">
      <c r="A664" s="87">
        <v>663</v>
      </c>
      <c r="B664" s="88" t="str">
        <f>C664&amp;"-"&amp;E664&amp;"-"&amp;F664</f>
        <v>-Varsity 1-Sporting Clays</v>
      </c>
      <c r="C664" s="88"/>
      <c r="D664" s="88" t="str">
        <f>INDEX('Tournament Setup'!$B$59:$B$78,MATCH(E664,SquadConcurrents,0))</f>
        <v>Varsity</v>
      </c>
      <c r="E664" s="88" t="s">
        <v>340</v>
      </c>
      <c r="F664" s="88" t="s">
        <v>148</v>
      </c>
      <c r="G664" s="96" t="str">
        <f>IF(F664="Skeet",IFERROR(INDEX('Shooter-Squad Assignment'!$A:$A,MATCH(C664&amp;"-"&amp;E664&amp;"-"&amp;F664&amp;"-Pos1",'Shooter-Squad Assignment'!$K:$K,0)),""),IF(F664="Trap",IFERROR(INDEX('Shooter-Squad Assignment'!$A:$A,MATCH(C664&amp;"-"&amp;E664&amp;"-"&amp;F664&amp;"-Pos1",'Shooter-Squad Assignment'!$W:$W,0)),""),IF(F664="Sporting Clays",IFERROR(INDEX('Shooter-Squad Assignment'!$A:$A,MATCH(C664&amp;"-"&amp;E664&amp;"-"&amp;F664&amp;"-Pos1",'Shooter-Squad Assignment'!$Z:$Z,0)),""),"")))</f>
        <v/>
      </c>
      <c r="H664" s="88" t="str">
        <f>IF(ISBLANK(G664),"",IFERROR(INDEX('Tournament List'!$D:$D,MATCH(G664,'Tournament List'!$A:$A,0)),""))</f>
        <v/>
      </c>
      <c r="I664" s="96" t="str">
        <f>IF(F664="Skeet",IFERROR(INDEX('Shooter-Squad Assignment'!$A:$A,MATCH(C664&amp;"-"&amp;E664&amp;"-"&amp;F664&amp;"-Pos2",'Shooter-Squad Assignment'!$K:$K,0)),""),IF(F664="Trap",IFERROR(INDEX('Shooter-Squad Assignment'!$A:$A,MATCH(C664&amp;"-"&amp;E664&amp;"-"&amp;F664&amp;"-Pos2",'Shooter-Squad Assignment'!$W:$W,0)),""),IF(F664="Sporting Clays",IFERROR(INDEX('Shooter-Squad Assignment'!$A:$A,MATCH(C664&amp;"-"&amp;E664&amp;"-"&amp;F664&amp;"-Pos2",'Shooter-Squad Assignment'!$Z:$Z,0)),""),"")))</f>
        <v/>
      </c>
      <c r="J664" s="88" t="str">
        <f>IF(ISBLANK(I664),"",IFERROR(INDEX('Tournament List'!$D:$D,MATCH(I664,'Tournament List'!$A:$A,0)),""))</f>
        <v/>
      </c>
      <c r="K664" s="96" t="str">
        <f>IF(F664="Skeet",IFERROR(INDEX('Shooter-Squad Assignment'!$A:$A,MATCH(C664&amp;"-"&amp;E664&amp;"-"&amp;F664&amp;"-Pos3",'Shooter-Squad Assignment'!$K:$K,0)),""),IF(F664="Trap",IFERROR(INDEX('Shooter-Squad Assignment'!$A:$A,MATCH(C664&amp;"-"&amp;E664&amp;"-"&amp;F664&amp;"-Pos3",'Shooter-Squad Assignment'!$W:$W,0)),""),IF(F664="Sporting Clays",IFERROR(INDEX('Shooter-Squad Assignment'!$A:$A,MATCH(C664&amp;"-"&amp;E664&amp;"-"&amp;F664&amp;"-Pos3",'Shooter-Squad Assignment'!$Z:$Z,0)),""),"")))</f>
        <v/>
      </c>
      <c r="L664" s="88" t="str">
        <f>IF(ISBLANK(K664),"",IFERROR(INDEX('Tournament List'!$D:$D,MATCH(K664,'Tournament List'!$A:$A,0)),""))</f>
        <v/>
      </c>
      <c r="M664" s="96" t="str">
        <f>IF(F664="Skeet",IFERROR(INDEX('Shooter-Squad Assignment'!$A:$A,MATCH(C664&amp;"-"&amp;E664&amp;"-"&amp;F664&amp;"-Pos4",'Shooter-Squad Assignment'!$K:$K,0)),""),IF(F664="Trap",IFERROR(INDEX('Shooter-Squad Assignment'!$A:$A,MATCH(C664&amp;"-"&amp;E664&amp;"-"&amp;F664&amp;"-Pos4",'Shooter-Squad Assignment'!$W:$W,0)),""),IF(F664="Sporting Clays",IFERROR(INDEX('Shooter-Squad Assignment'!$A:$A,MATCH(C664&amp;"-"&amp;E664&amp;"-"&amp;F664&amp;"-Pos4",'Shooter-Squad Assignment'!$Z:$Z,0)),""),"")))</f>
        <v/>
      </c>
      <c r="N664" s="88" t="str">
        <f>IF(ISBLANK(M664),"",IFERROR(INDEX('Tournament List'!$D:$D,MATCH(M664,'Tournament List'!$A:$A,0)),""))</f>
        <v/>
      </c>
      <c r="O664" s="96" t="str">
        <f>IF(F664="Skeet",IFERROR(INDEX('Shooter-Squad Assignment'!$A:$A,MATCH(C664&amp;"-"&amp;E664&amp;"-"&amp;F664&amp;"-Pos5",'Shooter-Squad Assignment'!$K:$K,0)),""),IF(F664="Trap",IFERROR(INDEX('Shooter-Squad Assignment'!$A:$A,MATCH(C664&amp;"-"&amp;E664&amp;"-"&amp;F664&amp;"-Pos5",'Shooter-Squad Assignment'!$W:$W,0)),""),IF(F664="Sporting Clays",IFERROR(INDEX('Shooter-Squad Assignment'!$A:$A,MATCH(C664&amp;"-"&amp;E664&amp;"-"&amp;F664&amp;"-Pos5",'Shooter-Squad Assignment'!$Z:$Z,0)),""),"")))</f>
        <v/>
      </c>
      <c r="P664" s="89" t="str">
        <f>IF(ISBLANK(O664),"",IFERROR(INDEX('Tournament List'!$D:$D,MATCH(O664,'Tournament List'!$A:$A,0)),""))</f>
        <v/>
      </c>
    </row>
    <row r="665" spans="1:16" x14ac:dyDescent="0.3">
      <c r="A665" s="87">
        <v>664</v>
      </c>
      <c r="B665" s="88" t="str">
        <f>C665&amp;"-"&amp;E665&amp;"-"&amp;F665</f>
        <v>-Varsity 2-Sporting Clays</v>
      </c>
      <c r="C665" s="88"/>
      <c r="D665" s="88" t="str">
        <f>INDEX('Tournament Setup'!$B$59:$B$78,MATCH(E665,SquadConcurrents,0))</f>
        <v>Varsity</v>
      </c>
      <c r="E665" s="88" t="s">
        <v>346</v>
      </c>
      <c r="F665" s="88" t="s">
        <v>148</v>
      </c>
      <c r="G665" s="96" t="str">
        <f>IF(F665="Skeet",IFERROR(INDEX('Shooter-Squad Assignment'!$A:$A,MATCH(C665&amp;"-"&amp;E665&amp;"-"&amp;F665&amp;"-Pos1",'Shooter-Squad Assignment'!$K:$K,0)),""),IF(F665="Trap",IFERROR(INDEX('Shooter-Squad Assignment'!$A:$A,MATCH(C665&amp;"-"&amp;E665&amp;"-"&amp;F665&amp;"-Pos1",'Shooter-Squad Assignment'!$W:$W,0)),""),IF(F665="Sporting Clays",IFERROR(INDEX('Shooter-Squad Assignment'!$A:$A,MATCH(C665&amp;"-"&amp;E665&amp;"-"&amp;F665&amp;"-Pos1",'Shooter-Squad Assignment'!$Z:$Z,0)),""),"")))</f>
        <v/>
      </c>
      <c r="H665" s="88" t="str">
        <f>IF(ISBLANK(G665),"",IFERROR(INDEX('Tournament List'!$D:$D,MATCH(G665,'Tournament List'!$A:$A,0)),""))</f>
        <v/>
      </c>
      <c r="I665" s="96" t="str">
        <f>IF(F665="Skeet",IFERROR(INDEX('Shooter-Squad Assignment'!$A:$A,MATCH(C665&amp;"-"&amp;E665&amp;"-"&amp;F665&amp;"-Pos2",'Shooter-Squad Assignment'!$K:$K,0)),""),IF(F665="Trap",IFERROR(INDEX('Shooter-Squad Assignment'!$A:$A,MATCH(C665&amp;"-"&amp;E665&amp;"-"&amp;F665&amp;"-Pos2",'Shooter-Squad Assignment'!$W:$W,0)),""),IF(F665="Sporting Clays",IFERROR(INDEX('Shooter-Squad Assignment'!$A:$A,MATCH(C665&amp;"-"&amp;E665&amp;"-"&amp;F665&amp;"-Pos2",'Shooter-Squad Assignment'!$Z:$Z,0)),""),"")))</f>
        <v/>
      </c>
      <c r="J665" s="88" t="str">
        <f>IF(ISBLANK(I665),"",IFERROR(INDEX('Tournament List'!$D:$D,MATCH(I665,'Tournament List'!$A:$A,0)),""))</f>
        <v/>
      </c>
      <c r="K665" s="96" t="str">
        <f>IF(F665="Skeet",IFERROR(INDEX('Shooter-Squad Assignment'!$A:$A,MATCH(C665&amp;"-"&amp;E665&amp;"-"&amp;F665&amp;"-Pos3",'Shooter-Squad Assignment'!$K:$K,0)),""),IF(F665="Trap",IFERROR(INDEX('Shooter-Squad Assignment'!$A:$A,MATCH(C665&amp;"-"&amp;E665&amp;"-"&amp;F665&amp;"-Pos3",'Shooter-Squad Assignment'!$W:$W,0)),""),IF(F665="Sporting Clays",IFERROR(INDEX('Shooter-Squad Assignment'!$A:$A,MATCH(C665&amp;"-"&amp;E665&amp;"-"&amp;F665&amp;"-Pos3",'Shooter-Squad Assignment'!$Z:$Z,0)),""),"")))</f>
        <v/>
      </c>
      <c r="L665" s="88" t="str">
        <f>IF(ISBLANK(K665),"",IFERROR(INDEX('Tournament List'!$D:$D,MATCH(K665,'Tournament List'!$A:$A,0)),""))</f>
        <v/>
      </c>
      <c r="M665" s="96" t="str">
        <f>IF(F665="Skeet",IFERROR(INDEX('Shooter-Squad Assignment'!$A:$A,MATCH(C665&amp;"-"&amp;E665&amp;"-"&amp;F665&amp;"-Pos4",'Shooter-Squad Assignment'!$K:$K,0)),""),IF(F665="Trap",IFERROR(INDEX('Shooter-Squad Assignment'!$A:$A,MATCH(C665&amp;"-"&amp;E665&amp;"-"&amp;F665&amp;"-Pos4",'Shooter-Squad Assignment'!$W:$W,0)),""),IF(F665="Sporting Clays",IFERROR(INDEX('Shooter-Squad Assignment'!$A:$A,MATCH(C665&amp;"-"&amp;E665&amp;"-"&amp;F665&amp;"-Pos4",'Shooter-Squad Assignment'!$Z:$Z,0)),""),"")))</f>
        <v/>
      </c>
      <c r="N665" s="88" t="str">
        <f>IF(ISBLANK(M665),"",IFERROR(INDEX('Tournament List'!$D:$D,MATCH(M665,'Tournament List'!$A:$A,0)),""))</f>
        <v/>
      </c>
      <c r="O665" s="96" t="str">
        <f>IF(F665="Skeet",IFERROR(INDEX('Shooter-Squad Assignment'!$A:$A,MATCH(C665&amp;"-"&amp;E665&amp;"-"&amp;F665&amp;"-Pos5",'Shooter-Squad Assignment'!$K:$K,0)),""),IF(F665="Trap",IFERROR(INDEX('Shooter-Squad Assignment'!$A:$A,MATCH(C665&amp;"-"&amp;E665&amp;"-"&amp;F665&amp;"-Pos5",'Shooter-Squad Assignment'!$W:$W,0)),""),IF(F665="Sporting Clays",IFERROR(INDEX('Shooter-Squad Assignment'!$A:$A,MATCH(C665&amp;"-"&amp;E665&amp;"-"&amp;F665&amp;"-Pos5",'Shooter-Squad Assignment'!$Z:$Z,0)),""),"")))</f>
        <v/>
      </c>
      <c r="P665" s="89" t="str">
        <f>IF(ISBLANK(O665),"",IFERROR(INDEX('Tournament List'!$D:$D,MATCH(O665,'Tournament List'!$A:$A,0)),""))</f>
        <v/>
      </c>
    </row>
    <row r="666" spans="1:16" x14ac:dyDescent="0.3">
      <c r="A666" s="87">
        <v>665</v>
      </c>
      <c r="B666" s="88" t="str">
        <f>C666&amp;"-"&amp;E666&amp;"-"&amp;F666</f>
        <v>-Varsity 3-Sporting Clays</v>
      </c>
      <c r="C666" s="88"/>
      <c r="D666" s="88" t="str">
        <f>INDEX('Tournament Setup'!$B$59:$B$78,MATCH(E666,SquadConcurrents,0))</f>
        <v>Varsity</v>
      </c>
      <c r="E666" s="88" t="s">
        <v>352</v>
      </c>
      <c r="F666" s="88" t="s">
        <v>148</v>
      </c>
      <c r="G666" s="96" t="str">
        <f>IF(F666="Skeet",IFERROR(INDEX('Shooter-Squad Assignment'!$A:$A,MATCH(C666&amp;"-"&amp;E666&amp;"-"&amp;F666&amp;"-Pos1",'Shooter-Squad Assignment'!$K:$K,0)),""),IF(F666="Trap",IFERROR(INDEX('Shooter-Squad Assignment'!$A:$A,MATCH(C666&amp;"-"&amp;E666&amp;"-"&amp;F666&amp;"-Pos1",'Shooter-Squad Assignment'!$W:$W,0)),""),IF(F666="Sporting Clays",IFERROR(INDEX('Shooter-Squad Assignment'!$A:$A,MATCH(C666&amp;"-"&amp;E666&amp;"-"&amp;F666&amp;"-Pos1",'Shooter-Squad Assignment'!$Z:$Z,0)),""),"")))</f>
        <v/>
      </c>
      <c r="H666" s="88" t="str">
        <f>IF(ISBLANK(G666),"",IFERROR(INDEX('Tournament List'!$D:$D,MATCH(G666,'Tournament List'!$A:$A,0)),""))</f>
        <v/>
      </c>
      <c r="I666" s="96" t="str">
        <f>IF(F666="Skeet",IFERROR(INDEX('Shooter-Squad Assignment'!$A:$A,MATCH(C666&amp;"-"&amp;E666&amp;"-"&amp;F666&amp;"-Pos2",'Shooter-Squad Assignment'!$K:$K,0)),""),IF(F666="Trap",IFERROR(INDEX('Shooter-Squad Assignment'!$A:$A,MATCH(C666&amp;"-"&amp;E666&amp;"-"&amp;F666&amp;"-Pos2",'Shooter-Squad Assignment'!$W:$W,0)),""),IF(F666="Sporting Clays",IFERROR(INDEX('Shooter-Squad Assignment'!$A:$A,MATCH(C666&amp;"-"&amp;E666&amp;"-"&amp;F666&amp;"-Pos2",'Shooter-Squad Assignment'!$Z:$Z,0)),""),"")))</f>
        <v/>
      </c>
      <c r="J666" s="88" t="str">
        <f>IF(ISBLANK(I666),"",IFERROR(INDEX('Tournament List'!$D:$D,MATCH(I666,'Tournament List'!$A:$A,0)),""))</f>
        <v/>
      </c>
      <c r="K666" s="96" t="str">
        <f>IF(F666="Skeet",IFERROR(INDEX('Shooter-Squad Assignment'!$A:$A,MATCH(C666&amp;"-"&amp;E666&amp;"-"&amp;F666&amp;"-Pos3",'Shooter-Squad Assignment'!$K:$K,0)),""),IF(F666="Trap",IFERROR(INDEX('Shooter-Squad Assignment'!$A:$A,MATCH(C666&amp;"-"&amp;E666&amp;"-"&amp;F666&amp;"-Pos3",'Shooter-Squad Assignment'!$W:$W,0)),""),IF(F666="Sporting Clays",IFERROR(INDEX('Shooter-Squad Assignment'!$A:$A,MATCH(C666&amp;"-"&amp;E666&amp;"-"&amp;F666&amp;"-Pos3",'Shooter-Squad Assignment'!$Z:$Z,0)),""),"")))</f>
        <v/>
      </c>
      <c r="L666" s="88" t="str">
        <f>IF(ISBLANK(K666),"",IFERROR(INDEX('Tournament List'!$D:$D,MATCH(K666,'Tournament List'!$A:$A,0)),""))</f>
        <v/>
      </c>
      <c r="M666" s="96" t="str">
        <f>IF(F666="Skeet",IFERROR(INDEX('Shooter-Squad Assignment'!$A:$A,MATCH(C666&amp;"-"&amp;E666&amp;"-"&amp;F666&amp;"-Pos4",'Shooter-Squad Assignment'!$K:$K,0)),""),IF(F666="Trap",IFERROR(INDEX('Shooter-Squad Assignment'!$A:$A,MATCH(C666&amp;"-"&amp;E666&amp;"-"&amp;F666&amp;"-Pos4",'Shooter-Squad Assignment'!$W:$W,0)),""),IF(F666="Sporting Clays",IFERROR(INDEX('Shooter-Squad Assignment'!$A:$A,MATCH(C666&amp;"-"&amp;E666&amp;"-"&amp;F666&amp;"-Pos4",'Shooter-Squad Assignment'!$Z:$Z,0)),""),"")))</f>
        <v/>
      </c>
      <c r="N666" s="88" t="str">
        <f>IF(ISBLANK(M666),"",IFERROR(INDEX('Tournament List'!$D:$D,MATCH(M666,'Tournament List'!$A:$A,0)),""))</f>
        <v/>
      </c>
      <c r="O666" s="96" t="str">
        <f>IF(F666="Skeet",IFERROR(INDEX('Shooter-Squad Assignment'!$A:$A,MATCH(C666&amp;"-"&amp;E666&amp;"-"&amp;F666&amp;"-Pos5",'Shooter-Squad Assignment'!$K:$K,0)),""),IF(F666="Trap",IFERROR(INDEX('Shooter-Squad Assignment'!$A:$A,MATCH(C666&amp;"-"&amp;E666&amp;"-"&amp;F666&amp;"-Pos5",'Shooter-Squad Assignment'!$W:$W,0)),""),IF(F666="Sporting Clays",IFERROR(INDEX('Shooter-Squad Assignment'!$A:$A,MATCH(C666&amp;"-"&amp;E666&amp;"-"&amp;F666&amp;"-Pos5",'Shooter-Squad Assignment'!$Z:$Z,0)),""),"")))</f>
        <v/>
      </c>
      <c r="P666" s="89" t="str">
        <f>IF(ISBLANK(O666),"",IFERROR(INDEX('Tournament List'!$D:$D,MATCH(O666,'Tournament List'!$A:$A,0)),""))</f>
        <v/>
      </c>
    </row>
    <row r="667" spans="1:16" x14ac:dyDescent="0.3">
      <c r="A667" s="87">
        <v>666</v>
      </c>
      <c r="B667" s="88" t="str">
        <f>C667&amp;"-"&amp;E667&amp;"-"&amp;F667</f>
        <v>-Collegiate 1-Trap</v>
      </c>
      <c r="C667" s="88"/>
      <c r="D667" s="88" t="str">
        <f>INDEX('Tournament Setup'!$B$59:$B$78,MATCH(E667,SquadConcurrents,0))</f>
        <v>Collegiate</v>
      </c>
      <c r="E667" s="88" t="s">
        <v>342</v>
      </c>
      <c r="F667" s="88" t="s">
        <v>147</v>
      </c>
      <c r="G667" s="96" t="str">
        <f>IF(F667="Skeet",IFERROR(INDEX('Shooter-Squad Assignment'!$A:$A,MATCH(C667&amp;"-"&amp;E667&amp;"-"&amp;F667&amp;"-Pos1",'Shooter-Squad Assignment'!$K:$K,0)),""),IF(F667="Trap",IFERROR(INDEX('Shooter-Squad Assignment'!$A:$A,MATCH(C667&amp;"-"&amp;E667&amp;"-"&amp;F667&amp;"-Pos1",'Shooter-Squad Assignment'!$W:$W,0)),""),IF(F667="Sporting Clays",IFERROR(INDEX('Shooter-Squad Assignment'!$A:$A,MATCH(C667&amp;"-"&amp;E667&amp;"-"&amp;F667&amp;"-Pos1",'Shooter-Squad Assignment'!$Z:$Z,0)),""),"")))</f>
        <v/>
      </c>
      <c r="H667" s="88" t="str">
        <f>IF(ISBLANK(G667),"",IFERROR(INDEX('Tournament List'!$D:$D,MATCH(G667,'Tournament List'!$A:$A,0)),""))</f>
        <v/>
      </c>
      <c r="I667" s="96" t="str">
        <f>IF(F667="Skeet",IFERROR(INDEX('Shooter-Squad Assignment'!$A:$A,MATCH(C667&amp;"-"&amp;E667&amp;"-"&amp;F667&amp;"-Pos2",'Shooter-Squad Assignment'!$K:$K,0)),""),IF(F667="Trap",IFERROR(INDEX('Shooter-Squad Assignment'!$A:$A,MATCH(C667&amp;"-"&amp;E667&amp;"-"&amp;F667&amp;"-Pos2",'Shooter-Squad Assignment'!$W:$W,0)),""),IF(F667="Sporting Clays",IFERROR(INDEX('Shooter-Squad Assignment'!$A:$A,MATCH(C667&amp;"-"&amp;E667&amp;"-"&amp;F667&amp;"-Pos2",'Shooter-Squad Assignment'!$Z:$Z,0)),""),"")))</f>
        <v/>
      </c>
      <c r="J667" s="88" t="str">
        <f>IF(ISBLANK(I667),"",IFERROR(INDEX('Tournament List'!$D:$D,MATCH(I667,'Tournament List'!$A:$A,0)),""))</f>
        <v/>
      </c>
      <c r="K667" s="96" t="str">
        <f>IF(F667="Skeet",IFERROR(INDEX('Shooter-Squad Assignment'!$A:$A,MATCH(C667&amp;"-"&amp;E667&amp;"-"&amp;F667&amp;"-Pos3",'Shooter-Squad Assignment'!$K:$K,0)),""),IF(F667="Trap",IFERROR(INDEX('Shooter-Squad Assignment'!$A:$A,MATCH(C667&amp;"-"&amp;E667&amp;"-"&amp;F667&amp;"-Pos3",'Shooter-Squad Assignment'!$W:$W,0)),""),IF(F667="Sporting Clays",IFERROR(INDEX('Shooter-Squad Assignment'!$A:$A,MATCH(C667&amp;"-"&amp;E667&amp;"-"&amp;F667&amp;"-Pos3",'Shooter-Squad Assignment'!$Z:$Z,0)),""),"")))</f>
        <v/>
      </c>
      <c r="L667" s="88" t="str">
        <f>IF(ISBLANK(K667),"",IFERROR(INDEX('Tournament List'!$D:$D,MATCH(K667,'Tournament List'!$A:$A,0)),""))</f>
        <v/>
      </c>
      <c r="M667" s="96" t="str">
        <f>IF(F667="Skeet",IFERROR(INDEX('Shooter-Squad Assignment'!$A:$A,MATCH(C667&amp;"-"&amp;E667&amp;"-"&amp;F667&amp;"-Pos4",'Shooter-Squad Assignment'!$K:$K,0)),""),IF(F667="Trap",IFERROR(INDEX('Shooter-Squad Assignment'!$A:$A,MATCH(C667&amp;"-"&amp;E667&amp;"-"&amp;F667&amp;"-Pos4",'Shooter-Squad Assignment'!$W:$W,0)),""),IF(F667="Sporting Clays",IFERROR(INDEX('Shooter-Squad Assignment'!$A:$A,MATCH(C667&amp;"-"&amp;E667&amp;"-"&amp;F667&amp;"-Pos4",'Shooter-Squad Assignment'!$Z:$Z,0)),""),"")))</f>
        <v/>
      </c>
      <c r="N667" s="88" t="str">
        <f>IF(ISBLANK(M667),"",IFERROR(INDEX('Tournament List'!$D:$D,MATCH(M667,'Tournament List'!$A:$A,0)),""))</f>
        <v/>
      </c>
      <c r="O667" s="96" t="str">
        <f>IF(F667="Skeet",IFERROR(INDEX('Shooter-Squad Assignment'!$A:$A,MATCH(C667&amp;"-"&amp;E667&amp;"-"&amp;F667&amp;"-Pos5",'Shooter-Squad Assignment'!$K:$K,0)),""),IF(F667="Trap",IFERROR(INDEX('Shooter-Squad Assignment'!$A:$A,MATCH(C667&amp;"-"&amp;E667&amp;"-"&amp;F667&amp;"-Pos5",'Shooter-Squad Assignment'!$W:$W,0)),""),IF(F667="Sporting Clays",IFERROR(INDEX('Shooter-Squad Assignment'!$A:$A,MATCH(C667&amp;"-"&amp;E667&amp;"-"&amp;F667&amp;"-Pos5",'Shooter-Squad Assignment'!$Z:$Z,0)),""),"")))</f>
        <v/>
      </c>
      <c r="P667" s="89" t="str">
        <f>IF(ISBLANK(O667),"",IFERROR(INDEX('Tournament List'!$D:$D,MATCH(O667,'Tournament List'!$A:$A,0)),""))</f>
        <v/>
      </c>
    </row>
    <row r="668" spans="1:16" x14ac:dyDescent="0.3">
      <c r="A668" s="87">
        <v>667</v>
      </c>
      <c r="B668" s="88" t="str">
        <f>C668&amp;"-"&amp;E668&amp;"-"&amp;F668</f>
        <v>-Collegiate 2-Trap</v>
      </c>
      <c r="C668" s="88"/>
      <c r="D668" s="88" t="str">
        <f>INDEX('Tournament Setup'!$B$59:$B$78,MATCH(E668,SquadConcurrents,0))</f>
        <v>Collegiate</v>
      </c>
      <c r="E668" s="88" t="s">
        <v>348</v>
      </c>
      <c r="F668" s="88" t="s">
        <v>147</v>
      </c>
      <c r="G668" s="96" t="str">
        <f>IF(F668="Skeet",IFERROR(INDEX('Shooter-Squad Assignment'!$A:$A,MATCH(C668&amp;"-"&amp;E668&amp;"-"&amp;F668&amp;"-Pos1",'Shooter-Squad Assignment'!$K:$K,0)),""),IF(F668="Trap",IFERROR(INDEX('Shooter-Squad Assignment'!$A:$A,MATCH(C668&amp;"-"&amp;E668&amp;"-"&amp;F668&amp;"-Pos1",'Shooter-Squad Assignment'!$W:$W,0)),""),IF(F668="Sporting Clays",IFERROR(INDEX('Shooter-Squad Assignment'!$A:$A,MATCH(C668&amp;"-"&amp;E668&amp;"-"&amp;F668&amp;"-Pos1",'Shooter-Squad Assignment'!$Z:$Z,0)),""),"")))</f>
        <v/>
      </c>
      <c r="H668" s="88" t="str">
        <f>IF(ISBLANK(G668),"",IFERROR(INDEX('Tournament List'!$D:$D,MATCH(G668,'Tournament List'!$A:$A,0)),""))</f>
        <v/>
      </c>
      <c r="I668" s="96" t="str">
        <f>IF(F668="Skeet",IFERROR(INDEX('Shooter-Squad Assignment'!$A:$A,MATCH(C668&amp;"-"&amp;E668&amp;"-"&amp;F668&amp;"-Pos2",'Shooter-Squad Assignment'!$K:$K,0)),""),IF(F668="Trap",IFERROR(INDEX('Shooter-Squad Assignment'!$A:$A,MATCH(C668&amp;"-"&amp;E668&amp;"-"&amp;F668&amp;"-Pos2",'Shooter-Squad Assignment'!$W:$W,0)),""),IF(F668="Sporting Clays",IFERROR(INDEX('Shooter-Squad Assignment'!$A:$A,MATCH(C668&amp;"-"&amp;E668&amp;"-"&amp;F668&amp;"-Pos2",'Shooter-Squad Assignment'!$Z:$Z,0)),""),"")))</f>
        <v/>
      </c>
      <c r="J668" s="88" t="str">
        <f>IF(ISBLANK(I668),"",IFERROR(INDEX('Tournament List'!$D:$D,MATCH(I668,'Tournament List'!$A:$A,0)),""))</f>
        <v/>
      </c>
      <c r="K668" s="96" t="str">
        <f>IF(F668="Skeet",IFERROR(INDEX('Shooter-Squad Assignment'!$A:$A,MATCH(C668&amp;"-"&amp;E668&amp;"-"&amp;F668&amp;"-Pos3",'Shooter-Squad Assignment'!$K:$K,0)),""),IF(F668="Trap",IFERROR(INDEX('Shooter-Squad Assignment'!$A:$A,MATCH(C668&amp;"-"&amp;E668&amp;"-"&amp;F668&amp;"-Pos3",'Shooter-Squad Assignment'!$W:$W,0)),""),IF(F668="Sporting Clays",IFERROR(INDEX('Shooter-Squad Assignment'!$A:$A,MATCH(C668&amp;"-"&amp;E668&amp;"-"&amp;F668&amp;"-Pos3",'Shooter-Squad Assignment'!$Z:$Z,0)),""),"")))</f>
        <v/>
      </c>
      <c r="L668" s="88" t="str">
        <f>IF(ISBLANK(K668),"",IFERROR(INDEX('Tournament List'!$D:$D,MATCH(K668,'Tournament List'!$A:$A,0)),""))</f>
        <v/>
      </c>
      <c r="M668" s="96" t="str">
        <f>IF(F668="Skeet",IFERROR(INDEX('Shooter-Squad Assignment'!$A:$A,MATCH(C668&amp;"-"&amp;E668&amp;"-"&amp;F668&amp;"-Pos4",'Shooter-Squad Assignment'!$K:$K,0)),""),IF(F668="Trap",IFERROR(INDEX('Shooter-Squad Assignment'!$A:$A,MATCH(C668&amp;"-"&amp;E668&amp;"-"&amp;F668&amp;"-Pos4",'Shooter-Squad Assignment'!$W:$W,0)),""),IF(F668="Sporting Clays",IFERROR(INDEX('Shooter-Squad Assignment'!$A:$A,MATCH(C668&amp;"-"&amp;E668&amp;"-"&amp;F668&amp;"-Pos4",'Shooter-Squad Assignment'!$Z:$Z,0)),""),"")))</f>
        <v/>
      </c>
      <c r="N668" s="88" t="str">
        <f>IF(ISBLANK(M668),"",IFERROR(INDEX('Tournament List'!$D:$D,MATCH(M668,'Tournament List'!$A:$A,0)),""))</f>
        <v/>
      </c>
      <c r="O668" s="96" t="str">
        <f>IF(F668="Skeet",IFERROR(INDEX('Shooter-Squad Assignment'!$A:$A,MATCH(C668&amp;"-"&amp;E668&amp;"-"&amp;F668&amp;"-Pos5",'Shooter-Squad Assignment'!$K:$K,0)),""),IF(F668="Trap",IFERROR(INDEX('Shooter-Squad Assignment'!$A:$A,MATCH(C668&amp;"-"&amp;E668&amp;"-"&amp;F668&amp;"-Pos5",'Shooter-Squad Assignment'!$W:$W,0)),""),IF(F668="Sporting Clays",IFERROR(INDEX('Shooter-Squad Assignment'!$A:$A,MATCH(C668&amp;"-"&amp;E668&amp;"-"&amp;F668&amp;"-Pos5",'Shooter-Squad Assignment'!$Z:$Z,0)),""),"")))</f>
        <v/>
      </c>
      <c r="P668" s="89" t="str">
        <f>IF(ISBLANK(O668),"",IFERROR(INDEX('Tournament List'!$D:$D,MATCH(O668,'Tournament List'!$A:$A,0)),""))</f>
        <v/>
      </c>
    </row>
    <row r="669" spans="1:16" x14ac:dyDescent="0.3">
      <c r="A669" s="87">
        <v>668</v>
      </c>
      <c r="B669" s="88" t="str">
        <f>C669&amp;"-"&amp;E669&amp;"-"&amp;F669</f>
        <v>-Collegiate 3-Trap</v>
      </c>
      <c r="C669" s="88"/>
      <c r="D669" s="88" t="str">
        <f>INDEX('Tournament Setup'!$B$59:$B$78,MATCH(E669,SquadConcurrents,0))</f>
        <v>Collegiate</v>
      </c>
      <c r="E669" s="88" t="s">
        <v>354</v>
      </c>
      <c r="F669" s="88" t="s">
        <v>147</v>
      </c>
      <c r="G669" s="96" t="str">
        <f>IF(F669="Skeet",IFERROR(INDEX('Shooter-Squad Assignment'!$A:$A,MATCH(C669&amp;"-"&amp;E669&amp;"-"&amp;F669&amp;"-Pos1",'Shooter-Squad Assignment'!$K:$K,0)),""),IF(F669="Trap",IFERROR(INDEX('Shooter-Squad Assignment'!$A:$A,MATCH(C669&amp;"-"&amp;E669&amp;"-"&amp;F669&amp;"-Pos1",'Shooter-Squad Assignment'!$W:$W,0)),""),IF(F669="Sporting Clays",IFERROR(INDEX('Shooter-Squad Assignment'!$A:$A,MATCH(C669&amp;"-"&amp;E669&amp;"-"&amp;F669&amp;"-Pos1",'Shooter-Squad Assignment'!$Z:$Z,0)),""),"")))</f>
        <v/>
      </c>
      <c r="H669" s="88" t="str">
        <f>IF(ISBLANK(G669),"",IFERROR(INDEX('Tournament List'!$D:$D,MATCH(G669,'Tournament List'!$A:$A,0)),""))</f>
        <v/>
      </c>
      <c r="I669" s="96" t="str">
        <f>IF(F669="Skeet",IFERROR(INDEX('Shooter-Squad Assignment'!$A:$A,MATCH(C669&amp;"-"&amp;E669&amp;"-"&amp;F669&amp;"-Pos2",'Shooter-Squad Assignment'!$K:$K,0)),""),IF(F669="Trap",IFERROR(INDEX('Shooter-Squad Assignment'!$A:$A,MATCH(C669&amp;"-"&amp;E669&amp;"-"&amp;F669&amp;"-Pos2",'Shooter-Squad Assignment'!$W:$W,0)),""),IF(F669="Sporting Clays",IFERROR(INDEX('Shooter-Squad Assignment'!$A:$A,MATCH(C669&amp;"-"&amp;E669&amp;"-"&amp;F669&amp;"-Pos2",'Shooter-Squad Assignment'!$Z:$Z,0)),""),"")))</f>
        <v/>
      </c>
      <c r="J669" s="88" t="str">
        <f>IF(ISBLANK(I669),"",IFERROR(INDEX('Tournament List'!$D:$D,MATCH(I669,'Tournament List'!$A:$A,0)),""))</f>
        <v/>
      </c>
      <c r="K669" s="96" t="str">
        <f>IF(F669="Skeet",IFERROR(INDEX('Shooter-Squad Assignment'!$A:$A,MATCH(C669&amp;"-"&amp;E669&amp;"-"&amp;F669&amp;"-Pos3",'Shooter-Squad Assignment'!$K:$K,0)),""),IF(F669="Trap",IFERROR(INDEX('Shooter-Squad Assignment'!$A:$A,MATCH(C669&amp;"-"&amp;E669&amp;"-"&amp;F669&amp;"-Pos3",'Shooter-Squad Assignment'!$W:$W,0)),""),IF(F669="Sporting Clays",IFERROR(INDEX('Shooter-Squad Assignment'!$A:$A,MATCH(C669&amp;"-"&amp;E669&amp;"-"&amp;F669&amp;"-Pos3",'Shooter-Squad Assignment'!$Z:$Z,0)),""),"")))</f>
        <v/>
      </c>
      <c r="L669" s="88" t="str">
        <f>IF(ISBLANK(K669),"",IFERROR(INDEX('Tournament List'!$D:$D,MATCH(K669,'Tournament List'!$A:$A,0)),""))</f>
        <v/>
      </c>
      <c r="M669" s="96" t="str">
        <f>IF(F669="Skeet",IFERROR(INDEX('Shooter-Squad Assignment'!$A:$A,MATCH(C669&amp;"-"&amp;E669&amp;"-"&amp;F669&amp;"-Pos4",'Shooter-Squad Assignment'!$K:$K,0)),""),IF(F669="Trap",IFERROR(INDEX('Shooter-Squad Assignment'!$A:$A,MATCH(C669&amp;"-"&amp;E669&amp;"-"&amp;F669&amp;"-Pos4",'Shooter-Squad Assignment'!$W:$W,0)),""),IF(F669="Sporting Clays",IFERROR(INDEX('Shooter-Squad Assignment'!$A:$A,MATCH(C669&amp;"-"&amp;E669&amp;"-"&amp;F669&amp;"-Pos4",'Shooter-Squad Assignment'!$Z:$Z,0)),""),"")))</f>
        <v/>
      </c>
      <c r="N669" s="88" t="str">
        <f>IF(ISBLANK(M669),"",IFERROR(INDEX('Tournament List'!$D:$D,MATCH(M669,'Tournament List'!$A:$A,0)),""))</f>
        <v/>
      </c>
      <c r="O669" s="96" t="str">
        <f>IF(F669="Skeet",IFERROR(INDEX('Shooter-Squad Assignment'!$A:$A,MATCH(C669&amp;"-"&amp;E669&amp;"-"&amp;F669&amp;"-Pos5",'Shooter-Squad Assignment'!$K:$K,0)),""),IF(F669="Trap",IFERROR(INDEX('Shooter-Squad Assignment'!$A:$A,MATCH(C669&amp;"-"&amp;E669&amp;"-"&amp;F669&amp;"-Pos5",'Shooter-Squad Assignment'!$W:$W,0)),""),IF(F669="Sporting Clays",IFERROR(INDEX('Shooter-Squad Assignment'!$A:$A,MATCH(C669&amp;"-"&amp;E669&amp;"-"&amp;F669&amp;"-Pos5",'Shooter-Squad Assignment'!$Z:$Z,0)),""),"")))</f>
        <v/>
      </c>
      <c r="P669" s="89" t="str">
        <f>IF(ISBLANK(O669),"",IFERROR(INDEX('Tournament List'!$D:$D,MATCH(O669,'Tournament List'!$A:$A,0)),""))</f>
        <v/>
      </c>
    </row>
    <row r="670" spans="1:16" x14ac:dyDescent="0.3">
      <c r="A670" s="87">
        <v>669</v>
      </c>
      <c r="B670" s="88" t="str">
        <f>C670&amp;"-"&amp;E670&amp;"-"&amp;F670</f>
        <v>-Intermediate 1-Trap</v>
      </c>
      <c r="C670" s="88"/>
      <c r="D670" s="88" t="str">
        <f>INDEX('Tournament Setup'!$B$59:$B$78,MATCH(E670,SquadConcurrents,0))</f>
        <v>Intermediate</v>
      </c>
      <c r="E670" s="88" t="s">
        <v>338</v>
      </c>
      <c r="F670" s="88" t="s">
        <v>147</v>
      </c>
      <c r="G670" s="96" t="str">
        <f>IF(F670="Skeet",IFERROR(INDEX('Shooter-Squad Assignment'!$A:$A,MATCH(C670&amp;"-"&amp;E670&amp;"-"&amp;F670&amp;"-Pos1",'Shooter-Squad Assignment'!$K:$K,0)),""),IF(F670="Trap",IFERROR(INDEX('Shooter-Squad Assignment'!$A:$A,MATCH(C670&amp;"-"&amp;E670&amp;"-"&amp;F670&amp;"-Pos1",'Shooter-Squad Assignment'!$W:$W,0)),""),IF(F670="Sporting Clays",IFERROR(INDEX('Shooter-Squad Assignment'!$A:$A,MATCH(C670&amp;"-"&amp;E670&amp;"-"&amp;F670&amp;"-Pos1",'Shooter-Squad Assignment'!$Z:$Z,0)),""),"")))</f>
        <v/>
      </c>
      <c r="H670" s="88" t="str">
        <f>IF(ISBLANK(G670),"",IFERROR(INDEX('Tournament List'!$D:$D,MATCH(G670,'Tournament List'!$A:$A,0)),""))</f>
        <v/>
      </c>
      <c r="I670" s="96" t="str">
        <f>IF(F670="Skeet",IFERROR(INDEX('Shooter-Squad Assignment'!$A:$A,MATCH(C670&amp;"-"&amp;E670&amp;"-"&amp;F670&amp;"-Pos2",'Shooter-Squad Assignment'!$K:$K,0)),""),IF(F670="Trap",IFERROR(INDEX('Shooter-Squad Assignment'!$A:$A,MATCH(C670&amp;"-"&amp;E670&amp;"-"&amp;F670&amp;"-Pos2",'Shooter-Squad Assignment'!$W:$W,0)),""),IF(F670="Sporting Clays",IFERROR(INDEX('Shooter-Squad Assignment'!$A:$A,MATCH(C670&amp;"-"&amp;E670&amp;"-"&amp;F670&amp;"-Pos2",'Shooter-Squad Assignment'!$Z:$Z,0)),""),"")))</f>
        <v/>
      </c>
      <c r="J670" s="88" t="str">
        <f>IF(ISBLANK(I670),"",IFERROR(INDEX('Tournament List'!$D:$D,MATCH(I670,'Tournament List'!$A:$A,0)),""))</f>
        <v/>
      </c>
      <c r="K670" s="96" t="str">
        <f>IF(F670="Skeet",IFERROR(INDEX('Shooter-Squad Assignment'!$A:$A,MATCH(C670&amp;"-"&amp;E670&amp;"-"&amp;F670&amp;"-Pos3",'Shooter-Squad Assignment'!$K:$K,0)),""),IF(F670="Trap",IFERROR(INDEX('Shooter-Squad Assignment'!$A:$A,MATCH(C670&amp;"-"&amp;E670&amp;"-"&amp;F670&amp;"-Pos3",'Shooter-Squad Assignment'!$W:$W,0)),""),IF(F670="Sporting Clays",IFERROR(INDEX('Shooter-Squad Assignment'!$A:$A,MATCH(C670&amp;"-"&amp;E670&amp;"-"&amp;F670&amp;"-Pos3",'Shooter-Squad Assignment'!$Z:$Z,0)),""),"")))</f>
        <v/>
      </c>
      <c r="L670" s="88" t="str">
        <f>IF(ISBLANK(K670),"",IFERROR(INDEX('Tournament List'!$D:$D,MATCH(K670,'Tournament List'!$A:$A,0)),""))</f>
        <v/>
      </c>
      <c r="M670" s="96" t="str">
        <f>IF(F670="Skeet",IFERROR(INDEX('Shooter-Squad Assignment'!$A:$A,MATCH(C670&amp;"-"&amp;E670&amp;"-"&amp;F670&amp;"-Pos4",'Shooter-Squad Assignment'!$K:$K,0)),""),IF(F670="Trap",IFERROR(INDEX('Shooter-Squad Assignment'!$A:$A,MATCH(C670&amp;"-"&amp;E670&amp;"-"&amp;F670&amp;"-Pos4",'Shooter-Squad Assignment'!$W:$W,0)),""),IF(F670="Sporting Clays",IFERROR(INDEX('Shooter-Squad Assignment'!$A:$A,MATCH(C670&amp;"-"&amp;E670&amp;"-"&amp;F670&amp;"-Pos4",'Shooter-Squad Assignment'!$Z:$Z,0)),""),"")))</f>
        <v/>
      </c>
      <c r="N670" s="88" t="str">
        <f>IF(ISBLANK(M670),"",IFERROR(INDEX('Tournament List'!$D:$D,MATCH(M670,'Tournament List'!$A:$A,0)),""))</f>
        <v/>
      </c>
      <c r="O670" s="96" t="str">
        <f>IF(F670="Skeet",IFERROR(INDEX('Shooter-Squad Assignment'!$A:$A,MATCH(C670&amp;"-"&amp;E670&amp;"-"&amp;F670&amp;"-Pos5",'Shooter-Squad Assignment'!$K:$K,0)),""),IF(F670="Trap",IFERROR(INDEX('Shooter-Squad Assignment'!$A:$A,MATCH(C670&amp;"-"&amp;E670&amp;"-"&amp;F670&amp;"-Pos5",'Shooter-Squad Assignment'!$W:$W,0)),""),IF(F670="Sporting Clays",IFERROR(INDEX('Shooter-Squad Assignment'!$A:$A,MATCH(C670&amp;"-"&amp;E670&amp;"-"&amp;F670&amp;"-Pos5",'Shooter-Squad Assignment'!$Z:$Z,0)),""),"")))</f>
        <v/>
      </c>
      <c r="P670" s="89" t="str">
        <f>IF(ISBLANK(O670),"",IFERROR(INDEX('Tournament List'!$D:$D,MATCH(O670,'Tournament List'!$A:$A,0)),""))</f>
        <v/>
      </c>
    </row>
    <row r="671" spans="1:16" x14ac:dyDescent="0.3">
      <c r="A671" s="87">
        <v>670</v>
      </c>
      <c r="B671" s="88" t="str">
        <f>C671&amp;"-"&amp;E671&amp;"-"&amp;F671</f>
        <v>-Intermediate 2-Trap</v>
      </c>
      <c r="C671" s="88"/>
      <c r="D671" s="88" t="str">
        <f>INDEX('Tournament Setup'!$B$59:$B$78,MATCH(E671,SquadConcurrents,0))</f>
        <v>Intermediate</v>
      </c>
      <c r="E671" s="88" t="s">
        <v>344</v>
      </c>
      <c r="F671" s="88" t="s">
        <v>147</v>
      </c>
      <c r="G671" s="96" t="str">
        <f>IF(F671="Skeet",IFERROR(INDEX('Shooter-Squad Assignment'!$A:$A,MATCH(C671&amp;"-"&amp;E671&amp;"-"&amp;F671&amp;"-Pos1",'Shooter-Squad Assignment'!$K:$K,0)),""),IF(F671="Trap",IFERROR(INDEX('Shooter-Squad Assignment'!$A:$A,MATCH(C671&amp;"-"&amp;E671&amp;"-"&amp;F671&amp;"-Pos1",'Shooter-Squad Assignment'!$W:$W,0)),""),IF(F671="Sporting Clays",IFERROR(INDEX('Shooter-Squad Assignment'!$A:$A,MATCH(C671&amp;"-"&amp;E671&amp;"-"&amp;F671&amp;"-Pos1",'Shooter-Squad Assignment'!$Z:$Z,0)),""),"")))</f>
        <v/>
      </c>
      <c r="H671" s="88" t="str">
        <f>IF(ISBLANK(G671),"",IFERROR(INDEX('Tournament List'!$D:$D,MATCH(G671,'Tournament List'!$A:$A,0)),""))</f>
        <v/>
      </c>
      <c r="I671" s="96" t="str">
        <f>IF(F671="Skeet",IFERROR(INDEX('Shooter-Squad Assignment'!$A:$A,MATCH(C671&amp;"-"&amp;E671&amp;"-"&amp;F671&amp;"-Pos2",'Shooter-Squad Assignment'!$K:$K,0)),""),IF(F671="Trap",IFERROR(INDEX('Shooter-Squad Assignment'!$A:$A,MATCH(C671&amp;"-"&amp;E671&amp;"-"&amp;F671&amp;"-Pos2",'Shooter-Squad Assignment'!$W:$W,0)),""),IF(F671="Sporting Clays",IFERROR(INDEX('Shooter-Squad Assignment'!$A:$A,MATCH(C671&amp;"-"&amp;E671&amp;"-"&amp;F671&amp;"-Pos2",'Shooter-Squad Assignment'!$Z:$Z,0)),""),"")))</f>
        <v/>
      </c>
      <c r="J671" s="88" t="str">
        <f>IF(ISBLANK(I671),"",IFERROR(INDEX('Tournament List'!$D:$D,MATCH(I671,'Tournament List'!$A:$A,0)),""))</f>
        <v/>
      </c>
      <c r="K671" s="96" t="str">
        <f>IF(F671="Skeet",IFERROR(INDEX('Shooter-Squad Assignment'!$A:$A,MATCH(C671&amp;"-"&amp;E671&amp;"-"&amp;F671&amp;"-Pos3",'Shooter-Squad Assignment'!$K:$K,0)),""),IF(F671="Trap",IFERROR(INDEX('Shooter-Squad Assignment'!$A:$A,MATCH(C671&amp;"-"&amp;E671&amp;"-"&amp;F671&amp;"-Pos3",'Shooter-Squad Assignment'!$W:$W,0)),""),IF(F671="Sporting Clays",IFERROR(INDEX('Shooter-Squad Assignment'!$A:$A,MATCH(C671&amp;"-"&amp;E671&amp;"-"&amp;F671&amp;"-Pos3",'Shooter-Squad Assignment'!$Z:$Z,0)),""),"")))</f>
        <v/>
      </c>
      <c r="L671" s="88" t="str">
        <f>IF(ISBLANK(K671),"",IFERROR(INDEX('Tournament List'!$D:$D,MATCH(K671,'Tournament List'!$A:$A,0)),""))</f>
        <v/>
      </c>
      <c r="M671" s="96" t="str">
        <f>IF(F671="Skeet",IFERROR(INDEX('Shooter-Squad Assignment'!$A:$A,MATCH(C671&amp;"-"&amp;E671&amp;"-"&amp;F671&amp;"-Pos4",'Shooter-Squad Assignment'!$K:$K,0)),""),IF(F671="Trap",IFERROR(INDEX('Shooter-Squad Assignment'!$A:$A,MATCH(C671&amp;"-"&amp;E671&amp;"-"&amp;F671&amp;"-Pos4",'Shooter-Squad Assignment'!$W:$W,0)),""),IF(F671="Sporting Clays",IFERROR(INDEX('Shooter-Squad Assignment'!$A:$A,MATCH(C671&amp;"-"&amp;E671&amp;"-"&amp;F671&amp;"-Pos4",'Shooter-Squad Assignment'!$Z:$Z,0)),""),"")))</f>
        <v/>
      </c>
      <c r="N671" s="88" t="str">
        <f>IF(ISBLANK(M671),"",IFERROR(INDEX('Tournament List'!$D:$D,MATCH(M671,'Tournament List'!$A:$A,0)),""))</f>
        <v/>
      </c>
      <c r="O671" s="96" t="str">
        <f>IF(F671="Skeet",IFERROR(INDEX('Shooter-Squad Assignment'!$A:$A,MATCH(C671&amp;"-"&amp;E671&amp;"-"&amp;F671&amp;"-Pos5",'Shooter-Squad Assignment'!$K:$K,0)),""),IF(F671="Trap",IFERROR(INDEX('Shooter-Squad Assignment'!$A:$A,MATCH(C671&amp;"-"&amp;E671&amp;"-"&amp;F671&amp;"-Pos5",'Shooter-Squad Assignment'!$W:$W,0)),""),IF(F671="Sporting Clays",IFERROR(INDEX('Shooter-Squad Assignment'!$A:$A,MATCH(C671&amp;"-"&amp;E671&amp;"-"&amp;F671&amp;"-Pos5",'Shooter-Squad Assignment'!$Z:$Z,0)),""),"")))</f>
        <v/>
      </c>
      <c r="P671" s="89" t="str">
        <f>IF(ISBLANK(O671),"",IFERROR(INDEX('Tournament List'!$D:$D,MATCH(O671,'Tournament List'!$A:$A,0)),""))</f>
        <v/>
      </c>
    </row>
    <row r="672" spans="1:16" x14ac:dyDescent="0.3">
      <c r="A672" s="87">
        <v>671</v>
      </c>
      <c r="B672" s="88" t="str">
        <f>C672&amp;"-"&amp;E672&amp;"-"&amp;F672</f>
        <v>-Intermediate 3-Trap</v>
      </c>
      <c r="C672" s="88"/>
      <c r="D672" s="88" t="str">
        <f>INDEX('Tournament Setup'!$B$59:$B$78,MATCH(E672,SquadConcurrents,0))</f>
        <v>Intermediate</v>
      </c>
      <c r="E672" s="88" t="s">
        <v>350</v>
      </c>
      <c r="F672" s="88" t="s">
        <v>147</v>
      </c>
      <c r="G672" s="96" t="str">
        <f>IF(F672="Skeet",IFERROR(INDEX('Shooter-Squad Assignment'!$A:$A,MATCH(C672&amp;"-"&amp;E672&amp;"-"&amp;F672&amp;"-Pos1",'Shooter-Squad Assignment'!$K:$K,0)),""),IF(F672="Trap",IFERROR(INDEX('Shooter-Squad Assignment'!$A:$A,MATCH(C672&amp;"-"&amp;E672&amp;"-"&amp;F672&amp;"-Pos1",'Shooter-Squad Assignment'!$W:$W,0)),""),IF(F672="Sporting Clays",IFERROR(INDEX('Shooter-Squad Assignment'!$A:$A,MATCH(C672&amp;"-"&amp;E672&amp;"-"&amp;F672&amp;"-Pos1",'Shooter-Squad Assignment'!$Z:$Z,0)),""),"")))</f>
        <v/>
      </c>
      <c r="H672" s="88" t="str">
        <f>IF(ISBLANK(G672),"",IFERROR(INDEX('Tournament List'!$D:$D,MATCH(G672,'Tournament List'!$A:$A,0)),""))</f>
        <v/>
      </c>
      <c r="I672" s="96" t="str">
        <f>IF(F672="Skeet",IFERROR(INDEX('Shooter-Squad Assignment'!$A:$A,MATCH(C672&amp;"-"&amp;E672&amp;"-"&amp;F672&amp;"-Pos2",'Shooter-Squad Assignment'!$K:$K,0)),""),IF(F672="Trap",IFERROR(INDEX('Shooter-Squad Assignment'!$A:$A,MATCH(C672&amp;"-"&amp;E672&amp;"-"&amp;F672&amp;"-Pos2",'Shooter-Squad Assignment'!$W:$W,0)),""),IF(F672="Sporting Clays",IFERROR(INDEX('Shooter-Squad Assignment'!$A:$A,MATCH(C672&amp;"-"&amp;E672&amp;"-"&amp;F672&amp;"-Pos2",'Shooter-Squad Assignment'!$Z:$Z,0)),""),"")))</f>
        <v/>
      </c>
      <c r="J672" s="88" t="str">
        <f>IF(ISBLANK(I672),"",IFERROR(INDEX('Tournament List'!$D:$D,MATCH(I672,'Tournament List'!$A:$A,0)),""))</f>
        <v/>
      </c>
      <c r="K672" s="96" t="str">
        <f>IF(F672="Skeet",IFERROR(INDEX('Shooter-Squad Assignment'!$A:$A,MATCH(C672&amp;"-"&amp;E672&amp;"-"&amp;F672&amp;"-Pos3",'Shooter-Squad Assignment'!$K:$K,0)),""),IF(F672="Trap",IFERROR(INDEX('Shooter-Squad Assignment'!$A:$A,MATCH(C672&amp;"-"&amp;E672&amp;"-"&amp;F672&amp;"-Pos3",'Shooter-Squad Assignment'!$W:$W,0)),""),IF(F672="Sporting Clays",IFERROR(INDEX('Shooter-Squad Assignment'!$A:$A,MATCH(C672&amp;"-"&amp;E672&amp;"-"&amp;F672&amp;"-Pos3",'Shooter-Squad Assignment'!$Z:$Z,0)),""),"")))</f>
        <v/>
      </c>
      <c r="L672" s="88" t="str">
        <f>IF(ISBLANK(K672),"",IFERROR(INDEX('Tournament List'!$D:$D,MATCH(K672,'Tournament List'!$A:$A,0)),""))</f>
        <v/>
      </c>
      <c r="M672" s="96" t="str">
        <f>IF(F672="Skeet",IFERROR(INDEX('Shooter-Squad Assignment'!$A:$A,MATCH(C672&amp;"-"&amp;E672&amp;"-"&amp;F672&amp;"-Pos4",'Shooter-Squad Assignment'!$K:$K,0)),""),IF(F672="Trap",IFERROR(INDEX('Shooter-Squad Assignment'!$A:$A,MATCH(C672&amp;"-"&amp;E672&amp;"-"&amp;F672&amp;"-Pos4",'Shooter-Squad Assignment'!$W:$W,0)),""),IF(F672="Sporting Clays",IFERROR(INDEX('Shooter-Squad Assignment'!$A:$A,MATCH(C672&amp;"-"&amp;E672&amp;"-"&amp;F672&amp;"-Pos4",'Shooter-Squad Assignment'!$Z:$Z,0)),""),"")))</f>
        <v/>
      </c>
      <c r="N672" s="88" t="str">
        <f>IF(ISBLANK(M672),"",IFERROR(INDEX('Tournament List'!$D:$D,MATCH(M672,'Tournament List'!$A:$A,0)),""))</f>
        <v/>
      </c>
      <c r="O672" s="96" t="str">
        <f>IF(F672="Skeet",IFERROR(INDEX('Shooter-Squad Assignment'!$A:$A,MATCH(C672&amp;"-"&amp;E672&amp;"-"&amp;F672&amp;"-Pos5",'Shooter-Squad Assignment'!$K:$K,0)),""),IF(F672="Trap",IFERROR(INDEX('Shooter-Squad Assignment'!$A:$A,MATCH(C672&amp;"-"&amp;E672&amp;"-"&amp;F672&amp;"-Pos5",'Shooter-Squad Assignment'!$W:$W,0)),""),IF(F672="Sporting Clays",IFERROR(INDEX('Shooter-Squad Assignment'!$A:$A,MATCH(C672&amp;"-"&amp;E672&amp;"-"&amp;F672&amp;"-Pos5",'Shooter-Squad Assignment'!$Z:$Z,0)),""),"")))</f>
        <v/>
      </c>
      <c r="P672" s="89" t="str">
        <f>IF(ISBLANK(O672),"",IFERROR(INDEX('Tournament List'!$D:$D,MATCH(O672,'Tournament List'!$A:$A,0)),""))</f>
        <v/>
      </c>
    </row>
    <row r="673" spans="1:16" x14ac:dyDescent="0.3">
      <c r="A673" s="87">
        <v>672</v>
      </c>
      <c r="B673" s="88" t="str">
        <f>C673&amp;"-"&amp;E673&amp;"-"&amp;F673</f>
        <v>-Junior Varsity 1-Trap</v>
      </c>
      <c r="C673" s="88"/>
      <c r="D673" s="88" t="str">
        <f>INDEX('Tournament Setup'!$B$59:$B$78,MATCH(E673,SquadConcurrents,0))</f>
        <v>Junior Varsity</v>
      </c>
      <c r="E673" s="88" t="s">
        <v>339</v>
      </c>
      <c r="F673" s="88" t="s">
        <v>147</v>
      </c>
      <c r="G673" s="96" t="str">
        <f>IF(F673="Skeet",IFERROR(INDEX('Shooter-Squad Assignment'!$A:$A,MATCH(C673&amp;"-"&amp;E673&amp;"-"&amp;F673&amp;"-Pos1",'Shooter-Squad Assignment'!$K:$K,0)),""),IF(F673="Trap",IFERROR(INDEX('Shooter-Squad Assignment'!$A:$A,MATCH(C673&amp;"-"&amp;E673&amp;"-"&amp;F673&amp;"-Pos1",'Shooter-Squad Assignment'!$W:$W,0)),""),IF(F673="Sporting Clays",IFERROR(INDEX('Shooter-Squad Assignment'!$A:$A,MATCH(C673&amp;"-"&amp;E673&amp;"-"&amp;F673&amp;"-Pos1",'Shooter-Squad Assignment'!$Z:$Z,0)),""),"")))</f>
        <v/>
      </c>
      <c r="H673" s="88" t="str">
        <f>IF(ISBLANK(G673),"",IFERROR(INDEX('Tournament List'!$D:$D,MATCH(G673,'Tournament List'!$A:$A,0)),""))</f>
        <v/>
      </c>
      <c r="I673" s="96" t="str">
        <f>IF(F673="Skeet",IFERROR(INDEX('Shooter-Squad Assignment'!$A:$A,MATCH(C673&amp;"-"&amp;E673&amp;"-"&amp;F673&amp;"-Pos2",'Shooter-Squad Assignment'!$K:$K,0)),""),IF(F673="Trap",IFERROR(INDEX('Shooter-Squad Assignment'!$A:$A,MATCH(C673&amp;"-"&amp;E673&amp;"-"&amp;F673&amp;"-Pos2",'Shooter-Squad Assignment'!$W:$W,0)),""),IF(F673="Sporting Clays",IFERROR(INDEX('Shooter-Squad Assignment'!$A:$A,MATCH(C673&amp;"-"&amp;E673&amp;"-"&amp;F673&amp;"-Pos2",'Shooter-Squad Assignment'!$Z:$Z,0)),""),"")))</f>
        <v/>
      </c>
      <c r="J673" s="88" t="str">
        <f>IF(ISBLANK(I673),"",IFERROR(INDEX('Tournament List'!$D:$D,MATCH(I673,'Tournament List'!$A:$A,0)),""))</f>
        <v/>
      </c>
      <c r="K673" s="96" t="str">
        <f>IF(F673="Skeet",IFERROR(INDEX('Shooter-Squad Assignment'!$A:$A,MATCH(C673&amp;"-"&amp;E673&amp;"-"&amp;F673&amp;"-Pos3",'Shooter-Squad Assignment'!$K:$K,0)),""),IF(F673="Trap",IFERROR(INDEX('Shooter-Squad Assignment'!$A:$A,MATCH(C673&amp;"-"&amp;E673&amp;"-"&amp;F673&amp;"-Pos3",'Shooter-Squad Assignment'!$W:$W,0)),""),IF(F673="Sporting Clays",IFERROR(INDEX('Shooter-Squad Assignment'!$A:$A,MATCH(C673&amp;"-"&amp;E673&amp;"-"&amp;F673&amp;"-Pos3",'Shooter-Squad Assignment'!$Z:$Z,0)),""),"")))</f>
        <v/>
      </c>
      <c r="L673" s="88" t="str">
        <f>IF(ISBLANK(K673),"",IFERROR(INDEX('Tournament List'!$D:$D,MATCH(K673,'Tournament List'!$A:$A,0)),""))</f>
        <v/>
      </c>
      <c r="M673" s="96" t="str">
        <f>IF(F673="Skeet",IFERROR(INDEX('Shooter-Squad Assignment'!$A:$A,MATCH(C673&amp;"-"&amp;E673&amp;"-"&amp;F673&amp;"-Pos4",'Shooter-Squad Assignment'!$K:$K,0)),""),IF(F673="Trap",IFERROR(INDEX('Shooter-Squad Assignment'!$A:$A,MATCH(C673&amp;"-"&amp;E673&amp;"-"&amp;F673&amp;"-Pos4",'Shooter-Squad Assignment'!$W:$W,0)),""),IF(F673="Sporting Clays",IFERROR(INDEX('Shooter-Squad Assignment'!$A:$A,MATCH(C673&amp;"-"&amp;E673&amp;"-"&amp;F673&amp;"-Pos4",'Shooter-Squad Assignment'!$Z:$Z,0)),""),"")))</f>
        <v/>
      </c>
      <c r="N673" s="88" t="str">
        <f>IF(ISBLANK(M673),"",IFERROR(INDEX('Tournament List'!$D:$D,MATCH(M673,'Tournament List'!$A:$A,0)),""))</f>
        <v/>
      </c>
      <c r="O673" s="96" t="str">
        <f>IF(F673="Skeet",IFERROR(INDEX('Shooter-Squad Assignment'!$A:$A,MATCH(C673&amp;"-"&amp;E673&amp;"-"&amp;F673&amp;"-Pos5",'Shooter-Squad Assignment'!$K:$K,0)),""),IF(F673="Trap",IFERROR(INDEX('Shooter-Squad Assignment'!$A:$A,MATCH(C673&amp;"-"&amp;E673&amp;"-"&amp;F673&amp;"-Pos5",'Shooter-Squad Assignment'!$W:$W,0)),""),IF(F673="Sporting Clays",IFERROR(INDEX('Shooter-Squad Assignment'!$A:$A,MATCH(C673&amp;"-"&amp;E673&amp;"-"&amp;F673&amp;"-Pos5",'Shooter-Squad Assignment'!$Z:$Z,0)),""),"")))</f>
        <v/>
      </c>
      <c r="P673" s="89" t="str">
        <f>IF(ISBLANK(O673),"",IFERROR(INDEX('Tournament List'!$D:$D,MATCH(O673,'Tournament List'!$A:$A,0)),""))</f>
        <v/>
      </c>
    </row>
    <row r="674" spans="1:16" x14ac:dyDescent="0.3">
      <c r="A674" s="87">
        <v>673</v>
      </c>
      <c r="B674" s="88" t="str">
        <f>C674&amp;"-"&amp;E674&amp;"-"&amp;F674</f>
        <v>-Junior Varsity 2-Trap</v>
      </c>
      <c r="C674" s="88"/>
      <c r="D674" s="88" t="str">
        <f>INDEX('Tournament Setup'!$B$59:$B$78,MATCH(E674,SquadConcurrents,0))</f>
        <v>Junior Varsity</v>
      </c>
      <c r="E674" s="88" t="s">
        <v>345</v>
      </c>
      <c r="F674" s="88" t="s">
        <v>147</v>
      </c>
      <c r="G674" s="96" t="str">
        <f>IF(F674="Skeet",IFERROR(INDEX('Shooter-Squad Assignment'!$A:$A,MATCH(C674&amp;"-"&amp;E674&amp;"-"&amp;F674&amp;"-Pos1",'Shooter-Squad Assignment'!$K:$K,0)),""),IF(F674="Trap",IFERROR(INDEX('Shooter-Squad Assignment'!$A:$A,MATCH(C674&amp;"-"&amp;E674&amp;"-"&amp;F674&amp;"-Pos1",'Shooter-Squad Assignment'!$W:$W,0)),""),IF(F674="Sporting Clays",IFERROR(INDEX('Shooter-Squad Assignment'!$A:$A,MATCH(C674&amp;"-"&amp;E674&amp;"-"&amp;F674&amp;"-Pos1",'Shooter-Squad Assignment'!$Z:$Z,0)),""),"")))</f>
        <v/>
      </c>
      <c r="H674" s="88" t="str">
        <f>IF(ISBLANK(G674),"",IFERROR(INDEX('Tournament List'!$D:$D,MATCH(G674,'Tournament List'!$A:$A,0)),""))</f>
        <v/>
      </c>
      <c r="I674" s="96" t="str">
        <f>IF(F674="Skeet",IFERROR(INDEX('Shooter-Squad Assignment'!$A:$A,MATCH(C674&amp;"-"&amp;E674&amp;"-"&amp;F674&amp;"-Pos2",'Shooter-Squad Assignment'!$K:$K,0)),""),IF(F674="Trap",IFERROR(INDEX('Shooter-Squad Assignment'!$A:$A,MATCH(C674&amp;"-"&amp;E674&amp;"-"&amp;F674&amp;"-Pos2",'Shooter-Squad Assignment'!$W:$W,0)),""),IF(F674="Sporting Clays",IFERROR(INDEX('Shooter-Squad Assignment'!$A:$A,MATCH(C674&amp;"-"&amp;E674&amp;"-"&amp;F674&amp;"-Pos2",'Shooter-Squad Assignment'!$Z:$Z,0)),""),"")))</f>
        <v/>
      </c>
      <c r="J674" s="88" t="str">
        <f>IF(ISBLANK(I674),"",IFERROR(INDEX('Tournament List'!$D:$D,MATCH(I674,'Tournament List'!$A:$A,0)),""))</f>
        <v/>
      </c>
      <c r="K674" s="96" t="str">
        <f>IF(F674="Skeet",IFERROR(INDEX('Shooter-Squad Assignment'!$A:$A,MATCH(C674&amp;"-"&amp;E674&amp;"-"&amp;F674&amp;"-Pos3",'Shooter-Squad Assignment'!$K:$K,0)),""),IF(F674="Trap",IFERROR(INDEX('Shooter-Squad Assignment'!$A:$A,MATCH(C674&amp;"-"&amp;E674&amp;"-"&amp;F674&amp;"-Pos3",'Shooter-Squad Assignment'!$W:$W,0)),""),IF(F674="Sporting Clays",IFERROR(INDEX('Shooter-Squad Assignment'!$A:$A,MATCH(C674&amp;"-"&amp;E674&amp;"-"&amp;F674&amp;"-Pos3",'Shooter-Squad Assignment'!$Z:$Z,0)),""),"")))</f>
        <v/>
      </c>
      <c r="L674" s="88" t="str">
        <f>IF(ISBLANK(K674),"",IFERROR(INDEX('Tournament List'!$D:$D,MATCH(K674,'Tournament List'!$A:$A,0)),""))</f>
        <v/>
      </c>
      <c r="M674" s="96" t="str">
        <f>IF(F674="Skeet",IFERROR(INDEX('Shooter-Squad Assignment'!$A:$A,MATCH(C674&amp;"-"&amp;E674&amp;"-"&amp;F674&amp;"-Pos4",'Shooter-Squad Assignment'!$K:$K,0)),""),IF(F674="Trap",IFERROR(INDEX('Shooter-Squad Assignment'!$A:$A,MATCH(C674&amp;"-"&amp;E674&amp;"-"&amp;F674&amp;"-Pos4",'Shooter-Squad Assignment'!$W:$W,0)),""),IF(F674="Sporting Clays",IFERROR(INDEX('Shooter-Squad Assignment'!$A:$A,MATCH(C674&amp;"-"&amp;E674&amp;"-"&amp;F674&amp;"-Pos4",'Shooter-Squad Assignment'!$Z:$Z,0)),""),"")))</f>
        <v/>
      </c>
      <c r="N674" s="88" t="str">
        <f>IF(ISBLANK(M674),"",IFERROR(INDEX('Tournament List'!$D:$D,MATCH(M674,'Tournament List'!$A:$A,0)),""))</f>
        <v/>
      </c>
      <c r="O674" s="96" t="str">
        <f>IF(F674="Skeet",IFERROR(INDEX('Shooter-Squad Assignment'!$A:$A,MATCH(C674&amp;"-"&amp;E674&amp;"-"&amp;F674&amp;"-Pos5",'Shooter-Squad Assignment'!$K:$K,0)),""),IF(F674="Trap",IFERROR(INDEX('Shooter-Squad Assignment'!$A:$A,MATCH(C674&amp;"-"&amp;E674&amp;"-"&amp;F674&amp;"-Pos5",'Shooter-Squad Assignment'!$W:$W,0)),""),IF(F674="Sporting Clays",IFERROR(INDEX('Shooter-Squad Assignment'!$A:$A,MATCH(C674&amp;"-"&amp;E674&amp;"-"&amp;F674&amp;"-Pos5",'Shooter-Squad Assignment'!$Z:$Z,0)),""),"")))</f>
        <v/>
      </c>
      <c r="P674" s="89" t="str">
        <f>IF(ISBLANK(O674),"",IFERROR(INDEX('Tournament List'!$D:$D,MATCH(O674,'Tournament List'!$A:$A,0)),""))</f>
        <v/>
      </c>
    </row>
    <row r="675" spans="1:16" x14ac:dyDescent="0.3">
      <c r="A675" s="87">
        <v>674</v>
      </c>
      <c r="B675" s="88" t="str">
        <f>C675&amp;"-"&amp;E675&amp;"-"&amp;F675</f>
        <v>-Junior Varsity 3-Trap</v>
      </c>
      <c r="C675" s="88"/>
      <c r="D675" s="88" t="str">
        <f>INDEX('Tournament Setup'!$B$59:$B$78,MATCH(E675,SquadConcurrents,0))</f>
        <v>Junior Varsity</v>
      </c>
      <c r="E675" s="88" t="s">
        <v>351</v>
      </c>
      <c r="F675" s="88" t="s">
        <v>147</v>
      </c>
      <c r="G675" s="96" t="str">
        <f>IF(F675="Skeet",IFERROR(INDEX('Shooter-Squad Assignment'!$A:$A,MATCH(C675&amp;"-"&amp;E675&amp;"-"&amp;F675&amp;"-Pos1",'Shooter-Squad Assignment'!$K:$K,0)),""),IF(F675="Trap",IFERROR(INDEX('Shooter-Squad Assignment'!$A:$A,MATCH(C675&amp;"-"&amp;E675&amp;"-"&amp;F675&amp;"-Pos1",'Shooter-Squad Assignment'!$W:$W,0)),""),IF(F675="Sporting Clays",IFERROR(INDEX('Shooter-Squad Assignment'!$A:$A,MATCH(C675&amp;"-"&amp;E675&amp;"-"&amp;F675&amp;"-Pos1",'Shooter-Squad Assignment'!$Z:$Z,0)),""),"")))</f>
        <v/>
      </c>
      <c r="H675" s="88" t="str">
        <f>IF(ISBLANK(G675),"",IFERROR(INDEX('Tournament List'!$D:$D,MATCH(G675,'Tournament List'!$A:$A,0)),""))</f>
        <v/>
      </c>
      <c r="I675" s="96" t="str">
        <f>IF(F675="Skeet",IFERROR(INDEX('Shooter-Squad Assignment'!$A:$A,MATCH(C675&amp;"-"&amp;E675&amp;"-"&amp;F675&amp;"-Pos2",'Shooter-Squad Assignment'!$K:$K,0)),""),IF(F675="Trap",IFERROR(INDEX('Shooter-Squad Assignment'!$A:$A,MATCH(C675&amp;"-"&amp;E675&amp;"-"&amp;F675&amp;"-Pos2",'Shooter-Squad Assignment'!$W:$W,0)),""),IF(F675="Sporting Clays",IFERROR(INDEX('Shooter-Squad Assignment'!$A:$A,MATCH(C675&amp;"-"&amp;E675&amp;"-"&amp;F675&amp;"-Pos2",'Shooter-Squad Assignment'!$Z:$Z,0)),""),"")))</f>
        <v/>
      </c>
      <c r="J675" s="88" t="str">
        <f>IF(ISBLANK(I675),"",IFERROR(INDEX('Tournament List'!$D:$D,MATCH(I675,'Tournament List'!$A:$A,0)),""))</f>
        <v/>
      </c>
      <c r="K675" s="96" t="str">
        <f>IF(F675="Skeet",IFERROR(INDEX('Shooter-Squad Assignment'!$A:$A,MATCH(C675&amp;"-"&amp;E675&amp;"-"&amp;F675&amp;"-Pos3",'Shooter-Squad Assignment'!$K:$K,0)),""),IF(F675="Trap",IFERROR(INDEX('Shooter-Squad Assignment'!$A:$A,MATCH(C675&amp;"-"&amp;E675&amp;"-"&amp;F675&amp;"-Pos3",'Shooter-Squad Assignment'!$W:$W,0)),""),IF(F675="Sporting Clays",IFERROR(INDEX('Shooter-Squad Assignment'!$A:$A,MATCH(C675&amp;"-"&amp;E675&amp;"-"&amp;F675&amp;"-Pos3",'Shooter-Squad Assignment'!$Z:$Z,0)),""),"")))</f>
        <v/>
      </c>
      <c r="L675" s="88" t="str">
        <f>IF(ISBLANK(K675),"",IFERROR(INDEX('Tournament List'!$D:$D,MATCH(K675,'Tournament List'!$A:$A,0)),""))</f>
        <v/>
      </c>
      <c r="M675" s="96" t="str">
        <f>IF(F675="Skeet",IFERROR(INDEX('Shooter-Squad Assignment'!$A:$A,MATCH(C675&amp;"-"&amp;E675&amp;"-"&amp;F675&amp;"-Pos4",'Shooter-Squad Assignment'!$K:$K,0)),""),IF(F675="Trap",IFERROR(INDEX('Shooter-Squad Assignment'!$A:$A,MATCH(C675&amp;"-"&amp;E675&amp;"-"&amp;F675&amp;"-Pos4",'Shooter-Squad Assignment'!$W:$W,0)),""),IF(F675="Sporting Clays",IFERROR(INDEX('Shooter-Squad Assignment'!$A:$A,MATCH(C675&amp;"-"&amp;E675&amp;"-"&amp;F675&amp;"-Pos4",'Shooter-Squad Assignment'!$Z:$Z,0)),""),"")))</f>
        <v/>
      </c>
      <c r="N675" s="88" t="str">
        <f>IF(ISBLANK(M675),"",IFERROR(INDEX('Tournament List'!$D:$D,MATCH(M675,'Tournament List'!$A:$A,0)),""))</f>
        <v/>
      </c>
      <c r="O675" s="96" t="str">
        <f>IF(F675="Skeet",IFERROR(INDEX('Shooter-Squad Assignment'!$A:$A,MATCH(C675&amp;"-"&amp;E675&amp;"-"&amp;F675&amp;"-Pos5",'Shooter-Squad Assignment'!$K:$K,0)),""),IF(F675="Trap",IFERROR(INDEX('Shooter-Squad Assignment'!$A:$A,MATCH(C675&amp;"-"&amp;E675&amp;"-"&amp;F675&amp;"-Pos5",'Shooter-Squad Assignment'!$W:$W,0)),""),IF(F675="Sporting Clays",IFERROR(INDEX('Shooter-Squad Assignment'!$A:$A,MATCH(C675&amp;"-"&amp;E675&amp;"-"&amp;F675&amp;"-Pos5",'Shooter-Squad Assignment'!$Z:$Z,0)),""),"")))</f>
        <v/>
      </c>
      <c r="P675" s="89" t="str">
        <f>IF(ISBLANK(O675),"",IFERROR(INDEX('Tournament List'!$D:$D,MATCH(O675,'Tournament List'!$A:$A,0)),""))</f>
        <v/>
      </c>
    </row>
    <row r="676" spans="1:16" x14ac:dyDescent="0.3">
      <c r="A676" s="87">
        <v>675</v>
      </c>
      <c r="B676" s="88" t="str">
        <f>C676&amp;"-"&amp;E676&amp;"-"&amp;F676</f>
        <v>-Novice 1-Trap</v>
      </c>
      <c r="C676" s="88"/>
      <c r="D676" s="88" t="str">
        <f>INDEX('Tournament Setup'!$B$59:$B$78,MATCH(E676,SquadConcurrents,0))</f>
        <v>Novice</v>
      </c>
      <c r="E676" s="88" t="s">
        <v>337</v>
      </c>
      <c r="F676" s="88" t="s">
        <v>147</v>
      </c>
      <c r="G676" s="96" t="str">
        <f>IF(F676="Skeet",IFERROR(INDEX('Shooter-Squad Assignment'!$A:$A,MATCH(C676&amp;"-"&amp;E676&amp;"-"&amp;F676&amp;"-Pos1",'Shooter-Squad Assignment'!$K:$K,0)),""),IF(F676="Trap",IFERROR(INDEX('Shooter-Squad Assignment'!$A:$A,MATCH(C676&amp;"-"&amp;E676&amp;"-"&amp;F676&amp;"-Pos1",'Shooter-Squad Assignment'!$W:$W,0)),""),IF(F676="Sporting Clays",IFERROR(INDEX('Shooter-Squad Assignment'!$A:$A,MATCH(C676&amp;"-"&amp;E676&amp;"-"&amp;F676&amp;"-Pos1",'Shooter-Squad Assignment'!$Z:$Z,0)),""),"")))</f>
        <v/>
      </c>
      <c r="H676" s="88" t="str">
        <f>IF(ISBLANK(G676),"",IFERROR(INDEX('Tournament List'!$D:$D,MATCH(G676,'Tournament List'!$A:$A,0)),""))</f>
        <v/>
      </c>
      <c r="I676" s="96" t="str">
        <f>IF(F676="Skeet",IFERROR(INDEX('Shooter-Squad Assignment'!$A:$A,MATCH(C676&amp;"-"&amp;E676&amp;"-"&amp;F676&amp;"-Pos2",'Shooter-Squad Assignment'!$K:$K,0)),""),IF(F676="Trap",IFERROR(INDEX('Shooter-Squad Assignment'!$A:$A,MATCH(C676&amp;"-"&amp;E676&amp;"-"&amp;F676&amp;"-Pos2",'Shooter-Squad Assignment'!$W:$W,0)),""),IF(F676="Sporting Clays",IFERROR(INDEX('Shooter-Squad Assignment'!$A:$A,MATCH(C676&amp;"-"&amp;E676&amp;"-"&amp;F676&amp;"-Pos2",'Shooter-Squad Assignment'!$Z:$Z,0)),""),"")))</f>
        <v/>
      </c>
      <c r="J676" s="88" t="str">
        <f>IF(ISBLANK(I676),"",IFERROR(INDEX('Tournament List'!$D:$D,MATCH(I676,'Tournament List'!$A:$A,0)),""))</f>
        <v/>
      </c>
      <c r="K676" s="96" t="str">
        <f>IF(F676="Skeet",IFERROR(INDEX('Shooter-Squad Assignment'!$A:$A,MATCH(C676&amp;"-"&amp;E676&amp;"-"&amp;F676&amp;"-Pos3",'Shooter-Squad Assignment'!$K:$K,0)),""),IF(F676="Trap",IFERROR(INDEX('Shooter-Squad Assignment'!$A:$A,MATCH(C676&amp;"-"&amp;E676&amp;"-"&amp;F676&amp;"-Pos3",'Shooter-Squad Assignment'!$W:$W,0)),""),IF(F676="Sporting Clays",IFERROR(INDEX('Shooter-Squad Assignment'!$A:$A,MATCH(C676&amp;"-"&amp;E676&amp;"-"&amp;F676&amp;"-Pos3",'Shooter-Squad Assignment'!$Z:$Z,0)),""),"")))</f>
        <v/>
      </c>
      <c r="L676" s="88" t="str">
        <f>IF(ISBLANK(K676),"",IFERROR(INDEX('Tournament List'!$D:$D,MATCH(K676,'Tournament List'!$A:$A,0)),""))</f>
        <v/>
      </c>
      <c r="M676" s="96" t="str">
        <f>IF(F676="Skeet",IFERROR(INDEX('Shooter-Squad Assignment'!$A:$A,MATCH(C676&amp;"-"&amp;E676&amp;"-"&amp;F676&amp;"-Pos4",'Shooter-Squad Assignment'!$K:$K,0)),""),IF(F676="Trap",IFERROR(INDEX('Shooter-Squad Assignment'!$A:$A,MATCH(C676&amp;"-"&amp;E676&amp;"-"&amp;F676&amp;"-Pos4",'Shooter-Squad Assignment'!$W:$W,0)),""),IF(F676="Sporting Clays",IFERROR(INDEX('Shooter-Squad Assignment'!$A:$A,MATCH(C676&amp;"-"&amp;E676&amp;"-"&amp;F676&amp;"-Pos4",'Shooter-Squad Assignment'!$Z:$Z,0)),""),"")))</f>
        <v/>
      </c>
      <c r="N676" s="88" t="str">
        <f>IF(ISBLANK(M676),"",IFERROR(INDEX('Tournament List'!$D:$D,MATCH(M676,'Tournament List'!$A:$A,0)),""))</f>
        <v/>
      </c>
      <c r="O676" s="96" t="str">
        <f>IF(F676="Skeet",IFERROR(INDEX('Shooter-Squad Assignment'!$A:$A,MATCH(C676&amp;"-"&amp;E676&amp;"-"&amp;F676&amp;"-Pos5",'Shooter-Squad Assignment'!$K:$K,0)),""),IF(F676="Trap",IFERROR(INDEX('Shooter-Squad Assignment'!$A:$A,MATCH(C676&amp;"-"&amp;E676&amp;"-"&amp;F676&amp;"-Pos5",'Shooter-Squad Assignment'!$W:$W,0)),""),IF(F676="Sporting Clays",IFERROR(INDEX('Shooter-Squad Assignment'!$A:$A,MATCH(C676&amp;"-"&amp;E676&amp;"-"&amp;F676&amp;"-Pos5",'Shooter-Squad Assignment'!$Z:$Z,0)),""),"")))</f>
        <v/>
      </c>
      <c r="P676" s="89" t="str">
        <f>IF(ISBLANK(O676),"",IFERROR(INDEX('Tournament List'!$D:$D,MATCH(O676,'Tournament List'!$A:$A,0)),""))</f>
        <v/>
      </c>
    </row>
    <row r="677" spans="1:16" x14ac:dyDescent="0.3">
      <c r="A677" s="87">
        <v>676</v>
      </c>
      <c r="B677" s="88" t="str">
        <f>C677&amp;"-"&amp;E677&amp;"-"&amp;F677</f>
        <v>-Novice 2-Trap</v>
      </c>
      <c r="C677" s="88"/>
      <c r="D677" s="88" t="str">
        <f>INDEX('Tournament Setup'!$B$59:$B$78,MATCH(E677,SquadConcurrents,0))</f>
        <v>Novice</v>
      </c>
      <c r="E677" s="88" t="s">
        <v>343</v>
      </c>
      <c r="F677" s="88" t="s">
        <v>147</v>
      </c>
      <c r="G677" s="96" t="str">
        <f>IF(F677="Skeet",IFERROR(INDEX('Shooter-Squad Assignment'!$A:$A,MATCH(C677&amp;"-"&amp;E677&amp;"-"&amp;F677&amp;"-Pos1",'Shooter-Squad Assignment'!$K:$K,0)),""),IF(F677="Trap",IFERROR(INDEX('Shooter-Squad Assignment'!$A:$A,MATCH(C677&amp;"-"&amp;E677&amp;"-"&amp;F677&amp;"-Pos1",'Shooter-Squad Assignment'!$W:$W,0)),""),IF(F677="Sporting Clays",IFERROR(INDEX('Shooter-Squad Assignment'!$A:$A,MATCH(C677&amp;"-"&amp;E677&amp;"-"&amp;F677&amp;"-Pos1",'Shooter-Squad Assignment'!$Z:$Z,0)),""),"")))</f>
        <v/>
      </c>
      <c r="H677" s="88" t="str">
        <f>IF(ISBLANK(G677),"",IFERROR(INDEX('Tournament List'!$D:$D,MATCH(G677,'Tournament List'!$A:$A,0)),""))</f>
        <v/>
      </c>
      <c r="I677" s="96" t="str">
        <f>IF(F677="Skeet",IFERROR(INDEX('Shooter-Squad Assignment'!$A:$A,MATCH(C677&amp;"-"&amp;E677&amp;"-"&amp;F677&amp;"-Pos2",'Shooter-Squad Assignment'!$K:$K,0)),""),IF(F677="Trap",IFERROR(INDEX('Shooter-Squad Assignment'!$A:$A,MATCH(C677&amp;"-"&amp;E677&amp;"-"&amp;F677&amp;"-Pos2",'Shooter-Squad Assignment'!$W:$W,0)),""),IF(F677="Sporting Clays",IFERROR(INDEX('Shooter-Squad Assignment'!$A:$A,MATCH(C677&amp;"-"&amp;E677&amp;"-"&amp;F677&amp;"-Pos2",'Shooter-Squad Assignment'!$Z:$Z,0)),""),"")))</f>
        <v/>
      </c>
      <c r="J677" s="88" t="str">
        <f>IF(ISBLANK(I677),"",IFERROR(INDEX('Tournament List'!$D:$D,MATCH(I677,'Tournament List'!$A:$A,0)),""))</f>
        <v/>
      </c>
      <c r="K677" s="96" t="str">
        <f>IF(F677="Skeet",IFERROR(INDEX('Shooter-Squad Assignment'!$A:$A,MATCH(C677&amp;"-"&amp;E677&amp;"-"&amp;F677&amp;"-Pos3",'Shooter-Squad Assignment'!$K:$K,0)),""),IF(F677="Trap",IFERROR(INDEX('Shooter-Squad Assignment'!$A:$A,MATCH(C677&amp;"-"&amp;E677&amp;"-"&amp;F677&amp;"-Pos3",'Shooter-Squad Assignment'!$W:$W,0)),""),IF(F677="Sporting Clays",IFERROR(INDEX('Shooter-Squad Assignment'!$A:$A,MATCH(C677&amp;"-"&amp;E677&amp;"-"&amp;F677&amp;"-Pos3",'Shooter-Squad Assignment'!$Z:$Z,0)),""),"")))</f>
        <v/>
      </c>
      <c r="L677" s="88" t="str">
        <f>IF(ISBLANK(K677),"",IFERROR(INDEX('Tournament List'!$D:$D,MATCH(K677,'Tournament List'!$A:$A,0)),""))</f>
        <v/>
      </c>
      <c r="M677" s="96" t="str">
        <f>IF(F677="Skeet",IFERROR(INDEX('Shooter-Squad Assignment'!$A:$A,MATCH(C677&amp;"-"&amp;E677&amp;"-"&amp;F677&amp;"-Pos4",'Shooter-Squad Assignment'!$K:$K,0)),""),IF(F677="Trap",IFERROR(INDEX('Shooter-Squad Assignment'!$A:$A,MATCH(C677&amp;"-"&amp;E677&amp;"-"&amp;F677&amp;"-Pos4",'Shooter-Squad Assignment'!$W:$W,0)),""),IF(F677="Sporting Clays",IFERROR(INDEX('Shooter-Squad Assignment'!$A:$A,MATCH(C677&amp;"-"&amp;E677&amp;"-"&amp;F677&amp;"-Pos4",'Shooter-Squad Assignment'!$Z:$Z,0)),""),"")))</f>
        <v/>
      </c>
      <c r="N677" s="88" t="str">
        <f>IF(ISBLANK(M677),"",IFERROR(INDEX('Tournament List'!$D:$D,MATCH(M677,'Tournament List'!$A:$A,0)),""))</f>
        <v/>
      </c>
      <c r="O677" s="96" t="str">
        <f>IF(F677="Skeet",IFERROR(INDEX('Shooter-Squad Assignment'!$A:$A,MATCH(C677&amp;"-"&amp;E677&amp;"-"&amp;F677&amp;"-Pos5",'Shooter-Squad Assignment'!$K:$K,0)),""),IF(F677="Trap",IFERROR(INDEX('Shooter-Squad Assignment'!$A:$A,MATCH(C677&amp;"-"&amp;E677&amp;"-"&amp;F677&amp;"-Pos5",'Shooter-Squad Assignment'!$W:$W,0)),""),IF(F677="Sporting Clays",IFERROR(INDEX('Shooter-Squad Assignment'!$A:$A,MATCH(C677&amp;"-"&amp;E677&amp;"-"&amp;F677&amp;"-Pos5",'Shooter-Squad Assignment'!$Z:$Z,0)),""),"")))</f>
        <v/>
      </c>
      <c r="P677" s="89" t="str">
        <f>IF(ISBLANK(O677),"",IFERROR(INDEX('Tournament List'!$D:$D,MATCH(O677,'Tournament List'!$A:$A,0)),""))</f>
        <v/>
      </c>
    </row>
    <row r="678" spans="1:16" x14ac:dyDescent="0.3">
      <c r="A678" s="87">
        <v>677</v>
      </c>
      <c r="B678" s="88" t="str">
        <f>C678&amp;"-"&amp;E678&amp;"-"&amp;F678</f>
        <v>-Novice 3-Trap</v>
      </c>
      <c r="C678" s="88"/>
      <c r="D678" s="88" t="str">
        <f>INDEX('Tournament Setup'!$B$59:$B$78,MATCH(E678,SquadConcurrents,0))</f>
        <v>Novice</v>
      </c>
      <c r="E678" s="88" t="s">
        <v>349</v>
      </c>
      <c r="F678" s="88" t="s">
        <v>147</v>
      </c>
      <c r="G678" s="96" t="str">
        <f>IF(F678="Skeet",IFERROR(INDEX('Shooter-Squad Assignment'!$A:$A,MATCH(C678&amp;"-"&amp;E678&amp;"-"&amp;F678&amp;"-Pos1",'Shooter-Squad Assignment'!$K:$K,0)),""),IF(F678="Trap",IFERROR(INDEX('Shooter-Squad Assignment'!$A:$A,MATCH(C678&amp;"-"&amp;E678&amp;"-"&amp;F678&amp;"-Pos1",'Shooter-Squad Assignment'!$W:$W,0)),""),IF(F678="Sporting Clays",IFERROR(INDEX('Shooter-Squad Assignment'!$A:$A,MATCH(C678&amp;"-"&amp;E678&amp;"-"&amp;F678&amp;"-Pos1",'Shooter-Squad Assignment'!$Z:$Z,0)),""),"")))</f>
        <v/>
      </c>
      <c r="H678" s="88" t="str">
        <f>IF(ISBLANK(G678),"",IFERROR(INDEX('Tournament List'!$D:$D,MATCH(G678,'Tournament List'!$A:$A,0)),""))</f>
        <v/>
      </c>
      <c r="I678" s="96" t="str">
        <f>IF(F678="Skeet",IFERROR(INDEX('Shooter-Squad Assignment'!$A:$A,MATCH(C678&amp;"-"&amp;E678&amp;"-"&amp;F678&amp;"-Pos2",'Shooter-Squad Assignment'!$K:$K,0)),""),IF(F678="Trap",IFERROR(INDEX('Shooter-Squad Assignment'!$A:$A,MATCH(C678&amp;"-"&amp;E678&amp;"-"&amp;F678&amp;"-Pos2",'Shooter-Squad Assignment'!$W:$W,0)),""),IF(F678="Sporting Clays",IFERROR(INDEX('Shooter-Squad Assignment'!$A:$A,MATCH(C678&amp;"-"&amp;E678&amp;"-"&amp;F678&amp;"-Pos2",'Shooter-Squad Assignment'!$Z:$Z,0)),""),"")))</f>
        <v/>
      </c>
      <c r="J678" s="88" t="str">
        <f>IF(ISBLANK(I678),"",IFERROR(INDEX('Tournament List'!$D:$D,MATCH(I678,'Tournament List'!$A:$A,0)),""))</f>
        <v/>
      </c>
      <c r="K678" s="96" t="str">
        <f>IF(F678="Skeet",IFERROR(INDEX('Shooter-Squad Assignment'!$A:$A,MATCH(C678&amp;"-"&amp;E678&amp;"-"&amp;F678&amp;"-Pos3",'Shooter-Squad Assignment'!$K:$K,0)),""),IF(F678="Trap",IFERROR(INDEX('Shooter-Squad Assignment'!$A:$A,MATCH(C678&amp;"-"&amp;E678&amp;"-"&amp;F678&amp;"-Pos3",'Shooter-Squad Assignment'!$W:$W,0)),""),IF(F678="Sporting Clays",IFERROR(INDEX('Shooter-Squad Assignment'!$A:$A,MATCH(C678&amp;"-"&amp;E678&amp;"-"&amp;F678&amp;"-Pos3",'Shooter-Squad Assignment'!$Z:$Z,0)),""),"")))</f>
        <v/>
      </c>
      <c r="L678" s="88" t="str">
        <f>IF(ISBLANK(K678),"",IFERROR(INDEX('Tournament List'!$D:$D,MATCH(K678,'Tournament List'!$A:$A,0)),""))</f>
        <v/>
      </c>
      <c r="M678" s="96" t="str">
        <f>IF(F678="Skeet",IFERROR(INDEX('Shooter-Squad Assignment'!$A:$A,MATCH(C678&amp;"-"&amp;E678&amp;"-"&amp;F678&amp;"-Pos4",'Shooter-Squad Assignment'!$K:$K,0)),""),IF(F678="Trap",IFERROR(INDEX('Shooter-Squad Assignment'!$A:$A,MATCH(C678&amp;"-"&amp;E678&amp;"-"&amp;F678&amp;"-Pos4",'Shooter-Squad Assignment'!$W:$W,0)),""),IF(F678="Sporting Clays",IFERROR(INDEX('Shooter-Squad Assignment'!$A:$A,MATCH(C678&amp;"-"&amp;E678&amp;"-"&amp;F678&amp;"-Pos4",'Shooter-Squad Assignment'!$Z:$Z,0)),""),"")))</f>
        <v/>
      </c>
      <c r="N678" s="88" t="str">
        <f>IF(ISBLANK(M678),"",IFERROR(INDEX('Tournament List'!$D:$D,MATCH(M678,'Tournament List'!$A:$A,0)),""))</f>
        <v/>
      </c>
      <c r="O678" s="96" t="str">
        <f>IF(F678="Skeet",IFERROR(INDEX('Shooter-Squad Assignment'!$A:$A,MATCH(C678&amp;"-"&amp;E678&amp;"-"&amp;F678&amp;"-Pos5",'Shooter-Squad Assignment'!$K:$K,0)),""),IF(F678="Trap",IFERROR(INDEX('Shooter-Squad Assignment'!$A:$A,MATCH(C678&amp;"-"&amp;E678&amp;"-"&amp;F678&amp;"-Pos5",'Shooter-Squad Assignment'!$W:$W,0)),""),IF(F678="Sporting Clays",IFERROR(INDEX('Shooter-Squad Assignment'!$A:$A,MATCH(C678&amp;"-"&amp;E678&amp;"-"&amp;F678&amp;"-Pos5",'Shooter-Squad Assignment'!$Z:$Z,0)),""),"")))</f>
        <v/>
      </c>
      <c r="P678" s="89" t="str">
        <f>IF(ISBLANK(O678),"",IFERROR(INDEX('Tournament List'!$D:$D,MATCH(O678,'Tournament List'!$A:$A,0)),""))</f>
        <v/>
      </c>
    </row>
    <row r="679" spans="1:16" x14ac:dyDescent="0.3">
      <c r="A679" s="87">
        <v>678</v>
      </c>
      <c r="B679" s="88" t="str">
        <f>C679&amp;"-"&amp;E679&amp;"-"&amp;F679</f>
        <v>-Open 1-Trap</v>
      </c>
      <c r="C679" s="88"/>
      <c r="D679" s="88" t="str">
        <f>INDEX('Tournament Setup'!$B$59:$B$78,MATCH(E679,SquadConcurrents,0))</f>
        <v>Open</v>
      </c>
      <c r="E679" s="88" t="s">
        <v>341</v>
      </c>
      <c r="F679" s="88" t="s">
        <v>147</v>
      </c>
      <c r="G679" s="96" t="str">
        <f>IF(F679="Skeet",IFERROR(INDEX('Shooter-Squad Assignment'!$A:$A,MATCH(C679&amp;"-"&amp;E679&amp;"-"&amp;F679&amp;"-Pos1",'Shooter-Squad Assignment'!$K:$K,0)),""),IF(F679="Trap",IFERROR(INDEX('Shooter-Squad Assignment'!$A:$A,MATCH(C679&amp;"-"&amp;E679&amp;"-"&amp;F679&amp;"-Pos1",'Shooter-Squad Assignment'!$W:$W,0)),""),IF(F679="Sporting Clays",IFERROR(INDEX('Shooter-Squad Assignment'!$A:$A,MATCH(C679&amp;"-"&amp;E679&amp;"-"&amp;F679&amp;"-Pos1",'Shooter-Squad Assignment'!$Z:$Z,0)),""),"")))</f>
        <v/>
      </c>
      <c r="H679" s="88" t="str">
        <f>IF(ISBLANK(G679),"",IFERROR(INDEX('Tournament List'!$D:$D,MATCH(G679,'Tournament List'!$A:$A,0)),""))</f>
        <v/>
      </c>
      <c r="I679" s="96" t="str">
        <f>IF(F679="Skeet",IFERROR(INDEX('Shooter-Squad Assignment'!$A:$A,MATCH(C679&amp;"-"&amp;E679&amp;"-"&amp;F679&amp;"-Pos2",'Shooter-Squad Assignment'!$K:$K,0)),""),IF(F679="Trap",IFERROR(INDEX('Shooter-Squad Assignment'!$A:$A,MATCH(C679&amp;"-"&amp;E679&amp;"-"&amp;F679&amp;"-Pos2",'Shooter-Squad Assignment'!$W:$W,0)),""),IF(F679="Sporting Clays",IFERROR(INDEX('Shooter-Squad Assignment'!$A:$A,MATCH(C679&amp;"-"&amp;E679&amp;"-"&amp;F679&amp;"-Pos2",'Shooter-Squad Assignment'!$Z:$Z,0)),""),"")))</f>
        <v/>
      </c>
      <c r="J679" s="88" t="str">
        <f>IF(ISBLANK(I679),"",IFERROR(INDEX('Tournament List'!$D:$D,MATCH(I679,'Tournament List'!$A:$A,0)),""))</f>
        <v/>
      </c>
      <c r="K679" s="96" t="str">
        <f>IF(F679="Skeet",IFERROR(INDEX('Shooter-Squad Assignment'!$A:$A,MATCH(C679&amp;"-"&amp;E679&amp;"-"&amp;F679&amp;"-Pos3",'Shooter-Squad Assignment'!$K:$K,0)),""),IF(F679="Trap",IFERROR(INDEX('Shooter-Squad Assignment'!$A:$A,MATCH(C679&amp;"-"&amp;E679&amp;"-"&amp;F679&amp;"-Pos3",'Shooter-Squad Assignment'!$W:$W,0)),""),IF(F679="Sporting Clays",IFERROR(INDEX('Shooter-Squad Assignment'!$A:$A,MATCH(C679&amp;"-"&amp;E679&amp;"-"&amp;F679&amp;"-Pos3",'Shooter-Squad Assignment'!$Z:$Z,0)),""),"")))</f>
        <v/>
      </c>
      <c r="L679" s="88" t="str">
        <f>IF(ISBLANK(K679),"",IFERROR(INDEX('Tournament List'!$D:$D,MATCH(K679,'Tournament List'!$A:$A,0)),""))</f>
        <v/>
      </c>
      <c r="M679" s="96" t="str">
        <f>IF(F679="Skeet",IFERROR(INDEX('Shooter-Squad Assignment'!$A:$A,MATCH(C679&amp;"-"&amp;E679&amp;"-"&amp;F679&amp;"-Pos4",'Shooter-Squad Assignment'!$K:$K,0)),""),IF(F679="Trap",IFERROR(INDEX('Shooter-Squad Assignment'!$A:$A,MATCH(C679&amp;"-"&amp;E679&amp;"-"&amp;F679&amp;"-Pos4",'Shooter-Squad Assignment'!$W:$W,0)),""),IF(F679="Sporting Clays",IFERROR(INDEX('Shooter-Squad Assignment'!$A:$A,MATCH(C679&amp;"-"&amp;E679&amp;"-"&amp;F679&amp;"-Pos4",'Shooter-Squad Assignment'!$Z:$Z,0)),""),"")))</f>
        <v/>
      </c>
      <c r="N679" s="88" t="str">
        <f>IF(ISBLANK(M679),"",IFERROR(INDEX('Tournament List'!$D:$D,MATCH(M679,'Tournament List'!$A:$A,0)),""))</f>
        <v/>
      </c>
      <c r="O679" s="96" t="str">
        <f>IF(F679="Skeet",IFERROR(INDEX('Shooter-Squad Assignment'!$A:$A,MATCH(C679&amp;"-"&amp;E679&amp;"-"&amp;F679&amp;"-Pos5",'Shooter-Squad Assignment'!$K:$K,0)),""),IF(F679="Trap",IFERROR(INDEX('Shooter-Squad Assignment'!$A:$A,MATCH(C679&amp;"-"&amp;E679&amp;"-"&amp;F679&amp;"-Pos5",'Shooter-Squad Assignment'!$W:$W,0)),""),IF(F679="Sporting Clays",IFERROR(INDEX('Shooter-Squad Assignment'!$A:$A,MATCH(C679&amp;"-"&amp;E679&amp;"-"&amp;F679&amp;"-Pos5",'Shooter-Squad Assignment'!$Z:$Z,0)),""),"")))</f>
        <v/>
      </c>
      <c r="P679" s="89" t="str">
        <f>IF(ISBLANK(O679),"",IFERROR(INDEX('Tournament List'!$D:$D,MATCH(O679,'Tournament List'!$A:$A,0)),""))</f>
        <v/>
      </c>
    </row>
    <row r="680" spans="1:16" x14ac:dyDescent="0.3">
      <c r="A680" s="87">
        <v>679</v>
      </c>
      <c r="B680" s="88" t="str">
        <f>C680&amp;"-"&amp;E680&amp;"-"&amp;F680</f>
        <v>-Open 2-Trap</v>
      </c>
      <c r="C680" s="88"/>
      <c r="D680" s="88" t="str">
        <f>INDEX('Tournament Setup'!$B$59:$B$78,MATCH(E680,SquadConcurrents,0))</f>
        <v>Open</v>
      </c>
      <c r="E680" s="88" t="s">
        <v>347</v>
      </c>
      <c r="F680" s="88" t="s">
        <v>147</v>
      </c>
      <c r="G680" s="96" t="str">
        <f>IF(F680="Skeet",IFERROR(INDEX('Shooter-Squad Assignment'!$A:$A,MATCH(C680&amp;"-"&amp;E680&amp;"-"&amp;F680&amp;"-Pos1",'Shooter-Squad Assignment'!$K:$K,0)),""),IF(F680="Trap",IFERROR(INDEX('Shooter-Squad Assignment'!$A:$A,MATCH(C680&amp;"-"&amp;E680&amp;"-"&amp;F680&amp;"-Pos1",'Shooter-Squad Assignment'!$W:$W,0)),""),IF(F680="Sporting Clays",IFERROR(INDEX('Shooter-Squad Assignment'!$A:$A,MATCH(C680&amp;"-"&amp;E680&amp;"-"&amp;F680&amp;"-Pos1",'Shooter-Squad Assignment'!$Z:$Z,0)),""),"")))</f>
        <v/>
      </c>
      <c r="H680" s="88" t="str">
        <f>IF(ISBLANK(G680),"",IFERROR(INDEX('Tournament List'!$D:$D,MATCH(G680,'Tournament List'!$A:$A,0)),""))</f>
        <v/>
      </c>
      <c r="I680" s="96" t="str">
        <f>IF(F680="Skeet",IFERROR(INDEX('Shooter-Squad Assignment'!$A:$A,MATCH(C680&amp;"-"&amp;E680&amp;"-"&amp;F680&amp;"-Pos2",'Shooter-Squad Assignment'!$K:$K,0)),""),IF(F680="Trap",IFERROR(INDEX('Shooter-Squad Assignment'!$A:$A,MATCH(C680&amp;"-"&amp;E680&amp;"-"&amp;F680&amp;"-Pos2",'Shooter-Squad Assignment'!$W:$W,0)),""),IF(F680="Sporting Clays",IFERROR(INDEX('Shooter-Squad Assignment'!$A:$A,MATCH(C680&amp;"-"&amp;E680&amp;"-"&amp;F680&amp;"-Pos2",'Shooter-Squad Assignment'!$Z:$Z,0)),""),"")))</f>
        <v/>
      </c>
      <c r="J680" s="88" t="str">
        <f>IF(ISBLANK(I680),"",IFERROR(INDEX('Tournament List'!$D:$D,MATCH(I680,'Tournament List'!$A:$A,0)),""))</f>
        <v/>
      </c>
      <c r="K680" s="96" t="str">
        <f>IF(F680="Skeet",IFERROR(INDEX('Shooter-Squad Assignment'!$A:$A,MATCH(C680&amp;"-"&amp;E680&amp;"-"&amp;F680&amp;"-Pos3",'Shooter-Squad Assignment'!$K:$K,0)),""),IF(F680="Trap",IFERROR(INDEX('Shooter-Squad Assignment'!$A:$A,MATCH(C680&amp;"-"&amp;E680&amp;"-"&amp;F680&amp;"-Pos3",'Shooter-Squad Assignment'!$W:$W,0)),""),IF(F680="Sporting Clays",IFERROR(INDEX('Shooter-Squad Assignment'!$A:$A,MATCH(C680&amp;"-"&amp;E680&amp;"-"&amp;F680&amp;"-Pos3",'Shooter-Squad Assignment'!$Z:$Z,0)),""),"")))</f>
        <v/>
      </c>
      <c r="L680" s="88" t="str">
        <f>IF(ISBLANK(K680),"",IFERROR(INDEX('Tournament List'!$D:$D,MATCH(K680,'Tournament List'!$A:$A,0)),""))</f>
        <v/>
      </c>
      <c r="M680" s="96" t="str">
        <f>IF(F680="Skeet",IFERROR(INDEX('Shooter-Squad Assignment'!$A:$A,MATCH(C680&amp;"-"&amp;E680&amp;"-"&amp;F680&amp;"-Pos4",'Shooter-Squad Assignment'!$K:$K,0)),""),IF(F680="Trap",IFERROR(INDEX('Shooter-Squad Assignment'!$A:$A,MATCH(C680&amp;"-"&amp;E680&amp;"-"&amp;F680&amp;"-Pos4",'Shooter-Squad Assignment'!$W:$W,0)),""),IF(F680="Sporting Clays",IFERROR(INDEX('Shooter-Squad Assignment'!$A:$A,MATCH(C680&amp;"-"&amp;E680&amp;"-"&amp;F680&amp;"-Pos4",'Shooter-Squad Assignment'!$Z:$Z,0)),""),"")))</f>
        <v/>
      </c>
      <c r="N680" s="88" t="str">
        <f>IF(ISBLANK(M680),"",IFERROR(INDEX('Tournament List'!$D:$D,MATCH(M680,'Tournament List'!$A:$A,0)),""))</f>
        <v/>
      </c>
      <c r="O680" s="96" t="str">
        <f>IF(F680="Skeet",IFERROR(INDEX('Shooter-Squad Assignment'!$A:$A,MATCH(C680&amp;"-"&amp;E680&amp;"-"&amp;F680&amp;"-Pos5",'Shooter-Squad Assignment'!$K:$K,0)),""),IF(F680="Trap",IFERROR(INDEX('Shooter-Squad Assignment'!$A:$A,MATCH(C680&amp;"-"&amp;E680&amp;"-"&amp;F680&amp;"-Pos5",'Shooter-Squad Assignment'!$W:$W,0)),""),IF(F680="Sporting Clays",IFERROR(INDEX('Shooter-Squad Assignment'!$A:$A,MATCH(C680&amp;"-"&amp;E680&amp;"-"&amp;F680&amp;"-Pos5",'Shooter-Squad Assignment'!$Z:$Z,0)),""),"")))</f>
        <v/>
      </c>
      <c r="P680" s="89" t="str">
        <f>IF(ISBLANK(O680),"",IFERROR(INDEX('Tournament List'!$D:$D,MATCH(O680,'Tournament List'!$A:$A,0)),""))</f>
        <v/>
      </c>
    </row>
    <row r="681" spans="1:16" x14ac:dyDescent="0.3">
      <c r="A681" s="87">
        <v>680</v>
      </c>
      <c r="B681" s="88" t="str">
        <f>C681&amp;"-"&amp;E681&amp;"-"&amp;F681</f>
        <v>-Open 3-Trap</v>
      </c>
      <c r="C681" s="88"/>
      <c r="D681" s="88" t="str">
        <f>INDEX('Tournament Setup'!$B$59:$B$78,MATCH(E681,SquadConcurrents,0))</f>
        <v>Open</v>
      </c>
      <c r="E681" s="88" t="s">
        <v>353</v>
      </c>
      <c r="F681" s="88" t="s">
        <v>147</v>
      </c>
      <c r="G681" s="96" t="str">
        <f>IF(F681="Skeet",IFERROR(INDEX('Shooter-Squad Assignment'!$A:$A,MATCH(C681&amp;"-"&amp;E681&amp;"-"&amp;F681&amp;"-Pos1",'Shooter-Squad Assignment'!$K:$K,0)),""),IF(F681="Trap",IFERROR(INDEX('Shooter-Squad Assignment'!$A:$A,MATCH(C681&amp;"-"&amp;E681&amp;"-"&amp;F681&amp;"-Pos1",'Shooter-Squad Assignment'!$W:$W,0)),""),IF(F681="Sporting Clays",IFERROR(INDEX('Shooter-Squad Assignment'!$A:$A,MATCH(C681&amp;"-"&amp;E681&amp;"-"&amp;F681&amp;"-Pos1",'Shooter-Squad Assignment'!$Z:$Z,0)),""),"")))</f>
        <v/>
      </c>
      <c r="H681" s="88" t="str">
        <f>IF(ISBLANK(G681),"",IFERROR(INDEX('Tournament List'!$D:$D,MATCH(G681,'Tournament List'!$A:$A,0)),""))</f>
        <v/>
      </c>
      <c r="I681" s="96" t="str">
        <f>IF(F681="Skeet",IFERROR(INDEX('Shooter-Squad Assignment'!$A:$A,MATCH(C681&amp;"-"&amp;E681&amp;"-"&amp;F681&amp;"-Pos2",'Shooter-Squad Assignment'!$K:$K,0)),""),IF(F681="Trap",IFERROR(INDEX('Shooter-Squad Assignment'!$A:$A,MATCH(C681&amp;"-"&amp;E681&amp;"-"&amp;F681&amp;"-Pos2",'Shooter-Squad Assignment'!$W:$W,0)),""),IF(F681="Sporting Clays",IFERROR(INDEX('Shooter-Squad Assignment'!$A:$A,MATCH(C681&amp;"-"&amp;E681&amp;"-"&amp;F681&amp;"-Pos2",'Shooter-Squad Assignment'!$Z:$Z,0)),""),"")))</f>
        <v/>
      </c>
      <c r="J681" s="88" t="str">
        <f>IF(ISBLANK(I681),"",IFERROR(INDEX('Tournament List'!$D:$D,MATCH(I681,'Tournament List'!$A:$A,0)),""))</f>
        <v/>
      </c>
      <c r="K681" s="96" t="str">
        <f>IF(F681="Skeet",IFERROR(INDEX('Shooter-Squad Assignment'!$A:$A,MATCH(C681&amp;"-"&amp;E681&amp;"-"&amp;F681&amp;"-Pos3",'Shooter-Squad Assignment'!$K:$K,0)),""),IF(F681="Trap",IFERROR(INDEX('Shooter-Squad Assignment'!$A:$A,MATCH(C681&amp;"-"&amp;E681&amp;"-"&amp;F681&amp;"-Pos3",'Shooter-Squad Assignment'!$W:$W,0)),""),IF(F681="Sporting Clays",IFERROR(INDEX('Shooter-Squad Assignment'!$A:$A,MATCH(C681&amp;"-"&amp;E681&amp;"-"&amp;F681&amp;"-Pos3",'Shooter-Squad Assignment'!$Z:$Z,0)),""),"")))</f>
        <v/>
      </c>
      <c r="L681" s="88" t="str">
        <f>IF(ISBLANK(K681),"",IFERROR(INDEX('Tournament List'!$D:$D,MATCH(K681,'Tournament List'!$A:$A,0)),""))</f>
        <v/>
      </c>
      <c r="M681" s="96" t="str">
        <f>IF(F681="Skeet",IFERROR(INDEX('Shooter-Squad Assignment'!$A:$A,MATCH(C681&amp;"-"&amp;E681&amp;"-"&amp;F681&amp;"-Pos4",'Shooter-Squad Assignment'!$K:$K,0)),""),IF(F681="Trap",IFERROR(INDEX('Shooter-Squad Assignment'!$A:$A,MATCH(C681&amp;"-"&amp;E681&amp;"-"&amp;F681&amp;"-Pos4",'Shooter-Squad Assignment'!$W:$W,0)),""),IF(F681="Sporting Clays",IFERROR(INDEX('Shooter-Squad Assignment'!$A:$A,MATCH(C681&amp;"-"&amp;E681&amp;"-"&amp;F681&amp;"-Pos4",'Shooter-Squad Assignment'!$Z:$Z,0)),""),"")))</f>
        <v/>
      </c>
      <c r="N681" s="88" t="str">
        <f>IF(ISBLANK(M681),"",IFERROR(INDEX('Tournament List'!$D:$D,MATCH(M681,'Tournament List'!$A:$A,0)),""))</f>
        <v/>
      </c>
      <c r="O681" s="96" t="str">
        <f>IF(F681="Skeet",IFERROR(INDEX('Shooter-Squad Assignment'!$A:$A,MATCH(C681&amp;"-"&amp;E681&amp;"-"&amp;F681&amp;"-Pos5",'Shooter-Squad Assignment'!$K:$K,0)),""),IF(F681="Trap",IFERROR(INDEX('Shooter-Squad Assignment'!$A:$A,MATCH(C681&amp;"-"&amp;E681&amp;"-"&amp;F681&amp;"-Pos5",'Shooter-Squad Assignment'!$W:$W,0)),""),IF(F681="Sporting Clays",IFERROR(INDEX('Shooter-Squad Assignment'!$A:$A,MATCH(C681&amp;"-"&amp;E681&amp;"-"&amp;F681&amp;"-Pos5",'Shooter-Squad Assignment'!$Z:$Z,0)),""),"")))</f>
        <v/>
      </c>
      <c r="P681" s="89" t="str">
        <f>IF(ISBLANK(O681),"",IFERROR(INDEX('Tournament List'!$D:$D,MATCH(O681,'Tournament List'!$A:$A,0)),""))</f>
        <v/>
      </c>
    </row>
    <row r="682" spans="1:16" x14ac:dyDescent="0.3">
      <c r="A682" s="87">
        <v>681</v>
      </c>
      <c r="B682" s="88" t="str">
        <f>C682&amp;"-"&amp;E682&amp;"-"&amp;F682</f>
        <v>-Unassigned 1-Trap</v>
      </c>
      <c r="C682" s="88"/>
      <c r="D682" s="88" t="str">
        <f>INDEX('Tournament Setup'!$B$59:$B$78,MATCH(E682,SquadConcurrents,0))</f>
        <v>Unassigned</v>
      </c>
      <c r="E682" s="88" t="s">
        <v>762</v>
      </c>
      <c r="F682" s="88" t="s">
        <v>147</v>
      </c>
      <c r="G682" s="96" t="str">
        <f>IF(F682="Skeet",IFERROR(INDEX('Shooter-Squad Assignment'!$A:$A,MATCH(C682&amp;"-"&amp;E682&amp;"-"&amp;F682&amp;"-Pos1",'Shooter-Squad Assignment'!$K:$K,0)),""),IF(F682="Trap",IFERROR(INDEX('Shooter-Squad Assignment'!$A:$A,MATCH(C682&amp;"-"&amp;E682&amp;"-"&amp;F682&amp;"-Pos1",'Shooter-Squad Assignment'!$W:$W,0)),""),IF(F682="Sporting Clays",IFERROR(INDEX('Shooter-Squad Assignment'!$A:$A,MATCH(C682&amp;"-"&amp;E682&amp;"-"&amp;F682&amp;"-Pos1",'Shooter-Squad Assignment'!$Z:$Z,0)),""),"")))</f>
        <v/>
      </c>
      <c r="H682" s="88" t="str">
        <f>IF(ISBLANK(G682),"",IFERROR(INDEX('Tournament List'!$D:$D,MATCH(G682,'Tournament List'!$A:$A,0)),""))</f>
        <v/>
      </c>
      <c r="I682" s="96" t="str">
        <f>IF(F682="Skeet",IFERROR(INDEX('Shooter-Squad Assignment'!$A:$A,MATCH(C682&amp;"-"&amp;E682&amp;"-"&amp;F682&amp;"-Pos2",'Shooter-Squad Assignment'!$K:$K,0)),""),IF(F682="Trap",IFERROR(INDEX('Shooter-Squad Assignment'!$A:$A,MATCH(C682&amp;"-"&amp;E682&amp;"-"&amp;F682&amp;"-Pos2",'Shooter-Squad Assignment'!$W:$W,0)),""),IF(F682="Sporting Clays",IFERROR(INDEX('Shooter-Squad Assignment'!$A:$A,MATCH(C682&amp;"-"&amp;E682&amp;"-"&amp;F682&amp;"-Pos2",'Shooter-Squad Assignment'!$Z:$Z,0)),""),"")))</f>
        <v/>
      </c>
      <c r="J682" s="88" t="str">
        <f>IF(ISBLANK(I682),"",IFERROR(INDEX('Tournament List'!$D:$D,MATCH(I682,'Tournament List'!$A:$A,0)),""))</f>
        <v/>
      </c>
      <c r="K682" s="96" t="str">
        <f>IF(F682="Skeet",IFERROR(INDEX('Shooter-Squad Assignment'!$A:$A,MATCH(C682&amp;"-"&amp;E682&amp;"-"&amp;F682&amp;"-Pos3",'Shooter-Squad Assignment'!$K:$K,0)),""),IF(F682="Trap",IFERROR(INDEX('Shooter-Squad Assignment'!$A:$A,MATCH(C682&amp;"-"&amp;E682&amp;"-"&amp;F682&amp;"-Pos3",'Shooter-Squad Assignment'!$W:$W,0)),""),IF(F682="Sporting Clays",IFERROR(INDEX('Shooter-Squad Assignment'!$A:$A,MATCH(C682&amp;"-"&amp;E682&amp;"-"&amp;F682&amp;"-Pos3",'Shooter-Squad Assignment'!$Z:$Z,0)),""),"")))</f>
        <v/>
      </c>
      <c r="L682" s="88" t="str">
        <f>IF(ISBLANK(K682),"",IFERROR(INDEX('Tournament List'!$D:$D,MATCH(K682,'Tournament List'!$A:$A,0)),""))</f>
        <v/>
      </c>
      <c r="M682" s="96" t="str">
        <f>IF(F682="Skeet",IFERROR(INDEX('Shooter-Squad Assignment'!$A:$A,MATCH(C682&amp;"-"&amp;E682&amp;"-"&amp;F682&amp;"-Pos4",'Shooter-Squad Assignment'!$K:$K,0)),""),IF(F682="Trap",IFERROR(INDEX('Shooter-Squad Assignment'!$A:$A,MATCH(C682&amp;"-"&amp;E682&amp;"-"&amp;F682&amp;"-Pos4",'Shooter-Squad Assignment'!$W:$W,0)),""),IF(F682="Sporting Clays",IFERROR(INDEX('Shooter-Squad Assignment'!$A:$A,MATCH(C682&amp;"-"&amp;E682&amp;"-"&amp;F682&amp;"-Pos4",'Shooter-Squad Assignment'!$Z:$Z,0)),""),"")))</f>
        <v/>
      </c>
      <c r="N682" s="88" t="str">
        <f>IF(ISBLANK(M682),"",IFERROR(INDEX('Tournament List'!$D:$D,MATCH(M682,'Tournament List'!$A:$A,0)),""))</f>
        <v/>
      </c>
      <c r="O682" s="96" t="str">
        <f>IF(F682="Skeet",IFERROR(INDEX('Shooter-Squad Assignment'!$A:$A,MATCH(C682&amp;"-"&amp;E682&amp;"-"&amp;F682&amp;"-Pos5",'Shooter-Squad Assignment'!$K:$K,0)),""),IF(F682="Trap",IFERROR(INDEX('Shooter-Squad Assignment'!$A:$A,MATCH(C682&amp;"-"&amp;E682&amp;"-"&amp;F682&amp;"-Pos5",'Shooter-Squad Assignment'!$W:$W,0)),""),IF(F682="Sporting Clays",IFERROR(INDEX('Shooter-Squad Assignment'!$A:$A,MATCH(C682&amp;"-"&amp;E682&amp;"-"&amp;F682&amp;"-Pos5",'Shooter-Squad Assignment'!$Z:$Z,0)),""),"")))</f>
        <v/>
      </c>
      <c r="P682" s="89" t="str">
        <f>IF(ISBLANK(O682),"",IFERROR(INDEX('Tournament List'!$D:$D,MATCH(O682,'Tournament List'!$A:$A,0)),""))</f>
        <v/>
      </c>
    </row>
    <row r="683" spans="1:16" x14ac:dyDescent="0.3">
      <c r="A683" s="87">
        <v>682</v>
      </c>
      <c r="B683" s="88" t="str">
        <f>C683&amp;"-"&amp;E683&amp;"-"&amp;F683</f>
        <v>-Varsity 1-Trap</v>
      </c>
      <c r="C683" s="88"/>
      <c r="D683" s="88" t="str">
        <f>INDEX('Tournament Setup'!$B$59:$B$78,MATCH(E683,SquadConcurrents,0))</f>
        <v>Varsity</v>
      </c>
      <c r="E683" s="88" t="s">
        <v>340</v>
      </c>
      <c r="F683" s="88" t="s">
        <v>147</v>
      </c>
      <c r="G683" s="96" t="str">
        <f>IF(F683="Skeet",IFERROR(INDEX('Shooter-Squad Assignment'!$A:$A,MATCH(C683&amp;"-"&amp;E683&amp;"-"&amp;F683&amp;"-Pos1",'Shooter-Squad Assignment'!$K:$K,0)),""),IF(F683="Trap",IFERROR(INDEX('Shooter-Squad Assignment'!$A:$A,MATCH(C683&amp;"-"&amp;E683&amp;"-"&amp;F683&amp;"-Pos1",'Shooter-Squad Assignment'!$W:$W,0)),""),IF(F683="Sporting Clays",IFERROR(INDEX('Shooter-Squad Assignment'!$A:$A,MATCH(C683&amp;"-"&amp;E683&amp;"-"&amp;F683&amp;"-Pos1",'Shooter-Squad Assignment'!$Z:$Z,0)),""),"")))</f>
        <v/>
      </c>
      <c r="H683" s="88" t="str">
        <f>IF(ISBLANK(G683),"",IFERROR(INDEX('Tournament List'!$D:$D,MATCH(G683,'Tournament List'!$A:$A,0)),""))</f>
        <v/>
      </c>
      <c r="I683" s="96" t="str">
        <f>IF(F683="Skeet",IFERROR(INDEX('Shooter-Squad Assignment'!$A:$A,MATCH(C683&amp;"-"&amp;E683&amp;"-"&amp;F683&amp;"-Pos2",'Shooter-Squad Assignment'!$K:$K,0)),""),IF(F683="Trap",IFERROR(INDEX('Shooter-Squad Assignment'!$A:$A,MATCH(C683&amp;"-"&amp;E683&amp;"-"&amp;F683&amp;"-Pos2",'Shooter-Squad Assignment'!$W:$W,0)),""),IF(F683="Sporting Clays",IFERROR(INDEX('Shooter-Squad Assignment'!$A:$A,MATCH(C683&amp;"-"&amp;E683&amp;"-"&amp;F683&amp;"-Pos2",'Shooter-Squad Assignment'!$Z:$Z,0)),""),"")))</f>
        <v/>
      </c>
      <c r="J683" s="88" t="str">
        <f>IF(ISBLANK(I683),"",IFERROR(INDEX('Tournament List'!$D:$D,MATCH(I683,'Tournament List'!$A:$A,0)),""))</f>
        <v/>
      </c>
      <c r="K683" s="96" t="str">
        <f>IF(F683="Skeet",IFERROR(INDEX('Shooter-Squad Assignment'!$A:$A,MATCH(C683&amp;"-"&amp;E683&amp;"-"&amp;F683&amp;"-Pos3",'Shooter-Squad Assignment'!$K:$K,0)),""),IF(F683="Trap",IFERROR(INDEX('Shooter-Squad Assignment'!$A:$A,MATCH(C683&amp;"-"&amp;E683&amp;"-"&amp;F683&amp;"-Pos3",'Shooter-Squad Assignment'!$W:$W,0)),""),IF(F683="Sporting Clays",IFERROR(INDEX('Shooter-Squad Assignment'!$A:$A,MATCH(C683&amp;"-"&amp;E683&amp;"-"&amp;F683&amp;"-Pos3",'Shooter-Squad Assignment'!$Z:$Z,0)),""),"")))</f>
        <v/>
      </c>
      <c r="L683" s="88" t="str">
        <f>IF(ISBLANK(K683),"",IFERROR(INDEX('Tournament List'!$D:$D,MATCH(K683,'Tournament List'!$A:$A,0)),""))</f>
        <v/>
      </c>
      <c r="M683" s="96" t="str">
        <f>IF(F683="Skeet",IFERROR(INDEX('Shooter-Squad Assignment'!$A:$A,MATCH(C683&amp;"-"&amp;E683&amp;"-"&amp;F683&amp;"-Pos4",'Shooter-Squad Assignment'!$K:$K,0)),""),IF(F683="Trap",IFERROR(INDEX('Shooter-Squad Assignment'!$A:$A,MATCH(C683&amp;"-"&amp;E683&amp;"-"&amp;F683&amp;"-Pos4",'Shooter-Squad Assignment'!$W:$W,0)),""),IF(F683="Sporting Clays",IFERROR(INDEX('Shooter-Squad Assignment'!$A:$A,MATCH(C683&amp;"-"&amp;E683&amp;"-"&amp;F683&amp;"-Pos4",'Shooter-Squad Assignment'!$Z:$Z,0)),""),"")))</f>
        <v/>
      </c>
      <c r="N683" s="88" t="str">
        <f>IF(ISBLANK(M683),"",IFERROR(INDEX('Tournament List'!$D:$D,MATCH(M683,'Tournament List'!$A:$A,0)),""))</f>
        <v/>
      </c>
      <c r="O683" s="96" t="str">
        <f>IF(F683="Skeet",IFERROR(INDEX('Shooter-Squad Assignment'!$A:$A,MATCH(C683&amp;"-"&amp;E683&amp;"-"&amp;F683&amp;"-Pos5",'Shooter-Squad Assignment'!$K:$K,0)),""),IF(F683="Trap",IFERROR(INDEX('Shooter-Squad Assignment'!$A:$A,MATCH(C683&amp;"-"&amp;E683&amp;"-"&amp;F683&amp;"-Pos5",'Shooter-Squad Assignment'!$W:$W,0)),""),IF(F683="Sporting Clays",IFERROR(INDEX('Shooter-Squad Assignment'!$A:$A,MATCH(C683&amp;"-"&amp;E683&amp;"-"&amp;F683&amp;"-Pos5",'Shooter-Squad Assignment'!$Z:$Z,0)),""),"")))</f>
        <v/>
      </c>
      <c r="P683" s="89" t="str">
        <f>IF(ISBLANK(O683),"",IFERROR(INDEX('Tournament List'!$D:$D,MATCH(O683,'Tournament List'!$A:$A,0)),""))</f>
        <v/>
      </c>
    </row>
    <row r="684" spans="1:16" x14ac:dyDescent="0.3">
      <c r="A684" s="87">
        <v>683</v>
      </c>
      <c r="B684" s="88" t="str">
        <f>C684&amp;"-"&amp;E684&amp;"-"&amp;F684</f>
        <v>-Varsity 2-Trap</v>
      </c>
      <c r="C684" s="88"/>
      <c r="D684" s="88" t="str">
        <f>INDEX('Tournament Setup'!$B$59:$B$78,MATCH(E684,SquadConcurrents,0))</f>
        <v>Varsity</v>
      </c>
      <c r="E684" s="88" t="s">
        <v>346</v>
      </c>
      <c r="F684" s="88" t="s">
        <v>147</v>
      </c>
      <c r="G684" s="96" t="str">
        <f>IF(F684="Skeet",IFERROR(INDEX('Shooter-Squad Assignment'!$A:$A,MATCH(C684&amp;"-"&amp;E684&amp;"-"&amp;F684&amp;"-Pos1",'Shooter-Squad Assignment'!$K:$K,0)),""),IF(F684="Trap",IFERROR(INDEX('Shooter-Squad Assignment'!$A:$A,MATCH(C684&amp;"-"&amp;E684&amp;"-"&amp;F684&amp;"-Pos1",'Shooter-Squad Assignment'!$W:$W,0)),""),IF(F684="Sporting Clays",IFERROR(INDEX('Shooter-Squad Assignment'!$A:$A,MATCH(C684&amp;"-"&amp;E684&amp;"-"&amp;F684&amp;"-Pos1",'Shooter-Squad Assignment'!$Z:$Z,0)),""),"")))</f>
        <v/>
      </c>
      <c r="H684" s="88" t="str">
        <f>IF(ISBLANK(G684),"",IFERROR(INDEX('Tournament List'!$D:$D,MATCH(G684,'Tournament List'!$A:$A,0)),""))</f>
        <v/>
      </c>
      <c r="I684" s="96" t="str">
        <f>IF(F684="Skeet",IFERROR(INDEX('Shooter-Squad Assignment'!$A:$A,MATCH(C684&amp;"-"&amp;E684&amp;"-"&amp;F684&amp;"-Pos2",'Shooter-Squad Assignment'!$K:$K,0)),""),IF(F684="Trap",IFERROR(INDEX('Shooter-Squad Assignment'!$A:$A,MATCH(C684&amp;"-"&amp;E684&amp;"-"&amp;F684&amp;"-Pos2",'Shooter-Squad Assignment'!$W:$W,0)),""),IF(F684="Sporting Clays",IFERROR(INDEX('Shooter-Squad Assignment'!$A:$A,MATCH(C684&amp;"-"&amp;E684&amp;"-"&amp;F684&amp;"-Pos2",'Shooter-Squad Assignment'!$Z:$Z,0)),""),"")))</f>
        <v/>
      </c>
      <c r="J684" s="88" t="str">
        <f>IF(ISBLANK(I684),"",IFERROR(INDEX('Tournament List'!$D:$D,MATCH(I684,'Tournament List'!$A:$A,0)),""))</f>
        <v/>
      </c>
      <c r="K684" s="96" t="str">
        <f>IF(F684="Skeet",IFERROR(INDEX('Shooter-Squad Assignment'!$A:$A,MATCH(C684&amp;"-"&amp;E684&amp;"-"&amp;F684&amp;"-Pos3",'Shooter-Squad Assignment'!$K:$K,0)),""),IF(F684="Trap",IFERROR(INDEX('Shooter-Squad Assignment'!$A:$A,MATCH(C684&amp;"-"&amp;E684&amp;"-"&amp;F684&amp;"-Pos3",'Shooter-Squad Assignment'!$W:$W,0)),""),IF(F684="Sporting Clays",IFERROR(INDEX('Shooter-Squad Assignment'!$A:$A,MATCH(C684&amp;"-"&amp;E684&amp;"-"&amp;F684&amp;"-Pos3",'Shooter-Squad Assignment'!$Z:$Z,0)),""),"")))</f>
        <v/>
      </c>
      <c r="L684" s="88" t="str">
        <f>IF(ISBLANK(K684),"",IFERROR(INDEX('Tournament List'!$D:$D,MATCH(K684,'Tournament List'!$A:$A,0)),""))</f>
        <v/>
      </c>
      <c r="M684" s="96" t="str">
        <f>IF(F684="Skeet",IFERROR(INDEX('Shooter-Squad Assignment'!$A:$A,MATCH(C684&amp;"-"&amp;E684&amp;"-"&amp;F684&amp;"-Pos4",'Shooter-Squad Assignment'!$K:$K,0)),""),IF(F684="Trap",IFERROR(INDEX('Shooter-Squad Assignment'!$A:$A,MATCH(C684&amp;"-"&amp;E684&amp;"-"&amp;F684&amp;"-Pos4",'Shooter-Squad Assignment'!$W:$W,0)),""),IF(F684="Sporting Clays",IFERROR(INDEX('Shooter-Squad Assignment'!$A:$A,MATCH(C684&amp;"-"&amp;E684&amp;"-"&amp;F684&amp;"-Pos4",'Shooter-Squad Assignment'!$Z:$Z,0)),""),"")))</f>
        <v/>
      </c>
      <c r="N684" s="88" t="str">
        <f>IF(ISBLANK(M684),"",IFERROR(INDEX('Tournament List'!$D:$D,MATCH(M684,'Tournament List'!$A:$A,0)),""))</f>
        <v/>
      </c>
      <c r="O684" s="96" t="str">
        <f>IF(F684="Skeet",IFERROR(INDEX('Shooter-Squad Assignment'!$A:$A,MATCH(C684&amp;"-"&amp;E684&amp;"-"&amp;F684&amp;"-Pos5",'Shooter-Squad Assignment'!$K:$K,0)),""),IF(F684="Trap",IFERROR(INDEX('Shooter-Squad Assignment'!$A:$A,MATCH(C684&amp;"-"&amp;E684&amp;"-"&amp;F684&amp;"-Pos5",'Shooter-Squad Assignment'!$W:$W,0)),""),IF(F684="Sporting Clays",IFERROR(INDEX('Shooter-Squad Assignment'!$A:$A,MATCH(C684&amp;"-"&amp;E684&amp;"-"&amp;F684&amp;"-Pos5",'Shooter-Squad Assignment'!$Z:$Z,0)),""),"")))</f>
        <v/>
      </c>
      <c r="P684" s="89" t="str">
        <f>IF(ISBLANK(O684),"",IFERROR(INDEX('Tournament List'!$D:$D,MATCH(O684,'Tournament List'!$A:$A,0)),""))</f>
        <v/>
      </c>
    </row>
    <row r="685" spans="1:16" ht="15" thickBot="1" x14ac:dyDescent="0.35">
      <c r="A685" s="90">
        <v>684</v>
      </c>
      <c r="B685" s="91" t="str">
        <f>C685&amp;"-"&amp;E685&amp;"-"&amp;F685</f>
        <v>-Varsity 3-Trap</v>
      </c>
      <c r="C685" s="91"/>
      <c r="D685" s="91" t="str">
        <f>INDEX('Tournament Setup'!$B$59:$B$78,MATCH(E685,SquadConcurrents,0))</f>
        <v>Varsity</v>
      </c>
      <c r="E685" s="91" t="s">
        <v>352</v>
      </c>
      <c r="F685" s="91" t="s">
        <v>147</v>
      </c>
      <c r="G685" s="97" t="str">
        <f>IF(F685="Skeet",IFERROR(INDEX('Shooter-Squad Assignment'!$A:$A,MATCH(C685&amp;"-"&amp;E685&amp;"-"&amp;F685&amp;"-Pos1",'Shooter-Squad Assignment'!$K:$K,0)),""),IF(F685="Trap",IFERROR(INDEX('Shooter-Squad Assignment'!$A:$A,MATCH(C685&amp;"-"&amp;E685&amp;"-"&amp;F685&amp;"-Pos1",'Shooter-Squad Assignment'!$W:$W,0)),""),IF(F685="Sporting Clays",IFERROR(INDEX('Shooter-Squad Assignment'!$A:$A,MATCH(C685&amp;"-"&amp;E685&amp;"-"&amp;F685&amp;"-Pos1",'Shooter-Squad Assignment'!$Z:$Z,0)),""),"")))</f>
        <v/>
      </c>
      <c r="H685" s="91" t="str">
        <f>IF(ISBLANK(G685),"",IFERROR(INDEX('Tournament List'!$D:$D,MATCH(G685,'Tournament List'!$A:$A,0)),""))</f>
        <v/>
      </c>
      <c r="I685" s="97" t="str">
        <f>IF(F685="Skeet",IFERROR(INDEX('Shooter-Squad Assignment'!$A:$A,MATCH(C685&amp;"-"&amp;E685&amp;"-"&amp;F685&amp;"-Pos2",'Shooter-Squad Assignment'!$K:$K,0)),""),IF(F685="Trap",IFERROR(INDEX('Shooter-Squad Assignment'!$A:$A,MATCH(C685&amp;"-"&amp;E685&amp;"-"&amp;F685&amp;"-Pos2",'Shooter-Squad Assignment'!$W:$W,0)),""),IF(F685="Sporting Clays",IFERROR(INDEX('Shooter-Squad Assignment'!$A:$A,MATCH(C685&amp;"-"&amp;E685&amp;"-"&amp;F685&amp;"-Pos2",'Shooter-Squad Assignment'!$Z:$Z,0)),""),"")))</f>
        <v/>
      </c>
      <c r="J685" s="91" t="str">
        <f>IF(ISBLANK(I685),"",IFERROR(INDEX('Tournament List'!$D:$D,MATCH(I685,'Tournament List'!$A:$A,0)),""))</f>
        <v/>
      </c>
      <c r="K685" s="97" t="str">
        <f>IF(F685="Skeet",IFERROR(INDEX('Shooter-Squad Assignment'!$A:$A,MATCH(C685&amp;"-"&amp;E685&amp;"-"&amp;F685&amp;"-Pos3",'Shooter-Squad Assignment'!$K:$K,0)),""),IF(F685="Trap",IFERROR(INDEX('Shooter-Squad Assignment'!$A:$A,MATCH(C685&amp;"-"&amp;E685&amp;"-"&amp;F685&amp;"-Pos3",'Shooter-Squad Assignment'!$W:$W,0)),""),IF(F685="Sporting Clays",IFERROR(INDEX('Shooter-Squad Assignment'!$A:$A,MATCH(C685&amp;"-"&amp;E685&amp;"-"&amp;F685&amp;"-Pos3",'Shooter-Squad Assignment'!$Z:$Z,0)),""),"")))</f>
        <v/>
      </c>
      <c r="L685" s="91" t="str">
        <f>IF(ISBLANK(K685),"",IFERROR(INDEX('Tournament List'!$D:$D,MATCH(K685,'Tournament List'!$A:$A,0)),""))</f>
        <v/>
      </c>
      <c r="M685" s="97" t="str">
        <f>IF(F685="Skeet",IFERROR(INDEX('Shooter-Squad Assignment'!$A:$A,MATCH(C685&amp;"-"&amp;E685&amp;"-"&amp;F685&amp;"-Pos4",'Shooter-Squad Assignment'!$K:$K,0)),""),IF(F685="Trap",IFERROR(INDEX('Shooter-Squad Assignment'!$A:$A,MATCH(C685&amp;"-"&amp;E685&amp;"-"&amp;F685&amp;"-Pos4",'Shooter-Squad Assignment'!$W:$W,0)),""),IF(F685="Sporting Clays",IFERROR(INDEX('Shooter-Squad Assignment'!$A:$A,MATCH(C685&amp;"-"&amp;E685&amp;"-"&amp;F685&amp;"-Pos4",'Shooter-Squad Assignment'!$Z:$Z,0)),""),"")))</f>
        <v/>
      </c>
      <c r="N685" s="91" t="str">
        <f>IF(ISBLANK(M685),"",IFERROR(INDEX('Tournament List'!$D:$D,MATCH(M685,'Tournament List'!$A:$A,0)),""))</f>
        <v/>
      </c>
      <c r="O685" s="97" t="str">
        <f>IF(F685="Skeet",IFERROR(INDEX('Shooter-Squad Assignment'!$A:$A,MATCH(C685&amp;"-"&amp;E685&amp;"-"&amp;F685&amp;"-Pos5",'Shooter-Squad Assignment'!$K:$K,0)),""),IF(F685="Trap",IFERROR(INDEX('Shooter-Squad Assignment'!$A:$A,MATCH(C685&amp;"-"&amp;E685&amp;"-"&amp;F685&amp;"-Pos5",'Shooter-Squad Assignment'!$W:$W,0)),""),IF(F685="Sporting Clays",IFERROR(INDEX('Shooter-Squad Assignment'!$A:$A,MATCH(C685&amp;"-"&amp;E685&amp;"-"&amp;F685&amp;"-Pos5",'Shooter-Squad Assignment'!$Z:$Z,0)),""),"")))</f>
        <v/>
      </c>
      <c r="P685" s="92" t="str">
        <f>IF(ISBLANK(O685),"",IFERROR(INDEX('Tournament List'!$D:$D,MATCH(O685,'Tournament List'!$A:$A,0)),""))</f>
        <v/>
      </c>
    </row>
    <row r="686" spans="1:16" x14ac:dyDescent="0.3">
      <c r="A686" s="76">
        <v>685</v>
      </c>
      <c r="B686" s="77" t="str">
        <f>C686&amp;"-"&amp;E686&amp;"-"&amp;F686</f>
        <v>-Collegiate 1-Skeet</v>
      </c>
      <c r="C686" s="77"/>
      <c r="D686" s="77" t="str">
        <f>INDEX('Tournament Setup'!$B$59:$B$78,MATCH(E686,SquadConcurrents,0))</f>
        <v>Collegiate</v>
      </c>
      <c r="E686" s="77" t="s">
        <v>342</v>
      </c>
      <c r="F686" s="77" t="s">
        <v>143</v>
      </c>
      <c r="G686" s="93" t="str">
        <f>IF(F686="Skeet",IFERROR(INDEX('Shooter-Squad Assignment'!$A:$A,MATCH(C686&amp;"-"&amp;E686&amp;"-"&amp;F686&amp;"-Pos1",'Shooter-Squad Assignment'!$K:$K,0)),""),IF(F686="Trap",IFERROR(INDEX('Shooter-Squad Assignment'!$A:$A,MATCH(C686&amp;"-"&amp;E686&amp;"-"&amp;F686&amp;"-Pos1",'Shooter-Squad Assignment'!$W:$W,0)),""),IF(F686="Sporting Clays",IFERROR(INDEX('Shooter-Squad Assignment'!$A:$A,MATCH(C686&amp;"-"&amp;E686&amp;"-"&amp;F686&amp;"-Pos1",'Shooter-Squad Assignment'!$Z:$Z,0)),""),"")))</f>
        <v/>
      </c>
      <c r="H686" s="77" t="str">
        <f>IF(ISBLANK(G686),"",IFERROR(INDEX('Tournament List'!$D:$D,MATCH(G686,'Tournament List'!$A:$A,0)),""))</f>
        <v/>
      </c>
      <c r="I686" s="93" t="str">
        <f>IF(F686="Skeet",IFERROR(INDEX('Shooter-Squad Assignment'!$A:$A,MATCH(C686&amp;"-"&amp;E686&amp;"-"&amp;F686&amp;"-Pos2",'Shooter-Squad Assignment'!$K:$K,0)),""),IF(F686="Trap",IFERROR(INDEX('Shooter-Squad Assignment'!$A:$A,MATCH(C686&amp;"-"&amp;E686&amp;"-"&amp;F686&amp;"-Pos2",'Shooter-Squad Assignment'!$W:$W,0)),""),IF(F686="Sporting Clays",IFERROR(INDEX('Shooter-Squad Assignment'!$A:$A,MATCH(C686&amp;"-"&amp;E686&amp;"-"&amp;F686&amp;"-Pos2",'Shooter-Squad Assignment'!$Z:$Z,0)),""),"")))</f>
        <v/>
      </c>
      <c r="J686" s="77" t="str">
        <f>IF(ISBLANK(I686),"",IFERROR(INDEX('Tournament List'!$D:$D,MATCH(I686,'Tournament List'!$A:$A,0)),""))</f>
        <v/>
      </c>
      <c r="K686" s="93" t="str">
        <f>IF(F686="Skeet",IFERROR(INDEX('Shooter-Squad Assignment'!$A:$A,MATCH(C686&amp;"-"&amp;E686&amp;"-"&amp;F686&amp;"-Pos3",'Shooter-Squad Assignment'!$K:$K,0)),""),IF(F686="Trap",IFERROR(INDEX('Shooter-Squad Assignment'!$A:$A,MATCH(C686&amp;"-"&amp;E686&amp;"-"&amp;F686&amp;"-Pos3",'Shooter-Squad Assignment'!$W:$W,0)),""),IF(F686="Sporting Clays",IFERROR(INDEX('Shooter-Squad Assignment'!$A:$A,MATCH(C686&amp;"-"&amp;E686&amp;"-"&amp;F686&amp;"-Pos3",'Shooter-Squad Assignment'!$Z:$Z,0)),""),"")))</f>
        <v/>
      </c>
      <c r="L686" s="77" t="str">
        <f>IF(ISBLANK(K686),"",IFERROR(INDEX('Tournament List'!$D:$D,MATCH(K686,'Tournament List'!$A:$A,0)),""))</f>
        <v/>
      </c>
      <c r="M686" s="93" t="str">
        <f>IF(F686="Skeet",IFERROR(INDEX('Shooter-Squad Assignment'!$A:$A,MATCH(C686&amp;"-"&amp;E686&amp;"-"&amp;F686&amp;"-Pos4",'Shooter-Squad Assignment'!$K:$K,0)),""),IF(F686="Trap",IFERROR(INDEX('Shooter-Squad Assignment'!$A:$A,MATCH(C686&amp;"-"&amp;E686&amp;"-"&amp;F686&amp;"-Pos4",'Shooter-Squad Assignment'!$W:$W,0)),""),IF(F686="Sporting Clays",IFERROR(INDEX('Shooter-Squad Assignment'!$A:$A,MATCH(C686&amp;"-"&amp;E686&amp;"-"&amp;F686&amp;"-Pos4",'Shooter-Squad Assignment'!$Z:$Z,0)),""),"")))</f>
        <v/>
      </c>
      <c r="N686" s="77" t="str">
        <f>IF(ISBLANK(M686),"",IFERROR(INDEX('Tournament List'!$D:$D,MATCH(M686,'Tournament List'!$A:$A,0)),""))</f>
        <v/>
      </c>
      <c r="O686" s="93" t="str">
        <f>IF(F686="Skeet",IFERROR(INDEX('Shooter-Squad Assignment'!$A:$A,MATCH(C686&amp;"-"&amp;E686&amp;"-"&amp;F686&amp;"-Pos5",'Shooter-Squad Assignment'!$K:$K,0)),""),IF(F686="Trap",IFERROR(INDEX('Shooter-Squad Assignment'!$A:$A,MATCH(C686&amp;"-"&amp;E686&amp;"-"&amp;F686&amp;"-Pos5",'Shooter-Squad Assignment'!$W:$W,0)),""),IF(F686="Sporting Clays",IFERROR(INDEX('Shooter-Squad Assignment'!$A:$A,MATCH(C686&amp;"-"&amp;E686&amp;"-"&amp;F686&amp;"-Pos5",'Shooter-Squad Assignment'!$Z:$Z,0)),""),"")))</f>
        <v/>
      </c>
      <c r="P686" s="77" t="str">
        <f>IF(ISBLANK(O686),"",IFERROR(INDEX('Tournament List'!$D:$D,MATCH(O686,'Tournament List'!$A:$A,0)),""))</f>
        <v/>
      </c>
    </row>
    <row r="687" spans="1:16" x14ac:dyDescent="0.3">
      <c r="A687" s="78">
        <v>686</v>
      </c>
      <c r="B687" s="73" t="str">
        <f>C687&amp;"-"&amp;E687&amp;"-"&amp;F687</f>
        <v>-Collegiate 2-Skeet</v>
      </c>
      <c r="C687" s="73"/>
      <c r="D687" s="73" t="str">
        <f>INDEX('Tournament Setup'!$B$59:$B$78,MATCH(E687,SquadConcurrents,0))</f>
        <v>Collegiate</v>
      </c>
      <c r="E687" s="73" t="s">
        <v>348</v>
      </c>
      <c r="F687" s="73" t="s">
        <v>143</v>
      </c>
      <c r="G687" s="94" t="str">
        <f>IF(F687="Skeet",IFERROR(INDEX('Shooter-Squad Assignment'!$A:$A,MATCH(C687&amp;"-"&amp;E687&amp;"-"&amp;F687&amp;"-Pos1",'Shooter-Squad Assignment'!$K:$K,0)),""),IF(F687="Trap",IFERROR(INDEX('Shooter-Squad Assignment'!$A:$A,MATCH(C687&amp;"-"&amp;E687&amp;"-"&amp;F687&amp;"-Pos1",'Shooter-Squad Assignment'!$W:$W,0)),""),IF(F687="Sporting Clays",IFERROR(INDEX('Shooter-Squad Assignment'!$A:$A,MATCH(C687&amp;"-"&amp;E687&amp;"-"&amp;F687&amp;"-Pos1",'Shooter-Squad Assignment'!$Z:$Z,0)),""),"")))</f>
        <v/>
      </c>
      <c r="H687" s="73" t="str">
        <f>IF(ISBLANK(G687),"",IFERROR(INDEX('Tournament List'!$D:$D,MATCH(G687,'Tournament List'!$A:$A,0)),""))</f>
        <v/>
      </c>
      <c r="I687" s="94" t="str">
        <f>IF(F687="Skeet",IFERROR(INDEX('Shooter-Squad Assignment'!$A:$A,MATCH(C687&amp;"-"&amp;E687&amp;"-"&amp;F687&amp;"-Pos2",'Shooter-Squad Assignment'!$K:$K,0)),""),IF(F687="Trap",IFERROR(INDEX('Shooter-Squad Assignment'!$A:$A,MATCH(C687&amp;"-"&amp;E687&amp;"-"&amp;F687&amp;"-Pos2",'Shooter-Squad Assignment'!$W:$W,0)),""),IF(F687="Sporting Clays",IFERROR(INDEX('Shooter-Squad Assignment'!$A:$A,MATCH(C687&amp;"-"&amp;E687&amp;"-"&amp;F687&amp;"-Pos2",'Shooter-Squad Assignment'!$Z:$Z,0)),""),"")))</f>
        <v/>
      </c>
      <c r="J687" s="73" t="str">
        <f>IF(ISBLANK(I687),"",IFERROR(INDEX('Tournament List'!$D:$D,MATCH(I687,'Tournament List'!$A:$A,0)),""))</f>
        <v/>
      </c>
      <c r="K687" s="94" t="str">
        <f>IF(F687="Skeet",IFERROR(INDEX('Shooter-Squad Assignment'!$A:$A,MATCH(C687&amp;"-"&amp;E687&amp;"-"&amp;F687&amp;"-Pos3",'Shooter-Squad Assignment'!$K:$K,0)),""),IF(F687="Trap",IFERROR(INDEX('Shooter-Squad Assignment'!$A:$A,MATCH(C687&amp;"-"&amp;E687&amp;"-"&amp;F687&amp;"-Pos3",'Shooter-Squad Assignment'!$W:$W,0)),""),IF(F687="Sporting Clays",IFERROR(INDEX('Shooter-Squad Assignment'!$A:$A,MATCH(C687&amp;"-"&amp;E687&amp;"-"&amp;F687&amp;"-Pos3",'Shooter-Squad Assignment'!$Z:$Z,0)),""),"")))</f>
        <v/>
      </c>
      <c r="L687" s="73" t="str">
        <f>IF(ISBLANK(K687),"",IFERROR(INDEX('Tournament List'!$D:$D,MATCH(K687,'Tournament List'!$A:$A,0)),""))</f>
        <v/>
      </c>
      <c r="M687" s="94" t="str">
        <f>IF(F687="Skeet",IFERROR(INDEX('Shooter-Squad Assignment'!$A:$A,MATCH(C687&amp;"-"&amp;E687&amp;"-"&amp;F687&amp;"-Pos4",'Shooter-Squad Assignment'!$K:$K,0)),""),IF(F687="Trap",IFERROR(INDEX('Shooter-Squad Assignment'!$A:$A,MATCH(C687&amp;"-"&amp;E687&amp;"-"&amp;F687&amp;"-Pos4",'Shooter-Squad Assignment'!$W:$W,0)),""),IF(F687="Sporting Clays",IFERROR(INDEX('Shooter-Squad Assignment'!$A:$A,MATCH(C687&amp;"-"&amp;E687&amp;"-"&amp;F687&amp;"-Pos4",'Shooter-Squad Assignment'!$Z:$Z,0)),""),"")))</f>
        <v/>
      </c>
      <c r="N687" s="73" t="str">
        <f>IF(ISBLANK(M687),"",IFERROR(INDEX('Tournament List'!$D:$D,MATCH(M687,'Tournament List'!$A:$A,0)),""))</f>
        <v/>
      </c>
      <c r="O687" s="94" t="str">
        <f>IF(F687="Skeet",IFERROR(INDEX('Shooter-Squad Assignment'!$A:$A,MATCH(C687&amp;"-"&amp;E687&amp;"-"&amp;F687&amp;"-Pos5",'Shooter-Squad Assignment'!$K:$K,0)),""),IF(F687="Trap",IFERROR(INDEX('Shooter-Squad Assignment'!$A:$A,MATCH(C687&amp;"-"&amp;E687&amp;"-"&amp;F687&amp;"-Pos5",'Shooter-Squad Assignment'!$W:$W,0)),""),IF(F687="Sporting Clays",IFERROR(INDEX('Shooter-Squad Assignment'!$A:$A,MATCH(C687&amp;"-"&amp;E687&amp;"-"&amp;F687&amp;"-Pos5",'Shooter-Squad Assignment'!$Z:$Z,0)),""),"")))</f>
        <v/>
      </c>
      <c r="P687" s="79" t="str">
        <f>IF(ISBLANK(O687),"",IFERROR(INDEX('Tournament List'!$D:$D,MATCH(O687,'Tournament List'!$A:$A,0)),""))</f>
        <v/>
      </c>
    </row>
    <row r="688" spans="1:16" x14ac:dyDescent="0.3">
      <c r="A688" s="78">
        <v>687</v>
      </c>
      <c r="B688" s="73" t="str">
        <f>C688&amp;"-"&amp;E688&amp;"-"&amp;F688</f>
        <v>-Collegiate 3-Skeet</v>
      </c>
      <c r="C688" s="73"/>
      <c r="D688" s="73" t="str">
        <f>INDEX('Tournament Setup'!$B$59:$B$78,MATCH(E688,SquadConcurrents,0))</f>
        <v>Collegiate</v>
      </c>
      <c r="E688" s="73" t="s">
        <v>354</v>
      </c>
      <c r="F688" s="73" t="s">
        <v>143</v>
      </c>
      <c r="G688" s="94" t="str">
        <f>IF(F688="Skeet",IFERROR(INDEX('Shooter-Squad Assignment'!$A:$A,MATCH(C688&amp;"-"&amp;E688&amp;"-"&amp;F688&amp;"-Pos1",'Shooter-Squad Assignment'!$K:$K,0)),""),IF(F688="Trap",IFERROR(INDEX('Shooter-Squad Assignment'!$A:$A,MATCH(C688&amp;"-"&amp;E688&amp;"-"&amp;F688&amp;"-Pos1",'Shooter-Squad Assignment'!$W:$W,0)),""),IF(F688="Sporting Clays",IFERROR(INDEX('Shooter-Squad Assignment'!$A:$A,MATCH(C688&amp;"-"&amp;E688&amp;"-"&amp;F688&amp;"-Pos1",'Shooter-Squad Assignment'!$Z:$Z,0)),""),"")))</f>
        <v/>
      </c>
      <c r="H688" s="73" t="str">
        <f>IF(ISBLANK(G688),"",IFERROR(INDEX('Tournament List'!$D:$D,MATCH(G688,'Tournament List'!$A:$A,0)),""))</f>
        <v/>
      </c>
      <c r="I688" s="94" t="str">
        <f>IF(F688="Skeet",IFERROR(INDEX('Shooter-Squad Assignment'!$A:$A,MATCH(C688&amp;"-"&amp;E688&amp;"-"&amp;F688&amp;"-Pos2",'Shooter-Squad Assignment'!$K:$K,0)),""),IF(F688="Trap",IFERROR(INDEX('Shooter-Squad Assignment'!$A:$A,MATCH(C688&amp;"-"&amp;E688&amp;"-"&amp;F688&amp;"-Pos2",'Shooter-Squad Assignment'!$W:$W,0)),""),IF(F688="Sporting Clays",IFERROR(INDEX('Shooter-Squad Assignment'!$A:$A,MATCH(C688&amp;"-"&amp;E688&amp;"-"&amp;F688&amp;"-Pos2",'Shooter-Squad Assignment'!$Z:$Z,0)),""),"")))</f>
        <v/>
      </c>
      <c r="J688" s="73" t="str">
        <f>IF(ISBLANK(I688),"",IFERROR(INDEX('Tournament List'!$D:$D,MATCH(I688,'Tournament List'!$A:$A,0)),""))</f>
        <v/>
      </c>
      <c r="K688" s="94" t="str">
        <f>IF(F688="Skeet",IFERROR(INDEX('Shooter-Squad Assignment'!$A:$A,MATCH(C688&amp;"-"&amp;E688&amp;"-"&amp;F688&amp;"-Pos3",'Shooter-Squad Assignment'!$K:$K,0)),""),IF(F688="Trap",IFERROR(INDEX('Shooter-Squad Assignment'!$A:$A,MATCH(C688&amp;"-"&amp;E688&amp;"-"&amp;F688&amp;"-Pos3",'Shooter-Squad Assignment'!$W:$W,0)),""),IF(F688="Sporting Clays",IFERROR(INDEX('Shooter-Squad Assignment'!$A:$A,MATCH(C688&amp;"-"&amp;E688&amp;"-"&amp;F688&amp;"-Pos3",'Shooter-Squad Assignment'!$Z:$Z,0)),""),"")))</f>
        <v/>
      </c>
      <c r="L688" s="73" t="str">
        <f>IF(ISBLANK(K688),"",IFERROR(INDEX('Tournament List'!$D:$D,MATCH(K688,'Tournament List'!$A:$A,0)),""))</f>
        <v/>
      </c>
      <c r="M688" s="94" t="str">
        <f>IF(F688="Skeet",IFERROR(INDEX('Shooter-Squad Assignment'!$A:$A,MATCH(C688&amp;"-"&amp;E688&amp;"-"&amp;F688&amp;"-Pos4",'Shooter-Squad Assignment'!$K:$K,0)),""),IF(F688="Trap",IFERROR(INDEX('Shooter-Squad Assignment'!$A:$A,MATCH(C688&amp;"-"&amp;E688&amp;"-"&amp;F688&amp;"-Pos4",'Shooter-Squad Assignment'!$W:$W,0)),""),IF(F688="Sporting Clays",IFERROR(INDEX('Shooter-Squad Assignment'!$A:$A,MATCH(C688&amp;"-"&amp;E688&amp;"-"&amp;F688&amp;"-Pos4",'Shooter-Squad Assignment'!$Z:$Z,0)),""),"")))</f>
        <v/>
      </c>
      <c r="N688" s="73" t="str">
        <f>IF(ISBLANK(M688),"",IFERROR(INDEX('Tournament List'!$D:$D,MATCH(M688,'Tournament List'!$A:$A,0)),""))</f>
        <v/>
      </c>
      <c r="O688" s="94" t="str">
        <f>IF(F688="Skeet",IFERROR(INDEX('Shooter-Squad Assignment'!$A:$A,MATCH(C688&amp;"-"&amp;E688&amp;"-"&amp;F688&amp;"-Pos5",'Shooter-Squad Assignment'!$K:$K,0)),""),IF(F688="Trap",IFERROR(INDEX('Shooter-Squad Assignment'!$A:$A,MATCH(C688&amp;"-"&amp;E688&amp;"-"&amp;F688&amp;"-Pos5",'Shooter-Squad Assignment'!$W:$W,0)),""),IF(F688="Sporting Clays",IFERROR(INDEX('Shooter-Squad Assignment'!$A:$A,MATCH(C688&amp;"-"&amp;E688&amp;"-"&amp;F688&amp;"-Pos5",'Shooter-Squad Assignment'!$Z:$Z,0)),""),"")))</f>
        <v/>
      </c>
      <c r="P688" s="79" t="str">
        <f>IF(ISBLANK(O688),"",IFERROR(INDEX('Tournament List'!$D:$D,MATCH(O688,'Tournament List'!$A:$A,0)),""))</f>
        <v/>
      </c>
    </row>
    <row r="689" spans="1:16" x14ac:dyDescent="0.3">
      <c r="A689" s="78">
        <v>688</v>
      </c>
      <c r="B689" s="73" t="str">
        <f>C689&amp;"-"&amp;E689&amp;"-"&amp;F689</f>
        <v>-Intermediate 1-Skeet</v>
      </c>
      <c r="C689" s="73"/>
      <c r="D689" s="73" t="str">
        <f>INDEX('Tournament Setup'!$B$59:$B$78,MATCH(E689,SquadConcurrents,0))</f>
        <v>Intermediate</v>
      </c>
      <c r="E689" s="73" t="s">
        <v>338</v>
      </c>
      <c r="F689" s="73" t="s">
        <v>143</v>
      </c>
      <c r="G689" s="94" t="str">
        <f>IF(F689="Skeet",IFERROR(INDEX('Shooter-Squad Assignment'!$A:$A,MATCH(C689&amp;"-"&amp;E689&amp;"-"&amp;F689&amp;"-Pos1",'Shooter-Squad Assignment'!$K:$K,0)),""),IF(F689="Trap",IFERROR(INDEX('Shooter-Squad Assignment'!$A:$A,MATCH(C689&amp;"-"&amp;E689&amp;"-"&amp;F689&amp;"-Pos1",'Shooter-Squad Assignment'!$W:$W,0)),""),IF(F689="Sporting Clays",IFERROR(INDEX('Shooter-Squad Assignment'!$A:$A,MATCH(C689&amp;"-"&amp;E689&amp;"-"&amp;F689&amp;"-Pos1",'Shooter-Squad Assignment'!$Z:$Z,0)),""),"")))</f>
        <v/>
      </c>
      <c r="H689" s="73" t="str">
        <f>IF(ISBLANK(G689),"",IFERROR(INDEX('Tournament List'!$D:$D,MATCH(G689,'Tournament List'!$A:$A,0)),""))</f>
        <v/>
      </c>
      <c r="I689" s="94" t="str">
        <f>IF(F689="Skeet",IFERROR(INDEX('Shooter-Squad Assignment'!$A:$A,MATCH(C689&amp;"-"&amp;E689&amp;"-"&amp;F689&amp;"-Pos2",'Shooter-Squad Assignment'!$K:$K,0)),""),IF(F689="Trap",IFERROR(INDEX('Shooter-Squad Assignment'!$A:$A,MATCH(C689&amp;"-"&amp;E689&amp;"-"&amp;F689&amp;"-Pos2",'Shooter-Squad Assignment'!$W:$W,0)),""),IF(F689="Sporting Clays",IFERROR(INDEX('Shooter-Squad Assignment'!$A:$A,MATCH(C689&amp;"-"&amp;E689&amp;"-"&amp;F689&amp;"-Pos2",'Shooter-Squad Assignment'!$Z:$Z,0)),""),"")))</f>
        <v/>
      </c>
      <c r="J689" s="73" t="str">
        <f>IF(ISBLANK(I689),"",IFERROR(INDEX('Tournament List'!$D:$D,MATCH(I689,'Tournament List'!$A:$A,0)),""))</f>
        <v/>
      </c>
      <c r="K689" s="94" t="str">
        <f>IF(F689="Skeet",IFERROR(INDEX('Shooter-Squad Assignment'!$A:$A,MATCH(C689&amp;"-"&amp;E689&amp;"-"&amp;F689&amp;"-Pos3",'Shooter-Squad Assignment'!$K:$K,0)),""),IF(F689="Trap",IFERROR(INDEX('Shooter-Squad Assignment'!$A:$A,MATCH(C689&amp;"-"&amp;E689&amp;"-"&amp;F689&amp;"-Pos3",'Shooter-Squad Assignment'!$W:$W,0)),""),IF(F689="Sporting Clays",IFERROR(INDEX('Shooter-Squad Assignment'!$A:$A,MATCH(C689&amp;"-"&amp;E689&amp;"-"&amp;F689&amp;"-Pos3",'Shooter-Squad Assignment'!$Z:$Z,0)),""),"")))</f>
        <v/>
      </c>
      <c r="L689" s="73" t="str">
        <f>IF(ISBLANK(K689),"",IFERROR(INDEX('Tournament List'!$D:$D,MATCH(K689,'Tournament List'!$A:$A,0)),""))</f>
        <v/>
      </c>
      <c r="M689" s="94" t="str">
        <f>IF(F689="Skeet",IFERROR(INDEX('Shooter-Squad Assignment'!$A:$A,MATCH(C689&amp;"-"&amp;E689&amp;"-"&amp;F689&amp;"-Pos4",'Shooter-Squad Assignment'!$K:$K,0)),""),IF(F689="Trap",IFERROR(INDEX('Shooter-Squad Assignment'!$A:$A,MATCH(C689&amp;"-"&amp;E689&amp;"-"&amp;F689&amp;"-Pos4",'Shooter-Squad Assignment'!$W:$W,0)),""),IF(F689="Sporting Clays",IFERROR(INDEX('Shooter-Squad Assignment'!$A:$A,MATCH(C689&amp;"-"&amp;E689&amp;"-"&amp;F689&amp;"-Pos4",'Shooter-Squad Assignment'!$Z:$Z,0)),""),"")))</f>
        <v/>
      </c>
      <c r="N689" s="73" t="str">
        <f>IF(ISBLANK(M689),"",IFERROR(INDEX('Tournament List'!$D:$D,MATCH(M689,'Tournament List'!$A:$A,0)),""))</f>
        <v/>
      </c>
      <c r="O689" s="94" t="str">
        <f>IF(F689="Skeet",IFERROR(INDEX('Shooter-Squad Assignment'!$A:$A,MATCH(C689&amp;"-"&amp;E689&amp;"-"&amp;F689&amp;"-Pos5",'Shooter-Squad Assignment'!$K:$K,0)),""),IF(F689="Trap",IFERROR(INDEX('Shooter-Squad Assignment'!$A:$A,MATCH(C689&amp;"-"&amp;E689&amp;"-"&amp;F689&amp;"-Pos5",'Shooter-Squad Assignment'!$W:$W,0)),""),IF(F689="Sporting Clays",IFERROR(INDEX('Shooter-Squad Assignment'!$A:$A,MATCH(C689&amp;"-"&amp;E689&amp;"-"&amp;F689&amp;"-Pos5",'Shooter-Squad Assignment'!$Z:$Z,0)),""),"")))</f>
        <v/>
      </c>
      <c r="P689" s="79" t="str">
        <f>IF(ISBLANK(O689),"",IFERROR(INDEX('Tournament List'!$D:$D,MATCH(O689,'Tournament List'!$A:$A,0)),""))</f>
        <v/>
      </c>
    </row>
    <row r="690" spans="1:16" x14ac:dyDescent="0.3">
      <c r="A690" s="78">
        <v>689</v>
      </c>
      <c r="B690" s="73" t="str">
        <f>C690&amp;"-"&amp;E690&amp;"-"&amp;F690</f>
        <v>-Intermediate 2-Skeet</v>
      </c>
      <c r="C690" s="73"/>
      <c r="D690" s="73" t="str">
        <f>INDEX('Tournament Setup'!$B$59:$B$78,MATCH(E690,SquadConcurrents,0))</f>
        <v>Intermediate</v>
      </c>
      <c r="E690" s="73" t="s">
        <v>344</v>
      </c>
      <c r="F690" s="73" t="s">
        <v>143</v>
      </c>
      <c r="G690" s="94" t="str">
        <f>IF(F690="Skeet",IFERROR(INDEX('Shooter-Squad Assignment'!$A:$A,MATCH(C690&amp;"-"&amp;E690&amp;"-"&amp;F690&amp;"-Pos1",'Shooter-Squad Assignment'!$K:$K,0)),""),IF(F690="Trap",IFERROR(INDEX('Shooter-Squad Assignment'!$A:$A,MATCH(C690&amp;"-"&amp;E690&amp;"-"&amp;F690&amp;"-Pos1",'Shooter-Squad Assignment'!$W:$W,0)),""),IF(F690="Sporting Clays",IFERROR(INDEX('Shooter-Squad Assignment'!$A:$A,MATCH(C690&amp;"-"&amp;E690&amp;"-"&amp;F690&amp;"-Pos1",'Shooter-Squad Assignment'!$Z:$Z,0)),""),"")))</f>
        <v/>
      </c>
      <c r="H690" s="73" t="str">
        <f>IF(ISBLANK(G690),"",IFERROR(INDEX('Tournament List'!$D:$D,MATCH(G690,'Tournament List'!$A:$A,0)),""))</f>
        <v/>
      </c>
      <c r="I690" s="94" t="str">
        <f>IF(F690="Skeet",IFERROR(INDEX('Shooter-Squad Assignment'!$A:$A,MATCH(C690&amp;"-"&amp;E690&amp;"-"&amp;F690&amp;"-Pos2",'Shooter-Squad Assignment'!$K:$K,0)),""),IF(F690="Trap",IFERROR(INDEX('Shooter-Squad Assignment'!$A:$A,MATCH(C690&amp;"-"&amp;E690&amp;"-"&amp;F690&amp;"-Pos2",'Shooter-Squad Assignment'!$W:$W,0)),""),IF(F690="Sporting Clays",IFERROR(INDEX('Shooter-Squad Assignment'!$A:$A,MATCH(C690&amp;"-"&amp;E690&amp;"-"&amp;F690&amp;"-Pos2",'Shooter-Squad Assignment'!$Z:$Z,0)),""),"")))</f>
        <v/>
      </c>
      <c r="J690" s="73" t="str">
        <f>IF(ISBLANK(I690),"",IFERROR(INDEX('Tournament List'!$D:$D,MATCH(I690,'Tournament List'!$A:$A,0)),""))</f>
        <v/>
      </c>
      <c r="K690" s="94" t="str">
        <f>IF(F690="Skeet",IFERROR(INDEX('Shooter-Squad Assignment'!$A:$A,MATCH(C690&amp;"-"&amp;E690&amp;"-"&amp;F690&amp;"-Pos3",'Shooter-Squad Assignment'!$K:$K,0)),""),IF(F690="Trap",IFERROR(INDEX('Shooter-Squad Assignment'!$A:$A,MATCH(C690&amp;"-"&amp;E690&amp;"-"&amp;F690&amp;"-Pos3",'Shooter-Squad Assignment'!$W:$W,0)),""),IF(F690="Sporting Clays",IFERROR(INDEX('Shooter-Squad Assignment'!$A:$A,MATCH(C690&amp;"-"&amp;E690&amp;"-"&amp;F690&amp;"-Pos3",'Shooter-Squad Assignment'!$Z:$Z,0)),""),"")))</f>
        <v/>
      </c>
      <c r="L690" s="73" t="str">
        <f>IF(ISBLANK(K690),"",IFERROR(INDEX('Tournament List'!$D:$D,MATCH(K690,'Tournament List'!$A:$A,0)),""))</f>
        <v/>
      </c>
      <c r="M690" s="94" t="str">
        <f>IF(F690="Skeet",IFERROR(INDEX('Shooter-Squad Assignment'!$A:$A,MATCH(C690&amp;"-"&amp;E690&amp;"-"&amp;F690&amp;"-Pos4",'Shooter-Squad Assignment'!$K:$K,0)),""),IF(F690="Trap",IFERROR(INDEX('Shooter-Squad Assignment'!$A:$A,MATCH(C690&amp;"-"&amp;E690&amp;"-"&amp;F690&amp;"-Pos4",'Shooter-Squad Assignment'!$W:$W,0)),""),IF(F690="Sporting Clays",IFERROR(INDEX('Shooter-Squad Assignment'!$A:$A,MATCH(C690&amp;"-"&amp;E690&amp;"-"&amp;F690&amp;"-Pos4",'Shooter-Squad Assignment'!$Z:$Z,0)),""),"")))</f>
        <v/>
      </c>
      <c r="N690" s="73" t="str">
        <f>IF(ISBLANK(M690),"",IFERROR(INDEX('Tournament List'!$D:$D,MATCH(M690,'Tournament List'!$A:$A,0)),""))</f>
        <v/>
      </c>
      <c r="O690" s="94" t="str">
        <f>IF(F690="Skeet",IFERROR(INDEX('Shooter-Squad Assignment'!$A:$A,MATCH(C690&amp;"-"&amp;E690&amp;"-"&amp;F690&amp;"-Pos5",'Shooter-Squad Assignment'!$K:$K,0)),""),IF(F690="Trap",IFERROR(INDEX('Shooter-Squad Assignment'!$A:$A,MATCH(C690&amp;"-"&amp;E690&amp;"-"&amp;F690&amp;"-Pos5",'Shooter-Squad Assignment'!$W:$W,0)),""),IF(F690="Sporting Clays",IFERROR(INDEX('Shooter-Squad Assignment'!$A:$A,MATCH(C690&amp;"-"&amp;E690&amp;"-"&amp;F690&amp;"-Pos5",'Shooter-Squad Assignment'!$Z:$Z,0)),""),"")))</f>
        <v/>
      </c>
      <c r="P690" s="79" t="str">
        <f>IF(ISBLANK(O690),"",IFERROR(INDEX('Tournament List'!$D:$D,MATCH(O690,'Tournament List'!$A:$A,0)),""))</f>
        <v/>
      </c>
    </row>
    <row r="691" spans="1:16" x14ac:dyDescent="0.3">
      <c r="A691" s="78">
        <v>690</v>
      </c>
      <c r="B691" s="73" t="str">
        <f>C691&amp;"-"&amp;E691&amp;"-"&amp;F691</f>
        <v>-Intermediate 3-Skeet</v>
      </c>
      <c r="C691" s="73"/>
      <c r="D691" s="73" t="str">
        <f>INDEX('Tournament Setup'!$B$59:$B$78,MATCH(E691,SquadConcurrents,0))</f>
        <v>Intermediate</v>
      </c>
      <c r="E691" s="73" t="s">
        <v>350</v>
      </c>
      <c r="F691" s="73" t="s">
        <v>143</v>
      </c>
      <c r="G691" s="94" t="str">
        <f>IF(F691="Skeet",IFERROR(INDEX('Shooter-Squad Assignment'!$A:$A,MATCH(C691&amp;"-"&amp;E691&amp;"-"&amp;F691&amp;"-Pos1",'Shooter-Squad Assignment'!$K:$K,0)),""),IF(F691="Trap",IFERROR(INDEX('Shooter-Squad Assignment'!$A:$A,MATCH(C691&amp;"-"&amp;E691&amp;"-"&amp;F691&amp;"-Pos1",'Shooter-Squad Assignment'!$W:$W,0)),""),IF(F691="Sporting Clays",IFERROR(INDEX('Shooter-Squad Assignment'!$A:$A,MATCH(C691&amp;"-"&amp;E691&amp;"-"&amp;F691&amp;"-Pos1",'Shooter-Squad Assignment'!$Z:$Z,0)),""),"")))</f>
        <v/>
      </c>
      <c r="H691" s="73" t="str">
        <f>IF(ISBLANK(G691),"",IFERROR(INDEX('Tournament List'!$D:$D,MATCH(G691,'Tournament List'!$A:$A,0)),""))</f>
        <v/>
      </c>
      <c r="I691" s="94" t="str">
        <f>IF(F691="Skeet",IFERROR(INDEX('Shooter-Squad Assignment'!$A:$A,MATCH(C691&amp;"-"&amp;E691&amp;"-"&amp;F691&amp;"-Pos2",'Shooter-Squad Assignment'!$K:$K,0)),""),IF(F691="Trap",IFERROR(INDEX('Shooter-Squad Assignment'!$A:$A,MATCH(C691&amp;"-"&amp;E691&amp;"-"&amp;F691&amp;"-Pos2",'Shooter-Squad Assignment'!$W:$W,0)),""),IF(F691="Sporting Clays",IFERROR(INDEX('Shooter-Squad Assignment'!$A:$A,MATCH(C691&amp;"-"&amp;E691&amp;"-"&amp;F691&amp;"-Pos2",'Shooter-Squad Assignment'!$Z:$Z,0)),""),"")))</f>
        <v/>
      </c>
      <c r="J691" s="73" t="str">
        <f>IF(ISBLANK(I691),"",IFERROR(INDEX('Tournament List'!$D:$D,MATCH(I691,'Tournament List'!$A:$A,0)),""))</f>
        <v/>
      </c>
      <c r="K691" s="94" t="str">
        <f>IF(F691="Skeet",IFERROR(INDEX('Shooter-Squad Assignment'!$A:$A,MATCH(C691&amp;"-"&amp;E691&amp;"-"&amp;F691&amp;"-Pos3",'Shooter-Squad Assignment'!$K:$K,0)),""),IF(F691="Trap",IFERROR(INDEX('Shooter-Squad Assignment'!$A:$A,MATCH(C691&amp;"-"&amp;E691&amp;"-"&amp;F691&amp;"-Pos3",'Shooter-Squad Assignment'!$W:$W,0)),""),IF(F691="Sporting Clays",IFERROR(INDEX('Shooter-Squad Assignment'!$A:$A,MATCH(C691&amp;"-"&amp;E691&amp;"-"&amp;F691&amp;"-Pos3",'Shooter-Squad Assignment'!$Z:$Z,0)),""),"")))</f>
        <v/>
      </c>
      <c r="L691" s="73" t="str">
        <f>IF(ISBLANK(K691),"",IFERROR(INDEX('Tournament List'!$D:$D,MATCH(K691,'Tournament List'!$A:$A,0)),""))</f>
        <v/>
      </c>
      <c r="M691" s="94" t="str">
        <f>IF(F691="Skeet",IFERROR(INDEX('Shooter-Squad Assignment'!$A:$A,MATCH(C691&amp;"-"&amp;E691&amp;"-"&amp;F691&amp;"-Pos4",'Shooter-Squad Assignment'!$K:$K,0)),""),IF(F691="Trap",IFERROR(INDEX('Shooter-Squad Assignment'!$A:$A,MATCH(C691&amp;"-"&amp;E691&amp;"-"&amp;F691&amp;"-Pos4",'Shooter-Squad Assignment'!$W:$W,0)),""),IF(F691="Sporting Clays",IFERROR(INDEX('Shooter-Squad Assignment'!$A:$A,MATCH(C691&amp;"-"&amp;E691&amp;"-"&amp;F691&amp;"-Pos4",'Shooter-Squad Assignment'!$Z:$Z,0)),""),"")))</f>
        <v/>
      </c>
      <c r="N691" s="73" t="str">
        <f>IF(ISBLANK(M691),"",IFERROR(INDEX('Tournament List'!$D:$D,MATCH(M691,'Tournament List'!$A:$A,0)),""))</f>
        <v/>
      </c>
      <c r="O691" s="94" t="str">
        <f>IF(F691="Skeet",IFERROR(INDEX('Shooter-Squad Assignment'!$A:$A,MATCH(C691&amp;"-"&amp;E691&amp;"-"&amp;F691&amp;"-Pos5",'Shooter-Squad Assignment'!$K:$K,0)),""),IF(F691="Trap",IFERROR(INDEX('Shooter-Squad Assignment'!$A:$A,MATCH(C691&amp;"-"&amp;E691&amp;"-"&amp;F691&amp;"-Pos5",'Shooter-Squad Assignment'!$W:$W,0)),""),IF(F691="Sporting Clays",IFERROR(INDEX('Shooter-Squad Assignment'!$A:$A,MATCH(C691&amp;"-"&amp;E691&amp;"-"&amp;F691&amp;"-Pos5",'Shooter-Squad Assignment'!$Z:$Z,0)),""),"")))</f>
        <v/>
      </c>
      <c r="P691" s="79" t="str">
        <f>IF(ISBLANK(O691),"",IFERROR(INDEX('Tournament List'!$D:$D,MATCH(O691,'Tournament List'!$A:$A,0)),""))</f>
        <v/>
      </c>
    </row>
    <row r="692" spans="1:16" x14ac:dyDescent="0.3">
      <c r="A692" s="78">
        <v>691</v>
      </c>
      <c r="B692" s="73" t="str">
        <f>C692&amp;"-"&amp;E692&amp;"-"&amp;F692</f>
        <v>-Junior Varsity 1-Skeet</v>
      </c>
      <c r="C692" s="73"/>
      <c r="D692" s="73" t="str">
        <f>INDEX('Tournament Setup'!$B$59:$B$78,MATCH(E692,SquadConcurrents,0))</f>
        <v>Junior Varsity</v>
      </c>
      <c r="E692" s="73" t="s">
        <v>339</v>
      </c>
      <c r="F692" s="73" t="s">
        <v>143</v>
      </c>
      <c r="G692" s="94" t="str">
        <f>IF(F692="Skeet",IFERROR(INDEX('Shooter-Squad Assignment'!$A:$A,MATCH(C692&amp;"-"&amp;E692&amp;"-"&amp;F692&amp;"-Pos1",'Shooter-Squad Assignment'!$K:$K,0)),""),IF(F692="Trap",IFERROR(INDEX('Shooter-Squad Assignment'!$A:$A,MATCH(C692&amp;"-"&amp;E692&amp;"-"&amp;F692&amp;"-Pos1",'Shooter-Squad Assignment'!$W:$W,0)),""),IF(F692="Sporting Clays",IFERROR(INDEX('Shooter-Squad Assignment'!$A:$A,MATCH(C692&amp;"-"&amp;E692&amp;"-"&amp;F692&amp;"-Pos1",'Shooter-Squad Assignment'!$Z:$Z,0)),""),"")))</f>
        <v/>
      </c>
      <c r="H692" s="73" t="str">
        <f>IF(ISBLANK(G692),"",IFERROR(INDEX('Tournament List'!$D:$D,MATCH(G692,'Tournament List'!$A:$A,0)),""))</f>
        <v/>
      </c>
      <c r="I692" s="94" t="str">
        <f>IF(F692="Skeet",IFERROR(INDEX('Shooter-Squad Assignment'!$A:$A,MATCH(C692&amp;"-"&amp;E692&amp;"-"&amp;F692&amp;"-Pos2",'Shooter-Squad Assignment'!$K:$K,0)),""),IF(F692="Trap",IFERROR(INDEX('Shooter-Squad Assignment'!$A:$A,MATCH(C692&amp;"-"&amp;E692&amp;"-"&amp;F692&amp;"-Pos2",'Shooter-Squad Assignment'!$W:$W,0)),""),IF(F692="Sporting Clays",IFERROR(INDEX('Shooter-Squad Assignment'!$A:$A,MATCH(C692&amp;"-"&amp;E692&amp;"-"&amp;F692&amp;"-Pos2",'Shooter-Squad Assignment'!$Z:$Z,0)),""),"")))</f>
        <v/>
      </c>
      <c r="J692" s="73" t="str">
        <f>IF(ISBLANK(I692),"",IFERROR(INDEX('Tournament List'!$D:$D,MATCH(I692,'Tournament List'!$A:$A,0)),""))</f>
        <v/>
      </c>
      <c r="K692" s="94" t="str">
        <f>IF(F692="Skeet",IFERROR(INDEX('Shooter-Squad Assignment'!$A:$A,MATCH(C692&amp;"-"&amp;E692&amp;"-"&amp;F692&amp;"-Pos3",'Shooter-Squad Assignment'!$K:$K,0)),""),IF(F692="Trap",IFERROR(INDEX('Shooter-Squad Assignment'!$A:$A,MATCH(C692&amp;"-"&amp;E692&amp;"-"&amp;F692&amp;"-Pos3",'Shooter-Squad Assignment'!$W:$W,0)),""),IF(F692="Sporting Clays",IFERROR(INDEX('Shooter-Squad Assignment'!$A:$A,MATCH(C692&amp;"-"&amp;E692&amp;"-"&amp;F692&amp;"-Pos3",'Shooter-Squad Assignment'!$Z:$Z,0)),""),"")))</f>
        <v/>
      </c>
      <c r="L692" s="73" t="str">
        <f>IF(ISBLANK(K692),"",IFERROR(INDEX('Tournament List'!$D:$D,MATCH(K692,'Tournament List'!$A:$A,0)),""))</f>
        <v/>
      </c>
      <c r="M692" s="94" t="str">
        <f>IF(F692="Skeet",IFERROR(INDEX('Shooter-Squad Assignment'!$A:$A,MATCH(C692&amp;"-"&amp;E692&amp;"-"&amp;F692&amp;"-Pos4",'Shooter-Squad Assignment'!$K:$K,0)),""),IF(F692="Trap",IFERROR(INDEX('Shooter-Squad Assignment'!$A:$A,MATCH(C692&amp;"-"&amp;E692&amp;"-"&amp;F692&amp;"-Pos4",'Shooter-Squad Assignment'!$W:$W,0)),""),IF(F692="Sporting Clays",IFERROR(INDEX('Shooter-Squad Assignment'!$A:$A,MATCH(C692&amp;"-"&amp;E692&amp;"-"&amp;F692&amp;"-Pos4",'Shooter-Squad Assignment'!$Z:$Z,0)),""),"")))</f>
        <v/>
      </c>
      <c r="N692" s="73" t="str">
        <f>IF(ISBLANK(M692),"",IFERROR(INDEX('Tournament List'!$D:$D,MATCH(M692,'Tournament List'!$A:$A,0)),""))</f>
        <v/>
      </c>
      <c r="O692" s="94" t="str">
        <f>IF(F692="Skeet",IFERROR(INDEX('Shooter-Squad Assignment'!$A:$A,MATCH(C692&amp;"-"&amp;E692&amp;"-"&amp;F692&amp;"-Pos5",'Shooter-Squad Assignment'!$K:$K,0)),""),IF(F692="Trap",IFERROR(INDEX('Shooter-Squad Assignment'!$A:$A,MATCH(C692&amp;"-"&amp;E692&amp;"-"&amp;F692&amp;"-Pos5",'Shooter-Squad Assignment'!$W:$W,0)),""),IF(F692="Sporting Clays",IFERROR(INDEX('Shooter-Squad Assignment'!$A:$A,MATCH(C692&amp;"-"&amp;E692&amp;"-"&amp;F692&amp;"-Pos5",'Shooter-Squad Assignment'!$Z:$Z,0)),""),"")))</f>
        <v/>
      </c>
      <c r="P692" s="79" t="str">
        <f>IF(ISBLANK(O692),"",IFERROR(INDEX('Tournament List'!$D:$D,MATCH(O692,'Tournament List'!$A:$A,0)),""))</f>
        <v/>
      </c>
    </row>
    <row r="693" spans="1:16" x14ac:dyDescent="0.3">
      <c r="A693" s="78">
        <v>692</v>
      </c>
      <c r="B693" s="73" t="str">
        <f>C693&amp;"-"&amp;E693&amp;"-"&amp;F693</f>
        <v>-Junior Varsity 2-Skeet</v>
      </c>
      <c r="C693" s="73"/>
      <c r="D693" s="73" t="str">
        <f>INDEX('Tournament Setup'!$B$59:$B$78,MATCH(E693,SquadConcurrents,0))</f>
        <v>Junior Varsity</v>
      </c>
      <c r="E693" s="73" t="s">
        <v>345</v>
      </c>
      <c r="F693" s="73" t="s">
        <v>143</v>
      </c>
      <c r="G693" s="94" t="str">
        <f>IF(F693="Skeet",IFERROR(INDEX('Shooter-Squad Assignment'!$A:$A,MATCH(C693&amp;"-"&amp;E693&amp;"-"&amp;F693&amp;"-Pos1",'Shooter-Squad Assignment'!$K:$K,0)),""),IF(F693="Trap",IFERROR(INDEX('Shooter-Squad Assignment'!$A:$A,MATCH(C693&amp;"-"&amp;E693&amp;"-"&amp;F693&amp;"-Pos1",'Shooter-Squad Assignment'!$W:$W,0)),""),IF(F693="Sporting Clays",IFERROR(INDEX('Shooter-Squad Assignment'!$A:$A,MATCH(C693&amp;"-"&amp;E693&amp;"-"&amp;F693&amp;"-Pos1",'Shooter-Squad Assignment'!$Z:$Z,0)),""),"")))</f>
        <v/>
      </c>
      <c r="H693" s="73" t="str">
        <f>IF(ISBLANK(G693),"",IFERROR(INDEX('Tournament List'!$D:$D,MATCH(G693,'Tournament List'!$A:$A,0)),""))</f>
        <v/>
      </c>
      <c r="I693" s="94" t="str">
        <f>IF(F693="Skeet",IFERROR(INDEX('Shooter-Squad Assignment'!$A:$A,MATCH(C693&amp;"-"&amp;E693&amp;"-"&amp;F693&amp;"-Pos2",'Shooter-Squad Assignment'!$K:$K,0)),""),IF(F693="Trap",IFERROR(INDEX('Shooter-Squad Assignment'!$A:$A,MATCH(C693&amp;"-"&amp;E693&amp;"-"&amp;F693&amp;"-Pos2",'Shooter-Squad Assignment'!$W:$W,0)),""),IF(F693="Sporting Clays",IFERROR(INDEX('Shooter-Squad Assignment'!$A:$A,MATCH(C693&amp;"-"&amp;E693&amp;"-"&amp;F693&amp;"-Pos2",'Shooter-Squad Assignment'!$Z:$Z,0)),""),"")))</f>
        <v/>
      </c>
      <c r="J693" s="73" t="str">
        <f>IF(ISBLANK(I693),"",IFERROR(INDEX('Tournament List'!$D:$D,MATCH(I693,'Tournament List'!$A:$A,0)),""))</f>
        <v/>
      </c>
      <c r="K693" s="94" t="str">
        <f>IF(F693="Skeet",IFERROR(INDEX('Shooter-Squad Assignment'!$A:$A,MATCH(C693&amp;"-"&amp;E693&amp;"-"&amp;F693&amp;"-Pos3",'Shooter-Squad Assignment'!$K:$K,0)),""),IF(F693="Trap",IFERROR(INDEX('Shooter-Squad Assignment'!$A:$A,MATCH(C693&amp;"-"&amp;E693&amp;"-"&amp;F693&amp;"-Pos3",'Shooter-Squad Assignment'!$W:$W,0)),""),IF(F693="Sporting Clays",IFERROR(INDEX('Shooter-Squad Assignment'!$A:$A,MATCH(C693&amp;"-"&amp;E693&amp;"-"&amp;F693&amp;"-Pos3",'Shooter-Squad Assignment'!$Z:$Z,0)),""),"")))</f>
        <v/>
      </c>
      <c r="L693" s="73" t="str">
        <f>IF(ISBLANK(K693),"",IFERROR(INDEX('Tournament List'!$D:$D,MATCH(K693,'Tournament List'!$A:$A,0)),""))</f>
        <v/>
      </c>
      <c r="M693" s="94" t="str">
        <f>IF(F693="Skeet",IFERROR(INDEX('Shooter-Squad Assignment'!$A:$A,MATCH(C693&amp;"-"&amp;E693&amp;"-"&amp;F693&amp;"-Pos4",'Shooter-Squad Assignment'!$K:$K,0)),""),IF(F693="Trap",IFERROR(INDEX('Shooter-Squad Assignment'!$A:$A,MATCH(C693&amp;"-"&amp;E693&amp;"-"&amp;F693&amp;"-Pos4",'Shooter-Squad Assignment'!$W:$W,0)),""),IF(F693="Sporting Clays",IFERROR(INDEX('Shooter-Squad Assignment'!$A:$A,MATCH(C693&amp;"-"&amp;E693&amp;"-"&amp;F693&amp;"-Pos4",'Shooter-Squad Assignment'!$Z:$Z,0)),""),"")))</f>
        <v/>
      </c>
      <c r="N693" s="73" t="str">
        <f>IF(ISBLANK(M693),"",IFERROR(INDEX('Tournament List'!$D:$D,MATCH(M693,'Tournament List'!$A:$A,0)),""))</f>
        <v/>
      </c>
      <c r="O693" s="94" t="str">
        <f>IF(F693="Skeet",IFERROR(INDEX('Shooter-Squad Assignment'!$A:$A,MATCH(C693&amp;"-"&amp;E693&amp;"-"&amp;F693&amp;"-Pos5",'Shooter-Squad Assignment'!$K:$K,0)),""),IF(F693="Trap",IFERROR(INDEX('Shooter-Squad Assignment'!$A:$A,MATCH(C693&amp;"-"&amp;E693&amp;"-"&amp;F693&amp;"-Pos5",'Shooter-Squad Assignment'!$W:$W,0)),""),IF(F693="Sporting Clays",IFERROR(INDEX('Shooter-Squad Assignment'!$A:$A,MATCH(C693&amp;"-"&amp;E693&amp;"-"&amp;F693&amp;"-Pos5",'Shooter-Squad Assignment'!$Z:$Z,0)),""),"")))</f>
        <v/>
      </c>
      <c r="P693" s="79" t="str">
        <f>IF(ISBLANK(O693),"",IFERROR(INDEX('Tournament List'!$D:$D,MATCH(O693,'Tournament List'!$A:$A,0)),""))</f>
        <v/>
      </c>
    </row>
    <row r="694" spans="1:16" x14ac:dyDescent="0.3">
      <c r="A694" s="78">
        <v>693</v>
      </c>
      <c r="B694" s="73" t="str">
        <f>C694&amp;"-"&amp;E694&amp;"-"&amp;F694</f>
        <v>-Junior Varsity 3-Skeet</v>
      </c>
      <c r="C694" s="73"/>
      <c r="D694" s="73" t="str">
        <f>INDEX('Tournament Setup'!$B$59:$B$78,MATCH(E694,SquadConcurrents,0))</f>
        <v>Junior Varsity</v>
      </c>
      <c r="E694" s="73" t="s">
        <v>351</v>
      </c>
      <c r="F694" s="73" t="s">
        <v>143</v>
      </c>
      <c r="G694" s="94" t="str">
        <f>IF(F694="Skeet",IFERROR(INDEX('Shooter-Squad Assignment'!$A:$A,MATCH(C694&amp;"-"&amp;E694&amp;"-"&amp;F694&amp;"-Pos1",'Shooter-Squad Assignment'!$K:$K,0)),""),IF(F694="Trap",IFERROR(INDEX('Shooter-Squad Assignment'!$A:$A,MATCH(C694&amp;"-"&amp;E694&amp;"-"&amp;F694&amp;"-Pos1",'Shooter-Squad Assignment'!$W:$W,0)),""),IF(F694="Sporting Clays",IFERROR(INDEX('Shooter-Squad Assignment'!$A:$A,MATCH(C694&amp;"-"&amp;E694&amp;"-"&amp;F694&amp;"-Pos1",'Shooter-Squad Assignment'!$Z:$Z,0)),""),"")))</f>
        <v/>
      </c>
      <c r="H694" s="73" t="str">
        <f>IF(ISBLANK(G694),"",IFERROR(INDEX('Tournament List'!$D:$D,MATCH(G694,'Tournament List'!$A:$A,0)),""))</f>
        <v/>
      </c>
      <c r="I694" s="94" t="str">
        <f>IF(F694="Skeet",IFERROR(INDEX('Shooter-Squad Assignment'!$A:$A,MATCH(C694&amp;"-"&amp;E694&amp;"-"&amp;F694&amp;"-Pos2",'Shooter-Squad Assignment'!$K:$K,0)),""),IF(F694="Trap",IFERROR(INDEX('Shooter-Squad Assignment'!$A:$A,MATCH(C694&amp;"-"&amp;E694&amp;"-"&amp;F694&amp;"-Pos2",'Shooter-Squad Assignment'!$W:$W,0)),""),IF(F694="Sporting Clays",IFERROR(INDEX('Shooter-Squad Assignment'!$A:$A,MATCH(C694&amp;"-"&amp;E694&amp;"-"&amp;F694&amp;"-Pos2",'Shooter-Squad Assignment'!$Z:$Z,0)),""),"")))</f>
        <v/>
      </c>
      <c r="J694" s="73" t="str">
        <f>IF(ISBLANK(I694),"",IFERROR(INDEX('Tournament List'!$D:$D,MATCH(I694,'Tournament List'!$A:$A,0)),""))</f>
        <v/>
      </c>
      <c r="K694" s="94" t="str">
        <f>IF(F694="Skeet",IFERROR(INDEX('Shooter-Squad Assignment'!$A:$A,MATCH(C694&amp;"-"&amp;E694&amp;"-"&amp;F694&amp;"-Pos3",'Shooter-Squad Assignment'!$K:$K,0)),""),IF(F694="Trap",IFERROR(INDEX('Shooter-Squad Assignment'!$A:$A,MATCH(C694&amp;"-"&amp;E694&amp;"-"&amp;F694&amp;"-Pos3",'Shooter-Squad Assignment'!$W:$W,0)),""),IF(F694="Sporting Clays",IFERROR(INDEX('Shooter-Squad Assignment'!$A:$A,MATCH(C694&amp;"-"&amp;E694&amp;"-"&amp;F694&amp;"-Pos3",'Shooter-Squad Assignment'!$Z:$Z,0)),""),"")))</f>
        <v/>
      </c>
      <c r="L694" s="73" t="str">
        <f>IF(ISBLANK(K694),"",IFERROR(INDEX('Tournament List'!$D:$D,MATCH(K694,'Tournament List'!$A:$A,0)),""))</f>
        <v/>
      </c>
      <c r="M694" s="94" t="str">
        <f>IF(F694="Skeet",IFERROR(INDEX('Shooter-Squad Assignment'!$A:$A,MATCH(C694&amp;"-"&amp;E694&amp;"-"&amp;F694&amp;"-Pos4",'Shooter-Squad Assignment'!$K:$K,0)),""),IF(F694="Trap",IFERROR(INDEX('Shooter-Squad Assignment'!$A:$A,MATCH(C694&amp;"-"&amp;E694&amp;"-"&amp;F694&amp;"-Pos4",'Shooter-Squad Assignment'!$W:$W,0)),""),IF(F694="Sporting Clays",IFERROR(INDEX('Shooter-Squad Assignment'!$A:$A,MATCH(C694&amp;"-"&amp;E694&amp;"-"&amp;F694&amp;"-Pos4",'Shooter-Squad Assignment'!$Z:$Z,0)),""),"")))</f>
        <v/>
      </c>
      <c r="N694" s="73" t="str">
        <f>IF(ISBLANK(M694),"",IFERROR(INDEX('Tournament List'!$D:$D,MATCH(M694,'Tournament List'!$A:$A,0)),""))</f>
        <v/>
      </c>
      <c r="O694" s="94" t="str">
        <f>IF(F694="Skeet",IFERROR(INDEX('Shooter-Squad Assignment'!$A:$A,MATCH(C694&amp;"-"&amp;E694&amp;"-"&amp;F694&amp;"-Pos5",'Shooter-Squad Assignment'!$K:$K,0)),""),IF(F694="Trap",IFERROR(INDEX('Shooter-Squad Assignment'!$A:$A,MATCH(C694&amp;"-"&amp;E694&amp;"-"&amp;F694&amp;"-Pos5",'Shooter-Squad Assignment'!$W:$W,0)),""),IF(F694="Sporting Clays",IFERROR(INDEX('Shooter-Squad Assignment'!$A:$A,MATCH(C694&amp;"-"&amp;E694&amp;"-"&amp;F694&amp;"-Pos5",'Shooter-Squad Assignment'!$Z:$Z,0)),""),"")))</f>
        <v/>
      </c>
      <c r="P694" s="79" t="str">
        <f>IF(ISBLANK(O694),"",IFERROR(INDEX('Tournament List'!$D:$D,MATCH(O694,'Tournament List'!$A:$A,0)),""))</f>
        <v/>
      </c>
    </row>
    <row r="695" spans="1:16" x14ac:dyDescent="0.3">
      <c r="A695" s="78">
        <v>694</v>
      </c>
      <c r="B695" s="73" t="str">
        <f>C695&amp;"-"&amp;E695&amp;"-"&amp;F695</f>
        <v>-Novice 1-Skeet</v>
      </c>
      <c r="C695" s="73"/>
      <c r="D695" s="73" t="str">
        <f>INDEX('Tournament Setup'!$B$59:$B$78,MATCH(E695,SquadConcurrents,0))</f>
        <v>Novice</v>
      </c>
      <c r="E695" s="73" t="s">
        <v>337</v>
      </c>
      <c r="F695" s="73" t="s">
        <v>143</v>
      </c>
      <c r="G695" s="94" t="str">
        <f>IF(F695="Skeet",IFERROR(INDEX('Shooter-Squad Assignment'!$A:$A,MATCH(C695&amp;"-"&amp;E695&amp;"-"&amp;F695&amp;"-Pos1",'Shooter-Squad Assignment'!$K:$K,0)),""),IF(F695="Trap",IFERROR(INDEX('Shooter-Squad Assignment'!$A:$A,MATCH(C695&amp;"-"&amp;E695&amp;"-"&amp;F695&amp;"-Pos1",'Shooter-Squad Assignment'!$W:$W,0)),""),IF(F695="Sporting Clays",IFERROR(INDEX('Shooter-Squad Assignment'!$A:$A,MATCH(C695&amp;"-"&amp;E695&amp;"-"&amp;F695&amp;"-Pos1",'Shooter-Squad Assignment'!$Z:$Z,0)),""),"")))</f>
        <v/>
      </c>
      <c r="H695" s="73" t="str">
        <f>IF(ISBLANK(G695),"",IFERROR(INDEX('Tournament List'!$D:$D,MATCH(G695,'Tournament List'!$A:$A,0)),""))</f>
        <v/>
      </c>
      <c r="I695" s="94" t="str">
        <f>IF(F695="Skeet",IFERROR(INDEX('Shooter-Squad Assignment'!$A:$A,MATCH(C695&amp;"-"&amp;E695&amp;"-"&amp;F695&amp;"-Pos2",'Shooter-Squad Assignment'!$K:$K,0)),""),IF(F695="Trap",IFERROR(INDEX('Shooter-Squad Assignment'!$A:$A,MATCH(C695&amp;"-"&amp;E695&amp;"-"&amp;F695&amp;"-Pos2",'Shooter-Squad Assignment'!$W:$W,0)),""),IF(F695="Sporting Clays",IFERROR(INDEX('Shooter-Squad Assignment'!$A:$A,MATCH(C695&amp;"-"&amp;E695&amp;"-"&amp;F695&amp;"-Pos2",'Shooter-Squad Assignment'!$Z:$Z,0)),""),"")))</f>
        <v/>
      </c>
      <c r="J695" s="73" t="str">
        <f>IF(ISBLANK(I695),"",IFERROR(INDEX('Tournament List'!$D:$D,MATCH(I695,'Tournament List'!$A:$A,0)),""))</f>
        <v/>
      </c>
      <c r="K695" s="94" t="str">
        <f>IF(F695="Skeet",IFERROR(INDEX('Shooter-Squad Assignment'!$A:$A,MATCH(C695&amp;"-"&amp;E695&amp;"-"&amp;F695&amp;"-Pos3",'Shooter-Squad Assignment'!$K:$K,0)),""),IF(F695="Trap",IFERROR(INDEX('Shooter-Squad Assignment'!$A:$A,MATCH(C695&amp;"-"&amp;E695&amp;"-"&amp;F695&amp;"-Pos3",'Shooter-Squad Assignment'!$W:$W,0)),""),IF(F695="Sporting Clays",IFERROR(INDEX('Shooter-Squad Assignment'!$A:$A,MATCH(C695&amp;"-"&amp;E695&amp;"-"&amp;F695&amp;"-Pos3",'Shooter-Squad Assignment'!$Z:$Z,0)),""),"")))</f>
        <v/>
      </c>
      <c r="L695" s="73" t="str">
        <f>IF(ISBLANK(K695),"",IFERROR(INDEX('Tournament List'!$D:$D,MATCH(K695,'Tournament List'!$A:$A,0)),""))</f>
        <v/>
      </c>
      <c r="M695" s="94" t="str">
        <f>IF(F695="Skeet",IFERROR(INDEX('Shooter-Squad Assignment'!$A:$A,MATCH(C695&amp;"-"&amp;E695&amp;"-"&amp;F695&amp;"-Pos4",'Shooter-Squad Assignment'!$K:$K,0)),""),IF(F695="Trap",IFERROR(INDEX('Shooter-Squad Assignment'!$A:$A,MATCH(C695&amp;"-"&amp;E695&amp;"-"&amp;F695&amp;"-Pos4",'Shooter-Squad Assignment'!$W:$W,0)),""),IF(F695="Sporting Clays",IFERROR(INDEX('Shooter-Squad Assignment'!$A:$A,MATCH(C695&amp;"-"&amp;E695&amp;"-"&amp;F695&amp;"-Pos4",'Shooter-Squad Assignment'!$Z:$Z,0)),""),"")))</f>
        <v/>
      </c>
      <c r="N695" s="73" t="str">
        <f>IF(ISBLANK(M695),"",IFERROR(INDEX('Tournament List'!$D:$D,MATCH(M695,'Tournament List'!$A:$A,0)),""))</f>
        <v/>
      </c>
      <c r="O695" s="94" t="str">
        <f>IF(F695="Skeet",IFERROR(INDEX('Shooter-Squad Assignment'!$A:$A,MATCH(C695&amp;"-"&amp;E695&amp;"-"&amp;F695&amp;"-Pos5",'Shooter-Squad Assignment'!$K:$K,0)),""),IF(F695="Trap",IFERROR(INDEX('Shooter-Squad Assignment'!$A:$A,MATCH(C695&amp;"-"&amp;E695&amp;"-"&amp;F695&amp;"-Pos5",'Shooter-Squad Assignment'!$W:$W,0)),""),IF(F695="Sporting Clays",IFERROR(INDEX('Shooter-Squad Assignment'!$A:$A,MATCH(C695&amp;"-"&amp;E695&amp;"-"&amp;F695&amp;"-Pos5",'Shooter-Squad Assignment'!$Z:$Z,0)),""),"")))</f>
        <v/>
      </c>
      <c r="P695" s="79" t="str">
        <f>IF(ISBLANK(O695),"",IFERROR(INDEX('Tournament List'!$D:$D,MATCH(O695,'Tournament List'!$A:$A,0)),""))</f>
        <v/>
      </c>
    </row>
    <row r="696" spans="1:16" x14ac:dyDescent="0.3">
      <c r="A696" s="78">
        <v>695</v>
      </c>
      <c r="B696" s="73" t="str">
        <f>C696&amp;"-"&amp;E696&amp;"-"&amp;F696</f>
        <v>-Novice 2-Skeet</v>
      </c>
      <c r="C696" s="73"/>
      <c r="D696" s="73" t="str">
        <f>INDEX('Tournament Setup'!$B$59:$B$78,MATCH(E696,SquadConcurrents,0))</f>
        <v>Novice</v>
      </c>
      <c r="E696" s="73" t="s">
        <v>343</v>
      </c>
      <c r="F696" s="73" t="s">
        <v>143</v>
      </c>
      <c r="G696" s="94" t="str">
        <f>IF(F696="Skeet",IFERROR(INDEX('Shooter-Squad Assignment'!$A:$A,MATCH(C696&amp;"-"&amp;E696&amp;"-"&amp;F696&amp;"-Pos1",'Shooter-Squad Assignment'!$K:$K,0)),""),IF(F696="Trap",IFERROR(INDEX('Shooter-Squad Assignment'!$A:$A,MATCH(C696&amp;"-"&amp;E696&amp;"-"&amp;F696&amp;"-Pos1",'Shooter-Squad Assignment'!$W:$W,0)),""),IF(F696="Sporting Clays",IFERROR(INDEX('Shooter-Squad Assignment'!$A:$A,MATCH(C696&amp;"-"&amp;E696&amp;"-"&amp;F696&amp;"-Pos1",'Shooter-Squad Assignment'!$Z:$Z,0)),""),"")))</f>
        <v/>
      </c>
      <c r="H696" s="73" t="str">
        <f>IF(ISBLANK(G696),"",IFERROR(INDEX('Tournament List'!$D:$D,MATCH(G696,'Tournament List'!$A:$A,0)),""))</f>
        <v/>
      </c>
      <c r="I696" s="94" t="str">
        <f>IF(F696="Skeet",IFERROR(INDEX('Shooter-Squad Assignment'!$A:$A,MATCH(C696&amp;"-"&amp;E696&amp;"-"&amp;F696&amp;"-Pos2",'Shooter-Squad Assignment'!$K:$K,0)),""),IF(F696="Trap",IFERROR(INDEX('Shooter-Squad Assignment'!$A:$A,MATCH(C696&amp;"-"&amp;E696&amp;"-"&amp;F696&amp;"-Pos2",'Shooter-Squad Assignment'!$W:$W,0)),""),IF(F696="Sporting Clays",IFERROR(INDEX('Shooter-Squad Assignment'!$A:$A,MATCH(C696&amp;"-"&amp;E696&amp;"-"&amp;F696&amp;"-Pos2",'Shooter-Squad Assignment'!$Z:$Z,0)),""),"")))</f>
        <v/>
      </c>
      <c r="J696" s="73" t="str">
        <f>IF(ISBLANK(I696),"",IFERROR(INDEX('Tournament List'!$D:$D,MATCH(I696,'Tournament List'!$A:$A,0)),""))</f>
        <v/>
      </c>
      <c r="K696" s="94" t="str">
        <f>IF(F696="Skeet",IFERROR(INDEX('Shooter-Squad Assignment'!$A:$A,MATCH(C696&amp;"-"&amp;E696&amp;"-"&amp;F696&amp;"-Pos3",'Shooter-Squad Assignment'!$K:$K,0)),""),IF(F696="Trap",IFERROR(INDEX('Shooter-Squad Assignment'!$A:$A,MATCH(C696&amp;"-"&amp;E696&amp;"-"&amp;F696&amp;"-Pos3",'Shooter-Squad Assignment'!$W:$W,0)),""),IF(F696="Sporting Clays",IFERROR(INDEX('Shooter-Squad Assignment'!$A:$A,MATCH(C696&amp;"-"&amp;E696&amp;"-"&amp;F696&amp;"-Pos3",'Shooter-Squad Assignment'!$Z:$Z,0)),""),"")))</f>
        <v/>
      </c>
      <c r="L696" s="73" t="str">
        <f>IF(ISBLANK(K696),"",IFERROR(INDEX('Tournament List'!$D:$D,MATCH(K696,'Tournament List'!$A:$A,0)),""))</f>
        <v/>
      </c>
      <c r="M696" s="94" t="str">
        <f>IF(F696="Skeet",IFERROR(INDEX('Shooter-Squad Assignment'!$A:$A,MATCH(C696&amp;"-"&amp;E696&amp;"-"&amp;F696&amp;"-Pos4",'Shooter-Squad Assignment'!$K:$K,0)),""),IF(F696="Trap",IFERROR(INDEX('Shooter-Squad Assignment'!$A:$A,MATCH(C696&amp;"-"&amp;E696&amp;"-"&amp;F696&amp;"-Pos4",'Shooter-Squad Assignment'!$W:$W,0)),""),IF(F696="Sporting Clays",IFERROR(INDEX('Shooter-Squad Assignment'!$A:$A,MATCH(C696&amp;"-"&amp;E696&amp;"-"&amp;F696&amp;"-Pos4",'Shooter-Squad Assignment'!$Z:$Z,0)),""),"")))</f>
        <v/>
      </c>
      <c r="N696" s="73" t="str">
        <f>IF(ISBLANK(M696),"",IFERROR(INDEX('Tournament List'!$D:$D,MATCH(M696,'Tournament List'!$A:$A,0)),""))</f>
        <v/>
      </c>
      <c r="O696" s="94" t="str">
        <f>IF(F696="Skeet",IFERROR(INDEX('Shooter-Squad Assignment'!$A:$A,MATCH(C696&amp;"-"&amp;E696&amp;"-"&amp;F696&amp;"-Pos5",'Shooter-Squad Assignment'!$K:$K,0)),""),IF(F696="Trap",IFERROR(INDEX('Shooter-Squad Assignment'!$A:$A,MATCH(C696&amp;"-"&amp;E696&amp;"-"&amp;F696&amp;"-Pos5",'Shooter-Squad Assignment'!$W:$W,0)),""),IF(F696="Sporting Clays",IFERROR(INDEX('Shooter-Squad Assignment'!$A:$A,MATCH(C696&amp;"-"&amp;E696&amp;"-"&amp;F696&amp;"-Pos5",'Shooter-Squad Assignment'!$Z:$Z,0)),""),"")))</f>
        <v/>
      </c>
      <c r="P696" s="79" t="str">
        <f>IF(ISBLANK(O696),"",IFERROR(INDEX('Tournament List'!$D:$D,MATCH(O696,'Tournament List'!$A:$A,0)),""))</f>
        <v/>
      </c>
    </row>
    <row r="697" spans="1:16" x14ac:dyDescent="0.3">
      <c r="A697" s="78">
        <v>696</v>
      </c>
      <c r="B697" s="73" t="str">
        <f>C697&amp;"-"&amp;E697&amp;"-"&amp;F697</f>
        <v>-Novice 3-Skeet</v>
      </c>
      <c r="C697" s="73"/>
      <c r="D697" s="73" t="str">
        <f>INDEX('Tournament Setup'!$B$59:$B$78,MATCH(E697,SquadConcurrents,0))</f>
        <v>Novice</v>
      </c>
      <c r="E697" s="73" t="s">
        <v>349</v>
      </c>
      <c r="F697" s="73" t="s">
        <v>143</v>
      </c>
      <c r="G697" s="94" t="str">
        <f>IF(F697="Skeet",IFERROR(INDEX('Shooter-Squad Assignment'!$A:$A,MATCH(C697&amp;"-"&amp;E697&amp;"-"&amp;F697&amp;"-Pos1",'Shooter-Squad Assignment'!$K:$K,0)),""),IF(F697="Trap",IFERROR(INDEX('Shooter-Squad Assignment'!$A:$A,MATCH(C697&amp;"-"&amp;E697&amp;"-"&amp;F697&amp;"-Pos1",'Shooter-Squad Assignment'!$W:$W,0)),""),IF(F697="Sporting Clays",IFERROR(INDEX('Shooter-Squad Assignment'!$A:$A,MATCH(C697&amp;"-"&amp;E697&amp;"-"&amp;F697&amp;"-Pos1",'Shooter-Squad Assignment'!$Z:$Z,0)),""),"")))</f>
        <v/>
      </c>
      <c r="H697" s="73" t="str">
        <f>IF(ISBLANK(G697),"",IFERROR(INDEX('Tournament List'!$D:$D,MATCH(G697,'Tournament List'!$A:$A,0)),""))</f>
        <v/>
      </c>
      <c r="I697" s="94" t="str">
        <f>IF(F697="Skeet",IFERROR(INDEX('Shooter-Squad Assignment'!$A:$A,MATCH(C697&amp;"-"&amp;E697&amp;"-"&amp;F697&amp;"-Pos2",'Shooter-Squad Assignment'!$K:$K,0)),""),IF(F697="Trap",IFERROR(INDEX('Shooter-Squad Assignment'!$A:$A,MATCH(C697&amp;"-"&amp;E697&amp;"-"&amp;F697&amp;"-Pos2",'Shooter-Squad Assignment'!$W:$W,0)),""),IF(F697="Sporting Clays",IFERROR(INDEX('Shooter-Squad Assignment'!$A:$A,MATCH(C697&amp;"-"&amp;E697&amp;"-"&amp;F697&amp;"-Pos2",'Shooter-Squad Assignment'!$Z:$Z,0)),""),"")))</f>
        <v/>
      </c>
      <c r="J697" s="73" t="str">
        <f>IF(ISBLANK(I697),"",IFERROR(INDEX('Tournament List'!$D:$D,MATCH(I697,'Tournament List'!$A:$A,0)),""))</f>
        <v/>
      </c>
      <c r="K697" s="94" t="str">
        <f>IF(F697="Skeet",IFERROR(INDEX('Shooter-Squad Assignment'!$A:$A,MATCH(C697&amp;"-"&amp;E697&amp;"-"&amp;F697&amp;"-Pos3",'Shooter-Squad Assignment'!$K:$K,0)),""),IF(F697="Trap",IFERROR(INDEX('Shooter-Squad Assignment'!$A:$A,MATCH(C697&amp;"-"&amp;E697&amp;"-"&amp;F697&amp;"-Pos3",'Shooter-Squad Assignment'!$W:$W,0)),""),IF(F697="Sporting Clays",IFERROR(INDEX('Shooter-Squad Assignment'!$A:$A,MATCH(C697&amp;"-"&amp;E697&amp;"-"&amp;F697&amp;"-Pos3",'Shooter-Squad Assignment'!$Z:$Z,0)),""),"")))</f>
        <v/>
      </c>
      <c r="L697" s="73" t="str">
        <f>IF(ISBLANK(K697),"",IFERROR(INDEX('Tournament List'!$D:$D,MATCH(K697,'Tournament List'!$A:$A,0)),""))</f>
        <v/>
      </c>
      <c r="M697" s="94" t="str">
        <f>IF(F697="Skeet",IFERROR(INDEX('Shooter-Squad Assignment'!$A:$A,MATCH(C697&amp;"-"&amp;E697&amp;"-"&amp;F697&amp;"-Pos4",'Shooter-Squad Assignment'!$K:$K,0)),""),IF(F697="Trap",IFERROR(INDEX('Shooter-Squad Assignment'!$A:$A,MATCH(C697&amp;"-"&amp;E697&amp;"-"&amp;F697&amp;"-Pos4",'Shooter-Squad Assignment'!$W:$W,0)),""),IF(F697="Sporting Clays",IFERROR(INDEX('Shooter-Squad Assignment'!$A:$A,MATCH(C697&amp;"-"&amp;E697&amp;"-"&amp;F697&amp;"-Pos4",'Shooter-Squad Assignment'!$Z:$Z,0)),""),"")))</f>
        <v/>
      </c>
      <c r="N697" s="73" t="str">
        <f>IF(ISBLANK(M697),"",IFERROR(INDEX('Tournament List'!$D:$D,MATCH(M697,'Tournament List'!$A:$A,0)),""))</f>
        <v/>
      </c>
      <c r="O697" s="94" t="str">
        <f>IF(F697="Skeet",IFERROR(INDEX('Shooter-Squad Assignment'!$A:$A,MATCH(C697&amp;"-"&amp;E697&amp;"-"&amp;F697&amp;"-Pos5",'Shooter-Squad Assignment'!$K:$K,0)),""),IF(F697="Trap",IFERROR(INDEX('Shooter-Squad Assignment'!$A:$A,MATCH(C697&amp;"-"&amp;E697&amp;"-"&amp;F697&amp;"-Pos5",'Shooter-Squad Assignment'!$W:$W,0)),""),IF(F697="Sporting Clays",IFERROR(INDEX('Shooter-Squad Assignment'!$A:$A,MATCH(C697&amp;"-"&amp;E697&amp;"-"&amp;F697&amp;"-Pos5",'Shooter-Squad Assignment'!$Z:$Z,0)),""),"")))</f>
        <v/>
      </c>
      <c r="P697" s="79" t="str">
        <f>IF(ISBLANK(O697),"",IFERROR(INDEX('Tournament List'!$D:$D,MATCH(O697,'Tournament List'!$A:$A,0)),""))</f>
        <v/>
      </c>
    </row>
    <row r="698" spans="1:16" x14ac:dyDescent="0.3">
      <c r="A698" s="78">
        <v>697</v>
      </c>
      <c r="B698" s="73" t="str">
        <f>C698&amp;"-"&amp;E698&amp;"-"&amp;F698</f>
        <v>-Open 1-Skeet</v>
      </c>
      <c r="C698" s="73"/>
      <c r="D698" s="73" t="str">
        <f>INDEX('Tournament Setup'!$B$59:$B$78,MATCH(E698,SquadConcurrents,0))</f>
        <v>Open</v>
      </c>
      <c r="E698" s="73" t="s">
        <v>341</v>
      </c>
      <c r="F698" s="73" t="s">
        <v>143</v>
      </c>
      <c r="G698" s="94" t="str">
        <f>IF(F698="Skeet",IFERROR(INDEX('Shooter-Squad Assignment'!$A:$A,MATCH(C698&amp;"-"&amp;E698&amp;"-"&amp;F698&amp;"-Pos1",'Shooter-Squad Assignment'!$K:$K,0)),""),IF(F698="Trap",IFERROR(INDEX('Shooter-Squad Assignment'!$A:$A,MATCH(C698&amp;"-"&amp;E698&amp;"-"&amp;F698&amp;"-Pos1",'Shooter-Squad Assignment'!$W:$W,0)),""),IF(F698="Sporting Clays",IFERROR(INDEX('Shooter-Squad Assignment'!$A:$A,MATCH(C698&amp;"-"&amp;E698&amp;"-"&amp;F698&amp;"-Pos1",'Shooter-Squad Assignment'!$Z:$Z,0)),""),"")))</f>
        <v/>
      </c>
      <c r="H698" s="73" t="str">
        <f>IF(ISBLANK(G698),"",IFERROR(INDEX('Tournament List'!$D:$D,MATCH(G698,'Tournament List'!$A:$A,0)),""))</f>
        <v/>
      </c>
      <c r="I698" s="94" t="str">
        <f>IF(F698="Skeet",IFERROR(INDEX('Shooter-Squad Assignment'!$A:$A,MATCH(C698&amp;"-"&amp;E698&amp;"-"&amp;F698&amp;"-Pos2",'Shooter-Squad Assignment'!$K:$K,0)),""),IF(F698="Trap",IFERROR(INDEX('Shooter-Squad Assignment'!$A:$A,MATCH(C698&amp;"-"&amp;E698&amp;"-"&amp;F698&amp;"-Pos2",'Shooter-Squad Assignment'!$W:$W,0)),""),IF(F698="Sporting Clays",IFERROR(INDEX('Shooter-Squad Assignment'!$A:$A,MATCH(C698&amp;"-"&amp;E698&amp;"-"&amp;F698&amp;"-Pos2",'Shooter-Squad Assignment'!$Z:$Z,0)),""),"")))</f>
        <v/>
      </c>
      <c r="J698" s="73" t="str">
        <f>IF(ISBLANK(I698),"",IFERROR(INDEX('Tournament List'!$D:$D,MATCH(I698,'Tournament List'!$A:$A,0)),""))</f>
        <v/>
      </c>
      <c r="K698" s="94" t="str">
        <f>IF(F698="Skeet",IFERROR(INDEX('Shooter-Squad Assignment'!$A:$A,MATCH(C698&amp;"-"&amp;E698&amp;"-"&amp;F698&amp;"-Pos3",'Shooter-Squad Assignment'!$K:$K,0)),""),IF(F698="Trap",IFERROR(INDEX('Shooter-Squad Assignment'!$A:$A,MATCH(C698&amp;"-"&amp;E698&amp;"-"&amp;F698&amp;"-Pos3",'Shooter-Squad Assignment'!$W:$W,0)),""),IF(F698="Sporting Clays",IFERROR(INDEX('Shooter-Squad Assignment'!$A:$A,MATCH(C698&amp;"-"&amp;E698&amp;"-"&amp;F698&amp;"-Pos3",'Shooter-Squad Assignment'!$Z:$Z,0)),""),"")))</f>
        <v/>
      </c>
      <c r="L698" s="73" t="str">
        <f>IF(ISBLANK(K698),"",IFERROR(INDEX('Tournament List'!$D:$D,MATCH(K698,'Tournament List'!$A:$A,0)),""))</f>
        <v/>
      </c>
      <c r="M698" s="94" t="str">
        <f>IF(F698="Skeet",IFERROR(INDEX('Shooter-Squad Assignment'!$A:$A,MATCH(C698&amp;"-"&amp;E698&amp;"-"&amp;F698&amp;"-Pos4",'Shooter-Squad Assignment'!$K:$K,0)),""),IF(F698="Trap",IFERROR(INDEX('Shooter-Squad Assignment'!$A:$A,MATCH(C698&amp;"-"&amp;E698&amp;"-"&amp;F698&amp;"-Pos4",'Shooter-Squad Assignment'!$W:$W,0)),""),IF(F698="Sporting Clays",IFERROR(INDEX('Shooter-Squad Assignment'!$A:$A,MATCH(C698&amp;"-"&amp;E698&amp;"-"&amp;F698&amp;"-Pos4",'Shooter-Squad Assignment'!$Z:$Z,0)),""),"")))</f>
        <v/>
      </c>
      <c r="N698" s="73" t="str">
        <f>IF(ISBLANK(M698),"",IFERROR(INDEX('Tournament List'!$D:$D,MATCH(M698,'Tournament List'!$A:$A,0)),""))</f>
        <v/>
      </c>
      <c r="O698" s="94" t="str">
        <f>IF(F698="Skeet",IFERROR(INDEX('Shooter-Squad Assignment'!$A:$A,MATCH(C698&amp;"-"&amp;E698&amp;"-"&amp;F698&amp;"-Pos5",'Shooter-Squad Assignment'!$K:$K,0)),""),IF(F698="Trap",IFERROR(INDEX('Shooter-Squad Assignment'!$A:$A,MATCH(C698&amp;"-"&amp;E698&amp;"-"&amp;F698&amp;"-Pos5",'Shooter-Squad Assignment'!$W:$W,0)),""),IF(F698="Sporting Clays",IFERROR(INDEX('Shooter-Squad Assignment'!$A:$A,MATCH(C698&amp;"-"&amp;E698&amp;"-"&amp;F698&amp;"-Pos5",'Shooter-Squad Assignment'!$Z:$Z,0)),""),"")))</f>
        <v/>
      </c>
      <c r="P698" s="79" t="str">
        <f>IF(ISBLANK(O698),"",IFERROR(INDEX('Tournament List'!$D:$D,MATCH(O698,'Tournament List'!$A:$A,0)),""))</f>
        <v/>
      </c>
    </row>
    <row r="699" spans="1:16" x14ac:dyDescent="0.3">
      <c r="A699" s="78">
        <v>698</v>
      </c>
      <c r="B699" s="73" t="str">
        <f>C699&amp;"-"&amp;E699&amp;"-"&amp;F699</f>
        <v>-Open 2-Skeet</v>
      </c>
      <c r="C699" s="73"/>
      <c r="D699" s="73" t="str">
        <f>INDEX('Tournament Setup'!$B$59:$B$78,MATCH(E699,SquadConcurrents,0))</f>
        <v>Open</v>
      </c>
      <c r="E699" s="73" t="s">
        <v>347</v>
      </c>
      <c r="F699" s="73" t="s">
        <v>143</v>
      </c>
      <c r="G699" s="94" t="str">
        <f>IF(F699="Skeet",IFERROR(INDEX('Shooter-Squad Assignment'!$A:$A,MATCH(C699&amp;"-"&amp;E699&amp;"-"&amp;F699&amp;"-Pos1",'Shooter-Squad Assignment'!$K:$K,0)),""),IF(F699="Trap",IFERROR(INDEX('Shooter-Squad Assignment'!$A:$A,MATCH(C699&amp;"-"&amp;E699&amp;"-"&amp;F699&amp;"-Pos1",'Shooter-Squad Assignment'!$W:$W,0)),""),IF(F699="Sporting Clays",IFERROR(INDEX('Shooter-Squad Assignment'!$A:$A,MATCH(C699&amp;"-"&amp;E699&amp;"-"&amp;F699&amp;"-Pos1",'Shooter-Squad Assignment'!$Z:$Z,0)),""),"")))</f>
        <v/>
      </c>
      <c r="H699" s="73" t="str">
        <f>IF(ISBLANK(G699),"",IFERROR(INDEX('Tournament List'!$D:$D,MATCH(G699,'Tournament List'!$A:$A,0)),""))</f>
        <v/>
      </c>
      <c r="I699" s="94" t="str">
        <f>IF(F699="Skeet",IFERROR(INDEX('Shooter-Squad Assignment'!$A:$A,MATCH(C699&amp;"-"&amp;E699&amp;"-"&amp;F699&amp;"-Pos2",'Shooter-Squad Assignment'!$K:$K,0)),""),IF(F699="Trap",IFERROR(INDEX('Shooter-Squad Assignment'!$A:$A,MATCH(C699&amp;"-"&amp;E699&amp;"-"&amp;F699&amp;"-Pos2",'Shooter-Squad Assignment'!$W:$W,0)),""),IF(F699="Sporting Clays",IFERROR(INDEX('Shooter-Squad Assignment'!$A:$A,MATCH(C699&amp;"-"&amp;E699&amp;"-"&amp;F699&amp;"-Pos2",'Shooter-Squad Assignment'!$Z:$Z,0)),""),"")))</f>
        <v/>
      </c>
      <c r="J699" s="73" t="str">
        <f>IF(ISBLANK(I699),"",IFERROR(INDEX('Tournament List'!$D:$D,MATCH(I699,'Tournament List'!$A:$A,0)),""))</f>
        <v/>
      </c>
      <c r="K699" s="94" t="str">
        <f>IF(F699="Skeet",IFERROR(INDEX('Shooter-Squad Assignment'!$A:$A,MATCH(C699&amp;"-"&amp;E699&amp;"-"&amp;F699&amp;"-Pos3",'Shooter-Squad Assignment'!$K:$K,0)),""),IF(F699="Trap",IFERROR(INDEX('Shooter-Squad Assignment'!$A:$A,MATCH(C699&amp;"-"&amp;E699&amp;"-"&amp;F699&amp;"-Pos3",'Shooter-Squad Assignment'!$W:$W,0)),""),IF(F699="Sporting Clays",IFERROR(INDEX('Shooter-Squad Assignment'!$A:$A,MATCH(C699&amp;"-"&amp;E699&amp;"-"&amp;F699&amp;"-Pos3",'Shooter-Squad Assignment'!$Z:$Z,0)),""),"")))</f>
        <v/>
      </c>
      <c r="L699" s="73" t="str">
        <f>IF(ISBLANK(K699),"",IFERROR(INDEX('Tournament List'!$D:$D,MATCH(K699,'Tournament List'!$A:$A,0)),""))</f>
        <v/>
      </c>
      <c r="M699" s="94" t="str">
        <f>IF(F699="Skeet",IFERROR(INDEX('Shooter-Squad Assignment'!$A:$A,MATCH(C699&amp;"-"&amp;E699&amp;"-"&amp;F699&amp;"-Pos4",'Shooter-Squad Assignment'!$K:$K,0)),""),IF(F699="Trap",IFERROR(INDEX('Shooter-Squad Assignment'!$A:$A,MATCH(C699&amp;"-"&amp;E699&amp;"-"&amp;F699&amp;"-Pos4",'Shooter-Squad Assignment'!$W:$W,0)),""),IF(F699="Sporting Clays",IFERROR(INDEX('Shooter-Squad Assignment'!$A:$A,MATCH(C699&amp;"-"&amp;E699&amp;"-"&amp;F699&amp;"-Pos4",'Shooter-Squad Assignment'!$Z:$Z,0)),""),"")))</f>
        <v/>
      </c>
      <c r="N699" s="73" t="str">
        <f>IF(ISBLANK(M699),"",IFERROR(INDEX('Tournament List'!$D:$D,MATCH(M699,'Tournament List'!$A:$A,0)),""))</f>
        <v/>
      </c>
      <c r="O699" s="94" t="str">
        <f>IF(F699="Skeet",IFERROR(INDEX('Shooter-Squad Assignment'!$A:$A,MATCH(C699&amp;"-"&amp;E699&amp;"-"&amp;F699&amp;"-Pos5",'Shooter-Squad Assignment'!$K:$K,0)),""),IF(F699="Trap",IFERROR(INDEX('Shooter-Squad Assignment'!$A:$A,MATCH(C699&amp;"-"&amp;E699&amp;"-"&amp;F699&amp;"-Pos5",'Shooter-Squad Assignment'!$W:$W,0)),""),IF(F699="Sporting Clays",IFERROR(INDEX('Shooter-Squad Assignment'!$A:$A,MATCH(C699&amp;"-"&amp;E699&amp;"-"&amp;F699&amp;"-Pos5",'Shooter-Squad Assignment'!$Z:$Z,0)),""),"")))</f>
        <v/>
      </c>
      <c r="P699" s="79" t="str">
        <f>IF(ISBLANK(O699),"",IFERROR(INDEX('Tournament List'!$D:$D,MATCH(O699,'Tournament List'!$A:$A,0)),""))</f>
        <v/>
      </c>
    </row>
    <row r="700" spans="1:16" x14ac:dyDescent="0.3">
      <c r="A700" s="78">
        <v>699</v>
      </c>
      <c r="B700" s="73" t="str">
        <f>C700&amp;"-"&amp;E700&amp;"-"&amp;F700</f>
        <v>-Open 3-Skeet</v>
      </c>
      <c r="C700" s="73"/>
      <c r="D700" s="73" t="str">
        <f>INDEX('Tournament Setup'!$B$59:$B$78,MATCH(E700,SquadConcurrents,0))</f>
        <v>Open</v>
      </c>
      <c r="E700" s="73" t="s">
        <v>353</v>
      </c>
      <c r="F700" s="73" t="s">
        <v>143</v>
      </c>
      <c r="G700" s="94" t="str">
        <f>IF(F700="Skeet",IFERROR(INDEX('Shooter-Squad Assignment'!$A:$A,MATCH(C700&amp;"-"&amp;E700&amp;"-"&amp;F700&amp;"-Pos1",'Shooter-Squad Assignment'!$K:$K,0)),""),IF(F700="Trap",IFERROR(INDEX('Shooter-Squad Assignment'!$A:$A,MATCH(C700&amp;"-"&amp;E700&amp;"-"&amp;F700&amp;"-Pos1",'Shooter-Squad Assignment'!$W:$W,0)),""),IF(F700="Sporting Clays",IFERROR(INDEX('Shooter-Squad Assignment'!$A:$A,MATCH(C700&amp;"-"&amp;E700&amp;"-"&amp;F700&amp;"-Pos1",'Shooter-Squad Assignment'!$Z:$Z,0)),""),"")))</f>
        <v/>
      </c>
      <c r="H700" s="73" t="str">
        <f>IF(ISBLANK(G700),"",IFERROR(INDEX('Tournament List'!$D:$D,MATCH(G700,'Tournament List'!$A:$A,0)),""))</f>
        <v/>
      </c>
      <c r="I700" s="94" t="str">
        <f>IF(F700="Skeet",IFERROR(INDEX('Shooter-Squad Assignment'!$A:$A,MATCH(C700&amp;"-"&amp;E700&amp;"-"&amp;F700&amp;"-Pos2",'Shooter-Squad Assignment'!$K:$K,0)),""),IF(F700="Trap",IFERROR(INDEX('Shooter-Squad Assignment'!$A:$A,MATCH(C700&amp;"-"&amp;E700&amp;"-"&amp;F700&amp;"-Pos2",'Shooter-Squad Assignment'!$W:$W,0)),""),IF(F700="Sporting Clays",IFERROR(INDEX('Shooter-Squad Assignment'!$A:$A,MATCH(C700&amp;"-"&amp;E700&amp;"-"&amp;F700&amp;"-Pos2",'Shooter-Squad Assignment'!$Z:$Z,0)),""),"")))</f>
        <v/>
      </c>
      <c r="J700" s="73" t="str">
        <f>IF(ISBLANK(I700),"",IFERROR(INDEX('Tournament List'!$D:$D,MATCH(I700,'Tournament List'!$A:$A,0)),""))</f>
        <v/>
      </c>
      <c r="K700" s="94" t="str">
        <f>IF(F700="Skeet",IFERROR(INDEX('Shooter-Squad Assignment'!$A:$A,MATCH(C700&amp;"-"&amp;E700&amp;"-"&amp;F700&amp;"-Pos3",'Shooter-Squad Assignment'!$K:$K,0)),""),IF(F700="Trap",IFERROR(INDEX('Shooter-Squad Assignment'!$A:$A,MATCH(C700&amp;"-"&amp;E700&amp;"-"&amp;F700&amp;"-Pos3",'Shooter-Squad Assignment'!$W:$W,0)),""),IF(F700="Sporting Clays",IFERROR(INDEX('Shooter-Squad Assignment'!$A:$A,MATCH(C700&amp;"-"&amp;E700&amp;"-"&amp;F700&amp;"-Pos3",'Shooter-Squad Assignment'!$Z:$Z,0)),""),"")))</f>
        <v/>
      </c>
      <c r="L700" s="73" t="str">
        <f>IF(ISBLANK(K700),"",IFERROR(INDEX('Tournament List'!$D:$D,MATCH(K700,'Tournament List'!$A:$A,0)),""))</f>
        <v/>
      </c>
      <c r="M700" s="94" t="str">
        <f>IF(F700="Skeet",IFERROR(INDEX('Shooter-Squad Assignment'!$A:$A,MATCH(C700&amp;"-"&amp;E700&amp;"-"&amp;F700&amp;"-Pos4",'Shooter-Squad Assignment'!$K:$K,0)),""),IF(F700="Trap",IFERROR(INDEX('Shooter-Squad Assignment'!$A:$A,MATCH(C700&amp;"-"&amp;E700&amp;"-"&amp;F700&amp;"-Pos4",'Shooter-Squad Assignment'!$W:$W,0)),""),IF(F700="Sporting Clays",IFERROR(INDEX('Shooter-Squad Assignment'!$A:$A,MATCH(C700&amp;"-"&amp;E700&amp;"-"&amp;F700&amp;"-Pos4",'Shooter-Squad Assignment'!$Z:$Z,0)),""),"")))</f>
        <v/>
      </c>
      <c r="N700" s="73" t="str">
        <f>IF(ISBLANK(M700),"",IFERROR(INDEX('Tournament List'!$D:$D,MATCH(M700,'Tournament List'!$A:$A,0)),""))</f>
        <v/>
      </c>
      <c r="O700" s="94" t="str">
        <f>IF(F700="Skeet",IFERROR(INDEX('Shooter-Squad Assignment'!$A:$A,MATCH(C700&amp;"-"&amp;E700&amp;"-"&amp;F700&amp;"-Pos5",'Shooter-Squad Assignment'!$K:$K,0)),""),IF(F700="Trap",IFERROR(INDEX('Shooter-Squad Assignment'!$A:$A,MATCH(C700&amp;"-"&amp;E700&amp;"-"&amp;F700&amp;"-Pos5",'Shooter-Squad Assignment'!$W:$W,0)),""),IF(F700="Sporting Clays",IFERROR(INDEX('Shooter-Squad Assignment'!$A:$A,MATCH(C700&amp;"-"&amp;E700&amp;"-"&amp;F700&amp;"-Pos5",'Shooter-Squad Assignment'!$Z:$Z,0)),""),"")))</f>
        <v/>
      </c>
      <c r="P700" s="79" t="str">
        <f>IF(ISBLANK(O700),"",IFERROR(INDEX('Tournament List'!$D:$D,MATCH(O700,'Tournament List'!$A:$A,0)),""))</f>
        <v/>
      </c>
    </row>
    <row r="701" spans="1:16" x14ac:dyDescent="0.3">
      <c r="A701" s="78">
        <v>700</v>
      </c>
      <c r="B701" s="73" t="str">
        <f>C701&amp;"-"&amp;E701&amp;"-"&amp;F701</f>
        <v>-Unassigned 1-Skeet</v>
      </c>
      <c r="C701" s="73"/>
      <c r="D701" s="73" t="str">
        <f>INDEX('Tournament Setup'!$B$59:$B$78,MATCH(E701,SquadConcurrents,0))</f>
        <v>Unassigned</v>
      </c>
      <c r="E701" s="73" t="s">
        <v>762</v>
      </c>
      <c r="F701" s="73" t="s">
        <v>143</v>
      </c>
      <c r="G701" s="94" t="str">
        <f>IF(F701="Skeet",IFERROR(INDEX('Shooter-Squad Assignment'!$A:$A,MATCH(C701&amp;"-"&amp;E701&amp;"-"&amp;F701&amp;"-Pos1",'Shooter-Squad Assignment'!$K:$K,0)),""),IF(F701="Trap",IFERROR(INDEX('Shooter-Squad Assignment'!$A:$A,MATCH(C701&amp;"-"&amp;E701&amp;"-"&amp;F701&amp;"-Pos1",'Shooter-Squad Assignment'!$W:$W,0)),""),IF(F701="Sporting Clays",IFERROR(INDEX('Shooter-Squad Assignment'!$A:$A,MATCH(C701&amp;"-"&amp;E701&amp;"-"&amp;F701&amp;"-Pos1",'Shooter-Squad Assignment'!$Z:$Z,0)),""),"")))</f>
        <v/>
      </c>
      <c r="H701" s="73" t="str">
        <f>IF(ISBLANK(G701),"",IFERROR(INDEX('Tournament List'!$D:$D,MATCH(G701,'Tournament List'!$A:$A,0)),""))</f>
        <v/>
      </c>
      <c r="I701" s="94" t="str">
        <f>IF(F701="Skeet",IFERROR(INDEX('Shooter-Squad Assignment'!$A:$A,MATCH(C701&amp;"-"&amp;E701&amp;"-"&amp;F701&amp;"-Pos2",'Shooter-Squad Assignment'!$K:$K,0)),""),IF(F701="Trap",IFERROR(INDEX('Shooter-Squad Assignment'!$A:$A,MATCH(C701&amp;"-"&amp;E701&amp;"-"&amp;F701&amp;"-Pos2",'Shooter-Squad Assignment'!$W:$W,0)),""),IF(F701="Sporting Clays",IFERROR(INDEX('Shooter-Squad Assignment'!$A:$A,MATCH(C701&amp;"-"&amp;E701&amp;"-"&amp;F701&amp;"-Pos2",'Shooter-Squad Assignment'!$Z:$Z,0)),""),"")))</f>
        <v/>
      </c>
      <c r="J701" s="73" t="str">
        <f>IF(ISBLANK(I701),"",IFERROR(INDEX('Tournament List'!$D:$D,MATCH(I701,'Tournament List'!$A:$A,0)),""))</f>
        <v/>
      </c>
      <c r="K701" s="94" t="str">
        <f>IF(F701="Skeet",IFERROR(INDEX('Shooter-Squad Assignment'!$A:$A,MATCH(C701&amp;"-"&amp;E701&amp;"-"&amp;F701&amp;"-Pos3",'Shooter-Squad Assignment'!$K:$K,0)),""),IF(F701="Trap",IFERROR(INDEX('Shooter-Squad Assignment'!$A:$A,MATCH(C701&amp;"-"&amp;E701&amp;"-"&amp;F701&amp;"-Pos3",'Shooter-Squad Assignment'!$W:$W,0)),""),IF(F701="Sporting Clays",IFERROR(INDEX('Shooter-Squad Assignment'!$A:$A,MATCH(C701&amp;"-"&amp;E701&amp;"-"&amp;F701&amp;"-Pos3",'Shooter-Squad Assignment'!$Z:$Z,0)),""),"")))</f>
        <v/>
      </c>
      <c r="L701" s="73" t="str">
        <f>IF(ISBLANK(K701),"",IFERROR(INDEX('Tournament List'!$D:$D,MATCH(K701,'Tournament List'!$A:$A,0)),""))</f>
        <v/>
      </c>
      <c r="M701" s="94" t="str">
        <f>IF(F701="Skeet",IFERROR(INDEX('Shooter-Squad Assignment'!$A:$A,MATCH(C701&amp;"-"&amp;E701&amp;"-"&amp;F701&amp;"-Pos4",'Shooter-Squad Assignment'!$K:$K,0)),""),IF(F701="Trap",IFERROR(INDEX('Shooter-Squad Assignment'!$A:$A,MATCH(C701&amp;"-"&amp;E701&amp;"-"&amp;F701&amp;"-Pos4",'Shooter-Squad Assignment'!$W:$W,0)),""),IF(F701="Sporting Clays",IFERROR(INDEX('Shooter-Squad Assignment'!$A:$A,MATCH(C701&amp;"-"&amp;E701&amp;"-"&amp;F701&amp;"-Pos4",'Shooter-Squad Assignment'!$Z:$Z,0)),""),"")))</f>
        <v/>
      </c>
      <c r="N701" s="73" t="str">
        <f>IF(ISBLANK(M701),"",IFERROR(INDEX('Tournament List'!$D:$D,MATCH(M701,'Tournament List'!$A:$A,0)),""))</f>
        <v/>
      </c>
      <c r="O701" s="94" t="str">
        <f>IF(F701="Skeet",IFERROR(INDEX('Shooter-Squad Assignment'!$A:$A,MATCH(C701&amp;"-"&amp;E701&amp;"-"&amp;F701&amp;"-Pos5",'Shooter-Squad Assignment'!$K:$K,0)),""),IF(F701="Trap",IFERROR(INDEX('Shooter-Squad Assignment'!$A:$A,MATCH(C701&amp;"-"&amp;E701&amp;"-"&amp;F701&amp;"-Pos5",'Shooter-Squad Assignment'!$W:$W,0)),""),IF(F701="Sporting Clays",IFERROR(INDEX('Shooter-Squad Assignment'!$A:$A,MATCH(C701&amp;"-"&amp;E701&amp;"-"&amp;F701&amp;"-Pos5",'Shooter-Squad Assignment'!$Z:$Z,0)),""),"")))</f>
        <v/>
      </c>
      <c r="P701" s="79" t="str">
        <f>IF(ISBLANK(O701),"",IFERROR(INDEX('Tournament List'!$D:$D,MATCH(O701,'Tournament List'!$A:$A,0)),""))</f>
        <v/>
      </c>
    </row>
    <row r="702" spans="1:16" x14ac:dyDescent="0.3">
      <c r="A702" s="78">
        <v>701</v>
      </c>
      <c r="B702" s="73" t="str">
        <f>C702&amp;"-"&amp;E702&amp;"-"&amp;F702</f>
        <v>-Varsity 1-Skeet</v>
      </c>
      <c r="C702" s="73"/>
      <c r="D702" s="73" t="str">
        <f>INDEX('Tournament Setup'!$B$59:$B$78,MATCH(E702,SquadConcurrents,0))</f>
        <v>Varsity</v>
      </c>
      <c r="E702" s="73" t="s">
        <v>340</v>
      </c>
      <c r="F702" s="73" t="s">
        <v>143</v>
      </c>
      <c r="G702" s="94" t="str">
        <f>IF(F702="Skeet",IFERROR(INDEX('Shooter-Squad Assignment'!$A:$A,MATCH(C702&amp;"-"&amp;E702&amp;"-"&amp;F702&amp;"-Pos1",'Shooter-Squad Assignment'!$K:$K,0)),""),IF(F702="Trap",IFERROR(INDEX('Shooter-Squad Assignment'!$A:$A,MATCH(C702&amp;"-"&amp;E702&amp;"-"&amp;F702&amp;"-Pos1",'Shooter-Squad Assignment'!$W:$W,0)),""),IF(F702="Sporting Clays",IFERROR(INDEX('Shooter-Squad Assignment'!$A:$A,MATCH(C702&amp;"-"&amp;E702&amp;"-"&amp;F702&amp;"-Pos1",'Shooter-Squad Assignment'!$Z:$Z,0)),""),"")))</f>
        <v/>
      </c>
      <c r="H702" s="73" t="str">
        <f>IF(ISBLANK(G702),"",IFERROR(INDEX('Tournament List'!$D:$D,MATCH(G702,'Tournament List'!$A:$A,0)),""))</f>
        <v/>
      </c>
      <c r="I702" s="94" t="str">
        <f>IF(F702="Skeet",IFERROR(INDEX('Shooter-Squad Assignment'!$A:$A,MATCH(C702&amp;"-"&amp;E702&amp;"-"&amp;F702&amp;"-Pos2",'Shooter-Squad Assignment'!$K:$K,0)),""),IF(F702="Trap",IFERROR(INDEX('Shooter-Squad Assignment'!$A:$A,MATCH(C702&amp;"-"&amp;E702&amp;"-"&amp;F702&amp;"-Pos2",'Shooter-Squad Assignment'!$W:$W,0)),""),IF(F702="Sporting Clays",IFERROR(INDEX('Shooter-Squad Assignment'!$A:$A,MATCH(C702&amp;"-"&amp;E702&amp;"-"&amp;F702&amp;"-Pos2",'Shooter-Squad Assignment'!$Z:$Z,0)),""),"")))</f>
        <v/>
      </c>
      <c r="J702" s="73" t="str">
        <f>IF(ISBLANK(I702),"",IFERROR(INDEX('Tournament List'!$D:$D,MATCH(I702,'Tournament List'!$A:$A,0)),""))</f>
        <v/>
      </c>
      <c r="K702" s="94" t="str">
        <f>IF(F702="Skeet",IFERROR(INDEX('Shooter-Squad Assignment'!$A:$A,MATCH(C702&amp;"-"&amp;E702&amp;"-"&amp;F702&amp;"-Pos3",'Shooter-Squad Assignment'!$K:$K,0)),""),IF(F702="Trap",IFERROR(INDEX('Shooter-Squad Assignment'!$A:$A,MATCH(C702&amp;"-"&amp;E702&amp;"-"&amp;F702&amp;"-Pos3",'Shooter-Squad Assignment'!$W:$W,0)),""),IF(F702="Sporting Clays",IFERROR(INDEX('Shooter-Squad Assignment'!$A:$A,MATCH(C702&amp;"-"&amp;E702&amp;"-"&amp;F702&amp;"-Pos3",'Shooter-Squad Assignment'!$Z:$Z,0)),""),"")))</f>
        <v/>
      </c>
      <c r="L702" s="73" t="str">
        <f>IF(ISBLANK(K702),"",IFERROR(INDEX('Tournament List'!$D:$D,MATCH(K702,'Tournament List'!$A:$A,0)),""))</f>
        <v/>
      </c>
      <c r="M702" s="94" t="str">
        <f>IF(F702="Skeet",IFERROR(INDEX('Shooter-Squad Assignment'!$A:$A,MATCH(C702&amp;"-"&amp;E702&amp;"-"&amp;F702&amp;"-Pos4",'Shooter-Squad Assignment'!$K:$K,0)),""),IF(F702="Trap",IFERROR(INDEX('Shooter-Squad Assignment'!$A:$A,MATCH(C702&amp;"-"&amp;E702&amp;"-"&amp;F702&amp;"-Pos4",'Shooter-Squad Assignment'!$W:$W,0)),""),IF(F702="Sporting Clays",IFERROR(INDEX('Shooter-Squad Assignment'!$A:$A,MATCH(C702&amp;"-"&amp;E702&amp;"-"&amp;F702&amp;"-Pos4",'Shooter-Squad Assignment'!$Z:$Z,0)),""),"")))</f>
        <v/>
      </c>
      <c r="N702" s="73" t="str">
        <f>IF(ISBLANK(M702),"",IFERROR(INDEX('Tournament List'!$D:$D,MATCH(M702,'Tournament List'!$A:$A,0)),""))</f>
        <v/>
      </c>
      <c r="O702" s="94" t="str">
        <f>IF(F702="Skeet",IFERROR(INDEX('Shooter-Squad Assignment'!$A:$A,MATCH(C702&amp;"-"&amp;E702&amp;"-"&amp;F702&amp;"-Pos5",'Shooter-Squad Assignment'!$K:$K,0)),""),IF(F702="Trap",IFERROR(INDEX('Shooter-Squad Assignment'!$A:$A,MATCH(C702&amp;"-"&amp;E702&amp;"-"&amp;F702&amp;"-Pos5",'Shooter-Squad Assignment'!$W:$W,0)),""),IF(F702="Sporting Clays",IFERROR(INDEX('Shooter-Squad Assignment'!$A:$A,MATCH(C702&amp;"-"&amp;E702&amp;"-"&amp;F702&amp;"-Pos5",'Shooter-Squad Assignment'!$Z:$Z,0)),""),"")))</f>
        <v/>
      </c>
      <c r="P702" s="79" t="str">
        <f>IF(ISBLANK(O702),"",IFERROR(INDEX('Tournament List'!$D:$D,MATCH(O702,'Tournament List'!$A:$A,0)),""))</f>
        <v/>
      </c>
    </row>
    <row r="703" spans="1:16" x14ac:dyDescent="0.3">
      <c r="A703" s="78">
        <v>702</v>
      </c>
      <c r="B703" s="73" t="str">
        <f>C703&amp;"-"&amp;E703&amp;"-"&amp;F703</f>
        <v>-Varsity 2-Skeet</v>
      </c>
      <c r="C703" s="73"/>
      <c r="D703" s="73" t="str">
        <f>INDEX('Tournament Setup'!$B$59:$B$78,MATCH(E703,SquadConcurrents,0))</f>
        <v>Varsity</v>
      </c>
      <c r="E703" s="73" t="s">
        <v>346</v>
      </c>
      <c r="F703" s="73" t="s">
        <v>143</v>
      </c>
      <c r="G703" s="94" t="str">
        <f>IF(F703="Skeet",IFERROR(INDEX('Shooter-Squad Assignment'!$A:$A,MATCH(C703&amp;"-"&amp;E703&amp;"-"&amp;F703&amp;"-Pos1",'Shooter-Squad Assignment'!$K:$K,0)),""),IF(F703="Trap",IFERROR(INDEX('Shooter-Squad Assignment'!$A:$A,MATCH(C703&amp;"-"&amp;E703&amp;"-"&amp;F703&amp;"-Pos1",'Shooter-Squad Assignment'!$W:$W,0)),""),IF(F703="Sporting Clays",IFERROR(INDEX('Shooter-Squad Assignment'!$A:$A,MATCH(C703&amp;"-"&amp;E703&amp;"-"&amp;F703&amp;"-Pos1",'Shooter-Squad Assignment'!$Z:$Z,0)),""),"")))</f>
        <v/>
      </c>
      <c r="H703" s="73" t="str">
        <f>IF(ISBLANK(G703),"",IFERROR(INDEX('Tournament List'!$D:$D,MATCH(G703,'Tournament List'!$A:$A,0)),""))</f>
        <v/>
      </c>
      <c r="I703" s="94" t="str">
        <f>IF(F703="Skeet",IFERROR(INDEX('Shooter-Squad Assignment'!$A:$A,MATCH(C703&amp;"-"&amp;E703&amp;"-"&amp;F703&amp;"-Pos2",'Shooter-Squad Assignment'!$K:$K,0)),""),IF(F703="Trap",IFERROR(INDEX('Shooter-Squad Assignment'!$A:$A,MATCH(C703&amp;"-"&amp;E703&amp;"-"&amp;F703&amp;"-Pos2",'Shooter-Squad Assignment'!$W:$W,0)),""),IF(F703="Sporting Clays",IFERROR(INDEX('Shooter-Squad Assignment'!$A:$A,MATCH(C703&amp;"-"&amp;E703&amp;"-"&amp;F703&amp;"-Pos2",'Shooter-Squad Assignment'!$Z:$Z,0)),""),"")))</f>
        <v/>
      </c>
      <c r="J703" s="73" t="str">
        <f>IF(ISBLANK(I703),"",IFERROR(INDEX('Tournament List'!$D:$D,MATCH(I703,'Tournament List'!$A:$A,0)),""))</f>
        <v/>
      </c>
      <c r="K703" s="94" t="str">
        <f>IF(F703="Skeet",IFERROR(INDEX('Shooter-Squad Assignment'!$A:$A,MATCH(C703&amp;"-"&amp;E703&amp;"-"&amp;F703&amp;"-Pos3",'Shooter-Squad Assignment'!$K:$K,0)),""),IF(F703="Trap",IFERROR(INDEX('Shooter-Squad Assignment'!$A:$A,MATCH(C703&amp;"-"&amp;E703&amp;"-"&amp;F703&amp;"-Pos3",'Shooter-Squad Assignment'!$W:$W,0)),""),IF(F703="Sporting Clays",IFERROR(INDEX('Shooter-Squad Assignment'!$A:$A,MATCH(C703&amp;"-"&amp;E703&amp;"-"&amp;F703&amp;"-Pos3",'Shooter-Squad Assignment'!$Z:$Z,0)),""),"")))</f>
        <v/>
      </c>
      <c r="L703" s="73" t="str">
        <f>IF(ISBLANK(K703),"",IFERROR(INDEX('Tournament List'!$D:$D,MATCH(K703,'Tournament List'!$A:$A,0)),""))</f>
        <v/>
      </c>
      <c r="M703" s="94" t="str">
        <f>IF(F703="Skeet",IFERROR(INDEX('Shooter-Squad Assignment'!$A:$A,MATCH(C703&amp;"-"&amp;E703&amp;"-"&amp;F703&amp;"-Pos4",'Shooter-Squad Assignment'!$K:$K,0)),""),IF(F703="Trap",IFERROR(INDEX('Shooter-Squad Assignment'!$A:$A,MATCH(C703&amp;"-"&amp;E703&amp;"-"&amp;F703&amp;"-Pos4",'Shooter-Squad Assignment'!$W:$W,0)),""),IF(F703="Sporting Clays",IFERROR(INDEX('Shooter-Squad Assignment'!$A:$A,MATCH(C703&amp;"-"&amp;E703&amp;"-"&amp;F703&amp;"-Pos4",'Shooter-Squad Assignment'!$Z:$Z,0)),""),"")))</f>
        <v/>
      </c>
      <c r="N703" s="73" t="str">
        <f>IF(ISBLANK(M703),"",IFERROR(INDEX('Tournament List'!$D:$D,MATCH(M703,'Tournament List'!$A:$A,0)),""))</f>
        <v/>
      </c>
      <c r="O703" s="94" t="str">
        <f>IF(F703="Skeet",IFERROR(INDEX('Shooter-Squad Assignment'!$A:$A,MATCH(C703&amp;"-"&amp;E703&amp;"-"&amp;F703&amp;"-Pos5",'Shooter-Squad Assignment'!$K:$K,0)),""),IF(F703="Trap",IFERROR(INDEX('Shooter-Squad Assignment'!$A:$A,MATCH(C703&amp;"-"&amp;E703&amp;"-"&amp;F703&amp;"-Pos5",'Shooter-Squad Assignment'!$W:$W,0)),""),IF(F703="Sporting Clays",IFERROR(INDEX('Shooter-Squad Assignment'!$A:$A,MATCH(C703&amp;"-"&amp;E703&amp;"-"&amp;F703&amp;"-Pos5",'Shooter-Squad Assignment'!$Z:$Z,0)),""),"")))</f>
        <v/>
      </c>
      <c r="P703" s="79" t="str">
        <f>IF(ISBLANK(O703),"",IFERROR(INDEX('Tournament List'!$D:$D,MATCH(O703,'Tournament List'!$A:$A,0)),""))</f>
        <v/>
      </c>
    </row>
    <row r="704" spans="1:16" x14ac:dyDescent="0.3">
      <c r="A704" s="78">
        <v>703</v>
      </c>
      <c r="B704" s="73" t="str">
        <f>C704&amp;"-"&amp;E704&amp;"-"&amp;F704</f>
        <v>-Varsity 3-Skeet</v>
      </c>
      <c r="C704" s="73"/>
      <c r="D704" s="73" t="str">
        <f>INDEX('Tournament Setup'!$B$59:$B$78,MATCH(E704,SquadConcurrents,0))</f>
        <v>Varsity</v>
      </c>
      <c r="E704" s="73" t="s">
        <v>352</v>
      </c>
      <c r="F704" s="73" t="s">
        <v>143</v>
      </c>
      <c r="G704" s="94" t="str">
        <f>IF(F704="Skeet",IFERROR(INDEX('Shooter-Squad Assignment'!$A:$A,MATCH(C704&amp;"-"&amp;E704&amp;"-"&amp;F704&amp;"-Pos1",'Shooter-Squad Assignment'!$K:$K,0)),""),IF(F704="Trap",IFERROR(INDEX('Shooter-Squad Assignment'!$A:$A,MATCH(C704&amp;"-"&amp;E704&amp;"-"&amp;F704&amp;"-Pos1",'Shooter-Squad Assignment'!$W:$W,0)),""),IF(F704="Sporting Clays",IFERROR(INDEX('Shooter-Squad Assignment'!$A:$A,MATCH(C704&amp;"-"&amp;E704&amp;"-"&amp;F704&amp;"-Pos1",'Shooter-Squad Assignment'!$Z:$Z,0)),""),"")))</f>
        <v/>
      </c>
      <c r="H704" s="73" t="str">
        <f>IF(ISBLANK(G704),"",IFERROR(INDEX('Tournament List'!$D:$D,MATCH(G704,'Tournament List'!$A:$A,0)),""))</f>
        <v/>
      </c>
      <c r="I704" s="94" t="str">
        <f>IF(F704="Skeet",IFERROR(INDEX('Shooter-Squad Assignment'!$A:$A,MATCH(C704&amp;"-"&amp;E704&amp;"-"&amp;F704&amp;"-Pos2",'Shooter-Squad Assignment'!$K:$K,0)),""),IF(F704="Trap",IFERROR(INDEX('Shooter-Squad Assignment'!$A:$A,MATCH(C704&amp;"-"&amp;E704&amp;"-"&amp;F704&amp;"-Pos2",'Shooter-Squad Assignment'!$W:$W,0)),""),IF(F704="Sporting Clays",IFERROR(INDEX('Shooter-Squad Assignment'!$A:$A,MATCH(C704&amp;"-"&amp;E704&amp;"-"&amp;F704&amp;"-Pos2",'Shooter-Squad Assignment'!$Z:$Z,0)),""),"")))</f>
        <v/>
      </c>
      <c r="J704" s="73" t="str">
        <f>IF(ISBLANK(I704),"",IFERROR(INDEX('Tournament List'!$D:$D,MATCH(I704,'Tournament List'!$A:$A,0)),""))</f>
        <v/>
      </c>
      <c r="K704" s="94" t="str">
        <f>IF(F704="Skeet",IFERROR(INDEX('Shooter-Squad Assignment'!$A:$A,MATCH(C704&amp;"-"&amp;E704&amp;"-"&amp;F704&amp;"-Pos3",'Shooter-Squad Assignment'!$K:$K,0)),""),IF(F704="Trap",IFERROR(INDEX('Shooter-Squad Assignment'!$A:$A,MATCH(C704&amp;"-"&amp;E704&amp;"-"&amp;F704&amp;"-Pos3",'Shooter-Squad Assignment'!$W:$W,0)),""),IF(F704="Sporting Clays",IFERROR(INDEX('Shooter-Squad Assignment'!$A:$A,MATCH(C704&amp;"-"&amp;E704&amp;"-"&amp;F704&amp;"-Pos3",'Shooter-Squad Assignment'!$Z:$Z,0)),""),"")))</f>
        <v/>
      </c>
      <c r="L704" s="73" t="str">
        <f>IF(ISBLANK(K704),"",IFERROR(INDEX('Tournament List'!$D:$D,MATCH(K704,'Tournament List'!$A:$A,0)),""))</f>
        <v/>
      </c>
      <c r="M704" s="94" t="str">
        <f>IF(F704="Skeet",IFERROR(INDEX('Shooter-Squad Assignment'!$A:$A,MATCH(C704&amp;"-"&amp;E704&amp;"-"&amp;F704&amp;"-Pos4",'Shooter-Squad Assignment'!$K:$K,0)),""),IF(F704="Trap",IFERROR(INDEX('Shooter-Squad Assignment'!$A:$A,MATCH(C704&amp;"-"&amp;E704&amp;"-"&amp;F704&amp;"-Pos4",'Shooter-Squad Assignment'!$W:$W,0)),""),IF(F704="Sporting Clays",IFERROR(INDEX('Shooter-Squad Assignment'!$A:$A,MATCH(C704&amp;"-"&amp;E704&amp;"-"&amp;F704&amp;"-Pos4",'Shooter-Squad Assignment'!$Z:$Z,0)),""),"")))</f>
        <v/>
      </c>
      <c r="N704" s="73" t="str">
        <f>IF(ISBLANK(M704),"",IFERROR(INDEX('Tournament List'!$D:$D,MATCH(M704,'Tournament List'!$A:$A,0)),""))</f>
        <v/>
      </c>
      <c r="O704" s="94" t="str">
        <f>IF(F704="Skeet",IFERROR(INDEX('Shooter-Squad Assignment'!$A:$A,MATCH(C704&amp;"-"&amp;E704&amp;"-"&amp;F704&amp;"-Pos5",'Shooter-Squad Assignment'!$K:$K,0)),""),IF(F704="Trap",IFERROR(INDEX('Shooter-Squad Assignment'!$A:$A,MATCH(C704&amp;"-"&amp;E704&amp;"-"&amp;F704&amp;"-Pos5",'Shooter-Squad Assignment'!$W:$W,0)),""),IF(F704="Sporting Clays",IFERROR(INDEX('Shooter-Squad Assignment'!$A:$A,MATCH(C704&amp;"-"&amp;E704&amp;"-"&amp;F704&amp;"-Pos5",'Shooter-Squad Assignment'!$Z:$Z,0)),""),"")))</f>
        <v/>
      </c>
      <c r="P704" s="79" t="str">
        <f>IF(ISBLANK(O704),"",IFERROR(INDEX('Tournament List'!$D:$D,MATCH(O704,'Tournament List'!$A:$A,0)),""))</f>
        <v/>
      </c>
    </row>
    <row r="705" spans="1:16" x14ac:dyDescent="0.3">
      <c r="A705" s="78">
        <v>704</v>
      </c>
      <c r="B705" s="73" t="str">
        <f>C705&amp;"-"&amp;E705&amp;"-"&amp;F705</f>
        <v>-Collegiate 1-Sporting Clays</v>
      </c>
      <c r="C705" s="73"/>
      <c r="D705" s="73" t="str">
        <f>INDEX('Tournament Setup'!$B$59:$B$78,MATCH(E705,SquadConcurrents,0))</f>
        <v>Collegiate</v>
      </c>
      <c r="E705" s="73" t="s">
        <v>342</v>
      </c>
      <c r="F705" s="73" t="s">
        <v>148</v>
      </c>
      <c r="G705" s="94" t="str">
        <f>IF(F705="Skeet",IFERROR(INDEX('Shooter-Squad Assignment'!$A:$A,MATCH(C705&amp;"-"&amp;E705&amp;"-"&amp;F705&amp;"-Pos1",'Shooter-Squad Assignment'!$K:$K,0)),""),IF(F705="Trap",IFERROR(INDEX('Shooter-Squad Assignment'!$A:$A,MATCH(C705&amp;"-"&amp;E705&amp;"-"&amp;F705&amp;"-Pos1",'Shooter-Squad Assignment'!$W:$W,0)),""),IF(F705="Sporting Clays",IFERROR(INDEX('Shooter-Squad Assignment'!$A:$A,MATCH(C705&amp;"-"&amp;E705&amp;"-"&amp;F705&amp;"-Pos1",'Shooter-Squad Assignment'!$Z:$Z,0)),""),"")))</f>
        <v/>
      </c>
      <c r="H705" s="73" t="str">
        <f>IF(ISBLANK(G705),"",IFERROR(INDEX('Tournament List'!$D:$D,MATCH(G705,'Tournament List'!$A:$A,0)),""))</f>
        <v/>
      </c>
      <c r="I705" s="94" t="str">
        <f>IF(F705="Skeet",IFERROR(INDEX('Shooter-Squad Assignment'!$A:$A,MATCH(C705&amp;"-"&amp;E705&amp;"-"&amp;F705&amp;"-Pos2",'Shooter-Squad Assignment'!$K:$K,0)),""),IF(F705="Trap",IFERROR(INDEX('Shooter-Squad Assignment'!$A:$A,MATCH(C705&amp;"-"&amp;E705&amp;"-"&amp;F705&amp;"-Pos2",'Shooter-Squad Assignment'!$W:$W,0)),""),IF(F705="Sporting Clays",IFERROR(INDEX('Shooter-Squad Assignment'!$A:$A,MATCH(C705&amp;"-"&amp;E705&amp;"-"&amp;F705&amp;"-Pos2",'Shooter-Squad Assignment'!$Z:$Z,0)),""),"")))</f>
        <v/>
      </c>
      <c r="J705" s="73" t="str">
        <f>IF(ISBLANK(I705),"",IFERROR(INDEX('Tournament List'!$D:$D,MATCH(I705,'Tournament List'!$A:$A,0)),""))</f>
        <v/>
      </c>
      <c r="K705" s="94" t="str">
        <f>IF(F705="Skeet",IFERROR(INDEX('Shooter-Squad Assignment'!$A:$A,MATCH(C705&amp;"-"&amp;E705&amp;"-"&amp;F705&amp;"-Pos3",'Shooter-Squad Assignment'!$K:$K,0)),""),IF(F705="Trap",IFERROR(INDEX('Shooter-Squad Assignment'!$A:$A,MATCH(C705&amp;"-"&amp;E705&amp;"-"&amp;F705&amp;"-Pos3",'Shooter-Squad Assignment'!$W:$W,0)),""),IF(F705="Sporting Clays",IFERROR(INDEX('Shooter-Squad Assignment'!$A:$A,MATCH(C705&amp;"-"&amp;E705&amp;"-"&amp;F705&amp;"-Pos3",'Shooter-Squad Assignment'!$Z:$Z,0)),""),"")))</f>
        <v/>
      </c>
      <c r="L705" s="73" t="str">
        <f>IF(ISBLANK(K705),"",IFERROR(INDEX('Tournament List'!$D:$D,MATCH(K705,'Tournament List'!$A:$A,0)),""))</f>
        <v/>
      </c>
      <c r="M705" s="94" t="str">
        <f>IF(F705="Skeet",IFERROR(INDEX('Shooter-Squad Assignment'!$A:$A,MATCH(C705&amp;"-"&amp;E705&amp;"-"&amp;F705&amp;"-Pos4",'Shooter-Squad Assignment'!$K:$K,0)),""),IF(F705="Trap",IFERROR(INDEX('Shooter-Squad Assignment'!$A:$A,MATCH(C705&amp;"-"&amp;E705&amp;"-"&amp;F705&amp;"-Pos4",'Shooter-Squad Assignment'!$W:$W,0)),""),IF(F705="Sporting Clays",IFERROR(INDEX('Shooter-Squad Assignment'!$A:$A,MATCH(C705&amp;"-"&amp;E705&amp;"-"&amp;F705&amp;"-Pos4",'Shooter-Squad Assignment'!$Z:$Z,0)),""),"")))</f>
        <v/>
      </c>
      <c r="N705" s="73" t="str">
        <f>IF(ISBLANK(M705),"",IFERROR(INDEX('Tournament List'!$D:$D,MATCH(M705,'Tournament List'!$A:$A,0)),""))</f>
        <v/>
      </c>
      <c r="O705" s="94" t="str">
        <f>IF(F705="Skeet",IFERROR(INDEX('Shooter-Squad Assignment'!$A:$A,MATCH(C705&amp;"-"&amp;E705&amp;"-"&amp;F705&amp;"-Pos5",'Shooter-Squad Assignment'!$K:$K,0)),""),IF(F705="Trap",IFERROR(INDEX('Shooter-Squad Assignment'!$A:$A,MATCH(C705&amp;"-"&amp;E705&amp;"-"&amp;F705&amp;"-Pos5",'Shooter-Squad Assignment'!$W:$W,0)),""),IF(F705="Sporting Clays",IFERROR(INDEX('Shooter-Squad Assignment'!$A:$A,MATCH(C705&amp;"-"&amp;E705&amp;"-"&amp;F705&amp;"-Pos5",'Shooter-Squad Assignment'!$Z:$Z,0)),""),"")))</f>
        <v/>
      </c>
      <c r="P705" s="79" t="str">
        <f>IF(ISBLANK(O705),"",IFERROR(INDEX('Tournament List'!$D:$D,MATCH(O705,'Tournament List'!$A:$A,0)),""))</f>
        <v/>
      </c>
    </row>
    <row r="706" spans="1:16" x14ac:dyDescent="0.3">
      <c r="A706" s="78">
        <v>705</v>
      </c>
      <c r="B706" s="73" t="str">
        <f>C706&amp;"-"&amp;E706&amp;"-"&amp;F706</f>
        <v>-Collegiate 2-Sporting Clays</v>
      </c>
      <c r="C706" s="73"/>
      <c r="D706" s="73" t="str">
        <f>INDEX('Tournament Setup'!$B$59:$B$78,MATCH(E706,SquadConcurrents,0))</f>
        <v>Collegiate</v>
      </c>
      <c r="E706" s="73" t="s">
        <v>348</v>
      </c>
      <c r="F706" s="73" t="s">
        <v>148</v>
      </c>
      <c r="G706" s="94" t="str">
        <f>IF(F706="Skeet",IFERROR(INDEX('Shooter-Squad Assignment'!$A:$A,MATCH(C706&amp;"-"&amp;E706&amp;"-"&amp;F706&amp;"-Pos1",'Shooter-Squad Assignment'!$K:$K,0)),""),IF(F706="Trap",IFERROR(INDEX('Shooter-Squad Assignment'!$A:$A,MATCH(C706&amp;"-"&amp;E706&amp;"-"&amp;F706&amp;"-Pos1",'Shooter-Squad Assignment'!$W:$W,0)),""),IF(F706="Sporting Clays",IFERROR(INDEX('Shooter-Squad Assignment'!$A:$A,MATCH(C706&amp;"-"&amp;E706&amp;"-"&amp;F706&amp;"-Pos1",'Shooter-Squad Assignment'!$Z:$Z,0)),""),"")))</f>
        <v/>
      </c>
      <c r="H706" s="73" t="str">
        <f>IF(ISBLANK(G706),"",IFERROR(INDEX('Tournament List'!$D:$D,MATCH(G706,'Tournament List'!$A:$A,0)),""))</f>
        <v/>
      </c>
      <c r="I706" s="94" t="str">
        <f>IF(F706="Skeet",IFERROR(INDEX('Shooter-Squad Assignment'!$A:$A,MATCH(C706&amp;"-"&amp;E706&amp;"-"&amp;F706&amp;"-Pos2",'Shooter-Squad Assignment'!$K:$K,0)),""),IF(F706="Trap",IFERROR(INDEX('Shooter-Squad Assignment'!$A:$A,MATCH(C706&amp;"-"&amp;E706&amp;"-"&amp;F706&amp;"-Pos2",'Shooter-Squad Assignment'!$W:$W,0)),""),IF(F706="Sporting Clays",IFERROR(INDEX('Shooter-Squad Assignment'!$A:$A,MATCH(C706&amp;"-"&amp;E706&amp;"-"&amp;F706&amp;"-Pos2",'Shooter-Squad Assignment'!$Z:$Z,0)),""),"")))</f>
        <v/>
      </c>
      <c r="J706" s="73" t="str">
        <f>IF(ISBLANK(I706),"",IFERROR(INDEX('Tournament List'!$D:$D,MATCH(I706,'Tournament List'!$A:$A,0)),""))</f>
        <v/>
      </c>
      <c r="K706" s="94" t="str">
        <f>IF(F706="Skeet",IFERROR(INDEX('Shooter-Squad Assignment'!$A:$A,MATCH(C706&amp;"-"&amp;E706&amp;"-"&amp;F706&amp;"-Pos3",'Shooter-Squad Assignment'!$K:$K,0)),""),IF(F706="Trap",IFERROR(INDEX('Shooter-Squad Assignment'!$A:$A,MATCH(C706&amp;"-"&amp;E706&amp;"-"&amp;F706&amp;"-Pos3",'Shooter-Squad Assignment'!$W:$W,0)),""),IF(F706="Sporting Clays",IFERROR(INDEX('Shooter-Squad Assignment'!$A:$A,MATCH(C706&amp;"-"&amp;E706&amp;"-"&amp;F706&amp;"-Pos3",'Shooter-Squad Assignment'!$Z:$Z,0)),""),"")))</f>
        <v/>
      </c>
      <c r="L706" s="73" t="str">
        <f>IF(ISBLANK(K706),"",IFERROR(INDEX('Tournament List'!$D:$D,MATCH(K706,'Tournament List'!$A:$A,0)),""))</f>
        <v/>
      </c>
      <c r="M706" s="94" t="str">
        <f>IF(F706="Skeet",IFERROR(INDEX('Shooter-Squad Assignment'!$A:$A,MATCH(C706&amp;"-"&amp;E706&amp;"-"&amp;F706&amp;"-Pos4",'Shooter-Squad Assignment'!$K:$K,0)),""),IF(F706="Trap",IFERROR(INDEX('Shooter-Squad Assignment'!$A:$A,MATCH(C706&amp;"-"&amp;E706&amp;"-"&amp;F706&amp;"-Pos4",'Shooter-Squad Assignment'!$W:$W,0)),""),IF(F706="Sporting Clays",IFERROR(INDEX('Shooter-Squad Assignment'!$A:$A,MATCH(C706&amp;"-"&amp;E706&amp;"-"&amp;F706&amp;"-Pos4",'Shooter-Squad Assignment'!$Z:$Z,0)),""),"")))</f>
        <v/>
      </c>
      <c r="N706" s="73" t="str">
        <f>IF(ISBLANK(M706),"",IFERROR(INDEX('Tournament List'!$D:$D,MATCH(M706,'Tournament List'!$A:$A,0)),""))</f>
        <v/>
      </c>
      <c r="O706" s="94" t="str">
        <f>IF(F706="Skeet",IFERROR(INDEX('Shooter-Squad Assignment'!$A:$A,MATCH(C706&amp;"-"&amp;E706&amp;"-"&amp;F706&amp;"-Pos5",'Shooter-Squad Assignment'!$K:$K,0)),""),IF(F706="Trap",IFERROR(INDEX('Shooter-Squad Assignment'!$A:$A,MATCH(C706&amp;"-"&amp;E706&amp;"-"&amp;F706&amp;"-Pos5",'Shooter-Squad Assignment'!$W:$W,0)),""),IF(F706="Sporting Clays",IFERROR(INDEX('Shooter-Squad Assignment'!$A:$A,MATCH(C706&amp;"-"&amp;E706&amp;"-"&amp;F706&amp;"-Pos5",'Shooter-Squad Assignment'!$Z:$Z,0)),""),"")))</f>
        <v/>
      </c>
      <c r="P706" s="79" t="str">
        <f>IF(ISBLANK(O706),"",IFERROR(INDEX('Tournament List'!$D:$D,MATCH(O706,'Tournament List'!$A:$A,0)),""))</f>
        <v/>
      </c>
    </row>
    <row r="707" spans="1:16" x14ac:dyDescent="0.3">
      <c r="A707" s="78">
        <v>706</v>
      </c>
      <c r="B707" s="73" t="str">
        <f>C707&amp;"-"&amp;E707&amp;"-"&amp;F707</f>
        <v>-Collegiate 3-Sporting Clays</v>
      </c>
      <c r="C707" s="73"/>
      <c r="D707" s="73" t="str">
        <f>INDEX('Tournament Setup'!$B$59:$B$78,MATCH(E707,SquadConcurrents,0))</f>
        <v>Collegiate</v>
      </c>
      <c r="E707" s="73" t="s">
        <v>354</v>
      </c>
      <c r="F707" s="73" t="s">
        <v>148</v>
      </c>
      <c r="G707" s="94" t="str">
        <f>IF(F707="Skeet",IFERROR(INDEX('Shooter-Squad Assignment'!$A:$A,MATCH(C707&amp;"-"&amp;E707&amp;"-"&amp;F707&amp;"-Pos1",'Shooter-Squad Assignment'!$K:$K,0)),""),IF(F707="Trap",IFERROR(INDEX('Shooter-Squad Assignment'!$A:$A,MATCH(C707&amp;"-"&amp;E707&amp;"-"&amp;F707&amp;"-Pos1",'Shooter-Squad Assignment'!$W:$W,0)),""),IF(F707="Sporting Clays",IFERROR(INDEX('Shooter-Squad Assignment'!$A:$A,MATCH(C707&amp;"-"&amp;E707&amp;"-"&amp;F707&amp;"-Pos1",'Shooter-Squad Assignment'!$Z:$Z,0)),""),"")))</f>
        <v/>
      </c>
      <c r="H707" s="73" t="str">
        <f>IF(ISBLANK(G707),"",IFERROR(INDEX('Tournament List'!$D:$D,MATCH(G707,'Tournament List'!$A:$A,0)),""))</f>
        <v/>
      </c>
      <c r="I707" s="94" t="str">
        <f>IF(F707="Skeet",IFERROR(INDEX('Shooter-Squad Assignment'!$A:$A,MATCH(C707&amp;"-"&amp;E707&amp;"-"&amp;F707&amp;"-Pos2",'Shooter-Squad Assignment'!$K:$K,0)),""),IF(F707="Trap",IFERROR(INDEX('Shooter-Squad Assignment'!$A:$A,MATCH(C707&amp;"-"&amp;E707&amp;"-"&amp;F707&amp;"-Pos2",'Shooter-Squad Assignment'!$W:$W,0)),""),IF(F707="Sporting Clays",IFERROR(INDEX('Shooter-Squad Assignment'!$A:$A,MATCH(C707&amp;"-"&amp;E707&amp;"-"&amp;F707&amp;"-Pos2",'Shooter-Squad Assignment'!$Z:$Z,0)),""),"")))</f>
        <v/>
      </c>
      <c r="J707" s="73" t="str">
        <f>IF(ISBLANK(I707),"",IFERROR(INDEX('Tournament List'!$D:$D,MATCH(I707,'Tournament List'!$A:$A,0)),""))</f>
        <v/>
      </c>
      <c r="K707" s="94" t="str">
        <f>IF(F707="Skeet",IFERROR(INDEX('Shooter-Squad Assignment'!$A:$A,MATCH(C707&amp;"-"&amp;E707&amp;"-"&amp;F707&amp;"-Pos3",'Shooter-Squad Assignment'!$K:$K,0)),""),IF(F707="Trap",IFERROR(INDEX('Shooter-Squad Assignment'!$A:$A,MATCH(C707&amp;"-"&amp;E707&amp;"-"&amp;F707&amp;"-Pos3",'Shooter-Squad Assignment'!$W:$W,0)),""),IF(F707="Sporting Clays",IFERROR(INDEX('Shooter-Squad Assignment'!$A:$A,MATCH(C707&amp;"-"&amp;E707&amp;"-"&amp;F707&amp;"-Pos3",'Shooter-Squad Assignment'!$Z:$Z,0)),""),"")))</f>
        <v/>
      </c>
      <c r="L707" s="73" t="str">
        <f>IF(ISBLANK(K707),"",IFERROR(INDEX('Tournament List'!$D:$D,MATCH(K707,'Tournament List'!$A:$A,0)),""))</f>
        <v/>
      </c>
      <c r="M707" s="94" t="str">
        <f>IF(F707="Skeet",IFERROR(INDEX('Shooter-Squad Assignment'!$A:$A,MATCH(C707&amp;"-"&amp;E707&amp;"-"&amp;F707&amp;"-Pos4",'Shooter-Squad Assignment'!$K:$K,0)),""),IF(F707="Trap",IFERROR(INDEX('Shooter-Squad Assignment'!$A:$A,MATCH(C707&amp;"-"&amp;E707&amp;"-"&amp;F707&amp;"-Pos4",'Shooter-Squad Assignment'!$W:$W,0)),""),IF(F707="Sporting Clays",IFERROR(INDEX('Shooter-Squad Assignment'!$A:$A,MATCH(C707&amp;"-"&amp;E707&amp;"-"&amp;F707&amp;"-Pos4",'Shooter-Squad Assignment'!$Z:$Z,0)),""),"")))</f>
        <v/>
      </c>
      <c r="N707" s="73" t="str">
        <f>IF(ISBLANK(M707),"",IFERROR(INDEX('Tournament List'!$D:$D,MATCH(M707,'Tournament List'!$A:$A,0)),""))</f>
        <v/>
      </c>
      <c r="O707" s="94" t="str">
        <f>IF(F707="Skeet",IFERROR(INDEX('Shooter-Squad Assignment'!$A:$A,MATCH(C707&amp;"-"&amp;E707&amp;"-"&amp;F707&amp;"-Pos5",'Shooter-Squad Assignment'!$K:$K,0)),""),IF(F707="Trap",IFERROR(INDEX('Shooter-Squad Assignment'!$A:$A,MATCH(C707&amp;"-"&amp;E707&amp;"-"&amp;F707&amp;"-Pos5",'Shooter-Squad Assignment'!$W:$W,0)),""),IF(F707="Sporting Clays",IFERROR(INDEX('Shooter-Squad Assignment'!$A:$A,MATCH(C707&amp;"-"&amp;E707&amp;"-"&amp;F707&amp;"-Pos5",'Shooter-Squad Assignment'!$Z:$Z,0)),""),"")))</f>
        <v/>
      </c>
      <c r="P707" s="79" t="str">
        <f>IF(ISBLANK(O707),"",IFERROR(INDEX('Tournament List'!$D:$D,MATCH(O707,'Tournament List'!$A:$A,0)),""))</f>
        <v/>
      </c>
    </row>
    <row r="708" spans="1:16" x14ac:dyDescent="0.3">
      <c r="A708" s="78">
        <v>707</v>
      </c>
      <c r="B708" s="73" t="str">
        <f>C708&amp;"-"&amp;E708&amp;"-"&amp;F708</f>
        <v>-Intermediate 1-Sporting Clays</v>
      </c>
      <c r="C708" s="73"/>
      <c r="D708" s="73" t="str">
        <f>INDEX('Tournament Setup'!$B$59:$B$78,MATCH(E708,SquadConcurrents,0))</f>
        <v>Intermediate</v>
      </c>
      <c r="E708" s="73" t="s">
        <v>338</v>
      </c>
      <c r="F708" s="73" t="s">
        <v>148</v>
      </c>
      <c r="G708" s="94" t="str">
        <f>IF(F708="Skeet",IFERROR(INDEX('Shooter-Squad Assignment'!$A:$A,MATCH(C708&amp;"-"&amp;E708&amp;"-"&amp;F708&amp;"-Pos1",'Shooter-Squad Assignment'!$K:$K,0)),""),IF(F708="Trap",IFERROR(INDEX('Shooter-Squad Assignment'!$A:$A,MATCH(C708&amp;"-"&amp;E708&amp;"-"&amp;F708&amp;"-Pos1",'Shooter-Squad Assignment'!$W:$W,0)),""),IF(F708="Sporting Clays",IFERROR(INDEX('Shooter-Squad Assignment'!$A:$A,MATCH(C708&amp;"-"&amp;E708&amp;"-"&amp;F708&amp;"-Pos1",'Shooter-Squad Assignment'!$Z:$Z,0)),""),"")))</f>
        <v/>
      </c>
      <c r="H708" s="73" t="str">
        <f>IF(ISBLANK(G708),"",IFERROR(INDEX('Tournament List'!$D:$D,MATCH(G708,'Tournament List'!$A:$A,0)),""))</f>
        <v/>
      </c>
      <c r="I708" s="94" t="str">
        <f>IF(F708="Skeet",IFERROR(INDEX('Shooter-Squad Assignment'!$A:$A,MATCH(C708&amp;"-"&amp;E708&amp;"-"&amp;F708&amp;"-Pos2",'Shooter-Squad Assignment'!$K:$K,0)),""),IF(F708="Trap",IFERROR(INDEX('Shooter-Squad Assignment'!$A:$A,MATCH(C708&amp;"-"&amp;E708&amp;"-"&amp;F708&amp;"-Pos2",'Shooter-Squad Assignment'!$W:$W,0)),""),IF(F708="Sporting Clays",IFERROR(INDEX('Shooter-Squad Assignment'!$A:$A,MATCH(C708&amp;"-"&amp;E708&amp;"-"&amp;F708&amp;"-Pos2",'Shooter-Squad Assignment'!$Z:$Z,0)),""),"")))</f>
        <v/>
      </c>
      <c r="J708" s="73" t="str">
        <f>IF(ISBLANK(I708),"",IFERROR(INDEX('Tournament List'!$D:$D,MATCH(I708,'Tournament List'!$A:$A,0)),""))</f>
        <v/>
      </c>
      <c r="K708" s="94" t="str">
        <f>IF(F708="Skeet",IFERROR(INDEX('Shooter-Squad Assignment'!$A:$A,MATCH(C708&amp;"-"&amp;E708&amp;"-"&amp;F708&amp;"-Pos3",'Shooter-Squad Assignment'!$K:$K,0)),""),IF(F708="Trap",IFERROR(INDEX('Shooter-Squad Assignment'!$A:$A,MATCH(C708&amp;"-"&amp;E708&amp;"-"&amp;F708&amp;"-Pos3",'Shooter-Squad Assignment'!$W:$W,0)),""),IF(F708="Sporting Clays",IFERROR(INDEX('Shooter-Squad Assignment'!$A:$A,MATCH(C708&amp;"-"&amp;E708&amp;"-"&amp;F708&amp;"-Pos3",'Shooter-Squad Assignment'!$Z:$Z,0)),""),"")))</f>
        <v/>
      </c>
      <c r="L708" s="73" t="str">
        <f>IF(ISBLANK(K708),"",IFERROR(INDEX('Tournament List'!$D:$D,MATCH(K708,'Tournament List'!$A:$A,0)),""))</f>
        <v/>
      </c>
      <c r="M708" s="94" t="str">
        <f>IF(F708="Skeet",IFERROR(INDEX('Shooter-Squad Assignment'!$A:$A,MATCH(C708&amp;"-"&amp;E708&amp;"-"&amp;F708&amp;"-Pos4",'Shooter-Squad Assignment'!$K:$K,0)),""),IF(F708="Trap",IFERROR(INDEX('Shooter-Squad Assignment'!$A:$A,MATCH(C708&amp;"-"&amp;E708&amp;"-"&amp;F708&amp;"-Pos4",'Shooter-Squad Assignment'!$W:$W,0)),""),IF(F708="Sporting Clays",IFERROR(INDEX('Shooter-Squad Assignment'!$A:$A,MATCH(C708&amp;"-"&amp;E708&amp;"-"&amp;F708&amp;"-Pos4",'Shooter-Squad Assignment'!$Z:$Z,0)),""),"")))</f>
        <v/>
      </c>
      <c r="N708" s="73" t="str">
        <f>IF(ISBLANK(M708),"",IFERROR(INDEX('Tournament List'!$D:$D,MATCH(M708,'Tournament List'!$A:$A,0)),""))</f>
        <v/>
      </c>
      <c r="O708" s="94" t="str">
        <f>IF(F708="Skeet",IFERROR(INDEX('Shooter-Squad Assignment'!$A:$A,MATCH(C708&amp;"-"&amp;E708&amp;"-"&amp;F708&amp;"-Pos5",'Shooter-Squad Assignment'!$K:$K,0)),""),IF(F708="Trap",IFERROR(INDEX('Shooter-Squad Assignment'!$A:$A,MATCH(C708&amp;"-"&amp;E708&amp;"-"&amp;F708&amp;"-Pos5",'Shooter-Squad Assignment'!$W:$W,0)),""),IF(F708="Sporting Clays",IFERROR(INDEX('Shooter-Squad Assignment'!$A:$A,MATCH(C708&amp;"-"&amp;E708&amp;"-"&amp;F708&amp;"-Pos5",'Shooter-Squad Assignment'!$Z:$Z,0)),""),"")))</f>
        <v/>
      </c>
      <c r="P708" s="79" t="str">
        <f>IF(ISBLANK(O708),"",IFERROR(INDEX('Tournament List'!$D:$D,MATCH(O708,'Tournament List'!$A:$A,0)),""))</f>
        <v/>
      </c>
    </row>
    <row r="709" spans="1:16" x14ac:dyDescent="0.3">
      <c r="A709" s="78">
        <v>708</v>
      </c>
      <c r="B709" s="73" t="str">
        <f>C709&amp;"-"&amp;E709&amp;"-"&amp;F709</f>
        <v>-Intermediate 2-Sporting Clays</v>
      </c>
      <c r="C709" s="73"/>
      <c r="D709" s="73" t="str">
        <f>INDEX('Tournament Setup'!$B$59:$B$78,MATCH(E709,SquadConcurrents,0))</f>
        <v>Intermediate</v>
      </c>
      <c r="E709" s="73" t="s">
        <v>344</v>
      </c>
      <c r="F709" s="73" t="s">
        <v>148</v>
      </c>
      <c r="G709" s="94" t="str">
        <f>IF(F709="Skeet",IFERROR(INDEX('Shooter-Squad Assignment'!$A:$A,MATCH(C709&amp;"-"&amp;E709&amp;"-"&amp;F709&amp;"-Pos1",'Shooter-Squad Assignment'!$K:$K,0)),""),IF(F709="Trap",IFERROR(INDEX('Shooter-Squad Assignment'!$A:$A,MATCH(C709&amp;"-"&amp;E709&amp;"-"&amp;F709&amp;"-Pos1",'Shooter-Squad Assignment'!$W:$W,0)),""),IF(F709="Sporting Clays",IFERROR(INDEX('Shooter-Squad Assignment'!$A:$A,MATCH(C709&amp;"-"&amp;E709&amp;"-"&amp;F709&amp;"-Pos1",'Shooter-Squad Assignment'!$Z:$Z,0)),""),"")))</f>
        <v/>
      </c>
      <c r="H709" s="73" t="str">
        <f>IF(ISBLANK(G709),"",IFERROR(INDEX('Tournament List'!$D:$D,MATCH(G709,'Tournament List'!$A:$A,0)),""))</f>
        <v/>
      </c>
      <c r="I709" s="94" t="str">
        <f>IF(F709="Skeet",IFERROR(INDEX('Shooter-Squad Assignment'!$A:$A,MATCH(C709&amp;"-"&amp;E709&amp;"-"&amp;F709&amp;"-Pos2",'Shooter-Squad Assignment'!$K:$K,0)),""),IF(F709="Trap",IFERROR(INDEX('Shooter-Squad Assignment'!$A:$A,MATCH(C709&amp;"-"&amp;E709&amp;"-"&amp;F709&amp;"-Pos2",'Shooter-Squad Assignment'!$W:$W,0)),""),IF(F709="Sporting Clays",IFERROR(INDEX('Shooter-Squad Assignment'!$A:$A,MATCH(C709&amp;"-"&amp;E709&amp;"-"&amp;F709&amp;"-Pos2",'Shooter-Squad Assignment'!$Z:$Z,0)),""),"")))</f>
        <v/>
      </c>
      <c r="J709" s="73" t="str">
        <f>IF(ISBLANK(I709),"",IFERROR(INDEX('Tournament List'!$D:$D,MATCH(I709,'Tournament List'!$A:$A,0)),""))</f>
        <v/>
      </c>
      <c r="K709" s="94" t="str">
        <f>IF(F709="Skeet",IFERROR(INDEX('Shooter-Squad Assignment'!$A:$A,MATCH(C709&amp;"-"&amp;E709&amp;"-"&amp;F709&amp;"-Pos3",'Shooter-Squad Assignment'!$K:$K,0)),""),IF(F709="Trap",IFERROR(INDEX('Shooter-Squad Assignment'!$A:$A,MATCH(C709&amp;"-"&amp;E709&amp;"-"&amp;F709&amp;"-Pos3",'Shooter-Squad Assignment'!$W:$W,0)),""),IF(F709="Sporting Clays",IFERROR(INDEX('Shooter-Squad Assignment'!$A:$A,MATCH(C709&amp;"-"&amp;E709&amp;"-"&amp;F709&amp;"-Pos3",'Shooter-Squad Assignment'!$Z:$Z,0)),""),"")))</f>
        <v/>
      </c>
      <c r="L709" s="73" t="str">
        <f>IF(ISBLANK(K709),"",IFERROR(INDEX('Tournament List'!$D:$D,MATCH(K709,'Tournament List'!$A:$A,0)),""))</f>
        <v/>
      </c>
      <c r="M709" s="94" t="str">
        <f>IF(F709="Skeet",IFERROR(INDEX('Shooter-Squad Assignment'!$A:$A,MATCH(C709&amp;"-"&amp;E709&amp;"-"&amp;F709&amp;"-Pos4",'Shooter-Squad Assignment'!$K:$K,0)),""),IF(F709="Trap",IFERROR(INDEX('Shooter-Squad Assignment'!$A:$A,MATCH(C709&amp;"-"&amp;E709&amp;"-"&amp;F709&amp;"-Pos4",'Shooter-Squad Assignment'!$W:$W,0)),""),IF(F709="Sporting Clays",IFERROR(INDEX('Shooter-Squad Assignment'!$A:$A,MATCH(C709&amp;"-"&amp;E709&amp;"-"&amp;F709&amp;"-Pos4",'Shooter-Squad Assignment'!$Z:$Z,0)),""),"")))</f>
        <v/>
      </c>
      <c r="N709" s="73" t="str">
        <f>IF(ISBLANK(M709),"",IFERROR(INDEX('Tournament List'!$D:$D,MATCH(M709,'Tournament List'!$A:$A,0)),""))</f>
        <v/>
      </c>
      <c r="O709" s="94" t="str">
        <f>IF(F709="Skeet",IFERROR(INDEX('Shooter-Squad Assignment'!$A:$A,MATCH(C709&amp;"-"&amp;E709&amp;"-"&amp;F709&amp;"-Pos5",'Shooter-Squad Assignment'!$K:$K,0)),""),IF(F709="Trap",IFERROR(INDEX('Shooter-Squad Assignment'!$A:$A,MATCH(C709&amp;"-"&amp;E709&amp;"-"&amp;F709&amp;"-Pos5",'Shooter-Squad Assignment'!$W:$W,0)),""),IF(F709="Sporting Clays",IFERROR(INDEX('Shooter-Squad Assignment'!$A:$A,MATCH(C709&amp;"-"&amp;E709&amp;"-"&amp;F709&amp;"-Pos5",'Shooter-Squad Assignment'!$Z:$Z,0)),""),"")))</f>
        <v/>
      </c>
      <c r="P709" s="79" t="str">
        <f>IF(ISBLANK(O709),"",IFERROR(INDEX('Tournament List'!$D:$D,MATCH(O709,'Tournament List'!$A:$A,0)),""))</f>
        <v/>
      </c>
    </row>
    <row r="710" spans="1:16" x14ac:dyDescent="0.3">
      <c r="A710" s="78">
        <v>709</v>
      </c>
      <c r="B710" s="73" t="str">
        <f>C710&amp;"-"&amp;E710&amp;"-"&amp;F710</f>
        <v>-Intermediate 3-Sporting Clays</v>
      </c>
      <c r="C710" s="73"/>
      <c r="D710" s="73" t="str">
        <f>INDEX('Tournament Setup'!$B$59:$B$78,MATCH(E710,SquadConcurrents,0))</f>
        <v>Intermediate</v>
      </c>
      <c r="E710" s="73" t="s">
        <v>350</v>
      </c>
      <c r="F710" s="73" t="s">
        <v>148</v>
      </c>
      <c r="G710" s="94" t="str">
        <f>IF(F710="Skeet",IFERROR(INDEX('Shooter-Squad Assignment'!$A:$A,MATCH(C710&amp;"-"&amp;E710&amp;"-"&amp;F710&amp;"-Pos1",'Shooter-Squad Assignment'!$K:$K,0)),""),IF(F710="Trap",IFERROR(INDEX('Shooter-Squad Assignment'!$A:$A,MATCH(C710&amp;"-"&amp;E710&amp;"-"&amp;F710&amp;"-Pos1",'Shooter-Squad Assignment'!$W:$W,0)),""),IF(F710="Sporting Clays",IFERROR(INDEX('Shooter-Squad Assignment'!$A:$A,MATCH(C710&amp;"-"&amp;E710&amp;"-"&amp;F710&amp;"-Pos1",'Shooter-Squad Assignment'!$Z:$Z,0)),""),"")))</f>
        <v/>
      </c>
      <c r="H710" s="73" t="str">
        <f>IF(ISBLANK(G710),"",IFERROR(INDEX('Tournament List'!$D:$D,MATCH(G710,'Tournament List'!$A:$A,0)),""))</f>
        <v/>
      </c>
      <c r="I710" s="94" t="str">
        <f>IF(F710="Skeet",IFERROR(INDEX('Shooter-Squad Assignment'!$A:$A,MATCH(C710&amp;"-"&amp;E710&amp;"-"&amp;F710&amp;"-Pos2",'Shooter-Squad Assignment'!$K:$K,0)),""),IF(F710="Trap",IFERROR(INDEX('Shooter-Squad Assignment'!$A:$A,MATCH(C710&amp;"-"&amp;E710&amp;"-"&amp;F710&amp;"-Pos2",'Shooter-Squad Assignment'!$W:$W,0)),""),IF(F710="Sporting Clays",IFERROR(INDEX('Shooter-Squad Assignment'!$A:$A,MATCH(C710&amp;"-"&amp;E710&amp;"-"&amp;F710&amp;"-Pos2",'Shooter-Squad Assignment'!$Z:$Z,0)),""),"")))</f>
        <v/>
      </c>
      <c r="J710" s="73" t="str">
        <f>IF(ISBLANK(I710),"",IFERROR(INDEX('Tournament List'!$D:$D,MATCH(I710,'Tournament List'!$A:$A,0)),""))</f>
        <v/>
      </c>
      <c r="K710" s="94" t="str">
        <f>IF(F710="Skeet",IFERROR(INDEX('Shooter-Squad Assignment'!$A:$A,MATCH(C710&amp;"-"&amp;E710&amp;"-"&amp;F710&amp;"-Pos3",'Shooter-Squad Assignment'!$K:$K,0)),""),IF(F710="Trap",IFERROR(INDEX('Shooter-Squad Assignment'!$A:$A,MATCH(C710&amp;"-"&amp;E710&amp;"-"&amp;F710&amp;"-Pos3",'Shooter-Squad Assignment'!$W:$W,0)),""),IF(F710="Sporting Clays",IFERROR(INDEX('Shooter-Squad Assignment'!$A:$A,MATCH(C710&amp;"-"&amp;E710&amp;"-"&amp;F710&amp;"-Pos3",'Shooter-Squad Assignment'!$Z:$Z,0)),""),"")))</f>
        <v/>
      </c>
      <c r="L710" s="73" t="str">
        <f>IF(ISBLANK(K710),"",IFERROR(INDEX('Tournament List'!$D:$D,MATCH(K710,'Tournament List'!$A:$A,0)),""))</f>
        <v/>
      </c>
      <c r="M710" s="94" t="str">
        <f>IF(F710="Skeet",IFERROR(INDEX('Shooter-Squad Assignment'!$A:$A,MATCH(C710&amp;"-"&amp;E710&amp;"-"&amp;F710&amp;"-Pos4",'Shooter-Squad Assignment'!$K:$K,0)),""),IF(F710="Trap",IFERROR(INDEX('Shooter-Squad Assignment'!$A:$A,MATCH(C710&amp;"-"&amp;E710&amp;"-"&amp;F710&amp;"-Pos4",'Shooter-Squad Assignment'!$W:$W,0)),""),IF(F710="Sporting Clays",IFERROR(INDEX('Shooter-Squad Assignment'!$A:$A,MATCH(C710&amp;"-"&amp;E710&amp;"-"&amp;F710&amp;"-Pos4",'Shooter-Squad Assignment'!$Z:$Z,0)),""),"")))</f>
        <v/>
      </c>
      <c r="N710" s="73" t="str">
        <f>IF(ISBLANK(M710),"",IFERROR(INDEX('Tournament List'!$D:$D,MATCH(M710,'Tournament List'!$A:$A,0)),""))</f>
        <v/>
      </c>
      <c r="O710" s="94" t="str">
        <f>IF(F710="Skeet",IFERROR(INDEX('Shooter-Squad Assignment'!$A:$A,MATCH(C710&amp;"-"&amp;E710&amp;"-"&amp;F710&amp;"-Pos5",'Shooter-Squad Assignment'!$K:$K,0)),""),IF(F710="Trap",IFERROR(INDEX('Shooter-Squad Assignment'!$A:$A,MATCH(C710&amp;"-"&amp;E710&amp;"-"&amp;F710&amp;"-Pos5",'Shooter-Squad Assignment'!$W:$W,0)),""),IF(F710="Sporting Clays",IFERROR(INDEX('Shooter-Squad Assignment'!$A:$A,MATCH(C710&amp;"-"&amp;E710&amp;"-"&amp;F710&amp;"-Pos5",'Shooter-Squad Assignment'!$Z:$Z,0)),""),"")))</f>
        <v/>
      </c>
      <c r="P710" s="79" t="str">
        <f>IF(ISBLANK(O710),"",IFERROR(INDEX('Tournament List'!$D:$D,MATCH(O710,'Tournament List'!$A:$A,0)),""))</f>
        <v/>
      </c>
    </row>
    <row r="711" spans="1:16" x14ac:dyDescent="0.3">
      <c r="A711" s="78">
        <v>710</v>
      </c>
      <c r="B711" s="73" t="str">
        <f>C711&amp;"-"&amp;E711&amp;"-"&amp;F711</f>
        <v>-Junior Varsity 1-Sporting Clays</v>
      </c>
      <c r="C711" s="73"/>
      <c r="D711" s="73" t="str">
        <f>INDEX('Tournament Setup'!$B$59:$B$78,MATCH(E711,SquadConcurrents,0))</f>
        <v>Junior Varsity</v>
      </c>
      <c r="E711" s="73" t="s">
        <v>339</v>
      </c>
      <c r="F711" s="73" t="s">
        <v>148</v>
      </c>
      <c r="G711" s="94" t="str">
        <f>IF(F711="Skeet",IFERROR(INDEX('Shooter-Squad Assignment'!$A:$A,MATCH(C711&amp;"-"&amp;E711&amp;"-"&amp;F711&amp;"-Pos1",'Shooter-Squad Assignment'!$K:$K,0)),""),IF(F711="Trap",IFERROR(INDEX('Shooter-Squad Assignment'!$A:$A,MATCH(C711&amp;"-"&amp;E711&amp;"-"&amp;F711&amp;"-Pos1",'Shooter-Squad Assignment'!$W:$W,0)),""),IF(F711="Sporting Clays",IFERROR(INDEX('Shooter-Squad Assignment'!$A:$A,MATCH(C711&amp;"-"&amp;E711&amp;"-"&amp;F711&amp;"-Pos1",'Shooter-Squad Assignment'!$Z:$Z,0)),""),"")))</f>
        <v/>
      </c>
      <c r="H711" s="73" t="str">
        <f>IF(ISBLANK(G711),"",IFERROR(INDEX('Tournament List'!$D:$D,MATCH(G711,'Tournament List'!$A:$A,0)),""))</f>
        <v/>
      </c>
      <c r="I711" s="94" t="str">
        <f>IF(F711="Skeet",IFERROR(INDEX('Shooter-Squad Assignment'!$A:$A,MATCH(C711&amp;"-"&amp;E711&amp;"-"&amp;F711&amp;"-Pos2",'Shooter-Squad Assignment'!$K:$K,0)),""),IF(F711="Trap",IFERROR(INDEX('Shooter-Squad Assignment'!$A:$A,MATCH(C711&amp;"-"&amp;E711&amp;"-"&amp;F711&amp;"-Pos2",'Shooter-Squad Assignment'!$W:$W,0)),""),IF(F711="Sporting Clays",IFERROR(INDEX('Shooter-Squad Assignment'!$A:$A,MATCH(C711&amp;"-"&amp;E711&amp;"-"&amp;F711&amp;"-Pos2",'Shooter-Squad Assignment'!$Z:$Z,0)),""),"")))</f>
        <v/>
      </c>
      <c r="J711" s="73" t="str">
        <f>IF(ISBLANK(I711),"",IFERROR(INDEX('Tournament List'!$D:$D,MATCH(I711,'Tournament List'!$A:$A,0)),""))</f>
        <v/>
      </c>
      <c r="K711" s="94" t="str">
        <f>IF(F711="Skeet",IFERROR(INDEX('Shooter-Squad Assignment'!$A:$A,MATCH(C711&amp;"-"&amp;E711&amp;"-"&amp;F711&amp;"-Pos3",'Shooter-Squad Assignment'!$K:$K,0)),""),IF(F711="Trap",IFERROR(INDEX('Shooter-Squad Assignment'!$A:$A,MATCH(C711&amp;"-"&amp;E711&amp;"-"&amp;F711&amp;"-Pos3",'Shooter-Squad Assignment'!$W:$W,0)),""),IF(F711="Sporting Clays",IFERROR(INDEX('Shooter-Squad Assignment'!$A:$A,MATCH(C711&amp;"-"&amp;E711&amp;"-"&amp;F711&amp;"-Pos3",'Shooter-Squad Assignment'!$Z:$Z,0)),""),"")))</f>
        <v/>
      </c>
      <c r="L711" s="73" t="str">
        <f>IF(ISBLANK(K711),"",IFERROR(INDEX('Tournament List'!$D:$D,MATCH(K711,'Tournament List'!$A:$A,0)),""))</f>
        <v/>
      </c>
      <c r="M711" s="94" t="str">
        <f>IF(F711="Skeet",IFERROR(INDEX('Shooter-Squad Assignment'!$A:$A,MATCH(C711&amp;"-"&amp;E711&amp;"-"&amp;F711&amp;"-Pos4",'Shooter-Squad Assignment'!$K:$K,0)),""),IF(F711="Trap",IFERROR(INDEX('Shooter-Squad Assignment'!$A:$A,MATCH(C711&amp;"-"&amp;E711&amp;"-"&amp;F711&amp;"-Pos4",'Shooter-Squad Assignment'!$W:$W,0)),""),IF(F711="Sporting Clays",IFERROR(INDEX('Shooter-Squad Assignment'!$A:$A,MATCH(C711&amp;"-"&amp;E711&amp;"-"&amp;F711&amp;"-Pos4",'Shooter-Squad Assignment'!$Z:$Z,0)),""),"")))</f>
        <v/>
      </c>
      <c r="N711" s="73" t="str">
        <f>IF(ISBLANK(M711),"",IFERROR(INDEX('Tournament List'!$D:$D,MATCH(M711,'Tournament List'!$A:$A,0)),""))</f>
        <v/>
      </c>
      <c r="O711" s="94" t="str">
        <f>IF(F711="Skeet",IFERROR(INDEX('Shooter-Squad Assignment'!$A:$A,MATCH(C711&amp;"-"&amp;E711&amp;"-"&amp;F711&amp;"-Pos5",'Shooter-Squad Assignment'!$K:$K,0)),""),IF(F711="Trap",IFERROR(INDEX('Shooter-Squad Assignment'!$A:$A,MATCH(C711&amp;"-"&amp;E711&amp;"-"&amp;F711&amp;"-Pos5",'Shooter-Squad Assignment'!$W:$W,0)),""),IF(F711="Sporting Clays",IFERROR(INDEX('Shooter-Squad Assignment'!$A:$A,MATCH(C711&amp;"-"&amp;E711&amp;"-"&amp;F711&amp;"-Pos5",'Shooter-Squad Assignment'!$Z:$Z,0)),""),"")))</f>
        <v/>
      </c>
      <c r="P711" s="79" t="str">
        <f>IF(ISBLANK(O711),"",IFERROR(INDEX('Tournament List'!$D:$D,MATCH(O711,'Tournament List'!$A:$A,0)),""))</f>
        <v/>
      </c>
    </row>
    <row r="712" spans="1:16" x14ac:dyDescent="0.3">
      <c r="A712" s="78">
        <v>711</v>
      </c>
      <c r="B712" s="73" t="str">
        <f>C712&amp;"-"&amp;E712&amp;"-"&amp;F712</f>
        <v>-Junior Varsity 2-Sporting Clays</v>
      </c>
      <c r="C712" s="73"/>
      <c r="D712" s="73" t="str">
        <f>INDEX('Tournament Setup'!$B$59:$B$78,MATCH(E712,SquadConcurrents,0))</f>
        <v>Junior Varsity</v>
      </c>
      <c r="E712" s="73" t="s">
        <v>345</v>
      </c>
      <c r="F712" s="73" t="s">
        <v>148</v>
      </c>
      <c r="G712" s="94" t="str">
        <f>IF(F712="Skeet",IFERROR(INDEX('Shooter-Squad Assignment'!$A:$A,MATCH(C712&amp;"-"&amp;E712&amp;"-"&amp;F712&amp;"-Pos1",'Shooter-Squad Assignment'!$K:$K,0)),""),IF(F712="Trap",IFERROR(INDEX('Shooter-Squad Assignment'!$A:$A,MATCH(C712&amp;"-"&amp;E712&amp;"-"&amp;F712&amp;"-Pos1",'Shooter-Squad Assignment'!$W:$W,0)),""),IF(F712="Sporting Clays",IFERROR(INDEX('Shooter-Squad Assignment'!$A:$A,MATCH(C712&amp;"-"&amp;E712&amp;"-"&amp;F712&amp;"-Pos1",'Shooter-Squad Assignment'!$Z:$Z,0)),""),"")))</f>
        <v/>
      </c>
      <c r="H712" s="73" t="str">
        <f>IF(ISBLANK(G712),"",IFERROR(INDEX('Tournament List'!$D:$D,MATCH(G712,'Tournament List'!$A:$A,0)),""))</f>
        <v/>
      </c>
      <c r="I712" s="94" t="str">
        <f>IF(F712="Skeet",IFERROR(INDEX('Shooter-Squad Assignment'!$A:$A,MATCH(C712&amp;"-"&amp;E712&amp;"-"&amp;F712&amp;"-Pos2",'Shooter-Squad Assignment'!$K:$K,0)),""),IF(F712="Trap",IFERROR(INDEX('Shooter-Squad Assignment'!$A:$A,MATCH(C712&amp;"-"&amp;E712&amp;"-"&amp;F712&amp;"-Pos2",'Shooter-Squad Assignment'!$W:$W,0)),""),IF(F712="Sporting Clays",IFERROR(INDEX('Shooter-Squad Assignment'!$A:$A,MATCH(C712&amp;"-"&amp;E712&amp;"-"&amp;F712&amp;"-Pos2",'Shooter-Squad Assignment'!$Z:$Z,0)),""),"")))</f>
        <v/>
      </c>
      <c r="J712" s="73" t="str">
        <f>IF(ISBLANK(I712),"",IFERROR(INDEX('Tournament List'!$D:$D,MATCH(I712,'Tournament List'!$A:$A,0)),""))</f>
        <v/>
      </c>
      <c r="K712" s="94" t="str">
        <f>IF(F712="Skeet",IFERROR(INDEX('Shooter-Squad Assignment'!$A:$A,MATCH(C712&amp;"-"&amp;E712&amp;"-"&amp;F712&amp;"-Pos3",'Shooter-Squad Assignment'!$K:$K,0)),""),IF(F712="Trap",IFERROR(INDEX('Shooter-Squad Assignment'!$A:$A,MATCH(C712&amp;"-"&amp;E712&amp;"-"&amp;F712&amp;"-Pos3",'Shooter-Squad Assignment'!$W:$W,0)),""),IF(F712="Sporting Clays",IFERROR(INDEX('Shooter-Squad Assignment'!$A:$A,MATCH(C712&amp;"-"&amp;E712&amp;"-"&amp;F712&amp;"-Pos3",'Shooter-Squad Assignment'!$Z:$Z,0)),""),"")))</f>
        <v/>
      </c>
      <c r="L712" s="73" t="str">
        <f>IF(ISBLANK(K712),"",IFERROR(INDEX('Tournament List'!$D:$D,MATCH(K712,'Tournament List'!$A:$A,0)),""))</f>
        <v/>
      </c>
      <c r="M712" s="94" t="str">
        <f>IF(F712="Skeet",IFERROR(INDEX('Shooter-Squad Assignment'!$A:$A,MATCH(C712&amp;"-"&amp;E712&amp;"-"&amp;F712&amp;"-Pos4",'Shooter-Squad Assignment'!$K:$K,0)),""),IF(F712="Trap",IFERROR(INDEX('Shooter-Squad Assignment'!$A:$A,MATCH(C712&amp;"-"&amp;E712&amp;"-"&amp;F712&amp;"-Pos4",'Shooter-Squad Assignment'!$W:$W,0)),""),IF(F712="Sporting Clays",IFERROR(INDEX('Shooter-Squad Assignment'!$A:$A,MATCH(C712&amp;"-"&amp;E712&amp;"-"&amp;F712&amp;"-Pos4",'Shooter-Squad Assignment'!$Z:$Z,0)),""),"")))</f>
        <v/>
      </c>
      <c r="N712" s="73" t="str">
        <f>IF(ISBLANK(M712),"",IFERROR(INDEX('Tournament List'!$D:$D,MATCH(M712,'Tournament List'!$A:$A,0)),""))</f>
        <v/>
      </c>
      <c r="O712" s="94" t="str">
        <f>IF(F712="Skeet",IFERROR(INDEX('Shooter-Squad Assignment'!$A:$A,MATCH(C712&amp;"-"&amp;E712&amp;"-"&amp;F712&amp;"-Pos5",'Shooter-Squad Assignment'!$K:$K,0)),""),IF(F712="Trap",IFERROR(INDEX('Shooter-Squad Assignment'!$A:$A,MATCH(C712&amp;"-"&amp;E712&amp;"-"&amp;F712&amp;"-Pos5",'Shooter-Squad Assignment'!$W:$W,0)),""),IF(F712="Sporting Clays",IFERROR(INDEX('Shooter-Squad Assignment'!$A:$A,MATCH(C712&amp;"-"&amp;E712&amp;"-"&amp;F712&amp;"-Pos5",'Shooter-Squad Assignment'!$Z:$Z,0)),""),"")))</f>
        <v/>
      </c>
      <c r="P712" s="79" t="str">
        <f>IF(ISBLANK(O712),"",IFERROR(INDEX('Tournament List'!$D:$D,MATCH(O712,'Tournament List'!$A:$A,0)),""))</f>
        <v/>
      </c>
    </row>
    <row r="713" spans="1:16" x14ac:dyDescent="0.3">
      <c r="A713" s="78">
        <v>712</v>
      </c>
      <c r="B713" s="73" t="str">
        <f>C713&amp;"-"&amp;E713&amp;"-"&amp;F713</f>
        <v>-Junior Varsity 3-Sporting Clays</v>
      </c>
      <c r="C713" s="73"/>
      <c r="D713" s="73" t="str">
        <f>INDEX('Tournament Setup'!$B$59:$B$78,MATCH(E713,SquadConcurrents,0))</f>
        <v>Junior Varsity</v>
      </c>
      <c r="E713" s="73" t="s">
        <v>351</v>
      </c>
      <c r="F713" s="73" t="s">
        <v>148</v>
      </c>
      <c r="G713" s="94" t="str">
        <f>IF(F713="Skeet",IFERROR(INDEX('Shooter-Squad Assignment'!$A:$A,MATCH(C713&amp;"-"&amp;E713&amp;"-"&amp;F713&amp;"-Pos1",'Shooter-Squad Assignment'!$K:$K,0)),""),IF(F713="Trap",IFERROR(INDEX('Shooter-Squad Assignment'!$A:$A,MATCH(C713&amp;"-"&amp;E713&amp;"-"&amp;F713&amp;"-Pos1",'Shooter-Squad Assignment'!$W:$W,0)),""),IF(F713="Sporting Clays",IFERROR(INDEX('Shooter-Squad Assignment'!$A:$A,MATCH(C713&amp;"-"&amp;E713&amp;"-"&amp;F713&amp;"-Pos1",'Shooter-Squad Assignment'!$Z:$Z,0)),""),"")))</f>
        <v/>
      </c>
      <c r="H713" s="73" t="str">
        <f>IF(ISBLANK(G713),"",IFERROR(INDEX('Tournament List'!$D:$D,MATCH(G713,'Tournament List'!$A:$A,0)),""))</f>
        <v/>
      </c>
      <c r="I713" s="94" t="str">
        <f>IF(F713="Skeet",IFERROR(INDEX('Shooter-Squad Assignment'!$A:$A,MATCH(C713&amp;"-"&amp;E713&amp;"-"&amp;F713&amp;"-Pos2",'Shooter-Squad Assignment'!$K:$K,0)),""),IF(F713="Trap",IFERROR(INDEX('Shooter-Squad Assignment'!$A:$A,MATCH(C713&amp;"-"&amp;E713&amp;"-"&amp;F713&amp;"-Pos2",'Shooter-Squad Assignment'!$W:$W,0)),""),IF(F713="Sporting Clays",IFERROR(INDEX('Shooter-Squad Assignment'!$A:$A,MATCH(C713&amp;"-"&amp;E713&amp;"-"&amp;F713&amp;"-Pos2",'Shooter-Squad Assignment'!$Z:$Z,0)),""),"")))</f>
        <v/>
      </c>
      <c r="J713" s="73" t="str">
        <f>IF(ISBLANK(I713),"",IFERROR(INDEX('Tournament List'!$D:$D,MATCH(I713,'Tournament List'!$A:$A,0)),""))</f>
        <v/>
      </c>
      <c r="K713" s="94" t="str">
        <f>IF(F713="Skeet",IFERROR(INDEX('Shooter-Squad Assignment'!$A:$A,MATCH(C713&amp;"-"&amp;E713&amp;"-"&amp;F713&amp;"-Pos3",'Shooter-Squad Assignment'!$K:$K,0)),""),IF(F713="Trap",IFERROR(INDEX('Shooter-Squad Assignment'!$A:$A,MATCH(C713&amp;"-"&amp;E713&amp;"-"&amp;F713&amp;"-Pos3",'Shooter-Squad Assignment'!$W:$W,0)),""),IF(F713="Sporting Clays",IFERROR(INDEX('Shooter-Squad Assignment'!$A:$A,MATCH(C713&amp;"-"&amp;E713&amp;"-"&amp;F713&amp;"-Pos3",'Shooter-Squad Assignment'!$Z:$Z,0)),""),"")))</f>
        <v/>
      </c>
      <c r="L713" s="73" t="str">
        <f>IF(ISBLANK(K713),"",IFERROR(INDEX('Tournament List'!$D:$D,MATCH(K713,'Tournament List'!$A:$A,0)),""))</f>
        <v/>
      </c>
      <c r="M713" s="94" t="str">
        <f>IF(F713="Skeet",IFERROR(INDEX('Shooter-Squad Assignment'!$A:$A,MATCH(C713&amp;"-"&amp;E713&amp;"-"&amp;F713&amp;"-Pos4",'Shooter-Squad Assignment'!$K:$K,0)),""),IF(F713="Trap",IFERROR(INDEX('Shooter-Squad Assignment'!$A:$A,MATCH(C713&amp;"-"&amp;E713&amp;"-"&amp;F713&amp;"-Pos4",'Shooter-Squad Assignment'!$W:$W,0)),""),IF(F713="Sporting Clays",IFERROR(INDEX('Shooter-Squad Assignment'!$A:$A,MATCH(C713&amp;"-"&amp;E713&amp;"-"&amp;F713&amp;"-Pos4",'Shooter-Squad Assignment'!$Z:$Z,0)),""),"")))</f>
        <v/>
      </c>
      <c r="N713" s="73" t="str">
        <f>IF(ISBLANK(M713),"",IFERROR(INDEX('Tournament List'!$D:$D,MATCH(M713,'Tournament List'!$A:$A,0)),""))</f>
        <v/>
      </c>
      <c r="O713" s="94" t="str">
        <f>IF(F713="Skeet",IFERROR(INDEX('Shooter-Squad Assignment'!$A:$A,MATCH(C713&amp;"-"&amp;E713&amp;"-"&amp;F713&amp;"-Pos5",'Shooter-Squad Assignment'!$K:$K,0)),""),IF(F713="Trap",IFERROR(INDEX('Shooter-Squad Assignment'!$A:$A,MATCH(C713&amp;"-"&amp;E713&amp;"-"&amp;F713&amp;"-Pos5",'Shooter-Squad Assignment'!$W:$W,0)),""),IF(F713="Sporting Clays",IFERROR(INDEX('Shooter-Squad Assignment'!$A:$A,MATCH(C713&amp;"-"&amp;E713&amp;"-"&amp;F713&amp;"-Pos5",'Shooter-Squad Assignment'!$Z:$Z,0)),""),"")))</f>
        <v/>
      </c>
      <c r="P713" s="79" t="str">
        <f>IF(ISBLANK(O713),"",IFERROR(INDEX('Tournament List'!$D:$D,MATCH(O713,'Tournament List'!$A:$A,0)),""))</f>
        <v/>
      </c>
    </row>
    <row r="714" spans="1:16" x14ac:dyDescent="0.3">
      <c r="A714" s="78">
        <v>713</v>
      </c>
      <c r="B714" s="73" t="str">
        <f>C714&amp;"-"&amp;E714&amp;"-"&amp;F714</f>
        <v>-Novice 1-Sporting Clays</v>
      </c>
      <c r="C714" s="73"/>
      <c r="D714" s="73" t="str">
        <f>INDEX('Tournament Setup'!$B$59:$B$78,MATCH(E714,SquadConcurrents,0))</f>
        <v>Novice</v>
      </c>
      <c r="E714" s="73" t="s">
        <v>337</v>
      </c>
      <c r="F714" s="73" t="s">
        <v>148</v>
      </c>
      <c r="G714" s="94" t="str">
        <f>IF(F714="Skeet",IFERROR(INDEX('Shooter-Squad Assignment'!$A:$A,MATCH(C714&amp;"-"&amp;E714&amp;"-"&amp;F714&amp;"-Pos1",'Shooter-Squad Assignment'!$K:$K,0)),""),IF(F714="Trap",IFERROR(INDEX('Shooter-Squad Assignment'!$A:$A,MATCH(C714&amp;"-"&amp;E714&amp;"-"&amp;F714&amp;"-Pos1",'Shooter-Squad Assignment'!$W:$W,0)),""),IF(F714="Sporting Clays",IFERROR(INDEX('Shooter-Squad Assignment'!$A:$A,MATCH(C714&amp;"-"&amp;E714&amp;"-"&amp;F714&amp;"-Pos1",'Shooter-Squad Assignment'!$Z:$Z,0)),""),"")))</f>
        <v/>
      </c>
      <c r="H714" s="73" t="str">
        <f>IF(ISBLANK(G714),"",IFERROR(INDEX('Tournament List'!$D:$D,MATCH(G714,'Tournament List'!$A:$A,0)),""))</f>
        <v/>
      </c>
      <c r="I714" s="94" t="str">
        <f>IF(F714="Skeet",IFERROR(INDEX('Shooter-Squad Assignment'!$A:$A,MATCH(C714&amp;"-"&amp;E714&amp;"-"&amp;F714&amp;"-Pos2",'Shooter-Squad Assignment'!$K:$K,0)),""),IF(F714="Trap",IFERROR(INDEX('Shooter-Squad Assignment'!$A:$A,MATCH(C714&amp;"-"&amp;E714&amp;"-"&amp;F714&amp;"-Pos2",'Shooter-Squad Assignment'!$W:$W,0)),""),IF(F714="Sporting Clays",IFERROR(INDEX('Shooter-Squad Assignment'!$A:$A,MATCH(C714&amp;"-"&amp;E714&amp;"-"&amp;F714&amp;"-Pos2",'Shooter-Squad Assignment'!$Z:$Z,0)),""),"")))</f>
        <v/>
      </c>
      <c r="J714" s="73" t="str">
        <f>IF(ISBLANK(I714),"",IFERROR(INDEX('Tournament List'!$D:$D,MATCH(I714,'Tournament List'!$A:$A,0)),""))</f>
        <v/>
      </c>
      <c r="K714" s="94" t="str">
        <f>IF(F714="Skeet",IFERROR(INDEX('Shooter-Squad Assignment'!$A:$A,MATCH(C714&amp;"-"&amp;E714&amp;"-"&amp;F714&amp;"-Pos3",'Shooter-Squad Assignment'!$K:$K,0)),""),IF(F714="Trap",IFERROR(INDEX('Shooter-Squad Assignment'!$A:$A,MATCH(C714&amp;"-"&amp;E714&amp;"-"&amp;F714&amp;"-Pos3",'Shooter-Squad Assignment'!$W:$W,0)),""),IF(F714="Sporting Clays",IFERROR(INDEX('Shooter-Squad Assignment'!$A:$A,MATCH(C714&amp;"-"&amp;E714&amp;"-"&amp;F714&amp;"-Pos3",'Shooter-Squad Assignment'!$Z:$Z,0)),""),"")))</f>
        <v/>
      </c>
      <c r="L714" s="73" t="str">
        <f>IF(ISBLANK(K714),"",IFERROR(INDEX('Tournament List'!$D:$D,MATCH(K714,'Tournament List'!$A:$A,0)),""))</f>
        <v/>
      </c>
      <c r="M714" s="94" t="str">
        <f>IF(F714="Skeet",IFERROR(INDEX('Shooter-Squad Assignment'!$A:$A,MATCH(C714&amp;"-"&amp;E714&amp;"-"&amp;F714&amp;"-Pos4",'Shooter-Squad Assignment'!$K:$K,0)),""),IF(F714="Trap",IFERROR(INDEX('Shooter-Squad Assignment'!$A:$A,MATCH(C714&amp;"-"&amp;E714&amp;"-"&amp;F714&amp;"-Pos4",'Shooter-Squad Assignment'!$W:$W,0)),""),IF(F714="Sporting Clays",IFERROR(INDEX('Shooter-Squad Assignment'!$A:$A,MATCH(C714&amp;"-"&amp;E714&amp;"-"&amp;F714&amp;"-Pos4",'Shooter-Squad Assignment'!$Z:$Z,0)),""),"")))</f>
        <v/>
      </c>
      <c r="N714" s="73" t="str">
        <f>IF(ISBLANK(M714),"",IFERROR(INDEX('Tournament List'!$D:$D,MATCH(M714,'Tournament List'!$A:$A,0)),""))</f>
        <v/>
      </c>
      <c r="O714" s="94" t="str">
        <f>IF(F714="Skeet",IFERROR(INDEX('Shooter-Squad Assignment'!$A:$A,MATCH(C714&amp;"-"&amp;E714&amp;"-"&amp;F714&amp;"-Pos5",'Shooter-Squad Assignment'!$K:$K,0)),""),IF(F714="Trap",IFERROR(INDEX('Shooter-Squad Assignment'!$A:$A,MATCH(C714&amp;"-"&amp;E714&amp;"-"&amp;F714&amp;"-Pos5",'Shooter-Squad Assignment'!$W:$W,0)),""),IF(F714="Sporting Clays",IFERROR(INDEX('Shooter-Squad Assignment'!$A:$A,MATCH(C714&amp;"-"&amp;E714&amp;"-"&amp;F714&amp;"-Pos5",'Shooter-Squad Assignment'!$Z:$Z,0)),""),"")))</f>
        <v/>
      </c>
      <c r="P714" s="79" t="str">
        <f>IF(ISBLANK(O714),"",IFERROR(INDEX('Tournament List'!$D:$D,MATCH(O714,'Tournament List'!$A:$A,0)),""))</f>
        <v/>
      </c>
    </row>
    <row r="715" spans="1:16" x14ac:dyDescent="0.3">
      <c r="A715" s="78">
        <v>714</v>
      </c>
      <c r="B715" s="73" t="str">
        <f>C715&amp;"-"&amp;E715&amp;"-"&amp;F715</f>
        <v>-Novice 2-Sporting Clays</v>
      </c>
      <c r="C715" s="73"/>
      <c r="D715" s="73" t="str">
        <f>INDEX('Tournament Setup'!$B$59:$B$78,MATCH(E715,SquadConcurrents,0))</f>
        <v>Novice</v>
      </c>
      <c r="E715" s="73" t="s">
        <v>343</v>
      </c>
      <c r="F715" s="73" t="s">
        <v>148</v>
      </c>
      <c r="G715" s="94" t="str">
        <f>IF(F715="Skeet",IFERROR(INDEX('Shooter-Squad Assignment'!$A:$A,MATCH(C715&amp;"-"&amp;E715&amp;"-"&amp;F715&amp;"-Pos1",'Shooter-Squad Assignment'!$K:$K,0)),""),IF(F715="Trap",IFERROR(INDEX('Shooter-Squad Assignment'!$A:$A,MATCH(C715&amp;"-"&amp;E715&amp;"-"&amp;F715&amp;"-Pos1",'Shooter-Squad Assignment'!$W:$W,0)),""),IF(F715="Sporting Clays",IFERROR(INDEX('Shooter-Squad Assignment'!$A:$A,MATCH(C715&amp;"-"&amp;E715&amp;"-"&amp;F715&amp;"-Pos1",'Shooter-Squad Assignment'!$Z:$Z,0)),""),"")))</f>
        <v/>
      </c>
      <c r="H715" s="73" t="str">
        <f>IF(ISBLANK(G715),"",IFERROR(INDEX('Tournament List'!$D:$D,MATCH(G715,'Tournament List'!$A:$A,0)),""))</f>
        <v/>
      </c>
      <c r="I715" s="94" t="str">
        <f>IF(F715="Skeet",IFERROR(INDEX('Shooter-Squad Assignment'!$A:$A,MATCH(C715&amp;"-"&amp;E715&amp;"-"&amp;F715&amp;"-Pos2",'Shooter-Squad Assignment'!$K:$K,0)),""),IF(F715="Trap",IFERROR(INDEX('Shooter-Squad Assignment'!$A:$A,MATCH(C715&amp;"-"&amp;E715&amp;"-"&amp;F715&amp;"-Pos2",'Shooter-Squad Assignment'!$W:$W,0)),""),IF(F715="Sporting Clays",IFERROR(INDEX('Shooter-Squad Assignment'!$A:$A,MATCH(C715&amp;"-"&amp;E715&amp;"-"&amp;F715&amp;"-Pos2",'Shooter-Squad Assignment'!$Z:$Z,0)),""),"")))</f>
        <v/>
      </c>
      <c r="J715" s="73" t="str">
        <f>IF(ISBLANK(I715),"",IFERROR(INDEX('Tournament List'!$D:$D,MATCH(I715,'Tournament List'!$A:$A,0)),""))</f>
        <v/>
      </c>
      <c r="K715" s="94" t="str">
        <f>IF(F715="Skeet",IFERROR(INDEX('Shooter-Squad Assignment'!$A:$A,MATCH(C715&amp;"-"&amp;E715&amp;"-"&amp;F715&amp;"-Pos3",'Shooter-Squad Assignment'!$K:$K,0)),""),IF(F715="Trap",IFERROR(INDEX('Shooter-Squad Assignment'!$A:$A,MATCH(C715&amp;"-"&amp;E715&amp;"-"&amp;F715&amp;"-Pos3",'Shooter-Squad Assignment'!$W:$W,0)),""),IF(F715="Sporting Clays",IFERROR(INDEX('Shooter-Squad Assignment'!$A:$A,MATCH(C715&amp;"-"&amp;E715&amp;"-"&amp;F715&amp;"-Pos3",'Shooter-Squad Assignment'!$Z:$Z,0)),""),"")))</f>
        <v/>
      </c>
      <c r="L715" s="73" t="str">
        <f>IF(ISBLANK(K715),"",IFERROR(INDEX('Tournament List'!$D:$D,MATCH(K715,'Tournament List'!$A:$A,0)),""))</f>
        <v/>
      </c>
      <c r="M715" s="94" t="str">
        <f>IF(F715="Skeet",IFERROR(INDEX('Shooter-Squad Assignment'!$A:$A,MATCH(C715&amp;"-"&amp;E715&amp;"-"&amp;F715&amp;"-Pos4",'Shooter-Squad Assignment'!$K:$K,0)),""),IF(F715="Trap",IFERROR(INDEX('Shooter-Squad Assignment'!$A:$A,MATCH(C715&amp;"-"&amp;E715&amp;"-"&amp;F715&amp;"-Pos4",'Shooter-Squad Assignment'!$W:$W,0)),""),IF(F715="Sporting Clays",IFERROR(INDEX('Shooter-Squad Assignment'!$A:$A,MATCH(C715&amp;"-"&amp;E715&amp;"-"&amp;F715&amp;"-Pos4",'Shooter-Squad Assignment'!$Z:$Z,0)),""),"")))</f>
        <v/>
      </c>
      <c r="N715" s="73" t="str">
        <f>IF(ISBLANK(M715),"",IFERROR(INDEX('Tournament List'!$D:$D,MATCH(M715,'Tournament List'!$A:$A,0)),""))</f>
        <v/>
      </c>
      <c r="O715" s="94" t="str">
        <f>IF(F715="Skeet",IFERROR(INDEX('Shooter-Squad Assignment'!$A:$A,MATCH(C715&amp;"-"&amp;E715&amp;"-"&amp;F715&amp;"-Pos5",'Shooter-Squad Assignment'!$K:$K,0)),""),IF(F715="Trap",IFERROR(INDEX('Shooter-Squad Assignment'!$A:$A,MATCH(C715&amp;"-"&amp;E715&amp;"-"&amp;F715&amp;"-Pos5",'Shooter-Squad Assignment'!$W:$W,0)),""),IF(F715="Sporting Clays",IFERROR(INDEX('Shooter-Squad Assignment'!$A:$A,MATCH(C715&amp;"-"&amp;E715&amp;"-"&amp;F715&amp;"-Pos5",'Shooter-Squad Assignment'!$Z:$Z,0)),""),"")))</f>
        <v/>
      </c>
      <c r="P715" s="79" t="str">
        <f>IF(ISBLANK(O715),"",IFERROR(INDEX('Tournament List'!$D:$D,MATCH(O715,'Tournament List'!$A:$A,0)),""))</f>
        <v/>
      </c>
    </row>
    <row r="716" spans="1:16" x14ac:dyDescent="0.3">
      <c r="A716" s="78">
        <v>715</v>
      </c>
      <c r="B716" s="73" t="str">
        <f>C716&amp;"-"&amp;E716&amp;"-"&amp;F716</f>
        <v>-Novice 3-Sporting Clays</v>
      </c>
      <c r="C716" s="73"/>
      <c r="D716" s="73" t="str">
        <f>INDEX('Tournament Setup'!$B$59:$B$78,MATCH(E716,SquadConcurrents,0))</f>
        <v>Novice</v>
      </c>
      <c r="E716" s="73" t="s">
        <v>349</v>
      </c>
      <c r="F716" s="73" t="s">
        <v>148</v>
      </c>
      <c r="G716" s="94" t="str">
        <f>IF(F716="Skeet",IFERROR(INDEX('Shooter-Squad Assignment'!$A:$A,MATCH(C716&amp;"-"&amp;E716&amp;"-"&amp;F716&amp;"-Pos1",'Shooter-Squad Assignment'!$K:$K,0)),""),IF(F716="Trap",IFERROR(INDEX('Shooter-Squad Assignment'!$A:$A,MATCH(C716&amp;"-"&amp;E716&amp;"-"&amp;F716&amp;"-Pos1",'Shooter-Squad Assignment'!$W:$W,0)),""),IF(F716="Sporting Clays",IFERROR(INDEX('Shooter-Squad Assignment'!$A:$A,MATCH(C716&amp;"-"&amp;E716&amp;"-"&amp;F716&amp;"-Pos1",'Shooter-Squad Assignment'!$Z:$Z,0)),""),"")))</f>
        <v/>
      </c>
      <c r="H716" s="73" t="str">
        <f>IF(ISBLANK(G716),"",IFERROR(INDEX('Tournament List'!$D:$D,MATCH(G716,'Tournament List'!$A:$A,0)),""))</f>
        <v/>
      </c>
      <c r="I716" s="94" t="str">
        <f>IF(F716="Skeet",IFERROR(INDEX('Shooter-Squad Assignment'!$A:$A,MATCH(C716&amp;"-"&amp;E716&amp;"-"&amp;F716&amp;"-Pos2",'Shooter-Squad Assignment'!$K:$K,0)),""),IF(F716="Trap",IFERROR(INDEX('Shooter-Squad Assignment'!$A:$A,MATCH(C716&amp;"-"&amp;E716&amp;"-"&amp;F716&amp;"-Pos2",'Shooter-Squad Assignment'!$W:$W,0)),""),IF(F716="Sporting Clays",IFERROR(INDEX('Shooter-Squad Assignment'!$A:$A,MATCH(C716&amp;"-"&amp;E716&amp;"-"&amp;F716&amp;"-Pos2",'Shooter-Squad Assignment'!$Z:$Z,0)),""),"")))</f>
        <v/>
      </c>
      <c r="J716" s="73" t="str">
        <f>IF(ISBLANK(I716),"",IFERROR(INDEX('Tournament List'!$D:$D,MATCH(I716,'Tournament List'!$A:$A,0)),""))</f>
        <v/>
      </c>
      <c r="K716" s="94" t="str">
        <f>IF(F716="Skeet",IFERROR(INDEX('Shooter-Squad Assignment'!$A:$A,MATCH(C716&amp;"-"&amp;E716&amp;"-"&amp;F716&amp;"-Pos3",'Shooter-Squad Assignment'!$K:$K,0)),""),IF(F716="Trap",IFERROR(INDEX('Shooter-Squad Assignment'!$A:$A,MATCH(C716&amp;"-"&amp;E716&amp;"-"&amp;F716&amp;"-Pos3",'Shooter-Squad Assignment'!$W:$W,0)),""),IF(F716="Sporting Clays",IFERROR(INDEX('Shooter-Squad Assignment'!$A:$A,MATCH(C716&amp;"-"&amp;E716&amp;"-"&amp;F716&amp;"-Pos3",'Shooter-Squad Assignment'!$Z:$Z,0)),""),"")))</f>
        <v/>
      </c>
      <c r="L716" s="73" t="str">
        <f>IF(ISBLANK(K716),"",IFERROR(INDEX('Tournament List'!$D:$D,MATCH(K716,'Tournament List'!$A:$A,0)),""))</f>
        <v/>
      </c>
      <c r="M716" s="94" t="str">
        <f>IF(F716="Skeet",IFERROR(INDEX('Shooter-Squad Assignment'!$A:$A,MATCH(C716&amp;"-"&amp;E716&amp;"-"&amp;F716&amp;"-Pos4",'Shooter-Squad Assignment'!$K:$K,0)),""),IF(F716="Trap",IFERROR(INDEX('Shooter-Squad Assignment'!$A:$A,MATCH(C716&amp;"-"&amp;E716&amp;"-"&amp;F716&amp;"-Pos4",'Shooter-Squad Assignment'!$W:$W,0)),""),IF(F716="Sporting Clays",IFERROR(INDEX('Shooter-Squad Assignment'!$A:$A,MATCH(C716&amp;"-"&amp;E716&amp;"-"&amp;F716&amp;"-Pos4",'Shooter-Squad Assignment'!$Z:$Z,0)),""),"")))</f>
        <v/>
      </c>
      <c r="N716" s="73" t="str">
        <f>IF(ISBLANK(M716),"",IFERROR(INDEX('Tournament List'!$D:$D,MATCH(M716,'Tournament List'!$A:$A,0)),""))</f>
        <v/>
      </c>
      <c r="O716" s="94" t="str">
        <f>IF(F716="Skeet",IFERROR(INDEX('Shooter-Squad Assignment'!$A:$A,MATCH(C716&amp;"-"&amp;E716&amp;"-"&amp;F716&amp;"-Pos5",'Shooter-Squad Assignment'!$K:$K,0)),""),IF(F716="Trap",IFERROR(INDEX('Shooter-Squad Assignment'!$A:$A,MATCH(C716&amp;"-"&amp;E716&amp;"-"&amp;F716&amp;"-Pos5",'Shooter-Squad Assignment'!$W:$W,0)),""),IF(F716="Sporting Clays",IFERROR(INDEX('Shooter-Squad Assignment'!$A:$A,MATCH(C716&amp;"-"&amp;E716&amp;"-"&amp;F716&amp;"-Pos5",'Shooter-Squad Assignment'!$Z:$Z,0)),""),"")))</f>
        <v/>
      </c>
      <c r="P716" s="79" t="str">
        <f>IF(ISBLANK(O716),"",IFERROR(INDEX('Tournament List'!$D:$D,MATCH(O716,'Tournament List'!$A:$A,0)),""))</f>
        <v/>
      </c>
    </row>
    <row r="717" spans="1:16" x14ac:dyDescent="0.3">
      <c r="A717" s="78">
        <v>716</v>
      </c>
      <c r="B717" s="73" t="str">
        <f>C717&amp;"-"&amp;E717&amp;"-"&amp;F717</f>
        <v>-Open 1-Sporting Clays</v>
      </c>
      <c r="C717" s="73"/>
      <c r="D717" s="73" t="str">
        <f>INDEX('Tournament Setup'!$B$59:$B$78,MATCH(E717,SquadConcurrents,0))</f>
        <v>Open</v>
      </c>
      <c r="E717" s="73" t="s">
        <v>341</v>
      </c>
      <c r="F717" s="73" t="s">
        <v>148</v>
      </c>
      <c r="G717" s="94" t="str">
        <f>IF(F717="Skeet",IFERROR(INDEX('Shooter-Squad Assignment'!$A:$A,MATCH(C717&amp;"-"&amp;E717&amp;"-"&amp;F717&amp;"-Pos1",'Shooter-Squad Assignment'!$K:$K,0)),""),IF(F717="Trap",IFERROR(INDEX('Shooter-Squad Assignment'!$A:$A,MATCH(C717&amp;"-"&amp;E717&amp;"-"&amp;F717&amp;"-Pos1",'Shooter-Squad Assignment'!$W:$W,0)),""),IF(F717="Sporting Clays",IFERROR(INDEX('Shooter-Squad Assignment'!$A:$A,MATCH(C717&amp;"-"&amp;E717&amp;"-"&amp;F717&amp;"-Pos1",'Shooter-Squad Assignment'!$Z:$Z,0)),""),"")))</f>
        <v/>
      </c>
      <c r="H717" s="73" t="str">
        <f>IF(ISBLANK(G717),"",IFERROR(INDEX('Tournament List'!$D:$D,MATCH(G717,'Tournament List'!$A:$A,0)),""))</f>
        <v/>
      </c>
      <c r="I717" s="94" t="str">
        <f>IF(F717="Skeet",IFERROR(INDEX('Shooter-Squad Assignment'!$A:$A,MATCH(C717&amp;"-"&amp;E717&amp;"-"&amp;F717&amp;"-Pos2",'Shooter-Squad Assignment'!$K:$K,0)),""),IF(F717="Trap",IFERROR(INDEX('Shooter-Squad Assignment'!$A:$A,MATCH(C717&amp;"-"&amp;E717&amp;"-"&amp;F717&amp;"-Pos2",'Shooter-Squad Assignment'!$W:$W,0)),""),IF(F717="Sporting Clays",IFERROR(INDEX('Shooter-Squad Assignment'!$A:$A,MATCH(C717&amp;"-"&amp;E717&amp;"-"&amp;F717&amp;"-Pos2",'Shooter-Squad Assignment'!$Z:$Z,0)),""),"")))</f>
        <v/>
      </c>
      <c r="J717" s="73" t="str">
        <f>IF(ISBLANK(I717),"",IFERROR(INDEX('Tournament List'!$D:$D,MATCH(I717,'Tournament List'!$A:$A,0)),""))</f>
        <v/>
      </c>
      <c r="K717" s="94" t="str">
        <f>IF(F717="Skeet",IFERROR(INDEX('Shooter-Squad Assignment'!$A:$A,MATCH(C717&amp;"-"&amp;E717&amp;"-"&amp;F717&amp;"-Pos3",'Shooter-Squad Assignment'!$K:$K,0)),""),IF(F717="Trap",IFERROR(INDEX('Shooter-Squad Assignment'!$A:$A,MATCH(C717&amp;"-"&amp;E717&amp;"-"&amp;F717&amp;"-Pos3",'Shooter-Squad Assignment'!$W:$W,0)),""),IF(F717="Sporting Clays",IFERROR(INDEX('Shooter-Squad Assignment'!$A:$A,MATCH(C717&amp;"-"&amp;E717&amp;"-"&amp;F717&amp;"-Pos3",'Shooter-Squad Assignment'!$Z:$Z,0)),""),"")))</f>
        <v/>
      </c>
      <c r="L717" s="73" t="str">
        <f>IF(ISBLANK(K717),"",IFERROR(INDEX('Tournament List'!$D:$D,MATCH(K717,'Tournament List'!$A:$A,0)),""))</f>
        <v/>
      </c>
      <c r="M717" s="94" t="str">
        <f>IF(F717="Skeet",IFERROR(INDEX('Shooter-Squad Assignment'!$A:$A,MATCH(C717&amp;"-"&amp;E717&amp;"-"&amp;F717&amp;"-Pos4",'Shooter-Squad Assignment'!$K:$K,0)),""),IF(F717="Trap",IFERROR(INDEX('Shooter-Squad Assignment'!$A:$A,MATCH(C717&amp;"-"&amp;E717&amp;"-"&amp;F717&amp;"-Pos4",'Shooter-Squad Assignment'!$W:$W,0)),""),IF(F717="Sporting Clays",IFERROR(INDEX('Shooter-Squad Assignment'!$A:$A,MATCH(C717&amp;"-"&amp;E717&amp;"-"&amp;F717&amp;"-Pos4",'Shooter-Squad Assignment'!$Z:$Z,0)),""),"")))</f>
        <v/>
      </c>
      <c r="N717" s="73" t="str">
        <f>IF(ISBLANK(M717),"",IFERROR(INDEX('Tournament List'!$D:$D,MATCH(M717,'Tournament List'!$A:$A,0)),""))</f>
        <v/>
      </c>
      <c r="O717" s="94" t="str">
        <f>IF(F717="Skeet",IFERROR(INDEX('Shooter-Squad Assignment'!$A:$A,MATCH(C717&amp;"-"&amp;E717&amp;"-"&amp;F717&amp;"-Pos5",'Shooter-Squad Assignment'!$K:$K,0)),""),IF(F717="Trap",IFERROR(INDEX('Shooter-Squad Assignment'!$A:$A,MATCH(C717&amp;"-"&amp;E717&amp;"-"&amp;F717&amp;"-Pos5",'Shooter-Squad Assignment'!$W:$W,0)),""),IF(F717="Sporting Clays",IFERROR(INDEX('Shooter-Squad Assignment'!$A:$A,MATCH(C717&amp;"-"&amp;E717&amp;"-"&amp;F717&amp;"-Pos5",'Shooter-Squad Assignment'!$Z:$Z,0)),""),"")))</f>
        <v/>
      </c>
      <c r="P717" s="79" t="str">
        <f>IF(ISBLANK(O717),"",IFERROR(INDEX('Tournament List'!$D:$D,MATCH(O717,'Tournament List'!$A:$A,0)),""))</f>
        <v/>
      </c>
    </row>
    <row r="718" spans="1:16" x14ac:dyDescent="0.3">
      <c r="A718" s="78">
        <v>717</v>
      </c>
      <c r="B718" s="73" t="str">
        <f>C718&amp;"-"&amp;E718&amp;"-"&amp;F718</f>
        <v>-Open 2-Sporting Clays</v>
      </c>
      <c r="C718" s="73"/>
      <c r="D718" s="73" t="str">
        <f>INDEX('Tournament Setup'!$B$59:$B$78,MATCH(E718,SquadConcurrents,0))</f>
        <v>Open</v>
      </c>
      <c r="E718" s="73" t="s">
        <v>347</v>
      </c>
      <c r="F718" s="73" t="s">
        <v>148</v>
      </c>
      <c r="G718" s="94" t="str">
        <f>IF(F718="Skeet",IFERROR(INDEX('Shooter-Squad Assignment'!$A:$A,MATCH(C718&amp;"-"&amp;E718&amp;"-"&amp;F718&amp;"-Pos1",'Shooter-Squad Assignment'!$K:$K,0)),""),IF(F718="Trap",IFERROR(INDEX('Shooter-Squad Assignment'!$A:$A,MATCH(C718&amp;"-"&amp;E718&amp;"-"&amp;F718&amp;"-Pos1",'Shooter-Squad Assignment'!$W:$W,0)),""),IF(F718="Sporting Clays",IFERROR(INDEX('Shooter-Squad Assignment'!$A:$A,MATCH(C718&amp;"-"&amp;E718&amp;"-"&amp;F718&amp;"-Pos1",'Shooter-Squad Assignment'!$Z:$Z,0)),""),"")))</f>
        <v/>
      </c>
      <c r="H718" s="73" t="str">
        <f>IF(ISBLANK(G718),"",IFERROR(INDEX('Tournament List'!$D:$D,MATCH(G718,'Tournament List'!$A:$A,0)),""))</f>
        <v/>
      </c>
      <c r="I718" s="94" t="str">
        <f>IF(F718="Skeet",IFERROR(INDEX('Shooter-Squad Assignment'!$A:$A,MATCH(C718&amp;"-"&amp;E718&amp;"-"&amp;F718&amp;"-Pos2",'Shooter-Squad Assignment'!$K:$K,0)),""),IF(F718="Trap",IFERROR(INDEX('Shooter-Squad Assignment'!$A:$A,MATCH(C718&amp;"-"&amp;E718&amp;"-"&amp;F718&amp;"-Pos2",'Shooter-Squad Assignment'!$W:$W,0)),""),IF(F718="Sporting Clays",IFERROR(INDEX('Shooter-Squad Assignment'!$A:$A,MATCH(C718&amp;"-"&amp;E718&amp;"-"&amp;F718&amp;"-Pos2",'Shooter-Squad Assignment'!$Z:$Z,0)),""),"")))</f>
        <v/>
      </c>
      <c r="J718" s="73" t="str">
        <f>IF(ISBLANK(I718),"",IFERROR(INDEX('Tournament List'!$D:$D,MATCH(I718,'Tournament List'!$A:$A,0)),""))</f>
        <v/>
      </c>
      <c r="K718" s="94" t="str">
        <f>IF(F718="Skeet",IFERROR(INDEX('Shooter-Squad Assignment'!$A:$A,MATCH(C718&amp;"-"&amp;E718&amp;"-"&amp;F718&amp;"-Pos3",'Shooter-Squad Assignment'!$K:$K,0)),""),IF(F718="Trap",IFERROR(INDEX('Shooter-Squad Assignment'!$A:$A,MATCH(C718&amp;"-"&amp;E718&amp;"-"&amp;F718&amp;"-Pos3",'Shooter-Squad Assignment'!$W:$W,0)),""),IF(F718="Sporting Clays",IFERROR(INDEX('Shooter-Squad Assignment'!$A:$A,MATCH(C718&amp;"-"&amp;E718&amp;"-"&amp;F718&amp;"-Pos3",'Shooter-Squad Assignment'!$Z:$Z,0)),""),"")))</f>
        <v/>
      </c>
      <c r="L718" s="73" t="str">
        <f>IF(ISBLANK(K718),"",IFERROR(INDEX('Tournament List'!$D:$D,MATCH(K718,'Tournament List'!$A:$A,0)),""))</f>
        <v/>
      </c>
      <c r="M718" s="94" t="str">
        <f>IF(F718="Skeet",IFERROR(INDEX('Shooter-Squad Assignment'!$A:$A,MATCH(C718&amp;"-"&amp;E718&amp;"-"&amp;F718&amp;"-Pos4",'Shooter-Squad Assignment'!$K:$K,0)),""),IF(F718="Trap",IFERROR(INDEX('Shooter-Squad Assignment'!$A:$A,MATCH(C718&amp;"-"&amp;E718&amp;"-"&amp;F718&amp;"-Pos4",'Shooter-Squad Assignment'!$W:$W,0)),""),IF(F718="Sporting Clays",IFERROR(INDEX('Shooter-Squad Assignment'!$A:$A,MATCH(C718&amp;"-"&amp;E718&amp;"-"&amp;F718&amp;"-Pos4",'Shooter-Squad Assignment'!$Z:$Z,0)),""),"")))</f>
        <v/>
      </c>
      <c r="N718" s="73" t="str">
        <f>IF(ISBLANK(M718),"",IFERROR(INDEX('Tournament List'!$D:$D,MATCH(M718,'Tournament List'!$A:$A,0)),""))</f>
        <v/>
      </c>
      <c r="O718" s="94" t="str">
        <f>IF(F718="Skeet",IFERROR(INDEX('Shooter-Squad Assignment'!$A:$A,MATCH(C718&amp;"-"&amp;E718&amp;"-"&amp;F718&amp;"-Pos5",'Shooter-Squad Assignment'!$K:$K,0)),""),IF(F718="Trap",IFERROR(INDEX('Shooter-Squad Assignment'!$A:$A,MATCH(C718&amp;"-"&amp;E718&amp;"-"&amp;F718&amp;"-Pos5",'Shooter-Squad Assignment'!$W:$W,0)),""),IF(F718="Sporting Clays",IFERROR(INDEX('Shooter-Squad Assignment'!$A:$A,MATCH(C718&amp;"-"&amp;E718&amp;"-"&amp;F718&amp;"-Pos5",'Shooter-Squad Assignment'!$Z:$Z,0)),""),"")))</f>
        <v/>
      </c>
      <c r="P718" s="79" t="str">
        <f>IF(ISBLANK(O718),"",IFERROR(INDEX('Tournament List'!$D:$D,MATCH(O718,'Tournament List'!$A:$A,0)),""))</f>
        <v/>
      </c>
    </row>
    <row r="719" spans="1:16" x14ac:dyDescent="0.3">
      <c r="A719" s="78">
        <v>718</v>
      </c>
      <c r="B719" s="73" t="str">
        <f>C719&amp;"-"&amp;E719&amp;"-"&amp;F719</f>
        <v>-Open 3-Sporting Clays</v>
      </c>
      <c r="C719" s="73"/>
      <c r="D719" s="73" t="str">
        <f>INDEX('Tournament Setup'!$B$59:$B$78,MATCH(E719,SquadConcurrents,0))</f>
        <v>Open</v>
      </c>
      <c r="E719" s="73" t="s">
        <v>353</v>
      </c>
      <c r="F719" s="73" t="s">
        <v>148</v>
      </c>
      <c r="G719" s="94" t="str">
        <f>IF(F719="Skeet",IFERROR(INDEX('Shooter-Squad Assignment'!$A:$A,MATCH(C719&amp;"-"&amp;E719&amp;"-"&amp;F719&amp;"-Pos1",'Shooter-Squad Assignment'!$K:$K,0)),""),IF(F719="Trap",IFERROR(INDEX('Shooter-Squad Assignment'!$A:$A,MATCH(C719&amp;"-"&amp;E719&amp;"-"&amp;F719&amp;"-Pos1",'Shooter-Squad Assignment'!$W:$W,0)),""),IF(F719="Sporting Clays",IFERROR(INDEX('Shooter-Squad Assignment'!$A:$A,MATCH(C719&amp;"-"&amp;E719&amp;"-"&amp;F719&amp;"-Pos1",'Shooter-Squad Assignment'!$Z:$Z,0)),""),"")))</f>
        <v/>
      </c>
      <c r="H719" s="73" t="str">
        <f>IF(ISBLANK(G719),"",IFERROR(INDEX('Tournament List'!$D:$D,MATCH(G719,'Tournament List'!$A:$A,0)),""))</f>
        <v/>
      </c>
      <c r="I719" s="94" t="str">
        <f>IF(F719="Skeet",IFERROR(INDEX('Shooter-Squad Assignment'!$A:$A,MATCH(C719&amp;"-"&amp;E719&amp;"-"&amp;F719&amp;"-Pos2",'Shooter-Squad Assignment'!$K:$K,0)),""),IF(F719="Trap",IFERROR(INDEX('Shooter-Squad Assignment'!$A:$A,MATCH(C719&amp;"-"&amp;E719&amp;"-"&amp;F719&amp;"-Pos2",'Shooter-Squad Assignment'!$W:$W,0)),""),IF(F719="Sporting Clays",IFERROR(INDEX('Shooter-Squad Assignment'!$A:$A,MATCH(C719&amp;"-"&amp;E719&amp;"-"&amp;F719&amp;"-Pos2",'Shooter-Squad Assignment'!$Z:$Z,0)),""),"")))</f>
        <v/>
      </c>
      <c r="J719" s="73" t="str">
        <f>IF(ISBLANK(I719),"",IFERROR(INDEX('Tournament List'!$D:$D,MATCH(I719,'Tournament List'!$A:$A,0)),""))</f>
        <v/>
      </c>
      <c r="K719" s="94" t="str">
        <f>IF(F719="Skeet",IFERROR(INDEX('Shooter-Squad Assignment'!$A:$A,MATCH(C719&amp;"-"&amp;E719&amp;"-"&amp;F719&amp;"-Pos3",'Shooter-Squad Assignment'!$K:$K,0)),""),IF(F719="Trap",IFERROR(INDEX('Shooter-Squad Assignment'!$A:$A,MATCH(C719&amp;"-"&amp;E719&amp;"-"&amp;F719&amp;"-Pos3",'Shooter-Squad Assignment'!$W:$W,0)),""),IF(F719="Sporting Clays",IFERROR(INDEX('Shooter-Squad Assignment'!$A:$A,MATCH(C719&amp;"-"&amp;E719&amp;"-"&amp;F719&amp;"-Pos3",'Shooter-Squad Assignment'!$Z:$Z,0)),""),"")))</f>
        <v/>
      </c>
      <c r="L719" s="73" t="str">
        <f>IF(ISBLANK(K719),"",IFERROR(INDEX('Tournament List'!$D:$D,MATCH(K719,'Tournament List'!$A:$A,0)),""))</f>
        <v/>
      </c>
      <c r="M719" s="94" t="str">
        <f>IF(F719="Skeet",IFERROR(INDEX('Shooter-Squad Assignment'!$A:$A,MATCH(C719&amp;"-"&amp;E719&amp;"-"&amp;F719&amp;"-Pos4",'Shooter-Squad Assignment'!$K:$K,0)),""),IF(F719="Trap",IFERROR(INDEX('Shooter-Squad Assignment'!$A:$A,MATCH(C719&amp;"-"&amp;E719&amp;"-"&amp;F719&amp;"-Pos4",'Shooter-Squad Assignment'!$W:$W,0)),""),IF(F719="Sporting Clays",IFERROR(INDEX('Shooter-Squad Assignment'!$A:$A,MATCH(C719&amp;"-"&amp;E719&amp;"-"&amp;F719&amp;"-Pos4",'Shooter-Squad Assignment'!$Z:$Z,0)),""),"")))</f>
        <v/>
      </c>
      <c r="N719" s="73" t="str">
        <f>IF(ISBLANK(M719),"",IFERROR(INDEX('Tournament List'!$D:$D,MATCH(M719,'Tournament List'!$A:$A,0)),""))</f>
        <v/>
      </c>
      <c r="O719" s="94" t="str">
        <f>IF(F719="Skeet",IFERROR(INDEX('Shooter-Squad Assignment'!$A:$A,MATCH(C719&amp;"-"&amp;E719&amp;"-"&amp;F719&amp;"-Pos5",'Shooter-Squad Assignment'!$K:$K,0)),""),IF(F719="Trap",IFERROR(INDEX('Shooter-Squad Assignment'!$A:$A,MATCH(C719&amp;"-"&amp;E719&amp;"-"&amp;F719&amp;"-Pos5",'Shooter-Squad Assignment'!$W:$W,0)),""),IF(F719="Sporting Clays",IFERROR(INDEX('Shooter-Squad Assignment'!$A:$A,MATCH(C719&amp;"-"&amp;E719&amp;"-"&amp;F719&amp;"-Pos5",'Shooter-Squad Assignment'!$Z:$Z,0)),""),"")))</f>
        <v/>
      </c>
      <c r="P719" s="79" t="str">
        <f>IF(ISBLANK(O719),"",IFERROR(INDEX('Tournament List'!$D:$D,MATCH(O719,'Tournament List'!$A:$A,0)),""))</f>
        <v/>
      </c>
    </row>
    <row r="720" spans="1:16" x14ac:dyDescent="0.3">
      <c r="A720" s="78">
        <v>719</v>
      </c>
      <c r="B720" s="73" t="str">
        <f>C720&amp;"-"&amp;E720&amp;"-"&amp;F720</f>
        <v>-Unassigned 1-Sporting Clays</v>
      </c>
      <c r="C720" s="73"/>
      <c r="D720" s="73" t="str">
        <f>INDEX('Tournament Setup'!$B$59:$B$78,MATCH(E720,SquadConcurrents,0))</f>
        <v>Unassigned</v>
      </c>
      <c r="E720" s="73" t="s">
        <v>762</v>
      </c>
      <c r="F720" s="73" t="s">
        <v>148</v>
      </c>
      <c r="G720" s="94" t="str">
        <f>IF(F720="Skeet",IFERROR(INDEX('Shooter-Squad Assignment'!$A:$A,MATCH(C720&amp;"-"&amp;E720&amp;"-"&amp;F720&amp;"-Pos1",'Shooter-Squad Assignment'!$K:$K,0)),""),IF(F720="Trap",IFERROR(INDEX('Shooter-Squad Assignment'!$A:$A,MATCH(C720&amp;"-"&amp;E720&amp;"-"&amp;F720&amp;"-Pos1",'Shooter-Squad Assignment'!$W:$W,0)),""),IF(F720="Sporting Clays",IFERROR(INDEX('Shooter-Squad Assignment'!$A:$A,MATCH(C720&amp;"-"&amp;E720&amp;"-"&amp;F720&amp;"-Pos1",'Shooter-Squad Assignment'!$Z:$Z,0)),""),"")))</f>
        <v/>
      </c>
      <c r="H720" s="73" t="str">
        <f>IF(ISBLANK(G720),"",IFERROR(INDEX('Tournament List'!$D:$D,MATCH(G720,'Tournament List'!$A:$A,0)),""))</f>
        <v/>
      </c>
      <c r="I720" s="94" t="str">
        <f>IF(F720="Skeet",IFERROR(INDEX('Shooter-Squad Assignment'!$A:$A,MATCH(C720&amp;"-"&amp;E720&amp;"-"&amp;F720&amp;"-Pos2",'Shooter-Squad Assignment'!$K:$K,0)),""),IF(F720="Trap",IFERROR(INDEX('Shooter-Squad Assignment'!$A:$A,MATCH(C720&amp;"-"&amp;E720&amp;"-"&amp;F720&amp;"-Pos2",'Shooter-Squad Assignment'!$W:$W,0)),""),IF(F720="Sporting Clays",IFERROR(INDEX('Shooter-Squad Assignment'!$A:$A,MATCH(C720&amp;"-"&amp;E720&amp;"-"&amp;F720&amp;"-Pos2",'Shooter-Squad Assignment'!$Z:$Z,0)),""),"")))</f>
        <v/>
      </c>
      <c r="J720" s="73" t="str">
        <f>IF(ISBLANK(I720),"",IFERROR(INDEX('Tournament List'!$D:$D,MATCH(I720,'Tournament List'!$A:$A,0)),""))</f>
        <v/>
      </c>
      <c r="K720" s="94" t="str">
        <f>IF(F720="Skeet",IFERROR(INDEX('Shooter-Squad Assignment'!$A:$A,MATCH(C720&amp;"-"&amp;E720&amp;"-"&amp;F720&amp;"-Pos3",'Shooter-Squad Assignment'!$K:$K,0)),""),IF(F720="Trap",IFERROR(INDEX('Shooter-Squad Assignment'!$A:$A,MATCH(C720&amp;"-"&amp;E720&amp;"-"&amp;F720&amp;"-Pos3",'Shooter-Squad Assignment'!$W:$W,0)),""),IF(F720="Sporting Clays",IFERROR(INDEX('Shooter-Squad Assignment'!$A:$A,MATCH(C720&amp;"-"&amp;E720&amp;"-"&amp;F720&amp;"-Pos3",'Shooter-Squad Assignment'!$Z:$Z,0)),""),"")))</f>
        <v/>
      </c>
      <c r="L720" s="73" t="str">
        <f>IF(ISBLANK(K720),"",IFERROR(INDEX('Tournament List'!$D:$D,MATCH(K720,'Tournament List'!$A:$A,0)),""))</f>
        <v/>
      </c>
      <c r="M720" s="94" t="str">
        <f>IF(F720="Skeet",IFERROR(INDEX('Shooter-Squad Assignment'!$A:$A,MATCH(C720&amp;"-"&amp;E720&amp;"-"&amp;F720&amp;"-Pos4",'Shooter-Squad Assignment'!$K:$K,0)),""),IF(F720="Trap",IFERROR(INDEX('Shooter-Squad Assignment'!$A:$A,MATCH(C720&amp;"-"&amp;E720&amp;"-"&amp;F720&amp;"-Pos4",'Shooter-Squad Assignment'!$W:$W,0)),""),IF(F720="Sporting Clays",IFERROR(INDEX('Shooter-Squad Assignment'!$A:$A,MATCH(C720&amp;"-"&amp;E720&amp;"-"&amp;F720&amp;"-Pos4",'Shooter-Squad Assignment'!$Z:$Z,0)),""),"")))</f>
        <v/>
      </c>
      <c r="N720" s="73" t="str">
        <f>IF(ISBLANK(M720),"",IFERROR(INDEX('Tournament List'!$D:$D,MATCH(M720,'Tournament List'!$A:$A,0)),""))</f>
        <v/>
      </c>
      <c r="O720" s="94" t="str">
        <f>IF(F720="Skeet",IFERROR(INDEX('Shooter-Squad Assignment'!$A:$A,MATCH(C720&amp;"-"&amp;E720&amp;"-"&amp;F720&amp;"-Pos5",'Shooter-Squad Assignment'!$K:$K,0)),""),IF(F720="Trap",IFERROR(INDEX('Shooter-Squad Assignment'!$A:$A,MATCH(C720&amp;"-"&amp;E720&amp;"-"&amp;F720&amp;"-Pos5",'Shooter-Squad Assignment'!$W:$W,0)),""),IF(F720="Sporting Clays",IFERROR(INDEX('Shooter-Squad Assignment'!$A:$A,MATCH(C720&amp;"-"&amp;E720&amp;"-"&amp;F720&amp;"-Pos5",'Shooter-Squad Assignment'!$Z:$Z,0)),""),"")))</f>
        <v/>
      </c>
      <c r="P720" s="79" t="str">
        <f>IF(ISBLANK(O720),"",IFERROR(INDEX('Tournament List'!$D:$D,MATCH(O720,'Tournament List'!$A:$A,0)),""))</f>
        <v/>
      </c>
    </row>
    <row r="721" spans="1:16" x14ac:dyDescent="0.3">
      <c r="A721" s="78">
        <v>720</v>
      </c>
      <c r="B721" s="73" t="str">
        <f>C721&amp;"-"&amp;E721&amp;"-"&amp;F721</f>
        <v>-Varsity 1-Sporting Clays</v>
      </c>
      <c r="C721" s="73"/>
      <c r="D721" s="73" t="str">
        <f>INDEX('Tournament Setup'!$B$59:$B$78,MATCH(E721,SquadConcurrents,0))</f>
        <v>Varsity</v>
      </c>
      <c r="E721" s="73" t="s">
        <v>340</v>
      </c>
      <c r="F721" s="73" t="s">
        <v>148</v>
      </c>
      <c r="G721" s="94" t="str">
        <f>IF(F721="Skeet",IFERROR(INDEX('Shooter-Squad Assignment'!$A:$A,MATCH(C721&amp;"-"&amp;E721&amp;"-"&amp;F721&amp;"-Pos1",'Shooter-Squad Assignment'!$K:$K,0)),""),IF(F721="Trap",IFERROR(INDEX('Shooter-Squad Assignment'!$A:$A,MATCH(C721&amp;"-"&amp;E721&amp;"-"&amp;F721&amp;"-Pos1",'Shooter-Squad Assignment'!$W:$W,0)),""),IF(F721="Sporting Clays",IFERROR(INDEX('Shooter-Squad Assignment'!$A:$A,MATCH(C721&amp;"-"&amp;E721&amp;"-"&amp;F721&amp;"-Pos1",'Shooter-Squad Assignment'!$Z:$Z,0)),""),"")))</f>
        <v/>
      </c>
      <c r="H721" s="73" t="str">
        <f>IF(ISBLANK(G721),"",IFERROR(INDEX('Tournament List'!$D:$D,MATCH(G721,'Tournament List'!$A:$A,0)),""))</f>
        <v/>
      </c>
      <c r="I721" s="94" t="str">
        <f>IF(F721="Skeet",IFERROR(INDEX('Shooter-Squad Assignment'!$A:$A,MATCH(C721&amp;"-"&amp;E721&amp;"-"&amp;F721&amp;"-Pos2",'Shooter-Squad Assignment'!$K:$K,0)),""),IF(F721="Trap",IFERROR(INDEX('Shooter-Squad Assignment'!$A:$A,MATCH(C721&amp;"-"&amp;E721&amp;"-"&amp;F721&amp;"-Pos2",'Shooter-Squad Assignment'!$W:$W,0)),""),IF(F721="Sporting Clays",IFERROR(INDEX('Shooter-Squad Assignment'!$A:$A,MATCH(C721&amp;"-"&amp;E721&amp;"-"&amp;F721&amp;"-Pos2",'Shooter-Squad Assignment'!$Z:$Z,0)),""),"")))</f>
        <v/>
      </c>
      <c r="J721" s="73" t="str">
        <f>IF(ISBLANK(I721),"",IFERROR(INDEX('Tournament List'!$D:$D,MATCH(I721,'Tournament List'!$A:$A,0)),""))</f>
        <v/>
      </c>
      <c r="K721" s="94" t="str">
        <f>IF(F721="Skeet",IFERROR(INDEX('Shooter-Squad Assignment'!$A:$A,MATCH(C721&amp;"-"&amp;E721&amp;"-"&amp;F721&amp;"-Pos3",'Shooter-Squad Assignment'!$K:$K,0)),""),IF(F721="Trap",IFERROR(INDEX('Shooter-Squad Assignment'!$A:$A,MATCH(C721&amp;"-"&amp;E721&amp;"-"&amp;F721&amp;"-Pos3",'Shooter-Squad Assignment'!$W:$W,0)),""),IF(F721="Sporting Clays",IFERROR(INDEX('Shooter-Squad Assignment'!$A:$A,MATCH(C721&amp;"-"&amp;E721&amp;"-"&amp;F721&amp;"-Pos3",'Shooter-Squad Assignment'!$Z:$Z,0)),""),"")))</f>
        <v/>
      </c>
      <c r="L721" s="73" t="str">
        <f>IF(ISBLANK(K721),"",IFERROR(INDEX('Tournament List'!$D:$D,MATCH(K721,'Tournament List'!$A:$A,0)),""))</f>
        <v/>
      </c>
      <c r="M721" s="94" t="str">
        <f>IF(F721="Skeet",IFERROR(INDEX('Shooter-Squad Assignment'!$A:$A,MATCH(C721&amp;"-"&amp;E721&amp;"-"&amp;F721&amp;"-Pos4",'Shooter-Squad Assignment'!$K:$K,0)),""),IF(F721="Trap",IFERROR(INDEX('Shooter-Squad Assignment'!$A:$A,MATCH(C721&amp;"-"&amp;E721&amp;"-"&amp;F721&amp;"-Pos4",'Shooter-Squad Assignment'!$W:$W,0)),""),IF(F721="Sporting Clays",IFERROR(INDEX('Shooter-Squad Assignment'!$A:$A,MATCH(C721&amp;"-"&amp;E721&amp;"-"&amp;F721&amp;"-Pos4",'Shooter-Squad Assignment'!$Z:$Z,0)),""),"")))</f>
        <v/>
      </c>
      <c r="N721" s="73" t="str">
        <f>IF(ISBLANK(M721),"",IFERROR(INDEX('Tournament List'!$D:$D,MATCH(M721,'Tournament List'!$A:$A,0)),""))</f>
        <v/>
      </c>
      <c r="O721" s="94" t="str">
        <f>IF(F721="Skeet",IFERROR(INDEX('Shooter-Squad Assignment'!$A:$A,MATCH(C721&amp;"-"&amp;E721&amp;"-"&amp;F721&amp;"-Pos5",'Shooter-Squad Assignment'!$K:$K,0)),""),IF(F721="Trap",IFERROR(INDEX('Shooter-Squad Assignment'!$A:$A,MATCH(C721&amp;"-"&amp;E721&amp;"-"&amp;F721&amp;"-Pos5",'Shooter-Squad Assignment'!$W:$W,0)),""),IF(F721="Sporting Clays",IFERROR(INDEX('Shooter-Squad Assignment'!$A:$A,MATCH(C721&amp;"-"&amp;E721&amp;"-"&amp;F721&amp;"-Pos5",'Shooter-Squad Assignment'!$Z:$Z,0)),""),"")))</f>
        <v/>
      </c>
      <c r="P721" s="79" t="str">
        <f>IF(ISBLANK(O721),"",IFERROR(INDEX('Tournament List'!$D:$D,MATCH(O721,'Tournament List'!$A:$A,0)),""))</f>
        <v/>
      </c>
    </row>
    <row r="722" spans="1:16" x14ac:dyDescent="0.3">
      <c r="A722" s="78">
        <v>721</v>
      </c>
      <c r="B722" s="73" t="str">
        <f>C722&amp;"-"&amp;E722&amp;"-"&amp;F722</f>
        <v>-Varsity 2-Sporting Clays</v>
      </c>
      <c r="C722" s="73"/>
      <c r="D722" s="73" t="str">
        <f>INDEX('Tournament Setup'!$B$59:$B$78,MATCH(E722,SquadConcurrents,0))</f>
        <v>Varsity</v>
      </c>
      <c r="E722" s="73" t="s">
        <v>346</v>
      </c>
      <c r="F722" s="73" t="s">
        <v>148</v>
      </c>
      <c r="G722" s="94" t="str">
        <f>IF(F722="Skeet",IFERROR(INDEX('Shooter-Squad Assignment'!$A:$A,MATCH(C722&amp;"-"&amp;E722&amp;"-"&amp;F722&amp;"-Pos1",'Shooter-Squad Assignment'!$K:$K,0)),""),IF(F722="Trap",IFERROR(INDEX('Shooter-Squad Assignment'!$A:$A,MATCH(C722&amp;"-"&amp;E722&amp;"-"&amp;F722&amp;"-Pos1",'Shooter-Squad Assignment'!$W:$W,0)),""),IF(F722="Sporting Clays",IFERROR(INDEX('Shooter-Squad Assignment'!$A:$A,MATCH(C722&amp;"-"&amp;E722&amp;"-"&amp;F722&amp;"-Pos1",'Shooter-Squad Assignment'!$Z:$Z,0)),""),"")))</f>
        <v/>
      </c>
      <c r="H722" s="73" t="str">
        <f>IF(ISBLANK(G722),"",IFERROR(INDEX('Tournament List'!$D:$D,MATCH(G722,'Tournament List'!$A:$A,0)),""))</f>
        <v/>
      </c>
      <c r="I722" s="94" t="str">
        <f>IF(F722="Skeet",IFERROR(INDEX('Shooter-Squad Assignment'!$A:$A,MATCH(C722&amp;"-"&amp;E722&amp;"-"&amp;F722&amp;"-Pos2",'Shooter-Squad Assignment'!$K:$K,0)),""),IF(F722="Trap",IFERROR(INDEX('Shooter-Squad Assignment'!$A:$A,MATCH(C722&amp;"-"&amp;E722&amp;"-"&amp;F722&amp;"-Pos2",'Shooter-Squad Assignment'!$W:$W,0)),""),IF(F722="Sporting Clays",IFERROR(INDEX('Shooter-Squad Assignment'!$A:$A,MATCH(C722&amp;"-"&amp;E722&amp;"-"&amp;F722&amp;"-Pos2",'Shooter-Squad Assignment'!$Z:$Z,0)),""),"")))</f>
        <v/>
      </c>
      <c r="J722" s="73" t="str">
        <f>IF(ISBLANK(I722),"",IFERROR(INDEX('Tournament List'!$D:$D,MATCH(I722,'Tournament List'!$A:$A,0)),""))</f>
        <v/>
      </c>
      <c r="K722" s="94" t="str">
        <f>IF(F722="Skeet",IFERROR(INDEX('Shooter-Squad Assignment'!$A:$A,MATCH(C722&amp;"-"&amp;E722&amp;"-"&amp;F722&amp;"-Pos3",'Shooter-Squad Assignment'!$K:$K,0)),""),IF(F722="Trap",IFERROR(INDEX('Shooter-Squad Assignment'!$A:$A,MATCH(C722&amp;"-"&amp;E722&amp;"-"&amp;F722&amp;"-Pos3",'Shooter-Squad Assignment'!$W:$W,0)),""),IF(F722="Sporting Clays",IFERROR(INDEX('Shooter-Squad Assignment'!$A:$A,MATCH(C722&amp;"-"&amp;E722&amp;"-"&amp;F722&amp;"-Pos3",'Shooter-Squad Assignment'!$Z:$Z,0)),""),"")))</f>
        <v/>
      </c>
      <c r="L722" s="73" t="str">
        <f>IF(ISBLANK(K722),"",IFERROR(INDEX('Tournament List'!$D:$D,MATCH(K722,'Tournament List'!$A:$A,0)),""))</f>
        <v/>
      </c>
      <c r="M722" s="94" t="str">
        <f>IF(F722="Skeet",IFERROR(INDEX('Shooter-Squad Assignment'!$A:$A,MATCH(C722&amp;"-"&amp;E722&amp;"-"&amp;F722&amp;"-Pos4",'Shooter-Squad Assignment'!$K:$K,0)),""),IF(F722="Trap",IFERROR(INDEX('Shooter-Squad Assignment'!$A:$A,MATCH(C722&amp;"-"&amp;E722&amp;"-"&amp;F722&amp;"-Pos4",'Shooter-Squad Assignment'!$W:$W,0)),""),IF(F722="Sporting Clays",IFERROR(INDEX('Shooter-Squad Assignment'!$A:$A,MATCH(C722&amp;"-"&amp;E722&amp;"-"&amp;F722&amp;"-Pos4",'Shooter-Squad Assignment'!$Z:$Z,0)),""),"")))</f>
        <v/>
      </c>
      <c r="N722" s="73" t="str">
        <f>IF(ISBLANK(M722),"",IFERROR(INDEX('Tournament List'!$D:$D,MATCH(M722,'Tournament List'!$A:$A,0)),""))</f>
        <v/>
      </c>
      <c r="O722" s="94" t="str">
        <f>IF(F722="Skeet",IFERROR(INDEX('Shooter-Squad Assignment'!$A:$A,MATCH(C722&amp;"-"&amp;E722&amp;"-"&amp;F722&amp;"-Pos5",'Shooter-Squad Assignment'!$K:$K,0)),""),IF(F722="Trap",IFERROR(INDEX('Shooter-Squad Assignment'!$A:$A,MATCH(C722&amp;"-"&amp;E722&amp;"-"&amp;F722&amp;"-Pos5",'Shooter-Squad Assignment'!$W:$W,0)),""),IF(F722="Sporting Clays",IFERROR(INDEX('Shooter-Squad Assignment'!$A:$A,MATCH(C722&amp;"-"&amp;E722&amp;"-"&amp;F722&amp;"-Pos5",'Shooter-Squad Assignment'!$Z:$Z,0)),""),"")))</f>
        <v/>
      </c>
      <c r="P722" s="79" t="str">
        <f>IF(ISBLANK(O722),"",IFERROR(INDEX('Tournament List'!$D:$D,MATCH(O722,'Tournament List'!$A:$A,0)),""))</f>
        <v/>
      </c>
    </row>
    <row r="723" spans="1:16" x14ac:dyDescent="0.3">
      <c r="A723" s="78">
        <v>722</v>
      </c>
      <c r="B723" s="73" t="str">
        <f>C723&amp;"-"&amp;E723&amp;"-"&amp;F723</f>
        <v>-Varsity 3-Sporting Clays</v>
      </c>
      <c r="C723" s="73"/>
      <c r="D723" s="73" t="str">
        <f>INDEX('Tournament Setup'!$B$59:$B$78,MATCH(E723,SquadConcurrents,0))</f>
        <v>Varsity</v>
      </c>
      <c r="E723" s="73" t="s">
        <v>352</v>
      </c>
      <c r="F723" s="73" t="s">
        <v>148</v>
      </c>
      <c r="G723" s="94" t="str">
        <f>IF(F723="Skeet",IFERROR(INDEX('Shooter-Squad Assignment'!$A:$A,MATCH(C723&amp;"-"&amp;E723&amp;"-"&amp;F723&amp;"-Pos1",'Shooter-Squad Assignment'!$K:$K,0)),""),IF(F723="Trap",IFERROR(INDEX('Shooter-Squad Assignment'!$A:$A,MATCH(C723&amp;"-"&amp;E723&amp;"-"&amp;F723&amp;"-Pos1",'Shooter-Squad Assignment'!$W:$W,0)),""),IF(F723="Sporting Clays",IFERROR(INDEX('Shooter-Squad Assignment'!$A:$A,MATCH(C723&amp;"-"&amp;E723&amp;"-"&amp;F723&amp;"-Pos1",'Shooter-Squad Assignment'!$Z:$Z,0)),""),"")))</f>
        <v/>
      </c>
      <c r="H723" s="73" t="str">
        <f>IF(ISBLANK(G723),"",IFERROR(INDEX('Tournament List'!$D:$D,MATCH(G723,'Tournament List'!$A:$A,0)),""))</f>
        <v/>
      </c>
      <c r="I723" s="94" t="str">
        <f>IF(F723="Skeet",IFERROR(INDEX('Shooter-Squad Assignment'!$A:$A,MATCH(C723&amp;"-"&amp;E723&amp;"-"&amp;F723&amp;"-Pos2",'Shooter-Squad Assignment'!$K:$K,0)),""),IF(F723="Trap",IFERROR(INDEX('Shooter-Squad Assignment'!$A:$A,MATCH(C723&amp;"-"&amp;E723&amp;"-"&amp;F723&amp;"-Pos2",'Shooter-Squad Assignment'!$W:$W,0)),""),IF(F723="Sporting Clays",IFERROR(INDEX('Shooter-Squad Assignment'!$A:$A,MATCH(C723&amp;"-"&amp;E723&amp;"-"&amp;F723&amp;"-Pos2",'Shooter-Squad Assignment'!$Z:$Z,0)),""),"")))</f>
        <v/>
      </c>
      <c r="J723" s="73" t="str">
        <f>IF(ISBLANK(I723),"",IFERROR(INDEX('Tournament List'!$D:$D,MATCH(I723,'Tournament List'!$A:$A,0)),""))</f>
        <v/>
      </c>
      <c r="K723" s="94" t="str">
        <f>IF(F723="Skeet",IFERROR(INDEX('Shooter-Squad Assignment'!$A:$A,MATCH(C723&amp;"-"&amp;E723&amp;"-"&amp;F723&amp;"-Pos3",'Shooter-Squad Assignment'!$K:$K,0)),""),IF(F723="Trap",IFERROR(INDEX('Shooter-Squad Assignment'!$A:$A,MATCH(C723&amp;"-"&amp;E723&amp;"-"&amp;F723&amp;"-Pos3",'Shooter-Squad Assignment'!$W:$W,0)),""),IF(F723="Sporting Clays",IFERROR(INDEX('Shooter-Squad Assignment'!$A:$A,MATCH(C723&amp;"-"&amp;E723&amp;"-"&amp;F723&amp;"-Pos3",'Shooter-Squad Assignment'!$Z:$Z,0)),""),"")))</f>
        <v/>
      </c>
      <c r="L723" s="73" t="str">
        <f>IF(ISBLANK(K723),"",IFERROR(INDEX('Tournament List'!$D:$D,MATCH(K723,'Tournament List'!$A:$A,0)),""))</f>
        <v/>
      </c>
      <c r="M723" s="94" t="str">
        <f>IF(F723="Skeet",IFERROR(INDEX('Shooter-Squad Assignment'!$A:$A,MATCH(C723&amp;"-"&amp;E723&amp;"-"&amp;F723&amp;"-Pos4",'Shooter-Squad Assignment'!$K:$K,0)),""),IF(F723="Trap",IFERROR(INDEX('Shooter-Squad Assignment'!$A:$A,MATCH(C723&amp;"-"&amp;E723&amp;"-"&amp;F723&amp;"-Pos4",'Shooter-Squad Assignment'!$W:$W,0)),""),IF(F723="Sporting Clays",IFERROR(INDEX('Shooter-Squad Assignment'!$A:$A,MATCH(C723&amp;"-"&amp;E723&amp;"-"&amp;F723&amp;"-Pos4",'Shooter-Squad Assignment'!$Z:$Z,0)),""),"")))</f>
        <v/>
      </c>
      <c r="N723" s="73" t="str">
        <f>IF(ISBLANK(M723),"",IFERROR(INDEX('Tournament List'!$D:$D,MATCH(M723,'Tournament List'!$A:$A,0)),""))</f>
        <v/>
      </c>
      <c r="O723" s="94" t="str">
        <f>IF(F723="Skeet",IFERROR(INDEX('Shooter-Squad Assignment'!$A:$A,MATCH(C723&amp;"-"&amp;E723&amp;"-"&amp;F723&amp;"-Pos5",'Shooter-Squad Assignment'!$K:$K,0)),""),IF(F723="Trap",IFERROR(INDEX('Shooter-Squad Assignment'!$A:$A,MATCH(C723&amp;"-"&amp;E723&amp;"-"&amp;F723&amp;"-Pos5",'Shooter-Squad Assignment'!$W:$W,0)),""),IF(F723="Sporting Clays",IFERROR(INDEX('Shooter-Squad Assignment'!$A:$A,MATCH(C723&amp;"-"&amp;E723&amp;"-"&amp;F723&amp;"-Pos5",'Shooter-Squad Assignment'!$Z:$Z,0)),""),"")))</f>
        <v/>
      </c>
      <c r="P723" s="79" t="str">
        <f>IF(ISBLANK(O723),"",IFERROR(INDEX('Tournament List'!$D:$D,MATCH(O723,'Tournament List'!$A:$A,0)),""))</f>
        <v/>
      </c>
    </row>
    <row r="724" spans="1:16" x14ac:dyDescent="0.3">
      <c r="A724" s="78">
        <v>723</v>
      </c>
      <c r="B724" s="73" t="str">
        <f>C724&amp;"-"&amp;E724&amp;"-"&amp;F724</f>
        <v>-Collegiate 1-Trap</v>
      </c>
      <c r="C724" s="73"/>
      <c r="D724" s="73" t="str">
        <f>INDEX('Tournament Setup'!$B$59:$B$78,MATCH(E724,SquadConcurrents,0))</f>
        <v>Collegiate</v>
      </c>
      <c r="E724" s="73" t="s">
        <v>342</v>
      </c>
      <c r="F724" s="73" t="s">
        <v>147</v>
      </c>
      <c r="G724" s="94" t="str">
        <f>IF(F724="Skeet",IFERROR(INDEX('Shooter-Squad Assignment'!$A:$A,MATCH(C724&amp;"-"&amp;E724&amp;"-"&amp;F724&amp;"-Pos1",'Shooter-Squad Assignment'!$K:$K,0)),""),IF(F724="Trap",IFERROR(INDEX('Shooter-Squad Assignment'!$A:$A,MATCH(C724&amp;"-"&amp;E724&amp;"-"&amp;F724&amp;"-Pos1",'Shooter-Squad Assignment'!$W:$W,0)),""),IF(F724="Sporting Clays",IFERROR(INDEX('Shooter-Squad Assignment'!$A:$A,MATCH(C724&amp;"-"&amp;E724&amp;"-"&amp;F724&amp;"-Pos1",'Shooter-Squad Assignment'!$Z:$Z,0)),""),"")))</f>
        <v/>
      </c>
      <c r="H724" s="73" t="str">
        <f>IF(ISBLANK(G724),"",IFERROR(INDEX('Tournament List'!$D:$D,MATCH(G724,'Tournament List'!$A:$A,0)),""))</f>
        <v/>
      </c>
      <c r="I724" s="94" t="str">
        <f>IF(F724="Skeet",IFERROR(INDEX('Shooter-Squad Assignment'!$A:$A,MATCH(C724&amp;"-"&amp;E724&amp;"-"&amp;F724&amp;"-Pos2",'Shooter-Squad Assignment'!$K:$K,0)),""),IF(F724="Trap",IFERROR(INDEX('Shooter-Squad Assignment'!$A:$A,MATCH(C724&amp;"-"&amp;E724&amp;"-"&amp;F724&amp;"-Pos2",'Shooter-Squad Assignment'!$W:$W,0)),""),IF(F724="Sporting Clays",IFERROR(INDEX('Shooter-Squad Assignment'!$A:$A,MATCH(C724&amp;"-"&amp;E724&amp;"-"&amp;F724&amp;"-Pos2",'Shooter-Squad Assignment'!$Z:$Z,0)),""),"")))</f>
        <v/>
      </c>
      <c r="J724" s="73" t="str">
        <f>IF(ISBLANK(I724),"",IFERROR(INDEX('Tournament List'!$D:$D,MATCH(I724,'Tournament List'!$A:$A,0)),""))</f>
        <v/>
      </c>
      <c r="K724" s="94" t="str">
        <f>IF(F724="Skeet",IFERROR(INDEX('Shooter-Squad Assignment'!$A:$A,MATCH(C724&amp;"-"&amp;E724&amp;"-"&amp;F724&amp;"-Pos3",'Shooter-Squad Assignment'!$K:$K,0)),""),IF(F724="Trap",IFERROR(INDEX('Shooter-Squad Assignment'!$A:$A,MATCH(C724&amp;"-"&amp;E724&amp;"-"&amp;F724&amp;"-Pos3",'Shooter-Squad Assignment'!$W:$W,0)),""),IF(F724="Sporting Clays",IFERROR(INDEX('Shooter-Squad Assignment'!$A:$A,MATCH(C724&amp;"-"&amp;E724&amp;"-"&amp;F724&amp;"-Pos3",'Shooter-Squad Assignment'!$Z:$Z,0)),""),"")))</f>
        <v/>
      </c>
      <c r="L724" s="73" t="str">
        <f>IF(ISBLANK(K724),"",IFERROR(INDEX('Tournament List'!$D:$D,MATCH(K724,'Tournament List'!$A:$A,0)),""))</f>
        <v/>
      </c>
      <c r="M724" s="94" t="str">
        <f>IF(F724="Skeet",IFERROR(INDEX('Shooter-Squad Assignment'!$A:$A,MATCH(C724&amp;"-"&amp;E724&amp;"-"&amp;F724&amp;"-Pos4",'Shooter-Squad Assignment'!$K:$K,0)),""),IF(F724="Trap",IFERROR(INDEX('Shooter-Squad Assignment'!$A:$A,MATCH(C724&amp;"-"&amp;E724&amp;"-"&amp;F724&amp;"-Pos4",'Shooter-Squad Assignment'!$W:$W,0)),""),IF(F724="Sporting Clays",IFERROR(INDEX('Shooter-Squad Assignment'!$A:$A,MATCH(C724&amp;"-"&amp;E724&amp;"-"&amp;F724&amp;"-Pos4",'Shooter-Squad Assignment'!$Z:$Z,0)),""),"")))</f>
        <v/>
      </c>
      <c r="N724" s="73" t="str">
        <f>IF(ISBLANK(M724),"",IFERROR(INDEX('Tournament List'!$D:$D,MATCH(M724,'Tournament List'!$A:$A,0)),""))</f>
        <v/>
      </c>
      <c r="O724" s="94" t="str">
        <f>IF(F724="Skeet",IFERROR(INDEX('Shooter-Squad Assignment'!$A:$A,MATCH(C724&amp;"-"&amp;E724&amp;"-"&amp;F724&amp;"-Pos5",'Shooter-Squad Assignment'!$K:$K,0)),""),IF(F724="Trap",IFERROR(INDEX('Shooter-Squad Assignment'!$A:$A,MATCH(C724&amp;"-"&amp;E724&amp;"-"&amp;F724&amp;"-Pos5",'Shooter-Squad Assignment'!$W:$W,0)),""),IF(F724="Sporting Clays",IFERROR(INDEX('Shooter-Squad Assignment'!$A:$A,MATCH(C724&amp;"-"&amp;E724&amp;"-"&amp;F724&amp;"-Pos5",'Shooter-Squad Assignment'!$Z:$Z,0)),""),"")))</f>
        <v/>
      </c>
      <c r="P724" s="79" t="str">
        <f>IF(ISBLANK(O724),"",IFERROR(INDEX('Tournament List'!$D:$D,MATCH(O724,'Tournament List'!$A:$A,0)),""))</f>
        <v/>
      </c>
    </row>
    <row r="725" spans="1:16" x14ac:dyDescent="0.3">
      <c r="A725" s="78">
        <v>724</v>
      </c>
      <c r="B725" s="73" t="str">
        <f>C725&amp;"-"&amp;E725&amp;"-"&amp;F725</f>
        <v>-Collegiate 2-Trap</v>
      </c>
      <c r="C725" s="73"/>
      <c r="D725" s="73" t="str">
        <f>INDEX('Tournament Setup'!$B$59:$B$78,MATCH(E725,SquadConcurrents,0))</f>
        <v>Collegiate</v>
      </c>
      <c r="E725" s="73" t="s">
        <v>348</v>
      </c>
      <c r="F725" s="73" t="s">
        <v>147</v>
      </c>
      <c r="G725" s="94" t="str">
        <f>IF(F725="Skeet",IFERROR(INDEX('Shooter-Squad Assignment'!$A:$A,MATCH(C725&amp;"-"&amp;E725&amp;"-"&amp;F725&amp;"-Pos1",'Shooter-Squad Assignment'!$K:$K,0)),""),IF(F725="Trap",IFERROR(INDEX('Shooter-Squad Assignment'!$A:$A,MATCH(C725&amp;"-"&amp;E725&amp;"-"&amp;F725&amp;"-Pos1",'Shooter-Squad Assignment'!$W:$W,0)),""),IF(F725="Sporting Clays",IFERROR(INDEX('Shooter-Squad Assignment'!$A:$A,MATCH(C725&amp;"-"&amp;E725&amp;"-"&amp;F725&amp;"-Pos1",'Shooter-Squad Assignment'!$Z:$Z,0)),""),"")))</f>
        <v/>
      </c>
      <c r="H725" s="73" t="str">
        <f>IF(ISBLANK(G725),"",IFERROR(INDEX('Tournament List'!$D:$D,MATCH(G725,'Tournament List'!$A:$A,0)),""))</f>
        <v/>
      </c>
      <c r="I725" s="94" t="str">
        <f>IF(F725="Skeet",IFERROR(INDEX('Shooter-Squad Assignment'!$A:$A,MATCH(C725&amp;"-"&amp;E725&amp;"-"&amp;F725&amp;"-Pos2",'Shooter-Squad Assignment'!$K:$K,0)),""),IF(F725="Trap",IFERROR(INDEX('Shooter-Squad Assignment'!$A:$A,MATCH(C725&amp;"-"&amp;E725&amp;"-"&amp;F725&amp;"-Pos2",'Shooter-Squad Assignment'!$W:$W,0)),""),IF(F725="Sporting Clays",IFERROR(INDEX('Shooter-Squad Assignment'!$A:$A,MATCH(C725&amp;"-"&amp;E725&amp;"-"&amp;F725&amp;"-Pos2",'Shooter-Squad Assignment'!$Z:$Z,0)),""),"")))</f>
        <v/>
      </c>
      <c r="J725" s="73" t="str">
        <f>IF(ISBLANK(I725),"",IFERROR(INDEX('Tournament List'!$D:$D,MATCH(I725,'Tournament List'!$A:$A,0)),""))</f>
        <v/>
      </c>
      <c r="K725" s="94" t="str">
        <f>IF(F725="Skeet",IFERROR(INDEX('Shooter-Squad Assignment'!$A:$A,MATCH(C725&amp;"-"&amp;E725&amp;"-"&amp;F725&amp;"-Pos3",'Shooter-Squad Assignment'!$K:$K,0)),""),IF(F725="Trap",IFERROR(INDEX('Shooter-Squad Assignment'!$A:$A,MATCH(C725&amp;"-"&amp;E725&amp;"-"&amp;F725&amp;"-Pos3",'Shooter-Squad Assignment'!$W:$W,0)),""),IF(F725="Sporting Clays",IFERROR(INDEX('Shooter-Squad Assignment'!$A:$A,MATCH(C725&amp;"-"&amp;E725&amp;"-"&amp;F725&amp;"-Pos3",'Shooter-Squad Assignment'!$Z:$Z,0)),""),"")))</f>
        <v/>
      </c>
      <c r="L725" s="73" t="str">
        <f>IF(ISBLANK(K725),"",IFERROR(INDEX('Tournament List'!$D:$D,MATCH(K725,'Tournament List'!$A:$A,0)),""))</f>
        <v/>
      </c>
      <c r="M725" s="94" t="str">
        <f>IF(F725="Skeet",IFERROR(INDEX('Shooter-Squad Assignment'!$A:$A,MATCH(C725&amp;"-"&amp;E725&amp;"-"&amp;F725&amp;"-Pos4",'Shooter-Squad Assignment'!$K:$K,0)),""),IF(F725="Trap",IFERROR(INDEX('Shooter-Squad Assignment'!$A:$A,MATCH(C725&amp;"-"&amp;E725&amp;"-"&amp;F725&amp;"-Pos4",'Shooter-Squad Assignment'!$W:$W,0)),""),IF(F725="Sporting Clays",IFERROR(INDEX('Shooter-Squad Assignment'!$A:$A,MATCH(C725&amp;"-"&amp;E725&amp;"-"&amp;F725&amp;"-Pos4",'Shooter-Squad Assignment'!$Z:$Z,0)),""),"")))</f>
        <v/>
      </c>
      <c r="N725" s="73" t="str">
        <f>IF(ISBLANK(M725),"",IFERROR(INDEX('Tournament List'!$D:$D,MATCH(M725,'Tournament List'!$A:$A,0)),""))</f>
        <v/>
      </c>
      <c r="O725" s="94" t="str">
        <f>IF(F725="Skeet",IFERROR(INDEX('Shooter-Squad Assignment'!$A:$A,MATCH(C725&amp;"-"&amp;E725&amp;"-"&amp;F725&amp;"-Pos5",'Shooter-Squad Assignment'!$K:$K,0)),""),IF(F725="Trap",IFERROR(INDEX('Shooter-Squad Assignment'!$A:$A,MATCH(C725&amp;"-"&amp;E725&amp;"-"&amp;F725&amp;"-Pos5",'Shooter-Squad Assignment'!$W:$W,0)),""),IF(F725="Sporting Clays",IFERROR(INDEX('Shooter-Squad Assignment'!$A:$A,MATCH(C725&amp;"-"&amp;E725&amp;"-"&amp;F725&amp;"-Pos5",'Shooter-Squad Assignment'!$Z:$Z,0)),""),"")))</f>
        <v/>
      </c>
      <c r="P725" s="79" t="str">
        <f>IF(ISBLANK(O725),"",IFERROR(INDEX('Tournament List'!$D:$D,MATCH(O725,'Tournament List'!$A:$A,0)),""))</f>
        <v/>
      </c>
    </row>
    <row r="726" spans="1:16" x14ac:dyDescent="0.3">
      <c r="A726" s="78">
        <v>725</v>
      </c>
      <c r="B726" s="73" t="str">
        <f>C726&amp;"-"&amp;E726&amp;"-"&amp;F726</f>
        <v>-Collegiate 3-Trap</v>
      </c>
      <c r="C726" s="73"/>
      <c r="D726" s="73" t="str">
        <f>INDEX('Tournament Setup'!$B$59:$B$78,MATCH(E726,SquadConcurrents,0))</f>
        <v>Collegiate</v>
      </c>
      <c r="E726" s="73" t="s">
        <v>354</v>
      </c>
      <c r="F726" s="73" t="s">
        <v>147</v>
      </c>
      <c r="G726" s="94" t="str">
        <f>IF(F726="Skeet",IFERROR(INDEX('Shooter-Squad Assignment'!$A:$A,MATCH(C726&amp;"-"&amp;E726&amp;"-"&amp;F726&amp;"-Pos1",'Shooter-Squad Assignment'!$K:$K,0)),""),IF(F726="Trap",IFERROR(INDEX('Shooter-Squad Assignment'!$A:$A,MATCH(C726&amp;"-"&amp;E726&amp;"-"&amp;F726&amp;"-Pos1",'Shooter-Squad Assignment'!$W:$W,0)),""),IF(F726="Sporting Clays",IFERROR(INDEX('Shooter-Squad Assignment'!$A:$A,MATCH(C726&amp;"-"&amp;E726&amp;"-"&amp;F726&amp;"-Pos1",'Shooter-Squad Assignment'!$Z:$Z,0)),""),"")))</f>
        <v/>
      </c>
      <c r="H726" s="73" t="str">
        <f>IF(ISBLANK(G726),"",IFERROR(INDEX('Tournament List'!$D:$D,MATCH(G726,'Tournament List'!$A:$A,0)),""))</f>
        <v/>
      </c>
      <c r="I726" s="94" t="str">
        <f>IF(F726="Skeet",IFERROR(INDEX('Shooter-Squad Assignment'!$A:$A,MATCH(C726&amp;"-"&amp;E726&amp;"-"&amp;F726&amp;"-Pos2",'Shooter-Squad Assignment'!$K:$K,0)),""),IF(F726="Trap",IFERROR(INDEX('Shooter-Squad Assignment'!$A:$A,MATCH(C726&amp;"-"&amp;E726&amp;"-"&amp;F726&amp;"-Pos2",'Shooter-Squad Assignment'!$W:$W,0)),""),IF(F726="Sporting Clays",IFERROR(INDEX('Shooter-Squad Assignment'!$A:$A,MATCH(C726&amp;"-"&amp;E726&amp;"-"&amp;F726&amp;"-Pos2",'Shooter-Squad Assignment'!$Z:$Z,0)),""),"")))</f>
        <v/>
      </c>
      <c r="J726" s="73" t="str">
        <f>IF(ISBLANK(I726),"",IFERROR(INDEX('Tournament List'!$D:$D,MATCH(I726,'Tournament List'!$A:$A,0)),""))</f>
        <v/>
      </c>
      <c r="K726" s="94" t="str">
        <f>IF(F726="Skeet",IFERROR(INDEX('Shooter-Squad Assignment'!$A:$A,MATCH(C726&amp;"-"&amp;E726&amp;"-"&amp;F726&amp;"-Pos3",'Shooter-Squad Assignment'!$K:$K,0)),""),IF(F726="Trap",IFERROR(INDEX('Shooter-Squad Assignment'!$A:$A,MATCH(C726&amp;"-"&amp;E726&amp;"-"&amp;F726&amp;"-Pos3",'Shooter-Squad Assignment'!$W:$W,0)),""),IF(F726="Sporting Clays",IFERROR(INDEX('Shooter-Squad Assignment'!$A:$A,MATCH(C726&amp;"-"&amp;E726&amp;"-"&amp;F726&amp;"-Pos3",'Shooter-Squad Assignment'!$Z:$Z,0)),""),"")))</f>
        <v/>
      </c>
      <c r="L726" s="73" t="str">
        <f>IF(ISBLANK(K726),"",IFERROR(INDEX('Tournament List'!$D:$D,MATCH(K726,'Tournament List'!$A:$A,0)),""))</f>
        <v/>
      </c>
      <c r="M726" s="94" t="str">
        <f>IF(F726="Skeet",IFERROR(INDEX('Shooter-Squad Assignment'!$A:$A,MATCH(C726&amp;"-"&amp;E726&amp;"-"&amp;F726&amp;"-Pos4",'Shooter-Squad Assignment'!$K:$K,0)),""),IF(F726="Trap",IFERROR(INDEX('Shooter-Squad Assignment'!$A:$A,MATCH(C726&amp;"-"&amp;E726&amp;"-"&amp;F726&amp;"-Pos4",'Shooter-Squad Assignment'!$W:$W,0)),""),IF(F726="Sporting Clays",IFERROR(INDEX('Shooter-Squad Assignment'!$A:$A,MATCH(C726&amp;"-"&amp;E726&amp;"-"&amp;F726&amp;"-Pos4",'Shooter-Squad Assignment'!$Z:$Z,0)),""),"")))</f>
        <v/>
      </c>
      <c r="N726" s="73" t="str">
        <f>IF(ISBLANK(M726),"",IFERROR(INDEX('Tournament List'!$D:$D,MATCH(M726,'Tournament List'!$A:$A,0)),""))</f>
        <v/>
      </c>
      <c r="O726" s="94" t="str">
        <f>IF(F726="Skeet",IFERROR(INDEX('Shooter-Squad Assignment'!$A:$A,MATCH(C726&amp;"-"&amp;E726&amp;"-"&amp;F726&amp;"-Pos5",'Shooter-Squad Assignment'!$K:$K,0)),""),IF(F726="Trap",IFERROR(INDEX('Shooter-Squad Assignment'!$A:$A,MATCH(C726&amp;"-"&amp;E726&amp;"-"&amp;F726&amp;"-Pos5",'Shooter-Squad Assignment'!$W:$W,0)),""),IF(F726="Sporting Clays",IFERROR(INDEX('Shooter-Squad Assignment'!$A:$A,MATCH(C726&amp;"-"&amp;E726&amp;"-"&amp;F726&amp;"-Pos5",'Shooter-Squad Assignment'!$Z:$Z,0)),""),"")))</f>
        <v/>
      </c>
      <c r="P726" s="79" t="str">
        <f>IF(ISBLANK(O726),"",IFERROR(INDEX('Tournament List'!$D:$D,MATCH(O726,'Tournament List'!$A:$A,0)),""))</f>
        <v/>
      </c>
    </row>
    <row r="727" spans="1:16" x14ac:dyDescent="0.3">
      <c r="A727" s="78">
        <v>726</v>
      </c>
      <c r="B727" s="73" t="str">
        <f>C727&amp;"-"&amp;E727&amp;"-"&amp;F727</f>
        <v>-Intermediate 1-Trap</v>
      </c>
      <c r="C727" s="73"/>
      <c r="D727" s="73" t="str">
        <f>INDEX('Tournament Setup'!$B$59:$B$78,MATCH(E727,SquadConcurrents,0))</f>
        <v>Intermediate</v>
      </c>
      <c r="E727" s="73" t="s">
        <v>338</v>
      </c>
      <c r="F727" s="73" t="s">
        <v>147</v>
      </c>
      <c r="G727" s="94" t="str">
        <f>IF(F727="Skeet",IFERROR(INDEX('Shooter-Squad Assignment'!$A:$A,MATCH(C727&amp;"-"&amp;E727&amp;"-"&amp;F727&amp;"-Pos1",'Shooter-Squad Assignment'!$K:$K,0)),""),IF(F727="Trap",IFERROR(INDEX('Shooter-Squad Assignment'!$A:$A,MATCH(C727&amp;"-"&amp;E727&amp;"-"&amp;F727&amp;"-Pos1",'Shooter-Squad Assignment'!$W:$W,0)),""),IF(F727="Sporting Clays",IFERROR(INDEX('Shooter-Squad Assignment'!$A:$A,MATCH(C727&amp;"-"&amp;E727&amp;"-"&amp;F727&amp;"-Pos1",'Shooter-Squad Assignment'!$Z:$Z,0)),""),"")))</f>
        <v/>
      </c>
      <c r="H727" s="73" t="str">
        <f>IF(ISBLANK(G727),"",IFERROR(INDEX('Tournament List'!$D:$D,MATCH(G727,'Tournament List'!$A:$A,0)),""))</f>
        <v/>
      </c>
      <c r="I727" s="94" t="str">
        <f>IF(F727="Skeet",IFERROR(INDEX('Shooter-Squad Assignment'!$A:$A,MATCH(C727&amp;"-"&amp;E727&amp;"-"&amp;F727&amp;"-Pos2",'Shooter-Squad Assignment'!$K:$K,0)),""),IF(F727="Trap",IFERROR(INDEX('Shooter-Squad Assignment'!$A:$A,MATCH(C727&amp;"-"&amp;E727&amp;"-"&amp;F727&amp;"-Pos2",'Shooter-Squad Assignment'!$W:$W,0)),""),IF(F727="Sporting Clays",IFERROR(INDEX('Shooter-Squad Assignment'!$A:$A,MATCH(C727&amp;"-"&amp;E727&amp;"-"&amp;F727&amp;"-Pos2",'Shooter-Squad Assignment'!$Z:$Z,0)),""),"")))</f>
        <v/>
      </c>
      <c r="J727" s="73" t="str">
        <f>IF(ISBLANK(I727),"",IFERROR(INDEX('Tournament List'!$D:$D,MATCH(I727,'Tournament List'!$A:$A,0)),""))</f>
        <v/>
      </c>
      <c r="K727" s="94" t="str">
        <f>IF(F727="Skeet",IFERROR(INDEX('Shooter-Squad Assignment'!$A:$A,MATCH(C727&amp;"-"&amp;E727&amp;"-"&amp;F727&amp;"-Pos3",'Shooter-Squad Assignment'!$K:$K,0)),""),IF(F727="Trap",IFERROR(INDEX('Shooter-Squad Assignment'!$A:$A,MATCH(C727&amp;"-"&amp;E727&amp;"-"&amp;F727&amp;"-Pos3",'Shooter-Squad Assignment'!$W:$W,0)),""),IF(F727="Sporting Clays",IFERROR(INDEX('Shooter-Squad Assignment'!$A:$A,MATCH(C727&amp;"-"&amp;E727&amp;"-"&amp;F727&amp;"-Pos3",'Shooter-Squad Assignment'!$Z:$Z,0)),""),"")))</f>
        <v/>
      </c>
      <c r="L727" s="73" t="str">
        <f>IF(ISBLANK(K727),"",IFERROR(INDEX('Tournament List'!$D:$D,MATCH(K727,'Tournament List'!$A:$A,0)),""))</f>
        <v/>
      </c>
      <c r="M727" s="94" t="str">
        <f>IF(F727="Skeet",IFERROR(INDEX('Shooter-Squad Assignment'!$A:$A,MATCH(C727&amp;"-"&amp;E727&amp;"-"&amp;F727&amp;"-Pos4",'Shooter-Squad Assignment'!$K:$K,0)),""),IF(F727="Trap",IFERROR(INDEX('Shooter-Squad Assignment'!$A:$A,MATCH(C727&amp;"-"&amp;E727&amp;"-"&amp;F727&amp;"-Pos4",'Shooter-Squad Assignment'!$W:$W,0)),""),IF(F727="Sporting Clays",IFERROR(INDEX('Shooter-Squad Assignment'!$A:$A,MATCH(C727&amp;"-"&amp;E727&amp;"-"&amp;F727&amp;"-Pos4",'Shooter-Squad Assignment'!$Z:$Z,0)),""),"")))</f>
        <v/>
      </c>
      <c r="N727" s="73" t="str">
        <f>IF(ISBLANK(M727),"",IFERROR(INDEX('Tournament List'!$D:$D,MATCH(M727,'Tournament List'!$A:$A,0)),""))</f>
        <v/>
      </c>
      <c r="O727" s="94" t="str">
        <f>IF(F727="Skeet",IFERROR(INDEX('Shooter-Squad Assignment'!$A:$A,MATCH(C727&amp;"-"&amp;E727&amp;"-"&amp;F727&amp;"-Pos5",'Shooter-Squad Assignment'!$K:$K,0)),""),IF(F727="Trap",IFERROR(INDEX('Shooter-Squad Assignment'!$A:$A,MATCH(C727&amp;"-"&amp;E727&amp;"-"&amp;F727&amp;"-Pos5",'Shooter-Squad Assignment'!$W:$W,0)),""),IF(F727="Sporting Clays",IFERROR(INDEX('Shooter-Squad Assignment'!$A:$A,MATCH(C727&amp;"-"&amp;E727&amp;"-"&amp;F727&amp;"-Pos5",'Shooter-Squad Assignment'!$Z:$Z,0)),""),"")))</f>
        <v/>
      </c>
      <c r="P727" s="79" t="str">
        <f>IF(ISBLANK(O727),"",IFERROR(INDEX('Tournament List'!$D:$D,MATCH(O727,'Tournament List'!$A:$A,0)),""))</f>
        <v/>
      </c>
    </row>
    <row r="728" spans="1:16" x14ac:dyDescent="0.3">
      <c r="A728" s="78">
        <v>727</v>
      </c>
      <c r="B728" s="73" t="str">
        <f>C728&amp;"-"&amp;E728&amp;"-"&amp;F728</f>
        <v>-Intermediate 2-Trap</v>
      </c>
      <c r="C728" s="73"/>
      <c r="D728" s="73" t="str">
        <f>INDEX('Tournament Setup'!$B$59:$B$78,MATCH(E728,SquadConcurrents,0))</f>
        <v>Intermediate</v>
      </c>
      <c r="E728" s="73" t="s">
        <v>344</v>
      </c>
      <c r="F728" s="73" t="s">
        <v>147</v>
      </c>
      <c r="G728" s="94" t="str">
        <f>IF(F728="Skeet",IFERROR(INDEX('Shooter-Squad Assignment'!$A:$A,MATCH(C728&amp;"-"&amp;E728&amp;"-"&amp;F728&amp;"-Pos1",'Shooter-Squad Assignment'!$K:$K,0)),""),IF(F728="Trap",IFERROR(INDEX('Shooter-Squad Assignment'!$A:$A,MATCH(C728&amp;"-"&amp;E728&amp;"-"&amp;F728&amp;"-Pos1",'Shooter-Squad Assignment'!$W:$W,0)),""),IF(F728="Sporting Clays",IFERROR(INDEX('Shooter-Squad Assignment'!$A:$A,MATCH(C728&amp;"-"&amp;E728&amp;"-"&amp;F728&amp;"-Pos1",'Shooter-Squad Assignment'!$Z:$Z,0)),""),"")))</f>
        <v/>
      </c>
      <c r="H728" s="73" t="str">
        <f>IF(ISBLANK(G728),"",IFERROR(INDEX('Tournament List'!$D:$D,MATCH(G728,'Tournament List'!$A:$A,0)),""))</f>
        <v/>
      </c>
      <c r="I728" s="94" t="str">
        <f>IF(F728="Skeet",IFERROR(INDEX('Shooter-Squad Assignment'!$A:$A,MATCH(C728&amp;"-"&amp;E728&amp;"-"&amp;F728&amp;"-Pos2",'Shooter-Squad Assignment'!$K:$K,0)),""),IF(F728="Trap",IFERROR(INDEX('Shooter-Squad Assignment'!$A:$A,MATCH(C728&amp;"-"&amp;E728&amp;"-"&amp;F728&amp;"-Pos2",'Shooter-Squad Assignment'!$W:$W,0)),""),IF(F728="Sporting Clays",IFERROR(INDEX('Shooter-Squad Assignment'!$A:$A,MATCH(C728&amp;"-"&amp;E728&amp;"-"&amp;F728&amp;"-Pos2",'Shooter-Squad Assignment'!$Z:$Z,0)),""),"")))</f>
        <v/>
      </c>
      <c r="J728" s="73" t="str">
        <f>IF(ISBLANK(I728),"",IFERROR(INDEX('Tournament List'!$D:$D,MATCH(I728,'Tournament List'!$A:$A,0)),""))</f>
        <v/>
      </c>
      <c r="K728" s="94" t="str">
        <f>IF(F728="Skeet",IFERROR(INDEX('Shooter-Squad Assignment'!$A:$A,MATCH(C728&amp;"-"&amp;E728&amp;"-"&amp;F728&amp;"-Pos3",'Shooter-Squad Assignment'!$K:$K,0)),""),IF(F728="Trap",IFERROR(INDEX('Shooter-Squad Assignment'!$A:$A,MATCH(C728&amp;"-"&amp;E728&amp;"-"&amp;F728&amp;"-Pos3",'Shooter-Squad Assignment'!$W:$W,0)),""),IF(F728="Sporting Clays",IFERROR(INDEX('Shooter-Squad Assignment'!$A:$A,MATCH(C728&amp;"-"&amp;E728&amp;"-"&amp;F728&amp;"-Pos3",'Shooter-Squad Assignment'!$Z:$Z,0)),""),"")))</f>
        <v/>
      </c>
      <c r="L728" s="73" t="str">
        <f>IF(ISBLANK(K728),"",IFERROR(INDEX('Tournament List'!$D:$D,MATCH(K728,'Tournament List'!$A:$A,0)),""))</f>
        <v/>
      </c>
      <c r="M728" s="94" t="str">
        <f>IF(F728="Skeet",IFERROR(INDEX('Shooter-Squad Assignment'!$A:$A,MATCH(C728&amp;"-"&amp;E728&amp;"-"&amp;F728&amp;"-Pos4",'Shooter-Squad Assignment'!$K:$K,0)),""),IF(F728="Trap",IFERROR(INDEX('Shooter-Squad Assignment'!$A:$A,MATCH(C728&amp;"-"&amp;E728&amp;"-"&amp;F728&amp;"-Pos4",'Shooter-Squad Assignment'!$W:$W,0)),""),IF(F728="Sporting Clays",IFERROR(INDEX('Shooter-Squad Assignment'!$A:$A,MATCH(C728&amp;"-"&amp;E728&amp;"-"&amp;F728&amp;"-Pos4",'Shooter-Squad Assignment'!$Z:$Z,0)),""),"")))</f>
        <v/>
      </c>
      <c r="N728" s="73" t="str">
        <f>IF(ISBLANK(M728),"",IFERROR(INDEX('Tournament List'!$D:$D,MATCH(M728,'Tournament List'!$A:$A,0)),""))</f>
        <v/>
      </c>
      <c r="O728" s="94" t="str">
        <f>IF(F728="Skeet",IFERROR(INDEX('Shooter-Squad Assignment'!$A:$A,MATCH(C728&amp;"-"&amp;E728&amp;"-"&amp;F728&amp;"-Pos5",'Shooter-Squad Assignment'!$K:$K,0)),""),IF(F728="Trap",IFERROR(INDEX('Shooter-Squad Assignment'!$A:$A,MATCH(C728&amp;"-"&amp;E728&amp;"-"&amp;F728&amp;"-Pos5",'Shooter-Squad Assignment'!$W:$W,0)),""),IF(F728="Sporting Clays",IFERROR(INDEX('Shooter-Squad Assignment'!$A:$A,MATCH(C728&amp;"-"&amp;E728&amp;"-"&amp;F728&amp;"-Pos5",'Shooter-Squad Assignment'!$Z:$Z,0)),""),"")))</f>
        <v/>
      </c>
      <c r="P728" s="79" t="str">
        <f>IF(ISBLANK(O728),"",IFERROR(INDEX('Tournament List'!$D:$D,MATCH(O728,'Tournament List'!$A:$A,0)),""))</f>
        <v/>
      </c>
    </row>
    <row r="729" spans="1:16" x14ac:dyDescent="0.3">
      <c r="A729" s="78">
        <v>728</v>
      </c>
      <c r="B729" s="73" t="str">
        <f>C729&amp;"-"&amp;E729&amp;"-"&amp;F729</f>
        <v>-Intermediate 3-Trap</v>
      </c>
      <c r="C729" s="73"/>
      <c r="D729" s="73" t="str">
        <f>INDEX('Tournament Setup'!$B$59:$B$78,MATCH(E729,SquadConcurrents,0))</f>
        <v>Intermediate</v>
      </c>
      <c r="E729" s="73" t="s">
        <v>350</v>
      </c>
      <c r="F729" s="73" t="s">
        <v>147</v>
      </c>
      <c r="G729" s="94" t="str">
        <f>IF(F729="Skeet",IFERROR(INDEX('Shooter-Squad Assignment'!$A:$A,MATCH(C729&amp;"-"&amp;E729&amp;"-"&amp;F729&amp;"-Pos1",'Shooter-Squad Assignment'!$K:$K,0)),""),IF(F729="Trap",IFERROR(INDEX('Shooter-Squad Assignment'!$A:$A,MATCH(C729&amp;"-"&amp;E729&amp;"-"&amp;F729&amp;"-Pos1",'Shooter-Squad Assignment'!$W:$W,0)),""),IF(F729="Sporting Clays",IFERROR(INDEX('Shooter-Squad Assignment'!$A:$A,MATCH(C729&amp;"-"&amp;E729&amp;"-"&amp;F729&amp;"-Pos1",'Shooter-Squad Assignment'!$Z:$Z,0)),""),"")))</f>
        <v/>
      </c>
      <c r="H729" s="73" t="str">
        <f>IF(ISBLANK(G729),"",IFERROR(INDEX('Tournament List'!$D:$D,MATCH(G729,'Tournament List'!$A:$A,0)),""))</f>
        <v/>
      </c>
      <c r="I729" s="94" t="str">
        <f>IF(F729="Skeet",IFERROR(INDEX('Shooter-Squad Assignment'!$A:$A,MATCH(C729&amp;"-"&amp;E729&amp;"-"&amp;F729&amp;"-Pos2",'Shooter-Squad Assignment'!$K:$K,0)),""),IF(F729="Trap",IFERROR(INDEX('Shooter-Squad Assignment'!$A:$A,MATCH(C729&amp;"-"&amp;E729&amp;"-"&amp;F729&amp;"-Pos2",'Shooter-Squad Assignment'!$W:$W,0)),""),IF(F729="Sporting Clays",IFERROR(INDEX('Shooter-Squad Assignment'!$A:$A,MATCH(C729&amp;"-"&amp;E729&amp;"-"&amp;F729&amp;"-Pos2",'Shooter-Squad Assignment'!$Z:$Z,0)),""),"")))</f>
        <v/>
      </c>
      <c r="J729" s="73" t="str">
        <f>IF(ISBLANK(I729),"",IFERROR(INDEX('Tournament List'!$D:$D,MATCH(I729,'Tournament List'!$A:$A,0)),""))</f>
        <v/>
      </c>
      <c r="K729" s="94" t="str">
        <f>IF(F729="Skeet",IFERROR(INDEX('Shooter-Squad Assignment'!$A:$A,MATCH(C729&amp;"-"&amp;E729&amp;"-"&amp;F729&amp;"-Pos3",'Shooter-Squad Assignment'!$K:$K,0)),""),IF(F729="Trap",IFERROR(INDEX('Shooter-Squad Assignment'!$A:$A,MATCH(C729&amp;"-"&amp;E729&amp;"-"&amp;F729&amp;"-Pos3",'Shooter-Squad Assignment'!$W:$W,0)),""),IF(F729="Sporting Clays",IFERROR(INDEX('Shooter-Squad Assignment'!$A:$A,MATCH(C729&amp;"-"&amp;E729&amp;"-"&amp;F729&amp;"-Pos3",'Shooter-Squad Assignment'!$Z:$Z,0)),""),"")))</f>
        <v/>
      </c>
      <c r="L729" s="73" t="str">
        <f>IF(ISBLANK(K729),"",IFERROR(INDEX('Tournament List'!$D:$D,MATCH(K729,'Tournament List'!$A:$A,0)),""))</f>
        <v/>
      </c>
      <c r="M729" s="94" t="str">
        <f>IF(F729="Skeet",IFERROR(INDEX('Shooter-Squad Assignment'!$A:$A,MATCH(C729&amp;"-"&amp;E729&amp;"-"&amp;F729&amp;"-Pos4",'Shooter-Squad Assignment'!$K:$K,0)),""),IF(F729="Trap",IFERROR(INDEX('Shooter-Squad Assignment'!$A:$A,MATCH(C729&amp;"-"&amp;E729&amp;"-"&amp;F729&amp;"-Pos4",'Shooter-Squad Assignment'!$W:$W,0)),""),IF(F729="Sporting Clays",IFERROR(INDEX('Shooter-Squad Assignment'!$A:$A,MATCH(C729&amp;"-"&amp;E729&amp;"-"&amp;F729&amp;"-Pos4",'Shooter-Squad Assignment'!$Z:$Z,0)),""),"")))</f>
        <v/>
      </c>
      <c r="N729" s="73" t="str">
        <f>IF(ISBLANK(M729),"",IFERROR(INDEX('Tournament List'!$D:$D,MATCH(M729,'Tournament List'!$A:$A,0)),""))</f>
        <v/>
      </c>
      <c r="O729" s="94" t="str">
        <f>IF(F729="Skeet",IFERROR(INDEX('Shooter-Squad Assignment'!$A:$A,MATCH(C729&amp;"-"&amp;E729&amp;"-"&amp;F729&amp;"-Pos5",'Shooter-Squad Assignment'!$K:$K,0)),""),IF(F729="Trap",IFERROR(INDEX('Shooter-Squad Assignment'!$A:$A,MATCH(C729&amp;"-"&amp;E729&amp;"-"&amp;F729&amp;"-Pos5",'Shooter-Squad Assignment'!$W:$W,0)),""),IF(F729="Sporting Clays",IFERROR(INDEX('Shooter-Squad Assignment'!$A:$A,MATCH(C729&amp;"-"&amp;E729&amp;"-"&amp;F729&amp;"-Pos5",'Shooter-Squad Assignment'!$Z:$Z,0)),""),"")))</f>
        <v/>
      </c>
      <c r="P729" s="79" t="str">
        <f>IF(ISBLANK(O729),"",IFERROR(INDEX('Tournament List'!$D:$D,MATCH(O729,'Tournament List'!$A:$A,0)),""))</f>
        <v/>
      </c>
    </row>
    <row r="730" spans="1:16" x14ac:dyDescent="0.3">
      <c r="A730" s="78">
        <v>729</v>
      </c>
      <c r="B730" s="73" t="str">
        <f>C730&amp;"-"&amp;E730&amp;"-"&amp;F730</f>
        <v>-Junior Varsity 1-Trap</v>
      </c>
      <c r="C730" s="73"/>
      <c r="D730" s="73" t="str">
        <f>INDEX('Tournament Setup'!$B$59:$B$78,MATCH(E730,SquadConcurrents,0))</f>
        <v>Junior Varsity</v>
      </c>
      <c r="E730" s="73" t="s">
        <v>339</v>
      </c>
      <c r="F730" s="73" t="s">
        <v>147</v>
      </c>
      <c r="G730" s="94" t="str">
        <f>IF(F730="Skeet",IFERROR(INDEX('Shooter-Squad Assignment'!$A:$A,MATCH(C730&amp;"-"&amp;E730&amp;"-"&amp;F730&amp;"-Pos1",'Shooter-Squad Assignment'!$K:$K,0)),""),IF(F730="Trap",IFERROR(INDEX('Shooter-Squad Assignment'!$A:$A,MATCH(C730&amp;"-"&amp;E730&amp;"-"&amp;F730&amp;"-Pos1",'Shooter-Squad Assignment'!$W:$W,0)),""),IF(F730="Sporting Clays",IFERROR(INDEX('Shooter-Squad Assignment'!$A:$A,MATCH(C730&amp;"-"&amp;E730&amp;"-"&amp;F730&amp;"-Pos1",'Shooter-Squad Assignment'!$Z:$Z,0)),""),"")))</f>
        <v/>
      </c>
      <c r="H730" s="73" t="str">
        <f>IF(ISBLANK(G730),"",IFERROR(INDEX('Tournament List'!$D:$D,MATCH(G730,'Tournament List'!$A:$A,0)),""))</f>
        <v/>
      </c>
      <c r="I730" s="94" t="str">
        <f>IF(F730="Skeet",IFERROR(INDEX('Shooter-Squad Assignment'!$A:$A,MATCH(C730&amp;"-"&amp;E730&amp;"-"&amp;F730&amp;"-Pos2",'Shooter-Squad Assignment'!$K:$K,0)),""),IF(F730="Trap",IFERROR(INDEX('Shooter-Squad Assignment'!$A:$A,MATCH(C730&amp;"-"&amp;E730&amp;"-"&amp;F730&amp;"-Pos2",'Shooter-Squad Assignment'!$W:$W,0)),""),IF(F730="Sporting Clays",IFERROR(INDEX('Shooter-Squad Assignment'!$A:$A,MATCH(C730&amp;"-"&amp;E730&amp;"-"&amp;F730&amp;"-Pos2",'Shooter-Squad Assignment'!$Z:$Z,0)),""),"")))</f>
        <v/>
      </c>
      <c r="J730" s="73" t="str">
        <f>IF(ISBLANK(I730),"",IFERROR(INDEX('Tournament List'!$D:$D,MATCH(I730,'Tournament List'!$A:$A,0)),""))</f>
        <v/>
      </c>
      <c r="K730" s="94" t="str">
        <f>IF(F730="Skeet",IFERROR(INDEX('Shooter-Squad Assignment'!$A:$A,MATCH(C730&amp;"-"&amp;E730&amp;"-"&amp;F730&amp;"-Pos3",'Shooter-Squad Assignment'!$K:$K,0)),""),IF(F730="Trap",IFERROR(INDEX('Shooter-Squad Assignment'!$A:$A,MATCH(C730&amp;"-"&amp;E730&amp;"-"&amp;F730&amp;"-Pos3",'Shooter-Squad Assignment'!$W:$W,0)),""),IF(F730="Sporting Clays",IFERROR(INDEX('Shooter-Squad Assignment'!$A:$A,MATCH(C730&amp;"-"&amp;E730&amp;"-"&amp;F730&amp;"-Pos3",'Shooter-Squad Assignment'!$Z:$Z,0)),""),"")))</f>
        <v/>
      </c>
      <c r="L730" s="73" t="str">
        <f>IF(ISBLANK(K730),"",IFERROR(INDEX('Tournament List'!$D:$D,MATCH(K730,'Tournament List'!$A:$A,0)),""))</f>
        <v/>
      </c>
      <c r="M730" s="94" t="str">
        <f>IF(F730="Skeet",IFERROR(INDEX('Shooter-Squad Assignment'!$A:$A,MATCH(C730&amp;"-"&amp;E730&amp;"-"&amp;F730&amp;"-Pos4",'Shooter-Squad Assignment'!$K:$K,0)),""),IF(F730="Trap",IFERROR(INDEX('Shooter-Squad Assignment'!$A:$A,MATCH(C730&amp;"-"&amp;E730&amp;"-"&amp;F730&amp;"-Pos4",'Shooter-Squad Assignment'!$W:$W,0)),""),IF(F730="Sporting Clays",IFERROR(INDEX('Shooter-Squad Assignment'!$A:$A,MATCH(C730&amp;"-"&amp;E730&amp;"-"&amp;F730&amp;"-Pos4",'Shooter-Squad Assignment'!$Z:$Z,0)),""),"")))</f>
        <v/>
      </c>
      <c r="N730" s="73" t="str">
        <f>IF(ISBLANK(M730),"",IFERROR(INDEX('Tournament List'!$D:$D,MATCH(M730,'Tournament List'!$A:$A,0)),""))</f>
        <v/>
      </c>
      <c r="O730" s="94" t="str">
        <f>IF(F730="Skeet",IFERROR(INDEX('Shooter-Squad Assignment'!$A:$A,MATCH(C730&amp;"-"&amp;E730&amp;"-"&amp;F730&amp;"-Pos5",'Shooter-Squad Assignment'!$K:$K,0)),""),IF(F730="Trap",IFERROR(INDEX('Shooter-Squad Assignment'!$A:$A,MATCH(C730&amp;"-"&amp;E730&amp;"-"&amp;F730&amp;"-Pos5",'Shooter-Squad Assignment'!$W:$W,0)),""),IF(F730="Sporting Clays",IFERROR(INDEX('Shooter-Squad Assignment'!$A:$A,MATCH(C730&amp;"-"&amp;E730&amp;"-"&amp;F730&amp;"-Pos5",'Shooter-Squad Assignment'!$Z:$Z,0)),""),"")))</f>
        <v/>
      </c>
      <c r="P730" s="79" t="str">
        <f>IF(ISBLANK(O730),"",IFERROR(INDEX('Tournament List'!$D:$D,MATCH(O730,'Tournament List'!$A:$A,0)),""))</f>
        <v/>
      </c>
    </row>
    <row r="731" spans="1:16" x14ac:dyDescent="0.3">
      <c r="A731" s="78">
        <v>730</v>
      </c>
      <c r="B731" s="73" t="str">
        <f>C731&amp;"-"&amp;E731&amp;"-"&amp;F731</f>
        <v>-Junior Varsity 2-Trap</v>
      </c>
      <c r="C731" s="73"/>
      <c r="D731" s="73" t="str">
        <f>INDEX('Tournament Setup'!$B$59:$B$78,MATCH(E731,SquadConcurrents,0))</f>
        <v>Junior Varsity</v>
      </c>
      <c r="E731" s="73" t="s">
        <v>345</v>
      </c>
      <c r="F731" s="73" t="s">
        <v>147</v>
      </c>
      <c r="G731" s="94" t="str">
        <f>IF(F731="Skeet",IFERROR(INDEX('Shooter-Squad Assignment'!$A:$A,MATCH(C731&amp;"-"&amp;E731&amp;"-"&amp;F731&amp;"-Pos1",'Shooter-Squad Assignment'!$K:$K,0)),""),IF(F731="Trap",IFERROR(INDEX('Shooter-Squad Assignment'!$A:$A,MATCH(C731&amp;"-"&amp;E731&amp;"-"&amp;F731&amp;"-Pos1",'Shooter-Squad Assignment'!$W:$W,0)),""),IF(F731="Sporting Clays",IFERROR(INDEX('Shooter-Squad Assignment'!$A:$A,MATCH(C731&amp;"-"&amp;E731&amp;"-"&amp;F731&amp;"-Pos1",'Shooter-Squad Assignment'!$Z:$Z,0)),""),"")))</f>
        <v/>
      </c>
      <c r="H731" s="73" t="str">
        <f>IF(ISBLANK(G731),"",IFERROR(INDEX('Tournament List'!$D:$D,MATCH(G731,'Tournament List'!$A:$A,0)),""))</f>
        <v/>
      </c>
      <c r="I731" s="94" t="str">
        <f>IF(F731="Skeet",IFERROR(INDEX('Shooter-Squad Assignment'!$A:$A,MATCH(C731&amp;"-"&amp;E731&amp;"-"&amp;F731&amp;"-Pos2",'Shooter-Squad Assignment'!$K:$K,0)),""),IF(F731="Trap",IFERROR(INDEX('Shooter-Squad Assignment'!$A:$A,MATCH(C731&amp;"-"&amp;E731&amp;"-"&amp;F731&amp;"-Pos2",'Shooter-Squad Assignment'!$W:$W,0)),""),IF(F731="Sporting Clays",IFERROR(INDEX('Shooter-Squad Assignment'!$A:$A,MATCH(C731&amp;"-"&amp;E731&amp;"-"&amp;F731&amp;"-Pos2",'Shooter-Squad Assignment'!$Z:$Z,0)),""),"")))</f>
        <v/>
      </c>
      <c r="J731" s="73" t="str">
        <f>IF(ISBLANK(I731),"",IFERROR(INDEX('Tournament List'!$D:$D,MATCH(I731,'Tournament List'!$A:$A,0)),""))</f>
        <v/>
      </c>
      <c r="K731" s="94" t="str">
        <f>IF(F731="Skeet",IFERROR(INDEX('Shooter-Squad Assignment'!$A:$A,MATCH(C731&amp;"-"&amp;E731&amp;"-"&amp;F731&amp;"-Pos3",'Shooter-Squad Assignment'!$K:$K,0)),""),IF(F731="Trap",IFERROR(INDEX('Shooter-Squad Assignment'!$A:$A,MATCH(C731&amp;"-"&amp;E731&amp;"-"&amp;F731&amp;"-Pos3",'Shooter-Squad Assignment'!$W:$W,0)),""),IF(F731="Sporting Clays",IFERROR(INDEX('Shooter-Squad Assignment'!$A:$A,MATCH(C731&amp;"-"&amp;E731&amp;"-"&amp;F731&amp;"-Pos3",'Shooter-Squad Assignment'!$Z:$Z,0)),""),"")))</f>
        <v/>
      </c>
      <c r="L731" s="73" t="str">
        <f>IF(ISBLANK(K731),"",IFERROR(INDEX('Tournament List'!$D:$D,MATCH(K731,'Tournament List'!$A:$A,0)),""))</f>
        <v/>
      </c>
      <c r="M731" s="94" t="str">
        <f>IF(F731="Skeet",IFERROR(INDEX('Shooter-Squad Assignment'!$A:$A,MATCH(C731&amp;"-"&amp;E731&amp;"-"&amp;F731&amp;"-Pos4",'Shooter-Squad Assignment'!$K:$K,0)),""),IF(F731="Trap",IFERROR(INDEX('Shooter-Squad Assignment'!$A:$A,MATCH(C731&amp;"-"&amp;E731&amp;"-"&amp;F731&amp;"-Pos4",'Shooter-Squad Assignment'!$W:$W,0)),""),IF(F731="Sporting Clays",IFERROR(INDEX('Shooter-Squad Assignment'!$A:$A,MATCH(C731&amp;"-"&amp;E731&amp;"-"&amp;F731&amp;"-Pos4",'Shooter-Squad Assignment'!$Z:$Z,0)),""),"")))</f>
        <v/>
      </c>
      <c r="N731" s="73" t="str">
        <f>IF(ISBLANK(M731),"",IFERROR(INDEX('Tournament List'!$D:$D,MATCH(M731,'Tournament List'!$A:$A,0)),""))</f>
        <v/>
      </c>
      <c r="O731" s="94" t="str">
        <f>IF(F731="Skeet",IFERROR(INDEX('Shooter-Squad Assignment'!$A:$A,MATCH(C731&amp;"-"&amp;E731&amp;"-"&amp;F731&amp;"-Pos5",'Shooter-Squad Assignment'!$K:$K,0)),""),IF(F731="Trap",IFERROR(INDEX('Shooter-Squad Assignment'!$A:$A,MATCH(C731&amp;"-"&amp;E731&amp;"-"&amp;F731&amp;"-Pos5",'Shooter-Squad Assignment'!$W:$W,0)),""),IF(F731="Sporting Clays",IFERROR(INDEX('Shooter-Squad Assignment'!$A:$A,MATCH(C731&amp;"-"&amp;E731&amp;"-"&amp;F731&amp;"-Pos5",'Shooter-Squad Assignment'!$Z:$Z,0)),""),"")))</f>
        <v/>
      </c>
      <c r="P731" s="79" t="str">
        <f>IF(ISBLANK(O731),"",IFERROR(INDEX('Tournament List'!$D:$D,MATCH(O731,'Tournament List'!$A:$A,0)),""))</f>
        <v/>
      </c>
    </row>
    <row r="732" spans="1:16" x14ac:dyDescent="0.3">
      <c r="A732" s="78">
        <v>731</v>
      </c>
      <c r="B732" s="73" t="str">
        <f>C732&amp;"-"&amp;E732&amp;"-"&amp;F732</f>
        <v>-Junior Varsity 3-Trap</v>
      </c>
      <c r="C732" s="73"/>
      <c r="D732" s="73" t="str">
        <f>INDEX('Tournament Setup'!$B$59:$B$78,MATCH(E732,SquadConcurrents,0))</f>
        <v>Junior Varsity</v>
      </c>
      <c r="E732" s="73" t="s">
        <v>351</v>
      </c>
      <c r="F732" s="73" t="s">
        <v>147</v>
      </c>
      <c r="G732" s="94" t="str">
        <f>IF(F732="Skeet",IFERROR(INDEX('Shooter-Squad Assignment'!$A:$A,MATCH(C732&amp;"-"&amp;E732&amp;"-"&amp;F732&amp;"-Pos1",'Shooter-Squad Assignment'!$K:$K,0)),""),IF(F732="Trap",IFERROR(INDEX('Shooter-Squad Assignment'!$A:$A,MATCH(C732&amp;"-"&amp;E732&amp;"-"&amp;F732&amp;"-Pos1",'Shooter-Squad Assignment'!$W:$W,0)),""),IF(F732="Sporting Clays",IFERROR(INDEX('Shooter-Squad Assignment'!$A:$A,MATCH(C732&amp;"-"&amp;E732&amp;"-"&amp;F732&amp;"-Pos1",'Shooter-Squad Assignment'!$Z:$Z,0)),""),"")))</f>
        <v/>
      </c>
      <c r="H732" s="73" t="str">
        <f>IF(ISBLANK(G732),"",IFERROR(INDEX('Tournament List'!$D:$D,MATCH(G732,'Tournament List'!$A:$A,0)),""))</f>
        <v/>
      </c>
      <c r="I732" s="94" t="str">
        <f>IF(F732="Skeet",IFERROR(INDEX('Shooter-Squad Assignment'!$A:$A,MATCH(C732&amp;"-"&amp;E732&amp;"-"&amp;F732&amp;"-Pos2",'Shooter-Squad Assignment'!$K:$K,0)),""),IF(F732="Trap",IFERROR(INDEX('Shooter-Squad Assignment'!$A:$A,MATCH(C732&amp;"-"&amp;E732&amp;"-"&amp;F732&amp;"-Pos2",'Shooter-Squad Assignment'!$W:$W,0)),""),IF(F732="Sporting Clays",IFERROR(INDEX('Shooter-Squad Assignment'!$A:$A,MATCH(C732&amp;"-"&amp;E732&amp;"-"&amp;F732&amp;"-Pos2",'Shooter-Squad Assignment'!$Z:$Z,0)),""),"")))</f>
        <v/>
      </c>
      <c r="J732" s="73" t="str">
        <f>IF(ISBLANK(I732),"",IFERROR(INDEX('Tournament List'!$D:$D,MATCH(I732,'Tournament List'!$A:$A,0)),""))</f>
        <v/>
      </c>
      <c r="K732" s="94" t="str">
        <f>IF(F732="Skeet",IFERROR(INDEX('Shooter-Squad Assignment'!$A:$A,MATCH(C732&amp;"-"&amp;E732&amp;"-"&amp;F732&amp;"-Pos3",'Shooter-Squad Assignment'!$K:$K,0)),""),IF(F732="Trap",IFERROR(INDEX('Shooter-Squad Assignment'!$A:$A,MATCH(C732&amp;"-"&amp;E732&amp;"-"&amp;F732&amp;"-Pos3",'Shooter-Squad Assignment'!$W:$W,0)),""),IF(F732="Sporting Clays",IFERROR(INDEX('Shooter-Squad Assignment'!$A:$A,MATCH(C732&amp;"-"&amp;E732&amp;"-"&amp;F732&amp;"-Pos3",'Shooter-Squad Assignment'!$Z:$Z,0)),""),"")))</f>
        <v/>
      </c>
      <c r="L732" s="73" t="str">
        <f>IF(ISBLANK(K732),"",IFERROR(INDEX('Tournament List'!$D:$D,MATCH(K732,'Tournament List'!$A:$A,0)),""))</f>
        <v/>
      </c>
      <c r="M732" s="94" t="str">
        <f>IF(F732="Skeet",IFERROR(INDEX('Shooter-Squad Assignment'!$A:$A,MATCH(C732&amp;"-"&amp;E732&amp;"-"&amp;F732&amp;"-Pos4",'Shooter-Squad Assignment'!$K:$K,0)),""),IF(F732="Trap",IFERROR(INDEX('Shooter-Squad Assignment'!$A:$A,MATCH(C732&amp;"-"&amp;E732&amp;"-"&amp;F732&amp;"-Pos4",'Shooter-Squad Assignment'!$W:$W,0)),""),IF(F732="Sporting Clays",IFERROR(INDEX('Shooter-Squad Assignment'!$A:$A,MATCH(C732&amp;"-"&amp;E732&amp;"-"&amp;F732&amp;"-Pos4",'Shooter-Squad Assignment'!$Z:$Z,0)),""),"")))</f>
        <v/>
      </c>
      <c r="N732" s="73" t="str">
        <f>IF(ISBLANK(M732),"",IFERROR(INDEX('Tournament List'!$D:$D,MATCH(M732,'Tournament List'!$A:$A,0)),""))</f>
        <v/>
      </c>
      <c r="O732" s="94" t="str">
        <f>IF(F732="Skeet",IFERROR(INDEX('Shooter-Squad Assignment'!$A:$A,MATCH(C732&amp;"-"&amp;E732&amp;"-"&amp;F732&amp;"-Pos5",'Shooter-Squad Assignment'!$K:$K,0)),""),IF(F732="Trap",IFERROR(INDEX('Shooter-Squad Assignment'!$A:$A,MATCH(C732&amp;"-"&amp;E732&amp;"-"&amp;F732&amp;"-Pos5",'Shooter-Squad Assignment'!$W:$W,0)),""),IF(F732="Sporting Clays",IFERROR(INDEX('Shooter-Squad Assignment'!$A:$A,MATCH(C732&amp;"-"&amp;E732&amp;"-"&amp;F732&amp;"-Pos5",'Shooter-Squad Assignment'!$Z:$Z,0)),""),"")))</f>
        <v/>
      </c>
      <c r="P732" s="79" t="str">
        <f>IF(ISBLANK(O732),"",IFERROR(INDEX('Tournament List'!$D:$D,MATCH(O732,'Tournament List'!$A:$A,0)),""))</f>
        <v/>
      </c>
    </row>
    <row r="733" spans="1:16" x14ac:dyDescent="0.3">
      <c r="A733" s="78">
        <v>732</v>
      </c>
      <c r="B733" s="73" t="str">
        <f>C733&amp;"-"&amp;E733&amp;"-"&amp;F733</f>
        <v>-Novice 1-Trap</v>
      </c>
      <c r="C733" s="73"/>
      <c r="D733" s="73" t="str">
        <f>INDEX('Tournament Setup'!$B$59:$B$78,MATCH(E733,SquadConcurrents,0))</f>
        <v>Novice</v>
      </c>
      <c r="E733" s="73" t="s">
        <v>337</v>
      </c>
      <c r="F733" s="73" t="s">
        <v>147</v>
      </c>
      <c r="G733" s="94" t="str">
        <f>IF(F733="Skeet",IFERROR(INDEX('Shooter-Squad Assignment'!$A:$A,MATCH(C733&amp;"-"&amp;E733&amp;"-"&amp;F733&amp;"-Pos1",'Shooter-Squad Assignment'!$K:$K,0)),""),IF(F733="Trap",IFERROR(INDEX('Shooter-Squad Assignment'!$A:$A,MATCH(C733&amp;"-"&amp;E733&amp;"-"&amp;F733&amp;"-Pos1",'Shooter-Squad Assignment'!$W:$W,0)),""),IF(F733="Sporting Clays",IFERROR(INDEX('Shooter-Squad Assignment'!$A:$A,MATCH(C733&amp;"-"&amp;E733&amp;"-"&amp;F733&amp;"-Pos1",'Shooter-Squad Assignment'!$Z:$Z,0)),""),"")))</f>
        <v/>
      </c>
      <c r="H733" s="73" t="str">
        <f>IF(ISBLANK(G733),"",IFERROR(INDEX('Tournament List'!$D:$D,MATCH(G733,'Tournament List'!$A:$A,0)),""))</f>
        <v/>
      </c>
      <c r="I733" s="94" t="str">
        <f>IF(F733="Skeet",IFERROR(INDEX('Shooter-Squad Assignment'!$A:$A,MATCH(C733&amp;"-"&amp;E733&amp;"-"&amp;F733&amp;"-Pos2",'Shooter-Squad Assignment'!$K:$K,0)),""),IF(F733="Trap",IFERROR(INDEX('Shooter-Squad Assignment'!$A:$A,MATCH(C733&amp;"-"&amp;E733&amp;"-"&amp;F733&amp;"-Pos2",'Shooter-Squad Assignment'!$W:$W,0)),""),IF(F733="Sporting Clays",IFERROR(INDEX('Shooter-Squad Assignment'!$A:$A,MATCH(C733&amp;"-"&amp;E733&amp;"-"&amp;F733&amp;"-Pos2",'Shooter-Squad Assignment'!$Z:$Z,0)),""),"")))</f>
        <v/>
      </c>
      <c r="J733" s="73" t="str">
        <f>IF(ISBLANK(I733),"",IFERROR(INDEX('Tournament List'!$D:$D,MATCH(I733,'Tournament List'!$A:$A,0)),""))</f>
        <v/>
      </c>
      <c r="K733" s="94" t="str">
        <f>IF(F733="Skeet",IFERROR(INDEX('Shooter-Squad Assignment'!$A:$A,MATCH(C733&amp;"-"&amp;E733&amp;"-"&amp;F733&amp;"-Pos3",'Shooter-Squad Assignment'!$K:$K,0)),""),IF(F733="Trap",IFERROR(INDEX('Shooter-Squad Assignment'!$A:$A,MATCH(C733&amp;"-"&amp;E733&amp;"-"&amp;F733&amp;"-Pos3",'Shooter-Squad Assignment'!$W:$W,0)),""),IF(F733="Sporting Clays",IFERROR(INDEX('Shooter-Squad Assignment'!$A:$A,MATCH(C733&amp;"-"&amp;E733&amp;"-"&amp;F733&amp;"-Pos3",'Shooter-Squad Assignment'!$Z:$Z,0)),""),"")))</f>
        <v/>
      </c>
      <c r="L733" s="73" t="str">
        <f>IF(ISBLANK(K733),"",IFERROR(INDEX('Tournament List'!$D:$D,MATCH(K733,'Tournament List'!$A:$A,0)),""))</f>
        <v/>
      </c>
      <c r="M733" s="94" t="str">
        <f>IF(F733="Skeet",IFERROR(INDEX('Shooter-Squad Assignment'!$A:$A,MATCH(C733&amp;"-"&amp;E733&amp;"-"&amp;F733&amp;"-Pos4",'Shooter-Squad Assignment'!$K:$K,0)),""),IF(F733="Trap",IFERROR(INDEX('Shooter-Squad Assignment'!$A:$A,MATCH(C733&amp;"-"&amp;E733&amp;"-"&amp;F733&amp;"-Pos4",'Shooter-Squad Assignment'!$W:$W,0)),""),IF(F733="Sporting Clays",IFERROR(INDEX('Shooter-Squad Assignment'!$A:$A,MATCH(C733&amp;"-"&amp;E733&amp;"-"&amp;F733&amp;"-Pos4",'Shooter-Squad Assignment'!$Z:$Z,0)),""),"")))</f>
        <v/>
      </c>
      <c r="N733" s="73" t="str">
        <f>IF(ISBLANK(M733),"",IFERROR(INDEX('Tournament List'!$D:$D,MATCH(M733,'Tournament List'!$A:$A,0)),""))</f>
        <v/>
      </c>
      <c r="O733" s="94" t="str">
        <f>IF(F733="Skeet",IFERROR(INDEX('Shooter-Squad Assignment'!$A:$A,MATCH(C733&amp;"-"&amp;E733&amp;"-"&amp;F733&amp;"-Pos5",'Shooter-Squad Assignment'!$K:$K,0)),""),IF(F733="Trap",IFERROR(INDEX('Shooter-Squad Assignment'!$A:$A,MATCH(C733&amp;"-"&amp;E733&amp;"-"&amp;F733&amp;"-Pos5",'Shooter-Squad Assignment'!$W:$W,0)),""),IF(F733="Sporting Clays",IFERROR(INDEX('Shooter-Squad Assignment'!$A:$A,MATCH(C733&amp;"-"&amp;E733&amp;"-"&amp;F733&amp;"-Pos5",'Shooter-Squad Assignment'!$Z:$Z,0)),""),"")))</f>
        <v/>
      </c>
      <c r="P733" s="79" t="str">
        <f>IF(ISBLANK(O733),"",IFERROR(INDEX('Tournament List'!$D:$D,MATCH(O733,'Tournament List'!$A:$A,0)),""))</f>
        <v/>
      </c>
    </row>
    <row r="734" spans="1:16" x14ac:dyDescent="0.3">
      <c r="A734" s="78">
        <v>733</v>
      </c>
      <c r="B734" s="73" t="str">
        <f>C734&amp;"-"&amp;E734&amp;"-"&amp;F734</f>
        <v>-Novice 2-Trap</v>
      </c>
      <c r="C734" s="73"/>
      <c r="D734" s="73" t="str">
        <f>INDEX('Tournament Setup'!$B$59:$B$78,MATCH(E734,SquadConcurrents,0))</f>
        <v>Novice</v>
      </c>
      <c r="E734" s="73" t="s">
        <v>343</v>
      </c>
      <c r="F734" s="73" t="s">
        <v>147</v>
      </c>
      <c r="G734" s="94" t="str">
        <f>IF(F734="Skeet",IFERROR(INDEX('Shooter-Squad Assignment'!$A:$A,MATCH(C734&amp;"-"&amp;E734&amp;"-"&amp;F734&amp;"-Pos1",'Shooter-Squad Assignment'!$K:$K,0)),""),IF(F734="Trap",IFERROR(INDEX('Shooter-Squad Assignment'!$A:$A,MATCH(C734&amp;"-"&amp;E734&amp;"-"&amp;F734&amp;"-Pos1",'Shooter-Squad Assignment'!$W:$W,0)),""),IF(F734="Sporting Clays",IFERROR(INDEX('Shooter-Squad Assignment'!$A:$A,MATCH(C734&amp;"-"&amp;E734&amp;"-"&amp;F734&amp;"-Pos1",'Shooter-Squad Assignment'!$Z:$Z,0)),""),"")))</f>
        <v/>
      </c>
      <c r="H734" s="73" t="str">
        <f>IF(ISBLANK(G734),"",IFERROR(INDEX('Tournament List'!$D:$D,MATCH(G734,'Tournament List'!$A:$A,0)),""))</f>
        <v/>
      </c>
      <c r="I734" s="94" t="str">
        <f>IF(F734="Skeet",IFERROR(INDEX('Shooter-Squad Assignment'!$A:$A,MATCH(C734&amp;"-"&amp;E734&amp;"-"&amp;F734&amp;"-Pos2",'Shooter-Squad Assignment'!$K:$K,0)),""),IF(F734="Trap",IFERROR(INDEX('Shooter-Squad Assignment'!$A:$A,MATCH(C734&amp;"-"&amp;E734&amp;"-"&amp;F734&amp;"-Pos2",'Shooter-Squad Assignment'!$W:$W,0)),""),IF(F734="Sporting Clays",IFERROR(INDEX('Shooter-Squad Assignment'!$A:$A,MATCH(C734&amp;"-"&amp;E734&amp;"-"&amp;F734&amp;"-Pos2",'Shooter-Squad Assignment'!$Z:$Z,0)),""),"")))</f>
        <v/>
      </c>
      <c r="J734" s="73" t="str">
        <f>IF(ISBLANK(I734),"",IFERROR(INDEX('Tournament List'!$D:$D,MATCH(I734,'Tournament List'!$A:$A,0)),""))</f>
        <v/>
      </c>
      <c r="K734" s="94" t="str">
        <f>IF(F734="Skeet",IFERROR(INDEX('Shooter-Squad Assignment'!$A:$A,MATCH(C734&amp;"-"&amp;E734&amp;"-"&amp;F734&amp;"-Pos3",'Shooter-Squad Assignment'!$K:$K,0)),""),IF(F734="Trap",IFERROR(INDEX('Shooter-Squad Assignment'!$A:$A,MATCH(C734&amp;"-"&amp;E734&amp;"-"&amp;F734&amp;"-Pos3",'Shooter-Squad Assignment'!$W:$W,0)),""),IF(F734="Sporting Clays",IFERROR(INDEX('Shooter-Squad Assignment'!$A:$A,MATCH(C734&amp;"-"&amp;E734&amp;"-"&amp;F734&amp;"-Pos3",'Shooter-Squad Assignment'!$Z:$Z,0)),""),"")))</f>
        <v/>
      </c>
      <c r="L734" s="73" t="str">
        <f>IF(ISBLANK(K734),"",IFERROR(INDEX('Tournament List'!$D:$D,MATCH(K734,'Tournament List'!$A:$A,0)),""))</f>
        <v/>
      </c>
      <c r="M734" s="94" t="str">
        <f>IF(F734="Skeet",IFERROR(INDEX('Shooter-Squad Assignment'!$A:$A,MATCH(C734&amp;"-"&amp;E734&amp;"-"&amp;F734&amp;"-Pos4",'Shooter-Squad Assignment'!$K:$K,0)),""),IF(F734="Trap",IFERROR(INDEX('Shooter-Squad Assignment'!$A:$A,MATCH(C734&amp;"-"&amp;E734&amp;"-"&amp;F734&amp;"-Pos4",'Shooter-Squad Assignment'!$W:$W,0)),""),IF(F734="Sporting Clays",IFERROR(INDEX('Shooter-Squad Assignment'!$A:$A,MATCH(C734&amp;"-"&amp;E734&amp;"-"&amp;F734&amp;"-Pos4",'Shooter-Squad Assignment'!$Z:$Z,0)),""),"")))</f>
        <v/>
      </c>
      <c r="N734" s="73" t="str">
        <f>IF(ISBLANK(M734),"",IFERROR(INDEX('Tournament List'!$D:$D,MATCH(M734,'Tournament List'!$A:$A,0)),""))</f>
        <v/>
      </c>
      <c r="O734" s="94" t="str">
        <f>IF(F734="Skeet",IFERROR(INDEX('Shooter-Squad Assignment'!$A:$A,MATCH(C734&amp;"-"&amp;E734&amp;"-"&amp;F734&amp;"-Pos5",'Shooter-Squad Assignment'!$K:$K,0)),""),IF(F734="Trap",IFERROR(INDEX('Shooter-Squad Assignment'!$A:$A,MATCH(C734&amp;"-"&amp;E734&amp;"-"&amp;F734&amp;"-Pos5",'Shooter-Squad Assignment'!$W:$W,0)),""),IF(F734="Sporting Clays",IFERROR(INDEX('Shooter-Squad Assignment'!$A:$A,MATCH(C734&amp;"-"&amp;E734&amp;"-"&amp;F734&amp;"-Pos5",'Shooter-Squad Assignment'!$Z:$Z,0)),""),"")))</f>
        <v/>
      </c>
      <c r="P734" s="79" t="str">
        <f>IF(ISBLANK(O734),"",IFERROR(INDEX('Tournament List'!$D:$D,MATCH(O734,'Tournament List'!$A:$A,0)),""))</f>
        <v/>
      </c>
    </row>
    <row r="735" spans="1:16" x14ac:dyDescent="0.3">
      <c r="A735" s="78">
        <v>734</v>
      </c>
      <c r="B735" s="73" t="str">
        <f>C735&amp;"-"&amp;E735&amp;"-"&amp;F735</f>
        <v>-Novice 3-Trap</v>
      </c>
      <c r="C735" s="73"/>
      <c r="D735" s="73" t="str">
        <f>INDEX('Tournament Setup'!$B$59:$B$78,MATCH(E735,SquadConcurrents,0))</f>
        <v>Novice</v>
      </c>
      <c r="E735" s="73" t="s">
        <v>349</v>
      </c>
      <c r="F735" s="73" t="s">
        <v>147</v>
      </c>
      <c r="G735" s="94" t="str">
        <f>IF(F735="Skeet",IFERROR(INDEX('Shooter-Squad Assignment'!$A:$A,MATCH(C735&amp;"-"&amp;E735&amp;"-"&amp;F735&amp;"-Pos1",'Shooter-Squad Assignment'!$K:$K,0)),""),IF(F735="Trap",IFERROR(INDEX('Shooter-Squad Assignment'!$A:$A,MATCH(C735&amp;"-"&amp;E735&amp;"-"&amp;F735&amp;"-Pos1",'Shooter-Squad Assignment'!$W:$W,0)),""),IF(F735="Sporting Clays",IFERROR(INDEX('Shooter-Squad Assignment'!$A:$A,MATCH(C735&amp;"-"&amp;E735&amp;"-"&amp;F735&amp;"-Pos1",'Shooter-Squad Assignment'!$Z:$Z,0)),""),"")))</f>
        <v/>
      </c>
      <c r="H735" s="73" t="str">
        <f>IF(ISBLANK(G735),"",IFERROR(INDEX('Tournament List'!$D:$D,MATCH(G735,'Tournament List'!$A:$A,0)),""))</f>
        <v/>
      </c>
      <c r="I735" s="94" t="str">
        <f>IF(F735="Skeet",IFERROR(INDEX('Shooter-Squad Assignment'!$A:$A,MATCH(C735&amp;"-"&amp;E735&amp;"-"&amp;F735&amp;"-Pos2",'Shooter-Squad Assignment'!$K:$K,0)),""),IF(F735="Trap",IFERROR(INDEX('Shooter-Squad Assignment'!$A:$A,MATCH(C735&amp;"-"&amp;E735&amp;"-"&amp;F735&amp;"-Pos2",'Shooter-Squad Assignment'!$W:$W,0)),""),IF(F735="Sporting Clays",IFERROR(INDEX('Shooter-Squad Assignment'!$A:$A,MATCH(C735&amp;"-"&amp;E735&amp;"-"&amp;F735&amp;"-Pos2",'Shooter-Squad Assignment'!$Z:$Z,0)),""),"")))</f>
        <v/>
      </c>
      <c r="J735" s="73" t="str">
        <f>IF(ISBLANK(I735),"",IFERROR(INDEX('Tournament List'!$D:$D,MATCH(I735,'Tournament List'!$A:$A,0)),""))</f>
        <v/>
      </c>
      <c r="K735" s="94" t="str">
        <f>IF(F735="Skeet",IFERROR(INDEX('Shooter-Squad Assignment'!$A:$A,MATCH(C735&amp;"-"&amp;E735&amp;"-"&amp;F735&amp;"-Pos3",'Shooter-Squad Assignment'!$K:$K,0)),""),IF(F735="Trap",IFERROR(INDEX('Shooter-Squad Assignment'!$A:$A,MATCH(C735&amp;"-"&amp;E735&amp;"-"&amp;F735&amp;"-Pos3",'Shooter-Squad Assignment'!$W:$W,0)),""),IF(F735="Sporting Clays",IFERROR(INDEX('Shooter-Squad Assignment'!$A:$A,MATCH(C735&amp;"-"&amp;E735&amp;"-"&amp;F735&amp;"-Pos3",'Shooter-Squad Assignment'!$Z:$Z,0)),""),"")))</f>
        <v/>
      </c>
      <c r="L735" s="73" t="str">
        <f>IF(ISBLANK(K735),"",IFERROR(INDEX('Tournament List'!$D:$D,MATCH(K735,'Tournament List'!$A:$A,0)),""))</f>
        <v/>
      </c>
      <c r="M735" s="94" t="str">
        <f>IF(F735="Skeet",IFERROR(INDEX('Shooter-Squad Assignment'!$A:$A,MATCH(C735&amp;"-"&amp;E735&amp;"-"&amp;F735&amp;"-Pos4",'Shooter-Squad Assignment'!$K:$K,0)),""),IF(F735="Trap",IFERROR(INDEX('Shooter-Squad Assignment'!$A:$A,MATCH(C735&amp;"-"&amp;E735&amp;"-"&amp;F735&amp;"-Pos4",'Shooter-Squad Assignment'!$W:$W,0)),""),IF(F735="Sporting Clays",IFERROR(INDEX('Shooter-Squad Assignment'!$A:$A,MATCH(C735&amp;"-"&amp;E735&amp;"-"&amp;F735&amp;"-Pos4",'Shooter-Squad Assignment'!$Z:$Z,0)),""),"")))</f>
        <v/>
      </c>
      <c r="N735" s="73" t="str">
        <f>IF(ISBLANK(M735),"",IFERROR(INDEX('Tournament List'!$D:$D,MATCH(M735,'Tournament List'!$A:$A,0)),""))</f>
        <v/>
      </c>
      <c r="O735" s="94" t="str">
        <f>IF(F735="Skeet",IFERROR(INDEX('Shooter-Squad Assignment'!$A:$A,MATCH(C735&amp;"-"&amp;E735&amp;"-"&amp;F735&amp;"-Pos5",'Shooter-Squad Assignment'!$K:$K,0)),""),IF(F735="Trap",IFERROR(INDEX('Shooter-Squad Assignment'!$A:$A,MATCH(C735&amp;"-"&amp;E735&amp;"-"&amp;F735&amp;"-Pos5",'Shooter-Squad Assignment'!$W:$W,0)),""),IF(F735="Sporting Clays",IFERROR(INDEX('Shooter-Squad Assignment'!$A:$A,MATCH(C735&amp;"-"&amp;E735&amp;"-"&amp;F735&amp;"-Pos5",'Shooter-Squad Assignment'!$Z:$Z,0)),""),"")))</f>
        <v/>
      </c>
      <c r="P735" s="79" t="str">
        <f>IF(ISBLANK(O735),"",IFERROR(INDEX('Tournament List'!$D:$D,MATCH(O735,'Tournament List'!$A:$A,0)),""))</f>
        <v/>
      </c>
    </row>
    <row r="736" spans="1:16" x14ac:dyDescent="0.3">
      <c r="A736" s="78">
        <v>735</v>
      </c>
      <c r="B736" s="73" t="str">
        <f>C736&amp;"-"&amp;E736&amp;"-"&amp;F736</f>
        <v>-Open 1-Trap</v>
      </c>
      <c r="C736" s="73"/>
      <c r="D736" s="73" t="str">
        <f>INDEX('Tournament Setup'!$B$59:$B$78,MATCH(E736,SquadConcurrents,0))</f>
        <v>Open</v>
      </c>
      <c r="E736" s="73" t="s">
        <v>341</v>
      </c>
      <c r="F736" s="73" t="s">
        <v>147</v>
      </c>
      <c r="G736" s="94" t="str">
        <f>IF(F736="Skeet",IFERROR(INDEX('Shooter-Squad Assignment'!$A:$A,MATCH(C736&amp;"-"&amp;E736&amp;"-"&amp;F736&amp;"-Pos1",'Shooter-Squad Assignment'!$K:$K,0)),""),IF(F736="Trap",IFERROR(INDEX('Shooter-Squad Assignment'!$A:$A,MATCH(C736&amp;"-"&amp;E736&amp;"-"&amp;F736&amp;"-Pos1",'Shooter-Squad Assignment'!$W:$W,0)),""),IF(F736="Sporting Clays",IFERROR(INDEX('Shooter-Squad Assignment'!$A:$A,MATCH(C736&amp;"-"&amp;E736&amp;"-"&amp;F736&amp;"-Pos1",'Shooter-Squad Assignment'!$Z:$Z,0)),""),"")))</f>
        <v/>
      </c>
      <c r="H736" s="73" t="str">
        <f>IF(ISBLANK(G736),"",IFERROR(INDEX('Tournament List'!$D:$D,MATCH(G736,'Tournament List'!$A:$A,0)),""))</f>
        <v/>
      </c>
      <c r="I736" s="94" t="str">
        <f>IF(F736="Skeet",IFERROR(INDEX('Shooter-Squad Assignment'!$A:$A,MATCH(C736&amp;"-"&amp;E736&amp;"-"&amp;F736&amp;"-Pos2",'Shooter-Squad Assignment'!$K:$K,0)),""),IF(F736="Trap",IFERROR(INDEX('Shooter-Squad Assignment'!$A:$A,MATCH(C736&amp;"-"&amp;E736&amp;"-"&amp;F736&amp;"-Pos2",'Shooter-Squad Assignment'!$W:$W,0)),""),IF(F736="Sporting Clays",IFERROR(INDEX('Shooter-Squad Assignment'!$A:$A,MATCH(C736&amp;"-"&amp;E736&amp;"-"&amp;F736&amp;"-Pos2",'Shooter-Squad Assignment'!$Z:$Z,0)),""),"")))</f>
        <v/>
      </c>
      <c r="J736" s="73" t="str">
        <f>IF(ISBLANK(I736),"",IFERROR(INDEX('Tournament List'!$D:$D,MATCH(I736,'Tournament List'!$A:$A,0)),""))</f>
        <v/>
      </c>
      <c r="K736" s="94" t="str">
        <f>IF(F736="Skeet",IFERROR(INDEX('Shooter-Squad Assignment'!$A:$A,MATCH(C736&amp;"-"&amp;E736&amp;"-"&amp;F736&amp;"-Pos3",'Shooter-Squad Assignment'!$K:$K,0)),""),IF(F736="Trap",IFERROR(INDEX('Shooter-Squad Assignment'!$A:$A,MATCH(C736&amp;"-"&amp;E736&amp;"-"&amp;F736&amp;"-Pos3",'Shooter-Squad Assignment'!$W:$W,0)),""),IF(F736="Sporting Clays",IFERROR(INDEX('Shooter-Squad Assignment'!$A:$A,MATCH(C736&amp;"-"&amp;E736&amp;"-"&amp;F736&amp;"-Pos3",'Shooter-Squad Assignment'!$Z:$Z,0)),""),"")))</f>
        <v/>
      </c>
      <c r="L736" s="73" t="str">
        <f>IF(ISBLANK(K736),"",IFERROR(INDEX('Tournament List'!$D:$D,MATCH(K736,'Tournament List'!$A:$A,0)),""))</f>
        <v/>
      </c>
      <c r="M736" s="94" t="str">
        <f>IF(F736="Skeet",IFERROR(INDEX('Shooter-Squad Assignment'!$A:$A,MATCH(C736&amp;"-"&amp;E736&amp;"-"&amp;F736&amp;"-Pos4",'Shooter-Squad Assignment'!$K:$K,0)),""),IF(F736="Trap",IFERROR(INDEX('Shooter-Squad Assignment'!$A:$A,MATCH(C736&amp;"-"&amp;E736&amp;"-"&amp;F736&amp;"-Pos4",'Shooter-Squad Assignment'!$W:$W,0)),""),IF(F736="Sporting Clays",IFERROR(INDEX('Shooter-Squad Assignment'!$A:$A,MATCH(C736&amp;"-"&amp;E736&amp;"-"&amp;F736&amp;"-Pos4",'Shooter-Squad Assignment'!$Z:$Z,0)),""),"")))</f>
        <v/>
      </c>
      <c r="N736" s="73" t="str">
        <f>IF(ISBLANK(M736),"",IFERROR(INDEX('Tournament List'!$D:$D,MATCH(M736,'Tournament List'!$A:$A,0)),""))</f>
        <v/>
      </c>
      <c r="O736" s="94" t="str">
        <f>IF(F736="Skeet",IFERROR(INDEX('Shooter-Squad Assignment'!$A:$A,MATCH(C736&amp;"-"&amp;E736&amp;"-"&amp;F736&amp;"-Pos5",'Shooter-Squad Assignment'!$K:$K,0)),""),IF(F736="Trap",IFERROR(INDEX('Shooter-Squad Assignment'!$A:$A,MATCH(C736&amp;"-"&amp;E736&amp;"-"&amp;F736&amp;"-Pos5",'Shooter-Squad Assignment'!$W:$W,0)),""),IF(F736="Sporting Clays",IFERROR(INDEX('Shooter-Squad Assignment'!$A:$A,MATCH(C736&amp;"-"&amp;E736&amp;"-"&amp;F736&amp;"-Pos5",'Shooter-Squad Assignment'!$Z:$Z,0)),""),"")))</f>
        <v/>
      </c>
      <c r="P736" s="79" t="str">
        <f>IF(ISBLANK(O736),"",IFERROR(INDEX('Tournament List'!$D:$D,MATCH(O736,'Tournament List'!$A:$A,0)),""))</f>
        <v/>
      </c>
    </row>
    <row r="737" spans="1:16" x14ac:dyDescent="0.3">
      <c r="A737" s="78">
        <v>736</v>
      </c>
      <c r="B737" s="73" t="str">
        <f>C737&amp;"-"&amp;E737&amp;"-"&amp;F737</f>
        <v>-Open 2-Trap</v>
      </c>
      <c r="C737" s="73"/>
      <c r="D737" s="73" t="str">
        <f>INDEX('Tournament Setup'!$B$59:$B$78,MATCH(E737,SquadConcurrents,0))</f>
        <v>Open</v>
      </c>
      <c r="E737" s="73" t="s">
        <v>347</v>
      </c>
      <c r="F737" s="73" t="s">
        <v>147</v>
      </c>
      <c r="G737" s="94" t="str">
        <f>IF(F737="Skeet",IFERROR(INDEX('Shooter-Squad Assignment'!$A:$A,MATCH(C737&amp;"-"&amp;E737&amp;"-"&amp;F737&amp;"-Pos1",'Shooter-Squad Assignment'!$K:$K,0)),""),IF(F737="Trap",IFERROR(INDEX('Shooter-Squad Assignment'!$A:$A,MATCH(C737&amp;"-"&amp;E737&amp;"-"&amp;F737&amp;"-Pos1",'Shooter-Squad Assignment'!$W:$W,0)),""),IF(F737="Sporting Clays",IFERROR(INDEX('Shooter-Squad Assignment'!$A:$A,MATCH(C737&amp;"-"&amp;E737&amp;"-"&amp;F737&amp;"-Pos1",'Shooter-Squad Assignment'!$Z:$Z,0)),""),"")))</f>
        <v/>
      </c>
      <c r="H737" s="73" t="str">
        <f>IF(ISBLANK(G737),"",IFERROR(INDEX('Tournament List'!$D:$D,MATCH(G737,'Tournament List'!$A:$A,0)),""))</f>
        <v/>
      </c>
      <c r="I737" s="94" t="str">
        <f>IF(F737="Skeet",IFERROR(INDEX('Shooter-Squad Assignment'!$A:$A,MATCH(C737&amp;"-"&amp;E737&amp;"-"&amp;F737&amp;"-Pos2",'Shooter-Squad Assignment'!$K:$K,0)),""),IF(F737="Trap",IFERROR(INDEX('Shooter-Squad Assignment'!$A:$A,MATCH(C737&amp;"-"&amp;E737&amp;"-"&amp;F737&amp;"-Pos2",'Shooter-Squad Assignment'!$W:$W,0)),""),IF(F737="Sporting Clays",IFERROR(INDEX('Shooter-Squad Assignment'!$A:$A,MATCH(C737&amp;"-"&amp;E737&amp;"-"&amp;F737&amp;"-Pos2",'Shooter-Squad Assignment'!$Z:$Z,0)),""),"")))</f>
        <v/>
      </c>
      <c r="J737" s="73" t="str">
        <f>IF(ISBLANK(I737),"",IFERROR(INDEX('Tournament List'!$D:$D,MATCH(I737,'Tournament List'!$A:$A,0)),""))</f>
        <v/>
      </c>
      <c r="K737" s="94" t="str">
        <f>IF(F737="Skeet",IFERROR(INDEX('Shooter-Squad Assignment'!$A:$A,MATCH(C737&amp;"-"&amp;E737&amp;"-"&amp;F737&amp;"-Pos3",'Shooter-Squad Assignment'!$K:$K,0)),""),IF(F737="Trap",IFERROR(INDEX('Shooter-Squad Assignment'!$A:$A,MATCH(C737&amp;"-"&amp;E737&amp;"-"&amp;F737&amp;"-Pos3",'Shooter-Squad Assignment'!$W:$W,0)),""),IF(F737="Sporting Clays",IFERROR(INDEX('Shooter-Squad Assignment'!$A:$A,MATCH(C737&amp;"-"&amp;E737&amp;"-"&amp;F737&amp;"-Pos3",'Shooter-Squad Assignment'!$Z:$Z,0)),""),"")))</f>
        <v/>
      </c>
      <c r="L737" s="73" t="str">
        <f>IF(ISBLANK(K737),"",IFERROR(INDEX('Tournament List'!$D:$D,MATCH(K737,'Tournament List'!$A:$A,0)),""))</f>
        <v/>
      </c>
      <c r="M737" s="94" t="str">
        <f>IF(F737="Skeet",IFERROR(INDEX('Shooter-Squad Assignment'!$A:$A,MATCH(C737&amp;"-"&amp;E737&amp;"-"&amp;F737&amp;"-Pos4",'Shooter-Squad Assignment'!$K:$K,0)),""),IF(F737="Trap",IFERROR(INDEX('Shooter-Squad Assignment'!$A:$A,MATCH(C737&amp;"-"&amp;E737&amp;"-"&amp;F737&amp;"-Pos4",'Shooter-Squad Assignment'!$W:$W,0)),""),IF(F737="Sporting Clays",IFERROR(INDEX('Shooter-Squad Assignment'!$A:$A,MATCH(C737&amp;"-"&amp;E737&amp;"-"&amp;F737&amp;"-Pos4",'Shooter-Squad Assignment'!$Z:$Z,0)),""),"")))</f>
        <v/>
      </c>
      <c r="N737" s="73" t="str">
        <f>IF(ISBLANK(M737),"",IFERROR(INDEX('Tournament List'!$D:$D,MATCH(M737,'Tournament List'!$A:$A,0)),""))</f>
        <v/>
      </c>
      <c r="O737" s="94" t="str">
        <f>IF(F737="Skeet",IFERROR(INDEX('Shooter-Squad Assignment'!$A:$A,MATCH(C737&amp;"-"&amp;E737&amp;"-"&amp;F737&amp;"-Pos5",'Shooter-Squad Assignment'!$K:$K,0)),""),IF(F737="Trap",IFERROR(INDEX('Shooter-Squad Assignment'!$A:$A,MATCH(C737&amp;"-"&amp;E737&amp;"-"&amp;F737&amp;"-Pos5",'Shooter-Squad Assignment'!$W:$W,0)),""),IF(F737="Sporting Clays",IFERROR(INDEX('Shooter-Squad Assignment'!$A:$A,MATCH(C737&amp;"-"&amp;E737&amp;"-"&amp;F737&amp;"-Pos5",'Shooter-Squad Assignment'!$Z:$Z,0)),""),"")))</f>
        <v/>
      </c>
      <c r="P737" s="79" t="str">
        <f>IF(ISBLANK(O737),"",IFERROR(INDEX('Tournament List'!$D:$D,MATCH(O737,'Tournament List'!$A:$A,0)),""))</f>
        <v/>
      </c>
    </row>
    <row r="738" spans="1:16" x14ac:dyDescent="0.3">
      <c r="A738" s="78">
        <v>737</v>
      </c>
      <c r="B738" s="73" t="str">
        <f>C738&amp;"-"&amp;E738&amp;"-"&amp;F738</f>
        <v>-Open 3-Trap</v>
      </c>
      <c r="C738" s="73"/>
      <c r="D738" s="73" t="str">
        <f>INDEX('Tournament Setup'!$B$59:$B$78,MATCH(E738,SquadConcurrents,0))</f>
        <v>Open</v>
      </c>
      <c r="E738" s="73" t="s">
        <v>353</v>
      </c>
      <c r="F738" s="73" t="s">
        <v>147</v>
      </c>
      <c r="G738" s="94" t="str">
        <f>IF(F738="Skeet",IFERROR(INDEX('Shooter-Squad Assignment'!$A:$A,MATCH(C738&amp;"-"&amp;E738&amp;"-"&amp;F738&amp;"-Pos1",'Shooter-Squad Assignment'!$K:$K,0)),""),IF(F738="Trap",IFERROR(INDEX('Shooter-Squad Assignment'!$A:$A,MATCH(C738&amp;"-"&amp;E738&amp;"-"&amp;F738&amp;"-Pos1",'Shooter-Squad Assignment'!$W:$W,0)),""),IF(F738="Sporting Clays",IFERROR(INDEX('Shooter-Squad Assignment'!$A:$A,MATCH(C738&amp;"-"&amp;E738&amp;"-"&amp;F738&amp;"-Pos1",'Shooter-Squad Assignment'!$Z:$Z,0)),""),"")))</f>
        <v/>
      </c>
      <c r="H738" s="73" t="str">
        <f>IF(ISBLANK(G738),"",IFERROR(INDEX('Tournament List'!$D:$D,MATCH(G738,'Tournament List'!$A:$A,0)),""))</f>
        <v/>
      </c>
      <c r="I738" s="94" t="str">
        <f>IF(F738="Skeet",IFERROR(INDEX('Shooter-Squad Assignment'!$A:$A,MATCH(C738&amp;"-"&amp;E738&amp;"-"&amp;F738&amp;"-Pos2",'Shooter-Squad Assignment'!$K:$K,0)),""),IF(F738="Trap",IFERROR(INDEX('Shooter-Squad Assignment'!$A:$A,MATCH(C738&amp;"-"&amp;E738&amp;"-"&amp;F738&amp;"-Pos2",'Shooter-Squad Assignment'!$W:$W,0)),""),IF(F738="Sporting Clays",IFERROR(INDEX('Shooter-Squad Assignment'!$A:$A,MATCH(C738&amp;"-"&amp;E738&amp;"-"&amp;F738&amp;"-Pos2",'Shooter-Squad Assignment'!$Z:$Z,0)),""),"")))</f>
        <v/>
      </c>
      <c r="J738" s="73" t="str">
        <f>IF(ISBLANK(I738),"",IFERROR(INDEX('Tournament List'!$D:$D,MATCH(I738,'Tournament List'!$A:$A,0)),""))</f>
        <v/>
      </c>
      <c r="K738" s="94" t="str">
        <f>IF(F738="Skeet",IFERROR(INDEX('Shooter-Squad Assignment'!$A:$A,MATCH(C738&amp;"-"&amp;E738&amp;"-"&amp;F738&amp;"-Pos3",'Shooter-Squad Assignment'!$K:$K,0)),""),IF(F738="Trap",IFERROR(INDEX('Shooter-Squad Assignment'!$A:$A,MATCH(C738&amp;"-"&amp;E738&amp;"-"&amp;F738&amp;"-Pos3",'Shooter-Squad Assignment'!$W:$W,0)),""),IF(F738="Sporting Clays",IFERROR(INDEX('Shooter-Squad Assignment'!$A:$A,MATCH(C738&amp;"-"&amp;E738&amp;"-"&amp;F738&amp;"-Pos3",'Shooter-Squad Assignment'!$Z:$Z,0)),""),"")))</f>
        <v/>
      </c>
      <c r="L738" s="73" t="str">
        <f>IF(ISBLANK(K738),"",IFERROR(INDEX('Tournament List'!$D:$D,MATCH(K738,'Tournament List'!$A:$A,0)),""))</f>
        <v/>
      </c>
      <c r="M738" s="94" t="str">
        <f>IF(F738="Skeet",IFERROR(INDEX('Shooter-Squad Assignment'!$A:$A,MATCH(C738&amp;"-"&amp;E738&amp;"-"&amp;F738&amp;"-Pos4",'Shooter-Squad Assignment'!$K:$K,0)),""),IF(F738="Trap",IFERROR(INDEX('Shooter-Squad Assignment'!$A:$A,MATCH(C738&amp;"-"&amp;E738&amp;"-"&amp;F738&amp;"-Pos4",'Shooter-Squad Assignment'!$W:$W,0)),""),IF(F738="Sporting Clays",IFERROR(INDEX('Shooter-Squad Assignment'!$A:$A,MATCH(C738&amp;"-"&amp;E738&amp;"-"&amp;F738&amp;"-Pos4",'Shooter-Squad Assignment'!$Z:$Z,0)),""),"")))</f>
        <v/>
      </c>
      <c r="N738" s="73" t="str">
        <f>IF(ISBLANK(M738),"",IFERROR(INDEX('Tournament List'!$D:$D,MATCH(M738,'Tournament List'!$A:$A,0)),""))</f>
        <v/>
      </c>
      <c r="O738" s="94" t="str">
        <f>IF(F738="Skeet",IFERROR(INDEX('Shooter-Squad Assignment'!$A:$A,MATCH(C738&amp;"-"&amp;E738&amp;"-"&amp;F738&amp;"-Pos5",'Shooter-Squad Assignment'!$K:$K,0)),""),IF(F738="Trap",IFERROR(INDEX('Shooter-Squad Assignment'!$A:$A,MATCH(C738&amp;"-"&amp;E738&amp;"-"&amp;F738&amp;"-Pos5",'Shooter-Squad Assignment'!$W:$W,0)),""),IF(F738="Sporting Clays",IFERROR(INDEX('Shooter-Squad Assignment'!$A:$A,MATCH(C738&amp;"-"&amp;E738&amp;"-"&amp;F738&amp;"-Pos5",'Shooter-Squad Assignment'!$Z:$Z,0)),""),"")))</f>
        <v/>
      </c>
      <c r="P738" s="79" t="str">
        <f>IF(ISBLANK(O738),"",IFERROR(INDEX('Tournament List'!$D:$D,MATCH(O738,'Tournament List'!$A:$A,0)),""))</f>
        <v/>
      </c>
    </row>
    <row r="739" spans="1:16" x14ac:dyDescent="0.3">
      <c r="A739" s="78">
        <v>738</v>
      </c>
      <c r="B739" s="73" t="str">
        <f>C739&amp;"-"&amp;E739&amp;"-"&amp;F739</f>
        <v>-Unassigned 1-Trap</v>
      </c>
      <c r="C739" s="73"/>
      <c r="D739" s="73" t="str">
        <f>INDEX('Tournament Setup'!$B$59:$B$78,MATCH(E739,SquadConcurrents,0))</f>
        <v>Unassigned</v>
      </c>
      <c r="E739" s="73" t="s">
        <v>762</v>
      </c>
      <c r="F739" s="73" t="s">
        <v>147</v>
      </c>
      <c r="G739" s="94" t="str">
        <f>IF(F739="Skeet",IFERROR(INDEX('Shooter-Squad Assignment'!$A:$A,MATCH(C739&amp;"-"&amp;E739&amp;"-"&amp;F739&amp;"-Pos1",'Shooter-Squad Assignment'!$K:$K,0)),""),IF(F739="Trap",IFERROR(INDEX('Shooter-Squad Assignment'!$A:$A,MATCH(C739&amp;"-"&amp;E739&amp;"-"&amp;F739&amp;"-Pos1",'Shooter-Squad Assignment'!$W:$W,0)),""),IF(F739="Sporting Clays",IFERROR(INDEX('Shooter-Squad Assignment'!$A:$A,MATCH(C739&amp;"-"&amp;E739&amp;"-"&amp;F739&amp;"-Pos1",'Shooter-Squad Assignment'!$Z:$Z,0)),""),"")))</f>
        <v/>
      </c>
      <c r="H739" s="73" t="str">
        <f>IF(ISBLANK(G739),"",IFERROR(INDEX('Tournament List'!$D:$D,MATCH(G739,'Tournament List'!$A:$A,0)),""))</f>
        <v/>
      </c>
      <c r="I739" s="94" t="str">
        <f>IF(F739="Skeet",IFERROR(INDEX('Shooter-Squad Assignment'!$A:$A,MATCH(C739&amp;"-"&amp;E739&amp;"-"&amp;F739&amp;"-Pos2",'Shooter-Squad Assignment'!$K:$K,0)),""),IF(F739="Trap",IFERROR(INDEX('Shooter-Squad Assignment'!$A:$A,MATCH(C739&amp;"-"&amp;E739&amp;"-"&amp;F739&amp;"-Pos2",'Shooter-Squad Assignment'!$W:$W,0)),""),IF(F739="Sporting Clays",IFERROR(INDEX('Shooter-Squad Assignment'!$A:$A,MATCH(C739&amp;"-"&amp;E739&amp;"-"&amp;F739&amp;"-Pos2",'Shooter-Squad Assignment'!$Z:$Z,0)),""),"")))</f>
        <v/>
      </c>
      <c r="J739" s="73" t="str">
        <f>IF(ISBLANK(I739),"",IFERROR(INDEX('Tournament List'!$D:$D,MATCH(I739,'Tournament List'!$A:$A,0)),""))</f>
        <v/>
      </c>
      <c r="K739" s="94" t="str">
        <f>IF(F739="Skeet",IFERROR(INDEX('Shooter-Squad Assignment'!$A:$A,MATCH(C739&amp;"-"&amp;E739&amp;"-"&amp;F739&amp;"-Pos3",'Shooter-Squad Assignment'!$K:$K,0)),""),IF(F739="Trap",IFERROR(INDEX('Shooter-Squad Assignment'!$A:$A,MATCH(C739&amp;"-"&amp;E739&amp;"-"&amp;F739&amp;"-Pos3",'Shooter-Squad Assignment'!$W:$W,0)),""),IF(F739="Sporting Clays",IFERROR(INDEX('Shooter-Squad Assignment'!$A:$A,MATCH(C739&amp;"-"&amp;E739&amp;"-"&amp;F739&amp;"-Pos3",'Shooter-Squad Assignment'!$Z:$Z,0)),""),"")))</f>
        <v/>
      </c>
      <c r="L739" s="73" t="str">
        <f>IF(ISBLANK(K739),"",IFERROR(INDEX('Tournament List'!$D:$D,MATCH(K739,'Tournament List'!$A:$A,0)),""))</f>
        <v/>
      </c>
      <c r="M739" s="94" t="str">
        <f>IF(F739="Skeet",IFERROR(INDEX('Shooter-Squad Assignment'!$A:$A,MATCH(C739&amp;"-"&amp;E739&amp;"-"&amp;F739&amp;"-Pos4",'Shooter-Squad Assignment'!$K:$K,0)),""),IF(F739="Trap",IFERROR(INDEX('Shooter-Squad Assignment'!$A:$A,MATCH(C739&amp;"-"&amp;E739&amp;"-"&amp;F739&amp;"-Pos4",'Shooter-Squad Assignment'!$W:$W,0)),""),IF(F739="Sporting Clays",IFERROR(INDEX('Shooter-Squad Assignment'!$A:$A,MATCH(C739&amp;"-"&amp;E739&amp;"-"&amp;F739&amp;"-Pos4",'Shooter-Squad Assignment'!$Z:$Z,0)),""),"")))</f>
        <v/>
      </c>
      <c r="N739" s="73" t="str">
        <f>IF(ISBLANK(M739),"",IFERROR(INDEX('Tournament List'!$D:$D,MATCH(M739,'Tournament List'!$A:$A,0)),""))</f>
        <v/>
      </c>
      <c r="O739" s="94" t="str">
        <f>IF(F739="Skeet",IFERROR(INDEX('Shooter-Squad Assignment'!$A:$A,MATCH(C739&amp;"-"&amp;E739&amp;"-"&amp;F739&amp;"-Pos5",'Shooter-Squad Assignment'!$K:$K,0)),""),IF(F739="Trap",IFERROR(INDEX('Shooter-Squad Assignment'!$A:$A,MATCH(C739&amp;"-"&amp;E739&amp;"-"&amp;F739&amp;"-Pos5",'Shooter-Squad Assignment'!$W:$W,0)),""),IF(F739="Sporting Clays",IFERROR(INDEX('Shooter-Squad Assignment'!$A:$A,MATCH(C739&amp;"-"&amp;E739&amp;"-"&amp;F739&amp;"-Pos5",'Shooter-Squad Assignment'!$Z:$Z,0)),""),"")))</f>
        <v/>
      </c>
      <c r="P739" s="79" t="str">
        <f>IF(ISBLANK(O739),"",IFERROR(INDEX('Tournament List'!$D:$D,MATCH(O739,'Tournament List'!$A:$A,0)),""))</f>
        <v/>
      </c>
    </row>
    <row r="740" spans="1:16" x14ac:dyDescent="0.3">
      <c r="A740" s="78">
        <v>739</v>
      </c>
      <c r="B740" s="73" t="str">
        <f>C740&amp;"-"&amp;E740&amp;"-"&amp;F740</f>
        <v>-Varsity 1-Trap</v>
      </c>
      <c r="C740" s="73"/>
      <c r="D740" s="73" t="str">
        <f>INDEX('Tournament Setup'!$B$59:$B$78,MATCH(E740,SquadConcurrents,0))</f>
        <v>Varsity</v>
      </c>
      <c r="E740" s="73" t="s">
        <v>340</v>
      </c>
      <c r="F740" s="73" t="s">
        <v>147</v>
      </c>
      <c r="G740" s="94" t="str">
        <f>IF(F740="Skeet",IFERROR(INDEX('Shooter-Squad Assignment'!$A:$A,MATCH(C740&amp;"-"&amp;E740&amp;"-"&amp;F740&amp;"-Pos1",'Shooter-Squad Assignment'!$K:$K,0)),""),IF(F740="Trap",IFERROR(INDEX('Shooter-Squad Assignment'!$A:$A,MATCH(C740&amp;"-"&amp;E740&amp;"-"&amp;F740&amp;"-Pos1",'Shooter-Squad Assignment'!$W:$W,0)),""),IF(F740="Sporting Clays",IFERROR(INDEX('Shooter-Squad Assignment'!$A:$A,MATCH(C740&amp;"-"&amp;E740&amp;"-"&amp;F740&amp;"-Pos1",'Shooter-Squad Assignment'!$Z:$Z,0)),""),"")))</f>
        <v/>
      </c>
      <c r="H740" s="73" t="str">
        <f>IF(ISBLANK(G740),"",IFERROR(INDEX('Tournament List'!$D:$D,MATCH(G740,'Tournament List'!$A:$A,0)),""))</f>
        <v/>
      </c>
      <c r="I740" s="94" t="str">
        <f>IF(F740="Skeet",IFERROR(INDEX('Shooter-Squad Assignment'!$A:$A,MATCH(C740&amp;"-"&amp;E740&amp;"-"&amp;F740&amp;"-Pos2",'Shooter-Squad Assignment'!$K:$K,0)),""),IF(F740="Trap",IFERROR(INDEX('Shooter-Squad Assignment'!$A:$A,MATCH(C740&amp;"-"&amp;E740&amp;"-"&amp;F740&amp;"-Pos2",'Shooter-Squad Assignment'!$W:$W,0)),""),IF(F740="Sporting Clays",IFERROR(INDEX('Shooter-Squad Assignment'!$A:$A,MATCH(C740&amp;"-"&amp;E740&amp;"-"&amp;F740&amp;"-Pos2",'Shooter-Squad Assignment'!$Z:$Z,0)),""),"")))</f>
        <v/>
      </c>
      <c r="J740" s="73" t="str">
        <f>IF(ISBLANK(I740),"",IFERROR(INDEX('Tournament List'!$D:$D,MATCH(I740,'Tournament List'!$A:$A,0)),""))</f>
        <v/>
      </c>
      <c r="K740" s="94" t="str">
        <f>IF(F740="Skeet",IFERROR(INDEX('Shooter-Squad Assignment'!$A:$A,MATCH(C740&amp;"-"&amp;E740&amp;"-"&amp;F740&amp;"-Pos3",'Shooter-Squad Assignment'!$K:$K,0)),""),IF(F740="Trap",IFERROR(INDEX('Shooter-Squad Assignment'!$A:$A,MATCH(C740&amp;"-"&amp;E740&amp;"-"&amp;F740&amp;"-Pos3",'Shooter-Squad Assignment'!$W:$W,0)),""),IF(F740="Sporting Clays",IFERROR(INDEX('Shooter-Squad Assignment'!$A:$A,MATCH(C740&amp;"-"&amp;E740&amp;"-"&amp;F740&amp;"-Pos3",'Shooter-Squad Assignment'!$Z:$Z,0)),""),"")))</f>
        <v/>
      </c>
      <c r="L740" s="73" t="str">
        <f>IF(ISBLANK(K740),"",IFERROR(INDEX('Tournament List'!$D:$D,MATCH(K740,'Tournament List'!$A:$A,0)),""))</f>
        <v/>
      </c>
      <c r="M740" s="94" t="str">
        <f>IF(F740="Skeet",IFERROR(INDEX('Shooter-Squad Assignment'!$A:$A,MATCH(C740&amp;"-"&amp;E740&amp;"-"&amp;F740&amp;"-Pos4",'Shooter-Squad Assignment'!$K:$K,0)),""),IF(F740="Trap",IFERROR(INDEX('Shooter-Squad Assignment'!$A:$A,MATCH(C740&amp;"-"&amp;E740&amp;"-"&amp;F740&amp;"-Pos4",'Shooter-Squad Assignment'!$W:$W,0)),""),IF(F740="Sporting Clays",IFERROR(INDEX('Shooter-Squad Assignment'!$A:$A,MATCH(C740&amp;"-"&amp;E740&amp;"-"&amp;F740&amp;"-Pos4",'Shooter-Squad Assignment'!$Z:$Z,0)),""),"")))</f>
        <v/>
      </c>
      <c r="N740" s="73" t="str">
        <f>IF(ISBLANK(M740),"",IFERROR(INDEX('Tournament List'!$D:$D,MATCH(M740,'Tournament List'!$A:$A,0)),""))</f>
        <v/>
      </c>
      <c r="O740" s="94" t="str">
        <f>IF(F740="Skeet",IFERROR(INDEX('Shooter-Squad Assignment'!$A:$A,MATCH(C740&amp;"-"&amp;E740&amp;"-"&amp;F740&amp;"-Pos5",'Shooter-Squad Assignment'!$K:$K,0)),""),IF(F740="Trap",IFERROR(INDEX('Shooter-Squad Assignment'!$A:$A,MATCH(C740&amp;"-"&amp;E740&amp;"-"&amp;F740&amp;"-Pos5",'Shooter-Squad Assignment'!$W:$W,0)),""),IF(F740="Sporting Clays",IFERROR(INDEX('Shooter-Squad Assignment'!$A:$A,MATCH(C740&amp;"-"&amp;E740&amp;"-"&amp;F740&amp;"-Pos5",'Shooter-Squad Assignment'!$Z:$Z,0)),""),"")))</f>
        <v/>
      </c>
      <c r="P740" s="79" t="str">
        <f>IF(ISBLANK(O740),"",IFERROR(INDEX('Tournament List'!$D:$D,MATCH(O740,'Tournament List'!$A:$A,0)),""))</f>
        <v/>
      </c>
    </row>
    <row r="741" spans="1:16" x14ac:dyDescent="0.3">
      <c r="A741" s="78">
        <v>740</v>
      </c>
      <c r="B741" s="73" t="str">
        <f>C741&amp;"-"&amp;E741&amp;"-"&amp;F741</f>
        <v>-Varsity 2-Trap</v>
      </c>
      <c r="C741" s="73"/>
      <c r="D741" s="73" t="str">
        <f>INDEX('Tournament Setup'!$B$59:$B$78,MATCH(E741,SquadConcurrents,0))</f>
        <v>Varsity</v>
      </c>
      <c r="E741" s="73" t="s">
        <v>346</v>
      </c>
      <c r="F741" s="73" t="s">
        <v>147</v>
      </c>
      <c r="G741" s="94" t="str">
        <f>IF(F741="Skeet",IFERROR(INDEX('Shooter-Squad Assignment'!$A:$A,MATCH(C741&amp;"-"&amp;E741&amp;"-"&amp;F741&amp;"-Pos1",'Shooter-Squad Assignment'!$K:$K,0)),""),IF(F741="Trap",IFERROR(INDEX('Shooter-Squad Assignment'!$A:$A,MATCH(C741&amp;"-"&amp;E741&amp;"-"&amp;F741&amp;"-Pos1",'Shooter-Squad Assignment'!$W:$W,0)),""),IF(F741="Sporting Clays",IFERROR(INDEX('Shooter-Squad Assignment'!$A:$A,MATCH(C741&amp;"-"&amp;E741&amp;"-"&amp;F741&amp;"-Pos1",'Shooter-Squad Assignment'!$Z:$Z,0)),""),"")))</f>
        <v/>
      </c>
      <c r="H741" s="73" t="str">
        <f>IF(ISBLANK(G741),"",IFERROR(INDEX('Tournament List'!$D:$D,MATCH(G741,'Tournament List'!$A:$A,0)),""))</f>
        <v/>
      </c>
      <c r="I741" s="94" t="str">
        <f>IF(F741="Skeet",IFERROR(INDEX('Shooter-Squad Assignment'!$A:$A,MATCH(C741&amp;"-"&amp;E741&amp;"-"&amp;F741&amp;"-Pos2",'Shooter-Squad Assignment'!$K:$K,0)),""),IF(F741="Trap",IFERROR(INDEX('Shooter-Squad Assignment'!$A:$A,MATCH(C741&amp;"-"&amp;E741&amp;"-"&amp;F741&amp;"-Pos2",'Shooter-Squad Assignment'!$W:$W,0)),""),IF(F741="Sporting Clays",IFERROR(INDEX('Shooter-Squad Assignment'!$A:$A,MATCH(C741&amp;"-"&amp;E741&amp;"-"&amp;F741&amp;"-Pos2",'Shooter-Squad Assignment'!$Z:$Z,0)),""),"")))</f>
        <v/>
      </c>
      <c r="J741" s="73" t="str">
        <f>IF(ISBLANK(I741),"",IFERROR(INDEX('Tournament List'!$D:$D,MATCH(I741,'Tournament List'!$A:$A,0)),""))</f>
        <v/>
      </c>
      <c r="K741" s="94" t="str">
        <f>IF(F741="Skeet",IFERROR(INDEX('Shooter-Squad Assignment'!$A:$A,MATCH(C741&amp;"-"&amp;E741&amp;"-"&amp;F741&amp;"-Pos3",'Shooter-Squad Assignment'!$K:$K,0)),""),IF(F741="Trap",IFERROR(INDEX('Shooter-Squad Assignment'!$A:$A,MATCH(C741&amp;"-"&amp;E741&amp;"-"&amp;F741&amp;"-Pos3",'Shooter-Squad Assignment'!$W:$W,0)),""),IF(F741="Sporting Clays",IFERROR(INDEX('Shooter-Squad Assignment'!$A:$A,MATCH(C741&amp;"-"&amp;E741&amp;"-"&amp;F741&amp;"-Pos3",'Shooter-Squad Assignment'!$Z:$Z,0)),""),"")))</f>
        <v/>
      </c>
      <c r="L741" s="73" t="str">
        <f>IF(ISBLANK(K741),"",IFERROR(INDEX('Tournament List'!$D:$D,MATCH(K741,'Tournament List'!$A:$A,0)),""))</f>
        <v/>
      </c>
      <c r="M741" s="94" t="str">
        <f>IF(F741="Skeet",IFERROR(INDEX('Shooter-Squad Assignment'!$A:$A,MATCH(C741&amp;"-"&amp;E741&amp;"-"&amp;F741&amp;"-Pos4",'Shooter-Squad Assignment'!$K:$K,0)),""),IF(F741="Trap",IFERROR(INDEX('Shooter-Squad Assignment'!$A:$A,MATCH(C741&amp;"-"&amp;E741&amp;"-"&amp;F741&amp;"-Pos4",'Shooter-Squad Assignment'!$W:$W,0)),""),IF(F741="Sporting Clays",IFERROR(INDEX('Shooter-Squad Assignment'!$A:$A,MATCH(C741&amp;"-"&amp;E741&amp;"-"&amp;F741&amp;"-Pos4",'Shooter-Squad Assignment'!$Z:$Z,0)),""),"")))</f>
        <v/>
      </c>
      <c r="N741" s="73" t="str">
        <f>IF(ISBLANK(M741),"",IFERROR(INDEX('Tournament List'!$D:$D,MATCH(M741,'Tournament List'!$A:$A,0)),""))</f>
        <v/>
      </c>
      <c r="O741" s="94" t="str">
        <f>IF(F741="Skeet",IFERROR(INDEX('Shooter-Squad Assignment'!$A:$A,MATCH(C741&amp;"-"&amp;E741&amp;"-"&amp;F741&amp;"-Pos5",'Shooter-Squad Assignment'!$K:$K,0)),""),IF(F741="Trap",IFERROR(INDEX('Shooter-Squad Assignment'!$A:$A,MATCH(C741&amp;"-"&amp;E741&amp;"-"&amp;F741&amp;"-Pos5",'Shooter-Squad Assignment'!$W:$W,0)),""),IF(F741="Sporting Clays",IFERROR(INDEX('Shooter-Squad Assignment'!$A:$A,MATCH(C741&amp;"-"&amp;E741&amp;"-"&amp;F741&amp;"-Pos5",'Shooter-Squad Assignment'!$Z:$Z,0)),""),"")))</f>
        <v/>
      </c>
      <c r="P741" s="79" t="str">
        <f>IF(ISBLANK(O741),"",IFERROR(INDEX('Tournament List'!$D:$D,MATCH(O741,'Tournament List'!$A:$A,0)),""))</f>
        <v/>
      </c>
    </row>
    <row r="742" spans="1:16" ht="15" thickBot="1" x14ac:dyDescent="0.35">
      <c r="A742" s="78">
        <v>741</v>
      </c>
      <c r="B742" s="73" t="str">
        <f>C742&amp;"-"&amp;E742&amp;"-"&amp;F742</f>
        <v>-Varsity 3-Trap</v>
      </c>
      <c r="C742" s="73"/>
      <c r="D742" s="73" t="str">
        <f>INDEX('Tournament Setup'!$B$59:$B$78,MATCH(E742,SquadConcurrents,0))</f>
        <v>Varsity</v>
      </c>
      <c r="E742" s="73" t="s">
        <v>352</v>
      </c>
      <c r="F742" s="73" t="s">
        <v>147</v>
      </c>
      <c r="G742" s="94" t="str">
        <f>IF(F742="Skeet",IFERROR(INDEX('Shooter-Squad Assignment'!$A:$A,MATCH(C742&amp;"-"&amp;E742&amp;"-"&amp;F742&amp;"-Pos1",'Shooter-Squad Assignment'!$K:$K,0)),""),IF(F742="Trap",IFERROR(INDEX('Shooter-Squad Assignment'!$A:$A,MATCH(C742&amp;"-"&amp;E742&amp;"-"&amp;F742&amp;"-Pos1",'Shooter-Squad Assignment'!$W:$W,0)),""),IF(F742="Sporting Clays",IFERROR(INDEX('Shooter-Squad Assignment'!$A:$A,MATCH(C742&amp;"-"&amp;E742&amp;"-"&amp;F742&amp;"-Pos1",'Shooter-Squad Assignment'!$Z:$Z,0)),""),"")))</f>
        <v/>
      </c>
      <c r="H742" s="73" t="str">
        <f>IF(ISBLANK(G742),"",IFERROR(INDEX('Tournament List'!$D:$D,MATCH(G742,'Tournament List'!$A:$A,0)),""))</f>
        <v/>
      </c>
      <c r="I742" s="94" t="str">
        <f>IF(F742="Skeet",IFERROR(INDEX('Shooter-Squad Assignment'!$A:$A,MATCH(C742&amp;"-"&amp;E742&amp;"-"&amp;F742&amp;"-Pos2",'Shooter-Squad Assignment'!$K:$K,0)),""),IF(F742="Trap",IFERROR(INDEX('Shooter-Squad Assignment'!$A:$A,MATCH(C742&amp;"-"&amp;E742&amp;"-"&amp;F742&amp;"-Pos2",'Shooter-Squad Assignment'!$W:$W,0)),""),IF(F742="Sporting Clays",IFERROR(INDEX('Shooter-Squad Assignment'!$A:$A,MATCH(C742&amp;"-"&amp;E742&amp;"-"&amp;F742&amp;"-Pos2",'Shooter-Squad Assignment'!$Z:$Z,0)),""),"")))</f>
        <v/>
      </c>
      <c r="J742" s="73" t="str">
        <f>IF(ISBLANK(I742),"",IFERROR(INDEX('Tournament List'!$D:$D,MATCH(I742,'Tournament List'!$A:$A,0)),""))</f>
        <v/>
      </c>
      <c r="K742" s="94" t="str">
        <f>IF(F742="Skeet",IFERROR(INDEX('Shooter-Squad Assignment'!$A:$A,MATCH(C742&amp;"-"&amp;E742&amp;"-"&amp;F742&amp;"-Pos3",'Shooter-Squad Assignment'!$K:$K,0)),""),IF(F742="Trap",IFERROR(INDEX('Shooter-Squad Assignment'!$A:$A,MATCH(C742&amp;"-"&amp;E742&amp;"-"&amp;F742&amp;"-Pos3",'Shooter-Squad Assignment'!$W:$W,0)),""),IF(F742="Sporting Clays",IFERROR(INDEX('Shooter-Squad Assignment'!$A:$A,MATCH(C742&amp;"-"&amp;E742&amp;"-"&amp;F742&amp;"-Pos3",'Shooter-Squad Assignment'!$Z:$Z,0)),""),"")))</f>
        <v/>
      </c>
      <c r="L742" s="73" t="str">
        <f>IF(ISBLANK(K742),"",IFERROR(INDEX('Tournament List'!$D:$D,MATCH(K742,'Tournament List'!$A:$A,0)),""))</f>
        <v/>
      </c>
      <c r="M742" s="94" t="str">
        <f>IF(F742="Skeet",IFERROR(INDEX('Shooter-Squad Assignment'!$A:$A,MATCH(C742&amp;"-"&amp;E742&amp;"-"&amp;F742&amp;"-Pos4",'Shooter-Squad Assignment'!$K:$K,0)),""),IF(F742="Trap",IFERROR(INDEX('Shooter-Squad Assignment'!$A:$A,MATCH(C742&amp;"-"&amp;E742&amp;"-"&amp;F742&amp;"-Pos4",'Shooter-Squad Assignment'!$W:$W,0)),""),IF(F742="Sporting Clays",IFERROR(INDEX('Shooter-Squad Assignment'!$A:$A,MATCH(C742&amp;"-"&amp;E742&amp;"-"&amp;F742&amp;"-Pos4",'Shooter-Squad Assignment'!$Z:$Z,0)),""),"")))</f>
        <v/>
      </c>
      <c r="N742" s="73" t="str">
        <f>IF(ISBLANK(M742),"",IFERROR(INDEX('Tournament List'!$D:$D,MATCH(M742,'Tournament List'!$A:$A,0)),""))</f>
        <v/>
      </c>
      <c r="O742" s="94" t="str">
        <f>IF(F742="Skeet",IFERROR(INDEX('Shooter-Squad Assignment'!$A:$A,MATCH(C742&amp;"-"&amp;E742&amp;"-"&amp;F742&amp;"-Pos5",'Shooter-Squad Assignment'!$K:$K,0)),""),IF(F742="Trap",IFERROR(INDEX('Shooter-Squad Assignment'!$A:$A,MATCH(C742&amp;"-"&amp;E742&amp;"-"&amp;F742&amp;"-Pos5",'Shooter-Squad Assignment'!$W:$W,0)),""),IF(F742="Sporting Clays",IFERROR(INDEX('Shooter-Squad Assignment'!$A:$A,MATCH(C742&amp;"-"&amp;E742&amp;"-"&amp;F742&amp;"-Pos5",'Shooter-Squad Assignment'!$Z:$Z,0)),""),"")))</f>
        <v/>
      </c>
      <c r="P742" s="79" t="str">
        <f>IF(ISBLANK(O742),"",IFERROR(INDEX('Tournament List'!$D:$D,MATCH(O742,'Tournament List'!$A:$A,0)),""))</f>
        <v/>
      </c>
    </row>
    <row r="743" spans="1:16" x14ac:dyDescent="0.3">
      <c r="A743" s="84">
        <v>742</v>
      </c>
      <c r="B743" s="85" t="str">
        <f>C743&amp;"-"&amp;E743&amp;"-"&amp;F743</f>
        <v>-Collegiate 1-Skeet</v>
      </c>
      <c r="C743" s="85"/>
      <c r="D743" s="85" t="str">
        <f>INDEX('Tournament Setup'!$B$59:$B$78,MATCH(E743,SquadConcurrents,0))</f>
        <v>Collegiate</v>
      </c>
      <c r="E743" s="85" t="s">
        <v>342</v>
      </c>
      <c r="F743" s="85" t="s">
        <v>143</v>
      </c>
      <c r="G743" s="95" t="str">
        <f>IF(F743="Skeet",IFERROR(INDEX('Shooter-Squad Assignment'!$A:$A,MATCH(C743&amp;"-"&amp;E743&amp;"-"&amp;F743&amp;"-Pos1",'Shooter-Squad Assignment'!$K:$K,0)),""),IF(F743="Trap",IFERROR(INDEX('Shooter-Squad Assignment'!$A:$A,MATCH(C743&amp;"-"&amp;E743&amp;"-"&amp;F743&amp;"-Pos1",'Shooter-Squad Assignment'!$W:$W,0)),""),IF(F743="Sporting Clays",IFERROR(INDEX('Shooter-Squad Assignment'!$A:$A,MATCH(C743&amp;"-"&amp;E743&amp;"-"&amp;F743&amp;"-Pos1",'Shooter-Squad Assignment'!$Z:$Z,0)),""),"")))</f>
        <v/>
      </c>
      <c r="H743" s="85" t="str">
        <f>IF(ISBLANK(G743),"",IFERROR(INDEX('Tournament List'!$D:$D,MATCH(G743,'Tournament List'!$A:$A,0)),""))</f>
        <v/>
      </c>
      <c r="I743" s="95" t="str">
        <f>IF(F743="Skeet",IFERROR(INDEX('Shooter-Squad Assignment'!$A:$A,MATCH(C743&amp;"-"&amp;E743&amp;"-"&amp;F743&amp;"-Pos2",'Shooter-Squad Assignment'!$K:$K,0)),""),IF(F743="Trap",IFERROR(INDEX('Shooter-Squad Assignment'!$A:$A,MATCH(C743&amp;"-"&amp;E743&amp;"-"&amp;F743&amp;"-Pos2",'Shooter-Squad Assignment'!$W:$W,0)),""),IF(F743="Sporting Clays",IFERROR(INDEX('Shooter-Squad Assignment'!$A:$A,MATCH(C743&amp;"-"&amp;E743&amp;"-"&amp;F743&amp;"-Pos2",'Shooter-Squad Assignment'!$Z:$Z,0)),""),"")))</f>
        <v/>
      </c>
      <c r="J743" s="85" t="str">
        <f>IF(ISBLANK(I743),"",IFERROR(INDEX('Tournament List'!$D:$D,MATCH(I743,'Tournament List'!$A:$A,0)),""))</f>
        <v/>
      </c>
      <c r="K743" s="95" t="str">
        <f>IF(F743="Skeet",IFERROR(INDEX('Shooter-Squad Assignment'!$A:$A,MATCH(C743&amp;"-"&amp;E743&amp;"-"&amp;F743&amp;"-Pos3",'Shooter-Squad Assignment'!$K:$K,0)),""),IF(F743="Trap",IFERROR(INDEX('Shooter-Squad Assignment'!$A:$A,MATCH(C743&amp;"-"&amp;E743&amp;"-"&amp;F743&amp;"-Pos3",'Shooter-Squad Assignment'!$W:$W,0)),""),IF(F743="Sporting Clays",IFERROR(INDEX('Shooter-Squad Assignment'!$A:$A,MATCH(C743&amp;"-"&amp;E743&amp;"-"&amp;F743&amp;"-Pos3",'Shooter-Squad Assignment'!$Z:$Z,0)),""),"")))</f>
        <v/>
      </c>
      <c r="L743" s="85" t="str">
        <f>IF(ISBLANK(K743),"",IFERROR(INDEX('Tournament List'!$D:$D,MATCH(K743,'Tournament List'!$A:$A,0)),""))</f>
        <v/>
      </c>
      <c r="M743" s="95" t="str">
        <f>IF(F743="Skeet",IFERROR(INDEX('Shooter-Squad Assignment'!$A:$A,MATCH(C743&amp;"-"&amp;E743&amp;"-"&amp;F743&amp;"-Pos4",'Shooter-Squad Assignment'!$K:$K,0)),""),IF(F743="Trap",IFERROR(INDEX('Shooter-Squad Assignment'!$A:$A,MATCH(C743&amp;"-"&amp;E743&amp;"-"&amp;F743&amp;"-Pos4",'Shooter-Squad Assignment'!$W:$W,0)),""),IF(F743="Sporting Clays",IFERROR(INDEX('Shooter-Squad Assignment'!$A:$A,MATCH(C743&amp;"-"&amp;E743&amp;"-"&amp;F743&amp;"-Pos4",'Shooter-Squad Assignment'!$Z:$Z,0)),""),"")))</f>
        <v/>
      </c>
      <c r="N743" s="85" t="str">
        <f>IF(ISBLANK(M743),"",IFERROR(INDEX('Tournament List'!$D:$D,MATCH(M743,'Tournament List'!$A:$A,0)),""))</f>
        <v/>
      </c>
      <c r="O743" s="95" t="str">
        <f>IF(F743="Skeet",IFERROR(INDEX('Shooter-Squad Assignment'!$A:$A,MATCH(C743&amp;"-"&amp;E743&amp;"-"&amp;F743&amp;"-Pos5",'Shooter-Squad Assignment'!$K:$K,0)),""),IF(F743="Trap",IFERROR(INDEX('Shooter-Squad Assignment'!$A:$A,MATCH(C743&amp;"-"&amp;E743&amp;"-"&amp;F743&amp;"-Pos5",'Shooter-Squad Assignment'!$W:$W,0)),""),IF(F743="Sporting Clays",IFERROR(INDEX('Shooter-Squad Assignment'!$A:$A,MATCH(C743&amp;"-"&amp;E743&amp;"-"&amp;F743&amp;"-Pos5",'Shooter-Squad Assignment'!$Z:$Z,0)),""),"")))</f>
        <v/>
      </c>
      <c r="P743" s="86" t="str">
        <f>IF(ISBLANK(O743),"",IFERROR(INDEX('Tournament List'!$D:$D,MATCH(O743,'Tournament List'!$A:$A,0)),""))</f>
        <v/>
      </c>
    </row>
    <row r="744" spans="1:16" x14ac:dyDescent="0.3">
      <c r="A744" s="87">
        <v>743</v>
      </c>
      <c r="B744" s="88" t="str">
        <f>C744&amp;"-"&amp;E744&amp;"-"&amp;F744</f>
        <v>-Collegiate 2-Skeet</v>
      </c>
      <c r="C744" s="88"/>
      <c r="D744" s="88" t="str">
        <f>INDEX('Tournament Setup'!$B$59:$B$78,MATCH(E744,SquadConcurrents,0))</f>
        <v>Collegiate</v>
      </c>
      <c r="E744" s="88" t="s">
        <v>348</v>
      </c>
      <c r="F744" s="88" t="s">
        <v>143</v>
      </c>
      <c r="G744" s="96" t="str">
        <f>IF(F744="Skeet",IFERROR(INDEX('Shooter-Squad Assignment'!$A:$A,MATCH(C744&amp;"-"&amp;E744&amp;"-"&amp;F744&amp;"-Pos1",'Shooter-Squad Assignment'!$K:$K,0)),""),IF(F744="Trap",IFERROR(INDEX('Shooter-Squad Assignment'!$A:$A,MATCH(C744&amp;"-"&amp;E744&amp;"-"&amp;F744&amp;"-Pos1",'Shooter-Squad Assignment'!$W:$W,0)),""),IF(F744="Sporting Clays",IFERROR(INDEX('Shooter-Squad Assignment'!$A:$A,MATCH(C744&amp;"-"&amp;E744&amp;"-"&amp;F744&amp;"-Pos1",'Shooter-Squad Assignment'!$Z:$Z,0)),""),"")))</f>
        <v/>
      </c>
      <c r="H744" s="88" t="str">
        <f>IF(ISBLANK(G744),"",IFERROR(INDEX('Tournament List'!$D:$D,MATCH(G744,'Tournament List'!$A:$A,0)),""))</f>
        <v/>
      </c>
      <c r="I744" s="96" t="str">
        <f>IF(F744="Skeet",IFERROR(INDEX('Shooter-Squad Assignment'!$A:$A,MATCH(C744&amp;"-"&amp;E744&amp;"-"&amp;F744&amp;"-Pos2",'Shooter-Squad Assignment'!$K:$K,0)),""),IF(F744="Trap",IFERROR(INDEX('Shooter-Squad Assignment'!$A:$A,MATCH(C744&amp;"-"&amp;E744&amp;"-"&amp;F744&amp;"-Pos2",'Shooter-Squad Assignment'!$W:$W,0)),""),IF(F744="Sporting Clays",IFERROR(INDEX('Shooter-Squad Assignment'!$A:$A,MATCH(C744&amp;"-"&amp;E744&amp;"-"&amp;F744&amp;"-Pos2",'Shooter-Squad Assignment'!$Z:$Z,0)),""),"")))</f>
        <v/>
      </c>
      <c r="J744" s="88" t="str">
        <f>IF(ISBLANK(I744),"",IFERROR(INDEX('Tournament List'!$D:$D,MATCH(I744,'Tournament List'!$A:$A,0)),""))</f>
        <v/>
      </c>
      <c r="K744" s="96" t="str">
        <f>IF(F744="Skeet",IFERROR(INDEX('Shooter-Squad Assignment'!$A:$A,MATCH(C744&amp;"-"&amp;E744&amp;"-"&amp;F744&amp;"-Pos3",'Shooter-Squad Assignment'!$K:$K,0)),""),IF(F744="Trap",IFERROR(INDEX('Shooter-Squad Assignment'!$A:$A,MATCH(C744&amp;"-"&amp;E744&amp;"-"&amp;F744&amp;"-Pos3",'Shooter-Squad Assignment'!$W:$W,0)),""),IF(F744="Sporting Clays",IFERROR(INDEX('Shooter-Squad Assignment'!$A:$A,MATCH(C744&amp;"-"&amp;E744&amp;"-"&amp;F744&amp;"-Pos3",'Shooter-Squad Assignment'!$Z:$Z,0)),""),"")))</f>
        <v/>
      </c>
      <c r="L744" s="88" t="str">
        <f>IF(ISBLANK(K744),"",IFERROR(INDEX('Tournament List'!$D:$D,MATCH(K744,'Tournament List'!$A:$A,0)),""))</f>
        <v/>
      </c>
      <c r="M744" s="96" t="str">
        <f>IF(F744="Skeet",IFERROR(INDEX('Shooter-Squad Assignment'!$A:$A,MATCH(C744&amp;"-"&amp;E744&amp;"-"&amp;F744&amp;"-Pos4",'Shooter-Squad Assignment'!$K:$K,0)),""),IF(F744="Trap",IFERROR(INDEX('Shooter-Squad Assignment'!$A:$A,MATCH(C744&amp;"-"&amp;E744&amp;"-"&amp;F744&amp;"-Pos4",'Shooter-Squad Assignment'!$W:$W,0)),""),IF(F744="Sporting Clays",IFERROR(INDEX('Shooter-Squad Assignment'!$A:$A,MATCH(C744&amp;"-"&amp;E744&amp;"-"&amp;F744&amp;"-Pos4",'Shooter-Squad Assignment'!$Z:$Z,0)),""),"")))</f>
        <v/>
      </c>
      <c r="N744" s="88" t="str">
        <f>IF(ISBLANK(M744),"",IFERROR(INDEX('Tournament List'!$D:$D,MATCH(M744,'Tournament List'!$A:$A,0)),""))</f>
        <v/>
      </c>
      <c r="O744" s="96" t="str">
        <f>IF(F744="Skeet",IFERROR(INDEX('Shooter-Squad Assignment'!$A:$A,MATCH(C744&amp;"-"&amp;E744&amp;"-"&amp;F744&amp;"-Pos5",'Shooter-Squad Assignment'!$K:$K,0)),""),IF(F744="Trap",IFERROR(INDEX('Shooter-Squad Assignment'!$A:$A,MATCH(C744&amp;"-"&amp;E744&amp;"-"&amp;F744&amp;"-Pos5",'Shooter-Squad Assignment'!$W:$W,0)),""),IF(F744="Sporting Clays",IFERROR(INDEX('Shooter-Squad Assignment'!$A:$A,MATCH(C744&amp;"-"&amp;E744&amp;"-"&amp;F744&amp;"-Pos5",'Shooter-Squad Assignment'!$Z:$Z,0)),""),"")))</f>
        <v/>
      </c>
      <c r="P744" s="89" t="str">
        <f>IF(ISBLANK(O744),"",IFERROR(INDEX('Tournament List'!$D:$D,MATCH(O744,'Tournament List'!$A:$A,0)),""))</f>
        <v/>
      </c>
    </row>
    <row r="745" spans="1:16" x14ac:dyDescent="0.3">
      <c r="A745" s="87">
        <v>744</v>
      </c>
      <c r="B745" s="88" t="str">
        <f>C745&amp;"-"&amp;E745&amp;"-"&amp;F745</f>
        <v>-Collegiate 3-Skeet</v>
      </c>
      <c r="C745" s="88"/>
      <c r="D745" s="88" t="str">
        <f>INDEX('Tournament Setup'!$B$59:$B$78,MATCH(E745,SquadConcurrents,0))</f>
        <v>Collegiate</v>
      </c>
      <c r="E745" s="88" t="s">
        <v>354</v>
      </c>
      <c r="F745" s="88" t="s">
        <v>143</v>
      </c>
      <c r="G745" s="96" t="str">
        <f>IF(F745="Skeet",IFERROR(INDEX('Shooter-Squad Assignment'!$A:$A,MATCH(C745&amp;"-"&amp;E745&amp;"-"&amp;F745&amp;"-Pos1",'Shooter-Squad Assignment'!$K:$K,0)),""),IF(F745="Trap",IFERROR(INDEX('Shooter-Squad Assignment'!$A:$A,MATCH(C745&amp;"-"&amp;E745&amp;"-"&amp;F745&amp;"-Pos1",'Shooter-Squad Assignment'!$W:$W,0)),""),IF(F745="Sporting Clays",IFERROR(INDEX('Shooter-Squad Assignment'!$A:$A,MATCH(C745&amp;"-"&amp;E745&amp;"-"&amp;F745&amp;"-Pos1",'Shooter-Squad Assignment'!$Z:$Z,0)),""),"")))</f>
        <v/>
      </c>
      <c r="H745" s="88" t="str">
        <f>IF(ISBLANK(G745),"",IFERROR(INDEX('Tournament List'!$D:$D,MATCH(G745,'Tournament List'!$A:$A,0)),""))</f>
        <v/>
      </c>
      <c r="I745" s="96" t="str">
        <f>IF(F745="Skeet",IFERROR(INDEX('Shooter-Squad Assignment'!$A:$A,MATCH(C745&amp;"-"&amp;E745&amp;"-"&amp;F745&amp;"-Pos2",'Shooter-Squad Assignment'!$K:$K,0)),""),IF(F745="Trap",IFERROR(INDEX('Shooter-Squad Assignment'!$A:$A,MATCH(C745&amp;"-"&amp;E745&amp;"-"&amp;F745&amp;"-Pos2",'Shooter-Squad Assignment'!$W:$W,0)),""),IF(F745="Sporting Clays",IFERROR(INDEX('Shooter-Squad Assignment'!$A:$A,MATCH(C745&amp;"-"&amp;E745&amp;"-"&amp;F745&amp;"-Pos2",'Shooter-Squad Assignment'!$Z:$Z,0)),""),"")))</f>
        <v/>
      </c>
      <c r="J745" s="88" t="str">
        <f>IF(ISBLANK(I745),"",IFERROR(INDEX('Tournament List'!$D:$D,MATCH(I745,'Tournament List'!$A:$A,0)),""))</f>
        <v/>
      </c>
      <c r="K745" s="96" t="str">
        <f>IF(F745="Skeet",IFERROR(INDEX('Shooter-Squad Assignment'!$A:$A,MATCH(C745&amp;"-"&amp;E745&amp;"-"&amp;F745&amp;"-Pos3",'Shooter-Squad Assignment'!$K:$K,0)),""),IF(F745="Trap",IFERROR(INDEX('Shooter-Squad Assignment'!$A:$A,MATCH(C745&amp;"-"&amp;E745&amp;"-"&amp;F745&amp;"-Pos3",'Shooter-Squad Assignment'!$W:$W,0)),""),IF(F745="Sporting Clays",IFERROR(INDEX('Shooter-Squad Assignment'!$A:$A,MATCH(C745&amp;"-"&amp;E745&amp;"-"&amp;F745&amp;"-Pos3",'Shooter-Squad Assignment'!$Z:$Z,0)),""),"")))</f>
        <v/>
      </c>
      <c r="L745" s="88" t="str">
        <f>IF(ISBLANK(K745),"",IFERROR(INDEX('Tournament List'!$D:$D,MATCH(K745,'Tournament List'!$A:$A,0)),""))</f>
        <v/>
      </c>
      <c r="M745" s="96" t="str">
        <f>IF(F745="Skeet",IFERROR(INDEX('Shooter-Squad Assignment'!$A:$A,MATCH(C745&amp;"-"&amp;E745&amp;"-"&amp;F745&amp;"-Pos4",'Shooter-Squad Assignment'!$K:$K,0)),""),IF(F745="Trap",IFERROR(INDEX('Shooter-Squad Assignment'!$A:$A,MATCH(C745&amp;"-"&amp;E745&amp;"-"&amp;F745&amp;"-Pos4",'Shooter-Squad Assignment'!$W:$W,0)),""),IF(F745="Sporting Clays",IFERROR(INDEX('Shooter-Squad Assignment'!$A:$A,MATCH(C745&amp;"-"&amp;E745&amp;"-"&amp;F745&amp;"-Pos4",'Shooter-Squad Assignment'!$Z:$Z,0)),""),"")))</f>
        <v/>
      </c>
      <c r="N745" s="88" t="str">
        <f>IF(ISBLANK(M745),"",IFERROR(INDEX('Tournament List'!$D:$D,MATCH(M745,'Tournament List'!$A:$A,0)),""))</f>
        <v/>
      </c>
      <c r="O745" s="96" t="str">
        <f>IF(F745="Skeet",IFERROR(INDEX('Shooter-Squad Assignment'!$A:$A,MATCH(C745&amp;"-"&amp;E745&amp;"-"&amp;F745&amp;"-Pos5",'Shooter-Squad Assignment'!$K:$K,0)),""),IF(F745="Trap",IFERROR(INDEX('Shooter-Squad Assignment'!$A:$A,MATCH(C745&amp;"-"&amp;E745&amp;"-"&amp;F745&amp;"-Pos5",'Shooter-Squad Assignment'!$W:$W,0)),""),IF(F745="Sporting Clays",IFERROR(INDEX('Shooter-Squad Assignment'!$A:$A,MATCH(C745&amp;"-"&amp;E745&amp;"-"&amp;F745&amp;"-Pos5",'Shooter-Squad Assignment'!$Z:$Z,0)),""),"")))</f>
        <v/>
      </c>
      <c r="P745" s="89" t="str">
        <f>IF(ISBLANK(O745),"",IFERROR(INDEX('Tournament List'!$D:$D,MATCH(O745,'Tournament List'!$A:$A,0)),""))</f>
        <v/>
      </c>
    </row>
    <row r="746" spans="1:16" x14ac:dyDescent="0.3">
      <c r="A746" s="87">
        <v>745</v>
      </c>
      <c r="B746" s="88" t="str">
        <f>C746&amp;"-"&amp;E746&amp;"-"&amp;F746</f>
        <v>-Intermediate 1-Skeet</v>
      </c>
      <c r="C746" s="88"/>
      <c r="D746" s="88" t="str">
        <f>INDEX('Tournament Setup'!$B$59:$B$78,MATCH(E746,SquadConcurrents,0))</f>
        <v>Intermediate</v>
      </c>
      <c r="E746" s="88" t="s">
        <v>338</v>
      </c>
      <c r="F746" s="88" t="s">
        <v>143</v>
      </c>
      <c r="G746" s="96" t="str">
        <f>IF(F746="Skeet",IFERROR(INDEX('Shooter-Squad Assignment'!$A:$A,MATCH(C746&amp;"-"&amp;E746&amp;"-"&amp;F746&amp;"-Pos1",'Shooter-Squad Assignment'!$K:$K,0)),""),IF(F746="Trap",IFERROR(INDEX('Shooter-Squad Assignment'!$A:$A,MATCH(C746&amp;"-"&amp;E746&amp;"-"&amp;F746&amp;"-Pos1",'Shooter-Squad Assignment'!$W:$W,0)),""),IF(F746="Sporting Clays",IFERROR(INDEX('Shooter-Squad Assignment'!$A:$A,MATCH(C746&amp;"-"&amp;E746&amp;"-"&amp;F746&amp;"-Pos1",'Shooter-Squad Assignment'!$Z:$Z,0)),""),"")))</f>
        <v/>
      </c>
      <c r="H746" s="88" t="str">
        <f>IF(ISBLANK(G746),"",IFERROR(INDEX('Tournament List'!$D:$D,MATCH(G746,'Tournament List'!$A:$A,0)),""))</f>
        <v/>
      </c>
      <c r="I746" s="96" t="str">
        <f>IF(F746="Skeet",IFERROR(INDEX('Shooter-Squad Assignment'!$A:$A,MATCH(C746&amp;"-"&amp;E746&amp;"-"&amp;F746&amp;"-Pos2",'Shooter-Squad Assignment'!$K:$K,0)),""),IF(F746="Trap",IFERROR(INDEX('Shooter-Squad Assignment'!$A:$A,MATCH(C746&amp;"-"&amp;E746&amp;"-"&amp;F746&amp;"-Pos2",'Shooter-Squad Assignment'!$W:$W,0)),""),IF(F746="Sporting Clays",IFERROR(INDEX('Shooter-Squad Assignment'!$A:$A,MATCH(C746&amp;"-"&amp;E746&amp;"-"&amp;F746&amp;"-Pos2",'Shooter-Squad Assignment'!$Z:$Z,0)),""),"")))</f>
        <v/>
      </c>
      <c r="J746" s="88" t="str">
        <f>IF(ISBLANK(I746),"",IFERROR(INDEX('Tournament List'!$D:$D,MATCH(I746,'Tournament List'!$A:$A,0)),""))</f>
        <v/>
      </c>
      <c r="K746" s="96" t="str">
        <f>IF(F746="Skeet",IFERROR(INDEX('Shooter-Squad Assignment'!$A:$A,MATCH(C746&amp;"-"&amp;E746&amp;"-"&amp;F746&amp;"-Pos3",'Shooter-Squad Assignment'!$K:$K,0)),""),IF(F746="Trap",IFERROR(INDEX('Shooter-Squad Assignment'!$A:$A,MATCH(C746&amp;"-"&amp;E746&amp;"-"&amp;F746&amp;"-Pos3",'Shooter-Squad Assignment'!$W:$W,0)),""),IF(F746="Sporting Clays",IFERROR(INDEX('Shooter-Squad Assignment'!$A:$A,MATCH(C746&amp;"-"&amp;E746&amp;"-"&amp;F746&amp;"-Pos3",'Shooter-Squad Assignment'!$Z:$Z,0)),""),"")))</f>
        <v/>
      </c>
      <c r="L746" s="88" t="str">
        <f>IF(ISBLANK(K746),"",IFERROR(INDEX('Tournament List'!$D:$D,MATCH(K746,'Tournament List'!$A:$A,0)),""))</f>
        <v/>
      </c>
      <c r="M746" s="96" t="str">
        <f>IF(F746="Skeet",IFERROR(INDEX('Shooter-Squad Assignment'!$A:$A,MATCH(C746&amp;"-"&amp;E746&amp;"-"&amp;F746&amp;"-Pos4",'Shooter-Squad Assignment'!$K:$K,0)),""),IF(F746="Trap",IFERROR(INDEX('Shooter-Squad Assignment'!$A:$A,MATCH(C746&amp;"-"&amp;E746&amp;"-"&amp;F746&amp;"-Pos4",'Shooter-Squad Assignment'!$W:$W,0)),""),IF(F746="Sporting Clays",IFERROR(INDEX('Shooter-Squad Assignment'!$A:$A,MATCH(C746&amp;"-"&amp;E746&amp;"-"&amp;F746&amp;"-Pos4",'Shooter-Squad Assignment'!$Z:$Z,0)),""),"")))</f>
        <v/>
      </c>
      <c r="N746" s="88" t="str">
        <f>IF(ISBLANK(M746),"",IFERROR(INDEX('Tournament List'!$D:$D,MATCH(M746,'Tournament List'!$A:$A,0)),""))</f>
        <v/>
      </c>
      <c r="O746" s="96" t="str">
        <f>IF(F746="Skeet",IFERROR(INDEX('Shooter-Squad Assignment'!$A:$A,MATCH(C746&amp;"-"&amp;E746&amp;"-"&amp;F746&amp;"-Pos5",'Shooter-Squad Assignment'!$K:$K,0)),""),IF(F746="Trap",IFERROR(INDEX('Shooter-Squad Assignment'!$A:$A,MATCH(C746&amp;"-"&amp;E746&amp;"-"&amp;F746&amp;"-Pos5",'Shooter-Squad Assignment'!$W:$W,0)),""),IF(F746="Sporting Clays",IFERROR(INDEX('Shooter-Squad Assignment'!$A:$A,MATCH(C746&amp;"-"&amp;E746&amp;"-"&amp;F746&amp;"-Pos5",'Shooter-Squad Assignment'!$Z:$Z,0)),""),"")))</f>
        <v/>
      </c>
      <c r="P746" s="89" t="str">
        <f>IF(ISBLANK(O746),"",IFERROR(INDEX('Tournament List'!$D:$D,MATCH(O746,'Tournament List'!$A:$A,0)),""))</f>
        <v/>
      </c>
    </row>
    <row r="747" spans="1:16" x14ac:dyDescent="0.3">
      <c r="A747" s="87">
        <v>746</v>
      </c>
      <c r="B747" s="88" t="str">
        <f>C747&amp;"-"&amp;E747&amp;"-"&amp;F747</f>
        <v>-Intermediate 2-Skeet</v>
      </c>
      <c r="C747" s="88"/>
      <c r="D747" s="88" t="str">
        <f>INDEX('Tournament Setup'!$B$59:$B$78,MATCH(E747,SquadConcurrents,0))</f>
        <v>Intermediate</v>
      </c>
      <c r="E747" s="88" t="s">
        <v>344</v>
      </c>
      <c r="F747" s="88" t="s">
        <v>143</v>
      </c>
      <c r="G747" s="96" t="str">
        <f>IF(F747="Skeet",IFERROR(INDEX('Shooter-Squad Assignment'!$A:$A,MATCH(C747&amp;"-"&amp;E747&amp;"-"&amp;F747&amp;"-Pos1",'Shooter-Squad Assignment'!$K:$K,0)),""),IF(F747="Trap",IFERROR(INDEX('Shooter-Squad Assignment'!$A:$A,MATCH(C747&amp;"-"&amp;E747&amp;"-"&amp;F747&amp;"-Pos1",'Shooter-Squad Assignment'!$W:$W,0)),""),IF(F747="Sporting Clays",IFERROR(INDEX('Shooter-Squad Assignment'!$A:$A,MATCH(C747&amp;"-"&amp;E747&amp;"-"&amp;F747&amp;"-Pos1",'Shooter-Squad Assignment'!$Z:$Z,0)),""),"")))</f>
        <v/>
      </c>
      <c r="H747" s="88" t="str">
        <f>IF(ISBLANK(G747),"",IFERROR(INDEX('Tournament List'!$D:$D,MATCH(G747,'Tournament List'!$A:$A,0)),""))</f>
        <v/>
      </c>
      <c r="I747" s="96" t="str">
        <f>IF(F747="Skeet",IFERROR(INDEX('Shooter-Squad Assignment'!$A:$A,MATCH(C747&amp;"-"&amp;E747&amp;"-"&amp;F747&amp;"-Pos2",'Shooter-Squad Assignment'!$K:$K,0)),""),IF(F747="Trap",IFERROR(INDEX('Shooter-Squad Assignment'!$A:$A,MATCH(C747&amp;"-"&amp;E747&amp;"-"&amp;F747&amp;"-Pos2",'Shooter-Squad Assignment'!$W:$W,0)),""),IF(F747="Sporting Clays",IFERROR(INDEX('Shooter-Squad Assignment'!$A:$A,MATCH(C747&amp;"-"&amp;E747&amp;"-"&amp;F747&amp;"-Pos2",'Shooter-Squad Assignment'!$Z:$Z,0)),""),"")))</f>
        <v/>
      </c>
      <c r="J747" s="88" t="str">
        <f>IF(ISBLANK(I747),"",IFERROR(INDEX('Tournament List'!$D:$D,MATCH(I747,'Tournament List'!$A:$A,0)),""))</f>
        <v/>
      </c>
      <c r="K747" s="96" t="str">
        <f>IF(F747="Skeet",IFERROR(INDEX('Shooter-Squad Assignment'!$A:$A,MATCH(C747&amp;"-"&amp;E747&amp;"-"&amp;F747&amp;"-Pos3",'Shooter-Squad Assignment'!$K:$K,0)),""),IF(F747="Trap",IFERROR(INDEX('Shooter-Squad Assignment'!$A:$A,MATCH(C747&amp;"-"&amp;E747&amp;"-"&amp;F747&amp;"-Pos3",'Shooter-Squad Assignment'!$W:$W,0)),""),IF(F747="Sporting Clays",IFERROR(INDEX('Shooter-Squad Assignment'!$A:$A,MATCH(C747&amp;"-"&amp;E747&amp;"-"&amp;F747&amp;"-Pos3",'Shooter-Squad Assignment'!$Z:$Z,0)),""),"")))</f>
        <v/>
      </c>
      <c r="L747" s="88" t="str">
        <f>IF(ISBLANK(K747),"",IFERROR(INDEX('Tournament List'!$D:$D,MATCH(K747,'Tournament List'!$A:$A,0)),""))</f>
        <v/>
      </c>
      <c r="M747" s="96" t="str">
        <f>IF(F747="Skeet",IFERROR(INDEX('Shooter-Squad Assignment'!$A:$A,MATCH(C747&amp;"-"&amp;E747&amp;"-"&amp;F747&amp;"-Pos4",'Shooter-Squad Assignment'!$K:$K,0)),""),IF(F747="Trap",IFERROR(INDEX('Shooter-Squad Assignment'!$A:$A,MATCH(C747&amp;"-"&amp;E747&amp;"-"&amp;F747&amp;"-Pos4",'Shooter-Squad Assignment'!$W:$W,0)),""),IF(F747="Sporting Clays",IFERROR(INDEX('Shooter-Squad Assignment'!$A:$A,MATCH(C747&amp;"-"&amp;E747&amp;"-"&amp;F747&amp;"-Pos4",'Shooter-Squad Assignment'!$Z:$Z,0)),""),"")))</f>
        <v/>
      </c>
      <c r="N747" s="88" t="str">
        <f>IF(ISBLANK(M747),"",IFERROR(INDEX('Tournament List'!$D:$D,MATCH(M747,'Tournament List'!$A:$A,0)),""))</f>
        <v/>
      </c>
      <c r="O747" s="96" t="str">
        <f>IF(F747="Skeet",IFERROR(INDEX('Shooter-Squad Assignment'!$A:$A,MATCH(C747&amp;"-"&amp;E747&amp;"-"&amp;F747&amp;"-Pos5",'Shooter-Squad Assignment'!$K:$K,0)),""),IF(F747="Trap",IFERROR(INDEX('Shooter-Squad Assignment'!$A:$A,MATCH(C747&amp;"-"&amp;E747&amp;"-"&amp;F747&amp;"-Pos5",'Shooter-Squad Assignment'!$W:$W,0)),""),IF(F747="Sporting Clays",IFERROR(INDEX('Shooter-Squad Assignment'!$A:$A,MATCH(C747&amp;"-"&amp;E747&amp;"-"&amp;F747&amp;"-Pos5",'Shooter-Squad Assignment'!$Z:$Z,0)),""),"")))</f>
        <v/>
      </c>
      <c r="P747" s="89" t="str">
        <f>IF(ISBLANK(O747),"",IFERROR(INDEX('Tournament List'!$D:$D,MATCH(O747,'Tournament List'!$A:$A,0)),""))</f>
        <v/>
      </c>
    </row>
    <row r="748" spans="1:16" x14ac:dyDescent="0.3">
      <c r="A748" s="87">
        <v>747</v>
      </c>
      <c r="B748" s="88" t="str">
        <f>C748&amp;"-"&amp;E748&amp;"-"&amp;F748</f>
        <v>-Intermediate 3-Skeet</v>
      </c>
      <c r="C748" s="88"/>
      <c r="D748" s="88" t="str">
        <f>INDEX('Tournament Setup'!$B$59:$B$78,MATCH(E748,SquadConcurrents,0))</f>
        <v>Intermediate</v>
      </c>
      <c r="E748" s="88" t="s">
        <v>350</v>
      </c>
      <c r="F748" s="88" t="s">
        <v>143</v>
      </c>
      <c r="G748" s="96" t="str">
        <f>IF(F748="Skeet",IFERROR(INDEX('Shooter-Squad Assignment'!$A:$A,MATCH(C748&amp;"-"&amp;E748&amp;"-"&amp;F748&amp;"-Pos1",'Shooter-Squad Assignment'!$K:$K,0)),""),IF(F748="Trap",IFERROR(INDEX('Shooter-Squad Assignment'!$A:$A,MATCH(C748&amp;"-"&amp;E748&amp;"-"&amp;F748&amp;"-Pos1",'Shooter-Squad Assignment'!$W:$W,0)),""),IF(F748="Sporting Clays",IFERROR(INDEX('Shooter-Squad Assignment'!$A:$A,MATCH(C748&amp;"-"&amp;E748&amp;"-"&amp;F748&amp;"-Pos1",'Shooter-Squad Assignment'!$Z:$Z,0)),""),"")))</f>
        <v/>
      </c>
      <c r="H748" s="88" t="str">
        <f>IF(ISBLANK(G748),"",IFERROR(INDEX('Tournament List'!$D:$D,MATCH(G748,'Tournament List'!$A:$A,0)),""))</f>
        <v/>
      </c>
      <c r="I748" s="96" t="str">
        <f>IF(F748="Skeet",IFERROR(INDEX('Shooter-Squad Assignment'!$A:$A,MATCH(C748&amp;"-"&amp;E748&amp;"-"&amp;F748&amp;"-Pos2",'Shooter-Squad Assignment'!$K:$K,0)),""),IF(F748="Trap",IFERROR(INDEX('Shooter-Squad Assignment'!$A:$A,MATCH(C748&amp;"-"&amp;E748&amp;"-"&amp;F748&amp;"-Pos2",'Shooter-Squad Assignment'!$W:$W,0)),""),IF(F748="Sporting Clays",IFERROR(INDEX('Shooter-Squad Assignment'!$A:$A,MATCH(C748&amp;"-"&amp;E748&amp;"-"&amp;F748&amp;"-Pos2",'Shooter-Squad Assignment'!$Z:$Z,0)),""),"")))</f>
        <v/>
      </c>
      <c r="J748" s="88" t="str">
        <f>IF(ISBLANK(I748),"",IFERROR(INDEX('Tournament List'!$D:$D,MATCH(I748,'Tournament List'!$A:$A,0)),""))</f>
        <v/>
      </c>
      <c r="K748" s="96" t="str">
        <f>IF(F748="Skeet",IFERROR(INDEX('Shooter-Squad Assignment'!$A:$A,MATCH(C748&amp;"-"&amp;E748&amp;"-"&amp;F748&amp;"-Pos3",'Shooter-Squad Assignment'!$K:$K,0)),""),IF(F748="Trap",IFERROR(INDEX('Shooter-Squad Assignment'!$A:$A,MATCH(C748&amp;"-"&amp;E748&amp;"-"&amp;F748&amp;"-Pos3",'Shooter-Squad Assignment'!$W:$W,0)),""),IF(F748="Sporting Clays",IFERROR(INDEX('Shooter-Squad Assignment'!$A:$A,MATCH(C748&amp;"-"&amp;E748&amp;"-"&amp;F748&amp;"-Pos3",'Shooter-Squad Assignment'!$Z:$Z,0)),""),"")))</f>
        <v/>
      </c>
      <c r="L748" s="88" t="str">
        <f>IF(ISBLANK(K748),"",IFERROR(INDEX('Tournament List'!$D:$D,MATCH(K748,'Tournament List'!$A:$A,0)),""))</f>
        <v/>
      </c>
      <c r="M748" s="96" t="str">
        <f>IF(F748="Skeet",IFERROR(INDEX('Shooter-Squad Assignment'!$A:$A,MATCH(C748&amp;"-"&amp;E748&amp;"-"&amp;F748&amp;"-Pos4",'Shooter-Squad Assignment'!$K:$K,0)),""),IF(F748="Trap",IFERROR(INDEX('Shooter-Squad Assignment'!$A:$A,MATCH(C748&amp;"-"&amp;E748&amp;"-"&amp;F748&amp;"-Pos4",'Shooter-Squad Assignment'!$W:$W,0)),""),IF(F748="Sporting Clays",IFERROR(INDEX('Shooter-Squad Assignment'!$A:$A,MATCH(C748&amp;"-"&amp;E748&amp;"-"&amp;F748&amp;"-Pos4",'Shooter-Squad Assignment'!$Z:$Z,0)),""),"")))</f>
        <v/>
      </c>
      <c r="N748" s="88" t="str">
        <f>IF(ISBLANK(M748),"",IFERROR(INDEX('Tournament List'!$D:$D,MATCH(M748,'Tournament List'!$A:$A,0)),""))</f>
        <v/>
      </c>
      <c r="O748" s="96" t="str">
        <f>IF(F748="Skeet",IFERROR(INDEX('Shooter-Squad Assignment'!$A:$A,MATCH(C748&amp;"-"&amp;E748&amp;"-"&amp;F748&amp;"-Pos5",'Shooter-Squad Assignment'!$K:$K,0)),""),IF(F748="Trap",IFERROR(INDEX('Shooter-Squad Assignment'!$A:$A,MATCH(C748&amp;"-"&amp;E748&amp;"-"&amp;F748&amp;"-Pos5",'Shooter-Squad Assignment'!$W:$W,0)),""),IF(F748="Sporting Clays",IFERROR(INDEX('Shooter-Squad Assignment'!$A:$A,MATCH(C748&amp;"-"&amp;E748&amp;"-"&amp;F748&amp;"-Pos5",'Shooter-Squad Assignment'!$Z:$Z,0)),""),"")))</f>
        <v/>
      </c>
      <c r="P748" s="89" t="str">
        <f>IF(ISBLANK(O748),"",IFERROR(INDEX('Tournament List'!$D:$D,MATCH(O748,'Tournament List'!$A:$A,0)),""))</f>
        <v/>
      </c>
    </row>
    <row r="749" spans="1:16" x14ac:dyDescent="0.3">
      <c r="A749" s="87">
        <v>748</v>
      </c>
      <c r="B749" s="88" t="str">
        <f>C749&amp;"-"&amp;E749&amp;"-"&amp;F749</f>
        <v>-Junior Varsity 1-Skeet</v>
      </c>
      <c r="C749" s="88"/>
      <c r="D749" s="88" t="str">
        <f>INDEX('Tournament Setup'!$B$59:$B$78,MATCH(E749,SquadConcurrents,0))</f>
        <v>Junior Varsity</v>
      </c>
      <c r="E749" s="88" t="s">
        <v>339</v>
      </c>
      <c r="F749" s="88" t="s">
        <v>143</v>
      </c>
      <c r="G749" s="96" t="str">
        <f>IF(F749="Skeet",IFERROR(INDEX('Shooter-Squad Assignment'!$A:$A,MATCH(C749&amp;"-"&amp;E749&amp;"-"&amp;F749&amp;"-Pos1",'Shooter-Squad Assignment'!$K:$K,0)),""),IF(F749="Trap",IFERROR(INDEX('Shooter-Squad Assignment'!$A:$A,MATCH(C749&amp;"-"&amp;E749&amp;"-"&amp;F749&amp;"-Pos1",'Shooter-Squad Assignment'!$W:$W,0)),""),IF(F749="Sporting Clays",IFERROR(INDEX('Shooter-Squad Assignment'!$A:$A,MATCH(C749&amp;"-"&amp;E749&amp;"-"&amp;F749&amp;"-Pos1",'Shooter-Squad Assignment'!$Z:$Z,0)),""),"")))</f>
        <v/>
      </c>
      <c r="H749" s="88" t="str">
        <f>IF(ISBLANK(G749),"",IFERROR(INDEX('Tournament List'!$D:$D,MATCH(G749,'Tournament List'!$A:$A,0)),""))</f>
        <v/>
      </c>
      <c r="I749" s="96" t="str">
        <f>IF(F749="Skeet",IFERROR(INDEX('Shooter-Squad Assignment'!$A:$A,MATCH(C749&amp;"-"&amp;E749&amp;"-"&amp;F749&amp;"-Pos2",'Shooter-Squad Assignment'!$K:$K,0)),""),IF(F749="Trap",IFERROR(INDEX('Shooter-Squad Assignment'!$A:$A,MATCH(C749&amp;"-"&amp;E749&amp;"-"&amp;F749&amp;"-Pos2",'Shooter-Squad Assignment'!$W:$W,0)),""),IF(F749="Sporting Clays",IFERROR(INDEX('Shooter-Squad Assignment'!$A:$A,MATCH(C749&amp;"-"&amp;E749&amp;"-"&amp;F749&amp;"-Pos2",'Shooter-Squad Assignment'!$Z:$Z,0)),""),"")))</f>
        <v/>
      </c>
      <c r="J749" s="88" t="str">
        <f>IF(ISBLANK(I749),"",IFERROR(INDEX('Tournament List'!$D:$D,MATCH(I749,'Tournament List'!$A:$A,0)),""))</f>
        <v/>
      </c>
      <c r="K749" s="96" t="str">
        <f>IF(F749="Skeet",IFERROR(INDEX('Shooter-Squad Assignment'!$A:$A,MATCH(C749&amp;"-"&amp;E749&amp;"-"&amp;F749&amp;"-Pos3",'Shooter-Squad Assignment'!$K:$K,0)),""),IF(F749="Trap",IFERROR(INDEX('Shooter-Squad Assignment'!$A:$A,MATCH(C749&amp;"-"&amp;E749&amp;"-"&amp;F749&amp;"-Pos3",'Shooter-Squad Assignment'!$W:$W,0)),""),IF(F749="Sporting Clays",IFERROR(INDEX('Shooter-Squad Assignment'!$A:$A,MATCH(C749&amp;"-"&amp;E749&amp;"-"&amp;F749&amp;"-Pos3",'Shooter-Squad Assignment'!$Z:$Z,0)),""),"")))</f>
        <v/>
      </c>
      <c r="L749" s="88" t="str">
        <f>IF(ISBLANK(K749),"",IFERROR(INDEX('Tournament List'!$D:$D,MATCH(K749,'Tournament List'!$A:$A,0)),""))</f>
        <v/>
      </c>
      <c r="M749" s="96" t="str">
        <f>IF(F749="Skeet",IFERROR(INDEX('Shooter-Squad Assignment'!$A:$A,MATCH(C749&amp;"-"&amp;E749&amp;"-"&amp;F749&amp;"-Pos4",'Shooter-Squad Assignment'!$K:$K,0)),""),IF(F749="Trap",IFERROR(INDEX('Shooter-Squad Assignment'!$A:$A,MATCH(C749&amp;"-"&amp;E749&amp;"-"&amp;F749&amp;"-Pos4",'Shooter-Squad Assignment'!$W:$W,0)),""),IF(F749="Sporting Clays",IFERROR(INDEX('Shooter-Squad Assignment'!$A:$A,MATCH(C749&amp;"-"&amp;E749&amp;"-"&amp;F749&amp;"-Pos4",'Shooter-Squad Assignment'!$Z:$Z,0)),""),"")))</f>
        <v/>
      </c>
      <c r="N749" s="88" t="str">
        <f>IF(ISBLANK(M749),"",IFERROR(INDEX('Tournament List'!$D:$D,MATCH(M749,'Tournament List'!$A:$A,0)),""))</f>
        <v/>
      </c>
      <c r="O749" s="96" t="str">
        <f>IF(F749="Skeet",IFERROR(INDEX('Shooter-Squad Assignment'!$A:$A,MATCH(C749&amp;"-"&amp;E749&amp;"-"&amp;F749&amp;"-Pos5",'Shooter-Squad Assignment'!$K:$K,0)),""),IF(F749="Trap",IFERROR(INDEX('Shooter-Squad Assignment'!$A:$A,MATCH(C749&amp;"-"&amp;E749&amp;"-"&amp;F749&amp;"-Pos5",'Shooter-Squad Assignment'!$W:$W,0)),""),IF(F749="Sporting Clays",IFERROR(INDEX('Shooter-Squad Assignment'!$A:$A,MATCH(C749&amp;"-"&amp;E749&amp;"-"&amp;F749&amp;"-Pos5",'Shooter-Squad Assignment'!$Z:$Z,0)),""),"")))</f>
        <v/>
      </c>
      <c r="P749" s="89" t="str">
        <f>IF(ISBLANK(O749),"",IFERROR(INDEX('Tournament List'!$D:$D,MATCH(O749,'Tournament List'!$A:$A,0)),""))</f>
        <v/>
      </c>
    </row>
    <row r="750" spans="1:16" x14ac:dyDescent="0.3">
      <c r="A750" s="87">
        <v>749</v>
      </c>
      <c r="B750" s="88" t="str">
        <f>C750&amp;"-"&amp;E750&amp;"-"&amp;F750</f>
        <v>-Junior Varsity 2-Skeet</v>
      </c>
      <c r="C750" s="88"/>
      <c r="D750" s="88" t="str">
        <f>INDEX('Tournament Setup'!$B$59:$B$78,MATCH(E750,SquadConcurrents,0))</f>
        <v>Junior Varsity</v>
      </c>
      <c r="E750" s="88" t="s">
        <v>345</v>
      </c>
      <c r="F750" s="88" t="s">
        <v>143</v>
      </c>
      <c r="G750" s="96" t="str">
        <f>IF(F750="Skeet",IFERROR(INDEX('Shooter-Squad Assignment'!$A:$A,MATCH(C750&amp;"-"&amp;E750&amp;"-"&amp;F750&amp;"-Pos1",'Shooter-Squad Assignment'!$K:$K,0)),""),IF(F750="Trap",IFERROR(INDEX('Shooter-Squad Assignment'!$A:$A,MATCH(C750&amp;"-"&amp;E750&amp;"-"&amp;F750&amp;"-Pos1",'Shooter-Squad Assignment'!$W:$W,0)),""),IF(F750="Sporting Clays",IFERROR(INDEX('Shooter-Squad Assignment'!$A:$A,MATCH(C750&amp;"-"&amp;E750&amp;"-"&amp;F750&amp;"-Pos1",'Shooter-Squad Assignment'!$Z:$Z,0)),""),"")))</f>
        <v/>
      </c>
      <c r="H750" s="88" t="str">
        <f>IF(ISBLANK(G750),"",IFERROR(INDEX('Tournament List'!$D:$D,MATCH(G750,'Tournament List'!$A:$A,0)),""))</f>
        <v/>
      </c>
      <c r="I750" s="96" t="str">
        <f>IF(F750="Skeet",IFERROR(INDEX('Shooter-Squad Assignment'!$A:$A,MATCH(C750&amp;"-"&amp;E750&amp;"-"&amp;F750&amp;"-Pos2",'Shooter-Squad Assignment'!$K:$K,0)),""),IF(F750="Trap",IFERROR(INDEX('Shooter-Squad Assignment'!$A:$A,MATCH(C750&amp;"-"&amp;E750&amp;"-"&amp;F750&amp;"-Pos2",'Shooter-Squad Assignment'!$W:$W,0)),""),IF(F750="Sporting Clays",IFERROR(INDEX('Shooter-Squad Assignment'!$A:$A,MATCH(C750&amp;"-"&amp;E750&amp;"-"&amp;F750&amp;"-Pos2",'Shooter-Squad Assignment'!$Z:$Z,0)),""),"")))</f>
        <v/>
      </c>
      <c r="J750" s="88" t="str">
        <f>IF(ISBLANK(I750),"",IFERROR(INDEX('Tournament List'!$D:$D,MATCH(I750,'Tournament List'!$A:$A,0)),""))</f>
        <v/>
      </c>
      <c r="K750" s="96" t="str">
        <f>IF(F750="Skeet",IFERROR(INDEX('Shooter-Squad Assignment'!$A:$A,MATCH(C750&amp;"-"&amp;E750&amp;"-"&amp;F750&amp;"-Pos3",'Shooter-Squad Assignment'!$K:$K,0)),""),IF(F750="Trap",IFERROR(INDEX('Shooter-Squad Assignment'!$A:$A,MATCH(C750&amp;"-"&amp;E750&amp;"-"&amp;F750&amp;"-Pos3",'Shooter-Squad Assignment'!$W:$W,0)),""),IF(F750="Sporting Clays",IFERROR(INDEX('Shooter-Squad Assignment'!$A:$A,MATCH(C750&amp;"-"&amp;E750&amp;"-"&amp;F750&amp;"-Pos3",'Shooter-Squad Assignment'!$Z:$Z,0)),""),"")))</f>
        <v/>
      </c>
      <c r="L750" s="88" t="str">
        <f>IF(ISBLANK(K750),"",IFERROR(INDEX('Tournament List'!$D:$D,MATCH(K750,'Tournament List'!$A:$A,0)),""))</f>
        <v/>
      </c>
      <c r="M750" s="96" t="str">
        <f>IF(F750="Skeet",IFERROR(INDEX('Shooter-Squad Assignment'!$A:$A,MATCH(C750&amp;"-"&amp;E750&amp;"-"&amp;F750&amp;"-Pos4",'Shooter-Squad Assignment'!$K:$K,0)),""),IF(F750="Trap",IFERROR(INDEX('Shooter-Squad Assignment'!$A:$A,MATCH(C750&amp;"-"&amp;E750&amp;"-"&amp;F750&amp;"-Pos4",'Shooter-Squad Assignment'!$W:$W,0)),""),IF(F750="Sporting Clays",IFERROR(INDEX('Shooter-Squad Assignment'!$A:$A,MATCH(C750&amp;"-"&amp;E750&amp;"-"&amp;F750&amp;"-Pos4",'Shooter-Squad Assignment'!$Z:$Z,0)),""),"")))</f>
        <v/>
      </c>
      <c r="N750" s="88" t="str">
        <f>IF(ISBLANK(M750),"",IFERROR(INDEX('Tournament List'!$D:$D,MATCH(M750,'Tournament List'!$A:$A,0)),""))</f>
        <v/>
      </c>
      <c r="O750" s="96" t="str">
        <f>IF(F750="Skeet",IFERROR(INDEX('Shooter-Squad Assignment'!$A:$A,MATCH(C750&amp;"-"&amp;E750&amp;"-"&amp;F750&amp;"-Pos5",'Shooter-Squad Assignment'!$K:$K,0)),""),IF(F750="Trap",IFERROR(INDEX('Shooter-Squad Assignment'!$A:$A,MATCH(C750&amp;"-"&amp;E750&amp;"-"&amp;F750&amp;"-Pos5",'Shooter-Squad Assignment'!$W:$W,0)),""),IF(F750="Sporting Clays",IFERROR(INDEX('Shooter-Squad Assignment'!$A:$A,MATCH(C750&amp;"-"&amp;E750&amp;"-"&amp;F750&amp;"-Pos5",'Shooter-Squad Assignment'!$Z:$Z,0)),""),"")))</f>
        <v/>
      </c>
      <c r="P750" s="89" t="str">
        <f>IF(ISBLANK(O750),"",IFERROR(INDEX('Tournament List'!$D:$D,MATCH(O750,'Tournament List'!$A:$A,0)),""))</f>
        <v/>
      </c>
    </row>
    <row r="751" spans="1:16" x14ac:dyDescent="0.3">
      <c r="A751" s="87">
        <v>750</v>
      </c>
      <c r="B751" s="88" t="str">
        <f>C751&amp;"-"&amp;E751&amp;"-"&amp;F751</f>
        <v>-Junior Varsity 3-Skeet</v>
      </c>
      <c r="C751" s="88"/>
      <c r="D751" s="88" t="str">
        <f>INDEX('Tournament Setup'!$B$59:$B$78,MATCH(E751,SquadConcurrents,0))</f>
        <v>Junior Varsity</v>
      </c>
      <c r="E751" s="88" t="s">
        <v>351</v>
      </c>
      <c r="F751" s="88" t="s">
        <v>143</v>
      </c>
      <c r="G751" s="96" t="str">
        <f>IF(F751="Skeet",IFERROR(INDEX('Shooter-Squad Assignment'!$A:$A,MATCH(C751&amp;"-"&amp;E751&amp;"-"&amp;F751&amp;"-Pos1",'Shooter-Squad Assignment'!$K:$K,0)),""),IF(F751="Trap",IFERROR(INDEX('Shooter-Squad Assignment'!$A:$A,MATCH(C751&amp;"-"&amp;E751&amp;"-"&amp;F751&amp;"-Pos1",'Shooter-Squad Assignment'!$W:$W,0)),""),IF(F751="Sporting Clays",IFERROR(INDEX('Shooter-Squad Assignment'!$A:$A,MATCH(C751&amp;"-"&amp;E751&amp;"-"&amp;F751&amp;"-Pos1",'Shooter-Squad Assignment'!$Z:$Z,0)),""),"")))</f>
        <v/>
      </c>
      <c r="H751" s="88" t="str">
        <f>IF(ISBLANK(G751),"",IFERROR(INDEX('Tournament List'!$D:$D,MATCH(G751,'Tournament List'!$A:$A,0)),""))</f>
        <v/>
      </c>
      <c r="I751" s="96" t="str">
        <f>IF(F751="Skeet",IFERROR(INDEX('Shooter-Squad Assignment'!$A:$A,MATCH(C751&amp;"-"&amp;E751&amp;"-"&amp;F751&amp;"-Pos2",'Shooter-Squad Assignment'!$K:$K,0)),""),IF(F751="Trap",IFERROR(INDEX('Shooter-Squad Assignment'!$A:$A,MATCH(C751&amp;"-"&amp;E751&amp;"-"&amp;F751&amp;"-Pos2",'Shooter-Squad Assignment'!$W:$W,0)),""),IF(F751="Sporting Clays",IFERROR(INDEX('Shooter-Squad Assignment'!$A:$A,MATCH(C751&amp;"-"&amp;E751&amp;"-"&amp;F751&amp;"-Pos2",'Shooter-Squad Assignment'!$Z:$Z,0)),""),"")))</f>
        <v/>
      </c>
      <c r="J751" s="88" t="str">
        <f>IF(ISBLANK(I751),"",IFERROR(INDEX('Tournament List'!$D:$D,MATCH(I751,'Tournament List'!$A:$A,0)),""))</f>
        <v/>
      </c>
      <c r="K751" s="96" t="str">
        <f>IF(F751="Skeet",IFERROR(INDEX('Shooter-Squad Assignment'!$A:$A,MATCH(C751&amp;"-"&amp;E751&amp;"-"&amp;F751&amp;"-Pos3",'Shooter-Squad Assignment'!$K:$K,0)),""),IF(F751="Trap",IFERROR(INDEX('Shooter-Squad Assignment'!$A:$A,MATCH(C751&amp;"-"&amp;E751&amp;"-"&amp;F751&amp;"-Pos3",'Shooter-Squad Assignment'!$W:$W,0)),""),IF(F751="Sporting Clays",IFERROR(INDEX('Shooter-Squad Assignment'!$A:$A,MATCH(C751&amp;"-"&amp;E751&amp;"-"&amp;F751&amp;"-Pos3",'Shooter-Squad Assignment'!$Z:$Z,0)),""),"")))</f>
        <v/>
      </c>
      <c r="L751" s="88" t="str">
        <f>IF(ISBLANK(K751),"",IFERROR(INDEX('Tournament List'!$D:$D,MATCH(K751,'Tournament List'!$A:$A,0)),""))</f>
        <v/>
      </c>
      <c r="M751" s="96" t="str">
        <f>IF(F751="Skeet",IFERROR(INDEX('Shooter-Squad Assignment'!$A:$A,MATCH(C751&amp;"-"&amp;E751&amp;"-"&amp;F751&amp;"-Pos4",'Shooter-Squad Assignment'!$K:$K,0)),""),IF(F751="Trap",IFERROR(INDEX('Shooter-Squad Assignment'!$A:$A,MATCH(C751&amp;"-"&amp;E751&amp;"-"&amp;F751&amp;"-Pos4",'Shooter-Squad Assignment'!$W:$W,0)),""),IF(F751="Sporting Clays",IFERROR(INDEX('Shooter-Squad Assignment'!$A:$A,MATCH(C751&amp;"-"&amp;E751&amp;"-"&amp;F751&amp;"-Pos4",'Shooter-Squad Assignment'!$Z:$Z,0)),""),"")))</f>
        <v/>
      </c>
      <c r="N751" s="88" t="str">
        <f>IF(ISBLANK(M751),"",IFERROR(INDEX('Tournament List'!$D:$D,MATCH(M751,'Tournament List'!$A:$A,0)),""))</f>
        <v/>
      </c>
      <c r="O751" s="96" t="str">
        <f>IF(F751="Skeet",IFERROR(INDEX('Shooter-Squad Assignment'!$A:$A,MATCH(C751&amp;"-"&amp;E751&amp;"-"&amp;F751&amp;"-Pos5",'Shooter-Squad Assignment'!$K:$K,0)),""),IF(F751="Trap",IFERROR(INDEX('Shooter-Squad Assignment'!$A:$A,MATCH(C751&amp;"-"&amp;E751&amp;"-"&amp;F751&amp;"-Pos5",'Shooter-Squad Assignment'!$W:$W,0)),""),IF(F751="Sporting Clays",IFERROR(INDEX('Shooter-Squad Assignment'!$A:$A,MATCH(C751&amp;"-"&amp;E751&amp;"-"&amp;F751&amp;"-Pos5",'Shooter-Squad Assignment'!$Z:$Z,0)),""),"")))</f>
        <v/>
      </c>
      <c r="P751" s="89" t="str">
        <f>IF(ISBLANK(O751),"",IFERROR(INDEX('Tournament List'!$D:$D,MATCH(O751,'Tournament List'!$A:$A,0)),""))</f>
        <v/>
      </c>
    </row>
    <row r="752" spans="1:16" x14ac:dyDescent="0.3">
      <c r="A752" s="87">
        <v>751</v>
      </c>
      <c r="B752" s="88" t="str">
        <f>C752&amp;"-"&amp;E752&amp;"-"&amp;F752</f>
        <v>-Novice 1-Skeet</v>
      </c>
      <c r="C752" s="88"/>
      <c r="D752" s="88" t="str">
        <f>INDEX('Tournament Setup'!$B$59:$B$78,MATCH(E752,SquadConcurrents,0))</f>
        <v>Novice</v>
      </c>
      <c r="E752" s="88" t="s">
        <v>337</v>
      </c>
      <c r="F752" s="88" t="s">
        <v>143</v>
      </c>
      <c r="G752" s="96" t="str">
        <f>IF(F752="Skeet",IFERROR(INDEX('Shooter-Squad Assignment'!$A:$A,MATCH(C752&amp;"-"&amp;E752&amp;"-"&amp;F752&amp;"-Pos1",'Shooter-Squad Assignment'!$K:$K,0)),""),IF(F752="Trap",IFERROR(INDEX('Shooter-Squad Assignment'!$A:$A,MATCH(C752&amp;"-"&amp;E752&amp;"-"&amp;F752&amp;"-Pos1",'Shooter-Squad Assignment'!$W:$W,0)),""),IF(F752="Sporting Clays",IFERROR(INDEX('Shooter-Squad Assignment'!$A:$A,MATCH(C752&amp;"-"&amp;E752&amp;"-"&amp;F752&amp;"-Pos1",'Shooter-Squad Assignment'!$Z:$Z,0)),""),"")))</f>
        <v/>
      </c>
      <c r="H752" s="88" t="str">
        <f>IF(ISBLANK(G752),"",IFERROR(INDEX('Tournament List'!$D:$D,MATCH(G752,'Tournament List'!$A:$A,0)),""))</f>
        <v/>
      </c>
      <c r="I752" s="96" t="str">
        <f>IF(F752="Skeet",IFERROR(INDEX('Shooter-Squad Assignment'!$A:$A,MATCH(C752&amp;"-"&amp;E752&amp;"-"&amp;F752&amp;"-Pos2",'Shooter-Squad Assignment'!$K:$K,0)),""),IF(F752="Trap",IFERROR(INDEX('Shooter-Squad Assignment'!$A:$A,MATCH(C752&amp;"-"&amp;E752&amp;"-"&amp;F752&amp;"-Pos2",'Shooter-Squad Assignment'!$W:$W,0)),""),IF(F752="Sporting Clays",IFERROR(INDEX('Shooter-Squad Assignment'!$A:$A,MATCH(C752&amp;"-"&amp;E752&amp;"-"&amp;F752&amp;"-Pos2",'Shooter-Squad Assignment'!$Z:$Z,0)),""),"")))</f>
        <v/>
      </c>
      <c r="J752" s="88" t="str">
        <f>IF(ISBLANK(I752),"",IFERROR(INDEX('Tournament List'!$D:$D,MATCH(I752,'Tournament List'!$A:$A,0)),""))</f>
        <v/>
      </c>
      <c r="K752" s="96" t="str">
        <f>IF(F752="Skeet",IFERROR(INDEX('Shooter-Squad Assignment'!$A:$A,MATCH(C752&amp;"-"&amp;E752&amp;"-"&amp;F752&amp;"-Pos3",'Shooter-Squad Assignment'!$K:$K,0)),""),IF(F752="Trap",IFERROR(INDEX('Shooter-Squad Assignment'!$A:$A,MATCH(C752&amp;"-"&amp;E752&amp;"-"&amp;F752&amp;"-Pos3",'Shooter-Squad Assignment'!$W:$W,0)),""),IF(F752="Sporting Clays",IFERROR(INDEX('Shooter-Squad Assignment'!$A:$A,MATCH(C752&amp;"-"&amp;E752&amp;"-"&amp;F752&amp;"-Pos3",'Shooter-Squad Assignment'!$Z:$Z,0)),""),"")))</f>
        <v/>
      </c>
      <c r="L752" s="88" t="str">
        <f>IF(ISBLANK(K752),"",IFERROR(INDEX('Tournament List'!$D:$D,MATCH(K752,'Tournament List'!$A:$A,0)),""))</f>
        <v/>
      </c>
      <c r="M752" s="96" t="str">
        <f>IF(F752="Skeet",IFERROR(INDEX('Shooter-Squad Assignment'!$A:$A,MATCH(C752&amp;"-"&amp;E752&amp;"-"&amp;F752&amp;"-Pos4",'Shooter-Squad Assignment'!$K:$K,0)),""),IF(F752="Trap",IFERROR(INDEX('Shooter-Squad Assignment'!$A:$A,MATCH(C752&amp;"-"&amp;E752&amp;"-"&amp;F752&amp;"-Pos4",'Shooter-Squad Assignment'!$W:$W,0)),""),IF(F752="Sporting Clays",IFERROR(INDEX('Shooter-Squad Assignment'!$A:$A,MATCH(C752&amp;"-"&amp;E752&amp;"-"&amp;F752&amp;"-Pos4",'Shooter-Squad Assignment'!$Z:$Z,0)),""),"")))</f>
        <v/>
      </c>
      <c r="N752" s="88" t="str">
        <f>IF(ISBLANK(M752),"",IFERROR(INDEX('Tournament List'!$D:$D,MATCH(M752,'Tournament List'!$A:$A,0)),""))</f>
        <v/>
      </c>
      <c r="O752" s="96" t="str">
        <f>IF(F752="Skeet",IFERROR(INDEX('Shooter-Squad Assignment'!$A:$A,MATCH(C752&amp;"-"&amp;E752&amp;"-"&amp;F752&amp;"-Pos5",'Shooter-Squad Assignment'!$K:$K,0)),""),IF(F752="Trap",IFERROR(INDEX('Shooter-Squad Assignment'!$A:$A,MATCH(C752&amp;"-"&amp;E752&amp;"-"&amp;F752&amp;"-Pos5",'Shooter-Squad Assignment'!$W:$W,0)),""),IF(F752="Sporting Clays",IFERROR(INDEX('Shooter-Squad Assignment'!$A:$A,MATCH(C752&amp;"-"&amp;E752&amp;"-"&amp;F752&amp;"-Pos5",'Shooter-Squad Assignment'!$Z:$Z,0)),""),"")))</f>
        <v/>
      </c>
      <c r="P752" s="89" t="str">
        <f>IF(ISBLANK(O752),"",IFERROR(INDEX('Tournament List'!$D:$D,MATCH(O752,'Tournament List'!$A:$A,0)),""))</f>
        <v/>
      </c>
    </row>
    <row r="753" spans="1:16" x14ac:dyDescent="0.3">
      <c r="A753" s="87">
        <v>752</v>
      </c>
      <c r="B753" s="88" t="str">
        <f>C753&amp;"-"&amp;E753&amp;"-"&amp;F753</f>
        <v>-Novice 2-Skeet</v>
      </c>
      <c r="C753" s="88"/>
      <c r="D753" s="88" t="str">
        <f>INDEX('Tournament Setup'!$B$59:$B$78,MATCH(E753,SquadConcurrents,0))</f>
        <v>Novice</v>
      </c>
      <c r="E753" s="88" t="s">
        <v>343</v>
      </c>
      <c r="F753" s="88" t="s">
        <v>143</v>
      </c>
      <c r="G753" s="96" t="str">
        <f>IF(F753="Skeet",IFERROR(INDEX('Shooter-Squad Assignment'!$A:$A,MATCH(C753&amp;"-"&amp;E753&amp;"-"&amp;F753&amp;"-Pos1",'Shooter-Squad Assignment'!$K:$K,0)),""),IF(F753="Trap",IFERROR(INDEX('Shooter-Squad Assignment'!$A:$A,MATCH(C753&amp;"-"&amp;E753&amp;"-"&amp;F753&amp;"-Pos1",'Shooter-Squad Assignment'!$W:$W,0)),""),IF(F753="Sporting Clays",IFERROR(INDEX('Shooter-Squad Assignment'!$A:$A,MATCH(C753&amp;"-"&amp;E753&amp;"-"&amp;F753&amp;"-Pos1",'Shooter-Squad Assignment'!$Z:$Z,0)),""),"")))</f>
        <v/>
      </c>
      <c r="H753" s="88" t="str">
        <f>IF(ISBLANK(G753),"",IFERROR(INDEX('Tournament List'!$D:$D,MATCH(G753,'Tournament List'!$A:$A,0)),""))</f>
        <v/>
      </c>
      <c r="I753" s="96" t="str">
        <f>IF(F753="Skeet",IFERROR(INDEX('Shooter-Squad Assignment'!$A:$A,MATCH(C753&amp;"-"&amp;E753&amp;"-"&amp;F753&amp;"-Pos2",'Shooter-Squad Assignment'!$K:$K,0)),""),IF(F753="Trap",IFERROR(INDEX('Shooter-Squad Assignment'!$A:$A,MATCH(C753&amp;"-"&amp;E753&amp;"-"&amp;F753&amp;"-Pos2",'Shooter-Squad Assignment'!$W:$W,0)),""),IF(F753="Sporting Clays",IFERROR(INDEX('Shooter-Squad Assignment'!$A:$A,MATCH(C753&amp;"-"&amp;E753&amp;"-"&amp;F753&amp;"-Pos2",'Shooter-Squad Assignment'!$Z:$Z,0)),""),"")))</f>
        <v/>
      </c>
      <c r="J753" s="88" t="str">
        <f>IF(ISBLANK(I753),"",IFERROR(INDEX('Tournament List'!$D:$D,MATCH(I753,'Tournament List'!$A:$A,0)),""))</f>
        <v/>
      </c>
      <c r="K753" s="96" t="str">
        <f>IF(F753="Skeet",IFERROR(INDEX('Shooter-Squad Assignment'!$A:$A,MATCH(C753&amp;"-"&amp;E753&amp;"-"&amp;F753&amp;"-Pos3",'Shooter-Squad Assignment'!$K:$K,0)),""),IF(F753="Trap",IFERROR(INDEX('Shooter-Squad Assignment'!$A:$A,MATCH(C753&amp;"-"&amp;E753&amp;"-"&amp;F753&amp;"-Pos3",'Shooter-Squad Assignment'!$W:$W,0)),""),IF(F753="Sporting Clays",IFERROR(INDEX('Shooter-Squad Assignment'!$A:$A,MATCH(C753&amp;"-"&amp;E753&amp;"-"&amp;F753&amp;"-Pos3",'Shooter-Squad Assignment'!$Z:$Z,0)),""),"")))</f>
        <v/>
      </c>
      <c r="L753" s="88" t="str">
        <f>IF(ISBLANK(K753),"",IFERROR(INDEX('Tournament List'!$D:$D,MATCH(K753,'Tournament List'!$A:$A,0)),""))</f>
        <v/>
      </c>
      <c r="M753" s="96" t="str">
        <f>IF(F753="Skeet",IFERROR(INDEX('Shooter-Squad Assignment'!$A:$A,MATCH(C753&amp;"-"&amp;E753&amp;"-"&amp;F753&amp;"-Pos4",'Shooter-Squad Assignment'!$K:$K,0)),""),IF(F753="Trap",IFERROR(INDEX('Shooter-Squad Assignment'!$A:$A,MATCH(C753&amp;"-"&amp;E753&amp;"-"&amp;F753&amp;"-Pos4",'Shooter-Squad Assignment'!$W:$W,0)),""),IF(F753="Sporting Clays",IFERROR(INDEX('Shooter-Squad Assignment'!$A:$A,MATCH(C753&amp;"-"&amp;E753&amp;"-"&amp;F753&amp;"-Pos4",'Shooter-Squad Assignment'!$Z:$Z,0)),""),"")))</f>
        <v/>
      </c>
      <c r="N753" s="88" t="str">
        <f>IF(ISBLANK(M753),"",IFERROR(INDEX('Tournament List'!$D:$D,MATCH(M753,'Tournament List'!$A:$A,0)),""))</f>
        <v/>
      </c>
      <c r="O753" s="96" t="str">
        <f>IF(F753="Skeet",IFERROR(INDEX('Shooter-Squad Assignment'!$A:$A,MATCH(C753&amp;"-"&amp;E753&amp;"-"&amp;F753&amp;"-Pos5",'Shooter-Squad Assignment'!$K:$K,0)),""),IF(F753="Trap",IFERROR(INDEX('Shooter-Squad Assignment'!$A:$A,MATCH(C753&amp;"-"&amp;E753&amp;"-"&amp;F753&amp;"-Pos5",'Shooter-Squad Assignment'!$W:$W,0)),""),IF(F753="Sporting Clays",IFERROR(INDEX('Shooter-Squad Assignment'!$A:$A,MATCH(C753&amp;"-"&amp;E753&amp;"-"&amp;F753&amp;"-Pos5",'Shooter-Squad Assignment'!$Z:$Z,0)),""),"")))</f>
        <v/>
      </c>
      <c r="P753" s="89" t="str">
        <f>IF(ISBLANK(O753),"",IFERROR(INDEX('Tournament List'!$D:$D,MATCH(O753,'Tournament List'!$A:$A,0)),""))</f>
        <v/>
      </c>
    </row>
    <row r="754" spans="1:16" x14ac:dyDescent="0.3">
      <c r="A754" s="87">
        <v>753</v>
      </c>
      <c r="B754" s="88" t="str">
        <f>C754&amp;"-"&amp;E754&amp;"-"&amp;F754</f>
        <v>-Novice 3-Skeet</v>
      </c>
      <c r="C754" s="88"/>
      <c r="D754" s="88" t="str">
        <f>INDEX('Tournament Setup'!$B$59:$B$78,MATCH(E754,SquadConcurrents,0))</f>
        <v>Novice</v>
      </c>
      <c r="E754" s="88" t="s">
        <v>349</v>
      </c>
      <c r="F754" s="88" t="s">
        <v>143</v>
      </c>
      <c r="G754" s="96" t="str">
        <f>IF(F754="Skeet",IFERROR(INDEX('Shooter-Squad Assignment'!$A:$A,MATCH(C754&amp;"-"&amp;E754&amp;"-"&amp;F754&amp;"-Pos1",'Shooter-Squad Assignment'!$K:$K,0)),""),IF(F754="Trap",IFERROR(INDEX('Shooter-Squad Assignment'!$A:$A,MATCH(C754&amp;"-"&amp;E754&amp;"-"&amp;F754&amp;"-Pos1",'Shooter-Squad Assignment'!$W:$W,0)),""),IF(F754="Sporting Clays",IFERROR(INDEX('Shooter-Squad Assignment'!$A:$A,MATCH(C754&amp;"-"&amp;E754&amp;"-"&amp;F754&amp;"-Pos1",'Shooter-Squad Assignment'!$Z:$Z,0)),""),"")))</f>
        <v/>
      </c>
      <c r="H754" s="88" t="str">
        <f>IF(ISBLANK(G754),"",IFERROR(INDEX('Tournament List'!$D:$D,MATCH(G754,'Tournament List'!$A:$A,0)),""))</f>
        <v/>
      </c>
      <c r="I754" s="96" t="str">
        <f>IF(F754="Skeet",IFERROR(INDEX('Shooter-Squad Assignment'!$A:$A,MATCH(C754&amp;"-"&amp;E754&amp;"-"&amp;F754&amp;"-Pos2",'Shooter-Squad Assignment'!$K:$K,0)),""),IF(F754="Trap",IFERROR(INDEX('Shooter-Squad Assignment'!$A:$A,MATCH(C754&amp;"-"&amp;E754&amp;"-"&amp;F754&amp;"-Pos2",'Shooter-Squad Assignment'!$W:$W,0)),""),IF(F754="Sporting Clays",IFERROR(INDEX('Shooter-Squad Assignment'!$A:$A,MATCH(C754&amp;"-"&amp;E754&amp;"-"&amp;F754&amp;"-Pos2",'Shooter-Squad Assignment'!$Z:$Z,0)),""),"")))</f>
        <v/>
      </c>
      <c r="J754" s="88" t="str">
        <f>IF(ISBLANK(I754),"",IFERROR(INDEX('Tournament List'!$D:$D,MATCH(I754,'Tournament List'!$A:$A,0)),""))</f>
        <v/>
      </c>
      <c r="K754" s="96" t="str">
        <f>IF(F754="Skeet",IFERROR(INDEX('Shooter-Squad Assignment'!$A:$A,MATCH(C754&amp;"-"&amp;E754&amp;"-"&amp;F754&amp;"-Pos3",'Shooter-Squad Assignment'!$K:$K,0)),""),IF(F754="Trap",IFERROR(INDEX('Shooter-Squad Assignment'!$A:$A,MATCH(C754&amp;"-"&amp;E754&amp;"-"&amp;F754&amp;"-Pos3",'Shooter-Squad Assignment'!$W:$W,0)),""),IF(F754="Sporting Clays",IFERROR(INDEX('Shooter-Squad Assignment'!$A:$A,MATCH(C754&amp;"-"&amp;E754&amp;"-"&amp;F754&amp;"-Pos3",'Shooter-Squad Assignment'!$Z:$Z,0)),""),"")))</f>
        <v/>
      </c>
      <c r="L754" s="88" t="str">
        <f>IF(ISBLANK(K754),"",IFERROR(INDEX('Tournament List'!$D:$D,MATCH(K754,'Tournament List'!$A:$A,0)),""))</f>
        <v/>
      </c>
      <c r="M754" s="96" t="str">
        <f>IF(F754="Skeet",IFERROR(INDEX('Shooter-Squad Assignment'!$A:$A,MATCH(C754&amp;"-"&amp;E754&amp;"-"&amp;F754&amp;"-Pos4",'Shooter-Squad Assignment'!$K:$K,0)),""),IF(F754="Trap",IFERROR(INDEX('Shooter-Squad Assignment'!$A:$A,MATCH(C754&amp;"-"&amp;E754&amp;"-"&amp;F754&amp;"-Pos4",'Shooter-Squad Assignment'!$W:$W,0)),""),IF(F754="Sporting Clays",IFERROR(INDEX('Shooter-Squad Assignment'!$A:$A,MATCH(C754&amp;"-"&amp;E754&amp;"-"&amp;F754&amp;"-Pos4",'Shooter-Squad Assignment'!$Z:$Z,0)),""),"")))</f>
        <v/>
      </c>
      <c r="N754" s="88" t="str">
        <f>IF(ISBLANK(M754),"",IFERROR(INDEX('Tournament List'!$D:$D,MATCH(M754,'Tournament List'!$A:$A,0)),""))</f>
        <v/>
      </c>
      <c r="O754" s="96" t="str">
        <f>IF(F754="Skeet",IFERROR(INDEX('Shooter-Squad Assignment'!$A:$A,MATCH(C754&amp;"-"&amp;E754&amp;"-"&amp;F754&amp;"-Pos5",'Shooter-Squad Assignment'!$K:$K,0)),""),IF(F754="Trap",IFERROR(INDEX('Shooter-Squad Assignment'!$A:$A,MATCH(C754&amp;"-"&amp;E754&amp;"-"&amp;F754&amp;"-Pos5",'Shooter-Squad Assignment'!$W:$W,0)),""),IF(F754="Sporting Clays",IFERROR(INDEX('Shooter-Squad Assignment'!$A:$A,MATCH(C754&amp;"-"&amp;E754&amp;"-"&amp;F754&amp;"-Pos5",'Shooter-Squad Assignment'!$Z:$Z,0)),""),"")))</f>
        <v/>
      </c>
      <c r="P754" s="89" t="str">
        <f>IF(ISBLANK(O754),"",IFERROR(INDEX('Tournament List'!$D:$D,MATCH(O754,'Tournament List'!$A:$A,0)),""))</f>
        <v/>
      </c>
    </row>
    <row r="755" spans="1:16" x14ac:dyDescent="0.3">
      <c r="A755" s="87">
        <v>754</v>
      </c>
      <c r="B755" s="88" t="str">
        <f>C755&amp;"-"&amp;E755&amp;"-"&amp;F755</f>
        <v>-Open 1-Skeet</v>
      </c>
      <c r="C755" s="88"/>
      <c r="D755" s="88" t="str">
        <f>INDEX('Tournament Setup'!$B$59:$B$78,MATCH(E755,SquadConcurrents,0))</f>
        <v>Open</v>
      </c>
      <c r="E755" s="88" t="s">
        <v>341</v>
      </c>
      <c r="F755" s="88" t="s">
        <v>143</v>
      </c>
      <c r="G755" s="96" t="str">
        <f>IF(F755="Skeet",IFERROR(INDEX('Shooter-Squad Assignment'!$A:$A,MATCH(C755&amp;"-"&amp;E755&amp;"-"&amp;F755&amp;"-Pos1",'Shooter-Squad Assignment'!$K:$K,0)),""),IF(F755="Trap",IFERROR(INDEX('Shooter-Squad Assignment'!$A:$A,MATCH(C755&amp;"-"&amp;E755&amp;"-"&amp;F755&amp;"-Pos1",'Shooter-Squad Assignment'!$W:$W,0)),""),IF(F755="Sporting Clays",IFERROR(INDEX('Shooter-Squad Assignment'!$A:$A,MATCH(C755&amp;"-"&amp;E755&amp;"-"&amp;F755&amp;"-Pos1",'Shooter-Squad Assignment'!$Z:$Z,0)),""),"")))</f>
        <v/>
      </c>
      <c r="H755" s="88" t="str">
        <f>IF(ISBLANK(G755),"",IFERROR(INDEX('Tournament List'!$D:$D,MATCH(G755,'Tournament List'!$A:$A,0)),""))</f>
        <v/>
      </c>
      <c r="I755" s="96" t="str">
        <f>IF(F755="Skeet",IFERROR(INDEX('Shooter-Squad Assignment'!$A:$A,MATCH(C755&amp;"-"&amp;E755&amp;"-"&amp;F755&amp;"-Pos2",'Shooter-Squad Assignment'!$K:$K,0)),""),IF(F755="Trap",IFERROR(INDEX('Shooter-Squad Assignment'!$A:$A,MATCH(C755&amp;"-"&amp;E755&amp;"-"&amp;F755&amp;"-Pos2",'Shooter-Squad Assignment'!$W:$W,0)),""),IF(F755="Sporting Clays",IFERROR(INDEX('Shooter-Squad Assignment'!$A:$A,MATCH(C755&amp;"-"&amp;E755&amp;"-"&amp;F755&amp;"-Pos2",'Shooter-Squad Assignment'!$Z:$Z,0)),""),"")))</f>
        <v/>
      </c>
      <c r="J755" s="88" t="str">
        <f>IF(ISBLANK(I755),"",IFERROR(INDEX('Tournament List'!$D:$D,MATCH(I755,'Tournament List'!$A:$A,0)),""))</f>
        <v/>
      </c>
      <c r="K755" s="96" t="str">
        <f>IF(F755="Skeet",IFERROR(INDEX('Shooter-Squad Assignment'!$A:$A,MATCH(C755&amp;"-"&amp;E755&amp;"-"&amp;F755&amp;"-Pos3",'Shooter-Squad Assignment'!$K:$K,0)),""),IF(F755="Trap",IFERROR(INDEX('Shooter-Squad Assignment'!$A:$A,MATCH(C755&amp;"-"&amp;E755&amp;"-"&amp;F755&amp;"-Pos3",'Shooter-Squad Assignment'!$W:$W,0)),""),IF(F755="Sporting Clays",IFERROR(INDEX('Shooter-Squad Assignment'!$A:$A,MATCH(C755&amp;"-"&amp;E755&amp;"-"&amp;F755&amp;"-Pos3",'Shooter-Squad Assignment'!$Z:$Z,0)),""),"")))</f>
        <v/>
      </c>
      <c r="L755" s="88" t="str">
        <f>IF(ISBLANK(K755),"",IFERROR(INDEX('Tournament List'!$D:$D,MATCH(K755,'Tournament List'!$A:$A,0)),""))</f>
        <v/>
      </c>
      <c r="M755" s="96" t="str">
        <f>IF(F755="Skeet",IFERROR(INDEX('Shooter-Squad Assignment'!$A:$A,MATCH(C755&amp;"-"&amp;E755&amp;"-"&amp;F755&amp;"-Pos4",'Shooter-Squad Assignment'!$K:$K,0)),""),IF(F755="Trap",IFERROR(INDEX('Shooter-Squad Assignment'!$A:$A,MATCH(C755&amp;"-"&amp;E755&amp;"-"&amp;F755&amp;"-Pos4",'Shooter-Squad Assignment'!$W:$W,0)),""),IF(F755="Sporting Clays",IFERROR(INDEX('Shooter-Squad Assignment'!$A:$A,MATCH(C755&amp;"-"&amp;E755&amp;"-"&amp;F755&amp;"-Pos4",'Shooter-Squad Assignment'!$Z:$Z,0)),""),"")))</f>
        <v/>
      </c>
      <c r="N755" s="88" t="str">
        <f>IF(ISBLANK(M755),"",IFERROR(INDEX('Tournament List'!$D:$D,MATCH(M755,'Tournament List'!$A:$A,0)),""))</f>
        <v/>
      </c>
      <c r="O755" s="96" t="str">
        <f>IF(F755="Skeet",IFERROR(INDEX('Shooter-Squad Assignment'!$A:$A,MATCH(C755&amp;"-"&amp;E755&amp;"-"&amp;F755&amp;"-Pos5",'Shooter-Squad Assignment'!$K:$K,0)),""),IF(F755="Trap",IFERROR(INDEX('Shooter-Squad Assignment'!$A:$A,MATCH(C755&amp;"-"&amp;E755&amp;"-"&amp;F755&amp;"-Pos5",'Shooter-Squad Assignment'!$W:$W,0)),""),IF(F755="Sporting Clays",IFERROR(INDEX('Shooter-Squad Assignment'!$A:$A,MATCH(C755&amp;"-"&amp;E755&amp;"-"&amp;F755&amp;"-Pos5",'Shooter-Squad Assignment'!$Z:$Z,0)),""),"")))</f>
        <v/>
      </c>
      <c r="P755" s="89" t="str">
        <f>IF(ISBLANK(O755),"",IFERROR(INDEX('Tournament List'!$D:$D,MATCH(O755,'Tournament List'!$A:$A,0)),""))</f>
        <v/>
      </c>
    </row>
    <row r="756" spans="1:16" x14ac:dyDescent="0.3">
      <c r="A756" s="87">
        <v>755</v>
      </c>
      <c r="B756" s="88" t="str">
        <f>C756&amp;"-"&amp;E756&amp;"-"&amp;F756</f>
        <v>-Open 2-Skeet</v>
      </c>
      <c r="C756" s="88"/>
      <c r="D756" s="88" t="str">
        <f>INDEX('Tournament Setup'!$B$59:$B$78,MATCH(E756,SquadConcurrents,0))</f>
        <v>Open</v>
      </c>
      <c r="E756" s="88" t="s">
        <v>347</v>
      </c>
      <c r="F756" s="88" t="s">
        <v>143</v>
      </c>
      <c r="G756" s="96" t="str">
        <f>IF(F756="Skeet",IFERROR(INDEX('Shooter-Squad Assignment'!$A:$A,MATCH(C756&amp;"-"&amp;E756&amp;"-"&amp;F756&amp;"-Pos1",'Shooter-Squad Assignment'!$K:$K,0)),""),IF(F756="Trap",IFERROR(INDEX('Shooter-Squad Assignment'!$A:$A,MATCH(C756&amp;"-"&amp;E756&amp;"-"&amp;F756&amp;"-Pos1",'Shooter-Squad Assignment'!$W:$W,0)),""),IF(F756="Sporting Clays",IFERROR(INDEX('Shooter-Squad Assignment'!$A:$A,MATCH(C756&amp;"-"&amp;E756&amp;"-"&amp;F756&amp;"-Pos1",'Shooter-Squad Assignment'!$Z:$Z,0)),""),"")))</f>
        <v/>
      </c>
      <c r="H756" s="88" t="str">
        <f>IF(ISBLANK(G756),"",IFERROR(INDEX('Tournament List'!$D:$D,MATCH(G756,'Tournament List'!$A:$A,0)),""))</f>
        <v/>
      </c>
      <c r="I756" s="96" t="str">
        <f>IF(F756="Skeet",IFERROR(INDEX('Shooter-Squad Assignment'!$A:$A,MATCH(C756&amp;"-"&amp;E756&amp;"-"&amp;F756&amp;"-Pos2",'Shooter-Squad Assignment'!$K:$K,0)),""),IF(F756="Trap",IFERROR(INDEX('Shooter-Squad Assignment'!$A:$A,MATCH(C756&amp;"-"&amp;E756&amp;"-"&amp;F756&amp;"-Pos2",'Shooter-Squad Assignment'!$W:$W,0)),""),IF(F756="Sporting Clays",IFERROR(INDEX('Shooter-Squad Assignment'!$A:$A,MATCH(C756&amp;"-"&amp;E756&amp;"-"&amp;F756&amp;"-Pos2",'Shooter-Squad Assignment'!$Z:$Z,0)),""),"")))</f>
        <v/>
      </c>
      <c r="J756" s="88" t="str">
        <f>IF(ISBLANK(I756),"",IFERROR(INDEX('Tournament List'!$D:$D,MATCH(I756,'Tournament List'!$A:$A,0)),""))</f>
        <v/>
      </c>
      <c r="K756" s="96" t="str">
        <f>IF(F756="Skeet",IFERROR(INDEX('Shooter-Squad Assignment'!$A:$A,MATCH(C756&amp;"-"&amp;E756&amp;"-"&amp;F756&amp;"-Pos3",'Shooter-Squad Assignment'!$K:$K,0)),""),IF(F756="Trap",IFERROR(INDEX('Shooter-Squad Assignment'!$A:$A,MATCH(C756&amp;"-"&amp;E756&amp;"-"&amp;F756&amp;"-Pos3",'Shooter-Squad Assignment'!$W:$W,0)),""),IF(F756="Sporting Clays",IFERROR(INDEX('Shooter-Squad Assignment'!$A:$A,MATCH(C756&amp;"-"&amp;E756&amp;"-"&amp;F756&amp;"-Pos3",'Shooter-Squad Assignment'!$Z:$Z,0)),""),"")))</f>
        <v/>
      </c>
      <c r="L756" s="88" t="str">
        <f>IF(ISBLANK(K756),"",IFERROR(INDEX('Tournament List'!$D:$D,MATCH(K756,'Tournament List'!$A:$A,0)),""))</f>
        <v/>
      </c>
      <c r="M756" s="96" t="str">
        <f>IF(F756="Skeet",IFERROR(INDEX('Shooter-Squad Assignment'!$A:$A,MATCH(C756&amp;"-"&amp;E756&amp;"-"&amp;F756&amp;"-Pos4",'Shooter-Squad Assignment'!$K:$K,0)),""),IF(F756="Trap",IFERROR(INDEX('Shooter-Squad Assignment'!$A:$A,MATCH(C756&amp;"-"&amp;E756&amp;"-"&amp;F756&amp;"-Pos4",'Shooter-Squad Assignment'!$W:$W,0)),""),IF(F756="Sporting Clays",IFERROR(INDEX('Shooter-Squad Assignment'!$A:$A,MATCH(C756&amp;"-"&amp;E756&amp;"-"&amp;F756&amp;"-Pos4",'Shooter-Squad Assignment'!$Z:$Z,0)),""),"")))</f>
        <v/>
      </c>
      <c r="N756" s="88" t="str">
        <f>IF(ISBLANK(M756),"",IFERROR(INDEX('Tournament List'!$D:$D,MATCH(M756,'Tournament List'!$A:$A,0)),""))</f>
        <v/>
      </c>
      <c r="O756" s="96" t="str">
        <f>IF(F756="Skeet",IFERROR(INDEX('Shooter-Squad Assignment'!$A:$A,MATCH(C756&amp;"-"&amp;E756&amp;"-"&amp;F756&amp;"-Pos5",'Shooter-Squad Assignment'!$K:$K,0)),""),IF(F756="Trap",IFERROR(INDEX('Shooter-Squad Assignment'!$A:$A,MATCH(C756&amp;"-"&amp;E756&amp;"-"&amp;F756&amp;"-Pos5",'Shooter-Squad Assignment'!$W:$W,0)),""),IF(F756="Sporting Clays",IFERROR(INDEX('Shooter-Squad Assignment'!$A:$A,MATCH(C756&amp;"-"&amp;E756&amp;"-"&amp;F756&amp;"-Pos5",'Shooter-Squad Assignment'!$Z:$Z,0)),""),"")))</f>
        <v/>
      </c>
      <c r="P756" s="89" t="str">
        <f>IF(ISBLANK(O756),"",IFERROR(INDEX('Tournament List'!$D:$D,MATCH(O756,'Tournament List'!$A:$A,0)),""))</f>
        <v/>
      </c>
    </row>
    <row r="757" spans="1:16" x14ac:dyDescent="0.3">
      <c r="A757" s="87">
        <v>756</v>
      </c>
      <c r="B757" s="88" t="str">
        <f>C757&amp;"-"&amp;E757&amp;"-"&amp;F757</f>
        <v>-Open 3-Skeet</v>
      </c>
      <c r="C757" s="88"/>
      <c r="D757" s="88" t="str">
        <f>INDEX('Tournament Setup'!$B$59:$B$78,MATCH(E757,SquadConcurrents,0))</f>
        <v>Open</v>
      </c>
      <c r="E757" s="88" t="s">
        <v>353</v>
      </c>
      <c r="F757" s="88" t="s">
        <v>143</v>
      </c>
      <c r="G757" s="96" t="str">
        <f>IF(F757="Skeet",IFERROR(INDEX('Shooter-Squad Assignment'!$A:$A,MATCH(C757&amp;"-"&amp;E757&amp;"-"&amp;F757&amp;"-Pos1",'Shooter-Squad Assignment'!$K:$K,0)),""),IF(F757="Trap",IFERROR(INDEX('Shooter-Squad Assignment'!$A:$A,MATCH(C757&amp;"-"&amp;E757&amp;"-"&amp;F757&amp;"-Pos1",'Shooter-Squad Assignment'!$W:$W,0)),""),IF(F757="Sporting Clays",IFERROR(INDEX('Shooter-Squad Assignment'!$A:$A,MATCH(C757&amp;"-"&amp;E757&amp;"-"&amp;F757&amp;"-Pos1",'Shooter-Squad Assignment'!$Z:$Z,0)),""),"")))</f>
        <v/>
      </c>
      <c r="H757" s="88" t="str">
        <f>IF(ISBLANK(G757),"",IFERROR(INDEX('Tournament List'!$D:$D,MATCH(G757,'Tournament List'!$A:$A,0)),""))</f>
        <v/>
      </c>
      <c r="I757" s="96" t="str">
        <f>IF(F757="Skeet",IFERROR(INDEX('Shooter-Squad Assignment'!$A:$A,MATCH(C757&amp;"-"&amp;E757&amp;"-"&amp;F757&amp;"-Pos2",'Shooter-Squad Assignment'!$K:$K,0)),""),IF(F757="Trap",IFERROR(INDEX('Shooter-Squad Assignment'!$A:$A,MATCH(C757&amp;"-"&amp;E757&amp;"-"&amp;F757&amp;"-Pos2",'Shooter-Squad Assignment'!$W:$W,0)),""),IF(F757="Sporting Clays",IFERROR(INDEX('Shooter-Squad Assignment'!$A:$A,MATCH(C757&amp;"-"&amp;E757&amp;"-"&amp;F757&amp;"-Pos2",'Shooter-Squad Assignment'!$Z:$Z,0)),""),"")))</f>
        <v/>
      </c>
      <c r="J757" s="88" t="str">
        <f>IF(ISBLANK(I757),"",IFERROR(INDEX('Tournament List'!$D:$D,MATCH(I757,'Tournament List'!$A:$A,0)),""))</f>
        <v/>
      </c>
      <c r="K757" s="96" t="str">
        <f>IF(F757="Skeet",IFERROR(INDEX('Shooter-Squad Assignment'!$A:$A,MATCH(C757&amp;"-"&amp;E757&amp;"-"&amp;F757&amp;"-Pos3",'Shooter-Squad Assignment'!$K:$K,0)),""),IF(F757="Trap",IFERROR(INDEX('Shooter-Squad Assignment'!$A:$A,MATCH(C757&amp;"-"&amp;E757&amp;"-"&amp;F757&amp;"-Pos3",'Shooter-Squad Assignment'!$W:$W,0)),""),IF(F757="Sporting Clays",IFERROR(INDEX('Shooter-Squad Assignment'!$A:$A,MATCH(C757&amp;"-"&amp;E757&amp;"-"&amp;F757&amp;"-Pos3",'Shooter-Squad Assignment'!$Z:$Z,0)),""),"")))</f>
        <v/>
      </c>
      <c r="L757" s="88" t="str">
        <f>IF(ISBLANK(K757),"",IFERROR(INDEX('Tournament List'!$D:$D,MATCH(K757,'Tournament List'!$A:$A,0)),""))</f>
        <v/>
      </c>
      <c r="M757" s="96" t="str">
        <f>IF(F757="Skeet",IFERROR(INDEX('Shooter-Squad Assignment'!$A:$A,MATCH(C757&amp;"-"&amp;E757&amp;"-"&amp;F757&amp;"-Pos4",'Shooter-Squad Assignment'!$K:$K,0)),""),IF(F757="Trap",IFERROR(INDEX('Shooter-Squad Assignment'!$A:$A,MATCH(C757&amp;"-"&amp;E757&amp;"-"&amp;F757&amp;"-Pos4",'Shooter-Squad Assignment'!$W:$W,0)),""),IF(F757="Sporting Clays",IFERROR(INDEX('Shooter-Squad Assignment'!$A:$A,MATCH(C757&amp;"-"&amp;E757&amp;"-"&amp;F757&amp;"-Pos4",'Shooter-Squad Assignment'!$Z:$Z,0)),""),"")))</f>
        <v/>
      </c>
      <c r="N757" s="88" t="str">
        <f>IF(ISBLANK(M757),"",IFERROR(INDEX('Tournament List'!$D:$D,MATCH(M757,'Tournament List'!$A:$A,0)),""))</f>
        <v/>
      </c>
      <c r="O757" s="96" t="str">
        <f>IF(F757="Skeet",IFERROR(INDEX('Shooter-Squad Assignment'!$A:$A,MATCH(C757&amp;"-"&amp;E757&amp;"-"&amp;F757&amp;"-Pos5",'Shooter-Squad Assignment'!$K:$K,0)),""),IF(F757="Trap",IFERROR(INDEX('Shooter-Squad Assignment'!$A:$A,MATCH(C757&amp;"-"&amp;E757&amp;"-"&amp;F757&amp;"-Pos5",'Shooter-Squad Assignment'!$W:$W,0)),""),IF(F757="Sporting Clays",IFERROR(INDEX('Shooter-Squad Assignment'!$A:$A,MATCH(C757&amp;"-"&amp;E757&amp;"-"&amp;F757&amp;"-Pos5",'Shooter-Squad Assignment'!$Z:$Z,0)),""),"")))</f>
        <v/>
      </c>
      <c r="P757" s="89" t="str">
        <f>IF(ISBLANK(O757),"",IFERROR(INDEX('Tournament List'!$D:$D,MATCH(O757,'Tournament List'!$A:$A,0)),""))</f>
        <v/>
      </c>
    </row>
    <row r="758" spans="1:16" x14ac:dyDescent="0.3">
      <c r="A758" s="87">
        <v>757</v>
      </c>
      <c r="B758" s="88" t="str">
        <f>C758&amp;"-"&amp;E758&amp;"-"&amp;F758</f>
        <v>-Unassigned 1-Skeet</v>
      </c>
      <c r="C758" s="88"/>
      <c r="D758" s="88" t="str">
        <f>INDEX('Tournament Setup'!$B$59:$B$78,MATCH(E758,SquadConcurrents,0))</f>
        <v>Unassigned</v>
      </c>
      <c r="E758" s="88" t="s">
        <v>762</v>
      </c>
      <c r="F758" s="88" t="s">
        <v>143</v>
      </c>
      <c r="G758" s="96" t="str">
        <f>IF(F758="Skeet",IFERROR(INDEX('Shooter-Squad Assignment'!$A:$A,MATCH(C758&amp;"-"&amp;E758&amp;"-"&amp;F758&amp;"-Pos1",'Shooter-Squad Assignment'!$K:$K,0)),""),IF(F758="Trap",IFERROR(INDEX('Shooter-Squad Assignment'!$A:$A,MATCH(C758&amp;"-"&amp;E758&amp;"-"&amp;F758&amp;"-Pos1",'Shooter-Squad Assignment'!$W:$W,0)),""),IF(F758="Sporting Clays",IFERROR(INDEX('Shooter-Squad Assignment'!$A:$A,MATCH(C758&amp;"-"&amp;E758&amp;"-"&amp;F758&amp;"-Pos1",'Shooter-Squad Assignment'!$Z:$Z,0)),""),"")))</f>
        <v/>
      </c>
      <c r="H758" s="88" t="str">
        <f>IF(ISBLANK(G758),"",IFERROR(INDEX('Tournament List'!$D:$D,MATCH(G758,'Tournament List'!$A:$A,0)),""))</f>
        <v/>
      </c>
      <c r="I758" s="96" t="str">
        <f>IF(F758="Skeet",IFERROR(INDEX('Shooter-Squad Assignment'!$A:$A,MATCH(C758&amp;"-"&amp;E758&amp;"-"&amp;F758&amp;"-Pos2",'Shooter-Squad Assignment'!$K:$K,0)),""),IF(F758="Trap",IFERROR(INDEX('Shooter-Squad Assignment'!$A:$A,MATCH(C758&amp;"-"&amp;E758&amp;"-"&amp;F758&amp;"-Pos2",'Shooter-Squad Assignment'!$W:$W,0)),""),IF(F758="Sporting Clays",IFERROR(INDEX('Shooter-Squad Assignment'!$A:$A,MATCH(C758&amp;"-"&amp;E758&amp;"-"&amp;F758&amp;"-Pos2",'Shooter-Squad Assignment'!$Z:$Z,0)),""),"")))</f>
        <v/>
      </c>
      <c r="J758" s="88" t="str">
        <f>IF(ISBLANK(I758),"",IFERROR(INDEX('Tournament List'!$D:$D,MATCH(I758,'Tournament List'!$A:$A,0)),""))</f>
        <v/>
      </c>
      <c r="K758" s="96" t="str">
        <f>IF(F758="Skeet",IFERROR(INDEX('Shooter-Squad Assignment'!$A:$A,MATCH(C758&amp;"-"&amp;E758&amp;"-"&amp;F758&amp;"-Pos3",'Shooter-Squad Assignment'!$K:$K,0)),""),IF(F758="Trap",IFERROR(INDEX('Shooter-Squad Assignment'!$A:$A,MATCH(C758&amp;"-"&amp;E758&amp;"-"&amp;F758&amp;"-Pos3",'Shooter-Squad Assignment'!$W:$W,0)),""),IF(F758="Sporting Clays",IFERROR(INDEX('Shooter-Squad Assignment'!$A:$A,MATCH(C758&amp;"-"&amp;E758&amp;"-"&amp;F758&amp;"-Pos3",'Shooter-Squad Assignment'!$Z:$Z,0)),""),"")))</f>
        <v/>
      </c>
      <c r="L758" s="88" t="str">
        <f>IF(ISBLANK(K758),"",IFERROR(INDEX('Tournament List'!$D:$D,MATCH(K758,'Tournament List'!$A:$A,0)),""))</f>
        <v/>
      </c>
      <c r="M758" s="96" t="str">
        <f>IF(F758="Skeet",IFERROR(INDEX('Shooter-Squad Assignment'!$A:$A,MATCH(C758&amp;"-"&amp;E758&amp;"-"&amp;F758&amp;"-Pos4",'Shooter-Squad Assignment'!$K:$K,0)),""),IF(F758="Trap",IFERROR(INDEX('Shooter-Squad Assignment'!$A:$A,MATCH(C758&amp;"-"&amp;E758&amp;"-"&amp;F758&amp;"-Pos4",'Shooter-Squad Assignment'!$W:$W,0)),""),IF(F758="Sporting Clays",IFERROR(INDEX('Shooter-Squad Assignment'!$A:$A,MATCH(C758&amp;"-"&amp;E758&amp;"-"&amp;F758&amp;"-Pos4",'Shooter-Squad Assignment'!$Z:$Z,0)),""),"")))</f>
        <v/>
      </c>
      <c r="N758" s="88" t="str">
        <f>IF(ISBLANK(M758),"",IFERROR(INDEX('Tournament List'!$D:$D,MATCH(M758,'Tournament List'!$A:$A,0)),""))</f>
        <v/>
      </c>
      <c r="O758" s="96" t="str">
        <f>IF(F758="Skeet",IFERROR(INDEX('Shooter-Squad Assignment'!$A:$A,MATCH(C758&amp;"-"&amp;E758&amp;"-"&amp;F758&amp;"-Pos5",'Shooter-Squad Assignment'!$K:$K,0)),""),IF(F758="Trap",IFERROR(INDEX('Shooter-Squad Assignment'!$A:$A,MATCH(C758&amp;"-"&amp;E758&amp;"-"&amp;F758&amp;"-Pos5",'Shooter-Squad Assignment'!$W:$W,0)),""),IF(F758="Sporting Clays",IFERROR(INDEX('Shooter-Squad Assignment'!$A:$A,MATCH(C758&amp;"-"&amp;E758&amp;"-"&amp;F758&amp;"-Pos5",'Shooter-Squad Assignment'!$Z:$Z,0)),""),"")))</f>
        <v/>
      </c>
      <c r="P758" s="89" t="str">
        <f>IF(ISBLANK(O758),"",IFERROR(INDEX('Tournament List'!$D:$D,MATCH(O758,'Tournament List'!$A:$A,0)),""))</f>
        <v/>
      </c>
    </row>
    <row r="759" spans="1:16" x14ac:dyDescent="0.3">
      <c r="A759" s="87">
        <v>758</v>
      </c>
      <c r="B759" s="88" t="str">
        <f>C759&amp;"-"&amp;E759&amp;"-"&amp;F759</f>
        <v>-Varsity 1-Skeet</v>
      </c>
      <c r="C759" s="88"/>
      <c r="D759" s="88" t="str">
        <f>INDEX('Tournament Setup'!$B$59:$B$78,MATCH(E759,SquadConcurrents,0))</f>
        <v>Varsity</v>
      </c>
      <c r="E759" s="88" t="s">
        <v>340</v>
      </c>
      <c r="F759" s="88" t="s">
        <v>143</v>
      </c>
      <c r="G759" s="96" t="str">
        <f>IF(F759="Skeet",IFERROR(INDEX('Shooter-Squad Assignment'!$A:$A,MATCH(C759&amp;"-"&amp;E759&amp;"-"&amp;F759&amp;"-Pos1",'Shooter-Squad Assignment'!$K:$K,0)),""),IF(F759="Trap",IFERROR(INDEX('Shooter-Squad Assignment'!$A:$A,MATCH(C759&amp;"-"&amp;E759&amp;"-"&amp;F759&amp;"-Pos1",'Shooter-Squad Assignment'!$W:$W,0)),""),IF(F759="Sporting Clays",IFERROR(INDEX('Shooter-Squad Assignment'!$A:$A,MATCH(C759&amp;"-"&amp;E759&amp;"-"&amp;F759&amp;"-Pos1",'Shooter-Squad Assignment'!$Z:$Z,0)),""),"")))</f>
        <v/>
      </c>
      <c r="H759" s="88" t="str">
        <f>IF(ISBLANK(G759),"",IFERROR(INDEX('Tournament List'!$D:$D,MATCH(G759,'Tournament List'!$A:$A,0)),""))</f>
        <v/>
      </c>
      <c r="I759" s="96" t="str">
        <f>IF(F759="Skeet",IFERROR(INDEX('Shooter-Squad Assignment'!$A:$A,MATCH(C759&amp;"-"&amp;E759&amp;"-"&amp;F759&amp;"-Pos2",'Shooter-Squad Assignment'!$K:$K,0)),""),IF(F759="Trap",IFERROR(INDEX('Shooter-Squad Assignment'!$A:$A,MATCH(C759&amp;"-"&amp;E759&amp;"-"&amp;F759&amp;"-Pos2",'Shooter-Squad Assignment'!$W:$W,0)),""),IF(F759="Sporting Clays",IFERROR(INDEX('Shooter-Squad Assignment'!$A:$A,MATCH(C759&amp;"-"&amp;E759&amp;"-"&amp;F759&amp;"-Pos2",'Shooter-Squad Assignment'!$Z:$Z,0)),""),"")))</f>
        <v/>
      </c>
      <c r="J759" s="88" t="str">
        <f>IF(ISBLANK(I759),"",IFERROR(INDEX('Tournament List'!$D:$D,MATCH(I759,'Tournament List'!$A:$A,0)),""))</f>
        <v/>
      </c>
      <c r="K759" s="96" t="str">
        <f>IF(F759="Skeet",IFERROR(INDEX('Shooter-Squad Assignment'!$A:$A,MATCH(C759&amp;"-"&amp;E759&amp;"-"&amp;F759&amp;"-Pos3",'Shooter-Squad Assignment'!$K:$K,0)),""),IF(F759="Trap",IFERROR(INDEX('Shooter-Squad Assignment'!$A:$A,MATCH(C759&amp;"-"&amp;E759&amp;"-"&amp;F759&amp;"-Pos3",'Shooter-Squad Assignment'!$W:$W,0)),""),IF(F759="Sporting Clays",IFERROR(INDEX('Shooter-Squad Assignment'!$A:$A,MATCH(C759&amp;"-"&amp;E759&amp;"-"&amp;F759&amp;"-Pos3",'Shooter-Squad Assignment'!$Z:$Z,0)),""),"")))</f>
        <v/>
      </c>
      <c r="L759" s="88" t="str">
        <f>IF(ISBLANK(K759),"",IFERROR(INDEX('Tournament List'!$D:$D,MATCH(K759,'Tournament List'!$A:$A,0)),""))</f>
        <v/>
      </c>
      <c r="M759" s="96" t="str">
        <f>IF(F759="Skeet",IFERROR(INDEX('Shooter-Squad Assignment'!$A:$A,MATCH(C759&amp;"-"&amp;E759&amp;"-"&amp;F759&amp;"-Pos4",'Shooter-Squad Assignment'!$K:$K,0)),""),IF(F759="Trap",IFERROR(INDEX('Shooter-Squad Assignment'!$A:$A,MATCH(C759&amp;"-"&amp;E759&amp;"-"&amp;F759&amp;"-Pos4",'Shooter-Squad Assignment'!$W:$W,0)),""),IF(F759="Sporting Clays",IFERROR(INDEX('Shooter-Squad Assignment'!$A:$A,MATCH(C759&amp;"-"&amp;E759&amp;"-"&amp;F759&amp;"-Pos4",'Shooter-Squad Assignment'!$Z:$Z,0)),""),"")))</f>
        <v/>
      </c>
      <c r="N759" s="88" t="str">
        <f>IF(ISBLANK(M759),"",IFERROR(INDEX('Tournament List'!$D:$D,MATCH(M759,'Tournament List'!$A:$A,0)),""))</f>
        <v/>
      </c>
      <c r="O759" s="96" t="str">
        <f>IF(F759="Skeet",IFERROR(INDEX('Shooter-Squad Assignment'!$A:$A,MATCH(C759&amp;"-"&amp;E759&amp;"-"&amp;F759&amp;"-Pos5",'Shooter-Squad Assignment'!$K:$K,0)),""),IF(F759="Trap",IFERROR(INDEX('Shooter-Squad Assignment'!$A:$A,MATCH(C759&amp;"-"&amp;E759&amp;"-"&amp;F759&amp;"-Pos5",'Shooter-Squad Assignment'!$W:$W,0)),""),IF(F759="Sporting Clays",IFERROR(INDEX('Shooter-Squad Assignment'!$A:$A,MATCH(C759&amp;"-"&amp;E759&amp;"-"&amp;F759&amp;"-Pos5",'Shooter-Squad Assignment'!$Z:$Z,0)),""),"")))</f>
        <v/>
      </c>
      <c r="P759" s="89" t="str">
        <f>IF(ISBLANK(O759),"",IFERROR(INDEX('Tournament List'!$D:$D,MATCH(O759,'Tournament List'!$A:$A,0)),""))</f>
        <v/>
      </c>
    </row>
    <row r="760" spans="1:16" x14ac:dyDescent="0.3">
      <c r="A760" s="87">
        <v>759</v>
      </c>
      <c r="B760" s="88" t="str">
        <f>C760&amp;"-"&amp;E760&amp;"-"&amp;F760</f>
        <v>-Varsity 2-Skeet</v>
      </c>
      <c r="C760" s="88"/>
      <c r="D760" s="88" t="str">
        <f>INDEX('Tournament Setup'!$B$59:$B$78,MATCH(E760,SquadConcurrents,0))</f>
        <v>Varsity</v>
      </c>
      <c r="E760" s="88" t="s">
        <v>346</v>
      </c>
      <c r="F760" s="88" t="s">
        <v>143</v>
      </c>
      <c r="G760" s="96" t="str">
        <f>IF(F760="Skeet",IFERROR(INDEX('Shooter-Squad Assignment'!$A:$A,MATCH(C760&amp;"-"&amp;E760&amp;"-"&amp;F760&amp;"-Pos1",'Shooter-Squad Assignment'!$K:$K,0)),""),IF(F760="Trap",IFERROR(INDEX('Shooter-Squad Assignment'!$A:$A,MATCH(C760&amp;"-"&amp;E760&amp;"-"&amp;F760&amp;"-Pos1",'Shooter-Squad Assignment'!$W:$W,0)),""),IF(F760="Sporting Clays",IFERROR(INDEX('Shooter-Squad Assignment'!$A:$A,MATCH(C760&amp;"-"&amp;E760&amp;"-"&amp;F760&amp;"-Pos1",'Shooter-Squad Assignment'!$Z:$Z,0)),""),"")))</f>
        <v/>
      </c>
      <c r="H760" s="88" t="str">
        <f>IF(ISBLANK(G760),"",IFERROR(INDEX('Tournament List'!$D:$D,MATCH(G760,'Tournament List'!$A:$A,0)),""))</f>
        <v/>
      </c>
      <c r="I760" s="96" t="str">
        <f>IF(F760="Skeet",IFERROR(INDEX('Shooter-Squad Assignment'!$A:$A,MATCH(C760&amp;"-"&amp;E760&amp;"-"&amp;F760&amp;"-Pos2",'Shooter-Squad Assignment'!$K:$K,0)),""),IF(F760="Trap",IFERROR(INDEX('Shooter-Squad Assignment'!$A:$A,MATCH(C760&amp;"-"&amp;E760&amp;"-"&amp;F760&amp;"-Pos2",'Shooter-Squad Assignment'!$W:$W,0)),""),IF(F760="Sporting Clays",IFERROR(INDEX('Shooter-Squad Assignment'!$A:$A,MATCH(C760&amp;"-"&amp;E760&amp;"-"&amp;F760&amp;"-Pos2",'Shooter-Squad Assignment'!$Z:$Z,0)),""),"")))</f>
        <v/>
      </c>
      <c r="J760" s="88" t="str">
        <f>IF(ISBLANK(I760),"",IFERROR(INDEX('Tournament List'!$D:$D,MATCH(I760,'Tournament List'!$A:$A,0)),""))</f>
        <v/>
      </c>
      <c r="K760" s="96" t="str">
        <f>IF(F760="Skeet",IFERROR(INDEX('Shooter-Squad Assignment'!$A:$A,MATCH(C760&amp;"-"&amp;E760&amp;"-"&amp;F760&amp;"-Pos3",'Shooter-Squad Assignment'!$K:$K,0)),""),IF(F760="Trap",IFERROR(INDEX('Shooter-Squad Assignment'!$A:$A,MATCH(C760&amp;"-"&amp;E760&amp;"-"&amp;F760&amp;"-Pos3",'Shooter-Squad Assignment'!$W:$W,0)),""),IF(F760="Sporting Clays",IFERROR(INDEX('Shooter-Squad Assignment'!$A:$A,MATCH(C760&amp;"-"&amp;E760&amp;"-"&amp;F760&amp;"-Pos3",'Shooter-Squad Assignment'!$Z:$Z,0)),""),"")))</f>
        <v/>
      </c>
      <c r="L760" s="88" t="str">
        <f>IF(ISBLANK(K760),"",IFERROR(INDEX('Tournament List'!$D:$D,MATCH(K760,'Tournament List'!$A:$A,0)),""))</f>
        <v/>
      </c>
      <c r="M760" s="96" t="str">
        <f>IF(F760="Skeet",IFERROR(INDEX('Shooter-Squad Assignment'!$A:$A,MATCH(C760&amp;"-"&amp;E760&amp;"-"&amp;F760&amp;"-Pos4",'Shooter-Squad Assignment'!$K:$K,0)),""),IF(F760="Trap",IFERROR(INDEX('Shooter-Squad Assignment'!$A:$A,MATCH(C760&amp;"-"&amp;E760&amp;"-"&amp;F760&amp;"-Pos4",'Shooter-Squad Assignment'!$W:$W,0)),""),IF(F760="Sporting Clays",IFERROR(INDEX('Shooter-Squad Assignment'!$A:$A,MATCH(C760&amp;"-"&amp;E760&amp;"-"&amp;F760&amp;"-Pos4",'Shooter-Squad Assignment'!$Z:$Z,0)),""),"")))</f>
        <v/>
      </c>
      <c r="N760" s="88" t="str">
        <f>IF(ISBLANK(M760),"",IFERROR(INDEX('Tournament List'!$D:$D,MATCH(M760,'Tournament List'!$A:$A,0)),""))</f>
        <v/>
      </c>
      <c r="O760" s="96" t="str">
        <f>IF(F760="Skeet",IFERROR(INDEX('Shooter-Squad Assignment'!$A:$A,MATCH(C760&amp;"-"&amp;E760&amp;"-"&amp;F760&amp;"-Pos5",'Shooter-Squad Assignment'!$K:$K,0)),""),IF(F760="Trap",IFERROR(INDEX('Shooter-Squad Assignment'!$A:$A,MATCH(C760&amp;"-"&amp;E760&amp;"-"&amp;F760&amp;"-Pos5",'Shooter-Squad Assignment'!$W:$W,0)),""),IF(F760="Sporting Clays",IFERROR(INDEX('Shooter-Squad Assignment'!$A:$A,MATCH(C760&amp;"-"&amp;E760&amp;"-"&amp;F760&amp;"-Pos5",'Shooter-Squad Assignment'!$Z:$Z,0)),""),"")))</f>
        <v/>
      </c>
      <c r="P760" s="89" t="str">
        <f>IF(ISBLANK(O760),"",IFERROR(INDEX('Tournament List'!$D:$D,MATCH(O760,'Tournament List'!$A:$A,0)),""))</f>
        <v/>
      </c>
    </row>
    <row r="761" spans="1:16" x14ac:dyDescent="0.3">
      <c r="A761" s="87">
        <v>760</v>
      </c>
      <c r="B761" s="88" t="str">
        <f>C761&amp;"-"&amp;E761&amp;"-"&amp;F761</f>
        <v>-Varsity 3-Skeet</v>
      </c>
      <c r="C761" s="88"/>
      <c r="D761" s="88" t="str">
        <f>INDEX('Tournament Setup'!$B$59:$B$78,MATCH(E761,SquadConcurrents,0))</f>
        <v>Varsity</v>
      </c>
      <c r="E761" s="88" t="s">
        <v>352</v>
      </c>
      <c r="F761" s="88" t="s">
        <v>143</v>
      </c>
      <c r="G761" s="96" t="str">
        <f>IF(F761="Skeet",IFERROR(INDEX('Shooter-Squad Assignment'!$A:$A,MATCH(C761&amp;"-"&amp;E761&amp;"-"&amp;F761&amp;"-Pos1",'Shooter-Squad Assignment'!$K:$K,0)),""),IF(F761="Trap",IFERROR(INDEX('Shooter-Squad Assignment'!$A:$A,MATCH(C761&amp;"-"&amp;E761&amp;"-"&amp;F761&amp;"-Pos1",'Shooter-Squad Assignment'!$W:$W,0)),""),IF(F761="Sporting Clays",IFERROR(INDEX('Shooter-Squad Assignment'!$A:$A,MATCH(C761&amp;"-"&amp;E761&amp;"-"&amp;F761&amp;"-Pos1",'Shooter-Squad Assignment'!$Z:$Z,0)),""),"")))</f>
        <v/>
      </c>
      <c r="H761" s="88" t="str">
        <f>IF(ISBLANK(G761),"",IFERROR(INDEX('Tournament List'!$D:$D,MATCH(G761,'Tournament List'!$A:$A,0)),""))</f>
        <v/>
      </c>
      <c r="I761" s="96" t="str">
        <f>IF(F761="Skeet",IFERROR(INDEX('Shooter-Squad Assignment'!$A:$A,MATCH(C761&amp;"-"&amp;E761&amp;"-"&amp;F761&amp;"-Pos2",'Shooter-Squad Assignment'!$K:$K,0)),""),IF(F761="Trap",IFERROR(INDEX('Shooter-Squad Assignment'!$A:$A,MATCH(C761&amp;"-"&amp;E761&amp;"-"&amp;F761&amp;"-Pos2",'Shooter-Squad Assignment'!$W:$W,0)),""),IF(F761="Sporting Clays",IFERROR(INDEX('Shooter-Squad Assignment'!$A:$A,MATCH(C761&amp;"-"&amp;E761&amp;"-"&amp;F761&amp;"-Pos2",'Shooter-Squad Assignment'!$Z:$Z,0)),""),"")))</f>
        <v/>
      </c>
      <c r="J761" s="88" t="str">
        <f>IF(ISBLANK(I761),"",IFERROR(INDEX('Tournament List'!$D:$D,MATCH(I761,'Tournament List'!$A:$A,0)),""))</f>
        <v/>
      </c>
      <c r="K761" s="96" t="str">
        <f>IF(F761="Skeet",IFERROR(INDEX('Shooter-Squad Assignment'!$A:$A,MATCH(C761&amp;"-"&amp;E761&amp;"-"&amp;F761&amp;"-Pos3",'Shooter-Squad Assignment'!$K:$K,0)),""),IF(F761="Trap",IFERROR(INDEX('Shooter-Squad Assignment'!$A:$A,MATCH(C761&amp;"-"&amp;E761&amp;"-"&amp;F761&amp;"-Pos3",'Shooter-Squad Assignment'!$W:$W,0)),""),IF(F761="Sporting Clays",IFERROR(INDEX('Shooter-Squad Assignment'!$A:$A,MATCH(C761&amp;"-"&amp;E761&amp;"-"&amp;F761&amp;"-Pos3",'Shooter-Squad Assignment'!$Z:$Z,0)),""),"")))</f>
        <v/>
      </c>
      <c r="L761" s="88" t="str">
        <f>IF(ISBLANK(K761),"",IFERROR(INDEX('Tournament List'!$D:$D,MATCH(K761,'Tournament List'!$A:$A,0)),""))</f>
        <v/>
      </c>
      <c r="M761" s="96" t="str">
        <f>IF(F761="Skeet",IFERROR(INDEX('Shooter-Squad Assignment'!$A:$A,MATCH(C761&amp;"-"&amp;E761&amp;"-"&amp;F761&amp;"-Pos4",'Shooter-Squad Assignment'!$K:$K,0)),""),IF(F761="Trap",IFERROR(INDEX('Shooter-Squad Assignment'!$A:$A,MATCH(C761&amp;"-"&amp;E761&amp;"-"&amp;F761&amp;"-Pos4",'Shooter-Squad Assignment'!$W:$W,0)),""),IF(F761="Sporting Clays",IFERROR(INDEX('Shooter-Squad Assignment'!$A:$A,MATCH(C761&amp;"-"&amp;E761&amp;"-"&amp;F761&amp;"-Pos4",'Shooter-Squad Assignment'!$Z:$Z,0)),""),"")))</f>
        <v/>
      </c>
      <c r="N761" s="88" t="str">
        <f>IF(ISBLANK(M761),"",IFERROR(INDEX('Tournament List'!$D:$D,MATCH(M761,'Tournament List'!$A:$A,0)),""))</f>
        <v/>
      </c>
      <c r="O761" s="96" t="str">
        <f>IF(F761="Skeet",IFERROR(INDEX('Shooter-Squad Assignment'!$A:$A,MATCH(C761&amp;"-"&amp;E761&amp;"-"&amp;F761&amp;"-Pos5",'Shooter-Squad Assignment'!$K:$K,0)),""),IF(F761="Trap",IFERROR(INDEX('Shooter-Squad Assignment'!$A:$A,MATCH(C761&amp;"-"&amp;E761&amp;"-"&amp;F761&amp;"-Pos5",'Shooter-Squad Assignment'!$W:$W,0)),""),IF(F761="Sporting Clays",IFERROR(INDEX('Shooter-Squad Assignment'!$A:$A,MATCH(C761&amp;"-"&amp;E761&amp;"-"&amp;F761&amp;"-Pos5",'Shooter-Squad Assignment'!$Z:$Z,0)),""),"")))</f>
        <v/>
      </c>
      <c r="P761" s="89" t="str">
        <f>IF(ISBLANK(O761),"",IFERROR(INDEX('Tournament List'!$D:$D,MATCH(O761,'Tournament List'!$A:$A,0)),""))</f>
        <v/>
      </c>
    </row>
    <row r="762" spans="1:16" x14ac:dyDescent="0.3">
      <c r="A762" s="87">
        <v>761</v>
      </c>
      <c r="B762" s="88" t="str">
        <f>C762&amp;"-"&amp;E762&amp;"-"&amp;F762</f>
        <v>-Collegiate 1-Sporting Clays</v>
      </c>
      <c r="C762" s="88"/>
      <c r="D762" s="88" t="str">
        <f>INDEX('Tournament Setup'!$B$59:$B$78,MATCH(E762,SquadConcurrents,0))</f>
        <v>Collegiate</v>
      </c>
      <c r="E762" s="88" t="s">
        <v>342</v>
      </c>
      <c r="F762" s="88" t="s">
        <v>148</v>
      </c>
      <c r="G762" s="96" t="str">
        <f>IF(F762="Skeet",IFERROR(INDEX('Shooter-Squad Assignment'!$A:$A,MATCH(C762&amp;"-"&amp;E762&amp;"-"&amp;F762&amp;"-Pos1",'Shooter-Squad Assignment'!$K:$K,0)),""),IF(F762="Trap",IFERROR(INDEX('Shooter-Squad Assignment'!$A:$A,MATCH(C762&amp;"-"&amp;E762&amp;"-"&amp;F762&amp;"-Pos1",'Shooter-Squad Assignment'!$W:$W,0)),""),IF(F762="Sporting Clays",IFERROR(INDEX('Shooter-Squad Assignment'!$A:$A,MATCH(C762&amp;"-"&amp;E762&amp;"-"&amp;F762&amp;"-Pos1",'Shooter-Squad Assignment'!$Z:$Z,0)),""),"")))</f>
        <v/>
      </c>
      <c r="H762" s="88" t="str">
        <f>IF(ISBLANK(G762),"",IFERROR(INDEX('Tournament List'!$D:$D,MATCH(G762,'Tournament List'!$A:$A,0)),""))</f>
        <v/>
      </c>
      <c r="I762" s="96" t="str">
        <f>IF(F762="Skeet",IFERROR(INDEX('Shooter-Squad Assignment'!$A:$A,MATCH(C762&amp;"-"&amp;E762&amp;"-"&amp;F762&amp;"-Pos2",'Shooter-Squad Assignment'!$K:$K,0)),""),IF(F762="Trap",IFERROR(INDEX('Shooter-Squad Assignment'!$A:$A,MATCH(C762&amp;"-"&amp;E762&amp;"-"&amp;F762&amp;"-Pos2",'Shooter-Squad Assignment'!$W:$W,0)),""),IF(F762="Sporting Clays",IFERROR(INDEX('Shooter-Squad Assignment'!$A:$A,MATCH(C762&amp;"-"&amp;E762&amp;"-"&amp;F762&amp;"-Pos2",'Shooter-Squad Assignment'!$Z:$Z,0)),""),"")))</f>
        <v/>
      </c>
      <c r="J762" s="88" t="str">
        <f>IF(ISBLANK(I762),"",IFERROR(INDEX('Tournament List'!$D:$D,MATCH(I762,'Tournament List'!$A:$A,0)),""))</f>
        <v/>
      </c>
      <c r="K762" s="96" t="str">
        <f>IF(F762="Skeet",IFERROR(INDEX('Shooter-Squad Assignment'!$A:$A,MATCH(C762&amp;"-"&amp;E762&amp;"-"&amp;F762&amp;"-Pos3",'Shooter-Squad Assignment'!$K:$K,0)),""),IF(F762="Trap",IFERROR(INDEX('Shooter-Squad Assignment'!$A:$A,MATCH(C762&amp;"-"&amp;E762&amp;"-"&amp;F762&amp;"-Pos3",'Shooter-Squad Assignment'!$W:$W,0)),""),IF(F762="Sporting Clays",IFERROR(INDEX('Shooter-Squad Assignment'!$A:$A,MATCH(C762&amp;"-"&amp;E762&amp;"-"&amp;F762&amp;"-Pos3",'Shooter-Squad Assignment'!$Z:$Z,0)),""),"")))</f>
        <v/>
      </c>
      <c r="L762" s="88" t="str">
        <f>IF(ISBLANK(K762),"",IFERROR(INDEX('Tournament List'!$D:$D,MATCH(K762,'Tournament List'!$A:$A,0)),""))</f>
        <v/>
      </c>
      <c r="M762" s="96" t="str">
        <f>IF(F762="Skeet",IFERROR(INDEX('Shooter-Squad Assignment'!$A:$A,MATCH(C762&amp;"-"&amp;E762&amp;"-"&amp;F762&amp;"-Pos4",'Shooter-Squad Assignment'!$K:$K,0)),""),IF(F762="Trap",IFERROR(INDEX('Shooter-Squad Assignment'!$A:$A,MATCH(C762&amp;"-"&amp;E762&amp;"-"&amp;F762&amp;"-Pos4",'Shooter-Squad Assignment'!$W:$W,0)),""),IF(F762="Sporting Clays",IFERROR(INDEX('Shooter-Squad Assignment'!$A:$A,MATCH(C762&amp;"-"&amp;E762&amp;"-"&amp;F762&amp;"-Pos4",'Shooter-Squad Assignment'!$Z:$Z,0)),""),"")))</f>
        <v/>
      </c>
      <c r="N762" s="88" t="str">
        <f>IF(ISBLANK(M762),"",IFERROR(INDEX('Tournament List'!$D:$D,MATCH(M762,'Tournament List'!$A:$A,0)),""))</f>
        <v/>
      </c>
      <c r="O762" s="96" t="str">
        <f>IF(F762="Skeet",IFERROR(INDEX('Shooter-Squad Assignment'!$A:$A,MATCH(C762&amp;"-"&amp;E762&amp;"-"&amp;F762&amp;"-Pos5",'Shooter-Squad Assignment'!$K:$K,0)),""),IF(F762="Trap",IFERROR(INDEX('Shooter-Squad Assignment'!$A:$A,MATCH(C762&amp;"-"&amp;E762&amp;"-"&amp;F762&amp;"-Pos5",'Shooter-Squad Assignment'!$W:$W,0)),""),IF(F762="Sporting Clays",IFERROR(INDEX('Shooter-Squad Assignment'!$A:$A,MATCH(C762&amp;"-"&amp;E762&amp;"-"&amp;F762&amp;"-Pos5",'Shooter-Squad Assignment'!$Z:$Z,0)),""),"")))</f>
        <v/>
      </c>
      <c r="P762" s="89" t="str">
        <f>IF(ISBLANK(O762),"",IFERROR(INDEX('Tournament List'!$D:$D,MATCH(O762,'Tournament List'!$A:$A,0)),""))</f>
        <v/>
      </c>
    </row>
    <row r="763" spans="1:16" x14ac:dyDescent="0.3">
      <c r="A763" s="87">
        <v>762</v>
      </c>
      <c r="B763" s="88" t="str">
        <f>C763&amp;"-"&amp;E763&amp;"-"&amp;F763</f>
        <v>-Collegiate 2-Sporting Clays</v>
      </c>
      <c r="C763" s="88"/>
      <c r="D763" s="88" t="str">
        <f>INDEX('Tournament Setup'!$B$59:$B$78,MATCH(E763,SquadConcurrents,0))</f>
        <v>Collegiate</v>
      </c>
      <c r="E763" s="88" t="s">
        <v>348</v>
      </c>
      <c r="F763" s="88" t="s">
        <v>148</v>
      </c>
      <c r="G763" s="96" t="str">
        <f>IF(F763="Skeet",IFERROR(INDEX('Shooter-Squad Assignment'!$A:$A,MATCH(C763&amp;"-"&amp;E763&amp;"-"&amp;F763&amp;"-Pos1",'Shooter-Squad Assignment'!$K:$K,0)),""),IF(F763="Trap",IFERROR(INDEX('Shooter-Squad Assignment'!$A:$A,MATCH(C763&amp;"-"&amp;E763&amp;"-"&amp;F763&amp;"-Pos1",'Shooter-Squad Assignment'!$W:$W,0)),""),IF(F763="Sporting Clays",IFERROR(INDEX('Shooter-Squad Assignment'!$A:$A,MATCH(C763&amp;"-"&amp;E763&amp;"-"&amp;F763&amp;"-Pos1",'Shooter-Squad Assignment'!$Z:$Z,0)),""),"")))</f>
        <v/>
      </c>
      <c r="H763" s="88" t="str">
        <f>IF(ISBLANK(G763),"",IFERROR(INDEX('Tournament List'!$D:$D,MATCH(G763,'Tournament List'!$A:$A,0)),""))</f>
        <v/>
      </c>
      <c r="I763" s="96" t="str">
        <f>IF(F763="Skeet",IFERROR(INDEX('Shooter-Squad Assignment'!$A:$A,MATCH(C763&amp;"-"&amp;E763&amp;"-"&amp;F763&amp;"-Pos2",'Shooter-Squad Assignment'!$K:$K,0)),""),IF(F763="Trap",IFERROR(INDEX('Shooter-Squad Assignment'!$A:$A,MATCH(C763&amp;"-"&amp;E763&amp;"-"&amp;F763&amp;"-Pos2",'Shooter-Squad Assignment'!$W:$W,0)),""),IF(F763="Sporting Clays",IFERROR(INDEX('Shooter-Squad Assignment'!$A:$A,MATCH(C763&amp;"-"&amp;E763&amp;"-"&amp;F763&amp;"-Pos2",'Shooter-Squad Assignment'!$Z:$Z,0)),""),"")))</f>
        <v/>
      </c>
      <c r="J763" s="88" t="str">
        <f>IF(ISBLANK(I763),"",IFERROR(INDEX('Tournament List'!$D:$D,MATCH(I763,'Tournament List'!$A:$A,0)),""))</f>
        <v/>
      </c>
      <c r="K763" s="96" t="str">
        <f>IF(F763="Skeet",IFERROR(INDEX('Shooter-Squad Assignment'!$A:$A,MATCH(C763&amp;"-"&amp;E763&amp;"-"&amp;F763&amp;"-Pos3",'Shooter-Squad Assignment'!$K:$K,0)),""),IF(F763="Trap",IFERROR(INDEX('Shooter-Squad Assignment'!$A:$A,MATCH(C763&amp;"-"&amp;E763&amp;"-"&amp;F763&amp;"-Pos3",'Shooter-Squad Assignment'!$W:$W,0)),""),IF(F763="Sporting Clays",IFERROR(INDEX('Shooter-Squad Assignment'!$A:$A,MATCH(C763&amp;"-"&amp;E763&amp;"-"&amp;F763&amp;"-Pos3",'Shooter-Squad Assignment'!$Z:$Z,0)),""),"")))</f>
        <v/>
      </c>
      <c r="L763" s="88" t="str">
        <f>IF(ISBLANK(K763),"",IFERROR(INDEX('Tournament List'!$D:$D,MATCH(K763,'Tournament List'!$A:$A,0)),""))</f>
        <v/>
      </c>
      <c r="M763" s="96" t="str">
        <f>IF(F763="Skeet",IFERROR(INDEX('Shooter-Squad Assignment'!$A:$A,MATCH(C763&amp;"-"&amp;E763&amp;"-"&amp;F763&amp;"-Pos4",'Shooter-Squad Assignment'!$K:$K,0)),""),IF(F763="Trap",IFERROR(INDEX('Shooter-Squad Assignment'!$A:$A,MATCH(C763&amp;"-"&amp;E763&amp;"-"&amp;F763&amp;"-Pos4",'Shooter-Squad Assignment'!$W:$W,0)),""),IF(F763="Sporting Clays",IFERROR(INDEX('Shooter-Squad Assignment'!$A:$A,MATCH(C763&amp;"-"&amp;E763&amp;"-"&amp;F763&amp;"-Pos4",'Shooter-Squad Assignment'!$Z:$Z,0)),""),"")))</f>
        <v/>
      </c>
      <c r="N763" s="88" t="str">
        <f>IF(ISBLANK(M763),"",IFERROR(INDEX('Tournament List'!$D:$D,MATCH(M763,'Tournament List'!$A:$A,0)),""))</f>
        <v/>
      </c>
      <c r="O763" s="96" t="str">
        <f>IF(F763="Skeet",IFERROR(INDEX('Shooter-Squad Assignment'!$A:$A,MATCH(C763&amp;"-"&amp;E763&amp;"-"&amp;F763&amp;"-Pos5",'Shooter-Squad Assignment'!$K:$K,0)),""),IF(F763="Trap",IFERROR(INDEX('Shooter-Squad Assignment'!$A:$A,MATCH(C763&amp;"-"&amp;E763&amp;"-"&amp;F763&amp;"-Pos5",'Shooter-Squad Assignment'!$W:$W,0)),""),IF(F763="Sporting Clays",IFERROR(INDEX('Shooter-Squad Assignment'!$A:$A,MATCH(C763&amp;"-"&amp;E763&amp;"-"&amp;F763&amp;"-Pos5",'Shooter-Squad Assignment'!$Z:$Z,0)),""),"")))</f>
        <v/>
      </c>
      <c r="P763" s="89" t="str">
        <f>IF(ISBLANK(O763),"",IFERROR(INDEX('Tournament List'!$D:$D,MATCH(O763,'Tournament List'!$A:$A,0)),""))</f>
        <v/>
      </c>
    </row>
    <row r="764" spans="1:16" x14ac:dyDescent="0.3">
      <c r="A764" s="87">
        <v>763</v>
      </c>
      <c r="B764" s="88" t="str">
        <f>C764&amp;"-"&amp;E764&amp;"-"&amp;F764</f>
        <v>-Collegiate 3-Sporting Clays</v>
      </c>
      <c r="C764" s="88"/>
      <c r="D764" s="88" t="str">
        <f>INDEX('Tournament Setup'!$B$59:$B$78,MATCH(E764,SquadConcurrents,0))</f>
        <v>Collegiate</v>
      </c>
      <c r="E764" s="88" t="s">
        <v>354</v>
      </c>
      <c r="F764" s="88" t="s">
        <v>148</v>
      </c>
      <c r="G764" s="96" t="str">
        <f>IF(F764="Skeet",IFERROR(INDEX('Shooter-Squad Assignment'!$A:$A,MATCH(C764&amp;"-"&amp;E764&amp;"-"&amp;F764&amp;"-Pos1",'Shooter-Squad Assignment'!$K:$K,0)),""),IF(F764="Trap",IFERROR(INDEX('Shooter-Squad Assignment'!$A:$A,MATCH(C764&amp;"-"&amp;E764&amp;"-"&amp;F764&amp;"-Pos1",'Shooter-Squad Assignment'!$W:$W,0)),""),IF(F764="Sporting Clays",IFERROR(INDEX('Shooter-Squad Assignment'!$A:$A,MATCH(C764&amp;"-"&amp;E764&amp;"-"&amp;F764&amp;"-Pos1",'Shooter-Squad Assignment'!$Z:$Z,0)),""),"")))</f>
        <v/>
      </c>
      <c r="H764" s="88" t="str">
        <f>IF(ISBLANK(G764),"",IFERROR(INDEX('Tournament List'!$D:$D,MATCH(G764,'Tournament List'!$A:$A,0)),""))</f>
        <v/>
      </c>
      <c r="I764" s="96" t="str">
        <f>IF(F764="Skeet",IFERROR(INDEX('Shooter-Squad Assignment'!$A:$A,MATCH(C764&amp;"-"&amp;E764&amp;"-"&amp;F764&amp;"-Pos2",'Shooter-Squad Assignment'!$K:$K,0)),""),IF(F764="Trap",IFERROR(INDEX('Shooter-Squad Assignment'!$A:$A,MATCH(C764&amp;"-"&amp;E764&amp;"-"&amp;F764&amp;"-Pos2",'Shooter-Squad Assignment'!$W:$W,0)),""),IF(F764="Sporting Clays",IFERROR(INDEX('Shooter-Squad Assignment'!$A:$A,MATCH(C764&amp;"-"&amp;E764&amp;"-"&amp;F764&amp;"-Pos2",'Shooter-Squad Assignment'!$Z:$Z,0)),""),"")))</f>
        <v/>
      </c>
      <c r="J764" s="88" t="str">
        <f>IF(ISBLANK(I764),"",IFERROR(INDEX('Tournament List'!$D:$D,MATCH(I764,'Tournament List'!$A:$A,0)),""))</f>
        <v/>
      </c>
      <c r="K764" s="96" t="str">
        <f>IF(F764="Skeet",IFERROR(INDEX('Shooter-Squad Assignment'!$A:$A,MATCH(C764&amp;"-"&amp;E764&amp;"-"&amp;F764&amp;"-Pos3",'Shooter-Squad Assignment'!$K:$K,0)),""),IF(F764="Trap",IFERROR(INDEX('Shooter-Squad Assignment'!$A:$A,MATCH(C764&amp;"-"&amp;E764&amp;"-"&amp;F764&amp;"-Pos3",'Shooter-Squad Assignment'!$W:$W,0)),""),IF(F764="Sporting Clays",IFERROR(INDEX('Shooter-Squad Assignment'!$A:$A,MATCH(C764&amp;"-"&amp;E764&amp;"-"&amp;F764&amp;"-Pos3",'Shooter-Squad Assignment'!$Z:$Z,0)),""),"")))</f>
        <v/>
      </c>
      <c r="L764" s="88" t="str">
        <f>IF(ISBLANK(K764),"",IFERROR(INDEX('Tournament List'!$D:$D,MATCH(K764,'Tournament List'!$A:$A,0)),""))</f>
        <v/>
      </c>
      <c r="M764" s="96" t="str">
        <f>IF(F764="Skeet",IFERROR(INDEX('Shooter-Squad Assignment'!$A:$A,MATCH(C764&amp;"-"&amp;E764&amp;"-"&amp;F764&amp;"-Pos4",'Shooter-Squad Assignment'!$K:$K,0)),""),IF(F764="Trap",IFERROR(INDEX('Shooter-Squad Assignment'!$A:$A,MATCH(C764&amp;"-"&amp;E764&amp;"-"&amp;F764&amp;"-Pos4",'Shooter-Squad Assignment'!$W:$W,0)),""),IF(F764="Sporting Clays",IFERROR(INDEX('Shooter-Squad Assignment'!$A:$A,MATCH(C764&amp;"-"&amp;E764&amp;"-"&amp;F764&amp;"-Pos4",'Shooter-Squad Assignment'!$Z:$Z,0)),""),"")))</f>
        <v/>
      </c>
      <c r="N764" s="88" t="str">
        <f>IF(ISBLANK(M764),"",IFERROR(INDEX('Tournament List'!$D:$D,MATCH(M764,'Tournament List'!$A:$A,0)),""))</f>
        <v/>
      </c>
      <c r="O764" s="96" t="str">
        <f>IF(F764="Skeet",IFERROR(INDEX('Shooter-Squad Assignment'!$A:$A,MATCH(C764&amp;"-"&amp;E764&amp;"-"&amp;F764&amp;"-Pos5",'Shooter-Squad Assignment'!$K:$K,0)),""),IF(F764="Trap",IFERROR(INDEX('Shooter-Squad Assignment'!$A:$A,MATCH(C764&amp;"-"&amp;E764&amp;"-"&amp;F764&amp;"-Pos5",'Shooter-Squad Assignment'!$W:$W,0)),""),IF(F764="Sporting Clays",IFERROR(INDEX('Shooter-Squad Assignment'!$A:$A,MATCH(C764&amp;"-"&amp;E764&amp;"-"&amp;F764&amp;"-Pos5",'Shooter-Squad Assignment'!$Z:$Z,0)),""),"")))</f>
        <v/>
      </c>
      <c r="P764" s="89" t="str">
        <f>IF(ISBLANK(O764),"",IFERROR(INDEX('Tournament List'!$D:$D,MATCH(O764,'Tournament List'!$A:$A,0)),""))</f>
        <v/>
      </c>
    </row>
    <row r="765" spans="1:16" x14ac:dyDescent="0.3">
      <c r="A765" s="87">
        <v>764</v>
      </c>
      <c r="B765" s="88" t="str">
        <f>C765&amp;"-"&amp;E765&amp;"-"&amp;F765</f>
        <v>-Intermediate 1-Sporting Clays</v>
      </c>
      <c r="C765" s="88"/>
      <c r="D765" s="88" t="str">
        <f>INDEX('Tournament Setup'!$B$59:$B$78,MATCH(E765,SquadConcurrents,0))</f>
        <v>Intermediate</v>
      </c>
      <c r="E765" s="88" t="s">
        <v>338</v>
      </c>
      <c r="F765" s="88" t="s">
        <v>148</v>
      </c>
      <c r="G765" s="96" t="str">
        <f>IF(F765="Skeet",IFERROR(INDEX('Shooter-Squad Assignment'!$A:$A,MATCH(C765&amp;"-"&amp;E765&amp;"-"&amp;F765&amp;"-Pos1",'Shooter-Squad Assignment'!$K:$K,0)),""),IF(F765="Trap",IFERROR(INDEX('Shooter-Squad Assignment'!$A:$A,MATCH(C765&amp;"-"&amp;E765&amp;"-"&amp;F765&amp;"-Pos1",'Shooter-Squad Assignment'!$W:$W,0)),""),IF(F765="Sporting Clays",IFERROR(INDEX('Shooter-Squad Assignment'!$A:$A,MATCH(C765&amp;"-"&amp;E765&amp;"-"&amp;F765&amp;"-Pos1",'Shooter-Squad Assignment'!$Z:$Z,0)),""),"")))</f>
        <v/>
      </c>
      <c r="H765" s="88" t="str">
        <f>IF(ISBLANK(G765),"",IFERROR(INDEX('Tournament List'!$D:$D,MATCH(G765,'Tournament List'!$A:$A,0)),""))</f>
        <v/>
      </c>
      <c r="I765" s="96" t="str">
        <f>IF(F765="Skeet",IFERROR(INDEX('Shooter-Squad Assignment'!$A:$A,MATCH(C765&amp;"-"&amp;E765&amp;"-"&amp;F765&amp;"-Pos2",'Shooter-Squad Assignment'!$K:$K,0)),""),IF(F765="Trap",IFERROR(INDEX('Shooter-Squad Assignment'!$A:$A,MATCH(C765&amp;"-"&amp;E765&amp;"-"&amp;F765&amp;"-Pos2",'Shooter-Squad Assignment'!$W:$W,0)),""),IF(F765="Sporting Clays",IFERROR(INDEX('Shooter-Squad Assignment'!$A:$A,MATCH(C765&amp;"-"&amp;E765&amp;"-"&amp;F765&amp;"-Pos2",'Shooter-Squad Assignment'!$Z:$Z,0)),""),"")))</f>
        <v/>
      </c>
      <c r="J765" s="88" t="str">
        <f>IF(ISBLANK(I765),"",IFERROR(INDEX('Tournament List'!$D:$D,MATCH(I765,'Tournament List'!$A:$A,0)),""))</f>
        <v/>
      </c>
      <c r="K765" s="96" t="str">
        <f>IF(F765="Skeet",IFERROR(INDEX('Shooter-Squad Assignment'!$A:$A,MATCH(C765&amp;"-"&amp;E765&amp;"-"&amp;F765&amp;"-Pos3",'Shooter-Squad Assignment'!$K:$K,0)),""),IF(F765="Trap",IFERROR(INDEX('Shooter-Squad Assignment'!$A:$A,MATCH(C765&amp;"-"&amp;E765&amp;"-"&amp;F765&amp;"-Pos3",'Shooter-Squad Assignment'!$W:$W,0)),""),IF(F765="Sporting Clays",IFERROR(INDEX('Shooter-Squad Assignment'!$A:$A,MATCH(C765&amp;"-"&amp;E765&amp;"-"&amp;F765&amp;"-Pos3",'Shooter-Squad Assignment'!$Z:$Z,0)),""),"")))</f>
        <v/>
      </c>
      <c r="L765" s="88" t="str">
        <f>IF(ISBLANK(K765),"",IFERROR(INDEX('Tournament List'!$D:$D,MATCH(K765,'Tournament List'!$A:$A,0)),""))</f>
        <v/>
      </c>
      <c r="M765" s="96" t="str">
        <f>IF(F765="Skeet",IFERROR(INDEX('Shooter-Squad Assignment'!$A:$A,MATCH(C765&amp;"-"&amp;E765&amp;"-"&amp;F765&amp;"-Pos4",'Shooter-Squad Assignment'!$K:$K,0)),""),IF(F765="Trap",IFERROR(INDEX('Shooter-Squad Assignment'!$A:$A,MATCH(C765&amp;"-"&amp;E765&amp;"-"&amp;F765&amp;"-Pos4",'Shooter-Squad Assignment'!$W:$W,0)),""),IF(F765="Sporting Clays",IFERROR(INDEX('Shooter-Squad Assignment'!$A:$A,MATCH(C765&amp;"-"&amp;E765&amp;"-"&amp;F765&amp;"-Pos4",'Shooter-Squad Assignment'!$Z:$Z,0)),""),"")))</f>
        <v/>
      </c>
      <c r="N765" s="88" t="str">
        <f>IF(ISBLANK(M765),"",IFERROR(INDEX('Tournament List'!$D:$D,MATCH(M765,'Tournament List'!$A:$A,0)),""))</f>
        <v/>
      </c>
      <c r="O765" s="96" t="str">
        <f>IF(F765="Skeet",IFERROR(INDEX('Shooter-Squad Assignment'!$A:$A,MATCH(C765&amp;"-"&amp;E765&amp;"-"&amp;F765&amp;"-Pos5",'Shooter-Squad Assignment'!$K:$K,0)),""),IF(F765="Trap",IFERROR(INDEX('Shooter-Squad Assignment'!$A:$A,MATCH(C765&amp;"-"&amp;E765&amp;"-"&amp;F765&amp;"-Pos5",'Shooter-Squad Assignment'!$W:$W,0)),""),IF(F765="Sporting Clays",IFERROR(INDEX('Shooter-Squad Assignment'!$A:$A,MATCH(C765&amp;"-"&amp;E765&amp;"-"&amp;F765&amp;"-Pos5",'Shooter-Squad Assignment'!$Z:$Z,0)),""),"")))</f>
        <v/>
      </c>
      <c r="P765" s="89" t="str">
        <f>IF(ISBLANK(O765),"",IFERROR(INDEX('Tournament List'!$D:$D,MATCH(O765,'Tournament List'!$A:$A,0)),""))</f>
        <v/>
      </c>
    </row>
    <row r="766" spans="1:16" x14ac:dyDescent="0.3">
      <c r="A766" s="87">
        <v>765</v>
      </c>
      <c r="B766" s="88" t="str">
        <f>C766&amp;"-"&amp;E766&amp;"-"&amp;F766</f>
        <v>-Intermediate 2-Sporting Clays</v>
      </c>
      <c r="C766" s="88"/>
      <c r="D766" s="88" t="str">
        <f>INDEX('Tournament Setup'!$B$59:$B$78,MATCH(E766,SquadConcurrents,0))</f>
        <v>Intermediate</v>
      </c>
      <c r="E766" s="88" t="s">
        <v>344</v>
      </c>
      <c r="F766" s="88" t="s">
        <v>148</v>
      </c>
      <c r="G766" s="96" t="str">
        <f>IF(F766="Skeet",IFERROR(INDEX('Shooter-Squad Assignment'!$A:$A,MATCH(C766&amp;"-"&amp;E766&amp;"-"&amp;F766&amp;"-Pos1",'Shooter-Squad Assignment'!$K:$K,0)),""),IF(F766="Trap",IFERROR(INDEX('Shooter-Squad Assignment'!$A:$A,MATCH(C766&amp;"-"&amp;E766&amp;"-"&amp;F766&amp;"-Pos1",'Shooter-Squad Assignment'!$W:$W,0)),""),IF(F766="Sporting Clays",IFERROR(INDEX('Shooter-Squad Assignment'!$A:$A,MATCH(C766&amp;"-"&amp;E766&amp;"-"&amp;F766&amp;"-Pos1",'Shooter-Squad Assignment'!$Z:$Z,0)),""),"")))</f>
        <v/>
      </c>
      <c r="H766" s="88" t="str">
        <f>IF(ISBLANK(G766),"",IFERROR(INDEX('Tournament List'!$D:$D,MATCH(G766,'Tournament List'!$A:$A,0)),""))</f>
        <v/>
      </c>
      <c r="I766" s="96" t="str">
        <f>IF(F766="Skeet",IFERROR(INDEX('Shooter-Squad Assignment'!$A:$A,MATCH(C766&amp;"-"&amp;E766&amp;"-"&amp;F766&amp;"-Pos2",'Shooter-Squad Assignment'!$K:$K,0)),""),IF(F766="Trap",IFERROR(INDEX('Shooter-Squad Assignment'!$A:$A,MATCH(C766&amp;"-"&amp;E766&amp;"-"&amp;F766&amp;"-Pos2",'Shooter-Squad Assignment'!$W:$W,0)),""),IF(F766="Sporting Clays",IFERROR(INDEX('Shooter-Squad Assignment'!$A:$A,MATCH(C766&amp;"-"&amp;E766&amp;"-"&amp;F766&amp;"-Pos2",'Shooter-Squad Assignment'!$Z:$Z,0)),""),"")))</f>
        <v/>
      </c>
      <c r="J766" s="88" t="str">
        <f>IF(ISBLANK(I766),"",IFERROR(INDEX('Tournament List'!$D:$D,MATCH(I766,'Tournament List'!$A:$A,0)),""))</f>
        <v/>
      </c>
      <c r="K766" s="96" t="str">
        <f>IF(F766="Skeet",IFERROR(INDEX('Shooter-Squad Assignment'!$A:$A,MATCH(C766&amp;"-"&amp;E766&amp;"-"&amp;F766&amp;"-Pos3",'Shooter-Squad Assignment'!$K:$K,0)),""),IF(F766="Trap",IFERROR(INDEX('Shooter-Squad Assignment'!$A:$A,MATCH(C766&amp;"-"&amp;E766&amp;"-"&amp;F766&amp;"-Pos3",'Shooter-Squad Assignment'!$W:$W,0)),""),IF(F766="Sporting Clays",IFERROR(INDEX('Shooter-Squad Assignment'!$A:$A,MATCH(C766&amp;"-"&amp;E766&amp;"-"&amp;F766&amp;"-Pos3",'Shooter-Squad Assignment'!$Z:$Z,0)),""),"")))</f>
        <v/>
      </c>
      <c r="L766" s="88" t="str">
        <f>IF(ISBLANK(K766),"",IFERROR(INDEX('Tournament List'!$D:$D,MATCH(K766,'Tournament List'!$A:$A,0)),""))</f>
        <v/>
      </c>
      <c r="M766" s="96" t="str">
        <f>IF(F766="Skeet",IFERROR(INDEX('Shooter-Squad Assignment'!$A:$A,MATCH(C766&amp;"-"&amp;E766&amp;"-"&amp;F766&amp;"-Pos4",'Shooter-Squad Assignment'!$K:$K,0)),""),IF(F766="Trap",IFERROR(INDEX('Shooter-Squad Assignment'!$A:$A,MATCH(C766&amp;"-"&amp;E766&amp;"-"&amp;F766&amp;"-Pos4",'Shooter-Squad Assignment'!$W:$W,0)),""),IF(F766="Sporting Clays",IFERROR(INDEX('Shooter-Squad Assignment'!$A:$A,MATCH(C766&amp;"-"&amp;E766&amp;"-"&amp;F766&amp;"-Pos4",'Shooter-Squad Assignment'!$Z:$Z,0)),""),"")))</f>
        <v/>
      </c>
      <c r="N766" s="88" t="str">
        <f>IF(ISBLANK(M766),"",IFERROR(INDEX('Tournament List'!$D:$D,MATCH(M766,'Tournament List'!$A:$A,0)),""))</f>
        <v/>
      </c>
      <c r="O766" s="96" t="str">
        <f>IF(F766="Skeet",IFERROR(INDEX('Shooter-Squad Assignment'!$A:$A,MATCH(C766&amp;"-"&amp;E766&amp;"-"&amp;F766&amp;"-Pos5",'Shooter-Squad Assignment'!$K:$K,0)),""),IF(F766="Trap",IFERROR(INDEX('Shooter-Squad Assignment'!$A:$A,MATCH(C766&amp;"-"&amp;E766&amp;"-"&amp;F766&amp;"-Pos5",'Shooter-Squad Assignment'!$W:$W,0)),""),IF(F766="Sporting Clays",IFERROR(INDEX('Shooter-Squad Assignment'!$A:$A,MATCH(C766&amp;"-"&amp;E766&amp;"-"&amp;F766&amp;"-Pos5",'Shooter-Squad Assignment'!$Z:$Z,0)),""),"")))</f>
        <v/>
      </c>
      <c r="P766" s="89" t="str">
        <f>IF(ISBLANK(O766),"",IFERROR(INDEX('Tournament List'!$D:$D,MATCH(O766,'Tournament List'!$A:$A,0)),""))</f>
        <v/>
      </c>
    </row>
    <row r="767" spans="1:16" x14ac:dyDescent="0.3">
      <c r="A767" s="87">
        <v>766</v>
      </c>
      <c r="B767" s="88" t="str">
        <f>C767&amp;"-"&amp;E767&amp;"-"&amp;F767</f>
        <v>-Intermediate 3-Sporting Clays</v>
      </c>
      <c r="C767" s="88"/>
      <c r="D767" s="88" t="str">
        <f>INDEX('Tournament Setup'!$B$59:$B$78,MATCH(E767,SquadConcurrents,0))</f>
        <v>Intermediate</v>
      </c>
      <c r="E767" s="88" t="s">
        <v>350</v>
      </c>
      <c r="F767" s="88" t="s">
        <v>148</v>
      </c>
      <c r="G767" s="96" t="str">
        <f>IF(F767="Skeet",IFERROR(INDEX('Shooter-Squad Assignment'!$A:$A,MATCH(C767&amp;"-"&amp;E767&amp;"-"&amp;F767&amp;"-Pos1",'Shooter-Squad Assignment'!$K:$K,0)),""),IF(F767="Trap",IFERROR(INDEX('Shooter-Squad Assignment'!$A:$A,MATCH(C767&amp;"-"&amp;E767&amp;"-"&amp;F767&amp;"-Pos1",'Shooter-Squad Assignment'!$W:$W,0)),""),IF(F767="Sporting Clays",IFERROR(INDEX('Shooter-Squad Assignment'!$A:$A,MATCH(C767&amp;"-"&amp;E767&amp;"-"&amp;F767&amp;"-Pos1",'Shooter-Squad Assignment'!$Z:$Z,0)),""),"")))</f>
        <v/>
      </c>
      <c r="H767" s="88" t="str">
        <f>IF(ISBLANK(G767),"",IFERROR(INDEX('Tournament List'!$D:$D,MATCH(G767,'Tournament List'!$A:$A,0)),""))</f>
        <v/>
      </c>
      <c r="I767" s="96" t="str">
        <f>IF(F767="Skeet",IFERROR(INDEX('Shooter-Squad Assignment'!$A:$A,MATCH(C767&amp;"-"&amp;E767&amp;"-"&amp;F767&amp;"-Pos2",'Shooter-Squad Assignment'!$K:$K,0)),""),IF(F767="Trap",IFERROR(INDEX('Shooter-Squad Assignment'!$A:$A,MATCH(C767&amp;"-"&amp;E767&amp;"-"&amp;F767&amp;"-Pos2",'Shooter-Squad Assignment'!$W:$W,0)),""),IF(F767="Sporting Clays",IFERROR(INDEX('Shooter-Squad Assignment'!$A:$A,MATCH(C767&amp;"-"&amp;E767&amp;"-"&amp;F767&amp;"-Pos2",'Shooter-Squad Assignment'!$Z:$Z,0)),""),"")))</f>
        <v/>
      </c>
      <c r="J767" s="88" t="str">
        <f>IF(ISBLANK(I767),"",IFERROR(INDEX('Tournament List'!$D:$D,MATCH(I767,'Tournament List'!$A:$A,0)),""))</f>
        <v/>
      </c>
      <c r="K767" s="96" t="str">
        <f>IF(F767="Skeet",IFERROR(INDEX('Shooter-Squad Assignment'!$A:$A,MATCH(C767&amp;"-"&amp;E767&amp;"-"&amp;F767&amp;"-Pos3",'Shooter-Squad Assignment'!$K:$K,0)),""),IF(F767="Trap",IFERROR(INDEX('Shooter-Squad Assignment'!$A:$A,MATCH(C767&amp;"-"&amp;E767&amp;"-"&amp;F767&amp;"-Pos3",'Shooter-Squad Assignment'!$W:$W,0)),""),IF(F767="Sporting Clays",IFERROR(INDEX('Shooter-Squad Assignment'!$A:$A,MATCH(C767&amp;"-"&amp;E767&amp;"-"&amp;F767&amp;"-Pos3",'Shooter-Squad Assignment'!$Z:$Z,0)),""),"")))</f>
        <v/>
      </c>
      <c r="L767" s="88" t="str">
        <f>IF(ISBLANK(K767),"",IFERROR(INDEX('Tournament List'!$D:$D,MATCH(K767,'Tournament List'!$A:$A,0)),""))</f>
        <v/>
      </c>
      <c r="M767" s="96" t="str">
        <f>IF(F767="Skeet",IFERROR(INDEX('Shooter-Squad Assignment'!$A:$A,MATCH(C767&amp;"-"&amp;E767&amp;"-"&amp;F767&amp;"-Pos4",'Shooter-Squad Assignment'!$K:$K,0)),""),IF(F767="Trap",IFERROR(INDEX('Shooter-Squad Assignment'!$A:$A,MATCH(C767&amp;"-"&amp;E767&amp;"-"&amp;F767&amp;"-Pos4",'Shooter-Squad Assignment'!$W:$W,0)),""),IF(F767="Sporting Clays",IFERROR(INDEX('Shooter-Squad Assignment'!$A:$A,MATCH(C767&amp;"-"&amp;E767&amp;"-"&amp;F767&amp;"-Pos4",'Shooter-Squad Assignment'!$Z:$Z,0)),""),"")))</f>
        <v/>
      </c>
      <c r="N767" s="88" t="str">
        <f>IF(ISBLANK(M767),"",IFERROR(INDEX('Tournament List'!$D:$D,MATCH(M767,'Tournament List'!$A:$A,0)),""))</f>
        <v/>
      </c>
      <c r="O767" s="96" t="str">
        <f>IF(F767="Skeet",IFERROR(INDEX('Shooter-Squad Assignment'!$A:$A,MATCH(C767&amp;"-"&amp;E767&amp;"-"&amp;F767&amp;"-Pos5",'Shooter-Squad Assignment'!$K:$K,0)),""),IF(F767="Trap",IFERROR(INDEX('Shooter-Squad Assignment'!$A:$A,MATCH(C767&amp;"-"&amp;E767&amp;"-"&amp;F767&amp;"-Pos5",'Shooter-Squad Assignment'!$W:$W,0)),""),IF(F767="Sporting Clays",IFERROR(INDEX('Shooter-Squad Assignment'!$A:$A,MATCH(C767&amp;"-"&amp;E767&amp;"-"&amp;F767&amp;"-Pos5",'Shooter-Squad Assignment'!$Z:$Z,0)),""),"")))</f>
        <v/>
      </c>
      <c r="P767" s="89" t="str">
        <f>IF(ISBLANK(O767),"",IFERROR(INDEX('Tournament List'!$D:$D,MATCH(O767,'Tournament List'!$A:$A,0)),""))</f>
        <v/>
      </c>
    </row>
    <row r="768" spans="1:16" x14ac:dyDescent="0.3">
      <c r="A768" s="87">
        <v>767</v>
      </c>
      <c r="B768" s="88" t="str">
        <f>C768&amp;"-"&amp;E768&amp;"-"&amp;F768</f>
        <v>-Junior Varsity 1-Sporting Clays</v>
      </c>
      <c r="C768" s="88"/>
      <c r="D768" s="88" t="str">
        <f>INDEX('Tournament Setup'!$B$59:$B$78,MATCH(E768,SquadConcurrents,0))</f>
        <v>Junior Varsity</v>
      </c>
      <c r="E768" s="88" t="s">
        <v>339</v>
      </c>
      <c r="F768" s="88" t="s">
        <v>148</v>
      </c>
      <c r="G768" s="96" t="str">
        <f>IF(F768="Skeet",IFERROR(INDEX('Shooter-Squad Assignment'!$A:$A,MATCH(C768&amp;"-"&amp;E768&amp;"-"&amp;F768&amp;"-Pos1",'Shooter-Squad Assignment'!$K:$K,0)),""),IF(F768="Trap",IFERROR(INDEX('Shooter-Squad Assignment'!$A:$A,MATCH(C768&amp;"-"&amp;E768&amp;"-"&amp;F768&amp;"-Pos1",'Shooter-Squad Assignment'!$W:$W,0)),""),IF(F768="Sporting Clays",IFERROR(INDEX('Shooter-Squad Assignment'!$A:$A,MATCH(C768&amp;"-"&amp;E768&amp;"-"&amp;F768&amp;"-Pos1",'Shooter-Squad Assignment'!$Z:$Z,0)),""),"")))</f>
        <v/>
      </c>
      <c r="H768" s="88" t="str">
        <f>IF(ISBLANK(G768),"",IFERROR(INDEX('Tournament List'!$D:$D,MATCH(G768,'Tournament List'!$A:$A,0)),""))</f>
        <v/>
      </c>
      <c r="I768" s="96" t="str">
        <f>IF(F768="Skeet",IFERROR(INDEX('Shooter-Squad Assignment'!$A:$A,MATCH(C768&amp;"-"&amp;E768&amp;"-"&amp;F768&amp;"-Pos2",'Shooter-Squad Assignment'!$K:$K,0)),""),IF(F768="Trap",IFERROR(INDEX('Shooter-Squad Assignment'!$A:$A,MATCH(C768&amp;"-"&amp;E768&amp;"-"&amp;F768&amp;"-Pos2",'Shooter-Squad Assignment'!$W:$W,0)),""),IF(F768="Sporting Clays",IFERROR(INDEX('Shooter-Squad Assignment'!$A:$A,MATCH(C768&amp;"-"&amp;E768&amp;"-"&amp;F768&amp;"-Pos2",'Shooter-Squad Assignment'!$Z:$Z,0)),""),"")))</f>
        <v/>
      </c>
      <c r="J768" s="88" t="str">
        <f>IF(ISBLANK(I768),"",IFERROR(INDEX('Tournament List'!$D:$D,MATCH(I768,'Tournament List'!$A:$A,0)),""))</f>
        <v/>
      </c>
      <c r="K768" s="96" t="str">
        <f>IF(F768="Skeet",IFERROR(INDEX('Shooter-Squad Assignment'!$A:$A,MATCH(C768&amp;"-"&amp;E768&amp;"-"&amp;F768&amp;"-Pos3",'Shooter-Squad Assignment'!$K:$K,0)),""),IF(F768="Trap",IFERROR(INDEX('Shooter-Squad Assignment'!$A:$A,MATCH(C768&amp;"-"&amp;E768&amp;"-"&amp;F768&amp;"-Pos3",'Shooter-Squad Assignment'!$W:$W,0)),""),IF(F768="Sporting Clays",IFERROR(INDEX('Shooter-Squad Assignment'!$A:$A,MATCH(C768&amp;"-"&amp;E768&amp;"-"&amp;F768&amp;"-Pos3",'Shooter-Squad Assignment'!$Z:$Z,0)),""),"")))</f>
        <v/>
      </c>
      <c r="L768" s="88" t="str">
        <f>IF(ISBLANK(K768),"",IFERROR(INDEX('Tournament List'!$D:$D,MATCH(K768,'Tournament List'!$A:$A,0)),""))</f>
        <v/>
      </c>
      <c r="M768" s="96" t="str">
        <f>IF(F768="Skeet",IFERROR(INDEX('Shooter-Squad Assignment'!$A:$A,MATCH(C768&amp;"-"&amp;E768&amp;"-"&amp;F768&amp;"-Pos4",'Shooter-Squad Assignment'!$K:$K,0)),""),IF(F768="Trap",IFERROR(INDEX('Shooter-Squad Assignment'!$A:$A,MATCH(C768&amp;"-"&amp;E768&amp;"-"&amp;F768&amp;"-Pos4",'Shooter-Squad Assignment'!$W:$W,0)),""),IF(F768="Sporting Clays",IFERROR(INDEX('Shooter-Squad Assignment'!$A:$A,MATCH(C768&amp;"-"&amp;E768&amp;"-"&amp;F768&amp;"-Pos4",'Shooter-Squad Assignment'!$Z:$Z,0)),""),"")))</f>
        <v/>
      </c>
      <c r="N768" s="88" t="str">
        <f>IF(ISBLANK(M768),"",IFERROR(INDEX('Tournament List'!$D:$D,MATCH(M768,'Tournament List'!$A:$A,0)),""))</f>
        <v/>
      </c>
      <c r="O768" s="96" t="str">
        <f>IF(F768="Skeet",IFERROR(INDEX('Shooter-Squad Assignment'!$A:$A,MATCH(C768&amp;"-"&amp;E768&amp;"-"&amp;F768&amp;"-Pos5",'Shooter-Squad Assignment'!$K:$K,0)),""),IF(F768="Trap",IFERROR(INDEX('Shooter-Squad Assignment'!$A:$A,MATCH(C768&amp;"-"&amp;E768&amp;"-"&amp;F768&amp;"-Pos5",'Shooter-Squad Assignment'!$W:$W,0)),""),IF(F768="Sporting Clays",IFERROR(INDEX('Shooter-Squad Assignment'!$A:$A,MATCH(C768&amp;"-"&amp;E768&amp;"-"&amp;F768&amp;"-Pos5",'Shooter-Squad Assignment'!$Z:$Z,0)),""),"")))</f>
        <v/>
      </c>
      <c r="P768" s="89" t="str">
        <f>IF(ISBLANK(O768),"",IFERROR(INDEX('Tournament List'!$D:$D,MATCH(O768,'Tournament List'!$A:$A,0)),""))</f>
        <v/>
      </c>
    </row>
    <row r="769" spans="1:16" x14ac:dyDescent="0.3">
      <c r="A769" s="87">
        <v>768</v>
      </c>
      <c r="B769" s="88" t="str">
        <f>C769&amp;"-"&amp;E769&amp;"-"&amp;F769</f>
        <v>-Junior Varsity 2-Sporting Clays</v>
      </c>
      <c r="C769" s="88"/>
      <c r="D769" s="88" t="str">
        <f>INDEX('Tournament Setup'!$B$59:$B$78,MATCH(E769,SquadConcurrents,0))</f>
        <v>Junior Varsity</v>
      </c>
      <c r="E769" s="88" t="s">
        <v>345</v>
      </c>
      <c r="F769" s="88" t="s">
        <v>148</v>
      </c>
      <c r="G769" s="96" t="str">
        <f>IF(F769="Skeet",IFERROR(INDEX('Shooter-Squad Assignment'!$A:$A,MATCH(C769&amp;"-"&amp;E769&amp;"-"&amp;F769&amp;"-Pos1",'Shooter-Squad Assignment'!$K:$K,0)),""),IF(F769="Trap",IFERROR(INDEX('Shooter-Squad Assignment'!$A:$A,MATCH(C769&amp;"-"&amp;E769&amp;"-"&amp;F769&amp;"-Pos1",'Shooter-Squad Assignment'!$W:$W,0)),""),IF(F769="Sporting Clays",IFERROR(INDEX('Shooter-Squad Assignment'!$A:$A,MATCH(C769&amp;"-"&amp;E769&amp;"-"&amp;F769&amp;"-Pos1",'Shooter-Squad Assignment'!$Z:$Z,0)),""),"")))</f>
        <v/>
      </c>
      <c r="H769" s="88" t="str">
        <f>IF(ISBLANK(G769),"",IFERROR(INDEX('Tournament List'!$D:$D,MATCH(G769,'Tournament List'!$A:$A,0)),""))</f>
        <v/>
      </c>
      <c r="I769" s="96" t="str">
        <f>IF(F769="Skeet",IFERROR(INDEX('Shooter-Squad Assignment'!$A:$A,MATCH(C769&amp;"-"&amp;E769&amp;"-"&amp;F769&amp;"-Pos2",'Shooter-Squad Assignment'!$K:$K,0)),""),IF(F769="Trap",IFERROR(INDEX('Shooter-Squad Assignment'!$A:$A,MATCH(C769&amp;"-"&amp;E769&amp;"-"&amp;F769&amp;"-Pos2",'Shooter-Squad Assignment'!$W:$W,0)),""),IF(F769="Sporting Clays",IFERROR(INDEX('Shooter-Squad Assignment'!$A:$A,MATCH(C769&amp;"-"&amp;E769&amp;"-"&amp;F769&amp;"-Pos2",'Shooter-Squad Assignment'!$Z:$Z,0)),""),"")))</f>
        <v/>
      </c>
      <c r="J769" s="88" t="str">
        <f>IF(ISBLANK(I769),"",IFERROR(INDEX('Tournament List'!$D:$D,MATCH(I769,'Tournament List'!$A:$A,0)),""))</f>
        <v/>
      </c>
      <c r="K769" s="96" t="str">
        <f>IF(F769="Skeet",IFERROR(INDEX('Shooter-Squad Assignment'!$A:$A,MATCH(C769&amp;"-"&amp;E769&amp;"-"&amp;F769&amp;"-Pos3",'Shooter-Squad Assignment'!$K:$K,0)),""),IF(F769="Trap",IFERROR(INDEX('Shooter-Squad Assignment'!$A:$A,MATCH(C769&amp;"-"&amp;E769&amp;"-"&amp;F769&amp;"-Pos3",'Shooter-Squad Assignment'!$W:$W,0)),""),IF(F769="Sporting Clays",IFERROR(INDEX('Shooter-Squad Assignment'!$A:$A,MATCH(C769&amp;"-"&amp;E769&amp;"-"&amp;F769&amp;"-Pos3",'Shooter-Squad Assignment'!$Z:$Z,0)),""),"")))</f>
        <v/>
      </c>
      <c r="L769" s="88" t="str">
        <f>IF(ISBLANK(K769),"",IFERROR(INDEX('Tournament List'!$D:$D,MATCH(K769,'Tournament List'!$A:$A,0)),""))</f>
        <v/>
      </c>
      <c r="M769" s="96" t="str">
        <f>IF(F769="Skeet",IFERROR(INDEX('Shooter-Squad Assignment'!$A:$A,MATCH(C769&amp;"-"&amp;E769&amp;"-"&amp;F769&amp;"-Pos4",'Shooter-Squad Assignment'!$K:$K,0)),""),IF(F769="Trap",IFERROR(INDEX('Shooter-Squad Assignment'!$A:$A,MATCH(C769&amp;"-"&amp;E769&amp;"-"&amp;F769&amp;"-Pos4",'Shooter-Squad Assignment'!$W:$W,0)),""),IF(F769="Sporting Clays",IFERROR(INDEX('Shooter-Squad Assignment'!$A:$A,MATCH(C769&amp;"-"&amp;E769&amp;"-"&amp;F769&amp;"-Pos4",'Shooter-Squad Assignment'!$Z:$Z,0)),""),"")))</f>
        <v/>
      </c>
      <c r="N769" s="88" t="str">
        <f>IF(ISBLANK(M769),"",IFERROR(INDEX('Tournament List'!$D:$D,MATCH(M769,'Tournament List'!$A:$A,0)),""))</f>
        <v/>
      </c>
      <c r="O769" s="96" t="str">
        <f>IF(F769="Skeet",IFERROR(INDEX('Shooter-Squad Assignment'!$A:$A,MATCH(C769&amp;"-"&amp;E769&amp;"-"&amp;F769&amp;"-Pos5",'Shooter-Squad Assignment'!$K:$K,0)),""),IF(F769="Trap",IFERROR(INDEX('Shooter-Squad Assignment'!$A:$A,MATCH(C769&amp;"-"&amp;E769&amp;"-"&amp;F769&amp;"-Pos5",'Shooter-Squad Assignment'!$W:$W,0)),""),IF(F769="Sporting Clays",IFERROR(INDEX('Shooter-Squad Assignment'!$A:$A,MATCH(C769&amp;"-"&amp;E769&amp;"-"&amp;F769&amp;"-Pos5",'Shooter-Squad Assignment'!$Z:$Z,0)),""),"")))</f>
        <v/>
      </c>
      <c r="P769" s="89" t="str">
        <f>IF(ISBLANK(O769),"",IFERROR(INDEX('Tournament List'!$D:$D,MATCH(O769,'Tournament List'!$A:$A,0)),""))</f>
        <v/>
      </c>
    </row>
    <row r="770" spans="1:16" x14ac:dyDescent="0.3">
      <c r="A770" s="87">
        <v>769</v>
      </c>
      <c r="B770" s="88" t="str">
        <f>C770&amp;"-"&amp;E770&amp;"-"&amp;F770</f>
        <v>-Junior Varsity 3-Sporting Clays</v>
      </c>
      <c r="C770" s="88"/>
      <c r="D770" s="88" t="str">
        <f>INDEX('Tournament Setup'!$B$59:$B$78,MATCH(E770,SquadConcurrents,0))</f>
        <v>Junior Varsity</v>
      </c>
      <c r="E770" s="88" t="s">
        <v>351</v>
      </c>
      <c r="F770" s="88" t="s">
        <v>148</v>
      </c>
      <c r="G770" s="96" t="str">
        <f>IF(F770="Skeet",IFERROR(INDEX('Shooter-Squad Assignment'!$A:$A,MATCH(C770&amp;"-"&amp;E770&amp;"-"&amp;F770&amp;"-Pos1",'Shooter-Squad Assignment'!$K:$K,0)),""),IF(F770="Trap",IFERROR(INDEX('Shooter-Squad Assignment'!$A:$A,MATCH(C770&amp;"-"&amp;E770&amp;"-"&amp;F770&amp;"-Pos1",'Shooter-Squad Assignment'!$W:$W,0)),""),IF(F770="Sporting Clays",IFERROR(INDEX('Shooter-Squad Assignment'!$A:$A,MATCH(C770&amp;"-"&amp;E770&amp;"-"&amp;F770&amp;"-Pos1",'Shooter-Squad Assignment'!$Z:$Z,0)),""),"")))</f>
        <v/>
      </c>
      <c r="H770" s="88" t="str">
        <f>IF(ISBLANK(G770),"",IFERROR(INDEX('Tournament List'!$D:$D,MATCH(G770,'Tournament List'!$A:$A,0)),""))</f>
        <v/>
      </c>
      <c r="I770" s="96" t="str">
        <f>IF(F770="Skeet",IFERROR(INDEX('Shooter-Squad Assignment'!$A:$A,MATCH(C770&amp;"-"&amp;E770&amp;"-"&amp;F770&amp;"-Pos2",'Shooter-Squad Assignment'!$K:$K,0)),""),IF(F770="Trap",IFERROR(INDEX('Shooter-Squad Assignment'!$A:$A,MATCH(C770&amp;"-"&amp;E770&amp;"-"&amp;F770&amp;"-Pos2",'Shooter-Squad Assignment'!$W:$W,0)),""),IF(F770="Sporting Clays",IFERROR(INDEX('Shooter-Squad Assignment'!$A:$A,MATCH(C770&amp;"-"&amp;E770&amp;"-"&amp;F770&amp;"-Pos2",'Shooter-Squad Assignment'!$Z:$Z,0)),""),"")))</f>
        <v/>
      </c>
      <c r="J770" s="88" t="str">
        <f>IF(ISBLANK(I770),"",IFERROR(INDEX('Tournament List'!$D:$D,MATCH(I770,'Tournament List'!$A:$A,0)),""))</f>
        <v/>
      </c>
      <c r="K770" s="96" t="str">
        <f>IF(F770="Skeet",IFERROR(INDEX('Shooter-Squad Assignment'!$A:$A,MATCH(C770&amp;"-"&amp;E770&amp;"-"&amp;F770&amp;"-Pos3",'Shooter-Squad Assignment'!$K:$K,0)),""),IF(F770="Trap",IFERROR(INDEX('Shooter-Squad Assignment'!$A:$A,MATCH(C770&amp;"-"&amp;E770&amp;"-"&amp;F770&amp;"-Pos3",'Shooter-Squad Assignment'!$W:$W,0)),""),IF(F770="Sporting Clays",IFERROR(INDEX('Shooter-Squad Assignment'!$A:$A,MATCH(C770&amp;"-"&amp;E770&amp;"-"&amp;F770&amp;"-Pos3",'Shooter-Squad Assignment'!$Z:$Z,0)),""),"")))</f>
        <v/>
      </c>
      <c r="L770" s="88" t="str">
        <f>IF(ISBLANK(K770),"",IFERROR(INDEX('Tournament List'!$D:$D,MATCH(K770,'Tournament List'!$A:$A,0)),""))</f>
        <v/>
      </c>
      <c r="M770" s="96" t="str">
        <f>IF(F770="Skeet",IFERROR(INDEX('Shooter-Squad Assignment'!$A:$A,MATCH(C770&amp;"-"&amp;E770&amp;"-"&amp;F770&amp;"-Pos4",'Shooter-Squad Assignment'!$K:$K,0)),""),IF(F770="Trap",IFERROR(INDEX('Shooter-Squad Assignment'!$A:$A,MATCH(C770&amp;"-"&amp;E770&amp;"-"&amp;F770&amp;"-Pos4",'Shooter-Squad Assignment'!$W:$W,0)),""),IF(F770="Sporting Clays",IFERROR(INDEX('Shooter-Squad Assignment'!$A:$A,MATCH(C770&amp;"-"&amp;E770&amp;"-"&amp;F770&amp;"-Pos4",'Shooter-Squad Assignment'!$Z:$Z,0)),""),"")))</f>
        <v/>
      </c>
      <c r="N770" s="88" t="str">
        <f>IF(ISBLANK(M770),"",IFERROR(INDEX('Tournament List'!$D:$D,MATCH(M770,'Tournament List'!$A:$A,0)),""))</f>
        <v/>
      </c>
      <c r="O770" s="96" t="str">
        <f>IF(F770="Skeet",IFERROR(INDEX('Shooter-Squad Assignment'!$A:$A,MATCH(C770&amp;"-"&amp;E770&amp;"-"&amp;F770&amp;"-Pos5",'Shooter-Squad Assignment'!$K:$K,0)),""),IF(F770="Trap",IFERROR(INDEX('Shooter-Squad Assignment'!$A:$A,MATCH(C770&amp;"-"&amp;E770&amp;"-"&amp;F770&amp;"-Pos5",'Shooter-Squad Assignment'!$W:$W,0)),""),IF(F770="Sporting Clays",IFERROR(INDEX('Shooter-Squad Assignment'!$A:$A,MATCH(C770&amp;"-"&amp;E770&amp;"-"&amp;F770&amp;"-Pos5",'Shooter-Squad Assignment'!$Z:$Z,0)),""),"")))</f>
        <v/>
      </c>
      <c r="P770" s="89" t="str">
        <f>IF(ISBLANK(O770),"",IFERROR(INDEX('Tournament List'!$D:$D,MATCH(O770,'Tournament List'!$A:$A,0)),""))</f>
        <v/>
      </c>
    </row>
    <row r="771" spans="1:16" x14ac:dyDescent="0.3">
      <c r="A771" s="87">
        <v>770</v>
      </c>
      <c r="B771" s="88" t="str">
        <f>C771&amp;"-"&amp;E771&amp;"-"&amp;F771</f>
        <v>-Novice 1-Sporting Clays</v>
      </c>
      <c r="C771" s="88"/>
      <c r="D771" s="88" t="str">
        <f>INDEX('Tournament Setup'!$B$59:$B$78,MATCH(E771,SquadConcurrents,0))</f>
        <v>Novice</v>
      </c>
      <c r="E771" s="88" t="s">
        <v>337</v>
      </c>
      <c r="F771" s="88" t="s">
        <v>148</v>
      </c>
      <c r="G771" s="96" t="str">
        <f>IF(F771="Skeet",IFERROR(INDEX('Shooter-Squad Assignment'!$A:$A,MATCH(C771&amp;"-"&amp;E771&amp;"-"&amp;F771&amp;"-Pos1",'Shooter-Squad Assignment'!$K:$K,0)),""),IF(F771="Trap",IFERROR(INDEX('Shooter-Squad Assignment'!$A:$A,MATCH(C771&amp;"-"&amp;E771&amp;"-"&amp;F771&amp;"-Pos1",'Shooter-Squad Assignment'!$W:$W,0)),""),IF(F771="Sporting Clays",IFERROR(INDEX('Shooter-Squad Assignment'!$A:$A,MATCH(C771&amp;"-"&amp;E771&amp;"-"&amp;F771&amp;"-Pos1",'Shooter-Squad Assignment'!$Z:$Z,0)),""),"")))</f>
        <v/>
      </c>
      <c r="H771" s="88" t="str">
        <f>IF(ISBLANK(G771),"",IFERROR(INDEX('Tournament List'!$D:$D,MATCH(G771,'Tournament List'!$A:$A,0)),""))</f>
        <v/>
      </c>
      <c r="I771" s="96" t="str">
        <f>IF(F771="Skeet",IFERROR(INDEX('Shooter-Squad Assignment'!$A:$A,MATCH(C771&amp;"-"&amp;E771&amp;"-"&amp;F771&amp;"-Pos2",'Shooter-Squad Assignment'!$K:$K,0)),""),IF(F771="Trap",IFERROR(INDEX('Shooter-Squad Assignment'!$A:$A,MATCH(C771&amp;"-"&amp;E771&amp;"-"&amp;F771&amp;"-Pos2",'Shooter-Squad Assignment'!$W:$W,0)),""),IF(F771="Sporting Clays",IFERROR(INDEX('Shooter-Squad Assignment'!$A:$A,MATCH(C771&amp;"-"&amp;E771&amp;"-"&amp;F771&amp;"-Pos2",'Shooter-Squad Assignment'!$Z:$Z,0)),""),"")))</f>
        <v/>
      </c>
      <c r="J771" s="88" t="str">
        <f>IF(ISBLANK(I771),"",IFERROR(INDEX('Tournament List'!$D:$D,MATCH(I771,'Tournament List'!$A:$A,0)),""))</f>
        <v/>
      </c>
      <c r="K771" s="96" t="str">
        <f>IF(F771="Skeet",IFERROR(INDEX('Shooter-Squad Assignment'!$A:$A,MATCH(C771&amp;"-"&amp;E771&amp;"-"&amp;F771&amp;"-Pos3",'Shooter-Squad Assignment'!$K:$K,0)),""),IF(F771="Trap",IFERROR(INDEX('Shooter-Squad Assignment'!$A:$A,MATCH(C771&amp;"-"&amp;E771&amp;"-"&amp;F771&amp;"-Pos3",'Shooter-Squad Assignment'!$W:$W,0)),""),IF(F771="Sporting Clays",IFERROR(INDEX('Shooter-Squad Assignment'!$A:$A,MATCH(C771&amp;"-"&amp;E771&amp;"-"&amp;F771&amp;"-Pos3",'Shooter-Squad Assignment'!$Z:$Z,0)),""),"")))</f>
        <v/>
      </c>
      <c r="L771" s="88" t="str">
        <f>IF(ISBLANK(K771),"",IFERROR(INDEX('Tournament List'!$D:$D,MATCH(K771,'Tournament List'!$A:$A,0)),""))</f>
        <v/>
      </c>
      <c r="M771" s="96" t="str">
        <f>IF(F771="Skeet",IFERROR(INDEX('Shooter-Squad Assignment'!$A:$A,MATCH(C771&amp;"-"&amp;E771&amp;"-"&amp;F771&amp;"-Pos4",'Shooter-Squad Assignment'!$K:$K,0)),""),IF(F771="Trap",IFERROR(INDEX('Shooter-Squad Assignment'!$A:$A,MATCH(C771&amp;"-"&amp;E771&amp;"-"&amp;F771&amp;"-Pos4",'Shooter-Squad Assignment'!$W:$W,0)),""),IF(F771="Sporting Clays",IFERROR(INDEX('Shooter-Squad Assignment'!$A:$A,MATCH(C771&amp;"-"&amp;E771&amp;"-"&amp;F771&amp;"-Pos4",'Shooter-Squad Assignment'!$Z:$Z,0)),""),"")))</f>
        <v/>
      </c>
      <c r="N771" s="88" t="str">
        <f>IF(ISBLANK(M771),"",IFERROR(INDEX('Tournament List'!$D:$D,MATCH(M771,'Tournament List'!$A:$A,0)),""))</f>
        <v/>
      </c>
      <c r="O771" s="96" t="str">
        <f>IF(F771="Skeet",IFERROR(INDEX('Shooter-Squad Assignment'!$A:$A,MATCH(C771&amp;"-"&amp;E771&amp;"-"&amp;F771&amp;"-Pos5",'Shooter-Squad Assignment'!$K:$K,0)),""),IF(F771="Trap",IFERROR(INDEX('Shooter-Squad Assignment'!$A:$A,MATCH(C771&amp;"-"&amp;E771&amp;"-"&amp;F771&amp;"-Pos5",'Shooter-Squad Assignment'!$W:$W,0)),""),IF(F771="Sporting Clays",IFERROR(INDEX('Shooter-Squad Assignment'!$A:$A,MATCH(C771&amp;"-"&amp;E771&amp;"-"&amp;F771&amp;"-Pos5",'Shooter-Squad Assignment'!$Z:$Z,0)),""),"")))</f>
        <v/>
      </c>
      <c r="P771" s="89" t="str">
        <f>IF(ISBLANK(O771),"",IFERROR(INDEX('Tournament List'!$D:$D,MATCH(O771,'Tournament List'!$A:$A,0)),""))</f>
        <v/>
      </c>
    </row>
    <row r="772" spans="1:16" x14ac:dyDescent="0.3">
      <c r="A772" s="87">
        <v>771</v>
      </c>
      <c r="B772" s="88" t="str">
        <f>C772&amp;"-"&amp;E772&amp;"-"&amp;F772</f>
        <v>-Novice 2-Sporting Clays</v>
      </c>
      <c r="C772" s="88"/>
      <c r="D772" s="88" t="str">
        <f>INDEX('Tournament Setup'!$B$59:$B$78,MATCH(E772,SquadConcurrents,0))</f>
        <v>Novice</v>
      </c>
      <c r="E772" s="88" t="s">
        <v>343</v>
      </c>
      <c r="F772" s="88" t="s">
        <v>148</v>
      </c>
      <c r="G772" s="96" t="str">
        <f>IF(F772="Skeet",IFERROR(INDEX('Shooter-Squad Assignment'!$A:$A,MATCH(C772&amp;"-"&amp;E772&amp;"-"&amp;F772&amp;"-Pos1",'Shooter-Squad Assignment'!$K:$K,0)),""),IF(F772="Trap",IFERROR(INDEX('Shooter-Squad Assignment'!$A:$A,MATCH(C772&amp;"-"&amp;E772&amp;"-"&amp;F772&amp;"-Pos1",'Shooter-Squad Assignment'!$W:$W,0)),""),IF(F772="Sporting Clays",IFERROR(INDEX('Shooter-Squad Assignment'!$A:$A,MATCH(C772&amp;"-"&amp;E772&amp;"-"&amp;F772&amp;"-Pos1",'Shooter-Squad Assignment'!$Z:$Z,0)),""),"")))</f>
        <v/>
      </c>
      <c r="H772" s="88" t="str">
        <f>IF(ISBLANK(G772),"",IFERROR(INDEX('Tournament List'!$D:$D,MATCH(G772,'Tournament List'!$A:$A,0)),""))</f>
        <v/>
      </c>
      <c r="I772" s="96" t="str">
        <f>IF(F772="Skeet",IFERROR(INDEX('Shooter-Squad Assignment'!$A:$A,MATCH(C772&amp;"-"&amp;E772&amp;"-"&amp;F772&amp;"-Pos2",'Shooter-Squad Assignment'!$K:$K,0)),""),IF(F772="Trap",IFERROR(INDEX('Shooter-Squad Assignment'!$A:$A,MATCH(C772&amp;"-"&amp;E772&amp;"-"&amp;F772&amp;"-Pos2",'Shooter-Squad Assignment'!$W:$W,0)),""),IF(F772="Sporting Clays",IFERROR(INDEX('Shooter-Squad Assignment'!$A:$A,MATCH(C772&amp;"-"&amp;E772&amp;"-"&amp;F772&amp;"-Pos2",'Shooter-Squad Assignment'!$Z:$Z,0)),""),"")))</f>
        <v/>
      </c>
      <c r="J772" s="88" t="str">
        <f>IF(ISBLANK(I772),"",IFERROR(INDEX('Tournament List'!$D:$D,MATCH(I772,'Tournament List'!$A:$A,0)),""))</f>
        <v/>
      </c>
      <c r="K772" s="96" t="str">
        <f>IF(F772="Skeet",IFERROR(INDEX('Shooter-Squad Assignment'!$A:$A,MATCH(C772&amp;"-"&amp;E772&amp;"-"&amp;F772&amp;"-Pos3",'Shooter-Squad Assignment'!$K:$K,0)),""),IF(F772="Trap",IFERROR(INDEX('Shooter-Squad Assignment'!$A:$A,MATCH(C772&amp;"-"&amp;E772&amp;"-"&amp;F772&amp;"-Pos3",'Shooter-Squad Assignment'!$W:$W,0)),""),IF(F772="Sporting Clays",IFERROR(INDEX('Shooter-Squad Assignment'!$A:$A,MATCH(C772&amp;"-"&amp;E772&amp;"-"&amp;F772&amp;"-Pos3",'Shooter-Squad Assignment'!$Z:$Z,0)),""),"")))</f>
        <v/>
      </c>
      <c r="L772" s="88" t="str">
        <f>IF(ISBLANK(K772),"",IFERROR(INDEX('Tournament List'!$D:$D,MATCH(K772,'Tournament List'!$A:$A,0)),""))</f>
        <v/>
      </c>
      <c r="M772" s="96" t="str">
        <f>IF(F772="Skeet",IFERROR(INDEX('Shooter-Squad Assignment'!$A:$A,MATCH(C772&amp;"-"&amp;E772&amp;"-"&amp;F772&amp;"-Pos4",'Shooter-Squad Assignment'!$K:$K,0)),""),IF(F772="Trap",IFERROR(INDEX('Shooter-Squad Assignment'!$A:$A,MATCH(C772&amp;"-"&amp;E772&amp;"-"&amp;F772&amp;"-Pos4",'Shooter-Squad Assignment'!$W:$W,0)),""),IF(F772="Sporting Clays",IFERROR(INDEX('Shooter-Squad Assignment'!$A:$A,MATCH(C772&amp;"-"&amp;E772&amp;"-"&amp;F772&amp;"-Pos4",'Shooter-Squad Assignment'!$Z:$Z,0)),""),"")))</f>
        <v/>
      </c>
      <c r="N772" s="88" t="str">
        <f>IF(ISBLANK(M772),"",IFERROR(INDEX('Tournament List'!$D:$D,MATCH(M772,'Tournament List'!$A:$A,0)),""))</f>
        <v/>
      </c>
      <c r="O772" s="96" t="str">
        <f>IF(F772="Skeet",IFERROR(INDEX('Shooter-Squad Assignment'!$A:$A,MATCH(C772&amp;"-"&amp;E772&amp;"-"&amp;F772&amp;"-Pos5",'Shooter-Squad Assignment'!$K:$K,0)),""),IF(F772="Trap",IFERROR(INDEX('Shooter-Squad Assignment'!$A:$A,MATCH(C772&amp;"-"&amp;E772&amp;"-"&amp;F772&amp;"-Pos5",'Shooter-Squad Assignment'!$W:$W,0)),""),IF(F772="Sporting Clays",IFERROR(INDEX('Shooter-Squad Assignment'!$A:$A,MATCH(C772&amp;"-"&amp;E772&amp;"-"&amp;F772&amp;"-Pos5",'Shooter-Squad Assignment'!$Z:$Z,0)),""),"")))</f>
        <v/>
      </c>
      <c r="P772" s="89" t="str">
        <f>IF(ISBLANK(O772),"",IFERROR(INDEX('Tournament List'!$D:$D,MATCH(O772,'Tournament List'!$A:$A,0)),""))</f>
        <v/>
      </c>
    </row>
    <row r="773" spans="1:16" x14ac:dyDescent="0.3">
      <c r="A773" s="87">
        <v>772</v>
      </c>
      <c r="B773" s="88" t="str">
        <f>C773&amp;"-"&amp;E773&amp;"-"&amp;F773</f>
        <v>-Novice 3-Sporting Clays</v>
      </c>
      <c r="C773" s="88"/>
      <c r="D773" s="88" t="str">
        <f>INDEX('Tournament Setup'!$B$59:$B$78,MATCH(E773,SquadConcurrents,0))</f>
        <v>Novice</v>
      </c>
      <c r="E773" s="88" t="s">
        <v>349</v>
      </c>
      <c r="F773" s="88" t="s">
        <v>148</v>
      </c>
      <c r="G773" s="96" t="str">
        <f>IF(F773="Skeet",IFERROR(INDEX('Shooter-Squad Assignment'!$A:$A,MATCH(C773&amp;"-"&amp;E773&amp;"-"&amp;F773&amp;"-Pos1",'Shooter-Squad Assignment'!$K:$K,0)),""),IF(F773="Trap",IFERROR(INDEX('Shooter-Squad Assignment'!$A:$A,MATCH(C773&amp;"-"&amp;E773&amp;"-"&amp;F773&amp;"-Pos1",'Shooter-Squad Assignment'!$W:$W,0)),""),IF(F773="Sporting Clays",IFERROR(INDEX('Shooter-Squad Assignment'!$A:$A,MATCH(C773&amp;"-"&amp;E773&amp;"-"&amp;F773&amp;"-Pos1",'Shooter-Squad Assignment'!$Z:$Z,0)),""),"")))</f>
        <v/>
      </c>
      <c r="H773" s="88" t="str">
        <f>IF(ISBLANK(G773),"",IFERROR(INDEX('Tournament List'!$D:$D,MATCH(G773,'Tournament List'!$A:$A,0)),""))</f>
        <v/>
      </c>
      <c r="I773" s="96" t="str">
        <f>IF(F773="Skeet",IFERROR(INDEX('Shooter-Squad Assignment'!$A:$A,MATCH(C773&amp;"-"&amp;E773&amp;"-"&amp;F773&amp;"-Pos2",'Shooter-Squad Assignment'!$K:$K,0)),""),IF(F773="Trap",IFERROR(INDEX('Shooter-Squad Assignment'!$A:$A,MATCH(C773&amp;"-"&amp;E773&amp;"-"&amp;F773&amp;"-Pos2",'Shooter-Squad Assignment'!$W:$W,0)),""),IF(F773="Sporting Clays",IFERROR(INDEX('Shooter-Squad Assignment'!$A:$A,MATCH(C773&amp;"-"&amp;E773&amp;"-"&amp;F773&amp;"-Pos2",'Shooter-Squad Assignment'!$Z:$Z,0)),""),"")))</f>
        <v/>
      </c>
      <c r="J773" s="88" t="str">
        <f>IF(ISBLANK(I773),"",IFERROR(INDEX('Tournament List'!$D:$D,MATCH(I773,'Tournament List'!$A:$A,0)),""))</f>
        <v/>
      </c>
      <c r="K773" s="96" t="str">
        <f>IF(F773="Skeet",IFERROR(INDEX('Shooter-Squad Assignment'!$A:$A,MATCH(C773&amp;"-"&amp;E773&amp;"-"&amp;F773&amp;"-Pos3",'Shooter-Squad Assignment'!$K:$K,0)),""),IF(F773="Trap",IFERROR(INDEX('Shooter-Squad Assignment'!$A:$A,MATCH(C773&amp;"-"&amp;E773&amp;"-"&amp;F773&amp;"-Pos3",'Shooter-Squad Assignment'!$W:$W,0)),""),IF(F773="Sporting Clays",IFERROR(INDEX('Shooter-Squad Assignment'!$A:$A,MATCH(C773&amp;"-"&amp;E773&amp;"-"&amp;F773&amp;"-Pos3",'Shooter-Squad Assignment'!$Z:$Z,0)),""),"")))</f>
        <v/>
      </c>
      <c r="L773" s="88" t="str">
        <f>IF(ISBLANK(K773),"",IFERROR(INDEX('Tournament List'!$D:$D,MATCH(K773,'Tournament List'!$A:$A,0)),""))</f>
        <v/>
      </c>
      <c r="M773" s="96" t="str">
        <f>IF(F773="Skeet",IFERROR(INDEX('Shooter-Squad Assignment'!$A:$A,MATCH(C773&amp;"-"&amp;E773&amp;"-"&amp;F773&amp;"-Pos4",'Shooter-Squad Assignment'!$K:$K,0)),""),IF(F773="Trap",IFERROR(INDEX('Shooter-Squad Assignment'!$A:$A,MATCH(C773&amp;"-"&amp;E773&amp;"-"&amp;F773&amp;"-Pos4",'Shooter-Squad Assignment'!$W:$W,0)),""),IF(F773="Sporting Clays",IFERROR(INDEX('Shooter-Squad Assignment'!$A:$A,MATCH(C773&amp;"-"&amp;E773&amp;"-"&amp;F773&amp;"-Pos4",'Shooter-Squad Assignment'!$Z:$Z,0)),""),"")))</f>
        <v/>
      </c>
      <c r="N773" s="88" t="str">
        <f>IF(ISBLANK(M773),"",IFERROR(INDEX('Tournament List'!$D:$D,MATCH(M773,'Tournament List'!$A:$A,0)),""))</f>
        <v/>
      </c>
      <c r="O773" s="96" t="str">
        <f>IF(F773="Skeet",IFERROR(INDEX('Shooter-Squad Assignment'!$A:$A,MATCH(C773&amp;"-"&amp;E773&amp;"-"&amp;F773&amp;"-Pos5",'Shooter-Squad Assignment'!$K:$K,0)),""),IF(F773="Trap",IFERROR(INDEX('Shooter-Squad Assignment'!$A:$A,MATCH(C773&amp;"-"&amp;E773&amp;"-"&amp;F773&amp;"-Pos5",'Shooter-Squad Assignment'!$W:$W,0)),""),IF(F773="Sporting Clays",IFERROR(INDEX('Shooter-Squad Assignment'!$A:$A,MATCH(C773&amp;"-"&amp;E773&amp;"-"&amp;F773&amp;"-Pos5",'Shooter-Squad Assignment'!$Z:$Z,0)),""),"")))</f>
        <v/>
      </c>
      <c r="P773" s="89" t="str">
        <f>IF(ISBLANK(O773),"",IFERROR(INDEX('Tournament List'!$D:$D,MATCH(O773,'Tournament List'!$A:$A,0)),""))</f>
        <v/>
      </c>
    </row>
    <row r="774" spans="1:16" x14ac:dyDescent="0.3">
      <c r="A774" s="87">
        <v>773</v>
      </c>
      <c r="B774" s="88" t="str">
        <f>C774&amp;"-"&amp;E774&amp;"-"&amp;F774</f>
        <v>-Open 1-Sporting Clays</v>
      </c>
      <c r="C774" s="88"/>
      <c r="D774" s="88" t="str">
        <f>INDEX('Tournament Setup'!$B$59:$B$78,MATCH(E774,SquadConcurrents,0))</f>
        <v>Open</v>
      </c>
      <c r="E774" s="88" t="s">
        <v>341</v>
      </c>
      <c r="F774" s="88" t="s">
        <v>148</v>
      </c>
      <c r="G774" s="96" t="str">
        <f>IF(F774="Skeet",IFERROR(INDEX('Shooter-Squad Assignment'!$A:$A,MATCH(C774&amp;"-"&amp;E774&amp;"-"&amp;F774&amp;"-Pos1",'Shooter-Squad Assignment'!$K:$K,0)),""),IF(F774="Trap",IFERROR(INDEX('Shooter-Squad Assignment'!$A:$A,MATCH(C774&amp;"-"&amp;E774&amp;"-"&amp;F774&amp;"-Pos1",'Shooter-Squad Assignment'!$W:$W,0)),""),IF(F774="Sporting Clays",IFERROR(INDEX('Shooter-Squad Assignment'!$A:$A,MATCH(C774&amp;"-"&amp;E774&amp;"-"&amp;F774&amp;"-Pos1",'Shooter-Squad Assignment'!$Z:$Z,0)),""),"")))</f>
        <v/>
      </c>
      <c r="H774" s="88" t="str">
        <f>IF(ISBLANK(G774),"",IFERROR(INDEX('Tournament List'!$D:$D,MATCH(G774,'Tournament List'!$A:$A,0)),""))</f>
        <v/>
      </c>
      <c r="I774" s="96" t="str">
        <f>IF(F774="Skeet",IFERROR(INDEX('Shooter-Squad Assignment'!$A:$A,MATCH(C774&amp;"-"&amp;E774&amp;"-"&amp;F774&amp;"-Pos2",'Shooter-Squad Assignment'!$K:$K,0)),""),IF(F774="Trap",IFERROR(INDEX('Shooter-Squad Assignment'!$A:$A,MATCH(C774&amp;"-"&amp;E774&amp;"-"&amp;F774&amp;"-Pos2",'Shooter-Squad Assignment'!$W:$W,0)),""),IF(F774="Sporting Clays",IFERROR(INDEX('Shooter-Squad Assignment'!$A:$A,MATCH(C774&amp;"-"&amp;E774&amp;"-"&amp;F774&amp;"-Pos2",'Shooter-Squad Assignment'!$Z:$Z,0)),""),"")))</f>
        <v/>
      </c>
      <c r="J774" s="88" t="str">
        <f>IF(ISBLANK(I774),"",IFERROR(INDEX('Tournament List'!$D:$D,MATCH(I774,'Tournament List'!$A:$A,0)),""))</f>
        <v/>
      </c>
      <c r="K774" s="96" t="str">
        <f>IF(F774="Skeet",IFERROR(INDEX('Shooter-Squad Assignment'!$A:$A,MATCH(C774&amp;"-"&amp;E774&amp;"-"&amp;F774&amp;"-Pos3",'Shooter-Squad Assignment'!$K:$K,0)),""),IF(F774="Trap",IFERROR(INDEX('Shooter-Squad Assignment'!$A:$A,MATCH(C774&amp;"-"&amp;E774&amp;"-"&amp;F774&amp;"-Pos3",'Shooter-Squad Assignment'!$W:$W,0)),""),IF(F774="Sporting Clays",IFERROR(INDEX('Shooter-Squad Assignment'!$A:$A,MATCH(C774&amp;"-"&amp;E774&amp;"-"&amp;F774&amp;"-Pos3",'Shooter-Squad Assignment'!$Z:$Z,0)),""),"")))</f>
        <v/>
      </c>
      <c r="L774" s="88" t="str">
        <f>IF(ISBLANK(K774),"",IFERROR(INDEX('Tournament List'!$D:$D,MATCH(K774,'Tournament List'!$A:$A,0)),""))</f>
        <v/>
      </c>
      <c r="M774" s="96" t="str">
        <f>IF(F774="Skeet",IFERROR(INDEX('Shooter-Squad Assignment'!$A:$A,MATCH(C774&amp;"-"&amp;E774&amp;"-"&amp;F774&amp;"-Pos4",'Shooter-Squad Assignment'!$K:$K,0)),""),IF(F774="Trap",IFERROR(INDEX('Shooter-Squad Assignment'!$A:$A,MATCH(C774&amp;"-"&amp;E774&amp;"-"&amp;F774&amp;"-Pos4",'Shooter-Squad Assignment'!$W:$W,0)),""),IF(F774="Sporting Clays",IFERROR(INDEX('Shooter-Squad Assignment'!$A:$A,MATCH(C774&amp;"-"&amp;E774&amp;"-"&amp;F774&amp;"-Pos4",'Shooter-Squad Assignment'!$Z:$Z,0)),""),"")))</f>
        <v/>
      </c>
      <c r="N774" s="88" t="str">
        <f>IF(ISBLANK(M774),"",IFERROR(INDEX('Tournament List'!$D:$D,MATCH(M774,'Tournament List'!$A:$A,0)),""))</f>
        <v/>
      </c>
      <c r="O774" s="96" t="str">
        <f>IF(F774="Skeet",IFERROR(INDEX('Shooter-Squad Assignment'!$A:$A,MATCH(C774&amp;"-"&amp;E774&amp;"-"&amp;F774&amp;"-Pos5",'Shooter-Squad Assignment'!$K:$K,0)),""),IF(F774="Trap",IFERROR(INDEX('Shooter-Squad Assignment'!$A:$A,MATCH(C774&amp;"-"&amp;E774&amp;"-"&amp;F774&amp;"-Pos5",'Shooter-Squad Assignment'!$W:$W,0)),""),IF(F774="Sporting Clays",IFERROR(INDEX('Shooter-Squad Assignment'!$A:$A,MATCH(C774&amp;"-"&amp;E774&amp;"-"&amp;F774&amp;"-Pos5",'Shooter-Squad Assignment'!$Z:$Z,0)),""),"")))</f>
        <v/>
      </c>
      <c r="P774" s="89" t="str">
        <f>IF(ISBLANK(O774),"",IFERROR(INDEX('Tournament List'!$D:$D,MATCH(O774,'Tournament List'!$A:$A,0)),""))</f>
        <v/>
      </c>
    </row>
    <row r="775" spans="1:16" x14ac:dyDescent="0.3">
      <c r="A775" s="87">
        <v>774</v>
      </c>
      <c r="B775" s="88" t="str">
        <f>C775&amp;"-"&amp;E775&amp;"-"&amp;F775</f>
        <v>-Open 2-Sporting Clays</v>
      </c>
      <c r="C775" s="88"/>
      <c r="D775" s="88" t="str">
        <f>INDEX('Tournament Setup'!$B$59:$B$78,MATCH(E775,SquadConcurrents,0))</f>
        <v>Open</v>
      </c>
      <c r="E775" s="88" t="s">
        <v>347</v>
      </c>
      <c r="F775" s="88" t="s">
        <v>148</v>
      </c>
      <c r="G775" s="96" t="str">
        <f>IF(F775="Skeet",IFERROR(INDEX('Shooter-Squad Assignment'!$A:$A,MATCH(C775&amp;"-"&amp;E775&amp;"-"&amp;F775&amp;"-Pos1",'Shooter-Squad Assignment'!$K:$K,0)),""),IF(F775="Trap",IFERROR(INDEX('Shooter-Squad Assignment'!$A:$A,MATCH(C775&amp;"-"&amp;E775&amp;"-"&amp;F775&amp;"-Pos1",'Shooter-Squad Assignment'!$W:$W,0)),""),IF(F775="Sporting Clays",IFERROR(INDEX('Shooter-Squad Assignment'!$A:$A,MATCH(C775&amp;"-"&amp;E775&amp;"-"&amp;F775&amp;"-Pos1",'Shooter-Squad Assignment'!$Z:$Z,0)),""),"")))</f>
        <v/>
      </c>
      <c r="H775" s="88" t="str">
        <f>IF(ISBLANK(G775),"",IFERROR(INDEX('Tournament List'!$D:$D,MATCH(G775,'Tournament List'!$A:$A,0)),""))</f>
        <v/>
      </c>
      <c r="I775" s="96" t="str">
        <f>IF(F775="Skeet",IFERROR(INDEX('Shooter-Squad Assignment'!$A:$A,MATCH(C775&amp;"-"&amp;E775&amp;"-"&amp;F775&amp;"-Pos2",'Shooter-Squad Assignment'!$K:$K,0)),""),IF(F775="Trap",IFERROR(INDEX('Shooter-Squad Assignment'!$A:$A,MATCH(C775&amp;"-"&amp;E775&amp;"-"&amp;F775&amp;"-Pos2",'Shooter-Squad Assignment'!$W:$W,0)),""),IF(F775="Sporting Clays",IFERROR(INDEX('Shooter-Squad Assignment'!$A:$A,MATCH(C775&amp;"-"&amp;E775&amp;"-"&amp;F775&amp;"-Pos2",'Shooter-Squad Assignment'!$Z:$Z,0)),""),"")))</f>
        <v/>
      </c>
      <c r="J775" s="88" t="str">
        <f>IF(ISBLANK(I775),"",IFERROR(INDEX('Tournament List'!$D:$D,MATCH(I775,'Tournament List'!$A:$A,0)),""))</f>
        <v/>
      </c>
      <c r="K775" s="96" t="str">
        <f>IF(F775="Skeet",IFERROR(INDEX('Shooter-Squad Assignment'!$A:$A,MATCH(C775&amp;"-"&amp;E775&amp;"-"&amp;F775&amp;"-Pos3",'Shooter-Squad Assignment'!$K:$K,0)),""),IF(F775="Trap",IFERROR(INDEX('Shooter-Squad Assignment'!$A:$A,MATCH(C775&amp;"-"&amp;E775&amp;"-"&amp;F775&amp;"-Pos3",'Shooter-Squad Assignment'!$W:$W,0)),""),IF(F775="Sporting Clays",IFERROR(INDEX('Shooter-Squad Assignment'!$A:$A,MATCH(C775&amp;"-"&amp;E775&amp;"-"&amp;F775&amp;"-Pos3",'Shooter-Squad Assignment'!$Z:$Z,0)),""),"")))</f>
        <v/>
      </c>
      <c r="L775" s="88" t="str">
        <f>IF(ISBLANK(K775),"",IFERROR(INDEX('Tournament List'!$D:$D,MATCH(K775,'Tournament List'!$A:$A,0)),""))</f>
        <v/>
      </c>
      <c r="M775" s="96" t="str">
        <f>IF(F775="Skeet",IFERROR(INDEX('Shooter-Squad Assignment'!$A:$A,MATCH(C775&amp;"-"&amp;E775&amp;"-"&amp;F775&amp;"-Pos4",'Shooter-Squad Assignment'!$K:$K,0)),""),IF(F775="Trap",IFERROR(INDEX('Shooter-Squad Assignment'!$A:$A,MATCH(C775&amp;"-"&amp;E775&amp;"-"&amp;F775&amp;"-Pos4",'Shooter-Squad Assignment'!$W:$W,0)),""),IF(F775="Sporting Clays",IFERROR(INDEX('Shooter-Squad Assignment'!$A:$A,MATCH(C775&amp;"-"&amp;E775&amp;"-"&amp;F775&amp;"-Pos4",'Shooter-Squad Assignment'!$Z:$Z,0)),""),"")))</f>
        <v/>
      </c>
      <c r="N775" s="88" t="str">
        <f>IF(ISBLANK(M775),"",IFERROR(INDEX('Tournament List'!$D:$D,MATCH(M775,'Tournament List'!$A:$A,0)),""))</f>
        <v/>
      </c>
      <c r="O775" s="96" t="str">
        <f>IF(F775="Skeet",IFERROR(INDEX('Shooter-Squad Assignment'!$A:$A,MATCH(C775&amp;"-"&amp;E775&amp;"-"&amp;F775&amp;"-Pos5",'Shooter-Squad Assignment'!$K:$K,0)),""),IF(F775="Trap",IFERROR(INDEX('Shooter-Squad Assignment'!$A:$A,MATCH(C775&amp;"-"&amp;E775&amp;"-"&amp;F775&amp;"-Pos5",'Shooter-Squad Assignment'!$W:$W,0)),""),IF(F775="Sporting Clays",IFERROR(INDEX('Shooter-Squad Assignment'!$A:$A,MATCH(C775&amp;"-"&amp;E775&amp;"-"&amp;F775&amp;"-Pos5",'Shooter-Squad Assignment'!$Z:$Z,0)),""),"")))</f>
        <v/>
      </c>
      <c r="P775" s="89" t="str">
        <f>IF(ISBLANK(O775),"",IFERROR(INDEX('Tournament List'!$D:$D,MATCH(O775,'Tournament List'!$A:$A,0)),""))</f>
        <v/>
      </c>
    </row>
    <row r="776" spans="1:16" x14ac:dyDescent="0.3">
      <c r="A776" s="87">
        <v>775</v>
      </c>
      <c r="B776" s="88" t="str">
        <f>C776&amp;"-"&amp;E776&amp;"-"&amp;F776</f>
        <v>-Open 3-Sporting Clays</v>
      </c>
      <c r="C776" s="88"/>
      <c r="D776" s="88" t="str">
        <f>INDEX('Tournament Setup'!$B$59:$B$78,MATCH(E776,SquadConcurrents,0))</f>
        <v>Open</v>
      </c>
      <c r="E776" s="88" t="s">
        <v>353</v>
      </c>
      <c r="F776" s="88" t="s">
        <v>148</v>
      </c>
      <c r="G776" s="96" t="str">
        <f>IF(F776="Skeet",IFERROR(INDEX('Shooter-Squad Assignment'!$A:$A,MATCH(C776&amp;"-"&amp;E776&amp;"-"&amp;F776&amp;"-Pos1",'Shooter-Squad Assignment'!$K:$K,0)),""),IF(F776="Trap",IFERROR(INDEX('Shooter-Squad Assignment'!$A:$A,MATCH(C776&amp;"-"&amp;E776&amp;"-"&amp;F776&amp;"-Pos1",'Shooter-Squad Assignment'!$W:$W,0)),""),IF(F776="Sporting Clays",IFERROR(INDEX('Shooter-Squad Assignment'!$A:$A,MATCH(C776&amp;"-"&amp;E776&amp;"-"&amp;F776&amp;"-Pos1",'Shooter-Squad Assignment'!$Z:$Z,0)),""),"")))</f>
        <v/>
      </c>
      <c r="H776" s="88" t="str">
        <f>IF(ISBLANK(G776),"",IFERROR(INDEX('Tournament List'!$D:$D,MATCH(G776,'Tournament List'!$A:$A,0)),""))</f>
        <v/>
      </c>
      <c r="I776" s="96" t="str">
        <f>IF(F776="Skeet",IFERROR(INDEX('Shooter-Squad Assignment'!$A:$A,MATCH(C776&amp;"-"&amp;E776&amp;"-"&amp;F776&amp;"-Pos2",'Shooter-Squad Assignment'!$K:$K,0)),""),IF(F776="Trap",IFERROR(INDEX('Shooter-Squad Assignment'!$A:$A,MATCH(C776&amp;"-"&amp;E776&amp;"-"&amp;F776&amp;"-Pos2",'Shooter-Squad Assignment'!$W:$W,0)),""),IF(F776="Sporting Clays",IFERROR(INDEX('Shooter-Squad Assignment'!$A:$A,MATCH(C776&amp;"-"&amp;E776&amp;"-"&amp;F776&amp;"-Pos2",'Shooter-Squad Assignment'!$Z:$Z,0)),""),"")))</f>
        <v/>
      </c>
      <c r="J776" s="88" t="str">
        <f>IF(ISBLANK(I776),"",IFERROR(INDEX('Tournament List'!$D:$D,MATCH(I776,'Tournament List'!$A:$A,0)),""))</f>
        <v/>
      </c>
      <c r="K776" s="96" t="str">
        <f>IF(F776="Skeet",IFERROR(INDEX('Shooter-Squad Assignment'!$A:$A,MATCH(C776&amp;"-"&amp;E776&amp;"-"&amp;F776&amp;"-Pos3",'Shooter-Squad Assignment'!$K:$K,0)),""),IF(F776="Trap",IFERROR(INDEX('Shooter-Squad Assignment'!$A:$A,MATCH(C776&amp;"-"&amp;E776&amp;"-"&amp;F776&amp;"-Pos3",'Shooter-Squad Assignment'!$W:$W,0)),""),IF(F776="Sporting Clays",IFERROR(INDEX('Shooter-Squad Assignment'!$A:$A,MATCH(C776&amp;"-"&amp;E776&amp;"-"&amp;F776&amp;"-Pos3",'Shooter-Squad Assignment'!$Z:$Z,0)),""),"")))</f>
        <v/>
      </c>
      <c r="L776" s="88" t="str">
        <f>IF(ISBLANK(K776),"",IFERROR(INDEX('Tournament List'!$D:$D,MATCH(K776,'Tournament List'!$A:$A,0)),""))</f>
        <v/>
      </c>
      <c r="M776" s="96" t="str">
        <f>IF(F776="Skeet",IFERROR(INDEX('Shooter-Squad Assignment'!$A:$A,MATCH(C776&amp;"-"&amp;E776&amp;"-"&amp;F776&amp;"-Pos4",'Shooter-Squad Assignment'!$K:$K,0)),""),IF(F776="Trap",IFERROR(INDEX('Shooter-Squad Assignment'!$A:$A,MATCH(C776&amp;"-"&amp;E776&amp;"-"&amp;F776&amp;"-Pos4",'Shooter-Squad Assignment'!$W:$W,0)),""),IF(F776="Sporting Clays",IFERROR(INDEX('Shooter-Squad Assignment'!$A:$A,MATCH(C776&amp;"-"&amp;E776&amp;"-"&amp;F776&amp;"-Pos4",'Shooter-Squad Assignment'!$Z:$Z,0)),""),"")))</f>
        <v/>
      </c>
      <c r="N776" s="88" t="str">
        <f>IF(ISBLANK(M776),"",IFERROR(INDEX('Tournament List'!$D:$D,MATCH(M776,'Tournament List'!$A:$A,0)),""))</f>
        <v/>
      </c>
      <c r="O776" s="96" t="str">
        <f>IF(F776="Skeet",IFERROR(INDEX('Shooter-Squad Assignment'!$A:$A,MATCH(C776&amp;"-"&amp;E776&amp;"-"&amp;F776&amp;"-Pos5",'Shooter-Squad Assignment'!$K:$K,0)),""),IF(F776="Trap",IFERROR(INDEX('Shooter-Squad Assignment'!$A:$A,MATCH(C776&amp;"-"&amp;E776&amp;"-"&amp;F776&amp;"-Pos5",'Shooter-Squad Assignment'!$W:$W,0)),""),IF(F776="Sporting Clays",IFERROR(INDEX('Shooter-Squad Assignment'!$A:$A,MATCH(C776&amp;"-"&amp;E776&amp;"-"&amp;F776&amp;"-Pos5",'Shooter-Squad Assignment'!$Z:$Z,0)),""),"")))</f>
        <v/>
      </c>
      <c r="P776" s="89" t="str">
        <f>IF(ISBLANK(O776),"",IFERROR(INDEX('Tournament List'!$D:$D,MATCH(O776,'Tournament List'!$A:$A,0)),""))</f>
        <v/>
      </c>
    </row>
    <row r="777" spans="1:16" x14ac:dyDescent="0.3">
      <c r="A777" s="87">
        <v>776</v>
      </c>
      <c r="B777" s="88" t="str">
        <f>C777&amp;"-"&amp;E777&amp;"-"&amp;F777</f>
        <v>-Unassigned 1-Sporting Clays</v>
      </c>
      <c r="C777" s="88"/>
      <c r="D777" s="88" t="str">
        <f>INDEX('Tournament Setup'!$B$59:$B$78,MATCH(E777,SquadConcurrents,0))</f>
        <v>Unassigned</v>
      </c>
      <c r="E777" s="88" t="s">
        <v>762</v>
      </c>
      <c r="F777" s="88" t="s">
        <v>148</v>
      </c>
      <c r="G777" s="96" t="str">
        <f>IF(F777="Skeet",IFERROR(INDEX('Shooter-Squad Assignment'!$A:$A,MATCH(C777&amp;"-"&amp;E777&amp;"-"&amp;F777&amp;"-Pos1",'Shooter-Squad Assignment'!$K:$K,0)),""),IF(F777="Trap",IFERROR(INDEX('Shooter-Squad Assignment'!$A:$A,MATCH(C777&amp;"-"&amp;E777&amp;"-"&amp;F777&amp;"-Pos1",'Shooter-Squad Assignment'!$W:$W,0)),""),IF(F777="Sporting Clays",IFERROR(INDEX('Shooter-Squad Assignment'!$A:$A,MATCH(C777&amp;"-"&amp;E777&amp;"-"&amp;F777&amp;"-Pos1",'Shooter-Squad Assignment'!$Z:$Z,0)),""),"")))</f>
        <v/>
      </c>
      <c r="H777" s="88" t="str">
        <f>IF(ISBLANK(G777),"",IFERROR(INDEX('Tournament List'!$D:$D,MATCH(G777,'Tournament List'!$A:$A,0)),""))</f>
        <v/>
      </c>
      <c r="I777" s="96" t="str">
        <f>IF(F777="Skeet",IFERROR(INDEX('Shooter-Squad Assignment'!$A:$A,MATCH(C777&amp;"-"&amp;E777&amp;"-"&amp;F777&amp;"-Pos2",'Shooter-Squad Assignment'!$K:$K,0)),""),IF(F777="Trap",IFERROR(INDEX('Shooter-Squad Assignment'!$A:$A,MATCH(C777&amp;"-"&amp;E777&amp;"-"&amp;F777&amp;"-Pos2",'Shooter-Squad Assignment'!$W:$W,0)),""),IF(F777="Sporting Clays",IFERROR(INDEX('Shooter-Squad Assignment'!$A:$A,MATCH(C777&amp;"-"&amp;E777&amp;"-"&amp;F777&amp;"-Pos2",'Shooter-Squad Assignment'!$Z:$Z,0)),""),"")))</f>
        <v/>
      </c>
      <c r="J777" s="88" t="str">
        <f>IF(ISBLANK(I777),"",IFERROR(INDEX('Tournament List'!$D:$D,MATCH(I777,'Tournament List'!$A:$A,0)),""))</f>
        <v/>
      </c>
      <c r="K777" s="96" t="str">
        <f>IF(F777="Skeet",IFERROR(INDEX('Shooter-Squad Assignment'!$A:$A,MATCH(C777&amp;"-"&amp;E777&amp;"-"&amp;F777&amp;"-Pos3",'Shooter-Squad Assignment'!$K:$K,0)),""),IF(F777="Trap",IFERROR(INDEX('Shooter-Squad Assignment'!$A:$A,MATCH(C777&amp;"-"&amp;E777&amp;"-"&amp;F777&amp;"-Pos3",'Shooter-Squad Assignment'!$W:$W,0)),""),IF(F777="Sporting Clays",IFERROR(INDEX('Shooter-Squad Assignment'!$A:$A,MATCH(C777&amp;"-"&amp;E777&amp;"-"&amp;F777&amp;"-Pos3",'Shooter-Squad Assignment'!$Z:$Z,0)),""),"")))</f>
        <v/>
      </c>
      <c r="L777" s="88" t="str">
        <f>IF(ISBLANK(K777),"",IFERROR(INDEX('Tournament List'!$D:$D,MATCH(K777,'Tournament List'!$A:$A,0)),""))</f>
        <v/>
      </c>
      <c r="M777" s="96" t="str">
        <f>IF(F777="Skeet",IFERROR(INDEX('Shooter-Squad Assignment'!$A:$A,MATCH(C777&amp;"-"&amp;E777&amp;"-"&amp;F777&amp;"-Pos4",'Shooter-Squad Assignment'!$K:$K,0)),""),IF(F777="Trap",IFERROR(INDEX('Shooter-Squad Assignment'!$A:$A,MATCH(C777&amp;"-"&amp;E777&amp;"-"&amp;F777&amp;"-Pos4",'Shooter-Squad Assignment'!$W:$W,0)),""),IF(F777="Sporting Clays",IFERROR(INDEX('Shooter-Squad Assignment'!$A:$A,MATCH(C777&amp;"-"&amp;E777&amp;"-"&amp;F777&amp;"-Pos4",'Shooter-Squad Assignment'!$Z:$Z,0)),""),"")))</f>
        <v/>
      </c>
      <c r="N777" s="88" t="str">
        <f>IF(ISBLANK(M777),"",IFERROR(INDEX('Tournament List'!$D:$D,MATCH(M777,'Tournament List'!$A:$A,0)),""))</f>
        <v/>
      </c>
      <c r="O777" s="96" t="str">
        <f>IF(F777="Skeet",IFERROR(INDEX('Shooter-Squad Assignment'!$A:$A,MATCH(C777&amp;"-"&amp;E777&amp;"-"&amp;F777&amp;"-Pos5",'Shooter-Squad Assignment'!$K:$K,0)),""),IF(F777="Trap",IFERROR(INDEX('Shooter-Squad Assignment'!$A:$A,MATCH(C777&amp;"-"&amp;E777&amp;"-"&amp;F777&amp;"-Pos5",'Shooter-Squad Assignment'!$W:$W,0)),""),IF(F777="Sporting Clays",IFERROR(INDEX('Shooter-Squad Assignment'!$A:$A,MATCH(C777&amp;"-"&amp;E777&amp;"-"&amp;F777&amp;"-Pos5",'Shooter-Squad Assignment'!$Z:$Z,0)),""),"")))</f>
        <v/>
      </c>
      <c r="P777" s="89" t="str">
        <f>IF(ISBLANK(O777),"",IFERROR(INDEX('Tournament List'!$D:$D,MATCH(O777,'Tournament List'!$A:$A,0)),""))</f>
        <v/>
      </c>
    </row>
    <row r="778" spans="1:16" x14ac:dyDescent="0.3">
      <c r="A778" s="87">
        <v>777</v>
      </c>
      <c r="B778" s="88" t="str">
        <f>C778&amp;"-"&amp;E778&amp;"-"&amp;F778</f>
        <v>-Varsity 1-Sporting Clays</v>
      </c>
      <c r="C778" s="88"/>
      <c r="D778" s="88" t="str">
        <f>INDEX('Tournament Setup'!$B$59:$B$78,MATCH(E778,SquadConcurrents,0))</f>
        <v>Varsity</v>
      </c>
      <c r="E778" s="88" t="s">
        <v>340</v>
      </c>
      <c r="F778" s="88" t="s">
        <v>148</v>
      </c>
      <c r="G778" s="96" t="str">
        <f>IF(F778="Skeet",IFERROR(INDEX('Shooter-Squad Assignment'!$A:$A,MATCH(C778&amp;"-"&amp;E778&amp;"-"&amp;F778&amp;"-Pos1",'Shooter-Squad Assignment'!$K:$K,0)),""),IF(F778="Trap",IFERROR(INDEX('Shooter-Squad Assignment'!$A:$A,MATCH(C778&amp;"-"&amp;E778&amp;"-"&amp;F778&amp;"-Pos1",'Shooter-Squad Assignment'!$W:$W,0)),""),IF(F778="Sporting Clays",IFERROR(INDEX('Shooter-Squad Assignment'!$A:$A,MATCH(C778&amp;"-"&amp;E778&amp;"-"&amp;F778&amp;"-Pos1",'Shooter-Squad Assignment'!$Z:$Z,0)),""),"")))</f>
        <v/>
      </c>
      <c r="H778" s="88" t="str">
        <f>IF(ISBLANK(G778),"",IFERROR(INDEX('Tournament List'!$D:$D,MATCH(G778,'Tournament List'!$A:$A,0)),""))</f>
        <v/>
      </c>
      <c r="I778" s="96" t="str">
        <f>IF(F778="Skeet",IFERROR(INDEX('Shooter-Squad Assignment'!$A:$A,MATCH(C778&amp;"-"&amp;E778&amp;"-"&amp;F778&amp;"-Pos2",'Shooter-Squad Assignment'!$K:$K,0)),""),IF(F778="Trap",IFERROR(INDEX('Shooter-Squad Assignment'!$A:$A,MATCH(C778&amp;"-"&amp;E778&amp;"-"&amp;F778&amp;"-Pos2",'Shooter-Squad Assignment'!$W:$W,0)),""),IF(F778="Sporting Clays",IFERROR(INDEX('Shooter-Squad Assignment'!$A:$A,MATCH(C778&amp;"-"&amp;E778&amp;"-"&amp;F778&amp;"-Pos2",'Shooter-Squad Assignment'!$Z:$Z,0)),""),"")))</f>
        <v/>
      </c>
      <c r="J778" s="88" t="str">
        <f>IF(ISBLANK(I778),"",IFERROR(INDEX('Tournament List'!$D:$D,MATCH(I778,'Tournament List'!$A:$A,0)),""))</f>
        <v/>
      </c>
      <c r="K778" s="96" t="str">
        <f>IF(F778="Skeet",IFERROR(INDEX('Shooter-Squad Assignment'!$A:$A,MATCH(C778&amp;"-"&amp;E778&amp;"-"&amp;F778&amp;"-Pos3",'Shooter-Squad Assignment'!$K:$K,0)),""),IF(F778="Trap",IFERROR(INDEX('Shooter-Squad Assignment'!$A:$A,MATCH(C778&amp;"-"&amp;E778&amp;"-"&amp;F778&amp;"-Pos3",'Shooter-Squad Assignment'!$W:$W,0)),""),IF(F778="Sporting Clays",IFERROR(INDEX('Shooter-Squad Assignment'!$A:$A,MATCH(C778&amp;"-"&amp;E778&amp;"-"&amp;F778&amp;"-Pos3",'Shooter-Squad Assignment'!$Z:$Z,0)),""),"")))</f>
        <v/>
      </c>
      <c r="L778" s="88" t="str">
        <f>IF(ISBLANK(K778),"",IFERROR(INDEX('Tournament List'!$D:$D,MATCH(K778,'Tournament List'!$A:$A,0)),""))</f>
        <v/>
      </c>
      <c r="M778" s="96" t="str">
        <f>IF(F778="Skeet",IFERROR(INDEX('Shooter-Squad Assignment'!$A:$A,MATCH(C778&amp;"-"&amp;E778&amp;"-"&amp;F778&amp;"-Pos4",'Shooter-Squad Assignment'!$K:$K,0)),""),IF(F778="Trap",IFERROR(INDEX('Shooter-Squad Assignment'!$A:$A,MATCH(C778&amp;"-"&amp;E778&amp;"-"&amp;F778&amp;"-Pos4",'Shooter-Squad Assignment'!$W:$W,0)),""),IF(F778="Sporting Clays",IFERROR(INDEX('Shooter-Squad Assignment'!$A:$A,MATCH(C778&amp;"-"&amp;E778&amp;"-"&amp;F778&amp;"-Pos4",'Shooter-Squad Assignment'!$Z:$Z,0)),""),"")))</f>
        <v/>
      </c>
      <c r="N778" s="88" t="str">
        <f>IF(ISBLANK(M778),"",IFERROR(INDEX('Tournament List'!$D:$D,MATCH(M778,'Tournament List'!$A:$A,0)),""))</f>
        <v/>
      </c>
      <c r="O778" s="96" t="str">
        <f>IF(F778="Skeet",IFERROR(INDEX('Shooter-Squad Assignment'!$A:$A,MATCH(C778&amp;"-"&amp;E778&amp;"-"&amp;F778&amp;"-Pos5",'Shooter-Squad Assignment'!$K:$K,0)),""),IF(F778="Trap",IFERROR(INDEX('Shooter-Squad Assignment'!$A:$A,MATCH(C778&amp;"-"&amp;E778&amp;"-"&amp;F778&amp;"-Pos5",'Shooter-Squad Assignment'!$W:$W,0)),""),IF(F778="Sporting Clays",IFERROR(INDEX('Shooter-Squad Assignment'!$A:$A,MATCH(C778&amp;"-"&amp;E778&amp;"-"&amp;F778&amp;"-Pos5",'Shooter-Squad Assignment'!$Z:$Z,0)),""),"")))</f>
        <v/>
      </c>
      <c r="P778" s="89" t="str">
        <f>IF(ISBLANK(O778),"",IFERROR(INDEX('Tournament List'!$D:$D,MATCH(O778,'Tournament List'!$A:$A,0)),""))</f>
        <v/>
      </c>
    </row>
    <row r="779" spans="1:16" x14ac:dyDescent="0.3">
      <c r="A779" s="87">
        <v>778</v>
      </c>
      <c r="B779" s="88" t="str">
        <f>C779&amp;"-"&amp;E779&amp;"-"&amp;F779</f>
        <v>-Varsity 2-Sporting Clays</v>
      </c>
      <c r="C779" s="88"/>
      <c r="D779" s="88" t="str">
        <f>INDEX('Tournament Setup'!$B$59:$B$78,MATCH(E779,SquadConcurrents,0))</f>
        <v>Varsity</v>
      </c>
      <c r="E779" s="88" t="s">
        <v>346</v>
      </c>
      <c r="F779" s="88" t="s">
        <v>148</v>
      </c>
      <c r="G779" s="96" t="str">
        <f>IF(F779="Skeet",IFERROR(INDEX('Shooter-Squad Assignment'!$A:$A,MATCH(C779&amp;"-"&amp;E779&amp;"-"&amp;F779&amp;"-Pos1",'Shooter-Squad Assignment'!$K:$K,0)),""),IF(F779="Trap",IFERROR(INDEX('Shooter-Squad Assignment'!$A:$A,MATCH(C779&amp;"-"&amp;E779&amp;"-"&amp;F779&amp;"-Pos1",'Shooter-Squad Assignment'!$W:$W,0)),""),IF(F779="Sporting Clays",IFERROR(INDEX('Shooter-Squad Assignment'!$A:$A,MATCH(C779&amp;"-"&amp;E779&amp;"-"&amp;F779&amp;"-Pos1",'Shooter-Squad Assignment'!$Z:$Z,0)),""),"")))</f>
        <v/>
      </c>
      <c r="H779" s="88" t="str">
        <f>IF(ISBLANK(G779),"",IFERROR(INDEX('Tournament List'!$D:$D,MATCH(G779,'Tournament List'!$A:$A,0)),""))</f>
        <v/>
      </c>
      <c r="I779" s="96" t="str">
        <f>IF(F779="Skeet",IFERROR(INDEX('Shooter-Squad Assignment'!$A:$A,MATCH(C779&amp;"-"&amp;E779&amp;"-"&amp;F779&amp;"-Pos2",'Shooter-Squad Assignment'!$K:$K,0)),""),IF(F779="Trap",IFERROR(INDEX('Shooter-Squad Assignment'!$A:$A,MATCH(C779&amp;"-"&amp;E779&amp;"-"&amp;F779&amp;"-Pos2",'Shooter-Squad Assignment'!$W:$W,0)),""),IF(F779="Sporting Clays",IFERROR(INDEX('Shooter-Squad Assignment'!$A:$A,MATCH(C779&amp;"-"&amp;E779&amp;"-"&amp;F779&amp;"-Pos2",'Shooter-Squad Assignment'!$Z:$Z,0)),""),"")))</f>
        <v/>
      </c>
      <c r="J779" s="88" t="str">
        <f>IF(ISBLANK(I779),"",IFERROR(INDEX('Tournament List'!$D:$D,MATCH(I779,'Tournament List'!$A:$A,0)),""))</f>
        <v/>
      </c>
      <c r="K779" s="96" t="str">
        <f>IF(F779="Skeet",IFERROR(INDEX('Shooter-Squad Assignment'!$A:$A,MATCH(C779&amp;"-"&amp;E779&amp;"-"&amp;F779&amp;"-Pos3",'Shooter-Squad Assignment'!$K:$K,0)),""),IF(F779="Trap",IFERROR(INDEX('Shooter-Squad Assignment'!$A:$A,MATCH(C779&amp;"-"&amp;E779&amp;"-"&amp;F779&amp;"-Pos3",'Shooter-Squad Assignment'!$W:$W,0)),""),IF(F779="Sporting Clays",IFERROR(INDEX('Shooter-Squad Assignment'!$A:$A,MATCH(C779&amp;"-"&amp;E779&amp;"-"&amp;F779&amp;"-Pos3",'Shooter-Squad Assignment'!$Z:$Z,0)),""),"")))</f>
        <v/>
      </c>
      <c r="L779" s="88" t="str">
        <f>IF(ISBLANK(K779),"",IFERROR(INDEX('Tournament List'!$D:$D,MATCH(K779,'Tournament List'!$A:$A,0)),""))</f>
        <v/>
      </c>
      <c r="M779" s="96" t="str">
        <f>IF(F779="Skeet",IFERROR(INDEX('Shooter-Squad Assignment'!$A:$A,MATCH(C779&amp;"-"&amp;E779&amp;"-"&amp;F779&amp;"-Pos4",'Shooter-Squad Assignment'!$K:$K,0)),""),IF(F779="Trap",IFERROR(INDEX('Shooter-Squad Assignment'!$A:$A,MATCH(C779&amp;"-"&amp;E779&amp;"-"&amp;F779&amp;"-Pos4",'Shooter-Squad Assignment'!$W:$W,0)),""),IF(F779="Sporting Clays",IFERROR(INDEX('Shooter-Squad Assignment'!$A:$A,MATCH(C779&amp;"-"&amp;E779&amp;"-"&amp;F779&amp;"-Pos4",'Shooter-Squad Assignment'!$Z:$Z,0)),""),"")))</f>
        <v/>
      </c>
      <c r="N779" s="88" t="str">
        <f>IF(ISBLANK(M779),"",IFERROR(INDEX('Tournament List'!$D:$D,MATCH(M779,'Tournament List'!$A:$A,0)),""))</f>
        <v/>
      </c>
      <c r="O779" s="96" t="str">
        <f>IF(F779="Skeet",IFERROR(INDEX('Shooter-Squad Assignment'!$A:$A,MATCH(C779&amp;"-"&amp;E779&amp;"-"&amp;F779&amp;"-Pos5",'Shooter-Squad Assignment'!$K:$K,0)),""),IF(F779="Trap",IFERROR(INDEX('Shooter-Squad Assignment'!$A:$A,MATCH(C779&amp;"-"&amp;E779&amp;"-"&amp;F779&amp;"-Pos5",'Shooter-Squad Assignment'!$W:$W,0)),""),IF(F779="Sporting Clays",IFERROR(INDEX('Shooter-Squad Assignment'!$A:$A,MATCH(C779&amp;"-"&amp;E779&amp;"-"&amp;F779&amp;"-Pos5",'Shooter-Squad Assignment'!$Z:$Z,0)),""),"")))</f>
        <v/>
      </c>
      <c r="P779" s="89" t="str">
        <f>IF(ISBLANK(O779),"",IFERROR(INDEX('Tournament List'!$D:$D,MATCH(O779,'Tournament List'!$A:$A,0)),""))</f>
        <v/>
      </c>
    </row>
    <row r="780" spans="1:16" x14ac:dyDescent="0.3">
      <c r="A780" s="87">
        <v>779</v>
      </c>
      <c r="B780" s="88" t="str">
        <f>C780&amp;"-"&amp;E780&amp;"-"&amp;F780</f>
        <v>-Varsity 3-Sporting Clays</v>
      </c>
      <c r="C780" s="88"/>
      <c r="D780" s="88" t="str">
        <f>INDEX('Tournament Setup'!$B$59:$B$78,MATCH(E780,SquadConcurrents,0))</f>
        <v>Varsity</v>
      </c>
      <c r="E780" s="88" t="s">
        <v>352</v>
      </c>
      <c r="F780" s="88" t="s">
        <v>148</v>
      </c>
      <c r="G780" s="96" t="str">
        <f>IF(F780="Skeet",IFERROR(INDEX('Shooter-Squad Assignment'!$A:$A,MATCH(C780&amp;"-"&amp;E780&amp;"-"&amp;F780&amp;"-Pos1",'Shooter-Squad Assignment'!$K:$K,0)),""),IF(F780="Trap",IFERROR(INDEX('Shooter-Squad Assignment'!$A:$A,MATCH(C780&amp;"-"&amp;E780&amp;"-"&amp;F780&amp;"-Pos1",'Shooter-Squad Assignment'!$W:$W,0)),""),IF(F780="Sporting Clays",IFERROR(INDEX('Shooter-Squad Assignment'!$A:$A,MATCH(C780&amp;"-"&amp;E780&amp;"-"&amp;F780&amp;"-Pos1",'Shooter-Squad Assignment'!$Z:$Z,0)),""),"")))</f>
        <v/>
      </c>
      <c r="H780" s="88" t="str">
        <f>IF(ISBLANK(G780),"",IFERROR(INDEX('Tournament List'!$D:$D,MATCH(G780,'Tournament List'!$A:$A,0)),""))</f>
        <v/>
      </c>
      <c r="I780" s="96" t="str">
        <f>IF(F780="Skeet",IFERROR(INDEX('Shooter-Squad Assignment'!$A:$A,MATCH(C780&amp;"-"&amp;E780&amp;"-"&amp;F780&amp;"-Pos2",'Shooter-Squad Assignment'!$K:$K,0)),""),IF(F780="Trap",IFERROR(INDEX('Shooter-Squad Assignment'!$A:$A,MATCH(C780&amp;"-"&amp;E780&amp;"-"&amp;F780&amp;"-Pos2",'Shooter-Squad Assignment'!$W:$W,0)),""),IF(F780="Sporting Clays",IFERROR(INDEX('Shooter-Squad Assignment'!$A:$A,MATCH(C780&amp;"-"&amp;E780&amp;"-"&amp;F780&amp;"-Pos2",'Shooter-Squad Assignment'!$Z:$Z,0)),""),"")))</f>
        <v/>
      </c>
      <c r="J780" s="88" t="str">
        <f>IF(ISBLANK(I780),"",IFERROR(INDEX('Tournament List'!$D:$D,MATCH(I780,'Tournament List'!$A:$A,0)),""))</f>
        <v/>
      </c>
      <c r="K780" s="96" t="str">
        <f>IF(F780="Skeet",IFERROR(INDEX('Shooter-Squad Assignment'!$A:$A,MATCH(C780&amp;"-"&amp;E780&amp;"-"&amp;F780&amp;"-Pos3",'Shooter-Squad Assignment'!$K:$K,0)),""),IF(F780="Trap",IFERROR(INDEX('Shooter-Squad Assignment'!$A:$A,MATCH(C780&amp;"-"&amp;E780&amp;"-"&amp;F780&amp;"-Pos3",'Shooter-Squad Assignment'!$W:$W,0)),""),IF(F780="Sporting Clays",IFERROR(INDEX('Shooter-Squad Assignment'!$A:$A,MATCH(C780&amp;"-"&amp;E780&amp;"-"&amp;F780&amp;"-Pos3",'Shooter-Squad Assignment'!$Z:$Z,0)),""),"")))</f>
        <v/>
      </c>
      <c r="L780" s="88" t="str">
        <f>IF(ISBLANK(K780),"",IFERROR(INDEX('Tournament List'!$D:$D,MATCH(K780,'Tournament List'!$A:$A,0)),""))</f>
        <v/>
      </c>
      <c r="M780" s="96" t="str">
        <f>IF(F780="Skeet",IFERROR(INDEX('Shooter-Squad Assignment'!$A:$A,MATCH(C780&amp;"-"&amp;E780&amp;"-"&amp;F780&amp;"-Pos4",'Shooter-Squad Assignment'!$K:$K,0)),""),IF(F780="Trap",IFERROR(INDEX('Shooter-Squad Assignment'!$A:$A,MATCH(C780&amp;"-"&amp;E780&amp;"-"&amp;F780&amp;"-Pos4",'Shooter-Squad Assignment'!$W:$W,0)),""),IF(F780="Sporting Clays",IFERROR(INDEX('Shooter-Squad Assignment'!$A:$A,MATCH(C780&amp;"-"&amp;E780&amp;"-"&amp;F780&amp;"-Pos4",'Shooter-Squad Assignment'!$Z:$Z,0)),""),"")))</f>
        <v/>
      </c>
      <c r="N780" s="88" t="str">
        <f>IF(ISBLANK(M780),"",IFERROR(INDEX('Tournament List'!$D:$D,MATCH(M780,'Tournament List'!$A:$A,0)),""))</f>
        <v/>
      </c>
      <c r="O780" s="96" t="str">
        <f>IF(F780="Skeet",IFERROR(INDEX('Shooter-Squad Assignment'!$A:$A,MATCH(C780&amp;"-"&amp;E780&amp;"-"&amp;F780&amp;"-Pos5",'Shooter-Squad Assignment'!$K:$K,0)),""),IF(F780="Trap",IFERROR(INDEX('Shooter-Squad Assignment'!$A:$A,MATCH(C780&amp;"-"&amp;E780&amp;"-"&amp;F780&amp;"-Pos5",'Shooter-Squad Assignment'!$W:$W,0)),""),IF(F780="Sporting Clays",IFERROR(INDEX('Shooter-Squad Assignment'!$A:$A,MATCH(C780&amp;"-"&amp;E780&amp;"-"&amp;F780&amp;"-Pos5",'Shooter-Squad Assignment'!$Z:$Z,0)),""),"")))</f>
        <v/>
      </c>
      <c r="P780" s="89" t="str">
        <f>IF(ISBLANK(O780),"",IFERROR(INDEX('Tournament List'!$D:$D,MATCH(O780,'Tournament List'!$A:$A,0)),""))</f>
        <v/>
      </c>
    </row>
    <row r="781" spans="1:16" x14ac:dyDescent="0.3">
      <c r="A781" s="87">
        <v>780</v>
      </c>
      <c r="B781" s="88" t="str">
        <f>C781&amp;"-"&amp;E781&amp;"-"&amp;F781</f>
        <v>-Collegiate 1-Trap</v>
      </c>
      <c r="C781" s="88"/>
      <c r="D781" s="88" t="str">
        <f>INDEX('Tournament Setup'!$B$59:$B$78,MATCH(E781,SquadConcurrents,0))</f>
        <v>Collegiate</v>
      </c>
      <c r="E781" s="88" t="s">
        <v>342</v>
      </c>
      <c r="F781" s="88" t="s">
        <v>147</v>
      </c>
      <c r="G781" s="96" t="str">
        <f>IF(F781="Skeet",IFERROR(INDEX('Shooter-Squad Assignment'!$A:$A,MATCH(C781&amp;"-"&amp;E781&amp;"-"&amp;F781&amp;"-Pos1",'Shooter-Squad Assignment'!$K:$K,0)),""),IF(F781="Trap",IFERROR(INDEX('Shooter-Squad Assignment'!$A:$A,MATCH(C781&amp;"-"&amp;E781&amp;"-"&amp;F781&amp;"-Pos1",'Shooter-Squad Assignment'!$W:$W,0)),""),IF(F781="Sporting Clays",IFERROR(INDEX('Shooter-Squad Assignment'!$A:$A,MATCH(C781&amp;"-"&amp;E781&amp;"-"&amp;F781&amp;"-Pos1",'Shooter-Squad Assignment'!$Z:$Z,0)),""),"")))</f>
        <v/>
      </c>
      <c r="H781" s="88" t="str">
        <f>IF(ISBLANK(G781),"",IFERROR(INDEX('Tournament List'!$D:$D,MATCH(G781,'Tournament List'!$A:$A,0)),""))</f>
        <v/>
      </c>
      <c r="I781" s="96" t="str">
        <f>IF(F781="Skeet",IFERROR(INDEX('Shooter-Squad Assignment'!$A:$A,MATCH(C781&amp;"-"&amp;E781&amp;"-"&amp;F781&amp;"-Pos2",'Shooter-Squad Assignment'!$K:$K,0)),""),IF(F781="Trap",IFERROR(INDEX('Shooter-Squad Assignment'!$A:$A,MATCH(C781&amp;"-"&amp;E781&amp;"-"&amp;F781&amp;"-Pos2",'Shooter-Squad Assignment'!$W:$W,0)),""),IF(F781="Sporting Clays",IFERROR(INDEX('Shooter-Squad Assignment'!$A:$A,MATCH(C781&amp;"-"&amp;E781&amp;"-"&amp;F781&amp;"-Pos2",'Shooter-Squad Assignment'!$Z:$Z,0)),""),"")))</f>
        <v/>
      </c>
      <c r="J781" s="88" t="str">
        <f>IF(ISBLANK(I781),"",IFERROR(INDEX('Tournament List'!$D:$D,MATCH(I781,'Tournament List'!$A:$A,0)),""))</f>
        <v/>
      </c>
      <c r="K781" s="96" t="str">
        <f>IF(F781="Skeet",IFERROR(INDEX('Shooter-Squad Assignment'!$A:$A,MATCH(C781&amp;"-"&amp;E781&amp;"-"&amp;F781&amp;"-Pos3",'Shooter-Squad Assignment'!$K:$K,0)),""),IF(F781="Trap",IFERROR(INDEX('Shooter-Squad Assignment'!$A:$A,MATCH(C781&amp;"-"&amp;E781&amp;"-"&amp;F781&amp;"-Pos3",'Shooter-Squad Assignment'!$W:$W,0)),""),IF(F781="Sporting Clays",IFERROR(INDEX('Shooter-Squad Assignment'!$A:$A,MATCH(C781&amp;"-"&amp;E781&amp;"-"&amp;F781&amp;"-Pos3",'Shooter-Squad Assignment'!$Z:$Z,0)),""),"")))</f>
        <v/>
      </c>
      <c r="L781" s="88" t="str">
        <f>IF(ISBLANK(K781),"",IFERROR(INDEX('Tournament List'!$D:$D,MATCH(K781,'Tournament List'!$A:$A,0)),""))</f>
        <v/>
      </c>
      <c r="M781" s="96" t="str">
        <f>IF(F781="Skeet",IFERROR(INDEX('Shooter-Squad Assignment'!$A:$A,MATCH(C781&amp;"-"&amp;E781&amp;"-"&amp;F781&amp;"-Pos4",'Shooter-Squad Assignment'!$K:$K,0)),""),IF(F781="Trap",IFERROR(INDEX('Shooter-Squad Assignment'!$A:$A,MATCH(C781&amp;"-"&amp;E781&amp;"-"&amp;F781&amp;"-Pos4",'Shooter-Squad Assignment'!$W:$W,0)),""),IF(F781="Sporting Clays",IFERROR(INDEX('Shooter-Squad Assignment'!$A:$A,MATCH(C781&amp;"-"&amp;E781&amp;"-"&amp;F781&amp;"-Pos4",'Shooter-Squad Assignment'!$Z:$Z,0)),""),"")))</f>
        <v/>
      </c>
      <c r="N781" s="88" t="str">
        <f>IF(ISBLANK(M781),"",IFERROR(INDEX('Tournament List'!$D:$D,MATCH(M781,'Tournament List'!$A:$A,0)),""))</f>
        <v/>
      </c>
      <c r="O781" s="96" t="str">
        <f>IF(F781="Skeet",IFERROR(INDEX('Shooter-Squad Assignment'!$A:$A,MATCH(C781&amp;"-"&amp;E781&amp;"-"&amp;F781&amp;"-Pos5",'Shooter-Squad Assignment'!$K:$K,0)),""),IF(F781="Trap",IFERROR(INDEX('Shooter-Squad Assignment'!$A:$A,MATCH(C781&amp;"-"&amp;E781&amp;"-"&amp;F781&amp;"-Pos5",'Shooter-Squad Assignment'!$W:$W,0)),""),IF(F781="Sporting Clays",IFERROR(INDEX('Shooter-Squad Assignment'!$A:$A,MATCH(C781&amp;"-"&amp;E781&amp;"-"&amp;F781&amp;"-Pos5",'Shooter-Squad Assignment'!$Z:$Z,0)),""),"")))</f>
        <v/>
      </c>
      <c r="P781" s="89" t="str">
        <f>IF(ISBLANK(O781),"",IFERROR(INDEX('Tournament List'!$D:$D,MATCH(O781,'Tournament List'!$A:$A,0)),""))</f>
        <v/>
      </c>
    </row>
    <row r="782" spans="1:16" x14ac:dyDescent="0.3">
      <c r="A782" s="87">
        <v>781</v>
      </c>
      <c r="B782" s="88" t="str">
        <f>C782&amp;"-"&amp;E782&amp;"-"&amp;F782</f>
        <v>-Collegiate 2-Trap</v>
      </c>
      <c r="C782" s="88"/>
      <c r="D782" s="88" t="str">
        <f>INDEX('Tournament Setup'!$B$59:$B$78,MATCH(E782,SquadConcurrents,0))</f>
        <v>Collegiate</v>
      </c>
      <c r="E782" s="88" t="s">
        <v>348</v>
      </c>
      <c r="F782" s="88" t="s">
        <v>147</v>
      </c>
      <c r="G782" s="96" t="str">
        <f>IF(F782="Skeet",IFERROR(INDEX('Shooter-Squad Assignment'!$A:$A,MATCH(C782&amp;"-"&amp;E782&amp;"-"&amp;F782&amp;"-Pos1",'Shooter-Squad Assignment'!$K:$K,0)),""),IF(F782="Trap",IFERROR(INDEX('Shooter-Squad Assignment'!$A:$A,MATCH(C782&amp;"-"&amp;E782&amp;"-"&amp;F782&amp;"-Pos1",'Shooter-Squad Assignment'!$W:$W,0)),""),IF(F782="Sporting Clays",IFERROR(INDEX('Shooter-Squad Assignment'!$A:$A,MATCH(C782&amp;"-"&amp;E782&amp;"-"&amp;F782&amp;"-Pos1",'Shooter-Squad Assignment'!$Z:$Z,0)),""),"")))</f>
        <v/>
      </c>
      <c r="H782" s="88" t="str">
        <f>IF(ISBLANK(G782),"",IFERROR(INDEX('Tournament List'!$D:$D,MATCH(G782,'Tournament List'!$A:$A,0)),""))</f>
        <v/>
      </c>
      <c r="I782" s="96" t="str">
        <f>IF(F782="Skeet",IFERROR(INDEX('Shooter-Squad Assignment'!$A:$A,MATCH(C782&amp;"-"&amp;E782&amp;"-"&amp;F782&amp;"-Pos2",'Shooter-Squad Assignment'!$K:$K,0)),""),IF(F782="Trap",IFERROR(INDEX('Shooter-Squad Assignment'!$A:$A,MATCH(C782&amp;"-"&amp;E782&amp;"-"&amp;F782&amp;"-Pos2",'Shooter-Squad Assignment'!$W:$W,0)),""),IF(F782="Sporting Clays",IFERROR(INDEX('Shooter-Squad Assignment'!$A:$A,MATCH(C782&amp;"-"&amp;E782&amp;"-"&amp;F782&amp;"-Pos2",'Shooter-Squad Assignment'!$Z:$Z,0)),""),"")))</f>
        <v/>
      </c>
      <c r="J782" s="88" t="str">
        <f>IF(ISBLANK(I782),"",IFERROR(INDEX('Tournament List'!$D:$D,MATCH(I782,'Tournament List'!$A:$A,0)),""))</f>
        <v/>
      </c>
      <c r="K782" s="96" t="str">
        <f>IF(F782="Skeet",IFERROR(INDEX('Shooter-Squad Assignment'!$A:$A,MATCH(C782&amp;"-"&amp;E782&amp;"-"&amp;F782&amp;"-Pos3",'Shooter-Squad Assignment'!$K:$K,0)),""),IF(F782="Trap",IFERROR(INDEX('Shooter-Squad Assignment'!$A:$A,MATCH(C782&amp;"-"&amp;E782&amp;"-"&amp;F782&amp;"-Pos3",'Shooter-Squad Assignment'!$W:$W,0)),""),IF(F782="Sporting Clays",IFERROR(INDEX('Shooter-Squad Assignment'!$A:$A,MATCH(C782&amp;"-"&amp;E782&amp;"-"&amp;F782&amp;"-Pos3",'Shooter-Squad Assignment'!$Z:$Z,0)),""),"")))</f>
        <v/>
      </c>
      <c r="L782" s="88" t="str">
        <f>IF(ISBLANK(K782),"",IFERROR(INDEX('Tournament List'!$D:$D,MATCH(K782,'Tournament List'!$A:$A,0)),""))</f>
        <v/>
      </c>
      <c r="M782" s="96" t="str">
        <f>IF(F782="Skeet",IFERROR(INDEX('Shooter-Squad Assignment'!$A:$A,MATCH(C782&amp;"-"&amp;E782&amp;"-"&amp;F782&amp;"-Pos4",'Shooter-Squad Assignment'!$K:$K,0)),""),IF(F782="Trap",IFERROR(INDEX('Shooter-Squad Assignment'!$A:$A,MATCH(C782&amp;"-"&amp;E782&amp;"-"&amp;F782&amp;"-Pos4",'Shooter-Squad Assignment'!$W:$W,0)),""),IF(F782="Sporting Clays",IFERROR(INDEX('Shooter-Squad Assignment'!$A:$A,MATCH(C782&amp;"-"&amp;E782&amp;"-"&amp;F782&amp;"-Pos4",'Shooter-Squad Assignment'!$Z:$Z,0)),""),"")))</f>
        <v/>
      </c>
      <c r="N782" s="88" t="str">
        <f>IF(ISBLANK(M782),"",IFERROR(INDEX('Tournament List'!$D:$D,MATCH(M782,'Tournament List'!$A:$A,0)),""))</f>
        <v/>
      </c>
      <c r="O782" s="96" t="str">
        <f>IF(F782="Skeet",IFERROR(INDEX('Shooter-Squad Assignment'!$A:$A,MATCH(C782&amp;"-"&amp;E782&amp;"-"&amp;F782&amp;"-Pos5",'Shooter-Squad Assignment'!$K:$K,0)),""),IF(F782="Trap",IFERROR(INDEX('Shooter-Squad Assignment'!$A:$A,MATCH(C782&amp;"-"&amp;E782&amp;"-"&amp;F782&amp;"-Pos5",'Shooter-Squad Assignment'!$W:$W,0)),""),IF(F782="Sporting Clays",IFERROR(INDEX('Shooter-Squad Assignment'!$A:$A,MATCH(C782&amp;"-"&amp;E782&amp;"-"&amp;F782&amp;"-Pos5",'Shooter-Squad Assignment'!$Z:$Z,0)),""),"")))</f>
        <v/>
      </c>
      <c r="P782" s="89" t="str">
        <f>IF(ISBLANK(O782),"",IFERROR(INDEX('Tournament List'!$D:$D,MATCH(O782,'Tournament List'!$A:$A,0)),""))</f>
        <v/>
      </c>
    </row>
    <row r="783" spans="1:16" x14ac:dyDescent="0.3">
      <c r="A783" s="87">
        <v>782</v>
      </c>
      <c r="B783" s="88" t="str">
        <f>C783&amp;"-"&amp;E783&amp;"-"&amp;F783</f>
        <v>-Collegiate 3-Trap</v>
      </c>
      <c r="C783" s="88"/>
      <c r="D783" s="88" t="str">
        <f>INDEX('Tournament Setup'!$B$59:$B$78,MATCH(E783,SquadConcurrents,0))</f>
        <v>Collegiate</v>
      </c>
      <c r="E783" s="88" t="s">
        <v>354</v>
      </c>
      <c r="F783" s="88" t="s">
        <v>147</v>
      </c>
      <c r="G783" s="96" t="str">
        <f>IF(F783="Skeet",IFERROR(INDEX('Shooter-Squad Assignment'!$A:$A,MATCH(C783&amp;"-"&amp;E783&amp;"-"&amp;F783&amp;"-Pos1",'Shooter-Squad Assignment'!$K:$K,0)),""),IF(F783="Trap",IFERROR(INDEX('Shooter-Squad Assignment'!$A:$A,MATCH(C783&amp;"-"&amp;E783&amp;"-"&amp;F783&amp;"-Pos1",'Shooter-Squad Assignment'!$W:$W,0)),""),IF(F783="Sporting Clays",IFERROR(INDEX('Shooter-Squad Assignment'!$A:$A,MATCH(C783&amp;"-"&amp;E783&amp;"-"&amp;F783&amp;"-Pos1",'Shooter-Squad Assignment'!$Z:$Z,0)),""),"")))</f>
        <v/>
      </c>
      <c r="H783" s="88" t="str">
        <f>IF(ISBLANK(G783),"",IFERROR(INDEX('Tournament List'!$D:$D,MATCH(G783,'Tournament List'!$A:$A,0)),""))</f>
        <v/>
      </c>
      <c r="I783" s="96" t="str">
        <f>IF(F783="Skeet",IFERROR(INDEX('Shooter-Squad Assignment'!$A:$A,MATCH(C783&amp;"-"&amp;E783&amp;"-"&amp;F783&amp;"-Pos2",'Shooter-Squad Assignment'!$K:$K,0)),""),IF(F783="Trap",IFERROR(INDEX('Shooter-Squad Assignment'!$A:$A,MATCH(C783&amp;"-"&amp;E783&amp;"-"&amp;F783&amp;"-Pos2",'Shooter-Squad Assignment'!$W:$W,0)),""),IF(F783="Sporting Clays",IFERROR(INDEX('Shooter-Squad Assignment'!$A:$A,MATCH(C783&amp;"-"&amp;E783&amp;"-"&amp;F783&amp;"-Pos2",'Shooter-Squad Assignment'!$Z:$Z,0)),""),"")))</f>
        <v/>
      </c>
      <c r="J783" s="88" t="str">
        <f>IF(ISBLANK(I783),"",IFERROR(INDEX('Tournament List'!$D:$D,MATCH(I783,'Tournament List'!$A:$A,0)),""))</f>
        <v/>
      </c>
      <c r="K783" s="96" t="str">
        <f>IF(F783="Skeet",IFERROR(INDEX('Shooter-Squad Assignment'!$A:$A,MATCH(C783&amp;"-"&amp;E783&amp;"-"&amp;F783&amp;"-Pos3",'Shooter-Squad Assignment'!$K:$K,0)),""),IF(F783="Trap",IFERROR(INDEX('Shooter-Squad Assignment'!$A:$A,MATCH(C783&amp;"-"&amp;E783&amp;"-"&amp;F783&amp;"-Pos3",'Shooter-Squad Assignment'!$W:$W,0)),""),IF(F783="Sporting Clays",IFERROR(INDEX('Shooter-Squad Assignment'!$A:$A,MATCH(C783&amp;"-"&amp;E783&amp;"-"&amp;F783&amp;"-Pos3",'Shooter-Squad Assignment'!$Z:$Z,0)),""),"")))</f>
        <v/>
      </c>
      <c r="L783" s="88" t="str">
        <f>IF(ISBLANK(K783),"",IFERROR(INDEX('Tournament List'!$D:$D,MATCH(K783,'Tournament List'!$A:$A,0)),""))</f>
        <v/>
      </c>
      <c r="M783" s="96" t="str">
        <f>IF(F783="Skeet",IFERROR(INDEX('Shooter-Squad Assignment'!$A:$A,MATCH(C783&amp;"-"&amp;E783&amp;"-"&amp;F783&amp;"-Pos4",'Shooter-Squad Assignment'!$K:$K,0)),""),IF(F783="Trap",IFERROR(INDEX('Shooter-Squad Assignment'!$A:$A,MATCH(C783&amp;"-"&amp;E783&amp;"-"&amp;F783&amp;"-Pos4",'Shooter-Squad Assignment'!$W:$W,0)),""),IF(F783="Sporting Clays",IFERROR(INDEX('Shooter-Squad Assignment'!$A:$A,MATCH(C783&amp;"-"&amp;E783&amp;"-"&amp;F783&amp;"-Pos4",'Shooter-Squad Assignment'!$Z:$Z,0)),""),"")))</f>
        <v/>
      </c>
      <c r="N783" s="88" t="str">
        <f>IF(ISBLANK(M783),"",IFERROR(INDEX('Tournament List'!$D:$D,MATCH(M783,'Tournament List'!$A:$A,0)),""))</f>
        <v/>
      </c>
      <c r="O783" s="96" t="str">
        <f>IF(F783="Skeet",IFERROR(INDEX('Shooter-Squad Assignment'!$A:$A,MATCH(C783&amp;"-"&amp;E783&amp;"-"&amp;F783&amp;"-Pos5",'Shooter-Squad Assignment'!$K:$K,0)),""),IF(F783="Trap",IFERROR(INDEX('Shooter-Squad Assignment'!$A:$A,MATCH(C783&amp;"-"&amp;E783&amp;"-"&amp;F783&amp;"-Pos5",'Shooter-Squad Assignment'!$W:$W,0)),""),IF(F783="Sporting Clays",IFERROR(INDEX('Shooter-Squad Assignment'!$A:$A,MATCH(C783&amp;"-"&amp;E783&amp;"-"&amp;F783&amp;"-Pos5",'Shooter-Squad Assignment'!$Z:$Z,0)),""),"")))</f>
        <v/>
      </c>
      <c r="P783" s="89" t="str">
        <f>IF(ISBLANK(O783),"",IFERROR(INDEX('Tournament List'!$D:$D,MATCH(O783,'Tournament List'!$A:$A,0)),""))</f>
        <v/>
      </c>
    </row>
    <row r="784" spans="1:16" x14ac:dyDescent="0.3">
      <c r="A784" s="87">
        <v>783</v>
      </c>
      <c r="B784" s="88" t="str">
        <f>C784&amp;"-"&amp;E784&amp;"-"&amp;F784</f>
        <v>-Intermediate 1-Trap</v>
      </c>
      <c r="C784" s="88"/>
      <c r="D784" s="88" t="str">
        <f>INDEX('Tournament Setup'!$B$59:$B$78,MATCH(E784,SquadConcurrents,0))</f>
        <v>Intermediate</v>
      </c>
      <c r="E784" s="88" t="s">
        <v>338</v>
      </c>
      <c r="F784" s="88" t="s">
        <v>147</v>
      </c>
      <c r="G784" s="96" t="str">
        <f>IF(F784="Skeet",IFERROR(INDEX('Shooter-Squad Assignment'!$A:$A,MATCH(C784&amp;"-"&amp;E784&amp;"-"&amp;F784&amp;"-Pos1",'Shooter-Squad Assignment'!$K:$K,0)),""),IF(F784="Trap",IFERROR(INDEX('Shooter-Squad Assignment'!$A:$A,MATCH(C784&amp;"-"&amp;E784&amp;"-"&amp;F784&amp;"-Pos1",'Shooter-Squad Assignment'!$W:$W,0)),""),IF(F784="Sporting Clays",IFERROR(INDEX('Shooter-Squad Assignment'!$A:$A,MATCH(C784&amp;"-"&amp;E784&amp;"-"&amp;F784&amp;"-Pos1",'Shooter-Squad Assignment'!$Z:$Z,0)),""),"")))</f>
        <v/>
      </c>
      <c r="H784" s="88" t="str">
        <f>IF(ISBLANK(G784),"",IFERROR(INDEX('Tournament List'!$D:$D,MATCH(G784,'Tournament List'!$A:$A,0)),""))</f>
        <v/>
      </c>
      <c r="I784" s="96" t="str">
        <f>IF(F784="Skeet",IFERROR(INDEX('Shooter-Squad Assignment'!$A:$A,MATCH(C784&amp;"-"&amp;E784&amp;"-"&amp;F784&amp;"-Pos2",'Shooter-Squad Assignment'!$K:$K,0)),""),IF(F784="Trap",IFERROR(INDEX('Shooter-Squad Assignment'!$A:$A,MATCH(C784&amp;"-"&amp;E784&amp;"-"&amp;F784&amp;"-Pos2",'Shooter-Squad Assignment'!$W:$W,0)),""),IF(F784="Sporting Clays",IFERROR(INDEX('Shooter-Squad Assignment'!$A:$A,MATCH(C784&amp;"-"&amp;E784&amp;"-"&amp;F784&amp;"-Pos2",'Shooter-Squad Assignment'!$Z:$Z,0)),""),"")))</f>
        <v/>
      </c>
      <c r="J784" s="88" t="str">
        <f>IF(ISBLANK(I784),"",IFERROR(INDEX('Tournament List'!$D:$D,MATCH(I784,'Tournament List'!$A:$A,0)),""))</f>
        <v/>
      </c>
      <c r="K784" s="96" t="str">
        <f>IF(F784="Skeet",IFERROR(INDEX('Shooter-Squad Assignment'!$A:$A,MATCH(C784&amp;"-"&amp;E784&amp;"-"&amp;F784&amp;"-Pos3",'Shooter-Squad Assignment'!$K:$K,0)),""),IF(F784="Trap",IFERROR(INDEX('Shooter-Squad Assignment'!$A:$A,MATCH(C784&amp;"-"&amp;E784&amp;"-"&amp;F784&amp;"-Pos3",'Shooter-Squad Assignment'!$W:$W,0)),""),IF(F784="Sporting Clays",IFERROR(INDEX('Shooter-Squad Assignment'!$A:$A,MATCH(C784&amp;"-"&amp;E784&amp;"-"&amp;F784&amp;"-Pos3",'Shooter-Squad Assignment'!$Z:$Z,0)),""),"")))</f>
        <v/>
      </c>
      <c r="L784" s="88" t="str">
        <f>IF(ISBLANK(K784),"",IFERROR(INDEX('Tournament List'!$D:$D,MATCH(K784,'Tournament List'!$A:$A,0)),""))</f>
        <v/>
      </c>
      <c r="M784" s="96" t="str">
        <f>IF(F784="Skeet",IFERROR(INDEX('Shooter-Squad Assignment'!$A:$A,MATCH(C784&amp;"-"&amp;E784&amp;"-"&amp;F784&amp;"-Pos4",'Shooter-Squad Assignment'!$K:$K,0)),""),IF(F784="Trap",IFERROR(INDEX('Shooter-Squad Assignment'!$A:$A,MATCH(C784&amp;"-"&amp;E784&amp;"-"&amp;F784&amp;"-Pos4",'Shooter-Squad Assignment'!$W:$W,0)),""),IF(F784="Sporting Clays",IFERROR(INDEX('Shooter-Squad Assignment'!$A:$A,MATCH(C784&amp;"-"&amp;E784&amp;"-"&amp;F784&amp;"-Pos4",'Shooter-Squad Assignment'!$Z:$Z,0)),""),"")))</f>
        <v/>
      </c>
      <c r="N784" s="88" t="str">
        <f>IF(ISBLANK(M784),"",IFERROR(INDEX('Tournament List'!$D:$D,MATCH(M784,'Tournament List'!$A:$A,0)),""))</f>
        <v/>
      </c>
      <c r="O784" s="96" t="str">
        <f>IF(F784="Skeet",IFERROR(INDEX('Shooter-Squad Assignment'!$A:$A,MATCH(C784&amp;"-"&amp;E784&amp;"-"&amp;F784&amp;"-Pos5",'Shooter-Squad Assignment'!$K:$K,0)),""),IF(F784="Trap",IFERROR(INDEX('Shooter-Squad Assignment'!$A:$A,MATCH(C784&amp;"-"&amp;E784&amp;"-"&amp;F784&amp;"-Pos5",'Shooter-Squad Assignment'!$W:$W,0)),""),IF(F784="Sporting Clays",IFERROR(INDEX('Shooter-Squad Assignment'!$A:$A,MATCH(C784&amp;"-"&amp;E784&amp;"-"&amp;F784&amp;"-Pos5",'Shooter-Squad Assignment'!$Z:$Z,0)),""),"")))</f>
        <v/>
      </c>
      <c r="P784" s="89" t="str">
        <f>IF(ISBLANK(O784),"",IFERROR(INDEX('Tournament List'!$D:$D,MATCH(O784,'Tournament List'!$A:$A,0)),""))</f>
        <v/>
      </c>
    </row>
    <row r="785" spans="1:16" x14ac:dyDescent="0.3">
      <c r="A785" s="87">
        <v>784</v>
      </c>
      <c r="B785" s="88" t="str">
        <f>C785&amp;"-"&amp;E785&amp;"-"&amp;F785</f>
        <v>-Intermediate 2-Trap</v>
      </c>
      <c r="C785" s="88"/>
      <c r="D785" s="88" t="str">
        <f>INDEX('Tournament Setup'!$B$59:$B$78,MATCH(E785,SquadConcurrents,0))</f>
        <v>Intermediate</v>
      </c>
      <c r="E785" s="88" t="s">
        <v>344</v>
      </c>
      <c r="F785" s="88" t="s">
        <v>147</v>
      </c>
      <c r="G785" s="96" t="str">
        <f>IF(F785="Skeet",IFERROR(INDEX('Shooter-Squad Assignment'!$A:$A,MATCH(C785&amp;"-"&amp;E785&amp;"-"&amp;F785&amp;"-Pos1",'Shooter-Squad Assignment'!$K:$K,0)),""),IF(F785="Trap",IFERROR(INDEX('Shooter-Squad Assignment'!$A:$A,MATCH(C785&amp;"-"&amp;E785&amp;"-"&amp;F785&amp;"-Pos1",'Shooter-Squad Assignment'!$W:$W,0)),""),IF(F785="Sporting Clays",IFERROR(INDEX('Shooter-Squad Assignment'!$A:$A,MATCH(C785&amp;"-"&amp;E785&amp;"-"&amp;F785&amp;"-Pos1",'Shooter-Squad Assignment'!$Z:$Z,0)),""),"")))</f>
        <v/>
      </c>
      <c r="H785" s="88" t="str">
        <f>IF(ISBLANK(G785),"",IFERROR(INDEX('Tournament List'!$D:$D,MATCH(G785,'Tournament List'!$A:$A,0)),""))</f>
        <v/>
      </c>
      <c r="I785" s="96" t="str">
        <f>IF(F785="Skeet",IFERROR(INDEX('Shooter-Squad Assignment'!$A:$A,MATCH(C785&amp;"-"&amp;E785&amp;"-"&amp;F785&amp;"-Pos2",'Shooter-Squad Assignment'!$K:$K,0)),""),IF(F785="Trap",IFERROR(INDEX('Shooter-Squad Assignment'!$A:$A,MATCH(C785&amp;"-"&amp;E785&amp;"-"&amp;F785&amp;"-Pos2",'Shooter-Squad Assignment'!$W:$W,0)),""),IF(F785="Sporting Clays",IFERROR(INDEX('Shooter-Squad Assignment'!$A:$A,MATCH(C785&amp;"-"&amp;E785&amp;"-"&amp;F785&amp;"-Pos2",'Shooter-Squad Assignment'!$Z:$Z,0)),""),"")))</f>
        <v/>
      </c>
      <c r="J785" s="88" t="str">
        <f>IF(ISBLANK(I785),"",IFERROR(INDEX('Tournament List'!$D:$D,MATCH(I785,'Tournament List'!$A:$A,0)),""))</f>
        <v/>
      </c>
      <c r="K785" s="96" t="str">
        <f>IF(F785="Skeet",IFERROR(INDEX('Shooter-Squad Assignment'!$A:$A,MATCH(C785&amp;"-"&amp;E785&amp;"-"&amp;F785&amp;"-Pos3",'Shooter-Squad Assignment'!$K:$K,0)),""),IF(F785="Trap",IFERROR(INDEX('Shooter-Squad Assignment'!$A:$A,MATCH(C785&amp;"-"&amp;E785&amp;"-"&amp;F785&amp;"-Pos3",'Shooter-Squad Assignment'!$W:$W,0)),""),IF(F785="Sporting Clays",IFERROR(INDEX('Shooter-Squad Assignment'!$A:$A,MATCH(C785&amp;"-"&amp;E785&amp;"-"&amp;F785&amp;"-Pos3",'Shooter-Squad Assignment'!$Z:$Z,0)),""),"")))</f>
        <v/>
      </c>
      <c r="L785" s="88" t="str">
        <f>IF(ISBLANK(K785),"",IFERROR(INDEX('Tournament List'!$D:$D,MATCH(K785,'Tournament List'!$A:$A,0)),""))</f>
        <v/>
      </c>
      <c r="M785" s="96" t="str">
        <f>IF(F785="Skeet",IFERROR(INDEX('Shooter-Squad Assignment'!$A:$A,MATCH(C785&amp;"-"&amp;E785&amp;"-"&amp;F785&amp;"-Pos4",'Shooter-Squad Assignment'!$K:$K,0)),""),IF(F785="Trap",IFERROR(INDEX('Shooter-Squad Assignment'!$A:$A,MATCH(C785&amp;"-"&amp;E785&amp;"-"&amp;F785&amp;"-Pos4",'Shooter-Squad Assignment'!$W:$W,0)),""),IF(F785="Sporting Clays",IFERROR(INDEX('Shooter-Squad Assignment'!$A:$A,MATCH(C785&amp;"-"&amp;E785&amp;"-"&amp;F785&amp;"-Pos4",'Shooter-Squad Assignment'!$Z:$Z,0)),""),"")))</f>
        <v/>
      </c>
      <c r="N785" s="88" t="str">
        <f>IF(ISBLANK(M785),"",IFERROR(INDEX('Tournament List'!$D:$D,MATCH(M785,'Tournament List'!$A:$A,0)),""))</f>
        <v/>
      </c>
      <c r="O785" s="96" t="str">
        <f>IF(F785="Skeet",IFERROR(INDEX('Shooter-Squad Assignment'!$A:$A,MATCH(C785&amp;"-"&amp;E785&amp;"-"&amp;F785&amp;"-Pos5",'Shooter-Squad Assignment'!$K:$K,0)),""),IF(F785="Trap",IFERROR(INDEX('Shooter-Squad Assignment'!$A:$A,MATCH(C785&amp;"-"&amp;E785&amp;"-"&amp;F785&amp;"-Pos5",'Shooter-Squad Assignment'!$W:$W,0)),""),IF(F785="Sporting Clays",IFERROR(INDEX('Shooter-Squad Assignment'!$A:$A,MATCH(C785&amp;"-"&amp;E785&amp;"-"&amp;F785&amp;"-Pos5",'Shooter-Squad Assignment'!$Z:$Z,0)),""),"")))</f>
        <v/>
      </c>
      <c r="P785" s="89" t="str">
        <f>IF(ISBLANK(O785),"",IFERROR(INDEX('Tournament List'!$D:$D,MATCH(O785,'Tournament List'!$A:$A,0)),""))</f>
        <v/>
      </c>
    </row>
    <row r="786" spans="1:16" x14ac:dyDescent="0.3">
      <c r="A786" s="87">
        <v>785</v>
      </c>
      <c r="B786" s="88" t="str">
        <f>C786&amp;"-"&amp;E786&amp;"-"&amp;F786</f>
        <v>-Intermediate 3-Trap</v>
      </c>
      <c r="C786" s="88"/>
      <c r="D786" s="88" t="str">
        <f>INDEX('Tournament Setup'!$B$59:$B$78,MATCH(E786,SquadConcurrents,0))</f>
        <v>Intermediate</v>
      </c>
      <c r="E786" s="88" t="s">
        <v>350</v>
      </c>
      <c r="F786" s="88" t="s">
        <v>147</v>
      </c>
      <c r="G786" s="96" t="str">
        <f>IF(F786="Skeet",IFERROR(INDEX('Shooter-Squad Assignment'!$A:$A,MATCH(C786&amp;"-"&amp;E786&amp;"-"&amp;F786&amp;"-Pos1",'Shooter-Squad Assignment'!$K:$K,0)),""),IF(F786="Trap",IFERROR(INDEX('Shooter-Squad Assignment'!$A:$A,MATCH(C786&amp;"-"&amp;E786&amp;"-"&amp;F786&amp;"-Pos1",'Shooter-Squad Assignment'!$W:$W,0)),""),IF(F786="Sporting Clays",IFERROR(INDEX('Shooter-Squad Assignment'!$A:$A,MATCH(C786&amp;"-"&amp;E786&amp;"-"&amp;F786&amp;"-Pos1",'Shooter-Squad Assignment'!$Z:$Z,0)),""),"")))</f>
        <v/>
      </c>
      <c r="H786" s="88" t="str">
        <f>IF(ISBLANK(G786),"",IFERROR(INDEX('Tournament List'!$D:$D,MATCH(G786,'Tournament List'!$A:$A,0)),""))</f>
        <v/>
      </c>
      <c r="I786" s="96" t="str">
        <f>IF(F786="Skeet",IFERROR(INDEX('Shooter-Squad Assignment'!$A:$A,MATCH(C786&amp;"-"&amp;E786&amp;"-"&amp;F786&amp;"-Pos2",'Shooter-Squad Assignment'!$K:$K,0)),""),IF(F786="Trap",IFERROR(INDEX('Shooter-Squad Assignment'!$A:$A,MATCH(C786&amp;"-"&amp;E786&amp;"-"&amp;F786&amp;"-Pos2",'Shooter-Squad Assignment'!$W:$W,0)),""),IF(F786="Sporting Clays",IFERROR(INDEX('Shooter-Squad Assignment'!$A:$A,MATCH(C786&amp;"-"&amp;E786&amp;"-"&amp;F786&amp;"-Pos2",'Shooter-Squad Assignment'!$Z:$Z,0)),""),"")))</f>
        <v/>
      </c>
      <c r="J786" s="88" t="str">
        <f>IF(ISBLANK(I786),"",IFERROR(INDEX('Tournament List'!$D:$D,MATCH(I786,'Tournament List'!$A:$A,0)),""))</f>
        <v/>
      </c>
      <c r="K786" s="96" t="str">
        <f>IF(F786="Skeet",IFERROR(INDEX('Shooter-Squad Assignment'!$A:$A,MATCH(C786&amp;"-"&amp;E786&amp;"-"&amp;F786&amp;"-Pos3",'Shooter-Squad Assignment'!$K:$K,0)),""),IF(F786="Trap",IFERROR(INDEX('Shooter-Squad Assignment'!$A:$A,MATCH(C786&amp;"-"&amp;E786&amp;"-"&amp;F786&amp;"-Pos3",'Shooter-Squad Assignment'!$W:$W,0)),""),IF(F786="Sporting Clays",IFERROR(INDEX('Shooter-Squad Assignment'!$A:$A,MATCH(C786&amp;"-"&amp;E786&amp;"-"&amp;F786&amp;"-Pos3",'Shooter-Squad Assignment'!$Z:$Z,0)),""),"")))</f>
        <v/>
      </c>
      <c r="L786" s="88" t="str">
        <f>IF(ISBLANK(K786),"",IFERROR(INDEX('Tournament List'!$D:$D,MATCH(K786,'Tournament List'!$A:$A,0)),""))</f>
        <v/>
      </c>
      <c r="M786" s="96" t="str">
        <f>IF(F786="Skeet",IFERROR(INDEX('Shooter-Squad Assignment'!$A:$A,MATCH(C786&amp;"-"&amp;E786&amp;"-"&amp;F786&amp;"-Pos4",'Shooter-Squad Assignment'!$K:$K,0)),""),IF(F786="Trap",IFERROR(INDEX('Shooter-Squad Assignment'!$A:$A,MATCH(C786&amp;"-"&amp;E786&amp;"-"&amp;F786&amp;"-Pos4",'Shooter-Squad Assignment'!$W:$W,0)),""),IF(F786="Sporting Clays",IFERROR(INDEX('Shooter-Squad Assignment'!$A:$A,MATCH(C786&amp;"-"&amp;E786&amp;"-"&amp;F786&amp;"-Pos4",'Shooter-Squad Assignment'!$Z:$Z,0)),""),"")))</f>
        <v/>
      </c>
      <c r="N786" s="88" t="str">
        <f>IF(ISBLANK(M786),"",IFERROR(INDEX('Tournament List'!$D:$D,MATCH(M786,'Tournament List'!$A:$A,0)),""))</f>
        <v/>
      </c>
      <c r="O786" s="96" t="str">
        <f>IF(F786="Skeet",IFERROR(INDEX('Shooter-Squad Assignment'!$A:$A,MATCH(C786&amp;"-"&amp;E786&amp;"-"&amp;F786&amp;"-Pos5",'Shooter-Squad Assignment'!$K:$K,0)),""),IF(F786="Trap",IFERROR(INDEX('Shooter-Squad Assignment'!$A:$A,MATCH(C786&amp;"-"&amp;E786&amp;"-"&amp;F786&amp;"-Pos5",'Shooter-Squad Assignment'!$W:$W,0)),""),IF(F786="Sporting Clays",IFERROR(INDEX('Shooter-Squad Assignment'!$A:$A,MATCH(C786&amp;"-"&amp;E786&amp;"-"&amp;F786&amp;"-Pos5",'Shooter-Squad Assignment'!$Z:$Z,0)),""),"")))</f>
        <v/>
      </c>
      <c r="P786" s="89" t="str">
        <f>IF(ISBLANK(O786),"",IFERROR(INDEX('Tournament List'!$D:$D,MATCH(O786,'Tournament List'!$A:$A,0)),""))</f>
        <v/>
      </c>
    </row>
    <row r="787" spans="1:16" x14ac:dyDescent="0.3">
      <c r="A787" s="87">
        <v>786</v>
      </c>
      <c r="B787" s="88" t="str">
        <f>C787&amp;"-"&amp;E787&amp;"-"&amp;F787</f>
        <v>-Junior Varsity 1-Trap</v>
      </c>
      <c r="C787" s="88"/>
      <c r="D787" s="88" t="str">
        <f>INDEX('Tournament Setup'!$B$59:$B$78,MATCH(E787,SquadConcurrents,0))</f>
        <v>Junior Varsity</v>
      </c>
      <c r="E787" s="88" t="s">
        <v>339</v>
      </c>
      <c r="F787" s="88" t="s">
        <v>147</v>
      </c>
      <c r="G787" s="96" t="str">
        <f>IF(F787="Skeet",IFERROR(INDEX('Shooter-Squad Assignment'!$A:$A,MATCH(C787&amp;"-"&amp;E787&amp;"-"&amp;F787&amp;"-Pos1",'Shooter-Squad Assignment'!$K:$K,0)),""),IF(F787="Trap",IFERROR(INDEX('Shooter-Squad Assignment'!$A:$A,MATCH(C787&amp;"-"&amp;E787&amp;"-"&amp;F787&amp;"-Pos1",'Shooter-Squad Assignment'!$W:$W,0)),""),IF(F787="Sporting Clays",IFERROR(INDEX('Shooter-Squad Assignment'!$A:$A,MATCH(C787&amp;"-"&amp;E787&amp;"-"&amp;F787&amp;"-Pos1",'Shooter-Squad Assignment'!$Z:$Z,0)),""),"")))</f>
        <v/>
      </c>
      <c r="H787" s="88" t="str">
        <f>IF(ISBLANK(G787),"",IFERROR(INDEX('Tournament List'!$D:$D,MATCH(G787,'Tournament List'!$A:$A,0)),""))</f>
        <v/>
      </c>
      <c r="I787" s="96" t="str">
        <f>IF(F787="Skeet",IFERROR(INDEX('Shooter-Squad Assignment'!$A:$A,MATCH(C787&amp;"-"&amp;E787&amp;"-"&amp;F787&amp;"-Pos2",'Shooter-Squad Assignment'!$K:$K,0)),""),IF(F787="Trap",IFERROR(INDEX('Shooter-Squad Assignment'!$A:$A,MATCH(C787&amp;"-"&amp;E787&amp;"-"&amp;F787&amp;"-Pos2",'Shooter-Squad Assignment'!$W:$W,0)),""),IF(F787="Sporting Clays",IFERROR(INDEX('Shooter-Squad Assignment'!$A:$A,MATCH(C787&amp;"-"&amp;E787&amp;"-"&amp;F787&amp;"-Pos2",'Shooter-Squad Assignment'!$Z:$Z,0)),""),"")))</f>
        <v/>
      </c>
      <c r="J787" s="88" t="str">
        <f>IF(ISBLANK(I787),"",IFERROR(INDEX('Tournament List'!$D:$D,MATCH(I787,'Tournament List'!$A:$A,0)),""))</f>
        <v/>
      </c>
      <c r="K787" s="96" t="str">
        <f>IF(F787="Skeet",IFERROR(INDEX('Shooter-Squad Assignment'!$A:$A,MATCH(C787&amp;"-"&amp;E787&amp;"-"&amp;F787&amp;"-Pos3",'Shooter-Squad Assignment'!$K:$K,0)),""),IF(F787="Trap",IFERROR(INDEX('Shooter-Squad Assignment'!$A:$A,MATCH(C787&amp;"-"&amp;E787&amp;"-"&amp;F787&amp;"-Pos3",'Shooter-Squad Assignment'!$W:$W,0)),""),IF(F787="Sporting Clays",IFERROR(INDEX('Shooter-Squad Assignment'!$A:$A,MATCH(C787&amp;"-"&amp;E787&amp;"-"&amp;F787&amp;"-Pos3",'Shooter-Squad Assignment'!$Z:$Z,0)),""),"")))</f>
        <v/>
      </c>
      <c r="L787" s="88" t="str">
        <f>IF(ISBLANK(K787),"",IFERROR(INDEX('Tournament List'!$D:$D,MATCH(K787,'Tournament List'!$A:$A,0)),""))</f>
        <v/>
      </c>
      <c r="M787" s="96" t="str">
        <f>IF(F787="Skeet",IFERROR(INDEX('Shooter-Squad Assignment'!$A:$A,MATCH(C787&amp;"-"&amp;E787&amp;"-"&amp;F787&amp;"-Pos4",'Shooter-Squad Assignment'!$K:$K,0)),""),IF(F787="Trap",IFERROR(INDEX('Shooter-Squad Assignment'!$A:$A,MATCH(C787&amp;"-"&amp;E787&amp;"-"&amp;F787&amp;"-Pos4",'Shooter-Squad Assignment'!$W:$W,0)),""),IF(F787="Sporting Clays",IFERROR(INDEX('Shooter-Squad Assignment'!$A:$A,MATCH(C787&amp;"-"&amp;E787&amp;"-"&amp;F787&amp;"-Pos4",'Shooter-Squad Assignment'!$Z:$Z,0)),""),"")))</f>
        <v/>
      </c>
      <c r="N787" s="88" t="str">
        <f>IF(ISBLANK(M787),"",IFERROR(INDEX('Tournament List'!$D:$D,MATCH(M787,'Tournament List'!$A:$A,0)),""))</f>
        <v/>
      </c>
      <c r="O787" s="96" t="str">
        <f>IF(F787="Skeet",IFERROR(INDEX('Shooter-Squad Assignment'!$A:$A,MATCH(C787&amp;"-"&amp;E787&amp;"-"&amp;F787&amp;"-Pos5",'Shooter-Squad Assignment'!$K:$K,0)),""),IF(F787="Trap",IFERROR(INDEX('Shooter-Squad Assignment'!$A:$A,MATCH(C787&amp;"-"&amp;E787&amp;"-"&amp;F787&amp;"-Pos5",'Shooter-Squad Assignment'!$W:$W,0)),""),IF(F787="Sporting Clays",IFERROR(INDEX('Shooter-Squad Assignment'!$A:$A,MATCH(C787&amp;"-"&amp;E787&amp;"-"&amp;F787&amp;"-Pos5",'Shooter-Squad Assignment'!$Z:$Z,0)),""),"")))</f>
        <v/>
      </c>
      <c r="P787" s="89" t="str">
        <f>IF(ISBLANK(O787),"",IFERROR(INDEX('Tournament List'!$D:$D,MATCH(O787,'Tournament List'!$A:$A,0)),""))</f>
        <v/>
      </c>
    </row>
    <row r="788" spans="1:16" x14ac:dyDescent="0.3">
      <c r="A788" s="87">
        <v>787</v>
      </c>
      <c r="B788" s="88" t="str">
        <f>C788&amp;"-"&amp;E788&amp;"-"&amp;F788</f>
        <v>-Junior Varsity 2-Trap</v>
      </c>
      <c r="C788" s="88"/>
      <c r="D788" s="88" t="str">
        <f>INDEX('Tournament Setup'!$B$59:$B$78,MATCH(E788,SquadConcurrents,0))</f>
        <v>Junior Varsity</v>
      </c>
      <c r="E788" s="88" t="s">
        <v>345</v>
      </c>
      <c r="F788" s="88" t="s">
        <v>147</v>
      </c>
      <c r="G788" s="96" t="str">
        <f>IF(F788="Skeet",IFERROR(INDEX('Shooter-Squad Assignment'!$A:$A,MATCH(C788&amp;"-"&amp;E788&amp;"-"&amp;F788&amp;"-Pos1",'Shooter-Squad Assignment'!$K:$K,0)),""),IF(F788="Trap",IFERROR(INDEX('Shooter-Squad Assignment'!$A:$A,MATCH(C788&amp;"-"&amp;E788&amp;"-"&amp;F788&amp;"-Pos1",'Shooter-Squad Assignment'!$W:$W,0)),""),IF(F788="Sporting Clays",IFERROR(INDEX('Shooter-Squad Assignment'!$A:$A,MATCH(C788&amp;"-"&amp;E788&amp;"-"&amp;F788&amp;"-Pos1",'Shooter-Squad Assignment'!$Z:$Z,0)),""),"")))</f>
        <v/>
      </c>
      <c r="H788" s="88" t="str">
        <f>IF(ISBLANK(G788),"",IFERROR(INDEX('Tournament List'!$D:$D,MATCH(G788,'Tournament List'!$A:$A,0)),""))</f>
        <v/>
      </c>
      <c r="I788" s="96" t="str">
        <f>IF(F788="Skeet",IFERROR(INDEX('Shooter-Squad Assignment'!$A:$A,MATCH(C788&amp;"-"&amp;E788&amp;"-"&amp;F788&amp;"-Pos2",'Shooter-Squad Assignment'!$K:$K,0)),""),IF(F788="Trap",IFERROR(INDEX('Shooter-Squad Assignment'!$A:$A,MATCH(C788&amp;"-"&amp;E788&amp;"-"&amp;F788&amp;"-Pos2",'Shooter-Squad Assignment'!$W:$W,0)),""),IF(F788="Sporting Clays",IFERROR(INDEX('Shooter-Squad Assignment'!$A:$A,MATCH(C788&amp;"-"&amp;E788&amp;"-"&amp;F788&amp;"-Pos2",'Shooter-Squad Assignment'!$Z:$Z,0)),""),"")))</f>
        <v/>
      </c>
      <c r="J788" s="88" t="str">
        <f>IF(ISBLANK(I788),"",IFERROR(INDEX('Tournament List'!$D:$D,MATCH(I788,'Tournament List'!$A:$A,0)),""))</f>
        <v/>
      </c>
      <c r="K788" s="96" t="str">
        <f>IF(F788="Skeet",IFERROR(INDEX('Shooter-Squad Assignment'!$A:$A,MATCH(C788&amp;"-"&amp;E788&amp;"-"&amp;F788&amp;"-Pos3",'Shooter-Squad Assignment'!$K:$K,0)),""),IF(F788="Trap",IFERROR(INDEX('Shooter-Squad Assignment'!$A:$A,MATCH(C788&amp;"-"&amp;E788&amp;"-"&amp;F788&amp;"-Pos3",'Shooter-Squad Assignment'!$W:$W,0)),""),IF(F788="Sporting Clays",IFERROR(INDEX('Shooter-Squad Assignment'!$A:$A,MATCH(C788&amp;"-"&amp;E788&amp;"-"&amp;F788&amp;"-Pos3",'Shooter-Squad Assignment'!$Z:$Z,0)),""),"")))</f>
        <v/>
      </c>
      <c r="L788" s="88" t="str">
        <f>IF(ISBLANK(K788),"",IFERROR(INDEX('Tournament List'!$D:$D,MATCH(K788,'Tournament List'!$A:$A,0)),""))</f>
        <v/>
      </c>
      <c r="M788" s="96" t="str">
        <f>IF(F788="Skeet",IFERROR(INDEX('Shooter-Squad Assignment'!$A:$A,MATCH(C788&amp;"-"&amp;E788&amp;"-"&amp;F788&amp;"-Pos4",'Shooter-Squad Assignment'!$K:$K,0)),""),IF(F788="Trap",IFERROR(INDEX('Shooter-Squad Assignment'!$A:$A,MATCH(C788&amp;"-"&amp;E788&amp;"-"&amp;F788&amp;"-Pos4",'Shooter-Squad Assignment'!$W:$W,0)),""),IF(F788="Sporting Clays",IFERROR(INDEX('Shooter-Squad Assignment'!$A:$A,MATCH(C788&amp;"-"&amp;E788&amp;"-"&amp;F788&amp;"-Pos4",'Shooter-Squad Assignment'!$Z:$Z,0)),""),"")))</f>
        <v/>
      </c>
      <c r="N788" s="88" t="str">
        <f>IF(ISBLANK(M788),"",IFERROR(INDEX('Tournament List'!$D:$D,MATCH(M788,'Tournament List'!$A:$A,0)),""))</f>
        <v/>
      </c>
      <c r="O788" s="96" t="str">
        <f>IF(F788="Skeet",IFERROR(INDEX('Shooter-Squad Assignment'!$A:$A,MATCH(C788&amp;"-"&amp;E788&amp;"-"&amp;F788&amp;"-Pos5",'Shooter-Squad Assignment'!$K:$K,0)),""),IF(F788="Trap",IFERROR(INDEX('Shooter-Squad Assignment'!$A:$A,MATCH(C788&amp;"-"&amp;E788&amp;"-"&amp;F788&amp;"-Pos5",'Shooter-Squad Assignment'!$W:$W,0)),""),IF(F788="Sporting Clays",IFERROR(INDEX('Shooter-Squad Assignment'!$A:$A,MATCH(C788&amp;"-"&amp;E788&amp;"-"&amp;F788&amp;"-Pos5",'Shooter-Squad Assignment'!$Z:$Z,0)),""),"")))</f>
        <v/>
      </c>
      <c r="P788" s="89" t="str">
        <f>IF(ISBLANK(O788),"",IFERROR(INDEX('Tournament List'!$D:$D,MATCH(O788,'Tournament List'!$A:$A,0)),""))</f>
        <v/>
      </c>
    </row>
    <row r="789" spans="1:16" x14ac:dyDescent="0.3">
      <c r="A789" s="87">
        <v>788</v>
      </c>
      <c r="B789" s="88" t="str">
        <f>C789&amp;"-"&amp;E789&amp;"-"&amp;F789</f>
        <v>-Junior Varsity 3-Trap</v>
      </c>
      <c r="C789" s="88"/>
      <c r="D789" s="88" t="str">
        <f>INDEX('Tournament Setup'!$B$59:$B$78,MATCH(E789,SquadConcurrents,0))</f>
        <v>Junior Varsity</v>
      </c>
      <c r="E789" s="88" t="s">
        <v>351</v>
      </c>
      <c r="F789" s="88" t="s">
        <v>147</v>
      </c>
      <c r="G789" s="96" t="str">
        <f>IF(F789="Skeet",IFERROR(INDEX('Shooter-Squad Assignment'!$A:$A,MATCH(C789&amp;"-"&amp;E789&amp;"-"&amp;F789&amp;"-Pos1",'Shooter-Squad Assignment'!$K:$K,0)),""),IF(F789="Trap",IFERROR(INDEX('Shooter-Squad Assignment'!$A:$A,MATCH(C789&amp;"-"&amp;E789&amp;"-"&amp;F789&amp;"-Pos1",'Shooter-Squad Assignment'!$W:$W,0)),""),IF(F789="Sporting Clays",IFERROR(INDEX('Shooter-Squad Assignment'!$A:$A,MATCH(C789&amp;"-"&amp;E789&amp;"-"&amp;F789&amp;"-Pos1",'Shooter-Squad Assignment'!$Z:$Z,0)),""),"")))</f>
        <v/>
      </c>
      <c r="H789" s="88" t="str">
        <f>IF(ISBLANK(G789),"",IFERROR(INDEX('Tournament List'!$D:$D,MATCH(G789,'Tournament List'!$A:$A,0)),""))</f>
        <v/>
      </c>
      <c r="I789" s="96" t="str">
        <f>IF(F789="Skeet",IFERROR(INDEX('Shooter-Squad Assignment'!$A:$A,MATCH(C789&amp;"-"&amp;E789&amp;"-"&amp;F789&amp;"-Pos2",'Shooter-Squad Assignment'!$K:$K,0)),""),IF(F789="Trap",IFERROR(INDEX('Shooter-Squad Assignment'!$A:$A,MATCH(C789&amp;"-"&amp;E789&amp;"-"&amp;F789&amp;"-Pos2",'Shooter-Squad Assignment'!$W:$W,0)),""),IF(F789="Sporting Clays",IFERROR(INDEX('Shooter-Squad Assignment'!$A:$A,MATCH(C789&amp;"-"&amp;E789&amp;"-"&amp;F789&amp;"-Pos2",'Shooter-Squad Assignment'!$Z:$Z,0)),""),"")))</f>
        <v/>
      </c>
      <c r="J789" s="88" t="str">
        <f>IF(ISBLANK(I789),"",IFERROR(INDEX('Tournament List'!$D:$D,MATCH(I789,'Tournament List'!$A:$A,0)),""))</f>
        <v/>
      </c>
      <c r="K789" s="96" t="str">
        <f>IF(F789="Skeet",IFERROR(INDEX('Shooter-Squad Assignment'!$A:$A,MATCH(C789&amp;"-"&amp;E789&amp;"-"&amp;F789&amp;"-Pos3",'Shooter-Squad Assignment'!$K:$K,0)),""),IF(F789="Trap",IFERROR(INDEX('Shooter-Squad Assignment'!$A:$A,MATCH(C789&amp;"-"&amp;E789&amp;"-"&amp;F789&amp;"-Pos3",'Shooter-Squad Assignment'!$W:$W,0)),""),IF(F789="Sporting Clays",IFERROR(INDEX('Shooter-Squad Assignment'!$A:$A,MATCH(C789&amp;"-"&amp;E789&amp;"-"&amp;F789&amp;"-Pos3",'Shooter-Squad Assignment'!$Z:$Z,0)),""),"")))</f>
        <v/>
      </c>
      <c r="L789" s="88" t="str">
        <f>IF(ISBLANK(K789),"",IFERROR(INDEX('Tournament List'!$D:$D,MATCH(K789,'Tournament List'!$A:$A,0)),""))</f>
        <v/>
      </c>
      <c r="M789" s="96" t="str">
        <f>IF(F789="Skeet",IFERROR(INDEX('Shooter-Squad Assignment'!$A:$A,MATCH(C789&amp;"-"&amp;E789&amp;"-"&amp;F789&amp;"-Pos4",'Shooter-Squad Assignment'!$K:$K,0)),""),IF(F789="Trap",IFERROR(INDEX('Shooter-Squad Assignment'!$A:$A,MATCH(C789&amp;"-"&amp;E789&amp;"-"&amp;F789&amp;"-Pos4",'Shooter-Squad Assignment'!$W:$W,0)),""),IF(F789="Sporting Clays",IFERROR(INDEX('Shooter-Squad Assignment'!$A:$A,MATCH(C789&amp;"-"&amp;E789&amp;"-"&amp;F789&amp;"-Pos4",'Shooter-Squad Assignment'!$Z:$Z,0)),""),"")))</f>
        <v/>
      </c>
      <c r="N789" s="88" t="str">
        <f>IF(ISBLANK(M789),"",IFERROR(INDEX('Tournament List'!$D:$D,MATCH(M789,'Tournament List'!$A:$A,0)),""))</f>
        <v/>
      </c>
      <c r="O789" s="96" t="str">
        <f>IF(F789="Skeet",IFERROR(INDEX('Shooter-Squad Assignment'!$A:$A,MATCH(C789&amp;"-"&amp;E789&amp;"-"&amp;F789&amp;"-Pos5",'Shooter-Squad Assignment'!$K:$K,0)),""),IF(F789="Trap",IFERROR(INDEX('Shooter-Squad Assignment'!$A:$A,MATCH(C789&amp;"-"&amp;E789&amp;"-"&amp;F789&amp;"-Pos5",'Shooter-Squad Assignment'!$W:$W,0)),""),IF(F789="Sporting Clays",IFERROR(INDEX('Shooter-Squad Assignment'!$A:$A,MATCH(C789&amp;"-"&amp;E789&amp;"-"&amp;F789&amp;"-Pos5",'Shooter-Squad Assignment'!$Z:$Z,0)),""),"")))</f>
        <v/>
      </c>
      <c r="P789" s="89" t="str">
        <f>IF(ISBLANK(O789),"",IFERROR(INDEX('Tournament List'!$D:$D,MATCH(O789,'Tournament List'!$A:$A,0)),""))</f>
        <v/>
      </c>
    </row>
    <row r="790" spans="1:16" x14ac:dyDescent="0.3">
      <c r="A790" s="87">
        <v>789</v>
      </c>
      <c r="B790" s="88" t="str">
        <f>C790&amp;"-"&amp;E790&amp;"-"&amp;F790</f>
        <v>-Novice 1-Trap</v>
      </c>
      <c r="C790" s="88"/>
      <c r="D790" s="88" t="str">
        <f>INDEX('Tournament Setup'!$B$59:$B$78,MATCH(E790,SquadConcurrents,0))</f>
        <v>Novice</v>
      </c>
      <c r="E790" s="88" t="s">
        <v>337</v>
      </c>
      <c r="F790" s="88" t="s">
        <v>147</v>
      </c>
      <c r="G790" s="96" t="str">
        <f>IF(F790="Skeet",IFERROR(INDEX('Shooter-Squad Assignment'!$A:$A,MATCH(C790&amp;"-"&amp;E790&amp;"-"&amp;F790&amp;"-Pos1",'Shooter-Squad Assignment'!$K:$K,0)),""),IF(F790="Trap",IFERROR(INDEX('Shooter-Squad Assignment'!$A:$A,MATCH(C790&amp;"-"&amp;E790&amp;"-"&amp;F790&amp;"-Pos1",'Shooter-Squad Assignment'!$W:$W,0)),""),IF(F790="Sporting Clays",IFERROR(INDEX('Shooter-Squad Assignment'!$A:$A,MATCH(C790&amp;"-"&amp;E790&amp;"-"&amp;F790&amp;"-Pos1",'Shooter-Squad Assignment'!$Z:$Z,0)),""),"")))</f>
        <v/>
      </c>
      <c r="H790" s="88" t="str">
        <f>IF(ISBLANK(G790),"",IFERROR(INDEX('Tournament List'!$D:$D,MATCH(G790,'Tournament List'!$A:$A,0)),""))</f>
        <v/>
      </c>
      <c r="I790" s="96" t="str">
        <f>IF(F790="Skeet",IFERROR(INDEX('Shooter-Squad Assignment'!$A:$A,MATCH(C790&amp;"-"&amp;E790&amp;"-"&amp;F790&amp;"-Pos2",'Shooter-Squad Assignment'!$K:$K,0)),""),IF(F790="Trap",IFERROR(INDEX('Shooter-Squad Assignment'!$A:$A,MATCH(C790&amp;"-"&amp;E790&amp;"-"&amp;F790&amp;"-Pos2",'Shooter-Squad Assignment'!$W:$W,0)),""),IF(F790="Sporting Clays",IFERROR(INDEX('Shooter-Squad Assignment'!$A:$A,MATCH(C790&amp;"-"&amp;E790&amp;"-"&amp;F790&amp;"-Pos2",'Shooter-Squad Assignment'!$Z:$Z,0)),""),"")))</f>
        <v/>
      </c>
      <c r="J790" s="88" t="str">
        <f>IF(ISBLANK(I790),"",IFERROR(INDEX('Tournament List'!$D:$D,MATCH(I790,'Tournament List'!$A:$A,0)),""))</f>
        <v/>
      </c>
      <c r="K790" s="96" t="str">
        <f>IF(F790="Skeet",IFERROR(INDEX('Shooter-Squad Assignment'!$A:$A,MATCH(C790&amp;"-"&amp;E790&amp;"-"&amp;F790&amp;"-Pos3",'Shooter-Squad Assignment'!$K:$K,0)),""),IF(F790="Trap",IFERROR(INDEX('Shooter-Squad Assignment'!$A:$A,MATCH(C790&amp;"-"&amp;E790&amp;"-"&amp;F790&amp;"-Pos3",'Shooter-Squad Assignment'!$W:$W,0)),""),IF(F790="Sporting Clays",IFERROR(INDEX('Shooter-Squad Assignment'!$A:$A,MATCH(C790&amp;"-"&amp;E790&amp;"-"&amp;F790&amp;"-Pos3",'Shooter-Squad Assignment'!$Z:$Z,0)),""),"")))</f>
        <v/>
      </c>
      <c r="L790" s="88" t="str">
        <f>IF(ISBLANK(K790),"",IFERROR(INDEX('Tournament List'!$D:$D,MATCH(K790,'Tournament List'!$A:$A,0)),""))</f>
        <v/>
      </c>
      <c r="M790" s="96" t="str">
        <f>IF(F790="Skeet",IFERROR(INDEX('Shooter-Squad Assignment'!$A:$A,MATCH(C790&amp;"-"&amp;E790&amp;"-"&amp;F790&amp;"-Pos4",'Shooter-Squad Assignment'!$K:$K,0)),""),IF(F790="Trap",IFERROR(INDEX('Shooter-Squad Assignment'!$A:$A,MATCH(C790&amp;"-"&amp;E790&amp;"-"&amp;F790&amp;"-Pos4",'Shooter-Squad Assignment'!$W:$W,0)),""),IF(F790="Sporting Clays",IFERROR(INDEX('Shooter-Squad Assignment'!$A:$A,MATCH(C790&amp;"-"&amp;E790&amp;"-"&amp;F790&amp;"-Pos4",'Shooter-Squad Assignment'!$Z:$Z,0)),""),"")))</f>
        <v/>
      </c>
      <c r="N790" s="88" t="str">
        <f>IF(ISBLANK(M790),"",IFERROR(INDEX('Tournament List'!$D:$D,MATCH(M790,'Tournament List'!$A:$A,0)),""))</f>
        <v/>
      </c>
      <c r="O790" s="96" t="str">
        <f>IF(F790="Skeet",IFERROR(INDEX('Shooter-Squad Assignment'!$A:$A,MATCH(C790&amp;"-"&amp;E790&amp;"-"&amp;F790&amp;"-Pos5",'Shooter-Squad Assignment'!$K:$K,0)),""),IF(F790="Trap",IFERROR(INDEX('Shooter-Squad Assignment'!$A:$A,MATCH(C790&amp;"-"&amp;E790&amp;"-"&amp;F790&amp;"-Pos5",'Shooter-Squad Assignment'!$W:$W,0)),""),IF(F790="Sporting Clays",IFERROR(INDEX('Shooter-Squad Assignment'!$A:$A,MATCH(C790&amp;"-"&amp;E790&amp;"-"&amp;F790&amp;"-Pos5",'Shooter-Squad Assignment'!$Z:$Z,0)),""),"")))</f>
        <v/>
      </c>
      <c r="P790" s="89" t="str">
        <f>IF(ISBLANK(O790),"",IFERROR(INDEX('Tournament List'!$D:$D,MATCH(O790,'Tournament List'!$A:$A,0)),""))</f>
        <v/>
      </c>
    </row>
    <row r="791" spans="1:16" x14ac:dyDescent="0.3">
      <c r="A791" s="87">
        <v>790</v>
      </c>
      <c r="B791" s="88" t="str">
        <f>C791&amp;"-"&amp;E791&amp;"-"&amp;F791</f>
        <v>-Novice 2-Trap</v>
      </c>
      <c r="C791" s="88"/>
      <c r="D791" s="88" t="str">
        <f>INDEX('Tournament Setup'!$B$59:$B$78,MATCH(E791,SquadConcurrents,0))</f>
        <v>Novice</v>
      </c>
      <c r="E791" s="88" t="s">
        <v>343</v>
      </c>
      <c r="F791" s="88" t="s">
        <v>147</v>
      </c>
      <c r="G791" s="96" t="str">
        <f>IF(F791="Skeet",IFERROR(INDEX('Shooter-Squad Assignment'!$A:$A,MATCH(C791&amp;"-"&amp;E791&amp;"-"&amp;F791&amp;"-Pos1",'Shooter-Squad Assignment'!$K:$K,0)),""),IF(F791="Trap",IFERROR(INDEX('Shooter-Squad Assignment'!$A:$A,MATCH(C791&amp;"-"&amp;E791&amp;"-"&amp;F791&amp;"-Pos1",'Shooter-Squad Assignment'!$W:$W,0)),""),IF(F791="Sporting Clays",IFERROR(INDEX('Shooter-Squad Assignment'!$A:$A,MATCH(C791&amp;"-"&amp;E791&amp;"-"&amp;F791&amp;"-Pos1",'Shooter-Squad Assignment'!$Z:$Z,0)),""),"")))</f>
        <v/>
      </c>
      <c r="H791" s="88" t="str">
        <f>IF(ISBLANK(G791),"",IFERROR(INDEX('Tournament List'!$D:$D,MATCH(G791,'Tournament List'!$A:$A,0)),""))</f>
        <v/>
      </c>
      <c r="I791" s="96" t="str">
        <f>IF(F791="Skeet",IFERROR(INDEX('Shooter-Squad Assignment'!$A:$A,MATCH(C791&amp;"-"&amp;E791&amp;"-"&amp;F791&amp;"-Pos2",'Shooter-Squad Assignment'!$K:$K,0)),""),IF(F791="Trap",IFERROR(INDEX('Shooter-Squad Assignment'!$A:$A,MATCH(C791&amp;"-"&amp;E791&amp;"-"&amp;F791&amp;"-Pos2",'Shooter-Squad Assignment'!$W:$W,0)),""),IF(F791="Sporting Clays",IFERROR(INDEX('Shooter-Squad Assignment'!$A:$A,MATCH(C791&amp;"-"&amp;E791&amp;"-"&amp;F791&amp;"-Pos2",'Shooter-Squad Assignment'!$Z:$Z,0)),""),"")))</f>
        <v/>
      </c>
      <c r="J791" s="88" t="str">
        <f>IF(ISBLANK(I791),"",IFERROR(INDEX('Tournament List'!$D:$D,MATCH(I791,'Tournament List'!$A:$A,0)),""))</f>
        <v/>
      </c>
      <c r="K791" s="96" t="str">
        <f>IF(F791="Skeet",IFERROR(INDEX('Shooter-Squad Assignment'!$A:$A,MATCH(C791&amp;"-"&amp;E791&amp;"-"&amp;F791&amp;"-Pos3",'Shooter-Squad Assignment'!$K:$K,0)),""),IF(F791="Trap",IFERROR(INDEX('Shooter-Squad Assignment'!$A:$A,MATCH(C791&amp;"-"&amp;E791&amp;"-"&amp;F791&amp;"-Pos3",'Shooter-Squad Assignment'!$W:$W,0)),""),IF(F791="Sporting Clays",IFERROR(INDEX('Shooter-Squad Assignment'!$A:$A,MATCH(C791&amp;"-"&amp;E791&amp;"-"&amp;F791&amp;"-Pos3",'Shooter-Squad Assignment'!$Z:$Z,0)),""),"")))</f>
        <v/>
      </c>
      <c r="L791" s="88" t="str">
        <f>IF(ISBLANK(K791),"",IFERROR(INDEX('Tournament List'!$D:$D,MATCH(K791,'Tournament List'!$A:$A,0)),""))</f>
        <v/>
      </c>
      <c r="M791" s="96" t="str">
        <f>IF(F791="Skeet",IFERROR(INDEX('Shooter-Squad Assignment'!$A:$A,MATCH(C791&amp;"-"&amp;E791&amp;"-"&amp;F791&amp;"-Pos4",'Shooter-Squad Assignment'!$K:$K,0)),""),IF(F791="Trap",IFERROR(INDEX('Shooter-Squad Assignment'!$A:$A,MATCH(C791&amp;"-"&amp;E791&amp;"-"&amp;F791&amp;"-Pos4",'Shooter-Squad Assignment'!$W:$W,0)),""),IF(F791="Sporting Clays",IFERROR(INDEX('Shooter-Squad Assignment'!$A:$A,MATCH(C791&amp;"-"&amp;E791&amp;"-"&amp;F791&amp;"-Pos4",'Shooter-Squad Assignment'!$Z:$Z,0)),""),"")))</f>
        <v/>
      </c>
      <c r="N791" s="88" t="str">
        <f>IF(ISBLANK(M791),"",IFERROR(INDEX('Tournament List'!$D:$D,MATCH(M791,'Tournament List'!$A:$A,0)),""))</f>
        <v/>
      </c>
      <c r="O791" s="96" t="str">
        <f>IF(F791="Skeet",IFERROR(INDEX('Shooter-Squad Assignment'!$A:$A,MATCH(C791&amp;"-"&amp;E791&amp;"-"&amp;F791&amp;"-Pos5",'Shooter-Squad Assignment'!$K:$K,0)),""),IF(F791="Trap",IFERROR(INDEX('Shooter-Squad Assignment'!$A:$A,MATCH(C791&amp;"-"&amp;E791&amp;"-"&amp;F791&amp;"-Pos5",'Shooter-Squad Assignment'!$W:$W,0)),""),IF(F791="Sporting Clays",IFERROR(INDEX('Shooter-Squad Assignment'!$A:$A,MATCH(C791&amp;"-"&amp;E791&amp;"-"&amp;F791&amp;"-Pos5",'Shooter-Squad Assignment'!$Z:$Z,0)),""),"")))</f>
        <v/>
      </c>
      <c r="P791" s="89" t="str">
        <f>IF(ISBLANK(O791),"",IFERROR(INDEX('Tournament List'!$D:$D,MATCH(O791,'Tournament List'!$A:$A,0)),""))</f>
        <v/>
      </c>
    </row>
    <row r="792" spans="1:16" x14ac:dyDescent="0.3">
      <c r="A792" s="87">
        <v>791</v>
      </c>
      <c r="B792" s="88" t="str">
        <f>C792&amp;"-"&amp;E792&amp;"-"&amp;F792</f>
        <v>-Novice 3-Trap</v>
      </c>
      <c r="C792" s="88"/>
      <c r="D792" s="88" t="str">
        <f>INDEX('Tournament Setup'!$B$59:$B$78,MATCH(E792,SquadConcurrents,0))</f>
        <v>Novice</v>
      </c>
      <c r="E792" s="88" t="s">
        <v>349</v>
      </c>
      <c r="F792" s="88" t="s">
        <v>147</v>
      </c>
      <c r="G792" s="96" t="str">
        <f>IF(F792="Skeet",IFERROR(INDEX('Shooter-Squad Assignment'!$A:$A,MATCH(C792&amp;"-"&amp;E792&amp;"-"&amp;F792&amp;"-Pos1",'Shooter-Squad Assignment'!$K:$K,0)),""),IF(F792="Trap",IFERROR(INDEX('Shooter-Squad Assignment'!$A:$A,MATCH(C792&amp;"-"&amp;E792&amp;"-"&amp;F792&amp;"-Pos1",'Shooter-Squad Assignment'!$W:$W,0)),""),IF(F792="Sporting Clays",IFERROR(INDEX('Shooter-Squad Assignment'!$A:$A,MATCH(C792&amp;"-"&amp;E792&amp;"-"&amp;F792&amp;"-Pos1",'Shooter-Squad Assignment'!$Z:$Z,0)),""),"")))</f>
        <v/>
      </c>
      <c r="H792" s="88" t="str">
        <f>IF(ISBLANK(G792),"",IFERROR(INDEX('Tournament List'!$D:$D,MATCH(G792,'Tournament List'!$A:$A,0)),""))</f>
        <v/>
      </c>
      <c r="I792" s="96" t="str">
        <f>IF(F792="Skeet",IFERROR(INDEX('Shooter-Squad Assignment'!$A:$A,MATCH(C792&amp;"-"&amp;E792&amp;"-"&amp;F792&amp;"-Pos2",'Shooter-Squad Assignment'!$K:$K,0)),""),IF(F792="Trap",IFERROR(INDEX('Shooter-Squad Assignment'!$A:$A,MATCH(C792&amp;"-"&amp;E792&amp;"-"&amp;F792&amp;"-Pos2",'Shooter-Squad Assignment'!$W:$W,0)),""),IF(F792="Sporting Clays",IFERROR(INDEX('Shooter-Squad Assignment'!$A:$A,MATCH(C792&amp;"-"&amp;E792&amp;"-"&amp;F792&amp;"-Pos2",'Shooter-Squad Assignment'!$Z:$Z,0)),""),"")))</f>
        <v/>
      </c>
      <c r="J792" s="88" t="str">
        <f>IF(ISBLANK(I792),"",IFERROR(INDEX('Tournament List'!$D:$D,MATCH(I792,'Tournament List'!$A:$A,0)),""))</f>
        <v/>
      </c>
      <c r="K792" s="96" t="str">
        <f>IF(F792="Skeet",IFERROR(INDEX('Shooter-Squad Assignment'!$A:$A,MATCH(C792&amp;"-"&amp;E792&amp;"-"&amp;F792&amp;"-Pos3",'Shooter-Squad Assignment'!$K:$K,0)),""),IF(F792="Trap",IFERROR(INDEX('Shooter-Squad Assignment'!$A:$A,MATCH(C792&amp;"-"&amp;E792&amp;"-"&amp;F792&amp;"-Pos3",'Shooter-Squad Assignment'!$W:$W,0)),""),IF(F792="Sporting Clays",IFERROR(INDEX('Shooter-Squad Assignment'!$A:$A,MATCH(C792&amp;"-"&amp;E792&amp;"-"&amp;F792&amp;"-Pos3",'Shooter-Squad Assignment'!$Z:$Z,0)),""),"")))</f>
        <v/>
      </c>
      <c r="L792" s="88" t="str">
        <f>IF(ISBLANK(K792),"",IFERROR(INDEX('Tournament List'!$D:$D,MATCH(K792,'Tournament List'!$A:$A,0)),""))</f>
        <v/>
      </c>
      <c r="M792" s="96" t="str">
        <f>IF(F792="Skeet",IFERROR(INDEX('Shooter-Squad Assignment'!$A:$A,MATCH(C792&amp;"-"&amp;E792&amp;"-"&amp;F792&amp;"-Pos4",'Shooter-Squad Assignment'!$K:$K,0)),""),IF(F792="Trap",IFERROR(INDEX('Shooter-Squad Assignment'!$A:$A,MATCH(C792&amp;"-"&amp;E792&amp;"-"&amp;F792&amp;"-Pos4",'Shooter-Squad Assignment'!$W:$W,0)),""),IF(F792="Sporting Clays",IFERROR(INDEX('Shooter-Squad Assignment'!$A:$A,MATCH(C792&amp;"-"&amp;E792&amp;"-"&amp;F792&amp;"-Pos4",'Shooter-Squad Assignment'!$Z:$Z,0)),""),"")))</f>
        <v/>
      </c>
      <c r="N792" s="88" t="str">
        <f>IF(ISBLANK(M792),"",IFERROR(INDEX('Tournament List'!$D:$D,MATCH(M792,'Tournament List'!$A:$A,0)),""))</f>
        <v/>
      </c>
      <c r="O792" s="96" t="str">
        <f>IF(F792="Skeet",IFERROR(INDEX('Shooter-Squad Assignment'!$A:$A,MATCH(C792&amp;"-"&amp;E792&amp;"-"&amp;F792&amp;"-Pos5",'Shooter-Squad Assignment'!$K:$K,0)),""),IF(F792="Trap",IFERROR(INDEX('Shooter-Squad Assignment'!$A:$A,MATCH(C792&amp;"-"&amp;E792&amp;"-"&amp;F792&amp;"-Pos5",'Shooter-Squad Assignment'!$W:$W,0)),""),IF(F792="Sporting Clays",IFERROR(INDEX('Shooter-Squad Assignment'!$A:$A,MATCH(C792&amp;"-"&amp;E792&amp;"-"&amp;F792&amp;"-Pos5",'Shooter-Squad Assignment'!$Z:$Z,0)),""),"")))</f>
        <v/>
      </c>
      <c r="P792" s="89" t="str">
        <f>IF(ISBLANK(O792),"",IFERROR(INDEX('Tournament List'!$D:$D,MATCH(O792,'Tournament List'!$A:$A,0)),""))</f>
        <v/>
      </c>
    </row>
    <row r="793" spans="1:16" x14ac:dyDescent="0.3">
      <c r="A793" s="87">
        <v>792</v>
      </c>
      <c r="B793" s="88" t="str">
        <f>C793&amp;"-"&amp;E793&amp;"-"&amp;F793</f>
        <v>-Open 1-Trap</v>
      </c>
      <c r="C793" s="88"/>
      <c r="D793" s="88" t="str">
        <f>INDEX('Tournament Setup'!$B$59:$B$78,MATCH(E793,SquadConcurrents,0))</f>
        <v>Open</v>
      </c>
      <c r="E793" s="88" t="s">
        <v>341</v>
      </c>
      <c r="F793" s="88" t="s">
        <v>147</v>
      </c>
      <c r="G793" s="96" t="str">
        <f>IF(F793="Skeet",IFERROR(INDEX('Shooter-Squad Assignment'!$A:$A,MATCH(C793&amp;"-"&amp;E793&amp;"-"&amp;F793&amp;"-Pos1",'Shooter-Squad Assignment'!$K:$K,0)),""),IF(F793="Trap",IFERROR(INDEX('Shooter-Squad Assignment'!$A:$A,MATCH(C793&amp;"-"&amp;E793&amp;"-"&amp;F793&amp;"-Pos1",'Shooter-Squad Assignment'!$W:$W,0)),""),IF(F793="Sporting Clays",IFERROR(INDEX('Shooter-Squad Assignment'!$A:$A,MATCH(C793&amp;"-"&amp;E793&amp;"-"&amp;F793&amp;"-Pos1",'Shooter-Squad Assignment'!$Z:$Z,0)),""),"")))</f>
        <v/>
      </c>
      <c r="H793" s="88" t="str">
        <f>IF(ISBLANK(G793),"",IFERROR(INDEX('Tournament List'!$D:$D,MATCH(G793,'Tournament List'!$A:$A,0)),""))</f>
        <v/>
      </c>
      <c r="I793" s="96" t="str">
        <f>IF(F793="Skeet",IFERROR(INDEX('Shooter-Squad Assignment'!$A:$A,MATCH(C793&amp;"-"&amp;E793&amp;"-"&amp;F793&amp;"-Pos2",'Shooter-Squad Assignment'!$K:$K,0)),""),IF(F793="Trap",IFERROR(INDEX('Shooter-Squad Assignment'!$A:$A,MATCH(C793&amp;"-"&amp;E793&amp;"-"&amp;F793&amp;"-Pos2",'Shooter-Squad Assignment'!$W:$W,0)),""),IF(F793="Sporting Clays",IFERROR(INDEX('Shooter-Squad Assignment'!$A:$A,MATCH(C793&amp;"-"&amp;E793&amp;"-"&amp;F793&amp;"-Pos2",'Shooter-Squad Assignment'!$Z:$Z,0)),""),"")))</f>
        <v/>
      </c>
      <c r="J793" s="88" t="str">
        <f>IF(ISBLANK(I793),"",IFERROR(INDEX('Tournament List'!$D:$D,MATCH(I793,'Tournament List'!$A:$A,0)),""))</f>
        <v/>
      </c>
      <c r="K793" s="96" t="str">
        <f>IF(F793="Skeet",IFERROR(INDEX('Shooter-Squad Assignment'!$A:$A,MATCH(C793&amp;"-"&amp;E793&amp;"-"&amp;F793&amp;"-Pos3",'Shooter-Squad Assignment'!$K:$K,0)),""),IF(F793="Trap",IFERROR(INDEX('Shooter-Squad Assignment'!$A:$A,MATCH(C793&amp;"-"&amp;E793&amp;"-"&amp;F793&amp;"-Pos3",'Shooter-Squad Assignment'!$W:$W,0)),""),IF(F793="Sporting Clays",IFERROR(INDEX('Shooter-Squad Assignment'!$A:$A,MATCH(C793&amp;"-"&amp;E793&amp;"-"&amp;F793&amp;"-Pos3",'Shooter-Squad Assignment'!$Z:$Z,0)),""),"")))</f>
        <v/>
      </c>
      <c r="L793" s="88" t="str">
        <f>IF(ISBLANK(K793),"",IFERROR(INDEX('Tournament List'!$D:$D,MATCH(K793,'Tournament List'!$A:$A,0)),""))</f>
        <v/>
      </c>
      <c r="M793" s="96" t="str">
        <f>IF(F793="Skeet",IFERROR(INDEX('Shooter-Squad Assignment'!$A:$A,MATCH(C793&amp;"-"&amp;E793&amp;"-"&amp;F793&amp;"-Pos4",'Shooter-Squad Assignment'!$K:$K,0)),""),IF(F793="Trap",IFERROR(INDEX('Shooter-Squad Assignment'!$A:$A,MATCH(C793&amp;"-"&amp;E793&amp;"-"&amp;F793&amp;"-Pos4",'Shooter-Squad Assignment'!$W:$W,0)),""),IF(F793="Sporting Clays",IFERROR(INDEX('Shooter-Squad Assignment'!$A:$A,MATCH(C793&amp;"-"&amp;E793&amp;"-"&amp;F793&amp;"-Pos4",'Shooter-Squad Assignment'!$Z:$Z,0)),""),"")))</f>
        <v/>
      </c>
      <c r="N793" s="88" t="str">
        <f>IF(ISBLANK(M793),"",IFERROR(INDEX('Tournament List'!$D:$D,MATCH(M793,'Tournament List'!$A:$A,0)),""))</f>
        <v/>
      </c>
      <c r="O793" s="96" t="str">
        <f>IF(F793="Skeet",IFERROR(INDEX('Shooter-Squad Assignment'!$A:$A,MATCH(C793&amp;"-"&amp;E793&amp;"-"&amp;F793&amp;"-Pos5",'Shooter-Squad Assignment'!$K:$K,0)),""),IF(F793="Trap",IFERROR(INDEX('Shooter-Squad Assignment'!$A:$A,MATCH(C793&amp;"-"&amp;E793&amp;"-"&amp;F793&amp;"-Pos5",'Shooter-Squad Assignment'!$W:$W,0)),""),IF(F793="Sporting Clays",IFERROR(INDEX('Shooter-Squad Assignment'!$A:$A,MATCH(C793&amp;"-"&amp;E793&amp;"-"&amp;F793&amp;"-Pos5",'Shooter-Squad Assignment'!$Z:$Z,0)),""),"")))</f>
        <v/>
      </c>
      <c r="P793" s="89" t="str">
        <f>IF(ISBLANK(O793),"",IFERROR(INDEX('Tournament List'!$D:$D,MATCH(O793,'Tournament List'!$A:$A,0)),""))</f>
        <v/>
      </c>
    </row>
    <row r="794" spans="1:16" x14ac:dyDescent="0.3">
      <c r="A794" s="87">
        <v>793</v>
      </c>
      <c r="B794" s="88" t="str">
        <f>C794&amp;"-"&amp;E794&amp;"-"&amp;F794</f>
        <v>-Open 2-Trap</v>
      </c>
      <c r="C794" s="88"/>
      <c r="D794" s="88" t="str">
        <f>INDEX('Tournament Setup'!$B$59:$B$78,MATCH(E794,SquadConcurrents,0))</f>
        <v>Open</v>
      </c>
      <c r="E794" s="88" t="s">
        <v>347</v>
      </c>
      <c r="F794" s="88" t="s">
        <v>147</v>
      </c>
      <c r="G794" s="96" t="str">
        <f>IF(F794="Skeet",IFERROR(INDEX('Shooter-Squad Assignment'!$A:$A,MATCH(C794&amp;"-"&amp;E794&amp;"-"&amp;F794&amp;"-Pos1",'Shooter-Squad Assignment'!$K:$K,0)),""),IF(F794="Trap",IFERROR(INDEX('Shooter-Squad Assignment'!$A:$A,MATCH(C794&amp;"-"&amp;E794&amp;"-"&amp;F794&amp;"-Pos1",'Shooter-Squad Assignment'!$W:$W,0)),""),IF(F794="Sporting Clays",IFERROR(INDEX('Shooter-Squad Assignment'!$A:$A,MATCH(C794&amp;"-"&amp;E794&amp;"-"&amp;F794&amp;"-Pos1",'Shooter-Squad Assignment'!$Z:$Z,0)),""),"")))</f>
        <v/>
      </c>
      <c r="H794" s="88" t="str">
        <f>IF(ISBLANK(G794),"",IFERROR(INDEX('Tournament List'!$D:$D,MATCH(G794,'Tournament List'!$A:$A,0)),""))</f>
        <v/>
      </c>
      <c r="I794" s="96" t="str">
        <f>IF(F794="Skeet",IFERROR(INDEX('Shooter-Squad Assignment'!$A:$A,MATCH(C794&amp;"-"&amp;E794&amp;"-"&amp;F794&amp;"-Pos2",'Shooter-Squad Assignment'!$K:$K,0)),""),IF(F794="Trap",IFERROR(INDEX('Shooter-Squad Assignment'!$A:$A,MATCH(C794&amp;"-"&amp;E794&amp;"-"&amp;F794&amp;"-Pos2",'Shooter-Squad Assignment'!$W:$W,0)),""),IF(F794="Sporting Clays",IFERROR(INDEX('Shooter-Squad Assignment'!$A:$A,MATCH(C794&amp;"-"&amp;E794&amp;"-"&amp;F794&amp;"-Pos2",'Shooter-Squad Assignment'!$Z:$Z,0)),""),"")))</f>
        <v/>
      </c>
      <c r="J794" s="88" t="str">
        <f>IF(ISBLANK(I794),"",IFERROR(INDEX('Tournament List'!$D:$D,MATCH(I794,'Tournament List'!$A:$A,0)),""))</f>
        <v/>
      </c>
      <c r="K794" s="96" t="str">
        <f>IF(F794="Skeet",IFERROR(INDEX('Shooter-Squad Assignment'!$A:$A,MATCH(C794&amp;"-"&amp;E794&amp;"-"&amp;F794&amp;"-Pos3",'Shooter-Squad Assignment'!$K:$K,0)),""),IF(F794="Trap",IFERROR(INDEX('Shooter-Squad Assignment'!$A:$A,MATCH(C794&amp;"-"&amp;E794&amp;"-"&amp;F794&amp;"-Pos3",'Shooter-Squad Assignment'!$W:$W,0)),""),IF(F794="Sporting Clays",IFERROR(INDEX('Shooter-Squad Assignment'!$A:$A,MATCH(C794&amp;"-"&amp;E794&amp;"-"&amp;F794&amp;"-Pos3",'Shooter-Squad Assignment'!$Z:$Z,0)),""),"")))</f>
        <v/>
      </c>
      <c r="L794" s="88" t="str">
        <f>IF(ISBLANK(K794),"",IFERROR(INDEX('Tournament List'!$D:$D,MATCH(K794,'Tournament List'!$A:$A,0)),""))</f>
        <v/>
      </c>
      <c r="M794" s="96" t="str">
        <f>IF(F794="Skeet",IFERROR(INDEX('Shooter-Squad Assignment'!$A:$A,MATCH(C794&amp;"-"&amp;E794&amp;"-"&amp;F794&amp;"-Pos4",'Shooter-Squad Assignment'!$K:$K,0)),""),IF(F794="Trap",IFERROR(INDEX('Shooter-Squad Assignment'!$A:$A,MATCH(C794&amp;"-"&amp;E794&amp;"-"&amp;F794&amp;"-Pos4",'Shooter-Squad Assignment'!$W:$W,0)),""),IF(F794="Sporting Clays",IFERROR(INDEX('Shooter-Squad Assignment'!$A:$A,MATCH(C794&amp;"-"&amp;E794&amp;"-"&amp;F794&amp;"-Pos4",'Shooter-Squad Assignment'!$Z:$Z,0)),""),"")))</f>
        <v/>
      </c>
      <c r="N794" s="88" t="str">
        <f>IF(ISBLANK(M794),"",IFERROR(INDEX('Tournament List'!$D:$D,MATCH(M794,'Tournament List'!$A:$A,0)),""))</f>
        <v/>
      </c>
      <c r="O794" s="96" t="str">
        <f>IF(F794="Skeet",IFERROR(INDEX('Shooter-Squad Assignment'!$A:$A,MATCH(C794&amp;"-"&amp;E794&amp;"-"&amp;F794&amp;"-Pos5",'Shooter-Squad Assignment'!$K:$K,0)),""),IF(F794="Trap",IFERROR(INDEX('Shooter-Squad Assignment'!$A:$A,MATCH(C794&amp;"-"&amp;E794&amp;"-"&amp;F794&amp;"-Pos5",'Shooter-Squad Assignment'!$W:$W,0)),""),IF(F794="Sporting Clays",IFERROR(INDEX('Shooter-Squad Assignment'!$A:$A,MATCH(C794&amp;"-"&amp;E794&amp;"-"&amp;F794&amp;"-Pos5",'Shooter-Squad Assignment'!$Z:$Z,0)),""),"")))</f>
        <v/>
      </c>
      <c r="P794" s="89" t="str">
        <f>IF(ISBLANK(O794),"",IFERROR(INDEX('Tournament List'!$D:$D,MATCH(O794,'Tournament List'!$A:$A,0)),""))</f>
        <v/>
      </c>
    </row>
    <row r="795" spans="1:16" x14ac:dyDescent="0.3">
      <c r="A795" s="87">
        <v>794</v>
      </c>
      <c r="B795" s="88" t="str">
        <f>C795&amp;"-"&amp;E795&amp;"-"&amp;F795</f>
        <v>-Open 3-Trap</v>
      </c>
      <c r="C795" s="88"/>
      <c r="D795" s="88" t="str">
        <f>INDEX('Tournament Setup'!$B$59:$B$78,MATCH(E795,SquadConcurrents,0))</f>
        <v>Open</v>
      </c>
      <c r="E795" s="88" t="s">
        <v>353</v>
      </c>
      <c r="F795" s="88" t="s">
        <v>147</v>
      </c>
      <c r="G795" s="96" t="str">
        <f>IF(F795="Skeet",IFERROR(INDEX('Shooter-Squad Assignment'!$A:$A,MATCH(C795&amp;"-"&amp;E795&amp;"-"&amp;F795&amp;"-Pos1",'Shooter-Squad Assignment'!$K:$K,0)),""),IF(F795="Trap",IFERROR(INDEX('Shooter-Squad Assignment'!$A:$A,MATCH(C795&amp;"-"&amp;E795&amp;"-"&amp;F795&amp;"-Pos1",'Shooter-Squad Assignment'!$W:$W,0)),""),IF(F795="Sporting Clays",IFERROR(INDEX('Shooter-Squad Assignment'!$A:$A,MATCH(C795&amp;"-"&amp;E795&amp;"-"&amp;F795&amp;"-Pos1",'Shooter-Squad Assignment'!$Z:$Z,0)),""),"")))</f>
        <v/>
      </c>
      <c r="H795" s="88" t="str">
        <f>IF(ISBLANK(G795),"",IFERROR(INDEX('Tournament List'!$D:$D,MATCH(G795,'Tournament List'!$A:$A,0)),""))</f>
        <v/>
      </c>
      <c r="I795" s="96" t="str">
        <f>IF(F795="Skeet",IFERROR(INDEX('Shooter-Squad Assignment'!$A:$A,MATCH(C795&amp;"-"&amp;E795&amp;"-"&amp;F795&amp;"-Pos2",'Shooter-Squad Assignment'!$K:$K,0)),""),IF(F795="Trap",IFERROR(INDEX('Shooter-Squad Assignment'!$A:$A,MATCH(C795&amp;"-"&amp;E795&amp;"-"&amp;F795&amp;"-Pos2",'Shooter-Squad Assignment'!$W:$W,0)),""),IF(F795="Sporting Clays",IFERROR(INDEX('Shooter-Squad Assignment'!$A:$A,MATCH(C795&amp;"-"&amp;E795&amp;"-"&amp;F795&amp;"-Pos2",'Shooter-Squad Assignment'!$Z:$Z,0)),""),"")))</f>
        <v/>
      </c>
      <c r="J795" s="88" t="str">
        <f>IF(ISBLANK(I795),"",IFERROR(INDEX('Tournament List'!$D:$D,MATCH(I795,'Tournament List'!$A:$A,0)),""))</f>
        <v/>
      </c>
      <c r="K795" s="96" t="str">
        <f>IF(F795="Skeet",IFERROR(INDEX('Shooter-Squad Assignment'!$A:$A,MATCH(C795&amp;"-"&amp;E795&amp;"-"&amp;F795&amp;"-Pos3",'Shooter-Squad Assignment'!$K:$K,0)),""),IF(F795="Trap",IFERROR(INDEX('Shooter-Squad Assignment'!$A:$A,MATCH(C795&amp;"-"&amp;E795&amp;"-"&amp;F795&amp;"-Pos3",'Shooter-Squad Assignment'!$W:$W,0)),""),IF(F795="Sporting Clays",IFERROR(INDEX('Shooter-Squad Assignment'!$A:$A,MATCH(C795&amp;"-"&amp;E795&amp;"-"&amp;F795&amp;"-Pos3",'Shooter-Squad Assignment'!$Z:$Z,0)),""),"")))</f>
        <v/>
      </c>
      <c r="L795" s="88" t="str">
        <f>IF(ISBLANK(K795),"",IFERROR(INDEX('Tournament List'!$D:$D,MATCH(K795,'Tournament List'!$A:$A,0)),""))</f>
        <v/>
      </c>
      <c r="M795" s="96" t="str">
        <f>IF(F795="Skeet",IFERROR(INDEX('Shooter-Squad Assignment'!$A:$A,MATCH(C795&amp;"-"&amp;E795&amp;"-"&amp;F795&amp;"-Pos4",'Shooter-Squad Assignment'!$K:$K,0)),""),IF(F795="Trap",IFERROR(INDEX('Shooter-Squad Assignment'!$A:$A,MATCH(C795&amp;"-"&amp;E795&amp;"-"&amp;F795&amp;"-Pos4",'Shooter-Squad Assignment'!$W:$W,0)),""),IF(F795="Sporting Clays",IFERROR(INDEX('Shooter-Squad Assignment'!$A:$A,MATCH(C795&amp;"-"&amp;E795&amp;"-"&amp;F795&amp;"-Pos4",'Shooter-Squad Assignment'!$Z:$Z,0)),""),"")))</f>
        <v/>
      </c>
      <c r="N795" s="88" t="str">
        <f>IF(ISBLANK(M795),"",IFERROR(INDEX('Tournament List'!$D:$D,MATCH(M795,'Tournament List'!$A:$A,0)),""))</f>
        <v/>
      </c>
      <c r="O795" s="96" t="str">
        <f>IF(F795="Skeet",IFERROR(INDEX('Shooter-Squad Assignment'!$A:$A,MATCH(C795&amp;"-"&amp;E795&amp;"-"&amp;F795&amp;"-Pos5",'Shooter-Squad Assignment'!$K:$K,0)),""),IF(F795="Trap",IFERROR(INDEX('Shooter-Squad Assignment'!$A:$A,MATCH(C795&amp;"-"&amp;E795&amp;"-"&amp;F795&amp;"-Pos5",'Shooter-Squad Assignment'!$W:$W,0)),""),IF(F795="Sporting Clays",IFERROR(INDEX('Shooter-Squad Assignment'!$A:$A,MATCH(C795&amp;"-"&amp;E795&amp;"-"&amp;F795&amp;"-Pos5",'Shooter-Squad Assignment'!$Z:$Z,0)),""),"")))</f>
        <v/>
      </c>
      <c r="P795" s="89" t="str">
        <f>IF(ISBLANK(O795),"",IFERROR(INDEX('Tournament List'!$D:$D,MATCH(O795,'Tournament List'!$A:$A,0)),""))</f>
        <v/>
      </c>
    </row>
    <row r="796" spans="1:16" x14ac:dyDescent="0.3">
      <c r="A796" s="87">
        <v>795</v>
      </c>
      <c r="B796" s="88" t="str">
        <f>C796&amp;"-"&amp;E796&amp;"-"&amp;F796</f>
        <v>-Unassigned 1-Trap</v>
      </c>
      <c r="C796" s="88"/>
      <c r="D796" s="88" t="str">
        <f>INDEX('Tournament Setup'!$B$59:$B$78,MATCH(E796,SquadConcurrents,0))</f>
        <v>Unassigned</v>
      </c>
      <c r="E796" s="88" t="s">
        <v>762</v>
      </c>
      <c r="F796" s="88" t="s">
        <v>147</v>
      </c>
      <c r="G796" s="96" t="str">
        <f>IF(F796="Skeet",IFERROR(INDEX('Shooter-Squad Assignment'!$A:$A,MATCH(C796&amp;"-"&amp;E796&amp;"-"&amp;F796&amp;"-Pos1",'Shooter-Squad Assignment'!$K:$K,0)),""),IF(F796="Trap",IFERROR(INDEX('Shooter-Squad Assignment'!$A:$A,MATCH(C796&amp;"-"&amp;E796&amp;"-"&amp;F796&amp;"-Pos1",'Shooter-Squad Assignment'!$W:$W,0)),""),IF(F796="Sporting Clays",IFERROR(INDEX('Shooter-Squad Assignment'!$A:$A,MATCH(C796&amp;"-"&amp;E796&amp;"-"&amp;F796&amp;"-Pos1",'Shooter-Squad Assignment'!$Z:$Z,0)),""),"")))</f>
        <v/>
      </c>
      <c r="H796" s="88" t="str">
        <f>IF(ISBLANK(G796),"",IFERROR(INDEX('Tournament List'!$D:$D,MATCH(G796,'Tournament List'!$A:$A,0)),""))</f>
        <v/>
      </c>
      <c r="I796" s="96" t="str">
        <f>IF(F796="Skeet",IFERROR(INDEX('Shooter-Squad Assignment'!$A:$A,MATCH(C796&amp;"-"&amp;E796&amp;"-"&amp;F796&amp;"-Pos2",'Shooter-Squad Assignment'!$K:$K,0)),""),IF(F796="Trap",IFERROR(INDEX('Shooter-Squad Assignment'!$A:$A,MATCH(C796&amp;"-"&amp;E796&amp;"-"&amp;F796&amp;"-Pos2",'Shooter-Squad Assignment'!$W:$W,0)),""),IF(F796="Sporting Clays",IFERROR(INDEX('Shooter-Squad Assignment'!$A:$A,MATCH(C796&amp;"-"&amp;E796&amp;"-"&amp;F796&amp;"-Pos2",'Shooter-Squad Assignment'!$Z:$Z,0)),""),"")))</f>
        <v/>
      </c>
      <c r="J796" s="88" t="str">
        <f>IF(ISBLANK(I796),"",IFERROR(INDEX('Tournament List'!$D:$D,MATCH(I796,'Tournament List'!$A:$A,0)),""))</f>
        <v/>
      </c>
      <c r="K796" s="96" t="str">
        <f>IF(F796="Skeet",IFERROR(INDEX('Shooter-Squad Assignment'!$A:$A,MATCH(C796&amp;"-"&amp;E796&amp;"-"&amp;F796&amp;"-Pos3",'Shooter-Squad Assignment'!$K:$K,0)),""),IF(F796="Trap",IFERROR(INDEX('Shooter-Squad Assignment'!$A:$A,MATCH(C796&amp;"-"&amp;E796&amp;"-"&amp;F796&amp;"-Pos3",'Shooter-Squad Assignment'!$W:$W,0)),""),IF(F796="Sporting Clays",IFERROR(INDEX('Shooter-Squad Assignment'!$A:$A,MATCH(C796&amp;"-"&amp;E796&amp;"-"&amp;F796&amp;"-Pos3",'Shooter-Squad Assignment'!$Z:$Z,0)),""),"")))</f>
        <v/>
      </c>
      <c r="L796" s="88" t="str">
        <f>IF(ISBLANK(K796),"",IFERROR(INDEX('Tournament List'!$D:$D,MATCH(K796,'Tournament List'!$A:$A,0)),""))</f>
        <v/>
      </c>
      <c r="M796" s="96" t="str">
        <f>IF(F796="Skeet",IFERROR(INDEX('Shooter-Squad Assignment'!$A:$A,MATCH(C796&amp;"-"&amp;E796&amp;"-"&amp;F796&amp;"-Pos4",'Shooter-Squad Assignment'!$K:$K,0)),""),IF(F796="Trap",IFERROR(INDEX('Shooter-Squad Assignment'!$A:$A,MATCH(C796&amp;"-"&amp;E796&amp;"-"&amp;F796&amp;"-Pos4",'Shooter-Squad Assignment'!$W:$W,0)),""),IF(F796="Sporting Clays",IFERROR(INDEX('Shooter-Squad Assignment'!$A:$A,MATCH(C796&amp;"-"&amp;E796&amp;"-"&amp;F796&amp;"-Pos4",'Shooter-Squad Assignment'!$Z:$Z,0)),""),"")))</f>
        <v/>
      </c>
      <c r="N796" s="88" t="str">
        <f>IF(ISBLANK(M796),"",IFERROR(INDEX('Tournament List'!$D:$D,MATCH(M796,'Tournament List'!$A:$A,0)),""))</f>
        <v/>
      </c>
      <c r="O796" s="96" t="str">
        <f>IF(F796="Skeet",IFERROR(INDEX('Shooter-Squad Assignment'!$A:$A,MATCH(C796&amp;"-"&amp;E796&amp;"-"&amp;F796&amp;"-Pos5",'Shooter-Squad Assignment'!$K:$K,0)),""),IF(F796="Trap",IFERROR(INDEX('Shooter-Squad Assignment'!$A:$A,MATCH(C796&amp;"-"&amp;E796&amp;"-"&amp;F796&amp;"-Pos5",'Shooter-Squad Assignment'!$W:$W,0)),""),IF(F796="Sporting Clays",IFERROR(INDEX('Shooter-Squad Assignment'!$A:$A,MATCH(C796&amp;"-"&amp;E796&amp;"-"&amp;F796&amp;"-Pos5",'Shooter-Squad Assignment'!$Z:$Z,0)),""),"")))</f>
        <v/>
      </c>
      <c r="P796" s="89" t="str">
        <f>IF(ISBLANK(O796),"",IFERROR(INDEX('Tournament List'!$D:$D,MATCH(O796,'Tournament List'!$A:$A,0)),""))</f>
        <v/>
      </c>
    </row>
    <row r="797" spans="1:16" x14ac:dyDescent="0.3">
      <c r="A797" s="87">
        <v>796</v>
      </c>
      <c r="B797" s="88" t="str">
        <f>C797&amp;"-"&amp;E797&amp;"-"&amp;F797</f>
        <v>-Varsity 1-Trap</v>
      </c>
      <c r="C797" s="88"/>
      <c r="D797" s="88" t="str">
        <f>INDEX('Tournament Setup'!$B$59:$B$78,MATCH(E797,SquadConcurrents,0))</f>
        <v>Varsity</v>
      </c>
      <c r="E797" s="88" t="s">
        <v>340</v>
      </c>
      <c r="F797" s="88" t="s">
        <v>147</v>
      </c>
      <c r="G797" s="96" t="str">
        <f>IF(F797="Skeet",IFERROR(INDEX('Shooter-Squad Assignment'!$A:$A,MATCH(C797&amp;"-"&amp;E797&amp;"-"&amp;F797&amp;"-Pos1",'Shooter-Squad Assignment'!$K:$K,0)),""),IF(F797="Trap",IFERROR(INDEX('Shooter-Squad Assignment'!$A:$A,MATCH(C797&amp;"-"&amp;E797&amp;"-"&amp;F797&amp;"-Pos1",'Shooter-Squad Assignment'!$W:$W,0)),""),IF(F797="Sporting Clays",IFERROR(INDEX('Shooter-Squad Assignment'!$A:$A,MATCH(C797&amp;"-"&amp;E797&amp;"-"&amp;F797&amp;"-Pos1",'Shooter-Squad Assignment'!$Z:$Z,0)),""),"")))</f>
        <v/>
      </c>
      <c r="H797" s="88" t="str">
        <f>IF(ISBLANK(G797),"",IFERROR(INDEX('Tournament List'!$D:$D,MATCH(G797,'Tournament List'!$A:$A,0)),""))</f>
        <v/>
      </c>
      <c r="I797" s="96" t="str">
        <f>IF(F797="Skeet",IFERROR(INDEX('Shooter-Squad Assignment'!$A:$A,MATCH(C797&amp;"-"&amp;E797&amp;"-"&amp;F797&amp;"-Pos2",'Shooter-Squad Assignment'!$K:$K,0)),""),IF(F797="Trap",IFERROR(INDEX('Shooter-Squad Assignment'!$A:$A,MATCH(C797&amp;"-"&amp;E797&amp;"-"&amp;F797&amp;"-Pos2",'Shooter-Squad Assignment'!$W:$W,0)),""),IF(F797="Sporting Clays",IFERROR(INDEX('Shooter-Squad Assignment'!$A:$A,MATCH(C797&amp;"-"&amp;E797&amp;"-"&amp;F797&amp;"-Pos2",'Shooter-Squad Assignment'!$Z:$Z,0)),""),"")))</f>
        <v/>
      </c>
      <c r="J797" s="88" t="str">
        <f>IF(ISBLANK(I797),"",IFERROR(INDEX('Tournament List'!$D:$D,MATCH(I797,'Tournament List'!$A:$A,0)),""))</f>
        <v/>
      </c>
      <c r="K797" s="96" t="str">
        <f>IF(F797="Skeet",IFERROR(INDEX('Shooter-Squad Assignment'!$A:$A,MATCH(C797&amp;"-"&amp;E797&amp;"-"&amp;F797&amp;"-Pos3",'Shooter-Squad Assignment'!$K:$K,0)),""),IF(F797="Trap",IFERROR(INDEX('Shooter-Squad Assignment'!$A:$A,MATCH(C797&amp;"-"&amp;E797&amp;"-"&amp;F797&amp;"-Pos3",'Shooter-Squad Assignment'!$W:$W,0)),""),IF(F797="Sporting Clays",IFERROR(INDEX('Shooter-Squad Assignment'!$A:$A,MATCH(C797&amp;"-"&amp;E797&amp;"-"&amp;F797&amp;"-Pos3",'Shooter-Squad Assignment'!$Z:$Z,0)),""),"")))</f>
        <v/>
      </c>
      <c r="L797" s="88" t="str">
        <f>IF(ISBLANK(K797),"",IFERROR(INDEX('Tournament List'!$D:$D,MATCH(K797,'Tournament List'!$A:$A,0)),""))</f>
        <v/>
      </c>
      <c r="M797" s="96" t="str">
        <f>IF(F797="Skeet",IFERROR(INDEX('Shooter-Squad Assignment'!$A:$A,MATCH(C797&amp;"-"&amp;E797&amp;"-"&amp;F797&amp;"-Pos4",'Shooter-Squad Assignment'!$K:$K,0)),""),IF(F797="Trap",IFERROR(INDEX('Shooter-Squad Assignment'!$A:$A,MATCH(C797&amp;"-"&amp;E797&amp;"-"&amp;F797&amp;"-Pos4",'Shooter-Squad Assignment'!$W:$W,0)),""),IF(F797="Sporting Clays",IFERROR(INDEX('Shooter-Squad Assignment'!$A:$A,MATCH(C797&amp;"-"&amp;E797&amp;"-"&amp;F797&amp;"-Pos4",'Shooter-Squad Assignment'!$Z:$Z,0)),""),"")))</f>
        <v/>
      </c>
      <c r="N797" s="88" t="str">
        <f>IF(ISBLANK(M797),"",IFERROR(INDEX('Tournament List'!$D:$D,MATCH(M797,'Tournament List'!$A:$A,0)),""))</f>
        <v/>
      </c>
      <c r="O797" s="96" t="str">
        <f>IF(F797="Skeet",IFERROR(INDEX('Shooter-Squad Assignment'!$A:$A,MATCH(C797&amp;"-"&amp;E797&amp;"-"&amp;F797&amp;"-Pos5",'Shooter-Squad Assignment'!$K:$K,0)),""),IF(F797="Trap",IFERROR(INDEX('Shooter-Squad Assignment'!$A:$A,MATCH(C797&amp;"-"&amp;E797&amp;"-"&amp;F797&amp;"-Pos5",'Shooter-Squad Assignment'!$W:$W,0)),""),IF(F797="Sporting Clays",IFERROR(INDEX('Shooter-Squad Assignment'!$A:$A,MATCH(C797&amp;"-"&amp;E797&amp;"-"&amp;F797&amp;"-Pos5",'Shooter-Squad Assignment'!$Z:$Z,0)),""),"")))</f>
        <v/>
      </c>
      <c r="P797" s="89" t="str">
        <f>IF(ISBLANK(O797),"",IFERROR(INDEX('Tournament List'!$D:$D,MATCH(O797,'Tournament List'!$A:$A,0)),""))</f>
        <v/>
      </c>
    </row>
    <row r="798" spans="1:16" x14ac:dyDescent="0.3">
      <c r="A798" s="87">
        <v>797</v>
      </c>
      <c r="B798" s="88" t="str">
        <f>C798&amp;"-"&amp;E798&amp;"-"&amp;F798</f>
        <v>-Varsity 2-Trap</v>
      </c>
      <c r="C798" s="88"/>
      <c r="D798" s="88" t="str">
        <f>INDEX('Tournament Setup'!$B$59:$B$78,MATCH(E798,SquadConcurrents,0))</f>
        <v>Varsity</v>
      </c>
      <c r="E798" s="88" t="s">
        <v>346</v>
      </c>
      <c r="F798" s="88" t="s">
        <v>147</v>
      </c>
      <c r="G798" s="96" t="str">
        <f>IF(F798="Skeet",IFERROR(INDEX('Shooter-Squad Assignment'!$A:$A,MATCH(C798&amp;"-"&amp;E798&amp;"-"&amp;F798&amp;"-Pos1",'Shooter-Squad Assignment'!$K:$K,0)),""),IF(F798="Trap",IFERROR(INDEX('Shooter-Squad Assignment'!$A:$A,MATCH(C798&amp;"-"&amp;E798&amp;"-"&amp;F798&amp;"-Pos1",'Shooter-Squad Assignment'!$W:$W,0)),""),IF(F798="Sporting Clays",IFERROR(INDEX('Shooter-Squad Assignment'!$A:$A,MATCH(C798&amp;"-"&amp;E798&amp;"-"&amp;F798&amp;"-Pos1",'Shooter-Squad Assignment'!$Z:$Z,0)),""),"")))</f>
        <v/>
      </c>
      <c r="H798" s="88" t="str">
        <f>IF(ISBLANK(G798),"",IFERROR(INDEX('Tournament List'!$D:$D,MATCH(G798,'Tournament List'!$A:$A,0)),""))</f>
        <v/>
      </c>
      <c r="I798" s="96" t="str">
        <f>IF(F798="Skeet",IFERROR(INDEX('Shooter-Squad Assignment'!$A:$A,MATCH(C798&amp;"-"&amp;E798&amp;"-"&amp;F798&amp;"-Pos2",'Shooter-Squad Assignment'!$K:$K,0)),""),IF(F798="Trap",IFERROR(INDEX('Shooter-Squad Assignment'!$A:$A,MATCH(C798&amp;"-"&amp;E798&amp;"-"&amp;F798&amp;"-Pos2",'Shooter-Squad Assignment'!$W:$W,0)),""),IF(F798="Sporting Clays",IFERROR(INDEX('Shooter-Squad Assignment'!$A:$A,MATCH(C798&amp;"-"&amp;E798&amp;"-"&amp;F798&amp;"-Pos2",'Shooter-Squad Assignment'!$Z:$Z,0)),""),"")))</f>
        <v/>
      </c>
      <c r="J798" s="88" t="str">
        <f>IF(ISBLANK(I798),"",IFERROR(INDEX('Tournament List'!$D:$D,MATCH(I798,'Tournament List'!$A:$A,0)),""))</f>
        <v/>
      </c>
      <c r="K798" s="96" t="str">
        <f>IF(F798="Skeet",IFERROR(INDEX('Shooter-Squad Assignment'!$A:$A,MATCH(C798&amp;"-"&amp;E798&amp;"-"&amp;F798&amp;"-Pos3",'Shooter-Squad Assignment'!$K:$K,0)),""),IF(F798="Trap",IFERROR(INDEX('Shooter-Squad Assignment'!$A:$A,MATCH(C798&amp;"-"&amp;E798&amp;"-"&amp;F798&amp;"-Pos3",'Shooter-Squad Assignment'!$W:$W,0)),""),IF(F798="Sporting Clays",IFERROR(INDEX('Shooter-Squad Assignment'!$A:$A,MATCH(C798&amp;"-"&amp;E798&amp;"-"&amp;F798&amp;"-Pos3",'Shooter-Squad Assignment'!$Z:$Z,0)),""),"")))</f>
        <v/>
      </c>
      <c r="L798" s="88" t="str">
        <f>IF(ISBLANK(K798),"",IFERROR(INDEX('Tournament List'!$D:$D,MATCH(K798,'Tournament List'!$A:$A,0)),""))</f>
        <v/>
      </c>
      <c r="M798" s="96" t="str">
        <f>IF(F798="Skeet",IFERROR(INDEX('Shooter-Squad Assignment'!$A:$A,MATCH(C798&amp;"-"&amp;E798&amp;"-"&amp;F798&amp;"-Pos4",'Shooter-Squad Assignment'!$K:$K,0)),""),IF(F798="Trap",IFERROR(INDEX('Shooter-Squad Assignment'!$A:$A,MATCH(C798&amp;"-"&amp;E798&amp;"-"&amp;F798&amp;"-Pos4",'Shooter-Squad Assignment'!$W:$W,0)),""),IF(F798="Sporting Clays",IFERROR(INDEX('Shooter-Squad Assignment'!$A:$A,MATCH(C798&amp;"-"&amp;E798&amp;"-"&amp;F798&amp;"-Pos4",'Shooter-Squad Assignment'!$Z:$Z,0)),""),"")))</f>
        <v/>
      </c>
      <c r="N798" s="88" t="str">
        <f>IF(ISBLANK(M798),"",IFERROR(INDEX('Tournament List'!$D:$D,MATCH(M798,'Tournament List'!$A:$A,0)),""))</f>
        <v/>
      </c>
      <c r="O798" s="96" t="str">
        <f>IF(F798="Skeet",IFERROR(INDEX('Shooter-Squad Assignment'!$A:$A,MATCH(C798&amp;"-"&amp;E798&amp;"-"&amp;F798&amp;"-Pos5",'Shooter-Squad Assignment'!$K:$K,0)),""),IF(F798="Trap",IFERROR(INDEX('Shooter-Squad Assignment'!$A:$A,MATCH(C798&amp;"-"&amp;E798&amp;"-"&amp;F798&amp;"-Pos5",'Shooter-Squad Assignment'!$W:$W,0)),""),IF(F798="Sporting Clays",IFERROR(INDEX('Shooter-Squad Assignment'!$A:$A,MATCH(C798&amp;"-"&amp;E798&amp;"-"&amp;F798&amp;"-Pos5",'Shooter-Squad Assignment'!$Z:$Z,0)),""),"")))</f>
        <v/>
      </c>
      <c r="P798" s="89" t="str">
        <f>IF(ISBLANK(O798),"",IFERROR(INDEX('Tournament List'!$D:$D,MATCH(O798,'Tournament List'!$A:$A,0)),""))</f>
        <v/>
      </c>
    </row>
    <row r="799" spans="1:16" ht="15" thickBot="1" x14ac:dyDescent="0.35">
      <c r="A799" s="90">
        <v>798</v>
      </c>
      <c r="B799" s="91" t="str">
        <f>C799&amp;"-"&amp;E799&amp;"-"&amp;F799</f>
        <v>-Varsity 3-Trap</v>
      </c>
      <c r="C799" s="91"/>
      <c r="D799" s="91" t="str">
        <f>INDEX('Tournament Setup'!$B$59:$B$78,MATCH(E799,SquadConcurrents,0))</f>
        <v>Varsity</v>
      </c>
      <c r="E799" s="91" t="s">
        <v>352</v>
      </c>
      <c r="F799" s="91" t="s">
        <v>147</v>
      </c>
      <c r="G799" s="97" t="str">
        <f>IF(F799="Skeet",IFERROR(INDEX('Shooter-Squad Assignment'!$A:$A,MATCH(C799&amp;"-"&amp;E799&amp;"-"&amp;F799&amp;"-Pos1",'Shooter-Squad Assignment'!$K:$K,0)),""),IF(F799="Trap",IFERROR(INDEX('Shooter-Squad Assignment'!$A:$A,MATCH(C799&amp;"-"&amp;E799&amp;"-"&amp;F799&amp;"-Pos1",'Shooter-Squad Assignment'!$W:$W,0)),""),IF(F799="Sporting Clays",IFERROR(INDEX('Shooter-Squad Assignment'!$A:$A,MATCH(C799&amp;"-"&amp;E799&amp;"-"&amp;F799&amp;"-Pos1",'Shooter-Squad Assignment'!$Z:$Z,0)),""),"")))</f>
        <v/>
      </c>
      <c r="H799" s="91" t="str">
        <f>IF(ISBLANK(G799),"",IFERROR(INDEX('Tournament List'!$D:$D,MATCH(G799,'Tournament List'!$A:$A,0)),""))</f>
        <v/>
      </c>
      <c r="I799" s="97" t="str">
        <f>IF(F799="Skeet",IFERROR(INDEX('Shooter-Squad Assignment'!$A:$A,MATCH(C799&amp;"-"&amp;E799&amp;"-"&amp;F799&amp;"-Pos2",'Shooter-Squad Assignment'!$K:$K,0)),""),IF(F799="Trap",IFERROR(INDEX('Shooter-Squad Assignment'!$A:$A,MATCH(C799&amp;"-"&amp;E799&amp;"-"&amp;F799&amp;"-Pos2",'Shooter-Squad Assignment'!$W:$W,0)),""),IF(F799="Sporting Clays",IFERROR(INDEX('Shooter-Squad Assignment'!$A:$A,MATCH(C799&amp;"-"&amp;E799&amp;"-"&amp;F799&amp;"-Pos2",'Shooter-Squad Assignment'!$Z:$Z,0)),""),"")))</f>
        <v/>
      </c>
      <c r="J799" s="91" t="str">
        <f>IF(ISBLANK(I799),"",IFERROR(INDEX('Tournament List'!$D:$D,MATCH(I799,'Tournament List'!$A:$A,0)),""))</f>
        <v/>
      </c>
      <c r="K799" s="97" t="str">
        <f>IF(F799="Skeet",IFERROR(INDEX('Shooter-Squad Assignment'!$A:$A,MATCH(C799&amp;"-"&amp;E799&amp;"-"&amp;F799&amp;"-Pos3",'Shooter-Squad Assignment'!$K:$K,0)),""),IF(F799="Trap",IFERROR(INDEX('Shooter-Squad Assignment'!$A:$A,MATCH(C799&amp;"-"&amp;E799&amp;"-"&amp;F799&amp;"-Pos3",'Shooter-Squad Assignment'!$W:$W,0)),""),IF(F799="Sporting Clays",IFERROR(INDEX('Shooter-Squad Assignment'!$A:$A,MATCH(C799&amp;"-"&amp;E799&amp;"-"&amp;F799&amp;"-Pos3",'Shooter-Squad Assignment'!$Z:$Z,0)),""),"")))</f>
        <v/>
      </c>
      <c r="L799" s="91" t="str">
        <f>IF(ISBLANK(K799),"",IFERROR(INDEX('Tournament List'!$D:$D,MATCH(K799,'Tournament List'!$A:$A,0)),""))</f>
        <v/>
      </c>
      <c r="M799" s="97" t="str">
        <f>IF(F799="Skeet",IFERROR(INDEX('Shooter-Squad Assignment'!$A:$A,MATCH(C799&amp;"-"&amp;E799&amp;"-"&amp;F799&amp;"-Pos4",'Shooter-Squad Assignment'!$K:$K,0)),""),IF(F799="Trap",IFERROR(INDEX('Shooter-Squad Assignment'!$A:$A,MATCH(C799&amp;"-"&amp;E799&amp;"-"&amp;F799&amp;"-Pos4",'Shooter-Squad Assignment'!$W:$W,0)),""),IF(F799="Sporting Clays",IFERROR(INDEX('Shooter-Squad Assignment'!$A:$A,MATCH(C799&amp;"-"&amp;E799&amp;"-"&amp;F799&amp;"-Pos4",'Shooter-Squad Assignment'!$Z:$Z,0)),""),"")))</f>
        <v/>
      </c>
      <c r="N799" s="91" t="str">
        <f>IF(ISBLANK(M799),"",IFERROR(INDEX('Tournament List'!$D:$D,MATCH(M799,'Tournament List'!$A:$A,0)),""))</f>
        <v/>
      </c>
      <c r="O799" s="97" t="str">
        <f>IF(F799="Skeet",IFERROR(INDEX('Shooter-Squad Assignment'!$A:$A,MATCH(C799&amp;"-"&amp;E799&amp;"-"&amp;F799&amp;"-Pos5",'Shooter-Squad Assignment'!$K:$K,0)),""),IF(F799="Trap",IFERROR(INDEX('Shooter-Squad Assignment'!$A:$A,MATCH(C799&amp;"-"&amp;E799&amp;"-"&amp;F799&amp;"-Pos5",'Shooter-Squad Assignment'!$W:$W,0)),""),IF(F799="Sporting Clays",IFERROR(INDEX('Shooter-Squad Assignment'!$A:$A,MATCH(C799&amp;"-"&amp;E799&amp;"-"&amp;F799&amp;"-Pos5",'Shooter-Squad Assignment'!$Z:$Z,0)),""),"")))</f>
        <v/>
      </c>
      <c r="P799" s="92" t="str">
        <f>IF(ISBLANK(O799),"",IFERROR(INDEX('Tournament List'!$D:$D,MATCH(O799,'Tournament List'!$A:$A,0)),""))</f>
        <v/>
      </c>
    </row>
    <row r="800" spans="1:16" x14ac:dyDescent="0.3">
      <c r="A800" s="76">
        <v>799</v>
      </c>
      <c r="B800" s="77" t="str">
        <f>C800&amp;"-"&amp;E800&amp;"-"&amp;F800</f>
        <v>-Collegiate 1-Skeet</v>
      </c>
      <c r="C800" s="77"/>
      <c r="D800" s="77" t="str">
        <f>INDEX('Tournament Setup'!$B$59:$B$78,MATCH(E800,SquadConcurrents,0))</f>
        <v>Collegiate</v>
      </c>
      <c r="E800" s="77" t="s">
        <v>342</v>
      </c>
      <c r="F800" s="77" t="s">
        <v>143</v>
      </c>
      <c r="G800" s="93" t="str">
        <f>IF(F800="Skeet",IFERROR(INDEX('Shooter-Squad Assignment'!$A:$A,MATCH(C800&amp;"-"&amp;E800&amp;"-"&amp;F800&amp;"-Pos1",'Shooter-Squad Assignment'!$K:$K,0)),""),IF(F800="Trap",IFERROR(INDEX('Shooter-Squad Assignment'!$A:$A,MATCH(C800&amp;"-"&amp;E800&amp;"-"&amp;F800&amp;"-Pos1",'Shooter-Squad Assignment'!$W:$W,0)),""),IF(F800="Sporting Clays",IFERROR(INDEX('Shooter-Squad Assignment'!$A:$A,MATCH(C800&amp;"-"&amp;E800&amp;"-"&amp;F800&amp;"-Pos1",'Shooter-Squad Assignment'!$Z:$Z,0)),""),"")))</f>
        <v/>
      </c>
      <c r="H800" s="77" t="str">
        <f>IF(ISBLANK(G800),"",IFERROR(INDEX('Tournament List'!$D:$D,MATCH(G800,'Tournament List'!$A:$A,0)),""))</f>
        <v/>
      </c>
      <c r="I800" s="93" t="str">
        <f>IF(F800="Skeet",IFERROR(INDEX('Shooter-Squad Assignment'!$A:$A,MATCH(C800&amp;"-"&amp;E800&amp;"-"&amp;F800&amp;"-Pos2",'Shooter-Squad Assignment'!$K:$K,0)),""),IF(F800="Trap",IFERROR(INDEX('Shooter-Squad Assignment'!$A:$A,MATCH(C800&amp;"-"&amp;E800&amp;"-"&amp;F800&amp;"-Pos2",'Shooter-Squad Assignment'!$W:$W,0)),""),IF(F800="Sporting Clays",IFERROR(INDEX('Shooter-Squad Assignment'!$A:$A,MATCH(C800&amp;"-"&amp;E800&amp;"-"&amp;F800&amp;"-Pos2",'Shooter-Squad Assignment'!$Z:$Z,0)),""),"")))</f>
        <v/>
      </c>
      <c r="J800" s="77" t="str">
        <f>IF(ISBLANK(I800),"",IFERROR(INDEX('Tournament List'!$D:$D,MATCH(I800,'Tournament List'!$A:$A,0)),""))</f>
        <v/>
      </c>
      <c r="K800" s="93" t="str">
        <f>IF(F800="Skeet",IFERROR(INDEX('Shooter-Squad Assignment'!$A:$A,MATCH(C800&amp;"-"&amp;E800&amp;"-"&amp;F800&amp;"-Pos3",'Shooter-Squad Assignment'!$K:$K,0)),""),IF(F800="Trap",IFERROR(INDEX('Shooter-Squad Assignment'!$A:$A,MATCH(C800&amp;"-"&amp;E800&amp;"-"&amp;F800&amp;"-Pos3",'Shooter-Squad Assignment'!$W:$W,0)),""),IF(F800="Sporting Clays",IFERROR(INDEX('Shooter-Squad Assignment'!$A:$A,MATCH(C800&amp;"-"&amp;E800&amp;"-"&amp;F800&amp;"-Pos3",'Shooter-Squad Assignment'!$Z:$Z,0)),""),"")))</f>
        <v/>
      </c>
      <c r="L800" s="77" t="str">
        <f>IF(ISBLANK(K800),"",IFERROR(INDEX('Tournament List'!$D:$D,MATCH(K800,'Tournament List'!$A:$A,0)),""))</f>
        <v/>
      </c>
      <c r="M800" s="93" t="str">
        <f>IF(F800="Skeet",IFERROR(INDEX('Shooter-Squad Assignment'!$A:$A,MATCH(C800&amp;"-"&amp;E800&amp;"-"&amp;F800&amp;"-Pos4",'Shooter-Squad Assignment'!$K:$K,0)),""),IF(F800="Trap",IFERROR(INDEX('Shooter-Squad Assignment'!$A:$A,MATCH(C800&amp;"-"&amp;E800&amp;"-"&amp;F800&amp;"-Pos4",'Shooter-Squad Assignment'!$W:$W,0)),""),IF(F800="Sporting Clays",IFERROR(INDEX('Shooter-Squad Assignment'!$A:$A,MATCH(C800&amp;"-"&amp;E800&amp;"-"&amp;F800&amp;"-Pos4",'Shooter-Squad Assignment'!$Z:$Z,0)),""),"")))</f>
        <v/>
      </c>
      <c r="N800" s="77" t="str">
        <f>IF(ISBLANK(M800),"",IFERROR(INDEX('Tournament List'!$D:$D,MATCH(M800,'Tournament List'!$A:$A,0)),""))</f>
        <v/>
      </c>
      <c r="O800" s="93" t="str">
        <f>IF(F800="Skeet",IFERROR(INDEX('Shooter-Squad Assignment'!$A:$A,MATCH(C800&amp;"-"&amp;E800&amp;"-"&amp;F800&amp;"-Pos5",'Shooter-Squad Assignment'!$K:$K,0)),""),IF(F800="Trap",IFERROR(INDEX('Shooter-Squad Assignment'!$A:$A,MATCH(C800&amp;"-"&amp;E800&amp;"-"&amp;F800&amp;"-Pos5",'Shooter-Squad Assignment'!$W:$W,0)),""),IF(F800="Sporting Clays",IFERROR(INDEX('Shooter-Squad Assignment'!$A:$A,MATCH(C800&amp;"-"&amp;E800&amp;"-"&amp;F800&amp;"-Pos5",'Shooter-Squad Assignment'!$Z:$Z,0)),""),"")))</f>
        <v/>
      </c>
      <c r="P800" s="77" t="str">
        <f>IF(ISBLANK(O800),"",IFERROR(INDEX('Tournament List'!$D:$D,MATCH(O800,'Tournament List'!$A:$A,0)),""))</f>
        <v/>
      </c>
    </row>
    <row r="801" spans="1:16" x14ac:dyDescent="0.3">
      <c r="A801" s="78">
        <v>800</v>
      </c>
      <c r="B801" s="73" t="str">
        <f>C801&amp;"-"&amp;E801&amp;"-"&amp;F801</f>
        <v>-Collegiate 2-Skeet</v>
      </c>
      <c r="C801" s="73"/>
      <c r="D801" s="73" t="str">
        <f>INDEX('Tournament Setup'!$B$59:$B$78,MATCH(E801,SquadConcurrents,0))</f>
        <v>Collegiate</v>
      </c>
      <c r="E801" s="73" t="s">
        <v>348</v>
      </c>
      <c r="F801" s="73" t="s">
        <v>143</v>
      </c>
      <c r="G801" s="94" t="str">
        <f>IF(F801="Skeet",IFERROR(INDEX('Shooter-Squad Assignment'!$A:$A,MATCH(C801&amp;"-"&amp;E801&amp;"-"&amp;F801&amp;"-Pos1",'Shooter-Squad Assignment'!$K:$K,0)),""),IF(F801="Trap",IFERROR(INDEX('Shooter-Squad Assignment'!$A:$A,MATCH(C801&amp;"-"&amp;E801&amp;"-"&amp;F801&amp;"-Pos1",'Shooter-Squad Assignment'!$W:$W,0)),""),IF(F801="Sporting Clays",IFERROR(INDEX('Shooter-Squad Assignment'!$A:$A,MATCH(C801&amp;"-"&amp;E801&amp;"-"&amp;F801&amp;"-Pos1",'Shooter-Squad Assignment'!$Z:$Z,0)),""),"")))</f>
        <v/>
      </c>
      <c r="H801" s="73" t="str">
        <f>IF(ISBLANK(G801),"",IFERROR(INDEX('Tournament List'!$D:$D,MATCH(G801,'Tournament List'!$A:$A,0)),""))</f>
        <v/>
      </c>
      <c r="I801" s="94" t="str">
        <f>IF(F801="Skeet",IFERROR(INDEX('Shooter-Squad Assignment'!$A:$A,MATCH(C801&amp;"-"&amp;E801&amp;"-"&amp;F801&amp;"-Pos2",'Shooter-Squad Assignment'!$K:$K,0)),""),IF(F801="Trap",IFERROR(INDEX('Shooter-Squad Assignment'!$A:$A,MATCH(C801&amp;"-"&amp;E801&amp;"-"&amp;F801&amp;"-Pos2",'Shooter-Squad Assignment'!$W:$W,0)),""),IF(F801="Sporting Clays",IFERROR(INDEX('Shooter-Squad Assignment'!$A:$A,MATCH(C801&amp;"-"&amp;E801&amp;"-"&amp;F801&amp;"-Pos2",'Shooter-Squad Assignment'!$Z:$Z,0)),""),"")))</f>
        <v/>
      </c>
      <c r="J801" s="73" t="str">
        <f>IF(ISBLANK(I801),"",IFERROR(INDEX('Tournament List'!$D:$D,MATCH(I801,'Tournament List'!$A:$A,0)),""))</f>
        <v/>
      </c>
      <c r="K801" s="94" t="str">
        <f>IF(F801="Skeet",IFERROR(INDEX('Shooter-Squad Assignment'!$A:$A,MATCH(C801&amp;"-"&amp;E801&amp;"-"&amp;F801&amp;"-Pos3",'Shooter-Squad Assignment'!$K:$K,0)),""),IF(F801="Trap",IFERROR(INDEX('Shooter-Squad Assignment'!$A:$A,MATCH(C801&amp;"-"&amp;E801&amp;"-"&amp;F801&amp;"-Pos3",'Shooter-Squad Assignment'!$W:$W,0)),""),IF(F801="Sporting Clays",IFERROR(INDEX('Shooter-Squad Assignment'!$A:$A,MATCH(C801&amp;"-"&amp;E801&amp;"-"&amp;F801&amp;"-Pos3",'Shooter-Squad Assignment'!$Z:$Z,0)),""),"")))</f>
        <v/>
      </c>
      <c r="L801" s="73" t="str">
        <f>IF(ISBLANK(K801),"",IFERROR(INDEX('Tournament List'!$D:$D,MATCH(K801,'Tournament List'!$A:$A,0)),""))</f>
        <v/>
      </c>
      <c r="M801" s="94" t="str">
        <f>IF(F801="Skeet",IFERROR(INDEX('Shooter-Squad Assignment'!$A:$A,MATCH(C801&amp;"-"&amp;E801&amp;"-"&amp;F801&amp;"-Pos4",'Shooter-Squad Assignment'!$K:$K,0)),""),IF(F801="Trap",IFERROR(INDEX('Shooter-Squad Assignment'!$A:$A,MATCH(C801&amp;"-"&amp;E801&amp;"-"&amp;F801&amp;"-Pos4",'Shooter-Squad Assignment'!$W:$W,0)),""),IF(F801="Sporting Clays",IFERROR(INDEX('Shooter-Squad Assignment'!$A:$A,MATCH(C801&amp;"-"&amp;E801&amp;"-"&amp;F801&amp;"-Pos4",'Shooter-Squad Assignment'!$Z:$Z,0)),""),"")))</f>
        <v/>
      </c>
      <c r="N801" s="73" t="str">
        <f>IF(ISBLANK(M801),"",IFERROR(INDEX('Tournament List'!$D:$D,MATCH(M801,'Tournament List'!$A:$A,0)),""))</f>
        <v/>
      </c>
      <c r="O801" s="94" t="str">
        <f>IF(F801="Skeet",IFERROR(INDEX('Shooter-Squad Assignment'!$A:$A,MATCH(C801&amp;"-"&amp;E801&amp;"-"&amp;F801&amp;"-Pos5",'Shooter-Squad Assignment'!$K:$K,0)),""),IF(F801="Trap",IFERROR(INDEX('Shooter-Squad Assignment'!$A:$A,MATCH(C801&amp;"-"&amp;E801&amp;"-"&amp;F801&amp;"-Pos5",'Shooter-Squad Assignment'!$W:$W,0)),""),IF(F801="Sporting Clays",IFERROR(INDEX('Shooter-Squad Assignment'!$A:$A,MATCH(C801&amp;"-"&amp;E801&amp;"-"&amp;F801&amp;"-Pos5",'Shooter-Squad Assignment'!$Z:$Z,0)),""),"")))</f>
        <v/>
      </c>
      <c r="P801" s="79" t="str">
        <f>IF(ISBLANK(O801),"",IFERROR(INDEX('Tournament List'!$D:$D,MATCH(O801,'Tournament List'!$A:$A,0)),""))</f>
        <v/>
      </c>
    </row>
    <row r="802" spans="1:16" x14ac:dyDescent="0.3">
      <c r="A802" s="78">
        <v>801</v>
      </c>
      <c r="B802" s="73" t="str">
        <f>C802&amp;"-"&amp;E802&amp;"-"&amp;F802</f>
        <v>-Collegiate 3-Skeet</v>
      </c>
      <c r="C802" s="73"/>
      <c r="D802" s="73" t="str">
        <f>INDEX('Tournament Setup'!$B$59:$B$78,MATCH(E802,SquadConcurrents,0))</f>
        <v>Collegiate</v>
      </c>
      <c r="E802" s="73" t="s">
        <v>354</v>
      </c>
      <c r="F802" s="73" t="s">
        <v>143</v>
      </c>
      <c r="G802" s="94" t="str">
        <f>IF(F802="Skeet",IFERROR(INDEX('Shooter-Squad Assignment'!$A:$A,MATCH(C802&amp;"-"&amp;E802&amp;"-"&amp;F802&amp;"-Pos1",'Shooter-Squad Assignment'!$K:$K,0)),""),IF(F802="Trap",IFERROR(INDEX('Shooter-Squad Assignment'!$A:$A,MATCH(C802&amp;"-"&amp;E802&amp;"-"&amp;F802&amp;"-Pos1",'Shooter-Squad Assignment'!$W:$W,0)),""),IF(F802="Sporting Clays",IFERROR(INDEX('Shooter-Squad Assignment'!$A:$A,MATCH(C802&amp;"-"&amp;E802&amp;"-"&amp;F802&amp;"-Pos1",'Shooter-Squad Assignment'!$Z:$Z,0)),""),"")))</f>
        <v/>
      </c>
      <c r="H802" s="73" t="str">
        <f>IF(ISBLANK(G802),"",IFERROR(INDEX('Tournament List'!$D:$D,MATCH(G802,'Tournament List'!$A:$A,0)),""))</f>
        <v/>
      </c>
      <c r="I802" s="94" t="str">
        <f>IF(F802="Skeet",IFERROR(INDEX('Shooter-Squad Assignment'!$A:$A,MATCH(C802&amp;"-"&amp;E802&amp;"-"&amp;F802&amp;"-Pos2",'Shooter-Squad Assignment'!$K:$K,0)),""),IF(F802="Trap",IFERROR(INDEX('Shooter-Squad Assignment'!$A:$A,MATCH(C802&amp;"-"&amp;E802&amp;"-"&amp;F802&amp;"-Pos2",'Shooter-Squad Assignment'!$W:$W,0)),""),IF(F802="Sporting Clays",IFERROR(INDEX('Shooter-Squad Assignment'!$A:$A,MATCH(C802&amp;"-"&amp;E802&amp;"-"&amp;F802&amp;"-Pos2",'Shooter-Squad Assignment'!$Z:$Z,0)),""),"")))</f>
        <v/>
      </c>
      <c r="J802" s="73" t="str">
        <f>IF(ISBLANK(I802),"",IFERROR(INDEX('Tournament List'!$D:$D,MATCH(I802,'Tournament List'!$A:$A,0)),""))</f>
        <v/>
      </c>
      <c r="K802" s="94" t="str">
        <f>IF(F802="Skeet",IFERROR(INDEX('Shooter-Squad Assignment'!$A:$A,MATCH(C802&amp;"-"&amp;E802&amp;"-"&amp;F802&amp;"-Pos3",'Shooter-Squad Assignment'!$K:$K,0)),""),IF(F802="Trap",IFERROR(INDEX('Shooter-Squad Assignment'!$A:$A,MATCH(C802&amp;"-"&amp;E802&amp;"-"&amp;F802&amp;"-Pos3",'Shooter-Squad Assignment'!$W:$W,0)),""),IF(F802="Sporting Clays",IFERROR(INDEX('Shooter-Squad Assignment'!$A:$A,MATCH(C802&amp;"-"&amp;E802&amp;"-"&amp;F802&amp;"-Pos3",'Shooter-Squad Assignment'!$Z:$Z,0)),""),"")))</f>
        <v/>
      </c>
      <c r="L802" s="73" t="str">
        <f>IF(ISBLANK(K802),"",IFERROR(INDEX('Tournament List'!$D:$D,MATCH(K802,'Tournament List'!$A:$A,0)),""))</f>
        <v/>
      </c>
      <c r="M802" s="94" t="str">
        <f>IF(F802="Skeet",IFERROR(INDEX('Shooter-Squad Assignment'!$A:$A,MATCH(C802&amp;"-"&amp;E802&amp;"-"&amp;F802&amp;"-Pos4",'Shooter-Squad Assignment'!$K:$K,0)),""),IF(F802="Trap",IFERROR(INDEX('Shooter-Squad Assignment'!$A:$A,MATCH(C802&amp;"-"&amp;E802&amp;"-"&amp;F802&amp;"-Pos4",'Shooter-Squad Assignment'!$W:$W,0)),""),IF(F802="Sporting Clays",IFERROR(INDEX('Shooter-Squad Assignment'!$A:$A,MATCH(C802&amp;"-"&amp;E802&amp;"-"&amp;F802&amp;"-Pos4",'Shooter-Squad Assignment'!$Z:$Z,0)),""),"")))</f>
        <v/>
      </c>
      <c r="N802" s="73" t="str">
        <f>IF(ISBLANK(M802),"",IFERROR(INDEX('Tournament List'!$D:$D,MATCH(M802,'Tournament List'!$A:$A,0)),""))</f>
        <v/>
      </c>
      <c r="O802" s="94" t="str">
        <f>IF(F802="Skeet",IFERROR(INDEX('Shooter-Squad Assignment'!$A:$A,MATCH(C802&amp;"-"&amp;E802&amp;"-"&amp;F802&amp;"-Pos5",'Shooter-Squad Assignment'!$K:$K,0)),""),IF(F802="Trap",IFERROR(INDEX('Shooter-Squad Assignment'!$A:$A,MATCH(C802&amp;"-"&amp;E802&amp;"-"&amp;F802&amp;"-Pos5",'Shooter-Squad Assignment'!$W:$W,0)),""),IF(F802="Sporting Clays",IFERROR(INDEX('Shooter-Squad Assignment'!$A:$A,MATCH(C802&amp;"-"&amp;E802&amp;"-"&amp;F802&amp;"-Pos5",'Shooter-Squad Assignment'!$Z:$Z,0)),""),"")))</f>
        <v/>
      </c>
      <c r="P802" s="79" t="str">
        <f>IF(ISBLANK(O802),"",IFERROR(INDEX('Tournament List'!$D:$D,MATCH(O802,'Tournament List'!$A:$A,0)),""))</f>
        <v/>
      </c>
    </row>
    <row r="803" spans="1:16" x14ac:dyDescent="0.3">
      <c r="A803" s="78">
        <v>802</v>
      </c>
      <c r="B803" s="73" t="str">
        <f>C803&amp;"-"&amp;E803&amp;"-"&amp;F803</f>
        <v>-Intermediate 1-Skeet</v>
      </c>
      <c r="C803" s="73"/>
      <c r="D803" s="73" t="str">
        <f>INDEX('Tournament Setup'!$B$59:$B$78,MATCH(E803,SquadConcurrents,0))</f>
        <v>Intermediate</v>
      </c>
      <c r="E803" s="73" t="s">
        <v>338</v>
      </c>
      <c r="F803" s="73" t="s">
        <v>143</v>
      </c>
      <c r="G803" s="94" t="str">
        <f>IF(F803="Skeet",IFERROR(INDEX('Shooter-Squad Assignment'!$A:$A,MATCH(C803&amp;"-"&amp;E803&amp;"-"&amp;F803&amp;"-Pos1",'Shooter-Squad Assignment'!$K:$K,0)),""),IF(F803="Trap",IFERROR(INDEX('Shooter-Squad Assignment'!$A:$A,MATCH(C803&amp;"-"&amp;E803&amp;"-"&amp;F803&amp;"-Pos1",'Shooter-Squad Assignment'!$W:$W,0)),""),IF(F803="Sporting Clays",IFERROR(INDEX('Shooter-Squad Assignment'!$A:$A,MATCH(C803&amp;"-"&amp;E803&amp;"-"&amp;F803&amp;"-Pos1",'Shooter-Squad Assignment'!$Z:$Z,0)),""),"")))</f>
        <v/>
      </c>
      <c r="H803" s="73" t="str">
        <f>IF(ISBLANK(G803),"",IFERROR(INDEX('Tournament List'!$D:$D,MATCH(G803,'Tournament List'!$A:$A,0)),""))</f>
        <v/>
      </c>
      <c r="I803" s="94" t="str">
        <f>IF(F803="Skeet",IFERROR(INDEX('Shooter-Squad Assignment'!$A:$A,MATCH(C803&amp;"-"&amp;E803&amp;"-"&amp;F803&amp;"-Pos2",'Shooter-Squad Assignment'!$K:$K,0)),""),IF(F803="Trap",IFERROR(INDEX('Shooter-Squad Assignment'!$A:$A,MATCH(C803&amp;"-"&amp;E803&amp;"-"&amp;F803&amp;"-Pos2",'Shooter-Squad Assignment'!$W:$W,0)),""),IF(F803="Sporting Clays",IFERROR(INDEX('Shooter-Squad Assignment'!$A:$A,MATCH(C803&amp;"-"&amp;E803&amp;"-"&amp;F803&amp;"-Pos2",'Shooter-Squad Assignment'!$Z:$Z,0)),""),"")))</f>
        <v/>
      </c>
      <c r="J803" s="73" t="str">
        <f>IF(ISBLANK(I803),"",IFERROR(INDEX('Tournament List'!$D:$D,MATCH(I803,'Tournament List'!$A:$A,0)),""))</f>
        <v/>
      </c>
      <c r="K803" s="94" t="str">
        <f>IF(F803="Skeet",IFERROR(INDEX('Shooter-Squad Assignment'!$A:$A,MATCH(C803&amp;"-"&amp;E803&amp;"-"&amp;F803&amp;"-Pos3",'Shooter-Squad Assignment'!$K:$K,0)),""),IF(F803="Trap",IFERROR(INDEX('Shooter-Squad Assignment'!$A:$A,MATCH(C803&amp;"-"&amp;E803&amp;"-"&amp;F803&amp;"-Pos3",'Shooter-Squad Assignment'!$W:$W,0)),""),IF(F803="Sporting Clays",IFERROR(INDEX('Shooter-Squad Assignment'!$A:$A,MATCH(C803&amp;"-"&amp;E803&amp;"-"&amp;F803&amp;"-Pos3",'Shooter-Squad Assignment'!$Z:$Z,0)),""),"")))</f>
        <v/>
      </c>
      <c r="L803" s="73" t="str">
        <f>IF(ISBLANK(K803),"",IFERROR(INDEX('Tournament List'!$D:$D,MATCH(K803,'Tournament List'!$A:$A,0)),""))</f>
        <v/>
      </c>
      <c r="M803" s="94" t="str">
        <f>IF(F803="Skeet",IFERROR(INDEX('Shooter-Squad Assignment'!$A:$A,MATCH(C803&amp;"-"&amp;E803&amp;"-"&amp;F803&amp;"-Pos4",'Shooter-Squad Assignment'!$K:$K,0)),""),IF(F803="Trap",IFERROR(INDEX('Shooter-Squad Assignment'!$A:$A,MATCH(C803&amp;"-"&amp;E803&amp;"-"&amp;F803&amp;"-Pos4",'Shooter-Squad Assignment'!$W:$W,0)),""),IF(F803="Sporting Clays",IFERROR(INDEX('Shooter-Squad Assignment'!$A:$A,MATCH(C803&amp;"-"&amp;E803&amp;"-"&amp;F803&amp;"-Pos4",'Shooter-Squad Assignment'!$Z:$Z,0)),""),"")))</f>
        <v/>
      </c>
      <c r="N803" s="73" t="str">
        <f>IF(ISBLANK(M803),"",IFERROR(INDEX('Tournament List'!$D:$D,MATCH(M803,'Tournament List'!$A:$A,0)),""))</f>
        <v/>
      </c>
      <c r="O803" s="94" t="str">
        <f>IF(F803="Skeet",IFERROR(INDEX('Shooter-Squad Assignment'!$A:$A,MATCH(C803&amp;"-"&amp;E803&amp;"-"&amp;F803&amp;"-Pos5",'Shooter-Squad Assignment'!$K:$K,0)),""),IF(F803="Trap",IFERROR(INDEX('Shooter-Squad Assignment'!$A:$A,MATCH(C803&amp;"-"&amp;E803&amp;"-"&amp;F803&amp;"-Pos5",'Shooter-Squad Assignment'!$W:$W,0)),""),IF(F803="Sporting Clays",IFERROR(INDEX('Shooter-Squad Assignment'!$A:$A,MATCH(C803&amp;"-"&amp;E803&amp;"-"&amp;F803&amp;"-Pos5",'Shooter-Squad Assignment'!$Z:$Z,0)),""),"")))</f>
        <v/>
      </c>
      <c r="P803" s="79" t="str">
        <f>IF(ISBLANK(O803),"",IFERROR(INDEX('Tournament List'!$D:$D,MATCH(O803,'Tournament List'!$A:$A,0)),""))</f>
        <v/>
      </c>
    </row>
    <row r="804" spans="1:16" x14ac:dyDescent="0.3">
      <c r="A804" s="78">
        <v>803</v>
      </c>
      <c r="B804" s="73" t="str">
        <f>C804&amp;"-"&amp;E804&amp;"-"&amp;F804</f>
        <v>-Intermediate 2-Skeet</v>
      </c>
      <c r="C804" s="73"/>
      <c r="D804" s="73" t="str">
        <f>INDEX('Tournament Setup'!$B$59:$B$78,MATCH(E804,SquadConcurrents,0))</f>
        <v>Intermediate</v>
      </c>
      <c r="E804" s="73" t="s">
        <v>344</v>
      </c>
      <c r="F804" s="73" t="s">
        <v>143</v>
      </c>
      <c r="G804" s="94" t="str">
        <f>IF(F804="Skeet",IFERROR(INDEX('Shooter-Squad Assignment'!$A:$A,MATCH(C804&amp;"-"&amp;E804&amp;"-"&amp;F804&amp;"-Pos1",'Shooter-Squad Assignment'!$K:$K,0)),""),IF(F804="Trap",IFERROR(INDEX('Shooter-Squad Assignment'!$A:$A,MATCH(C804&amp;"-"&amp;E804&amp;"-"&amp;F804&amp;"-Pos1",'Shooter-Squad Assignment'!$W:$W,0)),""),IF(F804="Sporting Clays",IFERROR(INDEX('Shooter-Squad Assignment'!$A:$A,MATCH(C804&amp;"-"&amp;E804&amp;"-"&amp;F804&amp;"-Pos1",'Shooter-Squad Assignment'!$Z:$Z,0)),""),"")))</f>
        <v/>
      </c>
      <c r="H804" s="73" t="str">
        <f>IF(ISBLANK(G804),"",IFERROR(INDEX('Tournament List'!$D:$D,MATCH(G804,'Tournament List'!$A:$A,0)),""))</f>
        <v/>
      </c>
      <c r="I804" s="94" t="str">
        <f>IF(F804="Skeet",IFERROR(INDEX('Shooter-Squad Assignment'!$A:$A,MATCH(C804&amp;"-"&amp;E804&amp;"-"&amp;F804&amp;"-Pos2",'Shooter-Squad Assignment'!$K:$K,0)),""),IF(F804="Trap",IFERROR(INDEX('Shooter-Squad Assignment'!$A:$A,MATCH(C804&amp;"-"&amp;E804&amp;"-"&amp;F804&amp;"-Pos2",'Shooter-Squad Assignment'!$W:$W,0)),""),IF(F804="Sporting Clays",IFERROR(INDEX('Shooter-Squad Assignment'!$A:$A,MATCH(C804&amp;"-"&amp;E804&amp;"-"&amp;F804&amp;"-Pos2",'Shooter-Squad Assignment'!$Z:$Z,0)),""),"")))</f>
        <v/>
      </c>
      <c r="J804" s="73" t="str">
        <f>IF(ISBLANK(I804),"",IFERROR(INDEX('Tournament List'!$D:$D,MATCH(I804,'Tournament List'!$A:$A,0)),""))</f>
        <v/>
      </c>
      <c r="K804" s="94" t="str">
        <f>IF(F804="Skeet",IFERROR(INDEX('Shooter-Squad Assignment'!$A:$A,MATCH(C804&amp;"-"&amp;E804&amp;"-"&amp;F804&amp;"-Pos3",'Shooter-Squad Assignment'!$K:$K,0)),""),IF(F804="Trap",IFERROR(INDEX('Shooter-Squad Assignment'!$A:$A,MATCH(C804&amp;"-"&amp;E804&amp;"-"&amp;F804&amp;"-Pos3",'Shooter-Squad Assignment'!$W:$W,0)),""),IF(F804="Sporting Clays",IFERROR(INDEX('Shooter-Squad Assignment'!$A:$A,MATCH(C804&amp;"-"&amp;E804&amp;"-"&amp;F804&amp;"-Pos3",'Shooter-Squad Assignment'!$Z:$Z,0)),""),"")))</f>
        <v/>
      </c>
      <c r="L804" s="73" t="str">
        <f>IF(ISBLANK(K804),"",IFERROR(INDEX('Tournament List'!$D:$D,MATCH(K804,'Tournament List'!$A:$A,0)),""))</f>
        <v/>
      </c>
      <c r="M804" s="94" t="str">
        <f>IF(F804="Skeet",IFERROR(INDEX('Shooter-Squad Assignment'!$A:$A,MATCH(C804&amp;"-"&amp;E804&amp;"-"&amp;F804&amp;"-Pos4",'Shooter-Squad Assignment'!$K:$K,0)),""),IF(F804="Trap",IFERROR(INDEX('Shooter-Squad Assignment'!$A:$A,MATCH(C804&amp;"-"&amp;E804&amp;"-"&amp;F804&amp;"-Pos4",'Shooter-Squad Assignment'!$W:$W,0)),""),IF(F804="Sporting Clays",IFERROR(INDEX('Shooter-Squad Assignment'!$A:$A,MATCH(C804&amp;"-"&amp;E804&amp;"-"&amp;F804&amp;"-Pos4",'Shooter-Squad Assignment'!$Z:$Z,0)),""),"")))</f>
        <v/>
      </c>
      <c r="N804" s="73" t="str">
        <f>IF(ISBLANK(M804),"",IFERROR(INDEX('Tournament List'!$D:$D,MATCH(M804,'Tournament List'!$A:$A,0)),""))</f>
        <v/>
      </c>
      <c r="O804" s="94" t="str">
        <f>IF(F804="Skeet",IFERROR(INDEX('Shooter-Squad Assignment'!$A:$A,MATCH(C804&amp;"-"&amp;E804&amp;"-"&amp;F804&amp;"-Pos5",'Shooter-Squad Assignment'!$K:$K,0)),""),IF(F804="Trap",IFERROR(INDEX('Shooter-Squad Assignment'!$A:$A,MATCH(C804&amp;"-"&amp;E804&amp;"-"&amp;F804&amp;"-Pos5",'Shooter-Squad Assignment'!$W:$W,0)),""),IF(F804="Sporting Clays",IFERROR(INDEX('Shooter-Squad Assignment'!$A:$A,MATCH(C804&amp;"-"&amp;E804&amp;"-"&amp;F804&amp;"-Pos5",'Shooter-Squad Assignment'!$Z:$Z,0)),""),"")))</f>
        <v/>
      </c>
      <c r="P804" s="79" t="str">
        <f>IF(ISBLANK(O804),"",IFERROR(INDEX('Tournament List'!$D:$D,MATCH(O804,'Tournament List'!$A:$A,0)),""))</f>
        <v/>
      </c>
    </row>
    <row r="805" spans="1:16" x14ac:dyDescent="0.3">
      <c r="A805" s="78">
        <v>804</v>
      </c>
      <c r="B805" s="73" t="str">
        <f>C805&amp;"-"&amp;E805&amp;"-"&amp;F805</f>
        <v>-Intermediate 3-Skeet</v>
      </c>
      <c r="C805" s="73"/>
      <c r="D805" s="73" t="str">
        <f>INDEX('Tournament Setup'!$B$59:$B$78,MATCH(E805,SquadConcurrents,0))</f>
        <v>Intermediate</v>
      </c>
      <c r="E805" s="73" t="s">
        <v>350</v>
      </c>
      <c r="F805" s="73" t="s">
        <v>143</v>
      </c>
      <c r="G805" s="94" t="str">
        <f>IF(F805="Skeet",IFERROR(INDEX('Shooter-Squad Assignment'!$A:$A,MATCH(C805&amp;"-"&amp;E805&amp;"-"&amp;F805&amp;"-Pos1",'Shooter-Squad Assignment'!$K:$K,0)),""),IF(F805="Trap",IFERROR(INDEX('Shooter-Squad Assignment'!$A:$A,MATCH(C805&amp;"-"&amp;E805&amp;"-"&amp;F805&amp;"-Pos1",'Shooter-Squad Assignment'!$W:$W,0)),""),IF(F805="Sporting Clays",IFERROR(INDEX('Shooter-Squad Assignment'!$A:$A,MATCH(C805&amp;"-"&amp;E805&amp;"-"&amp;F805&amp;"-Pos1",'Shooter-Squad Assignment'!$Z:$Z,0)),""),"")))</f>
        <v/>
      </c>
      <c r="H805" s="73" t="str">
        <f>IF(ISBLANK(G805),"",IFERROR(INDEX('Tournament List'!$D:$D,MATCH(G805,'Tournament List'!$A:$A,0)),""))</f>
        <v/>
      </c>
      <c r="I805" s="94" t="str">
        <f>IF(F805="Skeet",IFERROR(INDEX('Shooter-Squad Assignment'!$A:$A,MATCH(C805&amp;"-"&amp;E805&amp;"-"&amp;F805&amp;"-Pos2",'Shooter-Squad Assignment'!$K:$K,0)),""),IF(F805="Trap",IFERROR(INDEX('Shooter-Squad Assignment'!$A:$A,MATCH(C805&amp;"-"&amp;E805&amp;"-"&amp;F805&amp;"-Pos2",'Shooter-Squad Assignment'!$W:$W,0)),""),IF(F805="Sporting Clays",IFERROR(INDEX('Shooter-Squad Assignment'!$A:$A,MATCH(C805&amp;"-"&amp;E805&amp;"-"&amp;F805&amp;"-Pos2",'Shooter-Squad Assignment'!$Z:$Z,0)),""),"")))</f>
        <v/>
      </c>
      <c r="J805" s="73" t="str">
        <f>IF(ISBLANK(I805),"",IFERROR(INDEX('Tournament List'!$D:$D,MATCH(I805,'Tournament List'!$A:$A,0)),""))</f>
        <v/>
      </c>
      <c r="K805" s="94" t="str">
        <f>IF(F805="Skeet",IFERROR(INDEX('Shooter-Squad Assignment'!$A:$A,MATCH(C805&amp;"-"&amp;E805&amp;"-"&amp;F805&amp;"-Pos3",'Shooter-Squad Assignment'!$K:$K,0)),""),IF(F805="Trap",IFERROR(INDEX('Shooter-Squad Assignment'!$A:$A,MATCH(C805&amp;"-"&amp;E805&amp;"-"&amp;F805&amp;"-Pos3",'Shooter-Squad Assignment'!$W:$W,0)),""),IF(F805="Sporting Clays",IFERROR(INDEX('Shooter-Squad Assignment'!$A:$A,MATCH(C805&amp;"-"&amp;E805&amp;"-"&amp;F805&amp;"-Pos3",'Shooter-Squad Assignment'!$Z:$Z,0)),""),"")))</f>
        <v/>
      </c>
      <c r="L805" s="73" t="str">
        <f>IF(ISBLANK(K805),"",IFERROR(INDEX('Tournament List'!$D:$D,MATCH(K805,'Tournament List'!$A:$A,0)),""))</f>
        <v/>
      </c>
      <c r="M805" s="94" t="str">
        <f>IF(F805="Skeet",IFERROR(INDEX('Shooter-Squad Assignment'!$A:$A,MATCH(C805&amp;"-"&amp;E805&amp;"-"&amp;F805&amp;"-Pos4",'Shooter-Squad Assignment'!$K:$K,0)),""),IF(F805="Trap",IFERROR(INDEX('Shooter-Squad Assignment'!$A:$A,MATCH(C805&amp;"-"&amp;E805&amp;"-"&amp;F805&amp;"-Pos4",'Shooter-Squad Assignment'!$W:$W,0)),""),IF(F805="Sporting Clays",IFERROR(INDEX('Shooter-Squad Assignment'!$A:$A,MATCH(C805&amp;"-"&amp;E805&amp;"-"&amp;F805&amp;"-Pos4",'Shooter-Squad Assignment'!$Z:$Z,0)),""),"")))</f>
        <v/>
      </c>
      <c r="N805" s="73" t="str">
        <f>IF(ISBLANK(M805),"",IFERROR(INDEX('Tournament List'!$D:$D,MATCH(M805,'Tournament List'!$A:$A,0)),""))</f>
        <v/>
      </c>
      <c r="O805" s="94" t="str">
        <f>IF(F805="Skeet",IFERROR(INDEX('Shooter-Squad Assignment'!$A:$A,MATCH(C805&amp;"-"&amp;E805&amp;"-"&amp;F805&amp;"-Pos5",'Shooter-Squad Assignment'!$K:$K,0)),""),IF(F805="Trap",IFERROR(INDEX('Shooter-Squad Assignment'!$A:$A,MATCH(C805&amp;"-"&amp;E805&amp;"-"&amp;F805&amp;"-Pos5",'Shooter-Squad Assignment'!$W:$W,0)),""),IF(F805="Sporting Clays",IFERROR(INDEX('Shooter-Squad Assignment'!$A:$A,MATCH(C805&amp;"-"&amp;E805&amp;"-"&amp;F805&amp;"-Pos5",'Shooter-Squad Assignment'!$Z:$Z,0)),""),"")))</f>
        <v/>
      </c>
      <c r="P805" s="79" t="str">
        <f>IF(ISBLANK(O805),"",IFERROR(INDEX('Tournament List'!$D:$D,MATCH(O805,'Tournament List'!$A:$A,0)),""))</f>
        <v/>
      </c>
    </row>
    <row r="806" spans="1:16" x14ac:dyDescent="0.3">
      <c r="A806" s="78">
        <v>805</v>
      </c>
      <c r="B806" s="73" t="str">
        <f>C806&amp;"-"&amp;E806&amp;"-"&amp;F806</f>
        <v>-Junior Varsity 1-Skeet</v>
      </c>
      <c r="C806" s="73"/>
      <c r="D806" s="73" t="str">
        <f>INDEX('Tournament Setup'!$B$59:$B$78,MATCH(E806,SquadConcurrents,0))</f>
        <v>Junior Varsity</v>
      </c>
      <c r="E806" s="73" t="s">
        <v>339</v>
      </c>
      <c r="F806" s="73" t="s">
        <v>143</v>
      </c>
      <c r="G806" s="94" t="str">
        <f>IF(F806="Skeet",IFERROR(INDEX('Shooter-Squad Assignment'!$A:$A,MATCH(C806&amp;"-"&amp;E806&amp;"-"&amp;F806&amp;"-Pos1",'Shooter-Squad Assignment'!$K:$K,0)),""),IF(F806="Trap",IFERROR(INDEX('Shooter-Squad Assignment'!$A:$A,MATCH(C806&amp;"-"&amp;E806&amp;"-"&amp;F806&amp;"-Pos1",'Shooter-Squad Assignment'!$W:$W,0)),""),IF(F806="Sporting Clays",IFERROR(INDEX('Shooter-Squad Assignment'!$A:$A,MATCH(C806&amp;"-"&amp;E806&amp;"-"&amp;F806&amp;"-Pos1",'Shooter-Squad Assignment'!$Z:$Z,0)),""),"")))</f>
        <v/>
      </c>
      <c r="H806" s="73" t="str">
        <f>IF(ISBLANK(G806),"",IFERROR(INDEX('Tournament List'!$D:$D,MATCH(G806,'Tournament List'!$A:$A,0)),""))</f>
        <v/>
      </c>
      <c r="I806" s="94" t="str">
        <f>IF(F806="Skeet",IFERROR(INDEX('Shooter-Squad Assignment'!$A:$A,MATCH(C806&amp;"-"&amp;E806&amp;"-"&amp;F806&amp;"-Pos2",'Shooter-Squad Assignment'!$K:$K,0)),""),IF(F806="Trap",IFERROR(INDEX('Shooter-Squad Assignment'!$A:$A,MATCH(C806&amp;"-"&amp;E806&amp;"-"&amp;F806&amp;"-Pos2",'Shooter-Squad Assignment'!$W:$W,0)),""),IF(F806="Sporting Clays",IFERROR(INDEX('Shooter-Squad Assignment'!$A:$A,MATCH(C806&amp;"-"&amp;E806&amp;"-"&amp;F806&amp;"-Pos2",'Shooter-Squad Assignment'!$Z:$Z,0)),""),"")))</f>
        <v/>
      </c>
      <c r="J806" s="73" t="str">
        <f>IF(ISBLANK(I806),"",IFERROR(INDEX('Tournament List'!$D:$D,MATCH(I806,'Tournament List'!$A:$A,0)),""))</f>
        <v/>
      </c>
      <c r="K806" s="94" t="str">
        <f>IF(F806="Skeet",IFERROR(INDEX('Shooter-Squad Assignment'!$A:$A,MATCH(C806&amp;"-"&amp;E806&amp;"-"&amp;F806&amp;"-Pos3",'Shooter-Squad Assignment'!$K:$K,0)),""),IF(F806="Trap",IFERROR(INDEX('Shooter-Squad Assignment'!$A:$A,MATCH(C806&amp;"-"&amp;E806&amp;"-"&amp;F806&amp;"-Pos3",'Shooter-Squad Assignment'!$W:$W,0)),""),IF(F806="Sporting Clays",IFERROR(INDEX('Shooter-Squad Assignment'!$A:$A,MATCH(C806&amp;"-"&amp;E806&amp;"-"&amp;F806&amp;"-Pos3",'Shooter-Squad Assignment'!$Z:$Z,0)),""),"")))</f>
        <v/>
      </c>
      <c r="L806" s="73" t="str">
        <f>IF(ISBLANK(K806),"",IFERROR(INDEX('Tournament List'!$D:$D,MATCH(K806,'Tournament List'!$A:$A,0)),""))</f>
        <v/>
      </c>
      <c r="M806" s="94" t="str">
        <f>IF(F806="Skeet",IFERROR(INDEX('Shooter-Squad Assignment'!$A:$A,MATCH(C806&amp;"-"&amp;E806&amp;"-"&amp;F806&amp;"-Pos4",'Shooter-Squad Assignment'!$K:$K,0)),""),IF(F806="Trap",IFERROR(INDEX('Shooter-Squad Assignment'!$A:$A,MATCH(C806&amp;"-"&amp;E806&amp;"-"&amp;F806&amp;"-Pos4",'Shooter-Squad Assignment'!$W:$W,0)),""),IF(F806="Sporting Clays",IFERROR(INDEX('Shooter-Squad Assignment'!$A:$A,MATCH(C806&amp;"-"&amp;E806&amp;"-"&amp;F806&amp;"-Pos4",'Shooter-Squad Assignment'!$Z:$Z,0)),""),"")))</f>
        <v/>
      </c>
      <c r="N806" s="73" t="str">
        <f>IF(ISBLANK(M806),"",IFERROR(INDEX('Tournament List'!$D:$D,MATCH(M806,'Tournament List'!$A:$A,0)),""))</f>
        <v/>
      </c>
      <c r="O806" s="94" t="str">
        <f>IF(F806="Skeet",IFERROR(INDEX('Shooter-Squad Assignment'!$A:$A,MATCH(C806&amp;"-"&amp;E806&amp;"-"&amp;F806&amp;"-Pos5",'Shooter-Squad Assignment'!$K:$K,0)),""),IF(F806="Trap",IFERROR(INDEX('Shooter-Squad Assignment'!$A:$A,MATCH(C806&amp;"-"&amp;E806&amp;"-"&amp;F806&amp;"-Pos5",'Shooter-Squad Assignment'!$W:$W,0)),""),IF(F806="Sporting Clays",IFERROR(INDEX('Shooter-Squad Assignment'!$A:$A,MATCH(C806&amp;"-"&amp;E806&amp;"-"&amp;F806&amp;"-Pos5",'Shooter-Squad Assignment'!$Z:$Z,0)),""),"")))</f>
        <v/>
      </c>
      <c r="P806" s="79" t="str">
        <f>IF(ISBLANK(O806),"",IFERROR(INDEX('Tournament List'!$D:$D,MATCH(O806,'Tournament List'!$A:$A,0)),""))</f>
        <v/>
      </c>
    </row>
    <row r="807" spans="1:16" x14ac:dyDescent="0.3">
      <c r="A807" s="78">
        <v>806</v>
      </c>
      <c r="B807" s="73" t="str">
        <f>C807&amp;"-"&amp;E807&amp;"-"&amp;F807</f>
        <v>-Junior Varsity 2-Skeet</v>
      </c>
      <c r="C807" s="73"/>
      <c r="D807" s="73" t="str">
        <f>INDEX('Tournament Setup'!$B$59:$B$78,MATCH(E807,SquadConcurrents,0))</f>
        <v>Junior Varsity</v>
      </c>
      <c r="E807" s="73" t="s">
        <v>345</v>
      </c>
      <c r="F807" s="73" t="s">
        <v>143</v>
      </c>
      <c r="G807" s="94" t="str">
        <f>IF(F807="Skeet",IFERROR(INDEX('Shooter-Squad Assignment'!$A:$A,MATCH(C807&amp;"-"&amp;E807&amp;"-"&amp;F807&amp;"-Pos1",'Shooter-Squad Assignment'!$K:$K,0)),""),IF(F807="Trap",IFERROR(INDEX('Shooter-Squad Assignment'!$A:$A,MATCH(C807&amp;"-"&amp;E807&amp;"-"&amp;F807&amp;"-Pos1",'Shooter-Squad Assignment'!$W:$W,0)),""),IF(F807="Sporting Clays",IFERROR(INDEX('Shooter-Squad Assignment'!$A:$A,MATCH(C807&amp;"-"&amp;E807&amp;"-"&amp;F807&amp;"-Pos1",'Shooter-Squad Assignment'!$Z:$Z,0)),""),"")))</f>
        <v/>
      </c>
      <c r="H807" s="73" t="str">
        <f>IF(ISBLANK(G807),"",IFERROR(INDEX('Tournament List'!$D:$D,MATCH(G807,'Tournament List'!$A:$A,0)),""))</f>
        <v/>
      </c>
      <c r="I807" s="94" t="str">
        <f>IF(F807="Skeet",IFERROR(INDEX('Shooter-Squad Assignment'!$A:$A,MATCH(C807&amp;"-"&amp;E807&amp;"-"&amp;F807&amp;"-Pos2",'Shooter-Squad Assignment'!$K:$K,0)),""),IF(F807="Trap",IFERROR(INDEX('Shooter-Squad Assignment'!$A:$A,MATCH(C807&amp;"-"&amp;E807&amp;"-"&amp;F807&amp;"-Pos2",'Shooter-Squad Assignment'!$W:$W,0)),""),IF(F807="Sporting Clays",IFERROR(INDEX('Shooter-Squad Assignment'!$A:$A,MATCH(C807&amp;"-"&amp;E807&amp;"-"&amp;F807&amp;"-Pos2",'Shooter-Squad Assignment'!$Z:$Z,0)),""),"")))</f>
        <v/>
      </c>
      <c r="J807" s="73" t="str">
        <f>IF(ISBLANK(I807),"",IFERROR(INDEX('Tournament List'!$D:$D,MATCH(I807,'Tournament List'!$A:$A,0)),""))</f>
        <v/>
      </c>
      <c r="K807" s="94" t="str">
        <f>IF(F807="Skeet",IFERROR(INDEX('Shooter-Squad Assignment'!$A:$A,MATCH(C807&amp;"-"&amp;E807&amp;"-"&amp;F807&amp;"-Pos3",'Shooter-Squad Assignment'!$K:$K,0)),""),IF(F807="Trap",IFERROR(INDEX('Shooter-Squad Assignment'!$A:$A,MATCH(C807&amp;"-"&amp;E807&amp;"-"&amp;F807&amp;"-Pos3",'Shooter-Squad Assignment'!$W:$W,0)),""),IF(F807="Sporting Clays",IFERROR(INDEX('Shooter-Squad Assignment'!$A:$A,MATCH(C807&amp;"-"&amp;E807&amp;"-"&amp;F807&amp;"-Pos3",'Shooter-Squad Assignment'!$Z:$Z,0)),""),"")))</f>
        <v/>
      </c>
      <c r="L807" s="73" t="str">
        <f>IF(ISBLANK(K807),"",IFERROR(INDEX('Tournament List'!$D:$D,MATCH(K807,'Tournament List'!$A:$A,0)),""))</f>
        <v/>
      </c>
      <c r="M807" s="94" t="str">
        <f>IF(F807="Skeet",IFERROR(INDEX('Shooter-Squad Assignment'!$A:$A,MATCH(C807&amp;"-"&amp;E807&amp;"-"&amp;F807&amp;"-Pos4",'Shooter-Squad Assignment'!$K:$K,0)),""),IF(F807="Trap",IFERROR(INDEX('Shooter-Squad Assignment'!$A:$A,MATCH(C807&amp;"-"&amp;E807&amp;"-"&amp;F807&amp;"-Pos4",'Shooter-Squad Assignment'!$W:$W,0)),""),IF(F807="Sporting Clays",IFERROR(INDEX('Shooter-Squad Assignment'!$A:$A,MATCH(C807&amp;"-"&amp;E807&amp;"-"&amp;F807&amp;"-Pos4",'Shooter-Squad Assignment'!$Z:$Z,0)),""),"")))</f>
        <v/>
      </c>
      <c r="N807" s="73" t="str">
        <f>IF(ISBLANK(M807),"",IFERROR(INDEX('Tournament List'!$D:$D,MATCH(M807,'Tournament List'!$A:$A,0)),""))</f>
        <v/>
      </c>
      <c r="O807" s="94" t="str">
        <f>IF(F807="Skeet",IFERROR(INDEX('Shooter-Squad Assignment'!$A:$A,MATCH(C807&amp;"-"&amp;E807&amp;"-"&amp;F807&amp;"-Pos5",'Shooter-Squad Assignment'!$K:$K,0)),""),IF(F807="Trap",IFERROR(INDEX('Shooter-Squad Assignment'!$A:$A,MATCH(C807&amp;"-"&amp;E807&amp;"-"&amp;F807&amp;"-Pos5",'Shooter-Squad Assignment'!$W:$W,0)),""),IF(F807="Sporting Clays",IFERROR(INDEX('Shooter-Squad Assignment'!$A:$A,MATCH(C807&amp;"-"&amp;E807&amp;"-"&amp;F807&amp;"-Pos5",'Shooter-Squad Assignment'!$Z:$Z,0)),""),"")))</f>
        <v/>
      </c>
      <c r="P807" s="79" t="str">
        <f>IF(ISBLANK(O807),"",IFERROR(INDEX('Tournament List'!$D:$D,MATCH(O807,'Tournament List'!$A:$A,0)),""))</f>
        <v/>
      </c>
    </row>
    <row r="808" spans="1:16" x14ac:dyDescent="0.3">
      <c r="A808" s="78">
        <v>807</v>
      </c>
      <c r="B808" s="73" t="str">
        <f>C808&amp;"-"&amp;E808&amp;"-"&amp;F808</f>
        <v>-Junior Varsity 3-Skeet</v>
      </c>
      <c r="C808" s="73"/>
      <c r="D808" s="73" t="str">
        <f>INDEX('Tournament Setup'!$B$59:$B$78,MATCH(E808,SquadConcurrents,0))</f>
        <v>Junior Varsity</v>
      </c>
      <c r="E808" s="73" t="s">
        <v>351</v>
      </c>
      <c r="F808" s="73" t="s">
        <v>143</v>
      </c>
      <c r="G808" s="94" t="str">
        <f>IF(F808="Skeet",IFERROR(INDEX('Shooter-Squad Assignment'!$A:$A,MATCH(C808&amp;"-"&amp;E808&amp;"-"&amp;F808&amp;"-Pos1",'Shooter-Squad Assignment'!$K:$K,0)),""),IF(F808="Trap",IFERROR(INDEX('Shooter-Squad Assignment'!$A:$A,MATCH(C808&amp;"-"&amp;E808&amp;"-"&amp;F808&amp;"-Pos1",'Shooter-Squad Assignment'!$W:$W,0)),""),IF(F808="Sporting Clays",IFERROR(INDEX('Shooter-Squad Assignment'!$A:$A,MATCH(C808&amp;"-"&amp;E808&amp;"-"&amp;F808&amp;"-Pos1",'Shooter-Squad Assignment'!$Z:$Z,0)),""),"")))</f>
        <v/>
      </c>
      <c r="H808" s="73" t="str">
        <f>IF(ISBLANK(G808),"",IFERROR(INDEX('Tournament List'!$D:$D,MATCH(G808,'Tournament List'!$A:$A,0)),""))</f>
        <v/>
      </c>
      <c r="I808" s="94" t="str">
        <f>IF(F808="Skeet",IFERROR(INDEX('Shooter-Squad Assignment'!$A:$A,MATCH(C808&amp;"-"&amp;E808&amp;"-"&amp;F808&amp;"-Pos2",'Shooter-Squad Assignment'!$K:$K,0)),""),IF(F808="Trap",IFERROR(INDEX('Shooter-Squad Assignment'!$A:$A,MATCH(C808&amp;"-"&amp;E808&amp;"-"&amp;F808&amp;"-Pos2",'Shooter-Squad Assignment'!$W:$W,0)),""),IF(F808="Sporting Clays",IFERROR(INDEX('Shooter-Squad Assignment'!$A:$A,MATCH(C808&amp;"-"&amp;E808&amp;"-"&amp;F808&amp;"-Pos2",'Shooter-Squad Assignment'!$Z:$Z,0)),""),"")))</f>
        <v/>
      </c>
      <c r="J808" s="73" t="str">
        <f>IF(ISBLANK(I808),"",IFERROR(INDEX('Tournament List'!$D:$D,MATCH(I808,'Tournament List'!$A:$A,0)),""))</f>
        <v/>
      </c>
      <c r="K808" s="94" t="str">
        <f>IF(F808="Skeet",IFERROR(INDEX('Shooter-Squad Assignment'!$A:$A,MATCH(C808&amp;"-"&amp;E808&amp;"-"&amp;F808&amp;"-Pos3",'Shooter-Squad Assignment'!$K:$K,0)),""),IF(F808="Trap",IFERROR(INDEX('Shooter-Squad Assignment'!$A:$A,MATCH(C808&amp;"-"&amp;E808&amp;"-"&amp;F808&amp;"-Pos3",'Shooter-Squad Assignment'!$W:$W,0)),""),IF(F808="Sporting Clays",IFERROR(INDEX('Shooter-Squad Assignment'!$A:$A,MATCH(C808&amp;"-"&amp;E808&amp;"-"&amp;F808&amp;"-Pos3",'Shooter-Squad Assignment'!$Z:$Z,0)),""),"")))</f>
        <v/>
      </c>
      <c r="L808" s="73" t="str">
        <f>IF(ISBLANK(K808),"",IFERROR(INDEX('Tournament List'!$D:$D,MATCH(K808,'Tournament List'!$A:$A,0)),""))</f>
        <v/>
      </c>
      <c r="M808" s="94" t="str">
        <f>IF(F808="Skeet",IFERROR(INDEX('Shooter-Squad Assignment'!$A:$A,MATCH(C808&amp;"-"&amp;E808&amp;"-"&amp;F808&amp;"-Pos4",'Shooter-Squad Assignment'!$K:$K,0)),""),IF(F808="Trap",IFERROR(INDEX('Shooter-Squad Assignment'!$A:$A,MATCH(C808&amp;"-"&amp;E808&amp;"-"&amp;F808&amp;"-Pos4",'Shooter-Squad Assignment'!$W:$W,0)),""),IF(F808="Sporting Clays",IFERROR(INDEX('Shooter-Squad Assignment'!$A:$A,MATCH(C808&amp;"-"&amp;E808&amp;"-"&amp;F808&amp;"-Pos4",'Shooter-Squad Assignment'!$Z:$Z,0)),""),"")))</f>
        <v/>
      </c>
      <c r="N808" s="73" t="str">
        <f>IF(ISBLANK(M808),"",IFERROR(INDEX('Tournament List'!$D:$D,MATCH(M808,'Tournament List'!$A:$A,0)),""))</f>
        <v/>
      </c>
      <c r="O808" s="94" t="str">
        <f>IF(F808="Skeet",IFERROR(INDEX('Shooter-Squad Assignment'!$A:$A,MATCH(C808&amp;"-"&amp;E808&amp;"-"&amp;F808&amp;"-Pos5",'Shooter-Squad Assignment'!$K:$K,0)),""),IF(F808="Trap",IFERROR(INDEX('Shooter-Squad Assignment'!$A:$A,MATCH(C808&amp;"-"&amp;E808&amp;"-"&amp;F808&amp;"-Pos5",'Shooter-Squad Assignment'!$W:$W,0)),""),IF(F808="Sporting Clays",IFERROR(INDEX('Shooter-Squad Assignment'!$A:$A,MATCH(C808&amp;"-"&amp;E808&amp;"-"&amp;F808&amp;"-Pos5",'Shooter-Squad Assignment'!$Z:$Z,0)),""),"")))</f>
        <v/>
      </c>
      <c r="P808" s="79" t="str">
        <f>IF(ISBLANK(O808),"",IFERROR(INDEX('Tournament List'!$D:$D,MATCH(O808,'Tournament List'!$A:$A,0)),""))</f>
        <v/>
      </c>
    </row>
    <row r="809" spans="1:16" x14ac:dyDescent="0.3">
      <c r="A809" s="78">
        <v>808</v>
      </c>
      <c r="B809" s="73" t="str">
        <f>C809&amp;"-"&amp;E809&amp;"-"&amp;F809</f>
        <v>-Novice 1-Skeet</v>
      </c>
      <c r="C809" s="73"/>
      <c r="D809" s="73" t="str">
        <f>INDEX('Tournament Setup'!$B$59:$B$78,MATCH(E809,SquadConcurrents,0))</f>
        <v>Novice</v>
      </c>
      <c r="E809" s="73" t="s">
        <v>337</v>
      </c>
      <c r="F809" s="73" t="s">
        <v>143</v>
      </c>
      <c r="G809" s="94" t="str">
        <f>IF(F809="Skeet",IFERROR(INDEX('Shooter-Squad Assignment'!$A:$A,MATCH(C809&amp;"-"&amp;E809&amp;"-"&amp;F809&amp;"-Pos1",'Shooter-Squad Assignment'!$K:$K,0)),""),IF(F809="Trap",IFERROR(INDEX('Shooter-Squad Assignment'!$A:$A,MATCH(C809&amp;"-"&amp;E809&amp;"-"&amp;F809&amp;"-Pos1",'Shooter-Squad Assignment'!$W:$W,0)),""),IF(F809="Sporting Clays",IFERROR(INDEX('Shooter-Squad Assignment'!$A:$A,MATCH(C809&amp;"-"&amp;E809&amp;"-"&amp;F809&amp;"-Pos1",'Shooter-Squad Assignment'!$Z:$Z,0)),""),"")))</f>
        <v/>
      </c>
      <c r="H809" s="73" t="str">
        <f>IF(ISBLANK(G809),"",IFERROR(INDEX('Tournament List'!$D:$D,MATCH(G809,'Tournament List'!$A:$A,0)),""))</f>
        <v/>
      </c>
      <c r="I809" s="94" t="str">
        <f>IF(F809="Skeet",IFERROR(INDEX('Shooter-Squad Assignment'!$A:$A,MATCH(C809&amp;"-"&amp;E809&amp;"-"&amp;F809&amp;"-Pos2",'Shooter-Squad Assignment'!$K:$K,0)),""),IF(F809="Trap",IFERROR(INDEX('Shooter-Squad Assignment'!$A:$A,MATCH(C809&amp;"-"&amp;E809&amp;"-"&amp;F809&amp;"-Pos2",'Shooter-Squad Assignment'!$W:$W,0)),""),IF(F809="Sporting Clays",IFERROR(INDEX('Shooter-Squad Assignment'!$A:$A,MATCH(C809&amp;"-"&amp;E809&amp;"-"&amp;F809&amp;"-Pos2",'Shooter-Squad Assignment'!$Z:$Z,0)),""),"")))</f>
        <v/>
      </c>
      <c r="J809" s="73" t="str">
        <f>IF(ISBLANK(I809),"",IFERROR(INDEX('Tournament List'!$D:$D,MATCH(I809,'Tournament List'!$A:$A,0)),""))</f>
        <v/>
      </c>
      <c r="K809" s="94" t="str">
        <f>IF(F809="Skeet",IFERROR(INDEX('Shooter-Squad Assignment'!$A:$A,MATCH(C809&amp;"-"&amp;E809&amp;"-"&amp;F809&amp;"-Pos3",'Shooter-Squad Assignment'!$K:$K,0)),""),IF(F809="Trap",IFERROR(INDEX('Shooter-Squad Assignment'!$A:$A,MATCH(C809&amp;"-"&amp;E809&amp;"-"&amp;F809&amp;"-Pos3",'Shooter-Squad Assignment'!$W:$W,0)),""),IF(F809="Sporting Clays",IFERROR(INDEX('Shooter-Squad Assignment'!$A:$A,MATCH(C809&amp;"-"&amp;E809&amp;"-"&amp;F809&amp;"-Pos3",'Shooter-Squad Assignment'!$Z:$Z,0)),""),"")))</f>
        <v/>
      </c>
      <c r="L809" s="73" t="str">
        <f>IF(ISBLANK(K809),"",IFERROR(INDEX('Tournament List'!$D:$D,MATCH(K809,'Tournament List'!$A:$A,0)),""))</f>
        <v/>
      </c>
      <c r="M809" s="94" t="str">
        <f>IF(F809="Skeet",IFERROR(INDEX('Shooter-Squad Assignment'!$A:$A,MATCH(C809&amp;"-"&amp;E809&amp;"-"&amp;F809&amp;"-Pos4",'Shooter-Squad Assignment'!$K:$K,0)),""),IF(F809="Trap",IFERROR(INDEX('Shooter-Squad Assignment'!$A:$A,MATCH(C809&amp;"-"&amp;E809&amp;"-"&amp;F809&amp;"-Pos4",'Shooter-Squad Assignment'!$W:$W,0)),""),IF(F809="Sporting Clays",IFERROR(INDEX('Shooter-Squad Assignment'!$A:$A,MATCH(C809&amp;"-"&amp;E809&amp;"-"&amp;F809&amp;"-Pos4",'Shooter-Squad Assignment'!$Z:$Z,0)),""),"")))</f>
        <v/>
      </c>
      <c r="N809" s="73" t="str">
        <f>IF(ISBLANK(M809),"",IFERROR(INDEX('Tournament List'!$D:$D,MATCH(M809,'Tournament List'!$A:$A,0)),""))</f>
        <v/>
      </c>
      <c r="O809" s="94" t="str">
        <f>IF(F809="Skeet",IFERROR(INDEX('Shooter-Squad Assignment'!$A:$A,MATCH(C809&amp;"-"&amp;E809&amp;"-"&amp;F809&amp;"-Pos5",'Shooter-Squad Assignment'!$K:$K,0)),""),IF(F809="Trap",IFERROR(INDEX('Shooter-Squad Assignment'!$A:$A,MATCH(C809&amp;"-"&amp;E809&amp;"-"&amp;F809&amp;"-Pos5",'Shooter-Squad Assignment'!$W:$W,0)),""),IF(F809="Sporting Clays",IFERROR(INDEX('Shooter-Squad Assignment'!$A:$A,MATCH(C809&amp;"-"&amp;E809&amp;"-"&amp;F809&amp;"-Pos5",'Shooter-Squad Assignment'!$Z:$Z,0)),""),"")))</f>
        <v/>
      </c>
      <c r="P809" s="79" t="str">
        <f>IF(ISBLANK(O809),"",IFERROR(INDEX('Tournament List'!$D:$D,MATCH(O809,'Tournament List'!$A:$A,0)),""))</f>
        <v/>
      </c>
    </row>
    <row r="810" spans="1:16" x14ac:dyDescent="0.3">
      <c r="A810" s="78">
        <v>809</v>
      </c>
      <c r="B810" s="73" t="str">
        <f>C810&amp;"-"&amp;E810&amp;"-"&amp;F810</f>
        <v>-Novice 2-Skeet</v>
      </c>
      <c r="C810" s="73"/>
      <c r="D810" s="73" t="str">
        <f>INDEX('Tournament Setup'!$B$59:$B$78,MATCH(E810,SquadConcurrents,0))</f>
        <v>Novice</v>
      </c>
      <c r="E810" s="73" t="s">
        <v>343</v>
      </c>
      <c r="F810" s="73" t="s">
        <v>143</v>
      </c>
      <c r="G810" s="94" t="str">
        <f>IF(F810="Skeet",IFERROR(INDEX('Shooter-Squad Assignment'!$A:$A,MATCH(C810&amp;"-"&amp;E810&amp;"-"&amp;F810&amp;"-Pos1",'Shooter-Squad Assignment'!$K:$K,0)),""),IF(F810="Trap",IFERROR(INDEX('Shooter-Squad Assignment'!$A:$A,MATCH(C810&amp;"-"&amp;E810&amp;"-"&amp;F810&amp;"-Pos1",'Shooter-Squad Assignment'!$W:$W,0)),""),IF(F810="Sporting Clays",IFERROR(INDEX('Shooter-Squad Assignment'!$A:$A,MATCH(C810&amp;"-"&amp;E810&amp;"-"&amp;F810&amp;"-Pos1",'Shooter-Squad Assignment'!$Z:$Z,0)),""),"")))</f>
        <v/>
      </c>
      <c r="H810" s="73" t="str">
        <f>IF(ISBLANK(G810),"",IFERROR(INDEX('Tournament List'!$D:$D,MATCH(G810,'Tournament List'!$A:$A,0)),""))</f>
        <v/>
      </c>
      <c r="I810" s="94" t="str">
        <f>IF(F810="Skeet",IFERROR(INDEX('Shooter-Squad Assignment'!$A:$A,MATCH(C810&amp;"-"&amp;E810&amp;"-"&amp;F810&amp;"-Pos2",'Shooter-Squad Assignment'!$K:$K,0)),""),IF(F810="Trap",IFERROR(INDEX('Shooter-Squad Assignment'!$A:$A,MATCH(C810&amp;"-"&amp;E810&amp;"-"&amp;F810&amp;"-Pos2",'Shooter-Squad Assignment'!$W:$W,0)),""),IF(F810="Sporting Clays",IFERROR(INDEX('Shooter-Squad Assignment'!$A:$A,MATCH(C810&amp;"-"&amp;E810&amp;"-"&amp;F810&amp;"-Pos2",'Shooter-Squad Assignment'!$Z:$Z,0)),""),"")))</f>
        <v/>
      </c>
      <c r="J810" s="73" t="str">
        <f>IF(ISBLANK(I810),"",IFERROR(INDEX('Tournament List'!$D:$D,MATCH(I810,'Tournament List'!$A:$A,0)),""))</f>
        <v/>
      </c>
      <c r="K810" s="94" t="str">
        <f>IF(F810="Skeet",IFERROR(INDEX('Shooter-Squad Assignment'!$A:$A,MATCH(C810&amp;"-"&amp;E810&amp;"-"&amp;F810&amp;"-Pos3",'Shooter-Squad Assignment'!$K:$K,0)),""),IF(F810="Trap",IFERROR(INDEX('Shooter-Squad Assignment'!$A:$A,MATCH(C810&amp;"-"&amp;E810&amp;"-"&amp;F810&amp;"-Pos3",'Shooter-Squad Assignment'!$W:$W,0)),""),IF(F810="Sporting Clays",IFERROR(INDEX('Shooter-Squad Assignment'!$A:$A,MATCH(C810&amp;"-"&amp;E810&amp;"-"&amp;F810&amp;"-Pos3",'Shooter-Squad Assignment'!$Z:$Z,0)),""),"")))</f>
        <v/>
      </c>
      <c r="L810" s="73" t="str">
        <f>IF(ISBLANK(K810),"",IFERROR(INDEX('Tournament List'!$D:$D,MATCH(K810,'Tournament List'!$A:$A,0)),""))</f>
        <v/>
      </c>
      <c r="M810" s="94" t="str">
        <f>IF(F810="Skeet",IFERROR(INDEX('Shooter-Squad Assignment'!$A:$A,MATCH(C810&amp;"-"&amp;E810&amp;"-"&amp;F810&amp;"-Pos4",'Shooter-Squad Assignment'!$K:$K,0)),""),IF(F810="Trap",IFERROR(INDEX('Shooter-Squad Assignment'!$A:$A,MATCH(C810&amp;"-"&amp;E810&amp;"-"&amp;F810&amp;"-Pos4",'Shooter-Squad Assignment'!$W:$W,0)),""),IF(F810="Sporting Clays",IFERROR(INDEX('Shooter-Squad Assignment'!$A:$A,MATCH(C810&amp;"-"&amp;E810&amp;"-"&amp;F810&amp;"-Pos4",'Shooter-Squad Assignment'!$Z:$Z,0)),""),"")))</f>
        <v/>
      </c>
      <c r="N810" s="73" t="str">
        <f>IF(ISBLANK(M810),"",IFERROR(INDEX('Tournament List'!$D:$D,MATCH(M810,'Tournament List'!$A:$A,0)),""))</f>
        <v/>
      </c>
      <c r="O810" s="94" t="str">
        <f>IF(F810="Skeet",IFERROR(INDEX('Shooter-Squad Assignment'!$A:$A,MATCH(C810&amp;"-"&amp;E810&amp;"-"&amp;F810&amp;"-Pos5",'Shooter-Squad Assignment'!$K:$K,0)),""),IF(F810="Trap",IFERROR(INDEX('Shooter-Squad Assignment'!$A:$A,MATCH(C810&amp;"-"&amp;E810&amp;"-"&amp;F810&amp;"-Pos5",'Shooter-Squad Assignment'!$W:$W,0)),""),IF(F810="Sporting Clays",IFERROR(INDEX('Shooter-Squad Assignment'!$A:$A,MATCH(C810&amp;"-"&amp;E810&amp;"-"&amp;F810&amp;"-Pos5",'Shooter-Squad Assignment'!$Z:$Z,0)),""),"")))</f>
        <v/>
      </c>
      <c r="P810" s="79" t="str">
        <f>IF(ISBLANK(O810),"",IFERROR(INDEX('Tournament List'!$D:$D,MATCH(O810,'Tournament List'!$A:$A,0)),""))</f>
        <v/>
      </c>
    </row>
    <row r="811" spans="1:16" x14ac:dyDescent="0.3">
      <c r="A811" s="78">
        <v>810</v>
      </c>
      <c r="B811" s="73" t="str">
        <f>C811&amp;"-"&amp;E811&amp;"-"&amp;F811</f>
        <v>-Novice 3-Skeet</v>
      </c>
      <c r="C811" s="73"/>
      <c r="D811" s="73" t="str">
        <f>INDEX('Tournament Setup'!$B$59:$B$78,MATCH(E811,SquadConcurrents,0))</f>
        <v>Novice</v>
      </c>
      <c r="E811" s="73" t="s">
        <v>349</v>
      </c>
      <c r="F811" s="73" t="s">
        <v>143</v>
      </c>
      <c r="G811" s="94" t="str">
        <f>IF(F811="Skeet",IFERROR(INDEX('Shooter-Squad Assignment'!$A:$A,MATCH(C811&amp;"-"&amp;E811&amp;"-"&amp;F811&amp;"-Pos1",'Shooter-Squad Assignment'!$K:$K,0)),""),IF(F811="Trap",IFERROR(INDEX('Shooter-Squad Assignment'!$A:$A,MATCH(C811&amp;"-"&amp;E811&amp;"-"&amp;F811&amp;"-Pos1",'Shooter-Squad Assignment'!$W:$W,0)),""),IF(F811="Sporting Clays",IFERROR(INDEX('Shooter-Squad Assignment'!$A:$A,MATCH(C811&amp;"-"&amp;E811&amp;"-"&amp;F811&amp;"-Pos1",'Shooter-Squad Assignment'!$Z:$Z,0)),""),"")))</f>
        <v/>
      </c>
      <c r="H811" s="73" t="str">
        <f>IF(ISBLANK(G811),"",IFERROR(INDEX('Tournament List'!$D:$D,MATCH(G811,'Tournament List'!$A:$A,0)),""))</f>
        <v/>
      </c>
      <c r="I811" s="94" t="str">
        <f>IF(F811="Skeet",IFERROR(INDEX('Shooter-Squad Assignment'!$A:$A,MATCH(C811&amp;"-"&amp;E811&amp;"-"&amp;F811&amp;"-Pos2",'Shooter-Squad Assignment'!$K:$K,0)),""),IF(F811="Trap",IFERROR(INDEX('Shooter-Squad Assignment'!$A:$A,MATCH(C811&amp;"-"&amp;E811&amp;"-"&amp;F811&amp;"-Pos2",'Shooter-Squad Assignment'!$W:$W,0)),""),IF(F811="Sporting Clays",IFERROR(INDEX('Shooter-Squad Assignment'!$A:$A,MATCH(C811&amp;"-"&amp;E811&amp;"-"&amp;F811&amp;"-Pos2",'Shooter-Squad Assignment'!$Z:$Z,0)),""),"")))</f>
        <v/>
      </c>
      <c r="J811" s="73" t="str">
        <f>IF(ISBLANK(I811),"",IFERROR(INDEX('Tournament List'!$D:$D,MATCH(I811,'Tournament List'!$A:$A,0)),""))</f>
        <v/>
      </c>
      <c r="K811" s="94" t="str">
        <f>IF(F811="Skeet",IFERROR(INDEX('Shooter-Squad Assignment'!$A:$A,MATCH(C811&amp;"-"&amp;E811&amp;"-"&amp;F811&amp;"-Pos3",'Shooter-Squad Assignment'!$K:$K,0)),""),IF(F811="Trap",IFERROR(INDEX('Shooter-Squad Assignment'!$A:$A,MATCH(C811&amp;"-"&amp;E811&amp;"-"&amp;F811&amp;"-Pos3",'Shooter-Squad Assignment'!$W:$W,0)),""),IF(F811="Sporting Clays",IFERROR(INDEX('Shooter-Squad Assignment'!$A:$A,MATCH(C811&amp;"-"&amp;E811&amp;"-"&amp;F811&amp;"-Pos3",'Shooter-Squad Assignment'!$Z:$Z,0)),""),"")))</f>
        <v/>
      </c>
      <c r="L811" s="73" t="str">
        <f>IF(ISBLANK(K811),"",IFERROR(INDEX('Tournament List'!$D:$D,MATCH(K811,'Tournament List'!$A:$A,0)),""))</f>
        <v/>
      </c>
      <c r="M811" s="94" t="str">
        <f>IF(F811="Skeet",IFERROR(INDEX('Shooter-Squad Assignment'!$A:$A,MATCH(C811&amp;"-"&amp;E811&amp;"-"&amp;F811&amp;"-Pos4",'Shooter-Squad Assignment'!$K:$K,0)),""),IF(F811="Trap",IFERROR(INDEX('Shooter-Squad Assignment'!$A:$A,MATCH(C811&amp;"-"&amp;E811&amp;"-"&amp;F811&amp;"-Pos4",'Shooter-Squad Assignment'!$W:$W,0)),""),IF(F811="Sporting Clays",IFERROR(INDEX('Shooter-Squad Assignment'!$A:$A,MATCH(C811&amp;"-"&amp;E811&amp;"-"&amp;F811&amp;"-Pos4",'Shooter-Squad Assignment'!$Z:$Z,0)),""),"")))</f>
        <v/>
      </c>
      <c r="N811" s="73" t="str">
        <f>IF(ISBLANK(M811),"",IFERROR(INDEX('Tournament List'!$D:$D,MATCH(M811,'Tournament List'!$A:$A,0)),""))</f>
        <v/>
      </c>
      <c r="O811" s="94" t="str">
        <f>IF(F811="Skeet",IFERROR(INDEX('Shooter-Squad Assignment'!$A:$A,MATCH(C811&amp;"-"&amp;E811&amp;"-"&amp;F811&amp;"-Pos5",'Shooter-Squad Assignment'!$K:$K,0)),""),IF(F811="Trap",IFERROR(INDEX('Shooter-Squad Assignment'!$A:$A,MATCH(C811&amp;"-"&amp;E811&amp;"-"&amp;F811&amp;"-Pos5",'Shooter-Squad Assignment'!$W:$W,0)),""),IF(F811="Sporting Clays",IFERROR(INDEX('Shooter-Squad Assignment'!$A:$A,MATCH(C811&amp;"-"&amp;E811&amp;"-"&amp;F811&amp;"-Pos5",'Shooter-Squad Assignment'!$Z:$Z,0)),""),"")))</f>
        <v/>
      </c>
      <c r="P811" s="79" t="str">
        <f>IF(ISBLANK(O811),"",IFERROR(INDEX('Tournament List'!$D:$D,MATCH(O811,'Tournament List'!$A:$A,0)),""))</f>
        <v/>
      </c>
    </row>
    <row r="812" spans="1:16" x14ac:dyDescent="0.3">
      <c r="A812" s="78">
        <v>811</v>
      </c>
      <c r="B812" s="73" t="str">
        <f>C812&amp;"-"&amp;E812&amp;"-"&amp;F812</f>
        <v>-Open 1-Skeet</v>
      </c>
      <c r="C812" s="73"/>
      <c r="D812" s="73" t="str">
        <f>INDEX('Tournament Setup'!$B$59:$B$78,MATCH(E812,SquadConcurrents,0))</f>
        <v>Open</v>
      </c>
      <c r="E812" s="73" t="s">
        <v>341</v>
      </c>
      <c r="F812" s="73" t="s">
        <v>143</v>
      </c>
      <c r="G812" s="94" t="str">
        <f>IF(F812="Skeet",IFERROR(INDEX('Shooter-Squad Assignment'!$A:$A,MATCH(C812&amp;"-"&amp;E812&amp;"-"&amp;F812&amp;"-Pos1",'Shooter-Squad Assignment'!$K:$K,0)),""),IF(F812="Trap",IFERROR(INDEX('Shooter-Squad Assignment'!$A:$A,MATCH(C812&amp;"-"&amp;E812&amp;"-"&amp;F812&amp;"-Pos1",'Shooter-Squad Assignment'!$W:$W,0)),""),IF(F812="Sporting Clays",IFERROR(INDEX('Shooter-Squad Assignment'!$A:$A,MATCH(C812&amp;"-"&amp;E812&amp;"-"&amp;F812&amp;"-Pos1",'Shooter-Squad Assignment'!$Z:$Z,0)),""),"")))</f>
        <v/>
      </c>
      <c r="H812" s="73" t="str">
        <f>IF(ISBLANK(G812),"",IFERROR(INDEX('Tournament List'!$D:$D,MATCH(G812,'Tournament List'!$A:$A,0)),""))</f>
        <v/>
      </c>
      <c r="I812" s="94" t="str">
        <f>IF(F812="Skeet",IFERROR(INDEX('Shooter-Squad Assignment'!$A:$A,MATCH(C812&amp;"-"&amp;E812&amp;"-"&amp;F812&amp;"-Pos2",'Shooter-Squad Assignment'!$K:$K,0)),""),IF(F812="Trap",IFERROR(INDEX('Shooter-Squad Assignment'!$A:$A,MATCH(C812&amp;"-"&amp;E812&amp;"-"&amp;F812&amp;"-Pos2",'Shooter-Squad Assignment'!$W:$W,0)),""),IF(F812="Sporting Clays",IFERROR(INDEX('Shooter-Squad Assignment'!$A:$A,MATCH(C812&amp;"-"&amp;E812&amp;"-"&amp;F812&amp;"-Pos2",'Shooter-Squad Assignment'!$Z:$Z,0)),""),"")))</f>
        <v/>
      </c>
      <c r="J812" s="73" t="str">
        <f>IF(ISBLANK(I812),"",IFERROR(INDEX('Tournament List'!$D:$D,MATCH(I812,'Tournament List'!$A:$A,0)),""))</f>
        <v/>
      </c>
      <c r="K812" s="94" t="str">
        <f>IF(F812="Skeet",IFERROR(INDEX('Shooter-Squad Assignment'!$A:$A,MATCH(C812&amp;"-"&amp;E812&amp;"-"&amp;F812&amp;"-Pos3",'Shooter-Squad Assignment'!$K:$K,0)),""),IF(F812="Trap",IFERROR(INDEX('Shooter-Squad Assignment'!$A:$A,MATCH(C812&amp;"-"&amp;E812&amp;"-"&amp;F812&amp;"-Pos3",'Shooter-Squad Assignment'!$W:$W,0)),""),IF(F812="Sporting Clays",IFERROR(INDEX('Shooter-Squad Assignment'!$A:$A,MATCH(C812&amp;"-"&amp;E812&amp;"-"&amp;F812&amp;"-Pos3",'Shooter-Squad Assignment'!$Z:$Z,0)),""),"")))</f>
        <v/>
      </c>
      <c r="L812" s="73" t="str">
        <f>IF(ISBLANK(K812),"",IFERROR(INDEX('Tournament List'!$D:$D,MATCH(K812,'Tournament List'!$A:$A,0)),""))</f>
        <v/>
      </c>
      <c r="M812" s="94" t="str">
        <f>IF(F812="Skeet",IFERROR(INDEX('Shooter-Squad Assignment'!$A:$A,MATCH(C812&amp;"-"&amp;E812&amp;"-"&amp;F812&amp;"-Pos4",'Shooter-Squad Assignment'!$K:$K,0)),""),IF(F812="Trap",IFERROR(INDEX('Shooter-Squad Assignment'!$A:$A,MATCH(C812&amp;"-"&amp;E812&amp;"-"&amp;F812&amp;"-Pos4",'Shooter-Squad Assignment'!$W:$W,0)),""),IF(F812="Sporting Clays",IFERROR(INDEX('Shooter-Squad Assignment'!$A:$A,MATCH(C812&amp;"-"&amp;E812&amp;"-"&amp;F812&amp;"-Pos4",'Shooter-Squad Assignment'!$Z:$Z,0)),""),"")))</f>
        <v/>
      </c>
      <c r="N812" s="73" t="str">
        <f>IF(ISBLANK(M812),"",IFERROR(INDEX('Tournament List'!$D:$D,MATCH(M812,'Tournament List'!$A:$A,0)),""))</f>
        <v/>
      </c>
      <c r="O812" s="94" t="str">
        <f>IF(F812="Skeet",IFERROR(INDEX('Shooter-Squad Assignment'!$A:$A,MATCH(C812&amp;"-"&amp;E812&amp;"-"&amp;F812&amp;"-Pos5",'Shooter-Squad Assignment'!$K:$K,0)),""),IF(F812="Trap",IFERROR(INDEX('Shooter-Squad Assignment'!$A:$A,MATCH(C812&amp;"-"&amp;E812&amp;"-"&amp;F812&amp;"-Pos5",'Shooter-Squad Assignment'!$W:$W,0)),""),IF(F812="Sporting Clays",IFERROR(INDEX('Shooter-Squad Assignment'!$A:$A,MATCH(C812&amp;"-"&amp;E812&amp;"-"&amp;F812&amp;"-Pos5",'Shooter-Squad Assignment'!$Z:$Z,0)),""),"")))</f>
        <v/>
      </c>
      <c r="P812" s="79" t="str">
        <f>IF(ISBLANK(O812),"",IFERROR(INDEX('Tournament List'!$D:$D,MATCH(O812,'Tournament List'!$A:$A,0)),""))</f>
        <v/>
      </c>
    </row>
    <row r="813" spans="1:16" x14ac:dyDescent="0.3">
      <c r="A813" s="78">
        <v>812</v>
      </c>
      <c r="B813" s="73" t="str">
        <f>C813&amp;"-"&amp;E813&amp;"-"&amp;F813</f>
        <v>-Open 2-Skeet</v>
      </c>
      <c r="C813" s="73"/>
      <c r="D813" s="73" t="str">
        <f>INDEX('Tournament Setup'!$B$59:$B$78,MATCH(E813,SquadConcurrents,0))</f>
        <v>Open</v>
      </c>
      <c r="E813" s="73" t="s">
        <v>347</v>
      </c>
      <c r="F813" s="73" t="s">
        <v>143</v>
      </c>
      <c r="G813" s="94" t="str">
        <f>IF(F813="Skeet",IFERROR(INDEX('Shooter-Squad Assignment'!$A:$A,MATCH(C813&amp;"-"&amp;E813&amp;"-"&amp;F813&amp;"-Pos1",'Shooter-Squad Assignment'!$K:$K,0)),""),IF(F813="Trap",IFERROR(INDEX('Shooter-Squad Assignment'!$A:$A,MATCH(C813&amp;"-"&amp;E813&amp;"-"&amp;F813&amp;"-Pos1",'Shooter-Squad Assignment'!$W:$W,0)),""),IF(F813="Sporting Clays",IFERROR(INDEX('Shooter-Squad Assignment'!$A:$A,MATCH(C813&amp;"-"&amp;E813&amp;"-"&amp;F813&amp;"-Pos1",'Shooter-Squad Assignment'!$Z:$Z,0)),""),"")))</f>
        <v/>
      </c>
      <c r="H813" s="73" t="str">
        <f>IF(ISBLANK(G813),"",IFERROR(INDEX('Tournament List'!$D:$D,MATCH(G813,'Tournament List'!$A:$A,0)),""))</f>
        <v/>
      </c>
      <c r="I813" s="94" t="str">
        <f>IF(F813="Skeet",IFERROR(INDEX('Shooter-Squad Assignment'!$A:$A,MATCH(C813&amp;"-"&amp;E813&amp;"-"&amp;F813&amp;"-Pos2",'Shooter-Squad Assignment'!$K:$K,0)),""),IF(F813="Trap",IFERROR(INDEX('Shooter-Squad Assignment'!$A:$A,MATCH(C813&amp;"-"&amp;E813&amp;"-"&amp;F813&amp;"-Pos2",'Shooter-Squad Assignment'!$W:$W,0)),""),IF(F813="Sporting Clays",IFERROR(INDEX('Shooter-Squad Assignment'!$A:$A,MATCH(C813&amp;"-"&amp;E813&amp;"-"&amp;F813&amp;"-Pos2",'Shooter-Squad Assignment'!$Z:$Z,0)),""),"")))</f>
        <v/>
      </c>
      <c r="J813" s="73" t="str">
        <f>IF(ISBLANK(I813),"",IFERROR(INDEX('Tournament List'!$D:$D,MATCH(I813,'Tournament List'!$A:$A,0)),""))</f>
        <v/>
      </c>
      <c r="K813" s="94" t="str">
        <f>IF(F813="Skeet",IFERROR(INDEX('Shooter-Squad Assignment'!$A:$A,MATCH(C813&amp;"-"&amp;E813&amp;"-"&amp;F813&amp;"-Pos3",'Shooter-Squad Assignment'!$K:$K,0)),""),IF(F813="Trap",IFERROR(INDEX('Shooter-Squad Assignment'!$A:$A,MATCH(C813&amp;"-"&amp;E813&amp;"-"&amp;F813&amp;"-Pos3",'Shooter-Squad Assignment'!$W:$W,0)),""),IF(F813="Sporting Clays",IFERROR(INDEX('Shooter-Squad Assignment'!$A:$A,MATCH(C813&amp;"-"&amp;E813&amp;"-"&amp;F813&amp;"-Pos3",'Shooter-Squad Assignment'!$Z:$Z,0)),""),"")))</f>
        <v/>
      </c>
      <c r="L813" s="73" t="str">
        <f>IF(ISBLANK(K813),"",IFERROR(INDEX('Tournament List'!$D:$D,MATCH(K813,'Tournament List'!$A:$A,0)),""))</f>
        <v/>
      </c>
      <c r="M813" s="94" t="str">
        <f>IF(F813="Skeet",IFERROR(INDEX('Shooter-Squad Assignment'!$A:$A,MATCH(C813&amp;"-"&amp;E813&amp;"-"&amp;F813&amp;"-Pos4",'Shooter-Squad Assignment'!$K:$K,0)),""),IF(F813="Trap",IFERROR(INDEX('Shooter-Squad Assignment'!$A:$A,MATCH(C813&amp;"-"&amp;E813&amp;"-"&amp;F813&amp;"-Pos4",'Shooter-Squad Assignment'!$W:$W,0)),""),IF(F813="Sporting Clays",IFERROR(INDEX('Shooter-Squad Assignment'!$A:$A,MATCH(C813&amp;"-"&amp;E813&amp;"-"&amp;F813&amp;"-Pos4",'Shooter-Squad Assignment'!$Z:$Z,0)),""),"")))</f>
        <v/>
      </c>
      <c r="N813" s="73" t="str">
        <f>IF(ISBLANK(M813),"",IFERROR(INDEX('Tournament List'!$D:$D,MATCH(M813,'Tournament List'!$A:$A,0)),""))</f>
        <v/>
      </c>
      <c r="O813" s="94" t="str">
        <f>IF(F813="Skeet",IFERROR(INDEX('Shooter-Squad Assignment'!$A:$A,MATCH(C813&amp;"-"&amp;E813&amp;"-"&amp;F813&amp;"-Pos5",'Shooter-Squad Assignment'!$K:$K,0)),""),IF(F813="Trap",IFERROR(INDEX('Shooter-Squad Assignment'!$A:$A,MATCH(C813&amp;"-"&amp;E813&amp;"-"&amp;F813&amp;"-Pos5",'Shooter-Squad Assignment'!$W:$W,0)),""),IF(F813="Sporting Clays",IFERROR(INDEX('Shooter-Squad Assignment'!$A:$A,MATCH(C813&amp;"-"&amp;E813&amp;"-"&amp;F813&amp;"-Pos5",'Shooter-Squad Assignment'!$Z:$Z,0)),""),"")))</f>
        <v/>
      </c>
      <c r="P813" s="79" t="str">
        <f>IF(ISBLANK(O813),"",IFERROR(INDEX('Tournament List'!$D:$D,MATCH(O813,'Tournament List'!$A:$A,0)),""))</f>
        <v/>
      </c>
    </row>
    <row r="814" spans="1:16" x14ac:dyDescent="0.3">
      <c r="A814" s="78">
        <v>813</v>
      </c>
      <c r="B814" s="73" t="str">
        <f>C814&amp;"-"&amp;E814&amp;"-"&amp;F814</f>
        <v>-Open 3-Skeet</v>
      </c>
      <c r="C814" s="73"/>
      <c r="D814" s="73" t="str">
        <f>INDEX('Tournament Setup'!$B$59:$B$78,MATCH(E814,SquadConcurrents,0))</f>
        <v>Open</v>
      </c>
      <c r="E814" s="73" t="s">
        <v>353</v>
      </c>
      <c r="F814" s="73" t="s">
        <v>143</v>
      </c>
      <c r="G814" s="94" t="str">
        <f>IF(F814="Skeet",IFERROR(INDEX('Shooter-Squad Assignment'!$A:$A,MATCH(C814&amp;"-"&amp;E814&amp;"-"&amp;F814&amp;"-Pos1",'Shooter-Squad Assignment'!$K:$K,0)),""),IF(F814="Trap",IFERROR(INDEX('Shooter-Squad Assignment'!$A:$A,MATCH(C814&amp;"-"&amp;E814&amp;"-"&amp;F814&amp;"-Pos1",'Shooter-Squad Assignment'!$W:$W,0)),""),IF(F814="Sporting Clays",IFERROR(INDEX('Shooter-Squad Assignment'!$A:$A,MATCH(C814&amp;"-"&amp;E814&amp;"-"&amp;F814&amp;"-Pos1",'Shooter-Squad Assignment'!$Z:$Z,0)),""),"")))</f>
        <v/>
      </c>
      <c r="H814" s="73" t="str">
        <f>IF(ISBLANK(G814),"",IFERROR(INDEX('Tournament List'!$D:$D,MATCH(G814,'Tournament List'!$A:$A,0)),""))</f>
        <v/>
      </c>
      <c r="I814" s="94" t="str">
        <f>IF(F814="Skeet",IFERROR(INDEX('Shooter-Squad Assignment'!$A:$A,MATCH(C814&amp;"-"&amp;E814&amp;"-"&amp;F814&amp;"-Pos2",'Shooter-Squad Assignment'!$K:$K,0)),""),IF(F814="Trap",IFERROR(INDEX('Shooter-Squad Assignment'!$A:$A,MATCH(C814&amp;"-"&amp;E814&amp;"-"&amp;F814&amp;"-Pos2",'Shooter-Squad Assignment'!$W:$W,0)),""),IF(F814="Sporting Clays",IFERROR(INDEX('Shooter-Squad Assignment'!$A:$A,MATCH(C814&amp;"-"&amp;E814&amp;"-"&amp;F814&amp;"-Pos2",'Shooter-Squad Assignment'!$Z:$Z,0)),""),"")))</f>
        <v/>
      </c>
      <c r="J814" s="73" t="str">
        <f>IF(ISBLANK(I814),"",IFERROR(INDEX('Tournament List'!$D:$D,MATCH(I814,'Tournament List'!$A:$A,0)),""))</f>
        <v/>
      </c>
      <c r="K814" s="94" t="str">
        <f>IF(F814="Skeet",IFERROR(INDEX('Shooter-Squad Assignment'!$A:$A,MATCH(C814&amp;"-"&amp;E814&amp;"-"&amp;F814&amp;"-Pos3",'Shooter-Squad Assignment'!$K:$K,0)),""),IF(F814="Trap",IFERROR(INDEX('Shooter-Squad Assignment'!$A:$A,MATCH(C814&amp;"-"&amp;E814&amp;"-"&amp;F814&amp;"-Pos3",'Shooter-Squad Assignment'!$W:$W,0)),""),IF(F814="Sporting Clays",IFERROR(INDEX('Shooter-Squad Assignment'!$A:$A,MATCH(C814&amp;"-"&amp;E814&amp;"-"&amp;F814&amp;"-Pos3",'Shooter-Squad Assignment'!$Z:$Z,0)),""),"")))</f>
        <v/>
      </c>
      <c r="L814" s="73" t="str">
        <f>IF(ISBLANK(K814),"",IFERROR(INDEX('Tournament List'!$D:$D,MATCH(K814,'Tournament List'!$A:$A,0)),""))</f>
        <v/>
      </c>
      <c r="M814" s="94" t="str">
        <f>IF(F814="Skeet",IFERROR(INDEX('Shooter-Squad Assignment'!$A:$A,MATCH(C814&amp;"-"&amp;E814&amp;"-"&amp;F814&amp;"-Pos4",'Shooter-Squad Assignment'!$K:$K,0)),""),IF(F814="Trap",IFERROR(INDEX('Shooter-Squad Assignment'!$A:$A,MATCH(C814&amp;"-"&amp;E814&amp;"-"&amp;F814&amp;"-Pos4",'Shooter-Squad Assignment'!$W:$W,0)),""),IF(F814="Sporting Clays",IFERROR(INDEX('Shooter-Squad Assignment'!$A:$A,MATCH(C814&amp;"-"&amp;E814&amp;"-"&amp;F814&amp;"-Pos4",'Shooter-Squad Assignment'!$Z:$Z,0)),""),"")))</f>
        <v/>
      </c>
      <c r="N814" s="73" t="str">
        <f>IF(ISBLANK(M814),"",IFERROR(INDEX('Tournament List'!$D:$D,MATCH(M814,'Tournament List'!$A:$A,0)),""))</f>
        <v/>
      </c>
      <c r="O814" s="94" t="str">
        <f>IF(F814="Skeet",IFERROR(INDEX('Shooter-Squad Assignment'!$A:$A,MATCH(C814&amp;"-"&amp;E814&amp;"-"&amp;F814&amp;"-Pos5",'Shooter-Squad Assignment'!$K:$K,0)),""),IF(F814="Trap",IFERROR(INDEX('Shooter-Squad Assignment'!$A:$A,MATCH(C814&amp;"-"&amp;E814&amp;"-"&amp;F814&amp;"-Pos5",'Shooter-Squad Assignment'!$W:$W,0)),""),IF(F814="Sporting Clays",IFERROR(INDEX('Shooter-Squad Assignment'!$A:$A,MATCH(C814&amp;"-"&amp;E814&amp;"-"&amp;F814&amp;"-Pos5",'Shooter-Squad Assignment'!$Z:$Z,0)),""),"")))</f>
        <v/>
      </c>
      <c r="P814" s="79" t="str">
        <f>IF(ISBLANK(O814),"",IFERROR(INDEX('Tournament List'!$D:$D,MATCH(O814,'Tournament List'!$A:$A,0)),""))</f>
        <v/>
      </c>
    </row>
    <row r="815" spans="1:16" x14ac:dyDescent="0.3">
      <c r="A815" s="78">
        <v>814</v>
      </c>
      <c r="B815" s="73" t="str">
        <f>C815&amp;"-"&amp;E815&amp;"-"&amp;F815</f>
        <v>-Unassigned 1-Skeet</v>
      </c>
      <c r="C815" s="73"/>
      <c r="D815" s="73" t="str">
        <f>INDEX('Tournament Setup'!$B$59:$B$78,MATCH(E815,SquadConcurrents,0))</f>
        <v>Unassigned</v>
      </c>
      <c r="E815" s="73" t="s">
        <v>762</v>
      </c>
      <c r="F815" s="73" t="s">
        <v>143</v>
      </c>
      <c r="G815" s="94" t="str">
        <f>IF(F815="Skeet",IFERROR(INDEX('Shooter-Squad Assignment'!$A:$A,MATCH(C815&amp;"-"&amp;E815&amp;"-"&amp;F815&amp;"-Pos1",'Shooter-Squad Assignment'!$K:$K,0)),""),IF(F815="Trap",IFERROR(INDEX('Shooter-Squad Assignment'!$A:$A,MATCH(C815&amp;"-"&amp;E815&amp;"-"&amp;F815&amp;"-Pos1",'Shooter-Squad Assignment'!$W:$W,0)),""),IF(F815="Sporting Clays",IFERROR(INDEX('Shooter-Squad Assignment'!$A:$A,MATCH(C815&amp;"-"&amp;E815&amp;"-"&amp;F815&amp;"-Pos1",'Shooter-Squad Assignment'!$Z:$Z,0)),""),"")))</f>
        <v/>
      </c>
      <c r="H815" s="73" t="str">
        <f>IF(ISBLANK(G815),"",IFERROR(INDEX('Tournament List'!$D:$D,MATCH(G815,'Tournament List'!$A:$A,0)),""))</f>
        <v/>
      </c>
      <c r="I815" s="94" t="str">
        <f>IF(F815="Skeet",IFERROR(INDEX('Shooter-Squad Assignment'!$A:$A,MATCH(C815&amp;"-"&amp;E815&amp;"-"&amp;F815&amp;"-Pos2",'Shooter-Squad Assignment'!$K:$K,0)),""),IF(F815="Trap",IFERROR(INDEX('Shooter-Squad Assignment'!$A:$A,MATCH(C815&amp;"-"&amp;E815&amp;"-"&amp;F815&amp;"-Pos2",'Shooter-Squad Assignment'!$W:$W,0)),""),IF(F815="Sporting Clays",IFERROR(INDEX('Shooter-Squad Assignment'!$A:$A,MATCH(C815&amp;"-"&amp;E815&amp;"-"&amp;F815&amp;"-Pos2",'Shooter-Squad Assignment'!$Z:$Z,0)),""),"")))</f>
        <v/>
      </c>
      <c r="J815" s="73" t="str">
        <f>IF(ISBLANK(I815),"",IFERROR(INDEX('Tournament List'!$D:$D,MATCH(I815,'Tournament List'!$A:$A,0)),""))</f>
        <v/>
      </c>
      <c r="K815" s="94" t="str">
        <f>IF(F815="Skeet",IFERROR(INDEX('Shooter-Squad Assignment'!$A:$A,MATCH(C815&amp;"-"&amp;E815&amp;"-"&amp;F815&amp;"-Pos3",'Shooter-Squad Assignment'!$K:$K,0)),""),IF(F815="Trap",IFERROR(INDEX('Shooter-Squad Assignment'!$A:$A,MATCH(C815&amp;"-"&amp;E815&amp;"-"&amp;F815&amp;"-Pos3",'Shooter-Squad Assignment'!$W:$W,0)),""),IF(F815="Sporting Clays",IFERROR(INDEX('Shooter-Squad Assignment'!$A:$A,MATCH(C815&amp;"-"&amp;E815&amp;"-"&amp;F815&amp;"-Pos3",'Shooter-Squad Assignment'!$Z:$Z,0)),""),"")))</f>
        <v/>
      </c>
      <c r="L815" s="73" t="str">
        <f>IF(ISBLANK(K815),"",IFERROR(INDEX('Tournament List'!$D:$D,MATCH(K815,'Tournament List'!$A:$A,0)),""))</f>
        <v/>
      </c>
      <c r="M815" s="94" t="str">
        <f>IF(F815="Skeet",IFERROR(INDEX('Shooter-Squad Assignment'!$A:$A,MATCH(C815&amp;"-"&amp;E815&amp;"-"&amp;F815&amp;"-Pos4",'Shooter-Squad Assignment'!$K:$K,0)),""),IF(F815="Trap",IFERROR(INDEX('Shooter-Squad Assignment'!$A:$A,MATCH(C815&amp;"-"&amp;E815&amp;"-"&amp;F815&amp;"-Pos4",'Shooter-Squad Assignment'!$W:$W,0)),""),IF(F815="Sporting Clays",IFERROR(INDEX('Shooter-Squad Assignment'!$A:$A,MATCH(C815&amp;"-"&amp;E815&amp;"-"&amp;F815&amp;"-Pos4",'Shooter-Squad Assignment'!$Z:$Z,0)),""),"")))</f>
        <v/>
      </c>
      <c r="N815" s="73" t="str">
        <f>IF(ISBLANK(M815),"",IFERROR(INDEX('Tournament List'!$D:$D,MATCH(M815,'Tournament List'!$A:$A,0)),""))</f>
        <v/>
      </c>
      <c r="O815" s="94" t="str">
        <f>IF(F815="Skeet",IFERROR(INDEX('Shooter-Squad Assignment'!$A:$A,MATCH(C815&amp;"-"&amp;E815&amp;"-"&amp;F815&amp;"-Pos5",'Shooter-Squad Assignment'!$K:$K,0)),""),IF(F815="Trap",IFERROR(INDEX('Shooter-Squad Assignment'!$A:$A,MATCH(C815&amp;"-"&amp;E815&amp;"-"&amp;F815&amp;"-Pos5",'Shooter-Squad Assignment'!$W:$W,0)),""),IF(F815="Sporting Clays",IFERROR(INDEX('Shooter-Squad Assignment'!$A:$A,MATCH(C815&amp;"-"&amp;E815&amp;"-"&amp;F815&amp;"-Pos5",'Shooter-Squad Assignment'!$Z:$Z,0)),""),"")))</f>
        <v/>
      </c>
      <c r="P815" s="79" t="str">
        <f>IF(ISBLANK(O815),"",IFERROR(INDEX('Tournament List'!$D:$D,MATCH(O815,'Tournament List'!$A:$A,0)),""))</f>
        <v/>
      </c>
    </row>
    <row r="816" spans="1:16" x14ac:dyDescent="0.3">
      <c r="A816" s="78">
        <v>815</v>
      </c>
      <c r="B816" s="73" t="str">
        <f>C816&amp;"-"&amp;E816&amp;"-"&amp;F816</f>
        <v>-Varsity 1-Skeet</v>
      </c>
      <c r="C816" s="73"/>
      <c r="D816" s="73" t="str">
        <f>INDEX('Tournament Setup'!$B$59:$B$78,MATCH(E816,SquadConcurrents,0))</f>
        <v>Varsity</v>
      </c>
      <c r="E816" s="73" t="s">
        <v>340</v>
      </c>
      <c r="F816" s="73" t="s">
        <v>143</v>
      </c>
      <c r="G816" s="94" t="str">
        <f>IF(F816="Skeet",IFERROR(INDEX('Shooter-Squad Assignment'!$A:$A,MATCH(C816&amp;"-"&amp;E816&amp;"-"&amp;F816&amp;"-Pos1",'Shooter-Squad Assignment'!$K:$K,0)),""),IF(F816="Trap",IFERROR(INDEX('Shooter-Squad Assignment'!$A:$A,MATCH(C816&amp;"-"&amp;E816&amp;"-"&amp;F816&amp;"-Pos1",'Shooter-Squad Assignment'!$W:$W,0)),""),IF(F816="Sporting Clays",IFERROR(INDEX('Shooter-Squad Assignment'!$A:$A,MATCH(C816&amp;"-"&amp;E816&amp;"-"&amp;F816&amp;"-Pos1",'Shooter-Squad Assignment'!$Z:$Z,0)),""),"")))</f>
        <v/>
      </c>
      <c r="H816" s="73" t="str">
        <f>IF(ISBLANK(G816),"",IFERROR(INDEX('Tournament List'!$D:$D,MATCH(G816,'Tournament List'!$A:$A,0)),""))</f>
        <v/>
      </c>
      <c r="I816" s="94" t="str">
        <f>IF(F816="Skeet",IFERROR(INDEX('Shooter-Squad Assignment'!$A:$A,MATCH(C816&amp;"-"&amp;E816&amp;"-"&amp;F816&amp;"-Pos2",'Shooter-Squad Assignment'!$K:$K,0)),""),IF(F816="Trap",IFERROR(INDEX('Shooter-Squad Assignment'!$A:$A,MATCH(C816&amp;"-"&amp;E816&amp;"-"&amp;F816&amp;"-Pos2",'Shooter-Squad Assignment'!$W:$W,0)),""),IF(F816="Sporting Clays",IFERROR(INDEX('Shooter-Squad Assignment'!$A:$A,MATCH(C816&amp;"-"&amp;E816&amp;"-"&amp;F816&amp;"-Pos2",'Shooter-Squad Assignment'!$Z:$Z,0)),""),"")))</f>
        <v/>
      </c>
      <c r="J816" s="73" t="str">
        <f>IF(ISBLANK(I816),"",IFERROR(INDEX('Tournament List'!$D:$D,MATCH(I816,'Tournament List'!$A:$A,0)),""))</f>
        <v/>
      </c>
      <c r="K816" s="94" t="str">
        <f>IF(F816="Skeet",IFERROR(INDEX('Shooter-Squad Assignment'!$A:$A,MATCH(C816&amp;"-"&amp;E816&amp;"-"&amp;F816&amp;"-Pos3",'Shooter-Squad Assignment'!$K:$K,0)),""),IF(F816="Trap",IFERROR(INDEX('Shooter-Squad Assignment'!$A:$A,MATCH(C816&amp;"-"&amp;E816&amp;"-"&amp;F816&amp;"-Pos3",'Shooter-Squad Assignment'!$W:$W,0)),""),IF(F816="Sporting Clays",IFERROR(INDEX('Shooter-Squad Assignment'!$A:$A,MATCH(C816&amp;"-"&amp;E816&amp;"-"&amp;F816&amp;"-Pos3",'Shooter-Squad Assignment'!$Z:$Z,0)),""),"")))</f>
        <v/>
      </c>
      <c r="L816" s="73" t="str">
        <f>IF(ISBLANK(K816),"",IFERROR(INDEX('Tournament List'!$D:$D,MATCH(K816,'Tournament List'!$A:$A,0)),""))</f>
        <v/>
      </c>
      <c r="M816" s="94" t="str">
        <f>IF(F816="Skeet",IFERROR(INDEX('Shooter-Squad Assignment'!$A:$A,MATCH(C816&amp;"-"&amp;E816&amp;"-"&amp;F816&amp;"-Pos4",'Shooter-Squad Assignment'!$K:$K,0)),""),IF(F816="Trap",IFERROR(INDEX('Shooter-Squad Assignment'!$A:$A,MATCH(C816&amp;"-"&amp;E816&amp;"-"&amp;F816&amp;"-Pos4",'Shooter-Squad Assignment'!$W:$W,0)),""),IF(F816="Sporting Clays",IFERROR(INDEX('Shooter-Squad Assignment'!$A:$A,MATCH(C816&amp;"-"&amp;E816&amp;"-"&amp;F816&amp;"-Pos4",'Shooter-Squad Assignment'!$Z:$Z,0)),""),"")))</f>
        <v/>
      </c>
      <c r="N816" s="73" t="str">
        <f>IF(ISBLANK(M816),"",IFERROR(INDEX('Tournament List'!$D:$D,MATCH(M816,'Tournament List'!$A:$A,0)),""))</f>
        <v/>
      </c>
      <c r="O816" s="94" t="str">
        <f>IF(F816="Skeet",IFERROR(INDEX('Shooter-Squad Assignment'!$A:$A,MATCH(C816&amp;"-"&amp;E816&amp;"-"&amp;F816&amp;"-Pos5",'Shooter-Squad Assignment'!$K:$K,0)),""),IF(F816="Trap",IFERROR(INDEX('Shooter-Squad Assignment'!$A:$A,MATCH(C816&amp;"-"&amp;E816&amp;"-"&amp;F816&amp;"-Pos5",'Shooter-Squad Assignment'!$W:$W,0)),""),IF(F816="Sporting Clays",IFERROR(INDEX('Shooter-Squad Assignment'!$A:$A,MATCH(C816&amp;"-"&amp;E816&amp;"-"&amp;F816&amp;"-Pos5",'Shooter-Squad Assignment'!$Z:$Z,0)),""),"")))</f>
        <v/>
      </c>
      <c r="P816" s="79" t="str">
        <f>IF(ISBLANK(O816),"",IFERROR(INDEX('Tournament List'!$D:$D,MATCH(O816,'Tournament List'!$A:$A,0)),""))</f>
        <v/>
      </c>
    </row>
    <row r="817" spans="1:16" x14ac:dyDescent="0.3">
      <c r="A817" s="78">
        <v>816</v>
      </c>
      <c r="B817" s="73" t="str">
        <f>C817&amp;"-"&amp;E817&amp;"-"&amp;F817</f>
        <v>-Varsity 2-Skeet</v>
      </c>
      <c r="C817" s="73"/>
      <c r="D817" s="73" t="str">
        <f>INDEX('Tournament Setup'!$B$59:$B$78,MATCH(E817,SquadConcurrents,0))</f>
        <v>Varsity</v>
      </c>
      <c r="E817" s="73" t="s">
        <v>346</v>
      </c>
      <c r="F817" s="73" t="s">
        <v>143</v>
      </c>
      <c r="G817" s="94" t="str">
        <f>IF(F817="Skeet",IFERROR(INDEX('Shooter-Squad Assignment'!$A:$A,MATCH(C817&amp;"-"&amp;E817&amp;"-"&amp;F817&amp;"-Pos1",'Shooter-Squad Assignment'!$K:$K,0)),""),IF(F817="Trap",IFERROR(INDEX('Shooter-Squad Assignment'!$A:$A,MATCH(C817&amp;"-"&amp;E817&amp;"-"&amp;F817&amp;"-Pos1",'Shooter-Squad Assignment'!$W:$W,0)),""),IF(F817="Sporting Clays",IFERROR(INDEX('Shooter-Squad Assignment'!$A:$A,MATCH(C817&amp;"-"&amp;E817&amp;"-"&amp;F817&amp;"-Pos1",'Shooter-Squad Assignment'!$Z:$Z,0)),""),"")))</f>
        <v/>
      </c>
      <c r="H817" s="73" t="str">
        <f>IF(ISBLANK(G817),"",IFERROR(INDEX('Tournament List'!$D:$D,MATCH(G817,'Tournament List'!$A:$A,0)),""))</f>
        <v/>
      </c>
      <c r="I817" s="94" t="str">
        <f>IF(F817="Skeet",IFERROR(INDEX('Shooter-Squad Assignment'!$A:$A,MATCH(C817&amp;"-"&amp;E817&amp;"-"&amp;F817&amp;"-Pos2",'Shooter-Squad Assignment'!$K:$K,0)),""),IF(F817="Trap",IFERROR(INDEX('Shooter-Squad Assignment'!$A:$A,MATCH(C817&amp;"-"&amp;E817&amp;"-"&amp;F817&amp;"-Pos2",'Shooter-Squad Assignment'!$W:$W,0)),""),IF(F817="Sporting Clays",IFERROR(INDEX('Shooter-Squad Assignment'!$A:$A,MATCH(C817&amp;"-"&amp;E817&amp;"-"&amp;F817&amp;"-Pos2",'Shooter-Squad Assignment'!$Z:$Z,0)),""),"")))</f>
        <v/>
      </c>
      <c r="J817" s="73" t="str">
        <f>IF(ISBLANK(I817),"",IFERROR(INDEX('Tournament List'!$D:$D,MATCH(I817,'Tournament List'!$A:$A,0)),""))</f>
        <v/>
      </c>
      <c r="K817" s="94" t="str">
        <f>IF(F817="Skeet",IFERROR(INDEX('Shooter-Squad Assignment'!$A:$A,MATCH(C817&amp;"-"&amp;E817&amp;"-"&amp;F817&amp;"-Pos3",'Shooter-Squad Assignment'!$K:$K,0)),""),IF(F817="Trap",IFERROR(INDEX('Shooter-Squad Assignment'!$A:$A,MATCH(C817&amp;"-"&amp;E817&amp;"-"&amp;F817&amp;"-Pos3",'Shooter-Squad Assignment'!$W:$W,0)),""),IF(F817="Sporting Clays",IFERROR(INDEX('Shooter-Squad Assignment'!$A:$A,MATCH(C817&amp;"-"&amp;E817&amp;"-"&amp;F817&amp;"-Pos3",'Shooter-Squad Assignment'!$Z:$Z,0)),""),"")))</f>
        <v/>
      </c>
      <c r="L817" s="73" t="str">
        <f>IF(ISBLANK(K817),"",IFERROR(INDEX('Tournament List'!$D:$D,MATCH(K817,'Tournament List'!$A:$A,0)),""))</f>
        <v/>
      </c>
      <c r="M817" s="94" t="str">
        <f>IF(F817="Skeet",IFERROR(INDEX('Shooter-Squad Assignment'!$A:$A,MATCH(C817&amp;"-"&amp;E817&amp;"-"&amp;F817&amp;"-Pos4",'Shooter-Squad Assignment'!$K:$K,0)),""),IF(F817="Trap",IFERROR(INDEX('Shooter-Squad Assignment'!$A:$A,MATCH(C817&amp;"-"&amp;E817&amp;"-"&amp;F817&amp;"-Pos4",'Shooter-Squad Assignment'!$W:$W,0)),""),IF(F817="Sporting Clays",IFERROR(INDEX('Shooter-Squad Assignment'!$A:$A,MATCH(C817&amp;"-"&amp;E817&amp;"-"&amp;F817&amp;"-Pos4",'Shooter-Squad Assignment'!$Z:$Z,0)),""),"")))</f>
        <v/>
      </c>
      <c r="N817" s="73" t="str">
        <f>IF(ISBLANK(M817),"",IFERROR(INDEX('Tournament List'!$D:$D,MATCH(M817,'Tournament List'!$A:$A,0)),""))</f>
        <v/>
      </c>
      <c r="O817" s="94" t="str">
        <f>IF(F817="Skeet",IFERROR(INDEX('Shooter-Squad Assignment'!$A:$A,MATCH(C817&amp;"-"&amp;E817&amp;"-"&amp;F817&amp;"-Pos5",'Shooter-Squad Assignment'!$K:$K,0)),""),IF(F817="Trap",IFERROR(INDEX('Shooter-Squad Assignment'!$A:$A,MATCH(C817&amp;"-"&amp;E817&amp;"-"&amp;F817&amp;"-Pos5",'Shooter-Squad Assignment'!$W:$W,0)),""),IF(F817="Sporting Clays",IFERROR(INDEX('Shooter-Squad Assignment'!$A:$A,MATCH(C817&amp;"-"&amp;E817&amp;"-"&amp;F817&amp;"-Pos5",'Shooter-Squad Assignment'!$Z:$Z,0)),""),"")))</f>
        <v/>
      </c>
      <c r="P817" s="79" t="str">
        <f>IF(ISBLANK(O817),"",IFERROR(INDEX('Tournament List'!$D:$D,MATCH(O817,'Tournament List'!$A:$A,0)),""))</f>
        <v/>
      </c>
    </row>
    <row r="818" spans="1:16" x14ac:dyDescent="0.3">
      <c r="A818" s="78">
        <v>817</v>
      </c>
      <c r="B818" s="73" t="str">
        <f>C818&amp;"-"&amp;E818&amp;"-"&amp;F818</f>
        <v>-Varsity 3-Skeet</v>
      </c>
      <c r="C818" s="73"/>
      <c r="D818" s="73" t="str">
        <f>INDEX('Tournament Setup'!$B$59:$B$78,MATCH(E818,SquadConcurrents,0))</f>
        <v>Varsity</v>
      </c>
      <c r="E818" s="73" t="s">
        <v>352</v>
      </c>
      <c r="F818" s="73" t="s">
        <v>143</v>
      </c>
      <c r="G818" s="94" t="str">
        <f>IF(F818="Skeet",IFERROR(INDEX('Shooter-Squad Assignment'!$A:$A,MATCH(C818&amp;"-"&amp;E818&amp;"-"&amp;F818&amp;"-Pos1",'Shooter-Squad Assignment'!$K:$K,0)),""),IF(F818="Trap",IFERROR(INDEX('Shooter-Squad Assignment'!$A:$A,MATCH(C818&amp;"-"&amp;E818&amp;"-"&amp;F818&amp;"-Pos1",'Shooter-Squad Assignment'!$W:$W,0)),""),IF(F818="Sporting Clays",IFERROR(INDEX('Shooter-Squad Assignment'!$A:$A,MATCH(C818&amp;"-"&amp;E818&amp;"-"&amp;F818&amp;"-Pos1",'Shooter-Squad Assignment'!$Z:$Z,0)),""),"")))</f>
        <v/>
      </c>
      <c r="H818" s="73" t="str">
        <f>IF(ISBLANK(G818),"",IFERROR(INDEX('Tournament List'!$D:$D,MATCH(G818,'Tournament List'!$A:$A,0)),""))</f>
        <v/>
      </c>
      <c r="I818" s="94" t="str">
        <f>IF(F818="Skeet",IFERROR(INDEX('Shooter-Squad Assignment'!$A:$A,MATCH(C818&amp;"-"&amp;E818&amp;"-"&amp;F818&amp;"-Pos2",'Shooter-Squad Assignment'!$K:$K,0)),""),IF(F818="Trap",IFERROR(INDEX('Shooter-Squad Assignment'!$A:$A,MATCH(C818&amp;"-"&amp;E818&amp;"-"&amp;F818&amp;"-Pos2",'Shooter-Squad Assignment'!$W:$W,0)),""),IF(F818="Sporting Clays",IFERROR(INDEX('Shooter-Squad Assignment'!$A:$A,MATCH(C818&amp;"-"&amp;E818&amp;"-"&amp;F818&amp;"-Pos2",'Shooter-Squad Assignment'!$Z:$Z,0)),""),"")))</f>
        <v/>
      </c>
      <c r="J818" s="73" t="str">
        <f>IF(ISBLANK(I818),"",IFERROR(INDEX('Tournament List'!$D:$D,MATCH(I818,'Tournament List'!$A:$A,0)),""))</f>
        <v/>
      </c>
      <c r="K818" s="94" t="str">
        <f>IF(F818="Skeet",IFERROR(INDEX('Shooter-Squad Assignment'!$A:$A,MATCH(C818&amp;"-"&amp;E818&amp;"-"&amp;F818&amp;"-Pos3",'Shooter-Squad Assignment'!$K:$K,0)),""),IF(F818="Trap",IFERROR(INDEX('Shooter-Squad Assignment'!$A:$A,MATCH(C818&amp;"-"&amp;E818&amp;"-"&amp;F818&amp;"-Pos3",'Shooter-Squad Assignment'!$W:$W,0)),""),IF(F818="Sporting Clays",IFERROR(INDEX('Shooter-Squad Assignment'!$A:$A,MATCH(C818&amp;"-"&amp;E818&amp;"-"&amp;F818&amp;"-Pos3",'Shooter-Squad Assignment'!$Z:$Z,0)),""),"")))</f>
        <v/>
      </c>
      <c r="L818" s="73" t="str">
        <f>IF(ISBLANK(K818),"",IFERROR(INDEX('Tournament List'!$D:$D,MATCH(K818,'Tournament List'!$A:$A,0)),""))</f>
        <v/>
      </c>
      <c r="M818" s="94" t="str">
        <f>IF(F818="Skeet",IFERROR(INDEX('Shooter-Squad Assignment'!$A:$A,MATCH(C818&amp;"-"&amp;E818&amp;"-"&amp;F818&amp;"-Pos4",'Shooter-Squad Assignment'!$K:$K,0)),""),IF(F818="Trap",IFERROR(INDEX('Shooter-Squad Assignment'!$A:$A,MATCH(C818&amp;"-"&amp;E818&amp;"-"&amp;F818&amp;"-Pos4",'Shooter-Squad Assignment'!$W:$W,0)),""),IF(F818="Sporting Clays",IFERROR(INDEX('Shooter-Squad Assignment'!$A:$A,MATCH(C818&amp;"-"&amp;E818&amp;"-"&amp;F818&amp;"-Pos4",'Shooter-Squad Assignment'!$Z:$Z,0)),""),"")))</f>
        <v/>
      </c>
      <c r="N818" s="73" t="str">
        <f>IF(ISBLANK(M818),"",IFERROR(INDEX('Tournament List'!$D:$D,MATCH(M818,'Tournament List'!$A:$A,0)),""))</f>
        <v/>
      </c>
      <c r="O818" s="94" t="str">
        <f>IF(F818="Skeet",IFERROR(INDEX('Shooter-Squad Assignment'!$A:$A,MATCH(C818&amp;"-"&amp;E818&amp;"-"&amp;F818&amp;"-Pos5",'Shooter-Squad Assignment'!$K:$K,0)),""),IF(F818="Trap",IFERROR(INDEX('Shooter-Squad Assignment'!$A:$A,MATCH(C818&amp;"-"&amp;E818&amp;"-"&amp;F818&amp;"-Pos5",'Shooter-Squad Assignment'!$W:$W,0)),""),IF(F818="Sporting Clays",IFERROR(INDEX('Shooter-Squad Assignment'!$A:$A,MATCH(C818&amp;"-"&amp;E818&amp;"-"&amp;F818&amp;"-Pos5",'Shooter-Squad Assignment'!$Z:$Z,0)),""),"")))</f>
        <v/>
      </c>
      <c r="P818" s="79" t="str">
        <f>IF(ISBLANK(O818),"",IFERROR(INDEX('Tournament List'!$D:$D,MATCH(O818,'Tournament List'!$A:$A,0)),""))</f>
        <v/>
      </c>
    </row>
    <row r="819" spans="1:16" x14ac:dyDescent="0.3">
      <c r="A819" s="78">
        <v>818</v>
      </c>
      <c r="B819" s="73" t="str">
        <f>C819&amp;"-"&amp;E819&amp;"-"&amp;F819</f>
        <v>-Collegiate 1-Sporting Clays</v>
      </c>
      <c r="C819" s="73"/>
      <c r="D819" s="73" t="str">
        <f>INDEX('Tournament Setup'!$B$59:$B$78,MATCH(E819,SquadConcurrents,0))</f>
        <v>Collegiate</v>
      </c>
      <c r="E819" s="73" t="s">
        <v>342</v>
      </c>
      <c r="F819" s="73" t="s">
        <v>148</v>
      </c>
      <c r="G819" s="94" t="str">
        <f>IF(F819="Skeet",IFERROR(INDEX('Shooter-Squad Assignment'!$A:$A,MATCH(C819&amp;"-"&amp;E819&amp;"-"&amp;F819&amp;"-Pos1",'Shooter-Squad Assignment'!$K:$K,0)),""),IF(F819="Trap",IFERROR(INDEX('Shooter-Squad Assignment'!$A:$A,MATCH(C819&amp;"-"&amp;E819&amp;"-"&amp;F819&amp;"-Pos1",'Shooter-Squad Assignment'!$W:$W,0)),""),IF(F819="Sporting Clays",IFERROR(INDEX('Shooter-Squad Assignment'!$A:$A,MATCH(C819&amp;"-"&amp;E819&amp;"-"&amp;F819&amp;"-Pos1",'Shooter-Squad Assignment'!$Z:$Z,0)),""),"")))</f>
        <v/>
      </c>
      <c r="H819" s="73" t="str">
        <f>IF(ISBLANK(G819),"",IFERROR(INDEX('Tournament List'!$D:$D,MATCH(G819,'Tournament List'!$A:$A,0)),""))</f>
        <v/>
      </c>
      <c r="I819" s="94" t="str">
        <f>IF(F819="Skeet",IFERROR(INDEX('Shooter-Squad Assignment'!$A:$A,MATCH(C819&amp;"-"&amp;E819&amp;"-"&amp;F819&amp;"-Pos2",'Shooter-Squad Assignment'!$K:$K,0)),""),IF(F819="Trap",IFERROR(INDEX('Shooter-Squad Assignment'!$A:$A,MATCH(C819&amp;"-"&amp;E819&amp;"-"&amp;F819&amp;"-Pos2",'Shooter-Squad Assignment'!$W:$W,0)),""),IF(F819="Sporting Clays",IFERROR(INDEX('Shooter-Squad Assignment'!$A:$A,MATCH(C819&amp;"-"&amp;E819&amp;"-"&amp;F819&amp;"-Pos2",'Shooter-Squad Assignment'!$Z:$Z,0)),""),"")))</f>
        <v/>
      </c>
      <c r="J819" s="73" t="str">
        <f>IF(ISBLANK(I819),"",IFERROR(INDEX('Tournament List'!$D:$D,MATCH(I819,'Tournament List'!$A:$A,0)),""))</f>
        <v/>
      </c>
      <c r="K819" s="94" t="str">
        <f>IF(F819="Skeet",IFERROR(INDEX('Shooter-Squad Assignment'!$A:$A,MATCH(C819&amp;"-"&amp;E819&amp;"-"&amp;F819&amp;"-Pos3",'Shooter-Squad Assignment'!$K:$K,0)),""),IF(F819="Trap",IFERROR(INDEX('Shooter-Squad Assignment'!$A:$A,MATCH(C819&amp;"-"&amp;E819&amp;"-"&amp;F819&amp;"-Pos3",'Shooter-Squad Assignment'!$W:$W,0)),""),IF(F819="Sporting Clays",IFERROR(INDEX('Shooter-Squad Assignment'!$A:$A,MATCH(C819&amp;"-"&amp;E819&amp;"-"&amp;F819&amp;"-Pos3",'Shooter-Squad Assignment'!$Z:$Z,0)),""),"")))</f>
        <v/>
      </c>
      <c r="L819" s="73" t="str">
        <f>IF(ISBLANK(K819),"",IFERROR(INDEX('Tournament List'!$D:$D,MATCH(K819,'Tournament List'!$A:$A,0)),""))</f>
        <v/>
      </c>
      <c r="M819" s="94" t="str">
        <f>IF(F819="Skeet",IFERROR(INDEX('Shooter-Squad Assignment'!$A:$A,MATCH(C819&amp;"-"&amp;E819&amp;"-"&amp;F819&amp;"-Pos4",'Shooter-Squad Assignment'!$K:$K,0)),""),IF(F819="Trap",IFERROR(INDEX('Shooter-Squad Assignment'!$A:$A,MATCH(C819&amp;"-"&amp;E819&amp;"-"&amp;F819&amp;"-Pos4",'Shooter-Squad Assignment'!$W:$W,0)),""),IF(F819="Sporting Clays",IFERROR(INDEX('Shooter-Squad Assignment'!$A:$A,MATCH(C819&amp;"-"&amp;E819&amp;"-"&amp;F819&amp;"-Pos4",'Shooter-Squad Assignment'!$Z:$Z,0)),""),"")))</f>
        <v/>
      </c>
      <c r="N819" s="73" t="str">
        <f>IF(ISBLANK(M819),"",IFERROR(INDEX('Tournament List'!$D:$D,MATCH(M819,'Tournament List'!$A:$A,0)),""))</f>
        <v/>
      </c>
      <c r="O819" s="94" t="str">
        <f>IF(F819="Skeet",IFERROR(INDEX('Shooter-Squad Assignment'!$A:$A,MATCH(C819&amp;"-"&amp;E819&amp;"-"&amp;F819&amp;"-Pos5",'Shooter-Squad Assignment'!$K:$K,0)),""),IF(F819="Trap",IFERROR(INDEX('Shooter-Squad Assignment'!$A:$A,MATCH(C819&amp;"-"&amp;E819&amp;"-"&amp;F819&amp;"-Pos5",'Shooter-Squad Assignment'!$W:$W,0)),""),IF(F819="Sporting Clays",IFERROR(INDEX('Shooter-Squad Assignment'!$A:$A,MATCH(C819&amp;"-"&amp;E819&amp;"-"&amp;F819&amp;"-Pos5",'Shooter-Squad Assignment'!$Z:$Z,0)),""),"")))</f>
        <v/>
      </c>
      <c r="P819" s="79" t="str">
        <f>IF(ISBLANK(O819),"",IFERROR(INDEX('Tournament List'!$D:$D,MATCH(O819,'Tournament List'!$A:$A,0)),""))</f>
        <v/>
      </c>
    </row>
    <row r="820" spans="1:16" x14ac:dyDescent="0.3">
      <c r="A820" s="78">
        <v>819</v>
      </c>
      <c r="B820" s="73" t="str">
        <f>C820&amp;"-"&amp;E820&amp;"-"&amp;F820</f>
        <v>-Collegiate 2-Sporting Clays</v>
      </c>
      <c r="C820" s="73"/>
      <c r="D820" s="73" t="str">
        <f>INDEX('Tournament Setup'!$B$59:$B$78,MATCH(E820,SquadConcurrents,0))</f>
        <v>Collegiate</v>
      </c>
      <c r="E820" s="73" t="s">
        <v>348</v>
      </c>
      <c r="F820" s="73" t="s">
        <v>148</v>
      </c>
      <c r="G820" s="94" t="str">
        <f>IF(F820="Skeet",IFERROR(INDEX('Shooter-Squad Assignment'!$A:$A,MATCH(C820&amp;"-"&amp;E820&amp;"-"&amp;F820&amp;"-Pos1",'Shooter-Squad Assignment'!$K:$K,0)),""),IF(F820="Trap",IFERROR(INDEX('Shooter-Squad Assignment'!$A:$A,MATCH(C820&amp;"-"&amp;E820&amp;"-"&amp;F820&amp;"-Pos1",'Shooter-Squad Assignment'!$W:$W,0)),""),IF(F820="Sporting Clays",IFERROR(INDEX('Shooter-Squad Assignment'!$A:$A,MATCH(C820&amp;"-"&amp;E820&amp;"-"&amp;F820&amp;"-Pos1",'Shooter-Squad Assignment'!$Z:$Z,0)),""),"")))</f>
        <v/>
      </c>
      <c r="H820" s="73" t="str">
        <f>IF(ISBLANK(G820),"",IFERROR(INDEX('Tournament List'!$D:$D,MATCH(G820,'Tournament List'!$A:$A,0)),""))</f>
        <v/>
      </c>
      <c r="I820" s="94" t="str">
        <f>IF(F820="Skeet",IFERROR(INDEX('Shooter-Squad Assignment'!$A:$A,MATCH(C820&amp;"-"&amp;E820&amp;"-"&amp;F820&amp;"-Pos2",'Shooter-Squad Assignment'!$K:$K,0)),""),IF(F820="Trap",IFERROR(INDEX('Shooter-Squad Assignment'!$A:$A,MATCH(C820&amp;"-"&amp;E820&amp;"-"&amp;F820&amp;"-Pos2",'Shooter-Squad Assignment'!$W:$W,0)),""),IF(F820="Sporting Clays",IFERROR(INDEX('Shooter-Squad Assignment'!$A:$A,MATCH(C820&amp;"-"&amp;E820&amp;"-"&amp;F820&amp;"-Pos2",'Shooter-Squad Assignment'!$Z:$Z,0)),""),"")))</f>
        <v/>
      </c>
      <c r="J820" s="73" t="str">
        <f>IF(ISBLANK(I820),"",IFERROR(INDEX('Tournament List'!$D:$D,MATCH(I820,'Tournament List'!$A:$A,0)),""))</f>
        <v/>
      </c>
      <c r="K820" s="94" t="str">
        <f>IF(F820="Skeet",IFERROR(INDEX('Shooter-Squad Assignment'!$A:$A,MATCH(C820&amp;"-"&amp;E820&amp;"-"&amp;F820&amp;"-Pos3",'Shooter-Squad Assignment'!$K:$K,0)),""),IF(F820="Trap",IFERROR(INDEX('Shooter-Squad Assignment'!$A:$A,MATCH(C820&amp;"-"&amp;E820&amp;"-"&amp;F820&amp;"-Pos3",'Shooter-Squad Assignment'!$W:$W,0)),""),IF(F820="Sporting Clays",IFERROR(INDEX('Shooter-Squad Assignment'!$A:$A,MATCH(C820&amp;"-"&amp;E820&amp;"-"&amp;F820&amp;"-Pos3",'Shooter-Squad Assignment'!$Z:$Z,0)),""),"")))</f>
        <v/>
      </c>
      <c r="L820" s="73" t="str">
        <f>IF(ISBLANK(K820),"",IFERROR(INDEX('Tournament List'!$D:$D,MATCH(K820,'Tournament List'!$A:$A,0)),""))</f>
        <v/>
      </c>
      <c r="M820" s="94" t="str">
        <f>IF(F820="Skeet",IFERROR(INDEX('Shooter-Squad Assignment'!$A:$A,MATCH(C820&amp;"-"&amp;E820&amp;"-"&amp;F820&amp;"-Pos4",'Shooter-Squad Assignment'!$K:$K,0)),""),IF(F820="Trap",IFERROR(INDEX('Shooter-Squad Assignment'!$A:$A,MATCH(C820&amp;"-"&amp;E820&amp;"-"&amp;F820&amp;"-Pos4",'Shooter-Squad Assignment'!$W:$W,0)),""),IF(F820="Sporting Clays",IFERROR(INDEX('Shooter-Squad Assignment'!$A:$A,MATCH(C820&amp;"-"&amp;E820&amp;"-"&amp;F820&amp;"-Pos4",'Shooter-Squad Assignment'!$Z:$Z,0)),""),"")))</f>
        <v/>
      </c>
      <c r="N820" s="73" t="str">
        <f>IF(ISBLANK(M820),"",IFERROR(INDEX('Tournament List'!$D:$D,MATCH(M820,'Tournament List'!$A:$A,0)),""))</f>
        <v/>
      </c>
      <c r="O820" s="94" t="str">
        <f>IF(F820="Skeet",IFERROR(INDEX('Shooter-Squad Assignment'!$A:$A,MATCH(C820&amp;"-"&amp;E820&amp;"-"&amp;F820&amp;"-Pos5",'Shooter-Squad Assignment'!$K:$K,0)),""),IF(F820="Trap",IFERROR(INDEX('Shooter-Squad Assignment'!$A:$A,MATCH(C820&amp;"-"&amp;E820&amp;"-"&amp;F820&amp;"-Pos5",'Shooter-Squad Assignment'!$W:$W,0)),""),IF(F820="Sporting Clays",IFERROR(INDEX('Shooter-Squad Assignment'!$A:$A,MATCH(C820&amp;"-"&amp;E820&amp;"-"&amp;F820&amp;"-Pos5",'Shooter-Squad Assignment'!$Z:$Z,0)),""),"")))</f>
        <v/>
      </c>
      <c r="P820" s="79" t="str">
        <f>IF(ISBLANK(O820),"",IFERROR(INDEX('Tournament List'!$D:$D,MATCH(O820,'Tournament List'!$A:$A,0)),""))</f>
        <v/>
      </c>
    </row>
    <row r="821" spans="1:16" x14ac:dyDescent="0.3">
      <c r="A821" s="78">
        <v>820</v>
      </c>
      <c r="B821" s="73" t="str">
        <f>C821&amp;"-"&amp;E821&amp;"-"&amp;F821</f>
        <v>-Collegiate 3-Sporting Clays</v>
      </c>
      <c r="C821" s="73"/>
      <c r="D821" s="73" t="str">
        <f>INDEX('Tournament Setup'!$B$59:$B$78,MATCH(E821,SquadConcurrents,0))</f>
        <v>Collegiate</v>
      </c>
      <c r="E821" s="73" t="s">
        <v>354</v>
      </c>
      <c r="F821" s="73" t="s">
        <v>148</v>
      </c>
      <c r="G821" s="94" t="str">
        <f>IF(F821="Skeet",IFERROR(INDEX('Shooter-Squad Assignment'!$A:$A,MATCH(C821&amp;"-"&amp;E821&amp;"-"&amp;F821&amp;"-Pos1",'Shooter-Squad Assignment'!$K:$K,0)),""),IF(F821="Trap",IFERROR(INDEX('Shooter-Squad Assignment'!$A:$A,MATCH(C821&amp;"-"&amp;E821&amp;"-"&amp;F821&amp;"-Pos1",'Shooter-Squad Assignment'!$W:$W,0)),""),IF(F821="Sporting Clays",IFERROR(INDEX('Shooter-Squad Assignment'!$A:$A,MATCH(C821&amp;"-"&amp;E821&amp;"-"&amp;F821&amp;"-Pos1",'Shooter-Squad Assignment'!$Z:$Z,0)),""),"")))</f>
        <v/>
      </c>
      <c r="H821" s="73" t="str">
        <f>IF(ISBLANK(G821),"",IFERROR(INDEX('Tournament List'!$D:$D,MATCH(G821,'Tournament List'!$A:$A,0)),""))</f>
        <v/>
      </c>
      <c r="I821" s="94" t="str">
        <f>IF(F821="Skeet",IFERROR(INDEX('Shooter-Squad Assignment'!$A:$A,MATCH(C821&amp;"-"&amp;E821&amp;"-"&amp;F821&amp;"-Pos2",'Shooter-Squad Assignment'!$K:$K,0)),""),IF(F821="Trap",IFERROR(INDEX('Shooter-Squad Assignment'!$A:$A,MATCH(C821&amp;"-"&amp;E821&amp;"-"&amp;F821&amp;"-Pos2",'Shooter-Squad Assignment'!$W:$W,0)),""),IF(F821="Sporting Clays",IFERROR(INDEX('Shooter-Squad Assignment'!$A:$A,MATCH(C821&amp;"-"&amp;E821&amp;"-"&amp;F821&amp;"-Pos2",'Shooter-Squad Assignment'!$Z:$Z,0)),""),"")))</f>
        <v/>
      </c>
      <c r="J821" s="73" t="str">
        <f>IF(ISBLANK(I821),"",IFERROR(INDEX('Tournament List'!$D:$D,MATCH(I821,'Tournament List'!$A:$A,0)),""))</f>
        <v/>
      </c>
      <c r="K821" s="94" t="str">
        <f>IF(F821="Skeet",IFERROR(INDEX('Shooter-Squad Assignment'!$A:$A,MATCH(C821&amp;"-"&amp;E821&amp;"-"&amp;F821&amp;"-Pos3",'Shooter-Squad Assignment'!$K:$K,0)),""),IF(F821="Trap",IFERROR(INDEX('Shooter-Squad Assignment'!$A:$A,MATCH(C821&amp;"-"&amp;E821&amp;"-"&amp;F821&amp;"-Pos3",'Shooter-Squad Assignment'!$W:$W,0)),""),IF(F821="Sporting Clays",IFERROR(INDEX('Shooter-Squad Assignment'!$A:$A,MATCH(C821&amp;"-"&amp;E821&amp;"-"&amp;F821&amp;"-Pos3",'Shooter-Squad Assignment'!$Z:$Z,0)),""),"")))</f>
        <v/>
      </c>
      <c r="L821" s="73" t="str">
        <f>IF(ISBLANK(K821),"",IFERROR(INDEX('Tournament List'!$D:$D,MATCH(K821,'Tournament List'!$A:$A,0)),""))</f>
        <v/>
      </c>
      <c r="M821" s="94" t="str">
        <f>IF(F821="Skeet",IFERROR(INDEX('Shooter-Squad Assignment'!$A:$A,MATCH(C821&amp;"-"&amp;E821&amp;"-"&amp;F821&amp;"-Pos4",'Shooter-Squad Assignment'!$K:$K,0)),""),IF(F821="Trap",IFERROR(INDEX('Shooter-Squad Assignment'!$A:$A,MATCH(C821&amp;"-"&amp;E821&amp;"-"&amp;F821&amp;"-Pos4",'Shooter-Squad Assignment'!$W:$W,0)),""),IF(F821="Sporting Clays",IFERROR(INDEX('Shooter-Squad Assignment'!$A:$A,MATCH(C821&amp;"-"&amp;E821&amp;"-"&amp;F821&amp;"-Pos4",'Shooter-Squad Assignment'!$Z:$Z,0)),""),"")))</f>
        <v/>
      </c>
      <c r="N821" s="73" t="str">
        <f>IF(ISBLANK(M821),"",IFERROR(INDEX('Tournament List'!$D:$D,MATCH(M821,'Tournament List'!$A:$A,0)),""))</f>
        <v/>
      </c>
      <c r="O821" s="94" t="str">
        <f>IF(F821="Skeet",IFERROR(INDEX('Shooter-Squad Assignment'!$A:$A,MATCH(C821&amp;"-"&amp;E821&amp;"-"&amp;F821&amp;"-Pos5",'Shooter-Squad Assignment'!$K:$K,0)),""),IF(F821="Trap",IFERROR(INDEX('Shooter-Squad Assignment'!$A:$A,MATCH(C821&amp;"-"&amp;E821&amp;"-"&amp;F821&amp;"-Pos5",'Shooter-Squad Assignment'!$W:$W,0)),""),IF(F821="Sporting Clays",IFERROR(INDEX('Shooter-Squad Assignment'!$A:$A,MATCH(C821&amp;"-"&amp;E821&amp;"-"&amp;F821&amp;"-Pos5",'Shooter-Squad Assignment'!$Z:$Z,0)),""),"")))</f>
        <v/>
      </c>
      <c r="P821" s="79" t="str">
        <f>IF(ISBLANK(O821),"",IFERROR(INDEX('Tournament List'!$D:$D,MATCH(O821,'Tournament List'!$A:$A,0)),""))</f>
        <v/>
      </c>
    </row>
    <row r="822" spans="1:16" x14ac:dyDescent="0.3">
      <c r="A822" s="78">
        <v>821</v>
      </c>
      <c r="B822" s="73" t="str">
        <f>C822&amp;"-"&amp;E822&amp;"-"&amp;F822</f>
        <v>-Intermediate 1-Sporting Clays</v>
      </c>
      <c r="C822" s="73"/>
      <c r="D822" s="73" t="str">
        <f>INDEX('Tournament Setup'!$B$59:$B$78,MATCH(E822,SquadConcurrents,0))</f>
        <v>Intermediate</v>
      </c>
      <c r="E822" s="73" t="s">
        <v>338</v>
      </c>
      <c r="F822" s="73" t="s">
        <v>148</v>
      </c>
      <c r="G822" s="94" t="str">
        <f>IF(F822="Skeet",IFERROR(INDEX('Shooter-Squad Assignment'!$A:$A,MATCH(C822&amp;"-"&amp;E822&amp;"-"&amp;F822&amp;"-Pos1",'Shooter-Squad Assignment'!$K:$K,0)),""),IF(F822="Trap",IFERROR(INDEX('Shooter-Squad Assignment'!$A:$A,MATCH(C822&amp;"-"&amp;E822&amp;"-"&amp;F822&amp;"-Pos1",'Shooter-Squad Assignment'!$W:$W,0)),""),IF(F822="Sporting Clays",IFERROR(INDEX('Shooter-Squad Assignment'!$A:$A,MATCH(C822&amp;"-"&amp;E822&amp;"-"&amp;F822&amp;"-Pos1",'Shooter-Squad Assignment'!$Z:$Z,0)),""),"")))</f>
        <v/>
      </c>
      <c r="H822" s="73" t="str">
        <f>IF(ISBLANK(G822),"",IFERROR(INDEX('Tournament List'!$D:$D,MATCH(G822,'Tournament List'!$A:$A,0)),""))</f>
        <v/>
      </c>
      <c r="I822" s="94" t="str">
        <f>IF(F822="Skeet",IFERROR(INDEX('Shooter-Squad Assignment'!$A:$A,MATCH(C822&amp;"-"&amp;E822&amp;"-"&amp;F822&amp;"-Pos2",'Shooter-Squad Assignment'!$K:$K,0)),""),IF(F822="Trap",IFERROR(INDEX('Shooter-Squad Assignment'!$A:$A,MATCH(C822&amp;"-"&amp;E822&amp;"-"&amp;F822&amp;"-Pos2",'Shooter-Squad Assignment'!$W:$W,0)),""),IF(F822="Sporting Clays",IFERROR(INDEX('Shooter-Squad Assignment'!$A:$A,MATCH(C822&amp;"-"&amp;E822&amp;"-"&amp;F822&amp;"-Pos2",'Shooter-Squad Assignment'!$Z:$Z,0)),""),"")))</f>
        <v/>
      </c>
      <c r="J822" s="73" t="str">
        <f>IF(ISBLANK(I822),"",IFERROR(INDEX('Tournament List'!$D:$D,MATCH(I822,'Tournament List'!$A:$A,0)),""))</f>
        <v/>
      </c>
      <c r="K822" s="94" t="str">
        <f>IF(F822="Skeet",IFERROR(INDEX('Shooter-Squad Assignment'!$A:$A,MATCH(C822&amp;"-"&amp;E822&amp;"-"&amp;F822&amp;"-Pos3",'Shooter-Squad Assignment'!$K:$K,0)),""),IF(F822="Trap",IFERROR(INDEX('Shooter-Squad Assignment'!$A:$A,MATCH(C822&amp;"-"&amp;E822&amp;"-"&amp;F822&amp;"-Pos3",'Shooter-Squad Assignment'!$W:$W,0)),""),IF(F822="Sporting Clays",IFERROR(INDEX('Shooter-Squad Assignment'!$A:$A,MATCH(C822&amp;"-"&amp;E822&amp;"-"&amp;F822&amp;"-Pos3",'Shooter-Squad Assignment'!$Z:$Z,0)),""),"")))</f>
        <v/>
      </c>
      <c r="L822" s="73" t="str">
        <f>IF(ISBLANK(K822),"",IFERROR(INDEX('Tournament List'!$D:$D,MATCH(K822,'Tournament List'!$A:$A,0)),""))</f>
        <v/>
      </c>
      <c r="M822" s="94" t="str">
        <f>IF(F822="Skeet",IFERROR(INDEX('Shooter-Squad Assignment'!$A:$A,MATCH(C822&amp;"-"&amp;E822&amp;"-"&amp;F822&amp;"-Pos4",'Shooter-Squad Assignment'!$K:$K,0)),""),IF(F822="Trap",IFERROR(INDEX('Shooter-Squad Assignment'!$A:$A,MATCH(C822&amp;"-"&amp;E822&amp;"-"&amp;F822&amp;"-Pos4",'Shooter-Squad Assignment'!$W:$W,0)),""),IF(F822="Sporting Clays",IFERROR(INDEX('Shooter-Squad Assignment'!$A:$A,MATCH(C822&amp;"-"&amp;E822&amp;"-"&amp;F822&amp;"-Pos4",'Shooter-Squad Assignment'!$Z:$Z,0)),""),"")))</f>
        <v/>
      </c>
      <c r="N822" s="73" t="str">
        <f>IF(ISBLANK(M822),"",IFERROR(INDEX('Tournament List'!$D:$D,MATCH(M822,'Tournament List'!$A:$A,0)),""))</f>
        <v/>
      </c>
      <c r="O822" s="94" t="str">
        <f>IF(F822="Skeet",IFERROR(INDEX('Shooter-Squad Assignment'!$A:$A,MATCH(C822&amp;"-"&amp;E822&amp;"-"&amp;F822&amp;"-Pos5",'Shooter-Squad Assignment'!$K:$K,0)),""),IF(F822="Trap",IFERROR(INDEX('Shooter-Squad Assignment'!$A:$A,MATCH(C822&amp;"-"&amp;E822&amp;"-"&amp;F822&amp;"-Pos5",'Shooter-Squad Assignment'!$W:$W,0)),""),IF(F822="Sporting Clays",IFERROR(INDEX('Shooter-Squad Assignment'!$A:$A,MATCH(C822&amp;"-"&amp;E822&amp;"-"&amp;F822&amp;"-Pos5",'Shooter-Squad Assignment'!$Z:$Z,0)),""),"")))</f>
        <v/>
      </c>
      <c r="P822" s="79" t="str">
        <f>IF(ISBLANK(O822),"",IFERROR(INDEX('Tournament List'!$D:$D,MATCH(O822,'Tournament List'!$A:$A,0)),""))</f>
        <v/>
      </c>
    </row>
    <row r="823" spans="1:16" x14ac:dyDescent="0.3">
      <c r="A823" s="78">
        <v>822</v>
      </c>
      <c r="B823" s="73" t="str">
        <f>C823&amp;"-"&amp;E823&amp;"-"&amp;F823</f>
        <v>-Intermediate 2-Sporting Clays</v>
      </c>
      <c r="C823" s="73"/>
      <c r="D823" s="73" t="str">
        <f>INDEX('Tournament Setup'!$B$59:$B$78,MATCH(E823,SquadConcurrents,0))</f>
        <v>Intermediate</v>
      </c>
      <c r="E823" s="73" t="s">
        <v>344</v>
      </c>
      <c r="F823" s="73" t="s">
        <v>148</v>
      </c>
      <c r="G823" s="94" t="str">
        <f>IF(F823="Skeet",IFERROR(INDEX('Shooter-Squad Assignment'!$A:$A,MATCH(C823&amp;"-"&amp;E823&amp;"-"&amp;F823&amp;"-Pos1",'Shooter-Squad Assignment'!$K:$K,0)),""),IF(F823="Trap",IFERROR(INDEX('Shooter-Squad Assignment'!$A:$A,MATCH(C823&amp;"-"&amp;E823&amp;"-"&amp;F823&amp;"-Pos1",'Shooter-Squad Assignment'!$W:$W,0)),""),IF(F823="Sporting Clays",IFERROR(INDEX('Shooter-Squad Assignment'!$A:$A,MATCH(C823&amp;"-"&amp;E823&amp;"-"&amp;F823&amp;"-Pos1",'Shooter-Squad Assignment'!$Z:$Z,0)),""),"")))</f>
        <v/>
      </c>
      <c r="H823" s="73" t="str">
        <f>IF(ISBLANK(G823),"",IFERROR(INDEX('Tournament List'!$D:$D,MATCH(G823,'Tournament List'!$A:$A,0)),""))</f>
        <v/>
      </c>
      <c r="I823" s="94" t="str">
        <f>IF(F823="Skeet",IFERROR(INDEX('Shooter-Squad Assignment'!$A:$A,MATCH(C823&amp;"-"&amp;E823&amp;"-"&amp;F823&amp;"-Pos2",'Shooter-Squad Assignment'!$K:$K,0)),""),IF(F823="Trap",IFERROR(INDEX('Shooter-Squad Assignment'!$A:$A,MATCH(C823&amp;"-"&amp;E823&amp;"-"&amp;F823&amp;"-Pos2",'Shooter-Squad Assignment'!$W:$W,0)),""),IF(F823="Sporting Clays",IFERROR(INDEX('Shooter-Squad Assignment'!$A:$A,MATCH(C823&amp;"-"&amp;E823&amp;"-"&amp;F823&amp;"-Pos2",'Shooter-Squad Assignment'!$Z:$Z,0)),""),"")))</f>
        <v/>
      </c>
      <c r="J823" s="73" t="str">
        <f>IF(ISBLANK(I823),"",IFERROR(INDEX('Tournament List'!$D:$D,MATCH(I823,'Tournament List'!$A:$A,0)),""))</f>
        <v/>
      </c>
      <c r="K823" s="94" t="str">
        <f>IF(F823="Skeet",IFERROR(INDEX('Shooter-Squad Assignment'!$A:$A,MATCH(C823&amp;"-"&amp;E823&amp;"-"&amp;F823&amp;"-Pos3",'Shooter-Squad Assignment'!$K:$K,0)),""),IF(F823="Trap",IFERROR(INDEX('Shooter-Squad Assignment'!$A:$A,MATCH(C823&amp;"-"&amp;E823&amp;"-"&amp;F823&amp;"-Pos3",'Shooter-Squad Assignment'!$W:$W,0)),""),IF(F823="Sporting Clays",IFERROR(INDEX('Shooter-Squad Assignment'!$A:$A,MATCH(C823&amp;"-"&amp;E823&amp;"-"&amp;F823&amp;"-Pos3",'Shooter-Squad Assignment'!$Z:$Z,0)),""),"")))</f>
        <v/>
      </c>
      <c r="L823" s="73" t="str">
        <f>IF(ISBLANK(K823),"",IFERROR(INDEX('Tournament List'!$D:$D,MATCH(K823,'Tournament List'!$A:$A,0)),""))</f>
        <v/>
      </c>
      <c r="M823" s="94" t="str">
        <f>IF(F823="Skeet",IFERROR(INDEX('Shooter-Squad Assignment'!$A:$A,MATCH(C823&amp;"-"&amp;E823&amp;"-"&amp;F823&amp;"-Pos4",'Shooter-Squad Assignment'!$K:$K,0)),""),IF(F823="Trap",IFERROR(INDEX('Shooter-Squad Assignment'!$A:$A,MATCH(C823&amp;"-"&amp;E823&amp;"-"&amp;F823&amp;"-Pos4",'Shooter-Squad Assignment'!$W:$W,0)),""),IF(F823="Sporting Clays",IFERROR(INDEX('Shooter-Squad Assignment'!$A:$A,MATCH(C823&amp;"-"&amp;E823&amp;"-"&amp;F823&amp;"-Pos4",'Shooter-Squad Assignment'!$Z:$Z,0)),""),"")))</f>
        <v/>
      </c>
      <c r="N823" s="73" t="str">
        <f>IF(ISBLANK(M823),"",IFERROR(INDEX('Tournament List'!$D:$D,MATCH(M823,'Tournament List'!$A:$A,0)),""))</f>
        <v/>
      </c>
      <c r="O823" s="94" t="str">
        <f>IF(F823="Skeet",IFERROR(INDEX('Shooter-Squad Assignment'!$A:$A,MATCH(C823&amp;"-"&amp;E823&amp;"-"&amp;F823&amp;"-Pos5",'Shooter-Squad Assignment'!$K:$K,0)),""),IF(F823="Trap",IFERROR(INDEX('Shooter-Squad Assignment'!$A:$A,MATCH(C823&amp;"-"&amp;E823&amp;"-"&amp;F823&amp;"-Pos5",'Shooter-Squad Assignment'!$W:$W,0)),""),IF(F823="Sporting Clays",IFERROR(INDEX('Shooter-Squad Assignment'!$A:$A,MATCH(C823&amp;"-"&amp;E823&amp;"-"&amp;F823&amp;"-Pos5",'Shooter-Squad Assignment'!$Z:$Z,0)),""),"")))</f>
        <v/>
      </c>
      <c r="P823" s="79" t="str">
        <f>IF(ISBLANK(O823),"",IFERROR(INDEX('Tournament List'!$D:$D,MATCH(O823,'Tournament List'!$A:$A,0)),""))</f>
        <v/>
      </c>
    </row>
    <row r="824" spans="1:16" x14ac:dyDescent="0.3">
      <c r="A824" s="78">
        <v>823</v>
      </c>
      <c r="B824" s="73" t="str">
        <f>C824&amp;"-"&amp;E824&amp;"-"&amp;F824</f>
        <v>-Intermediate 3-Sporting Clays</v>
      </c>
      <c r="C824" s="73"/>
      <c r="D824" s="73" t="str">
        <f>INDEX('Tournament Setup'!$B$59:$B$78,MATCH(E824,SquadConcurrents,0))</f>
        <v>Intermediate</v>
      </c>
      <c r="E824" s="73" t="s">
        <v>350</v>
      </c>
      <c r="F824" s="73" t="s">
        <v>148</v>
      </c>
      <c r="G824" s="94" t="str">
        <f>IF(F824="Skeet",IFERROR(INDEX('Shooter-Squad Assignment'!$A:$A,MATCH(C824&amp;"-"&amp;E824&amp;"-"&amp;F824&amp;"-Pos1",'Shooter-Squad Assignment'!$K:$K,0)),""),IF(F824="Trap",IFERROR(INDEX('Shooter-Squad Assignment'!$A:$A,MATCH(C824&amp;"-"&amp;E824&amp;"-"&amp;F824&amp;"-Pos1",'Shooter-Squad Assignment'!$W:$W,0)),""),IF(F824="Sporting Clays",IFERROR(INDEX('Shooter-Squad Assignment'!$A:$A,MATCH(C824&amp;"-"&amp;E824&amp;"-"&amp;F824&amp;"-Pos1",'Shooter-Squad Assignment'!$Z:$Z,0)),""),"")))</f>
        <v/>
      </c>
      <c r="H824" s="73" t="str">
        <f>IF(ISBLANK(G824),"",IFERROR(INDEX('Tournament List'!$D:$D,MATCH(G824,'Tournament List'!$A:$A,0)),""))</f>
        <v/>
      </c>
      <c r="I824" s="94" t="str">
        <f>IF(F824="Skeet",IFERROR(INDEX('Shooter-Squad Assignment'!$A:$A,MATCH(C824&amp;"-"&amp;E824&amp;"-"&amp;F824&amp;"-Pos2",'Shooter-Squad Assignment'!$K:$K,0)),""),IF(F824="Trap",IFERROR(INDEX('Shooter-Squad Assignment'!$A:$A,MATCH(C824&amp;"-"&amp;E824&amp;"-"&amp;F824&amp;"-Pos2",'Shooter-Squad Assignment'!$W:$W,0)),""),IF(F824="Sporting Clays",IFERROR(INDEX('Shooter-Squad Assignment'!$A:$A,MATCH(C824&amp;"-"&amp;E824&amp;"-"&amp;F824&amp;"-Pos2",'Shooter-Squad Assignment'!$Z:$Z,0)),""),"")))</f>
        <v/>
      </c>
      <c r="J824" s="73" t="str">
        <f>IF(ISBLANK(I824),"",IFERROR(INDEX('Tournament List'!$D:$D,MATCH(I824,'Tournament List'!$A:$A,0)),""))</f>
        <v/>
      </c>
      <c r="K824" s="94" t="str">
        <f>IF(F824="Skeet",IFERROR(INDEX('Shooter-Squad Assignment'!$A:$A,MATCH(C824&amp;"-"&amp;E824&amp;"-"&amp;F824&amp;"-Pos3",'Shooter-Squad Assignment'!$K:$K,0)),""),IF(F824="Trap",IFERROR(INDEX('Shooter-Squad Assignment'!$A:$A,MATCH(C824&amp;"-"&amp;E824&amp;"-"&amp;F824&amp;"-Pos3",'Shooter-Squad Assignment'!$W:$W,0)),""),IF(F824="Sporting Clays",IFERROR(INDEX('Shooter-Squad Assignment'!$A:$A,MATCH(C824&amp;"-"&amp;E824&amp;"-"&amp;F824&amp;"-Pos3",'Shooter-Squad Assignment'!$Z:$Z,0)),""),"")))</f>
        <v/>
      </c>
      <c r="L824" s="73" t="str">
        <f>IF(ISBLANK(K824),"",IFERROR(INDEX('Tournament List'!$D:$D,MATCH(K824,'Tournament List'!$A:$A,0)),""))</f>
        <v/>
      </c>
      <c r="M824" s="94" t="str">
        <f>IF(F824="Skeet",IFERROR(INDEX('Shooter-Squad Assignment'!$A:$A,MATCH(C824&amp;"-"&amp;E824&amp;"-"&amp;F824&amp;"-Pos4",'Shooter-Squad Assignment'!$K:$K,0)),""),IF(F824="Trap",IFERROR(INDEX('Shooter-Squad Assignment'!$A:$A,MATCH(C824&amp;"-"&amp;E824&amp;"-"&amp;F824&amp;"-Pos4",'Shooter-Squad Assignment'!$W:$W,0)),""),IF(F824="Sporting Clays",IFERROR(INDEX('Shooter-Squad Assignment'!$A:$A,MATCH(C824&amp;"-"&amp;E824&amp;"-"&amp;F824&amp;"-Pos4",'Shooter-Squad Assignment'!$Z:$Z,0)),""),"")))</f>
        <v/>
      </c>
      <c r="N824" s="73" t="str">
        <f>IF(ISBLANK(M824),"",IFERROR(INDEX('Tournament List'!$D:$D,MATCH(M824,'Tournament List'!$A:$A,0)),""))</f>
        <v/>
      </c>
      <c r="O824" s="94" t="str">
        <f>IF(F824="Skeet",IFERROR(INDEX('Shooter-Squad Assignment'!$A:$A,MATCH(C824&amp;"-"&amp;E824&amp;"-"&amp;F824&amp;"-Pos5",'Shooter-Squad Assignment'!$K:$K,0)),""),IF(F824="Trap",IFERROR(INDEX('Shooter-Squad Assignment'!$A:$A,MATCH(C824&amp;"-"&amp;E824&amp;"-"&amp;F824&amp;"-Pos5",'Shooter-Squad Assignment'!$W:$W,0)),""),IF(F824="Sporting Clays",IFERROR(INDEX('Shooter-Squad Assignment'!$A:$A,MATCH(C824&amp;"-"&amp;E824&amp;"-"&amp;F824&amp;"-Pos5",'Shooter-Squad Assignment'!$Z:$Z,0)),""),"")))</f>
        <v/>
      </c>
      <c r="P824" s="79" t="str">
        <f>IF(ISBLANK(O824),"",IFERROR(INDEX('Tournament List'!$D:$D,MATCH(O824,'Tournament List'!$A:$A,0)),""))</f>
        <v/>
      </c>
    </row>
    <row r="825" spans="1:16" x14ac:dyDescent="0.3">
      <c r="A825" s="78">
        <v>824</v>
      </c>
      <c r="B825" s="73" t="str">
        <f>C825&amp;"-"&amp;E825&amp;"-"&amp;F825</f>
        <v>-Junior Varsity 1-Sporting Clays</v>
      </c>
      <c r="C825" s="73"/>
      <c r="D825" s="73" t="str">
        <f>INDEX('Tournament Setup'!$B$59:$B$78,MATCH(E825,SquadConcurrents,0))</f>
        <v>Junior Varsity</v>
      </c>
      <c r="E825" s="73" t="s">
        <v>339</v>
      </c>
      <c r="F825" s="73" t="s">
        <v>148</v>
      </c>
      <c r="G825" s="94" t="str">
        <f>IF(F825="Skeet",IFERROR(INDEX('Shooter-Squad Assignment'!$A:$A,MATCH(C825&amp;"-"&amp;E825&amp;"-"&amp;F825&amp;"-Pos1",'Shooter-Squad Assignment'!$K:$K,0)),""),IF(F825="Trap",IFERROR(INDEX('Shooter-Squad Assignment'!$A:$A,MATCH(C825&amp;"-"&amp;E825&amp;"-"&amp;F825&amp;"-Pos1",'Shooter-Squad Assignment'!$W:$W,0)),""),IF(F825="Sporting Clays",IFERROR(INDEX('Shooter-Squad Assignment'!$A:$A,MATCH(C825&amp;"-"&amp;E825&amp;"-"&amp;F825&amp;"-Pos1",'Shooter-Squad Assignment'!$Z:$Z,0)),""),"")))</f>
        <v/>
      </c>
      <c r="H825" s="73" t="str">
        <f>IF(ISBLANK(G825),"",IFERROR(INDEX('Tournament List'!$D:$D,MATCH(G825,'Tournament List'!$A:$A,0)),""))</f>
        <v/>
      </c>
      <c r="I825" s="94" t="str">
        <f>IF(F825="Skeet",IFERROR(INDEX('Shooter-Squad Assignment'!$A:$A,MATCH(C825&amp;"-"&amp;E825&amp;"-"&amp;F825&amp;"-Pos2",'Shooter-Squad Assignment'!$K:$K,0)),""),IF(F825="Trap",IFERROR(INDEX('Shooter-Squad Assignment'!$A:$A,MATCH(C825&amp;"-"&amp;E825&amp;"-"&amp;F825&amp;"-Pos2",'Shooter-Squad Assignment'!$W:$W,0)),""),IF(F825="Sporting Clays",IFERROR(INDEX('Shooter-Squad Assignment'!$A:$A,MATCH(C825&amp;"-"&amp;E825&amp;"-"&amp;F825&amp;"-Pos2",'Shooter-Squad Assignment'!$Z:$Z,0)),""),"")))</f>
        <v/>
      </c>
      <c r="J825" s="73" t="str">
        <f>IF(ISBLANK(I825),"",IFERROR(INDEX('Tournament List'!$D:$D,MATCH(I825,'Tournament List'!$A:$A,0)),""))</f>
        <v/>
      </c>
      <c r="K825" s="94" t="str">
        <f>IF(F825="Skeet",IFERROR(INDEX('Shooter-Squad Assignment'!$A:$A,MATCH(C825&amp;"-"&amp;E825&amp;"-"&amp;F825&amp;"-Pos3",'Shooter-Squad Assignment'!$K:$K,0)),""),IF(F825="Trap",IFERROR(INDEX('Shooter-Squad Assignment'!$A:$A,MATCH(C825&amp;"-"&amp;E825&amp;"-"&amp;F825&amp;"-Pos3",'Shooter-Squad Assignment'!$W:$W,0)),""),IF(F825="Sporting Clays",IFERROR(INDEX('Shooter-Squad Assignment'!$A:$A,MATCH(C825&amp;"-"&amp;E825&amp;"-"&amp;F825&amp;"-Pos3",'Shooter-Squad Assignment'!$Z:$Z,0)),""),"")))</f>
        <v/>
      </c>
      <c r="L825" s="73" t="str">
        <f>IF(ISBLANK(K825),"",IFERROR(INDEX('Tournament List'!$D:$D,MATCH(K825,'Tournament List'!$A:$A,0)),""))</f>
        <v/>
      </c>
      <c r="M825" s="94" t="str">
        <f>IF(F825="Skeet",IFERROR(INDEX('Shooter-Squad Assignment'!$A:$A,MATCH(C825&amp;"-"&amp;E825&amp;"-"&amp;F825&amp;"-Pos4",'Shooter-Squad Assignment'!$K:$K,0)),""),IF(F825="Trap",IFERROR(INDEX('Shooter-Squad Assignment'!$A:$A,MATCH(C825&amp;"-"&amp;E825&amp;"-"&amp;F825&amp;"-Pos4",'Shooter-Squad Assignment'!$W:$W,0)),""),IF(F825="Sporting Clays",IFERROR(INDEX('Shooter-Squad Assignment'!$A:$A,MATCH(C825&amp;"-"&amp;E825&amp;"-"&amp;F825&amp;"-Pos4",'Shooter-Squad Assignment'!$Z:$Z,0)),""),"")))</f>
        <v/>
      </c>
      <c r="N825" s="73" t="str">
        <f>IF(ISBLANK(M825),"",IFERROR(INDEX('Tournament List'!$D:$D,MATCH(M825,'Tournament List'!$A:$A,0)),""))</f>
        <v/>
      </c>
      <c r="O825" s="94" t="str">
        <f>IF(F825="Skeet",IFERROR(INDEX('Shooter-Squad Assignment'!$A:$A,MATCH(C825&amp;"-"&amp;E825&amp;"-"&amp;F825&amp;"-Pos5",'Shooter-Squad Assignment'!$K:$K,0)),""),IF(F825="Trap",IFERROR(INDEX('Shooter-Squad Assignment'!$A:$A,MATCH(C825&amp;"-"&amp;E825&amp;"-"&amp;F825&amp;"-Pos5",'Shooter-Squad Assignment'!$W:$W,0)),""),IF(F825="Sporting Clays",IFERROR(INDEX('Shooter-Squad Assignment'!$A:$A,MATCH(C825&amp;"-"&amp;E825&amp;"-"&amp;F825&amp;"-Pos5",'Shooter-Squad Assignment'!$Z:$Z,0)),""),"")))</f>
        <v/>
      </c>
      <c r="P825" s="79" t="str">
        <f>IF(ISBLANK(O825),"",IFERROR(INDEX('Tournament List'!$D:$D,MATCH(O825,'Tournament List'!$A:$A,0)),""))</f>
        <v/>
      </c>
    </row>
    <row r="826" spans="1:16" x14ac:dyDescent="0.3">
      <c r="A826" s="78">
        <v>825</v>
      </c>
      <c r="B826" s="73" t="str">
        <f>C826&amp;"-"&amp;E826&amp;"-"&amp;F826</f>
        <v>-Junior Varsity 2-Sporting Clays</v>
      </c>
      <c r="C826" s="73"/>
      <c r="D826" s="73" t="str">
        <f>INDEX('Tournament Setup'!$B$59:$B$78,MATCH(E826,SquadConcurrents,0))</f>
        <v>Junior Varsity</v>
      </c>
      <c r="E826" s="73" t="s">
        <v>345</v>
      </c>
      <c r="F826" s="73" t="s">
        <v>148</v>
      </c>
      <c r="G826" s="94" t="str">
        <f>IF(F826="Skeet",IFERROR(INDEX('Shooter-Squad Assignment'!$A:$A,MATCH(C826&amp;"-"&amp;E826&amp;"-"&amp;F826&amp;"-Pos1",'Shooter-Squad Assignment'!$K:$K,0)),""),IF(F826="Trap",IFERROR(INDEX('Shooter-Squad Assignment'!$A:$A,MATCH(C826&amp;"-"&amp;E826&amp;"-"&amp;F826&amp;"-Pos1",'Shooter-Squad Assignment'!$W:$W,0)),""),IF(F826="Sporting Clays",IFERROR(INDEX('Shooter-Squad Assignment'!$A:$A,MATCH(C826&amp;"-"&amp;E826&amp;"-"&amp;F826&amp;"-Pos1",'Shooter-Squad Assignment'!$Z:$Z,0)),""),"")))</f>
        <v/>
      </c>
      <c r="H826" s="73" t="str">
        <f>IF(ISBLANK(G826),"",IFERROR(INDEX('Tournament List'!$D:$D,MATCH(G826,'Tournament List'!$A:$A,0)),""))</f>
        <v/>
      </c>
      <c r="I826" s="94" t="str">
        <f>IF(F826="Skeet",IFERROR(INDEX('Shooter-Squad Assignment'!$A:$A,MATCH(C826&amp;"-"&amp;E826&amp;"-"&amp;F826&amp;"-Pos2",'Shooter-Squad Assignment'!$K:$K,0)),""),IF(F826="Trap",IFERROR(INDEX('Shooter-Squad Assignment'!$A:$A,MATCH(C826&amp;"-"&amp;E826&amp;"-"&amp;F826&amp;"-Pos2",'Shooter-Squad Assignment'!$W:$W,0)),""),IF(F826="Sporting Clays",IFERROR(INDEX('Shooter-Squad Assignment'!$A:$A,MATCH(C826&amp;"-"&amp;E826&amp;"-"&amp;F826&amp;"-Pos2",'Shooter-Squad Assignment'!$Z:$Z,0)),""),"")))</f>
        <v/>
      </c>
      <c r="J826" s="73" t="str">
        <f>IF(ISBLANK(I826),"",IFERROR(INDEX('Tournament List'!$D:$D,MATCH(I826,'Tournament List'!$A:$A,0)),""))</f>
        <v/>
      </c>
      <c r="K826" s="94" t="str">
        <f>IF(F826="Skeet",IFERROR(INDEX('Shooter-Squad Assignment'!$A:$A,MATCH(C826&amp;"-"&amp;E826&amp;"-"&amp;F826&amp;"-Pos3",'Shooter-Squad Assignment'!$K:$K,0)),""),IF(F826="Trap",IFERROR(INDEX('Shooter-Squad Assignment'!$A:$A,MATCH(C826&amp;"-"&amp;E826&amp;"-"&amp;F826&amp;"-Pos3",'Shooter-Squad Assignment'!$W:$W,0)),""),IF(F826="Sporting Clays",IFERROR(INDEX('Shooter-Squad Assignment'!$A:$A,MATCH(C826&amp;"-"&amp;E826&amp;"-"&amp;F826&amp;"-Pos3",'Shooter-Squad Assignment'!$Z:$Z,0)),""),"")))</f>
        <v/>
      </c>
      <c r="L826" s="73" t="str">
        <f>IF(ISBLANK(K826),"",IFERROR(INDEX('Tournament List'!$D:$D,MATCH(K826,'Tournament List'!$A:$A,0)),""))</f>
        <v/>
      </c>
      <c r="M826" s="94" t="str">
        <f>IF(F826="Skeet",IFERROR(INDEX('Shooter-Squad Assignment'!$A:$A,MATCH(C826&amp;"-"&amp;E826&amp;"-"&amp;F826&amp;"-Pos4",'Shooter-Squad Assignment'!$K:$K,0)),""),IF(F826="Trap",IFERROR(INDEX('Shooter-Squad Assignment'!$A:$A,MATCH(C826&amp;"-"&amp;E826&amp;"-"&amp;F826&amp;"-Pos4",'Shooter-Squad Assignment'!$W:$W,0)),""),IF(F826="Sporting Clays",IFERROR(INDEX('Shooter-Squad Assignment'!$A:$A,MATCH(C826&amp;"-"&amp;E826&amp;"-"&amp;F826&amp;"-Pos4",'Shooter-Squad Assignment'!$Z:$Z,0)),""),"")))</f>
        <v/>
      </c>
      <c r="N826" s="73" t="str">
        <f>IF(ISBLANK(M826),"",IFERROR(INDEX('Tournament List'!$D:$D,MATCH(M826,'Tournament List'!$A:$A,0)),""))</f>
        <v/>
      </c>
      <c r="O826" s="94" t="str">
        <f>IF(F826="Skeet",IFERROR(INDEX('Shooter-Squad Assignment'!$A:$A,MATCH(C826&amp;"-"&amp;E826&amp;"-"&amp;F826&amp;"-Pos5",'Shooter-Squad Assignment'!$K:$K,0)),""),IF(F826="Trap",IFERROR(INDEX('Shooter-Squad Assignment'!$A:$A,MATCH(C826&amp;"-"&amp;E826&amp;"-"&amp;F826&amp;"-Pos5",'Shooter-Squad Assignment'!$W:$W,0)),""),IF(F826="Sporting Clays",IFERROR(INDEX('Shooter-Squad Assignment'!$A:$A,MATCH(C826&amp;"-"&amp;E826&amp;"-"&amp;F826&amp;"-Pos5",'Shooter-Squad Assignment'!$Z:$Z,0)),""),"")))</f>
        <v/>
      </c>
      <c r="P826" s="79" t="str">
        <f>IF(ISBLANK(O826),"",IFERROR(INDEX('Tournament List'!$D:$D,MATCH(O826,'Tournament List'!$A:$A,0)),""))</f>
        <v/>
      </c>
    </row>
    <row r="827" spans="1:16" x14ac:dyDescent="0.3">
      <c r="A827" s="78">
        <v>826</v>
      </c>
      <c r="B827" s="73" t="str">
        <f>C827&amp;"-"&amp;E827&amp;"-"&amp;F827</f>
        <v>-Junior Varsity 3-Sporting Clays</v>
      </c>
      <c r="C827" s="73"/>
      <c r="D827" s="73" t="str">
        <f>INDEX('Tournament Setup'!$B$59:$B$78,MATCH(E827,SquadConcurrents,0))</f>
        <v>Junior Varsity</v>
      </c>
      <c r="E827" s="73" t="s">
        <v>351</v>
      </c>
      <c r="F827" s="73" t="s">
        <v>148</v>
      </c>
      <c r="G827" s="94" t="str">
        <f>IF(F827="Skeet",IFERROR(INDEX('Shooter-Squad Assignment'!$A:$A,MATCH(C827&amp;"-"&amp;E827&amp;"-"&amp;F827&amp;"-Pos1",'Shooter-Squad Assignment'!$K:$K,0)),""),IF(F827="Trap",IFERROR(INDEX('Shooter-Squad Assignment'!$A:$A,MATCH(C827&amp;"-"&amp;E827&amp;"-"&amp;F827&amp;"-Pos1",'Shooter-Squad Assignment'!$W:$W,0)),""),IF(F827="Sporting Clays",IFERROR(INDEX('Shooter-Squad Assignment'!$A:$A,MATCH(C827&amp;"-"&amp;E827&amp;"-"&amp;F827&amp;"-Pos1",'Shooter-Squad Assignment'!$Z:$Z,0)),""),"")))</f>
        <v/>
      </c>
      <c r="H827" s="73" t="str">
        <f>IF(ISBLANK(G827),"",IFERROR(INDEX('Tournament List'!$D:$D,MATCH(G827,'Tournament List'!$A:$A,0)),""))</f>
        <v/>
      </c>
      <c r="I827" s="94" t="str">
        <f>IF(F827="Skeet",IFERROR(INDEX('Shooter-Squad Assignment'!$A:$A,MATCH(C827&amp;"-"&amp;E827&amp;"-"&amp;F827&amp;"-Pos2",'Shooter-Squad Assignment'!$K:$K,0)),""),IF(F827="Trap",IFERROR(INDEX('Shooter-Squad Assignment'!$A:$A,MATCH(C827&amp;"-"&amp;E827&amp;"-"&amp;F827&amp;"-Pos2",'Shooter-Squad Assignment'!$W:$W,0)),""),IF(F827="Sporting Clays",IFERROR(INDEX('Shooter-Squad Assignment'!$A:$A,MATCH(C827&amp;"-"&amp;E827&amp;"-"&amp;F827&amp;"-Pos2",'Shooter-Squad Assignment'!$Z:$Z,0)),""),"")))</f>
        <v/>
      </c>
      <c r="J827" s="73" t="str">
        <f>IF(ISBLANK(I827),"",IFERROR(INDEX('Tournament List'!$D:$D,MATCH(I827,'Tournament List'!$A:$A,0)),""))</f>
        <v/>
      </c>
      <c r="K827" s="94" t="str">
        <f>IF(F827="Skeet",IFERROR(INDEX('Shooter-Squad Assignment'!$A:$A,MATCH(C827&amp;"-"&amp;E827&amp;"-"&amp;F827&amp;"-Pos3",'Shooter-Squad Assignment'!$K:$K,0)),""),IF(F827="Trap",IFERROR(INDEX('Shooter-Squad Assignment'!$A:$A,MATCH(C827&amp;"-"&amp;E827&amp;"-"&amp;F827&amp;"-Pos3",'Shooter-Squad Assignment'!$W:$W,0)),""),IF(F827="Sporting Clays",IFERROR(INDEX('Shooter-Squad Assignment'!$A:$A,MATCH(C827&amp;"-"&amp;E827&amp;"-"&amp;F827&amp;"-Pos3",'Shooter-Squad Assignment'!$Z:$Z,0)),""),"")))</f>
        <v/>
      </c>
      <c r="L827" s="73" t="str">
        <f>IF(ISBLANK(K827),"",IFERROR(INDEX('Tournament List'!$D:$D,MATCH(K827,'Tournament List'!$A:$A,0)),""))</f>
        <v/>
      </c>
      <c r="M827" s="94" t="str">
        <f>IF(F827="Skeet",IFERROR(INDEX('Shooter-Squad Assignment'!$A:$A,MATCH(C827&amp;"-"&amp;E827&amp;"-"&amp;F827&amp;"-Pos4",'Shooter-Squad Assignment'!$K:$K,0)),""),IF(F827="Trap",IFERROR(INDEX('Shooter-Squad Assignment'!$A:$A,MATCH(C827&amp;"-"&amp;E827&amp;"-"&amp;F827&amp;"-Pos4",'Shooter-Squad Assignment'!$W:$W,0)),""),IF(F827="Sporting Clays",IFERROR(INDEX('Shooter-Squad Assignment'!$A:$A,MATCH(C827&amp;"-"&amp;E827&amp;"-"&amp;F827&amp;"-Pos4",'Shooter-Squad Assignment'!$Z:$Z,0)),""),"")))</f>
        <v/>
      </c>
      <c r="N827" s="73" t="str">
        <f>IF(ISBLANK(M827),"",IFERROR(INDEX('Tournament List'!$D:$D,MATCH(M827,'Tournament List'!$A:$A,0)),""))</f>
        <v/>
      </c>
      <c r="O827" s="94" t="str">
        <f>IF(F827="Skeet",IFERROR(INDEX('Shooter-Squad Assignment'!$A:$A,MATCH(C827&amp;"-"&amp;E827&amp;"-"&amp;F827&amp;"-Pos5",'Shooter-Squad Assignment'!$K:$K,0)),""),IF(F827="Trap",IFERROR(INDEX('Shooter-Squad Assignment'!$A:$A,MATCH(C827&amp;"-"&amp;E827&amp;"-"&amp;F827&amp;"-Pos5",'Shooter-Squad Assignment'!$W:$W,0)),""),IF(F827="Sporting Clays",IFERROR(INDEX('Shooter-Squad Assignment'!$A:$A,MATCH(C827&amp;"-"&amp;E827&amp;"-"&amp;F827&amp;"-Pos5",'Shooter-Squad Assignment'!$Z:$Z,0)),""),"")))</f>
        <v/>
      </c>
      <c r="P827" s="79" t="str">
        <f>IF(ISBLANK(O827),"",IFERROR(INDEX('Tournament List'!$D:$D,MATCH(O827,'Tournament List'!$A:$A,0)),""))</f>
        <v/>
      </c>
    </row>
    <row r="828" spans="1:16" x14ac:dyDescent="0.3">
      <c r="A828" s="78">
        <v>827</v>
      </c>
      <c r="B828" s="73" t="str">
        <f>C828&amp;"-"&amp;E828&amp;"-"&amp;F828</f>
        <v>-Novice 1-Sporting Clays</v>
      </c>
      <c r="C828" s="73"/>
      <c r="D828" s="73" t="str">
        <f>INDEX('Tournament Setup'!$B$59:$B$78,MATCH(E828,SquadConcurrents,0))</f>
        <v>Novice</v>
      </c>
      <c r="E828" s="73" t="s">
        <v>337</v>
      </c>
      <c r="F828" s="73" t="s">
        <v>148</v>
      </c>
      <c r="G828" s="94" t="str">
        <f>IF(F828="Skeet",IFERROR(INDEX('Shooter-Squad Assignment'!$A:$A,MATCH(C828&amp;"-"&amp;E828&amp;"-"&amp;F828&amp;"-Pos1",'Shooter-Squad Assignment'!$K:$K,0)),""),IF(F828="Trap",IFERROR(INDEX('Shooter-Squad Assignment'!$A:$A,MATCH(C828&amp;"-"&amp;E828&amp;"-"&amp;F828&amp;"-Pos1",'Shooter-Squad Assignment'!$W:$W,0)),""),IF(F828="Sporting Clays",IFERROR(INDEX('Shooter-Squad Assignment'!$A:$A,MATCH(C828&amp;"-"&amp;E828&amp;"-"&amp;F828&amp;"-Pos1",'Shooter-Squad Assignment'!$Z:$Z,0)),""),"")))</f>
        <v/>
      </c>
      <c r="H828" s="73" t="str">
        <f>IF(ISBLANK(G828),"",IFERROR(INDEX('Tournament List'!$D:$D,MATCH(G828,'Tournament List'!$A:$A,0)),""))</f>
        <v/>
      </c>
      <c r="I828" s="94" t="str">
        <f>IF(F828="Skeet",IFERROR(INDEX('Shooter-Squad Assignment'!$A:$A,MATCH(C828&amp;"-"&amp;E828&amp;"-"&amp;F828&amp;"-Pos2",'Shooter-Squad Assignment'!$K:$K,0)),""),IF(F828="Trap",IFERROR(INDEX('Shooter-Squad Assignment'!$A:$A,MATCH(C828&amp;"-"&amp;E828&amp;"-"&amp;F828&amp;"-Pos2",'Shooter-Squad Assignment'!$W:$W,0)),""),IF(F828="Sporting Clays",IFERROR(INDEX('Shooter-Squad Assignment'!$A:$A,MATCH(C828&amp;"-"&amp;E828&amp;"-"&amp;F828&amp;"-Pos2",'Shooter-Squad Assignment'!$Z:$Z,0)),""),"")))</f>
        <v/>
      </c>
      <c r="J828" s="73" t="str">
        <f>IF(ISBLANK(I828),"",IFERROR(INDEX('Tournament List'!$D:$D,MATCH(I828,'Tournament List'!$A:$A,0)),""))</f>
        <v/>
      </c>
      <c r="K828" s="94" t="str">
        <f>IF(F828="Skeet",IFERROR(INDEX('Shooter-Squad Assignment'!$A:$A,MATCH(C828&amp;"-"&amp;E828&amp;"-"&amp;F828&amp;"-Pos3",'Shooter-Squad Assignment'!$K:$K,0)),""),IF(F828="Trap",IFERROR(INDEX('Shooter-Squad Assignment'!$A:$A,MATCH(C828&amp;"-"&amp;E828&amp;"-"&amp;F828&amp;"-Pos3",'Shooter-Squad Assignment'!$W:$W,0)),""),IF(F828="Sporting Clays",IFERROR(INDEX('Shooter-Squad Assignment'!$A:$A,MATCH(C828&amp;"-"&amp;E828&amp;"-"&amp;F828&amp;"-Pos3",'Shooter-Squad Assignment'!$Z:$Z,0)),""),"")))</f>
        <v/>
      </c>
      <c r="L828" s="73" t="str">
        <f>IF(ISBLANK(K828),"",IFERROR(INDEX('Tournament List'!$D:$D,MATCH(K828,'Tournament List'!$A:$A,0)),""))</f>
        <v/>
      </c>
      <c r="M828" s="94" t="str">
        <f>IF(F828="Skeet",IFERROR(INDEX('Shooter-Squad Assignment'!$A:$A,MATCH(C828&amp;"-"&amp;E828&amp;"-"&amp;F828&amp;"-Pos4",'Shooter-Squad Assignment'!$K:$K,0)),""),IF(F828="Trap",IFERROR(INDEX('Shooter-Squad Assignment'!$A:$A,MATCH(C828&amp;"-"&amp;E828&amp;"-"&amp;F828&amp;"-Pos4",'Shooter-Squad Assignment'!$W:$W,0)),""),IF(F828="Sporting Clays",IFERROR(INDEX('Shooter-Squad Assignment'!$A:$A,MATCH(C828&amp;"-"&amp;E828&amp;"-"&amp;F828&amp;"-Pos4",'Shooter-Squad Assignment'!$Z:$Z,0)),""),"")))</f>
        <v/>
      </c>
      <c r="N828" s="73" t="str">
        <f>IF(ISBLANK(M828),"",IFERROR(INDEX('Tournament List'!$D:$D,MATCH(M828,'Tournament List'!$A:$A,0)),""))</f>
        <v/>
      </c>
      <c r="O828" s="94" t="str">
        <f>IF(F828="Skeet",IFERROR(INDEX('Shooter-Squad Assignment'!$A:$A,MATCH(C828&amp;"-"&amp;E828&amp;"-"&amp;F828&amp;"-Pos5",'Shooter-Squad Assignment'!$K:$K,0)),""),IF(F828="Trap",IFERROR(INDEX('Shooter-Squad Assignment'!$A:$A,MATCH(C828&amp;"-"&amp;E828&amp;"-"&amp;F828&amp;"-Pos5",'Shooter-Squad Assignment'!$W:$W,0)),""),IF(F828="Sporting Clays",IFERROR(INDEX('Shooter-Squad Assignment'!$A:$A,MATCH(C828&amp;"-"&amp;E828&amp;"-"&amp;F828&amp;"-Pos5",'Shooter-Squad Assignment'!$Z:$Z,0)),""),"")))</f>
        <v/>
      </c>
      <c r="P828" s="79" t="str">
        <f>IF(ISBLANK(O828),"",IFERROR(INDEX('Tournament List'!$D:$D,MATCH(O828,'Tournament List'!$A:$A,0)),""))</f>
        <v/>
      </c>
    </row>
    <row r="829" spans="1:16" x14ac:dyDescent="0.3">
      <c r="A829" s="78">
        <v>828</v>
      </c>
      <c r="B829" s="73" t="str">
        <f>C829&amp;"-"&amp;E829&amp;"-"&amp;F829</f>
        <v>-Novice 2-Sporting Clays</v>
      </c>
      <c r="C829" s="73"/>
      <c r="D829" s="73" t="str">
        <f>INDEX('Tournament Setup'!$B$59:$B$78,MATCH(E829,SquadConcurrents,0))</f>
        <v>Novice</v>
      </c>
      <c r="E829" s="73" t="s">
        <v>343</v>
      </c>
      <c r="F829" s="73" t="s">
        <v>148</v>
      </c>
      <c r="G829" s="94" t="str">
        <f>IF(F829="Skeet",IFERROR(INDEX('Shooter-Squad Assignment'!$A:$A,MATCH(C829&amp;"-"&amp;E829&amp;"-"&amp;F829&amp;"-Pos1",'Shooter-Squad Assignment'!$K:$K,0)),""),IF(F829="Trap",IFERROR(INDEX('Shooter-Squad Assignment'!$A:$A,MATCH(C829&amp;"-"&amp;E829&amp;"-"&amp;F829&amp;"-Pos1",'Shooter-Squad Assignment'!$W:$W,0)),""),IF(F829="Sporting Clays",IFERROR(INDEX('Shooter-Squad Assignment'!$A:$A,MATCH(C829&amp;"-"&amp;E829&amp;"-"&amp;F829&amp;"-Pos1",'Shooter-Squad Assignment'!$Z:$Z,0)),""),"")))</f>
        <v/>
      </c>
      <c r="H829" s="73" t="str">
        <f>IF(ISBLANK(G829),"",IFERROR(INDEX('Tournament List'!$D:$D,MATCH(G829,'Tournament List'!$A:$A,0)),""))</f>
        <v/>
      </c>
      <c r="I829" s="94" t="str">
        <f>IF(F829="Skeet",IFERROR(INDEX('Shooter-Squad Assignment'!$A:$A,MATCH(C829&amp;"-"&amp;E829&amp;"-"&amp;F829&amp;"-Pos2",'Shooter-Squad Assignment'!$K:$K,0)),""),IF(F829="Trap",IFERROR(INDEX('Shooter-Squad Assignment'!$A:$A,MATCH(C829&amp;"-"&amp;E829&amp;"-"&amp;F829&amp;"-Pos2",'Shooter-Squad Assignment'!$W:$W,0)),""),IF(F829="Sporting Clays",IFERROR(INDEX('Shooter-Squad Assignment'!$A:$A,MATCH(C829&amp;"-"&amp;E829&amp;"-"&amp;F829&amp;"-Pos2",'Shooter-Squad Assignment'!$Z:$Z,0)),""),"")))</f>
        <v/>
      </c>
      <c r="J829" s="73" t="str">
        <f>IF(ISBLANK(I829),"",IFERROR(INDEX('Tournament List'!$D:$D,MATCH(I829,'Tournament List'!$A:$A,0)),""))</f>
        <v/>
      </c>
      <c r="K829" s="94" t="str">
        <f>IF(F829="Skeet",IFERROR(INDEX('Shooter-Squad Assignment'!$A:$A,MATCH(C829&amp;"-"&amp;E829&amp;"-"&amp;F829&amp;"-Pos3",'Shooter-Squad Assignment'!$K:$K,0)),""),IF(F829="Trap",IFERROR(INDEX('Shooter-Squad Assignment'!$A:$A,MATCH(C829&amp;"-"&amp;E829&amp;"-"&amp;F829&amp;"-Pos3",'Shooter-Squad Assignment'!$W:$W,0)),""),IF(F829="Sporting Clays",IFERROR(INDEX('Shooter-Squad Assignment'!$A:$A,MATCH(C829&amp;"-"&amp;E829&amp;"-"&amp;F829&amp;"-Pos3",'Shooter-Squad Assignment'!$Z:$Z,0)),""),"")))</f>
        <v/>
      </c>
      <c r="L829" s="73" t="str">
        <f>IF(ISBLANK(K829),"",IFERROR(INDEX('Tournament List'!$D:$D,MATCH(K829,'Tournament List'!$A:$A,0)),""))</f>
        <v/>
      </c>
      <c r="M829" s="94" t="str">
        <f>IF(F829="Skeet",IFERROR(INDEX('Shooter-Squad Assignment'!$A:$A,MATCH(C829&amp;"-"&amp;E829&amp;"-"&amp;F829&amp;"-Pos4",'Shooter-Squad Assignment'!$K:$K,0)),""),IF(F829="Trap",IFERROR(INDEX('Shooter-Squad Assignment'!$A:$A,MATCH(C829&amp;"-"&amp;E829&amp;"-"&amp;F829&amp;"-Pos4",'Shooter-Squad Assignment'!$W:$W,0)),""),IF(F829="Sporting Clays",IFERROR(INDEX('Shooter-Squad Assignment'!$A:$A,MATCH(C829&amp;"-"&amp;E829&amp;"-"&amp;F829&amp;"-Pos4",'Shooter-Squad Assignment'!$Z:$Z,0)),""),"")))</f>
        <v/>
      </c>
      <c r="N829" s="73" t="str">
        <f>IF(ISBLANK(M829),"",IFERROR(INDEX('Tournament List'!$D:$D,MATCH(M829,'Tournament List'!$A:$A,0)),""))</f>
        <v/>
      </c>
      <c r="O829" s="94" t="str">
        <f>IF(F829="Skeet",IFERROR(INDEX('Shooter-Squad Assignment'!$A:$A,MATCH(C829&amp;"-"&amp;E829&amp;"-"&amp;F829&amp;"-Pos5",'Shooter-Squad Assignment'!$K:$K,0)),""),IF(F829="Trap",IFERROR(INDEX('Shooter-Squad Assignment'!$A:$A,MATCH(C829&amp;"-"&amp;E829&amp;"-"&amp;F829&amp;"-Pos5",'Shooter-Squad Assignment'!$W:$W,0)),""),IF(F829="Sporting Clays",IFERROR(INDEX('Shooter-Squad Assignment'!$A:$A,MATCH(C829&amp;"-"&amp;E829&amp;"-"&amp;F829&amp;"-Pos5",'Shooter-Squad Assignment'!$Z:$Z,0)),""),"")))</f>
        <v/>
      </c>
      <c r="P829" s="79" t="str">
        <f>IF(ISBLANK(O829),"",IFERROR(INDEX('Tournament List'!$D:$D,MATCH(O829,'Tournament List'!$A:$A,0)),""))</f>
        <v/>
      </c>
    </row>
    <row r="830" spans="1:16" x14ac:dyDescent="0.3">
      <c r="A830" s="78">
        <v>829</v>
      </c>
      <c r="B830" s="73" t="str">
        <f>C830&amp;"-"&amp;E830&amp;"-"&amp;F830</f>
        <v>-Novice 3-Sporting Clays</v>
      </c>
      <c r="C830" s="73"/>
      <c r="D830" s="73" t="str">
        <f>INDEX('Tournament Setup'!$B$59:$B$78,MATCH(E830,SquadConcurrents,0))</f>
        <v>Novice</v>
      </c>
      <c r="E830" s="73" t="s">
        <v>349</v>
      </c>
      <c r="F830" s="73" t="s">
        <v>148</v>
      </c>
      <c r="G830" s="94" t="str">
        <f>IF(F830="Skeet",IFERROR(INDEX('Shooter-Squad Assignment'!$A:$A,MATCH(C830&amp;"-"&amp;E830&amp;"-"&amp;F830&amp;"-Pos1",'Shooter-Squad Assignment'!$K:$K,0)),""),IF(F830="Trap",IFERROR(INDEX('Shooter-Squad Assignment'!$A:$A,MATCH(C830&amp;"-"&amp;E830&amp;"-"&amp;F830&amp;"-Pos1",'Shooter-Squad Assignment'!$W:$W,0)),""),IF(F830="Sporting Clays",IFERROR(INDEX('Shooter-Squad Assignment'!$A:$A,MATCH(C830&amp;"-"&amp;E830&amp;"-"&amp;F830&amp;"-Pos1",'Shooter-Squad Assignment'!$Z:$Z,0)),""),"")))</f>
        <v/>
      </c>
      <c r="H830" s="73" t="str">
        <f>IF(ISBLANK(G830),"",IFERROR(INDEX('Tournament List'!$D:$D,MATCH(G830,'Tournament List'!$A:$A,0)),""))</f>
        <v/>
      </c>
      <c r="I830" s="94" t="str">
        <f>IF(F830="Skeet",IFERROR(INDEX('Shooter-Squad Assignment'!$A:$A,MATCH(C830&amp;"-"&amp;E830&amp;"-"&amp;F830&amp;"-Pos2",'Shooter-Squad Assignment'!$K:$K,0)),""),IF(F830="Trap",IFERROR(INDEX('Shooter-Squad Assignment'!$A:$A,MATCH(C830&amp;"-"&amp;E830&amp;"-"&amp;F830&amp;"-Pos2",'Shooter-Squad Assignment'!$W:$W,0)),""),IF(F830="Sporting Clays",IFERROR(INDEX('Shooter-Squad Assignment'!$A:$A,MATCH(C830&amp;"-"&amp;E830&amp;"-"&amp;F830&amp;"-Pos2",'Shooter-Squad Assignment'!$Z:$Z,0)),""),"")))</f>
        <v/>
      </c>
      <c r="J830" s="73" t="str">
        <f>IF(ISBLANK(I830),"",IFERROR(INDEX('Tournament List'!$D:$D,MATCH(I830,'Tournament List'!$A:$A,0)),""))</f>
        <v/>
      </c>
      <c r="K830" s="94" t="str">
        <f>IF(F830="Skeet",IFERROR(INDEX('Shooter-Squad Assignment'!$A:$A,MATCH(C830&amp;"-"&amp;E830&amp;"-"&amp;F830&amp;"-Pos3",'Shooter-Squad Assignment'!$K:$K,0)),""),IF(F830="Trap",IFERROR(INDEX('Shooter-Squad Assignment'!$A:$A,MATCH(C830&amp;"-"&amp;E830&amp;"-"&amp;F830&amp;"-Pos3",'Shooter-Squad Assignment'!$W:$W,0)),""),IF(F830="Sporting Clays",IFERROR(INDEX('Shooter-Squad Assignment'!$A:$A,MATCH(C830&amp;"-"&amp;E830&amp;"-"&amp;F830&amp;"-Pos3",'Shooter-Squad Assignment'!$Z:$Z,0)),""),"")))</f>
        <v/>
      </c>
      <c r="L830" s="73" t="str">
        <f>IF(ISBLANK(K830),"",IFERROR(INDEX('Tournament List'!$D:$D,MATCH(K830,'Tournament List'!$A:$A,0)),""))</f>
        <v/>
      </c>
      <c r="M830" s="94" t="str">
        <f>IF(F830="Skeet",IFERROR(INDEX('Shooter-Squad Assignment'!$A:$A,MATCH(C830&amp;"-"&amp;E830&amp;"-"&amp;F830&amp;"-Pos4",'Shooter-Squad Assignment'!$K:$K,0)),""),IF(F830="Trap",IFERROR(INDEX('Shooter-Squad Assignment'!$A:$A,MATCH(C830&amp;"-"&amp;E830&amp;"-"&amp;F830&amp;"-Pos4",'Shooter-Squad Assignment'!$W:$W,0)),""),IF(F830="Sporting Clays",IFERROR(INDEX('Shooter-Squad Assignment'!$A:$A,MATCH(C830&amp;"-"&amp;E830&amp;"-"&amp;F830&amp;"-Pos4",'Shooter-Squad Assignment'!$Z:$Z,0)),""),"")))</f>
        <v/>
      </c>
      <c r="N830" s="73" t="str">
        <f>IF(ISBLANK(M830),"",IFERROR(INDEX('Tournament List'!$D:$D,MATCH(M830,'Tournament List'!$A:$A,0)),""))</f>
        <v/>
      </c>
      <c r="O830" s="94" t="str">
        <f>IF(F830="Skeet",IFERROR(INDEX('Shooter-Squad Assignment'!$A:$A,MATCH(C830&amp;"-"&amp;E830&amp;"-"&amp;F830&amp;"-Pos5",'Shooter-Squad Assignment'!$K:$K,0)),""),IF(F830="Trap",IFERROR(INDEX('Shooter-Squad Assignment'!$A:$A,MATCH(C830&amp;"-"&amp;E830&amp;"-"&amp;F830&amp;"-Pos5",'Shooter-Squad Assignment'!$W:$W,0)),""),IF(F830="Sporting Clays",IFERROR(INDEX('Shooter-Squad Assignment'!$A:$A,MATCH(C830&amp;"-"&amp;E830&amp;"-"&amp;F830&amp;"-Pos5",'Shooter-Squad Assignment'!$Z:$Z,0)),""),"")))</f>
        <v/>
      </c>
      <c r="P830" s="79" t="str">
        <f>IF(ISBLANK(O830),"",IFERROR(INDEX('Tournament List'!$D:$D,MATCH(O830,'Tournament List'!$A:$A,0)),""))</f>
        <v/>
      </c>
    </row>
    <row r="831" spans="1:16" x14ac:dyDescent="0.3">
      <c r="A831" s="78">
        <v>830</v>
      </c>
      <c r="B831" s="73" t="str">
        <f>C831&amp;"-"&amp;E831&amp;"-"&amp;F831</f>
        <v>-Open 1-Sporting Clays</v>
      </c>
      <c r="C831" s="73"/>
      <c r="D831" s="73" t="str">
        <f>INDEX('Tournament Setup'!$B$59:$B$78,MATCH(E831,SquadConcurrents,0))</f>
        <v>Open</v>
      </c>
      <c r="E831" s="73" t="s">
        <v>341</v>
      </c>
      <c r="F831" s="73" t="s">
        <v>148</v>
      </c>
      <c r="G831" s="94" t="str">
        <f>IF(F831="Skeet",IFERROR(INDEX('Shooter-Squad Assignment'!$A:$A,MATCH(C831&amp;"-"&amp;E831&amp;"-"&amp;F831&amp;"-Pos1",'Shooter-Squad Assignment'!$K:$K,0)),""),IF(F831="Trap",IFERROR(INDEX('Shooter-Squad Assignment'!$A:$A,MATCH(C831&amp;"-"&amp;E831&amp;"-"&amp;F831&amp;"-Pos1",'Shooter-Squad Assignment'!$W:$W,0)),""),IF(F831="Sporting Clays",IFERROR(INDEX('Shooter-Squad Assignment'!$A:$A,MATCH(C831&amp;"-"&amp;E831&amp;"-"&amp;F831&amp;"-Pos1",'Shooter-Squad Assignment'!$Z:$Z,0)),""),"")))</f>
        <v/>
      </c>
      <c r="H831" s="73" t="str">
        <f>IF(ISBLANK(G831),"",IFERROR(INDEX('Tournament List'!$D:$D,MATCH(G831,'Tournament List'!$A:$A,0)),""))</f>
        <v/>
      </c>
      <c r="I831" s="94" t="str">
        <f>IF(F831="Skeet",IFERROR(INDEX('Shooter-Squad Assignment'!$A:$A,MATCH(C831&amp;"-"&amp;E831&amp;"-"&amp;F831&amp;"-Pos2",'Shooter-Squad Assignment'!$K:$K,0)),""),IF(F831="Trap",IFERROR(INDEX('Shooter-Squad Assignment'!$A:$A,MATCH(C831&amp;"-"&amp;E831&amp;"-"&amp;F831&amp;"-Pos2",'Shooter-Squad Assignment'!$W:$W,0)),""),IF(F831="Sporting Clays",IFERROR(INDEX('Shooter-Squad Assignment'!$A:$A,MATCH(C831&amp;"-"&amp;E831&amp;"-"&amp;F831&amp;"-Pos2",'Shooter-Squad Assignment'!$Z:$Z,0)),""),"")))</f>
        <v/>
      </c>
      <c r="J831" s="73" t="str">
        <f>IF(ISBLANK(I831),"",IFERROR(INDEX('Tournament List'!$D:$D,MATCH(I831,'Tournament List'!$A:$A,0)),""))</f>
        <v/>
      </c>
      <c r="K831" s="94" t="str">
        <f>IF(F831="Skeet",IFERROR(INDEX('Shooter-Squad Assignment'!$A:$A,MATCH(C831&amp;"-"&amp;E831&amp;"-"&amp;F831&amp;"-Pos3",'Shooter-Squad Assignment'!$K:$K,0)),""),IF(F831="Trap",IFERROR(INDEX('Shooter-Squad Assignment'!$A:$A,MATCH(C831&amp;"-"&amp;E831&amp;"-"&amp;F831&amp;"-Pos3",'Shooter-Squad Assignment'!$W:$W,0)),""),IF(F831="Sporting Clays",IFERROR(INDEX('Shooter-Squad Assignment'!$A:$A,MATCH(C831&amp;"-"&amp;E831&amp;"-"&amp;F831&amp;"-Pos3",'Shooter-Squad Assignment'!$Z:$Z,0)),""),"")))</f>
        <v/>
      </c>
      <c r="L831" s="73" t="str">
        <f>IF(ISBLANK(K831),"",IFERROR(INDEX('Tournament List'!$D:$D,MATCH(K831,'Tournament List'!$A:$A,0)),""))</f>
        <v/>
      </c>
      <c r="M831" s="94" t="str">
        <f>IF(F831="Skeet",IFERROR(INDEX('Shooter-Squad Assignment'!$A:$A,MATCH(C831&amp;"-"&amp;E831&amp;"-"&amp;F831&amp;"-Pos4",'Shooter-Squad Assignment'!$K:$K,0)),""),IF(F831="Trap",IFERROR(INDEX('Shooter-Squad Assignment'!$A:$A,MATCH(C831&amp;"-"&amp;E831&amp;"-"&amp;F831&amp;"-Pos4",'Shooter-Squad Assignment'!$W:$W,0)),""),IF(F831="Sporting Clays",IFERROR(INDEX('Shooter-Squad Assignment'!$A:$A,MATCH(C831&amp;"-"&amp;E831&amp;"-"&amp;F831&amp;"-Pos4",'Shooter-Squad Assignment'!$Z:$Z,0)),""),"")))</f>
        <v/>
      </c>
      <c r="N831" s="73" t="str">
        <f>IF(ISBLANK(M831),"",IFERROR(INDEX('Tournament List'!$D:$D,MATCH(M831,'Tournament List'!$A:$A,0)),""))</f>
        <v/>
      </c>
      <c r="O831" s="94" t="str">
        <f>IF(F831="Skeet",IFERROR(INDEX('Shooter-Squad Assignment'!$A:$A,MATCH(C831&amp;"-"&amp;E831&amp;"-"&amp;F831&amp;"-Pos5",'Shooter-Squad Assignment'!$K:$K,0)),""),IF(F831="Trap",IFERROR(INDEX('Shooter-Squad Assignment'!$A:$A,MATCH(C831&amp;"-"&amp;E831&amp;"-"&amp;F831&amp;"-Pos5",'Shooter-Squad Assignment'!$W:$W,0)),""),IF(F831="Sporting Clays",IFERROR(INDEX('Shooter-Squad Assignment'!$A:$A,MATCH(C831&amp;"-"&amp;E831&amp;"-"&amp;F831&amp;"-Pos5",'Shooter-Squad Assignment'!$Z:$Z,0)),""),"")))</f>
        <v/>
      </c>
      <c r="P831" s="79" t="str">
        <f>IF(ISBLANK(O831),"",IFERROR(INDEX('Tournament List'!$D:$D,MATCH(O831,'Tournament List'!$A:$A,0)),""))</f>
        <v/>
      </c>
    </row>
    <row r="832" spans="1:16" x14ac:dyDescent="0.3">
      <c r="A832" s="78">
        <v>831</v>
      </c>
      <c r="B832" s="73" t="str">
        <f>C832&amp;"-"&amp;E832&amp;"-"&amp;F832</f>
        <v>-Open 2-Sporting Clays</v>
      </c>
      <c r="C832" s="73"/>
      <c r="D832" s="73" t="str">
        <f>INDEX('Tournament Setup'!$B$59:$B$78,MATCH(E832,SquadConcurrents,0))</f>
        <v>Open</v>
      </c>
      <c r="E832" s="73" t="s">
        <v>347</v>
      </c>
      <c r="F832" s="73" t="s">
        <v>148</v>
      </c>
      <c r="G832" s="94" t="str">
        <f>IF(F832="Skeet",IFERROR(INDEX('Shooter-Squad Assignment'!$A:$A,MATCH(C832&amp;"-"&amp;E832&amp;"-"&amp;F832&amp;"-Pos1",'Shooter-Squad Assignment'!$K:$K,0)),""),IF(F832="Trap",IFERROR(INDEX('Shooter-Squad Assignment'!$A:$A,MATCH(C832&amp;"-"&amp;E832&amp;"-"&amp;F832&amp;"-Pos1",'Shooter-Squad Assignment'!$W:$W,0)),""),IF(F832="Sporting Clays",IFERROR(INDEX('Shooter-Squad Assignment'!$A:$A,MATCH(C832&amp;"-"&amp;E832&amp;"-"&amp;F832&amp;"-Pos1",'Shooter-Squad Assignment'!$Z:$Z,0)),""),"")))</f>
        <v/>
      </c>
      <c r="H832" s="73" t="str">
        <f>IF(ISBLANK(G832),"",IFERROR(INDEX('Tournament List'!$D:$D,MATCH(G832,'Tournament List'!$A:$A,0)),""))</f>
        <v/>
      </c>
      <c r="I832" s="94" t="str">
        <f>IF(F832="Skeet",IFERROR(INDEX('Shooter-Squad Assignment'!$A:$A,MATCH(C832&amp;"-"&amp;E832&amp;"-"&amp;F832&amp;"-Pos2",'Shooter-Squad Assignment'!$K:$K,0)),""),IF(F832="Trap",IFERROR(INDEX('Shooter-Squad Assignment'!$A:$A,MATCH(C832&amp;"-"&amp;E832&amp;"-"&amp;F832&amp;"-Pos2",'Shooter-Squad Assignment'!$W:$W,0)),""),IF(F832="Sporting Clays",IFERROR(INDEX('Shooter-Squad Assignment'!$A:$A,MATCH(C832&amp;"-"&amp;E832&amp;"-"&amp;F832&amp;"-Pos2",'Shooter-Squad Assignment'!$Z:$Z,0)),""),"")))</f>
        <v/>
      </c>
      <c r="J832" s="73" t="str">
        <f>IF(ISBLANK(I832),"",IFERROR(INDEX('Tournament List'!$D:$D,MATCH(I832,'Tournament List'!$A:$A,0)),""))</f>
        <v/>
      </c>
      <c r="K832" s="94" t="str">
        <f>IF(F832="Skeet",IFERROR(INDEX('Shooter-Squad Assignment'!$A:$A,MATCH(C832&amp;"-"&amp;E832&amp;"-"&amp;F832&amp;"-Pos3",'Shooter-Squad Assignment'!$K:$K,0)),""),IF(F832="Trap",IFERROR(INDEX('Shooter-Squad Assignment'!$A:$A,MATCH(C832&amp;"-"&amp;E832&amp;"-"&amp;F832&amp;"-Pos3",'Shooter-Squad Assignment'!$W:$W,0)),""),IF(F832="Sporting Clays",IFERROR(INDEX('Shooter-Squad Assignment'!$A:$A,MATCH(C832&amp;"-"&amp;E832&amp;"-"&amp;F832&amp;"-Pos3",'Shooter-Squad Assignment'!$Z:$Z,0)),""),"")))</f>
        <v/>
      </c>
      <c r="L832" s="73" t="str">
        <f>IF(ISBLANK(K832),"",IFERROR(INDEX('Tournament List'!$D:$D,MATCH(K832,'Tournament List'!$A:$A,0)),""))</f>
        <v/>
      </c>
      <c r="M832" s="94" t="str">
        <f>IF(F832="Skeet",IFERROR(INDEX('Shooter-Squad Assignment'!$A:$A,MATCH(C832&amp;"-"&amp;E832&amp;"-"&amp;F832&amp;"-Pos4",'Shooter-Squad Assignment'!$K:$K,0)),""),IF(F832="Trap",IFERROR(INDEX('Shooter-Squad Assignment'!$A:$A,MATCH(C832&amp;"-"&amp;E832&amp;"-"&amp;F832&amp;"-Pos4",'Shooter-Squad Assignment'!$W:$W,0)),""),IF(F832="Sporting Clays",IFERROR(INDEX('Shooter-Squad Assignment'!$A:$A,MATCH(C832&amp;"-"&amp;E832&amp;"-"&amp;F832&amp;"-Pos4",'Shooter-Squad Assignment'!$Z:$Z,0)),""),"")))</f>
        <v/>
      </c>
      <c r="N832" s="73" t="str">
        <f>IF(ISBLANK(M832),"",IFERROR(INDEX('Tournament List'!$D:$D,MATCH(M832,'Tournament List'!$A:$A,0)),""))</f>
        <v/>
      </c>
      <c r="O832" s="94" t="str">
        <f>IF(F832="Skeet",IFERROR(INDEX('Shooter-Squad Assignment'!$A:$A,MATCH(C832&amp;"-"&amp;E832&amp;"-"&amp;F832&amp;"-Pos5",'Shooter-Squad Assignment'!$K:$K,0)),""),IF(F832="Trap",IFERROR(INDEX('Shooter-Squad Assignment'!$A:$A,MATCH(C832&amp;"-"&amp;E832&amp;"-"&amp;F832&amp;"-Pos5",'Shooter-Squad Assignment'!$W:$W,0)),""),IF(F832="Sporting Clays",IFERROR(INDEX('Shooter-Squad Assignment'!$A:$A,MATCH(C832&amp;"-"&amp;E832&amp;"-"&amp;F832&amp;"-Pos5",'Shooter-Squad Assignment'!$Z:$Z,0)),""),"")))</f>
        <v/>
      </c>
      <c r="P832" s="79" t="str">
        <f>IF(ISBLANK(O832),"",IFERROR(INDEX('Tournament List'!$D:$D,MATCH(O832,'Tournament List'!$A:$A,0)),""))</f>
        <v/>
      </c>
    </row>
    <row r="833" spans="1:16" x14ac:dyDescent="0.3">
      <c r="A833" s="78">
        <v>832</v>
      </c>
      <c r="B833" s="73" t="str">
        <f>C833&amp;"-"&amp;E833&amp;"-"&amp;F833</f>
        <v>-Open 3-Sporting Clays</v>
      </c>
      <c r="C833" s="73"/>
      <c r="D833" s="73" t="str">
        <f>INDEX('Tournament Setup'!$B$59:$B$78,MATCH(E833,SquadConcurrents,0))</f>
        <v>Open</v>
      </c>
      <c r="E833" s="73" t="s">
        <v>353</v>
      </c>
      <c r="F833" s="73" t="s">
        <v>148</v>
      </c>
      <c r="G833" s="94" t="str">
        <f>IF(F833="Skeet",IFERROR(INDEX('Shooter-Squad Assignment'!$A:$A,MATCH(C833&amp;"-"&amp;E833&amp;"-"&amp;F833&amp;"-Pos1",'Shooter-Squad Assignment'!$K:$K,0)),""),IF(F833="Trap",IFERROR(INDEX('Shooter-Squad Assignment'!$A:$A,MATCH(C833&amp;"-"&amp;E833&amp;"-"&amp;F833&amp;"-Pos1",'Shooter-Squad Assignment'!$W:$W,0)),""),IF(F833="Sporting Clays",IFERROR(INDEX('Shooter-Squad Assignment'!$A:$A,MATCH(C833&amp;"-"&amp;E833&amp;"-"&amp;F833&amp;"-Pos1",'Shooter-Squad Assignment'!$Z:$Z,0)),""),"")))</f>
        <v/>
      </c>
      <c r="H833" s="73" t="str">
        <f>IF(ISBLANK(G833),"",IFERROR(INDEX('Tournament List'!$D:$D,MATCH(G833,'Tournament List'!$A:$A,0)),""))</f>
        <v/>
      </c>
      <c r="I833" s="94" t="str">
        <f>IF(F833="Skeet",IFERROR(INDEX('Shooter-Squad Assignment'!$A:$A,MATCH(C833&amp;"-"&amp;E833&amp;"-"&amp;F833&amp;"-Pos2",'Shooter-Squad Assignment'!$K:$K,0)),""),IF(F833="Trap",IFERROR(INDEX('Shooter-Squad Assignment'!$A:$A,MATCH(C833&amp;"-"&amp;E833&amp;"-"&amp;F833&amp;"-Pos2",'Shooter-Squad Assignment'!$W:$W,0)),""),IF(F833="Sporting Clays",IFERROR(INDEX('Shooter-Squad Assignment'!$A:$A,MATCH(C833&amp;"-"&amp;E833&amp;"-"&amp;F833&amp;"-Pos2",'Shooter-Squad Assignment'!$Z:$Z,0)),""),"")))</f>
        <v/>
      </c>
      <c r="J833" s="73" t="str">
        <f>IF(ISBLANK(I833),"",IFERROR(INDEX('Tournament List'!$D:$D,MATCH(I833,'Tournament List'!$A:$A,0)),""))</f>
        <v/>
      </c>
      <c r="K833" s="94" t="str">
        <f>IF(F833="Skeet",IFERROR(INDEX('Shooter-Squad Assignment'!$A:$A,MATCH(C833&amp;"-"&amp;E833&amp;"-"&amp;F833&amp;"-Pos3",'Shooter-Squad Assignment'!$K:$K,0)),""),IF(F833="Trap",IFERROR(INDEX('Shooter-Squad Assignment'!$A:$A,MATCH(C833&amp;"-"&amp;E833&amp;"-"&amp;F833&amp;"-Pos3",'Shooter-Squad Assignment'!$W:$W,0)),""),IF(F833="Sporting Clays",IFERROR(INDEX('Shooter-Squad Assignment'!$A:$A,MATCH(C833&amp;"-"&amp;E833&amp;"-"&amp;F833&amp;"-Pos3",'Shooter-Squad Assignment'!$Z:$Z,0)),""),"")))</f>
        <v/>
      </c>
      <c r="L833" s="73" t="str">
        <f>IF(ISBLANK(K833),"",IFERROR(INDEX('Tournament List'!$D:$D,MATCH(K833,'Tournament List'!$A:$A,0)),""))</f>
        <v/>
      </c>
      <c r="M833" s="94" t="str">
        <f>IF(F833="Skeet",IFERROR(INDEX('Shooter-Squad Assignment'!$A:$A,MATCH(C833&amp;"-"&amp;E833&amp;"-"&amp;F833&amp;"-Pos4",'Shooter-Squad Assignment'!$K:$K,0)),""),IF(F833="Trap",IFERROR(INDEX('Shooter-Squad Assignment'!$A:$A,MATCH(C833&amp;"-"&amp;E833&amp;"-"&amp;F833&amp;"-Pos4",'Shooter-Squad Assignment'!$W:$W,0)),""),IF(F833="Sporting Clays",IFERROR(INDEX('Shooter-Squad Assignment'!$A:$A,MATCH(C833&amp;"-"&amp;E833&amp;"-"&amp;F833&amp;"-Pos4",'Shooter-Squad Assignment'!$Z:$Z,0)),""),"")))</f>
        <v/>
      </c>
      <c r="N833" s="73" t="str">
        <f>IF(ISBLANK(M833),"",IFERROR(INDEX('Tournament List'!$D:$D,MATCH(M833,'Tournament List'!$A:$A,0)),""))</f>
        <v/>
      </c>
      <c r="O833" s="94" t="str">
        <f>IF(F833="Skeet",IFERROR(INDEX('Shooter-Squad Assignment'!$A:$A,MATCH(C833&amp;"-"&amp;E833&amp;"-"&amp;F833&amp;"-Pos5",'Shooter-Squad Assignment'!$K:$K,0)),""),IF(F833="Trap",IFERROR(INDEX('Shooter-Squad Assignment'!$A:$A,MATCH(C833&amp;"-"&amp;E833&amp;"-"&amp;F833&amp;"-Pos5",'Shooter-Squad Assignment'!$W:$W,0)),""),IF(F833="Sporting Clays",IFERROR(INDEX('Shooter-Squad Assignment'!$A:$A,MATCH(C833&amp;"-"&amp;E833&amp;"-"&amp;F833&amp;"-Pos5",'Shooter-Squad Assignment'!$Z:$Z,0)),""),"")))</f>
        <v/>
      </c>
      <c r="P833" s="79" t="str">
        <f>IF(ISBLANK(O833),"",IFERROR(INDEX('Tournament List'!$D:$D,MATCH(O833,'Tournament List'!$A:$A,0)),""))</f>
        <v/>
      </c>
    </row>
    <row r="834" spans="1:16" x14ac:dyDescent="0.3">
      <c r="A834" s="78">
        <v>833</v>
      </c>
      <c r="B834" s="73" t="str">
        <f>C834&amp;"-"&amp;E834&amp;"-"&amp;F834</f>
        <v>-Unassigned 1-Sporting Clays</v>
      </c>
      <c r="C834" s="73"/>
      <c r="D834" s="73" t="str">
        <f>INDEX('Tournament Setup'!$B$59:$B$78,MATCH(E834,SquadConcurrents,0))</f>
        <v>Unassigned</v>
      </c>
      <c r="E834" s="73" t="s">
        <v>762</v>
      </c>
      <c r="F834" s="73" t="s">
        <v>148</v>
      </c>
      <c r="G834" s="94" t="str">
        <f>IF(F834="Skeet",IFERROR(INDEX('Shooter-Squad Assignment'!$A:$A,MATCH(C834&amp;"-"&amp;E834&amp;"-"&amp;F834&amp;"-Pos1",'Shooter-Squad Assignment'!$K:$K,0)),""),IF(F834="Trap",IFERROR(INDEX('Shooter-Squad Assignment'!$A:$A,MATCH(C834&amp;"-"&amp;E834&amp;"-"&amp;F834&amp;"-Pos1",'Shooter-Squad Assignment'!$W:$W,0)),""),IF(F834="Sporting Clays",IFERROR(INDEX('Shooter-Squad Assignment'!$A:$A,MATCH(C834&amp;"-"&amp;E834&amp;"-"&amp;F834&amp;"-Pos1",'Shooter-Squad Assignment'!$Z:$Z,0)),""),"")))</f>
        <v/>
      </c>
      <c r="H834" s="73" t="str">
        <f>IF(ISBLANK(G834),"",IFERROR(INDEX('Tournament List'!$D:$D,MATCH(G834,'Tournament List'!$A:$A,0)),""))</f>
        <v/>
      </c>
      <c r="I834" s="94" t="str">
        <f>IF(F834="Skeet",IFERROR(INDEX('Shooter-Squad Assignment'!$A:$A,MATCH(C834&amp;"-"&amp;E834&amp;"-"&amp;F834&amp;"-Pos2",'Shooter-Squad Assignment'!$K:$K,0)),""),IF(F834="Trap",IFERROR(INDEX('Shooter-Squad Assignment'!$A:$A,MATCH(C834&amp;"-"&amp;E834&amp;"-"&amp;F834&amp;"-Pos2",'Shooter-Squad Assignment'!$W:$W,0)),""),IF(F834="Sporting Clays",IFERROR(INDEX('Shooter-Squad Assignment'!$A:$A,MATCH(C834&amp;"-"&amp;E834&amp;"-"&amp;F834&amp;"-Pos2",'Shooter-Squad Assignment'!$Z:$Z,0)),""),"")))</f>
        <v/>
      </c>
      <c r="J834" s="73" t="str">
        <f>IF(ISBLANK(I834),"",IFERROR(INDEX('Tournament List'!$D:$D,MATCH(I834,'Tournament List'!$A:$A,0)),""))</f>
        <v/>
      </c>
      <c r="K834" s="94" t="str">
        <f>IF(F834="Skeet",IFERROR(INDEX('Shooter-Squad Assignment'!$A:$A,MATCH(C834&amp;"-"&amp;E834&amp;"-"&amp;F834&amp;"-Pos3",'Shooter-Squad Assignment'!$K:$K,0)),""),IF(F834="Trap",IFERROR(INDEX('Shooter-Squad Assignment'!$A:$A,MATCH(C834&amp;"-"&amp;E834&amp;"-"&amp;F834&amp;"-Pos3",'Shooter-Squad Assignment'!$W:$W,0)),""),IF(F834="Sporting Clays",IFERROR(INDEX('Shooter-Squad Assignment'!$A:$A,MATCH(C834&amp;"-"&amp;E834&amp;"-"&amp;F834&amp;"-Pos3",'Shooter-Squad Assignment'!$Z:$Z,0)),""),"")))</f>
        <v/>
      </c>
      <c r="L834" s="73" t="str">
        <f>IF(ISBLANK(K834),"",IFERROR(INDEX('Tournament List'!$D:$D,MATCH(K834,'Tournament List'!$A:$A,0)),""))</f>
        <v/>
      </c>
      <c r="M834" s="94" t="str">
        <f>IF(F834="Skeet",IFERROR(INDEX('Shooter-Squad Assignment'!$A:$A,MATCH(C834&amp;"-"&amp;E834&amp;"-"&amp;F834&amp;"-Pos4",'Shooter-Squad Assignment'!$K:$K,0)),""),IF(F834="Trap",IFERROR(INDEX('Shooter-Squad Assignment'!$A:$A,MATCH(C834&amp;"-"&amp;E834&amp;"-"&amp;F834&amp;"-Pos4",'Shooter-Squad Assignment'!$W:$W,0)),""),IF(F834="Sporting Clays",IFERROR(INDEX('Shooter-Squad Assignment'!$A:$A,MATCH(C834&amp;"-"&amp;E834&amp;"-"&amp;F834&amp;"-Pos4",'Shooter-Squad Assignment'!$Z:$Z,0)),""),"")))</f>
        <v/>
      </c>
      <c r="N834" s="73" t="str">
        <f>IF(ISBLANK(M834),"",IFERROR(INDEX('Tournament List'!$D:$D,MATCH(M834,'Tournament List'!$A:$A,0)),""))</f>
        <v/>
      </c>
      <c r="O834" s="94" t="str">
        <f>IF(F834="Skeet",IFERROR(INDEX('Shooter-Squad Assignment'!$A:$A,MATCH(C834&amp;"-"&amp;E834&amp;"-"&amp;F834&amp;"-Pos5",'Shooter-Squad Assignment'!$K:$K,0)),""),IF(F834="Trap",IFERROR(INDEX('Shooter-Squad Assignment'!$A:$A,MATCH(C834&amp;"-"&amp;E834&amp;"-"&amp;F834&amp;"-Pos5",'Shooter-Squad Assignment'!$W:$W,0)),""),IF(F834="Sporting Clays",IFERROR(INDEX('Shooter-Squad Assignment'!$A:$A,MATCH(C834&amp;"-"&amp;E834&amp;"-"&amp;F834&amp;"-Pos5",'Shooter-Squad Assignment'!$Z:$Z,0)),""),"")))</f>
        <v/>
      </c>
      <c r="P834" s="79" t="str">
        <f>IF(ISBLANK(O834),"",IFERROR(INDEX('Tournament List'!$D:$D,MATCH(O834,'Tournament List'!$A:$A,0)),""))</f>
        <v/>
      </c>
    </row>
    <row r="835" spans="1:16" x14ac:dyDescent="0.3">
      <c r="A835" s="78">
        <v>834</v>
      </c>
      <c r="B835" s="73" t="str">
        <f>C835&amp;"-"&amp;E835&amp;"-"&amp;F835</f>
        <v>-Varsity 1-Sporting Clays</v>
      </c>
      <c r="C835" s="73"/>
      <c r="D835" s="73" t="str">
        <f>INDEX('Tournament Setup'!$B$59:$B$78,MATCH(E835,SquadConcurrents,0))</f>
        <v>Varsity</v>
      </c>
      <c r="E835" s="73" t="s">
        <v>340</v>
      </c>
      <c r="F835" s="73" t="s">
        <v>148</v>
      </c>
      <c r="G835" s="94" t="str">
        <f>IF(F835="Skeet",IFERROR(INDEX('Shooter-Squad Assignment'!$A:$A,MATCH(C835&amp;"-"&amp;E835&amp;"-"&amp;F835&amp;"-Pos1",'Shooter-Squad Assignment'!$K:$K,0)),""),IF(F835="Trap",IFERROR(INDEX('Shooter-Squad Assignment'!$A:$A,MATCH(C835&amp;"-"&amp;E835&amp;"-"&amp;F835&amp;"-Pos1",'Shooter-Squad Assignment'!$W:$W,0)),""),IF(F835="Sporting Clays",IFERROR(INDEX('Shooter-Squad Assignment'!$A:$A,MATCH(C835&amp;"-"&amp;E835&amp;"-"&amp;F835&amp;"-Pos1",'Shooter-Squad Assignment'!$Z:$Z,0)),""),"")))</f>
        <v/>
      </c>
      <c r="H835" s="73" t="str">
        <f>IF(ISBLANK(G835),"",IFERROR(INDEX('Tournament List'!$D:$D,MATCH(G835,'Tournament List'!$A:$A,0)),""))</f>
        <v/>
      </c>
      <c r="I835" s="94" t="str">
        <f>IF(F835="Skeet",IFERROR(INDEX('Shooter-Squad Assignment'!$A:$A,MATCH(C835&amp;"-"&amp;E835&amp;"-"&amp;F835&amp;"-Pos2",'Shooter-Squad Assignment'!$K:$K,0)),""),IF(F835="Trap",IFERROR(INDEX('Shooter-Squad Assignment'!$A:$A,MATCH(C835&amp;"-"&amp;E835&amp;"-"&amp;F835&amp;"-Pos2",'Shooter-Squad Assignment'!$W:$W,0)),""),IF(F835="Sporting Clays",IFERROR(INDEX('Shooter-Squad Assignment'!$A:$A,MATCH(C835&amp;"-"&amp;E835&amp;"-"&amp;F835&amp;"-Pos2",'Shooter-Squad Assignment'!$Z:$Z,0)),""),"")))</f>
        <v/>
      </c>
      <c r="J835" s="73" t="str">
        <f>IF(ISBLANK(I835),"",IFERROR(INDEX('Tournament List'!$D:$D,MATCH(I835,'Tournament List'!$A:$A,0)),""))</f>
        <v/>
      </c>
      <c r="K835" s="94" t="str">
        <f>IF(F835="Skeet",IFERROR(INDEX('Shooter-Squad Assignment'!$A:$A,MATCH(C835&amp;"-"&amp;E835&amp;"-"&amp;F835&amp;"-Pos3",'Shooter-Squad Assignment'!$K:$K,0)),""),IF(F835="Trap",IFERROR(INDEX('Shooter-Squad Assignment'!$A:$A,MATCH(C835&amp;"-"&amp;E835&amp;"-"&amp;F835&amp;"-Pos3",'Shooter-Squad Assignment'!$W:$W,0)),""),IF(F835="Sporting Clays",IFERROR(INDEX('Shooter-Squad Assignment'!$A:$A,MATCH(C835&amp;"-"&amp;E835&amp;"-"&amp;F835&amp;"-Pos3",'Shooter-Squad Assignment'!$Z:$Z,0)),""),"")))</f>
        <v/>
      </c>
      <c r="L835" s="73" t="str">
        <f>IF(ISBLANK(K835),"",IFERROR(INDEX('Tournament List'!$D:$D,MATCH(K835,'Tournament List'!$A:$A,0)),""))</f>
        <v/>
      </c>
      <c r="M835" s="94" t="str">
        <f>IF(F835="Skeet",IFERROR(INDEX('Shooter-Squad Assignment'!$A:$A,MATCH(C835&amp;"-"&amp;E835&amp;"-"&amp;F835&amp;"-Pos4",'Shooter-Squad Assignment'!$K:$K,0)),""),IF(F835="Trap",IFERROR(INDEX('Shooter-Squad Assignment'!$A:$A,MATCH(C835&amp;"-"&amp;E835&amp;"-"&amp;F835&amp;"-Pos4",'Shooter-Squad Assignment'!$W:$W,0)),""),IF(F835="Sporting Clays",IFERROR(INDEX('Shooter-Squad Assignment'!$A:$A,MATCH(C835&amp;"-"&amp;E835&amp;"-"&amp;F835&amp;"-Pos4",'Shooter-Squad Assignment'!$Z:$Z,0)),""),"")))</f>
        <v/>
      </c>
      <c r="N835" s="73" t="str">
        <f>IF(ISBLANK(M835),"",IFERROR(INDEX('Tournament List'!$D:$D,MATCH(M835,'Tournament List'!$A:$A,0)),""))</f>
        <v/>
      </c>
      <c r="O835" s="94" t="str">
        <f>IF(F835="Skeet",IFERROR(INDEX('Shooter-Squad Assignment'!$A:$A,MATCH(C835&amp;"-"&amp;E835&amp;"-"&amp;F835&amp;"-Pos5",'Shooter-Squad Assignment'!$K:$K,0)),""),IF(F835="Trap",IFERROR(INDEX('Shooter-Squad Assignment'!$A:$A,MATCH(C835&amp;"-"&amp;E835&amp;"-"&amp;F835&amp;"-Pos5",'Shooter-Squad Assignment'!$W:$W,0)),""),IF(F835="Sporting Clays",IFERROR(INDEX('Shooter-Squad Assignment'!$A:$A,MATCH(C835&amp;"-"&amp;E835&amp;"-"&amp;F835&amp;"-Pos5",'Shooter-Squad Assignment'!$Z:$Z,0)),""),"")))</f>
        <v/>
      </c>
      <c r="P835" s="79" t="str">
        <f>IF(ISBLANK(O835),"",IFERROR(INDEX('Tournament List'!$D:$D,MATCH(O835,'Tournament List'!$A:$A,0)),""))</f>
        <v/>
      </c>
    </row>
    <row r="836" spans="1:16" x14ac:dyDescent="0.3">
      <c r="A836" s="78">
        <v>835</v>
      </c>
      <c r="B836" s="73" t="str">
        <f>C836&amp;"-"&amp;E836&amp;"-"&amp;F836</f>
        <v>-Varsity 2-Sporting Clays</v>
      </c>
      <c r="C836" s="73"/>
      <c r="D836" s="73" t="str">
        <f>INDEX('Tournament Setup'!$B$59:$B$78,MATCH(E836,SquadConcurrents,0))</f>
        <v>Varsity</v>
      </c>
      <c r="E836" s="73" t="s">
        <v>346</v>
      </c>
      <c r="F836" s="73" t="s">
        <v>148</v>
      </c>
      <c r="G836" s="94" t="str">
        <f>IF(F836="Skeet",IFERROR(INDEX('Shooter-Squad Assignment'!$A:$A,MATCH(C836&amp;"-"&amp;E836&amp;"-"&amp;F836&amp;"-Pos1",'Shooter-Squad Assignment'!$K:$K,0)),""),IF(F836="Trap",IFERROR(INDEX('Shooter-Squad Assignment'!$A:$A,MATCH(C836&amp;"-"&amp;E836&amp;"-"&amp;F836&amp;"-Pos1",'Shooter-Squad Assignment'!$W:$W,0)),""),IF(F836="Sporting Clays",IFERROR(INDEX('Shooter-Squad Assignment'!$A:$A,MATCH(C836&amp;"-"&amp;E836&amp;"-"&amp;F836&amp;"-Pos1",'Shooter-Squad Assignment'!$Z:$Z,0)),""),"")))</f>
        <v/>
      </c>
      <c r="H836" s="73" t="str">
        <f>IF(ISBLANK(G836),"",IFERROR(INDEX('Tournament List'!$D:$D,MATCH(G836,'Tournament List'!$A:$A,0)),""))</f>
        <v/>
      </c>
      <c r="I836" s="94" t="str">
        <f>IF(F836="Skeet",IFERROR(INDEX('Shooter-Squad Assignment'!$A:$A,MATCH(C836&amp;"-"&amp;E836&amp;"-"&amp;F836&amp;"-Pos2",'Shooter-Squad Assignment'!$K:$K,0)),""),IF(F836="Trap",IFERROR(INDEX('Shooter-Squad Assignment'!$A:$A,MATCH(C836&amp;"-"&amp;E836&amp;"-"&amp;F836&amp;"-Pos2",'Shooter-Squad Assignment'!$W:$W,0)),""),IF(F836="Sporting Clays",IFERROR(INDEX('Shooter-Squad Assignment'!$A:$A,MATCH(C836&amp;"-"&amp;E836&amp;"-"&amp;F836&amp;"-Pos2",'Shooter-Squad Assignment'!$Z:$Z,0)),""),"")))</f>
        <v/>
      </c>
      <c r="J836" s="73" t="str">
        <f>IF(ISBLANK(I836),"",IFERROR(INDEX('Tournament List'!$D:$D,MATCH(I836,'Tournament List'!$A:$A,0)),""))</f>
        <v/>
      </c>
      <c r="K836" s="94" t="str">
        <f>IF(F836="Skeet",IFERROR(INDEX('Shooter-Squad Assignment'!$A:$A,MATCH(C836&amp;"-"&amp;E836&amp;"-"&amp;F836&amp;"-Pos3",'Shooter-Squad Assignment'!$K:$K,0)),""),IF(F836="Trap",IFERROR(INDEX('Shooter-Squad Assignment'!$A:$A,MATCH(C836&amp;"-"&amp;E836&amp;"-"&amp;F836&amp;"-Pos3",'Shooter-Squad Assignment'!$W:$W,0)),""),IF(F836="Sporting Clays",IFERROR(INDEX('Shooter-Squad Assignment'!$A:$A,MATCH(C836&amp;"-"&amp;E836&amp;"-"&amp;F836&amp;"-Pos3",'Shooter-Squad Assignment'!$Z:$Z,0)),""),"")))</f>
        <v/>
      </c>
      <c r="L836" s="73" t="str">
        <f>IF(ISBLANK(K836),"",IFERROR(INDEX('Tournament List'!$D:$D,MATCH(K836,'Tournament List'!$A:$A,0)),""))</f>
        <v/>
      </c>
      <c r="M836" s="94" t="str">
        <f>IF(F836="Skeet",IFERROR(INDEX('Shooter-Squad Assignment'!$A:$A,MATCH(C836&amp;"-"&amp;E836&amp;"-"&amp;F836&amp;"-Pos4",'Shooter-Squad Assignment'!$K:$K,0)),""),IF(F836="Trap",IFERROR(INDEX('Shooter-Squad Assignment'!$A:$A,MATCH(C836&amp;"-"&amp;E836&amp;"-"&amp;F836&amp;"-Pos4",'Shooter-Squad Assignment'!$W:$W,0)),""),IF(F836="Sporting Clays",IFERROR(INDEX('Shooter-Squad Assignment'!$A:$A,MATCH(C836&amp;"-"&amp;E836&amp;"-"&amp;F836&amp;"-Pos4",'Shooter-Squad Assignment'!$Z:$Z,0)),""),"")))</f>
        <v/>
      </c>
      <c r="N836" s="73" t="str">
        <f>IF(ISBLANK(M836),"",IFERROR(INDEX('Tournament List'!$D:$D,MATCH(M836,'Tournament List'!$A:$A,0)),""))</f>
        <v/>
      </c>
      <c r="O836" s="94" t="str">
        <f>IF(F836="Skeet",IFERROR(INDEX('Shooter-Squad Assignment'!$A:$A,MATCH(C836&amp;"-"&amp;E836&amp;"-"&amp;F836&amp;"-Pos5",'Shooter-Squad Assignment'!$K:$K,0)),""),IF(F836="Trap",IFERROR(INDEX('Shooter-Squad Assignment'!$A:$A,MATCH(C836&amp;"-"&amp;E836&amp;"-"&amp;F836&amp;"-Pos5",'Shooter-Squad Assignment'!$W:$W,0)),""),IF(F836="Sporting Clays",IFERROR(INDEX('Shooter-Squad Assignment'!$A:$A,MATCH(C836&amp;"-"&amp;E836&amp;"-"&amp;F836&amp;"-Pos5",'Shooter-Squad Assignment'!$Z:$Z,0)),""),"")))</f>
        <v/>
      </c>
      <c r="P836" s="79" t="str">
        <f>IF(ISBLANK(O836),"",IFERROR(INDEX('Tournament List'!$D:$D,MATCH(O836,'Tournament List'!$A:$A,0)),""))</f>
        <v/>
      </c>
    </row>
    <row r="837" spans="1:16" x14ac:dyDescent="0.3">
      <c r="A837" s="78">
        <v>836</v>
      </c>
      <c r="B837" s="73" t="str">
        <f>C837&amp;"-"&amp;E837&amp;"-"&amp;F837</f>
        <v>-Varsity 3-Sporting Clays</v>
      </c>
      <c r="C837" s="73"/>
      <c r="D837" s="73" t="str">
        <f>INDEX('Tournament Setup'!$B$59:$B$78,MATCH(E837,SquadConcurrents,0))</f>
        <v>Varsity</v>
      </c>
      <c r="E837" s="73" t="s">
        <v>352</v>
      </c>
      <c r="F837" s="73" t="s">
        <v>148</v>
      </c>
      <c r="G837" s="94" t="str">
        <f>IF(F837="Skeet",IFERROR(INDEX('Shooter-Squad Assignment'!$A:$A,MATCH(C837&amp;"-"&amp;E837&amp;"-"&amp;F837&amp;"-Pos1",'Shooter-Squad Assignment'!$K:$K,0)),""),IF(F837="Trap",IFERROR(INDEX('Shooter-Squad Assignment'!$A:$A,MATCH(C837&amp;"-"&amp;E837&amp;"-"&amp;F837&amp;"-Pos1",'Shooter-Squad Assignment'!$W:$W,0)),""),IF(F837="Sporting Clays",IFERROR(INDEX('Shooter-Squad Assignment'!$A:$A,MATCH(C837&amp;"-"&amp;E837&amp;"-"&amp;F837&amp;"-Pos1",'Shooter-Squad Assignment'!$Z:$Z,0)),""),"")))</f>
        <v/>
      </c>
      <c r="H837" s="73" t="str">
        <f>IF(ISBLANK(G837),"",IFERROR(INDEX('Tournament List'!$D:$D,MATCH(G837,'Tournament List'!$A:$A,0)),""))</f>
        <v/>
      </c>
      <c r="I837" s="94" t="str">
        <f>IF(F837="Skeet",IFERROR(INDEX('Shooter-Squad Assignment'!$A:$A,MATCH(C837&amp;"-"&amp;E837&amp;"-"&amp;F837&amp;"-Pos2",'Shooter-Squad Assignment'!$K:$K,0)),""),IF(F837="Trap",IFERROR(INDEX('Shooter-Squad Assignment'!$A:$A,MATCH(C837&amp;"-"&amp;E837&amp;"-"&amp;F837&amp;"-Pos2",'Shooter-Squad Assignment'!$W:$W,0)),""),IF(F837="Sporting Clays",IFERROR(INDEX('Shooter-Squad Assignment'!$A:$A,MATCH(C837&amp;"-"&amp;E837&amp;"-"&amp;F837&amp;"-Pos2",'Shooter-Squad Assignment'!$Z:$Z,0)),""),"")))</f>
        <v/>
      </c>
      <c r="J837" s="73" t="str">
        <f>IF(ISBLANK(I837),"",IFERROR(INDEX('Tournament List'!$D:$D,MATCH(I837,'Tournament List'!$A:$A,0)),""))</f>
        <v/>
      </c>
      <c r="K837" s="94" t="str">
        <f>IF(F837="Skeet",IFERROR(INDEX('Shooter-Squad Assignment'!$A:$A,MATCH(C837&amp;"-"&amp;E837&amp;"-"&amp;F837&amp;"-Pos3",'Shooter-Squad Assignment'!$K:$K,0)),""),IF(F837="Trap",IFERROR(INDEX('Shooter-Squad Assignment'!$A:$A,MATCH(C837&amp;"-"&amp;E837&amp;"-"&amp;F837&amp;"-Pos3",'Shooter-Squad Assignment'!$W:$W,0)),""),IF(F837="Sporting Clays",IFERROR(INDEX('Shooter-Squad Assignment'!$A:$A,MATCH(C837&amp;"-"&amp;E837&amp;"-"&amp;F837&amp;"-Pos3",'Shooter-Squad Assignment'!$Z:$Z,0)),""),"")))</f>
        <v/>
      </c>
      <c r="L837" s="73" t="str">
        <f>IF(ISBLANK(K837),"",IFERROR(INDEX('Tournament List'!$D:$D,MATCH(K837,'Tournament List'!$A:$A,0)),""))</f>
        <v/>
      </c>
      <c r="M837" s="94" t="str">
        <f>IF(F837="Skeet",IFERROR(INDEX('Shooter-Squad Assignment'!$A:$A,MATCH(C837&amp;"-"&amp;E837&amp;"-"&amp;F837&amp;"-Pos4",'Shooter-Squad Assignment'!$K:$K,0)),""),IF(F837="Trap",IFERROR(INDEX('Shooter-Squad Assignment'!$A:$A,MATCH(C837&amp;"-"&amp;E837&amp;"-"&amp;F837&amp;"-Pos4",'Shooter-Squad Assignment'!$W:$W,0)),""),IF(F837="Sporting Clays",IFERROR(INDEX('Shooter-Squad Assignment'!$A:$A,MATCH(C837&amp;"-"&amp;E837&amp;"-"&amp;F837&amp;"-Pos4",'Shooter-Squad Assignment'!$Z:$Z,0)),""),"")))</f>
        <v/>
      </c>
      <c r="N837" s="73" t="str">
        <f>IF(ISBLANK(M837),"",IFERROR(INDEX('Tournament List'!$D:$D,MATCH(M837,'Tournament List'!$A:$A,0)),""))</f>
        <v/>
      </c>
      <c r="O837" s="94" t="str">
        <f>IF(F837="Skeet",IFERROR(INDEX('Shooter-Squad Assignment'!$A:$A,MATCH(C837&amp;"-"&amp;E837&amp;"-"&amp;F837&amp;"-Pos5",'Shooter-Squad Assignment'!$K:$K,0)),""),IF(F837="Trap",IFERROR(INDEX('Shooter-Squad Assignment'!$A:$A,MATCH(C837&amp;"-"&amp;E837&amp;"-"&amp;F837&amp;"-Pos5",'Shooter-Squad Assignment'!$W:$W,0)),""),IF(F837="Sporting Clays",IFERROR(INDEX('Shooter-Squad Assignment'!$A:$A,MATCH(C837&amp;"-"&amp;E837&amp;"-"&amp;F837&amp;"-Pos5",'Shooter-Squad Assignment'!$Z:$Z,0)),""),"")))</f>
        <v/>
      </c>
      <c r="P837" s="79" t="str">
        <f>IF(ISBLANK(O837),"",IFERROR(INDEX('Tournament List'!$D:$D,MATCH(O837,'Tournament List'!$A:$A,0)),""))</f>
        <v/>
      </c>
    </row>
    <row r="838" spans="1:16" x14ac:dyDescent="0.3">
      <c r="A838" s="78">
        <v>837</v>
      </c>
      <c r="B838" s="73" t="str">
        <f>C838&amp;"-"&amp;E838&amp;"-"&amp;F838</f>
        <v>-Collegiate 1-Trap</v>
      </c>
      <c r="C838" s="73"/>
      <c r="D838" s="73" t="str">
        <f>INDEX('Tournament Setup'!$B$59:$B$78,MATCH(E838,SquadConcurrents,0))</f>
        <v>Collegiate</v>
      </c>
      <c r="E838" s="73" t="s">
        <v>342</v>
      </c>
      <c r="F838" s="73" t="s">
        <v>147</v>
      </c>
      <c r="G838" s="94" t="str">
        <f>IF(F838="Skeet",IFERROR(INDEX('Shooter-Squad Assignment'!$A:$A,MATCH(C838&amp;"-"&amp;E838&amp;"-"&amp;F838&amp;"-Pos1",'Shooter-Squad Assignment'!$K:$K,0)),""),IF(F838="Trap",IFERROR(INDEX('Shooter-Squad Assignment'!$A:$A,MATCH(C838&amp;"-"&amp;E838&amp;"-"&amp;F838&amp;"-Pos1",'Shooter-Squad Assignment'!$W:$W,0)),""),IF(F838="Sporting Clays",IFERROR(INDEX('Shooter-Squad Assignment'!$A:$A,MATCH(C838&amp;"-"&amp;E838&amp;"-"&amp;F838&amp;"-Pos1",'Shooter-Squad Assignment'!$Z:$Z,0)),""),"")))</f>
        <v/>
      </c>
      <c r="H838" s="73" t="str">
        <f>IF(ISBLANK(G838),"",IFERROR(INDEX('Tournament List'!$D:$D,MATCH(G838,'Tournament List'!$A:$A,0)),""))</f>
        <v/>
      </c>
      <c r="I838" s="94" t="str">
        <f>IF(F838="Skeet",IFERROR(INDEX('Shooter-Squad Assignment'!$A:$A,MATCH(C838&amp;"-"&amp;E838&amp;"-"&amp;F838&amp;"-Pos2",'Shooter-Squad Assignment'!$K:$K,0)),""),IF(F838="Trap",IFERROR(INDEX('Shooter-Squad Assignment'!$A:$A,MATCH(C838&amp;"-"&amp;E838&amp;"-"&amp;F838&amp;"-Pos2",'Shooter-Squad Assignment'!$W:$W,0)),""),IF(F838="Sporting Clays",IFERROR(INDEX('Shooter-Squad Assignment'!$A:$A,MATCH(C838&amp;"-"&amp;E838&amp;"-"&amp;F838&amp;"-Pos2",'Shooter-Squad Assignment'!$Z:$Z,0)),""),"")))</f>
        <v/>
      </c>
      <c r="J838" s="73" t="str">
        <f>IF(ISBLANK(I838),"",IFERROR(INDEX('Tournament List'!$D:$D,MATCH(I838,'Tournament List'!$A:$A,0)),""))</f>
        <v/>
      </c>
      <c r="K838" s="94" t="str">
        <f>IF(F838="Skeet",IFERROR(INDEX('Shooter-Squad Assignment'!$A:$A,MATCH(C838&amp;"-"&amp;E838&amp;"-"&amp;F838&amp;"-Pos3",'Shooter-Squad Assignment'!$K:$K,0)),""),IF(F838="Trap",IFERROR(INDEX('Shooter-Squad Assignment'!$A:$A,MATCH(C838&amp;"-"&amp;E838&amp;"-"&amp;F838&amp;"-Pos3",'Shooter-Squad Assignment'!$W:$W,0)),""),IF(F838="Sporting Clays",IFERROR(INDEX('Shooter-Squad Assignment'!$A:$A,MATCH(C838&amp;"-"&amp;E838&amp;"-"&amp;F838&amp;"-Pos3",'Shooter-Squad Assignment'!$Z:$Z,0)),""),"")))</f>
        <v/>
      </c>
      <c r="L838" s="73" t="str">
        <f>IF(ISBLANK(K838),"",IFERROR(INDEX('Tournament List'!$D:$D,MATCH(K838,'Tournament List'!$A:$A,0)),""))</f>
        <v/>
      </c>
      <c r="M838" s="94" t="str">
        <f>IF(F838="Skeet",IFERROR(INDEX('Shooter-Squad Assignment'!$A:$A,MATCH(C838&amp;"-"&amp;E838&amp;"-"&amp;F838&amp;"-Pos4",'Shooter-Squad Assignment'!$K:$K,0)),""),IF(F838="Trap",IFERROR(INDEX('Shooter-Squad Assignment'!$A:$A,MATCH(C838&amp;"-"&amp;E838&amp;"-"&amp;F838&amp;"-Pos4",'Shooter-Squad Assignment'!$W:$W,0)),""),IF(F838="Sporting Clays",IFERROR(INDEX('Shooter-Squad Assignment'!$A:$A,MATCH(C838&amp;"-"&amp;E838&amp;"-"&amp;F838&amp;"-Pos4",'Shooter-Squad Assignment'!$Z:$Z,0)),""),"")))</f>
        <v/>
      </c>
      <c r="N838" s="73" t="str">
        <f>IF(ISBLANK(M838),"",IFERROR(INDEX('Tournament List'!$D:$D,MATCH(M838,'Tournament List'!$A:$A,0)),""))</f>
        <v/>
      </c>
      <c r="O838" s="94" t="str">
        <f>IF(F838="Skeet",IFERROR(INDEX('Shooter-Squad Assignment'!$A:$A,MATCH(C838&amp;"-"&amp;E838&amp;"-"&amp;F838&amp;"-Pos5",'Shooter-Squad Assignment'!$K:$K,0)),""),IF(F838="Trap",IFERROR(INDEX('Shooter-Squad Assignment'!$A:$A,MATCH(C838&amp;"-"&amp;E838&amp;"-"&amp;F838&amp;"-Pos5",'Shooter-Squad Assignment'!$W:$W,0)),""),IF(F838="Sporting Clays",IFERROR(INDEX('Shooter-Squad Assignment'!$A:$A,MATCH(C838&amp;"-"&amp;E838&amp;"-"&amp;F838&amp;"-Pos5",'Shooter-Squad Assignment'!$Z:$Z,0)),""),"")))</f>
        <v/>
      </c>
      <c r="P838" s="79" t="str">
        <f>IF(ISBLANK(O838),"",IFERROR(INDEX('Tournament List'!$D:$D,MATCH(O838,'Tournament List'!$A:$A,0)),""))</f>
        <v/>
      </c>
    </row>
    <row r="839" spans="1:16" x14ac:dyDescent="0.3">
      <c r="A839" s="78">
        <v>838</v>
      </c>
      <c r="B839" s="73" t="str">
        <f>C839&amp;"-"&amp;E839&amp;"-"&amp;F839</f>
        <v>-Collegiate 2-Trap</v>
      </c>
      <c r="C839" s="73"/>
      <c r="D839" s="73" t="str">
        <f>INDEX('Tournament Setup'!$B$59:$B$78,MATCH(E839,SquadConcurrents,0))</f>
        <v>Collegiate</v>
      </c>
      <c r="E839" s="73" t="s">
        <v>348</v>
      </c>
      <c r="F839" s="73" t="s">
        <v>147</v>
      </c>
      <c r="G839" s="94" t="str">
        <f>IF(F839="Skeet",IFERROR(INDEX('Shooter-Squad Assignment'!$A:$A,MATCH(C839&amp;"-"&amp;E839&amp;"-"&amp;F839&amp;"-Pos1",'Shooter-Squad Assignment'!$K:$K,0)),""),IF(F839="Trap",IFERROR(INDEX('Shooter-Squad Assignment'!$A:$A,MATCH(C839&amp;"-"&amp;E839&amp;"-"&amp;F839&amp;"-Pos1",'Shooter-Squad Assignment'!$W:$W,0)),""),IF(F839="Sporting Clays",IFERROR(INDEX('Shooter-Squad Assignment'!$A:$A,MATCH(C839&amp;"-"&amp;E839&amp;"-"&amp;F839&amp;"-Pos1",'Shooter-Squad Assignment'!$Z:$Z,0)),""),"")))</f>
        <v/>
      </c>
      <c r="H839" s="73" t="str">
        <f>IF(ISBLANK(G839),"",IFERROR(INDEX('Tournament List'!$D:$D,MATCH(G839,'Tournament List'!$A:$A,0)),""))</f>
        <v/>
      </c>
      <c r="I839" s="94" t="str">
        <f>IF(F839="Skeet",IFERROR(INDEX('Shooter-Squad Assignment'!$A:$A,MATCH(C839&amp;"-"&amp;E839&amp;"-"&amp;F839&amp;"-Pos2",'Shooter-Squad Assignment'!$K:$K,0)),""),IF(F839="Trap",IFERROR(INDEX('Shooter-Squad Assignment'!$A:$A,MATCH(C839&amp;"-"&amp;E839&amp;"-"&amp;F839&amp;"-Pos2",'Shooter-Squad Assignment'!$W:$W,0)),""),IF(F839="Sporting Clays",IFERROR(INDEX('Shooter-Squad Assignment'!$A:$A,MATCH(C839&amp;"-"&amp;E839&amp;"-"&amp;F839&amp;"-Pos2",'Shooter-Squad Assignment'!$Z:$Z,0)),""),"")))</f>
        <v/>
      </c>
      <c r="J839" s="73" t="str">
        <f>IF(ISBLANK(I839),"",IFERROR(INDEX('Tournament List'!$D:$D,MATCH(I839,'Tournament List'!$A:$A,0)),""))</f>
        <v/>
      </c>
      <c r="K839" s="94" t="str">
        <f>IF(F839="Skeet",IFERROR(INDEX('Shooter-Squad Assignment'!$A:$A,MATCH(C839&amp;"-"&amp;E839&amp;"-"&amp;F839&amp;"-Pos3",'Shooter-Squad Assignment'!$K:$K,0)),""),IF(F839="Trap",IFERROR(INDEX('Shooter-Squad Assignment'!$A:$A,MATCH(C839&amp;"-"&amp;E839&amp;"-"&amp;F839&amp;"-Pos3",'Shooter-Squad Assignment'!$W:$W,0)),""),IF(F839="Sporting Clays",IFERROR(INDEX('Shooter-Squad Assignment'!$A:$A,MATCH(C839&amp;"-"&amp;E839&amp;"-"&amp;F839&amp;"-Pos3",'Shooter-Squad Assignment'!$Z:$Z,0)),""),"")))</f>
        <v/>
      </c>
      <c r="L839" s="73" t="str">
        <f>IF(ISBLANK(K839),"",IFERROR(INDEX('Tournament List'!$D:$D,MATCH(K839,'Tournament List'!$A:$A,0)),""))</f>
        <v/>
      </c>
      <c r="M839" s="94" t="str">
        <f>IF(F839="Skeet",IFERROR(INDEX('Shooter-Squad Assignment'!$A:$A,MATCH(C839&amp;"-"&amp;E839&amp;"-"&amp;F839&amp;"-Pos4",'Shooter-Squad Assignment'!$K:$K,0)),""),IF(F839="Trap",IFERROR(INDEX('Shooter-Squad Assignment'!$A:$A,MATCH(C839&amp;"-"&amp;E839&amp;"-"&amp;F839&amp;"-Pos4",'Shooter-Squad Assignment'!$W:$W,0)),""),IF(F839="Sporting Clays",IFERROR(INDEX('Shooter-Squad Assignment'!$A:$A,MATCH(C839&amp;"-"&amp;E839&amp;"-"&amp;F839&amp;"-Pos4",'Shooter-Squad Assignment'!$Z:$Z,0)),""),"")))</f>
        <v/>
      </c>
      <c r="N839" s="73" t="str">
        <f>IF(ISBLANK(M839),"",IFERROR(INDEX('Tournament List'!$D:$D,MATCH(M839,'Tournament List'!$A:$A,0)),""))</f>
        <v/>
      </c>
      <c r="O839" s="94" t="str">
        <f>IF(F839="Skeet",IFERROR(INDEX('Shooter-Squad Assignment'!$A:$A,MATCH(C839&amp;"-"&amp;E839&amp;"-"&amp;F839&amp;"-Pos5",'Shooter-Squad Assignment'!$K:$K,0)),""),IF(F839="Trap",IFERROR(INDEX('Shooter-Squad Assignment'!$A:$A,MATCH(C839&amp;"-"&amp;E839&amp;"-"&amp;F839&amp;"-Pos5",'Shooter-Squad Assignment'!$W:$W,0)),""),IF(F839="Sporting Clays",IFERROR(INDEX('Shooter-Squad Assignment'!$A:$A,MATCH(C839&amp;"-"&amp;E839&amp;"-"&amp;F839&amp;"-Pos5",'Shooter-Squad Assignment'!$Z:$Z,0)),""),"")))</f>
        <v/>
      </c>
      <c r="P839" s="79" t="str">
        <f>IF(ISBLANK(O839),"",IFERROR(INDEX('Tournament List'!$D:$D,MATCH(O839,'Tournament List'!$A:$A,0)),""))</f>
        <v/>
      </c>
    </row>
    <row r="840" spans="1:16" x14ac:dyDescent="0.3">
      <c r="A840" s="78">
        <v>839</v>
      </c>
      <c r="B840" s="73" t="str">
        <f>C840&amp;"-"&amp;E840&amp;"-"&amp;F840</f>
        <v>-Collegiate 3-Trap</v>
      </c>
      <c r="C840" s="73"/>
      <c r="D840" s="73" t="str">
        <f>INDEX('Tournament Setup'!$B$59:$B$78,MATCH(E840,SquadConcurrents,0))</f>
        <v>Collegiate</v>
      </c>
      <c r="E840" s="73" t="s">
        <v>354</v>
      </c>
      <c r="F840" s="73" t="s">
        <v>147</v>
      </c>
      <c r="G840" s="94" t="str">
        <f>IF(F840="Skeet",IFERROR(INDEX('Shooter-Squad Assignment'!$A:$A,MATCH(C840&amp;"-"&amp;E840&amp;"-"&amp;F840&amp;"-Pos1",'Shooter-Squad Assignment'!$K:$K,0)),""),IF(F840="Trap",IFERROR(INDEX('Shooter-Squad Assignment'!$A:$A,MATCH(C840&amp;"-"&amp;E840&amp;"-"&amp;F840&amp;"-Pos1",'Shooter-Squad Assignment'!$W:$W,0)),""),IF(F840="Sporting Clays",IFERROR(INDEX('Shooter-Squad Assignment'!$A:$A,MATCH(C840&amp;"-"&amp;E840&amp;"-"&amp;F840&amp;"-Pos1",'Shooter-Squad Assignment'!$Z:$Z,0)),""),"")))</f>
        <v/>
      </c>
      <c r="H840" s="73" t="str">
        <f>IF(ISBLANK(G840),"",IFERROR(INDEX('Tournament List'!$D:$D,MATCH(G840,'Tournament List'!$A:$A,0)),""))</f>
        <v/>
      </c>
      <c r="I840" s="94" t="str">
        <f>IF(F840="Skeet",IFERROR(INDEX('Shooter-Squad Assignment'!$A:$A,MATCH(C840&amp;"-"&amp;E840&amp;"-"&amp;F840&amp;"-Pos2",'Shooter-Squad Assignment'!$K:$K,0)),""),IF(F840="Trap",IFERROR(INDEX('Shooter-Squad Assignment'!$A:$A,MATCH(C840&amp;"-"&amp;E840&amp;"-"&amp;F840&amp;"-Pos2",'Shooter-Squad Assignment'!$W:$W,0)),""),IF(F840="Sporting Clays",IFERROR(INDEX('Shooter-Squad Assignment'!$A:$A,MATCH(C840&amp;"-"&amp;E840&amp;"-"&amp;F840&amp;"-Pos2",'Shooter-Squad Assignment'!$Z:$Z,0)),""),"")))</f>
        <v/>
      </c>
      <c r="J840" s="73" t="str">
        <f>IF(ISBLANK(I840),"",IFERROR(INDEX('Tournament List'!$D:$D,MATCH(I840,'Tournament List'!$A:$A,0)),""))</f>
        <v/>
      </c>
      <c r="K840" s="94" t="str">
        <f>IF(F840="Skeet",IFERROR(INDEX('Shooter-Squad Assignment'!$A:$A,MATCH(C840&amp;"-"&amp;E840&amp;"-"&amp;F840&amp;"-Pos3",'Shooter-Squad Assignment'!$K:$K,0)),""),IF(F840="Trap",IFERROR(INDEX('Shooter-Squad Assignment'!$A:$A,MATCH(C840&amp;"-"&amp;E840&amp;"-"&amp;F840&amp;"-Pos3",'Shooter-Squad Assignment'!$W:$W,0)),""),IF(F840="Sporting Clays",IFERROR(INDEX('Shooter-Squad Assignment'!$A:$A,MATCH(C840&amp;"-"&amp;E840&amp;"-"&amp;F840&amp;"-Pos3",'Shooter-Squad Assignment'!$Z:$Z,0)),""),"")))</f>
        <v/>
      </c>
      <c r="L840" s="73" t="str">
        <f>IF(ISBLANK(K840),"",IFERROR(INDEX('Tournament List'!$D:$D,MATCH(K840,'Tournament List'!$A:$A,0)),""))</f>
        <v/>
      </c>
      <c r="M840" s="94" t="str">
        <f>IF(F840="Skeet",IFERROR(INDEX('Shooter-Squad Assignment'!$A:$A,MATCH(C840&amp;"-"&amp;E840&amp;"-"&amp;F840&amp;"-Pos4",'Shooter-Squad Assignment'!$K:$K,0)),""),IF(F840="Trap",IFERROR(INDEX('Shooter-Squad Assignment'!$A:$A,MATCH(C840&amp;"-"&amp;E840&amp;"-"&amp;F840&amp;"-Pos4",'Shooter-Squad Assignment'!$W:$W,0)),""),IF(F840="Sporting Clays",IFERROR(INDEX('Shooter-Squad Assignment'!$A:$A,MATCH(C840&amp;"-"&amp;E840&amp;"-"&amp;F840&amp;"-Pos4",'Shooter-Squad Assignment'!$Z:$Z,0)),""),"")))</f>
        <v/>
      </c>
      <c r="N840" s="73" t="str">
        <f>IF(ISBLANK(M840),"",IFERROR(INDEX('Tournament List'!$D:$D,MATCH(M840,'Tournament List'!$A:$A,0)),""))</f>
        <v/>
      </c>
      <c r="O840" s="94" t="str">
        <f>IF(F840="Skeet",IFERROR(INDEX('Shooter-Squad Assignment'!$A:$A,MATCH(C840&amp;"-"&amp;E840&amp;"-"&amp;F840&amp;"-Pos5",'Shooter-Squad Assignment'!$K:$K,0)),""),IF(F840="Trap",IFERROR(INDEX('Shooter-Squad Assignment'!$A:$A,MATCH(C840&amp;"-"&amp;E840&amp;"-"&amp;F840&amp;"-Pos5",'Shooter-Squad Assignment'!$W:$W,0)),""),IF(F840="Sporting Clays",IFERROR(INDEX('Shooter-Squad Assignment'!$A:$A,MATCH(C840&amp;"-"&amp;E840&amp;"-"&amp;F840&amp;"-Pos5",'Shooter-Squad Assignment'!$Z:$Z,0)),""),"")))</f>
        <v/>
      </c>
      <c r="P840" s="79" t="str">
        <f>IF(ISBLANK(O840),"",IFERROR(INDEX('Tournament List'!$D:$D,MATCH(O840,'Tournament List'!$A:$A,0)),""))</f>
        <v/>
      </c>
    </row>
    <row r="841" spans="1:16" x14ac:dyDescent="0.3">
      <c r="A841" s="78">
        <v>840</v>
      </c>
      <c r="B841" s="73" t="str">
        <f>C841&amp;"-"&amp;E841&amp;"-"&amp;F841</f>
        <v>-Intermediate 1-Trap</v>
      </c>
      <c r="C841" s="73"/>
      <c r="D841" s="73" t="str">
        <f>INDEX('Tournament Setup'!$B$59:$B$78,MATCH(E841,SquadConcurrents,0))</f>
        <v>Intermediate</v>
      </c>
      <c r="E841" s="73" t="s">
        <v>338</v>
      </c>
      <c r="F841" s="73" t="s">
        <v>147</v>
      </c>
      <c r="G841" s="94" t="str">
        <f>IF(F841="Skeet",IFERROR(INDEX('Shooter-Squad Assignment'!$A:$A,MATCH(C841&amp;"-"&amp;E841&amp;"-"&amp;F841&amp;"-Pos1",'Shooter-Squad Assignment'!$K:$K,0)),""),IF(F841="Trap",IFERROR(INDEX('Shooter-Squad Assignment'!$A:$A,MATCH(C841&amp;"-"&amp;E841&amp;"-"&amp;F841&amp;"-Pos1",'Shooter-Squad Assignment'!$W:$W,0)),""),IF(F841="Sporting Clays",IFERROR(INDEX('Shooter-Squad Assignment'!$A:$A,MATCH(C841&amp;"-"&amp;E841&amp;"-"&amp;F841&amp;"-Pos1",'Shooter-Squad Assignment'!$Z:$Z,0)),""),"")))</f>
        <v/>
      </c>
      <c r="H841" s="73" t="str">
        <f>IF(ISBLANK(G841),"",IFERROR(INDEX('Tournament List'!$D:$D,MATCH(G841,'Tournament List'!$A:$A,0)),""))</f>
        <v/>
      </c>
      <c r="I841" s="94" t="str">
        <f>IF(F841="Skeet",IFERROR(INDEX('Shooter-Squad Assignment'!$A:$A,MATCH(C841&amp;"-"&amp;E841&amp;"-"&amp;F841&amp;"-Pos2",'Shooter-Squad Assignment'!$K:$K,0)),""),IF(F841="Trap",IFERROR(INDEX('Shooter-Squad Assignment'!$A:$A,MATCH(C841&amp;"-"&amp;E841&amp;"-"&amp;F841&amp;"-Pos2",'Shooter-Squad Assignment'!$W:$W,0)),""),IF(F841="Sporting Clays",IFERROR(INDEX('Shooter-Squad Assignment'!$A:$A,MATCH(C841&amp;"-"&amp;E841&amp;"-"&amp;F841&amp;"-Pos2",'Shooter-Squad Assignment'!$Z:$Z,0)),""),"")))</f>
        <v/>
      </c>
      <c r="J841" s="73" t="str">
        <f>IF(ISBLANK(I841),"",IFERROR(INDEX('Tournament List'!$D:$D,MATCH(I841,'Tournament List'!$A:$A,0)),""))</f>
        <v/>
      </c>
      <c r="K841" s="94" t="str">
        <f>IF(F841="Skeet",IFERROR(INDEX('Shooter-Squad Assignment'!$A:$A,MATCH(C841&amp;"-"&amp;E841&amp;"-"&amp;F841&amp;"-Pos3",'Shooter-Squad Assignment'!$K:$K,0)),""),IF(F841="Trap",IFERROR(INDEX('Shooter-Squad Assignment'!$A:$A,MATCH(C841&amp;"-"&amp;E841&amp;"-"&amp;F841&amp;"-Pos3",'Shooter-Squad Assignment'!$W:$W,0)),""),IF(F841="Sporting Clays",IFERROR(INDEX('Shooter-Squad Assignment'!$A:$A,MATCH(C841&amp;"-"&amp;E841&amp;"-"&amp;F841&amp;"-Pos3",'Shooter-Squad Assignment'!$Z:$Z,0)),""),"")))</f>
        <v/>
      </c>
      <c r="L841" s="73" t="str">
        <f>IF(ISBLANK(K841),"",IFERROR(INDEX('Tournament List'!$D:$D,MATCH(K841,'Tournament List'!$A:$A,0)),""))</f>
        <v/>
      </c>
      <c r="M841" s="94" t="str">
        <f>IF(F841="Skeet",IFERROR(INDEX('Shooter-Squad Assignment'!$A:$A,MATCH(C841&amp;"-"&amp;E841&amp;"-"&amp;F841&amp;"-Pos4",'Shooter-Squad Assignment'!$K:$K,0)),""),IF(F841="Trap",IFERROR(INDEX('Shooter-Squad Assignment'!$A:$A,MATCH(C841&amp;"-"&amp;E841&amp;"-"&amp;F841&amp;"-Pos4",'Shooter-Squad Assignment'!$W:$W,0)),""),IF(F841="Sporting Clays",IFERROR(INDEX('Shooter-Squad Assignment'!$A:$A,MATCH(C841&amp;"-"&amp;E841&amp;"-"&amp;F841&amp;"-Pos4",'Shooter-Squad Assignment'!$Z:$Z,0)),""),"")))</f>
        <v/>
      </c>
      <c r="N841" s="73" t="str">
        <f>IF(ISBLANK(M841),"",IFERROR(INDEX('Tournament List'!$D:$D,MATCH(M841,'Tournament List'!$A:$A,0)),""))</f>
        <v/>
      </c>
      <c r="O841" s="94" t="str">
        <f>IF(F841="Skeet",IFERROR(INDEX('Shooter-Squad Assignment'!$A:$A,MATCH(C841&amp;"-"&amp;E841&amp;"-"&amp;F841&amp;"-Pos5",'Shooter-Squad Assignment'!$K:$K,0)),""),IF(F841="Trap",IFERROR(INDEX('Shooter-Squad Assignment'!$A:$A,MATCH(C841&amp;"-"&amp;E841&amp;"-"&amp;F841&amp;"-Pos5",'Shooter-Squad Assignment'!$W:$W,0)),""),IF(F841="Sporting Clays",IFERROR(INDEX('Shooter-Squad Assignment'!$A:$A,MATCH(C841&amp;"-"&amp;E841&amp;"-"&amp;F841&amp;"-Pos5",'Shooter-Squad Assignment'!$Z:$Z,0)),""),"")))</f>
        <v/>
      </c>
      <c r="P841" s="79" t="str">
        <f>IF(ISBLANK(O841),"",IFERROR(INDEX('Tournament List'!$D:$D,MATCH(O841,'Tournament List'!$A:$A,0)),""))</f>
        <v/>
      </c>
    </row>
    <row r="842" spans="1:16" x14ac:dyDescent="0.3">
      <c r="A842" s="78">
        <v>841</v>
      </c>
      <c r="B842" s="73" t="str">
        <f>C842&amp;"-"&amp;E842&amp;"-"&amp;F842</f>
        <v>-Intermediate 2-Trap</v>
      </c>
      <c r="C842" s="73"/>
      <c r="D842" s="73" t="str">
        <f>INDEX('Tournament Setup'!$B$59:$B$78,MATCH(E842,SquadConcurrents,0))</f>
        <v>Intermediate</v>
      </c>
      <c r="E842" s="73" t="s">
        <v>344</v>
      </c>
      <c r="F842" s="73" t="s">
        <v>147</v>
      </c>
      <c r="G842" s="94" t="str">
        <f>IF(F842="Skeet",IFERROR(INDEX('Shooter-Squad Assignment'!$A:$A,MATCH(C842&amp;"-"&amp;E842&amp;"-"&amp;F842&amp;"-Pos1",'Shooter-Squad Assignment'!$K:$K,0)),""),IF(F842="Trap",IFERROR(INDEX('Shooter-Squad Assignment'!$A:$A,MATCH(C842&amp;"-"&amp;E842&amp;"-"&amp;F842&amp;"-Pos1",'Shooter-Squad Assignment'!$W:$W,0)),""),IF(F842="Sporting Clays",IFERROR(INDEX('Shooter-Squad Assignment'!$A:$A,MATCH(C842&amp;"-"&amp;E842&amp;"-"&amp;F842&amp;"-Pos1",'Shooter-Squad Assignment'!$Z:$Z,0)),""),"")))</f>
        <v/>
      </c>
      <c r="H842" s="73" t="str">
        <f>IF(ISBLANK(G842),"",IFERROR(INDEX('Tournament List'!$D:$D,MATCH(G842,'Tournament List'!$A:$A,0)),""))</f>
        <v/>
      </c>
      <c r="I842" s="94" t="str">
        <f>IF(F842="Skeet",IFERROR(INDEX('Shooter-Squad Assignment'!$A:$A,MATCH(C842&amp;"-"&amp;E842&amp;"-"&amp;F842&amp;"-Pos2",'Shooter-Squad Assignment'!$K:$K,0)),""),IF(F842="Trap",IFERROR(INDEX('Shooter-Squad Assignment'!$A:$A,MATCH(C842&amp;"-"&amp;E842&amp;"-"&amp;F842&amp;"-Pos2",'Shooter-Squad Assignment'!$W:$W,0)),""),IF(F842="Sporting Clays",IFERROR(INDEX('Shooter-Squad Assignment'!$A:$A,MATCH(C842&amp;"-"&amp;E842&amp;"-"&amp;F842&amp;"-Pos2",'Shooter-Squad Assignment'!$Z:$Z,0)),""),"")))</f>
        <v/>
      </c>
      <c r="J842" s="73" t="str">
        <f>IF(ISBLANK(I842),"",IFERROR(INDEX('Tournament List'!$D:$D,MATCH(I842,'Tournament List'!$A:$A,0)),""))</f>
        <v/>
      </c>
      <c r="K842" s="94" t="str">
        <f>IF(F842="Skeet",IFERROR(INDEX('Shooter-Squad Assignment'!$A:$A,MATCH(C842&amp;"-"&amp;E842&amp;"-"&amp;F842&amp;"-Pos3",'Shooter-Squad Assignment'!$K:$K,0)),""),IF(F842="Trap",IFERROR(INDEX('Shooter-Squad Assignment'!$A:$A,MATCH(C842&amp;"-"&amp;E842&amp;"-"&amp;F842&amp;"-Pos3",'Shooter-Squad Assignment'!$W:$W,0)),""),IF(F842="Sporting Clays",IFERROR(INDEX('Shooter-Squad Assignment'!$A:$A,MATCH(C842&amp;"-"&amp;E842&amp;"-"&amp;F842&amp;"-Pos3",'Shooter-Squad Assignment'!$Z:$Z,0)),""),"")))</f>
        <v/>
      </c>
      <c r="L842" s="73" t="str">
        <f>IF(ISBLANK(K842),"",IFERROR(INDEX('Tournament List'!$D:$D,MATCH(K842,'Tournament List'!$A:$A,0)),""))</f>
        <v/>
      </c>
      <c r="M842" s="94" t="str">
        <f>IF(F842="Skeet",IFERROR(INDEX('Shooter-Squad Assignment'!$A:$A,MATCH(C842&amp;"-"&amp;E842&amp;"-"&amp;F842&amp;"-Pos4",'Shooter-Squad Assignment'!$K:$K,0)),""),IF(F842="Trap",IFERROR(INDEX('Shooter-Squad Assignment'!$A:$A,MATCH(C842&amp;"-"&amp;E842&amp;"-"&amp;F842&amp;"-Pos4",'Shooter-Squad Assignment'!$W:$W,0)),""),IF(F842="Sporting Clays",IFERROR(INDEX('Shooter-Squad Assignment'!$A:$A,MATCH(C842&amp;"-"&amp;E842&amp;"-"&amp;F842&amp;"-Pos4",'Shooter-Squad Assignment'!$Z:$Z,0)),""),"")))</f>
        <v/>
      </c>
      <c r="N842" s="73" t="str">
        <f>IF(ISBLANK(M842),"",IFERROR(INDEX('Tournament List'!$D:$D,MATCH(M842,'Tournament List'!$A:$A,0)),""))</f>
        <v/>
      </c>
      <c r="O842" s="94" t="str">
        <f>IF(F842="Skeet",IFERROR(INDEX('Shooter-Squad Assignment'!$A:$A,MATCH(C842&amp;"-"&amp;E842&amp;"-"&amp;F842&amp;"-Pos5",'Shooter-Squad Assignment'!$K:$K,0)),""),IF(F842="Trap",IFERROR(INDEX('Shooter-Squad Assignment'!$A:$A,MATCH(C842&amp;"-"&amp;E842&amp;"-"&amp;F842&amp;"-Pos5",'Shooter-Squad Assignment'!$W:$W,0)),""),IF(F842="Sporting Clays",IFERROR(INDEX('Shooter-Squad Assignment'!$A:$A,MATCH(C842&amp;"-"&amp;E842&amp;"-"&amp;F842&amp;"-Pos5",'Shooter-Squad Assignment'!$Z:$Z,0)),""),"")))</f>
        <v/>
      </c>
      <c r="P842" s="79" t="str">
        <f>IF(ISBLANK(O842),"",IFERROR(INDEX('Tournament List'!$D:$D,MATCH(O842,'Tournament List'!$A:$A,0)),""))</f>
        <v/>
      </c>
    </row>
    <row r="843" spans="1:16" x14ac:dyDescent="0.3">
      <c r="A843" s="78">
        <v>842</v>
      </c>
      <c r="B843" s="73" t="str">
        <f>C843&amp;"-"&amp;E843&amp;"-"&amp;F843</f>
        <v>-Intermediate 3-Trap</v>
      </c>
      <c r="C843" s="73"/>
      <c r="D843" s="73" t="str">
        <f>INDEX('Tournament Setup'!$B$59:$B$78,MATCH(E843,SquadConcurrents,0))</f>
        <v>Intermediate</v>
      </c>
      <c r="E843" s="73" t="s">
        <v>350</v>
      </c>
      <c r="F843" s="73" t="s">
        <v>147</v>
      </c>
      <c r="G843" s="94" t="str">
        <f>IF(F843="Skeet",IFERROR(INDEX('Shooter-Squad Assignment'!$A:$A,MATCH(C843&amp;"-"&amp;E843&amp;"-"&amp;F843&amp;"-Pos1",'Shooter-Squad Assignment'!$K:$K,0)),""),IF(F843="Trap",IFERROR(INDEX('Shooter-Squad Assignment'!$A:$A,MATCH(C843&amp;"-"&amp;E843&amp;"-"&amp;F843&amp;"-Pos1",'Shooter-Squad Assignment'!$W:$W,0)),""),IF(F843="Sporting Clays",IFERROR(INDEX('Shooter-Squad Assignment'!$A:$A,MATCH(C843&amp;"-"&amp;E843&amp;"-"&amp;F843&amp;"-Pos1",'Shooter-Squad Assignment'!$Z:$Z,0)),""),"")))</f>
        <v/>
      </c>
      <c r="H843" s="73" t="str">
        <f>IF(ISBLANK(G843),"",IFERROR(INDEX('Tournament List'!$D:$D,MATCH(G843,'Tournament List'!$A:$A,0)),""))</f>
        <v/>
      </c>
      <c r="I843" s="94" t="str">
        <f>IF(F843="Skeet",IFERROR(INDEX('Shooter-Squad Assignment'!$A:$A,MATCH(C843&amp;"-"&amp;E843&amp;"-"&amp;F843&amp;"-Pos2",'Shooter-Squad Assignment'!$K:$K,0)),""),IF(F843="Trap",IFERROR(INDEX('Shooter-Squad Assignment'!$A:$A,MATCH(C843&amp;"-"&amp;E843&amp;"-"&amp;F843&amp;"-Pos2",'Shooter-Squad Assignment'!$W:$W,0)),""),IF(F843="Sporting Clays",IFERROR(INDEX('Shooter-Squad Assignment'!$A:$A,MATCH(C843&amp;"-"&amp;E843&amp;"-"&amp;F843&amp;"-Pos2",'Shooter-Squad Assignment'!$Z:$Z,0)),""),"")))</f>
        <v/>
      </c>
      <c r="J843" s="73" t="str">
        <f>IF(ISBLANK(I843),"",IFERROR(INDEX('Tournament List'!$D:$D,MATCH(I843,'Tournament List'!$A:$A,0)),""))</f>
        <v/>
      </c>
      <c r="K843" s="94" t="str">
        <f>IF(F843="Skeet",IFERROR(INDEX('Shooter-Squad Assignment'!$A:$A,MATCH(C843&amp;"-"&amp;E843&amp;"-"&amp;F843&amp;"-Pos3",'Shooter-Squad Assignment'!$K:$K,0)),""),IF(F843="Trap",IFERROR(INDEX('Shooter-Squad Assignment'!$A:$A,MATCH(C843&amp;"-"&amp;E843&amp;"-"&amp;F843&amp;"-Pos3",'Shooter-Squad Assignment'!$W:$W,0)),""),IF(F843="Sporting Clays",IFERROR(INDEX('Shooter-Squad Assignment'!$A:$A,MATCH(C843&amp;"-"&amp;E843&amp;"-"&amp;F843&amp;"-Pos3",'Shooter-Squad Assignment'!$Z:$Z,0)),""),"")))</f>
        <v/>
      </c>
      <c r="L843" s="73" t="str">
        <f>IF(ISBLANK(K843),"",IFERROR(INDEX('Tournament List'!$D:$D,MATCH(K843,'Tournament List'!$A:$A,0)),""))</f>
        <v/>
      </c>
      <c r="M843" s="94" t="str">
        <f>IF(F843="Skeet",IFERROR(INDEX('Shooter-Squad Assignment'!$A:$A,MATCH(C843&amp;"-"&amp;E843&amp;"-"&amp;F843&amp;"-Pos4",'Shooter-Squad Assignment'!$K:$K,0)),""),IF(F843="Trap",IFERROR(INDEX('Shooter-Squad Assignment'!$A:$A,MATCH(C843&amp;"-"&amp;E843&amp;"-"&amp;F843&amp;"-Pos4",'Shooter-Squad Assignment'!$W:$W,0)),""),IF(F843="Sporting Clays",IFERROR(INDEX('Shooter-Squad Assignment'!$A:$A,MATCH(C843&amp;"-"&amp;E843&amp;"-"&amp;F843&amp;"-Pos4",'Shooter-Squad Assignment'!$Z:$Z,0)),""),"")))</f>
        <v/>
      </c>
      <c r="N843" s="73" t="str">
        <f>IF(ISBLANK(M843),"",IFERROR(INDEX('Tournament List'!$D:$D,MATCH(M843,'Tournament List'!$A:$A,0)),""))</f>
        <v/>
      </c>
      <c r="O843" s="94" t="str">
        <f>IF(F843="Skeet",IFERROR(INDEX('Shooter-Squad Assignment'!$A:$A,MATCH(C843&amp;"-"&amp;E843&amp;"-"&amp;F843&amp;"-Pos5",'Shooter-Squad Assignment'!$K:$K,0)),""),IF(F843="Trap",IFERROR(INDEX('Shooter-Squad Assignment'!$A:$A,MATCH(C843&amp;"-"&amp;E843&amp;"-"&amp;F843&amp;"-Pos5",'Shooter-Squad Assignment'!$W:$W,0)),""),IF(F843="Sporting Clays",IFERROR(INDEX('Shooter-Squad Assignment'!$A:$A,MATCH(C843&amp;"-"&amp;E843&amp;"-"&amp;F843&amp;"-Pos5",'Shooter-Squad Assignment'!$Z:$Z,0)),""),"")))</f>
        <v/>
      </c>
      <c r="P843" s="79" t="str">
        <f>IF(ISBLANK(O843),"",IFERROR(INDEX('Tournament List'!$D:$D,MATCH(O843,'Tournament List'!$A:$A,0)),""))</f>
        <v/>
      </c>
    </row>
    <row r="844" spans="1:16" x14ac:dyDescent="0.3">
      <c r="A844" s="78">
        <v>843</v>
      </c>
      <c r="B844" s="73" t="str">
        <f>C844&amp;"-"&amp;E844&amp;"-"&amp;F844</f>
        <v>-Junior Varsity 1-Trap</v>
      </c>
      <c r="C844" s="73"/>
      <c r="D844" s="73" t="str">
        <f>INDEX('Tournament Setup'!$B$59:$B$78,MATCH(E844,SquadConcurrents,0))</f>
        <v>Junior Varsity</v>
      </c>
      <c r="E844" s="73" t="s">
        <v>339</v>
      </c>
      <c r="F844" s="73" t="s">
        <v>147</v>
      </c>
      <c r="G844" s="94" t="str">
        <f>IF(F844="Skeet",IFERROR(INDEX('Shooter-Squad Assignment'!$A:$A,MATCH(C844&amp;"-"&amp;E844&amp;"-"&amp;F844&amp;"-Pos1",'Shooter-Squad Assignment'!$K:$K,0)),""),IF(F844="Trap",IFERROR(INDEX('Shooter-Squad Assignment'!$A:$A,MATCH(C844&amp;"-"&amp;E844&amp;"-"&amp;F844&amp;"-Pos1",'Shooter-Squad Assignment'!$W:$W,0)),""),IF(F844="Sporting Clays",IFERROR(INDEX('Shooter-Squad Assignment'!$A:$A,MATCH(C844&amp;"-"&amp;E844&amp;"-"&amp;F844&amp;"-Pos1",'Shooter-Squad Assignment'!$Z:$Z,0)),""),"")))</f>
        <v/>
      </c>
      <c r="H844" s="73" t="str">
        <f>IF(ISBLANK(G844),"",IFERROR(INDEX('Tournament List'!$D:$D,MATCH(G844,'Tournament List'!$A:$A,0)),""))</f>
        <v/>
      </c>
      <c r="I844" s="94" t="str">
        <f>IF(F844="Skeet",IFERROR(INDEX('Shooter-Squad Assignment'!$A:$A,MATCH(C844&amp;"-"&amp;E844&amp;"-"&amp;F844&amp;"-Pos2",'Shooter-Squad Assignment'!$K:$K,0)),""),IF(F844="Trap",IFERROR(INDEX('Shooter-Squad Assignment'!$A:$A,MATCH(C844&amp;"-"&amp;E844&amp;"-"&amp;F844&amp;"-Pos2",'Shooter-Squad Assignment'!$W:$W,0)),""),IF(F844="Sporting Clays",IFERROR(INDEX('Shooter-Squad Assignment'!$A:$A,MATCH(C844&amp;"-"&amp;E844&amp;"-"&amp;F844&amp;"-Pos2",'Shooter-Squad Assignment'!$Z:$Z,0)),""),"")))</f>
        <v/>
      </c>
      <c r="J844" s="73" t="str">
        <f>IF(ISBLANK(I844),"",IFERROR(INDEX('Tournament List'!$D:$D,MATCH(I844,'Tournament List'!$A:$A,0)),""))</f>
        <v/>
      </c>
      <c r="K844" s="94" t="str">
        <f>IF(F844="Skeet",IFERROR(INDEX('Shooter-Squad Assignment'!$A:$A,MATCH(C844&amp;"-"&amp;E844&amp;"-"&amp;F844&amp;"-Pos3",'Shooter-Squad Assignment'!$K:$K,0)),""),IF(F844="Trap",IFERROR(INDEX('Shooter-Squad Assignment'!$A:$A,MATCH(C844&amp;"-"&amp;E844&amp;"-"&amp;F844&amp;"-Pos3",'Shooter-Squad Assignment'!$W:$W,0)),""),IF(F844="Sporting Clays",IFERROR(INDEX('Shooter-Squad Assignment'!$A:$A,MATCH(C844&amp;"-"&amp;E844&amp;"-"&amp;F844&amp;"-Pos3",'Shooter-Squad Assignment'!$Z:$Z,0)),""),"")))</f>
        <v/>
      </c>
      <c r="L844" s="73" t="str">
        <f>IF(ISBLANK(K844),"",IFERROR(INDEX('Tournament List'!$D:$D,MATCH(K844,'Tournament List'!$A:$A,0)),""))</f>
        <v/>
      </c>
      <c r="M844" s="94" t="str">
        <f>IF(F844="Skeet",IFERROR(INDEX('Shooter-Squad Assignment'!$A:$A,MATCH(C844&amp;"-"&amp;E844&amp;"-"&amp;F844&amp;"-Pos4",'Shooter-Squad Assignment'!$K:$K,0)),""),IF(F844="Trap",IFERROR(INDEX('Shooter-Squad Assignment'!$A:$A,MATCH(C844&amp;"-"&amp;E844&amp;"-"&amp;F844&amp;"-Pos4",'Shooter-Squad Assignment'!$W:$W,0)),""),IF(F844="Sporting Clays",IFERROR(INDEX('Shooter-Squad Assignment'!$A:$A,MATCH(C844&amp;"-"&amp;E844&amp;"-"&amp;F844&amp;"-Pos4",'Shooter-Squad Assignment'!$Z:$Z,0)),""),"")))</f>
        <v/>
      </c>
      <c r="N844" s="73" t="str">
        <f>IF(ISBLANK(M844),"",IFERROR(INDEX('Tournament List'!$D:$D,MATCH(M844,'Tournament List'!$A:$A,0)),""))</f>
        <v/>
      </c>
      <c r="O844" s="94" t="str">
        <f>IF(F844="Skeet",IFERROR(INDEX('Shooter-Squad Assignment'!$A:$A,MATCH(C844&amp;"-"&amp;E844&amp;"-"&amp;F844&amp;"-Pos5",'Shooter-Squad Assignment'!$K:$K,0)),""),IF(F844="Trap",IFERROR(INDEX('Shooter-Squad Assignment'!$A:$A,MATCH(C844&amp;"-"&amp;E844&amp;"-"&amp;F844&amp;"-Pos5",'Shooter-Squad Assignment'!$W:$W,0)),""),IF(F844="Sporting Clays",IFERROR(INDEX('Shooter-Squad Assignment'!$A:$A,MATCH(C844&amp;"-"&amp;E844&amp;"-"&amp;F844&amp;"-Pos5",'Shooter-Squad Assignment'!$Z:$Z,0)),""),"")))</f>
        <v/>
      </c>
      <c r="P844" s="79" t="str">
        <f>IF(ISBLANK(O844),"",IFERROR(INDEX('Tournament List'!$D:$D,MATCH(O844,'Tournament List'!$A:$A,0)),""))</f>
        <v/>
      </c>
    </row>
    <row r="845" spans="1:16" x14ac:dyDescent="0.3">
      <c r="A845" s="78">
        <v>844</v>
      </c>
      <c r="B845" s="73" t="str">
        <f>C845&amp;"-"&amp;E845&amp;"-"&amp;F845</f>
        <v>-Junior Varsity 2-Trap</v>
      </c>
      <c r="C845" s="73"/>
      <c r="D845" s="73" t="str">
        <f>INDEX('Tournament Setup'!$B$59:$B$78,MATCH(E845,SquadConcurrents,0))</f>
        <v>Junior Varsity</v>
      </c>
      <c r="E845" s="73" t="s">
        <v>345</v>
      </c>
      <c r="F845" s="73" t="s">
        <v>147</v>
      </c>
      <c r="G845" s="94" t="str">
        <f>IF(F845="Skeet",IFERROR(INDEX('Shooter-Squad Assignment'!$A:$A,MATCH(C845&amp;"-"&amp;E845&amp;"-"&amp;F845&amp;"-Pos1",'Shooter-Squad Assignment'!$K:$K,0)),""),IF(F845="Trap",IFERROR(INDEX('Shooter-Squad Assignment'!$A:$A,MATCH(C845&amp;"-"&amp;E845&amp;"-"&amp;F845&amp;"-Pos1",'Shooter-Squad Assignment'!$W:$W,0)),""),IF(F845="Sporting Clays",IFERROR(INDEX('Shooter-Squad Assignment'!$A:$A,MATCH(C845&amp;"-"&amp;E845&amp;"-"&amp;F845&amp;"-Pos1",'Shooter-Squad Assignment'!$Z:$Z,0)),""),"")))</f>
        <v/>
      </c>
      <c r="H845" s="73" t="str">
        <f>IF(ISBLANK(G845),"",IFERROR(INDEX('Tournament List'!$D:$D,MATCH(G845,'Tournament List'!$A:$A,0)),""))</f>
        <v/>
      </c>
      <c r="I845" s="94" t="str">
        <f>IF(F845="Skeet",IFERROR(INDEX('Shooter-Squad Assignment'!$A:$A,MATCH(C845&amp;"-"&amp;E845&amp;"-"&amp;F845&amp;"-Pos2",'Shooter-Squad Assignment'!$K:$K,0)),""),IF(F845="Trap",IFERROR(INDEX('Shooter-Squad Assignment'!$A:$A,MATCH(C845&amp;"-"&amp;E845&amp;"-"&amp;F845&amp;"-Pos2",'Shooter-Squad Assignment'!$W:$W,0)),""),IF(F845="Sporting Clays",IFERROR(INDEX('Shooter-Squad Assignment'!$A:$A,MATCH(C845&amp;"-"&amp;E845&amp;"-"&amp;F845&amp;"-Pos2",'Shooter-Squad Assignment'!$Z:$Z,0)),""),"")))</f>
        <v/>
      </c>
      <c r="J845" s="73" t="str">
        <f>IF(ISBLANK(I845),"",IFERROR(INDEX('Tournament List'!$D:$D,MATCH(I845,'Tournament List'!$A:$A,0)),""))</f>
        <v/>
      </c>
      <c r="K845" s="94" t="str">
        <f>IF(F845="Skeet",IFERROR(INDEX('Shooter-Squad Assignment'!$A:$A,MATCH(C845&amp;"-"&amp;E845&amp;"-"&amp;F845&amp;"-Pos3",'Shooter-Squad Assignment'!$K:$K,0)),""),IF(F845="Trap",IFERROR(INDEX('Shooter-Squad Assignment'!$A:$A,MATCH(C845&amp;"-"&amp;E845&amp;"-"&amp;F845&amp;"-Pos3",'Shooter-Squad Assignment'!$W:$W,0)),""),IF(F845="Sporting Clays",IFERROR(INDEX('Shooter-Squad Assignment'!$A:$A,MATCH(C845&amp;"-"&amp;E845&amp;"-"&amp;F845&amp;"-Pos3",'Shooter-Squad Assignment'!$Z:$Z,0)),""),"")))</f>
        <v/>
      </c>
      <c r="L845" s="73" t="str">
        <f>IF(ISBLANK(K845),"",IFERROR(INDEX('Tournament List'!$D:$D,MATCH(K845,'Tournament List'!$A:$A,0)),""))</f>
        <v/>
      </c>
      <c r="M845" s="94" t="str">
        <f>IF(F845="Skeet",IFERROR(INDEX('Shooter-Squad Assignment'!$A:$A,MATCH(C845&amp;"-"&amp;E845&amp;"-"&amp;F845&amp;"-Pos4",'Shooter-Squad Assignment'!$K:$K,0)),""),IF(F845="Trap",IFERROR(INDEX('Shooter-Squad Assignment'!$A:$A,MATCH(C845&amp;"-"&amp;E845&amp;"-"&amp;F845&amp;"-Pos4",'Shooter-Squad Assignment'!$W:$W,0)),""),IF(F845="Sporting Clays",IFERROR(INDEX('Shooter-Squad Assignment'!$A:$A,MATCH(C845&amp;"-"&amp;E845&amp;"-"&amp;F845&amp;"-Pos4",'Shooter-Squad Assignment'!$Z:$Z,0)),""),"")))</f>
        <v/>
      </c>
      <c r="N845" s="73" t="str">
        <f>IF(ISBLANK(M845),"",IFERROR(INDEX('Tournament List'!$D:$D,MATCH(M845,'Tournament List'!$A:$A,0)),""))</f>
        <v/>
      </c>
      <c r="O845" s="94" t="str">
        <f>IF(F845="Skeet",IFERROR(INDEX('Shooter-Squad Assignment'!$A:$A,MATCH(C845&amp;"-"&amp;E845&amp;"-"&amp;F845&amp;"-Pos5",'Shooter-Squad Assignment'!$K:$K,0)),""),IF(F845="Trap",IFERROR(INDEX('Shooter-Squad Assignment'!$A:$A,MATCH(C845&amp;"-"&amp;E845&amp;"-"&amp;F845&amp;"-Pos5",'Shooter-Squad Assignment'!$W:$W,0)),""),IF(F845="Sporting Clays",IFERROR(INDEX('Shooter-Squad Assignment'!$A:$A,MATCH(C845&amp;"-"&amp;E845&amp;"-"&amp;F845&amp;"-Pos5",'Shooter-Squad Assignment'!$Z:$Z,0)),""),"")))</f>
        <v/>
      </c>
      <c r="P845" s="79" t="str">
        <f>IF(ISBLANK(O845),"",IFERROR(INDEX('Tournament List'!$D:$D,MATCH(O845,'Tournament List'!$A:$A,0)),""))</f>
        <v/>
      </c>
    </row>
    <row r="846" spans="1:16" x14ac:dyDescent="0.3">
      <c r="A846" s="78">
        <v>845</v>
      </c>
      <c r="B846" s="73" t="str">
        <f>C846&amp;"-"&amp;E846&amp;"-"&amp;F846</f>
        <v>-Junior Varsity 3-Trap</v>
      </c>
      <c r="C846" s="73"/>
      <c r="D846" s="73" t="str">
        <f>INDEX('Tournament Setup'!$B$59:$B$78,MATCH(E846,SquadConcurrents,0))</f>
        <v>Junior Varsity</v>
      </c>
      <c r="E846" s="73" t="s">
        <v>351</v>
      </c>
      <c r="F846" s="73" t="s">
        <v>147</v>
      </c>
      <c r="G846" s="94" t="str">
        <f>IF(F846="Skeet",IFERROR(INDEX('Shooter-Squad Assignment'!$A:$A,MATCH(C846&amp;"-"&amp;E846&amp;"-"&amp;F846&amp;"-Pos1",'Shooter-Squad Assignment'!$K:$K,0)),""),IF(F846="Trap",IFERROR(INDEX('Shooter-Squad Assignment'!$A:$A,MATCH(C846&amp;"-"&amp;E846&amp;"-"&amp;F846&amp;"-Pos1",'Shooter-Squad Assignment'!$W:$W,0)),""),IF(F846="Sporting Clays",IFERROR(INDEX('Shooter-Squad Assignment'!$A:$A,MATCH(C846&amp;"-"&amp;E846&amp;"-"&amp;F846&amp;"-Pos1",'Shooter-Squad Assignment'!$Z:$Z,0)),""),"")))</f>
        <v/>
      </c>
      <c r="H846" s="73" t="str">
        <f>IF(ISBLANK(G846),"",IFERROR(INDEX('Tournament List'!$D:$D,MATCH(G846,'Tournament List'!$A:$A,0)),""))</f>
        <v/>
      </c>
      <c r="I846" s="94" t="str">
        <f>IF(F846="Skeet",IFERROR(INDEX('Shooter-Squad Assignment'!$A:$A,MATCH(C846&amp;"-"&amp;E846&amp;"-"&amp;F846&amp;"-Pos2",'Shooter-Squad Assignment'!$K:$K,0)),""),IF(F846="Trap",IFERROR(INDEX('Shooter-Squad Assignment'!$A:$A,MATCH(C846&amp;"-"&amp;E846&amp;"-"&amp;F846&amp;"-Pos2",'Shooter-Squad Assignment'!$W:$W,0)),""),IF(F846="Sporting Clays",IFERROR(INDEX('Shooter-Squad Assignment'!$A:$A,MATCH(C846&amp;"-"&amp;E846&amp;"-"&amp;F846&amp;"-Pos2",'Shooter-Squad Assignment'!$Z:$Z,0)),""),"")))</f>
        <v/>
      </c>
      <c r="J846" s="73" t="str">
        <f>IF(ISBLANK(I846),"",IFERROR(INDEX('Tournament List'!$D:$D,MATCH(I846,'Tournament List'!$A:$A,0)),""))</f>
        <v/>
      </c>
      <c r="K846" s="94" t="str">
        <f>IF(F846="Skeet",IFERROR(INDEX('Shooter-Squad Assignment'!$A:$A,MATCH(C846&amp;"-"&amp;E846&amp;"-"&amp;F846&amp;"-Pos3",'Shooter-Squad Assignment'!$K:$K,0)),""),IF(F846="Trap",IFERROR(INDEX('Shooter-Squad Assignment'!$A:$A,MATCH(C846&amp;"-"&amp;E846&amp;"-"&amp;F846&amp;"-Pos3",'Shooter-Squad Assignment'!$W:$W,0)),""),IF(F846="Sporting Clays",IFERROR(INDEX('Shooter-Squad Assignment'!$A:$A,MATCH(C846&amp;"-"&amp;E846&amp;"-"&amp;F846&amp;"-Pos3",'Shooter-Squad Assignment'!$Z:$Z,0)),""),"")))</f>
        <v/>
      </c>
      <c r="L846" s="73" t="str">
        <f>IF(ISBLANK(K846),"",IFERROR(INDEX('Tournament List'!$D:$D,MATCH(K846,'Tournament List'!$A:$A,0)),""))</f>
        <v/>
      </c>
      <c r="M846" s="94" t="str">
        <f>IF(F846="Skeet",IFERROR(INDEX('Shooter-Squad Assignment'!$A:$A,MATCH(C846&amp;"-"&amp;E846&amp;"-"&amp;F846&amp;"-Pos4",'Shooter-Squad Assignment'!$K:$K,0)),""),IF(F846="Trap",IFERROR(INDEX('Shooter-Squad Assignment'!$A:$A,MATCH(C846&amp;"-"&amp;E846&amp;"-"&amp;F846&amp;"-Pos4",'Shooter-Squad Assignment'!$W:$W,0)),""),IF(F846="Sporting Clays",IFERROR(INDEX('Shooter-Squad Assignment'!$A:$A,MATCH(C846&amp;"-"&amp;E846&amp;"-"&amp;F846&amp;"-Pos4",'Shooter-Squad Assignment'!$Z:$Z,0)),""),"")))</f>
        <v/>
      </c>
      <c r="N846" s="73" t="str">
        <f>IF(ISBLANK(M846),"",IFERROR(INDEX('Tournament List'!$D:$D,MATCH(M846,'Tournament List'!$A:$A,0)),""))</f>
        <v/>
      </c>
      <c r="O846" s="94" t="str">
        <f>IF(F846="Skeet",IFERROR(INDEX('Shooter-Squad Assignment'!$A:$A,MATCH(C846&amp;"-"&amp;E846&amp;"-"&amp;F846&amp;"-Pos5",'Shooter-Squad Assignment'!$K:$K,0)),""),IF(F846="Trap",IFERROR(INDEX('Shooter-Squad Assignment'!$A:$A,MATCH(C846&amp;"-"&amp;E846&amp;"-"&amp;F846&amp;"-Pos5",'Shooter-Squad Assignment'!$W:$W,0)),""),IF(F846="Sporting Clays",IFERROR(INDEX('Shooter-Squad Assignment'!$A:$A,MATCH(C846&amp;"-"&amp;E846&amp;"-"&amp;F846&amp;"-Pos5",'Shooter-Squad Assignment'!$Z:$Z,0)),""),"")))</f>
        <v/>
      </c>
      <c r="P846" s="79" t="str">
        <f>IF(ISBLANK(O846),"",IFERROR(INDEX('Tournament List'!$D:$D,MATCH(O846,'Tournament List'!$A:$A,0)),""))</f>
        <v/>
      </c>
    </row>
    <row r="847" spans="1:16" x14ac:dyDescent="0.3">
      <c r="A847" s="78">
        <v>846</v>
      </c>
      <c r="B847" s="73" t="str">
        <f>C847&amp;"-"&amp;E847&amp;"-"&amp;F847</f>
        <v>-Novice 1-Trap</v>
      </c>
      <c r="C847" s="73"/>
      <c r="D847" s="73" t="str">
        <f>INDEX('Tournament Setup'!$B$59:$B$78,MATCH(E847,SquadConcurrents,0))</f>
        <v>Novice</v>
      </c>
      <c r="E847" s="73" t="s">
        <v>337</v>
      </c>
      <c r="F847" s="73" t="s">
        <v>147</v>
      </c>
      <c r="G847" s="94" t="str">
        <f>IF(F847="Skeet",IFERROR(INDEX('Shooter-Squad Assignment'!$A:$A,MATCH(C847&amp;"-"&amp;E847&amp;"-"&amp;F847&amp;"-Pos1",'Shooter-Squad Assignment'!$K:$K,0)),""),IF(F847="Trap",IFERROR(INDEX('Shooter-Squad Assignment'!$A:$A,MATCH(C847&amp;"-"&amp;E847&amp;"-"&amp;F847&amp;"-Pos1",'Shooter-Squad Assignment'!$W:$W,0)),""),IF(F847="Sporting Clays",IFERROR(INDEX('Shooter-Squad Assignment'!$A:$A,MATCH(C847&amp;"-"&amp;E847&amp;"-"&amp;F847&amp;"-Pos1",'Shooter-Squad Assignment'!$Z:$Z,0)),""),"")))</f>
        <v/>
      </c>
      <c r="H847" s="73" t="str">
        <f>IF(ISBLANK(G847),"",IFERROR(INDEX('Tournament List'!$D:$D,MATCH(G847,'Tournament List'!$A:$A,0)),""))</f>
        <v/>
      </c>
      <c r="I847" s="94" t="str">
        <f>IF(F847="Skeet",IFERROR(INDEX('Shooter-Squad Assignment'!$A:$A,MATCH(C847&amp;"-"&amp;E847&amp;"-"&amp;F847&amp;"-Pos2",'Shooter-Squad Assignment'!$K:$K,0)),""),IF(F847="Trap",IFERROR(INDEX('Shooter-Squad Assignment'!$A:$A,MATCH(C847&amp;"-"&amp;E847&amp;"-"&amp;F847&amp;"-Pos2",'Shooter-Squad Assignment'!$W:$W,0)),""),IF(F847="Sporting Clays",IFERROR(INDEX('Shooter-Squad Assignment'!$A:$A,MATCH(C847&amp;"-"&amp;E847&amp;"-"&amp;F847&amp;"-Pos2",'Shooter-Squad Assignment'!$Z:$Z,0)),""),"")))</f>
        <v/>
      </c>
      <c r="J847" s="73" t="str">
        <f>IF(ISBLANK(I847),"",IFERROR(INDEX('Tournament List'!$D:$D,MATCH(I847,'Tournament List'!$A:$A,0)),""))</f>
        <v/>
      </c>
      <c r="K847" s="94" t="str">
        <f>IF(F847="Skeet",IFERROR(INDEX('Shooter-Squad Assignment'!$A:$A,MATCH(C847&amp;"-"&amp;E847&amp;"-"&amp;F847&amp;"-Pos3",'Shooter-Squad Assignment'!$K:$K,0)),""),IF(F847="Trap",IFERROR(INDEX('Shooter-Squad Assignment'!$A:$A,MATCH(C847&amp;"-"&amp;E847&amp;"-"&amp;F847&amp;"-Pos3",'Shooter-Squad Assignment'!$W:$W,0)),""),IF(F847="Sporting Clays",IFERROR(INDEX('Shooter-Squad Assignment'!$A:$A,MATCH(C847&amp;"-"&amp;E847&amp;"-"&amp;F847&amp;"-Pos3",'Shooter-Squad Assignment'!$Z:$Z,0)),""),"")))</f>
        <v/>
      </c>
      <c r="L847" s="73" t="str">
        <f>IF(ISBLANK(K847),"",IFERROR(INDEX('Tournament List'!$D:$D,MATCH(K847,'Tournament List'!$A:$A,0)),""))</f>
        <v/>
      </c>
      <c r="M847" s="94" t="str">
        <f>IF(F847="Skeet",IFERROR(INDEX('Shooter-Squad Assignment'!$A:$A,MATCH(C847&amp;"-"&amp;E847&amp;"-"&amp;F847&amp;"-Pos4",'Shooter-Squad Assignment'!$K:$K,0)),""),IF(F847="Trap",IFERROR(INDEX('Shooter-Squad Assignment'!$A:$A,MATCH(C847&amp;"-"&amp;E847&amp;"-"&amp;F847&amp;"-Pos4",'Shooter-Squad Assignment'!$W:$W,0)),""),IF(F847="Sporting Clays",IFERROR(INDEX('Shooter-Squad Assignment'!$A:$A,MATCH(C847&amp;"-"&amp;E847&amp;"-"&amp;F847&amp;"-Pos4",'Shooter-Squad Assignment'!$Z:$Z,0)),""),"")))</f>
        <v/>
      </c>
      <c r="N847" s="73" t="str">
        <f>IF(ISBLANK(M847),"",IFERROR(INDEX('Tournament List'!$D:$D,MATCH(M847,'Tournament List'!$A:$A,0)),""))</f>
        <v/>
      </c>
      <c r="O847" s="94" t="str">
        <f>IF(F847="Skeet",IFERROR(INDEX('Shooter-Squad Assignment'!$A:$A,MATCH(C847&amp;"-"&amp;E847&amp;"-"&amp;F847&amp;"-Pos5",'Shooter-Squad Assignment'!$K:$K,0)),""),IF(F847="Trap",IFERROR(INDEX('Shooter-Squad Assignment'!$A:$A,MATCH(C847&amp;"-"&amp;E847&amp;"-"&amp;F847&amp;"-Pos5",'Shooter-Squad Assignment'!$W:$W,0)),""),IF(F847="Sporting Clays",IFERROR(INDEX('Shooter-Squad Assignment'!$A:$A,MATCH(C847&amp;"-"&amp;E847&amp;"-"&amp;F847&amp;"-Pos5",'Shooter-Squad Assignment'!$Z:$Z,0)),""),"")))</f>
        <v/>
      </c>
      <c r="P847" s="79" t="str">
        <f>IF(ISBLANK(O847),"",IFERROR(INDEX('Tournament List'!$D:$D,MATCH(O847,'Tournament List'!$A:$A,0)),""))</f>
        <v/>
      </c>
    </row>
    <row r="848" spans="1:16" x14ac:dyDescent="0.3">
      <c r="A848" s="78">
        <v>847</v>
      </c>
      <c r="B848" s="73" t="str">
        <f>C848&amp;"-"&amp;E848&amp;"-"&amp;F848</f>
        <v>-Novice 2-Trap</v>
      </c>
      <c r="C848" s="73"/>
      <c r="D848" s="73" t="str">
        <f>INDEX('Tournament Setup'!$B$59:$B$78,MATCH(E848,SquadConcurrents,0))</f>
        <v>Novice</v>
      </c>
      <c r="E848" s="73" t="s">
        <v>343</v>
      </c>
      <c r="F848" s="73" t="s">
        <v>147</v>
      </c>
      <c r="G848" s="94" t="str">
        <f>IF(F848="Skeet",IFERROR(INDEX('Shooter-Squad Assignment'!$A:$A,MATCH(C848&amp;"-"&amp;E848&amp;"-"&amp;F848&amp;"-Pos1",'Shooter-Squad Assignment'!$K:$K,0)),""),IF(F848="Trap",IFERROR(INDEX('Shooter-Squad Assignment'!$A:$A,MATCH(C848&amp;"-"&amp;E848&amp;"-"&amp;F848&amp;"-Pos1",'Shooter-Squad Assignment'!$W:$W,0)),""),IF(F848="Sporting Clays",IFERROR(INDEX('Shooter-Squad Assignment'!$A:$A,MATCH(C848&amp;"-"&amp;E848&amp;"-"&amp;F848&amp;"-Pos1",'Shooter-Squad Assignment'!$Z:$Z,0)),""),"")))</f>
        <v/>
      </c>
      <c r="H848" s="73" t="str">
        <f>IF(ISBLANK(G848),"",IFERROR(INDEX('Tournament List'!$D:$D,MATCH(G848,'Tournament List'!$A:$A,0)),""))</f>
        <v/>
      </c>
      <c r="I848" s="94" t="str">
        <f>IF(F848="Skeet",IFERROR(INDEX('Shooter-Squad Assignment'!$A:$A,MATCH(C848&amp;"-"&amp;E848&amp;"-"&amp;F848&amp;"-Pos2",'Shooter-Squad Assignment'!$K:$K,0)),""),IF(F848="Trap",IFERROR(INDEX('Shooter-Squad Assignment'!$A:$A,MATCH(C848&amp;"-"&amp;E848&amp;"-"&amp;F848&amp;"-Pos2",'Shooter-Squad Assignment'!$W:$W,0)),""),IF(F848="Sporting Clays",IFERROR(INDEX('Shooter-Squad Assignment'!$A:$A,MATCH(C848&amp;"-"&amp;E848&amp;"-"&amp;F848&amp;"-Pos2",'Shooter-Squad Assignment'!$Z:$Z,0)),""),"")))</f>
        <v/>
      </c>
      <c r="J848" s="73" t="str">
        <f>IF(ISBLANK(I848),"",IFERROR(INDEX('Tournament List'!$D:$D,MATCH(I848,'Tournament List'!$A:$A,0)),""))</f>
        <v/>
      </c>
      <c r="K848" s="94" t="str">
        <f>IF(F848="Skeet",IFERROR(INDEX('Shooter-Squad Assignment'!$A:$A,MATCH(C848&amp;"-"&amp;E848&amp;"-"&amp;F848&amp;"-Pos3",'Shooter-Squad Assignment'!$K:$K,0)),""),IF(F848="Trap",IFERROR(INDEX('Shooter-Squad Assignment'!$A:$A,MATCH(C848&amp;"-"&amp;E848&amp;"-"&amp;F848&amp;"-Pos3",'Shooter-Squad Assignment'!$W:$W,0)),""),IF(F848="Sporting Clays",IFERROR(INDEX('Shooter-Squad Assignment'!$A:$A,MATCH(C848&amp;"-"&amp;E848&amp;"-"&amp;F848&amp;"-Pos3",'Shooter-Squad Assignment'!$Z:$Z,0)),""),"")))</f>
        <v/>
      </c>
      <c r="L848" s="73" t="str">
        <f>IF(ISBLANK(K848),"",IFERROR(INDEX('Tournament List'!$D:$D,MATCH(K848,'Tournament List'!$A:$A,0)),""))</f>
        <v/>
      </c>
      <c r="M848" s="94" t="str">
        <f>IF(F848="Skeet",IFERROR(INDEX('Shooter-Squad Assignment'!$A:$A,MATCH(C848&amp;"-"&amp;E848&amp;"-"&amp;F848&amp;"-Pos4",'Shooter-Squad Assignment'!$K:$K,0)),""),IF(F848="Trap",IFERROR(INDEX('Shooter-Squad Assignment'!$A:$A,MATCH(C848&amp;"-"&amp;E848&amp;"-"&amp;F848&amp;"-Pos4",'Shooter-Squad Assignment'!$W:$W,0)),""),IF(F848="Sporting Clays",IFERROR(INDEX('Shooter-Squad Assignment'!$A:$A,MATCH(C848&amp;"-"&amp;E848&amp;"-"&amp;F848&amp;"-Pos4",'Shooter-Squad Assignment'!$Z:$Z,0)),""),"")))</f>
        <v/>
      </c>
      <c r="N848" s="73" t="str">
        <f>IF(ISBLANK(M848),"",IFERROR(INDEX('Tournament List'!$D:$D,MATCH(M848,'Tournament List'!$A:$A,0)),""))</f>
        <v/>
      </c>
      <c r="O848" s="94" t="str">
        <f>IF(F848="Skeet",IFERROR(INDEX('Shooter-Squad Assignment'!$A:$A,MATCH(C848&amp;"-"&amp;E848&amp;"-"&amp;F848&amp;"-Pos5",'Shooter-Squad Assignment'!$K:$K,0)),""),IF(F848="Trap",IFERROR(INDEX('Shooter-Squad Assignment'!$A:$A,MATCH(C848&amp;"-"&amp;E848&amp;"-"&amp;F848&amp;"-Pos5",'Shooter-Squad Assignment'!$W:$W,0)),""),IF(F848="Sporting Clays",IFERROR(INDEX('Shooter-Squad Assignment'!$A:$A,MATCH(C848&amp;"-"&amp;E848&amp;"-"&amp;F848&amp;"-Pos5",'Shooter-Squad Assignment'!$Z:$Z,0)),""),"")))</f>
        <v/>
      </c>
      <c r="P848" s="79" t="str">
        <f>IF(ISBLANK(O848),"",IFERROR(INDEX('Tournament List'!$D:$D,MATCH(O848,'Tournament List'!$A:$A,0)),""))</f>
        <v/>
      </c>
    </row>
    <row r="849" spans="1:16" x14ac:dyDescent="0.3">
      <c r="A849" s="78">
        <v>848</v>
      </c>
      <c r="B849" s="73" t="str">
        <f>C849&amp;"-"&amp;E849&amp;"-"&amp;F849</f>
        <v>-Novice 3-Trap</v>
      </c>
      <c r="C849" s="73"/>
      <c r="D849" s="73" t="str">
        <f>INDEX('Tournament Setup'!$B$59:$B$78,MATCH(E849,SquadConcurrents,0))</f>
        <v>Novice</v>
      </c>
      <c r="E849" s="73" t="s">
        <v>349</v>
      </c>
      <c r="F849" s="73" t="s">
        <v>147</v>
      </c>
      <c r="G849" s="94" t="str">
        <f>IF(F849="Skeet",IFERROR(INDEX('Shooter-Squad Assignment'!$A:$A,MATCH(C849&amp;"-"&amp;E849&amp;"-"&amp;F849&amp;"-Pos1",'Shooter-Squad Assignment'!$K:$K,0)),""),IF(F849="Trap",IFERROR(INDEX('Shooter-Squad Assignment'!$A:$A,MATCH(C849&amp;"-"&amp;E849&amp;"-"&amp;F849&amp;"-Pos1",'Shooter-Squad Assignment'!$W:$W,0)),""),IF(F849="Sporting Clays",IFERROR(INDEX('Shooter-Squad Assignment'!$A:$A,MATCH(C849&amp;"-"&amp;E849&amp;"-"&amp;F849&amp;"-Pos1",'Shooter-Squad Assignment'!$Z:$Z,0)),""),"")))</f>
        <v/>
      </c>
      <c r="H849" s="73" t="str">
        <f>IF(ISBLANK(G849),"",IFERROR(INDEX('Tournament List'!$D:$D,MATCH(G849,'Tournament List'!$A:$A,0)),""))</f>
        <v/>
      </c>
      <c r="I849" s="94" t="str">
        <f>IF(F849="Skeet",IFERROR(INDEX('Shooter-Squad Assignment'!$A:$A,MATCH(C849&amp;"-"&amp;E849&amp;"-"&amp;F849&amp;"-Pos2",'Shooter-Squad Assignment'!$K:$K,0)),""),IF(F849="Trap",IFERROR(INDEX('Shooter-Squad Assignment'!$A:$A,MATCH(C849&amp;"-"&amp;E849&amp;"-"&amp;F849&amp;"-Pos2",'Shooter-Squad Assignment'!$W:$W,0)),""),IF(F849="Sporting Clays",IFERROR(INDEX('Shooter-Squad Assignment'!$A:$A,MATCH(C849&amp;"-"&amp;E849&amp;"-"&amp;F849&amp;"-Pos2",'Shooter-Squad Assignment'!$Z:$Z,0)),""),"")))</f>
        <v/>
      </c>
      <c r="J849" s="73" t="str">
        <f>IF(ISBLANK(I849),"",IFERROR(INDEX('Tournament List'!$D:$D,MATCH(I849,'Tournament List'!$A:$A,0)),""))</f>
        <v/>
      </c>
      <c r="K849" s="94" t="str">
        <f>IF(F849="Skeet",IFERROR(INDEX('Shooter-Squad Assignment'!$A:$A,MATCH(C849&amp;"-"&amp;E849&amp;"-"&amp;F849&amp;"-Pos3",'Shooter-Squad Assignment'!$K:$K,0)),""),IF(F849="Trap",IFERROR(INDEX('Shooter-Squad Assignment'!$A:$A,MATCH(C849&amp;"-"&amp;E849&amp;"-"&amp;F849&amp;"-Pos3",'Shooter-Squad Assignment'!$W:$W,0)),""),IF(F849="Sporting Clays",IFERROR(INDEX('Shooter-Squad Assignment'!$A:$A,MATCH(C849&amp;"-"&amp;E849&amp;"-"&amp;F849&amp;"-Pos3",'Shooter-Squad Assignment'!$Z:$Z,0)),""),"")))</f>
        <v/>
      </c>
      <c r="L849" s="73" t="str">
        <f>IF(ISBLANK(K849),"",IFERROR(INDEX('Tournament List'!$D:$D,MATCH(K849,'Tournament List'!$A:$A,0)),""))</f>
        <v/>
      </c>
      <c r="M849" s="94" t="str">
        <f>IF(F849="Skeet",IFERROR(INDEX('Shooter-Squad Assignment'!$A:$A,MATCH(C849&amp;"-"&amp;E849&amp;"-"&amp;F849&amp;"-Pos4",'Shooter-Squad Assignment'!$K:$K,0)),""),IF(F849="Trap",IFERROR(INDEX('Shooter-Squad Assignment'!$A:$A,MATCH(C849&amp;"-"&amp;E849&amp;"-"&amp;F849&amp;"-Pos4",'Shooter-Squad Assignment'!$W:$W,0)),""),IF(F849="Sporting Clays",IFERROR(INDEX('Shooter-Squad Assignment'!$A:$A,MATCH(C849&amp;"-"&amp;E849&amp;"-"&amp;F849&amp;"-Pos4",'Shooter-Squad Assignment'!$Z:$Z,0)),""),"")))</f>
        <v/>
      </c>
      <c r="N849" s="73" t="str">
        <f>IF(ISBLANK(M849),"",IFERROR(INDEX('Tournament List'!$D:$D,MATCH(M849,'Tournament List'!$A:$A,0)),""))</f>
        <v/>
      </c>
      <c r="O849" s="94" t="str">
        <f>IF(F849="Skeet",IFERROR(INDEX('Shooter-Squad Assignment'!$A:$A,MATCH(C849&amp;"-"&amp;E849&amp;"-"&amp;F849&amp;"-Pos5",'Shooter-Squad Assignment'!$K:$K,0)),""),IF(F849="Trap",IFERROR(INDEX('Shooter-Squad Assignment'!$A:$A,MATCH(C849&amp;"-"&amp;E849&amp;"-"&amp;F849&amp;"-Pos5",'Shooter-Squad Assignment'!$W:$W,0)),""),IF(F849="Sporting Clays",IFERROR(INDEX('Shooter-Squad Assignment'!$A:$A,MATCH(C849&amp;"-"&amp;E849&amp;"-"&amp;F849&amp;"-Pos5",'Shooter-Squad Assignment'!$Z:$Z,0)),""),"")))</f>
        <v/>
      </c>
      <c r="P849" s="79" t="str">
        <f>IF(ISBLANK(O849),"",IFERROR(INDEX('Tournament List'!$D:$D,MATCH(O849,'Tournament List'!$A:$A,0)),""))</f>
        <v/>
      </c>
    </row>
    <row r="850" spans="1:16" x14ac:dyDescent="0.3">
      <c r="A850" s="78">
        <v>849</v>
      </c>
      <c r="B850" s="73" t="str">
        <f>C850&amp;"-"&amp;E850&amp;"-"&amp;F850</f>
        <v>-Open 1-Trap</v>
      </c>
      <c r="C850" s="73"/>
      <c r="D850" s="73" t="str">
        <f>INDEX('Tournament Setup'!$B$59:$B$78,MATCH(E850,SquadConcurrents,0))</f>
        <v>Open</v>
      </c>
      <c r="E850" s="73" t="s">
        <v>341</v>
      </c>
      <c r="F850" s="73" t="s">
        <v>147</v>
      </c>
      <c r="G850" s="94" t="str">
        <f>IF(F850="Skeet",IFERROR(INDEX('Shooter-Squad Assignment'!$A:$A,MATCH(C850&amp;"-"&amp;E850&amp;"-"&amp;F850&amp;"-Pos1",'Shooter-Squad Assignment'!$K:$K,0)),""),IF(F850="Trap",IFERROR(INDEX('Shooter-Squad Assignment'!$A:$A,MATCH(C850&amp;"-"&amp;E850&amp;"-"&amp;F850&amp;"-Pos1",'Shooter-Squad Assignment'!$W:$W,0)),""),IF(F850="Sporting Clays",IFERROR(INDEX('Shooter-Squad Assignment'!$A:$A,MATCH(C850&amp;"-"&amp;E850&amp;"-"&amp;F850&amp;"-Pos1",'Shooter-Squad Assignment'!$Z:$Z,0)),""),"")))</f>
        <v/>
      </c>
      <c r="H850" s="73" t="str">
        <f>IF(ISBLANK(G850),"",IFERROR(INDEX('Tournament List'!$D:$D,MATCH(G850,'Tournament List'!$A:$A,0)),""))</f>
        <v/>
      </c>
      <c r="I850" s="94" t="str">
        <f>IF(F850="Skeet",IFERROR(INDEX('Shooter-Squad Assignment'!$A:$A,MATCH(C850&amp;"-"&amp;E850&amp;"-"&amp;F850&amp;"-Pos2",'Shooter-Squad Assignment'!$K:$K,0)),""),IF(F850="Trap",IFERROR(INDEX('Shooter-Squad Assignment'!$A:$A,MATCH(C850&amp;"-"&amp;E850&amp;"-"&amp;F850&amp;"-Pos2",'Shooter-Squad Assignment'!$W:$W,0)),""),IF(F850="Sporting Clays",IFERROR(INDEX('Shooter-Squad Assignment'!$A:$A,MATCH(C850&amp;"-"&amp;E850&amp;"-"&amp;F850&amp;"-Pos2",'Shooter-Squad Assignment'!$Z:$Z,0)),""),"")))</f>
        <v/>
      </c>
      <c r="J850" s="73" t="str">
        <f>IF(ISBLANK(I850),"",IFERROR(INDEX('Tournament List'!$D:$D,MATCH(I850,'Tournament List'!$A:$A,0)),""))</f>
        <v/>
      </c>
      <c r="K850" s="94" t="str">
        <f>IF(F850="Skeet",IFERROR(INDEX('Shooter-Squad Assignment'!$A:$A,MATCH(C850&amp;"-"&amp;E850&amp;"-"&amp;F850&amp;"-Pos3",'Shooter-Squad Assignment'!$K:$K,0)),""),IF(F850="Trap",IFERROR(INDEX('Shooter-Squad Assignment'!$A:$A,MATCH(C850&amp;"-"&amp;E850&amp;"-"&amp;F850&amp;"-Pos3",'Shooter-Squad Assignment'!$W:$W,0)),""),IF(F850="Sporting Clays",IFERROR(INDEX('Shooter-Squad Assignment'!$A:$A,MATCH(C850&amp;"-"&amp;E850&amp;"-"&amp;F850&amp;"-Pos3",'Shooter-Squad Assignment'!$Z:$Z,0)),""),"")))</f>
        <v/>
      </c>
      <c r="L850" s="73" t="str">
        <f>IF(ISBLANK(K850),"",IFERROR(INDEX('Tournament List'!$D:$D,MATCH(K850,'Tournament List'!$A:$A,0)),""))</f>
        <v/>
      </c>
      <c r="M850" s="94" t="str">
        <f>IF(F850="Skeet",IFERROR(INDEX('Shooter-Squad Assignment'!$A:$A,MATCH(C850&amp;"-"&amp;E850&amp;"-"&amp;F850&amp;"-Pos4",'Shooter-Squad Assignment'!$K:$K,0)),""),IF(F850="Trap",IFERROR(INDEX('Shooter-Squad Assignment'!$A:$A,MATCH(C850&amp;"-"&amp;E850&amp;"-"&amp;F850&amp;"-Pos4",'Shooter-Squad Assignment'!$W:$W,0)),""),IF(F850="Sporting Clays",IFERROR(INDEX('Shooter-Squad Assignment'!$A:$A,MATCH(C850&amp;"-"&amp;E850&amp;"-"&amp;F850&amp;"-Pos4",'Shooter-Squad Assignment'!$Z:$Z,0)),""),"")))</f>
        <v/>
      </c>
      <c r="N850" s="73" t="str">
        <f>IF(ISBLANK(M850),"",IFERROR(INDEX('Tournament List'!$D:$D,MATCH(M850,'Tournament List'!$A:$A,0)),""))</f>
        <v/>
      </c>
      <c r="O850" s="94" t="str">
        <f>IF(F850="Skeet",IFERROR(INDEX('Shooter-Squad Assignment'!$A:$A,MATCH(C850&amp;"-"&amp;E850&amp;"-"&amp;F850&amp;"-Pos5",'Shooter-Squad Assignment'!$K:$K,0)),""),IF(F850="Trap",IFERROR(INDEX('Shooter-Squad Assignment'!$A:$A,MATCH(C850&amp;"-"&amp;E850&amp;"-"&amp;F850&amp;"-Pos5",'Shooter-Squad Assignment'!$W:$W,0)),""),IF(F850="Sporting Clays",IFERROR(INDEX('Shooter-Squad Assignment'!$A:$A,MATCH(C850&amp;"-"&amp;E850&amp;"-"&amp;F850&amp;"-Pos5",'Shooter-Squad Assignment'!$Z:$Z,0)),""),"")))</f>
        <v/>
      </c>
      <c r="P850" s="79" t="str">
        <f>IF(ISBLANK(O850),"",IFERROR(INDEX('Tournament List'!$D:$D,MATCH(O850,'Tournament List'!$A:$A,0)),""))</f>
        <v/>
      </c>
    </row>
    <row r="851" spans="1:16" x14ac:dyDescent="0.3">
      <c r="A851" s="78">
        <v>850</v>
      </c>
      <c r="B851" s="73" t="str">
        <f>C851&amp;"-"&amp;E851&amp;"-"&amp;F851</f>
        <v>-Open 2-Trap</v>
      </c>
      <c r="C851" s="73"/>
      <c r="D851" s="73" t="str">
        <f>INDEX('Tournament Setup'!$B$59:$B$78,MATCH(E851,SquadConcurrents,0))</f>
        <v>Open</v>
      </c>
      <c r="E851" s="73" t="s">
        <v>347</v>
      </c>
      <c r="F851" s="73" t="s">
        <v>147</v>
      </c>
      <c r="G851" s="94" t="str">
        <f>IF(F851="Skeet",IFERROR(INDEX('Shooter-Squad Assignment'!$A:$A,MATCH(C851&amp;"-"&amp;E851&amp;"-"&amp;F851&amp;"-Pos1",'Shooter-Squad Assignment'!$K:$K,0)),""),IF(F851="Trap",IFERROR(INDEX('Shooter-Squad Assignment'!$A:$A,MATCH(C851&amp;"-"&amp;E851&amp;"-"&amp;F851&amp;"-Pos1",'Shooter-Squad Assignment'!$W:$W,0)),""),IF(F851="Sporting Clays",IFERROR(INDEX('Shooter-Squad Assignment'!$A:$A,MATCH(C851&amp;"-"&amp;E851&amp;"-"&amp;F851&amp;"-Pos1",'Shooter-Squad Assignment'!$Z:$Z,0)),""),"")))</f>
        <v/>
      </c>
      <c r="H851" s="73" t="str">
        <f>IF(ISBLANK(G851),"",IFERROR(INDEX('Tournament List'!$D:$D,MATCH(G851,'Tournament List'!$A:$A,0)),""))</f>
        <v/>
      </c>
      <c r="I851" s="94" t="str">
        <f>IF(F851="Skeet",IFERROR(INDEX('Shooter-Squad Assignment'!$A:$A,MATCH(C851&amp;"-"&amp;E851&amp;"-"&amp;F851&amp;"-Pos2",'Shooter-Squad Assignment'!$K:$K,0)),""),IF(F851="Trap",IFERROR(INDEX('Shooter-Squad Assignment'!$A:$A,MATCH(C851&amp;"-"&amp;E851&amp;"-"&amp;F851&amp;"-Pos2",'Shooter-Squad Assignment'!$W:$W,0)),""),IF(F851="Sporting Clays",IFERROR(INDEX('Shooter-Squad Assignment'!$A:$A,MATCH(C851&amp;"-"&amp;E851&amp;"-"&amp;F851&amp;"-Pos2",'Shooter-Squad Assignment'!$Z:$Z,0)),""),"")))</f>
        <v/>
      </c>
      <c r="J851" s="73" t="str">
        <f>IF(ISBLANK(I851),"",IFERROR(INDEX('Tournament List'!$D:$D,MATCH(I851,'Tournament List'!$A:$A,0)),""))</f>
        <v/>
      </c>
      <c r="K851" s="94" t="str">
        <f>IF(F851="Skeet",IFERROR(INDEX('Shooter-Squad Assignment'!$A:$A,MATCH(C851&amp;"-"&amp;E851&amp;"-"&amp;F851&amp;"-Pos3",'Shooter-Squad Assignment'!$K:$K,0)),""),IF(F851="Trap",IFERROR(INDEX('Shooter-Squad Assignment'!$A:$A,MATCH(C851&amp;"-"&amp;E851&amp;"-"&amp;F851&amp;"-Pos3",'Shooter-Squad Assignment'!$W:$W,0)),""),IF(F851="Sporting Clays",IFERROR(INDEX('Shooter-Squad Assignment'!$A:$A,MATCH(C851&amp;"-"&amp;E851&amp;"-"&amp;F851&amp;"-Pos3",'Shooter-Squad Assignment'!$Z:$Z,0)),""),"")))</f>
        <v/>
      </c>
      <c r="L851" s="73" t="str">
        <f>IF(ISBLANK(K851),"",IFERROR(INDEX('Tournament List'!$D:$D,MATCH(K851,'Tournament List'!$A:$A,0)),""))</f>
        <v/>
      </c>
      <c r="M851" s="94" t="str">
        <f>IF(F851="Skeet",IFERROR(INDEX('Shooter-Squad Assignment'!$A:$A,MATCH(C851&amp;"-"&amp;E851&amp;"-"&amp;F851&amp;"-Pos4",'Shooter-Squad Assignment'!$K:$K,0)),""),IF(F851="Trap",IFERROR(INDEX('Shooter-Squad Assignment'!$A:$A,MATCH(C851&amp;"-"&amp;E851&amp;"-"&amp;F851&amp;"-Pos4",'Shooter-Squad Assignment'!$W:$W,0)),""),IF(F851="Sporting Clays",IFERROR(INDEX('Shooter-Squad Assignment'!$A:$A,MATCH(C851&amp;"-"&amp;E851&amp;"-"&amp;F851&amp;"-Pos4",'Shooter-Squad Assignment'!$Z:$Z,0)),""),"")))</f>
        <v/>
      </c>
      <c r="N851" s="73" t="str">
        <f>IF(ISBLANK(M851),"",IFERROR(INDEX('Tournament List'!$D:$D,MATCH(M851,'Tournament List'!$A:$A,0)),""))</f>
        <v/>
      </c>
      <c r="O851" s="94" t="str">
        <f>IF(F851="Skeet",IFERROR(INDEX('Shooter-Squad Assignment'!$A:$A,MATCH(C851&amp;"-"&amp;E851&amp;"-"&amp;F851&amp;"-Pos5",'Shooter-Squad Assignment'!$K:$K,0)),""),IF(F851="Trap",IFERROR(INDEX('Shooter-Squad Assignment'!$A:$A,MATCH(C851&amp;"-"&amp;E851&amp;"-"&amp;F851&amp;"-Pos5",'Shooter-Squad Assignment'!$W:$W,0)),""),IF(F851="Sporting Clays",IFERROR(INDEX('Shooter-Squad Assignment'!$A:$A,MATCH(C851&amp;"-"&amp;E851&amp;"-"&amp;F851&amp;"-Pos5",'Shooter-Squad Assignment'!$Z:$Z,0)),""),"")))</f>
        <v/>
      </c>
      <c r="P851" s="79" t="str">
        <f>IF(ISBLANK(O851),"",IFERROR(INDEX('Tournament List'!$D:$D,MATCH(O851,'Tournament List'!$A:$A,0)),""))</f>
        <v/>
      </c>
    </row>
    <row r="852" spans="1:16" x14ac:dyDescent="0.3">
      <c r="A852" s="78">
        <v>851</v>
      </c>
      <c r="B852" s="73" t="str">
        <f>C852&amp;"-"&amp;E852&amp;"-"&amp;F852</f>
        <v>-Open 3-Trap</v>
      </c>
      <c r="C852" s="73"/>
      <c r="D852" s="73" t="str">
        <f>INDEX('Tournament Setup'!$B$59:$B$78,MATCH(E852,SquadConcurrents,0))</f>
        <v>Open</v>
      </c>
      <c r="E852" s="73" t="s">
        <v>353</v>
      </c>
      <c r="F852" s="73" t="s">
        <v>147</v>
      </c>
      <c r="G852" s="94" t="str">
        <f>IF(F852="Skeet",IFERROR(INDEX('Shooter-Squad Assignment'!$A:$A,MATCH(C852&amp;"-"&amp;E852&amp;"-"&amp;F852&amp;"-Pos1",'Shooter-Squad Assignment'!$K:$K,0)),""),IF(F852="Trap",IFERROR(INDEX('Shooter-Squad Assignment'!$A:$A,MATCH(C852&amp;"-"&amp;E852&amp;"-"&amp;F852&amp;"-Pos1",'Shooter-Squad Assignment'!$W:$W,0)),""),IF(F852="Sporting Clays",IFERROR(INDEX('Shooter-Squad Assignment'!$A:$A,MATCH(C852&amp;"-"&amp;E852&amp;"-"&amp;F852&amp;"-Pos1",'Shooter-Squad Assignment'!$Z:$Z,0)),""),"")))</f>
        <v/>
      </c>
      <c r="H852" s="73" t="str">
        <f>IF(ISBLANK(G852),"",IFERROR(INDEX('Tournament List'!$D:$D,MATCH(G852,'Tournament List'!$A:$A,0)),""))</f>
        <v/>
      </c>
      <c r="I852" s="94" t="str">
        <f>IF(F852="Skeet",IFERROR(INDEX('Shooter-Squad Assignment'!$A:$A,MATCH(C852&amp;"-"&amp;E852&amp;"-"&amp;F852&amp;"-Pos2",'Shooter-Squad Assignment'!$K:$K,0)),""),IF(F852="Trap",IFERROR(INDEX('Shooter-Squad Assignment'!$A:$A,MATCH(C852&amp;"-"&amp;E852&amp;"-"&amp;F852&amp;"-Pos2",'Shooter-Squad Assignment'!$W:$W,0)),""),IF(F852="Sporting Clays",IFERROR(INDEX('Shooter-Squad Assignment'!$A:$A,MATCH(C852&amp;"-"&amp;E852&amp;"-"&amp;F852&amp;"-Pos2",'Shooter-Squad Assignment'!$Z:$Z,0)),""),"")))</f>
        <v/>
      </c>
      <c r="J852" s="73" t="str">
        <f>IF(ISBLANK(I852),"",IFERROR(INDEX('Tournament List'!$D:$D,MATCH(I852,'Tournament List'!$A:$A,0)),""))</f>
        <v/>
      </c>
      <c r="K852" s="94" t="str">
        <f>IF(F852="Skeet",IFERROR(INDEX('Shooter-Squad Assignment'!$A:$A,MATCH(C852&amp;"-"&amp;E852&amp;"-"&amp;F852&amp;"-Pos3",'Shooter-Squad Assignment'!$K:$K,0)),""),IF(F852="Trap",IFERROR(INDEX('Shooter-Squad Assignment'!$A:$A,MATCH(C852&amp;"-"&amp;E852&amp;"-"&amp;F852&amp;"-Pos3",'Shooter-Squad Assignment'!$W:$W,0)),""),IF(F852="Sporting Clays",IFERROR(INDEX('Shooter-Squad Assignment'!$A:$A,MATCH(C852&amp;"-"&amp;E852&amp;"-"&amp;F852&amp;"-Pos3",'Shooter-Squad Assignment'!$Z:$Z,0)),""),"")))</f>
        <v/>
      </c>
      <c r="L852" s="73" t="str">
        <f>IF(ISBLANK(K852),"",IFERROR(INDEX('Tournament List'!$D:$D,MATCH(K852,'Tournament List'!$A:$A,0)),""))</f>
        <v/>
      </c>
      <c r="M852" s="94" t="str">
        <f>IF(F852="Skeet",IFERROR(INDEX('Shooter-Squad Assignment'!$A:$A,MATCH(C852&amp;"-"&amp;E852&amp;"-"&amp;F852&amp;"-Pos4",'Shooter-Squad Assignment'!$K:$K,0)),""),IF(F852="Trap",IFERROR(INDEX('Shooter-Squad Assignment'!$A:$A,MATCH(C852&amp;"-"&amp;E852&amp;"-"&amp;F852&amp;"-Pos4",'Shooter-Squad Assignment'!$W:$W,0)),""),IF(F852="Sporting Clays",IFERROR(INDEX('Shooter-Squad Assignment'!$A:$A,MATCH(C852&amp;"-"&amp;E852&amp;"-"&amp;F852&amp;"-Pos4",'Shooter-Squad Assignment'!$Z:$Z,0)),""),"")))</f>
        <v/>
      </c>
      <c r="N852" s="73" t="str">
        <f>IF(ISBLANK(M852),"",IFERROR(INDEX('Tournament List'!$D:$D,MATCH(M852,'Tournament List'!$A:$A,0)),""))</f>
        <v/>
      </c>
      <c r="O852" s="94" t="str">
        <f>IF(F852="Skeet",IFERROR(INDEX('Shooter-Squad Assignment'!$A:$A,MATCH(C852&amp;"-"&amp;E852&amp;"-"&amp;F852&amp;"-Pos5",'Shooter-Squad Assignment'!$K:$K,0)),""),IF(F852="Trap",IFERROR(INDEX('Shooter-Squad Assignment'!$A:$A,MATCH(C852&amp;"-"&amp;E852&amp;"-"&amp;F852&amp;"-Pos5",'Shooter-Squad Assignment'!$W:$W,0)),""),IF(F852="Sporting Clays",IFERROR(INDEX('Shooter-Squad Assignment'!$A:$A,MATCH(C852&amp;"-"&amp;E852&amp;"-"&amp;F852&amp;"-Pos5",'Shooter-Squad Assignment'!$Z:$Z,0)),""),"")))</f>
        <v/>
      </c>
      <c r="P852" s="79" t="str">
        <f>IF(ISBLANK(O852),"",IFERROR(INDEX('Tournament List'!$D:$D,MATCH(O852,'Tournament List'!$A:$A,0)),""))</f>
        <v/>
      </c>
    </row>
    <row r="853" spans="1:16" x14ac:dyDescent="0.3">
      <c r="A853" s="78">
        <v>852</v>
      </c>
      <c r="B853" s="73" t="str">
        <f>C853&amp;"-"&amp;E853&amp;"-"&amp;F853</f>
        <v>-Unassigned 1-Trap</v>
      </c>
      <c r="C853" s="73"/>
      <c r="D853" s="73" t="str">
        <f>INDEX('Tournament Setup'!$B$59:$B$78,MATCH(E853,SquadConcurrents,0))</f>
        <v>Unassigned</v>
      </c>
      <c r="E853" s="73" t="s">
        <v>762</v>
      </c>
      <c r="F853" s="73" t="s">
        <v>147</v>
      </c>
      <c r="G853" s="94" t="str">
        <f>IF(F853="Skeet",IFERROR(INDEX('Shooter-Squad Assignment'!$A:$A,MATCH(C853&amp;"-"&amp;E853&amp;"-"&amp;F853&amp;"-Pos1",'Shooter-Squad Assignment'!$K:$K,0)),""),IF(F853="Trap",IFERROR(INDEX('Shooter-Squad Assignment'!$A:$A,MATCH(C853&amp;"-"&amp;E853&amp;"-"&amp;F853&amp;"-Pos1",'Shooter-Squad Assignment'!$W:$W,0)),""),IF(F853="Sporting Clays",IFERROR(INDEX('Shooter-Squad Assignment'!$A:$A,MATCH(C853&amp;"-"&amp;E853&amp;"-"&amp;F853&amp;"-Pos1",'Shooter-Squad Assignment'!$Z:$Z,0)),""),"")))</f>
        <v/>
      </c>
      <c r="H853" s="73" t="str">
        <f>IF(ISBLANK(G853),"",IFERROR(INDEX('Tournament List'!$D:$D,MATCH(G853,'Tournament List'!$A:$A,0)),""))</f>
        <v/>
      </c>
      <c r="I853" s="94" t="str">
        <f>IF(F853="Skeet",IFERROR(INDEX('Shooter-Squad Assignment'!$A:$A,MATCH(C853&amp;"-"&amp;E853&amp;"-"&amp;F853&amp;"-Pos2",'Shooter-Squad Assignment'!$K:$K,0)),""),IF(F853="Trap",IFERROR(INDEX('Shooter-Squad Assignment'!$A:$A,MATCH(C853&amp;"-"&amp;E853&amp;"-"&amp;F853&amp;"-Pos2",'Shooter-Squad Assignment'!$W:$W,0)),""),IF(F853="Sporting Clays",IFERROR(INDEX('Shooter-Squad Assignment'!$A:$A,MATCH(C853&amp;"-"&amp;E853&amp;"-"&amp;F853&amp;"-Pos2",'Shooter-Squad Assignment'!$Z:$Z,0)),""),"")))</f>
        <v/>
      </c>
      <c r="J853" s="73" t="str">
        <f>IF(ISBLANK(I853),"",IFERROR(INDEX('Tournament List'!$D:$D,MATCH(I853,'Tournament List'!$A:$A,0)),""))</f>
        <v/>
      </c>
      <c r="K853" s="94" t="str">
        <f>IF(F853="Skeet",IFERROR(INDEX('Shooter-Squad Assignment'!$A:$A,MATCH(C853&amp;"-"&amp;E853&amp;"-"&amp;F853&amp;"-Pos3",'Shooter-Squad Assignment'!$K:$K,0)),""),IF(F853="Trap",IFERROR(INDEX('Shooter-Squad Assignment'!$A:$A,MATCH(C853&amp;"-"&amp;E853&amp;"-"&amp;F853&amp;"-Pos3",'Shooter-Squad Assignment'!$W:$W,0)),""),IF(F853="Sporting Clays",IFERROR(INDEX('Shooter-Squad Assignment'!$A:$A,MATCH(C853&amp;"-"&amp;E853&amp;"-"&amp;F853&amp;"-Pos3",'Shooter-Squad Assignment'!$Z:$Z,0)),""),"")))</f>
        <v/>
      </c>
      <c r="L853" s="73" t="str">
        <f>IF(ISBLANK(K853),"",IFERROR(INDEX('Tournament List'!$D:$D,MATCH(K853,'Tournament List'!$A:$A,0)),""))</f>
        <v/>
      </c>
      <c r="M853" s="94" t="str">
        <f>IF(F853="Skeet",IFERROR(INDEX('Shooter-Squad Assignment'!$A:$A,MATCH(C853&amp;"-"&amp;E853&amp;"-"&amp;F853&amp;"-Pos4",'Shooter-Squad Assignment'!$K:$K,0)),""),IF(F853="Trap",IFERROR(INDEX('Shooter-Squad Assignment'!$A:$A,MATCH(C853&amp;"-"&amp;E853&amp;"-"&amp;F853&amp;"-Pos4",'Shooter-Squad Assignment'!$W:$W,0)),""),IF(F853="Sporting Clays",IFERROR(INDEX('Shooter-Squad Assignment'!$A:$A,MATCH(C853&amp;"-"&amp;E853&amp;"-"&amp;F853&amp;"-Pos4",'Shooter-Squad Assignment'!$Z:$Z,0)),""),"")))</f>
        <v/>
      </c>
      <c r="N853" s="73" t="str">
        <f>IF(ISBLANK(M853),"",IFERROR(INDEX('Tournament List'!$D:$D,MATCH(M853,'Tournament List'!$A:$A,0)),""))</f>
        <v/>
      </c>
      <c r="O853" s="94" t="str">
        <f>IF(F853="Skeet",IFERROR(INDEX('Shooter-Squad Assignment'!$A:$A,MATCH(C853&amp;"-"&amp;E853&amp;"-"&amp;F853&amp;"-Pos5",'Shooter-Squad Assignment'!$K:$K,0)),""),IF(F853="Trap",IFERROR(INDEX('Shooter-Squad Assignment'!$A:$A,MATCH(C853&amp;"-"&amp;E853&amp;"-"&amp;F853&amp;"-Pos5",'Shooter-Squad Assignment'!$W:$W,0)),""),IF(F853="Sporting Clays",IFERROR(INDEX('Shooter-Squad Assignment'!$A:$A,MATCH(C853&amp;"-"&amp;E853&amp;"-"&amp;F853&amp;"-Pos5",'Shooter-Squad Assignment'!$Z:$Z,0)),""),"")))</f>
        <v/>
      </c>
      <c r="P853" s="79" t="str">
        <f>IF(ISBLANK(O853),"",IFERROR(INDEX('Tournament List'!$D:$D,MATCH(O853,'Tournament List'!$A:$A,0)),""))</f>
        <v/>
      </c>
    </row>
    <row r="854" spans="1:16" x14ac:dyDescent="0.3">
      <c r="A854" s="78">
        <v>853</v>
      </c>
      <c r="B854" s="73" t="str">
        <f>C854&amp;"-"&amp;E854&amp;"-"&amp;F854</f>
        <v>-Varsity 1-Trap</v>
      </c>
      <c r="C854" s="73"/>
      <c r="D854" s="73" t="str">
        <f>INDEX('Tournament Setup'!$B$59:$B$78,MATCH(E854,SquadConcurrents,0))</f>
        <v>Varsity</v>
      </c>
      <c r="E854" s="73" t="s">
        <v>340</v>
      </c>
      <c r="F854" s="73" t="s">
        <v>147</v>
      </c>
      <c r="G854" s="94" t="str">
        <f>IF(F854="Skeet",IFERROR(INDEX('Shooter-Squad Assignment'!$A:$A,MATCH(C854&amp;"-"&amp;E854&amp;"-"&amp;F854&amp;"-Pos1",'Shooter-Squad Assignment'!$K:$K,0)),""),IF(F854="Trap",IFERROR(INDEX('Shooter-Squad Assignment'!$A:$A,MATCH(C854&amp;"-"&amp;E854&amp;"-"&amp;F854&amp;"-Pos1",'Shooter-Squad Assignment'!$W:$W,0)),""),IF(F854="Sporting Clays",IFERROR(INDEX('Shooter-Squad Assignment'!$A:$A,MATCH(C854&amp;"-"&amp;E854&amp;"-"&amp;F854&amp;"-Pos1",'Shooter-Squad Assignment'!$Z:$Z,0)),""),"")))</f>
        <v/>
      </c>
      <c r="H854" s="73" t="str">
        <f>IF(ISBLANK(G854),"",IFERROR(INDEX('Tournament List'!$D:$D,MATCH(G854,'Tournament List'!$A:$A,0)),""))</f>
        <v/>
      </c>
      <c r="I854" s="94" t="str">
        <f>IF(F854="Skeet",IFERROR(INDEX('Shooter-Squad Assignment'!$A:$A,MATCH(C854&amp;"-"&amp;E854&amp;"-"&amp;F854&amp;"-Pos2",'Shooter-Squad Assignment'!$K:$K,0)),""),IF(F854="Trap",IFERROR(INDEX('Shooter-Squad Assignment'!$A:$A,MATCH(C854&amp;"-"&amp;E854&amp;"-"&amp;F854&amp;"-Pos2",'Shooter-Squad Assignment'!$W:$W,0)),""),IF(F854="Sporting Clays",IFERROR(INDEX('Shooter-Squad Assignment'!$A:$A,MATCH(C854&amp;"-"&amp;E854&amp;"-"&amp;F854&amp;"-Pos2",'Shooter-Squad Assignment'!$Z:$Z,0)),""),"")))</f>
        <v/>
      </c>
      <c r="J854" s="73" t="str">
        <f>IF(ISBLANK(I854),"",IFERROR(INDEX('Tournament List'!$D:$D,MATCH(I854,'Tournament List'!$A:$A,0)),""))</f>
        <v/>
      </c>
      <c r="K854" s="94" t="str">
        <f>IF(F854="Skeet",IFERROR(INDEX('Shooter-Squad Assignment'!$A:$A,MATCH(C854&amp;"-"&amp;E854&amp;"-"&amp;F854&amp;"-Pos3",'Shooter-Squad Assignment'!$K:$K,0)),""),IF(F854="Trap",IFERROR(INDEX('Shooter-Squad Assignment'!$A:$A,MATCH(C854&amp;"-"&amp;E854&amp;"-"&amp;F854&amp;"-Pos3",'Shooter-Squad Assignment'!$W:$W,0)),""),IF(F854="Sporting Clays",IFERROR(INDEX('Shooter-Squad Assignment'!$A:$A,MATCH(C854&amp;"-"&amp;E854&amp;"-"&amp;F854&amp;"-Pos3",'Shooter-Squad Assignment'!$Z:$Z,0)),""),"")))</f>
        <v/>
      </c>
      <c r="L854" s="73" t="str">
        <f>IF(ISBLANK(K854),"",IFERROR(INDEX('Tournament List'!$D:$D,MATCH(K854,'Tournament List'!$A:$A,0)),""))</f>
        <v/>
      </c>
      <c r="M854" s="94" t="str">
        <f>IF(F854="Skeet",IFERROR(INDEX('Shooter-Squad Assignment'!$A:$A,MATCH(C854&amp;"-"&amp;E854&amp;"-"&amp;F854&amp;"-Pos4",'Shooter-Squad Assignment'!$K:$K,0)),""),IF(F854="Trap",IFERROR(INDEX('Shooter-Squad Assignment'!$A:$A,MATCH(C854&amp;"-"&amp;E854&amp;"-"&amp;F854&amp;"-Pos4",'Shooter-Squad Assignment'!$W:$W,0)),""),IF(F854="Sporting Clays",IFERROR(INDEX('Shooter-Squad Assignment'!$A:$A,MATCH(C854&amp;"-"&amp;E854&amp;"-"&amp;F854&amp;"-Pos4",'Shooter-Squad Assignment'!$Z:$Z,0)),""),"")))</f>
        <v/>
      </c>
      <c r="N854" s="73" t="str">
        <f>IF(ISBLANK(M854),"",IFERROR(INDEX('Tournament List'!$D:$D,MATCH(M854,'Tournament List'!$A:$A,0)),""))</f>
        <v/>
      </c>
      <c r="O854" s="94" t="str">
        <f>IF(F854="Skeet",IFERROR(INDEX('Shooter-Squad Assignment'!$A:$A,MATCH(C854&amp;"-"&amp;E854&amp;"-"&amp;F854&amp;"-Pos5",'Shooter-Squad Assignment'!$K:$K,0)),""),IF(F854="Trap",IFERROR(INDEX('Shooter-Squad Assignment'!$A:$A,MATCH(C854&amp;"-"&amp;E854&amp;"-"&amp;F854&amp;"-Pos5",'Shooter-Squad Assignment'!$W:$W,0)),""),IF(F854="Sporting Clays",IFERROR(INDEX('Shooter-Squad Assignment'!$A:$A,MATCH(C854&amp;"-"&amp;E854&amp;"-"&amp;F854&amp;"-Pos5",'Shooter-Squad Assignment'!$Z:$Z,0)),""),"")))</f>
        <v/>
      </c>
      <c r="P854" s="79" t="str">
        <f>IF(ISBLANK(O854),"",IFERROR(INDEX('Tournament List'!$D:$D,MATCH(O854,'Tournament List'!$A:$A,0)),""))</f>
        <v/>
      </c>
    </row>
    <row r="855" spans="1:16" x14ac:dyDescent="0.3">
      <c r="A855" s="78">
        <v>854</v>
      </c>
      <c r="B855" s="73" t="str">
        <f>C855&amp;"-"&amp;E855&amp;"-"&amp;F855</f>
        <v>-Varsity 2-Trap</v>
      </c>
      <c r="C855" s="73"/>
      <c r="D855" s="73" t="str">
        <f>INDEX('Tournament Setup'!$B$59:$B$78,MATCH(E855,SquadConcurrents,0))</f>
        <v>Varsity</v>
      </c>
      <c r="E855" s="73" t="s">
        <v>346</v>
      </c>
      <c r="F855" s="73" t="s">
        <v>147</v>
      </c>
      <c r="G855" s="94" t="str">
        <f>IF(F855="Skeet",IFERROR(INDEX('Shooter-Squad Assignment'!$A:$A,MATCH(C855&amp;"-"&amp;E855&amp;"-"&amp;F855&amp;"-Pos1",'Shooter-Squad Assignment'!$K:$K,0)),""),IF(F855="Trap",IFERROR(INDEX('Shooter-Squad Assignment'!$A:$A,MATCH(C855&amp;"-"&amp;E855&amp;"-"&amp;F855&amp;"-Pos1",'Shooter-Squad Assignment'!$W:$W,0)),""),IF(F855="Sporting Clays",IFERROR(INDEX('Shooter-Squad Assignment'!$A:$A,MATCH(C855&amp;"-"&amp;E855&amp;"-"&amp;F855&amp;"-Pos1",'Shooter-Squad Assignment'!$Z:$Z,0)),""),"")))</f>
        <v/>
      </c>
      <c r="H855" s="73" t="str">
        <f>IF(ISBLANK(G855),"",IFERROR(INDEX('Tournament List'!$D:$D,MATCH(G855,'Tournament List'!$A:$A,0)),""))</f>
        <v/>
      </c>
      <c r="I855" s="94" t="str">
        <f>IF(F855="Skeet",IFERROR(INDEX('Shooter-Squad Assignment'!$A:$A,MATCH(C855&amp;"-"&amp;E855&amp;"-"&amp;F855&amp;"-Pos2",'Shooter-Squad Assignment'!$K:$K,0)),""),IF(F855="Trap",IFERROR(INDEX('Shooter-Squad Assignment'!$A:$A,MATCH(C855&amp;"-"&amp;E855&amp;"-"&amp;F855&amp;"-Pos2",'Shooter-Squad Assignment'!$W:$W,0)),""),IF(F855="Sporting Clays",IFERROR(INDEX('Shooter-Squad Assignment'!$A:$A,MATCH(C855&amp;"-"&amp;E855&amp;"-"&amp;F855&amp;"-Pos2",'Shooter-Squad Assignment'!$Z:$Z,0)),""),"")))</f>
        <v/>
      </c>
      <c r="J855" s="73" t="str">
        <f>IF(ISBLANK(I855),"",IFERROR(INDEX('Tournament List'!$D:$D,MATCH(I855,'Tournament List'!$A:$A,0)),""))</f>
        <v/>
      </c>
      <c r="K855" s="94" t="str">
        <f>IF(F855="Skeet",IFERROR(INDEX('Shooter-Squad Assignment'!$A:$A,MATCH(C855&amp;"-"&amp;E855&amp;"-"&amp;F855&amp;"-Pos3",'Shooter-Squad Assignment'!$K:$K,0)),""),IF(F855="Trap",IFERROR(INDEX('Shooter-Squad Assignment'!$A:$A,MATCH(C855&amp;"-"&amp;E855&amp;"-"&amp;F855&amp;"-Pos3",'Shooter-Squad Assignment'!$W:$W,0)),""),IF(F855="Sporting Clays",IFERROR(INDEX('Shooter-Squad Assignment'!$A:$A,MATCH(C855&amp;"-"&amp;E855&amp;"-"&amp;F855&amp;"-Pos3",'Shooter-Squad Assignment'!$Z:$Z,0)),""),"")))</f>
        <v/>
      </c>
      <c r="L855" s="73" t="str">
        <f>IF(ISBLANK(K855),"",IFERROR(INDEX('Tournament List'!$D:$D,MATCH(K855,'Tournament List'!$A:$A,0)),""))</f>
        <v/>
      </c>
      <c r="M855" s="94" t="str">
        <f>IF(F855="Skeet",IFERROR(INDEX('Shooter-Squad Assignment'!$A:$A,MATCH(C855&amp;"-"&amp;E855&amp;"-"&amp;F855&amp;"-Pos4",'Shooter-Squad Assignment'!$K:$K,0)),""),IF(F855="Trap",IFERROR(INDEX('Shooter-Squad Assignment'!$A:$A,MATCH(C855&amp;"-"&amp;E855&amp;"-"&amp;F855&amp;"-Pos4",'Shooter-Squad Assignment'!$W:$W,0)),""),IF(F855="Sporting Clays",IFERROR(INDEX('Shooter-Squad Assignment'!$A:$A,MATCH(C855&amp;"-"&amp;E855&amp;"-"&amp;F855&amp;"-Pos4",'Shooter-Squad Assignment'!$Z:$Z,0)),""),"")))</f>
        <v/>
      </c>
      <c r="N855" s="73" t="str">
        <f>IF(ISBLANK(M855),"",IFERROR(INDEX('Tournament List'!$D:$D,MATCH(M855,'Tournament List'!$A:$A,0)),""))</f>
        <v/>
      </c>
      <c r="O855" s="94" t="str">
        <f>IF(F855="Skeet",IFERROR(INDEX('Shooter-Squad Assignment'!$A:$A,MATCH(C855&amp;"-"&amp;E855&amp;"-"&amp;F855&amp;"-Pos5",'Shooter-Squad Assignment'!$K:$K,0)),""),IF(F855="Trap",IFERROR(INDEX('Shooter-Squad Assignment'!$A:$A,MATCH(C855&amp;"-"&amp;E855&amp;"-"&amp;F855&amp;"-Pos5",'Shooter-Squad Assignment'!$W:$W,0)),""),IF(F855="Sporting Clays",IFERROR(INDEX('Shooter-Squad Assignment'!$A:$A,MATCH(C855&amp;"-"&amp;E855&amp;"-"&amp;F855&amp;"-Pos5",'Shooter-Squad Assignment'!$Z:$Z,0)),""),"")))</f>
        <v/>
      </c>
      <c r="P855" s="79" t="str">
        <f>IF(ISBLANK(O855),"",IFERROR(INDEX('Tournament List'!$D:$D,MATCH(O855,'Tournament List'!$A:$A,0)),""))</f>
        <v/>
      </c>
    </row>
    <row r="856" spans="1:16" ht="15" thickBot="1" x14ac:dyDescent="0.35">
      <c r="A856" s="78">
        <v>855</v>
      </c>
      <c r="B856" s="73" t="str">
        <f>C856&amp;"-"&amp;E856&amp;"-"&amp;F856</f>
        <v>-Varsity 3-Trap</v>
      </c>
      <c r="C856" s="73"/>
      <c r="D856" s="73" t="str">
        <f>INDEX('Tournament Setup'!$B$59:$B$78,MATCH(E856,SquadConcurrents,0))</f>
        <v>Varsity</v>
      </c>
      <c r="E856" s="73" t="s">
        <v>352</v>
      </c>
      <c r="F856" s="73" t="s">
        <v>147</v>
      </c>
      <c r="G856" s="94" t="str">
        <f>IF(F856="Skeet",IFERROR(INDEX('Shooter-Squad Assignment'!$A:$A,MATCH(C856&amp;"-"&amp;E856&amp;"-"&amp;F856&amp;"-Pos1",'Shooter-Squad Assignment'!$K:$K,0)),""),IF(F856="Trap",IFERROR(INDEX('Shooter-Squad Assignment'!$A:$A,MATCH(C856&amp;"-"&amp;E856&amp;"-"&amp;F856&amp;"-Pos1",'Shooter-Squad Assignment'!$W:$W,0)),""),IF(F856="Sporting Clays",IFERROR(INDEX('Shooter-Squad Assignment'!$A:$A,MATCH(C856&amp;"-"&amp;E856&amp;"-"&amp;F856&amp;"-Pos1",'Shooter-Squad Assignment'!$Z:$Z,0)),""),"")))</f>
        <v/>
      </c>
      <c r="H856" s="73" t="str">
        <f>IF(ISBLANK(G856),"",IFERROR(INDEX('Tournament List'!$D:$D,MATCH(G856,'Tournament List'!$A:$A,0)),""))</f>
        <v/>
      </c>
      <c r="I856" s="94" t="str">
        <f>IF(F856="Skeet",IFERROR(INDEX('Shooter-Squad Assignment'!$A:$A,MATCH(C856&amp;"-"&amp;E856&amp;"-"&amp;F856&amp;"-Pos2",'Shooter-Squad Assignment'!$K:$K,0)),""),IF(F856="Trap",IFERROR(INDEX('Shooter-Squad Assignment'!$A:$A,MATCH(C856&amp;"-"&amp;E856&amp;"-"&amp;F856&amp;"-Pos2",'Shooter-Squad Assignment'!$W:$W,0)),""),IF(F856="Sporting Clays",IFERROR(INDEX('Shooter-Squad Assignment'!$A:$A,MATCH(C856&amp;"-"&amp;E856&amp;"-"&amp;F856&amp;"-Pos2",'Shooter-Squad Assignment'!$Z:$Z,0)),""),"")))</f>
        <v/>
      </c>
      <c r="J856" s="73" t="str">
        <f>IF(ISBLANK(I856),"",IFERROR(INDEX('Tournament List'!$D:$D,MATCH(I856,'Tournament List'!$A:$A,0)),""))</f>
        <v/>
      </c>
      <c r="K856" s="94" t="str">
        <f>IF(F856="Skeet",IFERROR(INDEX('Shooter-Squad Assignment'!$A:$A,MATCH(C856&amp;"-"&amp;E856&amp;"-"&amp;F856&amp;"-Pos3",'Shooter-Squad Assignment'!$K:$K,0)),""),IF(F856="Trap",IFERROR(INDEX('Shooter-Squad Assignment'!$A:$A,MATCH(C856&amp;"-"&amp;E856&amp;"-"&amp;F856&amp;"-Pos3",'Shooter-Squad Assignment'!$W:$W,0)),""),IF(F856="Sporting Clays",IFERROR(INDEX('Shooter-Squad Assignment'!$A:$A,MATCH(C856&amp;"-"&amp;E856&amp;"-"&amp;F856&amp;"-Pos3",'Shooter-Squad Assignment'!$Z:$Z,0)),""),"")))</f>
        <v/>
      </c>
      <c r="L856" s="73" t="str">
        <f>IF(ISBLANK(K856),"",IFERROR(INDEX('Tournament List'!$D:$D,MATCH(K856,'Tournament List'!$A:$A,0)),""))</f>
        <v/>
      </c>
      <c r="M856" s="94" t="str">
        <f>IF(F856="Skeet",IFERROR(INDEX('Shooter-Squad Assignment'!$A:$A,MATCH(C856&amp;"-"&amp;E856&amp;"-"&amp;F856&amp;"-Pos4",'Shooter-Squad Assignment'!$K:$K,0)),""),IF(F856="Trap",IFERROR(INDEX('Shooter-Squad Assignment'!$A:$A,MATCH(C856&amp;"-"&amp;E856&amp;"-"&amp;F856&amp;"-Pos4",'Shooter-Squad Assignment'!$W:$W,0)),""),IF(F856="Sporting Clays",IFERROR(INDEX('Shooter-Squad Assignment'!$A:$A,MATCH(C856&amp;"-"&amp;E856&amp;"-"&amp;F856&amp;"-Pos4",'Shooter-Squad Assignment'!$Z:$Z,0)),""),"")))</f>
        <v/>
      </c>
      <c r="N856" s="73" t="str">
        <f>IF(ISBLANK(M856),"",IFERROR(INDEX('Tournament List'!$D:$D,MATCH(M856,'Tournament List'!$A:$A,0)),""))</f>
        <v/>
      </c>
      <c r="O856" s="94" t="str">
        <f>IF(F856="Skeet",IFERROR(INDEX('Shooter-Squad Assignment'!$A:$A,MATCH(C856&amp;"-"&amp;E856&amp;"-"&amp;F856&amp;"-Pos5",'Shooter-Squad Assignment'!$K:$K,0)),""),IF(F856="Trap",IFERROR(INDEX('Shooter-Squad Assignment'!$A:$A,MATCH(C856&amp;"-"&amp;E856&amp;"-"&amp;F856&amp;"-Pos5",'Shooter-Squad Assignment'!$W:$W,0)),""),IF(F856="Sporting Clays",IFERROR(INDEX('Shooter-Squad Assignment'!$A:$A,MATCH(C856&amp;"-"&amp;E856&amp;"-"&amp;F856&amp;"-Pos5",'Shooter-Squad Assignment'!$Z:$Z,0)),""),"")))</f>
        <v/>
      </c>
      <c r="P856" s="79" t="str">
        <f>IF(ISBLANK(O856),"",IFERROR(INDEX('Tournament List'!$D:$D,MATCH(O856,'Tournament List'!$A:$A,0)),""))</f>
        <v/>
      </c>
    </row>
    <row r="857" spans="1:16" x14ac:dyDescent="0.3">
      <c r="A857" s="84">
        <v>856</v>
      </c>
      <c r="B857" s="85" t="str">
        <f>C857&amp;"-"&amp;E857&amp;"-"&amp;F857</f>
        <v>-Collegiate 1-Skeet</v>
      </c>
      <c r="C857" s="85"/>
      <c r="D857" s="85" t="str">
        <f>INDEX('Tournament Setup'!$B$59:$B$78,MATCH(E857,SquadConcurrents,0))</f>
        <v>Collegiate</v>
      </c>
      <c r="E857" s="85" t="s">
        <v>342</v>
      </c>
      <c r="F857" s="85" t="s">
        <v>143</v>
      </c>
      <c r="G857" s="95" t="str">
        <f>IF(F857="Skeet",IFERROR(INDEX('Shooter-Squad Assignment'!$A:$A,MATCH(C857&amp;"-"&amp;E857&amp;"-"&amp;F857&amp;"-Pos1",'Shooter-Squad Assignment'!$K:$K,0)),""),IF(F857="Trap",IFERROR(INDEX('Shooter-Squad Assignment'!$A:$A,MATCH(C857&amp;"-"&amp;E857&amp;"-"&amp;F857&amp;"-Pos1",'Shooter-Squad Assignment'!$W:$W,0)),""),IF(F857="Sporting Clays",IFERROR(INDEX('Shooter-Squad Assignment'!$A:$A,MATCH(C857&amp;"-"&amp;E857&amp;"-"&amp;F857&amp;"-Pos1",'Shooter-Squad Assignment'!$Z:$Z,0)),""),"")))</f>
        <v/>
      </c>
      <c r="H857" s="85" t="str">
        <f>IF(ISBLANK(G857),"",IFERROR(INDEX('Tournament List'!$D:$D,MATCH(G857,'Tournament List'!$A:$A,0)),""))</f>
        <v/>
      </c>
      <c r="I857" s="95" t="str">
        <f>IF(F857="Skeet",IFERROR(INDEX('Shooter-Squad Assignment'!$A:$A,MATCH(C857&amp;"-"&amp;E857&amp;"-"&amp;F857&amp;"-Pos2",'Shooter-Squad Assignment'!$K:$K,0)),""),IF(F857="Trap",IFERROR(INDEX('Shooter-Squad Assignment'!$A:$A,MATCH(C857&amp;"-"&amp;E857&amp;"-"&amp;F857&amp;"-Pos2",'Shooter-Squad Assignment'!$W:$W,0)),""),IF(F857="Sporting Clays",IFERROR(INDEX('Shooter-Squad Assignment'!$A:$A,MATCH(C857&amp;"-"&amp;E857&amp;"-"&amp;F857&amp;"-Pos2",'Shooter-Squad Assignment'!$Z:$Z,0)),""),"")))</f>
        <v/>
      </c>
      <c r="J857" s="85" t="str">
        <f>IF(ISBLANK(I857),"",IFERROR(INDEX('Tournament List'!$D:$D,MATCH(I857,'Tournament List'!$A:$A,0)),""))</f>
        <v/>
      </c>
      <c r="K857" s="95" t="str">
        <f>IF(F857="Skeet",IFERROR(INDEX('Shooter-Squad Assignment'!$A:$A,MATCH(C857&amp;"-"&amp;E857&amp;"-"&amp;F857&amp;"-Pos3",'Shooter-Squad Assignment'!$K:$K,0)),""),IF(F857="Trap",IFERROR(INDEX('Shooter-Squad Assignment'!$A:$A,MATCH(C857&amp;"-"&amp;E857&amp;"-"&amp;F857&amp;"-Pos3",'Shooter-Squad Assignment'!$W:$W,0)),""),IF(F857="Sporting Clays",IFERROR(INDEX('Shooter-Squad Assignment'!$A:$A,MATCH(C857&amp;"-"&amp;E857&amp;"-"&amp;F857&amp;"-Pos3",'Shooter-Squad Assignment'!$Z:$Z,0)),""),"")))</f>
        <v/>
      </c>
      <c r="L857" s="85" t="str">
        <f>IF(ISBLANK(K857),"",IFERROR(INDEX('Tournament List'!$D:$D,MATCH(K857,'Tournament List'!$A:$A,0)),""))</f>
        <v/>
      </c>
      <c r="M857" s="95" t="str">
        <f>IF(F857="Skeet",IFERROR(INDEX('Shooter-Squad Assignment'!$A:$A,MATCH(C857&amp;"-"&amp;E857&amp;"-"&amp;F857&amp;"-Pos4",'Shooter-Squad Assignment'!$K:$K,0)),""),IF(F857="Trap",IFERROR(INDEX('Shooter-Squad Assignment'!$A:$A,MATCH(C857&amp;"-"&amp;E857&amp;"-"&amp;F857&amp;"-Pos4",'Shooter-Squad Assignment'!$W:$W,0)),""),IF(F857="Sporting Clays",IFERROR(INDEX('Shooter-Squad Assignment'!$A:$A,MATCH(C857&amp;"-"&amp;E857&amp;"-"&amp;F857&amp;"-Pos4",'Shooter-Squad Assignment'!$Z:$Z,0)),""),"")))</f>
        <v/>
      </c>
      <c r="N857" s="85" t="str">
        <f>IF(ISBLANK(M857),"",IFERROR(INDEX('Tournament List'!$D:$D,MATCH(M857,'Tournament List'!$A:$A,0)),""))</f>
        <v/>
      </c>
      <c r="O857" s="95" t="str">
        <f>IF(F857="Skeet",IFERROR(INDEX('Shooter-Squad Assignment'!$A:$A,MATCH(C857&amp;"-"&amp;E857&amp;"-"&amp;F857&amp;"-Pos5",'Shooter-Squad Assignment'!$K:$K,0)),""),IF(F857="Trap",IFERROR(INDEX('Shooter-Squad Assignment'!$A:$A,MATCH(C857&amp;"-"&amp;E857&amp;"-"&amp;F857&amp;"-Pos5",'Shooter-Squad Assignment'!$W:$W,0)),""),IF(F857="Sporting Clays",IFERROR(INDEX('Shooter-Squad Assignment'!$A:$A,MATCH(C857&amp;"-"&amp;E857&amp;"-"&amp;F857&amp;"-Pos5",'Shooter-Squad Assignment'!$Z:$Z,0)),""),"")))</f>
        <v/>
      </c>
      <c r="P857" s="86" t="str">
        <f>IF(ISBLANK(O857),"",IFERROR(INDEX('Tournament List'!$D:$D,MATCH(O857,'Tournament List'!$A:$A,0)),""))</f>
        <v/>
      </c>
    </row>
    <row r="858" spans="1:16" x14ac:dyDescent="0.3">
      <c r="A858" s="87">
        <v>857</v>
      </c>
      <c r="B858" s="88" t="str">
        <f>C858&amp;"-"&amp;E858&amp;"-"&amp;F858</f>
        <v>-Collegiate 2-Skeet</v>
      </c>
      <c r="C858" s="88"/>
      <c r="D858" s="88" t="str">
        <f>INDEX('Tournament Setup'!$B$59:$B$78,MATCH(E858,SquadConcurrents,0))</f>
        <v>Collegiate</v>
      </c>
      <c r="E858" s="88" t="s">
        <v>348</v>
      </c>
      <c r="F858" s="88" t="s">
        <v>143</v>
      </c>
      <c r="G858" s="96" t="str">
        <f>IF(F858="Skeet",IFERROR(INDEX('Shooter-Squad Assignment'!$A:$A,MATCH(C858&amp;"-"&amp;E858&amp;"-"&amp;F858&amp;"-Pos1",'Shooter-Squad Assignment'!$K:$K,0)),""),IF(F858="Trap",IFERROR(INDEX('Shooter-Squad Assignment'!$A:$A,MATCH(C858&amp;"-"&amp;E858&amp;"-"&amp;F858&amp;"-Pos1",'Shooter-Squad Assignment'!$W:$W,0)),""),IF(F858="Sporting Clays",IFERROR(INDEX('Shooter-Squad Assignment'!$A:$A,MATCH(C858&amp;"-"&amp;E858&amp;"-"&amp;F858&amp;"-Pos1",'Shooter-Squad Assignment'!$Z:$Z,0)),""),"")))</f>
        <v/>
      </c>
      <c r="H858" s="88" t="str">
        <f>IF(ISBLANK(G858),"",IFERROR(INDEX('Tournament List'!$D:$D,MATCH(G858,'Tournament List'!$A:$A,0)),""))</f>
        <v/>
      </c>
      <c r="I858" s="96" t="str">
        <f>IF(F858="Skeet",IFERROR(INDEX('Shooter-Squad Assignment'!$A:$A,MATCH(C858&amp;"-"&amp;E858&amp;"-"&amp;F858&amp;"-Pos2",'Shooter-Squad Assignment'!$K:$K,0)),""),IF(F858="Trap",IFERROR(INDEX('Shooter-Squad Assignment'!$A:$A,MATCH(C858&amp;"-"&amp;E858&amp;"-"&amp;F858&amp;"-Pos2",'Shooter-Squad Assignment'!$W:$W,0)),""),IF(F858="Sporting Clays",IFERROR(INDEX('Shooter-Squad Assignment'!$A:$A,MATCH(C858&amp;"-"&amp;E858&amp;"-"&amp;F858&amp;"-Pos2",'Shooter-Squad Assignment'!$Z:$Z,0)),""),"")))</f>
        <v/>
      </c>
      <c r="J858" s="88" t="str">
        <f>IF(ISBLANK(I858),"",IFERROR(INDEX('Tournament List'!$D:$D,MATCH(I858,'Tournament List'!$A:$A,0)),""))</f>
        <v/>
      </c>
      <c r="K858" s="96" t="str">
        <f>IF(F858="Skeet",IFERROR(INDEX('Shooter-Squad Assignment'!$A:$A,MATCH(C858&amp;"-"&amp;E858&amp;"-"&amp;F858&amp;"-Pos3",'Shooter-Squad Assignment'!$K:$K,0)),""),IF(F858="Trap",IFERROR(INDEX('Shooter-Squad Assignment'!$A:$A,MATCH(C858&amp;"-"&amp;E858&amp;"-"&amp;F858&amp;"-Pos3",'Shooter-Squad Assignment'!$W:$W,0)),""),IF(F858="Sporting Clays",IFERROR(INDEX('Shooter-Squad Assignment'!$A:$A,MATCH(C858&amp;"-"&amp;E858&amp;"-"&amp;F858&amp;"-Pos3",'Shooter-Squad Assignment'!$Z:$Z,0)),""),"")))</f>
        <v/>
      </c>
      <c r="L858" s="88" t="str">
        <f>IF(ISBLANK(K858),"",IFERROR(INDEX('Tournament List'!$D:$D,MATCH(K858,'Tournament List'!$A:$A,0)),""))</f>
        <v/>
      </c>
      <c r="M858" s="96" t="str">
        <f>IF(F858="Skeet",IFERROR(INDEX('Shooter-Squad Assignment'!$A:$A,MATCH(C858&amp;"-"&amp;E858&amp;"-"&amp;F858&amp;"-Pos4",'Shooter-Squad Assignment'!$K:$K,0)),""),IF(F858="Trap",IFERROR(INDEX('Shooter-Squad Assignment'!$A:$A,MATCH(C858&amp;"-"&amp;E858&amp;"-"&amp;F858&amp;"-Pos4",'Shooter-Squad Assignment'!$W:$W,0)),""),IF(F858="Sporting Clays",IFERROR(INDEX('Shooter-Squad Assignment'!$A:$A,MATCH(C858&amp;"-"&amp;E858&amp;"-"&amp;F858&amp;"-Pos4",'Shooter-Squad Assignment'!$Z:$Z,0)),""),"")))</f>
        <v/>
      </c>
      <c r="N858" s="88" t="str">
        <f>IF(ISBLANK(M858),"",IFERROR(INDEX('Tournament List'!$D:$D,MATCH(M858,'Tournament List'!$A:$A,0)),""))</f>
        <v/>
      </c>
      <c r="O858" s="96" t="str">
        <f>IF(F858="Skeet",IFERROR(INDEX('Shooter-Squad Assignment'!$A:$A,MATCH(C858&amp;"-"&amp;E858&amp;"-"&amp;F858&amp;"-Pos5",'Shooter-Squad Assignment'!$K:$K,0)),""),IF(F858="Trap",IFERROR(INDEX('Shooter-Squad Assignment'!$A:$A,MATCH(C858&amp;"-"&amp;E858&amp;"-"&amp;F858&amp;"-Pos5",'Shooter-Squad Assignment'!$W:$W,0)),""),IF(F858="Sporting Clays",IFERROR(INDEX('Shooter-Squad Assignment'!$A:$A,MATCH(C858&amp;"-"&amp;E858&amp;"-"&amp;F858&amp;"-Pos5",'Shooter-Squad Assignment'!$Z:$Z,0)),""),"")))</f>
        <v/>
      </c>
      <c r="P858" s="89" t="str">
        <f>IF(ISBLANK(O858),"",IFERROR(INDEX('Tournament List'!$D:$D,MATCH(O858,'Tournament List'!$A:$A,0)),""))</f>
        <v/>
      </c>
    </row>
    <row r="859" spans="1:16" x14ac:dyDescent="0.3">
      <c r="A859" s="87">
        <v>858</v>
      </c>
      <c r="B859" s="88" t="str">
        <f>C859&amp;"-"&amp;E859&amp;"-"&amp;F859</f>
        <v>-Collegiate 3-Skeet</v>
      </c>
      <c r="C859" s="88"/>
      <c r="D859" s="88" t="str">
        <f>INDEX('Tournament Setup'!$B$59:$B$78,MATCH(E859,SquadConcurrents,0))</f>
        <v>Collegiate</v>
      </c>
      <c r="E859" s="88" t="s">
        <v>354</v>
      </c>
      <c r="F859" s="88" t="s">
        <v>143</v>
      </c>
      <c r="G859" s="96" t="str">
        <f>IF(F859="Skeet",IFERROR(INDEX('Shooter-Squad Assignment'!$A:$A,MATCH(C859&amp;"-"&amp;E859&amp;"-"&amp;F859&amp;"-Pos1",'Shooter-Squad Assignment'!$K:$K,0)),""),IF(F859="Trap",IFERROR(INDEX('Shooter-Squad Assignment'!$A:$A,MATCH(C859&amp;"-"&amp;E859&amp;"-"&amp;F859&amp;"-Pos1",'Shooter-Squad Assignment'!$W:$W,0)),""),IF(F859="Sporting Clays",IFERROR(INDEX('Shooter-Squad Assignment'!$A:$A,MATCH(C859&amp;"-"&amp;E859&amp;"-"&amp;F859&amp;"-Pos1",'Shooter-Squad Assignment'!$Z:$Z,0)),""),"")))</f>
        <v/>
      </c>
      <c r="H859" s="88" t="str">
        <f>IF(ISBLANK(G859),"",IFERROR(INDEX('Tournament List'!$D:$D,MATCH(G859,'Tournament List'!$A:$A,0)),""))</f>
        <v/>
      </c>
      <c r="I859" s="96" t="str">
        <f>IF(F859="Skeet",IFERROR(INDEX('Shooter-Squad Assignment'!$A:$A,MATCH(C859&amp;"-"&amp;E859&amp;"-"&amp;F859&amp;"-Pos2",'Shooter-Squad Assignment'!$K:$K,0)),""),IF(F859="Trap",IFERROR(INDEX('Shooter-Squad Assignment'!$A:$A,MATCH(C859&amp;"-"&amp;E859&amp;"-"&amp;F859&amp;"-Pos2",'Shooter-Squad Assignment'!$W:$W,0)),""),IF(F859="Sporting Clays",IFERROR(INDEX('Shooter-Squad Assignment'!$A:$A,MATCH(C859&amp;"-"&amp;E859&amp;"-"&amp;F859&amp;"-Pos2",'Shooter-Squad Assignment'!$Z:$Z,0)),""),"")))</f>
        <v/>
      </c>
      <c r="J859" s="88" t="str">
        <f>IF(ISBLANK(I859),"",IFERROR(INDEX('Tournament List'!$D:$D,MATCH(I859,'Tournament List'!$A:$A,0)),""))</f>
        <v/>
      </c>
      <c r="K859" s="96" t="str">
        <f>IF(F859="Skeet",IFERROR(INDEX('Shooter-Squad Assignment'!$A:$A,MATCH(C859&amp;"-"&amp;E859&amp;"-"&amp;F859&amp;"-Pos3",'Shooter-Squad Assignment'!$K:$K,0)),""),IF(F859="Trap",IFERROR(INDEX('Shooter-Squad Assignment'!$A:$A,MATCH(C859&amp;"-"&amp;E859&amp;"-"&amp;F859&amp;"-Pos3",'Shooter-Squad Assignment'!$W:$W,0)),""),IF(F859="Sporting Clays",IFERROR(INDEX('Shooter-Squad Assignment'!$A:$A,MATCH(C859&amp;"-"&amp;E859&amp;"-"&amp;F859&amp;"-Pos3",'Shooter-Squad Assignment'!$Z:$Z,0)),""),"")))</f>
        <v/>
      </c>
      <c r="L859" s="88" t="str">
        <f>IF(ISBLANK(K859),"",IFERROR(INDEX('Tournament List'!$D:$D,MATCH(K859,'Tournament List'!$A:$A,0)),""))</f>
        <v/>
      </c>
      <c r="M859" s="96" t="str">
        <f>IF(F859="Skeet",IFERROR(INDEX('Shooter-Squad Assignment'!$A:$A,MATCH(C859&amp;"-"&amp;E859&amp;"-"&amp;F859&amp;"-Pos4",'Shooter-Squad Assignment'!$K:$K,0)),""),IF(F859="Trap",IFERROR(INDEX('Shooter-Squad Assignment'!$A:$A,MATCH(C859&amp;"-"&amp;E859&amp;"-"&amp;F859&amp;"-Pos4",'Shooter-Squad Assignment'!$W:$W,0)),""),IF(F859="Sporting Clays",IFERROR(INDEX('Shooter-Squad Assignment'!$A:$A,MATCH(C859&amp;"-"&amp;E859&amp;"-"&amp;F859&amp;"-Pos4",'Shooter-Squad Assignment'!$Z:$Z,0)),""),"")))</f>
        <v/>
      </c>
      <c r="N859" s="88" t="str">
        <f>IF(ISBLANK(M859),"",IFERROR(INDEX('Tournament List'!$D:$D,MATCH(M859,'Tournament List'!$A:$A,0)),""))</f>
        <v/>
      </c>
      <c r="O859" s="96" t="str">
        <f>IF(F859="Skeet",IFERROR(INDEX('Shooter-Squad Assignment'!$A:$A,MATCH(C859&amp;"-"&amp;E859&amp;"-"&amp;F859&amp;"-Pos5",'Shooter-Squad Assignment'!$K:$K,0)),""),IF(F859="Trap",IFERROR(INDEX('Shooter-Squad Assignment'!$A:$A,MATCH(C859&amp;"-"&amp;E859&amp;"-"&amp;F859&amp;"-Pos5",'Shooter-Squad Assignment'!$W:$W,0)),""),IF(F859="Sporting Clays",IFERROR(INDEX('Shooter-Squad Assignment'!$A:$A,MATCH(C859&amp;"-"&amp;E859&amp;"-"&amp;F859&amp;"-Pos5",'Shooter-Squad Assignment'!$Z:$Z,0)),""),"")))</f>
        <v/>
      </c>
      <c r="P859" s="89" t="str">
        <f>IF(ISBLANK(O859),"",IFERROR(INDEX('Tournament List'!$D:$D,MATCH(O859,'Tournament List'!$A:$A,0)),""))</f>
        <v/>
      </c>
    </row>
    <row r="860" spans="1:16" x14ac:dyDescent="0.3">
      <c r="A860" s="87">
        <v>859</v>
      </c>
      <c r="B860" s="88" t="str">
        <f>C860&amp;"-"&amp;E860&amp;"-"&amp;F860</f>
        <v>-Intermediate 1-Skeet</v>
      </c>
      <c r="C860" s="88"/>
      <c r="D860" s="88" t="str">
        <f>INDEX('Tournament Setup'!$B$59:$B$78,MATCH(E860,SquadConcurrents,0))</f>
        <v>Intermediate</v>
      </c>
      <c r="E860" s="88" t="s">
        <v>338</v>
      </c>
      <c r="F860" s="88" t="s">
        <v>143</v>
      </c>
      <c r="G860" s="96" t="str">
        <f>IF(F860="Skeet",IFERROR(INDEX('Shooter-Squad Assignment'!$A:$A,MATCH(C860&amp;"-"&amp;E860&amp;"-"&amp;F860&amp;"-Pos1",'Shooter-Squad Assignment'!$K:$K,0)),""),IF(F860="Trap",IFERROR(INDEX('Shooter-Squad Assignment'!$A:$A,MATCH(C860&amp;"-"&amp;E860&amp;"-"&amp;F860&amp;"-Pos1",'Shooter-Squad Assignment'!$W:$W,0)),""),IF(F860="Sporting Clays",IFERROR(INDEX('Shooter-Squad Assignment'!$A:$A,MATCH(C860&amp;"-"&amp;E860&amp;"-"&amp;F860&amp;"-Pos1",'Shooter-Squad Assignment'!$Z:$Z,0)),""),"")))</f>
        <v/>
      </c>
      <c r="H860" s="88" t="str">
        <f>IF(ISBLANK(G860),"",IFERROR(INDEX('Tournament List'!$D:$D,MATCH(G860,'Tournament List'!$A:$A,0)),""))</f>
        <v/>
      </c>
      <c r="I860" s="96" t="str">
        <f>IF(F860="Skeet",IFERROR(INDEX('Shooter-Squad Assignment'!$A:$A,MATCH(C860&amp;"-"&amp;E860&amp;"-"&amp;F860&amp;"-Pos2",'Shooter-Squad Assignment'!$K:$K,0)),""),IF(F860="Trap",IFERROR(INDEX('Shooter-Squad Assignment'!$A:$A,MATCH(C860&amp;"-"&amp;E860&amp;"-"&amp;F860&amp;"-Pos2",'Shooter-Squad Assignment'!$W:$W,0)),""),IF(F860="Sporting Clays",IFERROR(INDEX('Shooter-Squad Assignment'!$A:$A,MATCH(C860&amp;"-"&amp;E860&amp;"-"&amp;F860&amp;"-Pos2",'Shooter-Squad Assignment'!$Z:$Z,0)),""),"")))</f>
        <v/>
      </c>
      <c r="J860" s="88" t="str">
        <f>IF(ISBLANK(I860),"",IFERROR(INDEX('Tournament List'!$D:$D,MATCH(I860,'Tournament List'!$A:$A,0)),""))</f>
        <v/>
      </c>
      <c r="K860" s="96" t="str">
        <f>IF(F860="Skeet",IFERROR(INDEX('Shooter-Squad Assignment'!$A:$A,MATCH(C860&amp;"-"&amp;E860&amp;"-"&amp;F860&amp;"-Pos3",'Shooter-Squad Assignment'!$K:$K,0)),""),IF(F860="Trap",IFERROR(INDEX('Shooter-Squad Assignment'!$A:$A,MATCH(C860&amp;"-"&amp;E860&amp;"-"&amp;F860&amp;"-Pos3",'Shooter-Squad Assignment'!$W:$W,0)),""),IF(F860="Sporting Clays",IFERROR(INDEX('Shooter-Squad Assignment'!$A:$A,MATCH(C860&amp;"-"&amp;E860&amp;"-"&amp;F860&amp;"-Pos3",'Shooter-Squad Assignment'!$Z:$Z,0)),""),"")))</f>
        <v/>
      </c>
      <c r="L860" s="88" t="str">
        <f>IF(ISBLANK(K860),"",IFERROR(INDEX('Tournament List'!$D:$D,MATCH(K860,'Tournament List'!$A:$A,0)),""))</f>
        <v/>
      </c>
      <c r="M860" s="96" t="str">
        <f>IF(F860="Skeet",IFERROR(INDEX('Shooter-Squad Assignment'!$A:$A,MATCH(C860&amp;"-"&amp;E860&amp;"-"&amp;F860&amp;"-Pos4",'Shooter-Squad Assignment'!$K:$K,0)),""),IF(F860="Trap",IFERROR(INDEX('Shooter-Squad Assignment'!$A:$A,MATCH(C860&amp;"-"&amp;E860&amp;"-"&amp;F860&amp;"-Pos4",'Shooter-Squad Assignment'!$W:$W,0)),""),IF(F860="Sporting Clays",IFERROR(INDEX('Shooter-Squad Assignment'!$A:$A,MATCH(C860&amp;"-"&amp;E860&amp;"-"&amp;F860&amp;"-Pos4",'Shooter-Squad Assignment'!$Z:$Z,0)),""),"")))</f>
        <v/>
      </c>
      <c r="N860" s="88" t="str">
        <f>IF(ISBLANK(M860),"",IFERROR(INDEX('Tournament List'!$D:$D,MATCH(M860,'Tournament List'!$A:$A,0)),""))</f>
        <v/>
      </c>
      <c r="O860" s="96" t="str">
        <f>IF(F860="Skeet",IFERROR(INDEX('Shooter-Squad Assignment'!$A:$A,MATCH(C860&amp;"-"&amp;E860&amp;"-"&amp;F860&amp;"-Pos5",'Shooter-Squad Assignment'!$K:$K,0)),""),IF(F860="Trap",IFERROR(INDEX('Shooter-Squad Assignment'!$A:$A,MATCH(C860&amp;"-"&amp;E860&amp;"-"&amp;F860&amp;"-Pos5",'Shooter-Squad Assignment'!$W:$W,0)),""),IF(F860="Sporting Clays",IFERROR(INDEX('Shooter-Squad Assignment'!$A:$A,MATCH(C860&amp;"-"&amp;E860&amp;"-"&amp;F860&amp;"-Pos5",'Shooter-Squad Assignment'!$Z:$Z,0)),""),"")))</f>
        <v/>
      </c>
      <c r="P860" s="89" t="str">
        <f>IF(ISBLANK(O860),"",IFERROR(INDEX('Tournament List'!$D:$D,MATCH(O860,'Tournament List'!$A:$A,0)),""))</f>
        <v/>
      </c>
    </row>
    <row r="861" spans="1:16" x14ac:dyDescent="0.3">
      <c r="A861" s="87">
        <v>860</v>
      </c>
      <c r="B861" s="88" t="str">
        <f>C861&amp;"-"&amp;E861&amp;"-"&amp;F861</f>
        <v>-Intermediate 2-Skeet</v>
      </c>
      <c r="C861" s="88"/>
      <c r="D861" s="88" t="str">
        <f>INDEX('Tournament Setup'!$B$59:$B$78,MATCH(E861,SquadConcurrents,0))</f>
        <v>Intermediate</v>
      </c>
      <c r="E861" s="88" t="s">
        <v>344</v>
      </c>
      <c r="F861" s="88" t="s">
        <v>143</v>
      </c>
      <c r="G861" s="96" t="str">
        <f>IF(F861="Skeet",IFERROR(INDEX('Shooter-Squad Assignment'!$A:$A,MATCH(C861&amp;"-"&amp;E861&amp;"-"&amp;F861&amp;"-Pos1",'Shooter-Squad Assignment'!$K:$K,0)),""),IF(F861="Trap",IFERROR(INDEX('Shooter-Squad Assignment'!$A:$A,MATCH(C861&amp;"-"&amp;E861&amp;"-"&amp;F861&amp;"-Pos1",'Shooter-Squad Assignment'!$W:$W,0)),""),IF(F861="Sporting Clays",IFERROR(INDEX('Shooter-Squad Assignment'!$A:$A,MATCH(C861&amp;"-"&amp;E861&amp;"-"&amp;F861&amp;"-Pos1",'Shooter-Squad Assignment'!$Z:$Z,0)),""),"")))</f>
        <v/>
      </c>
      <c r="H861" s="88" t="str">
        <f>IF(ISBLANK(G861),"",IFERROR(INDEX('Tournament List'!$D:$D,MATCH(G861,'Tournament List'!$A:$A,0)),""))</f>
        <v/>
      </c>
      <c r="I861" s="96" t="str">
        <f>IF(F861="Skeet",IFERROR(INDEX('Shooter-Squad Assignment'!$A:$A,MATCH(C861&amp;"-"&amp;E861&amp;"-"&amp;F861&amp;"-Pos2",'Shooter-Squad Assignment'!$K:$K,0)),""),IF(F861="Trap",IFERROR(INDEX('Shooter-Squad Assignment'!$A:$A,MATCH(C861&amp;"-"&amp;E861&amp;"-"&amp;F861&amp;"-Pos2",'Shooter-Squad Assignment'!$W:$W,0)),""),IF(F861="Sporting Clays",IFERROR(INDEX('Shooter-Squad Assignment'!$A:$A,MATCH(C861&amp;"-"&amp;E861&amp;"-"&amp;F861&amp;"-Pos2",'Shooter-Squad Assignment'!$Z:$Z,0)),""),"")))</f>
        <v/>
      </c>
      <c r="J861" s="88" t="str">
        <f>IF(ISBLANK(I861),"",IFERROR(INDEX('Tournament List'!$D:$D,MATCH(I861,'Tournament List'!$A:$A,0)),""))</f>
        <v/>
      </c>
      <c r="K861" s="96" t="str">
        <f>IF(F861="Skeet",IFERROR(INDEX('Shooter-Squad Assignment'!$A:$A,MATCH(C861&amp;"-"&amp;E861&amp;"-"&amp;F861&amp;"-Pos3",'Shooter-Squad Assignment'!$K:$K,0)),""),IF(F861="Trap",IFERROR(INDEX('Shooter-Squad Assignment'!$A:$A,MATCH(C861&amp;"-"&amp;E861&amp;"-"&amp;F861&amp;"-Pos3",'Shooter-Squad Assignment'!$W:$W,0)),""),IF(F861="Sporting Clays",IFERROR(INDEX('Shooter-Squad Assignment'!$A:$A,MATCH(C861&amp;"-"&amp;E861&amp;"-"&amp;F861&amp;"-Pos3",'Shooter-Squad Assignment'!$Z:$Z,0)),""),"")))</f>
        <v/>
      </c>
      <c r="L861" s="88" t="str">
        <f>IF(ISBLANK(K861),"",IFERROR(INDEX('Tournament List'!$D:$D,MATCH(K861,'Tournament List'!$A:$A,0)),""))</f>
        <v/>
      </c>
      <c r="M861" s="96" t="str">
        <f>IF(F861="Skeet",IFERROR(INDEX('Shooter-Squad Assignment'!$A:$A,MATCH(C861&amp;"-"&amp;E861&amp;"-"&amp;F861&amp;"-Pos4",'Shooter-Squad Assignment'!$K:$K,0)),""),IF(F861="Trap",IFERROR(INDEX('Shooter-Squad Assignment'!$A:$A,MATCH(C861&amp;"-"&amp;E861&amp;"-"&amp;F861&amp;"-Pos4",'Shooter-Squad Assignment'!$W:$W,0)),""),IF(F861="Sporting Clays",IFERROR(INDEX('Shooter-Squad Assignment'!$A:$A,MATCH(C861&amp;"-"&amp;E861&amp;"-"&amp;F861&amp;"-Pos4",'Shooter-Squad Assignment'!$Z:$Z,0)),""),"")))</f>
        <v/>
      </c>
      <c r="N861" s="88" t="str">
        <f>IF(ISBLANK(M861),"",IFERROR(INDEX('Tournament List'!$D:$D,MATCH(M861,'Tournament List'!$A:$A,0)),""))</f>
        <v/>
      </c>
      <c r="O861" s="96" t="str">
        <f>IF(F861="Skeet",IFERROR(INDEX('Shooter-Squad Assignment'!$A:$A,MATCH(C861&amp;"-"&amp;E861&amp;"-"&amp;F861&amp;"-Pos5",'Shooter-Squad Assignment'!$K:$K,0)),""),IF(F861="Trap",IFERROR(INDEX('Shooter-Squad Assignment'!$A:$A,MATCH(C861&amp;"-"&amp;E861&amp;"-"&amp;F861&amp;"-Pos5",'Shooter-Squad Assignment'!$W:$W,0)),""),IF(F861="Sporting Clays",IFERROR(INDEX('Shooter-Squad Assignment'!$A:$A,MATCH(C861&amp;"-"&amp;E861&amp;"-"&amp;F861&amp;"-Pos5",'Shooter-Squad Assignment'!$Z:$Z,0)),""),"")))</f>
        <v/>
      </c>
      <c r="P861" s="89" t="str">
        <f>IF(ISBLANK(O861),"",IFERROR(INDEX('Tournament List'!$D:$D,MATCH(O861,'Tournament List'!$A:$A,0)),""))</f>
        <v/>
      </c>
    </row>
    <row r="862" spans="1:16" x14ac:dyDescent="0.3">
      <c r="A862" s="87">
        <v>861</v>
      </c>
      <c r="B862" s="88" t="str">
        <f>C862&amp;"-"&amp;E862&amp;"-"&amp;F862</f>
        <v>-Intermediate 3-Skeet</v>
      </c>
      <c r="C862" s="88"/>
      <c r="D862" s="88" t="str">
        <f>INDEX('Tournament Setup'!$B$59:$B$78,MATCH(E862,SquadConcurrents,0))</f>
        <v>Intermediate</v>
      </c>
      <c r="E862" s="88" t="s">
        <v>350</v>
      </c>
      <c r="F862" s="88" t="s">
        <v>143</v>
      </c>
      <c r="G862" s="96" t="str">
        <f>IF(F862="Skeet",IFERROR(INDEX('Shooter-Squad Assignment'!$A:$A,MATCH(C862&amp;"-"&amp;E862&amp;"-"&amp;F862&amp;"-Pos1",'Shooter-Squad Assignment'!$K:$K,0)),""),IF(F862="Trap",IFERROR(INDEX('Shooter-Squad Assignment'!$A:$A,MATCH(C862&amp;"-"&amp;E862&amp;"-"&amp;F862&amp;"-Pos1",'Shooter-Squad Assignment'!$W:$W,0)),""),IF(F862="Sporting Clays",IFERROR(INDEX('Shooter-Squad Assignment'!$A:$A,MATCH(C862&amp;"-"&amp;E862&amp;"-"&amp;F862&amp;"-Pos1",'Shooter-Squad Assignment'!$Z:$Z,0)),""),"")))</f>
        <v/>
      </c>
      <c r="H862" s="88" t="str">
        <f>IF(ISBLANK(G862),"",IFERROR(INDEX('Tournament List'!$D:$D,MATCH(G862,'Tournament List'!$A:$A,0)),""))</f>
        <v/>
      </c>
      <c r="I862" s="96" t="str">
        <f>IF(F862="Skeet",IFERROR(INDEX('Shooter-Squad Assignment'!$A:$A,MATCH(C862&amp;"-"&amp;E862&amp;"-"&amp;F862&amp;"-Pos2",'Shooter-Squad Assignment'!$K:$K,0)),""),IF(F862="Trap",IFERROR(INDEX('Shooter-Squad Assignment'!$A:$A,MATCH(C862&amp;"-"&amp;E862&amp;"-"&amp;F862&amp;"-Pos2",'Shooter-Squad Assignment'!$W:$W,0)),""),IF(F862="Sporting Clays",IFERROR(INDEX('Shooter-Squad Assignment'!$A:$A,MATCH(C862&amp;"-"&amp;E862&amp;"-"&amp;F862&amp;"-Pos2",'Shooter-Squad Assignment'!$Z:$Z,0)),""),"")))</f>
        <v/>
      </c>
      <c r="J862" s="88" t="str">
        <f>IF(ISBLANK(I862),"",IFERROR(INDEX('Tournament List'!$D:$D,MATCH(I862,'Tournament List'!$A:$A,0)),""))</f>
        <v/>
      </c>
      <c r="K862" s="96" t="str">
        <f>IF(F862="Skeet",IFERROR(INDEX('Shooter-Squad Assignment'!$A:$A,MATCH(C862&amp;"-"&amp;E862&amp;"-"&amp;F862&amp;"-Pos3",'Shooter-Squad Assignment'!$K:$K,0)),""),IF(F862="Trap",IFERROR(INDEX('Shooter-Squad Assignment'!$A:$A,MATCH(C862&amp;"-"&amp;E862&amp;"-"&amp;F862&amp;"-Pos3",'Shooter-Squad Assignment'!$W:$W,0)),""),IF(F862="Sporting Clays",IFERROR(INDEX('Shooter-Squad Assignment'!$A:$A,MATCH(C862&amp;"-"&amp;E862&amp;"-"&amp;F862&amp;"-Pos3",'Shooter-Squad Assignment'!$Z:$Z,0)),""),"")))</f>
        <v/>
      </c>
      <c r="L862" s="88" t="str">
        <f>IF(ISBLANK(K862),"",IFERROR(INDEX('Tournament List'!$D:$D,MATCH(K862,'Tournament List'!$A:$A,0)),""))</f>
        <v/>
      </c>
      <c r="M862" s="96" t="str">
        <f>IF(F862="Skeet",IFERROR(INDEX('Shooter-Squad Assignment'!$A:$A,MATCH(C862&amp;"-"&amp;E862&amp;"-"&amp;F862&amp;"-Pos4",'Shooter-Squad Assignment'!$K:$K,0)),""),IF(F862="Trap",IFERROR(INDEX('Shooter-Squad Assignment'!$A:$A,MATCH(C862&amp;"-"&amp;E862&amp;"-"&amp;F862&amp;"-Pos4",'Shooter-Squad Assignment'!$W:$W,0)),""),IF(F862="Sporting Clays",IFERROR(INDEX('Shooter-Squad Assignment'!$A:$A,MATCH(C862&amp;"-"&amp;E862&amp;"-"&amp;F862&amp;"-Pos4",'Shooter-Squad Assignment'!$Z:$Z,0)),""),"")))</f>
        <v/>
      </c>
      <c r="N862" s="88" t="str">
        <f>IF(ISBLANK(M862),"",IFERROR(INDEX('Tournament List'!$D:$D,MATCH(M862,'Tournament List'!$A:$A,0)),""))</f>
        <v/>
      </c>
      <c r="O862" s="96" t="str">
        <f>IF(F862="Skeet",IFERROR(INDEX('Shooter-Squad Assignment'!$A:$A,MATCH(C862&amp;"-"&amp;E862&amp;"-"&amp;F862&amp;"-Pos5",'Shooter-Squad Assignment'!$K:$K,0)),""),IF(F862="Trap",IFERROR(INDEX('Shooter-Squad Assignment'!$A:$A,MATCH(C862&amp;"-"&amp;E862&amp;"-"&amp;F862&amp;"-Pos5",'Shooter-Squad Assignment'!$W:$W,0)),""),IF(F862="Sporting Clays",IFERROR(INDEX('Shooter-Squad Assignment'!$A:$A,MATCH(C862&amp;"-"&amp;E862&amp;"-"&amp;F862&amp;"-Pos5",'Shooter-Squad Assignment'!$Z:$Z,0)),""),"")))</f>
        <v/>
      </c>
      <c r="P862" s="89" t="str">
        <f>IF(ISBLANK(O862),"",IFERROR(INDEX('Tournament List'!$D:$D,MATCH(O862,'Tournament List'!$A:$A,0)),""))</f>
        <v/>
      </c>
    </row>
    <row r="863" spans="1:16" x14ac:dyDescent="0.3">
      <c r="A863" s="87">
        <v>862</v>
      </c>
      <c r="B863" s="88" t="str">
        <f>C863&amp;"-"&amp;E863&amp;"-"&amp;F863</f>
        <v>-Junior Varsity 1-Skeet</v>
      </c>
      <c r="C863" s="88"/>
      <c r="D863" s="88" t="str">
        <f>INDEX('Tournament Setup'!$B$59:$B$78,MATCH(E863,SquadConcurrents,0))</f>
        <v>Junior Varsity</v>
      </c>
      <c r="E863" s="88" t="s">
        <v>339</v>
      </c>
      <c r="F863" s="88" t="s">
        <v>143</v>
      </c>
      <c r="G863" s="96" t="str">
        <f>IF(F863="Skeet",IFERROR(INDEX('Shooter-Squad Assignment'!$A:$A,MATCH(C863&amp;"-"&amp;E863&amp;"-"&amp;F863&amp;"-Pos1",'Shooter-Squad Assignment'!$K:$K,0)),""),IF(F863="Trap",IFERROR(INDEX('Shooter-Squad Assignment'!$A:$A,MATCH(C863&amp;"-"&amp;E863&amp;"-"&amp;F863&amp;"-Pos1",'Shooter-Squad Assignment'!$W:$W,0)),""),IF(F863="Sporting Clays",IFERROR(INDEX('Shooter-Squad Assignment'!$A:$A,MATCH(C863&amp;"-"&amp;E863&amp;"-"&amp;F863&amp;"-Pos1",'Shooter-Squad Assignment'!$Z:$Z,0)),""),"")))</f>
        <v/>
      </c>
      <c r="H863" s="88" t="str">
        <f>IF(ISBLANK(G863),"",IFERROR(INDEX('Tournament List'!$D:$D,MATCH(G863,'Tournament List'!$A:$A,0)),""))</f>
        <v/>
      </c>
      <c r="I863" s="96" t="str">
        <f>IF(F863="Skeet",IFERROR(INDEX('Shooter-Squad Assignment'!$A:$A,MATCH(C863&amp;"-"&amp;E863&amp;"-"&amp;F863&amp;"-Pos2",'Shooter-Squad Assignment'!$K:$K,0)),""),IF(F863="Trap",IFERROR(INDEX('Shooter-Squad Assignment'!$A:$A,MATCH(C863&amp;"-"&amp;E863&amp;"-"&amp;F863&amp;"-Pos2",'Shooter-Squad Assignment'!$W:$W,0)),""),IF(F863="Sporting Clays",IFERROR(INDEX('Shooter-Squad Assignment'!$A:$A,MATCH(C863&amp;"-"&amp;E863&amp;"-"&amp;F863&amp;"-Pos2",'Shooter-Squad Assignment'!$Z:$Z,0)),""),"")))</f>
        <v/>
      </c>
      <c r="J863" s="88" t="str">
        <f>IF(ISBLANK(I863),"",IFERROR(INDEX('Tournament List'!$D:$D,MATCH(I863,'Tournament List'!$A:$A,0)),""))</f>
        <v/>
      </c>
      <c r="K863" s="96" t="str">
        <f>IF(F863="Skeet",IFERROR(INDEX('Shooter-Squad Assignment'!$A:$A,MATCH(C863&amp;"-"&amp;E863&amp;"-"&amp;F863&amp;"-Pos3",'Shooter-Squad Assignment'!$K:$K,0)),""),IF(F863="Trap",IFERROR(INDEX('Shooter-Squad Assignment'!$A:$A,MATCH(C863&amp;"-"&amp;E863&amp;"-"&amp;F863&amp;"-Pos3",'Shooter-Squad Assignment'!$W:$W,0)),""),IF(F863="Sporting Clays",IFERROR(INDEX('Shooter-Squad Assignment'!$A:$A,MATCH(C863&amp;"-"&amp;E863&amp;"-"&amp;F863&amp;"-Pos3",'Shooter-Squad Assignment'!$Z:$Z,0)),""),"")))</f>
        <v/>
      </c>
      <c r="L863" s="88" t="str">
        <f>IF(ISBLANK(K863),"",IFERROR(INDEX('Tournament List'!$D:$D,MATCH(K863,'Tournament List'!$A:$A,0)),""))</f>
        <v/>
      </c>
      <c r="M863" s="96" t="str">
        <f>IF(F863="Skeet",IFERROR(INDEX('Shooter-Squad Assignment'!$A:$A,MATCH(C863&amp;"-"&amp;E863&amp;"-"&amp;F863&amp;"-Pos4",'Shooter-Squad Assignment'!$K:$K,0)),""),IF(F863="Trap",IFERROR(INDEX('Shooter-Squad Assignment'!$A:$A,MATCH(C863&amp;"-"&amp;E863&amp;"-"&amp;F863&amp;"-Pos4",'Shooter-Squad Assignment'!$W:$W,0)),""),IF(F863="Sporting Clays",IFERROR(INDEX('Shooter-Squad Assignment'!$A:$A,MATCH(C863&amp;"-"&amp;E863&amp;"-"&amp;F863&amp;"-Pos4",'Shooter-Squad Assignment'!$Z:$Z,0)),""),"")))</f>
        <v/>
      </c>
      <c r="N863" s="88" t="str">
        <f>IF(ISBLANK(M863),"",IFERROR(INDEX('Tournament List'!$D:$D,MATCH(M863,'Tournament List'!$A:$A,0)),""))</f>
        <v/>
      </c>
      <c r="O863" s="96" t="str">
        <f>IF(F863="Skeet",IFERROR(INDEX('Shooter-Squad Assignment'!$A:$A,MATCH(C863&amp;"-"&amp;E863&amp;"-"&amp;F863&amp;"-Pos5",'Shooter-Squad Assignment'!$K:$K,0)),""),IF(F863="Trap",IFERROR(INDEX('Shooter-Squad Assignment'!$A:$A,MATCH(C863&amp;"-"&amp;E863&amp;"-"&amp;F863&amp;"-Pos5",'Shooter-Squad Assignment'!$W:$W,0)),""),IF(F863="Sporting Clays",IFERROR(INDEX('Shooter-Squad Assignment'!$A:$A,MATCH(C863&amp;"-"&amp;E863&amp;"-"&amp;F863&amp;"-Pos5",'Shooter-Squad Assignment'!$Z:$Z,0)),""),"")))</f>
        <v/>
      </c>
      <c r="P863" s="89" t="str">
        <f>IF(ISBLANK(O863),"",IFERROR(INDEX('Tournament List'!$D:$D,MATCH(O863,'Tournament List'!$A:$A,0)),""))</f>
        <v/>
      </c>
    </row>
    <row r="864" spans="1:16" x14ac:dyDescent="0.3">
      <c r="A864" s="87">
        <v>863</v>
      </c>
      <c r="B864" s="88" t="str">
        <f>C864&amp;"-"&amp;E864&amp;"-"&amp;F864</f>
        <v>-Junior Varsity 2-Skeet</v>
      </c>
      <c r="C864" s="88"/>
      <c r="D864" s="88" t="str">
        <f>INDEX('Tournament Setup'!$B$59:$B$78,MATCH(E864,SquadConcurrents,0))</f>
        <v>Junior Varsity</v>
      </c>
      <c r="E864" s="88" t="s">
        <v>345</v>
      </c>
      <c r="F864" s="88" t="s">
        <v>143</v>
      </c>
      <c r="G864" s="96" t="str">
        <f>IF(F864="Skeet",IFERROR(INDEX('Shooter-Squad Assignment'!$A:$A,MATCH(C864&amp;"-"&amp;E864&amp;"-"&amp;F864&amp;"-Pos1",'Shooter-Squad Assignment'!$K:$K,0)),""),IF(F864="Trap",IFERROR(INDEX('Shooter-Squad Assignment'!$A:$A,MATCH(C864&amp;"-"&amp;E864&amp;"-"&amp;F864&amp;"-Pos1",'Shooter-Squad Assignment'!$W:$W,0)),""),IF(F864="Sporting Clays",IFERROR(INDEX('Shooter-Squad Assignment'!$A:$A,MATCH(C864&amp;"-"&amp;E864&amp;"-"&amp;F864&amp;"-Pos1",'Shooter-Squad Assignment'!$Z:$Z,0)),""),"")))</f>
        <v/>
      </c>
      <c r="H864" s="88" t="str">
        <f>IF(ISBLANK(G864),"",IFERROR(INDEX('Tournament List'!$D:$D,MATCH(G864,'Tournament List'!$A:$A,0)),""))</f>
        <v/>
      </c>
      <c r="I864" s="96" t="str">
        <f>IF(F864="Skeet",IFERROR(INDEX('Shooter-Squad Assignment'!$A:$A,MATCH(C864&amp;"-"&amp;E864&amp;"-"&amp;F864&amp;"-Pos2",'Shooter-Squad Assignment'!$K:$K,0)),""),IF(F864="Trap",IFERROR(INDEX('Shooter-Squad Assignment'!$A:$A,MATCH(C864&amp;"-"&amp;E864&amp;"-"&amp;F864&amp;"-Pos2",'Shooter-Squad Assignment'!$W:$W,0)),""),IF(F864="Sporting Clays",IFERROR(INDEX('Shooter-Squad Assignment'!$A:$A,MATCH(C864&amp;"-"&amp;E864&amp;"-"&amp;F864&amp;"-Pos2",'Shooter-Squad Assignment'!$Z:$Z,0)),""),"")))</f>
        <v/>
      </c>
      <c r="J864" s="88" t="str">
        <f>IF(ISBLANK(I864),"",IFERROR(INDEX('Tournament List'!$D:$D,MATCH(I864,'Tournament List'!$A:$A,0)),""))</f>
        <v/>
      </c>
      <c r="K864" s="96" t="str">
        <f>IF(F864="Skeet",IFERROR(INDEX('Shooter-Squad Assignment'!$A:$A,MATCH(C864&amp;"-"&amp;E864&amp;"-"&amp;F864&amp;"-Pos3",'Shooter-Squad Assignment'!$K:$K,0)),""),IF(F864="Trap",IFERROR(INDEX('Shooter-Squad Assignment'!$A:$A,MATCH(C864&amp;"-"&amp;E864&amp;"-"&amp;F864&amp;"-Pos3",'Shooter-Squad Assignment'!$W:$W,0)),""),IF(F864="Sporting Clays",IFERROR(INDEX('Shooter-Squad Assignment'!$A:$A,MATCH(C864&amp;"-"&amp;E864&amp;"-"&amp;F864&amp;"-Pos3",'Shooter-Squad Assignment'!$Z:$Z,0)),""),"")))</f>
        <v/>
      </c>
      <c r="L864" s="88" t="str">
        <f>IF(ISBLANK(K864),"",IFERROR(INDEX('Tournament List'!$D:$D,MATCH(K864,'Tournament List'!$A:$A,0)),""))</f>
        <v/>
      </c>
      <c r="M864" s="96" t="str">
        <f>IF(F864="Skeet",IFERROR(INDEX('Shooter-Squad Assignment'!$A:$A,MATCH(C864&amp;"-"&amp;E864&amp;"-"&amp;F864&amp;"-Pos4",'Shooter-Squad Assignment'!$K:$K,0)),""),IF(F864="Trap",IFERROR(INDEX('Shooter-Squad Assignment'!$A:$A,MATCH(C864&amp;"-"&amp;E864&amp;"-"&amp;F864&amp;"-Pos4",'Shooter-Squad Assignment'!$W:$W,0)),""),IF(F864="Sporting Clays",IFERROR(INDEX('Shooter-Squad Assignment'!$A:$A,MATCH(C864&amp;"-"&amp;E864&amp;"-"&amp;F864&amp;"-Pos4",'Shooter-Squad Assignment'!$Z:$Z,0)),""),"")))</f>
        <v/>
      </c>
      <c r="N864" s="88" t="str">
        <f>IF(ISBLANK(M864),"",IFERROR(INDEX('Tournament List'!$D:$D,MATCH(M864,'Tournament List'!$A:$A,0)),""))</f>
        <v/>
      </c>
      <c r="O864" s="96" t="str">
        <f>IF(F864="Skeet",IFERROR(INDEX('Shooter-Squad Assignment'!$A:$A,MATCH(C864&amp;"-"&amp;E864&amp;"-"&amp;F864&amp;"-Pos5",'Shooter-Squad Assignment'!$K:$K,0)),""),IF(F864="Trap",IFERROR(INDEX('Shooter-Squad Assignment'!$A:$A,MATCH(C864&amp;"-"&amp;E864&amp;"-"&amp;F864&amp;"-Pos5",'Shooter-Squad Assignment'!$W:$W,0)),""),IF(F864="Sporting Clays",IFERROR(INDEX('Shooter-Squad Assignment'!$A:$A,MATCH(C864&amp;"-"&amp;E864&amp;"-"&amp;F864&amp;"-Pos5",'Shooter-Squad Assignment'!$Z:$Z,0)),""),"")))</f>
        <v/>
      </c>
      <c r="P864" s="89" t="str">
        <f>IF(ISBLANK(O864),"",IFERROR(INDEX('Tournament List'!$D:$D,MATCH(O864,'Tournament List'!$A:$A,0)),""))</f>
        <v/>
      </c>
    </row>
    <row r="865" spans="1:16" x14ac:dyDescent="0.3">
      <c r="A865" s="87">
        <v>864</v>
      </c>
      <c r="B865" s="88" t="str">
        <f>C865&amp;"-"&amp;E865&amp;"-"&amp;F865</f>
        <v>-Junior Varsity 3-Skeet</v>
      </c>
      <c r="C865" s="88"/>
      <c r="D865" s="88" t="str">
        <f>INDEX('Tournament Setup'!$B$59:$B$78,MATCH(E865,SquadConcurrents,0))</f>
        <v>Junior Varsity</v>
      </c>
      <c r="E865" s="88" t="s">
        <v>351</v>
      </c>
      <c r="F865" s="88" t="s">
        <v>143</v>
      </c>
      <c r="G865" s="96" t="str">
        <f>IF(F865="Skeet",IFERROR(INDEX('Shooter-Squad Assignment'!$A:$A,MATCH(C865&amp;"-"&amp;E865&amp;"-"&amp;F865&amp;"-Pos1",'Shooter-Squad Assignment'!$K:$K,0)),""),IF(F865="Trap",IFERROR(INDEX('Shooter-Squad Assignment'!$A:$A,MATCH(C865&amp;"-"&amp;E865&amp;"-"&amp;F865&amp;"-Pos1",'Shooter-Squad Assignment'!$W:$W,0)),""),IF(F865="Sporting Clays",IFERROR(INDEX('Shooter-Squad Assignment'!$A:$A,MATCH(C865&amp;"-"&amp;E865&amp;"-"&amp;F865&amp;"-Pos1",'Shooter-Squad Assignment'!$Z:$Z,0)),""),"")))</f>
        <v/>
      </c>
      <c r="H865" s="88" t="str">
        <f>IF(ISBLANK(G865),"",IFERROR(INDEX('Tournament List'!$D:$D,MATCH(G865,'Tournament List'!$A:$A,0)),""))</f>
        <v/>
      </c>
      <c r="I865" s="96" t="str">
        <f>IF(F865="Skeet",IFERROR(INDEX('Shooter-Squad Assignment'!$A:$A,MATCH(C865&amp;"-"&amp;E865&amp;"-"&amp;F865&amp;"-Pos2",'Shooter-Squad Assignment'!$K:$K,0)),""),IF(F865="Trap",IFERROR(INDEX('Shooter-Squad Assignment'!$A:$A,MATCH(C865&amp;"-"&amp;E865&amp;"-"&amp;F865&amp;"-Pos2",'Shooter-Squad Assignment'!$W:$W,0)),""),IF(F865="Sporting Clays",IFERROR(INDEX('Shooter-Squad Assignment'!$A:$A,MATCH(C865&amp;"-"&amp;E865&amp;"-"&amp;F865&amp;"-Pos2",'Shooter-Squad Assignment'!$Z:$Z,0)),""),"")))</f>
        <v/>
      </c>
      <c r="J865" s="88" t="str">
        <f>IF(ISBLANK(I865),"",IFERROR(INDEX('Tournament List'!$D:$D,MATCH(I865,'Tournament List'!$A:$A,0)),""))</f>
        <v/>
      </c>
      <c r="K865" s="96" t="str">
        <f>IF(F865="Skeet",IFERROR(INDEX('Shooter-Squad Assignment'!$A:$A,MATCH(C865&amp;"-"&amp;E865&amp;"-"&amp;F865&amp;"-Pos3",'Shooter-Squad Assignment'!$K:$K,0)),""),IF(F865="Trap",IFERROR(INDEX('Shooter-Squad Assignment'!$A:$A,MATCH(C865&amp;"-"&amp;E865&amp;"-"&amp;F865&amp;"-Pos3",'Shooter-Squad Assignment'!$W:$W,0)),""),IF(F865="Sporting Clays",IFERROR(INDEX('Shooter-Squad Assignment'!$A:$A,MATCH(C865&amp;"-"&amp;E865&amp;"-"&amp;F865&amp;"-Pos3",'Shooter-Squad Assignment'!$Z:$Z,0)),""),"")))</f>
        <v/>
      </c>
      <c r="L865" s="88" t="str">
        <f>IF(ISBLANK(K865),"",IFERROR(INDEX('Tournament List'!$D:$D,MATCH(K865,'Tournament List'!$A:$A,0)),""))</f>
        <v/>
      </c>
      <c r="M865" s="96" t="str">
        <f>IF(F865="Skeet",IFERROR(INDEX('Shooter-Squad Assignment'!$A:$A,MATCH(C865&amp;"-"&amp;E865&amp;"-"&amp;F865&amp;"-Pos4",'Shooter-Squad Assignment'!$K:$K,0)),""),IF(F865="Trap",IFERROR(INDEX('Shooter-Squad Assignment'!$A:$A,MATCH(C865&amp;"-"&amp;E865&amp;"-"&amp;F865&amp;"-Pos4",'Shooter-Squad Assignment'!$W:$W,0)),""),IF(F865="Sporting Clays",IFERROR(INDEX('Shooter-Squad Assignment'!$A:$A,MATCH(C865&amp;"-"&amp;E865&amp;"-"&amp;F865&amp;"-Pos4",'Shooter-Squad Assignment'!$Z:$Z,0)),""),"")))</f>
        <v/>
      </c>
      <c r="N865" s="88" t="str">
        <f>IF(ISBLANK(M865),"",IFERROR(INDEX('Tournament List'!$D:$D,MATCH(M865,'Tournament List'!$A:$A,0)),""))</f>
        <v/>
      </c>
      <c r="O865" s="96" t="str">
        <f>IF(F865="Skeet",IFERROR(INDEX('Shooter-Squad Assignment'!$A:$A,MATCH(C865&amp;"-"&amp;E865&amp;"-"&amp;F865&amp;"-Pos5",'Shooter-Squad Assignment'!$K:$K,0)),""),IF(F865="Trap",IFERROR(INDEX('Shooter-Squad Assignment'!$A:$A,MATCH(C865&amp;"-"&amp;E865&amp;"-"&amp;F865&amp;"-Pos5",'Shooter-Squad Assignment'!$W:$W,0)),""),IF(F865="Sporting Clays",IFERROR(INDEX('Shooter-Squad Assignment'!$A:$A,MATCH(C865&amp;"-"&amp;E865&amp;"-"&amp;F865&amp;"-Pos5",'Shooter-Squad Assignment'!$Z:$Z,0)),""),"")))</f>
        <v/>
      </c>
      <c r="P865" s="89" t="str">
        <f>IF(ISBLANK(O865),"",IFERROR(INDEX('Tournament List'!$D:$D,MATCH(O865,'Tournament List'!$A:$A,0)),""))</f>
        <v/>
      </c>
    </row>
    <row r="866" spans="1:16" x14ac:dyDescent="0.3">
      <c r="A866" s="87">
        <v>865</v>
      </c>
      <c r="B866" s="88" t="str">
        <f>C866&amp;"-"&amp;E866&amp;"-"&amp;F866</f>
        <v>-Novice 1-Skeet</v>
      </c>
      <c r="C866" s="88"/>
      <c r="D866" s="88" t="str">
        <f>INDEX('Tournament Setup'!$B$59:$B$78,MATCH(E866,SquadConcurrents,0))</f>
        <v>Novice</v>
      </c>
      <c r="E866" s="88" t="s">
        <v>337</v>
      </c>
      <c r="F866" s="88" t="s">
        <v>143</v>
      </c>
      <c r="G866" s="96" t="str">
        <f>IF(F866="Skeet",IFERROR(INDEX('Shooter-Squad Assignment'!$A:$A,MATCH(C866&amp;"-"&amp;E866&amp;"-"&amp;F866&amp;"-Pos1",'Shooter-Squad Assignment'!$K:$K,0)),""),IF(F866="Trap",IFERROR(INDEX('Shooter-Squad Assignment'!$A:$A,MATCH(C866&amp;"-"&amp;E866&amp;"-"&amp;F866&amp;"-Pos1",'Shooter-Squad Assignment'!$W:$W,0)),""),IF(F866="Sporting Clays",IFERROR(INDEX('Shooter-Squad Assignment'!$A:$A,MATCH(C866&amp;"-"&amp;E866&amp;"-"&amp;F866&amp;"-Pos1",'Shooter-Squad Assignment'!$Z:$Z,0)),""),"")))</f>
        <v/>
      </c>
      <c r="H866" s="88" t="str">
        <f>IF(ISBLANK(G866),"",IFERROR(INDEX('Tournament List'!$D:$D,MATCH(G866,'Tournament List'!$A:$A,0)),""))</f>
        <v/>
      </c>
      <c r="I866" s="96" t="str">
        <f>IF(F866="Skeet",IFERROR(INDEX('Shooter-Squad Assignment'!$A:$A,MATCH(C866&amp;"-"&amp;E866&amp;"-"&amp;F866&amp;"-Pos2",'Shooter-Squad Assignment'!$K:$K,0)),""),IF(F866="Trap",IFERROR(INDEX('Shooter-Squad Assignment'!$A:$A,MATCH(C866&amp;"-"&amp;E866&amp;"-"&amp;F866&amp;"-Pos2",'Shooter-Squad Assignment'!$W:$W,0)),""),IF(F866="Sporting Clays",IFERROR(INDEX('Shooter-Squad Assignment'!$A:$A,MATCH(C866&amp;"-"&amp;E866&amp;"-"&amp;F866&amp;"-Pos2",'Shooter-Squad Assignment'!$Z:$Z,0)),""),"")))</f>
        <v/>
      </c>
      <c r="J866" s="88" t="str">
        <f>IF(ISBLANK(I866),"",IFERROR(INDEX('Tournament List'!$D:$D,MATCH(I866,'Tournament List'!$A:$A,0)),""))</f>
        <v/>
      </c>
      <c r="K866" s="96" t="str">
        <f>IF(F866="Skeet",IFERROR(INDEX('Shooter-Squad Assignment'!$A:$A,MATCH(C866&amp;"-"&amp;E866&amp;"-"&amp;F866&amp;"-Pos3",'Shooter-Squad Assignment'!$K:$K,0)),""),IF(F866="Trap",IFERROR(INDEX('Shooter-Squad Assignment'!$A:$A,MATCH(C866&amp;"-"&amp;E866&amp;"-"&amp;F866&amp;"-Pos3",'Shooter-Squad Assignment'!$W:$W,0)),""),IF(F866="Sporting Clays",IFERROR(INDEX('Shooter-Squad Assignment'!$A:$A,MATCH(C866&amp;"-"&amp;E866&amp;"-"&amp;F866&amp;"-Pos3",'Shooter-Squad Assignment'!$Z:$Z,0)),""),"")))</f>
        <v/>
      </c>
      <c r="L866" s="88" t="str">
        <f>IF(ISBLANK(K866),"",IFERROR(INDEX('Tournament List'!$D:$D,MATCH(K866,'Tournament List'!$A:$A,0)),""))</f>
        <v/>
      </c>
      <c r="M866" s="96" t="str">
        <f>IF(F866="Skeet",IFERROR(INDEX('Shooter-Squad Assignment'!$A:$A,MATCH(C866&amp;"-"&amp;E866&amp;"-"&amp;F866&amp;"-Pos4",'Shooter-Squad Assignment'!$K:$K,0)),""),IF(F866="Trap",IFERROR(INDEX('Shooter-Squad Assignment'!$A:$A,MATCH(C866&amp;"-"&amp;E866&amp;"-"&amp;F866&amp;"-Pos4",'Shooter-Squad Assignment'!$W:$W,0)),""),IF(F866="Sporting Clays",IFERROR(INDEX('Shooter-Squad Assignment'!$A:$A,MATCH(C866&amp;"-"&amp;E866&amp;"-"&amp;F866&amp;"-Pos4",'Shooter-Squad Assignment'!$Z:$Z,0)),""),"")))</f>
        <v/>
      </c>
      <c r="N866" s="88" t="str">
        <f>IF(ISBLANK(M866),"",IFERROR(INDEX('Tournament List'!$D:$D,MATCH(M866,'Tournament List'!$A:$A,0)),""))</f>
        <v/>
      </c>
      <c r="O866" s="96" t="str">
        <f>IF(F866="Skeet",IFERROR(INDEX('Shooter-Squad Assignment'!$A:$A,MATCH(C866&amp;"-"&amp;E866&amp;"-"&amp;F866&amp;"-Pos5",'Shooter-Squad Assignment'!$K:$K,0)),""),IF(F866="Trap",IFERROR(INDEX('Shooter-Squad Assignment'!$A:$A,MATCH(C866&amp;"-"&amp;E866&amp;"-"&amp;F866&amp;"-Pos5",'Shooter-Squad Assignment'!$W:$W,0)),""),IF(F866="Sporting Clays",IFERROR(INDEX('Shooter-Squad Assignment'!$A:$A,MATCH(C866&amp;"-"&amp;E866&amp;"-"&amp;F866&amp;"-Pos5",'Shooter-Squad Assignment'!$Z:$Z,0)),""),"")))</f>
        <v/>
      </c>
      <c r="P866" s="89" t="str">
        <f>IF(ISBLANK(O866),"",IFERROR(INDEX('Tournament List'!$D:$D,MATCH(O866,'Tournament List'!$A:$A,0)),""))</f>
        <v/>
      </c>
    </row>
    <row r="867" spans="1:16" x14ac:dyDescent="0.3">
      <c r="A867" s="87">
        <v>866</v>
      </c>
      <c r="B867" s="88" t="str">
        <f>C867&amp;"-"&amp;E867&amp;"-"&amp;F867</f>
        <v>-Novice 2-Skeet</v>
      </c>
      <c r="C867" s="88"/>
      <c r="D867" s="88" t="str">
        <f>INDEX('Tournament Setup'!$B$59:$B$78,MATCH(E867,SquadConcurrents,0))</f>
        <v>Novice</v>
      </c>
      <c r="E867" s="88" t="s">
        <v>343</v>
      </c>
      <c r="F867" s="88" t="s">
        <v>143</v>
      </c>
      <c r="G867" s="96" t="str">
        <f>IF(F867="Skeet",IFERROR(INDEX('Shooter-Squad Assignment'!$A:$A,MATCH(C867&amp;"-"&amp;E867&amp;"-"&amp;F867&amp;"-Pos1",'Shooter-Squad Assignment'!$K:$K,0)),""),IF(F867="Trap",IFERROR(INDEX('Shooter-Squad Assignment'!$A:$A,MATCH(C867&amp;"-"&amp;E867&amp;"-"&amp;F867&amp;"-Pos1",'Shooter-Squad Assignment'!$W:$W,0)),""),IF(F867="Sporting Clays",IFERROR(INDEX('Shooter-Squad Assignment'!$A:$A,MATCH(C867&amp;"-"&amp;E867&amp;"-"&amp;F867&amp;"-Pos1",'Shooter-Squad Assignment'!$Z:$Z,0)),""),"")))</f>
        <v/>
      </c>
      <c r="H867" s="88" t="str">
        <f>IF(ISBLANK(G867),"",IFERROR(INDEX('Tournament List'!$D:$D,MATCH(G867,'Tournament List'!$A:$A,0)),""))</f>
        <v/>
      </c>
      <c r="I867" s="96" t="str">
        <f>IF(F867="Skeet",IFERROR(INDEX('Shooter-Squad Assignment'!$A:$A,MATCH(C867&amp;"-"&amp;E867&amp;"-"&amp;F867&amp;"-Pos2",'Shooter-Squad Assignment'!$K:$K,0)),""),IF(F867="Trap",IFERROR(INDEX('Shooter-Squad Assignment'!$A:$A,MATCH(C867&amp;"-"&amp;E867&amp;"-"&amp;F867&amp;"-Pos2",'Shooter-Squad Assignment'!$W:$W,0)),""),IF(F867="Sporting Clays",IFERROR(INDEX('Shooter-Squad Assignment'!$A:$A,MATCH(C867&amp;"-"&amp;E867&amp;"-"&amp;F867&amp;"-Pos2",'Shooter-Squad Assignment'!$Z:$Z,0)),""),"")))</f>
        <v/>
      </c>
      <c r="J867" s="88" t="str">
        <f>IF(ISBLANK(I867),"",IFERROR(INDEX('Tournament List'!$D:$D,MATCH(I867,'Tournament List'!$A:$A,0)),""))</f>
        <v/>
      </c>
      <c r="K867" s="96" t="str">
        <f>IF(F867="Skeet",IFERROR(INDEX('Shooter-Squad Assignment'!$A:$A,MATCH(C867&amp;"-"&amp;E867&amp;"-"&amp;F867&amp;"-Pos3",'Shooter-Squad Assignment'!$K:$K,0)),""),IF(F867="Trap",IFERROR(INDEX('Shooter-Squad Assignment'!$A:$A,MATCH(C867&amp;"-"&amp;E867&amp;"-"&amp;F867&amp;"-Pos3",'Shooter-Squad Assignment'!$W:$W,0)),""),IF(F867="Sporting Clays",IFERROR(INDEX('Shooter-Squad Assignment'!$A:$A,MATCH(C867&amp;"-"&amp;E867&amp;"-"&amp;F867&amp;"-Pos3",'Shooter-Squad Assignment'!$Z:$Z,0)),""),"")))</f>
        <v/>
      </c>
      <c r="L867" s="88" t="str">
        <f>IF(ISBLANK(K867),"",IFERROR(INDEX('Tournament List'!$D:$D,MATCH(K867,'Tournament List'!$A:$A,0)),""))</f>
        <v/>
      </c>
      <c r="M867" s="96" t="str">
        <f>IF(F867="Skeet",IFERROR(INDEX('Shooter-Squad Assignment'!$A:$A,MATCH(C867&amp;"-"&amp;E867&amp;"-"&amp;F867&amp;"-Pos4",'Shooter-Squad Assignment'!$K:$K,0)),""),IF(F867="Trap",IFERROR(INDEX('Shooter-Squad Assignment'!$A:$A,MATCH(C867&amp;"-"&amp;E867&amp;"-"&amp;F867&amp;"-Pos4",'Shooter-Squad Assignment'!$W:$W,0)),""),IF(F867="Sporting Clays",IFERROR(INDEX('Shooter-Squad Assignment'!$A:$A,MATCH(C867&amp;"-"&amp;E867&amp;"-"&amp;F867&amp;"-Pos4",'Shooter-Squad Assignment'!$Z:$Z,0)),""),"")))</f>
        <v/>
      </c>
      <c r="N867" s="88" t="str">
        <f>IF(ISBLANK(M867),"",IFERROR(INDEX('Tournament List'!$D:$D,MATCH(M867,'Tournament List'!$A:$A,0)),""))</f>
        <v/>
      </c>
      <c r="O867" s="96" t="str">
        <f>IF(F867="Skeet",IFERROR(INDEX('Shooter-Squad Assignment'!$A:$A,MATCH(C867&amp;"-"&amp;E867&amp;"-"&amp;F867&amp;"-Pos5",'Shooter-Squad Assignment'!$K:$K,0)),""),IF(F867="Trap",IFERROR(INDEX('Shooter-Squad Assignment'!$A:$A,MATCH(C867&amp;"-"&amp;E867&amp;"-"&amp;F867&amp;"-Pos5",'Shooter-Squad Assignment'!$W:$W,0)),""),IF(F867="Sporting Clays",IFERROR(INDEX('Shooter-Squad Assignment'!$A:$A,MATCH(C867&amp;"-"&amp;E867&amp;"-"&amp;F867&amp;"-Pos5",'Shooter-Squad Assignment'!$Z:$Z,0)),""),"")))</f>
        <v/>
      </c>
      <c r="P867" s="89" t="str">
        <f>IF(ISBLANK(O867),"",IFERROR(INDEX('Tournament List'!$D:$D,MATCH(O867,'Tournament List'!$A:$A,0)),""))</f>
        <v/>
      </c>
    </row>
    <row r="868" spans="1:16" x14ac:dyDescent="0.3">
      <c r="A868" s="87">
        <v>867</v>
      </c>
      <c r="B868" s="88" t="str">
        <f>C868&amp;"-"&amp;E868&amp;"-"&amp;F868</f>
        <v>-Novice 3-Skeet</v>
      </c>
      <c r="C868" s="88"/>
      <c r="D868" s="88" t="str">
        <f>INDEX('Tournament Setup'!$B$59:$B$78,MATCH(E868,SquadConcurrents,0))</f>
        <v>Novice</v>
      </c>
      <c r="E868" s="88" t="s">
        <v>349</v>
      </c>
      <c r="F868" s="88" t="s">
        <v>143</v>
      </c>
      <c r="G868" s="96" t="str">
        <f>IF(F868="Skeet",IFERROR(INDEX('Shooter-Squad Assignment'!$A:$A,MATCH(C868&amp;"-"&amp;E868&amp;"-"&amp;F868&amp;"-Pos1",'Shooter-Squad Assignment'!$K:$K,0)),""),IF(F868="Trap",IFERROR(INDEX('Shooter-Squad Assignment'!$A:$A,MATCH(C868&amp;"-"&amp;E868&amp;"-"&amp;F868&amp;"-Pos1",'Shooter-Squad Assignment'!$W:$W,0)),""),IF(F868="Sporting Clays",IFERROR(INDEX('Shooter-Squad Assignment'!$A:$A,MATCH(C868&amp;"-"&amp;E868&amp;"-"&amp;F868&amp;"-Pos1",'Shooter-Squad Assignment'!$Z:$Z,0)),""),"")))</f>
        <v/>
      </c>
      <c r="H868" s="88" t="str">
        <f>IF(ISBLANK(G868),"",IFERROR(INDEX('Tournament List'!$D:$D,MATCH(G868,'Tournament List'!$A:$A,0)),""))</f>
        <v/>
      </c>
      <c r="I868" s="96" t="str">
        <f>IF(F868="Skeet",IFERROR(INDEX('Shooter-Squad Assignment'!$A:$A,MATCH(C868&amp;"-"&amp;E868&amp;"-"&amp;F868&amp;"-Pos2",'Shooter-Squad Assignment'!$K:$K,0)),""),IF(F868="Trap",IFERROR(INDEX('Shooter-Squad Assignment'!$A:$A,MATCH(C868&amp;"-"&amp;E868&amp;"-"&amp;F868&amp;"-Pos2",'Shooter-Squad Assignment'!$W:$W,0)),""),IF(F868="Sporting Clays",IFERROR(INDEX('Shooter-Squad Assignment'!$A:$A,MATCH(C868&amp;"-"&amp;E868&amp;"-"&amp;F868&amp;"-Pos2",'Shooter-Squad Assignment'!$Z:$Z,0)),""),"")))</f>
        <v/>
      </c>
      <c r="J868" s="88" t="str">
        <f>IF(ISBLANK(I868),"",IFERROR(INDEX('Tournament List'!$D:$D,MATCH(I868,'Tournament List'!$A:$A,0)),""))</f>
        <v/>
      </c>
      <c r="K868" s="96" t="str">
        <f>IF(F868="Skeet",IFERROR(INDEX('Shooter-Squad Assignment'!$A:$A,MATCH(C868&amp;"-"&amp;E868&amp;"-"&amp;F868&amp;"-Pos3",'Shooter-Squad Assignment'!$K:$K,0)),""),IF(F868="Trap",IFERROR(INDEX('Shooter-Squad Assignment'!$A:$A,MATCH(C868&amp;"-"&amp;E868&amp;"-"&amp;F868&amp;"-Pos3",'Shooter-Squad Assignment'!$W:$W,0)),""),IF(F868="Sporting Clays",IFERROR(INDEX('Shooter-Squad Assignment'!$A:$A,MATCH(C868&amp;"-"&amp;E868&amp;"-"&amp;F868&amp;"-Pos3",'Shooter-Squad Assignment'!$Z:$Z,0)),""),"")))</f>
        <v/>
      </c>
      <c r="L868" s="88" t="str">
        <f>IF(ISBLANK(K868),"",IFERROR(INDEX('Tournament List'!$D:$D,MATCH(K868,'Tournament List'!$A:$A,0)),""))</f>
        <v/>
      </c>
      <c r="M868" s="96" t="str">
        <f>IF(F868="Skeet",IFERROR(INDEX('Shooter-Squad Assignment'!$A:$A,MATCH(C868&amp;"-"&amp;E868&amp;"-"&amp;F868&amp;"-Pos4",'Shooter-Squad Assignment'!$K:$K,0)),""),IF(F868="Trap",IFERROR(INDEX('Shooter-Squad Assignment'!$A:$A,MATCH(C868&amp;"-"&amp;E868&amp;"-"&amp;F868&amp;"-Pos4",'Shooter-Squad Assignment'!$W:$W,0)),""),IF(F868="Sporting Clays",IFERROR(INDEX('Shooter-Squad Assignment'!$A:$A,MATCH(C868&amp;"-"&amp;E868&amp;"-"&amp;F868&amp;"-Pos4",'Shooter-Squad Assignment'!$Z:$Z,0)),""),"")))</f>
        <v/>
      </c>
      <c r="N868" s="88" t="str">
        <f>IF(ISBLANK(M868),"",IFERROR(INDEX('Tournament List'!$D:$D,MATCH(M868,'Tournament List'!$A:$A,0)),""))</f>
        <v/>
      </c>
      <c r="O868" s="96" t="str">
        <f>IF(F868="Skeet",IFERROR(INDEX('Shooter-Squad Assignment'!$A:$A,MATCH(C868&amp;"-"&amp;E868&amp;"-"&amp;F868&amp;"-Pos5",'Shooter-Squad Assignment'!$K:$K,0)),""),IF(F868="Trap",IFERROR(INDEX('Shooter-Squad Assignment'!$A:$A,MATCH(C868&amp;"-"&amp;E868&amp;"-"&amp;F868&amp;"-Pos5",'Shooter-Squad Assignment'!$W:$W,0)),""),IF(F868="Sporting Clays",IFERROR(INDEX('Shooter-Squad Assignment'!$A:$A,MATCH(C868&amp;"-"&amp;E868&amp;"-"&amp;F868&amp;"-Pos5",'Shooter-Squad Assignment'!$Z:$Z,0)),""),"")))</f>
        <v/>
      </c>
      <c r="P868" s="89" t="str">
        <f>IF(ISBLANK(O868),"",IFERROR(INDEX('Tournament List'!$D:$D,MATCH(O868,'Tournament List'!$A:$A,0)),""))</f>
        <v/>
      </c>
    </row>
    <row r="869" spans="1:16" x14ac:dyDescent="0.3">
      <c r="A869" s="87">
        <v>868</v>
      </c>
      <c r="B869" s="88" t="str">
        <f>C869&amp;"-"&amp;E869&amp;"-"&amp;F869</f>
        <v>-Open 1-Skeet</v>
      </c>
      <c r="C869" s="88"/>
      <c r="D869" s="88" t="str">
        <f>INDEX('Tournament Setup'!$B$59:$B$78,MATCH(E869,SquadConcurrents,0))</f>
        <v>Open</v>
      </c>
      <c r="E869" s="88" t="s">
        <v>341</v>
      </c>
      <c r="F869" s="88" t="s">
        <v>143</v>
      </c>
      <c r="G869" s="96" t="str">
        <f>IF(F869="Skeet",IFERROR(INDEX('Shooter-Squad Assignment'!$A:$A,MATCH(C869&amp;"-"&amp;E869&amp;"-"&amp;F869&amp;"-Pos1",'Shooter-Squad Assignment'!$K:$K,0)),""),IF(F869="Trap",IFERROR(INDEX('Shooter-Squad Assignment'!$A:$A,MATCH(C869&amp;"-"&amp;E869&amp;"-"&amp;F869&amp;"-Pos1",'Shooter-Squad Assignment'!$W:$W,0)),""),IF(F869="Sporting Clays",IFERROR(INDEX('Shooter-Squad Assignment'!$A:$A,MATCH(C869&amp;"-"&amp;E869&amp;"-"&amp;F869&amp;"-Pos1",'Shooter-Squad Assignment'!$Z:$Z,0)),""),"")))</f>
        <v/>
      </c>
      <c r="H869" s="88" t="str">
        <f>IF(ISBLANK(G869),"",IFERROR(INDEX('Tournament List'!$D:$D,MATCH(G869,'Tournament List'!$A:$A,0)),""))</f>
        <v/>
      </c>
      <c r="I869" s="96" t="str">
        <f>IF(F869="Skeet",IFERROR(INDEX('Shooter-Squad Assignment'!$A:$A,MATCH(C869&amp;"-"&amp;E869&amp;"-"&amp;F869&amp;"-Pos2",'Shooter-Squad Assignment'!$K:$K,0)),""),IF(F869="Trap",IFERROR(INDEX('Shooter-Squad Assignment'!$A:$A,MATCH(C869&amp;"-"&amp;E869&amp;"-"&amp;F869&amp;"-Pos2",'Shooter-Squad Assignment'!$W:$W,0)),""),IF(F869="Sporting Clays",IFERROR(INDEX('Shooter-Squad Assignment'!$A:$A,MATCH(C869&amp;"-"&amp;E869&amp;"-"&amp;F869&amp;"-Pos2",'Shooter-Squad Assignment'!$Z:$Z,0)),""),"")))</f>
        <v/>
      </c>
      <c r="J869" s="88" t="str">
        <f>IF(ISBLANK(I869),"",IFERROR(INDEX('Tournament List'!$D:$D,MATCH(I869,'Tournament List'!$A:$A,0)),""))</f>
        <v/>
      </c>
      <c r="K869" s="96" t="str">
        <f>IF(F869="Skeet",IFERROR(INDEX('Shooter-Squad Assignment'!$A:$A,MATCH(C869&amp;"-"&amp;E869&amp;"-"&amp;F869&amp;"-Pos3",'Shooter-Squad Assignment'!$K:$K,0)),""),IF(F869="Trap",IFERROR(INDEX('Shooter-Squad Assignment'!$A:$A,MATCH(C869&amp;"-"&amp;E869&amp;"-"&amp;F869&amp;"-Pos3",'Shooter-Squad Assignment'!$W:$W,0)),""),IF(F869="Sporting Clays",IFERROR(INDEX('Shooter-Squad Assignment'!$A:$A,MATCH(C869&amp;"-"&amp;E869&amp;"-"&amp;F869&amp;"-Pos3",'Shooter-Squad Assignment'!$Z:$Z,0)),""),"")))</f>
        <v/>
      </c>
      <c r="L869" s="88" t="str">
        <f>IF(ISBLANK(K869),"",IFERROR(INDEX('Tournament List'!$D:$D,MATCH(K869,'Tournament List'!$A:$A,0)),""))</f>
        <v/>
      </c>
      <c r="M869" s="96" t="str">
        <f>IF(F869="Skeet",IFERROR(INDEX('Shooter-Squad Assignment'!$A:$A,MATCH(C869&amp;"-"&amp;E869&amp;"-"&amp;F869&amp;"-Pos4",'Shooter-Squad Assignment'!$K:$K,0)),""),IF(F869="Trap",IFERROR(INDEX('Shooter-Squad Assignment'!$A:$A,MATCH(C869&amp;"-"&amp;E869&amp;"-"&amp;F869&amp;"-Pos4",'Shooter-Squad Assignment'!$W:$W,0)),""),IF(F869="Sporting Clays",IFERROR(INDEX('Shooter-Squad Assignment'!$A:$A,MATCH(C869&amp;"-"&amp;E869&amp;"-"&amp;F869&amp;"-Pos4",'Shooter-Squad Assignment'!$Z:$Z,0)),""),"")))</f>
        <v/>
      </c>
      <c r="N869" s="88" t="str">
        <f>IF(ISBLANK(M869),"",IFERROR(INDEX('Tournament List'!$D:$D,MATCH(M869,'Tournament List'!$A:$A,0)),""))</f>
        <v/>
      </c>
      <c r="O869" s="96" t="str">
        <f>IF(F869="Skeet",IFERROR(INDEX('Shooter-Squad Assignment'!$A:$A,MATCH(C869&amp;"-"&amp;E869&amp;"-"&amp;F869&amp;"-Pos5",'Shooter-Squad Assignment'!$K:$K,0)),""),IF(F869="Trap",IFERROR(INDEX('Shooter-Squad Assignment'!$A:$A,MATCH(C869&amp;"-"&amp;E869&amp;"-"&amp;F869&amp;"-Pos5",'Shooter-Squad Assignment'!$W:$W,0)),""),IF(F869="Sporting Clays",IFERROR(INDEX('Shooter-Squad Assignment'!$A:$A,MATCH(C869&amp;"-"&amp;E869&amp;"-"&amp;F869&amp;"-Pos5",'Shooter-Squad Assignment'!$Z:$Z,0)),""),"")))</f>
        <v/>
      </c>
      <c r="P869" s="89" t="str">
        <f>IF(ISBLANK(O869),"",IFERROR(INDEX('Tournament List'!$D:$D,MATCH(O869,'Tournament List'!$A:$A,0)),""))</f>
        <v/>
      </c>
    </row>
    <row r="870" spans="1:16" x14ac:dyDescent="0.3">
      <c r="A870" s="87">
        <v>869</v>
      </c>
      <c r="B870" s="88" t="str">
        <f>C870&amp;"-"&amp;E870&amp;"-"&amp;F870</f>
        <v>-Open 2-Skeet</v>
      </c>
      <c r="C870" s="88"/>
      <c r="D870" s="88" t="str">
        <f>INDEX('Tournament Setup'!$B$59:$B$78,MATCH(E870,SquadConcurrents,0))</f>
        <v>Open</v>
      </c>
      <c r="E870" s="88" t="s">
        <v>347</v>
      </c>
      <c r="F870" s="88" t="s">
        <v>143</v>
      </c>
      <c r="G870" s="96" t="str">
        <f>IF(F870="Skeet",IFERROR(INDEX('Shooter-Squad Assignment'!$A:$A,MATCH(C870&amp;"-"&amp;E870&amp;"-"&amp;F870&amp;"-Pos1",'Shooter-Squad Assignment'!$K:$K,0)),""),IF(F870="Trap",IFERROR(INDEX('Shooter-Squad Assignment'!$A:$A,MATCH(C870&amp;"-"&amp;E870&amp;"-"&amp;F870&amp;"-Pos1",'Shooter-Squad Assignment'!$W:$W,0)),""),IF(F870="Sporting Clays",IFERROR(INDEX('Shooter-Squad Assignment'!$A:$A,MATCH(C870&amp;"-"&amp;E870&amp;"-"&amp;F870&amp;"-Pos1",'Shooter-Squad Assignment'!$Z:$Z,0)),""),"")))</f>
        <v/>
      </c>
      <c r="H870" s="88" t="str">
        <f>IF(ISBLANK(G870),"",IFERROR(INDEX('Tournament List'!$D:$D,MATCH(G870,'Tournament List'!$A:$A,0)),""))</f>
        <v/>
      </c>
      <c r="I870" s="96" t="str">
        <f>IF(F870="Skeet",IFERROR(INDEX('Shooter-Squad Assignment'!$A:$A,MATCH(C870&amp;"-"&amp;E870&amp;"-"&amp;F870&amp;"-Pos2",'Shooter-Squad Assignment'!$K:$K,0)),""),IF(F870="Trap",IFERROR(INDEX('Shooter-Squad Assignment'!$A:$A,MATCH(C870&amp;"-"&amp;E870&amp;"-"&amp;F870&amp;"-Pos2",'Shooter-Squad Assignment'!$W:$W,0)),""),IF(F870="Sporting Clays",IFERROR(INDEX('Shooter-Squad Assignment'!$A:$A,MATCH(C870&amp;"-"&amp;E870&amp;"-"&amp;F870&amp;"-Pos2",'Shooter-Squad Assignment'!$Z:$Z,0)),""),"")))</f>
        <v/>
      </c>
      <c r="J870" s="88" t="str">
        <f>IF(ISBLANK(I870),"",IFERROR(INDEX('Tournament List'!$D:$D,MATCH(I870,'Tournament List'!$A:$A,0)),""))</f>
        <v/>
      </c>
      <c r="K870" s="96" t="str">
        <f>IF(F870="Skeet",IFERROR(INDEX('Shooter-Squad Assignment'!$A:$A,MATCH(C870&amp;"-"&amp;E870&amp;"-"&amp;F870&amp;"-Pos3",'Shooter-Squad Assignment'!$K:$K,0)),""),IF(F870="Trap",IFERROR(INDEX('Shooter-Squad Assignment'!$A:$A,MATCH(C870&amp;"-"&amp;E870&amp;"-"&amp;F870&amp;"-Pos3",'Shooter-Squad Assignment'!$W:$W,0)),""),IF(F870="Sporting Clays",IFERROR(INDEX('Shooter-Squad Assignment'!$A:$A,MATCH(C870&amp;"-"&amp;E870&amp;"-"&amp;F870&amp;"-Pos3",'Shooter-Squad Assignment'!$Z:$Z,0)),""),"")))</f>
        <v/>
      </c>
      <c r="L870" s="88" t="str">
        <f>IF(ISBLANK(K870),"",IFERROR(INDEX('Tournament List'!$D:$D,MATCH(K870,'Tournament List'!$A:$A,0)),""))</f>
        <v/>
      </c>
      <c r="M870" s="96" t="str">
        <f>IF(F870="Skeet",IFERROR(INDEX('Shooter-Squad Assignment'!$A:$A,MATCH(C870&amp;"-"&amp;E870&amp;"-"&amp;F870&amp;"-Pos4",'Shooter-Squad Assignment'!$K:$K,0)),""),IF(F870="Trap",IFERROR(INDEX('Shooter-Squad Assignment'!$A:$A,MATCH(C870&amp;"-"&amp;E870&amp;"-"&amp;F870&amp;"-Pos4",'Shooter-Squad Assignment'!$W:$W,0)),""),IF(F870="Sporting Clays",IFERROR(INDEX('Shooter-Squad Assignment'!$A:$A,MATCH(C870&amp;"-"&amp;E870&amp;"-"&amp;F870&amp;"-Pos4",'Shooter-Squad Assignment'!$Z:$Z,0)),""),"")))</f>
        <v/>
      </c>
      <c r="N870" s="88" t="str">
        <f>IF(ISBLANK(M870),"",IFERROR(INDEX('Tournament List'!$D:$D,MATCH(M870,'Tournament List'!$A:$A,0)),""))</f>
        <v/>
      </c>
      <c r="O870" s="96" t="str">
        <f>IF(F870="Skeet",IFERROR(INDEX('Shooter-Squad Assignment'!$A:$A,MATCH(C870&amp;"-"&amp;E870&amp;"-"&amp;F870&amp;"-Pos5",'Shooter-Squad Assignment'!$K:$K,0)),""),IF(F870="Trap",IFERROR(INDEX('Shooter-Squad Assignment'!$A:$A,MATCH(C870&amp;"-"&amp;E870&amp;"-"&amp;F870&amp;"-Pos5",'Shooter-Squad Assignment'!$W:$W,0)),""),IF(F870="Sporting Clays",IFERROR(INDEX('Shooter-Squad Assignment'!$A:$A,MATCH(C870&amp;"-"&amp;E870&amp;"-"&amp;F870&amp;"-Pos5",'Shooter-Squad Assignment'!$Z:$Z,0)),""),"")))</f>
        <v/>
      </c>
      <c r="P870" s="89" t="str">
        <f>IF(ISBLANK(O870),"",IFERROR(INDEX('Tournament List'!$D:$D,MATCH(O870,'Tournament List'!$A:$A,0)),""))</f>
        <v/>
      </c>
    </row>
    <row r="871" spans="1:16" x14ac:dyDescent="0.3">
      <c r="A871" s="87">
        <v>870</v>
      </c>
      <c r="B871" s="88" t="str">
        <f>C871&amp;"-"&amp;E871&amp;"-"&amp;F871</f>
        <v>-Open 3-Skeet</v>
      </c>
      <c r="C871" s="88"/>
      <c r="D871" s="88" t="str">
        <f>INDEX('Tournament Setup'!$B$59:$B$78,MATCH(E871,SquadConcurrents,0))</f>
        <v>Open</v>
      </c>
      <c r="E871" s="88" t="s">
        <v>353</v>
      </c>
      <c r="F871" s="88" t="s">
        <v>143</v>
      </c>
      <c r="G871" s="96" t="str">
        <f>IF(F871="Skeet",IFERROR(INDEX('Shooter-Squad Assignment'!$A:$A,MATCH(C871&amp;"-"&amp;E871&amp;"-"&amp;F871&amp;"-Pos1",'Shooter-Squad Assignment'!$K:$K,0)),""),IF(F871="Trap",IFERROR(INDEX('Shooter-Squad Assignment'!$A:$A,MATCH(C871&amp;"-"&amp;E871&amp;"-"&amp;F871&amp;"-Pos1",'Shooter-Squad Assignment'!$W:$W,0)),""),IF(F871="Sporting Clays",IFERROR(INDEX('Shooter-Squad Assignment'!$A:$A,MATCH(C871&amp;"-"&amp;E871&amp;"-"&amp;F871&amp;"-Pos1",'Shooter-Squad Assignment'!$Z:$Z,0)),""),"")))</f>
        <v/>
      </c>
      <c r="H871" s="88" t="str">
        <f>IF(ISBLANK(G871),"",IFERROR(INDEX('Tournament List'!$D:$D,MATCH(G871,'Tournament List'!$A:$A,0)),""))</f>
        <v/>
      </c>
      <c r="I871" s="96" t="str">
        <f>IF(F871="Skeet",IFERROR(INDEX('Shooter-Squad Assignment'!$A:$A,MATCH(C871&amp;"-"&amp;E871&amp;"-"&amp;F871&amp;"-Pos2",'Shooter-Squad Assignment'!$K:$K,0)),""),IF(F871="Trap",IFERROR(INDEX('Shooter-Squad Assignment'!$A:$A,MATCH(C871&amp;"-"&amp;E871&amp;"-"&amp;F871&amp;"-Pos2",'Shooter-Squad Assignment'!$W:$W,0)),""),IF(F871="Sporting Clays",IFERROR(INDEX('Shooter-Squad Assignment'!$A:$A,MATCH(C871&amp;"-"&amp;E871&amp;"-"&amp;F871&amp;"-Pos2",'Shooter-Squad Assignment'!$Z:$Z,0)),""),"")))</f>
        <v/>
      </c>
      <c r="J871" s="88" t="str">
        <f>IF(ISBLANK(I871),"",IFERROR(INDEX('Tournament List'!$D:$D,MATCH(I871,'Tournament List'!$A:$A,0)),""))</f>
        <v/>
      </c>
      <c r="K871" s="96" t="str">
        <f>IF(F871="Skeet",IFERROR(INDEX('Shooter-Squad Assignment'!$A:$A,MATCH(C871&amp;"-"&amp;E871&amp;"-"&amp;F871&amp;"-Pos3",'Shooter-Squad Assignment'!$K:$K,0)),""),IF(F871="Trap",IFERROR(INDEX('Shooter-Squad Assignment'!$A:$A,MATCH(C871&amp;"-"&amp;E871&amp;"-"&amp;F871&amp;"-Pos3",'Shooter-Squad Assignment'!$W:$W,0)),""),IF(F871="Sporting Clays",IFERROR(INDEX('Shooter-Squad Assignment'!$A:$A,MATCH(C871&amp;"-"&amp;E871&amp;"-"&amp;F871&amp;"-Pos3",'Shooter-Squad Assignment'!$Z:$Z,0)),""),"")))</f>
        <v/>
      </c>
      <c r="L871" s="88" t="str">
        <f>IF(ISBLANK(K871),"",IFERROR(INDEX('Tournament List'!$D:$D,MATCH(K871,'Tournament List'!$A:$A,0)),""))</f>
        <v/>
      </c>
      <c r="M871" s="96" t="str">
        <f>IF(F871="Skeet",IFERROR(INDEX('Shooter-Squad Assignment'!$A:$A,MATCH(C871&amp;"-"&amp;E871&amp;"-"&amp;F871&amp;"-Pos4",'Shooter-Squad Assignment'!$K:$K,0)),""),IF(F871="Trap",IFERROR(INDEX('Shooter-Squad Assignment'!$A:$A,MATCH(C871&amp;"-"&amp;E871&amp;"-"&amp;F871&amp;"-Pos4",'Shooter-Squad Assignment'!$W:$W,0)),""),IF(F871="Sporting Clays",IFERROR(INDEX('Shooter-Squad Assignment'!$A:$A,MATCH(C871&amp;"-"&amp;E871&amp;"-"&amp;F871&amp;"-Pos4",'Shooter-Squad Assignment'!$Z:$Z,0)),""),"")))</f>
        <v/>
      </c>
      <c r="N871" s="88" t="str">
        <f>IF(ISBLANK(M871),"",IFERROR(INDEX('Tournament List'!$D:$D,MATCH(M871,'Tournament List'!$A:$A,0)),""))</f>
        <v/>
      </c>
      <c r="O871" s="96" t="str">
        <f>IF(F871="Skeet",IFERROR(INDEX('Shooter-Squad Assignment'!$A:$A,MATCH(C871&amp;"-"&amp;E871&amp;"-"&amp;F871&amp;"-Pos5",'Shooter-Squad Assignment'!$K:$K,0)),""),IF(F871="Trap",IFERROR(INDEX('Shooter-Squad Assignment'!$A:$A,MATCH(C871&amp;"-"&amp;E871&amp;"-"&amp;F871&amp;"-Pos5",'Shooter-Squad Assignment'!$W:$W,0)),""),IF(F871="Sporting Clays",IFERROR(INDEX('Shooter-Squad Assignment'!$A:$A,MATCH(C871&amp;"-"&amp;E871&amp;"-"&amp;F871&amp;"-Pos5",'Shooter-Squad Assignment'!$Z:$Z,0)),""),"")))</f>
        <v/>
      </c>
      <c r="P871" s="89" t="str">
        <f>IF(ISBLANK(O871),"",IFERROR(INDEX('Tournament List'!$D:$D,MATCH(O871,'Tournament List'!$A:$A,0)),""))</f>
        <v/>
      </c>
    </row>
    <row r="872" spans="1:16" x14ac:dyDescent="0.3">
      <c r="A872" s="87">
        <v>871</v>
      </c>
      <c r="B872" s="88" t="str">
        <f>C872&amp;"-"&amp;E872&amp;"-"&amp;F872</f>
        <v>-Unassigned 1-Skeet</v>
      </c>
      <c r="C872" s="88"/>
      <c r="D872" s="88" t="str">
        <f>INDEX('Tournament Setup'!$B$59:$B$78,MATCH(E872,SquadConcurrents,0))</f>
        <v>Unassigned</v>
      </c>
      <c r="E872" s="88" t="s">
        <v>762</v>
      </c>
      <c r="F872" s="88" t="s">
        <v>143</v>
      </c>
      <c r="G872" s="96" t="str">
        <f>IF(F872="Skeet",IFERROR(INDEX('Shooter-Squad Assignment'!$A:$A,MATCH(C872&amp;"-"&amp;E872&amp;"-"&amp;F872&amp;"-Pos1",'Shooter-Squad Assignment'!$K:$K,0)),""),IF(F872="Trap",IFERROR(INDEX('Shooter-Squad Assignment'!$A:$A,MATCH(C872&amp;"-"&amp;E872&amp;"-"&amp;F872&amp;"-Pos1",'Shooter-Squad Assignment'!$W:$W,0)),""),IF(F872="Sporting Clays",IFERROR(INDEX('Shooter-Squad Assignment'!$A:$A,MATCH(C872&amp;"-"&amp;E872&amp;"-"&amp;F872&amp;"-Pos1",'Shooter-Squad Assignment'!$Z:$Z,0)),""),"")))</f>
        <v/>
      </c>
      <c r="H872" s="88" t="str">
        <f>IF(ISBLANK(G872),"",IFERROR(INDEX('Tournament List'!$D:$D,MATCH(G872,'Tournament List'!$A:$A,0)),""))</f>
        <v/>
      </c>
      <c r="I872" s="96" t="str">
        <f>IF(F872="Skeet",IFERROR(INDEX('Shooter-Squad Assignment'!$A:$A,MATCH(C872&amp;"-"&amp;E872&amp;"-"&amp;F872&amp;"-Pos2",'Shooter-Squad Assignment'!$K:$K,0)),""),IF(F872="Trap",IFERROR(INDEX('Shooter-Squad Assignment'!$A:$A,MATCH(C872&amp;"-"&amp;E872&amp;"-"&amp;F872&amp;"-Pos2",'Shooter-Squad Assignment'!$W:$W,0)),""),IF(F872="Sporting Clays",IFERROR(INDEX('Shooter-Squad Assignment'!$A:$A,MATCH(C872&amp;"-"&amp;E872&amp;"-"&amp;F872&amp;"-Pos2",'Shooter-Squad Assignment'!$Z:$Z,0)),""),"")))</f>
        <v/>
      </c>
      <c r="J872" s="88" t="str">
        <f>IF(ISBLANK(I872),"",IFERROR(INDEX('Tournament List'!$D:$D,MATCH(I872,'Tournament List'!$A:$A,0)),""))</f>
        <v/>
      </c>
      <c r="K872" s="96" t="str">
        <f>IF(F872="Skeet",IFERROR(INDEX('Shooter-Squad Assignment'!$A:$A,MATCH(C872&amp;"-"&amp;E872&amp;"-"&amp;F872&amp;"-Pos3",'Shooter-Squad Assignment'!$K:$K,0)),""),IF(F872="Trap",IFERROR(INDEX('Shooter-Squad Assignment'!$A:$A,MATCH(C872&amp;"-"&amp;E872&amp;"-"&amp;F872&amp;"-Pos3",'Shooter-Squad Assignment'!$W:$W,0)),""),IF(F872="Sporting Clays",IFERROR(INDEX('Shooter-Squad Assignment'!$A:$A,MATCH(C872&amp;"-"&amp;E872&amp;"-"&amp;F872&amp;"-Pos3",'Shooter-Squad Assignment'!$Z:$Z,0)),""),"")))</f>
        <v/>
      </c>
      <c r="L872" s="88" t="str">
        <f>IF(ISBLANK(K872),"",IFERROR(INDEX('Tournament List'!$D:$D,MATCH(K872,'Tournament List'!$A:$A,0)),""))</f>
        <v/>
      </c>
      <c r="M872" s="96" t="str">
        <f>IF(F872="Skeet",IFERROR(INDEX('Shooter-Squad Assignment'!$A:$A,MATCH(C872&amp;"-"&amp;E872&amp;"-"&amp;F872&amp;"-Pos4",'Shooter-Squad Assignment'!$K:$K,0)),""),IF(F872="Trap",IFERROR(INDEX('Shooter-Squad Assignment'!$A:$A,MATCH(C872&amp;"-"&amp;E872&amp;"-"&amp;F872&amp;"-Pos4",'Shooter-Squad Assignment'!$W:$W,0)),""),IF(F872="Sporting Clays",IFERROR(INDEX('Shooter-Squad Assignment'!$A:$A,MATCH(C872&amp;"-"&amp;E872&amp;"-"&amp;F872&amp;"-Pos4",'Shooter-Squad Assignment'!$Z:$Z,0)),""),"")))</f>
        <v/>
      </c>
      <c r="N872" s="88" t="str">
        <f>IF(ISBLANK(M872),"",IFERROR(INDEX('Tournament List'!$D:$D,MATCH(M872,'Tournament List'!$A:$A,0)),""))</f>
        <v/>
      </c>
      <c r="O872" s="96" t="str">
        <f>IF(F872="Skeet",IFERROR(INDEX('Shooter-Squad Assignment'!$A:$A,MATCH(C872&amp;"-"&amp;E872&amp;"-"&amp;F872&amp;"-Pos5",'Shooter-Squad Assignment'!$K:$K,0)),""),IF(F872="Trap",IFERROR(INDEX('Shooter-Squad Assignment'!$A:$A,MATCH(C872&amp;"-"&amp;E872&amp;"-"&amp;F872&amp;"-Pos5",'Shooter-Squad Assignment'!$W:$W,0)),""),IF(F872="Sporting Clays",IFERROR(INDEX('Shooter-Squad Assignment'!$A:$A,MATCH(C872&amp;"-"&amp;E872&amp;"-"&amp;F872&amp;"-Pos5",'Shooter-Squad Assignment'!$Z:$Z,0)),""),"")))</f>
        <v/>
      </c>
      <c r="P872" s="89" t="str">
        <f>IF(ISBLANK(O872),"",IFERROR(INDEX('Tournament List'!$D:$D,MATCH(O872,'Tournament List'!$A:$A,0)),""))</f>
        <v/>
      </c>
    </row>
    <row r="873" spans="1:16" x14ac:dyDescent="0.3">
      <c r="A873" s="87">
        <v>872</v>
      </c>
      <c r="B873" s="88" t="str">
        <f>C873&amp;"-"&amp;E873&amp;"-"&amp;F873</f>
        <v>-Varsity 1-Skeet</v>
      </c>
      <c r="C873" s="88"/>
      <c r="D873" s="88" t="str">
        <f>INDEX('Tournament Setup'!$B$59:$B$78,MATCH(E873,SquadConcurrents,0))</f>
        <v>Varsity</v>
      </c>
      <c r="E873" s="88" t="s">
        <v>340</v>
      </c>
      <c r="F873" s="88" t="s">
        <v>143</v>
      </c>
      <c r="G873" s="96" t="str">
        <f>IF(F873="Skeet",IFERROR(INDEX('Shooter-Squad Assignment'!$A:$A,MATCH(C873&amp;"-"&amp;E873&amp;"-"&amp;F873&amp;"-Pos1",'Shooter-Squad Assignment'!$K:$K,0)),""),IF(F873="Trap",IFERROR(INDEX('Shooter-Squad Assignment'!$A:$A,MATCH(C873&amp;"-"&amp;E873&amp;"-"&amp;F873&amp;"-Pos1",'Shooter-Squad Assignment'!$W:$W,0)),""),IF(F873="Sporting Clays",IFERROR(INDEX('Shooter-Squad Assignment'!$A:$A,MATCH(C873&amp;"-"&amp;E873&amp;"-"&amp;F873&amp;"-Pos1",'Shooter-Squad Assignment'!$Z:$Z,0)),""),"")))</f>
        <v/>
      </c>
      <c r="H873" s="88" t="str">
        <f>IF(ISBLANK(G873),"",IFERROR(INDEX('Tournament List'!$D:$D,MATCH(G873,'Tournament List'!$A:$A,0)),""))</f>
        <v/>
      </c>
      <c r="I873" s="96" t="str">
        <f>IF(F873="Skeet",IFERROR(INDEX('Shooter-Squad Assignment'!$A:$A,MATCH(C873&amp;"-"&amp;E873&amp;"-"&amp;F873&amp;"-Pos2",'Shooter-Squad Assignment'!$K:$K,0)),""),IF(F873="Trap",IFERROR(INDEX('Shooter-Squad Assignment'!$A:$A,MATCH(C873&amp;"-"&amp;E873&amp;"-"&amp;F873&amp;"-Pos2",'Shooter-Squad Assignment'!$W:$W,0)),""),IF(F873="Sporting Clays",IFERROR(INDEX('Shooter-Squad Assignment'!$A:$A,MATCH(C873&amp;"-"&amp;E873&amp;"-"&amp;F873&amp;"-Pos2",'Shooter-Squad Assignment'!$Z:$Z,0)),""),"")))</f>
        <v/>
      </c>
      <c r="J873" s="88" t="str">
        <f>IF(ISBLANK(I873),"",IFERROR(INDEX('Tournament List'!$D:$D,MATCH(I873,'Tournament List'!$A:$A,0)),""))</f>
        <v/>
      </c>
      <c r="K873" s="96" t="str">
        <f>IF(F873="Skeet",IFERROR(INDEX('Shooter-Squad Assignment'!$A:$A,MATCH(C873&amp;"-"&amp;E873&amp;"-"&amp;F873&amp;"-Pos3",'Shooter-Squad Assignment'!$K:$K,0)),""),IF(F873="Trap",IFERROR(INDEX('Shooter-Squad Assignment'!$A:$A,MATCH(C873&amp;"-"&amp;E873&amp;"-"&amp;F873&amp;"-Pos3",'Shooter-Squad Assignment'!$W:$W,0)),""),IF(F873="Sporting Clays",IFERROR(INDEX('Shooter-Squad Assignment'!$A:$A,MATCH(C873&amp;"-"&amp;E873&amp;"-"&amp;F873&amp;"-Pos3",'Shooter-Squad Assignment'!$Z:$Z,0)),""),"")))</f>
        <v/>
      </c>
      <c r="L873" s="88" t="str">
        <f>IF(ISBLANK(K873),"",IFERROR(INDEX('Tournament List'!$D:$D,MATCH(K873,'Tournament List'!$A:$A,0)),""))</f>
        <v/>
      </c>
      <c r="M873" s="96" t="str">
        <f>IF(F873="Skeet",IFERROR(INDEX('Shooter-Squad Assignment'!$A:$A,MATCH(C873&amp;"-"&amp;E873&amp;"-"&amp;F873&amp;"-Pos4",'Shooter-Squad Assignment'!$K:$K,0)),""),IF(F873="Trap",IFERROR(INDEX('Shooter-Squad Assignment'!$A:$A,MATCH(C873&amp;"-"&amp;E873&amp;"-"&amp;F873&amp;"-Pos4",'Shooter-Squad Assignment'!$W:$W,0)),""),IF(F873="Sporting Clays",IFERROR(INDEX('Shooter-Squad Assignment'!$A:$A,MATCH(C873&amp;"-"&amp;E873&amp;"-"&amp;F873&amp;"-Pos4",'Shooter-Squad Assignment'!$Z:$Z,0)),""),"")))</f>
        <v/>
      </c>
      <c r="N873" s="88" t="str">
        <f>IF(ISBLANK(M873),"",IFERROR(INDEX('Tournament List'!$D:$D,MATCH(M873,'Tournament List'!$A:$A,0)),""))</f>
        <v/>
      </c>
      <c r="O873" s="96" t="str">
        <f>IF(F873="Skeet",IFERROR(INDEX('Shooter-Squad Assignment'!$A:$A,MATCH(C873&amp;"-"&amp;E873&amp;"-"&amp;F873&amp;"-Pos5",'Shooter-Squad Assignment'!$K:$K,0)),""),IF(F873="Trap",IFERROR(INDEX('Shooter-Squad Assignment'!$A:$A,MATCH(C873&amp;"-"&amp;E873&amp;"-"&amp;F873&amp;"-Pos5",'Shooter-Squad Assignment'!$W:$W,0)),""),IF(F873="Sporting Clays",IFERROR(INDEX('Shooter-Squad Assignment'!$A:$A,MATCH(C873&amp;"-"&amp;E873&amp;"-"&amp;F873&amp;"-Pos5",'Shooter-Squad Assignment'!$Z:$Z,0)),""),"")))</f>
        <v/>
      </c>
      <c r="P873" s="89" t="str">
        <f>IF(ISBLANK(O873),"",IFERROR(INDEX('Tournament List'!$D:$D,MATCH(O873,'Tournament List'!$A:$A,0)),""))</f>
        <v/>
      </c>
    </row>
    <row r="874" spans="1:16" x14ac:dyDescent="0.3">
      <c r="A874" s="87">
        <v>873</v>
      </c>
      <c r="B874" s="88" t="str">
        <f>C874&amp;"-"&amp;E874&amp;"-"&amp;F874</f>
        <v>-Varsity 2-Skeet</v>
      </c>
      <c r="C874" s="88"/>
      <c r="D874" s="88" t="str">
        <f>INDEX('Tournament Setup'!$B$59:$B$78,MATCH(E874,SquadConcurrents,0))</f>
        <v>Varsity</v>
      </c>
      <c r="E874" s="88" t="s">
        <v>346</v>
      </c>
      <c r="F874" s="88" t="s">
        <v>143</v>
      </c>
      <c r="G874" s="96" t="str">
        <f>IF(F874="Skeet",IFERROR(INDEX('Shooter-Squad Assignment'!$A:$A,MATCH(C874&amp;"-"&amp;E874&amp;"-"&amp;F874&amp;"-Pos1",'Shooter-Squad Assignment'!$K:$K,0)),""),IF(F874="Trap",IFERROR(INDEX('Shooter-Squad Assignment'!$A:$A,MATCH(C874&amp;"-"&amp;E874&amp;"-"&amp;F874&amp;"-Pos1",'Shooter-Squad Assignment'!$W:$W,0)),""),IF(F874="Sporting Clays",IFERROR(INDEX('Shooter-Squad Assignment'!$A:$A,MATCH(C874&amp;"-"&amp;E874&amp;"-"&amp;F874&amp;"-Pos1",'Shooter-Squad Assignment'!$Z:$Z,0)),""),"")))</f>
        <v/>
      </c>
      <c r="H874" s="88" t="str">
        <f>IF(ISBLANK(G874),"",IFERROR(INDEX('Tournament List'!$D:$D,MATCH(G874,'Tournament List'!$A:$A,0)),""))</f>
        <v/>
      </c>
      <c r="I874" s="96" t="str">
        <f>IF(F874="Skeet",IFERROR(INDEX('Shooter-Squad Assignment'!$A:$A,MATCH(C874&amp;"-"&amp;E874&amp;"-"&amp;F874&amp;"-Pos2",'Shooter-Squad Assignment'!$K:$K,0)),""),IF(F874="Trap",IFERROR(INDEX('Shooter-Squad Assignment'!$A:$A,MATCH(C874&amp;"-"&amp;E874&amp;"-"&amp;F874&amp;"-Pos2",'Shooter-Squad Assignment'!$W:$W,0)),""),IF(F874="Sporting Clays",IFERROR(INDEX('Shooter-Squad Assignment'!$A:$A,MATCH(C874&amp;"-"&amp;E874&amp;"-"&amp;F874&amp;"-Pos2",'Shooter-Squad Assignment'!$Z:$Z,0)),""),"")))</f>
        <v/>
      </c>
      <c r="J874" s="88" t="str">
        <f>IF(ISBLANK(I874),"",IFERROR(INDEX('Tournament List'!$D:$D,MATCH(I874,'Tournament List'!$A:$A,0)),""))</f>
        <v/>
      </c>
      <c r="K874" s="96" t="str">
        <f>IF(F874="Skeet",IFERROR(INDEX('Shooter-Squad Assignment'!$A:$A,MATCH(C874&amp;"-"&amp;E874&amp;"-"&amp;F874&amp;"-Pos3",'Shooter-Squad Assignment'!$K:$K,0)),""),IF(F874="Trap",IFERROR(INDEX('Shooter-Squad Assignment'!$A:$A,MATCH(C874&amp;"-"&amp;E874&amp;"-"&amp;F874&amp;"-Pos3",'Shooter-Squad Assignment'!$W:$W,0)),""),IF(F874="Sporting Clays",IFERROR(INDEX('Shooter-Squad Assignment'!$A:$A,MATCH(C874&amp;"-"&amp;E874&amp;"-"&amp;F874&amp;"-Pos3",'Shooter-Squad Assignment'!$Z:$Z,0)),""),"")))</f>
        <v/>
      </c>
      <c r="L874" s="88" t="str">
        <f>IF(ISBLANK(K874),"",IFERROR(INDEX('Tournament List'!$D:$D,MATCH(K874,'Tournament List'!$A:$A,0)),""))</f>
        <v/>
      </c>
      <c r="M874" s="96" t="str">
        <f>IF(F874="Skeet",IFERROR(INDEX('Shooter-Squad Assignment'!$A:$A,MATCH(C874&amp;"-"&amp;E874&amp;"-"&amp;F874&amp;"-Pos4",'Shooter-Squad Assignment'!$K:$K,0)),""),IF(F874="Trap",IFERROR(INDEX('Shooter-Squad Assignment'!$A:$A,MATCH(C874&amp;"-"&amp;E874&amp;"-"&amp;F874&amp;"-Pos4",'Shooter-Squad Assignment'!$W:$W,0)),""),IF(F874="Sporting Clays",IFERROR(INDEX('Shooter-Squad Assignment'!$A:$A,MATCH(C874&amp;"-"&amp;E874&amp;"-"&amp;F874&amp;"-Pos4",'Shooter-Squad Assignment'!$Z:$Z,0)),""),"")))</f>
        <v/>
      </c>
      <c r="N874" s="88" t="str">
        <f>IF(ISBLANK(M874),"",IFERROR(INDEX('Tournament List'!$D:$D,MATCH(M874,'Tournament List'!$A:$A,0)),""))</f>
        <v/>
      </c>
      <c r="O874" s="96" t="str">
        <f>IF(F874="Skeet",IFERROR(INDEX('Shooter-Squad Assignment'!$A:$A,MATCH(C874&amp;"-"&amp;E874&amp;"-"&amp;F874&amp;"-Pos5",'Shooter-Squad Assignment'!$K:$K,0)),""),IF(F874="Trap",IFERROR(INDEX('Shooter-Squad Assignment'!$A:$A,MATCH(C874&amp;"-"&amp;E874&amp;"-"&amp;F874&amp;"-Pos5",'Shooter-Squad Assignment'!$W:$W,0)),""),IF(F874="Sporting Clays",IFERROR(INDEX('Shooter-Squad Assignment'!$A:$A,MATCH(C874&amp;"-"&amp;E874&amp;"-"&amp;F874&amp;"-Pos5",'Shooter-Squad Assignment'!$Z:$Z,0)),""),"")))</f>
        <v/>
      </c>
      <c r="P874" s="89" t="str">
        <f>IF(ISBLANK(O874),"",IFERROR(INDEX('Tournament List'!$D:$D,MATCH(O874,'Tournament List'!$A:$A,0)),""))</f>
        <v/>
      </c>
    </row>
    <row r="875" spans="1:16" x14ac:dyDescent="0.3">
      <c r="A875" s="87">
        <v>874</v>
      </c>
      <c r="B875" s="88" t="str">
        <f>C875&amp;"-"&amp;E875&amp;"-"&amp;F875</f>
        <v>-Varsity 3-Skeet</v>
      </c>
      <c r="C875" s="88"/>
      <c r="D875" s="88" t="str">
        <f>INDEX('Tournament Setup'!$B$59:$B$78,MATCH(E875,SquadConcurrents,0))</f>
        <v>Varsity</v>
      </c>
      <c r="E875" s="88" t="s">
        <v>352</v>
      </c>
      <c r="F875" s="88" t="s">
        <v>143</v>
      </c>
      <c r="G875" s="96" t="str">
        <f>IF(F875="Skeet",IFERROR(INDEX('Shooter-Squad Assignment'!$A:$A,MATCH(C875&amp;"-"&amp;E875&amp;"-"&amp;F875&amp;"-Pos1",'Shooter-Squad Assignment'!$K:$K,0)),""),IF(F875="Trap",IFERROR(INDEX('Shooter-Squad Assignment'!$A:$A,MATCH(C875&amp;"-"&amp;E875&amp;"-"&amp;F875&amp;"-Pos1",'Shooter-Squad Assignment'!$W:$W,0)),""),IF(F875="Sporting Clays",IFERROR(INDEX('Shooter-Squad Assignment'!$A:$A,MATCH(C875&amp;"-"&amp;E875&amp;"-"&amp;F875&amp;"-Pos1",'Shooter-Squad Assignment'!$Z:$Z,0)),""),"")))</f>
        <v/>
      </c>
      <c r="H875" s="88" t="str">
        <f>IF(ISBLANK(G875),"",IFERROR(INDEX('Tournament List'!$D:$D,MATCH(G875,'Tournament List'!$A:$A,0)),""))</f>
        <v/>
      </c>
      <c r="I875" s="96" t="str">
        <f>IF(F875="Skeet",IFERROR(INDEX('Shooter-Squad Assignment'!$A:$A,MATCH(C875&amp;"-"&amp;E875&amp;"-"&amp;F875&amp;"-Pos2",'Shooter-Squad Assignment'!$K:$K,0)),""),IF(F875="Trap",IFERROR(INDEX('Shooter-Squad Assignment'!$A:$A,MATCH(C875&amp;"-"&amp;E875&amp;"-"&amp;F875&amp;"-Pos2",'Shooter-Squad Assignment'!$W:$W,0)),""),IF(F875="Sporting Clays",IFERROR(INDEX('Shooter-Squad Assignment'!$A:$A,MATCH(C875&amp;"-"&amp;E875&amp;"-"&amp;F875&amp;"-Pos2",'Shooter-Squad Assignment'!$Z:$Z,0)),""),"")))</f>
        <v/>
      </c>
      <c r="J875" s="88" t="str">
        <f>IF(ISBLANK(I875),"",IFERROR(INDEX('Tournament List'!$D:$D,MATCH(I875,'Tournament List'!$A:$A,0)),""))</f>
        <v/>
      </c>
      <c r="K875" s="96" t="str">
        <f>IF(F875="Skeet",IFERROR(INDEX('Shooter-Squad Assignment'!$A:$A,MATCH(C875&amp;"-"&amp;E875&amp;"-"&amp;F875&amp;"-Pos3",'Shooter-Squad Assignment'!$K:$K,0)),""),IF(F875="Trap",IFERROR(INDEX('Shooter-Squad Assignment'!$A:$A,MATCH(C875&amp;"-"&amp;E875&amp;"-"&amp;F875&amp;"-Pos3",'Shooter-Squad Assignment'!$W:$W,0)),""),IF(F875="Sporting Clays",IFERROR(INDEX('Shooter-Squad Assignment'!$A:$A,MATCH(C875&amp;"-"&amp;E875&amp;"-"&amp;F875&amp;"-Pos3",'Shooter-Squad Assignment'!$Z:$Z,0)),""),"")))</f>
        <v/>
      </c>
      <c r="L875" s="88" t="str">
        <f>IF(ISBLANK(K875),"",IFERROR(INDEX('Tournament List'!$D:$D,MATCH(K875,'Tournament List'!$A:$A,0)),""))</f>
        <v/>
      </c>
      <c r="M875" s="96" t="str">
        <f>IF(F875="Skeet",IFERROR(INDEX('Shooter-Squad Assignment'!$A:$A,MATCH(C875&amp;"-"&amp;E875&amp;"-"&amp;F875&amp;"-Pos4",'Shooter-Squad Assignment'!$K:$K,0)),""),IF(F875="Trap",IFERROR(INDEX('Shooter-Squad Assignment'!$A:$A,MATCH(C875&amp;"-"&amp;E875&amp;"-"&amp;F875&amp;"-Pos4",'Shooter-Squad Assignment'!$W:$W,0)),""),IF(F875="Sporting Clays",IFERROR(INDEX('Shooter-Squad Assignment'!$A:$A,MATCH(C875&amp;"-"&amp;E875&amp;"-"&amp;F875&amp;"-Pos4",'Shooter-Squad Assignment'!$Z:$Z,0)),""),"")))</f>
        <v/>
      </c>
      <c r="N875" s="88" t="str">
        <f>IF(ISBLANK(M875),"",IFERROR(INDEX('Tournament List'!$D:$D,MATCH(M875,'Tournament List'!$A:$A,0)),""))</f>
        <v/>
      </c>
      <c r="O875" s="96" t="str">
        <f>IF(F875="Skeet",IFERROR(INDEX('Shooter-Squad Assignment'!$A:$A,MATCH(C875&amp;"-"&amp;E875&amp;"-"&amp;F875&amp;"-Pos5",'Shooter-Squad Assignment'!$K:$K,0)),""),IF(F875="Trap",IFERROR(INDEX('Shooter-Squad Assignment'!$A:$A,MATCH(C875&amp;"-"&amp;E875&amp;"-"&amp;F875&amp;"-Pos5",'Shooter-Squad Assignment'!$W:$W,0)),""),IF(F875="Sporting Clays",IFERROR(INDEX('Shooter-Squad Assignment'!$A:$A,MATCH(C875&amp;"-"&amp;E875&amp;"-"&amp;F875&amp;"-Pos5",'Shooter-Squad Assignment'!$Z:$Z,0)),""),"")))</f>
        <v/>
      </c>
      <c r="P875" s="89" t="str">
        <f>IF(ISBLANK(O875),"",IFERROR(INDEX('Tournament List'!$D:$D,MATCH(O875,'Tournament List'!$A:$A,0)),""))</f>
        <v/>
      </c>
    </row>
    <row r="876" spans="1:16" x14ac:dyDescent="0.3">
      <c r="A876" s="87">
        <v>875</v>
      </c>
      <c r="B876" s="88" t="str">
        <f>C876&amp;"-"&amp;E876&amp;"-"&amp;F876</f>
        <v>-Collegiate 1-Sporting Clays</v>
      </c>
      <c r="C876" s="88"/>
      <c r="D876" s="88" t="str">
        <f>INDEX('Tournament Setup'!$B$59:$B$78,MATCH(E876,SquadConcurrents,0))</f>
        <v>Collegiate</v>
      </c>
      <c r="E876" s="88" t="s">
        <v>342</v>
      </c>
      <c r="F876" s="88" t="s">
        <v>148</v>
      </c>
      <c r="G876" s="96" t="str">
        <f>IF(F876="Skeet",IFERROR(INDEX('Shooter-Squad Assignment'!$A:$A,MATCH(C876&amp;"-"&amp;E876&amp;"-"&amp;F876&amp;"-Pos1",'Shooter-Squad Assignment'!$K:$K,0)),""),IF(F876="Trap",IFERROR(INDEX('Shooter-Squad Assignment'!$A:$A,MATCH(C876&amp;"-"&amp;E876&amp;"-"&amp;F876&amp;"-Pos1",'Shooter-Squad Assignment'!$W:$W,0)),""),IF(F876="Sporting Clays",IFERROR(INDEX('Shooter-Squad Assignment'!$A:$A,MATCH(C876&amp;"-"&amp;E876&amp;"-"&amp;F876&amp;"-Pos1",'Shooter-Squad Assignment'!$Z:$Z,0)),""),"")))</f>
        <v/>
      </c>
      <c r="H876" s="88" t="str">
        <f>IF(ISBLANK(G876),"",IFERROR(INDEX('Tournament List'!$D:$D,MATCH(G876,'Tournament List'!$A:$A,0)),""))</f>
        <v/>
      </c>
      <c r="I876" s="96" t="str">
        <f>IF(F876="Skeet",IFERROR(INDEX('Shooter-Squad Assignment'!$A:$A,MATCH(C876&amp;"-"&amp;E876&amp;"-"&amp;F876&amp;"-Pos2",'Shooter-Squad Assignment'!$K:$K,0)),""),IF(F876="Trap",IFERROR(INDEX('Shooter-Squad Assignment'!$A:$A,MATCH(C876&amp;"-"&amp;E876&amp;"-"&amp;F876&amp;"-Pos2",'Shooter-Squad Assignment'!$W:$W,0)),""),IF(F876="Sporting Clays",IFERROR(INDEX('Shooter-Squad Assignment'!$A:$A,MATCH(C876&amp;"-"&amp;E876&amp;"-"&amp;F876&amp;"-Pos2",'Shooter-Squad Assignment'!$Z:$Z,0)),""),"")))</f>
        <v/>
      </c>
      <c r="J876" s="88" t="str">
        <f>IF(ISBLANK(I876),"",IFERROR(INDEX('Tournament List'!$D:$D,MATCH(I876,'Tournament List'!$A:$A,0)),""))</f>
        <v/>
      </c>
      <c r="K876" s="96" t="str">
        <f>IF(F876="Skeet",IFERROR(INDEX('Shooter-Squad Assignment'!$A:$A,MATCH(C876&amp;"-"&amp;E876&amp;"-"&amp;F876&amp;"-Pos3",'Shooter-Squad Assignment'!$K:$K,0)),""),IF(F876="Trap",IFERROR(INDEX('Shooter-Squad Assignment'!$A:$A,MATCH(C876&amp;"-"&amp;E876&amp;"-"&amp;F876&amp;"-Pos3",'Shooter-Squad Assignment'!$W:$W,0)),""),IF(F876="Sporting Clays",IFERROR(INDEX('Shooter-Squad Assignment'!$A:$A,MATCH(C876&amp;"-"&amp;E876&amp;"-"&amp;F876&amp;"-Pos3",'Shooter-Squad Assignment'!$Z:$Z,0)),""),"")))</f>
        <v/>
      </c>
      <c r="L876" s="88" t="str">
        <f>IF(ISBLANK(K876),"",IFERROR(INDEX('Tournament List'!$D:$D,MATCH(K876,'Tournament List'!$A:$A,0)),""))</f>
        <v/>
      </c>
      <c r="M876" s="96" t="str">
        <f>IF(F876="Skeet",IFERROR(INDEX('Shooter-Squad Assignment'!$A:$A,MATCH(C876&amp;"-"&amp;E876&amp;"-"&amp;F876&amp;"-Pos4",'Shooter-Squad Assignment'!$K:$K,0)),""),IF(F876="Trap",IFERROR(INDEX('Shooter-Squad Assignment'!$A:$A,MATCH(C876&amp;"-"&amp;E876&amp;"-"&amp;F876&amp;"-Pos4",'Shooter-Squad Assignment'!$W:$W,0)),""),IF(F876="Sporting Clays",IFERROR(INDEX('Shooter-Squad Assignment'!$A:$A,MATCH(C876&amp;"-"&amp;E876&amp;"-"&amp;F876&amp;"-Pos4",'Shooter-Squad Assignment'!$Z:$Z,0)),""),"")))</f>
        <v/>
      </c>
      <c r="N876" s="88" t="str">
        <f>IF(ISBLANK(M876),"",IFERROR(INDEX('Tournament List'!$D:$D,MATCH(M876,'Tournament List'!$A:$A,0)),""))</f>
        <v/>
      </c>
      <c r="O876" s="96" t="str">
        <f>IF(F876="Skeet",IFERROR(INDEX('Shooter-Squad Assignment'!$A:$A,MATCH(C876&amp;"-"&amp;E876&amp;"-"&amp;F876&amp;"-Pos5",'Shooter-Squad Assignment'!$K:$K,0)),""),IF(F876="Trap",IFERROR(INDEX('Shooter-Squad Assignment'!$A:$A,MATCH(C876&amp;"-"&amp;E876&amp;"-"&amp;F876&amp;"-Pos5",'Shooter-Squad Assignment'!$W:$W,0)),""),IF(F876="Sporting Clays",IFERROR(INDEX('Shooter-Squad Assignment'!$A:$A,MATCH(C876&amp;"-"&amp;E876&amp;"-"&amp;F876&amp;"-Pos5",'Shooter-Squad Assignment'!$Z:$Z,0)),""),"")))</f>
        <v/>
      </c>
      <c r="P876" s="89" t="str">
        <f>IF(ISBLANK(O876),"",IFERROR(INDEX('Tournament List'!$D:$D,MATCH(O876,'Tournament List'!$A:$A,0)),""))</f>
        <v/>
      </c>
    </row>
    <row r="877" spans="1:16" x14ac:dyDescent="0.3">
      <c r="A877" s="87">
        <v>876</v>
      </c>
      <c r="B877" s="88" t="str">
        <f>C877&amp;"-"&amp;E877&amp;"-"&amp;F877</f>
        <v>-Collegiate 2-Sporting Clays</v>
      </c>
      <c r="C877" s="88"/>
      <c r="D877" s="88" t="str">
        <f>INDEX('Tournament Setup'!$B$59:$B$78,MATCH(E877,SquadConcurrents,0))</f>
        <v>Collegiate</v>
      </c>
      <c r="E877" s="88" t="s">
        <v>348</v>
      </c>
      <c r="F877" s="88" t="s">
        <v>148</v>
      </c>
      <c r="G877" s="96" t="str">
        <f>IF(F877="Skeet",IFERROR(INDEX('Shooter-Squad Assignment'!$A:$A,MATCH(C877&amp;"-"&amp;E877&amp;"-"&amp;F877&amp;"-Pos1",'Shooter-Squad Assignment'!$K:$K,0)),""),IF(F877="Trap",IFERROR(INDEX('Shooter-Squad Assignment'!$A:$A,MATCH(C877&amp;"-"&amp;E877&amp;"-"&amp;F877&amp;"-Pos1",'Shooter-Squad Assignment'!$W:$W,0)),""),IF(F877="Sporting Clays",IFERROR(INDEX('Shooter-Squad Assignment'!$A:$A,MATCH(C877&amp;"-"&amp;E877&amp;"-"&amp;F877&amp;"-Pos1",'Shooter-Squad Assignment'!$Z:$Z,0)),""),"")))</f>
        <v/>
      </c>
      <c r="H877" s="88" t="str">
        <f>IF(ISBLANK(G877),"",IFERROR(INDEX('Tournament List'!$D:$D,MATCH(G877,'Tournament List'!$A:$A,0)),""))</f>
        <v/>
      </c>
      <c r="I877" s="96" t="str">
        <f>IF(F877="Skeet",IFERROR(INDEX('Shooter-Squad Assignment'!$A:$A,MATCH(C877&amp;"-"&amp;E877&amp;"-"&amp;F877&amp;"-Pos2",'Shooter-Squad Assignment'!$K:$K,0)),""),IF(F877="Trap",IFERROR(INDEX('Shooter-Squad Assignment'!$A:$A,MATCH(C877&amp;"-"&amp;E877&amp;"-"&amp;F877&amp;"-Pos2",'Shooter-Squad Assignment'!$W:$W,0)),""),IF(F877="Sporting Clays",IFERROR(INDEX('Shooter-Squad Assignment'!$A:$A,MATCH(C877&amp;"-"&amp;E877&amp;"-"&amp;F877&amp;"-Pos2",'Shooter-Squad Assignment'!$Z:$Z,0)),""),"")))</f>
        <v/>
      </c>
      <c r="J877" s="88" t="str">
        <f>IF(ISBLANK(I877),"",IFERROR(INDEX('Tournament List'!$D:$D,MATCH(I877,'Tournament List'!$A:$A,0)),""))</f>
        <v/>
      </c>
      <c r="K877" s="96" t="str">
        <f>IF(F877="Skeet",IFERROR(INDEX('Shooter-Squad Assignment'!$A:$A,MATCH(C877&amp;"-"&amp;E877&amp;"-"&amp;F877&amp;"-Pos3",'Shooter-Squad Assignment'!$K:$K,0)),""),IF(F877="Trap",IFERROR(INDEX('Shooter-Squad Assignment'!$A:$A,MATCH(C877&amp;"-"&amp;E877&amp;"-"&amp;F877&amp;"-Pos3",'Shooter-Squad Assignment'!$W:$W,0)),""),IF(F877="Sporting Clays",IFERROR(INDEX('Shooter-Squad Assignment'!$A:$A,MATCH(C877&amp;"-"&amp;E877&amp;"-"&amp;F877&amp;"-Pos3",'Shooter-Squad Assignment'!$Z:$Z,0)),""),"")))</f>
        <v/>
      </c>
      <c r="L877" s="88" t="str">
        <f>IF(ISBLANK(K877),"",IFERROR(INDEX('Tournament List'!$D:$D,MATCH(K877,'Tournament List'!$A:$A,0)),""))</f>
        <v/>
      </c>
      <c r="M877" s="96" t="str">
        <f>IF(F877="Skeet",IFERROR(INDEX('Shooter-Squad Assignment'!$A:$A,MATCH(C877&amp;"-"&amp;E877&amp;"-"&amp;F877&amp;"-Pos4",'Shooter-Squad Assignment'!$K:$K,0)),""),IF(F877="Trap",IFERROR(INDEX('Shooter-Squad Assignment'!$A:$A,MATCH(C877&amp;"-"&amp;E877&amp;"-"&amp;F877&amp;"-Pos4",'Shooter-Squad Assignment'!$W:$W,0)),""),IF(F877="Sporting Clays",IFERROR(INDEX('Shooter-Squad Assignment'!$A:$A,MATCH(C877&amp;"-"&amp;E877&amp;"-"&amp;F877&amp;"-Pos4",'Shooter-Squad Assignment'!$Z:$Z,0)),""),"")))</f>
        <v/>
      </c>
      <c r="N877" s="88" t="str">
        <f>IF(ISBLANK(M877),"",IFERROR(INDEX('Tournament List'!$D:$D,MATCH(M877,'Tournament List'!$A:$A,0)),""))</f>
        <v/>
      </c>
      <c r="O877" s="96" t="str">
        <f>IF(F877="Skeet",IFERROR(INDEX('Shooter-Squad Assignment'!$A:$A,MATCH(C877&amp;"-"&amp;E877&amp;"-"&amp;F877&amp;"-Pos5",'Shooter-Squad Assignment'!$K:$K,0)),""),IF(F877="Trap",IFERROR(INDEX('Shooter-Squad Assignment'!$A:$A,MATCH(C877&amp;"-"&amp;E877&amp;"-"&amp;F877&amp;"-Pos5",'Shooter-Squad Assignment'!$W:$W,0)),""),IF(F877="Sporting Clays",IFERROR(INDEX('Shooter-Squad Assignment'!$A:$A,MATCH(C877&amp;"-"&amp;E877&amp;"-"&amp;F877&amp;"-Pos5",'Shooter-Squad Assignment'!$Z:$Z,0)),""),"")))</f>
        <v/>
      </c>
      <c r="P877" s="89" t="str">
        <f>IF(ISBLANK(O877),"",IFERROR(INDEX('Tournament List'!$D:$D,MATCH(O877,'Tournament List'!$A:$A,0)),""))</f>
        <v/>
      </c>
    </row>
    <row r="878" spans="1:16" x14ac:dyDescent="0.3">
      <c r="A878" s="87">
        <v>877</v>
      </c>
      <c r="B878" s="88" t="str">
        <f>C878&amp;"-"&amp;E878&amp;"-"&amp;F878</f>
        <v>-Collegiate 3-Sporting Clays</v>
      </c>
      <c r="C878" s="88"/>
      <c r="D878" s="88" t="str">
        <f>INDEX('Tournament Setup'!$B$59:$B$78,MATCH(E878,SquadConcurrents,0))</f>
        <v>Collegiate</v>
      </c>
      <c r="E878" s="88" t="s">
        <v>354</v>
      </c>
      <c r="F878" s="88" t="s">
        <v>148</v>
      </c>
      <c r="G878" s="96" t="str">
        <f>IF(F878="Skeet",IFERROR(INDEX('Shooter-Squad Assignment'!$A:$A,MATCH(C878&amp;"-"&amp;E878&amp;"-"&amp;F878&amp;"-Pos1",'Shooter-Squad Assignment'!$K:$K,0)),""),IF(F878="Trap",IFERROR(INDEX('Shooter-Squad Assignment'!$A:$A,MATCH(C878&amp;"-"&amp;E878&amp;"-"&amp;F878&amp;"-Pos1",'Shooter-Squad Assignment'!$W:$W,0)),""),IF(F878="Sporting Clays",IFERROR(INDEX('Shooter-Squad Assignment'!$A:$A,MATCH(C878&amp;"-"&amp;E878&amp;"-"&amp;F878&amp;"-Pos1",'Shooter-Squad Assignment'!$Z:$Z,0)),""),"")))</f>
        <v/>
      </c>
      <c r="H878" s="88" t="str">
        <f>IF(ISBLANK(G878),"",IFERROR(INDEX('Tournament List'!$D:$D,MATCH(G878,'Tournament List'!$A:$A,0)),""))</f>
        <v/>
      </c>
      <c r="I878" s="96" t="str">
        <f>IF(F878="Skeet",IFERROR(INDEX('Shooter-Squad Assignment'!$A:$A,MATCH(C878&amp;"-"&amp;E878&amp;"-"&amp;F878&amp;"-Pos2",'Shooter-Squad Assignment'!$K:$K,0)),""),IF(F878="Trap",IFERROR(INDEX('Shooter-Squad Assignment'!$A:$A,MATCH(C878&amp;"-"&amp;E878&amp;"-"&amp;F878&amp;"-Pos2",'Shooter-Squad Assignment'!$W:$W,0)),""),IF(F878="Sporting Clays",IFERROR(INDEX('Shooter-Squad Assignment'!$A:$A,MATCH(C878&amp;"-"&amp;E878&amp;"-"&amp;F878&amp;"-Pos2",'Shooter-Squad Assignment'!$Z:$Z,0)),""),"")))</f>
        <v/>
      </c>
      <c r="J878" s="88" t="str">
        <f>IF(ISBLANK(I878),"",IFERROR(INDEX('Tournament List'!$D:$D,MATCH(I878,'Tournament List'!$A:$A,0)),""))</f>
        <v/>
      </c>
      <c r="K878" s="96" t="str">
        <f>IF(F878="Skeet",IFERROR(INDEX('Shooter-Squad Assignment'!$A:$A,MATCH(C878&amp;"-"&amp;E878&amp;"-"&amp;F878&amp;"-Pos3",'Shooter-Squad Assignment'!$K:$K,0)),""),IF(F878="Trap",IFERROR(INDEX('Shooter-Squad Assignment'!$A:$A,MATCH(C878&amp;"-"&amp;E878&amp;"-"&amp;F878&amp;"-Pos3",'Shooter-Squad Assignment'!$W:$W,0)),""),IF(F878="Sporting Clays",IFERROR(INDEX('Shooter-Squad Assignment'!$A:$A,MATCH(C878&amp;"-"&amp;E878&amp;"-"&amp;F878&amp;"-Pos3",'Shooter-Squad Assignment'!$Z:$Z,0)),""),"")))</f>
        <v/>
      </c>
      <c r="L878" s="88" t="str">
        <f>IF(ISBLANK(K878),"",IFERROR(INDEX('Tournament List'!$D:$D,MATCH(K878,'Tournament List'!$A:$A,0)),""))</f>
        <v/>
      </c>
      <c r="M878" s="96" t="str">
        <f>IF(F878="Skeet",IFERROR(INDEX('Shooter-Squad Assignment'!$A:$A,MATCH(C878&amp;"-"&amp;E878&amp;"-"&amp;F878&amp;"-Pos4",'Shooter-Squad Assignment'!$K:$K,0)),""),IF(F878="Trap",IFERROR(INDEX('Shooter-Squad Assignment'!$A:$A,MATCH(C878&amp;"-"&amp;E878&amp;"-"&amp;F878&amp;"-Pos4",'Shooter-Squad Assignment'!$W:$W,0)),""),IF(F878="Sporting Clays",IFERROR(INDEX('Shooter-Squad Assignment'!$A:$A,MATCH(C878&amp;"-"&amp;E878&amp;"-"&amp;F878&amp;"-Pos4",'Shooter-Squad Assignment'!$Z:$Z,0)),""),"")))</f>
        <v/>
      </c>
      <c r="N878" s="88" t="str">
        <f>IF(ISBLANK(M878),"",IFERROR(INDEX('Tournament List'!$D:$D,MATCH(M878,'Tournament List'!$A:$A,0)),""))</f>
        <v/>
      </c>
      <c r="O878" s="96" t="str">
        <f>IF(F878="Skeet",IFERROR(INDEX('Shooter-Squad Assignment'!$A:$A,MATCH(C878&amp;"-"&amp;E878&amp;"-"&amp;F878&amp;"-Pos5",'Shooter-Squad Assignment'!$K:$K,0)),""),IF(F878="Trap",IFERROR(INDEX('Shooter-Squad Assignment'!$A:$A,MATCH(C878&amp;"-"&amp;E878&amp;"-"&amp;F878&amp;"-Pos5",'Shooter-Squad Assignment'!$W:$W,0)),""),IF(F878="Sporting Clays",IFERROR(INDEX('Shooter-Squad Assignment'!$A:$A,MATCH(C878&amp;"-"&amp;E878&amp;"-"&amp;F878&amp;"-Pos5",'Shooter-Squad Assignment'!$Z:$Z,0)),""),"")))</f>
        <v/>
      </c>
      <c r="P878" s="89" t="str">
        <f>IF(ISBLANK(O878),"",IFERROR(INDEX('Tournament List'!$D:$D,MATCH(O878,'Tournament List'!$A:$A,0)),""))</f>
        <v/>
      </c>
    </row>
    <row r="879" spans="1:16" x14ac:dyDescent="0.3">
      <c r="A879" s="87">
        <v>878</v>
      </c>
      <c r="B879" s="88" t="str">
        <f>C879&amp;"-"&amp;E879&amp;"-"&amp;F879</f>
        <v>-Intermediate 1-Sporting Clays</v>
      </c>
      <c r="C879" s="88"/>
      <c r="D879" s="88" t="str">
        <f>INDEX('Tournament Setup'!$B$59:$B$78,MATCH(E879,SquadConcurrents,0))</f>
        <v>Intermediate</v>
      </c>
      <c r="E879" s="88" t="s">
        <v>338</v>
      </c>
      <c r="F879" s="88" t="s">
        <v>148</v>
      </c>
      <c r="G879" s="96" t="str">
        <f>IF(F879="Skeet",IFERROR(INDEX('Shooter-Squad Assignment'!$A:$A,MATCH(C879&amp;"-"&amp;E879&amp;"-"&amp;F879&amp;"-Pos1",'Shooter-Squad Assignment'!$K:$K,0)),""),IF(F879="Trap",IFERROR(INDEX('Shooter-Squad Assignment'!$A:$A,MATCH(C879&amp;"-"&amp;E879&amp;"-"&amp;F879&amp;"-Pos1",'Shooter-Squad Assignment'!$W:$W,0)),""),IF(F879="Sporting Clays",IFERROR(INDEX('Shooter-Squad Assignment'!$A:$A,MATCH(C879&amp;"-"&amp;E879&amp;"-"&amp;F879&amp;"-Pos1",'Shooter-Squad Assignment'!$Z:$Z,0)),""),"")))</f>
        <v/>
      </c>
      <c r="H879" s="88" t="str">
        <f>IF(ISBLANK(G879),"",IFERROR(INDEX('Tournament List'!$D:$D,MATCH(G879,'Tournament List'!$A:$A,0)),""))</f>
        <v/>
      </c>
      <c r="I879" s="96" t="str">
        <f>IF(F879="Skeet",IFERROR(INDEX('Shooter-Squad Assignment'!$A:$A,MATCH(C879&amp;"-"&amp;E879&amp;"-"&amp;F879&amp;"-Pos2",'Shooter-Squad Assignment'!$K:$K,0)),""),IF(F879="Trap",IFERROR(INDEX('Shooter-Squad Assignment'!$A:$A,MATCH(C879&amp;"-"&amp;E879&amp;"-"&amp;F879&amp;"-Pos2",'Shooter-Squad Assignment'!$W:$W,0)),""),IF(F879="Sporting Clays",IFERROR(INDEX('Shooter-Squad Assignment'!$A:$A,MATCH(C879&amp;"-"&amp;E879&amp;"-"&amp;F879&amp;"-Pos2",'Shooter-Squad Assignment'!$Z:$Z,0)),""),"")))</f>
        <v/>
      </c>
      <c r="J879" s="88" t="str">
        <f>IF(ISBLANK(I879),"",IFERROR(INDEX('Tournament List'!$D:$D,MATCH(I879,'Tournament List'!$A:$A,0)),""))</f>
        <v/>
      </c>
      <c r="K879" s="96" t="str">
        <f>IF(F879="Skeet",IFERROR(INDEX('Shooter-Squad Assignment'!$A:$A,MATCH(C879&amp;"-"&amp;E879&amp;"-"&amp;F879&amp;"-Pos3",'Shooter-Squad Assignment'!$K:$K,0)),""),IF(F879="Trap",IFERROR(INDEX('Shooter-Squad Assignment'!$A:$A,MATCH(C879&amp;"-"&amp;E879&amp;"-"&amp;F879&amp;"-Pos3",'Shooter-Squad Assignment'!$W:$W,0)),""),IF(F879="Sporting Clays",IFERROR(INDEX('Shooter-Squad Assignment'!$A:$A,MATCH(C879&amp;"-"&amp;E879&amp;"-"&amp;F879&amp;"-Pos3",'Shooter-Squad Assignment'!$Z:$Z,0)),""),"")))</f>
        <v/>
      </c>
      <c r="L879" s="88" t="str">
        <f>IF(ISBLANK(K879),"",IFERROR(INDEX('Tournament List'!$D:$D,MATCH(K879,'Tournament List'!$A:$A,0)),""))</f>
        <v/>
      </c>
      <c r="M879" s="96" t="str">
        <f>IF(F879="Skeet",IFERROR(INDEX('Shooter-Squad Assignment'!$A:$A,MATCH(C879&amp;"-"&amp;E879&amp;"-"&amp;F879&amp;"-Pos4",'Shooter-Squad Assignment'!$K:$K,0)),""),IF(F879="Trap",IFERROR(INDEX('Shooter-Squad Assignment'!$A:$A,MATCH(C879&amp;"-"&amp;E879&amp;"-"&amp;F879&amp;"-Pos4",'Shooter-Squad Assignment'!$W:$W,0)),""),IF(F879="Sporting Clays",IFERROR(INDEX('Shooter-Squad Assignment'!$A:$A,MATCH(C879&amp;"-"&amp;E879&amp;"-"&amp;F879&amp;"-Pos4",'Shooter-Squad Assignment'!$Z:$Z,0)),""),"")))</f>
        <v/>
      </c>
      <c r="N879" s="88" t="str">
        <f>IF(ISBLANK(M879),"",IFERROR(INDEX('Tournament List'!$D:$D,MATCH(M879,'Tournament List'!$A:$A,0)),""))</f>
        <v/>
      </c>
      <c r="O879" s="96" t="str">
        <f>IF(F879="Skeet",IFERROR(INDEX('Shooter-Squad Assignment'!$A:$A,MATCH(C879&amp;"-"&amp;E879&amp;"-"&amp;F879&amp;"-Pos5",'Shooter-Squad Assignment'!$K:$K,0)),""),IF(F879="Trap",IFERROR(INDEX('Shooter-Squad Assignment'!$A:$A,MATCH(C879&amp;"-"&amp;E879&amp;"-"&amp;F879&amp;"-Pos5",'Shooter-Squad Assignment'!$W:$W,0)),""),IF(F879="Sporting Clays",IFERROR(INDEX('Shooter-Squad Assignment'!$A:$A,MATCH(C879&amp;"-"&amp;E879&amp;"-"&amp;F879&amp;"-Pos5",'Shooter-Squad Assignment'!$Z:$Z,0)),""),"")))</f>
        <v/>
      </c>
      <c r="P879" s="89" t="str">
        <f>IF(ISBLANK(O879),"",IFERROR(INDEX('Tournament List'!$D:$D,MATCH(O879,'Tournament List'!$A:$A,0)),""))</f>
        <v/>
      </c>
    </row>
    <row r="880" spans="1:16" x14ac:dyDescent="0.3">
      <c r="A880" s="87">
        <v>879</v>
      </c>
      <c r="B880" s="88" t="str">
        <f>C880&amp;"-"&amp;E880&amp;"-"&amp;F880</f>
        <v>-Intermediate 2-Sporting Clays</v>
      </c>
      <c r="C880" s="88"/>
      <c r="D880" s="88" t="str">
        <f>INDEX('Tournament Setup'!$B$59:$B$78,MATCH(E880,SquadConcurrents,0))</f>
        <v>Intermediate</v>
      </c>
      <c r="E880" s="88" t="s">
        <v>344</v>
      </c>
      <c r="F880" s="88" t="s">
        <v>148</v>
      </c>
      <c r="G880" s="96" t="str">
        <f>IF(F880="Skeet",IFERROR(INDEX('Shooter-Squad Assignment'!$A:$A,MATCH(C880&amp;"-"&amp;E880&amp;"-"&amp;F880&amp;"-Pos1",'Shooter-Squad Assignment'!$K:$K,0)),""),IF(F880="Trap",IFERROR(INDEX('Shooter-Squad Assignment'!$A:$A,MATCH(C880&amp;"-"&amp;E880&amp;"-"&amp;F880&amp;"-Pos1",'Shooter-Squad Assignment'!$W:$W,0)),""),IF(F880="Sporting Clays",IFERROR(INDEX('Shooter-Squad Assignment'!$A:$A,MATCH(C880&amp;"-"&amp;E880&amp;"-"&amp;F880&amp;"-Pos1",'Shooter-Squad Assignment'!$Z:$Z,0)),""),"")))</f>
        <v/>
      </c>
      <c r="H880" s="88" t="str">
        <f>IF(ISBLANK(G880),"",IFERROR(INDEX('Tournament List'!$D:$D,MATCH(G880,'Tournament List'!$A:$A,0)),""))</f>
        <v/>
      </c>
      <c r="I880" s="96" t="str">
        <f>IF(F880="Skeet",IFERROR(INDEX('Shooter-Squad Assignment'!$A:$A,MATCH(C880&amp;"-"&amp;E880&amp;"-"&amp;F880&amp;"-Pos2",'Shooter-Squad Assignment'!$K:$K,0)),""),IF(F880="Trap",IFERROR(INDEX('Shooter-Squad Assignment'!$A:$A,MATCH(C880&amp;"-"&amp;E880&amp;"-"&amp;F880&amp;"-Pos2",'Shooter-Squad Assignment'!$W:$W,0)),""),IF(F880="Sporting Clays",IFERROR(INDEX('Shooter-Squad Assignment'!$A:$A,MATCH(C880&amp;"-"&amp;E880&amp;"-"&amp;F880&amp;"-Pos2",'Shooter-Squad Assignment'!$Z:$Z,0)),""),"")))</f>
        <v/>
      </c>
      <c r="J880" s="88" t="str">
        <f>IF(ISBLANK(I880),"",IFERROR(INDEX('Tournament List'!$D:$D,MATCH(I880,'Tournament List'!$A:$A,0)),""))</f>
        <v/>
      </c>
      <c r="K880" s="96" t="str">
        <f>IF(F880="Skeet",IFERROR(INDEX('Shooter-Squad Assignment'!$A:$A,MATCH(C880&amp;"-"&amp;E880&amp;"-"&amp;F880&amp;"-Pos3",'Shooter-Squad Assignment'!$K:$K,0)),""),IF(F880="Trap",IFERROR(INDEX('Shooter-Squad Assignment'!$A:$A,MATCH(C880&amp;"-"&amp;E880&amp;"-"&amp;F880&amp;"-Pos3",'Shooter-Squad Assignment'!$W:$W,0)),""),IF(F880="Sporting Clays",IFERROR(INDEX('Shooter-Squad Assignment'!$A:$A,MATCH(C880&amp;"-"&amp;E880&amp;"-"&amp;F880&amp;"-Pos3",'Shooter-Squad Assignment'!$Z:$Z,0)),""),"")))</f>
        <v/>
      </c>
      <c r="L880" s="88" t="str">
        <f>IF(ISBLANK(K880),"",IFERROR(INDEX('Tournament List'!$D:$D,MATCH(K880,'Tournament List'!$A:$A,0)),""))</f>
        <v/>
      </c>
      <c r="M880" s="96" t="str">
        <f>IF(F880="Skeet",IFERROR(INDEX('Shooter-Squad Assignment'!$A:$A,MATCH(C880&amp;"-"&amp;E880&amp;"-"&amp;F880&amp;"-Pos4",'Shooter-Squad Assignment'!$K:$K,0)),""),IF(F880="Trap",IFERROR(INDEX('Shooter-Squad Assignment'!$A:$A,MATCH(C880&amp;"-"&amp;E880&amp;"-"&amp;F880&amp;"-Pos4",'Shooter-Squad Assignment'!$W:$W,0)),""),IF(F880="Sporting Clays",IFERROR(INDEX('Shooter-Squad Assignment'!$A:$A,MATCH(C880&amp;"-"&amp;E880&amp;"-"&amp;F880&amp;"-Pos4",'Shooter-Squad Assignment'!$Z:$Z,0)),""),"")))</f>
        <v/>
      </c>
      <c r="N880" s="88" t="str">
        <f>IF(ISBLANK(M880),"",IFERROR(INDEX('Tournament List'!$D:$D,MATCH(M880,'Tournament List'!$A:$A,0)),""))</f>
        <v/>
      </c>
      <c r="O880" s="96" t="str">
        <f>IF(F880="Skeet",IFERROR(INDEX('Shooter-Squad Assignment'!$A:$A,MATCH(C880&amp;"-"&amp;E880&amp;"-"&amp;F880&amp;"-Pos5",'Shooter-Squad Assignment'!$K:$K,0)),""),IF(F880="Trap",IFERROR(INDEX('Shooter-Squad Assignment'!$A:$A,MATCH(C880&amp;"-"&amp;E880&amp;"-"&amp;F880&amp;"-Pos5",'Shooter-Squad Assignment'!$W:$W,0)),""),IF(F880="Sporting Clays",IFERROR(INDEX('Shooter-Squad Assignment'!$A:$A,MATCH(C880&amp;"-"&amp;E880&amp;"-"&amp;F880&amp;"-Pos5",'Shooter-Squad Assignment'!$Z:$Z,0)),""),"")))</f>
        <v/>
      </c>
      <c r="P880" s="89" t="str">
        <f>IF(ISBLANK(O880),"",IFERROR(INDEX('Tournament List'!$D:$D,MATCH(O880,'Tournament List'!$A:$A,0)),""))</f>
        <v/>
      </c>
    </row>
    <row r="881" spans="1:16" x14ac:dyDescent="0.3">
      <c r="A881" s="87">
        <v>880</v>
      </c>
      <c r="B881" s="88" t="str">
        <f>C881&amp;"-"&amp;E881&amp;"-"&amp;F881</f>
        <v>-Intermediate 3-Sporting Clays</v>
      </c>
      <c r="C881" s="88"/>
      <c r="D881" s="88" t="str">
        <f>INDEX('Tournament Setup'!$B$59:$B$78,MATCH(E881,SquadConcurrents,0))</f>
        <v>Intermediate</v>
      </c>
      <c r="E881" s="88" t="s">
        <v>350</v>
      </c>
      <c r="F881" s="88" t="s">
        <v>148</v>
      </c>
      <c r="G881" s="96" t="str">
        <f>IF(F881="Skeet",IFERROR(INDEX('Shooter-Squad Assignment'!$A:$A,MATCH(C881&amp;"-"&amp;E881&amp;"-"&amp;F881&amp;"-Pos1",'Shooter-Squad Assignment'!$K:$K,0)),""),IF(F881="Trap",IFERROR(INDEX('Shooter-Squad Assignment'!$A:$A,MATCH(C881&amp;"-"&amp;E881&amp;"-"&amp;F881&amp;"-Pos1",'Shooter-Squad Assignment'!$W:$W,0)),""),IF(F881="Sporting Clays",IFERROR(INDEX('Shooter-Squad Assignment'!$A:$A,MATCH(C881&amp;"-"&amp;E881&amp;"-"&amp;F881&amp;"-Pos1",'Shooter-Squad Assignment'!$Z:$Z,0)),""),"")))</f>
        <v/>
      </c>
      <c r="H881" s="88" t="str">
        <f>IF(ISBLANK(G881),"",IFERROR(INDEX('Tournament List'!$D:$D,MATCH(G881,'Tournament List'!$A:$A,0)),""))</f>
        <v/>
      </c>
      <c r="I881" s="96" t="str">
        <f>IF(F881="Skeet",IFERROR(INDEX('Shooter-Squad Assignment'!$A:$A,MATCH(C881&amp;"-"&amp;E881&amp;"-"&amp;F881&amp;"-Pos2",'Shooter-Squad Assignment'!$K:$K,0)),""),IF(F881="Trap",IFERROR(INDEX('Shooter-Squad Assignment'!$A:$A,MATCH(C881&amp;"-"&amp;E881&amp;"-"&amp;F881&amp;"-Pos2",'Shooter-Squad Assignment'!$W:$W,0)),""),IF(F881="Sporting Clays",IFERROR(INDEX('Shooter-Squad Assignment'!$A:$A,MATCH(C881&amp;"-"&amp;E881&amp;"-"&amp;F881&amp;"-Pos2",'Shooter-Squad Assignment'!$Z:$Z,0)),""),"")))</f>
        <v/>
      </c>
      <c r="J881" s="88" t="str">
        <f>IF(ISBLANK(I881),"",IFERROR(INDEX('Tournament List'!$D:$D,MATCH(I881,'Tournament List'!$A:$A,0)),""))</f>
        <v/>
      </c>
      <c r="K881" s="96" t="str">
        <f>IF(F881="Skeet",IFERROR(INDEX('Shooter-Squad Assignment'!$A:$A,MATCH(C881&amp;"-"&amp;E881&amp;"-"&amp;F881&amp;"-Pos3",'Shooter-Squad Assignment'!$K:$K,0)),""),IF(F881="Trap",IFERROR(INDEX('Shooter-Squad Assignment'!$A:$A,MATCH(C881&amp;"-"&amp;E881&amp;"-"&amp;F881&amp;"-Pos3",'Shooter-Squad Assignment'!$W:$W,0)),""),IF(F881="Sporting Clays",IFERROR(INDEX('Shooter-Squad Assignment'!$A:$A,MATCH(C881&amp;"-"&amp;E881&amp;"-"&amp;F881&amp;"-Pos3",'Shooter-Squad Assignment'!$Z:$Z,0)),""),"")))</f>
        <v/>
      </c>
      <c r="L881" s="88" t="str">
        <f>IF(ISBLANK(K881),"",IFERROR(INDEX('Tournament List'!$D:$D,MATCH(K881,'Tournament List'!$A:$A,0)),""))</f>
        <v/>
      </c>
      <c r="M881" s="96" t="str">
        <f>IF(F881="Skeet",IFERROR(INDEX('Shooter-Squad Assignment'!$A:$A,MATCH(C881&amp;"-"&amp;E881&amp;"-"&amp;F881&amp;"-Pos4",'Shooter-Squad Assignment'!$K:$K,0)),""),IF(F881="Trap",IFERROR(INDEX('Shooter-Squad Assignment'!$A:$A,MATCH(C881&amp;"-"&amp;E881&amp;"-"&amp;F881&amp;"-Pos4",'Shooter-Squad Assignment'!$W:$W,0)),""),IF(F881="Sporting Clays",IFERROR(INDEX('Shooter-Squad Assignment'!$A:$A,MATCH(C881&amp;"-"&amp;E881&amp;"-"&amp;F881&amp;"-Pos4",'Shooter-Squad Assignment'!$Z:$Z,0)),""),"")))</f>
        <v/>
      </c>
      <c r="N881" s="88" t="str">
        <f>IF(ISBLANK(M881),"",IFERROR(INDEX('Tournament List'!$D:$D,MATCH(M881,'Tournament List'!$A:$A,0)),""))</f>
        <v/>
      </c>
      <c r="O881" s="96" t="str">
        <f>IF(F881="Skeet",IFERROR(INDEX('Shooter-Squad Assignment'!$A:$A,MATCH(C881&amp;"-"&amp;E881&amp;"-"&amp;F881&amp;"-Pos5",'Shooter-Squad Assignment'!$K:$K,0)),""),IF(F881="Trap",IFERROR(INDEX('Shooter-Squad Assignment'!$A:$A,MATCH(C881&amp;"-"&amp;E881&amp;"-"&amp;F881&amp;"-Pos5",'Shooter-Squad Assignment'!$W:$W,0)),""),IF(F881="Sporting Clays",IFERROR(INDEX('Shooter-Squad Assignment'!$A:$A,MATCH(C881&amp;"-"&amp;E881&amp;"-"&amp;F881&amp;"-Pos5",'Shooter-Squad Assignment'!$Z:$Z,0)),""),"")))</f>
        <v/>
      </c>
      <c r="P881" s="89" t="str">
        <f>IF(ISBLANK(O881),"",IFERROR(INDEX('Tournament List'!$D:$D,MATCH(O881,'Tournament List'!$A:$A,0)),""))</f>
        <v/>
      </c>
    </row>
    <row r="882" spans="1:16" x14ac:dyDescent="0.3">
      <c r="A882" s="87">
        <v>881</v>
      </c>
      <c r="B882" s="88" t="str">
        <f>C882&amp;"-"&amp;E882&amp;"-"&amp;F882</f>
        <v>-Junior Varsity 1-Sporting Clays</v>
      </c>
      <c r="C882" s="88"/>
      <c r="D882" s="88" t="str">
        <f>INDEX('Tournament Setup'!$B$59:$B$78,MATCH(E882,SquadConcurrents,0))</f>
        <v>Junior Varsity</v>
      </c>
      <c r="E882" s="88" t="s">
        <v>339</v>
      </c>
      <c r="F882" s="88" t="s">
        <v>148</v>
      </c>
      <c r="G882" s="96" t="str">
        <f>IF(F882="Skeet",IFERROR(INDEX('Shooter-Squad Assignment'!$A:$A,MATCH(C882&amp;"-"&amp;E882&amp;"-"&amp;F882&amp;"-Pos1",'Shooter-Squad Assignment'!$K:$K,0)),""),IF(F882="Trap",IFERROR(INDEX('Shooter-Squad Assignment'!$A:$A,MATCH(C882&amp;"-"&amp;E882&amp;"-"&amp;F882&amp;"-Pos1",'Shooter-Squad Assignment'!$W:$W,0)),""),IF(F882="Sporting Clays",IFERROR(INDEX('Shooter-Squad Assignment'!$A:$A,MATCH(C882&amp;"-"&amp;E882&amp;"-"&amp;F882&amp;"-Pos1",'Shooter-Squad Assignment'!$Z:$Z,0)),""),"")))</f>
        <v/>
      </c>
      <c r="H882" s="88" t="str">
        <f>IF(ISBLANK(G882),"",IFERROR(INDEX('Tournament List'!$D:$D,MATCH(G882,'Tournament List'!$A:$A,0)),""))</f>
        <v/>
      </c>
      <c r="I882" s="96" t="str">
        <f>IF(F882="Skeet",IFERROR(INDEX('Shooter-Squad Assignment'!$A:$A,MATCH(C882&amp;"-"&amp;E882&amp;"-"&amp;F882&amp;"-Pos2",'Shooter-Squad Assignment'!$K:$K,0)),""),IF(F882="Trap",IFERROR(INDEX('Shooter-Squad Assignment'!$A:$A,MATCH(C882&amp;"-"&amp;E882&amp;"-"&amp;F882&amp;"-Pos2",'Shooter-Squad Assignment'!$W:$W,0)),""),IF(F882="Sporting Clays",IFERROR(INDEX('Shooter-Squad Assignment'!$A:$A,MATCH(C882&amp;"-"&amp;E882&amp;"-"&amp;F882&amp;"-Pos2",'Shooter-Squad Assignment'!$Z:$Z,0)),""),"")))</f>
        <v/>
      </c>
      <c r="J882" s="88" t="str">
        <f>IF(ISBLANK(I882),"",IFERROR(INDEX('Tournament List'!$D:$D,MATCH(I882,'Tournament List'!$A:$A,0)),""))</f>
        <v/>
      </c>
      <c r="K882" s="96" t="str">
        <f>IF(F882="Skeet",IFERROR(INDEX('Shooter-Squad Assignment'!$A:$A,MATCH(C882&amp;"-"&amp;E882&amp;"-"&amp;F882&amp;"-Pos3",'Shooter-Squad Assignment'!$K:$K,0)),""),IF(F882="Trap",IFERROR(INDEX('Shooter-Squad Assignment'!$A:$A,MATCH(C882&amp;"-"&amp;E882&amp;"-"&amp;F882&amp;"-Pos3",'Shooter-Squad Assignment'!$W:$W,0)),""),IF(F882="Sporting Clays",IFERROR(INDEX('Shooter-Squad Assignment'!$A:$A,MATCH(C882&amp;"-"&amp;E882&amp;"-"&amp;F882&amp;"-Pos3",'Shooter-Squad Assignment'!$Z:$Z,0)),""),"")))</f>
        <v/>
      </c>
      <c r="L882" s="88" t="str">
        <f>IF(ISBLANK(K882),"",IFERROR(INDEX('Tournament List'!$D:$D,MATCH(K882,'Tournament List'!$A:$A,0)),""))</f>
        <v/>
      </c>
      <c r="M882" s="96" t="str">
        <f>IF(F882="Skeet",IFERROR(INDEX('Shooter-Squad Assignment'!$A:$A,MATCH(C882&amp;"-"&amp;E882&amp;"-"&amp;F882&amp;"-Pos4",'Shooter-Squad Assignment'!$K:$K,0)),""),IF(F882="Trap",IFERROR(INDEX('Shooter-Squad Assignment'!$A:$A,MATCH(C882&amp;"-"&amp;E882&amp;"-"&amp;F882&amp;"-Pos4",'Shooter-Squad Assignment'!$W:$W,0)),""),IF(F882="Sporting Clays",IFERROR(INDEX('Shooter-Squad Assignment'!$A:$A,MATCH(C882&amp;"-"&amp;E882&amp;"-"&amp;F882&amp;"-Pos4",'Shooter-Squad Assignment'!$Z:$Z,0)),""),"")))</f>
        <v/>
      </c>
      <c r="N882" s="88" t="str">
        <f>IF(ISBLANK(M882),"",IFERROR(INDEX('Tournament List'!$D:$D,MATCH(M882,'Tournament List'!$A:$A,0)),""))</f>
        <v/>
      </c>
      <c r="O882" s="96" t="str">
        <f>IF(F882="Skeet",IFERROR(INDEX('Shooter-Squad Assignment'!$A:$A,MATCH(C882&amp;"-"&amp;E882&amp;"-"&amp;F882&amp;"-Pos5",'Shooter-Squad Assignment'!$K:$K,0)),""),IF(F882="Trap",IFERROR(INDEX('Shooter-Squad Assignment'!$A:$A,MATCH(C882&amp;"-"&amp;E882&amp;"-"&amp;F882&amp;"-Pos5",'Shooter-Squad Assignment'!$W:$W,0)),""),IF(F882="Sporting Clays",IFERROR(INDEX('Shooter-Squad Assignment'!$A:$A,MATCH(C882&amp;"-"&amp;E882&amp;"-"&amp;F882&amp;"-Pos5",'Shooter-Squad Assignment'!$Z:$Z,0)),""),"")))</f>
        <v/>
      </c>
      <c r="P882" s="89" t="str">
        <f>IF(ISBLANK(O882),"",IFERROR(INDEX('Tournament List'!$D:$D,MATCH(O882,'Tournament List'!$A:$A,0)),""))</f>
        <v/>
      </c>
    </row>
    <row r="883" spans="1:16" x14ac:dyDescent="0.3">
      <c r="A883" s="87">
        <v>882</v>
      </c>
      <c r="B883" s="88" t="str">
        <f>C883&amp;"-"&amp;E883&amp;"-"&amp;F883</f>
        <v>-Junior Varsity 2-Sporting Clays</v>
      </c>
      <c r="C883" s="88"/>
      <c r="D883" s="88" t="str">
        <f>INDEX('Tournament Setup'!$B$59:$B$78,MATCH(E883,SquadConcurrents,0))</f>
        <v>Junior Varsity</v>
      </c>
      <c r="E883" s="88" t="s">
        <v>345</v>
      </c>
      <c r="F883" s="88" t="s">
        <v>148</v>
      </c>
      <c r="G883" s="96" t="str">
        <f>IF(F883="Skeet",IFERROR(INDEX('Shooter-Squad Assignment'!$A:$A,MATCH(C883&amp;"-"&amp;E883&amp;"-"&amp;F883&amp;"-Pos1",'Shooter-Squad Assignment'!$K:$K,0)),""),IF(F883="Trap",IFERROR(INDEX('Shooter-Squad Assignment'!$A:$A,MATCH(C883&amp;"-"&amp;E883&amp;"-"&amp;F883&amp;"-Pos1",'Shooter-Squad Assignment'!$W:$W,0)),""),IF(F883="Sporting Clays",IFERROR(INDEX('Shooter-Squad Assignment'!$A:$A,MATCH(C883&amp;"-"&amp;E883&amp;"-"&amp;F883&amp;"-Pos1",'Shooter-Squad Assignment'!$Z:$Z,0)),""),"")))</f>
        <v/>
      </c>
      <c r="H883" s="88" t="str">
        <f>IF(ISBLANK(G883),"",IFERROR(INDEX('Tournament List'!$D:$D,MATCH(G883,'Tournament List'!$A:$A,0)),""))</f>
        <v/>
      </c>
      <c r="I883" s="96" t="str">
        <f>IF(F883="Skeet",IFERROR(INDEX('Shooter-Squad Assignment'!$A:$A,MATCH(C883&amp;"-"&amp;E883&amp;"-"&amp;F883&amp;"-Pos2",'Shooter-Squad Assignment'!$K:$K,0)),""),IF(F883="Trap",IFERROR(INDEX('Shooter-Squad Assignment'!$A:$A,MATCH(C883&amp;"-"&amp;E883&amp;"-"&amp;F883&amp;"-Pos2",'Shooter-Squad Assignment'!$W:$W,0)),""),IF(F883="Sporting Clays",IFERROR(INDEX('Shooter-Squad Assignment'!$A:$A,MATCH(C883&amp;"-"&amp;E883&amp;"-"&amp;F883&amp;"-Pos2",'Shooter-Squad Assignment'!$Z:$Z,0)),""),"")))</f>
        <v/>
      </c>
      <c r="J883" s="88" t="str">
        <f>IF(ISBLANK(I883),"",IFERROR(INDEX('Tournament List'!$D:$D,MATCH(I883,'Tournament List'!$A:$A,0)),""))</f>
        <v/>
      </c>
      <c r="K883" s="96" t="str">
        <f>IF(F883="Skeet",IFERROR(INDEX('Shooter-Squad Assignment'!$A:$A,MATCH(C883&amp;"-"&amp;E883&amp;"-"&amp;F883&amp;"-Pos3",'Shooter-Squad Assignment'!$K:$K,0)),""),IF(F883="Trap",IFERROR(INDEX('Shooter-Squad Assignment'!$A:$A,MATCH(C883&amp;"-"&amp;E883&amp;"-"&amp;F883&amp;"-Pos3",'Shooter-Squad Assignment'!$W:$W,0)),""),IF(F883="Sporting Clays",IFERROR(INDEX('Shooter-Squad Assignment'!$A:$A,MATCH(C883&amp;"-"&amp;E883&amp;"-"&amp;F883&amp;"-Pos3",'Shooter-Squad Assignment'!$Z:$Z,0)),""),"")))</f>
        <v/>
      </c>
      <c r="L883" s="88" t="str">
        <f>IF(ISBLANK(K883),"",IFERROR(INDEX('Tournament List'!$D:$D,MATCH(K883,'Tournament List'!$A:$A,0)),""))</f>
        <v/>
      </c>
      <c r="M883" s="96" t="str">
        <f>IF(F883="Skeet",IFERROR(INDEX('Shooter-Squad Assignment'!$A:$A,MATCH(C883&amp;"-"&amp;E883&amp;"-"&amp;F883&amp;"-Pos4",'Shooter-Squad Assignment'!$K:$K,0)),""),IF(F883="Trap",IFERROR(INDEX('Shooter-Squad Assignment'!$A:$A,MATCH(C883&amp;"-"&amp;E883&amp;"-"&amp;F883&amp;"-Pos4",'Shooter-Squad Assignment'!$W:$W,0)),""),IF(F883="Sporting Clays",IFERROR(INDEX('Shooter-Squad Assignment'!$A:$A,MATCH(C883&amp;"-"&amp;E883&amp;"-"&amp;F883&amp;"-Pos4",'Shooter-Squad Assignment'!$Z:$Z,0)),""),"")))</f>
        <v/>
      </c>
      <c r="N883" s="88" t="str">
        <f>IF(ISBLANK(M883),"",IFERROR(INDEX('Tournament List'!$D:$D,MATCH(M883,'Tournament List'!$A:$A,0)),""))</f>
        <v/>
      </c>
      <c r="O883" s="96" t="str">
        <f>IF(F883="Skeet",IFERROR(INDEX('Shooter-Squad Assignment'!$A:$A,MATCH(C883&amp;"-"&amp;E883&amp;"-"&amp;F883&amp;"-Pos5",'Shooter-Squad Assignment'!$K:$K,0)),""),IF(F883="Trap",IFERROR(INDEX('Shooter-Squad Assignment'!$A:$A,MATCH(C883&amp;"-"&amp;E883&amp;"-"&amp;F883&amp;"-Pos5",'Shooter-Squad Assignment'!$W:$W,0)),""),IF(F883="Sporting Clays",IFERROR(INDEX('Shooter-Squad Assignment'!$A:$A,MATCH(C883&amp;"-"&amp;E883&amp;"-"&amp;F883&amp;"-Pos5",'Shooter-Squad Assignment'!$Z:$Z,0)),""),"")))</f>
        <v/>
      </c>
      <c r="P883" s="89" t="str">
        <f>IF(ISBLANK(O883),"",IFERROR(INDEX('Tournament List'!$D:$D,MATCH(O883,'Tournament List'!$A:$A,0)),""))</f>
        <v/>
      </c>
    </row>
    <row r="884" spans="1:16" x14ac:dyDescent="0.3">
      <c r="A884" s="87">
        <v>883</v>
      </c>
      <c r="B884" s="88" t="str">
        <f>C884&amp;"-"&amp;E884&amp;"-"&amp;F884</f>
        <v>-Junior Varsity 3-Sporting Clays</v>
      </c>
      <c r="C884" s="88"/>
      <c r="D884" s="88" t="str">
        <f>INDEX('Tournament Setup'!$B$59:$B$78,MATCH(E884,SquadConcurrents,0))</f>
        <v>Junior Varsity</v>
      </c>
      <c r="E884" s="88" t="s">
        <v>351</v>
      </c>
      <c r="F884" s="88" t="s">
        <v>148</v>
      </c>
      <c r="G884" s="96" t="str">
        <f>IF(F884="Skeet",IFERROR(INDEX('Shooter-Squad Assignment'!$A:$A,MATCH(C884&amp;"-"&amp;E884&amp;"-"&amp;F884&amp;"-Pos1",'Shooter-Squad Assignment'!$K:$K,0)),""),IF(F884="Trap",IFERROR(INDEX('Shooter-Squad Assignment'!$A:$A,MATCH(C884&amp;"-"&amp;E884&amp;"-"&amp;F884&amp;"-Pos1",'Shooter-Squad Assignment'!$W:$W,0)),""),IF(F884="Sporting Clays",IFERROR(INDEX('Shooter-Squad Assignment'!$A:$A,MATCH(C884&amp;"-"&amp;E884&amp;"-"&amp;F884&amp;"-Pos1",'Shooter-Squad Assignment'!$Z:$Z,0)),""),"")))</f>
        <v/>
      </c>
      <c r="H884" s="88" t="str">
        <f>IF(ISBLANK(G884),"",IFERROR(INDEX('Tournament List'!$D:$D,MATCH(G884,'Tournament List'!$A:$A,0)),""))</f>
        <v/>
      </c>
      <c r="I884" s="96" t="str">
        <f>IF(F884="Skeet",IFERROR(INDEX('Shooter-Squad Assignment'!$A:$A,MATCH(C884&amp;"-"&amp;E884&amp;"-"&amp;F884&amp;"-Pos2",'Shooter-Squad Assignment'!$K:$K,0)),""),IF(F884="Trap",IFERROR(INDEX('Shooter-Squad Assignment'!$A:$A,MATCH(C884&amp;"-"&amp;E884&amp;"-"&amp;F884&amp;"-Pos2",'Shooter-Squad Assignment'!$W:$W,0)),""),IF(F884="Sporting Clays",IFERROR(INDEX('Shooter-Squad Assignment'!$A:$A,MATCH(C884&amp;"-"&amp;E884&amp;"-"&amp;F884&amp;"-Pos2",'Shooter-Squad Assignment'!$Z:$Z,0)),""),"")))</f>
        <v/>
      </c>
      <c r="J884" s="88" t="str">
        <f>IF(ISBLANK(I884),"",IFERROR(INDEX('Tournament List'!$D:$D,MATCH(I884,'Tournament List'!$A:$A,0)),""))</f>
        <v/>
      </c>
      <c r="K884" s="96" t="str">
        <f>IF(F884="Skeet",IFERROR(INDEX('Shooter-Squad Assignment'!$A:$A,MATCH(C884&amp;"-"&amp;E884&amp;"-"&amp;F884&amp;"-Pos3",'Shooter-Squad Assignment'!$K:$K,0)),""),IF(F884="Trap",IFERROR(INDEX('Shooter-Squad Assignment'!$A:$A,MATCH(C884&amp;"-"&amp;E884&amp;"-"&amp;F884&amp;"-Pos3",'Shooter-Squad Assignment'!$W:$W,0)),""),IF(F884="Sporting Clays",IFERROR(INDEX('Shooter-Squad Assignment'!$A:$A,MATCH(C884&amp;"-"&amp;E884&amp;"-"&amp;F884&amp;"-Pos3",'Shooter-Squad Assignment'!$Z:$Z,0)),""),"")))</f>
        <v/>
      </c>
      <c r="L884" s="88" t="str">
        <f>IF(ISBLANK(K884),"",IFERROR(INDEX('Tournament List'!$D:$D,MATCH(K884,'Tournament List'!$A:$A,0)),""))</f>
        <v/>
      </c>
      <c r="M884" s="96" t="str">
        <f>IF(F884="Skeet",IFERROR(INDEX('Shooter-Squad Assignment'!$A:$A,MATCH(C884&amp;"-"&amp;E884&amp;"-"&amp;F884&amp;"-Pos4",'Shooter-Squad Assignment'!$K:$K,0)),""),IF(F884="Trap",IFERROR(INDEX('Shooter-Squad Assignment'!$A:$A,MATCH(C884&amp;"-"&amp;E884&amp;"-"&amp;F884&amp;"-Pos4",'Shooter-Squad Assignment'!$W:$W,0)),""),IF(F884="Sporting Clays",IFERROR(INDEX('Shooter-Squad Assignment'!$A:$A,MATCH(C884&amp;"-"&amp;E884&amp;"-"&amp;F884&amp;"-Pos4",'Shooter-Squad Assignment'!$Z:$Z,0)),""),"")))</f>
        <v/>
      </c>
      <c r="N884" s="88" t="str">
        <f>IF(ISBLANK(M884),"",IFERROR(INDEX('Tournament List'!$D:$D,MATCH(M884,'Tournament List'!$A:$A,0)),""))</f>
        <v/>
      </c>
      <c r="O884" s="96" t="str">
        <f>IF(F884="Skeet",IFERROR(INDEX('Shooter-Squad Assignment'!$A:$A,MATCH(C884&amp;"-"&amp;E884&amp;"-"&amp;F884&amp;"-Pos5",'Shooter-Squad Assignment'!$K:$K,0)),""),IF(F884="Trap",IFERROR(INDEX('Shooter-Squad Assignment'!$A:$A,MATCH(C884&amp;"-"&amp;E884&amp;"-"&amp;F884&amp;"-Pos5",'Shooter-Squad Assignment'!$W:$W,0)),""),IF(F884="Sporting Clays",IFERROR(INDEX('Shooter-Squad Assignment'!$A:$A,MATCH(C884&amp;"-"&amp;E884&amp;"-"&amp;F884&amp;"-Pos5",'Shooter-Squad Assignment'!$Z:$Z,0)),""),"")))</f>
        <v/>
      </c>
      <c r="P884" s="89" t="str">
        <f>IF(ISBLANK(O884),"",IFERROR(INDEX('Tournament List'!$D:$D,MATCH(O884,'Tournament List'!$A:$A,0)),""))</f>
        <v/>
      </c>
    </row>
    <row r="885" spans="1:16" x14ac:dyDescent="0.3">
      <c r="A885" s="87">
        <v>884</v>
      </c>
      <c r="B885" s="88" t="str">
        <f>C885&amp;"-"&amp;E885&amp;"-"&amp;F885</f>
        <v>-Novice 1-Sporting Clays</v>
      </c>
      <c r="C885" s="88"/>
      <c r="D885" s="88" t="str">
        <f>INDEX('Tournament Setup'!$B$59:$B$78,MATCH(E885,SquadConcurrents,0))</f>
        <v>Novice</v>
      </c>
      <c r="E885" s="88" t="s">
        <v>337</v>
      </c>
      <c r="F885" s="88" t="s">
        <v>148</v>
      </c>
      <c r="G885" s="96" t="str">
        <f>IF(F885="Skeet",IFERROR(INDEX('Shooter-Squad Assignment'!$A:$A,MATCH(C885&amp;"-"&amp;E885&amp;"-"&amp;F885&amp;"-Pos1",'Shooter-Squad Assignment'!$K:$K,0)),""),IF(F885="Trap",IFERROR(INDEX('Shooter-Squad Assignment'!$A:$A,MATCH(C885&amp;"-"&amp;E885&amp;"-"&amp;F885&amp;"-Pos1",'Shooter-Squad Assignment'!$W:$W,0)),""),IF(F885="Sporting Clays",IFERROR(INDEX('Shooter-Squad Assignment'!$A:$A,MATCH(C885&amp;"-"&amp;E885&amp;"-"&amp;F885&amp;"-Pos1",'Shooter-Squad Assignment'!$Z:$Z,0)),""),"")))</f>
        <v/>
      </c>
      <c r="H885" s="88" t="str">
        <f>IF(ISBLANK(G885),"",IFERROR(INDEX('Tournament List'!$D:$D,MATCH(G885,'Tournament List'!$A:$A,0)),""))</f>
        <v/>
      </c>
      <c r="I885" s="96" t="str">
        <f>IF(F885="Skeet",IFERROR(INDEX('Shooter-Squad Assignment'!$A:$A,MATCH(C885&amp;"-"&amp;E885&amp;"-"&amp;F885&amp;"-Pos2",'Shooter-Squad Assignment'!$K:$K,0)),""),IF(F885="Trap",IFERROR(INDEX('Shooter-Squad Assignment'!$A:$A,MATCH(C885&amp;"-"&amp;E885&amp;"-"&amp;F885&amp;"-Pos2",'Shooter-Squad Assignment'!$W:$W,0)),""),IF(F885="Sporting Clays",IFERROR(INDEX('Shooter-Squad Assignment'!$A:$A,MATCH(C885&amp;"-"&amp;E885&amp;"-"&amp;F885&amp;"-Pos2",'Shooter-Squad Assignment'!$Z:$Z,0)),""),"")))</f>
        <v/>
      </c>
      <c r="J885" s="88" t="str">
        <f>IF(ISBLANK(I885),"",IFERROR(INDEX('Tournament List'!$D:$D,MATCH(I885,'Tournament List'!$A:$A,0)),""))</f>
        <v/>
      </c>
      <c r="K885" s="96" t="str">
        <f>IF(F885="Skeet",IFERROR(INDEX('Shooter-Squad Assignment'!$A:$A,MATCH(C885&amp;"-"&amp;E885&amp;"-"&amp;F885&amp;"-Pos3",'Shooter-Squad Assignment'!$K:$K,0)),""),IF(F885="Trap",IFERROR(INDEX('Shooter-Squad Assignment'!$A:$A,MATCH(C885&amp;"-"&amp;E885&amp;"-"&amp;F885&amp;"-Pos3",'Shooter-Squad Assignment'!$W:$W,0)),""),IF(F885="Sporting Clays",IFERROR(INDEX('Shooter-Squad Assignment'!$A:$A,MATCH(C885&amp;"-"&amp;E885&amp;"-"&amp;F885&amp;"-Pos3",'Shooter-Squad Assignment'!$Z:$Z,0)),""),"")))</f>
        <v/>
      </c>
      <c r="L885" s="88" t="str">
        <f>IF(ISBLANK(K885),"",IFERROR(INDEX('Tournament List'!$D:$D,MATCH(K885,'Tournament List'!$A:$A,0)),""))</f>
        <v/>
      </c>
      <c r="M885" s="96" t="str">
        <f>IF(F885="Skeet",IFERROR(INDEX('Shooter-Squad Assignment'!$A:$A,MATCH(C885&amp;"-"&amp;E885&amp;"-"&amp;F885&amp;"-Pos4",'Shooter-Squad Assignment'!$K:$K,0)),""),IF(F885="Trap",IFERROR(INDEX('Shooter-Squad Assignment'!$A:$A,MATCH(C885&amp;"-"&amp;E885&amp;"-"&amp;F885&amp;"-Pos4",'Shooter-Squad Assignment'!$W:$W,0)),""),IF(F885="Sporting Clays",IFERROR(INDEX('Shooter-Squad Assignment'!$A:$A,MATCH(C885&amp;"-"&amp;E885&amp;"-"&amp;F885&amp;"-Pos4",'Shooter-Squad Assignment'!$Z:$Z,0)),""),"")))</f>
        <v/>
      </c>
      <c r="N885" s="88" t="str">
        <f>IF(ISBLANK(M885),"",IFERROR(INDEX('Tournament List'!$D:$D,MATCH(M885,'Tournament List'!$A:$A,0)),""))</f>
        <v/>
      </c>
      <c r="O885" s="96" t="str">
        <f>IF(F885="Skeet",IFERROR(INDEX('Shooter-Squad Assignment'!$A:$A,MATCH(C885&amp;"-"&amp;E885&amp;"-"&amp;F885&amp;"-Pos5",'Shooter-Squad Assignment'!$K:$K,0)),""),IF(F885="Trap",IFERROR(INDEX('Shooter-Squad Assignment'!$A:$A,MATCH(C885&amp;"-"&amp;E885&amp;"-"&amp;F885&amp;"-Pos5",'Shooter-Squad Assignment'!$W:$W,0)),""),IF(F885="Sporting Clays",IFERROR(INDEX('Shooter-Squad Assignment'!$A:$A,MATCH(C885&amp;"-"&amp;E885&amp;"-"&amp;F885&amp;"-Pos5",'Shooter-Squad Assignment'!$Z:$Z,0)),""),"")))</f>
        <v/>
      </c>
      <c r="P885" s="89" t="str">
        <f>IF(ISBLANK(O885),"",IFERROR(INDEX('Tournament List'!$D:$D,MATCH(O885,'Tournament List'!$A:$A,0)),""))</f>
        <v/>
      </c>
    </row>
    <row r="886" spans="1:16" x14ac:dyDescent="0.3">
      <c r="A886" s="87">
        <v>885</v>
      </c>
      <c r="B886" s="88" t="str">
        <f>C886&amp;"-"&amp;E886&amp;"-"&amp;F886</f>
        <v>-Novice 2-Sporting Clays</v>
      </c>
      <c r="C886" s="88"/>
      <c r="D886" s="88" t="str">
        <f>INDEX('Tournament Setup'!$B$59:$B$78,MATCH(E886,SquadConcurrents,0))</f>
        <v>Novice</v>
      </c>
      <c r="E886" s="88" t="s">
        <v>343</v>
      </c>
      <c r="F886" s="88" t="s">
        <v>148</v>
      </c>
      <c r="G886" s="96" t="str">
        <f>IF(F886="Skeet",IFERROR(INDEX('Shooter-Squad Assignment'!$A:$A,MATCH(C886&amp;"-"&amp;E886&amp;"-"&amp;F886&amp;"-Pos1",'Shooter-Squad Assignment'!$K:$K,0)),""),IF(F886="Trap",IFERROR(INDEX('Shooter-Squad Assignment'!$A:$A,MATCH(C886&amp;"-"&amp;E886&amp;"-"&amp;F886&amp;"-Pos1",'Shooter-Squad Assignment'!$W:$W,0)),""),IF(F886="Sporting Clays",IFERROR(INDEX('Shooter-Squad Assignment'!$A:$A,MATCH(C886&amp;"-"&amp;E886&amp;"-"&amp;F886&amp;"-Pos1",'Shooter-Squad Assignment'!$Z:$Z,0)),""),"")))</f>
        <v/>
      </c>
      <c r="H886" s="88" t="str">
        <f>IF(ISBLANK(G886),"",IFERROR(INDEX('Tournament List'!$D:$D,MATCH(G886,'Tournament List'!$A:$A,0)),""))</f>
        <v/>
      </c>
      <c r="I886" s="96" t="str">
        <f>IF(F886="Skeet",IFERROR(INDEX('Shooter-Squad Assignment'!$A:$A,MATCH(C886&amp;"-"&amp;E886&amp;"-"&amp;F886&amp;"-Pos2",'Shooter-Squad Assignment'!$K:$K,0)),""),IF(F886="Trap",IFERROR(INDEX('Shooter-Squad Assignment'!$A:$A,MATCH(C886&amp;"-"&amp;E886&amp;"-"&amp;F886&amp;"-Pos2",'Shooter-Squad Assignment'!$W:$W,0)),""),IF(F886="Sporting Clays",IFERROR(INDEX('Shooter-Squad Assignment'!$A:$A,MATCH(C886&amp;"-"&amp;E886&amp;"-"&amp;F886&amp;"-Pos2",'Shooter-Squad Assignment'!$Z:$Z,0)),""),"")))</f>
        <v/>
      </c>
      <c r="J886" s="88" t="str">
        <f>IF(ISBLANK(I886),"",IFERROR(INDEX('Tournament List'!$D:$D,MATCH(I886,'Tournament List'!$A:$A,0)),""))</f>
        <v/>
      </c>
      <c r="K886" s="96" t="str">
        <f>IF(F886="Skeet",IFERROR(INDEX('Shooter-Squad Assignment'!$A:$A,MATCH(C886&amp;"-"&amp;E886&amp;"-"&amp;F886&amp;"-Pos3",'Shooter-Squad Assignment'!$K:$K,0)),""),IF(F886="Trap",IFERROR(INDEX('Shooter-Squad Assignment'!$A:$A,MATCH(C886&amp;"-"&amp;E886&amp;"-"&amp;F886&amp;"-Pos3",'Shooter-Squad Assignment'!$W:$W,0)),""),IF(F886="Sporting Clays",IFERROR(INDEX('Shooter-Squad Assignment'!$A:$A,MATCH(C886&amp;"-"&amp;E886&amp;"-"&amp;F886&amp;"-Pos3",'Shooter-Squad Assignment'!$Z:$Z,0)),""),"")))</f>
        <v/>
      </c>
      <c r="L886" s="88" t="str">
        <f>IF(ISBLANK(K886),"",IFERROR(INDEX('Tournament List'!$D:$D,MATCH(K886,'Tournament List'!$A:$A,0)),""))</f>
        <v/>
      </c>
      <c r="M886" s="96" t="str">
        <f>IF(F886="Skeet",IFERROR(INDEX('Shooter-Squad Assignment'!$A:$A,MATCH(C886&amp;"-"&amp;E886&amp;"-"&amp;F886&amp;"-Pos4",'Shooter-Squad Assignment'!$K:$K,0)),""),IF(F886="Trap",IFERROR(INDEX('Shooter-Squad Assignment'!$A:$A,MATCH(C886&amp;"-"&amp;E886&amp;"-"&amp;F886&amp;"-Pos4",'Shooter-Squad Assignment'!$W:$W,0)),""),IF(F886="Sporting Clays",IFERROR(INDEX('Shooter-Squad Assignment'!$A:$A,MATCH(C886&amp;"-"&amp;E886&amp;"-"&amp;F886&amp;"-Pos4",'Shooter-Squad Assignment'!$Z:$Z,0)),""),"")))</f>
        <v/>
      </c>
      <c r="N886" s="88" t="str">
        <f>IF(ISBLANK(M886),"",IFERROR(INDEX('Tournament List'!$D:$D,MATCH(M886,'Tournament List'!$A:$A,0)),""))</f>
        <v/>
      </c>
      <c r="O886" s="96" t="str">
        <f>IF(F886="Skeet",IFERROR(INDEX('Shooter-Squad Assignment'!$A:$A,MATCH(C886&amp;"-"&amp;E886&amp;"-"&amp;F886&amp;"-Pos5",'Shooter-Squad Assignment'!$K:$K,0)),""),IF(F886="Trap",IFERROR(INDEX('Shooter-Squad Assignment'!$A:$A,MATCH(C886&amp;"-"&amp;E886&amp;"-"&amp;F886&amp;"-Pos5",'Shooter-Squad Assignment'!$W:$W,0)),""),IF(F886="Sporting Clays",IFERROR(INDEX('Shooter-Squad Assignment'!$A:$A,MATCH(C886&amp;"-"&amp;E886&amp;"-"&amp;F886&amp;"-Pos5",'Shooter-Squad Assignment'!$Z:$Z,0)),""),"")))</f>
        <v/>
      </c>
      <c r="P886" s="89" t="str">
        <f>IF(ISBLANK(O886),"",IFERROR(INDEX('Tournament List'!$D:$D,MATCH(O886,'Tournament List'!$A:$A,0)),""))</f>
        <v/>
      </c>
    </row>
    <row r="887" spans="1:16" x14ac:dyDescent="0.3">
      <c r="A887" s="87">
        <v>886</v>
      </c>
      <c r="B887" s="88" t="str">
        <f>C887&amp;"-"&amp;E887&amp;"-"&amp;F887</f>
        <v>-Novice 3-Sporting Clays</v>
      </c>
      <c r="C887" s="88"/>
      <c r="D887" s="88" t="str">
        <f>INDEX('Tournament Setup'!$B$59:$B$78,MATCH(E887,SquadConcurrents,0))</f>
        <v>Novice</v>
      </c>
      <c r="E887" s="88" t="s">
        <v>349</v>
      </c>
      <c r="F887" s="88" t="s">
        <v>148</v>
      </c>
      <c r="G887" s="96" t="str">
        <f>IF(F887="Skeet",IFERROR(INDEX('Shooter-Squad Assignment'!$A:$A,MATCH(C887&amp;"-"&amp;E887&amp;"-"&amp;F887&amp;"-Pos1",'Shooter-Squad Assignment'!$K:$K,0)),""),IF(F887="Trap",IFERROR(INDEX('Shooter-Squad Assignment'!$A:$A,MATCH(C887&amp;"-"&amp;E887&amp;"-"&amp;F887&amp;"-Pos1",'Shooter-Squad Assignment'!$W:$W,0)),""),IF(F887="Sporting Clays",IFERROR(INDEX('Shooter-Squad Assignment'!$A:$A,MATCH(C887&amp;"-"&amp;E887&amp;"-"&amp;F887&amp;"-Pos1",'Shooter-Squad Assignment'!$Z:$Z,0)),""),"")))</f>
        <v/>
      </c>
      <c r="H887" s="88" t="str">
        <f>IF(ISBLANK(G887),"",IFERROR(INDEX('Tournament List'!$D:$D,MATCH(G887,'Tournament List'!$A:$A,0)),""))</f>
        <v/>
      </c>
      <c r="I887" s="96" t="str">
        <f>IF(F887="Skeet",IFERROR(INDEX('Shooter-Squad Assignment'!$A:$A,MATCH(C887&amp;"-"&amp;E887&amp;"-"&amp;F887&amp;"-Pos2",'Shooter-Squad Assignment'!$K:$K,0)),""),IF(F887="Trap",IFERROR(INDEX('Shooter-Squad Assignment'!$A:$A,MATCH(C887&amp;"-"&amp;E887&amp;"-"&amp;F887&amp;"-Pos2",'Shooter-Squad Assignment'!$W:$W,0)),""),IF(F887="Sporting Clays",IFERROR(INDEX('Shooter-Squad Assignment'!$A:$A,MATCH(C887&amp;"-"&amp;E887&amp;"-"&amp;F887&amp;"-Pos2",'Shooter-Squad Assignment'!$Z:$Z,0)),""),"")))</f>
        <v/>
      </c>
      <c r="J887" s="88" t="str">
        <f>IF(ISBLANK(I887),"",IFERROR(INDEX('Tournament List'!$D:$D,MATCH(I887,'Tournament List'!$A:$A,0)),""))</f>
        <v/>
      </c>
      <c r="K887" s="96" t="str">
        <f>IF(F887="Skeet",IFERROR(INDEX('Shooter-Squad Assignment'!$A:$A,MATCH(C887&amp;"-"&amp;E887&amp;"-"&amp;F887&amp;"-Pos3",'Shooter-Squad Assignment'!$K:$K,0)),""),IF(F887="Trap",IFERROR(INDEX('Shooter-Squad Assignment'!$A:$A,MATCH(C887&amp;"-"&amp;E887&amp;"-"&amp;F887&amp;"-Pos3",'Shooter-Squad Assignment'!$W:$W,0)),""),IF(F887="Sporting Clays",IFERROR(INDEX('Shooter-Squad Assignment'!$A:$A,MATCH(C887&amp;"-"&amp;E887&amp;"-"&amp;F887&amp;"-Pos3",'Shooter-Squad Assignment'!$Z:$Z,0)),""),"")))</f>
        <v/>
      </c>
      <c r="L887" s="88" t="str">
        <f>IF(ISBLANK(K887),"",IFERROR(INDEX('Tournament List'!$D:$D,MATCH(K887,'Tournament List'!$A:$A,0)),""))</f>
        <v/>
      </c>
      <c r="M887" s="96" t="str">
        <f>IF(F887="Skeet",IFERROR(INDEX('Shooter-Squad Assignment'!$A:$A,MATCH(C887&amp;"-"&amp;E887&amp;"-"&amp;F887&amp;"-Pos4",'Shooter-Squad Assignment'!$K:$K,0)),""),IF(F887="Trap",IFERROR(INDEX('Shooter-Squad Assignment'!$A:$A,MATCH(C887&amp;"-"&amp;E887&amp;"-"&amp;F887&amp;"-Pos4",'Shooter-Squad Assignment'!$W:$W,0)),""),IF(F887="Sporting Clays",IFERROR(INDEX('Shooter-Squad Assignment'!$A:$A,MATCH(C887&amp;"-"&amp;E887&amp;"-"&amp;F887&amp;"-Pos4",'Shooter-Squad Assignment'!$Z:$Z,0)),""),"")))</f>
        <v/>
      </c>
      <c r="N887" s="88" t="str">
        <f>IF(ISBLANK(M887),"",IFERROR(INDEX('Tournament List'!$D:$D,MATCH(M887,'Tournament List'!$A:$A,0)),""))</f>
        <v/>
      </c>
      <c r="O887" s="96" t="str">
        <f>IF(F887="Skeet",IFERROR(INDEX('Shooter-Squad Assignment'!$A:$A,MATCH(C887&amp;"-"&amp;E887&amp;"-"&amp;F887&amp;"-Pos5",'Shooter-Squad Assignment'!$K:$K,0)),""),IF(F887="Trap",IFERROR(INDEX('Shooter-Squad Assignment'!$A:$A,MATCH(C887&amp;"-"&amp;E887&amp;"-"&amp;F887&amp;"-Pos5",'Shooter-Squad Assignment'!$W:$W,0)),""),IF(F887="Sporting Clays",IFERROR(INDEX('Shooter-Squad Assignment'!$A:$A,MATCH(C887&amp;"-"&amp;E887&amp;"-"&amp;F887&amp;"-Pos5",'Shooter-Squad Assignment'!$Z:$Z,0)),""),"")))</f>
        <v/>
      </c>
      <c r="P887" s="89" t="str">
        <f>IF(ISBLANK(O887),"",IFERROR(INDEX('Tournament List'!$D:$D,MATCH(O887,'Tournament List'!$A:$A,0)),""))</f>
        <v/>
      </c>
    </row>
    <row r="888" spans="1:16" x14ac:dyDescent="0.3">
      <c r="A888" s="87">
        <v>887</v>
      </c>
      <c r="B888" s="88" t="str">
        <f>C888&amp;"-"&amp;E888&amp;"-"&amp;F888</f>
        <v>-Open 1-Sporting Clays</v>
      </c>
      <c r="C888" s="88"/>
      <c r="D888" s="88" t="str">
        <f>INDEX('Tournament Setup'!$B$59:$B$78,MATCH(E888,SquadConcurrents,0))</f>
        <v>Open</v>
      </c>
      <c r="E888" s="88" t="s">
        <v>341</v>
      </c>
      <c r="F888" s="88" t="s">
        <v>148</v>
      </c>
      <c r="G888" s="96" t="str">
        <f>IF(F888="Skeet",IFERROR(INDEX('Shooter-Squad Assignment'!$A:$A,MATCH(C888&amp;"-"&amp;E888&amp;"-"&amp;F888&amp;"-Pos1",'Shooter-Squad Assignment'!$K:$K,0)),""),IF(F888="Trap",IFERROR(INDEX('Shooter-Squad Assignment'!$A:$A,MATCH(C888&amp;"-"&amp;E888&amp;"-"&amp;F888&amp;"-Pos1",'Shooter-Squad Assignment'!$W:$W,0)),""),IF(F888="Sporting Clays",IFERROR(INDEX('Shooter-Squad Assignment'!$A:$A,MATCH(C888&amp;"-"&amp;E888&amp;"-"&amp;F888&amp;"-Pos1",'Shooter-Squad Assignment'!$Z:$Z,0)),""),"")))</f>
        <v/>
      </c>
      <c r="H888" s="88" t="str">
        <f>IF(ISBLANK(G888),"",IFERROR(INDEX('Tournament List'!$D:$D,MATCH(G888,'Tournament List'!$A:$A,0)),""))</f>
        <v/>
      </c>
      <c r="I888" s="96" t="str">
        <f>IF(F888="Skeet",IFERROR(INDEX('Shooter-Squad Assignment'!$A:$A,MATCH(C888&amp;"-"&amp;E888&amp;"-"&amp;F888&amp;"-Pos2",'Shooter-Squad Assignment'!$K:$K,0)),""),IF(F888="Trap",IFERROR(INDEX('Shooter-Squad Assignment'!$A:$A,MATCH(C888&amp;"-"&amp;E888&amp;"-"&amp;F888&amp;"-Pos2",'Shooter-Squad Assignment'!$W:$W,0)),""),IF(F888="Sporting Clays",IFERROR(INDEX('Shooter-Squad Assignment'!$A:$A,MATCH(C888&amp;"-"&amp;E888&amp;"-"&amp;F888&amp;"-Pos2",'Shooter-Squad Assignment'!$Z:$Z,0)),""),"")))</f>
        <v/>
      </c>
      <c r="J888" s="88" t="str">
        <f>IF(ISBLANK(I888),"",IFERROR(INDEX('Tournament List'!$D:$D,MATCH(I888,'Tournament List'!$A:$A,0)),""))</f>
        <v/>
      </c>
      <c r="K888" s="96" t="str">
        <f>IF(F888="Skeet",IFERROR(INDEX('Shooter-Squad Assignment'!$A:$A,MATCH(C888&amp;"-"&amp;E888&amp;"-"&amp;F888&amp;"-Pos3",'Shooter-Squad Assignment'!$K:$K,0)),""),IF(F888="Trap",IFERROR(INDEX('Shooter-Squad Assignment'!$A:$A,MATCH(C888&amp;"-"&amp;E888&amp;"-"&amp;F888&amp;"-Pos3",'Shooter-Squad Assignment'!$W:$W,0)),""),IF(F888="Sporting Clays",IFERROR(INDEX('Shooter-Squad Assignment'!$A:$A,MATCH(C888&amp;"-"&amp;E888&amp;"-"&amp;F888&amp;"-Pos3",'Shooter-Squad Assignment'!$Z:$Z,0)),""),"")))</f>
        <v/>
      </c>
      <c r="L888" s="88" t="str">
        <f>IF(ISBLANK(K888),"",IFERROR(INDEX('Tournament List'!$D:$D,MATCH(K888,'Tournament List'!$A:$A,0)),""))</f>
        <v/>
      </c>
      <c r="M888" s="96" t="str">
        <f>IF(F888="Skeet",IFERROR(INDEX('Shooter-Squad Assignment'!$A:$A,MATCH(C888&amp;"-"&amp;E888&amp;"-"&amp;F888&amp;"-Pos4",'Shooter-Squad Assignment'!$K:$K,0)),""),IF(F888="Trap",IFERROR(INDEX('Shooter-Squad Assignment'!$A:$A,MATCH(C888&amp;"-"&amp;E888&amp;"-"&amp;F888&amp;"-Pos4",'Shooter-Squad Assignment'!$W:$W,0)),""),IF(F888="Sporting Clays",IFERROR(INDEX('Shooter-Squad Assignment'!$A:$A,MATCH(C888&amp;"-"&amp;E888&amp;"-"&amp;F888&amp;"-Pos4",'Shooter-Squad Assignment'!$Z:$Z,0)),""),"")))</f>
        <v/>
      </c>
      <c r="N888" s="88" t="str">
        <f>IF(ISBLANK(M888),"",IFERROR(INDEX('Tournament List'!$D:$D,MATCH(M888,'Tournament List'!$A:$A,0)),""))</f>
        <v/>
      </c>
      <c r="O888" s="96" t="str">
        <f>IF(F888="Skeet",IFERROR(INDEX('Shooter-Squad Assignment'!$A:$A,MATCH(C888&amp;"-"&amp;E888&amp;"-"&amp;F888&amp;"-Pos5",'Shooter-Squad Assignment'!$K:$K,0)),""),IF(F888="Trap",IFERROR(INDEX('Shooter-Squad Assignment'!$A:$A,MATCH(C888&amp;"-"&amp;E888&amp;"-"&amp;F888&amp;"-Pos5",'Shooter-Squad Assignment'!$W:$W,0)),""),IF(F888="Sporting Clays",IFERROR(INDEX('Shooter-Squad Assignment'!$A:$A,MATCH(C888&amp;"-"&amp;E888&amp;"-"&amp;F888&amp;"-Pos5",'Shooter-Squad Assignment'!$Z:$Z,0)),""),"")))</f>
        <v/>
      </c>
      <c r="P888" s="89" t="str">
        <f>IF(ISBLANK(O888),"",IFERROR(INDEX('Tournament List'!$D:$D,MATCH(O888,'Tournament List'!$A:$A,0)),""))</f>
        <v/>
      </c>
    </row>
    <row r="889" spans="1:16" x14ac:dyDescent="0.3">
      <c r="A889" s="87">
        <v>888</v>
      </c>
      <c r="B889" s="88" t="str">
        <f>C889&amp;"-"&amp;E889&amp;"-"&amp;F889</f>
        <v>-Open 2-Sporting Clays</v>
      </c>
      <c r="C889" s="88"/>
      <c r="D889" s="88" t="str">
        <f>INDEX('Tournament Setup'!$B$59:$B$78,MATCH(E889,SquadConcurrents,0))</f>
        <v>Open</v>
      </c>
      <c r="E889" s="88" t="s">
        <v>347</v>
      </c>
      <c r="F889" s="88" t="s">
        <v>148</v>
      </c>
      <c r="G889" s="96" t="str">
        <f>IF(F889="Skeet",IFERROR(INDEX('Shooter-Squad Assignment'!$A:$A,MATCH(C889&amp;"-"&amp;E889&amp;"-"&amp;F889&amp;"-Pos1",'Shooter-Squad Assignment'!$K:$K,0)),""),IF(F889="Trap",IFERROR(INDEX('Shooter-Squad Assignment'!$A:$A,MATCH(C889&amp;"-"&amp;E889&amp;"-"&amp;F889&amp;"-Pos1",'Shooter-Squad Assignment'!$W:$W,0)),""),IF(F889="Sporting Clays",IFERROR(INDEX('Shooter-Squad Assignment'!$A:$A,MATCH(C889&amp;"-"&amp;E889&amp;"-"&amp;F889&amp;"-Pos1",'Shooter-Squad Assignment'!$Z:$Z,0)),""),"")))</f>
        <v/>
      </c>
      <c r="H889" s="88" t="str">
        <f>IF(ISBLANK(G889),"",IFERROR(INDEX('Tournament List'!$D:$D,MATCH(G889,'Tournament List'!$A:$A,0)),""))</f>
        <v/>
      </c>
      <c r="I889" s="96" t="str">
        <f>IF(F889="Skeet",IFERROR(INDEX('Shooter-Squad Assignment'!$A:$A,MATCH(C889&amp;"-"&amp;E889&amp;"-"&amp;F889&amp;"-Pos2",'Shooter-Squad Assignment'!$K:$K,0)),""),IF(F889="Trap",IFERROR(INDEX('Shooter-Squad Assignment'!$A:$A,MATCH(C889&amp;"-"&amp;E889&amp;"-"&amp;F889&amp;"-Pos2",'Shooter-Squad Assignment'!$W:$W,0)),""),IF(F889="Sporting Clays",IFERROR(INDEX('Shooter-Squad Assignment'!$A:$A,MATCH(C889&amp;"-"&amp;E889&amp;"-"&amp;F889&amp;"-Pos2",'Shooter-Squad Assignment'!$Z:$Z,0)),""),"")))</f>
        <v/>
      </c>
      <c r="J889" s="88" t="str">
        <f>IF(ISBLANK(I889),"",IFERROR(INDEX('Tournament List'!$D:$D,MATCH(I889,'Tournament List'!$A:$A,0)),""))</f>
        <v/>
      </c>
      <c r="K889" s="96" t="str">
        <f>IF(F889="Skeet",IFERROR(INDEX('Shooter-Squad Assignment'!$A:$A,MATCH(C889&amp;"-"&amp;E889&amp;"-"&amp;F889&amp;"-Pos3",'Shooter-Squad Assignment'!$K:$K,0)),""),IF(F889="Trap",IFERROR(INDEX('Shooter-Squad Assignment'!$A:$A,MATCH(C889&amp;"-"&amp;E889&amp;"-"&amp;F889&amp;"-Pos3",'Shooter-Squad Assignment'!$W:$W,0)),""),IF(F889="Sporting Clays",IFERROR(INDEX('Shooter-Squad Assignment'!$A:$A,MATCH(C889&amp;"-"&amp;E889&amp;"-"&amp;F889&amp;"-Pos3",'Shooter-Squad Assignment'!$Z:$Z,0)),""),"")))</f>
        <v/>
      </c>
      <c r="L889" s="88" t="str">
        <f>IF(ISBLANK(K889),"",IFERROR(INDEX('Tournament List'!$D:$D,MATCH(K889,'Tournament List'!$A:$A,0)),""))</f>
        <v/>
      </c>
      <c r="M889" s="96" t="str">
        <f>IF(F889="Skeet",IFERROR(INDEX('Shooter-Squad Assignment'!$A:$A,MATCH(C889&amp;"-"&amp;E889&amp;"-"&amp;F889&amp;"-Pos4",'Shooter-Squad Assignment'!$K:$K,0)),""),IF(F889="Trap",IFERROR(INDEX('Shooter-Squad Assignment'!$A:$A,MATCH(C889&amp;"-"&amp;E889&amp;"-"&amp;F889&amp;"-Pos4",'Shooter-Squad Assignment'!$W:$W,0)),""),IF(F889="Sporting Clays",IFERROR(INDEX('Shooter-Squad Assignment'!$A:$A,MATCH(C889&amp;"-"&amp;E889&amp;"-"&amp;F889&amp;"-Pos4",'Shooter-Squad Assignment'!$Z:$Z,0)),""),"")))</f>
        <v/>
      </c>
      <c r="N889" s="88" t="str">
        <f>IF(ISBLANK(M889),"",IFERROR(INDEX('Tournament List'!$D:$D,MATCH(M889,'Tournament List'!$A:$A,0)),""))</f>
        <v/>
      </c>
      <c r="O889" s="96" t="str">
        <f>IF(F889="Skeet",IFERROR(INDEX('Shooter-Squad Assignment'!$A:$A,MATCH(C889&amp;"-"&amp;E889&amp;"-"&amp;F889&amp;"-Pos5",'Shooter-Squad Assignment'!$K:$K,0)),""),IF(F889="Trap",IFERROR(INDEX('Shooter-Squad Assignment'!$A:$A,MATCH(C889&amp;"-"&amp;E889&amp;"-"&amp;F889&amp;"-Pos5",'Shooter-Squad Assignment'!$W:$W,0)),""),IF(F889="Sporting Clays",IFERROR(INDEX('Shooter-Squad Assignment'!$A:$A,MATCH(C889&amp;"-"&amp;E889&amp;"-"&amp;F889&amp;"-Pos5",'Shooter-Squad Assignment'!$Z:$Z,0)),""),"")))</f>
        <v/>
      </c>
      <c r="P889" s="89" t="str">
        <f>IF(ISBLANK(O889),"",IFERROR(INDEX('Tournament List'!$D:$D,MATCH(O889,'Tournament List'!$A:$A,0)),""))</f>
        <v/>
      </c>
    </row>
    <row r="890" spans="1:16" x14ac:dyDescent="0.3">
      <c r="A890" s="87">
        <v>889</v>
      </c>
      <c r="B890" s="88" t="str">
        <f>C890&amp;"-"&amp;E890&amp;"-"&amp;F890</f>
        <v>-Open 3-Sporting Clays</v>
      </c>
      <c r="C890" s="88"/>
      <c r="D890" s="88" t="str">
        <f>INDEX('Tournament Setup'!$B$59:$B$78,MATCH(E890,SquadConcurrents,0))</f>
        <v>Open</v>
      </c>
      <c r="E890" s="88" t="s">
        <v>353</v>
      </c>
      <c r="F890" s="88" t="s">
        <v>148</v>
      </c>
      <c r="G890" s="96" t="str">
        <f>IF(F890="Skeet",IFERROR(INDEX('Shooter-Squad Assignment'!$A:$A,MATCH(C890&amp;"-"&amp;E890&amp;"-"&amp;F890&amp;"-Pos1",'Shooter-Squad Assignment'!$K:$K,0)),""),IF(F890="Trap",IFERROR(INDEX('Shooter-Squad Assignment'!$A:$A,MATCH(C890&amp;"-"&amp;E890&amp;"-"&amp;F890&amp;"-Pos1",'Shooter-Squad Assignment'!$W:$W,0)),""),IF(F890="Sporting Clays",IFERROR(INDEX('Shooter-Squad Assignment'!$A:$A,MATCH(C890&amp;"-"&amp;E890&amp;"-"&amp;F890&amp;"-Pos1",'Shooter-Squad Assignment'!$Z:$Z,0)),""),"")))</f>
        <v/>
      </c>
      <c r="H890" s="88" t="str">
        <f>IF(ISBLANK(G890),"",IFERROR(INDEX('Tournament List'!$D:$D,MATCH(G890,'Tournament List'!$A:$A,0)),""))</f>
        <v/>
      </c>
      <c r="I890" s="96" t="str">
        <f>IF(F890="Skeet",IFERROR(INDEX('Shooter-Squad Assignment'!$A:$A,MATCH(C890&amp;"-"&amp;E890&amp;"-"&amp;F890&amp;"-Pos2",'Shooter-Squad Assignment'!$K:$K,0)),""),IF(F890="Trap",IFERROR(INDEX('Shooter-Squad Assignment'!$A:$A,MATCH(C890&amp;"-"&amp;E890&amp;"-"&amp;F890&amp;"-Pos2",'Shooter-Squad Assignment'!$W:$W,0)),""),IF(F890="Sporting Clays",IFERROR(INDEX('Shooter-Squad Assignment'!$A:$A,MATCH(C890&amp;"-"&amp;E890&amp;"-"&amp;F890&amp;"-Pos2",'Shooter-Squad Assignment'!$Z:$Z,0)),""),"")))</f>
        <v/>
      </c>
      <c r="J890" s="88" t="str">
        <f>IF(ISBLANK(I890),"",IFERROR(INDEX('Tournament List'!$D:$D,MATCH(I890,'Tournament List'!$A:$A,0)),""))</f>
        <v/>
      </c>
      <c r="K890" s="96" t="str">
        <f>IF(F890="Skeet",IFERROR(INDEX('Shooter-Squad Assignment'!$A:$A,MATCH(C890&amp;"-"&amp;E890&amp;"-"&amp;F890&amp;"-Pos3",'Shooter-Squad Assignment'!$K:$K,0)),""),IF(F890="Trap",IFERROR(INDEX('Shooter-Squad Assignment'!$A:$A,MATCH(C890&amp;"-"&amp;E890&amp;"-"&amp;F890&amp;"-Pos3",'Shooter-Squad Assignment'!$W:$W,0)),""),IF(F890="Sporting Clays",IFERROR(INDEX('Shooter-Squad Assignment'!$A:$A,MATCH(C890&amp;"-"&amp;E890&amp;"-"&amp;F890&amp;"-Pos3",'Shooter-Squad Assignment'!$Z:$Z,0)),""),"")))</f>
        <v/>
      </c>
      <c r="L890" s="88" t="str">
        <f>IF(ISBLANK(K890),"",IFERROR(INDEX('Tournament List'!$D:$D,MATCH(K890,'Tournament List'!$A:$A,0)),""))</f>
        <v/>
      </c>
      <c r="M890" s="96" t="str">
        <f>IF(F890="Skeet",IFERROR(INDEX('Shooter-Squad Assignment'!$A:$A,MATCH(C890&amp;"-"&amp;E890&amp;"-"&amp;F890&amp;"-Pos4",'Shooter-Squad Assignment'!$K:$K,0)),""),IF(F890="Trap",IFERROR(INDEX('Shooter-Squad Assignment'!$A:$A,MATCH(C890&amp;"-"&amp;E890&amp;"-"&amp;F890&amp;"-Pos4",'Shooter-Squad Assignment'!$W:$W,0)),""),IF(F890="Sporting Clays",IFERROR(INDEX('Shooter-Squad Assignment'!$A:$A,MATCH(C890&amp;"-"&amp;E890&amp;"-"&amp;F890&amp;"-Pos4",'Shooter-Squad Assignment'!$Z:$Z,0)),""),"")))</f>
        <v/>
      </c>
      <c r="N890" s="88" t="str">
        <f>IF(ISBLANK(M890),"",IFERROR(INDEX('Tournament List'!$D:$D,MATCH(M890,'Tournament List'!$A:$A,0)),""))</f>
        <v/>
      </c>
      <c r="O890" s="96" t="str">
        <f>IF(F890="Skeet",IFERROR(INDEX('Shooter-Squad Assignment'!$A:$A,MATCH(C890&amp;"-"&amp;E890&amp;"-"&amp;F890&amp;"-Pos5",'Shooter-Squad Assignment'!$K:$K,0)),""),IF(F890="Trap",IFERROR(INDEX('Shooter-Squad Assignment'!$A:$A,MATCH(C890&amp;"-"&amp;E890&amp;"-"&amp;F890&amp;"-Pos5",'Shooter-Squad Assignment'!$W:$W,0)),""),IF(F890="Sporting Clays",IFERROR(INDEX('Shooter-Squad Assignment'!$A:$A,MATCH(C890&amp;"-"&amp;E890&amp;"-"&amp;F890&amp;"-Pos5",'Shooter-Squad Assignment'!$Z:$Z,0)),""),"")))</f>
        <v/>
      </c>
      <c r="P890" s="89" t="str">
        <f>IF(ISBLANK(O890),"",IFERROR(INDEX('Tournament List'!$D:$D,MATCH(O890,'Tournament List'!$A:$A,0)),""))</f>
        <v/>
      </c>
    </row>
    <row r="891" spans="1:16" x14ac:dyDescent="0.3">
      <c r="A891" s="87">
        <v>890</v>
      </c>
      <c r="B891" s="88" t="str">
        <f>C891&amp;"-"&amp;E891&amp;"-"&amp;F891</f>
        <v>-Unassigned 1-Sporting Clays</v>
      </c>
      <c r="C891" s="88"/>
      <c r="D891" s="88" t="str">
        <f>INDEX('Tournament Setup'!$B$59:$B$78,MATCH(E891,SquadConcurrents,0))</f>
        <v>Unassigned</v>
      </c>
      <c r="E891" s="88" t="s">
        <v>762</v>
      </c>
      <c r="F891" s="88" t="s">
        <v>148</v>
      </c>
      <c r="G891" s="96" t="str">
        <f>IF(F891="Skeet",IFERROR(INDEX('Shooter-Squad Assignment'!$A:$A,MATCH(C891&amp;"-"&amp;E891&amp;"-"&amp;F891&amp;"-Pos1",'Shooter-Squad Assignment'!$K:$K,0)),""),IF(F891="Trap",IFERROR(INDEX('Shooter-Squad Assignment'!$A:$A,MATCH(C891&amp;"-"&amp;E891&amp;"-"&amp;F891&amp;"-Pos1",'Shooter-Squad Assignment'!$W:$W,0)),""),IF(F891="Sporting Clays",IFERROR(INDEX('Shooter-Squad Assignment'!$A:$A,MATCH(C891&amp;"-"&amp;E891&amp;"-"&amp;F891&amp;"-Pos1",'Shooter-Squad Assignment'!$Z:$Z,0)),""),"")))</f>
        <v/>
      </c>
      <c r="H891" s="88" t="str">
        <f>IF(ISBLANK(G891),"",IFERROR(INDEX('Tournament List'!$D:$D,MATCH(G891,'Tournament List'!$A:$A,0)),""))</f>
        <v/>
      </c>
      <c r="I891" s="96" t="str">
        <f>IF(F891="Skeet",IFERROR(INDEX('Shooter-Squad Assignment'!$A:$A,MATCH(C891&amp;"-"&amp;E891&amp;"-"&amp;F891&amp;"-Pos2",'Shooter-Squad Assignment'!$K:$K,0)),""),IF(F891="Trap",IFERROR(INDEX('Shooter-Squad Assignment'!$A:$A,MATCH(C891&amp;"-"&amp;E891&amp;"-"&amp;F891&amp;"-Pos2",'Shooter-Squad Assignment'!$W:$W,0)),""),IF(F891="Sporting Clays",IFERROR(INDEX('Shooter-Squad Assignment'!$A:$A,MATCH(C891&amp;"-"&amp;E891&amp;"-"&amp;F891&amp;"-Pos2",'Shooter-Squad Assignment'!$Z:$Z,0)),""),"")))</f>
        <v/>
      </c>
      <c r="J891" s="88" t="str">
        <f>IF(ISBLANK(I891),"",IFERROR(INDEX('Tournament List'!$D:$D,MATCH(I891,'Tournament List'!$A:$A,0)),""))</f>
        <v/>
      </c>
      <c r="K891" s="96" t="str">
        <f>IF(F891="Skeet",IFERROR(INDEX('Shooter-Squad Assignment'!$A:$A,MATCH(C891&amp;"-"&amp;E891&amp;"-"&amp;F891&amp;"-Pos3",'Shooter-Squad Assignment'!$K:$K,0)),""),IF(F891="Trap",IFERROR(INDEX('Shooter-Squad Assignment'!$A:$A,MATCH(C891&amp;"-"&amp;E891&amp;"-"&amp;F891&amp;"-Pos3",'Shooter-Squad Assignment'!$W:$W,0)),""),IF(F891="Sporting Clays",IFERROR(INDEX('Shooter-Squad Assignment'!$A:$A,MATCH(C891&amp;"-"&amp;E891&amp;"-"&amp;F891&amp;"-Pos3",'Shooter-Squad Assignment'!$Z:$Z,0)),""),"")))</f>
        <v/>
      </c>
      <c r="L891" s="88" t="str">
        <f>IF(ISBLANK(K891),"",IFERROR(INDEX('Tournament List'!$D:$D,MATCH(K891,'Tournament List'!$A:$A,0)),""))</f>
        <v/>
      </c>
      <c r="M891" s="96" t="str">
        <f>IF(F891="Skeet",IFERROR(INDEX('Shooter-Squad Assignment'!$A:$A,MATCH(C891&amp;"-"&amp;E891&amp;"-"&amp;F891&amp;"-Pos4",'Shooter-Squad Assignment'!$K:$K,0)),""),IF(F891="Trap",IFERROR(INDEX('Shooter-Squad Assignment'!$A:$A,MATCH(C891&amp;"-"&amp;E891&amp;"-"&amp;F891&amp;"-Pos4",'Shooter-Squad Assignment'!$W:$W,0)),""),IF(F891="Sporting Clays",IFERROR(INDEX('Shooter-Squad Assignment'!$A:$A,MATCH(C891&amp;"-"&amp;E891&amp;"-"&amp;F891&amp;"-Pos4",'Shooter-Squad Assignment'!$Z:$Z,0)),""),"")))</f>
        <v/>
      </c>
      <c r="N891" s="88" t="str">
        <f>IF(ISBLANK(M891),"",IFERROR(INDEX('Tournament List'!$D:$D,MATCH(M891,'Tournament List'!$A:$A,0)),""))</f>
        <v/>
      </c>
      <c r="O891" s="96" t="str">
        <f>IF(F891="Skeet",IFERROR(INDEX('Shooter-Squad Assignment'!$A:$A,MATCH(C891&amp;"-"&amp;E891&amp;"-"&amp;F891&amp;"-Pos5",'Shooter-Squad Assignment'!$K:$K,0)),""),IF(F891="Trap",IFERROR(INDEX('Shooter-Squad Assignment'!$A:$A,MATCH(C891&amp;"-"&amp;E891&amp;"-"&amp;F891&amp;"-Pos5",'Shooter-Squad Assignment'!$W:$W,0)),""),IF(F891="Sporting Clays",IFERROR(INDEX('Shooter-Squad Assignment'!$A:$A,MATCH(C891&amp;"-"&amp;E891&amp;"-"&amp;F891&amp;"-Pos5",'Shooter-Squad Assignment'!$Z:$Z,0)),""),"")))</f>
        <v/>
      </c>
      <c r="P891" s="89" t="str">
        <f>IF(ISBLANK(O891),"",IFERROR(INDEX('Tournament List'!$D:$D,MATCH(O891,'Tournament List'!$A:$A,0)),""))</f>
        <v/>
      </c>
    </row>
    <row r="892" spans="1:16" x14ac:dyDescent="0.3">
      <c r="A892" s="87">
        <v>891</v>
      </c>
      <c r="B892" s="88" t="str">
        <f>C892&amp;"-"&amp;E892&amp;"-"&amp;F892</f>
        <v>-Varsity 1-Sporting Clays</v>
      </c>
      <c r="C892" s="88"/>
      <c r="D892" s="88" t="str">
        <f>INDEX('Tournament Setup'!$B$59:$B$78,MATCH(E892,SquadConcurrents,0))</f>
        <v>Varsity</v>
      </c>
      <c r="E892" s="88" t="s">
        <v>340</v>
      </c>
      <c r="F892" s="88" t="s">
        <v>148</v>
      </c>
      <c r="G892" s="96" t="str">
        <f>IF(F892="Skeet",IFERROR(INDEX('Shooter-Squad Assignment'!$A:$A,MATCH(C892&amp;"-"&amp;E892&amp;"-"&amp;F892&amp;"-Pos1",'Shooter-Squad Assignment'!$K:$K,0)),""),IF(F892="Trap",IFERROR(INDEX('Shooter-Squad Assignment'!$A:$A,MATCH(C892&amp;"-"&amp;E892&amp;"-"&amp;F892&amp;"-Pos1",'Shooter-Squad Assignment'!$W:$W,0)),""),IF(F892="Sporting Clays",IFERROR(INDEX('Shooter-Squad Assignment'!$A:$A,MATCH(C892&amp;"-"&amp;E892&amp;"-"&amp;F892&amp;"-Pos1",'Shooter-Squad Assignment'!$Z:$Z,0)),""),"")))</f>
        <v/>
      </c>
      <c r="H892" s="88" t="str">
        <f>IF(ISBLANK(G892),"",IFERROR(INDEX('Tournament List'!$D:$D,MATCH(G892,'Tournament List'!$A:$A,0)),""))</f>
        <v/>
      </c>
      <c r="I892" s="96" t="str">
        <f>IF(F892="Skeet",IFERROR(INDEX('Shooter-Squad Assignment'!$A:$A,MATCH(C892&amp;"-"&amp;E892&amp;"-"&amp;F892&amp;"-Pos2",'Shooter-Squad Assignment'!$K:$K,0)),""),IF(F892="Trap",IFERROR(INDEX('Shooter-Squad Assignment'!$A:$A,MATCH(C892&amp;"-"&amp;E892&amp;"-"&amp;F892&amp;"-Pos2",'Shooter-Squad Assignment'!$W:$W,0)),""),IF(F892="Sporting Clays",IFERROR(INDEX('Shooter-Squad Assignment'!$A:$A,MATCH(C892&amp;"-"&amp;E892&amp;"-"&amp;F892&amp;"-Pos2",'Shooter-Squad Assignment'!$Z:$Z,0)),""),"")))</f>
        <v/>
      </c>
      <c r="J892" s="88" t="str">
        <f>IF(ISBLANK(I892),"",IFERROR(INDEX('Tournament List'!$D:$D,MATCH(I892,'Tournament List'!$A:$A,0)),""))</f>
        <v/>
      </c>
      <c r="K892" s="96" t="str">
        <f>IF(F892="Skeet",IFERROR(INDEX('Shooter-Squad Assignment'!$A:$A,MATCH(C892&amp;"-"&amp;E892&amp;"-"&amp;F892&amp;"-Pos3",'Shooter-Squad Assignment'!$K:$K,0)),""),IF(F892="Trap",IFERROR(INDEX('Shooter-Squad Assignment'!$A:$A,MATCH(C892&amp;"-"&amp;E892&amp;"-"&amp;F892&amp;"-Pos3",'Shooter-Squad Assignment'!$W:$W,0)),""),IF(F892="Sporting Clays",IFERROR(INDEX('Shooter-Squad Assignment'!$A:$A,MATCH(C892&amp;"-"&amp;E892&amp;"-"&amp;F892&amp;"-Pos3",'Shooter-Squad Assignment'!$Z:$Z,0)),""),"")))</f>
        <v/>
      </c>
      <c r="L892" s="88" t="str">
        <f>IF(ISBLANK(K892),"",IFERROR(INDEX('Tournament List'!$D:$D,MATCH(K892,'Tournament List'!$A:$A,0)),""))</f>
        <v/>
      </c>
      <c r="M892" s="96" t="str">
        <f>IF(F892="Skeet",IFERROR(INDEX('Shooter-Squad Assignment'!$A:$A,MATCH(C892&amp;"-"&amp;E892&amp;"-"&amp;F892&amp;"-Pos4",'Shooter-Squad Assignment'!$K:$K,0)),""),IF(F892="Trap",IFERROR(INDEX('Shooter-Squad Assignment'!$A:$A,MATCH(C892&amp;"-"&amp;E892&amp;"-"&amp;F892&amp;"-Pos4",'Shooter-Squad Assignment'!$W:$W,0)),""),IF(F892="Sporting Clays",IFERROR(INDEX('Shooter-Squad Assignment'!$A:$A,MATCH(C892&amp;"-"&amp;E892&amp;"-"&amp;F892&amp;"-Pos4",'Shooter-Squad Assignment'!$Z:$Z,0)),""),"")))</f>
        <v/>
      </c>
      <c r="N892" s="88" t="str">
        <f>IF(ISBLANK(M892),"",IFERROR(INDEX('Tournament List'!$D:$D,MATCH(M892,'Tournament List'!$A:$A,0)),""))</f>
        <v/>
      </c>
      <c r="O892" s="96" t="str">
        <f>IF(F892="Skeet",IFERROR(INDEX('Shooter-Squad Assignment'!$A:$A,MATCH(C892&amp;"-"&amp;E892&amp;"-"&amp;F892&amp;"-Pos5",'Shooter-Squad Assignment'!$K:$K,0)),""),IF(F892="Trap",IFERROR(INDEX('Shooter-Squad Assignment'!$A:$A,MATCH(C892&amp;"-"&amp;E892&amp;"-"&amp;F892&amp;"-Pos5",'Shooter-Squad Assignment'!$W:$W,0)),""),IF(F892="Sporting Clays",IFERROR(INDEX('Shooter-Squad Assignment'!$A:$A,MATCH(C892&amp;"-"&amp;E892&amp;"-"&amp;F892&amp;"-Pos5",'Shooter-Squad Assignment'!$Z:$Z,0)),""),"")))</f>
        <v/>
      </c>
      <c r="P892" s="89" t="str">
        <f>IF(ISBLANK(O892),"",IFERROR(INDEX('Tournament List'!$D:$D,MATCH(O892,'Tournament List'!$A:$A,0)),""))</f>
        <v/>
      </c>
    </row>
    <row r="893" spans="1:16" x14ac:dyDescent="0.3">
      <c r="A893" s="87">
        <v>892</v>
      </c>
      <c r="B893" s="88" t="str">
        <f>C893&amp;"-"&amp;E893&amp;"-"&amp;F893</f>
        <v>-Varsity 2-Sporting Clays</v>
      </c>
      <c r="C893" s="88"/>
      <c r="D893" s="88" t="str">
        <f>INDEX('Tournament Setup'!$B$59:$B$78,MATCH(E893,SquadConcurrents,0))</f>
        <v>Varsity</v>
      </c>
      <c r="E893" s="88" t="s">
        <v>346</v>
      </c>
      <c r="F893" s="88" t="s">
        <v>148</v>
      </c>
      <c r="G893" s="96" t="str">
        <f>IF(F893="Skeet",IFERROR(INDEX('Shooter-Squad Assignment'!$A:$A,MATCH(C893&amp;"-"&amp;E893&amp;"-"&amp;F893&amp;"-Pos1",'Shooter-Squad Assignment'!$K:$K,0)),""),IF(F893="Trap",IFERROR(INDEX('Shooter-Squad Assignment'!$A:$A,MATCH(C893&amp;"-"&amp;E893&amp;"-"&amp;F893&amp;"-Pos1",'Shooter-Squad Assignment'!$W:$W,0)),""),IF(F893="Sporting Clays",IFERROR(INDEX('Shooter-Squad Assignment'!$A:$A,MATCH(C893&amp;"-"&amp;E893&amp;"-"&amp;F893&amp;"-Pos1",'Shooter-Squad Assignment'!$Z:$Z,0)),""),"")))</f>
        <v/>
      </c>
      <c r="H893" s="88" t="str">
        <f>IF(ISBLANK(G893),"",IFERROR(INDEX('Tournament List'!$D:$D,MATCH(G893,'Tournament List'!$A:$A,0)),""))</f>
        <v/>
      </c>
      <c r="I893" s="96" t="str">
        <f>IF(F893="Skeet",IFERROR(INDEX('Shooter-Squad Assignment'!$A:$A,MATCH(C893&amp;"-"&amp;E893&amp;"-"&amp;F893&amp;"-Pos2",'Shooter-Squad Assignment'!$K:$K,0)),""),IF(F893="Trap",IFERROR(INDEX('Shooter-Squad Assignment'!$A:$A,MATCH(C893&amp;"-"&amp;E893&amp;"-"&amp;F893&amp;"-Pos2",'Shooter-Squad Assignment'!$W:$W,0)),""),IF(F893="Sporting Clays",IFERROR(INDEX('Shooter-Squad Assignment'!$A:$A,MATCH(C893&amp;"-"&amp;E893&amp;"-"&amp;F893&amp;"-Pos2",'Shooter-Squad Assignment'!$Z:$Z,0)),""),"")))</f>
        <v/>
      </c>
      <c r="J893" s="88" t="str">
        <f>IF(ISBLANK(I893),"",IFERROR(INDEX('Tournament List'!$D:$D,MATCH(I893,'Tournament List'!$A:$A,0)),""))</f>
        <v/>
      </c>
      <c r="K893" s="96" t="str">
        <f>IF(F893="Skeet",IFERROR(INDEX('Shooter-Squad Assignment'!$A:$A,MATCH(C893&amp;"-"&amp;E893&amp;"-"&amp;F893&amp;"-Pos3",'Shooter-Squad Assignment'!$K:$K,0)),""),IF(F893="Trap",IFERROR(INDEX('Shooter-Squad Assignment'!$A:$A,MATCH(C893&amp;"-"&amp;E893&amp;"-"&amp;F893&amp;"-Pos3",'Shooter-Squad Assignment'!$W:$W,0)),""),IF(F893="Sporting Clays",IFERROR(INDEX('Shooter-Squad Assignment'!$A:$A,MATCH(C893&amp;"-"&amp;E893&amp;"-"&amp;F893&amp;"-Pos3",'Shooter-Squad Assignment'!$Z:$Z,0)),""),"")))</f>
        <v/>
      </c>
      <c r="L893" s="88" t="str">
        <f>IF(ISBLANK(K893),"",IFERROR(INDEX('Tournament List'!$D:$D,MATCH(K893,'Tournament List'!$A:$A,0)),""))</f>
        <v/>
      </c>
      <c r="M893" s="96" t="str">
        <f>IF(F893="Skeet",IFERROR(INDEX('Shooter-Squad Assignment'!$A:$A,MATCH(C893&amp;"-"&amp;E893&amp;"-"&amp;F893&amp;"-Pos4",'Shooter-Squad Assignment'!$K:$K,0)),""),IF(F893="Trap",IFERROR(INDEX('Shooter-Squad Assignment'!$A:$A,MATCH(C893&amp;"-"&amp;E893&amp;"-"&amp;F893&amp;"-Pos4",'Shooter-Squad Assignment'!$W:$W,0)),""),IF(F893="Sporting Clays",IFERROR(INDEX('Shooter-Squad Assignment'!$A:$A,MATCH(C893&amp;"-"&amp;E893&amp;"-"&amp;F893&amp;"-Pos4",'Shooter-Squad Assignment'!$Z:$Z,0)),""),"")))</f>
        <v/>
      </c>
      <c r="N893" s="88" t="str">
        <f>IF(ISBLANK(M893),"",IFERROR(INDEX('Tournament List'!$D:$D,MATCH(M893,'Tournament List'!$A:$A,0)),""))</f>
        <v/>
      </c>
      <c r="O893" s="96" t="str">
        <f>IF(F893="Skeet",IFERROR(INDEX('Shooter-Squad Assignment'!$A:$A,MATCH(C893&amp;"-"&amp;E893&amp;"-"&amp;F893&amp;"-Pos5",'Shooter-Squad Assignment'!$K:$K,0)),""),IF(F893="Trap",IFERROR(INDEX('Shooter-Squad Assignment'!$A:$A,MATCH(C893&amp;"-"&amp;E893&amp;"-"&amp;F893&amp;"-Pos5",'Shooter-Squad Assignment'!$W:$W,0)),""),IF(F893="Sporting Clays",IFERROR(INDEX('Shooter-Squad Assignment'!$A:$A,MATCH(C893&amp;"-"&amp;E893&amp;"-"&amp;F893&amp;"-Pos5",'Shooter-Squad Assignment'!$Z:$Z,0)),""),"")))</f>
        <v/>
      </c>
      <c r="P893" s="89" t="str">
        <f>IF(ISBLANK(O893),"",IFERROR(INDEX('Tournament List'!$D:$D,MATCH(O893,'Tournament List'!$A:$A,0)),""))</f>
        <v/>
      </c>
    </row>
    <row r="894" spans="1:16" x14ac:dyDescent="0.3">
      <c r="A894" s="87">
        <v>893</v>
      </c>
      <c r="B894" s="88" t="str">
        <f>C894&amp;"-"&amp;E894&amp;"-"&amp;F894</f>
        <v>-Varsity 3-Sporting Clays</v>
      </c>
      <c r="C894" s="88"/>
      <c r="D894" s="88" t="str">
        <f>INDEX('Tournament Setup'!$B$59:$B$78,MATCH(E894,SquadConcurrents,0))</f>
        <v>Varsity</v>
      </c>
      <c r="E894" s="88" t="s">
        <v>352</v>
      </c>
      <c r="F894" s="88" t="s">
        <v>148</v>
      </c>
      <c r="G894" s="96" t="str">
        <f>IF(F894="Skeet",IFERROR(INDEX('Shooter-Squad Assignment'!$A:$A,MATCH(C894&amp;"-"&amp;E894&amp;"-"&amp;F894&amp;"-Pos1",'Shooter-Squad Assignment'!$K:$K,0)),""),IF(F894="Trap",IFERROR(INDEX('Shooter-Squad Assignment'!$A:$A,MATCH(C894&amp;"-"&amp;E894&amp;"-"&amp;F894&amp;"-Pos1",'Shooter-Squad Assignment'!$W:$W,0)),""),IF(F894="Sporting Clays",IFERROR(INDEX('Shooter-Squad Assignment'!$A:$A,MATCH(C894&amp;"-"&amp;E894&amp;"-"&amp;F894&amp;"-Pos1",'Shooter-Squad Assignment'!$Z:$Z,0)),""),"")))</f>
        <v/>
      </c>
      <c r="H894" s="88" t="str">
        <f>IF(ISBLANK(G894),"",IFERROR(INDEX('Tournament List'!$D:$D,MATCH(G894,'Tournament List'!$A:$A,0)),""))</f>
        <v/>
      </c>
      <c r="I894" s="96" t="str">
        <f>IF(F894="Skeet",IFERROR(INDEX('Shooter-Squad Assignment'!$A:$A,MATCH(C894&amp;"-"&amp;E894&amp;"-"&amp;F894&amp;"-Pos2",'Shooter-Squad Assignment'!$K:$K,0)),""),IF(F894="Trap",IFERROR(INDEX('Shooter-Squad Assignment'!$A:$A,MATCH(C894&amp;"-"&amp;E894&amp;"-"&amp;F894&amp;"-Pos2",'Shooter-Squad Assignment'!$W:$W,0)),""),IF(F894="Sporting Clays",IFERROR(INDEX('Shooter-Squad Assignment'!$A:$A,MATCH(C894&amp;"-"&amp;E894&amp;"-"&amp;F894&amp;"-Pos2",'Shooter-Squad Assignment'!$Z:$Z,0)),""),"")))</f>
        <v/>
      </c>
      <c r="J894" s="88" t="str">
        <f>IF(ISBLANK(I894),"",IFERROR(INDEX('Tournament List'!$D:$D,MATCH(I894,'Tournament List'!$A:$A,0)),""))</f>
        <v/>
      </c>
      <c r="K894" s="96" t="str">
        <f>IF(F894="Skeet",IFERROR(INDEX('Shooter-Squad Assignment'!$A:$A,MATCH(C894&amp;"-"&amp;E894&amp;"-"&amp;F894&amp;"-Pos3",'Shooter-Squad Assignment'!$K:$K,0)),""),IF(F894="Trap",IFERROR(INDEX('Shooter-Squad Assignment'!$A:$A,MATCH(C894&amp;"-"&amp;E894&amp;"-"&amp;F894&amp;"-Pos3",'Shooter-Squad Assignment'!$W:$W,0)),""),IF(F894="Sporting Clays",IFERROR(INDEX('Shooter-Squad Assignment'!$A:$A,MATCH(C894&amp;"-"&amp;E894&amp;"-"&amp;F894&amp;"-Pos3",'Shooter-Squad Assignment'!$Z:$Z,0)),""),"")))</f>
        <v/>
      </c>
      <c r="L894" s="88" t="str">
        <f>IF(ISBLANK(K894),"",IFERROR(INDEX('Tournament List'!$D:$D,MATCH(K894,'Tournament List'!$A:$A,0)),""))</f>
        <v/>
      </c>
      <c r="M894" s="96" t="str">
        <f>IF(F894="Skeet",IFERROR(INDEX('Shooter-Squad Assignment'!$A:$A,MATCH(C894&amp;"-"&amp;E894&amp;"-"&amp;F894&amp;"-Pos4",'Shooter-Squad Assignment'!$K:$K,0)),""),IF(F894="Trap",IFERROR(INDEX('Shooter-Squad Assignment'!$A:$A,MATCH(C894&amp;"-"&amp;E894&amp;"-"&amp;F894&amp;"-Pos4",'Shooter-Squad Assignment'!$W:$W,0)),""),IF(F894="Sporting Clays",IFERROR(INDEX('Shooter-Squad Assignment'!$A:$A,MATCH(C894&amp;"-"&amp;E894&amp;"-"&amp;F894&amp;"-Pos4",'Shooter-Squad Assignment'!$Z:$Z,0)),""),"")))</f>
        <v/>
      </c>
      <c r="N894" s="88" t="str">
        <f>IF(ISBLANK(M894),"",IFERROR(INDEX('Tournament List'!$D:$D,MATCH(M894,'Tournament List'!$A:$A,0)),""))</f>
        <v/>
      </c>
      <c r="O894" s="96" t="str">
        <f>IF(F894="Skeet",IFERROR(INDEX('Shooter-Squad Assignment'!$A:$A,MATCH(C894&amp;"-"&amp;E894&amp;"-"&amp;F894&amp;"-Pos5",'Shooter-Squad Assignment'!$K:$K,0)),""),IF(F894="Trap",IFERROR(INDEX('Shooter-Squad Assignment'!$A:$A,MATCH(C894&amp;"-"&amp;E894&amp;"-"&amp;F894&amp;"-Pos5",'Shooter-Squad Assignment'!$W:$W,0)),""),IF(F894="Sporting Clays",IFERROR(INDEX('Shooter-Squad Assignment'!$A:$A,MATCH(C894&amp;"-"&amp;E894&amp;"-"&amp;F894&amp;"-Pos5",'Shooter-Squad Assignment'!$Z:$Z,0)),""),"")))</f>
        <v/>
      </c>
      <c r="P894" s="89" t="str">
        <f>IF(ISBLANK(O894),"",IFERROR(INDEX('Tournament List'!$D:$D,MATCH(O894,'Tournament List'!$A:$A,0)),""))</f>
        <v/>
      </c>
    </row>
    <row r="895" spans="1:16" x14ac:dyDescent="0.3">
      <c r="A895" s="87">
        <v>894</v>
      </c>
      <c r="B895" s="88" t="str">
        <f>C895&amp;"-"&amp;E895&amp;"-"&amp;F895</f>
        <v>-Collegiate 1-Trap</v>
      </c>
      <c r="C895" s="88"/>
      <c r="D895" s="88" t="str">
        <f>INDEX('Tournament Setup'!$B$59:$B$78,MATCH(E895,SquadConcurrents,0))</f>
        <v>Collegiate</v>
      </c>
      <c r="E895" s="88" t="s">
        <v>342</v>
      </c>
      <c r="F895" s="88" t="s">
        <v>147</v>
      </c>
      <c r="G895" s="96" t="str">
        <f>IF(F895="Skeet",IFERROR(INDEX('Shooter-Squad Assignment'!$A:$A,MATCH(C895&amp;"-"&amp;E895&amp;"-"&amp;F895&amp;"-Pos1",'Shooter-Squad Assignment'!$K:$K,0)),""),IF(F895="Trap",IFERROR(INDEX('Shooter-Squad Assignment'!$A:$A,MATCH(C895&amp;"-"&amp;E895&amp;"-"&amp;F895&amp;"-Pos1",'Shooter-Squad Assignment'!$W:$W,0)),""),IF(F895="Sporting Clays",IFERROR(INDEX('Shooter-Squad Assignment'!$A:$A,MATCH(C895&amp;"-"&amp;E895&amp;"-"&amp;F895&amp;"-Pos1",'Shooter-Squad Assignment'!$Z:$Z,0)),""),"")))</f>
        <v/>
      </c>
      <c r="H895" s="88" t="str">
        <f>IF(ISBLANK(G895),"",IFERROR(INDEX('Tournament List'!$D:$D,MATCH(G895,'Tournament List'!$A:$A,0)),""))</f>
        <v/>
      </c>
      <c r="I895" s="96" t="str">
        <f>IF(F895="Skeet",IFERROR(INDEX('Shooter-Squad Assignment'!$A:$A,MATCH(C895&amp;"-"&amp;E895&amp;"-"&amp;F895&amp;"-Pos2",'Shooter-Squad Assignment'!$K:$K,0)),""),IF(F895="Trap",IFERROR(INDEX('Shooter-Squad Assignment'!$A:$A,MATCH(C895&amp;"-"&amp;E895&amp;"-"&amp;F895&amp;"-Pos2",'Shooter-Squad Assignment'!$W:$W,0)),""),IF(F895="Sporting Clays",IFERROR(INDEX('Shooter-Squad Assignment'!$A:$A,MATCH(C895&amp;"-"&amp;E895&amp;"-"&amp;F895&amp;"-Pos2",'Shooter-Squad Assignment'!$Z:$Z,0)),""),"")))</f>
        <v/>
      </c>
      <c r="J895" s="88" t="str">
        <f>IF(ISBLANK(I895),"",IFERROR(INDEX('Tournament List'!$D:$D,MATCH(I895,'Tournament List'!$A:$A,0)),""))</f>
        <v/>
      </c>
      <c r="K895" s="96" t="str">
        <f>IF(F895="Skeet",IFERROR(INDEX('Shooter-Squad Assignment'!$A:$A,MATCH(C895&amp;"-"&amp;E895&amp;"-"&amp;F895&amp;"-Pos3",'Shooter-Squad Assignment'!$K:$K,0)),""),IF(F895="Trap",IFERROR(INDEX('Shooter-Squad Assignment'!$A:$A,MATCH(C895&amp;"-"&amp;E895&amp;"-"&amp;F895&amp;"-Pos3",'Shooter-Squad Assignment'!$W:$W,0)),""),IF(F895="Sporting Clays",IFERROR(INDEX('Shooter-Squad Assignment'!$A:$A,MATCH(C895&amp;"-"&amp;E895&amp;"-"&amp;F895&amp;"-Pos3",'Shooter-Squad Assignment'!$Z:$Z,0)),""),"")))</f>
        <v/>
      </c>
      <c r="L895" s="88" t="str">
        <f>IF(ISBLANK(K895),"",IFERROR(INDEX('Tournament List'!$D:$D,MATCH(K895,'Tournament List'!$A:$A,0)),""))</f>
        <v/>
      </c>
      <c r="M895" s="96" t="str">
        <f>IF(F895="Skeet",IFERROR(INDEX('Shooter-Squad Assignment'!$A:$A,MATCH(C895&amp;"-"&amp;E895&amp;"-"&amp;F895&amp;"-Pos4",'Shooter-Squad Assignment'!$K:$K,0)),""),IF(F895="Trap",IFERROR(INDEX('Shooter-Squad Assignment'!$A:$A,MATCH(C895&amp;"-"&amp;E895&amp;"-"&amp;F895&amp;"-Pos4",'Shooter-Squad Assignment'!$W:$W,0)),""),IF(F895="Sporting Clays",IFERROR(INDEX('Shooter-Squad Assignment'!$A:$A,MATCH(C895&amp;"-"&amp;E895&amp;"-"&amp;F895&amp;"-Pos4",'Shooter-Squad Assignment'!$Z:$Z,0)),""),"")))</f>
        <v/>
      </c>
      <c r="N895" s="88" t="str">
        <f>IF(ISBLANK(M895),"",IFERROR(INDEX('Tournament List'!$D:$D,MATCH(M895,'Tournament List'!$A:$A,0)),""))</f>
        <v/>
      </c>
      <c r="O895" s="96" t="str">
        <f>IF(F895="Skeet",IFERROR(INDEX('Shooter-Squad Assignment'!$A:$A,MATCH(C895&amp;"-"&amp;E895&amp;"-"&amp;F895&amp;"-Pos5",'Shooter-Squad Assignment'!$K:$K,0)),""),IF(F895="Trap",IFERROR(INDEX('Shooter-Squad Assignment'!$A:$A,MATCH(C895&amp;"-"&amp;E895&amp;"-"&amp;F895&amp;"-Pos5",'Shooter-Squad Assignment'!$W:$W,0)),""),IF(F895="Sporting Clays",IFERROR(INDEX('Shooter-Squad Assignment'!$A:$A,MATCH(C895&amp;"-"&amp;E895&amp;"-"&amp;F895&amp;"-Pos5",'Shooter-Squad Assignment'!$Z:$Z,0)),""),"")))</f>
        <v/>
      </c>
      <c r="P895" s="89" t="str">
        <f>IF(ISBLANK(O895),"",IFERROR(INDEX('Tournament List'!$D:$D,MATCH(O895,'Tournament List'!$A:$A,0)),""))</f>
        <v/>
      </c>
    </row>
    <row r="896" spans="1:16" x14ac:dyDescent="0.3">
      <c r="A896" s="87">
        <v>895</v>
      </c>
      <c r="B896" s="88" t="str">
        <f>C896&amp;"-"&amp;E896&amp;"-"&amp;F896</f>
        <v>-Collegiate 2-Trap</v>
      </c>
      <c r="C896" s="88"/>
      <c r="D896" s="88" t="str">
        <f>INDEX('Tournament Setup'!$B$59:$B$78,MATCH(E896,SquadConcurrents,0))</f>
        <v>Collegiate</v>
      </c>
      <c r="E896" s="88" t="s">
        <v>348</v>
      </c>
      <c r="F896" s="88" t="s">
        <v>147</v>
      </c>
      <c r="G896" s="96" t="str">
        <f>IF(F896="Skeet",IFERROR(INDEX('Shooter-Squad Assignment'!$A:$A,MATCH(C896&amp;"-"&amp;E896&amp;"-"&amp;F896&amp;"-Pos1",'Shooter-Squad Assignment'!$K:$K,0)),""),IF(F896="Trap",IFERROR(INDEX('Shooter-Squad Assignment'!$A:$A,MATCH(C896&amp;"-"&amp;E896&amp;"-"&amp;F896&amp;"-Pos1",'Shooter-Squad Assignment'!$W:$W,0)),""),IF(F896="Sporting Clays",IFERROR(INDEX('Shooter-Squad Assignment'!$A:$A,MATCH(C896&amp;"-"&amp;E896&amp;"-"&amp;F896&amp;"-Pos1",'Shooter-Squad Assignment'!$Z:$Z,0)),""),"")))</f>
        <v/>
      </c>
      <c r="H896" s="88" t="str">
        <f>IF(ISBLANK(G896),"",IFERROR(INDEX('Tournament List'!$D:$D,MATCH(G896,'Tournament List'!$A:$A,0)),""))</f>
        <v/>
      </c>
      <c r="I896" s="96" t="str">
        <f>IF(F896="Skeet",IFERROR(INDEX('Shooter-Squad Assignment'!$A:$A,MATCH(C896&amp;"-"&amp;E896&amp;"-"&amp;F896&amp;"-Pos2",'Shooter-Squad Assignment'!$K:$K,0)),""),IF(F896="Trap",IFERROR(INDEX('Shooter-Squad Assignment'!$A:$A,MATCH(C896&amp;"-"&amp;E896&amp;"-"&amp;F896&amp;"-Pos2",'Shooter-Squad Assignment'!$W:$W,0)),""),IF(F896="Sporting Clays",IFERROR(INDEX('Shooter-Squad Assignment'!$A:$A,MATCH(C896&amp;"-"&amp;E896&amp;"-"&amp;F896&amp;"-Pos2",'Shooter-Squad Assignment'!$Z:$Z,0)),""),"")))</f>
        <v/>
      </c>
      <c r="J896" s="88" t="str">
        <f>IF(ISBLANK(I896),"",IFERROR(INDEX('Tournament List'!$D:$D,MATCH(I896,'Tournament List'!$A:$A,0)),""))</f>
        <v/>
      </c>
      <c r="K896" s="96" t="str">
        <f>IF(F896="Skeet",IFERROR(INDEX('Shooter-Squad Assignment'!$A:$A,MATCH(C896&amp;"-"&amp;E896&amp;"-"&amp;F896&amp;"-Pos3",'Shooter-Squad Assignment'!$K:$K,0)),""),IF(F896="Trap",IFERROR(INDEX('Shooter-Squad Assignment'!$A:$A,MATCH(C896&amp;"-"&amp;E896&amp;"-"&amp;F896&amp;"-Pos3",'Shooter-Squad Assignment'!$W:$W,0)),""),IF(F896="Sporting Clays",IFERROR(INDEX('Shooter-Squad Assignment'!$A:$A,MATCH(C896&amp;"-"&amp;E896&amp;"-"&amp;F896&amp;"-Pos3",'Shooter-Squad Assignment'!$Z:$Z,0)),""),"")))</f>
        <v/>
      </c>
      <c r="L896" s="88" t="str">
        <f>IF(ISBLANK(K896),"",IFERROR(INDEX('Tournament List'!$D:$D,MATCH(K896,'Tournament List'!$A:$A,0)),""))</f>
        <v/>
      </c>
      <c r="M896" s="96" t="str">
        <f>IF(F896="Skeet",IFERROR(INDEX('Shooter-Squad Assignment'!$A:$A,MATCH(C896&amp;"-"&amp;E896&amp;"-"&amp;F896&amp;"-Pos4",'Shooter-Squad Assignment'!$K:$K,0)),""),IF(F896="Trap",IFERROR(INDEX('Shooter-Squad Assignment'!$A:$A,MATCH(C896&amp;"-"&amp;E896&amp;"-"&amp;F896&amp;"-Pos4",'Shooter-Squad Assignment'!$W:$W,0)),""),IF(F896="Sporting Clays",IFERROR(INDEX('Shooter-Squad Assignment'!$A:$A,MATCH(C896&amp;"-"&amp;E896&amp;"-"&amp;F896&amp;"-Pos4",'Shooter-Squad Assignment'!$Z:$Z,0)),""),"")))</f>
        <v/>
      </c>
      <c r="N896" s="88" t="str">
        <f>IF(ISBLANK(M896),"",IFERROR(INDEX('Tournament List'!$D:$D,MATCH(M896,'Tournament List'!$A:$A,0)),""))</f>
        <v/>
      </c>
      <c r="O896" s="96" t="str">
        <f>IF(F896="Skeet",IFERROR(INDEX('Shooter-Squad Assignment'!$A:$A,MATCH(C896&amp;"-"&amp;E896&amp;"-"&amp;F896&amp;"-Pos5",'Shooter-Squad Assignment'!$K:$K,0)),""),IF(F896="Trap",IFERROR(INDEX('Shooter-Squad Assignment'!$A:$A,MATCH(C896&amp;"-"&amp;E896&amp;"-"&amp;F896&amp;"-Pos5",'Shooter-Squad Assignment'!$W:$W,0)),""),IF(F896="Sporting Clays",IFERROR(INDEX('Shooter-Squad Assignment'!$A:$A,MATCH(C896&amp;"-"&amp;E896&amp;"-"&amp;F896&amp;"-Pos5",'Shooter-Squad Assignment'!$Z:$Z,0)),""),"")))</f>
        <v/>
      </c>
      <c r="P896" s="89" t="str">
        <f>IF(ISBLANK(O896),"",IFERROR(INDEX('Tournament List'!$D:$D,MATCH(O896,'Tournament List'!$A:$A,0)),""))</f>
        <v/>
      </c>
    </row>
    <row r="897" spans="1:16" x14ac:dyDescent="0.3">
      <c r="A897" s="87">
        <v>896</v>
      </c>
      <c r="B897" s="88" t="str">
        <f>C897&amp;"-"&amp;E897&amp;"-"&amp;F897</f>
        <v>-Collegiate 3-Trap</v>
      </c>
      <c r="C897" s="88"/>
      <c r="D897" s="88" t="str">
        <f>INDEX('Tournament Setup'!$B$59:$B$78,MATCH(E897,SquadConcurrents,0))</f>
        <v>Collegiate</v>
      </c>
      <c r="E897" s="88" t="s">
        <v>354</v>
      </c>
      <c r="F897" s="88" t="s">
        <v>147</v>
      </c>
      <c r="G897" s="96" t="str">
        <f>IF(F897="Skeet",IFERROR(INDEX('Shooter-Squad Assignment'!$A:$A,MATCH(C897&amp;"-"&amp;E897&amp;"-"&amp;F897&amp;"-Pos1",'Shooter-Squad Assignment'!$K:$K,0)),""),IF(F897="Trap",IFERROR(INDEX('Shooter-Squad Assignment'!$A:$A,MATCH(C897&amp;"-"&amp;E897&amp;"-"&amp;F897&amp;"-Pos1",'Shooter-Squad Assignment'!$W:$W,0)),""),IF(F897="Sporting Clays",IFERROR(INDEX('Shooter-Squad Assignment'!$A:$A,MATCH(C897&amp;"-"&amp;E897&amp;"-"&amp;F897&amp;"-Pos1",'Shooter-Squad Assignment'!$Z:$Z,0)),""),"")))</f>
        <v/>
      </c>
      <c r="H897" s="88" t="str">
        <f>IF(ISBLANK(G897),"",IFERROR(INDEX('Tournament List'!$D:$D,MATCH(G897,'Tournament List'!$A:$A,0)),""))</f>
        <v/>
      </c>
      <c r="I897" s="96" t="str">
        <f>IF(F897="Skeet",IFERROR(INDEX('Shooter-Squad Assignment'!$A:$A,MATCH(C897&amp;"-"&amp;E897&amp;"-"&amp;F897&amp;"-Pos2",'Shooter-Squad Assignment'!$K:$K,0)),""),IF(F897="Trap",IFERROR(INDEX('Shooter-Squad Assignment'!$A:$A,MATCH(C897&amp;"-"&amp;E897&amp;"-"&amp;F897&amp;"-Pos2",'Shooter-Squad Assignment'!$W:$W,0)),""),IF(F897="Sporting Clays",IFERROR(INDEX('Shooter-Squad Assignment'!$A:$A,MATCH(C897&amp;"-"&amp;E897&amp;"-"&amp;F897&amp;"-Pos2",'Shooter-Squad Assignment'!$Z:$Z,0)),""),"")))</f>
        <v/>
      </c>
      <c r="J897" s="88" t="str">
        <f>IF(ISBLANK(I897),"",IFERROR(INDEX('Tournament List'!$D:$D,MATCH(I897,'Tournament List'!$A:$A,0)),""))</f>
        <v/>
      </c>
      <c r="K897" s="96" t="str">
        <f>IF(F897="Skeet",IFERROR(INDEX('Shooter-Squad Assignment'!$A:$A,MATCH(C897&amp;"-"&amp;E897&amp;"-"&amp;F897&amp;"-Pos3",'Shooter-Squad Assignment'!$K:$K,0)),""),IF(F897="Trap",IFERROR(INDEX('Shooter-Squad Assignment'!$A:$A,MATCH(C897&amp;"-"&amp;E897&amp;"-"&amp;F897&amp;"-Pos3",'Shooter-Squad Assignment'!$W:$W,0)),""),IF(F897="Sporting Clays",IFERROR(INDEX('Shooter-Squad Assignment'!$A:$A,MATCH(C897&amp;"-"&amp;E897&amp;"-"&amp;F897&amp;"-Pos3",'Shooter-Squad Assignment'!$Z:$Z,0)),""),"")))</f>
        <v/>
      </c>
      <c r="L897" s="88" t="str">
        <f>IF(ISBLANK(K897),"",IFERROR(INDEX('Tournament List'!$D:$D,MATCH(K897,'Tournament List'!$A:$A,0)),""))</f>
        <v/>
      </c>
      <c r="M897" s="96" t="str">
        <f>IF(F897="Skeet",IFERROR(INDEX('Shooter-Squad Assignment'!$A:$A,MATCH(C897&amp;"-"&amp;E897&amp;"-"&amp;F897&amp;"-Pos4",'Shooter-Squad Assignment'!$K:$K,0)),""),IF(F897="Trap",IFERROR(INDEX('Shooter-Squad Assignment'!$A:$A,MATCH(C897&amp;"-"&amp;E897&amp;"-"&amp;F897&amp;"-Pos4",'Shooter-Squad Assignment'!$W:$W,0)),""),IF(F897="Sporting Clays",IFERROR(INDEX('Shooter-Squad Assignment'!$A:$A,MATCH(C897&amp;"-"&amp;E897&amp;"-"&amp;F897&amp;"-Pos4",'Shooter-Squad Assignment'!$Z:$Z,0)),""),"")))</f>
        <v/>
      </c>
      <c r="N897" s="88" t="str">
        <f>IF(ISBLANK(M897),"",IFERROR(INDEX('Tournament List'!$D:$D,MATCH(M897,'Tournament List'!$A:$A,0)),""))</f>
        <v/>
      </c>
      <c r="O897" s="96" t="str">
        <f>IF(F897="Skeet",IFERROR(INDEX('Shooter-Squad Assignment'!$A:$A,MATCH(C897&amp;"-"&amp;E897&amp;"-"&amp;F897&amp;"-Pos5",'Shooter-Squad Assignment'!$K:$K,0)),""),IF(F897="Trap",IFERROR(INDEX('Shooter-Squad Assignment'!$A:$A,MATCH(C897&amp;"-"&amp;E897&amp;"-"&amp;F897&amp;"-Pos5",'Shooter-Squad Assignment'!$W:$W,0)),""),IF(F897="Sporting Clays",IFERROR(INDEX('Shooter-Squad Assignment'!$A:$A,MATCH(C897&amp;"-"&amp;E897&amp;"-"&amp;F897&amp;"-Pos5",'Shooter-Squad Assignment'!$Z:$Z,0)),""),"")))</f>
        <v/>
      </c>
      <c r="P897" s="89" t="str">
        <f>IF(ISBLANK(O897),"",IFERROR(INDEX('Tournament List'!$D:$D,MATCH(O897,'Tournament List'!$A:$A,0)),""))</f>
        <v/>
      </c>
    </row>
    <row r="898" spans="1:16" x14ac:dyDescent="0.3">
      <c r="A898" s="87">
        <v>897</v>
      </c>
      <c r="B898" s="88" t="str">
        <f>C898&amp;"-"&amp;E898&amp;"-"&amp;F898</f>
        <v>-Intermediate 1-Trap</v>
      </c>
      <c r="C898" s="88"/>
      <c r="D898" s="88" t="str">
        <f>INDEX('Tournament Setup'!$B$59:$B$78,MATCH(E898,SquadConcurrents,0))</f>
        <v>Intermediate</v>
      </c>
      <c r="E898" s="88" t="s">
        <v>338</v>
      </c>
      <c r="F898" s="88" t="s">
        <v>147</v>
      </c>
      <c r="G898" s="96" t="str">
        <f>IF(F898="Skeet",IFERROR(INDEX('Shooter-Squad Assignment'!$A:$A,MATCH(C898&amp;"-"&amp;E898&amp;"-"&amp;F898&amp;"-Pos1",'Shooter-Squad Assignment'!$K:$K,0)),""),IF(F898="Trap",IFERROR(INDEX('Shooter-Squad Assignment'!$A:$A,MATCH(C898&amp;"-"&amp;E898&amp;"-"&amp;F898&amp;"-Pos1",'Shooter-Squad Assignment'!$W:$W,0)),""),IF(F898="Sporting Clays",IFERROR(INDEX('Shooter-Squad Assignment'!$A:$A,MATCH(C898&amp;"-"&amp;E898&amp;"-"&amp;F898&amp;"-Pos1",'Shooter-Squad Assignment'!$Z:$Z,0)),""),"")))</f>
        <v/>
      </c>
      <c r="H898" s="88" t="str">
        <f>IF(ISBLANK(G898),"",IFERROR(INDEX('Tournament List'!$D:$D,MATCH(G898,'Tournament List'!$A:$A,0)),""))</f>
        <v/>
      </c>
      <c r="I898" s="96" t="str">
        <f>IF(F898="Skeet",IFERROR(INDEX('Shooter-Squad Assignment'!$A:$A,MATCH(C898&amp;"-"&amp;E898&amp;"-"&amp;F898&amp;"-Pos2",'Shooter-Squad Assignment'!$K:$K,0)),""),IF(F898="Trap",IFERROR(INDEX('Shooter-Squad Assignment'!$A:$A,MATCH(C898&amp;"-"&amp;E898&amp;"-"&amp;F898&amp;"-Pos2",'Shooter-Squad Assignment'!$W:$W,0)),""),IF(F898="Sporting Clays",IFERROR(INDEX('Shooter-Squad Assignment'!$A:$A,MATCH(C898&amp;"-"&amp;E898&amp;"-"&amp;F898&amp;"-Pos2",'Shooter-Squad Assignment'!$Z:$Z,0)),""),"")))</f>
        <v/>
      </c>
      <c r="J898" s="88" t="str">
        <f>IF(ISBLANK(I898),"",IFERROR(INDEX('Tournament List'!$D:$D,MATCH(I898,'Tournament List'!$A:$A,0)),""))</f>
        <v/>
      </c>
      <c r="K898" s="96" t="str">
        <f>IF(F898="Skeet",IFERROR(INDEX('Shooter-Squad Assignment'!$A:$A,MATCH(C898&amp;"-"&amp;E898&amp;"-"&amp;F898&amp;"-Pos3",'Shooter-Squad Assignment'!$K:$K,0)),""),IF(F898="Trap",IFERROR(INDEX('Shooter-Squad Assignment'!$A:$A,MATCH(C898&amp;"-"&amp;E898&amp;"-"&amp;F898&amp;"-Pos3",'Shooter-Squad Assignment'!$W:$W,0)),""),IF(F898="Sporting Clays",IFERROR(INDEX('Shooter-Squad Assignment'!$A:$A,MATCH(C898&amp;"-"&amp;E898&amp;"-"&amp;F898&amp;"-Pos3",'Shooter-Squad Assignment'!$Z:$Z,0)),""),"")))</f>
        <v/>
      </c>
      <c r="L898" s="88" t="str">
        <f>IF(ISBLANK(K898),"",IFERROR(INDEX('Tournament List'!$D:$D,MATCH(K898,'Tournament List'!$A:$A,0)),""))</f>
        <v/>
      </c>
      <c r="M898" s="96" t="str">
        <f>IF(F898="Skeet",IFERROR(INDEX('Shooter-Squad Assignment'!$A:$A,MATCH(C898&amp;"-"&amp;E898&amp;"-"&amp;F898&amp;"-Pos4",'Shooter-Squad Assignment'!$K:$K,0)),""),IF(F898="Trap",IFERROR(INDEX('Shooter-Squad Assignment'!$A:$A,MATCH(C898&amp;"-"&amp;E898&amp;"-"&amp;F898&amp;"-Pos4",'Shooter-Squad Assignment'!$W:$W,0)),""),IF(F898="Sporting Clays",IFERROR(INDEX('Shooter-Squad Assignment'!$A:$A,MATCH(C898&amp;"-"&amp;E898&amp;"-"&amp;F898&amp;"-Pos4",'Shooter-Squad Assignment'!$Z:$Z,0)),""),"")))</f>
        <v/>
      </c>
      <c r="N898" s="88" t="str">
        <f>IF(ISBLANK(M898),"",IFERROR(INDEX('Tournament List'!$D:$D,MATCH(M898,'Tournament List'!$A:$A,0)),""))</f>
        <v/>
      </c>
      <c r="O898" s="96" t="str">
        <f>IF(F898="Skeet",IFERROR(INDEX('Shooter-Squad Assignment'!$A:$A,MATCH(C898&amp;"-"&amp;E898&amp;"-"&amp;F898&amp;"-Pos5",'Shooter-Squad Assignment'!$K:$K,0)),""),IF(F898="Trap",IFERROR(INDEX('Shooter-Squad Assignment'!$A:$A,MATCH(C898&amp;"-"&amp;E898&amp;"-"&amp;F898&amp;"-Pos5",'Shooter-Squad Assignment'!$W:$W,0)),""),IF(F898="Sporting Clays",IFERROR(INDEX('Shooter-Squad Assignment'!$A:$A,MATCH(C898&amp;"-"&amp;E898&amp;"-"&amp;F898&amp;"-Pos5",'Shooter-Squad Assignment'!$Z:$Z,0)),""),"")))</f>
        <v/>
      </c>
      <c r="P898" s="89" t="str">
        <f>IF(ISBLANK(O898),"",IFERROR(INDEX('Tournament List'!$D:$D,MATCH(O898,'Tournament List'!$A:$A,0)),""))</f>
        <v/>
      </c>
    </row>
    <row r="899" spans="1:16" x14ac:dyDescent="0.3">
      <c r="A899" s="87">
        <v>898</v>
      </c>
      <c r="B899" s="88" t="str">
        <f>C899&amp;"-"&amp;E899&amp;"-"&amp;F899</f>
        <v>-Intermediate 2-Trap</v>
      </c>
      <c r="C899" s="88"/>
      <c r="D899" s="88" t="str">
        <f>INDEX('Tournament Setup'!$B$59:$B$78,MATCH(E899,SquadConcurrents,0))</f>
        <v>Intermediate</v>
      </c>
      <c r="E899" s="88" t="s">
        <v>344</v>
      </c>
      <c r="F899" s="88" t="s">
        <v>147</v>
      </c>
      <c r="G899" s="96" t="str">
        <f>IF(F899="Skeet",IFERROR(INDEX('Shooter-Squad Assignment'!$A:$A,MATCH(C899&amp;"-"&amp;E899&amp;"-"&amp;F899&amp;"-Pos1",'Shooter-Squad Assignment'!$K:$K,0)),""),IF(F899="Trap",IFERROR(INDEX('Shooter-Squad Assignment'!$A:$A,MATCH(C899&amp;"-"&amp;E899&amp;"-"&amp;F899&amp;"-Pos1",'Shooter-Squad Assignment'!$W:$W,0)),""),IF(F899="Sporting Clays",IFERROR(INDEX('Shooter-Squad Assignment'!$A:$A,MATCH(C899&amp;"-"&amp;E899&amp;"-"&amp;F899&amp;"-Pos1",'Shooter-Squad Assignment'!$Z:$Z,0)),""),"")))</f>
        <v/>
      </c>
      <c r="H899" s="88" t="str">
        <f>IF(ISBLANK(G899),"",IFERROR(INDEX('Tournament List'!$D:$D,MATCH(G899,'Tournament List'!$A:$A,0)),""))</f>
        <v/>
      </c>
      <c r="I899" s="96" t="str">
        <f>IF(F899="Skeet",IFERROR(INDEX('Shooter-Squad Assignment'!$A:$A,MATCH(C899&amp;"-"&amp;E899&amp;"-"&amp;F899&amp;"-Pos2",'Shooter-Squad Assignment'!$K:$K,0)),""),IF(F899="Trap",IFERROR(INDEX('Shooter-Squad Assignment'!$A:$A,MATCH(C899&amp;"-"&amp;E899&amp;"-"&amp;F899&amp;"-Pos2",'Shooter-Squad Assignment'!$W:$W,0)),""),IF(F899="Sporting Clays",IFERROR(INDEX('Shooter-Squad Assignment'!$A:$A,MATCH(C899&amp;"-"&amp;E899&amp;"-"&amp;F899&amp;"-Pos2",'Shooter-Squad Assignment'!$Z:$Z,0)),""),"")))</f>
        <v/>
      </c>
      <c r="J899" s="88" t="str">
        <f>IF(ISBLANK(I899),"",IFERROR(INDEX('Tournament List'!$D:$D,MATCH(I899,'Tournament List'!$A:$A,0)),""))</f>
        <v/>
      </c>
      <c r="K899" s="96" t="str">
        <f>IF(F899="Skeet",IFERROR(INDEX('Shooter-Squad Assignment'!$A:$A,MATCH(C899&amp;"-"&amp;E899&amp;"-"&amp;F899&amp;"-Pos3",'Shooter-Squad Assignment'!$K:$K,0)),""),IF(F899="Trap",IFERROR(INDEX('Shooter-Squad Assignment'!$A:$A,MATCH(C899&amp;"-"&amp;E899&amp;"-"&amp;F899&amp;"-Pos3",'Shooter-Squad Assignment'!$W:$W,0)),""),IF(F899="Sporting Clays",IFERROR(INDEX('Shooter-Squad Assignment'!$A:$A,MATCH(C899&amp;"-"&amp;E899&amp;"-"&amp;F899&amp;"-Pos3",'Shooter-Squad Assignment'!$Z:$Z,0)),""),"")))</f>
        <v/>
      </c>
      <c r="L899" s="88" t="str">
        <f>IF(ISBLANK(K899),"",IFERROR(INDEX('Tournament List'!$D:$D,MATCH(K899,'Tournament List'!$A:$A,0)),""))</f>
        <v/>
      </c>
      <c r="M899" s="96" t="str">
        <f>IF(F899="Skeet",IFERROR(INDEX('Shooter-Squad Assignment'!$A:$A,MATCH(C899&amp;"-"&amp;E899&amp;"-"&amp;F899&amp;"-Pos4",'Shooter-Squad Assignment'!$K:$K,0)),""),IF(F899="Trap",IFERROR(INDEX('Shooter-Squad Assignment'!$A:$A,MATCH(C899&amp;"-"&amp;E899&amp;"-"&amp;F899&amp;"-Pos4",'Shooter-Squad Assignment'!$W:$W,0)),""),IF(F899="Sporting Clays",IFERROR(INDEX('Shooter-Squad Assignment'!$A:$A,MATCH(C899&amp;"-"&amp;E899&amp;"-"&amp;F899&amp;"-Pos4",'Shooter-Squad Assignment'!$Z:$Z,0)),""),"")))</f>
        <v/>
      </c>
      <c r="N899" s="88" t="str">
        <f>IF(ISBLANK(M899),"",IFERROR(INDEX('Tournament List'!$D:$D,MATCH(M899,'Tournament List'!$A:$A,0)),""))</f>
        <v/>
      </c>
      <c r="O899" s="96" t="str">
        <f>IF(F899="Skeet",IFERROR(INDEX('Shooter-Squad Assignment'!$A:$A,MATCH(C899&amp;"-"&amp;E899&amp;"-"&amp;F899&amp;"-Pos5",'Shooter-Squad Assignment'!$K:$K,0)),""),IF(F899="Trap",IFERROR(INDEX('Shooter-Squad Assignment'!$A:$A,MATCH(C899&amp;"-"&amp;E899&amp;"-"&amp;F899&amp;"-Pos5",'Shooter-Squad Assignment'!$W:$W,0)),""),IF(F899="Sporting Clays",IFERROR(INDEX('Shooter-Squad Assignment'!$A:$A,MATCH(C899&amp;"-"&amp;E899&amp;"-"&amp;F899&amp;"-Pos5",'Shooter-Squad Assignment'!$Z:$Z,0)),""),"")))</f>
        <v/>
      </c>
      <c r="P899" s="89" t="str">
        <f>IF(ISBLANK(O899),"",IFERROR(INDEX('Tournament List'!$D:$D,MATCH(O899,'Tournament List'!$A:$A,0)),""))</f>
        <v/>
      </c>
    </row>
    <row r="900" spans="1:16" x14ac:dyDescent="0.3">
      <c r="A900" s="87">
        <v>899</v>
      </c>
      <c r="B900" s="88" t="str">
        <f>C900&amp;"-"&amp;E900&amp;"-"&amp;F900</f>
        <v>-Intermediate 3-Trap</v>
      </c>
      <c r="C900" s="88"/>
      <c r="D900" s="88" t="str">
        <f>INDEX('Tournament Setup'!$B$59:$B$78,MATCH(E900,SquadConcurrents,0))</f>
        <v>Intermediate</v>
      </c>
      <c r="E900" s="88" t="s">
        <v>350</v>
      </c>
      <c r="F900" s="88" t="s">
        <v>147</v>
      </c>
      <c r="G900" s="96" t="str">
        <f>IF(F900="Skeet",IFERROR(INDEX('Shooter-Squad Assignment'!$A:$A,MATCH(C900&amp;"-"&amp;E900&amp;"-"&amp;F900&amp;"-Pos1",'Shooter-Squad Assignment'!$K:$K,0)),""),IF(F900="Trap",IFERROR(INDEX('Shooter-Squad Assignment'!$A:$A,MATCH(C900&amp;"-"&amp;E900&amp;"-"&amp;F900&amp;"-Pos1",'Shooter-Squad Assignment'!$W:$W,0)),""),IF(F900="Sporting Clays",IFERROR(INDEX('Shooter-Squad Assignment'!$A:$A,MATCH(C900&amp;"-"&amp;E900&amp;"-"&amp;F900&amp;"-Pos1",'Shooter-Squad Assignment'!$Z:$Z,0)),""),"")))</f>
        <v/>
      </c>
      <c r="H900" s="88" t="str">
        <f>IF(ISBLANK(G900),"",IFERROR(INDEX('Tournament List'!$D:$D,MATCH(G900,'Tournament List'!$A:$A,0)),""))</f>
        <v/>
      </c>
      <c r="I900" s="96" t="str">
        <f>IF(F900="Skeet",IFERROR(INDEX('Shooter-Squad Assignment'!$A:$A,MATCH(C900&amp;"-"&amp;E900&amp;"-"&amp;F900&amp;"-Pos2",'Shooter-Squad Assignment'!$K:$K,0)),""),IF(F900="Trap",IFERROR(INDEX('Shooter-Squad Assignment'!$A:$A,MATCH(C900&amp;"-"&amp;E900&amp;"-"&amp;F900&amp;"-Pos2",'Shooter-Squad Assignment'!$W:$W,0)),""),IF(F900="Sporting Clays",IFERROR(INDEX('Shooter-Squad Assignment'!$A:$A,MATCH(C900&amp;"-"&amp;E900&amp;"-"&amp;F900&amp;"-Pos2",'Shooter-Squad Assignment'!$Z:$Z,0)),""),"")))</f>
        <v/>
      </c>
      <c r="J900" s="88" t="str">
        <f>IF(ISBLANK(I900),"",IFERROR(INDEX('Tournament List'!$D:$D,MATCH(I900,'Tournament List'!$A:$A,0)),""))</f>
        <v/>
      </c>
      <c r="K900" s="96" t="str">
        <f>IF(F900="Skeet",IFERROR(INDEX('Shooter-Squad Assignment'!$A:$A,MATCH(C900&amp;"-"&amp;E900&amp;"-"&amp;F900&amp;"-Pos3",'Shooter-Squad Assignment'!$K:$K,0)),""),IF(F900="Trap",IFERROR(INDEX('Shooter-Squad Assignment'!$A:$A,MATCH(C900&amp;"-"&amp;E900&amp;"-"&amp;F900&amp;"-Pos3",'Shooter-Squad Assignment'!$W:$W,0)),""),IF(F900="Sporting Clays",IFERROR(INDEX('Shooter-Squad Assignment'!$A:$A,MATCH(C900&amp;"-"&amp;E900&amp;"-"&amp;F900&amp;"-Pos3",'Shooter-Squad Assignment'!$Z:$Z,0)),""),"")))</f>
        <v/>
      </c>
      <c r="L900" s="88" t="str">
        <f>IF(ISBLANK(K900),"",IFERROR(INDEX('Tournament List'!$D:$D,MATCH(K900,'Tournament List'!$A:$A,0)),""))</f>
        <v/>
      </c>
      <c r="M900" s="96" t="str">
        <f>IF(F900="Skeet",IFERROR(INDEX('Shooter-Squad Assignment'!$A:$A,MATCH(C900&amp;"-"&amp;E900&amp;"-"&amp;F900&amp;"-Pos4",'Shooter-Squad Assignment'!$K:$K,0)),""),IF(F900="Trap",IFERROR(INDEX('Shooter-Squad Assignment'!$A:$A,MATCH(C900&amp;"-"&amp;E900&amp;"-"&amp;F900&amp;"-Pos4",'Shooter-Squad Assignment'!$W:$W,0)),""),IF(F900="Sporting Clays",IFERROR(INDEX('Shooter-Squad Assignment'!$A:$A,MATCH(C900&amp;"-"&amp;E900&amp;"-"&amp;F900&amp;"-Pos4",'Shooter-Squad Assignment'!$Z:$Z,0)),""),"")))</f>
        <v/>
      </c>
      <c r="N900" s="88" t="str">
        <f>IF(ISBLANK(M900),"",IFERROR(INDEX('Tournament List'!$D:$D,MATCH(M900,'Tournament List'!$A:$A,0)),""))</f>
        <v/>
      </c>
      <c r="O900" s="96" t="str">
        <f>IF(F900="Skeet",IFERROR(INDEX('Shooter-Squad Assignment'!$A:$A,MATCH(C900&amp;"-"&amp;E900&amp;"-"&amp;F900&amp;"-Pos5",'Shooter-Squad Assignment'!$K:$K,0)),""),IF(F900="Trap",IFERROR(INDEX('Shooter-Squad Assignment'!$A:$A,MATCH(C900&amp;"-"&amp;E900&amp;"-"&amp;F900&amp;"-Pos5",'Shooter-Squad Assignment'!$W:$W,0)),""),IF(F900="Sporting Clays",IFERROR(INDEX('Shooter-Squad Assignment'!$A:$A,MATCH(C900&amp;"-"&amp;E900&amp;"-"&amp;F900&amp;"-Pos5",'Shooter-Squad Assignment'!$Z:$Z,0)),""),"")))</f>
        <v/>
      </c>
      <c r="P900" s="89" t="str">
        <f>IF(ISBLANK(O900),"",IFERROR(INDEX('Tournament List'!$D:$D,MATCH(O900,'Tournament List'!$A:$A,0)),""))</f>
        <v/>
      </c>
    </row>
    <row r="901" spans="1:16" x14ac:dyDescent="0.3">
      <c r="A901" s="87">
        <v>900</v>
      </c>
      <c r="B901" s="88" t="str">
        <f>C901&amp;"-"&amp;E901&amp;"-"&amp;F901</f>
        <v>-Junior Varsity 1-Trap</v>
      </c>
      <c r="C901" s="88"/>
      <c r="D901" s="88" t="str">
        <f>INDEX('Tournament Setup'!$B$59:$B$78,MATCH(E901,SquadConcurrents,0))</f>
        <v>Junior Varsity</v>
      </c>
      <c r="E901" s="88" t="s">
        <v>339</v>
      </c>
      <c r="F901" s="88" t="s">
        <v>147</v>
      </c>
      <c r="G901" s="96" t="str">
        <f>IF(F901="Skeet",IFERROR(INDEX('Shooter-Squad Assignment'!$A:$A,MATCH(C901&amp;"-"&amp;E901&amp;"-"&amp;F901&amp;"-Pos1",'Shooter-Squad Assignment'!$K:$K,0)),""),IF(F901="Trap",IFERROR(INDEX('Shooter-Squad Assignment'!$A:$A,MATCH(C901&amp;"-"&amp;E901&amp;"-"&amp;F901&amp;"-Pos1",'Shooter-Squad Assignment'!$W:$W,0)),""),IF(F901="Sporting Clays",IFERROR(INDEX('Shooter-Squad Assignment'!$A:$A,MATCH(C901&amp;"-"&amp;E901&amp;"-"&amp;F901&amp;"-Pos1",'Shooter-Squad Assignment'!$Z:$Z,0)),""),"")))</f>
        <v/>
      </c>
      <c r="H901" s="88" t="str">
        <f>IF(ISBLANK(G901),"",IFERROR(INDEX('Tournament List'!$D:$D,MATCH(G901,'Tournament List'!$A:$A,0)),""))</f>
        <v/>
      </c>
      <c r="I901" s="96" t="str">
        <f>IF(F901="Skeet",IFERROR(INDEX('Shooter-Squad Assignment'!$A:$A,MATCH(C901&amp;"-"&amp;E901&amp;"-"&amp;F901&amp;"-Pos2",'Shooter-Squad Assignment'!$K:$K,0)),""),IF(F901="Trap",IFERROR(INDEX('Shooter-Squad Assignment'!$A:$A,MATCH(C901&amp;"-"&amp;E901&amp;"-"&amp;F901&amp;"-Pos2",'Shooter-Squad Assignment'!$W:$W,0)),""),IF(F901="Sporting Clays",IFERROR(INDEX('Shooter-Squad Assignment'!$A:$A,MATCH(C901&amp;"-"&amp;E901&amp;"-"&amp;F901&amp;"-Pos2",'Shooter-Squad Assignment'!$Z:$Z,0)),""),"")))</f>
        <v/>
      </c>
      <c r="J901" s="88" t="str">
        <f>IF(ISBLANK(I901),"",IFERROR(INDEX('Tournament List'!$D:$D,MATCH(I901,'Tournament List'!$A:$A,0)),""))</f>
        <v/>
      </c>
      <c r="K901" s="96" t="str">
        <f>IF(F901="Skeet",IFERROR(INDEX('Shooter-Squad Assignment'!$A:$A,MATCH(C901&amp;"-"&amp;E901&amp;"-"&amp;F901&amp;"-Pos3",'Shooter-Squad Assignment'!$K:$K,0)),""),IF(F901="Trap",IFERROR(INDEX('Shooter-Squad Assignment'!$A:$A,MATCH(C901&amp;"-"&amp;E901&amp;"-"&amp;F901&amp;"-Pos3",'Shooter-Squad Assignment'!$W:$W,0)),""),IF(F901="Sporting Clays",IFERROR(INDEX('Shooter-Squad Assignment'!$A:$A,MATCH(C901&amp;"-"&amp;E901&amp;"-"&amp;F901&amp;"-Pos3",'Shooter-Squad Assignment'!$Z:$Z,0)),""),"")))</f>
        <v/>
      </c>
      <c r="L901" s="88" t="str">
        <f>IF(ISBLANK(K901),"",IFERROR(INDEX('Tournament List'!$D:$D,MATCH(K901,'Tournament List'!$A:$A,0)),""))</f>
        <v/>
      </c>
      <c r="M901" s="96" t="str">
        <f>IF(F901="Skeet",IFERROR(INDEX('Shooter-Squad Assignment'!$A:$A,MATCH(C901&amp;"-"&amp;E901&amp;"-"&amp;F901&amp;"-Pos4",'Shooter-Squad Assignment'!$K:$K,0)),""),IF(F901="Trap",IFERROR(INDEX('Shooter-Squad Assignment'!$A:$A,MATCH(C901&amp;"-"&amp;E901&amp;"-"&amp;F901&amp;"-Pos4",'Shooter-Squad Assignment'!$W:$W,0)),""),IF(F901="Sporting Clays",IFERROR(INDEX('Shooter-Squad Assignment'!$A:$A,MATCH(C901&amp;"-"&amp;E901&amp;"-"&amp;F901&amp;"-Pos4",'Shooter-Squad Assignment'!$Z:$Z,0)),""),"")))</f>
        <v/>
      </c>
      <c r="N901" s="88" t="str">
        <f>IF(ISBLANK(M901),"",IFERROR(INDEX('Tournament List'!$D:$D,MATCH(M901,'Tournament List'!$A:$A,0)),""))</f>
        <v/>
      </c>
      <c r="O901" s="96" t="str">
        <f>IF(F901="Skeet",IFERROR(INDEX('Shooter-Squad Assignment'!$A:$A,MATCH(C901&amp;"-"&amp;E901&amp;"-"&amp;F901&amp;"-Pos5",'Shooter-Squad Assignment'!$K:$K,0)),""),IF(F901="Trap",IFERROR(INDEX('Shooter-Squad Assignment'!$A:$A,MATCH(C901&amp;"-"&amp;E901&amp;"-"&amp;F901&amp;"-Pos5",'Shooter-Squad Assignment'!$W:$W,0)),""),IF(F901="Sporting Clays",IFERROR(INDEX('Shooter-Squad Assignment'!$A:$A,MATCH(C901&amp;"-"&amp;E901&amp;"-"&amp;F901&amp;"-Pos5",'Shooter-Squad Assignment'!$Z:$Z,0)),""),"")))</f>
        <v/>
      </c>
      <c r="P901" s="89" t="str">
        <f>IF(ISBLANK(O901),"",IFERROR(INDEX('Tournament List'!$D:$D,MATCH(O901,'Tournament List'!$A:$A,0)),""))</f>
        <v/>
      </c>
    </row>
    <row r="902" spans="1:16" x14ac:dyDescent="0.3">
      <c r="A902" s="87">
        <v>901</v>
      </c>
      <c r="B902" s="88" t="str">
        <f>C902&amp;"-"&amp;E902&amp;"-"&amp;F902</f>
        <v>-Junior Varsity 2-Trap</v>
      </c>
      <c r="C902" s="88"/>
      <c r="D902" s="88" t="str">
        <f>INDEX('Tournament Setup'!$B$59:$B$78,MATCH(E902,SquadConcurrents,0))</f>
        <v>Junior Varsity</v>
      </c>
      <c r="E902" s="88" t="s">
        <v>345</v>
      </c>
      <c r="F902" s="88" t="s">
        <v>147</v>
      </c>
      <c r="G902" s="96" t="str">
        <f>IF(F902="Skeet",IFERROR(INDEX('Shooter-Squad Assignment'!$A:$A,MATCH(C902&amp;"-"&amp;E902&amp;"-"&amp;F902&amp;"-Pos1",'Shooter-Squad Assignment'!$K:$K,0)),""),IF(F902="Trap",IFERROR(INDEX('Shooter-Squad Assignment'!$A:$A,MATCH(C902&amp;"-"&amp;E902&amp;"-"&amp;F902&amp;"-Pos1",'Shooter-Squad Assignment'!$W:$W,0)),""),IF(F902="Sporting Clays",IFERROR(INDEX('Shooter-Squad Assignment'!$A:$A,MATCH(C902&amp;"-"&amp;E902&amp;"-"&amp;F902&amp;"-Pos1",'Shooter-Squad Assignment'!$Z:$Z,0)),""),"")))</f>
        <v/>
      </c>
      <c r="H902" s="88" t="str">
        <f>IF(ISBLANK(G902),"",IFERROR(INDEX('Tournament List'!$D:$D,MATCH(G902,'Tournament List'!$A:$A,0)),""))</f>
        <v/>
      </c>
      <c r="I902" s="96" t="str">
        <f>IF(F902="Skeet",IFERROR(INDEX('Shooter-Squad Assignment'!$A:$A,MATCH(C902&amp;"-"&amp;E902&amp;"-"&amp;F902&amp;"-Pos2",'Shooter-Squad Assignment'!$K:$K,0)),""),IF(F902="Trap",IFERROR(INDEX('Shooter-Squad Assignment'!$A:$A,MATCH(C902&amp;"-"&amp;E902&amp;"-"&amp;F902&amp;"-Pos2",'Shooter-Squad Assignment'!$W:$W,0)),""),IF(F902="Sporting Clays",IFERROR(INDEX('Shooter-Squad Assignment'!$A:$A,MATCH(C902&amp;"-"&amp;E902&amp;"-"&amp;F902&amp;"-Pos2",'Shooter-Squad Assignment'!$Z:$Z,0)),""),"")))</f>
        <v/>
      </c>
      <c r="J902" s="88" t="str">
        <f>IF(ISBLANK(I902),"",IFERROR(INDEX('Tournament List'!$D:$D,MATCH(I902,'Tournament List'!$A:$A,0)),""))</f>
        <v/>
      </c>
      <c r="K902" s="96" t="str">
        <f>IF(F902="Skeet",IFERROR(INDEX('Shooter-Squad Assignment'!$A:$A,MATCH(C902&amp;"-"&amp;E902&amp;"-"&amp;F902&amp;"-Pos3",'Shooter-Squad Assignment'!$K:$K,0)),""),IF(F902="Trap",IFERROR(INDEX('Shooter-Squad Assignment'!$A:$A,MATCH(C902&amp;"-"&amp;E902&amp;"-"&amp;F902&amp;"-Pos3",'Shooter-Squad Assignment'!$W:$W,0)),""),IF(F902="Sporting Clays",IFERROR(INDEX('Shooter-Squad Assignment'!$A:$A,MATCH(C902&amp;"-"&amp;E902&amp;"-"&amp;F902&amp;"-Pos3",'Shooter-Squad Assignment'!$Z:$Z,0)),""),"")))</f>
        <v/>
      </c>
      <c r="L902" s="88" t="str">
        <f>IF(ISBLANK(K902),"",IFERROR(INDEX('Tournament List'!$D:$D,MATCH(K902,'Tournament List'!$A:$A,0)),""))</f>
        <v/>
      </c>
      <c r="M902" s="96" t="str">
        <f>IF(F902="Skeet",IFERROR(INDEX('Shooter-Squad Assignment'!$A:$A,MATCH(C902&amp;"-"&amp;E902&amp;"-"&amp;F902&amp;"-Pos4",'Shooter-Squad Assignment'!$K:$K,0)),""),IF(F902="Trap",IFERROR(INDEX('Shooter-Squad Assignment'!$A:$A,MATCH(C902&amp;"-"&amp;E902&amp;"-"&amp;F902&amp;"-Pos4",'Shooter-Squad Assignment'!$W:$W,0)),""),IF(F902="Sporting Clays",IFERROR(INDEX('Shooter-Squad Assignment'!$A:$A,MATCH(C902&amp;"-"&amp;E902&amp;"-"&amp;F902&amp;"-Pos4",'Shooter-Squad Assignment'!$Z:$Z,0)),""),"")))</f>
        <v/>
      </c>
      <c r="N902" s="88" t="str">
        <f>IF(ISBLANK(M902),"",IFERROR(INDEX('Tournament List'!$D:$D,MATCH(M902,'Tournament List'!$A:$A,0)),""))</f>
        <v/>
      </c>
      <c r="O902" s="96" t="str">
        <f>IF(F902="Skeet",IFERROR(INDEX('Shooter-Squad Assignment'!$A:$A,MATCH(C902&amp;"-"&amp;E902&amp;"-"&amp;F902&amp;"-Pos5",'Shooter-Squad Assignment'!$K:$K,0)),""),IF(F902="Trap",IFERROR(INDEX('Shooter-Squad Assignment'!$A:$A,MATCH(C902&amp;"-"&amp;E902&amp;"-"&amp;F902&amp;"-Pos5",'Shooter-Squad Assignment'!$W:$W,0)),""),IF(F902="Sporting Clays",IFERROR(INDEX('Shooter-Squad Assignment'!$A:$A,MATCH(C902&amp;"-"&amp;E902&amp;"-"&amp;F902&amp;"-Pos5",'Shooter-Squad Assignment'!$Z:$Z,0)),""),"")))</f>
        <v/>
      </c>
      <c r="P902" s="89" t="str">
        <f>IF(ISBLANK(O902),"",IFERROR(INDEX('Tournament List'!$D:$D,MATCH(O902,'Tournament List'!$A:$A,0)),""))</f>
        <v/>
      </c>
    </row>
    <row r="903" spans="1:16" x14ac:dyDescent="0.3">
      <c r="A903" s="87">
        <v>902</v>
      </c>
      <c r="B903" s="88" t="str">
        <f>C903&amp;"-"&amp;E903&amp;"-"&amp;F903</f>
        <v>-Junior Varsity 3-Trap</v>
      </c>
      <c r="C903" s="88"/>
      <c r="D903" s="88" t="str">
        <f>INDEX('Tournament Setup'!$B$59:$B$78,MATCH(E903,SquadConcurrents,0))</f>
        <v>Junior Varsity</v>
      </c>
      <c r="E903" s="88" t="s">
        <v>351</v>
      </c>
      <c r="F903" s="88" t="s">
        <v>147</v>
      </c>
      <c r="G903" s="96" t="str">
        <f>IF(F903="Skeet",IFERROR(INDEX('Shooter-Squad Assignment'!$A:$A,MATCH(C903&amp;"-"&amp;E903&amp;"-"&amp;F903&amp;"-Pos1",'Shooter-Squad Assignment'!$K:$K,0)),""),IF(F903="Trap",IFERROR(INDEX('Shooter-Squad Assignment'!$A:$A,MATCH(C903&amp;"-"&amp;E903&amp;"-"&amp;F903&amp;"-Pos1",'Shooter-Squad Assignment'!$W:$W,0)),""),IF(F903="Sporting Clays",IFERROR(INDEX('Shooter-Squad Assignment'!$A:$A,MATCH(C903&amp;"-"&amp;E903&amp;"-"&amp;F903&amp;"-Pos1",'Shooter-Squad Assignment'!$Z:$Z,0)),""),"")))</f>
        <v/>
      </c>
      <c r="H903" s="88" t="str">
        <f>IF(ISBLANK(G903),"",IFERROR(INDEX('Tournament List'!$D:$D,MATCH(G903,'Tournament List'!$A:$A,0)),""))</f>
        <v/>
      </c>
      <c r="I903" s="96" t="str">
        <f>IF(F903="Skeet",IFERROR(INDEX('Shooter-Squad Assignment'!$A:$A,MATCH(C903&amp;"-"&amp;E903&amp;"-"&amp;F903&amp;"-Pos2",'Shooter-Squad Assignment'!$K:$K,0)),""),IF(F903="Trap",IFERROR(INDEX('Shooter-Squad Assignment'!$A:$A,MATCH(C903&amp;"-"&amp;E903&amp;"-"&amp;F903&amp;"-Pos2",'Shooter-Squad Assignment'!$W:$W,0)),""),IF(F903="Sporting Clays",IFERROR(INDEX('Shooter-Squad Assignment'!$A:$A,MATCH(C903&amp;"-"&amp;E903&amp;"-"&amp;F903&amp;"-Pos2",'Shooter-Squad Assignment'!$Z:$Z,0)),""),"")))</f>
        <v/>
      </c>
      <c r="J903" s="88" t="str">
        <f>IF(ISBLANK(I903),"",IFERROR(INDEX('Tournament List'!$D:$D,MATCH(I903,'Tournament List'!$A:$A,0)),""))</f>
        <v/>
      </c>
      <c r="K903" s="96" t="str">
        <f>IF(F903="Skeet",IFERROR(INDEX('Shooter-Squad Assignment'!$A:$A,MATCH(C903&amp;"-"&amp;E903&amp;"-"&amp;F903&amp;"-Pos3",'Shooter-Squad Assignment'!$K:$K,0)),""),IF(F903="Trap",IFERROR(INDEX('Shooter-Squad Assignment'!$A:$A,MATCH(C903&amp;"-"&amp;E903&amp;"-"&amp;F903&amp;"-Pos3",'Shooter-Squad Assignment'!$W:$W,0)),""),IF(F903="Sporting Clays",IFERROR(INDEX('Shooter-Squad Assignment'!$A:$A,MATCH(C903&amp;"-"&amp;E903&amp;"-"&amp;F903&amp;"-Pos3",'Shooter-Squad Assignment'!$Z:$Z,0)),""),"")))</f>
        <v/>
      </c>
      <c r="L903" s="88" t="str">
        <f>IF(ISBLANK(K903),"",IFERROR(INDEX('Tournament List'!$D:$D,MATCH(K903,'Tournament List'!$A:$A,0)),""))</f>
        <v/>
      </c>
      <c r="M903" s="96" t="str">
        <f>IF(F903="Skeet",IFERROR(INDEX('Shooter-Squad Assignment'!$A:$A,MATCH(C903&amp;"-"&amp;E903&amp;"-"&amp;F903&amp;"-Pos4",'Shooter-Squad Assignment'!$K:$K,0)),""),IF(F903="Trap",IFERROR(INDEX('Shooter-Squad Assignment'!$A:$A,MATCH(C903&amp;"-"&amp;E903&amp;"-"&amp;F903&amp;"-Pos4",'Shooter-Squad Assignment'!$W:$W,0)),""),IF(F903="Sporting Clays",IFERROR(INDEX('Shooter-Squad Assignment'!$A:$A,MATCH(C903&amp;"-"&amp;E903&amp;"-"&amp;F903&amp;"-Pos4",'Shooter-Squad Assignment'!$Z:$Z,0)),""),"")))</f>
        <v/>
      </c>
      <c r="N903" s="88" t="str">
        <f>IF(ISBLANK(M903),"",IFERROR(INDEX('Tournament List'!$D:$D,MATCH(M903,'Tournament List'!$A:$A,0)),""))</f>
        <v/>
      </c>
      <c r="O903" s="96" t="str">
        <f>IF(F903="Skeet",IFERROR(INDEX('Shooter-Squad Assignment'!$A:$A,MATCH(C903&amp;"-"&amp;E903&amp;"-"&amp;F903&amp;"-Pos5",'Shooter-Squad Assignment'!$K:$K,0)),""),IF(F903="Trap",IFERROR(INDEX('Shooter-Squad Assignment'!$A:$A,MATCH(C903&amp;"-"&amp;E903&amp;"-"&amp;F903&amp;"-Pos5",'Shooter-Squad Assignment'!$W:$W,0)),""),IF(F903="Sporting Clays",IFERROR(INDEX('Shooter-Squad Assignment'!$A:$A,MATCH(C903&amp;"-"&amp;E903&amp;"-"&amp;F903&amp;"-Pos5",'Shooter-Squad Assignment'!$Z:$Z,0)),""),"")))</f>
        <v/>
      </c>
      <c r="P903" s="89" t="str">
        <f>IF(ISBLANK(O903),"",IFERROR(INDEX('Tournament List'!$D:$D,MATCH(O903,'Tournament List'!$A:$A,0)),""))</f>
        <v/>
      </c>
    </row>
    <row r="904" spans="1:16" x14ac:dyDescent="0.3">
      <c r="A904" s="87">
        <v>903</v>
      </c>
      <c r="B904" s="88" t="str">
        <f>C904&amp;"-"&amp;E904&amp;"-"&amp;F904</f>
        <v>-Novice 1-Trap</v>
      </c>
      <c r="C904" s="88"/>
      <c r="D904" s="88" t="str">
        <f>INDEX('Tournament Setup'!$B$59:$B$78,MATCH(E904,SquadConcurrents,0))</f>
        <v>Novice</v>
      </c>
      <c r="E904" s="88" t="s">
        <v>337</v>
      </c>
      <c r="F904" s="88" t="s">
        <v>147</v>
      </c>
      <c r="G904" s="96" t="str">
        <f>IF(F904="Skeet",IFERROR(INDEX('Shooter-Squad Assignment'!$A:$A,MATCH(C904&amp;"-"&amp;E904&amp;"-"&amp;F904&amp;"-Pos1",'Shooter-Squad Assignment'!$K:$K,0)),""),IF(F904="Trap",IFERROR(INDEX('Shooter-Squad Assignment'!$A:$A,MATCH(C904&amp;"-"&amp;E904&amp;"-"&amp;F904&amp;"-Pos1",'Shooter-Squad Assignment'!$W:$W,0)),""),IF(F904="Sporting Clays",IFERROR(INDEX('Shooter-Squad Assignment'!$A:$A,MATCH(C904&amp;"-"&amp;E904&amp;"-"&amp;F904&amp;"-Pos1",'Shooter-Squad Assignment'!$Z:$Z,0)),""),"")))</f>
        <v/>
      </c>
      <c r="H904" s="88" t="str">
        <f>IF(ISBLANK(G904),"",IFERROR(INDEX('Tournament List'!$D:$D,MATCH(G904,'Tournament List'!$A:$A,0)),""))</f>
        <v/>
      </c>
      <c r="I904" s="96" t="str">
        <f>IF(F904="Skeet",IFERROR(INDEX('Shooter-Squad Assignment'!$A:$A,MATCH(C904&amp;"-"&amp;E904&amp;"-"&amp;F904&amp;"-Pos2",'Shooter-Squad Assignment'!$K:$K,0)),""),IF(F904="Trap",IFERROR(INDEX('Shooter-Squad Assignment'!$A:$A,MATCH(C904&amp;"-"&amp;E904&amp;"-"&amp;F904&amp;"-Pos2",'Shooter-Squad Assignment'!$W:$W,0)),""),IF(F904="Sporting Clays",IFERROR(INDEX('Shooter-Squad Assignment'!$A:$A,MATCH(C904&amp;"-"&amp;E904&amp;"-"&amp;F904&amp;"-Pos2",'Shooter-Squad Assignment'!$Z:$Z,0)),""),"")))</f>
        <v/>
      </c>
      <c r="J904" s="88" t="str">
        <f>IF(ISBLANK(I904),"",IFERROR(INDEX('Tournament List'!$D:$D,MATCH(I904,'Tournament List'!$A:$A,0)),""))</f>
        <v/>
      </c>
      <c r="K904" s="96" t="str">
        <f>IF(F904="Skeet",IFERROR(INDEX('Shooter-Squad Assignment'!$A:$A,MATCH(C904&amp;"-"&amp;E904&amp;"-"&amp;F904&amp;"-Pos3",'Shooter-Squad Assignment'!$K:$K,0)),""),IF(F904="Trap",IFERROR(INDEX('Shooter-Squad Assignment'!$A:$A,MATCH(C904&amp;"-"&amp;E904&amp;"-"&amp;F904&amp;"-Pos3",'Shooter-Squad Assignment'!$W:$W,0)),""),IF(F904="Sporting Clays",IFERROR(INDEX('Shooter-Squad Assignment'!$A:$A,MATCH(C904&amp;"-"&amp;E904&amp;"-"&amp;F904&amp;"-Pos3",'Shooter-Squad Assignment'!$Z:$Z,0)),""),"")))</f>
        <v/>
      </c>
      <c r="L904" s="88" t="str">
        <f>IF(ISBLANK(K904),"",IFERROR(INDEX('Tournament List'!$D:$D,MATCH(K904,'Tournament List'!$A:$A,0)),""))</f>
        <v/>
      </c>
      <c r="M904" s="96" t="str">
        <f>IF(F904="Skeet",IFERROR(INDEX('Shooter-Squad Assignment'!$A:$A,MATCH(C904&amp;"-"&amp;E904&amp;"-"&amp;F904&amp;"-Pos4",'Shooter-Squad Assignment'!$K:$K,0)),""),IF(F904="Trap",IFERROR(INDEX('Shooter-Squad Assignment'!$A:$A,MATCH(C904&amp;"-"&amp;E904&amp;"-"&amp;F904&amp;"-Pos4",'Shooter-Squad Assignment'!$W:$W,0)),""),IF(F904="Sporting Clays",IFERROR(INDEX('Shooter-Squad Assignment'!$A:$A,MATCH(C904&amp;"-"&amp;E904&amp;"-"&amp;F904&amp;"-Pos4",'Shooter-Squad Assignment'!$Z:$Z,0)),""),"")))</f>
        <v/>
      </c>
      <c r="N904" s="88" t="str">
        <f>IF(ISBLANK(M904),"",IFERROR(INDEX('Tournament List'!$D:$D,MATCH(M904,'Tournament List'!$A:$A,0)),""))</f>
        <v/>
      </c>
      <c r="O904" s="96" t="str">
        <f>IF(F904="Skeet",IFERROR(INDEX('Shooter-Squad Assignment'!$A:$A,MATCH(C904&amp;"-"&amp;E904&amp;"-"&amp;F904&amp;"-Pos5",'Shooter-Squad Assignment'!$K:$K,0)),""),IF(F904="Trap",IFERROR(INDEX('Shooter-Squad Assignment'!$A:$A,MATCH(C904&amp;"-"&amp;E904&amp;"-"&amp;F904&amp;"-Pos5",'Shooter-Squad Assignment'!$W:$W,0)),""),IF(F904="Sporting Clays",IFERROR(INDEX('Shooter-Squad Assignment'!$A:$A,MATCH(C904&amp;"-"&amp;E904&amp;"-"&amp;F904&amp;"-Pos5",'Shooter-Squad Assignment'!$Z:$Z,0)),""),"")))</f>
        <v/>
      </c>
      <c r="P904" s="89" t="str">
        <f>IF(ISBLANK(O904),"",IFERROR(INDEX('Tournament List'!$D:$D,MATCH(O904,'Tournament List'!$A:$A,0)),""))</f>
        <v/>
      </c>
    </row>
    <row r="905" spans="1:16" x14ac:dyDescent="0.3">
      <c r="A905" s="87">
        <v>904</v>
      </c>
      <c r="B905" s="88" t="str">
        <f>C905&amp;"-"&amp;E905&amp;"-"&amp;F905</f>
        <v>-Novice 2-Trap</v>
      </c>
      <c r="C905" s="88"/>
      <c r="D905" s="88" t="str">
        <f>INDEX('Tournament Setup'!$B$59:$B$78,MATCH(E905,SquadConcurrents,0))</f>
        <v>Novice</v>
      </c>
      <c r="E905" s="88" t="s">
        <v>343</v>
      </c>
      <c r="F905" s="88" t="s">
        <v>147</v>
      </c>
      <c r="G905" s="96" t="str">
        <f>IF(F905="Skeet",IFERROR(INDEX('Shooter-Squad Assignment'!$A:$A,MATCH(C905&amp;"-"&amp;E905&amp;"-"&amp;F905&amp;"-Pos1",'Shooter-Squad Assignment'!$K:$K,0)),""),IF(F905="Trap",IFERROR(INDEX('Shooter-Squad Assignment'!$A:$A,MATCH(C905&amp;"-"&amp;E905&amp;"-"&amp;F905&amp;"-Pos1",'Shooter-Squad Assignment'!$W:$W,0)),""),IF(F905="Sporting Clays",IFERROR(INDEX('Shooter-Squad Assignment'!$A:$A,MATCH(C905&amp;"-"&amp;E905&amp;"-"&amp;F905&amp;"-Pos1",'Shooter-Squad Assignment'!$Z:$Z,0)),""),"")))</f>
        <v/>
      </c>
      <c r="H905" s="88" t="str">
        <f>IF(ISBLANK(G905),"",IFERROR(INDEX('Tournament List'!$D:$D,MATCH(G905,'Tournament List'!$A:$A,0)),""))</f>
        <v/>
      </c>
      <c r="I905" s="96" t="str">
        <f>IF(F905="Skeet",IFERROR(INDEX('Shooter-Squad Assignment'!$A:$A,MATCH(C905&amp;"-"&amp;E905&amp;"-"&amp;F905&amp;"-Pos2",'Shooter-Squad Assignment'!$K:$K,0)),""),IF(F905="Trap",IFERROR(INDEX('Shooter-Squad Assignment'!$A:$A,MATCH(C905&amp;"-"&amp;E905&amp;"-"&amp;F905&amp;"-Pos2",'Shooter-Squad Assignment'!$W:$W,0)),""),IF(F905="Sporting Clays",IFERROR(INDEX('Shooter-Squad Assignment'!$A:$A,MATCH(C905&amp;"-"&amp;E905&amp;"-"&amp;F905&amp;"-Pos2",'Shooter-Squad Assignment'!$Z:$Z,0)),""),"")))</f>
        <v/>
      </c>
      <c r="J905" s="88" t="str">
        <f>IF(ISBLANK(I905),"",IFERROR(INDEX('Tournament List'!$D:$D,MATCH(I905,'Tournament List'!$A:$A,0)),""))</f>
        <v/>
      </c>
      <c r="K905" s="96" t="str">
        <f>IF(F905="Skeet",IFERROR(INDEX('Shooter-Squad Assignment'!$A:$A,MATCH(C905&amp;"-"&amp;E905&amp;"-"&amp;F905&amp;"-Pos3",'Shooter-Squad Assignment'!$K:$K,0)),""),IF(F905="Trap",IFERROR(INDEX('Shooter-Squad Assignment'!$A:$A,MATCH(C905&amp;"-"&amp;E905&amp;"-"&amp;F905&amp;"-Pos3",'Shooter-Squad Assignment'!$W:$W,0)),""),IF(F905="Sporting Clays",IFERROR(INDEX('Shooter-Squad Assignment'!$A:$A,MATCH(C905&amp;"-"&amp;E905&amp;"-"&amp;F905&amp;"-Pos3",'Shooter-Squad Assignment'!$Z:$Z,0)),""),"")))</f>
        <v/>
      </c>
      <c r="L905" s="88" t="str">
        <f>IF(ISBLANK(K905),"",IFERROR(INDEX('Tournament List'!$D:$D,MATCH(K905,'Tournament List'!$A:$A,0)),""))</f>
        <v/>
      </c>
      <c r="M905" s="96" t="str">
        <f>IF(F905="Skeet",IFERROR(INDEX('Shooter-Squad Assignment'!$A:$A,MATCH(C905&amp;"-"&amp;E905&amp;"-"&amp;F905&amp;"-Pos4",'Shooter-Squad Assignment'!$K:$K,0)),""),IF(F905="Trap",IFERROR(INDEX('Shooter-Squad Assignment'!$A:$A,MATCH(C905&amp;"-"&amp;E905&amp;"-"&amp;F905&amp;"-Pos4",'Shooter-Squad Assignment'!$W:$W,0)),""),IF(F905="Sporting Clays",IFERROR(INDEX('Shooter-Squad Assignment'!$A:$A,MATCH(C905&amp;"-"&amp;E905&amp;"-"&amp;F905&amp;"-Pos4",'Shooter-Squad Assignment'!$Z:$Z,0)),""),"")))</f>
        <v/>
      </c>
      <c r="N905" s="88" t="str">
        <f>IF(ISBLANK(M905),"",IFERROR(INDEX('Tournament List'!$D:$D,MATCH(M905,'Tournament List'!$A:$A,0)),""))</f>
        <v/>
      </c>
      <c r="O905" s="96" t="str">
        <f>IF(F905="Skeet",IFERROR(INDEX('Shooter-Squad Assignment'!$A:$A,MATCH(C905&amp;"-"&amp;E905&amp;"-"&amp;F905&amp;"-Pos5",'Shooter-Squad Assignment'!$K:$K,0)),""),IF(F905="Trap",IFERROR(INDEX('Shooter-Squad Assignment'!$A:$A,MATCH(C905&amp;"-"&amp;E905&amp;"-"&amp;F905&amp;"-Pos5",'Shooter-Squad Assignment'!$W:$W,0)),""),IF(F905="Sporting Clays",IFERROR(INDEX('Shooter-Squad Assignment'!$A:$A,MATCH(C905&amp;"-"&amp;E905&amp;"-"&amp;F905&amp;"-Pos5",'Shooter-Squad Assignment'!$Z:$Z,0)),""),"")))</f>
        <v/>
      </c>
      <c r="P905" s="89" t="str">
        <f>IF(ISBLANK(O905),"",IFERROR(INDEX('Tournament List'!$D:$D,MATCH(O905,'Tournament List'!$A:$A,0)),""))</f>
        <v/>
      </c>
    </row>
    <row r="906" spans="1:16" x14ac:dyDescent="0.3">
      <c r="A906" s="87">
        <v>905</v>
      </c>
      <c r="B906" s="88" t="str">
        <f>C906&amp;"-"&amp;E906&amp;"-"&amp;F906</f>
        <v>-Novice 3-Trap</v>
      </c>
      <c r="C906" s="88"/>
      <c r="D906" s="88" t="str">
        <f>INDEX('Tournament Setup'!$B$59:$B$78,MATCH(E906,SquadConcurrents,0))</f>
        <v>Novice</v>
      </c>
      <c r="E906" s="88" t="s">
        <v>349</v>
      </c>
      <c r="F906" s="88" t="s">
        <v>147</v>
      </c>
      <c r="G906" s="96" t="str">
        <f>IF(F906="Skeet",IFERROR(INDEX('Shooter-Squad Assignment'!$A:$A,MATCH(C906&amp;"-"&amp;E906&amp;"-"&amp;F906&amp;"-Pos1",'Shooter-Squad Assignment'!$K:$K,0)),""),IF(F906="Trap",IFERROR(INDEX('Shooter-Squad Assignment'!$A:$A,MATCH(C906&amp;"-"&amp;E906&amp;"-"&amp;F906&amp;"-Pos1",'Shooter-Squad Assignment'!$W:$W,0)),""),IF(F906="Sporting Clays",IFERROR(INDEX('Shooter-Squad Assignment'!$A:$A,MATCH(C906&amp;"-"&amp;E906&amp;"-"&amp;F906&amp;"-Pos1",'Shooter-Squad Assignment'!$Z:$Z,0)),""),"")))</f>
        <v/>
      </c>
      <c r="H906" s="88" t="str">
        <f>IF(ISBLANK(G906),"",IFERROR(INDEX('Tournament List'!$D:$D,MATCH(G906,'Tournament List'!$A:$A,0)),""))</f>
        <v/>
      </c>
      <c r="I906" s="96" t="str">
        <f>IF(F906="Skeet",IFERROR(INDEX('Shooter-Squad Assignment'!$A:$A,MATCH(C906&amp;"-"&amp;E906&amp;"-"&amp;F906&amp;"-Pos2",'Shooter-Squad Assignment'!$K:$K,0)),""),IF(F906="Trap",IFERROR(INDEX('Shooter-Squad Assignment'!$A:$A,MATCH(C906&amp;"-"&amp;E906&amp;"-"&amp;F906&amp;"-Pos2",'Shooter-Squad Assignment'!$W:$W,0)),""),IF(F906="Sporting Clays",IFERROR(INDEX('Shooter-Squad Assignment'!$A:$A,MATCH(C906&amp;"-"&amp;E906&amp;"-"&amp;F906&amp;"-Pos2",'Shooter-Squad Assignment'!$Z:$Z,0)),""),"")))</f>
        <v/>
      </c>
      <c r="J906" s="88" t="str">
        <f>IF(ISBLANK(I906),"",IFERROR(INDEX('Tournament List'!$D:$D,MATCH(I906,'Tournament List'!$A:$A,0)),""))</f>
        <v/>
      </c>
      <c r="K906" s="96" t="str">
        <f>IF(F906="Skeet",IFERROR(INDEX('Shooter-Squad Assignment'!$A:$A,MATCH(C906&amp;"-"&amp;E906&amp;"-"&amp;F906&amp;"-Pos3",'Shooter-Squad Assignment'!$K:$K,0)),""),IF(F906="Trap",IFERROR(INDEX('Shooter-Squad Assignment'!$A:$A,MATCH(C906&amp;"-"&amp;E906&amp;"-"&amp;F906&amp;"-Pos3",'Shooter-Squad Assignment'!$W:$W,0)),""),IF(F906="Sporting Clays",IFERROR(INDEX('Shooter-Squad Assignment'!$A:$A,MATCH(C906&amp;"-"&amp;E906&amp;"-"&amp;F906&amp;"-Pos3",'Shooter-Squad Assignment'!$Z:$Z,0)),""),"")))</f>
        <v/>
      </c>
      <c r="L906" s="88" t="str">
        <f>IF(ISBLANK(K906),"",IFERROR(INDEX('Tournament List'!$D:$D,MATCH(K906,'Tournament List'!$A:$A,0)),""))</f>
        <v/>
      </c>
      <c r="M906" s="96" t="str">
        <f>IF(F906="Skeet",IFERROR(INDEX('Shooter-Squad Assignment'!$A:$A,MATCH(C906&amp;"-"&amp;E906&amp;"-"&amp;F906&amp;"-Pos4",'Shooter-Squad Assignment'!$K:$K,0)),""),IF(F906="Trap",IFERROR(INDEX('Shooter-Squad Assignment'!$A:$A,MATCH(C906&amp;"-"&amp;E906&amp;"-"&amp;F906&amp;"-Pos4",'Shooter-Squad Assignment'!$W:$W,0)),""),IF(F906="Sporting Clays",IFERROR(INDEX('Shooter-Squad Assignment'!$A:$A,MATCH(C906&amp;"-"&amp;E906&amp;"-"&amp;F906&amp;"-Pos4",'Shooter-Squad Assignment'!$Z:$Z,0)),""),"")))</f>
        <v/>
      </c>
      <c r="N906" s="88" t="str">
        <f>IF(ISBLANK(M906),"",IFERROR(INDEX('Tournament List'!$D:$D,MATCH(M906,'Tournament List'!$A:$A,0)),""))</f>
        <v/>
      </c>
      <c r="O906" s="96" t="str">
        <f>IF(F906="Skeet",IFERROR(INDEX('Shooter-Squad Assignment'!$A:$A,MATCH(C906&amp;"-"&amp;E906&amp;"-"&amp;F906&amp;"-Pos5",'Shooter-Squad Assignment'!$K:$K,0)),""),IF(F906="Trap",IFERROR(INDEX('Shooter-Squad Assignment'!$A:$A,MATCH(C906&amp;"-"&amp;E906&amp;"-"&amp;F906&amp;"-Pos5",'Shooter-Squad Assignment'!$W:$W,0)),""),IF(F906="Sporting Clays",IFERROR(INDEX('Shooter-Squad Assignment'!$A:$A,MATCH(C906&amp;"-"&amp;E906&amp;"-"&amp;F906&amp;"-Pos5",'Shooter-Squad Assignment'!$Z:$Z,0)),""),"")))</f>
        <v/>
      </c>
      <c r="P906" s="89" t="str">
        <f>IF(ISBLANK(O906),"",IFERROR(INDEX('Tournament List'!$D:$D,MATCH(O906,'Tournament List'!$A:$A,0)),""))</f>
        <v/>
      </c>
    </row>
    <row r="907" spans="1:16" x14ac:dyDescent="0.3">
      <c r="A907" s="87">
        <v>906</v>
      </c>
      <c r="B907" s="88" t="str">
        <f>C907&amp;"-"&amp;E907&amp;"-"&amp;F907</f>
        <v>-Open 1-Trap</v>
      </c>
      <c r="C907" s="88"/>
      <c r="D907" s="88" t="str">
        <f>INDEX('Tournament Setup'!$B$59:$B$78,MATCH(E907,SquadConcurrents,0))</f>
        <v>Open</v>
      </c>
      <c r="E907" s="88" t="s">
        <v>341</v>
      </c>
      <c r="F907" s="88" t="s">
        <v>147</v>
      </c>
      <c r="G907" s="96" t="str">
        <f>IF(F907="Skeet",IFERROR(INDEX('Shooter-Squad Assignment'!$A:$A,MATCH(C907&amp;"-"&amp;E907&amp;"-"&amp;F907&amp;"-Pos1",'Shooter-Squad Assignment'!$K:$K,0)),""),IF(F907="Trap",IFERROR(INDEX('Shooter-Squad Assignment'!$A:$A,MATCH(C907&amp;"-"&amp;E907&amp;"-"&amp;F907&amp;"-Pos1",'Shooter-Squad Assignment'!$W:$W,0)),""),IF(F907="Sporting Clays",IFERROR(INDEX('Shooter-Squad Assignment'!$A:$A,MATCH(C907&amp;"-"&amp;E907&amp;"-"&amp;F907&amp;"-Pos1",'Shooter-Squad Assignment'!$Z:$Z,0)),""),"")))</f>
        <v/>
      </c>
      <c r="H907" s="88" t="str">
        <f>IF(ISBLANK(G907),"",IFERROR(INDEX('Tournament List'!$D:$D,MATCH(G907,'Tournament List'!$A:$A,0)),""))</f>
        <v/>
      </c>
      <c r="I907" s="96" t="str">
        <f>IF(F907="Skeet",IFERROR(INDEX('Shooter-Squad Assignment'!$A:$A,MATCH(C907&amp;"-"&amp;E907&amp;"-"&amp;F907&amp;"-Pos2",'Shooter-Squad Assignment'!$K:$K,0)),""),IF(F907="Trap",IFERROR(INDEX('Shooter-Squad Assignment'!$A:$A,MATCH(C907&amp;"-"&amp;E907&amp;"-"&amp;F907&amp;"-Pos2",'Shooter-Squad Assignment'!$W:$W,0)),""),IF(F907="Sporting Clays",IFERROR(INDEX('Shooter-Squad Assignment'!$A:$A,MATCH(C907&amp;"-"&amp;E907&amp;"-"&amp;F907&amp;"-Pos2",'Shooter-Squad Assignment'!$Z:$Z,0)),""),"")))</f>
        <v/>
      </c>
      <c r="J907" s="88" t="str">
        <f>IF(ISBLANK(I907),"",IFERROR(INDEX('Tournament List'!$D:$D,MATCH(I907,'Tournament List'!$A:$A,0)),""))</f>
        <v/>
      </c>
      <c r="K907" s="96" t="str">
        <f>IF(F907="Skeet",IFERROR(INDEX('Shooter-Squad Assignment'!$A:$A,MATCH(C907&amp;"-"&amp;E907&amp;"-"&amp;F907&amp;"-Pos3",'Shooter-Squad Assignment'!$K:$K,0)),""),IF(F907="Trap",IFERROR(INDEX('Shooter-Squad Assignment'!$A:$A,MATCH(C907&amp;"-"&amp;E907&amp;"-"&amp;F907&amp;"-Pos3",'Shooter-Squad Assignment'!$W:$W,0)),""),IF(F907="Sporting Clays",IFERROR(INDEX('Shooter-Squad Assignment'!$A:$A,MATCH(C907&amp;"-"&amp;E907&amp;"-"&amp;F907&amp;"-Pos3",'Shooter-Squad Assignment'!$Z:$Z,0)),""),"")))</f>
        <v/>
      </c>
      <c r="L907" s="88" t="str">
        <f>IF(ISBLANK(K907),"",IFERROR(INDEX('Tournament List'!$D:$D,MATCH(K907,'Tournament List'!$A:$A,0)),""))</f>
        <v/>
      </c>
      <c r="M907" s="96" t="str">
        <f>IF(F907="Skeet",IFERROR(INDEX('Shooter-Squad Assignment'!$A:$A,MATCH(C907&amp;"-"&amp;E907&amp;"-"&amp;F907&amp;"-Pos4",'Shooter-Squad Assignment'!$K:$K,0)),""),IF(F907="Trap",IFERROR(INDEX('Shooter-Squad Assignment'!$A:$A,MATCH(C907&amp;"-"&amp;E907&amp;"-"&amp;F907&amp;"-Pos4",'Shooter-Squad Assignment'!$W:$W,0)),""),IF(F907="Sporting Clays",IFERROR(INDEX('Shooter-Squad Assignment'!$A:$A,MATCH(C907&amp;"-"&amp;E907&amp;"-"&amp;F907&amp;"-Pos4",'Shooter-Squad Assignment'!$Z:$Z,0)),""),"")))</f>
        <v/>
      </c>
      <c r="N907" s="88" t="str">
        <f>IF(ISBLANK(M907),"",IFERROR(INDEX('Tournament List'!$D:$D,MATCH(M907,'Tournament List'!$A:$A,0)),""))</f>
        <v/>
      </c>
      <c r="O907" s="96" t="str">
        <f>IF(F907="Skeet",IFERROR(INDEX('Shooter-Squad Assignment'!$A:$A,MATCH(C907&amp;"-"&amp;E907&amp;"-"&amp;F907&amp;"-Pos5",'Shooter-Squad Assignment'!$K:$K,0)),""),IF(F907="Trap",IFERROR(INDEX('Shooter-Squad Assignment'!$A:$A,MATCH(C907&amp;"-"&amp;E907&amp;"-"&amp;F907&amp;"-Pos5",'Shooter-Squad Assignment'!$W:$W,0)),""),IF(F907="Sporting Clays",IFERROR(INDEX('Shooter-Squad Assignment'!$A:$A,MATCH(C907&amp;"-"&amp;E907&amp;"-"&amp;F907&amp;"-Pos5",'Shooter-Squad Assignment'!$Z:$Z,0)),""),"")))</f>
        <v/>
      </c>
      <c r="P907" s="89" t="str">
        <f>IF(ISBLANK(O907),"",IFERROR(INDEX('Tournament List'!$D:$D,MATCH(O907,'Tournament List'!$A:$A,0)),""))</f>
        <v/>
      </c>
    </row>
    <row r="908" spans="1:16" x14ac:dyDescent="0.3">
      <c r="A908" s="87">
        <v>907</v>
      </c>
      <c r="B908" s="88" t="str">
        <f>C908&amp;"-"&amp;E908&amp;"-"&amp;F908</f>
        <v>-Open 2-Trap</v>
      </c>
      <c r="C908" s="88"/>
      <c r="D908" s="88" t="str">
        <f>INDEX('Tournament Setup'!$B$59:$B$78,MATCH(E908,SquadConcurrents,0))</f>
        <v>Open</v>
      </c>
      <c r="E908" s="88" t="s">
        <v>347</v>
      </c>
      <c r="F908" s="88" t="s">
        <v>147</v>
      </c>
      <c r="G908" s="96" t="str">
        <f>IF(F908="Skeet",IFERROR(INDEX('Shooter-Squad Assignment'!$A:$A,MATCH(C908&amp;"-"&amp;E908&amp;"-"&amp;F908&amp;"-Pos1",'Shooter-Squad Assignment'!$K:$K,0)),""),IF(F908="Trap",IFERROR(INDEX('Shooter-Squad Assignment'!$A:$A,MATCH(C908&amp;"-"&amp;E908&amp;"-"&amp;F908&amp;"-Pos1",'Shooter-Squad Assignment'!$W:$W,0)),""),IF(F908="Sporting Clays",IFERROR(INDEX('Shooter-Squad Assignment'!$A:$A,MATCH(C908&amp;"-"&amp;E908&amp;"-"&amp;F908&amp;"-Pos1",'Shooter-Squad Assignment'!$Z:$Z,0)),""),"")))</f>
        <v/>
      </c>
      <c r="H908" s="88" t="str">
        <f>IF(ISBLANK(G908),"",IFERROR(INDEX('Tournament List'!$D:$D,MATCH(G908,'Tournament List'!$A:$A,0)),""))</f>
        <v/>
      </c>
      <c r="I908" s="96" t="str">
        <f>IF(F908="Skeet",IFERROR(INDEX('Shooter-Squad Assignment'!$A:$A,MATCH(C908&amp;"-"&amp;E908&amp;"-"&amp;F908&amp;"-Pos2",'Shooter-Squad Assignment'!$K:$K,0)),""),IF(F908="Trap",IFERROR(INDEX('Shooter-Squad Assignment'!$A:$A,MATCH(C908&amp;"-"&amp;E908&amp;"-"&amp;F908&amp;"-Pos2",'Shooter-Squad Assignment'!$W:$W,0)),""),IF(F908="Sporting Clays",IFERROR(INDEX('Shooter-Squad Assignment'!$A:$A,MATCH(C908&amp;"-"&amp;E908&amp;"-"&amp;F908&amp;"-Pos2",'Shooter-Squad Assignment'!$Z:$Z,0)),""),"")))</f>
        <v/>
      </c>
      <c r="J908" s="88" t="str">
        <f>IF(ISBLANK(I908),"",IFERROR(INDEX('Tournament List'!$D:$D,MATCH(I908,'Tournament List'!$A:$A,0)),""))</f>
        <v/>
      </c>
      <c r="K908" s="96" t="str">
        <f>IF(F908="Skeet",IFERROR(INDEX('Shooter-Squad Assignment'!$A:$A,MATCH(C908&amp;"-"&amp;E908&amp;"-"&amp;F908&amp;"-Pos3",'Shooter-Squad Assignment'!$K:$K,0)),""),IF(F908="Trap",IFERROR(INDEX('Shooter-Squad Assignment'!$A:$A,MATCH(C908&amp;"-"&amp;E908&amp;"-"&amp;F908&amp;"-Pos3",'Shooter-Squad Assignment'!$W:$W,0)),""),IF(F908="Sporting Clays",IFERROR(INDEX('Shooter-Squad Assignment'!$A:$A,MATCH(C908&amp;"-"&amp;E908&amp;"-"&amp;F908&amp;"-Pos3",'Shooter-Squad Assignment'!$Z:$Z,0)),""),"")))</f>
        <v/>
      </c>
      <c r="L908" s="88" t="str">
        <f>IF(ISBLANK(K908),"",IFERROR(INDEX('Tournament List'!$D:$D,MATCH(K908,'Tournament List'!$A:$A,0)),""))</f>
        <v/>
      </c>
      <c r="M908" s="96" t="str">
        <f>IF(F908="Skeet",IFERROR(INDEX('Shooter-Squad Assignment'!$A:$A,MATCH(C908&amp;"-"&amp;E908&amp;"-"&amp;F908&amp;"-Pos4",'Shooter-Squad Assignment'!$K:$K,0)),""),IF(F908="Trap",IFERROR(INDEX('Shooter-Squad Assignment'!$A:$A,MATCH(C908&amp;"-"&amp;E908&amp;"-"&amp;F908&amp;"-Pos4",'Shooter-Squad Assignment'!$W:$W,0)),""),IF(F908="Sporting Clays",IFERROR(INDEX('Shooter-Squad Assignment'!$A:$A,MATCH(C908&amp;"-"&amp;E908&amp;"-"&amp;F908&amp;"-Pos4",'Shooter-Squad Assignment'!$Z:$Z,0)),""),"")))</f>
        <v/>
      </c>
      <c r="N908" s="88" t="str">
        <f>IF(ISBLANK(M908),"",IFERROR(INDEX('Tournament List'!$D:$D,MATCH(M908,'Tournament List'!$A:$A,0)),""))</f>
        <v/>
      </c>
      <c r="O908" s="96" t="str">
        <f>IF(F908="Skeet",IFERROR(INDEX('Shooter-Squad Assignment'!$A:$A,MATCH(C908&amp;"-"&amp;E908&amp;"-"&amp;F908&amp;"-Pos5",'Shooter-Squad Assignment'!$K:$K,0)),""),IF(F908="Trap",IFERROR(INDEX('Shooter-Squad Assignment'!$A:$A,MATCH(C908&amp;"-"&amp;E908&amp;"-"&amp;F908&amp;"-Pos5",'Shooter-Squad Assignment'!$W:$W,0)),""),IF(F908="Sporting Clays",IFERROR(INDEX('Shooter-Squad Assignment'!$A:$A,MATCH(C908&amp;"-"&amp;E908&amp;"-"&amp;F908&amp;"-Pos5",'Shooter-Squad Assignment'!$Z:$Z,0)),""),"")))</f>
        <v/>
      </c>
      <c r="P908" s="89" t="str">
        <f>IF(ISBLANK(O908),"",IFERROR(INDEX('Tournament List'!$D:$D,MATCH(O908,'Tournament List'!$A:$A,0)),""))</f>
        <v/>
      </c>
    </row>
    <row r="909" spans="1:16" x14ac:dyDescent="0.3">
      <c r="A909" s="87">
        <v>908</v>
      </c>
      <c r="B909" s="88" t="str">
        <f>C909&amp;"-"&amp;E909&amp;"-"&amp;F909</f>
        <v>-Open 3-Trap</v>
      </c>
      <c r="C909" s="88"/>
      <c r="D909" s="88" t="str">
        <f>INDEX('Tournament Setup'!$B$59:$B$78,MATCH(E909,SquadConcurrents,0))</f>
        <v>Open</v>
      </c>
      <c r="E909" s="88" t="s">
        <v>353</v>
      </c>
      <c r="F909" s="88" t="s">
        <v>147</v>
      </c>
      <c r="G909" s="96" t="str">
        <f>IF(F909="Skeet",IFERROR(INDEX('Shooter-Squad Assignment'!$A:$A,MATCH(C909&amp;"-"&amp;E909&amp;"-"&amp;F909&amp;"-Pos1",'Shooter-Squad Assignment'!$K:$K,0)),""),IF(F909="Trap",IFERROR(INDEX('Shooter-Squad Assignment'!$A:$A,MATCH(C909&amp;"-"&amp;E909&amp;"-"&amp;F909&amp;"-Pos1",'Shooter-Squad Assignment'!$W:$W,0)),""),IF(F909="Sporting Clays",IFERROR(INDEX('Shooter-Squad Assignment'!$A:$A,MATCH(C909&amp;"-"&amp;E909&amp;"-"&amp;F909&amp;"-Pos1",'Shooter-Squad Assignment'!$Z:$Z,0)),""),"")))</f>
        <v/>
      </c>
      <c r="H909" s="88" t="str">
        <f>IF(ISBLANK(G909),"",IFERROR(INDEX('Tournament List'!$D:$D,MATCH(G909,'Tournament List'!$A:$A,0)),""))</f>
        <v/>
      </c>
      <c r="I909" s="96" t="str">
        <f>IF(F909="Skeet",IFERROR(INDEX('Shooter-Squad Assignment'!$A:$A,MATCH(C909&amp;"-"&amp;E909&amp;"-"&amp;F909&amp;"-Pos2",'Shooter-Squad Assignment'!$K:$K,0)),""),IF(F909="Trap",IFERROR(INDEX('Shooter-Squad Assignment'!$A:$A,MATCH(C909&amp;"-"&amp;E909&amp;"-"&amp;F909&amp;"-Pos2",'Shooter-Squad Assignment'!$W:$W,0)),""),IF(F909="Sporting Clays",IFERROR(INDEX('Shooter-Squad Assignment'!$A:$A,MATCH(C909&amp;"-"&amp;E909&amp;"-"&amp;F909&amp;"-Pos2",'Shooter-Squad Assignment'!$Z:$Z,0)),""),"")))</f>
        <v/>
      </c>
      <c r="J909" s="88" t="str">
        <f>IF(ISBLANK(I909),"",IFERROR(INDEX('Tournament List'!$D:$D,MATCH(I909,'Tournament List'!$A:$A,0)),""))</f>
        <v/>
      </c>
      <c r="K909" s="96" t="str">
        <f>IF(F909="Skeet",IFERROR(INDEX('Shooter-Squad Assignment'!$A:$A,MATCH(C909&amp;"-"&amp;E909&amp;"-"&amp;F909&amp;"-Pos3",'Shooter-Squad Assignment'!$K:$K,0)),""),IF(F909="Trap",IFERROR(INDEX('Shooter-Squad Assignment'!$A:$A,MATCH(C909&amp;"-"&amp;E909&amp;"-"&amp;F909&amp;"-Pos3",'Shooter-Squad Assignment'!$W:$W,0)),""),IF(F909="Sporting Clays",IFERROR(INDEX('Shooter-Squad Assignment'!$A:$A,MATCH(C909&amp;"-"&amp;E909&amp;"-"&amp;F909&amp;"-Pos3",'Shooter-Squad Assignment'!$Z:$Z,0)),""),"")))</f>
        <v/>
      </c>
      <c r="L909" s="88" t="str">
        <f>IF(ISBLANK(K909),"",IFERROR(INDEX('Tournament List'!$D:$D,MATCH(K909,'Tournament List'!$A:$A,0)),""))</f>
        <v/>
      </c>
      <c r="M909" s="96" t="str">
        <f>IF(F909="Skeet",IFERROR(INDEX('Shooter-Squad Assignment'!$A:$A,MATCH(C909&amp;"-"&amp;E909&amp;"-"&amp;F909&amp;"-Pos4",'Shooter-Squad Assignment'!$K:$K,0)),""),IF(F909="Trap",IFERROR(INDEX('Shooter-Squad Assignment'!$A:$A,MATCH(C909&amp;"-"&amp;E909&amp;"-"&amp;F909&amp;"-Pos4",'Shooter-Squad Assignment'!$W:$W,0)),""),IF(F909="Sporting Clays",IFERROR(INDEX('Shooter-Squad Assignment'!$A:$A,MATCH(C909&amp;"-"&amp;E909&amp;"-"&amp;F909&amp;"-Pos4",'Shooter-Squad Assignment'!$Z:$Z,0)),""),"")))</f>
        <v/>
      </c>
      <c r="N909" s="88" t="str">
        <f>IF(ISBLANK(M909),"",IFERROR(INDEX('Tournament List'!$D:$D,MATCH(M909,'Tournament List'!$A:$A,0)),""))</f>
        <v/>
      </c>
      <c r="O909" s="96" t="str">
        <f>IF(F909="Skeet",IFERROR(INDEX('Shooter-Squad Assignment'!$A:$A,MATCH(C909&amp;"-"&amp;E909&amp;"-"&amp;F909&amp;"-Pos5",'Shooter-Squad Assignment'!$K:$K,0)),""),IF(F909="Trap",IFERROR(INDEX('Shooter-Squad Assignment'!$A:$A,MATCH(C909&amp;"-"&amp;E909&amp;"-"&amp;F909&amp;"-Pos5",'Shooter-Squad Assignment'!$W:$W,0)),""),IF(F909="Sporting Clays",IFERROR(INDEX('Shooter-Squad Assignment'!$A:$A,MATCH(C909&amp;"-"&amp;E909&amp;"-"&amp;F909&amp;"-Pos5",'Shooter-Squad Assignment'!$Z:$Z,0)),""),"")))</f>
        <v/>
      </c>
      <c r="P909" s="89" t="str">
        <f>IF(ISBLANK(O909),"",IFERROR(INDEX('Tournament List'!$D:$D,MATCH(O909,'Tournament List'!$A:$A,0)),""))</f>
        <v/>
      </c>
    </row>
    <row r="910" spans="1:16" x14ac:dyDescent="0.3">
      <c r="A910" s="87">
        <v>909</v>
      </c>
      <c r="B910" s="88" t="str">
        <f>C910&amp;"-"&amp;E910&amp;"-"&amp;F910</f>
        <v>-Unassigned 1-Trap</v>
      </c>
      <c r="C910" s="88"/>
      <c r="D910" s="88" t="str">
        <f>INDEX('Tournament Setup'!$B$59:$B$78,MATCH(E910,SquadConcurrents,0))</f>
        <v>Unassigned</v>
      </c>
      <c r="E910" s="88" t="s">
        <v>762</v>
      </c>
      <c r="F910" s="88" t="s">
        <v>147</v>
      </c>
      <c r="G910" s="96" t="str">
        <f>IF(F910="Skeet",IFERROR(INDEX('Shooter-Squad Assignment'!$A:$A,MATCH(C910&amp;"-"&amp;E910&amp;"-"&amp;F910&amp;"-Pos1",'Shooter-Squad Assignment'!$K:$K,0)),""),IF(F910="Trap",IFERROR(INDEX('Shooter-Squad Assignment'!$A:$A,MATCH(C910&amp;"-"&amp;E910&amp;"-"&amp;F910&amp;"-Pos1",'Shooter-Squad Assignment'!$W:$W,0)),""),IF(F910="Sporting Clays",IFERROR(INDEX('Shooter-Squad Assignment'!$A:$A,MATCH(C910&amp;"-"&amp;E910&amp;"-"&amp;F910&amp;"-Pos1",'Shooter-Squad Assignment'!$Z:$Z,0)),""),"")))</f>
        <v/>
      </c>
      <c r="H910" s="88" t="str">
        <f>IF(ISBLANK(G910),"",IFERROR(INDEX('Tournament List'!$D:$D,MATCH(G910,'Tournament List'!$A:$A,0)),""))</f>
        <v/>
      </c>
      <c r="I910" s="96" t="str">
        <f>IF(F910="Skeet",IFERROR(INDEX('Shooter-Squad Assignment'!$A:$A,MATCH(C910&amp;"-"&amp;E910&amp;"-"&amp;F910&amp;"-Pos2",'Shooter-Squad Assignment'!$K:$K,0)),""),IF(F910="Trap",IFERROR(INDEX('Shooter-Squad Assignment'!$A:$A,MATCH(C910&amp;"-"&amp;E910&amp;"-"&amp;F910&amp;"-Pos2",'Shooter-Squad Assignment'!$W:$W,0)),""),IF(F910="Sporting Clays",IFERROR(INDEX('Shooter-Squad Assignment'!$A:$A,MATCH(C910&amp;"-"&amp;E910&amp;"-"&amp;F910&amp;"-Pos2",'Shooter-Squad Assignment'!$Z:$Z,0)),""),"")))</f>
        <v/>
      </c>
      <c r="J910" s="88" t="str">
        <f>IF(ISBLANK(I910),"",IFERROR(INDEX('Tournament List'!$D:$D,MATCH(I910,'Tournament List'!$A:$A,0)),""))</f>
        <v/>
      </c>
      <c r="K910" s="96" t="str">
        <f>IF(F910="Skeet",IFERROR(INDEX('Shooter-Squad Assignment'!$A:$A,MATCH(C910&amp;"-"&amp;E910&amp;"-"&amp;F910&amp;"-Pos3",'Shooter-Squad Assignment'!$K:$K,0)),""),IF(F910="Trap",IFERROR(INDEX('Shooter-Squad Assignment'!$A:$A,MATCH(C910&amp;"-"&amp;E910&amp;"-"&amp;F910&amp;"-Pos3",'Shooter-Squad Assignment'!$W:$W,0)),""),IF(F910="Sporting Clays",IFERROR(INDEX('Shooter-Squad Assignment'!$A:$A,MATCH(C910&amp;"-"&amp;E910&amp;"-"&amp;F910&amp;"-Pos3",'Shooter-Squad Assignment'!$Z:$Z,0)),""),"")))</f>
        <v/>
      </c>
      <c r="L910" s="88" t="str">
        <f>IF(ISBLANK(K910),"",IFERROR(INDEX('Tournament List'!$D:$D,MATCH(K910,'Tournament List'!$A:$A,0)),""))</f>
        <v/>
      </c>
      <c r="M910" s="96" t="str">
        <f>IF(F910="Skeet",IFERROR(INDEX('Shooter-Squad Assignment'!$A:$A,MATCH(C910&amp;"-"&amp;E910&amp;"-"&amp;F910&amp;"-Pos4",'Shooter-Squad Assignment'!$K:$K,0)),""),IF(F910="Trap",IFERROR(INDEX('Shooter-Squad Assignment'!$A:$A,MATCH(C910&amp;"-"&amp;E910&amp;"-"&amp;F910&amp;"-Pos4",'Shooter-Squad Assignment'!$W:$W,0)),""),IF(F910="Sporting Clays",IFERROR(INDEX('Shooter-Squad Assignment'!$A:$A,MATCH(C910&amp;"-"&amp;E910&amp;"-"&amp;F910&amp;"-Pos4",'Shooter-Squad Assignment'!$Z:$Z,0)),""),"")))</f>
        <v/>
      </c>
      <c r="N910" s="88" t="str">
        <f>IF(ISBLANK(M910),"",IFERROR(INDEX('Tournament List'!$D:$D,MATCH(M910,'Tournament List'!$A:$A,0)),""))</f>
        <v/>
      </c>
      <c r="O910" s="96" t="str">
        <f>IF(F910="Skeet",IFERROR(INDEX('Shooter-Squad Assignment'!$A:$A,MATCH(C910&amp;"-"&amp;E910&amp;"-"&amp;F910&amp;"-Pos5",'Shooter-Squad Assignment'!$K:$K,0)),""),IF(F910="Trap",IFERROR(INDEX('Shooter-Squad Assignment'!$A:$A,MATCH(C910&amp;"-"&amp;E910&amp;"-"&amp;F910&amp;"-Pos5",'Shooter-Squad Assignment'!$W:$W,0)),""),IF(F910="Sporting Clays",IFERROR(INDEX('Shooter-Squad Assignment'!$A:$A,MATCH(C910&amp;"-"&amp;E910&amp;"-"&amp;F910&amp;"-Pos5",'Shooter-Squad Assignment'!$Z:$Z,0)),""),"")))</f>
        <v/>
      </c>
      <c r="P910" s="89" t="str">
        <f>IF(ISBLANK(O910),"",IFERROR(INDEX('Tournament List'!$D:$D,MATCH(O910,'Tournament List'!$A:$A,0)),""))</f>
        <v/>
      </c>
    </row>
    <row r="911" spans="1:16" x14ac:dyDescent="0.3">
      <c r="A911" s="87">
        <v>910</v>
      </c>
      <c r="B911" s="88" t="str">
        <f>C911&amp;"-"&amp;E911&amp;"-"&amp;F911</f>
        <v>-Varsity 1-Trap</v>
      </c>
      <c r="C911" s="88"/>
      <c r="D911" s="88" t="str">
        <f>INDEX('Tournament Setup'!$B$59:$B$78,MATCH(E911,SquadConcurrents,0))</f>
        <v>Varsity</v>
      </c>
      <c r="E911" s="88" t="s">
        <v>340</v>
      </c>
      <c r="F911" s="88" t="s">
        <v>147</v>
      </c>
      <c r="G911" s="96" t="str">
        <f>IF(F911="Skeet",IFERROR(INDEX('Shooter-Squad Assignment'!$A:$A,MATCH(C911&amp;"-"&amp;E911&amp;"-"&amp;F911&amp;"-Pos1",'Shooter-Squad Assignment'!$K:$K,0)),""),IF(F911="Trap",IFERROR(INDEX('Shooter-Squad Assignment'!$A:$A,MATCH(C911&amp;"-"&amp;E911&amp;"-"&amp;F911&amp;"-Pos1",'Shooter-Squad Assignment'!$W:$W,0)),""),IF(F911="Sporting Clays",IFERROR(INDEX('Shooter-Squad Assignment'!$A:$A,MATCH(C911&amp;"-"&amp;E911&amp;"-"&amp;F911&amp;"-Pos1",'Shooter-Squad Assignment'!$Z:$Z,0)),""),"")))</f>
        <v/>
      </c>
      <c r="H911" s="88" t="str">
        <f>IF(ISBLANK(G911),"",IFERROR(INDEX('Tournament List'!$D:$D,MATCH(G911,'Tournament List'!$A:$A,0)),""))</f>
        <v/>
      </c>
      <c r="I911" s="96" t="str">
        <f>IF(F911="Skeet",IFERROR(INDEX('Shooter-Squad Assignment'!$A:$A,MATCH(C911&amp;"-"&amp;E911&amp;"-"&amp;F911&amp;"-Pos2",'Shooter-Squad Assignment'!$K:$K,0)),""),IF(F911="Trap",IFERROR(INDEX('Shooter-Squad Assignment'!$A:$A,MATCH(C911&amp;"-"&amp;E911&amp;"-"&amp;F911&amp;"-Pos2",'Shooter-Squad Assignment'!$W:$W,0)),""),IF(F911="Sporting Clays",IFERROR(INDEX('Shooter-Squad Assignment'!$A:$A,MATCH(C911&amp;"-"&amp;E911&amp;"-"&amp;F911&amp;"-Pos2",'Shooter-Squad Assignment'!$Z:$Z,0)),""),"")))</f>
        <v/>
      </c>
      <c r="J911" s="88" t="str">
        <f>IF(ISBLANK(I911),"",IFERROR(INDEX('Tournament List'!$D:$D,MATCH(I911,'Tournament List'!$A:$A,0)),""))</f>
        <v/>
      </c>
      <c r="K911" s="96" t="str">
        <f>IF(F911="Skeet",IFERROR(INDEX('Shooter-Squad Assignment'!$A:$A,MATCH(C911&amp;"-"&amp;E911&amp;"-"&amp;F911&amp;"-Pos3",'Shooter-Squad Assignment'!$K:$K,0)),""),IF(F911="Trap",IFERROR(INDEX('Shooter-Squad Assignment'!$A:$A,MATCH(C911&amp;"-"&amp;E911&amp;"-"&amp;F911&amp;"-Pos3",'Shooter-Squad Assignment'!$W:$W,0)),""),IF(F911="Sporting Clays",IFERROR(INDEX('Shooter-Squad Assignment'!$A:$A,MATCH(C911&amp;"-"&amp;E911&amp;"-"&amp;F911&amp;"-Pos3",'Shooter-Squad Assignment'!$Z:$Z,0)),""),"")))</f>
        <v/>
      </c>
      <c r="L911" s="88" t="str">
        <f>IF(ISBLANK(K911),"",IFERROR(INDEX('Tournament List'!$D:$D,MATCH(K911,'Tournament List'!$A:$A,0)),""))</f>
        <v/>
      </c>
      <c r="M911" s="96" t="str">
        <f>IF(F911="Skeet",IFERROR(INDEX('Shooter-Squad Assignment'!$A:$A,MATCH(C911&amp;"-"&amp;E911&amp;"-"&amp;F911&amp;"-Pos4",'Shooter-Squad Assignment'!$K:$K,0)),""),IF(F911="Trap",IFERROR(INDEX('Shooter-Squad Assignment'!$A:$A,MATCH(C911&amp;"-"&amp;E911&amp;"-"&amp;F911&amp;"-Pos4",'Shooter-Squad Assignment'!$W:$W,0)),""),IF(F911="Sporting Clays",IFERROR(INDEX('Shooter-Squad Assignment'!$A:$A,MATCH(C911&amp;"-"&amp;E911&amp;"-"&amp;F911&amp;"-Pos4",'Shooter-Squad Assignment'!$Z:$Z,0)),""),"")))</f>
        <v/>
      </c>
      <c r="N911" s="88" t="str">
        <f>IF(ISBLANK(M911),"",IFERROR(INDEX('Tournament List'!$D:$D,MATCH(M911,'Tournament List'!$A:$A,0)),""))</f>
        <v/>
      </c>
      <c r="O911" s="96" t="str">
        <f>IF(F911="Skeet",IFERROR(INDEX('Shooter-Squad Assignment'!$A:$A,MATCH(C911&amp;"-"&amp;E911&amp;"-"&amp;F911&amp;"-Pos5",'Shooter-Squad Assignment'!$K:$K,0)),""),IF(F911="Trap",IFERROR(INDEX('Shooter-Squad Assignment'!$A:$A,MATCH(C911&amp;"-"&amp;E911&amp;"-"&amp;F911&amp;"-Pos5",'Shooter-Squad Assignment'!$W:$W,0)),""),IF(F911="Sporting Clays",IFERROR(INDEX('Shooter-Squad Assignment'!$A:$A,MATCH(C911&amp;"-"&amp;E911&amp;"-"&amp;F911&amp;"-Pos5",'Shooter-Squad Assignment'!$Z:$Z,0)),""),"")))</f>
        <v/>
      </c>
      <c r="P911" s="89" t="str">
        <f>IF(ISBLANK(O911),"",IFERROR(INDEX('Tournament List'!$D:$D,MATCH(O911,'Tournament List'!$A:$A,0)),""))</f>
        <v/>
      </c>
    </row>
    <row r="912" spans="1:16" x14ac:dyDescent="0.3">
      <c r="A912" s="87">
        <v>911</v>
      </c>
      <c r="B912" s="88" t="str">
        <f>C912&amp;"-"&amp;E912&amp;"-"&amp;F912</f>
        <v>-Varsity 2-Trap</v>
      </c>
      <c r="C912" s="88"/>
      <c r="D912" s="88" t="str">
        <f>INDEX('Tournament Setup'!$B$59:$B$78,MATCH(E912,SquadConcurrents,0))</f>
        <v>Varsity</v>
      </c>
      <c r="E912" s="88" t="s">
        <v>346</v>
      </c>
      <c r="F912" s="88" t="s">
        <v>147</v>
      </c>
      <c r="G912" s="96" t="str">
        <f>IF(F912="Skeet",IFERROR(INDEX('Shooter-Squad Assignment'!$A:$A,MATCH(C912&amp;"-"&amp;E912&amp;"-"&amp;F912&amp;"-Pos1",'Shooter-Squad Assignment'!$K:$K,0)),""),IF(F912="Trap",IFERROR(INDEX('Shooter-Squad Assignment'!$A:$A,MATCH(C912&amp;"-"&amp;E912&amp;"-"&amp;F912&amp;"-Pos1",'Shooter-Squad Assignment'!$W:$W,0)),""),IF(F912="Sporting Clays",IFERROR(INDEX('Shooter-Squad Assignment'!$A:$A,MATCH(C912&amp;"-"&amp;E912&amp;"-"&amp;F912&amp;"-Pos1",'Shooter-Squad Assignment'!$Z:$Z,0)),""),"")))</f>
        <v/>
      </c>
      <c r="H912" s="88" t="str">
        <f>IF(ISBLANK(G912),"",IFERROR(INDEX('Tournament List'!$D:$D,MATCH(G912,'Tournament List'!$A:$A,0)),""))</f>
        <v/>
      </c>
      <c r="I912" s="96" t="str">
        <f>IF(F912="Skeet",IFERROR(INDEX('Shooter-Squad Assignment'!$A:$A,MATCH(C912&amp;"-"&amp;E912&amp;"-"&amp;F912&amp;"-Pos2",'Shooter-Squad Assignment'!$K:$K,0)),""),IF(F912="Trap",IFERROR(INDEX('Shooter-Squad Assignment'!$A:$A,MATCH(C912&amp;"-"&amp;E912&amp;"-"&amp;F912&amp;"-Pos2",'Shooter-Squad Assignment'!$W:$W,0)),""),IF(F912="Sporting Clays",IFERROR(INDEX('Shooter-Squad Assignment'!$A:$A,MATCH(C912&amp;"-"&amp;E912&amp;"-"&amp;F912&amp;"-Pos2",'Shooter-Squad Assignment'!$Z:$Z,0)),""),"")))</f>
        <v/>
      </c>
      <c r="J912" s="88" t="str">
        <f>IF(ISBLANK(I912),"",IFERROR(INDEX('Tournament List'!$D:$D,MATCH(I912,'Tournament List'!$A:$A,0)),""))</f>
        <v/>
      </c>
      <c r="K912" s="96" t="str">
        <f>IF(F912="Skeet",IFERROR(INDEX('Shooter-Squad Assignment'!$A:$A,MATCH(C912&amp;"-"&amp;E912&amp;"-"&amp;F912&amp;"-Pos3",'Shooter-Squad Assignment'!$K:$K,0)),""),IF(F912="Trap",IFERROR(INDEX('Shooter-Squad Assignment'!$A:$A,MATCH(C912&amp;"-"&amp;E912&amp;"-"&amp;F912&amp;"-Pos3",'Shooter-Squad Assignment'!$W:$W,0)),""),IF(F912="Sporting Clays",IFERROR(INDEX('Shooter-Squad Assignment'!$A:$A,MATCH(C912&amp;"-"&amp;E912&amp;"-"&amp;F912&amp;"-Pos3",'Shooter-Squad Assignment'!$Z:$Z,0)),""),"")))</f>
        <v/>
      </c>
      <c r="L912" s="88" t="str">
        <f>IF(ISBLANK(K912),"",IFERROR(INDEX('Tournament List'!$D:$D,MATCH(K912,'Tournament List'!$A:$A,0)),""))</f>
        <v/>
      </c>
      <c r="M912" s="96" t="str">
        <f>IF(F912="Skeet",IFERROR(INDEX('Shooter-Squad Assignment'!$A:$A,MATCH(C912&amp;"-"&amp;E912&amp;"-"&amp;F912&amp;"-Pos4",'Shooter-Squad Assignment'!$K:$K,0)),""),IF(F912="Trap",IFERROR(INDEX('Shooter-Squad Assignment'!$A:$A,MATCH(C912&amp;"-"&amp;E912&amp;"-"&amp;F912&amp;"-Pos4",'Shooter-Squad Assignment'!$W:$W,0)),""),IF(F912="Sporting Clays",IFERROR(INDEX('Shooter-Squad Assignment'!$A:$A,MATCH(C912&amp;"-"&amp;E912&amp;"-"&amp;F912&amp;"-Pos4",'Shooter-Squad Assignment'!$Z:$Z,0)),""),"")))</f>
        <v/>
      </c>
      <c r="N912" s="88" t="str">
        <f>IF(ISBLANK(M912),"",IFERROR(INDEX('Tournament List'!$D:$D,MATCH(M912,'Tournament List'!$A:$A,0)),""))</f>
        <v/>
      </c>
      <c r="O912" s="96" t="str">
        <f>IF(F912="Skeet",IFERROR(INDEX('Shooter-Squad Assignment'!$A:$A,MATCH(C912&amp;"-"&amp;E912&amp;"-"&amp;F912&amp;"-Pos5",'Shooter-Squad Assignment'!$K:$K,0)),""),IF(F912="Trap",IFERROR(INDEX('Shooter-Squad Assignment'!$A:$A,MATCH(C912&amp;"-"&amp;E912&amp;"-"&amp;F912&amp;"-Pos5",'Shooter-Squad Assignment'!$W:$W,0)),""),IF(F912="Sporting Clays",IFERROR(INDEX('Shooter-Squad Assignment'!$A:$A,MATCH(C912&amp;"-"&amp;E912&amp;"-"&amp;F912&amp;"-Pos5",'Shooter-Squad Assignment'!$Z:$Z,0)),""),"")))</f>
        <v/>
      </c>
      <c r="P912" s="89" t="str">
        <f>IF(ISBLANK(O912),"",IFERROR(INDEX('Tournament List'!$D:$D,MATCH(O912,'Tournament List'!$A:$A,0)),""))</f>
        <v/>
      </c>
    </row>
    <row r="913" spans="1:16" ht="15" thickBot="1" x14ac:dyDescent="0.35">
      <c r="A913" s="90">
        <v>912</v>
      </c>
      <c r="B913" s="91" t="str">
        <f>C913&amp;"-"&amp;E913&amp;"-"&amp;F913</f>
        <v>-Varsity 3-Trap</v>
      </c>
      <c r="C913" s="91"/>
      <c r="D913" s="91" t="str">
        <f>INDEX('Tournament Setup'!$B$59:$B$78,MATCH(E913,SquadConcurrents,0))</f>
        <v>Varsity</v>
      </c>
      <c r="E913" s="91" t="s">
        <v>352</v>
      </c>
      <c r="F913" s="91" t="s">
        <v>147</v>
      </c>
      <c r="G913" s="97" t="str">
        <f>IF(F913="Skeet",IFERROR(INDEX('Shooter-Squad Assignment'!$A:$A,MATCH(C913&amp;"-"&amp;E913&amp;"-"&amp;F913&amp;"-Pos1",'Shooter-Squad Assignment'!$K:$K,0)),""),IF(F913="Trap",IFERROR(INDEX('Shooter-Squad Assignment'!$A:$A,MATCH(C913&amp;"-"&amp;E913&amp;"-"&amp;F913&amp;"-Pos1",'Shooter-Squad Assignment'!$W:$W,0)),""),IF(F913="Sporting Clays",IFERROR(INDEX('Shooter-Squad Assignment'!$A:$A,MATCH(C913&amp;"-"&amp;E913&amp;"-"&amp;F913&amp;"-Pos1",'Shooter-Squad Assignment'!$Z:$Z,0)),""),"")))</f>
        <v/>
      </c>
      <c r="H913" s="91" t="str">
        <f>IF(ISBLANK(G913),"",IFERROR(INDEX('Tournament List'!$D:$D,MATCH(G913,'Tournament List'!$A:$A,0)),""))</f>
        <v/>
      </c>
      <c r="I913" s="97" t="str">
        <f>IF(F913="Skeet",IFERROR(INDEX('Shooter-Squad Assignment'!$A:$A,MATCH(C913&amp;"-"&amp;E913&amp;"-"&amp;F913&amp;"-Pos2",'Shooter-Squad Assignment'!$K:$K,0)),""),IF(F913="Trap",IFERROR(INDEX('Shooter-Squad Assignment'!$A:$A,MATCH(C913&amp;"-"&amp;E913&amp;"-"&amp;F913&amp;"-Pos2",'Shooter-Squad Assignment'!$W:$W,0)),""),IF(F913="Sporting Clays",IFERROR(INDEX('Shooter-Squad Assignment'!$A:$A,MATCH(C913&amp;"-"&amp;E913&amp;"-"&amp;F913&amp;"-Pos2",'Shooter-Squad Assignment'!$Z:$Z,0)),""),"")))</f>
        <v/>
      </c>
      <c r="J913" s="91" t="str">
        <f>IF(ISBLANK(I913),"",IFERROR(INDEX('Tournament List'!$D:$D,MATCH(I913,'Tournament List'!$A:$A,0)),""))</f>
        <v/>
      </c>
      <c r="K913" s="97" t="str">
        <f>IF(F913="Skeet",IFERROR(INDEX('Shooter-Squad Assignment'!$A:$A,MATCH(C913&amp;"-"&amp;E913&amp;"-"&amp;F913&amp;"-Pos3",'Shooter-Squad Assignment'!$K:$K,0)),""),IF(F913="Trap",IFERROR(INDEX('Shooter-Squad Assignment'!$A:$A,MATCH(C913&amp;"-"&amp;E913&amp;"-"&amp;F913&amp;"-Pos3",'Shooter-Squad Assignment'!$W:$W,0)),""),IF(F913="Sporting Clays",IFERROR(INDEX('Shooter-Squad Assignment'!$A:$A,MATCH(C913&amp;"-"&amp;E913&amp;"-"&amp;F913&amp;"-Pos3",'Shooter-Squad Assignment'!$Z:$Z,0)),""),"")))</f>
        <v/>
      </c>
      <c r="L913" s="91" t="str">
        <f>IF(ISBLANK(K913),"",IFERROR(INDEX('Tournament List'!$D:$D,MATCH(K913,'Tournament List'!$A:$A,0)),""))</f>
        <v/>
      </c>
      <c r="M913" s="97" t="str">
        <f>IF(F913="Skeet",IFERROR(INDEX('Shooter-Squad Assignment'!$A:$A,MATCH(C913&amp;"-"&amp;E913&amp;"-"&amp;F913&amp;"-Pos4",'Shooter-Squad Assignment'!$K:$K,0)),""),IF(F913="Trap",IFERROR(INDEX('Shooter-Squad Assignment'!$A:$A,MATCH(C913&amp;"-"&amp;E913&amp;"-"&amp;F913&amp;"-Pos4",'Shooter-Squad Assignment'!$W:$W,0)),""),IF(F913="Sporting Clays",IFERROR(INDEX('Shooter-Squad Assignment'!$A:$A,MATCH(C913&amp;"-"&amp;E913&amp;"-"&amp;F913&amp;"-Pos4",'Shooter-Squad Assignment'!$Z:$Z,0)),""),"")))</f>
        <v/>
      </c>
      <c r="N913" s="91" t="str">
        <f>IF(ISBLANK(M913),"",IFERROR(INDEX('Tournament List'!$D:$D,MATCH(M913,'Tournament List'!$A:$A,0)),""))</f>
        <v/>
      </c>
      <c r="O913" s="97" t="str">
        <f>IF(F913="Skeet",IFERROR(INDEX('Shooter-Squad Assignment'!$A:$A,MATCH(C913&amp;"-"&amp;E913&amp;"-"&amp;F913&amp;"-Pos5",'Shooter-Squad Assignment'!$K:$K,0)),""),IF(F913="Trap",IFERROR(INDEX('Shooter-Squad Assignment'!$A:$A,MATCH(C913&amp;"-"&amp;E913&amp;"-"&amp;F913&amp;"-Pos5",'Shooter-Squad Assignment'!$W:$W,0)),""),IF(F913="Sporting Clays",IFERROR(INDEX('Shooter-Squad Assignment'!$A:$A,MATCH(C913&amp;"-"&amp;E913&amp;"-"&amp;F913&amp;"-Pos5",'Shooter-Squad Assignment'!$Z:$Z,0)),""),"")))</f>
        <v/>
      </c>
      <c r="P913" s="92" t="str">
        <f>IF(ISBLANK(O913),"",IFERROR(INDEX('Tournament List'!$D:$D,MATCH(O913,'Tournament List'!$A:$A,0)),""))</f>
        <v/>
      </c>
    </row>
    <row r="914" spans="1:16" x14ac:dyDescent="0.3">
      <c r="A914" s="76">
        <v>913</v>
      </c>
      <c r="B914" s="77" t="str">
        <f>C914&amp;"-"&amp;E914&amp;"-"&amp;F914</f>
        <v>-Collegiate 1-Skeet</v>
      </c>
      <c r="C914" s="77"/>
      <c r="D914" s="77" t="str">
        <f>INDEX('Tournament Setup'!$B$59:$B$78,MATCH(E914,SquadConcurrents,0))</f>
        <v>Collegiate</v>
      </c>
      <c r="E914" s="77" t="s">
        <v>342</v>
      </c>
      <c r="F914" s="77" t="s">
        <v>143</v>
      </c>
      <c r="G914" s="93" t="str">
        <f>IF(F914="Skeet",IFERROR(INDEX('Shooter-Squad Assignment'!$A:$A,MATCH(C914&amp;"-"&amp;E914&amp;"-"&amp;F914&amp;"-Pos1",'Shooter-Squad Assignment'!$K:$K,0)),""),IF(F914="Trap",IFERROR(INDEX('Shooter-Squad Assignment'!$A:$A,MATCH(C914&amp;"-"&amp;E914&amp;"-"&amp;F914&amp;"-Pos1",'Shooter-Squad Assignment'!$W:$W,0)),""),IF(F914="Sporting Clays",IFERROR(INDEX('Shooter-Squad Assignment'!$A:$A,MATCH(C914&amp;"-"&amp;E914&amp;"-"&amp;F914&amp;"-Pos1",'Shooter-Squad Assignment'!$Z:$Z,0)),""),"")))</f>
        <v/>
      </c>
      <c r="H914" s="77" t="str">
        <f>IF(ISBLANK(G914),"",IFERROR(INDEX('Tournament List'!$D:$D,MATCH(G914,'Tournament List'!$A:$A,0)),""))</f>
        <v/>
      </c>
      <c r="I914" s="93" t="str">
        <f>IF(F914="Skeet",IFERROR(INDEX('Shooter-Squad Assignment'!$A:$A,MATCH(C914&amp;"-"&amp;E914&amp;"-"&amp;F914&amp;"-Pos2",'Shooter-Squad Assignment'!$K:$K,0)),""),IF(F914="Trap",IFERROR(INDEX('Shooter-Squad Assignment'!$A:$A,MATCH(C914&amp;"-"&amp;E914&amp;"-"&amp;F914&amp;"-Pos2",'Shooter-Squad Assignment'!$W:$W,0)),""),IF(F914="Sporting Clays",IFERROR(INDEX('Shooter-Squad Assignment'!$A:$A,MATCH(C914&amp;"-"&amp;E914&amp;"-"&amp;F914&amp;"-Pos2",'Shooter-Squad Assignment'!$Z:$Z,0)),""),"")))</f>
        <v/>
      </c>
      <c r="J914" s="77" t="str">
        <f>IF(ISBLANK(I914),"",IFERROR(INDEX('Tournament List'!$D:$D,MATCH(I914,'Tournament List'!$A:$A,0)),""))</f>
        <v/>
      </c>
      <c r="K914" s="93" t="str">
        <f>IF(F914="Skeet",IFERROR(INDEX('Shooter-Squad Assignment'!$A:$A,MATCH(C914&amp;"-"&amp;E914&amp;"-"&amp;F914&amp;"-Pos3",'Shooter-Squad Assignment'!$K:$K,0)),""),IF(F914="Trap",IFERROR(INDEX('Shooter-Squad Assignment'!$A:$A,MATCH(C914&amp;"-"&amp;E914&amp;"-"&amp;F914&amp;"-Pos3",'Shooter-Squad Assignment'!$W:$W,0)),""),IF(F914="Sporting Clays",IFERROR(INDEX('Shooter-Squad Assignment'!$A:$A,MATCH(C914&amp;"-"&amp;E914&amp;"-"&amp;F914&amp;"-Pos3",'Shooter-Squad Assignment'!$Z:$Z,0)),""),"")))</f>
        <v/>
      </c>
      <c r="L914" s="77" t="str">
        <f>IF(ISBLANK(K914),"",IFERROR(INDEX('Tournament List'!$D:$D,MATCH(K914,'Tournament List'!$A:$A,0)),""))</f>
        <v/>
      </c>
      <c r="M914" s="93" t="str">
        <f>IF(F914="Skeet",IFERROR(INDEX('Shooter-Squad Assignment'!$A:$A,MATCH(C914&amp;"-"&amp;E914&amp;"-"&amp;F914&amp;"-Pos4",'Shooter-Squad Assignment'!$K:$K,0)),""),IF(F914="Trap",IFERROR(INDEX('Shooter-Squad Assignment'!$A:$A,MATCH(C914&amp;"-"&amp;E914&amp;"-"&amp;F914&amp;"-Pos4",'Shooter-Squad Assignment'!$W:$W,0)),""),IF(F914="Sporting Clays",IFERROR(INDEX('Shooter-Squad Assignment'!$A:$A,MATCH(C914&amp;"-"&amp;E914&amp;"-"&amp;F914&amp;"-Pos4",'Shooter-Squad Assignment'!$Z:$Z,0)),""),"")))</f>
        <v/>
      </c>
      <c r="N914" s="77" t="str">
        <f>IF(ISBLANK(M914),"",IFERROR(INDEX('Tournament List'!$D:$D,MATCH(M914,'Tournament List'!$A:$A,0)),""))</f>
        <v/>
      </c>
      <c r="O914" s="93" t="str">
        <f>IF(F914="Skeet",IFERROR(INDEX('Shooter-Squad Assignment'!$A:$A,MATCH(C914&amp;"-"&amp;E914&amp;"-"&amp;F914&amp;"-Pos5",'Shooter-Squad Assignment'!$K:$K,0)),""),IF(F914="Trap",IFERROR(INDEX('Shooter-Squad Assignment'!$A:$A,MATCH(C914&amp;"-"&amp;E914&amp;"-"&amp;F914&amp;"-Pos5",'Shooter-Squad Assignment'!$W:$W,0)),""),IF(F914="Sporting Clays",IFERROR(INDEX('Shooter-Squad Assignment'!$A:$A,MATCH(C914&amp;"-"&amp;E914&amp;"-"&amp;F914&amp;"-Pos5",'Shooter-Squad Assignment'!$Z:$Z,0)),""),"")))</f>
        <v/>
      </c>
      <c r="P914" s="77" t="str">
        <f>IF(ISBLANK(O914),"",IFERROR(INDEX('Tournament List'!$D:$D,MATCH(O914,'Tournament List'!$A:$A,0)),""))</f>
        <v/>
      </c>
    </row>
    <row r="915" spans="1:16" x14ac:dyDescent="0.3">
      <c r="A915" s="78">
        <v>914</v>
      </c>
      <c r="B915" s="73" t="str">
        <f>C915&amp;"-"&amp;E915&amp;"-"&amp;F915</f>
        <v>-Collegiate 2-Skeet</v>
      </c>
      <c r="C915" s="73"/>
      <c r="D915" s="73" t="str">
        <f>INDEX('Tournament Setup'!$B$59:$B$78,MATCH(E915,SquadConcurrents,0))</f>
        <v>Collegiate</v>
      </c>
      <c r="E915" s="73" t="s">
        <v>348</v>
      </c>
      <c r="F915" s="73" t="s">
        <v>143</v>
      </c>
      <c r="G915" s="94" t="str">
        <f>IF(F915="Skeet",IFERROR(INDEX('Shooter-Squad Assignment'!$A:$A,MATCH(C915&amp;"-"&amp;E915&amp;"-"&amp;F915&amp;"-Pos1",'Shooter-Squad Assignment'!$K:$K,0)),""),IF(F915="Trap",IFERROR(INDEX('Shooter-Squad Assignment'!$A:$A,MATCH(C915&amp;"-"&amp;E915&amp;"-"&amp;F915&amp;"-Pos1",'Shooter-Squad Assignment'!$W:$W,0)),""),IF(F915="Sporting Clays",IFERROR(INDEX('Shooter-Squad Assignment'!$A:$A,MATCH(C915&amp;"-"&amp;E915&amp;"-"&amp;F915&amp;"-Pos1",'Shooter-Squad Assignment'!$Z:$Z,0)),""),"")))</f>
        <v/>
      </c>
      <c r="H915" s="73" t="str">
        <f>IF(ISBLANK(G915),"",IFERROR(INDEX('Tournament List'!$D:$D,MATCH(G915,'Tournament List'!$A:$A,0)),""))</f>
        <v/>
      </c>
      <c r="I915" s="94" t="str">
        <f>IF(F915="Skeet",IFERROR(INDEX('Shooter-Squad Assignment'!$A:$A,MATCH(C915&amp;"-"&amp;E915&amp;"-"&amp;F915&amp;"-Pos2",'Shooter-Squad Assignment'!$K:$K,0)),""),IF(F915="Trap",IFERROR(INDEX('Shooter-Squad Assignment'!$A:$A,MATCH(C915&amp;"-"&amp;E915&amp;"-"&amp;F915&amp;"-Pos2",'Shooter-Squad Assignment'!$W:$W,0)),""),IF(F915="Sporting Clays",IFERROR(INDEX('Shooter-Squad Assignment'!$A:$A,MATCH(C915&amp;"-"&amp;E915&amp;"-"&amp;F915&amp;"-Pos2",'Shooter-Squad Assignment'!$Z:$Z,0)),""),"")))</f>
        <v/>
      </c>
      <c r="J915" s="73" t="str">
        <f>IF(ISBLANK(I915),"",IFERROR(INDEX('Tournament List'!$D:$D,MATCH(I915,'Tournament List'!$A:$A,0)),""))</f>
        <v/>
      </c>
      <c r="K915" s="94" t="str">
        <f>IF(F915="Skeet",IFERROR(INDEX('Shooter-Squad Assignment'!$A:$A,MATCH(C915&amp;"-"&amp;E915&amp;"-"&amp;F915&amp;"-Pos3",'Shooter-Squad Assignment'!$K:$K,0)),""),IF(F915="Trap",IFERROR(INDEX('Shooter-Squad Assignment'!$A:$A,MATCH(C915&amp;"-"&amp;E915&amp;"-"&amp;F915&amp;"-Pos3",'Shooter-Squad Assignment'!$W:$W,0)),""),IF(F915="Sporting Clays",IFERROR(INDEX('Shooter-Squad Assignment'!$A:$A,MATCH(C915&amp;"-"&amp;E915&amp;"-"&amp;F915&amp;"-Pos3",'Shooter-Squad Assignment'!$Z:$Z,0)),""),"")))</f>
        <v/>
      </c>
      <c r="L915" s="73" t="str">
        <f>IF(ISBLANK(K915),"",IFERROR(INDEX('Tournament List'!$D:$D,MATCH(K915,'Tournament List'!$A:$A,0)),""))</f>
        <v/>
      </c>
      <c r="M915" s="94" t="str">
        <f>IF(F915="Skeet",IFERROR(INDEX('Shooter-Squad Assignment'!$A:$A,MATCH(C915&amp;"-"&amp;E915&amp;"-"&amp;F915&amp;"-Pos4",'Shooter-Squad Assignment'!$K:$K,0)),""),IF(F915="Trap",IFERROR(INDEX('Shooter-Squad Assignment'!$A:$A,MATCH(C915&amp;"-"&amp;E915&amp;"-"&amp;F915&amp;"-Pos4",'Shooter-Squad Assignment'!$W:$W,0)),""),IF(F915="Sporting Clays",IFERROR(INDEX('Shooter-Squad Assignment'!$A:$A,MATCH(C915&amp;"-"&amp;E915&amp;"-"&amp;F915&amp;"-Pos4",'Shooter-Squad Assignment'!$Z:$Z,0)),""),"")))</f>
        <v/>
      </c>
      <c r="N915" s="73" t="str">
        <f>IF(ISBLANK(M915),"",IFERROR(INDEX('Tournament List'!$D:$D,MATCH(M915,'Tournament List'!$A:$A,0)),""))</f>
        <v/>
      </c>
      <c r="O915" s="94" t="str">
        <f>IF(F915="Skeet",IFERROR(INDEX('Shooter-Squad Assignment'!$A:$A,MATCH(C915&amp;"-"&amp;E915&amp;"-"&amp;F915&amp;"-Pos5",'Shooter-Squad Assignment'!$K:$K,0)),""),IF(F915="Trap",IFERROR(INDEX('Shooter-Squad Assignment'!$A:$A,MATCH(C915&amp;"-"&amp;E915&amp;"-"&amp;F915&amp;"-Pos5",'Shooter-Squad Assignment'!$W:$W,0)),""),IF(F915="Sporting Clays",IFERROR(INDEX('Shooter-Squad Assignment'!$A:$A,MATCH(C915&amp;"-"&amp;E915&amp;"-"&amp;F915&amp;"-Pos5",'Shooter-Squad Assignment'!$Z:$Z,0)),""),"")))</f>
        <v/>
      </c>
      <c r="P915" s="79" t="str">
        <f>IF(ISBLANK(O915),"",IFERROR(INDEX('Tournament List'!$D:$D,MATCH(O915,'Tournament List'!$A:$A,0)),""))</f>
        <v/>
      </c>
    </row>
    <row r="916" spans="1:16" x14ac:dyDescent="0.3">
      <c r="A916" s="78">
        <v>915</v>
      </c>
      <c r="B916" s="73" t="str">
        <f>C916&amp;"-"&amp;E916&amp;"-"&amp;F916</f>
        <v>-Collegiate 3-Skeet</v>
      </c>
      <c r="C916" s="73"/>
      <c r="D916" s="73" t="str">
        <f>INDEX('Tournament Setup'!$B$59:$B$78,MATCH(E916,SquadConcurrents,0))</f>
        <v>Collegiate</v>
      </c>
      <c r="E916" s="73" t="s">
        <v>354</v>
      </c>
      <c r="F916" s="73" t="s">
        <v>143</v>
      </c>
      <c r="G916" s="94" t="str">
        <f>IF(F916="Skeet",IFERROR(INDEX('Shooter-Squad Assignment'!$A:$A,MATCH(C916&amp;"-"&amp;E916&amp;"-"&amp;F916&amp;"-Pos1",'Shooter-Squad Assignment'!$K:$K,0)),""),IF(F916="Trap",IFERROR(INDEX('Shooter-Squad Assignment'!$A:$A,MATCH(C916&amp;"-"&amp;E916&amp;"-"&amp;F916&amp;"-Pos1",'Shooter-Squad Assignment'!$W:$W,0)),""),IF(F916="Sporting Clays",IFERROR(INDEX('Shooter-Squad Assignment'!$A:$A,MATCH(C916&amp;"-"&amp;E916&amp;"-"&amp;F916&amp;"-Pos1",'Shooter-Squad Assignment'!$Z:$Z,0)),""),"")))</f>
        <v/>
      </c>
      <c r="H916" s="73" t="str">
        <f>IF(ISBLANK(G916),"",IFERROR(INDEX('Tournament List'!$D:$D,MATCH(G916,'Tournament List'!$A:$A,0)),""))</f>
        <v/>
      </c>
      <c r="I916" s="94" t="str">
        <f>IF(F916="Skeet",IFERROR(INDEX('Shooter-Squad Assignment'!$A:$A,MATCH(C916&amp;"-"&amp;E916&amp;"-"&amp;F916&amp;"-Pos2",'Shooter-Squad Assignment'!$K:$K,0)),""),IF(F916="Trap",IFERROR(INDEX('Shooter-Squad Assignment'!$A:$A,MATCH(C916&amp;"-"&amp;E916&amp;"-"&amp;F916&amp;"-Pos2",'Shooter-Squad Assignment'!$W:$W,0)),""),IF(F916="Sporting Clays",IFERROR(INDEX('Shooter-Squad Assignment'!$A:$A,MATCH(C916&amp;"-"&amp;E916&amp;"-"&amp;F916&amp;"-Pos2",'Shooter-Squad Assignment'!$Z:$Z,0)),""),"")))</f>
        <v/>
      </c>
      <c r="J916" s="73" t="str">
        <f>IF(ISBLANK(I916),"",IFERROR(INDEX('Tournament List'!$D:$D,MATCH(I916,'Tournament List'!$A:$A,0)),""))</f>
        <v/>
      </c>
      <c r="K916" s="94" t="str">
        <f>IF(F916="Skeet",IFERROR(INDEX('Shooter-Squad Assignment'!$A:$A,MATCH(C916&amp;"-"&amp;E916&amp;"-"&amp;F916&amp;"-Pos3",'Shooter-Squad Assignment'!$K:$K,0)),""),IF(F916="Trap",IFERROR(INDEX('Shooter-Squad Assignment'!$A:$A,MATCH(C916&amp;"-"&amp;E916&amp;"-"&amp;F916&amp;"-Pos3",'Shooter-Squad Assignment'!$W:$W,0)),""),IF(F916="Sporting Clays",IFERROR(INDEX('Shooter-Squad Assignment'!$A:$A,MATCH(C916&amp;"-"&amp;E916&amp;"-"&amp;F916&amp;"-Pos3",'Shooter-Squad Assignment'!$Z:$Z,0)),""),"")))</f>
        <v/>
      </c>
      <c r="L916" s="73" t="str">
        <f>IF(ISBLANK(K916),"",IFERROR(INDEX('Tournament List'!$D:$D,MATCH(K916,'Tournament List'!$A:$A,0)),""))</f>
        <v/>
      </c>
      <c r="M916" s="94" t="str">
        <f>IF(F916="Skeet",IFERROR(INDEX('Shooter-Squad Assignment'!$A:$A,MATCH(C916&amp;"-"&amp;E916&amp;"-"&amp;F916&amp;"-Pos4",'Shooter-Squad Assignment'!$K:$K,0)),""),IF(F916="Trap",IFERROR(INDEX('Shooter-Squad Assignment'!$A:$A,MATCH(C916&amp;"-"&amp;E916&amp;"-"&amp;F916&amp;"-Pos4",'Shooter-Squad Assignment'!$W:$W,0)),""),IF(F916="Sporting Clays",IFERROR(INDEX('Shooter-Squad Assignment'!$A:$A,MATCH(C916&amp;"-"&amp;E916&amp;"-"&amp;F916&amp;"-Pos4",'Shooter-Squad Assignment'!$Z:$Z,0)),""),"")))</f>
        <v/>
      </c>
      <c r="N916" s="73" t="str">
        <f>IF(ISBLANK(M916),"",IFERROR(INDEX('Tournament List'!$D:$D,MATCH(M916,'Tournament List'!$A:$A,0)),""))</f>
        <v/>
      </c>
      <c r="O916" s="94" t="str">
        <f>IF(F916="Skeet",IFERROR(INDEX('Shooter-Squad Assignment'!$A:$A,MATCH(C916&amp;"-"&amp;E916&amp;"-"&amp;F916&amp;"-Pos5",'Shooter-Squad Assignment'!$K:$K,0)),""),IF(F916="Trap",IFERROR(INDEX('Shooter-Squad Assignment'!$A:$A,MATCH(C916&amp;"-"&amp;E916&amp;"-"&amp;F916&amp;"-Pos5",'Shooter-Squad Assignment'!$W:$W,0)),""),IF(F916="Sporting Clays",IFERROR(INDEX('Shooter-Squad Assignment'!$A:$A,MATCH(C916&amp;"-"&amp;E916&amp;"-"&amp;F916&amp;"-Pos5",'Shooter-Squad Assignment'!$Z:$Z,0)),""),"")))</f>
        <v/>
      </c>
      <c r="P916" s="79" t="str">
        <f>IF(ISBLANK(O916),"",IFERROR(INDEX('Tournament List'!$D:$D,MATCH(O916,'Tournament List'!$A:$A,0)),""))</f>
        <v/>
      </c>
    </row>
    <row r="917" spans="1:16" x14ac:dyDescent="0.3">
      <c r="A917" s="78">
        <v>916</v>
      </c>
      <c r="B917" s="73" t="str">
        <f>C917&amp;"-"&amp;E917&amp;"-"&amp;F917</f>
        <v>-Intermediate 1-Skeet</v>
      </c>
      <c r="C917" s="73"/>
      <c r="D917" s="73" t="str">
        <f>INDEX('Tournament Setup'!$B$59:$B$78,MATCH(E917,SquadConcurrents,0))</f>
        <v>Intermediate</v>
      </c>
      <c r="E917" s="73" t="s">
        <v>338</v>
      </c>
      <c r="F917" s="73" t="s">
        <v>143</v>
      </c>
      <c r="G917" s="94" t="str">
        <f>IF(F917="Skeet",IFERROR(INDEX('Shooter-Squad Assignment'!$A:$A,MATCH(C917&amp;"-"&amp;E917&amp;"-"&amp;F917&amp;"-Pos1",'Shooter-Squad Assignment'!$K:$K,0)),""),IF(F917="Trap",IFERROR(INDEX('Shooter-Squad Assignment'!$A:$A,MATCH(C917&amp;"-"&amp;E917&amp;"-"&amp;F917&amp;"-Pos1",'Shooter-Squad Assignment'!$W:$W,0)),""),IF(F917="Sporting Clays",IFERROR(INDEX('Shooter-Squad Assignment'!$A:$A,MATCH(C917&amp;"-"&amp;E917&amp;"-"&amp;F917&amp;"-Pos1",'Shooter-Squad Assignment'!$Z:$Z,0)),""),"")))</f>
        <v/>
      </c>
      <c r="H917" s="73" t="str">
        <f>IF(ISBLANK(G917),"",IFERROR(INDEX('Tournament List'!$D:$D,MATCH(G917,'Tournament List'!$A:$A,0)),""))</f>
        <v/>
      </c>
      <c r="I917" s="94" t="str">
        <f>IF(F917="Skeet",IFERROR(INDEX('Shooter-Squad Assignment'!$A:$A,MATCH(C917&amp;"-"&amp;E917&amp;"-"&amp;F917&amp;"-Pos2",'Shooter-Squad Assignment'!$K:$K,0)),""),IF(F917="Trap",IFERROR(INDEX('Shooter-Squad Assignment'!$A:$A,MATCH(C917&amp;"-"&amp;E917&amp;"-"&amp;F917&amp;"-Pos2",'Shooter-Squad Assignment'!$W:$W,0)),""),IF(F917="Sporting Clays",IFERROR(INDEX('Shooter-Squad Assignment'!$A:$A,MATCH(C917&amp;"-"&amp;E917&amp;"-"&amp;F917&amp;"-Pos2",'Shooter-Squad Assignment'!$Z:$Z,0)),""),"")))</f>
        <v/>
      </c>
      <c r="J917" s="73" t="str">
        <f>IF(ISBLANK(I917),"",IFERROR(INDEX('Tournament List'!$D:$D,MATCH(I917,'Tournament List'!$A:$A,0)),""))</f>
        <v/>
      </c>
      <c r="K917" s="94" t="str">
        <f>IF(F917="Skeet",IFERROR(INDEX('Shooter-Squad Assignment'!$A:$A,MATCH(C917&amp;"-"&amp;E917&amp;"-"&amp;F917&amp;"-Pos3",'Shooter-Squad Assignment'!$K:$K,0)),""),IF(F917="Trap",IFERROR(INDEX('Shooter-Squad Assignment'!$A:$A,MATCH(C917&amp;"-"&amp;E917&amp;"-"&amp;F917&amp;"-Pos3",'Shooter-Squad Assignment'!$W:$W,0)),""),IF(F917="Sporting Clays",IFERROR(INDEX('Shooter-Squad Assignment'!$A:$A,MATCH(C917&amp;"-"&amp;E917&amp;"-"&amp;F917&amp;"-Pos3",'Shooter-Squad Assignment'!$Z:$Z,0)),""),"")))</f>
        <v/>
      </c>
      <c r="L917" s="73" t="str">
        <f>IF(ISBLANK(K917),"",IFERROR(INDEX('Tournament List'!$D:$D,MATCH(K917,'Tournament List'!$A:$A,0)),""))</f>
        <v/>
      </c>
      <c r="M917" s="94" t="str">
        <f>IF(F917="Skeet",IFERROR(INDEX('Shooter-Squad Assignment'!$A:$A,MATCH(C917&amp;"-"&amp;E917&amp;"-"&amp;F917&amp;"-Pos4",'Shooter-Squad Assignment'!$K:$K,0)),""),IF(F917="Trap",IFERROR(INDEX('Shooter-Squad Assignment'!$A:$A,MATCH(C917&amp;"-"&amp;E917&amp;"-"&amp;F917&amp;"-Pos4",'Shooter-Squad Assignment'!$W:$W,0)),""),IF(F917="Sporting Clays",IFERROR(INDEX('Shooter-Squad Assignment'!$A:$A,MATCH(C917&amp;"-"&amp;E917&amp;"-"&amp;F917&amp;"-Pos4",'Shooter-Squad Assignment'!$Z:$Z,0)),""),"")))</f>
        <v/>
      </c>
      <c r="N917" s="73" t="str">
        <f>IF(ISBLANK(M917),"",IFERROR(INDEX('Tournament List'!$D:$D,MATCH(M917,'Tournament List'!$A:$A,0)),""))</f>
        <v/>
      </c>
      <c r="O917" s="94" t="str">
        <f>IF(F917="Skeet",IFERROR(INDEX('Shooter-Squad Assignment'!$A:$A,MATCH(C917&amp;"-"&amp;E917&amp;"-"&amp;F917&amp;"-Pos5",'Shooter-Squad Assignment'!$K:$K,0)),""),IF(F917="Trap",IFERROR(INDEX('Shooter-Squad Assignment'!$A:$A,MATCH(C917&amp;"-"&amp;E917&amp;"-"&amp;F917&amp;"-Pos5",'Shooter-Squad Assignment'!$W:$W,0)),""),IF(F917="Sporting Clays",IFERROR(INDEX('Shooter-Squad Assignment'!$A:$A,MATCH(C917&amp;"-"&amp;E917&amp;"-"&amp;F917&amp;"-Pos5",'Shooter-Squad Assignment'!$Z:$Z,0)),""),"")))</f>
        <v/>
      </c>
      <c r="P917" s="79" t="str">
        <f>IF(ISBLANK(O917),"",IFERROR(INDEX('Tournament List'!$D:$D,MATCH(O917,'Tournament List'!$A:$A,0)),""))</f>
        <v/>
      </c>
    </row>
    <row r="918" spans="1:16" x14ac:dyDescent="0.3">
      <c r="A918" s="78">
        <v>917</v>
      </c>
      <c r="B918" s="73" t="str">
        <f>C918&amp;"-"&amp;E918&amp;"-"&amp;F918</f>
        <v>-Intermediate 2-Skeet</v>
      </c>
      <c r="C918" s="73"/>
      <c r="D918" s="73" t="str">
        <f>INDEX('Tournament Setup'!$B$59:$B$78,MATCH(E918,SquadConcurrents,0))</f>
        <v>Intermediate</v>
      </c>
      <c r="E918" s="73" t="s">
        <v>344</v>
      </c>
      <c r="F918" s="73" t="s">
        <v>143</v>
      </c>
      <c r="G918" s="94" t="str">
        <f>IF(F918="Skeet",IFERROR(INDEX('Shooter-Squad Assignment'!$A:$A,MATCH(C918&amp;"-"&amp;E918&amp;"-"&amp;F918&amp;"-Pos1",'Shooter-Squad Assignment'!$K:$K,0)),""),IF(F918="Trap",IFERROR(INDEX('Shooter-Squad Assignment'!$A:$A,MATCH(C918&amp;"-"&amp;E918&amp;"-"&amp;F918&amp;"-Pos1",'Shooter-Squad Assignment'!$W:$W,0)),""),IF(F918="Sporting Clays",IFERROR(INDEX('Shooter-Squad Assignment'!$A:$A,MATCH(C918&amp;"-"&amp;E918&amp;"-"&amp;F918&amp;"-Pos1",'Shooter-Squad Assignment'!$Z:$Z,0)),""),"")))</f>
        <v/>
      </c>
      <c r="H918" s="73" t="str">
        <f>IF(ISBLANK(G918),"",IFERROR(INDEX('Tournament List'!$D:$D,MATCH(G918,'Tournament List'!$A:$A,0)),""))</f>
        <v/>
      </c>
      <c r="I918" s="94" t="str">
        <f>IF(F918="Skeet",IFERROR(INDEX('Shooter-Squad Assignment'!$A:$A,MATCH(C918&amp;"-"&amp;E918&amp;"-"&amp;F918&amp;"-Pos2",'Shooter-Squad Assignment'!$K:$K,0)),""),IF(F918="Trap",IFERROR(INDEX('Shooter-Squad Assignment'!$A:$A,MATCH(C918&amp;"-"&amp;E918&amp;"-"&amp;F918&amp;"-Pos2",'Shooter-Squad Assignment'!$W:$W,0)),""),IF(F918="Sporting Clays",IFERROR(INDEX('Shooter-Squad Assignment'!$A:$A,MATCH(C918&amp;"-"&amp;E918&amp;"-"&amp;F918&amp;"-Pos2",'Shooter-Squad Assignment'!$Z:$Z,0)),""),"")))</f>
        <v/>
      </c>
      <c r="J918" s="73" t="str">
        <f>IF(ISBLANK(I918),"",IFERROR(INDEX('Tournament List'!$D:$D,MATCH(I918,'Tournament List'!$A:$A,0)),""))</f>
        <v/>
      </c>
      <c r="K918" s="94" t="str">
        <f>IF(F918="Skeet",IFERROR(INDEX('Shooter-Squad Assignment'!$A:$A,MATCH(C918&amp;"-"&amp;E918&amp;"-"&amp;F918&amp;"-Pos3",'Shooter-Squad Assignment'!$K:$K,0)),""),IF(F918="Trap",IFERROR(INDEX('Shooter-Squad Assignment'!$A:$A,MATCH(C918&amp;"-"&amp;E918&amp;"-"&amp;F918&amp;"-Pos3",'Shooter-Squad Assignment'!$W:$W,0)),""),IF(F918="Sporting Clays",IFERROR(INDEX('Shooter-Squad Assignment'!$A:$A,MATCH(C918&amp;"-"&amp;E918&amp;"-"&amp;F918&amp;"-Pos3",'Shooter-Squad Assignment'!$Z:$Z,0)),""),"")))</f>
        <v/>
      </c>
      <c r="L918" s="73" t="str">
        <f>IF(ISBLANK(K918),"",IFERROR(INDEX('Tournament List'!$D:$D,MATCH(K918,'Tournament List'!$A:$A,0)),""))</f>
        <v/>
      </c>
      <c r="M918" s="94" t="str">
        <f>IF(F918="Skeet",IFERROR(INDEX('Shooter-Squad Assignment'!$A:$A,MATCH(C918&amp;"-"&amp;E918&amp;"-"&amp;F918&amp;"-Pos4",'Shooter-Squad Assignment'!$K:$K,0)),""),IF(F918="Trap",IFERROR(INDEX('Shooter-Squad Assignment'!$A:$A,MATCH(C918&amp;"-"&amp;E918&amp;"-"&amp;F918&amp;"-Pos4",'Shooter-Squad Assignment'!$W:$W,0)),""),IF(F918="Sporting Clays",IFERROR(INDEX('Shooter-Squad Assignment'!$A:$A,MATCH(C918&amp;"-"&amp;E918&amp;"-"&amp;F918&amp;"-Pos4",'Shooter-Squad Assignment'!$Z:$Z,0)),""),"")))</f>
        <v/>
      </c>
      <c r="N918" s="73" t="str">
        <f>IF(ISBLANK(M918),"",IFERROR(INDEX('Tournament List'!$D:$D,MATCH(M918,'Tournament List'!$A:$A,0)),""))</f>
        <v/>
      </c>
      <c r="O918" s="94" t="str">
        <f>IF(F918="Skeet",IFERROR(INDEX('Shooter-Squad Assignment'!$A:$A,MATCH(C918&amp;"-"&amp;E918&amp;"-"&amp;F918&amp;"-Pos5",'Shooter-Squad Assignment'!$K:$K,0)),""),IF(F918="Trap",IFERROR(INDEX('Shooter-Squad Assignment'!$A:$A,MATCH(C918&amp;"-"&amp;E918&amp;"-"&amp;F918&amp;"-Pos5",'Shooter-Squad Assignment'!$W:$W,0)),""),IF(F918="Sporting Clays",IFERROR(INDEX('Shooter-Squad Assignment'!$A:$A,MATCH(C918&amp;"-"&amp;E918&amp;"-"&amp;F918&amp;"-Pos5",'Shooter-Squad Assignment'!$Z:$Z,0)),""),"")))</f>
        <v/>
      </c>
      <c r="P918" s="79" t="str">
        <f>IF(ISBLANK(O918),"",IFERROR(INDEX('Tournament List'!$D:$D,MATCH(O918,'Tournament List'!$A:$A,0)),""))</f>
        <v/>
      </c>
    </row>
    <row r="919" spans="1:16" x14ac:dyDescent="0.3">
      <c r="A919" s="78">
        <v>918</v>
      </c>
      <c r="B919" s="73" t="str">
        <f>C919&amp;"-"&amp;E919&amp;"-"&amp;F919</f>
        <v>-Intermediate 3-Skeet</v>
      </c>
      <c r="C919" s="73"/>
      <c r="D919" s="73" t="str">
        <f>INDEX('Tournament Setup'!$B$59:$B$78,MATCH(E919,SquadConcurrents,0))</f>
        <v>Intermediate</v>
      </c>
      <c r="E919" s="73" t="s">
        <v>350</v>
      </c>
      <c r="F919" s="73" t="s">
        <v>143</v>
      </c>
      <c r="G919" s="94" t="str">
        <f>IF(F919="Skeet",IFERROR(INDEX('Shooter-Squad Assignment'!$A:$A,MATCH(C919&amp;"-"&amp;E919&amp;"-"&amp;F919&amp;"-Pos1",'Shooter-Squad Assignment'!$K:$K,0)),""),IF(F919="Trap",IFERROR(INDEX('Shooter-Squad Assignment'!$A:$A,MATCH(C919&amp;"-"&amp;E919&amp;"-"&amp;F919&amp;"-Pos1",'Shooter-Squad Assignment'!$W:$W,0)),""),IF(F919="Sporting Clays",IFERROR(INDEX('Shooter-Squad Assignment'!$A:$A,MATCH(C919&amp;"-"&amp;E919&amp;"-"&amp;F919&amp;"-Pos1",'Shooter-Squad Assignment'!$Z:$Z,0)),""),"")))</f>
        <v/>
      </c>
      <c r="H919" s="73" t="str">
        <f>IF(ISBLANK(G919),"",IFERROR(INDEX('Tournament List'!$D:$D,MATCH(G919,'Tournament List'!$A:$A,0)),""))</f>
        <v/>
      </c>
      <c r="I919" s="94" t="str">
        <f>IF(F919="Skeet",IFERROR(INDEX('Shooter-Squad Assignment'!$A:$A,MATCH(C919&amp;"-"&amp;E919&amp;"-"&amp;F919&amp;"-Pos2",'Shooter-Squad Assignment'!$K:$K,0)),""),IF(F919="Trap",IFERROR(INDEX('Shooter-Squad Assignment'!$A:$A,MATCH(C919&amp;"-"&amp;E919&amp;"-"&amp;F919&amp;"-Pos2",'Shooter-Squad Assignment'!$W:$W,0)),""),IF(F919="Sporting Clays",IFERROR(INDEX('Shooter-Squad Assignment'!$A:$A,MATCH(C919&amp;"-"&amp;E919&amp;"-"&amp;F919&amp;"-Pos2",'Shooter-Squad Assignment'!$Z:$Z,0)),""),"")))</f>
        <v/>
      </c>
      <c r="J919" s="73" t="str">
        <f>IF(ISBLANK(I919),"",IFERROR(INDEX('Tournament List'!$D:$D,MATCH(I919,'Tournament List'!$A:$A,0)),""))</f>
        <v/>
      </c>
      <c r="K919" s="94" t="str">
        <f>IF(F919="Skeet",IFERROR(INDEX('Shooter-Squad Assignment'!$A:$A,MATCH(C919&amp;"-"&amp;E919&amp;"-"&amp;F919&amp;"-Pos3",'Shooter-Squad Assignment'!$K:$K,0)),""),IF(F919="Trap",IFERROR(INDEX('Shooter-Squad Assignment'!$A:$A,MATCH(C919&amp;"-"&amp;E919&amp;"-"&amp;F919&amp;"-Pos3",'Shooter-Squad Assignment'!$W:$W,0)),""),IF(F919="Sporting Clays",IFERROR(INDEX('Shooter-Squad Assignment'!$A:$A,MATCH(C919&amp;"-"&amp;E919&amp;"-"&amp;F919&amp;"-Pos3",'Shooter-Squad Assignment'!$Z:$Z,0)),""),"")))</f>
        <v/>
      </c>
      <c r="L919" s="73" t="str">
        <f>IF(ISBLANK(K919),"",IFERROR(INDEX('Tournament List'!$D:$D,MATCH(K919,'Tournament List'!$A:$A,0)),""))</f>
        <v/>
      </c>
      <c r="M919" s="94" t="str">
        <f>IF(F919="Skeet",IFERROR(INDEX('Shooter-Squad Assignment'!$A:$A,MATCH(C919&amp;"-"&amp;E919&amp;"-"&amp;F919&amp;"-Pos4",'Shooter-Squad Assignment'!$K:$K,0)),""),IF(F919="Trap",IFERROR(INDEX('Shooter-Squad Assignment'!$A:$A,MATCH(C919&amp;"-"&amp;E919&amp;"-"&amp;F919&amp;"-Pos4",'Shooter-Squad Assignment'!$W:$W,0)),""),IF(F919="Sporting Clays",IFERROR(INDEX('Shooter-Squad Assignment'!$A:$A,MATCH(C919&amp;"-"&amp;E919&amp;"-"&amp;F919&amp;"-Pos4",'Shooter-Squad Assignment'!$Z:$Z,0)),""),"")))</f>
        <v/>
      </c>
      <c r="N919" s="73" t="str">
        <f>IF(ISBLANK(M919),"",IFERROR(INDEX('Tournament List'!$D:$D,MATCH(M919,'Tournament List'!$A:$A,0)),""))</f>
        <v/>
      </c>
      <c r="O919" s="94" t="str">
        <f>IF(F919="Skeet",IFERROR(INDEX('Shooter-Squad Assignment'!$A:$A,MATCH(C919&amp;"-"&amp;E919&amp;"-"&amp;F919&amp;"-Pos5",'Shooter-Squad Assignment'!$K:$K,0)),""),IF(F919="Trap",IFERROR(INDEX('Shooter-Squad Assignment'!$A:$A,MATCH(C919&amp;"-"&amp;E919&amp;"-"&amp;F919&amp;"-Pos5",'Shooter-Squad Assignment'!$W:$W,0)),""),IF(F919="Sporting Clays",IFERROR(INDEX('Shooter-Squad Assignment'!$A:$A,MATCH(C919&amp;"-"&amp;E919&amp;"-"&amp;F919&amp;"-Pos5",'Shooter-Squad Assignment'!$Z:$Z,0)),""),"")))</f>
        <v/>
      </c>
      <c r="P919" s="79" t="str">
        <f>IF(ISBLANK(O919),"",IFERROR(INDEX('Tournament List'!$D:$D,MATCH(O919,'Tournament List'!$A:$A,0)),""))</f>
        <v/>
      </c>
    </row>
    <row r="920" spans="1:16" x14ac:dyDescent="0.3">
      <c r="A920" s="78">
        <v>919</v>
      </c>
      <c r="B920" s="73" t="str">
        <f>C920&amp;"-"&amp;E920&amp;"-"&amp;F920</f>
        <v>-Junior Varsity 1-Skeet</v>
      </c>
      <c r="C920" s="73"/>
      <c r="D920" s="73" t="str">
        <f>INDEX('Tournament Setup'!$B$59:$B$78,MATCH(E920,SquadConcurrents,0))</f>
        <v>Junior Varsity</v>
      </c>
      <c r="E920" s="73" t="s">
        <v>339</v>
      </c>
      <c r="F920" s="73" t="s">
        <v>143</v>
      </c>
      <c r="G920" s="94" t="str">
        <f>IF(F920="Skeet",IFERROR(INDEX('Shooter-Squad Assignment'!$A:$A,MATCH(C920&amp;"-"&amp;E920&amp;"-"&amp;F920&amp;"-Pos1",'Shooter-Squad Assignment'!$K:$K,0)),""),IF(F920="Trap",IFERROR(INDEX('Shooter-Squad Assignment'!$A:$A,MATCH(C920&amp;"-"&amp;E920&amp;"-"&amp;F920&amp;"-Pos1",'Shooter-Squad Assignment'!$W:$W,0)),""),IF(F920="Sporting Clays",IFERROR(INDEX('Shooter-Squad Assignment'!$A:$A,MATCH(C920&amp;"-"&amp;E920&amp;"-"&amp;F920&amp;"-Pos1",'Shooter-Squad Assignment'!$Z:$Z,0)),""),"")))</f>
        <v/>
      </c>
      <c r="H920" s="73" t="str">
        <f>IF(ISBLANK(G920),"",IFERROR(INDEX('Tournament List'!$D:$D,MATCH(G920,'Tournament List'!$A:$A,0)),""))</f>
        <v/>
      </c>
      <c r="I920" s="94" t="str">
        <f>IF(F920="Skeet",IFERROR(INDEX('Shooter-Squad Assignment'!$A:$A,MATCH(C920&amp;"-"&amp;E920&amp;"-"&amp;F920&amp;"-Pos2",'Shooter-Squad Assignment'!$K:$K,0)),""),IF(F920="Trap",IFERROR(INDEX('Shooter-Squad Assignment'!$A:$A,MATCH(C920&amp;"-"&amp;E920&amp;"-"&amp;F920&amp;"-Pos2",'Shooter-Squad Assignment'!$W:$W,0)),""),IF(F920="Sporting Clays",IFERROR(INDEX('Shooter-Squad Assignment'!$A:$A,MATCH(C920&amp;"-"&amp;E920&amp;"-"&amp;F920&amp;"-Pos2",'Shooter-Squad Assignment'!$Z:$Z,0)),""),"")))</f>
        <v/>
      </c>
      <c r="J920" s="73" t="str">
        <f>IF(ISBLANK(I920),"",IFERROR(INDEX('Tournament List'!$D:$D,MATCH(I920,'Tournament List'!$A:$A,0)),""))</f>
        <v/>
      </c>
      <c r="K920" s="94" t="str">
        <f>IF(F920="Skeet",IFERROR(INDEX('Shooter-Squad Assignment'!$A:$A,MATCH(C920&amp;"-"&amp;E920&amp;"-"&amp;F920&amp;"-Pos3",'Shooter-Squad Assignment'!$K:$K,0)),""),IF(F920="Trap",IFERROR(INDEX('Shooter-Squad Assignment'!$A:$A,MATCH(C920&amp;"-"&amp;E920&amp;"-"&amp;F920&amp;"-Pos3",'Shooter-Squad Assignment'!$W:$W,0)),""),IF(F920="Sporting Clays",IFERROR(INDEX('Shooter-Squad Assignment'!$A:$A,MATCH(C920&amp;"-"&amp;E920&amp;"-"&amp;F920&amp;"-Pos3",'Shooter-Squad Assignment'!$Z:$Z,0)),""),"")))</f>
        <v/>
      </c>
      <c r="L920" s="73" t="str">
        <f>IF(ISBLANK(K920),"",IFERROR(INDEX('Tournament List'!$D:$D,MATCH(K920,'Tournament List'!$A:$A,0)),""))</f>
        <v/>
      </c>
      <c r="M920" s="94" t="str">
        <f>IF(F920="Skeet",IFERROR(INDEX('Shooter-Squad Assignment'!$A:$A,MATCH(C920&amp;"-"&amp;E920&amp;"-"&amp;F920&amp;"-Pos4",'Shooter-Squad Assignment'!$K:$K,0)),""),IF(F920="Trap",IFERROR(INDEX('Shooter-Squad Assignment'!$A:$A,MATCH(C920&amp;"-"&amp;E920&amp;"-"&amp;F920&amp;"-Pos4",'Shooter-Squad Assignment'!$W:$W,0)),""),IF(F920="Sporting Clays",IFERROR(INDEX('Shooter-Squad Assignment'!$A:$A,MATCH(C920&amp;"-"&amp;E920&amp;"-"&amp;F920&amp;"-Pos4",'Shooter-Squad Assignment'!$Z:$Z,0)),""),"")))</f>
        <v/>
      </c>
      <c r="N920" s="73" t="str">
        <f>IF(ISBLANK(M920),"",IFERROR(INDEX('Tournament List'!$D:$D,MATCH(M920,'Tournament List'!$A:$A,0)),""))</f>
        <v/>
      </c>
      <c r="O920" s="94" t="str">
        <f>IF(F920="Skeet",IFERROR(INDEX('Shooter-Squad Assignment'!$A:$A,MATCH(C920&amp;"-"&amp;E920&amp;"-"&amp;F920&amp;"-Pos5",'Shooter-Squad Assignment'!$K:$K,0)),""),IF(F920="Trap",IFERROR(INDEX('Shooter-Squad Assignment'!$A:$A,MATCH(C920&amp;"-"&amp;E920&amp;"-"&amp;F920&amp;"-Pos5",'Shooter-Squad Assignment'!$W:$W,0)),""),IF(F920="Sporting Clays",IFERROR(INDEX('Shooter-Squad Assignment'!$A:$A,MATCH(C920&amp;"-"&amp;E920&amp;"-"&amp;F920&amp;"-Pos5",'Shooter-Squad Assignment'!$Z:$Z,0)),""),"")))</f>
        <v/>
      </c>
      <c r="P920" s="79" t="str">
        <f>IF(ISBLANK(O920),"",IFERROR(INDEX('Tournament List'!$D:$D,MATCH(O920,'Tournament List'!$A:$A,0)),""))</f>
        <v/>
      </c>
    </row>
    <row r="921" spans="1:16" x14ac:dyDescent="0.3">
      <c r="A921" s="78">
        <v>920</v>
      </c>
      <c r="B921" s="73" t="str">
        <f>C921&amp;"-"&amp;E921&amp;"-"&amp;F921</f>
        <v>-Junior Varsity 2-Skeet</v>
      </c>
      <c r="C921" s="73"/>
      <c r="D921" s="73" t="str">
        <f>INDEX('Tournament Setup'!$B$59:$B$78,MATCH(E921,SquadConcurrents,0))</f>
        <v>Junior Varsity</v>
      </c>
      <c r="E921" s="73" t="s">
        <v>345</v>
      </c>
      <c r="F921" s="73" t="s">
        <v>143</v>
      </c>
      <c r="G921" s="94" t="str">
        <f>IF(F921="Skeet",IFERROR(INDEX('Shooter-Squad Assignment'!$A:$A,MATCH(C921&amp;"-"&amp;E921&amp;"-"&amp;F921&amp;"-Pos1",'Shooter-Squad Assignment'!$K:$K,0)),""),IF(F921="Trap",IFERROR(INDEX('Shooter-Squad Assignment'!$A:$A,MATCH(C921&amp;"-"&amp;E921&amp;"-"&amp;F921&amp;"-Pos1",'Shooter-Squad Assignment'!$W:$W,0)),""),IF(F921="Sporting Clays",IFERROR(INDEX('Shooter-Squad Assignment'!$A:$A,MATCH(C921&amp;"-"&amp;E921&amp;"-"&amp;F921&amp;"-Pos1",'Shooter-Squad Assignment'!$Z:$Z,0)),""),"")))</f>
        <v/>
      </c>
      <c r="H921" s="73" t="str">
        <f>IF(ISBLANK(G921),"",IFERROR(INDEX('Tournament List'!$D:$D,MATCH(G921,'Tournament List'!$A:$A,0)),""))</f>
        <v/>
      </c>
      <c r="I921" s="94" t="str">
        <f>IF(F921="Skeet",IFERROR(INDEX('Shooter-Squad Assignment'!$A:$A,MATCH(C921&amp;"-"&amp;E921&amp;"-"&amp;F921&amp;"-Pos2",'Shooter-Squad Assignment'!$K:$K,0)),""),IF(F921="Trap",IFERROR(INDEX('Shooter-Squad Assignment'!$A:$A,MATCH(C921&amp;"-"&amp;E921&amp;"-"&amp;F921&amp;"-Pos2",'Shooter-Squad Assignment'!$W:$W,0)),""),IF(F921="Sporting Clays",IFERROR(INDEX('Shooter-Squad Assignment'!$A:$A,MATCH(C921&amp;"-"&amp;E921&amp;"-"&amp;F921&amp;"-Pos2",'Shooter-Squad Assignment'!$Z:$Z,0)),""),"")))</f>
        <v/>
      </c>
      <c r="J921" s="73" t="str">
        <f>IF(ISBLANK(I921),"",IFERROR(INDEX('Tournament List'!$D:$D,MATCH(I921,'Tournament List'!$A:$A,0)),""))</f>
        <v/>
      </c>
      <c r="K921" s="94" t="str">
        <f>IF(F921="Skeet",IFERROR(INDEX('Shooter-Squad Assignment'!$A:$A,MATCH(C921&amp;"-"&amp;E921&amp;"-"&amp;F921&amp;"-Pos3",'Shooter-Squad Assignment'!$K:$K,0)),""),IF(F921="Trap",IFERROR(INDEX('Shooter-Squad Assignment'!$A:$A,MATCH(C921&amp;"-"&amp;E921&amp;"-"&amp;F921&amp;"-Pos3",'Shooter-Squad Assignment'!$W:$W,0)),""),IF(F921="Sporting Clays",IFERROR(INDEX('Shooter-Squad Assignment'!$A:$A,MATCH(C921&amp;"-"&amp;E921&amp;"-"&amp;F921&amp;"-Pos3",'Shooter-Squad Assignment'!$Z:$Z,0)),""),"")))</f>
        <v/>
      </c>
      <c r="L921" s="73" t="str">
        <f>IF(ISBLANK(K921),"",IFERROR(INDEX('Tournament List'!$D:$D,MATCH(K921,'Tournament List'!$A:$A,0)),""))</f>
        <v/>
      </c>
      <c r="M921" s="94" t="str">
        <f>IF(F921="Skeet",IFERROR(INDEX('Shooter-Squad Assignment'!$A:$A,MATCH(C921&amp;"-"&amp;E921&amp;"-"&amp;F921&amp;"-Pos4",'Shooter-Squad Assignment'!$K:$K,0)),""),IF(F921="Trap",IFERROR(INDEX('Shooter-Squad Assignment'!$A:$A,MATCH(C921&amp;"-"&amp;E921&amp;"-"&amp;F921&amp;"-Pos4",'Shooter-Squad Assignment'!$W:$W,0)),""),IF(F921="Sporting Clays",IFERROR(INDEX('Shooter-Squad Assignment'!$A:$A,MATCH(C921&amp;"-"&amp;E921&amp;"-"&amp;F921&amp;"-Pos4",'Shooter-Squad Assignment'!$Z:$Z,0)),""),"")))</f>
        <v/>
      </c>
      <c r="N921" s="73" t="str">
        <f>IF(ISBLANK(M921),"",IFERROR(INDEX('Tournament List'!$D:$D,MATCH(M921,'Tournament List'!$A:$A,0)),""))</f>
        <v/>
      </c>
      <c r="O921" s="94" t="str">
        <f>IF(F921="Skeet",IFERROR(INDEX('Shooter-Squad Assignment'!$A:$A,MATCH(C921&amp;"-"&amp;E921&amp;"-"&amp;F921&amp;"-Pos5",'Shooter-Squad Assignment'!$K:$K,0)),""),IF(F921="Trap",IFERROR(INDEX('Shooter-Squad Assignment'!$A:$A,MATCH(C921&amp;"-"&amp;E921&amp;"-"&amp;F921&amp;"-Pos5",'Shooter-Squad Assignment'!$W:$W,0)),""),IF(F921="Sporting Clays",IFERROR(INDEX('Shooter-Squad Assignment'!$A:$A,MATCH(C921&amp;"-"&amp;E921&amp;"-"&amp;F921&amp;"-Pos5",'Shooter-Squad Assignment'!$Z:$Z,0)),""),"")))</f>
        <v/>
      </c>
      <c r="P921" s="79" t="str">
        <f>IF(ISBLANK(O921),"",IFERROR(INDEX('Tournament List'!$D:$D,MATCH(O921,'Tournament List'!$A:$A,0)),""))</f>
        <v/>
      </c>
    </row>
    <row r="922" spans="1:16" x14ac:dyDescent="0.3">
      <c r="A922" s="78">
        <v>921</v>
      </c>
      <c r="B922" s="73" t="str">
        <f>C922&amp;"-"&amp;E922&amp;"-"&amp;F922</f>
        <v>-Junior Varsity 3-Skeet</v>
      </c>
      <c r="C922" s="73"/>
      <c r="D922" s="73" t="str">
        <f>INDEX('Tournament Setup'!$B$59:$B$78,MATCH(E922,SquadConcurrents,0))</f>
        <v>Junior Varsity</v>
      </c>
      <c r="E922" s="73" t="s">
        <v>351</v>
      </c>
      <c r="F922" s="73" t="s">
        <v>143</v>
      </c>
      <c r="G922" s="94" t="str">
        <f>IF(F922="Skeet",IFERROR(INDEX('Shooter-Squad Assignment'!$A:$A,MATCH(C922&amp;"-"&amp;E922&amp;"-"&amp;F922&amp;"-Pos1",'Shooter-Squad Assignment'!$K:$K,0)),""),IF(F922="Trap",IFERROR(INDEX('Shooter-Squad Assignment'!$A:$A,MATCH(C922&amp;"-"&amp;E922&amp;"-"&amp;F922&amp;"-Pos1",'Shooter-Squad Assignment'!$W:$W,0)),""),IF(F922="Sporting Clays",IFERROR(INDEX('Shooter-Squad Assignment'!$A:$A,MATCH(C922&amp;"-"&amp;E922&amp;"-"&amp;F922&amp;"-Pos1",'Shooter-Squad Assignment'!$Z:$Z,0)),""),"")))</f>
        <v/>
      </c>
      <c r="H922" s="73" t="str">
        <f>IF(ISBLANK(G922),"",IFERROR(INDEX('Tournament List'!$D:$D,MATCH(G922,'Tournament List'!$A:$A,0)),""))</f>
        <v/>
      </c>
      <c r="I922" s="94" t="str">
        <f>IF(F922="Skeet",IFERROR(INDEX('Shooter-Squad Assignment'!$A:$A,MATCH(C922&amp;"-"&amp;E922&amp;"-"&amp;F922&amp;"-Pos2",'Shooter-Squad Assignment'!$K:$K,0)),""),IF(F922="Trap",IFERROR(INDEX('Shooter-Squad Assignment'!$A:$A,MATCH(C922&amp;"-"&amp;E922&amp;"-"&amp;F922&amp;"-Pos2",'Shooter-Squad Assignment'!$W:$W,0)),""),IF(F922="Sporting Clays",IFERROR(INDEX('Shooter-Squad Assignment'!$A:$A,MATCH(C922&amp;"-"&amp;E922&amp;"-"&amp;F922&amp;"-Pos2",'Shooter-Squad Assignment'!$Z:$Z,0)),""),"")))</f>
        <v/>
      </c>
      <c r="J922" s="73" t="str">
        <f>IF(ISBLANK(I922),"",IFERROR(INDEX('Tournament List'!$D:$D,MATCH(I922,'Tournament List'!$A:$A,0)),""))</f>
        <v/>
      </c>
      <c r="K922" s="94" t="str">
        <f>IF(F922="Skeet",IFERROR(INDEX('Shooter-Squad Assignment'!$A:$A,MATCH(C922&amp;"-"&amp;E922&amp;"-"&amp;F922&amp;"-Pos3",'Shooter-Squad Assignment'!$K:$K,0)),""),IF(F922="Trap",IFERROR(INDEX('Shooter-Squad Assignment'!$A:$A,MATCH(C922&amp;"-"&amp;E922&amp;"-"&amp;F922&amp;"-Pos3",'Shooter-Squad Assignment'!$W:$W,0)),""),IF(F922="Sporting Clays",IFERROR(INDEX('Shooter-Squad Assignment'!$A:$A,MATCH(C922&amp;"-"&amp;E922&amp;"-"&amp;F922&amp;"-Pos3",'Shooter-Squad Assignment'!$Z:$Z,0)),""),"")))</f>
        <v/>
      </c>
      <c r="L922" s="73" t="str">
        <f>IF(ISBLANK(K922),"",IFERROR(INDEX('Tournament List'!$D:$D,MATCH(K922,'Tournament List'!$A:$A,0)),""))</f>
        <v/>
      </c>
      <c r="M922" s="94" t="str">
        <f>IF(F922="Skeet",IFERROR(INDEX('Shooter-Squad Assignment'!$A:$A,MATCH(C922&amp;"-"&amp;E922&amp;"-"&amp;F922&amp;"-Pos4",'Shooter-Squad Assignment'!$K:$K,0)),""),IF(F922="Trap",IFERROR(INDEX('Shooter-Squad Assignment'!$A:$A,MATCH(C922&amp;"-"&amp;E922&amp;"-"&amp;F922&amp;"-Pos4",'Shooter-Squad Assignment'!$W:$W,0)),""),IF(F922="Sporting Clays",IFERROR(INDEX('Shooter-Squad Assignment'!$A:$A,MATCH(C922&amp;"-"&amp;E922&amp;"-"&amp;F922&amp;"-Pos4",'Shooter-Squad Assignment'!$Z:$Z,0)),""),"")))</f>
        <v/>
      </c>
      <c r="N922" s="73" t="str">
        <f>IF(ISBLANK(M922),"",IFERROR(INDEX('Tournament List'!$D:$D,MATCH(M922,'Tournament List'!$A:$A,0)),""))</f>
        <v/>
      </c>
      <c r="O922" s="94" t="str">
        <f>IF(F922="Skeet",IFERROR(INDEX('Shooter-Squad Assignment'!$A:$A,MATCH(C922&amp;"-"&amp;E922&amp;"-"&amp;F922&amp;"-Pos5",'Shooter-Squad Assignment'!$K:$K,0)),""),IF(F922="Trap",IFERROR(INDEX('Shooter-Squad Assignment'!$A:$A,MATCH(C922&amp;"-"&amp;E922&amp;"-"&amp;F922&amp;"-Pos5",'Shooter-Squad Assignment'!$W:$W,0)),""),IF(F922="Sporting Clays",IFERROR(INDEX('Shooter-Squad Assignment'!$A:$A,MATCH(C922&amp;"-"&amp;E922&amp;"-"&amp;F922&amp;"-Pos5",'Shooter-Squad Assignment'!$Z:$Z,0)),""),"")))</f>
        <v/>
      </c>
      <c r="P922" s="79" t="str">
        <f>IF(ISBLANK(O922),"",IFERROR(INDEX('Tournament List'!$D:$D,MATCH(O922,'Tournament List'!$A:$A,0)),""))</f>
        <v/>
      </c>
    </row>
    <row r="923" spans="1:16" x14ac:dyDescent="0.3">
      <c r="A923" s="78">
        <v>922</v>
      </c>
      <c r="B923" s="73" t="str">
        <f>C923&amp;"-"&amp;E923&amp;"-"&amp;F923</f>
        <v>-Novice 1-Skeet</v>
      </c>
      <c r="C923" s="73"/>
      <c r="D923" s="73" t="str">
        <f>INDEX('Tournament Setup'!$B$59:$B$78,MATCH(E923,SquadConcurrents,0))</f>
        <v>Novice</v>
      </c>
      <c r="E923" s="73" t="s">
        <v>337</v>
      </c>
      <c r="F923" s="73" t="s">
        <v>143</v>
      </c>
      <c r="G923" s="94" t="str">
        <f>IF(F923="Skeet",IFERROR(INDEX('Shooter-Squad Assignment'!$A:$A,MATCH(C923&amp;"-"&amp;E923&amp;"-"&amp;F923&amp;"-Pos1",'Shooter-Squad Assignment'!$K:$K,0)),""),IF(F923="Trap",IFERROR(INDEX('Shooter-Squad Assignment'!$A:$A,MATCH(C923&amp;"-"&amp;E923&amp;"-"&amp;F923&amp;"-Pos1",'Shooter-Squad Assignment'!$W:$W,0)),""),IF(F923="Sporting Clays",IFERROR(INDEX('Shooter-Squad Assignment'!$A:$A,MATCH(C923&amp;"-"&amp;E923&amp;"-"&amp;F923&amp;"-Pos1",'Shooter-Squad Assignment'!$Z:$Z,0)),""),"")))</f>
        <v/>
      </c>
      <c r="H923" s="73" t="str">
        <f>IF(ISBLANK(G923),"",IFERROR(INDEX('Tournament List'!$D:$D,MATCH(G923,'Tournament List'!$A:$A,0)),""))</f>
        <v/>
      </c>
      <c r="I923" s="94" t="str">
        <f>IF(F923="Skeet",IFERROR(INDEX('Shooter-Squad Assignment'!$A:$A,MATCH(C923&amp;"-"&amp;E923&amp;"-"&amp;F923&amp;"-Pos2",'Shooter-Squad Assignment'!$K:$K,0)),""),IF(F923="Trap",IFERROR(INDEX('Shooter-Squad Assignment'!$A:$A,MATCH(C923&amp;"-"&amp;E923&amp;"-"&amp;F923&amp;"-Pos2",'Shooter-Squad Assignment'!$W:$W,0)),""),IF(F923="Sporting Clays",IFERROR(INDEX('Shooter-Squad Assignment'!$A:$A,MATCH(C923&amp;"-"&amp;E923&amp;"-"&amp;F923&amp;"-Pos2",'Shooter-Squad Assignment'!$Z:$Z,0)),""),"")))</f>
        <v/>
      </c>
      <c r="J923" s="73" t="str">
        <f>IF(ISBLANK(I923),"",IFERROR(INDEX('Tournament List'!$D:$D,MATCH(I923,'Tournament List'!$A:$A,0)),""))</f>
        <v/>
      </c>
      <c r="K923" s="94" t="str">
        <f>IF(F923="Skeet",IFERROR(INDEX('Shooter-Squad Assignment'!$A:$A,MATCH(C923&amp;"-"&amp;E923&amp;"-"&amp;F923&amp;"-Pos3",'Shooter-Squad Assignment'!$K:$K,0)),""),IF(F923="Trap",IFERROR(INDEX('Shooter-Squad Assignment'!$A:$A,MATCH(C923&amp;"-"&amp;E923&amp;"-"&amp;F923&amp;"-Pos3",'Shooter-Squad Assignment'!$W:$W,0)),""),IF(F923="Sporting Clays",IFERROR(INDEX('Shooter-Squad Assignment'!$A:$A,MATCH(C923&amp;"-"&amp;E923&amp;"-"&amp;F923&amp;"-Pos3",'Shooter-Squad Assignment'!$Z:$Z,0)),""),"")))</f>
        <v/>
      </c>
      <c r="L923" s="73" t="str">
        <f>IF(ISBLANK(K923),"",IFERROR(INDEX('Tournament List'!$D:$D,MATCH(K923,'Tournament List'!$A:$A,0)),""))</f>
        <v/>
      </c>
      <c r="M923" s="94" t="str">
        <f>IF(F923="Skeet",IFERROR(INDEX('Shooter-Squad Assignment'!$A:$A,MATCH(C923&amp;"-"&amp;E923&amp;"-"&amp;F923&amp;"-Pos4",'Shooter-Squad Assignment'!$K:$K,0)),""),IF(F923="Trap",IFERROR(INDEX('Shooter-Squad Assignment'!$A:$A,MATCH(C923&amp;"-"&amp;E923&amp;"-"&amp;F923&amp;"-Pos4",'Shooter-Squad Assignment'!$W:$W,0)),""),IF(F923="Sporting Clays",IFERROR(INDEX('Shooter-Squad Assignment'!$A:$A,MATCH(C923&amp;"-"&amp;E923&amp;"-"&amp;F923&amp;"-Pos4",'Shooter-Squad Assignment'!$Z:$Z,0)),""),"")))</f>
        <v/>
      </c>
      <c r="N923" s="73" t="str">
        <f>IF(ISBLANK(M923),"",IFERROR(INDEX('Tournament List'!$D:$D,MATCH(M923,'Tournament List'!$A:$A,0)),""))</f>
        <v/>
      </c>
      <c r="O923" s="94" t="str">
        <f>IF(F923="Skeet",IFERROR(INDEX('Shooter-Squad Assignment'!$A:$A,MATCH(C923&amp;"-"&amp;E923&amp;"-"&amp;F923&amp;"-Pos5",'Shooter-Squad Assignment'!$K:$K,0)),""),IF(F923="Trap",IFERROR(INDEX('Shooter-Squad Assignment'!$A:$A,MATCH(C923&amp;"-"&amp;E923&amp;"-"&amp;F923&amp;"-Pos5",'Shooter-Squad Assignment'!$W:$W,0)),""),IF(F923="Sporting Clays",IFERROR(INDEX('Shooter-Squad Assignment'!$A:$A,MATCH(C923&amp;"-"&amp;E923&amp;"-"&amp;F923&amp;"-Pos5",'Shooter-Squad Assignment'!$Z:$Z,0)),""),"")))</f>
        <v/>
      </c>
      <c r="P923" s="79" t="str">
        <f>IF(ISBLANK(O923),"",IFERROR(INDEX('Tournament List'!$D:$D,MATCH(O923,'Tournament List'!$A:$A,0)),""))</f>
        <v/>
      </c>
    </row>
    <row r="924" spans="1:16" x14ac:dyDescent="0.3">
      <c r="A924" s="78">
        <v>923</v>
      </c>
      <c r="B924" s="73" t="str">
        <f>C924&amp;"-"&amp;E924&amp;"-"&amp;F924</f>
        <v>-Novice 2-Skeet</v>
      </c>
      <c r="C924" s="73"/>
      <c r="D924" s="73" t="str">
        <f>INDEX('Tournament Setup'!$B$59:$B$78,MATCH(E924,SquadConcurrents,0))</f>
        <v>Novice</v>
      </c>
      <c r="E924" s="73" t="s">
        <v>343</v>
      </c>
      <c r="F924" s="73" t="s">
        <v>143</v>
      </c>
      <c r="G924" s="94" t="str">
        <f>IF(F924="Skeet",IFERROR(INDEX('Shooter-Squad Assignment'!$A:$A,MATCH(C924&amp;"-"&amp;E924&amp;"-"&amp;F924&amp;"-Pos1",'Shooter-Squad Assignment'!$K:$K,0)),""),IF(F924="Trap",IFERROR(INDEX('Shooter-Squad Assignment'!$A:$A,MATCH(C924&amp;"-"&amp;E924&amp;"-"&amp;F924&amp;"-Pos1",'Shooter-Squad Assignment'!$W:$W,0)),""),IF(F924="Sporting Clays",IFERROR(INDEX('Shooter-Squad Assignment'!$A:$A,MATCH(C924&amp;"-"&amp;E924&amp;"-"&amp;F924&amp;"-Pos1",'Shooter-Squad Assignment'!$Z:$Z,0)),""),"")))</f>
        <v/>
      </c>
      <c r="H924" s="73" t="str">
        <f>IF(ISBLANK(G924),"",IFERROR(INDEX('Tournament List'!$D:$D,MATCH(G924,'Tournament List'!$A:$A,0)),""))</f>
        <v/>
      </c>
      <c r="I924" s="94" t="str">
        <f>IF(F924="Skeet",IFERROR(INDEX('Shooter-Squad Assignment'!$A:$A,MATCH(C924&amp;"-"&amp;E924&amp;"-"&amp;F924&amp;"-Pos2",'Shooter-Squad Assignment'!$K:$K,0)),""),IF(F924="Trap",IFERROR(INDEX('Shooter-Squad Assignment'!$A:$A,MATCH(C924&amp;"-"&amp;E924&amp;"-"&amp;F924&amp;"-Pos2",'Shooter-Squad Assignment'!$W:$W,0)),""),IF(F924="Sporting Clays",IFERROR(INDEX('Shooter-Squad Assignment'!$A:$A,MATCH(C924&amp;"-"&amp;E924&amp;"-"&amp;F924&amp;"-Pos2",'Shooter-Squad Assignment'!$Z:$Z,0)),""),"")))</f>
        <v/>
      </c>
      <c r="J924" s="73" t="str">
        <f>IF(ISBLANK(I924),"",IFERROR(INDEX('Tournament List'!$D:$D,MATCH(I924,'Tournament List'!$A:$A,0)),""))</f>
        <v/>
      </c>
      <c r="K924" s="94" t="str">
        <f>IF(F924="Skeet",IFERROR(INDEX('Shooter-Squad Assignment'!$A:$A,MATCH(C924&amp;"-"&amp;E924&amp;"-"&amp;F924&amp;"-Pos3",'Shooter-Squad Assignment'!$K:$K,0)),""),IF(F924="Trap",IFERROR(INDEX('Shooter-Squad Assignment'!$A:$A,MATCH(C924&amp;"-"&amp;E924&amp;"-"&amp;F924&amp;"-Pos3",'Shooter-Squad Assignment'!$W:$W,0)),""),IF(F924="Sporting Clays",IFERROR(INDEX('Shooter-Squad Assignment'!$A:$A,MATCH(C924&amp;"-"&amp;E924&amp;"-"&amp;F924&amp;"-Pos3",'Shooter-Squad Assignment'!$Z:$Z,0)),""),"")))</f>
        <v/>
      </c>
      <c r="L924" s="73" t="str">
        <f>IF(ISBLANK(K924),"",IFERROR(INDEX('Tournament List'!$D:$D,MATCH(K924,'Tournament List'!$A:$A,0)),""))</f>
        <v/>
      </c>
      <c r="M924" s="94" t="str">
        <f>IF(F924="Skeet",IFERROR(INDEX('Shooter-Squad Assignment'!$A:$A,MATCH(C924&amp;"-"&amp;E924&amp;"-"&amp;F924&amp;"-Pos4",'Shooter-Squad Assignment'!$K:$K,0)),""),IF(F924="Trap",IFERROR(INDEX('Shooter-Squad Assignment'!$A:$A,MATCH(C924&amp;"-"&amp;E924&amp;"-"&amp;F924&amp;"-Pos4",'Shooter-Squad Assignment'!$W:$W,0)),""),IF(F924="Sporting Clays",IFERROR(INDEX('Shooter-Squad Assignment'!$A:$A,MATCH(C924&amp;"-"&amp;E924&amp;"-"&amp;F924&amp;"-Pos4",'Shooter-Squad Assignment'!$Z:$Z,0)),""),"")))</f>
        <v/>
      </c>
      <c r="N924" s="73" t="str">
        <f>IF(ISBLANK(M924),"",IFERROR(INDEX('Tournament List'!$D:$D,MATCH(M924,'Tournament List'!$A:$A,0)),""))</f>
        <v/>
      </c>
      <c r="O924" s="94" t="str">
        <f>IF(F924="Skeet",IFERROR(INDEX('Shooter-Squad Assignment'!$A:$A,MATCH(C924&amp;"-"&amp;E924&amp;"-"&amp;F924&amp;"-Pos5",'Shooter-Squad Assignment'!$K:$K,0)),""),IF(F924="Trap",IFERROR(INDEX('Shooter-Squad Assignment'!$A:$A,MATCH(C924&amp;"-"&amp;E924&amp;"-"&amp;F924&amp;"-Pos5",'Shooter-Squad Assignment'!$W:$W,0)),""),IF(F924="Sporting Clays",IFERROR(INDEX('Shooter-Squad Assignment'!$A:$A,MATCH(C924&amp;"-"&amp;E924&amp;"-"&amp;F924&amp;"-Pos5",'Shooter-Squad Assignment'!$Z:$Z,0)),""),"")))</f>
        <v/>
      </c>
      <c r="P924" s="79" t="str">
        <f>IF(ISBLANK(O924),"",IFERROR(INDEX('Tournament List'!$D:$D,MATCH(O924,'Tournament List'!$A:$A,0)),""))</f>
        <v/>
      </c>
    </row>
    <row r="925" spans="1:16" x14ac:dyDescent="0.3">
      <c r="A925" s="78">
        <v>924</v>
      </c>
      <c r="B925" s="73" t="str">
        <f>C925&amp;"-"&amp;E925&amp;"-"&amp;F925</f>
        <v>-Novice 3-Skeet</v>
      </c>
      <c r="C925" s="73"/>
      <c r="D925" s="73" t="str">
        <f>INDEX('Tournament Setup'!$B$59:$B$78,MATCH(E925,SquadConcurrents,0))</f>
        <v>Novice</v>
      </c>
      <c r="E925" s="73" t="s">
        <v>349</v>
      </c>
      <c r="F925" s="73" t="s">
        <v>143</v>
      </c>
      <c r="G925" s="94" t="str">
        <f>IF(F925="Skeet",IFERROR(INDEX('Shooter-Squad Assignment'!$A:$A,MATCH(C925&amp;"-"&amp;E925&amp;"-"&amp;F925&amp;"-Pos1",'Shooter-Squad Assignment'!$K:$K,0)),""),IF(F925="Trap",IFERROR(INDEX('Shooter-Squad Assignment'!$A:$A,MATCH(C925&amp;"-"&amp;E925&amp;"-"&amp;F925&amp;"-Pos1",'Shooter-Squad Assignment'!$W:$W,0)),""),IF(F925="Sporting Clays",IFERROR(INDEX('Shooter-Squad Assignment'!$A:$A,MATCH(C925&amp;"-"&amp;E925&amp;"-"&amp;F925&amp;"-Pos1",'Shooter-Squad Assignment'!$Z:$Z,0)),""),"")))</f>
        <v/>
      </c>
      <c r="H925" s="73" t="str">
        <f>IF(ISBLANK(G925),"",IFERROR(INDEX('Tournament List'!$D:$D,MATCH(G925,'Tournament List'!$A:$A,0)),""))</f>
        <v/>
      </c>
      <c r="I925" s="94" t="str">
        <f>IF(F925="Skeet",IFERROR(INDEX('Shooter-Squad Assignment'!$A:$A,MATCH(C925&amp;"-"&amp;E925&amp;"-"&amp;F925&amp;"-Pos2",'Shooter-Squad Assignment'!$K:$K,0)),""),IF(F925="Trap",IFERROR(INDEX('Shooter-Squad Assignment'!$A:$A,MATCH(C925&amp;"-"&amp;E925&amp;"-"&amp;F925&amp;"-Pos2",'Shooter-Squad Assignment'!$W:$W,0)),""),IF(F925="Sporting Clays",IFERROR(INDEX('Shooter-Squad Assignment'!$A:$A,MATCH(C925&amp;"-"&amp;E925&amp;"-"&amp;F925&amp;"-Pos2",'Shooter-Squad Assignment'!$Z:$Z,0)),""),"")))</f>
        <v/>
      </c>
      <c r="J925" s="73" t="str">
        <f>IF(ISBLANK(I925),"",IFERROR(INDEX('Tournament List'!$D:$D,MATCH(I925,'Tournament List'!$A:$A,0)),""))</f>
        <v/>
      </c>
      <c r="K925" s="94" t="str">
        <f>IF(F925="Skeet",IFERROR(INDEX('Shooter-Squad Assignment'!$A:$A,MATCH(C925&amp;"-"&amp;E925&amp;"-"&amp;F925&amp;"-Pos3",'Shooter-Squad Assignment'!$K:$K,0)),""),IF(F925="Trap",IFERROR(INDEX('Shooter-Squad Assignment'!$A:$A,MATCH(C925&amp;"-"&amp;E925&amp;"-"&amp;F925&amp;"-Pos3",'Shooter-Squad Assignment'!$W:$W,0)),""),IF(F925="Sporting Clays",IFERROR(INDEX('Shooter-Squad Assignment'!$A:$A,MATCH(C925&amp;"-"&amp;E925&amp;"-"&amp;F925&amp;"-Pos3",'Shooter-Squad Assignment'!$Z:$Z,0)),""),"")))</f>
        <v/>
      </c>
      <c r="L925" s="73" t="str">
        <f>IF(ISBLANK(K925),"",IFERROR(INDEX('Tournament List'!$D:$D,MATCH(K925,'Tournament List'!$A:$A,0)),""))</f>
        <v/>
      </c>
      <c r="M925" s="94" t="str">
        <f>IF(F925="Skeet",IFERROR(INDEX('Shooter-Squad Assignment'!$A:$A,MATCH(C925&amp;"-"&amp;E925&amp;"-"&amp;F925&amp;"-Pos4",'Shooter-Squad Assignment'!$K:$K,0)),""),IF(F925="Trap",IFERROR(INDEX('Shooter-Squad Assignment'!$A:$A,MATCH(C925&amp;"-"&amp;E925&amp;"-"&amp;F925&amp;"-Pos4",'Shooter-Squad Assignment'!$W:$W,0)),""),IF(F925="Sporting Clays",IFERROR(INDEX('Shooter-Squad Assignment'!$A:$A,MATCH(C925&amp;"-"&amp;E925&amp;"-"&amp;F925&amp;"-Pos4",'Shooter-Squad Assignment'!$Z:$Z,0)),""),"")))</f>
        <v/>
      </c>
      <c r="N925" s="73" t="str">
        <f>IF(ISBLANK(M925),"",IFERROR(INDEX('Tournament List'!$D:$D,MATCH(M925,'Tournament List'!$A:$A,0)),""))</f>
        <v/>
      </c>
      <c r="O925" s="94" t="str">
        <f>IF(F925="Skeet",IFERROR(INDEX('Shooter-Squad Assignment'!$A:$A,MATCH(C925&amp;"-"&amp;E925&amp;"-"&amp;F925&amp;"-Pos5",'Shooter-Squad Assignment'!$K:$K,0)),""),IF(F925="Trap",IFERROR(INDEX('Shooter-Squad Assignment'!$A:$A,MATCH(C925&amp;"-"&amp;E925&amp;"-"&amp;F925&amp;"-Pos5",'Shooter-Squad Assignment'!$W:$W,0)),""),IF(F925="Sporting Clays",IFERROR(INDEX('Shooter-Squad Assignment'!$A:$A,MATCH(C925&amp;"-"&amp;E925&amp;"-"&amp;F925&amp;"-Pos5",'Shooter-Squad Assignment'!$Z:$Z,0)),""),"")))</f>
        <v/>
      </c>
      <c r="P925" s="79" t="str">
        <f>IF(ISBLANK(O925),"",IFERROR(INDEX('Tournament List'!$D:$D,MATCH(O925,'Tournament List'!$A:$A,0)),""))</f>
        <v/>
      </c>
    </row>
    <row r="926" spans="1:16" x14ac:dyDescent="0.3">
      <c r="A926" s="78">
        <v>925</v>
      </c>
      <c r="B926" s="73" t="str">
        <f>C926&amp;"-"&amp;E926&amp;"-"&amp;F926</f>
        <v>-Open 1-Skeet</v>
      </c>
      <c r="C926" s="73"/>
      <c r="D926" s="73" t="str">
        <f>INDEX('Tournament Setup'!$B$59:$B$78,MATCH(E926,SquadConcurrents,0))</f>
        <v>Open</v>
      </c>
      <c r="E926" s="73" t="s">
        <v>341</v>
      </c>
      <c r="F926" s="73" t="s">
        <v>143</v>
      </c>
      <c r="G926" s="94" t="str">
        <f>IF(F926="Skeet",IFERROR(INDEX('Shooter-Squad Assignment'!$A:$A,MATCH(C926&amp;"-"&amp;E926&amp;"-"&amp;F926&amp;"-Pos1",'Shooter-Squad Assignment'!$K:$K,0)),""),IF(F926="Trap",IFERROR(INDEX('Shooter-Squad Assignment'!$A:$A,MATCH(C926&amp;"-"&amp;E926&amp;"-"&amp;F926&amp;"-Pos1",'Shooter-Squad Assignment'!$W:$W,0)),""),IF(F926="Sporting Clays",IFERROR(INDEX('Shooter-Squad Assignment'!$A:$A,MATCH(C926&amp;"-"&amp;E926&amp;"-"&amp;F926&amp;"-Pos1",'Shooter-Squad Assignment'!$Z:$Z,0)),""),"")))</f>
        <v/>
      </c>
      <c r="H926" s="73" t="str">
        <f>IF(ISBLANK(G926),"",IFERROR(INDEX('Tournament List'!$D:$D,MATCH(G926,'Tournament List'!$A:$A,0)),""))</f>
        <v/>
      </c>
      <c r="I926" s="94" t="str">
        <f>IF(F926="Skeet",IFERROR(INDEX('Shooter-Squad Assignment'!$A:$A,MATCH(C926&amp;"-"&amp;E926&amp;"-"&amp;F926&amp;"-Pos2",'Shooter-Squad Assignment'!$K:$K,0)),""),IF(F926="Trap",IFERROR(INDEX('Shooter-Squad Assignment'!$A:$A,MATCH(C926&amp;"-"&amp;E926&amp;"-"&amp;F926&amp;"-Pos2",'Shooter-Squad Assignment'!$W:$W,0)),""),IF(F926="Sporting Clays",IFERROR(INDEX('Shooter-Squad Assignment'!$A:$A,MATCH(C926&amp;"-"&amp;E926&amp;"-"&amp;F926&amp;"-Pos2",'Shooter-Squad Assignment'!$Z:$Z,0)),""),"")))</f>
        <v/>
      </c>
      <c r="J926" s="73" t="str">
        <f>IF(ISBLANK(I926),"",IFERROR(INDEX('Tournament List'!$D:$D,MATCH(I926,'Tournament List'!$A:$A,0)),""))</f>
        <v/>
      </c>
      <c r="K926" s="94" t="str">
        <f>IF(F926="Skeet",IFERROR(INDEX('Shooter-Squad Assignment'!$A:$A,MATCH(C926&amp;"-"&amp;E926&amp;"-"&amp;F926&amp;"-Pos3",'Shooter-Squad Assignment'!$K:$K,0)),""),IF(F926="Trap",IFERROR(INDEX('Shooter-Squad Assignment'!$A:$A,MATCH(C926&amp;"-"&amp;E926&amp;"-"&amp;F926&amp;"-Pos3",'Shooter-Squad Assignment'!$W:$W,0)),""),IF(F926="Sporting Clays",IFERROR(INDEX('Shooter-Squad Assignment'!$A:$A,MATCH(C926&amp;"-"&amp;E926&amp;"-"&amp;F926&amp;"-Pos3",'Shooter-Squad Assignment'!$Z:$Z,0)),""),"")))</f>
        <v/>
      </c>
      <c r="L926" s="73" t="str">
        <f>IF(ISBLANK(K926),"",IFERROR(INDEX('Tournament List'!$D:$D,MATCH(K926,'Tournament List'!$A:$A,0)),""))</f>
        <v/>
      </c>
      <c r="M926" s="94" t="str">
        <f>IF(F926="Skeet",IFERROR(INDEX('Shooter-Squad Assignment'!$A:$A,MATCH(C926&amp;"-"&amp;E926&amp;"-"&amp;F926&amp;"-Pos4",'Shooter-Squad Assignment'!$K:$K,0)),""),IF(F926="Trap",IFERROR(INDEX('Shooter-Squad Assignment'!$A:$A,MATCH(C926&amp;"-"&amp;E926&amp;"-"&amp;F926&amp;"-Pos4",'Shooter-Squad Assignment'!$W:$W,0)),""),IF(F926="Sporting Clays",IFERROR(INDEX('Shooter-Squad Assignment'!$A:$A,MATCH(C926&amp;"-"&amp;E926&amp;"-"&amp;F926&amp;"-Pos4",'Shooter-Squad Assignment'!$Z:$Z,0)),""),"")))</f>
        <v/>
      </c>
      <c r="N926" s="73" t="str">
        <f>IF(ISBLANK(M926),"",IFERROR(INDEX('Tournament List'!$D:$D,MATCH(M926,'Tournament List'!$A:$A,0)),""))</f>
        <v/>
      </c>
      <c r="O926" s="94" t="str">
        <f>IF(F926="Skeet",IFERROR(INDEX('Shooter-Squad Assignment'!$A:$A,MATCH(C926&amp;"-"&amp;E926&amp;"-"&amp;F926&amp;"-Pos5",'Shooter-Squad Assignment'!$K:$K,0)),""),IF(F926="Trap",IFERROR(INDEX('Shooter-Squad Assignment'!$A:$A,MATCH(C926&amp;"-"&amp;E926&amp;"-"&amp;F926&amp;"-Pos5",'Shooter-Squad Assignment'!$W:$W,0)),""),IF(F926="Sporting Clays",IFERROR(INDEX('Shooter-Squad Assignment'!$A:$A,MATCH(C926&amp;"-"&amp;E926&amp;"-"&amp;F926&amp;"-Pos5",'Shooter-Squad Assignment'!$Z:$Z,0)),""),"")))</f>
        <v/>
      </c>
      <c r="P926" s="79" t="str">
        <f>IF(ISBLANK(O926),"",IFERROR(INDEX('Tournament List'!$D:$D,MATCH(O926,'Tournament List'!$A:$A,0)),""))</f>
        <v/>
      </c>
    </row>
    <row r="927" spans="1:16" x14ac:dyDescent="0.3">
      <c r="A927" s="78">
        <v>926</v>
      </c>
      <c r="B927" s="73" t="str">
        <f>C927&amp;"-"&amp;E927&amp;"-"&amp;F927</f>
        <v>-Open 2-Skeet</v>
      </c>
      <c r="C927" s="73"/>
      <c r="D927" s="73" t="str">
        <f>INDEX('Tournament Setup'!$B$59:$B$78,MATCH(E927,SquadConcurrents,0))</f>
        <v>Open</v>
      </c>
      <c r="E927" s="73" t="s">
        <v>347</v>
      </c>
      <c r="F927" s="73" t="s">
        <v>143</v>
      </c>
      <c r="G927" s="94" t="str">
        <f>IF(F927="Skeet",IFERROR(INDEX('Shooter-Squad Assignment'!$A:$A,MATCH(C927&amp;"-"&amp;E927&amp;"-"&amp;F927&amp;"-Pos1",'Shooter-Squad Assignment'!$K:$K,0)),""),IF(F927="Trap",IFERROR(INDEX('Shooter-Squad Assignment'!$A:$A,MATCH(C927&amp;"-"&amp;E927&amp;"-"&amp;F927&amp;"-Pos1",'Shooter-Squad Assignment'!$W:$W,0)),""),IF(F927="Sporting Clays",IFERROR(INDEX('Shooter-Squad Assignment'!$A:$A,MATCH(C927&amp;"-"&amp;E927&amp;"-"&amp;F927&amp;"-Pos1",'Shooter-Squad Assignment'!$Z:$Z,0)),""),"")))</f>
        <v/>
      </c>
      <c r="H927" s="73" t="str">
        <f>IF(ISBLANK(G927),"",IFERROR(INDEX('Tournament List'!$D:$D,MATCH(G927,'Tournament List'!$A:$A,0)),""))</f>
        <v/>
      </c>
      <c r="I927" s="94" t="str">
        <f>IF(F927="Skeet",IFERROR(INDEX('Shooter-Squad Assignment'!$A:$A,MATCH(C927&amp;"-"&amp;E927&amp;"-"&amp;F927&amp;"-Pos2",'Shooter-Squad Assignment'!$K:$K,0)),""),IF(F927="Trap",IFERROR(INDEX('Shooter-Squad Assignment'!$A:$A,MATCH(C927&amp;"-"&amp;E927&amp;"-"&amp;F927&amp;"-Pos2",'Shooter-Squad Assignment'!$W:$W,0)),""),IF(F927="Sporting Clays",IFERROR(INDEX('Shooter-Squad Assignment'!$A:$A,MATCH(C927&amp;"-"&amp;E927&amp;"-"&amp;F927&amp;"-Pos2",'Shooter-Squad Assignment'!$Z:$Z,0)),""),"")))</f>
        <v/>
      </c>
      <c r="J927" s="73" t="str">
        <f>IF(ISBLANK(I927),"",IFERROR(INDEX('Tournament List'!$D:$D,MATCH(I927,'Tournament List'!$A:$A,0)),""))</f>
        <v/>
      </c>
      <c r="K927" s="94" t="str">
        <f>IF(F927="Skeet",IFERROR(INDEX('Shooter-Squad Assignment'!$A:$A,MATCH(C927&amp;"-"&amp;E927&amp;"-"&amp;F927&amp;"-Pos3",'Shooter-Squad Assignment'!$K:$K,0)),""),IF(F927="Trap",IFERROR(INDEX('Shooter-Squad Assignment'!$A:$A,MATCH(C927&amp;"-"&amp;E927&amp;"-"&amp;F927&amp;"-Pos3",'Shooter-Squad Assignment'!$W:$W,0)),""),IF(F927="Sporting Clays",IFERROR(INDEX('Shooter-Squad Assignment'!$A:$A,MATCH(C927&amp;"-"&amp;E927&amp;"-"&amp;F927&amp;"-Pos3",'Shooter-Squad Assignment'!$Z:$Z,0)),""),"")))</f>
        <v/>
      </c>
      <c r="L927" s="73" t="str">
        <f>IF(ISBLANK(K927),"",IFERROR(INDEX('Tournament List'!$D:$D,MATCH(K927,'Tournament List'!$A:$A,0)),""))</f>
        <v/>
      </c>
      <c r="M927" s="94" t="str">
        <f>IF(F927="Skeet",IFERROR(INDEX('Shooter-Squad Assignment'!$A:$A,MATCH(C927&amp;"-"&amp;E927&amp;"-"&amp;F927&amp;"-Pos4",'Shooter-Squad Assignment'!$K:$K,0)),""),IF(F927="Trap",IFERROR(INDEX('Shooter-Squad Assignment'!$A:$A,MATCH(C927&amp;"-"&amp;E927&amp;"-"&amp;F927&amp;"-Pos4",'Shooter-Squad Assignment'!$W:$W,0)),""),IF(F927="Sporting Clays",IFERROR(INDEX('Shooter-Squad Assignment'!$A:$A,MATCH(C927&amp;"-"&amp;E927&amp;"-"&amp;F927&amp;"-Pos4",'Shooter-Squad Assignment'!$Z:$Z,0)),""),"")))</f>
        <v/>
      </c>
      <c r="N927" s="73" t="str">
        <f>IF(ISBLANK(M927),"",IFERROR(INDEX('Tournament List'!$D:$D,MATCH(M927,'Tournament List'!$A:$A,0)),""))</f>
        <v/>
      </c>
      <c r="O927" s="94" t="str">
        <f>IF(F927="Skeet",IFERROR(INDEX('Shooter-Squad Assignment'!$A:$A,MATCH(C927&amp;"-"&amp;E927&amp;"-"&amp;F927&amp;"-Pos5",'Shooter-Squad Assignment'!$K:$K,0)),""),IF(F927="Trap",IFERROR(INDEX('Shooter-Squad Assignment'!$A:$A,MATCH(C927&amp;"-"&amp;E927&amp;"-"&amp;F927&amp;"-Pos5",'Shooter-Squad Assignment'!$W:$W,0)),""),IF(F927="Sporting Clays",IFERROR(INDEX('Shooter-Squad Assignment'!$A:$A,MATCH(C927&amp;"-"&amp;E927&amp;"-"&amp;F927&amp;"-Pos5",'Shooter-Squad Assignment'!$Z:$Z,0)),""),"")))</f>
        <v/>
      </c>
      <c r="P927" s="79" t="str">
        <f>IF(ISBLANK(O927),"",IFERROR(INDEX('Tournament List'!$D:$D,MATCH(O927,'Tournament List'!$A:$A,0)),""))</f>
        <v/>
      </c>
    </row>
    <row r="928" spans="1:16" x14ac:dyDescent="0.3">
      <c r="A928" s="78">
        <v>927</v>
      </c>
      <c r="B928" s="73" t="str">
        <f>C928&amp;"-"&amp;E928&amp;"-"&amp;F928</f>
        <v>-Open 3-Skeet</v>
      </c>
      <c r="C928" s="73"/>
      <c r="D928" s="73" t="str">
        <f>INDEX('Tournament Setup'!$B$59:$B$78,MATCH(E928,SquadConcurrents,0))</f>
        <v>Open</v>
      </c>
      <c r="E928" s="73" t="s">
        <v>353</v>
      </c>
      <c r="F928" s="73" t="s">
        <v>143</v>
      </c>
      <c r="G928" s="94" t="str">
        <f>IF(F928="Skeet",IFERROR(INDEX('Shooter-Squad Assignment'!$A:$A,MATCH(C928&amp;"-"&amp;E928&amp;"-"&amp;F928&amp;"-Pos1",'Shooter-Squad Assignment'!$K:$K,0)),""),IF(F928="Trap",IFERROR(INDEX('Shooter-Squad Assignment'!$A:$A,MATCH(C928&amp;"-"&amp;E928&amp;"-"&amp;F928&amp;"-Pos1",'Shooter-Squad Assignment'!$W:$W,0)),""),IF(F928="Sporting Clays",IFERROR(INDEX('Shooter-Squad Assignment'!$A:$A,MATCH(C928&amp;"-"&amp;E928&amp;"-"&amp;F928&amp;"-Pos1",'Shooter-Squad Assignment'!$Z:$Z,0)),""),"")))</f>
        <v/>
      </c>
      <c r="H928" s="73" t="str">
        <f>IF(ISBLANK(G928),"",IFERROR(INDEX('Tournament List'!$D:$D,MATCH(G928,'Tournament List'!$A:$A,0)),""))</f>
        <v/>
      </c>
      <c r="I928" s="94" t="str">
        <f>IF(F928="Skeet",IFERROR(INDEX('Shooter-Squad Assignment'!$A:$A,MATCH(C928&amp;"-"&amp;E928&amp;"-"&amp;F928&amp;"-Pos2",'Shooter-Squad Assignment'!$K:$K,0)),""),IF(F928="Trap",IFERROR(INDEX('Shooter-Squad Assignment'!$A:$A,MATCH(C928&amp;"-"&amp;E928&amp;"-"&amp;F928&amp;"-Pos2",'Shooter-Squad Assignment'!$W:$W,0)),""),IF(F928="Sporting Clays",IFERROR(INDEX('Shooter-Squad Assignment'!$A:$A,MATCH(C928&amp;"-"&amp;E928&amp;"-"&amp;F928&amp;"-Pos2",'Shooter-Squad Assignment'!$Z:$Z,0)),""),"")))</f>
        <v/>
      </c>
      <c r="J928" s="73" t="str">
        <f>IF(ISBLANK(I928),"",IFERROR(INDEX('Tournament List'!$D:$D,MATCH(I928,'Tournament List'!$A:$A,0)),""))</f>
        <v/>
      </c>
      <c r="K928" s="94" t="str">
        <f>IF(F928="Skeet",IFERROR(INDEX('Shooter-Squad Assignment'!$A:$A,MATCH(C928&amp;"-"&amp;E928&amp;"-"&amp;F928&amp;"-Pos3",'Shooter-Squad Assignment'!$K:$K,0)),""),IF(F928="Trap",IFERROR(INDEX('Shooter-Squad Assignment'!$A:$A,MATCH(C928&amp;"-"&amp;E928&amp;"-"&amp;F928&amp;"-Pos3",'Shooter-Squad Assignment'!$W:$W,0)),""),IF(F928="Sporting Clays",IFERROR(INDEX('Shooter-Squad Assignment'!$A:$A,MATCH(C928&amp;"-"&amp;E928&amp;"-"&amp;F928&amp;"-Pos3",'Shooter-Squad Assignment'!$Z:$Z,0)),""),"")))</f>
        <v/>
      </c>
      <c r="L928" s="73" t="str">
        <f>IF(ISBLANK(K928),"",IFERROR(INDEX('Tournament List'!$D:$D,MATCH(K928,'Tournament List'!$A:$A,0)),""))</f>
        <v/>
      </c>
      <c r="M928" s="94" t="str">
        <f>IF(F928="Skeet",IFERROR(INDEX('Shooter-Squad Assignment'!$A:$A,MATCH(C928&amp;"-"&amp;E928&amp;"-"&amp;F928&amp;"-Pos4",'Shooter-Squad Assignment'!$K:$K,0)),""),IF(F928="Trap",IFERROR(INDEX('Shooter-Squad Assignment'!$A:$A,MATCH(C928&amp;"-"&amp;E928&amp;"-"&amp;F928&amp;"-Pos4",'Shooter-Squad Assignment'!$W:$W,0)),""),IF(F928="Sporting Clays",IFERROR(INDEX('Shooter-Squad Assignment'!$A:$A,MATCH(C928&amp;"-"&amp;E928&amp;"-"&amp;F928&amp;"-Pos4",'Shooter-Squad Assignment'!$Z:$Z,0)),""),"")))</f>
        <v/>
      </c>
      <c r="N928" s="73" t="str">
        <f>IF(ISBLANK(M928),"",IFERROR(INDEX('Tournament List'!$D:$D,MATCH(M928,'Tournament List'!$A:$A,0)),""))</f>
        <v/>
      </c>
      <c r="O928" s="94" t="str">
        <f>IF(F928="Skeet",IFERROR(INDEX('Shooter-Squad Assignment'!$A:$A,MATCH(C928&amp;"-"&amp;E928&amp;"-"&amp;F928&amp;"-Pos5",'Shooter-Squad Assignment'!$K:$K,0)),""),IF(F928="Trap",IFERROR(INDEX('Shooter-Squad Assignment'!$A:$A,MATCH(C928&amp;"-"&amp;E928&amp;"-"&amp;F928&amp;"-Pos5",'Shooter-Squad Assignment'!$W:$W,0)),""),IF(F928="Sporting Clays",IFERROR(INDEX('Shooter-Squad Assignment'!$A:$A,MATCH(C928&amp;"-"&amp;E928&amp;"-"&amp;F928&amp;"-Pos5",'Shooter-Squad Assignment'!$Z:$Z,0)),""),"")))</f>
        <v/>
      </c>
      <c r="P928" s="79" t="str">
        <f>IF(ISBLANK(O928),"",IFERROR(INDEX('Tournament List'!$D:$D,MATCH(O928,'Tournament List'!$A:$A,0)),""))</f>
        <v/>
      </c>
    </row>
    <row r="929" spans="1:16" x14ac:dyDescent="0.3">
      <c r="A929" s="78">
        <v>928</v>
      </c>
      <c r="B929" s="73" t="str">
        <f>C929&amp;"-"&amp;E929&amp;"-"&amp;F929</f>
        <v>-Unassigned 1-Skeet</v>
      </c>
      <c r="C929" s="73"/>
      <c r="D929" s="73" t="str">
        <f>INDEX('Tournament Setup'!$B$59:$B$78,MATCH(E929,SquadConcurrents,0))</f>
        <v>Unassigned</v>
      </c>
      <c r="E929" s="73" t="s">
        <v>762</v>
      </c>
      <c r="F929" s="73" t="s">
        <v>143</v>
      </c>
      <c r="G929" s="94" t="str">
        <f>IF(F929="Skeet",IFERROR(INDEX('Shooter-Squad Assignment'!$A:$A,MATCH(C929&amp;"-"&amp;E929&amp;"-"&amp;F929&amp;"-Pos1",'Shooter-Squad Assignment'!$K:$K,0)),""),IF(F929="Trap",IFERROR(INDEX('Shooter-Squad Assignment'!$A:$A,MATCH(C929&amp;"-"&amp;E929&amp;"-"&amp;F929&amp;"-Pos1",'Shooter-Squad Assignment'!$W:$W,0)),""),IF(F929="Sporting Clays",IFERROR(INDEX('Shooter-Squad Assignment'!$A:$A,MATCH(C929&amp;"-"&amp;E929&amp;"-"&amp;F929&amp;"-Pos1",'Shooter-Squad Assignment'!$Z:$Z,0)),""),"")))</f>
        <v/>
      </c>
      <c r="H929" s="73" t="str">
        <f>IF(ISBLANK(G929),"",IFERROR(INDEX('Tournament List'!$D:$D,MATCH(G929,'Tournament List'!$A:$A,0)),""))</f>
        <v/>
      </c>
      <c r="I929" s="94" t="str">
        <f>IF(F929="Skeet",IFERROR(INDEX('Shooter-Squad Assignment'!$A:$A,MATCH(C929&amp;"-"&amp;E929&amp;"-"&amp;F929&amp;"-Pos2",'Shooter-Squad Assignment'!$K:$K,0)),""),IF(F929="Trap",IFERROR(INDEX('Shooter-Squad Assignment'!$A:$A,MATCH(C929&amp;"-"&amp;E929&amp;"-"&amp;F929&amp;"-Pos2",'Shooter-Squad Assignment'!$W:$W,0)),""),IF(F929="Sporting Clays",IFERROR(INDEX('Shooter-Squad Assignment'!$A:$A,MATCH(C929&amp;"-"&amp;E929&amp;"-"&amp;F929&amp;"-Pos2",'Shooter-Squad Assignment'!$Z:$Z,0)),""),"")))</f>
        <v/>
      </c>
      <c r="J929" s="73" t="str">
        <f>IF(ISBLANK(I929),"",IFERROR(INDEX('Tournament List'!$D:$D,MATCH(I929,'Tournament List'!$A:$A,0)),""))</f>
        <v/>
      </c>
      <c r="K929" s="94" t="str">
        <f>IF(F929="Skeet",IFERROR(INDEX('Shooter-Squad Assignment'!$A:$A,MATCH(C929&amp;"-"&amp;E929&amp;"-"&amp;F929&amp;"-Pos3",'Shooter-Squad Assignment'!$K:$K,0)),""),IF(F929="Trap",IFERROR(INDEX('Shooter-Squad Assignment'!$A:$A,MATCH(C929&amp;"-"&amp;E929&amp;"-"&amp;F929&amp;"-Pos3",'Shooter-Squad Assignment'!$W:$W,0)),""),IF(F929="Sporting Clays",IFERROR(INDEX('Shooter-Squad Assignment'!$A:$A,MATCH(C929&amp;"-"&amp;E929&amp;"-"&amp;F929&amp;"-Pos3",'Shooter-Squad Assignment'!$Z:$Z,0)),""),"")))</f>
        <v/>
      </c>
      <c r="L929" s="73" t="str">
        <f>IF(ISBLANK(K929),"",IFERROR(INDEX('Tournament List'!$D:$D,MATCH(K929,'Tournament List'!$A:$A,0)),""))</f>
        <v/>
      </c>
      <c r="M929" s="94" t="str">
        <f>IF(F929="Skeet",IFERROR(INDEX('Shooter-Squad Assignment'!$A:$A,MATCH(C929&amp;"-"&amp;E929&amp;"-"&amp;F929&amp;"-Pos4",'Shooter-Squad Assignment'!$K:$K,0)),""),IF(F929="Trap",IFERROR(INDEX('Shooter-Squad Assignment'!$A:$A,MATCH(C929&amp;"-"&amp;E929&amp;"-"&amp;F929&amp;"-Pos4",'Shooter-Squad Assignment'!$W:$W,0)),""),IF(F929="Sporting Clays",IFERROR(INDEX('Shooter-Squad Assignment'!$A:$A,MATCH(C929&amp;"-"&amp;E929&amp;"-"&amp;F929&amp;"-Pos4",'Shooter-Squad Assignment'!$Z:$Z,0)),""),"")))</f>
        <v/>
      </c>
      <c r="N929" s="73" t="str">
        <f>IF(ISBLANK(M929),"",IFERROR(INDEX('Tournament List'!$D:$D,MATCH(M929,'Tournament List'!$A:$A,0)),""))</f>
        <v/>
      </c>
      <c r="O929" s="94" t="str">
        <f>IF(F929="Skeet",IFERROR(INDEX('Shooter-Squad Assignment'!$A:$A,MATCH(C929&amp;"-"&amp;E929&amp;"-"&amp;F929&amp;"-Pos5",'Shooter-Squad Assignment'!$K:$K,0)),""),IF(F929="Trap",IFERROR(INDEX('Shooter-Squad Assignment'!$A:$A,MATCH(C929&amp;"-"&amp;E929&amp;"-"&amp;F929&amp;"-Pos5",'Shooter-Squad Assignment'!$W:$W,0)),""),IF(F929="Sporting Clays",IFERROR(INDEX('Shooter-Squad Assignment'!$A:$A,MATCH(C929&amp;"-"&amp;E929&amp;"-"&amp;F929&amp;"-Pos5",'Shooter-Squad Assignment'!$Z:$Z,0)),""),"")))</f>
        <v/>
      </c>
      <c r="P929" s="79" t="str">
        <f>IF(ISBLANK(O929),"",IFERROR(INDEX('Tournament List'!$D:$D,MATCH(O929,'Tournament List'!$A:$A,0)),""))</f>
        <v/>
      </c>
    </row>
    <row r="930" spans="1:16" x14ac:dyDescent="0.3">
      <c r="A930" s="78">
        <v>929</v>
      </c>
      <c r="B930" s="73" t="str">
        <f>C930&amp;"-"&amp;E930&amp;"-"&amp;F930</f>
        <v>-Varsity 1-Skeet</v>
      </c>
      <c r="C930" s="73"/>
      <c r="D930" s="73" t="str">
        <f>INDEX('Tournament Setup'!$B$59:$B$78,MATCH(E930,SquadConcurrents,0))</f>
        <v>Varsity</v>
      </c>
      <c r="E930" s="73" t="s">
        <v>340</v>
      </c>
      <c r="F930" s="73" t="s">
        <v>143</v>
      </c>
      <c r="G930" s="94" t="str">
        <f>IF(F930="Skeet",IFERROR(INDEX('Shooter-Squad Assignment'!$A:$A,MATCH(C930&amp;"-"&amp;E930&amp;"-"&amp;F930&amp;"-Pos1",'Shooter-Squad Assignment'!$K:$K,0)),""),IF(F930="Trap",IFERROR(INDEX('Shooter-Squad Assignment'!$A:$A,MATCH(C930&amp;"-"&amp;E930&amp;"-"&amp;F930&amp;"-Pos1",'Shooter-Squad Assignment'!$W:$W,0)),""),IF(F930="Sporting Clays",IFERROR(INDEX('Shooter-Squad Assignment'!$A:$A,MATCH(C930&amp;"-"&amp;E930&amp;"-"&amp;F930&amp;"-Pos1",'Shooter-Squad Assignment'!$Z:$Z,0)),""),"")))</f>
        <v/>
      </c>
      <c r="H930" s="73" t="str">
        <f>IF(ISBLANK(G930),"",IFERROR(INDEX('Tournament List'!$D:$D,MATCH(G930,'Tournament List'!$A:$A,0)),""))</f>
        <v/>
      </c>
      <c r="I930" s="94" t="str">
        <f>IF(F930="Skeet",IFERROR(INDEX('Shooter-Squad Assignment'!$A:$A,MATCH(C930&amp;"-"&amp;E930&amp;"-"&amp;F930&amp;"-Pos2",'Shooter-Squad Assignment'!$K:$K,0)),""),IF(F930="Trap",IFERROR(INDEX('Shooter-Squad Assignment'!$A:$A,MATCH(C930&amp;"-"&amp;E930&amp;"-"&amp;F930&amp;"-Pos2",'Shooter-Squad Assignment'!$W:$W,0)),""),IF(F930="Sporting Clays",IFERROR(INDEX('Shooter-Squad Assignment'!$A:$A,MATCH(C930&amp;"-"&amp;E930&amp;"-"&amp;F930&amp;"-Pos2",'Shooter-Squad Assignment'!$Z:$Z,0)),""),"")))</f>
        <v/>
      </c>
      <c r="J930" s="73" t="str">
        <f>IF(ISBLANK(I930),"",IFERROR(INDEX('Tournament List'!$D:$D,MATCH(I930,'Tournament List'!$A:$A,0)),""))</f>
        <v/>
      </c>
      <c r="K930" s="94" t="str">
        <f>IF(F930="Skeet",IFERROR(INDEX('Shooter-Squad Assignment'!$A:$A,MATCH(C930&amp;"-"&amp;E930&amp;"-"&amp;F930&amp;"-Pos3",'Shooter-Squad Assignment'!$K:$K,0)),""),IF(F930="Trap",IFERROR(INDEX('Shooter-Squad Assignment'!$A:$A,MATCH(C930&amp;"-"&amp;E930&amp;"-"&amp;F930&amp;"-Pos3",'Shooter-Squad Assignment'!$W:$W,0)),""),IF(F930="Sporting Clays",IFERROR(INDEX('Shooter-Squad Assignment'!$A:$A,MATCH(C930&amp;"-"&amp;E930&amp;"-"&amp;F930&amp;"-Pos3",'Shooter-Squad Assignment'!$Z:$Z,0)),""),"")))</f>
        <v/>
      </c>
      <c r="L930" s="73" t="str">
        <f>IF(ISBLANK(K930),"",IFERROR(INDEX('Tournament List'!$D:$D,MATCH(K930,'Tournament List'!$A:$A,0)),""))</f>
        <v/>
      </c>
      <c r="M930" s="94" t="str">
        <f>IF(F930="Skeet",IFERROR(INDEX('Shooter-Squad Assignment'!$A:$A,MATCH(C930&amp;"-"&amp;E930&amp;"-"&amp;F930&amp;"-Pos4",'Shooter-Squad Assignment'!$K:$K,0)),""),IF(F930="Trap",IFERROR(INDEX('Shooter-Squad Assignment'!$A:$A,MATCH(C930&amp;"-"&amp;E930&amp;"-"&amp;F930&amp;"-Pos4",'Shooter-Squad Assignment'!$W:$W,0)),""),IF(F930="Sporting Clays",IFERROR(INDEX('Shooter-Squad Assignment'!$A:$A,MATCH(C930&amp;"-"&amp;E930&amp;"-"&amp;F930&amp;"-Pos4",'Shooter-Squad Assignment'!$Z:$Z,0)),""),"")))</f>
        <v/>
      </c>
      <c r="N930" s="73" t="str">
        <f>IF(ISBLANK(M930),"",IFERROR(INDEX('Tournament List'!$D:$D,MATCH(M930,'Tournament List'!$A:$A,0)),""))</f>
        <v/>
      </c>
      <c r="O930" s="94" t="str">
        <f>IF(F930="Skeet",IFERROR(INDEX('Shooter-Squad Assignment'!$A:$A,MATCH(C930&amp;"-"&amp;E930&amp;"-"&amp;F930&amp;"-Pos5",'Shooter-Squad Assignment'!$K:$K,0)),""),IF(F930="Trap",IFERROR(INDEX('Shooter-Squad Assignment'!$A:$A,MATCH(C930&amp;"-"&amp;E930&amp;"-"&amp;F930&amp;"-Pos5",'Shooter-Squad Assignment'!$W:$W,0)),""),IF(F930="Sporting Clays",IFERROR(INDEX('Shooter-Squad Assignment'!$A:$A,MATCH(C930&amp;"-"&amp;E930&amp;"-"&amp;F930&amp;"-Pos5",'Shooter-Squad Assignment'!$Z:$Z,0)),""),"")))</f>
        <v/>
      </c>
      <c r="P930" s="79" t="str">
        <f>IF(ISBLANK(O930),"",IFERROR(INDEX('Tournament List'!$D:$D,MATCH(O930,'Tournament List'!$A:$A,0)),""))</f>
        <v/>
      </c>
    </row>
    <row r="931" spans="1:16" x14ac:dyDescent="0.3">
      <c r="A931" s="78">
        <v>930</v>
      </c>
      <c r="B931" s="73" t="str">
        <f>C931&amp;"-"&amp;E931&amp;"-"&amp;F931</f>
        <v>-Varsity 2-Skeet</v>
      </c>
      <c r="C931" s="73"/>
      <c r="D931" s="73" t="str">
        <f>INDEX('Tournament Setup'!$B$59:$B$78,MATCH(E931,SquadConcurrents,0))</f>
        <v>Varsity</v>
      </c>
      <c r="E931" s="73" t="s">
        <v>346</v>
      </c>
      <c r="F931" s="73" t="s">
        <v>143</v>
      </c>
      <c r="G931" s="94" t="str">
        <f>IF(F931="Skeet",IFERROR(INDEX('Shooter-Squad Assignment'!$A:$A,MATCH(C931&amp;"-"&amp;E931&amp;"-"&amp;F931&amp;"-Pos1",'Shooter-Squad Assignment'!$K:$K,0)),""),IF(F931="Trap",IFERROR(INDEX('Shooter-Squad Assignment'!$A:$A,MATCH(C931&amp;"-"&amp;E931&amp;"-"&amp;F931&amp;"-Pos1",'Shooter-Squad Assignment'!$W:$W,0)),""),IF(F931="Sporting Clays",IFERROR(INDEX('Shooter-Squad Assignment'!$A:$A,MATCH(C931&amp;"-"&amp;E931&amp;"-"&amp;F931&amp;"-Pos1",'Shooter-Squad Assignment'!$Z:$Z,0)),""),"")))</f>
        <v/>
      </c>
      <c r="H931" s="73" t="str">
        <f>IF(ISBLANK(G931),"",IFERROR(INDEX('Tournament List'!$D:$D,MATCH(G931,'Tournament List'!$A:$A,0)),""))</f>
        <v/>
      </c>
      <c r="I931" s="94" t="str">
        <f>IF(F931="Skeet",IFERROR(INDEX('Shooter-Squad Assignment'!$A:$A,MATCH(C931&amp;"-"&amp;E931&amp;"-"&amp;F931&amp;"-Pos2",'Shooter-Squad Assignment'!$K:$K,0)),""),IF(F931="Trap",IFERROR(INDEX('Shooter-Squad Assignment'!$A:$A,MATCH(C931&amp;"-"&amp;E931&amp;"-"&amp;F931&amp;"-Pos2",'Shooter-Squad Assignment'!$W:$W,0)),""),IF(F931="Sporting Clays",IFERROR(INDEX('Shooter-Squad Assignment'!$A:$A,MATCH(C931&amp;"-"&amp;E931&amp;"-"&amp;F931&amp;"-Pos2",'Shooter-Squad Assignment'!$Z:$Z,0)),""),"")))</f>
        <v/>
      </c>
      <c r="J931" s="73" t="str">
        <f>IF(ISBLANK(I931),"",IFERROR(INDEX('Tournament List'!$D:$D,MATCH(I931,'Tournament List'!$A:$A,0)),""))</f>
        <v/>
      </c>
      <c r="K931" s="94" t="str">
        <f>IF(F931="Skeet",IFERROR(INDEX('Shooter-Squad Assignment'!$A:$A,MATCH(C931&amp;"-"&amp;E931&amp;"-"&amp;F931&amp;"-Pos3",'Shooter-Squad Assignment'!$K:$K,0)),""),IF(F931="Trap",IFERROR(INDEX('Shooter-Squad Assignment'!$A:$A,MATCH(C931&amp;"-"&amp;E931&amp;"-"&amp;F931&amp;"-Pos3",'Shooter-Squad Assignment'!$W:$W,0)),""),IF(F931="Sporting Clays",IFERROR(INDEX('Shooter-Squad Assignment'!$A:$A,MATCH(C931&amp;"-"&amp;E931&amp;"-"&amp;F931&amp;"-Pos3",'Shooter-Squad Assignment'!$Z:$Z,0)),""),"")))</f>
        <v/>
      </c>
      <c r="L931" s="73" t="str">
        <f>IF(ISBLANK(K931),"",IFERROR(INDEX('Tournament List'!$D:$D,MATCH(K931,'Tournament List'!$A:$A,0)),""))</f>
        <v/>
      </c>
      <c r="M931" s="94" t="str">
        <f>IF(F931="Skeet",IFERROR(INDEX('Shooter-Squad Assignment'!$A:$A,MATCH(C931&amp;"-"&amp;E931&amp;"-"&amp;F931&amp;"-Pos4",'Shooter-Squad Assignment'!$K:$K,0)),""),IF(F931="Trap",IFERROR(INDEX('Shooter-Squad Assignment'!$A:$A,MATCH(C931&amp;"-"&amp;E931&amp;"-"&amp;F931&amp;"-Pos4",'Shooter-Squad Assignment'!$W:$W,0)),""),IF(F931="Sporting Clays",IFERROR(INDEX('Shooter-Squad Assignment'!$A:$A,MATCH(C931&amp;"-"&amp;E931&amp;"-"&amp;F931&amp;"-Pos4",'Shooter-Squad Assignment'!$Z:$Z,0)),""),"")))</f>
        <v/>
      </c>
      <c r="N931" s="73" t="str">
        <f>IF(ISBLANK(M931),"",IFERROR(INDEX('Tournament List'!$D:$D,MATCH(M931,'Tournament List'!$A:$A,0)),""))</f>
        <v/>
      </c>
      <c r="O931" s="94" t="str">
        <f>IF(F931="Skeet",IFERROR(INDEX('Shooter-Squad Assignment'!$A:$A,MATCH(C931&amp;"-"&amp;E931&amp;"-"&amp;F931&amp;"-Pos5",'Shooter-Squad Assignment'!$K:$K,0)),""),IF(F931="Trap",IFERROR(INDEX('Shooter-Squad Assignment'!$A:$A,MATCH(C931&amp;"-"&amp;E931&amp;"-"&amp;F931&amp;"-Pos5",'Shooter-Squad Assignment'!$W:$W,0)),""),IF(F931="Sporting Clays",IFERROR(INDEX('Shooter-Squad Assignment'!$A:$A,MATCH(C931&amp;"-"&amp;E931&amp;"-"&amp;F931&amp;"-Pos5",'Shooter-Squad Assignment'!$Z:$Z,0)),""),"")))</f>
        <v/>
      </c>
      <c r="P931" s="79" t="str">
        <f>IF(ISBLANK(O931),"",IFERROR(INDEX('Tournament List'!$D:$D,MATCH(O931,'Tournament List'!$A:$A,0)),""))</f>
        <v/>
      </c>
    </row>
    <row r="932" spans="1:16" x14ac:dyDescent="0.3">
      <c r="A932" s="78">
        <v>931</v>
      </c>
      <c r="B932" s="73" t="str">
        <f>C932&amp;"-"&amp;E932&amp;"-"&amp;F932</f>
        <v>-Varsity 3-Skeet</v>
      </c>
      <c r="C932" s="73"/>
      <c r="D932" s="73" t="str">
        <f>INDEX('Tournament Setup'!$B$59:$B$78,MATCH(E932,SquadConcurrents,0))</f>
        <v>Varsity</v>
      </c>
      <c r="E932" s="73" t="s">
        <v>352</v>
      </c>
      <c r="F932" s="73" t="s">
        <v>143</v>
      </c>
      <c r="G932" s="94" t="str">
        <f>IF(F932="Skeet",IFERROR(INDEX('Shooter-Squad Assignment'!$A:$A,MATCH(C932&amp;"-"&amp;E932&amp;"-"&amp;F932&amp;"-Pos1",'Shooter-Squad Assignment'!$K:$K,0)),""),IF(F932="Trap",IFERROR(INDEX('Shooter-Squad Assignment'!$A:$A,MATCH(C932&amp;"-"&amp;E932&amp;"-"&amp;F932&amp;"-Pos1",'Shooter-Squad Assignment'!$W:$W,0)),""),IF(F932="Sporting Clays",IFERROR(INDEX('Shooter-Squad Assignment'!$A:$A,MATCH(C932&amp;"-"&amp;E932&amp;"-"&amp;F932&amp;"-Pos1",'Shooter-Squad Assignment'!$Z:$Z,0)),""),"")))</f>
        <v/>
      </c>
      <c r="H932" s="73" t="str">
        <f>IF(ISBLANK(G932),"",IFERROR(INDEX('Tournament List'!$D:$D,MATCH(G932,'Tournament List'!$A:$A,0)),""))</f>
        <v/>
      </c>
      <c r="I932" s="94" t="str">
        <f>IF(F932="Skeet",IFERROR(INDEX('Shooter-Squad Assignment'!$A:$A,MATCH(C932&amp;"-"&amp;E932&amp;"-"&amp;F932&amp;"-Pos2",'Shooter-Squad Assignment'!$K:$K,0)),""),IF(F932="Trap",IFERROR(INDEX('Shooter-Squad Assignment'!$A:$A,MATCH(C932&amp;"-"&amp;E932&amp;"-"&amp;F932&amp;"-Pos2",'Shooter-Squad Assignment'!$W:$W,0)),""),IF(F932="Sporting Clays",IFERROR(INDEX('Shooter-Squad Assignment'!$A:$A,MATCH(C932&amp;"-"&amp;E932&amp;"-"&amp;F932&amp;"-Pos2",'Shooter-Squad Assignment'!$Z:$Z,0)),""),"")))</f>
        <v/>
      </c>
      <c r="J932" s="73" t="str">
        <f>IF(ISBLANK(I932),"",IFERROR(INDEX('Tournament List'!$D:$D,MATCH(I932,'Tournament List'!$A:$A,0)),""))</f>
        <v/>
      </c>
      <c r="K932" s="94" t="str">
        <f>IF(F932="Skeet",IFERROR(INDEX('Shooter-Squad Assignment'!$A:$A,MATCH(C932&amp;"-"&amp;E932&amp;"-"&amp;F932&amp;"-Pos3",'Shooter-Squad Assignment'!$K:$K,0)),""),IF(F932="Trap",IFERROR(INDEX('Shooter-Squad Assignment'!$A:$A,MATCH(C932&amp;"-"&amp;E932&amp;"-"&amp;F932&amp;"-Pos3",'Shooter-Squad Assignment'!$W:$W,0)),""),IF(F932="Sporting Clays",IFERROR(INDEX('Shooter-Squad Assignment'!$A:$A,MATCH(C932&amp;"-"&amp;E932&amp;"-"&amp;F932&amp;"-Pos3",'Shooter-Squad Assignment'!$Z:$Z,0)),""),"")))</f>
        <v/>
      </c>
      <c r="L932" s="73" t="str">
        <f>IF(ISBLANK(K932),"",IFERROR(INDEX('Tournament List'!$D:$D,MATCH(K932,'Tournament List'!$A:$A,0)),""))</f>
        <v/>
      </c>
      <c r="M932" s="94" t="str">
        <f>IF(F932="Skeet",IFERROR(INDEX('Shooter-Squad Assignment'!$A:$A,MATCH(C932&amp;"-"&amp;E932&amp;"-"&amp;F932&amp;"-Pos4",'Shooter-Squad Assignment'!$K:$K,0)),""),IF(F932="Trap",IFERROR(INDEX('Shooter-Squad Assignment'!$A:$A,MATCH(C932&amp;"-"&amp;E932&amp;"-"&amp;F932&amp;"-Pos4",'Shooter-Squad Assignment'!$W:$W,0)),""),IF(F932="Sporting Clays",IFERROR(INDEX('Shooter-Squad Assignment'!$A:$A,MATCH(C932&amp;"-"&amp;E932&amp;"-"&amp;F932&amp;"-Pos4",'Shooter-Squad Assignment'!$Z:$Z,0)),""),"")))</f>
        <v/>
      </c>
      <c r="N932" s="73" t="str">
        <f>IF(ISBLANK(M932),"",IFERROR(INDEX('Tournament List'!$D:$D,MATCH(M932,'Tournament List'!$A:$A,0)),""))</f>
        <v/>
      </c>
      <c r="O932" s="94" t="str">
        <f>IF(F932="Skeet",IFERROR(INDEX('Shooter-Squad Assignment'!$A:$A,MATCH(C932&amp;"-"&amp;E932&amp;"-"&amp;F932&amp;"-Pos5",'Shooter-Squad Assignment'!$K:$K,0)),""),IF(F932="Trap",IFERROR(INDEX('Shooter-Squad Assignment'!$A:$A,MATCH(C932&amp;"-"&amp;E932&amp;"-"&amp;F932&amp;"-Pos5",'Shooter-Squad Assignment'!$W:$W,0)),""),IF(F932="Sporting Clays",IFERROR(INDEX('Shooter-Squad Assignment'!$A:$A,MATCH(C932&amp;"-"&amp;E932&amp;"-"&amp;F932&amp;"-Pos5",'Shooter-Squad Assignment'!$Z:$Z,0)),""),"")))</f>
        <v/>
      </c>
      <c r="P932" s="79" t="str">
        <f>IF(ISBLANK(O932),"",IFERROR(INDEX('Tournament List'!$D:$D,MATCH(O932,'Tournament List'!$A:$A,0)),""))</f>
        <v/>
      </c>
    </row>
    <row r="933" spans="1:16" x14ac:dyDescent="0.3">
      <c r="A933" s="78">
        <v>932</v>
      </c>
      <c r="B933" s="73" t="str">
        <f>C933&amp;"-"&amp;E933&amp;"-"&amp;F933</f>
        <v>-Collegiate 1-Sporting Clays</v>
      </c>
      <c r="C933" s="73"/>
      <c r="D933" s="73" t="str">
        <f>INDEX('Tournament Setup'!$B$59:$B$78,MATCH(E933,SquadConcurrents,0))</f>
        <v>Collegiate</v>
      </c>
      <c r="E933" s="73" t="s">
        <v>342</v>
      </c>
      <c r="F933" s="73" t="s">
        <v>148</v>
      </c>
      <c r="G933" s="94" t="str">
        <f>IF(F933="Skeet",IFERROR(INDEX('Shooter-Squad Assignment'!$A:$A,MATCH(C933&amp;"-"&amp;E933&amp;"-"&amp;F933&amp;"-Pos1",'Shooter-Squad Assignment'!$K:$K,0)),""),IF(F933="Trap",IFERROR(INDEX('Shooter-Squad Assignment'!$A:$A,MATCH(C933&amp;"-"&amp;E933&amp;"-"&amp;F933&amp;"-Pos1",'Shooter-Squad Assignment'!$W:$W,0)),""),IF(F933="Sporting Clays",IFERROR(INDEX('Shooter-Squad Assignment'!$A:$A,MATCH(C933&amp;"-"&amp;E933&amp;"-"&amp;F933&amp;"-Pos1",'Shooter-Squad Assignment'!$Z:$Z,0)),""),"")))</f>
        <v/>
      </c>
      <c r="H933" s="73" t="str">
        <f>IF(ISBLANK(G933),"",IFERROR(INDEX('Tournament List'!$D:$D,MATCH(G933,'Tournament List'!$A:$A,0)),""))</f>
        <v/>
      </c>
      <c r="I933" s="94" t="str">
        <f>IF(F933="Skeet",IFERROR(INDEX('Shooter-Squad Assignment'!$A:$A,MATCH(C933&amp;"-"&amp;E933&amp;"-"&amp;F933&amp;"-Pos2",'Shooter-Squad Assignment'!$K:$K,0)),""),IF(F933="Trap",IFERROR(INDEX('Shooter-Squad Assignment'!$A:$A,MATCH(C933&amp;"-"&amp;E933&amp;"-"&amp;F933&amp;"-Pos2",'Shooter-Squad Assignment'!$W:$W,0)),""),IF(F933="Sporting Clays",IFERROR(INDEX('Shooter-Squad Assignment'!$A:$A,MATCH(C933&amp;"-"&amp;E933&amp;"-"&amp;F933&amp;"-Pos2",'Shooter-Squad Assignment'!$Z:$Z,0)),""),"")))</f>
        <v/>
      </c>
      <c r="J933" s="73" t="str">
        <f>IF(ISBLANK(I933),"",IFERROR(INDEX('Tournament List'!$D:$D,MATCH(I933,'Tournament List'!$A:$A,0)),""))</f>
        <v/>
      </c>
      <c r="K933" s="94" t="str">
        <f>IF(F933="Skeet",IFERROR(INDEX('Shooter-Squad Assignment'!$A:$A,MATCH(C933&amp;"-"&amp;E933&amp;"-"&amp;F933&amp;"-Pos3",'Shooter-Squad Assignment'!$K:$K,0)),""),IF(F933="Trap",IFERROR(INDEX('Shooter-Squad Assignment'!$A:$A,MATCH(C933&amp;"-"&amp;E933&amp;"-"&amp;F933&amp;"-Pos3",'Shooter-Squad Assignment'!$W:$W,0)),""),IF(F933="Sporting Clays",IFERROR(INDEX('Shooter-Squad Assignment'!$A:$A,MATCH(C933&amp;"-"&amp;E933&amp;"-"&amp;F933&amp;"-Pos3",'Shooter-Squad Assignment'!$Z:$Z,0)),""),"")))</f>
        <v/>
      </c>
      <c r="L933" s="73" t="str">
        <f>IF(ISBLANK(K933),"",IFERROR(INDEX('Tournament List'!$D:$D,MATCH(K933,'Tournament List'!$A:$A,0)),""))</f>
        <v/>
      </c>
      <c r="M933" s="94" t="str">
        <f>IF(F933="Skeet",IFERROR(INDEX('Shooter-Squad Assignment'!$A:$A,MATCH(C933&amp;"-"&amp;E933&amp;"-"&amp;F933&amp;"-Pos4",'Shooter-Squad Assignment'!$K:$K,0)),""),IF(F933="Trap",IFERROR(INDEX('Shooter-Squad Assignment'!$A:$A,MATCH(C933&amp;"-"&amp;E933&amp;"-"&amp;F933&amp;"-Pos4",'Shooter-Squad Assignment'!$W:$W,0)),""),IF(F933="Sporting Clays",IFERROR(INDEX('Shooter-Squad Assignment'!$A:$A,MATCH(C933&amp;"-"&amp;E933&amp;"-"&amp;F933&amp;"-Pos4",'Shooter-Squad Assignment'!$Z:$Z,0)),""),"")))</f>
        <v/>
      </c>
      <c r="N933" s="73" t="str">
        <f>IF(ISBLANK(M933),"",IFERROR(INDEX('Tournament List'!$D:$D,MATCH(M933,'Tournament List'!$A:$A,0)),""))</f>
        <v/>
      </c>
      <c r="O933" s="94" t="str">
        <f>IF(F933="Skeet",IFERROR(INDEX('Shooter-Squad Assignment'!$A:$A,MATCH(C933&amp;"-"&amp;E933&amp;"-"&amp;F933&amp;"-Pos5",'Shooter-Squad Assignment'!$K:$K,0)),""),IF(F933="Trap",IFERROR(INDEX('Shooter-Squad Assignment'!$A:$A,MATCH(C933&amp;"-"&amp;E933&amp;"-"&amp;F933&amp;"-Pos5",'Shooter-Squad Assignment'!$W:$W,0)),""),IF(F933="Sporting Clays",IFERROR(INDEX('Shooter-Squad Assignment'!$A:$A,MATCH(C933&amp;"-"&amp;E933&amp;"-"&amp;F933&amp;"-Pos5",'Shooter-Squad Assignment'!$Z:$Z,0)),""),"")))</f>
        <v/>
      </c>
      <c r="P933" s="79" t="str">
        <f>IF(ISBLANK(O933),"",IFERROR(INDEX('Tournament List'!$D:$D,MATCH(O933,'Tournament List'!$A:$A,0)),""))</f>
        <v/>
      </c>
    </row>
    <row r="934" spans="1:16" x14ac:dyDescent="0.3">
      <c r="A934" s="78">
        <v>933</v>
      </c>
      <c r="B934" s="73" t="str">
        <f>C934&amp;"-"&amp;E934&amp;"-"&amp;F934</f>
        <v>-Collegiate 2-Sporting Clays</v>
      </c>
      <c r="C934" s="73"/>
      <c r="D934" s="73" t="str">
        <f>INDEX('Tournament Setup'!$B$59:$B$78,MATCH(E934,SquadConcurrents,0))</f>
        <v>Collegiate</v>
      </c>
      <c r="E934" s="73" t="s">
        <v>348</v>
      </c>
      <c r="F934" s="73" t="s">
        <v>148</v>
      </c>
      <c r="G934" s="94" t="str">
        <f>IF(F934="Skeet",IFERROR(INDEX('Shooter-Squad Assignment'!$A:$A,MATCH(C934&amp;"-"&amp;E934&amp;"-"&amp;F934&amp;"-Pos1",'Shooter-Squad Assignment'!$K:$K,0)),""),IF(F934="Trap",IFERROR(INDEX('Shooter-Squad Assignment'!$A:$A,MATCH(C934&amp;"-"&amp;E934&amp;"-"&amp;F934&amp;"-Pos1",'Shooter-Squad Assignment'!$W:$W,0)),""),IF(F934="Sporting Clays",IFERROR(INDEX('Shooter-Squad Assignment'!$A:$A,MATCH(C934&amp;"-"&amp;E934&amp;"-"&amp;F934&amp;"-Pos1",'Shooter-Squad Assignment'!$Z:$Z,0)),""),"")))</f>
        <v/>
      </c>
      <c r="H934" s="73" t="str">
        <f>IF(ISBLANK(G934),"",IFERROR(INDEX('Tournament List'!$D:$D,MATCH(G934,'Tournament List'!$A:$A,0)),""))</f>
        <v/>
      </c>
      <c r="I934" s="94" t="str">
        <f>IF(F934="Skeet",IFERROR(INDEX('Shooter-Squad Assignment'!$A:$A,MATCH(C934&amp;"-"&amp;E934&amp;"-"&amp;F934&amp;"-Pos2",'Shooter-Squad Assignment'!$K:$K,0)),""),IF(F934="Trap",IFERROR(INDEX('Shooter-Squad Assignment'!$A:$A,MATCH(C934&amp;"-"&amp;E934&amp;"-"&amp;F934&amp;"-Pos2",'Shooter-Squad Assignment'!$W:$W,0)),""),IF(F934="Sporting Clays",IFERROR(INDEX('Shooter-Squad Assignment'!$A:$A,MATCH(C934&amp;"-"&amp;E934&amp;"-"&amp;F934&amp;"-Pos2",'Shooter-Squad Assignment'!$Z:$Z,0)),""),"")))</f>
        <v/>
      </c>
      <c r="J934" s="73" t="str">
        <f>IF(ISBLANK(I934),"",IFERROR(INDEX('Tournament List'!$D:$D,MATCH(I934,'Tournament List'!$A:$A,0)),""))</f>
        <v/>
      </c>
      <c r="K934" s="94" t="str">
        <f>IF(F934="Skeet",IFERROR(INDEX('Shooter-Squad Assignment'!$A:$A,MATCH(C934&amp;"-"&amp;E934&amp;"-"&amp;F934&amp;"-Pos3",'Shooter-Squad Assignment'!$K:$K,0)),""),IF(F934="Trap",IFERROR(INDEX('Shooter-Squad Assignment'!$A:$A,MATCH(C934&amp;"-"&amp;E934&amp;"-"&amp;F934&amp;"-Pos3",'Shooter-Squad Assignment'!$W:$W,0)),""),IF(F934="Sporting Clays",IFERROR(INDEX('Shooter-Squad Assignment'!$A:$A,MATCH(C934&amp;"-"&amp;E934&amp;"-"&amp;F934&amp;"-Pos3",'Shooter-Squad Assignment'!$Z:$Z,0)),""),"")))</f>
        <v/>
      </c>
      <c r="L934" s="73" t="str">
        <f>IF(ISBLANK(K934),"",IFERROR(INDEX('Tournament List'!$D:$D,MATCH(K934,'Tournament List'!$A:$A,0)),""))</f>
        <v/>
      </c>
      <c r="M934" s="94" t="str">
        <f>IF(F934="Skeet",IFERROR(INDEX('Shooter-Squad Assignment'!$A:$A,MATCH(C934&amp;"-"&amp;E934&amp;"-"&amp;F934&amp;"-Pos4",'Shooter-Squad Assignment'!$K:$K,0)),""),IF(F934="Trap",IFERROR(INDEX('Shooter-Squad Assignment'!$A:$A,MATCH(C934&amp;"-"&amp;E934&amp;"-"&amp;F934&amp;"-Pos4",'Shooter-Squad Assignment'!$W:$W,0)),""),IF(F934="Sporting Clays",IFERROR(INDEX('Shooter-Squad Assignment'!$A:$A,MATCH(C934&amp;"-"&amp;E934&amp;"-"&amp;F934&amp;"-Pos4",'Shooter-Squad Assignment'!$Z:$Z,0)),""),"")))</f>
        <v/>
      </c>
      <c r="N934" s="73" t="str">
        <f>IF(ISBLANK(M934),"",IFERROR(INDEX('Tournament List'!$D:$D,MATCH(M934,'Tournament List'!$A:$A,0)),""))</f>
        <v/>
      </c>
      <c r="O934" s="94" t="str">
        <f>IF(F934="Skeet",IFERROR(INDEX('Shooter-Squad Assignment'!$A:$A,MATCH(C934&amp;"-"&amp;E934&amp;"-"&amp;F934&amp;"-Pos5",'Shooter-Squad Assignment'!$K:$K,0)),""),IF(F934="Trap",IFERROR(INDEX('Shooter-Squad Assignment'!$A:$A,MATCH(C934&amp;"-"&amp;E934&amp;"-"&amp;F934&amp;"-Pos5",'Shooter-Squad Assignment'!$W:$W,0)),""),IF(F934="Sporting Clays",IFERROR(INDEX('Shooter-Squad Assignment'!$A:$A,MATCH(C934&amp;"-"&amp;E934&amp;"-"&amp;F934&amp;"-Pos5",'Shooter-Squad Assignment'!$Z:$Z,0)),""),"")))</f>
        <v/>
      </c>
      <c r="P934" s="79" t="str">
        <f>IF(ISBLANK(O934),"",IFERROR(INDEX('Tournament List'!$D:$D,MATCH(O934,'Tournament List'!$A:$A,0)),""))</f>
        <v/>
      </c>
    </row>
    <row r="935" spans="1:16" x14ac:dyDescent="0.3">
      <c r="A935" s="78">
        <v>934</v>
      </c>
      <c r="B935" s="73" t="str">
        <f>C935&amp;"-"&amp;E935&amp;"-"&amp;F935</f>
        <v>-Collegiate 3-Sporting Clays</v>
      </c>
      <c r="C935" s="73"/>
      <c r="D935" s="73" t="str">
        <f>INDEX('Tournament Setup'!$B$59:$B$78,MATCH(E935,SquadConcurrents,0))</f>
        <v>Collegiate</v>
      </c>
      <c r="E935" s="73" t="s">
        <v>354</v>
      </c>
      <c r="F935" s="73" t="s">
        <v>148</v>
      </c>
      <c r="G935" s="94" t="str">
        <f>IF(F935="Skeet",IFERROR(INDEX('Shooter-Squad Assignment'!$A:$A,MATCH(C935&amp;"-"&amp;E935&amp;"-"&amp;F935&amp;"-Pos1",'Shooter-Squad Assignment'!$K:$K,0)),""),IF(F935="Trap",IFERROR(INDEX('Shooter-Squad Assignment'!$A:$A,MATCH(C935&amp;"-"&amp;E935&amp;"-"&amp;F935&amp;"-Pos1",'Shooter-Squad Assignment'!$W:$W,0)),""),IF(F935="Sporting Clays",IFERROR(INDEX('Shooter-Squad Assignment'!$A:$A,MATCH(C935&amp;"-"&amp;E935&amp;"-"&amp;F935&amp;"-Pos1",'Shooter-Squad Assignment'!$Z:$Z,0)),""),"")))</f>
        <v/>
      </c>
      <c r="H935" s="73" t="str">
        <f>IF(ISBLANK(G935),"",IFERROR(INDEX('Tournament List'!$D:$D,MATCH(G935,'Tournament List'!$A:$A,0)),""))</f>
        <v/>
      </c>
      <c r="I935" s="94" t="str">
        <f>IF(F935="Skeet",IFERROR(INDEX('Shooter-Squad Assignment'!$A:$A,MATCH(C935&amp;"-"&amp;E935&amp;"-"&amp;F935&amp;"-Pos2",'Shooter-Squad Assignment'!$K:$K,0)),""),IF(F935="Trap",IFERROR(INDEX('Shooter-Squad Assignment'!$A:$A,MATCH(C935&amp;"-"&amp;E935&amp;"-"&amp;F935&amp;"-Pos2",'Shooter-Squad Assignment'!$W:$W,0)),""),IF(F935="Sporting Clays",IFERROR(INDEX('Shooter-Squad Assignment'!$A:$A,MATCH(C935&amp;"-"&amp;E935&amp;"-"&amp;F935&amp;"-Pos2",'Shooter-Squad Assignment'!$Z:$Z,0)),""),"")))</f>
        <v/>
      </c>
      <c r="J935" s="73" t="str">
        <f>IF(ISBLANK(I935),"",IFERROR(INDEX('Tournament List'!$D:$D,MATCH(I935,'Tournament List'!$A:$A,0)),""))</f>
        <v/>
      </c>
      <c r="K935" s="94" t="str">
        <f>IF(F935="Skeet",IFERROR(INDEX('Shooter-Squad Assignment'!$A:$A,MATCH(C935&amp;"-"&amp;E935&amp;"-"&amp;F935&amp;"-Pos3",'Shooter-Squad Assignment'!$K:$K,0)),""),IF(F935="Trap",IFERROR(INDEX('Shooter-Squad Assignment'!$A:$A,MATCH(C935&amp;"-"&amp;E935&amp;"-"&amp;F935&amp;"-Pos3",'Shooter-Squad Assignment'!$W:$W,0)),""),IF(F935="Sporting Clays",IFERROR(INDEX('Shooter-Squad Assignment'!$A:$A,MATCH(C935&amp;"-"&amp;E935&amp;"-"&amp;F935&amp;"-Pos3",'Shooter-Squad Assignment'!$Z:$Z,0)),""),"")))</f>
        <v/>
      </c>
      <c r="L935" s="73" t="str">
        <f>IF(ISBLANK(K935),"",IFERROR(INDEX('Tournament List'!$D:$D,MATCH(K935,'Tournament List'!$A:$A,0)),""))</f>
        <v/>
      </c>
      <c r="M935" s="94" t="str">
        <f>IF(F935="Skeet",IFERROR(INDEX('Shooter-Squad Assignment'!$A:$A,MATCH(C935&amp;"-"&amp;E935&amp;"-"&amp;F935&amp;"-Pos4",'Shooter-Squad Assignment'!$K:$K,0)),""),IF(F935="Trap",IFERROR(INDEX('Shooter-Squad Assignment'!$A:$A,MATCH(C935&amp;"-"&amp;E935&amp;"-"&amp;F935&amp;"-Pos4",'Shooter-Squad Assignment'!$W:$W,0)),""),IF(F935="Sporting Clays",IFERROR(INDEX('Shooter-Squad Assignment'!$A:$A,MATCH(C935&amp;"-"&amp;E935&amp;"-"&amp;F935&amp;"-Pos4",'Shooter-Squad Assignment'!$Z:$Z,0)),""),"")))</f>
        <v/>
      </c>
      <c r="N935" s="73" t="str">
        <f>IF(ISBLANK(M935),"",IFERROR(INDEX('Tournament List'!$D:$D,MATCH(M935,'Tournament List'!$A:$A,0)),""))</f>
        <v/>
      </c>
      <c r="O935" s="94" t="str">
        <f>IF(F935="Skeet",IFERROR(INDEX('Shooter-Squad Assignment'!$A:$A,MATCH(C935&amp;"-"&amp;E935&amp;"-"&amp;F935&amp;"-Pos5",'Shooter-Squad Assignment'!$K:$K,0)),""),IF(F935="Trap",IFERROR(INDEX('Shooter-Squad Assignment'!$A:$A,MATCH(C935&amp;"-"&amp;E935&amp;"-"&amp;F935&amp;"-Pos5",'Shooter-Squad Assignment'!$W:$W,0)),""),IF(F935="Sporting Clays",IFERROR(INDEX('Shooter-Squad Assignment'!$A:$A,MATCH(C935&amp;"-"&amp;E935&amp;"-"&amp;F935&amp;"-Pos5",'Shooter-Squad Assignment'!$Z:$Z,0)),""),"")))</f>
        <v/>
      </c>
      <c r="P935" s="79" t="str">
        <f>IF(ISBLANK(O935),"",IFERROR(INDEX('Tournament List'!$D:$D,MATCH(O935,'Tournament List'!$A:$A,0)),""))</f>
        <v/>
      </c>
    </row>
    <row r="936" spans="1:16" x14ac:dyDescent="0.3">
      <c r="A936" s="78">
        <v>935</v>
      </c>
      <c r="B936" s="73" t="str">
        <f>C936&amp;"-"&amp;E936&amp;"-"&amp;F936</f>
        <v>-Intermediate 1-Sporting Clays</v>
      </c>
      <c r="C936" s="73"/>
      <c r="D936" s="73" t="str">
        <f>INDEX('Tournament Setup'!$B$59:$B$78,MATCH(E936,SquadConcurrents,0))</f>
        <v>Intermediate</v>
      </c>
      <c r="E936" s="73" t="s">
        <v>338</v>
      </c>
      <c r="F936" s="73" t="s">
        <v>148</v>
      </c>
      <c r="G936" s="94" t="str">
        <f>IF(F936="Skeet",IFERROR(INDEX('Shooter-Squad Assignment'!$A:$A,MATCH(C936&amp;"-"&amp;E936&amp;"-"&amp;F936&amp;"-Pos1",'Shooter-Squad Assignment'!$K:$K,0)),""),IF(F936="Trap",IFERROR(INDEX('Shooter-Squad Assignment'!$A:$A,MATCH(C936&amp;"-"&amp;E936&amp;"-"&amp;F936&amp;"-Pos1",'Shooter-Squad Assignment'!$W:$W,0)),""),IF(F936="Sporting Clays",IFERROR(INDEX('Shooter-Squad Assignment'!$A:$A,MATCH(C936&amp;"-"&amp;E936&amp;"-"&amp;F936&amp;"-Pos1",'Shooter-Squad Assignment'!$Z:$Z,0)),""),"")))</f>
        <v/>
      </c>
      <c r="H936" s="73" t="str">
        <f>IF(ISBLANK(G936),"",IFERROR(INDEX('Tournament List'!$D:$D,MATCH(G936,'Tournament List'!$A:$A,0)),""))</f>
        <v/>
      </c>
      <c r="I936" s="94" t="str">
        <f>IF(F936="Skeet",IFERROR(INDEX('Shooter-Squad Assignment'!$A:$A,MATCH(C936&amp;"-"&amp;E936&amp;"-"&amp;F936&amp;"-Pos2",'Shooter-Squad Assignment'!$K:$K,0)),""),IF(F936="Trap",IFERROR(INDEX('Shooter-Squad Assignment'!$A:$A,MATCH(C936&amp;"-"&amp;E936&amp;"-"&amp;F936&amp;"-Pos2",'Shooter-Squad Assignment'!$W:$W,0)),""),IF(F936="Sporting Clays",IFERROR(INDEX('Shooter-Squad Assignment'!$A:$A,MATCH(C936&amp;"-"&amp;E936&amp;"-"&amp;F936&amp;"-Pos2",'Shooter-Squad Assignment'!$Z:$Z,0)),""),"")))</f>
        <v/>
      </c>
      <c r="J936" s="73" t="str">
        <f>IF(ISBLANK(I936),"",IFERROR(INDEX('Tournament List'!$D:$D,MATCH(I936,'Tournament List'!$A:$A,0)),""))</f>
        <v/>
      </c>
      <c r="K936" s="94" t="str">
        <f>IF(F936="Skeet",IFERROR(INDEX('Shooter-Squad Assignment'!$A:$A,MATCH(C936&amp;"-"&amp;E936&amp;"-"&amp;F936&amp;"-Pos3",'Shooter-Squad Assignment'!$K:$K,0)),""),IF(F936="Trap",IFERROR(INDEX('Shooter-Squad Assignment'!$A:$A,MATCH(C936&amp;"-"&amp;E936&amp;"-"&amp;F936&amp;"-Pos3",'Shooter-Squad Assignment'!$W:$W,0)),""),IF(F936="Sporting Clays",IFERROR(INDEX('Shooter-Squad Assignment'!$A:$A,MATCH(C936&amp;"-"&amp;E936&amp;"-"&amp;F936&amp;"-Pos3",'Shooter-Squad Assignment'!$Z:$Z,0)),""),"")))</f>
        <v/>
      </c>
      <c r="L936" s="73" t="str">
        <f>IF(ISBLANK(K936),"",IFERROR(INDEX('Tournament List'!$D:$D,MATCH(K936,'Tournament List'!$A:$A,0)),""))</f>
        <v/>
      </c>
      <c r="M936" s="94" t="str">
        <f>IF(F936="Skeet",IFERROR(INDEX('Shooter-Squad Assignment'!$A:$A,MATCH(C936&amp;"-"&amp;E936&amp;"-"&amp;F936&amp;"-Pos4",'Shooter-Squad Assignment'!$K:$K,0)),""),IF(F936="Trap",IFERROR(INDEX('Shooter-Squad Assignment'!$A:$A,MATCH(C936&amp;"-"&amp;E936&amp;"-"&amp;F936&amp;"-Pos4",'Shooter-Squad Assignment'!$W:$W,0)),""),IF(F936="Sporting Clays",IFERROR(INDEX('Shooter-Squad Assignment'!$A:$A,MATCH(C936&amp;"-"&amp;E936&amp;"-"&amp;F936&amp;"-Pos4",'Shooter-Squad Assignment'!$Z:$Z,0)),""),"")))</f>
        <v/>
      </c>
      <c r="N936" s="73" t="str">
        <f>IF(ISBLANK(M936),"",IFERROR(INDEX('Tournament List'!$D:$D,MATCH(M936,'Tournament List'!$A:$A,0)),""))</f>
        <v/>
      </c>
      <c r="O936" s="94" t="str">
        <f>IF(F936="Skeet",IFERROR(INDEX('Shooter-Squad Assignment'!$A:$A,MATCH(C936&amp;"-"&amp;E936&amp;"-"&amp;F936&amp;"-Pos5",'Shooter-Squad Assignment'!$K:$K,0)),""),IF(F936="Trap",IFERROR(INDEX('Shooter-Squad Assignment'!$A:$A,MATCH(C936&amp;"-"&amp;E936&amp;"-"&amp;F936&amp;"-Pos5",'Shooter-Squad Assignment'!$W:$W,0)),""),IF(F936="Sporting Clays",IFERROR(INDEX('Shooter-Squad Assignment'!$A:$A,MATCH(C936&amp;"-"&amp;E936&amp;"-"&amp;F936&amp;"-Pos5",'Shooter-Squad Assignment'!$Z:$Z,0)),""),"")))</f>
        <v/>
      </c>
      <c r="P936" s="79" t="str">
        <f>IF(ISBLANK(O936),"",IFERROR(INDEX('Tournament List'!$D:$D,MATCH(O936,'Tournament List'!$A:$A,0)),""))</f>
        <v/>
      </c>
    </row>
    <row r="937" spans="1:16" x14ac:dyDescent="0.3">
      <c r="A937" s="78">
        <v>936</v>
      </c>
      <c r="B937" s="73" t="str">
        <f>C937&amp;"-"&amp;E937&amp;"-"&amp;F937</f>
        <v>-Intermediate 2-Sporting Clays</v>
      </c>
      <c r="C937" s="73"/>
      <c r="D937" s="73" t="str">
        <f>INDEX('Tournament Setup'!$B$59:$B$78,MATCH(E937,SquadConcurrents,0))</f>
        <v>Intermediate</v>
      </c>
      <c r="E937" s="73" t="s">
        <v>344</v>
      </c>
      <c r="F937" s="73" t="s">
        <v>148</v>
      </c>
      <c r="G937" s="94" t="str">
        <f>IF(F937="Skeet",IFERROR(INDEX('Shooter-Squad Assignment'!$A:$A,MATCH(C937&amp;"-"&amp;E937&amp;"-"&amp;F937&amp;"-Pos1",'Shooter-Squad Assignment'!$K:$K,0)),""),IF(F937="Trap",IFERROR(INDEX('Shooter-Squad Assignment'!$A:$A,MATCH(C937&amp;"-"&amp;E937&amp;"-"&amp;F937&amp;"-Pos1",'Shooter-Squad Assignment'!$W:$W,0)),""),IF(F937="Sporting Clays",IFERROR(INDEX('Shooter-Squad Assignment'!$A:$A,MATCH(C937&amp;"-"&amp;E937&amp;"-"&amp;F937&amp;"-Pos1",'Shooter-Squad Assignment'!$Z:$Z,0)),""),"")))</f>
        <v/>
      </c>
      <c r="H937" s="73" t="str">
        <f>IF(ISBLANK(G937),"",IFERROR(INDEX('Tournament List'!$D:$D,MATCH(G937,'Tournament List'!$A:$A,0)),""))</f>
        <v/>
      </c>
      <c r="I937" s="94" t="str">
        <f>IF(F937="Skeet",IFERROR(INDEX('Shooter-Squad Assignment'!$A:$A,MATCH(C937&amp;"-"&amp;E937&amp;"-"&amp;F937&amp;"-Pos2",'Shooter-Squad Assignment'!$K:$K,0)),""),IF(F937="Trap",IFERROR(INDEX('Shooter-Squad Assignment'!$A:$A,MATCH(C937&amp;"-"&amp;E937&amp;"-"&amp;F937&amp;"-Pos2",'Shooter-Squad Assignment'!$W:$W,0)),""),IF(F937="Sporting Clays",IFERROR(INDEX('Shooter-Squad Assignment'!$A:$A,MATCH(C937&amp;"-"&amp;E937&amp;"-"&amp;F937&amp;"-Pos2",'Shooter-Squad Assignment'!$Z:$Z,0)),""),"")))</f>
        <v/>
      </c>
      <c r="J937" s="73" t="str">
        <f>IF(ISBLANK(I937),"",IFERROR(INDEX('Tournament List'!$D:$D,MATCH(I937,'Tournament List'!$A:$A,0)),""))</f>
        <v/>
      </c>
      <c r="K937" s="94" t="str">
        <f>IF(F937="Skeet",IFERROR(INDEX('Shooter-Squad Assignment'!$A:$A,MATCH(C937&amp;"-"&amp;E937&amp;"-"&amp;F937&amp;"-Pos3",'Shooter-Squad Assignment'!$K:$K,0)),""),IF(F937="Trap",IFERROR(INDEX('Shooter-Squad Assignment'!$A:$A,MATCH(C937&amp;"-"&amp;E937&amp;"-"&amp;F937&amp;"-Pos3",'Shooter-Squad Assignment'!$W:$W,0)),""),IF(F937="Sporting Clays",IFERROR(INDEX('Shooter-Squad Assignment'!$A:$A,MATCH(C937&amp;"-"&amp;E937&amp;"-"&amp;F937&amp;"-Pos3",'Shooter-Squad Assignment'!$Z:$Z,0)),""),"")))</f>
        <v/>
      </c>
      <c r="L937" s="73" t="str">
        <f>IF(ISBLANK(K937),"",IFERROR(INDEX('Tournament List'!$D:$D,MATCH(K937,'Tournament List'!$A:$A,0)),""))</f>
        <v/>
      </c>
      <c r="M937" s="94" t="str">
        <f>IF(F937="Skeet",IFERROR(INDEX('Shooter-Squad Assignment'!$A:$A,MATCH(C937&amp;"-"&amp;E937&amp;"-"&amp;F937&amp;"-Pos4",'Shooter-Squad Assignment'!$K:$K,0)),""),IF(F937="Trap",IFERROR(INDEX('Shooter-Squad Assignment'!$A:$A,MATCH(C937&amp;"-"&amp;E937&amp;"-"&amp;F937&amp;"-Pos4",'Shooter-Squad Assignment'!$W:$W,0)),""),IF(F937="Sporting Clays",IFERROR(INDEX('Shooter-Squad Assignment'!$A:$A,MATCH(C937&amp;"-"&amp;E937&amp;"-"&amp;F937&amp;"-Pos4",'Shooter-Squad Assignment'!$Z:$Z,0)),""),"")))</f>
        <v/>
      </c>
      <c r="N937" s="73" t="str">
        <f>IF(ISBLANK(M937),"",IFERROR(INDEX('Tournament List'!$D:$D,MATCH(M937,'Tournament List'!$A:$A,0)),""))</f>
        <v/>
      </c>
      <c r="O937" s="94" t="str">
        <f>IF(F937="Skeet",IFERROR(INDEX('Shooter-Squad Assignment'!$A:$A,MATCH(C937&amp;"-"&amp;E937&amp;"-"&amp;F937&amp;"-Pos5",'Shooter-Squad Assignment'!$K:$K,0)),""),IF(F937="Trap",IFERROR(INDEX('Shooter-Squad Assignment'!$A:$A,MATCH(C937&amp;"-"&amp;E937&amp;"-"&amp;F937&amp;"-Pos5",'Shooter-Squad Assignment'!$W:$W,0)),""),IF(F937="Sporting Clays",IFERROR(INDEX('Shooter-Squad Assignment'!$A:$A,MATCH(C937&amp;"-"&amp;E937&amp;"-"&amp;F937&amp;"-Pos5",'Shooter-Squad Assignment'!$Z:$Z,0)),""),"")))</f>
        <v/>
      </c>
      <c r="P937" s="79" t="str">
        <f>IF(ISBLANK(O937),"",IFERROR(INDEX('Tournament List'!$D:$D,MATCH(O937,'Tournament List'!$A:$A,0)),""))</f>
        <v/>
      </c>
    </row>
    <row r="938" spans="1:16" x14ac:dyDescent="0.3">
      <c r="A938" s="78">
        <v>937</v>
      </c>
      <c r="B938" s="73" t="str">
        <f>C938&amp;"-"&amp;E938&amp;"-"&amp;F938</f>
        <v>-Intermediate 3-Sporting Clays</v>
      </c>
      <c r="C938" s="73"/>
      <c r="D938" s="73" t="str">
        <f>INDEX('Tournament Setup'!$B$59:$B$78,MATCH(E938,SquadConcurrents,0))</f>
        <v>Intermediate</v>
      </c>
      <c r="E938" s="73" t="s">
        <v>350</v>
      </c>
      <c r="F938" s="73" t="s">
        <v>148</v>
      </c>
      <c r="G938" s="94" t="str">
        <f>IF(F938="Skeet",IFERROR(INDEX('Shooter-Squad Assignment'!$A:$A,MATCH(C938&amp;"-"&amp;E938&amp;"-"&amp;F938&amp;"-Pos1",'Shooter-Squad Assignment'!$K:$K,0)),""),IF(F938="Trap",IFERROR(INDEX('Shooter-Squad Assignment'!$A:$A,MATCH(C938&amp;"-"&amp;E938&amp;"-"&amp;F938&amp;"-Pos1",'Shooter-Squad Assignment'!$W:$W,0)),""),IF(F938="Sporting Clays",IFERROR(INDEX('Shooter-Squad Assignment'!$A:$A,MATCH(C938&amp;"-"&amp;E938&amp;"-"&amp;F938&amp;"-Pos1",'Shooter-Squad Assignment'!$Z:$Z,0)),""),"")))</f>
        <v/>
      </c>
      <c r="H938" s="73" t="str">
        <f>IF(ISBLANK(G938),"",IFERROR(INDEX('Tournament List'!$D:$D,MATCH(G938,'Tournament List'!$A:$A,0)),""))</f>
        <v/>
      </c>
      <c r="I938" s="94" t="str">
        <f>IF(F938="Skeet",IFERROR(INDEX('Shooter-Squad Assignment'!$A:$A,MATCH(C938&amp;"-"&amp;E938&amp;"-"&amp;F938&amp;"-Pos2",'Shooter-Squad Assignment'!$K:$K,0)),""),IF(F938="Trap",IFERROR(INDEX('Shooter-Squad Assignment'!$A:$A,MATCH(C938&amp;"-"&amp;E938&amp;"-"&amp;F938&amp;"-Pos2",'Shooter-Squad Assignment'!$W:$W,0)),""),IF(F938="Sporting Clays",IFERROR(INDEX('Shooter-Squad Assignment'!$A:$A,MATCH(C938&amp;"-"&amp;E938&amp;"-"&amp;F938&amp;"-Pos2",'Shooter-Squad Assignment'!$Z:$Z,0)),""),"")))</f>
        <v/>
      </c>
      <c r="J938" s="73" t="str">
        <f>IF(ISBLANK(I938),"",IFERROR(INDEX('Tournament List'!$D:$D,MATCH(I938,'Tournament List'!$A:$A,0)),""))</f>
        <v/>
      </c>
      <c r="K938" s="94" t="str">
        <f>IF(F938="Skeet",IFERROR(INDEX('Shooter-Squad Assignment'!$A:$A,MATCH(C938&amp;"-"&amp;E938&amp;"-"&amp;F938&amp;"-Pos3",'Shooter-Squad Assignment'!$K:$K,0)),""),IF(F938="Trap",IFERROR(INDEX('Shooter-Squad Assignment'!$A:$A,MATCH(C938&amp;"-"&amp;E938&amp;"-"&amp;F938&amp;"-Pos3",'Shooter-Squad Assignment'!$W:$W,0)),""),IF(F938="Sporting Clays",IFERROR(INDEX('Shooter-Squad Assignment'!$A:$A,MATCH(C938&amp;"-"&amp;E938&amp;"-"&amp;F938&amp;"-Pos3",'Shooter-Squad Assignment'!$Z:$Z,0)),""),"")))</f>
        <v/>
      </c>
      <c r="L938" s="73" t="str">
        <f>IF(ISBLANK(K938),"",IFERROR(INDEX('Tournament List'!$D:$D,MATCH(K938,'Tournament List'!$A:$A,0)),""))</f>
        <v/>
      </c>
      <c r="M938" s="94" t="str">
        <f>IF(F938="Skeet",IFERROR(INDEX('Shooter-Squad Assignment'!$A:$A,MATCH(C938&amp;"-"&amp;E938&amp;"-"&amp;F938&amp;"-Pos4",'Shooter-Squad Assignment'!$K:$K,0)),""),IF(F938="Trap",IFERROR(INDEX('Shooter-Squad Assignment'!$A:$A,MATCH(C938&amp;"-"&amp;E938&amp;"-"&amp;F938&amp;"-Pos4",'Shooter-Squad Assignment'!$W:$W,0)),""),IF(F938="Sporting Clays",IFERROR(INDEX('Shooter-Squad Assignment'!$A:$A,MATCH(C938&amp;"-"&amp;E938&amp;"-"&amp;F938&amp;"-Pos4",'Shooter-Squad Assignment'!$Z:$Z,0)),""),"")))</f>
        <v/>
      </c>
      <c r="N938" s="73" t="str">
        <f>IF(ISBLANK(M938),"",IFERROR(INDEX('Tournament List'!$D:$D,MATCH(M938,'Tournament List'!$A:$A,0)),""))</f>
        <v/>
      </c>
      <c r="O938" s="94" t="str">
        <f>IF(F938="Skeet",IFERROR(INDEX('Shooter-Squad Assignment'!$A:$A,MATCH(C938&amp;"-"&amp;E938&amp;"-"&amp;F938&amp;"-Pos5",'Shooter-Squad Assignment'!$K:$K,0)),""),IF(F938="Trap",IFERROR(INDEX('Shooter-Squad Assignment'!$A:$A,MATCH(C938&amp;"-"&amp;E938&amp;"-"&amp;F938&amp;"-Pos5",'Shooter-Squad Assignment'!$W:$W,0)),""),IF(F938="Sporting Clays",IFERROR(INDEX('Shooter-Squad Assignment'!$A:$A,MATCH(C938&amp;"-"&amp;E938&amp;"-"&amp;F938&amp;"-Pos5",'Shooter-Squad Assignment'!$Z:$Z,0)),""),"")))</f>
        <v/>
      </c>
      <c r="P938" s="79" t="str">
        <f>IF(ISBLANK(O938),"",IFERROR(INDEX('Tournament List'!$D:$D,MATCH(O938,'Tournament List'!$A:$A,0)),""))</f>
        <v/>
      </c>
    </row>
    <row r="939" spans="1:16" x14ac:dyDescent="0.3">
      <c r="A939" s="78">
        <v>938</v>
      </c>
      <c r="B939" s="73" t="str">
        <f>C939&amp;"-"&amp;E939&amp;"-"&amp;F939</f>
        <v>-Junior Varsity 1-Sporting Clays</v>
      </c>
      <c r="C939" s="73"/>
      <c r="D939" s="73" t="str">
        <f>INDEX('Tournament Setup'!$B$59:$B$78,MATCH(E939,SquadConcurrents,0))</f>
        <v>Junior Varsity</v>
      </c>
      <c r="E939" s="73" t="s">
        <v>339</v>
      </c>
      <c r="F939" s="73" t="s">
        <v>148</v>
      </c>
      <c r="G939" s="94" t="str">
        <f>IF(F939="Skeet",IFERROR(INDEX('Shooter-Squad Assignment'!$A:$A,MATCH(C939&amp;"-"&amp;E939&amp;"-"&amp;F939&amp;"-Pos1",'Shooter-Squad Assignment'!$K:$K,0)),""),IF(F939="Trap",IFERROR(INDEX('Shooter-Squad Assignment'!$A:$A,MATCH(C939&amp;"-"&amp;E939&amp;"-"&amp;F939&amp;"-Pos1",'Shooter-Squad Assignment'!$W:$W,0)),""),IF(F939="Sporting Clays",IFERROR(INDEX('Shooter-Squad Assignment'!$A:$A,MATCH(C939&amp;"-"&amp;E939&amp;"-"&amp;F939&amp;"-Pos1",'Shooter-Squad Assignment'!$Z:$Z,0)),""),"")))</f>
        <v/>
      </c>
      <c r="H939" s="73" t="str">
        <f>IF(ISBLANK(G939),"",IFERROR(INDEX('Tournament List'!$D:$D,MATCH(G939,'Tournament List'!$A:$A,0)),""))</f>
        <v/>
      </c>
      <c r="I939" s="94" t="str">
        <f>IF(F939="Skeet",IFERROR(INDEX('Shooter-Squad Assignment'!$A:$A,MATCH(C939&amp;"-"&amp;E939&amp;"-"&amp;F939&amp;"-Pos2",'Shooter-Squad Assignment'!$K:$K,0)),""),IF(F939="Trap",IFERROR(INDEX('Shooter-Squad Assignment'!$A:$A,MATCH(C939&amp;"-"&amp;E939&amp;"-"&amp;F939&amp;"-Pos2",'Shooter-Squad Assignment'!$W:$W,0)),""),IF(F939="Sporting Clays",IFERROR(INDEX('Shooter-Squad Assignment'!$A:$A,MATCH(C939&amp;"-"&amp;E939&amp;"-"&amp;F939&amp;"-Pos2",'Shooter-Squad Assignment'!$Z:$Z,0)),""),"")))</f>
        <v/>
      </c>
      <c r="J939" s="73" t="str">
        <f>IF(ISBLANK(I939),"",IFERROR(INDEX('Tournament List'!$D:$D,MATCH(I939,'Tournament List'!$A:$A,0)),""))</f>
        <v/>
      </c>
      <c r="K939" s="94" t="str">
        <f>IF(F939="Skeet",IFERROR(INDEX('Shooter-Squad Assignment'!$A:$A,MATCH(C939&amp;"-"&amp;E939&amp;"-"&amp;F939&amp;"-Pos3",'Shooter-Squad Assignment'!$K:$K,0)),""),IF(F939="Trap",IFERROR(INDEX('Shooter-Squad Assignment'!$A:$A,MATCH(C939&amp;"-"&amp;E939&amp;"-"&amp;F939&amp;"-Pos3",'Shooter-Squad Assignment'!$W:$W,0)),""),IF(F939="Sporting Clays",IFERROR(INDEX('Shooter-Squad Assignment'!$A:$A,MATCH(C939&amp;"-"&amp;E939&amp;"-"&amp;F939&amp;"-Pos3",'Shooter-Squad Assignment'!$Z:$Z,0)),""),"")))</f>
        <v/>
      </c>
      <c r="L939" s="73" t="str">
        <f>IF(ISBLANK(K939),"",IFERROR(INDEX('Tournament List'!$D:$D,MATCH(K939,'Tournament List'!$A:$A,0)),""))</f>
        <v/>
      </c>
      <c r="M939" s="94" t="str">
        <f>IF(F939="Skeet",IFERROR(INDEX('Shooter-Squad Assignment'!$A:$A,MATCH(C939&amp;"-"&amp;E939&amp;"-"&amp;F939&amp;"-Pos4",'Shooter-Squad Assignment'!$K:$K,0)),""),IF(F939="Trap",IFERROR(INDEX('Shooter-Squad Assignment'!$A:$A,MATCH(C939&amp;"-"&amp;E939&amp;"-"&amp;F939&amp;"-Pos4",'Shooter-Squad Assignment'!$W:$W,0)),""),IF(F939="Sporting Clays",IFERROR(INDEX('Shooter-Squad Assignment'!$A:$A,MATCH(C939&amp;"-"&amp;E939&amp;"-"&amp;F939&amp;"-Pos4",'Shooter-Squad Assignment'!$Z:$Z,0)),""),"")))</f>
        <v/>
      </c>
      <c r="N939" s="73" t="str">
        <f>IF(ISBLANK(M939),"",IFERROR(INDEX('Tournament List'!$D:$D,MATCH(M939,'Tournament List'!$A:$A,0)),""))</f>
        <v/>
      </c>
      <c r="O939" s="94" t="str">
        <f>IF(F939="Skeet",IFERROR(INDEX('Shooter-Squad Assignment'!$A:$A,MATCH(C939&amp;"-"&amp;E939&amp;"-"&amp;F939&amp;"-Pos5",'Shooter-Squad Assignment'!$K:$K,0)),""),IF(F939="Trap",IFERROR(INDEX('Shooter-Squad Assignment'!$A:$A,MATCH(C939&amp;"-"&amp;E939&amp;"-"&amp;F939&amp;"-Pos5",'Shooter-Squad Assignment'!$W:$W,0)),""),IF(F939="Sporting Clays",IFERROR(INDEX('Shooter-Squad Assignment'!$A:$A,MATCH(C939&amp;"-"&amp;E939&amp;"-"&amp;F939&amp;"-Pos5",'Shooter-Squad Assignment'!$Z:$Z,0)),""),"")))</f>
        <v/>
      </c>
      <c r="P939" s="79" t="str">
        <f>IF(ISBLANK(O939),"",IFERROR(INDEX('Tournament List'!$D:$D,MATCH(O939,'Tournament List'!$A:$A,0)),""))</f>
        <v/>
      </c>
    </row>
    <row r="940" spans="1:16" x14ac:dyDescent="0.3">
      <c r="A940" s="78">
        <v>939</v>
      </c>
      <c r="B940" s="73" t="str">
        <f>C940&amp;"-"&amp;E940&amp;"-"&amp;F940</f>
        <v>-Junior Varsity 2-Sporting Clays</v>
      </c>
      <c r="C940" s="73"/>
      <c r="D940" s="73" t="str">
        <f>INDEX('Tournament Setup'!$B$59:$B$78,MATCH(E940,SquadConcurrents,0))</f>
        <v>Junior Varsity</v>
      </c>
      <c r="E940" s="73" t="s">
        <v>345</v>
      </c>
      <c r="F940" s="73" t="s">
        <v>148</v>
      </c>
      <c r="G940" s="94" t="str">
        <f>IF(F940="Skeet",IFERROR(INDEX('Shooter-Squad Assignment'!$A:$A,MATCH(C940&amp;"-"&amp;E940&amp;"-"&amp;F940&amp;"-Pos1",'Shooter-Squad Assignment'!$K:$K,0)),""),IF(F940="Trap",IFERROR(INDEX('Shooter-Squad Assignment'!$A:$A,MATCH(C940&amp;"-"&amp;E940&amp;"-"&amp;F940&amp;"-Pos1",'Shooter-Squad Assignment'!$W:$W,0)),""),IF(F940="Sporting Clays",IFERROR(INDEX('Shooter-Squad Assignment'!$A:$A,MATCH(C940&amp;"-"&amp;E940&amp;"-"&amp;F940&amp;"-Pos1",'Shooter-Squad Assignment'!$Z:$Z,0)),""),"")))</f>
        <v/>
      </c>
      <c r="H940" s="73" t="str">
        <f>IF(ISBLANK(G940),"",IFERROR(INDEX('Tournament List'!$D:$D,MATCH(G940,'Tournament List'!$A:$A,0)),""))</f>
        <v/>
      </c>
      <c r="I940" s="94" t="str">
        <f>IF(F940="Skeet",IFERROR(INDEX('Shooter-Squad Assignment'!$A:$A,MATCH(C940&amp;"-"&amp;E940&amp;"-"&amp;F940&amp;"-Pos2",'Shooter-Squad Assignment'!$K:$K,0)),""),IF(F940="Trap",IFERROR(INDEX('Shooter-Squad Assignment'!$A:$A,MATCH(C940&amp;"-"&amp;E940&amp;"-"&amp;F940&amp;"-Pos2",'Shooter-Squad Assignment'!$W:$W,0)),""),IF(F940="Sporting Clays",IFERROR(INDEX('Shooter-Squad Assignment'!$A:$A,MATCH(C940&amp;"-"&amp;E940&amp;"-"&amp;F940&amp;"-Pos2",'Shooter-Squad Assignment'!$Z:$Z,0)),""),"")))</f>
        <v/>
      </c>
      <c r="J940" s="73" t="str">
        <f>IF(ISBLANK(I940),"",IFERROR(INDEX('Tournament List'!$D:$D,MATCH(I940,'Tournament List'!$A:$A,0)),""))</f>
        <v/>
      </c>
      <c r="K940" s="94" t="str">
        <f>IF(F940="Skeet",IFERROR(INDEX('Shooter-Squad Assignment'!$A:$A,MATCH(C940&amp;"-"&amp;E940&amp;"-"&amp;F940&amp;"-Pos3",'Shooter-Squad Assignment'!$K:$K,0)),""),IF(F940="Trap",IFERROR(INDEX('Shooter-Squad Assignment'!$A:$A,MATCH(C940&amp;"-"&amp;E940&amp;"-"&amp;F940&amp;"-Pos3",'Shooter-Squad Assignment'!$W:$W,0)),""),IF(F940="Sporting Clays",IFERROR(INDEX('Shooter-Squad Assignment'!$A:$A,MATCH(C940&amp;"-"&amp;E940&amp;"-"&amp;F940&amp;"-Pos3",'Shooter-Squad Assignment'!$Z:$Z,0)),""),"")))</f>
        <v/>
      </c>
      <c r="L940" s="73" t="str">
        <f>IF(ISBLANK(K940),"",IFERROR(INDEX('Tournament List'!$D:$D,MATCH(K940,'Tournament List'!$A:$A,0)),""))</f>
        <v/>
      </c>
      <c r="M940" s="94" t="str">
        <f>IF(F940="Skeet",IFERROR(INDEX('Shooter-Squad Assignment'!$A:$A,MATCH(C940&amp;"-"&amp;E940&amp;"-"&amp;F940&amp;"-Pos4",'Shooter-Squad Assignment'!$K:$K,0)),""),IF(F940="Trap",IFERROR(INDEX('Shooter-Squad Assignment'!$A:$A,MATCH(C940&amp;"-"&amp;E940&amp;"-"&amp;F940&amp;"-Pos4",'Shooter-Squad Assignment'!$W:$W,0)),""),IF(F940="Sporting Clays",IFERROR(INDEX('Shooter-Squad Assignment'!$A:$A,MATCH(C940&amp;"-"&amp;E940&amp;"-"&amp;F940&amp;"-Pos4",'Shooter-Squad Assignment'!$Z:$Z,0)),""),"")))</f>
        <v/>
      </c>
      <c r="N940" s="73" t="str">
        <f>IF(ISBLANK(M940),"",IFERROR(INDEX('Tournament List'!$D:$D,MATCH(M940,'Tournament List'!$A:$A,0)),""))</f>
        <v/>
      </c>
      <c r="O940" s="94" t="str">
        <f>IF(F940="Skeet",IFERROR(INDEX('Shooter-Squad Assignment'!$A:$A,MATCH(C940&amp;"-"&amp;E940&amp;"-"&amp;F940&amp;"-Pos5",'Shooter-Squad Assignment'!$K:$K,0)),""),IF(F940="Trap",IFERROR(INDEX('Shooter-Squad Assignment'!$A:$A,MATCH(C940&amp;"-"&amp;E940&amp;"-"&amp;F940&amp;"-Pos5",'Shooter-Squad Assignment'!$W:$W,0)),""),IF(F940="Sporting Clays",IFERROR(INDEX('Shooter-Squad Assignment'!$A:$A,MATCH(C940&amp;"-"&amp;E940&amp;"-"&amp;F940&amp;"-Pos5",'Shooter-Squad Assignment'!$Z:$Z,0)),""),"")))</f>
        <v/>
      </c>
      <c r="P940" s="79" t="str">
        <f>IF(ISBLANK(O940),"",IFERROR(INDEX('Tournament List'!$D:$D,MATCH(O940,'Tournament List'!$A:$A,0)),""))</f>
        <v/>
      </c>
    </row>
    <row r="941" spans="1:16" x14ac:dyDescent="0.3">
      <c r="A941" s="78">
        <v>940</v>
      </c>
      <c r="B941" s="73" t="str">
        <f>C941&amp;"-"&amp;E941&amp;"-"&amp;F941</f>
        <v>-Junior Varsity 3-Sporting Clays</v>
      </c>
      <c r="C941" s="73"/>
      <c r="D941" s="73" t="str">
        <f>INDEX('Tournament Setup'!$B$59:$B$78,MATCH(E941,SquadConcurrents,0))</f>
        <v>Junior Varsity</v>
      </c>
      <c r="E941" s="73" t="s">
        <v>351</v>
      </c>
      <c r="F941" s="73" t="s">
        <v>148</v>
      </c>
      <c r="G941" s="94" t="str">
        <f>IF(F941="Skeet",IFERROR(INDEX('Shooter-Squad Assignment'!$A:$A,MATCH(C941&amp;"-"&amp;E941&amp;"-"&amp;F941&amp;"-Pos1",'Shooter-Squad Assignment'!$K:$K,0)),""),IF(F941="Trap",IFERROR(INDEX('Shooter-Squad Assignment'!$A:$A,MATCH(C941&amp;"-"&amp;E941&amp;"-"&amp;F941&amp;"-Pos1",'Shooter-Squad Assignment'!$W:$W,0)),""),IF(F941="Sporting Clays",IFERROR(INDEX('Shooter-Squad Assignment'!$A:$A,MATCH(C941&amp;"-"&amp;E941&amp;"-"&amp;F941&amp;"-Pos1",'Shooter-Squad Assignment'!$Z:$Z,0)),""),"")))</f>
        <v/>
      </c>
      <c r="H941" s="73" t="str">
        <f>IF(ISBLANK(G941),"",IFERROR(INDEX('Tournament List'!$D:$D,MATCH(G941,'Tournament List'!$A:$A,0)),""))</f>
        <v/>
      </c>
      <c r="I941" s="94" t="str">
        <f>IF(F941="Skeet",IFERROR(INDEX('Shooter-Squad Assignment'!$A:$A,MATCH(C941&amp;"-"&amp;E941&amp;"-"&amp;F941&amp;"-Pos2",'Shooter-Squad Assignment'!$K:$K,0)),""),IF(F941="Trap",IFERROR(INDEX('Shooter-Squad Assignment'!$A:$A,MATCH(C941&amp;"-"&amp;E941&amp;"-"&amp;F941&amp;"-Pos2",'Shooter-Squad Assignment'!$W:$W,0)),""),IF(F941="Sporting Clays",IFERROR(INDEX('Shooter-Squad Assignment'!$A:$A,MATCH(C941&amp;"-"&amp;E941&amp;"-"&amp;F941&amp;"-Pos2",'Shooter-Squad Assignment'!$Z:$Z,0)),""),"")))</f>
        <v/>
      </c>
      <c r="J941" s="73" t="str">
        <f>IF(ISBLANK(I941),"",IFERROR(INDEX('Tournament List'!$D:$D,MATCH(I941,'Tournament List'!$A:$A,0)),""))</f>
        <v/>
      </c>
      <c r="K941" s="94" t="str">
        <f>IF(F941="Skeet",IFERROR(INDEX('Shooter-Squad Assignment'!$A:$A,MATCH(C941&amp;"-"&amp;E941&amp;"-"&amp;F941&amp;"-Pos3",'Shooter-Squad Assignment'!$K:$K,0)),""),IF(F941="Trap",IFERROR(INDEX('Shooter-Squad Assignment'!$A:$A,MATCH(C941&amp;"-"&amp;E941&amp;"-"&amp;F941&amp;"-Pos3",'Shooter-Squad Assignment'!$W:$W,0)),""),IF(F941="Sporting Clays",IFERROR(INDEX('Shooter-Squad Assignment'!$A:$A,MATCH(C941&amp;"-"&amp;E941&amp;"-"&amp;F941&amp;"-Pos3",'Shooter-Squad Assignment'!$Z:$Z,0)),""),"")))</f>
        <v/>
      </c>
      <c r="L941" s="73" t="str">
        <f>IF(ISBLANK(K941),"",IFERROR(INDEX('Tournament List'!$D:$D,MATCH(K941,'Tournament List'!$A:$A,0)),""))</f>
        <v/>
      </c>
      <c r="M941" s="94" t="str">
        <f>IF(F941="Skeet",IFERROR(INDEX('Shooter-Squad Assignment'!$A:$A,MATCH(C941&amp;"-"&amp;E941&amp;"-"&amp;F941&amp;"-Pos4",'Shooter-Squad Assignment'!$K:$K,0)),""),IF(F941="Trap",IFERROR(INDEX('Shooter-Squad Assignment'!$A:$A,MATCH(C941&amp;"-"&amp;E941&amp;"-"&amp;F941&amp;"-Pos4",'Shooter-Squad Assignment'!$W:$W,0)),""),IF(F941="Sporting Clays",IFERROR(INDEX('Shooter-Squad Assignment'!$A:$A,MATCH(C941&amp;"-"&amp;E941&amp;"-"&amp;F941&amp;"-Pos4",'Shooter-Squad Assignment'!$Z:$Z,0)),""),"")))</f>
        <v/>
      </c>
      <c r="N941" s="73" t="str">
        <f>IF(ISBLANK(M941),"",IFERROR(INDEX('Tournament List'!$D:$D,MATCH(M941,'Tournament List'!$A:$A,0)),""))</f>
        <v/>
      </c>
      <c r="O941" s="94" t="str">
        <f>IF(F941="Skeet",IFERROR(INDEX('Shooter-Squad Assignment'!$A:$A,MATCH(C941&amp;"-"&amp;E941&amp;"-"&amp;F941&amp;"-Pos5",'Shooter-Squad Assignment'!$K:$K,0)),""),IF(F941="Trap",IFERROR(INDEX('Shooter-Squad Assignment'!$A:$A,MATCH(C941&amp;"-"&amp;E941&amp;"-"&amp;F941&amp;"-Pos5",'Shooter-Squad Assignment'!$W:$W,0)),""),IF(F941="Sporting Clays",IFERROR(INDEX('Shooter-Squad Assignment'!$A:$A,MATCH(C941&amp;"-"&amp;E941&amp;"-"&amp;F941&amp;"-Pos5",'Shooter-Squad Assignment'!$Z:$Z,0)),""),"")))</f>
        <v/>
      </c>
      <c r="P941" s="79" t="str">
        <f>IF(ISBLANK(O941),"",IFERROR(INDEX('Tournament List'!$D:$D,MATCH(O941,'Tournament List'!$A:$A,0)),""))</f>
        <v/>
      </c>
    </row>
    <row r="942" spans="1:16" x14ac:dyDescent="0.3">
      <c r="A942" s="78">
        <v>941</v>
      </c>
      <c r="B942" s="73" t="str">
        <f>C942&amp;"-"&amp;E942&amp;"-"&amp;F942</f>
        <v>-Novice 1-Sporting Clays</v>
      </c>
      <c r="C942" s="73"/>
      <c r="D942" s="73" t="str">
        <f>INDEX('Tournament Setup'!$B$59:$B$78,MATCH(E942,SquadConcurrents,0))</f>
        <v>Novice</v>
      </c>
      <c r="E942" s="73" t="s">
        <v>337</v>
      </c>
      <c r="F942" s="73" t="s">
        <v>148</v>
      </c>
      <c r="G942" s="94" t="str">
        <f>IF(F942="Skeet",IFERROR(INDEX('Shooter-Squad Assignment'!$A:$A,MATCH(C942&amp;"-"&amp;E942&amp;"-"&amp;F942&amp;"-Pos1",'Shooter-Squad Assignment'!$K:$K,0)),""),IF(F942="Trap",IFERROR(INDEX('Shooter-Squad Assignment'!$A:$A,MATCH(C942&amp;"-"&amp;E942&amp;"-"&amp;F942&amp;"-Pos1",'Shooter-Squad Assignment'!$W:$W,0)),""),IF(F942="Sporting Clays",IFERROR(INDEX('Shooter-Squad Assignment'!$A:$A,MATCH(C942&amp;"-"&amp;E942&amp;"-"&amp;F942&amp;"-Pos1",'Shooter-Squad Assignment'!$Z:$Z,0)),""),"")))</f>
        <v/>
      </c>
      <c r="H942" s="73" t="str">
        <f>IF(ISBLANK(G942),"",IFERROR(INDEX('Tournament List'!$D:$D,MATCH(G942,'Tournament List'!$A:$A,0)),""))</f>
        <v/>
      </c>
      <c r="I942" s="94" t="str">
        <f>IF(F942="Skeet",IFERROR(INDEX('Shooter-Squad Assignment'!$A:$A,MATCH(C942&amp;"-"&amp;E942&amp;"-"&amp;F942&amp;"-Pos2",'Shooter-Squad Assignment'!$K:$K,0)),""),IF(F942="Trap",IFERROR(INDEX('Shooter-Squad Assignment'!$A:$A,MATCH(C942&amp;"-"&amp;E942&amp;"-"&amp;F942&amp;"-Pos2",'Shooter-Squad Assignment'!$W:$W,0)),""),IF(F942="Sporting Clays",IFERROR(INDEX('Shooter-Squad Assignment'!$A:$A,MATCH(C942&amp;"-"&amp;E942&amp;"-"&amp;F942&amp;"-Pos2",'Shooter-Squad Assignment'!$Z:$Z,0)),""),"")))</f>
        <v/>
      </c>
      <c r="J942" s="73" t="str">
        <f>IF(ISBLANK(I942),"",IFERROR(INDEX('Tournament List'!$D:$D,MATCH(I942,'Tournament List'!$A:$A,0)),""))</f>
        <v/>
      </c>
      <c r="K942" s="94" t="str">
        <f>IF(F942="Skeet",IFERROR(INDEX('Shooter-Squad Assignment'!$A:$A,MATCH(C942&amp;"-"&amp;E942&amp;"-"&amp;F942&amp;"-Pos3",'Shooter-Squad Assignment'!$K:$K,0)),""),IF(F942="Trap",IFERROR(INDEX('Shooter-Squad Assignment'!$A:$A,MATCH(C942&amp;"-"&amp;E942&amp;"-"&amp;F942&amp;"-Pos3",'Shooter-Squad Assignment'!$W:$W,0)),""),IF(F942="Sporting Clays",IFERROR(INDEX('Shooter-Squad Assignment'!$A:$A,MATCH(C942&amp;"-"&amp;E942&amp;"-"&amp;F942&amp;"-Pos3",'Shooter-Squad Assignment'!$Z:$Z,0)),""),"")))</f>
        <v/>
      </c>
      <c r="L942" s="73" t="str">
        <f>IF(ISBLANK(K942),"",IFERROR(INDEX('Tournament List'!$D:$D,MATCH(K942,'Tournament List'!$A:$A,0)),""))</f>
        <v/>
      </c>
      <c r="M942" s="94" t="str">
        <f>IF(F942="Skeet",IFERROR(INDEX('Shooter-Squad Assignment'!$A:$A,MATCH(C942&amp;"-"&amp;E942&amp;"-"&amp;F942&amp;"-Pos4",'Shooter-Squad Assignment'!$K:$K,0)),""),IF(F942="Trap",IFERROR(INDEX('Shooter-Squad Assignment'!$A:$A,MATCH(C942&amp;"-"&amp;E942&amp;"-"&amp;F942&amp;"-Pos4",'Shooter-Squad Assignment'!$W:$W,0)),""),IF(F942="Sporting Clays",IFERROR(INDEX('Shooter-Squad Assignment'!$A:$A,MATCH(C942&amp;"-"&amp;E942&amp;"-"&amp;F942&amp;"-Pos4",'Shooter-Squad Assignment'!$Z:$Z,0)),""),"")))</f>
        <v/>
      </c>
      <c r="N942" s="73" t="str">
        <f>IF(ISBLANK(M942),"",IFERROR(INDEX('Tournament List'!$D:$D,MATCH(M942,'Tournament List'!$A:$A,0)),""))</f>
        <v/>
      </c>
      <c r="O942" s="94" t="str">
        <f>IF(F942="Skeet",IFERROR(INDEX('Shooter-Squad Assignment'!$A:$A,MATCH(C942&amp;"-"&amp;E942&amp;"-"&amp;F942&amp;"-Pos5",'Shooter-Squad Assignment'!$K:$K,0)),""),IF(F942="Trap",IFERROR(INDEX('Shooter-Squad Assignment'!$A:$A,MATCH(C942&amp;"-"&amp;E942&amp;"-"&amp;F942&amp;"-Pos5",'Shooter-Squad Assignment'!$W:$W,0)),""),IF(F942="Sporting Clays",IFERROR(INDEX('Shooter-Squad Assignment'!$A:$A,MATCH(C942&amp;"-"&amp;E942&amp;"-"&amp;F942&amp;"-Pos5",'Shooter-Squad Assignment'!$Z:$Z,0)),""),"")))</f>
        <v/>
      </c>
      <c r="P942" s="79" t="str">
        <f>IF(ISBLANK(O942),"",IFERROR(INDEX('Tournament List'!$D:$D,MATCH(O942,'Tournament List'!$A:$A,0)),""))</f>
        <v/>
      </c>
    </row>
    <row r="943" spans="1:16" x14ac:dyDescent="0.3">
      <c r="A943" s="78">
        <v>942</v>
      </c>
      <c r="B943" s="73" t="str">
        <f>C943&amp;"-"&amp;E943&amp;"-"&amp;F943</f>
        <v>-Novice 2-Sporting Clays</v>
      </c>
      <c r="C943" s="73"/>
      <c r="D943" s="73" t="str">
        <f>INDEX('Tournament Setup'!$B$59:$B$78,MATCH(E943,SquadConcurrents,0))</f>
        <v>Novice</v>
      </c>
      <c r="E943" s="73" t="s">
        <v>343</v>
      </c>
      <c r="F943" s="73" t="s">
        <v>148</v>
      </c>
      <c r="G943" s="94" t="str">
        <f>IF(F943="Skeet",IFERROR(INDEX('Shooter-Squad Assignment'!$A:$A,MATCH(C943&amp;"-"&amp;E943&amp;"-"&amp;F943&amp;"-Pos1",'Shooter-Squad Assignment'!$K:$K,0)),""),IF(F943="Trap",IFERROR(INDEX('Shooter-Squad Assignment'!$A:$A,MATCH(C943&amp;"-"&amp;E943&amp;"-"&amp;F943&amp;"-Pos1",'Shooter-Squad Assignment'!$W:$W,0)),""),IF(F943="Sporting Clays",IFERROR(INDEX('Shooter-Squad Assignment'!$A:$A,MATCH(C943&amp;"-"&amp;E943&amp;"-"&amp;F943&amp;"-Pos1",'Shooter-Squad Assignment'!$Z:$Z,0)),""),"")))</f>
        <v/>
      </c>
      <c r="H943" s="73" t="str">
        <f>IF(ISBLANK(G943),"",IFERROR(INDEX('Tournament List'!$D:$D,MATCH(G943,'Tournament List'!$A:$A,0)),""))</f>
        <v/>
      </c>
      <c r="I943" s="94" t="str">
        <f>IF(F943="Skeet",IFERROR(INDEX('Shooter-Squad Assignment'!$A:$A,MATCH(C943&amp;"-"&amp;E943&amp;"-"&amp;F943&amp;"-Pos2",'Shooter-Squad Assignment'!$K:$K,0)),""),IF(F943="Trap",IFERROR(INDEX('Shooter-Squad Assignment'!$A:$A,MATCH(C943&amp;"-"&amp;E943&amp;"-"&amp;F943&amp;"-Pos2",'Shooter-Squad Assignment'!$W:$W,0)),""),IF(F943="Sporting Clays",IFERROR(INDEX('Shooter-Squad Assignment'!$A:$A,MATCH(C943&amp;"-"&amp;E943&amp;"-"&amp;F943&amp;"-Pos2",'Shooter-Squad Assignment'!$Z:$Z,0)),""),"")))</f>
        <v/>
      </c>
      <c r="J943" s="73" t="str">
        <f>IF(ISBLANK(I943),"",IFERROR(INDEX('Tournament List'!$D:$D,MATCH(I943,'Tournament List'!$A:$A,0)),""))</f>
        <v/>
      </c>
      <c r="K943" s="94" t="str">
        <f>IF(F943="Skeet",IFERROR(INDEX('Shooter-Squad Assignment'!$A:$A,MATCH(C943&amp;"-"&amp;E943&amp;"-"&amp;F943&amp;"-Pos3",'Shooter-Squad Assignment'!$K:$K,0)),""),IF(F943="Trap",IFERROR(INDEX('Shooter-Squad Assignment'!$A:$A,MATCH(C943&amp;"-"&amp;E943&amp;"-"&amp;F943&amp;"-Pos3",'Shooter-Squad Assignment'!$W:$W,0)),""),IF(F943="Sporting Clays",IFERROR(INDEX('Shooter-Squad Assignment'!$A:$A,MATCH(C943&amp;"-"&amp;E943&amp;"-"&amp;F943&amp;"-Pos3",'Shooter-Squad Assignment'!$Z:$Z,0)),""),"")))</f>
        <v/>
      </c>
      <c r="L943" s="73" t="str">
        <f>IF(ISBLANK(K943),"",IFERROR(INDEX('Tournament List'!$D:$D,MATCH(K943,'Tournament List'!$A:$A,0)),""))</f>
        <v/>
      </c>
      <c r="M943" s="94" t="str">
        <f>IF(F943="Skeet",IFERROR(INDEX('Shooter-Squad Assignment'!$A:$A,MATCH(C943&amp;"-"&amp;E943&amp;"-"&amp;F943&amp;"-Pos4",'Shooter-Squad Assignment'!$K:$K,0)),""),IF(F943="Trap",IFERROR(INDEX('Shooter-Squad Assignment'!$A:$A,MATCH(C943&amp;"-"&amp;E943&amp;"-"&amp;F943&amp;"-Pos4",'Shooter-Squad Assignment'!$W:$W,0)),""),IF(F943="Sporting Clays",IFERROR(INDEX('Shooter-Squad Assignment'!$A:$A,MATCH(C943&amp;"-"&amp;E943&amp;"-"&amp;F943&amp;"-Pos4",'Shooter-Squad Assignment'!$Z:$Z,0)),""),"")))</f>
        <v/>
      </c>
      <c r="N943" s="73" t="str">
        <f>IF(ISBLANK(M943),"",IFERROR(INDEX('Tournament List'!$D:$D,MATCH(M943,'Tournament List'!$A:$A,0)),""))</f>
        <v/>
      </c>
      <c r="O943" s="94" t="str">
        <f>IF(F943="Skeet",IFERROR(INDEX('Shooter-Squad Assignment'!$A:$A,MATCH(C943&amp;"-"&amp;E943&amp;"-"&amp;F943&amp;"-Pos5",'Shooter-Squad Assignment'!$K:$K,0)),""),IF(F943="Trap",IFERROR(INDEX('Shooter-Squad Assignment'!$A:$A,MATCH(C943&amp;"-"&amp;E943&amp;"-"&amp;F943&amp;"-Pos5",'Shooter-Squad Assignment'!$W:$W,0)),""),IF(F943="Sporting Clays",IFERROR(INDEX('Shooter-Squad Assignment'!$A:$A,MATCH(C943&amp;"-"&amp;E943&amp;"-"&amp;F943&amp;"-Pos5",'Shooter-Squad Assignment'!$Z:$Z,0)),""),"")))</f>
        <v/>
      </c>
      <c r="P943" s="79" t="str">
        <f>IF(ISBLANK(O943),"",IFERROR(INDEX('Tournament List'!$D:$D,MATCH(O943,'Tournament List'!$A:$A,0)),""))</f>
        <v/>
      </c>
    </row>
    <row r="944" spans="1:16" x14ac:dyDescent="0.3">
      <c r="A944" s="78">
        <v>943</v>
      </c>
      <c r="B944" s="73" t="str">
        <f>C944&amp;"-"&amp;E944&amp;"-"&amp;F944</f>
        <v>-Novice 3-Sporting Clays</v>
      </c>
      <c r="C944" s="73"/>
      <c r="D944" s="73" t="str">
        <f>INDEX('Tournament Setup'!$B$59:$B$78,MATCH(E944,SquadConcurrents,0))</f>
        <v>Novice</v>
      </c>
      <c r="E944" s="73" t="s">
        <v>349</v>
      </c>
      <c r="F944" s="73" t="s">
        <v>148</v>
      </c>
      <c r="G944" s="94" t="str">
        <f>IF(F944="Skeet",IFERROR(INDEX('Shooter-Squad Assignment'!$A:$A,MATCH(C944&amp;"-"&amp;E944&amp;"-"&amp;F944&amp;"-Pos1",'Shooter-Squad Assignment'!$K:$K,0)),""),IF(F944="Trap",IFERROR(INDEX('Shooter-Squad Assignment'!$A:$A,MATCH(C944&amp;"-"&amp;E944&amp;"-"&amp;F944&amp;"-Pos1",'Shooter-Squad Assignment'!$W:$W,0)),""),IF(F944="Sporting Clays",IFERROR(INDEX('Shooter-Squad Assignment'!$A:$A,MATCH(C944&amp;"-"&amp;E944&amp;"-"&amp;F944&amp;"-Pos1",'Shooter-Squad Assignment'!$Z:$Z,0)),""),"")))</f>
        <v/>
      </c>
      <c r="H944" s="73" t="str">
        <f>IF(ISBLANK(G944),"",IFERROR(INDEX('Tournament List'!$D:$D,MATCH(G944,'Tournament List'!$A:$A,0)),""))</f>
        <v/>
      </c>
      <c r="I944" s="94" t="str">
        <f>IF(F944="Skeet",IFERROR(INDEX('Shooter-Squad Assignment'!$A:$A,MATCH(C944&amp;"-"&amp;E944&amp;"-"&amp;F944&amp;"-Pos2",'Shooter-Squad Assignment'!$K:$K,0)),""),IF(F944="Trap",IFERROR(INDEX('Shooter-Squad Assignment'!$A:$A,MATCH(C944&amp;"-"&amp;E944&amp;"-"&amp;F944&amp;"-Pos2",'Shooter-Squad Assignment'!$W:$W,0)),""),IF(F944="Sporting Clays",IFERROR(INDEX('Shooter-Squad Assignment'!$A:$A,MATCH(C944&amp;"-"&amp;E944&amp;"-"&amp;F944&amp;"-Pos2",'Shooter-Squad Assignment'!$Z:$Z,0)),""),"")))</f>
        <v/>
      </c>
      <c r="J944" s="73" t="str">
        <f>IF(ISBLANK(I944),"",IFERROR(INDEX('Tournament List'!$D:$D,MATCH(I944,'Tournament List'!$A:$A,0)),""))</f>
        <v/>
      </c>
      <c r="K944" s="94" t="str">
        <f>IF(F944="Skeet",IFERROR(INDEX('Shooter-Squad Assignment'!$A:$A,MATCH(C944&amp;"-"&amp;E944&amp;"-"&amp;F944&amp;"-Pos3",'Shooter-Squad Assignment'!$K:$K,0)),""),IF(F944="Trap",IFERROR(INDEX('Shooter-Squad Assignment'!$A:$A,MATCH(C944&amp;"-"&amp;E944&amp;"-"&amp;F944&amp;"-Pos3",'Shooter-Squad Assignment'!$W:$W,0)),""),IF(F944="Sporting Clays",IFERROR(INDEX('Shooter-Squad Assignment'!$A:$A,MATCH(C944&amp;"-"&amp;E944&amp;"-"&amp;F944&amp;"-Pos3",'Shooter-Squad Assignment'!$Z:$Z,0)),""),"")))</f>
        <v/>
      </c>
      <c r="L944" s="73" t="str">
        <f>IF(ISBLANK(K944),"",IFERROR(INDEX('Tournament List'!$D:$D,MATCH(K944,'Tournament List'!$A:$A,0)),""))</f>
        <v/>
      </c>
      <c r="M944" s="94" t="str">
        <f>IF(F944="Skeet",IFERROR(INDEX('Shooter-Squad Assignment'!$A:$A,MATCH(C944&amp;"-"&amp;E944&amp;"-"&amp;F944&amp;"-Pos4",'Shooter-Squad Assignment'!$K:$K,0)),""),IF(F944="Trap",IFERROR(INDEX('Shooter-Squad Assignment'!$A:$A,MATCH(C944&amp;"-"&amp;E944&amp;"-"&amp;F944&amp;"-Pos4",'Shooter-Squad Assignment'!$W:$W,0)),""),IF(F944="Sporting Clays",IFERROR(INDEX('Shooter-Squad Assignment'!$A:$A,MATCH(C944&amp;"-"&amp;E944&amp;"-"&amp;F944&amp;"-Pos4",'Shooter-Squad Assignment'!$Z:$Z,0)),""),"")))</f>
        <v/>
      </c>
      <c r="N944" s="73" t="str">
        <f>IF(ISBLANK(M944),"",IFERROR(INDEX('Tournament List'!$D:$D,MATCH(M944,'Tournament List'!$A:$A,0)),""))</f>
        <v/>
      </c>
      <c r="O944" s="94" t="str">
        <f>IF(F944="Skeet",IFERROR(INDEX('Shooter-Squad Assignment'!$A:$A,MATCH(C944&amp;"-"&amp;E944&amp;"-"&amp;F944&amp;"-Pos5",'Shooter-Squad Assignment'!$K:$K,0)),""),IF(F944="Trap",IFERROR(INDEX('Shooter-Squad Assignment'!$A:$A,MATCH(C944&amp;"-"&amp;E944&amp;"-"&amp;F944&amp;"-Pos5",'Shooter-Squad Assignment'!$W:$W,0)),""),IF(F944="Sporting Clays",IFERROR(INDEX('Shooter-Squad Assignment'!$A:$A,MATCH(C944&amp;"-"&amp;E944&amp;"-"&amp;F944&amp;"-Pos5",'Shooter-Squad Assignment'!$Z:$Z,0)),""),"")))</f>
        <v/>
      </c>
      <c r="P944" s="79" t="str">
        <f>IF(ISBLANK(O944),"",IFERROR(INDEX('Tournament List'!$D:$D,MATCH(O944,'Tournament List'!$A:$A,0)),""))</f>
        <v/>
      </c>
    </row>
    <row r="945" spans="1:16" x14ac:dyDescent="0.3">
      <c r="A945" s="78">
        <v>944</v>
      </c>
      <c r="B945" s="73" t="str">
        <f>C945&amp;"-"&amp;E945&amp;"-"&amp;F945</f>
        <v>-Open 1-Sporting Clays</v>
      </c>
      <c r="C945" s="73"/>
      <c r="D945" s="73" t="str">
        <f>INDEX('Tournament Setup'!$B$59:$B$78,MATCH(E945,SquadConcurrents,0))</f>
        <v>Open</v>
      </c>
      <c r="E945" s="73" t="s">
        <v>341</v>
      </c>
      <c r="F945" s="73" t="s">
        <v>148</v>
      </c>
      <c r="G945" s="94" t="str">
        <f>IF(F945="Skeet",IFERROR(INDEX('Shooter-Squad Assignment'!$A:$A,MATCH(C945&amp;"-"&amp;E945&amp;"-"&amp;F945&amp;"-Pos1",'Shooter-Squad Assignment'!$K:$K,0)),""),IF(F945="Trap",IFERROR(INDEX('Shooter-Squad Assignment'!$A:$A,MATCH(C945&amp;"-"&amp;E945&amp;"-"&amp;F945&amp;"-Pos1",'Shooter-Squad Assignment'!$W:$W,0)),""),IF(F945="Sporting Clays",IFERROR(INDEX('Shooter-Squad Assignment'!$A:$A,MATCH(C945&amp;"-"&amp;E945&amp;"-"&amp;F945&amp;"-Pos1",'Shooter-Squad Assignment'!$Z:$Z,0)),""),"")))</f>
        <v/>
      </c>
      <c r="H945" s="73" t="str">
        <f>IF(ISBLANK(G945),"",IFERROR(INDEX('Tournament List'!$D:$D,MATCH(G945,'Tournament List'!$A:$A,0)),""))</f>
        <v/>
      </c>
      <c r="I945" s="94" t="str">
        <f>IF(F945="Skeet",IFERROR(INDEX('Shooter-Squad Assignment'!$A:$A,MATCH(C945&amp;"-"&amp;E945&amp;"-"&amp;F945&amp;"-Pos2",'Shooter-Squad Assignment'!$K:$K,0)),""),IF(F945="Trap",IFERROR(INDEX('Shooter-Squad Assignment'!$A:$A,MATCH(C945&amp;"-"&amp;E945&amp;"-"&amp;F945&amp;"-Pos2",'Shooter-Squad Assignment'!$W:$W,0)),""),IF(F945="Sporting Clays",IFERROR(INDEX('Shooter-Squad Assignment'!$A:$A,MATCH(C945&amp;"-"&amp;E945&amp;"-"&amp;F945&amp;"-Pos2",'Shooter-Squad Assignment'!$Z:$Z,0)),""),"")))</f>
        <v/>
      </c>
      <c r="J945" s="73" t="str">
        <f>IF(ISBLANK(I945),"",IFERROR(INDEX('Tournament List'!$D:$D,MATCH(I945,'Tournament List'!$A:$A,0)),""))</f>
        <v/>
      </c>
      <c r="K945" s="94" t="str">
        <f>IF(F945="Skeet",IFERROR(INDEX('Shooter-Squad Assignment'!$A:$A,MATCH(C945&amp;"-"&amp;E945&amp;"-"&amp;F945&amp;"-Pos3",'Shooter-Squad Assignment'!$K:$K,0)),""),IF(F945="Trap",IFERROR(INDEX('Shooter-Squad Assignment'!$A:$A,MATCH(C945&amp;"-"&amp;E945&amp;"-"&amp;F945&amp;"-Pos3",'Shooter-Squad Assignment'!$W:$W,0)),""),IF(F945="Sporting Clays",IFERROR(INDEX('Shooter-Squad Assignment'!$A:$A,MATCH(C945&amp;"-"&amp;E945&amp;"-"&amp;F945&amp;"-Pos3",'Shooter-Squad Assignment'!$Z:$Z,0)),""),"")))</f>
        <v/>
      </c>
      <c r="L945" s="73" t="str">
        <f>IF(ISBLANK(K945),"",IFERROR(INDEX('Tournament List'!$D:$D,MATCH(K945,'Tournament List'!$A:$A,0)),""))</f>
        <v/>
      </c>
      <c r="M945" s="94" t="str">
        <f>IF(F945="Skeet",IFERROR(INDEX('Shooter-Squad Assignment'!$A:$A,MATCH(C945&amp;"-"&amp;E945&amp;"-"&amp;F945&amp;"-Pos4",'Shooter-Squad Assignment'!$K:$K,0)),""),IF(F945="Trap",IFERROR(INDEX('Shooter-Squad Assignment'!$A:$A,MATCH(C945&amp;"-"&amp;E945&amp;"-"&amp;F945&amp;"-Pos4",'Shooter-Squad Assignment'!$W:$W,0)),""),IF(F945="Sporting Clays",IFERROR(INDEX('Shooter-Squad Assignment'!$A:$A,MATCH(C945&amp;"-"&amp;E945&amp;"-"&amp;F945&amp;"-Pos4",'Shooter-Squad Assignment'!$Z:$Z,0)),""),"")))</f>
        <v/>
      </c>
      <c r="N945" s="73" t="str">
        <f>IF(ISBLANK(M945),"",IFERROR(INDEX('Tournament List'!$D:$D,MATCH(M945,'Tournament List'!$A:$A,0)),""))</f>
        <v/>
      </c>
      <c r="O945" s="94" t="str">
        <f>IF(F945="Skeet",IFERROR(INDEX('Shooter-Squad Assignment'!$A:$A,MATCH(C945&amp;"-"&amp;E945&amp;"-"&amp;F945&amp;"-Pos5",'Shooter-Squad Assignment'!$K:$K,0)),""),IF(F945="Trap",IFERROR(INDEX('Shooter-Squad Assignment'!$A:$A,MATCH(C945&amp;"-"&amp;E945&amp;"-"&amp;F945&amp;"-Pos5",'Shooter-Squad Assignment'!$W:$W,0)),""),IF(F945="Sporting Clays",IFERROR(INDEX('Shooter-Squad Assignment'!$A:$A,MATCH(C945&amp;"-"&amp;E945&amp;"-"&amp;F945&amp;"-Pos5",'Shooter-Squad Assignment'!$Z:$Z,0)),""),"")))</f>
        <v/>
      </c>
      <c r="P945" s="79" t="str">
        <f>IF(ISBLANK(O945),"",IFERROR(INDEX('Tournament List'!$D:$D,MATCH(O945,'Tournament List'!$A:$A,0)),""))</f>
        <v/>
      </c>
    </row>
    <row r="946" spans="1:16" x14ac:dyDescent="0.3">
      <c r="A946" s="78">
        <v>945</v>
      </c>
      <c r="B946" s="73" t="str">
        <f>C946&amp;"-"&amp;E946&amp;"-"&amp;F946</f>
        <v>-Open 2-Sporting Clays</v>
      </c>
      <c r="C946" s="73"/>
      <c r="D946" s="73" t="str">
        <f>INDEX('Tournament Setup'!$B$59:$B$78,MATCH(E946,SquadConcurrents,0))</f>
        <v>Open</v>
      </c>
      <c r="E946" s="73" t="s">
        <v>347</v>
      </c>
      <c r="F946" s="73" t="s">
        <v>148</v>
      </c>
      <c r="G946" s="94" t="str">
        <f>IF(F946="Skeet",IFERROR(INDEX('Shooter-Squad Assignment'!$A:$A,MATCH(C946&amp;"-"&amp;E946&amp;"-"&amp;F946&amp;"-Pos1",'Shooter-Squad Assignment'!$K:$K,0)),""),IF(F946="Trap",IFERROR(INDEX('Shooter-Squad Assignment'!$A:$A,MATCH(C946&amp;"-"&amp;E946&amp;"-"&amp;F946&amp;"-Pos1",'Shooter-Squad Assignment'!$W:$W,0)),""),IF(F946="Sporting Clays",IFERROR(INDEX('Shooter-Squad Assignment'!$A:$A,MATCH(C946&amp;"-"&amp;E946&amp;"-"&amp;F946&amp;"-Pos1",'Shooter-Squad Assignment'!$Z:$Z,0)),""),"")))</f>
        <v/>
      </c>
      <c r="H946" s="73" t="str">
        <f>IF(ISBLANK(G946),"",IFERROR(INDEX('Tournament List'!$D:$D,MATCH(G946,'Tournament List'!$A:$A,0)),""))</f>
        <v/>
      </c>
      <c r="I946" s="94" t="str">
        <f>IF(F946="Skeet",IFERROR(INDEX('Shooter-Squad Assignment'!$A:$A,MATCH(C946&amp;"-"&amp;E946&amp;"-"&amp;F946&amp;"-Pos2",'Shooter-Squad Assignment'!$K:$K,0)),""),IF(F946="Trap",IFERROR(INDEX('Shooter-Squad Assignment'!$A:$A,MATCH(C946&amp;"-"&amp;E946&amp;"-"&amp;F946&amp;"-Pos2",'Shooter-Squad Assignment'!$W:$W,0)),""),IF(F946="Sporting Clays",IFERROR(INDEX('Shooter-Squad Assignment'!$A:$A,MATCH(C946&amp;"-"&amp;E946&amp;"-"&amp;F946&amp;"-Pos2",'Shooter-Squad Assignment'!$Z:$Z,0)),""),"")))</f>
        <v/>
      </c>
      <c r="J946" s="73" t="str">
        <f>IF(ISBLANK(I946),"",IFERROR(INDEX('Tournament List'!$D:$D,MATCH(I946,'Tournament List'!$A:$A,0)),""))</f>
        <v/>
      </c>
      <c r="K946" s="94" t="str">
        <f>IF(F946="Skeet",IFERROR(INDEX('Shooter-Squad Assignment'!$A:$A,MATCH(C946&amp;"-"&amp;E946&amp;"-"&amp;F946&amp;"-Pos3",'Shooter-Squad Assignment'!$K:$K,0)),""),IF(F946="Trap",IFERROR(INDEX('Shooter-Squad Assignment'!$A:$A,MATCH(C946&amp;"-"&amp;E946&amp;"-"&amp;F946&amp;"-Pos3",'Shooter-Squad Assignment'!$W:$W,0)),""),IF(F946="Sporting Clays",IFERROR(INDEX('Shooter-Squad Assignment'!$A:$A,MATCH(C946&amp;"-"&amp;E946&amp;"-"&amp;F946&amp;"-Pos3",'Shooter-Squad Assignment'!$Z:$Z,0)),""),"")))</f>
        <v/>
      </c>
      <c r="L946" s="73" t="str">
        <f>IF(ISBLANK(K946),"",IFERROR(INDEX('Tournament List'!$D:$D,MATCH(K946,'Tournament List'!$A:$A,0)),""))</f>
        <v/>
      </c>
      <c r="M946" s="94" t="str">
        <f>IF(F946="Skeet",IFERROR(INDEX('Shooter-Squad Assignment'!$A:$A,MATCH(C946&amp;"-"&amp;E946&amp;"-"&amp;F946&amp;"-Pos4",'Shooter-Squad Assignment'!$K:$K,0)),""),IF(F946="Trap",IFERROR(INDEX('Shooter-Squad Assignment'!$A:$A,MATCH(C946&amp;"-"&amp;E946&amp;"-"&amp;F946&amp;"-Pos4",'Shooter-Squad Assignment'!$W:$W,0)),""),IF(F946="Sporting Clays",IFERROR(INDEX('Shooter-Squad Assignment'!$A:$A,MATCH(C946&amp;"-"&amp;E946&amp;"-"&amp;F946&amp;"-Pos4",'Shooter-Squad Assignment'!$Z:$Z,0)),""),"")))</f>
        <v/>
      </c>
      <c r="N946" s="73" t="str">
        <f>IF(ISBLANK(M946),"",IFERROR(INDEX('Tournament List'!$D:$D,MATCH(M946,'Tournament List'!$A:$A,0)),""))</f>
        <v/>
      </c>
      <c r="O946" s="94" t="str">
        <f>IF(F946="Skeet",IFERROR(INDEX('Shooter-Squad Assignment'!$A:$A,MATCH(C946&amp;"-"&amp;E946&amp;"-"&amp;F946&amp;"-Pos5",'Shooter-Squad Assignment'!$K:$K,0)),""),IF(F946="Trap",IFERROR(INDEX('Shooter-Squad Assignment'!$A:$A,MATCH(C946&amp;"-"&amp;E946&amp;"-"&amp;F946&amp;"-Pos5",'Shooter-Squad Assignment'!$W:$W,0)),""),IF(F946="Sporting Clays",IFERROR(INDEX('Shooter-Squad Assignment'!$A:$A,MATCH(C946&amp;"-"&amp;E946&amp;"-"&amp;F946&amp;"-Pos5",'Shooter-Squad Assignment'!$Z:$Z,0)),""),"")))</f>
        <v/>
      </c>
      <c r="P946" s="79" t="str">
        <f>IF(ISBLANK(O946),"",IFERROR(INDEX('Tournament List'!$D:$D,MATCH(O946,'Tournament List'!$A:$A,0)),""))</f>
        <v/>
      </c>
    </row>
    <row r="947" spans="1:16" x14ac:dyDescent="0.3">
      <c r="A947" s="78">
        <v>946</v>
      </c>
      <c r="B947" s="73" t="str">
        <f>C947&amp;"-"&amp;E947&amp;"-"&amp;F947</f>
        <v>-Open 3-Sporting Clays</v>
      </c>
      <c r="C947" s="73"/>
      <c r="D947" s="73" t="str">
        <f>INDEX('Tournament Setup'!$B$59:$B$78,MATCH(E947,SquadConcurrents,0))</f>
        <v>Open</v>
      </c>
      <c r="E947" s="73" t="s">
        <v>353</v>
      </c>
      <c r="F947" s="73" t="s">
        <v>148</v>
      </c>
      <c r="G947" s="94" t="str">
        <f>IF(F947="Skeet",IFERROR(INDEX('Shooter-Squad Assignment'!$A:$A,MATCH(C947&amp;"-"&amp;E947&amp;"-"&amp;F947&amp;"-Pos1",'Shooter-Squad Assignment'!$K:$K,0)),""),IF(F947="Trap",IFERROR(INDEX('Shooter-Squad Assignment'!$A:$A,MATCH(C947&amp;"-"&amp;E947&amp;"-"&amp;F947&amp;"-Pos1",'Shooter-Squad Assignment'!$W:$W,0)),""),IF(F947="Sporting Clays",IFERROR(INDEX('Shooter-Squad Assignment'!$A:$A,MATCH(C947&amp;"-"&amp;E947&amp;"-"&amp;F947&amp;"-Pos1",'Shooter-Squad Assignment'!$Z:$Z,0)),""),"")))</f>
        <v/>
      </c>
      <c r="H947" s="73" t="str">
        <f>IF(ISBLANK(G947),"",IFERROR(INDEX('Tournament List'!$D:$D,MATCH(G947,'Tournament List'!$A:$A,0)),""))</f>
        <v/>
      </c>
      <c r="I947" s="94" t="str">
        <f>IF(F947="Skeet",IFERROR(INDEX('Shooter-Squad Assignment'!$A:$A,MATCH(C947&amp;"-"&amp;E947&amp;"-"&amp;F947&amp;"-Pos2",'Shooter-Squad Assignment'!$K:$K,0)),""),IF(F947="Trap",IFERROR(INDEX('Shooter-Squad Assignment'!$A:$A,MATCH(C947&amp;"-"&amp;E947&amp;"-"&amp;F947&amp;"-Pos2",'Shooter-Squad Assignment'!$W:$W,0)),""),IF(F947="Sporting Clays",IFERROR(INDEX('Shooter-Squad Assignment'!$A:$A,MATCH(C947&amp;"-"&amp;E947&amp;"-"&amp;F947&amp;"-Pos2",'Shooter-Squad Assignment'!$Z:$Z,0)),""),"")))</f>
        <v/>
      </c>
      <c r="J947" s="73" t="str">
        <f>IF(ISBLANK(I947),"",IFERROR(INDEX('Tournament List'!$D:$D,MATCH(I947,'Tournament List'!$A:$A,0)),""))</f>
        <v/>
      </c>
      <c r="K947" s="94" t="str">
        <f>IF(F947="Skeet",IFERROR(INDEX('Shooter-Squad Assignment'!$A:$A,MATCH(C947&amp;"-"&amp;E947&amp;"-"&amp;F947&amp;"-Pos3",'Shooter-Squad Assignment'!$K:$K,0)),""),IF(F947="Trap",IFERROR(INDEX('Shooter-Squad Assignment'!$A:$A,MATCH(C947&amp;"-"&amp;E947&amp;"-"&amp;F947&amp;"-Pos3",'Shooter-Squad Assignment'!$W:$W,0)),""),IF(F947="Sporting Clays",IFERROR(INDEX('Shooter-Squad Assignment'!$A:$A,MATCH(C947&amp;"-"&amp;E947&amp;"-"&amp;F947&amp;"-Pos3",'Shooter-Squad Assignment'!$Z:$Z,0)),""),"")))</f>
        <v/>
      </c>
      <c r="L947" s="73" t="str">
        <f>IF(ISBLANK(K947),"",IFERROR(INDEX('Tournament List'!$D:$D,MATCH(K947,'Tournament List'!$A:$A,0)),""))</f>
        <v/>
      </c>
      <c r="M947" s="94" t="str">
        <f>IF(F947="Skeet",IFERROR(INDEX('Shooter-Squad Assignment'!$A:$A,MATCH(C947&amp;"-"&amp;E947&amp;"-"&amp;F947&amp;"-Pos4",'Shooter-Squad Assignment'!$K:$K,0)),""),IF(F947="Trap",IFERROR(INDEX('Shooter-Squad Assignment'!$A:$A,MATCH(C947&amp;"-"&amp;E947&amp;"-"&amp;F947&amp;"-Pos4",'Shooter-Squad Assignment'!$W:$W,0)),""),IF(F947="Sporting Clays",IFERROR(INDEX('Shooter-Squad Assignment'!$A:$A,MATCH(C947&amp;"-"&amp;E947&amp;"-"&amp;F947&amp;"-Pos4",'Shooter-Squad Assignment'!$Z:$Z,0)),""),"")))</f>
        <v/>
      </c>
      <c r="N947" s="73" t="str">
        <f>IF(ISBLANK(M947),"",IFERROR(INDEX('Tournament List'!$D:$D,MATCH(M947,'Tournament List'!$A:$A,0)),""))</f>
        <v/>
      </c>
      <c r="O947" s="94" t="str">
        <f>IF(F947="Skeet",IFERROR(INDEX('Shooter-Squad Assignment'!$A:$A,MATCH(C947&amp;"-"&amp;E947&amp;"-"&amp;F947&amp;"-Pos5",'Shooter-Squad Assignment'!$K:$K,0)),""),IF(F947="Trap",IFERROR(INDEX('Shooter-Squad Assignment'!$A:$A,MATCH(C947&amp;"-"&amp;E947&amp;"-"&amp;F947&amp;"-Pos5",'Shooter-Squad Assignment'!$W:$W,0)),""),IF(F947="Sporting Clays",IFERROR(INDEX('Shooter-Squad Assignment'!$A:$A,MATCH(C947&amp;"-"&amp;E947&amp;"-"&amp;F947&amp;"-Pos5",'Shooter-Squad Assignment'!$Z:$Z,0)),""),"")))</f>
        <v/>
      </c>
      <c r="P947" s="79" t="str">
        <f>IF(ISBLANK(O947),"",IFERROR(INDEX('Tournament List'!$D:$D,MATCH(O947,'Tournament List'!$A:$A,0)),""))</f>
        <v/>
      </c>
    </row>
    <row r="948" spans="1:16" x14ac:dyDescent="0.3">
      <c r="A948" s="78">
        <v>947</v>
      </c>
      <c r="B948" s="73" t="str">
        <f>C948&amp;"-"&amp;E948&amp;"-"&amp;F948</f>
        <v>-Unassigned 1-Sporting Clays</v>
      </c>
      <c r="C948" s="73"/>
      <c r="D948" s="73" t="str">
        <f>INDEX('Tournament Setup'!$B$59:$B$78,MATCH(E948,SquadConcurrents,0))</f>
        <v>Unassigned</v>
      </c>
      <c r="E948" s="73" t="s">
        <v>762</v>
      </c>
      <c r="F948" s="73" t="s">
        <v>148</v>
      </c>
      <c r="G948" s="94" t="str">
        <f>IF(F948="Skeet",IFERROR(INDEX('Shooter-Squad Assignment'!$A:$A,MATCH(C948&amp;"-"&amp;E948&amp;"-"&amp;F948&amp;"-Pos1",'Shooter-Squad Assignment'!$K:$K,0)),""),IF(F948="Trap",IFERROR(INDEX('Shooter-Squad Assignment'!$A:$A,MATCH(C948&amp;"-"&amp;E948&amp;"-"&amp;F948&amp;"-Pos1",'Shooter-Squad Assignment'!$W:$W,0)),""),IF(F948="Sporting Clays",IFERROR(INDEX('Shooter-Squad Assignment'!$A:$A,MATCH(C948&amp;"-"&amp;E948&amp;"-"&amp;F948&amp;"-Pos1",'Shooter-Squad Assignment'!$Z:$Z,0)),""),"")))</f>
        <v/>
      </c>
      <c r="H948" s="73" t="str">
        <f>IF(ISBLANK(G948),"",IFERROR(INDEX('Tournament List'!$D:$D,MATCH(G948,'Tournament List'!$A:$A,0)),""))</f>
        <v/>
      </c>
      <c r="I948" s="94" t="str">
        <f>IF(F948="Skeet",IFERROR(INDEX('Shooter-Squad Assignment'!$A:$A,MATCH(C948&amp;"-"&amp;E948&amp;"-"&amp;F948&amp;"-Pos2",'Shooter-Squad Assignment'!$K:$K,0)),""),IF(F948="Trap",IFERROR(INDEX('Shooter-Squad Assignment'!$A:$A,MATCH(C948&amp;"-"&amp;E948&amp;"-"&amp;F948&amp;"-Pos2",'Shooter-Squad Assignment'!$W:$W,0)),""),IF(F948="Sporting Clays",IFERROR(INDEX('Shooter-Squad Assignment'!$A:$A,MATCH(C948&amp;"-"&amp;E948&amp;"-"&amp;F948&amp;"-Pos2",'Shooter-Squad Assignment'!$Z:$Z,0)),""),"")))</f>
        <v/>
      </c>
      <c r="J948" s="73" t="str">
        <f>IF(ISBLANK(I948),"",IFERROR(INDEX('Tournament List'!$D:$D,MATCH(I948,'Tournament List'!$A:$A,0)),""))</f>
        <v/>
      </c>
      <c r="K948" s="94" t="str">
        <f>IF(F948="Skeet",IFERROR(INDEX('Shooter-Squad Assignment'!$A:$A,MATCH(C948&amp;"-"&amp;E948&amp;"-"&amp;F948&amp;"-Pos3",'Shooter-Squad Assignment'!$K:$K,0)),""),IF(F948="Trap",IFERROR(INDEX('Shooter-Squad Assignment'!$A:$A,MATCH(C948&amp;"-"&amp;E948&amp;"-"&amp;F948&amp;"-Pos3",'Shooter-Squad Assignment'!$W:$W,0)),""),IF(F948="Sporting Clays",IFERROR(INDEX('Shooter-Squad Assignment'!$A:$A,MATCH(C948&amp;"-"&amp;E948&amp;"-"&amp;F948&amp;"-Pos3",'Shooter-Squad Assignment'!$Z:$Z,0)),""),"")))</f>
        <v/>
      </c>
      <c r="L948" s="73" t="str">
        <f>IF(ISBLANK(K948),"",IFERROR(INDEX('Tournament List'!$D:$D,MATCH(K948,'Tournament List'!$A:$A,0)),""))</f>
        <v/>
      </c>
      <c r="M948" s="94" t="str">
        <f>IF(F948="Skeet",IFERROR(INDEX('Shooter-Squad Assignment'!$A:$A,MATCH(C948&amp;"-"&amp;E948&amp;"-"&amp;F948&amp;"-Pos4",'Shooter-Squad Assignment'!$K:$K,0)),""),IF(F948="Trap",IFERROR(INDEX('Shooter-Squad Assignment'!$A:$A,MATCH(C948&amp;"-"&amp;E948&amp;"-"&amp;F948&amp;"-Pos4",'Shooter-Squad Assignment'!$W:$W,0)),""),IF(F948="Sporting Clays",IFERROR(INDEX('Shooter-Squad Assignment'!$A:$A,MATCH(C948&amp;"-"&amp;E948&amp;"-"&amp;F948&amp;"-Pos4",'Shooter-Squad Assignment'!$Z:$Z,0)),""),"")))</f>
        <v/>
      </c>
      <c r="N948" s="73" t="str">
        <f>IF(ISBLANK(M948),"",IFERROR(INDEX('Tournament List'!$D:$D,MATCH(M948,'Tournament List'!$A:$A,0)),""))</f>
        <v/>
      </c>
      <c r="O948" s="94" t="str">
        <f>IF(F948="Skeet",IFERROR(INDEX('Shooter-Squad Assignment'!$A:$A,MATCH(C948&amp;"-"&amp;E948&amp;"-"&amp;F948&amp;"-Pos5",'Shooter-Squad Assignment'!$K:$K,0)),""),IF(F948="Trap",IFERROR(INDEX('Shooter-Squad Assignment'!$A:$A,MATCH(C948&amp;"-"&amp;E948&amp;"-"&amp;F948&amp;"-Pos5",'Shooter-Squad Assignment'!$W:$W,0)),""),IF(F948="Sporting Clays",IFERROR(INDEX('Shooter-Squad Assignment'!$A:$A,MATCH(C948&amp;"-"&amp;E948&amp;"-"&amp;F948&amp;"-Pos5",'Shooter-Squad Assignment'!$Z:$Z,0)),""),"")))</f>
        <v/>
      </c>
      <c r="P948" s="79" t="str">
        <f>IF(ISBLANK(O948),"",IFERROR(INDEX('Tournament List'!$D:$D,MATCH(O948,'Tournament List'!$A:$A,0)),""))</f>
        <v/>
      </c>
    </row>
    <row r="949" spans="1:16" x14ac:dyDescent="0.3">
      <c r="A949" s="78">
        <v>948</v>
      </c>
      <c r="B949" s="73" t="str">
        <f>C949&amp;"-"&amp;E949&amp;"-"&amp;F949</f>
        <v>-Varsity 1-Sporting Clays</v>
      </c>
      <c r="C949" s="73"/>
      <c r="D949" s="73" t="str">
        <f>INDEX('Tournament Setup'!$B$59:$B$78,MATCH(E949,SquadConcurrents,0))</f>
        <v>Varsity</v>
      </c>
      <c r="E949" s="73" t="s">
        <v>340</v>
      </c>
      <c r="F949" s="73" t="s">
        <v>148</v>
      </c>
      <c r="G949" s="94" t="str">
        <f>IF(F949="Skeet",IFERROR(INDEX('Shooter-Squad Assignment'!$A:$A,MATCH(C949&amp;"-"&amp;E949&amp;"-"&amp;F949&amp;"-Pos1",'Shooter-Squad Assignment'!$K:$K,0)),""),IF(F949="Trap",IFERROR(INDEX('Shooter-Squad Assignment'!$A:$A,MATCH(C949&amp;"-"&amp;E949&amp;"-"&amp;F949&amp;"-Pos1",'Shooter-Squad Assignment'!$W:$W,0)),""),IF(F949="Sporting Clays",IFERROR(INDEX('Shooter-Squad Assignment'!$A:$A,MATCH(C949&amp;"-"&amp;E949&amp;"-"&amp;F949&amp;"-Pos1",'Shooter-Squad Assignment'!$Z:$Z,0)),""),"")))</f>
        <v/>
      </c>
      <c r="H949" s="73" t="str">
        <f>IF(ISBLANK(G949),"",IFERROR(INDEX('Tournament List'!$D:$D,MATCH(G949,'Tournament List'!$A:$A,0)),""))</f>
        <v/>
      </c>
      <c r="I949" s="94" t="str">
        <f>IF(F949="Skeet",IFERROR(INDEX('Shooter-Squad Assignment'!$A:$A,MATCH(C949&amp;"-"&amp;E949&amp;"-"&amp;F949&amp;"-Pos2",'Shooter-Squad Assignment'!$K:$K,0)),""),IF(F949="Trap",IFERROR(INDEX('Shooter-Squad Assignment'!$A:$A,MATCH(C949&amp;"-"&amp;E949&amp;"-"&amp;F949&amp;"-Pos2",'Shooter-Squad Assignment'!$W:$W,0)),""),IF(F949="Sporting Clays",IFERROR(INDEX('Shooter-Squad Assignment'!$A:$A,MATCH(C949&amp;"-"&amp;E949&amp;"-"&amp;F949&amp;"-Pos2",'Shooter-Squad Assignment'!$Z:$Z,0)),""),"")))</f>
        <v/>
      </c>
      <c r="J949" s="73" t="str">
        <f>IF(ISBLANK(I949),"",IFERROR(INDEX('Tournament List'!$D:$D,MATCH(I949,'Tournament List'!$A:$A,0)),""))</f>
        <v/>
      </c>
      <c r="K949" s="94" t="str">
        <f>IF(F949="Skeet",IFERROR(INDEX('Shooter-Squad Assignment'!$A:$A,MATCH(C949&amp;"-"&amp;E949&amp;"-"&amp;F949&amp;"-Pos3",'Shooter-Squad Assignment'!$K:$K,0)),""),IF(F949="Trap",IFERROR(INDEX('Shooter-Squad Assignment'!$A:$A,MATCH(C949&amp;"-"&amp;E949&amp;"-"&amp;F949&amp;"-Pos3",'Shooter-Squad Assignment'!$W:$W,0)),""),IF(F949="Sporting Clays",IFERROR(INDEX('Shooter-Squad Assignment'!$A:$A,MATCH(C949&amp;"-"&amp;E949&amp;"-"&amp;F949&amp;"-Pos3",'Shooter-Squad Assignment'!$Z:$Z,0)),""),"")))</f>
        <v/>
      </c>
      <c r="L949" s="73" t="str">
        <f>IF(ISBLANK(K949),"",IFERROR(INDEX('Tournament List'!$D:$D,MATCH(K949,'Tournament List'!$A:$A,0)),""))</f>
        <v/>
      </c>
      <c r="M949" s="94" t="str">
        <f>IF(F949="Skeet",IFERROR(INDEX('Shooter-Squad Assignment'!$A:$A,MATCH(C949&amp;"-"&amp;E949&amp;"-"&amp;F949&amp;"-Pos4",'Shooter-Squad Assignment'!$K:$K,0)),""),IF(F949="Trap",IFERROR(INDEX('Shooter-Squad Assignment'!$A:$A,MATCH(C949&amp;"-"&amp;E949&amp;"-"&amp;F949&amp;"-Pos4",'Shooter-Squad Assignment'!$W:$W,0)),""),IF(F949="Sporting Clays",IFERROR(INDEX('Shooter-Squad Assignment'!$A:$A,MATCH(C949&amp;"-"&amp;E949&amp;"-"&amp;F949&amp;"-Pos4",'Shooter-Squad Assignment'!$Z:$Z,0)),""),"")))</f>
        <v/>
      </c>
      <c r="N949" s="73" t="str">
        <f>IF(ISBLANK(M949),"",IFERROR(INDEX('Tournament List'!$D:$D,MATCH(M949,'Tournament List'!$A:$A,0)),""))</f>
        <v/>
      </c>
      <c r="O949" s="94" t="str">
        <f>IF(F949="Skeet",IFERROR(INDEX('Shooter-Squad Assignment'!$A:$A,MATCH(C949&amp;"-"&amp;E949&amp;"-"&amp;F949&amp;"-Pos5",'Shooter-Squad Assignment'!$K:$K,0)),""),IF(F949="Trap",IFERROR(INDEX('Shooter-Squad Assignment'!$A:$A,MATCH(C949&amp;"-"&amp;E949&amp;"-"&amp;F949&amp;"-Pos5",'Shooter-Squad Assignment'!$W:$W,0)),""),IF(F949="Sporting Clays",IFERROR(INDEX('Shooter-Squad Assignment'!$A:$A,MATCH(C949&amp;"-"&amp;E949&amp;"-"&amp;F949&amp;"-Pos5",'Shooter-Squad Assignment'!$Z:$Z,0)),""),"")))</f>
        <v/>
      </c>
      <c r="P949" s="79" t="str">
        <f>IF(ISBLANK(O949),"",IFERROR(INDEX('Tournament List'!$D:$D,MATCH(O949,'Tournament List'!$A:$A,0)),""))</f>
        <v/>
      </c>
    </row>
    <row r="950" spans="1:16" x14ac:dyDescent="0.3">
      <c r="A950" s="78">
        <v>949</v>
      </c>
      <c r="B950" s="73" t="str">
        <f>C950&amp;"-"&amp;E950&amp;"-"&amp;F950</f>
        <v>-Varsity 2-Sporting Clays</v>
      </c>
      <c r="C950" s="73"/>
      <c r="D950" s="73" t="str">
        <f>INDEX('Tournament Setup'!$B$59:$B$78,MATCH(E950,SquadConcurrents,0))</f>
        <v>Varsity</v>
      </c>
      <c r="E950" s="73" t="s">
        <v>346</v>
      </c>
      <c r="F950" s="73" t="s">
        <v>148</v>
      </c>
      <c r="G950" s="94" t="str">
        <f>IF(F950="Skeet",IFERROR(INDEX('Shooter-Squad Assignment'!$A:$A,MATCH(C950&amp;"-"&amp;E950&amp;"-"&amp;F950&amp;"-Pos1",'Shooter-Squad Assignment'!$K:$K,0)),""),IF(F950="Trap",IFERROR(INDEX('Shooter-Squad Assignment'!$A:$A,MATCH(C950&amp;"-"&amp;E950&amp;"-"&amp;F950&amp;"-Pos1",'Shooter-Squad Assignment'!$W:$W,0)),""),IF(F950="Sporting Clays",IFERROR(INDEX('Shooter-Squad Assignment'!$A:$A,MATCH(C950&amp;"-"&amp;E950&amp;"-"&amp;F950&amp;"-Pos1",'Shooter-Squad Assignment'!$Z:$Z,0)),""),"")))</f>
        <v/>
      </c>
      <c r="H950" s="73" t="str">
        <f>IF(ISBLANK(G950),"",IFERROR(INDEX('Tournament List'!$D:$D,MATCH(G950,'Tournament List'!$A:$A,0)),""))</f>
        <v/>
      </c>
      <c r="I950" s="94" t="str">
        <f>IF(F950="Skeet",IFERROR(INDEX('Shooter-Squad Assignment'!$A:$A,MATCH(C950&amp;"-"&amp;E950&amp;"-"&amp;F950&amp;"-Pos2",'Shooter-Squad Assignment'!$K:$K,0)),""),IF(F950="Trap",IFERROR(INDEX('Shooter-Squad Assignment'!$A:$A,MATCH(C950&amp;"-"&amp;E950&amp;"-"&amp;F950&amp;"-Pos2",'Shooter-Squad Assignment'!$W:$W,0)),""),IF(F950="Sporting Clays",IFERROR(INDEX('Shooter-Squad Assignment'!$A:$A,MATCH(C950&amp;"-"&amp;E950&amp;"-"&amp;F950&amp;"-Pos2",'Shooter-Squad Assignment'!$Z:$Z,0)),""),"")))</f>
        <v/>
      </c>
      <c r="J950" s="73" t="str">
        <f>IF(ISBLANK(I950),"",IFERROR(INDEX('Tournament List'!$D:$D,MATCH(I950,'Tournament List'!$A:$A,0)),""))</f>
        <v/>
      </c>
      <c r="K950" s="94" t="str">
        <f>IF(F950="Skeet",IFERROR(INDEX('Shooter-Squad Assignment'!$A:$A,MATCH(C950&amp;"-"&amp;E950&amp;"-"&amp;F950&amp;"-Pos3",'Shooter-Squad Assignment'!$K:$K,0)),""),IF(F950="Trap",IFERROR(INDEX('Shooter-Squad Assignment'!$A:$A,MATCH(C950&amp;"-"&amp;E950&amp;"-"&amp;F950&amp;"-Pos3",'Shooter-Squad Assignment'!$W:$W,0)),""),IF(F950="Sporting Clays",IFERROR(INDEX('Shooter-Squad Assignment'!$A:$A,MATCH(C950&amp;"-"&amp;E950&amp;"-"&amp;F950&amp;"-Pos3",'Shooter-Squad Assignment'!$Z:$Z,0)),""),"")))</f>
        <v/>
      </c>
      <c r="L950" s="73" t="str">
        <f>IF(ISBLANK(K950),"",IFERROR(INDEX('Tournament List'!$D:$D,MATCH(K950,'Tournament List'!$A:$A,0)),""))</f>
        <v/>
      </c>
      <c r="M950" s="94" t="str">
        <f>IF(F950="Skeet",IFERROR(INDEX('Shooter-Squad Assignment'!$A:$A,MATCH(C950&amp;"-"&amp;E950&amp;"-"&amp;F950&amp;"-Pos4",'Shooter-Squad Assignment'!$K:$K,0)),""),IF(F950="Trap",IFERROR(INDEX('Shooter-Squad Assignment'!$A:$A,MATCH(C950&amp;"-"&amp;E950&amp;"-"&amp;F950&amp;"-Pos4",'Shooter-Squad Assignment'!$W:$W,0)),""),IF(F950="Sporting Clays",IFERROR(INDEX('Shooter-Squad Assignment'!$A:$A,MATCH(C950&amp;"-"&amp;E950&amp;"-"&amp;F950&amp;"-Pos4",'Shooter-Squad Assignment'!$Z:$Z,0)),""),"")))</f>
        <v/>
      </c>
      <c r="N950" s="73" t="str">
        <f>IF(ISBLANK(M950),"",IFERROR(INDEX('Tournament List'!$D:$D,MATCH(M950,'Tournament List'!$A:$A,0)),""))</f>
        <v/>
      </c>
      <c r="O950" s="94" t="str">
        <f>IF(F950="Skeet",IFERROR(INDEX('Shooter-Squad Assignment'!$A:$A,MATCH(C950&amp;"-"&amp;E950&amp;"-"&amp;F950&amp;"-Pos5",'Shooter-Squad Assignment'!$K:$K,0)),""),IF(F950="Trap",IFERROR(INDEX('Shooter-Squad Assignment'!$A:$A,MATCH(C950&amp;"-"&amp;E950&amp;"-"&amp;F950&amp;"-Pos5",'Shooter-Squad Assignment'!$W:$W,0)),""),IF(F950="Sporting Clays",IFERROR(INDEX('Shooter-Squad Assignment'!$A:$A,MATCH(C950&amp;"-"&amp;E950&amp;"-"&amp;F950&amp;"-Pos5",'Shooter-Squad Assignment'!$Z:$Z,0)),""),"")))</f>
        <v/>
      </c>
      <c r="P950" s="79" t="str">
        <f>IF(ISBLANK(O950),"",IFERROR(INDEX('Tournament List'!$D:$D,MATCH(O950,'Tournament List'!$A:$A,0)),""))</f>
        <v/>
      </c>
    </row>
    <row r="951" spans="1:16" x14ac:dyDescent="0.3">
      <c r="A951" s="78">
        <v>950</v>
      </c>
      <c r="B951" s="73" t="str">
        <f>C951&amp;"-"&amp;E951&amp;"-"&amp;F951</f>
        <v>-Varsity 3-Sporting Clays</v>
      </c>
      <c r="C951" s="73"/>
      <c r="D951" s="73" t="str">
        <f>INDEX('Tournament Setup'!$B$59:$B$78,MATCH(E951,SquadConcurrents,0))</f>
        <v>Varsity</v>
      </c>
      <c r="E951" s="73" t="s">
        <v>352</v>
      </c>
      <c r="F951" s="73" t="s">
        <v>148</v>
      </c>
      <c r="G951" s="94" t="str">
        <f>IF(F951="Skeet",IFERROR(INDEX('Shooter-Squad Assignment'!$A:$A,MATCH(C951&amp;"-"&amp;E951&amp;"-"&amp;F951&amp;"-Pos1",'Shooter-Squad Assignment'!$K:$K,0)),""),IF(F951="Trap",IFERROR(INDEX('Shooter-Squad Assignment'!$A:$A,MATCH(C951&amp;"-"&amp;E951&amp;"-"&amp;F951&amp;"-Pos1",'Shooter-Squad Assignment'!$W:$W,0)),""),IF(F951="Sporting Clays",IFERROR(INDEX('Shooter-Squad Assignment'!$A:$A,MATCH(C951&amp;"-"&amp;E951&amp;"-"&amp;F951&amp;"-Pos1",'Shooter-Squad Assignment'!$Z:$Z,0)),""),"")))</f>
        <v/>
      </c>
      <c r="H951" s="73" t="str">
        <f>IF(ISBLANK(G951),"",IFERROR(INDEX('Tournament List'!$D:$D,MATCH(G951,'Tournament List'!$A:$A,0)),""))</f>
        <v/>
      </c>
      <c r="I951" s="94" t="str">
        <f>IF(F951="Skeet",IFERROR(INDEX('Shooter-Squad Assignment'!$A:$A,MATCH(C951&amp;"-"&amp;E951&amp;"-"&amp;F951&amp;"-Pos2",'Shooter-Squad Assignment'!$K:$K,0)),""),IF(F951="Trap",IFERROR(INDEX('Shooter-Squad Assignment'!$A:$A,MATCH(C951&amp;"-"&amp;E951&amp;"-"&amp;F951&amp;"-Pos2",'Shooter-Squad Assignment'!$W:$W,0)),""),IF(F951="Sporting Clays",IFERROR(INDEX('Shooter-Squad Assignment'!$A:$A,MATCH(C951&amp;"-"&amp;E951&amp;"-"&amp;F951&amp;"-Pos2",'Shooter-Squad Assignment'!$Z:$Z,0)),""),"")))</f>
        <v/>
      </c>
      <c r="J951" s="73" t="str">
        <f>IF(ISBLANK(I951),"",IFERROR(INDEX('Tournament List'!$D:$D,MATCH(I951,'Tournament List'!$A:$A,0)),""))</f>
        <v/>
      </c>
      <c r="K951" s="94" t="str">
        <f>IF(F951="Skeet",IFERROR(INDEX('Shooter-Squad Assignment'!$A:$A,MATCH(C951&amp;"-"&amp;E951&amp;"-"&amp;F951&amp;"-Pos3",'Shooter-Squad Assignment'!$K:$K,0)),""),IF(F951="Trap",IFERROR(INDEX('Shooter-Squad Assignment'!$A:$A,MATCH(C951&amp;"-"&amp;E951&amp;"-"&amp;F951&amp;"-Pos3",'Shooter-Squad Assignment'!$W:$W,0)),""),IF(F951="Sporting Clays",IFERROR(INDEX('Shooter-Squad Assignment'!$A:$A,MATCH(C951&amp;"-"&amp;E951&amp;"-"&amp;F951&amp;"-Pos3",'Shooter-Squad Assignment'!$Z:$Z,0)),""),"")))</f>
        <v/>
      </c>
      <c r="L951" s="73" t="str">
        <f>IF(ISBLANK(K951),"",IFERROR(INDEX('Tournament List'!$D:$D,MATCH(K951,'Tournament List'!$A:$A,0)),""))</f>
        <v/>
      </c>
      <c r="M951" s="94" t="str">
        <f>IF(F951="Skeet",IFERROR(INDEX('Shooter-Squad Assignment'!$A:$A,MATCH(C951&amp;"-"&amp;E951&amp;"-"&amp;F951&amp;"-Pos4",'Shooter-Squad Assignment'!$K:$K,0)),""),IF(F951="Trap",IFERROR(INDEX('Shooter-Squad Assignment'!$A:$A,MATCH(C951&amp;"-"&amp;E951&amp;"-"&amp;F951&amp;"-Pos4",'Shooter-Squad Assignment'!$W:$W,0)),""),IF(F951="Sporting Clays",IFERROR(INDEX('Shooter-Squad Assignment'!$A:$A,MATCH(C951&amp;"-"&amp;E951&amp;"-"&amp;F951&amp;"-Pos4",'Shooter-Squad Assignment'!$Z:$Z,0)),""),"")))</f>
        <v/>
      </c>
      <c r="N951" s="73" t="str">
        <f>IF(ISBLANK(M951),"",IFERROR(INDEX('Tournament List'!$D:$D,MATCH(M951,'Tournament List'!$A:$A,0)),""))</f>
        <v/>
      </c>
      <c r="O951" s="94" t="str">
        <f>IF(F951="Skeet",IFERROR(INDEX('Shooter-Squad Assignment'!$A:$A,MATCH(C951&amp;"-"&amp;E951&amp;"-"&amp;F951&amp;"-Pos5",'Shooter-Squad Assignment'!$K:$K,0)),""),IF(F951="Trap",IFERROR(INDEX('Shooter-Squad Assignment'!$A:$A,MATCH(C951&amp;"-"&amp;E951&amp;"-"&amp;F951&amp;"-Pos5",'Shooter-Squad Assignment'!$W:$W,0)),""),IF(F951="Sporting Clays",IFERROR(INDEX('Shooter-Squad Assignment'!$A:$A,MATCH(C951&amp;"-"&amp;E951&amp;"-"&amp;F951&amp;"-Pos5",'Shooter-Squad Assignment'!$Z:$Z,0)),""),"")))</f>
        <v/>
      </c>
      <c r="P951" s="79" t="str">
        <f>IF(ISBLANK(O951),"",IFERROR(INDEX('Tournament List'!$D:$D,MATCH(O951,'Tournament List'!$A:$A,0)),""))</f>
        <v/>
      </c>
    </row>
    <row r="952" spans="1:16" x14ac:dyDescent="0.3">
      <c r="A952" s="78">
        <v>951</v>
      </c>
      <c r="B952" s="73" t="str">
        <f>C952&amp;"-"&amp;E952&amp;"-"&amp;F952</f>
        <v>-Collegiate 1-Trap</v>
      </c>
      <c r="C952" s="73"/>
      <c r="D952" s="73" t="str">
        <f>INDEX('Tournament Setup'!$B$59:$B$78,MATCH(E952,SquadConcurrents,0))</f>
        <v>Collegiate</v>
      </c>
      <c r="E952" s="73" t="s">
        <v>342</v>
      </c>
      <c r="F952" s="73" t="s">
        <v>147</v>
      </c>
      <c r="G952" s="94" t="str">
        <f>IF(F952="Skeet",IFERROR(INDEX('Shooter-Squad Assignment'!$A:$A,MATCH(C952&amp;"-"&amp;E952&amp;"-"&amp;F952&amp;"-Pos1",'Shooter-Squad Assignment'!$K:$K,0)),""),IF(F952="Trap",IFERROR(INDEX('Shooter-Squad Assignment'!$A:$A,MATCH(C952&amp;"-"&amp;E952&amp;"-"&amp;F952&amp;"-Pos1",'Shooter-Squad Assignment'!$W:$W,0)),""),IF(F952="Sporting Clays",IFERROR(INDEX('Shooter-Squad Assignment'!$A:$A,MATCH(C952&amp;"-"&amp;E952&amp;"-"&amp;F952&amp;"-Pos1",'Shooter-Squad Assignment'!$Z:$Z,0)),""),"")))</f>
        <v/>
      </c>
      <c r="H952" s="73" t="str">
        <f>IF(ISBLANK(G952),"",IFERROR(INDEX('Tournament List'!$D:$D,MATCH(G952,'Tournament List'!$A:$A,0)),""))</f>
        <v/>
      </c>
      <c r="I952" s="94" t="str">
        <f>IF(F952="Skeet",IFERROR(INDEX('Shooter-Squad Assignment'!$A:$A,MATCH(C952&amp;"-"&amp;E952&amp;"-"&amp;F952&amp;"-Pos2",'Shooter-Squad Assignment'!$K:$K,0)),""),IF(F952="Trap",IFERROR(INDEX('Shooter-Squad Assignment'!$A:$A,MATCH(C952&amp;"-"&amp;E952&amp;"-"&amp;F952&amp;"-Pos2",'Shooter-Squad Assignment'!$W:$W,0)),""),IF(F952="Sporting Clays",IFERROR(INDEX('Shooter-Squad Assignment'!$A:$A,MATCH(C952&amp;"-"&amp;E952&amp;"-"&amp;F952&amp;"-Pos2",'Shooter-Squad Assignment'!$Z:$Z,0)),""),"")))</f>
        <v/>
      </c>
      <c r="J952" s="73" t="str">
        <f>IF(ISBLANK(I952),"",IFERROR(INDEX('Tournament List'!$D:$D,MATCH(I952,'Tournament List'!$A:$A,0)),""))</f>
        <v/>
      </c>
      <c r="K952" s="94" t="str">
        <f>IF(F952="Skeet",IFERROR(INDEX('Shooter-Squad Assignment'!$A:$A,MATCH(C952&amp;"-"&amp;E952&amp;"-"&amp;F952&amp;"-Pos3",'Shooter-Squad Assignment'!$K:$K,0)),""),IF(F952="Trap",IFERROR(INDEX('Shooter-Squad Assignment'!$A:$A,MATCH(C952&amp;"-"&amp;E952&amp;"-"&amp;F952&amp;"-Pos3",'Shooter-Squad Assignment'!$W:$W,0)),""),IF(F952="Sporting Clays",IFERROR(INDEX('Shooter-Squad Assignment'!$A:$A,MATCH(C952&amp;"-"&amp;E952&amp;"-"&amp;F952&amp;"-Pos3",'Shooter-Squad Assignment'!$Z:$Z,0)),""),"")))</f>
        <v/>
      </c>
      <c r="L952" s="73" t="str">
        <f>IF(ISBLANK(K952),"",IFERROR(INDEX('Tournament List'!$D:$D,MATCH(K952,'Tournament List'!$A:$A,0)),""))</f>
        <v/>
      </c>
      <c r="M952" s="94" t="str">
        <f>IF(F952="Skeet",IFERROR(INDEX('Shooter-Squad Assignment'!$A:$A,MATCH(C952&amp;"-"&amp;E952&amp;"-"&amp;F952&amp;"-Pos4",'Shooter-Squad Assignment'!$K:$K,0)),""),IF(F952="Trap",IFERROR(INDEX('Shooter-Squad Assignment'!$A:$A,MATCH(C952&amp;"-"&amp;E952&amp;"-"&amp;F952&amp;"-Pos4",'Shooter-Squad Assignment'!$W:$W,0)),""),IF(F952="Sporting Clays",IFERROR(INDEX('Shooter-Squad Assignment'!$A:$A,MATCH(C952&amp;"-"&amp;E952&amp;"-"&amp;F952&amp;"-Pos4",'Shooter-Squad Assignment'!$Z:$Z,0)),""),"")))</f>
        <v/>
      </c>
      <c r="N952" s="73" t="str">
        <f>IF(ISBLANK(M952),"",IFERROR(INDEX('Tournament List'!$D:$D,MATCH(M952,'Tournament List'!$A:$A,0)),""))</f>
        <v/>
      </c>
      <c r="O952" s="94" t="str">
        <f>IF(F952="Skeet",IFERROR(INDEX('Shooter-Squad Assignment'!$A:$A,MATCH(C952&amp;"-"&amp;E952&amp;"-"&amp;F952&amp;"-Pos5",'Shooter-Squad Assignment'!$K:$K,0)),""),IF(F952="Trap",IFERROR(INDEX('Shooter-Squad Assignment'!$A:$A,MATCH(C952&amp;"-"&amp;E952&amp;"-"&amp;F952&amp;"-Pos5",'Shooter-Squad Assignment'!$W:$W,0)),""),IF(F952="Sporting Clays",IFERROR(INDEX('Shooter-Squad Assignment'!$A:$A,MATCH(C952&amp;"-"&amp;E952&amp;"-"&amp;F952&amp;"-Pos5",'Shooter-Squad Assignment'!$Z:$Z,0)),""),"")))</f>
        <v/>
      </c>
      <c r="P952" s="79" t="str">
        <f>IF(ISBLANK(O952),"",IFERROR(INDEX('Tournament List'!$D:$D,MATCH(O952,'Tournament List'!$A:$A,0)),""))</f>
        <v/>
      </c>
    </row>
    <row r="953" spans="1:16" x14ac:dyDescent="0.3">
      <c r="A953" s="78">
        <v>952</v>
      </c>
      <c r="B953" s="73" t="str">
        <f>C953&amp;"-"&amp;E953&amp;"-"&amp;F953</f>
        <v>-Collegiate 2-Trap</v>
      </c>
      <c r="C953" s="73"/>
      <c r="D953" s="73" t="str">
        <f>INDEX('Tournament Setup'!$B$59:$B$78,MATCH(E953,SquadConcurrents,0))</f>
        <v>Collegiate</v>
      </c>
      <c r="E953" s="73" t="s">
        <v>348</v>
      </c>
      <c r="F953" s="73" t="s">
        <v>147</v>
      </c>
      <c r="G953" s="94" t="str">
        <f>IF(F953="Skeet",IFERROR(INDEX('Shooter-Squad Assignment'!$A:$A,MATCH(C953&amp;"-"&amp;E953&amp;"-"&amp;F953&amp;"-Pos1",'Shooter-Squad Assignment'!$K:$K,0)),""),IF(F953="Trap",IFERROR(INDEX('Shooter-Squad Assignment'!$A:$A,MATCH(C953&amp;"-"&amp;E953&amp;"-"&amp;F953&amp;"-Pos1",'Shooter-Squad Assignment'!$W:$W,0)),""),IF(F953="Sporting Clays",IFERROR(INDEX('Shooter-Squad Assignment'!$A:$A,MATCH(C953&amp;"-"&amp;E953&amp;"-"&amp;F953&amp;"-Pos1",'Shooter-Squad Assignment'!$Z:$Z,0)),""),"")))</f>
        <v/>
      </c>
      <c r="H953" s="73" t="str">
        <f>IF(ISBLANK(G953),"",IFERROR(INDEX('Tournament List'!$D:$D,MATCH(G953,'Tournament List'!$A:$A,0)),""))</f>
        <v/>
      </c>
      <c r="I953" s="94" t="str">
        <f>IF(F953="Skeet",IFERROR(INDEX('Shooter-Squad Assignment'!$A:$A,MATCH(C953&amp;"-"&amp;E953&amp;"-"&amp;F953&amp;"-Pos2",'Shooter-Squad Assignment'!$K:$K,0)),""),IF(F953="Trap",IFERROR(INDEX('Shooter-Squad Assignment'!$A:$A,MATCH(C953&amp;"-"&amp;E953&amp;"-"&amp;F953&amp;"-Pos2",'Shooter-Squad Assignment'!$W:$W,0)),""),IF(F953="Sporting Clays",IFERROR(INDEX('Shooter-Squad Assignment'!$A:$A,MATCH(C953&amp;"-"&amp;E953&amp;"-"&amp;F953&amp;"-Pos2",'Shooter-Squad Assignment'!$Z:$Z,0)),""),"")))</f>
        <v/>
      </c>
      <c r="J953" s="73" t="str">
        <f>IF(ISBLANK(I953),"",IFERROR(INDEX('Tournament List'!$D:$D,MATCH(I953,'Tournament List'!$A:$A,0)),""))</f>
        <v/>
      </c>
      <c r="K953" s="94" t="str">
        <f>IF(F953="Skeet",IFERROR(INDEX('Shooter-Squad Assignment'!$A:$A,MATCH(C953&amp;"-"&amp;E953&amp;"-"&amp;F953&amp;"-Pos3",'Shooter-Squad Assignment'!$K:$K,0)),""),IF(F953="Trap",IFERROR(INDEX('Shooter-Squad Assignment'!$A:$A,MATCH(C953&amp;"-"&amp;E953&amp;"-"&amp;F953&amp;"-Pos3",'Shooter-Squad Assignment'!$W:$W,0)),""),IF(F953="Sporting Clays",IFERROR(INDEX('Shooter-Squad Assignment'!$A:$A,MATCH(C953&amp;"-"&amp;E953&amp;"-"&amp;F953&amp;"-Pos3",'Shooter-Squad Assignment'!$Z:$Z,0)),""),"")))</f>
        <v/>
      </c>
      <c r="L953" s="73" t="str">
        <f>IF(ISBLANK(K953),"",IFERROR(INDEX('Tournament List'!$D:$D,MATCH(K953,'Tournament List'!$A:$A,0)),""))</f>
        <v/>
      </c>
      <c r="M953" s="94" t="str">
        <f>IF(F953="Skeet",IFERROR(INDEX('Shooter-Squad Assignment'!$A:$A,MATCH(C953&amp;"-"&amp;E953&amp;"-"&amp;F953&amp;"-Pos4",'Shooter-Squad Assignment'!$K:$K,0)),""),IF(F953="Trap",IFERROR(INDEX('Shooter-Squad Assignment'!$A:$A,MATCH(C953&amp;"-"&amp;E953&amp;"-"&amp;F953&amp;"-Pos4",'Shooter-Squad Assignment'!$W:$W,0)),""),IF(F953="Sporting Clays",IFERROR(INDEX('Shooter-Squad Assignment'!$A:$A,MATCH(C953&amp;"-"&amp;E953&amp;"-"&amp;F953&amp;"-Pos4",'Shooter-Squad Assignment'!$Z:$Z,0)),""),"")))</f>
        <v/>
      </c>
      <c r="N953" s="73" t="str">
        <f>IF(ISBLANK(M953),"",IFERROR(INDEX('Tournament List'!$D:$D,MATCH(M953,'Tournament List'!$A:$A,0)),""))</f>
        <v/>
      </c>
      <c r="O953" s="94" t="str">
        <f>IF(F953="Skeet",IFERROR(INDEX('Shooter-Squad Assignment'!$A:$A,MATCH(C953&amp;"-"&amp;E953&amp;"-"&amp;F953&amp;"-Pos5",'Shooter-Squad Assignment'!$K:$K,0)),""),IF(F953="Trap",IFERROR(INDEX('Shooter-Squad Assignment'!$A:$A,MATCH(C953&amp;"-"&amp;E953&amp;"-"&amp;F953&amp;"-Pos5",'Shooter-Squad Assignment'!$W:$W,0)),""),IF(F953="Sporting Clays",IFERROR(INDEX('Shooter-Squad Assignment'!$A:$A,MATCH(C953&amp;"-"&amp;E953&amp;"-"&amp;F953&amp;"-Pos5",'Shooter-Squad Assignment'!$Z:$Z,0)),""),"")))</f>
        <v/>
      </c>
      <c r="P953" s="79" t="str">
        <f>IF(ISBLANK(O953),"",IFERROR(INDEX('Tournament List'!$D:$D,MATCH(O953,'Tournament List'!$A:$A,0)),""))</f>
        <v/>
      </c>
    </row>
    <row r="954" spans="1:16" x14ac:dyDescent="0.3">
      <c r="A954" s="78">
        <v>953</v>
      </c>
      <c r="B954" s="73" t="str">
        <f>C954&amp;"-"&amp;E954&amp;"-"&amp;F954</f>
        <v>-Collegiate 3-Trap</v>
      </c>
      <c r="C954" s="73"/>
      <c r="D954" s="73" t="str">
        <f>INDEX('Tournament Setup'!$B$59:$B$78,MATCH(E954,SquadConcurrents,0))</f>
        <v>Collegiate</v>
      </c>
      <c r="E954" s="73" t="s">
        <v>354</v>
      </c>
      <c r="F954" s="73" t="s">
        <v>147</v>
      </c>
      <c r="G954" s="94" t="str">
        <f>IF(F954="Skeet",IFERROR(INDEX('Shooter-Squad Assignment'!$A:$A,MATCH(C954&amp;"-"&amp;E954&amp;"-"&amp;F954&amp;"-Pos1",'Shooter-Squad Assignment'!$K:$K,0)),""),IF(F954="Trap",IFERROR(INDEX('Shooter-Squad Assignment'!$A:$A,MATCH(C954&amp;"-"&amp;E954&amp;"-"&amp;F954&amp;"-Pos1",'Shooter-Squad Assignment'!$W:$W,0)),""),IF(F954="Sporting Clays",IFERROR(INDEX('Shooter-Squad Assignment'!$A:$A,MATCH(C954&amp;"-"&amp;E954&amp;"-"&amp;F954&amp;"-Pos1",'Shooter-Squad Assignment'!$Z:$Z,0)),""),"")))</f>
        <v/>
      </c>
      <c r="H954" s="73" t="str">
        <f>IF(ISBLANK(G954),"",IFERROR(INDEX('Tournament List'!$D:$D,MATCH(G954,'Tournament List'!$A:$A,0)),""))</f>
        <v/>
      </c>
      <c r="I954" s="94" t="str">
        <f>IF(F954="Skeet",IFERROR(INDEX('Shooter-Squad Assignment'!$A:$A,MATCH(C954&amp;"-"&amp;E954&amp;"-"&amp;F954&amp;"-Pos2",'Shooter-Squad Assignment'!$K:$K,0)),""),IF(F954="Trap",IFERROR(INDEX('Shooter-Squad Assignment'!$A:$A,MATCH(C954&amp;"-"&amp;E954&amp;"-"&amp;F954&amp;"-Pos2",'Shooter-Squad Assignment'!$W:$W,0)),""),IF(F954="Sporting Clays",IFERROR(INDEX('Shooter-Squad Assignment'!$A:$A,MATCH(C954&amp;"-"&amp;E954&amp;"-"&amp;F954&amp;"-Pos2",'Shooter-Squad Assignment'!$Z:$Z,0)),""),"")))</f>
        <v/>
      </c>
      <c r="J954" s="73" t="str">
        <f>IF(ISBLANK(I954),"",IFERROR(INDEX('Tournament List'!$D:$D,MATCH(I954,'Tournament List'!$A:$A,0)),""))</f>
        <v/>
      </c>
      <c r="K954" s="94" t="str">
        <f>IF(F954="Skeet",IFERROR(INDEX('Shooter-Squad Assignment'!$A:$A,MATCH(C954&amp;"-"&amp;E954&amp;"-"&amp;F954&amp;"-Pos3",'Shooter-Squad Assignment'!$K:$K,0)),""),IF(F954="Trap",IFERROR(INDEX('Shooter-Squad Assignment'!$A:$A,MATCH(C954&amp;"-"&amp;E954&amp;"-"&amp;F954&amp;"-Pos3",'Shooter-Squad Assignment'!$W:$W,0)),""),IF(F954="Sporting Clays",IFERROR(INDEX('Shooter-Squad Assignment'!$A:$A,MATCH(C954&amp;"-"&amp;E954&amp;"-"&amp;F954&amp;"-Pos3",'Shooter-Squad Assignment'!$Z:$Z,0)),""),"")))</f>
        <v/>
      </c>
      <c r="L954" s="73" t="str">
        <f>IF(ISBLANK(K954),"",IFERROR(INDEX('Tournament List'!$D:$D,MATCH(K954,'Tournament List'!$A:$A,0)),""))</f>
        <v/>
      </c>
      <c r="M954" s="94" t="str">
        <f>IF(F954="Skeet",IFERROR(INDEX('Shooter-Squad Assignment'!$A:$A,MATCH(C954&amp;"-"&amp;E954&amp;"-"&amp;F954&amp;"-Pos4",'Shooter-Squad Assignment'!$K:$K,0)),""),IF(F954="Trap",IFERROR(INDEX('Shooter-Squad Assignment'!$A:$A,MATCH(C954&amp;"-"&amp;E954&amp;"-"&amp;F954&amp;"-Pos4",'Shooter-Squad Assignment'!$W:$W,0)),""),IF(F954="Sporting Clays",IFERROR(INDEX('Shooter-Squad Assignment'!$A:$A,MATCH(C954&amp;"-"&amp;E954&amp;"-"&amp;F954&amp;"-Pos4",'Shooter-Squad Assignment'!$Z:$Z,0)),""),"")))</f>
        <v/>
      </c>
      <c r="N954" s="73" t="str">
        <f>IF(ISBLANK(M954),"",IFERROR(INDEX('Tournament List'!$D:$D,MATCH(M954,'Tournament List'!$A:$A,0)),""))</f>
        <v/>
      </c>
      <c r="O954" s="94" t="str">
        <f>IF(F954="Skeet",IFERROR(INDEX('Shooter-Squad Assignment'!$A:$A,MATCH(C954&amp;"-"&amp;E954&amp;"-"&amp;F954&amp;"-Pos5",'Shooter-Squad Assignment'!$K:$K,0)),""),IF(F954="Trap",IFERROR(INDEX('Shooter-Squad Assignment'!$A:$A,MATCH(C954&amp;"-"&amp;E954&amp;"-"&amp;F954&amp;"-Pos5",'Shooter-Squad Assignment'!$W:$W,0)),""),IF(F954="Sporting Clays",IFERROR(INDEX('Shooter-Squad Assignment'!$A:$A,MATCH(C954&amp;"-"&amp;E954&amp;"-"&amp;F954&amp;"-Pos5",'Shooter-Squad Assignment'!$Z:$Z,0)),""),"")))</f>
        <v/>
      </c>
      <c r="P954" s="79" t="str">
        <f>IF(ISBLANK(O954),"",IFERROR(INDEX('Tournament List'!$D:$D,MATCH(O954,'Tournament List'!$A:$A,0)),""))</f>
        <v/>
      </c>
    </row>
    <row r="955" spans="1:16" x14ac:dyDescent="0.3">
      <c r="A955" s="78">
        <v>954</v>
      </c>
      <c r="B955" s="73" t="str">
        <f>C955&amp;"-"&amp;E955&amp;"-"&amp;F955</f>
        <v>-Intermediate 1-Trap</v>
      </c>
      <c r="C955" s="73"/>
      <c r="D955" s="73" t="str">
        <f>INDEX('Tournament Setup'!$B$59:$B$78,MATCH(E955,SquadConcurrents,0))</f>
        <v>Intermediate</v>
      </c>
      <c r="E955" s="73" t="s">
        <v>338</v>
      </c>
      <c r="F955" s="73" t="s">
        <v>147</v>
      </c>
      <c r="G955" s="94" t="str">
        <f>IF(F955="Skeet",IFERROR(INDEX('Shooter-Squad Assignment'!$A:$A,MATCH(C955&amp;"-"&amp;E955&amp;"-"&amp;F955&amp;"-Pos1",'Shooter-Squad Assignment'!$K:$K,0)),""),IF(F955="Trap",IFERROR(INDEX('Shooter-Squad Assignment'!$A:$A,MATCH(C955&amp;"-"&amp;E955&amp;"-"&amp;F955&amp;"-Pos1",'Shooter-Squad Assignment'!$W:$W,0)),""),IF(F955="Sporting Clays",IFERROR(INDEX('Shooter-Squad Assignment'!$A:$A,MATCH(C955&amp;"-"&amp;E955&amp;"-"&amp;F955&amp;"-Pos1",'Shooter-Squad Assignment'!$Z:$Z,0)),""),"")))</f>
        <v/>
      </c>
      <c r="H955" s="73" t="str">
        <f>IF(ISBLANK(G955),"",IFERROR(INDEX('Tournament List'!$D:$D,MATCH(G955,'Tournament List'!$A:$A,0)),""))</f>
        <v/>
      </c>
      <c r="I955" s="94" t="str">
        <f>IF(F955="Skeet",IFERROR(INDEX('Shooter-Squad Assignment'!$A:$A,MATCH(C955&amp;"-"&amp;E955&amp;"-"&amp;F955&amp;"-Pos2",'Shooter-Squad Assignment'!$K:$K,0)),""),IF(F955="Trap",IFERROR(INDEX('Shooter-Squad Assignment'!$A:$A,MATCH(C955&amp;"-"&amp;E955&amp;"-"&amp;F955&amp;"-Pos2",'Shooter-Squad Assignment'!$W:$W,0)),""),IF(F955="Sporting Clays",IFERROR(INDEX('Shooter-Squad Assignment'!$A:$A,MATCH(C955&amp;"-"&amp;E955&amp;"-"&amp;F955&amp;"-Pos2",'Shooter-Squad Assignment'!$Z:$Z,0)),""),"")))</f>
        <v/>
      </c>
      <c r="J955" s="73" t="str">
        <f>IF(ISBLANK(I955),"",IFERROR(INDEX('Tournament List'!$D:$D,MATCH(I955,'Tournament List'!$A:$A,0)),""))</f>
        <v/>
      </c>
      <c r="K955" s="94" t="str">
        <f>IF(F955="Skeet",IFERROR(INDEX('Shooter-Squad Assignment'!$A:$A,MATCH(C955&amp;"-"&amp;E955&amp;"-"&amp;F955&amp;"-Pos3",'Shooter-Squad Assignment'!$K:$K,0)),""),IF(F955="Trap",IFERROR(INDEX('Shooter-Squad Assignment'!$A:$A,MATCH(C955&amp;"-"&amp;E955&amp;"-"&amp;F955&amp;"-Pos3",'Shooter-Squad Assignment'!$W:$W,0)),""),IF(F955="Sporting Clays",IFERROR(INDEX('Shooter-Squad Assignment'!$A:$A,MATCH(C955&amp;"-"&amp;E955&amp;"-"&amp;F955&amp;"-Pos3",'Shooter-Squad Assignment'!$Z:$Z,0)),""),"")))</f>
        <v/>
      </c>
      <c r="L955" s="73" t="str">
        <f>IF(ISBLANK(K955),"",IFERROR(INDEX('Tournament List'!$D:$D,MATCH(K955,'Tournament List'!$A:$A,0)),""))</f>
        <v/>
      </c>
      <c r="M955" s="94" t="str">
        <f>IF(F955="Skeet",IFERROR(INDEX('Shooter-Squad Assignment'!$A:$A,MATCH(C955&amp;"-"&amp;E955&amp;"-"&amp;F955&amp;"-Pos4",'Shooter-Squad Assignment'!$K:$K,0)),""),IF(F955="Trap",IFERROR(INDEX('Shooter-Squad Assignment'!$A:$A,MATCH(C955&amp;"-"&amp;E955&amp;"-"&amp;F955&amp;"-Pos4",'Shooter-Squad Assignment'!$W:$W,0)),""),IF(F955="Sporting Clays",IFERROR(INDEX('Shooter-Squad Assignment'!$A:$A,MATCH(C955&amp;"-"&amp;E955&amp;"-"&amp;F955&amp;"-Pos4",'Shooter-Squad Assignment'!$Z:$Z,0)),""),"")))</f>
        <v/>
      </c>
      <c r="N955" s="73" t="str">
        <f>IF(ISBLANK(M955),"",IFERROR(INDEX('Tournament List'!$D:$D,MATCH(M955,'Tournament List'!$A:$A,0)),""))</f>
        <v/>
      </c>
      <c r="O955" s="94" t="str">
        <f>IF(F955="Skeet",IFERROR(INDEX('Shooter-Squad Assignment'!$A:$A,MATCH(C955&amp;"-"&amp;E955&amp;"-"&amp;F955&amp;"-Pos5",'Shooter-Squad Assignment'!$K:$K,0)),""),IF(F955="Trap",IFERROR(INDEX('Shooter-Squad Assignment'!$A:$A,MATCH(C955&amp;"-"&amp;E955&amp;"-"&amp;F955&amp;"-Pos5",'Shooter-Squad Assignment'!$W:$W,0)),""),IF(F955="Sporting Clays",IFERROR(INDEX('Shooter-Squad Assignment'!$A:$A,MATCH(C955&amp;"-"&amp;E955&amp;"-"&amp;F955&amp;"-Pos5",'Shooter-Squad Assignment'!$Z:$Z,0)),""),"")))</f>
        <v/>
      </c>
      <c r="P955" s="79" t="str">
        <f>IF(ISBLANK(O955),"",IFERROR(INDEX('Tournament List'!$D:$D,MATCH(O955,'Tournament List'!$A:$A,0)),""))</f>
        <v/>
      </c>
    </row>
    <row r="956" spans="1:16" x14ac:dyDescent="0.3">
      <c r="A956" s="78">
        <v>955</v>
      </c>
      <c r="B956" s="73" t="str">
        <f>C956&amp;"-"&amp;E956&amp;"-"&amp;F956</f>
        <v>-Intermediate 2-Trap</v>
      </c>
      <c r="C956" s="73"/>
      <c r="D956" s="73" t="str">
        <f>INDEX('Tournament Setup'!$B$59:$B$78,MATCH(E956,SquadConcurrents,0))</f>
        <v>Intermediate</v>
      </c>
      <c r="E956" s="73" t="s">
        <v>344</v>
      </c>
      <c r="F956" s="73" t="s">
        <v>147</v>
      </c>
      <c r="G956" s="94" t="str">
        <f>IF(F956="Skeet",IFERROR(INDEX('Shooter-Squad Assignment'!$A:$A,MATCH(C956&amp;"-"&amp;E956&amp;"-"&amp;F956&amp;"-Pos1",'Shooter-Squad Assignment'!$K:$K,0)),""),IF(F956="Trap",IFERROR(INDEX('Shooter-Squad Assignment'!$A:$A,MATCH(C956&amp;"-"&amp;E956&amp;"-"&amp;F956&amp;"-Pos1",'Shooter-Squad Assignment'!$W:$W,0)),""),IF(F956="Sporting Clays",IFERROR(INDEX('Shooter-Squad Assignment'!$A:$A,MATCH(C956&amp;"-"&amp;E956&amp;"-"&amp;F956&amp;"-Pos1",'Shooter-Squad Assignment'!$Z:$Z,0)),""),"")))</f>
        <v/>
      </c>
      <c r="H956" s="73" t="str">
        <f>IF(ISBLANK(G956),"",IFERROR(INDEX('Tournament List'!$D:$D,MATCH(G956,'Tournament List'!$A:$A,0)),""))</f>
        <v/>
      </c>
      <c r="I956" s="94" t="str">
        <f>IF(F956="Skeet",IFERROR(INDEX('Shooter-Squad Assignment'!$A:$A,MATCH(C956&amp;"-"&amp;E956&amp;"-"&amp;F956&amp;"-Pos2",'Shooter-Squad Assignment'!$K:$K,0)),""),IF(F956="Trap",IFERROR(INDEX('Shooter-Squad Assignment'!$A:$A,MATCH(C956&amp;"-"&amp;E956&amp;"-"&amp;F956&amp;"-Pos2",'Shooter-Squad Assignment'!$W:$W,0)),""),IF(F956="Sporting Clays",IFERROR(INDEX('Shooter-Squad Assignment'!$A:$A,MATCH(C956&amp;"-"&amp;E956&amp;"-"&amp;F956&amp;"-Pos2",'Shooter-Squad Assignment'!$Z:$Z,0)),""),"")))</f>
        <v/>
      </c>
      <c r="J956" s="73" t="str">
        <f>IF(ISBLANK(I956),"",IFERROR(INDEX('Tournament List'!$D:$D,MATCH(I956,'Tournament List'!$A:$A,0)),""))</f>
        <v/>
      </c>
      <c r="K956" s="94" t="str">
        <f>IF(F956="Skeet",IFERROR(INDEX('Shooter-Squad Assignment'!$A:$A,MATCH(C956&amp;"-"&amp;E956&amp;"-"&amp;F956&amp;"-Pos3",'Shooter-Squad Assignment'!$K:$K,0)),""),IF(F956="Trap",IFERROR(INDEX('Shooter-Squad Assignment'!$A:$A,MATCH(C956&amp;"-"&amp;E956&amp;"-"&amp;F956&amp;"-Pos3",'Shooter-Squad Assignment'!$W:$W,0)),""),IF(F956="Sporting Clays",IFERROR(INDEX('Shooter-Squad Assignment'!$A:$A,MATCH(C956&amp;"-"&amp;E956&amp;"-"&amp;F956&amp;"-Pos3",'Shooter-Squad Assignment'!$Z:$Z,0)),""),"")))</f>
        <v/>
      </c>
      <c r="L956" s="73" t="str">
        <f>IF(ISBLANK(K956),"",IFERROR(INDEX('Tournament List'!$D:$D,MATCH(K956,'Tournament List'!$A:$A,0)),""))</f>
        <v/>
      </c>
      <c r="M956" s="94" t="str">
        <f>IF(F956="Skeet",IFERROR(INDEX('Shooter-Squad Assignment'!$A:$A,MATCH(C956&amp;"-"&amp;E956&amp;"-"&amp;F956&amp;"-Pos4",'Shooter-Squad Assignment'!$K:$K,0)),""),IF(F956="Trap",IFERROR(INDEX('Shooter-Squad Assignment'!$A:$A,MATCH(C956&amp;"-"&amp;E956&amp;"-"&amp;F956&amp;"-Pos4",'Shooter-Squad Assignment'!$W:$W,0)),""),IF(F956="Sporting Clays",IFERROR(INDEX('Shooter-Squad Assignment'!$A:$A,MATCH(C956&amp;"-"&amp;E956&amp;"-"&amp;F956&amp;"-Pos4",'Shooter-Squad Assignment'!$Z:$Z,0)),""),"")))</f>
        <v/>
      </c>
      <c r="N956" s="73" t="str">
        <f>IF(ISBLANK(M956),"",IFERROR(INDEX('Tournament List'!$D:$D,MATCH(M956,'Tournament List'!$A:$A,0)),""))</f>
        <v/>
      </c>
      <c r="O956" s="94" t="str">
        <f>IF(F956="Skeet",IFERROR(INDEX('Shooter-Squad Assignment'!$A:$A,MATCH(C956&amp;"-"&amp;E956&amp;"-"&amp;F956&amp;"-Pos5",'Shooter-Squad Assignment'!$K:$K,0)),""),IF(F956="Trap",IFERROR(INDEX('Shooter-Squad Assignment'!$A:$A,MATCH(C956&amp;"-"&amp;E956&amp;"-"&amp;F956&amp;"-Pos5",'Shooter-Squad Assignment'!$W:$W,0)),""),IF(F956="Sporting Clays",IFERROR(INDEX('Shooter-Squad Assignment'!$A:$A,MATCH(C956&amp;"-"&amp;E956&amp;"-"&amp;F956&amp;"-Pos5",'Shooter-Squad Assignment'!$Z:$Z,0)),""),"")))</f>
        <v/>
      </c>
      <c r="P956" s="79" t="str">
        <f>IF(ISBLANK(O956),"",IFERROR(INDEX('Tournament List'!$D:$D,MATCH(O956,'Tournament List'!$A:$A,0)),""))</f>
        <v/>
      </c>
    </row>
    <row r="957" spans="1:16" x14ac:dyDescent="0.3">
      <c r="A957" s="78">
        <v>956</v>
      </c>
      <c r="B957" s="73" t="str">
        <f>C957&amp;"-"&amp;E957&amp;"-"&amp;F957</f>
        <v>-Intermediate 3-Trap</v>
      </c>
      <c r="C957" s="73"/>
      <c r="D957" s="73" t="str">
        <f>INDEX('Tournament Setup'!$B$59:$B$78,MATCH(E957,SquadConcurrents,0))</f>
        <v>Intermediate</v>
      </c>
      <c r="E957" s="73" t="s">
        <v>350</v>
      </c>
      <c r="F957" s="73" t="s">
        <v>147</v>
      </c>
      <c r="G957" s="94" t="str">
        <f>IF(F957="Skeet",IFERROR(INDEX('Shooter-Squad Assignment'!$A:$A,MATCH(C957&amp;"-"&amp;E957&amp;"-"&amp;F957&amp;"-Pos1",'Shooter-Squad Assignment'!$K:$K,0)),""),IF(F957="Trap",IFERROR(INDEX('Shooter-Squad Assignment'!$A:$A,MATCH(C957&amp;"-"&amp;E957&amp;"-"&amp;F957&amp;"-Pos1",'Shooter-Squad Assignment'!$W:$W,0)),""),IF(F957="Sporting Clays",IFERROR(INDEX('Shooter-Squad Assignment'!$A:$A,MATCH(C957&amp;"-"&amp;E957&amp;"-"&amp;F957&amp;"-Pos1",'Shooter-Squad Assignment'!$Z:$Z,0)),""),"")))</f>
        <v/>
      </c>
      <c r="H957" s="73" t="str">
        <f>IF(ISBLANK(G957),"",IFERROR(INDEX('Tournament List'!$D:$D,MATCH(G957,'Tournament List'!$A:$A,0)),""))</f>
        <v/>
      </c>
      <c r="I957" s="94" t="str">
        <f>IF(F957="Skeet",IFERROR(INDEX('Shooter-Squad Assignment'!$A:$A,MATCH(C957&amp;"-"&amp;E957&amp;"-"&amp;F957&amp;"-Pos2",'Shooter-Squad Assignment'!$K:$K,0)),""),IF(F957="Trap",IFERROR(INDEX('Shooter-Squad Assignment'!$A:$A,MATCH(C957&amp;"-"&amp;E957&amp;"-"&amp;F957&amp;"-Pos2",'Shooter-Squad Assignment'!$W:$W,0)),""),IF(F957="Sporting Clays",IFERROR(INDEX('Shooter-Squad Assignment'!$A:$A,MATCH(C957&amp;"-"&amp;E957&amp;"-"&amp;F957&amp;"-Pos2",'Shooter-Squad Assignment'!$Z:$Z,0)),""),"")))</f>
        <v/>
      </c>
      <c r="J957" s="73" t="str">
        <f>IF(ISBLANK(I957),"",IFERROR(INDEX('Tournament List'!$D:$D,MATCH(I957,'Tournament List'!$A:$A,0)),""))</f>
        <v/>
      </c>
      <c r="K957" s="94" t="str">
        <f>IF(F957="Skeet",IFERROR(INDEX('Shooter-Squad Assignment'!$A:$A,MATCH(C957&amp;"-"&amp;E957&amp;"-"&amp;F957&amp;"-Pos3",'Shooter-Squad Assignment'!$K:$K,0)),""),IF(F957="Trap",IFERROR(INDEX('Shooter-Squad Assignment'!$A:$A,MATCH(C957&amp;"-"&amp;E957&amp;"-"&amp;F957&amp;"-Pos3",'Shooter-Squad Assignment'!$W:$W,0)),""),IF(F957="Sporting Clays",IFERROR(INDEX('Shooter-Squad Assignment'!$A:$A,MATCH(C957&amp;"-"&amp;E957&amp;"-"&amp;F957&amp;"-Pos3",'Shooter-Squad Assignment'!$Z:$Z,0)),""),"")))</f>
        <v/>
      </c>
      <c r="L957" s="73" t="str">
        <f>IF(ISBLANK(K957),"",IFERROR(INDEX('Tournament List'!$D:$D,MATCH(K957,'Tournament List'!$A:$A,0)),""))</f>
        <v/>
      </c>
      <c r="M957" s="94" t="str">
        <f>IF(F957="Skeet",IFERROR(INDEX('Shooter-Squad Assignment'!$A:$A,MATCH(C957&amp;"-"&amp;E957&amp;"-"&amp;F957&amp;"-Pos4",'Shooter-Squad Assignment'!$K:$K,0)),""),IF(F957="Trap",IFERROR(INDEX('Shooter-Squad Assignment'!$A:$A,MATCH(C957&amp;"-"&amp;E957&amp;"-"&amp;F957&amp;"-Pos4",'Shooter-Squad Assignment'!$W:$W,0)),""),IF(F957="Sporting Clays",IFERROR(INDEX('Shooter-Squad Assignment'!$A:$A,MATCH(C957&amp;"-"&amp;E957&amp;"-"&amp;F957&amp;"-Pos4",'Shooter-Squad Assignment'!$Z:$Z,0)),""),"")))</f>
        <v/>
      </c>
      <c r="N957" s="73" t="str">
        <f>IF(ISBLANK(M957),"",IFERROR(INDEX('Tournament List'!$D:$D,MATCH(M957,'Tournament List'!$A:$A,0)),""))</f>
        <v/>
      </c>
      <c r="O957" s="94" t="str">
        <f>IF(F957="Skeet",IFERROR(INDEX('Shooter-Squad Assignment'!$A:$A,MATCH(C957&amp;"-"&amp;E957&amp;"-"&amp;F957&amp;"-Pos5",'Shooter-Squad Assignment'!$K:$K,0)),""),IF(F957="Trap",IFERROR(INDEX('Shooter-Squad Assignment'!$A:$A,MATCH(C957&amp;"-"&amp;E957&amp;"-"&amp;F957&amp;"-Pos5",'Shooter-Squad Assignment'!$W:$W,0)),""),IF(F957="Sporting Clays",IFERROR(INDEX('Shooter-Squad Assignment'!$A:$A,MATCH(C957&amp;"-"&amp;E957&amp;"-"&amp;F957&amp;"-Pos5",'Shooter-Squad Assignment'!$Z:$Z,0)),""),"")))</f>
        <v/>
      </c>
      <c r="P957" s="79" t="str">
        <f>IF(ISBLANK(O957),"",IFERROR(INDEX('Tournament List'!$D:$D,MATCH(O957,'Tournament List'!$A:$A,0)),""))</f>
        <v/>
      </c>
    </row>
    <row r="958" spans="1:16" x14ac:dyDescent="0.3">
      <c r="A958" s="78">
        <v>957</v>
      </c>
      <c r="B958" s="73" t="str">
        <f>C958&amp;"-"&amp;E958&amp;"-"&amp;F958</f>
        <v>-Junior Varsity 1-Trap</v>
      </c>
      <c r="C958" s="73"/>
      <c r="D958" s="73" t="str">
        <f>INDEX('Tournament Setup'!$B$59:$B$78,MATCH(E958,SquadConcurrents,0))</f>
        <v>Junior Varsity</v>
      </c>
      <c r="E958" s="73" t="s">
        <v>339</v>
      </c>
      <c r="F958" s="73" t="s">
        <v>147</v>
      </c>
      <c r="G958" s="94" t="str">
        <f>IF(F958="Skeet",IFERROR(INDEX('Shooter-Squad Assignment'!$A:$A,MATCH(C958&amp;"-"&amp;E958&amp;"-"&amp;F958&amp;"-Pos1",'Shooter-Squad Assignment'!$K:$K,0)),""),IF(F958="Trap",IFERROR(INDEX('Shooter-Squad Assignment'!$A:$A,MATCH(C958&amp;"-"&amp;E958&amp;"-"&amp;F958&amp;"-Pos1",'Shooter-Squad Assignment'!$W:$W,0)),""),IF(F958="Sporting Clays",IFERROR(INDEX('Shooter-Squad Assignment'!$A:$A,MATCH(C958&amp;"-"&amp;E958&amp;"-"&amp;F958&amp;"-Pos1",'Shooter-Squad Assignment'!$Z:$Z,0)),""),"")))</f>
        <v/>
      </c>
      <c r="H958" s="73" t="str">
        <f>IF(ISBLANK(G958),"",IFERROR(INDEX('Tournament List'!$D:$D,MATCH(G958,'Tournament List'!$A:$A,0)),""))</f>
        <v/>
      </c>
      <c r="I958" s="94" t="str">
        <f>IF(F958="Skeet",IFERROR(INDEX('Shooter-Squad Assignment'!$A:$A,MATCH(C958&amp;"-"&amp;E958&amp;"-"&amp;F958&amp;"-Pos2",'Shooter-Squad Assignment'!$K:$K,0)),""),IF(F958="Trap",IFERROR(INDEX('Shooter-Squad Assignment'!$A:$A,MATCH(C958&amp;"-"&amp;E958&amp;"-"&amp;F958&amp;"-Pos2",'Shooter-Squad Assignment'!$W:$W,0)),""),IF(F958="Sporting Clays",IFERROR(INDEX('Shooter-Squad Assignment'!$A:$A,MATCH(C958&amp;"-"&amp;E958&amp;"-"&amp;F958&amp;"-Pos2",'Shooter-Squad Assignment'!$Z:$Z,0)),""),"")))</f>
        <v/>
      </c>
      <c r="J958" s="73" t="str">
        <f>IF(ISBLANK(I958),"",IFERROR(INDEX('Tournament List'!$D:$D,MATCH(I958,'Tournament List'!$A:$A,0)),""))</f>
        <v/>
      </c>
      <c r="K958" s="94" t="str">
        <f>IF(F958="Skeet",IFERROR(INDEX('Shooter-Squad Assignment'!$A:$A,MATCH(C958&amp;"-"&amp;E958&amp;"-"&amp;F958&amp;"-Pos3",'Shooter-Squad Assignment'!$K:$K,0)),""),IF(F958="Trap",IFERROR(INDEX('Shooter-Squad Assignment'!$A:$A,MATCH(C958&amp;"-"&amp;E958&amp;"-"&amp;F958&amp;"-Pos3",'Shooter-Squad Assignment'!$W:$W,0)),""),IF(F958="Sporting Clays",IFERROR(INDEX('Shooter-Squad Assignment'!$A:$A,MATCH(C958&amp;"-"&amp;E958&amp;"-"&amp;F958&amp;"-Pos3",'Shooter-Squad Assignment'!$Z:$Z,0)),""),"")))</f>
        <v/>
      </c>
      <c r="L958" s="73" t="str">
        <f>IF(ISBLANK(K958),"",IFERROR(INDEX('Tournament List'!$D:$D,MATCH(K958,'Tournament List'!$A:$A,0)),""))</f>
        <v/>
      </c>
      <c r="M958" s="94" t="str">
        <f>IF(F958="Skeet",IFERROR(INDEX('Shooter-Squad Assignment'!$A:$A,MATCH(C958&amp;"-"&amp;E958&amp;"-"&amp;F958&amp;"-Pos4",'Shooter-Squad Assignment'!$K:$K,0)),""),IF(F958="Trap",IFERROR(INDEX('Shooter-Squad Assignment'!$A:$A,MATCH(C958&amp;"-"&amp;E958&amp;"-"&amp;F958&amp;"-Pos4",'Shooter-Squad Assignment'!$W:$W,0)),""),IF(F958="Sporting Clays",IFERROR(INDEX('Shooter-Squad Assignment'!$A:$A,MATCH(C958&amp;"-"&amp;E958&amp;"-"&amp;F958&amp;"-Pos4",'Shooter-Squad Assignment'!$Z:$Z,0)),""),"")))</f>
        <v/>
      </c>
      <c r="N958" s="73" t="str">
        <f>IF(ISBLANK(M958),"",IFERROR(INDEX('Tournament List'!$D:$D,MATCH(M958,'Tournament List'!$A:$A,0)),""))</f>
        <v/>
      </c>
      <c r="O958" s="94" t="str">
        <f>IF(F958="Skeet",IFERROR(INDEX('Shooter-Squad Assignment'!$A:$A,MATCH(C958&amp;"-"&amp;E958&amp;"-"&amp;F958&amp;"-Pos5",'Shooter-Squad Assignment'!$K:$K,0)),""),IF(F958="Trap",IFERROR(INDEX('Shooter-Squad Assignment'!$A:$A,MATCH(C958&amp;"-"&amp;E958&amp;"-"&amp;F958&amp;"-Pos5",'Shooter-Squad Assignment'!$W:$W,0)),""),IF(F958="Sporting Clays",IFERROR(INDEX('Shooter-Squad Assignment'!$A:$A,MATCH(C958&amp;"-"&amp;E958&amp;"-"&amp;F958&amp;"-Pos5",'Shooter-Squad Assignment'!$Z:$Z,0)),""),"")))</f>
        <v/>
      </c>
      <c r="P958" s="79" t="str">
        <f>IF(ISBLANK(O958),"",IFERROR(INDEX('Tournament List'!$D:$D,MATCH(O958,'Tournament List'!$A:$A,0)),""))</f>
        <v/>
      </c>
    </row>
    <row r="959" spans="1:16" x14ac:dyDescent="0.3">
      <c r="A959" s="78">
        <v>958</v>
      </c>
      <c r="B959" s="73" t="str">
        <f>C959&amp;"-"&amp;E959&amp;"-"&amp;F959</f>
        <v>-Junior Varsity 2-Trap</v>
      </c>
      <c r="C959" s="73"/>
      <c r="D959" s="73" t="str">
        <f>INDEX('Tournament Setup'!$B$59:$B$78,MATCH(E959,SquadConcurrents,0))</f>
        <v>Junior Varsity</v>
      </c>
      <c r="E959" s="73" t="s">
        <v>345</v>
      </c>
      <c r="F959" s="73" t="s">
        <v>147</v>
      </c>
      <c r="G959" s="94" t="str">
        <f>IF(F959="Skeet",IFERROR(INDEX('Shooter-Squad Assignment'!$A:$A,MATCH(C959&amp;"-"&amp;E959&amp;"-"&amp;F959&amp;"-Pos1",'Shooter-Squad Assignment'!$K:$K,0)),""),IF(F959="Trap",IFERROR(INDEX('Shooter-Squad Assignment'!$A:$A,MATCH(C959&amp;"-"&amp;E959&amp;"-"&amp;F959&amp;"-Pos1",'Shooter-Squad Assignment'!$W:$W,0)),""),IF(F959="Sporting Clays",IFERROR(INDEX('Shooter-Squad Assignment'!$A:$A,MATCH(C959&amp;"-"&amp;E959&amp;"-"&amp;F959&amp;"-Pos1",'Shooter-Squad Assignment'!$Z:$Z,0)),""),"")))</f>
        <v/>
      </c>
      <c r="H959" s="73" t="str">
        <f>IF(ISBLANK(G959),"",IFERROR(INDEX('Tournament List'!$D:$D,MATCH(G959,'Tournament List'!$A:$A,0)),""))</f>
        <v/>
      </c>
      <c r="I959" s="94" t="str">
        <f>IF(F959="Skeet",IFERROR(INDEX('Shooter-Squad Assignment'!$A:$A,MATCH(C959&amp;"-"&amp;E959&amp;"-"&amp;F959&amp;"-Pos2",'Shooter-Squad Assignment'!$K:$K,0)),""),IF(F959="Trap",IFERROR(INDEX('Shooter-Squad Assignment'!$A:$A,MATCH(C959&amp;"-"&amp;E959&amp;"-"&amp;F959&amp;"-Pos2",'Shooter-Squad Assignment'!$W:$W,0)),""),IF(F959="Sporting Clays",IFERROR(INDEX('Shooter-Squad Assignment'!$A:$A,MATCH(C959&amp;"-"&amp;E959&amp;"-"&amp;F959&amp;"-Pos2",'Shooter-Squad Assignment'!$Z:$Z,0)),""),"")))</f>
        <v/>
      </c>
      <c r="J959" s="73" t="str">
        <f>IF(ISBLANK(I959),"",IFERROR(INDEX('Tournament List'!$D:$D,MATCH(I959,'Tournament List'!$A:$A,0)),""))</f>
        <v/>
      </c>
      <c r="K959" s="94" t="str">
        <f>IF(F959="Skeet",IFERROR(INDEX('Shooter-Squad Assignment'!$A:$A,MATCH(C959&amp;"-"&amp;E959&amp;"-"&amp;F959&amp;"-Pos3",'Shooter-Squad Assignment'!$K:$K,0)),""),IF(F959="Trap",IFERROR(INDEX('Shooter-Squad Assignment'!$A:$A,MATCH(C959&amp;"-"&amp;E959&amp;"-"&amp;F959&amp;"-Pos3",'Shooter-Squad Assignment'!$W:$W,0)),""),IF(F959="Sporting Clays",IFERROR(INDEX('Shooter-Squad Assignment'!$A:$A,MATCH(C959&amp;"-"&amp;E959&amp;"-"&amp;F959&amp;"-Pos3",'Shooter-Squad Assignment'!$Z:$Z,0)),""),"")))</f>
        <v/>
      </c>
      <c r="L959" s="73" t="str">
        <f>IF(ISBLANK(K959),"",IFERROR(INDEX('Tournament List'!$D:$D,MATCH(K959,'Tournament List'!$A:$A,0)),""))</f>
        <v/>
      </c>
      <c r="M959" s="94" t="str">
        <f>IF(F959="Skeet",IFERROR(INDEX('Shooter-Squad Assignment'!$A:$A,MATCH(C959&amp;"-"&amp;E959&amp;"-"&amp;F959&amp;"-Pos4",'Shooter-Squad Assignment'!$K:$K,0)),""),IF(F959="Trap",IFERROR(INDEX('Shooter-Squad Assignment'!$A:$A,MATCH(C959&amp;"-"&amp;E959&amp;"-"&amp;F959&amp;"-Pos4",'Shooter-Squad Assignment'!$W:$W,0)),""),IF(F959="Sporting Clays",IFERROR(INDEX('Shooter-Squad Assignment'!$A:$A,MATCH(C959&amp;"-"&amp;E959&amp;"-"&amp;F959&amp;"-Pos4",'Shooter-Squad Assignment'!$Z:$Z,0)),""),"")))</f>
        <v/>
      </c>
      <c r="N959" s="73" t="str">
        <f>IF(ISBLANK(M959),"",IFERROR(INDEX('Tournament List'!$D:$D,MATCH(M959,'Tournament List'!$A:$A,0)),""))</f>
        <v/>
      </c>
      <c r="O959" s="94" t="str">
        <f>IF(F959="Skeet",IFERROR(INDEX('Shooter-Squad Assignment'!$A:$A,MATCH(C959&amp;"-"&amp;E959&amp;"-"&amp;F959&amp;"-Pos5",'Shooter-Squad Assignment'!$K:$K,0)),""),IF(F959="Trap",IFERROR(INDEX('Shooter-Squad Assignment'!$A:$A,MATCH(C959&amp;"-"&amp;E959&amp;"-"&amp;F959&amp;"-Pos5",'Shooter-Squad Assignment'!$W:$W,0)),""),IF(F959="Sporting Clays",IFERROR(INDEX('Shooter-Squad Assignment'!$A:$A,MATCH(C959&amp;"-"&amp;E959&amp;"-"&amp;F959&amp;"-Pos5",'Shooter-Squad Assignment'!$Z:$Z,0)),""),"")))</f>
        <v/>
      </c>
      <c r="P959" s="79" t="str">
        <f>IF(ISBLANK(O959),"",IFERROR(INDEX('Tournament List'!$D:$D,MATCH(O959,'Tournament List'!$A:$A,0)),""))</f>
        <v/>
      </c>
    </row>
    <row r="960" spans="1:16" x14ac:dyDescent="0.3">
      <c r="A960" s="78">
        <v>959</v>
      </c>
      <c r="B960" s="73" t="str">
        <f>C960&amp;"-"&amp;E960&amp;"-"&amp;F960</f>
        <v>-Junior Varsity 3-Trap</v>
      </c>
      <c r="C960" s="73"/>
      <c r="D960" s="73" t="str">
        <f>INDEX('Tournament Setup'!$B$59:$B$78,MATCH(E960,SquadConcurrents,0))</f>
        <v>Junior Varsity</v>
      </c>
      <c r="E960" s="73" t="s">
        <v>351</v>
      </c>
      <c r="F960" s="73" t="s">
        <v>147</v>
      </c>
      <c r="G960" s="94" t="str">
        <f>IF(F960="Skeet",IFERROR(INDEX('Shooter-Squad Assignment'!$A:$A,MATCH(C960&amp;"-"&amp;E960&amp;"-"&amp;F960&amp;"-Pos1",'Shooter-Squad Assignment'!$K:$K,0)),""),IF(F960="Trap",IFERROR(INDEX('Shooter-Squad Assignment'!$A:$A,MATCH(C960&amp;"-"&amp;E960&amp;"-"&amp;F960&amp;"-Pos1",'Shooter-Squad Assignment'!$W:$W,0)),""),IF(F960="Sporting Clays",IFERROR(INDEX('Shooter-Squad Assignment'!$A:$A,MATCH(C960&amp;"-"&amp;E960&amp;"-"&amp;F960&amp;"-Pos1",'Shooter-Squad Assignment'!$Z:$Z,0)),""),"")))</f>
        <v/>
      </c>
      <c r="H960" s="73" t="str">
        <f>IF(ISBLANK(G960),"",IFERROR(INDEX('Tournament List'!$D:$D,MATCH(G960,'Tournament List'!$A:$A,0)),""))</f>
        <v/>
      </c>
      <c r="I960" s="94" t="str">
        <f>IF(F960="Skeet",IFERROR(INDEX('Shooter-Squad Assignment'!$A:$A,MATCH(C960&amp;"-"&amp;E960&amp;"-"&amp;F960&amp;"-Pos2",'Shooter-Squad Assignment'!$K:$K,0)),""),IF(F960="Trap",IFERROR(INDEX('Shooter-Squad Assignment'!$A:$A,MATCH(C960&amp;"-"&amp;E960&amp;"-"&amp;F960&amp;"-Pos2",'Shooter-Squad Assignment'!$W:$W,0)),""),IF(F960="Sporting Clays",IFERROR(INDEX('Shooter-Squad Assignment'!$A:$A,MATCH(C960&amp;"-"&amp;E960&amp;"-"&amp;F960&amp;"-Pos2",'Shooter-Squad Assignment'!$Z:$Z,0)),""),"")))</f>
        <v/>
      </c>
      <c r="J960" s="73" t="str">
        <f>IF(ISBLANK(I960),"",IFERROR(INDEX('Tournament List'!$D:$D,MATCH(I960,'Tournament List'!$A:$A,0)),""))</f>
        <v/>
      </c>
      <c r="K960" s="94" t="str">
        <f>IF(F960="Skeet",IFERROR(INDEX('Shooter-Squad Assignment'!$A:$A,MATCH(C960&amp;"-"&amp;E960&amp;"-"&amp;F960&amp;"-Pos3",'Shooter-Squad Assignment'!$K:$K,0)),""),IF(F960="Trap",IFERROR(INDEX('Shooter-Squad Assignment'!$A:$A,MATCH(C960&amp;"-"&amp;E960&amp;"-"&amp;F960&amp;"-Pos3",'Shooter-Squad Assignment'!$W:$W,0)),""),IF(F960="Sporting Clays",IFERROR(INDEX('Shooter-Squad Assignment'!$A:$A,MATCH(C960&amp;"-"&amp;E960&amp;"-"&amp;F960&amp;"-Pos3",'Shooter-Squad Assignment'!$Z:$Z,0)),""),"")))</f>
        <v/>
      </c>
      <c r="L960" s="73" t="str">
        <f>IF(ISBLANK(K960),"",IFERROR(INDEX('Tournament List'!$D:$D,MATCH(K960,'Tournament List'!$A:$A,0)),""))</f>
        <v/>
      </c>
      <c r="M960" s="94" t="str">
        <f>IF(F960="Skeet",IFERROR(INDEX('Shooter-Squad Assignment'!$A:$A,MATCH(C960&amp;"-"&amp;E960&amp;"-"&amp;F960&amp;"-Pos4",'Shooter-Squad Assignment'!$K:$K,0)),""),IF(F960="Trap",IFERROR(INDEX('Shooter-Squad Assignment'!$A:$A,MATCH(C960&amp;"-"&amp;E960&amp;"-"&amp;F960&amp;"-Pos4",'Shooter-Squad Assignment'!$W:$W,0)),""),IF(F960="Sporting Clays",IFERROR(INDEX('Shooter-Squad Assignment'!$A:$A,MATCH(C960&amp;"-"&amp;E960&amp;"-"&amp;F960&amp;"-Pos4",'Shooter-Squad Assignment'!$Z:$Z,0)),""),"")))</f>
        <v/>
      </c>
      <c r="N960" s="73" t="str">
        <f>IF(ISBLANK(M960),"",IFERROR(INDEX('Tournament List'!$D:$D,MATCH(M960,'Tournament List'!$A:$A,0)),""))</f>
        <v/>
      </c>
      <c r="O960" s="94" t="str">
        <f>IF(F960="Skeet",IFERROR(INDEX('Shooter-Squad Assignment'!$A:$A,MATCH(C960&amp;"-"&amp;E960&amp;"-"&amp;F960&amp;"-Pos5",'Shooter-Squad Assignment'!$K:$K,0)),""),IF(F960="Trap",IFERROR(INDEX('Shooter-Squad Assignment'!$A:$A,MATCH(C960&amp;"-"&amp;E960&amp;"-"&amp;F960&amp;"-Pos5",'Shooter-Squad Assignment'!$W:$W,0)),""),IF(F960="Sporting Clays",IFERROR(INDEX('Shooter-Squad Assignment'!$A:$A,MATCH(C960&amp;"-"&amp;E960&amp;"-"&amp;F960&amp;"-Pos5",'Shooter-Squad Assignment'!$Z:$Z,0)),""),"")))</f>
        <v/>
      </c>
      <c r="P960" s="79" t="str">
        <f>IF(ISBLANK(O960),"",IFERROR(INDEX('Tournament List'!$D:$D,MATCH(O960,'Tournament List'!$A:$A,0)),""))</f>
        <v/>
      </c>
    </row>
    <row r="961" spans="1:16" x14ac:dyDescent="0.3">
      <c r="A961" s="78">
        <v>960</v>
      </c>
      <c r="B961" s="73" t="str">
        <f>C961&amp;"-"&amp;E961&amp;"-"&amp;F961</f>
        <v>-Novice 1-Trap</v>
      </c>
      <c r="C961" s="73"/>
      <c r="D961" s="73" t="str">
        <f>INDEX('Tournament Setup'!$B$59:$B$78,MATCH(E961,SquadConcurrents,0))</f>
        <v>Novice</v>
      </c>
      <c r="E961" s="73" t="s">
        <v>337</v>
      </c>
      <c r="F961" s="73" t="s">
        <v>147</v>
      </c>
      <c r="G961" s="94" t="str">
        <f>IF(F961="Skeet",IFERROR(INDEX('Shooter-Squad Assignment'!$A:$A,MATCH(C961&amp;"-"&amp;E961&amp;"-"&amp;F961&amp;"-Pos1",'Shooter-Squad Assignment'!$K:$K,0)),""),IF(F961="Trap",IFERROR(INDEX('Shooter-Squad Assignment'!$A:$A,MATCH(C961&amp;"-"&amp;E961&amp;"-"&amp;F961&amp;"-Pos1",'Shooter-Squad Assignment'!$W:$W,0)),""),IF(F961="Sporting Clays",IFERROR(INDEX('Shooter-Squad Assignment'!$A:$A,MATCH(C961&amp;"-"&amp;E961&amp;"-"&amp;F961&amp;"-Pos1",'Shooter-Squad Assignment'!$Z:$Z,0)),""),"")))</f>
        <v/>
      </c>
      <c r="H961" s="73" t="str">
        <f>IF(ISBLANK(G961),"",IFERROR(INDEX('Tournament List'!$D:$D,MATCH(G961,'Tournament List'!$A:$A,0)),""))</f>
        <v/>
      </c>
      <c r="I961" s="94" t="str">
        <f>IF(F961="Skeet",IFERROR(INDEX('Shooter-Squad Assignment'!$A:$A,MATCH(C961&amp;"-"&amp;E961&amp;"-"&amp;F961&amp;"-Pos2",'Shooter-Squad Assignment'!$K:$K,0)),""),IF(F961="Trap",IFERROR(INDEX('Shooter-Squad Assignment'!$A:$A,MATCH(C961&amp;"-"&amp;E961&amp;"-"&amp;F961&amp;"-Pos2",'Shooter-Squad Assignment'!$W:$W,0)),""),IF(F961="Sporting Clays",IFERROR(INDEX('Shooter-Squad Assignment'!$A:$A,MATCH(C961&amp;"-"&amp;E961&amp;"-"&amp;F961&amp;"-Pos2",'Shooter-Squad Assignment'!$Z:$Z,0)),""),"")))</f>
        <v/>
      </c>
      <c r="J961" s="73" t="str">
        <f>IF(ISBLANK(I961),"",IFERROR(INDEX('Tournament List'!$D:$D,MATCH(I961,'Tournament List'!$A:$A,0)),""))</f>
        <v/>
      </c>
      <c r="K961" s="94" t="str">
        <f>IF(F961="Skeet",IFERROR(INDEX('Shooter-Squad Assignment'!$A:$A,MATCH(C961&amp;"-"&amp;E961&amp;"-"&amp;F961&amp;"-Pos3",'Shooter-Squad Assignment'!$K:$K,0)),""),IF(F961="Trap",IFERROR(INDEX('Shooter-Squad Assignment'!$A:$A,MATCH(C961&amp;"-"&amp;E961&amp;"-"&amp;F961&amp;"-Pos3",'Shooter-Squad Assignment'!$W:$W,0)),""),IF(F961="Sporting Clays",IFERROR(INDEX('Shooter-Squad Assignment'!$A:$A,MATCH(C961&amp;"-"&amp;E961&amp;"-"&amp;F961&amp;"-Pos3",'Shooter-Squad Assignment'!$Z:$Z,0)),""),"")))</f>
        <v/>
      </c>
      <c r="L961" s="73" t="str">
        <f>IF(ISBLANK(K961),"",IFERROR(INDEX('Tournament List'!$D:$D,MATCH(K961,'Tournament List'!$A:$A,0)),""))</f>
        <v/>
      </c>
      <c r="M961" s="94" t="str">
        <f>IF(F961="Skeet",IFERROR(INDEX('Shooter-Squad Assignment'!$A:$A,MATCH(C961&amp;"-"&amp;E961&amp;"-"&amp;F961&amp;"-Pos4",'Shooter-Squad Assignment'!$K:$K,0)),""),IF(F961="Trap",IFERROR(INDEX('Shooter-Squad Assignment'!$A:$A,MATCH(C961&amp;"-"&amp;E961&amp;"-"&amp;F961&amp;"-Pos4",'Shooter-Squad Assignment'!$W:$W,0)),""),IF(F961="Sporting Clays",IFERROR(INDEX('Shooter-Squad Assignment'!$A:$A,MATCH(C961&amp;"-"&amp;E961&amp;"-"&amp;F961&amp;"-Pos4",'Shooter-Squad Assignment'!$Z:$Z,0)),""),"")))</f>
        <v/>
      </c>
      <c r="N961" s="73" t="str">
        <f>IF(ISBLANK(M961),"",IFERROR(INDEX('Tournament List'!$D:$D,MATCH(M961,'Tournament List'!$A:$A,0)),""))</f>
        <v/>
      </c>
      <c r="O961" s="94" t="str">
        <f>IF(F961="Skeet",IFERROR(INDEX('Shooter-Squad Assignment'!$A:$A,MATCH(C961&amp;"-"&amp;E961&amp;"-"&amp;F961&amp;"-Pos5",'Shooter-Squad Assignment'!$K:$K,0)),""),IF(F961="Trap",IFERROR(INDEX('Shooter-Squad Assignment'!$A:$A,MATCH(C961&amp;"-"&amp;E961&amp;"-"&amp;F961&amp;"-Pos5",'Shooter-Squad Assignment'!$W:$W,0)),""),IF(F961="Sporting Clays",IFERROR(INDEX('Shooter-Squad Assignment'!$A:$A,MATCH(C961&amp;"-"&amp;E961&amp;"-"&amp;F961&amp;"-Pos5",'Shooter-Squad Assignment'!$Z:$Z,0)),""),"")))</f>
        <v/>
      </c>
      <c r="P961" s="79" t="str">
        <f>IF(ISBLANK(O961),"",IFERROR(INDEX('Tournament List'!$D:$D,MATCH(O961,'Tournament List'!$A:$A,0)),""))</f>
        <v/>
      </c>
    </row>
    <row r="962" spans="1:16" x14ac:dyDescent="0.3">
      <c r="A962" s="78">
        <v>961</v>
      </c>
      <c r="B962" s="73" t="str">
        <f>C962&amp;"-"&amp;E962&amp;"-"&amp;F962</f>
        <v>-Novice 2-Trap</v>
      </c>
      <c r="C962" s="73"/>
      <c r="D962" s="73" t="str">
        <f>INDEX('Tournament Setup'!$B$59:$B$78,MATCH(E962,SquadConcurrents,0))</f>
        <v>Novice</v>
      </c>
      <c r="E962" s="73" t="s">
        <v>343</v>
      </c>
      <c r="F962" s="73" t="s">
        <v>147</v>
      </c>
      <c r="G962" s="94" t="str">
        <f>IF(F962="Skeet",IFERROR(INDEX('Shooter-Squad Assignment'!$A:$A,MATCH(C962&amp;"-"&amp;E962&amp;"-"&amp;F962&amp;"-Pos1",'Shooter-Squad Assignment'!$K:$K,0)),""),IF(F962="Trap",IFERROR(INDEX('Shooter-Squad Assignment'!$A:$A,MATCH(C962&amp;"-"&amp;E962&amp;"-"&amp;F962&amp;"-Pos1",'Shooter-Squad Assignment'!$W:$W,0)),""),IF(F962="Sporting Clays",IFERROR(INDEX('Shooter-Squad Assignment'!$A:$A,MATCH(C962&amp;"-"&amp;E962&amp;"-"&amp;F962&amp;"-Pos1",'Shooter-Squad Assignment'!$Z:$Z,0)),""),"")))</f>
        <v/>
      </c>
      <c r="H962" s="73" t="str">
        <f>IF(ISBLANK(G962),"",IFERROR(INDEX('Tournament List'!$D:$D,MATCH(G962,'Tournament List'!$A:$A,0)),""))</f>
        <v/>
      </c>
      <c r="I962" s="94" t="str">
        <f>IF(F962="Skeet",IFERROR(INDEX('Shooter-Squad Assignment'!$A:$A,MATCH(C962&amp;"-"&amp;E962&amp;"-"&amp;F962&amp;"-Pos2",'Shooter-Squad Assignment'!$K:$K,0)),""),IF(F962="Trap",IFERROR(INDEX('Shooter-Squad Assignment'!$A:$A,MATCH(C962&amp;"-"&amp;E962&amp;"-"&amp;F962&amp;"-Pos2",'Shooter-Squad Assignment'!$W:$W,0)),""),IF(F962="Sporting Clays",IFERROR(INDEX('Shooter-Squad Assignment'!$A:$A,MATCH(C962&amp;"-"&amp;E962&amp;"-"&amp;F962&amp;"-Pos2",'Shooter-Squad Assignment'!$Z:$Z,0)),""),"")))</f>
        <v/>
      </c>
      <c r="J962" s="73" t="str">
        <f>IF(ISBLANK(I962),"",IFERROR(INDEX('Tournament List'!$D:$D,MATCH(I962,'Tournament List'!$A:$A,0)),""))</f>
        <v/>
      </c>
      <c r="K962" s="94" t="str">
        <f>IF(F962="Skeet",IFERROR(INDEX('Shooter-Squad Assignment'!$A:$A,MATCH(C962&amp;"-"&amp;E962&amp;"-"&amp;F962&amp;"-Pos3",'Shooter-Squad Assignment'!$K:$K,0)),""),IF(F962="Trap",IFERROR(INDEX('Shooter-Squad Assignment'!$A:$A,MATCH(C962&amp;"-"&amp;E962&amp;"-"&amp;F962&amp;"-Pos3",'Shooter-Squad Assignment'!$W:$W,0)),""),IF(F962="Sporting Clays",IFERROR(INDEX('Shooter-Squad Assignment'!$A:$A,MATCH(C962&amp;"-"&amp;E962&amp;"-"&amp;F962&amp;"-Pos3",'Shooter-Squad Assignment'!$Z:$Z,0)),""),"")))</f>
        <v/>
      </c>
      <c r="L962" s="73" t="str">
        <f>IF(ISBLANK(K962),"",IFERROR(INDEX('Tournament List'!$D:$D,MATCH(K962,'Tournament List'!$A:$A,0)),""))</f>
        <v/>
      </c>
      <c r="M962" s="94" t="str">
        <f>IF(F962="Skeet",IFERROR(INDEX('Shooter-Squad Assignment'!$A:$A,MATCH(C962&amp;"-"&amp;E962&amp;"-"&amp;F962&amp;"-Pos4",'Shooter-Squad Assignment'!$K:$K,0)),""),IF(F962="Trap",IFERROR(INDEX('Shooter-Squad Assignment'!$A:$A,MATCH(C962&amp;"-"&amp;E962&amp;"-"&amp;F962&amp;"-Pos4",'Shooter-Squad Assignment'!$W:$W,0)),""),IF(F962="Sporting Clays",IFERROR(INDEX('Shooter-Squad Assignment'!$A:$A,MATCH(C962&amp;"-"&amp;E962&amp;"-"&amp;F962&amp;"-Pos4",'Shooter-Squad Assignment'!$Z:$Z,0)),""),"")))</f>
        <v/>
      </c>
      <c r="N962" s="73" t="str">
        <f>IF(ISBLANK(M962),"",IFERROR(INDEX('Tournament List'!$D:$D,MATCH(M962,'Tournament List'!$A:$A,0)),""))</f>
        <v/>
      </c>
      <c r="O962" s="94" t="str">
        <f>IF(F962="Skeet",IFERROR(INDEX('Shooter-Squad Assignment'!$A:$A,MATCH(C962&amp;"-"&amp;E962&amp;"-"&amp;F962&amp;"-Pos5",'Shooter-Squad Assignment'!$K:$K,0)),""),IF(F962="Trap",IFERROR(INDEX('Shooter-Squad Assignment'!$A:$A,MATCH(C962&amp;"-"&amp;E962&amp;"-"&amp;F962&amp;"-Pos5",'Shooter-Squad Assignment'!$W:$W,0)),""),IF(F962="Sporting Clays",IFERROR(INDEX('Shooter-Squad Assignment'!$A:$A,MATCH(C962&amp;"-"&amp;E962&amp;"-"&amp;F962&amp;"-Pos5",'Shooter-Squad Assignment'!$Z:$Z,0)),""),"")))</f>
        <v/>
      </c>
      <c r="P962" s="79" t="str">
        <f>IF(ISBLANK(O962),"",IFERROR(INDEX('Tournament List'!$D:$D,MATCH(O962,'Tournament List'!$A:$A,0)),""))</f>
        <v/>
      </c>
    </row>
    <row r="963" spans="1:16" x14ac:dyDescent="0.3">
      <c r="A963" s="78">
        <v>962</v>
      </c>
      <c r="B963" s="73" t="str">
        <f>C963&amp;"-"&amp;E963&amp;"-"&amp;F963</f>
        <v>-Novice 3-Trap</v>
      </c>
      <c r="C963" s="73"/>
      <c r="D963" s="73" t="str">
        <f>INDEX('Tournament Setup'!$B$59:$B$78,MATCH(E963,SquadConcurrents,0))</f>
        <v>Novice</v>
      </c>
      <c r="E963" s="73" t="s">
        <v>349</v>
      </c>
      <c r="F963" s="73" t="s">
        <v>147</v>
      </c>
      <c r="G963" s="94" t="str">
        <f>IF(F963="Skeet",IFERROR(INDEX('Shooter-Squad Assignment'!$A:$A,MATCH(C963&amp;"-"&amp;E963&amp;"-"&amp;F963&amp;"-Pos1",'Shooter-Squad Assignment'!$K:$K,0)),""),IF(F963="Trap",IFERROR(INDEX('Shooter-Squad Assignment'!$A:$A,MATCH(C963&amp;"-"&amp;E963&amp;"-"&amp;F963&amp;"-Pos1",'Shooter-Squad Assignment'!$W:$W,0)),""),IF(F963="Sporting Clays",IFERROR(INDEX('Shooter-Squad Assignment'!$A:$A,MATCH(C963&amp;"-"&amp;E963&amp;"-"&amp;F963&amp;"-Pos1",'Shooter-Squad Assignment'!$Z:$Z,0)),""),"")))</f>
        <v/>
      </c>
      <c r="H963" s="73" t="str">
        <f>IF(ISBLANK(G963),"",IFERROR(INDEX('Tournament List'!$D:$D,MATCH(G963,'Tournament List'!$A:$A,0)),""))</f>
        <v/>
      </c>
      <c r="I963" s="94" t="str">
        <f>IF(F963="Skeet",IFERROR(INDEX('Shooter-Squad Assignment'!$A:$A,MATCH(C963&amp;"-"&amp;E963&amp;"-"&amp;F963&amp;"-Pos2",'Shooter-Squad Assignment'!$K:$K,0)),""),IF(F963="Trap",IFERROR(INDEX('Shooter-Squad Assignment'!$A:$A,MATCH(C963&amp;"-"&amp;E963&amp;"-"&amp;F963&amp;"-Pos2",'Shooter-Squad Assignment'!$W:$W,0)),""),IF(F963="Sporting Clays",IFERROR(INDEX('Shooter-Squad Assignment'!$A:$A,MATCH(C963&amp;"-"&amp;E963&amp;"-"&amp;F963&amp;"-Pos2",'Shooter-Squad Assignment'!$Z:$Z,0)),""),"")))</f>
        <v/>
      </c>
      <c r="J963" s="73" t="str">
        <f>IF(ISBLANK(I963),"",IFERROR(INDEX('Tournament List'!$D:$D,MATCH(I963,'Tournament List'!$A:$A,0)),""))</f>
        <v/>
      </c>
      <c r="K963" s="94" t="str">
        <f>IF(F963="Skeet",IFERROR(INDEX('Shooter-Squad Assignment'!$A:$A,MATCH(C963&amp;"-"&amp;E963&amp;"-"&amp;F963&amp;"-Pos3",'Shooter-Squad Assignment'!$K:$K,0)),""),IF(F963="Trap",IFERROR(INDEX('Shooter-Squad Assignment'!$A:$A,MATCH(C963&amp;"-"&amp;E963&amp;"-"&amp;F963&amp;"-Pos3",'Shooter-Squad Assignment'!$W:$W,0)),""),IF(F963="Sporting Clays",IFERROR(INDEX('Shooter-Squad Assignment'!$A:$A,MATCH(C963&amp;"-"&amp;E963&amp;"-"&amp;F963&amp;"-Pos3",'Shooter-Squad Assignment'!$Z:$Z,0)),""),"")))</f>
        <v/>
      </c>
      <c r="L963" s="73" t="str">
        <f>IF(ISBLANK(K963),"",IFERROR(INDEX('Tournament List'!$D:$D,MATCH(K963,'Tournament List'!$A:$A,0)),""))</f>
        <v/>
      </c>
      <c r="M963" s="94" t="str">
        <f>IF(F963="Skeet",IFERROR(INDEX('Shooter-Squad Assignment'!$A:$A,MATCH(C963&amp;"-"&amp;E963&amp;"-"&amp;F963&amp;"-Pos4",'Shooter-Squad Assignment'!$K:$K,0)),""),IF(F963="Trap",IFERROR(INDEX('Shooter-Squad Assignment'!$A:$A,MATCH(C963&amp;"-"&amp;E963&amp;"-"&amp;F963&amp;"-Pos4",'Shooter-Squad Assignment'!$W:$W,0)),""),IF(F963="Sporting Clays",IFERROR(INDEX('Shooter-Squad Assignment'!$A:$A,MATCH(C963&amp;"-"&amp;E963&amp;"-"&amp;F963&amp;"-Pos4",'Shooter-Squad Assignment'!$Z:$Z,0)),""),"")))</f>
        <v/>
      </c>
      <c r="N963" s="73" t="str">
        <f>IF(ISBLANK(M963),"",IFERROR(INDEX('Tournament List'!$D:$D,MATCH(M963,'Tournament List'!$A:$A,0)),""))</f>
        <v/>
      </c>
      <c r="O963" s="94" t="str">
        <f>IF(F963="Skeet",IFERROR(INDEX('Shooter-Squad Assignment'!$A:$A,MATCH(C963&amp;"-"&amp;E963&amp;"-"&amp;F963&amp;"-Pos5",'Shooter-Squad Assignment'!$K:$K,0)),""),IF(F963="Trap",IFERROR(INDEX('Shooter-Squad Assignment'!$A:$A,MATCH(C963&amp;"-"&amp;E963&amp;"-"&amp;F963&amp;"-Pos5",'Shooter-Squad Assignment'!$W:$W,0)),""),IF(F963="Sporting Clays",IFERROR(INDEX('Shooter-Squad Assignment'!$A:$A,MATCH(C963&amp;"-"&amp;E963&amp;"-"&amp;F963&amp;"-Pos5",'Shooter-Squad Assignment'!$Z:$Z,0)),""),"")))</f>
        <v/>
      </c>
      <c r="P963" s="79" t="str">
        <f>IF(ISBLANK(O963),"",IFERROR(INDEX('Tournament List'!$D:$D,MATCH(O963,'Tournament List'!$A:$A,0)),""))</f>
        <v/>
      </c>
    </row>
    <row r="964" spans="1:16" x14ac:dyDescent="0.3">
      <c r="A964" s="78">
        <v>963</v>
      </c>
      <c r="B964" s="73" t="str">
        <f>C964&amp;"-"&amp;E964&amp;"-"&amp;F964</f>
        <v>-Open 1-Trap</v>
      </c>
      <c r="C964" s="73"/>
      <c r="D964" s="73" t="str">
        <f>INDEX('Tournament Setup'!$B$59:$B$78,MATCH(E964,SquadConcurrents,0))</f>
        <v>Open</v>
      </c>
      <c r="E964" s="73" t="s">
        <v>341</v>
      </c>
      <c r="F964" s="73" t="s">
        <v>147</v>
      </c>
      <c r="G964" s="94" t="str">
        <f>IF(F964="Skeet",IFERROR(INDEX('Shooter-Squad Assignment'!$A:$A,MATCH(C964&amp;"-"&amp;E964&amp;"-"&amp;F964&amp;"-Pos1",'Shooter-Squad Assignment'!$K:$K,0)),""),IF(F964="Trap",IFERROR(INDEX('Shooter-Squad Assignment'!$A:$A,MATCH(C964&amp;"-"&amp;E964&amp;"-"&amp;F964&amp;"-Pos1",'Shooter-Squad Assignment'!$W:$W,0)),""),IF(F964="Sporting Clays",IFERROR(INDEX('Shooter-Squad Assignment'!$A:$A,MATCH(C964&amp;"-"&amp;E964&amp;"-"&amp;F964&amp;"-Pos1",'Shooter-Squad Assignment'!$Z:$Z,0)),""),"")))</f>
        <v/>
      </c>
      <c r="H964" s="73" t="str">
        <f>IF(ISBLANK(G964),"",IFERROR(INDEX('Tournament List'!$D:$D,MATCH(G964,'Tournament List'!$A:$A,0)),""))</f>
        <v/>
      </c>
      <c r="I964" s="94" t="str">
        <f>IF(F964="Skeet",IFERROR(INDEX('Shooter-Squad Assignment'!$A:$A,MATCH(C964&amp;"-"&amp;E964&amp;"-"&amp;F964&amp;"-Pos2",'Shooter-Squad Assignment'!$K:$K,0)),""),IF(F964="Trap",IFERROR(INDEX('Shooter-Squad Assignment'!$A:$A,MATCH(C964&amp;"-"&amp;E964&amp;"-"&amp;F964&amp;"-Pos2",'Shooter-Squad Assignment'!$W:$W,0)),""),IF(F964="Sporting Clays",IFERROR(INDEX('Shooter-Squad Assignment'!$A:$A,MATCH(C964&amp;"-"&amp;E964&amp;"-"&amp;F964&amp;"-Pos2",'Shooter-Squad Assignment'!$Z:$Z,0)),""),"")))</f>
        <v/>
      </c>
      <c r="J964" s="73" t="str">
        <f>IF(ISBLANK(I964),"",IFERROR(INDEX('Tournament List'!$D:$D,MATCH(I964,'Tournament List'!$A:$A,0)),""))</f>
        <v/>
      </c>
      <c r="K964" s="94" t="str">
        <f>IF(F964="Skeet",IFERROR(INDEX('Shooter-Squad Assignment'!$A:$A,MATCH(C964&amp;"-"&amp;E964&amp;"-"&amp;F964&amp;"-Pos3",'Shooter-Squad Assignment'!$K:$K,0)),""),IF(F964="Trap",IFERROR(INDEX('Shooter-Squad Assignment'!$A:$A,MATCH(C964&amp;"-"&amp;E964&amp;"-"&amp;F964&amp;"-Pos3",'Shooter-Squad Assignment'!$W:$W,0)),""),IF(F964="Sporting Clays",IFERROR(INDEX('Shooter-Squad Assignment'!$A:$A,MATCH(C964&amp;"-"&amp;E964&amp;"-"&amp;F964&amp;"-Pos3",'Shooter-Squad Assignment'!$Z:$Z,0)),""),"")))</f>
        <v/>
      </c>
      <c r="L964" s="73" t="str">
        <f>IF(ISBLANK(K964),"",IFERROR(INDEX('Tournament List'!$D:$D,MATCH(K964,'Tournament List'!$A:$A,0)),""))</f>
        <v/>
      </c>
      <c r="M964" s="94" t="str">
        <f>IF(F964="Skeet",IFERROR(INDEX('Shooter-Squad Assignment'!$A:$A,MATCH(C964&amp;"-"&amp;E964&amp;"-"&amp;F964&amp;"-Pos4",'Shooter-Squad Assignment'!$K:$K,0)),""),IF(F964="Trap",IFERROR(INDEX('Shooter-Squad Assignment'!$A:$A,MATCH(C964&amp;"-"&amp;E964&amp;"-"&amp;F964&amp;"-Pos4",'Shooter-Squad Assignment'!$W:$W,0)),""),IF(F964="Sporting Clays",IFERROR(INDEX('Shooter-Squad Assignment'!$A:$A,MATCH(C964&amp;"-"&amp;E964&amp;"-"&amp;F964&amp;"-Pos4",'Shooter-Squad Assignment'!$Z:$Z,0)),""),"")))</f>
        <v/>
      </c>
      <c r="N964" s="73" t="str">
        <f>IF(ISBLANK(M964),"",IFERROR(INDEX('Tournament List'!$D:$D,MATCH(M964,'Tournament List'!$A:$A,0)),""))</f>
        <v/>
      </c>
      <c r="O964" s="94" t="str">
        <f>IF(F964="Skeet",IFERROR(INDEX('Shooter-Squad Assignment'!$A:$A,MATCH(C964&amp;"-"&amp;E964&amp;"-"&amp;F964&amp;"-Pos5",'Shooter-Squad Assignment'!$K:$K,0)),""),IF(F964="Trap",IFERROR(INDEX('Shooter-Squad Assignment'!$A:$A,MATCH(C964&amp;"-"&amp;E964&amp;"-"&amp;F964&amp;"-Pos5",'Shooter-Squad Assignment'!$W:$W,0)),""),IF(F964="Sporting Clays",IFERROR(INDEX('Shooter-Squad Assignment'!$A:$A,MATCH(C964&amp;"-"&amp;E964&amp;"-"&amp;F964&amp;"-Pos5",'Shooter-Squad Assignment'!$Z:$Z,0)),""),"")))</f>
        <v/>
      </c>
      <c r="P964" s="79" t="str">
        <f>IF(ISBLANK(O964),"",IFERROR(INDEX('Tournament List'!$D:$D,MATCH(O964,'Tournament List'!$A:$A,0)),""))</f>
        <v/>
      </c>
    </row>
    <row r="965" spans="1:16" x14ac:dyDescent="0.3">
      <c r="A965" s="78">
        <v>964</v>
      </c>
      <c r="B965" s="73" t="str">
        <f>C965&amp;"-"&amp;E965&amp;"-"&amp;F965</f>
        <v>-Open 2-Trap</v>
      </c>
      <c r="C965" s="73"/>
      <c r="D965" s="73" t="str">
        <f>INDEX('Tournament Setup'!$B$59:$B$78,MATCH(E965,SquadConcurrents,0))</f>
        <v>Open</v>
      </c>
      <c r="E965" s="73" t="s">
        <v>347</v>
      </c>
      <c r="F965" s="73" t="s">
        <v>147</v>
      </c>
      <c r="G965" s="94" t="str">
        <f>IF(F965="Skeet",IFERROR(INDEX('Shooter-Squad Assignment'!$A:$A,MATCH(C965&amp;"-"&amp;E965&amp;"-"&amp;F965&amp;"-Pos1",'Shooter-Squad Assignment'!$K:$K,0)),""),IF(F965="Trap",IFERROR(INDEX('Shooter-Squad Assignment'!$A:$A,MATCH(C965&amp;"-"&amp;E965&amp;"-"&amp;F965&amp;"-Pos1",'Shooter-Squad Assignment'!$W:$W,0)),""),IF(F965="Sporting Clays",IFERROR(INDEX('Shooter-Squad Assignment'!$A:$A,MATCH(C965&amp;"-"&amp;E965&amp;"-"&amp;F965&amp;"-Pos1",'Shooter-Squad Assignment'!$Z:$Z,0)),""),"")))</f>
        <v/>
      </c>
      <c r="H965" s="73" t="str">
        <f>IF(ISBLANK(G965),"",IFERROR(INDEX('Tournament List'!$D:$D,MATCH(G965,'Tournament List'!$A:$A,0)),""))</f>
        <v/>
      </c>
      <c r="I965" s="94" t="str">
        <f>IF(F965="Skeet",IFERROR(INDEX('Shooter-Squad Assignment'!$A:$A,MATCH(C965&amp;"-"&amp;E965&amp;"-"&amp;F965&amp;"-Pos2",'Shooter-Squad Assignment'!$K:$K,0)),""),IF(F965="Trap",IFERROR(INDEX('Shooter-Squad Assignment'!$A:$A,MATCH(C965&amp;"-"&amp;E965&amp;"-"&amp;F965&amp;"-Pos2",'Shooter-Squad Assignment'!$W:$W,0)),""),IF(F965="Sporting Clays",IFERROR(INDEX('Shooter-Squad Assignment'!$A:$A,MATCH(C965&amp;"-"&amp;E965&amp;"-"&amp;F965&amp;"-Pos2",'Shooter-Squad Assignment'!$Z:$Z,0)),""),"")))</f>
        <v/>
      </c>
      <c r="J965" s="73" t="str">
        <f>IF(ISBLANK(I965),"",IFERROR(INDEX('Tournament List'!$D:$D,MATCH(I965,'Tournament List'!$A:$A,0)),""))</f>
        <v/>
      </c>
      <c r="K965" s="94" t="str">
        <f>IF(F965="Skeet",IFERROR(INDEX('Shooter-Squad Assignment'!$A:$A,MATCH(C965&amp;"-"&amp;E965&amp;"-"&amp;F965&amp;"-Pos3",'Shooter-Squad Assignment'!$K:$K,0)),""),IF(F965="Trap",IFERROR(INDEX('Shooter-Squad Assignment'!$A:$A,MATCH(C965&amp;"-"&amp;E965&amp;"-"&amp;F965&amp;"-Pos3",'Shooter-Squad Assignment'!$W:$W,0)),""),IF(F965="Sporting Clays",IFERROR(INDEX('Shooter-Squad Assignment'!$A:$A,MATCH(C965&amp;"-"&amp;E965&amp;"-"&amp;F965&amp;"-Pos3",'Shooter-Squad Assignment'!$Z:$Z,0)),""),"")))</f>
        <v/>
      </c>
      <c r="L965" s="73" t="str">
        <f>IF(ISBLANK(K965),"",IFERROR(INDEX('Tournament List'!$D:$D,MATCH(K965,'Tournament List'!$A:$A,0)),""))</f>
        <v/>
      </c>
      <c r="M965" s="94" t="str">
        <f>IF(F965="Skeet",IFERROR(INDEX('Shooter-Squad Assignment'!$A:$A,MATCH(C965&amp;"-"&amp;E965&amp;"-"&amp;F965&amp;"-Pos4",'Shooter-Squad Assignment'!$K:$K,0)),""),IF(F965="Trap",IFERROR(INDEX('Shooter-Squad Assignment'!$A:$A,MATCH(C965&amp;"-"&amp;E965&amp;"-"&amp;F965&amp;"-Pos4",'Shooter-Squad Assignment'!$W:$W,0)),""),IF(F965="Sporting Clays",IFERROR(INDEX('Shooter-Squad Assignment'!$A:$A,MATCH(C965&amp;"-"&amp;E965&amp;"-"&amp;F965&amp;"-Pos4",'Shooter-Squad Assignment'!$Z:$Z,0)),""),"")))</f>
        <v/>
      </c>
      <c r="N965" s="73" t="str">
        <f>IF(ISBLANK(M965),"",IFERROR(INDEX('Tournament List'!$D:$D,MATCH(M965,'Tournament List'!$A:$A,0)),""))</f>
        <v/>
      </c>
      <c r="O965" s="94" t="str">
        <f>IF(F965="Skeet",IFERROR(INDEX('Shooter-Squad Assignment'!$A:$A,MATCH(C965&amp;"-"&amp;E965&amp;"-"&amp;F965&amp;"-Pos5",'Shooter-Squad Assignment'!$K:$K,0)),""),IF(F965="Trap",IFERROR(INDEX('Shooter-Squad Assignment'!$A:$A,MATCH(C965&amp;"-"&amp;E965&amp;"-"&amp;F965&amp;"-Pos5",'Shooter-Squad Assignment'!$W:$W,0)),""),IF(F965="Sporting Clays",IFERROR(INDEX('Shooter-Squad Assignment'!$A:$A,MATCH(C965&amp;"-"&amp;E965&amp;"-"&amp;F965&amp;"-Pos5",'Shooter-Squad Assignment'!$Z:$Z,0)),""),"")))</f>
        <v/>
      </c>
      <c r="P965" s="79" t="str">
        <f>IF(ISBLANK(O965),"",IFERROR(INDEX('Tournament List'!$D:$D,MATCH(O965,'Tournament List'!$A:$A,0)),""))</f>
        <v/>
      </c>
    </row>
    <row r="966" spans="1:16" x14ac:dyDescent="0.3">
      <c r="A966" s="78">
        <v>965</v>
      </c>
      <c r="B966" s="73" t="str">
        <f>C966&amp;"-"&amp;E966&amp;"-"&amp;F966</f>
        <v>-Open 3-Trap</v>
      </c>
      <c r="C966" s="73"/>
      <c r="D966" s="73" t="str">
        <f>INDEX('Tournament Setup'!$B$59:$B$78,MATCH(E966,SquadConcurrents,0))</f>
        <v>Open</v>
      </c>
      <c r="E966" s="73" t="s">
        <v>353</v>
      </c>
      <c r="F966" s="73" t="s">
        <v>147</v>
      </c>
      <c r="G966" s="94" t="str">
        <f>IF(F966="Skeet",IFERROR(INDEX('Shooter-Squad Assignment'!$A:$A,MATCH(C966&amp;"-"&amp;E966&amp;"-"&amp;F966&amp;"-Pos1",'Shooter-Squad Assignment'!$K:$K,0)),""),IF(F966="Trap",IFERROR(INDEX('Shooter-Squad Assignment'!$A:$A,MATCH(C966&amp;"-"&amp;E966&amp;"-"&amp;F966&amp;"-Pos1",'Shooter-Squad Assignment'!$W:$W,0)),""),IF(F966="Sporting Clays",IFERROR(INDEX('Shooter-Squad Assignment'!$A:$A,MATCH(C966&amp;"-"&amp;E966&amp;"-"&amp;F966&amp;"-Pos1",'Shooter-Squad Assignment'!$Z:$Z,0)),""),"")))</f>
        <v/>
      </c>
      <c r="H966" s="73" t="str">
        <f>IF(ISBLANK(G966),"",IFERROR(INDEX('Tournament List'!$D:$D,MATCH(G966,'Tournament List'!$A:$A,0)),""))</f>
        <v/>
      </c>
      <c r="I966" s="94" t="str">
        <f>IF(F966="Skeet",IFERROR(INDEX('Shooter-Squad Assignment'!$A:$A,MATCH(C966&amp;"-"&amp;E966&amp;"-"&amp;F966&amp;"-Pos2",'Shooter-Squad Assignment'!$K:$K,0)),""),IF(F966="Trap",IFERROR(INDEX('Shooter-Squad Assignment'!$A:$A,MATCH(C966&amp;"-"&amp;E966&amp;"-"&amp;F966&amp;"-Pos2",'Shooter-Squad Assignment'!$W:$W,0)),""),IF(F966="Sporting Clays",IFERROR(INDEX('Shooter-Squad Assignment'!$A:$A,MATCH(C966&amp;"-"&amp;E966&amp;"-"&amp;F966&amp;"-Pos2",'Shooter-Squad Assignment'!$Z:$Z,0)),""),"")))</f>
        <v/>
      </c>
      <c r="J966" s="73" t="str">
        <f>IF(ISBLANK(I966),"",IFERROR(INDEX('Tournament List'!$D:$D,MATCH(I966,'Tournament List'!$A:$A,0)),""))</f>
        <v/>
      </c>
      <c r="K966" s="94" t="str">
        <f>IF(F966="Skeet",IFERROR(INDEX('Shooter-Squad Assignment'!$A:$A,MATCH(C966&amp;"-"&amp;E966&amp;"-"&amp;F966&amp;"-Pos3",'Shooter-Squad Assignment'!$K:$K,0)),""),IF(F966="Trap",IFERROR(INDEX('Shooter-Squad Assignment'!$A:$A,MATCH(C966&amp;"-"&amp;E966&amp;"-"&amp;F966&amp;"-Pos3",'Shooter-Squad Assignment'!$W:$W,0)),""),IF(F966="Sporting Clays",IFERROR(INDEX('Shooter-Squad Assignment'!$A:$A,MATCH(C966&amp;"-"&amp;E966&amp;"-"&amp;F966&amp;"-Pos3",'Shooter-Squad Assignment'!$Z:$Z,0)),""),"")))</f>
        <v/>
      </c>
      <c r="L966" s="73" t="str">
        <f>IF(ISBLANK(K966),"",IFERROR(INDEX('Tournament List'!$D:$D,MATCH(K966,'Tournament List'!$A:$A,0)),""))</f>
        <v/>
      </c>
      <c r="M966" s="94" t="str">
        <f>IF(F966="Skeet",IFERROR(INDEX('Shooter-Squad Assignment'!$A:$A,MATCH(C966&amp;"-"&amp;E966&amp;"-"&amp;F966&amp;"-Pos4",'Shooter-Squad Assignment'!$K:$K,0)),""),IF(F966="Trap",IFERROR(INDEX('Shooter-Squad Assignment'!$A:$A,MATCH(C966&amp;"-"&amp;E966&amp;"-"&amp;F966&amp;"-Pos4",'Shooter-Squad Assignment'!$W:$W,0)),""),IF(F966="Sporting Clays",IFERROR(INDEX('Shooter-Squad Assignment'!$A:$A,MATCH(C966&amp;"-"&amp;E966&amp;"-"&amp;F966&amp;"-Pos4",'Shooter-Squad Assignment'!$Z:$Z,0)),""),"")))</f>
        <v/>
      </c>
      <c r="N966" s="73" t="str">
        <f>IF(ISBLANK(M966),"",IFERROR(INDEX('Tournament List'!$D:$D,MATCH(M966,'Tournament List'!$A:$A,0)),""))</f>
        <v/>
      </c>
      <c r="O966" s="94" t="str">
        <f>IF(F966="Skeet",IFERROR(INDEX('Shooter-Squad Assignment'!$A:$A,MATCH(C966&amp;"-"&amp;E966&amp;"-"&amp;F966&amp;"-Pos5",'Shooter-Squad Assignment'!$K:$K,0)),""),IF(F966="Trap",IFERROR(INDEX('Shooter-Squad Assignment'!$A:$A,MATCH(C966&amp;"-"&amp;E966&amp;"-"&amp;F966&amp;"-Pos5",'Shooter-Squad Assignment'!$W:$W,0)),""),IF(F966="Sporting Clays",IFERROR(INDEX('Shooter-Squad Assignment'!$A:$A,MATCH(C966&amp;"-"&amp;E966&amp;"-"&amp;F966&amp;"-Pos5",'Shooter-Squad Assignment'!$Z:$Z,0)),""),"")))</f>
        <v/>
      </c>
      <c r="P966" s="79" t="str">
        <f>IF(ISBLANK(O966),"",IFERROR(INDEX('Tournament List'!$D:$D,MATCH(O966,'Tournament List'!$A:$A,0)),""))</f>
        <v/>
      </c>
    </row>
    <row r="967" spans="1:16" x14ac:dyDescent="0.3">
      <c r="A967" s="78">
        <v>966</v>
      </c>
      <c r="B967" s="73" t="str">
        <f>C967&amp;"-"&amp;E967&amp;"-"&amp;F967</f>
        <v>-Unassigned 1-Trap</v>
      </c>
      <c r="C967" s="73"/>
      <c r="D967" s="73" t="str">
        <f>INDEX('Tournament Setup'!$B$59:$B$78,MATCH(E967,SquadConcurrents,0))</f>
        <v>Unassigned</v>
      </c>
      <c r="E967" s="73" t="s">
        <v>762</v>
      </c>
      <c r="F967" s="73" t="s">
        <v>147</v>
      </c>
      <c r="G967" s="94" t="str">
        <f>IF(F967="Skeet",IFERROR(INDEX('Shooter-Squad Assignment'!$A:$A,MATCH(C967&amp;"-"&amp;E967&amp;"-"&amp;F967&amp;"-Pos1",'Shooter-Squad Assignment'!$K:$K,0)),""),IF(F967="Trap",IFERROR(INDEX('Shooter-Squad Assignment'!$A:$A,MATCH(C967&amp;"-"&amp;E967&amp;"-"&amp;F967&amp;"-Pos1",'Shooter-Squad Assignment'!$W:$W,0)),""),IF(F967="Sporting Clays",IFERROR(INDEX('Shooter-Squad Assignment'!$A:$A,MATCH(C967&amp;"-"&amp;E967&amp;"-"&amp;F967&amp;"-Pos1",'Shooter-Squad Assignment'!$Z:$Z,0)),""),"")))</f>
        <v/>
      </c>
      <c r="H967" s="73" t="str">
        <f>IF(ISBLANK(G967),"",IFERROR(INDEX('Tournament List'!$D:$D,MATCH(G967,'Tournament List'!$A:$A,0)),""))</f>
        <v/>
      </c>
      <c r="I967" s="94" t="str">
        <f>IF(F967="Skeet",IFERROR(INDEX('Shooter-Squad Assignment'!$A:$A,MATCH(C967&amp;"-"&amp;E967&amp;"-"&amp;F967&amp;"-Pos2",'Shooter-Squad Assignment'!$K:$K,0)),""),IF(F967="Trap",IFERROR(INDEX('Shooter-Squad Assignment'!$A:$A,MATCH(C967&amp;"-"&amp;E967&amp;"-"&amp;F967&amp;"-Pos2",'Shooter-Squad Assignment'!$W:$W,0)),""),IF(F967="Sporting Clays",IFERROR(INDEX('Shooter-Squad Assignment'!$A:$A,MATCH(C967&amp;"-"&amp;E967&amp;"-"&amp;F967&amp;"-Pos2",'Shooter-Squad Assignment'!$Z:$Z,0)),""),"")))</f>
        <v/>
      </c>
      <c r="J967" s="73" t="str">
        <f>IF(ISBLANK(I967),"",IFERROR(INDEX('Tournament List'!$D:$D,MATCH(I967,'Tournament List'!$A:$A,0)),""))</f>
        <v/>
      </c>
      <c r="K967" s="94" t="str">
        <f>IF(F967="Skeet",IFERROR(INDEX('Shooter-Squad Assignment'!$A:$A,MATCH(C967&amp;"-"&amp;E967&amp;"-"&amp;F967&amp;"-Pos3",'Shooter-Squad Assignment'!$K:$K,0)),""),IF(F967="Trap",IFERROR(INDEX('Shooter-Squad Assignment'!$A:$A,MATCH(C967&amp;"-"&amp;E967&amp;"-"&amp;F967&amp;"-Pos3",'Shooter-Squad Assignment'!$W:$W,0)),""),IF(F967="Sporting Clays",IFERROR(INDEX('Shooter-Squad Assignment'!$A:$A,MATCH(C967&amp;"-"&amp;E967&amp;"-"&amp;F967&amp;"-Pos3",'Shooter-Squad Assignment'!$Z:$Z,0)),""),"")))</f>
        <v/>
      </c>
      <c r="L967" s="73" t="str">
        <f>IF(ISBLANK(K967),"",IFERROR(INDEX('Tournament List'!$D:$D,MATCH(K967,'Tournament List'!$A:$A,0)),""))</f>
        <v/>
      </c>
      <c r="M967" s="94" t="str">
        <f>IF(F967="Skeet",IFERROR(INDEX('Shooter-Squad Assignment'!$A:$A,MATCH(C967&amp;"-"&amp;E967&amp;"-"&amp;F967&amp;"-Pos4",'Shooter-Squad Assignment'!$K:$K,0)),""),IF(F967="Trap",IFERROR(INDEX('Shooter-Squad Assignment'!$A:$A,MATCH(C967&amp;"-"&amp;E967&amp;"-"&amp;F967&amp;"-Pos4",'Shooter-Squad Assignment'!$W:$W,0)),""),IF(F967="Sporting Clays",IFERROR(INDEX('Shooter-Squad Assignment'!$A:$A,MATCH(C967&amp;"-"&amp;E967&amp;"-"&amp;F967&amp;"-Pos4",'Shooter-Squad Assignment'!$Z:$Z,0)),""),"")))</f>
        <v/>
      </c>
      <c r="N967" s="73" t="str">
        <f>IF(ISBLANK(M967),"",IFERROR(INDEX('Tournament List'!$D:$D,MATCH(M967,'Tournament List'!$A:$A,0)),""))</f>
        <v/>
      </c>
      <c r="O967" s="94" t="str">
        <f>IF(F967="Skeet",IFERROR(INDEX('Shooter-Squad Assignment'!$A:$A,MATCH(C967&amp;"-"&amp;E967&amp;"-"&amp;F967&amp;"-Pos5",'Shooter-Squad Assignment'!$K:$K,0)),""),IF(F967="Trap",IFERROR(INDEX('Shooter-Squad Assignment'!$A:$A,MATCH(C967&amp;"-"&amp;E967&amp;"-"&amp;F967&amp;"-Pos5",'Shooter-Squad Assignment'!$W:$W,0)),""),IF(F967="Sporting Clays",IFERROR(INDEX('Shooter-Squad Assignment'!$A:$A,MATCH(C967&amp;"-"&amp;E967&amp;"-"&amp;F967&amp;"-Pos5",'Shooter-Squad Assignment'!$Z:$Z,0)),""),"")))</f>
        <v/>
      </c>
      <c r="P967" s="79" t="str">
        <f>IF(ISBLANK(O967),"",IFERROR(INDEX('Tournament List'!$D:$D,MATCH(O967,'Tournament List'!$A:$A,0)),""))</f>
        <v/>
      </c>
    </row>
    <row r="968" spans="1:16" x14ac:dyDescent="0.3">
      <c r="A968" s="78">
        <v>967</v>
      </c>
      <c r="B968" s="73" t="str">
        <f>C968&amp;"-"&amp;E968&amp;"-"&amp;F968</f>
        <v>-Varsity 1-Trap</v>
      </c>
      <c r="C968" s="73"/>
      <c r="D968" s="73" t="str">
        <f>INDEX('Tournament Setup'!$B$59:$B$78,MATCH(E968,SquadConcurrents,0))</f>
        <v>Varsity</v>
      </c>
      <c r="E968" s="73" t="s">
        <v>340</v>
      </c>
      <c r="F968" s="73" t="s">
        <v>147</v>
      </c>
      <c r="G968" s="94" t="str">
        <f>IF(F968="Skeet",IFERROR(INDEX('Shooter-Squad Assignment'!$A:$A,MATCH(C968&amp;"-"&amp;E968&amp;"-"&amp;F968&amp;"-Pos1",'Shooter-Squad Assignment'!$K:$K,0)),""),IF(F968="Trap",IFERROR(INDEX('Shooter-Squad Assignment'!$A:$A,MATCH(C968&amp;"-"&amp;E968&amp;"-"&amp;F968&amp;"-Pos1",'Shooter-Squad Assignment'!$W:$W,0)),""),IF(F968="Sporting Clays",IFERROR(INDEX('Shooter-Squad Assignment'!$A:$A,MATCH(C968&amp;"-"&amp;E968&amp;"-"&amp;F968&amp;"-Pos1",'Shooter-Squad Assignment'!$Z:$Z,0)),""),"")))</f>
        <v/>
      </c>
      <c r="H968" s="73" t="str">
        <f>IF(ISBLANK(G968),"",IFERROR(INDEX('Tournament List'!$D:$D,MATCH(G968,'Tournament List'!$A:$A,0)),""))</f>
        <v/>
      </c>
      <c r="I968" s="94" t="str">
        <f>IF(F968="Skeet",IFERROR(INDEX('Shooter-Squad Assignment'!$A:$A,MATCH(C968&amp;"-"&amp;E968&amp;"-"&amp;F968&amp;"-Pos2",'Shooter-Squad Assignment'!$K:$K,0)),""),IF(F968="Trap",IFERROR(INDEX('Shooter-Squad Assignment'!$A:$A,MATCH(C968&amp;"-"&amp;E968&amp;"-"&amp;F968&amp;"-Pos2",'Shooter-Squad Assignment'!$W:$W,0)),""),IF(F968="Sporting Clays",IFERROR(INDEX('Shooter-Squad Assignment'!$A:$A,MATCH(C968&amp;"-"&amp;E968&amp;"-"&amp;F968&amp;"-Pos2",'Shooter-Squad Assignment'!$Z:$Z,0)),""),"")))</f>
        <v/>
      </c>
      <c r="J968" s="73" t="str">
        <f>IF(ISBLANK(I968),"",IFERROR(INDEX('Tournament List'!$D:$D,MATCH(I968,'Tournament List'!$A:$A,0)),""))</f>
        <v/>
      </c>
      <c r="K968" s="94" t="str">
        <f>IF(F968="Skeet",IFERROR(INDEX('Shooter-Squad Assignment'!$A:$A,MATCH(C968&amp;"-"&amp;E968&amp;"-"&amp;F968&amp;"-Pos3",'Shooter-Squad Assignment'!$K:$K,0)),""),IF(F968="Trap",IFERROR(INDEX('Shooter-Squad Assignment'!$A:$A,MATCH(C968&amp;"-"&amp;E968&amp;"-"&amp;F968&amp;"-Pos3",'Shooter-Squad Assignment'!$W:$W,0)),""),IF(F968="Sporting Clays",IFERROR(INDEX('Shooter-Squad Assignment'!$A:$A,MATCH(C968&amp;"-"&amp;E968&amp;"-"&amp;F968&amp;"-Pos3",'Shooter-Squad Assignment'!$Z:$Z,0)),""),"")))</f>
        <v/>
      </c>
      <c r="L968" s="73" t="str">
        <f>IF(ISBLANK(K968),"",IFERROR(INDEX('Tournament List'!$D:$D,MATCH(K968,'Tournament List'!$A:$A,0)),""))</f>
        <v/>
      </c>
      <c r="M968" s="94" t="str">
        <f>IF(F968="Skeet",IFERROR(INDEX('Shooter-Squad Assignment'!$A:$A,MATCH(C968&amp;"-"&amp;E968&amp;"-"&amp;F968&amp;"-Pos4",'Shooter-Squad Assignment'!$K:$K,0)),""),IF(F968="Trap",IFERROR(INDEX('Shooter-Squad Assignment'!$A:$A,MATCH(C968&amp;"-"&amp;E968&amp;"-"&amp;F968&amp;"-Pos4",'Shooter-Squad Assignment'!$W:$W,0)),""),IF(F968="Sporting Clays",IFERROR(INDEX('Shooter-Squad Assignment'!$A:$A,MATCH(C968&amp;"-"&amp;E968&amp;"-"&amp;F968&amp;"-Pos4",'Shooter-Squad Assignment'!$Z:$Z,0)),""),"")))</f>
        <v/>
      </c>
      <c r="N968" s="73" t="str">
        <f>IF(ISBLANK(M968),"",IFERROR(INDEX('Tournament List'!$D:$D,MATCH(M968,'Tournament List'!$A:$A,0)),""))</f>
        <v/>
      </c>
      <c r="O968" s="94" t="str">
        <f>IF(F968="Skeet",IFERROR(INDEX('Shooter-Squad Assignment'!$A:$A,MATCH(C968&amp;"-"&amp;E968&amp;"-"&amp;F968&amp;"-Pos5",'Shooter-Squad Assignment'!$K:$K,0)),""),IF(F968="Trap",IFERROR(INDEX('Shooter-Squad Assignment'!$A:$A,MATCH(C968&amp;"-"&amp;E968&amp;"-"&amp;F968&amp;"-Pos5",'Shooter-Squad Assignment'!$W:$W,0)),""),IF(F968="Sporting Clays",IFERROR(INDEX('Shooter-Squad Assignment'!$A:$A,MATCH(C968&amp;"-"&amp;E968&amp;"-"&amp;F968&amp;"-Pos5",'Shooter-Squad Assignment'!$Z:$Z,0)),""),"")))</f>
        <v/>
      </c>
      <c r="P968" s="79" t="str">
        <f>IF(ISBLANK(O968),"",IFERROR(INDEX('Tournament List'!$D:$D,MATCH(O968,'Tournament List'!$A:$A,0)),""))</f>
        <v/>
      </c>
    </row>
    <row r="969" spans="1:16" x14ac:dyDescent="0.3">
      <c r="A969" s="78">
        <v>968</v>
      </c>
      <c r="B969" s="73" t="str">
        <f>C969&amp;"-"&amp;E969&amp;"-"&amp;F969</f>
        <v>-Varsity 2-Trap</v>
      </c>
      <c r="C969" s="73"/>
      <c r="D969" s="73" t="str">
        <f>INDEX('Tournament Setup'!$B$59:$B$78,MATCH(E969,SquadConcurrents,0))</f>
        <v>Varsity</v>
      </c>
      <c r="E969" s="73" t="s">
        <v>346</v>
      </c>
      <c r="F969" s="73" t="s">
        <v>147</v>
      </c>
      <c r="G969" s="94" t="str">
        <f>IF(F969="Skeet",IFERROR(INDEX('Shooter-Squad Assignment'!$A:$A,MATCH(C969&amp;"-"&amp;E969&amp;"-"&amp;F969&amp;"-Pos1",'Shooter-Squad Assignment'!$K:$K,0)),""),IF(F969="Trap",IFERROR(INDEX('Shooter-Squad Assignment'!$A:$A,MATCH(C969&amp;"-"&amp;E969&amp;"-"&amp;F969&amp;"-Pos1",'Shooter-Squad Assignment'!$W:$W,0)),""),IF(F969="Sporting Clays",IFERROR(INDEX('Shooter-Squad Assignment'!$A:$A,MATCH(C969&amp;"-"&amp;E969&amp;"-"&amp;F969&amp;"-Pos1",'Shooter-Squad Assignment'!$Z:$Z,0)),""),"")))</f>
        <v/>
      </c>
      <c r="H969" s="73" t="str">
        <f>IF(ISBLANK(G969),"",IFERROR(INDEX('Tournament List'!$D:$D,MATCH(G969,'Tournament List'!$A:$A,0)),""))</f>
        <v/>
      </c>
      <c r="I969" s="94" t="str">
        <f>IF(F969="Skeet",IFERROR(INDEX('Shooter-Squad Assignment'!$A:$A,MATCH(C969&amp;"-"&amp;E969&amp;"-"&amp;F969&amp;"-Pos2",'Shooter-Squad Assignment'!$K:$K,0)),""),IF(F969="Trap",IFERROR(INDEX('Shooter-Squad Assignment'!$A:$A,MATCH(C969&amp;"-"&amp;E969&amp;"-"&amp;F969&amp;"-Pos2",'Shooter-Squad Assignment'!$W:$W,0)),""),IF(F969="Sporting Clays",IFERROR(INDEX('Shooter-Squad Assignment'!$A:$A,MATCH(C969&amp;"-"&amp;E969&amp;"-"&amp;F969&amp;"-Pos2",'Shooter-Squad Assignment'!$Z:$Z,0)),""),"")))</f>
        <v/>
      </c>
      <c r="J969" s="73" t="str">
        <f>IF(ISBLANK(I969),"",IFERROR(INDEX('Tournament List'!$D:$D,MATCH(I969,'Tournament List'!$A:$A,0)),""))</f>
        <v/>
      </c>
      <c r="K969" s="94" t="str">
        <f>IF(F969="Skeet",IFERROR(INDEX('Shooter-Squad Assignment'!$A:$A,MATCH(C969&amp;"-"&amp;E969&amp;"-"&amp;F969&amp;"-Pos3",'Shooter-Squad Assignment'!$K:$K,0)),""),IF(F969="Trap",IFERROR(INDEX('Shooter-Squad Assignment'!$A:$A,MATCH(C969&amp;"-"&amp;E969&amp;"-"&amp;F969&amp;"-Pos3",'Shooter-Squad Assignment'!$W:$W,0)),""),IF(F969="Sporting Clays",IFERROR(INDEX('Shooter-Squad Assignment'!$A:$A,MATCH(C969&amp;"-"&amp;E969&amp;"-"&amp;F969&amp;"-Pos3",'Shooter-Squad Assignment'!$Z:$Z,0)),""),"")))</f>
        <v/>
      </c>
      <c r="L969" s="73" t="str">
        <f>IF(ISBLANK(K969),"",IFERROR(INDEX('Tournament List'!$D:$D,MATCH(K969,'Tournament List'!$A:$A,0)),""))</f>
        <v/>
      </c>
      <c r="M969" s="94" t="str">
        <f>IF(F969="Skeet",IFERROR(INDEX('Shooter-Squad Assignment'!$A:$A,MATCH(C969&amp;"-"&amp;E969&amp;"-"&amp;F969&amp;"-Pos4",'Shooter-Squad Assignment'!$K:$K,0)),""),IF(F969="Trap",IFERROR(INDEX('Shooter-Squad Assignment'!$A:$A,MATCH(C969&amp;"-"&amp;E969&amp;"-"&amp;F969&amp;"-Pos4",'Shooter-Squad Assignment'!$W:$W,0)),""),IF(F969="Sporting Clays",IFERROR(INDEX('Shooter-Squad Assignment'!$A:$A,MATCH(C969&amp;"-"&amp;E969&amp;"-"&amp;F969&amp;"-Pos4",'Shooter-Squad Assignment'!$Z:$Z,0)),""),"")))</f>
        <v/>
      </c>
      <c r="N969" s="73" t="str">
        <f>IF(ISBLANK(M969),"",IFERROR(INDEX('Tournament List'!$D:$D,MATCH(M969,'Tournament List'!$A:$A,0)),""))</f>
        <v/>
      </c>
      <c r="O969" s="94" t="str">
        <f>IF(F969="Skeet",IFERROR(INDEX('Shooter-Squad Assignment'!$A:$A,MATCH(C969&amp;"-"&amp;E969&amp;"-"&amp;F969&amp;"-Pos5",'Shooter-Squad Assignment'!$K:$K,0)),""),IF(F969="Trap",IFERROR(INDEX('Shooter-Squad Assignment'!$A:$A,MATCH(C969&amp;"-"&amp;E969&amp;"-"&amp;F969&amp;"-Pos5",'Shooter-Squad Assignment'!$W:$W,0)),""),IF(F969="Sporting Clays",IFERROR(INDEX('Shooter-Squad Assignment'!$A:$A,MATCH(C969&amp;"-"&amp;E969&amp;"-"&amp;F969&amp;"-Pos5",'Shooter-Squad Assignment'!$Z:$Z,0)),""),"")))</f>
        <v/>
      </c>
      <c r="P969" s="79" t="str">
        <f>IF(ISBLANK(O969),"",IFERROR(INDEX('Tournament List'!$D:$D,MATCH(O969,'Tournament List'!$A:$A,0)),""))</f>
        <v/>
      </c>
    </row>
    <row r="970" spans="1:16" ht="15" thickBot="1" x14ac:dyDescent="0.35">
      <c r="A970" s="78">
        <v>969</v>
      </c>
      <c r="B970" s="73" t="str">
        <f>C970&amp;"-"&amp;E970&amp;"-"&amp;F970</f>
        <v>-Varsity 3-Trap</v>
      </c>
      <c r="C970" s="73"/>
      <c r="D970" s="73" t="str">
        <f>INDEX('Tournament Setup'!$B$59:$B$78,MATCH(E970,SquadConcurrents,0))</f>
        <v>Varsity</v>
      </c>
      <c r="E970" s="73" t="s">
        <v>352</v>
      </c>
      <c r="F970" s="73" t="s">
        <v>147</v>
      </c>
      <c r="G970" s="94" t="str">
        <f>IF(F970="Skeet",IFERROR(INDEX('Shooter-Squad Assignment'!$A:$A,MATCH(C970&amp;"-"&amp;E970&amp;"-"&amp;F970&amp;"-Pos1",'Shooter-Squad Assignment'!$K:$K,0)),""),IF(F970="Trap",IFERROR(INDEX('Shooter-Squad Assignment'!$A:$A,MATCH(C970&amp;"-"&amp;E970&amp;"-"&amp;F970&amp;"-Pos1",'Shooter-Squad Assignment'!$W:$W,0)),""),IF(F970="Sporting Clays",IFERROR(INDEX('Shooter-Squad Assignment'!$A:$A,MATCH(C970&amp;"-"&amp;E970&amp;"-"&amp;F970&amp;"-Pos1",'Shooter-Squad Assignment'!$Z:$Z,0)),""),"")))</f>
        <v/>
      </c>
      <c r="H970" s="73" t="str">
        <f>IF(ISBLANK(G970),"",IFERROR(INDEX('Tournament List'!$D:$D,MATCH(G970,'Tournament List'!$A:$A,0)),""))</f>
        <v/>
      </c>
      <c r="I970" s="94" t="str">
        <f>IF(F970="Skeet",IFERROR(INDEX('Shooter-Squad Assignment'!$A:$A,MATCH(C970&amp;"-"&amp;E970&amp;"-"&amp;F970&amp;"-Pos2",'Shooter-Squad Assignment'!$K:$K,0)),""),IF(F970="Trap",IFERROR(INDEX('Shooter-Squad Assignment'!$A:$A,MATCH(C970&amp;"-"&amp;E970&amp;"-"&amp;F970&amp;"-Pos2",'Shooter-Squad Assignment'!$W:$W,0)),""),IF(F970="Sporting Clays",IFERROR(INDEX('Shooter-Squad Assignment'!$A:$A,MATCH(C970&amp;"-"&amp;E970&amp;"-"&amp;F970&amp;"-Pos2",'Shooter-Squad Assignment'!$Z:$Z,0)),""),"")))</f>
        <v/>
      </c>
      <c r="J970" s="73" t="str">
        <f>IF(ISBLANK(I970),"",IFERROR(INDEX('Tournament List'!$D:$D,MATCH(I970,'Tournament List'!$A:$A,0)),""))</f>
        <v/>
      </c>
      <c r="K970" s="94" t="str">
        <f>IF(F970="Skeet",IFERROR(INDEX('Shooter-Squad Assignment'!$A:$A,MATCH(C970&amp;"-"&amp;E970&amp;"-"&amp;F970&amp;"-Pos3",'Shooter-Squad Assignment'!$K:$K,0)),""),IF(F970="Trap",IFERROR(INDEX('Shooter-Squad Assignment'!$A:$A,MATCH(C970&amp;"-"&amp;E970&amp;"-"&amp;F970&amp;"-Pos3",'Shooter-Squad Assignment'!$W:$W,0)),""),IF(F970="Sporting Clays",IFERROR(INDEX('Shooter-Squad Assignment'!$A:$A,MATCH(C970&amp;"-"&amp;E970&amp;"-"&amp;F970&amp;"-Pos3",'Shooter-Squad Assignment'!$Z:$Z,0)),""),"")))</f>
        <v/>
      </c>
      <c r="L970" s="73" t="str">
        <f>IF(ISBLANK(K970),"",IFERROR(INDEX('Tournament List'!$D:$D,MATCH(K970,'Tournament List'!$A:$A,0)),""))</f>
        <v/>
      </c>
      <c r="M970" s="94" t="str">
        <f>IF(F970="Skeet",IFERROR(INDEX('Shooter-Squad Assignment'!$A:$A,MATCH(C970&amp;"-"&amp;E970&amp;"-"&amp;F970&amp;"-Pos4",'Shooter-Squad Assignment'!$K:$K,0)),""),IF(F970="Trap",IFERROR(INDEX('Shooter-Squad Assignment'!$A:$A,MATCH(C970&amp;"-"&amp;E970&amp;"-"&amp;F970&amp;"-Pos4",'Shooter-Squad Assignment'!$W:$W,0)),""),IF(F970="Sporting Clays",IFERROR(INDEX('Shooter-Squad Assignment'!$A:$A,MATCH(C970&amp;"-"&amp;E970&amp;"-"&amp;F970&amp;"-Pos4",'Shooter-Squad Assignment'!$Z:$Z,0)),""),"")))</f>
        <v/>
      </c>
      <c r="N970" s="73" t="str">
        <f>IF(ISBLANK(M970),"",IFERROR(INDEX('Tournament List'!$D:$D,MATCH(M970,'Tournament List'!$A:$A,0)),""))</f>
        <v/>
      </c>
      <c r="O970" s="94" t="str">
        <f>IF(F970="Skeet",IFERROR(INDEX('Shooter-Squad Assignment'!$A:$A,MATCH(C970&amp;"-"&amp;E970&amp;"-"&amp;F970&amp;"-Pos5",'Shooter-Squad Assignment'!$K:$K,0)),""),IF(F970="Trap",IFERROR(INDEX('Shooter-Squad Assignment'!$A:$A,MATCH(C970&amp;"-"&amp;E970&amp;"-"&amp;F970&amp;"-Pos5",'Shooter-Squad Assignment'!$W:$W,0)),""),IF(F970="Sporting Clays",IFERROR(INDEX('Shooter-Squad Assignment'!$A:$A,MATCH(C970&amp;"-"&amp;E970&amp;"-"&amp;F970&amp;"-Pos5",'Shooter-Squad Assignment'!$Z:$Z,0)),""),"")))</f>
        <v/>
      </c>
      <c r="P970" s="79" t="str">
        <f>IF(ISBLANK(O970),"",IFERROR(INDEX('Tournament List'!$D:$D,MATCH(O970,'Tournament List'!$A:$A,0)),""))</f>
        <v/>
      </c>
    </row>
    <row r="971" spans="1:16" x14ac:dyDescent="0.3">
      <c r="A971" s="84">
        <v>970</v>
      </c>
      <c r="B971" s="85" t="str">
        <f>C971&amp;"-"&amp;E971&amp;"-"&amp;F971</f>
        <v>-Collegiate 1-Skeet</v>
      </c>
      <c r="C971" s="85"/>
      <c r="D971" s="85" t="str">
        <f>INDEX('Tournament Setup'!$B$59:$B$78,MATCH(E971,SquadConcurrents,0))</f>
        <v>Collegiate</v>
      </c>
      <c r="E971" s="85" t="s">
        <v>342</v>
      </c>
      <c r="F971" s="85" t="s">
        <v>143</v>
      </c>
      <c r="G971" s="95" t="str">
        <f>IF(F971="Skeet",IFERROR(INDEX('Shooter-Squad Assignment'!$A:$A,MATCH(C971&amp;"-"&amp;E971&amp;"-"&amp;F971&amp;"-Pos1",'Shooter-Squad Assignment'!$K:$K,0)),""),IF(F971="Trap",IFERROR(INDEX('Shooter-Squad Assignment'!$A:$A,MATCH(C971&amp;"-"&amp;E971&amp;"-"&amp;F971&amp;"-Pos1",'Shooter-Squad Assignment'!$W:$W,0)),""),IF(F971="Sporting Clays",IFERROR(INDEX('Shooter-Squad Assignment'!$A:$A,MATCH(C971&amp;"-"&amp;E971&amp;"-"&amp;F971&amp;"-Pos1",'Shooter-Squad Assignment'!$Z:$Z,0)),""),"")))</f>
        <v/>
      </c>
      <c r="H971" s="85" t="str">
        <f>IF(ISBLANK(G971),"",IFERROR(INDEX('Tournament List'!$D:$D,MATCH(G971,'Tournament List'!$A:$A,0)),""))</f>
        <v/>
      </c>
      <c r="I971" s="95" t="str">
        <f>IF(F971="Skeet",IFERROR(INDEX('Shooter-Squad Assignment'!$A:$A,MATCH(C971&amp;"-"&amp;E971&amp;"-"&amp;F971&amp;"-Pos2",'Shooter-Squad Assignment'!$K:$K,0)),""),IF(F971="Trap",IFERROR(INDEX('Shooter-Squad Assignment'!$A:$A,MATCH(C971&amp;"-"&amp;E971&amp;"-"&amp;F971&amp;"-Pos2",'Shooter-Squad Assignment'!$W:$W,0)),""),IF(F971="Sporting Clays",IFERROR(INDEX('Shooter-Squad Assignment'!$A:$A,MATCH(C971&amp;"-"&amp;E971&amp;"-"&amp;F971&amp;"-Pos2",'Shooter-Squad Assignment'!$Z:$Z,0)),""),"")))</f>
        <v/>
      </c>
      <c r="J971" s="85" t="str">
        <f>IF(ISBLANK(I971),"",IFERROR(INDEX('Tournament List'!$D:$D,MATCH(I971,'Tournament List'!$A:$A,0)),""))</f>
        <v/>
      </c>
      <c r="K971" s="95" t="str">
        <f>IF(F971="Skeet",IFERROR(INDEX('Shooter-Squad Assignment'!$A:$A,MATCH(C971&amp;"-"&amp;E971&amp;"-"&amp;F971&amp;"-Pos3",'Shooter-Squad Assignment'!$K:$K,0)),""),IF(F971="Trap",IFERROR(INDEX('Shooter-Squad Assignment'!$A:$A,MATCH(C971&amp;"-"&amp;E971&amp;"-"&amp;F971&amp;"-Pos3",'Shooter-Squad Assignment'!$W:$W,0)),""),IF(F971="Sporting Clays",IFERROR(INDEX('Shooter-Squad Assignment'!$A:$A,MATCH(C971&amp;"-"&amp;E971&amp;"-"&amp;F971&amp;"-Pos3",'Shooter-Squad Assignment'!$Z:$Z,0)),""),"")))</f>
        <v/>
      </c>
      <c r="L971" s="85" t="str">
        <f>IF(ISBLANK(K971),"",IFERROR(INDEX('Tournament List'!$D:$D,MATCH(K971,'Tournament List'!$A:$A,0)),""))</f>
        <v/>
      </c>
      <c r="M971" s="95" t="str">
        <f>IF(F971="Skeet",IFERROR(INDEX('Shooter-Squad Assignment'!$A:$A,MATCH(C971&amp;"-"&amp;E971&amp;"-"&amp;F971&amp;"-Pos4",'Shooter-Squad Assignment'!$K:$K,0)),""),IF(F971="Trap",IFERROR(INDEX('Shooter-Squad Assignment'!$A:$A,MATCH(C971&amp;"-"&amp;E971&amp;"-"&amp;F971&amp;"-Pos4",'Shooter-Squad Assignment'!$W:$W,0)),""),IF(F971="Sporting Clays",IFERROR(INDEX('Shooter-Squad Assignment'!$A:$A,MATCH(C971&amp;"-"&amp;E971&amp;"-"&amp;F971&amp;"-Pos4",'Shooter-Squad Assignment'!$Z:$Z,0)),""),"")))</f>
        <v/>
      </c>
      <c r="N971" s="85" t="str">
        <f>IF(ISBLANK(M971),"",IFERROR(INDEX('Tournament List'!$D:$D,MATCH(M971,'Tournament List'!$A:$A,0)),""))</f>
        <v/>
      </c>
      <c r="O971" s="95" t="str">
        <f>IF(F971="Skeet",IFERROR(INDEX('Shooter-Squad Assignment'!$A:$A,MATCH(C971&amp;"-"&amp;E971&amp;"-"&amp;F971&amp;"-Pos5",'Shooter-Squad Assignment'!$K:$K,0)),""),IF(F971="Trap",IFERROR(INDEX('Shooter-Squad Assignment'!$A:$A,MATCH(C971&amp;"-"&amp;E971&amp;"-"&amp;F971&amp;"-Pos5",'Shooter-Squad Assignment'!$W:$W,0)),""),IF(F971="Sporting Clays",IFERROR(INDEX('Shooter-Squad Assignment'!$A:$A,MATCH(C971&amp;"-"&amp;E971&amp;"-"&amp;F971&amp;"-Pos5",'Shooter-Squad Assignment'!$Z:$Z,0)),""),"")))</f>
        <v/>
      </c>
      <c r="P971" s="86" t="str">
        <f>IF(ISBLANK(O971),"",IFERROR(INDEX('Tournament List'!$D:$D,MATCH(O971,'Tournament List'!$A:$A,0)),""))</f>
        <v/>
      </c>
    </row>
    <row r="972" spans="1:16" x14ac:dyDescent="0.3">
      <c r="A972" s="87">
        <v>971</v>
      </c>
      <c r="B972" s="88" t="str">
        <f>C972&amp;"-"&amp;E972&amp;"-"&amp;F972</f>
        <v>-Collegiate 2-Skeet</v>
      </c>
      <c r="C972" s="88"/>
      <c r="D972" s="88" t="str">
        <f>INDEX('Tournament Setup'!$B$59:$B$78,MATCH(E972,SquadConcurrents,0))</f>
        <v>Collegiate</v>
      </c>
      <c r="E972" s="88" t="s">
        <v>348</v>
      </c>
      <c r="F972" s="88" t="s">
        <v>143</v>
      </c>
      <c r="G972" s="96" t="str">
        <f>IF(F972="Skeet",IFERROR(INDEX('Shooter-Squad Assignment'!$A:$A,MATCH(C972&amp;"-"&amp;E972&amp;"-"&amp;F972&amp;"-Pos1",'Shooter-Squad Assignment'!$K:$K,0)),""),IF(F972="Trap",IFERROR(INDEX('Shooter-Squad Assignment'!$A:$A,MATCH(C972&amp;"-"&amp;E972&amp;"-"&amp;F972&amp;"-Pos1",'Shooter-Squad Assignment'!$W:$W,0)),""),IF(F972="Sporting Clays",IFERROR(INDEX('Shooter-Squad Assignment'!$A:$A,MATCH(C972&amp;"-"&amp;E972&amp;"-"&amp;F972&amp;"-Pos1",'Shooter-Squad Assignment'!$Z:$Z,0)),""),"")))</f>
        <v/>
      </c>
      <c r="H972" s="88" t="str">
        <f>IF(ISBLANK(G972),"",IFERROR(INDEX('Tournament List'!$D:$D,MATCH(G972,'Tournament List'!$A:$A,0)),""))</f>
        <v/>
      </c>
      <c r="I972" s="96" t="str">
        <f>IF(F972="Skeet",IFERROR(INDEX('Shooter-Squad Assignment'!$A:$A,MATCH(C972&amp;"-"&amp;E972&amp;"-"&amp;F972&amp;"-Pos2",'Shooter-Squad Assignment'!$K:$K,0)),""),IF(F972="Trap",IFERROR(INDEX('Shooter-Squad Assignment'!$A:$A,MATCH(C972&amp;"-"&amp;E972&amp;"-"&amp;F972&amp;"-Pos2",'Shooter-Squad Assignment'!$W:$W,0)),""),IF(F972="Sporting Clays",IFERROR(INDEX('Shooter-Squad Assignment'!$A:$A,MATCH(C972&amp;"-"&amp;E972&amp;"-"&amp;F972&amp;"-Pos2",'Shooter-Squad Assignment'!$Z:$Z,0)),""),"")))</f>
        <v/>
      </c>
      <c r="J972" s="88" t="str">
        <f>IF(ISBLANK(I972),"",IFERROR(INDEX('Tournament List'!$D:$D,MATCH(I972,'Tournament List'!$A:$A,0)),""))</f>
        <v/>
      </c>
      <c r="K972" s="96" t="str">
        <f>IF(F972="Skeet",IFERROR(INDEX('Shooter-Squad Assignment'!$A:$A,MATCH(C972&amp;"-"&amp;E972&amp;"-"&amp;F972&amp;"-Pos3",'Shooter-Squad Assignment'!$K:$K,0)),""),IF(F972="Trap",IFERROR(INDEX('Shooter-Squad Assignment'!$A:$A,MATCH(C972&amp;"-"&amp;E972&amp;"-"&amp;F972&amp;"-Pos3",'Shooter-Squad Assignment'!$W:$W,0)),""),IF(F972="Sporting Clays",IFERROR(INDEX('Shooter-Squad Assignment'!$A:$A,MATCH(C972&amp;"-"&amp;E972&amp;"-"&amp;F972&amp;"-Pos3",'Shooter-Squad Assignment'!$Z:$Z,0)),""),"")))</f>
        <v/>
      </c>
      <c r="L972" s="88" t="str">
        <f>IF(ISBLANK(K972),"",IFERROR(INDEX('Tournament List'!$D:$D,MATCH(K972,'Tournament List'!$A:$A,0)),""))</f>
        <v/>
      </c>
      <c r="M972" s="96" t="str">
        <f>IF(F972="Skeet",IFERROR(INDEX('Shooter-Squad Assignment'!$A:$A,MATCH(C972&amp;"-"&amp;E972&amp;"-"&amp;F972&amp;"-Pos4",'Shooter-Squad Assignment'!$K:$K,0)),""),IF(F972="Trap",IFERROR(INDEX('Shooter-Squad Assignment'!$A:$A,MATCH(C972&amp;"-"&amp;E972&amp;"-"&amp;F972&amp;"-Pos4",'Shooter-Squad Assignment'!$W:$W,0)),""),IF(F972="Sporting Clays",IFERROR(INDEX('Shooter-Squad Assignment'!$A:$A,MATCH(C972&amp;"-"&amp;E972&amp;"-"&amp;F972&amp;"-Pos4",'Shooter-Squad Assignment'!$Z:$Z,0)),""),"")))</f>
        <v/>
      </c>
      <c r="N972" s="88" t="str">
        <f>IF(ISBLANK(M972),"",IFERROR(INDEX('Tournament List'!$D:$D,MATCH(M972,'Tournament List'!$A:$A,0)),""))</f>
        <v/>
      </c>
      <c r="O972" s="96" t="str">
        <f>IF(F972="Skeet",IFERROR(INDEX('Shooter-Squad Assignment'!$A:$A,MATCH(C972&amp;"-"&amp;E972&amp;"-"&amp;F972&amp;"-Pos5",'Shooter-Squad Assignment'!$K:$K,0)),""),IF(F972="Trap",IFERROR(INDEX('Shooter-Squad Assignment'!$A:$A,MATCH(C972&amp;"-"&amp;E972&amp;"-"&amp;F972&amp;"-Pos5",'Shooter-Squad Assignment'!$W:$W,0)),""),IF(F972="Sporting Clays",IFERROR(INDEX('Shooter-Squad Assignment'!$A:$A,MATCH(C972&amp;"-"&amp;E972&amp;"-"&amp;F972&amp;"-Pos5",'Shooter-Squad Assignment'!$Z:$Z,0)),""),"")))</f>
        <v/>
      </c>
      <c r="P972" s="89" t="str">
        <f>IF(ISBLANK(O972),"",IFERROR(INDEX('Tournament List'!$D:$D,MATCH(O972,'Tournament List'!$A:$A,0)),""))</f>
        <v/>
      </c>
    </row>
    <row r="973" spans="1:16" x14ac:dyDescent="0.3">
      <c r="A973" s="87">
        <v>972</v>
      </c>
      <c r="B973" s="88" t="str">
        <f>C973&amp;"-"&amp;E973&amp;"-"&amp;F973</f>
        <v>-Collegiate 3-Skeet</v>
      </c>
      <c r="C973" s="88"/>
      <c r="D973" s="88" t="str">
        <f>INDEX('Tournament Setup'!$B$59:$B$78,MATCH(E973,SquadConcurrents,0))</f>
        <v>Collegiate</v>
      </c>
      <c r="E973" s="88" t="s">
        <v>354</v>
      </c>
      <c r="F973" s="88" t="s">
        <v>143</v>
      </c>
      <c r="G973" s="96" t="str">
        <f>IF(F973="Skeet",IFERROR(INDEX('Shooter-Squad Assignment'!$A:$A,MATCH(C973&amp;"-"&amp;E973&amp;"-"&amp;F973&amp;"-Pos1",'Shooter-Squad Assignment'!$K:$K,0)),""),IF(F973="Trap",IFERROR(INDEX('Shooter-Squad Assignment'!$A:$A,MATCH(C973&amp;"-"&amp;E973&amp;"-"&amp;F973&amp;"-Pos1",'Shooter-Squad Assignment'!$W:$W,0)),""),IF(F973="Sporting Clays",IFERROR(INDEX('Shooter-Squad Assignment'!$A:$A,MATCH(C973&amp;"-"&amp;E973&amp;"-"&amp;F973&amp;"-Pos1",'Shooter-Squad Assignment'!$Z:$Z,0)),""),"")))</f>
        <v/>
      </c>
      <c r="H973" s="88" t="str">
        <f>IF(ISBLANK(G973),"",IFERROR(INDEX('Tournament List'!$D:$D,MATCH(G973,'Tournament List'!$A:$A,0)),""))</f>
        <v/>
      </c>
      <c r="I973" s="96" t="str">
        <f>IF(F973="Skeet",IFERROR(INDEX('Shooter-Squad Assignment'!$A:$A,MATCH(C973&amp;"-"&amp;E973&amp;"-"&amp;F973&amp;"-Pos2",'Shooter-Squad Assignment'!$K:$K,0)),""),IF(F973="Trap",IFERROR(INDEX('Shooter-Squad Assignment'!$A:$A,MATCH(C973&amp;"-"&amp;E973&amp;"-"&amp;F973&amp;"-Pos2",'Shooter-Squad Assignment'!$W:$W,0)),""),IF(F973="Sporting Clays",IFERROR(INDEX('Shooter-Squad Assignment'!$A:$A,MATCH(C973&amp;"-"&amp;E973&amp;"-"&amp;F973&amp;"-Pos2",'Shooter-Squad Assignment'!$Z:$Z,0)),""),"")))</f>
        <v/>
      </c>
      <c r="J973" s="88" t="str">
        <f>IF(ISBLANK(I973),"",IFERROR(INDEX('Tournament List'!$D:$D,MATCH(I973,'Tournament List'!$A:$A,0)),""))</f>
        <v/>
      </c>
      <c r="K973" s="96" t="str">
        <f>IF(F973="Skeet",IFERROR(INDEX('Shooter-Squad Assignment'!$A:$A,MATCH(C973&amp;"-"&amp;E973&amp;"-"&amp;F973&amp;"-Pos3",'Shooter-Squad Assignment'!$K:$K,0)),""),IF(F973="Trap",IFERROR(INDEX('Shooter-Squad Assignment'!$A:$A,MATCH(C973&amp;"-"&amp;E973&amp;"-"&amp;F973&amp;"-Pos3",'Shooter-Squad Assignment'!$W:$W,0)),""),IF(F973="Sporting Clays",IFERROR(INDEX('Shooter-Squad Assignment'!$A:$A,MATCH(C973&amp;"-"&amp;E973&amp;"-"&amp;F973&amp;"-Pos3",'Shooter-Squad Assignment'!$Z:$Z,0)),""),"")))</f>
        <v/>
      </c>
      <c r="L973" s="88" t="str">
        <f>IF(ISBLANK(K973),"",IFERROR(INDEX('Tournament List'!$D:$D,MATCH(K973,'Tournament List'!$A:$A,0)),""))</f>
        <v/>
      </c>
      <c r="M973" s="96" t="str">
        <f>IF(F973="Skeet",IFERROR(INDEX('Shooter-Squad Assignment'!$A:$A,MATCH(C973&amp;"-"&amp;E973&amp;"-"&amp;F973&amp;"-Pos4",'Shooter-Squad Assignment'!$K:$K,0)),""),IF(F973="Trap",IFERROR(INDEX('Shooter-Squad Assignment'!$A:$A,MATCH(C973&amp;"-"&amp;E973&amp;"-"&amp;F973&amp;"-Pos4",'Shooter-Squad Assignment'!$W:$W,0)),""),IF(F973="Sporting Clays",IFERROR(INDEX('Shooter-Squad Assignment'!$A:$A,MATCH(C973&amp;"-"&amp;E973&amp;"-"&amp;F973&amp;"-Pos4",'Shooter-Squad Assignment'!$Z:$Z,0)),""),"")))</f>
        <v/>
      </c>
      <c r="N973" s="88" t="str">
        <f>IF(ISBLANK(M973),"",IFERROR(INDEX('Tournament List'!$D:$D,MATCH(M973,'Tournament List'!$A:$A,0)),""))</f>
        <v/>
      </c>
      <c r="O973" s="96" t="str">
        <f>IF(F973="Skeet",IFERROR(INDEX('Shooter-Squad Assignment'!$A:$A,MATCH(C973&amp;"-"&amp;E973&amp;"-"&amp;F973&amp;"-Pos5",'Shooter-Squad Assignment'!$K:$K,0)),""),IF(F973="Trap",IFERROR(INDEX('Shooter-Squad Assignment'!$A:$A,MATCH(C973&amp;"-"&amp;E973&amp;"-"&amp;F973&amp;"-Pos5",'Shooter-Squad Assignment'!$W:$W,0)),""),IF(F973="Sporting Clays",IFERROR(INDEX('Shooter-Squad Assignment'!$A:$A,MATCH(C973&amp;"-"&amp;E973&amp;"-"&amp;F973&amp;"-Pos5",'Shooter-Squad Assignment'!$Z:$Z,0)),""),"")))</f>
        <v/>
      </c>
      <c r="P973" s="89" t="str">
        <f>IF(ISBLANK(O973),"",IFERROR(INDEX('Tournament List'!$D:$D,MATCH(O973,'Tournament List'!$A:$A,0)),""))</f>
        <v/>
      </c>
    </row>
    <row r="974" spans="1:16" x14ac:dyDescent="0.3">
      <c r="A974" s="87">
        <v>973</v>
      </c>
      <c r="B974" s="88" t="str">
        <f>C974&amp;"-"&amp;E974&amp;"-"&amp;F974</f>
        <v>-Intermediate 1-Skeet</v>
      </c>
      <c r="C974" s="88"/>
      <c r="D974" s="88" t="str">
        <f>INDEX('Tournament Setup'!$B$59:$B$78,MATCH(E974,SquadConcurrents,0))</f>
        <v>Intermediate</v>
      </c>
      <c r="E974" s="88" t="s">
        <v>338</v>
      </c>
      <c r="F974" s="88" t="s">
        <v>143</v>
      </c>
      <c r="G974" s="96" t="str">
        <f>IF(F974="Skeet",IFERROR(INDEX('Shooter-Squad Assignment'!$A:$A,MATCH(C974&amp;"-"&amp;E974&amp;"-"&amp;F974&amp;"-Pos1",'Shooter-Squad Assignment'!$K:$K,0)),""),IF(F974="Trap",IFERROR(INDEX('Shooter-Squad Assignment'!$A:$A,MATCH(C974&amp;"-"&amp;E974&amp;"-"&amp;F974&amp;"-Pos1",'Shooter-Squad Assignment'!$W:$W,0)),""),IF(F974="Sporting Clays",IFERROR(INDEX('Shooter-Squad Assignment'!$A:$A,MATCH(C974&amp;"-"&amp;E974&amp;"-"&amp;F974&amp;"-Pos1",'Shooter-Squad Assignment'!$Z:$Z,0)),""),"")))</f>
        <v/>
      </c>
      <c r="H974" s="88" t="str">
        <f>IF(ISBLANK(G974),"",IFERROR(INDEX('Tournament List'!$D:$D,MATCH(G974,'Tournament List'!$A:$A,0)),""))</f>
        <v/>
      </c>
      <c r="I974" s="96" t="str">
        <f>IF(F974="Skeet",IFERROR(INDEX('Shooter-Squad Assignment'!$A:$A,MATCH(C974&amp;"-"&amp;E974&amp;"-"&amp;F974&amp;"-Pos2",'Shooter-Squad Assignment'!$K:$K,0)),""),IF(F974="Trap",IFERROR(INDEX('Shooter-Squad Assignment'!$A:$A,MATCH(C974&amp;"-"&amp;E974&amp;"-"&amp;F974&amp;"-Pos2",'Shooter-Squad Assignment'!$W:$W,0)),""),IF(F974="Sporting Clays",IFERROR(INDEX('Shooter-Squad Assignment'!$A:$A,MATCH(C974&amp;"-"&amp;E974&amp;"-"&amp;F974&amp;"-Pos2",'Shooter-Squad Assignment'!$Z:$Z,0)),""),"")))</f>
        <v/>
      </c>
      <c r="J974" s="88" t="str">
        <f>IF(ISBLANK(I974),"",IFERROR(INDEX('Tournament List'!$D:$D,MATCH(I974,'Tournament List'!$A:$A,0)),""))</f>
        <v/>
      </c>
      <c r="K974" s="96" t="str">
        <f>IF(F974="Skeet",IFERROR(INDEX('Shooter-Squad Assignment'!$A:$A,MATCH(C974&amp;"-"&amp;E974&amp;"-"&amp;F974&amp;"-Pos3",'Shooter-Squad Assignment'!$K:$K,0)),""),IF(F974="Trap",IFERROR(INDEX('Shooter-Squad Assignment'!$A:$A,MATCH(C974&amp;"-"&amp;E974&amp;"-"&amp;F974&amp;"-Pos3",'Shooter-Squad Assignment'!$W:$W,0)),""),IF(F974="Sporting Clays",IFERROR(INDEX('Shooter-Squad Assignment'!$A:$A,MATCH(C974&amp;"-"&amp;E974&amp;"-"&amp;F974&amp;"-Pos3",'Shooter-Squad Assignment'!$Z:$Z,0)),""),"")))</f>
        <v/>
      </c>
      <c r="L974" s="88" t="str">
        <f>IF(ISBLANK(K974),"",IFERROR(INDEX('Tournament List'!$D:$D,MATCH(K974,'Tournament List'!$A:$A,0)),""))</f>
        <v/>
      </c>
      <c r="M974" s="96" t="str">
        <f>IF(F974="Skeet",IFERROR(INDEX('Shooter-Squad Assignment'!$A:$A,MATCH(C974&amp;"-"&amp;E974&amp;"-"&amp;F974&amp;"-Pos4",'Shooter-Squad Assignment'!$K:$K,0)),""),IF(F974="Trap",IFERROR(INDEX('Shooter-Squad Assignment'!$A:$A,MATCH(C974&amp;"-"&amp;E974&amp;"-"&amp;F974&amp;"-Pos4",'Shooter-Squad Assignment'!$W:$W,0)),""),IF(F974="Sporting Clays",IFERROR(INDEX('Shooter-Squad Assignment'!$A:$A,MATCH(C974&amp;"-"&amp;E974&amp;"-"&amp;F974&amp;"-Pos4",'Shooter-Squad Assignment'!$Z:$Z,0)),""),"")))</f>
        <v/>
      </c>
      <c r="N974" s="88" t="str">
        <f>IF(ISBLANK(M974),"",IFERROR(INDEX('Tournament List'!$D:$D,MATCH(M974,'Tournament List'!$A:$A,0)),""))</f>
        <v/>
      </c>
      <c r="O974" s="96" t="str">
        <f>IF(F974="Skeet",IFERROR(INDEX('Shooter-Squad Assignment'!$A:$A,MATCH(C974&amp;"-"&amp;E974&amp;"-"&amp;F974&amp;"-Pos5",'Shooter-Squad Assignment'!$K:$K,0)),""),IF(F974="Trap",IFERROR(INDEX('Shooter-Squad Assignment'!$A:$A,MATCH(C974&amp;"-"&amp;E974&amp;"-"&amp;F974&amp;"-Pos5",'Shooter-Squad Assignment'!$W:$W,0)),""),IF(F974="Sporting Clays",IFERROR(INDEX('Shooter-Squad Assignment'!$A:$A,MATCH(C974&amp;"-"&amp;E974&amp;"-"&amp;F974&amp;"-Pos5",'Shooter-Squad Assignment'!$Z:$Z,0)),""),"")))</f>
        <v/>
      </c>
      <c r="P974" s="89" t="str">
        <f>IF(ISBLANK(O974),"",IFERROR(INDEX('Tournament List'!$D:$D,MATCH(O974,'Tournament List'!$A:$A,0)),""))</f>
        <v/>
      </c>
    </row>
    <row r="975" spans="1:16" x14ac:dyDescent="0.3">
      <c r="A975" s="87">
        <v>974</v>
      </c>
      <c r="B975" s="88" t="str">
        <f>C975&amp;"-"&amp;E975&amp;"-"&amp;F975</f>
        <v>-Intermediate 2-Skeet</v>
      </c>
      <c r="C975" s="88"/>
      <c r="D975" s="88" t="str">
        <f>INDEX('Tournament Setup'!$B$59:$B$78,MATCH(E975,SquadConcurrents,0))</f>
        <v>Intermediate</v>
      </c>
      <c r="E975" s="88" t="s">
        <v>344</v>
      </c>
      <c r="F975" s="88" t="s">
        <v>143</v>
      </c>
      <c r="G975" s="96" t="str">
        <f>IF(F975="Skeet",IFERROR(INDEX('Shooter-Squad Assignment'!$A:$A,MATCH(C975&amp;"-"&amp;E975&amp;"-"&amp;F975&amp;"-Pos1",'Shooter-Squad Assignment'!$K:$K,0)),""),IF(F975="Trap",IFERROR(INDEX('Shooter-Squad Assignment'!$A:$A,MATCH(C975&amp;"-"&amp;E975&amp;"-"&amp;F975&amp;"-Pos1",'Shooter-Squad Assignment'!$W:$W,0)),""),IF(F975="Sporting Clays",IFERROR(INDEX('Shooter-Squad Assignment'!$A:$A,MATCH(C975&amp;"-"&amp;E975&amp;"-"&amp;F975&amp;"-Pos1",'Shooter-Squad Assignment'!$Z:$Z,0)),""),"")))</f>
        <v/>
      </c>
      <c r="H975" s="88" t="str">
        <f>IF(ISBLANK(G975),"",IFERROR(INDEX('Tournament List'!$D:$D,MATCH(G975,'Tournament List'!$A:$A,0)),""))</f>
        <v/>
      </c>
      <c r="I975" s="96" t="str">
        <f>IF(F975="Skeet",IFERROR(INDEX('Shooter-Squad Assignment'!$A:$A,MATCH(C975&amp;"-"&amp;E975&amp;"-"&amp;F975&amp;"-Pos2",'Shooter-Squad Assignment'!$K:$K,0)),""),IF(F975="Trap",IFERROR(INDEX('Shooter-Squad Assignment'!$A:$A,MATCH(C975&amp;"-"&amp;E975&amp;"-"&amp;F975&amp;"-Pos2",'Shooter-Squad Assignment'!$W:$W,0)),""),IF(F975="Sporting Clays",IFERROR(INDEX('Shooter-Squad Assignment'!$A:$A,MATCH(C975&amp;"-"&amp;E975&amp;"-"&amp;F975&amp;"-Pos2",'Shooter-Squad Assignment'!$Z:$Z,0)),""),"")))</f>
        <v/>
      </c>
      <c r="J975" s="88" t="str">
        <f>IF(ISBLANK(I975),"",IFERROR(INDEX('Tournament List'!$D:$D,MATCH(I975,'Tournament List'!$A:$A,0)),""))</f>
        <v/>
      </c>
      <c r="K975" s="96" t="str">
        <f>IF(F975="Skeet",IFERROR(INDEX('Shooter-Squad Assignment'!$A:$A,MATCH(C975&amp;"-"&amp;E975&amp;"-"&amp;F975&amp;"-Pos3",'Shooter-Squad Assignment'!$K:$K,0)),""),IF(F975="Trap",IFERROR(INDEX('Shooter-Squad Assignment'!$A:$A,MATCH(C975&amp;"-"&amp;E975&amp;"-"&amp;F975&amp;"-Pos3",'Shooter-Squad Assignment'!$W:$W,0)),""),IF(F975="Sporting Clays",IFERROR(INDEX('Shooter-Squad Assignment'!$A:$A,MATCH(C975&amp;"-"&amp;E975&amp;"-"&amp;F975&amp;"-Pos3",'Shooter-Squad Assignment'!$Z:$Z,0)),""),"")))</f>
        <v/>
      </c>
      <c r="L975" s="88" t="str">
        <f>IF(ISBLANK(K975),"",IFERROR(INDEX('Tournament List'!$D:$D,MATCH(K975,'Tournament List'!$A:$A,0)),""))</f>
        <v/>
      </c>
      <c r="M975" s="96" t="str">
        <f>IF(F975="Skeet",IFERROR(INDEX('Shooter-Squad Assignment'!$A:$A,MATCH(C975&amp;"-"&amp;E975&amp;"-"&amp;F975&amp;"-Pos4",'Shooter-Squad Assignment'!$K:$K,0)),""),IF(F975="Trap",IFERROR(INDEX('Shooter-Squad Assignment'!$A:$A,MATCH(C975&amp;"-"&amp;E975&amp;"-"&amp;F975&amp;"-Pos4",'Shooter-Squad Assignment'!$W:$W,0)),""),IF(F975="Sporting Clays",IFERROR(INDEX('Shooter-Squad Assignment'!$A:$A,MATCH(C975&amp;"-"&amp;E975&amp;"-"&amp;F975&amp;"-Pos4",'Shooter-Squad Assignment'!$Z:$Z,0)),""),"")))</f>
        <v/>
      </c>
      <c r="N975" s="88" t="str">
        <f>IF(ISBLANK(M975),"",IFERROR(INDEX('Tournament List'!$D:$D,MATCH(M975,'Tournament List'!$A:$A,0)),""))</f>
        <v/>
      </c>
      <c r="O975" s="96" t="str">
        <f>IF(F975="Skeet",IFERROR(INDEX('Shooter-Squad Assignment'!$A:$A,MATCH(C975&amp;"-"&amp;E975&amp;"-"&amp;F975&amp;"-Pos5",'Shooter-Squad Assignment'!$K:$K,0)),""),IF(F975="Trap",IFERROR(INDEX('Shooter-Squad Assignment'!$A:$A,MATCH(C975&amp;"-"&amp;E975&amp;"-"&amp;F975&amp;"-Pos5",'Shooter-Squad Assignment'!$W:$W,0)),""),IF(F975="Sporting Clays",IFERROR(INDEX('Shooter-Squad Assignment'!$A:$A,MATCH(C975&amp;"-"&amp;E975&amp;"-"&amp;F975&amp;"-Pos5",'Shooter-Squad Assignment'!$Z:$Z,0)),""),"")))</f>
        <v/>
      </c>
      <c r="P975" s="89" t="str">
        <f>IF(ISBLANK(O975),"",IFERROR(INDEX('Tournament List'!$D:$D,MATCH(O975,'Tournament List'!$A:$A,0)),""))</f>
        <v/>
      </c>
    </row>
    <row r="976" spans="1:16" x14ac:dyDescent="0.3">
      <c r="A976" s="87">
        <v>975</v>
      </c>
      <c r="B976" s="88" t="str">
        <f>C976&amp;"-"&amp;E976&amp;"-"&amp;F976</f>
        <v>-Intermediate 3-Skeet</v>
      </c>
      <c r="C976" s="88"/>
      <c r="D976" s="88" t="str">
        <f>INDEX('Tournament Setup'!$B$59:$B$78,MATCH(E976,SquadConcurrents,0))</f>
        <v>Intermediate</v>
      </c>
      <c r="E976" s="88" t="s">
        <v>350</v>
      </c>
      <c r="F976" s="88" t="s">
        <v>143</v>
      </c>
      <c r="G976" s="96" t="str">
        <f>IF(F976="Skeet",IFERROR(INDEX('Shooter-Squad Assignment'!$A:$A,MATCH(C976&amp;"-"&amp;E976&amp;"-"&amp;F976&amp;"-Pos1",'Shooter-Squad Assignment'!$K:$K,0)),""),IF(F976="Trap",IFERROR(INDEX('Shooter-Squad Assignment'!$A:$A,MATCH(C976&amp;"-"&amp;E976&amp;"-"&amp;F976&amp;"-Pos1",'Shooter-Squad Assignment'!$W:$W,0)),""),IF(F976="Sporting Clays",IFERROR(INDEX('Shooter-Squad Assignment'!$A:$A,MATCH(C976&amp;"-"&amp;E976&amp;"-"&amp;F976&amp;"-Pos1",'Shooter-Squad Assignment'!$Z:$Z,0)),""),"")))</f>
        <v/>
      </c>
      <c r="H976" s="88" t="str">
        <f>IF(ISBLANK(G976),"",IFERROR(INDEX('Tournament List'!$D:$D,MATCH(G976,'Tournament List'!$A:$A,0)),""))</f>
        <v/>
      </c>
      <c r="I976" s="96" t="str">
        <f>IF(F976="Skeet",IFERROR(INDEX('Shooter-Squad Assignment'!$A:$A,MATCH(C976&amp;"-"&amp;E976&amp;"-"&amp;F976&amp;"-Pos2",'Shooter-Squad Assignment'!$K:$K,0)),""),IF(F976="Trap",IFERROR(INDEX('Shooter-Squad Assignment'!$A:$A,MATCH(C976&amp;"-"&amp;E976&amp;"-"&amp;F976&amp;"-Pos2",'Shooter-Squad Assignment'!$W:$W,0)),""),IF(F976="Sporting Clays",IFERROR(INDEX('Shooter-Squad Assignment'!$A:$A,MATCH(C976&amp;"-"&amp;E976&amp;"-"&amp;F976&amp;"-Pos2",'Shooter-Squad Assignment'!$Z:$Z,0)),""),"")))</f>
        <v/>
      </c>
      <c r="J976" s="88" t="str">
        <f>IF(ISBLANK(I976),"",IFERROR(INDEX('Tournament List'!$D:$D,MATCH(I976,'Tournament List'!$A:$A,0)),""))</f>
        <v/>
      </c>
      <c r="K976" s="96" t="str">
        <f>IF(F976="Skeet",IFERROR(INDEX('Shooter-Squad Assignment'!$A:$A,MATCH(C976&amp;"-"&amp;E976&amp;"-"&amp;F976&amp;"-Pos3",'Shooter-Squad Assignment'!$K:$K,0)),""),IF(F976="Trap",IFERROR(INDEX('Shooter-Squad Assignment'!$A:$A,MATCH(C976&amp;"-"&amp;E976&amp;"-"&amp;F976&amp;"-Pos3",'Shooter-Squad Assignment'!$W:$W,0)),""),IF(F976="Sporting Clays",IFERROR(INDEX('Shooter-Squad Assignment'!$A:$A,MATCH(C976&amp;"-"&amp;E976&amp;"-"&amp;F976&amp;"-Pos3",'Shooter-Squad Assignment'!$Z:$Z,0)),""),"")))</f>
        <v/>
      </c>
      <c r="L976" s="88" t="str">
        <f>IF(ISBLANK(K976),"",IFERROR(INDEX('Tournament List'!$D:$D,MATCH(K976,'Tournament List'!$A:$A,0)),""))</f>
        <v/>
      </c>
      <c r="M976" s="96" t="str">
        <f>IF(F976="Skeet",IFERROR(INDEX('Shooter-Squad Assignment'!$A:$A,MATCH(C976&amp;"-"&amp;E976&amp;"-"&amp;F976&amp;"-Pos4",'Shooter-Squad Assignment'!$K:$K,0)),""),IF(F976="Trap",IFERROR(INDEX('Shooter-Squad Assignment'!$A:$A,MATCH(C976&amp;"-"&amp;E976&amp;"-"&amp;F976&amp;"-Pos4",'Shooter-Squad Assignment'!$W:$W,0)),""),IF(F976="Sporting Clays",IFERROR(INDEX('Shooter-Squad Assignment'!$A:$A,MATCH(C976&amp;"-"&amp;E976&amp;"-"&amp;F976&amp;"-Pos4",'Shooter-Squad Assignment'!$Z:$Z,0)),""),"")))</f>
        <v/>
      </c>
      <c r="N976" s="88" t="str">
        <f>IF(ISBLANK(M976),"",IFERROR(INDEX('Tournament List'!$D:$D,MATCH(M976,'Tournament List'!$A:$A,0)),""))</f>
        <v/>
      </c>
      <c r="O976" s="96" t="str">
        <f>IF(F976="Skeet",IFERROR(INDEX('Shooter-Squad Assignment'!$A:$A,MATCH(C976&amp;"-"&amp;E976&amp;"-"&amp;F976&amp;"-Pos5",'Shooter-Squad Assignment'!$K:$K,0)),""),IF(F976="Trap",IFERROR(INDEX('Shooter-Squad Assignment'!$A:$A,MATCH(C976&amp;"-"&amp;E976&amp;"-"&amp;F976&amp;"-Pos5",'Shooter-Squad Assignment'!$W:$W,0)),""),IF(F976="Sporting Clays",IFERROR(INDEX('Shooter-Squad Assignment'!$A:$A,MATCH(C976&amp;"-"&amp;E976&amp;"-"&amp;F976&amp;"-Pos5",'Shooter-Squad Assignment'!$Z:$Z,0)),""),"")))</f>
        <v/>
      </c>
      <c r="P976" s="89" t="str">
        <f>IF(ISBLANK(O976),"",IFERROR(INDEX('Tournament List'!$D:$D,MATCH(O976,'Tournament List'!$A:$A,0)),""))</f>
        <v/>
      </c>
    </row>
    <row r="977" spans="1:16" x14ac:dyDescent="0.3">
      <c r="A977" s="87">
        <v>976</v>
      </c>
      <c r="B977" s="88" t="str">
        <f>C977&amp;"-"&amp;E977&amp;"-"&amp;F977</f>
        <v>-Junior Varsity 1-Skeet</v>
      </c>
      <c r="C977" s="88"/>
      <c r="D977" s="88" t="str">
        <f>INDEX('Tournament Setup'!$B$59:$B$78,MATCH(E977,SquadConcurrents,0))</f>
        <v>Junior Varsity</v>
      </c>
      <c r="E977" s="88" t="s">
        <v>339</v>
      </c>
      <c r="F977" s="88" t="s">
        <v>143</v>
      </c>
      <c r="G977" s="96" t="str">
        <f>IF(F977="Skeet",IFERROR(INDEX('Shooter-Squad Assignment'!$A:$A,MATCH(C977&amp;"-"&amp;E977&amp;"-"&amp;F977&amp;"-Pos1",'Shooter-Squad Assignment'!$K:$K,0)),""),IF(F977="Trap",IFERROR(INDEX('Shooter-Squad Assignment'!$A:$A,MATCH(C977&amp;"-"&amp;E977&amp;"-"&amp;F977&amp;"-Pos1",'Shooter-Squad Assignment'!$W:$W,0)),""),IF(F977="Sporting Clays",IFERROR(INDEX('Shooter-Squad Assignment'!$A:$A,MATCH(C977&amp;"-"&amp;E977&amp;"-"&amp;F977&amp;"-Pos1",'Shooter-Squad Assignment'!$Z:$Z,0)),""),"")))</f>
        <v/>
      </c>
      <c r="H977" s="88" t="str">
        <f>IF(ISBLANK(G977),"",IFERROR(INDEX('Tournament List'!$D:$D,MATCH(G977,'Tournament List'!$A:$A,0)),""))</f>
        <v/>
      </c>
      <c r="I977" s="96" t="str">
        <f>IF(F977="Skeet",IFERROR(INDEX('Shooter-Squad Assignment'!$A:$A,MATCH(C977&amp;"-"&amp;E977&amp;"-"&amp;F977&amp;"-Pos2",'Shooter-Squad Assignment'!$K:$K,0)),""),IF(F977="Trap",IFERROR(INDEX('Shooter-Squad Assignment'!$A:$A,MATCH(C977&amp;"-"&amp;E977&amp;"-"&amp;F977&amp;"-Pos2",'Shooter-Squad Assignment'!$W:$W,0)),""),IF(F977="Sporting Clays",IFERROR(INDEX('Shooter-Squad Assignment'!$A:$A,MATCH(C977&amp;"-"&amp;E977&amp;"-"&amp;F977&amp;"-Pos2",'Shooter-Squad Assignment'!$Z:$Z,0)),""),"")))</f>
        <v/>
      </c>
      <c r="J977" s="88" t="str">
        <f>IF(ISBLANK(I977),"",IFERROR(INDEX('Tournament List'!$D:$D,MATCH(I977,'Tournament List'!$A:$A,0)),""))</f>
        <v/>
      </c>
      <c r="K977" s="96" t="str">
        <f>IF(F977="Skeet",IFERROR(INDEX('Shooter-Squad Assignment'!$A:$A,MATCH(C977&amp;"-"&amp;E977&amp;"-"&amp;F977&amp;"-Pos3",'Shooter-Squad Assignment'!$K:$K,0)),""),IF(F977="Trap",IFERROR(INDEX('Shooter-Squad Assignment'!$A:$A,MATCH(C977&amp;"-"&amp;E977&amp;"-"&amp;F977&amp;"-Pos3",'Shooter-Squad Assignment'!$W:$W,0)),""),IF(F977="Sporting Clays",IFERROR(INDEX('Shooter-Squad Assignment'!$A:$A,MATCH(C977&amp;"-"&amp;E977&amp;"-"&amp;F977&amp;"-Pos3",'Shooter-Squad Assignment'!$Z:$Z,0)),""),"")))</f>
        <v/>
      </c>
      <c r="L977" s="88" t="str">
        <f>IF(ISBLANK(K977),"",IFERROR(INDEX('Tournament List'!$D:$D,MATCH(K977,'Tournament List'!$A:$A,0)),""))</f>
        <v/>
      </c>
      <c r="M977" s="96" t="str">
        <f>IF(F977="Skeet",IFERROR(INDEX('Shooter-Squad Assignment'!$A:$A,MATCH(C977&amp;"-"&amp;E977&amp;"-"&amp;F977&amp;"-Pos4",'Shooter-Squad Assignment'!$K:$K,0)),""),IF(F977="Trap",IFERROR(INDEX('Shooter-Squad Assignment'!$A:$A,MATCH(C977&amp;"-"&amp;E977&amp;"-"&amp;F977&amp;"-Pos4",'Shooter-Squad Assignment'!$W:$W,0)),""),IF(F977="Sporting Clays",IFERROR(INDEX('Shooter-Squad Assignment'!$A:$A,MATCH(C977&amp;"-"&amp;E977&amp;"-"&amp;F977&amp;"-Pos4",'Shooter-Squad Assignment'!$Z:$Z,0)),""),"")))</f>
        <v/>
      </c>
      <c r="N977" s="88" t="str">
        <f>IF(ISBLANK(M977),"",IFERROR(INDEX('Tournament List'!$D:$D,MATCH(M977,'Tournament List'!$A:$A,0)),""))</f>
        <v/>
      </c>
      <c r="O977" s="96" t="str">
        <f>IF(F977="Skeet",IFERROR(INDEX('Shooter-Squad Assignment'!$A:$A,MATCH(C977&amp;"-"&amp;E977&amp;"-"&amp;F977&amp;"-Pos5",'Shooter-Squad Assignment'!$K:$K,0)),""),IF(F977="Trap",IFERROR(INDEX('Shooter-Squad Assignment'!$A:$A,MATCH(C977&amp;"-"&amp;E977&amp;"-"&amp;F977&amp;"-Pos5",'Shooter-Squad Assignment'!$W:$W,0)),""),IF(F977="Sporting Clays",IFERROR(INDEX('Shooter-Squad Assignment'!$A:$A,MATCH(C977&amp;"-"&amp;E977&amp;"-"&amp;F977&amp;"-Pos5",'Shooter-Squad Assignment'!$Z:$Z,0)),""),"")))</f>
        <v/>
      </c>
      <c r="P977" s="89" t="str">
        <f>IF(ISBLANK(O977),"",IFERROR(INDEX('Tournament List'!$D:$D,MATCH(O977,'Tournament List'!$A:$A,0)),""))</f>
        <v/>
      </c>
    </row>
    <row r="978" spans="1:16" x14ac:dyDescent="0.3">
      <c r="A978" s="87">
        <v>977</v>
      </c>
      <c r="B978" s="88" t="str">
        <f>C978&amp;"-"&amp;E978&amp;"-"&amp;F978</f>
        <v>-Junior Varsity 2-Skeet</v>
      </c>
      <c r="C978" s="88"/>
      <c r="D978" s="88" t="str">
        <f>INDEX('Tournament Setup'!$B$59:$B$78,MATCH(E978,SquadConcurrents,0))</f>
        <v>Junior Varsity</v>
      </c>
      <c r="E978" s="88" t="s">
        <v>345</v>
      </c>
      <c r="F978" s="88" t="s">
        <v>143</v>
      </c>
      <c r="G978" s="96" t="str">
        <f>IF(F978="Skeet",IFERROR(INDEX('Shooter-Squad Assignment'!$A:$A,MATCH(C978&amp;"-"&amp;E978&amp;"-"&amp;F978&amp;"-Pos1",'Shooter-Squad Assignment'!$K:$K,0)),""),IF(F978="Trap",IFERROR(INDEX('Shooter-Squad Assignment'!$A:$A,MATCH(C978&amp;"-"&amp;E978&amp;"-"&amp;F978&amp;"-Pos1",'Shooter-Squad Assignment'!$W:$W,0)),""),IF(F978="Sporting Clays",IFERROR(INDEX('Shooter-Squad Assignment'!$A:$A,MATCH(C978&amp;"-"&amp;E978&amp;"-"&amp;F978&amp;"-Pos1",'Shooter-Squad Assignment'!$Z:$Z,0)),""),"")))</f>
        <v/>
      </c>
      <c r="H978" s="88" t="str">
        <f>IF(ISBLANK(G978),"",IFERROR(INDEX('Tournament List'!$D:$D,MATCH(G978,'Tournament List'!$A:$A,0)),""))</f>
        <v/>
      </c>
      <c r="I978" s="96" t="str">
        <f>IF(F978="Skeet",IFERROR(INDEX('Shooter-Squad Assignment'!$A:$A,MATCH(C978&amp;"-"&amp;E978&amp;"-"&amp;F978&amp;"-Pos2",'Shooter-Squad Assignment'!$K:$K,0)),""),IF(F978="Trap",IFERROR(INDEX('Shooter-Squad Assignment'!$A:$A,MATCH(C978&amp;"-"&amp;E978&amp;"-"&amp;F978&amp;"-Pos2",'Shooter-Squad Assignment'!$W:$W,0)),""),IF(F978="Sporting Clays",IFERROR(INDEX('Shooter-Squad Assignment'!$A:$A,MATCH(C978&amp;"-"&amp;E978&amp;"-"&amp;F978&amp;"-Pos2",'Shooter-Squad Assignment'!$Z:$Z,0)),""),"")))</f>
        <v/>
      </c>
      <c r="J978" s="88" t="str">
        <f>IF(ISBLANK(I978),"",IFERROR(INDEX('Tournament List'!$D:$D,MATCH(I978,'Tournament List'!$A:$A,0)),""))</f>
        <v/>
      </c>
      <c r="K978" s="96" t="str">
        <f>IF(F978="Skeet",IFERROR(INDEX('Shooter-Squad Assignment'!$A:$A,MATCH(C978&amp;"-"&amp;E978&amp;"-"&amp;F978&amp;"-Pos3",'Shooter-Squad Assignment'!$K:$K,0)),""),IF(F978="Trap",IFERROR(INDEX('Shooter-Squad Assignment'!$A:$A,MATCH(C978&amp;"-"&amp;E978&amp;"-"&amp;F978&amp;"-Pos3",'Shooter-Squad Assignment'!$W:$W,0)),""),IF(F978="Sporting Clays",IFERROR(INDEX('Shooter-Squad Assignment'!$A:$A,MATCH(C978&amp;"-"&amp;E978&amp;"-"&amp;F978&amp;"-Pos3",'Shooter-Squad Assignment'!$Z:$Z,0)),""),"")))</f>
        <v/>
      </c>
      <c r="L978" s="88" t="str">
        <f>IF(ISBLANK(K978),"",IFERROR(INDEX('Tournament List'!$D:$D,MATCH(K978,'Tournament List'!$A:$A,0)),""))</f>
        <v/>
      </c>
      <c r="M978" s="96" t="str">
        <f>IF(F978="Skeet",IFERROR(INDEX('Shooter-Squad Assignment'!$A:$A,MATCH(C978&amp;"-"&amp;E978&amp;"-"&amp;F978&amp;"-Pos4",'Shooter-Squad Assignment'!$K:$K,0)),""),IF(F978="Trap",IFERROR(INDEX('Shooter-Squad Assignment'!$A:$A,MATCH(C978&amp;"-"&amp;E978&amp;"-"&amp;F978&amp;"-Pos4",'Shooter-Squad Assignment'!$W:$W,0)),""),IF(F978="Sporting Clays",IFERROR(INDEX('Shooter-Squad Assignment'!$A:$A,MATCH(C978&amp;"-"&amp;E978&amp;"-"&amp;F978&amp;"-Pos4",'Shooter-Squad Assignment'!$Z:$Z,0)),""),"")))</f>
        <v/>
      </c>
      <c r="N978" s="88" t="str">
        <f>IF(ISBLANK(M978),"",IFERROR(INDEX('Tournament List'!$D:$D,MATCH(M978,'Tournament List'!$A:$A,0)),""))</f>
        <v/>
      </c>
      <c r="O978" s="96" t="str">
        <f>IF(F978="Skeet",IFERROR(INDEX('Shooter-Squad Assignment'!$A:$A,MATCH(C978&amp;"-"&amp;E978&amp;"-"&amp;F978&amp;"-Pos5",'Shooter-Squad Assignment'!$K:$K,0)),""),IF(F978="Trap",IFERROR(INDEX('Shooter-Squad Assignment'!$A:$A,MATCH(C978&amp;"-"&amp;E978&amp;"-"&amp;F978&amp;"-Pos5",'Shooter-Squad Assignment'!$W:$W,0)),""),IF(F978="Sporting Clays",IFERROR(INDEX('Shooter-Squad Assignment'!$A:$A,MATCH(C978&amp;"-"&amp;E978&amp;"-"&amp;F978&amp;"-Pos5",'Shooter-Squad Assignment'!$Z:$Z,0)),""),"")))</f>
        <v/>
      </c>
      <c r="P978" s="89" t="str">
        <f>IF(ISBLANK(O978),"",IFERROR(INDEX('Tournament List'!$D:$D,MATCH(O978,'Tournament List'!$A:$A,0)),""))</f>
        <v/>
      </c>
    </row>
    <row r="979" spans="1:16" x14ac:dyDescent="0.3">
      <c r="A979" s="87">
        <v>978</v>
      </c>
      <c r="B979" s="88" t="str">
        <f>C979&amp;"-"&amp;E979&amp;"-"&amp;F979</f>
        <v>-Junior Varsity 3-Skeet</v>
      </c>
      <c r="C979" s="88"/>
      <c r="D979" s="88" t="str">
        <f>INDEX('Tournament Setup'!$B$59:$B$78,MATCH(E979,SquadConcurrents,0))</f>
        <v>Junior Varsity</v>
      </c>
      <c r="E979" s="88" t="s">
        <v>351</v>
      </c>
      <c r="F979" s="88" t="s">
        <v>143</v>
      </c>
      <c r="G979" s="96" t="str">
        <f>IF(F979="Skeet",IFERROR(INDEX('Shooter-Squad Assignment'!$A:$A,MATCH(C979&amp;"-"&amp;E979&amp;"-"&amp;F979&amp;"-Pos1",'Shooter-Squad Assignment'!$K:$K,0)),""),IF(F979="Trap",IFERROR(INDEX('Shooter-Squad Assignment'!$A:$A,MATCH(C979&amp;"-"&amp;E979&amp;"-"&amp;F979&amp;"-Pos1",'Shooter-Squad Assignment'!$W:$W,0)),""),IF(F979="Sporting Clays",IFERROR(INDEX('Shooter-Squad Assignment'!$A:$A,MATCH(C979&amp;"-"&amp;E979&amp;"-"&amp;F979&amp;"-Pos1",'Shooter-Squad Assignment'!$Z:$Z,0)),""),"")))</f>
        <v/>
      </c>
      <c r="H979" s="88" t="str">
        <f>IF(ISBLANK(G979),"",IFERROR(INDEX('Tournament List'!$D:$D,MATCH(G979,'Tournament List'!$A:$A,0)),""))</f>
        <v/>
      </c>
      <c r="I979" s="96" t="str">
        <f>IF(F979="Skeet",IFERROR(INDEX('Shooter-Squad Assignment'!$A:$A,MATCH(C979&amp;"-"&amp;E979&amp;"-"&amp;F979&amp;"-Pos2",'Shooter-Squad Assignment'!$K:$K,0)),""),IF(F979="Trap",IFERROR(INDEX('Shooter-Squad Assignment'!$A:$A,MATCH(C979&amp;"-"&amp;E979&amp;"-"&amp;F979&amp;"-Pos2",'Shooter-Squad Assignment'!$W:$W,0)),""),IF(F979="Sporting Clays",IFERROR(INDEX('Shooter-Squad Assignment'!$A:$A,MATCH(C979&amp;"-"&amp;E979&amp;"-"&amp;F979&amp;"-Pos2",'Shooter-Squad Assignment'!$Z:$Z,0)),""),"")))</f>
        <v/>
      </c>
      <c r="J979" s="88" t="str">
        <f>IF(ISBLANK(I979),"",IFERROR(INDEX('Tournament List'!$D:$D,MATCH(I979,'Tournament List'!$A:$A,0)),""))</f>
        <v/>
      </c>
      <c r="K979" s="96" t="str">
        <f>IF(F979="Skeet",IFERROR(INDEX('Shooter-Squad Assignment'!$A:$A,MATCH(C979&amp;"-"&amp;E979&amp;"-"&amp;F979&amp;"-Pos3",'Shooter-Squad Assignment'!$K:$K,0)),""),IF(F979="Trap",IFERROR(INDEX('Shooter-Squad Assignment'!$A:$A,MATCH(C979&amp;"-"&amp;E979&amp;"-"&amp;F979&amp;"-Pos3",'Shooter-Squad Assignment'!$W:$W,0)),""),IF(F979="Sporting Clays",IFERROR(INDEX('Shooter-Squad Assignment'!$A:$A,MATCH(C979&amp;"-"&amp;E979&amp;"-"&amp;F979&amp;"-Pos3",'Shooter-Squad Assignment'!$Z:$Z,0)),""),"")))</f>
        <v/>
      </c>
      <c r="L979" s="88" t="str">
        <f>IF(ISBLANK(K979),"",IFERROR(INDEX('Tournament List'!$D:$D,MATCH(K979,'Tournament List'!$A:$A,0)),""))</f>
        <v/>
      </c>
      <c r="M979" s="96" t="str">
        <f>IF(F979="Skeet",IFERROR(INDEX('Shooter-Squad Assignment'!$A:$A,MATCH(C979&amp;"-"&amp;E979&amp;"-"&amp;F979&amp;"-Pos4",'Shooter-Squad Assignment'!$K:$K,0)),""),IF(F979="Trap",IFERROR(INDEX('Shooter-Squad Assignment'!$A:$A,MATCH(C979&amp;"-"&amp;E979&amp;"-"&amp;F979&amp;"-Pos4",'Shooter-Squad Assignment'!$W:$W,0)),""),IF(F979="Sporting Clays",IFERROR(INDEX('Shooter-Squad Assignment'!$A:$A,MATCH(C979&amp;"-"&amp;E979&amp;"-"&amp;F979&amp;"-Pos4",'Shooter-Squad Assignment'!$Z:$Z,0)),""),"")))</f>
        <v/>
      </c>
      <c r="N979" s="88" t="str">
        <f>IF(ISBLANK(M979),"",IFERROR(INDEX('Tournament List'!$D:$D,MATCH(M979,'Tournament List'!$A:$A,0)),""))</f>
        <v/>
      </c>
      <c r="O979" s="96" t="str">
        <f>IF(F979="Skeet",IFERROR(INDEX('Shooter-Squad Assignment'!$A:$A,MATCH(C979&amp;"-"&amp;E979&amp;"-"&amp;F979&amp;"-Pos5",'Shooter-Squad Assignment'!$K:$K,0)),""),IF(F979="Trap",IFERROR(INDEX('Shooter-Squad Assignment'!$A:$A,MATCH(C979&amp;"-"&amp;E979&amp;"-"&amp;F979&amp;"-Pos5",'Shooter-Squad Assignment'!$W:$W,0)),""),IF(F979="Sporting Clays",IFERROR(INDEX('Shooter-Squad Assignment'!$A:$A,MATCH(C979&amp;"-"&amp;E979&amp;"-"&amp;F979&amp;"-Pos5",'Shooter-Squad Assignment'!$Z:$Z,0)),""),"")))</f>
        <v/>
      </c>
      <c r="P979" s="89" t="str">
        <f>IF(ISBLANK(O979),"",IFERROR(INDEX('Tournament List'!$D:$D,MATCH(O979,'Tournament List'!$A:$A,0)),""))</f>
        <v/>
      </c>
    </row>
    <row r="980" spans="1:16" x14ac:dyDescent="0.3">
      <c r="A980" s="87">
        <v>979</v>
      </c>
      <c r="B980" s="88" t="str">
        <f>C980&amp;"-"&amp;E980&amp;"-"&amp;F980</f>
        <v>-Novice 1-Skeet</v>
      </c>
      <c r="C980" s="88"/>
      <c r="D980" s="88" t="str">
        <f>INDEX('Tournament Setup'!$B$59:$B$78,MATCH(E980,SquadConcurrents,0))</f>
        <v>Novice</v>
      </c>
      <c r="E980" s="88" t="s">
        <v>337</v>
      </c>
      <c r="F980" s="88" t="s">
        <v>143</v>
      </c>
      <c r="G980" s="96" t="str">
        <f>IF(F980="Skeet",IFERROR(INDEX('Shooter-Squad Assignment'!$A:$A,MATCH(C980&amp;"-"&amp;E980&amp;"-"&amp;F980&amp;"-Pos1",'Shooter-Squad Assignment'!$K:$K,0)),""),IF(F980="Trap",IFERROR(INDEX('Shooter-Squad Assignment'!$A:$A,MATCH(C980&amp;"-"&amp;E980&amp;"-"&amp;F980&amp;"-Pos1",'Shooter-Squad Assignment'!$W:$W,0)),""),IF(F980="Sporting Clays",IFERROR(INDEX('Shooter-Squad Assignment'!$A:$A,MATCH(C980&amp;"-"&amp;E980&amp;"-"&amp;F980&amp;"-Pos1",'Shooter-Squad Assignment'!$Z:$Z,0)),""),"")))</f>
        <v/>
      </c>
      <c r="H980" s="88" t="str">
        <f>IF(ISBLANK(G980),"",IFERROR(INDEX('Tournament List'!$D:$D,MATCH(G980,'Tournament List'!$A:$A,0)),""))</f>
        <v/>
      </c>
      <c r="I980" s="96" t="str">
        <f>IF(F980="Skeet",IFERROR(INDEX('Shooter-Squad Assignment'!$A:$A,MATCH(C980&amp;"-"&amp;E980&amp;"-"&amp;F980&amp;"-Pos2",'Shooter-Squad Assignment'!$K:$K,0)),""),IF(F980="Trap",IFERROR(INDEX('Shooter-Squad Assignment'!$A:$A,MATCH(C980&amp;"-"&amp;E980&amp;"-"&amp;F980&amp;"-Pos2",'Shooter-Squad Assignment'!$W:$W,0)),""),IF(F980="Sporting Clays",IFERROR(INDEX('Shooter-Squad Assignment'!$A:$A,MATCH(C980&amp;"-"&amp;E980&amp;"-"&amp;F980&amp;"-Pos2",'Shooter-Squad Assignment'!$Z:$Z,0)),""),"")))</f>
        <v/>
      </c>
      <c r="J980" s="88" t="str">
        <f>IF(ISBLANK(I980),"",IFERROR(INDEX('Tournament List'!$D:$D,MATCH(I980,'Tournament List'!$A:$A,0)),""))</f>
        <v/>
      </c>
      <c r="K980" s="96" t="str">
        <f>IF(F980="Skeet",IFERROR(INDEX('Shooter-Squad Assignment'!$A:$A,MATCH(C980&amp;"-"&amp;E980&amp;"-"&amp;F980&amp;"-Pos3",'Shooter-Squad Assignment'!$K:$K,0)),""),IF(F980="Trap",IFERROR(INDEX('Shooter-Squad Assignment'!$A:$A,MATCH(C980&amp;"-"&amp;E980&amp;"-"&amp;F980&amp;"-Pos3",'Shooter-Squad Assignment'!$W:$W,0)),""),IF(F980="Sporting Clays",IFERROR(INDEX('Shooter-Squad Assignment'!$A:$A,MATCH(C980&amp;"-"&amp;E980&amp;"-"&amp;F980&amp;"-Pos3",'Shooter-Squad Assignment'!$Z:$Z,0)),""),"")))</f>
        <v/>
      </c>
      <c r="L980" s="88" t="str">
        <f>IF(ISBLANK(K980),"",IFERROR(INDEX('Tournament List'!$D:$D,MATCH(K980,'Tournament List'!$A:$A,0)),""))</f>
        <v/>
      </c>
      <c r="M980" s="96" t="str">
        <f>IF(F980="Skeet",IFERROR(INDEX('Shooter-Squad Assignment'!$A:$A,MATCH(C980&amp;"-"&amp;E980&amp;"-"&amp;F980&amp;"-Pos4",'Shooter-Squad Assignment'!$K:$K,0)),""),IF(F980="Trap",IFERROR(INDEX('Shooter-Squad Assignment'!$A:$A,MATCH(C980&amp;"-"&amp;E980&amp;"-"&amp;F980&amp;"-Pos4",'Shooter-Squad Assignment'!$W:$W,0)),""),IF(F980="Sporting Clays",IFERROR(INDEX('Shooter-Squad Assignment'!$A:$A,MATCH(C980&amp;"-"&amp;E980&amp;"-"&amp;F980&amp;"-Pos4",'Shooter-Squad Assignment'!$Z:$Z,0)),""),"")))</f>
        <v/>
      </c>
      <c r="N980" s="88" t="str">
        <f>IF(ISBLANK(M980),"",IFERROR(INDEX('Tournament List'!$D:$D,MATCH(M980,'Tournament List'!$A:$A,0)),""))</f>
        <v/>
      </c>
      <c r="O980" s="96" t="str">
        <f>IF(F980="Skeet",IFERROR(INDEX('Shooter-Squad Assignment'!$A:$A,MATCH(C980&amp;"-"&amp;E980&amp;"-"&amp;F980&amp;"-Pos5",'Shooter-Squad Assignment'!$K:$K,0)),""),IF(F980="Trap",IFERROR(INDEX('Shooter-Squad Assignment'!$A:$A,MATCH(C980&amp;"-"&amp;E980&amp;"-"&amp;F980&amp;"-Pos5",'Shooter-Squad Assignment'!$W:$W,0)),""),IF(F980="Sporting Clays",IFERROR(INDEX('Shooter-Squad Assignment'!$A:$A,MATCH(C980&amp;"-"&amp;E980&amp;"-"&amp;F980&amp;"-Pos5",'Shooter-Squad Assignment'!$Z:$Z,0)),""),"")))</f>
        <v/>
      </c>
      <c r="P980" s="89" t="str">
        <f>IF(ISBLANK(O980),"",IFERROR(INDEX('Tournament List'!$D:$D,MATCH(O980,'Tournament List'!$A:$A,0)),""))</f>
        <v/>
      </c>
    </row>
    <row r="981" spans="1:16" x14ac:dyDescent="0.3">
      <c r="A981" s="87">
        <v>980</v>
      </c>
      <c r="B981" s="88" t="str">
        <f>C981&amp;"-"&amp;E981&amp;"-"&amp;F981</f>
        <v>-Novice 2-Skeet</v>
      </c>
      <c r="C981" s="88"/>
      <c r="D981" s="88" t="str">
        <f>INDEX('Tournament Setup'!$B$59:$B$78,MATCH(E981,SquadConcurrents,0))</f>
        <v>Novice</v>
      </c>
      <c r="E981" s="88" t="s">
        <v>343</v>
      </c>
      <c r="F981" s="88" t="s">
        <v>143</v>
      </c>
      <c r="G981" s="96" t="str">
        <f>IF(F981="Skeet",IFERROR(INDEX('Shooter-Squad Assignment'!$A:$A,MATCH(C981&amp;"-"&amp;E981&amp;"-"&amp;F981&amp;"-Pos1",'Shooter-Squad Assignment'!$K:$K,0)),""),IF(F981="Trap",IFERROR(INDEX('Shooter-Squad Assignment'!$A:$A,MATCH(C981&amp;"-"&amp;E981&amp;"-"&amp;F981&amp;"-Pos1",'Shooter-Squad Assignment'!$W:$W,0)),""),IF(F981="Sporting Clays",IFERROR(INDEX('Shooter-Squad Assignment'!$A:$A,MATCH(C981&amp;"-"&amp;E981&amp;"-"&amp;F981&amp;"-Pos1",'Shooter-Squad Assignment'!$Z:$Z,0)),""),"")))</f>
        <v/>
      </c>
      <c r="H981" s="88" t="str">
        <f>IF(ISBLANK(G981),"",IFERROR(INDEX('Tournament List'!$D:$D,MATCH(G981,'Tournament List'!$A:$A,0)),""))</f>
        <v/>
      </c>
      <c r="I981" s="96" t="str">
        <f>IF(F981="Skeet",IFERROR(INDEX('Shooter-Squad Assignment'!$A:$A,MATCH(C981&amp;"-"&amp;E981&amp;"-"&amp;F981&amp;"-Pos2",'Shooter-Squad Assignment'!$K:$K,0)),""),IF(F981="Trap",IFERROR(INDEX('Shooter-Squad Assignment'!$A:$A,MATCH(C981&amp;"-"&amp;E981&amp;"-"&amp;F981&amp;"-Pos2",'Shooter-Squad Assignment'!$W:$W,0)),""),IF(F981="Sporting Clays",IFERROR(INDEX('Shooter-Squad Assignment'!$A:$A,MATCH(C981&amp;"-"&amp;E981&amp;"-"&amp;F981&amp;"-Pos2",'Shooter-Squad Assignment'!$Z:$Z,0)),""),"")))</f>
        <v/>
      </c>
      <c r="J981" s="88" t="str">
        <f>IF(ISBLANK(I981),"",IFERROR(INDEX('Tournament List'!$D:$D,MATCH(I981,'Tournament List'!$A:$A,0)),""))</f>
        <v/>
      </c>
      <c r="K981" s="96" t="str">
        <f>IF(F981="Skeet",IFERROR(INDEX('Shooter-Squad Assignment'!$A:$A,MATCH(C981&amp;"-"&amp;E981&amp;"-"&amp;F981&amp;"-Pos3",'Shooter-Squad Assignment'!$K:$K,0)),""),IF(F981="Trap",IFERROR(INDEX('Shooter-Squad Assignment'!$A:$A,MATCH(C981&amp;"-"&amp;E981&amp;"-"&amp;F981&amp;"-Pos3",'Shooter-Squad Assignment'!$W:$W,0)),""),IF(F981="Sporting Clays",IFERROR(INDEX('Shooter-Squad Assignment'!$A:$A,MATCH(C981&amp;"-"&amp;E981&amp;"-"&amp;F981&amp;"-Pos3",'Shooter-Squad Assignment'!$Z:$Z,0)),""),"")))</f>
        <v/>
      </c>
      <c r="L981" s="88" t="str">
        <f>IF(ISBLANK(K981),"",IFERROR(INDEX('Tournament List'!$D:$D,MATCH(K981,'Tournament List'!$A:$A,0)),""))</f>
        <v/>
      </c>
      <c r="M981" s="96" t="str">
        <f>IF(F981="Skeet",IFERROR(INDEX('Shooter-Squad Assignment'!$A:$A,MATCH(C981&amp;"-"&amp;E981&amp;"-"&amp;F981&amp;"-Pos4",'Shooter-Squad Assignment'!$K:$K,0)),""),IF(F981="Trap",IFERROR(INDEX('Shooter-Squad Assignment'!$A:$A,MATCH(C981&amp;"-"&amp;E981&amp;"-"&amp;F981&amp;"-Pos4",'Shooter-Squad Assignment'!$W:$W,0)),""),IF(F981="Sporting Clays",IFERROR(INDEX('Shooter-Squad Assignment'!$A:$A,MATCH(C981&amp;"-"&amp;E981&amp;"-"&amp;F981&amp;"-Pos4",'Shooter-Squad Assignment'!$Z:$Z,0)),""),"")))</f>
        <v/>
      </c>
      <c r="N981" s="88" t="str">
        <f>IF(ISBLANK(M981),"",IFERROR(INDEX('Tournament List'!$D:$D,MATCH(M981,'Tournament List'!$A:$A,0)),""))</f>
        <v/>
      </c>
      <c r="O981" s="96" t="str">
        <f>IF(F981="Skeet",IFERROR(INDEX('Shooter-Squad Assignment'!$A:$A,MATCH(C981&amp;"-"&amp;E981&amp;"-"&amp;F981&amp;"-Pos5",'Shooter-Squad Assignment'!$K:$K,0)),""),IF(F981="Trap",IFERROR(INDEX('Shooter-Squad Assignment'!$A:$A,MATCH(C981&amp;"-"&amp;E981&amp;"-"&amp;F981&amp;"-Pos5",'Shooter-Squad Assignment'!$W:$W,0)),""),IF(F981="Sporting Clays",IFERROR(INDEX('Shooter-Squad Assignment'!$A:$A,MATCH(C981&amp;"-"&amp;E981&amp;"-"&amp;F981&amp;"-Pos5",'Shooter-Squad Assignment'!$Z:$Z,0)),""),"")))</f>
        <v/>
      </c>
      <c r="P981" s="89" t="str">
        <f>IF(ISBLANK(O981),"",IFERROR(INDEX('Tournament List'!$D:$D,MATCH(O981,'Tournament List'!$A:$A,0)),""))</f>
        <v/>
      </c>
    </row>
    <row r="982" spans="1:16" x14ac:dyDescent="0.3">
      <c r="A982" s="87">
        <v>981</v>
      </c>
      <c r="B982" s="88" t="str">
        <f>C982&amp;"-"&amp;E982&amp;"-"&amp;F982</f>
        <v>-Novice 3-Skeet</v>
      </c>
      <c r="C982" s="88"/>
      <c r="D982" s="88" t="str">
        <f>INDEX('Tournament Setup'!$B$59:$B$78,MATCH(E982,SquadConcurrents,0))</f>
        <v>Novice</v>
      </c>
      <c r="E982" s="88" t="s">
        <v>349</v>
      </c>
      <c r="F982" s="88" t="s">
        <v>143</v>
      </c>
      <c r="G982" s="96" t="str">
        <f>IF(F982="Skeet",IFERROR(INDEX('Shooter-Squad Assignment'!$A:$A,MATCH(C982&amp;"-"&amp;E982&amp;"-"&amp;F982&amp;"-Pos1",'Shooter-Squad Assignment'!$K:$K,0)),""),IF(F982="Trap",IFERROR(INDEX('Shooter-Squad Assignment'!$A:$A,MATCH(C982&amp;"-"&amp;E982&amp;"-"&amp;F982&amp;"-Pos1",'Shooter-Squad Assignment'!$W:$W,0)),""),IF(F982="Sporting Clays",IFERROR(INDEX('Shooter-Squad Assignment'!$A:$A,MATCH(C982&amp;"-"&amp;E982&amp;"-"&amp;F982&amp;"-Pos1",'Shooter-Squad Assignment'!$Z:$Z,0)),""),"")))</f>
        <v/>
      </c>
      <c r="H982" s="88" t="str">
        <f>IF(ISBLANK(G982),"",IFERROR(INDEX('Tournament List'!$D:$D,MATCH(G982,'Tournament List'!$A:$A,0)),""))</f>
        <v/>
      </c>
      <c r="I982" s="96" t="str">
        <f>IF(F982="Skeet",IFERROR(INDEX('Shooter-Squad Assignment'!$A:$A,MATCH(C982&amp;"-"&amp;E982&amp;"-"&amp;F982&amp;"-Pos2",'Shooter-Squad Assignment'!$K:$K,0)),""),IF(F982="Trap",IFERROR(INDEX('Shooter-Squad Assignment'!$A:$A,MATCH(C982&amp;"-"&amp;E982&amp;"-"&amp;F982&amp;"-Pos2",'Shooter-Squad Assignment'!$W:$W,0)),""),IF(F982="Sporting Clays",IFERROR(INDEX('Shooter-Squad Assignment'!$A:$A,MATCH(C982&amp;"-"&amp;E982&amp;"-"&amp;F982&amp;"-Pos2",'Shooter-Squad Assignment'!$Z:$Z,0)),""),"")))</f>
        <v/>
      </c>
      <c r="J982" s="88" t="str">
        <f>IF(ISBLANK(I982),"",IFERROR(INDEX('Tournament List'!$D:$D,MATCH(I982,'Tournament List'!$A:$A,0)),""))</f>
        <v/>
      </c>
      <c r="K982" s="96" t="str">
        <f>IF(F982="Skeet",IFERROR(INDEX('Shooter-Squad Assignment'!$A:$A,MATCH(C982&amp;"-"&amp;E982&amp;"-"&amp;F982&amp;"-Pos3",'Shooter-Squad Assignment'!$K:$K,0)),""),IF(F982="Trap",IFERROR(INDEX('Shooter-Squad Assignment'!$A:$A,MATCH(C982&amp;"-"&amp;E982&amp;"-"&amp;F982&amp;"-Pos3",'Shooter-Squad Assignment'!$W:$W,0)),""),IF(F982="Sporting Clays",IFERROR(INDEX('Shooter-Squad Assignment'!$A:$A,MATCH(C982&amp;"-"&amp;E982&amp;"-"&amp;F982&amp;"-Pos3",'Shooter-Squad Assignment'!$Z:$Z,0)),""),"")))</f>
        <v/>
      </c>
      <c r="L982" s="88" t="str">
        <f>IF(ISBLANK(K982),"",IFERROR(INDEX('Tournament List'!$D:$D,MATCH(K982,'Tournament List'!$A:$A,0)),""))</f>
        <v/>
      </c>
      <c r="M982" s="96" t="str">
        <f>IF(F982="Skeet",IFERROR(INDEX('Shooter-Squad Assignment'!$A:$A,MATCH(C982&amp;"-"&amp;E982&amp;"-"&amp;F982&amp;"-Pos4",'Shooter-Squad Assignment'!$K:$K,0)),""),IF(F982="Trap",IFERROR(INDEX('Shooter-Squad Assignment'!$A:$A,MATCH(C982&amp;"-"&amp;E982&amp;"-"&amp;F982&amp;"-Pos4",'Shooter-Squad Assignment'!$W:$W,0)),""),IF(F982="Sporting Clays",IFERROR(INDEX('Shooter-Squad Assignment'!$A:$A,MATCH(C982&amp;"-"&amp;E982&amp;"-"&amp;F982&amp;"-Pos4",'Shooter-Squad Assignment'!$Z:$Z,0)),""),"")))</f>
        <v/>
      </c>
      <c r="N982" s="88" t="str">
        <f>IF(ISBLANK(M982),"",IFERROR(INDEX('Tournament List'!$D:$D,MATCH(M982,'Tournament List'!$A:$A,0)),""))</f>
        <v/>
      </c>
      <c r="O982" s="96" t="str">
        <f>IF(F982="Skeet",IFERROR(INDEX('Shooter-Squad Assignment'!$A:$A,MATCH(C982&amp;"-"&amp;E982&amp;"-"&amp;F982&amp;"-Pos5",'Shooter-Squad Assignment'!$K:$K,0)),""),IF(F982="Trap",IFERROR(INDEX('Shooter-Squad Assignment'!$A:$A,MATCH(C982&amp;"-"&amp;E982&amp;"-"&amp;F982&amp;"-Pos5",'Shooter-Squad Assignment'!$W:$W,0)),""),IF(F982="Sporting Clays",IFERROR(INDEX('Shooter-Squad Assignment'!$A:$A,MATCH(C982&amp;"-"&amp;E982&amp;"-"&amp;F982&amp;"-Pos5",'Shooter-Squad Assignment'!$Z:$Z,0)),""),"")))</f>
        <v/>
      </c>
      <c r="P982" s="89" t="str">
        <f>IF(ISBLANK(O982),"",IFERROR(INDEX('Tournament List'!$D:$D,MATCH(O982,'Tournament List'!$A:$A,0)),""))</f>
        <v/>
      </c>
    </row>
    <row r="983" spans="1:16" x14ac:dyDescent="0.3">
      <c r="A983" s="87">
        <v>982</v>
      </c>
      <c r="B983" s="88" t="str">
        <f>C983&amp;"-"&amp;E983&amp;"-"&amp;F983</f>
        <v>-Open 1-Skeet</v>
      </c>
      <c r="C983" s="88"/>
      <c r="D983" s="88" t="str">
        <f>INDEX('Tournament Setup'!$B$59:$B$78,MATCH(E983,SquadConcurrents,0))</f>
        <v>Open</v>
      </c>
      <c r="E983" s="88" t="s">
        <v>341</v>
      </c>
      <c r="F983" s="88" t="s">
        <v>143</v>
      </c>
      <c r="G983" s="96" t="str">
        <f>IF(F983="Skeet",IFERROR(INDEX('Shooter-Squad Assignment'!$A:$A,MATCH(C983&amp;"-"&amp;E983&amp;"-"&amp;F983&amp;"-Pos1",'Shooter-Squad Assignment'!$K:$K,0)),""),IF(F983="Trap",IFERROR(INDEX('Shooter-Squad Assignment'!$A:$A,MATCH(C983&amp;"-"&amp;E983&amp;"-"&amp;F983&amp;"-Pos1",'Shooter-Squad Assignment'!$W:$W,0)),""),IF(F983="Sporting Clays",IFERROR(INDEX('Shooter-Squad Assignment'!$A:$A,MATCH(C983&amp;"-"&amp;E983&amp;"-"&amp;F983&amp;"-Pos1",'Shooter-Squad Assignment'!$Z:$Z,0)),""),"")))</f>
        <v/>
      </c>
      <c r="H983" s="88" t="str">
        <f>IF(ISBLANK(G983),"",IFERROR(INDEX('Tournament List'!$D:$D,MATCH(G983,'Tournament List'!$A:$A,0)),""))</f>
        <v/>
      </c>
      <c r="I983" s="96" t="str">
        <f>IF(F983="Skeet",IFERROR(INDEX('Shooter-Squad Assignment'!$A:$A,MATCH(C983&amp;"-"&amp;E983&amp;"-"&amp;F983&amp;"-Pos2",'Shooter-Squad Assignment'!$K:$K,0)),""),IF(F983="Trap",IFERROR(INDEX('Shooter-Squad Assignment'!$A:$A,MATCH(C983&amp;"-"&amp;E983&amp;"-"&amp;F983&amp;"-Pos2",'Shooter-Squad Assignment'!$W:$W,0)),""),IF(F983="Sporting Clays",IFERROR(INDEX('Shooter-Squad Assignment'!$A:$A,MATCH(C983&amp;"-"&amp;E983&amp;"-"&amp;F983&amp;"-Pos2",'Shooter-Squad Assignment'!$Z:$Z,0)),""),"")))</f>
        <v/>
      </c>
      <c r="J983" s="88" t="str">
        <f>IF(ISBLANK(I983),"",IFERROR(INDEX('Tournament List'!$D:$D,MATCH(I983,'Tournament List'!$A:$A,0)),""))</f>
        <v/>
      </c>
      <c r="K983" s="96" t="str">
        <f>IF(F983="Skeet",IFERROR(INDEX('Shooter-Squad Assignment'!$A:$A,MATCH(C983&amp;"-"&amp;E983&amp;"-"&amp;F983&amp;"-Pos3",'Shooter-Squad Assignment'!$K:$K,0)),""),IF(F983="Trap",IFERROR(INDEX('Shooter-Squad Assignment'!$A:$A,MATCH(C983&amp;"-"&amp;E983&amp;"-"&amp;F983&amp;"-Pos3",'Shooter-Squad Assignment'!$W:$W,0)),""),IF(F983="Sporting Clays",IFERROR(INDEX('Shooter-Squad Assignment'!$A:$A,MATCH(C983&amp;"-"&amp;E983&amp;"-"&amp;F983&amp;"-Pos3",'Shooter-Squad Assignment'!$Z:$Z,0)),""),"")))</f>
        <v/>
      </c>
      <c r="L983" s="88" t="str">
        <f>IF(ISBLANK(K983),"",IFERROR(INDEX('Tournament List'!$D:$D,MATCH(K983,'Tournament List'!$A:$A,0)),""))</f>
        <v/>
      </c>
      <c r="M983" s="96" t="str">
        <f>IF(F983="Skeet",IFERROR(INDEX('Shooter-Squad Assignment'!$A:$A,MATCH(C983&amp;"-"&amp;E983&amp;"-"&amp;F983&amp;"-Pos4",'Shooter-Squad Assignment'!$K:$K,0)),""),IF(F983="Trap",IFERROR(INDEX('Shooter-Squad Assignment'!$A:$A,MATCH(C983&amp;"-"&amp;E983&amp;"-"&amp;F983&amp;"-Pos4",'Shooter-Squad Assignment'!$W:$W,0)),""),IF(F983="Sporting Clays",IFERROR(INDEX('Shooter-Squad Assignment'!$A:$A,MATCH(C983&amp;"-"&amp;E983&amp;"-"&amp;F983&amp;"-Pos4",'Shooter-Squad Assignment'!$Z:$Z,0)),""),"")))</f>
        <v/>
      </c>
      <c r="N983" s="88" t="str">
        <f>IF(ISBLANK(M983),"",IFERROR(INDEX('Tournament List'!$D:$D,MATCH(M983,'Tournament List'!$A:$A,0)),""))</f>
        <v/>
      </c>
      <c r="O983" s="96" t="str">
        <f>IF(F983="Skeet",IFERROR(INDEX('Shooter-Squad Assignment'!$A:$A,MATCH(C983&amp;"-"&amp;E983&amp;"-"&amp;F983&amp;"-Pos5",'Shooter-Squad Assignment'!$K:$K,0)),""),IF(F983="Trap",IFERROR(INDEX('Shooter-Squad Assignment'!$A:$A,MATCH(C983&amp;"-"&amp;E983&amp;"-"&amp;F983&amp;"-Pos5",'Shooter-Squad Assignment'!$W:$W,0)),""),IF(F983="Sporting Clays",IFERROR(INDEX('Shooter-Squad Assignment'!$A:$A,MATCH(C983&amp;"-"&amp;E983&amp;"-"&amp;F983&amp;"-Pos5",'Shooter-Squad Assignment'!$Z:$Z,0)),""),"")))</f>
        <v/>
      </c>
      <c r="P983" s="89" t="str">
        <f>IF(ISBLANK(O983),"",IFERROR(INDEX('Tournament List'!$D:$D,MATCH(O983,'Tournament List'!$A:$A,0)),""))</f>
        <v/>
      </c>
    </row>
    <row r="984" spans="1:16" x14ac:dyDescent="0.3">
      <c r="A984" s="87">
        <v>983</v>
      </c>
      <c r="B984" s="88" t="str">
        <f>C984&amp;"-"&amp;E984&amp;"-"&amp;F984</f>
        <v>-Open 2-Skeet</v>
      </c>
      <c r="C984" s="88"/>
      <c r="D984" s="88" t="str">
        <f>INDEX('Tournament Setup'!$B$59:$B$78,MATCH(E984,SquadConcurrents,0))</f>
        <v>Open</v>
      </c>
      <c r="E984" s="88" t="s">
        <v>347</v>
      </c>
      <c r="F984" s="88" t="s">
        <v>143</v>
      </c>
      <c r="G984" s="96" t="str">
        <f>IF(F984="Skeet",IFERROR(INDEX('Shooter-Squad Assignment'!$A:$A,MATCH(C984&amp;"-"&amp;E984&amp;"-"&amp;F984&amp;"-Pos1",'Shooter-Squad Assignment'!$K:$K,0)),""),IF(F984="Trap",IFERROR(INDEX('Shooter-Squad Assignment'!$A:$A,MATCH(C984&amp;"-"&amp;E984&amp;"-"&amp;F984&amp;"-Pos1",'Shooter-Squad Assignment'!$W:$W,0)),""),IF(F984="Sporting Clays",IFERROR(INDEX('Shooter-Squad Assignment'!$A:$A,MATCH(C984&amp;"-"&amp;E984&amp;"-"&amp;F984&amp;"-Pos1",'Shooter-Squad Assignment'!$Z:$Z,0)),""),"")))</f>
        <v/>
      </c>
      <c r="H984" s="88" t="str">
        <f>IF(ISBLANK(G984),"",IFERROR(INDEX('Tournament List'!$D:$D,MATCH(G984,'Tournament List'!$A:$A,0)),""))</f>
        <v/>
      </c>
      <c r="I984" s="96" t="str">
        <f>IF(F984="Skeet",IFERROR(INDEX('Shooter-Squad Assignment'!$A:$A,MATCH(C984&amp;"-"&amp;E984&amp;"-"&amp;F984&amp;"-Pos2",'Shooter-Squad Assignment'!$K:$K,0)),""),IF(F984="Trap",IFERROR(INDEX('Shooter-Squad Assignment'!$A:$A,MATCH(C984&amp;"-"&amp;E984&amp;"-"&amp;F984&amp;"-Pos2",'Shooter-Squad Assignment'!$W:$W,0)),""),IF(F984="Sporting Clays",IFERROR(INDEX('Shooter-Squad Assignment'!$A:$A,MATCH(C984&amp;"-"&amp;E984&amp;"-"&amp;F984&amp;"-Pos2",'Shooter-Squad Assignment'!$Z:$Z,0)),""),"")))</f>
        <v/>
      </c>
      <c r="J984" s="88" t="str">
        <f>IF(ISBLANK(I984),"",IFERROR(INDEX('Tournament List'!$D:$D,MATCH(I984,'Tournament List'!$A:$A,0)),""))</f>
        <v/>
      </c>
      <c r="K984" s="96" t="str">
        <f>IF(F984="Skeet",IFERROR(INDEX('Shooter-Squad Assignment'!$A:$A,MATCH(C984&amp;"-"&amp;E984&amp;"-"&amp;F984&amp;"-Pos3",'Shooter-Squad Assignment'!$K:$K,0)),""),IF(F984="Trap",IFERROR(INDEX('Shooter-Squad Assignment'!$A:$A,MATCH(C984&amp;"-"&amp;E984&amp;"-"&amp;F984&amp;"-Pos3",'Shooter-Squad Assignment'!$W:$W,0)),""),IF(F984="Sporting Clays",IFERROR(INDEX('Shooter-Squad Assignment'!$A:$A,MATCH(C984&amp;"-"&amp;E984&amp;"-"&amp;F984&amp;"-Pos3",'Shooter-Squad Assignment'!$Z:$Z,0)),""),"")))</f>
        <v/>
      </c>
      <c r="L984" s="88" t="str">
        <f>IF(ISBLANK(K984),"",IFERROR(INDEX('Tournament List'!$D:$D,MATCH(K984,'Tournament List'!$A:$A,0)),""))</f>
        <v/>
      </c>
      <c r="M984" s="96" t="str">
        <f>IF(F984="Skeet",IFERROR(INDEX('Shooter-Squad Assignment'!$A:$A,MATCH(C984&amp;"-"&amp;E984&amp;"-"&amp;F984&amp;"-Pos4",'Shooter-Squad Assignment'!$K:$K,0)),""),IF(F984="Trap",IFERROR(INDEX('Shooter-Squad Assignment'!$A:$A,MATCH(C984&amp;"-"&amp;E984&amp;"-"&amp;F984&amp;"-Pos4",'Shooter-Squad Assignment'!$W:$W,0)),""),IF(F984="Sporting Clays",IFERROR(INDEX('Shooter-Squad Assignment'!$A:$A,MATCH(C984&amp;"-"&amp;E984&amp;"-"&amp;F984&amp;"-Pos4",'Shooter-Squad Assignment'!$Z:$Z,0)),""),"")))</f>
        <v/>
      </c>
      <c r="N984" s="88" t="str">
        <f>IF(ISBLANK(M984),"",IFERROR(INDEX('Tournament List'!$D:$D,MATCH(M984,'Tournament List'!$A:$A,0)),""))</f>
        <v/>
      </c>
      <c r="O984" s="96" t="str">
        <f>IF(F984="Skeet",IFERROR(INDEX('Shooter-Squad Assignment'!$A:$A,MATCH(C984&amp;"-"&amp;E984&amp;"-"&amp;F984&amp;"-Pos5",'Shooter-Squad Assignment'!$K:$K,0)),""),IF(F984="Trap",IFERROR(INDEX('Shooter-Squad Assignment'!$A:$A,MATCH(C984&amp;"-"&amp;E984&amp;"-"&amp;F984&amp;"-Pos5",'Shooter-Squad Assignment'!$W:$W,0)),""),IF(F984="Sporting Clays",IFERROR(INDEX('Shooter-Squad Assignment'!$A:$A,MATCH(C984&amp;"-"&amp;E984&amp;"-"&amp;F984&amp;"-Pos5",'Shooter-Squad Assignment'!$Z:$Z,0)),""),"")))</f>
        <v/>
      </c>
      <c r="P984" s="89" t="str">
        <f>IF(ISBLANK(O984),"",IFERROR(INDEX('Tournament List'!$D:$D,MATCH(O984,'Tournament List'!$A:$A,0)),""))</f>
        <v/>
      </c>
    </row>
    <row r="985" spans="1:16" x14ac:dyDescent="0.3">
      <c r="A985" s="87">
        <v>984</v>
      </c>
      <c r="B985" s="88" t="str">
        <f>C985&amp;"-"&amp;E985&amp;"-"&amp;F985</f>
        <v>-Open 3-Skeet</v>
      </c>
      <c r="C985" s="88"/>
      <c r="D985" s="88" t="str">
        <f>INDEX('Tournament Setup'!$B$59:$B$78,MATCH(E985,SquadConcurrents,0))</f>
        <v>Open</v>
      </c>
      <c r="E985" s="88" t="s">
        <v>353</v>
      </c>
      <c r="F985" s="88" t="s">
        <v>143</v>
      </c>
      <c r="G985" s="96" t="str">
        <f>IF(F985="Skeet",IFERROR(INDEX('Shooter-Squad Assignment'!$A:$A,MATCH(C985&amp;"-"&amp;E985&amp;"-"&amp;F985&amp;"-Pos1",'Shooter-Squad Assignment'!$K:$K,0)),""),IF(F985="Trap",IFERROR(INDEX('Shooter-Squad Assignment'!$A:$A,MATCH(C985&amp;"-"&amp;E985&amp;"-"&amp;F985&amp;"-Pos1",'Shooter-Squad Assignment'!$W:$W,0)),""),IF(F985="Sporting Clays",IFERROR(INDEX('Shooter-Squad Assignment'!$A:$A,MATCH(C985&amp;"-"&amp;E985&amp;"-"&amp;F985&amp;"-Pos1",'Shooter-Squad Assignment'!$Z:$Z,0)),""),"")))</f>
        <v/>
      </c>
      <c r="H985" s="88" t="str">
        <f>IF(ISBLANK(G985),"",IFERROR(INDEX('Tournament List'!$D:$D,MATCH(G985,'Tournament List'!$A:$A,0)),""))</f>
        <v/>
      </c>
      <c r="I985" s="96" t="str">
        <f>IF(F985="Skeet",IFERROR(INDEX('Shooter-Squad Assignment'!$A:$A,MATCH(C985&amp;"-"&amp;E985&amp;"-"&amp;F985&amp;"-Pos2",'Shooter-Squad Assignment'!$K:$K,0)),""),IF(F985="Trap",IFERROR(INDEX('Shooter-Squad Assignment'!$A:$A,MATCH(C985&amp;"-"&amp;E985&amp;"-"&amp;F985&amp;"-Pos2",'Shooter-Squad Assignment'!$W:$W,0)),""),IF(F985="Sporting Clays",IFERROR(INDEX('Shooter-Squad Assignment'!$A:$A,MATCH(C985&amp;"-"&amp;E985&amp;"-"&amp;F985&amp;"-Pos2",'Shooter-Squad Assignment'!$Z:$Z,0)),""),"")))</f>
        <v/>
      </c>
      <c r="J985" s="88" t="str">
        <f>IF(ISBLANK(I985),"",IFERROR(INDEX('Tournament List'!$D:$D,MATCH(I985,'Tournament List'!$A:$A,0)),""))</f>
        <v/>
      </c>
      <c r="K985" s="96" t="str">
        <f>IF(F985="Skeet",IFERROR(INDEX('Shooter-Squad Assignment'!$A:$A,MATCH(C985&amp;"-"&amp;E985&amp;"-"&amp;F985&amp;"-Pos3",'Shooter-Squad Assignment'!$K:$K,0)),""),IF(F985="Trap",IFERROR(INDEX('Shooter-Squad Assignment'!$A:$A,MATCH(C985&amp;"-"&amp;E985&amp;"-"&amp;F985&amp;"-Pos3",'Shooter-Squad Assignment'!$W:$W,0)),""),IF(F985="Sporting Clays",IFERROR(INDEX('Shooter-Squad Assignment'!$A:$A,MATCH(C985&amp;"-"&amp;E985&amp;"-"&amp;F985&amp;"-Pos3",'Shooter-Squad Assignment'!$Z:$Z,0)),""),"")))</f>
        <v/>
      </c>
      <c r="L985" s="88" t="str">
        <f>IF(ISBLANK(K985),"",IFERROR(INDEX('Tournament List'!$D:$D,MATCH(K985,'Tournament List'!$A:$A,0)),""))</f>
        <v/>
      </c>
      <c r="M985" s="96" t="str">
        <f>IF(F985="Skeet",IFERROR(INDEX('Shooter-Squad Assignment'!$A:$A,MATCH(C985&amp;"-"&amp;E985&amp;"-"&amp;F985&amp;"-Pos4",'Shooter-Squad Assignment'!$K:$K,0)),""),IF(F985="Trap",IFERROR(INDEX('Shooter-Squad Assignment'!$A:$A,MATCH(C985&amp;"-"&amp;E985&amp;"-"&amp;F985&amp;"-Pos4",'Shooter-Squad Assignment'!$W:$W,0)),""),IF(F985="Sporting Clays",IFERROR(INDEX('Shooter-Squad Assignment'!$A:$A,MATCH(C985&amp;"-"&amp;E985&amp;"-"&amp;F985&amp;"-Pos4",'Shooter-Squad Assignment'!$Z:$Z,0)),""),"")))</f>
        <v/>
      </c>
      <c r="N985" s="88" t="str">
        <f>IF(ISBLANK(M985),"",IFERROR(INDEX('Tournament List'!$D:$D,MATCH(M985,'Tournament List'!$A:$A,0)),""))</f>
        <v/>
      </c>
      <c r="O985" s="96" t="str">
        <f>IF(F985="Skeet",IFERROR(INDEX('Shooter-Squad Assignment'!$A:$A,MATCH(C985&amp;"-"&amp;E985&amp;"-"&amp;F985&amp;"-Pos5",'Shooter-Squad Assignment'!$K:$K,0)),""),IF(F985="Trap",IFERROR(INDEX('Shooter-Squad Assignment'!$A:$A,MATCH(C985&amp;"-"&amp;E985&amp;"-"&amp;F985&amp;"-Pos5",'Shooter-Squad Assignment'!$W:$W,0)),""),IF(F985="Sporting Clays",IFERROR(INDEX('Shooter-Squad Assignment'!$A:$A,MATCH(C985&amp;"-"&amp;E985&amp;"-"&amp;F985&amp;"-Pos5",'Shooter-Squad Assignment'!$Z:$Z,0)),""),"")))</f>
        <v/>
      </c>
      <c r="P985" s="89" t="str">
        <f>IF(ISBLANK(O985),"",IFERROR(INDEX('Tournament List'!$D:$D,MATCH(O985,'Tournament List'!$A:$A,0)),""))</f>
        <v/>
      </c>
    </row>
    <row r="986" spans="1:16" x14ac:dyDescent="0.3">
      <c r="A986" s="87">
        <v>985</v>
      </c>
      <c r="B986" s="88" t="str">
        <f>C986&amp;"-"&amp;E986&amp;"-"&amp;F986</f>
        <v>-Unassigned 1-Skeet</v>
      </c>
      <c r="C986" s="88"/>
      <c r="D986" s="88" t="str">
        <f>INDEX('Tournament Setup'!$B$59:$B$78,MATCH(E986,SquadConcurrents,0))</f>
        <v>Unassigned</v>
      </c>
      <c r="E986" s="88" t="s">
        <v>762</v>
      </c>
      <c r="F986" s="88" t="s">
        <v>143</v>
      </c>
      <c r="G986" s="96" t="str">
        <f>IF(F986="Skeet",IFERROR(INDEX('Shooter-Squad Assignment'!$A:$A,MATCH(C986&amp;"-"&amp;E986&amp;"-"&amp;F986&amp;"-Pos1",'Shooter-Squad Assignment'!$K:$K,0)),""),IF(F986="Trap",IFERROR(INDEX('Shooter-Squad Assignment'!$A:$A,MATCH(C986&amp;"-"&amp;E986&amp;"-"&amp;F986&amp;"-Pos1",'Shooter-Squad Assignment'!$W:$W,0)),""),IF(F986="Sporting Clays",IFERROR(INDEX('Shooter-Squad Assignment'!$A:$A,MATCH(C986&amp;"-"&amp;E986&amp;"-"&amp;F986&amp;"-Pos1",'Shooter-Squad Assignment'!$Z:$Z,0)),""),"")))</f>
        <v/>
      </c>
      <c r="H986" s="88" t="str">
        <f>IF(ISBLANK(G986),"",IFERROR(INDEX('Tournament List'!$D:$D,MATCH(G986,'Tournament List'!$A:$A,0)),""))</f>
        <v/>
      </c>
      <c r="I986" s="96" t="str">
        <f>IF(F986="Skeet",IFERROR(INDEX('Shooter-Squad Assignment'!$A:$A,MATCH(C986&amp;"-"&amp;E986&amp;"-"&amp;F986&amp;"-Pos2",'Shooter-Squad Assignment'!$K:$K,0)),""),IF(F986="Trap",IFERROR(INDEX('Shooter-Squad Assignment'!$A:$A,MATCH(C986&amp;"-"&amp;E986&amp;"-"&amp;F986&amp;"-Pos2",'Shooter-Squad Assignment'!$W:$W,0)),""),IF(F986="Sporting Clays",IFERROR(INDEX('Shooter-Squad Assignment'!$A:$A,MATCH(C986&amp;"-"&amp;E986&amp;"-"&amp;F986&amp;"-Pos2",'Shooter-Squad Assignment'!$Z:$Z,0)),""),"")))</f>
        <v/>
      </c>
      <c r="J986" s="88" t="str">
        <f>IF(ISBLANK(I986),"",IFERROR(INDEX('Tournament List'!$D:$D,MATCH(I986,'Tournament List'!$A:$A,0)),""))</f>
        <v/>
      </c>
      <c r="K986" s="96" t="str">
        <f>IF(F986="Skeet",IFERROR(INDEX('Shooter-Squad Assignment'!$A:$A,MATCH(C986&amp;"-"&amp;E986&amp;"-"&amp;F986&amp;"-Pos3",'Shooter-Squad Assignment'!$K:$K,0)),""),IF(F986="Trap",IFERROR(INDEX('Shooter-Squad Assignment'!$A:$A,MATCH(C986&amp;"-"&amp;E986&amp;"-"&amp;F986&amp;"-Pos3",'Shooter-Squad Assignment'!$W:$W,0)),""),IF(F986="Sporting Clays",IFERROR(INDEX('Shooter-Squad Assignment'!$A:$A,MATCH(C986&amp;"-"&amp;E986&amp;"-"&amp;F986&amp;"-Pos3",'Shooter-Squad Assignment'!$Z:$Z,0)),""),"")))</f>
        <v/>
      </c>
      <c r="L986" s="88" t="str">
        <f>IF(ISBLANK(K986),"",IFERROR(INDEX('Tournament List'!$D:$D,MATCH(K986,'Tournament List'!$A:$A,0)),""))</f>
        <v/>
      </c>
      <c r="M986" s="96" t="str">
        <f>IF(F986="Skeet",IFERROR(INDEX('Shooter-Squad Assignment'!$A:$A,MATCH(C986&amp;"-"&amp;E986&amp;"-"&amp;F986&amp;"-Pos4",'Shooter-Squad Assignment'!$K:$K,0)),""),IF(F986="Trap",IFERROR(INDEX('Shooter-Squad Assignment'!$A:$A,MATCH(C986&amp;"-"&amp;E986&amp;"-"&amp;F986&amp;"-Pos4",'Shooter-Squad Assignment'!$W:$W,0)),""),IF(F986="Sporting Clays",IFERROR(INDEX('Shooter-Squad Assignment'!$A:$A,MATCH(C986&amp;"-"&amp;E986&amp;"-"&amp;F986&amp;"-Pos4",'Shooter-Squad Assignment'!$Z:$Z,0)),""),"")))</f>
        <v/>
      </c>
      <c r="N986" s="88" t="str">
        <f>IF(ISBLANK(M986),"",IFERROR(INDEX('Tournament List'!$D:$D,MATCH(M986,'Tournament List'!$A:$A,0)),""))</f>
        <v/>
      </c>
      <c r="O986" s="96" t="str">
        <f>IF(F986="Skeet",IFERROR(INDEX('Shooter-Squad Assignment'!$A:$A,MATCH(C986&amp;"-"&amp;E986&amp;"-"&amp;F986&amp;"-Pos5",'Shooter-Squad Assignment'!$K:$K,0)),""),IF(F986="Trap",IFERROR(INDEX('Shooter-Squad Assignment'!$A:$A,MATCH(C986&amp;"-"&amp;E986&amp;"-"&amp;F986&amp;"-Pos5",'Shooter-Squad Assignment'!$W:$W,0)),""),IF(F986="Sporting Clays",IFERROR(INDEX('Shooter-Squad Assignment'!$A:$A,MATCH(C986&amp;"-"&amp;E986&amp;"-"&amp;F986&amp;"-Pos5",'Shooter-Squad Assignment'!$Z:$Z,0)),""),"")))</f>
        <v/>
      </c>
      <c r="P986" s="89" t="str">
        <f>IF(ISBLANK(O986),"",IFERROR(INDEX('Tournament List'!$D:$D,MATCH(O986,'Tournament List'!$A:$A,0)),""))</f>
        <v/>
      </c>
    </row>
    <row r="987" spans="1:16" x14ac:dyDescent="0.3">
      <c r="A987" s="87">
        <v>986</v>
      </c>
      <c r="B987" s="88" t="str">
        <f>C987&amp;"-"&amp;E987&amp;"-"&amp;F987</f>
        <v>-Varsity 1-Skeet</v>
      </c>
      <c r="C987" s="88"/>
      <c r="D987" s="88" t="str">
        <f>INDEX('Tournament Setup'!$B$59:$B$78,MATCH(E987,SquadConcurrents,0))</f>
        <v>Varsity</v>
      </c>
      <c r="E987" s="88" t="s">
        <v>340</v>
      </c>
      <c r="F987" s="88" t="s">
        <v>143</v>
      </c>
      <c r="G987" s="96" t="str">
        <f>IF(F987="Skeet",IFERROR(INDEX('Shooter-Squad Assignment'!$A:$A,MATCH(C987&amp;"-"&amp;E987&amp;"-"&amp;F987&amp;"-Pos1",'Shooter-Squad Assignment'!$K:$K,0)),""),IF(F987="Trap",IFERROR(INDEX('Shooter-Squad Assignment'!$A:$A,MATCH(C987&amp;"-"&amp;E987&amp;"-"&amp;F987&amp;"-Pos1",'Shooter-Squad Assignment'!$W:$W,0)),""),IF(F987="Sporting Clays",IFERROR(INDEX('Shooter-Squad Assignment'!$A:$A,MATCH(C987&amp;"-"&amp;E987&amp;"-"&amp;F987&amp;"-Pos1",'Shooter-Squad Assignment'!$Z:$Z,0)),""),"")))</f>
        <v/>
      </c>
      <c r="H987" s="88" t="str">
        <f>IF(ISBLANK(G987),"",IFERROR(INDEX('Tournament List'!$D:$D,MATCH(G987,'Tournament List'!$A:$A,0)),""))</f>
        <v/>
      </c>
      <c r="I987" s="96" t="str">
        <f>IF(F987="Skeet",IFERROR(INDEX('Shooter-Squad Assignment'!$A:$A,MATCH(C987&amp;"-"&amp;E987&amp;"-"&amp;F987&amp;"-Pos2",'Shooter-Squad Assignment'!$K:$K,0)),""),IF(F987="Trap",IFERROR(INDEX('Shooter-Squad Assignment'!$A:$A,MATCH(C987&amp;"-"&amp;E987&amp;"-"&amp;F987&amp;"-Pos2",'Shooter-Squad Assignment'!$W:$W,0)),""),IF(F987="Sporting Clays",IFERROR(INDEX('Shooter-Squad Assignment'!$A:$A,MATCH(C987&amp;"-"&amp;E987&amp;"-"&amp;F987&amp;"-Pos2",'Shooter-Squad Assignment'!$Z:$Z,0)),""),"")))</f>
        <v/>
      </c>
      <c r="J987" s="88" t="str">
        <f>IF(ISBLANK(I987),"",IFERROR(INDEX('Tournament List'!$D:$D,MATCH(I987,'Tournament List'!$A:$A,0)),""))</f>
        <v/>
      </c>
      <c r="K987" s="96" t="str">
        <f>IF(F987="Skeet",IFERROR(INDEX('Shooter-Squad Assignment'!$A:$A,MATCH(C987&amp;"-"&amp;E987&amp;"-"&amp;F987&amp;"-Pos3",'Shooter-Squad Assignment'!$K:$K,0)),""),IF(F987="Trap",IFERROR(INDEX('Shooter-Squad Assignment'!$A:$A,MATCH(C987&amp;"-"&amp;E987&amp;"-"&amp;F987&amp;"-Pos3",'Shooter-Squad Assignment'!$W:$W,0)),""),IF(F987="Sporting Clays",IFERROR(INDEX('Shooter-Squad Assignment'!$A:$A,MATCH(C987&amp;"-"&amp;E987&amp;"-"&amp;F987&amp;"-Pos3",'Shooter-Squad Assignment'!$Z:$Z,0)),""),"")))</f>
        <v/>
      </c>
      <c r="L987" s="88" t="str">
        <f>IF(ISBLANK(K987),"",IFERROR(INDEX('Tournament List'!$D:$D,MATCH(K987,'Tournament List'!$A:$A,0)),""))</f>
        <v/>
      </c>
      <c r="M987" s="96" t="str">
        <f>IF(F987="Skeet",IFERROR(INDEX('Shooter-Squad Assignment'!$A:$A,MATCH(C987&amp;"-"&amp;E987&amp;"-"&amp;F987&amp;"-Pos4",'Shooter-Squad Assignment'!$K:$K,0)),""),IF(F987="Trap",IFERROR(INDEX('Shooter-Squad Assignment'!$A:$A,MATCH(C987&amp;"-"&amp;E987&amp;"-"&amp;F987&amp;"-Pos4",'Shooter-Squad Assignment'!$W:$W,0)),""),IF(F987="Sporting Clays",IFERROR(INDEX('Shooter-Squad Assignment'!$A:$A,MATCH(C987&amp;"-"&amp;E987&amp;"-"&amp;F987&amp;"-Pos4",'Shooter-Squad Assignment'!$Z:$Z,0)),""),"")))</f>
        <v/>
      </c>
      <c r="N987" s="88" t="str">
        <f>IF(ISBLANK(M987),"",IFERROR(INDEX('Tournament List'!$D:$D,MATCH(M987,'Tournament List'!$A:$A,0)),""))</f>
        <v/>
      </c>
      <c r="O987" s="96" t="str">
        <f>IF(F987="Skeet",IFERROR(INDEX('Shooter-Squad Assignment'!$A:$A,MATCH(C987&amp;"-"&amp;E987&amp;"-"&amp;F987&amp;"-Pos5",'Shooter-Squad Assignment'!$K:$K,0)),""),IF(F987="Trap",IFERROR(INDEX('Shooter-Squad Assignment'!$A:$A,MATCH(C987&amp;"-"&amp;E987&amp;"-"&amp;F987&amp;"-Pos5",'Shooter-Squad Assignment'!$W:$W,0)),""),IF(F987="Sporting Clays",IFERROR(INDEX('Shooter-Squad Assignment'!$A:$A,MATCH(C987&amp;"-"&amp;E987&amp;"-"&amp;F987&amp;"-Pos5",'Shooter-Squad Assignment'!$Z:$Z,0)),""),"")))</f>
        <v/>
      </c>
      <c r="P987" s="89" t="str">
        <f>IF(ISBLANK(O987),"",IFERROR(INDEX('Tournament List'!$D:$D,MATCH(O987,'Tournament List'!$A:$A,0)),""))</f>
        <v/>
      </c>
    </row>
    <row r="988" spans="1:16" x14ac:dyDescent="0.3">
      <c r="A988" s="87">
        <v>987</v>
      </c>
      <c r="B988" s="88" t="str">
        <f>C988&amp;"-"&amp;E988&amp;"-"&amp;F988</f>
        <v>-Varsity 2-Skeet</v>
      </c>
      <c r="C988" s="88"/>
      <c r="D988" s="88" t="str">
        <f>INDEX('Tournament Setup'!$B$59:$B$78,MATCH(E988,SquadConcurrents,0))</f>
        <v>Varsity</v>
      </c>
      <c r="E988" s="88" t="s">
        <v>346</v>
      </c>
      <c r="F988" s="88" t="s">
        <v>143</v>
      </c>
      <c r="G988" s="96" t="str">
        <f>IF(F988="Skeet",IFERROR(INDEX('Shooter-Squad Assignment'!$A:$A,MATCH(C988&amp;"-"&amp;E988&amp;"-"&amp;F988&amp;"-Pos1",'Shooter-Squad Assignment'!$K:$K,0)),""),IF(F988="Trap",IFERROR(INDEX('Shooter-Squad Assignment'!$A:$A,MATCH(C988&amp;"-"&amp;E988&amp;"-"&amp;F988&amp;"-Pos1",'Shooter-Squad Assignment'!$W:$W,0)),""),IF(F988="Sporting Clays",IFERROR(INDEX('Shooter-Squad Assignment'!$A:$A,MATCH(C988&amp;"-"&amp;E988&amp;"-"&amp;F988&amp;"-Pos1",'Shooter-Squad Assignment'!$Z:$Z,0)),""),"")))</f>
        <v/>
      </c>
      <c r="H988" s="88" t="str">
        <f>IF(ISBLANK(G988),"",IFERROR(INDEX('Tournament List'!$D:$D,MATCH(G988,'Tournament List'!$A:$A,0)),""))</f>
        <v/>
      </c>
      <c r="I988" s="96" t="str">
        <f>IF(F988="Skeet",IFERROR(INDEX('Shooter-Squad Assignment'!$A:$A,MATCH(C988&amp;"-"&amp;E988&amp;"-"&amp;F988&amp;"-Pos2",'Shooter-Squad Assignment'!$K:$K,0)),""),IF(F988="Trap",IFERROR(INDEX('Shooter-Squad Assignment'!$A:$A,MATCH(C988&amp;"-"&amp;E988&amp;"-"&amp;F988&amp;"-Pos2",'Shooter-Squad Assignment'!$W:$W,0)),""),IF(F988="Sporting Clays",IFERROR(INDEX('Shooter-Squad Assignment'!$A:$A,MATCH(C988&amp;"-"&amp;E988&amp;"-"&amp;F988&amp;"-Pos2",'Shooter-Squad Assignment'!$Z:$Z,0)),""),"")))</f>
        <v/>
      </c>
      <c r="J988" s="88" t="str">
        <f>IF(ISBLANK(I988),"",IFERROR(INDEX('Tournament List'!$D:$D,MATCH(I988,'Tournament List'!$A:$A,0)),""))</f>
        <v/>
      </c>
      <c r="K988" s="96" t="str">
        <f>IF(F988="Skeet",IFERROR(INDEX('Shooter-Squad Assignment'!$A:$A,MATCH(C988&amp;"-"&amp;E988&amp;"-"&amp;F988&amp;"-Pos3",'Shooter-Squad Assignment'!$K:$K,0)),""),IF(F988="Trap",IFERROR(INDEX('Shooter-Squad Assignment'!$A:$A,MATCH(C988&amp;"-"&amp;E988&amp;"-"&amp;F988&amp;"-Pos3",'Shooter-Squad Assignment'!$W:$W,0)),""),IF(F988="Sporting Clays",IFERROR(INDEX('Shooter-Squad Assignment'!$A:$A,MATCH(C988&amp;"-"&amp;E988&amp;"-"&amp;F988&amp;"-Pos3",'Shooter-Squad Assignment'!$Z:$Z,0)),""),"")))</f>
        <v/>
      </c>
      <c r="L988" s="88" t="str">
        <f>IF(ISBLANK(K988),"",IFERROR(INDEX('Tournament List'!$D:$D,MATCH(K988,'Tournament List'!$A:$A,0)),""))</f>
        <v/>
      </c>
      <c r="M988" s="96" t="str">
        <f>IF(F988="Skeet",IFERROR(INDEX('Shooter-Squad Assignment'!$A:$A,MATCH(C988&amp;"-"&amp;E988&amp;"-"&amp;F988&amp;"-Pos4",'Shooter-Squad Assignment'!$K:$K,0)),""),IF(F988="Trap",IFERROR(INDEX('Shooter-Squad Assignment'!$A:$A,MATCH(C988&amp;"-"&amp;E988&amp;"-"&amp;F988&amp;"-Pos4",'Shooter-Squad Assignment'!$W:$W,0)),""),IF(F988="Sporting Clays",IFERROR(INDEX('Shooter-Squad Assignment'!$A:$A,MATCH(C988&amp;"-"&amp;E988&amp;"-"&amp;F988&amp;"-Pos4",'Shooter-Squad Assignment'!$Z:$Z,0)),""),"")))</f>
        <v/>
      </c>
      <c r="N988" s="88" t="str">
        <f>IF(ISBLANK(M988),"",IFERROR(INDEX('Tournament List'!$D:$D,MATCH(M988,'Tournament List'!$A:$A,0)),""))</f>
        <v/>
      </c>
      <c r="O988" s="96" t="str">
        <f>IF(F988="Skeet",IFERROR(INDEX('Shooter-Squad Assignment'!$A:$A,MATCH(C988&amp;"-"&amp;E988&amp;"-"&amp;F988&amp;"-Pos5",'Shooter-Squad Assignment'!$K:$K,0)),""),IF(F988="Trap",IFERROR(INDEX('Shooter-Squad Assignment'!$A:$A,MATCH(C988&amp;"-"&amp;E988&amp;"-"&amp;F988&amp;"-Pos5",'Shooter-Squad Assignment'!$W:$W,0)),""),IF(F988="Sporting Clays",IFERROR(INDEX('Shooter-Squad Assignment'!$A:$A,MATCH(C988&amp;"-"&amp;E988&amp;"-"&amp;F988&amp;"-Pos5",'Shooter-Squad Assignment'!$Z:$Z,0)),""),"")))</f>
        <v/>
      </c>
      <c r="P988" s="89" t="str">
        <f>IF(ISBLANK(O988),"",IFERROR(INDEX('Tournament List'!$D:$D,MATCH(O988,'Tournament List'!$A:$A,0)),""))</f>
        <v/>
      </c>
    </row>
    <row r="989" spans="1:16" x14ac:dyDescent="0.3">
      <c r="A989" s="87">
        <v>988</v>
      </c>
      <c r="B989" s="88" t="str">
        <f>C989&amp;"-"&amp;E989&amp;"-"&amp;F989</f>
        <v>-Varsity 3-Skeet</v>
      </c>
      <c r="C989" s="88"/>
      <c r="D989" s="88" t="str">
        <f>INDEX('Tournament Setup'!$B$59:$B$78,MATCH(E989,SquadConcurrents,0))</f>
        <v>Varsity</v>
      </c>
      <c r="E989" s="88" t="s">
        <v>352</v>
      </c>
      <c r="F989" s="88" t="s">
        <v>143</v>
      </c>
      <c r="G989" s="96" t="str">
        <f>IF(F989="Skeet",IFERROR(INDEX('Shooter-Squad Assignment'!$A:$A,MATCH(C989&amp;"-"&amp;E989&amp;"-"&amp;F989&amp;"-Pos1",'Shooter-Squad Assignment'!$K:$K,0)),""),IF(F989="Trap",IFERROR(INDEX('Shooter-Squad Assignment'!$A:$A,MATCH(C989&amp;"-"&amp;E989&amp;"-"&amp;F989&amp;"-Pos1",'Shooter-Squad Assignment'!$W:$W,0)),""),IF(F989="Sporting Clays",IFERROR(INDEX('Shooter-Squad Assignment'!$A:$A,MATCH(C989&amp;"-"&amp;E989&amp;"-"&amp;F989&amp;"-Pos1",'Shooter-Squad Assignment'!$Z:$Z,0)),""),"")))</f>
        <v/>
      </c>
      <c r="H989" s="88" t="str">
        <f>IF(ISBLANK(G989),"",IFERROR(INDEX('Tournament List'!$D:$D,MATCH(G989,'Tournament List'!$A:$A,0)),""))</f>
        <v/>
      </c>
      <c r="I989" s="96" t="str">
        <f>IF(F989="Skeet",IFERROR(INDEX('Shooter-Squad Assignment'!$A:$A,MATCH(C989&amp;"-"&amp;E989&amp;"-"&amp;F989&amp;"-Pos2",'Shooter-Squad Assignment'!$K:$K,0)),""),IF(F989="Trap",IFERROR(INDEX('Shooter-Squad Assignment'!$A:$A,MATCH(C989&amp;"-"&amp;E989&amp;"-"&amp;F989&amp;"-Pos2",'Shooter-Squad Assignment'!$W:$W,0)),""),IF(F989="Sporting Clays",IFERROR(INDEX('Shooter-Squad Assignment'!$A:$A,MATCH(C989&amp;"-"&amp;E989&amp;"-"&amp;F989&amp;"-Pos2",'Shooter-Squad Assignment'!$Z:$Z,0)),""),"")))</f>
        <v/>
      </c>
      <c r="J989" s="88" t="str">
        <f>IF(ISBLANK(I989),"",IFERROR(INDEX('Tournament List'!$D:$D,MATCH(I989,'Tournament List'!$A:$A,0)),""))</f>
        <v/>
      </c>
      <c r="K989" s="96" t="str">
        <f>IF(F989="Skeet",IFERROR(INDEX('Shooter-Squad Assignment'!$A:$A,MATCH(C989&amp;"-"&amp;E989&amp;"-"&amp;F989&amp;"-Pos3",'Shooter-Squad Assignment'!$K:$K,0)),""),IF(F989="Trap",IFERROR(INDEX('Shooter-Squad Assignment'!$A:$A,MATCH(C989&amp;"-"&amp;E989&amp;"-"&amp;F989&amp;"-Pos3",'Shooter-Squad Assignment'!$W:$W,0)),""),IF(F989="Sporting Clays",IFERROR(INDEX('Shooter-Squad Assignment'!$A:$A,MATCH(C989&amp;"-"&amp;E989&amp;"-"&amp;F989&amp;"-Pos3",'Shooter-Squad Assignment'!$Z:$Z,0)),""),"")))</f>
        <v/>
      </c>
      <c r="L989" s="88" t="str">
        <f>IF(ISBLANK(K989),"",IFERROR(INDEX('Tournament List'!$D:$D,MATCH(K989,'Tournament List'!$A:$A,0)),""))</f>
        <v/>
      </c>
      <c r="M989" s="96" t="str">
        <f>IF(F989="Skeet",IFERROR(INDEX('Shooter-Squad Assignment'!$A:$A,MATCH(C989&amp;"-"&amp;E989&amp;"-"&amp;F989&amp;"-Pos4",'Shooter-Squad Assignment'!$K:$K,0)),""),IF(F989="Trap",IFERROR(INDEX('Shooter-Squad Assignment'!$A:$A,MATCH(C989&amp;"-"&amp;E989&amp;"-"&amp;F989&amp;"-Pos4",'Shooter-Squad Assignment'!$W:$W,0)),""),IF(F989="Sporting Clays",IFERROR(INDEX('Shooter-Squad Assignment'!$A:$A,MATCH(C989&amp;"-"&amp;E989&amp;"-"&amp;F989&amp;"-Pos4",'Shooter-Squad Assignment'!$Z:$Z,0)),""),"")))</f>
        <v/>
      </c>
      <c r="N989" s="88" t="str">
        <f>IF(ISBLANK(M989),"",IFERROR(INDEX('Tournament List'!$D:$D,MATCH(M989,'Tournament List'!$A:$A,0)),""))</f>
        <v/>
      </c>
      <c r="O989" s="96" t="str">
        <f>IF(F989="Skeet",IFERROR(INDEX('Shooter-Squad Assignment'!$A:$A,MATCH(C989&amp;"-"&amp;E989&amp;"-"&amp;F989&amp;"-Pos5",'Shooter-Squad Assignment'!$K:$K,0)),""),IF(F989="Trap",IFERROR(INDEX('Shooter-Squad Assignment'!$A:$A,MATCH(C989&amp;"-"&amp;E989&amp;"-"&amp;F989&amp;"-Pos5",'Shooter-Squad Assignment'!$W:$W,0)),""),IF(F989="Sporting Clays",IFERROR(INDEX('Shooter-Squad Assignment'!$A:$A,MATCH(C989&amp;"-"&amp;E989&amp;"-"&amp;F989&amp;"-Pos5",'Shooter-Squad Assignment'!$Z:$Z,0)),""),"")))</f>
        <v/>
      </c>
      <c r="P989" s="89" t="str">
        <f>IF(ISBLANK(O989),"",IFERROR(INDEX('Tournament List'!$D:$D,MATCH(O989,'Tournament List'!$A:$A,0)),""))</f>
        <v/>
      </c>
    </row>
    <row r="990" spans="1:16" x14ac:dyDescent="0.3">
      <c r="A990" s="87">
        <v>989</v>
      </c>
      <c r="B990" s="88" t="str">
        <f>C990&amp;"-"&amp;E990&amp;"-"&amp;F990</f>
        <v>-Collegiate 1-Sporting Clays</v>
      </c>
      <c r="C990" s="88"/>
      <c r="D990" s="88" t="str">
        <f>INDEX('Tournament Setup'!$B$59:$B$78,MATCH(E990,SquadConcurrents,0))</f>
        <v>Collegiate</v>
      </c>
      <c r="E990" s="88" t="s">
        <v>342</v>
      </c>
      <c r="F990" s="88" t="s">
        <v>148</v>
      </c>
      <c r="G990" s="96" t="str">
        <f>IF(F990="Skeet",IFERROR(INDEX('Shooter-Squad Assignment'!$A:$A,MATCH(C990&amp;"-"&amp;E990&amp;"-"&amp;F990&amp;"-Pos1",'Shooter-Squad Assignment'!$K:$K,0)),""),IF(F990="Trap",IFERROR(INDEX('Shooter-Squad Assignment'!$A:$A,MATCH(C990&amp;"-"&amp;E990&amp;"-"&amp;F990&amp;"-Pos1",'Shooter-Squad Assignment'!$W:$W,0)),""),IF(F990="Sporting Clays",IFERROR(INDEX('Shooter-Squad Assignment'!$A:$A,MATCH(C990&amp;"-"&amp;E990&amp;"-"&amp;F990&amp;"-Pos1",'Shooter-Squad Assignment'!$Z:$Z,0)),""),"")))</f>
        <v/>
      </c>
      <c r="H990" s="88" t="str">
        <f>IF(ISBLANK(G990),"",IFERROR(INDEX('Tournament List'!$D:$D,MATCH(G990,'Tournament List'!$A:$A,0)),""))</f>
        <v/>
      </c>
      <c r="I990" s="96" t="str">
        <f>IF(F990="Skeet",IFERROR(INDEX('Shooter-Squad Assignment'!$A:$A,MATCH(C990&amp;"-"&amp;E990&amp;"-"&amp;F990&amp;"-Pos2",'Shooter-Squad Assignment'!$K:$K,0)),""),IF(F990="Trap",IFERROR(INDEX('Shooter-Squad Assignment'!$A:$A,MATCH(C990&amp;"-"&amp;E990&amp;"-"&amp;F990&amp;"-Pos2",'Shooter-Squad Assignment'!$W:$W,0)),""),IF(F990="Sporting Clays",IFERROR(INDEX('Shooter-Squad Assignment'!$A:$A,MATCH(C990&amp;"-"&amp;E990&amp;"-"&amp;F990&amp;"-Pos2",'Shooter-Squad Assignment'!$Z:$Z,0)),""),"")))</f>
        <v/>
      </c>
      <c r="J990" s="88" t="str">
        <f>IF(ISBLANK(I990),"",IFERROR(INDEX('Tournament List'!$D:$D,MATCH(I990,'Tournament List'!$A:$A,0)),""))</f>
        <v/>
      </c>
      <c r="K990" s="96" t="str">
        <f>IF(F990="Skeet",IFERROR(INDEX('Shooter-Squad Assignment'!$A:$A,MATCH(C990&amp;"-"&amp;E990&amp;"-"&amp;F990&amp;"-Pos3",'Shooter-Squad Assignment'!$K:$K,0)),""),IF(F990="Trap",IFERROR(INDEX('Shooter-Squad Assignment'!$A:$A,MATCH(C990&amp;"-"&amp;E990&amp;"-"&amp;F990&amp;"-Pos3",'Shooter-Squad Assignment'!$W:$W,0)),""),IF(F990="Sporting Clays",IFERROR(INDEX('Shooter-Squad Assignment'!$A:$A,MATCH(C990&amp;"-"&amp;E990&amp;"-"&amp;F990&amp;"-Pos3",'Shooter-Squad Assignment'!$Z:$Z,0)),""),"")))</f>
        <v/>
      </c>
      <c r="L990" s="88" t="str">
        <f>IF(ISBLANK(K990),"",IFERROR(INDEX('Tournament List'!$D:$D,MATCH(K990,'Tournament List'!$A:$A,0)),""))</f>
        <v/>
      </c>
      <c r="M990" s="96" t="str">
        <f>IF(F990="Skeet",IFERROR(INDEX('Shooter-Squad Assignment'!$A:$A,MATCH(C990&amp;"-"&amp;E990&amp;"-"&amp;F990&amp;"-Pos4",'Shooter-Squad Assignment'!$K:$K,0)),""),IF(F990="Trap",IFERROR(INDEX('Shooter-Squad Assignment'!$A:$A,MATCH(C990&amp;"-"&amp;E990&amp;"-"&amp;F990&amp;"-Pos4",'Shooter-Squad Assignment'!$W:$W,0)),""),IF(F990="Sporting Clays",IFERROR(INDEX('Shooter-Squad Assignment'!$A:$A,MATCH(C990&amp;"-"&amp;E990&amp;"-"&amp;F990&amp;"-Pos4",'Shooter-Squad Assignment'!$Z:$Z,0)),""),"")))</f>
        <v/>
      </c>
      <c r="N990" s="88" t="str">
        <f>IF(ISBLANK(M990),"",IFERROR(INDEX('Tournament List'!$D:$D,MATCH(M990,'Tournament List'!$A:$A,0)),""))</f>
        <v/>
      </c>
      <c r="O990" s="96" t="str">
        <f>IF(F990="Skeet",IFERROR(INDEX('Shooter-Squad Assignment'!$A:$A,MATCH(C990&amp;"-"&amp;E990&amp;"-"&amp;F990&amp;"-Pos5",'Shooter-Squad Assignment'!$K:$K,0)),""),IF(F990="Trap",IFERROR(INDEX('Shooter-Squad Assignment'!$A:$A,MATCH(C990&amp;"-"&amp;E990&amp;"-"&amp;F990&amp;"-Pos5",'Shooter-Squad Assignment'!$W:$W,0)),""),IF(F990="Sporting Clays",IFERROR(INDEX('Shooter-Squad Assignment'!$A:$A,MATCH(C990&amp;"-"&amp;E990&amp;"-"&amp;F990&amp;"-Pos5",'Shooter-Squad Assignment'!$Z:$Z,0)),""),"")))</f>
        <v/>
      </c>
      <c r="P990" s="89" t="str">
        <f>IF(ISBLANK(O990),"",IFERROR(INDEX('Tournament List'!$D:$D,MATCH(O990,'Tournament List'!$A:$A,0)),""))</f>
        <v/>
      </c>
    </row>
    <row r="991" spans="1:16" x14ac:dyDescent="0.3">
      <c r="A991" s="87">
        <v>990</v>
      </c>
      <c r="B991" s="88" t="str">
        <f>C991&amp;"-"&amp;E991&amp;"-"&amp;F991</f>
        <v>-Collegiate 2-Sporting Clays</v>
      </c>
      <c r="C991" s="88"/>
      <c r="D991" s="88" t="str">
        <f>INDEX('Tournament Setup'!$B$59:$B$78,MATCH(E991,SquadConcurrents,0))</f>
        <v>Collegiate</v>
      </c>
      <c r="E991" s="88" t="s">
        <v>348</v>
      </c>
      <c r="F991" s="88" t="s">
        <v>148</v>
      </c>
      <c r="G991" s="96" t="str">
        <f>IF(F991="Skeet",IFERROR(INDEX('Shooter-Squad Assignment'!$A:$A,MATCH(C991&amp;"-"&amp;E991&amp;"-"&amp;F991&amp;"-Pos1",'Shooter-Squad Assignment'!$K:$K,0)),""),IF(F991="Trap",IFERROR(INDEX('Shooter-Squad Assignment'!$A:$A,MATCH(C991&amp;"-"&amp;E991&amp;"-"&amp;F991&amp;"-Pos1",'Shooter-Squad Assignment'!$W:$W,0)),""),IF(F991="Sporting Clays",IFERROR(INDEX('Shooter-Squad Assignment'!$A:$A,MATCH(C991&amp;"-"&amp;E991&amp;"-"&amp;F991&amp;"-Pos1",'Shooter-Squad Assignment'!$Z:$Z,0)),""),"")))</f>
        <v/>
      </c>
      <c r="H991" s="88" t="str">
        <f>IF(ISBLANK(G991),"",IFERROR(INDEX('Tournament List'!$D:$D,MATCH(G991,'Tournament List'!$A:$A,0)),""))</f>
        <v/>
      </c>
      <c r="I991" s="96" t="str">
        <f>IF(F991="Skeet",IFERROR(INDEX('Shooter-Squad Assignment'!$A:$A,MATCH(C991&amp;"-"&amp;E991&amp;"-"&amp;F991&amp;"-Pos2",'Shooter-Squad Assignment'!$K:$K,0)),""),IF(F991="Trap",IFERROR(INDEX('Shooter-Squad Assignment'!$A:$A,MATCH(C991&amp;"-"&amp;E991&amp;"-"&amp;F991&amp;"-Pos2",'Shooter-Squad Assignment'!$W:$W,0)),""),IF(F991="Sporting Clays",IFERROR(INDEX('Shooter-Squad Assignment'!$A:$A,MATCH(C991&amp;"-"&amp;E991&amp;"-"&amp;F991&amp;"-Pos2",'Shooter-Squad Assignment'!$Z:$Z,0)),""),"")))</f>
        <v/>
      </c>
      <c r="J991" s="88" t="str">
        <f>IF(ISBLANK(I991),"",IFERROR(INDEX('Tournament List'!$D:$D,MATCH(I991,'Tournament List'!$A:$A,0)),""))</f>
        <v/>
      </c>
      <c r="K991" s="96" t="str">
        <f>IF(F991="Skeet",IFERROR(INDEX('Shooter-Squad Assignment'!$A:$A,MATCH(C991&amp;"-"&amp;E991&amp;"-"&amp;F991&amp;"-Pos3",'Shooter-Squad Assignment'!$K:$K,0)),""),IF(F991="Trap",IFERROR(INDEX('Shooter-Squad Assignment'!$A:$A,MATCH(C991&amp;"-"&amp;E991&amp;"-"&amp;F991&amp;"-Pos3",'Shooter-Squad Assignment'!$W:$W,0)),""),IF(F991="Sporting Clays",IFERROR(INDEX('Shooter-Squad Assignment'!$A:$A,MATCH(C991&amp;"-"&amp;E991&amp;"-"&amp;F991&amp;"-Pos3",'Shooter-Squad Assignment'!$Z:$Z,0)),""),"")))</f>
        <v/>
      </c>
      <c r="L991" s="88" t="str">
        <f>IF(ISBLANK(K991),"",IFERROR(INDEX('Tournament List'!$D:$D,MATCH(K991,'Tournament List'!$A:$A,0)),""))</f>
        <v/>
      </c>
      <c r="M991" s="96" t="str">
        <f>IF(F991="Skeet",IFERROR(INDEX('Shooter-Squad Assignment'!$A:$A,MATCH(C991&amp;"-"&amp;E991&amp;"-"&amp;F991&amp;"-Pos4",'Shooter-Squad Assignment'!$K:$K,0)),""),IF(F991="Trap",IFERROR(INDEX('Shooter-Squad Assignment'!$A:$A,MATCH(C991&amp;"-"&amp;E991&amp;"-"&amp;F991&amp;"-Pos4",'Shooter-Squad Assignment'!$W:$W,0)),""),IF(F991="Sporting Clays",IFERROR(INDEX('Shooter-Squad Assignment'!$A:$A,MATCH(C991&amp;"-"&amp;E991&amp;"-"&amp;F991&amp;"-Pos4",'Shooter-Squad Assignment'!$Z:$Z,0)),""),"")))</f>
        <v/>
      </c>
      <c r="N991" s="88" t="str">
        <f>IF(ISBLANK(M991),"",IFERROR(INDEX('Tournament List'!$D:$D,MATCH(M991,'Tournament List'!$A:$A,0)),""))</f>
        <v/>
      </c>
      <c r="O991" s="96" t="str">
        <f>IF(F991="Skeet",IFERROR(INDEX('Shooter-Squad Assignment'!$A:$A,MATCH(C991&amp;"-"&amp;E991&amp;"-"&amp;F991&amp;"-Pos5",'Shooter-Squad Assignment'!$K:$K,0)),""),IF(F991="Trap",IFERROR(INDEX('Shooter-Squad Assignment'!$A:$A,MATCH(C991&amp;"-"&amp;E991&amp;"-"&amp;F991&amp;"-Pos5",'Shooter-Squad Assignment'!$W:$W,0)),""),IF(F991="Sporting Clays",IFERROR(INDEX('Shooter-Squad Assignment'!$A:$A,MATCH(C991&amp;"-"&amp;E991&amp;"-"&amp;F991&amp;"-Pos5",'Shooter-Squad Assignment'!$Z:$Z,0)),""),"")))</f>
        <v/>
      </c>
      <c r="P991" s="89" t="str">
        <f>IF(ISBLANK(O991),"",IFERROR(INDEX('Tournament List'!$D:$D,MATCH(O991,'Tournament List'!$A:$A,0)),""))</f>
        <v/>
      </c>
    </row>
    <row r="992" spans="1:16" x14ac:dyDescent="0.3">
      <c r="A992" s="87">
        <v>991</v>
      </c>
      <c r="B992" s="88" t="str">
        <f>C992&amp;"-"&amp;E992&amp;"-"&amp;F992</f>
        <v>-Collegiate 3-Sporting Clays</v>
      </c>
      <c r="C992" s="88"/>
      <c r="D992" s="88" t="str">
        <f>INDEX('Tournament Setup'!$B$59:$B$78,MATCH(E992,SquadConcurrents,0))</f>
        <v>Collegiate</v>
      </c>
      <c r="E992" s="88" t="s">
        <v>354</v>
      </c>
      <c r="F992" s="88" t="s">
        <v>148</v>
      </c>
      <c r="G992" s="96" t="str">
        <f>IF(F992="Skeet",IFERROR(INDEX('Shooter-Squad Assignment'!$A:$A,MATCH(C992&amp;"-"&amp;E992&amp;"-"&amp;F992&amp;"-Pos1",'Shooter-Squad Assignment'!$K:$K,0)),""),IF(F992="Trap",IFERROR(INDEX('Shooter-Squad Assignment'!$A:$A,MATCH(C992&amp;"-"&amp;E992&amp;"-"&amp;F992&amp;"-Pos1",'Shooter-Squad Assignment'!$W:$W,0)),""),IF(F992="Sporting Clays",IFERROR(INDEX('Shooter-Squad Assignment'!$A:$A,MATCH(C992&amp;"-"&amp;E992&amp;"-"&amp;F992&amp;"-Pos1",'Shooter-Squad Assignment'!$Z:$Z,0)),""),"")))</f>
        <v/>
      </c>
      <c r="H992" s="88" t="str">
        <f>IF(ISBLANK(G992),"",IFERROR(INDEX('Tournament List'!$D:$D,MATCH(G992,'Tournament List'!$A:$A,0)),""))</f>
        <v/>
      </c>
      <c r="I992" s="96" t="str">
        <f>IF(F992="Skeet",IFERROR(INDEX('Shooter-Squad Assignment'!$A:$A,MATCH(C992&amp;"-"&amp;E992&amp;"-"&amp;F992&amp;"-Pos2",'Shooter-Squad Assignment'!$K:$K,0)),""),IF(F992="Trap",IFERROR(INDEX('Shooter-Squad Assignment'!$A:$A,MATCH(C992&amp;"-"&amp;E992&amp;"-"&amp;F992&amp;"-Pos2",'Shooter-Squad Assignment'!$W:$W,0)),""),IF(F992="Sporting Clays",IFERROR(INDEX('Shooter-Squad Assignment'!$A:$A,MATCH(C992&amp;"-"&amp;E992&amp;"-"&amp;F992&amp;"-Pos2",'Shooter-Squad Assignment'!$Z:$Z,0)),""),"")))</f>
        <v/>
      </c>
      <c r="J992" s="88" t="str">
        <f>IF(ISBLANK(I992),"",IFERROR(INDEX('Tournament List'!$D:$D,MATCH(I992,'Tournament List'!$A:$A,0)),""))</f>
        <v/>
      </c>
      <c r="K992" s="96" t="str">
        <f>IF(F992="Skeet",IFERROR(INDEX('Shooter-Squad Assignment'!$A:$A,MATCH(C992&amp;"-"&amp;E992&amp;"-"&amp;F992&amp;"-Pos3",'Shooter-Squad Assignment'!$K:$K,0)),""),IF(F992="Trap",IFERROR(INDEX('Shooter-Squad Assignment'!$A:$A,MATCH(C992&amp;"-"&amp;E992&amp;"-"&amp;F992&amp;"-Pos3",'Shooter-Squad Assignment'!$W:$W,0)),""),IF(F992="Sporting Clays",IFERROR(INDEX('Shooter-Squad Assignment'!$A:$A,MATCH(C992&amp;"-"&amp;E992&amp;"-"&amp;F992&amp;"-Pos3",'Shooter-Squad Assignment'!$Z:$Z,0)),""),"")))</f>
        <v/>
      </c>
      <c r="L992" s="88" t="str">
        <f>IF(ISBLANK(K992),"",IFERROR(INDEX('Tournament List'!$D:$D,MATCH(K992,'Tournament List'!$A:$A,0)),""))</f>
        <v/>
      </c>
      <c r="M992" s="96" t="str">
        <f>IF(F992="Skeet",IFERROR(INDEX('Shooter-Squad Assignment'!$A:$A,MATCH(C992&amp;"-"&amp;E992&amp;"-"&amp;F992&amp;"-Pos4",'Shooter-Squad Assignment'!$K:$K,0)),""),IF(F992="Trap",IFERROR(INDEX('Shooter-Squad Assignment'!$A:$A,MATCH(C992&amp;"-"&amp;E992&amp;"-"&amp;F992&amp;"-Pos4",'Shooter-Squad Assignment'!$W:$W,0)),""),IF(F992="Sporting Clays",IFERROR(INDEX('Shooter-Squad Assignment'!$A:$A,MATCH(C992&amp;"-"&amp;E992&amp;"-"&amp;F992&amp;"-Pos4",'Shooter-Squad Assignment'!$Z:$Z,0)),""),"")))</f>
        <v/>
      </c>
      <c r="N992" s="88" t="str">
        <f>IF(ISBLANK(M992),"",IFERROR(INDEX('Tournament List'!$D:$D,MATCH(M992,'Tournament List'!$A:$A,0)),""))</f>
        <v/>
      </c>
      <c r="O992" s="96" t="str">
        <f>IF(F992="Skeet",IFERROR(INDEX('Shooter-Squad Assignment'!$A:$A,MATCH(C992&amp;"-"&amp;E992&amp;"-"&amp;F992&amp;"-Pos5",'Shooter-Squad Assignment'!$K:$K,0)),""),IF(F992="Trap",IFERROR(INDEX('Shooter-Squad Assignment'!$A:$A,MATCH(C992&amp;"-"&amp;E992&amp;"-"&amp;F992&amp;"-Pos5",'Shooter-Squad Assignment'!$W:$W,0)),""),IF(F992="Sporting Clays",IFERROR(INDEX('Shooter-Squad Assignment'!$A:$A,MATCH(C992&amp;"-"&amp;E992&amp;"-"&amp;F992&amp;"-Pos5",'Shooter-Squad Assignment'!$Z:$Z,0)),""),"")))</f>
        <v/>
      </c>
      <c r="P992" s="89" t="str">
        <f>IF(ISBLANK(O992),"",IFERROR(INDEX('Tournament List'!$D:$D,MATCH(O992,'Tournament List'!$A:$A,0)),""))</f>
        <v/>
      </c>
    </row>
    <row r="993" spans="1:16" x14ac:dyDescent="0.3">
      <c r="A993" s="87">
        <v>992</v>
      </c>
      <c r="B993" s="88" t="str">
        <f>C993&amp;"-"&amp;E993&amp;"-"&amp;F993</f>
        <v>-Intermediate 1-Sporting Clays</v>
      </c>
      <c r="C993" s="88"/>
      <c r="D993" s="88" t="str">
        <f>INDEX('Tournament Setup'!$B$59:$B$78,MATCH(E993,SquadConcurrents,0))</f>
        <v>Intermediate</v>
      </c>
      <c r="E993" s="88" t="s">
        <v>338</v>
      </c>
      <c r="F993" s="88" t="s">
        <v>148</v>
      </c>
      <c r="G993" s="96" t="str">
        <f>IF(F993="Skeet",IFERROR(INDEX('Shooter-Squad Assignment'!$A:$A,MATCH(C993&amp;"-"&amp;E993&amp;"-"&amp;F993&amp;"-Pos1",'Shooter-Squad Assignment'!$K:$K,0)),""),IF(F993="Trap",IFERROR(INDEX('Shooter-Squad Assignment'!$A:$A,MATCH(C993&amp;"-"&amp;E993&amp;"-"&amp;F993&amp;"-Pos1",'Shooter-Squad Assignment'!$W:$W,0)),""),IF(F993="Sporting Clays",IFERROR(INDEX('Shooter-Squad Assignment'!$A:$A,MATCH(C993&amp;"-"&amp;E993&amp;"-"&amp;F993&amp;"-Pos1",'Shooter-Squad Assignment'!$Z:$Z,0)),""),"")))</f>
        <v/>
      </c>
      <c r="H993" s="88" t="str">
        <f>IF(ISBLANK(G993),"",IFERROR(INDEX('Tournament List'!$D:$D,MATCH(G993,'Tournament List'!$A:$A,0)),""))</f>
        <v/>
      </c>
      <c r="I993" s="96" t="str">
        <f>IF(F993="Skeet",IFERROR(INDEX('Shooter-Squad Assignment'!$A:$A,MATCH(C993&amp;"-"&amp;E993&amp;"-"&amp;F993&amp;"-Pos2",'Shooter-Squad Assignment'!$K:$K,0)),""),IF(F993="Trap",IFERROR(INDEX('Shooter-Squad Assignment'!$A:$A,MATCH(C993&amp;"-"&amp;E993&amp;"-"&amp;F993&amp;"-Pos2",'Shooter-Squad Assignment'!$W:$W,0)),""),IF(F993="Sporting Clays",IFERROR(INDEX('Shooter-Squad Assignment'!$A:$A,MATCH(C993&amp;"-"&amp;E993&amp;"-"&amp;F993&amp;"-Pos2",'Shooter-Squad Assignment'!$Z:$Z,0)),""),"")))</f>
        <v/>
      </c>
      <c r="J993" s="88" t="str">
        <f>IF(ISBLANK(I993),"",IFERROR(INDEX('Tournament List'!$D:$D,MATCH(I993,'Tournament List'!$A:$A,0)),""))</f>
        <v/>
      </c>
      <c r="K993" s="96" t="str">
        <f>IF(F993="Skeet",IFERROR(INDEX('Shooter-Squad Assignment'!$A:$A,MATCH(C993&amp;"-"&amp;E993&amp;"-"&amp;F993&amp;"-Pos3",'Shooter-Squad Assignment'!$K:$K,0)),""),IF(F993="Trap",IFERROR(INDEX('Shooter-Squad Assignment'!$A:$A,MATCH(C993&amp;"-"&amp;E993&amp;"-"&amp;F993&amp;"-Pos3",'Shooter-Squad Assignment'!$W:$W,0)),""),IF(F993="Sporting Clays",IFERROR(INDEX('Shooter-Squad Assignment'!$A:$A,MATCH(C993&amp;"-"&amp;E993&amp;"-"&amp;F993&amp;"-Pos3",'Shooter-Squad Assignment'!$Z:$Z,0)),""),"")))</f>
        <v/>
      </c>
      <c r="L993" s="88" t="str">
        <f>IF(ISBLANK(K993),"",IFERROR(INDEX('Tournament List'!$D:$D,MATCH(K993,'Tournament List'!$A:$A,0)),""))</f>
        <v/>
      </c>
      <c r="M993" s="96" t="str">
        <f>IF(F993="Skeet",IFERROR(INDEX('Shooter-Squad Assignment'!$A:$A,MATCH(C993&amp;"-"&amp;E993&amp;"-"&amp;F993&amp;"-Pos4",'Shooter-Squad Assignment'!$K:$K,0)),""),IF(F993="Trap",IFERROR(INDEX('Shooter-Squad Assignment'!$A:$A,MATCH(C993&amp;"-"&amp;E993&amp;"-"&amp;F993&amp;"-Pos4",'Shooter-Squad Assignment'!$W:$W,0)),""),IF(F993="Sporting Clays",IFERROR(INDEX('Shooter-Squad Assignment'!$A:$A,MATCH(C993&amp;"-"&amp;E993&amp;"-"&amp;F993&amp;"-Pos4",'Shooter-Squad Assignment'!$Z:$Z,0)),""),"")))</f>
        <v/>
      </c>
      <c r="N993" s="88" t="str">
        <f>IF(ISBLANK(M993),"",IFERROR(INDEX('Tournament List'!$D:$D,MATCH(M993,'Tournament List'!$A:$A,0)),""))</f>
        <v/>
      </c>
      <c r="O993" s="96" t="str">
        <f>IF(F993="Skeet",IFERROR(INDEX('Shooter-Squad Assignment'!$A:$A,MATCH(C993&amp;"-"&amp;E993&amp;"-"&amp;F993&amp;"-Pos5",'Shooter-Squad Assignment'!$K:$K,0)),""),IF(F993="Trap",IFERROR(INDEX('Shooter-Squad Assignment'!$A:$A,MATCH(C993&amp;"-"&amp;E993&amp;"-"&amp;F993&amp;"-Pos5",'Shooter-Squad Assignment'!$W:$W,0)),""),IF(F993="Sporting Clays",IFERROR(INDEX('Shooter-Squad Assignment'!$A:$A,MATCH(C993&amp;"-"&amp;E993&amp;"-"&amp;F993&amp;"-Pos5",'Shooter-Squad Assignment'!$Z:$Z,0)),""),"")))</f>
        <v/>
      </c>
      <c r="P993" s="89" t="str">
        <f>IF(ISBLANK(O993),"",IFERROR(INDEX('Tournament List'!$D:$D,MATCH(O993,'Tournament List'!$A:$A,0)),""))</f>
        <v/>
      </c>
    </row>
    <row r="994" spans="1:16" x14ac:dyDescent="0.3">
      <c r="A994" s="87">
        <v>993</v>
      </c>
      <c r="B994" s="88" t="str">
        <f>C994&amp;"-"&amp;E994&amp;"-"&amp;F994</f>
        <v>-Intermediate 2-Sporting Clays</v>
      </c>
      <c r="C994" s="88"/>
      <c r="D994" s="88" t="str">
        <f>INDEX('Tournament Setup'!$B$59:$B$78,MATCH(E994,SquadConcurrents,0))</f>
        <v>Intermediate</v>
      </c>
      <c r="E994" s="88" t="s">
        <v>344</v>
      </c>
      <c r="F994" s="88" t="s">
        <v>148</v>
      </c>
      <c r="G994" s="96" t="str">
        <f>IF(F994="Skeet",IFERROR(INDEX('Shooter-Squad Assignment'!$A:$A,MATCH(C994&amp;"-"&amp;E994&amp;"-"&amp;F994&amp;"-Pos1",'Shooter-Squad Assignment'!$K:$K,0)),""),IF(F994="Trap",IFERROR(INDEX('Shooter-Squad Assignment'!$A:$A,MATCH(C994&amp;"-"&amp;E994&amp;"-"&amp;F994&amp;"-Pos1",'Shooter-Squad Assignment'!$W:$W,0)),""),IF(F994="Sporting Clays",IFERROR(INDEX('Shooter-Squad Assignment'!$A:$A,MATCH(C994&amp;"-"&amp;E994&amp;"-"&amp;F994&amp;"-Pos1",'Shooter-Squad Assignment'!$Z:$Z,0)),""),"")))</f>
        <v/>
      </c>
      <c r="H994" s="88" t="str">
        <f>IF(ISBLANK(G994),"",IFERROR(INDEX('Tournament List'!$D:$D,MATCH(G994,'Tournament List'!$A:$A,0)),""))</f>
        <v/>
      </c>
      <c r="I994" s="96" t="str">
        <f>IF(F994="Skeet",IFERROR(INDEX('Shooter-Squad Assignment'!$A:$A,MATCH(C994&amp;"-"&amp;E994&amp;"-"&amp;F994&amp;"-Pos2",'Shooter-Squad Assignment'!$K:$K,0)),""),IF(F994="Trap",IFERROR(INDEX('Shooter-Squad Assignment'!$A:$A,MATCH(C994&amp;"-"&amp;E994&amp;"-"&amp;F994&amp;"-Pos2",'Shooter-Squad Assignment'!$W:$W,0)),""),IF(F994="Sporting Clays",IFERROR(INDEX('Shooter-Squad Assignment'!$A:$A,MATCH(C994&amp;"-"&amp;E994&amp;"-"&amp;F994&amp;"-Pos2",'Shooter-Squad Assignment'!$Z:$Z,0)),""),"")))</f>
        <v/>
      </c>
      <c r="J994" s="88" t="str">
        <f>IF(ISBLANK(I994),"",IFERROR(INDEX('Tournament List'!$D:$D,MATCH(I994,'Tournament List'!$A:$A,0)),""))</f>
        <v/>
      </c>
      <c r="K994" s="96" t="str">
        <f>IF(F994="Skeet",IFERROR(INDEX('Shooter-Squad Assignment'!$A:$A,MATCH(C994&amp;"-"&amp;E994&amp;"-"&amp;F994&amp;"-Pos3",'Shooter-Squad Assignment'!$K:$K,0)),""),IF(F994="Trap",IFERROR(INDEX('Shooter-Squad Assignment'!$A:$A,MATCH(C994&amp;"-"&amp;E994&amp;"-"&amp;F994&amp;"-Pos3",'Shooter-Squad Assignment'!$W:$W,0)),""),IF(F994="Sporting Clays",IFERROR(INDEX('Shooter-Squad Assignment'!$A:$A,MATCH(C994&amp;"-"&amp;E994&amp;"-"&amp;F994&amp;"-Pos3",'Shooter-Squad Assignment'!$Z:$Z,0)),""),"")))</f>
        <v/>
      </c>
      <c r="L994" s="88" t="str">
        <f>IF(ISBLANK(K994),"",IFERROR(INDEX('Tournament List'!$D:$D,MATCH(K994,'Tournament List'!$A:$A,0)),""))</f>
        <v/>
      </c>
      <c r="M994" s="96" t="str">
        <f>IF(F994="Skeet",IFERROR(INDEX('Shooter-Squad Assignment'!$A:$A,MATCH(C994&amp;"-"&amp;E994&amp;"-"&amp;F994&amp;"-Pos4",'Shooter-Squad Assignment'!$K:$K,0)),""),IF(F994="Trap",IFERROR(INDEX('Shooter-Squad Assignment'!$A:$A,MATCH(C994&amp;"-"&amp;E994&amp;"-"&amp;F994&amp;"-Pos4",'Shooter-Squad Assignment'!$W:$W,0)),""),IF(F994="Sporting Clays",IFERROR(INDEX('Shooter-Squad Assignment'!$A:$A,MATCH(C994&amp;"-"&amp;E994&amp;"-"&amp;F994&amp;"-Pos4",'Shooter-Squad Assignment'!$Z:$Z,0)),""),"")))</f>
        <v/>
      </c>
      <c r="N994" s="88" t="str">
        <f>IF(ISBLANK(M994),"",IFERROR(INDEX('Tournament List'!$D:$D,MATCH(M994,'Tournament List'!$A:$A,0)),""))</f>
        <v/>
      </c>
      <c r="O994" s="96" t="str">
        <f>IF(F994="Skeet",IFERROR(INDEX('Shooter-Squad Assignment'!$A:$A,MATCH(C994&amp;"-"&amp;E994&amp;"-"&amp;F994&amp;"-Pos5",'Shooter-Squad Assignment'!$K:$K,0)),""),IF(F994="Trap",IFERROR(INDEX('Shooter-Squad Assignment'!$A:$A,MATCH(C994&amp;"-"&amp;E994&amp;"-"&amp;F994&amp;"-Pos5",'Shooter-Squad Assignment'!$W:$W,0)),""),IF(F994="Sporting Clays",IFERROR(INDEX('Shooter-Squad Assignment'!$A:$A,MATCH(C994&amp;"-"&amp;E994&amp;"-"&amp;F994&amp;"-Pos5",'Shooter-Squad Assignment'!$Z:$Z,0)),""),"")))</f>
        <v/>
      </c>
      <c r="P994" s="89" t="str">
        <f>IF(ISBLANK(O994),"",IFERROR(INDEX('Tournament List'!$D:$D,MATCH(O994,'Tournament List'!$A:$A,0)),""))</f>
        <v/>
      </c>
    </row>
    <row r="995" spans="1:16" x14ac:dyDescent="0.3">
      <c r="A995" s="87">
        <v>994</v>
      </c>
      <c r="B995" s="88" t="str">
        <f>C995&amp;"-"&amp;E995&amp;"-"&amp;F995</f>
        <v>-Intermediate 3-Sporting Clays</v>
      </c>
      <c r="C995" s="88"/>
      <c r="D995" s="88" t="str">
        <f>INDEX('Tournament Setup'!$B$59:$B$78,MATCH(E995,SquadConcurrents,0))</f>
        <v>Intermediate</v>
      </c>
      <c r="E995" s="88" t="s">
        <v>350</v>
      </c>
      <c r="F995" s="88" t="s">
        <v>148</v>
      </c>
      <c r="G995" s="96" t="str">
        <f>IF(F995="Skeet",IFERROR(INDEX('Shooter-Squad Assignment'!$A:$A,MATCH(C995&amp;"-"&amp;E995&amp;"-"&amp;F995&amp;"-Pos1",'Shooter-Squad Assignment'!$K:$K,0)),""),IF(F995="Trap",IFERROR(INDEX('Shooter-Squad Assignment'!$A:$A,MATCH(C995&amp;"-"&amp;E995&amp;"-"&amp;F995&amp;"-Pos1",'Shooter-Squad Assignment'!$W:$W,0)),""),IF(F995="Sporting Clays",IFERROR(INDEX('Shooter-Squad Assignment'!$A:$A,MATCH(C995&amp;"-"&amp;E995&amp;"-"&amp;F995&amp;"-Pos1",'Shooter-Squad Assignment'!$Z:$Z,0)),""),"")))</f>
        <v/>
      </c>
      <c r="H995" s="88" t="str">
        <f>IF(ISBLANK(G995),"",IFERROR(INDEX('Tournament List'!$D:$D,MATCH(G995,'Tournament List'!$A:$A,0)),""))</f>
        <v/>
      </c>
      <c r="I995" s="96" t="str">
        <f>IF(F995="Skeet",IFERROR(INDEX('Shooter-Squad Assignment'!$A:$A,MATCH(C995&amp;"-"&amp;E995&amp;"-"&amp;F995&amp;"-Pos2",'Shooter-Squad Assignment'!$K:$K,0)),""),IF(F995="Trap",IFERROR(INDEX('Shooter-Squad Assignment'!$A:$A,MATCH(C995&amp;"-"&amp;E995&amp;"-"&amp;F995&amp;"-Pos2",'Shooter-Squad Assignment'!$W:$W,0)),""),IF(F995="Sporting Clays",IFERROR(INDEX('Shooter-Squad Assignment'!$A:$A,MATCH(C995&amp;"-"&amp;E995&amp;"-"&amp;F995&amp;"-Pos2",'Shooter-Squad Assignment'!$Z:$Z,0)),""),"")))</f>
        <v/>
      </c>
      <c r="J995" s="88" t="str">
        <f>IF(ISBLANK(I995),"",IFERROR(INDEX('Tournament List'!$D:$D,MATCH(I995,'Tournament List'!$A:$A,0)),""))</f>
        <v/>
      </c>
      <c r="K995" s="96" t="str">
        <f>IF(F995="Skeet",IFERROR(INDEX('Shooter-Squad Assignment'!$A:$A,MATCH(C995&amp;"-"&amp;E995&amp;"-"&amp;F995&amp;"-Pos3",'Shooter-Squad Assignment'!$K:$K,0)),""),IF(F995="Trap",IFERROR(INDEX('Shooter-Squad Assignment'!$A:$A,MATCH(C995&amp;"-"&amp;E995&amp;"-"&amp;F995&amp;"-Pos3",'Shooter-Squad Assignment'!$W:$W,0)),""),IF(F995="Sporting Clays",IFERROR(INDEX('Shooter-Squad Assignment'!$A:$A,MATCH(C995&amp;"-"&amp;E995&amp;"-"&amp;F995&amp;"-Pos3",'Shooter-Squad Assignment'!$Z:$Z,0)),""),"")))</f>
        <v/>
      </c>
      <c r="L995" s="88" t="str">
        <f>IF(ISBLANK(K995),"",IFERROR(INDEX('Tournament List'!$D:$D,MATCH(K995,'Tournament List'!$A:$A,0)),""))</f>
        <v/>
      </c>
      <c r="M995" s="96" t="str">
        <f>IF(F995="Skeet",IFERROR(INDEX('Shooter-Squad Assignment'!$A:$A,MATCH(C995&amp;"-"&amp;E995&amp;"-"&amp;F995&amp;"-Pos4",'Shooter-Squad Assignment'!$K:$K,0)),""),IF(F995="Trap",IFERROR(INDEX('Shooter-Squad Assignment'!$A:$A,MATCH(C995&amp;"-"&amp;E995&amp;"-"&amp;F995&amp;"-Pos4",'Shooter-Squad Assignment'!$W:$W,0)),""),IF(F995="Sporting Clays",IFERROR(INDEX('Shooter-Squad Assignment'!$A:$A,MATCH(C995&amp;"-"&amp;E995&amp;"-"&amp;F995&amp;"-Pos4",'Shooter-Squad Assignment'!$Z:$Z,0)),""),"")))</f>
        <v/>
      </c>
      <c r="N995" s="88" t="str">
        <f>IF(ISBLANK(M995),"",IFERROR(INDEX('Tournament List'!$D:$D,MATCH(M995,'Tournament List'!$A:$A,0)),""))</f>
        <v/>
      </c>
      <c r="O995" s="96" t="str">
        <f>IF(F995="Skeet",IFERROR(INDEX('Shooter-Squad Assignment'!$A:$A,MATCH(C995&amp;"-"&amp;E995&amp;"-"&amp;F995&amp;"-Pos5",'Shooter-Squad Assignment'!$K:$K,0)),""),IF(F995="Trap",IFERROR(INDEX('Shooter-Squad Assignment'!$A:$A,MATCH(C995&amp;"-"&amp;E995&amp;"-"&amp;F995&amp;"-Pos5",'Shooter-Squad Assignment'!$W:$W,0)),""),IF(F995="Sporting Clays",IFERROR(INDEX('Shooter-Squad Assignment'!$A:$A,MATCH(C995&amp;"-"&amp;E995&amp;"-"&amp;F995&amp;"-Pos5",'Shooter-Squad Assignment'!$Z:$Z,0)),""),"")))</f>
        <v/>
      </c>
      <c r="P995" s="89" t="str">
        <f>IF(ISBLANK(O995),"",IFERROR(INDEX('Tournament List'!$D:$D,MATCH(O995,'Tournament List'!$A:$A,0)),""))</f>
        <v/>
      </c>
    </row>
    <row r="996" spans="1:16" x14ac:dyDescent="0.3">
      <c r="A996" s="87">
        <v>995</v>
      </c>
      <c r="B996" s="88" t="str">
        <f>C996&amp;"-"&amp;E996&amp;"-"&amp;F996</f>
        <v>-Junior Varsity 1-Sporting Clays</v>
      </c>
      <c r="C996" s="88"/>
      <c r="D996" s="88" t="str">
        <f>INDEX('Tournament Setup'!$B$59:$B$78,MATCH(E996,SquadConcurrents,0))</f>
        <v>Junior Varsity</v>
      </c>
      <c r="E996" s="88" t="s">
        <v>339</v>
      </c>
      <c r="F996" s="88" t="s">
        <v>148</v>
      </c>
      <c r="G996" s="96" t="str">
        <f>IF(F996="Skeet",IFERROR(INDEX('Shooter-Squad Assignment'!$A:$A,MATCH(C996&amp;"-"&amp;E996&amp;"-"&amp;F996&amp;"-Pos1",'Shooter-Squad Assignment'!$K:$K,0)),""),IF(F996="Trap",IFERROR(INDEX('Shooter-Squad Assignment'!$A:$A,MATCH(C996&amp;"-"&amp;E996&amp;"-"&amp;F996&amp;"-Pos1",'Shooter-Squad Assignment'!$W:$W,0)),""),IF(F996="Sporting Clays",IFERROR(INDEX('Shooter-Squad Assignment'!$A:$A,MATCH(C996&amp;"-"&amp;E996&amp;"-"&amp;F996&amp;"-Pos1",'Shooter-Squad Assignment'!$Z:$Z,0)),""),"")))</f>
        <v/>
      </c>
      <c r="H996" s="88" t="str">
        <f>IF(ISBLANK(G996),"",IFERROR(INDEX('Tournament List'!$D:$D,MATCH(G996,'Tournament List'!$A:$A,0)),""))</f>
        <v/>
      </c>
      <c r="I996" s="96" t="str">
        <f>IF(F996="Skeet",IFERROR(INDEX('Shooter-Squad Assignment'!$A:$A,MATCH(C996&amp;"-"&amp;E996&amp;"-"&amp;F996&amp;"-Pos2",'Shooter-Squad Assignment'!$K:$K,0)),""),IF(F996="Trap",IFERROR(INDEX('Shooter-Squad Assignment'!$A:$A,MATCH(C996&amp;"-"&amp;E996&amp;"-"&amp;F996&amp;"-Pos2",'Shooter-Squad Assignment'!$W:$W,0)),""),IF(F996="Sporting Clays",IFERROR(INDEX('Shooter-Squad Assignment'!$A:$A,MATCH(C996&amp;"-"&amp;E996&amp;"-"&amp;F996&amp;"-Pos2",'Shooter-Squad Assignment'!$Z:$Z,0)),""),"")))</f>
        <v/>
      </c>
      <c r="J996" s="88" t="str">
        <f>IF(ISBLANK(I996),"",IFERROR(INDEX('Tournament List'!$D:$D,MATCH(I996,'Tournament List'!$A:$A,0)),""))</f>
        <v/>
      </c>
      <c r="K996" s="96" t="str">
        <f>IF(F996="Skeet",IFERROR(INDEX('Shooter-Squad Assignment'!$A:$A,MATCH(C996&amp;"-"&amp;E996&amp;"-"&amp;F996&amp;"-Pos3",'Shooter-Squad Assignment'!$K:$K,0)),""),IF(F996="Trap",IFERROR(INDEX('Shooter-Squad Assignment'!$A:$A,MATCH(C996&amp;"-"&amp;E996&amp;"-"&amp;F996&amp;"-Pos3",'Shooter-Squad Assignment'!$W:$W,0)),""),IF(F996="Sporting Clays",IFERROR(INDEX('Shooter-Squad Assignment'!$A:$A,MATCH(C996&amp;"-"&amp;E996&amp;"-"&amp;F996&amp;"-Pos3",'Shooter-Squad Assignment'!$Z:$Z,0)),""),"")))</f>
        <v/>
      </c>
      <c r="L996" s="88" t="str">
        <f>IF(ISBLANK(K996),"",IFERROR(INDEX('Tournament List'!$D:$D,MATCH(K996,'Tournament List'!$A:$A,0)),""))</f>
        <v/>
      </c>
      <c r="M996" s="96" t="str">
        <f>IF(F996="Skeet",IFERROR(INDEX('Shooter-Squad Assignment'!$A:$A,MATCH(C996&amp;"-"&amp;E996&amp;"-"&amp;F996&amp;"-Pos4",'Shooter-Squad Assignment'!$K:$K,0)),""),IF(F996="Trap",IFERROR(INDEX('Shooter-Squad Assignment'!$A:$A,MATCH(C996&amp;"-"&amp;E996&amp;"-"&amp;F996&amp;"-Pos4",'Shooter-Squad Assignment'!$W:$W,0)),""),IF(F996="Sporting Clays",IFERROR(INDEX('Shooter-Squad Assignment'!$A:$A,MATCH(C996&amp;"-"&amp;E996&amp;"-"&amp;F996&amp;"-Pos4",'Shooter-Squad Assignment'!$Z:$Z,0)),""),"")))</f>
        <v/>
      </c>
      <c r="N996" s="88" t="str">
        <f>IF(ISBLANK(M996),"",IFERROR(INDEX('Tournament List'!$D:$D,MATCH(M996,'Tournament List'!$A:$A,0)),""))</f>
        <v/>
      </c>
      <c r="O996" s="96" t="str">
        <f>IF(F996="Skeet",IFERROR(INDEX('Shooter-Squad Assignment'!$A:$A,MATCH(C996&amp;"-"&amp;E996&amp;"-"&amp;F996&amp;"-Pos5",'Shooter-Squad Assignment'!$K:$K,0)),""),IF(F996="Trap",IFERROR(INDEX('Shooter-Squad Assignment'!$A:$A,MATCH(C996&amp;"-"&amp;E996&amp;"-"&amp;F996&amp;"-Pos5",'Shooter-Squad Assignment'!$W:$W,0)),""),IF(F996="Sporting Clays",IFERROR(INDEX('Shooter-Squad Assignment'!$A:$A,MATCH(C996&amp;"-"&amp;E996&amp;"-"&amp;F996&amp;"-Pos5",'Shooter-Squad Assignment'!$Z:$Z,0)),""),"")))</f>
        <v/>
      </c>
      <c r="P996" s="89" t="str">
        <f>IF(ISBLANK(O996),"",IFERROR(INDEX('Tournament List'!$D:$D,MATCH(O996,'Tournament List'!$A:$A,0)),""))</f>
        <v/>
      </c>
    </row>
    <row r="997" spans="1:16" x14ac:dyDescent="0.3">
      <c r="A997" s="87">
        <v>996</v>
      </c>
      <c r="B997" s="88" t="str">
        <f>C997&amp;"-"&amp;E997&amp;"-"&amp;F997</f>
        <v>-Junior Varsity 2-Sporting Clays</v>
      </c>
      <c r="C997" s="88"/>
      <c r="D997" s="88" t="str">
        <f>INDEX('Tournament Setup'!$B$59:$B$78,MATCH(E997,SquadConcurrents,0))</f>
        <v>Junior Varsity</v>
      </c>
      <c r="E997" s="88" t="s">
        <v>345</v>
      </c>
      <c r="F997" s="88" t="s">
        <v>148</v>
      </c>
      <c r="G997" s="96" t="str">
        <f>IF(F997="Skeet",IFERROR(INDEX('Shooter-Squad Assignment'!$A:$A,MATCH(C997&amp;"-"&amp;E997&amp;"-"&amp;F997&amp;"-Pos1",'Shooter-Squad Assignment'!$K:$K,0)),""),IF(F997="Trap",IFERROR(INDEX('Shooter-Squad Assignment'!$A:$A,MATCH(C997&amp;"-"&amp;E997&amp;"-"&amp;F997&amp;"-Pos1",'Shooter-Squad Assignment'!$W:$W,0)),""),IF(F997="Sporting Clays",IFERROR(INDEX('Shooter-Squad Assignment'!$A:$A,MATCH(C997&amp;"-"&amp;E997&amp;"-"&amp;F997&amp;"-Pos1",'Shooter-Squad Assignment'!$Z:$Z,0)),""),"")))</f>
        <v/>
      </c>
      <c r="H997" s="88" t="str">
        <f>IF(ISBLANK(G997),"",IFERROR(INDEX('Tournament List'!$D:$D,MATCH(G997,'Tournament List'!$A:$A,0)),""))</f>
        <v/>
      </c>
      <c r="I997" s="96" t="str">
        <f>IF(F997="Skeet",IFERROR(INDEX('Shooter-Squad Assignment'!$A:$A,MATCH(C997&amp;"-"&amp;E997&amp;"-"&amp;F997&amp;"-Pos2",'Shooter-Squad Assignment'!$K:$K,0)),""),IF(F997="Trap",IFERROR(INDEX('Shooter-Squad Assignment'!$A:$A,MATCH(C997&amp;"-"&amp;E997&amp;"-"&amp;F997&amp;"-Pos2",'Shooter-Squad Assignment'!$W:$W,0)),""),IF(F997="Sporting Clays",IFERROR(INDEX('Shooter-Squad Assignment'!$A:$A,MATCH(C997&amp;"-"&amp;E997&amp;"-"&amp;F997&amp;"-Pos2",'Shooter-Squad Assignment'!$Z:$Z,0)),""),"")))</f>
        <v/>
      </c>
      <c r="J997" s="88" t="str">
        <f>IF(ISBLANK(I997),"",IFERROR(INDEX('Tournament List'!$D:$D,MATCH(I997,'Tournament List'!$A:$A,0)),""))</f>
        <v/>
      </c>
      <c r="K997" s="96" t="str">
        <f>IF(F997="Skeet",IFERROR(INDEX('Shooter-Squad Assignment'!$A:$A,MATCH(C997&amp;"-"&amp;E997&amp;"-"&amp;F997&amp;"-Pos3",'Shooter-Squad Assignment'!$K:$K,0)),""),IF(F997="Trap",IFERROR(INDEX('Shooter-Squad Assignment'!$A:$A,MATCH(C997&amp;"-"&amp;E997&amp;"-"&amp;F997&amp;"-Pos3",'Shooter-Squad Assignment'!$W:$W,0)),""),IF(F997="Sporting Clays",IFERROR(INDEX('Shooter-Squad Assignment'!$A:$A,MATCH(C997&amp;"-"&amp;E997&amp;"-"&amp;F997&amp;"-Pos3",'Shooter-Squad Assignment'!$Z:$Z,0)),""),"")))</f>
        <v/>
      </c>
      <c r="L997" s="88" t="str">
        <f>IF(ISBLANK(K997),"",IFERROR(INDEX('Tournament List'!$D:$D,MATCH(K997,'Tournament List'!$A:$A,0)),""))</f>
        <v/>
      </c>
      <c r="M997" s="96" t="str">
        <f>IF(F997="Skeet",IFERROR(INDEX('Shooter-Squad Assignment'!$A:$A,MATCH(C997&amp;"-"&amp;E997&amp;"-"&amp;F997&amp;"-Pos4",'Shooter-Squad Assignment'!$K:$K,0)),""),IF(F997="Trap",IFERROR(INDEX('Shooter-Squad Assignment'!$A:$A,MATCH(C997&amp;"-"&amp;E997&amp;"-"&amp;F997&amp;"-Pos4",'Shooter-Squad Assignment'!$W:$W,0)),""),IF(F997="Sporting Clays",IFERROR(INDEX('Shooter-Squad Assignment'!$A:$A,MATCH(C997&amp;"-"&amp;E997&amp;"-"&amp;F997&amp;"-Pos4",'Shooter-Squad Assignment'!$Z:$Z,0)),""),"")))</f>
        <v/>
      </c>
      <c r="N997" s="88" t="str">
        <f>IF(ISBLANK(M997),"",IFERROR(INDEX('Tournament List'!$D:$D,MATCH(M997,'Tournament List'!$A:$A,0)),""))</f>
        <v/>
      </c>
      <c r="O997" s="96" t="str">
        <f>IF(F997="Skeet",IFERROR(INDEX('Shooter-Squad Assignment'!$A:$A,MATCH(C997&amp;"-"&amp;E997&amp;"-"&amp;F997&amp;"-Pos5",'Shooter-Squad Assignment'!$K:$K,0)),""),IF(F997="Trap",IFERROR(INDEX('Shooter-Squad Assignment'!$A:$A,MATCH(C997&amp;"-"&amp;E997&amp;"-"&amp;F997&amp;"-Pos5",'Shooter-Squad Assignment'!$W:$W,0)),""),IF(F997="Sporting Clays",IFERROR(INDEX('Shooter-Squad Assignment'!$A:$A,MATCH(C997&amp;"-"&amp;E997&amp;"-"&amp;F997&amp;"-Pos5",'Shooter-Squad Assignment'!$Z:$Z,0)),""),"")))</f>
        <v/>
      </c>
      <c r="P997" s="89" t="str">
        <f>IF(ISBLANK(O997),"",IFERROR(INDEX('Tournament List'!$D:$D,MATCH(O997,'Tournament List'!$A:$A,0)),""))</f>
        <v/>
      </c>
    </row>
    <row r="998" spans="1:16" x14ac:dyDescent="0.3">
      <c r="A998" s="87">
        <v>997</v>
      </c>
      <c r="B998" s="88" t="str">
        <f>C998&amp;"-"&amp;E998&amp;"-"&amp;F998</f>
        <v>-Junior Varsity 3-Sporting Clays</v>
      </c>
      <c r="C998" s="88"/>
      <c r="D998" s="88" t="str">
        <f>INDEX('Tournament Setup'!$B$59:$B$78,MATCH(E998,SquadConcurrents,0))</f>
        <v>Junior Varsity</v>
      </c>
      <c r="E998" s="88" t="s">
        <v>351</v>
      </c>
      <c r="F998" s="88" t="s">
        <v>148</v>
      </c>
      <c r="G998" s="96" t="str">
        <f>IF(F998="Skeet",IFERROR(INDEX('Shooter-Squad Assignment'!$A:$A,MATCH(C998&amp;"-"&amp;E998&amp;"-"&amp;F998&amp;"-Pos1",'Shooter-Squad Assignment'!$K:$K,0)),""),IF(F998="Trap",IFERROR(INDEX('Shooter-Squad Assignment'!$A:$A,MATCH(C998&amp;"-"&amp;E998&amp;"-"&amp;F998&amp;"-Pos1",'Shooter-Squad Assignment'!$W:$W,0)),""),IF(F998="Sporting Clays",IFERROR(INDEX('Shooter-Squad Assignment'!$A:$A,MATCH(C998&amp;"-"&amp;E998&amp;"-"&amp;F998&amp;"-Pos1",'Shooter-Squad Assignment'!$Z:$Z,0)),""),"")))</f>
        <v/>
      </c>
      <c r="H998" s="88" t="str">
        <f>IF(ISBLANK(G998),"",IFERROR(INDEX('Tournament List'!$D:$D,MATCH(G998,'Tournament List'!$A:$A,0)),""))</f>
        <v/>
      </c>
      <c r="I998" s="96" t="str">
        <f>IF(F998="Skeet",IFERROR(INDEX('Shooter-Squad Assignment'!$A:$A,MATCH(C998&amp;"-"&amp;E998&amp;"-"&amp;F998&amp;"-Pos2",'Shooter-Squad Assignment'!$K:$K,0)),""),IF(F998="Trap",IFERROR(INDEX('Shooter-Squad Assignment'!$A:$A,MATCH(C998&amp;"-"&amp;E998&amp;"-"&amp;F998&amp;"-Pos2",'Shooter-Squad Assignment'!$W:$W,0)),""),IF(F998="Sporting Clays",IFERROR(INDEX('Shooter-Squad Assignment'!$A:$A,MATCH(C998&amp;"-"&amp;E998&amp;"-"&amp;F998&amp;"-Pos2",'Shooter-Squad Assignment'!$Z:$Z,0)),""),"")))</f>
        <v/>
      </c>
      <c r="J998" s="88" t="str">
        <f>IF(ISBLANK(I998),"",IFERROR(INDEX('Tournament List'!$D:$D,MATCH(I998,'Tournament List'!$A:$A,0)),""))</f>
        <v/>
      </c>
      <c r="K998" s="96" t="str">
        <f>IF(F998="Skeet",IFERROR(INDEX('Shooter-Squad Assignment'!$A:$A,MATCH(C998&amp;"-"&amp;E998&amp;"-"&amp;F998&amp;"-Pos3",'Shooter-Squad Assignment'!$K:$K,0)),""),IF(F998="Trap",IFERROR(INDEX('Shooter-Squad Assignment'!$A:$A,MATCH(C998&amp;"-"&amp;E998&amp;"-"&amp;F998&amp;"-Pos3",'Shooter-Squad Assignment'!$W:$W,0)),""),IF(F998="Sporting Clays",IFERROR(INDEX('Shooter-Squad Assignment'!$A:$A,MATCH(C998&amp;"-"&amp;E998&amp;"-"&amp;F998&amp;"-Pos3",'Shooter-Squad Assignment'!$Z:$Z,0)),""),"")))</f>
        <v/>
      </c>
      <c r="L998" s="88" t="str">
        <f>IF(ISBLANK(K998),"",IFERROR(INDEX('Tournament List'!$D:$D,MATCH(K998,'Tournament List'!$A:$A,0)),""))</f>
        <v/>
      </c>
      <c r="M998" s="96" t="str">
        <f>IF(F998="Skeet",IFERROR(INDEX('Shooter-Squad Assignment'!$A:$A,MATCH(C998&amp;"-"&amp;E998&amp;"-"&amp;F998&amp;"-Pos4",'Shooter-Squad Assignment'!$K:$K,0)),""),IF(F998="Trap",IFERROR(INDEX('Shooter-Squad Assignment'!$A:$A,MATCH(C998&amp;"-"&amp;E998&amp;"-"&amp;F998&amp;"-Pos4",'Shooter-Squad Assignment'!$W:$W,0)),""),IF(F998="Sporting Clays",IFERROR(INDEX('Shooter-Squad Assignment'!$A:$A,MATCH(C998&amp;"-"&amp;E998&amp;"-"&amp;F998&amp;"-Pos4",'Shooter-Squad Assignment'!$Z:$Z,0)),""),"")))</f>
        <v/>
      </c>
      <c r="N998" s="88" t="str">
        <f>IF(ISBLANK(M998),"",IFERROR(INDEX('Tournament List'!$D:$D,MATCH(M998,'Tournament List'!$A:$A,0)),""))</f>
        <v/>
      </c>
      <c r="O998" s="96" t="str">
        <f>IF(F998="Skeet",IFERROR(INDEX('Shooter-Squad Assignment'!$A:$A,MATCH(C998&amp;"-"&amp;E998&amp;"-"&amp;F998&amp;"-Pos5",'Shooter-Squad Assignment'!$K:$K,0)),""),IF(F998="Trap",IFERROR(INDEX('Shooter-Squad Assignment'!$A:$A,MATCH(C998&amp;"-"&amp;E998&amp;"-"&amp;F998&amp;"-Pos5",'Shooter-Squad Assignment'!$W:$W,0)),""),IF(F998="Sporting Clays",IFERROR(INDEX('Shooter-Squad Assignment'!$A:$A,MATCH(C998&amp;"-"&amp;E998&amp;"-"&amp;F998&amp;"-Pos5",'Shooter-Squad Assignment'!$Z:$Z,0)),""),"")))</f>
        <v/>
      </c>
      <c r="P998" s="89" t="str">
        <f>IF(ISBLANK(O998),"",IFERROR(INDEX('Tournament List'!$D:$D,MATCH(O998,'Tournament List'!$A:$A,0)),""))</f>
        <v/>
      </c>
    </row>
    <row r="999" spans="1:16" x14ac:dyDescent="0.3">
      <c r="A999" s="87">
        <v>998</v>
      </c>
      <c r="B999" s="88" t="str">
        <f>C999&amp;"-"&amp;E999&amp;"-"&amp;F999</f>
        <v>-Novice 1-Sporting Clays</v>
      </c>
      <c r="C999" s="88"/>
      <c r="D999" s="88" t="str">
        <f>INDEX('Tournament Setup'!$B$59:$B$78,MATCH(E999,SquadConcurrents,0))</f>
        <v>Novice</v>
      </c>
      <c r="E999" s="88" t="s">
        <v>337</v>
      </c>
      <c r="F999" s="88" t="s">
        <v>148</v>
      </c>
      <c r="G999" s="96" t="str">
        <f>IF(F999="Skeet",IFERROR(INDEX('Shooter-Squad Assignment'!$A:$A,MATCH(C999&amp;"-"&amp;E999&amp;"-"&amp;F999&amp;"-Pos1",'Shooter-Squad Assignment'!$K:$K,0)),""),IF(F999="Trap",IFERROR(INDEX('Shooter-Squad Assignment'!$A:$A,MATCH(C999&amp;"-"&amp;E999&amp;"-"&amp;F999&amp;"-Pos1",'Shooter-Squad Assignment'!$W:$W,0)),""),IF(F999="Sporting Clays",IFERROR(INDEX('Shooter-Squad Assignment'!$A:$A,MATCH(C999&amp;"-"&amp;E999&amp;"-"&amp;F999&amp;"-Pos1",'Shooter-Squad Assignment'!$Z:$Z,0)),""),"")))</f>
        <v/>
      </c>
      <c r="H999" s="88" t="str">
        <f>IF(ISBLANK(G999),"",IFERROR(INDEX('Tournament List'!$D:$D,MATCH(G999,'Tournament List'!$A:$A,0)),""))</f>
        <v/>
      </c>
      <c r="I999" s="96" t="str">
        <f>IF(F999="Skeet",IFERROR(INDEX('Shooter-Squad Assignment'!$A:$A,MATCH(C999&amp;"-"&amp;E999&amp;"-"&amp;F999&amp;"-Pos2",'Shooter-Squad Assignment'!$K:$K,0)),""),IF(F999="Trap",IFERROR(INDEX('Shooter-Squad Assignment'!$A:$A,MATCH(C999&amp;"-"&amp;E999&amp;"-"&amp;F999&amp;"-Pos2",'Shooter-Squad Assignment'!$W:$W,0)),""),IF(F999="Sporting Clays",IFERROR(INDEX('Shooter-Squad Assignment'!$A:$A,MATCH(C999&amp;"-"&amp;E999&amp;"-"&amp;F999&amp;"-Pos2",'Shooter-Squad Assignment'!$Z:$Z,0)),""),"")))</f>
        <v/>
      </c>
      <c r="J999" s="88" t="str">
        <f>IF(ISBLANK(I999),"",IFERROR(INDEX('Tournament List'!$D:$D,MATCH(I999,'Tournament List'!$A:$A,0)),""))</f>
        <v/>
      </c>
      <c r="K999" s="96" t="str">
        <f>IF(F999="Skeet",IFERROR(INDEX('Shooter-Squad Assignment'!$A:$A,MATCH(C999&amp;"-"&amp;E999&amp;"-"&amp;F999&amp;"-Pos3",'Shooter-Squad Assignment'!$K:$K,0)),""),IF(F999="Trap",IFERROR(INDEX('Shooter-Squad Assignment'!$A:$A,MATCH(C999&amp;"-"&amp;E999&amp;"-"&amp;F999&amp;"-Pos3",'Shooter-Squad Assignment'!$W:$W,0)),""),IF(F999="Sporting Clays",IFERROR(INDEX('Shooter-Squad Assignment'!$A:$A,MATCH(C999&amp;"-"&amp;E999&amp;"-"&amp;F999&amp;"-Pos3",'Shooter-Squad Assignment'!$Z:$Z,0)),""),"")))</f>
        <v/>
      </c>
      <c r="L999" s="88" t="str">
        <f>IF(ISBLANK(K999),"",IFERROR(INDEX('Tournament List'!$D:$D,MATCH(K999,'Tournament List'!$A:$A,0)),""))</f>
        <v/>
      </c>
      <c r="M999" s="96" t="str">
        <f>IF(F999="Skeet",IFERROR(INDEX('Shooter-Squad Assignment'!$A:$A,MATCH(C999&amp;"-"&amp;E999&amp;"-"&amp;F999&amp;"-Pos4",'Shooter-Squad Assignment'!$K:$K,0)),""),IF(F999="Trap",IFERROR(INDEX('Shooter-Squad Assignment'!$A:$A,MATCH(C999&amp;"-"&amp;E999&amp;"-"&amp;F999&amp;"-Pos4",'Shooter-Squad Assignment'!$W:$W,0)),""),IF(F999="Sporting Clays",IFERROR(INDEX('Shooter-Squad Assignment'!$A:$A,MATCH(C999&amp;"-"&amp;E999&amp;"-"&amp;F999&amp;"-Pos4",'Shooter-Squad Assignment'!$Z:$Z,0)),""),"")))</f>
        <v/>
      </c>
      <c r="N999" s="88" t="str">
        <f>IF(ISBLANK(M999),"",IFERROR(INDEX('Tournament List'!$D:$D,MATCH(M999,'Tournament List'!$A:$A,0)),""))</f>
        <v/>
      </c>
      <c r="O999" s="96" t="str">
        <f>IF(F999="Skeet",IFERROR(INDEX('Shooter-Squad Assignment'!$A:$A,MATCH(C999&amp;"-"&amp;E999&amp;"-"&amp;F999&amp;"-Pos5",'Shooter-Squad Assignment'!$K:$K,0)),""),IF(F999="Trap",IFERROR(INDEX('Shooter-Squad Assignment'!$A:$A,MATCH(C999&amp;"-"&amp;E999&amp;"-"&amp;F999&amp;"-Pos5",'Shooter-Squad Assignment'!$W:$W,0)),""),IF(F999="Sporting Clays",IFERROR(INDEX('Shooter-Squad Assignment'!$A:$A,MATCH(C999&amp;"-"&amp;E999&amp;"-"&amp;F999&amp;"-Pos5",'Shooter-Squad Assignment'!$Z:$Z,0)),""),"")))</f>
        <v/>
      </c>
      <c r="P999" s="89" t="str">
        <f>IF(ISBLANK(O999),"",IFERROR(INDEX('Tournament List'!$D:$D,MATCH(O999,'Tournament List'!$A:$A,0)),""))</f>
        <v/>
      </c>
    </row>
    <row r="1000" spans="1:16" x14ac:dyDescent="0.3">
      <c r="A1000" s="87">
        <v>999</v>
      </c>
      <c r="B1000" s="88" t="str">
        <f>C1000&amp;"-"&amp;E1000&amp;"-"&amp;F1000</f>
        <v>-Novice 2-Sporting Clays</v>
      </c>
      <c r="C1000" s="88"/>
      <c r="D1000" s="88" t="str">
        <f>INDEX('Tournament Setup'!$B$59:$B$78,MATCH(E1000,SquadConcurrents,0))</f>
        <v>Novice</v>
      </c>
      <c r="E1000" s="88" t="s">
        <v>343</v>
      </c>
      <c r="F1000" s="88" t="s">
        <v>148</v>
      </c>
      <c r="G1000" s="96" t="str">
        <f>IF(F1000="Skeet",IFERROR(INDEX('Shooter-Squad Assignment'!$A:$A,MATCH(C1000&amp;"-"&amp;E1000&amp;"-"&amp;F1000&amp;"-Pos1",'Shooter-Squad Assignment'!$K:$K,0)),""),IF(F1000="Trap",IFERROR(INDEX('Shooter-Squad Assignment'!$A:$A,MATCH(C1000&amp;"-"&amp;E1000&amp;"-"&amp;F1000&amp;"-Pos1",'Shooter-Squad Assignment'!$W:$W,0)),""),IF(F1000="Sporting Clays",IFERROR(INDEX('Shooter-Squad Assignment'!$A:$A,MATCH(C1000&amp;"-"&amp;E1000&amp;"-"&amp;F1000&amp;"-Pos1",'Shooter-Squad Assignment'!$Z:$Z,0)),""),"")))</f>
        <v/>
      </c>
      <c r="H1000" s="88" t="str">
        <f>IF(ISBLANK(G1000),"",IFERROR(INDEX('Tournament List'!$D:$D,MATCH(G1000,'Tournament List'!$A:$A,0)),""))</f>
        <v/>
      </c>
      <c r="I1000" s="96" t="str">
        <f>IF(F1000="Skeet",IFERROR(INDEX('Shooter-Squad Assignment'!$A:$A,MATCH(C1000&amp;"-"&amp;E1000&amp;"-"&amp;F1000&amp;"-Pos2",'Shooter-Squad Assignment'!$K:$K,0)),""),IF(F1000="Trap",IFERROR(INDEX('Shooter-Squad Assignment'!$A:$A,MATCH(C1000&amp;"-"&amp;E1000&amp;"-"&amp;F1000&amp;"-Pos2",'Shooter-Squad Assignment'!$W:$W,0)),""),IF(F1000="Sporting Clays",IFERROR(INDEX('Shooter-Squad Assignment'!$A:$A,MATCH(C1000&amp;"-"&amp;E1000&amp;"-"&amp;F1000&amp;"-Pos2",'Shooter-Squad Assignment'!$Z:$Z,0)),""),"")))</f>
        <v/>
      </c>
      <c r="J1000" s="88" t="str">
        <f>IF(ISBLANK(I1000),"",IFERROR(INDEX('Tournament List'!$D:$D,MATCH(I1000,'Tournament List'!$A:$A,0)),""))</f>
        <v/>
      </c>
      <c r="K1000" s="96" t="str">
        <f>IF(F1000="Skeet",IFERROR(INDEX('Shooter-Squad Assignment'!$A:$A,MATCH(C1000&amp;"-"&amp;E1000&amp;"-"&amp;F1000&amp;"-Pos3",'Shooter-Squad Assignment'!$K:$K,0)),""),IF(F1000="Trap",IFERROR(INDEX('Shooter-Squad Assignment'!$A:$A,MATCH(C1000&amp;"-"&amp;E1000&amp;"-"&amp;F1000&amp;"-Pos3",'Shooter-Squad Assignment'!$W:$W,0)),""),IF(F1000="Sporting Clays",IFERROR(INDEX('Shooter-Squad Assignment'!$A:$A,MATCH(C1000&amp;"-"&amp;E1000&amp;"-"&amp;F1000&amp;"-Pos3",'Shooter-Squad Assignment'!$Z:$Z,0)),""),"")))</f>
        <v/>
      </c>
      <c r="L1000" s="88" t="str">
        <f>IF(ISBLANK(K1000),"",IFERROR(INDEX('Tournament List'!$D:$D,MATCH(K1000,'Tournament List'!$A:$A,0)),""))</f>
        <v/>
      </c>
      <c r="M1000" s="96" t="str">
        <f>IF(F1000="Skeet",IFERROR(INDEX('Shooter-Squad Assignment'!$A:$A,MATCH(C1000&amp;"-"&amp;E1000&amp;"-"&amp;F1000&amp;"-Pos4",'Shooter-Squad Assignment'!$K:$K,0)),""),IF(F1000="Trap",IFERROR(INDEX('Shooter-Squad Assignment'!$A:$A,MATCH(C1000&amp;"-"&amp;E1000&amp;"-"&amp;F1000&amp;"-Pos4",'Shooter-Squad Assignment'!$W:$W,0)),""),IF(F1000="Sporting Clays",IFERROR(INDEX('Shooter-Squad Assignment'!$A:$A,MATCH(C1000&amp;"-"&amp;E1000&amp;"-"&amp;F1000&amp;"-Pos4",'Shooter-Squad Assignment'!$Z:$Z,0)),""),"")))</f>
        <v/>
      </c>
      <c r="N1000" s="88" t="str">
        <f>IF(ISBLANK(M1000),"",IFERROR(INDEX('Tournament List'!$D:$D,MATCH(M1000,'Tournament List'!$A:$A,0)),""))</f>
        <v/>
      </c>
      <c r="O1000" s="96" t="str">
        <f>IF(F1000="Skeet",IFERROR(INDEX('Shooter-Squad Assignment'!$A:$A,MATCH(C1000&amp;"-"&amp;E1000&amp;"-"&amp;F1000&amp;"-Pos5",'Shooter-Squad Assignment'!$K:$K,0)),""),IF(F1000="Trap",IFERROR(INDEX('Shooter-Squad Assignment'!$A:$A,MATCH(C1000&amp;"-"&amp;E1000&amp;"-"&amp;F1000&amp;"-Pos5",'Shooter-Squad Assignment'!$W:$W,0)),""),IF(F1000="Sporting Clays",IFERROR(INDEX('Shooter-Squad Assignment'!$A:$A,MATCH(C1000&amp;"-"&amp;E1000&amp;"-"&amp;F1000&amp;"-Pos5",'Shooter-Squad Assignment'!$Z:$Z,0)),""),"")))</f>
        <v/>
      </c>
      <c r="P1000" s="89" t="str">
        <f>IF(ISBLANK(O1000),"",IFERROR(INDEX('Tournament List'!$D:$D,MATCH(O1000,'Tournament List'!$A:$A,0)),""))</f>
        <v/>
      </c>
    </row>
    <row r="1001" spans="1:16" x14ac:dyDescent="0.3">
      <c r="A1001" s="87">
        <v>1000</v>
      </c>
      <c r="B1001" s="88" t="str">
        <f>C1001&amp;"-"&amp;E1001&amp;"-"&amp;F1001</f>
        <v>-Novice 3-Sporting Clays</v>
      </c>
      <c r="C1001" s="88"/>
      <c r="D1001" s="88" t="str">
        <f>INDEX('Tournament Setup'!$B$59:$B$78,MATCH(E1001,SquadConcurrents,0))</f>
        <v>Novice</v>
      </c>
      <c r="E1001" s="88" t="s">
        <v>349</v>
      </c>
      <c r="F1001" s="88" t="s">
        <v>148</v>
      </c>
      <c r="G1001" s="96" t="str">
        <f>IF(F1001="Skeet",IFERROR(INDEX('Shooter-Squad Assignment'!$A:$A,MATCH(C1001&amp;"-"&amp;E1001&amp;"-"&amp;F1001&amp;"-Pos1",'Shooter-Squad Assignment'!$K:$K,0)),""),IF(F1001="Trap",IFERROR(INDEX('Shooter-Squad Assignment'!$A:$A,MATCH(C1001&amp;"-"&amp;E1001&amp;"-"&amp;F1001&amp;"-Pos1",'Shooter-Squad Assignment'!$W:$W,0)),""),IF(F1001="Sporting Clays",IFERROR(INDEX('Shooter-Squad Assignment'!$A:$A,MATCH(C1001&amp;"-"&amp;E1001&amp;"-"&amp;F1001&amp;"-Pos1",'Shooter-Squad Assignment'!$Z:$Z,0)),""),"")))</f>
        <v/>
      </c>
      <c r="H1001" s="88" t="str">
        <f>IF(ISBLANK(G1001),"",IFERROR(INDEX('Tournament List'!$D:$D,MATCH(G1001,'Tournament List'!$A:$A,0)),""))</f>
        <v/>
      </c>
      <c r="I1001" s="96" t="str">
        <f>IF(F1001="Skeet",IFERROR(INDEX('Shooter-Squad Assignment'!$A:$A,MATCH(C1001&amp;"-"&amp;E1001&amp;"-"&amp;F1001&amp;"-Pos2",'Shooter-Squad Assignment'!$K:$K,0)),""),IF(F1001="Trap",IFERROR(INDEX('Shooter-Squad Assignment'!$A:$A,MATCH(C1001&amp;"-"&amp;E1001&amp;"-"&amp;F1001&amp;"-Pos2",'Shooter-Squad Assignment'!$W:$W,0)),""),IF(F1001="Sporting Clays",IFERROR(INDEX('Shooter-Squad Assignment'!$A:$A,MATCH(C1001&amp;"-"&amp;E1001&amp;"-"&amp;F1001&amp;"-Pos2",'Shooter-Squad Assignment'!$Z:$Z,0)),""),"")))</f>
        <v/>
      </c>
      <c r="J1001" s="88" t="str">
        <f>IF(ISBLANK(I1001),"",IFERROR(INDEX('Tournament List'!$D:$D,MATCH(I1001,'Tournament List'!$A:$A,0)),""))</f>
        <v/>
      </c>
      <c r="K1001" s="96" t="str">
        <f>IF(F1001="Skeet",IFERROR(INDEX('Shooter-Squad Assignment'!$A:$A,MATCH(C1001&amp;"-"&amp;E1001&amp;"-"&amp;F1001&amp;"-Pos3",'Shooter-Squad Assignment'!$K:$K,0)),""),IF(F1001="Trap",IFERROR(INDEX('Shooter-Squad Assignment'!$A:$A,MATCH(C1001&amp;"-"&amp;E1001&amp;"-"&amp;F1001&amp;"-Pos3",'Shooter-Squad Assignment'!$W:$W,0)),""),IF(F1001="Sporting Clays",IFERROR(INDEX('Shooter-Squad Assignment'!$A:$A,MATCH(C1001&amp;"-"&amp;E1001&amp;"-"&amp;F1001&amp;"-Pos3",'Shooter-Squad Assignment'!$Z:$Z,0)),""),"")))</f>
        <v/>
      </c>
      <c r="L1001" s="88" t="str">
        <f>IF(ISBLANK(K1001),"",IFERROR(INDEX('Tournament List'!$D:$D,MATCH(K1001,'Tournament List'!$A:$A,0)),""))</f>
        <v/>
      </c>
      <c r="M1001" s="96" t="str">
        <f>IF(F1001="Skeet",IFERROR(INDEX('Shooter-Squad Assignment'!$A:$A,MATCH(C1001&amp;"-"&amp;E1001&amp;"-"&amp;F1001&amp;"-Pos4",'Shooter-Squad Assignment'!$K:$K,0)),""),IF(F1001="Trap",IFERROR(INDEX('Shooter-Squad Assignment'!$A:$A,MATCH(C1001&amp;"-"&amp;E1001&amp;"-"&amp;F1001&amp;"-Pos4",'Shooter-Squad Assignment'!$W:$W,0)),""),IF(F1001="Sporting Clays",IFERROR(INDEX('Shooter-Squad Assignment'!$A:$A,MATCH(C1001&amp;"-"&amp;E1001&amp;"-"&amp;F1001&amp;"-Pos4",'Shooter-Squad Assignment'!$Z:$Z,0)),""),"")))</f>
        <v/>
      </c>
      <c r="N1001" s="88" t="str">
        <f>IF(ISBLANK(M1001),"",IFERROR(INDEX('Tournament List'!$D:$D,MATCH(M1001,'Tournament List'!$A:$A,0)),""))</f>
        <v/>
      </c>
      <c r="O1001" s="96" t="str">
        <f>IF(F1001="Skeet",IFERROR(INDEX('Shooter-Squad Assignment'!$A:$A,MATCH(C1001&amp;"-"&amp;E1001&amp;"-"&amp;F1001&amp;"-Pos5",'Shooter-Squad Assignment'!$K:$K,0)),""),IF(F1001="Trap",IFERROR(INDEX('Shooter-Squad Assignment'!$A:$A,MATCH(C1001&amp;"-"&amp;E1001&amp;"-"&amp;F1001&amp;"-Pos5",'Shooter-Squad Assignment'!$W:$W,0)),""),IF(F1001="Sporting Clays",IFERROR(INDEX('Shooter-Squad Assignment'!$A:$A,MATCH(C1001&amp;"-"&amp;E1001&amp;"-"&amp;F1001&amp;"-Pos5",'Shooter-Squad Assignment'!$Z:$Z,0)),""),"")))</f>
        <v/>
      </c>
      <c r="P1001" s="89" t="str">
        <f>IF(ISBLANK(O1001),"",IFERROR(INDEX('Tournament List'!$D:$D,MATCH(O1001,'Tournament List'!$A:$A,0)),""))</f>
        <v/>
      </c>
    </row>
    <row r="1002" spans="1:16" x14ac:dyDescent="0.3">
      <c r="A1002" s="87">
        <v>1001</v>
      </c>
      <c r="B1002" s="88" t="str">
        <f>C1002&amp;"-"&amp;E1002&amp;"-"&amp;F1002</f>
        <v>-Open 1-Sporting Clays</v>
      </c>
      <c r="C1002" s="88"/>
      <c r="D1002" s="88" t="str">
        <f>INDEX('Tournament Setup'!$B$59:$B$78,MATCH(E1002,SquadConcurrents,0))</f>
        <v>Open</v>
      </c>
      <c r="E1002" s="88" t="s">
        <v>341</v>
      </c>
      <c r="F1002" s="88" t="s">
        <v>148</v>
      </c>
      <c r="G1002" s="96" t="str">
        <f>IF(F1002="Skeet",IFERROR(INDEX('Shooter-Squad Assignment'!$A:$A,MATCH(C1002&amp;"-"&amp;E1002&amp;"-"&amp;F1002&amp;"-Pos1",'Shooter-Squad Assignment'!$K:$K,0)),""),IF(F1002="Trap",IFERROR(INDEX('Shooter-Squad Assignment'!$A:$A,MATCH(C1002&amp;"-"&amp;E1002&amp;"-"&amp;F1002&amp;"-Pos1",'Shooter-Squad Assignment'!$W:$W,0)),""),IF(F1002="Sporting Clays",IFERROR(INDEX('Shooter-Squad Assignment'!$A:$A,MATCH(C1002&amp;"-"&amp;E1002&amp;"-"&amp;F1002&amp;"-Pos1",'Shooter-Squad Assignment'!$Z:$Z,0)),""),"")))</f>
        <v/>
      </c>
      <c r="H1002" s="88" t="str">
        <f>IF(ISBLANK(G1002),"",IFERROR(INDEX('Tournament List'!$D:$D,MATCH(G1002,'Tournament List'!$A:$A,0)),""))</f>
        <v/>
      </c>
      <c r="I1002" s="96" t="str">
        <f>IF(F1002="Skeet",IFERROR(INDEX('Shooter-Squad Assignment'!$A:$A,MATCH(C1002&amp;"-"&amp;E1002&amp;"-"&amp;F1002&amp;"-Pos2",'Shooter-Squad Assignment'!$K:$K,0)),""),IF(F1002="Trap",IFERROR(INDEX('Shooter-Squad Assignment'!$A:$A,MATCH(C1002&amp;"-"&amp;E1002&amp;"-"&amp;F1002&amp;"-Pos2",'Shooter-Squad Assignment'!$W:$W,0)),""),IF(F1002="Sporting Clays",IFERROR(INDEX('Shooter-Squad Assignment'!$A:$A,MATCH(C1002&amp;"-"&amp;E1002&amp;"-"&amp;F1002&amp;"-Pos2",'Shooter-Squad Assignment'!$Z:$Z,0)),""),"")))</f>
        <v/>
      </c>
      <c r="J1002" s="88" t="str">
        <f>IF(ISBLANK(I1002),"",IFERROR(INDEX('Tournament List'!$D:$D,MATCH(I1002,'Tournament List'!$A:$A,0)),""))</f>
        <v/>
      </c>
      <c r="K1002" s="96" t="str">
        <f>IF(F1002="Skeet",IFERROR(INDEX('Shooter-Squad Assignment'!$A:$A,MATCH(C1002&amp;"-"&amp;E1002&amp;"-"&amp;F1002&amp;"-Pos3",'Shooter-Squad Assignment'!$K:$K,0)),""),IF(F1002="Trap",IFERROR(INDEX('Shooter-Squad Assignment'!$A:$A,MATCH(C1002&amp;"-"&amp;E1002&amp;"-"&amp;F1002&amp;"-Pos3",'Shooter-Squad Assignment'!$W:$W,0)),""),IF(F1002="Sporting Clays",IFERROR(INDEX('Shooter-Squad Assignment'!$A:$A,MATCH(C1002&amp;"-"&amp;E1002&amp;"-"&amp;F1002&amp;"-Pos3",'Shooter-Squad Assignment'!$Z:$Z,0)),""),"")))</f>
        <v/>
      </c>
      <c r="L1002" s="88" t="str">
        <f>IF(ISBLANK(K1002),"",IFERROR(INDEX('Tournament List'!$D:$D,MATCH(K1002,'Tournament List'!$A:$A,0)),""))</f>
        <v/>
      </c>
      <c r="M1002" s="96" t="str">
        <f>IF(F1002="Skeet",IFERROR(INDEX('Shooter-Squad Assignment'!$A:$A,MATCH(C1002&amp;"-"&amp;E1002&amp;"-"&amp;F1002&amp;"-Pos4",'Shooter-Squad Assignment'!$K:$K,0)),""),IF(F1002="Trap",IFERROR(INDEX('Shooter-Squad Assignment'!$A:$A,MATCH(C1002&amp;"-"&amp;E1002&amp;"-"&amp;F1002&amp;"-Pos4",'Shooter-Squad Assignment'!$W:$W,0)),""),IF(F1002="Sporting Clays",IFERROR(INDEX('Shooter-Squad Assignment'!$A:$A,MATCH(C1002&amp;"-"&amp;E1002&amp;"-"&amp;F1002&amp;"-Pos4",'Shooter-Squad Assignment'!$Z:$Z,0)),""),"")))</f>
        <v/>
      </c>
      <c r="N1002" s="88" t="str">
        <f>IF(ISBLANK(M1002),"",IFERROR(INDEX('Tournament List'!$D:$D,MATCH(M1002,'Tournament List'!$A:$A,0)),""))</f>
        <v/>
      </c>
      <c r="O1002" s="96" t="str">
        <f>IF(F1002="Skeet",IFERROR(INDEX('Shooter-Squad Assignment'!$A:$A,MATCH(C1002&amp;"-"&amp;E1002&amp;"-"&amp;F1002&amp;"-Pos5",'Shooter-Squad Assignment'!$K:$K,0)),""),IF(F1002="Trap",IFERROR(INDEX('Shooter-Squad Assignment'!$A:$A,MATCH(C1002&amp;"-"&amp;E1002&amp;"-"&amp;F1002&amp;"-Pos5",'Shooter-Squad Assignment'!$W:$W,0)),""),IF(F1002="Sporting Clays",IFERROR(INDEX('Shooter-Squad Assignment'!$A:$A,MATCH(C1002&amp;"-"&amp;E1002&amp;"-"&amp;F1002&amp;"-Pos5",'Shooter-Squad Assignment'!$Z:$Z,0)),""),"")))</f>
        <v/>
      </c>
      <c r="P1002" s="89" t="str">
        <f>IF(ISBLANK(O1002),"",IFERROR(INDEX('Tournament List'!$D:$D,MATCH(O1002,'Tournament List'!$A:$A,0)),""))</f>
        <v/>
      </c>
    </row>
    <row r="1003" spans="1:16" x14ac:dyDescent="0.3">
      <c r="A1003" s="87">
        <v>1002</v>
      </c>
      <c r="B1003" s="88" t="str">
        <f>C1003&amp;"-"&amp;E1003&amp;"-"&amp;F1003</f>
        <v>-Open 2-Sporting Clays</v>
      </c>
      <c r="C1003" s="88"/>
      <c r="D1003" s="88" t="str">
        <f>INDEX('Tournament Setup'!$B$59:$B$78,MATCH(E1003,SquadConcurrents,0))</f>
        <v>Open</v>
      </c>
      <c r="E1003" s="88" t="s">
        <v>347</v>
      </c>
      <c r="F1003" s="88" t="s">
        <v>148</v>
      </c>
      <c r="G1003" s="96" t="str">
        <f>IF(F1003="Skeet",IFERROR(INDEX('Shooter-Squad Assignment'!$A:$A,MATCH(C1003&amp;"-"&amp;E1003&amp;"-"&amp;F1003&amp;"-Pos1",'Shooter-Squad Assignment'!$K:$K,0)),""),IF(F1003="Trap",IFERROR(INDEX('Shooter-Squad Assignment'!$A:$A,MATCH(C1003&amp;"-"&amp;E1003&amp;"-"&amp;F1003&amp;"-Pos1",'Shooter-Squad Assignment'!$W:$W,0)),""),IF(F1003="Sporting Clays",IFERROR(INDEX('Shooter-Squad Assignment'!$A:$A,MATCH(C1003&amp;"-"&amp;E1003&amp;"-"&amp;F1003&amp;"-Pos1",'Shooter-Squad Assignment'!$Z:$Z,0)),""),"")))</f>
        <v/>
      </c>
      <c r="H1003" s="88" t="str">
        <f>IF(ISBLANK(G1003),"",IFERROR(INDEX('Tournament List'!$D:$D,MATCH(G1003,'Tournament List'!$A:$A,0)),""))</f>
        <v/>
      </c>
      <c r="I1003" s="96" t="str">
        <f>IF(F1003="Skeet",IFERROR(INDEX('Shooter-Squad Assignment'!$A:$A,MATCH(C1003&amp;"-"&amp;E1003&amp;"-"&amp;F1003&amp;"-Pos2",'Shooter-Squad Assignment'!$K:$K,0)),""),IF(F1003="Trap",IFERROR(INDEX('Shooter-Squad Assignment'!$A:$A,MATCH(C1003&amp;"-"&amp;E1003&amp;"-"&amp;F1003&amp;"-Pos2",'Shooter-Squad Assignment'!$W:$W,0)),""),IF(F1003="Sporting Clays",IFERROR(INDEX('Shooter-Squad Assignment'!$A:$A,MATCH(C1003&amp;"-"&amp;E1003&amp;"-"&amp;F1003&amp;"-Pos2",'Shooter-Squad Assignment'!$Z:$Z,0)),""),"")))</f>
        <v/>
      </c>
      <c r="J1003" s="88" t="str">
        <f>IF(ISBLANK(I1003),"",IFERROR(INDEX('Tournament List'!$D:$D,MATCH(I1003,'Tournament List'!$A:$A,0)),""))</f>
        <v/>
      </c>
      <c r="K1003" s="96" t="str">
        <f>IF(F1003="Skeet",IFERROR(INDEX('Shooter-Squad Assignment'!$A:$A,MATCH(C1003&amp;"-"&amp;E1003&amp;"-"&amp;F1003&amp;"-Pos3",'Shooter-Squad Assignment'!$K:$K,0)),""),IF(F1003="Trap",IFERROR(INDEX('Shooter-Squad Assignment'!$A:$A,MATCH(C1003&amp;"-"&amp;E1003&amp;"-"&amp;F1003&amp;"-Pos3",'Shooter-Squad Assignment'!$W:$W,0)),""),IF(F1003="Sporting Clays",IFERROR(INDEX('Shooter-Squad Assignment'!$A:$A,MATCH(C1003&amp;"-"&amp;E1003&amp;"-"&amp;F1003&amp;"-Pos3",'Shooter-Squad Assignment'!$Z:$Z,0)),""),"")))</f>
        <v/>
      </c>
      <c r="L1003" s="88" t="str">
        <f>IF(ISBLANK(K1003),"",IFERROR(INDEX('Tournament List'!$D:$D,MATCH(K1003,'Tournament List'!$A:$A,0)),""))</f>
        <v/>
      </c>
      <c r="M1003" s="96" t="str">
        <f>IF(F1003="Skeet",IFERROR(INDEX('Shooter-Squad Assignment'!$A:$A,MATCH(C1003&amp;"-"&amp;E1003&amp;"-"&amp;F1003&amp;"-Pos4",'Shooter-Squad Assignment'!$K:$K,0)),""),IF(F1003="Trap",IFERROR(INDEX('Shooter-Squad Assignment'!$A:$A,MATCH(C1003&amp;"-"&amp;E1003&amp;"-"&amp;F1003&amp;"-Pos4",'Shooter-Squad Assignment'!$W:$W,0)),""),IF(F1003="Sporting Clays",IFERROR(INDEX('Shooter-Squad Assignment'!$A:$A,MATCH(C1003&amp;"-"&amp;E1003&amp;"-"&amp;F1003&amp;"-Pos4",'Shooter-Squad Assignment'!$Z:$Z,0)),""),"")))</f>
        <v/>
      </c>
      <c r="N1003" s="88" t="str">
        <f>IF(ISBLANK(M1003),"",IFERROR(INDEX('Tournament List'!$D:$D,MATCH(M1003,'Tournament List'!$A:$A,0)),""))</f>
        <v/>
      </c>
      <c r="O1003" s="96" t="str">
        <f>IF(F1003="Skeet",IFERROR(INDEX('Shooter-Squad Assignment'!$A:$A,MATCH(C1003&amp;"-"&amp;E1003&amp;"-"&amp;F1003&amp;"-Pos5",'Shooter-Squad Assignment'!$K:$K,0)),""),IF(F1003="Trap",IFERROR(INDEX('Shooter-Squad Assignment'!$A:$A,MATCH(C1003&amp;"-"&amp;E1003&amp;"-"&amp;F1003&amp;"-Pos5",'Shooter-Squad Assignment'!$W:$W,0)),""),IF(F1003="Sporting Clays",IFERROR(INDEX('Shooter-Squad Assignment'!$A:$A,MATCH(C1003&amp;"-"&amp;E1003&amp;"-"&amp;F1003&amp;"-Pos5",'Shooter-Squad Assignment'!$Z:$Z,0)),""),"")))</f>
        <v/>
      </c>
      <c r="P1003" s="89" t="str">
        <f>IF(ISBLANK(O1003),"",IFERROR(INDEX('Tournament List'!$D:$D,MATCH(O1003,'Tournament List'!$A:$A,0)),""))</f>
        <v/>
      </c>
    </row>
    <row r="1004" spans="1:16" x14ac:dyDescent="0.3">
      <c r="A1004" s="87">
        <v>1003</v>
      </c>
      <c r="B1004" s="88" t="str">
        <f>C1004&amp;"-"&amp;E1004&amp;"-"&amp;F1004</f>
        <v>-Open 3-Sporting Clays</v>
      </c>
      <c r="C1004" s="88"/>
      <c r="D1004" s="88" t="str">
        <f>INDEX('Tournament Setup'!$B$59:$B$78,MATCH(E1004,SquadConcurrents,0))</f>
        <v>Open</v>
      </c>
      <c r="E1004" s="88" t="s">
        <v>353</v>
      </c>
      <c r="F1004" s="88" t="s">
        <v>148</v>
      </c>
      <c r="G1004" s="96" t="str">
        <f>IF(F1004="Skeet",IFERROR(INDEX('Shooter-Squad Assignment'!$A:$A,MATCH(C1004&amp;"-"&amp;E1004&amp;"-"&amp;F1004&amp;"-Pos1",'Shooter-Squad Assignment'!$K:$K,0)),""),IF(F1004="Trap",IFERROR(INDEX('Shooter-Squad Assignment'!$A:$A,MATCH(C1004&amp;"-"&amp;E1004&amp;"-"&amp;F1004&amp;"-Pos1",'Shooter-Squad Assignment'!$W:$W,0)),""),IF(F1004="Sporting Clays",IFERROR(INDEX('Shooter-Squad Assignment'!$A:$A,MATCH(C1004&amp;"-"&amp;E1004&amp;"-"&amp;F1004&amp;"-Pos1",'Shooter-Squad Assignment'!$Z:$Z,0)),""),"")))</f>
        <v/>
      </c>
      <c r="H1004" s="88" t="str">
        <f>IF(ISBLANK(G1004),"",IFERROR(INDEX('Tournament List'!$D:$D,MATCH(G1004,'Tournament List'!$A:$A,0)),""))</f>
        <v/>
      </c>
      <c r="I1004" s="96" t="str">
        <f>IF(F1004="Skeet",IFERROR(INDEX('Shooter-Squad Assignment'!$A:$A,MATCH(C1004&amp;"-"&amp;E1004&amp;"-"&amp;F1004&amp;"-Pos2",'Shooter-Squad Assignment'!$K:$K,0)),""),IF(F1004="Trap",IFERROR(INDEX('Shooter-Squad Assignment'!$A:$A,MATCH(C1004&amp;"-"&amp;E1004&amp;"-"&amp;F1004&amp;"-Pos2",'Shooter-Squad Assignment'!$W:$W,0)),""),IF(F1004="Sporting Clays",IFERROR(INDEX('Shooter-Squad Assignment'!$A:$A,MATCH(C1004&amp;"-"&amp;E1004&amp;"-"&amp;F1004&amp;"-Pos2",'Shooter-Squad Assignment'!$Z:$Z,0)),""),"")))</f>
        <v/>
      </c>
      <c r="J1004" s="88" t="str">
        <f>IF(ISBLANK(I1004),"",IFERROR(INDEX('Tournament List'!$D:$D,MATCH(I1004,'Tournament List'!$A:$A,0)),""))</f>
        <v/>
      </c>
      <c r="K1004" s="96" t="str">
        <f>IF(F1004="Skeet",IFERROR(INDEX('Shooter-Squad Assignment'!$A:$A,MATCH(C1004&amp;"-"&amp;E1004&amp;"-"&amp;F1004&amp;"-Pos3",'Shooter-Squad Assignment'!$K:$K,0)),""),IF(F1004="Trap",IFERROR(INDEX('Shooter-Squad Assignment'!$A:$A,MATCH(C1004&amp;"-"&amp;E1004&amp;"-"&amp;F1004&amp;"-Pos3",'Shooter-Squad Assignment'!$W:$W,0)),""),IF(F1004="Sporting Clays",IFERROR(INDEX('Shooter-Squad Assignment'!$A:$A,MATCH(C1004&amp;"-"&amp;E1004&amp;"-"&amp;F1004&amp;"-Pos3",'Shooter-Squad Assignment'!$Z:$Z,0)),""),"")))</f>
        <v/>
      </c>
      <c r="L1004" s="88" t="str">
        <f>IF(ISBLANK(K1004),"",IFERROR(INDEX('Tournament List'!$D:$D,MATCH(K1004,'Tournament List'!$A:$A,0)),""))</f>
        <v/>
      </c>
      <c r="M1004" s="96" t="str">
        <f>IF(F1004="Skeet",IFERROR(INDEX('Shooter-Squad Assignment'!$A:$A,MATCH(C1004&amp;"-"&amp;E1004&amp;"-"&amp;F1004&amp;"-Pos4",'Shooter-Squad Assignment'!$K:$K,0)),""),IF(F1004="Trap",IFERROR(INDEX('Shooter-Squad Assignment'!$A:$A,MATCH(C1004&amp;"-"&amp;E1004&amp;"-"&amp;F1004&amp;"-Pos4",'Shooter-Squad Assignment'!$W:$W,0)),""),IF(F1004="Sporting Clays",IFERROR(INDEX('Shooter-Squad Assignment'!$A:$A,MATCH(C1004&amp;"-"&amp;E1004&amp;"-"&amp;F1004&amp;"-Pos4",'Shooter-Squad Assignment'!$Z:$Z,0)),""),"")))</f>
        <v/>
      </c>
      <c r="N1004" s="88" t="str">
        <f>IF(ISBLANK(M1004),"",IFERROR(INDEX('Tournament List'!$D:$D,MATCH(M1004,'Tournament List'!$A:$A,0)),""))</f>
        <v/>
      </c>
      <c r="O1004" s="96" t="str">
        <f>IF(F1004="Skeet",IFERROR(INDEX('Shooter-Squad Assignment'!$A:$A,MATCH(C1004&amp;"-"&amp;E1004&amp;"-"&amp;F1004&amp;"-Pos5",'Shooter-Squad Assignment'!$K:$K,0)),""),IF(F1004="Trap",IFERROR(INDEX('Shooter-Squad Assignment'!$A:$A,MATCH(C1004&amp;"-"&amp;E1004&amp;"-"&amp;F1004&amp;"-Pos5",'Shooter-Squad Assignment'!$W:$W,0)),""),IF(F1004="Sporting Clays",IFERROR(INDEX('Shooter-Squad Assignment'!$A:$A,MATCH(C1004&amp;"-"&amp;E1004&amp;"-"&amp;F1004&amp;"-Pos5",'Shooter-Squad Assignment'!$Z:$Z,0)),""),"")))</f>
        <v/>
      </c>
      <c r="P1004" s="89" t="str">
        <f>IF(ISBLANK(O1004),"",IFERROR(INDEX('Tournament List'!$D:$D,MATCH(O1004,'Tournament List'!$A:$A,0)),""))</f>
        <v/>
      </c>
    </row>
    <row r="1005" spans="1:16" x14ac:dyDescent="0.3">
      <c r="A1005" s="87">
        <v>1004</v>
      </c>
      <c r="B1005" s="88" t="str">
        <f>C1005&amp;"-"&amp;E1005&amp;"-"&amp;F1005</f>
        <v>-Unassigned 1-Sporting Clays</v>
      </c>
      <c r="C1005" s="88"/>
      <c r="D1005" s="88" t="str">
        <f>INDEX('Tournament Setup'!$B$59:$B$78,MATCH(E1005,SquadConcurrents,0))</f>
        <v>Unassigned</v>
      </c>
      <c r="E1005" s="88" t="s">
        <v>762</v>
      </c>
      <c r="F1005" s="88" t="s">
        <v>148</v>
      </c>
      <c r="G1005" s="96" t="str">
        <f>IF(F1005="Skeet",IFERROR(INDEX('Shooter-Squad Assignment'!$A:$A,MATCH(C1005&amp;"-"&amp;E1005&amp;"-"&amp;F1005&amp;"-Pos1",'Shooter-Squad Assignment'!$K:$K,0)),""),IF(F1005="Trap",IFERROR(INDEX('Shooter-Squad Assignment'!$A:$A,MATCH(C1005&amp;"-"&amp;E1005&amp;"-"&amp;F1005&amp;"-Pos1",'Shooter-Squad Assignment'!$W:$W,0)),""),IF(F1005="Sporting Clays",IFERROR(INDEX('Shooter-Squad Assignment'!$A:$A,MATCH(C1005&amp;"-"&amp;E1005&amp;"-"&amp;F1005&amp;"-Pos1",'Shooter-Squad Assignment'!$Z:$Z,0)),""),"")))</f>
        <v/>
      </c>
      <c r="H1005" s="88" t="str">
        <f>IF(ISBLANK(G1005),"",IFERROR(INDEX('Tournament List'!$D:$D,MATCH(G1005,'Tournament List'!$A:$A,0)),""))</f>
        <v/>
      </c>
      <c r="I1005" s="96" t="str">
        <f>IF(F1005="Skeet",IFERROR(INDEX('Shooter-Squad Assignment'!$A:$A,MATCH(C1005&amp;"-"&amp;E1005&amp;"-"&amp;F1005&amp;"-Pos2",'Shooter-Squad Assignment'!$K:$K,0)),""),IF(F1005="Trap",IFERROR(INDEX('Shooter-Squad Assignment'!$A:$A,MATCH(C1005&amp;"-"&amp;E1005&amp;"-"&amp;F1005&amp;"-Pos2",'Shooter-Squad Assignment'!$W:$W,0)),""),IF(F1005="Sporting Clays",IFERROR(INDEX('Shooter-Squad Assignment'!$A:$A,MATCH(C1005&amp;"-"&amp;E1005&amp;"-"&amp;F1005&amp;"-Pos2",'Shooter-Squad Assignment'!$Z:$Z,0)),""),"")))</f>
        <v/>
      </c>
      <c r="J1005" s="88" t="str">
        <f>IF(ISBLANK(I1005),"",IFERROR(INDEX('Tournament List'!$D:$D,MATCH(I1005,'Tournament List'!$A:$A,0)),""))</f>
        <v/>
      </c>
      <c r="K1005" s="96" t="str">
        <f>IF(F1005="Skeet",IFERROR(INDEX('Shooter-Squad Assignment'!$A:$A,MATCH(C1005&amp;"-"&amp;E1005&amp;"-"&amp;F1005&amp;"-Pos3",'Shooter-Squad Assignment'!$K:$K,0)),""),IF(F1005="Trap",IFERROR(INDEX('Shooter-Squad Assignment'!$A:$A,MATCH(C1005&amp;"-"&amp;E1005&amp;"-"&amp;F1005&amp;"-Pos3",'Shooter-Squad Assignment'!$W:$W,0)),""),IF(F1005="Sporting Clays",IFERROR(INDEX('Shooter-Squad Assignment'!$A:$A,MATCH(C1005&amp;"-"&amp;E1005&amp;"-"&amp;F1005&amp;"-Pos3",'Shooter-Squad Assignment'!$Z:$Z,0)),""),"")))</f>
        <v/>
      </c>
      <c r="L1005" s="88" t="str">
        <f>IF(ISBLANK(K1005),"",IFERROR(INDEX('Tournament List'!$D:$D,MATCH(K1005,'Tournament List'!$A:$A,0)),""))</f>
        <v/>
      </c>
      <c r="M1005" s="96" t="str">
        <f>IF(F1005="Skeet",IFERROR(INDEX('Shooter-Squad Assignment'!$A:$A,MATCH(C1005&amp;"-"&amp;E1005&amp;"-"&amp;F1005&amp;"-Pos4",'Shooter-Squad Assignment'!$K:$K,0)),""),IF(F1005="Trap",IFERROR(INDEX('Shooter-Squad Assignment'!$A:$A,MATCH(C1005&amp;"-"&amp;E1005&amp;"-"&amp;F1005&amp;"-Pos4",'Shooter-Squad Assignment'!$W:$W,0)),""),IF(F1005="Sporting Clays",IFERROR(INDEX('Shooter-Squad Assignment'!$A:$A,MATCH(C1005&amp;"-"&amp;E1005&amp;"-"&amp;F1005&amp;"-Pos4",'Shooter-Squad Assignment'!$Z:$Z,0)),""),"")))</f>
        <v/>
      </c>
      <c r="N1005" s="88" t="str">
        <f>IF(ISBLANK(M1005),"",IFERROR(INDEX('Tournament List'!$D:$D,MATCH(M1005,'Tournament List'!$A:$A,0)),""))</f>
        <v/>
      </c>
      <c r="O1005" s="96" t="str">
        <f>IF(F1005="Skeet",IFERROR(INDEX('Shooter-Squad Assignment'!$A:$A,MATCH(C1005&amp;"-"&amp;E1005&amp;"-"&amp;F1005&amp;"-Pos5",'Shooter-Squad Assignment'!$K:$K,0)),""),IF(F1005="Trap",IFERROR(INDEX('Shooter-Squad Assignment'!$A:$A,MATCH(C1005&amp;"-"&amp;E1005&amp;"-"&amp;F1005&amp;"-Pos5",'Shooter-Squad Assignment'!$W:$W,0)),""),IF(F1005="Sporting Clays",IFERROR(INDEX('Shooter-Squad Assignment'!$A:$A,MATCH(C1005&amp;"-"&amp;E1005&amp;"-"&amp;F1005&amp;"-Pos5",'Shooter-Squad Assignment'!$Z:$Z,0)),""),"")))</f>
        <v/>
      </c>
      <c r="P1005" s="89" t="str">
        <f>IF(ISBLANK(O1005),"",IFERROR(INDEX('Tournament List'!$D:$D,MATCH(O1005,'Tournament List'!$A:$A,0)),""))</f>
        <v/>
      </c>
    </row>
    <row r="1006" spans="1:16" x14ac:dyDescent="0.3">
      <c r="A1006" s="87">
        <v>1005</v>
      </c>
      <c r="B1006" s="88" t="str">
        <f>C1006&amp;"-"&amp;E1006&amp;"-"&amp;F1006</f>
        <v>-Varsity 1-Sporting Clays</v>
      </c>
      <c r="C1006" s="88"/>
      <c r="D1006" s="88" t="str">
        <f>INDEX('Tournament Setup'!$B$59:$B$78,MATCH(E1006,SquadConcurrents,0))</f>
        <v>Varsity</v>
      </c>
      <c r="E1006" s="88" t="s">
        <v>340</v>
      </c>
      <c r="F1006" s="88" t="s">
        <v>148</v>
      </c>
      <c r="G1006" s="96" t="str">
        <f>IF(F1006="Skeet",IFERROR(INDEX('Shooter-Squad Assignment'!$A:$A,MATCH(C1006&amp;"-"&amp;E1006&amp;"-"&amp;F1006&amp;"-Pos1",'Shooter-Squad Assignment'!$K:$K,0)),""),IF(F1006="Trap",IFERROR(INDEX('Shooter-Squad Assignment'!$A:$A,MATCH(C1006&amp;"-"&amp;E1006&amp;"-"&amp;F1006&amp;"-Pos1",'Shooter-Squad Assignment'!$W:$W,0)),""),IF(F1006="Sporting Clays",IFERROR(INDEX('Shooter-Squad Assignment'!$A:$A,MATCH(C1006&amp;"-"&amp;E1006&amp;"-"&amp;F1006&amp;"-Pos1",'Shooter-Squad Assignment'!$Z:$Z,0)),""),"")))</f>
        <v/>
      </c>
      <c r="H1006" s="88" t="str">
        <f>IF(ISBLANK(G1006),"",IFERROR(INDEX('Tournament List'!$D:$D,MATCH(G1006,'Tournament List'!$A:$A,0)),""))</f>
        <v/>
      </c>
      <c r="I1006" s="96" t="str">
        <f>IF(F1006="Skeet",IFERROR(INDEX('Shooter-Squad Assignment'!$A:$A,MATCH(C1006&amp;"-"&amp;E1006&amp;"-"&amp;F1006&amp;"-Pos2",'Shooter-Squad Assignment'!$K:$K,0)),""),IF(F1006="Trap",IFERROR(INDEX('Shooter-Squad Assignment'!$A:$A,MATCH(C1006&amp;"-"&amp;E1006&amp;"-"&amp;F1006&amp;"-Pos2",'Shooter-Squad Assignment'!$W:$W,0)),""),IF(F1006="Sporting Clays",IFERROR(INDEX('Shooter-Squad Assignment'!$A:$A,MATCH(C1006&amp;"-"&amp;E1006&amp;"-"&amp;F1006&amp;"-Pos2",'Shooter-Squad Assignment'!$Z:$Z,0)),""),"")))</f>
        <v/>
      </c>
      <c r="J1006" s="88" t="str">
        <f>IF(ISBLANK(I1006),"",IFERROR(INDEX('Tournament List'!$D:$D,MATCH(I1006,'Tournament List'!$A:$A,0)),""))</f>
        <v/>
      </c>
      <c r="K1006" s="96" t="str">
        <f>IF(F1006="Skeet",IFERROR(INDEX('Shooter-Squad Assignment'!$A:$A,MATCH(C1006&amp;"-"&amp;E1006&amp;"-"&amp;F1006&amp;"-Pos3",'Shooter-Squad Assignment'!$K:$K,0)),""),IF(F1006="Trap",IFERROR(INDEX('Shooter-Squad Assignment'!$A:$A,MATCH(C1006&amp;"-"&amp;E1006&amp;"-"&amp;F1006&amp;"-Pos3",'Shooter-Squad Assignment'!$W:$W,0)),""),IF(F1006="Sporting Clays",IFERROR(INDEX('Shooter-Squad Assignment'!$A:$A,MATCH(C1006&amp;"-"&amp;E1006&amp;"-"&amp;F1006&amp;"-Pos3",'Shooter-Squad Assignment'!$Z:$Z,0)),""),"")))</f>
        <v/>
      </c>
      <c r="L1006" s="88" t="str">
        <f>IF(ISBLANK(K1006),"",IFERROR(INDEX('Tournament List'!$D:$D,MATCH(K1006,'Tournament List'!$A:$A,0)),""))</f>
        <v/>
      </c>
      <c r="M1006" s="96" t="str">
        <f>IF(F1006="Skeet",IFERROR(INDEX('Shooter-Squad Assignment'!$A:$A,MATCH(C1006&amp;"-"&amp;E1006&amp;"-"&amp;F1006&amp;"-Pos4",'Shooter-Squad Assignment'!$K:$K,0)),""),IF(F1006="Trap",IFERROR(INDEX('Shooter-Squad Assignment'!$A:$A,MATCH(C1006&amp;"-"&amp;E1006&amp;"-"&amp;F1006&amp;"-Pos4",'Shooter-Squad Assignment'!$W:$W,0)),""),IF(F1006="Sporting Clays",IFERROR(INDEX('Shooter-Squad Assignment'!$A:$A,MATCH(C1006&amp;"-"&amp;E1006&amp;"-"&amp;F1006&amp;"-Pos4",'Shooter-Squad Assignment'!$Z:$Z,0)),""),"")))</f>
        <v/>
      </c>
      <c r="N1006" s="88" t="str">
        <f>IF(ISBLANK(M1006),"",IFERROR(INDEX('Tournament List'!$D:$D,MATCH(M1006,'Tournament List'!$A:$A,0)),""))</f>
        <v/>
      </c>
      <c r="O1006" s="96" t="str">
        <f>IF(F1006="Skeet",IFERROR(INDEX('Shooter-Squad Assignment'!$A:$A,MATCH(C1006&amp;"-"&amp;E1006&amp;"-"&amp;F1006&amp;"-Pos5",'Shooter-Squad Assignment'!$K:$K,0)),""),IF(F1006="Trap",IFERROR(INDEX('Shooter-Squad Assignment'!$A:$A,MATCH(C1006&amp;"-"&amp;E1006&amp;"-"&amp;F1006&amp;"-Pos5",'Shooter-Squad Assignment'!$W:$W,0)),""),IF(F1006="Sporting Clays",IFERROR(INDEX('Shooter-Squad Assignment'!$A:$A,MATCH(C1006&amp;"-"&amp;E1006&amp;"-"&amp;F1006&amp;"-Pos5",'Shooter-Squad Assignment'!$Z:$Z,0)),""),"")))</f>
        <v/>
      </c>
      <c r="P1006" s="89" t="str">
        <f>IF(ISBLANK(O1006),"",IFERROR(INDEX('Tournament List'!$D:$D,MATCH(O1006,'Tournament List'!$A:$A,0)),""))</f>
        <v/>
      </c>
    </row>
    <row r="1007" spans="1:16" x14ac:dyDescent="0.3">
      <c r="A1007" s="87">
        <v>1006</v>
      </c>
      <c r="B1007" s="88" t="str">
        <f>C1007&amp;"-"&amp;E1007&amp;"-"&amp;F1007</f>
        <v>-Varsity 2-Sporting Clays</v>
      </c>
      <c r="C1007" s="88"/>
      <c r="D1007" s="88" t="str">
        <f>INDEX('Tournament Setup'!$B$59:$B$78,MATCH(E1007,SquadConcurrents,0))</f>
        <v>Varsity</v>
      </c>
      <c r="E1007" s="88" t="s">
        <v>346</v>
      </c>
      <c r="F1007" s="88" t="s">
        <v>148</v>
      </c>
      <c r="G1007" s="96" t="str">
        <f>IF(F1007="Skeet",IFERROR(INDEX('Shooter-Squad Assignment'!$A:$A,MATCH(C1007&amp;"-"&amp;E1007&amp;"-"&amp;F1007&amp;"-Pos1",'Shooter-Squad Assignment'!$K:$K,0)),""),IF(F1007="Trap",IFERROR(INDEX('Shooter-Squad Assignment'!$A:$A,MATCH(C1007&amp;"-"&amp;E1007&amp;"-"&amp;F1007&amp;"-Pos1",'Shooter-Squad Assignment'!$W:$W,0)),""),IF(F1007="Sporting Clays",IFERROR(INDEX('Shooter-Squad Assignment'!$A:$A,MATCH(C1007&amp;"-"&amp;E1007&amp;"-"&amp;F1007&amp;"-Pos1",'Shooter-Squad Assignment'!$Z:$Z,0)),""),"")))</f>
        <v/>
      </c>
      <c r="H1007" s="88" t="str">
        <f>IF(ISBLANK(G1007),"",IFERROR(INDEX('Tournament List'!$D:$D,MATCH(G1007,'Tournament List'!$A:$A,0)),""))</f>
        <v/>
      </c>
      <c r="I1007" s="96" t="str">
        <f>IF(F1007="Skeet",IFERROR(INDEX('Shooter-Squad Assignment'!$A:$A,MATCH(C1007&amp;"-"&amp;E1007&amp;"-"&amp;F1007&amp;"-Pos2",'Shooter-Squad Assignment'!$K:$K,0)),""),IF(F1007="Trap",IFERROR(INDEX('Shooter-Squad Assignment'!$A:$A,MATCH(C1007&amp;"-"&amp;E1007&amp;"-"&amp;F1007&amp;"-Pos2",'Shooter-Squad Assignment'!$W:$W,0)),""),IF(F1007="Sporting Clays",IFERROR(INDEX('Shooter-Squad Assignment'!$A:$A,MATCH(C1007&amp;"-"&amp;E1007&amp;"-"&amp;F1007&amp;"-Pos2",'Shooter-Squad Assignment'!$Z:$Z,0)),""),"")))</f>
        <v/>
      </c>
      <c r="J1007" s="88" t="str">
        <f>IF(ISBLANK(I1007),"",IFERROR(INDEX('Tournament List'!$D:$D,MATCH(I1007,'Tournament List'!$A:$A,0)),""))</f>
        <v/>
      </c>
      <c r="K1007" s="96" t="str">
        <f>IF(F1007="Skeet",IFERROR(INDEX('Shooter-Squad Assignment'!$A:$A,MATCH(C1007&amp;"-"&amp;E1007&amp;"-"&amp;F1007&amp;"-Pos3",'Shooter-Squad Assignment'!$K:$K,0)),""),IF(F1007="Trap",IFERROR(INDEX('Shooter-Squad Assignment'!$A:$A,MATCH(C1007&amp;"-"&amp;E1007&amp;"-"&amp;F1007&amp;"-Pos3",'Shooter-Squad Assignment'!$W:$W,0)),""),IF(F1007="Sporting Clays",IFERROR(INDEX('Shooter-Squad Assignment'!$A:$A,MATCH(C1007&amp;"-"&amp;E1007&amp;"-"&amp;F1007&amp;"-Pos3",'Shooter-Squad Assignment'!$Z:$Z,0)),""),"")))</f>
        <v/>
      </c>
      <c r="L1007" s="88" t="str">
        <f>IF(ISBLANK(K1007),"",IFERROR(INDEX('Tournament List'!$D:$D,MATCH(K1007,'Tournament List'!$A:$A,0)),""))</f>
        <v/>
      </c>
      <c r="M1007" s="96" t="str">
        <f>IF(F1007="Skeet",IFERROR(INDEX('Shooter-Squad Assignment'!$A:$A,MATCH(C1007&amp;"-"&amp;E1007&amp;"-"&amp;F1007&amp;"-Pos4",'Shooter-Squad Assignment'!$K:$K,0)),""),IF(F1007="Trap",IFERROR(INDEX('Shooter-Squad Assignment'!$A:$A,MATCH(C1007&amp;"-"&amp;E1007&amp;"-"&amp;F1007&amp;"-Pos4",'Shooter-Squad Assignment'!$W:$W,0)),""),IF(F1007="Sporting Clays",IFERROR(INDEX('Shooter-Squad Assignment'!$A:$A,MATCH(C1007&amp;"-"&amp;E1007&amp;"-"&amp;F1007&amp;"-Pos4",'Shooter-Squad Assignment'!$Z:$Z,0)),""),"")))</f>
        <v/>
      </c>
      <c r="N1007" s="88" t="str">
        <f>IF(ISBLANK(M1007),"",IFERROR(INDEX('Tournament List'!$D:$D,MATCH(M1007,'Tournament List'!$A:$A,0)),""))</f>
        <v/>
      </c>
      <c r="O1007" s="96" t="str">
        <f>IF(F1007="Skeet",IFERROR(INDEX('Shooter-Squad Assignment'!$A:$A,MATCH(C1007&amp;"-"&amp;E1007&amp;"-"&amp;F1007&amp;"-Pos5",'Shooter-Squad Assignment'!$K:$K,0)),""),IF(F1007="Trap",IFERROR(INDEX('Shooter-Squad Assignment'!$A:$A,MATCH(C1007&amp;"-"&amp;E1007&amp;"-"&amp;F1007&amp;"-Pos5",'Shooter-Squad Assignment'!$W:$W,0)),""),IF(F1007="Sporting Clays",IFERROR(INDEX('Shooter-Squad Assignment'!$A:$A,MATCH(C1007&amp;"-"&amp;E1007&amp;"-"&amp;F1007&amp;"-Pos5",'Shooter-Squad Assignment'!$Z:$Z,0)),""),"")))</f>
        <v/>
      </c>
      <c r="P1007" s="89" t="str">
        <f>IF(ISBLANK(O1007),"",IFERROR(INDEX('Tournament List'!$D:$D,MATCH(O1007,'Tournament List'!$A:$A,0)),""))</f>
        <v/>
      </c>
    </row>
    <row r="1008" spans="1:16" x14ac:dyDescent="0.3">
      <c r="A1008" s="87">
        <v>1007</v>
      </c>
      <c r="B1008" s="88" t="str">
        <f>C1008&amp;"-"&amp;E1008&amp;"-"&amp;F1008</f>
        <v>-Varsity 3-Sporting Clays</v>
      </c>
      <c r="C1008" s="88"/>
      <c r="D1008" s="88" t="str">
        <f>INDEX('Tournament Setup'!$B$59:$B$78,MATCH(E1008,SquadConcurrents,0))</f>
        <v>Varsity</v>
      </c>
      <c r="E1008" s="88" t="s">
        <v>352</v>
      </c>
      <c r="F1008" s="88" t="s">
        <v>148</v>
      </c>
      <c r="G1008" s="96" t="str">
        <f>IF(F1008="Skeet",IFERROR(INDEX('Shooter-Squad Assignment'!$A:$A,MATCH(C1008&amp;"-"&amp;E1008&amp;"-"&amp;F1008&amp;"-Pos1",'Shooter-Squad Assignment'!$K:$K,0)),""),IF(F1008="Trap",IFERROR(INDEX('Shooter-Squad Assignment'!$A:$A,MATCH(C1008&amp;"-"&amp;E1008&amp;"-"&amp;F1008&amp;"-Pos1",'Shooter-Squad Assignment'!$W:$W,0)),""),IF(F1008="Sporting Clays",IFERROR(INDEX('Shooter-Squad Assignment'!$A:$A,MATCH(C1008&amp;"-"&amp;E1008&amp;"-"&amp;F1008&amp;"-Pos1",'Shooter-Squad Assignment'!$Z:$Z,0)),""),"")))</f>
        <v/>
      </c>
      <c r="H1008" s="88" t="str">
        <f>IF(ISBLANK(G1008),"",IFERROR(INDEX('Tournament List'!$D:$D,MATCH(G1008,'Tournament List'!$A:$A,0)),""))</f>
        <v/>
      </c>
      <c r="I1008" s="96" t="str">
        <f>IF(F1008="Skeet",IFERROR(INDEX('Shooter-Squad Assignment'!$A:$A,MATCH(C1008&amp;"-"&amp;E1008&amp;"-"&amp;F1008&amp;"-Pos2",'Shooter-Squad Assignment'!$K:$K,0)),""),IF(F1008="Trap",IFERROR(INDEX('Shooter-Squad Assignment'!$A:$A,MATCH(C1008&amp;"-"&amp;E1008&amp;"-"&amp;F1008&amp;"-Pos2",'Shooter-Squad Assignment'!$W:$W,0)),""),IF(F1008="Sporting Clays",IFERROR(INDEX('Shooter-Squad Assignment'!$A:$A,MATCH(C1008&amp;"-"&amp;E1008&amp;"-"&amp;F1008&amp;"-Pos2",'Shooter-Squad Assignment'!$Z:$Z,0)),""),"")))</f>
        <v/>
      </c>
      <c r="J1008" s="88" t="str">
        <f>IF(ISBLANK(I1008),"",IFERROR(INDEX('Tournament List'!$D:$D,MATCH(I1008,'Tournament List'!$A:$A,0)),""))</f>
        <v/>
      </c>
      <c r="K1008" s="96" t="str">
        <f>IF(F1008="Skeet",IFERROR(INDEX('Shooter-Squad Assignment'!$A:$A,MATCH(C1008&amp;"-"&amp;E1008&amp;"-"&amp;F1008&amp;"-Pos3",'Shooter-Squad Assignment'!$K:$K,0)),""),IF(F1008="Trap",IFERROR(INDEX('Shooter-Squad Assignment'!$A:$A,MATCH(C1008&amp;"-"&amp;E1008&amp;"-"&amp;F1008&amp;"-Pos3",'Shooter-Squad Assignment'!$W:$W,0)),""),IF(F1008="Sporting Clays",IFERROR(INDEX('Shooter-Squad Assignment'!$A:$A,MATCH(C1008&amp;"-"&amp;E1008&amp;"-"&amp;F1008&amp;"-Pos3",'Shooter-Squad Assignment'!$Z:$Z,0)),""),"")))</f>
        <v/>
      </c>
      <c r="L1008" s="88" t="str">
        <f>IF(ISBLANK(K1008),"",IFERROR(INDEX('Tournament List'!$D:$D,MATCH(K1008,'Tournament List'!$A:$A,0)),""))</f>
        <v/>
      </c>
      <c r="M1008" s="96" t="str">
        <f>IF(F1008="Skeet",IFERROR(INDEX('Shooter-Squad Assignment'!$A:$A,MATCH(C1008&amp;"-"&amp;E1008&amp;"-"&amp;F1008&amp;"-Pos4",'Shooter-Squad Assignment'!$K:$K,0)),""),IF(F1008="Trap",IFERROR(INDEX('Shooter-Squad Assignment'!$A:$A,MATCH(C1008&amp;"-"&amp;E1008&amp;"-"&amp;F1008&amp;"-Pos4",'Shooter-Squad Assignment'!$W:$W,0)),""),IF(F1008="Sporting Clays",IFERROR(INDEX('Shooter-Squad Assignment'!$A:$A,MATCH(C1008&amp;"-"&amp;E1008&amp;"-"&amp;F1008&amp;"-Pos4",'Shooter-Squad Assignment'!$Z:$Z,0)),""),"")))</f>
        <v/>
      </c>
      <c r="N1008" s="88" t="str">
        <f>IF(ISBLANK(M1008),"",IFERROR(INDEX('Tournament List'!$D:$D,MATCH(M1008,'Tournament List'!$A:$A,0)),""))</f>
        <v/>
      </c>
      <c r="O1008" s="96" t="str">
        <f>IF(F1008="Skeet",IFERROR(INDEX('Shooter-Squad Assignment'!$A:$A,MATCH(C1008&amp;"-"&amp;E1008&amp;"-"&amp;F1008&amp;"-Pos5",'Shooter-Squad Assignment'!$K:$K,0)),""),IF(F1008="Trap",IFERROR(INDEX('Shooter-Squad Assignment'!$A:$A,MATCH(C1008&amp;"-"&amp;E1008&amp;"-"&amp;F1008&amp;"-Pos5",'Shooter-Squad Assignment'!$W:$W,0)),""),IF(F1008="Sporting Clays",IFERROR(INDEX('Shooter-Squad Assignment'!$A:$A,MATCH(C1008&amp;"-"&amp;E1008&amp;"-"&amp;F1008&amp;"-Pos5",'Shooter-Squad Assignment'!$Z:$Z,0)),""),"")))</f>
        <v/>
      </c>
      <c r="P1008" s="89" t="str">
        <f>IF(ISBLANK(O1008),"",IFERROR(INDEX('Tournament List'!$D:$D,MATCH(O1008,'Tournament List'!$A:$A,0)),""))</f>
        <v/>
      </c>
    </row>
    <row r="1009" spans="1:16" x14ac:dyDescent="0.3">
      <c r="A1009" s="87">
        <v>1008</v>
      </c>
      <c r="B1009" s="88" t="str">
        <f>C1009&amp;"-"&amp;E1009&amp;"-"&amp;F1009</f>
        <v>-Collegiate 1-Trap</v>
      </c>
      <c r="C1009" s="88"/>
      <c r="D1009" s="88" t="str">
        <f>INDEX('Tournament Setup'!$B$59:$B$78,MATCH(E1009,SquadConcurrents,0))</f>
        <v>Collegiate</v>
      </c>
      <c r="E1009" s="88" t="s">
        <v>342</v>
      </c>
      <c r="F1009" s="88" t="s">
        <v>147</v>
      </c>
      <c r="G1009" s="96" t="str">
        <f>IF(F1009="Skeet",IFERROR(INDEX('Shooter-Squad Assignment'!$A:$A,MATCH(C1009&amp;"-"&amp;E1009&amp;"-"&amp;F1009&amp;"-Pos1",'Shooter-Squad Assignment'!$K:$K,0)),""),IF(F1009="Trap",IFERROR(INDEX('Shooter-Squad Assignment'!$A:$A,MATCH(C1009&amp;"-"&amp;E1009&amp;"-"&amp;F1009&amp;"-Pos1",'Shooter-Squad Assignment'!$W:$W,0)),""),IF(F1009="Sporting Clays",IFERROR(INDEX('Shooter-Squad Assignment'!$A:$A,MATCH(C1009&amp;"-"&amp;E1009&amp;"-"&amp;F1009&amp;"-Pos1",'Shooter-Squad Assignment'!$Z:$Z,0)),""),"")))</f>
        <v/>
      </c>
      <c r="H1009" s="88" t="str">
        <f>IF(ISBLANK(G1009),"",IFERROR(INDEX('Tournament List'!$D:$D,MATCH(G1009,'Tournament List'!$A:$A,0)),""))</f>
        <v/>
      </c>
      <c r="I1009" s="96" t="str">
        <f>IF(F1009="Skeet",IFERROR(INDEX('Shooter-Squad Assignment'!$A:$A,MATCH(C1009&amp;"-"&amp;E1009&amp;"-"&amp;F1009&amp;"-Pos2",'Shooter-Squad Assignment'!$K:$K,0)),""),IF(F1009="Trap",IFERROR(INDEX('Shooter-Squad Assignment'!$A:$A,MATCH(C1009&amp;"-"&amp;E1009&amp;"-"&amp;F1009&amp;"-Pos2",'Shooter-Squad Assignment'!$W:$W,0)),""),IF(F1009="Sporting Clays",IFERROR(INDEX('Shooter-Squad Assignment'!$A:$A,MATCH(C1009&amp;"-"&amp;E1009&amp;"-"&amp;F1009&amp;"-Pos2",'Shooter-Squad Assignment'!$Z:$Z,0)),""),"")))</f>
        <v/>
      </c>
      <c r="J1009" s="88" t="str">
        <f>IF(ISBLANK(I1009),"",IFERROR(INDEX('Tournament List'!$D:$D,MATCH(I1009,'Tournament List'!$A:$A,0)),""))</f>
        <v/>
      </c>
      <c r="K1009" s="96" t="str">
        <f>IF(F1009="Skeet",IFERROR(INDEX('Shooter-Squad Assignment'!$A:$A,MATCH(C1009&amp;"-"&amp;E1009&amp;"-"&amp;F1009&amp;"-Pos3",'Shooter-Squad Assignment'!$K:$K,0)),""),IF(F1009="Trap",IFERROR(INDEX('Shooter-Squad Assignment'!$A:$A,MATCH(C1009&amp;"-"&amp;E1009&amp;"-"&amp;F1009&amp;"-Pos3",'Shooter-Squad Assignment'!$W:$W,0)),""),IF(F1009="Sporting Clays",IFERROR(INDEX('Shooter-Squad Assignment'!$A:$A,MATCH(C1009&amp;"-"&amp;E1009&amp;"-"&amp;F1009&amp;"-Pos3",'Shooter-Squad Assignment'!$Z:$Z,0)),""),"")))</f>
        <v/>
      </c>
      <c r="L1009" s="88" t="str">
        <f>IF(ISBLANK(K1009),"",IFERROR(INDEX('Tournament List'!$D:$D,MATCH(K1009,'Tournament List'!$A:$A,0)),""))</f>
        <v/>
      </c>
      <c r="M1009" s="96" t="str">
        <f>IF(F1009="Skeet",IFERROR(INDEX('Shooter-Squad Assignment'!$A:$A,MATCH(C1009&amp;"-"&amp;E1009&amp;"-"&amp;F1009&amp;"-Pos4",'Shooter-Squad Assignment'!$K:$K,0)),""),IF(F1009="Trap",IFERROR(INDEX('Shooter-Squad Assignment'!$A:$A,MATCH(C1009&amp;"-"&amp;E1009&amp;"-"&amp;F1009&amp;"-Pos4",'Shooter-Squad Assignment'!$W:$W,0)),""),IF(F1009="Sporting Clays",IFERROR(INDEX('Shooter-Squad Assignment'!$A:$A,MATCH(C1009&amp;"-"&amp;E1009&amp;"-"&amp;F1009&amp;"-Pos4",'Shooter-Squad Assignment'!$Z:$Z,0)),""),"")))</f>
        <v/>
      </c>
      <c r="N1009" s="88" t="str">
        <f>IF(ISBLANK(M1009),"",IFERROR(INDEX('Tournament List'!$D:$D,MATCH(M1009,'Tournament List'!$A:$A,0)),""))</f>
        <v/>
      </c>
      <c r="O1009" s="96" t="str">
        <f>IF(F1009="Skeet",IFERROR(INDEX('Shooter-Squad Assignment'!$A:$A,MATCH(C1009&amp;"-"&amp;E1009&amp;"-"&amp;F1009&amp;"-Pos5",'Shooter-Squad Assignment'!$K:$K,0)),""),IF(F1009="Trap",IFERROR(INDEX('Shooter-Squad Assignment'!$A:$A,MATCH(C1009&amp;"-"&amp;E1009&amp;"-"&amp;F1009&amp;"-Pos5",'Shooter-Squad Assignment'!$W:$W,0)),""),IF(F1009="Sporting Clays",IFERROR(INDEX('Shooter-Squad Assignment'!$A:$A,MATCH(C1009&amp;"-"&amp;E1009&amp;"-"&amp;F1009&amp;"-Pos5",'Shooter-Squad Assignment'!$Z:$Z,0)),""),"")))</f>
        <v/>
      </c>
      <c r="P1009" s="89" t="str">
        <f>IF(ISBLANK(O1009),"",IFERROR(INDEX('Tournament List'!$D:$D,MATCH(O1009,'Tournament List'!$A:$A,0)),""))</f>
        <v/>
      </c>
    </row>
    <row r="1010" spans="1:16" x14ac:dyDescent="0.3">
      <c r="A1010" s="87">
        <v>1009</v>
      </c>
      <c r="B1010" s="88" t="str">
        <f>C1010&amp;"-"&amp;E1010&amp;"-"&amp;F1010</f>
        <v>-Collegiate 2-Trap</v>
      </c>
      <c r="C1010" s="88"/>
      <c r="D1010" s="88" t="str">
        <f>INDEX('Tournament Setup'!$B$59:$B$78,MATCH(E1010,SquadConcurrents,0))</f>
        <v>Collegiate</v>
      </c>
      <c r="E1010" s="88" t="s">
        <v>348</v>
      </c>
      <c r="F1010" s="88" t="s">
        <v>147</v>
      </c>
      <c r="G1010" s="96" t="str">
        <f>IF(F1010="Skeet",IFERROR(INDEX('Shooter-Squad Assignment'!$A:$A,MATCH(C1010&amp;"-"&amp;E1010&amp;"-"&amp;F1010&amp;"-Pos1",'Shooter-Squad Assignment'!$K:$K,0)),""),IF(F1010="Trap",IFERROR(INDEX('Shooter-Squad Assignment'!$A:$A,MATCH(C1010&amp;"-"&amp;E1010&amp;"-"&amp;F1010&amp;"-Pos1",'Shooter-Squad Assignment'!$W:$W,0)),""),IF(F1010="Sporting Clays",IFERROR(INDEX('Shooter-Squad Assignment'!$A:$A,MATCH(C1010&amp;"-"&amp;E1010&amp;"-"&amp;F1010&amp;"-Pos1",'Shooter-Squad Assignment'!$Z:$Z,0)),""),"")))</f>
        <v/>
      </c>
      <c r="H1010" s="88" t="str">
        <f>IF(ISBLANK(G1010),"",IFERROR(INDEX('Tournament List'!$D:$D,MATCH(G1010,'Tournament List'!$A:$A,0)),""))</f>
        <v/>
      </c>
      <c r="I1010" s="96" t="str">
        <f>IF(F1010="Skeet",IFERROR(INDEX('Shooter-Squad Assignment'!$A:$A,MATCH(C1010&amp;"-"&amp;E1010&amp;"-"&amp;F1010&amp;"-Pos2",'Shooter-Squad Assignment'!$K:$K,0)),""),IF(F1010="Trap",IFERROR(INDEX('Shooter-Squad Assignment'!$A:$A,MATCH(C1010&amp;"-"&amp;E1010&amp;"-"&amp;F1010&amp;"-Pos2",'Shooter-Squad Assignment'!$W:$W,0)),""),IF(F1010="Sporting Clays",IFERROR(INDEX('Shooter-Squad Assignment'!$A:$A,MATCH(C1010&amp;"-"&amp;E1010&amp;"-"&amp;F1010&amp;"-Pos2",'Shooter-Squad Assignment'!$Z:$Z,0)),""),"")))</f>
        <v/>
      </c>
      <c r="J1010" s="88" t="str">
        <f>IF(ISBLANK(I1010),"",IFERROR(INDEX('Tournament List'!$D:$D,MATCH(I1010,'Tournament List'!$A:$A,0)),""))</f>
        <v/>
      </c>
      <c r="K1010" s="96" t="str">
        <f>IF(F1010="Skeet",IFERROR(INDEX('Shooter-Squad Assignment'!$A:$A,MATCH(C1010&amp;"-"&amp;E1010&amp;"-"&amp;F1010&amp;"-Pos3",'Shooter-Squad Assignment'!$K:$K,0)),""),IF(F1010="Trap",IFERROR(INDEX('Shooter-Squad Assignment'!$A:$A,MATCH(C1010&amp;"-"&amp;E1010&amp;"-"&amp;F1010&amp;"-Pos3",'Shooter-Squad Assignment'!$W:$W,0)),""),IF(F1010="Sporting Clays",IFERROR(INDEX('Shooter-Squad Assignment'!$A:$A,MATCH(C1010&amp;"-"&amp;E1010&amp;"-"&amp;F1010&amp;"-Pos3",'Shooter-Squad Assignment'!$Z:$Z,0)),""),"")))</f>
        <v/>
      </c>
      <c r="L1010" s="88" t="str">
        <f>IF(ISBLANK(K1010),"",IFERROR(INDEX('Tournament List'!$D:$D,MATCH(K1010,'Tournament List'!$A:$A,0)),""))</f>
        <v/>
      </c>
      <c r="M1010" s="96" t="str">
        <f>IF(F1010="Skeet",IFERROR(INDEX('Shooter-Squad Assignment'!$A:$A,MATCH(C1010&amp;"-"&amp;E1010&amp;"-"&amp;F1010&amp;"-Pos4",'Shooter-Squad Assignment'!$K:$K,0)),""),IF(F1010="Trap",IFERROR(INDEX('Shooter-Squad Assignment'!$A:$A,MATCH(C1010&amp;"-"&amp;E1010&amp;"-"&amp;F1010&amp;"-Pos4",'Shooter-Squad Assignment'!$W:$W,0)),""),IF(F1010="Sporting Clays",IFERROR(INDEX('Shooter-Squad Assignment'!$A:$A,MATCH(C1010&amp;"-"&amp;E1010&amp;"-"&amp;F1010&amp;"-Pos4",'Shooter-Squad Assignment'!$Z:$Z,0)),""),"")))</f>
        <v/>
      </c>
      <c r="N1010" s="88" t="str">
        <f>IF(ISBLANK(M1010),"",IFERROR(INDEX('Tournament List'!$D:$D,MATCH(M1010,'Tournament List'!$A:$A,0)),""))</f>
        <v/>
      </c>
      <c r="O1010" s="96" t="str">
        <f>IF(F1010="Skeet",IFERROR(INDEX('Shooter-Squad Assignment'!$A:$A,MATCH(C1010&amp;"-"&amp;E1010&amp;"-"&amp;F1010&amp;"-Pos5",'Shooter-Squad Assignment'!$K:$K,0)),""),IF(F1010="Trap",IFERROR(INDEX('Shooter-Squad Assignment'!$A:$A,MATCH(C1010&amp;"-"&amp;E1010&amp;"-"&amp;F1010&amp;"-Pos5",'Shooter-Squad Assignment'!$W:$W,0)),""),IF(F1010="Sporting Clays",IFERROR(INDEX('Shooter-Squad Assignment'!$A:$A,MATCH(C1010&amp;"-"&amp;E1010&amp;"-"&amp;F1010&amp;"-Pos5",'Shooter-Squad Assignment'!$Z:$Z,0)),""),"")))</f>
        <v/>
      </c>
      <c r="P1010" s="89" t="str">
        <f>IF(ISBLANK(O1010),"",IFERROR(INDEX('Tournament List'!$D:$D,MATCH(O1010,'Tournament List'!$A:$A,0)),""))</f>
        <v/>
      </c>
    </row>
    <row r="1011" spans="1:16" x14ac:dyDescent="0.3">
      <c r="A1011" s="87">
        <v>1010</v>
      </c>
      <c r="B1011" s="88" t="str">
        <f>C1011&amp;"-"&amp;E1011&amp;"-"&amp;F1011</f>
        <v>-Collegiate 3-Trap</v>
      </c>
      <c r="C1011" s="88"/>
      <c r="D1011" s="88" t="str">
        <f>INDEX('Tournament Setup'!$B$59:$B$78,MATCH(E1011,SquadConcurrents,0))</f>
        <v>Collegiate</v>
      </c>
      <c r="E1011" s="88" t="s">
        <v>354</v>
      </c>
      <c r="F1011" s="88" t="s">
        <v>147</v>
      </c>
      <c r="G1011" s="96" t="str">
        <f>IF(F1011="Skeet",IFERROR(INDEX('Shooter-Squad Assignment'!$A:$A,MATCH(C1011&amp;"-"&amp;E1011&amp;"-"&amp;F1011&amp;"-Pos1",'Shooter-Squad Assignment'!$K:$K,0)),""),IF(F1011="Trap",IFERROR(INDEX('Shooter-Squad Assignment'!$A:$A,MATCH(C1011&amp;"-"&amp;E1011&amp;"-"&amp;F1011&amp;"-Pos1",'Shooter-Squad Assignment'!$W:$W,0)),""),IF(F1011="Sporting Clays",IFERROR(INDEX('Shooter-Squad Assignment'!$A:$A,MATCH(C1011&amp;"-"&amp;E1011&amp;"-"&amp;F1011&amp;"-Pos1",'Shooter-Squad Assignment'!$Z:$Z,0)),""),"")))</f>
        <v/>
      </c>
      <c r="H1011" s="88" t="str">
        <f>IF(ISBLANK(G1011),"",IFERROR(INDEX('Tournament List'!$D:$D,MATCH(G1011,'Tournament List'!$A:$A,0)),""))</f>
        <v/>
      </c>
      <c r="I1011" s="96" t="str">
        <f>IF(F1011="Skeet",IFERROR(INDEX('Shooter-Squad Assignment'!$A:$A,MATCH(C1011&amp;"-"&amp;E1011&amp;"-"&amp;F1011&amp;"-Pos2",'Shooter-Squad Assignment'!$K:$K,0)),""),IF(F1011="Trap",IFERROR(INDEX('Shooter-Squad Assignment'!$A:$A,MATCH(C1011&amp;"-"&amp;E1011&amp;"-"&amp;F1011&amp;"-Pos2",'Shooter-Squad Assignment'!$W:$W,0)),""),IF(F1011="Sporting Clays",IFERROR(INDEX('Shooter-Squad Assignment'!$A:$A,MATCH(C1011&amp;"-"&amp;E1011&amp;"-"&amp;F1011&amp;"-Pos2",'Shooter-Squad Assignment'!$Z:$Z,0)),""),"")))</f>
        <v/>
      </c>
      <c r="J1011" s="88" t="str">
        <f>IF(ISBLANK(I1011),"",IFERROR(INDEX('Tournament List'!$D:$D,MATCH(I1011,'Tournament List'!$A:$A,0)),""))</f>
        <v/>
      </c>
      <c r="K1011" s="96" t="str">
        <f>IF(F1011="Skeet",IFERROR(INDEX('Shooter-Squad Assignment'!$A:$A,MATCH(C1011&amp;"-"&amp;E1011&amp;"-"&amp;F1011&amp;"-Pos3",'Shooter-Squad Assignment'!$K:$K,0)),""),IF(F1011="Trap",IFERROR(INDEX('Shooter-Squad Assignment'!$A:$A,MATCH(C1011&amp;"-"&amp;E1011&amp;"-"&amp;F1011&amp;"-Pos3",'Shooter-Squad Assignment'!$W:$W,0)),""),IF(F1011="Sporting Clays",IFERROR(INDEX('Shooter-Squad Assignment'!$A:$A,MATCH(C1011&amp;"-"&amp;E1011&amp;"-"&amp;F1011&amp;"-Pos3",'Shooter-Squad Assignment'!$Z:$Z,0)),""),"")))</f>
        <v/>
      </c>
      <c r="L1011" s="88" t="str">
        <f>IF(ISBLANK(K1011),"",IFERROR(INDEX('Tournament List'!$D:$D,MATCH(K1011,'Tournament List'!$A:$A,0)),""))</f>
        <v/>
      </c>
      <c r="M1011" s="96" t="str">
        <f>IF(F1011="Skeet",IFERROR(INDEX('Shooter-Squad Assignment'!$A:$A,MATCH(C1011&amp;"-"&amp;E1011&amp;"-"&amp;F1011&amp;"-Pos4",'Shooter-Squad Assignment'!$K:$K,0)),""),IF(F1011="Trap",IFERROR(INDEX('Shooter-Squad Assignment'!$A:$A,MATCH(C1011&amp;"-"&amp;E1011&amp;"-"&amp;F1011&amp;"-Pos4",'Shooter-Squad Assignment'!$W:$W,0)),""),IF(F1011="Sporting Clays",IFERROR(INDEX('Shooter-Squad Assignment'!$A:$A,MATCH(C1011&amp;"-"&amp;E1011&amp;"-"&amp;F1011&amp;"-Pos4",'Shooter-Squad Assignment'!$Z:$Z,0)),""),"")))</f>
        <v/>
      </c>
      <c r="N1011" s="88" t="str">
        <f>IF(ISBLANK(M1011),"",IFERROR(INDEX('Tournament List'!$D:$D,MATCH(M1011,'Tournament List'!$A:$A,0)),""))</f>
        <v/>
      </c>
      <c r="O1011" s="96" t="str">
        <f>IF(F1011="Skeet",IFERROR(INDEX('Shooter-Squad Assignment'!$A:$A,MATCH(C1011&amp;"-"&amp;E1011&amp;"-"&amp;F1011&amp;"-Pos5",'Shooter-Squad Assignment'!$K:$K,0)),""),IF(F1011="Trap",IFERROR(INDEX('Shooter-Squad Assignment'!$A:$A,MATCH(C1011&amp;"-"&amp;E1011&amp;"-"&amp;F1011&amp;"-Pos5",'Shooter-Squad Assignment'!$W:$W,0)),""),IF(F1011="Sporting Clays",IFERROR(INDEX('Shooter-Squad Assignment'!$A:$A,MATCH(C1011&amp;"-"&amp;E1011&amp;"-"&amp;F1011&amp;"-Pos5",'Shooter-Squad Assignment'!$Z:$Z,0)),""),"")))</f>
        <v/>
      </c>
      <c r="P1011" s="89" t="str">
        <f>IF(ISBLANK(O1011),"",IFERROR(INDEX('Tournament List'!$D:$D,MATCH(O1011,'Tournament List'!$A:$A,0)),""))</f>
        <v/>
      </c>
    </row>
    <row r="1012" spans="1:16" x14ac:dyDescent="0.3">
      <c r="A1012" s="87">
        <v>1011</v>
      </c>
      <c r="B1012" s="88" t="str">
        <f>C1012&amp;"-"&amp;E1012&amp;"-"&amp;F1012</f>
        <v>-Intermediate 1-Trap</v>
      </c>
      <c r="C1012" s="88"/>
      <c r="D1012" s="88" t="str">
        <f>INDEX('Tournament Setup'!$B$59:$B$78,MATCH(E1012,SquadConcurrents,0))</f>
        <v>Intermediate</v>
      </c>
      <c r="E1012" s="88" t="s">
        <v>338</v>
      </c>
      <c r="F1012" s="88" t="s">
        <v>147</v>
      </c>
      <c r="G1012" s="96" t="str">
        <f>IF(F1012="Skeet",IFERROR(INDEX('Shooter-Squad Assignment'!$A:$A,MATCH(C1012&amp;"-"&amp;E1012&amp;"-"&amp;F1012&amp;"-Pos1",'Shooter-Squad Assignment'!$K:$K,0)),""),IF(F1012="Trap",IFERROR(INDEX('Shooter-Squad Assignment'!$A:$A,MATCH(C1012&amp;"-"&amp;E1012&amp;"-"&amp;F1012&amp;"-Pos1",'Shooter-Squad Assignment'!$W:$W,0)),""),IF(F1012="Sporting Clays",IFERROR(INDEX('Shooter-Squad Assignment'!$A:$A,MATCH(C1012&amp;"-"&amp;E1012&amp;"-"&amp;F1012&amp;"-Pos1",'Shooter-Squad Assignment'!$Z:$Z,0)),""),"")))</f>
        <v/>
      </c>
      <c r="H1012" s="88" t="str">
        <f>IF(ISBLANK(G1012),"",IFERROR(INDEX('Tournament List'!$D:$D,MATCH(G1012,'Tournament List'!$A:$A,0)),""))</f>
        <v/>
      </c>
      <c r="I1012" s="96" t="str">
        <f>IF(F1012="Skeet",IFERROR(INDEX('Shooter-Squad Assignment'!$A:$A,MATCH(C1012&amp;"-"&amp;E1012&amp;"-"&amp;F1012&amp;"-Pos2",'Shooter-Squad Assignment'!$K:$K,0)),""),IF(F1012="Trap",IFERROR(INDEX('Shooter-Squad Assignment'!$A:$A,MATCH(C1012&amp;"-"&amp;E1012&amp;"-"&amp;F1012&amp;"-Pos2",'Shooter-Squad Assignment'!$W:$W,0)),""),IF(F1012="Sporting Clays",IFERROR(INDEX('Shooter-Squad Assignment'!$A:$A,MATCH(C1012&amp;"-"&amp;E1012&amp;"-"&amp;F1012&amp;"-Pos2",'Shooter-Squad Assignment'!$Z:$Z,0)),""),"")))</f>
        <v/>
      </c>
      <c r="J1012" s="88" t="str">
        <f>IF(ISBLANK(I1012),"",IFERROR(INDEX('Tournament List'!$D:$D,MATCH(I1012,'Tournament List'!$A:$A,0)),""))</f>
        <v/>
      </c>
      <c r="K1012" s="96" t="str">
        <f>IF(F1012="Skeet",IFERROR(INDEX('Shooter-Squad Assignment'!$A:$A,MATCH(C1012&amp;"-"&amp;E1012&amp;"-"&amp;F1012&amp;"-Pos3",'Shooter-Squad Assignment'!$K:$K,0)),""),IF(F1012="Trap",IFERROR(INDEX('Shooter-Squad Assignment'!$A:$A,MATCH(C1012&amp;"-"&amp;E1012&amp;"-"&amp;F1012&amp;"-Pos3",'Shooter-Squad Assignment'!$W:$W,0)),""),IF(F1012="Sporting Clays",IFERROR(INDEX('Shooter-Squad Assignment'!$A:$A,MATCH(C1012&amp;"-"&amp;E1012&amp;"-"&amp;F1012&amp;"-Pos3",'Shooter-Squad Assignment'!$Z:$Z,0)),""),"")))</f>
        <v/>
      </c>
      <c r="L1012" s="88" t="str">
        <f>IF(ISBLANK(K1012),"",IFERROR(INDEX('Tournament List'!$D:$D,MATCH(K1012,'Tournament List'!$A:$A,0)),""))</f>
        <v/>
      </c>
      <c r="M1012" s="96" t="str">
        <f>IF(F1012="Skeet",IFERROR(INDEX('Shooter-Squad Assignment'!$A:$A,MATCH(C1012&amp;"-"&amp;E1012&amp;"-"&amp;F1012&amp;"-Pos4",'Shooter-Squad Assignment'!$K:$K,0)),""),IF(F1012="Trap",IFERROR(INDEX('Shooter-Squad Assignment'!$A:$A,MATCH(C1012&amp;"-"&amp;E1012&amp;"-"&amp;F1012&amp;"-Pos4",'Shooter-Squad Assignment'!$W:$W,0)),""),IF(F1012="Sporting Clays",IFERROR(INDEX('Shooter-Squad Assignment'!$A:$A,MATCH(C1012&amp;"-"&amp;E1012&amp;"-"&amp;F1012&amp;"-Pos4",'Shooter-Squad Assignment'!$Z:$Z,0)),""),"")))</f>
        <v/>
      </c>
      <c r="N1012" s="88" t="str">
        <f>IF(ISBLANK(M1012),"",IFERROR(INDEX('Tournament List'!$D:$D,MATCH(M1012,'Tournament List'!$A:$A,0)),""))</f>
        <v/>
      </c>
      <c r="O1012" s="96" t="str">
        <f>IF(F1012="Skeet",IFERROR(INDEX('Shooter-Squad Assignment'!$A:$A,MATCH(C1012&amp;"-"&amp;E1012&amp;"-"&amp;F1012&amp;"-Pos5",'Shooter-Squad Assignment'!$K:$K,0)),""),IF(F1012="Trap",IFERROR(INDEX('Shooter-Squad Assignment'!$A:$A,MATCH(C1012&amp;"-"&amp;E1012&amp;"-"&amp;F1012&amp;"-Pos5",'Shooter-Squad Assignment'!$W:$W,0)),""),IF(F1012="Sporting Clays",IFERROR(INDEX('Shooter-Squad Assignment'!$A:$A,MATCH(C1012&amp;"-"&amp;E1012&amp;"-"&amp;F1012&amp;"-Pos5",'Shooter-Squad Assignment'!$Z:$Z,0)),""),"")))</f>
        <v/>
      </c>
      <c r="P1012" s="89" t="str">
        <f>IF(ISBLANK(O1012),"",IFERROR(INDEX('Tournament List'!$D:$D,MATCH(O1012,'Tournament List'!$A:$A,0)),""))</f>
        <v/>
      </c>
    </row>
    <row r="1013" spans="1:16" x14ac:dyDescent="0.3">
      <c r="A1013" s="87">
        <v>1012</v>
      </c>
      <c r="B1013" s="88" t="str">
        <f>C1013&amp;"-"&amp;E1013&amp;"-"&amp;F1013</f>
        <v>-Intermediate 2-Trap</v>
      </c>
      <c r="C1013" s="88"/>
      <c r="D1013" s="88" t="str">
        <f>INDEX('Tournament Setup'!$B$59:$B$78,MATCH(E1013,SquadConcurrents,0))</f>
        <v>Intermediate</v>
      </c>
      <c r="E1013" s="88" t="s">
        <v>344</v>
      </c>
      <c r="F1013" s="88" t="s">
        <v>147</v>
      </c>
      <c r="G1013" s="96" t="str">
        <f>IF(F1013="Skeet",IFERROR(INDEX('Shooter-Squad Assignment'!$A:$A,MATCH(C1013&amp;"-"&amp;E1013&amp;"-"&amp;F1013&amp;"-Pos1",'Shooter-Squad Assignment'!$K:$K,0)),""),IF(F1013="Trap",IFERROR(INDEX('Shooter-Squad Assignment'!$A:$A,MATCH(C1013&amp;"-"&amp;E1013&amp;"-"&amp;F1013&amp;"-Pos1",'Shooter-Squad Assignment'!$W:$W,0)),""),IF(F1013="Sporting Clays",IFERROR(INDEX('Shooter-Squad Assignment'!$A:$A,MATCH(C1013&amp;"-"&amp;E1013&amp;"-"&amp;F1013&amp;"-Pos1",'Shooter-Squad Assignment'!$Z:$Z,0)),""),"")))</f>
        <v/>
      </c>
      <c r="H1013" s="88" t="str">
        <f>IF(ISBLANK(G1013),"",IFERROR(INDEX('Tournament List'!$D:$D,MATCH(G1013,'Tournament List'!$A:$A,0)),""))</f>
        <v/>
      </c>
      <c r="I1013" s="96" t="str">
        <f>IF(F1013="Skeet",IFERROR(INDEX('Shooter-Squad Assignment'!$A:$A,MATCH(C1013&amp;"-"&amp;E1013&amp;"-"&amp;F1013&amp;"-Pos2",'Shooter-Squad Assignment'!$K:$K,0)),""),IF(F1013="Trap",IFERROR(INDEX('Shooter-Squad Assignment'!$A:$A,MATCH(C1013&amp;"-"&amp;E1013&amp;"-"&amp;F1013&amp;"-Pos2",'Shooter-Squad Assignment'!$W:$W,0)),""),IF(F1013="Sporting Clays",IFERROR(INDEX('Shooter-Squad Assignment'!$A:$A,MATCH(C1013&amp;"-"&amp;E1013&amp;"-"&amp;F1013&amp;"-Pos2",'Shooter-Squad Assignment'!$Z:$Z,0)),""),"")))</f>
        <v/>
      </c>
      <c r="J1013" s="88" t="str">
        <f>IF(ISBLANK(I1013),"",IFERROR(INDEX('Tournament List'!$D:$D,MATCH(I1013,'Tournament List'!$A:$A,0)),""))</f>
        <v/>
      </c>
      <c r="K1013" s="96" t="str">
        <f>IF(F1013="Skeet",IFERROR(INDEX('Shooter-Squad Assignment'!$A:$A,MATCH(C1013&amp;"-"&amp;E1013&amp;"-"&amp;F1013&amp;"-Pos3",'Shooter-Squad Assignment'!$K:$K,0)),""),IF(F1013="Trap",IFERROR(INDEX('Shooter-Squad Assignment'!$A:$A,MATCH(C1013&amp;"-"&amp;E1013&amp;"-"&amp;F1013&amp;"-Pos3",'Shooter-Squad Assignment'!$W:$W,0)),""),IF(F1013="Sporting Clays",IFERROR(INDEX('Shooter-Squad Assignment'!$A:$A,MATCH(C1013&amp;"-"&amp;E1013&amp;"-"&amp;F1013&amp;"-Pos3",'Shooter-Squad Assignment'!$Z:$Z,0)),""),"")))</f>
        <v/>
      </c>
      <c r="L1013" s="88" t="str">
        <f>IF(ISBLANK(K1013),"",IFERROR(INDEX('Tournament List'!$D:$D,MATCH(K1013,'Tournament List'!$A:$A,0)),""))</f>
        <v/>
      </c>
      <c r="M1013" s="96" t="str">
        <f>IF(F1013="Skeet",IFERROR(INDEX('Shooter-Squad Assignment'!$A:$A,MATCH(C1013&amp;"-"&amp;E1013&amp;"-"&amp;F1013&amp;"-Pos4",'Shooter-Squad Assignment'!$K:$K,0)),""),IF(F1013="Trap",IFERROR(INDEX('Shooter-Squad Assignment'!$A:$A,MATCH(C1013&amp;"-"&amp;E1013&amp;"-"&amp;F1013&amp;"-Pos4",'Shooter-Squad Assignment'!$W:$W,0)),""),IF(F1013="Sporting Clays",IFERROR(INDEX('Shooter-Squad Assignment'!$A:$A,MATCH(C1013&amp;"-"&amp;E1013&amp;"-"&amp;F1013&amp;"-Pos4",'Shooter-Squad Assignment'!$Z:$Z,0)),""),"")))</f>
        <v/>
      </c>
      <c r="N1013" s="88" t="str">
        <f>IF(ISBLANK(M1013),"",IFERROR(INDEX('Tournament List'!$D:$D,MATCH(M1013,'Tournament List'!$A:$A,0)),""))</f>
        <v/>
      </c>
      <c r="O1013" s="96" t="str">
        <f>IF(F1013="Skeet",IFERROR(INDEX('Shooter-Squad Assignment'!$A:$A,MATCH(C1013&amp;"-"&amp;E1013&amp;"-"&amp;F1013&amp;"-Pos5",'Shooter-Squad Assignment'!$K:$K,0)),""),IF(F1013="Trap",IFERROR(INDEX('Shooter-Squad Assignment'!$A:$A,MATCH(C1013&amp;"-"&amp;E1013&amp;"-"&amp;F1013&amp;"-Pos5",'Shooter-Squad Assignment'!$W:$W,0)),""),IF(F1013="Sporting Clays",IFERROR(INDEX('Shooter-Squad Assignment'!$A:$A,MATCH(C1013&amp;"-"&amp;E1013&amp;"-"&amp;F1013&amp;"-Pos5",'Shooter-Squad Assignment'!$Z:$Z,0)),""),"")))</f>
        <v/>
      </c>
      <c r="P1013" s="89" t="str">
        <f>IF(ISBLANK(O1013),"",IFERROR(INDEX('Tournament List'!$D:$D,MATCH(O1013,'Tournament List'!$A:$A,0)),""))</f>
        <v/>
      </c>
    </row>
    <row r="1014" spans="1:16" x14ac:dyDescent="0.3">
      <c r="A1014" s="87">
        <v>1013</v>
      </c>
      <c r="B1014" s="88" t="str">
        <f>C1014&amp;"-"&amp;E1014&amp;"-"&amp;F1014</f>
        <v>-Intermediate 3-Trap</v>
      </c>
      <c r="C1014" s="88"/>
      <c r="D1014" s="88" t="str">
        <f>INDEX('Tournament Setup'!$B$59:$B$78,MATCH(E1014,SquadConcurrents,0))</f>
        <v>Intermediate</v>
      </c>
      <c r="E1014" s="88" t="s">
        <v>350</v>
      </c>
      <c r="F1014" s="88" t="s">
        <v>147</v>
      </c>
      <c r="G1014" s="96" t="str">
        <f>IF(F1014="Skeet",IFERROR(INDEX('Shooter-Squad Assignment'!$A:$A,MATCH(C1014&amp;"-"&amp;E1014&amp;"-"&amp;F1014&amp;"-Pos1",'Shooter-Squad Assignment'!$K:$K,0)),""),IF(F1014="Trap",IFERROR(INDEX('Shooter-Squad Assignment'!$A:$A,MATCH(C1014&amp;"-"&amp;E1014&amp;"-"&amp;F1014&amp;"-Pos1",'Shooter-Squad Assignment'!$W:$W,0)),""),IF(F1014="Sporting Clays",IFERROR(INDEX('Shooter-Squad Assignment'!$A:$A,MATCH(C1014&amp;"-"&amp;E1014&amp;"-"&amp;F1014&amp;"-Pos1",'Shooter-Squad Assignment'!$Z:$Z,0)),""),"")))</f>
        <v/>
      </c>
      <c r="H1014" s="88" t="str">
        <f>IF(ISBLANK(G1014),"",IFERROR(INDEX('Tournament List'!$D:$D,MATCH(G1014,'Tournament List'!$A:$A,0)),""))</f>
        <v/>
      </c>
      <c r="I1014" s="96" t="str">
        <f>IF(F1014="Skeet",IFERROR(INDEX('Shooter-Squad Assignment'!$A:$A,MATCH(C1014&amp;"-"&amp;E1014&amp;"-"&amp;F1014&amp;"-Pos2",'Shooter-Squad Assignment'!$K:$K,0)),""),IF(F1014="Trap",IFERROR(INDEX('Shooter-Squad Assignment'!$A:$A,MATCH(C1014&amp;"-"&amp;E1014&amp;"-"&amp;F1014&amp;"-Pos2",'Shooter-Squad Assignment'!$W:$W,0)),""),IF(F1014="Sporting Clays",IFERROR(INDEX('Shooter-Squad Assignment'!$A:$A,MATCH(C1014&amp;"-"&amp;E1014&amp;"-"&amp;F1014&amp;"-Pos2",'Shooter-Squad Assignment'!$Z:$Z,0)),""),"")))</f>
        <v/>
      </c>
      <c r="J1014" s="88" t="str">
        <f>IF(ISBLANK(I1014),"",IFERROR(INDEX('Tournament List'!$D:$D,MATCH(I1014,'Tournament List'!$A:$A,0)),""))</f>
        <v/>
      </c>
      <c r="K1014" s="96" t="str">
        <f>IF(F1014="Skeet",IFERROR(INDEX('Shooter-Squad Assignment'!$A:$A,MATCH(C1014&amp;"-"&amp;E1014&amp;"-"&amp;F1014&amp;"-Pos3",'Shooter-Squad Assignment'!$K:$K,0)),""),IF(F1014="Trap",IFERROR(INDEX('Shooter-Squad Assignment'!$A:$A,MATCH(C1014&amp;"-"&amp;E1014&amp;"-"&amp;F1014&amp;"-Pos3",'Shooter-Squad Assignment'!$W:$W,0)),""),IF(F1014="Sporting Clays",IFERROR(INDEX('Shooter-Squad Assignment'!$A:$A,MATCH(C1014&amp;"-"&amp;E1014&amp;"-"&amp;F1014&amp;"-Pos3",'Shooter-Squad Assignment'!$Z:$Z,0)),""),"")))</f>
        <v/>
      </c>
      <c r="L1014" s="88" t="str">
        <f>IF(ISBLANK(K1014),"",IFERROR(INDEX('Tournament List'!$D:$D,MATCH(K1014,'Tournament List'!$A:$A,0)),""))</f>
        <v/>
      </c>
      <c r="M1014" s="96" t="str">
        <f>IF(F1014="Skeet",IFERROR(INDEX('Shooter-Squad Assignment'!$A:$A,MATCH(C1014&amp;"-"&amp;E1014&amp;"-"&amp;F1014&amp;"-Pos4",'Shooter-Squad Assignment'!$K:$K,0)),""),IF(F1014="Trap",IFERROR(INDEX('Shooter-Squad Assignment'!$A:$A,MATCH(C1014&amp;"-"&amp;E1014&amp;"-"&amp;F1014&amp;"-Pos4",'Shooter-Squad Assignment'!$W:$W,0)),""),IF(F1014="Sporting Clays",IFERROR(INDEX('Shooter-Squad Assignment'!$A:$A,MATCH(C1014&amp;"-"&amp;E1014&amp;"-"&amp;F1014&amp;"-Pos4",'Shooter-Squad Assignment'!$Z:$Z,0)),""),"")))</f>
        <v/>
      </c>
      <c r="N1014" s="88" t="str">
        <f>IF(ISBLANK(M1014),"",IFERROR(INDEX('Tournament List'!$D:$D,MATCH(M1014,'Tournament List'!$A:$A,0)),""))</f>
        <v/>
      </c>
      <c r="O1014" s="96" t="str">
        <f>IF(F1014="Skeet",IFERROR(INDEX('Shooter-Squad Assignment'!$A:$A,MATCH(C1014&amp;"-"&amp;E1014&amp;"-"&amp;F1014&amp;"-Pos5",'Shooter-Squad Assignment'!$K:$K,0)),""),IF(F1014="Trap",IFERROR(INDEX('Shooter-Squad Assignment'!$A:$A,MATCH(C1014&amp;"-"&amp;E1014&amp;"-"&amp;F1014&amp;"-Pos5",'Shooter-Squad Assignment'!$W:$W,0)),""),IF(F1014="Sporting Clays",IFERROR(INDEX('Shooter-Squad Assignment'!$A:$A,MATCH(C1014&amp;"-"&amp;E1014&amp;"-"&amp;F1014&amp;"-Pos5",'Shooter-Squad Assignment'!$Z:$Z,0)),""),"")))</f>
        <v/>
      </c>
      <c r="P1014" s="89" t="str">
        <f>IF(ISBLANK(O1014),"",IFERROR(INDEX('Tournament List'!$D:$D,MATCH(O1014,'Tournament List'!$A:$A,0)),""))</f>
        <v/>
      </c>
    </row>
    <row r="1015" spans="1:16" x14ac:dyDescent="0.3">
      <c r="A1015" s="87">
        <v>1014</v>
      </c>
      <c r="B1015" s="88" t="str">
        <f>C1015&amp;"-"&amp;E1015&amp;"-"&amp;F1015</f>
        <v>-Junior Varsity 1-Trap</v>
      </c>
      <c r="C1015" s="88"/>
      <c r="D1015" s="88" t="str">
        <f>INDEX('Tournament Setup'!$B$59:$B$78,MATCH(E1015,SquadConcurrents,0))</f>
        <v>Junior Varsity</v>
      </c>
      <c r="E1015" s="88" t="s">
        <v>339</v>
      </c>
      <c r="F1015" s="88" t="s">
        <v>147</v>
      </c>
      <c r="G1015" s="96" t="str">
        <f>IF(F1015="Skeet",IFERROR(INDEX('Shooter-Squad Assignment'!$A:$A,MATCH(C1015&amp;"-"&amp;E1015&amp;"-"&amp;F1015&amp;"-Pos1",'Shooter-Squad Assignment'!$K:$K,0)),""),IF(F1015="Trap",IFERROR(INDEX('Shooter-Squad Assignment'!$A:$A,MATCH(C1015&amp;"-"&amp;E1015&amp;"-"&amp;F1015&amp;"-Pos1",'Shooter-Squad Assignment'!$W:$W,0)),""),IF(F1015="Sporting Clays",IFERROR(INDEX('Shooter-Squad Assignment'!$A:$A,MATCH(C1015&amp;"-"&amp;E1015&amp;"-"&amp;F1015&amp;"-Pos1",'Shooter-Squad Assignment'!$Z:$Z,0)),""),"")))</f>
        <v/>
      </c>
      <c r="H1015" s="88" t="str">
        <f>IF(ISBLANK(G1015),"",IFERROR(INDEX('Tournament List'!$D:$D,MATCH(G1015,'Tournament List'!$A:$A,0)),""))</f>
        <v/>
      </c>
      <c r="I1015" s="96" t="str">
        <f>IF(F1015="Skeet",IFERROR(INDEX('Shooter-Squad Assignment'!$A:$A,MATCH(C1015&amp;"-"&amp;E1015&amp;"-"&amp;F1015&amp;"-Pos2",'Shooter-Squad Assignment'!$K:$K,0)),""),IF(F1015="Trap",IFERROR(INDEX('Shooter-Squad Assignment'!$A:$A,MATCH(C1015&amp;"-"&amp;E1015&amp;"-"&amp;F1015&amp;"-Pos2",'Shooter-Squad Assignment'!$W:$W,0)),""),IF(F1015="Sporting Clays",IFERROR(INDEX('Shooter-Squad Assignment'!$A:$A,MATCH(C1015&amp;"-"&amp;E1015&amp;"-"&amp;F1015&amp;"-Pos2",'Shooter-Squad Assignment'!$Z:$Z,0)),""),"")))</f>
        <v/>
      </c>
      <c r="J1015" s="88" t="str">
        <f>IF(ISBLANK(I1015),"",IFERROR(INDEX('Tournament List'!$D:$D,MATCH(I1015,'Tournament List'!$A:$A,0)),""))</f>
        <v/>
      </c>
      <c r="K1015" s="96" t="str">
        <f>IF(F1015="Skeet",IFERROR(INDEX('Shooter-Squad Assignment'!$A:$A,MATCH(C1015&amp;"-"&amp;E1015&amp;"-"&amp;F1015&amp;"-Pos3",'Shooter-Squad Assignment'!$K:$K,0)),""),IF(F1015="Trap",IFERROR(INDEX('Shooter-Squad Assignment'!$A:$A,MATCH(C1015&amp;"-"&amp;E1015&amp;"-"&amp;F1015&amp;"-Pos3",'Shooter-Squad Assignment'!$W:$W,0)),""),IF(F1015="Sporting Clays",IFERROR(INDEX('Shooter-Squad Assignment'!$A:$A,MATCH(C1015&amp;"-"&amp;E1015&amp;"-"&amp;F1015&amp;"-Pos3",'Shooter-Squad Assignment'!$Z:$Z,0)),""),"")))</f>
        <v/>
      </c>
      <c r="L1015" s="88" t="str">
        <f>IF(ISBLANK(K1015),"",IFERROR(INDEX('Tournament List'!$D:$D,MATCH(K1015,'Tournament List'!$A:$A,0)),""))</f>
        <v/>
      </c>
      <c r="M1015" s="96" t="str">
        <f>IF(F1015="Skeet",IFERROR(INDEX('Shooter-Squad Assignment'!$A:$A,MATCH(C1015&amp;"-"&amp;E1015&amp;"-"&amp;F1015&amp;"-Pos4",'Shooter-Squad Assignment'!$K:$K,0)),""),IF(F1015="Trap",IFERROR(INDEX('Shooter-Squad Assignment'!$A:$A,MATCH(C1015&amp;"-"&amp;E1015&amp;"-"&amp;F1015&amp;"-Pos4",'Shooter-Squad Assignment'!$W:$W,0)),""),IF(F1015="Sporting Clays",IFERROR(INDEX('Shooter-Squad Assignment'!$A:$A,MATCH(C1015&amp;"-"&amp;E1015&amp;"-"&amp;F1015&amp;"-Pos4",'Shooter-Squad Assignment'!$Z:$Z,0)),""),"")))</f>
        <v/>
      </c>
      <c r="N1015" s="88" t="str">
        <f>IF(ISBLANK(M1015),"",IFERROR(INDEX('Tournament List'!$D:$D,MATCH(M1015,'Tournament List'!$A:$A,0)),""))</f>
        <v/>
      </c>
      <c r="O1015" s="96" t="str">
        <f>IF(F1015="Skeet",IFERROR(INDEX('Shooter-Squad Assignment'!$A:$A,MATCH(C1015&amp;"-"&amp;E1015&amp;"-"&amp;F1015&amp;"-Pos5",'Shooter-Squad Assignment'!$K:$K,0)),""),IF(F1015="Trap",IFERROR(INDEX('Shooter-Squad Assignment'!$A:$A,MATCH(C1015&amp;"-"&amp;E1015&amp;"-"&amp;F1015&amp;"-Pos5",'Shooter-Squad Assignment'!$W:$W,0)),""),IF(F1015="Sporting Clays",IFERROR(INDEX('Shooter-Squad Assignment'!$A:$A,MATCH(C1015&amp;"-"&amp;E1015&amp;"-"&amp;F1015&amp;"-Pos5",'Shooter-Squad Assignment'!$Z:$Z,0)),""),"")))</f>
        <v/>
      </c>
      <c r="P1015" s="89" t="str">
        <f>IF(ISBLANK(O1015),"",IFERROR(INDEX('Tournament List'!$D:$D,MATCH(O1015,'Tournament List'!$A:$A,0)),""))</f>
        <v/>
      </c>
    </row>
    <row r="1016" spans="1:16" x14ac:dyDescent="0.3">
      <c r="A1016" s="87">
        <v>1015</v>
      </c>
      <c r="B1016" s="88" t="str">
        <f>C1016&amp;"-"&amp;E1016&amp;"-"&amp;F1016</f>
        <v>-Junior Varsity 2-Trap</v>
      </c>
      <c r="C1016" s="88"/>
      <c r="D1016" s="88" t="str">
        <f>INDEX('Tournament Setup'!$B$59:$B$78,MATCH(E1016,SquadConcurrents,0))</f>
        <v>Junior Varsity</v>
      </c>
      <c r="E1016" s="88" t="s">
        <v>345</v>
      </c>
      <c r="F1016" s="88" t="s">
        <v>147</v>
      </c>
      <c r="G1016" s="96" t="str">
        <f>IF(F1016="Skeet",IFERROR(INDEX('Shooter-Squad Assignment'!$A:$A,MATCH(C1016&amp;"-"&amp;E1016&amp;"-"&amp;F1016&amp;"-Pos1",'Shooter-Squad Assignment'!$K:$K,0)),""),IF(F1016="Trap",IFERROR(INDEX('Shooter-Squad Assignment'!$A:$A,MATCH(C1016&amp;"-"&amp;E1016&amp;"-"&amp;F1016&amp;"-Pos1",'Shooter-Squad Assignment'!$W:$W,0)),""),IF(F1016="Sporting Clays",IFERROR(INDEX('Shooter-Squad Assignment'!$A:$A,MATCH(C1016&amp;"-"&amp;E1016&amp;"-"&amp;F1016&amp;"-Pos1",'Shooter-Squad Assignment'!$Z:$Z,0)),""),"")))</f>
        <v/>
      </c>
      <c r="H1016" s="88" t="str">
        <f>IF(ISBLANK(G1016),"",IFERROR(INDEX('Tournament List'!$D:$D,MATCH(G1016,'Tournament List'!$A:$A,0)),""))</f>
        <v/>
      </c>
      <c r="I1016" s="96" t="str">
        <f>IF(F1016="Skeet",IFERROR(INDEX('Shooter-Squad Assignment'!$A:$A,MATCH(C1016&amp;"-"&amp;E1016&amp;"-"&amp;F1016&amp;"-Pos2",'Shooter-Squad Assignment'!$K:$K,0)),""),IF(F1016="Trap",IFERROR(INDEX('Shooter-Squad Assignment'!$A:$A,MATCH(C1016&amp;"-"&amp;E1016&amp;"-"&amp;F1016&amp;"-Pos2",'Shooter-Squad Assignment'!$W:$W,0)),""),IF(F1016="Sporting Clays",IFERROR(INDEX('Shooter-Squad Assignment'!$A:$A,MATCH(C1016&amp;"-"&amp;E1016&amp;"-"&amp;F1016&amp;"-Pos2",'Shooter-Squad Assignment'!$Z:$Z,0)),""),"")))</f>
        <v/>
      </c>
      <c r="J1016" s="88" t="str">
        <f>IF(ISBLANK(I1016),"",IFERROR(INDEX('Tournament List'!$D:$D,MATCH(I1016,'Tournament List'!$A:$A,0)),""))</f>
        <v/>
      </c>
      <c r="K1016" s="96" t="str">
        <f>IF(F1016="Skeet",IFERROR(INDEX('Shooter-Squad Assignment'!$A:$A,MATCH(C1016&amp;"-"&amp;E1016&amp;"-"&amp;F1016&amp;"-Pos3",'Shooter-Squad Assignment'!$K:$K,0)),""),IF(F1016="Trap",IFERROR(INDEX('Shooter-Squad Assignment'!$A:$A,MATCH(C1016&amp;"-"&amp;E1016&amp;"-"&amp;F1016&amp;"-Pos3",'Shooter-Squad Assignment'!$W:$W,0)),""),IF(F1016="Sporting Clays",IFERROR(INDEX('Shooter-Squad Assignment'!$A:$A,MATCH(C1016&amp;"-"&amp;E1016&amp;"-"&amp;F1016&amp;"-Pos3",'Shooter-Squad Assignment'!$Z:$Z,0)),""),"")))</f>
        <v/>
      </c>
      <c r="L1016" s="88" t="str">
        <f>IF(ISBLANK(K1016),"",IFERROR(INDEX('Tournament List'!$D:$D,MATCH(K1016,'Tournament List'!$A:$A,0)),""))</f>
        <v/>
      </c>
      <c r="M1016" s="96" t="str">
        <f>IF(F1016="Skeet",IFERROR(INDEX('Shooter-Squad Assignment'!$A:$A,MATCH(C1016&amp;"-"&amp;E1016&amp;"-"&amp;F1016&amp;"-Pos4",'Shooter-Squad Assignment'!$K:$K,0)),""),IF(F1016="Trap",IFERROR(INDEX('Shooter-Squad Assignment'!$A:$A,MATCH(C1016&amp;"-"&amp;E1016&amp;"-"&amp;F1016&amp;"-Pos4",'Shooter-Squad Assignment'!$W:$W,0)),""),IF(F1016="Sporting Clays",IFERROR(INDEX('Shooter-Squad Assignment'!$A:$A,MATCH(C1016&amp;"-"&amp;E1016&amp;"-"&amp;F1016&amp;"-Pos4",'Shooter-Squad Assignment'!$Z:$Z,0)),""),"")))</f>
        <v/>
      </c>
      <c r="N1016" s="88" t="str">
        <f>IF(ISBLANK(M1016),"",IFERROR(INDEX('Tournament List'!$D:$D,MATCH(M1016,'Tournament List'!$A:$A,0)),""))</f>
        <v/>
      </c>
      <c r="O1016" s="96" t="str">
        <f>IF(F1016="Skeet",IFERROR(INDEX('Shooter-Squad Assignment'!$A:$A,MATCH(C1016&amp;"-"&amp;E1016&amp;"-"&amp;F1016&amp;"-Pos5",'Shooter-Squad Assignment'!$K:$K,0)),""),IF(F1016="Trap",IFERROR(INDEX('Shooter-Squad Assignment'!$A:$A,MATCH(C1016&amp;"-"&amp;E1016&amp;"-"&amp;F1016&amp;"-Pos5",'Shooter-Squad Assignment'!$W:$W,0)),""),IF(F1016="Sporting Clays",IFERROR(INDEX('Shooter-Squad Assignment'!$A:$A,MATCH(C1016&amp;"-"&amp;E1016&amp;"-"&amp;F1016&amp;"-Pos5",'Shooter-Squad Assignment'!$Z:$Z,0)),""),"")))</f>
        <v/>
      </c>
      <c r="P1016" s="89" t="str">
        <f>IF(ISBLANK(O1016),"",IFERROR(INDEX('Tournament List'!$D:$D,MATCH(O1016,'Tournament List'!$A:$A,0)),""))</f>
        <v/>
      </c>
    </row>
    <row r="1017" spans="1:16" x14ac:dyDescent="0.3">
      <c r="A1017" s="87">
        <v>1016</v>
      </c>
      <c r="B1017" s="88" t="str">
        <f>C1017&amp;"-"&amp;E1017&amp;"-"&amp;F1017</f>
        <v>-Junior Varsity 3-Trap</v>
      </c>
      <c r="C1017" s="88"/>
      <c r="D1017" s="88" t="str">
        <f>INDEX('Tournament Setup'!$B$59:$B$78,MATCH(E1017,SquadConcurrents,0))</f>
        <v>Junior Varsity</v>
      </c>
      <c r="E1017" s="88" t="s">
        <v>351</v>
      </c>
      <c r="F1017" s="88" t="s">
        <v>147</v>
      </c>
      <c r="G1017" s="96" t="str">
        <f>IF(F1017="Skeet",IFERROR(INDEX('Shooter-Squad Assignment'!$A:$A,MATCH(C1017&amp;"-"&amp;E1017&amp;"-"&amp;F1017&amp;"-Pos1",'Shooter-Squad Assignment'!$K:$K,0)),""),IF(F1017="Trap",IFERROR(INDEX('Shooter-Squad Assignment'!$A:$A,MATCH(C1017&amp;"-"&amp;E1017&amp;"-"&amp;F1017&amp;"-Pos1",'Shooter-Squad Assignment'!$W:$W,0)),""),IF(F1017="Sporting Clays",IFERROR(INDEX('Shooter-Squad Assignment'!$A:$A,MATCH(C1017&amp;"-"&amp;E1017&amp;"-"&amp;F1017&amp;"-Pos1",'Shooter-Squad Assignment'!$Z:$Z,0)),""),"")))</f>
        <v/>
      </c>
      <c r="H1017" s="88" t="str">
        <f>IF(ISBLANK(G1017),"",IFERROR(INDEX('Tournament List'!$D:$D,MATCH(G1017,'Tournament List'!$A:$A,0)),""))</f>
        <v/>
      </c>
      <c r="I1017" s="96" t="str">
        <f>IF(F1017="Skeet",IFERROR(INDEX('Shooter-Squad Assignment'!$A:$A,MATCH(C1017&amp;"-"&amp;E1017&amp;"-"&amp;F1017&amp;"-Pos2",'Shooter-Squad Assignment'!$K:$K,0)),""),IF(F1017="Trap",IFERROR(INDEX('Shooter-Squad Assignment'!$A:$A,MATCH(C1017&amp;"-"&amp;E1017&amp;"-"&amp;F1017&amp;"-Pos2",'Shooter-Squad Assignment'!$W:$W,0)),""),IF(F1017="Sporting Clays",IFERROR(INDEX('Shooter-Squad Assignment'!$A:$A,MATCH(C1017&amp;"-"&amp;E1017&amp;"-"&amp;F1017&amp;"-Pos2",'Shooter-Squad Assignment'!$Z:$Z,0)),""),"")))</f>
        <v/>
      </c>
      <c r="J1017" s="88" t="str">
        <f>IF(ISBLANK(I1017),"",IFERROR(INDEX('Tournament List'!$D:$D,MATCH(I1017,'Tournament List'!$A:$A,0)),""))</f>
        <v/>
      </c>
      <c r="K1017" s="96" t="str">
        <f>IF(F1017="Skeet",IFERROR(INDEX('Shooter-Squad Assignment'!$A:$A,MATCH(C1017&amp;"-"&amp;E1017&amp;"-"&amp;F1017&amp;"-Pos3",'Shooter-Squad Assignment'!$K:$K,0)),""),IF(F1017="Trap",IFERROR(INDEX('Shooter-Squad Assignment'!$A:$A,MATCH(C1017&amp;"-"&amp;E1017&amp;"-"&amp;F1017&amp;"-Pos3",'Shooter-Squad Assignment'!$W:$W,0)),""),IF(F1017="Sporting Clays",IFERROR(INDEX('Shooter-Squad Assignment'!$A:$A,MATCH(C1017&amp;"-"&amp;E1017&amp;"-"&amp;F1017&amp;"-Pos3",'Shooter-Squad Assignment'!$Z:$Z,0)),""),"")))</f>
        <v/>
      </c>
      <c r="L1017" s="88" t="str">
        <f>IF(ISBLANK(K1017),"",IFERROR(INDEX('Tournament List'!$D:$D,MATCH(K1017,'Tournament List'!$A:$A,0)),""))</f>
        <v/>
      </c>
      <c r="M1017" s="96" t="str">
        <f>IF(F1017="Skeet",IFERROR(INDEX('Shooter-Squad Assignment'!$A:$A,MATCH(C1017&amp;"-"&amp;E1017&amp;"-"&amp;F1017&amp;"-Pos4",'Shooter-Squad Assignment'!$K:$K,0)),""),IF(F1017="Trap",IFERROR(INDEX('Shooter-Squad Assignment'!$A:$A,MATCH(C1017&amp;"-"&amp;E1017&amp;"-"&amp;F1017&amp;"-Pos4",'Shooter-Squad Assignment'!$W:$W,0)),""),IF(F1017="Sporting Clays",IFERROR(INDEX('Shooter-Squad Assignment'!$A:$A,MATCH(C1017&amp;"-"&amp;E1017&amp;"-"&amp;F1017&amp;"-Pos4",'Shooter-Squad Assignment'!$Z:$Z,0)),""),"")))</f>
        <v/>
      </c>
      <c r="N1017" s="88" t="str">
        <f>IF(ISBLANK(M1017),"",IFERROR(INDEX('Tournament List'!$D:$D,MATCH(M1017,'Tournament List'!$A:$A,0)),""))</f>
        <v/>
      </c>
      <c r="O1017" s="96" t="str">
        <f>IF(F1017="Skeet",IFERROR(INDEX('Shooter-Squad Assignment'!$A:$A,MATCH(C1017&amp;"-"&amp;E1017&amp;"-"&amp;F1017&amp;"-Pos5",'Shooter-Squad Assignment'!$K:$K,0)),""),IF(F1017="Trap",IFERROR(INDEX('Shooter-Squad Assignment'!$A:$A,MATCH(C1017&amp;"-"&amp;E1017&amp;"-"&amp;F1017&amp;"-Pos5",'Shooter-Squad Assignment'!$W:$W,0)),""),IF(F1017="Sporting Clays",IFERROR(INDEX('Shooter-Squad Assignment'!$A:$A,MATCH(C1017&amp;"-"&amp;E1017&amp;"-"&amp;F1017&amp;"-Pos5",'Shooter-Squad Assignment'!$Z:$Z,0)),""),"")))</f>
        <v/>
      </c>
      <c r="P1017" s="89" t="str">
        <f>IF(ISBLANK(O1017),"",IFERROR(INDEX('Tournament List'!$D:$D,MATCH(O1017,'Tournament List'!$A:$A,0)),""))</f>
        <v/>
      </c>
    </row>
    <row r="1018" spans="1:16" x14ac:dyDescent="0.3">
      <c r="A1018" s="87">
        <v>1017</v>
      </c>
      <c r="B1018" s="88" t="str">
        <f>C1018&amp;"-"&amp;E1018&amp;"-"&amp;F1018</f>
        <v>-Novice 1-Trap</v>
      </c>
      <c r="C1018" s="88"/>
      <c r="D1018" s="88" t="str">
        <f>INDEX('Tournament Setup'!$B$59:$B$78,MATCH(E1018,SquadConcurrents,0))</f>
        <v>Novice</v>
      </c>
      <c r="E1018" s="88" t="s">
        <v>337</v>
      </c>
      <c r="F1018" s="88" t="s">
        <v>147</v>
      </c>
      <c r="G1018" s="96" t="str">
        <f>IF(F1018="Skeet",IFERROR(INDEX('Shooter-Squad Assignment'!$A:$A,MATCH(C1018&amp;"-"&amp;E1018&amp;"-"&amp;F1018&amp;"-Pos1",'Shooter-Squad Assignment'!$K:$K,0)),""),IF(F1018="Trap",IFERROR(INDEX('Shooter-Squad Assignment'!$A:$A,MATCH(C1018&amp;"-"&amp;E1018&amp;"-"&amp;F1018&amp;"-Pos1",'Shooter-Squad Assignment'!$W:$W,0)),""),IF(F1018="Sporting Clays",IFERROR(INDEX('Shooter-Squad Assignment'!$A:$A,MATCH(C1018&amp;"-"&amp;E1018&amp;"-"&amp;F1018&amp;"-Pos1",'Shooter-Squad Assignment'!$Z:$Z,0)),""),"")))</f>
        <v/>
      </c>
      <c r="H1018" s="88" t="str">
        <f>IF(ISBLANK(G1018),"",IFERROR(INDEX('Tournament List'!$D:$D,MATCH(G1018,'Tournament List'!$A:$A,0)),""))</f>
        <v/>
      </c>
      <c r="I1018" s="96" t="str">
        <f>IF(F1018="Skeet",IFERROR(INDEX('Shooter-Squad Assignment'!$A:$A,MATCH(C1018&amp;"-"&amp;E1018&amp;"-"&amp;F1018&amp;"-Pos2",'Shooter-Squad Assignment'!$K:$K,0)),""),IF(F1018="Trap",IFERROR(INDEX('Shooter-Squad Assignment'!$A:$A,MATCH(C1018&amp;"-"&amp;E1018&amp;"-"&amp;F1018&amp;"-Pos2",'Shooter-Squad Assignment'!$W:$W,0)),""),IF(F1018="Sporting Clays",IFERROR(INDEX('Shooter-Squad Assignment'!$A:$A,MATCH(C1018&amp;"-"&amp;E1018&amp;"-"&amp;F1018&amp;"-Pos2",'Shooter-Squad Assignment'!$Z:$Z,0)),""),"")))</f>
        <v/>
      </c>
      <c r="J1018" s="88" t="str">
        <f>IF(ISBLANK(I1018),"",IFERROR(INDEX('Tournament List'!$D:$D,MATCH(I1018,'Tournament List'!$A:$A,0)),""))</f>
        <v/>
      </c>
      <c r="K1018" s="96" t="str">
        <f>IF(F1018="Skeet",IFERROR(INDEX('Shooter-Squad Assignment'!$A:$A,MATCH(C1018&amp;"-"&amp;E1018&amp;"-"&amp;F1018&amp;"-Pos3",'Shooter-Squad Assignment'!$K:$K,0)),""),IF(F1018="Trap",IFERROR(INDEX('Shooter-Squad Assignment'!$A:$A,MATCH(C1018&amp;"-"&amp;E1018&amp;"-"&amp;F1018&amp;"-Pos3",'Shooter-Squad Assignment'!$W:$W,0)),""),IF(F1018="Sporting Clays",IFERROR(INDEX('Shooter-Squad Assignment'!$A:$A,MATCH(C1018&amp;"-"&amp;E1018&amp;"-"&amp;F1018&amp;"-Pos3",'Shooter-Squad Assignment'!$Z:$Z,0)),""),"")))</f>
        <v/>
      </c>
      <c r="L1018" s="88" t="str">
        <f>IF(ISBLANK(K1018),"",IFERROR(INDEX('Tournament List'!$D:$D,MATCH(K1018,'Tournament List'!$A:$A,0)),""))</f>
        <v/>
      </c>
      <c r="M1018" s="96" t="str">
        <f>IF(F1018="Skeet",IFERROR(INDEX('Shooter-Squad Assignment'!$A:$A,MATCH(C1018&amp;"-"&amp;E1018&amp;"-"&amp;F1018&amp;"-Pos4",'Shooter-Squad Assignment'!$K:$K,0)),""),IF(F1018="Trap",IFERROR(INDEX('Shooter-Squad Assignment'!$A:$A,MATCH(C1018&amp;"-"&amp;E1018&amp;"-"&amp;F1018&amp;"-Pos4",'Shooter-Squad Assignment'!$W:$W,0)),""),IF(F1018="Sporting Clays",IFERROR(INDEX('Shooter-Squad Assignment'!$A:$A,MATCH(C1018&amp;"-"&amp;E1018&amp;"-"&amp;F1018&amp;"-Pos4",'Shooter-Squad Assignment'!$Z:$Z,0)),""),"")))</f>
        <v/>
      </c>
      <c r="N1018" s="88" t="str">
        <f>IF(ISBLANK(M1018),"",IFERROR(INDEX('Tournament List'!$D:$D,MATCH(M1018,'Tournament List'!$A:$A,0)),""))</f>
        <v/>
      </c>
      <c r="O1018" s="96" t="str">
        <f>IF(F1018="Skeet",IFERROR(INDEX('Shooter-Squad Assignment'!$A:$A,MATCH(C1018&amp;"-"&amp;E1018&amp;"-"&amp;F1018&amp;"-Pos5",'Shooter-Squad Assignment'!$K:$K,0)),""),IF(F1018="Trap",IFERROR(INDEX('Shooter-Squad Assignment'!$A:$A,MATCH(C1018&amp;"-"&amp;E1018&amp;"-"&amp;F1018&amp;"-Pos5",'Shooter-Squad Assignment'!$W:$W,0)),""),IF(F1018="Sporting Clays",IFERROR(INDEX('Shooter-Squad Assignment'!$A:$A,MATCH(C1018&amp;"-"&amp;E1018&amp;"-"&amp;F1018&amp;"-Pos5",'Shooter-Squad Assignment'!$Z:$Z,0)),""),"")))</f>
        <v/>
      </c>
      <c r="P1018" s="89" t="str">
        <f>IF(ISBLANK(O1018),"",IFERROR(INDEX('Tournament List'!$D:$D,MATCH(O1018,'Tournament List'!$A:$A,0)),""))</f>
        <v/>
      </c>
    </row>
    <row r="1019" spans="1:16" x14ac:dyDescent="0.3">
      <c r="A1019" s="87">
        <v>1018</v>
      </c>
      <c r="B1019" s="88" t="str">
        <f>C1019&amp;"-"&amp;E1019&amp;"-"&amp;F1019</f>
        <v>-Novice 2-Trap</v>
      </c>
      <c r="C1019" s="88"/>
      <c r="D1019" s="88" t="str">
        <f>INDEX('Tournament Setup'!$B$59:$B$78,MATCH(E1019,SquadConcurrents,0))</f>
        <v>Novice</v>
      </c>
      <c r="E1019" s="88" t="s">
        <v>343</v>
      </c>
      <c r="F1019" s="88" t="s">
        <v>147</v>
      </c>
      <c r="G1019" s="96" t="str">
        <f>IF(F1019="Skeet",IFERROR(INDEX('Shooter-Squad Assignment'!$A:$A,MATCH(C1019&amp;"-"&amp;E1019&amp;"-"&amp;F1019&amp;"-Pos1",'Shooter-Squad Assignment'!$K:$K,0)),""),IF(F1019="Trap",IFERROR(INDEX('Shooter-Squad Assignment'!$A:$A,MATCH(C1019&amp;"-"&amp;E1019&amp;"-"&amp;F1019&amp;"-Pos1",'Shooter-Squad Assignment'!$W:$W,0)),""),IF(F1019="Sporting Clays",IFERROR(INDEX('Shooter-Squad Assignment'!$A:$A,MATCH(C1019&amp;"-"&amp;E1019&amp;"-"&amp;F1019&amp;"-Pos1",'Shooter-Squad Assignment'!$Z:$Z,0)),""),"")))</f>
        <v/>
      </c>
      <c r="H1019" s="88" t="str">
        <f>IF(ISBLANK(G1019),"",IFERROR(INDEX('Tournament List'!$D:$D,MATCH(G1019,'Tournament List'!$A:$A,0)),""))</f>
        <v/>
      </c>
      <c r="I1019" s="96" t="str">
        <f>IF(F1019="Skeet",IFERROR(INDEX('Shooter-Squad Assignment'!$A:$A,MATCH(C1019&amp;"-"&amp;E1019&amp;"-"&amp;F1019&amp;"-Pos2",'Shooter-Squad Assignment'!$K:$K,0)),""),IF(F1019="Trap",IFERROR(INDEX('Shooter-Squad Assignment'!$A:$A,MATCH(C1019&amp;"-"&amp;E1019&amp;"-"&amp;F1019&amp;"-Pos2",'Shooter-Squad Assignment'!$W:$W,0)),""),IF(F1019="Sporting Clays",IFERROR(INDEX('Shooter-Squad Assignment'!$A:$A,MATCH(C1019&amp;"-"&amp;E1019&amp;"-"&amp;F1019&amp;"-Pos2",'Shooter-Squad Assignment'!$Z:$Z,0)),""),"")))</f>
        <v/>
      </c>
      <c r="J1019" s="88" t="str">
        <f>IF(ISBLANK(I1019),"",IFERROR(INDEX('Tournament List'!$D:$D,MATCH(I1019,'Tournament List'!$A:$A,0)),""))</f>
        <v/>
      </c>
      <c r="K1019" s="96" t="str">
        <f>IF(F1019="Skeet",IFERROR(INDEX('Shooter-Squad Assignment'!$A:$A,MATCH(C1019&amp;"-"&amp;E1019&amp;"-"&amp;F1019&amp;"-Pos3",'Shooter-Squad Assignment'!$K:$K,0)),""),IF(F1019="Trap",IFERROR(INDEX('Shooter-Squad Assignment'!$A:$A,MATCH(C1019&amp;"-"&amp;E1019&amp;"-"&amp;F1019&amp;"-Pos3",'Shooter-Squad Assignment'!$W:$W,0)),""),IF(F1019="Sporting Clays",IFERROR(INDEX('Shooter-Squad Assignment'!$A:$A,MATCH(C1019&amp;"-"&amp;E1019&amp;"-"&amp;F1019&amp;"-Pos3",'Shooter-Squad Assignment'!$Z:$Z,0)),""),"")))</f>
        <v/>
      </c>
      <c r="L1019" s="88" t="str">
        <f>IF(ISBLANK(K1019),"",IFERROR(INDEX('Tournament List'!$D:$D,MATCH(K1019,'Tournament List'!$A:$A,0)),""))</f>
        <v/>
      </c>
      <c r="M1019" s="96" t="str">
        <f>IF(F1019="Skeet",IFERROR(INDEX('Shooter-Squad Assignment'!$A:$A,MATCH(C1019&amp;"-"&amp;E1019&amp;"-"&amp;F1019&amp;"-Pos4",'Shooter-Squad Assignment'!$K:$K,0)),""),IF(F1019="Trap",IFERROR(INDEX('Shooter-Squad Assignment'!$A:$A,MATCH(C1019&amp;"-"&amp;E1019&amp;"-"&amp;F1019&amp;"-Pos4",'Shooter-Squad Assignment'!$W:$W,0)),""),IF(F1019="Sporting Clays",IFERROR(INDEX('Shooter-Squad Assignment'!$A:$A,MATCH(C1019&amp;"-"&amp;E1019&amp;"-"&amp;F1019&amp;"-Pos4",'Shooter-Squad Assignment'!$Z:$Z,0)),""),"")))</f>
        <v/>
      </c>
      <c r="N1019" s="88" t="str">
        <f>IF(ISBLANK(M1019),"",IFERROR(INDEX('Tournament List'!$D:$D,MATCH(M1019,'Tournament List'!$A:$A,0)),""))</f>
        <v/>
      </c>
      <c r="O1019" s="96" t="str">
        <f>IF(F1019="Skeet",IFERROR(INDEX('Shooter-Squad Assignment'!$A:$A,MATCH(C1019&amp;"-"&amp;E1019&amp;"-"&amp;F1019&amp;"-Pos5",'Shooter-Squad Assignment'!$K:$K,0)),""),IF(F1019="Trap",IFERROR(INDEX('Shooter-Squad Assignment'!$A:$A,MATCH(C1019&amp;"-"&amp;E1019&amp;"-"&amp;F1019&amp;"-Pos5",'Shooter-Squad Assignment'!$W:$W,0)),""),IF(F1019="Sporting Clays",IFERROR(INDEX('Shooter-Squad Assignment'!$A:$A,MATCH(C1019&amp;"-"&amp;E1019&amp;"-"&amp;F1019&amp;"-Pos5",'Shooter-Squad Assignment'!$Z:$Z,0)),""),"")))</f>
        <v/>
      </c>
      <c r="P1019" s="89" t="str">
        <f>IF(ISBLANK(O1019),"",IFERROR(INDEX('Tournament List'!$D:$D,MATCH(O1019,'Tournament List'!$A:$A,0)),""))</f>
        <v/>
      </c>
    </row>
    <row r="1020" spans="1:16" x14ac:dyDescent="0.3">
      <c r="A1020" s="87">
        <v>1019</v>
      </c>
      <c r="B1020" s="88" t="str">
        <f>C1020&amp;"-"&amp;E1020&amp;"-"&amp;F1020</f>
        <v>-Novice 3-Trap</v>
      </c>
      <c r="C1020" s="88"/>
      <c r="D1020" s="88" t="str">
        <f>INDEX('Tournament Setup'!$B$59:$B$78,MATCH(E1020,SquadConcurrents,0))</f>
        <v>Novice</v>
      </c>
      <c r="E1020" s="88" t="s">
        <v>349</v>
      </c>
      <c r="F1020" s="88" t="s">
        <v>147</v>
      </c>
      <c r="G1020" s="96" t="str">
        <f>IF(F1020="Skeet",IFERROR(INDEX('Shooter-Squad Assignment'!$A:$A,MATCH(C1020&amp;"-"&amp;E1020&amp;"-"&amp;F1020&amp;"-Pos1",'Shooter-Squad Assignment'!$K:$K,0)),""),IF(F1020="Trap",IFERROR(INDEX('Shooter-Squad Assignment'!$A:$A,MATCH(C1020&amp;"-"&amp;E1020&amp;"-"&amp;F1020&amp;"-Pos1",'Shooter-Squad Assignment'!$W:$W,0)),""),IF(F1020="Sporting Clays",IFERROR(INDEX('Shooter-Squad Assignment'!$A:$A,MATCH(C1020&amp;"-"&amp;E1020&amp;"-"&amp;F1020&amp;"-Pos1",'Shooter-Squad Assignment'!$Z:$Z,0)),""),"")))</f>
        <v/>
      </c>
      <c r="H1020" s="88" t="str">
        <f>IF(ISBLANK(G1020),"",IFERROR(INDEX('Tournament List'!$D:$D,MATCH(G1020,'Tournament List'!$A:$A,0)),""))</f>
        <v/>
      </c>
      <c r="I1020" s="96" t="str">
        <f>IF(F1020="Skeet",IFERROR(INDEX('Shooter-Squad Assignment'!$A:$A,MATCH(C1020&amp;"-"&amp;E1020&amp;"-"&amp;F1020&amp;"-Pos2",'Shooter-Squad Assignment'!$K:$K,0)),""),IF(F1020="Trap",IFERROR(INDEX('Shooter-Squad Assignment'!$A:$A,MATCH(C1020&amp;"-"&amp;E1020&amp;"-"&amp;F1020&amp;"-Pos2",'Shooter-Squad Assignment'!$W:$W,0)),""),IF(F1020="Sporting Clays",IFERROR(INDEX('Shooter-Squad Assignment'!$A:$A,MATCH(C1020&amp;"-"&amp;E1020&amp;"-"&amp;F1020&amp;"-Pos2",'Shooter-Squad Assignment'!$Z:$Z,0)),""),"")))</f>
        <v/>
      </c>
      <c r="J1020" s="88" t="str">
        <f>IF(ISBLANK(I1020),"",IFERROR(INDEX('Tournament List'!$D:$D,MATCH(I1020,'Tournament List'!$A:$A,0)),""))</f>
        <v/>
      </c>
      <c r="K1020" s="96" t="str">
        <f>IF(F1020="Skeet",IFERROR(INDEX('Shooter-Squad Assignment'!$A:$A,MATCH(C1020&amp;"-"&amp;E1020&amp;"-"&amp;F1020&amp;"-Pos3",'Shooter-Squad Assignment'!$K:$K,0)),""),IF(F1020="Trap",IFERROR(INDEX('Shooter-Squad Assignment'!$A:$A,MATCH(C1020&amp;"-"&amp;E1020&amp;"-"&amp;F1020&amp;"-Pos3",'Shooter-Squad Assignment'!$W:$W,0)),""),IF(F1020="Sporting Clays",IFERROR(INDEX('Shooter-Squad Assignment'!$A:$A,MATCH(C1020&amp;"-"&amp;E1020&amp;"-"&amp;F1020&amp;"-Pos3",'Shooter-Squad Assignment'!$Z:$Z,0)),""),"")))</f>
        <v/>
      </c>
      <c r="L1020" s="88" t="str">
        <f>IF(ISBLANK(K1020),"",IFERROR(INDEX('Tournament List'!$D:$D,MATCH(K1020,'Tournament List'!$A:$A,0)),""))</f>
        <v/>
      </c>
      <c r="M1020" s="96" t="str">
        <f>IF(F1020="Skeet",IFERROR(INDEX('Shooter-Squad Assignment'!$A:$A,MATCH(C1020&amp;"-"&amp;E1020&amp;"-"&amp;F1020&amp;"-Pos4",'Shooter-Squad Assignment'!$K:$K,0)),""),IF(F1020="Trap",IFERROR(INDEX('Shooter-Squad Assignment'!$A:$A,MATCH(C1020&amp;"-"&amp;E1020&amp;"-"&amp;F1020&amp;"-Pos4",'Shooter-Squad Assignment'!$W:$W,0)),""),IF(F1020="Sporting Clays",IFERROR(INDEX('Shooter-Squad Assignment'!$A:$A,MATCH(C1020&amp;"-"&amp;E1020&amp;"-"&amp;F1020&amp;"-Pos4",'Shooter-Squad Assignment'!$Z:$Z,0)),""),"")))</f>
        <v/>
      </c>
      <c r="N1020" s="88" t="str">
        <f>IF(ISBLANK(M1020),"",IFERROR(INDEX('Tournament List'!$D:$D,MATCH(M1020,'Tournament List'!$A:$A,0)),""))</f>
        <v/>
      </c>
      <c r="O1020" s="96" t="str">
        <f>IF(F1020="Skeet",IFERROR(INDEX('Shooter-Squad Assignment'!$A:$A,MATCH(C1020&amp;"-"&amp;E1020&amp;"-"&amp;F1020&amp;"-Pos5",'Shooter-Squad Assignment'!$K:$K,0)),""),IF(F1020="Trap",IFERROR(INDEX('Shooter-Squad Assignment'!$A:$A,MATCH(C1020&amp;"-"&amp;E1020&amp;"-"&amp;F1020&amp;"-Pos5",'Shooter-Squad Assignment'!$W:$W,0)),""),IF(F1020="Sporting Clays",IFERROR(INDEX('Shooter-Squad Assignment'!$A:$A,MATCH(C1020&amp;"-"&amp;E1020&amp;"-"&amp;F1020&amp;"-Pos5",'Shooter-Squad Assignment'!$Z:$Z,0)),""),"")))</f>
        <v/>
      </c>
      <c r="P1020" s="89" t="str">
        <f>IF(ISBLANK(O1020),"",IFERROR(INDEX('Tournament List'!$D:$D,MATCH(O1020,'Tournament List'!$A:$A,0)),""))</f>
        <v/>
      </c>
    </row>
    <row r="1021" spans="1:16" x14ac:dyDescent="0.3">
      <c r="A1021" s="87">
        <v>1020</v>
      </c>
      <c r="B1021" s="88" t="str">
        <f>C1021&amp;"-"&amp;E1021&amp;"-"&amp;F1021</f>
        <v>-Open 1-Trap</v>
      </c>
      <c r="C1021" s="88"/>
      <c r="D1021" s="88" t="str">
        <f>INDEX('Tournament Setup'!$B$59:$B$78,MATCH(E1021,SquadConcurrents,0))</f>
        <v>Open</v>
      </c>
      <c r="E1021" s="88" t="s">
        <v>341</v>
      </c>
      <c r="F1021" s="88" t="s">
        <v>147</v>
      </c>
      <c r="G1021" s="96" t="str">
        <f>IF(F1021="Skeet",IFERROR(INDEX('Shooter-Squad Assignment'!$A:$A,MATCH(C1021&amp;"-"&amp;E1021&amp;"-"&amp;F1021&amp;"-Pos1",'Shooter-Squad Assignment'!$K:$K,0)),""),IF(F1021="Trap",IFERROR(INDEX('Shooter-Squad Assignment'!$A:$A,MATCH(C1021&amp;"-"&amp;E1021&amp;"-"&amp;F1021&amp;"-Pos1",'Shooter-Squad Assignment'!$W:$W,0)),""),IF(F1021="Sporting Clays",IFERROR(INDEX('Shooter-Squad Assignment'!$A:$A,MATCH(C1021&amp;"-"&amp;E1021&amp;"-"&amp;F1021&amp;"-Pos1",'Shooter-Squad Assignment'!$Z:$Z,0)),""),"")))</f>
        <v/>
      </c>
      <c r="H1021" s="88" t="str">
        <f>IF(ISBLANK(G1021),"",IFERROR(INDEX('Tournament List'!$D:$D,MATCH(G1021,'Tournament List'!$A:$A,0)),""))</f>
        <v/>
      </c>
      <c r="I1021" s="96" t="str">
        <f>IF(F1021="Skeet",IFERROR(INDEX('Shooter-Squad Assignment'!$A:$A,MATCH(C1021&amp;"-"&amp;E1021&amp;"-"&amp;F1021&amp;"-Pos2",'Shooter-Squad Assignment'!$K:$K,0)),""),IF(F1021="Trap",IFERROR(INDEX('Shooter-Squad Assignment'!$A:$A,MATCH(C1021&amp;"-"&amp;E1021&amp;"-"&amp;F1021&amp;"-Pos2",'Shooter-Squad Assignment'!$W:$W,0)),""),IF(F1021="Sporting Clays",IFERROR(INDEX('Shooter-Squad Assignment'!$A:$A,MATCH(C1021&amp;"-"&amp;E1021&amp;"-"&amp;F1021&amp;"-Pos2",'Shooter-Squad Assignment'!$Z:$Z,0)),""),"")))</f>
        <v/>
      </c>
      <c r="J1021" s="88" t="str">
        <f>IF(ISBLANK(I1021),"",IFERROR(INDEX('Tournament List'!$D:$D,MATCH(I1021,'Tournament List'!$A:$A,0)),""))</f>
        <v/>
      </c>
      <c r="K1021" s="96" t="str">
        <f>IF(F1021="Skeet",IFERROR(INDEX('Shooter-Squad Assignment'!$A:$A,MATCH(C1021&amp;"-"&amp;E1021&amp;"-"&amp;F1021&amp;"-Pos3",'Shooter-Squad Assignment'!$K:$K,0)),""),IF(F1021="Trap",IFERROR(INDEX('Shooter-Squad Assignment'!$A:$A,MATCH(C1021&amp;"-"&amp;E1021&amp;"-"&amp;F1021&amp;"-Pos3",'Shooter-Squad Assignment'!$W:$W,0)),""),IF(F1021="Sporting Clays",IFERROR(INDEX('Shooter-Squad Assignment'!$A:$A,MATCH(C1021&amp;"-"&amp;E1021&amp;"-"&amp;F1021&amp;"-Pos3",'Shooter-Squad Assignment'!$Z:$Z,0)),""),"")))</f>
        <v/>
      </c>
      <c r="L1021" s="88" t="str">
        <f>IF(ISBLANK(K1021),"",IFERROR(INDEX('Tournament List'!$D:$D,MATCH(K1021,'Tournament List'!$A:$A,0)),""))</f>
        <v/>
      </c>
      <c r="M1021" s="96" t="str">
        <f>IF(F1021="Skeet",IFERROR(INDEX('Shooter-Squad Assignment'!$A:$A,MATCH(C1021&amp;"-"&amp;E1021&amp;"-"&amp;F1021&amp;"-Pos4",'Shooter-Squad Assignment'!$K:$K,0)),""),IF(F1021="Trap",IFERROR(INDEX('Shooter-Squad Assignment'!$A:$A,MATCH(C1021&amp;"-"&amp;E1021&amp;"-"&amp;F1021&amp;"-Pos4",'Shooter-Squad Assignment'!$W:$W,0)),""),IF(F1021="Sporting Clays",IFERROR(INDEX('Shooter-Squad Assignment'!$A:$A,MATCH(C1021&amp;"-"&amp;E1021&amp;"-"&amp;F1021&amp;"-Pos4",'Shooter-Squad Assignment'!$Z:$Z,0)),""),"")))</f>
        <v/>
      </c>
      <c r="N1021" s="88" t="str">
        <f>IF(ISBLANK(M1021),"",IFERROR(INDEX('Tournament List'!$D:$D,MATCH(M1021,'Tournament List'!$A:$A,0)),""))</f>
        <v/>
      </c>
      <c r="O1021" s="96" t="str">
        <f>IF(F1021="Skeet",IFERROR(INDEX('Shooter-Squad Assignment'!$A:$A,MATCH(C1021&amp;"-"&amp;E1021&amp;"-"&amp;F1021&amp;"-Pos5",'Shooter-Squad Assignment'!$K:$K,0)),""),IF(F1021="Trap",IFERROR(INDEX('Shooter-Squad Assignment'!$A:$A,MATCH(C1021&amp;"-"&amp;E1021&amp;"-"&amp;F1021&amp;"-Pos5",'Shooter-Squad Assignment'!$W:$W,0)),""),IF(F1021="Sporting Clays",IFERROR(INDEX('Shooter-Squad Assignment'!$A:$A,MATCH(C1021&amp;"-"&amp;E1021&amp;"-"&amp;F1021&amp;"-Pos5",'Shooter-Squad Assignment'!$Z:$Z,0)),""),"")))</f>
        <v/>
      </c>
      <c r="P1021" s="89" t="str">
        <f>IF(ISBLANK(O1021),"",IFERROR(INDEX('Tournament List'!$D:$D,MATCH(O1021,'Tournament List'!$A:$A,0)),""))</f>
        <v/>
      </c>
    </row>
    <row r="1022" spans="1:16" x14ac:dyDescent="0.3">
      <c r="A1022" s="87">
        <v>1021</v>
      </c>
      <c r="B1022" s="88" t="str">
        <f>C1022&amp;"-"&amp;E1022&amp;"-"&amp;F1022</f>
        <v>-Open 2-Trap</v>
      </c>
      <c r="C1022" s="88"/>
      <c r="D1022" s="88" t="str">
        <f>INDEX('Tournament Setup'!$B$59:$B$78,MATCH(E1022,SquadConcurrents,0))</f>
        <v>Open</v>
      </c>
      <c r="E1022" s="88" t="s">
        <v>347</v>
      </c>
      <c r="F1022" s="88" t="s">
        <v>147</v>
      </c>
      <c r="G1022" s="96" t="str">
        <f>IF(F1022="Skeet",IFERROR(INDEX('Shooter-Squad Assignment'!$A:$A,MATCH(C1022&amp;"-"&amp;E1022&amp;"-"&amp;F1022&amp;"-Pos1",'Shooter-Squad Assignment'!$K:$K,0)),""),IF(F1022="Trap",IFERROR(INDEX('Shooter-Squad Assignment'!$A:$A,MATCH(C1022&amp;"-"&amp;E1022&amp;"-"&amp;F1022&amp;"-Pos1",'Shooter-Squad Assignment'!$W:$W,0)),""),IF(F1022="Sporting Clays",IFERROR(INDEX('Shooter-Squad Assignment'!$A:$A,MATCH(C1022&amp;"-"&amp;E1022&amp;"-"&amp;F1022&amp;"-Pos1",'Shooter-Squad Assignment'!$Z:$Z,0)),""),"")))</f>
        <v/>
      </c>
      <c r="H1022" s="88" t="str">
        <f>IF(ISBLANK(G1022),"",IFERROR(INDEX('Tournament List'!$D:$D,MATCH(G1022,'Tournament List'!$A:$A,0)),""))</f>
        <v/>
      </c>
      <c r="I1022" s="96" t="str">
        <f>IF(F1022="Skeet",IFERROR(INDEX('Shooter-Squad Assignment'!$A:$A,MATCH(C1022&amp;"-"&amp;E1022&amp;"-"&amp;F1022&amp;"-Pos2",'Shooter-Squad Assignment'!$K:$K,0)),""),IF(F1022="Trap",IFERROR(INDEX('Shooter-Squad Assignment'!$A:$A,MATCH(C1022&amp;"-"&amp;E1022&amp;"-"&amp;F1022&amp;"-Pos2",'Shooter-Squad Assignment'!$W:$W,0)),""),IF(F1022="Sporting Clays",IFERROR(INDEX('Shooter-Squad Assignment'!$A:$A,MATCH(C1022&amp;"-"&amp;E1022&amp;"-"&amp;F1022&amp;"-Pos2",'Shooter-Squad Assignment'!$Z:$Z,0)),""),"")))</f>
        <v/>
      </c>
      <c r="J1022" s="88" t="str">
        <f>IF(ISBLANK(I1022),"",IFERROR(INDEX('Tournament List'!$D:$D,MATCH(I1022,'Tournament List'!$A:$A,0)),""))</f>
        <v/>
      </c>
      <c r="K1022" s="96" t="str">
        <f>IF(F1022="Skeet",IFERROR(INDEX('Shooter-Squad Assignment'!$A:$A,MATCH(C1022&amp;"-"&amp;E1022&amp;"-"&amp;F1022&amp;"-Pos3",'Shooter-Squad Assignment'!$K:$K,0)),""),IF(F1022="Trap",IFERROR(INDEX('Shooter-Squad Assignment'!$A:$A,MATCH(C1022&amp;"-"&amp;E1022&amp;"-"&amp;F1022&amp;"-Pos3",'Shooter-Squad Assignment'!$W:$W,0)),""),IF(F1022="Sporting Clays",IFERROR(INDEX('Shooter-Squad Assignment'!$A:$A,MATCH(C1022&amp;"-"&amp;E1022&amp;"-"&amp;F1022&amp;"-Pos3",'Shooter-Squad Assignment'!$Z:$Z,0)),""),"")))</f>
        <v/>
      </c>
      <c r="L1022" s="88" t="str">
        <f>IF(ISBLANK(K1022),"",IFERROR(INDEX('Tournament List'!$D:$D,MATCH(K1022,'Tournament List'!$A:$A,0)),""))</f>
        <v/>
      </c>
      <c r="M1022" s="96" t="str">
        <f>IF(F1022="Skeet",IFERROR(INDEX('Shooter-Squad Assignment'!$A:$A,MATCH(C1022&amp;"-"&amp;E1022&amp;"-"&amp;F1022&amp;"-Pos4",'Shooter-Squad Assignment'!$K:$K,0)),""),IF(F1022="Trap",IFERROR(INDEX('Shooter-Squad Assignment'!$A:$A,MATCH(C1022&amp;"-"&amp;E1022&amp;"-"&amp;F1022&amp;"-Pos4",'Shooter-Squad Assignment'!$W:$W,0)),""),IF(F1022="Sporting Clays",IFERROR(INDEX('Shooter-Squad Assignment'!$A:$A,MATCH(C1022&amp;"-"&amp;E1022&amp;"-"&amp;F1022&amp;"-Pos4",'Shooter-Squad Assignment'!$Z:$Z,0)),""),"")))</f>
        <v/>
      </c>
      <c r="N1022" s="88" t="str">
        <f>IF(ISBLANK(M1022),"",IFERROR(INDEX('Tournament List'!$D:$D,MATCH(M1022,'Tournament List'!$A:$A,0)),""))</f>
        <v/>
      </c>
      <c r="O1022" s="96" t="str">
        <f>IF(F1022="Skeet",IFERROR(INDEX('Shooter-Squad Assignment'!$A:$A,MATCH(C1022&amp;"-"&amp;E1022&amp;"-"&amp;F1022&amp;"-Pos5",'Shooter-Squad Assignment'!$K:$K,0)),""),IF(F1022="Trap",IFERROR(INDEX('Shooter-Squad Assignment'!$A:$A,MATCH(C1022&amp;"-"&amp;E1022&amp;"-"&amp;F1022&amp;"-Pos5",'Shooter-Squad Assignment'!$W:$W,0)),""),IF(F1022="Sporting Clays",IFERROR(INDEX('Shooter-Squad Assignment'!$A:$A,MATCH(C1022&amp;"-"&amp;E1022&amp;"-"&amp;F1022&amp;"-Pos5",'Shooter-Squad Assignment'!$Z:$Z,0)),""),"")))</f>
        <v/>
      </c>
      <c r="P1022" s="89" t="str">
        <f>IF(ISBLANK(O1022),"",IFERROR(INDEX('Tournament List'!$D:$D,MATCH(O1022,'Tournament List'!$A:$A,0)),""))</f>
        <v/>
      </c>
    </row>
    <row r="1023" spans="1:16" x14ac:dyDescent="0.3">
      <c r="A1023" s="87">
        <v>1022</v>
      </c>
      <c r="B1023" s="88" t="str">
        <f>C1023&amp;"-"&amp;E1023&amp;"-"&amp;F1023</f>
        <v>-Open 3-Trap</v>
      </c>
      <c r="C1023" s="88"/>
      <c r="D1023" s="88" t="str">
        <f>INDEX('Tournament Setup'!$B$59:$B$78,MATCH(E1023,SquadConcurrents,0))</f>
        <v>Open</v>
      </c>
      <c r="E1023" s="88" t="s">
        <v>353</v>
      </c>
      <c r="F1023" s="88" t="s">
        <v>147</v>
      </c>
      <c r="G1023" s="96" t="str">
        <f>IF(F1023="Skeet",IFERROR(INDEX('Shooter-Squad Assignment'!$A:$A,MATCH(C1023&amp;"-"&amp;E1023&amp;"-"&amp;F1023&amp;"-Pos1",'Shooter-Squad Assignment'!$K:$K,0)),""),IF(F1023="Trap",IFERROR(INDEX('Shooter-Squad Assignment'!$A:$A,MATCH(C1023&amp;"-"&amp;E1023&amp;"-"&amp;F1023&amp;"-Pos1",'Shooter-Squad Assignment'!$W:$W,0)),""),IF(F1023="Sporting Clays",IFERROR(INDEX('Shooter-Squad Assignment'!$A:$A,MATCH(C1023&amp;"-"&amp;E1023&amp;"-"&amp;F1023&amp;"-Pos1",'Shooter-Squad Assignment'!$Z:$Z,0)),""),"")))</f>
        <v/>
      </c>
      <c r="H1023" s="88" t="str">
        <f>IF(ISBLANK(G1023),"",IFERROR(INDEX('Tournament List'!$D:$D,MATCH(G1023,'Tournament List'!$A:$A,0)),""))</f>
        <v/>
      </c>
      <c r="I1023" s="96" t="str">
        <f>IF(F1023="Skeet",IFERROR(INDEX('Shooter-Squad Assignment'!$A:$A,MATCH(C1023&amp;"-"&amp;E1023&amp;"-"&amp;F1023&amp;"-Pos2",'Shooter-Squad Assignment'!$K:$K,0)),""),IF(F1023="Trap",IFERROR(INDEX('Shooter-Squad Assignment'!$A:$A,MATCH(C1023&amp;"-"&amp;E1023&amp;"-"&amp;F1023&amp;"-Pos2",'Shooter-Squad Assignment'!$W:$W,0)),""),IF(F1023="Sporting Clays",IFERROR(INDEX('Shooter-Squad Assignment'!$A:$A,MATCH(C1023&amp;"-"&amp;E1023&amp;"-"&amp;F1023&amp;"-Pos2",'Shooter-Squad Assignment'!$Z:$Z,0)),""),"")))</f>
        <v/>
      </c>
      <c r="J1023" s="88" t="str">
        <f>IF(ISBLANK(I1023),"",IFERROR(INDEX('Tournament List'!$D:$D,MATCH(I1023,'Tournament List'!$A:$A,0)),""))</f>
        <v/>
      </c>
      <c r="K1023" s="96" t="str">
        <f>IF(F1023="Skeet",IFERROR(INDEX('Shooter-Squad Assignment'!$A:$A,MATCH(C1023&amp;"-"&amp;E1023&amp;"-"&amp;F1023&amp;"-Pos3",'Shooter-Squad Assignment'!$K:$K,0)),""),IF(F1023="Trap",IFERROR(INDEX('Shooter-Squad Assignment'!$A:$A,MATCH(C1023&amp;"-"&amp;E1023&amp;"-"&amp;F1023&amp;"-Pos3",'Shooter-Squad Assignment'!$W:$W,0)),""),IF(F1023="Sporting Clays",IFERROR(INDEX('Shooter-Squad Assignment'!$A:$A,MATCH(C1023&amp;"-"&amp;E1023&amp;"-"&amp;F1023&amp;"-Pos3",'Shooter-Squad Assignment'!$Z:$Z,0)),""),"")))</f>
        <v/>
      </c>
      <c r="L1023" s="88" t="str">
        <f>IF(ISBLANK(K1023),"",IFERROR(INDEX('Tournament List'!$D:$D,MATCH(K1023,'Tournament List'!$A:$A,0)),""))</f>
        <v/>
      </c>
      <c r="M1023" s="96" t="str">
        <f>IF(F1023="Skeet",IFERROR(INDEX('Shooter-Squad Assignment'!$A:$A,MATCH(C1023&amp;"-"&amp;E1023&amp;"-"&amp;F1023&amp;"-Pos4",'Shooter-Squad Assignment'!$K:$K,0)),""),IF(F1023="Trap",IFERROR(INDEX('Shooter-Squad Assignment'!$A:$A,MATCH(C1023&amp;"-"&amp;E1023&amp;"-"&amp;F1023&amp;"-Pos4",'Shooter-Squad Assignment'!$W:$W,0)),""),IF(F1023="Sporting Clays",IFERROR(INDEX('Shooter-Squad Assignment'!$A:$A,MATCH(C1023&amp;"-"&amp;E1023&amp;"-"&amp;F1023&amp;"-Pos4",'Shooter-Squad Assignment'!$Z:$Z,0)),""),"")))</f>
        <v/>
      </c>
      <c r="N1023" s="88" t="str">
        <f>IF(ISBLANK(M1023),"",IFERROR(INDEX('Tournament List'!$D:$D,MATCH(M1023,'Tournament List'!$A:$A,0)),""))</f>
        <v/>
      </c>
      <c r="O1023" s="96" t="str">
        <f>IF(F1023="Skeet",IFERROR(INDEX('Shooter-Squad Assignment'!$A:$A,MATCH(C1023&amp;"-"&amp;E1023&amp;"-"&amp;F1023&amp;"-Pos5",'Shooter-Squad Assignment'!$K:$K,0)),""),IF(F1023="Trap",IFERROR(INDEX('Shooter-Squad Assignment'!$A:$A,MATCH(C1023&amp;"-"&amp;E1023&amp;"-"&amp;F1023&amp;"-Pos5",'Shooter-Squad Assignment'!$W:$W,0)),""),IF(F1023="Sporting Clays",IFERROR(INDEX('Shooter-Squad Assignment'!$A:$A,MATCH(C1023&amp;"-"&amp;E1023&amp;"-"&amp;F1023&amp;"-Pos5",'Shooter-Squad Assignment'!$Z:$Z,0)),""),"")))</f>
        <v/>
      </c>
      <c r="P1023" s="89" t="str">
        <f>IF(ISBLANK(O1023),"",IFERROR(INDEX('Tournament List'!$D:$D,MATCH(O1023,'Tournament List'!$A:$A,0)),""))</f>
        <v/>
      </c>
    </row>
    <row r="1024" spans="1:16" x14ac:dyDescent="0.3">
      <c r="A1024" s="87">
        <v>1023</v>
      </c>
      <c r="B1024" s="88" t="str">
        <f>C1024&amp;"-"&amp;E1024&amp;"-"&amp;F1024</f>
        <v>-Unassigned 1-Trap</v>
      </c>
      <c r="C1024" s="88"/>
      <c r="D1024" s="88" t="str">
        <f>INDEX('Tournament Setup'!$B$59:$B$78,MATCH(E1024,SquadConcurrents,0))</f>
        <v>Unassigned</v>
      </c>
      <c r="E1024" s="88" t="s">
        <v>762</v>
      </c>
      <c r="F1024" s="88" t="s">
        <v>147</v>
      </c>
      <c r="G1024" s="96" t="str">
        <f>IF(F1024="Skeet",IFERROR(INDEX('Shooter-Squad Assignment'!$A:$A,MATCH(C1024&amp;"-"&amp;E1024&amp;"-"&amp;F1024&amp;"-Pos1",'Shooter-Squad Assignment'!$K:$K,0)),""),IF(F1024="Trap",IFERROR(INDEX('Shooter-Squad Assignment'!$A:$A,MATCH(C1024&amp;"-"&amp;E1024&amp;"-"&amp;F1024&amp;"-Pos1",'Shooter-Squad Assignment'!$W:$W,0)),""),IF(F1024="Sporting Clays",IFERROR(INDEX('Shooter-Squad Assignment'!$A:$A,MATCH(C1024&amp;"-"&amp;E1024&amp;"-"&amp;F1024&amp;"-Pos1",'Shooter-Squad Assignment'!$Z:$Z,0)),""),"")))</f>
        <v/>
      </c>
      <c r="H1024" s="88" t="str">
        <f>IF(ISBLANK(G1024),"",IFERROR(INDEX('Tournament List'!$D:$D,MATCH(G1024,'Tournament List'!$A:$A,0)),""))</f>
        <v/>
      </c>
      <c r="I1024" s="96" t="str">
        <f>IF(F1024="Skeet",IFERROR(INDEX('Shooter-Squad Assignment'!$A:$A,MATCH(C1024&amp;"-"&amp;E1024&amp;"-"&amp;F1024&amp;"-Pos2",'Shooter-Squad Assignment'!$K:$K,0)),""),IF(F1024="Trap",IFERROR(INDEX('Shooter-Squad Assignment'!$A:$A,MATCH(C1024&amp;"-"&amp;E1024&amp;"-"&amp;F1024&amp;"-Pos2",'Shooter-Squad Assignment'!$W:$W,0)),""),IF(F1024="Sporting Clays",IFERROR(INDEX('Shooter-Squad Assignment'!$A:$A,MATCH(C1024&amp;"-"&amp;E1024&amp;"-"&amp;F1024&amp;"-Pos2",'Shooter-Squad Assignment'!$Z:$Z,0)),""),"")))</f>
        <v/>
      </c>
      <c r="J1024" s="88" t="str">
        <f>IF(ISBLANK(I1024),"",IFERROR(INDEX('Tournament List'!$D:$D,MATCH(I1024,'Tournament List'!$A:$A,0)),""))</f>
        <v/>
      </c>
      <c r="K1024" s="96" t="str">
        <f>IF(F1024="Skeet",IFERROR(INDEX('Shooter-Squad Assignment'!$A:$A,MATCH(C1024&amp;"-"&amp;E1024&amp;"-"&amp;F1024&amp;"-Pos3",'Shooter-Squad Assignment'!$K:$K,0)),""),IF(F1024="Trap",IFERROR(INDEX('Shooter-Squad Assignment'!$A:$A,MATCH(C1024&amp;"-"&amp;E1024&amp;"-"&amp;F1024&amp;"-Pos3",'Shooter-Squad Assignment'!$W:$W,0)),""),IF(F1024="Sporting Clays",IFERROR(INDEX('Shooter-Squad Assignment'!$A:$A,MATCH(C1024&amp;"-"&amp;E1024&amp;"-"&amp;F1024&amp;"-Pos3",'Shooter-Squad Assignment'!$Z:$Z,0)),""),"")))</f>
        <v/>
      </c>
      <c r="L1024" s="88" t="str">
        <f>IF(ISBLANK(K1024),"",IFERROR(INDEX('Tournament List'!$D:$D,MATCH(K1024,'Tournament List'!$A:$A,0)),""))</f>
        <v/>
      </c>
      <c r="M1024" s="96" t="str">
        <f>IF(F1024="Skeet",IFERROR(INDEX('Shooter-Squad Assignment'!$A:$A,MATCH(C1024&amp;"-"&amp;E1024&amp;"-"&amp;F1024&amp;"-Pos4",'Shooter-Squad Assignment'!$K:$K,0)),""),IF(F1024="Trap",IFERROR(INDEX('Shooter-Squad Assignment'!$A:$A,MATCH(C1024&amp;"-"&amp;E1024&amp;"-"&amp;F1024&amp;"-Pos4",'Shooter-Squad Assignment'!$W:$W,0)),""),IF(F1024="Sporting Clays",IFERROR(INDEX('Shooter-Squad Assignment'!$A:$A,MATCH(C1024&amp;"-"&amp;E1024&amp;"-"&amp;F1024&amp;"-Pos4",'Shooter-Squad Assignment'!$Z:$Z,0)),""),"")))</f>
        <v/>
      </c>
      <c r="N1024" s="88" t="str">
        <f>IF(ISBLANK(M1024),"",IFERROR(INDEX('Tournament List'!$D:$D,MATCH(M1024,'Tournament List'!$A:$A,0)),""))</f>
        <v/>
      </c>
      <c r="O1024" s="96" t="str">
        <f>IF(F1024="Skeet",IFERROR(INDEX('Shooter-Squad Assignment'!$A:$A,MATCH(C1024&amp;"-"&amp;E1024&amp;"-"&amp;F1024&amp;"-Pos5",'Shooter-Squad Assignment'!$K:$K,0)),""),IF(F1024="Trap",IFERROR(INDEX('Shooter-Squad Assignment'!$A:$A,MATCH(C1024&amp;"-"&amp;E1024&amp;"-"&amp;F1024&amp;"-Pos5",'Shooter-Squad Assignment'!$W:$W,0)),""),IF(F1024="Sporting Clays",IFERROR(INDEX('Shooter-Squad Assignment'!$A:$A,MATCH(C1024&amp;"-"&amp;E1024&amp;"-"&amp;F1024&amp;"-Pos5",'Shooter-Squad Assignment'!$Z:$Z,0)),""),"")))</f>
        <v/>
      </c>
      <c r="P1024" s="89" t="str">
        <f>IF(ISBLANK(O1024),"",IFERROR(INDEX('Tournament List'!$D:$D,MATCH(O1024,'Tournament List'!$A:$A,0)),""))</f>
        <v/>
      </c>
    </row>
    <row r="1025" spans="1:16" x14ac:dyDescent="0.3">
      <c r="A1025" s="87">
        <v>1024</v>
      </c>
      <c r="B1025" s="88" t="str">
        <f>C1025&amp;"-"&amp;E1025&amp;"-"&amp;F1025</f>
        <v>-Varsity 1-Trap</v>
      </c>
      <c r="C1025" s="88"/>
      <c r="D1025" s="88" t="str">
        <f>INDEX('Tournament Setup'!$B$59:$B$78,MATCH(E1025,SquadConcurrents,0))</f>
        <v>Varsity</v>
      </c>
      <c r="E1025" s="88" t="s">
        <v>340</v>
      </c>
      <c r="F1025" s="88" t="s">
        <v>147</v>
      </c>
      <c r="G1025" s="96" t="str">
        <f>IF(F1025="Skeet",IFERROR(INDEX('Shooter-Squad Assignment'!$A:$A,MATCH(C1025&amp;"-"&amp;E1025&amp;"-"&amp;F1025&amp;"-Pos1",'Shooter-Squad Assignment'!$K:$K,0)),""),IF(F1025="Trap",IFERROR(INDEX('Shooter-Squad Assignment'!$A:$A,MATCH(C1025&amp;"-"&amp;E1025&amp;"-"&amp;F1025&amp;"-Pos1",'Shooter-Squad Assignment'!$W:$W,0)),""),IF(F1025="Sporting Clays",IFERROR(INDEX('Shooter-Squad Assignment'!$A:$A,MATCH(C1025&amp;"-"&amp;E1025&amp;"-"&amp;F1025&amp;"-Pos1",'Shooter-Squad Assignment'!$Z:$Z,0)),""),"")))</f>
        <v/>
      </c>
      <c r="H1025" s="88" t="str">
        <f>IF(ISBLANK(G1025),"",IFERROR(INDEX('Tournament List'!$D:$D,MATCH(G1025,'Tournament List'!$A:$A,0)),""))</f>
        <v/>
      </c>
      <c r="I1025" s="96" t="str">
        <f>IF(F1025="Skeet",IFERROR(INDEX('Shooter-Squad Assignment'!$A:$A,MATCH(C1025&amp;"-"&amp;E1025&amp;"-"&amp;F1025&amp;"-Pos2",'Shooter-Squad Assignment'!$K:$K,0)),""),IF(F1025="Trap",IFERROR(INDEX('Shooter-Squad Assignment'!$A:$A,MATCH(C1025&amp;"-"&amp;E1025&amp;"-"&amp;F1025&amp;"-Pos2",'Shooter-Squad Assignment'!$W:$W,0)),""),IF(F1025="Sporting Clays",IFERROR(INDEX('Shooter-Squad Assignment'!$A:$A,MATCH(C1025&amp;"-"&amp;E1025&amp;"-"&amp;F1025&amp;"-Pos2",'Shooter-Squad Assignment'!$Z:$Z,0)),""),"")))</f>
        <v/>
      </c>
      <c r="J1025" s="88" t="str">
        <f>IF(ISBLANK(I1025),"",IFERROR(INDEX('Tournament List'!$D:$D,MATCH(I1025,'Tournament List'!$A:$A,0)),""))</f>
        <v/>
      </c>
      <c r="K1025" s="96" t="str">
        <f>IF(F1025="Skeet",IFERROR(INDEX('Shooter-Squad Assignment'!$A:$A,MATCH(C1025&amp;"-"&amp;E1025&amp;"-"&amp;F1025&amp;"-Pos3",'Shooter-Squad Assignment'!$K:$K,0)),""),IF(F1025="Trap",IFERROR(INDEX('Shooter-Squad Assignment'!$A:$A,MATCH(C1025&amp;"-"&amp;E1025&amp;"-"&amp;F1025&amp;"-Pos3",'Shooter-Squad Assignment'!$W:$W,0)),""),IF(F1025="Sporting Clays",IFERROR(INDEX('Shooter-Squad Assignment'!$A:$A,MATCH(C1025&amp;"-"&amp;E1025&amp;"-"&amp;F1025&amp;"-Pos3",'Shooter-Squad Assignment'!$Z:$Z,0)),""),"")))</f>
        <v/>
      </c>
      <c r="L1025" s="88" t="str">
        <f>IF(ISBLANK(K1025),"",IFERROR(INDEX('Tournament List'!$D:$D,MATCH(K1025,'Tournament List'!$A:$A,0)),""))</f>
        <v/>
      </c>
      <c r="M1025" s="96" t="str">
        <f>IF(F1025="Skeet",IFERROR(INDEX('Shooter-Squad Assignment'!$A:$A,MATCH(C1025&amp;"-"&amp;E1025&amp;"-"&amp;F1025&amp;"-Pos4",'Shooter-Squad Assignment'!$K:$K,0)),""),IF(F1025="Trap",IFERROR(INDEX('Shooter-Squad Assignment'!$A:$A,MATCH(C1025&amp;"-"&amp;E1025&amp;"-"&amp;F1025&amp;"-Pos4",'Shooter-Squad Assignment'!$W:$W,0)),""),IF(F1025="Sporting Clays",IFERROR(INDEX('Shooter-Squad Assignment'!$A:$A,MATCH(C1025&amp;"-"&amp;E1025&amp;"-"&amp;F1025&amp;"-Pos4",'Shooter-Squad Assignment'!$Z:$Z,0)),""),"")))</f>
        <v/>
      </c>
      <c r="N1025" s="88" t="str">
        <f>IF(ISBLANK(M1025),"",IFERROR(INDEX('Tournament List'!$D:$D,MATCH(M1025,'Tournament List'!$A:$A,0)),""))</f>
        <v/>
      </c>
      <c r="O1025" s="96" t="str">
        <f>IF(F1025="Skeet",IFERROR(INDEX('Shooter-Squad Assignment'!$A:$A,MATCH(C1025&amp;"-"&amp;E1025&amp;"-"&amp;F1025&amp;"-Pos5",'Shooter-Squad Assignment'!$K:$K,0)),""),IF(F1025="Trap",IFERROR(INDEX('Shooter-Squad Assignment'!$A:$A,MATCH(C1025&amp;"-"&amp;E1025&amp;"-"&amp;F1025&amp;"-Pos5",'Shooter-Squad Assignment'!$W:$W,0)),""),IF(F1025="Sporting Clays",IFERROR(INDEX('Shooter-Squad Assignment'!$A:$A,MATCH(C1025&amp;"-"&amp;E1025&amp;"-"&amp;F1025&amp;"-Pos5",'Shooter-Squad Assignment'!$Z:$Z,0)),""),"")))</f>
        <v/>
      </c>
      <c r="P1025" s="89" t="str">
        <f>IF(ISBLANK(O1025),"",IFERROR(INDEX('Tournament List'!$D:$D,MATCH(O1025,'Tournament List'!$A:$A,0)),""))</f>
        <v/>
      </c>
    </row>
    <row r="1026" spans="1:16" x14ac:dyDescent="0.3">
      <c r="A1026" s="87">
        <v>1025</v>
      </c>
      <c r="B1026" s="88" t="str">
        <f>C1026&amp;"-"&amp;E1026&amp;"-"&amp;F1026</f>
        <v>-Varsity 2-Trap</v>
      </c>
      <c r="C1026" s="88"/>
      <c r="D1026" s="88" t="str">
        <f>INDEX('Tournament Setup'!$B$59:$B$78,MATCH(E1026,SquadConcurrents,0))</f>
        <v>Varsity</v>
      </c>
      <c r="E1026" s="88" t="s">
        <v>346</v>
      </c>
      <c r="F1026" s="88" t="s">
        <v>147</v>
      </c>
      <c r="G1026" s="96" t="str">
        <f>IF(F1026="Skeet",IFERROR(INDEX('Shooter-Squad Assignment'!$A:$A,MATCH(C1026&amp;"-"&amp;E1026&amp;"-"&amp;F1026&amp;"-Pos1",'Shooter-Squad Assignment'!$K:$K,0)),""),IF(F1026="Trap",IFERROR(INDEX('Shooter-Squad Assignment'!$A:$A,MATCH(C1026&amp;"-"&amp;E1026&amp;"-"&amp;F1026&amp;"-Pos1",'Shooter-Squad Assignment'!$W:$W,0)),""),IF(F1026="Sporting Clays",IFERROR(INDEX('Shooter-Squad Assignment'!$A:$A,MATCH(C1026&amp;"-"&amp;E1026&amp;"-"&amp;F1026&amp;"-Pos1",'Shooter-Squad Assignment'!$Z:$Z,0)),""),"")))</f>
        <v/>
      </c>
      <c r="H1026" s="88" t="str">
        <f>IF(ISBLANK(G1026),"",IFERROR(INDEX('Tournament List'!$D:$D,MATCH(G1026,'Tournament List'!$A:$A,0)),""))</f>
        <v/>
      </c>
      <c r="I1026" s="96" t="str">
        <f>IF(F1026="Skeet",IFERROR(INDEX('Shooter-Squad Assignment'!$A:$A,MATCH(C1026&amp;"-"&amp;E1026&amp;"-"&amp;F1026&amp;"-Pos2",'Shooter-Squad Assignment'!$K:$K,0)),""),IF(F1026="Trap",IFERROR(INDEX('Shooter-Squad Assignment'!$A:$A,MATCH(C1026&amp;"-"&amp;E1026&amp;"-"&amp;F1026&amp;"-Pos2",'Shooter-Squad Assignment'!$W:$W,0)),""),IF(F1026="Sporting Clays",IFERROR(INDEX('Shooter-Squad Assignment'!$A:$A,MATCH(C1026&amp;"-"&amp;E1026&amp;"-"&amp;F1026&amp;"-Pos2",'Shooter-Squad Assignment'!$Z:$Z,0)),""),"")))</f>
        <v/>
      </c>
      <c r="J1026" s="88" t="str">
        <f>IF(ISBLANK(I1026),"",IFERROR(INDEX('Tournament List'!$D:$D,MATCH(I1026,'Tournament List'!$A:$A,0)),""))</f>
        <v/>
      </c>
      <c r="K1026" s="96" t="str">
        <f>IF(F1026="Skeet",IFERROR(INDEX('Shooter-Squad Assignment'!$A:$A,MATCH(C1026&amp;"-"&amp;E1026&amp;"-"&amp;F1026&amp;"-Pos3",'Shooter-Squad Assignment'!$K:$K,0)),""),IF(F1026="Trap",IFERROR(INDEX('Shooter-Squad Assignment'!$A:$A,MATCH(C1026&amp;"-"&amp;E1026&amp;"-"&amp;F1026&amp;"-Pos3",'Shooter-Squad Assignment'!$W:$W,0)),""),IF(F1026="Sporting Clays",IFERROR(INDEX('Shooter-Squad Assignment'!$A:$A,MATCH(C1026&amp;"-"&amp;E1026&amp;"-"&amp;F1026&amp;"-Pos3",'Shooter-Squad Assignment'!$Z:$Z,0)),""),"")))</f>
        <v/>
      </c>
      <c r="L1026" s="88" t="str">
        <f>IF(ISBLANK(K1026),"",IFERROR(INDEX('Tournament List'!$D:$D,MATCH(K1026,'Tournament List'!$A:$A,0)),""))</f>
        <v/>
      </c>
      <c r="M1026" s="96" t="str">
        <f>IF(F1026="Skeet",IFERROR(INDEX('Shooter-Squad Assignment'!$A:$A,MATCH(C1026&amp;"-"&amp;E1026&amp;"-"&amp;F1026&amp;"-Pos4",'Shooter-Squad Assignment'!$K:$K,0)),""),IF(F1026="Trap",IFERROR(INDEX('Shooter-Squad Assignment'!$A:$A,MATCH(C1026&amp;"-"&amp;E1026&amp;"-"&amp;F1026&amp;"-Pos4",'Shooter-Squad Assignment'!$W:$W,0)),""),IF(F1026="Sporting Clays",IFERROR(INDEX('Shooter-Squad Assignment'!$A:$A,MATCH(C1026&amp;"-"&amp;E1026&amp;"-"&amp;F1026&amp;"-Pos4",'Shooter-Squad Assignment'!$Z:$Z,0)),""),"")))</f>
        <v/>
      </c>
      <c r="N1026" s="88" t="str">
        <f>IF(ISBLANK(M1026),"",IFERROR(INDEX('Tournament List'!$D:$D,MATCH(M1026,'Tournament List'!$A:$A,0)),""))</f>
        <v/>
      </c>
      <c r="O1026" s="96" t="str">
        <f>IF(F1026="Skeet",IFERROR(INDEX('Shooter-Squad Assignment'!$A:$A,MATCH(C1026&amp;"-"&amp;E1026&amp;"-"&amp;F1026&amp;"-Pos5",'Shooter-Squad Assignment'!$K:$K,0)),""),IF(F1026="Trap",IFERROR(INDEX('Shooter-Squad Assignment'!$A:$A,MATCH(C1026&amp;"-"&amp;E1026&amp;"-"&amp;F1026&amp;"-Pos5",'Shooter-Squad Assignment'!$W:$W,0)),""),IF(F1026="Sporting Clays",IFERROR(INDEX('Shooter-Squad Assignment'!$A:$A,MATCH(C1026&amp;"-"&amp;E1026&amp;"-"&amp;F1026&amp;"-Pos5",'Shooter-Squad Assignment'!$Z:$Z,0)),""),"")))</f>
        <v/>
      </c>
      <c r="P1026" s="89" t="str">
        <f>IF(ISBLANK(O1026),"",IFERROR(INDEX('Tournament List'!$D:$D,MATCH(O1026,'Tournament List'!$A:$A,0)),""))</f>
        <v/>
      </c>
    </row>
    <row r="1027" spans="1:16" ht="15" thickBot="1" x14ac:dyDescent="0.35">
      <c r="A1027" s="90">
        <v>1026</v>
      </c>
      <c r="B1027" s="91" t="str">
        <f>C1027&amp;"-"&amp;E1027&amp;"-"&amp;F1027</f>
        <v>-Varsity 3-Trap</v>
      </c>
      <c r="C1027" s="91"/>
      <c r="D1027" s="91" t="str">
        <f>INDEX('Tournament Setup'!$B$59:$B$78,MATCH(E1027,SquadConcurrents,0))</f>
        <v>Varsity</v>
      </c>
      <c r="E1027" s="91" t="s">
        <v>352</v>
      </c>
      <c r="F1027" s="91" t="s">
        <v>147</v>
      </c>
      <c r="G1027" s="97" t="str">
        <f>IF(F1027="Skeet",IFERROR(INDEX('Shooter-Squad Assignment'!$A:$A,MATCH(C1027&amp;"-"&amp;E1027&amp;"-"&amp;F1027&amp;"-Pos1",'Shooter-Squad Assignment'!$K:$K,0)),""),IF(F1027="Trap",IFERROR(INDEX('Shooter-Squad Assignment'!$A:$A,MATCH(C1027&amp;"-"&amp;E1027&amp;"-"&amp;F1027&amp;"-Pos1",'Shooter-Squad Assignment'!$W:$W,0)),""),IF(F1027="Sporting Clays",IFERROR(INDEX('Shooter-Squad Assignment'!$A:$A,MATCH(C1027&amp;"-"&amp;E1027&amp;"-"&amp;F1027&amp;"-Pos1",'Shooter-Squad Assignment'!$Z:$Z,0)),""),"")))</f>
        <v/>
      </c>
      <c r="H1027" s="91" t="str">
        <f>IF(ISBLANK(G1027),"",IFERROR(INDEX('Tournament List'!$D:$D,MATCH(G1027,'Tournament List'!$A:$A,0)),""))</f>
        <v/>
      </c>
      <c r="I1027" s="97" t="str">
        <f>IF(F1027="Skeet",IFERROR(INDEX('Shooter-Squad Assignment'!$A:$A,MATCH(C1027&amp;"-"&amp;E1027&amp;"-"&amp;F1027&amp;"-Pos2",'Shooter-Squad Assignment'!$K:$K,0)),""),IF(F1027="Trap",IFERROR(INDEX('Shooter-Squad Assignment'!$A:$A,MATCH(C1027&amp;"-"&amp;E1027&amp;"-"&amp;F1027&amp;"-Pos2",'Shooter-Squad Assignment'!$W:$W,0)),""),IF(F1027="Sporting Clays",IFERROR(INDEX('Shooter-Squad Assignment'!$A:$A,MATCH(C1027&amp;"-"&amp;E1027&amp;"-"&amp;F1027&amp;"-Pos2",'Shooter-Squad Assignment'!$Z:$Z,0)),""),"")))</f>
        <v/>
      </c>
      <c r="J1027" s="91" t="str">
        <f>IF(ISBLANK(I1027),"",IFERROR(INDEX('Tournament List'!$D:$D,MATCH(I1027,'Tournament List'!$A:$A,0)),""))</f>
        <v/>
      </c>
      <c r="K1027" s="97" t="str">
        <f>IF(F1027="Skeet",IFERROR(INDEX('Shooter-Squad Assignment'!$A:$A,MATCH(C1027&amp;"-"&amp;E1027&amp;"-"&amp;F1027&amp;"-Pos3",'Shooter-Squad Assignment'!$K:$K,0)),""),IF(F1027="Trap",IFERROR(INDEX('Shooter-Squad Assignment'!$A:$A,MATCH(C1027&amp;"-"&amp;E1027&amp;"-"&amp;F1027&amp;"-Pos3",'Shooter-Squad Assignment'!$W:$W,0)),""),IF(F1027="Sporting Clays",IFERROR(INDEX('Shooter-Squad Assignment'!$A:$A,MATCH(C1027&amp;"-"&amp;E1027&amp;"-"&amp;F1027&amp;"-Pos3",'Shooter-Squad Assignment'!$Z:$Z,0)),""),"")))</f>
        <v/>
      </c>
      <c r="L1027" s="91" t="str">
        <f>IF(ISBLANK(K1027),"",IFERROR(INDEX('Tournament List'!$D:$D,MATCH(K1027,'Tournament List'!$A:$A,0)),""))</f>
        <v/>
      </c>
      <c r="M1027" s="97" t="str">
        <f>IF(F1027="Skeet",IFERROR(INDEX('Shooter-Squad Assignment'!$A:$A,MATCH(C1027&amp;"-"&amp;E1027&amp;"-"&amp;F1027&amp;"-Pos4",'Shooter-Squad Assignment'!$K:$K,0)),""),IF(F1027="Trap",IFERROR(INDEX('Shooter-Squad Assignment'!$A:$A,MATCH(C1027&amp;"-"&amp;E1027&amp;"-"&amp;F1027&amp;"-Pos4",'Shooter-Squad Assignment'!$W:$W,0)),""),IF(F1027="Sporting Clays",IFERROR(INDEX('Shooter-Squad Assignment'!$A:$A,MATCH(C1027&amp;"-"&amp;E1027&amp;"-"&amp;F1027&amp;"-Pos4",'Shooter-Squad Assignment'!$Z:$Z,0)),""),"")))</f>
        <v/>
      </c>
      <c r="N1027" s="91" t="str">
        <f>IF(ISBLANK(M1027),"",IFERROR(INDEX('Tournament List'!$D:$D,MATCH(M1027,'Tournament List'!$A:$A,0)),""))</f>
        <v/>
      </c>
      <c r="O1027" s="97" t="str">
        <f>IF(F1027="Skeet",IFERROR(INDEX('Shooter-Squad Assignment'!$A:$A,MATCH(C1027&amp;"-"&amp;E1027&amp;"-"&amp;F1027&amp;"-Pos5",'Shooter-Squad Assignment'!$K:$K,0)),""),IF(F1027="Trap",IFERROR(INDEX('Shooter-Squad Assignment'!$A:$A,MATCH(C1027&amp;"-"&amp;E1027&amp;"-"&amp;F1027&amp;"-Pos5",'Shooter-Squad Assignment'!$W:$W,0)),""),IF(F1027="Sporting Clays",IFERROR(INDEX('Shooter-Squad Assignment'!$A:$A,MATCH(C1027&amp;"-"&amp;E1027&amp;"-"&amp;F1027&amp;"-Pos5",'Shooter-Squad Assignment'!$Z:$Z,0)),""),"")))</f>
        <v/>
      </c>
      <c r="P1027" s="92" t="str">
        <f>IF(ISBLANK(O1027),"",IFERROR(INDEX('Tournament List'!$D:$D,MATCH(O1027,'Tournament List'!$A:$A,0)),""))</f>
        <v/>
      </c>
    </row>
  </sheetData>
  <autoFilter ref="A1:P628" xr:uid="{2B4FFA72-ABF2-45B3-A70A-8A81D28F5963}">
    <sortState xmlns:xlrd2="http://schemas.microsoft.com/office/spreadsheetml/2017/richdata2" ref="A2:P628">
      <sortCondition ref="C2:C628"/>
      <sortCondition ref="F2:F628"/>
      <sortCondition ref="D2:D628"/>
      <sortCondition ref="E2:E628"/>
    </sortState>
  </autoFilter>
  <sortState xmlns:xlrd2="http://schemas.microsoft.com/office/spreadsheetml/2017/richdata2" ref="E230:E286">
    <sortCondition ref="E230:E286"/>
  </sortState>
  <phoneticPr fontId="1" type="noConversion"/>
  <dataValidations count="3">
    <dataValidation type="list" allowBlank="1" showInputMessage="1" showErrorMessage="1" sqref="F515:F582 F268:F277 F250:F259 F242:F243 F2:F240 F287:F354 F382:F391 F364:F373 F478:F487 F356:F357 F470:F471 F401:F468 F496:F505 F610:F619 F592:F601 F584:F585 F629:F696 F724:F733 F706:F715 F698:F699 F743:F810 F838:F847 F820:F829 F812:F813 F857:F924 F952:F961 F934:F943 F926:F927 F971:F1027" xr:uid="{35455296-5A21-4A6F-8601-B05398C4AE6D}">
      <formula1>"Trap, Skeet, Sporting Clays"</formula1>
    </dataValidation>
    <dataValidation type="list" allowBlank="1" showInputMessage="1" showErrorMessage="1" sqref="F268:F277 F250:F259 F242:F243 F2:F240 F287:F354 F382:F391 F364:F373 F496:F505 F356:F357 F478:F487 F470:F471 F401:F468 F515:F582 F610:F619 F592:F601 F584:F585 F629:F696 F724:F733 F706:F715 F698:F699 F743:F810 F838:F847 F820:F829 F812:F813 F857:F924 F952:F961 F934:F943 F926:F927 F971:F1027" xr:uid="{3CD99858-EACF-4A36-9859-7677A87AA950}">
      <formula1>"Novice, Intermediate, Jr Varsity, Varsity, Collegiate, Open"</formula1>
    </dataValidation>
    <dataValidation type="list" allowBlank="1" showInputMessage="1" showErrorMessage="1" sqref="O2:O1027 M2:M1027 K2:K1027 I2:I1027 G2:G1027" xr:uid="{396D1822-98FF-4DAA-B2BD-74F8AC770E55}">
      <formula1>ShooterID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CE35D-90E1-47C4-BF75-38E4B7534667}">
  <dimension ref="A1:AL102"/>
  <sheetViews>
    <sheetView zoomScale="80" zoomScaleNormal="8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H16" sqref="H16"/>
    </sheetView>
  </sheetViews>
  <sheetFormatPr defaultRowHeight="14.4" x14ac:dyDescent="0.3"/>
  <cols>
    <col min="1" max="1" width="9.33203125" bestFit="1" customWidth="1"/>
    <col min="2" max="2" width="10.21875" bestFit="1" customWidth="1"/>
    <col min="3" max="3" width="10.44140625" bestFit="1" customWidth="1"/>
    <col min="4" max="4" width="11.88671875" bestFit="1" customWidth="1"/>
    <col min="5" max="8" width="11.88671875" customWidth="1"/>
    <col min="9" max="9" width="9.33203125" bestFit="1" customWidth="1"/>
    <col min="10" max="10" width="6.77734375" style="278" bestFit="1" customWidth="1"/>
    <col min="11" max="11" width="6" bestFit="1" customWidth="1"/>
    <col min="12" max="12" width="7.77734375" style="278" bestFit="1" customWidth="1"/>
    <col min="13" max="14" width="12.44140625" bestFit="1" customWidth="1"/>
    <col min="15" max="15" width="5.77734375" bestFit="1" customWidth="1"/>
    <col min="16" max="16" width="32.33203125" bestFit="1" customWidth="1"/>
    <col min="17" max="17" width="27.77734375" bestFit="1" customWidth="1"/>
    <col min="18" max="18" width="32.44140625" bestFit="1" customWidth="1"/>
    <col min="19" max="28" width="11.109375" customWidth="1"/>
    <col min="29" max="38" width="11.5546875" customWidth="1"/>
  </cols>
  <sheetData>
    <row r="1" spans="1:38" ht="52.2" customHeight="1" x14ac:dyDescent="0.3">
      <c r="A1" s="150" t="s">
        <v>455</v>
      </c>
      <c r="B1" s="150" t="s">
        <v>0</v>
      </c>
      <c r="C1" s="150" t="s">
        <v>2</v>
      </c>
      <c r="D1" s="150" t="s">
        <v>1</v>
      </c>
      <c r="E1" s="284" t="s">
        <v>933</v>
      </c>
      <c r="F1" s="284" t="s">
        <v>900</v>
      </c>
      <c r="G1" s="284" t="s">
        <v>934</v>
      </c>
      <c r="H1" s="284" t="s">
        <v>935</v>
      </c>
      <c r="I1" s="281" t="s">
        <v>908</v>
      </c>
      <c r="J1" s="285" t="s">
        <v>901</v>
      </c>
      <c r="K1" s="281" t="s">
        <v>909</v>
      </c>
      <c r="L1" s="285" t="s">
        <v>904</v>
      </c>
      <c r="M1" s="281" t="s">
        <v>459</v>
      </c>
      <c r="N1" s="281" t="s">
        <v>903</v>
      </c>
      <c r="O1" s="281" t="s">
        <v>450</v>
      </c>
      <c r="P1" s="281" t="s">
        <v>907</v>
      </c>
      <c r="Q1" s="281" t="s">
        <v>906</v>
      </c>
      <c r="R1" s="281" t="s">
        <v>905</v>
      </c>
      <c r="S1" s="282" t="s">
        <v>917</v>
      </c>
      <c r="T1" s="282" t="s">
        <v>918</v>
      </c>
      <c r="U1" s="282" t="s">
        <v>919</v>
      </c>
      <c r="V1" s="282" t="s">
        <v>920</v>
      </c>
      <c r="W1" s="282" t="s">
        <v>459</v>
      </c>
      <c r="X1" s="282" t="s">
        <v>921</v>
      </c>
      <c r="Y1" s="282" t="s">
        <v>451</v>
      </c>
      <c r="Z1" s="282" t="s">
        <v>922</v>
      </c>
      <c r="AA1" s="282" t="s">
        <v>923</v>
      </c>
      <c r="AB1" s="282" t="s">
        <v>924</v>
      </c>
      <c r="AC1" s="283" t="s">
        <v>925</v>
      </c>
      <c r="AD1" s="283" t="s">
        <v>926</v>
      </c>
      <c r="AE1" s="283" t="s">
        <v>927</v>
      </c>
      <c r="AF1" s="283" t="s">
        <v>928</v>
      </c>
      <c r="AG1" s="283" t="s">
        <v>459</v>
      </c>
      <c r="AH1" s="283" t="s">
        <v>929</v>
      </c>
      <c r="AI1" s="283" t="s">
        <v>452</v>
      </c>
      <c r="AJ1" s="283" t="s">
        <v>930</v>
      </c>
      <c r="AK1" s="283" t="s">
        <v>931</v>
      </c>
      <c r="AL1" s="283" t="s">
        <v>932</v>
      </c>
    </row>
    <row r="2" spans="1:38" x14ac:dyDescent="0.3">
      <c r="A2" s="275">
        <f>IF(B2&lt;&gt;"",'Tournament Setup'!$B$1,"")</f>
        <v>45677</v>
      </c>
      <c r="B2" t="str">
        <f>IF('Tournament List'!A3&lt;&gt;"",'Tournament List'!A3,"")</f>
        <v>24-1000</v>
      </c>
      <c r="C2" t="str">
        <f>IFERROR(INDEX('Tournament List'!B:B,MATCH($B2,'Tournament List'!$A:$A,0)),"")</f>
        <v>Jason</v>
      </c>
      <c r="D2" t="str">
        <f>IFERROR(INDEX('Tournament List'!C:C,MATCH($B2,'Tournament List'!$A:$A,0)),"")</f>
        <v>Last Name1</v>
      </c>
      <c r="I2">
        <f>IFERROR(INDEX('Skeet Ind Concurrent Ranking'!M:M,MATCH($B2,'Skeet Ind Concurrent Ranking'!$A:$A,0)),"")</f>
        <v>13</v>
      </c>
      <c r="J2" s="278">
        <f>IFERROR(INDEX('Tournament List'!AG:AG,MATCH($B2,'Tournament List'!$A:$A,0)),"")</f>
        <v>85</v>
      </c>
      <c r="K2">
        <f>IFERROR(IF(INDEX('Tournament List'!AA:AA,MATCH($B2,'Tournament List'!$A:$A,0))&gt;0,INDEX('Tournament List'!AA:AA,MATCH($B2,'Tournament List'!$A:$A,0)),""),"")</f>
        <v>7</v>
      </c>
      <c r="L2" s="278" t="str">
        <f>IFERROR(IF(INDEX('Tournament List'!Z:Z,MATCH($B2,'Tournament List'!$A:$A,0))&gt;0,INDEX('Tournament List'!Z:Z,MATCH($B2,'Tournament List'!$A:$A,0)),""),"")</f>
        <v/>
      </c>
      <c r="M2" t="str">
        <f>IFERROR(INDEX('Tournament List'!M:M,MATCH($B2,'Tournament List'!$A:$A,0)),"")</f>
        <v>Novice</v>
      </c>
      <c r="N2" t="str">
        <f>IFERROR(INDEX('Tournament List'!W:W,MATCH($B2,'Tournament List'!$A:$A,0)),"")</f>
        <v/>
      </c>
      <c r="O2" s="1" t="str">
        <f>IFERROR(INDEX('Tournament List'!AD:AD,MATCH($B2,'Tournament List'!$A:$A,0)),"")</f>
        <v>D</v>
      </c>
      <c r="P2" t="str">
        <f>IFERROR(INDEX('Tournament List'!AM:AM,MATCH($B2,'Tournament List'!$A:$A,0)),"")</f>
        <v>Novice Skeet Champion</v>
      </c>
      <c r="Q2" t="str">
        <f>IFERROR(INDEX('Tournament List'!AN:AN,MATCH($B2,'Tournament List'!$A:$A,0)),"")</f>
        <v>D Class Skeet Champion</v>
      </c>
      <c r="R2" t="str">
        <f>IFERROR(INDEX('Tournament List'!AO:AO,MATCH($B2,'Tournament List'!$A:$A,0)),"")</f>
        <v/>
      </c>
    </row>
    <row r="3" spans="1:38" x14ac:dyDescent="0.3">
      <c r="A3" s="275">
        <f>IF(B3&lt;&gt;"",'Tournament Setup'!$B$1,"")</f>
        <v>45677</v>
      </c>
      <c r="B3" t="str">
        <f>IF('Tournament List'!A4&lt;&gt;"",'Tournament List'!A4,"")</f>
        <v>24-1001</v>
      </c>
      <c r="C3" t="str">
        <f>IFERROR(INDEX('Tournament List'!B:B,MATCH($B3,'Tournament List'!$A:$A,0)),"")</f>
        <v>John</v>
      </c>
      <c r="D3" t="str">
        <f>IFERROR(INDEX('Tournament List'!C:C,MATCH($B3,'Tournament List'!$A:$A,0)),"")</f>
        <v>Last Name2</v>
      </c>
      <c r="I3">
        <f>IFERROR(INDEX('Skeet Ind Concurrent Ranking'!M:M,MATCH($B3,'Skeet Ind Concurrent Ranking'!$A:$A,0)),"")</f>
        <v>32</v>
      </c>
      <c r="J3" s="278">
        <f>IFERROR(INDEX('Tournament List'!AG:AG,MATCH($B3,'Tournament List'!$A:$A,0)),"")</f>
        <v>63</v>
      </c>
      <c r="K3">
        <f>IFERROR(IF(INDEX('Tournament List'!AA:AA,MATCH($B3,'Tournament List'!$A:$A,0))&gt;0,INDEX('Tournament List'!AA:AA,MATCH($B3,'Tournament List'!$A:$A,0)),""),"")</f>
        <v>5</v>
      </c>
      <c r="L3" s="278" t="str">
        <f>IFERROR(IF(INDEX('Tournament List'!Z:Z,MATCH($B3,'Tournament List'!$A:$A,0))&gt;0,INDEX('Tournament List'!Z:Z,MATCH($B3,'Tournament List'!$A:$A,0)),""),"")</f>
        <v/>
      </c>
      <c r="M3" t="str">
        <f>IFERROR(INDEX('Tournament List'!M:M,MATCH($B3,'Tournament List'!$A:$A,0)),"")</f>
        <v>Junior Varsity</v>
      </c>
      <c r="N3" t="str">
        <f>IFERROR(INDEX('Tournament List'!W:W,MATCH($B3,'Tournament List'!$A:$A,0)),"")</f>
        <v/>
      </c>
      <c r="O3" s="1" t="str">
        <f>IFERROR(INDEX('Tournament List'!AD:AD,MATCH($B3,'Tournament List'!$A:$A,0)),"")</f>
        <v>B</v>
      </c>
      <c r="P3" t="str">
        <f>IFERROR(INDEX('Tournament List'!AM:AM,MATCH($B3,'Tournament List'!$A:$A,0)),"")</f>
        <v>Jr Varsity Men's Skeet Champion</v>
      </c>
      <c r="Q3" t="str">
        <f>IFERROR(INDEX('Tournament List'!AN:AN,MATCH($B3,'Tournament List'!$A:$A,0)),"")</f>
        <v/>
      </c>
      <c r="R3" t="str">
        <f>IFERROR(INDEX('Tournament List'!AO:AO,MATCH($B3,'Tournament List'!$A:$A,0)),"")</f>
        <v/>
      </c>
    </row>
    <row r="4" spans="1:38" x14ac:dyDescent="0.3">
      <c r="A4" s="275">
        <f>IF(B4&lt;&gt;"",'Tournament Setup'!$B$1,"")</f>
        <v>45677</v>
      </c>
      <c r="B4" t="str">
        <f>IF('Tournament List'!A5&lt;&gt;"",'Tournament List'!A5,"")</f>
        <v>24-1002</v>
      </c>
      <c r="C4" t="str">
        <f>IFERROR(INDEX('Tournament List'!B:B,MATCH($B4,'Tournament List'!$A:$A,0)),"")</f>
        <v>Cathy</v>
      </c>
      <c r="D4" t="str">
        <f>IFERROR(INDEX('Tournament List'!C:C,MATCH($B4,'Tournament List'!$A:$A,0)),"")</f>
        <v>Last Name3</v>
      </c>
      <c r="I4">
        <f>IFERROR(INDEX('Skeet Ind Concurrent Ranking'!M:M,MATCH($B4,'Skeet Ind Concurrent Ranking'!$A:$A,0)),"")</f>
        <v>3</v>
      </c>
      <c r="J4" s="278">
        <f>IFERROR(INDEX('Tournament List'!AG:AG,MATCH($B4,'Tournament List'!$A:$A,0)),"")</f>
        <v>96</v>
      </c>
      <c r="K4">
        <f>IFERROR(IF(INDEX('Tournament List'!AA:AA,MATCH($B4,'Tournament List'!$A:$A,0))&gt;0,INDEX('Tournament List'!AA:AA,MATCH($B4,'Tournament List'!$A:$A,0)),""),"")</f>
        <v>2</v>
      </c>
      <c r="L4" s="278" t="str">
        <f>IFERROR(IF(INDEX('Tournament List'!Z:Z,MATCH($B4,'Tournament List'!$A:$A,0))&gt;0,INDEX('Tournament List'!Z:Z,MATCH($B4,'Tournament List'!$A:$A,0)),""),"")</f>
        <v/>
      </c>
      <c r="M4" t="str">
        <f>IFERROR(INDEX('Tournament List'!M:M,MATCH($B4,'Tournament List'!$A:$A,0)),"")</f>
        <v>Novice</v>
      </c>
      <c r="N4" t="str">
        <f>IFERROR(INDEX('Tournament List'!W:W,MATCH($B4,'Tournament List'!$A:$A,0)),"")</f>
        <v/>
      </c>
      <c r="O4" s="1" t="str">
        <f>IFERROR(INDEX('Tournament List'!AD:AD,MATCH($B4,'Tournament List'!$A:$A,0)),"")</f>
        <v>B</v>
      </c>
      <c r="P4" t="str">
        <f>IFERROR(INDEX('Tournament List'!AM:AM,MATCH($B4,'Tournament List'!$A:$A,0)),"")</f>
        <v>HOA Skeet 3rd Place</v>
      </c>
      <c r="Q4" t="str">
        <f>IFERROR(INDEX('Tournament List'!AN:AN,MATCH($B4,'Tournament List'!$A:$A,0)),"")</f>
        <v>B Class Skeet Runner Up</v>
      </c>
      <c r="R4" t="str">
        <f>IFERROR(INDEX('Tournament List'!AO:AO,MATCH($B4,'Tournament List'!$A:$A,0)),"")</f>
        <v/>
      </c>
    </row>
    <row r="5" spans="1:38" x14ac:dyDescent="0.3">
      <c r="A5" s="275">
        <f>IF(B5&lt;&gt;"",'Tournament Setup'!$B$1,"")</f>
        <v>45677</v>
      </c>
      <c r="B5" t="str">
        <f>IF('Tournament List'!A6&lt;&gt;"",'Tournament List'!A6,"")</f>
        <v>24-1003</v>
      </c>
      <c r="C5" t="str">
        <f>IFERROR(INDEX('Tournament List'!B:B,MATCH($B5,'Tournament List'!$A:$A,0)),"")</f>
        <v>Susan</v>
      </c>
      <c r="D5" t="str">
        <f>IFERROR(INDEX('Tournament List'!C:C,MATCH($B5,'Tournament List'!$A:$A,0)),"")</f>
        <v>Last Name4</v>
      </c>
      <c r="I5">
        <f>IFERROR(INDEX('Skeet Ind Concurrent Ranking'!M:M,MATCH($B5,'Skeet Ind Concurrent Ranking'!$A:$A,0)),"")</f>
        <v>17</v>
      </c>
      <c r="J5" s="278">
        <f>IFERROR(INDEX('Tournament List'!AG:AG,MATCH($B5,'Tournament List'!$A:$A,0)),"")</f>
        <v>82</v>
      </c>
      <c r="K5" t="str">
        <f>IFERROR(IF(INDEX('Tournament List'!AA:AA,MATCH($B5,'Tournament List'!$A:$A,0))&gt;0,INDEX('Tournament List'!AA:AA,MATCH($B5,'Tournament List'!$A:$A,0)),""),"")</f>
        <v/>
      </c>
      <c r="L5" s="278" t="str">
        <f>IFERROR(IF(INDEX('Tournament List'!Z:Z,MATCH($B5,'Tournament List'!$A:$A,0))&gt;0,INDEX('Tournament List'!Z:Z,MATCH($B5,'Tournament List'!$A:$A,0)),""),"")</f>
        <v/>
      </c>
      <c r="M5" t="str">
        <f>IFERROR(INDEX('Tournament List'!M:M,MATCH($B5,'Tournament List'!$A:$A,0)),"")</f>
        <v>Varsity</v>
      </c>
      <c r="N5" t="str">
        <f>IFERROR(INDEX('Tournament List'!W:W,MATCH($B5,'Tournament List'!$A:$A,0)),"")</f>
        <v/>
      </c>
      <c r="O5" s="1" t="str">
        <f>IFERROR(INDEX('Tournament List'!AD:AD,MATCH($B5,'Tournament List'!$A:$A,0)),"")</f>
        <v>A</v>
      </c>
      <c r="P5" t="str">
        <f>IFERROR(INDEX('Tournament List'!AM:AM,MATCH($B5,'Tournament List'!$A:$A,0)),"")</f>
        <v>Varsity Lady's Skeet Champion</v>
      </c>
      <c r="Q5" t="str">
        <f>IFERROR(INDEX('Tournament List'!AN:AN,MATCH($B5,'Tournament List'!$A:$A,0)),"")</f>
        <v>A Class Skeet 3rd</v>
      </c>
      <c r="R5" t="str">
        <f>IFERROR(INDEX('Tournament List'!AO:AO,MATCH($B5,'Tournament List'!$A:$A,0)),"")</f>
        <v/>
      </c>
    </row>
    <row r="6" spans="1:38" x14ac:dyDescent="0.3">
      <c r="A6" s="275">
        <f>IF(B6&lt;&gt;"",'Tournament Setup'!$B$1,"")</f>
        <v>45677</v>
      </c>
      <c r="B6" t="str">
        <f>IF('Tournament List'!A7&lt;&gt;"",'Tournament List'!A7,"")</f>
        <v>24-1004</v>
      </c>
      <c r="C6" t="str">
        <f>IFERROR(INDEX('Tournament List'!B:B,MATCH($B6,'Tournament List'!$A:$A,0)),"")</f>
        <v>Matt</v>
      </c>
      <c r="D6" t="str">
        <f>IFERROR(INDEX('Tournament List'!C:C,MATCH($B6,'Tournament List'!$A:$A,0)),"")</f>
        <v>Last Name5</v>
      </c>
      <c r="I6">
        <f>IFERROR(INDEX('Skeet Ind Concurrent Ranking'!M:M,MATCH($B6,'Skeet Ind Concurrent Ranking'!$A:$A,0)),"")</f>
        <v>8</v>
      </c>
      <c r="J6" s="278">
        <f>IFERROR(INDEX('Tournament List'!AG:AG,MATCH($B6,'Tournament List'!$A:$A,0)),"")</f>
        <v>89.1</v>
      </c>
      <c r="K6">
        <f>IFERROR(IF(INDEX('Tournament List'!AA:AA,MATCH($B6,'Tournament List'!$A:$A,0))&gt;0,INDEX('Tournament List'!AA:AA,MATCH($B6,'Tournament List'!$A:$A,0)),""),"")</f>
        <v>3</v>
      </c>
      <c r="L6" s="278" t="str">
        <f>IFERROR(IF(INDEX('Tournament List'!Z:Z,MATCH($B6,'Tournament List'!$A:$A,0))&gt;0,INDEX('Tournament List'!Z:Z,MATCH($B6,'Tournament List'!$A:$A,0)),""),"")</f>
        <v/>
      </c>
      <c r="M6" t="str">
        <f>IFERROR(INDEX('Tournament List'!M:M,MATCH($B6,'Tournament List'!$A:$A,0)),"")</f>
        <v>Varsity</v>
      </c>
      <c r="N6" t="str">
        <f>IFERROR(INDEX('Tournament List'!W:W,MATCH($B6,'Tournament List'!$A:$A,0)),"")</f>
        <v/>
      </c>
      <c r="O6" s="1" t="str">
        <f>IFERROR(INDEX('Tournament List'!AD:AD,MATCH($B6,'Tournament List'!$A:$A,0)),"")</f>
        <v>A</v>
      </c>
      <c r="P6" t="str">
        <f>IFERROR(INDEX('Tournament List'!AM:AM,MATCH($B6,'Tournament List'!$A:$A,0)),"")</f>
        <v>HOA Men's Skeet Champion</v>
      </c>
      <c r="Q6" t="str">
        <f>IFERROR(INDEX('Tournament List'!AN:AN,MATCH($B6,'Tournament List'!$A:$A,0)),"")</f>
        <v>A Class Skeet Runner Up</v>
      </c>
      <c r="R6" t="str">
        <f>IFERROR(INDEX('Tournament List'!AO:AO,MATCH($B6,'Tournament List'!$A:$A,0)),"")</f>
        <v/>
      </c>
    </row>
    <row r="7" spans="1:38" x14ac:dyDescent="0.3">
      <c r="A7" s="275">
        <f>IF(B7&lt;&gt;"",'Tournament Setup'!$B$1,"")</f>
        <v>45677</v>
      </c>
      <c r="B7" t="str">
        <f>IF('Tournament List'!A8&lt;&gt;"",'Tournament List'!A8,"")</f>
        <v>24-1005</v>
      </c>
      <c r="C7" t="str">
        <f>IFERROR(INDEX('Tournament List'!B:B,MATCH($B7,'Tournament List'!$A:$A,0)),"")</f>
        <v>Ben</v>
      </c>
      <c r="D7" t="str">
        <f>IFERROR(INDEX('Tournament List'!C:C,MATCH($B7,'Tournament List'!$A:$A,0)),"")</f>
        <v>Last Name6</v>
      </c>
      <c r="I7">
        <f>IFERROR(INDEX('Skeet Ind Concurrent Ranking'!M:M,MATCH($B7,'Skeet Ind Concurrent Ranking'!$A:$A,0)),"")</f>
        <v>40</v>
      </c>
      <c r="J7" s="278">
        <f>IFERROR(INDEX('Tournament List'!AG:AG,MATCH($B7,'Tournament List'!$A:$A,0)),"")</f>
        <v>51.1</v>
      </c>
      <c r="K7">
        <f>IFERROR(IF(INDEX('Tournament List'!AA:AA,MATCH($B7,'Tournament List'!$A:$A,0))&gt;0,INDEX('Tournament List'!AA:AA,MATCH($B7,'Tournament List'!$A:$A,0)),""),"")</f>
        <v>4</v>
      </c>
      <c r="L7" s="278">
        <f>IFERROR(IF(INDEX('Tournament List'!Z:Z,MATCH($B7,'Tournament List'!$A:$A,0))&gt;0,INDEX('Tournament List'!Z:Z,MATCH($B7,'Tournament List'!$A:$A,0)),""),"")</f>
        <v>174</v>
      </c>
      <c r="M7" t="str">
        <f>IFERROR(INDEX('Tournament List'!M:M,MATCH($B7,'Tournament List'!$A:$A,0)),"")</f>
        <v>Novice</v>
      </c>
      <c r="N7" t="str">
        <f>IFERROR(INDEX('Tournament List'!W:W,MATCH($B7,'Tournament List'!$A:$A,0)),"")</f>
        <v>Novice</v>
      </c>
      <c r="O7" s="1" t="str">
        <f>IFERROR(INDEX('Tournament List'!AD:AD,MATCH($B7,'Tournament List'!$A:$A,0)),"")</f>
        <v>C</v>
      </c>
      <c r="P7" t="str">
        <f>IFERROR(INDEX('Tournament List'!AM:AM,MATCH($B7,'Tournament List'!$A:$A,0)),"")</f>
        <v/>
      </c>
      <c r="Q7" t="str">
        <f>IFERROR(INDEX('Tournament List'!AN:AN,MATCH($B7,'Tournament List'!$A:$A,0)),"")</f>
        <v/>
      </c>
      <c r="R7" t="str">
        <f>IFERROR(INDEX('Tournament List'!AO:AO,MATCH($B7,'Tournament List'!$A:$A,0)),"")</f>
        <v>Novice Skeet Team 3rd</v>
      </c>
    </row>
    <row r="8" spans="1:38" x14ac:dyDescent="0.3">
      <c r="A8" s="275">
        <f>IF(B8&lt;&gt;"",'Tournament Setup'!$B$1,"")</f>
        <v>45677</v>
      </c>
      <c r="B8" t="str">
        <f>IF('Tournament List'!A9&lt;&gt;"",'Tournament List'!A9,"")</f>
        <v>24-1006</v>
      </c>
      <c r="C8" t="str">
        <f>IFERROR(INDEX('Tournament List'!B:B,MATCH($B8,'Tournament List'!$A:$A,0)),"")</f>
        <v>Blake</v>
      </c>
      <c r="D8" t="str">
        <f>IFERROR(INDEX('Tournament List'!C:C,MATCH($B8,'Tournament List'!$A:$A,0)),"")</f>
        <v>Last Name7</v>
      </c>
      <c r="I8">
        <f>IFERROR(INDEX('Skeet Ind Concurrent Ranking'!M:M,MATCH($B8,'Skeet Ind Concurrent Ranking'!$A:$A,0)),"")</f>
        <v>2</v>
      </c>
      <c r="J8" s="278">
        <f>IFERROR(INDEX('Tournament List'!AG:AG,MATCH($B8,'Tournament List'!$A:$A,0)),"")</f>
        <v>97</v>
      </c>
      <c r="K8">
        <f>IFERROR(IF(INDEX('Tournament List'!AA:AA,MATCH($B8,'Tournament List'!$A:$A,0))&gt;0,INDEX('Tournament List'!AA:AA,MATCH($B8,'Tournament List'!$A:$A,0)),""),"")</f>
        <v>9</v>
      </c>
      <c r="L8" s="278">
        <f>IFERROR(IF(INDEX('Tournament List'!Z:Z,MATCH($B8,'Tournament List'!$A:$A,0))&gt;0,INDEX('Tournament List'!Z:Z,MATCH($B8,'Tournament List'!$A:$A,0)),""),"")</f>
        <v>277</v>
      </c>
      <c r="M8" t="str">
        <f>IFERROR(INDEX('Tournament List'!M:M,MATCH($B8,'Tournament List'!$A:$A,0)),"")</f>
        <v>Intermediate</v>
      </c>
      <c r="N8" t="str">
        <f>IFERROR(INDEX('Tournament List'!W:W,MATCH($B8,'Tournament List'!$A:$A,0)),"")</f>
        <v>Intermediate</v>
      </c>
      <c r="O8" s="1" t="str">
        <f>IFERROR(INDEX('Tournament List'!AD:AD,MATCH($B8,'Tournament List'!$A:$A,0)),"")</f>
        <v>C</v>
      </c>
      <c r="P8" t="str">
        <f>IFERROR(INDEX('Tournament List'!AM:AM,MATCH($B8,'Tournament List'!$A:$A,0)),"")</f>
        <v>HOA Skeet Runner Up</v>
      </c>
      <c r="Q8" t="str">
        <f>IFERROR(INDEX('Tournament List'!AN:AN,MATCH($B8,'Tournament List'!$A:$A,0)),"")</f>
        <v>C Class Skeet Champion</v>
      </c>
      <c r="R8" t="str">
        <f>IFERROR(INDEX('Tournament List'!AO:AO,MATCH($B8,'Tournament List'!$A:$A,0)),"")</f>
        <v>Intermediate Skeet Team Champion</v>
      </c>
    </row>
    <row r="9" spans="1:38" x14ac:dyDescent="0.3">
      <c r="A9" s="275">
        <f>IF(B9&lt;&gt;"",'Tournament Setup'!$B$1,"")</f>
        <v>45677</v>
      </c>
      <c r="B9" t="str">
        <f>IF('Tournament List'!A10&lt;&gt;"",'Tournament List'!A10,"")</f>
        <v>24-1007</v>
      </c>
      <c r="C9" t="str">
        <f>IFERROR(INDEX('Tournament List'!B:B,MATCH($B9,'Tournament List'!$A:$A,0)),"")</f>
        <v>James</v>
      </c>
      <c r="D9" t="str">
        <f>IFERROR(INDEX('Tournament List'!C:C,MATCH($B9,'Tournament List'!$A:$A,0)),"")</f>
        <v>Last Name8</v>
      </c>
      <c r="I9">
        <f>IFERROR(INDEX('Skeet Ind Concurrent Ranking'!M:M,MATCH($B9,'Skeet Ind Concurrent Ranking'!$A:$A,0)),"")</f>
        <v>30</v>
      </c>
      <c r="J9" s="278">
        <f>IFERROR(INDEX('Tournament List'!AG:AG,MATCH($B9,'Tournament List'!$A:$A,0)),"")</f>
        <v>64</v>
      </c>
      <c r="K9">
        <f>IFERROR(IF(INDEX('Tournament List'!AA:AA,MATCH($B9,'Tournament List'!$A:$A,0))&gt;0,INDEX('Tournament List'!AA:AA,MATCH($B9,'Tournament List'!$A:$A,0)),""),"")</f>
        <v>12</v>
      </c>
      <c r="L9" s="278">
        <f>IFERROR(IF(INDEX('Tournament List'!Z:Z,MATCH($B9,'Tournament List'!$A:$A,0))&gt;0,INDEX('Tournament List'!Z:Z,MATCH($B9,'Tournament List'!$A:$A,0)),""),"")</f>
        <v>239</v>
      </c>
      <c r="M9" t="str">
        <f>IFERROR(INDEX('Tournament List'!M:M,MATCH($B9,'Tournament List'!$A:$A,0)),"")</f>
        <v>Junior Varsity</v>
      </c>
      <c r="N9" t="str">
        <f>IFERROR(INDEX('Tournament List'!W:W,MATCH($B9,'Tournament List'!$A:$A,0)),"")</f>
        <v>Junior Varsity</v>
      </c>
      <c r="O9" s="1" t="str">
        <f>IFERROR(INDEX('Tournament List'!AD:AD,MATCH($B9,'Tournament List'!$A:$A,0)),"")</f>
        <v>C</v>
      </c>
      <c r="P9" t="str">
        <f>IFERROR(INDEX('Tournament List'!AM:AM,MATCH($B9,'Tournament List'!$A:$A,0)),"")</f>
        <v>Jr Varsity Skeet 3rd</v>
      </c>
      <c r="Q9" t="str">
        <f>IFERROR(INDEX('Tournament List'!AN:AN,MATCH($B9,'Tournament List'!$A:$A,0)),"")</f>
        <v/>
      </c>
      <c r="R9" t="str">
        <f>IFERROR(INDEX('Tournament List'!AO:AO,MATCH($B9,'Tournament List'!$A:$A,0)),"")</f>
        <v>Junior Varsity Skeet Team Runner Up</v>
      </c>
    </row>
    <row r="10" spans="1:38" x14ac:dyDescent="0.3">
      <c r="A10" s="275">
        <f>IF(B10&lt;&gt;"",'Tournament Setup'!$B$1,"")</f>
        <v>45677</v>
      </c>
      <c r="B10" t="str">
        <f>IF('Tournament List'!A11&lt;&gt;"",'Tournament List'!A11,"")</f>
        <v>24-1008</v>
      </c>
      <c r="C10" t="str">
        <f>IFERROR(INDEX('Tournament List'!B:B,MATCH($B10,'Tournament List'!$A:$A,0)),"")</f>
        <v>Linda</v>
      </c>
      <c r="D10" t="str">
        <f>IFERROR(INDEX('Tournament List'!C:C,MATCH($B10,'Tournament List'!$A:$A,0)),"")</f>
        <v>Last Name9</v>
      </c>
      <c r="I10">
        <f>IFERROR(INDEX('Skeet Ind Concurrent Ranking'!M:M,MATCH($B10,'Skeet Ind Concurrent Ranking'!$A:$A,0)),"")</f>
        <v>20</v>
      </c>
      <c r="J10" s="278">
        <f>IFERROR(INDEX('Tournament List'!AG:AG,MATCH($B10,'Tournament List'!$A:$A,0)),"")</f>
        <v>75</v>
      </c>
      <c r="K10">
        <f>IFERROR(IF(INDEX('Tournament List'!AA:AA,MATCH($B10,'Tournament List'!$A:$A,0))&gt;0,INDEX('Tournament List'!AA:AA,MATCH($B10,'Tournament List'!$A:$A,0)),""),"")</f>
        <v>2</v>
      </c>
      <c r="L10" s="278" t="str">
        <f>IFERROR(IF(INDEX('Tournament List'!Z:Z,MATCH($B10,'Tournament List'!$A:$A,0))&gt;0,INDEX('Tournament List'!Z:Z,MATCH($B10,'Tournament List'!$A:$A,0)),""),"")</f>
        <v/>
      </c>
      <c r="M10" t="str">
        <f>IFERROR(INDEX('Tournament List'!M:M,MATCH($B10,'Tournament List'!$A:$A,0)),"")</f>
        <v>Novice</v>
      </c>
      <c r="N10" t="str">
        <f>IFERROR(INDEX('Tournament List'!W:W,MATCH($B10,'Tournament List'!$A:$A,0)),"")</f>
        <v/>
      </c>
      <c r="O10" s="1" t="str">
        <f>IFERROR(INDEX('Tournament List'!AD:AD,MATCH($B10,'Tournament List'!$A:$A,0)),"")</f>
        <v>B</v>
      </c>
      <c r="P10" t="str">
        <f>IFERROR(INDEX('Tournament List'!AM:AM,MATCH($B10,'Tournament List'!$A:$A,0)),"")</f>
        <v>Novice Skeet Runner Up</v>
      </c>
      <c r="Q10" t="str">
        <f>IFERROR(INDEX('Tournament List'!AN:AN,MATCH($B10,'Tournament List'!$A:$A,0)),"")</f>
        <v>B Class Skeet Lady's Runner Up</v>
      </c>
      <c r="R10" t="str">
        <f>IFERROR(INDEX('Tournament List'!AO:AO,MATCH($B10,'Tournament List'!$A:$A,0)),"")</f>
        <v/>
      </c>
    </row>
    <row r="11" spans="1:38" x14ac:dyDescent="0.3">
      <c r="A11" s="275">
        <f>IF(B11&lt;&gt;"",'Tournament Setup'!$B$1,"")</f>
        <v>45677</v>
      </c>
      <c r="B11" t="str">
        <f>IF('Tournament List'!A12&lt;&gt;"",'Tournament List'!A12,"")</f>
        <v>24-1009</v>
      </c>
      <c r="C11" t="str">
        <f>IFERROR(INDEX('Tournament List'!B:B,MATCH($B11,'Tournament List'!$A:$A,0)),"")</f>
        <v>Christy</v>
      </c>
      <c r="D11" t="str">
        <f>IFERROR(INDEX('Tournament List'!C:C,MATCH($B11,'Tournament List'!$A:$A,0)),"")</f>
        <v>Last Name10</v>
      </c>
      <c r="I11">
        <f>IFERROR(INDEX('Skeet Ind Concurrent Ranking'!M:M,MATCH($B11,'Skeet Ind Concurrent Ranking'!$A:$A,0)),"")</f>
        <v>5</v>
      </c>
      <c r="J11" s="278">
        <f>IFERROR(INDEX('Tournament List'!AG:AG,MATCH($B11,'Tournament List'!$A:$A,0)),"")</f>
        <v>93</v>
      </c>
      <c r="K11">
        <f>IFERROR(IF(INDEX('Tournament List'!AA:AA,MATCH($B11,'Tournament List'!$A:$A,0))&gt;0,INDEX('Tournament List'!AA:AA,MATCH($B11,'Tournament List'!$A:$A,0)),""),"")</f>
        <v>8</v>
      </c>
      <c r="L11" s="278">
        <f>IFERROR(IF(INDEX('Tournament List'!Z:Z,MATCH($B11,'Tournament List'!$A:$A,0))&gt;0,INDEX('Tournament List'!Z:Z,MATCH($B11,'Tournament List'!$A:$A,0)),""),"")</f>
        <v>231</v>
      </c>
      <c r="M11" t="str">
        <f>IFERROR(INDEX('Tournament List'!M:M,MATCH($B11,'Tournament List'!$A:$A,0)),"")</f>
        <v>Intermediate</v>
      </c>
      <c r="N11" t="str">
        <f>IFERROR(INDEX('Tournament List'!W:W,MATCH($B11,'Tournament List'!$A:$A,0)),"")</f>
        <v>Intermediate</v>
      </c>
      <c r="O11" s="1" t="str">
        <f>IFERROR(INDEX('Tournament List'!AD:AD,MATCH($B11,'Tournament List'!$A:$A,0)),"")</f>
        <v>B</v>
      </c>
      <c r="P11" t="str">
        <f>IFERROR(INDEX('Tournament List'!AM:AM,MATCH($B11,'Tournament List'!$A:$A,0)),"")</f>
        <v>HOA Lady's Skeet Runner Up</v>
      </c>
      <c r="Q11" t="str">
        <f>IFERROR(INDEX('Tournament List'!AN:AN,MATCH($B11,'Tournament List'!$A:$A,0)),"")</f>
        <v>B Class Skeet 3rd</v>
      </c>
      <c r="R11" t="str">
        <f>IFERROR(INDEX('Tournament List'!AO:AO,MATCH($B11,'Tournament List'!$A:$A,0)),"")</f>
        <v>Intermediate Skeet Team Runner Up</v>
      </c>
    </row>
    <row r="12" spans="1:38" x14ac:dyDescent="0.3">
      <c r="A12" s="275">
        <f>IF(B12&lt;&gt;"",'Tournament Setup'!$B$1,"")</f>
        <v>45677</v>
      </c>
      <c r="B12" t="str">
        <f>IF('Tournament List'!A13&lt;&gt;"",'Tournament List'!A13,"")</f>
        <v>24-1010</v>
      </c>
      <c r="C12" t="str">
        <f>IFERROR(INDEX('Tournament List'!B:B,MATCH($B12,'Tournament List'!$A:$A,0)),"")</f>
        <v>Bill</v>
      </c>
      <c r="D12" t="str">
        <f>IFERROR(INDEX('Tournament List'!C:C,MATCH($B12,'Tournament List'!$A:$A,0)),"")</f>
        <v>Last Name11</v>
      </c>
      <c r="I12">
        <f>IFERROR(INDEX('Skeet Ind Concurrent Ranking'!M:M,MATCH($B12,'Skeet Ind Concurrent Ranking'!$A:$A,0)),"")</f>
        <v>1</v>
      </c>
      <c r="J12" s="278">
        <f>IFERROR(INDEX('Tournament List'!AG:AG,MATCH($B12,'Tournament List'!$A:$A,0)),"")</f>
        <v>98</v>
      </c>
      <c r="K12">
        <f>IFERROR(IF(INDEX('Tournament List'!AA:AA,MATCH($B12,'Tournament List'!$A:$A,0))&gt;0,INDEX('Tournament List'!AA:AA,MATCH($B12,'Tournament List'!$A:$A,0)),""),"")</f>
        <v>1</v>
      </c>
      <c r="L12" s="278">
        <f>IFERROR(IF(INDEX('Tournament List'!Z:Z,MATCH($B12,'Tournament List'!$A:$A,0))&gt;0,INDEX('Tournament List'!Z:Z,MATCH($B12,'Tournament List'!$A:$A,0)),""),"")</f>
        <v>239.2</v>
      </c>
      <c r="M12" t="str">
        <f>IFERROR(INDEX('Tournament List'!M:M,MATCH($B12,'Tournament List'!$A:$A,0)),"")</f>
        <v>Junior Varsity</v>
      </c>
      <c r="N12" t="str">
        <f>IFERROR(INDEX('Tournament List'!W:W,MATCH($B12,'Tournament List'!$A:$A,0)),"")</f>
        <v>Junior Varsity</v>
      </c>
      <c r="O12" s="1" t="str">
        <f>IFERROR(INDEX('Tournament List'!AD:AD,MATCH($B12,'Tournament List'!$A:$A,0)),"")</f>
        <v>B</v>
      </c>
      <c r="P12" t="str">
        <f>IFERROR(INDEX('Tournament List'!AM:AM,MATCH($B12,'Tournament List'!$A:$A,0)),"")</f>
        <v>HOA Skeet Champion</v>
      </c>
      <c r="Q12" t="str">
        <f>IFERROR(INDEX('Tournament List'!AN:AN,MATCH($B12,'Tournament List'!$A:$A,0)),"")</f>
        <v>B Class Skeet Champion</v>
      </c>
      <c r="R12" t="str">
        <f>IFERROR(INDEX('Tournament List'!AO:AO,MATCH($B12,'Tournament List'!$A:$A,0)),"")</f>
        <v>Junior Varsity Skeet Team Champion</v>
      </c>
    </row>
    <row r="13" spans="1:38" x14ac:dyDescent="0.3">
      <c r="A13" s="275">
        <f>IF(B13&lt;&gt;"",'Tournament Setup'!$B$1,"")</f>
        <v>45677</v>
      </c>
      <c r="B13" t="str">
        <f>IF('Tournament List'!A14&lt;&gt;"",'Tournament List'!A14,"")</f>
        <v>24-1011</v>
      </c>
      <c r="C13" t="str">
        <f>IFERROR(INDEX('Tournament List'!B:B,MATCH($B13,'Tournament List'!$A:$A,0)),"")</f>
        <v>Bob</v>
      </c>
      <c r="D13" t="str">
        <f>IFERROR(INDEX('Tournament List'!C:C,MATCH($B13,'Tournament List'!$A:$A,0)),"")</f>
        <v>Last Name12</v>
      </c>
      <c r="I13">
        <f>IFERROR(INDEX('Skeet Ind Concurrent Ranking'!M:M,MATCH($B13,'Skeet Ind Concurrent Ranking'!$A:$A,0)),"")</f>
        <v>42</v>
      </c>
      <c r="J13" s="278">
        <f>IFERROR(INDEX('Tournament List'!AG:AG,MATCH($B13,'Tournament List'!$A:$A,0)),"")</f>
        <v>48</v>
      </c>
      <c r="K13">
        <f>IFERROR(IF(INDEX('Tournament List'!AA:AA,MATCH($B13,'Tournament List'!$A:$A,0))&gt;0,INDEX('Tournament List'!AA:AA,MATCH($B13,'Tournament List'!$A:$A,0)),""),"")</f>
        <v>10</v>
      </c>
      <c r="L13" s="278">
        <f>IFERROR(IF(INDEX('Tournament List'!Z:Z,MATCH($B13,'Tournament List'!$A:$A,0))&gt;0,INDEX('Tournament List'!Z:Z,MATCH($B13,'Tournament List'!$A:$A,0)),""),"")</f>
        <v>189</v>
      </c>
      <c r="M13" t="str">
        <f>IFERROR(INDEX('Tournament List'!M:M,MATCH($B13,'Tournament List'!$A:$A,0)),"")</f>
        <v>Collegiate</v>
      </c>
      <c r="N13" t="str">
        <f>IFERROR(INDEX('Tournament List'!W:W,MATCH($B13,'Tournament List'!$A:$A,0)),"")</f>
        <v>Collegiate</v>
      </c>
      <c r="O13" s="1" t="str">
        <f>IFERROR(INDEX('Tournament List'!AD:AD,MATCH($B13,'Tournament List'!$A:$A,0)),"")</f>
        <v>C</v>
      </c>
      <c r="P13" t="str">
        <f>IFERROR(INDEX('Tournament List'!AM:AM,MATCH($B13,'Tournament List'!$A:$A,0)),"")</f>
        <v>Collegiate Men's Skeet Champion</v>
      </c>
      <c r="Q13" t="str">
        <f>IFERROR(INDEX('Tournament List'!AN:AN,MATCH($B13,'Tournament List'!$A:$A,0)),"")</f>
        <v/>
      </c>
      <c r="R13" t="str">
        <f>IFERROR(INDEX('Tournament List'!AO:AO,MATCH($B13,'Tournament List'!$A:$A,0)),"")</f>
        <v>Collegiate Skeet Team Champion</v>
      </c>
    </row>
    <row r="14" spans="1:38" x14ac:dyDescent="0.3">
      <c r="A14" s="275">
        <f>IF(B14&lt;&gt;"",'Tournament Setup'!$B$1,"")</f>
        <v>45677</v>
      </c>
      <c r="B14" t="str">
        <f>IF('Tournament List'!A15&lt;&gt;"",'Tournament List'!A15,"")</f>
        <v>24-1012</v>
      </c>
      <c r="C14" t="str">
        <f>IFERROR(INDEX('Tournament List'!B:B,MATCH($B14,'Tournament List'!$A:$A,0)),"")</f>
        <v>Bruce</v>
      </c>
      <c r="D14" t="str">
        <f>IFERROR(INDEX('Tournament List'!C:C,MATCH($B14,'Tournament List'!$A:$A,0)),"")</f>
        <v>Last Name13</v>
      </c>
      <c r="I14">
        <f>IFERROR(INDEX('Skeet Ind Concurrent Ranking'!M:M,MATCH($B14,'Skeet Ind Concurrent Ranking'!$A:$A,0)),"")</f>
        <v>23</v>
      </c>
      <c r="J14" s="278">
        <f>IFERROR(INDEX('Tournament List'!AG:AG,MATCH($B14,'Tournament List'!$A:$A,0)),"")</f>
        <v>72.099999999999994</v>
      </c>
      <c r="K14">
        <f>IFERROR(IF(INDEX('Tournament List'!AA:AA,MATCH($B14,'Tournament List'!$A:$A,0))&gt;0,INDEX('Tournament List'!AA:AA,MATCH($B14,'Tournament List'!$A:$A,0)),""),"")</f>
        <v>7</v>
      </c>
      <c r="L14" s="278" t="str">
        <f>IFERROR(IF(INDEX('Tournament List'!Z:Z,MATCH($B14,'Tournament List'!$A:$A,0))&gt;0,INDEX('Tournament List'!Z:Z,MATCH($B14,'Tournament List'!$A:$A,0)),""),"")</f>
        <v/>
      </c>
      <c r="M14" t="str">
        <f>IFERROR(INDEX('Tournament List'!M:M,MATCH($B14,'Tournament List'!$A:$A,0)),"")</f>
        <v>Junior Varsity</v>
      </c>
      <c r="N14" t="str">
        <f>IFERROR(INDEX('Tournament List'!W:W,MATCH($B14,'Tournament List'!$A:$A,0)),"")</f>
        <v/>
      </c>
      <c r="O14" s="1" t="str">
        <f>IFERROR(INDEX('Tournament List'!AD:AD,MATCH($B14,'Tournament List'!$A:$A,0)),"")</f>
        <v>C</v>
      </c>
      <c r="P14" t="str">
        <f>IFERROR(INDEX('Tournament List'!AM:AM,MATCH($B14,'Tournament List'!$A:$A,0)),"")</f>
        <v>Jr Varsity Skeet Runner Up</v>
      </c>
      <c r="Q14" t="str">
        <f>IFERROR(INDEX('Tournament List'!AN:AN,MATCH($B14,'Tournament List'!$A:$A,0)),"")</f>
        <v>C Class Skeet Men's 3rd</v>
      </c>
      <c r="R14" t="str">
        <f>IFERROR(INDEX('Tournament List'!AO:AO,MATCH($B14,'Tournament List'!$A:$A,0)),"")</f>
        <v/>
      </c>
    </row>
    <row r="15" spans="1:38" x14ac:dyDescent="0.3">
      <c r="A15" s="275">
        <f>IF(B15&lt;&gt;"",'Tournament Setup'!$B$1,"")</f>
        <v>45677</v>
      </c>
      <c r="B15" t="str">
        <f>IF('Tournament List'!A16&lt;&gt;"",'Tournament List'!A16,"")</f>
        <v>24-1013</v>
      </c>
      <c r="C15" t="str">
        <f>IFERROR(INDEX('Tournament List'!B:B,MATCH($B15,'Tournament List'!$A:$A,0)),"")</f>
        <v>Henry</v>
      </c>
      <c r="D15" t="str">
        <f>IFERROR(INDEX('Tournament List'!C:C,MATCH($B15,'Tournament List'!$A:$A,0)),"")</f>
        <v>Last Name14</v>
      </c>
      <c r="I15">
        <f>IFERROR(INDEX('Skeet Ind Concurrent Ranking'!M:M,MATCH($B15,'Skeet Ind Concurrent Ranking'!$A:$A,0)),"")</f>
        <v>19</v>
      </c>
      <c r="J15" s="278">
        <f>IFERROR(INDEX('Tournament List'!AG:AG,MATCH($B15,'Tournament List'!$A:$A,0)),"")</f>
        <v>76</v>
      </c>
      <c r="K15">
        <f>IFERROR(IF(INDEX('Tournament List'!AA:AA,MATCH($B15,'Tournament List'!$A:$A,0))&gt;0,INDEX('Tournament List'!AA:AA,MATCH($B15,'Tournament List'!$A:$A,0)),""),"")</f>
        <v>5</v>
      </c>
      <c r="L15" s="278">
        <f>IFERROR(IF(INDEX('Tournament List'!Z:Z,MATCH($B15,'Tournament List'!$A:$A,0))&gt;0,INDEX('Tournament List'!Z:Z,MATCH($B15,'Tournament List'!$A:$A,0)),""),"")</f>
        <v>177</v>
      </c>
      <c r="M15" t="str">
        <f>IFERROR(INDEX('Tournament List'!M:M,MATCH($B15,'Tournament List'!$A:$A,0)),"")</f>
        <v>Intermediate</v>
      </c>
      <c r="N15" t="str">
        <f>IFERROR(INDEX('Tournament List'!W:W,MATCH($B15,'Tournament List'!$A:$A,0)),"")</f>
        <v>Intermediate</v>
      </c>
      <c r="O15" s="1" t="str">
        <f>IFERROR(INDEX('Tournament List'!AD:AD,MATCH($B15,'Tournament List'!$A:$A,0)),"")</f>
        <v>A</v>
      </c>
      <c r="P15" t="str">
        <f>IFERROR(INDEX('Tournament List'!AM:AM,MATCH($B15,'Tournament List'!$A:$A,0)),"")</f>
        <v>Intermediate Skeet Runner Up</v>
      </c>
      <c r="Q15" t="str">
        <f>IFERROR(INDEX('Tournament List'!AN:AN,MATCH($B15,'Tournament List'!$A:$A,0)),"")</f>
        <v>A Class Skeet Men's Runner Up</v>
      </c>
      <c r="R15" t="str">
        <f>IFERROR(INDEX('Tournament List'!AO:AO,MATCH($B15,'Tournament List'!$A:$A,0)),"")</f>
        <v>Intermediate Skeet Team 3rd</v>
      </c>
    </row>
    <row r="16" spans="1:38" x14ac:dyDescent="0.3">
      <c r="A16" s="275">
        <f>IF(B16&lt;&gt;"",'Tournament Setup'!$B$1,"")</f>
        <v>45677</v>
      </c>
      <c r="B16" t="str">
        <f>IF('Tournament List'!A17&lt;&gt;"",'Tournament List'!A17,"")</f>
        <v>24-1014</v>
      </c>
      <c r="C16" t="str">
        <f>IFERROR(INDEX('Tournament List'!B:B,MATCH($B16,'Tournament List'!$A:$A,0)),"")</f>
        <v>Daniel</v>
      </c>
      <c r="D16" t="str">
        <f>IFERROR(INDEX('Tournament List'!C:C,MATCH($B16,'Tournament List'!$A:$A,0)),"")</f>
        <v>Last Name15</v>
      </c>
      <c r="I16">
        <f>IFERROR(INDEX('Skeet Ind Concurrent Ranking'!M:M,MATCH($B16,'Skeet Ind Concurrent Ranking'!$A:$A,0)),"")</f>
        <v>8</v>
      </c>
      <c r="J16" s="278">
        <f>IFERROR(INDEX('Tournament List'!AG:AG,MATCH($B16,'Tournament List'!$A:$A,0)),"")</f>
        <v>89.1</v>
      </c>
      <c r="K16">
        <f>IFERROR(IF(INDEX('Tournament List'!AA:AA,MATCH($B16,'Tournament List'!$A:$A,0))&gt;0,INDEX('Tournament List'!AA:AA,MATCH($B16,'Tournament List'!$A:$A,0)),""),"")</f>
        <v>6</v>
      </c>
      <c r="L16" s="278">
        <f>IFERROR(IF(INDEX('Tournament List'!Z:Z,MATCH($B16,'Tournament List'!$A:$A,0))&gt;0,INDEX('Tournament List'!Z:Z,MATCH($B16,'Tournament List'!$A:$A,0)),""),"")</f>
        <v>177.1</v>
      </c>
      <c r="M16" t="str">
        <f>IFERROR(INDEX('Tournament List'!M:M,MATCH($B16,'Tournament List'!$A:$A,0)),"")</f>
        <v>Collegiate</v>
      </c>
      <c r="N16" t="str">
        <f>IFERROR(INDEX('Tournament List'!W:W,MATCH($B16,'Tournament List'!$A:$A,0)),"")</f>
        <v>Collegiate</v>
      </c>
      <c r="O16" s="1" t="str">
        <f>IFERROR(INDEX('Tournament List'!AD:AD,MATCH($B16,'Tournament List'!$A:$A,0)),"")</f>
        <v>B</v>
      </c>
      <c r="P16" t="str">
        <f>IFERROR(INDEX('Tournament List'!AM:AM,MATCH($B16,'Tournament List'!$A:$A,0)),"")</f>
        <v>Collegiate Skeet Runner Up</v>
      </c>
      <c r="Q16" t="str">
        <f>IFERROR(INDEX('Tournament List'!AN:AN,MATCH($B16,'Tournament List'!$A:$A,0)),"")</f>
        <v>B Class Skeet Men's Champion</v>
      </c>
      <c r="R16" t="str">
        <f>IFERROR(INDEX('Tournament List'!AO:AO,MATCH($B16,'Tournament List'!$A:$A,0)),"")</f>
        <v>Collegiate Skeet Team Runner Up</v>
      </c>
    </row>
    <row r="17" spans="1:18" x14ac:dyDescent="0.3">
      <c r="A17" s="275">
        <f>IF(B17&lt;&gt;"",'Tournament Setup'!$B$1,"")</f>
        <v>45677</v>
      </c>
      <c r="B17" t="str">
        <f>IF('Tournament List'!A18&lt;&gt;"",'Tournament List'!A18,"")</f>
        <v>24-1015</v>
      </c>
      <c r="C17" t="str">
        <f>IFERROR(INDEX('Tournament List'!B:B,MATCH($B17,'Tournament List'!$A:$A,0)),"")</f>
        <v>Paul</v>
      </c>
      <c r="D17" t="str">
        <f>IFERROR(INDEX('Tournament List'!C:C,MATCH($B17,'Tournament List'!$A:$A,0)),"")</f>
        <v>Last Name16</v>
      </c>
      <c r="I17">
        <f>IFERROR(INDEX('Skeet Ind Concurrent Ranking'!M:M,MATCH($B17,'Skeet Ind Concurrent Ranking'!$A:$A,0)),"")</f>
        <v>45</v>
      </c>
      <c r="J17" s="278">
        <f>IFERROR(INDEX('Tournament List'!AG:AG,MATCH($B17,'Tournament List'!$A:$A,0)),"")</f>
        <v>42</v>
      </c>
      <c r="K17">
        <f>IFERROR(IF(INDEX('Tournament List'!AA:AA,MATCH($B17,'Tournament List'!$A:$A,0))&gt;0,INDEX('Tournament List'!AA:AA,MATCH($B17,'Tournament List'!$A:$A,0)),""),"")</f>
        <v>11</v>
      </c>
      <c r="L17" s="278" t="str">
        <f>IFERROR(IF(INDEX('Tournament List'!Z:Z,MATCH($B17,'Tournament List'!$A:$A,0))&gt;0,INDEX('Tournament List'!Z:Z,MATCH($B17,'Tournament List'!$A:$A,0)),""),"")</f>
        <v/>
      </c>
      <c r="M17" t="str">
        <f>IFERROR(INDEX('Tournament List'!M:M,MATCH($B17,'Tournament List'!$A:$A,0)),"")</f>
        <v>Varsity</v>
      </c>
      <c r="N17" t="str">
        <f>IFERROR(INDEX('Tournament List'!W:W,MATCH($B17,'Tournament List'!$A:$A,0)),"")</f>
        <v/>
      </c>
      <c r="O17" s="1" t="str">
        <f>IFERROR(INDEX('Tournament List'!AD:AD,MATCH($B17,'Tournament List'!$A:$A,0)),"")</f>
        <v>D</v>
      </c>
      <c r="P17" t="str">
        <f>IFERROR(INDEX('Tournament List'!AM:AM,MATCH($B17,'Tournament List'!$A:$A,0)),"")</f>
        <v/>
      </c>
      <c r="Q17" t="str">
        <f>IFERROR(INDEX('Tournament List'!AN:AN,MATCH($B17,'Tournament List'!$A:$A,0)),"")</f>
        <v>D Class Skeet Men's 3rd</v>
      </c>
      <c r="R17" t="str">
        <f>IFERROR(INDEX('Tournament List'!AO:AO,MATCH($B17,'Tournament List'!$A:$A,0)),"")</f>
        <v/>
      </c>
    </row>
    <row r="18" spans="1:18" x14ac:dyDescent="0.3">
      <c r="A18" s="275">
        <f>IF(B18&lt;&gt;"",'Tournament Setup'!$B$1,"")</f>
        <v>45677</v>
      </c>
      <c r="B18" t="str">
        <f>IF('Tournament List'!A19&lt;&gt;"",'Tournament List'!A19,"")</f>
        <v>24-1016</v>
      </c>
      <c r="C18" t="str">
        <f>IFERROR(INDEX('Tournament List'!B:B,MATCH($B18,'Tournament List'!$A:$A,0)),"")</f>
        <v>Joan</v>
      </c>
      <c r="D18" t="str">
        <f>IFERROR(INDEX('Tournament List'!C:C,MATCH($B18,'Tournament List'!$A:$A,0)),"")</f>
        <v>Last Name17</v>
      </c>
      <c r="I18">
        <f>IFERROR(INDEX('Skeet Ind Concurrent Ranking'!M:M,MATCH($B18,'Skeet Ind Concurrent Ranking'!$A:$A,0)),"")</f>
        <v>35</v>
      </c>
      <c r="J18" s="278">
        <f>IFERROR(INDEX('Tournament List'!AG:AG,MATCH($B18,'Tournament List'!$A:$A,0)),"")</f>
        <v>60.1</v>
      </c>
      <c r="K18">
        <f>IFERROR(IF(INDEX('Tournament List'!AA:AA,MATCH($B18,'Tournament List'!$A:$A,0))&gt;0,INDEX('Tournament List'!AA:AA,MATCH($B18,'Tournament List'!$A:$A,0)),""),"")</f>
        <v>3</v>
      </c>
      <c r="L18" s="278">
        <f>IFERROR(IF(INDEX('Tournament List'!Z:Z,MATCH($B18,'Tournament List'!$A:$A,0))&gt;0,INDEX('Tournament List'!Z:Z,MATCH($B18,'Tournament List'!$A:$A,0)),""),"")</f>
        <v>220</v>
      </c>
      <c r="M18" t="str">
        <f>IFERROR(INDEX('Tournament List'!M:M,MATCH($B18,'Tournament List'!$A:$A,0)),"")</f>
        <v>Novice</v>
      </c>
      <c r="N18" t="str">
        <f>IFERROR(INDEX('Tournament List'!W:W,MATCH($B18,'Tournament List'!$A:$A,0)),"")</f>
        <v>Novice</v>
      </c>
      <c r="O18" s="1" t="str">
        <f>IFERROR(INDEX('Tournament List'!AD:AD,MATCH($B18,'Tournament List'!$A:$A,0)),"")</f>
        <v>D</v>
      </c>
      <c r="P18" t="str">
        <f>IFERROR(INDEX('Tournament List'!AM:AM,MATCH($B18,'Tournament List'!$A:$A,0)),"")</f>
        <v>Novice Lady's Skeet Champion</v>
      </c>
      <c r="Q18" t="str">
        <f>IFERROR(INDEX('Tournament List'!AN:AN,MATCH($B18,'Tournament List'!$A:$A,0)),"")</f>
        <v>D Class Skeet Lady's Champion</v>
      </c>
      <c r="R18" t="str">
        <f>IFERROR(INDEX('Tournament List'!AO:AO,MATCH($B18,'Tournament List'!$A:$A,0)),"")</f>
        <v>Novice Skeet Team 3rd</v>
      </c>
    </row>
    <row r="19" spans="1:18" x14ac:dyDescent="0.3">
      <c r="A19" s="275">
        <f>IF(B19&lt;&gt;"",'Tournament Setup'!$B$1,"")</f>
        <v>45677</v>
      </c>
      <c r="B19" t="str">
        <f>IF('Tournament List'!A20&lt;&gt;"",'Tournament List'!A20,"")</f>
        <v>24-1017</v>
      </c>
      <c r="C19" t="str">
        <f>IFERROR(INDEX('Tournament List'!B:B,MATCH($B19,'Tournament List'!$A:$A,0)),"")</f>
        <v>Jill</v>
      </c>
      <c r="D19" t="str">
        <f>IFERROR(INDEX('Tournament List'!C:C,MATCH($B19,'Tournament List'!$A:$A,0)),"")</f>
        <v>Last Name18</v>
      </c>
      <c r="I19">
        <f>IFERROR(INDEX('Skeet Ind Concurrent Ranking'!M:M,MATCH($B19,'Skeet Ind Concurrent Ranking'!$A:$A,0)),"")</f>
        <v>7</v>
      </c>
      <c r="J19" s="278">
        <f>IFERROR(INDEX('Tournament List'!AG:AG,MATCH($B19,'Tournament List'!$A:$A,0)),"")</f>
        <v>90</v>
      </c>
      <c r="K19">
        <f>IFERROR(IF(INDEX('Tournament List'!AA:AA,MATCH($B19,'Tournament List'!$A:$A,0))&gt;0,INDEX('Tournament List'!AA:AA,MATCH($B19,'Tournament List'!$A:$A,0)),""),"")</f>
        <v>4</v>
      </c>
      <c r="L19" s="278">
        <f>IFERROR(IF(INDEX('Tournament List'!Z:Z,MATCH($B19,'Tournament List'!$A:$A,0))&gt;0,INDEX('Tournament List'!Z:Z,MATCH($B19,'Tournament List'!$A:$A,0)),""),"")</f>
        <v>189</v>
      </c>
      <c r="M19" t="str">
        <f>IFERROR(INDEX('Tournament List'!M:M,MATCH($B19,'Tournament List'!$A:$A,0)),"")</f>
        <v>Collegiate</v>
      </c>
      <c r="N19" t="str">
        <f>IFERROR(INDEX('Tournament List'!W:W,MATCH($B19,'Tournament List'!$A:$A,0)),"")</f>
        <v>Collegiate</v>
      </c>
      <c r="O19" s="1" t="str">
        <f>IFERROR(INDEX('Tournament List'!AD:AD,MATCH($B19,'Tournament List'!$A:$A,0)),"")</f>
        <v>C</v>
      </c>
      <c r="P19" t="str">
        <f>IFERROR(INDEX('Tournament List'!AM:AM,MATCH($B19,'Tournament List'!$A:$A,0)),"")</f>
        <v>Collegiate Skeet Champion</v>
      </c>
      <c r="Q19" t="str">
        <f>IFERROR(INDEX('Tournament List'!AN:AN,MATCH($B19,'Tournament List'!$A:$A,0)),"")</f>
        <v>C Class Skeet Runner Up</v>
      </c>
      <c r="R19" t="str">
        <f>IFERROR(INDEX('Tournament List'!AO:AO,MATCH($B19,'Tournament List'!$A:$A,0)),"")</f>
        <v>Collegiate Skeet Team Champion</v>
      </c>
    </row>
    <row r="20" spans="1:18" x14ac:dyDescent="0.3">
      <c r="A20" s="275">
        <f>IF(B20&lt;&gt;"",'Tournament Setup'!$B$1,"")</f>
        <v>45677</v>
      </c>
      <c r="B20" t="str">
        <f>IF('Tournament List'!A21&lt;&gt;"",'Tournament List'!A21,"")</f>
        <v>24-1018</v>
      </c>
      <c r="C20" t="str">
        <f>IFERROR(INDEX('Tournament List'!B:B,MATCH($B20,'Tournament List'!$A:$A,0)),"")</f>
        <v>Jack</v>
      </c>
      <c r="D20" t="str">
        <f>IFERROR(INDEX('Tournament List'!C:C,MATCH($B20,'Tournament List'!$A:$A,0)),"")</f>
        <v>Last Name19</v>
      </c>
      <c r="I20">
        <f>IFERROR(INDEX('Skeet Ind Concurrent Ranking'!M:M,MATCH($B20,'Skeet Ind Concurrent Ranking'!$A:$A,0)),"")</f>
        <v>16</v>
      </c>
      <c r="J20" s="278">
        <f>IFERROR(INDEX('Tournament List'!AG:AG,MATCH($B20,'Tournament List'!$A:$A,0)),"")</f>
        <v>82.1</v>
      </c>
      <c r="K20">
        <f>IFERROR(IF(INDEX('Tournament List'!AA:AA,MATCH($B20,'Tournament List'!$A:$A,0))&gt;0,INDEX('Tournament List'!AA:AA,MATCH($B20,'Tournament List'!$A:$A,0)),""),"")</f>
        <v>9</v>
      </c>
      <c r="L20" s="278">
        <f>IFERROR(IF(INDEX('Tournament List'!Z:Z,MATCH($B20,'Tournament List'!$A:$A,0))&gt;0,INDEX('Tournament List'!Z:Z,MATCH($B20,'Tournament List'!$A:$A,0)),""),"")</f>
        <v>239.1</v>
      </c>
      <c r="M20" t="str">
        <f>IFERROR(INDEX('Tournament List'!M:M,MATCH($B20,'Tournament List'!$A:$A,0)),"")</f>
        <v>Varsity</v>
      </c>
      <c r="N20" t="str">
        <f>IFERROR(INDEX('Tournament List'!W:W,MATCH($B20,'Tournament List'!$A:$A,0)),"")</f>
        <v>Open</v>
      </c>
      <c r="O20" s="1" t="str">
        <f>IFERROR(INDEX('Tournament List'!AD:AD,MATCH($B20,'Tournament List'!$A:$A,0)),"")</f>
        <v>B</v>
      </c>
      <c r="P20" t="str">
        <f>IFERROR(INDEX('Tournament List'!AM:AM,MATCH($B20,'Tournament List'!$A:$A,0)),"")</f>
        <v>Varsity Skeet 3rd</v>
      </c>
      <c r="Q20" t="str">
        <f>IFERROR(INDEX('Tournament List'!AN:AN,MATCH($B20,'Tournament List'!$A:$A,0)),"")</f>
        <v/>
      </c>
      <c r="R20" t="str">
        <f>IFERROR(INDEX('Tournament List'!AO:AO,MATCH($B20,'Tournament List'!$A:$A,0)),"")</f>
        <v>Open Skeet Team 3rd</v>
      </c>
    </row>
    <row r="21" spans="1:18" x14ac:dyDescent="0.3">
      <c r="A21" s="275">
        <f>IF(B21&lt;&gt;"",'Tournament Setup'!$B$1,"")</f>
        <v>45677</v>
      </c>
      <c r="B21" t="str">
        <f>IF('Tournament List'!A22&lt;&gt;"",'Tournament List'!A22,"")</f>
        <v>24-1019</v>
      </c>
      <c r="C21" t="str">
        <f>IFERROR(INDEX('Tournament List'!B:B,MATCH($B21,'Tournament List'!$A:$A,0)),"")</f>
        <v>Chris</v>
      </c>
      <c r="D21" t="str">
        <f>IFERROR(INDEX('Tournament List'!C:C,MATCH($B21,'Tournament List'!$A:$A,0)),"")</f>
        <v>Last Name20</v>
      </c>
      <c r="I21">
        <f>IFERROR(INDEX('Skeet Ind Concurrent Ranking'!M:M,MATCH($B21,'Skeet Ind Concurrent Ranking'!$A:$A,0)),"")</f>
        <v>46</v>
      </c>
      <c r="J21" s="278">
        <f>IFERROR(INDEX('Tournament List'!AG:AG,MATCH($B21,'Tournament List'!$A:$A,0)),"")</f>
        <v>32.1</v>
      </c>
      <c r="K21">
        <f>IFERROR(IF(INDEX('Tournament List'!AA:AA,MATCH($B21,'Tournament List'!$A:$A,0))&gt;0,INDEX('Tournament List'!AA:AA,MATCH($B21,'Tournament List'!$A:$A,0)),""),"")</f>
        <v>12</v>
      </c>
      <c r="L21" s="278" t="str">
        <f>IFERROR(IF(INDEX('Tournament List'!Z:Z,MATCH($B21,'Tournament List'!$A:$A,0))&gt;0,INDEX('Tournament List'!Z:Z,MATCH($B21,'Tournament List'!$A:$A,0)),""),"")</f>
        <v/>
      </c>
      <c r="M21" t="str">
        <f>IFERROR(INDEX('Tournament List'!M:M,MATCH($B21,'Tournament List'!$A:$A,0)),"")</f>
        <v>Junior Varsity</v>
      </c>
      <c r="N21" t="str">
        <f>IFERROR(INDEX('Tournament List'!W:W,MATCH($B21,'Tournament List'!$A:$A,0)),"")</f>
        <v/>
      </c>
      <c r="O21" s="1" t="str">
        <f>IFERROR(INDEX('Tournament List'!AD:AD,MATCH($B21,'Tournament List'!$A:$A,0)),"")</f>
        <v>B</v>
      </c>
      <c r="P21" t="str">
        <f>IFERROR(INDEX('Tournament List'!AM:AM,MATCH($B21,'Tournament List'!$A:$A,0)),"")</f>
        <v>Jr Varsity Men's Skeet 3rd</v>
      </c>
      <c r="Q21" t="str">
        <f>IFERROR(INDEX('Tournament List'!AN:AN,MATCH($B21,'Tournament List'!$A:$A,0)),"")</f>
        <v/>
      </c>
      <c r="R21" t="str">
        <f>IFERROR(INDEX('Tournament List'!AO:AO,MATCH($B21,'Tournament List'!$A:$A,0)),"")</f>
        <v/>
      </c>
    </row>
    <row r="22" spans="1:18" x14ac:dyDescent="0.3">
      <c r="A22" s="275">
        <f>IF(B22&lt;&gt;"",'Tournament Setup'!$B$1,"")</f>
        <v>45677</v>
      </c>
      <c r="B22" t="str">
        <f>IF('Tournament List'!A23&lt;&gt;"",'Tournament List'!A23,"")</f>
        <v>24-1020</v>
      </c>
      <c r="C22" t="str">
        <f>IFERROR(INDEX('Tournament List'!B:B,MATCH($B22,'Tournament List'!$A:$A,0)),"")</f>
        <v>Nathan</v>
      </c>
      <c r="D22" t="str">
        <f>IFERROR(INDEX('Tournament List'!C:C,MATCH($B22,'Tournament List'!$A:$A,0)),"")</f>
        <v>Last Name21</v>
      </c>
      <c r="I22">
        <f>IFERROR(INDEX('Skeet Ind Concurrent Ranking'!M:M,MATCH($B22,'Skeet Ind Concurrent Ranking'!$A:$A,0)),"")</f>
        <v>22</v>
      </c>
      <c r="J22" s="278">
        <f>IFERROR(INDEX('Tournament List'!AG:AG,MATCH($B22,'Tournament List'!$A:$A,0)),"")</f>
        <v>72.2</v>
      </c>
      <c r="K22" t="str">
        <f>IFERROR(IF(INDEX('Tournament List'!AA:AA,MATCH($B22,'Tournament List'!$A:$A,0))&gt;0,INDEX('Tournament List'!AA:AA,MATCH($B22,'Tournament List'!$A:$A,0)),""),"")</f>
        <v/>
      </c>
      <c r="L22" s="278">
        <f>IFERROR(IF(INDEX('Tournament List'!Z:Z,MATCH($B22,'Tournament List'!$A:$A,0))&gt;0,INDEX('Tournament List'!Z:Z,MATCH($B22,'Tournament List'!$A:$A,0)),""),"")</f>
        <v>199</v>
      </c>
      <c r="M22" t="str">
        <f>IFERROR(INDEX('Tournament List'!M:M,MATCH($B22,'Tournament List'!$A:$A,0)),"")</f>
        <v>Novice</v>
      </c>
      <c r="N22" t="str">
        <f>IFERROR(INDEX('Tournament List'!W:W,MATCH($B22,'Tournament List'!$A:$A,0)),"")</f>
        <v>Novice</v>
      </c>
      <c r="O22" s="1" t="str">
        <f>IFERROR(INDEX('Tournament List'!AD:AD,MATCH($B22,'Tournament List'!$A:$A,0)),"")</f>
        <v>C</v>
      </c>
      <c r="P22" t="str">
        <f>IFERROR(INDEX('Tournament List'!AM:AM,MATCH($B22,'Tournament List'!$A:$A,0)),"")</f>
        <v>Novice Men's Skeet Champion</v>
      </c>
      <c r="Q22" t="str">
        <f>IFERROR(INDEX('Tournament List'!AN:AN,MATCH($B22,'Tournament List'!$A:$A,0)),"")</f>
        <v>C Class Skeet Men's Runner Up</v>
      </c>
      <c r="R22" t="str">
        <f>IFERROR(INDEX('Tournament List'!AO:AO,MATCH($B22,'Tournament List'!$A:$A,0)),"")</f>
        <v>Novice Skeet Team 3rd</v>
      </c>
    </row>
    <row r="23" spans="1:18" x14ac:dyDescent="0.3">
      <c r="A23" s="275">
        <f>IF(B23&lt;&gt;"",'Tournament Setup'!$B$1,"")</f>
        <v>45677</v>
      </c>
      <c r="B23" t="str">
        <f>IF('Tournament List'!A24&lt;&gt;"",'Tournament List'!A24,"")</f>
        <v>24-1021</v>
      </c>
      <c r="C23" t="str">
        <f>IFERROR(INDEX('Tournament List'!B:B,MATCH($B23,'Tournament List'!$A:$A,0)),"")</f>
        <v>Steve</v>
      </c>
      <c r="D23" t="str">
        <f>IFERROR(INDEX('Tournament List'!C:C,MATCH($B23,'Tournament List'!$A:$A,0)),"")</f>
        <v>Last Name22</v>
      </c>
      <c r="I23">
        <f>IFERROR(INDEX('Skeet Ind Concurrent Ranking'!M:M,MATCH($B23,'Skeet Ind Concurrent Ranking'!$A:$A,0)),"")</f>
        <v>26</v>
      </c>
      <c r="J23" s="278">
        <f>IFERROR(INDEX('Tournament List'!AG:AG,MATCH($B23,'Tournament List'!$A:$A,0)),"")</f>
        <v>70</v>
      </c>
      <c r="K23">
        <f>IFERROR(IF(INDEX('Tournament List'!AA:AA,MATCH($B23,'Tournament List'!$A:$A,0))&gt;0,INDEX('Tournament List'!AA:AA,MATCH($B23,'Tournament List'!$A:$A,0)),""),"")</f>
        <v>11</v>
      </c>
      <c r="L23" s="278">
        <f>IFERROR(IF(INDEX('Tournament List'!Z:Z,MATCH($B23,'Tournament List'!$A:$A,0))&gt;0,INDEX('Tournament List'!Z:Z,MATCH($B23,'Tournament List'!$A:$A,0)),""),"")</f>
        <v>231</v>
      </c>
      <c r="M23" t="str">
        <f>IFERROR(INDEX('Tournament List'!M:M,MATCH($B23,'Tournament List'!$A:$A,0)),"")</f>
        <v>Intermediate</v>
      </c>
      <c r="N23" t="str">
        <f>IFERROR(INDEX('Tournament List'!W:W,MATCH($B23,'Tournament List'!$A:$A,0)),"")</f>
        <v>Intermediate</v>
      </c>
      <c r="O23" s="1" t="str">
        <f>IFERROR(INDEX('Tournament List'!AD:AD,MATCH($B23,'Tournament List'!$A:$A,0)),"")</f>
        <v>C</v>
      </c>
      <c r="P23" t="str">
        <f>IFERROR(INDEX('Tournament List'!AM:AM,MATCH($B23,'Tournament List'!$A:$A,0)),"")</f>
        <v>Intermediate Men's Skeet Champion</v>
      </c>
      <c r="Q23" t="str">
        <f>IFERROR(INDEX('Tournament List'!AN:AN,MATCH($B23,'Tournament List'!$A:$A,0)),"")</f>
        <v/>
      </c>
      <c r="R23" t="str">
        <f>IFERROR(INDEX('Tournament List'!AO:AO,MATCH($B23,'Tournament List'!$A:$A,0)),"")</f>
        <v>Intermediate Skeet Team Runner Up</v>
      </c>
    </row>
    <row r="24" spans="1:18" x14ac:dyDescent="0.3">
      <c r="A24" s="275">
        <f>IF(B24&lt;&gt;"",'Tournament Setup'!$B$1,"")</f>
        <v>45677</v>
      </c>
      <c r="B24" t="str">
        <f>IF('Tournament List'!A25&lt;&gt;"",'Tournament List'!A25,"")</f>
        <v>24-1022</v>
      </c>
      <c r="C24" t="str">
        <f>IFERROR(INDEX('Tournament List'!B:B,MATCH($B24,'Tournament List'!$A:$A,0)),"")</f>
        <v>Tom</v>
      </c>
      <c r="D24" t="str">
        <f>IFERROR(INDEX('Tournament List'!C:C,MATCH($B24,'Tournament List'!$A:$A,0)),"")</f>
        <v>Last Name23</v>
      </c>
      <c r="I24">
        <f>IFERROR(INDEX('Skeet Ind Concurrent Ranking'!M:M,MATCH($B24,'Skeet Ind Concurrent Ranking'!$A:$A,0)),"")</f>
        <v>34</v>
      </c>
      <c r="J24" s="278">
        <f>IFERROR(INDEX('Tournament List'!AG:AG,MATCH($B24,'Tournament List'!$A:$A,0)),"")</f>
        <v>61</v>
      </c>
      <c r="K24">
        <f>IFERROR(IF(INDEX('Tournament List'!AA:AA,MATCH($B24,'Tournament List'!$A:$A,0))&gt;0,INDEX('Tournament List'!AA:AA,MATCH($B24,'Tournament List'!$A:$A,0)),""),"")</f>
        <v>1</v>
      </c>
      <c r="L24" s="278">
        <f>IFERROR(IF(INDEX('Tournament List'!Z:Z,MATCH($B24,'Tournament List'!$A:$A,0))&gt;0,INDEX('Tournament List'!Z:Z,MATCH($B24,'Tournament List'!$A:$A,0)),""),"")</f>
        <v>239.2</v>
      </c>
      <c r="M24" t="str">
        <f>IFERROR(INDEX('Tournament List'!M:M,MATCH($B24,'Tournament List'!$A:$A,0)),"")</f>
        <v>Junior Varsity</v>
      </c>
      <c r="N24" t="str">
        <f>IFERROR(INDEX('Tournament List'!W:W,MATCH($B24,'Tournament List'!$A:$A,0)),"")</f>
        <v>Junior Varsity</v>
      </c>
      <c r="O24" s="1" t="str">
        <f>IFERROR(INDEX('Tournament List'!AD:AD,MATCH($B24,'Tournament List'!$A:$A,0)),"")</f>
        <v>C</v>
      </c>
      <c r="P24" t="str">
        <f>IFERROR(INDEX('Tournament List'!AM:AM,MATCH($B24,'Tournament List'!$A:$A,0)),"")</f>
        <v>Jr Varsity Men's Skeet Runner Up</v>
      </c>
      <c r="Q24" t="str">
        <f>IFERROR(INDEX('Tournament List'!AN:AN,MATCH($B24,'Tournament List'!$A:$A,0)),"")</f>
        <v/>
      </c>
      <c r="R24" t="str">
        <f>IFERROR(INDEX('Tournament List'!AO:AO,MATCH($B24,'Tournament List'!$A:$A,0)),"")</f>
        <v>Junior Varsity Skeet Team Champion</v>
      </c>
    </row>
    <row r="25" spans="1:18" x14ac:dyDescent="0.3">
      <c r="A25" s="275">
        <f>IF(B25&lt;&gt;"",'Tournament Setup'!$B$1,"")</f>
        <v>45677</v>
      </c>
      <c r="B25" t="str">
        <f>IF('Tournament List'!A26&lt;&gt;"",'Tournament List'!A26,"")</f>
        <v>24-1023</v>
      </c>
      <c r="C25" t="str">
        <f>IFERROR(INDEX('Tournament List'!B:B,MATCH($B25,'Tournament List'!$A:$A,0)),"")</f>
        <v>Tim</v>
      </c>
      <c r="D25" t="str">
        <f>IFERROR(INDEX('Tournament List'!C:C,MATCH($B25,'Tournament List'!$A:$A,0)),"")</f>
        <v>Last Name24</v>
      </c>
      <c r="I25">
        <f>IFERROR(INDEX('Skeet Ind Concurrent Ranking'!M:M,MATCH($B25,'Skeet Ind Concurrent Ranking'!$A:$A,0)),"")</f>
        <v>26</v>
      </c>
      <c r="J25" s="278">
        <f>IFERROR(INDEX('Tournament List'!AG:AG,MATCH($B25,'Tournament List'!$A:$A,0)),"")</f>
        <v>70</v>
      </c>
      <c r="K25">
        <f>IFERROR(IF(INDEX('Tournament List'!AA:AA,MATCH($B25,'Tournament List'!$A:$A,0))&gt;0,INDEX('Tournament List'!AA:AA,MATCH($B25,'Tournament List'!$A:$A,0)),""),"")</f>
        <v>10</v>
      </c>
      <c r="L25" s="278" t="str">
        <f>IFERROR(IF(INDEX('Tournament List'!Z:Z,MATCH($B25,'Tournament List'!$A:$A,0))&gt;0,INDEX('Tournament List'!Z:Z,MATCH($B25,'Tournament List'!$A:$A,0)),""),"")</f>
        <v/>
      </c>
      <c r="M25" t="str">
        <f>IFERROR(INDEX('Tournament List'!M:M,MATCH($B25,'Tournament List'!$A:$A,0)),"")</f>
        <v>Novice</v>
      </c>
      <c r="N25" t="str">
        <f>IFERROR(INDEX('Tournament List'!W:W,MATCH($B25,'Tournament List'!$A:$A,0)),"")</f>
        <v/>
      </c>
      <c r="O25" s="1" t="str">
        <f>IFERROR(INDEX('Tournament List'!AD:AD,MATCH($B25,'Tournament List'!$A:$A,0)),"")</f>
        <v>B</v>
      </c>
      <c r="P25" t="str">
        <f>IFERROR(INDEX('Tournament List'!AM:AM,MATCH($B25,'Tournament List'!$A:$A,0)),"")</f>
        <v>Novice Men's Skeet Runner Up</v>
      </c>
      <c r="Q25" t="str">
        <f>IFERROR(INDEX('Tournament List'!AN:AN,MATCH($B25,'Tournament List'!$A:$A,0)),"")</f>
        <v/>
      </c>
      <c r="R25" t="str">
        <f>IFERROR(INDEX('Tournament List'!AO:AO,MATCH($B25,'Tournament List'!$A:$A,0)),"")</f>
        <v/>
      </c>
    </row>
    <row r="26" spans="1:18" x14ac:dyDescent="0.3">
      <c r="A26" s="275">
        <f>IF(B26&lt;&gt;"",'Tournament Setup'!$B$1,"")</f>
        <v>45677</v>
      </c>
      <c r="B26" t="str">
        <f>IF('Tournament List'!A27&lt;&gt;"",'Tournament List'!A27,"")</f>
        <v>24-1024</v>
      </c>
      <c r="C26" t="str">
        <f>IFERROR(INDEX('Tournament List'!B:B,MATCH($B26,'Tournament List'!$A:$A,0)),"")</f>
        <v>Harry</v>
      </c>
      <c r="D26" t="str">
        <f>IFERROR(INDEX('Tournament List'!C:C,MATCH($B26,'Tournament List'!$A:$A,0)),"")</f>
        <v>Last Name25</v>
      </c>
      <c r="I26">
        <f>IFERROR(INDEX('Skeet Ind Concurrent Ranking'!M:M,MATCH($B26,'Skeet Ind Concurrent Ranking'!$A:$A,0)),"")</f>
        <v>25</v>
      </c>
      <c r="J26" s="278">
        <f>IFERROR(INDEX('Tournament List'!AG:AG,MATCH($B26,'Tournament List'!$A:$A,0)),"")</f>
        <v>72</v>
      </c>
      <c r="K26">
        <f>IFERROR(IF(INDEX('Tournament List'!AA:AA,MATCH($B26,'Tournament List'!$A:$A,0))&gt;0,INDEX('Tournament List'!AA:AA,MATCH($B26,'Tournament List'!$A:$A,0)),""),"")</f>
        <v>7</v>
      </c>
      <c r="L26" s="278">
        <f>IFERROR(IF(INDEX('Tournament List'!Z:Z,MATCH($B26,'Tournament List'!$A:$A,0))&gt;0,INDEX('Tournament List'!Z:Z,MATCH($B26,'Tournament List'!$A:$A,0)),""),"")</f>
        <v>239.1</v>
      </c>
      <c r="M26" t="str">
        <f>IFERROR(INDEX('Tournament List'!M:M,MATCH($B26,'Tournament List'!$A:$A,0)),"")</f>
        <v>Varsity</v>
      </c>
      <c r="N26" t="str">
        <f>IFERROR(INDEX('Tournament List'!W:W,MATCH($B26,'Tournament List'!$A:$A,0)),"")</f>
        <v>Open</v>
      </c>
      <c r="O26" s="1" t="str">
        <f>IFERROR(INDEX('Tournament List'!AD:AD,MATCH($B26,'Tournament List'!$A:$A,0)),"")</f>
        <v>B</v>
      </c>
      <c r="P26" t="str">
        <f>IFERROR(INDEX('Tournament List'!AM:AM,MATCH($B26,'Tournament List'!$A:$A,0)),"")</f>
        <v>Varsity Men's Skeet Champion</v>
      </c>
      <c r="Q26" t="str">
        <f>IFERROR(INDEX('Tournament List'!AN:AN,MATCH($B26,'Tournament List'!$A:$A,0)),"")</f>
        <v/>
      </c>
      <c r="R26" t="str">
        <f>IFERROR(INDEX('Tournament List'!AO:AO,MATCH($B26,'Tournament List'!$A:$A,0)),"")</f>
        <v>Open Skeet Team 3rd</v>
      </c>
    </row>
    <row r="27" spans="1:18" x14ac:dyDescent="0.3">
      <c r="A27" s="275">
        <f>IF(B27&lt;&gt;"",'Tournament Setup'!$B$1,"")</f>
        <v>45677</v>
      </c>
      <c r="B27" t="str">
        <f>IF('Tournament List'!A28&lt;&gt;"",'Tournament List'!A28,"")</f>
        <v>24-1025</v>
      </c>
      <c r="C27" t="str">
        <f>IFERROR(INDEX('Tournament List'!B:B,MATCH($B27,'Tournament List'!$A:$A,0)),"")</f>
        <v>Gary</v>
      </c>
      <c r="D27" t="str">
        <f>IFERROR(INDEX('Tournament List'!C:C,MATCH($B27,'Tournament List'!$A:$A,0)),"")</f>
        <v>Last Name26</v>
      </c>
      <c r="I27">
        <f>IFERROR(INDEX('Skeet Ind Concurrent Ranking'!M:M,MATCH($B27,'Skeet Ind Concurrent Ranking'!$A:$A,0)),"")</f>
        <v>12</v>
      </c>
      <c r="J27" s="278">
        <f>IFERROR(INDEX('Tournament List'!AG:AG,MATCH($B27,'Tournament List'!$A:$A,0)),"")</f>
        <v>86</v>
      </c>
      <c r="K27">
        <f>IFERROR(IF(INDEX('Tournament List'!AA:AA,MATCH($B27,'Tournament List'!$A:$A,0))&gt;0,INDEX('Tournament List'!AA:AA,MATCH($B27,'Tournament List'!$A:$A,0)),""),"")</f>
        <v>12</v>
      </c>
      <c r="L27" s="278">
        <f>IFERROR(IF(INDEX('Tournament List'!Z:Z,MATCH($B27,'Tournament List'!$A:$A,0))&gt;0,INDEX('Tournament List'!Z:Z,MATCH($B27,'Tournament List'!$A:$A,0)),""),"")</f>
        <v>239</v>
      </c>
      <c r="M27" t="str">
        <f>IFERROR(INDEX('Tournament List'!M:M,MATCH($B27,'Tournament List'!$A:$A,0)),"")</f>
        <v>Junior Varsity</v>
      </c>
      <c r="N27" t="str">
        <f>IFERROR(INDEX('Tournament List'!W:W,MATCH($B27,'Tournament List'!$A:$A,0)),"")</f>
        <v>Junior Varsity</v>
      </c>
      <c r="O27" s="1" t="str">
        <f>IFERROR(INDEX('Tournament List'!AD:AD,MATCH($B27,'Tournament List'!$A:$A,0)),"")</f>
        <v>B</v>
      </c>
      <c r="P27" t="str">
        <f>IFERROR(INDEX('Tournament List'!AM:AM,MATCH($B27,'Tournament List'!$A:$A,0)),"")</f>
        <v>HOA Men's Skeet 3rd</v>
      </c>
      <c r="Q27" t="str">
        <f>IFERROR(INDEX('Tournament List'!AN:AN,MATCH($B27,'Tournament List'!$A:$A,0)),"")</f>
        <v>B Class Skeet Men's 3rd</v>
      </c>
      <c r="R27" t="str">
        <f>IFERROR(INDEX('Tournament List'!AO:AO,MATCH($B27,'Tournament List'!$A:$A,0)),"")</f>
        <v>Junior Varsity Skeet Team Runner Up</v>
      </c>
    </row>
    <row r="28" spans="1:18" x14ac:dyDescent="0.3">
      <c r="A28" s="275">
        <f>IF(B28&lt;&gt;"",'Tournament Setup'!$B$1,"")</f>
        <v>45677</v>
      </c>
      <c r="B28" t="str">
        <f>IF('Tournament List'!A29&lt;&gt;"",'Tournament List'!A29,"")</f>
        <v>24-1026</v>
      </c>
      <c r="C28" t="str">
        <f>IFERROR(INDEX('Tournament List'!B:B,MATCH($B28,'Tournament List'!$A:$A,0)),"")</f>
        <v>Becky</v>
      </c>
      <c r="D28" t="str">
        <f>IFERROR(INDEX('Tournament List'!C:C,MATCH($B28,'Tournament List'!$A:$A,0)),"")</f>
        <v>Last Name27</v>
      </c>
      <c r="I28">
        <f>IFERROR(INDEX('Skeet Ind Concurrent Ranking'!M:M,MATCH($B28,'Skeet Ind Concurrent Ranking'!$A:$A,0)),"")</f>
        <v>43</v>
      </c>
      <c r="J28" s="278">
        <f>IFERROR(INDEX('Tournament List'!AG:AG,MATCH($B28,'Tournament List'!$A:$A,0)),"")</f>
        <v>45</v>
      </c>
      <c r="K28">
        <f>IFERROR(IF(INDEX('Tournament List'!AA:AA,MATCH($B28,'Tournament List'!$A:$A,0))&gt;0,INDEX('Tournament List'!AA:AA,MATCH($B28,'Tournament List'!$A:$A,0)),""),"")</f>
        <v>6</v>
      </c>
      <c r="L28" s="278">
        <f>IFERROR(IF(INDEX('Tournament List'!Z:Z,MATCH($B28,'Tournament List'!$A:$A,0))&gt;0,INDEX('Tournament List'!Z:Z,MATCH($B28,'Tournament List'!$A:$A,0)),""),"")</f>
        <v>177.1</v>
      </c>
      <c r="M28" t="str">
        <f>IFERROR(INDEX('Tournament List'!M:M,MATCH($B28,'Tournament List'!$A:$A,0)),"")</f>
        <v>Collegiate</v>
      </c>
      <c r="N28" t="str">
        <f>IFERROR(INDEX('Tournament List'!W:W,MATCH($B28,'Tournament List'!$A:$A,0)),"")</f>
        <v>Collegiate</v>
      </c>
      <c r="O28" s="1" t="str">
        <f>IFERROR(INDEX('Tournament List'!AD:AD,MATCH($B28,'Tournament List'!$A:$A,0)),"")</f>
        <v>C</v>
      </c>
      <c r="P28" t="str">
        <f>IFERROR(INDEX('Tournament List'!AM:AM,MATCH($B28,'Tournament List'!$A:$A,0)),"")</f>
        <v>Collegiate Lady's Skeet Champion</v>
      </c>
      <c r="Q28" t="str">
        <f>IFERROR(INDEX('Tournament List'!AN:AN,MATCH($B28,'Tournament List'!$A:$A,0)),"")</f>
        <v>C Class Skeet Lady's Champion</v>
      </c>
      <c r="R28" t="str">
        <f>IFERROR(INDEX('Tournament List'!AO:AO,MATCH($B28,'Tournament List'!$A:$A,0)),"")</f>
        <v>Collegiate Skeet Team Runner Up</v>
      </c>
    </row>
    <row r="29" spans="1:18" x14ac:dyDescent="0.3">
      <c r="A29" s="275">
        <f>IF(B29&lt;&gt;"",'Tournament Setup'!$B$1,"")</f>
        <v>45677</v>
      </c>
      <c r="B29" t="str">
        <f>IF('Tournament List'!A30&lt;&gt;"",'Tournament List'!A30,"")</f>
        <v>24-1027</v>
      </c>
      <c r="C29" t="str">
        <f>IFERROR(INDEX('Tournament List'!B:B,MATCH($B29,'Tournament List'!$A:$A,0)),"")</f>
        <v>Brad</v>
      </c>
      <c r="D29" t="str">
        <f>IFERROR(INDEX('Tournament List'!C:C,MATCH($B29,'Tournament List'!$A:$A,0)),"")</f>
        <v>Last Name28</v>
      </c>
      <c r="I29">
        <f>IFERROR(INDEX('Skeet Ind Concurrent Ranking'!M:M,MATCH($B29,'Skeet Ind Concurrent Ranking'!$A:$A,0)),"")</f>
        <v>32</v>
      </c>
      <c r="J29" s="278">
        <f>IFERROR(INDEX('Tournament List'!AG:AG,MATCH($B29,'Tournament List'!$A:$A,0)),"")</f>
        <v>63</v>
      </c>
      <c r="K29" t="str">
        <f>IFERROR(IF(INDEX('Tournament List'!AA:AA,MATCH($B29,'Tournament List'!$A:$A,0))&gt;0,INDEX('Tournament List'!AA:AA,MATCH($B29,'Tournament List'!$A:$A,0)),""),"")</f>
        <v/>
      </c>
      <c r="L29" s="278">
        <f>IFERROR(IF(INDEX('Tournament List'!Z:Z,MATCH($B29,'Tournament List'!$A:$A,0))&gt;0,INDEX('Tournament List'!Z:Z,MATCH($B29,'Tournament List'!$A:$A,0)),""),"")</f>
        <v>154</v>
      </c>
      <c r="M29" t="str">
        <f>IFERROR(INDEX('Tournament List'!M:M,MATCH($B29,'Tournament List'!$A:$A,0)),"")</f>
        <v>Varsity</v>
      </c>
      <c r="N29" t="str">
        <f>IFERROR(INDEX('Tournament List'!W:W,MATCH($B29,'Tournament List'!$A:$A,0)),"")</f>
        <v>Varsity</v>
      </c>
      <c r="O29" s="1" t="str">
        <f>IFERROR(INDEX('Tournament List'!AD:AD,MATCH($B29,'Tournament List'!$A:$A,0)),"")</f>
        <v>D</v>
      </c>
      <c r="P29" t="str">
        <f>IFERROR(INDEX('Tournament List'!AM:AM,MATCH($B29,'Tournament List'!$A:$A,0)),"")</f>
        <v>Varsity Men's Skeet Runner Up</v>
      </c>
      <c r="Q29" t="str">
        <f>IFERROR(INDEX('Tournament List'!AN:AN,MATCH($B29,'Tournament List'!$A:$A,0)),"")</f>
        <v>D Class Skeet 3rd</v>
      </c>
      <c r="R29" t="str">
        <f>IFERROR(INDEX('Tournament List'!AO:AO,MATCH($B29,'Tournament List'!$A:$A,0)),"")</f>
        <v>Varsity Skeet Team Champion</v>
      </c>
    </row>
    <row r="30" spans="1:18" x14ac:dyDescent="0.3">
      <c r="A30" s="275">
        <f>IF(B30&lt;&gt;"",'Tournament Setup'!$B$1,"")</f>
        <v>45677</v>
      </c>
      <c r="B30" t="str">
        <f>IF('Tournament List'!A31&lt;&gt;"",'Tournament List'!A31,"")</f>
        <v>24-1028</v>
      </c>
      <c r="C30" t="str">
        <f>IFERROR(INDEX('Tournament List'!B:B,MATCH($B30,'Tournament List'!$A:$A,0)),"")</f>
        <v>Alan</v>
      </c>
      <c r="D30" t="str">
        <f>IFERROR(INDEX('Tournament List'!C:C,MATCH($B30,'Tournament List'!$A:$A,0)),"")</f>
        <v>Last Name29</v>
      </c>
      <c r="I30">
        <f>IFERROR(INDEX('Skeet Ind Concurrent Ranking'!M:M,MATCH($B30,'Skeet Ind Concurrent Ranking'!$A:$A,0)),"")</f>
        <v>18</v>
      </c>
      <c r="J30" s="278">
        <f>IFERROR(INDEX('Tournament List'!AG:AG,MATCH($B30,'Tournament List'!$A:$A,0)),"")</f>
        <v>80</v>
      </c>
      <c r="K30" t="str">
        <f>IFERROR(IF(INDEX('Tournament List'!AA:AA,MATCH($B30,'Tournament List'!$A:$A,0))&gt;0,INDEX('Tournament List'!AA:AA,MATCH($B30,'Tournament List'!$A:$A,0)),""),"")</f>
        <v/>
      </c>
      <c r="L30" s="278">
        <f>IFERROR(IF(INDEX('Tournament List'!Z:Z,MATCH($B30,'Tournament List'!$A:$A,0))&gt;0,INDEX('Tournament List'!Z:Z,MATCH($B30,'Tournament List'!$A:$A,0)),""),"")</f>
        <v>239.2</v>
      </c>
      <c r="M30" t="str">
        <f>IFERROR(INDEX('Tournament List'!M:M,MATCH($B30,'Tournament List'!$A:$A,0)),"")</f>
        <v>Junior Varsity</v>
      </c>
      <c r="N30" t="str">
        <f>IFERROR(INDEX('Tournament List'!W:W,MATCH($B30,'Tournament List'!$A:$A,0)),"")</f>
        <v>Junior Varsity</v>
      </c>
      <c r="O30" s="1" t="str">
        <f>IFERROR(INDEX('Tournament List'!AD:AD,MATCH($B30,'Tournament List'!$A:$A,0)),"")</f>
        <v>A</v>
      </c>
      <c r="P30" t="str">
        <f>IFERROR(INDEX('Tournament List'!AM:AM,MATCH($B30,'Tournament List'!$A:$A,0)),"")</f>
        <v>Jr Varsity Skeet Champion</v>
      </c>
      <c r="Q30" t="str">
        <f>IFERROR(INDEX('Tournament List'!AN:AN,MATCH($B30,'Tournament List'!$A:$A,0)),"")</f>
        <v>A Class Skeet Men's Champion</v>
      </c>
      <c r="R30" t="str">
        <f>IFERROR(INDEX('Tournament List'!AO:AO,MATCH($B30,'Tournament List'!$A:$A,0)),"")</f>
        <v>Junior Varsity Skeet Team Champion</v>
      </c>
    </row>
    <row r="31" spans="1:18" x14ac:dyDescent="0.3">
      <c r="A31" s="275">
        <f>IF(B31&lt;&gt;"",'Tournament Setup'!$B$1,"")</f>
        <v>45677</v>
      </c>
      <c r="B31" t="str">
        <f>IF('Tournament List'!A32&lt;&gt;"",'Tournament List'!A32,"")</f>
        <v>24-1029</v>
      </c>
      <c r="C31" t="str">
        <f>IFERROR(INDEX('Tournament List'!B:B,MATCH($B31,'Tournament List'!$A:$A,0)),"")</f>
        <v>Judy</v>
      </c>
      <c r="D31" t="str">
        <f>IFERROR(INDEX('Tournament List'!C:C,MATCH($B31,'Tournament List'!$A:$A,0)),"")</f>
        <v>Last Name30</v>
      </c>
      <c r="I31">
        <f>IFERROR(INDEX('Skeet Ind Concurrent Ranking'!M:M,MATCH($B31,'Skeet Ind Concurrent Ranking'!$A:$A,0)),"")</f>
        <v>41</v>
      </c>
      <c r="J31" s="278">
        <f>IFERROR(INDEX('Tournament List'!AG:AG,MATCH($B31,'Tournament List'!$A:$A,0)),"")</f>
        <v>51</v>
      </c>
      <c r="K31" t="str">
        <f>IFERROR(IF(INDEX('Tournament List'!AA:AA,MATCH($B31,'Tournament List'!$A:$A,0))&gt;0,INDEX('Tournament List'!AA:AA,MATCH($B31,'Tournament List'!$A:$A,0)),""),"")</f>
        <v/>
      </c>
      <c r="L31" s="278">
        <f>IFERROR(IF(INDEX('Tournament List'!Z:Z,MATCH($B31,'Tournament List'!$A:$A,0))&gt;0,INDEX('Tournament List'!Z:Z,MATCH($B31,'Tournament List'!$A:$A,0)),""),"")</f>
        <v>189</v>
      </c>
      <c r="M31" t="str">
        <f>IFERROR(INDEX('Tournament List'!M:M,MATCH($B31,'Tournament List'!$A:$A,0)),"")</f>
        <v>Collegiate</v>
      </c>
      <c r="N31" t="str">
        <f>IFERROR(INDEX('Tournament List'!W:W,MATCH($B31,'Tournament List'!$A:$A,0)),"")</f>
        <v>Collegiate</v>
      </c>
      <c r="O31" s="1" t="str">
        <f>IFERROR(INDEX('Tournament List'!AD:AD,MATCH($B31,'Tournament List'!$A:$A,0)),"")</f>
        <v>A</v>
      </c>
      <c r="P31" t="str">
        <f>IFERROR(INDEX('Tournament List'!AM:AM,MATCH($B31,'Tournament List'!$A:$A,0)),"")</f>
        <v>Collegiate Skeet 3rd</v>
      </c>
      <c r="Q31" t="str">
        <f>IFERROR(INDEX('Tournament List'!AN:AN,MATCH($B31,'Tournament List'!$A:$A,0)),"")</f>
        <v>A Class Skeet Lady's Champion</v>
      </c>
      <c r="R31" t="str">
        <f>IFERROR(INDEX('Tournament List'!AO:AO,MATCH($B31,'Tournament List'!$A:$A,0)),"")</f>
        <v>Collegiate Skeet Team Champion</v>
      </c>
    </row>
    <row r="32" spans="1:18" x14ac:dyDescent="0.3">
      <c r="A32" s="275">
        <f>IF(B32&lt;&gt;"",'Tournament Setup'!$B$1,"")</f>
        <v>45677</v>
      </c>
      <c r="B32" t="str">
        <f>IF('Tournament List'!A33&lt;&gt;"",'Tournament List'!A33,"")</f>
        <v>24-1030</v>
      </c>
      <c r="C32" t="str">
        <f>IFERROR(INDEX('Tournament List'!B:B,MATCH($B32,'Tournament List'!$A:$A,0)),"")</f>
        <v>Shelly</v>
      </c>
      <c r="D32" t="str">
        <f>IFERROR(INDEX('Tournament List'!C:C,MATCH($B32,'Tournament List'!$A:$A,0)),"")</f>
        <v>Last Name31</v>
      </c>
      <c r="I32">
        <f>IFERROR(INDEX('Skeet Ind Concurrent Ranking'!M:M,MATCH($B32,'Skeet Ind Concurrent Ranking'!$A:$A,0)),"")</f>
        <v>6</v>
      </c>
      <c r="J32" s="278">
        <f>IFERROR(INDEX('Tournament List'!AG:AG,MATCH($B32,'Tournament List'!$A:$A,0)),"")</f>
        <v>92</v>
      </c>
      <c r="K32" t="str">
        <f>IFERROR(IF(INDEX('Tournament List'!AA:AA,MATCH($B32,'Tournament List'!$A:$A,0))&gt;0,INDEX('Tournament List'!AA:AA,MATCH($B32,'Tournament List'!$A:$A,0)),""),"")</f>
        <v/>
      </c>
      <c r="L32" s="278">
        <f>IFERROR(IF(INDEX('Tournament List'!Z:Z,MATCH($B32,'Tournament List'!$A:$A,0))&gt;0,INDEX('Tournament List'!Z:Z,MATCH($B32,'Tournament List'!$A:$A,0)),""),"")</f>
        <v>277</v>
      </c>
      <c r="M32" t="str">
        <f>IFERROR(INDEX('Tournament List'!M:M,MATCH($B32,'Tournament List'!$A:$A,0)),"")</f>
        <v>Intermediate</v>
      </c>
      <c r="N32" t="str">
        <f>IFERROR(INDEX('Tournament List'!W:W,MATCH($B32,'Tournament List'!$A:$A,0)),"")</f>
        <v>Intermediate</v>
      </c>
      <c r="O32" s="1" t="str">
        <f>IFERROR(INDEX('Tournament List'!AD:AD,MATCH($B32,'Tournament List'!$A:$A,0)),"")</f>
        <v>B</v>
      </c>
      <c r="P32" t="str">
        <f>IFERROR(INDEX('Tournament List'!AM:AM,MATCH($B32,'Tournament List'!$A:$A,0)),"")</f>
        <v>HOA Lady's Skeet 3rd</v>
      </c>
      <c r="Q32" t="str">
        <f>IFERROR(INDEX('Tournament List'!AN:AN,MATCH($B32,'Tournament List'!$A:$A,0)),"")</f>
        <v>B Class Skeet Lady's Champion</v>
      </c>
      <c r="R32" t="str">
        <f>IFERROR(INDEX('Tournament List'!AO:AO,MATCH($B32,'Tournament List'!$A:$A,0)),"")</f>
        <v>Intermediate Skeet Team Champion</v>
      </c>
    </row>
    <row r="33" spans="1:18" x14ac:dyDescent="0.3">
      <c r="A33" s="275">
        <f>IF(B33&lt;&gt;"",'Tournament Setup'!$B$1,"")</f>
        <v>45677</v>
      </c>
      <c r="B33" t="str">
        <f>IF('Tournament List'!A34&lt;&gt;"",'Tournament List'!A34,"")</f>
        <v>24-1031</v>
      </c>
      <c r="C33" t="str">
        <f>IFERROR(INDEX('Tournament List'!B:B,MATCH($B33,'Tournament List'!$A:$A,0)),"")</f>
        <v>Kelly</v>
      </c>
      <c r="D33" t="str">
        <f>IFERROR(INDEX('Tournament List'!C:C,MATCH($B33,'Tournament List'!$A:$A,0)),"")</f>
        <v>Last Name32</v>
      </c>
      <c r="I33">
        <f>IFERROR(INDEX('Skeet Ind Concurrent Ranking'!M:M,MATCH($B33,'Skeet Ind Concurrent Ranking'!$A:$A,0)),"")</f>
        <v>48</v>
      </c>
      <c r="J33" s="278">
        <f>IFERROR(INDEX('Tournament List'!AG:AG,MATCH($B33,'Tournament List'!$A:$A,0)),"")</f>
        <v>29</v>
      </c>
      <c r="K33" t="str">
        <f>IFERROR(IF(INDEX('Tournament List'!AA:AA,MATCH($B33,'Tournament List'!$A:$A,0))&gt;0,INDEX('Tournament List'!AA:AA,MATCH($B33,'Tournament List'!$A:$A,0)),""),"")</f>
        <v/>
      </c>
      <c r="L33" s="278">
        <f>IFERROR(IF(INDEX('Tournament List'!Z:Z,MATCH($B33,'Tournament List'!$A:$A,0))&gt;0,INDEX('Tournament List'!Z:Z,MATCH($B33,'Tournament List'!$A:$A,0)),""),"")</f>
        <v>177</v>
      </c>
      <c r="M33" t="str">
        <f>IFERROR(INDEX('Tournament List'!M:M,MATCH($B33,'Tournament List'!$A:$A,0)),"")</f>
        <v>Intermediate</v>
      </c>
      <c r="N33" t="str">
        <f>IFERROR(INDEX('Tournament List'!W:W,MATCH($B33,'Tournament List'!$A:$A,0)),"")</f>
        <v>Intermediate</v>
      </c>
      <c r="O33" s="1" t="str">
        <f>IFERROR(INDEX('Tournament List'!AD:AD,MATCH($B33,'Tournament List'!$A:$A,0)),"")</f>
        <v>C</v>
      </c>
      <c r="P33" t="str">
        <f>IFERROR(INDEX('Tournament List'!AM:AM,MATCH($B33,'Tournament List'!$A:$A,0)),"")</f>
        <v>Intermediate Lady's Skeet Champion</v>
      </c>
      <c r="Q33" t="str">
        <f>IFERROR(INDEX('Tournament List'!AN:AN,MATCH($B33,'Tournament List'!$A:$A,0)),"")</f>
        <v>C Class Skeet Lady's Runner Up</v>
      </c>
      <c r="R33" t="str">
        <f>IFERROR(INDEX('Tournament List'!AO:AO,MATCH($B33,'Tournament List'!$A:$A,0)),"")</f>
        <v>Intermediate Skeet Team 3rd</v>
      </c>
    </row>
    <row r="34" spans="1:18" x14ac:dyDescent="0.3">
      <c r="A34" s="275">
        <f>IF(B34&lt;&gt;"",'Tournament Setup'!$B$1,"")</f>
        <v>45677</v>
      </c>
      <c r="B34" t="str">
        <f>IF('Tournament List'!A35&lt;&gt;"",'Tournament List'!A35,"")</f>
        <v>24-1032</v>
      </c>
      <c r="C34" t="str">
        <f>IFERROR(INDEX('Tournament List'!B:B,MATCH($B34,'Tournament List'!$A:$A,0)),"")</f>
        <v>Missy</v>
      </c>
      <c r="D34" t="str">
        <f>IFERROR(INDEX('Tournament List'!C:C,MATCH($B34,'Tournament List'!$A:$A,0)),"")</f>
        <v>Last Name33</v>
      </c>
      <c r="I34">
        <f>IFERROR(INDEX('Skeet Ind Concurrent Ranking'!M:M,MATCH($B34,'Skeet Ind Concurrent Ranking'!$A:$A,0)),"")</f>
        <v>21</v>
      </c>
      <c r="J34" s="278">
        <f>IFERROR(INDEX('Tournament List'!AG:AG,MATCH($B34,'Tournament List'!$A:$A,0)),"")</f>
        <v>73</v>
      </c>
      <c r="K34" t="str">
        <f>IFERROR(IF(INDEX('Tournament List'!AA:AA,MATCH($B34,'Tournament List'!$A:$A,0))&gt;0,INDEX('Tournament List'!AA:AA,MATCH($B34,'Tournament List'!$A:$A,0)),""),"")</f>
        <v/>
      </c>
      <c r="L34" s="278">
        <f>IFERROR(IF(INDEX('Tournament List'!Z:Z,MATCH($B34,'Tournament List'!$A:$A,0))&gt;0,INDEX('Tournament List'!Z:Z,MATCH($B34,'Tournament List'!$A:$A,0)),""),"")</f>
        <v>199</v>
      </c>
      <c r="M34" t="str">
        <f>IFERROR(INDEX('Tournament List'!M:M,MATCH($B34,'Tournament List'!$A:$A,0)),"")</f>
        <v>Novice</v>
      </c>
      <c r="N34" t="str">
        <f>IFERROR(INDEX('Tournament List'!W:W,MATCH($B34,'Tournament List'!$A:$A,0)),"")</f>
        <v>Novice</v>
      </c>
      <c r="O34" s="1" t="str">
        <f>IFERROR(INDEX('Tournament List'!AD:AD,MATCH($B34,'Tournament List'!$A:$A,0)),"")</f>
        <v>B</v>
      </c>
      <c r="P34" t="str">
        <f>IFERROR(INDEX('Tournament List'!AM:AM,MATCH($B34,'Tournament List'!$A:$A,0)),"")</f>
        <v>Novice Skeet 3rd</v>
      </c>
      <c r="Q34" t="str">
        <f>IFERROR(INDEX('Tournament List'!AN:AN,MATCH($B34,'Tournament List'!$A:$A,0)),"")</f>
        <v>B Class Skeet Lady's 3rd</v>
      </c>
      <c r="R34" t="str">
        <f>IFERROR(INDEX('Tournament List'!AO:AO,MATCH($B34,'Tournament List'!$A:$A,0)),"")</f>
        <v>Novice Skeet Team 3rd</v>
      </c>
    </row>
    <row r="35" spans="1:18" x14ac:dyDescent="0.3">
      <c r="A35" s="275">
        <f>IF(B35&lt;&gt;"",'Tournament Setup'!$B$1,"")</f>
        <v>45677</v>
      </c>
      <c r="B35" t="str">
        <f>IF('Tournament List'!A36&lt;&gt;"",'Tournament List'!A36,"")</f>
        <v>24-1033</v>
      </c>
      <c r="C35" t="str">
        <f>IFERROR(INDEX('Tournament List'!B:B,MATCH($B35,'Tournament List'!$A:$A,0)),"")</f>
        <v>Marty</v>
      </c>
      <c r="D35" t="str">
        <f>IFERROR(INDEX('Tournament List'!C:C,MATCH($B35,'Tournament List'!$A:$A,0)),"")</f>
        <v>Last Name34</v>
      </c>
      <c r="I35">
        <f>IFERROR(INDEX('Skeet Ind Concurrent Ranking'!M:M,MATCH($B35,'Skeet Ind Concurrent Ranking'!$A:$A,0)),"")</f>
        <v>28</v>
      </c>
      <c r="J35" s="278">
        <f>IFERROR(INDEX('Tournament List'!AG:AG,MATCH($B35,'Tournament List'!$A:$A,0)),"")</f>
        <v>68</v>
      </c>
      <c r="K35" t="str">
        <f>IFERROR(IF(INDEX('Tournament List'!AA:AA,MATCH($B35,'Tournament List'!$A:$A,0))&gt;0,INDEX('Tournament List'!AA:AA,MATCH($B35,'Tournament List'!$A:$A,0)),""),"")</f>
        <v/>
      </c>
      <c r="L35" s="278">
        <f>IFERROR(IF(INDEX('Tournament List'!Z:Z,MATCH($B35,'Tournament List'!$A:$A,0))&gt;0,INDEX('Tournament List'!Z:Z,MATCH($B35,'Tournament List'!$A:$A,0)),""),"")</f>
        <v>231</v>
      </c>
      <c r="M35" t="str">
        <f>IFERROR(INDEX('Tournament List'!M:M,MATCH($B35,'Tournament List'!$A:$A,0)),"")</f>
        <v>Intermediate</v>
      </c>
      <c r="N35" t="str">
        <f>IFERROR(INDEX('Tournament List'!W:W,MATCH($B35,'Tournament List'!$A:$A,0)),"")</f>
        <v>Intermediate</v>
      </c>
      <c r="O35" s="1" t="str">
        <f>IFERROR(INDEX('Tournament List'!AD:AD,MATCH($B35,'Tournament List'!$A:$A,0)),"")</f>
        <v>A</v>
      </c>
      <c r="P35" t="str">
        <f>IFERROR(INDEX('Tournament List'!AM:AM,MATCH($B35,'Tournament List'!$A:$A,0)),"")</f>
        <v>Intermediate Men's Skeet Runner Up</v>
      </c>
      <c r="Q35" t="str">
        <f>IFERROR(INDEX('Tournament List'!AN:AN,MATCH($B35,'Tournament List'!$A:$A,0)),"")</f>
        <v>A Class Skeet Men's 3rd</v>
      </c>
      <c r="R35" t="str">
        <f>IFERROR(INDEX('Tournament List'!AO:AO,MATCH($B35,'Tournament List'!$A:$A,0)),"")</f>
        <v>Intermediate Skeet Team Runner Up</v>
      </c>
    </row>
    <row r="36" spans="1:18" x14ac:dyDescent="0.3">
      <c r="A36" s="275">
        <f>IF(B36&lt;&gt;"",'Tournament Setup'!$B$1,"")</f>
        <v>45677</v>
      </c>
      <c r="B36" t="str">
        <f>IF('Tournament List'!A37&lt;&gt;"",'Tournament List'!A37,"")</f>
        <v>24-1034</v>
      </c>
      <c r="C36" t="str">
        <f>IFERROR(INDEX('Tournament List'!B:B,MATCH($B36,'Tournament List'!$A:$A,0)),"")</f>
        <v>Patricia</v>
      </c>
      <c r="D36" t="str">
        <f>IFERROR(INDEX('Tournament List'!C:C,MATCH($B36,'Tournament List'!$A:$A,0)),"")</f>
        <v>Last Name35</v>
      </c>
      <c r="I36">
        <f>IFERROR(INDEX('Skeet Ind Concurrent Ranking'!M:M,MATCH($B36,'Skeet Ind Concurrent Ranking'!$A:$A,0)),"")</f>
        <v>4</v>
      </c>
      <c r="J36" s="278">
        <f>IFERROR(INDEX('Tournament List'!AG:AG,MATCH($B36,'Tournament List'!$A:$A,0)),"")</f>
        <v>95</v>
      </c>
      <c r="K36" t="str">
        <f>IFERROR(IF(INDEX('Tournament List'!AA:AA,MATCH($B36,'Tournament List'!$A:$A,0))&gt;0,INDEX('Tournament List'!AA:AA,MATCH($B36,'Tournament List'!$A:$A,0)),""),"")</f>
        <v/>
      </c>
      <c r="L36" s="278">
        <f>IFERROR(IF(INDEX('Tournament List'!Z:Z,MATCH($B36,'Tournament List'!$A:$A,0))&gt;0,INDEX('Tournament List'!Z:Z,MATCH($B36,'Tournament List'!$A:$A,0)),""),"")</f>
        <v>220</v>
      </c>
      <c r="M36" t="str">
        <f>IFERROR(INDEX('Tournament List'!M:M,MATCH($B36,'Tournament List'!$A:$A,0)),"")</f>
        <v>Novice</v>
      </c>
      <c r="N36" t="str">
        <f>IFERROR(INDEX('Tournament List'!W:W,MATCH($B36,'Tournament List'!$A:$A,0)),"")</f>
        <v>Novice</v>
      </c>
      <c r="O36" s="1" t="str">
        <f>IFERROR(INDEX('Tournament List'!AD:AD,MATCH($B36,'Tournament List'!$A:$A,0)),"")</f>
        <v>A</v>
      </c>
      <c r="P36" t="str">
        <f>IFERROR(INDEX('Tournament List'!AM:AM,MATCH($B36,'Tournament List'!$A:$A,0)),"")</f>
        <v>HOA Lady's Skeet Champion</v>
      </c>
      <c r="Q36" t="str">
        <f>IFERROR(INDEX('Tournament List'!AN:AN,MATCH($B36,'Tournament List'!$A:$A,0)),"")</f>
        <v>A Class Skeet Champion</v>
      </c>
      <c r="R36" t="str">
        <f>IFERROR(INDEX('Tournament List'!AO:AO,MATCH($B36,'Tournament List'!$A:$A,0)),"")</f>
        <v>Novice Skeet Team 3rd</v>
      </c>
    </row>
    <row r="37" spans="1:18" x14ac:dyDescent="0.3">
      <c r="A37" s="275">
        <f>IF(B37&lt;&gt;"",'Tournament Setup'!$B$1,"")</f>
        <v>45677</v>
      </c>
      <c r="B37" t="str">
        <f>IF('Tournament List'!A38&lt;&gt;"",'Tournament List'!A38,"")</f>
        <v>24-1035</v>
      </c>
      <c r="C37" t="str">
        <f>IFERROR(INDEX('Tournament List'!B:B,MATCH($B37,'Tournament List'!$A:$A,0)),"")</f>
        <v>Randy</v>
      </c>
      <c r="D37" t="str">
        <f>IFERROR(INDEX('Tournament List'!C:C,MATCH($B37,'Tournament List'!$A:$A,0)),"")</f>
        <v>Last Name36</v>
      </c>
      <c r="I37">
        <f>IFERROR(INDEX('Skeet Ind Concurrent Ranking'!M:M,MATCH($B37,'Skeet Ind Concurrent Ranking'!$A:$A,0)),"")</f>
        <v>31</v>
      </c>
      <c r="J37" s="278">
        <f>IFERROR(INDEX('Tournament List'!AG:AG,MATCH($B37,'Tournament List'!$A:$A,0)),"")</f>
        <v>63.1</v>
      </c>
      <c r="K37" t="str">
        <f>IFERROR(IF(INDEX('Tournament List'!AA:AA,MATCH($B37,'Tournament List'!$A:$A,0))&gt;0,INDEX('Tournament List'!AA:AA,MATCH($B37,'Tournament List'!$A:$A,0)),""),"")</f>
        <v/>
      </c>
      <c r="L37" s="278">
        <f>IFERROR(IF(INDEX('Tournament List'!Z:Z,MATCH($B37,'Tournament List'!$A:$A,0))&gt;0,INDEX('Tournament List'!Z:Z,MATCH($B37,'Tournament List'!$A:$A,0)),""),"")</f>
        <v>174</v>
      </c>
      <c r="M37" t="str">
        <f>IFERROR(INDEX('Tournament List'!M:M,MATCH($B37,'Tournament List'!$A:$A,0)),"")</f>
        <v>Novice</v>
      </c>
      <c r="N37" t="str">
        <f>IFERROR(INDEX('Tournament List'!W:W,MATCH($B37,'Tournament List'!$A:$A,0)),"")</f>
        <v>Novice</v>
      </c>
      <c r="O37" s="1" t="str">
        <f>IFERROR(INDEX('Tournament List'!AD:AD,MATCH($B37,'Tournament List'!$A:$A,0)),"")</f>
        <v>C</v>
      </c>
      <c r="P37" t="str">
        <f>IFERROR(INDEX('Tournament List'!AM:AM,MATCH($B37,'Tournament List'!$A:$A,0)),"")</f>
        <v/>
      </c>
      <c r="Q37" t="str">
        <f>IFERROR(INDEX('Tournament List'!AN:AN,MATCH($B37,'Tournament List'!$A:$A,0)),"")</f>
        <v/>
      </c>
      <c r="R37" t="str">
        <f>IFERROR(INDEX('Tournament List'!AO:AO,MATCH($B37,'Tournament List'!$A:$A,0)),"")</f>
        <v>Novice Skeet Team 3rd</v>
      </c>
    </row>
    <row r="38" spans="1:18" x14ac:dyDescent="0.3">
      <c r="A38" s="275">
        <f>IF(B38&lt;&gt;"",'Tournament Setup'!$B$1,"")</f>
        <v>45677</v>
      </c>
      <c r="B38" t="str">
        <f>IF('Tournament List'!A39&lt;&gt;"",'Tournament List'!A39,"")</f>
        <v>24-1036</v>
      </c>
      <c r="C38" t="str">
        <f>IFERROR(INDEX('Tournament List'!B:B,MATCH($B38,'Tournament List'!$A:$A,0)),"")</f>
        <v>Will</v>
      </c>
      <c r="D38" t="str">
        <f>IFERROR(INDEX('Tournament List'!C:C,MATCH($B38,'Tournament List'!$A:$A,0)),"")</f>
        <v>Last Name37</v>
      </c>
      <c r="I38">
        <f>IFERROR(INDEX('Skeet Ind Concurrent Ranking'!M:M,MATCH($B38,'Skeet Ind Concurrent Ranking'!$A:$A,0)),"")</f>
        <v>13</v>
      </c>
      <c r="J38" s="278">
        <f>IFERROR(INDEX('Tournament List'!AG:AG,MATCH($B38,'Tournament List'!$A:$A,0)),"")</f>
        <v>85</v>
      </c>
      <c r="K38" t="str">
        <f>IFERROR(IF(INDEX('Tournament List'!AA:AA,MATCH($B38,'Tournament List'!$A:$A,0))&gt;0,INDEX('Tournament List'!AA:AA,MATCH($B38,'Tournament List'!$A:$A,0)),""),"")</f>
        <v/>
      </c>
      <c r="L38" s="278">
        <f>IFERROR(IF(INDEX('Tournament List'!Z:Z,MATCH($B38,'Tournament List'!$A:$A,0))&gt;0,INDEX('Tournament List'!Z:Z,MATCH($B38,'Tournament List'!$A:$A,0)),""),"")</f>
        <v>239.1</v>
      </c>
      <c r="M38" t="str">
        <f>IFERROR(INDEX('Tournament List'!M:M,MATCH($B38,'Tournament List'!$A:$A,0)),"")</f>
        <v>Varsity</v>
      </c>
      <c r="N38" t="str">
        <f>IFERROR(INDEX('Tournament List'!W:W,MATCH($B38,'Tournament List'!$A:$A,0)),"")</f>
        <v>Open</v>
      </c>
      <c r="O38" s="1" t="str">
        <f>IFERROR(INDEX('Tournament List'!AD:AD,MATCH($B38,'Tournament List'!$A:$A,0)),"")</f>
        <v>B</v>
      </c>
      <c r="P38" t="str">
        <f>IFERROR(INDEX('Tournament List'!AM:AM,MATCH($B38,'Tournament List'!$A:$A,0)),"")</f>
        <v>Varsity Skeet Champion</v>
      </c>
      <c r="Q38" t="str">
        <f>IFERROR(INDEX('Tournament List'!AN:AN,MATCH($B38,'Tournament List'!$A:$A,0)),"")</f>
        <v/>
      </c>
      <c r="R38" t="str">
        <f>IFERROR(INDEX('Tournament List'!AO:AO,MATCH($B38,'Tournament List'!$A:$A,0)),"")</f>
        <v>Open Skeet Team 3rd</v>
      </c>
    </row>
    <row r="39" spans="1:18" x14ac:dyDescent="0.3">
      <c r="A39" s="275">
        <f>IF(B39&lt;&gt;"",'Tournament Setup'!$B$1,"")</f>
        <v>45677</v>
      </c>
      <c r="B39" t="str">
        <f>IF('Tournament List'!A40&lt;&gt;"",'Tournament List'!A40,"")</f>
        <v>24-1037</v>
      </c>
      <c r="C39" t="str">
        <f>IFERROR(INDEX('Tournament List'!B:B,MATCH($B39,'Tournament List'!$A:$A,0)),"")</f>
        <v>Stuart</v>
      </c>
      <c r="D39" t="str">
        <f>IFERROR(INDEX('Tournament List'!C:C,MATCH($B39,'Tournament List'!$A:$A,0)),"")</f>
        <v>Last Name38</v>
      </c>
      <c r="I39">
        <f>IFERROR(INDEX('Skeet Ind Concurrent Ranking'!M:M,MATCH($B39,'Skeet Ind Concurrent Ranking'!$A:$A,0)),"")</f>
        <v>10</v>
      </c>
      <c r="J39" s="278">
        <f>IFERROR(INDEX('Tournament List'!AG:AG,MATCH($B39,'Tournament List'!$A:$A,0)),"")</f>
        <v>89</v>
      </c>
      <c r="K39" t="str">
        <f>IFERROR(IF(INDEX('Tournament List'!AA:AA,MATCH($B39,'Tournament List'!$A:$A,0))&gt;0,INDEX('Tournament List'!AA:AA,MATCH($B39,'Tournament List'!$A:$A,0)),""),"")</f>
        <v/>
      </c>
      <c r="L39" s="278">
        <f>IFERROR(IF(INDEX('Tournament List'!Z:Z,MATCH($B39,'Tournament List'!$A:$A,0))&gt;0,INDEX('Tournament List'!Z:Z,MATCH($B39,'Tournament List'!$A:$A,0)),""),"")</f>
        <v>239</v>
      </c>
      <c r="M39" t="str">
        <f>IFERROR(INDEX('Tournament List'!M:M,MATCH($B39,'Tournament List'!$A:$A,0)),"")</f>
        <v>Junior Varsity</v>
      </c>
      <c r="N39" t="str">
        <f>IFERROR(INDEX('Tournament List'!W:W,MATCH($B39,'Tournament List'!$A:$A,0)),"")</f>
        <v>Junior Varsity</v>
      </c>
      <c r="O39" s="1" t="str">
        <f>IFERROR(INDEX('Tournament List'!AD:AD,MATCH($B39,'Tournament List'!$A:$A,0)),"")</f>
        <v>B</v>
      </c>
      <c r="P39" t="str">
        <f>IFERROR(INDEX('Tournament List'!AM:AM,MATCH($B39,'Tournament List'!$A:$A,0)),"")</f>
        <v>HOA Men's Skeet Runner Up</v>
      </c>
      <c r="Q39" t="str">
        <f>IFERROR(INDEX('Tournament List'!AN:AN,MATCH($B39,'Tournament List'!$A:$A,0)),"")</f>
        <v>B Class Skeet Men's Runner Up</v>
      </c>
      <c r="R39" t="str">
        <f>IFERROR(INDEX('Tournament List'!AO:AO,MATCH($B39,'Tournament List'!$A:$A,0)),"")</f>
        <v>Junior Varsity Skeet Team Runner Up</v>
      </c>
    </row>
    <row r="40" spans="1:18" x14ac:dyDescent="0.3">
      <c r="A40" s="275">
        <f>IF(B40&lt;&gt;"",'Tournament Setup'!$B$1,"")</f>
        <v>45677</v>
      </c>
      <c r="B40" t="str">
        <f>IF('Tournament List'!A41&lt;&gt;"",'Tournament List'!A41,"")</f>
        <v>24-1038</v>
      </c>
      <c r="C40" t="str">
        <f>IFERROR(INDEX('Tournament List'!B:B,MATCH($B40,'Tournament List'!$A:$A,0)),"")</f>
        <v>Chad</v>
      </c>
      <c r="D40" t="str">
        <f>IFERROR(INDEX('Tournament List'!C:C,MATCH($B40,'Tournament List'!$A:$A,0)),"")</f>
        <v>Last Name39</v>
      </c>
      <c r="I40">
        <f>IFERROR(INDEX('Skeet Ind Concurrent Ranking'!M:M,MATCH($B40,'Skeet Ind Concurrent Ranking'!$A:$A,0)),"")</f>
        <v>44</v>
      </c>
      <c r="J40" s="278">
        <f>IFERROR(INDEX('Tournament List'!AG:AG,MATCH($B40,'Tournament List'!$A:$A,0)),"")</f>
        <v>43</v>
      </c>
      <c r="K40" t="str">
        <f>IFERROR(IF(INDEX('Tournament List'!AA:AA,MATCH($B40,'Tournament List'!$A:$A,0))&gt;0,INDEX('Tournament List'!AA:AA,MATCH($B40,'Tournament List'!$A:$A,0)),""),"")</f>
        <v/>
      </c>
      <c r="L40" s="278">
        <f>IFERROR(IF(INDEX('Tournament List'!Z:Z,MATCH($B40,'Tournament List'!$A:$A,0))&gt;0,INDEX('Tournament List'!Z:Z,MATCH($B40,'Tournament List'!$A:$A,0)),""),"")</f>
        <v>177.1</v>
      </c>
      <c r="M40" t="str">
        <f>IFERROR(INDEX('Tournament List'!M:M,MATCH($B40,'Tournament List'!$A:$A,0)),"")</f>
        <v>Collegiate</v>
      </c>
      <c r="N40" t="str">
        <f>IFERROR(INDEX('Tournament List'!W:W,MATCH($B40,'Tournament List'!$A:$A,0)),"")</f>
        <v>Collegiate</v>
      </c>
      <c r="O40" s="1" t="str">
        <f>IFERROR(INDEX('Tournament List'!AD:AD,MATCH($B40,'Tournament List'!$A:$A,0)),"")</f>
        <v>C</v>
      </c>
      <c r="P40" t="str">
        <f>IFERROR(INDEX('Tournament List'!AM:AM,MATCH($B40,'Tournament List'!$A:$A,0)),"")</f>
        <v>Collegiate Men's Skeet Runner Up</v>
      </c>
      <c r="Q40" t="str">
        <f>IFERROR(INDEX('Tournament List'!AN:AN,MATCH($B40,'Tournament List'!$A:$A,0)),"")</f>
        <v/>
      </c>
      <c r="R40" t="str">
        <f>IFERROR(INDEX('Tournament List'!AO:AO,MATCH($B40,'Tournament List'!$A:$A,0)),"")</f>
        <v>Collegiate Skeet Team Runner Up</v>
      </c>
    </row>
    <row r="41" spans="1:18" x14ac:dyDescent="0.3">
      <c r="A41" s="275">
        <f>IF(B41&lt;&gt;"",'Tournament Setup'!$B$1,"")</f>
        <v>45677</v>
      </c>
      <c r="B41" t="str">
        <f>IF('Tournament List'!A42&lt;&gt;"",'Tournament List'!A42,"")</f>
        <v>24-1039</v>
      </c>
      <c r="C41" t="str">
        <f>IFERROR(INDEX('Tournament List'!B:B,MATCH($B41,'Tournament List'!$A:$A,0)),"")</f>
        <v>Troy</v>
      </c>
      <c r="D41" t="str">
        <f>IFERROR(INDEX('Tournament List'!C:C,MATCH($B41,'Tournament List'!$A:$A,0)),"")</f>
        <v>Last Name40</v>
      </c>
      <c r="I41">
        <f>IFERROR(INDEX('Skeet Ind Concurrent Ranking'!M:M,MATCH($B41,'Skeet Ind Concurrent Ranking'!$A:$A,0)),"")</f>
        <v>37</v>
      </c>
      <c r="J41" s="278">
        <f>IFERROR(INDEX('Tournament List'!AG:AG,MATCH($B41,'Tournament List'!$A:$A,0)),"")</f>
        <v>59</v>
      </c>
      <c r="K41" t="str">
        <f>IFERROR(IF(INDEX('Tournament List'!AA:AA,MATCH($B41,'Tournament List'!$A:$A,0))&gt;0,INDEX('Tournament List'!AA:AA,MATCH($B41,'Tournament List'!$A:$A,0)),""),"")</f>
        <v/>
      </c>
      <c r="L41" s="278">
        <f>IFERROR(IF(INDEX('Tournament List'!Z:Z,MATCH($B41,'Tournament List'!$A:$A,0))&gt;0,INDEX('Tournament List'!Z:Z,MATCH($B41,'Tournament List'!$A:$A,0)),""),"")</f>
        <v>154</v>
      </c>
      <c r="M41" t="str">
        <f>IFERROR(INDEX('Tournament List'!M:M,MATCH($B41,'Tournament List'!$A:$A,0)),"")</f>
        <v>Varsity</v>
      </c>
      <c r="N41" t="str">
        <f>IFERROR(INDEX('Tournament List'!W:W,MATCH($B41,'Tournament List'!$A:$A,0)),"")</f>
        <v>Varsity</v>
      </c>
      <c r="O41" s="1" t="str">
        <f>IFERROR(INDEX('Tournament List'!AD:AD,MATCH($B41,'Tournament List'!$A:$A,0)),"")</f>
        <v>D</v>
      </c>
      <c r="P41" t="str">
        <f>IFERROR(INDEX('Tournament List'!AM:AM,MATCH($B41,'Tournament List'!$A:$A,0)),"")</f>
        <v>Varsity Men's Skeet 3rd</v>
      </c>
      <c r="Q41" t="str">
        <f>IFERROR(INDEX('Tournament List'!AN:AN,MATCH($B41,'Tournament List'!$A:$A,0)),"")</f>
        <v>D Class Skeet Men's Champion</v>
      </c>
      <c r="R41" t="str">
        <f>IFERROR(INDEX('Tournament List'!AO:AO,MATCH($B41,'Tournament List'!$A:$A,0)),"")</f>
        <v>Varsity Skeet Team Champion</v>
      </c>
    </row>
    <row r="42" spans="1:18" x14ac:dyDescent="0.3">
      <c r="A42" s="275">
        <f>IF(B42&lt;&gt;"",'Tournament Setup'!$B$1,"")</f>
        <v>45677</v>
      </c>
      <c r="B42" t="str">
        <f>IF('Tournament List'!A43&lt;&gt;"",'Tournament List'!A43,"")</f>
        <v>24-1040</v>
      </c>
      <c r="C42" t="str">
        <f>IFERROR(INDEX('Tournament List'!B:B,MATCH($B42,'Tournament List'!$A:$A,0)),"")</f>
        <v>Trey</v>
      </c>
      <c r="D42" t="str">
        <f>IFERROR(INDEX('Tournament List'!C:C,MATCH($B42,'Tournament List'!$A:$A,0)),"")</f>
        <v>Last Name41</v>
      </c>
      <c r="I42">
        <f>IFERROR(INDEX('Skeet Ind Concurrent Ranking'!M:M,MATCH($B42,'Skeet Ind Concurrent Ranking'!$A:$A,0)),"")</f>
        <v>15</v>
      </c>
      <c r="J42" s="278">
        <f>IFERROR(INDEX('Tournament List'!AG:AG,MATCH($B42,'Tournament List'!$A:$A,0)),"")</f>
        <v>84</v>
      </c>
      <c r="K42" t="str">
        <f>IFERROR(IF(INDEX('Tournament List'!AA:AA,MATCH($B42,'Tournament List'!$A:$A,0))&gt;0,INDEX('Tournament List'!AA:AA,MATCH($B42,'Tournament List'!$A:$A,0)),""),"")</f>
        <v/>
      </c>
      <c r="L42" s="278" t="str">
        <f>IFERROR(IF(INDEX('Tournament List'!Z:Z,MATCH($B42,'Tournament List'!$A:$A,0))&gt;0,INDEX('Tournament List'!Z:Z,MATCH($B42,'Tournament List'!$A:$A,0)),""),"")</f>
        <v/>
      </c>
      <c r="M42" t="str">
        <f>IFERROR(INDEX('Tournament List'!M:M,MATCH($B42,'Tournament List'!$A:$A,0)),"")</f>
        <v>Varsity</v>
      </c>
      <c r="N42" t="str">
        <f>IFERROR(INDEX('Tournament List'!W:W,MATCH($B42,'Tournament List'!$A:$A,0)),"")</f>
        <v/>
      </c>
      <c r="O42" s="1" t="str">
        <f>IFERROR(INDEX('Tournament List'!AD:AD,MATCH($B42,'Tournament List'!$A:$A,0)),"")</f>
        <v>C</v>
      </c>
      <c r="P42" t="str">
        <f>IFERROR(INDEX('Tournament List'!AM:AM,MATCH($B42,'Tournament List'!$A:$A,0)),"")</f>
        <v>Varsity Skeet Runner Up</v>
      </c>
      <c r="Q42" t="str">
        <f>IFERROR(INDEX('Tournament List'!AN:AN,MATCH($B42,'Tournament List'!$A:$A,0)),"")</f>
        <v>C Class Skeet Men's Champion</v>
      </c>
      <c r="R42" t="str">
        <f>IFERROR(INDEX('Tournament List'!AO:AO,MATCH($B42,'Tournament List'!$A:$A,0)),"")</f>
        <v/>
      </c>
    </row>
    <row r="43" spans="1:18" x14ac:dyDescent="0.3">
      <c r="A43" s="275">
        <f>IF(B43&lt;&gt;"",'Tournament Setup'!$B$1,"")</f>
        <v>45677</v>
      </c>
      <c r="B43" t="str">
        <f>IF('Tournament List'!A44&lt;&gt;"",'Tournament List'!A44,"")</f>
        <v>24-1041</v>
      </c>
      <c r="C43" t="str">
        <f>IFERROR(INDEX('Tournament List'!B:B,MATCH($B43,'Tournament List'!$A:$A,0)),"")</f>
        <v>Owen</v>
      </c>
      <c r="D43" t="str">
        <f>IFERROR(INDEX('Tournament List'!C:C,MATCH($B43,'Tournament List'!$A:$A,0)),"")</f>
        <v>Last Name42</v>
      </c>
      <c r="I43">
        <f>IFERROR(INDEX('Skeet Ind Concurrent Ranking'!M:M,MATCH($B43,'Skeet Ind Concurrent Ranking'!$A:$A,0)),"")</f>
        <v>36</v>
      </c>
      <c r="J43" s="278">
        <f>IFERROR(INDEX('Tournament List'!AG:AG,MATCH($B43,'Tournament List'!$A:$A,0)),"")</f>
        <v>60</v>
      </c>
      <c r="K43" t="str">
        <f>IFERROR(IF(INDEX('Tournament List'!AA:AA,MATCH($B43,'Tournament List'!$A:$A,0))&gt;0,INDEX('Tournament List'!AA:AA,MATCH($B43,'Tournament List'!$A:$A,0)),""),"")</f>
        <v/>
      </c>
      <c r="L43" s="278">
        <f>IFERROR(IF(INDEX('Tournament List'!Z:Z,MATCH($B43,'Tournament List'!$A:$A,0))&gt;0,INDEX('Tournament List'!Z:Z,MATCH($B43,'Tournament List'!$A:$A,0)),""),"")</f>
        <v>174</v>
      </c>
      <c r="M43" t="str">
        <f>IFERROR(INDEX('Tournament List'!M:M,MATCH($B43,'Tournament List'!$A:$A,0)),"")</f>
        <v>Novice</v>
      </c>
      <c r="N43" t="str">
        <f>IFERROR(INDEX('Tournament List'!W:W,MATCH($B43,'Tournament List'!$A:$A,0)),"")</f>
        <v>Novice</v>
      </c>
      <c r="O43" s="1" t="str">
        <f>IFERROR(INDEX('Tournament List'!AD:AD,MATCH($B43,'Tournament List'!$A:$A,0)),"")</f>
        <v>C</v>
      </c>
      <c r="P43" t="str">
        <f>IFERROR(INDEX('Tournament List'!AM:AM,MATCH($B43,'Tournament List'!$A:$A,0)),"")</f>
        <v/>
      </c>
      <c r="Q43" t="str">
        <f>IFERROR(INDEX('Tournament List'!AN:AN,MATCH($B43,'Tournament List'!$A:$A,0)),"")</f>
        <v/>
      </c>
      <c r="R43" t="str">
        <f>IFERROR(INDEX('Tournament List'!AO:AO,MATCH($B43,'Tournament List'!$A:$A,0)),"")</f>
        <v>Novice Skeet Team 3rd</v>
      </c>
    </row>
    <row r="44" spans="1:18" x14ac:dyDescent="0.3">
      <c r="A44" s="275">
        <f>IF(B44&lt;&gt;"",'Tournament Setup'!$B$1,"")</f>
        <v>45677</v>
      </c>
      <c r="B44" t="str">
        <f>IF('Tournament List'!A45&lt;&gt;"",'Tournament List'!A45,"")</f>
        <v>24-1042</v>
      </c>
      <c r="C44" t="str">
        <f>IFERROR(INDEX('Tournament List'!B:B,MATCH($B44,'Tournament List'!$A:$A,0)),"")</f>
        <v>Terry</v>
      </c>
      <c r="D44" t="str">
        <f>IFERROR(INDEX('Tournament List'!C:C,MATCH($B44,'Tournament List'!$A:$A,0)),"")</f>
        <v>Last Name43</v>
      </c>
      <c r="I44">
        <f>IFERROR(INDEX('Skeet Ind Concurrent Ranking'!M:M,MATCH($B44,'Skeet Ind Concurrent Ranking'!$A:$A,0)),"")</f>
        <v>11</v>
      </c>
      <c r="J44" s="278">
        <f>IFERROR(INDEX('Tournament List'!AG:AG,MATCH($B44,'Tournament List'!$A:$A,0)),"")</f>
        <v>88</v>
      </c>
      <c r="K44" t="str">
        <f>IFERROR(IF(INDEX('Tournament List'!AA:AA,MATCH($B44,'Tournament List'!$A:$A,0))&gt;0,INDEX('Tournament List'!AA:AA,MATCH($B44,'Tournament List'!$A:$A,0)),""),"")</f>
        <v/>
      </c>
      <c r="L44" s="278">
        <f>IFERROR(IF(INDEX('Tournament List'!Z:Z,MATCH($B44,'Tournament List'!$A:$A,0))&gt;0,INDEX('Tournament List'!Z:Z,MATCH($B44,'Tournament List'!$A:$A,0)),""),"")</f>
        <v>277</v>
      </c>
      <c r="M44" t="str">
        <f>IFERROR(INDEX('Tournament List'!M:M,MATCH($B44,'Tournament List'!$A:$A,0)),"")</f>
        <v>Intermediate</v>
      </c>
      <c r="N44" t="str">
        <f>IFERROR(INDEX('Tournament List'!W:W,MATCH($B44,'Tournament List'!$A:$A,0)),"")</f>
        <v>Intermediate</v>
      </c>
      <c r="O44" s="1" t="str">
        <f>IFERROR(INDEX('Tournament List'!AD:AD,MATCH($B44,'Tournament List'!$A:$A,0)),"")</f>
        <v>C</v>
      </c>
      <c r="P44" t="str">
        <f>IFERROR(INDEX('Tournament List'!AM:AM,MATCH($B44,'Tournament List'!$A:$A,0)),"")</f>
        <v>Intermediate Skeet Champion</v>
      </c>
      <c r="Q44" t="str">
        <f>IFERROR(INDEX('Tournament List'!AN:AN,MATCH($B44,'Tournament List'!$A:$A,0)),"")</f>
        <v>C Class Skeet 3rd</v>
      </c>
      <c r="R44" t="str">
        <f>IFERROR(INDEX('Tournament List'!AO:AO,MATCH($B44,'Tournament List'!$A:$A,0)),"")</f>
        <v>Intermediate Skeet Team Champion</v>
      </c>
    </row>
    <row r="45" spans="1:18" x14ac:dyDescent="0.3">
      <c r="A45" s="275">
        <f>IF(B45&lt;&gt;"",'Tournament Setup'!$B$1,"")</f>
        <v>45677</v>
      </c>
      <c r="B45" t="str">
        <f>IF('Tournament List'!A46&lt;&gt;"",'Tournament List'!A46,"")</f>
        <v>24-1043</v>
      </c>
      <c r="C45" t="str">
        <f>IFERROR(INDEX('Tournament List'!B:B,MATCH($B45,'Tournament List'!$A:$A,0)),"")</f>
        <v>Trisha</v>
      </c>
      <c r="D45" t="str">
        <f>IFERROR(INDEX('Tournament List'!C:C,MATCH($B45,'Tournament List'!$A:$A,0)),"")</f>
        <v>Last Name44</v>
      </c>
      <c r="I45">
        <f>IFERROR(INDEX('Skeet Ind Concurrent Ranking'!M:M,MATCH($B45,'Skeet Ind Concurrent Ranking'!$A:$A,0)),"")</f>
        <v>23</v>
      </c>
      <c r="J45" s="278">
        <f>IFERROR(INDEX('Tournament List'!AG:AG,MATCH($B45,'Tournament List'!$A:$A,0)),"")</f>
        <v>72.099999999999994</v>
      </c>
      <c r="K45" t="str">
        <f>IFERROR(IF(INDEX('Tournament List'!AA:AA,MATCH($B45,'Tournament List'!$A:$A,0))&gt;0,INDEX('Tournament List'!AA:AA,MATCH($B45,'Tournament List'!$A:$A,0)),""),"")</f>
        <v/>
      </c>
      <c r="L45" s="278">
        <f>IFERROR(IF(INDEX('Tournament List'!Z:Z,MATCH($B45,'Tournament List'!$A:$A,0))&gt;0,INDEX('Tournament List'!Z:Z,MATCH($B45,'Tournament List'!$A:$A,0)),""),"")</f>
        <v>177</v>
      </c>
      <c r="M45" t="str">
        <f>IFERROR(INDEX('Tournament List'!M:M,MATCH($B45,'Tournament List'!$A:$A,0)),"")</f>
        <v>Intermediate</v>
      </c>
      <c r="N45" t="str">
        <f>IFERROR(INDEX('Tournament List'!W:W,MATCH($B45,'Tournament List'!$A:$A,0)),"")</f>
        <v>Intermediate</v>
      </c>
      <c r="O45" s="1" t="str">
        <f>IFERROR(INDEX('Tournament List'!AD:AD,MATCH($B45,'Tournament List'!$A:$A,0)),"")</f>
        <v>D</v>
      </c>
      <c r="P45" t="str">
        <f>IFERROR(INDEX('Tournament List'!AM:AM,MATCH($B45,'Tournament List'!$A:$A,0)),"")</f>
        <v>Intermediate Skeet 3rd</v>
      </c>
      <c r="Q45" t="str">
        <f>IFERROR(INDEX('Tournament List'!AN:AN,MATCH($B45,'Tournament List'!$A:$A,0)),"")</f>
        <v>D Class Skeet Runner Up</v>
      </c>
      <c r="R45" t="str">
        <f>IFERROR(INDEX('Tournament List'!AO:AO,MATCH($B45,'Tournament List'!$A:$A,0)),"")</f>
        <v>Intermediate Skeet Team 3rd</v>
      </c>
    </row>
    <row r="46" spans="1:18" x14ac:dyDescent="0.3">
      <c r="A46" s="275">
        <f>IF(B46&lt;&gt;"",'Tournament Setup'!$B$1,"")</f>
        <v>45677</v>
      </c>
      <c r="B46" t="str">
        <f>IF('Tournament List'!A47&lt;&gt;"",'Tournament List'!A47,"")</f>
        <v>24-1044</v>
      </c>
      <c r="C46" t="str">
        <f>IFERROR(INDEX('Tournament List'!B:B,MATCH($B46,'Tournament List'!$A:$A,0)),"")</f>
        <v>Dee</v>
      </c>
      <c r="D46" t="str">
        <f>IFERROR(INDEX('Tournament List'!C:C,MATCH($B46,'Tournament List'!$A:$A,0)),"")</f>
        <v>Last Name45</v>
      </c>
      <c r="I46">
        <f>IFERROR(INDEX('Skeet Ind Concurrent Ranking'!M:M,MATCH($B46,'Skeet Ind Concurrent Ranking'!$A:$A,0)),"")</f>
        <v>38</v>
      </c>
      <c r="J46" s="278">
        <f>IFERROR(INDEX('Tournament List'!AG:AG,MATCH($B46,'Tournament List'!$A:$A,0)),"")</f>
        <v>54</v>
      </c>
      <c r="K46" t="str">
        <f>IFERROR(IF(INDEX('Tournament List'!AA:AA,MATCH($B46,'Tournament List'!$A:$A,0))&gt;0,INDEX('Tournament List'!AA:AA,MATCH($B46,'Tournament List'!$A:$A,0)),""),"")</f>
        <v/>
      </c>
      <c r="L46" s="278">
        <f>IFERROR(IF(INDEX('Tournament List'!Z:Z,MATCH($B46,'Tournament List'!$A:$A,0))&gt;0,INDEX('Tournament List'!Z:Z,MATCH($B46,'Tournament List'!$A:$A,0)),""),"")</f>
        <v>199</v>
      </c>
      <c r="M46" t="str">
        <f>IFERROR(INDEX('Tournament List'!M:M,MATCH($B46,'Tournament List'!$A:$A,0)),"")</f>
        <v>Novice</v>
      </c>
      <c r="N46" t="str">
        <f>IFERROR(INDEX('Tournament List'!W:W,MATCH($B46,'Tournament List'!$A:$A,0)),"")</f>
        <v>Novice</v>
      </c>
      <c r="O46" s="1" t="str">
        <f>IFERROR(INDEX('Tournament List'!AD:AD,MATCH($B46,'Tournament List'!$A:$A,0)),"")</f>
        <v>B</v>
      </c>
      <c r="P46" t="str">
        <f>IFERROR(INDEX('Tournament List'!AM:AM,MATCH($B46,'Tournament List'!$A:$A,0)),"")</f>
        <v>Novice Lady's Skeet Runner Up</v>
      </c>
      <c r="Q46" t="str">
        <f>IFERROR(INDEX('Tournament List'!AN:AN,MATCH($B46,'Tournament List'!$A:$A,0)),"")</f>
        <v/>
      </c>
      <c r="R46" t="str">
        <f>IFERROR(INDEX('Tournament List'!AO:AO,MATCH($B46,'Tournament List'!$A:$A,0)),"")</f>
        <v>Novice Skeet Team 3rd</v>
      </c>
    </row>
    <row r="47" spans="1:18" x14ac:dyDescent="0.3">
      <c r="A47" s="275">
        <f>IF(B47&lt;&gt;"",'Tournament Setup'!$B$1,"")</f>
        <v>45677</v>
      </c>
      <c r="B47" t="str">
        <f>IF('Tournament List'!A48&lt;&gt;"",'Tournament List'!A48,"")</f>
        <v>24-1045</v>
      </c>
      <c r="C47" t="str">
        <f>IFERROR(INDEX('Tournament List'!B:B,MATCH($B47,'Tournament List'!$A:$A,0)),"")</f>
        <v>Sam</v>
      </c>
      <c r="D47" t="str">
        <f>IFERROR(INDEX('Tournament List'!C:C,MATCH($B47,'Tournament List'!$A:$A,0)),"")</f>
        <v>Last Name46</v>
      </c>
      <c r="I47">
        <f>IFERROR(INDEX('Skeet Ind Concurrent Ranking'!M:M,MATCH($B47,'Skeet Ind Concurrent Ranking'!$A:$A,0)),"")</f>
        <v>47</v>
      </c>
      <c r="J47" s="278">
        <f>IFERROR(INDEX('Tournament List'!AG:AG,MATCH($B47,'Tournament List'!$A:$A,0)),"")</f>
        <v>32</v>
      </c>
      <c r="K47" t="str">
        <f>IFERROR(IF(INDEX('Tournament List'!AA:AA,MATCH($B47,'Tournament List'!$A:$A,0))&gt;0,INDEX('Tournament List'!AA:AA,MATCH($B47,'Tournament List'!$A:$A,0)),""),"")</f>
        <v/>
      </c>
      <c r="L47" s="278">
        <f>IFERROR(IF(INDEX('Tournament List'!Z:Z,MATCH($B47,'Tournament List'!$A:$A,0))&gt;0,INDEX('Tournament List'!Z:Z,MATCH($B47,'Tournament List'!$A:$A,0)),""),"")</f>
        <v>154</v>
      </c>
      <c r="M47" t="str">
        <f>IFERROR(INDEX('Tournament List'!M:M,MATCH($B47,'Tournament List'!$A:$A,0)),"")</f>
        <v>Varsity</v>
      </c>
      <c r="N47" t="str">
        <f>IFERROR(INDEX('Tournament List'!W:W,MATCH($B47,'Tournament List'!$A:$A,0)),"")</f>
        <v>Varsity</v>
      </c>
      <c r="O47" s="1" t="str">
        <f>IFERROR(INDEX('Tournament List'!AD:AD,MATCH($B47,'Tournament List'!$A:$A,0)),"")</f>
        <v>B</v>
      </c>
      <c r="P47" t="str">
        <f>IFERROR(INDEX('Tournament List'!AM:AM,MATCH($B47,'Tournament List'!$A:$A,0)),"")</f>
        <v/>
      </c>
      <c r="Q47" t="str">
        <f>IFERROR(INDEX('Tournament List'!AN:AN,MATCH($B47,'Tournament List'!$A:$A,0)),"")</f>
        <v/>
      </c>
      <c r="R47" t="str">
        <f>IFERROR(INDEX('Tournament List'!AO:AO,MATCH($B47,'Tournament List'!$A:$A,0)),"")</f>
        <v>Varsity Skeet Team Champion</v>
      </c>
    </row>
    <row r="48" spans="1:18" x14ac:dyDescent="0.3">
      <c r="A48" s="275">
        <f>IF(B48&lt;&gt;"",'Tournament Setup'!$B$1,"")</f>
        <v>45677</v>
      </c>
      <c r="B48" t="str">
        <f>IF('Tournament List'!A49&lt;&gt;"",'Tournament List'!A49,"")</f>
        <v>24-1046</v>
      </c>
      <c r="C48" t="str">
        <f>IFERROR(INDEX('Tournament List'!B:B,MATCH($B48,'Tournament List'!$A:$A,0)),"")</f>
        <v>Rick</v>
      </c>
      <c r="D48" t="str">
        <f>IFERROR(INDEX('Tournament List'!C:C,MATCH($B48,'Tournament List'!$A:$A,0)),"")</f>
        <v>Last Name47</v>
      </c>
      <c r="I48">
        <f>IFERROR(INDEX('Skeet Ind Concurrent Ranking'!M:M,MATCH($B48,'Skeet Ind Concurrent Ranking'!$A:$A,0)),"")</f>
        <v>29</v>
      </c>
      <c r="J48" s="278">
        <f>IFERROR(INDEX('Tournament List'!AG:AG,MATCH($B48,'Tournament List'!$A:$A,0)),"")</f>
        <v>65</v>
      </c>
      <c r="K48" t="str">
        <f>IFERROR(IF(INDEX('Tournament List'!AA:AA,MATCH($B48,'Tournament List'!$A:$A,0))&gt;0,INDEX('Tournament List'!AA:AA,MATCH($B48,'Tournament List'!$A:$A,0)),""),"")</f>
        <v/>
      </c>
      <c r="L48" s="278">
        <f>IFERROR(IF(INDEX('Tournament List'!Z:Z,MATCH($B48,'Tournament List'!$A:$A,0))&gt;0,INDEX('Tournament List'!Z:Z,MATCH($B48,'Tournament List'!$A:$A,0)),""),"")</f>
        <v>220</v>
      </c>
      <c r="M48" t="str">
        <f>IFERROR(INDEX('Tournament List'!M:M,MATCH($B48,'Tournament List'!$A:$A,0)),"")</f>
        <v>Novice</v>
      </c>
      <c r="N48" t="str">
        <f>IFERROR(INDEX('Tournament List'!W:W,MATCH($B48,'Tournament List'!$A:$A,0)),"")</f>
        <v>Novice</v>
      </c>
      <c r="O48" s="1" t="str">
        <f>IFERROR(INDEX('Tournament List'!AD:AD,MATCH($B48,'Tournament List'!$A:$A,0)),"")</f>
        <v>A</v>
      </c>
      <c r="P48" t="str">
        <f>IFERROR(INDEX('Tournament List'!AM:AM,MATCH($B48,'Tournament List'!$A:$A,0)),"")</f>
        <v>Novice Men's Skeet 3rd</v>
      </c>
      <c r="Q48" t="str">
        <f>IFERROR(INDEX('Tournament List'!AN:AN,MATCH($B48,'Tournament List'!$A:$A,0)),"")</f>
        <v/>
      </c>
      <c r="R48" t="str">
        <f>IFERROR(INDEX('Tournament List'!AO:AO,MATCH($B48,'Tournament List'!$A:$A,0)),"")</f>
        <v>Novice Skeet Team 3rd</v>
      </c>
    </row>
    <row r="49" spans="1:18" x14ac:dyDescent="0.3">
      <c r="A49" s="275">
        <f>IF(B49&lt;&gt;"",'Tournament Setup'!$B$1,"")</f>
        <v>45677</v>
      </c>
      <c r="B49" t="str">
        <f>IF('Tournament List'!A50&lt;&gt;"",'Tournament List'!A50,"")</f>
        <v>24-1047</v>
      </c>
      <c r="C49" t="str">
        <f>IFERROR(INDEX('Tournament List'!B:B,MATCH($B49,'Tournament List'!$A:$A,0)),"")</f>
        <v>Jackson</v>
      </c>
      <c r="D49" t="str">
        <f>IFERROR(INDEX('Tournament List'!C:C,MATCH($B49,'Tournament List'!$A:$A,0)),"")</f>
        <v>Last Name48</v>
      </c>
      <c r="I49">
        <f>IFERROR(INDEX('Skeet Ind Concurrent Ranking'!M:M,MATCH($B49,'Skeet Ind Concurrent Ranking'!$A:$A,0)),"")</f>
        <v>39</v>
      </c>
      <c r="J49" s="278">
        <f>IFERROR(INDEX('Tournament List'!AG:AG,MATCH($B49,'Tournament List'!$A:$A,0)),"")</f>
        <v>51.2</v>
      </c>
      <c r="K49" t="str">
        <f>IFERROR(IF(INDEX('Tournament List'!AA:AA,MATCH($B49,'Tournament List'!$A:$A,0))&gt;0,INDEX('Tournament List'!AA:AA,MATCH($B49,'Tournament List'!$A:$A,0)),""),"")</f>
        <v/>
      </c>
      <c r="L49" s="278" t="str">
        <f>IFERROR(IF(INDEX('Tournament List'!Z:Z,MATCH($B49,'Tournament List'!$A:$A,0))&gt;0,INDEX('Tournament List'!Z:Z,MATCH($B49,'Tournament List'!$A:$A,0)),""),"")</f>
        <v/>
      </c>
      <c r="M49" t="str">
        <f>IFERROR(INDEX('Tournament List'!M:M,MATCH($B49,'Tournament List'!$A:$A,0)),"")</f>
        <v>Novice</v>
      </c>
      <c r="N49" t="str">
        <f>IFERROR(INDEX('Tournament List'!W:W,MATCH($B49,'Tournament List'!$A:$A,0)),"")</f>
        <v/>
      </c>
      <c r="O49" s="1" t="str">
        <f>IFERROR(INDEX('Tournament List'!AD:AD,MATCH($B49,'Tournament List'!$A:$A,0)),"")</f>
        <v>D</v>
      </c>
      <c r="P49" t="str">
        <f>IFERROR(INDEX('Tournament List'!AM:AM,MATCH($B49,'Tournament List'!$A:$A,0)),"")</f>
        <v/>
      </c>
      <c r="Q49" t="str">
        <f>IFERROR(INDEX('Tournament List'!AN:AN,MATCH($B49,'Tournament List'!$A:$A,0)),"")</f>
        <v>D Class Skeet Men's Runner Up</v>
      </c>
      <c r="R49" t="str">
        <f>IFERROR(INDEX('Tournament List'!AO:AO,MATCH($B49,'Tournament List'!$A:$A,0)),"")</f>
        <v/>
      </c>
    </row>
    <row r="50" spans="1:18" x14ac:dyDescent="0.3">
      <c r="A50" s="275" t="str">
        <f>IF(B50&lt;&gt;"",'Tournament Setup'!$B$1,"")</f>
        <v/>
      </c>
      <c r="B50" t="str">
        <f>IF('Tournament List'!A51&lt;&gt;"",'Tournament List'!A51,"")</f>
        <v/>
      </c>
      <c r="C50" t="str">
        <f>IFERROR(INDEX('Tournament List'!B:B,MATCH($B50,'Tournament List'!$A:$A,0)),"")</f>
        <v/>
      </c>
      <c r="D50" t="str">
        <f>IFERROR(INDEX('Tournament List'!C:C,MATCH($B50,'Tournament List'!$A:$A,0)),"")</f>
        <v/>
      </c>
      <c r="I50" t="str">
        <f>IFERROR(INDEX('Skeet Ind Concurrent Ranking'!M:M,MATCH($B50,'Skeet Ind Concurrent Ranking'!$A:$A,0)),"")</f>
        <v/>
      </c>
      <c r="J50" s="278" t="str">
        <f>IFERROR(INDEX('Tournament List'!AG:AG,MATCH($B50,'Tournament List'!$A:$A,0)),"")</f>
        <v/>
      </c>
      <c r="K50" t="str">
        <f>IFERROR(IF(INDEX('Tournament List'!AA:AA,MATCH($B50,'Tournament List'!$A:$A,0))&gt;0,INDEX('Tournament List'!AA:AA,MATCH($B50,'Tournament List'!$A:$A,0)),""),"")</f>
        <v/>
      </c>
      <c r="L50" s="278" t="str">
        <f>IFERROR(IF(INDEX('Tournament List'!Z:Z,MATCH($B50,'Tournament List'!$A:$A,0))&gt;0,INDEX('Tournament List'!Z:Z,MATCH($B50,'Tournament List'!$A:$A,0)),""),"")</f>
        <v/>
      </c>
      <c r="M50" t="str">
        <f>IFERROR(INDEX('Tournament List'!M:M,MATCH($B50,'Tournament List'!$A:$A,0)),"")</f>
        <v/>
      </c>
      <c r="N50" t="str">
        <f>IFERROR(INDEX('Tournament List'!W:W,MATCH($B50,'Tournament List'!$A:$A,0)),"")</f>
        <v/>
      </c>
      <c r="O50" s="1" t="str">
        <f>IFERROR(INDEX('Tournament List'!AD:AD,MATCH($B50,'Tournament List'!$A:$A,0)),"")</f>
        <v/>
      </c>
      <c r="P50" t="str">
        <f>IFERROR(INDEX('Tournament List'!AM:AM,MATCH($B50,'Tournament List'!$A:$A,0)),"")</f>
        <v/>
      </c>
      <c r="Q50" t="str">
        <f>IFERROR(INDEX('Tournament List'!AN:AN,MATCH($B50,'Tournament List'!$A:$A,0)),"")</f>
        <v/>
      </c>
      <c r="R50" t="str">
        <f>IFERROR(INDEX('Tournament List'!AO:AO,MATCH($B50,'Tournament List'!$A:$A,0)),"")</f>
        <v/>
      </c>
    </row>
    <row r="51" spans="1:18" x14ac:dyDescent="0.3">
      <c r="A51" s="275" t="str">
        <f>IF(B51&lt;&gt;"",'Tournament Setup'!$B$1,"")</f>
        <v/>
      </c>
      <c r="B51" t="str">
        <f>IF('Tournament List'!A52&lt;&gt;"",'Tournament List'!A52,"")</f>
        <v/>
      </c>
      <c r="C51" t="str">
        <f>IFERROR(INDEX('Tournament List'!B:B,MATCH($B51,'Tournament List'!$A:$A,0)),"")</f>
        <v/>
      </c>
      <c r="D51" t="str">
        <f>IFERROR(INDEX('Tournament List'!C:C,MATCH($B51,'Tournament List'!$A:$A,0)),"")</f>
        <v/>
      </c>
      <c r="I51" t="str">
        <f>IFERROR(INDEX('Skeet Ind Concurrent Ranking'!M:M,MATCH($B51,'Skeet Ind Concurrent Ranking'!$A:$A,0)),"")</f>
        <v/>
      </c>
      <c r="J51" s="278" t="str">
        <f>IFERROR(INDEX('Tournament List'!AG:AG,MATCH($B51,'Tournament List'!$A:$A,0)),"")</f>
        <v/>
      </c>
      <c r="K51" t="str">
        <f>IFERROR(IF(INDEX('Tournament List'!AA:AA,MATCH($B51,'Tournament List'!$A:$A,0))&gt;0,INDEX('Tournament List'!AA:AA,MATCH($B51,'Tournament List'!$A:$A,0)),""),"")</f>
        <v/>
      </c>
      <c r="L51" s="278" t="str">
        <f>IFERROR(IF(INDEX('Tournament List'!Z:Z,MATCH($B51,'Tournament List'!$A:$A,0))&gt;0,INDEX('Tournament List'!Z:Z,MATCH($B51,'Tournament List'!$A:$A,0)),""),"")</f>
        <v/>
      </c>
      <c r="M51" t="str">
        <f>IFERROR(INDEX('Tournament List'!M:M,MATCH($B51,'Tournament List'!$A:$A,0)),"")</f>
        <v/>
      </c>
      <c r="N51" t="str">
        <f>IFERROR(INDEX('Tournament List'!W:W,MATCH($B51,'Tournament List'!$A:$A,0)),"")</f>
        <v/>
      </c>
      <c r="O51" s="1" t="str">
        <f>IFERROR(INDEX('Tournament List'!AD:AD,MATCH($B51,'Tournament List'!$A:$A,0)),"")</f>
        <v/>
      </c>
      <c r="P51" t="str">
        <f>IFERROR(INDEX('Tournament List'!AM:AM,MATCH($B51,'Tournament List'!$A:$A,0)),"")</f>
        <v/>
      </c>
      <c r="Q51" t="str">
        <f>IFERROR(INDEX('Tournament List'!AN:AN,MATCH($B51,'Tournament List'!$A:$A,0)),"")</f>
        <v/>
      </c>
      <c r="R51" t="str">
        <f>IFERROR(INDEX('Tournament List'!AO:AO,MATCH($B51,'Tournament List'!$A:$A,0)),"")</f>
        <v/>
      </c>
    </row>
    <row r="52" spans="1:18" x14ac:dyDescent="0.3">
      <c r="A52" s="275" t="str">
        <f>IF(B52&lt;&gt;"",'Tournament Setup'!$B$1,"")</f>
        <v/>
      </c>
      <c r="B52" t="str">
        <f>IF('Tournament List'!A53&lt;&gt;"",'Tournament List'!A53,"")</f>
        <v/>
      </c>
      <c r="C52" t="str">
        <f>IFERROR(INDEX('Tournament List'!B:B,MATCH($B52,'Tournament List'!$A:$A,0)),"")</f>
        <v/>
      </c>
      <c r="D52" t="str">
        <f>IFERROR(INDEX('Tournament List'!C:C,MATCH($B52,'Tournament List'!$A:$A,0)),"")</f>
        <v/>
      </c>
      <c r="I52" t="str">
        <f>IFERROR(INDEX('Skeet Ind Concurrent Ranking'!M:M,MATCH($B52,'Skeet Ind Concurrent Ranking'!$A:$A,0)),"")</f>
        <v/>
      </c>
      <c r="J52" s="278" t="str">
        <f>IFERROR(INDEX('Tournament List'!AG:AG,MATCH($B52,'Tournament List'!$A:$A,0)),"")</f>
        <v/>
      </c>
      <c r="K52" t="str">
        <f>IFERROR(IF(INDEX('Tournament List'!AA:AA,MATCH($B52,'Tournament List'!$A:$A,0))&gt;0,INDEX('Tournament List'!AA:AA,MATCH($B52,'Tournament List'!$A:$A,0)),""),"")</f>
        <v/>
      </c>
      <c r="L52" s="278" t="str">
        <f>IFERROR(IF(INDEX('Tournament List'!Z:Z,MATCH($B52,'Tournament List'!$A:$A,0))&gt;0,INDEX('Tournament List'!Z:Z,MATCH($B52,'Tournament List'!$A:$A,0)),""),"")</f>
        <v/>
      </c>
      <c r="M52" t="str">
        <f>IFERROR(INDEX('Tournament List'!M:M,MATCH($B52,'Tournament List'!$A:$A,0)),"")</f>
        <v/>
      </c>
      <c r="N52" t="str">
        <f>IFERROR(INDEX('Tournament List'!W:W,MATCH($B52,'Tournament List'!$A:$A,0)),"")</f>
        <v/>
      </c>
      <c r="O52" s="1" t="str">
        <f>IFERROR(INDEX('Tournament List'!AD:AD,MATCH($B52,'Tournament List'!$A:$A,0)),"")</f>
        <v/>
      </c>
      <c r="P52" t="str">
        <f>IFERROR(INDEX('Tournament List'!AM:AM,MATCH($B52,'Tournament List'!$A:$A,0)),"")</f>
        <v/>
      </c>
      <c r="Q52" t="str">
        <f>IFERROR(INDEX('Tournament List'!AN:AN,MATCH($B52,'Tournament List'!$A:$A,0)),"")</f>
        <v/>
      </c>
      <c r="R52" t="str">
        <f>IFERROR(INDEX('Tournament List'!AO:AO,MATCH($B52,'Tournament List'!$A:$A,0)),"")</f>
        <v/>
      </c>
    </row>
    <row r="53" spans="1:18" x14ac:dyDescent="0.3">
      <c r="A53" s="275" t="str">
        <f>IF(B53&lt;&gt;"",'Tournament Setup'!$B$1,"")</f>
        <v/>
      </c>
      <c r="B53" t="str">
        <f>IF('Tournament List'!A54&lt;&gt;"",'Tournament List'!A54,"")</f>
        <v/>
      </c>
      <c r="C53" t="str">
        <f>IFERROR(INDEX('Tournament List'!B:B,MATCH($B53,'Tournament List'!$A:$A,0)),"")</f>
        <v/>
      </c>
      <c r="D53" t="str">
        <f>IFERROR(INDEX('Tournament List'!C:C,MATCH($B53,'Tournament List'!$A:$A,0)),"")</f>
        <v/>
      </c>
      <c r="I53" t="str">
        <f>IFERROR(INDEX('Skeet Ind Concurrent Ranking'!M:M,MATCH($B53,'Skeet Ind Concurrent Ranking'!$A:$A,0)),"")</f>
        <v/>
      </c>
      <c r="J53" s="278" t="str">
        <f>IFERROR(INDEX('Tournament List'!AG:AG,MATCH($B53,'Tournament List'!$A:$A,0)),"")</f>
        <v/>
      </c>
      <c r="K53" t="str">
        <f>IFERROR(IF(INDEX('Tournament List'!AA:AA,MATCH($B53,'Tournament List'!$A:$A,0))&gt;0,INDEX('Tournament List'!AA:AA,MATCH($B53,'Tournament List'!$A:$A,0)),""),"")</f>
        <v/>
      </c>
      <c r="L53" s="278" t="str">
        <f>IFERROR(IF(INDEX('Tournament List'!Z:Z,MATCH($B53,'Tournament List'!$A:$A,0))&gt;0,INDEX('Tournament List'!Z:Z,MATCH($B53,'Tournament List'!$A:$A,0)),""),"")</f>
        <v/>
      </c>
      <c r="M53" t="str">
        <f>IFERROR(INDEX('Tournament List'!M:M,MATCH($B53,'Tournament List'!$A:$A,0)),"")</f>
        <v/>
      </c>
      <c r="N53" t="str">
        <f>IFERROR(INDEX('Tournament List'!W:W,MATCH($B53,'Tournament List'!$A:$A,0)),"")</f>
        <v/>
      </c>
      <c r="O53" s="1" t="str">
        <f>IFERROR(INDEX('Tournament List'!AD:AD,MATCH($B53,'Tournament List'!$A:$A,0)),"")</f>
        <v/>
      </c>
      <c r="P53" t="str">
        <f>IFERROR(INDEX('Tournament List'!AM:AM,MATCH($B53,'Tournament List'!$A:$A,0)),"")</f>
        <v/>
      </c>
      <c r="Q53" t="str">
        <f>IFERROR(INDEX('Tournament List'!AN:AN,MATCH($B53,'Tournament List'!$A:$A,0)),"")</f>
        <v/>
      </c>
      <c r="R53" t="str">
        <f>IFERROR(INDEX('Tournament List'!AO:AO,MATCH($B53,'Tournament List'!$A:$A,0)),"")</f>
        <v/>
      </c>
    </row>
    <row r="54" spans="1:18" x14ac:dyDescent="0.3">
      <c r="A54" s="275" t="str">
        <f>IF(B54&lt;&gt;"",'Tournament Setup'!$B$1,"")</f>
        <v/>
      </c>
      <c r="B54" t="str">
        <f>IF('Tournament List'!A55&lt;&gt;"",'Tournament List'!A55,"")</f>
        <v/>
      </c>
      <c r="C54" t="str">
        <f>IFERROR(INDEX('Tournament List'!B:B,MATCH($B54,'Tournament List'!$A:$A,0)),"")</f>
        <v/>
      </c>
      <c r="D54" t="str">
        <f>IFERROR(INDEX('Tournament List'!C:C,MATCH($B54,'Tournament List'!$A:$A,0)),"")</f>
        <v/>
      </c>
      <c r="I54" t="str">
        <f>IFERROR(INDEX('Skeet Ind Concurrent Ranking'!M:M,MATCH($B54,'Skeet Ind Concurrent Ranking'!$A:$A,0)),"")</f>
        <v/>
      </c>
      <c r="J54" s="278" t="str">
        <f>IFERROR(INDEX('Tournament List'!AG:AG,MATCH($B54,'Tournament List'!$A:$A,0)),"")</f>
        <v/>
      </c>
      <c r="K54" t="str">
        <f>IFERROR(IF(INDEX('Tournament List'!AA:AA,MATCH($B54,'Tournament List'!$A:$A,0))&gt;0,INDEX('Tournament List'!AA:AA,MATCH($B54,'Tournament List'!$A:$A,0)),""),"")</f>
        <v/>
      </c>
      <c r="L54" s="278" t="str">
        <f>IFERROR(IF(INDEX('Tournament List'!Z:Z,MATCH($B54,'Tournament List'!$A:$A,0))&gt;0,INDEX('Tournament List'!Z:Z,MATCH($B54,'Tournament List'!$A:$A,0)),""),"")</f>
        <v/>
      </c>
      <c r="M54" t="str">
        <f>IFERROR(INDEX('Tournament List'!M:M,MATCH($B54,'Tournament List'!$A:$A,0)),"")</f>
        <v/>
      </c>
      <c r="N54" t="str">
        <f>IFERROR(INDEX('Tournament List'!W:W,MATCH($B54,'Tournament List'!$A:$A,0)),"")</f>
        <v/>
      </c>
      <c r="O54" s="1" t="str">
        <f>IFERROR(INDEX('Tournament List'!AD:AD,MATCH($B54,'Tournament List'!$A:$A,0)),"")</f>
        <v/>
      </c>
      <c r="P54" t="str">
        <f>IFERROR(INDEX('Tournament List'!AM:AM,MATCH($B54,'Tournament List'!$A:$A,0)),"")</f>
        <v/>
      </c>
      <c r="Q54" t="str">
        <f>IFERROR(INDEX('Tournament List'!AN:AN,MATCH($B54,'Tournament List'!$A:$A,0)),"")</f>
        <v/>
      </c>
      <c r="R54" t="str">
        <f>IFERROR(INDEX('Tournament List'!AO:AO,MATCH($B54,'Tournament List'!$A:$A,0)),"")</f>
        <v/>
      </c>
    </row>
    <row r="55" spans="1:18" x14ac:dyDescent="0.3">
      <c r="A55" s="275" t="str">
        <f>IF(B55&lt;&gt;"",'Tournament Setup'!$B$1,"")</f>
        <v/>
      </c>
      <c r="B55" t="str">
        <f>IF('Tournament List'!A56&lt;&gt;"",'Tournament List'!A56,"")</f>
        <v/>
      </c>
      <c r="C55" t="str">
        <f>IFERROR(INDEX('Tournament List'!B:B,MATCH($B55,'Tournament List'!$A:$A,0)),"")</f>
        <v/>
      </c>
      <c r="D55" t="str">
        <f>IFERROR(INDEX('Tournament List'!C:C,MATCH($B55,'Tournament List'!$A:$A,0)),"")</f>
        <v/>
      </c>
      <c r="I55" t="str">
        <f>IFERROR(INDEX('Skeet Ind Concurrent Ranking'!M:M,MATCH($B55,'Skeet Ind Concurrent Ranking'!$A:$A,0)),"")</f>
        <v/>
      </c>
      <c r="J55" s="278" t="str">
        <f>IFERROR(INDEX('Tournament List'!AG:AG,MATCH($B55,'Tournament List'!$A:$A,0)),"")</f>
        <v/>
      </c>
      <c r="K55" t="str">
        <f>IFERROR(IF(INDEX('Tournament List'!AA:AA,MATCH($B55,'Tournament List'!$A:$A,0))&gt;0,INDEX('Tournament List'!AA:AA,MATCH($B55,'Tournament List'!$A:$A,0)),""),"")</f>
        <v/>
      </c>
      <c r="L55" s="278" t="str">
        <f>IFERROR(IF(INDEX('Tournament List'!Z:Z,MATCH($B55,'Tournament List'!$A:$A,0))&gt;0,INDEX('Tournament List'!Z:Z,MATCH($B55,'Tournament List'!$A:$A,0)),""),"")</f>
        <v/>
      </c>
      <c r="M55" t="str">
        <f>IFERROR(INDEX('Tournament List'!M:M,MATCH($B55,'Tournament List'!$A:$A,0)),"")</f>
        <v/>
      </c>
      <c r="N55" t="str">
        <f>IFERROR(INDEX('Tournament List'!W:W,MATCH($B55,'Tournament List'!$A:$A,0)),"")</f>
        <v/>
      </c>
      <c r="O55" s="1" t="str">
        <f>IFERROR(INDEX('Tournament List'!AD:AD,MATCH($B55,'Tournament List'!$A:$A,0)),"")</f>
        <v/>
      </c>
      <c r="P55" t="str">
        <f>IFERROR(INDEX('Tournament List'!AM:AM,MATCH($B55,'Tournament List'!$A:$A,0)),"")</f>
        <v/>
      </c>
      <c r="Q55" t="str">
        <f>IFERROR(INDEX('Tournament List'!AN:AN,MATCH($B55,'Tournament List'!$A:$A,0)),"")</f>
        <v/>
      </c>
      <c r="R55" t="str">
        <f>IFERROR(INDEX('Tournament List'!AO:AO,MATCH($B55,'Tournament List'!$A:$A,0)),"")</f>
        <v/>
      </c>
    </row>
    <row r="56" spans="1:18" x14ac:dyDescent="0.3">
      <c r="A56" s="275" t="str">
        <f>IF(B56&lt;&gt;"",'Tournament Setup'!$B$1,"")</f>
        <v/>
      </c>
      <c r="B56" t="str">
        <f>IF('Tournament List'!A57&lt;&gt;"",'Tournament List'!A57,"")</f>
        <v/>
      </c>
      <c r="C56" t="str">
        <f>IFERROR(INDEX('Tournament List'!B:B,MATCH($B56,'Tournament List'!$A:$A,0)),"")</f>
        <v/>
      </c>
      <c r="D56" t="str">
        <f>IFERROR(INDEX('Tournament List'!C:C,MATCH($B56,'Tournament List'!$A:$A,0)),"")</f>
        <v/>
      </c>
      <c r="I56" t="str">
        <f>IFERROR(INDEX('Skeet Ind Concurrent Ranking'!M:M,MATCH($B56,'Skeet Ind Concurrent Ranking'!$A:$A,0)),"")</f>
        <v/>
      </c>
      <c r="J56" s="278" t="str">
        <f>IFERROR(INDEX('Tournament List'!AG:AG,MATCH($B56,'Tournament List'!$A:$A,0)),"")</f>
        <v/>
      </c>
      <c r="K56" t="str">
        <f>IFERROR(IF(INDEX('Tournament List'!AA:AA,MATCH($B56,'Tournament List'!$A:$A,0))&gt;0,INDEX('Tournament List'!AA:AA,MATCH($B56,'Tournament List'!$A:$A,0)),""),"")</f>
        <v/>
      </c>
      <c r="L56" s="278" t="str">
        <f>IFERROR(IF(INDEX('Tournament List'!Z:Z,MATCH($B56,'Tournament List'!$A:$A,0))&gt;0,INDEX('Tournament List'!Z:Z,MATCH($B56,'Tournament List'!$A:$A,0)),""),"")</f>
        <v/>
      </c>
      <c r="M56" t="str">
        <f>IFERROR(INDEX('Tournament List'!M:M,MATCH($B56,'Tournament List'!$A:$A,0)),"")</f>
        <v/>
      </c>
      <c r="N56" t="str">
        <f>IFERROR(INDEX('Tournament List'!W:W,MATCH($B56,'Tournament List'!$A:$A,0)),"")</f>
        <v/>
      </c>
      <c r="O56" s="1" t="str">
        <f>IFERROR(INDEX('Tournament List'!AD:AD,MATCH($B56,'Tournament List'!$A:$A,0)),"")</f>
        <v/>
      </c>
      <c r="P56" t="str">
        <f>IFERROR(INDEX('Tournament List'!AM:AM,MATCH($B56,'Tournament List'!$A:$A,0)),"")</f>
        <v/>
      </c>
      <c r="Q56" t="str">
        <f>IFERROR(INDEX('Tournament List'!AN:AN,MATCH($B56,'Tournament List'!$A:$A,0)),"")</f>
        <v/>
      </c>
      <c r="R56" t="str">
        <f>IFERROR(INDEX('Tournament List'!AO:AO,MATCH($B56,'Tournament List'!$A:$A,0)),"")</f>
        <v/>
      </c>
    </row>
    <row r="57" spans="1:18" x14ac:dyDescent="0.3">
      <c r="A57" s="275" t="str">
        <f>IF(B57&lt;&gt;"",'Tournament Setup'!$B$1,"")</f>
        <v/>
      </c>
      <c r="B57" t="str">
        <f>IF('Tournament List'!A58&lt;&gt;"",'Tournament List'!A58,"")</f>
        <v/>
      </c>
      <c r="C57" t="str">
        <f>IFERROR(INDEX('Tournament List'!B:B,MATCH($B57,'Tournament List'!$A:$A,0)),"")</f>
        <v/>
      </c>
      <c r="D57" t="str">
        <f>IFERROR(INDEX('Tournament List'!C:C,MATCH($B57,'Tournament List'!$A:$A,0)),"")</f>
        <v/>
      </c>
      <c r="I57" t="str">
        <f>IFERROR(INDEX('Skeet Ind Concurrent Ranking'!M:M,MATCH($B57,'Skeet Ind Concurrent Ranking'!$A:$A,0)),"")</f>
        <v/>
      </c>
      <c r="J57" s="278" t="str">
        <f>IFERROR(INDEX('Tournament List'!AG:AG,MATCH($B57,'Tournament List'!$A:$A,0)),"")</f>
        <v/>
      </c>
      <c r="K57" t="str">
        <f>IFERROR(IF(INDEX('Tournament List'!AA:AA,MATCH($B57,'Tournament List'!$A:$A,0))&gt;0,INDEX('Tournament List'!AA:AA,MATCH($B57,'Tournament List'!$A:$A,0)),""),"")</f>
        <v/>
      </c>
      <c r="L57" s="278" t="str">
        <f>IFERROR(IF(INDEX('Tournament List'!Z:Z,MATCH($B57,'Tournament List'!$A:$A,0))&gt;0,INDEX('Tournament List'!Z:Z,MATCH($B57,'Tournament List'!$A:$A,0)),""),"")</f>
        <v/>
      </c>
      <c r="M57" t="str">
        <f>IFERROR(INDEX('Tournament List'!M:M,MATCH($B57,'Tournament List'!$A:$A,0)),"")</f>
        <v/>
      </c>
      <c r="N57" t="str">
        <f>IFERROR(INDEX('Tournament List'!W:W,MATCH($B57,'Tournament List'!$A:$A,0)),"")</f>
        <v/>
      </c>
      <c r="O57" s="1" t="str">
        <f>IFERROR(INDEX('Tournament List'!AD:AD,MATCH($B57,'Tournament List'!$A:$A,0)),"")</f>
        <v/>
      </c>
      <c r="P57" t="str">
        <f>IFERROR(INDEX('Tournament List'!AM:AM,MATCH($B57,'Tournament List'!$A:$A,0)),"")</f>
        <v/>
      </c>
      <c r="Q57" t="str">
        <f>IFERROR(INDEX('Tournament List'!AN:AN,MATCH($B57,'Tournament List'!$A:$A,0)),"")</f>
        <v/>
      </c>
      <c r="R57" t="str">
        <f>IFERROR(INDEX('Tournament List'!AO:AO,MATCH($B57,'Tournament List'!$A:$A,0)),"")</f>
        <v/>
      </c>
    </row>
    <row r="58" spans="1:18" x14ac:dyDescent="0.3">
      <c r="A58" s="275" t="str">
        <f>IF(B58&lt;&gt;"",'Tournament Setup'!$B$1,"")</f>
        <v/>
      </c>
      <c r="B58" t="str">
        <f>IF('Tournament List'!A59&lt;&gt;"",'Tournament List'!A59,"")</f>
        <v/>
      </c>
      <c r="C58" t="str">
        <f>IFERROR(INDEX('Tournament List'!B:B,MATCH($B58,'Tournament List'!$A:$A,0)),"")</f>
        <v/>
      </c>
      <c r="D58" t="str">
        <f>IFERROR(INDEX('Tournament List'!C:C,MATCH($B58,'Tournament List'!$A:$A,0)),"")</f>
        <v/>
      </c>
      <c r="I58" t="str">
        <f>IFERROR(INDEX('Skeet Ind Concurrent Ranking'!M:M,MATCH($B58,'Skeet Ind Concurrent Ranking'!$A:$A,0)),"")</f>
        <v/>
      </c>
      <c r="J58" s="278" t="str">
        <f>IFERROR(INDEX('Tournament List'!AG:AG,MATCH($B58,'Tournament List'!$A:$A,0)),"")</f>
        <v/>
      </c>
      <c r="K58" t="str">
        <f>IFERROR(IF(INDEX('Tournament List'!AA:AA,MATCH($B58,'Tournament List'!$A:$A,0))&gt;0,INDEX('Tournament List'!AA:AA,MATCH($B58,'Tournament List'!$A:$A,0)),""),"")</f>
        <v/>
      </c>
      <c r="L58" s="278" t="str">
        <f>IFERROR(IF(INDEX('Tournament List'!Z:Z,MATCH($B58,'Tournament List'!$A:$A,0))&gt;0,INDEX('Tournament List'!Z:Z,MATCH($B58,'Tournament List'!$A:$A,0)),""),"")</f>
        <v/>
      </c>
      <c r="M58" t="str">
        <f>IFERROR(INDEX('Tournament List'!M:M,MATCH($B58,'Tournament List'!$A:$A,0)),"")</f>
        <v/>
      </c>
      <c r="N58" t="str">
        <f>IFERROR(INDEX('Tournament List'!W:W,MATCH($B58,'Tournament List'!$A:$A,0)),"")</f>
        <v/>
      </c>
      <c r="O58" s="1" t="str">
        <f>IFERROR(INDEX('Tournament List'!AD:AD,MATCH($B58,'Tournament List'!$A:$A,0)),"")</f>
        <v/>
      </c>
      <c r="P58" t="str">
        <f>IFERROR(INDEX('Tournament List'!AM:AM,MATCH($B58,'Tournament List'!$A:$A,0)),"")</f>
        <v/>
      </c>
      <c r="Q58" t="str">
        <f>IFERROR(INDEX('Tournament List'!AN:AN,MATCH($B58,'Tournament List'!$A:$A,0)),"")</f>
        <v/>
      </c>
      <c r="R58" t="str">
        <f>IFERROR(INDEX('Tournament List'!AO:AO,MATCH($B58,'Tournament List'!$A:$A,0)),"")</f>
        <v/>
      </c>
    </row>
    <row r="59" spans="1:18" x14ac:dyDescent="0.3">
      <c r="A59" s="275" t="str">
        <f>IF(B59&lt;&gt;"",'Tournament Setup'!$B$1,"")</f>
        <v/>
      </c>
      <c r="B59" t="str">
        <f>IF('Tournament List'!A60&lt;&gt;"",'Tournament List'!A60,"")</f>
        <v/>
      </c>
      <c r="C59" t="str">
        <f>IFERROR(INDEX('Tournament List'!B:B,MATCH($B59,'Tournament List'!$A:$A,0)),"")</f>
        <v/>
      </c>
      <c r="D59" t="str">
        <f>IFERROR(INDEX('Tournament List'!C:C,MATCH($B59,'Tournament List'!$A:$A,0)),"")</f>
        <v/>
      </c>
      <c r="I59" t="str">
        <f>IFERROR(INDEX('Skeet Ind Concurrent Ranking'!M:M,MATCH($B59,'Skeet Ind Concurrent Ranking'!$A:$A,0)),"")</f>
        <v/>
      </c>
      <c r="J59" s="278" t="str">
        <f>IFERROR(INDEX('Tournament List'!AG:AG,MATCH($B59,'Tournament List'!$A:$A,0)),"")</f>
        <v/>
      </c>
      <c r="K59" t="str">
        <f>IFERROR(IF(INDEX('Tournament List'!AA:AA,MATCH($B59,'Tournament List'!$A:$A,0))&gt;0,INDEX('Tournament List'!AA:AA,MATCH($B59,'Tournament List'!$A:$A,0)),""),"")</f>
        <v/>
      </c>
      <c r="L59" s="278" t="str">
        <f>IFERROR(IF(INDEX('Tournament List'!Z:Z,MATCH($B59,'Tournament List'!$A:$A,0))&gt;0,INDEX('Tournament List'!Z:Z,MATCH($B59,'Tournament List'!$A:$A,0)),""),"")</f>
        <v/>
      </c>
      <c r="M59" t="str">
        <f>IFERROR(INDEX('Tournament List'!M:M,MATCH($B59,'Tournament List'!$A:$A,0)),"")</f>
        <v/>
      </c>
      <c r="N59" t="str">
        <f>IFERROR(INDEX('Tournament List'!W:W,MATCH($B59,'Tournament List'!$A:$A,0)),"")</f>
        <v/>
      </c>
      <c r="O59" s="1" t="str">
        <f>IFERROR(INDEX('Tournament List'!AD:AD,MATCH($B59,'Tournament List'!$A:$A,0)),"")</f>
        <v/>
      </c>
      <c r="P59" t="str">
        <f>IFERROR(INDEX('Tournament List'!AM:AM,MATCH($B59,'Tournament List'!$A:$A,0)),"")</f>
        <v/>
      </c>
      <c r="Q59" t="str">
        <f>IFERROR(INDEX('Tournament List'!AN:AN,MATCH($B59,'Tournament List'!$A:$A,0)),"")</f>
        <v/>
      </c>
      <c r="R59" t="str">
        <f>IFERROR(INDEX('Tournament List'!AO:AO,MATCH($B59,'Tournament List'!$A:$A,0)),"")</f>
        <v/>
      </c>
    </row>
    <row r="60" spans="1:18" x14ac:dyDescent="0.3">
      <c r="A60" s="275" t="str">
        <f>IF(B60&lt;&gt;"",'Tournament Setup'!$B$1,"")</f>
        <v/>
      </c>
      <c r="B60" t="str">
        <f>IF('Tournament List'!A61&lt;&gt;"",'Tournament List'!A61,"")</f>
        <v/>
      </c>
      <c r="C60" t="str">
        <f>IFERROR(INDEX('Tournament List'!B:B,MATCH($B60,'Tournament List'!$A:$A,0)),"")</f>
        <v/>
      </c>
      <c r="D60" t="str">
        <f>IFERROR(INDEX('Tournament List'!C:C,MATCH($B60,'Tournament List'!$A:$A,0)),"")</f>
        <v/>
      </c>
      <c r="I60" t="str">
        <f>IFERROR(INDEX('Skeet Ind Concurrent Ranking'!M:M,MATCH($B60,'Skeet Ind Concurrent Ranking'!$A:$A,0)),"")</f>
        <v/>
      </c>
      <c r="J60" s="278" t="str">
        <f>IFERROR(INDEX('Tournament List'!AG:AG,MATCH($B60,'Tournament List'!$A:$A,0)),"")</f>
        <v/>
      </c>
      <c r="K60" t="str">
        <f>IFERROR(IF(INDEX('Tournament List'!AA:AA,MATCH($B60,'Tournament List'!$A:$A,0))&gt;0,INDEX('Tournament List'!AA:AA,MATCH($B60,'Tournament List'!$A:$A,0)),""),"")</f>
        <v/>
      </c>
      <c r="L60" s="278" t="str">
        <f>IFERROR(IF(INDEX('Tournament List'!Z:Z,MATCH($B60,'Tournament List'!$A:$A,0))&gt;0,INDEX('Tournament List'!Z:Z,MATCH($B60,'Tournament List'!$A:$A,0)),""),"")</f>
        <v/>
      </c>
      <c r="M60" t="str">
        <f>IFERROR(INDEX('Tournament List'!M:M,MATCH($B60,'Tournament List'!$A:$A,0)),"")</f>
        <v/>
      </c>
      <c r="N60" t="str">
        <f>IFERROR(INDEX('Tournament List'!W:W,MATCH($B60,'Tournament List'!$A:$A,0)),"")</f>
        <v/>
      </c>
      <c r="O60" s="1" t="str">
        <f>IFERROR(INDEX('Tournament List'!AD:AD,MATCH($B60,'Tournament List'!$A:$A,0)),"")</f>
        <v/>
      </c>
      <c r="P60" t="str">
        <f>IFERROR(INDEX('Tournament List'!AM:AM,MATCH($B60,'Tournament List'!$A:$A,0)),"")</f>
        <v/>
      </c>
      <c r="Q60" t="str">
        <f>IFERROR(INDEX('Tournament List'!AN:AN,MATCH($B60,'Tournament List'!$A:$A,0)),"")</f>
        <v/>
      </c>
      <c r="R60" t="str">
        <f>IFERROR(INDEX('Tournament List'!AO:AO,MATCH($B60,'Tournament List'!$A:$A,0)),"")</f>
        <v/>
      </c>
    </row>
    <row r="61" spans="1:18" x14ac:dyDescent="0.3">
      <c r="A61" s="275" t="str">
        <f>IF(B61&lt;&gt;"",'Tournament Setup'!$B$1,"")</f>
        <v/>
      </c>
      <c r="B61" t="str">
        <f>IF('Tournament List'!A62&lt;&gt;"",'Tournament List'!A62,"")</f>
        <v/>
      </c>
      <c r="C61" t="str">
        <f>IFERROR(INDEX('Tournament List'!B:B,MATCH($B61,'Tournament List'!$A:$A,0)),"")</f>
        <v/>
      </c>
      <c r="D61" t="str">
        <f>IFERROR(INDEX('Tournament List'!C:C,MATCH($B61,'Tournament List'!$A:$A,0)),"")</f>
        <v/>
      </c>
      <c r="I61" t="str">
        <f>IFERROR(INDEX('Skeet Ind Concurrent Ranking'!M:M,MATCH($B61,'Skeet Ind Concurrent Ranking'!$A:$A,0)),"")</f>
        <v/>
      </c>
      <c r="J61" s="278" t="str">
        <f>IFERROR(INDEX('Tournament List'!AG:AG,MATCH($B61,'Tournament List'!$A:$A,0)),"")</f>
        <v/>
      </c>
      <c r="K61" t="str">
        <f>IFERROR(IF(INDEX('Tournament List'!AA:AA,MATCH($B61,'Tournament List'!$A:$A,0))&gt;0,INDEX('Tournament List'!AA:AA,MATCH($B61,'Tournament List'!$A:$A,0)),""),"")</f>
        <v/>
      </c>
      <c r="L61" s="278" t="str">
        <f>IFERROR(IF(INDEX('Tournament List'!Z:Z,MATCH($B61,'Tournament List'!$A:$A,0))&gt;0,INDEX('Tournament List'!Z:Z,MATCH($B61,'Tournament List'!$A:$A,0)),""),"")</f>
        <v/>
      </c>
      <c r="M61" t="str">
        <f>IFERROR(INDEX('Tournament List'!M:M,MATCH($B61,'Tournament List'!$A:$A,0)),"")</f>
        <v/>
      </c>
      <c r="N61" t="str">
        <f>IFERROR(INDEX('Tournament List'!W:W,MATCH($B61,'Tournament List'!$A:$A,0)),"")</f>
        <v/>
      </c>
      <c r="O61" s="1" t="str">
        <f>IFERROR(INDEX('Tournament List'!AD:AD,MATCH($B61,'Tournament List'!$A:$A,0)),"")</f>
        <v/>
      </c>
      <c r="P61" t="str">
        <f>IFERROR(INDEX('Tournament List'!AM:AM,MATCH($B61,'Tournament List'!$A:$A,0)),"")</f>
        <v/>
      </c>
      <c r="Q61" t="str">
        <f>IFERROR(INDEX('Tournament List'!AN:AN,MATCH($B61,'Tournament List'!$A:$A,0)),"")</f>
        <v/>
      </c>
      <c r="R61" t="str">
        <f>IFERROR(INDEX('Tournament List'!AO:AO,MATCH($B61,'Tournament List'!$A:$A,0)),"")</f>
        <v/>
      </c>
    </row>
    <row r="62" spans="1:18" x14ac:dyDescent="0.3">
      <c r="A62" s="275" t="str">
        <f>IF(B62&lt;&gt;"",'Tournament Setup'!$B$1,"")</f>
        <v/>
      </c>
      <c r="B62" t="str">
        <f>IF('Tournament List'!A63&lt;&gt;"",'Tournament List'!A63,"")</f>
        <v/>
      </c>
      <c r="C62" t="str">
        <f>IFERROR(INDEX('Tournament List'!B:B,MATCH($B62,'Tournament List'!$A:$A,0)),"")</f>
        <v/>
      </c>
      <c r="D62" t="str">
        <f>IFERROR(INDEX('Tournament List'!C:C,MATCH($B62,'Tournament List'!$A:$A,0)),"")</f>
        <v/>
      </c>
      <c r="I62" t="str">
        <f>IFERROR(INDEX('Skeet Ind Concurrent Ranking'!M:M,MATCH($B62,'Skeet Ind Concurrent Ranking'!$A:$A,0)),"")</f>
        <v/>
      </c>
      <c r="J62" s="278" t="str">
        <f>IFERROR(INDEX('Tournament List'!AG:AG,MATCH($B62,'Tournament List'!$A:$A,0)),"")</f>
        <v/>
      </c>
      <c r="K62" t="str">
        <f>IFERROR(IF(INDEX('Tournament List'!AA:AA,MATCH($B62,'Tournament List'!$A:$A,0))&gt;0,INDEX('Tournament List'!AA:AA,MATCH($B62,'Tournament List'!$A:$A,0)),""),"")</f>
        <v/>
      </c>
      <c r="L62" s="278" t="str">
        <f>IFERROR(IF(INDEX('Tournament List'!Z:Z,MATCH($B62,'Tournament List'!$A:$A,0))&gt;0,INDEX('Tournament List'!Z:Z,MATCH($B62,'Tournament List'!$A:$A,0)),""),"")</f>
        <v/>
      </c>
      <c r="M62" t="str">
        <f>IFERROR(INDEX('Tournament List'!M:M,MATCH($B62,'Tournament List'!$A:$A,0)),"")</f>
        <v/>
      </c>
      <c r="N62" t="str">
        <f>IFERROR(INDEX('Tournament List'!W:W,MATCH($B62,'Tournament List'!$A:$A,0)),"")</f>
        <v/>
      </c>
      <c r="O62" s="1" t="str">
        <f>IFERROR(INDEX('Tournament List'!AD:AD,MATCH($B62,'Tournament List'!$A:$A,0)),"")</f>
        <v/>
      </c>
      <c r="P62" t="str">
        <f>IFERROR(INDEX('Tournament List'!AM:AM,MATCH($B62,'Tournament List'!$A:$A,0)),"")</f>
        <v/>
      </c>
      <c r="Q62" t="str">
        <f>IFERROR(INDEX('Tournament List'!AN:AN,MATCH($B62,'Tournament List'!$A:$A,0)),"")</f>
        <v/>
      </c>
      <c r="R62" t="str">
        <f>IFERROR(INDEX('Tournament List'!AO:AO,MATCH($B62,'Tournament List'!$A:$A,0)),"")</f>
        <v/>
      </c>
    </row>
    <row r="63" spans="1:18" x14ac:dyDescent="0.3">
      <c r="A63" s="275" t="str">
        <f>IF(B63&lt;&gt;"",'Tournament Setup'!$B$1,"")</f>
        <v/>
      </c>
      <c r="B63" t="str">
        <f>IF('Tournament List'!A64&lt;&gt;"",'Tournament List'!A64,"")</f>
        <v/>
      </c>
      <c r="C63" t="str">
        <f>IFERROR(INDEX('Tournament List'!B:B,MATCH($B63,'Tournament List'!$A:$A,0)),"")</f>
        <v/>
      </c>
      <c r="D63" t="str">
        <f>IFERROR(INDEX('Tournament List'!C:C,MATCH($B63,'Tournament List'!$A:$A,0)),"")</f>
        <v/>
      </c>
      <c r="I63" t="str">
        <f>IFERROR(INDEX('Skeet Ind Concurrent Ranking'!M:M,MATCH($B63,'Skeet Ind Concurrent Ranking'!$A:$A,0)),"")</f>
        <v/>
      </c>
      <c r="J63" s="278" t="str">
        <f>IFERROR(INDEX('Tournament List'!AG:AG,MATCH($B63,'Tournament List'!$A:$A,0)),"")</f>
        <v/>
      </c>
      <c r="K63" t="str">
        <f>IFERROR(IF(INDEX('Tournament List'!AA:AA,MATCH($B63,'Tournament List'!$A:$A,0))&gt;0,INDEX('Tournament List'!AA:AA,MATCH($B63,'Tournament List'!$A:$A,0)),""),"")</f>
        <v/>
      </c>
      <c r="L63" s="278" t="str">
        <f>IFERROR(IF(INDEX('Tournament List'!Z:Z,MATCH($B63,'Tournament List'!$A:$A,0))&gt;0,INDEX('Tournament List'!Z:Z,MATCH($B63,'Tournament List'!$A:$A,0)),""),"")</f>
        <v/>
      </c>
      <c r="M63" t="str">
        <f>IFERROR(INDEX('Tournament List'!M:M,MATCH($B63,'Tournament List'!$A:$A,0)),"")</f>
        <v/>
      </c>
      <c r="N63" t="str">
        <f>IFERROR(INDEX('Tournament List'!W:W,MATCH($B63,'Tournament List'!$A:$A,0)),"")</f>
        <v/>
      </c>
      <c r="O63" s="1" t="str">
        <f>IFERROR(INDEX('Tournament List'!AD:AD,MATCH($B63,'Tournament List'!$A:$A,0)),"")</f>
        <v/>
      </c>
      <c r="P63" t="str">
        <f>IFERROR(INDEX('Tournament List'!AM:AM,MATCH($B63,'Tournament List'!$A:$A,0)),"")</f>
        <v/>
      </c>
      <c r="Q63" t="str">
        <f>IFERROR(INDEX('Tournament List'!AN:AN,MATCH($B63,'Tournament List'!$A:$A,0)),"")</f>
        <v/>
      </c>
      <c r="R63" t="str">
        <f>IFERROR(INDEX('Tournament List'!AO:AO,MATCH($B63,'Tournament List'!$A:$A,0)),"")</f>
        <v/>
      </c>
    </row>
    <row r="64" spans="1:18" x14ac:dyDescent="0.3">
      <c r="A64" s="275" t="str">
        <f>IF(B64&lt;&gt;"",'Tournament Setup'!$B$1,"")</f>
        <v/>
      </c>
      <c r="B64" t="str">
        <f>IF('Tournament List'!A65&lt;&gt;"",'Tournament List'!A65,"")</f>
        <v/>
      </c>
      <c r="C64" t="str">
        <f>IFERROR(INDEX('Tournament List'!B:B,MATCH($B64,'Tournament List'!$A:$A,0)),"")</f>
        <v/>
      </c>
      <c r="D64" t="str">
        <f>IFERROR(INDEX('Tournament List'!C:C,MATCH($B64,'Tournament List'!$A:$A,0)),"")</f>
        <v/>
      </c>
      <c r="I64" t="str">
        <f>IFERROR(INDEX('Skeet Ind Concurrent Ranking'!M:M,MATCH($B64,'Skeet Ind Concurrent Ranking'!$A:$A,0)),"")</f>
        <v/>
      </c>
      <c r="J64" s="278" t="str">
        <f>IFERROR(INDEX('Tournament List'!AG:AG,MATCH($B64,'Tournament List'!$A:$A,0)),"")</f>
        <v/>
      </c>
      <c r="K64" t="str">
        <f>IFERROR(IF(INDEX('Tournament List'!AA:AA,MATCH($B64,'Tournament List'!$A:$A,0))&gt;0,INDEX('Tournament List'!AA:AA,MATCH($B64,'Tournament List'!$A:$A,0)),""),"")</f>
        <v/>
      </c>
      <c r="L64" s="278" t="str">
        <f>IFERROR(IF(INDEX('Tournament List'!Z:Z,MATCH($B64,'Tournament List'!$A:$A,0))&gt;0,INDEX('Tournament List'!Z:Z,MATCH($B64,'Tournament List'!$A:$A,0)),""),"")</f>
        <v/>
      </c>
      <c r="M64" t="str">
        <f>IFERROR(INDEX('Tournament List'!M:M,MATCH($B64,'Tournament List'!$A:$A,0)),"")</f>
        <v/>
      </c>
      <c r="N64" t="str">
        <f>IFERROR(INDEX('Tournament List'!W:W,MATCH($B64,'Tournament List'!$A:$A,0)),"")</f>
        <v/>
      </c>
      <c r="O64" s="1" t="str">
        <f>IFERROR(INDEX('Tournament List'!AD:AD,MATCH($B64,'Tournament List'!$A:$A,0)),"")</f>
        <v/>
      </c>
      <c r="P64" t="str">
        <f>IFERROR(INDEX('Tournament List'!AM:AM,MATCH($B64,'Tournament List'!$A:$A,0)),"")</f>
        <v/>
      </c>
      <c r="Q64" t="str">
        <f>IFERROR(INDEX('Tournament List'!AN:AN,MATCH($B64,'Tournament List'!$A:$A,0)),"")</f>
        <v/>
      </c>
      <c r="R64" t="str">
        <f>IFERROR(INDEX('Tournament List'!AO:AO,MATCH($B64,'Tournament List'!$A:$A,0)),"")</f>
        <v/>
      </c>
    </row>
    <row r="65" spans="1:18" x14ac:dyDescent="0.3">
      <c r="A65" s="275" t="str">
        <f>IF(B65&lt;&gt;"",'Tournament Setup'!$B$1,"")</f>
        <v/>
      </c>
      <c r="B65" t="str">
        <f>IF('Tournament List'!A66&lt;&gt;"",'Tournament List'!A66,"")</f>
        <v/>
      </c>
      <c r="C65" t="str">
        <f>IFERROR(INDEX('Tournament List'!B:B,MATCH($B65,'Tournament List'!$A:$A,0)),"")</f>
        <v/>
      </c>
      <c r="D65" t="str">
        <f>IFERROR(INDEX('Tournament List'!C:C,MATCH($B65,'Tournament List'!$A:$A,0)),"")</f>
        <v/>
      </c>
      <c r="I65" t="str">
        <f>IFERROR(INDEX('Skeet Ind Concurrent Ranking'!M:M,MATCH($B65,'Skeet Ind Concurrent Ranking'!$A:$A,0)),"")</f>
        <v/>
      </c>
      <c r="J65" s="278" t="str">
        <f>IFERROR(INDEX('Tournament List'!AG:AG,MATCH($B65,'Tournament List'!$A:$A,0)),"")</f>
        <v/>
      </c>
      <c r="K65" t="str">
        <f>IFERROR(IF(INDEX('Tournament List'!AA:AA,MATCH($B65,'Tournament List'!$A:$A,0))&gt;0,INDEX('Tournament List'!AA:AA,MATCH($B65,'Tournament List'!$A:$A,0)),""),"")</f>
        <v/>
      </c>
      <c r="L65" s="278" t="str">
        <f>IFERROR(IF(INDEX('Tournament List'!Z:Z,MATCH($B65,'Tournament List'!$A:$A,0))&gt;0,INDEX('Tournament List'!Z:Z,MATCH($B65,'Tournament List'!$A:$A,0)),""),"")</f>
        <v/>
      </c>
      <c r="M65" t="str">
        <f>IFERROR(INDEX('Tournament List'!M:M,MATCH($B65,'Tournament List'!$A:$A,0)),"")</f>
        <v/>
      </c>
      <c r="N65" t="str">
        <f>IFERROR(INDEX('Tournament List'!W:W,MATCH($B65,'Tournament List'!$A:$A,0)),"")</f>
        <v/>
      </c>
      <c r="O65" s="1" t="str">
        <f>IFERROR(INDEX('Tournament List'!AD:AD,MATCH($B65,'Tournament List'!$A:$A,0)),"")</f>
        <v/>
      </c>
      <c r="P65" t="str">
        <f>IFERROR(INDEX('Tournament List'!AM:AM,MATCH($B65,'Tournament List'!$A:$A,0)),"")</f>
        <v/>
      </c>
      <c r="Q65" t="str">
        <f>IFERROR(INDEX('Tournament List'!AN:AN,MATCH($B65,'Tournament List'!$A:$A,0)),"")</f>
        <v/>
      </c>
      <c r="R65" t="str">
        <f>IFERROR(INDEX('Tournament List'!AO:AO,MATCH($B65,'Tournament List'!$A:$A,0)),"")</f>
        <v/>
      </c>
    </row>
    <row r="66" spans="1:18" x14ac:dyDescent="0.3">
      <c r="A66" s="275" t="str">
        <f>IF(B66&lt;&gt;"",'Tournament Setup'!$B$1,"")</f>
        <v/>
      </c>
      <c r="B66" t="str">
        <f>IF('Tournament List'!A67&lt;&gt;"",'Tournament List'!A67,"")</f>
        <v/>
      </c>
      <c r="C66" t="str">
        <f>IFERROR(INDEX('Tournament List'!B:B,MATCH($B66,'Tournament List'!$A:$A,0)),"")</f>
        <v/>
      </c>
      <c r="D66" t="str">
        <f>IFERROR(INDEX('Tournament List'!C:C,MATCH($B66,'Tournament List'!$A:$A,0)),"")</f>
        <v/>
      </c>
      <c r="I66" t="str">
        <f>IFERROR(INDEX('Skeet Ind Concurrent Ranking'!M:M,MATCH($B66,'Skeet Ind Concurrent Ranking'!$A:$A,0)),"")</f>
        <v/>
      </c>
      <c r="J66" s="278" t="str">
        <f>IFERROR(INDEX('Tournament List'!AG:AG,MATCH($B66,'Tournament List'!$A:$A,0)),"")</f>
        <v/>
      </c>
      <c r="K66" t="str">
        <f>IFERROR(IF(INDEX('Tournament List'!AA:AA,MATCH($B66,'Tournament List'!$A:$A,0))&gt;0,INDEX('Tournament List'!AA:AA,MATCH($B66,'Tournament List'!$A:$A,0)),""),"")</f>
        <v/>
      </c>
      <c r="L66" s="278" t="str">
        <f>IFERROR(IF(INDEX('Tournament List'!Z:Z,MATCH($B66,'Tournament List'!$A:$A,0))&gt;0,INDEX('Tournament List'!Z:Z,MATCH($B66,'Tournament List'!$A:$A,0)),""),"")</f>
        <v/>
      </c>
      <c r="M66" t="str">
        <f>IFERROR(INDEX('Tournament List'!M:M,MATCH($B66,'Tournament List'!$A:$A,0)),"")</f>
        <v/>
      </c>
      <c r="N66" t="str">
        <f>IFERROR(INDEX('Tournament List'!W:W,MATCH($B66,'Tournament List'!$A:$A,0)),"")</f>
        <v/>
      </c>
      <c r="O66" s="1" t="str">
        <f>IFERROR(INDEX('Tournament List'!AD:AD,MATCH($B66,'Tournament List'!$A:$A,0)),"")</f>
        <v/>
      </c>
      <c r="P66" t="str">
        <f>IFERROR(INDEX('Tournament List'!AM:AM,MATCH($B66,'Tournament List'!$A:$A,0)),"")</f>
        <v/>
      </c>
      <c r="Q66" t="str">
        <f>IFERROR(INDEX('Tournament List'!AN:AN,MATCH($B66,'Tournament List'!$A:$A,0)),"")</f>
        <v/>
      </c>
      <c r="R66" t="str">
        <f>IFERROR(INDEX('Tournament List'!AO:AO,MATCH($B66,'Tournament List'!$A:$A,0)),"")</f>
        <v/>
      </c>
    </row>
    <row r="67" spans="1:18" x14ac:dyDescent="0.3">
      <c r="A67" s="275" t="str">
        <f>IF(B67&lt;&gt;"",'Tournament Setup'!$B$1,"")</f>
        <v/>
      </c>
      <c r="B67" t="str">
        <f>IF('Tournament List'!A68&lt;&gt;"",'Tournament List'!A68,"")</f>
        <v/>
      </c>
      <c r="C67" t="str">
        <f>IFERROR(INDEX('Tournament List'!B:B,MATCH($B67,'Tournament List'!$A:$A,0)),"")</f>
        <v/>
      </c>
      <c r="D67" t="str">
        <f>IFERROR(INDEX('Tournament List'!C:C,MATCH($B67,'Tournament List'!$A:$A,0)),"")</f>
        <v/>
      </c>
      <c r="I67" t="str">
        <f>IFERROR(INDEX('Skeet Ind Concurrent Ranking'!M:M,MATCH($B67,'Skeet Ind Concurrent Ranking'!$A:$A,0)),"")</f>
        <v/>
      </c>
      <c r="J67" s="278" t="str">
        <f>IFERROR(INDEX('Tournament List'!AG:AG,MATCH($B67,'Tournament List'!$A:$A,0)),"")</f>
        <v/>
      </c>
      <c r="K67" t="str">
        <f>IFERROR(IF(INDEX('Tournament List'!AA:AA,MATCH($B67,'Tournament List'!$A:$A,0))&gt;0,INDEX('Tournament List'!AA:AA,MATCH($B67,'Tournament List'!$A:$A,0)),""),"")</f>
        <v/>
      </c>
      <c r="L67" s="278" t="str">
        <f>IFERROR(IF(INDEX('Tournament List'!Z:Z,MATCH($B67,'Tournament List'!$A:$A,0))&gt;0,INDEX('Tournament List'!Z:Z,MATCH($B67,'Tournament List'!$A:$A,0)),""),"")</f>
        <v/>
      </c>
      <c r="M67" t="str">
        <f>IFERROR(INDEX('Tournament List'!M:M,MATCH($B67,'Tournament List'!$A:$A,0)),"")</f>
        <v/>
      </c>
      <c r="N67" t="str">
        <f>IFERROR(INDEX('Tournament List'!W:W,MATCH($B67,'Tournament List'!$A:$A,0)),"")</f>
        <v/>
      </c>
      <c r="O67" s="1" t="str">
        <f>IFERROR(INDEX('Tournament List'!AD:AD,MATCH($B67,'Tournament List'!$A:$A,0)),"")</f>
        <v/>
      </c>
      <c r="P67" t="str">
        <f>IFERROR(INDEX('Tournament List'!AM:AM,MATCH($B67,'Tournament List'!$A:$A,0)),"")</f>
        <v/>
      </c>
      <c r="Q67" t="str">
        <f>IFERROR(INDEX('Tournament List'!AN:AN,MATCH($B67,'Tournament List'!$A:$A,0)),"")</f>
        <v/>
      </c>
      <c r="R67" t="str">
        <f>IFERROR(INDEX('Tournament List'!AO:AO,MATCH($B67,'Tournament List'!$A:$A,0)),"")</f>
        <v/>
      </c>
    </row>
    <row r="68" spans="1:18" x14ac:dyDescent="0.3">
      <c r="A68" s="275" t="str">
        <f>IF(B68&lt;&gt;"",'Tournament Setup'!$B$1,"")</f>
        <v/>
      </c>
      <c r="B68" t="str">
        <f>IF('Tournament List'!A69&lt;&gt;"",'Tournament List'!A69,"")</f>
        <v/>
      </c>
      <c r="C68" t="str">
        <f>IFERROR(INDEX('Tournament List'!B:B,MATCH($B68,'Tournament List'!$A:$A,0)),"")</f>
        <v/>
      </c>
      <c r="D68" t="str">
        <f>IFERROR(INDEX('Tournament List'!C:C,MATCH($B68,'Tournament List'!$A:$A,0)),"")</f>
        <v/>
      </c>
      <c r="I68" t="str">
        <f>IFERROR(INDEX('Skeet Ind Concurrent Ranking'!M:M,MATCH($B68,'Skeet Ind Concurrent Ranking'!$A:$A,0)),"")</f>
        <v/>
      </c>
      <c r="J68" s="278" t="str">
        <f>IFERROR(INDEX('Tournament List'!AG:AG,MATCH($B68,'Tournament List'!$A:$A,0)),"")</f>
        <v/>
      </c>
      <c r="K68" t="str">
        <f>IFERROR(IF(INDEX('Tournament List'!AA:AA,MATCH($B68,'Tournament List'!$A:$A,0))&gt;0,INDEX('Tournament List'!AA:AA,MATCH($B68,'Tournament List'!$A:$A,0)),""),"")</f>
        <v/>
      </c>
      <c r="L68" s="278" t="str">
        <f>IFERROR(IF(INDEX('Tournament List'!Z:Z,MATCH($B68,'Tournament List'!$A:$A,0))&gt;0,INDEX('Tournament List'!Z:Z,MATCH($B68,'Tournament List'!$A:$A,0)),""),"")</f>
        <v/>
      </c>
      <c r="M68" t="str">
        <f>IFERROR(INDEX('Tournament List'!M:M,MATCH($B68,'Tournament List'!$A:$A,0)),"")</f>
        <v/>
      </c>
      <c r="N68" t="str">
        <f>IFERROR(INDEX('Tournament List'!W:W,MATCH($B68,'Tournament List'!$A:$A,0)),"")</f>
        <v/>
      </c>
      <c r="O68" s="1" t="str">
        <f>IFERROR(INDEX('Tournament List'!AD:AD,MATCH($B68,'Tournament List'!$A:$A,0)),"")</f>
        <v/>
      </c>
      <c r="P68" t="str">
        <f>IFERROR(INDEX('Tournament List'!AM:AM,MATCH($B68,'Tournament List'!$A:$A,0)),"")</f>
        <v/>
      </c>
      <c r="Q68" t="str">
        <f>IFERROR(INDEX('Tournament List'!AN:AN,MATCH($B68,'Tournament List'!$A:$A,0)),"")</f>
        <v/>
      </c>
      <c r="R68" t="str">
        <f>IFERROR(INDEX('Tournament List'!AO:AO,MATCH($B68,'Tournament List'!$A:$A,0)),"")</f>
        <v/>
      </c>
    </row>
    <row r="69" spans="1:18" x14ac:dyDescent="0.3">
      <c r="A69" s="275" t="str">
        <f>IF(B69&lt;&gt;"",'Tournament Setup'!$B$1,"")</f>
        <v/>
      </c>
      <c r="B69" t="str">
        <f>IF('Tournament List'!A70&lt;&gt;"",'Tournament List'!A70,"")</f>
        <v/>
      </c>
      <c r="C69" t="str">
        <f>IFERROR(INDEX('Tournament List'!B:B,MATCH($B69,'Tournament List'!$A:$A,0)),"")</f>
        <v/>
      </c>
      <c r="D69" t="str">
        <f>IFERROR(INDEX('Tournament List'!C:C,MATCH($B69,'Tournament List'!$A:$A,0)),"")</f>
        <v/>
      </c>
      <c r="I69" t="str">
        <f>IFERROR(INDEX('Skeet Ind Concurrent Ranking'!M:M,MATCH($B69,'Skeet Ind Concurrent Ranking'!$A:$A,0)),"")</f>
        <v/>
      </c>
      <c r="J69" s="278" t="str">
        <f>IFERROR(INDEX('Tournament List'!AG:AG,MATCH($B69,'Tournament List'!$A:$A,0)),"")</f>
        <v/>
      </c>
      <c r="K69" t="str">
        <f>IFERROR(IF(INDEX('Tournament List'!AA:AA,MATCH($B69,'Tournament List'!$A:$A,0))&gt;0,INDEX('Tournament List'!AA:AA,MATCH($B69,'Tournament List'!$A:$A,0)),""),"")</f>
        <v/>
      </c>
      <c r="L69" s="278" t="str">
        <f>IFERROR(IF(INDEX('Tournament List'!Z:Z,MATCH($B69,'Tournament List'!$A:$A,0))&gt;0,INDEX('Tournament List'!Z:Z,MATCH($B69,'Tournament List'!$A:$A,0)),""),"")</f>
        <v/>
      </c>
      <c r="M69" t="str">
        <f>IFERROR(INDEX('Tournament List'!M:M,MATCH($B69,'Tournament List'!$A:$A,0)),"")</f>
        <v/>
      </c>
      <c r="N69" t="str">
        <f>IFERROR(INDEX('Tournament List'!W:W,MATCH($B69,'Tournament List'!$A:$A,0)),"")</f>
        <v/>
      </c>
      <c r="O69" s="1" t="str">
        <f>IFERROR(INDEX('Tournament List'!AD:AD,MATCH($B69,'Tournament List'!$A:$A,0)),"")</f>
        <v/>
      </c>
      <c r="P69" t="str">
        <f>IFERROR(INDEX('Tournament List'!AM:AM,MATCH($B69,'Tournament List'!$A:$A,0)),"")</f>
        <v/>
      </c>
      <c r="Q69" t="str">
        <f>IFERROR(INDEX('Tournament List'!AN:AN,MATCH($B69,'Tournament List'!$A:$A,0)),"")</f>
        <v/>
      </c>
      <c r="R69" t="str">
        <f>IFERROR(INDEX('Tournament List'!AO:AO,MATCH($B69,'Tournament List'!$A:$A,0)),"")</f>
        <v/>
      </c>
    </row>
    <row r="70" spans="1:18" x14ac:dyDescent="0.3">
      <c r="A70" s="275" t="str">
        <f>IF(B70&lt;&gt;"",'Tournament Setup'!$B$1,"")</f>
        <v/>
      </c>
      <c r="B70" t="str">
        <f>IF('Tournament List'!A71&lt;&gt;"",'Tournament List'!A71,"")</f>
        <v/>
      </c>
      <c r="C70" t="str">
        <f>IFERROR(INDEX('Tournament List'!B:B,MATCH($B70,'Tournament List'!$A:$A,0)),"")</f>
        <v/>
      </c>
      <c r="D70" t="str">
        <f>IFERROR(INDEX('Tournament List'!C:C,MATCH($B70,'Tournament List'!$A:$A,0)),"")</f>
        <v/>
      </c>
      <c r="I70" t="str">
        <f>IFERROR(INDEX('Skeet Ind Concurrent Ranking'!M:M,MATCH($B70,'Skeet Ind Concurrent Ranking'!$A:$A,0)),"")</f>
        <v/>
      </c>
      <c r="J70" s="278" t="str">
        <f>IFERROR(INDEX('Tournament List'!AG:AG,MATCH($B70,'Tournament List'!$A:$A,0)),"")</f>
        <v/>
      </c>
      <c r="K70" t="str">
        <f>IFERROR(IF(INDEX('Tournament List'!AA:AA,MATCH($B70,'Tournament List'!$A:$A,0))&gt;0,INDEX('Tournament List'!AA:AA,MATCH($B70,'Tournament List'!$A:$A,0)),""),"")</f>
        <v/>
      </c>
      <c r="L70" s="278" t="str">
        <f>IFERROR(IF(INDEX('Tournament List'!Z:Z,MATCH($B70,'Tournament List'!$A:$A,0))&gt;0,INDEX('Tournament List'!Z:Z,MATCH($B70,'Tournament List'!$A:$A,0)),""),"")</f>
        <v/>
      </c>
      <c r="M70" t="str">
        <f>IFERROR(INDEX('Tournament List'!M:M,MATCH($B70,'Tournament List'!$A:$A,0)),"")</f>
        <v/>
      </c>
      <c r="N70" t="str">
        <f>IFERROR(INDEX('Tournament List'!W:W,MATCH($B70,'Tournament List'!$A:$A,0)),"")</f>
        <v/>
      </c>
      <c r="O70" s="1" t="str">
        <f>IFERROR(INDEX('Tournament List'!AD:AD,MATCH($B70,'Tournament List'!$A:$A,0)),"")</f>
        <v/>
      </c>
      <c r="P70" t="str">
        <f>IFERROR(INDEX('Tournament List'!AM:AM,MATCH($B70,'Tournament List'!$A:$A,0)),"")</f>
        <v/>
      </c>
      <c r="Q70" t="str">
        <f>IFERROR(INDEX('Tournament List'!AN:AN,MATCH($B70,'Tournament List'!$A:$A,0)),"")</f>
        <v/>
      </c>
      <c r="R70" t="str">
        <f>IFERROR(INDEX('Tournament List'!AO:AO,MATCH($B70,'Tournament List'!$A:$A,0)),"")</f>
        <v/>
      </c>
    </row>
    <row r="71" spans="1:18" x14ac:dyDescent="0.3">
      <c r="A71" s="275" t="str">
        <f>IF(B71&lt;&gt;"",'Tournament Setup'!$B$1,"")</f>
        <v/>
      </c>
      <c r="B71" t="str">
        <f>IF('Tournament List'!A72&lt;&gt;"",'Tournament List'!A72,"")</f>
        <v/>
      </c>
      <c r="C71" t="str">
        <f>IFERROR(INDEX('Tournament List'!B:B,MATCH($B71,'Tournament List'!$A:$A,0)),"")</f>
        <v/>
      </c>
      <c r="D71" t="str">
        <f>IFERROR(INDEX('Tournament List'!C:C,MATCH($B71,'Tournament List'!$A:$A,0)),"")</f>
        <v/>
      </c>
      <c r="I71" t="str">
        <f>IFERROR(INDEX('Skeet Ind Concurrent Ranking'!M:M,MATCH($B71,'Skeet Ind Concurrent Ranking'!$A:$A,0)),"")</f>
        <v/>
      </c>
      <c r="J71" s="278" t="str">
        <f>IFERROR(INDEX('Tournament List'!AG:AG,MATCH($B71,'Tournament List'!$A:$A,0)),"")</f>
        <v/>
      </c>
      <c r="K71" t="str">
        <f>IFERROR(IF(INDEX('Tournament List'!AA:AA,MATCH($B71,'Tournament List'!$A:$A,0))&gt;0,INDEX('Tournament List'!AA:AA,MATCH($B71,'Tournament List'!$A:$A,0)),""),"")</f>
        <v/>
      </c>
      <c r="L71" s="278" t="str">
        <f>IFERROR(IF(INDEX('Tournament List'!Z:Z,MATCH($B71,'Tournament List'!$A:$A,0))&gt;0,INDEX('Tournament List'!Z:Z,MATCH($B71,'Tournament List'!$A:$A,0)),""),"")</f>
        <v/>
      </c>
      <c r="M71" t="str">
        <f>IFERROR(INDEX('Tournament List'!M:M,MATCH($B71,'Tournament List'!$A:$A,0)),"")</f>
        <v/>
      </c>
      <c r="N71" t="str">
        <f>IFERROR(INDEX('Tournament List'!W:W,MATCH($B71,'Tournament List'!$A:$A,0)),"")</f>
        <v/>
      </c>
      <c r="O71" s="1" t="str">
        <f>IFERROR(INDEX('Tournament List'!AD:AD,MATCH($B71,'Tournament List'!$A:$A,0)),"")</f>
        <v/>
      </c>
      <c r="P71" t="str">
        <f>IFERROR(INDEX('Tournament List'!AM:AM,MATCH($B71,'Tournament List'!$A:$A,0)),"")</f>
        <v/>
      </c>
      <c r="Q71" t="str">
        <f>IFERROR(INDEX('Tournament List'!AN:AN,MATCH($B71,'Tournament List'!$A:$A,0)),"")</f>
        <v/>
      </c>
      <c r="R71" t="str">
        <f>IFERROR(INDEX('Tournament List'!AO:AO,MATCH($B71,'Tournament List'!$A:$A,0)),"")</f>
        <v/>
      </c>
    </row>
    <row r="72" spans="1:18" x14ac:dyDescent="0.3">
      <c r="A72" s="275" t="str">
        <f>IF(B72&lt;&gt;"",'Tournament Setup'!$B$1,"")</f>
        <v/>
      </c>
      <c r="B72" t="str">
        <f>IF('Tournament List'!A73&lt;&gt;"",'Tournament List'!A73,"")</f>
        <v/>
      </c>
      <c r="C72" t="str">
        <f>IFERROR(INDEX('Tournament List'!B:B,MATCH($B72,'Tournament List'!$A:$A,0)),"")</f>
        <v/>
      </c>
      <c r="D72" t="str">
        <f>IFERROR(INDEX('Tournament List'!C:C,MATCH($B72,'Tournament List'!$A:$A,0)),"")</f>
        <v/>
      </c>
      <c r="I72" t="str">
        <f>IFERROR(INDEX('Skeet Ind Concurrent Ranking'!M:M,MATCH($B72,'Skeet Ind Concurrent Ranking'!$A:$A,0)),"")</f>
        <v/>
      </c>
      <c r="J72" s="278" t="str">
        <f>IFERROR(INDEX('Tournament List'!AG:AG,MATCH($B72,'Tournament List'!$A:$A,0)),"")</f>
        <v/>
      </c>
      <c r="K72" t="str">
        <f>IFERROR(IF(INDEX('Tournament List'!AA:AA,MATCH($B72,'Tournament List'!$A:$A,0))&gt;0,INDEX('Tournament List'!AA:AA,MATCH($B72,'Tournament List'!$A:$A,0)),""),"")</f>
        <v/>
      </c>
      <c r="L72" s="278" t="str">
        <f>IFERROR(IF(INDEX('Tournament List'!Z:Z,MATCH($B72,'Tournament List'!$A:$A,0))&gt;0,INDEX('Tournament List'!Z:Z,MATCH($B72,'Tournament List'!$A:$A,0)),""),"")</f>
        <v/>
      </c>
      <c r="M72" t="str">
        <f>IFERROR(INDEX('Tournament List'!M:M,MATCH($B72,'Tournament List'!$A:$A,0)),"")</f>
        <v/>
      </c>
      <c r="N72" t="str">
        <f>IFERROR(INDEX('Tournament List'!W:W,MATCH($B72,'Tournament List'!$A:$A,0)),"")</f>
        <v/>
      </c>
      <c r="O72" s="1" t="str">
        <f>IFERROR(INDEX('Tournament List'!AD:AD,MATCH($B72,'Tournament List'!$A:$A,0)),"")</f>
        <v/>
      </c>
      <c r="P72" t="str">
        <f>IFERROR(INDEX('Tournament List'!AM:AM,MATCH($B72,'Tournament List'!$A:$A,0)),"")</f>
        <v/>
      </c>
      <c r="Q72" t="str">
        <f>IFERROR(INDEX('Tournament List'!AN:AN,MATCH($B72,'Tournament List'!$A:$A,0)),"")</f>
        <v/>
      </c>
      <c r="R72" t="str">
        <f>IFERROR(INDEX('Tournament List'!AO:AO,MATCH($B72,'Tournament List'!$A:$A,0)),"")</f>
        <v/>
      </c>
    </row>
    <row r="73" spans="1:18" x14ac:dyDescent="0.3">
      <c r="A73" s="275" t="str">
        <f>IF(B73&lt;&gt;"",'Tournament Setup'!$B$1,"")</f>
        <v/>
      </c>
      <c r="B73" t="str">
        <f>IF('Tournament List'!A74&lt;&gt;"",'Tournament List'!A74,"")</f>
        <v/>
      </c>
      <c r="C73" t="str">
        <f>IFERROR(INDEX('Tournament List'!B:B,MATCH($B73,'Tournament List'!$A:$A,0)),"")</f>
        <v/>
      </c>
      <c r="D73" t="str">
        <f>IFERROR(INDEX('Tournament List'!C:C,MATCH($B73,'Tournament List'!$A:$A,0)),"")</f>
        <v/>
      </c>
      <c r="I73" t="str">
        <f>IFERROR(INDEX('Skeet Ind Concurrent Ranking'!M:M,MATCH($B73,'Skeet Ind Concurrent Ranking'!$A:$A,0)),"")</f>
        <v/>
      </c>
      <c r="J73" s="278" t="str">
        <f>IFERROR(INDEX('Tournament List'!AG:AG,MATCH($B73,'Tournament List'!$A:$A,0)),"")</f>
        <v/>
      </c>
      <c r="K73" t="str">
        <f>IFERROR(IF(INDEX('Tournament List'!AA:AA,MATCH($B73,'Tournament List'!$A:$A,0))&gt;0,INDEX('Tournament List'!AA:AA,MATCH($B73,'Tournament List'!$A:$A,0)),""),"")</f>
        <v/>
      </c>
      <c r="L73" s="278" t="str">
        <f>IFERROR(IF(INDEX('Tournament List'!Z:Z,MATCH($B73,'Tournament List'!$A:$A,0))&gt;0,INDEX('Tournament List'!Z:Z,MATCH($B73,'Tournament List'!$A:$A,0)),""),"")</f>
        <v/>
      </c>
      <c r="M73" t="str">
        <f>IFERROR(INDEX('Tournament List'!M:M,MATCH($B73,'Tournament List'!$A:$A,0)),"")</f>
        <v/>
      </c>
      <c r="N73" t="str">
        <f>IFERROR(INDEX('Tournament List'!W:W,MATCH($B73,'Tournament List'!$A:$A,0)),"")</f>
        <v/>
      </c>
      <c r="O73" s="1" t="str">
        <f>IFERROR(INDEX('Tournament List'!AD:AD,MATCH($B73,'Tournament List'!$A:$A,0)),"")</f>
        <v/>
      </c>
      <c r="P73" t="str">
        <f>IFERROR(INDEX('Tournament List'!AM:AM,MATCH($B73,'Tournament List'!$A:$A,0)),"")</f>
        <v/>
      </c>
      <c r="Q73" t="str">
        <f>IFERROR(INDEX('Tournament List'!AN:AN,MATCH($B73,'Tournament List'!$A:$A,0)),"")</f>
        <v/>
      </c>
      <c r="R73" t="str">
        <f>IFERROR(INDEX('Tournament List'!AO:AO,MATCH($B73,'Tournament List'!$A:$A,0)),"")</f>
        <v/>
      </c>
    </row>
    <row r="74" spans="1:18" x14ac:dyDescent="0.3">
      <c r="A74" s="275" t="str">
        <f>IF(B74&lt;&gt;"",'Tournament Setup'!$B$1,"")</f>
        <v/>
      </c>
      <c r="B74" t="str">
        <f>IF('Tournament List'!A75&lt;&gt;"",'Tournament List'!A75,"")</f>
        <v/>
      </c>
      <c r="C74" t="str">
        <f>IFERROR(INDEX('Tournament List'!B:B,MATCH($B74,'Tournament List'!$A:$A,0)),"")</f>
        <v/>
      </c>
      <c r="D74" t="str">
        <f>IFERROR(INDEX('Tournament List'!C:C,MATCH($B74,'Tournament List'!$A:$A,0)),"")</f>
        <v/>
      </c>
      <c r="I74" t="str">
        <f>IFERROR(INDEX('Skeet Ind Concurrent Ranking'!M:M,MATCH($B74,'Skeet Ind Concurrent Ranking'!$A:$A,0)),"")</f>
        <v/>
      </c>
      <c r="J74" s="278" t="str">
        <f>IFERROR(INDEX('Tournament List'!AG:AG,MATCH($B74,'Tournament List'!$A:$A,0)),"")</f>
        <v/>
      </c>
      <c r="K74" t="str">
        <f>IFERROR(IF(INDEX('Tournament List'!AA:AA,MATCH($B74,'Tournament List'!$A:$A,0))&gt;0,INDEX('Tournament List'!AA:AA,MATCH($B74,'Tournament List'!$A:$A,0)),""),"")</f>
        <v/>
      </c>
      <c r="L74" s="278" t="str">
        <f>IFERROR(IF(INDEX('Tournament List'!Z:Z,MATCH($B74,'Tournament List'!$A:$A,0))&gt;0,INDEX('Tournament List'!Z:Z,MATCH($B74,'Tournament List'!$A:$A,0)),""),"")</f>
        <v/>
      </c>
      <c r="M74" t="str">
        <f>IFERROR(INDEX('Tournament List'!M:M,MATCH($B74,'Tournament List'!$A:$A,0)),"")</f>
        <v/>
      </c>
      <c r="N74" t="str">
        <f>IFERROR(INDEX('Tournament List'!W:W,MATCH($B74,'Tournament List'!$A:$A,0)),"")</f>
        <v/>
      </c>
      <c r="O74" s="1" t="str">
        <f>IFERROR(INDEX('Tournament List'!AD:AD,MATCH($B74,'Tournament List'!$A:$A,0)),"")</f>
        <v/>
      </c>
      <c r="P74" t="str">
        <f>IFERROR(INDEX('Tournament List'!AM:AM,MATCH($B74,'Tournament List'!$A:$A,0)),"")</f>
        <v/>
      </c>
      <c r="Q74" t="str">
        <f>IFERROR(INDEX('Tournament List'!AN:AN,MATCH($B74,'Tournament List'!$A:$A,0)),"")</f>
        <v/>
      </c>
      <c r="R74" t="str">
        <f>IFERROR(INDEX('Tournament List'!AO:AO,MATCH($B74,'Tournament List'!$A:$A,0)),"")</f>
        <v/>
      </c>
    </row>
    <row r="75" spans="1:18" x14ac:dyDescent="0.3">
      <c r="A75" s="275" t="str">
        <f>IF(B75&lt;&gt;"",'Tournament Setup'!$B$1,"")</f>
        <v/>
      </c>
      <c r="B75" t="str">
        <f>IF('Tournament List'!A76&lt;&gt;"",'Tournament List'!A76,"")</f>
        <v/>
      </c>
      <c r="C75" t="str">
        <f>IFERROR(INDEX('Tournament List'!B:B,MATCH($B75,'Tournament List'!$A:$A,0)),"")</f>
        <v/>
      </c>
      <c r="D75" t="str">
        <f>IFERROR(INDEX('Tournament List'!C:C,MATCH($B75,'Tournament List'!$A:$A,0)),"")</f>
        <v/>
      </c>
      <c r="I75" t="str">
        <f>IFERROR(INDEX('Skeet Ind Concurrent Ranking'!M:M,MATCH($B75,'Skeet Ind Concurrent Ranking'!$A:$A,0)),"")</f>
        <v/>
      </c>
      <c r="J75" s="278" t="str">
        <f>IFERROR(INDEX('Tournament List'!AG:AG,MATCH($B75,'Tournament List'!$A:$A,0)),"")</f>
        <v/>
      </c>
      <c r="K75" t="str">
        <f>IFERROR(IF(INDEX('Tournament List'!AA:AA,MATCH($B75,'Tournament List'!$A:$A,0))&gt;0,INDEX('Tournament List'!AA:AA,MATCH($B75,'Tournament List'!$A:$A,0)),""),"")</f>
        <v/>
      </c>
      <c r="L75" s="278" t="str">
        <f>IFERROR(IF(INDEX('Tournament List'!Z:Z,MATCH($B75,'Tournament List'!$A:$A,0))&gt;0,INDEX('Tournament List'!Z:Z,MATCH($B75,'Tournament List'!$A:$A,0)),""),"")</f>
        <v/>
      </c>
      <c r="M75" t="str">
        <f>IFERROR(INDEX('Tournament List'!M:M,MATCH($B75,'Tournament List'!$A:$A,0)),"")</f>
        <v/>
      </c>
      <c r="N75" t="str">
        <f>IFERROR(INDEX('Tournament List'!W:W,MATCH($B75,'Tournament List'!$A:$A,0)),"")</f>
        <v/>
      </c>
      <c r="O75" s="1" t="str">
        <f>IFERROR(INDEX('Tournament List'!AD:AD,MATCH($B75,'Tournament List'!$A:$A,0)),"")</f>
        <v/>
      </c>
      <c r="P75" t="str">
        <f>IFERROR(INDEX('Tournament List'!AM:AM,MATCH($B75,'Tournament List'!$A:$A,0)),"")</f>
        <v/>
      </c>
      <c r="Q75" t="str">
        <f>IFERROR(INDEX('Tournament List'!AN:AN,MATCH($B75,'Tournament List'!$A:$A,0)),"")</f>
        <v/>
      </c>
      <c r="R75" t="str">
        <f>IFERROR(INDEX('Tournament List'!AO:AO,MATCH($B75,'Tournament List'!$A:$A,0)),"")</f>
        <v/>
      </c>
    </row>
    <row r="76" spans="1:18" x14ac:dyDescent="0.3">
      <c r="A76" s="275" t="str">
        <f>IF(B76&lt;&gt;"",'Tournament Setup'!$B$1,"")</f>
        <v/>
      </c>
      <c r="B76" t="str">
        <f>IF('Tournament List'!A77&lt;&gt;"",'Tournament List'!A77,"")</f>
        <v/>
      </c>
      <c r="C76" t="str">
        <f>IFERROR(INDEX('Tournament List'!B:B,MATCH($B76,'Tournament List'!$A:$A,0)),"")</f>
        <v/>
      </c>
      <c r="D76" t="str">
        <f>IFERROR(INDEX('Tournament List'!C:C,MATCH($B76,'Tournament List'!$A:$A,0)),"")</f>
        <v/>
      </c>
      <c r="I76" t="str">
        <f>IFERROR(INDEX('Skeet Ind Concurrent Ranking'!M:M,MATCH($B76,'Skeet Ind Concurrent Ranking'!$A:$A,0)),"")</f>
        <v/>
      </c>
      <c r="J76" s="278" t="str">
        <f>IFERROR(INDEX('Tournament List'!AG:AG,MATCH($B76,'Tournament List'!$A:$A,0)),"")</f>
        <v/>
      </c>
      <c r="K76" t="str">
        <f>IFERROR(IF(INDEX('Tournament List'!AA:AA,MATCH($B76,'Tournament List'!$A:$A,0))&gt;0,INDEX('Tournament List'!AA:AA,MATCH($B76,'Tournament List'!$A:$A,0)),""),"")</f>
        <v/>
      </c>
      <c r="L76" s="278" t="str">
        <f>IFERROR(IF(INDEX('Tournament List'!Z:Z,MATCH($B76,'Tournament List'!$A:$A,0))&gt;0,INDEX('Tournament List'!Z:Z,MATCH($B76,'Tournament List'!$A:$A,0)),""),"")</f>
        <v/>
      </c>
      <c r="M76" t="str">
        <f>IFERROR(INDEX('Tournament List'!M:M,MATCH($B76,'Tournament List'!$A:$A,0)),"")</f>
        <v/>
      </c>
      <c r="N76" t="str">
        <f>IFERROR(INDEX('Tournament List'!W:W,MATCH($B76,'Tournament List'!$A:$A,0)),"")</f>
        <v/>
      </c>
      <c r="O76" s="1" t="str">
        <f>IFERROR(INDEX('Tournament List'!AD:AD,MATCH($B76,'Tournament List'!$A:$A,0)),"")</f>
        <v/>
      </c>
      <c r="P76" t="str">
        <f>IFERROR(INDEX('Tournament List'!AM:AM,MATCH($B76,'Tournament List'!$A:$A,0)),"")</f>
        <v/>
      </c>
      <c r="Q76" t="str">
        <f>IFERROR(INDEX('Tournament List'!AN:AN,MATCH($B76,'Tournament List'!$A:$A,0)),"")</f>
        <v/>
      </c>
      <c r="R76" t="str">
        <f>IFERROR(INDEX('Tournament List'!AO:AO,MATCH($B76,'Tournament List'!$A:$A,0)),"")</f>
        <v/>
      </c>
    </row>
    <row r="77" spans="1:18" x14ac:dyDescent="0.3">
      <c r="A77" s="275" t="str">
        <f>IF(B77&lt;&gt;"",'Tournament Setup'!$B$1,"")</f>
        <v/>
      </c>
      <c r="B77" t="str">
        <f>IF('Tournament List'!A78&lt;&gt;"",'Tournament List'!A78,"")</f>
        <v/>
      </c>
      <c r="C77" t="str">
        <f>IFERROR(INDEX('Tournament List'!B:B,MATCH($B77,'Tournament List'!$A:$A,0)),"")</f>
        <v/>
      </c>
      <c r="D77" t="str">
        <f>IFERROR(INDEX('Tournament List'!C:C,MATCH($B77,'Tournament List'!$A:$A,0)),"")</f>
        <v/>
      </c>
      <c r="I77" t="str">
        <f>IFERROR(INDEX('Skeet Ind Concurrent Ranking'!M:M,MATCH($B77,'Skeet Ind Concurrent Ranking'!$A:$A,0)),"")</f>
        <v/>
      </c>
      <c r="J77" s="278" t="str">
        <f>IFERROR(INDEX('Tournament List'!AG:AG,MATCH($B77,'Tournament List'!$A:$A,0)),"")</f>
        <v/>
      </c>
      <c r="K77" t="str">
        <f>IFERROR(IF(INDEX('Tournament List'!AA:AA,MATCH($B77,'Tournament List'!$A:$A,0))&gt;0,INDEX('Tournament List'!AA:AA,MATCH($B77,'Tournament List'!$A:$A,0)),""),"")</f>
        <v/>
      </c>
      <c r="L77" s="278" t="str">
        <f>IFERROR(IF(INDEX('Tournament List'!Z:Z,MATCH($B77,'Tournament List'!$A:$A,0))&gt;0,INDEX('Tournament List'!Z:Z,MATCH($B77,'Tournament List'!$A:$A,0)),""),"")</f>
        <v/>
      </c>
      <c r="M77" t="str">
        <f>IFERROR(INDEX('Tournament List'!M:M,MATCH($B77,'Tournament List'!$A:$A,0)),"")</f>
        <v/>
      </c>
      <c r="N77" t="str">
        <f>IFERROR(INDEX('Tournament List'!W:W,MATCH($B77,'Tournament List'!$A:$A,0)),"")</f>
        <v/>
      </c>
      <c r="O77" s="1" t="str">
        <f>IFERROR(INDEX('Tournament List'!AD:AD,MATCH($B77,'Tournament List'!$A:$A,0)),"")</f>
        <v/>
      </c>
      <c r="P77" t="str">
        <f>IFERROR(INDEX('Tournament List'!AM:AM,MATCH($B77,'Tournament List'!$A:$A,0)),"")</f>
        <v/>
      </c>
      <c r="Q77" t="str">
        <f>IFERROR(INDEX('Tournament List'!AN:AN,MATCH($B77,'Tournament List'!$A:$A,0)),"")</f>
        <v/>
      </c>
      <c r="R77" t="str">
        <f>IFERROR(INDEX('Tournament List'!AO:AO,MATCH($B77,'Tournament List'!$A:$A,0)),"")</f>
        <v/>
      </c>
    </row>
    <row r="78" spans="1:18" x14ac:dyDescent="0.3">
      <c r="A78" s="275" t="str">
        <f>IF(B78&lt;&gt;"",'Tournament Setup'!$B$1,"")</f>
        <v/>
      </c>
      <c r="B78" t="str">
        <f>IF('Tournament List'!A79&lt;&gt;"",'Tournament List'!A79,"")</f>
        <v/>
      </c>
      <c r="C78" t="str">
        <f>IFERROR(INDEX('Tournament List'!B:B,MATCH($B78,'Tournament List'!$A:$A,0)),"")</f>
        <v/>
      </c>
      <c r="D78" t="str">
        <f>IFERROR(INDEX('Tournament List'!C:C,MATCH($B78,'Tournament List'!$A:$A,0)),"")</f>
        <v/>
      </c>
      <c r="I78" t="str">
        <f>IFERROR(INDEX('Skeet Ind Concurrent Ranking'!M:M,MATCH($B78,'Skeet Ind Concurrent Ranking'!$A:$A,0)),"")</f>
        <v/>
      </c>
      <c r="J78" s="278" t="str">
        <f>IFERROR(INDEX('Tournament List'!AG:AG,MATCH($B78,'Tournament List'!$A:$A,0)),"")</f>
        <v/>
      </c>
      <c r="K78" t="str">
        <f>IFERROR(IF(INDEX('Tournament List'!AA:AA,MATCH($B78,'Tournament List'!$A:$A,0))&gt;0,INDEX('Tournament List'!AA:AA,MATCH($B78,'Tournament List'!$A:$A,0)),""),"")</f>
        <v/>
      </c>
      <c r="L78" s="278" t="str">
        <f>IFERROR(IF(INDEX('Tournament List'!Z:Z,MATCH($B78,'Tournament List'!$A:$A,0))&gt;0,INDEX('Tournament List'!Z:Z,MATCH($B78,'Tournament List'!$A:$A,0)),""),"")</f>
        <v/>
      </c>
      <c r="M78" t="str">
        <f>IFERROR(INDEX('Tournament List'!M:M,MATCH($B78,'Tournament List'!$A:$A,0)),"")</f>
        <v/>
      </c>
      <c r="N78" t="str">
        <f>IFERROR(INDEX('Tournament List'!W:W,MATCH($B78,'Tournament List'!$A:$A,0)),"")</f>
        <v/>
      </c>
      <c r="O78" s="1" t="str">
        <f>IFERROR(INDEX('Tournament List'!AD:AD,MATCH($B78,'Tournament List'!$A:$A,0)),"")</f>
        <v/>
      </c>
      <c r="P78" t="str">
        <f>IFERROR(INDEX('Tournament List'!AM:AM,MATCH($B78,'Tournament List'!$A:$A,0)),"")</f>
        <v/>
      </c>
      <c r="Q78" t="str">
        <f>IFERROR(INDEX('Tournament List'!AN:AN,MATCH($B78,'Tournament List'!$A:$A,0)),"")</f>
        <v/>
      </c>
      <c r="R78" t="str">
        <f>IFERROR(INDEX('Tournament List'!AO:AO,MATCH($B78,'Tournament List'!$A:$A,0)),"")</f>
        <v/>
      </c>
    </row>
    <row r="79" spans="1:18" x14ac:dyDescent="0.3">
      <c r="A79" s="275" t="str">
        <f>IF(B79&lt;&gt;"",'Tournament Setup'!$B$1,"")</f>
        <v/>
      </c>
      <c r="B79" t="str">
        <f>IF('Tournament List'!A80&lt;&gt;"",'Tournament List'!A80,"")</f>
        <v/>
      </c>
      <c r="C79" t="str">
        <f>IFERROR(INDEX('Tournament List'!B:B,MATCH($B79,'Tournament List'!$A:$A,0)),"")</f>
        <v/>
      </c>
      <c r="D79" t="str">
        <f>IFERROR(INDEX('Tournament List'!C:C,MATCH($B79,'Tournament List'!$A:$A,0)),"")</f>
        <v/>
      </c>
      <c r="I79" t="str">
        <f>IFERROR(INDEX('Skeet Ind Concurrent Ranking'!M:M,MATCH($B79,'Skeet Ind Concurrent Ranking'!$A:$A,0)),"")</f>
        <v/>
      </c>
      <c r="J79" s="278" t="str">
        <f>IFERROR(INDEX('Tournament List'!AG:AG,MATCH($B79,'Tournament List'!$A:$A,0)),"")</f>
        <v/>
      </c>
      <c r="K79" t="str">
        <f>IFERROR(IF(INDEX('Tournament List'!AA:AA,MATCH($B79,'Tournament List'!$A:$A,0))&gt;0,INDEX('Tournament List'!AA:AA,MATCH($B79,'Tournament List'!$A:$A,0)),""),"")</f>
        <v/>
      </c>
      <c r="L79" s="278" t="str">
        <f>IFERROR(IF(INDEX('Tournament List'!Z:Z,MATCH($B79,'Tournament List'!$A:$A,0))&gt;0,INDEX('Tournament List'!Z:Z,MATCH($B79,'Tournament List'!$A:$A,0)),""),"")</f>
        <v/>
      </c>
      <c r="M79" t="str">
        <f>IFERROR(INDEX('Tournament List'!M:M,MATCH($B79,'Tournament List'!$A:$A,0)),"")</f>
        <v/>
      </c>
      <c r="N79" t="str">
        <f>IFERROR(INDEX('Tournament List'!W:W,MATCH($B79,'Tournament List'!$A:$A,0)),"")</f>
        <v/>
      </c>
      <c r="O79" s="1" t="str">
        <f>IFERROR(INDEX('Tournament List'!AD:AD,MATCH($B79,'Tournament List'!$A:$A,0)),"")</f>
        <v/>
      </c>
      <c r="P79" t="str">
        <f>IFERROR(INDEX('Tournament List'!AM:AM,MATCH($B79,'Tournament List'!$A:$A,0)),"")</f>
        <v/>
      </c>
      <c r="Q79" t="str">
        <f>IFERROR(INDEX('Tournament List'!AN:AN,MATCH($B79,'Tournament List'!$A:$A,0)),"")</f>
        <v/>
      </c>
      <c r="R79" t="str">
        <f>IFERROR(INDEX('Tournament List'!AO:AO,MATCH($B79,'Tournament List'!$A:$A,0)),"")</f>
        <v/>
      </c>
    </row>
    <row r="80" spans="1:18" x14ac:dyDescent="0.3">
      <c r="A80" s="275" t="str">
        <f>IF(B80&lt;&gt;"",'Tournament Setup'!$B$1,"")</f>
        <v/>
      </c>
      <c r="B80" t="str">
        <f>IF('Tournament List'!A81&lt;&gt;"",'Tournament List'!A81,"")</f>
        <v/>
      </c>
      <c r="C80" t="str">
        <f>IFERROR(INDEX('Tournament List'!B:B,MATCH($B80,'Tournament List'!$A:$A,0)),"")</f>
        <v/>
      </c>
      <c r="D80" t="str">
        <f>IFERROR(INDEX('Tournament List'!C:C,MATCH($B80,'Tournament List'!$A:$A,0)),"")</f>
        <v/>
      </c>
      <c r="I80" t="str">
        <f>IFERROR(INDEX('Skeet Ind Concurrent Ranking'!M:M,MATCH($B80,'Skeet Ind Concurrent Ranking'!$A:$A,0)),"")</f>
        <v/>
      </c>
      <c r="J80" s="278" t="str">
        <f>IFERROR(INDEX('Tournament List'!AG:AG,MATCH($B80,'Tournament List'!$A:$A,0)),"")</f>
        <v/>
      </c>
      <c r="K80" t="str">
        <f>IFERROR(IF(INDEX('Tournament List'!AA:AA,MATCH($B80,'Tournament List'!$A:$A,0))&gt;0,INDEX('Tournament List'!AA:AA,MATCH($B80,'Tournament List'!$A:$A,0)),""),"")</f>
        <v/>
      </c>
      <c r="L80" s="278" t="str">
        <f>IFERROR(IF(INDEX('Tournament List'!Z:Z,MATCH($B80,'Tournament List'!$A:$A,0))&gt;0,INDEX('Tournament List'!Z:Z,MATCH($B80,'Tournament List'!$A:$A,0)),""),"")</f>
        <v/>
      </c>
      <c r="M80" t="str">
        <f>IFERROR(INDEX('Tournament List'!M:M,MATCH($B80,'Tournament List'!$A:$A,0)),"")</f>
        <v/>
      </c>
      <c r="N80" t="str">
        <f>IFERROR(INDEX('Tournament List'!W:W,MATCH($B80,'Tournament List'!$A:$A,0)),"")</f>
        <v/>
      </c>
      <c r="O80" s="1" t="str">
        <f>IFERROR(INDEX('Tournament List'!AD:AD,MATCH($B80,'Tournament List'!$A:$A,0)),"")</f>
        <v/>
      </c>
      <c r="P80" t="str">
        <f>IFERROR(INDEX('Tournament List'!AM:AM,MATCH($B80,'Tournament List'!$A:$A,0)),"")</f>
        <v/>
      </c>
      <c r="Q80" t="str">
        <f>IFERROR(INDEX('Tournament List'!AN:AN,MATCH($B80,'Tournament List'!$A:$A,0)),"")</f>
        <v/>
      </c>
      <c r="R80" t="str">
        <f>IFERROR(INDEX('Tournament List'!AO:AO,MATCH($B80,'Tournament List'!$A:$A,0)),"")</f>
        <v/>
      </c>
    </row>
    <row r="81" spans="1:18" x14ac:dyDescent="0.3">
      <c r="A81" s="275" t="str">
        <f>IF(B81&lt;&gt;"",'Tournament Setup'!$B$1,"")</f>
        <v/>
      </c>
      <c r="B81" t="str">
        <f>IF('Tournament List'!A82&lt;&gt;"",'Tournament List'!A82,"")</f>
        <v/>
      </c>
      <c r="C81" t="str">
        <f>IFERROR(INDEX('Tournament List'!B:B,MATCH($B81,'Tournament List'!$A:$A,0)),"")</f>
        <v/>
      </c>
      <c r="D81" t="str">
        <f>IFERROR(INDEX('Tournament List'!C:C,MATCH($B81,'Tournament List'!$A:$A,0)),"")</f>
        <v/>
      </c>
      <c r="I81" t="str">
        <f>IFERROR(INDEX('Skeet Ind Concurrent Ranking'!M:M,MATCH($B81,'Skeet Ind Concurrent Ranking'!$A:$A,0)),"")</f>
        <v/>
      </c>
      <c r="J81" s="278" t="str">
        <f>IFERROR(INDEX('Tournament List'!AG:AG,MATCH($B81,'Tournament List'!$A:$A,0)),"")</f>
        <v/>
      </c>
      <c r="K81" t="str">
        <f>IFERROR(IF(INDEX('Tournament List'!AA:AA,MATCH($B81,'Tournament List'!$A:$A,0))&gt;0,INDEX('Tournament List'!AA:AA,MATCH($B81,'Tournament List'!$A:$A,0)),""),"")</f>
        <v/>
      </c>
      <c r="L81" s="278" t="str">
        <f>IFERROR(IF(INDEX('Tournament List'!Z:Z,MATCH($B81,'Tournament List'!$A:$A,0))&gt;0,INDEX('Tournament List'!Z:Z,MATCH($B81,'Tournament List'!$A:$A,0)),""),"")</f>
        <v/>
      </c>
      <c r="M81" t="str">
        <f>IFERROR(INDEX('Tournament List'!M:M,MATCH($B81,'Tournament List'!$A:$A,0)),"")</f>
        <v/>
      </c>
      <c r="N81" t="str">
        <f>IFERROR(INDEX('Tournament List'!W:W,MATCH($B81,'Tournament List'!$A:$A,0)),"")</f>
        <v/>
      </c>
      <c r="O81" s="1" t="str">
        <f>IFERROR(INDEX('Tournament List'!AD:AD,MATCH($B81,'Tournament List'!$A:$A,0)),"")</f>
        <v/>
      </c>
      <c r="P81" t="str">
        <f>IFERROR(INDEX('Tournament List'!AM:AM,MATCH($B81,'Tournament List'!$A:$A,0)),"")</f>
        <v/>
      </c>
      <c r="Q81" t="str">
        <f>IFERROR(INDEX('Tournament List'!AN:AN,MATCH($B81,'Tournament List'!$A:$A,0)),"")</f>
        <v/>
      </c>
      <c r="R81" t="str">
        <f>IFERROR(INDEX('Tournament List'!AO:AO,MATCH($B81,'Tournament List'!$A:$A,0)),"")</f>
        <v/>
      </c>
    </row>
    <row r="82" spans="1:18" x14ac:dyDescent="0.3">
      <c r="A82" s="275" t="str">
        <f>IF(B82&lt;&gt;"",'Tournament Setup'!$B$1,"")</f>
        <v/>
      </c>
      <c r="B82" t="str">
        <f>IF('Tournament List'!A83&lt;&gt;"",'Tournament List'!A83,"")</f>
        <v/>
      </c>
      <c r="C82" t="str">
        <f>IFERROR(INDEX('Tournament List'!B:B,MATCH($B82,'Tournament List'!$A:$A,0)),"")</f>
        <v/>
      </c>
      <c r="D82" t="str">
        <f>IFERROR(INDEX('Tournament List'!C:C,MATCH($B82,'Tournament List'!$A:$A,0)),"")</f>
        <v/>
      </c>
      <c r="I82" t="str">
        <f>IFERROR(INDEX('Skeet Ind Concurrent Ranking'!M:M,MATCH($B82,'Skeet Ind Concurrent Ranking'!$A:$A,0)),"")</f>
        <v/>
      </c>
      <c r="J82" s="278" t="str">
        <f>IFERROR(INDEX('Tournament List'!AG:AG,MATCH($B82,'Tournament List'!$A:$A,0)),"")</f>
        <v/>
      </c>
      <c r="K82" t="str">
        <f>IFERROR(IF(INDEX('Tournament List'!AA:AA,MATCH($B82,'Tournament List'!$A:$A,0))&gt;0,INDEX('Tournament List'!AA:AA,MATCH($B82,'Tournament List'!$A:$A,0)),""),"")</f>
        <v/>
      </c>
      <c r="L82" s="278" t="str">
        <f>IFERROR(IF(INDEX('Tournament List'!Z:Z,MATCH($B82,'Tournament List'!$A:$A,0))&gt;0,INDEX('Tournament List'!Z:Z,MATCH($B82,'Tournament List'!$A:$A,0)),""),"")</f>
        <v/>
      </c>
      <c r="M82" t="str">
        <f>IFERROR(INDEX('Tournament List'!M:M,MATCH($B82,'Tournament List'!$A:$A,0)),"")</f>
        <v/>
      </c>
      <c r="N82" t="str">
        <f>IFERROR(INDEX('Tournament List'!W:W,MATCH($B82,'Tournament List'!$A:$A,0)),"")</f>
        <v/>
      </c>
      <c r="O82" s="1" t="str">
        <f>IFERROR(INDEX('Tournament List'!AD:AD,MATCH($B82,'Tournament List'!$A:$A,0)),"")</f>
        <v/>
      </c>
      <c r="P82" t="str">
        <f>IFERROR(INDEX('Tournament List'!AM:AM,MATCH($B82,'Tournament List'!$A:$A,0)),"")</f>
        <v/>
      </c>
      <c r="Q82" t="str">
        <f>IFERROR(INDEX('Tournament List'!AN:AN,MATCH($B82,'Tournament List'!$A:$A,0)),"")</f>
        <v/>
      </c>
      <c r="R82" t="str">
        <f>IFERROR(INDEX('Tournament List'!AO:AO,MATCH($B82,'Tournament List'!$A:$A,0)),"")</f>
        <v/>
      </c>
    </row>
    <row r="83" spans="1:18" x14ac:dyDescent="0.3">
      <c r="A83" s="275" t="str">
        <f>IF(B83&lt;&gt;"",'Tournament Setup'!$B$1,"")</f>
        <v/>
      </c>
      <c r="B83" t="str">
        <f>IF('Tournament List'!A84&lt;&gt;"",'Tournament List'!A84,"")</f>
        <v/>
      </c>
      <c r="C83" t="str">
        <f>IFERROR(INDEX('Tournament List'!B:B,MATCH($B83,'Tournament List'!$A:$A,0)),"")</f>
        <v/>
      </c>
      <c r="D83" t="str">
        <f>IFERROR(INDEX('Tournament List'!C:C,MATCH($B83,'Tournament List'!$A:$A,0)),"")</f>
        <v/>
      </c>
      <c r="I83" t="str">
        <f>IFERROR(INDEX('Skeet Ind Concurrent Ranking'!M:M,MATCH($B83,'Skeet Ind Concurrent Ranking'!$A:$A,0)),"")</f>
        <v/>
      </c>
      <c r="J83" s="278" t="str">
        <f>IFERROR(INDEX('Tournament List'!AG:AG,MATCH($B83,'Tournament List'!$A:$A,0)),"")</f>
        <v/>
      </c>
      <c r="K83" t="str">
        <f>IFERROR(IF(INDEX('Tournament List'!AA:AA,MATCH($B83,'Tournament List'!$A:$A,0))&gt;0,INDEX('Tournament List'!AA:AA,MATCH($B83,'Tournament List'!$A:$A,0)),""),"")</f>
        <v/>
      </c>
      <c r="L83" s="278" t="str">
        <f>IFERROR(IF(INDEX('Tournament List'!Z:Z,MATCH($B83,'Tournament List'!$A:$A,0))&gt;0,INDEX('Tournament List'!Z:Z,MATCH($B83,'Tournament List'!$A:$A,0)),""),"")</f>
        <v/>
      </c>
      <c r="M83" t="str">
        <f>IFERROR(INDEX('Tournament List'!M:M,MATCH($B83,'Tournament List'!$A:$A,0)),"")</f>
        <v/>
      </c>
      <c r="N83" t="str">
        <f>IFERROR(INDEX('Tournament List'!W:W,MATCH($B83,'Tournament List'!$A:$A,0)),"")</f>
        <v/>
      </c>
      <c r="O83" s="1" t="str">
        <f>IFERROR(INDEX('Tournament List'!AD:AD,MATCH($B83,'Tournament List'!$A:$A,0)),"")</f>
        <v/>
      </c>
      <c r="P83" t="str">
        <f>IFERROR(INDEX('Tournament List'!AM:AM,MATCH($B83,'Tournament List'!$A:$A,0)),"")</f>
        <v/>
      </c>
      <c r="Q83" t="str">
        <f>IFERROR(INDEX('Tournament List'!AN:AN,MATCH($B83,'Tournament List'!$A:$A,0)),"")</f>
        <v/>
      </c>
      <c r="R83" t="str">
        <f>IFERROR(INDEX('Tournament List'!AO:AO,MATCH($B83,'Tournament List'!$A:$A,0)),"")</f>
        <v/>
      </c>
    </row>
    <row r="84" spans="1:18" x14ac:dyDescent="0.3">
      <c r="A84" s="275" t="str">
        <f>IF(B84&lt;&gt;"",'Tournament Setup'!$B$1,"")</f>
        <v/>
      </c>
      <c r="B84" t="str">
        <f>IF('Tournament List'!A85&lt;&gt;"",'Tournament List'!A85,"")</f>
        <v/>
      </c>
      <c r="C84" t="str">
        <f>IFERROR(INDEX('Tournament List'!B:B,MATCH($B84,'Tournament List'!$A:$A,0)),"")</f>
        <v/>
      </c>
      <c r="D84" t="str">
        <f>IFERROR(INDEX('Tournament List'!C:C,MATCH($B84,'Tournament List'!$A:$A,0)),"")</f>
        <v/>
      </c>
      <c r="I84" t="str">
        <f>IFERROR(INDEX('Skeet Ind Concurrent Ranking'!M:M,MATCH($B84,'Skeet Ind Concurrent Ranking'!$A:$A,0)),"")</f>
        <v/>
      </c>
      <c r="J84" s="278" t="str">
        <f>IFERROR(INDEX('Tournament List'!AG:AG,MATCH($B84,'Tournament List'!$A:$A,0)),"")</f>
        <v/>
      </c>
      <c r="K84" t="str">
        <f>IFERROR(IF(INDEX('Tournament List'!AA:AA,MATCH($B84,'Tournament List'!$A:$A,0))&gt;0,INDEX('Tournament List'!AA:AA,MATCH($B84,'Tournament List'!$A:$A,0)),""),"")</f>
        <v/>
      </c>
      <c r="L84" s="278" t="str">
        <f>IFERROR(IF(INDEX('Tournament List'!Z:Z,MATCH($B84,'Tournament List'!$A:$A,0))&gt;0,INDEX('Tournament List'!Z:Z,MATCH($B84,'Tournament List'!$A:$A,0)),""),"")</f>
        <v/>
      </c>
      <c r="M84" t="str">
        <f>IFERROR(INDEX('Tournament List'!M:M,MATCH($B84,'Tournament List'!$A:$A,0)),"")</f>
        <v/>
      </c>
      <c r="N84" t="str">
        <f>IFERROR(INDEX('Tournament List'!W:W,MATCH($B84,'Tournament List'!$A:$A,0)),"")</f>
        <v/>
      </c>
      <c r="O84" s="1" t="str">
        <f>IFERROR(INDEX('Tournament List'!AD:AD,MATCH($B84,'Tournament List'!$A:$A,0)),"")</f>
        <v/>
      </c>
      <c r="P84" t="str">
        <f>IFERROR(INDEX('Tournament List'!AM:AM,MATCH($B84,'Tournament List'!$A:$A,0)),"")</f>
        <v/>
      </c>
      <c r="Q84" t="str">
        <f>IFERROR(INDEX('Tournament List'!AN:AN,MATCH($B84,'Tournament List'!$A:$A,0)),"")</f>
        <v/>
      </c>
      <c r="R84" t="str">
        <f>IFERROR(INDEX('Tournament List'!AO:AO,MATCH($B84,'Tournament List'!$A:$A,0)),"")</f>
        <v/>
      </c>
    </row>
    <row r="85" spans="1:18" x14ac:dyDescent="0.3">
      <c r="A85" s="275" t="str">
        <f>IF(B85&lt;&gt;"",'Tournament Setup'!$B$1,"")</f>
        <v/>
      </c>
      <c r="B85" t="str">
        <f>IF('Tournament List'!A86&lt;&gt;"",'Tournament List'!A86,"")</f>
        <v/>
      </c>
      <c r="C85" t="str">
        <f>IFERROR(INDEX('Tournament List'!B:B,MATCH($B85,'Tournament List'!$A:$A,0)),"")</f>
        <v/>
      </c>
      <c r="D85" t="str">
        <f>IFERROR(INDEX('Tournament List'!C:C,MATCH($B85,'Tournament List'!$A:$A,0)),"")</f>
        <v/>
      </c>
      <c r="I85" t="str">
        <f>IFERROR(INDEX('Skeet Ind Concurrent Ranking'!M:M,MATCH($B85,'Skeet Ind Concurrent Ranking'!$A:$A,0)),"")</f>
        <v/>
      </c>
      <c r="J85" s="278" t="str">
        <f>IFERROR(INDEX('Tournament List'!AG:AG,MATCH($B85,'Tournament List'!$A:$A,0)),"")</f>
        <v/>
      </c>
      <c r="K85" t="str">
        <f>IFERROR(IF(INDEX('Tournament List'!AA:AA,MATCH($B85,'Tournament List'!$A:$A,0))&gt;0,INDEX('Tournament List'!AA:AA,MATCH($B85,'Tournament List'!$A:$A,0)),""),"")</f>
        <v/>
      </c>
      <c r="L85" s="278" t="str">
        <f>IFERROR(IF(INDEX('Tournament List'!Z:Z,MATCH($B85,'Tournament List'!$A:$A,0))&gt;0,INDEX('Tournament List'!Z:Z,MATCH($B85,'Tournament List'!$A:$A,0)),""),"")</f>
        <v/>
      </c>
      <c r="M85" t="str">
        <f>IFERROR(INDEX('Tournament List'!M:M,MATCH($B85,'Tournament List'!$A:$A,0)),"")</f>
        <v/>
      </c>
      <c r="N85" t="str">
        <f>IFERROR(INDEX('Tournament List'!W:W,MATCH($B85,'Tournament List'!$A:$A,0)),"")</f>
        <v/>
      </c>
      <c r="O85" s="1" t="str">
        <f>IFERROR(INDEX('Tournament List'!AD:AD,MATCH($B85,'Tournament List'!$A:$A,0)),"")</f>
        <v/>
      </c>
      <c r="P85" t="str">
        <f>IFERROR(INDEX('Tournament List'!AM:AM,MATCH($B85,'Tournament List'!$A:$A,0)),"")</f>
        <v/>
      </c>
      <c r="Q85" t="str">
        <f>IFERROR(INDEX('Tournament List'!AN:AN,MATCH($B85,'Tournament List'!$A:$A,0)),"")</f>
        <v/>
      </c>
      <c r="R85" t="str">
        <f>IFERROR(INDEX('Tournament List'!AO:AO,MATCH($B85,'Tournament List'!$A:$A,0)),"")</f>
        <v/>
      </c>
    </row>
    <row r="86" spans="1:18" x14ac:dyDescent="0.3">
      <c r="A86" s="275" t="str">
        <f>IF(B86&lt;&gt;"",'Tournament Setup'!$B$1,"")</f>
        <v/>
      </c>
      <c r="B86" t="str">
        <f>IF('Tournament List'!A87&lt;&gt;"",'Tournament List'!A87,"")</f>
        <v/>
      </c>
      <c r="C86" t="str">
        <f>IFERROR(INDEX('Tournament List'!B:B,MATCH($B86,'Tournament List'!$A:$A,0)),"")</f>
        <v/>
      </c>
      <c r="D86" t="str">
        <f>IFERROR(INDEX('Tournament List'!C:C,MATCH($B86,'Tournament List'!$A:$A,0)),"")</f>
        <v/>
      </c>
      <c r="I86" t="str">
        <f>IFERROR(INDEX('Skeet Ind Concurrent Ranking'!M:M,MATCH($B86,'Skeet Ind Concurrent Ranking'!$A:$A,0)),"")</f>
        <v/>
      </c>
      <c r="J86" s="278" t="str">
        <f>IFERROR(INDEX('Tournament List'!AG:AG,MATCH($B86,'Tournament List'!$A:$A,0)),"")</f>
        <v/>
      </c>
      <c r="K86" t="str">
        <f>IFERROR(IF(INDEX('Tournament List'!AA:AA,MATCH($B86,'Tournament List'!$A:$A,0))&gt;0,INDEX('Tournament List'!AA:AA,MATCH($B86,'Tournament List'!$A:$A,0)),""),"")</f>
        <v/>
      </c>
      <c r="L86" s="278" t="str">
        <f>IFERROR(IF(INDEX('Tournament List'!Z:Z,MATCH($B86,'Tournament List'!$A:$A,0))&gt;0,INDEX('Tournament List'!Z:Z,MATCH($B86,'Tournament List'!$A:$A,0)),""),"")</f>
        <v/>
      </c>
      <c r="M86" t="str">
        <f>IFERROR(INDEX('Tournament List'!M:M,MATCH($B86,'Tournament List'!$A:$A,0)),"")</f>
        <v/>
      </c>
      <c r="N86" t="str">
        <f>IFERROR(INDEX('Tournament List'!W:W,MATCH($B86,'Tournament List'!$A:$A,0)),"")</f>
        <v/>
      </c>
      <c r="O86" s="1" t="str">
        <f>IFERROR(INDEX('Tournament List'!AD:AD,MATCH($B86,'Tournament List'!$A:$A,0)),"")</f>
        <v/>
      </c>
      <c r="P86" t="str">
        <f>IFERROR(INDEX('Tournament List'!AM:AM,MATCH($B86,'Tournament List'!$A:$A,0)),"")</f>
        <v/>
      </c>
      <c r="Q86" t="str">
        <f>IFERROR(INDEX('Tournament List'!AN:AN,MATCH($B86,'Tournament List'!$A:$A,0)),"")</f>
        <v/>
      </c>
      <c r="R86" t="str">
        <f>IFERROR(INDEX('Tournament List'!AO:AO,MATCH($B86,'Tournament List'!$A:$A,0)),"")</f>
        <v/>
      </c>
    </row>
    <row r="87" spans="1:18" x14ac:dyDescent="0.3">
      <c r="A87" s="275" t="str">
        <f>IF(B87&lt;&gt;"",'Tournament Setup'!$B$1,"")</f>
        <v/>
      </c>
      <c r="B87" t="str">
        <f>IF('Tournament List'!A88&lt;&gt;"",'Tournament List'!A88,"")</f>
        <v/>
      </c>
      <c r="C87" t="str">
        <f>IFERROR(INDEX('Tournament List'!B:B,MATCH($B87,'Tournament List'!$A:$A,0)),"")</f>
        <v/>
      </c>
      <c r="D87" t="str">
        <f>IFERROR(INDEX('Tournament List'!C:C,MATCH($B87,'Tournament List'!$A:$A,0)),"")</f>
        <v/>
      </c>
      <c r="I87" t="str">
        <f>IFERROR(INDEX('Skeet Ind Concurrent Ranking'!M:M,MATCH($B87,'Skeet Ind Concurrent Ranking'!$A:$A,0)),"")</f>
        <v/>
      </c>
      <c r="J87" s="278" t="str">
        <f>IFERROR(INDEX('Tournament List'!AG:AG,MATCH($B87,'Tournament List'!$A:$A,0)),"")</f>
        <v/>
      </c>
      <c r="K87" t="str">
        <f>IFERROR(IF(INDEX('Tournament List'!AA:AA,MATCH($B87,'Tournament List'!$A:$A,0))&gt;0,INDEX('Tournament List'!AA:AA,MATCH($B87,'Tournament List'!$A:$A,0)),""),"")</f>
        <v/>
      </c>
      <c r="L87" s="278" t="str">
        <f>IFERROR(IF(INDEX('Tournament List'!Z:Z,MATCH($B87,'Tournament List'!$A:$A,0))&gt;0,INDEX('Tournament List'!Z:Z,MATCH($B87,'Tournament List'!$A:$A,0)),""),"")</f>
        <v/>
      </c>
      <c r="M87" t="str">
        <f>IFERROR(INDEX('Tournament List'!M:M,MATCH($B87,'Tournament List'!$A:$A,0)),"")</f>
        <v/>
      </c>
      <c r="N87" t="str">
        <f>IFERROR(INDEX('Tournament List'!W:W,MATCH($B87,'Tournament List'!$A:$A,0)),"")</f>
        <v/>
      </c>
      <c r="O87" s="1" t="str">
        <f>IFERROR(INDEX('Tournament List'!AD:AD,MATCH($B87,'Tournament List'!$A:$A,0)),"")</f>
        <v/>
      </c>
      <c r="P87" t="str">
        <f>IFERROR(INDEX('Tournament List'!AM:AM,MATCH($B87,'Tournament List'!$A:$A,0)),"")</f>
        <v/>
      </c>
      <c r="Q87" t="str">
        <f>IFERROR(INDEX('Tournament List'!AN:AN,MATCH($B87,'Tournament List'!$A:$A,0)),"")</f>
        <v/>
      </c>
      <c r="R87" t="str">
        <f>IFERROR(INDEX('Tournament List'!AO:AO,MATCH($B87,'Tournament List'!$A:$A,0)),"")</f>
        <v/>
      </c>
    </row>
    <row r="88" spans="1:18" x14ac:dyDescent="0.3">
      <c r="A88" s="275" t="str">
        <f>IF(B88&lt;&gt;"",'Tournament Setup'!$B$1,"")</f>
        <v/>
      </c>
      <c r="B88" t="str">
        <f>IF('Tournament List'!A89&lt;&gt;"",'Tournament List'!A89,"")</f>
        <v/>
      </c>
      <c r="C88" t="str">
        <f>IFERROR(INDEX('Tournament List'!B:B,MATCH($B88,'Tournament List'!$A:$A,0)),"")</f>
        <v/>
      </c>
      <c r="D88" t="str">
        <f>IFERROR(INDEX('Tournament List'!C:C,MATCH($B88,'Tournament List'!$A:$A,0)),"")</f>
        <v/>
      </c>
      <c r="I88" t="str">
        <f>IFERROR(INDEX('Skeet Ind Concurrent Ranking'!M:M,MATCH($B88,'Skeet Ind Concurrent Ranking'!$A:$A,0)),"")</f>
        <v/>
      </c>
      <c r="J88" s="278" t="str">
        <f>IFERROR(INDEX('Tournament List'!AG:AG,MATCH($B88,'Tournament List'!$A:$A,0)),"")</f>
        <v/>
      </c>
      <c r="K88" t="str">
        <f>IFERROR(IF(INDEX('Tournament List'!AA:AA,MATCH($B88,'Tournament List'!$A:$A,0))&gt;0,INDEX('Tournament List'!AA:AA,MATCH($B88,'Tournament List'!$A:$A,0)),""),"")</f>
        <v/>
      </c>
      <c r="L88" s="278" t="str">
        <f>IFERROR(IF(INDEX('Tournament List'!Z:Z,MATCH($B88,'Tournament List'!$A:$A,0))&gt;0,INDEX('Tournament List'!Z:Z,MATCH($B88,'Tournament List'!$A:$A,0)),""),"")</f>
        <v/>
      </c>
      <c r="M88" t="str">
        <f>IFERROR(INDEX('Tournament List'!M:M,MATCH($B88,'Tournament List'!$A:$A,0)),"")</f>
        <v/>
      </c>
      <c r="N88" t="str">
        <f>IFERROR(INDEX('Tournament List'!W:W,MATCH($B88,'Tournament List'!$A:$A,0)),"")</f>
        <v/>
      </c>
      <c r="O88" s="1" t="str">
        <f>IFERROR(INDEX('Tournament List'!AD:AD,MATCH($B88,'Tournament List'!$A:$A,0)),"")</f>
        <v/>
      </c>
      <c r="P88" t="str">
        <f>IFERROR(INDEX('Tournament List'!AM:AM,MATCH($B88,'Tournament List'!$A:$A,0)),"")</f>
        <v/>
      </c>
      <c r="Q88" t="str">
        <f>IFERROR(INDEX('Tournament List'!AN:AN,MATCH($B88,'Tournament List'!$A:$A,0)),"")</f>
        <v/>
      </c>
      <c r="R88" t="str">
        <f>IFERROR(INDEX('Tournament List'!AO:AO,MATCH($B88,'Tournament List'!$A:$A,0)),"")</f>
        <v/>
      </c>
    </row>
    <row r="89" spans="1:18" x14ac:dyDescent="0.3">
      <c r="A89" s="275" t="str">
        <f>IF(B89&lt;&gt;"",'Tournament Setup'!$B$1,"")</f>
        <v/>
      </c>
      <c r="B89" t="str">
        <f>IF('Tournament List'!A90&lt;&gt;"",'Tournament List'!A90,"")</f>
        <v/>
      </c>
      <c r="C89" t="str">
        <f>IFERROR(INDEX('Tournament List'!B:B,MATCH($B89,'Tournament List'!$A:$A,0)),"")</f>
        <v/>
      </c>
      <c r="D89" t="str">
        <f>IFERROR(INDEX('Tournament List'!C:C,MATCH($B89,'Tournament List'!$A:$A,0)),"")</f>
        <v/>
      </c>
      <c r="I89" t="str">
        <f>IFERROR(INDEX('Skeet Ind Concurrent Ranking'!M:M,MATCH($B89,'Skeet Ind Concurrent Ranking'!$A:$A,0)),"")</f>
        <v/>
      </c>
      <c r="J89" s="278" t="str">
        <f>IFERROR(INDEX('Tournament List'!AG:AG,MATCH($B89,'Tournament List'!$A:$A,0)),"")</f>
        <v/>
      </c>
      <c r="K89" t="str">
        <f>IFERROR(IF(INDEX('Tournament List'!AA:AA,MATCH($B89,'Tournament List'!$A:$A,0))&gt;0,INDEX('Tournament List'!AA:AA,MATCH($B89,'Tournament List'!$A:$A,0)),""),"")</f>
        <v/>
      </c>
      <c r="L89" s="278" t="str">
        <f>IFERROR(IF(INDEX('Tournament List'!Z:Z,MATCH($B89,'Tournament List'!$A:$A,0))&gt;0,INDEX('Tournament List'!Z:Z,MATCH($B89,'Tournament List'!$A:$A,0)),""),"")</f>
        <v/>
      </c>
      <c r="M89" t="str">
        <f>IFERROR(INDEX('Tournament List'!M:M,MATCH($B89,'Tournament List'!$A:$A,0)),"")</f>
        <v/>
      </c>
      <c r="N89" t="str">
        <f>IFERROR(INDEX('Tournament List'!W:W,MATCH($B89,'Tournament List'!$A:$A,0)),"")</f>
        <v/>
      </c>
      <c r="O89" s="1" t="str">
        <f>IFERROR(INDEX('Tournament List'!AD:AD,MATCH($B89,'Tournament List'!$A:$A,0)),"")</f>
        <v/>
      </c>
      <c r="P89" t="str">
        <f>IFERROR(INDEX('Tournament List'!AM:AM,MATCH($B89,'Tournament List'!$A:$A,0)),"")</f>
        <v/>
      </c>
      <c r="Q89" t="str">
        <f>IFERROR(INDEX('Tournament List'!AN:AN,MATCH($B89,'Tournament List'!$A:$A,0)),"")</f>
        <v/>
      </c>
      <c r="R89" t="str">
        <f>IFERROR(INDEX('Tournament List'!AO:AO,MATCH($B89,'Tournament List'!$A:$A,0)),"")</f>
        <v/>
      </c>
    </row>
    <row r="90" spans="1:18" x14ac:dyDescent="0.3">
      <c r="A90" s="275" t="str">
        <f>IF(B90&lt;&gt;"",'Tournament Setup'!$B$1,"")</f>
        <v/>
      </c>
      <c r="B90" t="str">
        <f>IF('Tournament List'!A91&lt;&gt;"",'Tournament List'!A91,"")</f>
        <v/>
      </c>
      <c r="C90" t="str">
        <f>IFERROR(INDEX('Tournament List'!B:B,MATCH($B90,'Tournament List'!$A:$A,0)),"")</f>
        <v/>
      </c>
      <c r="D90" t="str">
        <f>IFERROR(INDEX('Tournament List'!C:C,MATCH($B90,'Tournament List'!$A:$A,0)),"")</f>
        <v/>
      </c>
      <c r="I90" t="str">
        <f>IFERROR(INDEX('Skeet Ind Concurrent Ranking'!M:M,MATCH($B90,'Skeet Ind Concurrent Ranking'!$A:$A,0)),"")</f>
        <v/>
      </c>
      <c r="J90" s="278" t="str">
        <f>IFERROR(INDEX('Tournament List'!AG:AG,MATCH($B90,'Tournament List'!$A:$A,0)),"")</f>
        <v/>
      </c>
      <c r="K90" t="str">
        <f>IFERROR(IF(INDEX('Tournament List'!AA:AA,MATCH($B90,'Tournament List'!$A:$A,0))&gt;0,INDEX('Tournament List'!AA:AA,MATCH($B90,'Tournament List'!$A:$A,0)),""),"")</f>
        <v/>
      </c>
      <c r="L90" s="278" t="str">
        <f>IFERROR(IF(INDEX('Tournament List'!Z:Z,MATCH($B90,'Tournament List'!$A:$A,0))&gt;0,INDEX('Tournament List'!Z:Z,MATCH($B90,'Tournament List'!$A:$A,0)),""),"")</f>
        <v/>
      </c>
      <c r="M90" t="str">
        <f>IFERROR(INDEX('Tournament List'!M:M,MATCH($B90,'Tournament List'!$A:$A,0)),"")</f>
        <v/>
      </c>
      <c r="N90" t="str">
        <f>IFERROR(INDEX('Tournament List'!W:W,MATCH($B90,'Tournament List'!$A:$A,0)),"")</f>
        <v/>
      </c>
      <c r="O90" s="1" t="str">
        <f>IFERROR(INDEX('Tournament List'!AD:AD,MATCH($B90,'Tournament List'!$A:$A,0)),"")</f>
        <v/>
      </c>
      <c r="P90" t="str">
        <f>IFERROR(INDEX('Tournament List'!AM:AM,MATCH($B90,'Tournament List'!$A:$A,0)),"")</f>
        <v/>
      </c>
      <c r="Q90" t="str">
        <f>IFERROR(INDEX('Tournament List'!AN:AN,MATCH($B90,'Tournament List'!$A:$A,0)),"")</f>
        <v/>
      </c>
      <c r="R90" t="str">
        <f>IFERROR(INDEX('Tournament List'!AO:AO,MATCH($B90,'Tournament List'!$A:$A,0)),"")</f>
        <v/>
      </c>
    </row>
    <row r="91" spans="1:18" x14ac:dyDescent="0.3">
      <c r="A91" s="275" t="str">
        <f>IF(B91&lt;&gt;"",'Tournament Setup'!$B$1,"")</f>
        <v/>
      </c>
      <c r="B91" t="str">
        <f>IF('Tournament List'!A92&lt;&gt;"",'Tournament List'!A92,"")</f>
        <v/>
      </c>
      <c r="C91" t="str">
        <f>IFERROR(INDEX('Tournament List'!B:B,MATCH($B91,'Tournament List'!$A:$A,0)),"")</f>
        <v/>
      </c>
      <c r="D91" t="str">
        <f>IFERROR(INDEX('Tournament List'!C:C,MATCH($B91,'Tournament List'!$A:$A,0)),"")</f>
        <v/>
      </c>
      <c r="I91" t="str">
        <f>IFERROR(INDEX('Skeet Ind Concurrent Ranking'!M:M,MATCH($B91,'Skeet Ind Concurrent Ranking'!$A:$A,0)),"")</f>
        <v/>
      </c>
      <c r="J91" s="278" t="str">
        <f>IFERROR(INDEX('Tournament List'!AG:AG,MATCH($B91,'Tournament List'!$A:$A,0)),"")</f>
        <v/>
      </c>
      <c r="K91" t="str">
        <f>IFERROR(IF(INDEX('Tournament List'!AA:AA,MATCH($B91,'Tournament List'!$A:$A,0))&gt;0,INDEX('Tournament List'!AA:AA,MATCH($B91,'Tournament List'!$A:$A,0)),""),"")</f>
        <v/>
      </c>
      <c r="L91" s="278" t="str">
        <f>IFERROR(IF(INDEX('Tournament List'!Z:Z,MATCH($B91,'Tournament List'!$A:$A,0))&gt;0,INDEX('Tournament List'!Z:Z,MATCH($B91,'Tournament List'!$A:$A,0)),""),"")</f>
        <v/>
      </c>
      <c r="M91" t="str">
        <f>IFERROR(INDEX('Tournament List'!M:M,MATCH($B91,'Tournament List'!$A:$A,0)),"")</f>
        <v/>
      </c>
      <c r="N91" t="str">
        <f>IFERROR(INDEX('Tournament List'!W:W,MATCH($B91,'Tournament List'!$A:$A,0)),"")</f>
        <v/>
      </c>
      <c r="O91" s="1" t="str">
        <f>IFERROR(INDEX('Tournament List'!AD:AD,MATCH($B91,'Tournament List'!$A:$A,0)),"")</f>
        <v/>
      </c>
      <c r="P91" t="str">
        <f>IFERROR(INDEX('Tournament List'!AM:AM,MATCH($B91,'Tournament List'!$A:$A,0)),"")</f>
        <v/>
      </c>
      <c r="Q91" t="str">
        <f>IFERROR(INDEX('Tournament List'!AN:AN,MATCH($B91,'Tournament List'!$A:$A,0)),"")</f>
        <v/>
      </c>
      <c r="R91" t="str">
        <f>IFERROR(INDEX('Tournament List'!AO:AO,MATCH($B91,'Tournament List'!$A:$A,0)),"")</f>
        <v/>
      </c>
    </row>
    <row r="92" spans="1:18" x14ac:dyDescent="0.3">
      <c r="A92" s="275" t="str">
        <f>IF(B92&lt;&gt;"",'Tournament Setup'!$B$1,"")</f>
        <v/>
      </c>
      <c r="B92" t="str">
        <f>IF('Tournament List'!A93&lt;&gt;"",'Tournament List'!A93,"")</f>
        <v/>
      </c>
      <c r="C92" t="str">
        <f>IFERROR(INDEX('Tournament List'!B:B,MATCH($B92,'Tournament List'!$A:$A,0)),"")</f>
        <v/>
      </c>
      <c r="D92" t="str">
        <f>IFERROR(INDEX('Tournament List'!C:C,MATCH($B92,'Tournament List'!$A:$A,0)),"")</f>
        <v/>
      </c>
      <c r="I92" t="str">
        <f>IFERROR(INDEX('Skeet Ind Concurrent Ranking'!M:M,MATCH($B92,'Skeet Ind Concurrent Ranking'!$A:$A,0)),"")</f>
        <v/>
      </c>
      <c r="J92" s="278" t="str">
        <f>IFERROR(INDEX('Tournament List'!AG:AG,MATCH($B92,'Tournament List'!$A:$A,0)),"")</f>
        <v/>
      </c>
      <c r="K92" t="str">
        <f>IFERROR(IF(INDEX('Tournament List'!AA:AA,MATCH($B92,'Tournament List'!$A:$A,0))&gt;0,INDEX('Tournament List'!AA:AA,MATCH($B92,'Tournament List'!$A:$A,0)),""),"")</f>
        <v/>
      </c>
      <c r="L92" s="278" t="str">
        <f>IFERROR(IF(INDEX('Tournament List'!Z:Z,MATCH($B92,'Tournament List'!$A:$A,0))&gt;0,INDEX('Tournament List'!Z:Z,MATCH($B92,'Tournament List'!$A:$A,0)),""),"")</f>
        <v/>
      </c>
      <c r="M92" t="str">
        <f>IFERROR(INDEX('Tournament List'!M:M,MATCH($B92,'Tournament List'!$A:$A,0)),"")</f>
        <v/>
      </c>
      <c r="N92" t="str">
        <f>IFERROR(INDEX('Tournament List'!W:W,MATCH($B92,'Tournament List'!$A:$A,0)),"")</f>
        <v/>
      </c>
      <c r="O92" s="1" t="str">
        <f>IFERROR(INDEX('Tournament List'!AD:AD,MATCH($B92,'Tournament List'!$A:$A,0)),"")</f>
        <v/>
      </c>
      <c r="P92" t="str">
        <f>IFERROR(INDEX('Tournament List'!AM:AM,MATCH($B92,'Tournament List'!$A:$A,0)),"")</f>
        <v/>
      </c>
      <c r="Q92" t="str">
        <f>IFERROR(INDEX('Tournament List'!AN:AN,MATCH($B92,'Tournament List'!$A:$A,0)),"")</f>
        <v/>
      </c>
      <c r="R92" t="str">
        <f>IFERROR(INDEX('Tournament List'!AO:AO,MATCH($B92,'Tournament List'!$A:$A,0)),"")</f>
        <v/>
      </c>
    </row>
    <row r="93" spans="1:18" x14ac:dyDescent="0.3">
      <c r="A93" s="275" t="str">
        <f>IF(B93&lt;&gt;"",'Tournament Setup'!$B$1,"")</f>
        <v/>
      </c>
      <c r="B93" t="str">
        <f>IF('Tournament List'!A94&lt;&gt;"",'Tournament List'!A94,"")</f>
        <v/>
      </c>
      <c r="C93" t="str">
        <f>IFERROR(INDEX('Tournament List'!B:B,MATCH($B93,'Tournament List'!$A:$A,0)),"")</f>
        <v/>
      </c>
      <c r="D93" t="str">
        <f>IFERROR(INDEX('Tournament List'!C:C,MATCH($B93,'Tournament List'!$A:$A,0)),"")</f>
        <v/>
      </c>
      <c r="I93" t="str">
        <f>IFERROR(INDEX('Skeet Ind Concurrent Ranking'!M:M,MATCH($B93,'Skeet Ind Concurrent Ranking'!$A:$A,0)),"")</f>
        <v/>
      </c>
      <c r="J93" s="278" t="str">
        <f>IFERROR(INDEX('Tournament List'!AG:AG,MATCH($B93,'Tournament List'!$A:$A,0)),"")</f>
        <v/>
      </c>
      <c r="K93" t="str">
        <f>IFERROR(IF(INDEX('Tournament List'!AA:AA,MATCH($B93,'Tournament List'!$A:$A,0))&gt;0,INDEX('Tournament List'!AA:AA,MATCH($B93,'Tournament List'!$A:$A,0)),""),"")</f>
        <v/>
      </c>
      <c r="L93" s="278" t="str">
        <f>IFERROR(IF(INDEX('Tournament List'!Z:Z,MATCH($B93,'Tournament List'!$A:$A,0))&gt;0,INDEX('Tournament List'!Z:Z,MATCH($B93,'Tournament List'!$A:$A,0)),""),"")</f>
        <v/>
      </c>
      <c r="M93" t="str">
        <f>IFERROR(INDEX('Tournament List'!M:M,MATCH($B93,'Tournament List'!$A:$A,0)),"")</f>
        <v/>
      </c>
      <c r="N93" t="str">
        <f>IFERROR(INDEX('Tournament List'!W:W,MATCH($B93,'Tournament List'!$A:$A,0)),"")</f>
        <v/>
      </c>
      <c r="O93" s="1" t="str">
        <f>IFERROR(INDEX('Tournament List'!AD:AD,MATCH($B93,'Tournament List'!$A:$A,0)),"")</f>
        <v/>
      </c>
      <c r="P93" t="str">
        <f>IFERROR(INDEX('Tournament List'!AM:AM,MATCH($B93,'Tournament List'!$A:$A,0)),"")</f>
        <v/>
      </c>
      <c r="Q93" t="str">
        <f>IFERROR(INDEX('Tournament List'!AN:AN,MATCH($B93,'Tournament List'!$A:$A,0)),"")</f>
        <v/>
      </c>
      <c r="R93" t="str">
        <f>IFERROR(INDEX('Tournament List'!AO:AO,MATCH($B93,'Tournament List'!$A:$A,0)),"")</f>
        <v/>
      </c>
    </row>
    <row r="94" spans="1:18" x14ac:dyDescent="0.3">
      <c r="A94" s="275" t="str">
        <f>IF(B94&lt;&gt;"",'Tournament Setup'!$B$1,"")</f>
        <v/>
      </c>
      <c r="B94" t="str">
        <f>IF('Tournament List'!A95&lt;&gt;"",'Tournament List'!A95,"")</f>
        <v/>
      </c>
      <c r="C94" t="str">
        <f>IFERROR(INDEX('Tournament List'!B:B,MATCH($B94,'Tournament List'!$A:$A,0)),"")</f>
        <v/>
      </c>
      <c r="D94" t="str">
        <f>IFERROR(INDEX('Tournament List'!C:C,MATCH($B94,'Tournament List'!$A:$A,0)),"")</f>
        <v/>
      </c>
      <c r="I94" t="str">
        <f>IFERROR(INDEX('Skeet Ind Concurrent Ranking'!M:M,MATCH($B94,'Skeet Ind Concurrent Ranking'!$A:$A,0)),"")</f>
        <v/>
      </c>
      <c r="J94" s="278" t="str">
        <f>IFERROR(INDEX('Tournament List'!AG:AG,MATCH($B94,'Tournament List'!$A:$A,0)),"")</f>
        <v/>
      </c>
      <c r="K94" t="str">
        <f>IFERROR(IF(INDEX('Tournament List'!AA:AA,MATCH($B94,'Tournament List'!$A:$A,0))&gt;0,INDEX('Tournament List'!AA:AA,MATCH($B94,'Tournament List'!$A:$A,0)),""),"")</f>
        <v/>
      </c>
      <c r="L94" s="278" t="str">
        <f>IFERROR(IF(INDEX('Tournament List'!Z:Z,MATCH($B94,'Tournament List'!$A:$A,0))&gt;0,INDEX('Tournament List'!Z:Z,MATCH($B94,'Tournament List'!$A:$A,0)),""),"")</f>
        <v/>
      </c>
      <c r="M94" t="str">
        <f>IFERROR(INDEX('Tournament List'!M:M,MATCH($B94,'Tournament List'!$A:$A,0)),"")</f>
        <v/>
      </c>
      <c r="N94" t="str">
        <f>IFERROR(INDEX('Tournament List'!W:W,MATCH($B94,'Tournament List'!$A:$A,0)),"")</f>
        <v/>
      </c>
      <c r="O94" s="1" t="str">
        <f>IFERROR(INDEX('Tournament List'!AD:AD,MATCH($B94,'Tournament List'!$A:$A,0)),"")</f>
        <v/>
      </c>
      <c r="P94" t="str">
        <f>IFERROR(INDEX('Tournament List'!AM:AM,MATCH($B94,'Tournament List'!$A:$A,0)),"")</f>
        <v/>
      </c>
      <c r="Q94" t="str">
        <f>IFERROR(INDEX('Tournament List'!AN:AN,MATCH($B94,'Tournament List'!$A:$A,0)),"")</f>
        <v/>
      </c>
      <c r="R94" t="str">
        <f>IFERROR(INDEX('Tournament List'!AO:AO,MATCH($B94,'Tournament List'!$A:$A,0)),"")</f>
        <v/>
      </c>
    </row>
    <row r="95" spans="1:18" x14ac:dyDescent="0.3">
      <c r="A95" s="275" t="str">
        <f>IF(B95&lt;&gt;"",'Tournament Setup'!$B$1,"")</f>
        <v/>
      </c>
      <c r="B95" t="str">
        <f>IF('Tournament List'!A96&lt;&gt;"",'Tournament List'!A96,"")</f>
        <v/>
      </c>
      <c r="C95" t="str">
        <f>IFERROR(INDEX('Tournament List'!B:B,MATCH($B95,'Tournament List'!$A:$A,0)),"")</f>
        <v/>
      </c>
      <c r="D95" t="str">
        <f>IFERROR(INDEX('Tournament List'!C:C,MATCH($B95,'Tournament List'!$A:$A,0)),"")</f>
        <v/>
      </c>
      <c r="I95" t="str">
        <f>IFERROR(INDEX('Skeet Ind Concurrent Ranking'!M:M,MATCH($B95,'Skeet Ind Concurrent Ranking'!$A:$A,0)),"")</f>
        <v/>
      </c>
      <c r="J95" s="278" t="str">
        <f>IFERROR(INDEX('Tournament List'!AG:AG,MATCH($B95,'Tournament List'!$A:$A,0)),"")</f>
        <v/>
      </c>
      <c r="K95" t="str">
        <f>IFERROR(IF(INDEX('Tournament List'!AA:AA,MATCH($B95,'Tournament List'!$A:$A,0))&gt;0,INDEX('Tournament List'!AA:AA,MATCH($B95,'Tournament List'!$A:$A,0)),""),"")</f>
        <v/>
      </c>
      <c r="L95" s="278" t="str">
        <f>IFERROR(IF(INDEX('Tournament List'!Z:Z,MATCH($B95,'Tournament List'!$A:$A,0))&gt;0,INDEX('Tournament List'!Z:Z,MATCH($B95,'Tournament List'!$A:$A,0)),""),"")</f>
        <v/>
      </c>
      <c r="M95" t="str">
        <f>IFERROR(INDEX('Tournament List'!M:M,MATCH($B95,'Tournament List'!$A:$A,0)),"")</f>
        <v/>
      </c>
      <c r="N95" t="str">
        <f>IFERROR(INDEX('Tournament List'!W:W,MATCH($B95,'Tournament List'!$A:$A,0)),"")</f>
        <v/>
      </c>
      <c r="O95" s="1" t="str">
        <f>IFERROR(INDEX('Tournament List'!AD:AD,MATCH($B95,'Tournament List'!$A:$A,0)),"")</f>
        <v/>
      </c>
      <c r="P95" t="str">
        <f>IFERROR(INDEX('Tournament List'!AM:AM,MATCH($B95,'Tournament List'!$A:$A,0)),"")</f>
        <v/>
      </c>
      <c r="Q95" t="str">
        <f>IFERROR(INDEX('Tournament List'!AN:AN,MATCH($B95,'Tournament List'!$A:$A,0)),"")</f>
        <v/>
      </c>
      <c r="R95" t="str">
        <f>IFERROR(INDEX('Tournament List'!AO:AO,MATCH($B95,'Tournament List'!$A:$A,0)),"")</f>
        <v/>
      </c>
    </row>
    <row r="96" spans="1:18" x14ac:dyDescent="0.3">
      <c r="A96" s="275" t="str">
        <f>IF(B96&lt;&gt;"",'Tournament Setup'!$B$1,"")</f>
        <v/>
      </c>
      <c r="B96" t="str">
        <f>IF('Tournament List'!A97&lt;&gt;"",'Tournament List'!A97,"")</f>
        <v/>
      </c>
      <c r="C96" t="str">
        <f>IFERROR(INDEX('Tournament List'!B:B,MATCH($B96,'Tournament List'!$A:$A,0)),"")</f>
        <v/>
      </c>
      <c r="D96" t="str">
        <f>IFERROR(INDEX('Tournament List'!C:C,MATCH($B96,'Tournament List'!$A:$A,0)),"")</f>
        <v/>
      </c>
      <c r="I96" t="str">
        <f>IFERROR(INDEX('Skeet Ind Concurrent Ranking'!M:M,MATCH($B96,'Skeet Ind Concurrent Ranking'!$A:$A,0)),"")</f>
        <v/>
      </c>
      <c r="J96" s="278" t="str">
        <f>IFERROR(INDEX('Tournament List'!AG:AG,MATCH($B96,'Tournament List'!$A:$A,0)),"")</f>
        <v/>
      </c>
      <c r="K96" t="str">
        <f>IFERROR(IF(INDEX('Tournament List'!AA:AA,MATCH($B96,'Tournament List'!$A:$A,0))&gt;0,INDEX('Tournament List'!AA:AA,MATCH($B96,'Tournament List'!$A:$A,0)),""),"")</f>
        <v/>
      </c>
      <c r="L96" s="278" t="str">
        <f>IFERROR(IF(INDEX('Tournament List'!Z:Z,MATCH($B96,'Tournament List'!$A:$A,0))&gt;0,INDEX('Tournament List'!Z:Z,MATCH($B96,'Tournament List'!$A:$A,0)),""),"")</f>
        <v/>
      </c>
      <c r="M96" t="str">
        <f>IFERROR(INDEX('Tournament List'!M:M,MATCH($B96,'Tournament List'!$A:$A,0)),"")</f>
        <v/>
      </c>
      <c r="N96" t="str">
        <f>IFERROR(INDEX('Tournament List'!W:W,MATCH($B96,'Tournament List'!$A:$A,0)),"")</f>
        <v/>
      </c>
      <c r="O96" s="1" t="str">
        <f>IFERROR(INDEX('Tournament List'!AD:AD,MATCH($B96,'Tournament List'!$A:$A,0)),"")</f>
        <v/>
      </c>
      <c r="P96" t="str">
        <f>IFERROR(INDEX('Tournament List'!AM:AM,MATCH($B96,'Tournament List'!$A:$A,0)),"")</f>
        <v/>
      </c>
      <c r="Q96" t="str">
        <f>IFERROR(INDEX('Tournament List'!AN:AN,MATCH($B96,'Tournament List'!$A:$A,0)),"")</f>
        <v/>
      </c>
      <c r="R96" t="str">
        <f>IFERROR(INDEX('Tournament List'!AO:AO,MATCH($B96,'Tournament List'!$A:$A,0)),"")</f>
        <v/>
      </c>
    </row>
    <row r="97" spans="1:37" x14ac:dyDescent="0.3">
      <c r="A97" s="275" t="str">
        <f>IF(B97&lt;&gt;"",'Tournament Setup'!$B$1,"")</f>
        <v/>
      </c>
      <c r="B97" t="str">
        <f>IF('Tournament List'!A98&lt;&gt;"",'Tournament List'!A98,"")</f>
        <v/>
      </c>
      <c r="C97" t="str">
        <f>IFERROR(INDEX('Tournament List'!B:B,MATCH($B97,'Tournament List'!$A:$A,0)),"")</f>
        <v/>
      </c>
      <c r="D97" t="str">
        <f>IFERROR(INDEX('Tournament List'!C:C,MATCH($B97,'Tournament List'!$A:$A,0)),"")</f>
        <v/>
      </c>
      <c r="I97" t="str">
        <f>IFERROR(INDEX('Skeet Ind Concurrent Ranking'!M:M,MATCH($B97,'Skeet Ind Concurrent Ranking'!$A:$A,0)),"")</f>
        <v/>
      </c>
      <c r="J97" s="278" t="str">
        <f>IFERROR(INDEX('Tournament List'!AG:AG,MATCH($B97,'Tournament List'!$A:$A,0)),"")</f>
        <v/>
      </c>
      <c r="K97" t="str">
        <f>IFERROR(IF(INDEX('Tournament List'!AA:AA,MATCH($B97,'Tournament List'!$A:$A,0))&gt;0,INDEX('Tournament List'!AA:AA,MATCH($B97,'Tournament List'!$A:$A,0)),""),"")</f>
        <v/>
      </c>
      <c r="L97" s="278" t="str">
        <f>IFERROR(IF(INDEX('Tournament List'!Z:Z,MATCH($B97,'Tournament List'!$A:$A,0))&gt;0,INDEX('Tournament List'!Z:Z,MATCH($B97,'Tournament List'!$A:$A,0)),""),"")</f>
        <v/>
      </c>
      <c r="M97" t="str">
        <f>IFERROR(INDEX('Tournament List'!M:M,MATCH($B97,'Tournament List'!$A:$A,0)),"")</f>
        <v/>
      </c>
      <c r="N97" t="str">
        <f>IFERROR(INDEX('Tournament List'!W:W,MATCH($B97,'Tournament List'!$A:$A,0)),"")</f>
        <v/>
      </c>
      <c r="O97" s="1" t="str">
        <f>IFERROR(INDEX('Tournament List'!AD:AD,MATCH($B97,'Tournament List'!$A:$A,0)),"")</f>
        <v/>
      </c>
      <c r="P97" t="str">
        <f>IFERROR(INDEX('Tournament List'!AM:AM,MATCH($B97,'Tournament List'!$A:$A,0)),"")</f>
        <v/>
      </c>
      <c r="Q97" t="str">
        <f>IFERROR(INDEX('Tournament List'!AN:AN,MATCH($B97,'Tournament List'!$A:$A,0)),"")</f>
        <v/>
      </c>
      <c r="R97" t="str">
        <f>IFERROR(INDEX('Tournament List'!AO:AO,MATCH($B97,'Tournament List'!$A:$A,0)),"")</f>
        <v/>
      </c>
    </row>
    <row r="98" spans="1:37" x14ac:dyDescent="0.3">
      <c r="A98" s="275" t="str">
        <f>IF(B98&lt;&gt;"",'Tournament Setup'!$B$1,"")</f>
        <v/>
      </c>
      <c r="B98" t="str">
        <f>IF('Tournament List'!A99&lt;&gt;"",'Tournament List'!A99,"")</f>
        <v/>
      </c>
      <c r="C98" t="str">
        <f>IFERROR(INDEX('Tournament List'!B:B,MATCH($B98,'Tournament List'!$A:$A,0)),"")</f>
        <v/>
      </c>
      <c r="D98" t="str">
        <f>IFERROR(INDEX('Tournament List'!C:C,MATCH($B98,'Tournament List'!$A:$A,0)),"")</f>
        <v/>
      </c>
      <c r="I98" t="str">
        <f>IFERROR(INDEX('Skeet Ind Concurrent Ranking'!M:M,MATCH($B98,'Skeet Ind Concurrent Ranking'!$A:$A,0)),"")</f>
        <v/>
      </c>
      <c r="J98" s="278" t="str">
        <f>IFERROR(INDEX('Tournament List'!AG:AG,MATCH($B98,'Tournament List'!$A:$A,0)),"")</f>
        <v/>
      </c>
      <c r="K98" t="str">
        <f>IFERROR(IF(INDEX('Tournament List'!AA:AA,MATCH($B98,'Tournament List'!$A:$A,0))&gt;0,INDEX('Tournament List'!AA:AA,MATCH($B98,'Tournament List'!$A:$A,0)),""),"")</f>
        <v/>
      </c>
      <c r="L98" s="278" t="str">
        <f>IFERROR(IF(INDEX('Tournament List'!Z:Z,MATCH($B98,'Tournament List'!$A:$A,0))&gt;0,INDEX('Tournament List'!Z:Z,MATCH($B98,'Tournament List'!$A:$A,0)),""),"")</f>
        <v/>
      </c>
      <c r="M98" t="str">
        <f>IFERROR(INDEX('Tournament List'!M:M,MATCH($B98,'Tournament List'!$A:$A,0)),"")</f>
        <v/>
      </c>
      <c r="N98" t="str">
        <f>IFERROR(INDEX('Tournament List'!W:W,MATCH($B98,'Tournament List'!$A:$A,0)),"")</f>
        <v/>
      </c>
      <c r="O98" s="1" t="str">
        <f>IFERROR(INDEX('Tournament List'!AD:AD,MATCH($B98,'Tournament List'!$A:$A,0)),"")</f>
        <v/>
      </c>
      <c r="P98" t="str">
        <f>IFERROR(INDEX('Tournament List'!AM:AM,MATCH($B98,'Tournament List'!$A:$A,0)),"")</f>
        <v/>
      </c>
      <c r="Q98" t="str">
        <f>IFERROR(INDEX('Tournament List'!AN:AN,MATCH($B98,'Tournament List'!$A:$A,0)),"")</f>
        <v/>
      </c>
      <c r="R98" t="str">
        <f>IFERROR(INDEX('Tournament List'!AO:AO,MATCH($B98,'Tournament List'!$A:$A,0)),"")</f>
        <v/>
      </c>
    </row>
    <row r="99" spans="1:37" x14ac:dyDescent="0.3">
      <c r="A99" s="275" t="str">
        <f>IF(B99&lt;&gt;"",'Tournament Setup'!$B$1,"")</f>
        <v/>
      </c>
      <c r="B99" t="str">
        <f>IF('Tournament List'!A100&lt;&gt;"",'Tournament List'!A100,"")</f>
        <v/>
      </c>
      <c r="C99" t="str">
        <f>IFERROR(INDEX('Tournament List'!B:B,MATCH($B99,'Tournament List'!$A:$A,0)),"")</f>
        <v/>
      </c>
      <c r="D99" t="str">
        <f>IFERROR(INDEX('Tournament List'!C:C,MATCH($B99,'Tournament List'!$A:$A,0)),"")</f>
        <v/>
      </c>
      <c r="I99" t="str">
        <f>IFERROR(INDEX('Skeet Ind Concurrent Ranking'!M:M,MATCH($B99,'Skeet Ind Concurrent Ranking'!$A:$A,0)),"")</f>
        <v/>
      </c>
      <c r="J99" s="278" t="str">
        <f>IFERROR(INDEX('Tournament List'!AG:AG,MATCH($B99,'Tournament List'!$A:$A,0)),"")</f>
        <v/>
      </c>
      <c r="K99" t="str">
        <f>IFERROR(IF(INDEX('Tournament List'!AA:AA,MATCH($B99,'Tournament List'!$A:$A,0))&gt;0,INDEX('Tournament List'!AA:AA,MATCH($B99,'Tournament List'!$A:$A,0)),""),"")</f>
        <v/>
      </c>
      <c r="L99" s="278" t="str">
        <f>IFERROR(IF(INDEX('Tournament List'!Z:Z,MATCH($B99,'Tournament List'!$A:$A,0))&gt;0,INDEX('Tournament List'!Z:Z,MATCH($B99,'Tournament List'!$A:$A,0)),""),"")</f>
        <v/>
      </c>
      <c r="M99" t="str">
        <f>IFERROR(INDEX('Tournament List'!M:M,MATCH($B99,'Tournament List'!$A:$A,0)),"")</f>
        <v/>
      </c>
      <c r="N99" t="str">
        <f>IFERROR(INDEX('Tournament List'!W:W,MATCH($B99,'Tournament List'!$A:$A,0)),"")</f>
        <v/>
      </c>
      <c r="O99" s="1" t="str">
        <f>IFERROR(INDEX('Tournament List'!AD:AD,MATCH($B99,'Tournament List'!$A:$A,0)),"")</f>
        <v/>
      </c>
      <c r="P99" t="str">
        <f>IFERROR(INDEX('Tournament List'!AM:AM,MATCH($B99,'Tournament List'!$A:$A,0)),"")</f>
        <v/>
      </c>
      <c r="Q99" t="str">
        <f>IFERROR(INDEX('Tournament List'!AN:AN,MATCH($B99,'Tournament List'!$A:$A,0)),"")</f>
        <v/>
      </c>
      <c r="R99" t="str">
        <f>IFERROR(INDEX('Tournament List'!AO:AO,MATCH($B99,'Tournament List'!$A:$A,0)),"")</f>
        <v/>
      </c>
    </row>
    <row r="100" spans="1:37" x14ac:dyDescent="0.3">
      <c r="A100" s="275" t="str">
        <f>IF(B100&lt;&gt;"",'Tournament Setup'!$B$1,"")</f>
        <v/>
      </c>
      <c r="B100" t="str">
        <f>IF('Tournament List'!A101&lt;&gt;"",'Tournament List'!A101,"")</f>
        <v/>
      </c>
      <c r="C100" t="str">
        <f>IFERROR(INDEX('Tournament List'!B:B,MATCH($B100,'Tournament List'!$A:$A,0)),"")</f>
        <v/>
      </c>
      <c r="D100" t="str">
        <f>IFERROR(INDEX('Tournament List'!C:C,MATCH($B100,'Tournament List'!$A:$A,0)),"")</f>
        <v/>
      </c>
      <c r="I100" t="str">
        <f>IFERROR(INDEX('Skeet Ind Concurrent Ranking'!M:M,MATCH($B100,'Skeet Ind Concurrent Ranking'!$A:$A,0)),"")</f>
        <v/>
      </c>
      <c r="J100" s="278" t="str">
        <f>IFERROR(INDEX('Tournament List'!AG:AG,MATCH($B100,'Tournament List'!$A:$A,0)),"")</f>
        <v/>
      </c>
      <c r="K100" t="str">
        <f>IFERROR(IF(INDEX('Tournament List'!AA:AA,MATCH($B100,'Tournament List'!$A:$A,0))&gt;0,INDEX('Tournament List'!AA:AA,MATCH($B100,'Tournament List'!$A:$A,0)),""),"")</f>
        <v/>
      </c>
      <c r="L100" s="278" t="str">
        <f>IFERROR(IF(INDEX('Tournament List'!Z:Z,MATCH($B100,'Tournament List'!$A:$A,0))&gt;0,INDEX('Tournament List'!Z:Z,MATCH($B100,'Tournament List'!$A:$A,0)),""),"")</f>
        <v/>
      </c>
      <c r="M100" t="str">
        <f>IFERROR(INDEX('Tournament List'!M:M,MATCH($B100,'Tournament List'!$A:$A,0)),"")</f>
        <v/>
      </c>
      <c r="N100" t="str">
        <f>IFERROR(INDEX('Tournament List'!W:W,MATCH($B100,'Tournament List'!$A:$A,0)),"")</f>
        <v/>
      </c>
      <c r="O100" s="1" t="str">
        <f>IFERROR(INDEX('Tournament List'!AD:AD,MATCH($B100,'Tournament List'!$A:$A,0)),"")</f>
        <v/>
      </c>
      <c r="P100" t="str">
        <f>IFERROR(INDEX('Tournament List'!AM:AM,MATCH($B100,'Tournament List'!$A:$A,0)),"")</f>
        <v/>
      </c>
      <c r="Q100" t="str">
        <f>IFERROR(INDEX('Tournament List'!AN:AN,MATCH($B100,'Tournament List'!$A:$A,0)),"")</f>
        <v/>
      </c>
      <c r="R100" t="str">
        <f>IFERROR(INDEX('Tournament List'!AO:AO,MATCH($B100,'Tournament List'!$A:$A,0)),"")</f>
        <v/>
      </c>
    </row>
    <row r="101" spans="1:37" x14ac:dyDescent="0.3">
      <c r="A101" s="275" t="str">
        <f>IF(B101&lt;&gt;"",'Tournament Setup'!$B$1,"")</f>
        <v/>
      </c>
      <c r="B101" t="str">
        <f>IF('Tournament List'!A102&lt;&gt;"",'Tournament List'!A102,"")</f>
        <v/>
      </c>
      <c r="C101" t="str">
        <f>IFERROR(INDEX('Tournament List'!B:B,MATCH($B101,'Tournament List'!$A:$A,0)),"")</f>
        <v/>
      </c>
      <c r="D101" t="str">
        <f>IFERROR(INDEX('Tournament List'!C:C,MATCH($B101,'Tournament List'!$A:$A,0)),"")</f>
        <v/>
      </c>
      <c r="I101" t="str">
        <f>IFERROR(INDEX('Skeet Ind Concurrent Ranking'!M:M,MATCH($B101,'Skeet Ind Concurrent Ranking'!$A:$A,0)),"")</f>
        <v/>
      </c>
      <c r="J101" s="278" t="str">
        <f>IFERROR(INDEX('Tournament List'!AG:AG,MATCH($B101,'Tournament List'!$A:$A,0)),"")</f>
        <v/>
      </c>
      <c r="K101" t="str">
        <f>IFERROR(IF(INDEX('Tournament List'!AA:AA,MATCH($B101,'Tournament List'!$A:$A,0))&gt;0,INDEX('Tournament List'!AA:AA,MATCH($B101,'Tournament List'!$A:$A,0)),""),"")</f>
        <v/>
      </c>
      <c r="L101" s="278" t="str">
        <f>IFERROR(IF(INDEX('Tournament List'!Z:Z,MATCH($B101,'Tournament List'!$A:$A,0))&gt;0,INDEX('Tournament List'!Z:Z,MATCH($B101,'Tournament List'!$A:$A,0)),""),"")</f>
        <v/>
      </c>
      <c r="M101" t="str">
        <f>IFERROR(INDEX('Tournament List'!M:M,MATCH($B101,'Tournament List'!$A:$A,0)),"")</f>
        <v/>
      </c>
      <c r="N101" t="str">
        <f>IFERROR(INDEX('Tournament List'!W:W,MATCH($B101,'Tournament List'!$A:$A,0)),"")</f>
        <v/>
      </c>
      <c r="O101" s="1" t="str">
        <f>IFERROR(INDEX('Tournament List'!AD:AD,MATCH($B101,'Tournament List'!$A:$A,0)),"")</f>
        <v/>
      </c>
      <c r="P101" t="str">
        <f>IFERROR(INDEX('Tournament List'!AM:AM,MATCH($B101,'Tournament List'!$A:$A,0)),"")</f>
        <v/>
      </c>
      <c r="Q101" t="str">
        <f>IFERROR(INDEX('Tournament List'!AN:AN,MATCH($B101,'Tournament List'!$A:$A,0)),"")</f>
        <v/>
      </c>
      <c r="R101" t="str">
        <f>IFERROR(INDEX('Tournament List'!AO:AO,MATCH($B101,'Tournament List'!$A:$A,0)),"")</f>
        <v/>
      </c>
    </row>
    <row r="102" spans="1:37" s="33" customFormat="1" x14ac:dyDescent="0.3">
      <c r="A102" s="33" t="s">
        <v>263</v>
      </c>
      <c r="B102" s="33" t="s">
        <v>263</v>
      </c>
      <c r="C102" s="33" t="s">
        <v>263</v>
      </c>
      <c r="D102" s="33" t="s">
        <v>263</v>
      </c>
      <c r="I102" s="33" t="s">
        <v>263</v>
      </c>
      <c r="J102" s="280" t="s">
        <v>263</v>
      </c>
      <c r="L102" s="280" t="s">
        <v>263</v>
      </c>
      <c r="O102" s="33" t="s">
        <v>263</v>
      </c>
      <c r="P102" s="33" t="s">
        <v>263</v>
      </c>
      <c r="Q102" s="33" t="s">
        <v>263</v>
      </c>
      <c r="R102" s="33" t="s">
        <v>263</v>
      </c>
      <c r="S102" s="33" t="s">
        <v>263</v>
      </c>
      <c r="T102" s="33" t="s">
        <v>263</v>
      </c>
      <c r="U102" s="33" t="s">
        <v>263</v>
      </c>
      <c r="V102" s="33" t="s">
        <v>263</v>
      </c>
      <c r="W102" s="33" t="s">
        <v>263</v>
      </c>
      <c r="X102" s="33" t="s">
        <v>263</v>
      </c>
      <c r="Y102" s="33" t="s">
        <v>263</v>
      </c>
      <c r="Z102" s="33" t="s">
        <v>263</v>
      </c>
      <c r="AA102" s="33" t="s">
        <v>263</v>
      </c>
      <c r="AB102" s="33" t="s">
        <v>263</v>
      </c>
      <c r="AC102" s="33" t="s">
        <v>263</v>
      </c>
      <c r="AD102" s="33" t="s">
        <v>263</v>
      </c>
      <c r="AE102" s="33" t="s">
        <v>263</v>
      </c>
      <c r="AF102" s="33" t="s">
        <v>263</v>
      </c>
      <c r="AG102" s="33" t="s">
        <v>263</v>
      </c>
      <c r="AH102" s="33" t="s">
        <v>263</v>
      </c>
      <c r="AI102" s="33" t="s">
        <v>263</v>
      </c>
      <c r="AJ102" s="33" t="s">
        <v>263</v>
      </c>
      <c r="AK102" s="33" t="s">
        <v>263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6F37B-1CB4-40AE-8D78-DB308C27B263}">
  <dimension ref="A1:CL204"/>
  <sheetViews>
    <sheetView tabSelected="1" zoomScale="90" zoomScaleNormal="90" workbookViewId="0">
      <pane xSplit="13" ySplit="2" topLeftCell="N3" activePane="bottomRight" state="frozen"/>
      <selection pane="topRight" activeCell="N1" sqref="N1"/>
      <selection pane="bottomLeft" activeCell="A3" sqref="A3"/>
      <selection pane="bottomRight" activeCell="G10" sqref="G10"/>
    </sheetView>
  </sheetViews>
  <sheetFormatPr defaultRowHeight="14.4" outlineLevelCol="2" x14ac:dyDescent="0.3"/>
  <cols>
    <col min="1" max="1" width="10" bestFit="1" customWidth="1"/>
    <col min="2" max="2" width="10.109375" bestFit="1" customWidth="1"/>
    <col min="3" max="3" width="12.21875" bestFit="1" customWidth="1"/>
    <col min="4" max="4" width="19.6640625" customWidth="1" outlineLevel="1"/>
    <col min="5" max="5" width="8.77734375" customWidth="1" outlineLevel="1"/>
    <col min="6" max="6" width="4.109375" style="1" customWidth="1" outlineLevel="1"/>
    <col min="7" max="9" width="9.109375" style="1" customWidth="1" outlineLevel="1"/>
    <col min="10" max="10" width="12.5546875" customWidth="1" outlineLevel="1"/>
    <col min="11" max="11" width="4.77734375" customWidth="1" outlineLevel="1"/>
    <col min="12" max="12" width="27.109375" bestFit="1" customWidth="1"/>
    <col min="13" max="13" width="14.21875" customWidth="1"/>
    <col min="14" max="14" width="2.21875" style="33" bestFit="1" customWidth="1"/>
    <col min="15" max="15" width="8.88671875" style="123" customWidth="1" outlineLevel="1"/>
    <col min="16" max="16" width="10.88671875" style="123" customWidth="1" outlineLevel="1"/>
    <col min="17" max="17" width="13.77734375" customWidth="1" outlineLevel="1"/>
    <col min="18" max="18" width="3" style="33" customWidth="1"/>
    <col min="19" max="19" width="8" style="1" customWidth="1" outlineLevel="2"/>
    <col min="20" max="20" width="6.88671875" style="1" customWidth="1" outlineLevel="2"/>
    <col min="21" max="21" width="8.109375" style="1" customWidth="1" outlineLevel="2"/>
    <col min="22" max="22" width="27.109375" customWidth="1" outlineLevel="2"/>
    <col min="23" max="24" width="16" customWidth="1" outlineLevel="2"/>
    <col min="25" max="25" width="11.21875" style="123" customWidth="1" outlineLevel="2"/>
    <col min="26" max="26" width="12.109375" style="123" customWidth="1" outlineLevel="2"/>
    <col min="27" max="27" width="11.21875" style="123" customWidth="1" outlineLevel="2"/>
    <col min="28" max="28" width="7.33203125" style="123" customWidth="1" outlineLevel="2"/>
    <col min="29" max="29" width="10" style="10" customWidth="1" outlineLevel="2"/>
    <col min="30" max="31" width="8.77734375" style="1" customWidth="1" outlineLevel="1"/>
    <col min="32" max="32" width="9.33203125" customWidth="1" outlineLevel="1"/>
    <col min="33" max="33" width="8.88671875" style="123" customWidth="1" outlineLevel="1"/>
    <col min="34" max="34" width="10.88671875" style="123" customWidth="1" outlineLevel="1"/>
    <col min="35" max="38" width="6.6640625" customWidth="1" outlineLevel="1"/>
    <col min="39" max="39" width="32.21875" customWidth="1" outlineLevel="1"/>
    <col min="40" max="40" width="28" customWidth="1" outlineLevel="1"/>
    <col min="41" max="41" width="31.88671875" customWidth="1" outlineLevel="1"/>
    <col min="42" max="42" width="2.6640625" style="33" customWidth="1"/>
    <col min="43" max="43" width="7.88671875" customWidth="1" outlineLevel="1"/>
    <col min="44" max="44" width="20.77734375" customWidth="1" outlineLevel="1"/>
    <col min="45" max="45" width="16" customWidth="1" outlineLevel="1"/>
    <col min="46" max="47" width="8.77734375" style="1" customWidth="1" outlineLevel="1"/>
    <col min="48" max="48" width="9.33203125" customWidth="1" outlineLevel="1"/>
    <col min="49" max="49" width="5.88671875" customWidth="1" outlineLevel="1"/>
    <col min="50" max="50" width="9.77734375" customWidth="1" outlineLevel="1"/>
    <col min="51" max="54" width="6.6640625" customWidth="1" outlineLevel="1"/>
    <col min="55" max="55" width="3" style="33" customWidth="1"/>
    <col min="56" max="56" width="9" customWidth="1" outlineLevel="1"/>
    <col min="57" max="63" width="19.109375" customWidth="1" outlineLevel="1"/>
    <col min="64" max="64" width="16" customWidth="1" outlineLevel="1"/>
    <col min="65" max="65" width="8.77734375" style="1" customWidth="1" outlineLevel="1"/>
    <col min="66" max="66" width="8.6640625" style="1" customWidth="1" outlineLevel="1"/>
    <col min="67" max="67" width="9.33203125" customWidth="1" outlineLevel="1"/>
    <col min="68" max="68" width="6.44140625" customWidth="1" outlineLevel="1"/>
    <col min="69" max="69" width="8.88671875" customWidth="1" outlineLevel="1"/>
    <col min="70" max="70" width="7.33203125" customWidth="1" outlineLevel="1"/>
    <col min="71" max="89" width="7.109375" customWidth="1" outlineLevel="1"/>
    <col min="90" max="90" width="2.6640625" style="33" customWidth="1"/>
  </cols>
  <sheetData>
    <row r="1" spans="1:90" x14ac:dyDescent="0.3">
      <c r="S1" s="147" t="s">
        <v>328</v>
      </c>
      <c r="T1" s="147"/>
      <c r="U1" s="147"/>
      <c r="V1" s="147"/>
      <c r="W1" s="147"/>
      <c r="X1" s="147"/>
      <c r="Y1" s="148"/>
      <c r="Z1" s="148"/>
      <c r="AA1" s="148"/>
      <c r="AB1" s="148"/>
      <c r="AC1" s="149"/>
      <c r="AD1" s="1" t="s">
        <v>143</v>
      </c>
      <c r="AQ1" s="98" t="s">
        <v>329</v>
      </c>
      <c r="AR1" s="98"/>
      <c r="AS1" s="98"/>
      <c r="AT1" t="s">
        <v>13</v>
      </c>
      <c r="BD1" s="274" t="s">
        <v>333</v>
      </c>
      <c r="BE1" s="274"/>
      <c r="BF1" s="274"/>
      <c r="BG1" s="274"/>
      <c r="BH1" s="274"/>
      <c r="BI1" s="274"/>
      <c r="BJ1" s="274"/>
      <c r="BK1" s="274"/>
      <c r="BL1" s="274"/>
      <c r="BM1" s="68" t="s">
        <v>148</v>
      </c>
    </row>
    <row r="2" spans="1:90" ht="43.2" x14ac:dyDescent="0.3">
      <c r="A2" s="82" t="s">
        <v>0</v>
      </c>
      <c r="B2" s="82" t="s">
        <v>2</v>
      </c>
      <c r="C2" s="82" t="s">
        <v>1</v>
      </c>
      <c r="D2" s="82" t="s">
        <v>145</v>
      </c>
      <c r="E2" s="83" t="s">
        <v>3</v>
      </c>
      <c r="F2" s="83" t="s">
        <v>115</v>
      </c>
      <c r="G2" s="83" t="s">
        <v>6</v>
      </c>
      <c r="H2" s="83" t="s">
        <v>7</v>
      </c>
      <c r="I2" s="83" t="s">
        <v>8</v>
      </c>
      <c r="J2" s="83" t="s">
        <v>4</v>
      </c>
      <c r="K2" s="83" t="s">
        <v>5</v>
      </c>
      <c r="L2" s="82" t="s">
        <v>318</v>
      </c>
      <c r="M2" s="83" t="s">
        <v>110</v>
      </c>
      <c r="N2" s="67" t="s">
        <v>264</v>
      </c>
      <c r="O2" s="134" t="s">
        <v>840</v>
      </c>
      <c r="P2" s="134" t="s">
        <v>841</v>
      </c>
      <c r="Q2" s="2" t="s">
        <v>758</v>
      </c>
      <c r="R2" s="67" t="s">
        <v>264</v>
      </c>
      <c r="S2" s="83" t="s">
        <v>327</v>
      </c>
      <c r="T2" s="83" t="s">
        <v>914</v>
      </c>
      <c r="U2" s="83" t="s">
        <v>913</v>
      </c>
      <c r="V2" s="83" t="s">
        <v>326</v>
      </c>
      <c r="W2" s="83" t="s">
        <v>912</v>
      </c>
      <c r="X2" s="83" t="s">
        <v>911</v>
      </c>
      <c r="Y2" s="124" t="s">
        <v>904</v>
      </c>
      <c r="Z2" s="124" t="s">
        <v>910</v>
      </c>
      <c r="AA2" s="124" t="s">
        <v>909</v>
      </c>
      <c r="AB2" s="124" t="s">
        <v>915</v>
      </c>
      <c r="AC2" s="133" t="s">
        <v>916</v>
      </c>
      <c r="AD2" s="2" t="s">
        <v>111</v>
      </c>
      <c r="AE2" s="2" t="s">
        <v>146</v>
      </c>
      <c r="AF2" s="2" t="s">
        <v>109</v>
      </c>
      <c r="AG2" s="134" t="s">
        <v>382</v>
      </c>
      <c r="AH2" s="134" t="s">
        <v>391</v>
      </c>
      <c r="AI2" s="2" t="s">
        <v>9</v>
      </c>
      <c r="AJ2" s="2" t="s">
        <v>10</v>
      </c>
      <c r="AK2" s="2" t="s">
        <v>11</v>
      </c>
      <c r="AL2" s="2" t="s">
        <v>12</v>
      </c>
      <c r="AM2" s="2" t="s">
        <v>759</v>
      </c>
      <c r="AN2" s="2" t="s">
        <v>760</v>
      </c>
      <c r="AO2" s="2" t="s">
        <v>761</v>
      </c>
      <c r="AP2" s="67" t="s">
        <v>264</v>
      </c>
      <c r="AQ2" s="83" t="s">
        <v>330</v>
      </c>
      <c r="AR2" s="83" t="s">
        <v>331</v>
      </c>
      <c r="AS2" s="83" t="s">
        <v>332</v>
      </c>
      <c r="AT2" s="2" t="s">
        <v>111</v>
      </c>
      <c r="AU2" s="2" t="s">
        <v>146</v>
      </c>
      <c r="AV2" s="2" t="s">
        <v>109</v>
      </c>
      <c r="AW2" s="2" t="s">
        <v>35</v>
      </c>
      <c r="AX2" s="2" t="s">
        <v>391</v>
      </c>
      <c r="AY2" s="2" t="s">
        <v>9</v>
      </c>
      <c r="AZ2" s="2" t="s">
        <v>10</v>
      </c>
      <c r="BA2" s="2" t="s">
        <v>11</v>
      </c>
      <c r="BB2" s="2" t="s">
        <v>12</v>
      </c>
      <c r="BC2" s="67" t="s">
        <v>264</v>
      </c>
      <c r="BD2" s="83" t="s">
        <v>334</v>
      </c>
      <c r="BE2" s="83" t="s">
        <v>385</v>
      </c>
      <c r="BF2" s="83" t="s">
        <v>386</v>
      </c>
      <c r="BG2" s="83" t="s">
        <v>335</v>
      </c>
      <c r="BH2" s="83" t="s">
        <v>265</v>
      </c>
      <c r="BI2" s="83" t="s">
        <v>882</v>
      </c>
      <c r="BJ2" s="83" t="s">
        <v>365</v>
      </c>
      <c r="BK2" s="83" t="s">
        <v>383</v>
      </c>
      <c r="BL2" s="83" t="s">
        <v>390</v>
      </c>
      <c r="BM2" s="2" t="s">
        <v>111</v>
      </c>
      <c r="BN2" s="2" t="s">
        <v>146</v>
      </c>
      <c r="BO2" s="2" t="s">
        <v>109</v>
      </c>
      <c r="BP2" s="2" t="s">
        <v>34</v>
      </c>
      <c r="BQ2" s="2" t="s">
        <v>391</v>
      </c>
      <c r="BR2" s="2" t="s">
        <v>14</v>
      </c>
      <c r="BS2" s="2" t="s">
        <v>15</v>
      </c>
      <c r="BT2" s="2" t="s">
        <v>16</v>
      </c>
      <c r="BU2" s="2" t="s">
        <v>17</v>
      </c>
      <c r="BV2" s="2" t="s">
        <v>18</v>
      </c>
      <c r="BW2" s="2" t="s">
        <v>19</v>
      </c>
      <c r="BX2" s="2" t="s">
        <v>20</v>
      </c>
      <c r="BY2" s="2" t="s">
        <v>21</v>
      </c>
      <c r="BZ2" s="2" t="s">
        <v>22</v>
      </c>
      <c r="CA2" s="2" t="s">
        <v>23</v>
      </c>
      <c r="CB2" s="2" t="s">
        <v>24</v>
      </c>
      <c r="CC2" s="2" t="s">
        <v>25</v>
      </c>
      <c r="CD2" s="2" t="s">
        <v>26</v>
      </c>
      <c r="CE2" s="2" t="s">
        <v>27</v>
      </c>
      <c r="CF2" s="2" t="s">
        <v>28</v>
      </c>
      <c r="CG2" s="2" t="s">
        <v>29</v>
      </c>
      <c r="CH2" s="2" t="s">
        <v>30</v>
      </c>
      <c r="CI2" s="2" t="s">
        <v>31</v>
      </c>
      <c r="CJ2" s="2" t="s">
        <v>32</v>
      </c>
      <c r="CK2" s="2" t="s">
        <v>33</v>
      </c>
      <c r="CL2" s="67" t="s">
        <v>264</v>
      </c>
    </row>
    <row r="3" spans="1:90" x14ac:dyDescent="0.3">
      <c r="A3" t="s">
        <v>37</v>
      </c>
      <c r="B3" t="s">
        <v>61</v>
      </c>
      <c r="C3" t="s">
        <v>85</v>
      </c>
      <c r="D3" t="str">
        <f>B3&amp;" "&amp;C3</f>
        <v>Jason Last Name1</v>
      </c>
      <c r="F3" s="1" t="s">
        <v>125</v>
      </c>
      <c r="G3" s="1" t="s">
        <v>325</v>
      </c>
      <c r="H3" s="1" t="s">
        <v>325</v>
      </c>
      <c r="I3" s="1" t="s">
        <v>325</v>
      </c>
      <c r="J3" s="10">
        <f>IF(G3="Y",'Tournament Setup'!$C$5,0)+IF(H3="Y",'Tournament Setup'!$C$6,0)+IF(I3="Y",'Tournament Setup'!$C$7,0)</f>
        <v>120</v>
      </c>
      <c r="K3" s="1"/>
      <c r="L3" t="s">
        <v>307</v>
      </c>
      <c r="M3" t="s">
        <v>116</v>
      </c>
      <c r="O3" s="123">
        <f>IF(COUNTIFS(G3:I3,"Y")&gt;1,SUM(AI3:AL3,AY3:BB3,BR3:CK3,P3),"")</f>
        <v>85</v>
      </c>
      <c r="S3" s="1" t="str">
        <f>IFERROR(IF(INDEX('Shooter-Squad Assignment'!$M:$M,MATCH($A3,'Shooter-Squad Assignment'!$A:$A,0))="","",INDEX('Shooter-Squad Assignment'!$M:$M,MATCH($A3,'Shooter-Squad Assignment'!$A:$A,0))),"")</f>
        <v/>
      </c>
      <c r="T3" s="1" t="str">
        <f>IFERROR(IF(INDEX('Shooter-Squad Assignment'!$N:$N,MATCH($A3,'Shooter-Squad Assignment'!$A:$A,0))="","",S3&amp;"-"&amp;INDEX('Shooter-Squad Assignment'!$N:$N,MATCH($A3,'Shooter-Squad Assignment'!$A:$A,0))),"")</f>
        <v/>
      </c>
      <c r="U3" s="1" t="str">
        <f>IFERROR(IF(INDEX('Shooter-Squad Assignment'!$I:$I,MATCH($A3,'Shooter-Squad Assignment'!$A:$A,0))="","",IF(INDEX('Shooter-Squad Assignment'!$I:$I,MATCH($A3,'Shooter-Squad Assignment'!$A:$A,0))=1,S3&amp;"-"&amp;1,"")),"")</f>
        <v/>
      </c>
      <c r="V3" t="str">
        <f>IF(ISBLANK($S3),"",IFERROR(INDEX('Squad Listing'!$C:$C,MATCH($S3,'Squad Listing'!$A:$A,0)),""))</f>
        <v/>
      </c>
      <c r="W3" t="str">
        <f>IF(ISBLANK($S3),"",IFERROR(INDEX('Squad Listing'!$D:$D,MATCH($S3,'Squad Listing'!$A:$A,0)),""))</f>
        <v/>
      </c>
      <c r="X3" t="str">
        <f>IF(ISBLANK($S3),"",IFERROR(INDEX('Squad Listing'!$E:$E,MATCH($S3,'Squad Listing'!$A:$A,0)),""))</f>
        <v/>
      </c>
      <c r="Y3" s="123" t="str">
        <f>IF(U3&lt;&gt;"",SUMIFS(AB:AB,S:S,S3)+AC3,"")</f>
        <v/>
      </c>
      <c r="Z3" s="278">
        <f>SUMIFS(Y:Y,S:S,S3)</f>
        <v>0</v>
      </c>
      <c r="AA3" s="278">
        <f>SUMIFS('Skeet Ind Concurrent Ranking'!L:L,'Skeet Ind Concurrent Ranking'!K:K,'Tournament List'!S23)</f>
        <v>7</v>
      </c>
      <c r="AB3" s="123">
        <f>IF(SUM(AI3:AL3)&gt;0,SUM(AI3:AL3),"")</f>
        <v>85</v>
      </c>
      <c r="AD3" s="1" t="s">
        <v>124</v>
      </c>
      <c r="AF3">
        <f>IF(_xlfn.NUMBERVALUE(AG3)&gt;0,_xlfn.RANK.EQ(AG3,$AG$3:$AG$302,0),"")</f>
        <v>13</v>
      </c>
      <c r="AG3" s="123">
        <f>IF(SUM(AI3:AL3)&gt;0,SUM(AH3:AL3),"")</f>
        <v>85</v>
      </c>
      <c r="AI3">
        <v>21</v>
      </c>
      <c r="AJ3">
        <v>20</v>
      </c>
      <c r="AK3">
        <v>19</v>
      </c>
      <c r="AL3">
        <v>25</v>
      </c>
      <c r="AM3" t="str">
        <f>IFERROR(INDEX('Skeet Ind Concurrent Scores'!Z:Z,MATCH(A3,'Skeet Ind Concurrent Scores'!X:X,0)),"")</f>
        <v>Novice Skeet Champion</v>
      </c>
      <c r="AN3" t="str">
        <f>IFERROR(INDEX('Skeet Ind Class Scores'!V:V,MATCH(A3,'Skeet Ind Class Scores'!T:T,0)),"")</f>
        <v>D Class Skeet Champion</v>
      </c>
      <c r="AO3" t="str">
        <f>IFERROR(INDEX('Skeet Team Scores'!AA:AA,MATCH(A3,'Skeet Team Scores'!AB:AB,0)),"")</f>
        <v/>
      </c>
    </row>
    <row r="4" spans="1:90" x14ac:dyDescent="0.3">
      <c r="A4" t="s">
        <v>38</v>
      </c>
      <c r="B4" t="s">
        <v>62</v>
      </c>
      <c r="C4" t="s">
        <v>86</v>
      </c>
      <c r="D4" t="str">
        <f t="shared" ref="D4:D67" si="0">B4&amp;" "&amp;C4</f>
        <v>John Last Name2</v>
      </c>
      <c r="F4" s="1" t="s">
        <v>125</v>
      </c>
      <c r="G4" s="1" t="s">
        <v>325</v>
      </c>
      <c r="H4" s="1" t="s">
        <v>325</v>
      </c>
      <c r="I4" s="1" t="s">
        <v>325</v>
      </c>
      <c r="J4" s="10">
        <f>IF(G4="Y",'Tournament Setup'!$C$5,0)+IF(H4="Y",'Tournament Setup'!$C$6,0)+IF(I4="Y",'Tournament Setup'!$C$7,0)</f>
        <v>120</v>
      </c>
      <c r="K4" s="1"/>
      <c r="L4" t="s">
        <v>319</v>
      </c>
      <c r="M4" t="s">
        <v>118</v>
      </c>
      <c r="O4" s="123">
        <f t="shared" ref="O4:O67" si="1">IF(COUNTIFS(G4:I4,"Y")&gt;1,SUM(AI4:AL4,AY4:BB4,BR4:CK4,P4),"")</f>
        <v>63</v>
      </c>
      <c r="S4" s="1" t="str">
        <f>IFERROR(IF(INDEX('Shooter-Squad Assignment'!$M:$M,MATCH($A4,'Shooter-Squad Assignment'!$A:$A,0))="","",INDEX('Shooter-Squad Assignment'!$M:$M,MATCH($A4,'Shooter-Squad Assignment'!$A:$A,0))),"")</f>
        <v/>
      </c>
      <c r="T4" s="1" t="str">
        <f>IFERROR(IF(INDEX('Shooter-Squad Assignment'!$N:$N,MATCH($A4,'Shooter-Squad Assignment'!$A:$A,0))="","",S4&amp;"-"&amp;INDEX('Shooter-Squad Assignment'!$N:$N,MATCH($A4,'Shooter-Squad Assignment'!$A:$A,0))),"")</f>
        <v/>
      </c>
      <c r="U4" s="1" t="str">
        <f>IFERROR(IF(INDEX('Shooter-Squad Assignment'!$I:$I,MATCH($A4,'Shooter-Squad Assignment'!$A:$A,0))="","",IF(INDEX('Shooter-Squad Assignment'!$I:$I,MATCH($A4,'Shooter-Squad Assignment'!$A:$A,0))=1,S4&amp;"-"&amp;1,"")),"")</f>
        <v/>
      </c>
      <c r="V4" t="str">
        <f>IF(ISBLANK($S4),"",IFERROR(INDEX('Squad Listing'!$C:$C,MATCH($S4,'Squad Listing'!$A:$A,0)),""))</f>
        <v/>
      </c>
      <c r="W4" t="str">
        <f>IF(ISBLANK($S4),"",IFERROR(INDEX('Squad Listing'!$D:$D,MATCH($S4,'Squad Listing'!$A:$A,0)),""))</f>
        <v/>
      </c>
      <c r="X4" t="str">
        <f>IF(ISBLANK($S4),"",IFERROR(INDEX('Squad Listing'!$E:$E,MATCH($S4,'Squad Listing'!$A:$A,0)),""))</f>
        <v/>
      </c>
      <c r="Y4" s="123" t="str">
        <f t="shared" ref="Y4:Y67" si="2">IF(U4&lt;&gt;"",SUMIFS(AB:AB,S:S,S4)+AC4,"")</f>
        <v/>
      </c>
      <c r="Z4" s="278">
        <f t="shared" ref="Z4:Z67" si="3">SUMIFS(Y:Y,S:S,S4)</f>
        <v>0</v>
      </c>
      <c r="AA4" s="278">
        <f>SUMIFS('Skeet Ind Concurrent Ranking'!L:L,'Skeet Ind Concurrent Ranking'!K:K,'Tournament List'!S24)</f>
        <v>5</v>
      </c>
      <c r="AB4" s="123">
        <f t="shared" ref="AB4:AB67" si="4">IF(SUM(AI4:AL4)&gt;0,SUM(AI4:AL4),"")</f>
        <v>63</v>
      </c>
      <c r="AD4" s="1" t="s">
        <v>122</v>
      </c>
      <c r="AF4">
        <f t="shared" ref="AF4:AF67" si="5">IF(_xlfn.NUMBERVALUE(AG4)&gt;0,_xlfn.RANK.EQ(AG4,$AG$3:$AG$302,0),"")</f>
        <v>32</v>
      </c>
      <c r="AG4" s="123">
        <f t="shared" ref="AG4:AG67" si="6">IF(SUM(AI4:AL4)&gt;0,SUM(AH4:AL4),"")</f>
        <v>63</v>
      </c>
      <c r="AI4">
        <v>15</v>
      </c>
      <c r="AJ4">
        <v>16</v>
      </c>
      <c r="AK4">
        <v>18</v>
      </c>
      <c r="AL4">
        <v>14</v>
      </c>
      <c r="AM4" t="str">
        <f>IFERROR(INDEX('Skeet Ind Concurrent Scores'!Z:Z,MATCH(A4,'Skeet Ind Concurrent Scores'!X:X,0)),"")</f>
        <v>Jr Varsity Men's Skeet Champion</v>
      </c>
      <c r="AN4" t="str">
        <f>IFERROR(INDEX('Skeet Ind Class Scores'!V:V,MATCH(A4,'Skeet Ind Class Scores'!T:T,0)),"")</f>
        <v/>
      </c>
      <c r="AO4" t="str">
        <f>IFERROR(INDEX('Skeet Team Scores'!AA:AA,MATCH(A4,'Skeet Team Scores'!AB:AB,0)),"")</f>
        <v/>
      </c>
    </row>
    <row r="5" spans="1:90" x14ac:dyDescent="0.3">
      <c r="A5" t="s">
        <v>39</v>
      </c>
      <c r="B5" t="s">
        <v>63</v>
      </c>
      <c r="C5" t="s">
        <v>87</v>
      </c>
      <c r="D5" t="str">
        <f t="shared" si="0"/>
        <v>Cathy Last Name3</v>
      </c>
      <c r="F5" s="1" t="s">
        <v>126</v>
      </c>
      <c r="G5" s="1" t="s">
        <v>325</v>
      </c>
      <c r="H5" s="1" t="s">
        <v>325</v>
      </c>
      <c r="I5" s="1" t="s">
        <v>325</v>
      </c>
      <c r="J5" s="10">
        <f>IF(G5="Y",'Tournament Setup'!$C$5,0)+IF(H5="Y",'Tournament Setup'!$C$6,0)+IF(I5="Y",'Tournament Setup'!$C$7,0)</f>
        <v>120</v>
      </c>
      <c r="K5" s="1"/>
      <c r="L5" t="s">
        <v>320</v>
      </c>
      <c r="M5" t="s">
        <v>116</v>
      </c>
      <c r="O5" s="123">
        <f t="shared" si="1"/>
        <v>96</v>
      </c>
      <c r="S5" s="1" t="str">
        <f>IFERROR(IF(INDEX('Shooter-Squad Assignment'!$M:$M,MATCH($A5,'Shooter-Squad Assignment'!$A:$A,0))="","",INDEX('Shooter-Squad Assignment'!$M:$M,MATCH($A5,'Shooter-Squad Assignment'!$A:$A,0))),"")</f>
        <v/>
      </c>
      <c r="T5" s="1" t="str">
        <f>IFERROR(IF(INDEX('Shooter-Squad Assignment'!$N:$N,MATCH($A5,'Shooter-Squad Assignment'!$A:$A,0))="","",S5&amp;"-"&amp;INDEX('Shooter-Squad Assignment'!$N:$N,MATCH($A5,'Shooter-Squad Assignment'!$A:$A,0))),"")</f>
        <v/>
      </c>
      <c r="U5" s="1" t="str">
        <f>IFERROR(IF(INDEX('Shooter-Squad Assignment'!$I:$I,MATCH($A5,'Shooter-Squad Assignment'!$A:$A,0))="","",IF(INDEX('Shooter-Squad Assignment'!$I:$I,MATCH($A5,'Shooter-Squad Assignment'!$A:$A,0))=1,S5&amp;"-"&amp;1,"")),"")</f>
        <v/>
      </c>
      <c r="V5" t="str">
        <f>IF(ISBLANK($S5),"",IFERROR(INDEX('Squad Listing'!$C:$C,MATCH($S5,'Squad Listing'!$A:$A,0)),""))</f>
        <v/>
      </c>
      <c r="W5" t="str">
        <f>IF(ISBLANK($S5),"",IFERROR(INDEX('Squad Listing'!$D:$D,MATCH($S5,'Squad Listing'!$A:$A,0)),""))</f>
        <v/>
      </c>
      <c r="X5" t="str">
        <f>IF(ISBLANK($S5),"",IFERROR(INDEX('Squad Listing'!$E:$E,MATCH($S5,'Squad Listing'!$A:$A,0)),""))</f>
        <v/>
      </c>
      <c r="Y5" s="123" t="str">
        <f t="shared" si="2"/>
        <v/>
      </c>
      <c r="Z5" s="278">
        <f t="shared" si="3"/>
        <v>0</v>
      </c>
      <c r="AA5" s="278">
        <f>SUMIFS('Skeet Ind Concurrent Ranking'!L:L,'Skeet Ind Concurrent Ranking'!K:K,'Tournament List'!S25)</f>
        <v>2</v>
      </c>
      <c r="AB5" s="123">
        <f t="shared" si="4"/>
        <v>96</v>
      </c>
      <c r="AD5" s="1" t="s">
        <v>122</v>
      </c>
      <c r="AF5">
        <f t="shared" si="5"/>
        <v>3</v>
      </c>
      <c r="AG5" s="123">
        <f t="shared" si="6"/>
        <v>96</v>
      </c>
      <c r="AI5">
        <v>23</v>
      </c>
      <c r="AJ5">
        <v>24</v>
      </c>
      <c r="AK5">
        <v>25</v>
      </c>
      <c r="AL5">
        <v>24</v>
      </c>
      <c r="AM5" t="str">
        <f>IFERROR(INDEX('Skeet Ind Concurrent Scores'!Z:Z,MATCH(A5,'Skeet Ind Concurrent Scores'!X:X,0)),"")</f>
        <v>HOA Skeet 3rd Place</v>
      </c>
      <c r="AN5" t="str">
        <f>IFERROR(INDEX('Skeet Ind Class Scores'!V:V,MATCH(A5,'Skeet Ind Class Scores'!T:T,0)),"")</f>
        <v>B Class Skeet Runner Up</v>
      </c>
      <c r="AO5" t="str">
        <f>IFERROR(INDEX('Skeet Team Scores'!AA:AA,MATCH(A5,'Skeet Team Scores'!AB:AB,0)),"")</f>
        <v/>
      </c>
    </row>
    <row r="6" spans="1:90" x14ac:dyDescent="0.3">
      <c r="A6" t="s">
        <v>40</v>
      </c>
      <c r="B6" t="s">
        <v>64</v>
      </c>
      <c r="C6" t="s">
        <v>88</v>
      </c>
      <c r="D6" t="str">
        <f t="shared" si="0"/>
        <v>Susan Last Name4</v>
      </c>
      <c r="F6" s="1" t="s">
        <v>126</v>
      </c>
      <c r="G6" s="1" t="s">
        <v>325</v>
      </c>
      <c r="H6" s="1" t="s">
        <v>325</v>
      </c>
      <c r="I6" s="1" t="s">
        <v>325</v>
      </c>
      <c r="J6" s="10">
        <f>IF(G6="Y",'Tournament Setup'!$C$5,0)+IF(H6="Y",'Tournament Setup'!$C$6,0)+IF(I6="Y",'Tournament Setup'!$C$7,0)</f>
        <v>120</v>
      </c>
      <c r="K6" s="1"/>
      <c r="L6" t="s">
        <v>321</v>
      </c>
      <c r="M6" t="s">
        <v>119</v>
      </c>
      <c r="O6" s="123">
        <f t="shared" si="1"/>
        <v>82</v>
      </c>
      <c r="S6" s="1" t="str">
        <f>IFERROR(IF(INDEX('Shooter-Squad Assignment'!$M:$M,MATCH($A6,'Shooter-Squad Assignment'!$A:$A,0))="","",INDEX('Shooter-Squad Assignment'!$M:$M,MATCH($A6,'Shooter-Squad Assignment'!$A:$A,0))),"")</f>
        <v/>
      </c>
      <c r="T6" s="1" t="str">
        <f>IFERROR(IF(INDEX('Shooter-Squad Assignment'!$N:$N,MATCH($A6,'Shooter-Squad Assignment'!$A:$A,0))="","",S6&amp;"-"&amp;INDEX('Shooter-Squad Assignment'!$N:$N,MATCH($A6,'Shooter-Squad Assignment'!$A:$A,0))),"")</f>
        <v/>
      </c>
      <c r="U6" s="1" t="str">
        <f>IFERROR(IF(INDEX('Shooter-Squad Assignment'!$I:$I,MATCH($A6,'Shooter-Squad Assignment'!$A:$A,0))="","",IF(INDEX('Shooter-Squad Assignment'!$I:$I,MATCH($A6,'Shooter-Squad Assignment'!$A:$A,0))=1,S6&amp;"-"&amp;1,"")),"")</f>
        <v/>
      </c>
      <c r="V6" t="str">
        <f>IF(ISBLANK($S6),"",IFERROR(INDEX('Squad Listing'!$C:$C,MATCH($S6,'Squad Listing'!$A:$A,0)),""))</f>
        <v/>
      </c>
      <c r="W6" t="str">
        <f>IF(ISBLANK($S6),"",IFERROR(INDEX('Squad Listing'!$D:$D,MATCH($S6,'Squad Listing'!$A:$A,0)),""))</f>
        <v/>
      </c>
      <c r="X6" t="str">
        <f>IF(ISBLANK($S6),"",IFERROR(INDEX('Squad Listing'!$E:$E,MATCH($S6,'Squad Listing'!$A:$A,0)),""))</f>
        <v/>
      </c>
      <c r="Y6" s="123" t="str">
        <f t="shared" si="2"/>
        <v/>
      </c>
      <c r="Z6" s="278">
        <f t="shared" si="3"/>
        <v>0</v>
      </c>
      <c r="AA6" s="278">
        <f>SUMIFS('Skeet Ind Concurrent Ranking'!L:L,'Skeet Ind Concurrent Ranking'!K:K,'Tournament List'!S26)</f>
        <v>0</v>
      </c>
      <c r="AB6" s="123">
        <f t="shared" si="4"/>
        <v>82</v>
      </c>
      <c r="AD6" s="1" t="s">
        <v>121</v>
      </c>
      <c r="AF6">
        <f t="shared" si="5"/>
        <v>17</v>
      </c>
      <c r="AG6" s="123">
        <f t="shared" si="6"/>
        <v>82</v>
      </c>
      <c r="AI6">
        <v>20</v>
      </c>
      <c r="AJ6">
        <v>21</v>
      </c>
      <c r="AK6">
        <v>22</v>
      </c>
      <c r="AL6">
        <v>19</v>
      </c>
      <c r="AM6" t="str">
        <f>IFERROR(INDEX('Skeet Ind Concurrent Scores'!Z:Z,MATCH(A6,'Skeet Ind Concurrent Scores'!X:X,0)),"")</f>
        <v>Varsity Lady's Skeet Champion</v>
      </c>
      <c r="AN6" t="str">
        <f>IFERROR(INDEX('Skeet Ind Class Scores'!V:V,MATCH(A6,'Skeet Ind Class Scores'!T:T,0)),"")</f>
        <v>A Class Skeet 3rd</v>
      </c>
      <c r="AO6" t="str">
        <f>IFERROR(INDEX('Skeet Team Scores'!AA:AA,MATCH(A6,'Skeet Team Scores'!AB:AB,0)),"")</f>
        <v/>
      </c>
    </row>
    <row r="7" spans="1:90" x14ac:dyDescent="0.3">
      <c r="A7" t="s">
        <v>41</v>
      </c>
      <c r="B7" t="s">
        <v>65</v>
      </c>
      <c r="C7" t="s">
        <v>89</v>
      </c>
      <c r="D7" t="str">
        <f t="shared" si="0"/>
        <v>Matt Last Name5</v>
      </c>
      <c r="F7" s="1" t="s">
        <v>125</v>
      </c>
      <c r="G7" s="1" t="s">
        <v>325</v>
      </c>
      <c r="H7" s="1" t="s">
        <v>325</v>
      </c>
      <c r="I7" s="1" t="s">
        <v>325</v>
      </c>
      <c r="J7" s="10">
        <f>IF(G7="Y",'Tournament Setup'!$C$5,0)+IF(H7="Y",'Tournament Setup'!$C$6,0)+IF(I7="Y",'Tournament Setup'!$C$7,0)</f>
        <v>120</v>
      </c>
      <c r="K7" s="1"/>
      <c r="L7" t="s">
        <v>322</v>
      </c>
      <c r="M7" t="s">
        <v>119</v>
      </c>
      <c r="O7" s="123">
        <f t="shared" si="1"/>
        <v>89</v>
      </c>
      <c r="S7" s="1" t="str">
        <f>IFERROR(IF(INDEX('Shooter-Squad Assignment'!$M:$M,MATCH($A7,'Shooter-Squad Assignment'!$A:$A,0))="","",INDEX('Shooter-Squad Assignment'!$M:$M,MATCH($A7,'Shooter-Squad Assignment'!$A:$A,0))),"")</f>
        <v/>
      </c>
      <c r="T7" s="1" t="str">
        <f>IFERROR(IF(INDEX('Shooter-Squad Assignment'!$N:$N,MATCH($A7,'Shooter-Squad Assignment'!$A:$A,0))="","",S7&amp;"-"&amp;INDEX('Shooter-Squad Assignment'!$N:$N,MATCH($A7,'Shooter-Squad Assignment'!$A:$A,0))),"")</f>
        <v/>
      </c>
      <c r="U7" s="1" t="str">
        <f>IFERROR(IF(INDEX('Shooter-Squad Assignment'!$I:$I,MATCH($A7,'Shooter-Squad Assignment'!$A:$A,0))="","",IF(INDEX('Shooter-Squad Assignment'!$I:$I,MATCH($A7,'Shooter-Squad Assignment'!$A:$A,0))=1,S7&amp;"-"&amp;1,"")),"")</f>
        <v/>
      </c>
      <c r="V7" t="str">
        <f>IF(ISBLANK($S7),"",IFERROR(INDEX('Squad Listing'!$C:$C,MATCH($S7,'Squad Listing'!$A:$A,0)),""))</f>
        <v/>
      </c>
      <c r="W7" t="str">
        <f>IF(ISBLANK($S7),"",IFERROR(INDEX('Squad Listing'!$D:$D,MATCH($S7,'Squad Listing'!$A:$A,0)),""))</f>
        <v/>
      </c>
      <c r="X7" t="str">
        <f>IF(ISBLANK($S7),"",IFERROR(INDEX('Squad Listing'!$E:$E,MATCH($S7,'Squad Listing'!$A:$A,0)),""))</f>
        <v/>
      </c>
      <c r="Y7" s="123" t="str">
        <f t="shared" si="2"/>
        <v/>
      </c>
      <c r="Z7" s="278">
        <f t="shared" si="3"/>
        <v>0</v>
      </c>
      <c r="AA7" s="278">
        <f>SUMIFS('Skeet Ind Concurrent Ranking'!L:L,'Skeet Ind Concurrent Ranking'!K:K,'Tournament List'!S27)</f>
        <v>3</v>
      </c>
      <c r="AB7" s="123">
        <f t="shared" si="4"/>
        <v>89</v>
      </c>
      <c r="AD7" s="1" t="s">
        <v>121</v>
      </c>
      <c r="AF7">
        <f t="shared" si="5"/>
        <v>8</v>
      </c>
      <c r="AG7" s="123">
        <f t="shared" si="6"/>
        <v>89.1</v>
      </c>
      <c r="AH7" s="123">
        <v>0.1</v>
      </c>
      <c r="AI7">
        <v>22</v>
      </c>
      <c r="AJ7">
        <v>23</v>
      </c>
      <c r="AK7">
        <v>23</v>
      </c>
      <c r="AL7">
        <v>21</v>
      </c>
      <c r="AM7" t="str">
        <f>IFERROR(INDEX('Skeet Ind Concurrent Scores'!Z:Z,MATCH(A7,'Skeet Ind Concurrent Scores'!X:X,0)),"")</f>
        <v>HOA Men's Skeet Champion</v>
      </c>
      <c r="AN7" t="str">
        <f>IFERROR(INDEX('Skeet Ind Class Scores'!V:V,MATCH(A7,'Skeet Ind Class Scores'!T:T,0)),"")</f>
        <v>A Class Skeet Runner Up</v>
      </c>
      <c r="AO7" t="str">
        <f>IFERROR(INDEX('Skeet Team Scores'!AA:AA,MATCH(A7,'Skeet Team Scores'!AB:AB,0)),"")</f>
        <v/>
      </c>
    </row>
    <row r="8" spans="1:90" x14ac:dyDescent="0.3">
      <c r="A8" t="s">
        <v>42</v>
      </c>
      <c r="B8" t="s">
        <v>66</v>
      </c>
      <c r="C8" t="s">
        <v>90</v>
      </c>
      <c r="D8" t="str">
        <f t="shared" si="0"/>
        <v>Ben Last Name6</v>
      </c>
      <c r="F8" s="1" t="s">
        <v>125</v>
      </c>
      <c r="G8" s="1" t="s">
        <v>325</v>
      </c>
      <c r="H8" s="1" t="s">
        <v>325</v>
      </c>
      <c r="I8" s="1" t="s">
        <v>325</v>
      </c>
      <c r="J8" s="10">
        <f>IF(G8="Y",'Tournament Setup'!$C$5,0)+IF(H8="Y",'Tournament Setup'!$C$6,0)+IF(I8="Y",'Tournament Setup'!$C$7,0)</f>
        <v>120</v>
      </c>
      <c r="K8" s="1"/>
      <c r="L8" t="s">
        <v>323</v>
      </c>
      <c r="M8" t="s">
        <v>116</v>
      </c>
      <c r="O8" s="123">
        <f t="shared" si="1"/>
        <v>51</v>
      </c>
      <c r="S8" s="1">
        <f>IFERROR(IF(INDEX('Shooter-Squad Assignment'!$M:$M,MATCH($A8,'Shooter-Squad Assignment'!$A:$A,0))="","",INDEX('Shooter-Squad Assignment'!$M:$M,MATCH($A8,'Shooter-Squad Assignment'!$A:$A,0))),"")</f>
        <v>181</v>
      </c>
      <c r="T8" s="1" t="str">
        <f>IFERROR(IF(INDEX('Shooter-Squad Assignment'!$N:$N,MATCH($A8,'Shooter-Squad Assignment'!$A:$A,0))="","",S8&amp;"-"&amp;INDEX('Shooter-Squad Assignment'!$N:$N,MATCH($A8,'Shooter-Squad Assignment'!$A:$A,0))),"")</f>
        <v>181-2</v>
      </c>
      <c r="U8" s="1" t="str">
        <f>IFERROR(IF(INDEX('Shooter-Squad Assignment'!$I:$I,MATCH($A8,'Shooter-Squad Assignment'!$A:$A,0))="","",IF(INDEX('Shooter-Squad Assignment'!$I:$I,MATCH($A8,'Shooter-Squad Assignment'!$A:$A,0))=1,S8&amp;"-"&amp;1,"")),"")</f>
        <v/>
      </c>
      <c r="V8" t="str">
        <f>IF(ISBLANK($S8),"",IFERROR(INDEX('Squad Listing'!$C:$C,MATCH($S8,'Squad Listing'!$A:$A,0)),""))</f>
        <v>Littleton Target Masters</v>
      </c>
      <c r="W8" t="str">
        <f>IF(ISBLANK($S8),"",IFERROR(INDEX('Squad Listing'!$D:$D,MATCH($S8,'Squad Listing'!$A:$A,0)),""))</f>
        <v>Novice</v>
      </c>
      <c r="X8" t="str">
        <f>IF(ISBLANK($S8),"",IFERROR(INDEX('Squad Listing'!$E:$E,MATCH($S8,'Squad Listing'!$A:$A,0)),""))</f>
        <v>Novice 1</v>
      </c>
      <c r="Y8" s="123" t="str">
        <f t="shared" si="2"/>
        <v/>
      </c>
      <c r="Z8" s="278">
        <f t="shared" si="3"/>
        <v>174</v>
      </c>
      <c r="AA8" s="278">
        <f>SUMIFS('Skeet Ind Concurrent Ranking'!L:L,'Skeet Ind Concurrent Ranking'!K:K,'Tournament List'!S28)</f>
        <v>4</v>
      </c>
      <c r="AB8" s="123">
        <f t="shared" si="4"/>
        <v>51</v>
      </c>
      <c r="AD8" s="1" t="s">
        <v>123</v>
      </c>
      <c r="AF8">
        <f t="shared" si="5"/>
        <v>40</v>
      </c>
      <c r="AG8" s="123">
        <f t="shared" si="6"/>
        <v>51.1</v>
      </c>
      <c r="AH8" s="123">
        <v>0.1</v>
      </c>
      <c r="AI8">
        <v>10</v>
      </c>
      <c r="AJ8">
        <v>12</v>
      </c>
      <c r="AK8">
        <v>15</v>
      </c>
      <c r="AL8">
        <v>14</v>
      </c>
      <c r="AM8" t="str">
        <f>IFERROR(INDEX('Skeet Ind Concurrent Scores'!Z:Z,MATCH(A8,'Skeet Ind Concurrent Scores'!X:X,0)),"")</f>
        <v/>
      </c>
      <c r="AN8" t="str">
        <f>IFERROR(INDEX('Skeet Ind Class Scores'!V:V,MATCH(A8,'Skeet Ind Class Scores'!T:T,0)),"")</f>
        <v/>
      </c>
      <c r="AO8" t="str">
        <f>IFERROR(INDEX('Skeet Team Scores'!AA:AA,MATCH(A8,'Skeet Team Scores'!AB:AB,0)),"")</f>
        <v>Novice Skeet Team 3rd</v>
      </c>
    </row>
    <row r="9" spans="1:90" x14ac:dyDescent="0.3">
      <c r="A9" t="s">
        <v>43</v>
      </c>
      <c r="B9" t="s">
        <v>67</v>
      </c>
      <c r="C9" t="s">
        <v>91</v>
      </c>
      <c r="D9" t="str">
        <f t="shared" si="0"/>
        <v>Blake Last Name7</v>
      </c>
      <c r="F9" s="1" t="s">
        <v>125</v>
      </c>
      <c r="G9" s="1" t="s">
        <v>325</v>
      </c>
      <c r="H9" s="1" t="s">
        <v>325</v>
      </c>
      <c r="I9" s="1" t="s">
        <v>325</v>
      </c>
      <c r="J9" s="10">
        <f>IF(G9="Y",'Tournament Setup'!$C$5,0)+IF(H9="Y",'Tournament Setup'!$C$6,0)+IF(I9="Y",'Tournament Setup'!$C$7,0)</f>
        <v>120</v>
      </c>
      <c r="K9" s="1"/>
      <c r="L9" t="s">
        <v>307</v>
      </c>
      <c r="M9" t="s">
        <v>117</v>
      </c>
      <c r="O9" s="123">
        <f t="shared" si="1"/>
        <v>97</v>
      </c>
      <c r="S9" s="1">
        <f>IFERROR(IF(INDEX('Shooter-Squad Assignment'!$M:$M,MATCH($A9,'Shooter-Squad Assignment'!$A:$A,0))="","",INDEX('Shooter-Squad Assignment'!$M:$M,MATCH($A9,'Shooter-Squad Assignment'!$A:$A,0))),"")</f>
        <v>118</v>
      </c>
      <c r="T9" s="1" t="str">
        <f>IFERROR(IF(INDEX('Shooter-Squad Assignment'!$N:$N,MATCH($A9,'Shooter-Squad Assignment'!$A:$A,0))="","",S9&amp;"-"&amp;INDEX('Shooter-Squad Assignment'!$N:$N,MATCH($A9,'Shooter-Squad Assignment'!$A:$A,0))),"")</f>
        <v>118-1</v>
      </c>
      <c r="U9" s="1" t="str">
        <f>IFERROR(IF(INDEX('Shooter-Squad Assignment'!$I:$I,MATCH($A9,'Shooter-Squad Assignment'!$A:$A,0))="","",IF(INDEX('Shooter-Squad Assignment'!$I:$I,MATCH($A9,'Shooter-Squad Assignment'!$A:$A,0))=1,S9&amp;"-"&amp;1,"")),"")</f>
        <v>118-1</v>
      </c>
      <c r="V9" t="str">
        <f>IF(ISBLANK($S9),"",IFERROR(INDEX('Squad Listing'!$C:$C,MATCH($S9,'Squad Listing'!$A:$A,0)),""))</f>
        <v>High Plains Drifters</v>
      </c>
      <c r="W9" t="str">
        <f>IF(ISBLANK($S9),"",IFERROR(INDEX('Squad Listing'!$D:$D,MATCH($S9,'Squad Listing'!$A:$A,0)),""))</f>
        <v>Intermediate</v>
      </c>
      <c r="X9" t="str">
        <f>IF(ISBLANK($S9),"",IFERROR(INDEX('Squad Listing'!$E:$E,MATCH($S9,'Squad Listing'!$A:$A,0)),""))</f>
        <v>Intermediate 1</v>
      </c>
      <c r="Y9" s="123">
        <f t="shared" si="2"/>
        <v>277</v>
      </c>
      <c r="Z9" s="278">
        <f t="shared" si="3"/>
        <v>277</v>
      </c>
      <c r="AA9" s="278">
        <f>SUMIFS('Skeet Ind Concurrent Ranking'!L:L,'Skeet Ind Concurrent Ranking'!K:K,'Tournament List'!S29)</f>
        <v>9</v>
      </c>
      <c r="AB9" s="123">
        <f t="shared" si="4"/>
        <v>97</v>
      </c>
      <c r="AD9" s="1" t="s">
        <v>123</v>
      </c>
      <c r="AF9">
        <f t="shared" si="5"/>
        <v>2</v>
      </c>
      <c r="AG9" s="123">
        <f t="shared" si="6"/>
        <v>97</v>
      </c>
      <c r="AI9">
        <v>25</v>
      </c>
      <c r="AJ9">
        <v>25</v>
      </c>
      <c r="AK9">
        <v>24</v>
      </c>
      <c r="AL9">
        <v>23</v>
      </c>
      <c r="AM9" t="str">
        <f>IFERROR(INDEX('Skeet Ind Concurrent Scores'!Z:Z,MATCH(A9,'Skeet Ind Concurrent Scores'!X:X,0)),"")</f>
        <v>HOA Skeet Runner Up</v>
      </c>
      <c r="AN9" t="str">
        <f>IFERROR(INDEX('Skeet Ind Class Scores'!V:V,MATCH(A9,'Skeet Ind Class Scores'!T:T,0)),"")</f>
        <v>C Class Skeet Champion</v>
      </c>
      <c r="AO9" t="str">
        <f>IFERROR(INDEX('Skeet Team Scores'!AA:AA,MATCH(A9,'Skeet Team Scores'!AB:AB,0)),"")</f>
        <v>Intermediate Skeet Team Champion</v>
      </c>
    </row>
    <row r="10" spans="1:90" x14ac:dyDescent="0.3">
      <c r="A10" t="s">
        <v>44</v>
      </c>
      <c r="B10" t="s">
        <v>68</v>
      </c>
      <c r="C10" t="s">
        <v>92</v>
      </c>
      <c r="D10" t="str">
        <f t="shared" si="0"/>
        <v>James Last Name8</v>
      </c>
      <c r="F10" s="1" t="s">
        <v>125</v>
      </c>
      <c r="G10" s="1" t="s">
        <v>325</v>
      </c>
      <c r="H10" s="1" t="s">
        <v>325</v>
      </c>
      <c r="I10" s="1" t="s">
        <v>325</v>
      </c>
      <c r="J10" s="10">
        <f>IF(G10="Y",'Tournament Setup'!$C$5,0)+IF(H10="Y",'Tournament Setup'!$C$6,0)+IF(I10="Y",'Tournament Setup'!$C$7,0)</f>
        <v>120</v>
      </c>
      <c r="K10" s="1"/>
      <c r="L10" t="s">
        <v>319</v>
      </c>
      <c r="M10" t="s">
        <v>118</v>
      </c>
      <c r="O10" s="123">
        <f t="shared" si="1"/>
        <v>64</v>
      </c>
      <c r="S10" s="1">
        <f>IFERROR(IF(INDEX('Shooter-Squad Assignment'!$M:$M,MATCH($A10,'Shooter-Squad Assignment'!$A:$A,0))="","",INDEX('Shooter-Squad Assignment'!$M:$M,MATCH($A10,'Shooter-Squad Assignment'!$A:$A,0))),"")</f>
        <v>235</v>
      </c>
      <c r="T10" s="1" t="str">
        <f>IFERROR(IF(INDEX('Shooter-Squad Assignment'!$N:$N,MATCH($A10,'Shooter-Squad Assignment'!$A:$A,0))="","",S10&amp;"-"&amp;INDEX('Shooter-Squad Assignment'!$N:$N,MATCH($A10,'Shooter-Squad Assignment'!$A:$A,0))),"")</f>
        <v>235-2</v>
      </c>
      <c r="U10" s="1" t="str">
        <f>IFERROR(IF(INDEX('Shooter-Squad Assignment'!$I:$I,MATCH($A10,'Shooter-Squad Assignment'!$A:$A,0))="","",IF(INDEX('Shooter-Squad Assignment'!$I:$I,MATCH($A10,'Shooter-Squad Assignment'!$A:$A,0))=1,S10&amp;"-"&amp;1,"")),"")</f>
        <v/>
      </c>
      <c r="V10" t="str">
        <f>IF(ISBLANK($S10),"",IFERROR(INDEX('Squad Listing'!$C:$C,MATCH($S10,'Squad Listing'!$A:$A,0)),""))</f>
        <v>Rocky Mountain Clay Busters</v>
      </c>
      <c r="W10" t="str">
        <f>IF(ISBLANK($S10),"",IFERROR(INDEX('Squad Listing'!$D:$D,MATCH($S10,'Squad Listing'!$A:$A,0)),""))</f>
        <v>Junior Varsity</v>
      </c>
      <c r="X10" t="str">
        <f>IF(ISBLANK($S10),"",IFERROR(INDEX('Squad Listing'!$E:$E,MATCH($S10,'Squad Listing'!$A:$A,0)),""))</f>
        <v>Junior Varsity 1</v>
      </c>
      <c r="Y10" s="123" t="str">
        <f t="shared" si="2"/>
        <v/>
      </c>
      <c r="Z10" s="278">
        <f t="shared" si="3"/>
        <v>239</v>
      </c>
      <c r="AA10" s="278">
        <f>SUMIFS('Skeet Ind Concurrent Ranking'!L:L,'Skeet Ind Concurrent Ranking'!K:K,'Tournament List'!S30)</f>
        <v>12</v>
      </c>
      <c r="AB10" s="123">
        <f t="shared" si="4"/>
        <v>64</v>
      </c>
      <c r="AD10" s="1" t="s">
        <v>123</v>
      </c>
      <c r="AF10">
        <f t="shared" si="5"/>
        <v>30</v>
      </c>
      <c r="AG10" s="123">
        <f t="shared" si="6"/>
        <v>64</v>
      </c>
      <c r="AI10">
        <v>13</v>
      </c>
      <c r="AJ10">
        <v>15</v>
      </c>
      <c r="AK10">
        <v>17</v>
      </c>
      <c r="AL10">
        <v>19</v>
      </c>
      <c r="AM10" t="str">
        <f>IFERROR(INDEX('Skeet Ind Concurrent Scores'!Z:Z,MATCH(A10,'Skeet Ind Concurrent Scores'!X:X,0)),"")</f>
        <v>Jr Varsity Skeet 3rd</v>
      </c>
      <c r="AN10" t="str">
        <f>IFERROR(INDEX('Skeet Ind Class Scores'!V:V,MATCH(A10,'Skeet Ind Class Scores'!T:T,0)),"")</f>
        <v/>
      </c>
      <c r="AO10" t="str">
        <f>IFERROR(INDEX('Skeet Team Scores'!AA:AA,MATCH(A10,'Skeet Team Scores'!AB:AB,0)),"")</f>
        <v>Junior Varsity Skeet Team Runner Up</v>
      </c>
    </row>
    <row r="11" spans="1:90" x14ac:dyDescent="0.3">
      <c r="A11" t="s">
        <v>45</v>
      </c>
      <c r="B11" t="s">
        <v>69</v>
      </c>
      <c r="C11" t="s">
        <v>93</v>
      </c>
      <c r="D11" t="str">
        <f t="shared" si="0"/>
        <v>Linda Last Name9</v>
      </c>
      <c r="F11" s="1" t="s">
        <v>126</v>
      </c>
      <c r="G11" s="1" t="s">
        <v>325</v>
      </c>
      <c r="H11" s="1" t="s">
        <v>325</v>
      </c>
      <c r="I11" s="1" t="s">
        <v>325</v>
      </c>
      <c r="J11" s="10">
        <f>IF(G11="Y",'Tournament Setup'!$C$5,0)+IF(H11="Y",'Tournament Setup'!$C$6,0)+IF(I11="Y",'Tournament Setup'!$C$7,0)</f>
        <v>120</v>
      </c>
      <c r="K11" s="1"/>
      <c r="L11" t="s">
        <v>320</v>
      </c>
      <c r="M11" t="s">
        <v>116</v>
      </c>
      <c r="O11" s="123">
        <f t="shared" si="1"/>
        <v>75</v>
      </c>
      <c r="S11" s="1" t="str">
        <f>IFERROR(IF(INDEX('Shooter-Squad Assignment'!$M:$M,MATCH($A11,'Shooter-Squad Assignment'!$A:$A,0))="","",INDEX('Shooter-Squad Assignment'!$M:$M,MATCH($A11,'Shooter-Squad Assignment'!$A:$A,0))),"")</f>
        <v/>
      </c>
      <c r="T11" s="1" t="str">
        <f>IFERROR(IF(INDEX('Shooter-Squad Assignment'!$N:$N,MATCH($A11,'Shooter-Squad Assignment'!$A:$A,0))="","",S11&amp;"-"&amp;INDEX('Shooter-Squad Assignment'!$N:$N,MATCH($A11,'Shooter-Squad Assignment'!$A:$A,0))),"")</f>
        <v/>
      </c>
      <c r="U11" s="1" t="str">
        <f>IFERROR(IF(INDEX('Shooter-Squad Assignment'!$I:$I,MATCH($A11,'Shooter-Squad Assignment'!$A:$A,0))="","",IF(INDEX('Shooter-Squad Assignment'!$I:$I,MATCH($A11,'Shooter-Squad Assignment'!$A:$A,0))=1,S11&amp;"-"&amp;1,"")),"")</f>
        <v/>
      </c>
      <c r="V11" t="str">
        <f>IF(ISBLANK($S11),"",IFERROR(INDEX('Squad Listing'!$C:$C,MATCH($S11,'Squad Listing'!$A:$A,0)),""))</f>
        <v/>
      </c>
      <c r="W11" t="str">
        <f>IF(ISBLANK($S11),"",IFERROR(INDEX('Squad Listing'!$D:$D,MATCH($S11,'Squad Listing'!$A:$A,0)),""))</f>
        <v/>
      </c>
      <c r="X11" t="str">
        <f>IF(ISBLANK($S11),"",IFERROR(INDEX('Squad Listing'!$E:$E,MATCH($S11,'Squad Listing'!$A:$A,0)),""))</f>
        <v/>
      </c>
      <c r="Y11" s="123" t="str">
        <f t="shared" si="2"/>
        <v/>
      </c>
      <c r="Z11" s="278">
        <f t="shared" si="3"/>
        <v>0</v>
      </c>
      <c r="AA11" s="278">
        <f>SUMIFS('Skeet Ind Concurrent Ranking'!L:L,'Skeet Ind Concurrent Ranking'!K:K,'Tournament List'!S31)</f>
        <v>2</v>
      </c>
      <c r="AB11" s="123">
        <f t="shared" si="4"/>
        <v>75</v>
      </c>
      <c r="AD11" s="1" t="s">
        <v>122</v>
      </c>
      <c r="AF11">
        <f t="shared" si="5"/>
        <v>20</v>
      </c>
      <c r="AG11" s="123">
        <f t="shared" si="6"/>
        <v>75</v>
      </c>
      <c r="AI11">
        <v>16</v>
      </c>
      <c r="AJ11">
        <v>18</v>
      </c>
      <c r="AK11">
        <v>20</v>
      </c>
      <c r="AL11">
        <v>21</v>
      </c>
      <c r="AM11" t="str">
        <f>IFERROR(INDEX('Skeet Ind Concurrent Scores'!Z:Z,MATCH(A11,'Skeet Ind Concurrent Scores'!X:X,0)),"")</f>
        <v>Novice Skeet Runner Up</v>
      </c>
      <c r="AN11" t="str">
        <f>IFERROR(INDEX('Skeet Ind Class Scores'!V:V,MATCH(A11,'Skeet Ind Class Scores'!T:T,0)),"")</f>
        <v>B Class Skeet Lady's Runner Up</v>
      </c>
      <c r="AO11" t="str">
        <f>IFERROR(INDEX('Skeet Team Scores'!AA:AA,MATCH(A11,'Skeet Team Scores'!AB:AB,0)),"")</f>
        <v/>
      </c>
    </row>
    <row r="12" spans="1:90" x14ac:dyDescent="0.3">
      <c r="A12" t="s">
        <v>46</v>
      </c>
      <c r="B12" t="s">
        <v>70</v>
      </c>
      <c r="C12" t="s">
        <v>94</v>
      </c>
      <c r="D12" t="str">
        <f t="shared" si="0"/>
        <v>Christy Last Name10</v>
      </c>
      <c r="F12" s="1" t="s">
        <v>126</v>
      </c>
      <c r="G12" s="1" t="s">
        <v>325</v>
      </c>
      <c r="H12" s="1" t="s">
        <v>325</v>
      </c>
      <c r="I12" s="1" t="s">
        <v>325</v>
      </c>
      <c r="J12" s="10">
        <f>IF(G12="Y",'Tournament Setup'!$C$5,0)+IF(H12="Y",'Tournament Setup'!$C$6,0)+IF(I12="Y",'Tournament Setup'!$C$7,0)</f>
        <v>120</v>
      </c>
      <c r="K12" s="1"/>
      <c r="L12" t="s">
        <v>321</v>
      </c>
      <c r="M12" t="s">
        <v>117</v>
      </c>
      <c r="O12" s="123">
        <f t="shared" si="1"/>
        <v>93</v>
      </c>
      <c r="S12" s="1">
        <f>IFERROR(IF(INDEX('Shooter-Squad Assignment'!$M:$M,MATCH($A12,'Shooter-Squad Assignment'!$A:$A,0))="","",INDEX('Shooter-Squad Assignment'!$M:$M,MATCH($A12,'Shooter-Squad Assignment'!$A:$A,0))),"")</f>
        <v>61</v>
      </c>
      <c r="T12" s="1" t="str">
        <f>IFERROR(IF(INDEX('Shooter-Squad Assignment'!$N:$N,MATCH($A12,'Shooter-Squad Assignment'!$A:$A,0))="","",S12&amp;"-"&amp;INDEX('Shooter-Squad Assignment'!$N:$N,MATCH($A12,'Shooter-Squad Assignment'!$A:$A,0))),"")</f>
        <v>61-1</v>
      </c>
      <c r="U12" s="1" t="str">
        <f>IFERROR(IF(INDEX('Shooter-Squad Assignment'!$I:$I,MATCH($A12,'Shooter-Squad Assignment'!$A:$A,0))="","",IF(INDEX('Shooter-Squad Assignment'!$I:$I,MATCH($A12,'Shooter-Squad Assignment'!$A:$A,0))=1,S12&amp;"-"&amp;1,"")),"")</f>
        <v>61-1</v>
      </c>
      <c r="V12" t="str">
        <f>IF(ISBLANK($S12),"",IFERROR(INDEX('Squad Listing'!$C:$C,MATCH($S12,'Squad Listing'!$A:$A,0)),""))</f>
        <v>Forge Christian Shooting Team</v>
      </c>
      <c r="W12" t="str">
        <f>IF(ISBLANK($S12),"",IFERROR(INDEX('Squad Listing'!$D:$D,MATCH($S12,'Squad Listing'!$A:$A,0)),""))</f>
        <v>Intermediate</v>
      </c>
      <c r="X12" t="str">
        <f>IF(ISBLANK($S12),"",IFERROR(INDEX('Squad Listing'!$E:$E,MATCH($S12,'Squad Listing'!$A:$A,0)),""))</f>
        <v>Intermediate 1</v>
      </c>
      <c r="Y12" s="123">
        <f t="shared" si="2"/>
        <v>231</v>
      </c>
      <c r="Z12" s="278">
        <f t="shared" si="3"/>
        <v>231</v>
      </c>
      <c r="AA12" s="278">
        <f>SUMIFS('Skeet Ind Concurrent Ranking'!L:L,'Skeet Ind Concurrent Ranking'!K:K,'Tournament List'!S32)</f>
        <v>8</v>
      </c>
      <c r="AB12" s="123">
        <f t="shared" si="4"/>
        <v>93</v>
      </c>
      <c r="AD12" s="1" t="s">
        <v>122</v>
      </c>
      <c r="AF12">
        <f t="shared" si="5"/>
        <v>5</v>
      </c>
      <c r="AG12" s="123">
        <f t="shared" si="6"/>
        <v>93</v>
      </c>
      <c r="AI12">
        <v>23</v>
      </c>
      <c r="AJ12">
        <v>23</v>
      </c>
      <c r="AK12">
        <v>25</v>
      </c>
      <c r="AL12">
        <v>22</v>
      </c>
      <c r="AM12" t="str">
        <f>IFERROR(INDEX('Skeet Ind Concurrent Scores'!Z:Z,MATCH(A12,'Skeet Ind Concurrent Scores'!X:X,0)),"")</f>
        <v>HOA Lady's Skeet Runner Up</v>
      </c>
      <c r="AN12" t="str">
        <f>IFERROR(INDEX('Skeet Ind Class Scores'!V:V,MATCH(A12,'Skeet Ind Class Scores'!T:T,0)),"")</f>
        <v>B Class Skeet 3rd</v>
      </c>
      <c r="AO12" t="str">
        <f>IFERROR(INDEX('Skeet Team Scores'!AA:AA,MATCH(A12,'Skeet Team Scores'!AB:AB,0)),"")</f>
        <v>Intermediate Skeet Team Runner Up</v>
      </c>
    </row>
    <row r="13" spans="1:90" x14ac:dyDescent="0.3">
      <c r="A13" t="s">
        <v>47</v>
      </c>
      <c r="B13" t="s">
        <v>71</v>
      </c>
      <c r="C13" t="s">
        <v>95</v>
      </c>
      <c r="D13" t="str">
        <f t="shared" si="0"/>
        <v>Bill Last Name11</v>
      </c>
      <c r="F13" s="1" t="s">
        <v>125</v>
      </c>
      <c r="G13" s="1" t="s">
        <v>325</v>
      </c>
      <c r="H13" s="1" t="s">
        <v>325</v>
      </c>
      <c r="I13" s="1" t="s">
        <v>325</v>
      </c>
      <c r="J13" s="10">
        <f>IF(G13="Y",'Tournament Setup'!$C$5,0)+IF(H13="Y",'Tournament Setup'!$C$6,0)+IF(I13="Y",'Tournament Setup'!$C$7,0)</f>
        <v>120</v>
      </c>
      <c r="K13" s="1"/>
      <c r="L13" t="s">
        <v>322</v>
      </c>
      <c r="M13" t="s">
        <v>118</v>
      </c>
      <c r="O13" s="123">
        <f t="shared" si="1"/>
        <v>98</v>
      </c>
      <c r="S13" s="1">
        <f>IFERROR(IF(INDEX('Shooter-Squad Assignment'!$M:$M,MATCH($A13,'Shooter-Squad Assignment'!$A:$A,0))="","",INDEX('Shooter-Squad Assignment'!$M:$M,MATCH($A13,'Shooter-Squad Assignment'!$A:$A,0))),"")</f>
        <v>7</v>
      </c>
      <c r="T13" s="1" t="str">
        <f>IFERROR(IF(INDEX('Shooter-Squad Assignment'!$N:$N,MATCH($A13,'Shooter-Squad Assignment'!$A:$A,0))="","",S13&amp;"-"&amp;INDEX('Shooter-Squad Assignment'!$N:$N,MATCH($A13,'Shooter-Squad Assignment'!$A:$A,0))),"")</f>
        <v>7-2</v>
      </c>
      <c r="U13" s="1" t="str">
        <f>IFERROR(IF(INDEX('Shooter-Squad Assignment'!$I:$I,MATCH($A13,'Shooter-Squad Assignment'!$A:$A,0))="","",IF(INDEX('Shooter-Squad Assignment'!$I:$I,MATCH($A13,'Shooter-Squad Assignment'!$A:$A,0))=1,S13&amp;"-"&amp;1,"")),"")</f>
        <v/>
      </c>
      <c r="V13" t="str">
        <f>IF(ISBLANK($S13),"",IFERROR(INDEX('Squad Listing'!$C:$C,MATCH($S13,'Squad Listing'!$A:$A,0)),""))</f>
        <v>Brighton Clay Crushers</v>
      </c>
      <c r="W13" t="str">
        <f>IF(ISBLANK($S13),"",IFERROR(INDEX('Squad Listing'!$D:$D,MATCH($S13,'Squad Listing'!$A:$A,0)),""))</f>
        <v>Junior Varsity</v>
      </c>
      <c r="X13" t="str">
        <f>IF(ISBLANK($S13),"",IFERROR(INDEX('Squad Listing'!$E:$E,MATCH($S13,'Squad Listing'!$A:$A,0)),""))</f>
        <v>Junior Varsity 1</v>
      </c>
      <c r="Y13" s="123" t="str">
        <f t="shared" si="2"/>
        <v/>
      </c>
      <c r="Z13" s="278">
        <f t="shared" si="3"/>
        <v>239.2</v>
      </c>
      <c r="AA13" s="278">
        <f>SUMIFS('Skeet Ind Concurrent Ranking'!L:L,'Skeet Ind Concurrent Ranking'!K:K,'Tournament List'!S33)</f>
        <v>1</v>
      </c>
      <c r="AB13" s="123">
        <f t="shared" si="4"/>
        <v>98</v>
      </c>
      <c r="AD13" s="1" t="s">
        <v>122</v>
      </c>
      <c r="AF13">
        <f t="shared" si="5"/>
        <v>1</v>
      </c>
      <c r="AG13" s="123">
        <f t="shared" si="6"/>
        <v>98</v>
      </c>
      <c r="AI13">
        <v>25</v>
      </c>
      <c r="AJ13">
        <v>24</v>
      </c>
      <c r="AK13">
        <v>24</v>
      </c>
      <c r="AL13">
        <v>25</v>
      </c>
      <c r="AM13" t="str">
        <f>IFERROR(INDEX('Skeet Ind Concurrent Scores'!Z:Z,MATCH(A13,'Skeet Ind Concurrent Scores'!X:X,0)),"")</f>
        <v>HOA Skeet Champion</v>
      </c>
      <c r="AN13" t="str">
        <f>IFERROR(INDEX('Skeet Ind Class Scores'!V:V,MATCH(A13,'Skeet Ind Class Scores'!T:T,0)),"")</f>
        <v>B Class Skeet Champion</v>
      </c>
      <c r="AO13" t="str">
        <f>IFERROR(INDEX('Skeet Team Scores'!AA:AA,MATCH(A13,'Skeet Team Scores'!AB:AB,0)),"")</f>
        <v>Junior Varsity Skeet Team Champion</v>
      </c>
    </row>
    <row r="14" spans="1:90" x14ac:dyDescent="0.3">
      <c r="A14" t="s">
        <v>48</v>
      </c>
      <c r="B14" t="s">
        <v>72</v>
      </c>
      <c r="C14" t="s">
        <v>96</v>
      </c>
      <c r="D14" t="str">
        <f t="shared" si="0"/>
        <v>Bob Last Name12</v>
      </c>
      <c r="F14" s="1" t="s">
        <v>125</v>
      </c>
      <c r="G14" s="1" t="s">
        <v>325</v>
      </c>
      <c r="H14" s="1" t="s">
        <v>325</v>
      </c>
      <c r="I14" s="1" t="s">
        <v>325</v>
      </c>
      <c r="J14" s="10">
        <f>IF(G14="Y",'Tournament Setup'!$C$5,0)+IF(H14="Y",'Tournament Setup'!$C$6,0)+IF(I14="Y",'Tournament Setup'!$C$7,0)</f>
        <v>120</v>
      </c>
      <c r="K14" s="1"/>
      <c r="L14" t="s">
        <v>323</v>
      </c>
      <c r="M14" t="s">
        <v>120</v>
      </c>
      <c r="O14" s="123">
        <f t="shared" si="1"/>
        <v>48</v>
      </c>
      <c r="S14" s="1">
        <f>IFERROR(IF(INDEX('Shooter-Squad Assignment'!$M:$M,MATCH($A14,'Shooter-Squad Assignment'!$A:$A,0))="","",INDEX('Shooter-Squad Assignment'!$M:$M,MATCH($A14,'Shooter-Squad Assignment'!$A:$A,0))),"")</f>
        <v>172</v>
      </c>
      <c r="T14" s="1" t="str">
        <f>IFERROR(IF(INDEX('Shooter-Squad Assignment'!$N:$N,MATCH($A14,'Shooter-Squad Assignment'!$A:$A,0))="","",S14&amp;"-"&amp;INDEX('Shooter-Squad Assignment'!$N:$N,MATCH($A14,'Shooter-Squad Assignment'!$A:$A,0))),"")</f>
        <v>172-1</v>
      </c>
      <c r="U14" s="1" t="str">
        <f>IFERROR(IF(INDEX('Shooter-Squad Assignment'!$I:$I,MATCH($A14,'Shooter-Squad Assignment'!$A:$A,0))="","",IF(INDEX('Shooter-Squad Assignment'!$I:$I,MATCH($A14,'Shooter-Squad Assignment'!$A:$A,0))=1,S14&amp;"-"&amp;1,"")),"")</f>
        <v>172-1</v>
      </c>
      <c r="V14" t="str">
        <f>IF(ISBLANK($S14),"",IFERROR(INDEX('Squad Listing'!$C:$C,MATCH($S14,'Squad Listing'!$A:$A,0)),""))</f>
        <v>Littleton Target Masters</v>
      </c>
      <c r="W14" t="str">
        <f>IF(ISBLANK($S14),"",IFERROR(INDEX('Squad Listing'!$D:$D,MATCH($S14,'Squad Listing'!$A:$A,0)),""))</f>
        <v>Collegiate</v>
      </c>
      <c r="X14" t="str">
        <f>IF(ISBLANK($S14),"",IFERROR(INDEX('Squad Listing'!$E:$E,MATCH($S14,'Squad Listing'!$A:$A,0)),""))</f>
        <v>Collegiate 1</v>
      </c>
      <c r="Y14" s="123">
        <f t="shared" si="2"/>
        <v>189</v>
      </c>
      <c r="Z14" s="278">
        <f t="shared" si="3"/>
        <v>189</v>
      </c>
      <c r="AA14" s="278">
        <f>SUMIFS('Skeet Ind Concurrent Ranking'!L:L,'Skeet Ind Concurrent Ranking'!K:K,'Tournament List'!S34)</f>
        <v>10</v>
      </c>
      <c r="AB14" s="123">
        <f t="shared" si="4"/>
        <v>48</v>
      </c>
      <c r="AD14" s="1" t="s">
        <v>123</v>
      </c>
      <c r="AF14">
        <f t="shared" si="5"/>
        <v>42</v>
      </c>
      <c r="AG14" s="123">
        <f t="shared" si="6"/>
        <v>48</v>
      </c>
      <c r="AI14">
        <v>12</v>
      </c>
      <c r="AJ14">
        <v>11</v>
      </c>
      <c r="AK14">
        <v>14</v>
      </c>
      <c r="AL14">
        <v>11</v>
      </c>
      <c r="AM14" t="str">
        <f>IFERROR(INDEX('Skeet Ind Concurrent Scores'!Z:Z,MATCH(A14,'Skeet Ind Concurrent Scores'!X:X,0)),"")</f>
        <v>Collegiate Men's Skeet Champion</v>
      </c>
      <c r="AN14" t="str">
        <f>IFERROR(INDEX('Skeet Ind Class Scores'!V:V,MATCH(A14,'Skeet Ind Class Scores'!T:T,0)),"")</f>
        <v/>
      </c>
      <c r="AO14" t="str">
        <f>IFERROR(INDEX('Skeet Team Scores'!AA:AA,MATCH(A14,'Skeet Team Scores'!AB:AB,0)),"")</f>
        <v>Collegiate Skeet Team Champion</v>
      </c>
    </row>
    <row r="15" spans="1:90" x14ac:dyDescent="0.3">
      <c r="A15" t="s">
        <v>49</v>
      </c>
      <c r="B15" t="s">
        <v>73</v>
      </c>
      <c r="C15" t="s">
        <v>97</v>
      </c>
      <c r="D15" t="str">
        <f t="shared" si="0"/>
        <v>Bruce Last Name13</v>
      </c>
      <c r="F15" s="1" t="s">
        <v>125</v>
      </c>
      <c r="G15" s="1" t="s">
        <v>325</v>
      </c>
      <c r="H15" s="1" t="s">
        <v>325</v>
      </c>
      <c r="I15" s="1" t="s">
        <v>325</v>
      </c>
      <c r="J15" s="10">
        <f>IF(G15="Y",'Tournament Setup'!$C$5,0)+IF(H15="Y",'Tournament Setup'!$C$6,0)+IF(I15="Y",'Tournament Setup'!$C$7,0)</f>
        <v>120</v>
      </c>
      <c r="K15" s="1"/>
      <c r="L15" t="s">
        <v>307</v>
      </c>
      <c r="M15" t="s">
        <v>118</v>
      </c>
      <c r="O15" s="123">
        <f t="shared" si="1"/>
        <v>72</v>
      </c>
      <c r="S15" s="1" t="str">
        <f>IFERROR(IF(INDEX('Shooter-Squad Assignment'!$M:$M,MATCH($A15,'Shooter-Squad Assignment'!$A:$A,0))="","",INDEX('Shooter-Squad Assignment'!$M:$M,MATCH($A15,'Shooter-Squad Assignment'!$A:$A,0))),"")</f>
        <v/>
      </c>
      <c r="T15" s="1" t="str">
        <f>IFERROR(IF(INDEX('Shooter-Squad Assignment'!$N:$N,MATCH($A15,'Shooter-Squad Assignment'!$A:$A,0))="","",S15&amp;"-"&amp;INDEX('Shooter-Squad Assignment'!$N:$N,MATCH($A15,'Shooter-Squad Assignment'!$A:$A,0))),"")</f>
        <v/>
      </c>
      <c r="U15" s="1" t="str">
        <f>IFERROR(IF(INDEX('Shooter-Squad Assignment'!$I:$I,MATCH($A15,'Shooter-Squad Assignment'!$A:$A,0))="","",IF(INDEX('Shooter-Squad Assignment'!$I:$I,MATCH($A15,'Shooter-Squad Assignment'!$A:$A,0))=1,S15&amp;"-"&amp;1,"")),"")</f>
        <v/>
      </c>
      <c r="V15" t="str">
        <f>IF(ISBLANK($S15),"",IFERROR(INDEX('Squad Listing'!$C:$C,MATCH($S15,'Squad Listing'!$A:$A,0)),""))</f>
        <v/>
      </c>
      <c r="W15" t="str">
        <f>IF(ISBLANK($S15),"",IFERROR(INDEX('Squad Listing'!$D:$D,MATCH($S15,'Squad Listing'!$A:$A,0)),""))</f>
        <v/>
      </c>
      <c r="X15" t="str">
        <f>IF(ISBLANK($S15),"",IFERROR(INDEX('Squad Listing'!$E:$E,MATCH($S15,'Squad Listing'!$A:$A,0)),""))</f>
        <v/>
      </c>
      <c r="Y15" s="123" t="str">
        <f t="shared" si="2"/>
        <v/>
      </c>
      <c r="Z15" s="278">
        <f t="shared" si="3"/>
        <v>0</v>
      </c>
      <c r="AA15" s="278">
        <f>SUMIFS('Skeet Ind Concurrent Ranking'!L:L,'Skeet Ind Concurrent Ranking'!K:K,'Tournament List'!S35)</f>
        <v>7</v>
      </c>
      <c r="AB15" s="123">
        <f t="shared" si="4"/>
        <v>72</v>
      </c>
      <c r="AD15" s="1" t="s">
        <v>123</v>
      </c>
      <c r="AF15">
        <f t="shared" si="5"/>
        <v>23</v>
      </c>
      <c r="AG15" s="123">
        <f t="shared" si="6"/>
        <v>72.099999999999994</v>
      </c>
      <c r="AH15" s="123">
        <v>0.1</v>
      </c>
      <c r="AI15">
        <v>18</v>
      </c>
      <c r="AJ15">
        <v>18</v>
      </c>
      <c r="AK15">
        <v>18</v>
      </c>
      <c r="AL15">
        <v>18</v>
      </c>
      <c r="AM15" t="str">
        <f>IFERROR(INDEX('Skeet Ind Concurrent Scores'!Z:Z,MATCH(A15,'Skeet Ind Concurrent Scores'!X:X,0)),"")</f>
        <v>Jr Varsity Skeet Runner Up</v>
      </c>
      <c r="AN15" t="str">
        <f>IFERROR(INDEX('Skeet Ind Class Scores'!V:V,MATCH(A15,'Skeet Ind Class Scores'!T:T,0)),"")</f>
        <v>C Class Skeet Men's 3rd</v>
      </c>
      <c r="AO15" t="str">
        <f>IFERROR(INDEX('Skeet Team Scores'!AA:AA,MATCH(A15,'Skeet Team Scores'!AB:AB,0)),"")</f>
        <v/>
      </c>
    </row>
    <row r="16" spans="1:90" x14ac:dyDescent="0.3">
      <c r="A16" t="s">
        <v>50</v>
      </c>
      <c r="B16" t="s">
        <v>74</v>
      </c>
      <c r="C16" t="s">
        <v>98</v>
      </c>
      <c r="D16" t="str">
        <f t="shared" si="0"/>
        <v>Henry Last Name14</v>
      </c>
      <c r="F16" s="1" t="s">
        <v>125</v>
      </c>
      <c r="G16" s="1" t="s">
        <v>325</v>
      </c>
      <c r="H16" s="1" t="s">
        <v>325</v>
      </c>
      <c r="I16" s="1" t="s">
        <v>325</v>
      </c>
      <c r="J16" s="10">
        <f>IF(G16="Y",'Tournament Setup'!$C$5,0)+IF(H16="Y",'Tournament Setup'!$C$6,0)+IF(I16="Y",'Tournament Setup'!$C$7,0)</f>
        <v>120</v>
      </c>
      <c r="K16" s="1"/>
      <c r="L16" t="s">
        <v>319</v>
      </c>
      <c r="M16" t="s">
        <v>117</v>
      </c>
      <c r="O16" s="123">
        <f t="shared" si="1"/>
        <v>76</v>
      </c>
      <c r="S16" s="1">
        <f>IFERROR(IF(INDEX('Shooter-Squad Assignment'!$M:$M,MATCH($A16,'Shooter-Squad Assignment'!$A:$A,0))="","",INDEX('Shooter-Squad Assignment'!$M:$M,MATCH($A16,'Shooter-Squad Assignment'!$A:$A,0))),"")</f>
        <v>232</v>
      </c>
      <c r="T16" s="1" t="str">
        <f>IFERROR(IF(INDEX('Shooter-Squad Assignment'!$N:$N,MATCH($A16,'Shooter-Squad Assignment'!$A:$A,0))="","",S16&amp;"-"&amp;INDEX('Shooter-Squad Assignment'!$N:$N,MATCH($A16,'Shooter-Squad Assignment'!$A:$A,0))),"")</f>
        <v>232-2</v>
      </c>
      <c r="U16" s="1" t="str">
        <f>IFERROR(IF(INDEX('Shooter-Squad Assignment'!$I:$I,MATCH($A16,'Shooter-Squad Assignment'!$A:$A,0))="","",IF(INDEX('Shooter-Squad Assignment'!$I:$I,MATCH($A16,'Shooter-Squad Assignment'!$A:$A,0))=1,S16&amp;"-"&amp;1,"")),"")</f>
        <v/>
      </c>
      <c r="V16" t="str">
        <f>IF(ISBLANK($S16),"",IFERROR(INDEX('Squad Listing'!$C:$C,MATCH($S16,'Squad Listing'!$A:$A,0)),""))</f>
        <v>Rocky Mountain Clay Busters</v>
      </c>
      <c r="W16" t="str">
        <f>IF(ISBLANK($S16),"",IFERROR(INDEX('Squad Listing'!$D:$D,MATCH($S16,'Squad Listing'!$A:$A,0)),""))</f>
        <v>Intermediate</v>
      </c>
      <c r="X16" t="str">
        <f>IF(ISBLANK($S16),"",IFERROR(INDEX('Squad Listing'!$E:$E,MATCH($S16,'Squad Listing'!$A:$A,0)),""))</f>
        <v>Intermediate 1</v>
      </c>
      <c r="Y16" s="123" t="str">
        <f t="shared" si="2"/>
        <v/>
      </c>
      <c r="Z16" s="278">
        <f t="shared" si="3"/>
        <v>177</v>
      </c>
      <c r="AA16" s="278">
        <f>SUMIFS('Skeet Ind Concurrent Ranking'!L:L,'Skeet Ind Concurrent Ranking'!K:K,'Tournament List'!S36)</f>
        <v>5</v>
      </c>
      <c r="AB16" s="123">
        <f t="shared" si="4"/>
        <v>76</v>
      </c>
      <c r="AD16" s="1" t="s">
        <v>121</v>
      </c>
      <c r="AF16">
        <f t="shared" si="5"/>
        <v>19</v>
      </c>
      <c r="AG16" s="123">
        <f t="shared" si="6"/>
        <v>76</v>
      </c>
      <c r="AI16">
        <v>17</v>
      </c>
      <c r="AJ16">
        <v>18</v>
      </c>
      <c r="AK16">
        <v>20</v>
      </c>
      <c r="AL16">
        <v>21</v>
      </c>
      <c r="AM16" t="str">
        <f>IFERROR(INDEX('Skeet Ind Concurrent Scores'!Z:Z,MATCH(A16,'Skeet Ind Concurrent Scores'!X:X,0)),"")</f>
        <v>Intermediate Skeet Runner Up</v>
      </c>
      <c r="AN16" t="str">
        <f>IFERROR(INDEX('Skeet Ind Class Scores'!V:V,MATCH(A16,'Skeet Ind Class Scores'!T:T,0)),"")</f>
        <v>A Class Skeet Men's Runner Up</v>
      </c>
      <c r="AO16" t="str">
        <f>IFERROR(INDEX('Skeet Team Scores'!AA:AA,MATCH(A16,'Skeet Team Scores'!AB:AB,0)),"")</f>
        <v>Intermediate Skeet Team 3rd</v>
      </c>
    </row>
    <row r="17" spans="1:41" x14ac:dyDescent="0.3">
      <c r="A17" t="s">
        <v>51</v>
      </c>
      <c r="B17" t="s">
        <v>75</v>
      </c>
      <c r="C17" t="s">
        <v>99</v>
      </c>
      <c r="D17" t="str">
        <f t="shared" si="0"/>
        <v>Daniel Last Name15</v>
      </c>
      <c r="F17" s="1" t="s">
        <v>125</v>
      </c>
      <c r="G17" s="1" t="s">
        <v>325</v>
      </c>
      <c r="H17" s="1" t="s">
        <v>325</v>
      </c>
      <c r="I17" s="1" t="s">
        <v>325</v>
      </c>
      <c r="J17" s="10">
        <f>IF(G17="Y",'Tournament Setup'!$C$5,0)+IF(H17="Y",'Tournament Setup'!$C$6,0)+IF(I17="Y",'Tournament Setup'!$C$7,0)</f>
        <v>120</v>
      </c>
      <c r="K17" s="1"/>
      <c r="L17" t="s">
        <v>320</v>
      </c>
      <c r="M17" t="s">
        <v>120</v>
      </c>
      <c r="O17" s="123">
        <f t="shared" si="1"/>
        <v>89</v>
      </c>
      <c r="S17" s="1">
        <f>IFERROR(IF(INDEX('Shooter-Squad Assignment'!$M:$M,MATCH($A17,'Shooter-Squad Assignment'!$A:$A,0))="","",INDEX('Shooter-Squad Assignment'!$M:$M,MATCH($A17,'Shooter-Squad Assignment'!$A:$A,0))),"")</f>
        <v>286</v>
      </c>
      <c r="T17" s="1" t="str">
        <f>IFERROR(IF(INDEX('Shooter-Squad Assignment'!$N:$N,MATCH($A17,'Shooter-Squad Assignment'!$A:$A,0))="","",S17&amp;"-"&amp;INDEX('Shooter-Squad Assignment'!$N:$N,MATCH($A17,'Shooter-Squad Assignment'!$A:$A,0))),"")</f>
        <v>286-3</v>
      </c>
      <c r="U17" s="1" t="str">
        <f>IFERROR(IF(INDEX('Shooter-Squad Assignment'!$I:$I,MATCH($A17,'Shooter-Squad Assignment'!$A:$A,0))="","",IF(INDEX('Shooter-Squad Assignment'!$I:$I,MATCH($A17,'Shooter-Squad Assignment'!$A:$A,0))=1,S17&amp;"-"&amp;1,"")),"")</f>
        <v/>
      </c>
      <c r="V17" t="str">
        <f>IF(ISBLANK($S17),"",IFERROR(INDEX('Squad Listing'!$C:$C,MATCH($S17,'Squad Listing'!$A:$A,0)),""))</f>
        <v>Wiggins Tigers Sporting Club</v>
      </c>
      <c r="W17" t="str">
        <f>IF(ISBLANK($S17),"",IFERROR(INDEX('Squad Listing'!$D:$D,MATCH($S17,'Squad Listing'!$A:$A,0)),""))</f>
        <v>Collegiate</v>
      </c>
      <c r="X17" t="str">
        <f>IF(ISBLANK($S17),"",IFERROR(INDEX('Squad Listing'!$E:$E,MATCH($S17,'Squad Listing'!$A:$A,0)),""))</f>
        <v>Collegiate 1</v>
      </c>
      <c r="Y17" s="123" t="str">
        <f t="shared" si="2"/>
        <v/>
      </c>
      <c r="Z17" s="278">
        <f t="shared" si="3"/>
        <v>177.1</v>
      </c>
      <c r="AA17" s="278">
        <f>SUMIFS('Skeet Ind Concurrent Ranking'!L:L,'Skeet Ind Concurrent Ranking'!K:K,'Tournament List'!S37)</f>
        <v>6</v>
      </c>
      <c r="AB17" s="123">
        <f t="shared" si="4"/>
        <v>89</v>
      </c>
      <c r="AD17" s="1" t="s">
        <v>122</v>
      </c>
      <c r="AF17">
        <f t="shared" si="5"/>
        <v>8</v>
      </c>
      <c r="AG17" s="123">
        <f t="shared" si="6"/>
        <v>89.1</v>
      </c>
      <c r="AH17" s="123">
        <v>0.1</v>
      </c>
      <c r="AI17">
        <v>24</v>
      </c>
      <c r="AJ17">
        <v>22</v>
      </c>
      <c r="AK17">
        <v>20</v>
      </c>
      <c r="AL17">
        <v>23</v>
      </c>
      <c r="AM17" t="str">
        <f>IFERROR(INDEX('Skeet Ind Concurrent Scores'!Z:Z,MATCH(A17,'Skeet Ind Concurrent Scores'!X:X,0)),"")</f>
        <v>Collegiate Skeet Runner Up</v>
      </c>
      <c r="AN17" t="str">
        <f>IFERROR(INDEX('Skeet Ind Class Scores'!V:V,MATCH(A17,'Skeet Ind Class Scores'!T:T,0)),"")</f>
        <v>B Class Skeet Men's Champion</v>
      </c>
      <c r="AO17" t="str">
        <f>IFERROR(INDEX('Skeet Team Scores'!AA:AA,MATCH(A17,'Skeet Team Scores'!AB:AB,0)),"")</f>
        <v>Collegiate Skeet Team Runner Up</v>
      </c>
    </row>
    <row r="18" spans="1:41" x14ac:dyDescent="0.3">
      <c r="A18" t="s">
        <v>52</v>
      </c>
      <c r="B18" t="s">
        <v>76</v>
      </c>
      <c r="C18" t="s">
        <v>100</v>
      </c>
      <c r="D18" t="str">
        <f t="shared" si="0"/>
        <v>Paul Last Name16</v>
      </c>
      <c r="F18" s="1" t="s">
        <v>125</v>
      </c>
      <c r="G18" s="1" t="s">
        <v>325</v>
      </c>
      <c r="H18" s="1" t="s">
        <v>325</v>
      </c>
      <c r="I18" s="1" t="s">
        <v>325</v>
      </c>
      <c r="J18" s="10">
        <f>IF(G18="Y",'Tournament Setup'!$C$5,0)+IF(H18="Y",'Tournament Setup'!$C$6,0)+IF(I18="Y",'Tournament Setup'!$C$7,0)</f>
        <v>120</v>
      </c>
      <c r="K18" s="1"/>
      <c r="L18" t="s">
        <v>321</v>
      </c>
      <c r="M18" t="s">
        <v>119</v>
      </c>
      <c r="O18" s="123">
        <f t="shared" si="1"/>
        <v>42</v>
      </c>
      <c r="S18" s="1" t="str">
        <f>IFERROR(IF(INDEX('Shooter-Squad Assignment'!$M:$M,MATCH($A18,'Shooter-Squad Assignment'!$A:$A,0))="","",INDEX('Shooter-Squad Assignment'!$M:$M,MATCH($A18,'Shooter-Squad Assignment'!$A:$A,0))),"")</f>
        <v/>
      </c>
      <c r="T18" s="1" t="str">
        <f>IFERROR(IF(INDEX('Shooter-Squad Assignment'!$N:$N,MATCH($A18,'Shooter-Squad Assignment'!$A:$A,0))="","",S18&amp;"-"&amp;INDEX('Shooter-Squad Assignment'!$N:$N,MATCH($A18,'Shooter-Squad Assignment'!$A:$A,0))),"")</f>
        <v/>
      </c>
      <c r="U18" s="1" t="str">
        <f>IFERROR(IF(INDEX('Shooter-Squad Assignment'!$I:$I,MATCH($A18,'Shooter-Squad Assignment'!$A:$A,0))="","",IF(INDEX('Shooter-Squad Assignment'!$I:$I,MATCH($A18,'Shooter-Squad Assignment'!$A:$A,0))=1,S18&amp;"-"&amp;1,"")),"")</f>
        <v/>
      </c>
      <c r="V18" t="str">
        <f>IF(ISBLANK($S18),"",IFERROR(INDEX('Squad Listing'!$C:$C,MATCH($S18,'Squad Listing'!$A:$A,0)),""))</f>
        <v/>
      </c>
      <c r="W18" t="str">
        <f>IF(ISBLANK($S18),"",IFERROR(INDEX('Squad Listing'!$D:$D,MATCH($S18,'Squad Listing'!$A:$A,0)),""))</f>
        <v/>
      </c>
      <c r="X18" t="str">
        <f>IF(ISBLANK($S18),"",IFERROR(INDEX('Squad Listing'!$E:$E,MATCH($S18,'Squad Listing'!$A:$A,0)),""))</f>
        <v/>
      </c>
      <c r="Y18" s="123" t="str">
        <f t="shared" si="2"/>
        <v/>
      </c>
      <c r="Z18" s="278">
        <f t="shared" si="3"/>
        <v>0</v>
      </c>
      <c r="AA18" s="278">
        <f>SUMIFS('Skeet Ind Concurrent Ranking'!L:L,'Skeet Ind Concurrent Ranking'!K:K,'Tournament List'!S38)</f>
        <v>11</v>
      </c>
      <c r="AB18" s="123">
        <f t="shared" si="4"/>
        <v>42</v>
      </c>
      <c r="AD18" s="1" t="s">
        <v>124</v>
      </c>
      <c r="AF18">
        <f t="shared" si="5"/>
        <v>45</v>
      </c>
      <c r="AG18" s="123">
        <f t="shared" si="6"/>
        <v>42</v>
      </c>
      <c r="AI18">
        <v>9</v>
      </c>
      <c r="AJ18">
        <v>10</v>
      </c>
      <c r="AK18">
        <v>12</v>
      </c>
      <c r="AL18">
        <v>11</v>
      </c>
      <c r="AM18" t="str">
        <f>IFERROR(INDEX('Skeet Ind Concurrent Scores'!Z:Z,MATCH(A18,'Skeet Ind Concurrent Scores'!X:X,0)),"")</f>
        <v/>
      </c>
      <c r="AN18" t="str">
        <f>IFERROR(INDEX('Skeet Ind Class Scores'!V:V,MATCH(A18,'Skeet Ind Class Scores'!T:T,0)),"")</f>
        <v>D Class Skeet Men's 3rd</v>
      </c>
      <c r="AO18" t="str">
        <f>IFERROR(INDEX('Skeet Team Scores'!AA:AA,MATCH(A18,'Skeet Team Scores'!AB:AB,0)),"")</f>
        <v/>
      </c>
    </row>
    <row r="19" spans="1:41" x14ac:dyDescent="0.3">
      <c r="A19" t="s">
        <v>53</v>
      </c>
      <c r="B19" t="s">
        <v>77</v>
      </c>
      <c r="C19" t="s">
        <v>101</v>
      </c>
      <c r="D19" t="str">
        <f t="shared" si="0"/>
        <v>Joan Last Name17</v>
      </c>
      <c r="F19" s="1" t="s">
        <v>126</v>
      </c>
      <c r="G19" s="1" t="s">
        <v>325</v>
      </c>
      <c r="H19" s="1" t="s">
        <v>325</v>
      </c>
      <c r="I19" s="1" t="s">
        <v>325</v>
      </c>
      <c r="J19" s="10">
        <f>IF(G19="Y",'Tournament Setup'!$C$5,0)+IF(H19="Y",'Tournament Setup'!$C$6,0)+IF(I19="Y",'Tournament Setup'!$C$7,0)</f>
        <v>120</v>
      </c>
      <c r="K19" s="1"/>
      <c r="L19" t="s">
        <v>322</v>
      </c>
      <c r="M19" t="s">
        <v>116</v>
      </c>
      <c r="O19" s="123">
        <f t="shared" si="1"/>
        <v>60</v>
      </c>
      <c r="S19" s="1">
        <f>IFERROR(IF(INDEX('Shooter-Squad Assignment'!$M:$M,MATCH($A19,'Shooter-Squad Assignment'!$A:$A,0))="","",INDEX('Shooter-Squad Assignment'!$M:$M,MATCH($A19,'Shooter-Squad Assignment'!$A:$A,0))),"")</f>
        <v>10</v>
      </c>
      <c r="T19" s="1" t="str">
        <f>IFERROR(IF(INDEX('Shooter-Squad Assignment'!$N:$N,MATCH($A19,'Shooter-Squad Assignment'!$A:$A,0))="","",S19&amp;"-"&amp;INDEX('Shooter-Squad Assignment'!$N:$N,MATCH($A19,'Shooter-Squad Assignment'!$A:$A,0))),"")</f>
        <v>10-1</v>
      </c>
      <c r="U19" s="1" t="str">
        <f>IFERROR(IF(INDEX('Shooter-Squad Assignment'!$I:$I,MATCH($A19,'Shooter-Squad Assignment'!$A:$A,0))="","",IF(INDEX('Shooter-Squad Assignment'!$I:$I,MATCH($A19,'Shooter-Squad Assignment'!$A:$A,0))=1,S19&amp;"-"&amp;1,"")),"")</f>
        <v>10-1</v>
      </c>
      <c r="V19" t="str">
        <f>IF(ISBLANK($S19),"",IFERROR(INDEX('Squad Listing'!$C:$C,MATCH($S19,'Squad Listing'!$A:$A,0)),""))</f>
        <v>Brighton Clay Crushers</v>
      </c>
      <c r="W19" t="str">
        <f>IF(ISBLANK($S19),"",IFERROR(INDEX('Squad Listing'!$D:$D,MATCH($S19,'Squad Listing'!$A:$A,0)),""))</f>
        <v>Novice</v>
      </c>
      <c r="X19" t="str">
        <f>IF(ISBLANK($S19),"",IFERROR(INDEX('Squad Listing'!$E:$E,MATCH($S19,'Squad Listing'!$A:$A,0)),""))</f>
        <v>Novice 1</v>
      </c>
      <c r="Y19" s="123">
        <f t="shared" si="2"/>
        <v>220</v>
      </c>
      <c r="Z19" s="278">
        <f t="shared" si="3"/>
        <v>220</v>
      </c>
      <c r="AA19" s="278">
        <f>SUMIFS('Skeet Ind Concurrent Ranking'!L:L,'Skeet Ind Concurrent Ranking'!K:K,'Tournament List'!S39)</f>
        <v>3</v>
      </c>
      <c r="AB19" s="123">
        <f t="shared" si="4"/>
        <v>60</v>
      </c>
      <c r="AD19" s="1" t="s">
        <v>124</v>
      </c>
      <c r="AF19">
        <f t="shared" si="5"/>
        <v>35</v>
      </c>
      <c r="AG19" s="123">
        <f t="shared" si="6"/>
        <v>60.1</v>
      </c>
      <c r="AH19" s="123">
        <v>0.1</v>
      </c>
      <c r="AI19">
        <v>13</v>
      </c>
      <c r="AJ19">
        <v>16</v>
      </c>
      <c r="AK19">
        <v>14</v>
      </c>
      <c r="AL19">
        <v>17</v>
      </c>
      <c r="AM19" t="str">
        <f>IFERROR(INDEX('Skeet Ind Concurrent Scores'!Z:Z,MATCH(A19,'Skeet Ind Concurrent Scores'!X:X,0)),"")</f>
        <v>Novice Lady's Skeet Champion</v>
      </c>
      <c r="AN19" t="str">
        <f>IFERROR(INDEX('Skeet Ind Class Scores'!V:V,MATCH(A19,'Skeet Ind Class Scores'!T:T,0)),"")</f>
        <v>D Class Skeet Lady's Champion</v>
      </c>
      <c r="AO19" t="str">
        <f>IFERROR(INDEX('Skeet Team Scores'!AA:AA,MATCH(A19,'Skeet Team Scores'!AB:AB,0)),"")</f>
        <v>Novice Skeet Team 3rd</v>
      </c>
    </row>
    <row r="20" spans="1:41" x14ac:dyDescent="0.3">
      <c r="A20" t="s">
        <v>54</v>
      </c>
      <c r="B20" t="s">
        <v>78</v>
      </c>
      <c r="C20" t="s">
        <v>102</v>
      </c>
      <c r="D20" t="str">
        <f t="shared" si="0"/>
        <v>Jill Last Name18</v>
      </c>
      <c r="F20" s="1" t="s">
        <v>126</v>
      </c>
      <c r="G20" s="1" t="s">
        <v>325</v>
      </c>
      <c r="H20" s="1" t="s">
        <v>325</v>
      </c>
      <c r="I20" s="1" t="s">
        <v>325</v>
      </c>
      <c r="J20" s="10">
        <f>IF(G20="Y",'Tournament Setup'!$C$5,0)+IF(H20="Y",'Tournament Setup'!$C$6,0)+IF(I20="Y",'Tournament Setup'!$C$7,0)</f>
        <v>120</v>
      </c>
      <c r="K20" s="1"/>
      <c r="L20" t="s">
        <v>323</v>
      </c>
      <c r="M20" t="s">
        <v>120</v>
      </c>
      <c r="O20" s="123">
        <f t="shared" si="1"/>
        <v>90</v>
      </c>
      <c r="S20" s="1">
        <f>IFERROR(IF(INDEX('Shooter-Squad Assignment'!$M:$M,MATCH($A20,'Shooter-Squad Assignment'!$A:$A,0))="","",INDEX('Shooter-Squad Assignment'!$M:$M,MATCH($A20,'Shooter-Squad Assignment'!$A:$A,0))),"")</f>
        <v>172</v>
      </c>
      <c r="T20" s="1" t="str">
        <f>IFERROR(IF(INDEX('Shooter-Squad Assignment'!$N:$N,MATCH($A20,'Shooter-Squad Assignment'!$A:$A,0))="","",S20&amp;"-"&amp;INDEX('Shooter-Squad Assignment'!$N:$N,MATCH($A20,'Shooter-Squad Assignment'!$A:$A,0))),"")</f>
        <v>172-2</v>
      </c>
      <c r="U20" s="1" t="str">
        <f>IFERROR(IF(INDEX('Shooter-Squad Assignment'!$I:$I,MATCH($A20,'Shooter-Squad Assignment'!$A:$A,0))="","",IF(INDEX('Shooter-Squad Assignment'!$I:$I,MATCH($A20,'Shooter-Squad Assignment'!$A:$A,0))=1,S20&amp;"-"&amp;1,"")),"")</f>
        <v/>
      </c>
      <c r="V20" t="str">
        <f>IF(ISBLANK($S20),"",IFERROR(INDEX('Squad Listing'!$C:$C,MATCH($S20,'Squad Listing'!$A:$A,0)),""))</f>
        <v>Littleton Target Masters</v>
      </c>
      <c r="W20" t="str">
        <f>IF(ISBLANK($S20),"",IFERROR(INDEX('Squad Listing'!$D:$D,MATCH($S20,'Squad Listing'!$A:$A,0)),""))</f>
        <v>Collegiate</v>
      </c>
      <c r="X20" t="str">
        <f>IF(ISBLANK($S20),"",IFERROR(INDEX('Squad Listing'!$E:$E,MATCH($S20,'Squad Listing'!$A:$A,0)),""))</f>
        <v>Collegiate 1</v>
      </c>
      <c r="Y20" s="123" t="str">
        <f t="shared" si="2"/>
        <v/>
      </c>
      <c r="Z20" s="278">
        <f t="shared" si="3"/>
        <v>189</v>
      </c>
      <c r="AA20" s="278">
        <f>SUMIFS('Skeet Ind Concurrent Ranking'!L:L,'Skeet Ind Concurrent Ranking'!K:K,'Tournament List'!S40)</f>
        <v>4</v>
      </c>
      <c r="AB20" s="123">
        <f t="shared" si="4"/>
        <v>90</v>
      </c>
      <c r="AD20" s="1" t="s">
        <v>123</v>
      </c>
      <c r="AF20">
        <f t="shared" si="5"/>
        <v>7</v>
      </c>
      <c r="AG20" s="123">
        <f t="shared" si="6"/>
        <v>90</v>
      </c>
      <c r="AI20">
        <v>23</v>
      </c>
      <c r="AJ20">
        <v>24</v>
      </c>
      <c r="AK20">
        <v>22</v>
      </c>
      <c r="AL20">
        <v>21</v>
      </c>
      <c r="AM20" t="str">
        <f>IFERROR(INDEX('Skeet Ind Concurrent Scores'!Z:Z,MATCH(A20,'Skeet Ind Concurrent Scores'!X:X,0)),"")</f>
        <v>Collegiate Skeet Champion</v>
      </c>
      <c r="AN20" t="str">
        <f>IFERROR(INDEX('Skeet Ind Class Scores'!V:V,MATCH(A20,'Skeet Ind Class Scores'!T:T,0)),"")</f>
        <v>C Class Skeet Runner Up</v>
      </c>
      <c r="AO20" t="str">
        <f>IFERROR(INDEX('Skeet Team Scores'!AA:AA,MATCH(A20,'Skeet Team Scores'!AB:AB,0)),"")</f>
        <v>Collegiate Skeet Team Champion</v>
      </c>
    </row>
    <row r="21" spans="1:41" x14ac:dyDescent="0.3">
      <c r="A21" t="s">
        <v>55</v>
      </c>
      <c r="B21" t="s">
        <v>79</v>
      </c>
      <c r="C21" t="s">
        <v>103</v>
      </c>
      <c r="D21" t="str">
        <f t="shared" si="0"/>
        <v>Jack Last Name19</v>
      </c>
      <c r="F21" s="1" t="s">
        <v>125</v>
      </c>
      <c r="G21" s="1" t="s">
        <v>325</v>
      </c>
      <c r="H21" s="1" t="s">
        <v>325</v>
      </c>
      <c r="I21" s="1" t="s">
        <v>325</v>
      </c>
      <c r="J21" s="10">
        <f>IF(G21="Y",'Tournament Setup'!$C$5,0)+IF(H21="Y",'Tournament Setup'!$C$6,0)+IF(I21="Y",'Tournament Setup'!$C$7,0)</f>
        <v>120</v>
      </c>
      <c r="K21" s="1"/>
      <c r="L21" t="s">
        <v>307</v>
      </c>
      <c r="M21" t="s">
        <v>119</v>
      </c>
      <c r="O21" s="123">
        <f t="shared" si="1"/>
        <v>82</v>
      </c>
      <c r="S21" s="1">
        <f>IFERROR(IF(INDEX('Shooter-Squad Assignment'!$M:$M,MATCH($A21,'Shooter-Squad Assignment'!$A:$A,0))="","",INDEX('Shooter-Squad Assignment'!$M:$M,MATCH($A21,'Shooter-Squad Assignment'!$A:$A,0))),"")</f>
        <v>127</v>
      </c>
      <c r="T21" s="1" t="str">
        <f>IFERROR(IF(INDEX('Shooter-Squad Assignment'!$N:$N,MATCH($A21,'Shooter-Squad Assignment'!$A:$A,0))="","",S21&amp;"-"&amp;INDEX('Shooter-Squad Assignment'!$N:$N,MATCH($A21,'Shooter-Squad Assignment'!$A:$A,0))),"")</f>
        <v>127-1</v>
      </c>
      <c r="U21" s="1" t="str">
        <f>IFERROR(IF(INDEX('Shooter-Squad Assignment'!$I:$I,MATCH($A21,'Shooter-Squad Assignment'!$A:$A,0))="","",IF(INDEX('Shooter-Squad Assignment'!$I:$I,MATCH($A21,'Shooter-Squad Assignment'!$A:$A,0))=1,S21&amp;"-"&amp;1,"")),"")</f>
        <v>127-1</v>
      </c>
      <c r="V21" t="str">
        <f>IF(ISBLANK($S21),"",IFERROR(INDEX('Squad Listing'!$C:$C,MATCH($S21,'Squad Listing'!$A:$A,0)),""))</f>
        <v>High Plains Drifters</v>
      </c>
      <c r="W21" t="str">
        <f>IF(ISBLANK($S21),"",IFERROR(INDEX('Squad Listing'!$D:$D,MATCH($S21,'Squad Listing'!$A:$A,0)),""))</f>
        <v>Open</v>
      </c>
      <c r="X21" t="str">
        <f>IF(ISBLANK($S21),"",IFERROR(INDEX('Squad Listing'!$E:$E,MATCH($S21,'Squad Listing'!$A:$A,0)),""))</f>
        <v>Open 1</v>
      </c>
      <c r="Y21" s="123">
        <f t="shared" si="2"/>
        <v>239.1</v>
      </c>
      <c r="Z21" s="278">
        <f t="shared" si="3"/>
        <v>239.1</v>
      </c>
      <c r="AA21" s="278">
        <f>SUMIFS('Skeet Ind Concurrent Ranking'!L:L,'Skeet Ind Concurrent Ranking'!K:K,'Tournament List'!S41)</f>
        <v>9</v>
      </c>
      <c r="AB21" s="123">
        <f t="shared" si="4"/>
        <v>82</v>
      </c>
      <c r="AC21" s="10">
        <v>0.1</v>
      </c>
      <c r="AD21" s="1" t="s">
        <v>122</v>
      </c>
      <c r="AF21">
        <f t="shared" si="5"/>
        <v>16</v>
      </c>
      <c r="AG21" s="123">
        <f t="shared" si="6"/>
        <v>82.1</v>
      </c>
      <c r="AH21" s="123">
        <v>0.1</v>
      </c>
      <c r="AI21">
        <v>20</v>
      </c>
      <c r="AJ21">
        <v>21</v>
      </c>
      <c r="AK21">
        <v>21</v>
      </c>
      <c r="AL21">
        <v>20</v>
      </c>
      <c r="AM21" t="str">
        <f>IFERROR(INDEX('Skeet Ind Concurrent Scores'!Z:Z,MATCH(A21,'Skeet Ind Concurrent Scores'!X:X,0)),"")</f>
        <v>Varsity Skeet 3rd</v>
      </c>
      <c r="AN21" t="str">
        <f>IFERROR(INDEX('Skeet Ind Class Scores'!V:V,MATCH(A21,'Skeet Ind Class Scores'!T:T,0)),"")</f>
        <v/>
      </c>
      <c r="AO21" t="str">
        <f>IFERROR(INDEX('Skeet Team Scores'!AA:AA,MATCH(A21,'Skeet Team Scores'!AB:AB,0)),"")</f>
        <v>Open Skeet Team 3rd</v>
      </c>
    </row>
    <row r="22" spans="1:41" x14ac:dyDescent="0.3">
      <c r="A22" t="s">
        <v>56</v>
      </c>
      <c r="B22" t="s">
        <v>80</v>
      </c>
      <c r="C22" t="s">
        <v>104</v>
      </c>
      <c r="D22" t="str">
        <f t="shared" si="0"/>
        <v>Chris Last Name20</v>
      </c>
      <c r="F22" s="1" t="s">
        <v>125</v>
      </c>
      <c r="G22" s="1" t="s">
        <v>325</v>
      </c>
      <c r="H22" s="1" t="s">
        <v>325</v>
      </c>
      <c r="I22" s="1" t="s">
        <v>325</v>
      </c>
      <c r="J22" s="10">
        <f>IF(G22="Y",'Tournament Setup'!$C$5,0)+IF(H22="Y",'Tournament Setup'!$C$6,0)+IF(I22="Y",'Tournament Setup'!$C$7,0)</f>
        <v>120</v>
      </c>
      <c r="K22" s="1"/>
      <c r="L22" t="s">
        <v>319</v>
      </c>
      <c r="M22" t="s">
        <v>118</v>
      </c>
      <c r="O22" s="123">
        <f t="shared" si="1"/>
        <v>32</v>
      </c>
      <c r="S22" s="1" t="str">
        <f>IFERROR(IF(INDEX('Shooter-Squad Assignment'!$M:$M,MATCH($A22,'Shooter-Squad Assignment'!$A:$A,0))="","",INDEX('Shooter-Squad Assignment'!$M:$M,MATCH($A22,'Shooter-Squad Assignment'!$A:$A,0))),"")</f>
        <v/>
      </c>
      <c r="T22" s="1" t="str">
        <f>IFERROR(IF(INDEX('Shooter-Squad Assignment'!$N:$N,MATCH($A22,'Shooter-Squad Assignment'!$A:$A,0))="","",S22&amp;"-"&amp;INDEX('Shooter-Squad Assignment'!$N:$N,MATCH($A22,'Shooter-Squad Assignment'!$A:$A,0))),"")</f>
        <v/>
      </c>
      <c r="U22" s="1" t="str">
        <f>IFERROR(IF(INDEX('Shooter-Squad Assignment'!$I:$I,MATCH($A22,'Shooter-Squad Assignment'!$A:$A,0))="","",IF(INDEX('Shooter-Squad Assignment'!$I:$I,MATCH($A22,'Shooter-Squad Assignment'!$A:$A,0))=1,S22&amp;"-"&amp;1,"")),"")</f>
        <v/>
      </c>
      <c r="V22" t="str">
        <f>IF(ISBLANK($S22),"",IFERROR(INDEX('Squad Listing'!$C:$C,MATCH($S22,'Squad Listing'!$A:$A,0)),""))</f>
        <v/>
      </c>
      <c r="W22" t="str">
        <f>IF(ISBLANK($S22),"",IFERROR(INDEX('Squad Listing'!$D:$D,MATCH($S22,'Squad Listing'!$A:$A,0)),""))</f>
        <v/>
      </c>
      <c r="X22" t="str">
        <f>IF(ISBLANK($S22),"",IFERROR(INDEX('Squad Listing'!$E:$E,MATCH($S22,'Squad Listing'!$A:$A,0)),""))</f>
        <v/>
      </c>
      <c r="Y22" s="123" t="str">
        <f t="shared" si="2"/>
        <v/>
      </c>
      <c r="Z22" s="278">
        <f t="shared" si="3"/>
        <v>0</v>
      </c>
      <c r="AA22" s="278">
        <f>SUMIFS('Skeet Ind Concurrent Ranking'!L:L,'Skeet Ind Concurrent Ranking'!K:K,'Tournament List'!S42)</f>
        <v>12</v>
      </c>
      <c r="AB22" s="123">
        <f t="shared" si="4"/>
        <v>32</v>
      </c>
      <c r="AD22" s="1" t="s">
        <v>122</v>
      </c>
      <c r="AF22">
        <f t="shared" si="5"/>
        <v>46</v>
      </c>
      <c r="AG22" s="123">
        <f t="shared" si="6"/>
        <v>32.1</v>
      </c>
      <c r="AH22" s="123">
        <v>0.1</v>
      </c>
      <c r="AI22">
        <v>5</v>
      </c>
      <c r="AJ22">
        <v>8</v>
      </c>
      <c r="AK22">
        <v>9</v>
      </c>
      <c r="AL22">
        <v>10</v>
      </c>
      <c r="AM22" t="str">
        <f>IFERROR(INDEX('Skeet Ind Concurrent Scores'!Z:Z,MATCH(A22,'Skeet Ind Concurrent Scores'!X:X,0)),"")</f>
        <v>Jr Varsity Men's Skeet 3rd</v>
      </c>
      <c r="AN22" t="str">
        <f>IFERROR(INDEX('Skeet Ind Class Scores'!V:V,MATCH(A22,'Skeet Ind Class Scores'!T:T,0)),"")</f>
        <v/>
      </c>
      <c r="AO22" t="str">
        <f>IFERROR(INDEX('Skeet Team Scores'!AA:AA,MATCH(A22,'Skeet Team Scores'!AB:AB,0)),"")</f>
        <v/>
      </c>
    </row>
    <row r="23" spans="1:41" x14ac:dyDescent="0.3">
      <c r="A23" t="s">
        <v>57</v>
      </c>
      <c r="B23" t="s">
        <v>81</v>
      </c>
      <c r="C23" t="s">
        <v>105</v>
      </c>
      <c r="D23" t="str">
        <f t="shared" si="0"/>
        <v>Nathan Last Name21</v>
      </c>
      <c r="F23" s="1" t="s">
        <v>125</v>
      </c>
      <c r="G23" s="1" t="s">
        <v>325</v>
      </c>
      <c r="H23" s="1" t="s">
        <v>325</v>
      </c>
      <c r="I23" s="1" t="s">
        <v>325</v>
      </c>
      <c r="J23" s="10">
        <f>IF(G23="Y",'Tournament Setup'!$C$5,0)+IF(H23="Y",'Tournament Setup'!$C$6,0)+IF(I23="Y",'Tournament Setup'!$C$7,0)</f>
        <v>120</v>
      </c>
      <c r="K23" s="1"/>
      <c r="L23" t="s">
        <v>320</v>
      </c>
      <c r="M23" t="s">
        <v>116</v>
      </c>
      <c r="O23" s="123">
        <f t="shared" si="1"/>
        <v>72</v>
      </c>
      <c r="S23" s="1">
        <f>IFERROR(IF(INDEX('Shooter-Squad Assignment'!$M:$M,MATCH($A23,'Shooter-Squad Assignment'!$A:$A,0))="","",INDEX('Shooter-Squad Assignment'!$M:$M,MATCH($A23,'Shooter-Squad Assignment'!$A:$A,0))),"")</f>
        <v>295</v>
      </c>
      <c r="T23" s="1" t="str">
        <f>IFERROR(IF(INDEX('Shooter-Squad Assignment'!$N:$N,MATCH($A23,'Shooter-Squad Assignment'!$A:$A,0))="","",S23&amp;"-"&amp;INDEX('Shooter-Squad Assignment'!$N:$N,MATCH($A23,'Shooter-Squad Assignment'!$A:$A,0))),"")</f>
        <v>295-2</v>
      </c>
      <c r="U23" s="1" t="str">
        <f>IFERROR(IF(INDEX('Shooter-Squad Assignment'!$I:$I,MATCH($A23,'Shooter-Squad Assignment'!$A:$A,0))="","",IF(INDEX('Shooter-Squad Assignment'!$I:$I,MATCH($A23,'Shooter-Squad Assignment'!$A:$A,0))=1,S23&amp;"-"&amp;1,"")),"")</f>
        <v/>
      </c>
      <c r="V23" t="str">
        <f>IF(ISBLANK($S23),"",IFERROR(INDEX('Squad Listing'!$C:$C,MATCH($S23,'Squad Listing'!$A:$A,0)),""))</f>
        <v>Wiggins Tigers Sporting Club</v>
      </c>
      <c r="W23" t="str">
        <f>IF(ISBLANK($S23),"",IFERROR(INDEX('Squad Listing'!$D:$D,MATCH($S23,'Squad Listing'!$A:$A,0)),""))</f>
        <v>Novice</v>
      </c>
      <c r="X23" t="str">
        <f>IF(ISBLANK($S23),"",IFERROR(INDEX('Squad Listing'!$E:$E,MATCH($S23,'Squad Listing'!$A:$A,0)),""))</f>
        <v>Novice 1</v>
      </c>
      <c r="Y23" s="123" t="str">
        <f t="shared" si="2"/>
        <v/>
      </c>
      <c r="Z23" s="278">
        <f t="shared" si="3"/>
        <v>199</v>
      </c>
      <c r="AA23" s="278">
        <f>SUMIFS('Skeet Ind Concurrent Ranking'!L:L,'Skeet Ind Concurrent Ranking'!K:K,'Tournament List'!S43)</f>
        <v>0</v>
      </c>
      <c r="AB23" s="123">
        <f t="shared" si="4"/>
        <v>72</v>
      </c>
      <c r="AD23" s="1" t="s">
        <v>123</v>
      </c>
      <c r="AF23">
        <f t="shared" si="5"/>
        <v>22</v>
      </c>
      <c r="AG23" s="123">
        <f t="shared" si="6"/>
        <v>72.2</v>
      </c>
      <c r="AH23" s="123">
        <v>0.2</v>
      </c>
      <c r="AI23">
        <v>14</v>
      </c>
      <c r="AJ23">
        <v>17</v>
      </c>
      <c r="AK23">
        <v>20</v>
      </c>
      <c r="AL23">
        <v>21</v>
      </c>
      <c r="AM23" t="str">
        <f>IFERROR(INDEX('Skeet Ind Concurrent Scores'!Z:Z,MATCH(A23,'Skeet Ind Concurrent Scores'!X:X,0)),"")</f>
        <v>Novice Men's Skeet Champion</v>
      </c>
      <c r="AN23" t="str">
        <f>IFERROR(INDEX('Skeet Ind Class Scores'!V:V,MATCH(A23,'Skeet Ind Class Scores'!T:T,0)),"")</f>
        <v>C Class Skeet Men's Runner Up</v>
      </c>
      <c r="AO23" t="str">
        <f>IFERROR(INDEX('Skeet Team Scores'!AA:AA,MATCH(A23,'Skeet Team Scores'!AB:AB,0)),"")</f>
        <v>Novice Skeet Team 3rd</v>
      </c>
    </row>
    <row r="24" spans="1:41" x14ac:dyDescent="0.3">
      <c r="A24" t="s">
        <v>58</v>
      </c>
      <c r="B24" t="s">
        <v>82</v>
      </c>
      <c r="C24" t="s">
        <v>106</v>
      </c>
      <c r="D24" t="str">
        <f t="shared" si="0"/>
        <v>Steve Last Name22</v>
      </c>
      <c r="F24" s="1" t="s">
        <v>125</v>
      </c>
      <c r="G24" s="1" t="s">
        <v>325</v>
      </c>
      <c r="H24" s="1" t="s">
        <v>325</v>
      </c>
      <c r="I24" s="1" t="s">
        <v>325</v>
      </c>
      <c r="J24" s="10">
        <f>IF(G24="Y",'Tournament Setup'!$C$5,0)+IF(H24="Y",'Tournament Setup'!$C$6,0)+IF(I24="Y",'Tournament Setup'!$C$7,0)</f>
        <v>120</v>
      </c>
      <c r="K24" s="1"/>
      <c r="L24" t="s">
        <v>321</v>
      </c>
      <c r="M24" t="s">
        <v>117</v>
      </c>
      <c r="O24" s="123">
        <f t="shared" si="1"/>
        <v>70</v>
      </c>
      <c r="S24" s="1">
        <f>IFERROR(IF(INDEX('Shooter-Squad Assignment'!$M:$M,MATCH($A24,'Shooter-Squad Assignment'!$A:$A,0))="","",INDEX('Shooter-Squad Assignment'!$M:$M,MATCH($A24,'Shooter-Squad Assignment'!$A:$A,0))),"")</f>
        <v>61</v>
      </c>
      <c r="T24" s="1" t="str">
        <f>IFERROR(IF(INDEX('Shooter-Squad Assignment'!$N:$N,MATCH($A24,'Shooter-Squad Assignment'!$A:$A,0))="","",S24&amp;"-"&amp;INDEX('Shooter-Squad Assignment'!$N:$N,MATCH($A24,'Shooter-Squad Assignment'!$A:$A,0))),"")</f>
        <v>61-2</v>
      </c>
      <c r="U24" s="1" t="str">
        <f>IFERROR(IF(INDEX('Shooter-Squad Assignment'!$I:$I,MATCH($A24,'Shooter-Squad Assignment'!$A:$A,0))="","",IF(INDEX('Shooter-Squad Assignment'!$I:$I,MATCH($A24,'Shooter-Squad Assignment'!$A:$A,0))=1,S24&amp;"-"&amp;1,"")),"")</f>
        <v/>
      </c>
      <c r="V24" t="str">
        <f>IF(ISBLANK($S24),"",IFERROR(INDEX('Squad Listing'!$C:$C,MATCH($S24,'Squad Listing'!$A:$A,0)),""))</f>
        <v>Forge Christian Shooting Team</v>
      </c>
      <c r="W24" t="str">
        <f>IF(ISBLANK($S24),"",IFERROR(INDEX('Squad Listing'!$D:$D,MATCH($S24,'Squad Listing'!$A:$A,0)),""))</f>
        <v>Intermediate</v>
      </c>
      <c r="X24" t="str">
        <f>IF(ISBLANK($S24),"",IFERROR(INDEX('Squad Listing'!$E:$E,MATCH($S24,'Squad Listing'!$A:$A,0)),""))</f>
        <v>Intermediate 1</v>
      </c>
      <c r="Y24" s="123" t="str">
        <f t="shared" si="2"/>
        <v/>
      </c>
      <c r="Z24" s="278">
        <f t="shared" si="3"/>
        <v>231</v>
      </c>
      <c r="AA24" s="278">
        <f>SUMIFS('Skeet Ind Concurrent Ranking'!L:L,'Skeet Ind Concurrent Ranking'!K:K,'Tournament List'!S44)</f>
        <v>11</v>
      </c>
      <c r="AB24" s="123">
        <f t="shared" si="4"/>
        <v>70</v>
      </c>
      <c r="AD24" s="1" t="s">
        <v>123</v>
      </c>
      <c r="AF24">
        <f t="shared" si="5"/>
        <v>26</v>
      </c>
      <c r="AG24" s="123">
        <f t="shared" si="6"/>
        <v>70</v>
      </c>
      <c r="AI24">
        <v>21</v>
      </c>
      <c r="AJ24">
        <v>20</v>
      </c>
      <c r="AK24">
        <v>15</v>
      </c>
      <c r="AL24">
        <v>14</v>
      </c>
      <c r="AM24" t="str">
        <f>IFERROR(INDEX('Skeet Ind Concurrent Scores'!Z:Z,MATCH(A24,'Skeet Ind Concurrent Scores'!X:X,0)),"")</f>
        <v>Intermediate Men's Skeet Champion</v>
      </c>
      <c r="AN24" t="str">
        <f>IFERROR(INDEX('Skeet Ind Class Scores'!V:V,MATCH(A24,'Skeet Ind Class Scores'!T:T,0)),"")</f>
        <v/>
      </c>
      <c r="AO24" t="str">
        <f>IFERROR(INDEX('Skeet Team Scores'!AA:AA,MATCH(A24,'Skeet Team Scores'!AB:AB,0)),"")</f>
        <v>Intermediate Skeet Team Runner Up</v>
      </c>
    </row>
    <row r="25" spans="1:41" x14ac:dyDescent="0.3">
      <c r="A25" t="s">
        <v>59</v>
      </c>
      <c r="B25" t="s">
        <v>83</v>
      </c>
      <c r="C25" t="s">
        <v>107</v>
      </c>
      <c r="D25" t="str">
        <f t="shared" si="0"/>
        <v>Tom Last Name23</v>
      </c>
      <c r="F25" s="1" t="s">
        <v>125</v>
      </c>
      <c r="G25" s="1" t="s">
        <v>325</v>
      </c>
      <c r="H25" s="1" t="s">
        <v>325</v>
      </c>
      <c r="I25" s="1" t="s">
        <v>325</v>
      </c>
      <c r="J25" s="10">
        <f>IF(G25="Y",'Tournament Setup'!$C$5,0)+IF(H25="Y",'Tournament Setup'!$C$6,0)+IF(I25="Y",'Tournament Setup'!$C$7,0)</f>
        <v>120</v>
      </c>
      <c r="K25" s="1"/>
      <c r="L25" t="s">
        <v>322</v>
      </c>
      <c r="M25" t="s">
        <v>118</v>
      </c>
      <c r="O25" s="123">
        <f t="shared" si="1"/>
        <v>61</v>
      </c>
      <c r="S25" s="1">
        <f>IFERROR(IF(INDEX('Shooter-Squad Assignment'!$M:$M,MATCH($A25,'Shooter-Squad Assignment'!$A:$A,0))="","",INDEX('Shooter-Squad Assignment'!$M:$M,MATCH($A25,'Shooter-Squad Assignment'!$A:$A,0))),"")</f>
        <v>7</v>
      </c>
      <c r="T25" s="1" t="str">
        <f>IFERROR(IF(INDEX('Shooter-Squad Assignment'!$N:$N,MATCH($A25,'Shooter-Squad Assignment'!$A:$A,0))="","",S25&amp;"-"&amp;INDEX('Shooter-Squad Assignment'!$N:$N,MATCH($A25,'Shooter-Squad Assignment'!$A:$A,0))),"")</f>
        <v>7-1</v>
      </c>
      <c r="U25" s="1" t="str">
        <f>IFERROR(IF(INDEX('Shooter-Squad Assignment'!$I:$I,MATCH($A25,'Shooter-Squad Assignment'!$A:$A,0))="","",IF(INDEX('Shooter-Squad Assignment'!$I:$I,MATCH($A25,'Shooter-Squad Assignment'!$A:$A,0))=1,S25&amp;"-"&amp;1,"")),"")</f>
        <v>7-1</v>
      </c>
      <c r="V25" t="str">
        <f>IF(ISBLANK($S25),"",IFERROR(INDEX('Squad Listing'!$C:$C,MATCH($S25,'Squad Listing'!$A:$A,0)),""))</f>
        <v>Brighton Clay Crushers</v>
      </c>
      <c r="W25" t="str">
        <f>IF(ISBLANK($S25),"",IFERROR(INDEX('Squad Listing'!$D:$D,MATCH($S25,'Squad Listing'!$A:$A,0)),""))</f>
        <v>Junior Varsity</v>
      </c>
      <c r="X25" t="str">
        <f>IF(ISBLANK($S25),"",IFERROR(INDEX('Squad Listing'!$E:$E,MATCH($S25,'Squad Listing'!$A:$A,0)),""))</f>
        <v>Junior Varsity 1</v>
      </c>
      <c r="Y25" s="123">
        <f t="shared" si="2"/>
        <v>239.2</v>
      </c>
      <c r="Z25" s="278">
        <f t="shared" si="3"/>
        <v>239.2</v>
      </c>
      <c r="AA25" s="278">
        <f>SUMIFS('Skeet Ind Concurrent Ranking'!L:L,'Skeet Ind Concurrent Ranking'!K:K,'Tournament List'!S45)</f>
        <v>1</v>
      </c>
      <c r="AB25" s="123">
        <f t="shared" si="4"/>
        <v>61</v>
      </c>
      <c r="AC25" s="10">
        <v>0.2</v>
      </c>
      <c r="AD25" s="1" t="s">
        <v>123</v>
      </c>
      <c r="AF25">
        <f t="shared" si="5"/>
        <v>34</v>
      </c>
      <c r="AG25" s="123">
        <f t="shared" si="6"/>
        <v>61</v>
      </c>
      <c r="AI25">
        <v>20</v>
      </c>
      <c r="AJ25">
        <v>12</v>
      </c>
      <c r="AK25">
        <v>14</v>
      </c>
      <c r="AL25">
        <v>15</v>
      </c>
      <c r="AM25" t="str">
        <f>IFERROR(INDEX('Skeet Ind Concurrent Scores'!Z:Z,MATCH(A25,'Skeet Ind Concurrent Scores'!X:X,0)),"")</f>
        <v>Jr Varsity Men's Skeet Runner Up</v>
      </c>
      <c r="AN25" t="str">
        <f>IFERROR(INDEX('Skeet Ind Class Scores'!V:V,MATCH(A25,'Skeet Ind Class Scores'!T:T,0)),"")</f>
        <v/>
      </c>
      <c r="AO25" t="str">
        <f>IFERROR(INDEX('Skeet Team Scores'!AA:AA,MATCH(A25,'Skeet Team Scores'!AB:AB,0)),"")</f>
        <v>Junior Varsity Skeet Team Champion</v>
      </c>
    </row>
    <row r="26" spans="1:41" x14ac:dyDescent="0.3">
      <c r="A26" t="s">
        <v>60</v>
      </c>
      <c r="B26" t="s">
        <v>84</v>
      </c>
      <c r="C26" t="s">
        <v>108</v>
      </c>
      <c r="D26" t="str">
        <f t="shared" si="0"/>
        <v>Tim Last Name24</v>
      </c>
      <c r="F26" s="1" t="s">
        <v>125</v>
      </c>
      <c r="G26" s="1" t="s">
        <v>325</v>
      </c>
      <c r="H26" s="1" t="s">
        <v>325</v>
      </c>
      <c r="I26" s="1" t="s">
        <v>325</v>
      </c>
      <c r="J26" s="10">
        <f>IF(G26="Y",'Tournament Setup'!$C$5,0)+IF(H26="Y",'Tournament Setup'!$C$6,0)+IF(I26="Y",'Tournament Setup'!$C$7,0)</f>
        <v>120</v>
      </c>
      <c r="K26" s="1"/>
      <c r="L26" t="s">
        <v>323</v>
      </c>
      <c r="M26" t="s">
        <v>116</v>
      </c>
      <c r="O26" s="123">
        <f t="shared" si="1"/>
        <v>70</v>
      </c>
      <c r="S26" s="1" t="str">
        <f>IFERROR(IF(INDEX('Shooter-Squad Assignment'!$M:$M,MATCH($A26,'Shooter-Squad Assignment'!$A:$A,0))="","",INDEX('Shooter-Squad Assignment'!$M:$M,MATCH($A26,'Shooter-Squad Assignment'!$A:$A,0))),"")</f>
        <v/>
      </c>
      <c r="T26" s="1" t="str">
        <f>IFERROR(IF(INDEX('Shooter-Squad Assignment'!$N:$N,MATCH($A26,'Shooter-Squad Assignment'!$A:$A,0))="","",S26&amp;"-"&amp;INDEX('Shooter-Squad Assignment'!$N:$N,MATCH($A26,'Shooter-Squad Assignment'!$A:$A,0))),"")</f>
        <v/>
      </c>
      <c r="U26" s="1" t="str">
        <f>IFERROR(IF(INDEX('Shooter-Squad Assignment'!$I:$I,MATCH($A26,'Shooter-Squad Assignment'!$A:$A,0))="","",IF(INDEX('Shooter-Squad Assignment'!$I:$I,MATCH($A26,'Shooter-Squad Assignment'!$A:$A,0))=1,S26&amp;"-"&amp;1,"")),"")</f>
        <v/>
      </c>
      <c r="V26" t="str">
        <f>IF(ISBLANK($S26),"",IFERROR(INDEX('Squad Listing'!$C:$C,MATCH($S26,'Squad Listing'!$A:$A,0)),""))</f>
        <v/>
      </c>
      <c r="W26" t="str">
        <f>IF(ISBLANK($S26),"",IFERROR(INDEX('Squad Listing'!$D:$D,MATCH($S26,'Squad Listing'!$A:$A,0)),""))</f>
        <v/>
      </c>
      <c r="X26" t="str">
        <f>IF(ISBLANK($S26),"",IFERROR(INDEX('Squad Listing'!$E:$E,MATCH($S26,'Squad Listing'!$A:$A,0)),""))</f>
        <v/>
      </c>
      <c r="Y26" s="123" t="str">
        <f t="shared" si="2"/>
        <v/>
      </c>
      <c r="Z26" s="278">
        <f t="shared" si="3"/>
        <v>0</v>
      </c>
      <c r="AA26" s="278">
        <f>SUMIFS('Skeet Ind Concurrent Ranking'!L:L,'Skeet Ind Concurrent Ranking'!K:K,'Tournament List'!S46)</f>
        <v>10</v>
      </c>
      <c r="AB26" s="123">
        <f t="shared" si="4"/>
        <v>70</v>
      </c>
      <c r="AD26" s="1" t="s">
        <v>122</v>
      </c>
      <c r="AF26">
        <f t="shared" si="5"/>
        <v>26</v>
      </c>
      <c r="AG26" s="123">
        <f t="shared" si="6"/>
        <v>70</v>
      </c>
      <c r="AI26">
        <v>15</v>
      </c>
      <c r="AJ26">
        <v>17</v>
      </c>
      <c r="AK26">
        <v>18</v>
      </c>
      <c r="AL26">
        <v>20</v>
      </c>
      <c r="AM26" t="str">
        <f>IFERROR(INDEX('Skeet Ind Concurrent Scores'!Z:Z,MATCH(A26,'Skeet Ind Concurrent Scores'!X:X,0)),"")</f>
        <v>Novice Men's Skeet Runner Up</v>
      </c>
      <c r="AN26" t="str">
        <f>IFERROR(INDEX('Skeet Ind Class Scores'!V:V,MATCH(A26,'Skeet Ind Class Scores'!T:T,0)),"")</f>
        <v/>
      </c>
      <c r="AO26" t="str">
        <f>IFERROR(INDEX('Skeet Team Scores'!AA:AA,MATCH(A26,'Skeet Team Scores'!AB:AB,0)),"")</f>
        <v/>
      </c>
    </row>
    <row r="27" spans="1:41" x14ac:dyDescent="0.3">
      <c r="A27" t="s">
        <v>181</v>
      </c>
      <c r="B27" t="s">
        <v>204</v>
      </c>
      <c r="C27" t="s">
        <v>227</v>
      </c>
      <c r="D27" t="str">
        <f t="shared" si="0"/>
        <v>Harry Last Name25</v>
      </c>
      <c r="F27" s="1" t="s">
        <v>125</v>
      </c>
      <c r="G27" s="1" t="s">
        <v>325</v>
      </c>
      <c r="H27" s="1" t="s">
        <v>325</v>
      </c>
      <c r="I27" s="1" t="s">
        <v>325</v>
      </c>
      <c r="J27" s="10">
        <f>IF(G27="Y",'Tournament Setup'!$C$5,0)+IF(H27="Y",'Tournament Setup'!$C$6,0)+IF(I27="Y",'Tournament Setup'!$C$7,0)</f>
        <v>120</v>
      </c>
      <c r="K27" s="1"/>
      <c r="L27" t="s">
        <v>307</v>
      </c>
      <c r="M27" t="s">
        <v>119</v>
      </c>
      <c r="O27" s="123">
        <f t="shared" si="1"/>
        <v>72</v>
      </c>
      <c r="S27" s="1">
        <f>IFERROR(IF(INDEX('Shooter-Squad Assignment'!$M:$M,MATCH($A27,'Shooter-Squad Assignment'!$A:$A,0))="","",INDEX('Shooter-Squad Assignment'!$M:$M,MATCH($A27,'Shooter-Squad Assignment'!$A:$A,0))),"")</f>
        <v>127</v>
      </c>
      <c r="T27" s="1" t="str">
        <f>IFERROR(IF(INDEX('Shooter-Squad Assignment'!$N:$N,MATCH($A27,'Shooter-Squad Assignment'!$A:$A,0))="","",S27&amp;"-"&amp;INDEX('Shooter-Squad Assignment'!$N:$N,MATCH($A27,'Shooter-Squad Assignment'!$A:$A,0))),"")</f>
        <v>127-2</v>
      </c>
      <c r="U27" s="1" t="str">
        <f>IFERROR(IF(INDEX('Shooter-Squad Assignment'!$I:$I,MATCH($A27,'Shooter-Squad Assignment'!$A:$A,0))="","",IF(INDEX('Shooter-Squad Assignment'!$I:$I,MATCH($A27,'Shooter-Squad Assignment'!$A:$A,0))=1,S27&amp;"-"&amp;1,"")),"")</f>
        <v/>
      </c>
      <c r="V27" t="str">
        <f>IF(ISBLANK($S27),"",IFERROR(INDEX('Squad Listing'!$C:$C,MATCH($S27,'Squad Listing'!$A:$A,0)),""))</f>
        <v>High Plains Drifters</v>
      </c>
      <c r="W27" t="str">
        <f>IF(ISBLANK($S27),"",IFERROR(INDEX('Squad Listing'!$D:$D,MATCH($S27,'Squad Listing'!$A:$A,0)),""))</f>
        <v>Open</v>
      </c>
      <c r="X27" t="str">
        <f>IF(ISBLANK($S27),"",IFERROR(INDEX('Squad Listing'!$E:$E,MATCH($S27,'Squad Listing'!$A:$A,0)),""))</f>
        <v>Open 1</v>
      </c>
      <c r="Y27" s="123" t="str">
        <f t="shared" si="2"/>
        <v/>
      </c>
      <c r="Z27" s="278">
        <f t="shared" si="3"/>
        <v>239.1</v>
      </c>
      <c r="AA27" s="278">
        <f>SUMIFS('Skeet Ind Concurrent Ranking'!L:L,'Skeet Ind Concurrent Ranking'!K:K,'Tournament List'!S47)</f>
        <v>7</v>
      </c>
      <c r="AB27" s="123">
        <f t="shared" si="4"/>
        <v>72</v>
      </c>
      <c r="AD27" s="1" t="s">
        <v>122</v>
      </c>
      <c r="AF27">
        <f t="shared" si="5"/>
        <v>25</v>
      </c>
      <c r="AG27" s="123">
        <f t="shared" si="6"/>
        <v>72</v>
      </c>
      <c r="AI27">
        <v>20</v>
      </c>
      <c r="AJ27">
        <v>17</v>
      </c>
      <c r="AK27">
        <v>19</v>
      </c>
      <c r="AL27">
        <v>16</v>
      </c>
      <c r="AM27" t="str">
        <f>IFERROR(INDEX('Skeet Ind Concurrent Scores'!Z:Z,MATCH(A27,'Skeet Ind Concurrent Scores'!X:X,0)),"")</f>
        <v>Varsity Men's Skeet Champion</v>
      </c>
      <c r="AN27" t="str">
        <f>IFERROR(INDEX('Skeet Ind Class Scores'!V:V,MATCH(A27,'Skeet Ind Class Scores'!T:T,0)),"")</f>
        <v/>
      </c>
      <c r="AO27" t="str">
        <f>IFERROR(INDEX('Skeet Team Scores'!AA:AA,MATCH(A27,'Skeet Team Scores'!AB:AB,0)),"")</f>
        <v>Open Skeet Team 3rd</v>
      </c>
    </row>
    <row r="28" spans="1:41" x14ac:dyDescent="0.3">
      <c r="A28" t="s">
        <v>182</v>
      </c>
      <c r="B28" t="s">
        <v>205</v>
      </c>
      <c r="C28" t="s">
        <v>228</v>
      </c>
      <c r="D28" t="str">
        <f t="shared" si="0"/>
        <v>Gary Last Name26</v>
      </c>
      <c r="F28" s="1" t="s">
        <v>125</v>
      </c>
      <c r="G28" s="1" t="s">
        <v>325</v>
      </c>
      <c r="H28" s="1" t="s">
        <v>325</v>
      </c>
      <c r="I28" s="1" t="s">
        <v>325</v>
      </c>
      <c r="J28" s="10">
        <f>IF(G28="Y",'Tournament Setup'!$C$5,0)+IF(H28="Y",'Tournament Setup'!$C$6,0)+IF(I28="Y",'Tournament Setup'!$C$7,0)</f>
        <v>120</v>
      </c>
      <c r="K28" s="1"/>
      <c r="L28" t="s">
        <v>319</v>
      </c>
      <c r="M28" t="s">
        <v>118</v>
      </c>
      <c r="O28" s="123">
        <f t="shared" si="1"/>
        <v>86</v>
      </c>
      <c r="S28" s="1">
        <f>IFERROR(IF(INDEX('Shooter-Squad Assignment'!$M:$M,MATCH($A28,'Shooter-Squad Assignment'!$A:$A,0))="","",INDEX('Shooter-Squad Assignment'!$M:$M,MATCH($A28,'Shooter-Squad Assignment'!$A:$A,0))),"")</f>
        <v>235</v>
      </c>
      <c r="T28" s="1" t="str">
        <f>IFERROR(IF(INDEX('Shooter-Squad Assignment'!$N:$N,MATCH($A28,'Shooter-Squad Assignment'!$A:$A,0))="","",S28&amp;"-"&amp;INDEX('Shooter-Squad Assignment'!$N:$N,MATCH($A28,'Shooter-Squad Assignment'!$A:$A,0))),"")</f>
        <v>235-1</v>
      </c>
      <c r="U28" s="1" t="str">
        <f>IFERROR(IF(INDEX('Shooter-Squad Assignment'!$I:$I,MATCH($A28,'Shooter-Squad Assignment'!$A:$A,0))="","",IF(INDEX('Shooter-Squad Assignment'!$I:$I,MATCH($A28,'Shooter-Squad Assignment'!$A:$A,0))=1,S28&amp;"-"&amp;1,"")),"")</f>
        <v>235-1</v>
      </c>
      <c r="V28" t="str">
        <f>IF(ISBLANK($S28),"",IFERROR(INDEX('Squad Listing'!$C:$C,MATCH($S28,'Squad Listing'!$A:$A,0)),""))</f>
        <v>Rocky Mountain Clay Busters</v>
      </c>
      <c r="W28" t="str">
        <f>IF(ISBLANK($S28),"",IFERROR(INDEX('Squad Listing'!$D:$D,MATCH($S28,'Squad Listing'!$A:$A,0)),""))</f>
        <v>Junior Varsity</v>
      </c>
      <c r="X28" t="str">
        <f>IF(ISBLANK($S28),"",IFERROR(INDEX('Squad Listing'!$E:$E,MATCH($S28,'Squad Listing'!$A:$A,0)),""))</f>
        <v>Junior Varsity 1</v>
      </c>
      <c r="Y28" s="123">
        <f t="shared" si="2"/>
        <v>239</v>
      </c>
      <c r="Z28" s="278">
        <f t="shared" si="3"/>
        <v>239</v>
      </c>
      <c r="AA28" s="278">
        <f>SUMIFS('Skeet Ind Concurrent Ranking'!L:L,'Skeet Ind Concurrent Ranking'!K:K,'Tournament List'!S48)</f>
        <v>12</v>
      </c>
      <c r="AB28" s="123">
        <f t="shared" si="4"/>
        <v>86</v>
      </c>
      <c r="AD28" s="1" t="s">
        <v>122</v>
      </c>
      <c r="AF28">
        <f t="shared" si="5"/>
        <v>12</v>
      </c>
      <c r="AG28" s="123">
        <f t="shared" si="6"/>
        <v>86</v>
      </c>
      <c r="AI28">
        <v>23</v>
      </c>
      <c r="AJ28">
        <v>21</v>
      </c>
      <c r="AK28">
        <v>22</v>
      </c>
      <c r="AL28">
        <v>20</v>
      </c>
      <c r="AM28" t="str">
        <f>IFERROR(INDEX('Skeet Ind Concurrent Scores'!Z:Z,MATCH(A28,'Skeet Ind Concurrent Scores'!X:X,0)),"")</f>
        <v>HOA Men's Skeet 3rd</v>
      </c>
      <c r="AN28" t="str">
        <f>IFERROR(INDEX('Skeet Ind Class Scores'!V:V,MATCH(A28,'Skeet Ind Class Scores'!T:T,0)),"")</f>
        <v>B Class Skeet Men's 3rd</v>
      </c>
      <c r="AO28" t="str">
        <f>IFERROR(INDEX('Skeet Team Scores'!AA:AA,MATCH(A28,'Skeet Team Scores'!AB:AB,0)),"")</f>
        <v>Junior Varsity Skeet Team Runner Up</v>
      </c>
    </row>
    <row r="29" spans="1:41" x14ac:dyDescent="0.3">
      <c r="A29" t="s">
        <v>183</v>
      </c>
      <c r="B29" t="s">
        <v>206</v>
      </c>
      <c r="C29" t="s">
        <v>229</v>
      </c>
      <c r="D29" t="str">
        <f t="shared" si="0"/>
        <v>Becky Last Name27</v>
      </c>
      <c r="F29" s="1" t="s">
        <v>126</v>
      </c>
      <c r="G29" s="1" t="s">
        <v>325</v>
      </c>
      <c r="H29" s="1" t="s">
        <v>325</v>
      </c>
      <c r="I29" s="1" t="s">
        <v>325</v>
      </c>
      <c r="J29" s="10">
        <f>IF(G29="Y",'Tournament Setup'!$C$5,0)+IF(H29="Y",'Tournament Setup'!$C$6,0)+IF(I29="Y",'Tournament Setup'!$C$7,0)</f>
        <v>120</v>
      </c>
      <c r="K29" s="1"/>
      <c r="L29" t="s">
        <v>320</v>
      </c>
      <c r="M29" t="s">
        <v>120</v>
      </c>
      <c r="O29" s="123">
        <f t="shared" si="1"/>
        <v>45</v>
      </c>
      <c r="S29" s="1">
        <f>IFERROR(IF(INDEX('Shooter-Squad Assignment'!$M:$M,MATCH($A29,'Shooter-Squad Assignment'!$A:$A,0))="","",INDEX('Shooter-Squad Assignment'!$M:$M,MATCH($A29,'Shooter-Squad Assignment'!$A:$A,0))),"")</f>
        <v>286</v>
      </c>
      <c r="T29" s="1" t="str">
        <f>IFERROR(IF(INDEX('Shooter-Squad Assignment'!$N:$N,MATCH($A29,'Shooter-Squad Assignment'!$A:$A,0))="","",S29&amp;"-"&amp;INDEX('Shooter-Squad Assignment'!$N:$N,MATCH($A29,'Shooter-Squad Assignment'!$A:$A,0))),"")</f>
        <v>286-2</v>
      </c>
      <c r="U29" s="1" t="str">
        <f>IFERROR(IF(INDEX('Shooter-Squad Assignment'!$I:$I,MATCH($A29,'Shooter-Squad Assignment'!$A:$A,0))="","",IF(INDEX('Shooter-Squad Assignment'!$I:$I,MATCH($A29,'Shooter-Squad Assignment'!$A:$A,0))=1,S29&amp;"-"&amp;1,"")),"")</f>
        <v/>
      </c>
      <c r="V29" t="str">
        <f>IF(ISBLANK($S29),"",IFERROR(INDEX('Squad Listing'!$C:$C,MATCH($S29,'Squad Listing'!$A:$A,0)),""))</f>
        <v>Wiggins Tigers Sporting Club</v>
      </c>
      <c r="W29" t="str">
        <f>IF(ISBLANK($S29),"",IFERROR(INDEX('Squad Listing'!$D:$D,MATCH($S29,'Squad Listing'!$A:$A,0)),""))</f>
        <v>Collegiate</v>
      </c>
      <c r="X29" t="str">
        <f>IF(ISBLANK($S29),"",IFERROR(INDEX('Squad Listing'!$E:$E,MATCH($S29,'Squad Listing'!$A:$A,0)),""))</f>
        <v>Collegiate 1</v>
      </c>
      <c r="Y29" s="123" t="str">
        <f t="shared" si="2"/>
        <v/>
      </c>
      <c r="Z29" s="278">
        <f t="shared" si="3"/>
        <v>177.1</v>
      </c>
      <c r="AA29" s="278">
        <f>SUMIFS('Skeet Ind Concurrent Ranking'!L:L,'Skeet Ind Concurrent Ranking'!K:K,'Tournament List'!S49)</f>
        <v>6</v>
      </c>
      <c r="AB29" s="123">
        <f t="shared" si="4"/>
        <v>45</v>
      </c>
      <c r="AD29" s="1" t="s">
        <v>123</v>
      </c>
      <c r="AF29">
        <f t="shared" si="5"/>
        <v>43</v>
      </c>
      <c r="AG29" s="123">
        <f t="shared" si="6"/>
        <v>45</v>
      </c>
      <c r="AI29">
        <v>9</v>
      </c>
      <c r="AJ29">
        <v>10</v>
      </c>
      <c r="AK29">
        <v>11</v>
      </c>
      <c r="AL29">
        <v>15</v>
      </c>
      <c r="AM29" t="str">
        <f>IFERROR(INDEX('Skeet Ind Concurrent Scores'!Z:Z,MATCH(A29,'Skeet Ind Concurrent Scores'!X:X,0)),"")</f>
        <v>Collegiate Lady's Skeet Champion</v>
      </c>
      <c r="AN29" t="str">
        <f>IFERROR(INDEX('Skeet Ind Class Scores'!V:V,MATCH(A29,'Skeet Ind Class Scores'!T:T,0)),"")</f>
        <v>C Class Skeet Lady's Champion</v>
      </c>
      <c r="AO29" t="str">
        <f>IFERROR(INDEX('Skeet Team Scores'!AA:AA,MATCH(A29,'Skeet Team Scores'!AB:AB,0)),"")</f>
        <v>Collegiate Skeet Team Runner Up</v>
      </c>
    </row>
    <row r="30" spans="1:41" x14ac:dyDescent="0.3">
      <c r="A30" t="s">
        <v>184</v>
      </c>
      <c r="B30" t="s">
        <v>207</v>
      </c>
      <c r="C30" t="s">
        <v>230</v>
      </c>
      <c r="D30" t="str">
        <f t="shared" si="0"/>
        <v>Brad Last Name28</v>
      </c>
      <c r="F30" s="1" t="s">
        <v>125</v>
      </c>
      <c r="G30" s="1" t="s">
        <v>325</v>
      </c>
      <c r="H30" s="1" t="s">
        <v>325</v>
      </c>
      <c r="I30" s="1" t="s">
        <v>325</v>
      </c>
      <c r="J30" s="10">
        <f>IF(G30="Y",'Tournament Setup'!$C$5,0)+IF(H30="Y",'Tournament Setup'!$C$6,0)+IF(I30="Y",'Tournament Setup'!$C$7,0)</f>
        <v>120</v>
      </c>
      <c r="K30" s="1"/>
      <c r="L30" t="s">
        <v>321</v>
      </c>
      <c r="M30" t="s">
        <v>119</v>
      </c>
      <c r="O30" s="123">
        <f t="shared" si="1"/>
        <v>63</v>
      </c>
      <c r="S30" s="1">
        <f>IFERROR(IF(INDEX('Shooter-Squad Assignment'!$M:$M,MATCH($A30,'Shooter-Squad Assignment'!$A:$A,0))="","",INDEX('Shooter-Squad Assignment'!$M:$M,MATCH($A30,'Shooter-Squad Assignment'!$A:$A,0))),"")</f>
        <v>74</v>
      </c>
      <c r="T30" s="1" t="str">
        <f>IFERROR(IF(INDEX('Shooter-Squad Assignment'!$N:$N,MATCH($A30,'Shooter-Squad Assignment'!$A:$A,0))="","",S30&amp;"-"&amp;INDEX('Shooter-Squad Assignment'!$N:$N,MATCH($A30,'Shooter-Squad Assignment'!$A:$A,0))),"")</f>
        <v>74-2</v>
      </c>
      <c r="U30" s="1" t="str">
        <f>IFERROR(IF(INDEX('Shooter-Squad Assignment'!$I:$I,MATCH($A30,'Shooter-Squad Assignment'!$A:$A,0))="","",IF(INDEX('Shooter-Squad Assignment'!$I:$I,MATCH($A30,'Shooter-Squad Assignment'!$A:$A,0))=1,S30&amp;"-"&amp;1,"")),"")</f>
        <v/>
      </c>
      <c r="V30" t="str">
        <f>IF(ISBLANK($S30),"",IFERROR(INDEX('Squad Listing'!$C:$C,MATCH($S30,'Squad Listing'!$A:$A,0)),""))</f>
        <v>Forge Christian Shooting Team</v>
      </c>
      <c r="W30" t="str">
        <f>IF(ISBLANK($S30),"",IFERROR(INDEX('Squad Listing'!$D:$D,MATCH($S30,'Squad Listing'!$A:$A,0)),""))</f>
        <v>Varsity</v>
      </c>
      <c r="X30" t="str">
        <f>IF(ISBLANK($S30),"",IFERROR(INDEX('Squad Listing'!$E:$E,MATCH($S30,'Squad Listing'!$A:$A,0)),""))</f>
        <v>Varsity 1</v>
      </c>
      <c r="Y30" s="123" t="str">
        <f t="shared" si="2"/>
        <v/>
      </c>
      <c r="Z30" s="278">
        <f t="shared" si="3"/>
        <v>154</v>
      </c>
      <c r="AA30" s="278">
        <f>SUMIFS('Skeet Ind Concurrent Ranking'!L:L,'Skeet Ind Concurrent Ranking'!K:K,'Tournament List'!S50)</f>
        <v>0</v>
      </c>
      <c r="AB30" s="123">
        <f t="shared" si="4"/>
        <v>63</v>
      </c>
      <c r="AD30" s="1" t="s">
        <v>124</v>
      </c>
      <c r="AF30">
        <f t="shared" si="5"/>
        <v>32</v>
      </c>
      <c r="AG30" s="123">
        <f t="shared" si="6"/>
        <v>63</v>
      </c>
      <c r="AI30">
        <v>16</v>
      </c>
      <c r="AJ30">
        <v>18</v>
      </c>
      <c r="AK30">
        <v>14</v>
      </c>
      <c r="AL30">
        <v>15</v>
      </c>
      <c r="AM30" t="str">
        <f>IFERROR(INDEX('Skeet Ind Concurrent Scores'!Z:Z,MATCH(A30,'Skeet Ind Concurrent Scores'!X:X,0)),"")</f>
        <v>Varsity Men's Skeet Runner Up</v>
      </c>
      <c r="AN30" t="str">
        <f>IFERROR(INDEX('Skeet Ind Class Scores'!V:V,MATCH(A30,'Skeet Ind Class Scores'!T:T,0)),"")</f>
        <v>D Class Skeet 3rd</v>
      </c>
      <c r="AO30" t="str">
        <f>IFERROR(INDEX('Skeet Team Scores'!AA:AA,MATCH(A30,'Skeet Team Scores'!AB:AB,0)),"")</f>
        <v>Varsity Skeet Team Champion</v>
      </c>
    </row>
    <row r="31" spans="1:41" x14ac:dyDescent="0.3">
      <c r="A31" t="s">
        <v>185</v>
      </c>
      <c r="B31" t="s">
        <v>208</v>
      </c>
      <c r="C31" t="s">
        <v>231</v>
      </c>
      <c r="D31" t="str">
        <f t="shared" si="0"/>
        <v>Alan Last Name29</v>
      </c>
      <c r="F31" s="1" t="s">
        <v>125</v>
      </c>
      <c r="G31" s="1" t="s">
        <v>325</v>
      </c>
      <c r="H31" s="1" t="s">
        <v>325</v>
      </c>
      <c r="I31" s="1" t="s">
        <v>325</v>
      </c>
      <c r="J31" s="10">
        <f>IF(G31="Y",'Tournament Setup'!$C$5,0)+IF(H31="Y",'Tournament Setup'!$C$6,0)+IF(I31="Y",'Tournament Setup'!$C$7,0)</f>
        <v>120</v>
      </c>
      <c r="K31" s="1"/>
      <c r="L31" t="s">
        <v>322</v>
      </c>
      <c r="M31" t="s">
        <v>118</v>
      </c>
      <c r="O31" s="123">
        <f t="shared" si="1"/>
        <v>80</v>
      </c>
      <c r="S31" s="1">
        <f>IFERROR(IF(INDEX('Shooter-Squad Assignment'!$M:$M,MATCH($A31,'Shooter-Squad Assignment'!$A:$A,0))="","",INDEX('Shooter-Squad Assignment'!$M:$M,MATCH($A31,'Shooter-Squad Assignment'!$A:$A,0))),"")</f>
        <v>7</v>
      </c>
      <c r="T31" s="1" t="str">
        <f>IFERROR(IF(INDEX('Shooter-Squad Assignment'!$N:$N,MATCH($A31,'Shooter-Squad Assignment'!$A:$A,0))="","",S31&amp;"-"&amp;INDEX('Shooter-Squad Assignment'!$N:$N,MATCH($A31,'Shooter-Squad Assignment'!$A:$A,0))),"")</f>
        <v>7-3</v>
      </c>
      <c r="U31" s="1" t="str">
        <f>IFERROR(IF(INDEX('Shooter-Squad Assignment'!$I:$I,MATCH($A31,'Shooter-Squad Assignment'!$A:$A,0))="","",IF(INDEX('Shooter-Squad Assignment'!$I:$I,MATCH($A31,'Shooter-Squad Assignment'!$A:$A,0))=1,S31&amp;"-"&amp;1,"")),"")</f>
        <v/>
      </c>
      <c r="V31" t="str">
        <f>IF(ISBLANK($S31),"",IFERROR(INDEX('Squad Listing'!$C:$C,MATCH($S31,'Squad Listing'!$A:$A,0)),""))</f>
        <v>Brighton Clay Crushers</v>
      </c>
      <c r="W31" t="str">
        <f>IF(ISBLANK($S31),"",IFERROR(INDEX('Squad Listing'!$D:$D,MATCH($S31,'Squad Listing'!$A:$A,0)),""))</f>
        <v>Junior Varsity</v>
      </c>
      <c r="X31" t="str">
        <f>IF(ISBLANK($S31),"",IFERROR(INDEX('Squad Listing'!$E:$E,MATCH($S31,'Squad Listing'!$A:$A,0)),""))</f>
        <v>Junior Varsity 1</v>
      </c>
      <c r="Y31" s="123" t="str">
        <f t="shared" si="2"/>
        <v/>
      </c>
      <c r="Z31" s="278">
        <f t="shared" si="3"/>
        <v>239.2</v>
      </c>
      <c r="AA31" s="278">
        <f>SUMIFS('Skeet Ind Concurrent Ranking'!L:L,'Skeet Ind Concurrent Ranking'!K:K,'Tournament List'!S51)</f>
        <v>0</v>
      </c>
      <c r="AB31" s="123">
        <f t="shared" si="4"/>
        <v>80</v>
      </c>
      <c r="AD31" s="1" t="s">
        <v>121</v>
      </c>
      <c r="AF31">
        <f t="shared" si="5"/>
        <v>18</v>
      </c>
      <c r="AG31" s="123">
        <f t="shared" si="6"/>
        <v>80</v>
      </c>
      <c r="AI31">
        <v>18</v>
      </c>
      <c r="AJ31">
        <v>20</v>
      </c>
      <c r="AK31">
        <v>22</v>
      </c>
      <c r="AL31">
        <v>20</v>
      </c>
      <c r="AM31" t="str">
        <f>IFERROR(INDEX('Skeet Ind Concurrent Scores'!Z:Z,MATCH(A31,'Skeet Ind Concurrent Scores'!X:X,0)),"")</f>
        <v>Jr Varsity Skeet Champion</v>
      </c>
      <c r="AN31" t="str">
        <f>IFERROR(INDEX('Skeet Ind Class Scores'!V:V,MATCH(A31,'Skeet Ind Class Scores'!T:T,0)),"")</f>
        <v>A Class Skeet Men's Champion</v>
      </c>
      <c r="AO31" t="str">
        <f>IFERROR(INDEX('Skeet Team Scores'!AA:AA,MATCH(A31,'Skeet Team Scores'!AB:AB,0)),"")</f>
        <v>Junior Varsity Skeet Team Champion</v>
      </c>
    </row>
    <row r="32" spans="1:41" x14ac:dyDescent="0.3">
      <c r="A32" t="s">
        <v>186</v>
      </c>
      <c r="B32" t="s">
        <v>209</v>
      </c>
      <c r="C32" t="s">
        <v>232</v>
      </c>
      <c r="D32" t="str">
        <f t="shared" si="0"/>
        <v>Judy Last Name30</v>
      </c>
      <c r="F32" s="1" t="s">
        <v>126</v>
      </c>
      <c r="G32" s="1" t="s">
        <v>325</v>
      </c>
      <c r="H32" s="1" t="s">
        <v>325</v>
      </c>
      <c r="I32" s="1" t="s">
        <v>325</v>
      </c>
      <c r="J32" s="10">
        <f>IF(G32="Y",'Tournament Setup'!$C$5,0)+IF(H32="Y",'Tournament Setup'!$C$6,0)+IF(I32="Y",'Tournament Setup'!$C$7,0)</f>
        <v>120</v>
      </c>
      <c r="K32" s="1"/>
      <c r="L32" t="s">
        <v>323</v>
      </c>
      <c r="M32" t="s">
        <v>120</v>
      </c>
      <c r="O32" s="123">
        <f t="shared" si="1"/>
        <v>51</v>
      </c>
      <c r="S32" s="1">
        <f>IFERROR(IF(INDEX('Shooter-Squad Assignment'!$M:$M,MATCH($A32,'Shooter-Squad Assignment'!$A:$A,0))="","",INDEX('Shooter-Squad Assignment'!$M:$M,MATCH($A32,'Shooter-Squad Assignment'!$A:$A,0))),"")</f>
        <v>172</v>
      </c>
      <c r="T32" s="1" t="str">
        <f>IFERROR(IF(INDEX('Shooter-Squad Assignment'!$N:$N,MATCH($A32,'Shooter-Squad Assignment'!$A:$A,0))="","",S32&amp;"-"&amp;INDEX('Shooter-Squad Assignment'!$N:$N,MATCH($A32,'Shooter-Squad Assignment'!$A:$A,0))),"")</f>
        <v>172-3</v>
      </c>
      <c r="U32" s="1" t="str">
        <f>IFERROR(IF(INDEX('Shooter-Squad Assignment'!$I:$I,MATCH($A32,'Shooter-Squad Assignment'!$A:$A,0))="","",IF(INDEX('Shooter-Squad Assignment'!$I:$I,MATCH($A32,'Shooter-Squad Assignment'!$A:$A,0))=1,S32&amp;"-"&amp;1,"")),"")</f>
        <v/>
      </c>
      <c r="V32" t="str">
        <f>IF(ISBLANK($S32),"",IFERROR(INDEX('Squad Listing'!$C:$C,MATCH($S32,'Squad Listing'!$A:$A,0)),""))</f>
        <v>Littleton Target Masters</v>
      </c>
      <c r="W32" t="str">
        <f>IF(ISBLANK($S32),"",IFERROR(INDEX('Squad Listing'!$D:$D,MATCH($S32,'Squad Listing'!$A:$A,0)),""))</f>
        <v>Collegiate</v>
      </c>
      <c r="X32" t="str">
        <f>IF(ISBLANK($S32),"",IFERROR(INDEX('Squad Listing'!$E:$E,MATCH($S32,'Squad Listing'!$A:$A,0)),""))</f>
        <v>Collegiate 1</v>
      </c>
      <c r="Y32" s="123" t="str">
        <f t="shared" si="2"/>
        <v/>
      </c>
      <c r="Z32" s="278">
        <f t="shared" si="3"/>
        <v>189</v>
      </c>
      <c r="AA32" s="278">
        <f>SUMIFS('Skeet Ind Concurrent Ranking'!L:L,'Skeet Ind Concurrent Ranking'!K:K,'Tournament List'!S52)</f>
        <v>0</v>
      </c>
      <c r="AB32" s="123">
        <f t="shared" si="4"/>
        <v>51</v>
      </c>
      <c r="AD32" s="1" t="s">
        <v>121</v>
      </c>
      <c r="AF32">
        <f t="shared" si="5"/>
        <v>41</v>
      </c>
      <c r="AG32" s="123">
        <f t="shared" si="6"/>
        <v>51</v>
      </c>
      <c r="AI32">
        <v>12</v>
      </c>
      <c r="AJ32">
        <v>10</v>
      </c>
      <c r="AK32">
        <v>15</v>
      </c>
      <c r="AL32">
        <v>14</v>
      </c>
      <c r="AM32" t="str">
        <f>IFERROR(INDEX('Skeet Ind Concurrent Scores'!Z:Z,MATCH(A32,'Skeet Ind Concurrent Scores'!X:X,0)),"")</f>
        <v>Collegiate Skeet 3rd</v>
      </c>
      <c r="AN32" t="str">
        <f>IFERROR(INDEX('Skeet Ind Class Scores'!V:V,MATCH(A32,'Skeet Ind Class Scores'!T:T,0)),"")</f>
        <v>A Class Skeet Lady's Champion</v>
      </c>
      <c r="AO32" t="str">
        <f>IFERROR(INDEX('Skeet Team Scores'!AA:AA,MATCH(A32,'Skeet Team Scores'!AB:AB,0)),"")</f>
        <v>Collegiate Skeet Team Champion</v>
      </c>
    </row>
    <row r="33" spans="1:41" x14ac:dyDescent="0.3">
      <c r="A33" t="s">
        <v>187</v>
      </c>
      <c r="B33" t="s">
        <v>210</v>
      </c>
      <c r="C33" t="s">
        <v>233</v>
      </c>
      <c r="D33" t="str">
        <f t="shared" si="0"/>
        <v>Shelly Last Name31</v>
      </c>
      <c r="F33" s="1" t="s">
        <v>126</v>
      </c>
      <c r="G33" s="1" t="s">
        <v>325</v>
      </c>
      <c r="H33" s="1" t="s">
        <v>325</v>
      </c>
      <c r="I33" s="1" t="s">
        <v>325</v>
      </c>
      <c r="J33" s="10">
        <f>IF(G33="Y",'Tournament Setup'!$C$5,0)+IF(H33="Y",'Tournament Setup'!$C$6,0)+IF(I33="Y",'Tournament Setup'!$C$7,0)</f>
        <v>120</v>
      </c>
      <c r="K33" s="1"/>
      <c r="L33" t="s">
        <v>307</v>
      </c>
      <c r="M33" t="s">
        <v>117</v>
      </c>
      <c r="O33" s="123">
        <f t="shared" si="1"/>
        <v>92</v>
      </c>
      <c r="S33" s="1">
        <f>IFERROR(IF(INDEX('Shooter-Squad Assignment'!$M:$M,MATCH($A33,'Shooter-Squad Assignment'!$A:$A,0))="","",INDEX('Shooter-Squad Assignment'!$M:$M,MATCH($A33,'Shooter-Squad Assignment'!$A:$A,0))),"")</f>
        <v>118</v>
      </c>
      <c r="T33" s="1" t="str">
        <f>IFERROR(IF(INDEX('Shooter-Squad Assignment'!$N:$N,MATCH($A33,'Shooter-Squad Assignment'!$A:$A,0))="","",S33&amp;"-"&amp;INDEX('Shooter-Squad Assignment'!$N:$N,MATCH($A33,'Shooter-Squad Assignment'!$A:$A,0))),"")</f>
        <v>118-2</v>
      </c>
      <c r="U33" s="1" t="str">
        <f>IFERROR(IF(INDEX('Shooter-Squad Assignment'!$I:$I,MATCH($A33,'Shooter-Squad Assignment'!$A:$A,0))="","",IF(INDEX('Shooter-Squad Assignment'!$I:$I,MATCH($A33,'Shooter-Squad Assignment'!$A:$A,0))=1,S33&amp;"-"&amp;1,"")),"")</f>
        <v/>
      </c>
      <c r="V33" t="str">
        <f>IF(ISBLANK($S33),"",IFERROR(INDEX('Squad Listing'!$C:$C,MATCH($S33,'Squad Listing'!$A:$A,0)),""))</f>
        <v>High Plains Drifters</v>
      </c>
      <c r="W33" t="str">
        <f>IF(ISBLANK($S33),"",IFERROR(INDEX('Squad Listing'!$D:$D,MATCH($S33,'Squad Listing'!$A:$A,0)),""))</f>
        <v>Intermediate</v>
      </c>
      <c r="X33" t="str">
        <f>IF(ISBLANK($S33),"",IFERROR(INDEX('Squad Listing'!$E:$E,MATCH($S33,'Squad Listing'!$A:$A,0)),""))</f>
        <v>Intermediate 1</v>
      </c>
      <c r="Y33" s="123" t="str">
        <f t="shared" si="2"/>
        <v/>
      </c>
      <c r="Z33" s="278">
        <f t="shared" si="3"/>
        <v>277</v>
      </c>
      <c r="AA33" s="278">
        <f>SUMIFS('Skeet Ind Concurrent Ranking'!L:L,'Skeet Ind Concurrent Ranking'!K:K,'Tournament List'!S53)</f>
        <v>0</v>
      </c>
      <c r="AB33" s="123">
        <f t="shared" si="4"/>
        <v>92</v>
      </c>
      <c r="AD33" s="1" t="s">
        <v>122</v>
      </c>
      <c r="AF33">
        <f t="shared" si="5"/>
        <v>6</v>
      </c>
      <c r="AG33" s="123">
        <f t="shared" si="6"/>
        <v>92</v>
      </c>
      <c r="AI33">
        <v>24</v>
      </c>
      <c r="AJ33">
        <v>24</v>
      </c>
      <c r="AK33">
        <v>24</v>
      </c>
      <c r="AL33">
        <v>20</v>
      </c>
      <c r="AM33" t="str">
        <f>IFERROR(INDEX('Skeet Ind Concurrent Scores'!Z:Z,MATCH(A33,'Skeet Ind Concurrent Scores'!X:X,0)),"")</f>
        <v>HOA Lady's Skeet 3rd</v>
      </c>
      <c r="AN33" t="str">
        <f>IFERROR(INDEX('Skeet Ind Class Scores'!V:V,MATCH(A33,'Skeet Ind Class Scores'!T:T,0)),"")</f>
        <v>B Class Skeet Lady's Champion</v>
      </c>
      <c r="AO33" t="str">
        <f>IFERROR(INDEX('Skeet Team Scores'!AA:AA,MATCH(A33,'Skeet Team Scores'!AB:AB,0)),"")</f>
        <v>Intermediate Skeet Team Champion</v>
      </c>
    </row>
    <row r="34" spans="1:41" x14ac:dyDescent="0.3">
      <c r="A34" t="s">
        <v>188</v>
      </c>
      <c r="B34" t="s">
        <v>211</v>
      </c>
      <c r="C34" t="s">
        <v>234</v>
      </c>
      <c r="D34" t="str">
        <f t="shared" si="0"/>
        <v>Kelly Last Name32</v>
      </c>
      <c r="F34" s="1" t="s">
        <v>126</v>
      </c>
      <c r="G34" s="1" t="s">
        <v>325</v>
      </c>
      <c r="H34" s="1" t="s">
        <v>325</v>
      </c>
      <c r="I34" s="1" t="s">
        <v>325</v>
      </c>
      <c r="J34" s="10">
        <f>IF(G34="Y",'Tournament Setup'!$C$5,0)+IF(H34="Y",'Tournament Setup'!$C$6,0)+IF(I34="Y",'Tournament Setup'!$C$7,0)</f>
        <v>120</v>
      </c>
      <c r="K34" s="1"/>
      <c r="L34" t="s">
        <v>319</v>
      </c>
      <c r="M34" t="s">
        <v>117</v>
      </c>
      <c r="O34" s="123">
        <f t="shared" si="1"/>
        <v>29</v>
      </c>
      <c r="S34" s="1">
        <f>IFERROR(IF(INDEX('Shooter-Squad Assignment'!$M:$M,MATCH($A34,'Shooter-Squad Assignment'!$A:$A,0))="","",INDEX('Shooter-Squad Assignment'!$M:$M,MATCH($A34,'Shooter-Squad Assignment'!$A:$A,0))),"")</f>
        <v>232</v>
      </c>
      <c r="T34" s="1" t="str">
        <f>IFERROR(IF(INDEX('Shooter-Squad Assignment'!$N:$N,MATCH($A34,'Shooter-Squad Assignment'!$A:$A,0))="","",S34&amp;"-"&amp;INDEX('Shooter-Squad Assignment'!$N:$N,MATCH($A34,'Shooter-Squad Assignment'!$A:$A,0))),"")</f>
        <v>232-3</v>
      </c>
      <c r="U34" s="1" t="str">
        <f>IFERROR(IF(INDEX('Shooter-Squad Assignment'!$I:$I,MATCH($A34,'Shooter-Squad Assignment'!$A:$A,0))="","",IF(INDEX('Shooter-Squad Assignment'!$I:$I,MATCH($A34,'Shooter-Squad Assignment'!$A:$A,0))=1,S34&amp;"-"&amp;1,"")),"")</f>
        <v/>
      </c>
      <c r="V34" t="str">
        <f>IF(ISBLANK($S34),"",IFERROR(INDEX('Squad Listing'!$C:$C,MATCH($S34,'Squad Listing'!$A:$A,0)),""))</f>
        <v>Rocky Mountain Clay Busters</v>
      </c>
      <c r="W34" t="str">
        <f>IF(ISBLANK($S34),"",IFERROR(INDEX('Squad Listing'!$D:$D,MATCH($S34,'Squad Listing'!$A:$A,0)),""))</f>
        <v>Intermediate</v>
      </c>
      <c r="X34" t="str">
        <f>IF(ISBLANK($S34),"",IFERROR(INDEX('Squad Listing'!$E:$E,MATCH($S34,'Squad Listing'!$A:$A,0)),""))</f>
        <v>Intermediate 1</v>
      </c>
      <c r="Y34" s="123" t="str">
        <f t="shared" si="2"/>
        <v/>
      </c>
      <c r="Z34" s="278">
        <f t="shared" si="3"/>
        <v>177</v>
      </c>
      <c r="AA34" s="278">
        <f>SUMIFS('Skeet Ind Concurrent Ranking'!L:L,'Skeet Ind Concurrent Ranking'!K:K,'Tournament List'!S54)</f>
        <v>0</v>
      </c>
      <c r="AB34" s="123">
        <f t="shared" si="4"/>
        <v>29</v>
      </c>
      <c r="AD34" s="1" t="s">
        <v>123</v>
      </c>
      <c r="AF34">
        <f t="shared" si="5"/>
        <v>48</v>
      </c>
      <c r="AG34" s="123">
        <f t="shared" si="6"/>
        <v>29</v>
      </c>
      <c r="AI34">
        <v>9</v>
      </c>
      <c r="AJ34">
        <v>7</v>
      </c>
      <c r="AK34">
        <v>5</v>
      </c>
      <c r="AL34">
        <v>8</v>
      </c>
      <c r="AM34" t="str">
        <f>IFERROR(INDEX('Skeet Ind Concurrent Scores'!Z:Z,MATCH(A34,'Skeet Ind Concurrent Scores'!X:X,0)),"")</f>
        <v>Intermediate Lady's Skeet Champion</v>
      </c>
      <c r="AN34" t="str">
        <f>IFERROR(INDEX('Skeet Ind Class Scores'!V:V,MATCH(A34,'Skeet Ind Class Scores'!T:T,0)),"")</f>
        <v>C Class Skeet Lady's Runner Up</v>
      </c>
      <c r="AO34" t="str">
        <f>IFERROR(INDEX('Skeet Team Scores'!AA:AA,MATCH(A34,'Skeet Team Scores'!AB:AB,0)),"")</f>
        <v>Intermediate Skeet Team 3rd</v>
      </c>
    </row>
    <row r="35" spans="1:41" x14ac:dyDescent="0.3">
      <c r="A35" t="s">
        <v>189</v>
      </c>
      <c r="B35" t="s">
        <v>212</v>
      </c>
      <c r="C35" t="s">
        <v>235</v>
      </c>
      <c r="D35" t="str">
        <f t="shared" si="0"/>
        <v>Missy Last Name33</v>
      </c>
      <c r="F35" s="1" t="s">
        <v>126</v>
      </c>
      <c r="G35" s="1" t="s">
        <v>325</v>
      </c>
      <c r="H35" s="1" t="s">
        <v>325</v>
      </c>
      <c r="I35" s="1" t="s">
        <v>325</v>
      </c>
      <c r="J35" s="10">
        <f>IF(G35="Y",'Tournament Setup'!$C$5,0)+IF(H35="Y",'Tournament Setup'!$C$6,0)+IF(I35="Y",'Tournament Setup'!$C$7,0)</f>
        <v>120</v>
      </c>
      <c r="K35" s="1"/>
      <c r="L35" t="s">
        <v>320</v>
      </c>
      <c r="M35" t="s">
        <v>116</v>
      </c>
      <c r="O35" s="123">
        <f t="shared" si="1"/>
        <v>73</v>
      </c>
      <c r="S35" s="1">
        <f>IFERROR(IF(INDEX('Shooter-Squad Assignment'!$M:$M,MATCH($A35,'Shooter-Squad Assignment'!$A:$A,0))="","",INDEX('Shooter-Squad Assignment'!$M:$M,MATCH($A35,'Shooter-Squad Assignment'!$A:$A,0))),"")</f>
        <v>295</v>
      </c>
      <c r="T35" s="1" t="str">
        <f>IFERROR(IF(INDEX('Shooter-Squad Assignment'!$N:$N,MATCH($A35,'Shooter-Squad Assignment'!$A:$A,0))="","",S35&amp;"-"&amp;INDEX('Shooter-Squad Assignment'!$N:$N,MATCH($A35,'Shooter-Squad Assignment'!$A:$A,0))),"")</f>
        <v>295-3</v>
      </c>
      <c r="U35" s="1" t="str">
        <f>IFERROR(IF(INDEX('Shooter-Squad Assignment'!$I:$I,MATCH($A35,'Shooter-Squad Assignment'!$A:$A,0))="","",IF(INDEX('Shooter-Squad Assignment'!$I:$I,MATCH($A35,'Shooter-Squad Assignment'!$A:$A,0))=1,S35&amp;"-"&amp;1,"")),"")</f>
        <v/>
      </c>
      <c r="V35" t="str">
        <f>IF(ISBLANK($S35),"",IFERROR(INDEX('Squad Listing'!$C:$C,MATCH($S35,'Squad Listing'!$A:$A,0)),""))</f>
        <v>Wiggins Tigers Sporting Club</v>
      </c>
      <c r="W35" t="str">
        <f>IF(ISBLANK($S35),"",IFERROR(INDEX('Squad Listing'!$D:$D,MATCH($S35,'Squad Listing'!$A:$A,0)),""))</f>
        <v>Novice</v>
      </c>
      <c r="X35" t="str">
        <f>IF(ISBLANK($S35),"",IFERROR(INDEX('Squad Listing'!$E:$E,MATCH($S35,'Squad Listing'!$A:$A,0)),""))</f>
        <v>Novice 1</v>
      </c>
      <c r="Y35" s="123" t="str">
        <f t="shared" si="2"/>
        <v/>
      </c>
      <c r="Z35" s="278">
        <f t="shared" si="3"/>
        <v>199</v>
      </c>
      <c r="AA35" s="278">
        <f>SUMIFS('Skeet Ind Concurrent Ranking'!L:L,'Skeet Ind Concurrent Ranking'!K:K,'Tournament List'!S55)</f>
        <v>0</v>
      </c>
      <c r="AB35" s="123">
        <f t="shared" si="4"/>
        <v>73</v>
      </c>
      <c r="AD35" s="1" t="s">
        <v>122</v>
      </c>
      <c r="AF35">
        <f t="shared" si="5"/>
        <v>21</v>
      </c>
      <c r="AG35" s="123">
        <f t="shared" si="6"/>
        <v>73</v>
      </c>
      <c r="AI35">
        <v>19</v>
      </c>
      <c r="AJ35">
        <v>19</v>
      </c>
      <c r="AK35">
        <v>18</v>
      </c>
      <c r="AL35">
        <v>17</v>
      </c>
      <c r="AM35" t="str">
        <f>IFERROR(INDEX('Skeet Ind Concurrent Scores'!Z:Z,MATCH(A35,'Skeet Ind Concurrent Scores'!X:X,0)),"")</f>
        <v>Novice Skeet 3rd</v>
      </c>
      <c r="AN35" t="str">
        <f>IFERROR(INDEX('Skeet Ind Class Scores'!V:V,MATCH(A35,'Skeet Ind Class Scores'!T:T,0)),"")</f>
        <v>B Class Skeet Lady's 3rd</v>
      </c>
      <c r="AO35" t="str">
        <f>IFERROR(INDEX('Skeet Team Scores'!AA:AA,MATCH(A35,'Skeet Team Scores'!AB:AB,0)),"")</f>
        <v>Novice Skeet Team 3rd</v>
      </c>
    </row>
    <row r="36" spans="1:41" x14ac:dyDescent="0.3">
      <c r="A36" t="s">
        <v>190</v>
      </c>
      <c r="B36" t="s">
        <v>213</v>
      </c>
      <c r="C36" t="s">
        <v>236</v>
      </c>
      <c r="D36" t="str">
        <f t="shared" si="0"/>
        <v>Marty Last Name34</v>
      </c>
      <c r="F36" s="1" t="s">
        <v>125</v>
      </c>
      <c r="G36" s="1" t="s">
        <v>325</v>
      </c>
      <c r="H36" s="1" t="s">
        <v>325</v>
      </c>
      <c r="I36" s="1" t="s">
        <v>325</v>
      </c>
      <c r="J36" s="10">
        <f>IF(G36="Y",'Tournament Setup'!$C$5,0)+IF(H36="Y",'Tournament Setup'!$C$6,0)+IF(I36="Y",'Tournament Setup'!$C$7,0)</f>
        <v>120</v>
      </c>
      <c r="K36" s="1"/>
      <c r="L36" t="s">
        <v>321</v>
      </c>
      <c r="M36" t="s">
        <v>117</v>
      </c>
      <c r="O36" s="123">
        <f t="shared" si="1"/>
        <v>68</v>
      </c>
      <c r="S36" s="1">
        <f>IFERROR(IF(INDEX('Shooter-Squad Assignment'!$M:$M,MATCH($A36,'Shooter-Squad Assignment'!$A:$A,0))="","",INDEX('Shooter-Squad Assignment'!$M:$M,MATCH($A36,'Shooter-Squad Assignment'!$A:$A,0))),"")</f>
        <v>61</v>
      </c>
      <c r="T36" s="1" t="str">
        <f>IFERROR(IF(INDEX('Shooter-Squad Assignment'!$N:$N,MATCH($A36,'Shooter-Squad Assignment'!$A:$A,0))="","",S36&amp;"-"&amp;INDEX('Shooter-Squad Assignment'!$N:$N,MATCH($A36,'Shooter-Squad Assignment'!$A:$A,0))),"")</f>
        <v>61-3</v>
      </c>
      <c r="U36" s="1" t="str">
        <f>IFERROR(IF(INDEX('Shooter-Squad Assignment'!$I:$I,MATCH($A36,'Shooter-Squad Assignment'!$A:$A,0))="","",IF(INDEX('Shooter-Squad Assignment'!$I:$I,MATCH($A36,'Shooter-Squad Assignment'!$A:$A,0))=1,S36&amp;"-"&amp;1,"")),"")</f>
        <v/>
      </c>
      <c r="V36" t="str">
        <f>IF(ISBLANK($S36),"",IFERROR(INDEX('Squad Listing'!$C:$C,MATCH($S36,'Squad Listing'!$A:$A,0)),""))</f>
        <v>Forge Christian Shooting Team</v>
      </c>
      <c r="W36" t="str">
        <f>IF(ISBLANK($S36),"",IFERROR(INDEX('Squad Listing'!$D:$D,MATCH($S36,'Squad Listing'!$A:$A,0)),""))</f>
        <v>Intermediate</v>
      </c>
      <c r="X36" t="str">
        <f>IF(ISBLANK($S36),"",IFERROR(INDEX('Squad Listing'!$E:$E,MATCH($S36,'Squad Listing'!$A:$A,0)),""))</f>
        <v>Intermediate 1</v>
      </c>
      <c r="Y36" s="123" t="str">
        <f t="shared" si="2"/>
        <v/>
      </c>
      <c r="Z36" s="278">
        <f t="shared" si="3"/>
        <v>231</v>
      </c>
      <c r="AA36" s="278">
        <f>SUMIFS('Skeet Ind Concurrent Ranking'!L:L,'Skeet Ind Concurrent Ranking'!K:K,'Tournament List'!S56)</f>
        <v>0</v>
      </c>
      <c r="AB36" s="123">
        <f t="shared" si="4"/>
        <v>68</v>
      </c>
      <c r="AD36" s="1" t="s">
        <v>121</v>
      </c>
      <c r="AF36">
        <f t="shared" si="5"/>
        <v>28</v>
      </c>
      <c r="AG36" s="123">
        <f t="shared" si="6"/>
        <v>68</v>
      </c>
      <c r="AI36">
        <v>15</v>
      </c>
      <c r="AJ36">
        <v>15</v>
      </c>
      <c r="AK36">
        <v>18</v>
      </c>
      <c r="AL36">
        <v>20</v>
      </c>
      <c r="AM36" t="str">
        <f>IFERROR(INDEX('Skeet Ind Concurrent Scores'!Z:Z,MATCH(A36,'Skeet Ind Concurrent Scores'!X:X,0)),"")</f>
        <v>Intermediate Men's Skeet Runner Up</v>
      </c>
      <c r="AN36" t="str">
        <f>IFERROR(INDEX('Skeet Ind Class Scores'!V:V,MATCH(A36,'Skeet Ind Class Scores'!T:T,0)),"")</f>
        <v>A Class Skeet Men's 3rd</v>
      </c>
      <c r="AO36" t="str">
        <f>IFERROR(INDEX('Skeet Team Scores'!AA:AA,MATCH(A36,'Skeet Team Scores'!AB:AB,0)),"")</f>
        <v>Intermediate Skeet Team Runner Up</v>
      </c>
    </row>
    <row r="37" spans="1:41" x14ac:dyDescent="0.3">
      <c r="A37" t="s">
        <v>191</v>
      </c>
      <c r="B37" t="s">
        <v>214</v>
      </c>
      <c r="C37" t="s">
        <v>237</v>
      </c>
      <c r="D37" t="str">
        <f t="shared" si="0"/>
        <v>Patricia Last Name35</v>
      </c>
      <c r="F37" s="1" t="s">
        <v>126</v>
      </c>
      <c r="G37" s="1" t="s">
        <v>325</v>
      </c>
      <c r="H37" s="1" t="s">
        <v>325</v>
      </c>
      <c r="I37" s="1" t="s">
        <v>325</v>
      </c>
      <c r="J37" s="10">
        <f>IF(G37="Y",'Tournament Setup'!$C$5,0)+IF(H37="Y",'Tournament Setup'!$C$6,0)+IF(I37="Y",'Tournament Setup'!$C$7,0)</f>
        <v>120</v>
      </c>
      <c r="K37" s="1"/>
      <c r="L37" t="s">
        <v>322</v>
      </c>
      <c r="M37" t="s">
        <v>116</v>
      </c>
      <c r="O37" s="123">
        <f t="shared" si="1"/>
        <v>95</v>
      </c>
      <c r="S37" s="1">
        <f>IFERROR(IF(INDEX('Shooter-Squad Assignment'!$M:$M,MATCH($A37,'Shooter-Squad Assignment'!$A:$A,0))="","",INDEX('Shooter-Squad Assignment'!$M:$M,MATCH($A37,'Shooter-Squad Assignment'!$A:$A,0))),"")</f>
        <v>10</v>
      </c>
      <c r="T37" s="1" t="str">
        <f>IFERROR(IF(INDEX('Shooter-Squad Assignment'!$N:$N,MATCH($A37,'Shooter-Squad Assignment'!$A:$A,0))="","",S37&amp;"-"&amp;INDEX('Shooter-Squad Assignment'!$N:$N,MATCH($A37,'Shooter-Squad Assignment'!$A:$A,0))),"")</f>
        <v>10-2</v>
      </c>
      <c r="U37" s="1" t="str">
        <f>IFERROR(IF(INDEX('Shooter-Squad Assignment'!$I:$I,MATCH($A37,'Shooter-Squad Assignment'!$A:$A,0))="","",IF(INDEX('Shooter-Squad Assignment'!$I:$I,MATCH($A37,'Shooter-Squad Assignment'!$A:$A,0))=1,S37&amp;"-"&amp;1,"")),"")</f>
        <v/>
      </c>
      <c r="V37" t="str">
        <f>IF(ISBLANK($S37),"",IFERROR(INDEX('Squad Listing'!$C:$C,MATCH($S37,'Squad Listing'!$A:$A,0)),""))</f>
        <v>Brighton Clay Crushers</v>
      </c>
      <c r="W37" t="str">
        <f>IF(ISBLANK($S37),"",IFERROR(INDEX('Squad Listing'!$D:$D,MATCH($S37,'Squad Listing'!$A:$A,0)),""))</f>
        <v>Novice</v>
      </c>
      <c r="X37" t="str">
        <f>IF(ISBLANK($S37),"",IFERROR(INDEX('Squad Listing'!$E:$E,MATCH($S37,'Squad Listing'!$A:$A,0)),""))</f>
        <v>Novice 1</v>
      </c>
      <c r="Y37" s="123" t="str">
        <f t="shared" si="2"/>
        <v/>
      </c>
      <c r="Z37" s="278">
        <f t="shared" si="3"/>
        <v>220</v>
      </c>
      <c r="AA37" s="278">
        <f>SUMIFS('Skeet Ind Concurrent Ranking'!L:L,'Skeet Ind Concurrent Ranking'!K:K,'Tournament List'!S57)</f>
        <v>0</v>
      </c>
      <c r="AB37" s="123">
        <f t="shared" si="4"/>
        <v>95</v>
      </c>
      <c r="AD37" s="1" t="s">
        <v>121</v>
      </c>
      <c r="AF37">
        <f t="shared" si="5"/>
        <v>4</v>
      </c>
      <c r="AG37" s="123">
        <f t="shared" si="6"/>
        <v>95</v>
      </c>
      <c r="AI37">
        <v>25</v>
      </c>
      <c r="AJ37">
        <v>25</v>
      </c>
      <c r="AK37">
        <v>23</v>
      </c>
      <c r="AL37">
        <v>22</v>
      </c>
      <c r="AM37" t="str">
        <f>IFERROR(INDEX('Skeet Ind Concurrent Scores'!Z:Z,MATCH(A37,'Skeet Ind Concurrent Scores'!X:X,0)),"")</f>
        <v>HOA Lady's Skeet Champion</v>
      </c>
      <c r="AN37" t="str">
        <f>IFERROR(INDEX('Skeet Ind Class Scores'!V:V,MATCH(A37,'Skeet Ind Class Scores'!T:T,0)),"")</f>
        <v>A Class Skeet Champion</v>
      </c>
      <c r="AO37" t="str">
        <f>IFERROR(INDEX('Skeet Team Scores'!AA:AA,MATCH(A37,'Skeet Team Scores'!AB:AB,0)),"")</f>
        <v>Novice Skeet Team 3rd</v>
      </c>
    </row>
    <row r="38" spans="1:41" x14ac:dyDescent="0.3">
      <c r="A38" t="s">
        <v>192</v>
      </c>
      <c r="B38" t="s">
        <v>215</v>
      </c>
      <c r="C38" t="s">
        <v>238</v>
      </c>
      <c r="D38" t="str">
        <f t="shared" si="0"/>
        <v>Randy Last Name36</v>
      </c>
      <c r="F38" s="1" t="s">
        <v>125</v>
      </c>
      <c r="G38" s="1" t="s">
        <v>325</v>
      </c>
      <c r="H38" s="1" t="s">
        <v>325</v>
      </c>
      <c r="I38" s="1" t="s">
        <v>325</v>
      </c>
      <c r="J38" s="10">
        <f>IF(G38="Y",'Tournament Setup'!$C$5,0)+IF(H38="Y",'Tournament Setup'!$C$6,0)+IF(I38="Y",'Tournament Setup'!$C$7,0)</f>
        <v>120</v>
      </c>
      <c r="K38" s="1"/>
      <c r="L38" t="s">
        <v>323</v>
      </c>
      <c r="M38" t="s">
        <v>116</v>
      </c>
      <c r="O38" s="123">
        <f t="shared" si="1"/>
        <v>63</v>
      </c>
      <c r="S38" s="1">
        <f>IFERROR(IF(INDEX('Shooter-Squad Assignment'!$M:$M,MATCH($A38,'Shooter-Squad Assignment'!$A:$A,0))="","",INDEX('Shooter-Squad Assignment'!$M:$M,MATCH($A38,'Shooter-Squad Assignment'!$A:$A,0))),"")</f>
        <v>181</v>
      </c>
      <c r="T38" s="1" t="str">
        <f>IFERROR(IF(INDEX('Shooter-Squad Assignment'!$N:$N,MATCH($A38,'Shooter-Squad Assignment'!$A:$A,0))="","",S38&amp;"-"&amp;INDEX('Shooter-Squad Assignment'!$N:$N,MATCH($A38,'Shooter-Squad Assignment'!$A:$A,0))),"")</f>
        <v>181-1</v>
      </c>
      <c r="U38" s="1" t="str">
        <f>IFERROR(IF(INDEX('Shooter-Squad Assignment'!$I:$I,MATCH($A38,'Shooter-Squad Assignment'!$A:$A,0))="","",IF(INDEX('Shooter-Squad Assignment'!$I:$I,MATCH($A38,'Shooter-Squad Assignment'!$A:$A,0))=1,S38&amp;"-"&amp;1,"")),"")</f>
        <v>181-1</v>
      </c>
      <c r="V38" t="str">
        <f>IF(ISBLANK($S38),"",IFERROR(INDEX('Squad Listing'!$C:$C,MATCH($S38,'Squad Listing'!$A:$A,0)),""))</f>
        <v>Littleton Target Masters</v>
      </c>
      <c r="W38" t="str">
        <f>IF(ISBLANK($S38),"",IFERROR(INDEX('Squad Listing'!$D:$D,MATCH($S38,'Squad Listing'!$A:$A,0)),""))</f>
        <v>Novice</v>
      </c>
      <c r="X38" t="str">
        <f>IF(ISBLANK($S38),"",IFERROR(INDEX('Squad Listing'!$E:$E,MATCH($S38,'Squad Listing'!$A:$A,0)),""))</f>
        <v>Novice 1</v>
      </c>
      <c r="Y38" s="123">
        <f t="shared" si="2"/>
        <v>174</v>
      </c>
      <c r="Z38" s="278">
        <f t="shared" si="3"/>
        <v>174</v>
      </c>
      <c r="AA38" s="278">
        <f>SUMIFS('Skeet Ind Concurrent Ranking'!L:L,'Skeet Ind Concurrent Ranking'!K:K,'Tournament List'!S58)</f>
        <v>0</v>
      </c>
      <c r="AB38" s="123">
        <f t="shared" si="4"/>
        <v>63</v>
      </c>
      <c r="AD38" s="1" t="s">
        <v>123</v>
      </c>
      <c r="AF38">
        <f t="shared" si="5"/>
        <v>31</v>
      </c>
      <c r="AG38" s="123">
        <f t="shared" si="6"/>
        <v>63.1</v>
      </c>
      <c r="AH38" s="123">
        <v>0.1</v>
      </c>
      <c r="AI38">
        <v>15</v>
      </c>
      <c r="AJ38">
        <v>15</v>
      </c>
      <c r="AK38">
        <v>15</v>
      </c>
      <c r="AL38">
        <v>18</v>
      </c>
      <c r="AM38" t="str">
        <f>IFERROR(INDEX('Skeet Ind Concurrent Scores'!Z:Z,MATCH(A38,'Skeet Ind Concurrent Scores'!X:X,0)),"")</f>
        <v/>
      </c>
      <c r="AN38" t="str">
        <f>IFERROR(INDEX('Skeet Ind Class Scores'!V:V,MATCH(A38,'Skeet Ind Class Scores'!T:T,0)),"")</f>
        <v/>
      </c>
      <c r="AO38" t="str">
        <f>IFERROR(INDEX('Skeet Team Scores'!AA:AA,MATCH(A38,'Skeet Team Scores'!AB:AB,0)),"")</f>
        <v>Novice Skeet Team 3rd</v>
      </c>
    </row>
    <row r="39" spans="1:41" x14ac:dyDescent="0.3">
      <c r="A39" t="s">
        <v>193</v>
      </c>
      <c r="B39" t="s">
        <v>216</v>
      </c>
      <c r="C39" t="s">
        <v>239</v>
      </c>
      <c r="D39" t="str">
        <f t="shared" si="0"/>
        <v>Will Last Name37</v>
      </c>
      <c r="F39" s="1" t="s">
        <v>125</v>
      </c>
      <c r="G39" s="1" t="s">
        <v>325</v>
      </c>
      <c r="H39" s="1" t="s">
        <v>325</v>
      </c>
      <c r="I39" s="1" t="s">
        <v>325</v>
      </c>
      <c r="J39" s="10">
        <f>IF(G39="Y",'Tournament Setup'!$C$5,0)+IF(H39="Y",'Tournament Setup'!$C$6,0)+IF(I39="Y",'Tournament Setup'!$C$7,0)</f>
        <v>120</v>
      </c>
      <c r="K39" s="1"/>
      <c r="L39" t="s">
        <v>307</v>
      </c>
      <c r="M39" t="s">
        <v>119</v>
      </c>
      <c r="O39" s="123">
        <f t="shared" si="1"/>
        <v>85</v>
      </c>
      <c r="S39" s="1">
        <f>IFERROR(IF(INDEX('Shooter-Squad Assignment'!$M:$M,MATCH($A39,'Shooter-Squad Assignment'!$A:$A,0))="","",INDEX('Shooter-Squad Assignment'!$M:$M,MATCH($A39,'Shooter-Squad Assignment'!$A:$A,0))),"")</f>
        <v>127</v>
      </c>
      <c r="T39" s="1" t="str">
        <f>IFERROR(IF(INDEX('Shooter-Squad Assignment'!$N:$N,MATCH($A39,'Shooter-Squad Assignment'!$A:$A,0))="","",S39&amp;"-"&amp;INDEX('Shooter-Squad Assignment'!$N:$N,MATCH($A39,'Shooter-Squad Assignment'!$A:$A,0))),"")</f>
        <v>127-3</v>
      </c>
      <c r="U39" s="1" t="str">
        <f>IFERROR(IF(INDEX('Shooter-Squad Assignment'!$I:$I,MATCH($A39,'Shooter-Squad Assignment'!$A:$A,0))="","",IF(INDEX('Shooter-Squad Assignment'!$I:$I,MATCH($A39,'Shooter-Squad Assignment'!$A:$A,0))=1,S39&amp;"-"&amp;1,"")),"")</f>
        <v/>
      </c>
      <c r="V39" t="str">
        <f>IF(ISBLANK($S39),"",IFERROR(INDEX('Squad Listing'!$C:$C,MATCH($S39,'Squad Listing'!$A:$A,0)),""))</f>
        <v>High Plains Drifters</v>
      </c>
      <c r="W39" t="str">
        <f>IF(ISBLANK($S39),"",IFERROR(INDEX('Squad Listing'!$D:$D,MATCH($S39,'Squad Listing'!$A:$A,0)),""))</f>
        <v>Open</v>
      </c>
      <c r="X39" t="str">
        <f>IF(ISBLANK($S39),"",IFERROR(INDEX('Squad Listing'!$E:$E,MATCH($S39,'Squad Listing'!$A:$A,0)),""))</f>
        <v>Open 1</v>
      </c>
      <c r="Y39" s="123" t="str">
        <f t="shared" si="2"/>
        <v/>
      </c>
      <c r="Z39" s="278">
        <f t="shared" si="3"/>
        <v>239.1</v>
      </c>
      <c r="AA39" s="278">
        <f>SUMIFS('Skeet Ind Concurrent Ranking'!L:L,'Skeet Ind Concurrent Ranking'!K:K,'Tournament List'!S59)</f>
        <v>0</v>
      </c>
      <c r="AB39" s="123">
        <f t="shared" si="4"/>
        <v>85</v>
      </c>
      <c r="AD39" s="1" t="s">
        <v>122</v>
      </c>
      <c r="AF39">
        <f t="shared" si="5"/>
        <v>13</v>
      </c>
      <c r="AG39" s="123">
        <f t="shared" si="6"/>
        <v>85</v>
      </c>
      <c r="AI39">
        <v>20</v>
      </c>
      <c r="AJ39">
        <v>21</v>
      </c>
      <c r="AK39">
        <v>22</v>
      </c>
      <c r="AL39">
        <v>22</v>
      </c>
      <c r="AM39" t="str">
        <f>IFERROR(INDEX('Skeet Ind Concurrent Scores'!Z:Z,MATCH(A39,'Skeet Ind Concurrent Scores'!X:X,0)),"")</f>
        <v>Varsity Skeet Champion</v>
      </c>
      <c r="AN39" t="str">
        <f>IFERROR(INDEX('Skeet Ind Class Scores'!V:V,MATCH(A39,'Skeet Ind Class Scores'!T:T,0)),"")</f>
        <v/>
      </c>
      <c r="AO39" t="str">
        <f>IFERROR(INDEX('Skeet Team Scores'!AA:AA,MATCH(A39,'Skeet Team Scores'!AB:AB,0)),"")</f>
        <v>Open Skeet Team 3rd</v>
      </c>
    </row>
    <row r="40" spans="1:41" x14ac:dyDescent="0.3">
      <c r="A40" t="s">
        <v>194</v>
      </c>
      <c r="B40" t="s">
        <v>217</v>
      </c>
      <c r="C40" t="s">
        <v>240</v>
      </c>
      <c r="D40" t="str">
        <f t="shared" si="0"/>
        <v>Stuart Last Name38</v>
      </c>
      <c r="F40" s="1" t="s">
        <v>125</v>
      </c>
      <c r="G40" s="1" t="s">
        <v>325</v>
      </c>
      <c r="H40" s="1" t="s">
        <v>325</v>
      </c>
      <c r="I40" s="1" t="s">
        <v>325</v>
      </c>
      <c r="J40" s="10">
        <f>IF(G40="Y",'Tournament Setup'!$C$5,0)+IF(H40="Y",'Tournament Setup'!$C$6,0)+IF(I40="Y",'Tournament Setup'!$C$7,0)</f>
        <v>120</v>
      </c>
      <c r="K40" s="1"/>
      <c r="L40" t="s">
        <v>319</v>
      </c>
      <c r="M40" t="s">
        <v>118</v>
      </c>
      <c r="O40" s="123">
        <f t="shared" si="1"/>
        <v>89</v>
      </c>
      <c r="S40" s="1">
        <f>IFERROR(IF(INDEX('Shooter-Squad Assignment'!$M:$M,MATCH($A40,'Shooter-Squad Assignment'!$A:$A,0))="","",INDEX('Shooter-Squad Assignment'!$M:$M,MATCH($A40,'Shooter-Squad Assignment'!$A:$A,0))),"")</f>
        <v>235</v>
      </c>
      <c r="T40" s="1" t="str">
        <f>IFERROR(IF(INDEX('Shooter-Squad Assignment'!$N:$N,MATCH($A40,'Shooter-Squad Assignment'!$A:$A,0))="","",S40&amp;"-"&amp;INDEX('Shooter-Squad Assignment'!$N:$N,MATCH($A40,'Shooter-Squad Assignment'!$A:$A,0))),"")</f>
        <v>235-3</v>
      </c>
      <c r="U40" s="1" t="str">
        <f>IFERROR(IF(INDEX('Shooter-Squad Assignment'!$I:$I,MATCH($A40,'Shooter-Squad Assignment'!$A:$A,0))="","",IF(INDEX('Shooter-Squad Assignment'!$I:$I,MATCH($A40,'Shooter-Squad Assignment'!$A:$A,0))=1,S40&amp;"-"&amp;1,"")),"")</f>
        <v/>
      </c>
      <c r="V40" t="str">
        <f>IF(ISBLANK($S40),"",IFERROR(INDEX('Squad Listing'!$C:$C,MATCH($S40,'Squad Listing'!$A:$A,0)),""))</f>
        <v>Rocky Mountain Clay Busters</v>
      </c>
      <c r="W40" t="str">
        <f>IF(ISBLANK($S40),"",IFERROR(INDEX('Squad Listing'!$D:$D,MATCH($S40,'Squad Listing'!$A:$A,0)),""))</f>
        <v>Junior Varsity</v>
      </c>
      <c r="X40" t="str">
        <f>IF(ISBLANK($S40),"",IFERROR(INDEX('Squad Listing'!$E:$E,MATCH($S40,'Squad Listing'!$A:$A,0)),""))</f>
        <v>Junior Varsity 1</v>
      </c>
      <c r="Y40" s="123" t="str">
        <f t="shared" si="2"/>
        <v/>
      </c>
      <c r="Z40" s="278">
        <f t="shared" si="3"/>
        <v>239</v>
      </c>
      <c r="AA40" s="278">
        <f>SUMIFS('Skeet Ind Concurrent Ranking'!L:L,'Skeet Ind Concurrent Ranking'!K:K,'Tournament List'!S60)</f>
        <v>0</v>
      </c>
      <c r="AB40" s="123">
        <f t="shared" si="4"/>
        <v>89</v>
      </c>
      <c r="AD40" s="1" t="s">
        <v>122</v>
      </c>
      <c r="AF40">
        <f t="shared" si="5"/>
        <v>10</v>
      </c>
      <c r="AG40" s="123">
        <f t="shared" si="6"/>
        <v>89</v>
      </c>
      <c r="AI40">
        <v>23</v>
      </c>
      <c r="AJ40">
        <v>23</v>
      </c>
      <c r="AK40">
        <v>23</v>
      </c>
      <c r="AL40">
        <v>20</v>
      </c>
      <c r="AM40" t="str">
        <f>IFERROR(INDEX('Skeet Ind Concurrent Scores'!Z:Z,MATCH(A40,'Skeet Ind Concurrent Scores'!X:X,0)),"")</f>
        <v>HOA Men's Skeet Runner Up</v>
      </c>
      <c r="AN40" t="str">
        <f>IFERROR(INDEX('Skeet Ind Class Scores'!V:V,MATCH(A40,'Skeet Ind Class Scores'!T:T,0)),"")</f>
        <v>B Class Skeet Men's Runner Up</v>
      </c>
      <c r="AO40" t="str">
        <f>IFERROR(INDEX('Skeet Team Scores'!AA:AA,MATCH(A40,'Skeet Team Scores'!AB:AB,0)),"")</f>
        <v>Junior Varsity Skeet Team Runner Up</v>
      </c>
    </row>
    <row r="41" spans="1:41" x14ac:dyDescent="0.3">
      <c r="A41" t="s">
        <v>195</v>
      </c>
      <c r="B41" t="s">
        <v>218</v>
      </c>
      <c r="C41" t="s">
        <v>241</v>
      </c>
      <c r="D41" t="str">
        <f t="shared" si="0"/>
        <v>Chad Last Name39</v>
      </c>
      <c r="F41" s="1" t="s">
        <v>125</v>
      </c>
      <c r="G41" s="1" t="s">
        <v>325</v>
      </c>
      <c r="H41" s="1" t="s">
        <v>325</v>
      </c>
      <c r="I41" s="1" t="s">
        <v>325</v>
      </c>
      <c r="J41" s="10">
        <f>IF(G41="Y",'Tournament Setup'!$C$5,0)+IF(H41="Y",'Tournament Setup'!$C$6,0)+IF(I41="Y",'Tournament Setup'!$C$7,0)</f>
        <v>120</v>
      </c>
      <c r="K41" s="1"/>
      <c r="L41" t="s">
        <v>320</v>
      </c>
      <c r="M41" t="s">
        <v>120</v>
      </c>
      <c r="O41" s="123">
        <f t="shared" si="1"/>
        <v>43</v>
      </c>
      <c r="S41" s="1">
        <f>IFERROR(IF(INDEX('Shooter-Squad Assignment'!$M:$M,MATCH($A41,'Shooter-Squad Assignment'!$A:$A,0))="","",INDEX('Shooter-Squad Assignment'!$M:$M,MATCH($A41,'Shooter-Squad Assignment'!$A:$A,0))),"")</f>
        <v>286</v>
      </c>
      <c r="T41" s="1" t="str">
        <f>IFERROR(IF(INDEX('Shooter-Squad Assignment'!$N:$N,MATCH($A41,'Shooter-Squad Assignment'!$A:$A,0))="","",S41&amp;"-"&amp;INDEX('Shooter-Squad Assignment'!$N:$N,MATCH($A41,'Shooter-Squad Assignment'!$A:$A,0))),"")</f>
        <v>286-1</v>
      </c>
      <c r="U41" s="1" t="str">
        <f>IFERROR(IF(INDEX('Shooter-Squad Assignment'!$I:$I,MATCH($A41,'Shooter-Squad Assignment'!$A:$A,0))="","",IF(INDEX('Shooter-Squad Assignment'!$I:$I,MATCH($A41,'Shooter-Squad Assignment'!$A:$A,0))=1,S41&amp;"-"&amp;1,"")),"")</f>
        <v>286-1</v>
      </c>
      <c r="V41" t="str">
        <f>IF(ISBLANK($S41),"",IFERROR(INDEX('Squad Listing'!$C:$C,MATCH($S41,'Squad Listing'!$A:$A,0)),""))</f>
        <v>Wiggins Tigers Sporting Club</v>
      </c>
      <c r="W41" t="str">
        <f>IF(ISBLANK($S41),"",IFERROR(INDEX('Squad Listing'!$D:$D,MATCH($S41,'Squad Listing'!$A:$A,0)),""))</f>
        <v>Collegiate</v>
      </c>
      <c r="X41" t="str">
        <f>IF(ISBLANK($S41),"",IFERROR(INDEX('Squad Listing'!$E:$E,MATCH($S41,'Squad Listing'!$A:$A,0)),""))</f>
        <v>Collegiate 1</v>
      </c>
      <c r="Y41" s="123">
        <f t="shared" si="2"/>
        <v>177.1</v>
      </c>
      <c r="Z41" s="278">
        <f t="shared" si="3"/>
        <v>177.1</v>
      </c>
      <c r="AA41" s="278">
        <f>SUMIFS('Skeet Ind Concurrent Ranking'!L:L,'Skeet Ind Concurrent Ranking'!K:K,'Tournament List'!S61)</f>
        <v>0</v>
      </c>
      <c r="AB41" s="123">
        <f t="shared" si="4"/>
        <v>43</v>
      </c>
      <c r="AC41" s="10">
        <v>0.1</v>
      </c>
      <c r="AD41" s="1" t="s">
        <v>123</v>
      </c>
      <c r="AF41">
        <f t="shared" si="5"/>
        <v>44</v>
      </c>
      <c r="AG41" s="123">
        <f t="shared" si="6"/>
        <v>43</v>
      </c>
      <c r="AI41">
        <v>9</v>
      </c>
      <c r="AJ41">
        <v>10</v>
      </c>
      <c r="AK41">
        <v>11</v>
      </c>
      <c r="AL41">
        <v>13</v>
      </c>
      <c r="AM41" t="str">
        <f>IFERROR(INDEX('Skeet Ind Concurrent Scores'!Z:Z,MATCH(A41,'Skeet Ind Concurrent Scores'!X:X,0)),"")</f>
        <v>Collegiate Men's Skeet Runner Up</v>
      </c>
      <c r="AN41" t="str">
        <f>IFERROR(INDEX('Skeet Ind Class Scores'!V:V,MATCH(A41,'Skeet Ind Class Scores'!T:T,0)),"")</f>
        <v/>
      </c>
      <c r="AO41" t="str">
        <f>IFERROR(INDEX('Skeet Team Scores'!AA:AA,MATCH(A41,'Skeet Team Scores'!AB:AB,0)),"")</f>
        <v>Collegiate Skeet Team Runner Up</v>
      </c>
    </row>
    <row r="42" spans="1:41" x14ac:dyDescent="0.3">
      <c r="A42" t="s">
        <v>196</v>
      </c>
      <c r="B42" t="s">
        <v>219</v>
      </c>
      <c r="C42" t="s">
        <v>242</v>
      </c>
      <c r="D42" t="str">
        <f t="shared" si="0"/>
        <v>Troy Last Name40</v>
      </c>
      <c r="F42" s="1" t="s">
        <v>125</v>
      </c>
      <c r="G42" s="1" t="s">
        <v>325</v>
      </c>
      <c r="H42" s="1" t="s">
        <v>325</v>
      </c>
      <c r="I42" s="1" t="s">
        <v>325</v>
      </c>
      <c r="J42" s="10">
        <f>IF(G42="Y",'Tournament Setup'!$C$5,0)+IF(H42="Y",'Tournament Setup'!$C$6,0)+IF(I42="Y",'Tournament Setup'!$C$7,0)</f>
        <v>120</v>
      </c>
      <c r="K42" s="1"/>
      <c r="L42" t="s">
        <v>321</v>
      </c>
      <c r="M42" t="s">
        <v>119</v>
      </c>
      <c r="O42" s="123">
        <f t="shared" si="1"/>
        <v>59</v>
      </c>
      <c r="S42" s="1">
        <f>IFERROR(IF(INDEX('Shooter-Squad Assignment'!$M:$M,MATCH($A42,'Shooter-Squad Assignment'!$A:$A,0))="","",INDEX('Shooter-Squad Assignment'!$M:$M,MATCH($A42,'Shooter-Squad Assignment'!$A:$A,0))),"")</f>
        <v>74</v>
      </c>
      <c r="T42" s="1" t="str">
        <f>IFERROR(IF(INDEX('Shooter-Squad Assignment'!$N:$N,MATCH($A42,'Shooter-Squad Assignment'!$A:$A,0))="","",S42&amp;"-"&amp;INDEX('Shooter-Squad Assignment'!$N:$N,MATCH($A42,'Shooter-Squad Assignment'!$A:$A,0))),"")</f>
        <v>74-3</v>
      </c>
      <c r="U42" s="1" t="str">
        <f>IFERROR(IF(INDEX('Shooter-Squad Assignment'!$I:$I,MATCH($A42,'Shooter-Squad Assignment'!$A:$A,0))="","",IF(INDEX('Shooter-Squad Assignment'!$I:$I,MATCH($A42,'Shooter-Squad Assignment'!$A:$A,0))=1,S42&amp;"-"&amp;1,"")),"")</f>
        <v/>
      </c>
      <c r="V42" t="str">
        <f>IF(ISBLANK($S42),"",IFERROR(INDEX('Squad Listing'!$C:$C,MATCH($S42,'Squad Listing'!$A:$A,0)),""))</f>
        <v>Forge Christian Shooting Team</v>
      </c>
      <c r="W42" t="str">
        <f>IF(ISBLANK($S42),"",IFERROR(INDEX('Squad Listing'!$D:$D,MATCH($S42,'Squad Listing'!$A:$A,0)),""))</f>
        <v>Varsity</v>
      </c>
      <c r="X42" t="str">
        <f>IF(ISBLANK($S42),"",IFERROR(INDEX('Squad Listing'!$E:$E,MATCH($S42,'Squad Listing'!$A:$A,0)),""))</f>
        <v>Varsity 1</v>
      </c>
      <c r="Y42" s="123" t="str">
        <f t="shared" si="2"/>
        <v/>
      </c>
      <c r="Z42" s="278">
        <f t="shared" si="3"/>
        <v>154</v>
      </c>
      <c r="AA42" s="278">
        <f>SUMIFS('Skeet Ind Concurrent Ranking'!L:L,'Skeet Ind Concurrent Ranking'!K:K,'Tournament List'!S62)</f>
        <v>0</v>
      </c>
      <c r="AB42" s="123">
        <f t="shared" si="4"/>
        <v>59</v>
      </c>
      <c r="AD42" s="1" t="s">
        <v>124</v>
      </c>
      <c r="AF42">
        <f t="shared" si="5"/>
        <v>37</v>
      </c>
      <c r="AG42" s="123">
        <f t="shared" si="6"/>
        <v>59</v>
      </c>
      <c r="AI42">
        <v>13</v>
      </c>
      <c r="AJ42">
        <v>15</v>
      </c>
      <c r="AK42">
        <v>17</v>
      </c>
      <c r="AL42">
        <v>14</v>
      </c>
      <c r="AM42" t="str">
        <f>IFERROR(INDEX('Skeet Ind Concurrent Scores'!Z:Z,MATCH(A42,'Skeet Ind Concurrent Scores'!X:X,0)),"")</f>
        <v>Varsity Men's Skeet 3rd</v>
      </c>
      <c r="AN42" t="str">
        <f>IFERROR(INDEX('Skeet Ind Class Scores'!V:V,MATCH(A42,'Skeet Ind Class Scores'!T:T,0)),"")</f>
        <v>D Class Skeet Men's Champion</v>
      </c>
      <c r="AO42" t="str">
        <f>IFERROR(INDEX('Skeet Team Scores'!AA:AA,MATCH(A42,'Skeet Team Scores'!AB:AB,0)),"")</f>
        <v>Varsity Skeet Team Champion</v>
      </c>
    </row>
    <row r="43" spans="1:41" x14ac:dyDescent="0.3">
      <c r="A43" t="s">
        <v>197</v>
      </c>
      <c r="B43" t="s">
        <v>220</v>
      </c>
      <c r="C43" t="s">
        <v>243</v>
      </c>
      <c r="D43" t="str">
        <f t="shared" si="0"/>
        <v>Trey Last Name41</v>
      </c>
      <c r="F43" s="1" t="s">
        <v>125</v>
      </c>
      <c r="G43" s="1" t="s">
        <v>325</v>
      </c>
      <c r="H43" s="1" t="s">
        <v>325</v>
      </c>
      <c r="I43" s="1" t="s">
        <v>325</v>
      </c>
      <c r="J43" s="10">
        <f>IF(G43="Y",'Tournament Setup'!$C$5,0)+IF(H43="Y",'Tournament Setup'!$C$6,0)+IF(I43="Y",'Tournament Setup'!$C$7,0)</f>
        <v>120</v>
      </c>
      <c r="K43" s="1"/>
      <c r="L43" t="s">
        <v>322</v>
      </c>
      <c r="M43" t="s">
        <v>119</v>
      </c>
      <c r="O43" s="123">
        <f t="shared" si="1"/>
        <v>84</v>
      </c>
      <c r="S43" s="1" t="str">
        <f>IFERROR(IF(INDEX('Shooter-Squad Assignment'!$M:$M,MATCH($A43,'Shooter-Squad Assignment'!$A:$A,0))="","",INDEX('Shooter-Squad Assignment'!$M:$M,MATCH($A43,'Shooter-Squad Assignment'!$A:$A,0))),"")</f>
        <v/>
      </c>
      <c r="T43" s="1" t="str">
        <f>IFERROR(IF(INDEX('Shooter-Squad Assignment'!$N:$N,MATCH($A43,'Shooter-Squad Assignment'!$A:$A,0))="","",S43&amp;"-"&amp;INDEX('Shooter-Squad Assignment'!$N:$N,MATCH($A43,'Shooter-Squad Assignment'!$A:$A,0))),"")</f>
        <v/>
      </c>
      <c r="U43" s="1" t="str">
        <f>IFERROR(IF(INDEX('Shooter-Squad Assignment'!$I:$I,MATCH($A43,'Shooter-Squad Assignment'!$A:$A,0))="","",IF(INDEX('Shooter-Squad Assignment'!$I:$I,MATCH($A43,'Shooter-Squad Assignment'!$A:$A,0))=1,S43&amp;"-"&amp;1,"")),"")</f>
        <v/>
      </c>
      <c r="V43" t="str">
        <f>IF(ISBLANK($S43),"",IFERROR(INDEX('Squad Listing'!$C:$C,MATCH($S43,'Squad Listing'!$A:$A,0)),""))</f>
        <v/>
      </c>
      <c r="W43" t="str">
        <f>IF(ISBLANK($S43),"",IFERROR(INDEX('Squad Listing'!$D:$D,MATCH($S43,'Squad Listing'!$A:$A,0)),""))</f>
        <v/>
      </c>
      <c r="X43" t="str">
        <f>IF(ISBLANK($S43),"",IFERROR(INDEX('Squad Listing'!$E:$E,MATCH($S43,'Squad Listing'!$A:$A,0)),""))</f>
        <v/>
      </c>
      <c r="Y43" s="123" t="str">
        <f t="shared" si="2"/>
        <v/>
      </c>
      <c r="Z43" s="278">
        <f t="shared" si="3"/>
        <v>0</v>
      </c>
      <c r="AA43" s="278">
        <f>SUMIFS('Skeet Ind Concurrent Ranking'!L:L,'Skeet Ind Concurrent Ranking'!K:K,'Tournament List'!S63)</f>
        <v>0</v>
      </c>
      <c r="AB43" s="123">
        <f t="shared" si="4"/>
        <v>84</v>
      </c>
      <c r="AD43" s="1" t="s">
        <v>123</v>
      </c>
      <c r="AF43">
        <f t="shared" si="5"/>
        <v>15</v>
      </c>
      <c r="AG43" s="123">
        <f t="shared" si="6"/>
        <v>84</v>
      </c>
      <c r="AI43">
        <v>21</v>
      </c>
      <c r="AJ43">
        <v>20</v>
      </c>
      <c r="AK43">
        <v>22</v>
      </c>
      <c r="AL43">
        <v>21</v>
      </c>
      <c r="AM43" t="str">
        <f>IFERROR(INDEX('Skeet Ind Concurrent Scores'!Z:Z,MATCH(A43,'Skeet Ind Concurrent Scores'!X:X,0)),"")</f>
        <v>Varsity Skeet Runner Up</v>
      </c>
      <c r="AN43" t="str">
        <f>IFERROR(INDEX('Skeet Ind Class Scores'!V:V,MATCH(A43,'Skeet Ind Class Scores'!T:T,0)),"")</f>
        <v>C Class Skeet Men's Champion</v>
      </c>
      <c r="AO43" t="str">
        <f>IFERROR(INDEX('Skeet Team Scores'!AA:AA,MATCH(A43,'Skeet Team Scores'!AB:AB,0)),"")</f>
        <v/>
      </c>
    </row>
    <row r="44" spans="1:41" x14ac:dyDescent="0.3">
      <c r="A44" t="s">
        <v>198</v>
      </c>
      <c r="B44" t="s">
        <v>221</v>
      </c>
      <c r="C44" t="s">
        <v>244</v>
      </c>
      <c r="D44" t="str">
        <f t="shared" si="0"/>
        <v>Owen Last Name42</v>
      </c>
      <c r="F44" s="1" t="s">
        <v>125</v>
      </c>
      <c r="G44" s="1" t="s">
        <v>325</v>
      </c>
      <c r="H44" s="1" t="s">
        <v>325</v>
      </c>
      <c r="I44" s="1" t="s">
        <v>325</v>
      </c>
      <c r="J44" s="10">
        <f>IF(G44="Y",'Tournament Setup'!$C$5,0)+IF(H44="Y",'Tournament Setup'!$C$6,0)+IF(I44="Y",'Tournament Setup'!$C$7,0)</f>
        <v>120</v>
      </c>
      <c r="K44" s="1"/>
      <c r="L44" t="s">
        <v>323</v>
      </c>
      <c r="M44" t="s">
        <v>116</v>
      </c>
      <c r="O44" s="123">
        <f t="shared" si="1"/>
        <v>60</v>
      </c>
      <c r="S44" s="1">
        <f>IFERROR(IF(INDEX('Shooter-Squad Assignment'!$M:$M,MATCH($A44,'Shooter-Squad Assignment'!$A:$A,0))="","",INDEX('Shooter-Squad Assignment'!$M:$M,MATCH($A44,'Shooter-Squad Assignment'!$A:$A,0))),"")</f>
        <v>181</v>
      </c>
      <c r="T44" s="1" t="str">
        <f>IFERROR(IF(INDEX('Shooter-Squad Assignment'!$N:$N,MATCH($A44,'Shooter-Squad Assignment'!$A:$A,0))="","",S44&amp;"-"&amp;INDEX('Shooter-Squad Assignment'!$N:$N,MATCH($A44,'Shooter-Squad Assignment'!$A:$A,0))),"")</f>
        <v>181-3</v>
      </c>
      <c r="U44" s="1" t="str">
        <f>IFERROR(IF(INDEX('Shooter-Squad Assignment'!$I:$I,MATCH($A44,'Shooter-Squad Assignment'!$A:$A,0))="","",IF(INDEX('Shooter-Squad Assignment'!$I:$I,MATCH($A44,'Shooter-Squad Assignment'!$A:$A,0))=1,S44&amp;"-"&amp;1,"")),"")</f>
        <v/>
      </c>
      <c r="V44" t="str">
        <f>IF(ISBLANK($S44),"",IFERROR(INDEX('Squad Listing'!$C:$C,MATCH($S44,'Squad Listing'!$A:$A,0)),""))</f>
        <v>Littleton Target Masters</v>
      </c>
      <c r="W44" t="str">
        <f>IF(ISBLANK($S44),"",IFERROR(INDEX('Squad Listing'!$D:$D,MATCH($S44,'Squad Listing'!$A:$A,0)),""))</f>
        <v>Novice</v>
      </c>
      <c r="X44" t="str">
        <f>IF(ISBLANK($S44),"",IFERROR(INDEX('Squad Listing'!$E:$E,MATCH($S44,'Squad Listing'!$A:$A,0)),""))</f>
        <v>Novice 1</v>
      </c>
      <c r="Y44" s="123" t="str">
        <f t="shared" si="2"/>
        <v/>
      </c>
      <c r="Z44" s="278">
        <f t="shared" si="3"/>
        <v>174</v>
      </c>
      <c r="AA44" s="278">
        <f>SUMIFS('Skeet Ind Concurrent Ranking'!L:L,'Skeet Ind Concurrent Ranking'!K:K,'Tournament List'!S64)</f>
        <v>0</v>
      </c>
      <c r="AB44" s="123">
        <f t="shared" si="4"/>
        <v>60</v>
      </c>
      <c r="AD44" s="1" t="s">
        <v>123</v>
      </c>
      <c r="AF44">
        <f t="shared" si="5"/>
        <v>36</v>
      </c>
      <c r="AG44" s="123">
        <f t="shared" si="6"/>
        <v>60</v>
      </c>
      <c r="AI44">
        <v>12</v>
      </c>
      <c r="AJ44">
        <v>17</v>
      </c>
      <c r="AK44">
        <v>16</v>
      </c>
      <c r="AL44">
        <v>15</v>
      </c>
      <c r="AM44" t="str">
        <f>IFERROR(INDEX('Skeet Ind Concurrent Scores'!Z:Z,MATCH(A44,'Skeet Ind Concurrent Scores'!X:X,0)),"")</f>
        <v/>
      </c>
      <c r="AN44" t="str">
        <f>IFERROR(INDEX('Skeet Ind Class Scores'!V:V,MATCH(A44,'Skeet Ind Class Scores'!T:T,0)),"")</f>
        <v/>
      </c>
      <c r="AO44" t="str">
        <f>IFERROR(INDEX('Skeet Team Scores'!AA:AA,MATCH(A44,'Skeet Team Scores'!AB:AB,0)),"")</f>
        <v>Novice Skeet Team 3rd</v>
      </c>
    </row>
    <row r="45" spans="1:41" x14ac:dyDescent="0.3">
      <c r="A45" t="s">
        <v>199</v>
      </c>
      <c r="B45" t="s">
        <v>222</v>
      </c>
      <c r="C45" t="s">
        <v>245</v>
      </c>
      <c r="D45" t="str">
        <f t="shared" si="0"/>
        <v>Terry Last Name43</v>
      </c>
      <c r="F45" s="1" t="s">
        <v>126</v>
      </c>
      <c r="G45" s="1" t="s">
        <v>325</v>
      </c>
      <c r="H45" s="1" t="s">
        <v>325</v>
      </c>
      <c r="I45" s="1" t="s">
        <v>325</v>
      </c>
      <c r="J45" s="10">
        <f>IF(G45="Y",'Tournament Setup'!$C$5,0)+IF(H45="Y",'Tournament Setup'!$C$6,0)+IF(I45="Y",'Tournament Setup'!$C$7,0)</f>
        <v>120</v>
      </c>
      <c r="K45" s="1"/>
      <c r="L45" t="s">
        <v>307</v>
      </c>
      <c r="M45" t="s">
        <v>117</v>
      </c>
      <c r="O45" s="123">
        <f t="shared" si="1"/>
        <v>88</v>
      </c>
      <c r="S45" s="1">
        <f>IFERROR(IF(INDEX('Shooter-Squad Assignment'!$M:$M,MATCH($A45,'Shooter-Squad Assignment'!$A:$A,0))="","",INDEX('Shooter-Squad Assignment'!$M:$M,MATCH($A45,'Shooter-Squad Assignment'!$A:$A,0))),"")</f>
        <v>118</v>
      </c>
      <c r="T45" s="1" t="str">
        <f>IFERROR(IF(INDEX('Shooter-Squad Assignment'!$N:$N,MATCH($A45,'Shooter-Squad Assignment'!$A:$A,0))="","",S45&amp;"-"&amp;INDEX('Shooter-Squad Assignment'!$N:$N,MATCH($A45,'Shooter-Squad Assignment'!$A:$A,0))),"")</f>
        <v>118-3</v>
      </c>
      <c r="U45" s="1" t="str">
        <f>IFERROR(IF(INDEX('Shooter-Squad Assignment'!$I:$I,MATCH($A45,'Shooter-Squad Assignment'!$A:$A,0))="","",IF(INDEX('Shooter-Squad Assignment'!$I:$I,MATCH($A45,'Shooter-Squad Assignment'!$A:$A,0))=1,S45&amp;"-"&amp;1,"")),"")</f>
        <v/>
      </c>
      <c r="V45" t="str">
        <f>IF(ISBLANK($S45),"",IFERROR(INDEX('Squad Listing'!$C:$C,MATCH($S45,'Squad Listing'!$A:$A,0)),""))</f>
        <v>High Plains Drifters</v>
      </c>
      <c r="W45" t="str">
        <f>IF(ISBLANK($S45),"",IFERROR(INDEX('Squad Listing'!$D:$D,MATCH($S45,'Squad Listing'!$A:$A,0)),""))</f>
        <v>Intermediate</v>
      </c>
      <c r="X45" t="str">
        <f>IF(ISBLANK($S45),"",IFERROR(INDEX('Squad Listing'!$E:$E,MATCH($S45,'Squad Listing'!$A:$A,0)),""))</f>
        <v>Intermediate 1</v>
      </c>
      <c r="Y45" s="123" t="str">
        <f t="shared" si="2"/>
        <v/>
      </c>
      <c r="Z45" s="278">
        <f t="shared" si="3"/>
        <v>277</v>
      </c>
      <c r="AA45" s="278">
        <f>SUMIFS('Skeet Ind Concurrent Ranking'!L:L,'Skeet Ind Concurrent Ranking'!K:K,'Tournament List'!S65)</f>
        <v>0</v>
      </c>
      <c r="AB45" s="123">
        <f t="shared" si="4"/>
        <v>88</v>
      </c>
      <c r="AD45" s="1" t="s">
        <v>123</v>
      </c>
      <c r="AF45">
        <f t="shared" si="5"/>
        <v>11</v>
      </c>
      <c r="AG45" s="123">
        <f t="shared" si="6"/>
        <v>88</v>
      </c>
      <c r="AI45">
        <v>25</v>
      </c>
      <c r="AJ45">
        <v>20</v>
      </c>
      <c r="AK45">
        <v>20</v>
      </c>
      <c r="AL45">
        <v>23</v>
      </c>
      <c r="AM45" t="str">
        <f>IFERROR(INDEX('Skeet Ind Concurrent Scores'!Z:Z,MATCH(A45,'Skeet Ind Concurrent Scores'!X:X,0)),"")</f>
        <v>Intermediate Skeet Champion</v>
      </c>
      <c r="AN45" t="str">
        <f>IFERROR(INDEX('Skeet Ind Class Scores'!V:V,MATCH(A45,'Skeet Ind Class Scores'!T:T,0)),"")</f>
        <v>C Class Skeet 3rd</v>
      </c>
      <c r="AO45" t="str">
        <f>IFERROR(INDEX('Skeet Team Scores'!AA:AA,MATCH(A45,'Skeet Team Scores'!AB:AB,0)),"")</f>
        <v>Intermediate Skeet Team Champion</v>
      </c>
    </row>
    <row r="46" spans="1:41" x14ac:dyDescent="0.3">
      <c r="A46" t="s">
        <v>200</v>
      </c>
      <c r="B46" t="s">
        <v>223</v>
      </c>
      <c r="C46" t="s">
        <v>246</v>
      </c>
      <c r="D46" t="str">
        <f t="shared" si="0"/>
        <v>Trisha Last Name44</v>
      </c>
      <c r="F46" s="1" t="s">
        <v>126</v>
      </c>
      <c r="G46" s="1" t="s">
        <v>325</v>
      </c>
      <c r="H46" s="1" t="s">
        <v>325</v>
      </c>
      <c r="I46" s="1" t="s">
        <v>325</v>
      </c>
      <c r="J46" s="10">
        <f>IF(G46="Y",'Tournament Setup'!$C$5,0)+IF(H46="Y",'Tournament Setup'!$C$6,0)+IF(I46="Y",'Tournament Setup'!$C$7,0)</f>
        <v>120</v>
      </c>
      <c r="K46" s="1"/>
      <c r="L46" t="s">
        <v>319</v>
      </c>
      <c r="M46" t="s">
        <v>117</v>
      </c>
      <c r="O46" s="123">
        <f t="shared" si="1"/>
        <v>72</v>
      </c>
      <c r="S46" s="1">
        <f>IFERROR(IF(INDEX('Shooter-Squad Assignment'!$M:$M,MATCH($A46,'Shooter-Squad Assignment'!$A:$A,0))="","",INDEX('Shooter-Squad Assignment'!$M:$M,MATCH($A46,'Shooter-Squad Assignment'!$A:$A,0))),"")</f>
        <v>232</v>
      </c>
      <c r="T46" s="1" t="str">
        <f>IFERROR(IF(INDEX('Shooter-Squad Assignment'!$N:$N,MATCH($A46,'Shooter-Squad Assignment'!$A:$A,0))="","",S46&amp;"-"&amp;INDEX('Shooter-Squad Assignment'!$N:$N,MATCH($A46,'Shooter-Squad Assignment'!$A:$A,0))),"")</f>
        <v>232-1</v>
      </c>
      <c r="U46" s="1" t="str">
        <f>IFERROR(IF(INDEX('Shooter-Squad Assignment'!$I:$I,MATCH($A46,'Shooter-Squad Assignment'!$A:$A,0))="","",IF(INDEX('Shooter-Squad Assignment'!$I:$I,MATCH($A46,'Shooter-Squad Assignment'!$A:$A,0))=1,S46&amp;"-"&amp;1,"")),"")</f>
        <v>232-1</v>
      </c>
      <c r="V46" t="str">
        <f>IF(ISBLANK($S46),"",IFERROR(INDEX('Squad Listing'!$C:$C,MATCH($S46,'Squad Listing'!$A:$A,0)),""))</f>
        <v>Rocky Mountain Clay Busters</v>
      </c>
      <c r="W46" t="str">
        <f>IF(ISBLANK($S46),"",IFERROR(INDEX('Squad Listing'!$D:$D,MATCH($S46,'Squad Listing'!$A:$A,0)),""))</f>
        <v>Intermediate</v>
      </c>
      <c r="X46" t="str">
        <f>IF(ISBLANK($S46),"",IFERROR(INDEX('Squad Listing'!$E:$E,MATCH($S46,'Squad Listing'!$A:$A,0)),""))</f>
        <v>Intermediate 1</v>
      </c>
      <c r="Y46" s="123">
        <f t="shared" si="2"/>
        <v>177</v>
      </c>
      <c r="Z46" s="278">
        <f t="shared" si="3"/>
        <v>177</v>
      </c>
      <c r="AA46" s="278">
        <f>SUMIFS('Skeet Ind Concurrent Ranking'!L:L,'Skeet Ind Concurrent Ranking'!K:K,'Tournament List'!S66)</f>
        <v>0</v>
      </c>
      <c r="AB46" s="123">
        <f t="shared" si="4"/>
        <v>72</v>
      </c>
      <c r="AD46" s="1" t="s">
        <v>124</v>
      </c>
      <c r="AF46">
        <f t="shared" si="5"/>
        <v>23</v>
      </c>
      <c r="AG46" s="123">
        <f t="shared" si="6"/>
        <v>72.099999999999994</v>
      </c>
      <c r="AH46" s="123">
        <v>0.1</v>
      </c>
      <c r="AI46">
        <v>15</v>
      </c>
      <c r="AJ46">
        <v>18</v>
      </c>
      <c r="AK46">
        <v>20</v>
      </c>
      <c r="AL46">
        <v>19</v>
      </c>
      <c r="AM46" t="str">
        <f>IFERROR(INDEX('Skeet Ind Concurrent Scores'!Z:Z,MATCH(A46,'Skeet Ind Concurrent Scores'!X:X,0)),"")</f>
        <v>Intermediate Skeet 3rd</v>
      </c>
      <c r="AN46" t="str">
        <f>IFERROR(INDEX('Skeet Ind Class Scores'!V:V,MATCH(A46,'Skeet Ind Class Scores'!T:T,0)),"")</f>
        <v>D Class Skeet Runner Up</v>
      </c>
      <c r="AO46" t="str">
        <f>IFERROR(INDEX('Skeet Team Scores'!AA:AA,MATCH(A46,'Skeet Team Scores'!AB:AB,0)),"")</f>
        <v>Intermediate Skeet Team 3rd</v>
      </c>
    </row>
    <row r="47" spans="1:41" x14ac:dyDescent="0.3">
      <c r="A47" t="s">
        <v>201</v>
      </c>
      <c r="B47" t="s">
        <v>224</v>
      </c>
      <c r="C47" t="s">
        <v>247</v>
      </c>
      <c r="D47" t="str">
        <f t="shared" si="0"/>
        <v>Dee Last Name45</v>
      </c>
      <c r="F47" s="1" t="s">
        <v>126</v>
      </c>
      <c r="G47" s="1" t="s">
        <v>325</v>
      </c>
      <c r="H47" s="1" t="s">
        <v>325</v>
      </c>
      <c r="I47" s="1" t="s">
        <v>325</v>
      </c>
      <c r="J47" s="10">
        <f>IF(G47="Y",'Tournament Setup'!$C$5,0)+IF(H47="Y",'Tournament Setup'!$C$6,0)+IF(I47="Y",'Tournament Setup'!$C$7,0)</f>
        <v>120</v>
      </c>
      <c r="K47" s="1"/>
      <c r="L47" t="s">
        <v>320</v>
      </c>
      <c r="M47" t="s">
        <v>116</v>
      </c>
      <c r="O47" s="123">
        <f t="shared" si="1"/>
        <v>54</v>
      </c>
      <c r="S47" s="1">
        <f>IFERROR(IF(INDEX('Shooter-Squad Assignment'!$M:$M,MATCH($A47,'Shooter-Squad Assignment'!$A:$A,0))="","",INDEX('Shooter-Squad Assignment'!$M:$M,MATCH($A47,'Shooter-Squad Assignment'!$A:$A,0))),"")</f>
        <v>295</v>
      </c>
      <c r="T47" s="1" t="str">
        <f>IFERROR(IF(INDEX('Shooter-Squad Assignment'!$N:$N,MATCH($A47,'Shooter-Squad Assignment'!$A:$A,0))="","",S47&amp;"-"&amp;INDEX('Shooter-Squad Assignment'!$N:$N,MATCH($A47,'Shooter-Squad Assignment'!$A:$A,0))),"")</f>
        <v>295-1</v>
      </c>
      <c r="U47" s="1" t="str">
        <f>IFERROR(IF(INDEX('Shooter-Squad Assignment'!$I:$I,MATCH($A47,'Shooter-Squad Assignment'!$A:$A,0))="","",IF(INDEX('Shooter-Squad Assignment'!$I:$I,MATCH($A47,'Shooter-Squad Assignment'!$A:$A,0))=1,S47&amp;"-"&amp;1,"")),"")</f>
        <v>295-1</v>
      </c>
      <c r="V47" t="str">
        <f>IF(ISBLANK($S47),"",IFERROR(INDEX('Squad Listing'!$C:$C,MATCH($S47,'Squad Listing'!$A:$A,0)),""))</f>
        <v>Wiggins Tigers Sporting Club</v>
      </c>
      <c r="W47" t="str">
        <f>IF(ISBLANK($S47),"",IFERROR(INDEX('Squad Listing'!$D:$D,MATCH($S47,'Squad Listing'!$A:$A,0)),""))</f>
        <v>Novice</v>
      </c>
      <c r="X47" t="str">
        <f>IF(ISBLANK($S47),"",IFERROR(INDEX('Squad Listing'!$E:$E,MATCH($S47,'Squad Listing'!$A:$A,0)),""))</f>
        <v>Novice 1</v>
      </c>
      <c r="Y47" s="123">
        <f t="shared" si="2"/>
        <v>199</v>
      </c>
      <c r="Z47" s="278">
        <f t="shared" si="3"/>
        <v>199</v>
      </c>
      <c r="AA47" s="278">
        <f>SUMIFS('Skeet Ind Concurrent Ranking'!L:L,'Skeet Ind Concurrent Ranking'!K:K,'Tournament List'!S67)</f>
        <v>0</v>
      </c>
      <c r="AB47" s="123">
        <f t="shared" si="4"/>
        <v>54</v>
      </c>
      <c r="AD47" s="1" t="s">
        <v>122</v>
      </c>
      <c r="AF47">
        <f t="shared" si="5"/>
        <v>38</v>
      </c>
      <c r="AG47" s="123">
        <f t="shared" si="6"/>
        <v>54</v>
      </c>
      <c r="AI47">
        <v>13</v>
      </c>
      <c r="AJ47">
        <v>12</v>
      </c>
      <c r="AK47">
        <v>15</v>
      </c>
      <c r="AL47">
        <v>14</v>
      </c>
      <c r="AM47" t="str">
        <f>IFERROR(INDEX('Skeet Ind Concurrent Scores'!Z:Z,MATCH(A47,'Skeet Ind Concurrent Scores'!X:X,0)),"")</f>
        <v>Novice Lady's Skeet Runner Up</v>
      </c>
      <c r="AN47" t="str">
        <f>IFERROR(INDEX('Skeet Ind Class Scores'!V:V,MATCH(A47,'Skeet Ind Class Scores'!T:T,0)),"")</f>
        <v/>
      </c>
      <c r="AO47" t="str">
        <f>IFERROR(INDEX('Skeet Team Scores'!AA:AA,MATCH(A47,'Skeet Team Scores'!AB:AB,0)),"")</f>
        <v>Novice Skeet Team 3rd</v>
      </c>
    </row>
    <row r="48" spans="1:41" x14ac:dyDescent="0.3">
      <c r="A48" t="s">
        <v>202</v>
      </c>
      <c r="B48" t="s">
        <v>225</v>
      </c>
      <c r="C48" t="s">
        <v>248</v>
      </c>
      <c r="D48" t="str">
        <f t="shared" si="0"/>
        <v>Sam Last Name46</v>
      </c>
      <c r="F48" s="1" t="s">
        <v>125</v>
      </c>
      <c r="G48" s="1" t="s">
        <v>325</v>
      </c>
      <c r="H48" s="1" t="s">
        <v>325</v>
      </c>
      <c r="I48" s="1" t="s">
        <v>325</v>
      </c>
      <c r="J48" s="10">
        <f>IF(G48="Y",'Tournament Setup'!$C$5,0)+IF(H48="Y",'Tournament Setup'!$C$6,0)+IF(I48="Y",'Tournament Setup'!$C$7,0)</f>
        <v>120</v>
      </c>
      <c r="K48" s="1"/>
      <c r="L48" t="s">
        <v>321</v>
      </c>
      <c r="M48" t="s">
        <v>119</v>
      </c>
      <c r="O48" s="123">
        <f t="shared" si="1"/>
        <v>32</v>
      </c>
      <c r="S48" s="1">
        <f>IFERROR(IF(INDEX('Shooter-Squad Assignment'!$M:$M,MATCH($A48,'Shooter-Squad Assignment'!$A:$A,0))="","",INDEX('Shooter-Squad Assignment'!$M:$M,MATCH($A48,'Shooter-Squad Assignment'!$A:$A,0))),"")</f>
        <v>74</v>
      </c>
      <c r="T48" s="1" t="str">
        <f>IFERROR(IF(INDEX('Shooter-Squad Assignment'!$N:$N,MATCH($A48,'Shooter-Squad Assignment'!$A:$A,0))="","",S48&amp;"-"&amp;INDEX('Shooter-Squad Assignment'!$N:$N,MATCH($A48,'Shooter-Squad Assignment'!$A:$A,0))),"")</f>
        <v>74-1</v>
      </c>
      <c r="U48" s="1" t="str">
        <f>IFERROR(IF(INDEX('Shooter-Squad Assignment'!$I:$I,MATCH($A48,'Shooter-Squad Assignment'!$A:$A,0))="","",IF(INDEX('Shooter-Squad Assignment'!$I:$I,MATCH($A48,'Shooter-Squad Assignment'!$A:$A,0))=1,S48&amp;"-"&amp;1,"")),"")</f>
        <v>74-1</v>
      </c>
      <c r="V48" t="str">
        <f>IF(ISBLANK($S48),"",IFERROR(INDEX('Squad Listing'!$C:$C,MATCH($S48,'Squad Listing'!$A:$A,0)),""))</f>
        <v>Forge Christian Shooting Team</v>
      </c>
      <c r="W48" t="str">
        <f>IF(ISBLANK($S48),"",IFERROR(INDEX('Squad Listing'!$D:$D,MATCH($S48,'Squad Listing'!$A:$A,0)),""))</f>
        <v>Varsity</v>
      </c>
      <c r="X48" t="str">
        <f>IF(ISBLANK($S48),"",IFERROR(INDEX('Squad Listing'!$E:$E,MATCH($S48,'Squad Listing'!$A:$A,0)),""))</f>
        <v>Varsity 1</v>
      </c>
      <c r="Y48" s="123">
        <f t="shared" si="2"/>
        <v>154</v>
      </c>
      <c r="Z48" s="278">
        <f t="shared" si="3"/>
        <v>154</v>
      </c>
      <c r="AA48" s="278">
        <f>SUMIFS('Skeet Ind Concurrent Ranking'!L:L,'Skeet Ind Concurrent Ranking'!K:K,'Tournament List'!S68)</f>
        <v>0</v>
      </c>
      <c r="AB48" s="123">
        <f t="shared" si="4"/>
        <v>32</v>
      </c>
      <c r="AD48" s="1" t="s">
        <v>122</v>
      </c>
      <c r="AF48">
        <f t="shared" si="5"/>
        <v>47</v>
      </c>
      <c r="AG48" s="123">
        <f t="shared" si="6"/>
        <v>32</v>
      </c>
      <c r="AI48">
        <v>5</v>
      </c>
      <c r="AJ48">
        <v>9</v>
      </c>
      <c r="AK48">
        <v>10</v>
      </c>
      <c r="AL48">
        <v>8</v>
      </c>
      <c r="AM48" t="str">
        <f>IFERROR(INDEX('Skeet Ind Concurrent Scores'!Z:Z,MATCH(A48,'Skeet Ind Concurrent Scores'!X:X,0)),"")</f>
        <v/>
      </c>
      <c r="AN48" t="str">
        <f>IFERROR(INDEX('Skeet Ind Class Scores'!V:V,MATCH(A48,'Skeet Ind Class Scores'!T:T,0)),"")</f>
        <v/>
      </c>
      <c r="AO48" t="str">
        <f>IFERROR(INDEX('Skeet Team Scores'!AA:AA,MATCH(A48,'Skeet Team Scores'!AB:AB,0)),"")</f>
        <v>Varsity Skeet Team Champion</v>
      </c>
    </row>
    <row r="49" spans="1:41" x14ac:dyDescent="0.3">
      <c r="A49" t="s">
        <v>203</v>
      </c>
      <c r="B49" t="s">
        <v>226</v>
      </c>
      <c r="C49" t="s">
        <v>249</v>
      </c>
      <c r="D49" t="str">
        <f t="shared" si="0"/>
        <v>Rick Last Name47</v>
      </c>
      <c r="F49" s="1" t="s">
        <v>125</v>
      </c>
      <c r="G49" s="1" t="s">
        <v>325</v>
      </c>
      <c r="H49" s="1" t="s">
        <v>325</v>
      </c>
      <c r="I49" s="1" t="s">
        <v>325</v>
      </c>
      <c r="J49" s="10">
        <f>IF(G49="Y",'Tournament Setup'!$C$5,0)+IF(H49="Y",'Tournament Setup'!$C$6,0)+IF(I49="Y",'Tournament Setup'!$C$7,0)</f>
        <v>120</v>
      </c>
      <c r="K49" s="1"/>
      <c r="L49" t="s">
        <v>322</v>
      </c>
      <c r="M49" t="s">
        <v>116</v>
      </c>
      <c r="O49" s="123">
        <f t="shared" si="1"/>
        <v>65</v>
      </c>
      <c r="S49" s="1">
        <f>IFERROR(IF(INDEX('Shooter-Squad Assignment'!$M:$M,MATCH($A49,'Shooter-Squad Assignment'!$A:$A,0))="","",INDEX('Shooter-Squad Assignment'!$M:$M,MATCH($A49,'Shooter-Squad Assignment'!$A:$A,0))),"")</f>
        <v>10</v>
      </c>
      <c r="T49" s="1" t="str">
        <f>IFERROR(IF(INDEX('Shooter-Squad Assignment'!$N:$N,MATCH($A49,'Shooter-Squad Assignment'!$A:$A,0))="","",S49&amp;"-"&amp;INDEX('Shooter-Squad Assignment'!$N:$N,MATCH($A49,'Shooter-Squad Assignment'!$A:$A,0))),"")</f>
        <v>10-3</v>
      </c>
      <c r="U49" s="1" t="str">
        <f>IFERROR(IF(INDEX('Shooter-Squad Assignment'!$I:$I,MATCH($A49,'Shooter-Squad Assignment'!$A:$A,0))="","",IF(INDEX('Shooter-Squad Assignment'!$I:$I,MATCH($A49,'Shooter-Squad Assignment'!$A:$A,0))=1,S49&amp;"-"&amp;1,"")),"")</f>
        <v/>
      </c>
      <c r="V49" t="str">
        <f>IF(ISBLANK($S49),"",IFERROR(INDEX('Squad Listing'!$C:$C,MATCH($S49,'Squad Listing'!$A:$A,0)),""))</f>
        <v>Brighton Clay Crushers</v>
      </c>
      <c r="W49" t="str">
        <f>IF(ISBLANK($S49),"",IFERROR(INDEX('Squad Listing'!$D:$D,MATCH($S49,'Squad Listing'!$A:$A,0)),""))</f>
        <v>Novice</v>
      </c>
      <c r="X49" t="str">
        <f>IF(ISBLANK($S49),"",IFERROR(INDEX('Squad Listing'!$E:$E,MATCH($S49,'Squad Listing'!$A:$A,0)),""))</f>
        <v>Novice 1</v>
      </c>
      <c r="Y49" s="123" t="str">
        <f t="shared" si="2"/>
        <v/>
      </c>
      <c r="Z49" s="278">
        <f t="shared" si="3"/>
        <v>220</v>
      </c>
      <c r="AA49" s="278">
        <f>SUMIFS('Skeet Ind Concurrent Ranking'!L:L,'Skeet Ind Concurrent Ranking'!K:K,'Tournament List'!S69)</f>
        <v>0</v>
      </c>
      <c r="AB49" s="123">
        <f t="shared" si="4"/>
        <v>65</v>
      </c>
      <c r="AD49" s="1" t="s">
        <v>121</v>
      </c>
      <c r="AF49">
        <f t="shared" si="5"/>
        <v>29</v>
      </c>
      <c r="AG49" s="123">
        <f t="shared" si="6"/>
        <v>65</v>
      </c>
      <c r="AI49">
        <v>15</v>
      </c>
      <c r="AJ49">
        <v>17</v>
      </c>
      <c r="AK49">
        <v>18</v>
      </c>
      <c r="AL49">
        <v>15</v>
      </c>
      <c r="AM49" t="str">
        <f>IFERROR(INDEX('Skeet Ind Concurrent Scores'!Z:Z,MATCH(A49,'Skeet Ind Concurrent Scores'!X:X,0)),"")</f>
        <v>Novice Men's Skeet 3rd</v>
      </c>
      <c r="AN49" t="str">
        <f>IFERROR(INDEX('Skeet Ind Class Scores'!V:V,MATCH(A49,'Skeet Ind Class Scores'!T:T,0)),"")</f>
        <v/>
      </c>
      <c r="AO49" t="str">
        <f>IFERROR(INDEX('Skeet Team Scores'!AA:AA,MATCH(A49,'Skeet Team Scores'!AB:AB,0)),"")</f>
        <v>Novice Skeet Team 3rd</v>
      </c>
    </row>
    <row r="50" spans="1:41" x14ac:dyDescent="0.3">
      <c r="A50" t="s">
        <v>250</v>
      </c>
      <c r="B50" t="s">
        <v>252</v>
      </c>
      <c r="C50" t="s">
        <v>251</v>
      </c>
      <c r="D50" t="str">
        <f t="shared" si="0"/>
        <v>Jackson Last Name48</v>
      </c>
      <c r="F50" s="1" t="s">
        <v>125</v>
      </c>
      <c r="G50" s="1" t="s">
        <v>325</v>
      </c>
      <c r="H50" s="1" t="s">
        <v>325</v>
      </c>
      <c r="I50" s="1" t="s">
        <v>325</v>
      </c>
      <c r="J50" s="10">
        <f>IF(G50="Y",'Tournament Setup'!$C$5,0)+IF(H50="Y",'Tournament Setup'!$C$6,0)+IF(I50="Y",'Tournament Setup'!$C$7,0)</f>
        <v>120</v>
      </c>
      <c r="K50" s="1"/>
      <c r="L50" t="s">
        <v>323</v>
      </c>
      <c r="M50" t="s">
        <v>116</v>
      </c>
      <c r="O50" s="123">
        <f t="shared" si="1"/>
        <v>51</v>
      </c>
      <c r="S50" s="1" t="str">
        <f>IFERROR(IF(INDEX('Shooter-Squad Assignment'!$M:$M,MATCH($A50,'Shooter-Squad Assignment'!$A:$A,0))="","",INDEX('Shooter-Squad Assignment'!$M:$M,MATCH($A50,'Shooter-Squad Assignment'!$A:$A,0))),"")</f>
        <v/>
      </c>
      <c r="T50" s="1" t="str">
        <f>IFERROR(IF(INDEX('Shooter-Squad Assignment'!$N:$N,MATCH($A50,'Shooter-Squad Assignment'!$A:$A,0))="","",S50&amp;"-"&amp;INDEX('Shooter-Squad Assignment'!$N:$N,MATCH($A50,'Shooter-Squad Assignment'!$A:$A,0))),"")</f>
        <v/>
      </c>
      <c r="U50" s="1" t="str">
        <f>IFERROR(IF(INDEX('Shooter-Squad Assignment'!$I:$I,MATCH($A50,'Shooter-Squad Assignment'!$A:$A,0))="","",IF(INDEX('Shooter-Squad Assignment'!$I:$I,MATCH($A50,'Shooter-Squad Assignment'!$A:$A,0))=1,S50&amp;"-"&amp;1,"")),"")</f>
        <v/>
      </c>
      <c r="V50" t="str">
        <f>IF(ISBLANK($S50),"",IFERROR(INDEX('Squad Listing'!$C:$C,MATCH($S50,'Squad Listing'!$A:$A,0)),""))</f>
        <v/>
      </c>
      <c r="W50" t="str">
        <f>IF(ISBLANK($S50),"",IFERROR(INDEX('Squad Listing'!$D:$D,MATCH($S50,'Squad Listing'!$A:$A,0)),""))</f>
        <v/>
      </c>
      <c r="X50" t="str">
        <f>IF(ISBLANK($S50),"",IFERROR(INDEX('Squad Listing'!$E:$E,MATCH($S50,'Squad Listing'!$A:$A,0)),""))</f>
        <v/>
      </c>
      <c r="Y50" s="123" t="str">
        <f t="shared" si="2"/>
        <v/>
      </c>
      <c r="Z50" s="278">
        <f t="shared" si="3"/>
        <v>0</v>
      </c>
      <c r="AA50" s="278">
        <f>SUMIFS('Skeet Ind Concurrent Ranking'!L:L,'Skeet Ind Concurrent Ranking'!K:K,'Tournament List'!S70)</f>
        <v>0</v>
      </c>
      <c r="AB50" s="123">
        <f t="shared" si="4"/>
        <v>51</v>
      </c>
      <c r="AD50" s="1" t="s">
        <v>124</v>
      </c>
      <c r="AF50">
        <f t="shared" si="5"/>
        <v>39</v>
      </c>
      <c r="AG50" s="123">
        <f t="shared" si="6"/>
        <v>51.2</v>
      </c>
      <c r="AH50" s="123">
        <v>0.2</v>
      </c>
      <c r="AI50">
        <v>12</v>
      </c>
      <c r="AJ50">
        <v>12</v>
      </c>
      <c r="AK50">
        <v>12</v>
      </c>
      <c r="AL50">
        <v>15</v>
      </c>
      <c r="AM50" t="str">
        <f>IFERROR(INDEX('Skeet Ind Concurrent Scores'!Z:Z,MATCH(A50,'Skeet Ind Concurrent Scores'!X:X,0)),"")</f>
        <v/>
      </c>
      <c r="AN50" t="str">
        <f>IFERROR(INDEX('Skeet Ind Class Scores'!V:V,MATCH(A50,'Skeet Ind Class Scores'!T:T,0)),"")</f>
        <v>D Class Skeet Men's Runner Up</v>
      </c>
      <c r="AO50" t="str">
        <f>IFERROR(INDEX('Skeet Team Scores'!AA:AA,MATCH(A50,'Skeet Team Scores'!AB:AB,0)),"")</f>
        <v/>
      </c>
    </row>
    <row r="51" spans="1:41" x14ac:dyDescent="0.3">
      <c r="D51" t="str">
        <f t="shared" si="0"/>
        <v xml:space="preserve"> </v>
      </c>
      <c r="J51" s="10">
        <f>IF(G51="Y",'Tournament Setup'!$C$5,0)+IF(H51="Y",'Tournament Setup'!$C$6,0)+IF(I51="Y",'Tournament Setup'!$C$7,0)</f>
        <v>0</v>
      </c>
      <c r="K51" s="1"/>
      <c r="O51" s="123" t="str">
        <f t="shared" si="1"/>
        <v/>
      </c>
      <c r="S51" s="1" t="str">
        <f>IFERROR(IF(INDEX('Shooter-Squad Assignment'!$M:$M,MATCH($A51,'Shooter-Squad Assignment'!$A:$A,0))="","",INDEX('Shooter-Squad Assignment'!$M:$M,MATCH($A51,'Shooter-Squad Assignment'!$A:$A,0))),"")</f>
        <v/>
      </c>
      <c r="T51" s="1" t="str">
        <f>IFERROR(IF(INDEX('Shooter-Squad Assignment'!$N:$N,MATCH($A51,'Shooter-Squad Assignment'!$A:$A,0))="","",S51&amp;"-"&amp;INDEX('Shooter-Squad Assignment'!$N:$N,MATCH($A51,'Shooter-Squad Assignment'!$A:$A,0))),"")</f>
        <v/>
      </c>
      <c r="U51" s="1" t="str">
        <f>IFERROR(IF(INDEX('Shooter-Squad Assignment'!$I:$I,MATCH($A51,'Shooter-Squad Assignment'!$A:$A,0))="","",IF(INDEX('Shooter-Squad Assignment'!$I:$I,MATCH($A51,'Shooter-Squad Assignment'!$A:$A,0))=1,S51&amp;"-"&amp;1,"")),"")</f>
        <v/>
      </c>
      <c r="V51" t="str">
        <f>IF(ISBLANK($S51),"",IFERROR(INDEX('Squad Listing'!$C:$C,MATCH($S51,'Squad Listing'!$A:$A,0)),""))</f>
        <v/>
      </c>
      <c r="W51" t="str">
        <f>IF(ISBLANK($S51),"",IFERROR(INDEX('Squad Listing'!$D:$D,MATCH($S51,'Squad Listing'!$A:$A,0)),""))</f>
        <v/>
      </c>
      <c r="X51" t="str">
        <f>IF(ISBLANK($S51),"",IFERROR(INDEX('Squad Listing'!$E:$E,MATCH($S51,'Squad Listing'!$A:$A,0)),""))</f>
        <v/>
      </c>
      <c r="Y51" s="123" t="str">
        <f t="shared" si="2"/>
        <v/>
      </c>
      <c r="Z51" s="278">
        <f t="shared" si="3"/>
        <v>0</v>
      </c>
      <c r="AA51" s="278">
        <f>SUMIFS('Skeet Ind Concurrent Ranking'!L:L,'Skeet Ind Concurrent Ranking'!K:K,'Tournament List'!S71)</f>
        <v>0</v>
      </c>
      <c r="AB51" s="123" t="str">
        <f t="shared" si="4"/>
        <v/>
      </c>
      <c r="AF51" t="str">
        <f t="shared" si="5"/>
        <v/>
      </c>
      <c r="AG51" s="123" t="str">
        <f t="shared" si="6"/>
        <v/>
      </c>
      <c r="AM51" t="str">
        <f>IFERROR(INDEX('Skeet Ind Concurrent Scores'!Z:Z,MATCH(A51,'Skeet Ind Concurrent Scores'!X:X,0)),"")</f>
        <v/>
      </c>
      <c r="AN51" t="str">
        <f>IFERROR(INDEX('Skeet Ind Class Scores'!V:V,MATCH(A51,'Skeet Ind Class Scores'!T:T,0)),"")</f>
        <v/>
      </c>
      <c r="AO51" t="str">
        <f>IFERROR(INDEX('Skeet Team Scores'!AA:AA,MATCH(A51,'Skeet Team Scores'!AB:AB,0)),"")</f>
        <v/>
      </c>
    </row>
    <row r="52" spans="1:41" x14ac:dyDescent="0.3">
      <c r="D52" t="str">
        <f t="shared" si="0"/>
        <v xml:space="preserve"> </v>
      </c>
      <c r="J52" s="10">
        <f>IF(G52="Y",'Tournament Setup'!$C$5,0)+IF(H52="Y",'Tournament Setup'!$C$6,0)+IF(I52="Y",'Tournament Setup'!$C$7,0)</f>
        <v>0</v>
      </c>
      <c r="K52" s="1"/>
      <c r="O52" s="123" t="str">
        <f t="shared" si="1"/>
        <v/>
      </c>
      <c r="S52" s="1" t="str">
        <f>IFERROR(IF(INDEX('Shooter-Squad Assignment'!$M:$M,MATCH($A52,'Shooter-Squad Assignment'!$A:$A,0))="","",INDEX('Shooter-Squad Assignment'!$M:$M,MATCH($A52,'Shooter-Squad Assignment'!$A:$A,0))),"")</f>
        <v/>
      </c>
      <c r="T52" s="1" t="str">
        <f>IFERROR(IF(INDEX('Shooter-Squad Assignment'!$N:$N,MATCH($A52,'Shooter-Squad Assignment'!$A:$A,0))="","",S52&amp;"-"&amp;INDEX('Shooter-Squad Assignment'!$N:$N,MATCH($A52,'Shooter-Squad Assignment'!$A:$A,0))),"")</f>
        <v/>
      </c>
      <c r="U52" s="1" t="str">
        <f>IFERROR(IF(INDEX('Shooter-Squad Assignment'!$I:$I,MATCH($A52,'Shooter-Squad Assignment'!$A:$A,0))="","",IF(INDEX('Shooter-Squad Assignment'!$I:$I,MATCH($A52,'Shooter-Squad Assignment'!$A:$A,0))=1,S52&amp;"-"&amp;1,"")),"")</f>
        <v/>
      </c>
      <c r="V52" t="str">
        <f>IF(ISBLANK($S52),"",IFERROR(INDEX('Squad Listing'!$C:$C,MATCH($S52,'Squad Listing'!$A:$A,0)),""))</f>
        <v/>
      </c>
      <c r="W52" t="str">
        <f>IF(ISBLANK($S52),"",IFERROR(INDEX('Squad Listing'!$D:$D,MATCH($S52,'Squad Listing'!$A:$A,0)),""))</f>
        <v/>
      </c>
      <c r="X52" t="str">
        <f>IF(ISBLANK($S52),"",IFERROR(INDEX('Squad Listing'!$E:$E,MATCH($S52,'Squad Listing'!$A:$A,0)),""))</f>
        <v/>
      </c>
      <c r="Y52" s="123" t="str">
        <f t="shared" si="2"/>
        <v/>
      </c>
      <c r="Z52" s="278">
        <f t="shared" si="3"/>
        <v>0</v>
      </c>
      <c r="AA52" s="278">
        <f>SUMIFS('Skeet Ind Concurrent Ranking'!L:L,'Skeet Ind Concurrent Ranking'!K:K,'Tournament List'!S72)</f>
        <v>0</v>
      </c>
      <c r="AB52" s="123" t="str">
        <f t="shared" si="4"/>
        <v/>
      </c>
      <c r="AF52" t="str">
        <f t="shared" si="5"/>
        <v/>
      </c>
      <c r="AG52" s="123" t="str">
        <f t="shared" si="6"/>
        <v/>
      </c>
      <c r="AM52" t="str">
        <f>IFERROR(INDEX('Skeet Ind Concurrent Scores'!Z:Z,MATCH(A52,'Skeet Ind Concurrent Scores'!X:X,0)),"")</f>
        <v/>
      </c>
      <c r="AN52" t="str">
        <f>IFERROR(INDEX('Skeet Ind Class Scores'!V:V,MATCH(A52,'Skeet Ind Class Scores'!T:T,0)),"")</f>
        <v/>
      </c>
      <c r="AO52" t="str">
        <f>IFERROR(INDEX('Skeet Team Scores'!AA:AA,MATCH(A52,'Skeet Team Scores'!AB:AB,0)),"")</f>
        <v/>
      </c>
    </row>
    <row r="53" spans="1:41" x14ac:dyDescent="0.3">
      <c r="D53" t="str">
        <f t="shared" si="0"/>
        <v xml:space="preserve"> </v>
      </c>
      <c r="J53" s="10">
        <f>IF(G53="Y",'Tournament Setup'!$C$5,0)+IF(H53="Y",'Tournament Setup'!$C$6,0)+IF(I53="Y",'Tournament Setup'!$C$7,0)</f>
        <v>0</v>
      </c>
      <c r="K53" s="1"/>
      <c r="O53" s="123" t="str">
        <f t="shared" si="1"/>
        <v/>
      </c>
      <c r="S53" s="1" t="str">
        <f>IFERROR(IF(INDEX('Shooter-Squad Assignment'!$M:$M,MATCH($A53,'Shooter-Squad Assignment'!$A:$A,0))="","",INDEX('Shooter-Squad Assignment'!$M:$M,MATCH($A53,'Shooter-Squad Assignment'!$A:$A,0))),"")</f>
        <v/>
      </c>
      <c r="T53" s="1" t="str">
        <f>IFERROR(IF(INDEX('Shooter-Squad Assignment'!$N:$N,MATCH($A53,'Shooter-Squad Assignment'!$A:$A,0))="","",S53&amp;"-"&amp;INDEX('Shooter-Squad Assignment'!$N:$N,MATCH($A53,'Shooter-Squad Assignment'!$A:$A,0))),"")</f>
        <v/>
      </c>
      <c r="U53" s="1" t="str">
        <f>IFERROR(IF(INDEX('Shooter-Squad Assignment'!$I:$I,MATCH($A53,'Shooter-Squad Assignment'!$A:$A,0))="","",IF(INDEX('Shooter-Squad Assignment'!$I:$I,MATCH($A53,'Shooter-Squad Assignment'!$A:$A,0))=1,S53&amp;"-"&amp;1,"")),"")</f>
        <v/>
      </c>
      <c r="V53" t="str">
        <f>IF(ISBLANK($S53),"",IFERROR(INDEX('Squad Listing'!$C:$C,MATCH($S53,'Squad Listing'!$A:$A,0)),""))</f>
        <v/>
      </c>
      <c r="W53" t="str">
        <f>IF(ISBLANK($S53),"",IFERROR(INDEX('Squad Listing'!$D:$D,MATCH($S53,'Squad Listing'!$A:$A,0)),""))</f>
        <v/>
      </c>
      <c r="X53" t="str">
        <f>IF(ISBLANK($S53),"",IFERROR(INDEX('Squad Listing'!$E:$E,MATCH($S53,'Squad Listing'!$A:$A,0)),""))</f>
        <v/>
      </c>
      <c r="Y53" s="123" t="str">
        <f t="shared" si="2"/>
        <v/>
      </c>
      <c r="Z53" s="278">
        <f t="shared" si="3"/>
        <v>0</v>
      </c>
      <c r="AA53" s="278">
        <f>SUMIFS('Skeet Ind Concurrent Ranking'!L:L,'Skeet Ind Concurrent Ranking'!K:K,'Tournament List'!S73)</f>
        <v>0</v>
      </c>
      <c r="AB53" s="123" t="str">
        <f t="shared" si="4"/>
        <v/>
      </c>
      <c r="AF53" t="str">
        <f t="shared" si="5"/>
        <v/>
      </c>
      <c r="AG53" s="123" t="str">
        <f t="shared" si="6"/>
        <v/>
      </c>
      <c r="AM53" t="str">
        <f>IFERROR(INDEX('Skeet Ind Concurrent Scores'!Z:Z,MATCH(A53,'Skeet Ind Concurrent Scores'!X:X,0)),"")</f>
        <v/>
      </c>
      <c r="AN53" t="str">
        <f>IFERROR(INDEX('Skeet Ind Class Scores'!V:V,MATCH(A53,'Skeet Ind Class Scores'!T:T,0)),"")</f>
        <v/>
      </c>
      <c r="AO53" t="str">
        <f>IFERROR(INDEX('Skeet Team Scores'!AA:AA,MATCH(A53,'Skeet Team Scores'!AB:AB,0)),"")</f>
        <v/>
      </c>
    </row>
    <row r="54" spans="1:41" x14ac:dyDescent="0.3">
      <c r="D54" t="str">
        <f t="shared" si="0"/>
        <v xml:space="preserve"> </v>
      </c>
      <c r="J54" s="10">
        <f>IF(G54="Y",'Tournament Setup'!$C$5,0)+IF(H54="Y",'Tournament Setup'!$C$6,0)+IF(I54="Y",'Tournament Setup'!$C$7,0)</f>
        <v>0</v>
      </c>
      <c r="K54" s="1"/>
      <c r="O54" s="123" t="str">
        <f t="shared" si="1"/>
        <v/>
      </c>
      <c r="S54" s="1" t="str">
        <f>IFERROR(IF(INDEX('Shooter-Squad Assignment'!$M:$M,MATCH($A54,'Shooter-Squad Assignment'!$A:$A,0))="","",INDEX('Shooter-Squad Assignment'!$M:$M,MATCH($A54,'Shooter-Squad Assignment'!$A:$A,0))),"")</f>
        <v/>
      </c>
      <c r="T54" s="1" t="str">
        <f>IFERROR(IF(INDEX('Shooter-Squad Assignment'!$N:$N,MATCH($A54,'Shooter-Squad Assignment'!$A:$A,0))="","",S54&amp;"-"&amp;INDEX('Shooter-Squad Assignment'!$N:$N,MATCH($A54,'Shooter-Squad Assignment'!$A:$A,0))),"")</f>
        <v/>
      </c>
      <c r="U54" s="1" t="str">
        <f>IFERROR(IF(INDEX('Shooter-Squad Assignment'!$I:$I,MATCH($A54,'Shooter-Squad Assignment'!$A:$A,0))="","",IF(INDEX('Shooter-Squad Assignment'!$I:$I,MATCH($A54,'Shooter-Squad Assignment'!$A:$A,0))=1,S54&amp;"-"&amp;1,"")),"")</f>
        <v/>
      </c>
      <c r="V54" t="str">
        <f>IF(ISBLANK($S54),"",IFERROR(INDEX('Squad Listing'!$C:$C,MATCH($S54,'Squad Listing'!$A:$A,0)),""))</f>
        <v/>
      </c>
      <c r="W54" t="str">
        <f>IF(ISBLANK($S54),"",IFERROR(INDEX('Squad Listing'!$D:$D,MATCH($S54,'Squad Listing'!$A:$A,0)),""))</f>
        <v/>
      </c>
      <c r="X54" t="str">
        <f>IF(ISBLANK($S54),"",IFERROR(INDEX('Squad Listing'!$E:$E,MATCH($S54,'Squad Listing'!$A:$A,0)),""))</f>
        <v/>
      </c>
      <c r="Y54" s="123" t="str">
        <f t="shared" si="2"/>
        <v/>
      </c>
      <c r="Z54" s="278">
        <f t="shared" si="3"/>
        <v>0</v>
      </c>
      <c r="AA54" s="278">
        <f>SUMIFS('Skeet Ind Concurrent Ranking'!L:L,'Skeet Ind Concurrent Ranking'!K:K,'Tournament List'!S74)</f>
        <v>0</v>
      </c>
      <c r="AB54" s="123" t="str">
        <f t="shared" si="4"/>
        <v/>
      </c>
      <c r="AF54" t="str">
        <f t="shared" si="5"/>
        <v/>
      </c>
      <c r="AG54" s="123" t="str">
        <f t="shared" si="6"/>
        <v/>
      </c>
      <c r="AM54" t="str">
        <f>IFERROR(INDEX('Skeet Ind Concurrent Scores'!Z:Z,MATCH(A54,'Skeet Ind Concurrent Scores'!X:X,0)),"")</f>
        <v/>
      </c>
      <c r="AN54" t="str">
        <f>IFERROR(INDEX('Skeet Ind Class Scores'!V:V,MATCH(A54,'Skeet Ind Class Scores'!T:T,0)),"")</f>
        <v/>
      </c>
      <c r="AO54" t="str">
        <f>IFERROR(INDEX('Skeet Team Scores'!AA:AA,MATCH(A54,'Skeet Team Scores'!AB:AB,0)),"")</f>
        <v/>
      </c>
    </row>
    <row r="55" spans="1:41" x14ac:dyDescent="0.3">
      <c r="D55" t="str">
        <f t="shared" si="0"/>
        <v xml:space="preserve"> </v>
      </c>
      <c r="J55" s="10">
        <f>IF(G55="Y",'Tournament Setup'!$C$5,0)+IF(H55="Y",'Tournament Setup'!$C$6,0)+IF(I55="Y",'Tournament Setup'!$C$7,0)</f>
        <v>0</v>
      </c>
      <c r="K55" s="1"/>
      <c r="O55" s="123" t="str">
        <f t="shared" si="1"/>
        <v/>
      </c>
      <c r="S55" s="1" t="str">
        <f>IFERROR(IF(INDEX('Shooter-Squad Assignment'!$M:$M,MATCH($A55,'Shooter-Squad Assignment'!$A:$A,0))="","",INDEX('Shooter-Squad Assignment'!$M:$M,MATCH($A55,'Shooter-Squad Assignment'!$A:$A,0))),"")</f>
        <v/>
      </c>
      <c r="T55" s="1" t="str">
        <f>IFERROR(IF(INDEX('Shooter-Squad Assignment'!$N:$N,MATCH($A55,'Shooter-Squad Assignment'!$A:$A,0))="","",S55&amp;"-"&amp;INDEX('Shooter-Squad Assignment'!$N:$N,MATCH($A55,'Shooter-Squad Assignment'!$A:$A,0))),"")</f>
        <v/>
      </c>
      <c r="U55" s="1" t="str">
        <f>IFERROR(IF(INDEX('Shooter-Squad Assignment'!$I:$I,MATCH($A55,'Shooter-Squad Assignment'!$A:$A,0))="","",IF(INDEX('Shooter-Squad Assignment'!$I:$I,MATCH($A55,'Shooter-Squad Assignment'!$A:$A,0))=1,S55&amp;"-"&amp;1,"")),"")</f>
        <v/>
      </c>
      <c r="V55" t="str">
        <f>IF(ISBLANK($S55),"",IFERROR(INDEX('Squad Listing'!$C:$C,MATCH($S55,'Squad Listing'!$A:$A,0)),""))</f>
        <v/>
      </c>
      <c r="W55" t="str">
        <f>IF(ISBLANK($S55),"",IFERROR(INDEX('Squad Listing'!$D:$D,MATCH($S55,'Squad Listing'!$A:$A,0)),""))</f>
        <v/>
      </c>
      <c r="X55" t="str">
        <f>IF(ISBLANK($S55),"",IFERROR(INDEX('Squad Listing'!$E:$E,MATCH($S55,'Squad Listing'!$A:$A,0)),""))</f>
        <v/>
      </c>
      <c r="Y55" s="123" t="str">
        <f t="shared" si="2"/>
        <v/>
      </c>
      <c r="Z55" s="278">
        <f t="shared" si="3"/>
        <v>0</v>
      </c>
      <c r="AA55" s="278">
        <f>SUMIFS('Skeet Ind Concurrent Ranking'!L:L,'Skeet Ind Concurrent Ranking'!K:K,'Tournament List'!S75)</f>
        <v>0</v>
      </c>
      <c r="AB55" s="123" t="str">
        <f t="shared" si="4"/>
        <v/>
      </c>
      <c r="AF55" t="str">
        <f t="shared" si="5"/>
        <v/>
      </c>
      <c r="AG55" s="123" t="str">
        <f t="shared" si="6"/>
        <v/>
      </c>
      <c r="AM55" t="str">
        <f>IFERROR(INDEX('Skeet Ind Concurrent Scores'!Z:Z,MATCH(A55,'Skeet Ind Concurrent Scores'!X:X,0)),"")</f>
        <v/>
      </c>
      <c r="AN55" t="str">
        <f>IFERROR(INDEX('Skeet Ind Class Scores'!V:V,MATCH(A55,'Skeet Ind Class Scores'!T:T,0)),"")</f>
        <v/>
      </c>
      <c r="AO55" t="str">
        <f>IFERROR(INDEX('Skeet Team Scores'!AA:AA,MATCH(A55,'Skeet Team Scores'!AB:AB,0)),"")</f>
        <v/>
      </c>
    </row>
    <row r="56" spans="1:41" x14ac:dyDescent="0.3">
      <c r="D56" t="str">
        <f t="shared" si="0"/>
        <v xml:space="preserve"> </v>
      </c>
      <c r="J56" s="10">
        <f>IF(G56="Y",'Tournament Setup'!$C$5,0)+IF(H56="Y",'Tournament Setup'!$C$6,0)+IF(I56="Y",'Tournament Setup'!$C$7,0)</f>
        <v>0</v>
      </c>
      <c r="K56" s="1"/>
      <c r="O56" s="123" t="str">
        <f t="shared" si="1"/>
        <v/>
      </c>
      <c r="S56" s="1" t="str">
        <f>IFERROR(IF(INDEX('Shooter-Squad Assignment'!$M:$M,MATCH($A56,'Shooter-Squad Assignment'!$A:$A,0))="","",INDEX('Shooter-Squad Assignment'!$M:$M,MATCH($A56,'Shooter-Squad Assignment'!$A:$A,0))),"")</f>
        <v/>
      </c>
      <c r="T56" s="1" t="str">
        <f>IFERROR(IF(INDEX('Shooter-Squad Assignment'!$N:$N,MATCH($A56,'Shooter-Squad Assignment'!$A:$A,0))="","",S56&amp;"-"&amp;INDEX('Shooter-Squad Assignment'!$N:$N,MATCH($A56,'Shooter-Squad Assignment'!$A:$A,0))),"")</f>
        <v/>
      </c>
      <c r="U56" s="1" t="str">
        <f>IFERROR(IF(INDEX('Shooter-Squad Assignment'!$I:$I,MATCH($A56,'Shooter-Squad Assignment'!$A:$A,0))="","",IF(INDEX('Shooter-Squad Assignment'!$I:$I,MATCH($A56,'Shooter-Squad Assignment'!$A:$A,0))=1,S56&amp;"-"&amp;1,"")),"")</f>
        <v/>
      </c>
      <c r="V56" t="str">
        <f>IF(ISBLANK($S56),"",IFERROR(INDEX('Squad Listing'!$C:$C,MATCH($S56,'Squad Listing'!$A:$A,0)),""))</f>
        <v/>
      </c>
      <c r="W56" t="str">
        <f>IF(ISBLANK($S56),"",IFERROR(INDEX('Squad Listing'!$D:$D,MATCH($S56,'Squad Listing'!$A:$A,0)),""))</f>
        <v/>
      </c>
      <c r="X56" t="str">
        <f>IF(ISBLANK($S56),"",IFERROR(INDEX('Squad Listing'!$E:$E,MATCH($S56,'Squad Listing'!$A:$A,0)),""))</f>
        <v/>
      </c>
      <c r="Y56" s="123" t="str">
        <f t="shared" si="2"/>
        <v/>
      </c>
      <c r="Z56" s="278">
        <f t="shared" si="3"/>
        <v>0</v>
      </c>
      <c r="AA56" s="278">
        <f>SUMIFS('Skeet Ind Concurrent Ranking'!L:L,'Skeet Ind Concurrent Ranking'!K:K,'Tournament List'!S76)</f>
        <v>0</v>
      </c>
      <c r="AB56" s="123" t="str">
        <f t="shared" si="4"/>
        <v/>
      </c>
      <c r="AF56" t="str">
        <f t="shared" si="5"/>
        <v/>
      </c>
      <c r="AG56" s="123" t="str">
        <f t="shared" si="6"/>
        <v/>
      </c>
      <c r="AM56" t="str">
        <f>IFERROR(INDEX('Skeet Ind Concurrent Scores'!Z:Z,MATCH(A56,'Skeet Ind Concurrent Scores'!X:X,0)),"")</f>
        <v/>
      </c>
      <c r="AN56" t="str">
        <f>IFERROR(INDEX('Skeet Ind Class Scores'!V:V,MATCH(A56,'Skeet Ind Class Scores'!T:T,0)),"")</f>
        <v/>
      </c>
      <c r="AO56" t="str">
        <f>IFERROR(INDEX('Skeet Team Scores'!AA:AA,MATCH(A56,'Skeet Team Scores'!AB:AB,0)),"")</f>
        <v/>
      </c>
    </row>
    <row r="57" spans="1:41" x14ac:dyDescent="0.3">
      <c r="D57" t="str">
        <f t="shared" si="0"/>
        <v xml:space="preserve"> </v>
      </c>
      <c r="J57" s="10">
        <f>IF(G57="Y",'Tournament Setup'!$C$5,0)+IF(H57="Y",'Tournament Setup'!$C$6,0)+IF(I57="Y",'Tournament Setup'!$C$7,0)</f>
        <v>0</v>
      </c>
      <c r="K57" s="1"/>
      <c r="O57" s="123" t="str">
        <f t="shared" si="1"/>
        <v/>
      </c>
      <c r="S57" s="1" t="str">
        <f>IFERROR(IF(INDEX('Shooter-Squad Assignment'!$M:$M,MATCH($A57,'Shooter-Squad Assignment'!$A:$A,0))="","",INDEX('Shooter-Squad Assignment'!$M:$M,MATCH($A57,'Shooter-Squad Assignment'!$A:$A,0))),"")</f>
        <v/>
      </c>
      <c r="T57" s="1" t="str">
        <f>IFERROR(IF(INDEX('Shooter-Squad Assignment'!$N:$N,MATCH($A57,'Shooter-Squad Assignment'!$A:$A,0))="","",S57&amp;"-"&amp;INDEX('Shooter-Squad Assignment'!$N:$N,MATCH($A57,'Shooter-Squad Assignment'!$A:$A,0))),"")</f>
        <v/>
      </c>
      <c r="U57" s="1" t="str">
        <f>IFERROR(IF(INDEX('Shooter-Squad Assignment'!$I:$I,MATCH($A57,'Shooter-Squad Assignment'!$A:$A,0))="","",IF(INDEX('Shooter-Squad Assignment'!$I:$I,MATCH($A57,'Shooter-Squad Assignment'!$A:$A,0))=1,S57&amp;"-"&amp;1,"")),"")</f>
        <v/>
      </c>
      <c r="V57" t="str">
        <f>IF(ISBLANK($S57),"",IFERROR(INDEX('Squad Listing'!$C:$C,MATCH($S57,'Squad Listing'!$A:$A,0)),""))</f>
        <v/>
      </c>
      <c r="W57" t="str">
        <f>IF(ISBLANK($S57),"",IFERROR(INDEX('Squad Listing'!$D:$D,MATCH($S57,'Squad Listing'!$A:$A,0)),""))</f>
        <v/>
      </c>
      <c r="X57" t="str">
        <f>IF(ISBLANK($S57),"",IFERROR(INDEX('Squad Listing'!$E:$E,MATCH($S57,'Squad Listing'!$A:$A,0)),""))</f>
        <v/>
      </c>
      <c r="Y57" s="123" t="str">
        <f t="shared" si="2"/>
        <v/>
      </c>
      <c r="Z57" s="278">
        <f t="shared" si="3"/>
        <v>0</v>
      </c>
      <c r="AA57" s="278">
        <f>SUMIFS('Skeet Ind Concurrent Ranking'!L:L,'Skeet Ind Concurrent Ranking'!K:K,'Tournament List'!S77)</f>
        <v>0</v>
      </c>
      <c r="AB57" s="123" t="str">
        <f t="shared" si="4"/>
        <v/>
      </c>
      <c r="AF57" t="str">
        <f t="shared" si="5"/>
        <v/>
      </c>
      <c r="AG57" s="123" t="str">
        <f t="shared" si="6"/>
        <v/>
      </c>
      <c r="AM57" t="str">
        <f>IFERROR(INDEX('Skeet Ind Concurrent Scores'!Z:Z,MATCH(A57,'Skeet Ind Concurrent Scores'!X:X,0)),"")</f>
        <v/>
      </c>
      <c r="AN57" t="str">
        <f>IFERROR(INDEX('Skeet Ind Class Scores'!V:V,MATCH(A57,'Skeet Ind Class Scores'!T:T,0)),"")</f>
        <v/>
      </c>
      <c r="AO57" t="str">
        <f>IFERROR(INDEX('Skeet Team Scores'!AA:AA,MATCH(A57,'Skeet Team Scores'!AB:AB,0)),"")</f>
        <v/>
      </c>
    </row>
    <row r="58" spans="1:41" x14ac:dyDescent="0.3">
      <c r="D58" t="str">
        <f t="shared" si="0"/>
        <v xml:space="preserve"> </v>
      </c>
      <c r="J58" s="10">
        <f>IF(G58="Y",'Tournament Setup'!$C$5,0)+IF(H58="Y",'Tournament Setup'!$C$6,0)+IF(I58="Y",'Tournament Setup'!$C$7,0)</f>
        <v>0</v>
      </c>
      <c r="K58" s="1"/>
      <c r="O58" s="123" t="str">
        <f t="shared" si="1"/>
        <v/>
      </c>
      <c r="S58" s="1" t="str">
        <f>IFERROR(IF(INDEX('Shooter-Squad Assignment'!$M:$M,MATCH($A58,'Shooter-Squad Assignment'!$A:$A,0))="","",INDEX('Shooter-Squad Assignment'!$M:$M,MATCH($A58,'Shooter-Squad Assignment'!$A:$A,0))),"")</f>
        <v/>
      </c>
      <c r="T58" s="1" t="str">
        <f>IFERROR(IF(INDEX('Shooter-Squad Assignment'!$N:$N,MATCH($A58,'Shooter-Squad Assignment'!$A:$A,0))="","",S58&amp;"-"&amp;INDEX('Shooter-Squad Assignment'!$N:$N,MATCH($A58,'Shooter-Squad Assignment'!$A:$A,0))),"")</f>
        <v/>
      </c>
      <c r="U58" s="1" t="str">
        <f>IFERROR(IF(INDEX('Shooter-Squad Assignment'!$I:$I,MATCH($A58,'Shooter-Squad Assignment'!$A:$A,0))="","",IF(INDEX('Shooter-Squad Assignment'!$I:$I,MATCH($A58,'Shooter-Squad Assignment'!$A:$A,0))=1,S58&amp;"-"&amp;1,"")),"")</f>
        <v/>
      </c>
      <c r="V58" t="str">
        <f>IF(ISBLANK($S58),"",IFERROR(INDEX('Squad Listing'!$C:$C,MATCH($S58,'Squad Listing'!$A:$A,0)),""))</f>
        <v/>
      </c>
      <c r="W58" t="str">
        <f>IF(ISBLANK($S58),"",IFERROR(INDEX('Squad Listing'!$D:$D,MATCH($S58,'Squad Listing'!$A:$A,0)),""))</f>
        <v/>
      </c>
      <c r="X58" t="str">
        <f>IF(ISBLANK($S58),"",IFERROR(INDEX('Squad Listing'!$E:$E,MATCH($S58,'Squad Listing'!$A:$A,0)),""))</f>
        <v/>
      </c>
      <c r="Y58" s="123" t="str">
        <f t="shared" si="2"/>
        <v/>
      </c>
      <c r="Z58" s="278">
        <f t="shared" si="3"/>
        <v>0</v>
      </c>
      <c r="AA58" s="278">
        <f>SUMIFS('Skeet Ind Concurrent Ranking'!L:L,'Skeet Ind Concurrent Ranking'!K:K,'Tournament List'!S78)</f>
        <v>0</v>
      </c>
      <c r="AB58" s="123" t="str">
        <f t="shared" si="4"/>
        <v/>
      </c>
      <c r="AF58" t="str">
        <f t="shared" si="5"/>
        <v/>
      </c>
      <c r="AG58" s="123" t="str">
        <f t="shared" si="6"/>
        <v/>
      </c>
      <c r="AM58" t="str">
        <f>IFERROR(INDEX('Skeet Ind Concurrent Scores'!Z:Z,MATCH(A58,'Skeet Ind Concurrent Scores'!X:X,0)),"")</f>
        <v/>
      </c>
      <c r="AN58" t="str">
        <f>IFERROR(INDEX('Skeet Ind Class Scores'!V:V,MATCH(A58,'Skeet Ind Class Scores'!T:T,0)),"")</f>
        <v/>
      </c>
      <c r="AO58" t="str">
        <f>IFERROR(INDEX('Skeet Team Scores'!AA:AA,MATCH(A58,'Skeet Team Scores'!AB:AB,0)),"")</f>
        <v/>
      </c>
    </row>
    <row r="59" spans="1:41" x14ac:dyDescent="0.3">
      <c r="D59" t="str">
        <f t="shared" si="0"/>
        <v xml:space="preserve"> </v>
      </c>
      <c r="J59" s="10">
        <f>IF(G59="Y",'Tournament Setup'!$C$5,0)+IF(H59="Y",'Tournament Setup'!$C$6,0)+IF(I59="Y",'Tournament Setup'!$C$7,0)</f>
        <v>0</v>
      </c>
      <c r="K59" s="1"/>
      <c r="O59" s="123" t="str">
        <f t="shared" si="1"/>
        <v/>
      </c>
      <c r="S59" s="1" t="str">
        <f>IFERROR(IF(INDEX('Shooter-Squad Assignment'!$M:$M,MATCH($A59,'Shooter-Squad Assignment'!$A:$A,0))="","",INDEX('Shooter-Squad Assignment'!$M:$M,MATCH($A59,'Shooter-Squad Assignment'!$A:$A,0))),"")</f>
        <v/>
      </c>
      <c r="T59" s="1" t="str">
        <f>IFERROR(IF(INDEX('Shooter-Squad Assignment'!$N:$N,MATCH($A59,'Shooter-Squad Assignment'!$A:$A,0))="","",S59&amp;"-"&amp;INDEX('Shooter-Squad Assignment'!$N:$N,MATCH($A59,'Shooter-Squad Assignment'!$A:$A,0))),"")</f>
        <v/>
      </c>
      <c r="U59" s="1" t="str">
        <f>IFERROR(IF(INDEX('Shooter-Squad Assignment'!$I:$I,MATCH($A59,'Shooter-Squad Assignment'!$A:$A,0))="","",IF(INDEX('Shooter-Squad Assignment'!$I:$I,MATCH($A59,'Shooter-Squad Assignment'!$A:$A,0))=1,S59&amp;"-"&amp;1,"")),"")</f>
        <v/>
      </c>
      <c r="V59" t="str">
        <f>IF(ISBLANK($S59),"",IFERROR(INDEX('Squad Listing'!$C:$C,MATCH($S59,'Squad Listing'!$A:$A,0)),""))</f>
        <v/>
      </c>
      <c r="W59" t="str">
        <f>IF(ISBLANK($S59),"",IFERROR(INDEX('Squad Listing'!$D:$D,MATCH($S59,'Squad Listing'!$A:$A,0)),""))</f>
        <v/>
      </c>
      <c r="X59" t="str">
        <f>IF(ISBLANK($S59),"",IFERROR(INDEX('Squad Listing'!$E:$E,MATCH($S59,'Squad Listing'!$A:$A,0)),""))</f>
        <v/>
      </c>
      <c r="Y59" s="123" t="str">
        <f t="shared" si="2"/>
        <v/>
      </c>
      <c r="Z59" s="278">
        <f t="shared" si="3"/>
        <v>0</v>
      </c>
      <c r="AA59" s="278">
        <f>SUMIFS('Skeet Ind Concurrent Ranking'!L:L,'Skeet Ind Concurrent Ranking'!K:K,'Tournament List'!S79)</f>
        <v>0</v>
      </c>
      <c r="AB59" s="123" t="str">
        <f t="shared" si="4"/>
        <v/>
      </c>
      <c r="AF59" t="str">
        <f t="shared" si="5"/>
        <v/>
      </c>
      <c r="AG59" s="123" t="str">
        <f t="shared" si="6"/>
        <v/>
      </c>
      <c r="AM59" t="str">
        <f>IFERROR(INDEX('Skeet Ind Concurrent Scores'!Z:Z,MATCH(A59,'Skeet Ind Concurrent Scores'!X:X,0)),"")</f>
        <v/>
      </c>
      <c r="AN59" t="str">
        <f>IFERROR(INDEX('Skeet Ind Class Scores'!V:V,MATCH(A59,'Skeet Ind Class Scores'!T:T,0)),"")</f>
        <v/>
      </c>
      <c r="AO59" t="str">
        <f>IFERROR(INDEX('Skeet Team Scores'!AA:AA,MATCH(A59,'Skeet Team Scores'!AB:AB,0)),"")</f>
        <v/>
      </c>
    </row>
    <row r="60" spans="1:41" x14ac:dyDescent="0.3">
      <c r="D60" t="str">
        <f t="shared" si="0"/>
        <v xml:space="preserve"> </v>
      </c>
      <c r="J60" s="10">
        <f>IF(G60="Y",'Tournament Setup'!$C$5,0)+IF(H60="Y",'Tournament Setup'!$C$6,0)+IF(I60="Y",'Tournament Setup'!$C$7,0)</f>
        <v>0</v>
      </c>
      <c r="K60" s="1"/>
      <c r="O60" s="123" t="str">
        <f t="shared" si="1"/>
        <v/>
      </c>
      <c r="S60" s="1" t="str">
        <f>IFERROR(IF(INDEX('Shooter-Squad Assignment'!$M:$M,MATCH($A60,'Shooter-Squad Assignment'!$A:$A,0))="","",INDEX('Shooter-Squad Assignment'!$M:$M,MATCH($A60,'Shooter-Squad Assignment'!$A:$A,0))),"")</f>
        <v/>
      </c>
      <c r="T60" s="1" t="str">
        <f>IFERROR(IF(INDEX('Shooter-Squad Assignment'!$N:$N,MATCH($A60,'Shooter-Squad Assignment'!$A:$A,0))="","",S60&amp;"-"&amp;INDEX('Shooter-Squad Assignment'!$N:$N,MATCH($A60,'Shooter-Squad Assignment'!$A:$A,0))),"")</f>
        <v/>
      </c>
      <c r="U60" s="1" t="str">
        <f>IFERROR(IF(INDEX('Shooter-Squad Assignment'!$I:$I,MATCH($A60,'Shooter-Squad Assignment'!$A:$A,0))="","",IF(INDEX('Shooter-Squad Assignment'!$I:$I,MATCH($A60,'Shooter-Squad Assignment'!$A:$A,0))=1,S60&amp;"-"&amp;1,"")),"")</f>
        <v/>
      </c>
      <c r="V60" t="str">
        <f>IF(ISBLANK($S60),"",IFERROR(INDEX('Squad Listing'!$C:$C,MATCH($S60,'Squad Listing'!$A:$A,0)),""))</f>
        <v/>
      </c>
      <c r="W60" t="str">
        <f>IF(ISBLANK($S60),"",IFERROR(INDEX('Squad Listing'!$D:$D,MATCH($S60,'Squad Listing'!$A:$A,0)),""))</f>
        <v/>
      </c>
      <c r="X60" t="str">
        <f>IF(ISBLANK($S60),"",IFERROR(INDEX('Squad Listing'!$E:$E,MATCH($S60,'Squad Listing'!$A:$A,0)),""))</f>
        <v/>
      </c>
      <c r="Y60" s="123" t="str">
        <f t="shared" si="2"/>
        <v/>
      </c>
      <c r="Z60" s="278">
        <f t="shared" si="3"/>
        <v>0</v>
      </c>
      <c r="AA60" s="278">
        <f>SUMIFS('Skeet Ind Concurrent Ranking'!L:L,'Skeet Ind Concurrent Ranking'!K:K,'Tournament List'!S80)</f>
        <v>0</v>
      </c>
      <c r="AB60" s="123" t="str">
        <f t="shared" si="4"/>
        <v/>
      </c>
      <c r="AF60" t="str">
        <f t="shared" si="5"/>
        <v/>
      </c>
      <c r="AG60" s="123" t="str">
        <f t="shared" si="6"/>
        <v/>
      </c>
      <c r="AM60" t="str">
        <f>IFERROR(INDEX('Skeet Ind Concurrent Scores'!Z:Z,MATCH(A60,'Skeet Ind Concurrent Scores'!X:X,0)),"")</f>
        <v/>
      </c>
      <c r="AN60" t="str">
        <f>IFERROR(INDEX('Skeet Ind Class Scores'!V:V,MATCH(A60,'Skeet Ind Class Scores'!T:T,0)),"")</f>
        <v/>
      </c>
      <c r="AO60" t="str">
        <f>IFERROR(INDEX('Skeet Team Scores'!AA:AA,MATCH(A60,'Skeet Team Scores'!AB:AB,0)),"")</f>
        <v/>
      </c>
    </row>
    <row r="61" spans="1:41" x14ac:dyDescent="0.3">
      <c r="D61" t="str">
        <f t="shared" si="0"/>
        <v xml:space="preserve"> </v>
      </c>
      <c r="J61" s="10">
        <f>IF(G61="Y",'Tournament Setup'!$C$5,0)+IF(H61="Y",'Tournament Setup'!$C$6,0)+IF(I61="Y",'Tournament Setup'!$C$7,0)</f>
        <v>0</v>
      </c>
      <c r="K61" s="1"/>
      <c r="O61" s="123" t="str">
        <f t="shared" si="1"/>
        <v/>
      </c>
      <c r="S61" s="1" t="str">
        <f>IFERROR(IF(INDEX('Shooter-Squad Assignment'!$M:$M,MATCH($A61,'Shooter-Squad Assignment'!$A:$A,0))="","",INDEX('Shooter-Squad Assignment'!$M:$M,MATCH($A61,'Shooter-Squad Assignment'!$A:$A,0))),"")</f>
        <v/>
      </c>
      <c r="T61" s="1" t="str">
        <f>IFERROR(IF(INDEX('Shooter-Squad Assignment'!$N:$N,MATCH($A61,'Shooter-Squad Assignment'!$A:$A,0))="","",S61&amp;"-"&amp;INDEX('Shooter-Squad Assignment'!$N:$N,MATCH($A61,'Shooter-Squad Assignment'!$A:$A,0))),"")</f>
        <v/>
      </c>
      <c r="U61" s="1" t="str">
        <f>IFERROR(IF(INDEX('Shooter-Squad Assignment'!$I:$I,MATCH($A61,'Shooter-Squad Assignment'!$A:$A,0))="","",IF(INDEX('Shooter-Squad Assignment'!$I:$I,MATCH($A61,'Shooter-Squad Assignment'!$A:$A,0))=1,S61&amp;"-"&amp;1,"")),"")</f>
        <v/>
      </c>
      <c r="V61" t="str">
        <f>IF(ISBLANK($S61),"",IFERROR(INDEX('Squad Listing'!$C:$C,MATCH($S61,'Squad Listing'!$A:$A,0)),""))</f>
        <v/>
      </c>
      <c r="W61" t="str">
        <f>IF(ISBLANK($S61),"",IFERROR(INDEX('Squad Listing'!$D:$D,MATCH($S61,'Squad Listing'!$A:$A,0)),""))</f>
        <v/>
      </c>
      <c r="X61" t="str">
        <f>IF(ISBLANK($S61),"",IFERROR(INDEX('Squad Listing'!$E:$E,MATCH($S61,'Squad Listing'!$A:$A,0)),""))</f>
        <v/>
      </c>
      <c r="Y61" s="123" t="str">
        <f t="shared" si="2"/>
        <v/>
      </c>
      <c r="Z61" s="278">
        <f t="shared" si="3"/>
        <v>0</v>
      </c>
      <c r="AA61" s="278">
        <f>SUMIFS('Skeet Ind Concurrent Ranking'!L:L,'Skeet Ind Concurrent Ranking'!K:K,'Tournament List'!S81)</f>
        <v>0</v>
      </c>
      <c r="AB61" s="123" t="str">
        <f t="shared" si="4"/>
        <v/>
      </c>
      <c r="AF61" t="str">
        <f t="shared" si="5"/>
        <v/>
      </c>
      <c r="AG61" s="123" t="str">
        <f t="shared" si="6"/>
        <v/>
      </c>
      <c r="AM61" t="str">
        <f>IFERROR(INDEX('Skeet Ind Concurrent Scores'!Z:Z,MATCH(A61,'Skeet Ind Concurrent Scores'!X:X,0)),"")</f>
        <v/>
      </c>
      <c r="AN61" t="str">
        <f>IFERROR(INDEX('Skeet Ind Class Scores'!V:V,MATCH(A61,'Skeet Ind Class Scores'!T:T,0)),"")</f>
        <v/>
      </c>
      <c r="AO61" t="str">
        <f>IFERROR(INDEX('Skeet Team Scores'!AA:AA,MATCH(A61,'Skeet Team Scores'!AB:AB,0)),"")</f>
        <v/>
      </c>
    </row>
    <row r="62" spans="1:41" x14ac:dyDescent="0.3">
      <c r="D62" t="str">
        <f t="shared" si="0"/>
        <v xml:space="preserve"> </v>
      </c>
      <c r="J62" s="10">
        <f>IF(G62="Y",'Tournament Setup'!$C$5,0)+IF(H62="Y",'Tournament Setup'!$C$6,0)+IF(I62="Y",'Tournament Setup'!$C$7,0)</f>
        <v>0</v>
      </c>
      <c r="K62" s="1"/>
      <c r="O62" s="123" t="str">
        <f t="shared" si="1"/>
        <v/>
      </c>
      <c r="S62" s="1" t="str">
        <f>IFERROR(IF(INDEX('Shooter-Squad Assignment'!$M:$M,MATCH($A62,'Shooter-Squad Assignment'!$A:$A,0))="","",INDEX('Shooter-Squad Assignment'!$M:$M,MATCH($A62,'Shooter-Squad Assignment'!$A:$A,0))),"")</f>
        <v/>
      </c>
      <c r="T62" s="1" t="str">
        <f>IFERROR(IF(INDEX('Shooter-Squad Assignment'!$N:$N,MATCH($A62,'Shooter-Squad Assignment'!$A:$A,0))="","",S62&amp;"-"&amp;INDEX('Shooter-Squad Assignment'!$N:$N,MATCH($A62,'Shooter-Squad Assignment'!$A:$A,0))),"")</f>
        <v/>
      </c>
      <c r="U62" s="1" t="str">
        <f>IFERROR(IF(INDEX('Shooter-Squad Assignment'!$I:$I,MATCH($A62,'Shooter-Squad Assignment'!$A:$A,0))="","",IF(INDEX('Shooter-Squad Assignment'!$I:$I,MATCH($A62,'Shooter-Squad Assignment'!$A:$A,0))=1,S62&amp;"-"&amp;1,"")),"")</f>
        <v/>
      </c>
      <c r="V62" t="str">
        <f>IF(ISBLANK($S62),"",IFERROR(INDEX('Squad Listing'!$C:$C,MATCH($S62,'Squad Listing'!$A:$A,0)),""))</f>
        <v/>
      </c>
      <c r="W62" t="str">
        <f>IF(ISBLANK($S62),"",IFERROR(INDEX('Squad Listing'!$D:$D,MATCH($S62,'Squad Listing'!$A:$A,0)),""))</f>
        <v/>
      </c>
      <c r="X62" t="str">
        <f>IF(ISBLANK($S62),"",IFERROR(INDEX('Squad Listing'!$E:$E,MATCH($S62,'Squad Listing'!$A:$A,0)),""))</f>
        <v/>
      </c>
      <c r="Y62" s="123" t="str">
        <f t="shared" si="2"/>
        <v/>
      </c>
      <c r="Z62" s="278">
        <f t="shared" si="3"/>
        <v>0</v>
      </c>
      <c r="AA62" s="278">
        <f>SUMIFS('Skeet Ind Concurrent Ranking'!L:L,'Skeet Ind Concurrent Ranking'!K:K,'Tournament List'!S82)</f>
        <v>0</v>
      </c>
      <c r="AB62" s="123" t="str">
        <f t="shared" si="4"/>
        <v/>
      </c>
      <c r="AF62" t="str">
        <f t="shared" si="5"/>
        <v/>
      </c>
      <c r="AG62" s="123" t="str">
        <f t="shared" si="6"/>
        <v/>
      </c>
      <c r="AM62" t="str">
        <f>IFERROR(INDEX('Skeet Ind Concurrent Scores'!Z:Z,MATCH(A62,'Skeet Ind Concurrent Scores'!X:X,0)),"")</f>
        <v/>
      </c>
      <c r="AN62" t="str">
        <f>IFERROR(INDEX('Skeet Ind Class Scores'!V:V,MATCH(A62,'Skeet Ind Class Scores'!T:T,0)),"")</f>
        <v/>
      </c>
      <c r="AO62" t="str">
        <f>IFERROR(INDEX('Skeet Team Scores'!AA:AA,MATCH(A62,'Skeet Team Scores'!AB:AB,0)),"")</f>
        <v/>
      </c>
    </row>
    <row r="63" spans="1:41" x14ac:dyDescent="0.3">
      <c r="D63" t="str">
        <f t="shared" si="0"/>
        <v xml:space="preserve"> </v>
      </c>
      <c r="J63" s="10">
        <f>IF(G63="Y",'Tournament Setup'!$C$5,0)+IF(H63="Y",'Tournament Setup'!$C$6,0)+IF(I63="Y",'Tournament Setup'!$C$7,0)</f>
        <v>0</v>
      </c>
      <c r="K63" s="1"/>
      <c r="O63" s="123" t="str">
        <f t="shared" si="1"/>
        <v/>
      </c>
      <c r="S63" s="1" t="str">
        <f>IFERROR(IF(INDEX('Shooter-Squad Assignment'!$M:$M,MATCH($A63,'Shooter-Squad Assignment'!$A:$A,0))="","",INDEX('Shooter-Squad Assignment'!$M:$M,MATCH($A63,'Shooter-Squad Assignment'!$A:$A,0))),"")</f>
        <v/>
      </c>
      <c r="T63" s="1" t="str">
        <f>IFERROR(IF(INDEX('Shooter-Squad Assignment'!$N:$N,MATCH($A63,'Shooter-Squad Assignment'!$A:$A,0))="","",S63&amp;"-"&amp;INDEX('Shooter-Squad Assignment'!$N:$N,MATCH($A63,'Shooter-Squad Assignment'!$A:$A,0))),"")</f>
        <v/>
      </c>
      <c r="U63" s="1" t="str">
        <f>IFERROR(IF(INDEX('Shooter-Squad Assignment'!$I:$I,MATCH($A63,'Shooter-Squad Assignment'!$A:$A,0))="","",IF(INDEX('Shooter-Squad Assignment'!$I:$I,MATCH($A63,'Shooter-Squad Assignment'!$A:$A,0))=1,S63&amp;"-"&amp;1,"")),"")</f>
        <v/>
      </c>
      <c r="V63" t="str">
        <f>IF(ISBLANK($S63),"",IFERROR(INDEX('Squad Listing'!$C:$C,MATCH($S63,'Squad Listing'!$A:$A,0)),""))</f>
        <v/>
      </c>
      <c r="W63" t="str">
        <f>IF(ISBLANK($S63),"",IFERROR(INDEX('Squad Listing'!$D:$D,MATCH($S63,'Squad Listing'!$A:$A,0)),""))</f>
        <v/>
      </c>
      <c r="X63" t="str">
        <f>IF(ISBLANK($S63),"",IFERROR(INDEX('Squad Listing'!$E:$E,MATCH($S63,'Squad Listing'!$A:$A,0)),""))</f>
        <v/>
      </c>
      <c r="Y63" s="123" t="str">
        <f t="shared" si="2"/>
        <v/>
      </c>
      <c r="Z63" s="278">
        <f t="shared" si="3"/>
        <v>0</v>
      </c>
      <c r="AA63" s="278">
        <f>SUMIFS('Skeet Ind Concurrent Ranking'!L:L,'Skeet Ind Concurrent Ranking'!K:K,'Tournament List'!S83)</f>
        <v>0</v>
      </c>
      <c r="AB63" s="123" t="str">
        <f t="shared" si="4"/>
        <v/>
      </c>
      <c r="AF63" t="str">
        <f t="shared" si="5"/>
        <v/>
      </c>
      <c r="AG63" s="123" t="str">
        <f t="shared" si="6"/>
        <v/>
      </c>
      <c r="AM63" t="str">
        <f>IFERROR(INDEX('Skeet Ind Concurrent Scores'!Z:Z,MATCH(A63,'Skeet Ind Concurrent Scores'!X:X,0)),"")</f>
        <v/>
      </c>
      <c r="AN63" t="str">
        <f>IFERROR(INDEX('Skeet Ind Class Scores'!V:V,MATCH(A63,'Skeet Ind Class Scores'!T:T,0)),"")</f>
        <v/>
      </c>
      <c r="AO63" t="str">
        <f>IFERROR(INDEX('Skeet Team Scores'!AA:AA,MATCH(A63,'Skeet Team Scores'!AB:AB,0)),"")</f>
        <v/>
      </c>
    </row>
    <row r="64" spans="1:41" x14ac:dyDescent="0.3">
      <c r="D64" t="str">
        <f t="shared" si="0"/>
        <v xml:space="preserve"> </v>
      </c>
      <c r="J64" s="10">
        <f>IF(G64="Y",'Tournament Setup'!$C$5,0)+IF(H64="Y",'Tournament Setup'!$C$6,0)+IF(I64="Y",'Tournament Setup'!$C$7,0)</f>
        <v>0</v>
      </c>
      <c r="K64" s="1"/>
      <c r="O64" s="123" t="str">
        <f t="shared" si="1"/>
        <v/>
      </c>
      <c r="S64" s="1" t="str">
        <f>IFERROR(IF(INDEX('Shooter-Squad Assignment'!$M:$M,MATCH($A64,'Shooter-Squad Assignment'!$A:$A,0))="","",INDEX('Shooter-Squad Assignment'!$M:$M,MATCH($A64,'Shooter-Squad Assignment'!$A:$A,0))),"")</f>
        <v/>
      </c>
      <c r="T64" s="1" t="str">
        <f>IFERROR(IF(INDEX('Shooter-Squad Assignment'!$N:$N,MATCH($A64,'Shooter-Squad Assignment'!$A:$A,0))="","",S64&amp;"-"&amp;INDEX('Shooter-Squad Assignment'!$N:$N,MATCH($A64,'Shooter-Squad Assignment'!$A:$A,0))),"")</f>
        <v/>
      </c>
      <c r="U64" s="1" t="str">
        <f>IFERROR(IF(INDEX('Shooter-Squad Assignment'!$I:$I,MATCH($A64,'Shooter-Squad Assignment'!$A:$A,0))="","",IF(INDEX('Shooter-Squad Assignment'!$I:$I,MATCH($A64,'Shooter-Squad Assignment'!$A:$A,0))=1,S64&amp;"-"&amp;1,"")),"")</f>
        <v/>
      </c>
      <c r="V64" t="str">
        <f>IF(ISBLANK($S64),"",IFERROR(INDEX('Squad Listing'!$C:$C,MATCH($S64,'Squad Listing'!$A:$A,0)),""))</f>
        <v/>
      </c>
      <c r="W64" t="str">
        <f>IF(ISBLANK($S64),"",IFERROR(INDEX('Squad Listing'!$D:$D,MATCH($S64,'Squad Listing'!$A:$A,0)),""))</f>
        <v/>
      </c>
      <c r="X64" t="str">
        <f>IF(ISBLANK($S64),"",IFERROR(INDEX('Squad Listing'!$E:$E,MATCH($S64,'Squad Listing'!$A:$A,0)),""))</f>
        <v/>
      </c>
      <c r="Y64" s="123" t="str">
        <f t="shared" si="2"/>
        <v/>
      </c>
      <c r="Z64" s="278">
        <f t="shared" si="3"/>
        <v>0</v>
      </c>
      <c r="AA64" s="278">
        <f>SUMIFS('Skeet Ind Concurrent Ranking'!L:L,'Skeet Ind Concurrent Ranking'!K:K,'Tournament List'!S84)</f>
        <v>0</v>
      </c>
      <c r="AB64" s="123" t="str">
        <f t="shared" si="4"/>
        <v/>
      </c>
      <c r="AF64" t="str">
        <f t="shared" si="5"/>
        <v/>
      </c>
      <c r="AG64" s="123" t="str">
        <f t="shared" si="6"/>
        <v/>
      </c>
      <c r="AM64" t="str">
        <f>IFERROR(INDEX('Skeet Ind Concurrent Scores'!Z:Z,MATCH(A64,'Skeet Ind Concurrent Scores'!X:X,0)),"")</f>
        <v/>
      </c>
      <c r="AN64" t="str">
        <f>IFERROR(INDEX('Skeet Ind Class Scores'!V:V,MATCH(A64,'Skeet Ind Class Scores'!T:T,0)),"")</f>
        <v/>
      </c>
      <c r="AO64" t="str">
        <f>IFERROR(INDEX('Skeet Team Scores'!AA:AA,MATCH(A64,'Skeet Team Scores'!AB:AB,0)),"")</f>
        <v/>
      </c>
    </row>
    <row r="65" spans="4:41" x14ac:dyDescent="0.3">
      <c r="D65" t="str">
        <f t="shared" si="0"/>
        <v xml:space="preserve"> </v>
      </c>
      <c r="J65" s="10">
        <f>IF(G65="Y",'Tournament Setup'!$C$5,0)+IF(H65="Y",'Tournament Setup'!$C$6,0)+IF(I65="Y",'Tournament Setup'!$C$7,0)</f>
        <v>0</v>
      </c>
      <c r="K65" s="1"/>
      <c r="O65" s="123" t="str">
        <f t="shared" si="1"/>
        <v/>
      </c>
      <c r="S65" s="1" t="str">
        <f>IFERROR(IF(INDEX('Shooter-Squad Assignment'!$M:$M,MATCH($A65,'Shooter-Squad Assignment'!$A:$A,0))="","",INDEX('Shooter-Squad Assignment'!$M:$M,MATCH($A65,'Shooter-Squad Assignment'!$A:$A,0))),"")</f>
        <v/>
      </c>
      <c r="T65" s="1" t="str">
        <f>IFERROR(IF(INDEX('Shooter-Squad Assignment'!$N:$N,MATCH($A65,'Shooter-Squad Assignment'!$A:$A,0))="","",S65&amp;"-"&amp;INDEX('Shooter-Squad Assignment'!$N:$N,MATCH($A65,'Shooter-Squad Assignment'!$A:$A,0))),"")</f>
        <v/>
      </c>
      <c r="U65" s="1" t="str">
        <f>IFERROR(IF(INDEX('Shooter-Squad Assignment'!$I:$I,MATCH($A65,'Shooter-Squad Assignment'!$A:$A,0))="","",IF(INDEX('Shooter-Squad Assignment'!$I:$I,MATCH($A65,'Shooter-Squad Assignment'!$A:$A,0))=1,S65&amp;"-"&amp;1,"")),"")</f>
        <v/>
      </c>
      <c r="V65" t="str">
        <f>IF(ISBLANK($S65),"",IFERROR(INDEX('Squad Listing'!$C:$C,MATCH($S65,'Squad Listing'!$A:$A,0)),""))</f>
        <v/>
      </c>
      <c r="W65" t="str">
        <f>IF(ISBLANK($S65),"",IFERROR(INDEX('Squad Listing'!$D:$D,MATCH($S65,'Squad Listing'!$A:$A,0)),""))</f>
        <v/>
      </c>
      <c r="X65" t="str">
        <f>IF(ISBLANK($S65),"",IFERROR(INDEX('Squad Listing'!$E:$E,MATCH($S65,'Squad Listing'!$A:$A,0)),""))</f>
        <v/>
      </c>
      <c r="Y65" s="123" t="str">
        <f t="shared" si="2"/>
        <v/>
      </c>
      <c r="Z65" s="278">
        <f t="shared" si="3"/>
        <v>0</v>
      </c>
      <c r="AA65" s="278">
        <f>SUMIFS('Skeet Ind Concurrent Ranking'!L:L,'Skeet Ind Concurrent Ranking'!K:K,'Tournament List'!S85)</f>
        <v>0</v>
      </c>
      <c r="AB65" s="123" t="str">
        <f t="shared" si="4"/>
        <v/>
      </c>
      <c r="AF65" t="str">
        <f t="shared" si="5"/>
        <v/>
      </c>
      <c r="AG65" s="123" t="str">
        <f t="shared" si="6"/>
        <v/>
      </c>
      <c r="AM65" t="str">
        <f>IFERROR(INDEX('Skeet Ind Concurrent Scores'!Z:Z,MATCH(A65,'Skeet Ind Concurrent Scores'!X:X,0)),"")</f>
        <v/>
      </c>
      <c r="AN65" t="str">
        <f>IFERROR(INDEX('Skeet Ind Class Scores'!V:V,MATCH(A65,'Skeet Ind Class Scores'!T:T,0)),"")</f>
        <v/>
      </c>
      <c r="AO65" t="str">
        <f>IFERROR(INDEX('Skeet Team Scores'!AA:AA,MATCH(A65,'Skeet Team Scores'!AB:AB,0)),"")</f>
        <v/>
      </c>
    </row>
    <row r="66" spans="4:41" x14ac:dyDescent="0.3">
      <c r="D66" t="str">
        <f t="shared" si="0"/>
        <v xml:space="preserve"> </v>
      </c>
      <c r="J66" s="10">
        <f>IF(G66="Y",'Tournament Setup'!$C$5,0)+IF(H66="Y",'Tournament Setup'!$C$6,0)+IF(I66="Y",'Tournament Setup'!$C$7,0)</f>
        <v>0</v>
      </c>
      <c r="K66" s="1"/>
      <c r="O66" s="123" t="str">
        <f t="shared" si="1"/>
        <v/>
      </c>
      <c r="S66" s="1" t="str">
        <f>IFERROR(IF(INDEX('Shooter-Squad Assignment'!$M:$M,MATCH($A66,'Shooter-Squad Assignment'!$A:$A,0))="","",INDEX('Shooter-Squad Assignment'!$M:$M,MATCH($A66,'Shooter-Squad Assignment'!$A:$A,0))),"")</f>
        <v/>
      </c>
      <c r="T66" s="1" t="str">
        <f>IFERROR(IF(INDEX('Shooter-Squad Assignment'!$N:$N,MATCH($A66,'Shooter-Squad Assignment'!$A:$A,0))="","",S66&amp;"-"&amp;INDEX('Shooter-Squad Assignment'!$N:$N,MATCH($A66,'Shooter-Squad Assignment'!$A:$A,0))),"")</f>
        <v/>
      </c>
      <c r="U66" s="1" t="str">
        <f>IFERROR(IF(INDEX('Shooter-Squad Assignment'!$I:$I,MATCH($A66,'Shooter-Squad Assignment'!$A:$A,0))="","",IF(INDEX('Shooter-Squad Assignment'!$I:$I,MATCH($A66,'Shooter-Squad Assignment'!$A:$A,0))=1,S66&amp;"-"&amp;1,"")),"")</f>
        <v/>
      </c>
      <c r="V66" t="str">
        <f>IF(ISBLANK($S66),"",IFERROR(INDEX('Squad Listing'!$C:$C,MATCH($S66,'Squad Listing'!$A:$A,0)),""))</f>
        <v/>
      </c>
      <c r="W66" t="str">
        <f>IF(ISBLANK($S66),"",IFERROR(INDEX('Squad Listing'!$D:$D,MATCH($S66,'Squad Listing'!$A:$A,0)),""))</f>
        <v/>
      </c>
      <c r="X66" t="str">
        <f>IF(ISBLANK($S66),"",IFERROR(INDEX('Squad Listing'!$E:$E,MATCH($S66,'Squad Listing'!$A:$A,0)),""))</f>
        <v/>
      </c>
      <c r="Y66" s="123" t="str">
        <f t="shared" si="2"/>
        <v/>
      </c>
      <c r="Z66" s="278">
        <f t="shared" si="3"/>
        <v>0</v>
      </c>
      <c r="AA66" s="278">
        <f>SUMIFS('Skeet Ind Concurrent Ranking'!L:L,'Skeet Ind Concurrent Ranking'!K:K,'Tournament List'!S86)</f>
        <v>0</v>
      </c>
      <c r="AB66" s="123" t="str">
        <f t="shared" si="4"/>
        <v/>
      </c>
      <c r="AF66" t="str">
        <f t="shared" si="5"/>
        <v/>
      </c>
      <c r="AG66" s="123" t="str">
        <f t="shared" si="6"/>
        <v/>
      </c>
      <c r="AM66" t="str">
        <f>IFERROR(INDEX('Skeet Ind Concurrent Scores'!Z:Z,MATCH(A66,'Skeet Ind Concurrent Scores'!X:X,0)),"")</f>
        <v/>
      </c>
      <c r="AN66" t="str">
        <f>IFERROR(INDEX('Skeet Ind Class Scores'!V:V,MATCH(A66,'Skeet Ind Class Scores'!T:T,0)),"")</f>
        <v/>
      </c>
      <c r="AO66" t="str">
        <f>IFERROR(INDEX('Skeet Team Scores'!AA:AA,MATCH(A66,'Skeet Team Scores'!AB:AB,0)),"")</f>
        <v/>
      </c>
    </row>
    <row r="67" spans="4:41" x14ac:dyDescent="0.3">
      <c r="D67" t="str">
        <f t="shared" si="0"/>
        <v xml:space="preserve"> </v>
      </c>
      <c r="J67" s="10">
        <f>IF(G67="Y",'Tournament Setup'!$C$5,0)+IF(H67="Y",'Tournament Setup'!$C$6,0)+IF(I67="Y",'Tournament Setup'!$C$7,0)</f>
        <v>0</v>
      </c>
      <c r="K67" s="1"/>
      <c r="O67" s="123" t="str">
        <f t="shared" si="1"/>
        <v/>
      </c>
      <c r="S67" s="1" t="str">
        <f>IFERROR(IF(INDEX('Shooter-Squad Assignment'!$M:$M,MATCH($A67,'Shooter-Squad Assignment'!$A:$A,0))="","",INDEX('Shooter-Squad Assignment'!$M:$M,MATCH($A67,'Shooter-Squad Assignment'!$A:$A,0))),"")</f>
        <v/>
      </c>
      <c r="T67" s="1" t="str">
        <f>IFERROR(IF(INDEX('Shooter-Squad Assignment'!$N:$N,MATCH($A67,'Shooter-Squad Assignment'!$A:$A,0))="","",S67&amp;"-"&amp;INDEX('Shooter-Squad Assignment'!$N:$N,MATCH($A67,'Shooter-Squad Assignment'!$A:$A,0))),"")</f>
        <v/>
      </c>
      <c r="U67" s="1" t="str">
        <f>IFERROR(IF(INDEX('Shooter-Squad Assignment'!$I:$I,MATCH($A67,'Shooter-Squad Assignment'!$A:$A,0))="","",IF(INDEX('Shooter-Squad Assignment'!$I:$I,MATCH($A67,'Shooter-Squad Assignment'!$A:$A,0))=1,S67&amp;"-"&amp;1,"")),"")</f>
        <v/>
      </c>
      <c r="V67" t="str">
        <f>IF(ISBLANK($S67),"",IFERROR(INDEX('Squad Listing'!$C:$C,MATCH($S67,'Squad Listing'!$A:$A,0)),""))</f>
        <v/>
      </c>
      <c r="W67" t="str">
        <f>IF(ISBLANK($S67),"",IFERROR(INDEX('Squad Listing'!$D:$D,MATCH($S67,'Squad Listing'!$A:$A,0)),""))</f>
        <v/>
      </c>
      <c r="X67" t="str">
        <f>IF(ISBLANK($S67),"",IFERROR(INDEX('Squad Listing'!$E:$E,MATCH($S67,'Squad Listing'!$A:$A,0)),""))</f>
        <v/>
      </c>
      <c r="Y67" s="123" t="str">
        <f t="shared" si="2"/>
        <v/>
      </c>
      <c r="Z67" s="278">
        <f t="shared" si="3"/>
        <v>0</v>
      </c>
      <c r="AA67" s="278">
        <f>SUMIFS('Skeet Ind Concurrent Ranking'!L:L,'Skeet Ind Concurrent Ranking'!K:K,'Tournament List'!S87)</f>
        <v>0</v>
      </c>
      <c r="AB67" s="123" t="str">
        <f t="shared" si="4"/>
        <v/>
      </c>
      <c r="AF67" t="str">
        <f t="shared" si="5"/>
        <v/>
      </c>
      <c r="AG67" s="123" t="str">
        <f t="shared" si="6"/>
        <v/>
      </c>
      <c r="AM67" t="str">
        <f>IFERROR(INDEX('Skeet Ind Concurrent Scores'!Z:Z,MATCH(A67,'Skeet Ind Concurrent Scores'!X:X,0)),"")</f>
        <v/>
      </c>
      <c r="AN67" t="str">
        <f>IFERROR(INDEX('Skeet Ind Class Scores'!V:V,MATCH(A67,'Skeet Ind Class Scores'!T:T,0)),"")</f>
        <v/>
      </c>
      <c r="AO67" t="str">
        <f>IFERROR(INDEX('Skeet Team Scores'!AA:AA,MATCH(A67,'Skeet Team Scores'!AB:AB,0)),"")</f>
        <v/>
      </c>
    </row>
    <row r="68" spans="4:41" x14ac:dyDescent="0.3">
      <c r="D68" t="str">
        <f t="shared" ref="D68:D102" si="7">B68&amp;" "&amp;C68</f>
        <v xml:space="preserve"> </v>
      </c>
      <c r="J68" s="10">
        <f>IF(G68="Y",'Tournament Setup'!$C$5,0)+IF(H68="Y",'Tournament Setup'!$C$6,0)+IF(I68="Y",'Tournament Setup'!$C$7,0)</f>
        <v>0</v>
      </c>
      <c r="K68" s="1"/>
      <c r="O68" s="123" t="str">
        <f t="shared" ref="O68:O102" si="8">IF(COUNTIFS(G68:I68,"Y")&gt;1,SUM(AI68:AL68,AY68:BB68,BR68:CK68,P68),"")</f>
        <v/>
      </c>
      <c r="S68" s="1" t="str">
        <f>IFERROR(IF(INDEX('Shooter-Squad Assignment'!$M:$M,MATCH($A68,'Shooter-Squad Assignment'!$A:$A,0))="","",INDEX('Shooter-Squad Assignment'!$M:$M,MATCH($A68,'Shooter-Squad Assignment'!$A:$A,0))),"")</f>
        <v/>
      </c>
      <c r="T68" s="1" t="str">
        <f>IFERROR(IF(INDEX('Shooter-Squad Assignment'!$N:$N,MATCH($A68,'Shooter-Squad Assignment'!$A:$A,0))="","",S68&amp;"-"&amp;INDEX('Shooter-Squad Assignment'!$N:$N,MATCH($A68,'Shooter-Squad Assignment'!$A:$A,0))),"")</f>
        <v/>
      </c>
      <c r="U68" s="1" t="str">
        <f>IFERROR(IF(INDEX('Shooter-Squad Assignment'!$I:$I,MATCH($A68,'Shooter-Squad Assignment'!$A:$A,0))="","",IF(INDEX('Shooter-Squad Assignment'!$I:$I,MATCH($A68,'Shooter-Squad Assignment'!$A:$A,0))=1,S68&amp;"-"&amp;1,"")),"")</f>
        <v/>
      </c>
      <c r="V68" t="str">
        <f>IF(ISBLANK($S68),"",IFERROR(INDEX('Squad Listing'!$C:$C,MATCH($S68,'Squad Listing'!$A:$A,0)),""))</f>
        <v/>
      </c>
      <c r="W68" t="str">
        <f>IF(ISBLANK($S68),"",IFERROR(INDEX('Squad Listing'!$D:$D,MATCH($S68,'Squad Listing'!$A:$A,0)),""))</f>
        <v/>
      </c>
      <c r="X68" t="str">
        <f>IF(ISBLANK($S68),"",IFERROR(INDEX('Squad Listing'!$E:$E,MATCH($S68,'Squad Listing'!$A:$A,0)),""))</f>
        <v/>
      </c>
      <c r="Y68" s="123" t="str">
        <f t="shared" ref="Y68:Y102" si="9">IF(U68&lt;&gt;"",SUMIFS(AB:AB,S:S,S68)+AC68,"")</f>
        <v/>
      </c>
      <c r="Z68" s="278">
        <f t="shared" ref="Z68:Z102" si="10">SUMIFS(Y:Y,S:S,S68)</f>
        <v>0</v>
      </c>
      <c r="AA68" s="278">
        <f>SUMIFS('Skeet Ind Concurrent Ranking'!L:L,'Skeet Ind Concurrent Ranking'!K:K,'Tournament List'!S88)</f>
        <v>0</v>
      </c>
      <c r="AB68" s="123" t="str">
        <f t="shared" ref="AB68:AB102" si="11">IF(SUM(AI68:AL68)&gt;0,SUM(AI68:AL68),"")</f>
        <v/>
      </c>
      <c r="AF68" t="str">
        <f t="shared" ref="AF68:AF102" si="12">IF(_xlfn.NUMBERVALUE(AG68)&gt;0,_xlfn.RANK.EQ(AG68,$AG$3:$AG$302,0),"")</f>
        <v/>
      </c>
      <c r="AG68" s="123" t="str">
        <f t="shared" ref="AG68:AG102" si="13">IF(SUM(AI68:AL68)&gt;0,SUM(AH68:AL68),"")</f>
        <v/>
      </c>
      <c r="AM68" t="str">
        <f>IFERROR(INDEX('Skeet Ind Concurrent Scores'!Z:Z,MATCH(A68,'Skeet Ind Concurrent Scores'!X:X,0)),"")</f>
        <v/>
      </c>
      <c r="AN68" t="str">
        <f>IFERROR(INDEX('Skeet Ind Class Scores'!V:V,MATCH(A68,'Skeet Ind Class Scores'!T:T,0)),"")</f>
        <v/>
      </c>
      <c r="AO68" t="str">
        <f>IFERROR(INDEX('Skeet Team Scores'!AA:AA,MATCH(A68,'Skeet Team Scores'!AB:AB,0)),"")</f>
        <v/>
      </c>
    </row>
    <row r="69" spans="4:41" x14ac:dyDescent="0.3">
      <c r="D69" t="str">
        <f t="shared" si="7"/>
        <v xml:space="preserve"> </v>
      </c>
      <c r="J69" s="10">
        <f>IF(G69="Y",'Tournament Setup'!$C$5,0)+IF(H69="Y",'Tournament Setup'!$C$6,0)+IF(I69="Y",'Tournament Setup'!$C$7,0)</f>
        <v>0</v>
      </c>
      <c r="K69" s="1"/>
      <c r="O69" s="123" t="str">
        <f t="shared" si="8"/>
        <v/>
      </c>
      <c r="S69" s="1" t="str">
        <f>IFERROR(IF(INDEX('Shooter-Squad Assignment'!$M:$M,MATCH($A69,'Shooter-Squad Assignment'!$A:$A,0))="","",INDEX('Shooter-Squad Assignment'!$M:$M,MATCH($A69,'Shooter-Squad Assignment'!$A:$A,0))),"")</f>
        <v/>
      </c>
      <c r="T69" s="1" t="str">
        <f>IFERROR(IF(INDEX('Shooter-Squad Assignment'!$N:$N,MATCH($A69,'Shooter-Squad Assignment'!$A:$A,0))="","",S69&amp;"-"&amp;INDEX('Shooter-Squad Assignment'!$N:$N,MATCH($A69,'Shooter-Squad Assignment'!$A:$A,0))),"")</f>
        <v/>
      </c>
      <c r="U69" s="1" t="str">
        <f>IFERROR(IF(INDEX('Shooter-Squad Assignment'!$I:$I,MATCH($A69,'Shooter-Squad Assignment'!$A:$A,0))="","",IF(INDEX('Shooter-Squad Assignment'!$I:$I,MATCH($A69,'Shooter-Squad Assignment'!$A:$A,0))=1,S69&amp;"-"&amp;1,"")),"")</f>
        <v/>
      </c>
      <c r="V69" t="str">
        <f>IF(ISBLANK($S69),"",IFERROR(INDEX('Squad Listing'!$C:$C,MATCH($S69,'Squad Listing'!$A:$A,0)),""))</f>
        <v/>
      </c>
      <c r="W69" t="str">
        <f>IF(ISBLANK($S69),"",IFERROR(INDEX('Squad Listing'!$D:$D,MATCH($S69,'Squad Listing'!$A:$A,0)),""))</f>
        <v/>
      </c>
      <c r="X69" t="str">
        <f>IF(ISBLANK($S69),"",IFERROR(INDEX('Squad Listing'!$E:$E,MATCH($S69,'Squad Listing'!$A:$A,0)),""))</f>
        <v/>
      </c>
      <c r="Y69" s="123" t="str">
        <f t="shared" si="9"/>
        <v/>
      </c>
      <c r="Z69" s="278">
        <f t="shared" si="10"/>
        <v>0</v>
      </c>
      <c r="AA69" s="278">
        <f>SUMIFS('Skeet Ind Concurrent Ranking'!L:L,'Skeet Ind Concurrent Ranking'!K:K,'Tournament List'!S89)</f>
        <v>0</v>
      </c>
      <c r="AB69" s="123" t="str">
        <f t="shared" si="11"/>
        <v/>
      </c>
      <c r="AF69" t="str">
        <f t="shared" si="12"/>
        <v/>
      </c>
      <c r="AG69" s="123" t="str">
        <f t="shared" si="13"/>
        <v/>
      </c>
      <c r="AM69" t="str">
        <f>IFERROR(INDEX('Skeet Ind Concurrent Scores'!Z:Z,MATCH(A69,'Skeet Ind Concurrent Scores'!X:X,0)),"")</f>
        <v/>
      </c>
      <c r="AN69" t="str">
        <f>IFERROR(INDEX('Skeet Ind Class Scores'!V:V,MATCH(A69,'Skeet Ind Class Scores'!T:T,0)),"")</f>
        <v/>
      </c>
      <c r="AO69" t="str">
        <f>IFERROR(INDEX('Skeet Team Scores'!AA:AA,MATCH(A69,'Skeet Team Scores'!AB:AB,0)),"")</f>
        <v/>
      </c>
    </row>
    <row r="70" spans="4:41" x14ac:dyDescent="0.3">
      <c r="D70" t="str">
        <f t="shared" si="7"/>
        <v xml:space="preserve"> </v>
      </c>
      <c r="J70" s="10">
        <f>IF(G70="Y",'Tournament Setup'!$C$5,0)+IF(H70="Y",'Tournament Setup'!$C$6,0)+IF(I70="Y",'Tournament Setup'!$C$7,0)</f>
        <v>0</v>
      </c>
      <c r="K70" s="1"/>
      <c r="O70" s="123" t="str">
        <f t="shared" si="8"/>
        <v/>
      </c>
      <c r="S70" s="1" t="str">
        <f>IFERROR(IF(INDEX('Shooter-Squad Assignment'!$M:$M,MATCH($A70,'Shooter-Squad Assignment'!$A:$A,0))="","",INDEX('Shooter-Squad Assignment'!$M:$M,MATCH($A70,'Shooter-Squad Assignment'!$A:$A,0))),"")</f>
        <v/>
      </c>
      <c r="T70" s="1" t="str">
        <f>IFERROR(IF(INDEX('Shooter-Squad Assignment'!$N:$N,MATCH($A70,'Shooter-Squad Assignment'!$A:$A,0))="","",S70&amp;"-"&amp;INDEX('Shooter-Squad Assignment'!$N:$N,MATCH($A70,'Shooter-Squad Assignment'!$A:$A,0))),"")</f>
        <v/>
      </c>
      <c r="U70" s="1" t="str">
        <f>IFERROR(IF(INDEX('Shooter-Squad Assignment'!$I:$I,MATCH($A70,'Shooter-Squad Assignment'!$A:$A,0))="","",IF(INDEX('Shooter-Squad Assignment'!$I:$I,MATCH($A70,'Shooter-Squad Assignment'!$A:$A,0))=1,S70&amp;"-"&amp;1,"")),"")</f>
        <v/>
      </c>
      <c r="V70" t="str">
        <f>IF(ISBLANK($S70),"",IFERROR(INDEX('Squad Listing'!$C:$C,MATCH($S70,'Squad Listing'!$A:$A,0)),""))</f>
        <v/>
      </c>
      <c r="W70" t="str">
        <f>IF(ISBLANK($S70),"",IFERROR(INDEX('Squad Listing'!$D:$D,MATCH($S70,'Squad Listing'!$A:$A,0)),""))</f>
        <v/>
      </c>
      <c r="X70" t="str">
        <f>IF(ISBLANK($S70),"",IFERROR(INDEX('Squad Listing'!$E:$E,MATCH($S70,'Squad Listing'!$A:$A,0)),""))</f>
        <v/>
      </c>
      <c r="Y70" s="123" t="str">
        <f t="shared" si="9"/>
        <v/>
      </c>
      <c r="Z70" s="278">
        <f t="shared" si="10"/>
        <v>0</v>
      </c>
      <c r="AA70" s="278">
        <f>SUMIFS('Skeet Ind Concurrent Ranking'!L:L,'Skeet Ind Concurrent Ranking'!K:K,'Tournament List'!S90)</f>
        <v>0</v>
      </c>
      <c r="AB70" s="123" t="str">
        <f t="shared" si="11"/>
        <v/>
      </c>
      <c r="AF70" t="str">
        <f t="shared" si="12"/>
        <v/>
      </c>
      <c r="AG70" s="123" t="str">
        <f t="shared" si="13"/>
        <v/>
      </c>
      <c r="AM70" t="str">
        <f>IFERROR(INDEX('Skeet Ind Concurrent Scores'!Z:Z,MATCH(A70,'Skeet Ind Concurrent Scores'!X:X,0)),"")</f>
        <v/>
      </c>
      <c r="AN70" t="str">
        <f>IFERROR(INDEX('Skeet Ind Class Scores'!V:V,MATCH(A70,'Skeet Ind Class Scores'!T:T,0)),"")</f>
        <v/>
      </c>
      <c r="AO70" t="str">
        <f>IFERROR(INDEX('Skeet Team Scores'!AA:AA,MATCH(A70,'Skeet Team Scores'!AB:AB,0)),"")</f>
        <v/>
      </c>
    </row>
    <row r="71" spans="4:41" x14ac:dyDescent="0.3">
      <c r="D71" t="str">
        <f t="shared" si="7"/>
        <v xml:space="preserve"> </v>
      </c>
      <c r="J71" s="10">
        <f>IF(G71="Y",'Tournament Setup'!$C$5,0)+IF(H71="Y",'Tournament Setup'!$C$6,0)+IF(I71="Y",'Tournament Setup'!$C$7,0)</f>
        <v>0</v>
      </c>
      <c r="K71" s="1"/>
      <c r="O71" s="123" t="str">
        <f t="shared" si="8"/>
        <v/>
      </c>
      <c r="S71" s="1" t="str">
        <f>IFERROR(IF(INDEX('Shooter-Squad Assignment'!$M:$M,MATCH($A71,'Shooter-Squad Assignment'!$A:$A,0))="","",INDEX('Shooter-Squad Assignment'!$M:$M,MATCH($A71,'Shooter-Squad Assignment'!$A:$A,0))),"")</f>
        <v/>
      </c>
      <c r="T71" s="1" t="str">
        <f>IFERROR(IF(INDEX('Shooter-Squad Assignment'!$N:$N,MATCH($A71,'Shooter-Squad Assignment'!$A:$A,0))="","",S71&amp;"-"&amp;INDEX('Shooter-Squad Assignment'!$N:$N,MATCH($A71,'Shooter-Squad Assignment'!$A:$A,0))),"")</f>
        <v/>
      </c>
      <c r="U71" s="1" t="str">
        <f>IFERROR(IF(INDEX('Shooter-Squad Assignment'!$I:$I,MATCH($A71,'Shooter-Squad Assignment'!$A:$A,0))="","",IF(INDEX('Shooter-Squad Assignment'!$I:$I,MATCH($A71,'Shooter-Squad Assignment'!$A:$A,0))=1,S71&amp;"-"&amp;1,"")),"")</f>
        <v/>
      </c>
      <c r="V71" t="str">
        <f>IF(ISBLANK($S71),"",IFERROR(INDEX('Squad Listing'!$C:$C,MATCH($S71,'Squad Listing'!$A:$A,0)),""))</f>
        <v/>
      </c>
      <c r="W71" t="str">
        <f>IF(ISBLANK($S71),"",IFERROR(INDEX('Squad Listing'!$D:$D,MATCH($S71,'Squad Listing'!$A:$A,0)),""))</f>
        <v/>
      </c>
      <c r="X71" t="str">
        <f>IF(ISBLANK($S71),"",IFERROR(INDEX('Squad Listing'!$E:$E,MATCH($S71,'Squad Listing'!$A:$A,0)),""))</f>
        <v/>
      </c>
      <c r="Y71" s="123" t="str">
        <f t="shared" si="9"/>
        <v/>
      </c>
      <c r="Z71" s="278">
        <f t="shared" si="10"/>
        <v>0</v>
      </c>
      <c r="AA71" s="278">
        <f>SUMIFS('Skeet Ind Concurrent Ranking'!L:L,'Skeet Ind Concurrent Ranking'!K:K,'Tournament List'!S91)</f>
        <v>0</v>
      </c>
      <c r="AB71" s="123" t="str">
        <f t="shared" si="11"/>
        <v/>
      </c>
      <c r="AF71" t="str">
        <f t="shared" si="12"/>
        <v/>
      </c>
      <c r="AG71" s="123" t="str">
        <f t="shared" si="13"/>
        <v/>
      </c>
      <c r="AM71" t="str">
        <f>IFERROR(INDEX('Skeet Ind Concurrent Scores'!Z:Z,MATCH(A71,'Skeet Ind Concurrent Scores'!X:X,0)),"")</f>
        <v/>
      </c>
      <c r="AN71" t="str">
        <f>IFERROR(INDEX('Skeet Ind Class Scores'!V:V,MATCH(A71,'Skeet Ind Class Scores'!T:T,0)),"")</f>
        <v/>
      </c>
      <c r="AO71" t="str">
        <f>IFERROR(INDEX('Skeet Team Scores'!AA:AA,MATCH(A71,'Skeet Team Scores'!AB:AB,0)),"")</f>
        <v/>
      </c>
    </row>
    <row r="72" spans="4:41" x14ac:dyDescent="0.3">
      <c r="D72" t="str">
        <f t="shared" si="7"/>
        <v xml:space="preserve"> </v>
      </c>
      <c r="J72" s="10">
        <f>IF(G72="Y",'Tournament Setup'!$C$5,0)+IF(H72="Y",'Tournament Setup'!$C$6,0)+IF(I72="Y",'Tournament Setup'!$C$7,0)</f>
        <v>0</v>
      </c>
      <c r="K72" s="1"/>
      <c r="O72" s="123" t="str">
        <f t="shared" si="8"/>
        <v/>
      </c>
      <c r="S72" s="1" t="str">
        <f>IFERROR(IF(INDEX('Shooter-Squad Assignment'!$M:$M,MATCH($A72,'Shooter-Squad Assignment'!$A:$A,0))="","",INDEX('Shooter-Squad Assignment'!$M:$M,MATCH($A72,'Shooter-Squad Assignment'!$A:$A,0))),"")</f>
        <v/>
      </c>
      <c r="T72" s="1" t="str">
        <f>IFERROR(IF(INDEX('Shooter-Squad Assignment'!$N:$N,MATCH($A72,'Shooter-Squad Assignment'!$A:$A,0))="","",S72&amp;"-"&amp;INDEX('Shooter-Squad Assignment'!$N:$N,MATCH($A72,'Shooter-Squad Assignment'!$A:$A,0))),"")</f>
        <v/>
      </c>
      <c r="U72" s="1" t="str">
        <f>IFERROR(IF(INDEX('Shooter-Squad Assignment'!$I:$I,MATCH($A72,'Shooter-Squad Assignment'!$A:$A,0))="","",IF(INDEX('Shooter-Squad Assignment'!$I:$I,MATCH($A72,'Shooter-Squad Assignment'!$A:$A,0))=1,S72&amp;"-"&amp;1,"")),"")</f>
        <v/>
      </c>
      <c r="V72" t="str">
        <f>IF(ISBLANK($S72),"",IFERROR(INDEX('Squad Listing'!$C:$C,MATCH($S72,'Squad Listing'!$A:$A,0)),""))</f>
        <v/>
      </c>
      <c r="W72" t="str">
        <f>IF(ISBLANK($S72),"",IFERROR(INDEX('Squad Listing'!$D:$D,MATCH($S72,'Squad Listing'!$A:$A,0)),""))</f>
        <v/>
      </c>
      <c r="X72" t="str">
        <f>IF(ISBLANK($S72),"",IFERROR(INDEX('Squad Listing'!$E:$E,MATCH($S72,'Squad Listing'!$A:$A,0)),""))</f>
        <v/>
      </c>
      <c r="Y72" s="123" t="str">
        <f t="shared" si="9"/>
        <v/>
      </c>
      <c r="Z72" s="278">
        <f t="shared" si="10"/>
        <v>0</v>
      </c>
      <c r="AA72" s="278">
        <f>SUMIFS('Skeet Ind Concurrent Ranking'!L:L,'Skeet Ind Concurrent Ranking'!K:K,'Tournament List'!S92)</f>
        <v>0</v>
      </c>
      <c r="AB72" s="123" t="str">
        <f t="shared" si="11"/>
        <v/>
      </c>
      <c r="AF72" t="str">
        <f t="shared" si="12"/>
        <v/>
      </c>
      <c r="AG72" s="123" t="str">
        <f t="shared" si="13"/>
        <v/>
      </c>
      <c r="AM72" t="str">
        <f>IFERROR(INDEX('Skeet Ind Concurrent Scores'!Z:Z,MATCH(A72,'Skeet Ind Concurrent Scores'!X:X,0)),"")</f>
        <v/>
      </c>
      <c r="AN72" t="str">
        <f>IFERROR(INDEX('Skeet Ind Class Scores'!V:V,MATCH(A72,'Skeet Ind Class Scores'!T:T,0)),"")</f>
        <v/>
      </c>
      <c r="AO72" t="str">
        <f>IFERROR(INDEX('Skeet Team Scores'!AA:AA,MATCH(A72,'Skeet Team Scores'!AB:AB,0)),"")</f>
        <v/>
      </c>
    </row>
    <row r="73" spans="4:41" x14ac:dyDescent="0.3">
      <c r="D73" t="str">
        <f t="shared" si="7"/>
        <v xml:space="preserve"> </v>
      </c>
      <c r="J73" s="10">
        <f>IF(G73="Y",'Tournament Setup'!$C$5,0)+IF(H73="Y",'Tournament Setup'!$C$6,0)+IF(I73="Y",'Tournament Setup'!$C$7,0)</f>
        <v>0</v>
      </c>
      <c r="K73" s="1"/>
      <c r="O73" s="123" t="str">
        <f t="shared" si="8"/>
        <v/>
      </c>
      <c r="S73" s="1" t="str">
        <f>IFERROR(IF(INDEX('Shooter-Squad Assignment'!$M:$M,MATCH($A73,'Shooter-Squad Assignment'!$A:$A,0))="","",INDEX('Shooter-Squad Assignment'!$M:$M,MATCH($A73,'Shooter-Squad Assignment'!$A:$A,0))),"")</f>
        <v/>
      </c>
      <c r="T73" s="1" t="str">
        <f>IFERROR(IF(INDEX('Shooter-Squad Assignment'!$N:$N,MATCH($A73,'Shooter-Squad Assignment'!$A:$A,0))="","",S73&amp;"-"&amp;INDEX('Shooter-Squad Assignment'!$N:$N,MATCH($A73,'Shooter-Squad Assignment'!$A:$A,0))),"")</f>
        <v/>
      </c>
      <c r="U73" s="1" t="str">
        <f>IFERROR(IF(INDEX('Shooter-Squad Assignment'!$I:$I,MATCH($A73,'Shooter-Squad Assignment'!$A:$A,0))="","",IF(INDEX('Shooter-Squad Assignment'!$I:$I,MATCH($A73,'Shooter-Squad Assignment'!$A:$A,0))=1,S73&amp;"-"&amp;1,"")),"")</f>
        <v/>
      </c>
      <c r="V73" t="str">
        <f>IF(ISBLANK($S73),"",IFERROR(INDEX('Squad Listing'!$C:$C,MATCH($S73,'Squad Listing'!$A:$A,0)),""))</f>
        <v/>
      </c>
      <c r="W73" t="str">
        <f>IF(ISBLANK($S73),"",IFERROR(INDEX('Squad Listing'!$D:$D,MATCH($S73,'Squad Listing'!$A:$A,0)),""))</f>
        <v/>
      </c>
      <c r="X73" t="str">
        <f>IF(ISBLANK($S73),"",IFERROR(INDEX('Squad Listing'!$E:$E,MATCH($S73,'Squad Listing'!$A:$A,0)),""))</f>
        <v/>
      </c>
      <c r="Y73" s="123" t="str">
        <f t="shared" si="9"/>
        <v/>
      </c>
      <c r="Z73" s="278">
        <f t="shared" si="10"/>
        <v>0</v>
      </c>
      <c r="AA73" s="278">
        <f>SUMIFS('Skeet Ind Concurrent Ranking'!L:L,'Skeet Ind Concurrent Ranking'!K:K,'Tournament List'!S93)</f>
        <v>0</v>
      </c>
      <c r="AB73" s="123" t="str">
        <f t="shared" si="11"/>
        <v/>
      </c>
      <c r="AF73" t="str">
        <f t="shared" si="12"/>
        <v/>
      </c>
      <c r="AG73" s="123" t="str">
        <f t="shared" si="13"/>
        <v/>
      </c>
      <c r="AM73" t="str">
        <f>IFERROR(INDEX('Skeet Ind Concurrent Scores'!Z:Z,MATCH(A73,'Skeet Ind Concurrent Scores'!X:X,0)),"")</f>
        <v/>
      </c>
      <c r="AN73" t="str">
        <f>IFERROR(INDEX('Skeet Ind Class Scores'!V:V,MATCH(A73,'Skeet Ind Class Scores'!T:T,0)),"")</f>
        <v/>
      </c>
      <c r="AO73" t="str">
        <f>IFERROR(INDEX('Skeet Team Scores'!AA:AA,MATCH(A73,'Skeet Team Scores'!AB:AB,0)),"")</f>
        <v/>
      </c>
    </row>
    <row r="74" spans="4:41" x14ac:dyDescent="0.3">
      <c r="D74" t="str">
        <f t="shared" si="7"/>
        <v xml:space="preserve"> </v>
      </c>
      <c r="J74" s="10">
        <f>IF(G74="Y",'Tournament Setup'!$C$5,0)+IF(H74="Y",'Tournament Setup'!$C$6,0)+IF(I74="Y",'Tournament Setup'!$C$7,0)</f>
        <v>0</v>
      </c>
      <c r="K74" s="1"/>
      <c r="O74" s="123" t="str">
        <f t="shared" si="8"/>
        <v/>
      </c>
      <c r="S74" s="1" t="str">
        <f>IFERROR(IF(INDEX('Shooter-Squad Assignment'!$M:$M,MATCH($A74,'Shooter-Squad Assignment'!$A:$A,0))="","",INDEX('Shooter-Squad Assignment'!$M:$M,MATCH($A74,'Shooter-Squad Assignment'!$A:$A,0))),"")</f>
        <v/>
      </c>
      <c r="T74" s="1" t="str">
        <f>IFERROR(IF(INDEX('Shooter-Squad Assignment'!$N:$N,MATCH($A74,'Shooter-Squad Assignment'!$A:$A,0))="","",S74&amp;"-"&amp;INDEX('Shooter-Squad Assignment'!$N:$N,MATCH($A74,'Shooter-Squad Assignment'!$A:$A,0))),"")</f>
        <v/>
      </c>
      <c r="U74" s="1" t="str">
        <f>IFERROR(IF(INDEX('Shooter-Squad Assignment'!$I:$I,MATCH($A74,'Shooter-Squad Assignment'!$A:$A,0))="","",IF(INDEX('Shooter-Squad Assignment'!$I:$I,MATCH($A74,'Shooter-Squad Assignment'!$A:$A,0))=1,S74&amp;"-"&amp;1,"")),"")</f>
        <v/>
      </c>
      <c r="V74" t="str">
        <f>IF(ISBLANK($S74),"",IFERROR(INDEX('Squad Listing'!$C:$C,MATCH($S74,'Squad Listing'!$A:$A,0)),""))</f>
        <v/>
      </c>
      <c r="W74" t="str">
        <f>IF(ISBLANK($S74),"",IFERROR(INDEX('Squad Listing'!$D:$D,MATCH($S74,'Squad Listing'!$A:$A,0)),""))</f>
        <v/>
      </c>
      <c r="X74" t="str">
        <f>IF(ISBLANK($S74),"",IFERROR(INDEX('Squad Listing'!$E:$E,MATCH($S74,'Squad Listing'!$A:$A,0)),""))</f>
        <v/>
      </c>
      <c r="Y74" s="123" t="str">
        <f t="shared" si="9"/>
        <v/>
      </c>
      <c r="Z74" s="278">
        <f t="shared" si="10"/>
        <v>0</v>
      </c>
      <c r="AA74" s="278">
        <f>SUMIFS('Skeet Ind Concurrent Ranking'!L:L,'Skeet Ind Concurrent Ranking'!K:K,'Tournament List'!S94)</f>
        <v>0</v>
      </c>
      <c r="AB74" s="123" t="str">
        <f t="shared" si="11"/>
        <v/>
      </c>
      <c r="AF74" t="str">
        <f t="shared" si="12"/>
        <v/>
      </c>
      <c r="AG74" s="123" t="str">
        <f t="shared" si="13"/>
        <v/>
      </c>
      <c r="AM74" t="str">
        <f>IFERROR(INDEX('Skeet Ind Concurrent Scores'!Z:Z,MATCH(A74,'Skeet Ind Concurrent Scores'!X:X,0)),"")</f>
        <v/>
      </c>
      <c r="AN74" t="str">
        <f>IFERROR(INDEX('Skeet Ind Class Scores'!V:V,MATCH(A74,'Skeet Ind Class Scores'!T:T,0)),"")</f>
        <v/>
      </c>
      <c r="AO74" t="str">
        <f>IFERROR(INDEX('Skeet Team Scores'!AA:AA,MATCH(A74,'Skeet Team Scores'!AB:AB,0)),"")</f>
        <v/>
      </c>
    </row>
    <row r="75" spans="4:41" x14ac:dyDescent="0.3">
      <c r="D75" t="str">
        <f t="shared" si="7"/>
        <v xml:space="preserve"> </v>
      </c>
      <c r="J75" s="10">
        <f>IF(G75="Y",'Tournament Setup'!$C$5,0)+IF(H75="Y",'Tournament Setup'!$C$6,0)+IF(I75="Y",'Tournament Setup'!$C$7,0)</f>
        <v>0</v>
      </c>
      <c r="K75" s="1"/>
      <c r="O75" s="123" t="str">
        <f t="shared" si="8"/>
        <v/>
      </c>
      <c r="S75" s="1" t="str">
        <f>IFERROR(IF(INDEX('Shooter-Squad Assignment'!$M:$M,MATCH($A75,'Shooter-Squad Assignment'!$A:$A,0))="","",INDEX('Shooter-Squad Assignment'!$M:$M,MATCH($A75,'Shooter-Squad Assignment'!$A:$A,0))),"")</f>
        <v/>
      </c>
      <c r="T75" s="1" t="str">
        <f>IFERROR(IF(INDEX('Shooter-Squad Assignment'!$N:$N,MATCH($A75,'Shooter-Squad Assignment'!$A:$A,0))="","",S75&amp;"-"&amp;INDEX('Shooter-Squad Assignment'!$N:$N,MATCH($A75,'Shooter-Squad Assignment'!$A:$A,0))),"")</f>
        <v/>
      </c>
      <c r="U75" s="1" t="str">
        <f>IFERROR(IF(INDEX('Shooter-Squad Assignment'!$I:$I,MATCH($A75,'Shooter-Squad Assignment'!$A:$A,0))="","",IF(INDEX('Shooter-Squad Assignment'!$I:$I,MATCH($A75,'Shooter-Squad Assignment'!$A:$A,0))=1,S75&amp;"-"&amp;1,"")),"")</f>
        <v/>
      </c>
      <c r="V75" t="str">
        <f>IF(ISBLANK($S75),"",IFERROR(INDEX('Squad Listing'!$C:$C,MATCH($S75,'Squad Listing'!$A:$A,0)),""))</f>
        <v/>
      </c>
      <c r="W75" t="str">
        <f>IF(ISBLANK($S75),"",IFERROR(INDEX('Squad Listing'!$D:$D,MATCH($S75,'Squad Listing'!$A:$A,0)),""))</f>
        <v/>
      </c>
      <c r="X75" t="str">
        <f>IF(ISBLANK($S75),"",IFERROR(INDEX('Squad Listing'!$E:$E,MATCH($S75,'Squad Listing'!$A:$A,0)),""))</f>
        <v/>
      </c>
      <c r="Y75" s="123" t="str">
        <f t="shared" si="9"/>
        <v/>
      </c>
      <c r="Z75" s="278">
        <f t="shared" si="10"/>
        <v>0</v>
      </c>
      <c r="AA75" s="278">
        <f>SUMIFS('Skeet Ind Concurrent Ranking'!L:L,'Skeet Ind Concurrent Ranking'!K:K,'Tournament List'!S95)</f>
        <v>0</v>
      </c>
      <c r="AB75" s="123" t="str">
        <f t="shared" si="11"/>
        <v/>
      </c>
      <c r="AF75" t="str">
        <f t="shared" si="12"/>
        <v/>
      </c>
      <c r="AG75" s="123" t="str">
        <f t="shared" si="13"/>
        <v/>
      </c>
      <c r="AM75" t="str">
        <f>IFERROR(INDEX('Skeet Ind Concurrent Scores'!Z:Z,MATCH(A75,'Skeet Ind Concurrent Scores'!X:X,0)),"")</f>
        <v/>
      </c>
      <c r="AN75" t="str">
        <f>IFERROR(INDEX('Skeet Ind Class Scores'!V:V,MATCH(A75,'Skeet Ind Class Scores'!T:T,0)),"")</f>
        <v/>
      </c>
      <c r="AO75" t="str">
        <f>IFERROR(INDEX('Skeet Team Scores'!AA:AA,MATCH(A75,'Skeet Team Scores'!AB:AB,0)),"")</f>
        <v/>
      </c>
    </row>
    <row r="76" spans="4:41" x14ac:dyDescent="0.3">
      <c r="D76" t="str">
        <f t="shared" si="7"/>
        <v xml:space="preserve"> </v>
      </c>
      <c r="J76" s="10">
        <f>IF(G76="Y",'Tournament Setup'!$C$5,0)+IF(H76="Y",'Tournament Setup'!$C$6,0)+IF(I76="Y",'Tournament Setup'!$C$7,0)</f>
        <v>0</v>
      </c>
      <c r="K76" s="1"/>
      <c r="O76" s="123" t="str">
        <f t="shared" si="8"/>
        <v/>
      </c>
      <c r="S76" s="1" t="str">
        <f>IFERROR(IF(INDEX('Shooter-Squad Assignment'!$M:$M,MATCH($A76,'Shooter-Squad Assignment'!$A:$A,0))="","",INDEX('Shooter-Squad Assignment'!$M:$M,MATCH($A76,'Shooter-Squad Assignment'!$A:$A,0))),"")</f>
        <v/>
      </c>
      <c r="T76" s="1" t="str">
        <f>IFERROR(IF(INDEX('Shooter-Squad Assignment'!$N:$N,MATCH($A76,'Shooter-Squad Assignment'!$A:$A,0))="","",S76&amp;"-"&amp;INDEX('Shooter-Squad Assignment'!$N:$N,MATCH($A76,'Shooter-Squad Assignment'!$A:$A,0))),"")</f>
        <v/>
      </c>
      <c r="U76" s="1" t="str">
        <f>IFERROR(IF(INDEX('Shooter-Squad Assignment'!$I:$I,MATCH($A76,'Shooter-Squad Assignment'!$A:$A,0))="","",IF(INDEX('Shooter-Squad Assignment'!$I:$I,MATCH($A76,'Shooter-Squad Assignment'!$A:$A,0))=1,S76&amp;"-"&amp;1,"")),"")</f>
        <v/>
      </c>
      <c r="V76" t="str">
        <f>IF(ISBLANK($S76),"",IFERROR(INDEX('Squad Listing'!$C:$C,MATCH($S76,'Squad Listing'!$A:$A,0)),""))</f>
        <v/>
      </c>
      <c r="W76" t="str">
        <f>IF(ISBLANK($S76),"",IFERROR(INDEX('Squad Listing'!$D:$D,MATCH($S76,'Squad Listing'!$A:$A,0)),""))</f>
        <v/>
      </c>
      <c r="X76" t="str">
        <f>IF(ISBLANK($S76),"",IFERROR(INDEX('Squad Listing'!$E:$E,MATCH($S76,'Squad Listing'!$A:$A,0)),""))</f>
        <v/>
      </c>
      <c r="Y76" s="123" t="str">
        <f t="shared" si="9"/>
        <v/>
      </c>
      <c r="Z76" s="278">
        <f t="shared" si="10"/>
        <v>0</v>
      </c>
      <c r="AA76" s="278">
        <f>SUMIFS('Skeet Ind Concurrent Ranking'!L:L,'Skeet Ind Concurrent Ranking'!K:K,'Tournament List'!S96)</f>
        <v>0</v>
      </c>
      <c r="AB76" s="123" t="str">
        <f t="shared" si="11"/>
        <v/>
      </c>
      <c r="AF76" t="str">
        <f t="shared" si="12"/>
        <v/>
      </c>
      <c r="AG76" s="123" t="str">
        <f t="shared" si="13"/>
        <v/>
      </c>
      <c r="AM76" t="str">
        <f>IFERROR(INDEX('Skeet Ind Concurrent Scores'!Z:Z,MATCH(A76,'Skeet Ind Concurrent Scores'!X:X,0)),"")</f>
        <v/>
      </c>
      <c r="AN76" t="str">
        <f>IFERROR(INDEX('Skeet Ind Class Scores'!V:V,MATCH(A76,'Skeet Ind Class Scores'!T:T,0)),"")</f>
        <v/>
      </c>
      <c r="AO76" t="str">
        <f>IFERROR(INDEX('Skeet Team Scores'!AA:AA,MATCH(A76,'Skeet Team Scores'!AB:AB,0)),"")</f>
        <v/>
      </c>
    </row>
    <row r="77" spans="4:41" x14ac:dyDescent="0.3">
      <c r="D77" t="str">
        <f t="shared" si="7"/>
        <v xml:space="preserve"> </v>
      </c>
      <c r="J77" s="10">
        <f>IF(G77="Y",'Tournament Setup'!$C$5,0)+IF(H77="Y",'Tournament Setup'!$C$6,0)+IF(I77="Y",'Tournament Setup'!$C$7,0)</f>
        <v>0</v>
      </c>
      <c r="K77" s="1"/>
      <c r="O77" s="123" t="str">
        <f t="shared" si="8"/>
        <v/>
      </c>
      <c r="S77" s="1" t="str">
        <f>IFERROR(IF(INDEX('Shooter-Squad Assignment'!$M:$M,MATCH($A77,'Shooter-Squad Assignment'!$A:$A,0))="","",INDEX('Shooter-Squad Assignment'!$M:$M,MATCH($A77,'Shooter-Squad Assignment'!$A:$A,0))),"")</f>
        <v/>
      </c>
      <c r="T77" s="1" t="str">
        <f>IFERROR(IF(INDEX('Shooter-Squad Assignment'!$N:$N,MATCH($A77,'Shooter-Squad Assignment'!$A:$A,0))="","",S77&amp;"-"&amp;INDEX('Shooter-Squad Assignment'!$N:$N,MATCH($A77,'Shooter-Squad Assignment'!$A:$A,0))),"")</f>
        <v/>
      </c>
      <c r="U77" s="1" t="str">
        <f>IFERROR(IF(INDEX('Shooter-Squad Assignment'!$I:$I,MATCH($A77,'Shooter-Squad Assignment'!$A:$A,0))="","",IF(INDEX('Shooter-Squad Assignment'!$I:$I,MATCH($A77,'Shooter-Squad Assignment'!$A:$A,0))=1,S77&amp;"-"&amp;1,"")),"")</f>
        <v/>
      </c>
      <c r="V77" t="str">
        <f>IF(ISBLANK($S77),"",IFERROR(INDEX('Squad Listing'!$C:$C,MATCH($S77,'Squad Listing'!$A:$A,0)),""))</f>
        <v/>
      </c>
      <c r="W77" t="str">
        <f>IF(ISBLANK($S77),"",IFERROR(INDEX('Squad Listing'!$D:$D,MATCH($S77,'Squad Listing'!$A:$A,0)),""))</f>
        <v/>
      </c>
      <c r="X77" t="str">
        <f>IF(ISBLANK($S77),"",IFERROR(INDEX('Squad Listing'!$E:$E,MATCH($S77,'Squad Listing'!$A:$A,0)),""))</f>
        <v/>
      </c>
      <c r="Y77" s="123" t="str">
        <f t="shared" si="9"/>
        <v/>
      </c>
      <c r="Z77" s="278">
        <f t="shared" si="10"/>
        <v>0</v>
      </c>
      <c r="AA77" s="278">
        <f>SUMIFS('Skeet Ind Concurrent Ranking'!L:L,'Skeet Ind Concurrent Ranking'!K:K,'Tournament List'!S97)</f>
        <v>0</v>
      </c>
      <c r="AB77" s="123" t="str">
        <f t="shared" si="11"/>
        <v/>
      </c>
      <c r="AF77" t="str">
        <f t="shared" si="12"/>
        <v/>
      </c>
      <c r="AG77" s="123" t="str">
        <f t="shared" si="13"/>
        <v/>
      </c>
      <c r="AM77" t="str">
        <f>IFERROR(INDEX('Skeet Ind Concurrent Scores'!Z:Z,MATCH(A77,'Skeet Ind Concurrent Scores'!X:X,0)),"")</f>
        <v/>
      </c>
      <c r="AN77" t="str">
        <f>IFERROR(INDEX('Skeet Ind Class Scores'!V:V,MATCH(A77,'Skeet Ind Class Scores'!T:T,0)),"")</f>
        <v/>
      </c>
      <c r="AO77" t="str">
        <f>IFERROR(INDEX('Skeet Team Scores'!AA:AA,MATCH(A77,'Skeet Team Scores'!AB:AB,0)),"")</f>
        <v/>
      </c>
    </row>
    <row r="78" spans="4:41" x14ac:dyDescent="0.3">
      <c r="D78" t="str">
        <f t="shared" si="7"/>
        <v xml:space="preserve"> </v>
      </c>
      <c r="J78" s="10">
        <f>IF(G78="Y",'Tournament Setup'!$C$5,0)+IF(H78="Y",'Tournament Setup'!$C$6,0)+IF(I78="Y",'Tournament Setup'!$C$7,0)</f>
        <v>0</v>
      </c>
      <c r="K78" s="1"/>
      <c r="O78" s="123" t="str">
        <f t="shared" si="8"/>
        <v/>
      </c>
      <c r="S78" s="1" t="str">
        <f>IFERROR(IF(INDEX('Shooter-Squad Assignment'!$M:$M,MATCH($A78,'Shooter-Squad Assignment'!$A:$A,0))="","",INDEX('Shooter-Squad Assignment'!$M:$M,MATCH($A78,'Shooter-Squad Assignment'!$A:$A,0))),"")</f>
        <v/>
      </c>
      <c r="T78" s="1" t="str">
        <f>IFERROR(IF(INDEX('Shooter-Squad Assignment'!$N:$N,MATCH($A78,'Shooter-Squad Assignment'!$A:$A,0))="","",S78&amp;"-"&amp;INDEX('Shooter-Squad Assignment'!$N:$N,MATCH($A78,'Shooter-Squad Assignment'!$A:$A,0))),"")</f>
        <v/>
      </c>
      <c r="U78" s="1" t="str">
        <f>IFERROR(IF(INDEX('Shooter-Squad Assignment'!$I:$I,MATCH($A78,'Shooter-Squad Assignment'!$A:$A,0))="","",IF(INDEX('Shooter-Squad Assignment'!$I:$I,MATCH($A78,'Shooter-Squad Assignment'!$A:$A,0))=1,S78&amp;"-"&amp;1,"")),"")</f>
        <v/>
      </c>
      <c r="V78" t="str">
        <f>IF(ISBLANK($S78),"",IFERROR(INDEX('Squad Listing'!$C:$C,MATCH($S78,'Squad Listing'!$A:$A,0)),""))</f>
        <v/>
      </c>
      <c r="W78" t="str">
        <f>IF(ISBLANK($S78),"",IFERROR(INDEX('Squad Listing'!$D:$D,MATCH($S78,'Squad Listing'!$A:$A,0)),""))</f>
        <v/>
      </c>
      <c r="X78" t="str">
        <f>IF(ISBLANK($S78),"",IFERROR(INDEX('Squad Listing'!$E:$E,MATCH($S78,'Squad Listing'!$A:$A,0)),""))</f>
        <v/>
      </c>
      <c r="Y78" s="123" t="str">
        <f t="shared" si="9"/>
        <v/>
      </c>
      <c r="Z78" s="278">
        <f t="shared" si="10"/>
        <v>0</v>
      </c>
      <c r="AA78" s="278">
        <f>SUMIFS('Skeet Ind Concurrent Ranking'!L:L,'Skeet Ind Concurrent Ranking'!K:K,'Tournament List'!S98)</f>
        <v>0</v>
      </c>
      <c r="AB78" s="123" t="str">
        <f t="shared" si="11"/>
        <v/>
      </c>
      <c r="AF78" t="str">
        <f t="shared" si="12"/>
        <v/>
      </c>
      <c r="AG78" s="123" t="str">
        <f t="shared" si="13"/>
        <v/>
      </c>
      <c r="AM78" t="str">
        <f>IFERROR(INDEX('Skeet Ind Concurrent Scores'!Z:Z,MATCH(A78,'Skeet Ind Concurrent Scores'!X:X,0)),"")</f>
        <v/>
      </c>
      <c r="AN78" t="str">
        <f>IFERROR(INDEX('Skeet Ind Class Scores'!V:V,MATCH(A78,'Skeet Ind Class Scores'!T:T,0)),"")</f>
        <v/>
      </c>
      <c r="AO78" t="str">
        <f>IFERROR(INDEX('Skeet Team Scores'!AA:AA,MATCH(A78,'Skeet Team Scores'!AB:AB,0)),"")</f>
        <v/>
      </c>
    </row>
    <row r="79" spans="4:41" x14ac:dyDescent="0.3">
      <c r="D79" t="str">
        <f t="shared" si="7"/>
        <v xml:space="preserve"> </v>
      </c>
      <c r="J79" s="10">
        <f>IF(G79="Y",'Tournament Setup'!$C$5,0)+IF(H79="Y",'Tournament Setup'!$C$6,0)+IF(I79="Y",'Tournament Setup'!$C$7,0)</f>
        <v>0</v>
      </c>
      <c r="K79" s="1"/>
      <c r="O79" s="123" t="str">
        <f t="shared" si="8"/>
        <v/>
      </c>
      <c r="S79" s="1" t="str">
        <f>IFERROR(IF(INDEX('Shooter-Squad Assignment'!$M:$M,MATCH($A79,'Shooter-Squad Assignment'!$A:$A,0))="","",INDEX('Shooter-Squad Assignment'!$M:$M,MATCH($A79,'Shooter-Squad Assignment'!$A:$A,0))),"")</f>
        <v/>
      </c>
      <c r="T79" s="1" t="str">
        <f>IFERROR(IF(INDEX('Shooter-Squad Assignment'!$N:$N,MATCH($A79,'Shooter-Squad Assignment'!$A:$A,0))="","",S79&amp;"-"&amp;INDEX('Shooter-Squad Assignment'!$N:$N,MATCH($A79,'Shooter-Squad Assignment'!$A:$A,0))),"")</f>
        <v/>
      </c>
      <c r="U79" s="1" t="str">
        <f>IFERROR(IF(INDEX('Shooter-Squad Assignment'!$I:$I,MATCH($A79,'Shooter-Squad Assignment'!$A:$A,0))="","",IF(INDEX('Shooter-Squad Assignment'!$I:$I,MATCH($A79,'Shooter-Squad Assignment'!$A:$A,0))=1,S79&amp;"-"&amp;1,"")),"")</f>
        <v/>
      </c>
      <c r="V79" t="str">
        <f>IF(ISBLANK($S79),"",IFERROR(INDEX('Squad Listing'!$C:$C,MATCH($S79,'Squad Listing'!$A:$A,0)),""))</f>
        <v/>
      </c>
      <c r="W79" t="str">
        <f>IF(ISBLANK($S79),"",IFERROR(INDEX('Squad Listing'!$D:$D,MATCH($S79,'Squad Listing'!$A:$A,0)),""))</f>
        <v/>
      </c>
      <c r="X79" t="str">
        <f>IF(ISBLANK($S79),"",IFERROR(INDEX('Squad Listing'!$E:$E,MATCH($S79,'Squad Listing'!$A:$A,0)),""))</f>
        <v/>
      </c>
      <c r="Y79" s="123" t="str">
        <f t="shared" si="9"/>
        <v/>
      </c>
      <c r="Z79" s="278">
        <f t="shared" si="10"/>
        <v>0</v>
      </c>
      <c r="AA79" s="278">
        <f>SUMIFS('Skeet Ind Concurrent Ranking'!L:L,'Skeet Ind Concurrent Ranking'!K:K,'Tournament List'!S99)</f>
        <v>0</v>
      </c>
      <c r="AB79" s="123" t="str">
        <f t="shared" si="11"/>
        <v/>
      </c>
      <c r="AF79" t="str">
        <f t="shared" si="12"/>
        <v/>
      </c>
      <c r="AG79" s="123" t="str">
        <f t="shared" si="13"/>
        <v/>
      </c>
      <c r="AM79" t="str">
        <f>IFERROR(INDEX('Skeet Ind Concurrent Scores'!Z:Z,MATCH(A79,'Skeet Ind Concurrent Scores'!X:X,0)),"")</f>
        <v/>
      </c>
      <c r="AN79" t="str">
        <f>IFERROR(INDEX('Skeet Ind Class Scores'!V:V,MATCH(A79,'Skeet Ind Class Scores'!T:T,0)),"")</f>
        <v/>
      </c>
      <c r="AO79" t="str">
        <f>IFERROR(INDEX('Skeet Team Scores'!AA:AA,MATCH(A79,'Skeet Team Scores'!AB:AB,0)),"")</f>
        <v/>
      </c>
    </row>
    <row r="80" spans="4:41" x14ac:dyDescent="0.3">
      <c r="D80" t="str">
        <f t="shared" si="7"/>
        <v xml:space="preserve"> </v>
      </c>
      <c r="J80" s="10">
        <f>IF(G80="Y",'Tournament Setup'!$C$5,0)+IF(H80="Y",'Tournament Setup'!$C$6,0)+IF(I80="Y",'Tournament Setup'!$C$7,0)</f>
        <v>0</v>
      </c>
      <c r="K80" s="1"/>
      <c r="O80" s="123" t="str">
        <f t="shared" si="8"/>
        <v/>
      </c>
      <c r="S80" s="1" t="str">
        <f>IFERROR(IF(INDEX('Shooter-Squad Assignment'!$M:$M,MATCH($A80,'Shooter-Squad Assignment'!$A:$A,0))="","",INDEX('Shooter-Squad Assignment'!$M:$M,MATCH($A80,'Shooter-Squad Assignment'!$A:$A,0))),"")</f>
        <v/>
      </c>
      <c r="T80" s="1" t="str">
        <f>IFERROR(IF(INDEX('Shooter-Squad Assignment'!$N:$N,MATCH($A80,'Shooter-Squad Assignment'!$A:$A,0))="","",S80&amp;"-"&amp;INDEX('Shooter-Squad Assignment'!$N:$N,MATCH($A80,'Shooter-Squad Assignment'!$A:$A,0))),"")</f>
        <v/>
      </c>
      <c r="U80" s="1" t="str">
        <f>IFERROR(IF(INDEX('Shooter-Squad Assignment'!$I:$I,MATCH($A80,'Shooter-Squad Assignment'!$A:$A,0))="","",IF(INDEX('Shooter-Squad Assignment'!$I:$I,MATCH($A80,'Shooter-Squad Assignment'!$A:$A,0))=1,S80&amp;"-"&amp;1,"")),"")</f>
        <v/>
      </c>
      <c r="V80" t="str">
        <f>IF(ISBLANK($S80),"",IFERROR(INDEX('Squad Listing'!$C:$C,MATCH($S80,'Squad Listing'!$A:$A,0)),""))</f>
        <v/>
      </c>
      <c r="W80" t="str">
        <f>IF(ISBLANK($S80),"",IFERROR(INDEX('Squad Listing'!$D:$D,MATCH($S80,'Squad Listing'!$A:$A,0)),""))</f>
        <v/>
      </c>
      <c r="X80" t="str">
        <f>IF(ISBLANK($S80),"",IFERROR(INDEX('Squad Listing'!$E:$E,MATCH($S80,'Squad Listing'!$A:$A,0)),""))</f>
        <v/>
      </c>
      <c r="Y80" s="123" t="str">
        <f t="shared" si="9"/>
        <v/>
      </c>
      <c r="Z80" s="278">
        <f t="shared" si="10"/>
        <v>0</v>
      </c>
      <c r="AA80" s="278">
        <f>SUMIFS('Skeet Ind Concurrent Ranking'!L:L,'Skeet Ind Concurrent Ranking'!K:K,'Tournament List'!S100)</f>
        <v>0</v>
      </c>
      <c r="AB80" s="123" t="str">
        <f t="shared" si="11"/>
        <v/>
      </c>
      <c r="AF80" t="str">
        <f t="shared" si="12"/>
        <v/>
      </c>
      <c r="AG80" s="123" t="str">
        <f t="shared" si="13"/>
        <v/>
      </c>
      <c r="AM80" t="str">
        <f>IFERROR(INDEX('Skeet Ind Concurrent Scores'!Z:Z,MATCH(A80,'Skeet Ind Concurrent Scores'!X:X,0)),"")</f>
        <v/>
      </c>
      <c r="AN80" t="str">
        <f>IFERROR(INDEX('Skeet Ind Class Scores'!V:V,MATCH(A80,'Skeet Ind Class Scores'!T:T,0)),"")</f>
        <v/>
      </c>
      <c r="AO80" t="str">
        <f>IFERROR(INDEX('Skeet Team Scores'!AA:AA,MATCH(A80,'Skeet Team Scores'!AB:AB,0)),"")</f>
        <v/>
      </c>
    </row>
    <row r="81" spans="4:41" x14ac:dyDescent="0.3">
      <c r="D81" t="str">
        <f t="shared" si="7"/>
        <v xml:space="preserve"> </v>
      </c>
      <c r="J81" s="10">
        <f>IF(G81="Y",'Tournament Setup'!$C$5,0)+IF(H81="Y",'Tournament Setup'!$C$6,0)+IF(I81="Y",'Tournament Setup'!$C$7,0)</f>
        <v>0</v>
      </c>
      <c r="K81" s="1"/>
      <c r="O81" s="123" t="str">
        <f t="shared" si="8"/>
        <v/>
      </c>
      <c r="S81" s="1" t="str">
        <f>IFERROR(IF(INDEX('Shooter-Squad Assignment'!$M:$M,MATCH($A81,'Shooter-Squad Assignment'!$A:$A,0))="","",INDEX('Shooter-Squad Assignment'!$M:$M,MATCH($A81,'Shooter-Squad Assignment'!$A:$A,0))),"")</f>
        <v/>
      </c>
      <c r="T81" s="1" t="str">
        <f>IFERROR(IF(INDEX('Shooter-Squad Assignment'!$N:$N,MATCH($A81,'Shooter-Squad Assignment'!$A:$A,0))="","",S81&amp;"-"&amp;INDEX('Shooter-Squad Assignment'!$N:$N,MATCH($A81,'Shooter-Squad Assignment'!$A:$A,0))),"")</f>
        <v/>
      </c>
      <c r="U81" s="1" t="str">
        <f>IFERROR(IF(INDEX('Shooter-Squad Assignment'!$I:$I,MATCH($A81,'Shooter-Squad Assignment'!$A:$A,0))="","",IF(INDEX('Shooter-Squad Assignment'!$I:$I,MATCH($A81,'Shooter-Squad Assignment'!$A:$A,0))=1,S81&amp;"-"&amp;1,"")),"")</f>
        <v/>
      </c>
      <c r="V81" t="str">
        <f>IF(ISBLANK($S81),"",IFERROR(INDEX('Squad Listing'!$C:$C,MATCH($S81,'Squad Listing'!$A:$A,0)),""))</f>
        <v/>
      </c>
      <c r="W81" t="str">
        <f>IF(ISBLANK($S81),"",IFERROR(INDEX('Squad Listing'!$D:$D,MATCH($S81,'Squad Listing'!$A:$A,0)),""))</f>
        <v/>
      </c>
      <c r="X81" t="str">
        <f>IF(ISBLANK($S81),"",IFERROR(INDEX('Squad Listing'!$E:$E,MATCH($S81,'Squad Listing'!$A:$A,0)),""))</f>
        <v/>
      </c>
      <c r="Y81" s="123" t="str">
        <f t="shared" si="9"/>
        <v/>
      </c>
      <c r="Z81" s="278">
        <f t="shared" si="10"/>
        <v>0</v>
      </c>
      <c r="AA81" s="278">
        <f>SUMIFS('Skeet Ind Concurrent Ranking'!L:L,'Skeet Ind Concurrent Ranking'!K:K,'Tournament List'!S101)</f>
        <v>0</v>
      </c>
      <c r="AB81" s="123" t="str">
        <f t="shared" si="11"/>
        <v/>
      </c>
      <c r="AF81" t="str">
        <f t="shared" si="12"/>
        <v/>
      </c>
      <c r="AG81" s="123" t="str">
        <f t="shared" si="13"/>
        <v/>
      </c>
      <c r="AM81" t="str">
        <f>IFERROR(INDEX('Skeet Ind Concurrent Scores'!Z:Z,MATCH(A81,'Skeet Ind Concurrent Scores'!X:X,0)),"")</f>
        <v/>
      </c>
      <c r="AN81" t="str">
        <f>IFERROR(INDEX('Skeet Ind Class Scores'!V:V,MATCH(A81,'Skeet Ind Class Scores'!T:T,0)),"")</f>
        <v/>
      </c>
      <c r="AO81" t="str">
        <f>IFERROR(INDEX('Skeet Team Scores'!AA:AA,MATCH(A81,'Skeet Team Scores'!AB:AB,0)),"")</f>
        <v/>
      </c>
    </row>
    <row r="82" spans="4:41" x14ac:dyDescent="0.3">
      <c r="D82" t="str">
        <f t="shared" si="7"/>
        <v xml:space="preserve"> </v>
      </c>
      <c r="J82" s="10">
        <f>IF(G82="Y",'Tournament Setup'!$C$5,0)+IF(H82="Y",'Tournament Setup'!$C$6,0)+IF(I82="Y",'Tournament Setup'!$C$7,0)</f>
        <v>0</v>
      </c>
      <c r="K82" s="1"/>
      <c r="O82" s="123" t="str">
        <f t="shared" si="8"/>
        <v/>
      </c>
      <c r="S82" s="1" t="str">
        <f>IFERROR(IF(INDEX('Shooter-Squad Assignment'!$M:$M,MATCH($A82,'Shooter-Squad Assignment'!$A:$A,0))="","",INDEX('Shooter-Squad Assignment'!$M:$M,MATCH($A82,'Shooter-Squad Assignment'!$A:$A,0))),"")</f>
        <v/>
      </c>
      <c r="T82" s="1" t="str">
        <f>IFERROR(IF(INDEX('Shooter-Squad Assignment'!$N:$N,MATCH($A82,'Shooter-Squad Assignment'!$A:$A,0))="","",S82&amp;"-"&amp;INDEX('Shooter-Squad Assignment'!$N:$N,MATCH($A82,'Shooter-Squad Assignment'!$A:$A,0))),"")</f>
        <v/>
      </c>
      <c r="U82" s="1" t="str">
        <f>IFERROR(IF(INDEX('Shooter-Squad Assignment'!$I:$I,MATCH($A82,'Shooter-Squad Assignment'!$A:$A,0))="","",IF(INDEX('Shooter-Squad Assignment'!$I:$I,MATCH($A82,'Shooter-Squad Assignment'!$A:$A,0))=1,S82&amp;"-"&amp;1,"")),"")</f>
        <v/>
      </c>
      <c r="V82" t="str">
        <f>IF(ISBLANK($S82),"",IFERROR(INDEX('Squad Listing'!$C:$C,MATCH($S82,'Squad Listing'!$A:$A,0)),""))</f>
        <v/>
      </c>
      <c r="W82" t="str">
        <f>IF(ISBLANK($S82),"",IFERROR(INDEX('Squad Listing'!$D:$D,MATCH($S82,'Squad Listing'!$A:$A,0)),""))</f>
        <v/>
      </c>
      <c r="X82" t="str">
        <f>IF(ISBLANK($S82),"",IFERROR(INDEX('Squad Listing'!$E:$E,MATCH($S82,'Squad Listing'!$A:$A,0)),""))</f>
        <v/>
      </c>
      <c r="Y82" s="123" t="str">
        <f t="shared" si="9"/>
        <v/>
      </c>
      <c r="Z82" s="278">
        <f t="shared" si="10"/>
        <v>0</v>
      </c>
      <c r="AA82" s="278">
        <f>SUMIFS('Skeet Ind Concurrent Ranking'!L:L,'Skeet Ind Concurrent Ranking'!K:K,'Tournament List'!S102)</f>
        <v>0</v>
      </c>
      <c r="AB82" s="123" t="str">
        <f t="shared" si="11"/>
        <v/>
      </c>
      <c r="AF82" t="str">
        <f t="shared" si="12"/>
        <v/>
      </c>
      <c r="AG82" s="123" t="str">
        <f t="shared" si="13"/>
        <v/>
      </c>
      <c r="AM82" t="str">
        <f>IFERROR(INDEX('Skeet Ind Concurrent Scores'!Z:Z,MATCH(A82,'Skeet Ind Concurrent Scores'!X:X,0)),"")</f>
        <v/>
      </c>
      <c r="AN82" t="str">
        <f>IFERROR(INDEX('Skeet Ind Class Scores'!V:V,MATCH(A82,'Skeet Ind Class Scores'!T:T,0)),"")</f>
        <v/>
      </c>
      <c r="AO82" t="str">
        <f>IFERROR(INDEX('Skeet Team Scores'!AA:AA,MATCH(A82,'Skeet Team Scores'!AB:AB,0)),"")</f>
        <v/>
      </c>
    </row>
    <row r="83" spans="4:41" x14ac:dyDescent="0.3">
      <c r="D83" t="str">
        <f t="shared" si="7"/>
        <v xml:space="preserve"> </v>
      </c>
      <c r="J83" s="10">
        <f>IF(G83="Y",'Tournament Setup'!$C$5,0)+IF(H83="Y",'Tournament Setup'!$C$6,0)+IF(I83="Y",'Tournament Setup'!$C$7,0)</f>
        <v>0</v>
      </c>
      <c r="K83" s="1"/>
      <c r="O83" s="123" t="str">
        <f t="shared" si="8"/>
        <v/>
      </c>
      <c r="S83" s="1" t="str">
        <f>IFERROR(IF(INDEX('Shooter-Squad Assignment'!$M:$M,MATCH($A83,'Shooter-Squad Assignment'!$A:$A,0))="","",INDEX('Shooter-Squad Assignment'!$M:$M,MATCH($A83,'Shooter-Squad Assignment'!$A:$A,0))),"")</f>
        <v/>
      </c>
      <c r="T83" s="1" t="str">
        <f>IFERROR(IF(INDEX('Shooter-Squad Assignment'!$N:$N,MATCH($A83,'Shooter-Squad Assignment'!$A:$A,0))="","",S83&amp;"-"&amp;INDEX('Shooter-Squad Assignment'!$N:$N,MATCH($A83,'Shooter-Squad Assignment'!$A:$A,0))),"")</f>
        <v/>
      </c>
      <c r="U83" s="1" t="str">
        <f>IFERROR(IF(INDEX('Shooter-Squad Assignment'!$I:$I,MATCH($A83,'Shooter-Squad Assignment'!$A:$A,0))="","",IF(INDEX('Shooter-Squad Assignment'!$I:$I,MATCH($A83,'Shooter-Squad Assignment'!$A:$A,0))=1,S83&amp;"-"&amp;1,"")),"")</f>
        <v/>
      </c>
      <c r="V83" t="str">
        <f>IF(ISBLANK($S83),"",IFERROR(INDEX('Squad Listing'!$C:$C,MATCH($S83,'Squad Listing'!$A:$A,0)),""))</f>
        <v/>
      </c>
      <c r="W83" t="str">
        <f>IF(ISBLANK($S83),"",IFERROR(INDEX('Squad Listing'!$D:$D,MATCH($S83,'Squad Listing'!$A:$A,0)),""))</f>
        <v/>
      </c>
      <c r="X83" t="str">
        <f>IF(ISBLANK($S83),"",IFERROR(INDEX('Squad Listing'!$E:$E,MATCH($S83,'Squad Listing'!$A:$A,0)),""))</f>
        <v/>
      </c>
      <c r="Y83" s="123" t="str">
        <f t="shared" si="9"/>
        <v/>
      </c>
      <c r="Z83" s="278">
        <f t="shared" si="10"/>
        <v>0</v>
      </c>
      <c r="AA83" s="278">
        <f>SUMIFS('Skeet Ind Concurrent Ranking'!L:L,'Skeet Ind Concurrent Ranking'!K:K,'Tournament List'!S103)</f>
        <v>0</v>
      </c>
      <c r="AB83" s="123" t="str">
        <f t="shared" si="11"/>
        <v/>
      </c>
      <c r="AF83" t="str">
        <f t="shared" si="12"/>
        <v/>
      </c>
      <c r="AG83" s="123" t="str">
        <f t="shared" si="13"/>
        <v/>
      </c>
      <c r="AM83" t="str">
        <f>IFERROR(INDEX('Skeet Ind Concurrent Scores'!Z:Z,MATCH(A83,'Skeet Ind Concurrent Scores'!X:X,0)),"")</f>
        <v/>
      </c>
      <c r="AN83" t="str">
        <f>IFERROR(INDEX('Skeet Ind Class Scores'!V:V,MATCH(A83,'Skeet Ind Class Scores'!T:T,0)),"")</f>
        <v/>
      </c>
      <c r="AO83" t="str">
        <f>IFERROR(INDEX('Skeet Team Scores'!AA:AA,MATCH(A83,'Skeet Team Scores'!AB:AB,0)),"")</f>
        <v/>
      </c>
    </row>
    <row r="84" spans="4:41" x14ac:dyDescent="0.3">
      <c r="D84" t="str">
        <f t="shared" si="7"/>
        <v xml:space="preserve"> </v>
      </c>
      <c r="J84" s="10">
        <f>IF(G84="Y",'Tournament Setup'!$C$5,0)+IF(H84="Y",'Tournament Setup'!$C$6,0)+IF(I84="Y",'Tournament Setup'!$C$7,0)</f>
        <v>0</v>
      </c>
      <c r="K84" s="1"/>
      <c r="O84" s="123" t="str">
        <f t="shared" si="8"/>
        <v/>
      </c>
      <c r="S84" s="1" t="str">
        <f>IFERROR(IF(INDEX('Shooter-Squad Assignment'!$M:$M,MATCH($A84,'Shooter-Squad Assignment'!$A:$A,0))="","",INDEX('Shooter-Squad Assignment'!$M:$M,MATCH($A84,'Shooter-Squad Assignment'!$A:$A,0))),"")</f>
        <v/>
      </c>
      <c r="T84" s="1" t="str">
        <f>IFERROR(IF(INDEX('Shooter-Squad Assignment'!$N:$N,MATCH($A84,'Shooter-Squad Assignment'!$A:$A,0))="","",S84&amp;"-"&amp;INDEX('Shooter-Squad Assignment'!$N:$N,MATCH($A84,'Shooter-Squad Assignment'!$A:$A,0))),"")</f>
        <v/>
      </c>
      <c r="U84" s="1" t="str">
        <f>IFERROR(IF(INDEX('Shooter-Squad Assignment'!$I:$I,MATCH($A84,'Shooter-Squad Assignment'!$A:$A,0))="","",IF(INDEX('Shooter-Squad Assignment'!$I:$I,MATCH($A84,'Shooter-Squad Assignment'!$A:$A,0))=1,S84&amp;"-"&amp;1,"")),"")</f>
        <v/>
      </c>
      <c r="V84" t="str">
        <f>IF(ISBLANK($S84),"",IFERROR(INDEX('Squad Listing'!$C:$C,MATCH($S84,'Squad Listing'!$A:$A,0)),""))</f>
        <v/>
      </c>
      <c r="W84" t="str">
        <f>IF(ISBLANK($S84),"",IFERROR(INDEX('Squad Listing'!$D:$D,MATCH($S84,'Squad Listing'!$A:$A,0)),""))</f>
        <v/>
      </c>
      <c r="X84" t="str">
        <f>IF(ISBLANK($S84),"",IFERROR(INDEX('Squad Listing'!$E:$E,MATCH($S84,'Squad Listing'!$A:$A,0)),""))</f>
        <v/>
      </c>
      <c r="Y84" s="123" t="str">
        <f t="shared" si="9"/>
        <v/>
      </c>
      <c r="Z84" s="278">
        <f t="shared" si="10"/>
        <v>0</v>
      </c>
      <c r="AA84" s="278">
        <f>SUMIFS('Skeet Ind Concurrent Ranking'!L:L,'Skeet Ind Concurrent Ranking'!K:K,'Tournament List'!S104)</f>
        <v>0</v>
      </c>
      <c r="AB84" s="123" t="str">
        <f t="shared" si="11"/>
        <v/>
      </c>
      <c r="AF84" t="str">
        <f t="shared" si="12"/>
        <v/>
      </c>
      <c r="AG84" s="123" t="str">
        <f t="shared" si="13"/>
        <v/>
      </c>
      <c r="AM84" t="str">
        <f>IFERROR(INDEX('Skeet Ind Concurrent Scores'!Z:Z,MATCH(A84,'Skeet Ind Concurrent Scores'!X:X,0)),"")</f>
        <v/>
      </c>
      <c r="AN84" t="str">
        <f>IFERROR(INDEX('Skeet Ind Class Scores'!V:V,MATCH(A84,'Skeet Ind Class Scores'!T:T,0)),"")</f>
        <v/>
      </c>
      <c r="AO84" t="str">
        <f>IFERROR(INDEX('Skeet Team Scores'!AA:AA,MATCH(A84,'Skeet Team Scores'!AB:AB,0)),"")</f>
        <v/>
      </c>
    </row>
    <row r="85" spans="4:41" x14ac:dyDescent="0.3">
      <c r="D85" t="str">
        <f t="shared" si="7"/>
        <v xml:space="preserve"> </v>
      </c>
      <c r="J85" s="10">
        <f>IF(G85="Y",'Tournament Setup'!$C$5,0)+IF(H85="Y",'Tournament Setup'!$C$6,0)+IF(I85="Y",'Tournament Setup'!$C$7,0)</f>
        <v>0</v>
      </c>
      <c r="K85" s="1"/>
      <c r="O85" s="123" t="str">
        <f t="shared" si="8"/>
        <v/>
      </c>
      <c r="S85" s="1" t="str">
        <f>IFERROR(IF(INDEX('Shooter-Squad Assignment'!$M:$M,MATCH($A85,'Shooter-Squad Assignment'!$A:$A,0))="","",INDEX('Shooter-Squad Assignment'!$M:$M,MATCH($A85,'Shooter-Squad Assignment'!$A:$A,0))),"")</f>
        <v/>
      </c>
      <c r="T85" s="1" t="str">
        <f>IFERROR(IF(INDEX('Shooter-Squad Assignment'!$N:$N,MATCH($A85,'Shooter-Squad Assignment'!$A:$A,0))="","",S85&amp;"-"&amp;INDEX('Shooter-Squad Assignment'!$N:$N,MATCH($A85,'Shooter-Squad Assignment'!$A:$A,0))),"")</f>
        <v/>
      </c>
      <c r="U85" s="1" t="str">
        <f>IFERROR(IF(INDEX('Shooter-Squad Assignment'!$I:$I,MATCH($A85,'Shooter-Squad Assignment'!$A:$A,0))="","",IF(INDEX('Shooter-Squad Assignment'!$I:$I,MATCH($A85,'Shooter-Squad Assignment'!$A:$A,0))=1,S85&amp;"-"&amp;1,"")),"")</f>
        <v/>
      </c>
      <c r="V85" t="str">
        <f>IF(ISBLANK($S85),"",IFERROR(INDEX('Squad Listing'!$C:$C,MATCH($S85,'Squad Listing'!$A:$A,0)),""))</f>
        <v/>
      </c>
      <c r="W85" t="str">
        <f>IF(ISBLANK($S85),"",IFERROR(INDEX('Squad Listing'!$D:$D,MATCH($S85,'Squad Listing'!$A:$A,0)),""))</f>
        <v/>
      </c>
      <c r="X85" t="str">
        <f>IF(ISBLANK($S85),"",IFERROR(INDEX('Squad Listing'!$E:$E,MATCH($S85,'Squad Listing'!$A:$A,0)),""))</f>
        <v/>
      </c>
      <c r="Y85" s="123" t="str">
        <f t="shared" si="9"/>
        <v/>
      </c>
      <c r="Z85" s="278">
        <f t="shared" si="10"/>
        <v>0</v>
      </c>
      <c r="AA85" s="278">
        <f>SUMIFS('Skeet Ind Concurrent Ranking'!L:L,'Skeet Ind Concurrent Ranking'!K:K,'Tournament List'!S105)</f>
        <v>0</v>
      </c>
      <c r="AB85" s="123" t="str">
        <f t="shared" si="11"/>
        <v/>
      </c>
      <c r="AF85" t="str">
        <f t="shared" si="12"/>
        <v/>
      </c>
      <c r="AG85" s="123" t="str">
        <f t="shared" si="13"/>
        <v/>
      </c>
      <c r="AM85" t="str">
        <f>IFERROR(INDEX('Skeet Ind Concurrent Scores'!Z:Z,MATCH(A85,'Skeet Ind Concurrent Scores'!X:X,0)),"")</f>
        <v/>
      </c>
      <c r="AN85" t="str">
        <f>IFERROR(INDEX('Skeet Ind Class Scores'!V:V,MATCH(A85,'Skeet Ind Class Scores'!T:T,0)),"")</f>
        <v/>
      </c>
      <c r="AO85" t="str">
        <f>IFERROR(INDEX('Skeet Team Scores'!AA:AA,MATCH(A85,'Skeet Team Scores'!AB:AB,0)),"")</f>
        <v/>
      </c>
    </row>
    <row r="86" spans="4:41" x14ac:dyDescent="0.3">
      <c r="D86" t="str">
        <f t="shared" si="7"/>
        <v xml:space="preserve"> </v>
      </c>
      <c r="J86" s="10">
        <f>IF(G86="Y",'Tournament Setup'!$C$5,0)+IF(H86="Y",'Tournament Setup'!$C$6,0)+IF(I86="Y",'Tournament Setup'!$C$7,0)</f>
        <v>0</v>
      </c>
      <c r="K86" s="1"/>
      <c r="O86" s="123" t="str">
        <f t="shared" si="8"/>
        <v/>
      </c>
      <c r="S86" s="1" t="str">
        <f>IFERROR(IF(INDEX('Shooter-Squad Assignment'!$M:$M,MATCH($A86,'Shooter-Squad Assignment'!$A:$A,0))="","",INDEX('Shooter-Squad Assignment'!$M:$M,MATCH($A86,'Shooter-Squad Assignment'!$A:$A,0))),"")</f>
        <v/>
      </c>
      <c r="T86" s="1" t="str">
        <f>IFERROR(IF(INDEX('Shooter-Squad Assignment'!$N:$N,MATCH($A86,'Shooter-Squad Assignment'!$A:$A,0))="","",S86&amp;"-"&amp;INDEX('Shooter-Squad Assignment'!$N:$N,MATCH($A86,'Shooter-Squad Assignment'!$A:$A,0))),"")</f>
        <v/>
      </c>
      <c r="U86" s="1" t="str">
        <f>IFERROR(IF(INDEX('Shooter-Squad Assignment'!$I:$I,MATCH($A86,'Shooter-Squad Assignment'!$A:$A,0))="","",IF(INDEX('Shooter-Squad Assignment'!$I:$I,MATCH($A86,'Shooter-Squad Assignment'!$A:$A,0))=1,S86&amp;"-"&amp;1,"")),"")</f>
        <v/>
      </c>
      <c r="V86" t="str">
        <f>IF(ISBLANK($S86),"",IFERROR(INDEX('Squad Listing'!$C:$C,MATCH($S86,'Squad Listing'!$A:$A,0)),""))</f>
        <v/>
      </c>
      <c r="W86" t="str">
        <f>IF(ISBLANK($S86),"",IFERROR(INDEX('Squad Listing'!$D:$D,MATCH($S86,'Squad Listing'!$A:$A,0)),""))</f>
        <v/>
      </c>
      <c r="X86" t="str">
        <f>IF(ISBLANK($S86),"",IFERROR(INDEX('Squad Listing'!$E:$E,MATCH($S86,'Squad Listing'!$A:$A,0)),""))</f>
        <v/>
      </c>
      <c r="Y86" s="123" t="str">
        <f t="shared" si="9"/>
        <v/>
      </c>
      <c r="Z86" s="278">
        <f t="shared" si="10"/>
        <v>0</v>
      </c>
      <c r="AA86" s="278">
        <f>SUMIFS('Skeet Ind Concurrent Ranking'!L:L,'Skeet Ind Concurrent Ranking'!K:K,'Tournament List'!S106)</f>
        <v>0</v>
      </c>
      <c r="AB86" s="123" t="str">
        <f t="shared" si="11"/>
        <v/>
      </c>
      <c r="AF86" t="str">
        <f t="shared" si="12"/>
        <v/>
      </c>
      <c r="AG86" s="123" t="str">
        <f t="shared" si="13"/>
        <v/>
      </c>
      <c r="AM86" t="str">
        <f>IFERROR(INDEX('Skeet Ind Concurrent Scores'!Z:Z,MATCH(A86,'Skeet Ind Concurrent Scores'!X:X,0)),"")</f>
        <v/>
      </c>
      <c r="AN86" t="str">
        <f>IFERROR(INDEX('Skeet Ind Class Scores'!V:V,MATCH(A86,'Skeet Ind Class Scores'!T:T,0)),"")</f>
        <v/>
      </c>
      <c r="AO86" t="str">
        <f>IFERROR(INDEX('Skeet Team Scores'!AA:AA,MATCH(A86,'Skeet Team Scores'!AB:AB,0)),"")</f>
        <v/>
      </c>
    </row>
    <row r="87" spans="4:41" x14ac:dyDescent="0.3">
      <c r="D87" t="str">
        <f t="shared" si="7"/>
        <v xml:space="preserve"> </v>
      </c>
      <c r="J87" s="10">
        <f>IF(G87="Y",'Tournament Setup'!$C$5,0)+IF(H87="Y",'Tournament Setup'!$C$6,0)+IF(I87="Y",'Tournament Setup'!$C$7,0)</f>
        <v>0</v>
      </c>
      <c r="K87" s="1"/>
      <c r="O87" s="123" t="str">
        <f t="shared" si="8"/>
        <v/>
      </c>
      <c r="S87" s="1" t="str">
        <f>IFERROR(IF(INDEX('Shooter-Squad Assignment'!$M:$M,MATCH($A87,'Shooter-Squad Assignment'!$A:$A,0))="","",INDEX('Shooter-Squad Assignment'!$M:$M,MATCH($A87,'Shooter-Squad Assignment'!$A:$A,0))),"")</f>
        <v/>
      </c>
      <c r="T87" s="1" t="str">
        <f>IFERROR(IF(INDEX('Shooter-Squad Assignment'!$N:$N,MATCH($A87,'Shooter-Squad Assignment'!$A:$A,0))="","",S87&amp;"-"&amp;INDEX('Shooter-Squad Assignment'!$N:$N,MATCH($A87,'Shooter-Squad Assignment'!$A:$A,0))),"")</f>
        <v/>
      </c>
      <c r="U87" s="1" t="str">
        <f>IFERROR(IF(INDEX('Shooter-Squad Assignment'!$I:$I,MATCH($A87,'Shooter-Squad Assignment'!$A:$A,0))="","",IF(INDEX('Shooter-Squad Assignment'!$I:$I,MATCH($A87,'Shooter-Squad Assignment'!$A:$A,0))=1,S87&amp;"-"&amp;1,"")),"")</f>
        <v/>
      </c>
      <c r="V87" t="str">
        <f>IF(ISBLANK($S87),"",IFERROR(INDEX('Squad Listing'!$C:$C,MATCH($S87,'Squad Listing'!$A:$A,0)),""))</f>
        <v/>
      </c>
      <c r="W87" t="str">
        <f>IF(ISBLANK($S87),"",IFERROR(INDEX('Squad Listing'!$D:$D,MATCH($S87,'Squad Listing'!$A:$A,0)),""))</f>
        <v/>
      </c>
      <c r="X87" t="str">
        <f>IF(ISBLANK($S87),"",IFERROR(INDEX('Squad Listing'!$E:$E,MATCH($S87,'Squad Listing'!$A:$A,0)),""))</f>
        <v/>
      </c>
      <c r="Y87" s="123" t="str">
        <f t="shared" si="9"/>
        <v/>
      </c>
      <c r="Z87" s="278">
        <f t="shared" si="10"/>
        <v>0</v>
      </c>
      <c r="AA87" s="278">
        <f>SUMIFS('Skeet Ind Concurrent Ranking'!L:L,'Skeet Ind Concurrent Ranking'!K:K,'Tournament List'!S107)</f>
        <v>0</v>
      </c>
      <c r="AB87" s="123" t="str">
        <f t="shared" si="11"/>
        <v/>
      </c>
      <c r="AF87" t="str">
        <f t="shared" si="12"/>
        <v/>
      </c>
      <c r="AG87" s="123" t="str">
        <f t="shared" si="13"/>
        <v/>
      </c>
      <c r="AM87" t="str">
        <f>IFERROR(INDEX('Skeet Ind Concurrent Scores'!Z:Z,MATCH(A87,'Skeet Ind Concurrent Scores'!X:X,0)),"")</f>
        <v/>
      </c>
      <c r="AN87" t="str">
        <f>IFERROR(INDEX('Skeet Ind Class Scores'!V:V,MATCH(A87,'Skeet Ind Class Scores'!T:T,0)),"")</f>
        <v/>
      </c>
      <c r="AO87" t="str">
        <f>IFERROR(INDEX('Skeet Team Scores'!AA:AA,MATCH(A87,'Skeet Team Scores'!AB:AB,0)),"")</f>
        <v/>
      </c>
    </row>
    <row r="88" spans="4:41" x14ac:dyDescent="0.3">
      <c r="D88" t="str">
        <f t="shared" si="7"/>
        <v xml:space="preserve"> </v>
      </c>
      <c r="J88" s="10">
        <f>IF(G88="Y",'Tournament Setup'!$C$5,0)+IF(H88="Y",'Tournament Setup'!$C$6,0)+IF(I88="Y",'Tournament Setup'!$C$7,0)</f>
        <v>0</v>
      </c>
      <c r="K88" s="1"/>
      <c r="O88" s="123" t="str">
        <f t="shared" si="8"/>
        <v/>
      </c>
      <c r="S88" s="1" t="str">
        <f>IFERROR(IF(INDEX('Shooter-Squad Assignment'!$M:$M,MATCH($A88,'Shooter-Squad Assignment'!$A:$A,0))="","",INDEX('Shooter-Squad Assignment'!$M:$M,MATCH($A88,'Shooter-Squad Assignment'!$A:$A,0))),"")</f>
        <v/>
      </c>
      <c r="T88" s="1" t="str">
        <f>IFERROR(IF(INDEX('Shooter-Squad Assignment'!$N:$N,MATCH($A88,'Shooter-Squad Assignment'!$A:$A,0))="","",S88&amp;"-"&amp;INDEX('Shooter-Squad Assignment'!$N:$N,MATCH($A88,'Shooter-Squad Assignment'!$A:$A,0))),"")</f>
        <v/>
      </c>
      <c r="U88" s="1" t="str">
        <f>IFERROR(IF(INDEX('Shooter-Squad Assignment'!$I:$I,MATCH($A88,'Shooter-Squad Assignment'!$A:$A,0))="","",IF(INDEX('Shooter-Squad Assignment'!$I:$I,MATCH($A88,'Shooter-Squad Assignment'!$A:$A,0))=1,S88&amp;"-"&amp;1,"")),"")</f>
        <v/>
      </c>
      <c r="V88" t="str">
        <f>IF(ISBLANK($S88),"",IFERROR(INDEX('Squad Listing'!$C:$C,MATCH($S88,'Squad Listing'!$A:$A,0)),""))</f>
        <v/>
      </c>
      <c r="W88" t="str">
        <f>IF(ISBLANK($S88),"",IFERROR(INDEX('Squad Listing'!$D:$D,MATCH($S88,'Squad Listing'!$A:$A,0)),""))</f>
        <v/>
      </c>
      <c r="X88" t="str">
        <f>IF(ISBLANK($S88),"",IFERROR(INDEX('Squad Listing'!$E:$E,MATCH($S88,'Squad Listing'!$A:$A,0)),""))</f>
        <v/>
      </c>
      <c r="Y88" s="123" t="str">
        <f t="shared" si="9"/>
        <v/>
      </c>
      <c r="Z88" s="278">
        <f t="shared" si="10"/>
        <v>0</v>
      </c>
      <c r="AA88" s="278">
        <f>SUMIFS('Skeet Ind Concurrent Ranking'!L:L,'Skeet Ind Concurrent Ranking'!K:K,'Tournament List'!S108)</f>
        <v>0</v>
      </c>
      <c r="AB88" s="123" t="str">
        <f t="shared" si="11"/>
        <v/>
      </c>
      <c r="AF88" t="str">
        <f t="shared" si="12"/>
        <v/>
      </c>
      <c r="AG88" s="123" t="str">
        <f t="shared" si="13"/>
        <v/>
      </c>
      <c r="AM88" t="str">
        <f>IFERROR(INDEX('Skeet Ind Concurrent Scores'!Z:Z,MATCH(A88,'Skeet Ind Concurrent Scores'!X:X,0)),"")</f>
        <v/>
      </c>
      <c r="AN88" t="str">
        <f>IFERROR(INDEX('Skeet Ind Class Scores'!V:V,MATCH(A88,'Skeet Ind Class Scores'!T:T,0)),"")</f>
        <v/>
      </c>
      <c r="AO88" t="str">
        <f>IFERROR(INDEX('Skeet Team Scores'!AA:AA,MATCH(A88,'Skeet Team Scores'!AB:AB,0)),"")</f>
        <v/>
      </c>
    </row>
    <row r="89" spans="4:41" x14ac:dyDescent="0.3">
      <c r="D89" t="str">
        <f t="shared" si="7"/>
        <v xml:space="preserve"> </v>
      </c>
      <c r="J89" s="10">
        <f>IF(G89="Y",'Tournament Setup'!$C$5,0)+IF(H89="Y",'Tournament Setup'!$C$6,0)+IF(I89="Y",'Tournament Setup'!$C$7,0)</f>
        <v>0</v>
      </c>
      <c r="K89" s="1"/>
      <c r="O89" s="123" t="str">
        <f t="shared" si="8"/>
        <v/>
      </c>
      <c r="S89" s="1" t="str">
        <f>IFERROR(IF(INDEX('Shooter-Squad Assignment'!$M:$M,MATCH($A89,'Shooter-Squad Assignment'!$A:$A,0))="","",INDEX('Shooter-Squad Assignment'!$M:$M,MATCH($A89,'Shooter-Squad Assignment'!$A:$A,0))),"")</f>
        <v/>
      </c>
      <c r="T89" s="1" t="str">
        <f>IFERROR(IF(INDEX('Shooter-Squad Assignment'!$N:$N,MATCH($A89,'Shooter-Squad Assignment'!$A:$A,0))="","",S89&amp;"-"&amp;INDEX('Shooter-Squad Assignment'!$N:$N,MATCH($A89,'Shooter-Squad Assignment'!$A:$A,0))),"")</f>
        <v/>
      </c>
      <c r="U89" s="1" t="str">
        <f>IFERROR(IF(INDEX('Shooter-Squad Assignment'!$I:$I,MATCH($A89,'Shooter-Squad Assignment'!$A:$A,0))="","",IF(INDEX('Shooter-Squad Assignment'!$I:$I,MATCH($A89,'Shooter-Squad Assignment'!$A:$A,0))=1,S89&amp;"-"&amp;1,"")),"")</f>
        <v/>
      </c>
      <c r="V89" t="str">
        <f>IF(ISBLANK($S89),"",IFERROR(INDEX('Squad Listing'!$C:$C,MATCH($S89,'Squad Listing'!$A:$A,0)),""))</f>
        <v/>
      </c>
      <c r="W89" t="str">
        <f>IF(ISBLANK($S89),"",IFERROR(INDEX('Squad Listing'!$D:$D,MATCH($S89,'Squad Listing'!$A:$A,0)),""))</f>
        <v/>
      </c>
      <c r="X89" t="str">
        <f>IF(ISBLANK($S89),"",IFERROR(INDEX('Squad Listing'!$E:$E,MATCH($S89,'Squad Listing'!$A:$A,0)),""))</f>
        <v/>
      </c>
      <c r="Y89" s="123" t="str">
        <f t="shared" si="9"/>
        <v/>
      </c>
      <c r="Z89" s="278">
        <f t="shared" si="10"/>
        <v>0</v>
      </c>
      <c r="AA89" s="278">
        <f>SUMIFS('Skeet Ind Concurrent Ranking'!L:L,'Skeet Ind Concurrent Ranking'!K:K,'Tournament List'!S109)</f>
        <v>0</v>
      </c>
      <c r="AB89" s="123" t="str">
        <f t="shared" si="11"/>
        <v/>
      </c>
      <c r="AF89" t="str">
        <f t="shared" si="12"/>
        <v/>
      </c>
      <c r="AG89" s="123" t="str">
        <f t="shared" si="13"/>
        <v/>
      </c>
      <c r="AM89" t="str">
        <f>IFERROR(INDEX('Skeet Ind Concurrent Scores'!Z:Z,MATCH(A89,'Skeet Ind Concurrent Scores'!X:X,0)),"")</f>
        <v/>
      </c>
      <c r="AN89" t="str">
        <f>IFERROR(INDEX('Skeet Ind Class Scores'!V:V,MATCH(A89,'Skeet Ind Class Scores'!T:T,0)),"")</f>
        <v/>
      </c>
      <c r="AO89" t="str">
        <f>IFERROR(INDEX('Skeet Team Scores'!AA:AA,MATCH(A89,'Skeet Team Scores'!AB:AB,0)),"")</f>
        <v/>
      </c>
    </row>
    <row r="90" spans="4:41" x14ac:dyDescent="0.3">
      <c r="D90" t="str">
        <f t="shared" si="7"/>
        <v xml:space="preserve"> </v>
      </c>
      <c r="J90" s="10">
        <f>IF(G90="Y",'Tournament Setup'!$C$5,0)+IF(H90="Y",'Tournament Setup'!$C$6,0)+IF(I90="Y",'Tournament Setup'!$C$7,0)</f>
        <v>0</v>
      </c>
      <c r="K90" s="1"/>
      <c r="O90" s="123" t="str">
        <f t="shared" si="8"/>
        <v/>
      </c>
      <c r="S90" s="1" t="str">
        <f>IFERROR(IF(INDEX('Shooter-Squad Assignment'!$M:$M,MATCH($A90,'Shooter-Squad Assignment'!$A:$A,0))="","",INDEX('Shooter-Squad Assignment'!$M:$M,MATCH($A90,'Shooter-Squad Assignment'!$A:$A,0))),"")</f>
        <v/>
      </c>
      <c r="T90" s="1" t="str">
        <f>IFERROR(IF(INDEX('Shooter-Squad Assignment'!$N:$N,MATCH($A90,'Shooter-Squad Assignment'!$A:$A,0))="","",S90&amp;"-"&amp;INDEX('Shooter-Squad Assignment'!$N:$N,MATCH($A90,'Shooter-Squad Assignment'!$A:$A,0))),"")</f>
        <v/>
      </c>
      <c r="U90" s="1" t="str">
        <f>IFERROR(IF(INDEX('Shooter-Squad Assignment'!$I:$I,MATCH($A90,'Shooter-Squad Assignment'!$A:$A,0))="","",IF(INDEX('Shooter-Squad Assignment'!$I:$I,MATCH($A90,'Shooter-Squad Assignment'!$A:$A,0))=1,S90&amp;"-"&amp;1,"")),"")</f>
        <v/>
      </c>
      <c r="V90" t="str">
        <f>IF(ISBLANK($S90),"",IFERROR(INDEX('Squad Listing'!$C:$C,MATCH($S90,'Squad Listing'!$A:$A,0)),""))</f>
        <v/>
      </c>
      <c r="W90" t="str">
        <f>IF(ISBLANK($S90),"",IFERROR(INDEX('Squad Listing'!$D:$D,MATCH($S90,'Squad Listing'!$A:$A,0)),""))</f>
        <v/>
      </c>
      <c r="X90" t="str">
        <f>IF(ISBLANK($S90),"",IFERROR(INDEX('Squad Listing'!$E:$E,MATCH($S90,'Squad Listing'!$A:$A,0)),""))</f>
        <v/>
      </c>
      <c r="Y90" s="123" t="str">
        <f t="shared" si="9"/>
        <v/>
      </c>
      <c r="Z90" s="278">
        <f t="shared" si="10"/>
        <v>0</v>
      </c>
      <c r="AA90" s="278">
        <f>SUMIFS('Skeet Ind Concurrent Ranking'!L:L,'Skeet Ind Concurrent Ranking'!K:K,'Tournament List'!S110)</f>
        <v>0</v>
      </c>
      <c r="AB90" s="123" t="str">
        <f t="shared" si="11"/>
        <v/>
      </c>
      <c r="AF90" t="str">
        <f t="shared" si="12"/>
        <v/>
      </c>
      <c r="AG90" s="123" t="str">
        <f t="shared" si="13"/>
        <v/>
      </c>
      <c r="AM90" t="str">
        <f>IFERROR(INDEX('Skeet Ind Concurrent Scores'!Z:Z,MATCH(A90,'Skeet Ind Concurrent Scores'!X:X,0)),"")</f>
        <v/>
      </c>
      <c r="AN90" t="str">
        <f>IFERROR(INDEX('Skeet Ind Class Scores'!V:V,MATCH(A90,'Skeet Ind Class Scores'!T:T,0)),"")</f>
        <v/>
      </c>
      <c r="AO90" t="str">
        <f>IFERROR(INDEX('Skeet Team Scores'!AA:AA,MATCH(A90,'Skeet Team Scores'!AB:AB,0)),"")</f>
        <v/>
      </c>
    </row>
    <row r="91" spans="4:41" x14ac:dyDescent="0.3">
      <c r="D91" t="str">
        <f t="shared" si="7"/>
        <v xml:space="preserve"> </v>
      </c>
      <c r="J91" s="10">
        <f>IF(G91="Y",'Tournament Setup'!$C$5,0)+IF(H91="Y",'Tournament Setup'!$C$6,0)+IF(I91="Y",'Tournament Setup'!$C$7,0)</f>
        <v>0</v>
      </c>
      <c r="K91" s="1"/>
      <c r="O91" s="123" t="str">
        <f t="shared" si="8"/>
        <v/>
      </c>
      <c r="S91" s="1" t="str">
        <f>IFERROR(IF(INDEX('Shooter-Squad Assignment'!$M:$M,MATCH($A91,'Shooter-Squad Assignment'!$A:$A,0))="","",INDEX('Shooter-Squad Assignment'!$M:$M,MATCH($A91,'Shooter-Squad Assignment'!$A:$A,0))),"")</f>
        <v/>
      </c>
      <c r="T91" s="1" t="str">
        <f>IFERROR(IF(INDEX('Shooter-Squad Assignment'!$N:$N,MATCH($A91,'Shooter-Squad Assignment'!$A:$A,0))="","",S91&amp;"-"&amp;INDEX('Shooter-Squad Assignment'!$N:$N,MATCH($A91,'Shooter-Squad Assignment'!$A:$A,0))),"")</f>
        <v/>
      </c>
      <c r="U91" s="1" t="str">
        <f>IFERROR(IF(INDEX('Shooter-Squad Assignment'!$I:$I,MATCH($A91,'Shooter-Squad Assignment'!$A:$A,0))="","",IF(INDEX('Shooter-Squad Assignment'!$I:$I,MATCH($A91,'Shooter-Squad Assignment'!$A:$A,0))=1,S91&amp;"-"&amp;1,"")),"")</f>
        <v/>
      </c>
      <c r="V91" t="str">
        <f>IF(ISBLANK($S91),"",IFERROR(INDEX('Squad Listing'!$C:$C,MATCH($S91,'Squad Listing'!$A:$A,0)),""))</f>
        <v/>
      </c>
      <c r="W91" t="str">
        <f>IF(ISBLANK($S91),"",IFERROR(INDEX('Squad Listing'!$D:$D,MATCH($S91,'Squad Listing'!$A:$A,0)),""))</f>
        <v/>
      </c>
      <c r="X91" t="str">
        <f>IF(ISBLANK($S91),"",IFERROR(INDEX('Squad Listing'!$E:$E,MATCH($S91,'Squad Listing'!$A:$A,0)),""))</f>
        <v/>
      </c>
      <c r="Y91" s="123" t="str">
        <f t="shared" si="9"/>
        <v/>
      </c>
      <c r="Z91" s="278">
        <f t="shared" si="10"/>
        <v>0</v>
      </c>
      <c r="AA91" s="278">
        <f>SUMIFS('Skeet Ind Concurrent Ranking'!L:L,'Skeet Ind Concurrent Ranking'!K:K,'Tournament List'!S111)</f>
        <v>0</v>
      </c>
      <c r="AB91" s="123" t="str">
        <f t="shared" si="11"/>
        <v/>
      </c>
      <c r="AF91" t="str">
        <f t="shared" si="12"/>
        <v/>
      </c>
      <c r="AG91" s="123" t="str">
        <f t="shared" si="13"/>
        <v/>
      </c>
      <c r="AM91" t="str">
        <f>IFERROR(INDEX('Skeet Ind Concurrent Scores'!Z:Z,MATCH(A91,'Skeet Ind Concurrent Scores'!X:X,0)),"")</f>
        <v/>
      </c>
      <c r="AN91" t="str">
        <f>IFERROR(INDEX('Skeet Ind Class Scores'!V:V,MATCH(A91,'Skeet Ind Class Scores'!T:T,0)),"")</f>
        <v/>
      </c>
      <c r="AO91" t="str">
        <f>IFERROR(INDEX('Skeet Team Scores'!AA:AA,MATCH(A91,'Skeet Team Scores'!AB:AB,0)),"")</f>
        <v/>
      </c>
    </row>
    <row r="92" spans="4:41" x14ac:dyDescent="0.3">
      <c r="D92" t="str">
        <f t="shared" si="7"/>
        <v xml:space="preserve"> </v>
      </c>
      <c r="J92" s="10">
        <f>IF(G92="Y",'Tournament Setup'!$C$5,0)+IF(H92="Y",'Tournament Setup'!$C$6,0)+IF(I92="Y",'Tournament Setup'!$C$7,0)</f>
        <v>0</v>
      </c>
      <c r="K92" s="1"/>
      <c r="O92" s="123" t="str">
        <f t="shared" si="8"/>
        <v/>
      </c>
      <c r="S92" s="1" t="str">
        <f>IFERROR(IF(INDEX('Shooter-Squad Assignment'!$M:$M,MATCH($A92,'Shooter-Squad Assignment'!$A:$A,0))="","",INDEX('Shooter-Squad Assignment'!$M:$M,MATCH($A92,'Shooter-Squad Assignment'!$A:$A,0))),"")</f>
        <v/>
      </c>
      <c r="T92" s="1" t="str">
        <f>IFERROR(IF(INDEX('Shooter-Squad Assignment'!$N:$N,MATCH($A92,'Shooter-Squad Assignment'!$A:$A,0))="","",S92&amp;"-"&amp;INDEX('Shooter-Squad Assignment'!$N:$N,MATCH($A92,'Shooter-Squad Assignment'!$A:$A,0))),"")</f>
        <v/>
      </c>
      <c r="U92" s="1" t="str">
        <f>IFERROR(IF(INDEX('Shooter-Squad Assignment'!$I:$I,MATCH($A92,'Shooter-Squad Assignment'!$A:$A,0))="","",IF(INDEX('Shooter-Squad Assignment'!$I:$I,MATCH($A92,'Shooter-Squad Assignment'!$A:$A,0))=1,S92&amp;"-"&amp;1,"")),"")</f>
        <v/>
      </c>
      <c r="V92" t="str">
        <f>IF(ISBLANK($S92),"",IFERROR(INDEX('Squad Listing'!$C:$C,MATCH($S92,'Squad Listing'!$A:$A,0)),""))</f>
        <v/>
      </c>
      <c r="W92" t="str">
        <f>IF(ISBLANK($S92),"",IFERROR(INDEX('Squad Listing'!$D:$D,MATCH($S92,'Squad Listing'!$A:$A,0)),""))</f>
        <v/>
      </c>
      <c r="X92" t="str">
        <f>IF(ISBLANK($S92),"",IFERROR(INDEX('Squad Listing'!$E:$E,MATCH($S92,'Squad Listing'!$A:$A,0)),""))</f>
        <v/>
      </c>
      <c r="Y92" s="123" t="str">
        <f t="shared" si="9"/>
        <v/>
      </c>
      <c r="Z92" s="278">
        <f t="shared" si="10"/>
        <v>0</v>
      </c>
      <c r="AA92" s="278">
        <f>SUMIFS('Skeet Ind Concurrent Ranking'!L:L,'Skeet Ind Concurrent Ranking'!K:K,'Tournament List'!S112)</f>
        <v>0</v>
      </c>
      <c r="AB92" s="123" t="str">
        <f t="shared" si="11"/>
        <v/>
      </c>
      <c r="AF92" t="str">
        <f t="shared" si="12"/>
        <v/>
      </c>
      <c r="AG92" s="123" t="str">
        <f t="shared" si="13"/>
        <v/>
      </c>
      <c r="AM92" t="str">
        <f>IFERROR(INDEX('Skeet Ind Concurrent Scores'!Z:Z,MATCH(A92,'Skeet Ind Concurrent Scores'!X:X,0)),"")</f>
        <v/>
      </c>
      <c r="AN92" t="str">
        <f>IFERROR(INDEX('Skeet Ind Class Scores'!V:V,MATCH(A92,'Skeet Ind Class Scores'!T:T,0)),"")</f>
        <v/>
      </c>
      <c r="AO92" t="str">
        <f>IFERROR(INDEX('Skeet Team Scores'!AA:AA,MATCH(A92,'Skeet Team Scores'!AB:AB,0)),"")</f>
        <v/>
      </c>
    </row>
    <row r="93" spans="4:41" x14ac:dyDescent="0.3">
      <c r="D93" t="str">
        <f t="shared" si="7"/>
        <v xml:space="preserve"> </v>
      </c>
      <c r="J93" s="10">
        <f>IF(G93="Y",'Tournament Setup'!$C$5,0)+IF(H93="Y",'Tournament Setup'!$C$6,0)+IF(I93="Y",'Tournament Setup'!$C$7,0)</f>
        <v>0</v>
      </c>
      <c r="K93" s="1"/>
      <c r="O93" s="123" t="str">
        <f t="shared" si="8"/>
        <v/>
      </c>
      <c r="S93" s="1" t="str">
        <f>IFERROR(IF(INDEX('Shooter-Squad Assignment'!$M:$M,MATCH($A93,'Shooter-Squad Assignment'!$A:$A,0))="","",INDEX('Shooter-Squad Assignment'!$M:$M,MATCH($A93,'Shooter-Squad Assignment'!$A:$A,0))),"")</f>
        <v/>
      </c>
      <c r="T93" s="1" t="str">
        <f>IFERROR(IF(INDEX('Shooter-Squad Assignment'!$N:$N,MATCH($A93,'Shooter-Squad Assignment'!$A:$A,0))="","",S93&amp;"-"&amp;INDEX('Shooter-Squad Assignment'!$N:$N,MATCH($A93,'Shooter-Squad Assignment'!$A:$A,0))),"")</f>
        <v/>
      </c>
      <c r="U93" s="1" t="str">
        <f>IFERROR(IF(INDEX('Shooter-Squad Assignment'!$I:$I,MATCH($A93,'Shooter-Squad Assignment'!$A:$A,0))="","",IF(INDEX('Shooter-Squad Assignment'!$I:$I,MATCH($A93,'Shooter-Squad Assignment'!$A:$A,0))=1,S93&amp;"-"&amp;1,"")),"")</f>
        <v/>
      </c>
      <c r="V93" t="str">
        <f>IF(ISBLANK($S93),"",IFERROR(INDEX('Squad Listing'!$C:$C,MATCH($S93,'Squad Listing'!$A:$A,0)),""))</f>
        <v/>
      </c>
      <c r="W93" t="str">
        <f>IF(ISBLANK($S93),"",IFERROR(INDEX('Squad Listing'!$D:$D,MATCH($S93,'Squad Listing'!$A:$A,0)),""))</f>
        <v/>
      </c>
      <c r="X93" t="str">
        <f>IF(ISBLANK($S93),"",IFERROR(INDEX('Squad Listing'!$E:$E,MATCH($S93,'Squad Listing'!$A:$A,0)),""))</f>
        <v/>
      </c>
      <c r="Y93" s="123" t="str">
        <f t="shared" si="9"/>
        <v/>
      </c>
      <c r="Z93" s="278">
        <f t="shared" si="10"/>
        <v>0</v>
      </c>
      <c r="AA93" s="278">
        <f>SUMIFS('Skeet Ind Concurrent Ranking'!L:L,'Skeet Ind Concurrent Ranking'!K:K,'Tournament List'!S113)</f>
        <v>0</v>
      </c>
      <c r="AB93" s="123" t="str">
        <f t="shared" si="11"/>
        <v/>
      </c>
      <c r="AF93" t="str">
        <f t="shared" si="12"/>
        <v/>
      </c>
      <c r="AG93" s="123" t="str">
        <f t="shared" si="13"/>
        <v/>
      </c>
      <c r="AM93" t="str">
        <f>IFERROR(INDEX('Skeet Ind Concurrent Scores'!Z:Z,MATCH(A93,'Skeet Ind Concurrent Scores'!X:X,0)),"")</f>
        <v/>
      </c>
      <c r="AN93" t="str">
        <f>IFERROR(INDEX('Skeet Ind Class Scores'!V:V,MATCH(A93,'Skeet Ind Class Scores'!T:T,0)),"")</f>
        <v/>
      </c>
      <c r="AO93" t="str">
        <f>IFERROR(INDEX('Skeet Team Scores'!AA:AA,MATCH(A93,'Skeet Team Scores'!AB:AB,0)),"")</f>
        <v/>
      </c>
    </row>
    <row r="94" spans="4:41" x14ac:dyDescent="0.3">
      <c r="D94" t="str">
        <f t="shared" si="7"/>
        <v xml:space="preserve"> </v>
      </c>
      <c r="J94" s="10">
        <f>IF(G94="Y",'Tournament Setup'!$C$5,0)+IF(H94="Y",'Tournament Setup'!$C$6,0)+IF(I94="Y",'Tournament Setup'!$C$7,0)</f>
        <v>0</v>
      </c>
      <c r="K94" s="1"/>
      <c r="O94" s="123" t="str">
        <f t="shared" si="8"/>
        <v/>
      </c>
      <c r="S94" s="1" t="str">
        <f>IFERROR(IF(INDEX('Shooter-Squad Assignment'!$M:$M,MATCH($A94,'Shooter-Squad Assignment'!$A:$A,0))="","",INDEX('Shooter-Squad Assignment'!$M:$M,MATCH($A94,'Shooter-Squad Assignment'!$A:$A,0))),"")</f>
        <v/>
      </c>
      <c r="T94" s="1" t="str">
        <f>IFERROR(IF(INDEX('Shooter-Squad Assignment'!$N:$N,MATCH($A94,'Shooter-Squad Assignment'!$A:$A,0))="","",S94&amp;"-"&amp;INDEX('Shooter-Squad Assignment'!$N:$N,MATCH($A94,'Shooter-Squad Assignment'!$A:$A,0))),"")</f>
        <v/>
      </c>
      <c r="U94" s="1" t="str">
        <f>IFERROR(IF(INDEX('Shooter-Squad Assignment'!$I:$I,MATCH($A94,'Shooter-Squad Assignment'!$A:$A,0))="","",IF(INDEX('Shooter-Squad Assignment'!$I:$I,MATCH($A94,'Shooter-Squad Assignment'!$A:$A,0))=1,S94&amp;"-"&amp;1,"")),"")</f>
        <v/>
      </c>
      <c r="V94" t="str">
        <f>IF(ISBLANK($S94),"",IFERROR(INDEX('Squad Listing'!$C:$C,MATCH($S94,'Squad Listing'!$A:$A,0)),""))</f>
        <v/>
      </c>
      <c r="W94" t="str">
        <f>IF(ISBLANK($S94),"",IFERROR(INDEX('Squad Listing'!$D:$D,MATCH($S94,'Squad Listing'!$A:$A,0)),""))</f>
        <v/>
      </c>
      <c r="X94" t="str">
        <f>IF(ISBLANK($S94),"",IFERROR(INDEX('Squad Listing'!$E:$E,MATCH($S94,'Squad Listing'!$A:$A,0)),""))</f>
        <v/>
      </c>
      <c r="Y94" s="123" t="str">
        <f t="shared" si="9"/>
        <v/>
      </c>
      <c r="Z94" s="278">
        <f t="shared" si="10"/>
        <v>0</v>
      </c>
      <c r="AA94" s="278">
        <f>SUMIFS('Skeet Ind Concurrent Ranking'!L:L,'Skeet Ind Concurrent Ranking'!K:K,'Tournament List'!S114)</f>
        <v>0</v>
      </c>
      <c r="AB94" s="123" t="str">
        <f t="shared" si="11"/>
        <v/>
      </c>
      <c r="AF94" t="str">
        <f t="shared" si="12"/>
        <v/>
      </c>
      <c r="AG94" s="123" t="str">
        <f t="shared" si="13"/>
        <v/>
      </c>
      <c r="AM94" t="str">
        <f>IFERROR(INDEX('Skeet Ind Concurrent Scores'!Z:Z,MATCH(A94,'Skeet Ind Concurrent Scores'!X:X,0)),"")</f>
        <v/>
      </c>
      <c r="AN94" t="str">
        <f>IFERROR(INDEX('Skeet Ind Class Scores'!V:V,MATCH(A94,'Skeet Ind Class Scores'!T:T,0)),"")</f>
        <v/>
      </c>
      <c r="AO94" t="str">
        <f>IFERROR(INDEX('Skeet Team Scores'!AA:AA,MATCH(A94,'Skeet Team Scores'!AB:AB,0)),"")</f>
        <v/>
      </c>
    </row>
    <row r="95" spans="4:41" x14ac:dyDescent="0.3">
      <c r="D95" t="str">
        <f t="shared" si="7"/>
        <v xml:space="preserve"> </v>
      </c>
      <c r="J95" s="10">
        <f>IF(G95="Y",'Tournament Setup'!$C$5,0)+IF(H95="Y",'Tournament Setup'!$C$6,0)+IF(I95="Y",'Tournament Setup'!$C$7,0)</f>
        <v>0</v>
      </c>
      <c r="K95" s="1"/>
      <c r="O95" s="123" t="str">
        <f t="shared" si="8"/>
        <v/>
      </c>
      <c r="S95" s="1" t="str">
        <f>IFERROR(IF(INDEX('Shooter-Squad Assignment'!$M:$M,MATCH($A95,'Shooter-Squad Assignment'!$A:$A,0))="","",INDEX('Shooter-Squad Assignment'!$M:$M,MATCH($A95,'Shooter-Squad Assignment'!$A:$A,0))),"")</f>
        <v/>
      </c>
      <c r="T95" s="1" t="str">
        <f>IFERROR(IF(INDEX('Shooter-Squad Assignment'!$N:$N,MATCH($A95,'Shooter-Squad Assignment'!$A:$A,0))="","",S95&amp;"-"&amp;INDEX('Shooter-Squad Assignment'!$N:$N,MATCH($A95,'Shooter-Squad Assignment'!$A:$A,0))),"")</f>
        <v/>
      </c>
      <c r="U95" s="1" t="str">
        <f>IFERROR(IF(INDEX('Shooter-Squad Assignment'!$I:$I,MATCH($A95,'Shooter-Squad Assignment'!$A:$A,0))="","",IF(INDEX('Shooter-Squad Assignment'!$I:$I,MATCH($A95,'Shooter-Squad Assignment'!$A:$A,0))=1,S95&amp;"-"&amp;1,"")),"")</f>
        <v/>
      </c>
      <c r="V95" t="str">
        <f>IF(ISBLANK($S95),"",IFERROR(INDEX('Squad Listing'!$C:$C,MATCH($S95,'Squad Listing'!$A:$A,0)),""))</f>
        <v/>
      </c>
      <c r="W95" t="str">
        <f>IF(ISBLANK($S95),"",IFERROR(INDEX('Squad Listing'!$D:$D,MATCH($S95,'Squad Listing'!$A:$A,0)),""))</f>
        <v/>
      </c>
      <c r="X95" t="str">
        <f>IF(ISBLANK($S95),"",IFERROR(INDEX('Squad Listing'!$E:$E,MATCH($S95,'Squad Listing'!$A:$A,0)),""))</f>
        <v/>
      </c>
      <c r="Y95" s="123" t="str">
        <f t="shared" si="9"/>
        <v/>
      </c>
      <c r="Z95" s="278">
        <f t="shared" si="10"/>
        <v>0</v>
      </c>
      <c r="AA95" s="278">
        <f>SUMIFS('Skeet Ind Concurrent Ranking'!L:L,'Skeet Ind Concurrent Ranking'!K:K,'Tournament List'!S115)</f>
        <v>0</v>
      </c>
      <c r="AB95" s="123" t="str">
        <f t="shared" si="11"/>
        <v/>
      </c>
      <c r="AF95" t="str">
        <f t="shared" si="12"/>
        <v/>
      </c>
      <c r="AG95" s="123" t="str">
        <f t="shared" si="13"/>
        <v/>
      </c>
      <c r="AM95" t="str">
        <f>IFERROR(INDEX('Skeet Ind Concurrent Scores'!Z:Z,MATCH(A95,'Skeet Ind Concurrent Scores'!X:X,0)),"")</f>
        <v/>
      </c>
      <c r="AN95" t="str">
        <f>IFERROR(INDEX('Skeet Ind Class Scores'!V:V,MATCH(A95,'Skeet Ind Class Scores'!T:T,0)),"")</f>
        <v/>
      </c>
      <c r="AO95" t="str">
        <f>IFERROR(INDEX('Skeet Team Scores'!AA:AA,MATCH(A95,'Skeet Team Scores'!AB:AB,0)),"")</f>
        <v/>
      </c>
    </row>
    <row r="96" spans="4:41" x14ac:dyDescent="0.3">
      <c r="D96" t="str">
        <f t="shared" si="7"/>
        <v xml:space="preserve"> </v>
      </c>
      <c r="J96" s="10">
        <f>IF(G96="Y",'Tournament Setup'!$C$5,0)+IF(H96="Y",'Tournament Setup'!$C$6,0)+IF(I96="Y",'Tournament Setup'!$C$7,0)</f>
        <v>0</v>
      </c>
      <c r="K96" s="1"/>
      <c r="O96" s="123" t="str">
        <f t="shared" si="8"/>
        <v/>
      </c>
      <c r="S96" s="1" t="str">
        <f>IFERROR(IF(INDEX('Shooter-Squad Assignment'!$M:$M,MATCH($A96,'Shooter-Squad Assignment'!$A:$A,0))="","",INDEX('Shooter-Squad Assignment'!$M:$M,MATCH($A96,'Shooter-Squad Assignment'!$A:$A,0))),"")</f>
        <v/>
      </c>
      <c r="T96" s="1" t="str">
        <f>IFERROR(IF(INDEX('Shooter-Squad Assignment'!$N:$N,MATCH($A96,'Shooter-Squad Assignment'!$A:$A,0))="","",S96&amp;"-"&amp;INDEX('Shooter-Squad Assignment'!$N:$N,MATCH($A96,'Shooter-Squad Assignment'!$A:$A,0))),"")</f>
        <v/>
      </c>
      <c r="U96" s="1" t="str">
        <f>IFERROR(IF(INDEX('Shooter-Squad Assignment'!$I:$I,MATCH($A96,'Shooter-Squad Assignment'!$A:$A,0))="","",IF(INDEX('Shooter-Squad Assignment'!$I:$I,MATCH($A96,'Shooter-Squad Assignment'!$A:$A,0))=1,S96&amp;"-"&amp;1,"")),"")</f>
        <v/>
      </c>
      <c r="V96" t="str">
        <f>IF(ISBLANK($S96),"",IFERROR(INDEX('Squad Listing'!$C:$C,MATCH($S96,'Squad Listing'!$A:$A,0)),""))</f>
        <v/>
      </c>
      <c r="W96" t="str">
        <f>IF(ISBLANK($S96),"",IFERROR(INDEX('Squad Listing'!$D:$D,MATCH($S96,'Squad Listing'!$A:$A,0)),""))</f>
        <v/>
      </c>
      <c r="X96" t="str">
        <f>IF(ISBLANK($S96),"",IFERROR(INDEX('Squad Listing'!$E:$E,MATCH($S96,'Squad Listing'!$A:$A,0)),""))</f>
        <v/>
      </c>
      <c r="Y96" s="123" t="str">
        <f t="shared" si="9"/>
        <v/>
      </c>
      <c r="Z96" s="278">
        <f t="shared" si="10"/>
        <v>0</v>
      </c>
      <c r="AA96" s="278">
        <f>SUMIFS('Skeet Ind Concurrent Ranking'!L:L,'Skeet Ind Concurrent Ranking'!K:K,'Tournament List'!S116)</f>
        <v>0</v>
      </c>
      <c r="AB96" s="123" t="str">
        <f t="shared" si="11"/>
        <v/>
      </c>
      <c r="AF96" t="str">
        <f t="shared" si="12"/>
        <v/>
      </c>
      <c r="AG96" s="123" t="str">
        <f t="shared" si="13"/>
        <v/>
      </c>
      <c r="AM96" t="str">
        <f>IFERROR(INDEX('Skeet Ind Concurrent Scores'!Z:Z,MATCH(A96,'Skeet Ind Concurrent Scores'!X:X,0)),"")</f>
        <v/>
      </c>
      <c r="AN96" t="str">
        <f>IFERROR(INDEX('Skeet Ind Class Scores'!V:V,MATCH(A96,'Skeet Ind Class Scores'!T:T,0)),"")</f>
        <v/>
      </c>
      <c r="AO96" t="str">
        <f>IFERROR(INDEX('Skeet Team Scores'!AA:AA,MATCH(A96,'Skeet Team Scores'!AB:AB,0)),"")</f>
        <v/>
      </c>
    </row>
    <row r="97" spans="1:90" x14ac:dyDescent="0.3">
      <c r="D97" t="str">
        <f t="shared" si="7"/>
        <v xml:space="preserve"> </v>
      </c>
      <c r="J97" s="10">
        <f>IF(G97="Y",'Tournament Setup'!$C$5,0)+IF(H97="Y",'Tournament Setup'!$C$6,0)+IF(I97="Y",'Tournament Setup'!$C$7,0)</f>
        <v>0</v>
      </c>
      <c r="K97" s="1"/>
      <c r="O97" s="123" t="str">
        <f t="shared" si="8"/>
        <v/>
      </c>
      <c r="S97" s="1" t="str">
        <f>IFERROR(IF(INDEX('Shooter-Squad Assignment'!$M:$M,MATCH($A97,'Shooter-Squad Assignment'!$A:$A,0))="","",INDEX('Shooter-Squad Assignment'!$M:$M,MATCH($A97,'Shooter-Squad Assignment'!$A:$A,0))),"")</f>
        <v/>
      </c>
      <c r="T97" s="1" t="str">
        <f>IFERROR(IF(INDEX('Shooter-Squad Assignment'!$N:$N,MATCH($A97,'Shooter-Squad Assignment'!$A:$A,0))="","",S97&amp;"-"&amp;INDEX('Shooter-Squad Assignment'!$N:$N,MATCH($A97,'Shooter-Squad Assignment'!$A:$A,0))),"")</f>
        <v/>
      </c>
      <c r="U97" s="1" t="str">
        <f>IFERROR(IF(INDEX('Shooter-Squad Assignment'!$I:$I,MATCH($A97,'Shooter-Squad Assignment'!$A:$A,0))="","",IF(INDEX('Shooter-Squad Assignment'!$I:$I,MATCH($A97,'Shooter-Squad Assignment'!$A:$A,0))=1,S97&amp;"-"&amp;1,"")),"")</f>
        <v/>
      </c>
      <c r="V97" t="str">
        <f>IF(ISBLANK($S97),"",IFERROR(INDEX('Squad Listing'!$C:$C,MATCH($S97,'Squad Listing'!$A:$A,0)),""))</f>
        <v/>
      </c>
      <c r="W97" t="str">
        <f>IF(ISBLANK($S97),"",IFERROR(INDEX('Squad Listing'!$D:$D,MATCH($S97,'Squad Listing'!$A:$A,0)),""))</f>
        <v/>
      </c>
      <c r="X97" t="str">
        <f>IF(ISBLANK($S97),"",IFERROR(INDEX('Squad Listing'!$E:$E,MATCH($S97,'Squad Listing'!$A:$A,0)),""))</f>
        <v/>
      </c>
      <c r="Y97" s="123" t="str">
        <f t="shared" si="9"/>
        <v/>
      </c>
      <c r="Z97" s="278">
        <f t="shared" si="10"/>
        <v>0</v>
      </c>
      <c r="AA97" s="278">
        <f>SUMIFS('Skeet Ind Concurrent Ranking'!L:L,'Skeet Ind Concurrent Ranking'!K:K,'Tournament List'!S117)</f>
        <v>0</v>
      </c>
      <c r="AB97" s="123" t="str">
        <f t="shared" si="11"/>
        <v/>
      </c>
      <c r="AF97" t="str">
        <f t="shared" si="12"/>
        <v/>
      </c>
      <c r="AG97" s="123" t="str">
        <f t="shared" si="13"/>
        <v/>
      </c>
      <c r="AM97" t="str">
        <f>IFERROR(INDEX('Skeet Ind Concurrent Scores'!Z:Z,MATCH(A97,'Skeet Ind Concurrent Scores'!X:X,0)),"")</f>
        <v/>
      </c>
      <c r="AN97" t="str">
        <f>IFERROR(INDEX('Skeet Ind Class Scores'!V:V,MATCH(A97,'Skeet Ind Class Scores'!T:T,0)),"")</f>
        <v/>
      </c>
      <c r="AO97" t="str">
        <f>IFERROR(INDEX('Skeet Team Scores'!AA:AA,MATCH(A97,'Skeet Team Scores'!AB:AB,0)),"")</f>
        <v/>
      </c>
    </row>
    <row r="98" spans="1:90" x14ac:dyDescent="0.3">
      <c r="D98" t="str">
        <f t="shared" si="7"/>
        <v xml:space="preserve"> </v>
      </c>
      <c r="J98" s="10">
        <f>IF(G98="Y",'Tournament Setup'!$C$5,0)+IF(H98="Y",'Tournament Setup'!$C$6,0)+IF(I98="Y",'Tournament Setup'!$C$7,0)</f>
        <v>0</v>
      </c>
      <c r="K98" s="1"/>
      <c r="O98" s="123" t="str">
        <f t="shared" si="8"/>
        <v/>
      </c>
      <c r="S98" s="1" t="str">
        <f>IFERROR(IF(INDEX('Shooter-Squad Assignment'!$M:$M,MATCH($A98,'Shooter-Squad Assignment'!$A:$A,0))="","",INDEX('Shooter-Squad Assignment'!$M:$M,MATCH($A98,'Shooter-Squad Assignment'!$A:$A,0))),"")</f>
        <v/>
      </c>
      <c r="T98" s="1" t="str">
        <f>IFERROR(IF(INDEX('Shooter-Squad Assignment'!$N:$N,MATCH($A98,'Shooter-Squad Assignment'!$A:$A,0))="","",S98&amp;"-"&amp;INDEX('Shooter-Squad Assignment'!$N:$N,MATCH($A98,'Shooter-Squad Assignment'!$A:$A,0))),"")</f>
        <v/>
      </c>
      <c r="U98" s="1" t="str">
        <f>IFERROR(IF(INDEX('Shooter-Squad Assignment'!$I:$I,MATCH($A98,'Shooter-Squad Assignment'!$A:$A,0))="","",IF(INDEX('Shooter-Squad Assignment'!$I:$I,MATCH($A98,'Shooter-Squad Assignment'!$A:$A,0))=1,S98&amp;"-"&amp;1,"")),"")</f>
        <v/>
      </c>
      <c r="V98" t="str">
        <f>IF(ISBLANK($S98),"",IFERROR(INDEX('Squad Listing'!$C:$C,MATCH($S98,'Squad Listing'!$A:$A,0)),""))</f>
        <v/>
      </c>
      <c r="W98" t="str">
        <f>IF(ISBLANK($S98),"",IFERROR(INDEX('Squad Listing'!$D:$D,MATCH($S98,'Squad Listing'!$A:$A,0)),""))</f>
        <v/>
      </c>
      <c r="X98" t="str">
        <f>IF(ISBLANK($S98),"",IFERROR(INDEX('Squad Listing'!$E:$E,MATCH($S98,'Squad Listing'!$A:$A,0)),""))</f>
        <v/>
      </c>
      <c r="Y98" s="123" t="str">
        <f t="shared" si="9"/>
        <v/>
      </c>
      <c r="Z98" s="278">
        <f t="shared" si="10"/>
        <v>0</v>
      </c>
      <c r="AA98" s="278">
        <f>SUMIFS('Skeet Ind Concurrent Ranking'!L:L,'Skeet Ind Concurrent Ranking'!K:K,'Tournament List'!S118)</f>
        <v>0</v>
      </c>
      <c r="AB98" s="123" t="str">
        <f t="shared" si="11"/>
        <v/>
      </c>
      <c r="AF98" t="str">
        <f t="shared" si="12"/>
        <v/>
      </c>
      <c r="AG98" s="123" t="str">
        <f t="shared" si="13"/>
        <v/>
      </c>
      <c r="AM98" t="str">
        <f>IFERROR(INDEX('Skeet Ind Concurrent Scores'!Z:Z,MATCH(A98,'Skeet Ind Concurrent Scores'!X:X,0)),"")</f>
        <v/>
      </c>
      <c r="AN98" t="str">
        <f>IFERROR(INDEX('Skeet Ind Class Scores'!V:V,MATCH(A98,'Skeet Ind Class Scores'!T:T,0)),"")</f>
        <v/>
      </c>
      <c r="AO98" t="str">
        <f>IFERROR(INDEX('Skeet Team Scores'!AA:AA,MATCH(A98,'Skeet Team Scores'!AB:AB,0)),"")</f>
        <v/>
      </c>
    </row>
    <row r="99" spans="1:90" x14ac:dyDescent="0.3">
      <c r="D99" t="str">
        <f t="shared" si="7"/>
        <v xml:space="preserve"> </v>
      </c>
      <c r="J99" s="10">
        <f>IF(G99="Y",'Tournament Setup'!$C$5,0)+IF(H99="Y",'Tournament Setup'!$C$6,0)+IF(I99="Y",'Tournament Setup'!$C$7,0)</f>
        <v>0</v>
      </c>
      <c r="K99" s="1"/>
      <c r="O99" s="123" t="str">
        <f t="shared" si="8"/>
        <v/>
      </c>
      <c r="S99" s="1" t="str">
        <f>IFERROR(IF(INDEX('Shooter-Squad Assignment'!$M:$M,MATCH($A99,'Shooter-Squad Assignment'!$A:$A,0))="","",INDEX('Shooter-Squad Assignment'!$M:$M,MATCH($A99,'Shooter-Squad Assignment'!$A:$A,0))),"")</f>
        <v/>
      </c>
      <c r="T99" s="1" t="str">
        <f>IFERROR(IF(INDEX('Shooter-Squad Assignment'!$N:$N,MATCH($A99,'Shooter-Squad Assignment'!$A:$A,0))="","",S99&amp;"-"&amp;INDEX('Shooter-Squad Assignment'!$N:$N,MATCH($A99,'Shooter-Squad Assignment'!$A:$A,0))),"")</f>
        <v/>
      </c>
      <c r="U99" s="1" t="str">
        <f>IFERROR(IF(INDEX('Shooter-Squad Assignment'!$I:$I,MATCH($A99,'Shooter-Squad Assignment'!$A:$A,0))="","",IF(INDEX('Shooter-Squad Assignment'!$I:$I,MATCH($A99,'Shooter-Squad Assignment'!$A:$A,0))=1,S99&amp;"-"&amp;1,"")),"")</f>
        <v/>
      </c>
      <c r="V99" t="str">
        <f>IF(ISBLANK($S99),"",IFERROR(INDEX('Squad Listing'!$C:$C,MATCH($S99,'Squad Listing'!$A:$A,0)),""))</f>
        <v/>
      </c>
      <c r="W99" t="str">
        <f>IF(ISBLANK($S99),"",IFERROR(INDEX('Squad Listing'!$D:$D,MATCH($S99,'Squad Listing'!$A:$A,0)),""))</f>
        <v/>
      </c>
      <c r="X99" t="str">
        <f>IF(ISBLANK($S99),"",IFERROR(INDEX('Squad Listing'!$E:$E,MATCH($S99,'Squad Listing'!$A:$A,0)),""))</f>
        <v/>
      </c>
      <c r="Y99" s="123" t="str">
        <f t="shared" si="9"/>
        <v/>
      </c>
      <c r="Z99" s="278">
        <f t="shared" si="10"/>
        <v>0</v>
      </c>
      <c r="AA99" s="278">
        <f>SUMIFS('Skeet Ind Concurrent Ranking'!L:L,'Skeet Ind Concurrent Ranking'!K:K,'Tournament List'!S119)</f>
        <v>0</v>
      </c>
      <c r="AB99" s="123" t="str">
        <f t="shared" si="11"/>
        <v/>
      </c>
      <c r="AF99" t="str">
        <f t="shared" si="12"/>
        <v/>
      </c>
      <c r="AG99" s="123" t="str">
        <f t="shared" si="13"/>
        <v/>
      </c>
      <c r="AM99" t="str">
        <f>IFERROR(INDEX('Skeet Ind Concurrent Scores'!Z:Z,MATCH(A99,'Skeet Ind Concurrent Scores'!X:X,0)),"")</f>
        <v/>
      </c>
      <c r="AN99" t="str">
        <f>IFERROR(INDEX('Skeet Ind Class Scores'!V:V,MATCH(A99,'Skeet Ind Class Scores'!T:T,0)),"")</f>
        <v/>
      </c>
      <c r="AO99" t="str">
        <f>IFERROR(INDEX('Skeet Team Scores'!AA:AA,MATCH(A99,'Skeet Team Scores'!AB:AB,0)),"")</f>
        <v/>
      </c>
    </row>
    <row r="100" spans="1:90" x14ac:dyDescent="0.3">
      <c r="D100" t="str">
        <f t="shared" si="7"/>
        <v xml:space="preserve"> </v>
      </c>
      <c r="J100" s="10">
        <f>IF(G100="Y",'Tournament Setup'!$C$5,0)+IF(H100="Y",'Tournament Setup'!$C$6,0)+IF(I100="Y",'Tournament Setup'!$C$7,0)</f>
        <v>0</v>
      </c>
      <c r="K100" s="1"/>
      <c r="O100" s="123" t="str">
        <f t="shared" si="8"/>
        <v/>
      </c>
      <c r="S100" s="1" t="str">
        <f>IFERROR(IF(INDEX('Shooter-Squad Assignment'!$M:$M,MATCH($A100,'Shooter-Squad Assignment'!$A:$A,0))="","",INDEX('Shooter-Squad Assignment'!$M:$M,MATCH($A100,'Shooter-Squad Assignment'!$A:$A,0))),"")</f>
        <v/>
      </c>
      <c r="T100" s="1" t="str">
        <f>IFERROR(IF(INDEX('Shooter-Squad Assignment'!$N:$N,MATCH($A100,'Shooter-Squad Assignment'!$A:$A,0))="","",S100&amp;"-"&amp;INDEX('Shooter-Squad Assignment'!$N:$N,MATCH($A100,'Shooter-Squad Assignment'!$A:$A,0))),"")</f>
        <v/>
      </c>
      <c r="U100" s="1" t="str">
        <f>IFERROR(IF(INDEX('Shooter-Squad Assignment'!$I:$I,MATCH($A100,'Shooter-Squad Assignment'!$A:$A,0))="","",IF(INDEX('Shooter-Squad Assignment'!$I:$I,MATCH($A100,'Shooter-Squad Assignment'!$A:$A,0))=1,S100&amp;"-"&amp;1,"")),"")</f>
        <v/>
      </c>
      <c r="V100" t="str">
        <f>IF(ISBLANK($S100),"",IFERROR(INDEX('Squad Listing'!$C:$C,MATCH($S100,'Squad Listing'!$A:$A,0)),""))</f>
        <v/>
      </c>
      <c r="W100" t="str">
        <f>IF(ISBLANK($S100),"",IFERROR(INDEX('Squad Listing'!$D:$D,MATCH($S100,'Squad Listing'!$A:$A,0)),""))</f>
        <v/>
      </c>
      <c r="X100" t="str">
        <f>IF(ISBLANK($S100),"",IFERROR(INDEX('Squad Listing'!$E:$E,MATCH($S100,'Squad Listing'!$A:$A,0)),""))</f>
        <v/>
      </c>
      <c r="Y100" s="123" t="str">
        <f t="shared" si="9"/>
        <v/>
      </c>
      <c r="Z100" s="278">
        <f t="shared" si="10"/>
        <v>0</v>
      </c>
      <c r="AA100" s="278">
        <f>SUMIFS('Skeet Ind Concurrent Ranking'!L:L,'Skeet Ind Concurrent Ranking'!K:K,'Tournament List'!S120)</f>
        <v>0</v>
      </c>
      <c r="AB100" s="123" t="str">
        <f t="shared" si="11"/>
        <v/>
      </c>
      <c r="AF100" t="str">
        <f t="shared" si="12"/>
        <v/>
      </c>
      <c r="AG100" s="123" t="str">
        <f t="shared" si="13"/>
        <v/>
      </c>
      <c r="AM100" t="str">
        <f>IFERROR(INDEX('Skeet Ind Concurrent Scores'!Z:Z,MATCH(A100,'Skeet Ind Concurrent Scores'!X:X,0)),"")</f>
        <v/>
      </c>
      <c r="AN100" t="str">
        <f>IFERROR(INDEX('Skeet Ind Class Scores'!V:V,MATCH(A100,'Skeet Ind Class Scores'!T:T,0)),"")</f>
        <v/>
      </c>
      <c r="AO100" t="str">
        <f>IFERROR(INDEX('Skeet Team Scores'!AA:AA,MATCH(A100,'Skeet Team Scores'!AB:AB,0)),"")</f>
        <v/>
      </c>
    </row>
    <row r="101" spans="1:90" x14ac:dyDescent="0.3">
      <c r="D101" t="str">
        <f t="shared" si="7"/>
        <v xml:space="preserve"> </v>
      </c>
      <c r="J101" s="10">
        <f>IF(G101="Y",'Tournament Setup'!$C$5,0)+IF(H101="Y",'Tournament Setup'!$C$6,0)+IF(I101="Y",'Tournament Setup'!$C$7,0)</f>
        <v>0</v>
      </c>
      <c r="K101" s="1"/>
      <c r="O101" s="123" t="str">
        <f t="shared" si="8"/>
        <v/>
      </c>
      <c r="S101" s="1" t="str">
        <f>IFERROR(IF(INDEX('Shooter-Squad Assignment'!$M:$M,MATCH($A101,'Shooter-Squad Assignment'!$A:$A,0))="","",INDEX('Shooter-Squad Assignment'!$M:$M,MATCH($A101,'Shooter-Squad Assignment'!$A:$A,0))),"")</f>
        <v/>
      </c>
      <c r="T101" s="1" t="str">
        <f>IFERROR(IF(INDEX('Shooter-Squad Assignment'!$N:$N,MATCH($A101,'Shooter-Squad Assignment'!$A:$A,0))="","",S101&amp;"-"&amp;INDEX('Shooter-Squad Assignment'!$N:$N,MATCH($A101,'Shooter-Squad Assignment'!$A:$A,0))),"")</f>
        <v/>
      </c>
      <c r="U101" s="1" t="str">
        <f>IFERROR(IF(INDEX('Shooter-Squad Assignment'!$I:$I,MATCH($A101,'Shooter-Squad Assignment'!$A:$A,0))="","",IF(INDEX('Shooter-Squad Assignment'!$I:$I,MATCH($A101,'Shooter-Squad Assignment'!$A:$A,0))=1,S101&amp;"-"&amp;1,"")),"")</f>
        <v/>
      </c>
      <c r="V101" t="str">
        <f>IF(ISBLANK($S101),"",IFERROR(INDEX('Squad Listing'!$C:$C,MATCH($S101,'Squad Listing'!$A:$A,0)),""))</f>
        <v/>
      </c>
      <c r="W101" t="str">
        <f>IF(ISBLANK($S101),"",IFERROR(INDEX('Squad Listing'!$D:$D,MATCH($S101,'Squad Listing'!$A:$A,0)),""))</f>
        <v/>
      </c>
      <c r="X101" t="str">
        <f>IF(ISBLANK($S101),"",IFERROR(INDEX('Squad Listing'!$E:$E,MATCH($S101,'Squad Listing'!$A:$A,0)),""))</f>
        <v/>
      </c>
      <c r="Y101" s="123" t="str">
        <f t="shared" si="9"/>
        <v/>
      </c>
      <c r="Z101" s="278">
        <f t="shared" si="10"/>
        <v>0</v>
      </c>
      <c r="AA101" s="278">
        <f>SUMIFS('Skeet Ind Concurrent Ranking'!L:L,'Skeet Ind Concurrent Ranking'!K:K,'Tournament List'!S121)</f>
        <v>0</v>
      </c>
      <c r="AB101" s="123" t="str">
        <f t="shared" si="11"/>
        <v/>
      </c>
      <c r="AF101" t="str">
        <f t="shared" si="12"/>
        <v/>
      </c>
      <c r="AG101" s="123" t="str">
        <f t="shared" si="13"/>
        <v/>
      </c>
      <c r="AM101" t="str">
        <f>IFERROR(INDEX('Skeet Ind Concurrent Scores'!Z:Z,MATCH(A101,'Skeet Ind Concurrent Scores'!X:X,0)),"")</f>
        <v/>
      </c>
      <c r="AN101" t="str">
        <f>IFERROR(INDEX('Skeet Ind Class Scores'!V:V,MATCH(A101,'Skeet Ind Class Scores'!T:T,0)),"")</f>
        <v/>
      </c>
      <c r="AO101" t="str">
        <f>IFERROR(INDEX('Skeet Team Scores'!AA:AA,MATCH(A101,'Skeet Team Scores'!AB:AB,0)),"")</f>
        <v/>
      </c>
    </row>
    <row r="102" spans="1:90" x14ac:dyDescent="0.3">
      <c r="D102" t="str">
        <f t="shared" si="7"/>
        <v xml:space="preserve"> </v>
      </c>
      <c r="J102" s="10">
        <f>IF(G102="Y",'Tournament Setup'!$C$5,0)+IF(H102="Y",'Tournament Setup'!$C$6,0)+IF(I102="Y",'Tournament Setup'!$C$7,0)</f>
        <v>0</v>
      </c>
      <c r="K102" s="1"/>
      <c r="O102" s="123" t="str">
        <f t="shared" si="8"/>
        <v/>
      </c>
      <c r="S102" s="1" t="str">
        <f>IFERROR(IF(INDEX('Shooter-Squad Assignment'!$M:$M,MATCH($A102,'Shooter-Squad Assignment'!$A:$A,0))="","",INDEX('Shooter-Squad Assignment'!$M:$M,MATCH($A102,'Shooter-Squad Assignment'!$A:$A,0))),"")</f>
        <v/>
      </c>
      <c r="T102" s="1" t="str">
        <f>IFERROR(IF(INDEX('Shooter-Squad Assignment'!$N:$N,MATCH($A102,'Shooter-Squad Assignment'!$A:$A,0))="","",S102&amp;"-"&amp;INDEX('Shooter-Squad Assignment'!$N:$N,MATCH($A102,'Shooter-Squad Assignment'!$A:$A,0))),"")</f>
        <v/>
      </c>
      <c r="U102" s="1" t="str">
        <f>IFERROR(IF(INDEX('Shooter-Squad Assignment'!$I:$I,MATCH($A102,'Shooter-Squad Assignment'!$A:$A,0))="","",IF(INDEX('Shooter-Squad Assignment'!$I:$I,MATCH($A102,'Shooter-Squad Assignment'!$A:$A,0))=1,S102&amp;"-"&amp;1,"")),"")</f>
        <v/>
      </c>
      <c r="V102" t="str">
        <f>IF(ISBLANK($S102),"",IFERROR(INDEX('Squad Listing'!$C:$C,MATCH($S102,'Squad Listing'!$A:$A,0)),""))</f>
        <v/>
      </c>
      <c r="W102" t="str">
        <f>IF(ISBLANK($S102),"",IFERROR(INDEX('Squad Listing'!$D:$D,MATCH($S102,'Squad Listing'!$A:$A,0)),""))</f>
        <v/>
      </c>
      <c r="X102" t="str">
        <f>IF(ISBLANK($S102),"",IFERROR(INDEX('Squad Listing'!$E:$E,MATCH($S102,'Squad Listing'!$A:$A,0)),""))</f>
        <v/>
      </c>
      <c r="Y102" s="123" t="str">
        <f t="shared" si="9"/>
        <v/>
      </c>
      <c r="Z102" s="278">
        <f t="shared" si="10"/>
        <v>0</v>
      </c>
      <c r="AA102" s="278">
        <f>SUMIFS('Skeet Ind Concurrent Ranking'!L:L,'Skeet Ind Concurrent Ranking'!K:K,'Tournament List'!S122)</f>
        <v>0</v>
      </c>
      <c r="AB102" s="123" t="str">
        <f t="shared" si="11"/>
        <v/>
      </c>
      <c r="AF102" t="str">
        <f t="shared" si="12"/>
        <v/>
      </c>
      <c r="AG102" s="123" t="str">
        <f t="shared" si="13"/>
        <v/>
      </c>
      <c r="AM102" t="str">
        <f>IFERROR(INDEX('Skeet Ind Concurrent Scores'!Z:Z,MATCH(A102,'Skeet Ind Concurrent Scores'!X:X,0)),"")</f>
        <v/>
      </c>
      <c r="AN102" t="str">
        <f>IFERROR(INDEX('Skeet Ind Class Scores'!V:V,MATCH(A102,'Skeet Ind Class Scores'!T:T,0)),"")</f>
        <v/>
      </c>
      <c r="AO102" t="str">
        <f>IFERROR(INDEX('Skeet Team Scores'!AA:AA,MATCH(A102,'Skeet Team Scores'!AB:AB,0)),"")</f>
        <v/>
      </c>
    </row>
    <row r="103" spans="1:90" x14ac:dyDescent="0.3">
      <c r="A103" s="33" t="s">
        <v>263</v>
      </c>
      <c r="B103" s="33" t="s">
        <v>263</v>
      </c>
      <c r="C103" s="33" t="s">
        <v>263</v>
      </c>
      <c r="D103" s="33" t="s">
        <v>263</v>
      </c>
      <c r="E103" s="33" t="s">
        <v>263</v>
      </c>
      <c r="F103" s="33" t="s">
        <v>263</v>
      </c>
      <c r="G103" s="33" t="s">
        <v>263</v>
      </c>
      <c r="H103" s="33" t="s">
        <v>263</v>
      </c>
      <c r="I103" s="33" t="s">
        <v>263</v>
      </c>
      <c r="J103" s="33" t="s">
        <v>263</v>
      </c>
      <c r="K103" s="33" t="s">
        <v>263</v>
      </c>
      <c r="L103" s="33" t="s">
        <v>263</v>
      </c>
      <c r="M103" s="33" t="s">
        <v>263</v>
      </c>
      <c r="N103" s="33" t="s">
        <v>263</v>
      </c>
      <c r="O103" s="33" t="s">
        <v>263</v>
      </c>
      <c r="P103" s="33" t="s">
        <v>263</v>
      </c>
      <c r="Q103" s="33" t="s">
        <v>263</v>
      </c>
      <c r="R103" s="33" t="s">
        <v>263</v>
      </c>
      <c r="S103" s="33" t="s">
        <v>263</v>
      </c>
      <c r="T103" s="33" t="s">
        <v>263</v>
      </c>
      <c r="U103" s="33" t="s">
        <v>263</v>
      </c>
      <c r="V103" s="33" t="s">
        <v>263</v>
      </c>
      <c r="W103" s="33" t="s">
        <v>263</v>
      </c>
      <c r="X103" s="33" t="s">
        <v>263</v>
      </c>
      <c r="Y103" s="33" t="s">
        <v>263</v>
      </c>
      <c r="Z103" s="33" t="s">
        <v>263</v>
      </c>
      <c r="AA103" s="33" t="s">
        <v>263</v>
      </c>
      <c r="AB103" s="33" t="s">
        <v>263</v>
      </c>
      <c r="AC103" s="33" t="s">
        <v>263</v>
      </c>
      <c r="AD103" s="33" t="s">
        <v>263</v>
      </c>
      <c r="AE103" s="33" t="s">
        <v>263</v>
      </c>
      <c r="AF103" s="33" t="s">
        <v>263</v>
      </c>
      <c r="AG103" s="33" t="s">
        <v>263</v>
      </c>
      <c r="AH103" s="33" t="s">
        <v>263</v>
      </c>
      <c r="AI103" s="33" t="s">
        <v>263</v>
      </c>
      <c r="AJ103" s="33" t="s">
        <v>263</v>
      </c>
      <c r="AK103" s="33" t="s">
        <v>263</v>
      </c>
      <c r="AL103" s="33" t="s">
        <v>263</v>
      </c>
      <c r="AM103" s="33" t="s">
        <v>263</v>
      </c>
      <c r="AN103" s="33" t="s">
        <v>263</v>
      </c>
      <c r="AO103" s="33" t="s">
        <v>263</v>
      </c>
      <c r="AP103" s="33" t="s">
        <v>263</v>
      </c>
      <c r="AQ103" s="33" t="s">
        <v>263</v>
      </c>
      <c r="AR103" s="33" t="s">
        <v>263</v>
      </c>
      <c r="AS103" s="33" t="s">
        <v>263</v>
      </c>
      <c r="AT103" s="33" t="s">
        <v>263</v>
      </c>
      <c r="AU103" s="33" t="s">
        <v>263</v>
      </c>
      <c r="AV103" s="33" t="s">
        <v>263</v>
      </c>
      <c r="AW103" s="33" t="s">
        <v>263</v>
      </c>
      <c r="AX103" s="33" t="s">
        <v>263</v>
      </c>
      <c r="AY103" s="33" t="s">
        <v>263</v>
      </c>
      <c r="AZ103" s="33" t="s">
        <v>263</v>
      </c>
      <c r="BA103" s="33" t="s">
        <v>263</v>
      </c>
      <c r="BB103" s="33" t="s">
        <v>263</v>
      </c>
      <c r="BC103" s="33" t="s">
        <v>263</v>
      </c>
      <c r="BD103" s="33" t="s">
        <v>263</v>
      </c>
      <c r="BE103" s="33" t="s">
        <v>263</v>
      </c>
      <c r="BF103" s="33" t="s">
        <v>263</v>
      </c>
      <c r="BG103" s="33" t="s">
        <v>263</v>
      </c>
      <c r="BH103" s="33" t="s">
        <v>263</v>
      </c>
      <c r="BI103" s="33" t="s">
        <v>263</v>
      </c>
      <c r="BJ103" s="33" t="s">
        <v>263</v>
      </c>
      <c r="BK103" s="33" t="s">
        <v>263</v>
      </c>
      <c r="BL103" s="33" t="s">
        <v>263</v>
      </c>
      <c r="BM103" s="33" t="s">
        <v>263</v>
      </c>
      <c r="BN103" s="33" t="s">
        <v>263</v>
      </c>
      <c r="BO103" s="33" t="s">
        <v>263</v>
      </c>
      <c r="BP103" s="33" t="s">
        <v>263</v>
      </c>
      <c r="BQ103" s="33" t="s">
        <v>263</v>
      </c>
      <c r="BR103" s="33" t="s">
        <v>263</v>
      </c>
      <c r="BS103" s="33" t="s">
        <v>263</v>
      </c>
      <c r="BT103" s="33" t="s">
        <v>263</v>
      </c>
      <c r="BU103" s="33" t="s">
        <v>263</v>
      </c>
      <c r="BV103" s="33" t="s">
        <v>263</v>
      </c>
      <c r="BW103" s="33" t="s">
        <v>263</v>
      </c>
      <c r="BX103" s="33" t="s">
        <v>263</v>
      </c>
      <c r="BY103" s="33" t="s">
        <v>263</v>
      </c>
      <c r="BZ103" s="33" t="s">
        <v>263</v>
      </c>
      <c r="CA103" s="33" t="s">
        <v>263</v>
      </c>
      <c r="CB103" s="33" t="s">
        <v>263</v>
      </c>
      <c r="CC103" s="33" t="s">
        <v>263</v>
      </c>
      <c r="CD103" s="33" t="s">
        <v>263</v>
      </c>
      <c r="CE103" s="33" t="s">
        <v>263</v>
      </c>
      <c r="CF103" s="33" t="s">
        <v>263</v>
      </c>
      <c r="CG103" s="33" t="s">
        <v>263</v>
      </c>
      <c r="CH103" s="33" t="s">
        <v>263</v>
      </c>
      <c r="CI103" s="33" t="s">
        <v>263</v>
      </c>
      <c r="CJ103" s="33" t="s">
        <v>263</v>
      </c>
      <c r="CK103" s="33" t="s">
        <v>263</v>
      </c>
      <c r="CL103" s="33" t="s">
        <v>263</v>
      </c>
    </row>
    <row r="104" spans="1:90" x14ac:dyDescent="0.3">
      <c r="J104" s="10"/>
      <c r="K104" s="1"/>
    </row>
    <row r="105" spans="1:90" x14ac:dyDescent="0.3">
      <c r="J105" s="10"/>
      <c r="K105" s="1"/>
    </row>
    <row r="106" spans="1:90" x14ac:dyDescent="0.3">
      <c r="J106" s="10"/>
      <c r="K106" s="1"/>
    </row>
    <row r="107" spans="1:90" x14ac:dyDescent="0.3">
      <c r="J107" s="10"/>
      <c r="K107" s="1"/>
    </row>
    <row r="108" spans="1:90" x14ac:dyDescent="0.3">
      <c r="J108" s="10"/>
      <c r="K108" s="1"/>
    </row>
    <row r="109" spans="1:90" x14ac:dyDescent="0.3">
      <c r="J109" s="10"/>
      <c r="K109" s="1"/>
    </row>
    <row r="110" spans="1:90" x14ac:dyDescent="0.3">
      <c r="J110" s="10"/>
      <c r="K110" s="1"/>
    </row>
    <row r="111" spans="1:90" x14ac:dyDescent="0.3">
      <c r="J111" s="10"/>
      <c r="K111" s="1"/>
    </row>
    <row r="112" spans="1:90" x14ac:dyDescent="0.3">
      <c r="J112" s="10"/>
      <c r="K112" s="1"/>
    </row>
    <row r="113" spans="10:11" x14ac:dyDescent="0.3">
      <c r="J113" s="10"/>
      <c r="K113" s="1"/>
    </row>
    <row r="114" spans="10:11" x14ac:dyDescent="0.3">
      <c r="J114" s="10"/>
      <c r="K114" s="1"/>
    </row>
    <row r="115" spans="10:11" x14ac:dyDescent="0.3">
      <c r="J115" s="10"/>
      <c r="K115" s="1"/>
    </row>
    <row r="116" spans="10:11" x14ac:dyDescent="0.3">
      <c r="J116" s="10"/>
      <c r="K116" s="1"/>
    </row>
    <row r="117" spans="10:11" x14ac:dyDescent="0.3">
      <c r="J117" s="10"/>
      <c r="K117" s="1"/>
    </row>
    <row r="118" spans="10:11" x14ac:dyDescent="0.3">
      <c r="J118" s="10"/>
      <c r="K118" s="1"/>
    </row>
    <row r="119" spans="10:11" x14ac:dyDescent="0.3">
      <c r="J119" s="10"/>
      <c r="K119" s="1"/>
    </row>
    <row r="120" spans="10:11" x14ac:dyDescent="0.3">
      <c r="J120" s="10"/>
      <c r="K120" s="1"/>
    </row>
    <row r="121" spans="10:11" x14ac:dyDescent="0.3">
      <c r="J121" s="10"/>
      <c r="K121" s="1"/>
    </row>
    <row r="122" spans="10:11" x14ac:dyDescent="0.3">
      <c r="J122" s="10"/>
      <c r="K122" s="1"/>
    </row>
    <row r="123" spans="10:11" x14ac:dyDescent="0.3">
      <c r="J123" s="10"/>
      <c r="K123" s="1"/>
    </row>
    <row r="124" spans="10:11" x14ac:dyDescent="0.3">
      <c r="J124" s="10"/>
      <c r="K124" s="1"/>
    </row>
    <row r="125" spans="10:11" x14ac:dyDescent="0.3">
      <c r="J125" s="10"/>
      <c r="K125" s="1"/>
    </row>
    <row r="126" spans="10:11" x14ac:dyDescent="0.3">
      <c r="J126" s="10"/>
      <c r="K126" s="1"/>
    </row>
    <row r="127" spans="10:11" x14ac:dyDescent="0.3">
      <c r="J127" s="10"/>
      <c r="K127" s="1"/>
    </row>
    <row r="128" spans="10:11" x14ac:dyDescent="0.3">
      <c r="J128" s="10"/>
      <c r="K128" s="1"/>
    </row>
    <row r="129" spans="10:11" x14ac:dyDescent="0.3">
      <c r="J129" s="10"/>
      <c r="K129" s="1"/>
    </row>
    <row r="130" spans="10:11" x14ac:dyDescent="0.3">
      <c r="J130" s="10"/>
      <c r="K130" s="1"/>
    </row>
    <row r="131" spans="10:11" x14ac:dyDescent="0.3">
      <c r="J131" s="10"/>
      <c r="K131" s="1"/>
    </row>
    <row r="132" spans="10:11" x14ac:dyDescent="0.3">
      <c r="J132" s="10"/>
      <c r="K132" s="1"/>
    </row>
    <row r="133" spans="10:11" x14ac:dyDescent="0.3">
      <c r="J133" s="10"/>
      <c r="K133" s="1"/>
    </row>
    <row r="134" spans="10:11" x14ac:dyDescent="0.3">
      <c r="J134" s="10"/>
      <c r="K134" s="1"/>
    </row>
    <row r="135" spans="10:11" x14ac:dyDescent="0.3">
      <c r="J135" s="10"/>
      <c r="K135" s="1"/>
    </row>
    <row r="136" spans="10:11" x14ac:dyDescent="0.3">
      <c r="J136" s="10"/>
      <c r="K136" s="1"/>
    </row>
    <row r="137" spans="10:11" x14ac:dyDescent="0.3">
      <c r="J137" s="10"/>
      <c r="K137" s="1"/>
    </row>
    <row r="138" spans="10:11" x14ac:dyDescent="0.3">
      <c r="J138" s="10"/>
      <c r="K138" s="1"/>
    </row>
    <row r="139" spans="10:11" x14ac:dyDescent="0.3">
      <c r="J139" s="10"/>
      <c r="K139" s="1"/>
    </row>
    <row r="140" spans="10:11" x14ac:dyDescent="0.3">
      <c r="J140" s="10"/>
      <c r="K140" s="1"/>
    </row>
    <row r="141" spans="10:11" x14ac:dyDescent="0.3">
      <c r="J141" s="10"/>
      <c r="K141" s="1"/>
    </row>
    <row r="142" spans="10:11" x14ac:dyDescent="0.3">
      <c r="J142" s="10"/>
      <c r="K142" s="1"/>
    </row>
    <row r="143" spans="10:11" x14ac:dyDescent="0.3">
      <c r="J143" s="10"/>
      <c r="K143" s="1"/>
    </row>
    <row r="144" spans="10:11" x14ac:dyDescent="0.3">
      <c r="J144" s="10"/>
      <c r="K144" s="1"/>
    </row>
    <row r="145" spans="10:11" x14ac:dyDescent="0.3">
      <c r="J145" s="10"/>
      <c r="K145" s="1"/>
    </row>
    <row r="146" spans="10:11" x14ac:dyDescent="0.3">
      <c r="J146" s="10"/>
      <c r="K146" s="1"/>
    </row>
    <row r="147" spans="10:11" x14ac:dyDescent="0.3">
      <c r="J147" s="10"/>
      <c r="K147" s="1"/>
    </row>
    <row r="148" spans="10:11" x14ac:dyDescent="0.3">
      <c r="J148" s="10"/>
      <c r="K148" s="1"/>
    </row>
    <row r="149" spans="10:11" x14ac:dyDescent="0.3">
      <c r="J149" s="10"/>
      <c r="K149" s="1"/>
    </row>
    <row r="150" spans="10:11" x14ac:dyDescent="0.3">
      <c r="J150" s="10"/>
      <c r="K150" s="1"/>
    </row>
    <row r="151" spans="10:11" x14ac:dyDescent="0.3">
      <c r="J151" s="10"/>
      <c r="K151" s="1"/>
    </row>
    <row r="152" spans="10:11" x14ac:dyDescent="0.3">
      <c r="J152" s="10"/>
      <c r="K152" s="1"/>
    </row>
    <row r="153" spans="10:11" x14ac:dyDescent="0.3">
      <c r="J153" s="10"/>
      <c r="K153" s="1"/>
    </row>
    <row r="154" spans="10:11" x14ac:dyDescent="0.3">
      <c r="J154" s="10"/>
      <c r="K154" s="1"/>
    </row>
    <row r="155" spans="10:11" x14ac:dyDescent="0.3">
      <c r="J155" s="10"/>
      <c r="K155" s="1"/>
    </row>
    <row r="156" spans="10:11" x14ac:dyDescent="0.3">
      <c r="J156" s="10"/>
      <c r="K156" s="1"/>
    </row>
    <row r="157" spans="10:11" x14ac:dyDescent="0.3">
      <c r="J157" s="10"/>
      <c r="K157" s="1"/>
    </row>
    <row r="158" spans="10:11" x14ac:dyDescent="0.3">
      <c r="J158" s="10"/>
      <c r="K158" s="1"/>
    </row>
    <row r="159" spans="10:11" x14ac:dyDescent="0.3">
      <c r="J159" s="10"/>
      <c r="K159" s="1"/>
    </row>
    <row r="160" spans="10:11" x14ac:dyDescent="0.3">
      <c r="J160" s="10"/>
      <c r="K160" s="1"/>
    </row>
    <row r="161" spans="10:11" x14ac:dyDescent="0.3">
      <c r="J161" s="10"/>
      <c r="K161" s="1"/>
    </row>
    <row r="162" spans="10:11" x14ac:dyDescent="0.3">
      <c r="J162" s="10"/>
      <c r="K162" s="1"/>
    </row>
    <row r="163" spans="10:11" x14ac:dyDescent="0.3">
      <c r="J163" s="10"/>
      <c r="K163" s="1"/>
    </row>
    <row r="164" spans="10:11" x14ac:dyDescent="0.3">
      <c r="J164" s="10"/>
      <c r="K164" s="1"/>
    </row>
    <row r="165" spans="10:11" x14ac:dyDescent="0.3">
      <c r="J165" s="10"/>
      <c r="K165" s="1"/>
    </row>
    <row r="166" spans="10:11" x14ac:dyDescent="0.3">
      <c r="J166" s="10"/>
      <c r="K166" s="1"/>
    </row>
    <row r="167" spans="10:11" x14ac:dyDescent="0.3">
      <c r="J167" s="10"/>
      <c r="K167" s="1"/>
    </row>
    <row r="168" spans="10:11" x14ac:dyDescent="0.3">
      <c r="J168" s="10"/>
      <c r="K168" s="1"/>
    </row>
    <row r="169" spans="10:11" x14ac:dyDescent="0.3">
      <c r="J169" s="10"/>
      <c r="K169" s="1"/>
    </row>
    <row r="170" spans="10:11" x14ac:dyDescent="0.3">
      <c r="J170" s="10"/>
      <c r="K170" s="1"/>
    </row>
    <row r="171" spans="10:11" x14ac:dyDescent="0.3">
      <c r="J171" s="10"/>
      <c r="K171" s="1"/>
    </row>
    <row r="172" spans="10:11" x14ac:dyDescent="0.3">
      <c r="J172" s="10"/>
      <c r="K172" s="1"/>
    </row>
    <row r="173" spans="10:11" x14ac:dyDescent="0.3">
      <c r="J173" s="10"/>
      <c r="K173" s="1"/>
    </row>
    <row r="174" spans="10:11" x14ac:dyDescent="0.3">
      <c r="J174" s="10"/>
      <c r="K174" s="1"/>
    </row>
    <row r="175" spans="10:11" x14ac:dyDescent="0.3">
      <c r="J175" s="10"/>
      <c r="K175" s="1"/>
    </row>
    <row r="176" spans="10:11" x14ac:dyDescent="0.3">
      <c r="J176" s="10"/>
      <c r="K176" s="1"/>
    </row>
    <row r="177" spans="10:11" x14ac:dyDescent="0.3">
      <c r="J177" s="10"/>
      <c r="K177" s="1"/>
    </row>
    <row r="178" spans="10:11" x14ac:dyDescent="0.3">
      <c r="J178" s="10"/>
      <c r="K178" s="1"/>
    </row>
    <row r="179" spans="10:11" x14ac:dyDescent="0.3">
      <c r="J179" s="10"/>
      <c r="K179" s="1"/>
    </row>
    <row r="180" spans="10:11" x14ac:dyDescent="0.3">
      <c r="J180" s="10"/>
      <c r="K180" s="1"/>
    </row>
    <row r="181" spans="10:11" x14ac:dyDescent="0.3">
      <c r="J181" s="10"/>
      <c r="K181" s="1"/>
    </row>
    <row r="182" spans="10:11" x14ac:dyDescent="0.3">
      <c r="J182" s="10"/>
      <c r="K182" s="1"/>
    </row>
    <row r="183" spans="10:11" x14ac:dyDescent="0.3">
      <c r="J183" s="10"/>
      <c r="K183" s="1"/>
    </row>
    <row r="184" spans="10:11" x14ac:dyDescent="0.3">
      <c r="J184" s="10"/>
      <c r="K184" s="1"/>
    </row>
    <row r="185" spans="10:11" x14ac:dyDescent="0.3">
      <c r="J185" s="10"/>
      <c r="K185" s="1"/>
    </row>
    <row r="186" spans="10:11" x14ac:dyDescent="0.3">
      <c r="J186" s="10"/>
      <c r="K186" s="1"/>
    </row>
    <row r="187" spans="10:11" x14ac:dyDescent="0.3">
      <c r="J187" s="10"/>
      <c r="K187" s="1"/>
    </row>
    <row r="188" spans="10:11" x14ac:dyDescent="0.3">
      <c r="J188" s="10"/>
      <c r="K188" s="1"/>
    </row>
    <row r="189" spans="10:11" x14ac:dyDescent="0.3">
      <c r="J189" s="10"/>
      <c r="K189" s="1"/>
    </row>
    <row r="190" spans="10:11" x14ac:dyDescent="0.3">
      <c r="J190" s="10"/>
      <c r="K190" s="1"/>
    </row>
    <row r="191" spans="10:11" x14ac:dyDescent="0.3">
      <c r="J191" s="10"/>
      <c r="K191" s="1"/>
    </row>
    <row r="192" spans="10:11" x14ac:dyDescent="0.3">
      <c r="J192" s="10"/>
      <c r="K192" s="1"/>
    </row>
    <row r="193" spans="1:89" x14ac:dyDescent="0.3">
      <c r="J193" s="10"/>
      <c r="K193" s="1"/>
    </row>
    <row r="194" spans="1:89" x14ac:dyDescent="0.3">
      <c r="J194" s="10"/>
      <c r="K194" s="1"/>
    </row>
    <row r="195" spans="1:89" x14ac:dyDescent="0.3">
      <c r="J195" s="10"/>
      <c r="K195" s="1"/>
    </row>
    <row r="196" spans="1:89" x14ac:dyDescent="0.3">
      <c r="J196" s="10"/>
      <c r="K196" s="1"/>
    </row>
    <row r="197" spans="1:89" x14ac:dyDescent="0.3">
      <c r="J197" s="10"/>
      <c r="K197" s="1"/>
    </row>
    <row r="198" spans="1:89" x14ac:dyDescent="0.3">
      <c r="J198" s="10"/>
      <c r="K198" s="1"/>
    </row>
    <row r="199" spans="1:89" x14ac:dyDescent="0.3">
      <c r="J199" s="10"/>
      <c r="K199" s="1"/>
    </row>
    <row r="200" spans="1:89" x14ac:dyDescent="0.3">
      <c r="J200" s="10"/>
      <c r="K200" s="1"/>
    </row>
    <row r="201" spans="1:89" x14ac:dyDescent="0.3">
      <c r="J201" s="10"/>
      <c r="K201" s="1"/>
    </row>
    <row r="202" spans="1:89" x14ac:dyDescent="0.3">
      <c r="J202" s="10"/>
      <c r="K202" s="1"/>
    </row>
    <row r="203" spans="1:89" x14ac:dyDescent="0.3">
      <c r="J203" s="10"/>
      <c r="K203" s="1"/>
    </row>
    <row r="204" spans="1:89" s="33" customFormat="1" x14ac:dyDescent="0.3">
      <c r="A204"/>
      <c r="B204"/>
      <c r="C204"/>
      <c r="D204"/>
      <c r="E204"/>
      <c r="F204" s="1"/>
      <c r="G204" s="1"/>
      <c r="H204" s="1"/>
      <c r="I204" s="1"/>
      <c r="J204" s="10"/>
      <c r="K204" s="1"/>
      <c r="L204"/>
      <c r="M204"/>
      <c r="O204" s="123"/>
      <c r="P204" s="123"/>
      <c r="Q204"/>
      <c r="S204" s="1"/>
      <c r="T204" s="1"/>
      <c r="U204" s="1"/>
      <c r="V204"/>
      <c r="W204"/>
      <c r="X204"/>
      <c r="Y204" s="123"/>
      <c r="Z204" s="123"/>
      <c r="AA204" s="123"/>
      <c r="AB204" s="123"/>
      <c r="AC204" s="10"/>
      <c r="AD204" s="1"/>
      <c r="AE204" s="1"/>
      <c r="AF204"/>
      <c r="AG204" s="123"/>
      <c r="AH204" s="123"/>
      <c r="AI204"/>
      <c r="AJ204"/>
      <c r="AK204"/>
      <c r="AL204"/>
      <c r="AM204"/>
      <c r="AN204"/>
      <c r="AO204"/>
      <c r="AQ204"/>
      <c r="AR204"/>
      <c r="AS204"/>
      <c r="AT204" s="1"/>
      <c r="AU204" s="1"/>
      <c r="AV204"/>
      <c r="AW204"/>
      <c r="AX204"/>
      <c r="AY204"/>
      <c r="AZ204"/>
      <c r="BA204"/>
      <c r="BB204"/>
      <c r="BD204"/>
      <c r="BE204"/>
      <c r="BF204"/>
      <c r="BG204"/>
      <c r="BH204"/>
      <c r="BI204"/>
      <c r="BJ204"/>
      <c r="BK204"/>
      <c r="BL204"/>
      <c r="BM204" s="1"/>
      <c r="BN204" s="1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</row>
  </sheetData>
  <autoFilter ref="A2:CK203" xr:uid="{A096F37B-1CB4-40AE-8D78-DB308C27B263}"/>
  <sortState xmlns:xlrd2="http://schemas.microsoft.com/office/spreadsheetml/2017/richdata2" ref="A3:CK102">
    <sortCondition ref="A3:A102"/>
  </sortState>
  <phoneticPr fontId="1" type="noConversion"/>
  <dataValidations count="4">
    <dataValidation type="list" allowBlank="1" showInputMessage="1" showErrorMessage="1" sqref="AQ104:AQ203 AQ3:AQ102 BD3:BD102 BD104:BD203" xr:uid="{3C2714D1-FB71-4D2E-9C1C-F77BFBE087AB}">
      <formula1>TeamNo</formula1>
    </dataValidation>
    <dataValidation type="list" allowBlank="1" showInputMessage="1" showErrorMessage="1" sqref="G104:I203 K3:K102 G3:I102 K104:M203" xr:uid="{75676019-8CD4-4F00-A6CA-E890FAC555FF}">
      <formula1>"Y,N"</formula1>
    </dataValidation>
    <dataValidation type="list" allowBlank="1" showInputMessage="1" showErrorMessage="1" sqref="L3:L102" xr:uid="{9946B6B4-3E39-4CEA-8919-511ADD00A2CB}">
      <formula1>Teams</formula1>
    </dataValidation>
    <dataValidation type="list" allowBlank="1" showInputMessage="1" showErrorMessage="1" sqref="M3:M102" xr:uid="{46734522-4891-42CC-94B5-4D4CC15554DC}">
      <formula1>AgeConcurrents</formula1>
    </dataValidation>
  </dataValidation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969C-3E3D-429E-93AD-3C095843A297}">
  <sheetPr>
    <tabColor theme="9" tint="-0.249977111117893"/>
  </sheetPr>
  <dimension ref="A1:M51"/>
  <sheetViews>
    <sheetView workbookViewId="0">
      <selection activeCell="G8" sqref="G8"/>
    </sheetView>
  </sheetViews>
  <sheetFormatPr defaultRowHeight="14.4" x14ac:dyDescent="0.3"/>
  <cols>
    <col min="1" max="1" width="5.5546875" bestFit="1" customWidth="1"/>
    <col min="2" max="2" width="9.33203125" bestFit="1" customWidth="1"/>
    <col min="3" max="3" width="18.33203125" bestFit="1" customWidth="1"/>
    <col min="4" max="4" width="3" bestFit="1" customWidth="1"/>
    <col min="5" max="5" width="11.5546875" bestFit="1" customWidth="1"/>
    <col min="6" max="6" width="5.5546875" bestFit="1" customWidth="1"/>
    <col min="7" max="7" width="18.5546875" bestFit="1" customWidth="1"/>
    <col min="8" max="8" width="9.6640625" bestFit="1" customWidth="1"/>
    <col min="9" max="9" width="11.5546875" bestFit="1" customWidth="1"/>
    <col min="10" max="10" width="5.5546875" bestFit="1" customWidth="1"/>
    <col min="11" max="11" width="10.44140625" bestFit="1" customWidth="1"/>
    <col min="12" max="12" width="5.77734375" bestFit="1" customWidth="1"/>
    <col min="13" max="13" width="10.21875" bestFit="1" customWidth="1"/>
  </cols>
  <sheetData>
    <row r="1" spans="1:13" ht="15" thickBot="1" x14ac:dyDescent="0.35">
      <c r="A1" s="1" t="s">
        <v>144</v>
      </c>
      <c r="B1" s="57" t="s">
        <v>114</v>
      </c>
      <c r="C1" s="58"/>
      <c r="D1" s="58"/>
      <c r="E1" s="59"/>
      <c r="F1" s="1" t="s">
        <v>144</v>
      </c>
      <c r="G1" s="41" t="s">
        <v>258</v>
      </c>
      <c r="H1" s="50" t="s">
        <v>900</v>
      </c>
      <c r="I1" s="42" t="s">
        <v>305</v>
      </c>
      <c r="J1" s="1" t="s">
        <v>144</v>
      </c>
      <c r="K1" s="41" t="s">
        <v>258</v>
      </c>
      <c r="L1" s="50" t="s">
        <v>112</v>
      </c>
      <c r="M1" s="42" t="s">
        <v>305</v>
      </c>
    </row>
    <row r="2" spans="1:13" x14ac:dyDescent="0.3">
      <c r="A2">
        <f>IF('Tournament Setup'!$B$26&gt;=1,1,"")</f>
        <v>1</v>
      </c>
      <c r="B2" s="63" t="str">
        <f>IF(ISNUMBER($A2),"Champion","")</f>
        <v>Champion</v>
      </c>
      <c r="C2" s="60"/>
      <c r="D2" s="9"/>
      <c r="E2" s="8"/>
      <c r="F2" s="1">
        <v>1</v>
      </c>
      <c r="G2" s="11"/>
      <c r="H2" s="51"/>
      <c r="I2" s="40"/>
      <c r="J2" s="1">
        <v>51</v>
      </c>
      <c r="K2" s="11"/>
      <c r="L2" s="51"/>
      <c r="M2" s="40"/>
    </row>
    <row r="3" spans="1:13" x14ac:dyDescent="0.3">
      <c r="A3">
        <f>IF('Tournament Setup'!$B$26&gt;=2,2,"")</f>
        <v>2</v>
      </c>
      <c r="B3" s="61" t="str">
        <f>IF(ISNUMBER($A3),"Runner Up","")</f>
        <v>Runner Up</v>
      </c>
      <c r="C3" s="60"/>
      <c r="D3" s="9"/>
      <c r="E3" s="8"/>
      <c r="F3" s="1">
        <v>2</v>
      </c>
      <c r="G3" s="11"/>
      <c r="H3" s="51"/>
      <c r="I3" s="40"/>
      <c r="J3" s="1">
        <v>52</v>
      </c>
      <c r="K3" s="11"/>
      <c r="L3" s="51"/>
      <c r="M3" s="40"/>
    </row>
    <row r="4" spans="1:13" x14ac:dyDescent="0.3">
      <c r="A4">
        <f>IF('Tournament Setup'!$B$26&gt;=3,3,"")</f>
        <v>3</v>
      </c>
      <c r="B4" s="61" t="str">
        <f>IF(ISNUMBER($A4),"3rd","")</f>
        <v>3rd</v>
      </c>
      <c r="C4" s="60"/>
      <c r="D4" s="9"/>
      <c r="E4" s="8"/>
      <c r="F4" s="1">
        <v>3</v>
      </c>
      <c r="G4" s="11"/>
      <c r="H4" s="51"/>
      <c r="I4" s="40"/>
      <c r="J4" s="1">
        <v>53</v>
      </c>
      <c r="K4" s="11"/>
      <c r="L4" s="51"/>
      <c r="M4" s="40"/>
    </row>
    <row r="5" spans="1:13" ht="15" thickBot="1" x14ac:dyDescent="0.35">
      <c r="C5" s="1"/>
      <c r="F5" s="1">
        <v>4</v>
      </c>
      <c r="G5" s="11"/>
      <c r="H5" s="51"/>
      <c r="I5" s="40"/>
      <c r="J5" s="1">
        <v>54</v>
      </c>
      <c r="K5" s="11"/>
      <c r="L5" s="51"/>
      <c r="M5" s="40"/>
    </row>
    <row r="6" spans="1:13" ht="15" thickBot="1" x14ac:dyDescent="0.35">
      <c r="A6" s="1" t="s">
        <v>144</v>
      </c>
      <c r="B6" s="57" t="s">
        <v>141</v>
      </c>
      <c r="C6" s="58"/>
      <c r="D6" s="58"/>
      <c r="E6" s="59"/>
      <c r="F6" s="1">
        <v>5</v>
      </c>
      <c r="G6" s="11"/>
      <c r="H6" s="51"/>
      <c r="I6" s="40"/>
      <c r="J6" s="1">
        <v>55</v>
      </c>
      <c r="K6" s="11"/>
      <c r="L6" s="51"/>
      <c r="M6" s="40"/>
    </row>
    <row r="7" spans="1:13" x14ac:dyDescent="0.3">
      <c r="A7">
        <v>1</v>
      </c>
      <c r="B7" s="63" t="s">
        <v>138</v>
      </c>
      <c r="C7" s="60"/>
      <c r="D7" s="9"/>
      <c r="E7" s="8"/>
      <c r="F7" s="1">
        <v>6</v>
      </c>
      <c r="G7" s="11"/>
      <c r="H7" s="51"/>
      <c r="I7" s="40"/>
      <c r="J7" s="1">
        <v>56</v>
      </c>
      <c r="K7" s="11"/>
      <c r="L7" s="51"/>
      <c r="M7" s="40"/>
    </row>
    <row r="8" spans="1:13" x14ac:dyDescent="0.3">
      <c r="A8">
        <v>2</v>
      </c>
      <c r="B8" s="61" t="s">
        <v>139</v>
      </c>
      <c r="C8" s="60"/>
      <c r="D8" s="9"/>
      <c r="E8" s="8"/>
      <c r="F8" s="1">
        <v>7</v>
      </c>
      <c r="G8" s="11"/>
      <c r="H8" s="51"/>
      <c r="I8" s="40"/>
      <c r="J8" s="1">
        <v>57</v>
      </c>
      <c r="K8" s="11"/>
      <c r="L8" s="51"/>
      <c r="M8" s="40"/>
    </row>
    <row r="9" spans="1:13" x14ac:dyDescent="0.3">
      <c r="A9">
        <v>3</v>
      </c>
      <c r="B9" s="61" t="s">
        <v>140</v>
      </c>
      <c r="C9" s="60"/>
      <c r="D9" s="9"/>
      <c r="E9" s="8"/>
      <c r="F9" s="1">
        <v>8</v>
      </c>
      <c r="G9" s="11"/>
      <c r="H9" s="51"/>
      <c r="I9" s="40"/>
      <c r="J9" s="1">
        <v>58</v>
      </c>
      <c r="K9" s="11"/>
      <c r="L9" s="51"/>
      <c r="M9" s="40"/>
    </row>
    <row r="10" spans="1:13" ht="15" thickBot="1" x14ac:dyDescent="0.35">
      <c r="C10" s="1"/>
      <c r="F10" s="1">
        <v>9</v>
      </c>
      <c r="G10" s="11"/>
      <c r="H10" s="51"/>
      <c r="I10" s="40"/>
      <c r="J10" s="1">
        <v>59</v>
      </c>
      <c r="K10" s="11"/>
      <c r="L10" s="51"/>
      <c r="M10" s="40"/>
    </row>
    <row r="11" spans="1:13" ht="15" thickBot="1" x14ac:dyDescent="0.35">
      <c r="A11" s="1" t="s">
        <v>144</v>
      </c>
      <c r="B11" s="57" t="s">
        <v>142</v>
      </c>
      <c r="C11" s="58"/>
      <c r="D11" s="58"/>
      <c r="E11" s="59"/>
      <c r="F11" s="1">
        <v>10</v>
      </c>
      <c r="G11" s="11"/>
      <c r="H11" s="51"/>
      <c r="I11" s="40"/>
      <c r="J11" s="1">
        <v>60</v>
      </c>
      <c r="K11" s="11"/>
      <c r="L11" s="51"/>
      <c r="M11" s="40"/>
    </row>
    <row r="12" spans="1:13" x14ac:dyDescent="0.3">
      <c r="A12">
        <v>1</v>
      </c>
      <c r="B12" s="63" t="s">
        <v>138</v>
      </c>
      <c r="C12" s="60"/>
      <c r="D12" s="9"/>
      <c r="E12" s="8"/>
      <c r="F12" s="1">
        <v>11</v>
      </c>
      <c r="G12" s="11"/>
      <c r="H12" s="51"/>
      <c r="I12" s="40"/>
      <c r="J12" s="1">
        <v>61</v>
      </c>
      <c r="K12" s="11"/>
      <c r="L12" s="51"/>
      <c r="M12" s="40"/>
    </row>
    <row r="13" spans="1:13" x14ac:dyDescent="0.3">
      <c r="A13">
        <v>2</v>
      </c>
      <c r="B13" s="61" t="s">
        <v>139</v>
      </c>
      <c r="C13" s="60"/>
      <c r="D13" s="9"/>
      <c r="E13" s="8"/>
      <c r="F13" s="1">
        <v>12</v>
      </c>
      <c r="G13" s="11"/>
      <c r="H13" s="51"/>
      <c r="I13" s="40"/>
      <c r="J13" s="1">
        <v>62</v>
      </c>
      <c r="K13" s="11"/>
      <c r="L13" s="51"/>
      <c r="M13" s="40"/>
    </row>
    <row r="14" spans="1:13" x14ac:dyDescent="0.3">
      <c r="A14">
        <v>3</v>
      </c>
      <c r="B14" s="61" t="s">
        <v>140</v>
      </c>
      <c r="C14" s="60"/>
      <c r="D14" s="9"/>
      <c r="E14" s="8"/>
      <c r="F14" s="1">
        <v>13</v>
      </c>
      <c r="G14" s="11"/>
      <c r="H14" s="51"/>
      <c r="I14" s="40"/>
      <c r="J14" s="1">
        <v>63</v>
      </c>
      <c r="K14" s="11"/>
      <c r="L14" s="51"/>
      <c r="M14" s="40"/>
    </row>
    <row r="15" spans="1:13" x14ac:dyDescent="0.3">
      <c r="F15" s="1">
        <v>14</v>
      </c>
      <c r="G15" s="11"/>
      <c r="H15" s="51"/>
      <c r="I15" s="40"/>
      <c r="J15" s="1">
        <v>64</v>
      </c>
      <c r="K15" s="11"/>
      <c r="L15" s="51"/>
      <c r="M15" s="40"/>
    </row>
    <row r="16" spans="1:13" x14ac:dyDescent="0.3">
      <c r="F16" s="1">
        <v>15</v>
      </c>
      <c r="G16" s="11"/>
      <c r="H16" s="51"/>
      <c r="I16" s="40"/>
      <c r="J16" s="1">
        <v>65</v>
      </c>
      <c r="K16" s="11"/>
      <c r="L16" s="51"/>
      <c r="M16" s="40"/>
    </row>
    <row r="17" spans="6:13" x14ac:dyDescent="0.3">
      <c r="F17" s="1">
        <v>16</v>
      </c>
      <c r="G17" s="11"/>
      <c r="H17" s="51"/>
      <c r="I17" s="40"/>
      <c r="J17" s="1">
        <v>66</v>
      </c>
      <c r="K17" s="11"/>
      <c r="L17" s="51"/>
      <c r="M17" s="40"/>
    </row>
    <row r="18" spans="6:13" x14ac:dyDescent="0.3">
      <c r="F18" s="1">
        <v>17</v>
      </c>
      <c r="G18" s="11"/>
      <c r="H18" s="51"/>
      <c r="I18" s="40"/>
      <c r="J18" s="1">
        <v>67</v>
      </c>
      <c r="K18" s="11"/>
      <c r="L18" s="51"/>
      <c r="M18" s="40"/>
    </row>
    <row r="19" spans="6:13" x14ac:dyDescent="0.3">
      <c r="F19" s="1">
        <v>18</v>
      </c>
      <c r="G19" s="11"/>
      <c r="H19" s="51"/>
      <c r="I19" s="40"/>
      <c r="J19" s="1">
        <v>68</v>
      </c>
      <c r="K19" s="11"/>
      <c r="L19" s="51"/>
      <c r="M19" s="40"/>
    </row>
    <row r="20" spans="6:13" x14ac:dyDescent="0.3">
      <c r="F20" s="1">
        <v>19</v>
      </c>
      <c r="G20" s="11"/>
      <c r="H20" s="51"/>
      <c r="I20" s="40"/>
      <c r="J20" s="1">
        <v>69</v>
      </c>
      <c r="K20" s="11"/>
      <c r="L20" s="51"/>
      <c r="M20" s="40"/>
    </row>
    <row r="21" spans="6:13" x14ac:dyDescent="0.3">
      <c r="F21" s="1">
        <v>20</v>
      </c>
      <c r="G21" s="11"/>
      <c r="H21" s="51"/>
      <c r="I21" s="40"/>
      <c r="J21" s="1">
        <v>70</v>
      </c>
      <c r="K21" s="11"/>
      <c r="L21" s="51"/>
      <c r="M21" s="40"/>
    </row>
    <row r="22" spans="6:13" x14ac:dyDescent="0.3">
      <c r="F22" s="1">
        <v>21</v>
      </c>
      <c r="G22" s="11"/>
      <c r="H22" s="51"/>
      <c r="I22" s="40"/>
      <c r="J22" s="1">
        <v>71</v>
      </c>
      <c r="K22" s="11"/>
      <c r="L22" s="51"/>
      <c r="M22" s="40"/>
    </row>
    <row r="23" spans="6:13" x14ac:dyDescent="0.3">
      <c r="F23" s="1">
        <v>22</v>
      </c>
      <c r="G23" s="11"/>
      <c r="H23" s="51"/>
      <c r="I23" s="40"/>
      <c r="J23" s="1">
        <v>72</v>
      </c>
      <c r="K23" s="11"/>
      <c r="L23" s="51"/>
      <c r="M23" s="40"/>
    </row>
    <row r="24" spans="6:13" x14ac:dyDescent="0.3">
      <c r="F24" s="1">
        <v>23</v>
      </c>
      <c r="G24" s="11"/>
      <c r="H24" s="51"/>
      <c r="I24" s="40"/>
      <c r="J24" s="1">
        <v>73</v>
      </c>
      <c r="K24" s="11"/>
      <c r="L24" s="51"/>
      <c r="M24" s="40"/>
    </row>
    <row r="25" spans="6:13" x14ac:dyDescent="0.3">
      <c r="F25" s="1">
        <v>24</v>
      </c>
      <c r="G25" s="11"/>
      <c r="H25" s="51"/>
      <c r="I25" s="40"/>
      <c r="J25" s="1">
        <v>74</v>
      </c>
      <c r="K25" s="11"/>
      <c r="L25" s="51"/>
      <c r="M25" s="40"/>
    </row>
    <row r="26" spans="6:13" x14ac:dyDescent="0.3">
      <c r="F26" s="1">
        <v>25</v>
      </c>
      <c r="G26" s="11"/>
      <c r="H26" s="51"/>
      <c r="I26" s="40"/>
      <c r="J26" s="1">
        <v>75</v>
      </c>
      <c r="K26" s="11"/>
      <c r="L26" s="51"/>
      <c r="M26" s="40"/>
    </row>
    <row r="27" spans="6:13" x14ac:dyDescent="0.3">
      <c r="F27" s="1">
        <v>26</v>
      </c>
      <c r="G27" s="11"/>
      <c r="H27" s="51"/>
      <c r="I27" s="40"/>
      <c r="J27" s="1">
        <v>76</v>
      </c>
      <c r="K27" s="11"/>
      <c r="L27" s="51"/>
      <c r="M27" s="40"/>
    </row>
    <row r="28" spans="6:13" x14ac:dyDescent="0.3">
      <c r="F28" s="1">
        <v>27</v>
      </c>
      <c r="G28" s="11"/>
      <c r="H28" s="51"/>
      <c r="I28" s="40"/>
      <c r="J28" s="1">
        <v>77</v>
      </c>
      <c r="K28" s="11"/>
      <c r="L28" s="51"/>
      <c r="M28" s="40"/>
    </row>
    <row r="29" spans="6:13" x14ac:dyDescent="0.3">
      <c r="F29" s="1">
        <v>28</v>
      </c>
      <c r="G29" s="11"/>
      <c r="H29" s="51"/>
      <c r="I29" s="40"/>
      <c r="J29" s="1">
        <v>78</v>
      </c>
      <c r="K29" s="11"/>
      <c r="L29" s="51"/>
      <c r="M29" s="40"/>
    </row>
    <row r="30" spans="6:13" x14ac:dyDescent="0.3">
      <c r="F30" s="1">
        <v>29</v>
      </c>
      <c r="G30" s="11"/>
      <c r="H30" s="51"/>
      <c r="I30" s="40"/>
      <c r="J30" s="1">
        <v>79</v>
      </c>
      <c r="K30" s="11"/>
      <c r="L30" s="51"/>
      <c r="M30" s="40"/>
    </row>
    <row r="31" spans="6:13" x14ac:dyDescent="0.3">
      <c r="F31" s="1">
        <v>30</v>
      </c>
      <c r="G31" s="11"/>
      <c r="H31" s="51"/>
      <c r="I31" s="40"/>
      <c r="J31" s="1">
        <v>80</v>
      </c>
      <c r="K31" s="11"/>
      <c r="L31" s="51"/>
      <c r="M31" s="40"/>
    </row>
    <row r="32" spans="6:13" x14ac:dyDescent="0.3">
      <c r="F32" s="1">
        <v>31</v>
      </c>
      <c r="G32" s="11"/>
      <c r="H32" s="51"/>
      <c r="I32" s="40"/>
      <c r="J32" s="1">
        <v>81</v>
      </c>
      <c r="K32" s="11"/>
      <c r="L32" s="51"/>
      <c r="M32" s="40"/>
    </row>
    <row r="33" spans="6:13" x14ac:dyDescent="0.3">
      <c r="F33" s="1">
        <v>32</v>
      </c>
      <c r="G33" s="11"/>
      <c r="H33" s="51"/>
      <c r="I33" s="40"/>
      <c r="J33" s="1">
        <v>82</v>
      </c>
      <c r="K33" s="11"/>
      <c r="L33" s="51"/>
      <c r="M33" s="40"/>
    </row>
    <row r="34" spans="6:13" x14ac:dyDescent="0.3">
      <c r="F34" s="1">
        <v>33</v>
      </c>
      <c r="G34" s="11"/>
      <c r="H34" s="51"/>
      <c r="I34" s="40"/>
      <c r="J34" s="1">
        <v>83</v>
      </c>
      <c r="K34" s="11"/>
      <c r="L34" s="51"/>
      <c r="M34" s="40"/>
    </row>
    <row r="35" spans="6:13" x14ac:dyDescent="0.3">
      <c r="F35" s="1">
        <v>34</v>
      </c>
      <c r="G35" s="11"/>
      <c r="H35" s="51"/>
      <c r="I35" s="40"/>
      <c r="J35" s="1">
        <v>84</v>
      </c>
      <c r="K35" s="11"/>
      <c r="L35" s="51"/>
      <c r="M35" s="40"/>
    </row>
    <row r="36" spans="6:13" x14ac:dyDescent="0.3">
      <c r="F36" s="1">
        <v>35</v>
      </c>
      <c r="G36" s="11"/>
      <c r="H36" s="51"/>
      <c r="I36" s="40"/>
      <c r="J36" s="1">
        <v>85</v>
      </c>
      <c r="K36" s="11"/>
      <c r="L36" s="51"/>
      <c r="M36" s="40"/>
    </row>
    <row r="37" spans="6:13" x14ac:dyDescent="0.3">
      <c r="F37" s="1">
        <v>36</v>
      </c>
      <c r="G37" s="11"/>
      <c r="H37" s="51"/>
      <c r="I37" s="40"/>
      <c r="J37" s="1">
        <v>86</v>
      </c>
      <c r="K37" s="11"/>
      <c r="L37" s="51"/>
      <c r="M37" s="40"/>
    </row>
    <row r="38" spans="6:13" x14ac:dyDescent="0.3">
      <c r="F38" s="1">
        <v>37</v>
      </c>
      <c r="G38" s="11"/>
      <c r="H38" s="51"/>
      <c r="I38" s="40"/>
      <c r="J38" s="1">
        <v>87</v>
      </c>
      <c r="K38" s="11"/>
      <c r="L38" s="51"/>
      <c r="M38" s="40"/>
    </row>
    <row r="39" spans="6:13" x14ac:dyDescent="0.3">
      <c r="F39" s="1">
        <v>38</v>
      </c>
      <c r="G39" s="11"/>
      <c r="H39" s="51"/>
      <c r="I39" s="40"/>
      <c r="J39" s="1">
        <v>88</v>
      </c>
      <c r="K39" s="11"/>
      <c r="L39" s="51"/>
      <c r="M39" s="40"/>
    </row>
    <row r="40" spans="6:13" x14ac:dyDescent="0.3">
      <c r="F40" s="1">
        <v>39</v>
      </c>
      <c r="G40" s="11"/>
      <c r="H40" s="51"/>
      <c r="I40" s="40"/>
      <c r="J40" s="1">
        <v>89</v>
      </c>
      <c r="K40" s="11"/>
      <c r="L40" s="51"/>
      <c r="M40" s="40"/>
    </row>
    <row r="41" spans="6:13" x14ac:dyDescent="0.3">
      <c r="F41" s="1">
        <v>40</v>
      </c>
      <c r="G41" s="11"/>
      <c r="H41" s="51"/>
      <c r="I41" s="40"/>
      <c r="J41" s="1">
        <v>90</v>
      </c>
      <c r="K41" s="11"/>
      <c r="L41" s="51"/>
      <c r="M41" s="40"/>
    </row>
    <row r="42" spans="6:13" x14ac:dyDescent="0.3">
      <c r="F42" s="1">
        <v>41</v>
      </c>
      <c r="G42" s="11"/>
      <c r="H42" s="51"/>
      <c r="I42" s="40"/>
      <c r="J42" s="1">
        <v>91</v>
      </c>
      <c r="K42" s="11"/>
      <c r="L42" s="51"/>
      <c r="M42" s="40"/>
    </row>
    <row r="43" spans="6:13" x14ac:dyDescent="0.3">
      <c r="F43" s="1">
        <v>42</v>
      </c>
      <c r="G43" s="11"/>
      <c r="H43" s="51"/>
      <c r="I43" s="40"/>
      <c r="J43" s="1">
        <v>92</v>
      </c>
      <c r="K43" s="11"/>
      <c r="L43" s="51"/>
      <c r="M43" s="40"/>
    </row>
    <row r="44" spans="6:13" x14ac:dyDescent="0.3">
      <c r="F44" s="1">
        <v>43</v>
      </c>
      <c r="G44" s="11"/>
      <c r="H44" s="51"/>
      <c r="I44" s="40"/>
      <c r="J44" s="1">
        <v>93</v>
      </c>
      <c r="K44" s="11"/>
      <c r="L44" s="51"/>
      <c r="M44" s="40"/>
    </row>
    <row r="45" spans="6:13" x14ac:dyDescent="0.3">
      <c r="F45" s="1">
        <v>44</v>
      </c>
      <c r="G45" s="11"/>
      <c r="H45" s="51"/>
      <c r="I45" s="40"/>
      <c r="J45" s="1">
        <v>94</v>
      </c>
      <c r="K45" s="11"/>
      <c r="L45" s="51"/>
      <c r="M45" s="40"/>
    </row>
    <row r="46" spans="6:13" x14ac:dyDescent="0.3">
      <c r="F46" s="1">
        <v>45</v>
      </c>
      <c r="G46" s="11"/>
      <c r="H46" s="51"/>
      <c r="I46" s="40"/>
      <c r="J46" s="1">
        <v>95</v>
      </c>
      <c r="K46" s="11"/>
      <c r="L46" s="51"/>
      <c r="M46" s="40"/>
    </row>
    <row r="47" spans="6:13" x14ac:dyDescent="0.3">
      <c r="F47" s="1">
        <v>46</v>
      </c>
      <c r="G47" s="11"/>
      <c r="H47" s="51"/>
      <c r="I47" s="40"/>
      <c r="J47" s="1">
        <v>96</v>
      </c>
      <c r="K47" s="11"/>
      <c r="L47" s="51"/>
      <c r="M47" s="40"/>
    </row>
    <row r="48" spans="6:13" x14ac:dyDescent="0.3">
      <c r="F48" s="1">
        <v>47</v>
      </c>
      <c r="G48" s="11"/>
      <c r="H48" s="51"/>
      <c r="I48" s="40"/>
      <c r="J48" s="1">
        <v>97</v>
      </c>
      <c r="K48" s="11"/>
      <c r="L48" s="51"/>
      <c r="M48" s="40"/>
    </row>
    <row r="49" spans="6:13" x14ac:dyDescent="0.3">
      <c r="F49" s="1">
        <v>48</v>
      </c>
      <c r="G49" s="11"/>
      <c r="H49" s="51"/>
      <c r="I49" s="40"/>
      <c r="J49" s="1">
        <v>98</v>
      </c>
      <c r="K49" s="11"/>
      <c r="L49" s="51"/>
      <c r="M49" s="40"/>
    </row>
    <row r="50" spans="6:13" x14ac:dyDescent="0.3">
      <c r="F50" s="1">
        <v>49</v>
      </c>
      <c r="G50" s="11"/>
      <c r="H50" s="51"/>
      <c r="I50" s="40"/>
      <c r="J50" s="1">
        <v>99</v>
      </c>
      <c r="K50" s="11"/>
      <c r="L50" s="51"/>
      <c r="M50" s="40"/>
    </row>
    <row r="51" spans="6:13" x14ac:dyDescent="0.3">
      <c r="F51" s="1">
        <v>50</v>
      </c>
      <c r="G51" s="11"/>
      <c r="H51" s="51"/>
      <c r="I51" s="40"/>
      <c r="J51" s="1">
        <v>100</v>
      </c>
      <c r="K51" s="11"/>
      <c r="L51" s="51"/>
      <c r="M51" s="4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22903-9D51-4CAC-ACCC-3D6C2FF34BB1}">
  <sheetPr>
    <tabColor rgb="FF00B0F0"/>
  </sheetPr>
  <dimension ref="A1:CX112"/>
  <sheetViews>
    <sheetView zoomScale="90" zoomScaleNormal="90" workbookViewId="0">
      <pane xSplit="3" ySplit="1" topLeftCell="D2" activePane="bottomRight" state="frozen"/>
      <selection activeCell="G7" sqref="G7"/>
      <selection pane="topRight" activeCell="G7" sqref="G7"/>
      <selection pane="bottomLeft" activeCell="G7" sqref="G7"/>
      <selection pane="bottomRight" activeCell="L5" sqref="L5"/>
    </sheetView>
  </sheetViews>
  <sheetFormatPr defaultRowHeight="14.4" x14ac:dyDescent="0.3"/>
  <cols>
    <col min="1" max="1" width="9.88671875" customWidth="1"/>
    <col min="2" max="2" width="9.44140625" customWidth="1"/>
    <col min="3" max="3" width="15.21875" bestFit="1" customWidth="1"/>
    <col min="4" max="4" width="19.21875" customWidth="1"/>
    <col min="5" max="5" width="4.33203125" style="1" bestFit="1" customWidth="1"/>
    <col min="6" max="6" width="12.21875" bestFit="1" customWidth="1"/>
    <col min="7" max="7" width="12.21875" customWidth="1"/>
    <col min="8" max="8" width="8.77734375" style="1" bestFit="1" customWidth="1"/>
    <col min="9" max="9" width="10.44140625" customWidth="1"/>
    <col min="10" max="10" width="11.109375" bestFit="1" customWidth="1"/>
    <col min="11" max="11" width="11.109375" style="278" customWidth="1"/>
    <col min="12" max="12" width="8.77734375" customWidth="1"/>
    <col min="13" max="13" width="5.44140625" style="11" bestFit="1" customWidth="1"/>
    <col min="14" max="14" width="6.21875" customWidth="1"/>
    <col min="15" max="15" width="9.44140625" style="1" customWidth="1"/>
    <col min="16" max="16" width="6.21875" customWidth="1"/>
    <col min="17" max="17" width="4.77734375" style="1" bestFit="1" customWidth="1"/>
    <col min="18" max="18" width="9" bestFit="1" customWidth="1"/>
    <col min="19" max="19" width="10" style="1" bestFit="1" customWidth="1"/>
    <col min="20" max="20" width="9.33203125" bestFit="1" customWidth="1"/>
    <col min="21" max="21" width="8.5546875" style="12" customWidth="1"/>
    <col min="22" max="22" width="9.5546875" style="30" customWidth="1"/>
    <col min="23" max="23" width="8" customWidth="1"/>
    <col min="24" max="24" width="7.5546875" customWidth="1"/>
    <col min="25" max="25" width="9.5546875" style="30" customWidth="1"/>
    <col min="26" max="26" width="8" customWidth="1"/>
    <col min="27" max="27" width="7.5546875" customWidth="1"/>
    <col min="28" max="28" width="7.5546875" style="14" customWidth="1"/>
    <col min="29" max="29" width="8" customWidth="1"/>
    <col min="30" max="30" width="7.5546875" customWidth="1"/>
    <col min="31" max="31" width="9" customWidth="1"/>
    <col min="32" max="32" width="8.5546875" customWidth="1"/>
    <col min="33" max="33" width="8.77734375" customWidth="1"/>
    <col min="34" max="34" width="8.77734375" style="15" customWidth="1"/>
    <col min="35" max="35" width="9.5546875" style="30" customWidth="1"/>
    <col min="36" max="36" width="8" customWidth="1"/>
    <col min="37" max="37" width="7.5546875" customWidth="1"/>
    <col min="38" max="38" width="9.88671875" style="14" customWidth="1"/>
    <col min="39" max="39" width="8" customWidth="1"/>
    <col min="40" max="43" width="9.88671875" customWidth="1"/>
    <col min="44" max="44" width="9.88671875" style="15" customWidth="1"/>
    <col min="45" max="45" width="9.5546875" style="30" customWidth="1"/>
    <col min="46" max="46" width="8" customWidth="1"/>
    <col min="47" max="47" width="7.5546875" customWidth="1"/>
    <col min="48" max="48" width="9.88671875" style="14" customWidth="1"/>
    <col min="49" max="49" width="8" customWidth="1"/>
    <col min="50" max="53" width="9.88671875" customWidth="1"/>
    <col min="54" max="54" width="9.88671875" style="15" customWidth="1"/>
    <col min="55" max="55" width="9.5546875" style="30" customWidth="1"/>
    <col min="56" max="56" width="8" customWidth="1"/>
    <col min="57" max="57" width="7.5546875" customWidth="1"/>
    <col min="58" max="58" width="9.88671875" style="14" customWidth="1"/>
    <col min="59" max="59" width="8" customWidth="1"/>
    <col min="60" max="63" width="9.88671875" customWidth="1"/>
    <col min="64" max="64" width="9.88671875" style="15" customWidth="1"/>
    <col min="65" max="65" width="10.109375" style="30" bestFit="1" customWidth="1"/>
    <col min="66" max="67" width="10.109375" bestFit="1" customWidth="1"/>
    <col min="68" max="68" width="9.88671875" style="14" customWidth="1"/>
    <col min="69" max="69" width="10.33203125" customWidth="1"/>
    <col min="70" max="73" width="9.88671875" customWidth="1"/>
    <col min="74" max="74" width="9.88671875" style="15" customWidth="1"/>
    <col min="75" max="75" width="9.88671875" style="14" customWidth="1"/>
    <col min="76" max="76" width="8" customWidth="1"/>
    <col min="77" max="80" width="9.88671875" customWidth="1"/>
    <col min="81" max="81" width="9.88671875" style="15" customWidth="1"/>
    <col min="82" max="82" width="9.88671875" style="14" customWidth="1"/>
    <col min="83" max="83" width="8" customWidth="1"/>
    <col min="84" max="87" width="9.88671875" customWidth="1"/>
    <col min="88" max="88" width="9.88671875" style="15" customWidth="1"/>
    <col min="89" max="89" width="9.88671875" style="14" customWidth="1"/>
    <col min="90" max="90" width="8" customWidth="1"/>
    <col min="91" max="94" width="9.88671875" customWidth="1"/>
    <col min="95" max="95" width="9.88671875" style="15" customWidth="1"/>
    <col min="96" max="96" width="9.88671875" style="14" customWidth="1"/>
    <col min="97" max="97" width="10.33203125" customWidth="1"/>
    <col min="98" max="101" width="9.88671875" customWidth="1"/>
    <col min="102" max="102" width="9.88671875" style="15" customWidth="1"/>
  </cols>
  <sheetData>
    <row r="1" spans="1:102" ht="58.2" customHeight="1" thickBot="1" x14ac:dyDescent="0.35">
      <c r="A1" s="3" t="s">
        <v>0</v>
      </c>
      <c r="B1" s="3" t="s">
        <v>2</v>
      </c>
      <c r="C1" s="3" t="s">
        <v>1</v>
      </c>
      <c r="D1" s="3" t="s">
        <v>145</v>
      </c>
      <c r="E1" s="3" t="s">
        <v>115</v>
      </c>
      <c r="F1" s="3" t="s">
        <v>110</v>
      </c>
      <c r="G1" s="3" t="s">
        <v>265</v>
      </c>
      <c r="H1" s="3" t="s">
        <v>111</v>
      </c>
      <c r="I1" s="3" t="s">
        <v>112</v>
      </c>
      <c r="J1" s="146" t="s">
        <v>365</v>
      </c>
      <c r="K1" s="279" t="s">
        <v>326</v>
      </c>
      <c r="L1" s="256" t="s">
        <v>384</v>
      </c>
      <c r="M1" s="55" t="s">
        <v>113</v>
      </c>
      <c r="N1" s="13" t="s">
        <v>259</v>
      </c>
      <c r="O1" s="32" t="s">
        <v>180</v>
      </c>
      <c r="P1" s="32" t="s">
        <v>261</v>
      </c>
      <c r="Q1" s="5" t="s">
        <v>114</v>
      </c>
      <c r="R1" s="6" t="s">
        <v>151</v>
      </c>
      <c r="S1" s="7" t="s">
        <v>150</v>
      </c>
      <c r="T1" s="4" t="s">
        <v>152</v>
      </c>
      <c r="U1" s="13" t="s">
        <v>153</v>
      </c>
      <c r="V1" s="245" t="s">
        <v>878</v>
      </c>
      <c r="W1" s="246" t="s">
        <v>879</v>
      </c>
      <c r="X1" s="247" t="s">
        <v>880</v>
      </c>
      <c r="Y1" s="115" t="s">
        <v>366</v>
      </c>
      <c r="Z1" s="109" t="s">
        <v>367</v>
      </c>
      <c r="AA1" s="110" t="s">
        <v>368</v>
      </c>
      <c r="AB1" s="18" t="s">
        <v>130</v>
      </c>
      <c r="AC1" s="46" t="s">
        <v>253</v>
      </c>
      <c r="AD1" s="19" t="s">
        <v>131</v>
      </c>
      <c r="AE1" s="22" t="s">
        <v>132</v>
      </c>
      <c r="AF1" s="23" t="s">
        <v>133</v>
      </c>
      <c r="AG1" s="20" t="s">
        <v>134</v>
      </c>
      <c r="AH1" s="21" t="s">
        <v>135</v>
      </c>
      <c r="AI1" s="117" t="s">
        <v>370</v>
      </c>
      <c r="AJ1" s="118" t="s">
        <v>371</v>
      </c>
      <c r="AK1" s="119" t="s">
        <v>372</v>
      </c>
      <c r="AL1" s="24" t="s">
        <v>156</v>
      </c>
      <c r="AM1" s="48" t="s">
        <v>254</v>
      </c>
      <c r="AN1" s="25" t="s">
        <v>157</v>
      </c>
      <c r="AO1" s="28" t="s">
        <v>158</v>
      </c>
      <c r="AP1" s="29" t="s">
        <v>159</v>
      </c>
      <c r="AQ1" s="26" t="s">
        <v>160</v>
      </c>
      <c r="AR1" s="27" t="s">
        <v>161</v>
      </c>
      <c r="AS1" s="120" t="s">
        <v>373</v>
      </c>
      <c r="AT1" s="121" t="s">
        <v>374</v>
      </c>
      <c r="AU1" s="122" t="s">
        <v>375</v>
      </c>
      <c r="AV1" s="16" t="s">
        <v>162</v>
      </c>
      <c r="AW1" s="49" t="s">
        <v>255</v>
      </c>
      <c r="AX1" s="7" t="s">
        <v>163</v>
      </c>
      <c r="AY1" s="4" t="s">
        <v>164</v>
      </c>
      <c r="AZ1" s="5" t="s">
        <v>165</v>
      </c>
      <c r="BA1" s="6" t="s">
        <v>166</v>
      </c>
      <c r="BB1" s="17" t="s">
        <v>167</v>
      </c>
      <c r="BC1" s="115" t="s">
        <v>381</v>
      </c>
      <c r="BD1" s="109" t="s">
        <v>379</v>
      </c>
      <c r="BE1" s="110" t="s">
        <v>380</v>
      </c>
      <c r="BF1" s="18" t="s">
        <v>168</v>
      </c>
      <c r="BG1" s="46" t="s">
        <v>256</v>
      </c>
      <c r="BH1" s="19" t="s">
        <v>169</v>
      </c>
      <c r="BI1" s="22" t="s">
        <v>170</v>
      </c>
      <c r="BJ1" s="23" t="s">
        <v>171</v>
      </c>
      <c r="BK1" s="20" t="s">
        <v>172</v>
      </c>
      <c r="BL1" s="21" t="s">
        <v>173</v>
      </c>
      <c r="BM1" s="117" t="s">
        <v>376</v>
      </c>
      <c r="BN1" s="118" t="s">
        <v>377</v>
      </c>
      <c r="BO1" s="119" t="s">
        <v>378</v>
      </c>
      <c r="BP1" s="24" t="s">
        <v>174</v>
      </c>
      <c r="BQ1" s="48" t="s">
        <v>257</v>
      </c>
      <c r="BR1" s="25" t="s">
        <v>175</v>
      </c>
      <c r="BS1" s="28" t="s">
        <v>176</v>
      </c>
      <c r="BT1" s="29" t="s">
        <v>177</v>
      </c>
      <c r="BU1" s="26" t="s">
        <v>178</v>
      </c>
      <c r="BV1" s="27" t="s">
        <v>179</v>
      </c>
      <c r="BW1" s="18" t="s">
        <v>276</v>
      </c>
      <c r="BX1" s="46" t="s">
        <v>277</v>
      </c>
      <c r="BY1" s="19" t="s">
        <v>278</v>
      </c>
      <c r="BZ1" s="22" t="s">
        <v>279</v>
      </c>
      <c r="CA1" s="23" t="s">
        <v>280</v>
      </c>
      <c r="CB1" s="20" t="s">
        <v>281</v>
      </c>
      <c r="CC1" s="21" t="s">
        <v>282</v>
      </c>
      <c r="CD1" s="24" t="s">
        <v>283</v>
      </c>
      <c r="CE1" s="48" t="s">
        <v>284</v>
      </c>
      <c r="CF1" s="25" t="s">
        <v>285</v>
      </c>
      <c r="CG1" s="28" t="s">
        <v>286</v>
      </c>
      <c r="CH1" s="29" t="s">
        <v>287</v>
      </c>
      <c r="CI1" s="26" t="s">
        <v>288</v>
      </c>
      <c r="CJ1" s="27" t="s">
        <v>289</v>
      </c>
      <c r="CK1" s="16" t="s">
        <v>290</v>
      </c>
      <c r="CL1" s="49" t="s">
        <v>291</v>
      </c>
      <c r="CM1" s="7" t="s">
        <v>292</v>
      </c>
      <c r="CN1" s="4" t="s">
        <v>293</v>
      </c>
      <c r="CO1" s="5" t="s">
        <v>294</v>
      </c>
      <c r="CP1" s="6" t="s">
        <v>295</v>
      </c>
      <c r="CQ1" s="17" t="s">
        <v>296</v>
      </c>
      <c r="CR1" s="18" t="s">
        <v>297</v>
      </c>
      <c r="CS1" s="46" t="s">
        <v>298</v>
      </c>
      <c r="CT1" s="19" t="s">
        <v>299</v>
      </c>
      <c r="CU1" s="22" t="s">
        <v>300</v>
      </c>
      <c r="CV1" s="23" t="s">
        <v>301</v>
      </c>
      <c r="CW1" s="20" t="s">
        <v>302</v>
      </c>
      <c r="CX1" s="21" t="s">
        <v>303</v>
      </c>
    </row>
    <row r="2" spans="1:102" x14ac:dyDescent="0.3">
      <c r="A2" t="s">
        <v>37</v>
      </c>
      <c r="B2" t="str">
        <f>IFERROR(INDEX('Tournament List'!$B:$B,MATCH($A2,'Tournament List'!$A:$A,0)),"")</f>
        <v>Jason</v>
      </c>
      <c r="C2" t="str">
        <f>IFERROR(INDEX('Tournament List'!$C:$C,MATCH($A2,'Tournament List'!$A:$A,0)),"")</f>
        <v>Last Name1</v>
      </c>
      <c r="D2" t="str">
        <f t="shared" ref="D2:D33" si="0">B2&amp;" "&amp;C2</f>
        <v>Jason Last Name1</v>
      </c>
      <c r="E2" s="1" t="str">
        <f>IFERROR(INDEX('Tournament List'!F:F,MATCH($A2,'Tournament List'!$A:$A,0)),"")</f>
        <v>M</v>
      </c>
      <c r="F2" t="str">
        <f>IFERROR(INDEX('Tournament List'!M:M,MATCH($A2,'Tournament List'!$A:$A,0)),"")</f>
        <v>Novice</v>
      </c>
      <c r="G2" t="str">
        <f>IFERROR(INDEX('Shooter-Squad Assignment'!L:L,MATCH(A2,'Shooter-Squad Assignment'!A:A,0)),"")</f>
        <v/>
      </c>
      <c r="H2" s="1" t="str">
        <f>IFERROR(INDEX('Tournament List'!AD:AD,MATCH($A2,'Tournament List'!$A:$A,0)),"")</f>
        <v>D</v>
      </c>
      <c r="I2" s="123">
        <f>IFERROR(INDEX('Tournament List'!AG:AG,MATCH($A2,'Tournament List'!$A:$A,0)),"")</f>
        <v>85</v>
      </c>
      <c r="J2" s="145" t="str">
        <f>IFERROR(INDEX('Tournament List'!Y:Y,MATCH($A2,'Tournament List'!$A:$A,0)),"")</f>
        <v/>
      </c>
      <c r="K2" s="47" t="str">
        <f>IFERROR(INDEX('Tournament List'!S:S,MATCH(A2,'Tournament List'!A:A,0)),"")</f>
        <v/>
      </c>
      <c r="L2" s="47" t="str">
        <f>IF(ISNUMBER(J2),IF(COUNTIFS(L$1:L1,_xlfn.RANK.EQ(J2,J$2:J$111,0))&gt;0,_xlfn.MAXIFS(L$1:L1,J$1:J1,J2)+1,_xlfn.RANK.EQ(J2,J$2:J$111,0)),"")</f>
        <v/>
      </c>
      <c r="M2" s="11">
        <f>IF(ISNUMBER(I2)=TRUE,IF(I2&gt;0,_xlfn.RANK.EQ(I2,$I$2:$I$111,0),""),"")</f>
        <v>13</v>
      </c>
      <c r="N2" s="56">
        <f>IF(ISNUMBER(I2),IF(COUNTIFS(N$1:N1,_xlfn.RANK.EQ(I2,I$2:I$111,0))&gt;0,_xlfn.MAXIFS(N$1:N1,I$1:I1,I2)+1,_xlfn.RANK.EQ(I2,I$2:I$111,0)),"")</f>
        <v>13</v>
      </c>
      <c r="O2" s="144">
        <f>IF(F2&lt;&gt;"Collegiate"=TRUE,$I2,"")</f>
        <v>85</v>
      </c>
      <c r="P2" s="47">
        <f>IF(ISNUMBER(O2),IF(COUNTIFS(P$1:P1,_xlfn.RANK.EQ(O2,O$2:O$111,0))&gt;0,_xlfn.MAXIFS(P$1:P1,O$1:O1,O2)+1,_xlfn.RANK.EQ(O2,O$2:O$111,0)),"")</f>
        <v>11</v>
      </c>
      <c r="Q2" s="1" t="str">
        <f>IF(ISNUMBER(O2)=TRUE,IF(_xlfn.RANK.EQ(O2,$O$2:$O$111)&lt;='Tournament Setup'!$B$26,_xlfn.RANK.EQ(O2,$O$2:$O$111),""),"")</f>
        <v/>
      </c>
      <c r="R2" s="143">
        <f>IF(AND($E2="M",SUM($Q2)=0,F2&lt;&gt;"Collegiate")=TRUE,$I2,"")</f>
        <v>85</v>
      </c>
      <c r="S2" s="1" t="str">
        <f>IF(ISNUMBER(R2)=TRUE,IF(_xlfn.RANK.EQ(R2,$R$2:$R$111)&lt;='Tournament Setup'!$B$27,_xlfn.RANK.EQ(R2,$R$2:$R$111),""),"")</f>
        <v/>
      </c>
      <c r="T2" s="143" t="str">
        <f>IF(AND($E2="F",SUM($Q2)=0,F2&lt;&gt;"Collegiate")=TRUE,$I2,"")</f>
        <v/>
      </c>
      <c r="U2" s="12" t="str">
        <f>IF(ISNUMBER(T2)=TRUE,IF(_xlfn.RANK.EQ(T2,$T$2:$T$111)&lt;='Tournament Setup'!$B$28,_xlfn.RANK.EQ(T2,$T$2:$T$111),""),"")</f>
        <v/>
      </c>
      <c r="V2" s="145" t="str">
        <f>IF(AND($G2='Tournament Setup'!$A$53,$J2&lt;&gt;0),$J2,"")</f>
        <v/>
      </c>
      <c r="W2" s="47" t="str">
        <f>IF(ISNUMBER(V2),IF(COUNTIFS(W$1:W1,_xlfn.RANK.EQ(V2,V$2:V$111,0))&gt;0,_xlfn.MAXIFS(W$1:W1,V$1:V1,V2)+1,_xlfn.RANK.EQ(V2,V$2:V$111,0)),"")</f>
        <v/>
      </c>
      <c r="X2" s="1" t="str">
        <f>IF(ISNUMBER(V2)=TRUE,IF(_xlfn.RANK.EQ(V2,$V$2:$V$111)&lt;='Tournament Setup'!$B$53,_xlfn.RANK.EQ(V2,$V$2:$V$111),""),"")</f>
        <v/>
      </c>
      <c r="Y2" s="145" t="str">
        <f>IF(AND($G2='Tournament Setup'!$A$49,$J2&lt;&gt;0),$J2,"")</f>
        <v/>
      </c>
      <c r="Z2" s="47" t="str">
        <f>IF(ISNUMBER(Y2),IF(COUNTIFS(Z$1:Z1,_xlfn.RANK.EQ(Y2,Y$2:Y$111,0))&gt;0,_xlfn.MAXIFS(Z$1:Z1,Y$1:Y1,Y2)+1,_xlfn.RANK.EQ(Y2,Y$2:Y$111,0)),"")</f>
        <v/>
      </c>
      <c r="AA2" s="1" t="str">
        <f>IF(ISNUMBER(Y2)=TRUE,IF(_xlfn.RANK.EQ(Y2,$Y$2:$Y$111)&lt;='Tournament Setup'!$B$49,_xlfn.RANK.EQ(Y2,$Y$2:$Y$111),""),"")</f>
        <v/>
      </c>
      <c r="AB2" s="30">
        <f>IF(AND($F2='Tournament Setup'!$A$32,SUM($Q2,$S2,$U2)=0),$I2,"")</f>
        <v>85</v>
      </c>
      <c r="AC2" s="47">
        <f>IF(ISNUMBER(AB2),IF(COUNTIFS(AC$1:AC1,_xlfn.RANK.EQ(AB2,AB$2:AB$111,0))&gt;0,_xlfn.MAXIFS(AC$1:AC1,AB$1:AB1,AB2)+1,_xlfn.RANK.EQ(AB2,AB$2:AB$111,0)),"")</f>
        <v>1</v>
      </c>
      <c r="AD2" s="1">
        <f>IF(ISNUMBER(AB2)=TRUE,IF(_xlfn.RANK.EQ(AB2,$AB$2:$AB$111)&lt;='Tournament Setup'!$B$32,_xlfn.RANK.EQ(AB2,$AB$2:$AB$111),""),"")</f>
        <v>1</v>
      </c>
      <c r="AE2" s="31" t="str">
        <f>IF(AND($F2='Tournament Setup'!$A$32,SUM($Q2,$S2)=0,$E2="M",$AD2&gt;'Tournament Setup'!$B$32),$I2,"")</f>
        <v/>
      </c>
      <c r="AF2" s="1" t="str">
        <f>IF(ISNUMBER(AE2)=TRUE,IF(_xlfn.RANK.EQ(AE2,$AE$2:$AE$111)&lt;='Tournament Setup'!$C$32,_xlfn.RANK.EQ(AE2,$AE$2:$AE$111),""),"")</f>
        <v/>
      </c>
      <c r="AG2" s="31" t="str">
        <f>IF(AND($F2='Tournament Setup'!$A$32,SUM($Q2,$U2)=0,$E2="F",$AD2&gt;'Tournament Setup'!$B$32),$I2,"")</f>
        <v/>
      </c>
      <c r="AH2" s="12" t="str">
        <f>IF(ISNUMBER(AG2)=TRUE,IF(_xlfn.RANK.EQ(AG2,$AG$2:$AG$111)&lt;='Tournament Setup'!$D$32,_xlfn.RANK.EQ(AG2,$AG$2:$AG$111),""),"")</f>
        <v/>
      </c>
      <c r="AI2" s="30" t="str">
        <f>IF(AND($G2='Tournament Setup'!$A$50,$J2&lt;&gt;0),$J2,"")</f>
        <v/>
      </c>
      <c r="AJ2" s="47" t="str">
        <f>IF(ISNUMBER(AI2),IF(COUNTIFS(AJ$1:AJ1,_xlfn.RANK.EQ(AI2,AI$2:AI$111,0))&gt;0,_xlfn.MAXIFS(AJ$1:AJ1,AI$1:AI1,AI2)+1,_xlfn.RANK.EQ(AI2,AI$2:AI$111,0)),"")</f>
        <v/>
      </c>
      <c r="AK2" s="1" t="str">
        <f>IF(ISNUMBER(AI2)=TRUE,IF(_xlfn.RANK.EQ(AI2,$AI$2:$AI$111)&lt;='Tournament Setup'!$B$50,_xlfn.RANK.EQ(AI2,$AI$2:$AI$111),""),"")</f>
        <v/>
      </c>
      <c r="AL2" s="30" t="str">
        <f>IF(AND($F2='Tournament Setup'!$A$33,SUM($Q2,$S2,$U2)=0),$I2,"")</f>
        <v/>
      </c>
      <c r="AM2" s="47" t="str">
        <f>IF(ISNUMBER(AL2),IF(COUNTIFS(AM$1:AM1,_xlfn.RANK.EQ(AL2,AL$2:AL$111,0))&gt;0,_xlfn.MAXIFS(AM$1:AM1,AL$1:AL1,AL2)+1,_xlfn.RANK.EQ(AL2,AL$2:AL$111,0)),"")</f>
        <v/>
      </c>
      <c r="AN2" s="1" t="str">
        <f>IF(ISNUMBER(AL2)=TRUE,IF(_xlfn.RANK.EQ(AL2,$AL$2:$AL$111)&lt;='Tournament Setup'!$B$33,_xlfn.RANK.EQ(AL2,$AL$2:$AL$111),""),"")</f>
        <v/>
      </c>
      <c r="AO2" s="31" t="str">
        <f>IF(AND($F2='Tournament Setup'!$A$33,SUM($Q2,$S2)=0,$E2="M",$AN2&gt;'Tournament Setup'!$B$33),$I2,"")</f>
        <v/>
      </c>
      <c r="AP2" s="1" t="str">
        <f>IF(ISNUMBER(AO2)=TRUE,IF(_xlfn.RANK.EQ(AO2,$AO$2:$AO$111)&lt;='Tournament Setup'!$C$33,_xlfn.RANK.EQ(AO2,$AO$2:$AO$111),""),"")</f>
        <v/>
      </c>
      <c r="AQ2" s="31" t="str">
        <f>IF(AND($F2='Tournament Setup'!$A$33,SUM($Q2,$U2)=0,$E2="F",$AN2&gt;'Tournament Setup'!$B$33),$I2,"")</f>
        <v/>
      </c>
      <c r="AR2" s="12" t="str">
        <f>IF(ISNUMBER(AQ2)=TRUE,IF(_xlfn.RANK.EQ(AQ2,$AQ$2:$AQ$111)&lt;='Tournament Setup'!$D$33,_xlfn.RANK.EQ(AQ2,$AQ$2:$AQ$111),""),"")</f>
        <v/>
      </c>
      <c r="AS2" s="30" t="str">
        <f>IF(AND($G2='Tournament Setup'!$A$51,$J2&lt;&gt;0),$J2,"")</f>
        <v/>
      </c>
      <c r="AT2" s="47" t="str">
        <f>IF(ISNUMBER(AS2),IF(COUNTIFS(AT$1:AT1,_xlfn.RANK.EQ(AS2,AS$2:AS$111,0))&gt;0,_xlfn.MAXIFS(AT$1:AT1,AS$1:AS1,AS2)+1,_xlfn.RANK.EQ(AS2,AS$2:AS$111,0)),"")</f>
        <v/>
      </c>
      <c r="AU2" s="1" t="str">
        <f>IF(ISNUMBER(AS2)=TRUE,IF(_xlfn.RANK.EQ(AS2,$AS$2:$AS$111)&lt;='Tournament Setup'!$B$51,_xlfn.RANK.EQ(AS2,$AS$2:$AS$111),""),"")</f>
        <v/>
      </c>
      <c r="AV2" s="30" t="str">
        <f>IF(AND($F2='Tournament Setup'!$A$34,SUM($Q2,$S2,$U2)=0),$I2,"")</f>
        <v/>
      </c>
      <c r="AW2" s="47" t="str">
        <f>IF(ISNUMBER(AV2),IF(COUNTIFS(AW$1:AW1,_xlfn.RANK.EQ(AV2,AV$2:AV$111,0))&gt;0,_xlfn.MAXIFS(AW$1:AW1,AV$1:AV1,AV2)+1,_xlfn.RANK.EQ(AV2,AV$2:AV$111,0)),"")</f>
        <v/>
      </c>
      <c r="AX2" s="1" t="str">
        <f>IF(ISNUMBER(AV2)=TRUE,IF(_xlfn.RANK.EQ(AV2,$AV$2:$AV$111)&lt;='Tournament Setup'!$B$34,_xlfn.RANK.EQ(AV2,$AV$2:$AV$111),""),"")</f>
        <v/>
      </c>
      <c r="AY2" s="31" t="str">
        <f>IF(AND($F2='Tournament Setup'!$A$34,SUM($Q2,$S2)=0,$E2="M",$AX2&gt;'Tournament Setup'!$B$34),$I2,"")</f>
        <v/>
      </c>
      <c r="AZ2" s="1" t="str">
        <f>IF(ISNUMBER(AY2)=TRUE,IF(_xlfn.RANK.EQ(AY2,$AY$2:$AY$111)&lt;='Tournament Setup'!$C$34,_xlfn.RANK.EQ(AY2,$AY$2:$AY$111),""),"")</f>
        <v/>
      </c>
      <c r="BA2" s="31" t="str">
        <f>IF(AND($F2='Tournament Setup'!$A$34,SUM($Q2,$U2)=0,$E2="F",$AX2&gt;'Tournament Setup'!$B$34),$I2,"")</f>
        <v/>
      </c>
      <c r="BB2" s="12" t="str">
        <f>IF(ISNUMBER(BA2)=TRUE,IF(_xlfn.RANK.EQ(BA2,$BA$2:$BA$111)&lt;='Tournament Setup'!$D$34,_xlfn.RANK.EQ(BA2,$BA$2:$BA$111),""),"")</f>
        <v/>
      </c>
      <c r="BC2" s="30" t="str">
        <f>IF(AND($G2='Tournament Setup'!$A$52,$J2&lt;&gt;0),$J2,"")</f>
        <v/>
      </c>
      <c r="BD2" s="47" t="str">
        <f>IF(ISNUMBER(BC2),IF(COUNTIFS(BD$1:BD1,_xlfn.RANK.EQ(BC2,BC$2:BC$111,0))&gt;0,_xlfn.MAXIFS(BD$1:BD1,BC$1:BC1,BC2)+1,_xlfn.RANK.EQ(BC2,BC$2:BC$111,0)),"")</f>
        <v/>
      </c>
      <c r="BE2" s="1" t="str">
        <f>IF(ISNUMBER(BC2)=TRUE,IF(_xlfn.RANK.EQ(BC2,$BC$2:$BC$111)&lt;='Tournament Setup'!$B$52,_xlfn.RANK.EQ(BC2,$BC$2:$BC$111),""),"")</f>
        <v/>
      </c>
      <c r="BF2" s="30" t="str">
        <f>IF(AND($F2='Tournament Setup'!$A$35,SUM($Q2,$S2,$U2)=0),$I2,"")</f>
        <v/>
      </c>
      <c r="BG2" s="47" t="str">
        <f>IF(ISNUMBER(BF2),IF(COUNTIFS(BG$1:BG1,_xlfn.RANK.EQ(BF2,BF$2:BF$111,0))&gt;0,_xlfn.MAXIFS(BG$1:BG1,BF$1:BF1,BF2)+1,_xlfn.RANK.EQ(BF2,BF$2:BF$111,0)),"")</f>
        <v/>
      </c>
      <c r="BH2" s="1" t="str">
        <f>IF(ISNUMBER(BF2)=TRUE,IF(_xlfn.RANK.EQ(BF2,$BF$2:$BF$111)&lt;='Tournament Setup'!$B$35,_xlfn.RANK.EQ(BF2,$BF$2:$BF$111),""),"")</f>
        <v/>
      </c>
      <c r="BI2" s="31" t="str">
        <f>IF(AND($F2='Tournament Setup'!$A$35,SUM($Q2,$S2)=0,$E2="M",$BH2&gt;'Tournament Setup'!$B$35),$I2,"")</f>
        <v/>
      </c>
      <c r="BJ2" s="1" t="str">
        <f>IF(ISNUMBER(BI2)=TRUE,IF(_xlfn.RANK.EQ(BI2,$BI$2:$BI$111)&lt;='Tournament Setup'!$C$35,_xlfn.RANK.EQ(BI2,$BI$2:$BI$111),""),"")</f>
        <v/>
      </c>
      <c r="BK2" s="31" t="str">
        <f>IF(AND($F2='Tournament Setup'!$A$35,SUM($Q2,$U2)=0,$E2="F",$BH2&gt;'Tournament Setup'!$B$35),$I2,"")</f>
        <v/>
      </c>
      <c r="BL2" s="12" t="str">
        <f>IF(ISNUMBER(BK2)=TRUE,IF(_xlfn.RANK.EQ(BK2,$BK$2:$BK$111)&lt;='Tournament Setup'!$D$35,_xlfn.RANK.EQ(BK2,$BK$2:$BK$111),""),"")</f>
        <v/>
      </c>
      <c r="BM2" s="30" t="str">
        <f>IF(AND($G2='Tournament Setup'!$A$54,$J2&lt;&gt;0),$J2,"")</f>
        <v/>
      </c>
      <c r="BN2" s="47" t="str">
        <f>IF(ISNUMBER(BM2),IF(COUNTIFS(BN$1:BN1,_xlfn.RANK.EQ(BM2,BM$2:BM$111,0))&gt;0,_xlfn.MAXIFS(BN$1:BN1,BM$1:BM1,BM2)+1,_xlfn.RANK.EQ(BM2,BM$2:BM$111,0)),"")</f>
        <v/>
      </c>
      <c r="BO2" s="1" t="str">
        <f>IF(ISNUMBER(BM2)=TRUE,IF(_xlfn.RANK.EQ(BM2,$BM$2:$BM$111)&lt;='Tournament Setup'!$B$54,_xlfn.RANK.EQ(BM2,$BM$2:$BM$111),""),"")</f>
        <v/>
      </c>
      <c r="BP2" s="30" t="str">
        <f>IF(AND($F2='Tournament Setup'!$A$36,SUM($Q2,$S2,$U2)=0),$I2,"")</f>
        <v/>
      </c>
      <c r="BQ2" s="47" t="str">
        <f>IF(ISNUMBER(BP2),IF(COUNTIFS(BQ$1:BQ1,_xlfn.RANK.EQ(BP2,BP$2:BP$111,0))&gt;0,_xlfn.MAXIFS(BQ$1:BQ1,BP$1:BP1,BP2)+1,_xlfn.RANK.EQ(BP2,BP$2:BP$111,0)),"")</f>
        <v/>
      </c>
      <c r="BR2" s="1" t="str">
        <f>IF(ISNUMBER(BP2)=TRUE,IF(_xlfn.RANK.EQ(BP2,$BP$2:$BP$111)&lt;='Tournament Setup'!$B$36,_xlfn.RANK.EQ(BP2,$BP$2:$BP$111),""),"")</f>
        <v/>
      </c>
      <c r="BS2" s="31" t="str">
        <f>IF(AND($F2='Tournament Setup'!$A$36,SUM($Q2,$S2)=0,$E2="M",$BR2&gt;'Tournament Setup'!$B$36),$I2,"")</f>
        <v/>
      </c>
      <c r="BT2" s="1" t="str">
        <f>IF(ISNUMBER(BS2)=TRUE,IF(_xlfn.RANK.EQ(BS2,$BS$2:$BS$111)&lt;='Tournament Setup'!$C$36,_xlfn.RANK.EQ(BS2,$BS$2:$BS$111),""),"")</f>
        <v/>
      </c>
      <c r="BU2" s="31" t="str">
        <f>IF(AND($F2='Tournament Setup'!$A$36,SUM($Q2,$U2)=0,$E2="F",$BR2&gt;'Tournament Setup'!$B$36),$I2,"")</f>
        <v/>
      </c>
      <c r="BV2" s="12" t="str">
        <f>IF(ISNUMBER(BU2)=TRUE,IF(_xlfn.RANK.EQ(BU2,$BU$2:$BU$111)&lt;='Tournament Setup'!$D$36,_xlfn.RANK.EQ(BU2,$BU$2:$BU$111),""),"")</f>
        <v/>
      </c>
      <c r="BW2" s="30" t="str">
        <f>IF($H2='Tournament Setup'!$A$41,$I2,"")</f>
        <v/>
      </c>
      <c r="BX2" s="47" t="str">
        <f>IF(ISNUMBER(BW2),IF(COUNTIFS(BX$1:BX1,_xlfn.RANK.EQ(BW2,BW$2:BW$111,0))&gt;0,_xlfn.MAXIFS(BX$1:BX1,BW$1:BW1,BW2)+1,_xlfn.RANK.EQ(BW2,BW$2:BW$111,0)),"")</f>
        <v/>
      </c>
      <c r="BY2" s="1" t="str">
        <f>IF(ISNUMBER(BW2)=TRUE,IF(_xlfn.RANK.EQ(BW2,$BW$2:$BW$111)&lt;='Tournament Setup'!$B$41,_xlfn.RANK.EQ(BW2,$BW$2:$BW$111),""),"")</f>
        <v/>
      </c>
      <c r="BZ2" s="31" t="str">
        <f>IF(AND($H2='Tournament Setup'!$A$41,$E2="M",$BY2&gt;'Tournament Setup'!$B$41),$I2,"")</f>
        <v/>
      </c>
      <c r="CA2" s="1" t="str">
        <f>IF(ISNUMBER(BZ2)=TRUE,IF(_xlfn.RANK.EQ(BZ2,$BZ$2:$BZ$111)&lt;='Tournament Setup'!$C$41,_xlfn.RANK.EQ(BZ2,$BZ$2:$BZ$111),""),"")</f>
        <v/>
      </c>
      <c r="CB2" s="31" t="str">
        <f>IF(AND($H2='Tournament Setup'!$A$41,$E2="F",$BY2&gt;'Tournament Setup'!$B$41),$I2,"")</f>
        <v/>
      </c>
      <c r="CC2" s="12" t="str">
        <f>IF(ISNUMBER(CB2)=TRUE,IF(_xlfn.RANK.EQ(CB2,$CB$2:$CB$111)&lt;='Tournament Setup'!$D$41,_xlfn.RANK.EQ(CB2,$CB$2:$CB$111),""),"")</f>
        <v/>
      </c>
      <c r="CD2" s="30" t="str">
        <f>IF($H2='Tournament Setup'!$A$42,$I2,"")</f>
        <v/>
      </c>
      <c r="CE2" s="47" t="str">
        <f>IF(ISNUMBER(CD2),IF(COUNTIFS(CE$1:CE1,_xlfn.RANK.EQ(CD2,CD$2:CD$111,0))&gt;0,_xlfn.MAXIFS(CE$1:CE1,CD$1:CD1,CD2)+1,_xlfn.RANK.EQ(CD2,CD$2:CD$111,0)),"")</f>
        <v/>
      </c>
      <c r="CF2" s="1" t="str">
        <f>IF(ISNUMBER(CD2)=TRUE,IF(_xlfn.RANK.EQ(CD2,$CD$2:$CD$111)&lt;='Tournament Setup'!$B$42,_xlfn.RANK.EQ(CD2,$CD$2:$CD$111),""),"")</f>
        <v/>
      </c>
      <c r="CG2" s="31" t="str">
        <f>IF(AND($H2='Tournament Setup'!$A$42,$E2="M",$CF2&gt;'Tournament Setup'!$B$42),$I2,"")</f>
        <v/>
      </c>
      <c r="CH2" s="1" t="str">
        <f>IF(ISNUMBER(CG2)=TRUE,IF(_xlfn.RANK.EQ(CG2,$CG$2:$CG$111)&lt;='Tournament Setup'!$C$42,_xlfn.RANK.EQ(CG2,$CG$2:$CG$111),""),"")</f>
        <v/>
      </c>
      <c r="CI2" s="31" t="str">
        <f>IF(AND($H2='Tournament Setup'!$A$42,$E2="F",$CF2&gt;'Tournament Setup'!$B$42),$I2,"")</f>
        <v/>
      </c>
      <c r="CJ2" s="12" t="str">
        <f>IF(ISNUMBER(CI2)=TRUE,IF(_xlfn.RANK.EQ(CI2,$CI$2:$CI$111)&lt;='Tournament Setup'!$D$42,_xlfn.RANK.EQ(CI2,$CI$2:$CI$111),""),"")</f>
        <v/>
      </c>
      <c r="CK2" s="30" t="str">
        <f>IF($H2='Tournament Setup'!$A$43,$I2,"")</f>
        <v/>
      </c>
      <c r="CL2" s="47" t="str">
        <f>IF(ISNUMBER(CK2),IF(COUNTIFS(CL$1:CL1,_xlfn.RANK.EQ(CK2,CK$2:CK$111,0))&gt;0,_xlfn.MAXIFS(CL$1:CL1,CK$1:CK1,CK2)+1,_xlfn.RANK.EQ(CK2,CK$2:CK$111,0)),"")</f>
        <v/>
      </c>
      <c r="CM2" s="1" t="str">
        <f>IF(ISNUMBER(CK2)=TRUE,IF(_xlfn.RANK.EQ(CK2,$CK$2:$CK$111)&lt;='Tournament Setup'!$B$43,_xlfn.RANK.EQ(CK2,$CK$2:$CK$111),""),"")</f>
        <v/>
      </c>
      <c r="CN2" s="31" t="str">
        <f>IF(AND($H2='Tournament Setup'!$A$43,$E2="M",$CM2&gt;'Tournament Setup'!$B$43),$I2,"")</f>
        <v/>
      </c>
      <c r="CO2" s="1" t="str">
        <f>IF(ISNUMBER(CN2)=TRUE,IF(_xlfn.RANK.EQ(CN2,$CN$2:$CN$111)&lt;='Tournament Setup'!$C$43,_xlfn.RANK.EQ(CN2,$CN$2:$CN$111),""),"")</f>
        <v/>
      </c>
      <c r="CP2" s="31" t="str">
        <f>IF(AND($H2='Tournament Setup'!$A$43,$E2="F",$CM2&gt;'Tournament Setup'!$B$43),$I2,"")</f>
        <v/>
      </c>
      <c r="CQ2" s="12" t="str">
        <f>IF(ISNUMBER(CP2)=TRUE,IF(_xlfn.RANK.EQ(CP2,$CP$2:$CP$111)&lt;='Tournament Setup'!$D$43,_xlfn.RANK.EQ(CP2,$CP$2:$CP$111),""),"")</f>
        <v/>
      </c>
      <c r="CR2" s="30">
        <f>IF($H2='Tournament Setup'!$A$44,$I2,"")</f>
        <v>85</v>
      </c>
      <c r="CS2" s="47">
        <f>IF(ISNUMBER(CR2),IF(COUNTIFS(CS$1:CS1,_xlfn.RANK.EQ(CR2,CR$2:CR$111,0))&gt;0,_xlfn.MAXIFS(CS$1:CS1,CR$1:CR1,CR2)+1,_xlfn.RANK.EQ(CR2,CR$2:CR$111,0)),"")</f>
        <v>1</v>
      </c>
      <c r="CT2" s="1">
        <f>IF(ISNUMBER(CR2)=TRUE,IF(_xlfn.RANK.EQ(CR2,$CR$2:$CR$111)&lt;='Tournament Setup'!$B$44,_xlfn.RANK.EQ(CR2,$CR$2:$CR$111),""),"")</f>
        <v>1</v>
      </c>
      <c r="CU2" s="31" t="str">
        <f>IF(AND($H2='Tournament Setup'!$A$44,$E2="M",$CT2&gt;'Tournament Setup'!$B$44),$I2,"")</f>
        <v/>
      </c>
      <c r="CV2" s="1" t="str">
        <f>IF(ISNUMBER(CU2)=TRUE,IF(_xlfn.RANK.EQ(CU2,$CU$2:$CU$111)&lt;='Tournament Setup'!$C$44,_xlfn.RANK.EQ(CU2,$CU$2:$CU$111),""),"")</f>
        <v/>
      </c>
      <c r="CW2" s="31" t="str">
        <f>IF(AND($H2='Tournament Setup'!$A$44,$E2="F",$CT2&gt;'Tournament Setup'!$B$44),$I2,"")</f>
        <v/>
      </c>
      <c r="CX2" s="12" t="str">
        <f>IF(ISNUMBER(CW2)=TRUE,IF(_xlfn.RANK.EQ(CW2,$CW$2:$CW$111)&lt;='Tournament Setup'!$D$44,_xlfn.RANK.EQ(CW2,$CW$2:$CW$111),""),"")</f>
        <v/>
      </c>
    </row>
    <row r="3" spans="1:102" x14ac:dyDescent="0.3">
      <c r="A3" t="s">
        <v>38</v>
      </c>
      <c r="B3" t="str">
        <f>IFERROR(INDEX('Tournament List'!$B:$B,MATCH($A3,'Tournament List'!$A:$A,0)),"")</f>
        <v>John</v>
      </c>
      <c r="C3" t="str">
        <f>IFERROR(INDEX('Tournament List'!$C:$C,MATCH($A3,'Tournament List'!$A:$A,0)),"")</f>
        <v>Last Name2</v>
      </c>
      <c r="D3" t="str">
        <f t="shared" si="0"/>
        <v>John Last Name2</v>
      </c>
      <c r="E3" s="1" t="str">
        <f>IFERROR(INDEX('Tournament List'!F:F,MATCH($A3,'Tournament List'!$A:$A,0)),"")</f>
        <v>M</v>
      </c>
      <c r="F3" t="str">
        <f>IFERROR(INDEX('Tournament List'!M:M,MATCH($A3,'Tournament List'!$A:$A,0)),"")</f>
        <v>Junior Varsity</v>
      </c>
      <c r="G3" t="str">
        <f>IFERROR(INDEX('Shooter-Squad Assignment'!L:L,MATCH(A3,'Shooter-Squad Assignment'!A:A,0)),"")</f>
        <v/>
      </c>
      <c r="H3" s="1" t="str">
        <f>IFERROR(INDEX('Tournament List'!AD:AD,MATCH($A3,'Tournament List'!$A:$A,0)),"")</f>
        <v>B</v>
      </c>
      <c r="I3" s="123">
        <f>IFERROR(INDEX('Tournament List'!AG:AG,MATCH($A3,'Tournament List'!$A:$A,0)),"")</f>
        <v>63</v>
      </c>
      <c r="J3" s="145" t="str">
        <f>IFERROR(INDEX('Tournament List'!Y:Y,MATCH($A3,'Tournament List'!$A:$A,0)),"")</f>
        <v/>
      </c>
      <c r="K3" s="47" t="str">
        <f>IFERROR(INDEX('Tournament List'!S:S,MATCH(A3,'Tournament List'!A:A,0)),"")</f>
        <v/>
      </c>
      <c r="L3" s="47" t="str">
        <f>IF(ISNUMBER(J3),IF(COUNTIFS(L$1:L2,_xlfn.RANK.EQ(J3,J$2:J$111,0))&gt;0,_xlfn.MAXIFS(L$1:L2,J$1:J2,J3)+1,_xlfn.RANK.EQ(J3,J$2:J$111,0)),"")</f>
        <v/>
      </c>
      <c r="M3" s="11">
        <f>IF(ISNUMBER(I3)=TRUE,IF(I3&gt;0,_xlfn.RANK.EQ(I3,$I$2:$I$111,0),""),"")</f>
        <v>32</v>
      </c>
      <c r="N3" s="56">
        <f>IF(ISNUMBER(I3),IF(COUNTIFS(N$1:N2,_xlfn.RANK.EQ(I3,I$2:I$111,0))&gt;0,_xlfn.MAXIFS(N$1:N2,I$1:I2,I3)+1,_xlfn.RANK.EQ(I3,I$2:I$111,0)),"")</f>
        <v>32</v>
      </c>
      <c r="O3" s="144">
        <f>IF(F3&lt;&gt;"Collegiate"=TRUE,$I3,"")</f>
        <v>63</v>
      </c>
      <c r="P3" s="47">
        <f>IF(ISNUMBER(O3),IF(COUNTIFS(P$1:P2,_xlfn.RANK.EQ(O3,O$2:O$111,0))&gt;0,_xlfn.MAXIFS(P$1:P2,O$1:O2,O3)+1,_xlfn.RANK.EQ(O3,O$2:O$111,0)),"")</f>
        <v>30</v>
      </c>
      <c r="Q3" s="1" t="str">
        <f>IF(ISNUMBER(O3)=TRUE,IF(_xlfn.RANK.EQ(O3,$O$2:$O$111)&lt;='Tournament Setup'!$B$26,_xlfn.RANK.EQ(O3,$O$2:$O$111),""),"")</f>
        <v/>
      </c>
      <c r="R3" s="143">
        <f>IF(AND($E3="M",SUM($Q3)=0,F3&lt;&gt;"Collegiate")=TRUE,$I3,"")</f>
        <v>63</v>
      </c>
      <c r="S3" s="1" t="str">
        <f>IF(ISNUMBER(R3)=TRUE,IF(_xlfn.RANK.EQ(R3,$R$2:$R$111)&lt;='Tournament Setup'!$B$27,_xlfn.RANK.EQ(R3,$R$2:$R$111),""),"")</f>
        <v/>
      </c>
      <c r="T3" s="143" t="str">
        <f>IF(AND($E3="F",SUM($Q3)=0,F3&lt;&gt;"Collegiate")=TRUE,$I3,"")</f>
        <v/>
      </c>
      <c r="U3" s="12" t="str">
        <f>IF(ISNUMBER(T3)=TRUE,IF(_xlfn.RANK.EQ(T3,$T$2:$T$111)&lt;='Tournament Setup'!$B$28,_xlfn.RANK.EQ(T3,$T$2:$T$111),""),"")</f>
        <v/>
      </c>
      <c r="V3" s="145" t="str">
        <f>IF(AND($G3='Tournament Setup'!$A$53,$J3&lt;&gt;0),$J3,"")</f>
        <v/>
      </c>
      <c r="W3" s="47" t="str">
        <f>IF(ISNUMBER(V3),IF(COUNTIFS(W$1:W2,_xlfn.RANK.EQ(V3,V$2:V$111,0))&gt;0,_xlfn.MAXIFS(W$1:W2,V$1:V2,V3)+1,_xlfn.RANK.EQ(V3,V$2:V$111,0)),"")</f>
        <v/>
      </c>
      <c r="X3" s="1" t="str">
        <f>IF(ISNUMBER(V3)=TRUE,IF(_xlfn.RANK.EQ(V3,$V$2:$V$111)&lt;='Tournament Setup'!$B$53,_xlfn.RANK.EQ(V3,$V$2:$V$111),""),"")</f>
        <v/>
      </c>
      <c r="Y3" s="145" t="str">
        <f>IF(AND($G3='Tournament Setup'!$A$49,$J3&lt;&gt;0),$J3,"")</f>
        <v/>
      </c>
      <c r="Z3" s="47" t="str">
        <f>IF(ISNUMBER(Y3),IF(COUNTIFS(Z$1:Z2,_xlfn.RANK.EQ(Y3,Y$2:Y$111,0))&gt;0,_xlfn.MAXIFS(Z$1:Z2,Y$1:Y2,Y3)+1,_xlfn.RANK.EQ(Y3,Y$2:Y$111,0)),"")</f>
        <v/>
      </c>
      <c r="AA3" s="1" t="str">
        <f>IF(ISNUMBER(Y3)=TRUE,IF(_xlfn.RANK.EQ(Y3,$Y$2:$Y$111)&lt;='Tournament Setup'!$B$49,_xlfn.RANK.EQ(Y3,$Y$2:$Y$111),""),"")</f>
        <v/>
      </c>
      <c r="AB3" s="30" t="str">
        <f>IF(AND($F3='Tournament Setup'!$A$32,SUM($Q3,$S3,$U3)=0),$I3,"")</f>
        <v/>
      </c>
      <c r="AC3" s="47" t="str">
        <f>IF(ISNUMBER(AB3),IF(COUNTIFS(AC$1:AC2,_xlfn.RANK.EQ(AB3,AB$2:AB$111,0))&gt;0,_xlfn.MAXIFS(AC$1:AC2,AB$1:AB2,AB3)+1,_xlfn.RANK.EQ(AB3,AB$2:AB$111,0)),"")</f>
        <v/>
      </c>
      <c r="AD3" s="1" t="str">
        <f>IF(ISNUMBER(AB3)=TRUE,IF(_xlfn.RANK.EQ(AB3,$AB$2:$AB$111)&lt;='Tournament Setup'!$B$32,_xlfn.RANK.EQ(AB3,$AB$2:$AB$111),""),"")</f>
        <v/>
      </c>
      <c r="AE3" s="31" t="str">
        <f>IF(AND($F3='Tournament Setup'!$A$32,SUM($Q3,$S3)=0,$E3="M",$AD3&gt;'Tournament Setup'!$B$32),$I3,"")</f>
        <v/>
      </c>
      <c r="AF3" s="1" t="str">
        <f>IF(ISNUMBER(AE3)=TRUE,IF(_xlfn.RANK.EQ(AE3,$AE$2:$AE$111)&lt;='Tournament Setup'!$C$32,_xlfn.RANK.EQ(AE3,$AE$2:$AE$111),""),"")</f>
        <v/>
      </c>
      <c r="AG3" s="31" t="str">
        <f>IF(AND($F3='Tournament Setup'!$A$32,SUM($Q3,$U3)=0,$E3="F",$AD3&gt;'Tournament Setup'!$B$32),$I3,"")</f>
        <v/>
      </c>
      <c r="AH3" s="12" t="str">
        <f>IF(ISNUMBER(AG3)=TRUE,IF(_xlfn.RANK.EQ(AG3,$AG$2:$AG$111)&lt;='Tournament Setup'!$D$32,_xlfn.RANK.EQ(AG3,$AG$2:$AG$111),""),"")</f>
        <v/>
      </c>
      <c r="AI3" s="30" t="str">
        <f>IF(AND($G3='Tournament Setup'!$A$50,$J3&lt;&gt;0),$J3,"")</f>
        <v/>
      </c>
      <c r="AJ3" s="47" t="str">
        <f>IF(ISNUMBER(AI3),IF(COUNTIFS(AJ$1:AJ2,_xlfn.RANK.EQ(AI3,AI$2:AI$111,0))&gt;0,_xlfn.MAXIFS(AJ$1:AJ2,AI$1:AI2,AI3)+1,_xlfn.RANK.EQ(AI3,AI$2:AI$111,0)),"")</f>
        <v/>
      </c>
      <c r="AK3" s="1" t="str">
        <f>IF(ISNUMBER(AI3)=TRUE,IF(_xlfn.RANK.EQ(AI3,$AI$2:$AI$111)&lt;='Tournament Setup'!$B$49,_xlfn.RANK.EQ(AI3,$AI$2:$AI$111),""),"")</f>
        <v/>
      </c>
      <c r="AL3" s="30" t="str">
        <f>IF(AND($F3='Tournament Setup'!$A$33,SUM($Q3,$S3,$U3)=0),$I3,"")</f>
        <v/>
      </c>
      <c r="AM3" s="47" t="str">
        <f>IF(ISNUMBER(AL3),IF(COUNTIFS(AM$1:AM2,_xlfn.RANK.EQ(AL3,AL$2:AL$111,0))&gt;0,_xlfn.MAXIFS(AM$1:AM2,AL$1:AL2,AL3)+1,_xlfn.RANK.EQ(AL3,AL$2:AL$111,0)),"")</f>
        <v/>
      </c>
      <c r="AN3" s="1" t="str">
        <f>IF(ISNUMBER(AL3)=TRUE,IF(_xlfn.RANK.EQ(AL3,$AL$2:$AL$111)&lt;='Tournament Setup'!$B$33,_xlfn.RANK.EQ(AL3,$AL$2:$AL$111),""),"")</f>
        <v/>
      </c>
      <c r="AO3" s="31" t="str">
        <f>IF(AND($F3='Tournament Setup'!$A$33,SUM($Q3,$S3)=0,$E3="M",$AN3&gt;'Tournament Setup'!$B$33),$I3,"")</f>
        <v/>
      </c>
      <c r="AP3" s="1" t="str">
        <f>IF(ISNUMBER(AO3)=TRUE,IF(_xlfn.RANK.EQ(AO3,$AO$2:$AO$111)&lt;='Tournament Setup'!$C$33,_xlfn.RANK.EQ(AO3,$AO$2:$AO$111),""),"")</f>
        <v/>
      </c>
      <c r="AQ3" s="31" t="str">
        <f>IF(AND($F3='Tournament Setup'!$A$33,SUM($Q3,$U3)=0,$E3="F",$AN3&gt;'Tournament Setup'!$B$33),$I3,"")</f>
        <v/>
      </c>
      <c r="AR3" s="12" t="str">
        <f>IF(ISNUMBER(AQ3)=TRUE,IF(_xlfn.RANK.EQ(AQ3,$AQ$2:$AQ$111)&lt;='Tournament Setup'!$D$33,_xlfn.RANK.EQ(AQ3,$AQ$2:$AQ$111),""),"")</f>
        <v/>
      </c>
      <c r="AS3" s="30" t="str">
        <f>IF(AND($G3='Tournament Setup'!$A$51,$J3&lt;&gt;0),$J3,"")</f>
        <v/>
      </c>
      <c r="AT3" s="47" t="str">
        <f>IF(ISNUMBER(AS3),IF(COUNTIFS(AT$1:AT2,_xlfn.RANK.EQ(AS3,AS$2:AS$111,0))&gt;0,_xlfn.MAXIFS(AT$1:AT2,AS$1:AS2,AS3)+1,_xlfn.RANK.EQ(AS3,AS$2:AS$111,0)),"")</f>
        <v/>
      </c>
      <c r="AU3" s="1" t="str">
        <f>IF(ISNUMBER(AS3)=TRUE,IF(_xlfn.RANK.EQ(AS3,$AS$2:$AS$111)&lt;='Tournament Setup'!$B$49,_xlfn.RANK.EQ(AS3,$AS$2:$AS$111),""),"")</f>
        <v/>
      </c>
      <c r="AV3" s="30">
        <f>IF(AND($F3='Tournament Setup'!$A$34,SUM($Q3,$S3,$U3)=0),$I3,"")</f>
        <v>63</v>
      </c>
      <c r="AW3" s="47">
        <f>IF(ISNUMBER(AV3),IF(COUNTIFS(AW$1:AW2,_xlfn.RANK.EQ(AV3,AV$2:AV$111,0))&gt;0,_xlfn.MAXIFS(AW$1:AW2,AV$1:AV2,AV3)+1,_xlfn.RANK.EQ(AV3,AV$2:AV$111,0)),"")</f>
        <v>4</v>
      </c>
      <c r="AX3" s="1" t="str">
        <f>IF(ISNUMBER(AV3)=TRUE,IF(_xlfn.RANK.EQ(AV3,$AV$2:$AV$111)&lt;='Tournament Setup'!$B$34,_xlfn.RANK.EQ(AV3,$AV$2:$AV$111),""),"")</f>
        <v/>
      </c>
      <c r="AY3" s="31">
        <f>IF(AND($F3='Tournament Setup'!$A$34,SUM($Q3,$S3)=0,$E3="M",$AX3&gt;'Tournament Setup'!$B$34),$I3,"")</f>
        <v>63</v>
      </c>
      <c r="AZ3" s="1">
        <f>IF(ISNUMBER(AY3)=TRUE,IF(_xlfn.RANK.EQ(AY3,$AY$2:$AY$111)&lt;='Tournament Setup'!$C$34,_xlfn.RANK.EQ(AY3,$AY$2:$AY$111),""),"")</f>
        <v>1</v>
      </c>
      <c r="BA3" s="31" t="str">
        <f>IF(AND($F3='Tournament Setup'!$A$34,SUM($Q3,$U3)=0,$E3="F",$AX3&gt;'Tournament Setup'!$B$34),$I3,"")</f>
        <v/>
      </c>
      <c r="BB3" s="12" t="str">
        <f>IF(ISNUMBER(BA3)=TRUE,IF(_xlfn.RANK.EQ(BA3,$BA$2:$BA$111)&lt;='Tournament Setup'!$D$34,_xlfn.RANK.EQ(BA3,$BA$2:$BA$111),""),"")</f>
        <v/>
      </c>
      <c r="BC3" s="30" t="str">
        <f>IF(AND($G3='Tournament Setup'!$A$52,$J3&lt;&gt;0),$J3,"")</f>
        <v/>
      </c>
      <c r="BD3" s="47" t="str">
        <f>IF(ISNUMBER(BC3),IF(COUNTIFS(BD$1:BD2,_xlfn.RANK.EQ(BC3,BC$2:BC$111,0))&gt;0,_xlfn.MAXIFS(BD$1:BD2,BC$1:BC2,BC3)+1,_xlfn.RANK.EQ(BC3,BC$2:BC$111,0)),"")</f>
        <v/>
      </c>
      <c r="BE3" s="1" t="str">
        <f>IF(ISNUMBER(BC3)=TRUE,IF(_xlfn.RANK.EQ(BC3,$BC$2:$BC$111)&lt;='Tournament Setup'!$B$49,_xlfn.RANK.EQ(BC3,$BC$2:$BC$111),""),"")</f>
        <v/>
      </c>
      <c r="BF3" s="30" t="str">
        <f>IF(AND($F3='Tournament Setup'!$A$35,SUM($Q3,$S3,$U3)=0),$I3,"")</f>
        <v/>
      </c>
      <c r="BG3" s="47" t="str">
        <f>IF(ISNUMBER(BF3),IF(COUNTIFS(BG$1:BG2,_xlfn.RANK.EQ(BF3,BF$2:BF$111,0))&gt;0,_xlfn.MAXIFS(BG$1:BG2,BF$1:BF2,BF3)+1,_xlfn.RANK.EQ(BF3,BF$2:BF$111,0)),"")</f>
        <v/>
      </c>
      <c r="BH3" s="1" t="str">
        <f>IF(ISNUMBER(BF3)=TRUE,IF(_xlfn.RANK.EQ(BF3,$BF$2:$BF$111)&lt;='Tournament Setup'!$B$35,_xlfn.RANK.EQ(BF3,$BF$2:$BF$111),""),"")</f>
        <v/>
      </c>
      <c r="BI3" s="31" t="str">
        <f>IF(AND($F3='Tournament Setup'!$A$35,SUM($Q3,$S3)=0,$E3="M",$BH3&gt;'Tournament Setup'!$B$35),$I3,"")</f>
        <v/>
      </c>
      <c r="BJ3" s="1" t="str">
        <f>IF(ISNUMBER(BI3)=TRUE,IF(_xlfn.RANK.EQ(BI3,$BI$2:$BI$111)&lt;='Tournament Setup'!$C$35,_xlfn.RANK.EQ(BI3,$BI$2:$BI$111),""),"")</f>
        <v/>
      </c>
      <c r="BK3" s="31" t="str">
        <f>IF(AND($F3='Tournament Setup'!$A$35,SUM($Q3,$U3)=0,$E3="F",$BH3&gt;'Tournament Setup'!$B$35),$I3,"")</f>
        <v/>
      </c>
      <c r="BL3" s="12" t="str">
        <f>IF(ISNUMBER(BK3)=TRUE,IF(_xlfn.RANK.EQ(BK3,$BK$2:$BK$111)&lt;='Tournament Setup'!$D$35,_xlfn.RANK.EQ(BK3,$BK$2:$BK$111),""),"")</f>
        <v/>
      </c>
      <c r="BM3" s="30" t="str">
        <f>IF(AND($G3='Tournament Setup'!$A$54,$J3&lt;&gt;0),$J3,"")</f>
        <v/>
      </c>
      <c r="BN3" s="47" t="str">
        <f>IF(ISNUMBER(BM3),IF(COUNTIFS(BN$1:BN2,_xlfn.RANK.EQ(BM3,BM$2:BM$111,0))&gt;0,_xlfn.MAXIFS(BN$1:BN2,BM$1:BM2,BM3)+1,_xlfn.RANK.EQ(BM3,BM$2:BM$111,0)),"")</f>
        <v/>
      </c>
      <c r="BO3" s="1" t="str">
        <f>IF(ISNUMBER(BM3)=TRUE,IF(_xlfn.RANK.EQ(BM3,$BM$2:$BM$111)&lt;='Tournament Setup'!$B$49,_xlfn.RANK.EQ(BM3,$BM$2:$BM$111),""),"")</f>
        <v/>
      </c>
      <c r="BP3" s="30" t="str">
        <f>IF(AND($F3='Tournament Setup'!$A$36,SUM($Q3,$S3,$U3)=0),$I3,"")</f>
        <v/>
      </c>
      <c r="BQ3" s="47" t="str">
        <f>IF(ISNUMBER(BP3),IF(COUNTIFS(BQ$1:BQ2,_xlfn.RANK.EQ(BP3,BP$2:BP$111,0))&gt;0,_xlfn.MAXIFS(BQ$1:BQ2,BP$1:BP2,BP3)+1,_xlfn.RANK.EQ(BP3,BP$2:BP$111,0)),"")</f>
        <v/>
      </c>
      <c r="BR3" s="1" t="str">
        <f>IF(ISNUMBER(BP3)=TRUE,IF(_xlfn.RANK.EQ(BP3,$BP$2:$BP$111)&lt;='Tournament Setup'!$B$36,_xlfn.RANK.EQ(BP3,$BP$2:$BP$111),""),"")</f>
        <v/>
      </c>
      <c r="BS3" s="31" t="str">
        <f>IF(AND($F3='Tournament Setup'!$A$36,SUM($Q3,$S3)=0,$E3="M",$BR3&gt;'Tournament Setup'!$B$36),$I3,"")</f>
        <v/>
      </c>
      <c r="BT3" s="1" t="str">
        <f>IF(ISNUMBER(BS3)=TRUE,IF(_xlfn.RANK.EQ(BS3,$BS$2:$BS$111)&lt;='Tournament Setup'!$C$36,_xlfn.RANK.EQ(BS3,$BS$2:$BS$111),""),"")</f>
        <v/>
      </c>
      <c r="BU3" s="31" t="str">
        <f>IF(AND($F3='Tournament Setup'!$A$36,SUM($Q3,$U3)=0,$E3="F",$BR3&gt;'Tournament Setup'!$B$36),$I3,"")</f>
        <v/>
      </c>
      <c r="BV3" s="12" t="str">
        <f>IF(ISNUMBER(BU3)=TRUE,IF(_xlfn.RANK.EQ(BU3,$BU$2:$BU$111)&lt;='Tournament Setup'!$D$36,_xlfn.RANK.EQ(BU3,$BU$2:$BU$111),""),"")</f>
        <v/>
      </c>
      <c r="BW3" s="30" t="str">
        <f>IF($H3='Tournament Setup'!$A$41,$I3,"")</f>
        <v/>
      </c>
      <c r="BX3" s="47" t="str">
        <f>IF(ISNUMBER(BW3),IF(COUNTIFS(BX$1:BX2,_xlfn.RANK.EQ(BW3,BW$2:BW$111,0))&gt;0,_xlfn.MAXIFS(BX$1:BX2,BW$1:BW2,BW3)+1,_xlfn.RANK.EQ(BW3,BW$2:BW$111,0)),"")</f>
        <v/>
      </c>
      <c r="BY3" s="1" t="str">
        <f>IF(ISNUMBER(BW3)=TRUE,IF(_xlfn.RANK.EQ(BW3,$BW$2:$BW$111)&lt;='Tournament Setup'!$B$41,_xlfn.RANK.EQ(BW3,$BW$2:$BW$111),""),"")</f>
        <v/>
      </c>
      <c r="BZ3" s="31" t="str">
        <f>IF(AND($H3='Tournament Setup'!$A$41,$E3="M",$BY3&gt;'Tournament Setup'!$B$41),$I3,"")</f>
        <v/>
      </c>
      <c r="CA3" s="1" t="str">
        <f>IF(ISNUMBER(BZ3)=TRUE,IF(_xlfn.RANK.EQ(BZ3,$BZ$2:$BZ$111)&lt;='Tournament Setup'!$C$41,_xlfn.RANK.EQ(BZ3,$BZ$2:$BZ$111),""),"")</f>
        <v/>
      </c>
      <c r="CB3" s="31" t="str">
        <f>IF(AND($H3='Tournament Setup'!$A$41,$E3="F",$BY3&gt;'Tournament Setup'!$B$41),$I3,"")</f>
        <v/>
      </c>
      <c r="CC3" s="12" t="str">
        <f>IF(ISNUMBER(CB3)=TRUE,IF(_xlfn.RANK.EQ(CB3,$CB$2:$CB$111)&lt;='Tournament Setup'!$D$41,_xlfn.RANK.EQ(CB3,$CB$2:$CB$111),""),"")</f>
        <v/>
      </c>
      <c r="CD3" s="30">
        <f>IF($H3='Tournament Setup'!$A$42,$I3,"")</f>
        <v>63</v>
      </c>
      <c r="CE3" s="47">
        <f>IF(ISNUMBER(CD3),IF(COUNTIFS(CE$1:CE2,_xlfn.RANK.EQ(CD3,CD$2:CD$111,0))&gt;0,_xlfn.MAXIFS(CE$1:CE2,CD$1:CD2,CD3)+1,_xlfn.RANK.EQ(CD3,CD$2:CD$111,0)),"")</f>
        <v>14</v>
      </c>
      <c r="CF3" s="1" t="str">
        <f>IF(ISNUMBER(CD3)=TRUE,IF(_xlfn.RANK.EQ(CD3,$CD$2:$CD$111)&lt;='Tournament Setup'!$B$42,_xlfn.RANK.EQ(CD3,$CD$2:$CD$111),""),"")</f>
        <v/>
      </c>
      <c r="CG3" s="31">
        <f>IF(AND($H3='Tournament Setup'!$A$42,$E3="M",$CF3&gt;'Tournament Setup'!$B$42),$I3,"")</f>
        <v>63</v>
      </c>
      <c r="CH3" s="1" t="str">
        <f>IF(ISNUMBER(CG3)=TRUE,IF(_xlfn.RANK.EQ(CG3,$CG$2:$CG$111)&lt;='Tournament Setup'!$C$42,_xlfn.RANK.EQ(CG3,$CG$2:$CG$111),""),"")</f>
        <v/>
      </c>
      <c r="CI3" s="31" t="str">
        <f>IF(AND($H3='Tournament Setup'!$A$42,$E3="F",$CF3&gt;'Tournament Setup'!$B$42),$I3,"")</f>
        <v/>
      </c>
      <c r="CJ3" s="12" t="str">
        <f>IF(ISNUMBER(CI3)=TRUE,IF(_xlfn.RANK.EQ(CI3,$CI$2:$CI$111)&lt;='Tournament Setup'!$D$42,_xlfn.RANK.EQ(CI3,$CI$2:$CI$111),""),"")</f>
        <v/>
      </c>
      <c r="CK3" s="30" t="str">
        <f>IF($H3='Tournament Setup'!$A$43,$I3,"")</f>
        <v/>
      </c>
      <c r="CL3" s="47" t="str">
        <f>IF(ISNUMBER(CK3),IF(COUNTIFS(CL$1:CL2,_xlfn.RANK.EQ(CK3,CK$2:CK$111,0))&gt;0,_xlfn.MAXIFS(CL$1:CL2,CK$1:CK2,CK3)+1,_xlfn.RANK.EQ(CK3,CK$2:CK$111,0)),"")</f>
        <v/>
      </c>
      <c r="CM3" s="1" t="str">
        <f>IF(ISNUMBER(CK3)=TRUE,IF(_xlfn.RANK.EQ(CK3,$CK$2:$CK$111)&lt;='Tournament Setup'!$B$43,_xlfn.RANK.EQ(CK3,$CK$2:$CK$111),""),"")</f>
        <v/>
      </c>
      <c r="CN3" s="31" t="str">
        <f>IF(AND($H3='Tournament Setup'!$A$43,$E3="M",$CM3&gt;'Tournament Setup'!$B$43),$I3,"")</f>
        <v/>
      </c>
      <c r="CO3" s="1" t="str">
        <f>IF(ISNUMBER(CN3)=TRUE,IF(_xlfn.RANK.EQ(CN3,$CN$2:$CN$111)&lt;='Tournament Setup'!$C$43,_xlfn.RANK.EQ(CN3,$CN$2:$CN$111),""),"")</f>
        <v/>
      </c>
      <c r="CP3" s="31" t="str">
        <f>IF(AND($H3='Tournament Setup'!$A$43,$E3="F",$CM3&gt;'Tournament Setup'!$B$43),$I3,"")</f>
        <v/>
      </c>
      <c r="CQ3" s="12" t="str">
        <f>IF(ISNUMBER(CP3)=TRUE,IF(_xlfn.RANK.EQ(CP3,$CP$2:$CP$111)&lt;='Tournament Setup'!$D$43,_xlfn.RANK.EQ(CP3,$CP$2:$CP$111),""),"")</f>
        <v/>
      </c>
      <c r="CR3" s="30" t="str">
        <f>IF($H3='Tournament Setup'!$A$44,$I3,"")</f>
        <v/>
      </c>
      <c r="CS3" s="47" t="str">
        <f>IF(ISNUMBER(CR3),IF(COUNTIFS(CS$1:CS2,_xlfn.RANK.EQ(CR3,CR$2:CR$111,0))&gt;0,_xlfn.MAXIFS(CS$1:CS2,CR$1:CR2,CR3)+1,_xlfn.RANK.EQ(CR3,CR$2:CR$111,0)),"")</f>
        <v/>
      </c>
      <c r="CT3" s="1" t="str">
        <f>IF(ISNUMBER(CR3)=TRUE,IF(_xlfn.RANK.EQ(CR3,$CR$2:$CR$111)&lt;='Tournament Setup'!$B$44,_xlfn.RANK.EQ(CR3,$CR$2:$CR$111),""),"")</f>
        <v/>
      </c>
      <c r="CU3" s="31" t="str">
        <f>IF(AND($H3='Tournament Setup'!$A$44,$E3="M",$CT3&gt;'Tournament Setup'!$B$44),$I3,"")</f>
        <v/>
      </c>
      <c r="CV3" s="1" t="str">
        <f>IF(ISNUMBER(CU3)=TRUE,IF(_xlfn.RANK.EQ(CU3,$CU$2:$CU$111)&lt;='Tournament Setup'!$C$44,_xlfn.RANK.EQ(CU3,$CU$2:$CU$111),""),"")</f>
        <v/>
      </c>
      <c r="CW3" s="31" t="str">
        <f>IF(AND($H3='Tournament Setup'!$A$44,$E3="F",$CT3&gt;'Tournament Setup'!$B$44),$I3,"")</f>
        <v/>
      </c>
      <c r="CX3" s="12" t="str">
        <f>IF(ISNUMBER(CW3)=TRUE,IF(_xlfn.RANK.EQ(CW3,$CW$2:$CW$111)&lt;='Tournament Setup'!$D$44,_xlfn.RANK.EQ(CW3,$CW$2:$CW$111),""),"")</f>
        <v/>
      </c>
    </row>
    <row r="4" spans="1:102" x14ac:dyDescent="0.3">
      <c r="A4" t="s">
        <v>39</v>
      </c>
      <c r="B4" t="str">
        <f>IFERROR(INDEX('Tournament List'!$B:$B,MATCH($A4,'Tournament List'!$A:$A,0)),"")</f>
        <v>Cathy</v>
      </c>
      <c r="C4" t="str">
        <f>IFERROR(INDEX('Tournament List'!$C:$C,MATCH($A4,'Tournament List'!$A:$A,0)),"")</f>
        <v>Last Name3</v>
      </c>
      <c r="D4" t="str">
        <f t="shared" si="0"/>
        <v>Cathy Last Name3</v>
      </c>
      <c r="E4" s="1" t="str">
        <f>IFERROR(INDEX('Tournament List'!F:F,MATCH($A4,'Tournament List'!$A:$A,0)),"")</f>
        <v>F</v>
      </c>
      <c r="F4" t="str">
        <f>IFERROR(INDEX('Tournament List'!M:M,MATCH($A4,'Tournament List'!$A:$A,0)),"")</f>
        <v>Novice</v>
      </c>
      <c r="G4" t="str">
        <f>IFERROR(INDEX('Shooter-Squad Assignment'!L:L,MATCH(A4,'Shooter-Squad Assignment'!A:A,0)),"")</f>
        <v/>
      </c>
      <c r="H4" s="1" t="str">
        <f>IFERROR(INDEX('Tournament List'!AD:AD,MATCH($A4,'Tournament List'!$A:$A,0)),"")</f>
        <v>B</v>
      </c>
      <c r="I4" s="123">
        <f>IFERROR(INDEX('Tournament List'!AG:AG,MATCH($A4,'Tournament List'!$A:$A,0)),"")</f>
        <v>96</v>
      </c>
      <c r="J4" s="145" t="str">
        <f>IFERROR(INDEX('Tournament List'!Y:Y,MATCH($A4,'Tournament List'!$A:$A,0)),"")</f>
        <v/>
      </c>
      <c r="K4" s="47" t="str">
        <f>IFERROR(INDEX('Tournament List'!S:S,MATCH(A4,'Tournament List'!A:A,0)),"")</f>
        <v/>
      </c>
      <c r="L4" s="47" t="str">
        <f>IF(ISNUMBER(J4),IF(COUNTIFS(L$1:L3,_xlfn.RANK.EQ(J4,J$2:J$111,0))&gt;0,_xlfn.MAXIFS(L$1:L3,J$1:J3,J4)+1,_xlfn.RANK.EQ(J4,J$2:J$111,0)),"")</f>
        <v/>
      </c>
      <c r="M4" s="11">
        <f>IF(ISNUMBER(I4)=TRUE,IF(I4&gt;0,_xlfn.RANK.EQ(I4,$I$2:$I$111,0),""),"")</f>
        <v>3</v>
      </c>
      <c r="N4" s="56">
        <f>IF(ISNUMBER(I4),IF(COUNTIFS(N$1:N3,_xlfn.RANK.EQ(I4,I$2:I$111,0))&gt;0,_xlfn.MAXIFS(N$1:N3,I$1:I3,I4)+1,_xlfn.RANK.EQ(I4,I$2:I$111,0)),"")</f>
        <v>3</v>
      </c>
      <c r="O4" s="144">
        <f>IF(F4&lt;&gt;"Collegiate"=TRUE,$I4,"")</f>
        <v>96</v>
      </c>
      <c r="P4" s="47">
        <f>IF(ISNUMBER(O4),IF(COUNTIFS(P$1:P3,_xlfn.RANK.EQ(O4,O$2:O$111,0))&gt;0,_xlfn.MAXIFS(P$1:P3,O$1:O3,O4)+1,_xlfn.RANK.EQ(O4,O$2:O$111,0)),"")</f>
        <v>3</v>
      </c>
      <c r="Q4" s="1">
        <f>IF(ISNUMBER(O4)=TRUE,IF(_xlfn.RANK.EQ(O4,$O$2:$O$111)&lt;='Tournament Setup'!$B$26,_xlfn.RANK.EQ(O4,$O$2:$O$111),""),"")</f>
        <v>3</v>
      </c>
      <c r="R4" s="143" t="str">
        <f>IF(AND($E4="M",SUM($Q4)=0,F4&lt;&gt;"Collegiate")=TRUE,$I4,"")</f>
        <v/>
      </c>
      <c r="S4" s="1" t="str">
        <f>IF(ISNUMBER(R4)=TRUE,IF(_xlfn.RANK.EQ(R4,$R$2:$R$111)&lt;='Tournament Setup'!$B$27,_xlfn.RANK.EQ(R4,$R$2:$R$111),""),"")</f>
        <v/>
      </c>
      <c r="T4" s="143" t="str">
        <f>IF(AND($E4="F",SUM($Q4)=0,F4&lt;&gt;"Collegiate")=TRUE,$I4,"")</f>
        <v/>
      </c>
      <c r="U4" s="12" t="str">
        <f>IF(ISNUMBER(T4)=TRUE,IF(_xlfn.RANK.EQ(T4,$T$2:$T$111)&lt;='Tournament Setup'!$B$28,_xlfn.RANK.EQ(T4,$T$2:$T$111),""),"")</f>
        <v/>
      </c>
      <c r="V4" s="145" t="str">
        <f>IF(AND($G4='Tournament Setup'!$A$53,$J4&lt;&gt;0),$J4,"")</f>
        <v/>
      </c>
      <c r="W4" s="47" t="str">
        <f>IF(ISNUMBER(V4),IF(COUNTIFS(W$1:W3,_xlfn.RANK.EQ(V4,V$2:V$111,0))&gt;0,_xlfn.MAXIFS(W$1:W3,V$1:V3,V4)+1,_xlfn.RANK.EQ(V4,V$2:V$111,0)),"")</f>
        <v/>
      </c>
      <c r="X4" s="1" t="str">
        <f>IF(ISNUMBER(V4)=TRUE,IF(_xlfn.RANK.EQ(V4,$V$2:$V$111)&lt;='Tournament Setup'!$B$53,_xlfn.RANK.EQ(V4,$V$2:$V$111),""),"")</f>
        <v/>
      </c>
      <c r="Y4" s="145" t="str">
        <f>IF(AND($G4='Tournament Setup'!$A$49,$J4&lt;&gt;0),$J4,"")</f>
        <v/>
      </c>
      <c r="Z4" s="47" t="str">
        <f>IF(ISNUMBER(Y4),IF(COUNTIFS(Z$1:Z3,_xlfn.RANK.EQ(Y4,Y$2:Y$111,0))&gt;0,_xlfn.MAXIFS(Z$1:Z3,Y$1:Y3,Y4)+1,_xlfn.RANK.EQ(Y4,Y$2:Y$111,0)),"")</f>
        <v/>
      </c>
      <c r="AA4" s="1" t="str">
        <f>IF(ISNUMBER(Y4)=TRUE,IF(_xlfn.RANK.EQ(Y4,$Y$2:$Y$111)&lt;='Tournament Setup'!$B$49,_xlfn.RANK.EQ(Y4,$Y$2:$Y$111),""),"")</f>
        <v/>
      </c>
      <c r="AB4" s="30" t="str">
        <f>IF(AND($F4='Tournament Setup'!$A$32,SUM($Q4,$S4,$U4)=0),$I4,"")</f>
        <v/>
      </c>
      <c r="AC4" s="47" t="str">
        <f>IF(ISNUMBER(AB4),IF(COUNTIFS(AC$1:AC3,_xlfn.RANK.EQ(AB4,AB$2:AB$111,0))&gt;0,_xlfn.MAXIFS(AC$1:AC3,AB$1:AB3,AB4)+1,_xlfn.RANK.EQ(AB4,AB$2:AB$111,0)),"")</f>
        <v/>
      </c>
      <c r="AD4" s="1" t="str">
        <f>IF(ISNUMBER(AB4)=TRUE,IF(_xlfn.RANK.EQ(AB4,$AB$2:$AB$111)&lt;='Tournament Setup'!$B$32,_xlfn.RANK.EQ(AB4,$AB$2:$AB$111),""),"")</f>
        <v/>
      </c>
      <c r="AE4" s="31" t="str">
        <f>IF(AND($F4='Tournament Setup'!$A$32,SUM($Q4,$S4)=0,$E4="M",$AD4&gt;'Tournament Setup'!$B$32),$I4,"")</f>
        <v/>
      </c>
      <c r="AF4" s="1" t="str">
        <f>IF(ISNUMBER(AE4)=TRUE,IF(_xlfn.RANK.EQ(AE4,$AE$2:$AE$111)&lt;='Tournament Setup'!$C$32,_xlfn.RANK.EQ(AE4,$AE$2:$AE$111),""),"")</f>
        <v/>
      </c>
      <c r="AG4" s="31" t="str">
        <f>IF(AND($F4='Tournament Setup'!$A$32,SUM($Q4,$U4)=0,$E4="F",$AD4&gt;'Tournament Setup'!$B$32),$I4,"")</f>
        <v/>
      </c>
      <c r="AH4" s="12" t="str">
        <f>IF(ISNUMBER(AG4)=TRUE,IF(_xlfn.RANK.EQ(AG4,$AG$2:$AG$111)&lt;='Tournament Setup'!$D$32,_xlfn.RANK.EQ(AG4,$AG$2:$AG$111),""),"")</f>
        <v/>
      </c>
      <c r="AI4" s="30" t="str">
        <f>IF(AND($G4='Tournament Setup'!$A$50,$J4&lt;&gt;0),$J4,"")</f>
        <v/>
      </c>
      <c r="AJ4" s="47" t="str">
        <f>IF(ISNUMBER(AI4),IF(COUNTIFS(AJ$1:AJ3,_xlfn.RANK.EQ(AI4,AI$2:AI$111,0))&gt;0,_xlfn.MAXIFS(AJ$1:AJ3,AI$1:AI3,AI4)+1,_xlfn.RANK.EQ(AI4,AI$2:AI$111,0)),"")</f>
        <v/>
      </c>
      <c r="AK4" s="1" t="str">
        <f>IF(ISNUMBER(AI4)=TRUE,IF(_xlfn.RANK.EQ(AI4,$AI$2:$AI$111)&lt;='Tournament Setup'!$B$49,_xlfn.RANK.EQ(AI4,$AI$2:$AI$111),""),"")</f>
        <v/>
      </c>
      <c r="AL4" s="30" t="str">
        <f>IF(AND($F4='Tournament Setup'!$A$33,SUM($Q4,$S4,$U4)=0),$I4,"")</f>
        <v/>
      </c>
      <c r="AM4" s="47" t="str">
        <f>IF(ISNUMBER(AL4),IF(COUNTIFS(AM$1:AM3,_xlfn.RANK.EQ(AL4,AL$2:AL$111,0))&gt;0,_xlfn.MAXIFS(AM$1:AM3,AL$1:AL3,AL4)+1,_xlfn.RANK.EQ(AL4,AL$2:AL$111,0)),"")</f>
        <v/>
      </c>
      <c r="AN4" s="1" t="str">
        <f>IF(ISNUMBER(AL4)=TRUE,IF(_xlfn.RANK.EQ(AL4,$AL$2:$AL$111)&lt;='Tournament Setup'!$B$33,_xlfn.RANK.EQ(AL4,$AL$2:$AL$111),""),"")</f>
        <v/>
      </c>
      <c r="AO4" s="31" t="str">
        <f>IF(AND($F4='Tournament Setup'!$A$33,SUM($Q4,$S4)=0,$E4="M",$AN4&gt;'Tournament Setup'!$B$33),$I4,"")</f>
        <v/>
      </c>
      <c r="AP4" s="1" t="str">
        <f>IF(ISNUMBER(AO4)=TRUE,IF(_xlfn.RANK.EQ(AO4,$AO$2:$AO$111)&lt;='Tournament Setup'!$C$33,_xlfn.RANK.EQ(AO4,$AO$2:$AO$111),""),"")</f>
        <v/>
      </c>
      <c r="AQ4" s="31" t="str">
        <f>IF(AND($F4='Tournament Setup'!$A$33,SUM($Q4,$U4)=0,$E4="F",$AN4&gt;'Tournament Setup'!$B$33),$I4,"")</f>
        <v/>
      </c>
      <c r="AR4" s="12" t="str">
        <f>IF(ISNUMBER(AQ4)=TRUE,IF(_xlfn.RANK.EQ(AQ4,$AQ$2:$AQ$111)&lt;='Tournament Setup'!$D$33,_xlfn.RANK.EQ(AQ4,$AQ$2:$AQ$111),""),"")</f>
        <v/>
      </c>
      <c r="AS4" s="30" t="str">
        <f>IF(AND($G4='Tournament Setup'!$A$51,$J4&lt;&gt;0),$J4,"")</f>
        <v/>
      </c>
      <c r="AT4" s="47" t="str">
        <f>IF(ISNUMBER(AS4),IF(COUNTIFS(AT$1:AT3,_xlfn.RANK.EQ(AS4,AS$2:AS$111,0))&gt;0,_xlfn.MAXIFS(AT$1:AT3,AS$1:AS3,AS4)+1,_xlfn.RANK.EQ(AS4,AS$2:AS$111,0)),"")</f>
        <v/>
      </c>
      <c r="AU4" s="1" t="str">
        <f>IF(ISNUMBER(AS4)=TRUE,IF(_xlfn.RANK.EQ(AS4,$AS$2:$AS$111)&lt;='Tournament Setup'!$B$49,_xlfn.RANK.EQ(AS4,$AS$2:$AS$111),""),"")</f>
        <v/>
      </c>
      <c r="AV4" s="30" t="str">
        <f>IF(AND($F4='Tournament Setup'!$A$34,SUM($Q4,$S4,$U4)=0),$I4,"")</f>
        <v/>
      </c>
      <c r="AW4" s="47" t="str">
        <f>IF(ISNUMBER(AV4),IF(COUNTIFS(AW$1:AW3,_xlfn.RANK.EQ(AV4,AV$2:AV$111,0))&gt;0,_xlfn.MAXIFS(AW$1:AW3,AV$1:AV3,AV4)+1,_xlfn.RANK.EQ(AV4,AV$2:AV$111,0)),"")</f>
        <v/>
      </c>
      <c r="AX4" s="1" t="str">
        <f>IF(ISNUMBER(AV4)=TRUE,IF(_xlfn.RANK.EQ(AV4,$AV$2:$AV$111)&lt;='Tournament Setup'!$B$34,_xlfn.RANK.EQ(AV4,$AV$2:$AV$111),""),"")</f>
        <v/>
      </c>
      <c r="AY4" s="31" t="str">
        <f>IF(AND($F4='Tournament Setup'!$A$34,SUM($Q4,$S4)=0,$E4="M",$AX4&gt;'Tournament Setup'!$B$34),$I4,"")</f>
        <v/>
      </c>
      <c r="AZ4" s="1" t="str">
        <f>IF(ISNUMBER(AY4)=TRUE,IF(_xlfn.RANK.EQ(AY4,$AY$2:$AY$111)&lt;='Tournament Setup'!$C$34,_xlfn.RANK.EQ(AY4,$AY$2:$AY$111),""),"")</f>
        <v/>
      </c>
      <c r="BA4" s="31" t="str">
        <f>IF(AND($F4='Tournament Setup'!$A$34,SUM($Q4,$U4)=0,$E4="F",$AX4&gt;'Tournament Setup'!$B$34),$I4,"")</f>
        <v/>
      </c>
      <c r="BB4" s="12" t="str">
        <f>IF(ISNUMBER(BA4)=TRUE,IF(_xlfn.RANK.EQ(BA4,$BA$2:$BA$111)&lt;='Tournament Setup'!$D$34,_xlfn.RANK.EQ(BA4,$BA$2:$BA$111),""),"")</f>
        <v/>
      </c>
      <c r="BC4" s="30" t="str">
        <f>IF(AND($G4='Tournament Setup'!$A$52,$J4&lt;&gt;0),$J4,"")</f>
        <v/>
      </c>
      <c r="BD4" s="47" t="str">
        <f>IF(ISNUMBER(BC4),IF(COUNTIFS(BD$1:BD3,_xlfn.RANK.EQ(BC4,BC$2:BC$111,0))&gt;0,_xlfn.MAXIFS(BD$1:BD3,BC$1:BC3,BC4)+1,_xlfn.RANK.EQ(BC4,BC$2:BC$111,0)),"")</f>
        <v/>
      </c>
      <c r="BE4" s="1" t="str">
        <f>IF(ISNUMBER(BC4)=TRUE,IF(_xlfn.RANK.EQ(BC4,$BC$2:$BC$111)&lt;='Tournament Setup'!$B$49,_xlfn.RANK.EQ(BC4,$BC$2:$BC$111),""),"")</f>
        <v/>
      </c>
      <c r="BF4" s="30" t="str">
        <f>IF(AND($F4='Tournament Setup'!$A$35,SUM($Q4,$S4,$U4)=0),$I4,"")</f>
        <v/>
      </c>
      <c r="BG4" s="47" t="str">
        <f>IF(ISNUMBER(BF4),IF(COUNTIFS(BG$1:BG3,_xlfn.RANK.EQ(BF4,BF$2:BF$111,0))&gt;0,_xlfn.MAXIFS(BG$1:BG3,BF$1:BF3,BF4)+1,_xlfn.RANK.EQ(BF4,BF$2:BF$111,0)),"")</f>
        <v/>
      </c>
      <c r="BH4" s="1" t="str">
        <f>IF(ISNUMBER(BF4)=TRUE,IF(_xlfn.RANK.EQ(BF4,$BF$2:$BF$111)&lt;='Tournament Setup'!$B$35,_xlfn.RANK.EQ(BF4,$BF$2:$BF$111),""),"")</f>
        <v/>
      </c>
      <c r="BI4" s="31" t="str">
        <f>IF(AND($F4='Tournament Setup'!$A$35,SUM($Q4,$S4)=0,$E4="M",$BH4&gt;'Tournament Setup'!$B$35),$I4,"")</f>
        <v/>
      </c>
      <c r="BJ4" s="1" t="str">
        <f>IF(ISNUMBER(BI4)=TRUE,IF(_xlfn.RANK.EQ(BI4,$BI$2:$BI$111)&lt;='Tournament Setup'!$C$35,_xlfn.RANK.EQ(BI4,$BI$2:$BI$111),""),"")</f>
        <v/>
      </c>
      <c r="BK4" s="31" t="str">
        <f>IF(AND($F4='Tournament Setup'!$A$35,SUM($Q4,$U4)=0,$E4="F",$BH4&gt;'Tournament Setup'!$B$35),$I4,"")</f>
        <v/>
      </c>
      <c r="BL4" s="12" t="str">
        <f>IF(ISNUMBER(BK4)=TRUE,IF(_xlfn.RANK.EQ(BK4,$BK$2:$BK$111)&lt;='Tournament Setup'!$D$35,_xlfn.RANK.EQ(BK4,$BK$2:$BK$111),""),"")</f>
        <v/>
      </c>
      <c r="BM4" s="30" t="str">
        <f>IF(AND($G4='Tournament Setup'!$A$54,$J4&lt;&gt;0),$J4,"")</f>
        <v/>
      </c>
      <c r="BN4" s="47" t="str">
        <f>IF(ISNUMBER(BM4),IF(COUNTIFS(BN$1:BN3,_xlfn.RANK.EQ(BM4,BM$2:BM$111,0))&gt;0,_xlfn.MAXIFS(BN$1:BN3,BM$1:BM3,BM4)+1,_xlfn.RANK.EQ(BM4,BM$2:BM$111,0)),"")</f>
        <v/>
      </c>
      <c r="BO4" s="1" t="str">
        <f>IF(ISNUMBER(BM4)=TRUE,IF(_xlfn.RANK.EQ(BM4,$BM$2:$BM$111)&lt;='Tournament Setup'!$B$49,_xlfn.RANK.EQ(BM4,$BM$2:$BM$111),""),"")</f>
        <v/>
      </c>
      <c r="BP4" s="30" t="str">
        <f>IF(AND($F4='Tournament Setup'!$A$36,SUM($Q4,$S4,$U4)=0),$I4,"")</f>
        <v/>
      </c>
      <c r="BQ4" s="47" t="str">
        <f>IF(ISNUMBER(BP4),IF(COUNTIFS(BQ$1:BQ3,_xlfn.RANK.EQ(BP4,BP$2:BP$111,0))&gt;0,_xlfn.MAXIFS(BQ$1:BQ3,BP$1:BP3,BP4)+1,_xlfn.RANK.EQ(BP4,BP$2:BP$111,0)),"")</f>
        <v/>
      </c>
      <c r="BR4" s="1" t="str">
        <f>IF(ISNUMBER(BP4)=TRUE,IF(_xlfn.RANK.EQ(BP4,$BP$2:$BP$111)&lt;='Tournament Setup'!$B$36,_xlfn.RANK.EQ(BP4,$BP$2:$BP$111),""),"")</f>
        <v/>
      </c>
      <c r="BS4" s="31" t="str">
        <f>IF(AND($F4='Tournament Setup'!$A$36,SUM($Q4,$S4)=0,$E4="M",$BR4&gt;'Tournament Setup'!$B$36),$I4,"")</f>
        <v/>
      </c>
      <c r="BT4" s="1" t="str">
        <f>IF(ISNUMBER(BS4)=TRUE,IF(_xlfn.RANK.EQ(BS4,$BS$2:$BS$111)&lt;='Tournament Setup'!$C$36,_xlfn.RANK.EQ(BS4,$BS$2:$BS$111),""),"")</f>
        <v/>
      </c>
      <c r="BU4" s="31" t="str">
        <f>IF(AND($F4='Tournament Setup'!$A$36,SUM($Q4,$U4)=0,$E4="F",$BR4&gt;'Tournament Setup'!$B$36),$I4,"")</f>
        <v/>
      </c>
      <c r="BV4" s="12" t="str">
        <f>IF(ISNUMBER(BU4)=TRUE,IF(_xlfn.RANK.EQ(BU4,$BU$2:$BU$111)&lt;='Tournament Setup'!$D$36,_xlfn.RANK.EQ(BU4,$BU$2:$BU$111),""),"")</f>
        <v/>
      </c>
      <c r="BW4" s="30" t="str">
        <f>IF($H4='Tournament Setup'!$A$41,$I4,"")</f>
        <v/>
      </c>
      <c r="BX4" s="47" t="str">
        <f>IF(ISNUMBER(BW4),IF(COUNTIFS(BX$1:BX3,_xlfn.RANK.EQ(BW4,BW$2:BW$111,0))&gt;0,_xlfn.MAXIFS(BX$1:BX3,BW$1:BW3,BW4)+1,_xlfn.RANK.EQ(BW4,BW$2:BW$111,0)),"")</f>
        <v/>
      </c>
      <c r="BY4" s="1" t="str">
        <f>IF(ISNUMBER(BW4)=TRUE,IF(_xlfn.RANK.EQ(BW4,$BW$2:$BW$111)&lt;='Tournament Setup'!$B$41,_xlfn.RANK.EQ(BW4,$BW$2:$BW$111),""),"")</f>
        <v/>
      </c>
      <c r="BZ4" s="31" t="str">
        <f>IF(AND($H4='Tournament Setup'!$A$41,$E4="M",$BY4&gt;'Tournament Setup'!$B$41),$I4,"")</f>
        <v/>
      </c>
      <c r="CA4" s="1" t="str">
        <f>IF(ISNUMBER(BZ4)=TRUE,IF(_xlfn.RANK.EQ(BZ4,$BZ$2:$BZ$111)&lt;='Tournament Setup'!$C$41,_xlfn.RANK.EQ(BZ4,$BZ$2:$BZ$111),""),"")</f>
        <v/>
      </c>
      <c r="CB4" s="31" t="str">
        <f>IF(AND($H4='Tournament Setup'!$A$41,$E4="F",$BY4&gt;'Tournament Setup'!$B$41),$I4,"")</f>
        <v/>
      </c>
      <c r="CC4" s="12" t="str">
        <f>IF(ISNUMBER(CB4)=TRUE,IF(_xlfn.RANK.EQ(CB4,$CB$2:$CB$111)&lt;='Tournament Setup'!$D$41,_xlfn.RANK.EQ(CB4,$CB$2:$CB$111),""),"")</f>
        <v/>
      </c>
      <c r="CD4" s="30">
        <f>IF($H4='Tournament Setup'!$A$42,$I4,"")</f>
        <v>96</v>
      </c>
      <c r="CE4" s="47">
        <f>IF(ISNUMBER(CD4),IF(COUNTIFS(CE$1:CE3,_xlfn.RANK.EQ(CD4,CD$2:CD$111,0))&gt;0,_xlfn.MAXIFS(CE$1:CE3,CD$1:CD3,CD4)+1,_xlfn.RANK.EQ(CD4,CD$2:CD$111,0)),"")</f>
        <v>2</v>
      </c>
      <c r="CF4" s="1">
        <f>IF(ISNUMBER(CD4)=TRUE,IF(_xlfn.RANK.EQ(CD4,$CD$2:$CD$111)&lt;='Tournament Setup'!$B$42,_xlfn.RANK.EQ(CD4,$CD$2:$CD$111),""),"")</f>
        <v>2</v>
      </c>
      <c r="CG4" s="31" t="str">
        <f>IF(AND($H4='Tournament Setup'!$A$42,$E4="M",$CF4&gt;'Tournament Setup'!$B$42),$I4,"")</f>
        <v/>
      </c>
      <c r="CH4" s="1" t="str">
        <f>IF(ISNUMBER(CG4)=TRUE,IF(_xlfn.RANK.EQ(CG4,$CG$2:$CG$111)&lt;='Tournament Setup'!$C$42,_xlfn.RANK.EQ(CG4,$CG$2:$CG$111),""),"")</f>
        <v/>
      </c>
      <c r="CI4" s="31" t="str">
        <f>IF(AND($H4='Tournament Setup'!$A$42,$E4="F",$CF4&gt;'Tournament Setup'!$B$42),$I4,"")</f>
        <v/>
      </c>
      <c r="CJ4" s="12" t="str">
        <f>IF(ISNUMBER(CI4)=TRUE,IF(_xlfn.RANK.EQ(CI4,$CI$2:$CI$111)&lt;='Tournament Setup'!$D$42,_xlfn.RANK.EQ(CI4,$CI$2:$CI$111),""),"")</f>
        <v/>
      </c>
      <c r="CK4" s="30" t="str">
        <f>IF($H4='Tournament Setup'!$A$43,$I4,"")</f>
        <v/>
      </c>
      <c r="CL4" s="47" t="str">
        <f>IF(ISNUMBER(CK4),IF(COUNTIFS(CL$1:CL3,_xlfn.RANK.EQ(CK4,CK$2:CK$111,0))&gt;0,_xlfn.MAXIFS(CL$1:CL3,CK$1:CK3,CK4)+1,_xlfn.RANK.EQ(CK4,CK$2:CK$111,0)),"")</f>
        <v/>
      </c>
      <c r="CM4" s="1" t="str">
        <f>IF(ISNUMBER(CK4)=TRUE,IF(_xlfn.RANK.EQ(CK4,$CK$2:$CK$111)&lt;='Tournament Setup'!$B$43,_xlfn.RANK.EQ(CK4,$CK$2:$CK$111),""),"")</f>
        <v/>
      </c>
      <c r="CN4" s="31" t="str">
        <f>IF(AND($H4='Tournament Setup'!$A$43,$E4="M",$CM4&gt;'Tournament Setup'!$B$43),$I4,"")</f>
        <v/>
      </c>
      <c r="CO4" s="1" t="str">
        <f>IF(ISNUMBER(CN4)=TRUE,IF(_xlfn.RANK.EQ(CN4,$CN$2:$CN$111)&lt;='Tournament Setup'!$C$43,_xlfn.RANK.EQ(CN4,$CN$2:$CN$111),""),"")</f>
        <v/>
      </c>
      <c r="CP4" s="31" t="str">
        <f>IF(AND($H4='Tournament Setup'!$A$43,$E4="F",$CM4&gt;'Tournament Setup'!$B$43),$I4,"")</f>
        <v/>
      </c>
      <c r="CQ4" s="12" t="str">
        <f>IF(ISNUMBER(CP4)=TRUE,IF(_xlfn.RANK.EQ(CP4,$CP$2:$CP$111)&lt;='Tournament Setup'!$D$43,_xlfn.RANK.EQ(CP4,$CP$2:$CP$111),""),"")</f>
        <v/>
      </c>
      <c r="CR4" s="30" t="str">
        <f>IF($H4='Tournament Setup'!$A$44,$I4,"")</f>
        <v/>
      </c>
      <c r="CS4" s="47" t="str">
        <f>IF(ISNUMBER(CR4),IF(COUNTIFS(CS$1:CS3,_xlfn.RANK.EQ(CR4,CR$2:CR$111,0))&gt;0,_xlfn.MAXIFS(CS$1:CS3,CR$1:CR3,CR4)+1,_xlfn.RANK.EQ(CR4,CR$2:CR$111,0)),"")</f>
        <v/>
      </c>
      <c r="CT4" s="1" t="str">
        <f>IF(ISNUMBER(CR4)=TRUE,IF(_xlfn.RANK.EQ(CR4,$CR$2:$CR$111)&lt;='Tournament Setup'!$B$44,_xlfn.RANK.EQ(CR4,$CR$2:$CR$111),""),"")</f>
        <v/>
      </c>
      <c r="CU4" s="31" t="str">
        <f>IF(AND($H4='Tournament Setup'!$A$44,$E4="M",$CT4&gt;'Tournament Setup'!$B$44),$I4,"")</f>
        <v/>
      </c>
      <c r="CV4" s="1" t="str">
        <f>IF(ISNUMBER(CU4)=TRUE,IF(_xlfn.RANK.EQ(CU4,$CU$2:$CU$111)&lt;='Tournament Setup'!$C$44,_xlfn.RANK.EQ(CU4,$CU$2:$CU$111),""),"")</f>
        <v/>
      </c>
      <c r="CW4" s="31" t="str">
        <f>IF(AND($H4='Tournament Setup'!$A$44,$E4="F",$CT4&gt;'Tournament Setup'!$B$44),$I4,"")</f>
        <v/>
      </c>
      <c r="CX4" s="12" t="str">
        <f>IF(ISNUMBER(CW4)=TRUE,IF(_xlfn.RANK.EQ(CW4,$CW$2:$CW$111)&lt;='Tournament Setup'!$D$44,_xlfn.RANK.EQ(CW4,$CW$2:$CW$111),""),"")</f>
        <v/>
      </c>
    </row>
    <row r="5" spans="1:102" x14ac:dyDescent="0.3">
      <c r="A5" t="s">
        <v>40</v>
      </c>
      <c r="B5" t="str">
        <f>IFERROR(INDEX('Tournament List'!$B:$B,MATCH($A5,'Tournament List'!$A:$A,0)),"")</f>
        <v>Susan</v>
      </c>
      <c r="C5" t="str">
        <f>IFERROR(INDEX('Tournament List'!$C:$C,MATCH($A5,'Tournament List'!$A:$A,0)),"")</f>
        <v>Last Name4</v>
      </c>
      <c r="D5" t="str">
        <f t="shared" si="0"/>
        <v>Susan Last Name4</v>
      </c>
      <c r="E5" s="1" t="str">
        <f>IFERROR(INDEX('Tournament List'!F:F,MATCH($A5,'Tournament List'!$A:$A,0)),"")</f>
        <v>F</v>
      </c>
      <c r="F5" t="str">
        <f>IFERROR(INDEX('Tournament List'!M:M,MATCH($A5,'Tournament List'!$A:$A,0)),"")</f>
        <v>Varsity</v>
      </c>
      <c r="G5" t="str">
        <f>IFERROR(INDEX('Shooter-Squad Assignment'!L:L,MATCH(A5,'Shooter-Squad Assignment'!A:A,0)),"")</f>
        <v/>
      </c>
      <c r="H5" s="1" t="str">
        <f>IFERROR(INDEX('Tournament List'!AD:AD,MATCH($A5,'Tournament List'!$A:$A,0)),"")</f>
        <v>A</v>
      </c>
      <c r="I5" s="123">
        <f>IFERROR(INDEX('Tournament List'!AG:AG,MATCH($A5,'Tournament List'!$A:$A,0)),"")</f>
        <v>82</v>
      </c>
      <c r="J5" s="145" t="str">
        <f>IFERROR(INDEX('Tournament List'!Y:Y,MATCH($A5,'Tournament List'!$A:$A,0)),"")</f>
        <v/>
      </c>
      <c r="K5" s="47" t="str">
        <f>IFERROR(INDEX('Tournament List'!S:S,MATCH(A5,'Tournament List'!A:A,0)),"")</f>
        <v/>
      </c>
      <c r="L5" s="47" t="str">
        <f>IF(ISNUMBER(J5),IF(COUNTIFS(L$1:L4,_xlfn.RANK.EQ(J5,J$2:J$111,0))&gt;0,_xlfn.MAXIFS(L$1:L4,J$1:J4,J5)+1,_xlfn.RANK.EQ(J5,J$2:J$111,0)),"")</f>
        <v/>
      </c>
      <c r="M5" s="11">
        <f>IF(ISNUMBER(I5)=TRUE,IF(I5&gt;0,_xlfn.RANK.EQ(I5,$I$2:$I$111,0),""),"")</f>
        <v>17</v>
      </c>
      <c r="N5" s="56">
        <f>IF(ISNUMBER(I5),IF(COUNTIFS(N$1:N4,_xlfn.RANK.EQ(I5,I$2:I$111,0))&gt;0,_xlfn.MAXIFS(N$1:N4,I$1:I4,I5)+1,_xlfn.RANK.EQ(I5,I$2:I$111,0)),"")</f>
        <v>17</v>
      </c>
      <c r="O5" s="144">
        <f>IF(F5&lt;&gt;"Collegiate"=TRUE,$I5,"")</f>
        <v>82</v>
      </c>
      <c r="P5" s="47">
        <f>IF(ISNUMBER(O5),IF(COUNTIFS(P$1:P4,_xlfn.RANK.EQ(O5,O$2:O$111,0))&gt;0,_xlfn.MAXIFS(P$1:P4,O$1:O4,O5)+1,_xlfn.RANK.EQ(O5,O$2:O$111,0)),"")</f>
        <v>15</v>
      </c>
      <c r="Q5" s="1" t="str">
        <f>IF(ISNUMBER(O5)=TRUE,IF(_xlfn.RANK.EQ(O5,$O$2:$O$111)&lt;='Tournament Setup'!$B$26,_xlfn.RANK.EQ(O5,$O$2:$O$111),""),"")</f>
        <v/>
      </c>
      <c r="R5" s="143" t="str">
        <f>IF(AND($E5="M",SUM($Q5)=0,F5&lt;&gt;"Collegiate")=TRUE,$I5,"")</f>
        <v/>
      </c>
      <c r="S5" s="1" t="str">
        <f>IF(ISNUMBER(R5)=TRUE,IF(_xlfn.RANK.EQ(R5,$R$2:$R$111)&lt;='Tournament Setup'!$B$27,_xlfn.RANK.EQ(R5,$R$2:$R$111),""),"")</f>
        <v/>
      </c>
      <c r="T5" s="143">
        <f>IF(AND($E5="F",SUM($Q5)=0,F5&lt;&gt;"Collegiate")=TRUE,$I5,"")</f>
        <v>82</v>
      </c>
      <c r="U5" s="12" t="str">
        <f>IF(ISNUMBER(T5)=TRUE,IF(_xlfn.RANK.EQ(T5,$T$2:$T$111)&lt;='Tournament Setup'!$B$28,_xlfn.RANK.EQ(T5,$T$2:$T$111),""),"")</f>
        <v/>
      </c>
      <c r="V5" s="145" t="str">
        <f>IF(AND($G5='Tournament Setup'!$A$53,$J5&lt;&gt;0),$J5,"")</f>
        <v/>
      </c>
      <c r="W5" s="47" t="str">
        <f>IF(ISNUMBER(V5),IF(COUNTIFS(W$1:W4,_xlfn.RANK.EQ(V5,V$2:V$111,0))&gt;0,_xlfn.MAXIFS(W$1:W4,V$1:V4,V5)+1,_xlfn.RANK.EQ(V5,V$2:V$111,0)),"")</f>
        <v/>
      </c>
      <c r="X5" s="1" t="str">
        <f>IF(ISNUMBER(V5)=TRUE,IF(_xlfn.RANK.EQ(V5,$V$2:$V$111)&lt;='Tournament Setup'!$B$53,_xlfn.RANK.EQ(V5,$V$2:$V$111),""),"")</f>
        <v/>
      </c>
      <c r="Y5" s="145" t="str">
        <f>IF(AND($G5='Tournament Setup'!$A$49,$J5&lt;&gt;0),$J5,"")</f>
        <v/>
      </c>
      <c r="Z5" s="47" t="str">
        <f>IF(ISNUMBER(Y5),IF(COUNTIFS(Z$1:Z4,_xlfn.RANK.EQ(Y5,Y$2:Y$111,0))&gt;0,_xlfn.MAXIFS(Z$1:Z4,Y$1:Y4,Y5)+1,_xlfn.RANK.EQ(Y5,Y$2:Y$111,0)),"")</f>
        <v/>
      </c>
      <c r="AA5" s="1" t="str">
        <f>IF(ISNUMBER(Y5)=TRUE,IF(_xlfn.RANK.EQ(Y5,$Y$2:$Y$111)&lt;='Tournament Setup'!$B$49,_xlfn.RANK.EQ(Y5,$Y$2:$Y$111),""),"")</f>
        <v/>
      </c>
      <c r="AB5" s="30" t="str">
        <f>IF(AND($F5='Tournament Setup'!$A$32,SUM($Q5,$S5,$U5)=0),$I5,"")</f>
        <v/>
      </c>
      <c r="AC5" s="47" t="str">
        <f>IF(ISNUMBER(AB5),IF(COUNTIFS(AC$1:AC4,_xlfn.RANK.EQ(AB5,AB$2:AB$111,0))&gt;0,_xlfn.MAXIFS(AC$1:AC4,AB$1:AB4,AB5)+1,_xlfn.RANK.EQ(AB5,AB$2:AB$111,0)),"")</f>
        <v/>
      </c>
      <c r="AD5" s="1" t="str">
        <f>IF(ISNUMBER(AB5)=TRUE,IF(_xlfn.RANK.EQ(AB5,$AB$2:$AB$111)&lt;='Tournament Setup'!$B$32,_xlfn.RANK.EQ(AB5,$AB$2:$AB$111),""),"")</f>
        <v/>
      </c>
      <c r="AE5" s="31" t="str">
        <f>IF(AND($F5='Tournament Setup'!$A$32,SUM($Q5,$S5)=0,$E5="M",$AD5&gt;'Tournament Setup'!$B$32),$I5,"")</f>
        <v/>
      </c>
      <c r="AF5" s="1" t="str">
        <f>IF(ISNUMBER(AE5)=TRUE,IF(_xlfn.RANK.EQ(AE5,$AE$2:$AE$111)&lt;='Tournament Setup'!$C$32,_xlfn.RANK.EQ(AE5,$AE$2:$AE$111),""),"")</f>
        <v/>
      </c>
      <c r="AG5" s="31" t="str">
        <f>IF(AND($F5='Tournament Setup'!$A$32,SUM($Q5,$U5)=0,$E5="F",$AD5&gt;'Tournament Setup'!$B$32),$I5,"")</f>
        <v/>
      </c>
      <c r="AH5" s="12" t="str">
        <f>IF(ISNUMBER(AG5)=TRUE,IF(_xlfn.RANK.EQ(AG5,$AG$2:$AG$111)&lt;='Tournament Setup'!$D$32,_xlfn.RANK.EQ(AG5,$AG$2:$AG$111),""),"")</f>
        <v/>
      </c>
      <c r="AI5" s="30" t="str">
        <f>IF(AND($G5='Tournament Setup'!$A$50,$J5&lt;&gt;0),$J5,"")</f>
        <v/>
      </c>
      <c r="AJ5" s="47" t="str">
        <f>IF(ISNUMBER(AI5),IF(COUNTIFS(AJ$1:AJ4,_xlfn.RANK.EQ(AI5,AI$2:AI$111,0))&gt;0,_xlfn.MAXIFS(AJ$1:AJ4,AI$1:AI4,AI5)+1,_xlfn.RANK.EQ(AI5,AI$2:AI$111,0)),"")</f>
        <v/>
      </c>
      <c r="AK5" s="1" t="str">
        <f>IF(ISNUMBER(AI5)=TRUE,IF(_xlfn.RANK.EQ(AI5,$AI$2:$AI$111)&lt;='Tournament Setup'!$B$49,_xlfn.RANK.EQ(AI5,$AI$2:$AI$111),""),"")</f>
        <v/>
      </c>
      <c r="AL5" s="30" t="str">
        <f>IF(AND($F5='Tournament Setup'!$A$33,SUM($Q5,$S5,$U5)=0),$I5,"")</f>
        <v/>
      </c>
      <c r="AM5" s="47" t="str">
        <f>IF(ISNUMBER(AL5),IF(COUNTIFS(AM$1:AM4,_xlfn.RANK.EQ(AL5,AL$2:AL$111,0))&gt;0,_xlfn.MAXIFS(AM$1:AM4,AL$1:AL4,AL5)+1,_xlfn.RANK.EQ(AL5,AL$2:AL$111,0)),"")</f>
        <v/>
      </c>
      <c r="AN5" s="1" t="str">
        <f>IF(ISNUMBER(AL5)=TRUE,IF(_xlfn.RANK.EQ(AL5,$AL$2:$AL$111)&lt;='Tournament Setup'!$B$33,_xlfn.RANK.EQ(AL5,$AL$2:$AL$111),""),"")</f>
        <v/>
      </c>
      <c r="AO5" s="31" t="str">
        <f>IF(AND($F5='Tournament Setup'!$A$33,SUM($Q5,$S5)=0,$E5="M",$AN5&gt;'Tournament Setup'!$B$33),$I5,"")</f>
        <v/>
      </c>
      <c r="AP5" s="1" t="str">
        <f>IF(ISNUMBER(AO5)=TRUE,IF(_xlfn.RANK.EQ(AO5,$AO$2:$AO$111)&lt;='Tournament Setup'!$C$33,_xlfn.RANK.EQ(AO5,$AO$2:$AO$111),""),"")</f>
        <v/>
      </c>
      <c r="AQ5" s="31" t="str">
        <f>IF(AND($F5='Tournament Setup'!$A$33,SUM($Q5,$U5)=0,$E5="F",$AN5&gt;'Tournament Setup'!$B$33),$I5,"")</f>
        <v/>
      </c>
      <c r="AR5" s="12" t="str">
        <f>IF(ISNUMBER(AQ5)=TRUE,IF(_xlfn.RANK.EQ(AQ5,$AQ$2:$AQ$111)&lt;='Tournament Setup'!$D$33,_xlfn.RANK.EQ(AQ5,$AQ$2:$AQ$111),""),"")</f>
        <v/>
      </c>
      <c r="AS5" s="30" t="str">
        <f>IF(AND($G5='Tournament Setup'!$A$51,$J5&lt;&gt;0),$J5,"")</f>
        <v/>
      </c>
      <c r="AT5" s="47" t="str">
        <f>IF(ISNUMBER(AS5),IF(COUNTIFS(AT$1:AT4,_xlfn.RANK.EQ(AS5,AS$2:AS$111,0))&gt;0,_xlfn.MAXIFS(AT$1:AT4,AS$1:AS4,AS5)+1,_xlfn.RANK.EQ(AS5,AS$2:AS$111,0)),"")</f>
        <v/>
      </c>
      <c r="AU5" s="1" t="str">
        <f>IF(ISNUMBER(AS5)=TRUE,IF(_xlfn.RANK.EQ(AS5,$AS$2:$AS$111)&lt;='Tournament Setup'!$B$49,_xlfn.RANK.EQ(AS5,$AS$2:$AS$111),""),"")</f>
        <v/>
      </c>
      <c r="AV5" s="30" t="str">
        <f>IF(AND($F5='Tournament Setup'!$A$34,SUM($Q5,$S5,$U5)=0),$I5,"")</f>
        <v/>
      </c>
      <c r="AW5" s="47" t="str">
        <f>IF(ISNUMBER(AV5),IF(COUNTIFS(AW$1:AW4,_xlfn.RANK.EQ(AV5,AV$2:AV$111,0))&gt;0,_xlfn.MAXIFS(AW$1:AW4,AV$1:AV4,AV5)+1,_xlfn.RANK.EQ(AV5,AV$2:AV$111,0)),"")</f>
        <v/>
      </c>
      <c r="AX5" s="1" t="str">
        <f>IF(ISNUMBER(AV5)=TRUE,IF(_xlfn.RANK.EQ(AV5,$AV$2:$AV$111)&lt;='Tournament Setup'!$B$34,_xlfn.RANK.EQ(AV5,$AV$2:$AV$111),""),"")</f>
        <v/>
      </c>
      <c r="AY5" s="31" t="str">
        <f>IF(AND($F5='Tournament Setup'!$A$34,SUM($Q5,$S5)=0,$E5="M",$AX5&gt;'Tournament Setup'!$B$34),$I5,"")</f>
        <v/>
      </c>
      <c r="AZ5" s="1" t="str">
        <f>IF(ISNUMBER(AY5)=TRUE,IF(_xlfn.RANK.EQ(AY5,$AY$2:$AY$111)&lt;='Tournament Setup'!$C$34,_xlfn.RANK.EQ(AY5,$AY$2:$AY$111),""),"")</f>
        <v/>
      </c>
      <c r="BA5" s="31" t="str">
        <f>IF(AND($F5='Tournament Setup'!$A$34,SUM($Q5,$U5)=0,$E5="F",$AX5&gt;'Tournament Setup'!$B$34),$I5,"")</f>
        <v/>
      </c>
      <c r="BB5" s="12" t="str">
        <f>IF(ISNUMBER(BA5)=TRUE,IF(_xlfn.RANK.EQ(BA5,$BA$2:$BA$111)&lt;='Tournament Setup'!$D$34,_xlfn.RANK.EQ(BA5,$BA$2:$BA$111),""),"")</f>
        <v/>
      </c>
      <c r="BC5" s="30" t="str">
        <f>IF(AND($G5='Tournament Setup'!$A$52,$J5&lt;&gt;0),$J5,"")</f>
        <v/>
      </c>
      <c r="BD5" s="47" t="str">
        <f>IF(ISNUMBER(BC5),IF(COUNTIFS(BD$1:BD4,_xlfn.RANK.EQ(BC5,BC$2:BC$111,0))&gt;0,_xlfn.MAXIFS(BD$1:BD4,BC$1:BC4,BC5)+1,_xlfn.RANK.EQ(BC5,BC$2:BC$111,0)),"")</f>
        <v/>
      </c>
      <c r="BE5" s="1" t="str">
        <f>IF(ISNUMBER(BC5)=TRUE,IF(_xlfn.RANK.EQ(BC5,$BC$2:$BC$111)&lt;='Tournament Setup'!$B$49,_xlfn.RANK.EQ(BC5,$BC$2:$BC$111),""),"")</f>
        <v/>
      </c>
      <c r="BF5" s="30">
        <f>IF(AND($F5='Tournament Setup'!$A$35,SUM($Q5,$S5,$U5)=0),$I5,"")</f>
        <v>82</v>
      </c>
      <c r="BG5" s="47">
        <f>IF(ISNUMBER(BF5),IF(COUNTIFS(BG$1:BG4,_xlfn.RANK.EQ(BF5,BF$2:BF$111,0))&gt;0,_xlfn.MAXIFS(BG$1:BG4,BF$1:BF4,BF5)+1,_xlfn.RANK.EQ(BF5,BF$2:BF$111,0)),"")</f>
        <v>4</v>
      </c>
      <c r="BH5" s="1" t="str">
        <f>IF(ISNUMBER(BF5)=TRUE,IF(_xlfn.RANK.EQ(BF5,$BF$2:$BF$111)&lt;='Tournament Setup'!$B$35,_xlfn.RANK.EQ(BF5,$BF$2:$BF$111),""),"")</f>
        <v/>
      </c>
      <c r="BI5" s="31" t="str">
        <f>IF(AND($F5='Tournament Setup'!$A$35,SUM($Q5,$S5)=0,$E5="M",$BH5&gt;'Tournament Setup'!$B$35),$I5,"")</f>
        <v/>
      </c>
      <c r="BJ5" s="1" t="str">
        <f>IF(ISNUMBER(BI5)=TRUE,IF(_xlfn.RANK.EQ(BI5,$BI$2:$BI$111)&lt;='Tournament Setup'!$C$35,_xlfn.RANK.EQ(BI5,$BI$2:$BI$111),""),"")</f>
        <v/>
      </c>
      <c r="BK5" s="31">
        <f>IF(AND($F5='Tournament Setup'!$A$35,SUM($Q5,$U5)=0,$E5="F",$BH5&gt;'Tournament Setup'!$B$35),$I5,"")</f>
        <v>82</v>
      </c>
      <c r="BL5" s="12">
        <f>IF(ISNUMBER(BK5)=TRUE,IF(_xlfn.RANK.EQ(BK5,$BK$2:$BK$111)&lt;='Tournament Setup'!$D$35,_xlfn.RANK.EQ(BK5,$BK$2:$BK$111),""),"")</f>
        <v>1</v>
      </c>
      <c r="BM5" s="30" t="str">
        <f>IF(AND($G5='Tournament Setup'!$A$54,$J5&lt;&gt;0),$J5,"")</f>
        <v/>
      </c>
      <c r="BN5" s="47" t="str">
        <f>IF(ISNUMBER(BM5),IF(COUNTIFS(BN$1:BN4,_xlfn.RANK.EQ(BM5,BM$2:BM$111,0))&gt;0,_xlfn.MAXIFS(BN$1:BN4,BM$1:BM4,BM5)+1,_xlfn.RANK.EQ(BM5,BM$2:BM$111,0)),"")</f>
        <v/>
      </c>
      <c r="BO5" s="1" t="str">
        <f>IF(ISNUMBER(BM5)=TRUE,IF(_xlfn.RANK.EQ(BM5,$BM$2:$BM$111)&lt;='Tournament Setup'!$B$49,_xlfn.RANK.EQ(BM5,$BM$2:$BM$111),""),"")</f>
        <v/>
      </c>
      <c r="BP5" s="30" t="str">
        <f>IF(AND($F5='Tournament Setup'!$A$36,SUM($Q5,$S5,$U5)=0),$I5,"")</f>
        <v/>
      </c>
      <c r="BQ5" s="47" t="str">
        <f>IF(ISNUMBER(BP5),IF(COUNTIFS(BQ$1:BQ4,_xlfn.RANK.EQ(BP5,BP$2:BP$111,0))&gt;0,_xlfn.MAXIFS(BQ$1:BQ4,BP$1:BP4,BP5)+1,_xlfn.RANK.EQ(BP5,BP$2:BP$111,0)),"")</f>
        <v/>
      </c>
      <c r="BR5" s="1" t="str">
        <f>IF(ISNUMBER(BP5)=TRUE,IF(_xlfn.RANK.EQ(BP5,$BP$2:$BP$111)&lt;='Tournament Setup'!$B$36,_xlfn.RANK.EQ(BP5,$BP$2:$BP$111),""),"")</f>
        <v/>
      </c>
      <c r="BS5" s="31" t="str">
        <f>IF(AND($F5='Tournament Setup'!$A$36,SUM($Q5,$S5)=0,$E5="M",$BR5&gt;'Tournament Setup'!$B$36),$I5,"")</f>
        <v/>
      </c>
      <c r="BT5" s="1" t="str">
        <f>IF(ISNUMBER(BS5)=TRUE,IF(_xlfn.RANK.EQ(BS5,$BS$2:$BS$111)&lt;='Tournament Setup'!$C$36,_xlfn.RANK.EQ(BS5,$BS$2:$BS$111),""),"")</f>
        <v/>
      </c>
      <c r="BU5" s="31" t="str">
        <f>IF(AND($F5='Tournament Setup'!$A$36,SUM($Q5,$U5)=0,$E5="F",$BR5&gt;'Tournament Setup'!$B$36),$I5,"")</f>
        <v/>
      </c>
      <c r="BV5" s="12" t="str">
        <f>IF(ISNUMBER(BU5)=TRUE,IF(_xlfn.RANK.EQ(BU5,$BU$2:$BU$111)&lt;='Tournament Setup'!$D$36,_xlfn.RANK.EQ(BU5,$BU$2:$BU$111),""),"")</f>
        <v/>
      </c>
      <c r="BW5" s="30">
        <f>IF($H5='Tournament Setup'!$A$41,$I5,"")</f>
        <v>82</v>
      </c>
      <c r="BX5" s="47">
        <f>IF(ISNUMBER(BW5),IF(COUNTIFS(BX$1:BX4,_xlfn.RANK.EQ(BW5,BW$2:BW$111,0))&gt;0,_xlfn.MAXIFS(BX$1:BX4,BW$1:BW4,BW5)+1,_xlfn.RANK.EQ(BW5,BW$2:BW$111,0)),"")</f>
        <v>3</v>
      </c>
      <c r="BY5" s="1">
        <f>IF(ISNUMBER(BW5)=TRUE,IF(_xlfn.RANK.EQ(BW5,$BW$2:$BW$111)&lt;='Tournament Setup'!$B$41,_xlfn.RANK.EQ(BW5,$BW$2:$BW$111),""),"")</f>
        <v>3</v>
      </c>
      <c r="BZ5" s="31" t="str">
        <f>IF(AND($H5='Tournament Setup'!$A$41,$E5="M",$BY5&gt;'Tournament Setup'!$B$41),$I5,"")</f>
        <v/>
      </c>
      <c r="CA5" s="1" t="str">
        <f>IF(ISNUMBER(BZ5)=TRUE,IF(_xlfn.RANK.EQ(BZ5,$BZ$2:$BZ$111)&lt;='Tournament Setup'!$C$41,_xlfn.RANK.EQ(BZ5,$BZ$2:$BZ$111),""),"")</f>
        <v/>
      </c>
      <c r="CB5" s="31" t="str">
        <f>IF(AND($H5='Tournament Setup'!$A$41,$E5="F",$BY5&gt;'Tournament Setup'!$B$41),$I5,"")</f>
        <v/>
      </c>
      <c r="CC5" s="12" t="str">
        <f>IF(ISNUMBER(CB5)=TRUE,IF(_xlfn.RANK.EQ(CB5,$CB$2:$CB$111)&lt;='Tournament Setup'!$D$41,_xlfn.RANK.EQ(CB5,$CB$2:$CB$111),""),"")</f>
        <v/>
      </c>
      <c r="CD5" s="30" t="str">
        <f>IF($H5='Tournament Setup'!$A$42,$I5,"")</f>
        <v/>
      </c>
      <c r="CE5" s="47" t="str">
        <f>IF(ISNUMBER(CD5),IF(COUNTIFS(CE$1:CE4,_xlfn.RANK.EQ(CD5,CD$2:CD$111,0))&gt;0,_xlfn.MAXIFS(CE$1:CE4,CD$1:CD4,CD5)+1,_xlfn.RANK.EQ(CD5,CD$2:CD$111,0)),"")</f>
        <v/>
      </c>
      <c r="CF5" s="1" t="str">
        <f>IF(ISNUMBER(CD5)=TRUE,IF(_xlfn.RANK.EQ(CD5,$CD$2:$CD$111)&lt;='Tournament Setup'!$B$42,_xlfn.RANK.EQ(CD5,$CD$2:$CD$111),""),"")</f>
        <v/>
      </c>
      <c r="CG5" s="31" t="str">
        <f>IF(AND($H5='Tournament Setup'!$A$42,$E5="M",$CF5&gt;'Tournament Setup'!$B$42),$I5,"")</f>
        <v/>
      </c>
      <c r="CH5" s="1" t="str">
        <f>IF(ISNUMBER(CG5)=TRUE,IF(_xlfn.RANK.EQ(CG5,$CG$2:$CG$111)&lt;='Tournament Setup'!$C$42,_xlfn.RANK.EQ(CG5,$CG$2:$CG$111),""),"")</f>
        <v/>
      </c>
      <c r="CI5" s="31" t="str">
        <f>IF(AND($H5='Tournament Setup'!$A$42,$E5="F",$CF5&gt;'Tournament Setup'!$B$42),$I5,"")</f>
        <v/>
      </c>
      <c r="CJ5" s="12" t="str">
        <f>IF(ISNUMBER(CI5)=TRUE,IF(_xlfn.RANK.EQ(CI5,$CI$2:$CI$111)&lt;='Tournament Setup'!$D$42,_xlfn.RANK.EQ(CI5,$CI$2:$CI$111),""),"")</f>
        <v/>
      </c>
      <c r="CK5" s="30" t="str">
        <f>IF($H5='Tournament Setup'!$A$43,$I5,"")</f>
        <v/>
      </c>
      <c r="CL5" s="47" t="str">
        <f>IF(ISNUMBER(CK5),IF(COUNTIFS(CL$1:CL4,_xlfn.RANK.EQ(CK5,CK$2:CK$111,0))&gt;0,_xlfn.MAXIFS(CL$1:CL4,CK$1:CK4,CK5)+1,_xlfn.RANK.EQ(CK5,CK$2:CK$111,0)),"")</f>
        <v/>
      </c>
      <c r="CM5" s="1" t="str">
        <f>IF(ISNUMBER(CK5)=TRUE,IF(_xlfn.RANK.EQ(CK5,$CK$2:$CK$111)&lt;='Tournament Setup'!$B$43,_xlfn.RANK.EQ(CK5,$CK$2:$CK$111),""),"")</f>
        <v/>
      </c>
      <c r="CN5" s="31" t="str">
        <f>IF(AND($H5='Tournament Setup'!$A$43,$E5="M",$CM5&gt;'Tournament Setup'!$B$43),$I5,"")</f>
        <v/>
      </c>
      <c r="CO5" s="1" t="str">
        <f>IF(ISNUMBER(CN5)=TRUE,IF(_xlfn.RANK.EQ(CN5,$CN$2:$CN$111)&lt;='Tournament Setup'!$C$43,_xlfn.RANK.EQ(CN5,$CN$2:$CN$111),""),"")</f>
        <v/>
      </c>
      <c r="CP5" s="31" t="str">
        <f>IF(AND($H5='Tournament Setup'!$A$43,$E5="F",$CM5&gt;'Tournament Setup'!$B$43),$I5,"")</f>
        <v/>
      </c>
      <c r="CQ5" s="12" t="str">
        <f>IF(ISNUMBER(CP5)=TRUE,IF(_xlfn.RANK.EQ(CP5,$CP$2:$CP$111)&lt;='Tournament Setup'!$D$43,_xlfn.RANK.EQ(CP5,$CP$2:$CP$111),""),"")</f>
        <v/>
      </c>
      <c r="CR5" s="30" t="str">
        <f>IF($H5='Tournament Setup'!$A$44,$I5,"")</f>
        <v/>
      </c>
      <c r="CS5" s="47" t="str">
        <f>IF(ISNUMBER(CR5),IF(COUNTIFS(CS$1:CS4,_xlfn.RANK.EQ(CR5,CR$2:CR$111,0))&gt;0,_xlfn.MAXIFS(CS$1:CS4,CR$1:CR4,CR5)+1,_xlfn.RANK.EQ(CR5,CR$2:CR$111,0)),"")</f>
        <v/>
      </c>
      <c r="CT5" s="1" t="str">
        <f>IF(ISNUMBER(CR5)=TRUE,IF(_xlfn.RANK.EQ(CR5,$CR$2:$CR$111)&lt;='Tournament Setup'!$B$44,_xlfn.RANK.EQ(CR5,$CR$2:$CR$111),""),"")</f>
        <v/>
      </c>
      <c r="CU5" s="31" t="str">
        <f>IF(AND($H5='Tournament Setup'!$A$44,$E5="M",$CT5&gt;'Tournament Setup'!$B$44),$I5,"")</f>
        <v/>
      </c>
      <c r="CV5" s="1" t="str">
        <f>IF(ISNUMBER(CU5)=TRUE,IF(_xlfn.RANK.EQ(CU5,$CU$2:$CU$111)&lt;='Tournament Setup'!$C$44,_xlfn.RANK.EQ(CU5,$CU$2:$CU$111),""),"")</f>
        <v/>
      </c>
      <c r="CW5" s="31" t="str">
        <f>IF(AND($H5='Tournament Setup'!$A$44,$E5="F",$CT5&gt;'Tournament Setup'!$B$44),$I5,"")</f>
        <v/>
      </c>
      <c r="CX5" s="12" t="str">
        <f>IF(ISNUMBER(CW5)=TRUE,IF(_xlfn.RANK.EQ(CW5,$CW$2:$CW$111)&lt;='Tournament Setup'!$D$44,_xlfn.RANK.EQ(CW5,$CW$2:$CW$111),""),"")</f>
        <v/>
      </c>
    </row>
    <row r="6" spans="1:102" x14ac:dyDescent="0.3">
      <c r="A6" t="s">
        <v>41</v>
      </c>
      <c r="B6" t="str">
        <f>IFERROR(INDEX('Tournament List'!$B:$B,MATCH($A6,'Tournament List'!$A:$A,0)),"")</f>
        <v>Matt</v>
      </c>
      <c r="C6" t="str">
        <f>IFERROR(INDEX('Tournament List'!$C:$C,MATCH($A6,'Tournament List'!$A:$A,0)),"")</f>
        <v>Last Name5</v>
      </c>
      <c r="D6" t="str">
        <f t="shared" si="0"/>
        <v>Matt Last Name5</v>
      </c>
      <c r="E6" s="1" t="str">
        <f>IFERROR(INDEX('Tournament List'!F:F,MATCH($A6,'Tournament List'!$A:$A,0)),"")</f>
        <v>M</v>
      </c>
      <c r="F6" t="str">
        <f>IFERROR(INDEX('Tournament List'!M:M,MATCH($A6,'Tournament List'!$A:$A,0)),"")</f>
        <v>Varsity</v>
      </c>
      <c r="G6" t="str">
        <f>IFERROR(INDEX('Shooter-Squad Assignment'!L:L,MATCH(A6,'Shooter-Squad Assignment'!A:A,0)),"")</f>
        <v/>
      </c>
      <c r="H6" s="1" t="str">
        <f>IFERROR(INDEX('Tournament List'!AD:AD,MATCH($A6,'Tournament List'!$A:$A,0)),"")</f>
        <v>A</v>
      </c>
      <c r="I6" s="123">
        <f>IFERROR(INDEX('Tournament List'!AG:AG,MATCH($A6,'Tournament List'!$A:$A,0)),"")</f>
        <v>89.1</v>
      </c>
      <c r="J6" s="145" t="str">
        <f>IFERROR(INDEX('Tournament List'!Y:Y,MATCH($A6,'Tournament List'!$A:$A,0)),"")</f>
        <v/>
      </c>
      <c r="K6" s="47" t="str">
        <f>IFERROR(INDEX('Tournament List'!S:S,MATCH(A6,'Tournament List'!A:A,0)),"")</f>
        <v/>
      </c>
      <c r="L6" s="47" t="str">
        <f>IF(ISNUMBER(J6),IF(COUNTIFS(L$1:L5,_xlfn.RANK.EQ(J6,J$2:J$111,0))&gt;0,_xlfn.MAXIFS(L$1:L5,J$1:J5,J6)+1,_xlfn.RANK.EQ(J6,J$2:J$111,0)),"")</f>
        <v/>
      </c>
      <c r="M6" s="11">
        <f>IF(ISNUMBER(I6)=TRUE,IF(I6&gt;0,_xlfn.RANK.EQ(I6,$I$2:$I$111,0),""),"")</f>
        <v>8</v>
      </c>
      <c r="N6" s="56">
        <f>IF(ISNUMBER(I6),IF(COUNTIFS(N$1:N5,_xlfn.RANK.EQ(I6,I$2:I$111,0))&gt;0,_xlfn.MAXIFS(N$1:N5,I$1:I5,I6)+1,_xlfn.RANK.EQ(I6,I$2:I$111,0)),"")</f>
        <v>8</v>
      </c>
      <c r="O6" s="144">
        <f>IF(F6&lt;&gt;"Collegiate"=TRUE,$I6,"")</f>
        <v>89.1</v>
      </c>
      <c r="P6" s="47">
        <f>IF(ISNUMBER(O6),IF(COUNTIFS(P$1:P5,_xlfn.RANK.EQ(O6,O$2:O$111,0))&gt;0,_xlfn.MAXIFS(P$1:P5,O$1:O5,O6)+1,_xlfn.RANK.EQ(O6,O$2:O$111,0)),"")</f>
        <v>7</v>
      </c>
      <c r="Q6" s="1" t="str">
        <f>IF(ISNUMBER(O6)=TRUE,IF(_xlfn.RANK.EQ(O6,$O$2:$O$111)&lt;='Tournament Setup'!$B$26,_xlfn.RANK.EQ(O6,$O$2:$O$111),""),"")</f>
        <v/>
      </c>
      <c r="R6" s="143">
        <f>IF(AND($E6="M",SUM($Q6)=0,F6&lt;&gt;"Collegiate")=TRUE,$I6,"")</f>
        <v>89.1</v>
      </c>
      <c r="S6" s="1">
        <f>IF(ISNUMBER(R6)=TRUE,IF(_xlfn.RANK.EQ(R6,$R$2:$R$111)&lt;='Tournament Setup'!$B$27,_xlfn.RANK.EQ(R6,$R$2:$R$111),""),"")</f>
        <v>1</v>
      </c>
      <c r="T6" s="143" t="str">
        <f>IF(AND($E6="F",SUM($Q6)=0,F6&lt;&gt;"Collegiate")=TRUE,$I6,"")</f>
        <v/>
      </c>
      <c r="U6" s="12" t="str">
        <f>IF(ISNUMBER(T6)=TRUE,IF(_xlfn.RANK.EQ(T6,$T$2:$T$111)&lt;='Tournament Setup'!$B$28,_xlfn.RANK.EQ(T6,$T$2:$T$111),""),"")</f>
        <v/>
      </c>
      <c r="V6" s="145" t="str">
        <f>IF(AND($G6='Tournament Setup'!$A$53,$J6&lt;&gt;0),$J6,"")</f>
        <v/>
      </c>
      <c r="W6" s="47" t="str">
        <f>IF(ISNUMBER(V6),IF(COUNTIFS(W$1:W5,_xlfn.RANK.EQ(V6,V$2:V$111,0))&gt;0,_xlfn.MAXIFS(W$1:W5,V$1:V5,V6)+1,_xlfn.RANK.EQ(V6,V$2:V$111,0)),"")</f>
        <v/>
      </c>
      <c r="X6" s="1" t="str">
        <f>IF(ISNUMBER(V6)=TRUE,IF(_xlfn.RANK.EQ(V6,$V$2:$V$111)&lt;='Tournament Setup'!$B$53,_xlfn.RANK.EQ(V6,$V$2:$V$111),""),"")</f>
        <v/>
      </c>
      <c r="Y6" s="145" t="str">
        <f>IF(AND($G6='Tournament Setup'!$A$49,$J6&lt;&gt;0),$J6,"")</f>
        <v/>
      </c>
      <c r="Z6" s="47" t="str">
        <f>IF(ISNUMBER(Y6),IF(COUNTIFS(Z$1:Z5,_xlfn.RANK.EQ(Y6,Y$2:Y$111,0))&gt;0,_xlfn.MAXIFS(Z$1:Z5,Y$1:Y5,Y6)+1,_xlfn.RANK.EQ(Y6,Y$2:Y$111,0)),"")</f>
        <v/>
      </c>
      <c r="AA6" s="1" t="str">
        <f>IF(ISNUMBER(Y6)=TRUE,IF(_xlfn.RANK.EQ(Y6,$Y$2:$Y$111)&lt;='Tournament Setup'!$B$49,_xlfn.RANK.EQ(Y6,$Y$2:$Y$111),""),"")</f>
        <v/>
      </c>
      <c r="AB6" s="30" t="str">
        <f>IF(AND($F6='Tournament Setup'!$A$32,SUM($Q6,$S6,$U6)=0),$I6,"")</f>
        <v/>
      </c>
      <c r="AC6" s="47" t="str">
        <f>IF(ISNUMBER(AB6),IF(COUNTIFS(AC$1:AC5,_xlfn.RANK.EQ(AB6,AB$2:AB$111,0))&gt;0,_xlfn.MAXIFS(AC$1:AC5,AB$1:AB5,AB6)+1,_xlfn.RANK.EQ(AB6,AB$2:AB$111,0)),"")</f>
        <v/>
      </c>
      <c r="AD6" s="1" t="str">
        <f>IF(ISNUMBER(AB6)=TRUE,IF(_xlfn.RANK.EQ(AB6,$AB$2:$AB$111)&lt;='Tournament Setup'!$B$32,_xlfn.RANK.EQ(AB6,$AB$2:$AB$111),""),"")</f>
        <v/>
      </c>
      <c r="AE6" s="31" t="str">
        <f>IF(AND($F6='Tournament Setup'!$A$32,SUM($Q6,$S6)=0,$E6="M",$AD6&gt;'Tournament Setup'!$B$32),$I6,"")</f>
        <v/>
      </c>
      <c r="AF6" s="1" t="str">
        <f>IF(ISNUMBER(AE6)=TRUE,IF(_xlfn.RANK.EQ(AE6,$AE$2:$AE$111)&lt;='Tournament Setup'!$C$32,_xlfn.RANK.EQ(AE6,$AE$2:$AE$111),""),"")</f>
        <v/>
      </c>
      <c r="AG6" s="31" t="str">
        <f>IF(AND($F6='Tournament Setup'!$A$32,SUM($Q6,$U6)=0,$E6="F",$AD6&gt;'Tournament Setup'!$B$32),$I6,"")</f>
        <v/>
      </c>
      <c r="AH6" s="12" t="str">
        <f>IF(ISNUMBER(AG6)=TRUE,IF(_xlfn.RANK.EQ(AG6,$AG$2:$AG$111)&lt;='Tournament Setup'!$D$32,_xlfn.RANK.EQ(AG6,$AG$2:$AG$111),""),"")</f>
        <v/>
      </c>
      <c r="AI6" s="30" t="str">
        <f>IF(AND($G6='Tournament Setup'!$A$50,$J6&lt;&gt;0),$J6,"")</f>
        <v/>
      </c>
      <c r="AJ6" s="47" t="str">
        <f>IF(ISNUMBER(AI6),IF(COUNTIFS(AJ$1:AJ5,_xlfn.RANK.EQ(AI6,AI$2:AI$111,0))&gt;0,_xlfn.MAXIFS(AJ$1:AJ5,AI$1:AI5,AI6)+1,_xlfn.RANK.EQ(AI6,AI$2:AI$111,0)),"")</f>
        <v/>
      </c>
      <c r="AK6" s="1" t="str">
        <f>IF(ISNUMBER(AI6)=TRUE,IF(_xlfn.RANK.EQ(AI6,$AI$2:$AI$111)&lt;='Tournament Setup'!$B$49,_xlfn.RANK.EQ(AI6,$AI$2:$AI$111),""),"")</f>
        <v/>
      </c>
      <c r="AL6" s="30" t="str">
        <f>IF(AND($F6='Tournament Setup'!$A$33,SUM($Q6,$S6,$U6)=0),$I6,"")</f>
        <v/>
      </c>
      <c r="AM6" s="47" t="str">
        <f>IF(ISNUMBER(AL6),IF(COUNTIFS(AM$1:AM5,_xlfn.RANK.EQ(AL6,AL$2:AL$111,0))&gt;0,_xlfn.MAXIFS(AM$1:AM5,AL$1:AL5,AL6)+1,_xlfn.RANK.EQ(AL6,AL$2:AL$111,0)),"")</f>
        <v/>
      </c>
      <c r="AN6" s="1" t="str">
        <f>IF(ISNUMBER(AL6)=TRUE,IF(_xlfn.RANK.EQ(AL6,$AL$2:$AL$111)&lt;='Tournament Setup'!$B$33,_xlfn.RANK.EQ(AL6,$AL$2:$AL$111),""),"")</f>
        <v/>
      </c>
      <c r="AO6" s="31" t="str">
        <f>IF(AND($F6='Tournament Setup'!$A$33,SUM($Q6,$S6)=0,$E6="M",$AN6&gt;'Tournament Setup'!$B$33),$I6,"")</f>
        <v/>
      </c>
      <c r="AP6" s="1" t="str">
        <f>IF(ISNUMBER(AO6)=TRUE,IF(_xlfn.RANK.EQ(AO6,$AO$2:$AO$111)&lt;='Tournament Setup'!$C$33,_xlfn.RANK.EQ(AO6,$AO$2:$AO$111),""),"")</f>
        <v/>
      </c>
      <c r="AQ6" s="31" t="str">
        <f>IF(AND($F6='Tournament Setup'!$A$33,SUM($Q6,$U6)=0,$E6="F",$AN6&gt;'Tournament Setup'!$B$33),$I6,"")</f>
        <v/>
      </c>
      <c r="AR6" s="12" t="str">
        <f>IF(ISNUMBER(AQ6)=TRUE,IF(_xlfn.RANK.EQ(AQ6,$AQ$2:$AQ$111)&lt;='Tournament Setup'!$D$33,_xlfn.RANK.EQ(AQ6,$AQ$2:$AQ$111),""),"")</f>
        <v/>
      </c>
      <c r="AS6" s="30" t="str">
        <f>IF(AND($G6='Tournament Setup'!$A$51,$J6&lt;&gt;0),$J6,"")</f>
        <v/>
      </c>
      <c r="AT6" s="47" t="str">
        <f>IF(ISNUMBER(AS6),IF(COUNTIFS(AT$1:AT5,_xlfn.RANK.EQ(AS6,AS$2:AS$111,0))&gt;0,_xlfn.MAXIFS(AT$1:AT5,AS$1:AS5,AS6)+1,_xlfn.RANK.EQ(AS6,AS$2:AS$111,0)),"")</f>
        <v/>
      </c>
      <c r="AU6" s="1" t="str">
        <f>IF(ISNUMBER(AS6)=TRUE,IF(_xlfn.RANK.EQ(AS6,$AS$2:$AS$111)&lt;='Tournament Setup'!$B$49,_xlfn.RANK.EQ(AS6,$AS$2:$AS$111),""),"")</f>
        <v/>
      </c>
      <c r="AV6" s="30" t="str">
        <f>IF(AND($F6='Tournament Setup'!$A$34,SUM($Q6,$S6,$U6)=0),$I6,"")</f>
        <v/>
      </c>
      <c r="AW6" s="47" t="str">
        <f>IF(ISNUMBER(AV6),IF(COUNTIFS(AW$1:AW5,_xlfn.RANK.EQ(AV6,AV$2:AV$111,0))&gt;0,_xlfn.MAXIFS(AW$1:AW5,AV$1:AV5,AV6)+1,_xlfn.RANK.EQ(AV6,AV$2:AV$111,0)),"")</f>
        <v/>
      </c>
      <c r="AX6" s="1" t="str">
        <f>IF(ISNUMBER(AV6)=TRUE,IF(_xlfn.RANK.EQ(AV6,$AV$2:$AV$111)&lt;='Tournament Setup'!$B$34,_xlfn.RANK.EQ(AV6,$AV$2:$AV$111),""),"")</f>
        <v/>
      </c>
      <c r="AY6" s="31" t="str">
        <f>IF(AND($F6='Tournament Setup'!$A$34,SUM($Q6,$S6)=0,$E6="M",$AX6&gt;'Tournament Setup'!$B$34),$I6,"")</f>
        <v/>
      </c>
      <c r="AZ6" s="1" t="str">
        <f>IF(ISNUMBER(AY6)=TRUE,IF(_xlfn.RANK.EQ(AY6,$AY$2:$AY$111)&lt;='Tournament Setup'!$C$34,_xlfn.RANK.EQ(AY6,$AY$2:$AY$111),""),"")</f>
        <v/>
      </c>
      <c r="BA6" s="31" t="str">
        <f>IF(AND($F6='Tournament Setup'!$A$34,SUM($Q6,$U6)=0,$E6="F",$AX6&gt;'Tournament Setup'!$B$34),$I6,"")</f>
        <v/>
      </c>
      <c r="BB6" s="12" t="str">
        <f>IF(ISNUMBER(BA6)=TRUE,IF(_xlfn.RANK.EQ(BA6,$BA$2:$BA$111)&lt;='Tournament Setup'!$D$34,_xlfn.RANK.EQ(BA6,$BA$2:$BA$111),""),"")</f>
        <v/>
      </c>
      <c r="BC6" s="30" t="str">
        <f>IF(AND($G6='Tournament Setup'!$A$52,$J6&lt;&gt;0),$J6,"")</f>
        <v/>
      </c>
      <c r="BD6" s="47" t="str">
        <f>IF(ISNUMBER(BC6),IF(COUNTIFS(BD$1:BD5,_xlfn.RANK.EQ(BC6,BC$2:BC$111,0))&gt;0,_xlfn.MAXIFS(BD$1:BD5,BC$1:BC5,BC6)+1,_xlfn.RANK.EQ(BC6,BC$2:BC$111,0)),"")</f>
        <v/>
      </c>
      <c r="BE6" s="1" t="str">
        <f>IF(ISNUMBER(BC6)=TRUE,IF(_xlfn.RANK.EQ(BC6,$BC$2:$BC$111)&lt;='Tournament Setup'!$B$49,_xlfn.RANK.EQ(BC6,$BC$2:$BC$111),""),"")</f>
        <v/>
      </c>
      <c r="BF6" s="30" t="str">
        <f>IF(AND($F6='Tournament Setup'!$A$35,SUM($Q6,$S6,$U6)=0),$I6,"")</f>
        <v/>
      </c>
      <c r="BG6" s="47" t="str">
        <f>IF(ISNUMBER(BF6),IF(COUNTIFS(BG$1:BG5,_xlfn.RANK.EQ(BF6,BF$2:BF$111,0))&gt;0,_xlfn.MAXIFS(BG$1:BG5,BF$1:BF5,BF6)+1,_xlfn.RANK.EQ(BF6,BF$2:BF$111,0)),"")</f>
        <v/>
      </c>
      <c r="BH6" s="1" t="str">
        <f>IF(ISNUMBER(BF6)=TRUE,IF(_xlfn.RANK.EQ(BF6,$BF$2:$BF$111)&lt;='Tournament Setup'!$B$35,_xlfn.RANK.EQ(BF6,$BF$2:$BF$111),""),"")</f>
        <v/>
      </c>
      <c r="BI6" s="31" t="str">
        <f>IF(AND($F6='Tournament Setup'!$A$35,SUM($Q6,$S6)=0,$E6="M",$BH6&gt;'Tournament Setup'!$B$35),$I6,"")</f>
        <v/>
      </c>
      <c r="BJ6" s="1" t="str">
        <f>IF(ISNUMBER(BI6)=TRUE,IF(_xlfn.RANK.EQ(BI6,$BI$2:$BI$111)&lt;='Tournament Setup'!$C$35,_xlfn.RANK.EQ(BI6,$BI$2:$BI$111),""),"")</f>
        <v/>
      </c>
      <c r="BK6" s="31" t="str">
        <f>IF(AND($F6='Tournament Setup'!$A$35,SUM($Q6,$U6)=0,$E6="F",$BH6&gt;'Tournament Setup'!$B$35),$I6,"")</f>
        <v/>
      </c>
      <c r="BL6" s="12" t="str">
        <f>IF(ISNUMBER(BK6)=TRUE,IF(_xlfn.RANK.EQ(BK6,$BK$2:$BK$111)&lt;='Tournament Setup'!$D$35,_xlfn.RANK.EQ(BK6,$BK$2:$BK$111),""),"")</f>
        <v/>
      </c>
      <c r="BM6" s="30" t="str">
        <f>IF(AND($G6='Tournament Setup'!$A$54,$J6&lt;&gt;0),$J6,"")</f>
        <v/>
      </c>
      <c r="BN6" s="47" t="str">
        <f>IF(ISNUMBER(BM6),IF(COUNTIFS(BN$1:BN5,_xlfn.RANK.EQ(BM6,BM$2:BM$111,0))&gt;0,_xlfn.MAXIFS(BN$1:BN5,BM$1:BM5,BM6)+1,_xlfn.RANK.EQ(BM6,BM$2:BM$111,0)),"")</f>
        <v/>
      </c>
      <c r="BO6" s="1" t="str">
        <f>IF(ISNUMBER(BM6)=TRUE,IF(_xlfn.RANK.EQ(BM6,$BM$2:$BM$111)&lt;='Tournament Setup'!$B$49,_xlfn.RANK.EQ(BM6,$BM$2:$BM$111),""),"")</f>
        <v/>
      </c>
      <c r="BP6" s="30" t="str">
        <f>IF(AND($F6='Tournament Setup'!$A$36,SUM($Q6,$S6,$U6)=0),$I6,"")</f>
        <v/>
      </c>
      <c r="BQ6" s="47" t="str">
        <f>IF(ISNUMBER(BP6),IF(COUNTIFS(BQ$1:BQ5,_xlfn.RANK.EQ(BP6,BP$2:BP$111,0))&gt;0,_xlfn.MAXIFS(BQ$1:BQ5,BP$1:BP5,BP6)+1,_xlfn.RANK.EQ(BP6,BP$2:BP$111,0)),"")</f>
        <v/>
      </c>
      <c r="BR6" s="1" t="str">
        <f>IF(ISNUMBER(BP6)=TRUE,IF(_xlfn.RANK.EQ(BP6,$BP$2:$BP$111)&lt;='Tournament Setup'!$B$36,_xlfn.RANK.EQ(BP6,$BP$2:$BP$111),""),"")</f>
        <v/>
      </c>
      <c r="BS6" s="31" t="str">
        <f>IF(AND($F6='Tournament Setup'!$A$36,SUM($Q6,$S6)=0,$E6="M",$BR6&gt;'Tournament Setup'!$B$36),$I6,"")</f>
        <v/>
      </c>
      <c r="BT6" s="1" t="str">
        <f>IF(ISNUMBER(BS6)=TRUE,IF(_xlfn.RANK.EQ(BS6,$BS$2:$BS$111)&lt;='Tournament Setup'!$C$36,_xlfn.RANK.EQ(BS6,$BS$2:$BS$111),""),"")</f>
        <v/>
      </c>
      <c r="BU6" s="31" t="str">
        <f>IF(AND($F6='Tournament Setup'!$A$36,SUM($Q6,$U6)=0,$E6="F",$BR6&gt;'Tournament Setup'!$B$36),$I6,"")</f>
        <v/>
      </c>
      <c r="BV6" s="12" t="str">
        <f>IF(ISNUMBER(BU6)=TRUE,IF(_xlfn.RANK.EQ(BU6,$BU$2:$BU$111)&lt;='Tournament Setup'!$D$36,_xlfn.RANK.EQ(BU6,$BU$2:$BU$111),""),"")</f>
        <v/>
      </c>
      <c r="BW6" s="30">
        <f>IF($H6='Tournament Setup'!$A$41,$I6,"")</f>
        <v>89.1</v>
      </c>
      <c r="BX6" s="47">
        <f>IF(ISNUMBER(BW6),IF(COUNTIFS(BX$1:BX5,_xlfn.RANK.EQ(BW6,BW$2:BW$111,0))&gt;0,_xlfn.MAXIFS(BX$1:BX5,BW$1:BW5,BW6)+1,_xlfn.RANK.EQ(BW6,BW$2:BW$111,0)),"")</f>
        <v>2</v>
      </c>
      <c r="BY6" s="1">
        <f>IF(ISNUMBER(BW6)=TRUE,IF(_xlfn.RANK.EQ(BW6,$BW$2:$BW$111)&lt;='Tournament Setup'!$B$41,_xlfn.RANK.EQ(BW6,$BW$2:$BW$111),""),"")</f>
        <v>2</v>
      </c>
      <c r="BZ6" s="31" t="str">
        <f>IF(AND($H6='Tournament Setup'!$A$41,$E6="M",$BY6&gt;'Tournament Setup'!$B$41),$I6,"")</f>
        <v/>
      </c>
      <c r="CA6" s="1" t="str">
        <f>IF(ISNUMBER(BZ6)=TRUE,IF(_xlfn.RANK.EQ(BZ6,$BZ$2:$BZ$111)&lt;='Tournament Setup'!$C$41,_xlfn.RANK.EQ(BZ6,$BZ$2:$BZ$111),""),"")</f>
        <v/>
      </c>
      <c r="CB6" s="31" t="str">
        <f>IF(AND($H6='Tournament Setup'!$A$41,$E6="F",$BY6&gt;'Tournament Setup'!$B$41),$I6,"")</f>
        <v/>
      </c>
      <c r="CC6" s="12" t="str">
        <f>IF(ISNUMBER(CB6)=TRUE,IF(_xlfn.RANK.EQ(CB6,$CB$2:$CB$111)&lt;='Tournament Setup'!$D$41,_xlfn.RANK.EQ(CB6,$CB$2:$CB$111),""),"")</f>
        <v/>
      </c>
      <c r="CD6" s="30" t="str">
        <f>IF($H6='Tournament Setup'!$A$42,$I6,"")</f>
        <v/>
      </c>
      <c r="CE6" s="47" t="str">
        <f>IF(ISNUMBER(CD6),IF(COUNTIFS(CE$1:CE5,_xlfn.RANK.EQ(CD6,CD$2:CD$111,0))&gt;0,_xlfn.MAXIFS(CE$1:CE5,CD$1:CD5,CD6)+1,_xlfn.RANK.EQ(CD6,CD$2:CD$111,0)),"")</f>
        <v/>
      </c>
      <c r="CF6" s="1" t="str">
        <f>IF(ISNUMBER(CD6)=TRUE,IF(_xlfn.RANK.EQ(CD6,$CD$2:$CD$111)&lt;='Tournament Setup'!$B$42,_xlfn.RANK.EQ(CD6,$CD$2:$CD$111),""),"")</f>
        <v/>
      </c>
      <c r="CG6" s="31" t="str">
        <f>IF(AND($H6='Tournament Setup'!$A$42,$E6="M",$CF6&gt;'Tournament Setup'!$B$42),$I6,"")</f>
        <v/>
      </c>
      <c r="CH6" s="1" t="str">
        <f>IF(ISNUMBER(CG6)=TRUE,IF(_xlfn.RANK.EQ(CG6,$CG$2:$CG$111)&lt;='Tournament Setup'!$C$42,_xlfn.RANK.EQ(CG6,$CG$2:$CG$111),""),"")</f>
        <v/>
      </c>
      <c r="CI6" s="31" t="str">
        <f>IF(AND($H6='Tournament Setup'!$A$42,$E6="F",$CF6&gt;'Tournament Setup'!$B$42),$I6,"")</f>
        <v/>
      </c>
      <c r="CJ6" s="12" t="str">
        <f>IF(ISNUMBER(CI6)=TRUE,IF(_xlfn.RANK.EQ(CI6,$CI$2:$CI$111)&lt;='Tournament Setup'!$D$42,_xlfn.RANK.EQ(CI6,$CI$2:$CI$111),""),"")</f>
        <v/>
      </c>
      <c r="CK6" s="30" t="str">
        <f>IF($H6='Tournament Setup'!$A$43,$I6,"")</f>
        <v/>
      </c>
      <c r="CL6" s="47" t="str">
        <f>IF(ISNUMBER(CK6),IF(COUNTIFS(CL$1:CL5,_xlfn.RANK.EQ(CK6,CK$2:CK$111,0))&gt;0,_xlfn.MAXIFS(CL$1:CL5,CK$1:CK5,CK6)+1,_xlfn.RANK.EQ(CK6,CK$2:CK$111,0)),"")</f>
        <v/>
      </c>
      <c r="CM6" s="1" t="str">
        <f>IF(ISNUMBER(CK6)=TRUE,IF(_xlfn.RANK.EQ(CK6,$CK$2:$CK$111)&lt;='Tournament Setup'!$B$43,_xlfn.RANK.EQ(CK6,$CK$2:$CK$111),""),"")</f>
        <v/>
      </c>
      <c r="CN6" s="31" t="str">
        <f>IF(AND($H6='Tournament Setup'!$A$43,$E6="M",$CM6&gt;'Tournament Setup'!$B$43),$I6,"")</f>
        <v/>
      </c>
      <c r="CO6" s="1" t="str">
        <f>IF(ISNUMBER(CN6)=TRUE,IF(_xlfn.RANK.EQ(CN6,$CN$2:$CN$111)&lt;='Tournament Setup'!$C$43,_xlfn.RANK.EQ(CN6,$CN$2:$CN$111),""),"")</f>
        <v/>
      </c>
      <c r="CP6" s="31" t="str">
        <f>IF(AND($H6='Tournament Setup'!$A$43,$E6="F",$CM6&gt;'Tournament Setup'!$B$43),$I6,"")</f>
        <v/>
      </c>
      <c r="CQ6" s="12" t="str">
        <f>IF(ISNUMBER(CP6)=TRUE,IF(_xlfn.RANK.EQ(CP6,$CP$2:$CP$111)&lt;='Tournament Setup'!$D$43,_xlfn.RANK.EQ(CP6,$CP$2:$CP$111),""),"")</f>
        <v/>
      </c>
      <c r="CR6" s="30" t="str">
        <f>IF($H6='Tournament Setup'!$A$44,$I6,"")</f>
        <v/>
      </c>
      <c r="CS6" s="47" t="str">
        <f>IF(ISNUMBER(CR6),IF(COUNTIFS(CS$1:CS5,_xlfn.RANK.EQ(CR6,CR$2:CR$111,0))&gt;0,_xlfn.MAXIFS(CS$1:CS5,CR$1:CR5,CR6)+1,_xlfn.RANK.EQ(CR6,CR$2:CR$111,0)),"")</f>
        <v/>
      </c>
      <c r="CT6" s="1" t="str">
        <f>IF(ISNUMBER(CR6)=TRUE,IF(_xlfn.RANK.EQ(CR6,$CR$2:$CR$111)&lt;='Tournament Setup'!$B$44,_xlfn.RANK.EQ(CR6,$CR$2:$CR$111),""),"")</f>
        <v/>
      </c>
      <c r="CU6" s="31" t="str">
        <f>IF(AND($H6='Tournament Setup'!$A$44,$E6="M",$CT6&gt;'Tournament Setup'!$B$44),$I6,"")</f>
        <v/>
      </c>
      <c r="CV6" s="1" t="str">
        <f>IF(ISNUMBER(CU6)=TRUE,IF(_xlfn.RANK.EQ(CU6,$CU$2:$CU$111)&lt;='Tournament Setup'!$C$44,_xlfn.RANK.EQ(CU6,$CU$2:$CU$111),""),"")</f>
        <v/>
      </c>
      <c r="CW6" s="31" t="str">
        <f>IF(AND($H6='Tournament Setup'!$A$44,$E6="F",$CT6&gt;'Tournament Setup'!$B$44),$I6,"")</f>
        <v/>
      </c>
      <c r="CX6" s="12" t="str">
        <f>IF(ISNUMBER(CW6)=TRUE,IF(_xlfn.RANK.EQ(CW6,$CW$2:$CW$111)&lt;='Tournament Setup'!$D$44,_xlfn.RANK.EQ(CW6,$CW$2:$CW$111),""),"")</f>
        <v/>
      </c>
    </row>
    <row r="7" spans="1:102" x14ac:dyDescent="0.3">
      <c r="A7" t="s">
        <v>42</v>
      </c>
      <c r="B7" t="str">
        <f>IFERROR(INDEX('Tournament List'!$B:$B,MATCH($A7,'Tournament List'!$A:$A,0)),"")</f>
        <v>Ben</v>
      </c>
      <c r="C7" t="str">
        <f>IFERROR(INDEX('Tournament List'!$C:$C,MATCH($A7,'Tournament List'!$A:$A,0)),"")</f>
        <v>Last Name6</v>
      </c>
      <c r="D7" t="str">
        <f t="shared" si="0"/>
        <v>Ben Last Name6</v>
      </c>
      <c r="E7" s="1" t="str">
        <f>IFERROR(INDEX('Tournament List'!F:F,MATCH($A7,'Tournament List'!$A:$A,0)),"")</f>
        <v>M</v>
      </c>
      <c r="F7" t="str">
        <f>IFERROR(INDEX('Tournament List'!M:M,MATCH($A7,'Tournament List'!$A:$A,0)),"")</f>
        <v>Novice</v>
      </c>
      <c r="G7" t="str">
        <f>IFERROR(INDEX('Shooter-Squad Assignment'!L:L,MATCH(A7,'Shooter-Squad Assignment'!A:A,0)),"")</f>
        <v>Novice</v>
      </c>
      <c r="H7" s="1" t="str">
        <f>IFERROR(INDEX('Tournament List'!AD:AD,MATCH($A7,'Tournament List'!$A:$A,0)),"")</f>
        <v>C</v>
      </c>
      <c r="I7" s="123">
        <f>IFERROR(INDEX('Tournament List'!AG:AG,MATCH($A7,'Tournament List'!$A:$A,0)),"")</f>
        <v>51.1</v>
      </c>
      <c r="J7" s="145" t="str">
        <f>IFERROR(INDEX('Tournament List'!Y:Y,MATCH($A7,'Tournament List'!$A:$A,0)),"")</f>
        <v/>
      </c>
      <c r="K7" s="47">
        <f>IFERROR(INDEX('Tournament List'!S:S,MATCH(A7,'Tournament List'!A:A,0)),"")</f>
        <v>181</v>
      </c>
      <c r="L7" s="47" t="str">
        <f>IF(ISNUMBER(J7),IF(COUNTIFS(L$1:L6,_xlfn.RANK.EQ(J7,J$2:J$111,0))&gt;0,_xlfn.MAXIFS(L$1:L6,J$1:J6,J7)+1,_xlfn.RANK.EQ(J7,J$2:J$111,0)),"")</f>
        <v/>
      </c>
      <c r="M7" s="11">
        <f>IF(ISNUMBER(I7)=TRUE,IF(I7&gt;0,_xlfn.RANK.EQ(I7,$I$2:$I$111,0),""),"")</f>
        <v>40</v>
      </c>
      <c r="N7" s="56">
        <f>IF(ISNUMBER(I7),IF(COUNTIFS(N$1:N6,_xlfn.RANK.EQ(I7,I$2:I$111,0))&gt;0,_xlfn.MAXIFS(N$1:N6,I$1:I6,I7)+1,_xlfn.RANK.EQ(I7,I$2:I$111,0)),"")</f>
        <v>40</v>
      </c>
      <c r="O7" s="144">
        <f>IF(F7&lt;&gt;"Collegiate"=TRUE,$I7,"")</f>
        <v>51.1</v>
      </c>
      <c r="P7" s="47">
        <f>IF(ISNUMBER(O7),IF(COUNTIFS(P$1:P6,_xlfn.RANK.EQ(O7,O$2:O$111,0))&gt;0,_xlfn.MAXIFS(P$1:P6,O$1:O6,O7)+1,_xlfn.RANK.EQ(O7,O$2:O$111,0)),"")</f>
        <v>38</v>
      </c>
      <c r="Q7" s="1" t="str">
        <f>IF(ISNUMBER(O7)=TRUE,IF(_xlfn.RANK.EQ(O7,$O$2:$O$111)&lt;='Tournament Setup'!$B$26,_xlfn.RANK.EQ(O7,$O$2:$O$111),""),"")</f>
        <v/>
      </c>
      <c r="R7" s="143">
        <f>IF(AND($E7="M",SUM($Q7)=0,F7&lt;&gt;"Collegiate")=TRUE,$I7,"")</f>
        <v>51.1</v>
      </c>
      <c r="S7" s="1" t="str">
        <f>IF(ISNUMBER(R7)=TRUE,IF(_xlfn.RANK.EQ(R7,$R$2:$R$111)&lt;='Tournament Setup'!$B$27,_xlfn.RANK.EQ(R7,$R$2:$R$111),""),"")</f>
        <v/>
      </c>
      <c r="T7" s="143" t="str">
        <f>IF(AND($E7="F",SUM($Q7)=0,F7&lt;&gt;"Collegiate")=TRUE,$I7,"")</f>
        <v/>
      </c>
      <c r="U7" s="12" t="str">
        <f>IF(ISNUMBER(T7)=TRUE,IF(_xlfn.RANK.EQ(T7,$T$2:$T$111)&lt;='Tournament Setup'!$B$28,_xlfn.RANK.EQ(T7,$T$2:$T$111),""),"")</f>
        <v/>
      </c>
      <c r="V7" s="145" t="str">
        <f>IF(AND($G7='Tournament Setup'!$A$53,$J7&lt;&gt;0),$J7,"")</f>
        <v/>
      </c>
      <c r="W7" s="47" t="str">
        <f>IF(ISNUMBER(V7),IF(COUNTIFS(W$1:W6,_xlfn.RANK.EQ(V7,V$2:V$111,0))&gt;0,_xlfn.MAXIFS(W$1:W6,V$1:V6,V7)+1,_xlfn.RANK.EQ(V7,V$2:V$111,0)),"")</f>
        <v/>
      </c>
      <c r="X7" s="1" t="str">
        <f>IF(ISNUMBER(V7)=TRUE,IF(_xlfn.RANK.EQ(V7,$V$2:$V$111)&lt;='Tournament Setup'!$B$53,_xlfn.RANK.EQ(V7,$V$2:$V$111),""),"")</f>
        <v/>
      </c>
      <c r="Y7" s="145" t="str">
        <f>IF(AND($G7='Tournament Setup'!$A$49,$J7&lt;&gt;0),$J7,"")</f>
        <v/>
      </c>
      <c r="Z7" s="47" t="str">
        <f>IF(ISNUMBER(Y7),IF(COUNTIFS(Z$1:Z6,_xlfn.RANK.EQ(Y7,Y$2:Y$111,0))&gt;0,_xlfn.MAXIFS(Z$1:Z6,Y$1:Y6,Y7)+1,_xlfn.RANK.EQ(Y7,Y$2:Y$111,0)),"")</f>
        <v/>
      </c>
      <c r="AA7" s="1" t="str">
        <f>IF(ISNUMBER(Y7)=TRUE,IF(_xlfn.RANK.EQ(Y7,$Y$2:$Y$111)&lt;='Tournament Setup'!$B$49,_xlfn.RANK.EQ(Y7,$Y$2:$Y$111),""),"")</f>
        <v/>
      </c>
      <c r="AB7" s="30">
        <f>IF(AND($F7='Tournament Setup'!$A$32,SUM($Q7,$S7,$U7)=0),$I7,"")</f>
        <v>51.1</v>
      </c>
      <c r="AC7" s="47">
        <f>IF(ISNUMBER(AB7),IF(COUNTIFS(AC$1:AC6,_xlfn.RANK.EQ(AB7,AB$2:AB$111,0))&gt;0,_xlfn.MAXIFS(AC$1:AC6,AB$1:AB6,AB7)+1,_xlfn.RANK.EQ(AB7,AB$2:AB$111,0)),"")</f>
        <v>12</v>
      </c>
      <c r="AD7" s="1" t="str">
        <f>IF(ISNUMBER(AB7)=TRUE,IF(_xlfn.RANK.EQ(AB7,$AB$2:$AB$111)&lt;='Tournament Setup'!$B$32,_xlfn.RANK.EQ(AB7,$AB$2:$AB$111),""),"")</f>
        <v/>
      </c>
      <c r="AE7" s="31">
        <f>IF(AND($F7='Tournament Setup'!$A$32,SUM($Q7,$S7)=0,$E7="M",$AD7&gt;'Tournament Setup'!$B$32),$I7,"")</f>
        <v>51.1</v>
      </c>
      <c r="AF7" s="1" t="str">
        <f>IF(ISNUMBER(AE7)=TRUE,IF(_xlfn.RANK.EQ(AE7,$AE$2:$AE$111)&lt;='Tournament Setup'!$C$32,_xlfn.RANK.EQ(AE7,$AE$2:$AE$111),""),"")</f>
        <v/>
      </c>
      <c r="AG7" s="31" t="str">
        <f>IF(AND($F7='Tournament Setup'!$A$32,SUM($Q7,$U7)=0,$E7="F",$AD7&gt;'Tournament Setup'!$B$32),$I7,"")</f>
        <v/>
      </c>
      <c r="AH7" s="12" t="str">
        <f>IF(ISNUMBER(AG7)=TRUE,IF(_xlfn.RANK.EQ(AG7,$AG$2:$AG$111)&lt;='Tournament Setup'!$D$32,_xlfn.RANK.EQ(AG7,$AG$2:$AG$111),""),"")</f>
        <v/>
      </c>
      <c r="AI7" s="30" t="str">
        <f>IF(AND($G7='Tournament Setup'!$A$50,$J7&lt;&gt;0),$J7,"")</f>
        <v/>
      </c>
      <c r="AJ7" s="47" t="str">
        <f>IF(ISNUMBER(AI7),IF(COUNTIFS(AJ$1:AJ6,_xlfn.RANK.EQ(AI7,AI$2:AI$111,0))&gt;0,_xlfn.MAXIFS(AJ$1:AJ6,AI$1:AI6,AI7)+1,_xlfn.RANK.EQ(AI7,AI$2:AI$111,0)),"")</f>
        <v/>
      </c>
      <c r="AK7" s="1" t="str">
        <f>IF(ISNUMBER(AI7)=TRUE,IF(_xlfn.RANK.EQ(AI7,$AI$2:$AI$111)&lt;='Tournament Setup'!$B$49,_xlfn.RANK.EQ(AI7,$AI$2:$AI$111),""),"")</f>
        <v/>
      </c>
      <c r="AL7" s="30" t="str">
        <f>IF(AND($F7='Tournament Setup'!$A$33,SUM($Q7,$S7,$U7)=0),$I7,"")</f>
        <v/>
      </c>
      <c r="AM7" s="47" t="str">
        <f>IF(ISNUMBER(AL7),IF(COUNTIFS(AM$1:AM6,_xlfn.RANK.EQ(AL7,AL$2:AL$111,0))&gt;0,_xlfn.MAXIFS(AM$1:AM6,AL$1:AL6,AL7)+1,_xlfn.RANK.EQ(AL7,AL$2:AL$111,0)),"")</f>
        <v/>
      </c>
      <c r="AN7" s="1" t="str">
        <f>IF(ISNUMBER(AL7)=TRUE,IF(_xlfn.RANK.EQ(AL7,$AL$2:$AL$111)&lt;='Tournament Setup'!$B$33,_xlfn.RANK.EQ(AL7,$AL$2:$AL$111),""),"")</f>
        <v/>
      </c>
      <c r="AO7" s="31" t="str">
        <f>IF(AND($F7='Tournament Setup'!$A$33,SUM($Q7,$S7)=0,$E7="M",$AN7&gt;'Tournament Setup'!$B$33),$I7,"")</f>
        <v/>
      </c>
      <c r="AP7" s="1" t="str">
        <f>IF(ISNUMBER(AO7)=TRUE,IF(_xlfn.RANK.EQ(AO7,$AO$2:$AO$111)&lt;='Tournament Setup'!$C$33,_xlfn.RANK.EQ(AO7,$AO$2:$AO$111),""),"")</f>
        <v/>
      </c>
      <c r="AQ7" s="31" t="str">
        <f>IF(AND($F7='Tournament Setup'!$A$33,SUM($Q7,$U7)=0,$E7="F",$AN7&gt;'Tournament Setup'!$B$33),$I7,"")</f>
        <v/>
      </c>
      <c r="AR7" s="12" t="str">
        <f>IF(ISNUMBER(AQ7)=TRUE,IF(_xlfn.RANK.EQ(AQ7,$AQ$2:$AQ$111)&lt;='Tournament Setup'!$D$33,_xlfn.RANK.EQ(AQ7,$AQ$2:$AQ$111),""),"")</f>
        <v/>
      </c>
      <c r="AS7" s="30" t="str">
        <f>IF(AND($G7='Tournament Setup'!$A$51,$J7&lt;&gt;0),$J7,"")</f>
        <v/>
      </c>
      <c r="AT7" s="47" t="str">
        <f>IF(ISNUMBER(AS7),IF(COUNTIFS(AT$1:AT6,_xlfn.RANK.EQ(AS7,AS$2:AS$111,0))&gt;0,_xlfn.MAXIFS(AT$1:AT6,AS$1:AS6,AS7)+1,_xlfn.RANK.EQ(AS7,AS$2:AS$111,0)),"")</f>
        <v/>
      </c>
      <c r="AU7" s="1" t="str">
        <f>IF(ISNUMBER(AS7)=TRUE,IF(_xlfn.RANK.EQ(AS7,$AS$2:$AS$111)&lt;='Tournament Setup'!$B$49,_xlfn.RANK.EQ(AS7,$AS$2:$AS$111),""),"")</f>
        <v/>
      </c>
      <c r="AV7" s="30" t="str">
        <f>IF(AND($F7='Tournament Setup'!$A$34,SUM($Q7,$S7,$U7)=0),$I7,"")</f>
        <v/>
      </c>
      <c r="AW7" s="47" t="str">
        <f>IF(ISNUMBER(AV7),IF(COUNTIFS(AW$1:AW6,_xlfn.RANK.EQ(AV7,AV$2:AV$111,0))&gt;0,_xlfn.MAXIFS(AW$1:AW6,AV$1:AV6,AV7)+1,_xlfn.RANK.EQ(AV7,AV$2:AV$111,0)),"")</f>
        <v/>
      </c>
      <c r="AX7" s="1" t="str">
        <f>IF(ISNUMBER(AV7)=TRUE,IF(_xlfn.RANK.EQ(AV7,$AV$2:$AV$111)&lt;='Tournament Setup'!$B$34,_xlfn.RANK.EQ(AV7,$AV$2:$AV$111),""),"")</f>
        <v/>
      </c>
      <c r="AY7" s="31" t="str">
        <f>IF(AND($F7='Tournament Setup'!$A$34,SUM($Q7,$S7)=0,$E7="M",$AX7&gt;'Tournament Setup'!$B$34),$I7,"")</f>
        <v/>
      </c>
      <c r="AZ7" s="1" t="str">
        <f>IF(ISNUMBER(AY7)=TRUE,IF(_xlfn.RANK.EQ(AY7,$AY$2:$AY$111)&lt;='Tournament Setup'!$C$34,_xlfn.RANK.EQ(AY7,$AY$2:$AY$111),""),"")</f>
        <v/>
      </c>
      <c r="BA7" s="31" t="str">
        <f>IF(AND($F7='Tournament Setup'!$A$34,SUM($Q7,$U7)=0,$E7="F",$AX7&gt;'Tournament Setup'!$B$34),$I7,"")</f>
        <v/>
      </c>
      <c r="BB7" s="12" t="str">
        <f>IF(ISNUMBER(BA7)=TRUE,IF(_xlfn.RANK.EQ(BA7,$BA$2:$BA$111)&lt;='Tournament Setup'!$D$34,_xlfn.RANK.EQ(BA7,$BA$2:$BA$111),""),"")</f>
        <v/>
      </c>
      <c r="BC7" s="30" t="str">
        <f>IF(AND($G7='Tournament Setup'!$A$52,$J7&lt;&gt;0),$J7,"")</f>
        <v/>
      </c>
      <c r="BD7" s="47" t="str">
        <f>IF(ISNUMBER(BC7),IF(COUNTIFS(BD$1:BD6,_xlfn.RANK.EQ(BC7,BC$2:BC$111,0))&gt;0,_xlfn.MAXIFS(BD$1:BD6,BC$1:BC6,BC7)+1,_xlfn.RANK.EQ(BC7,BC$2:BC$111,0)),"")</f>
        <v/>
      </c>
      <c r="BE7" s="1" t="str">
        <f>IF(ISNUMBER(BC7)=TRUE,IF(_xlfn.RANK.EQ(BC7,$BC$2:$BC$111)&lt;='Tournament Setup'!$B$49,_xlfn.RANK.EQ(BC7,$BC$2:$BC$111),""),"")</f>
        <v/>
      </c>
      <c r="BF7" s="30" t="str">
        <f>IF(AND($F7='Tournament Setup'!$A$35,SUM($Q7,$S7,$U7)=0),$I7,"")</f>
        <v/>
      </c>
      <c r="BG7" s="47" t="str">
        <f>IF(ISNUMBER(BF7),IF(COUNTIFS(BG$1:BG6,_xlfn.RANK.EQ(BF7,BF$2:BF$111,0))&gt;0,_xlfn.MAXIFS(BG$1:BG6,BF$1:BF6,BF7)+1,_xlfn.RANK.EQ(BF7,BF$2:BF$111,0)),"")</f>
        <v/>
      </c>
      <c r="BH7" s="1" t="str">
        <f>IF(ISNUMBER(BF7)=TRUE,IF(_xlfn.RANK.EQ(BF7,$BF$2:$BF$111)&lt;='Tournament Setup'!$B$35,_xlfn.RANK.EQ(BF7,$BF$2:$BF$111),""),"")</f>
        <v/>
      </c>
      <c r="BI7" s="31" t="str">
        <f>IF(AND($F7='Tournament Setup'!$A$35,SUM($Q7,$S7)=0,$E7="M",$BH7&gt;'Tournament Setup'!$B$35),$I7,"")</f>
        <v/>
      </c>
      <c r="BJ7" s="1" t="str">
        <f>IF(ISNUMBER(BI7)=TRUE,IF(_xlfn.RANK.EQ(BI7,$BI$2:$BI$111)&lt;='Tournament Setup'!$C$35,_xlfn.RANK.EQ(BI7,$BI$2:$BI$111),""),"")</f>
        <v/>
      </c>
      <c r="BK7" s="31" t="str">
        <f>IF(AND($F7='Tournament Setup'!$A$35,SUM($Q7,$U7)=0,$E7="F",$BH7&gt;'Tournament Setup'!$B$35),$I7,"")</f>
        <v/>
      </c>
      <c r="BL7" s="12" t="str">
        <f>IF(ISNUMBER(BK7)=TRUE,IF(_xlfn.RANK.EQ(BK7,$BK$2:$BK$111)&lt;='Tournament Setup'!$D$35,_xlfn.RANK.EQ(BK7,$BK$2:$BK$111),""),"")</f>
        <v/>
      </c>
      <c r="BM7" s="30" t="str">
        <f>IF(AND($G7='Tournament Setup'!$A$54,$J7&lt;&gt;0),$J7,"")</f>
        <v/>
      </c>
      <c r="BN7" s="47" t="str">
        <f>IF(ISNUMBER(BM7),IF(COUNTIFS(BN$1:BN6,_xlfn.RANK.EQ(BM7,BM$2:BM$111,0))&gt;0,_xlfn.MAXIFS(BN$1:BN6,BM$1:BM6,BM7)+1,_xlfn.RANK.EQ(BM7,BM$2:BM$111,0)),"")</f>
        <v/>
      </c>
      <c r="BO7" s="1" t="str">
        <f>IF(ISNUMBER(BM7)=TRUE,IF(_xlfn.RANK.EQ(BM7,$BM$2:$BM$111)&lt;='Tournament Setup'!$B$49,_xlfn.RANK.EQ(BM7,$BM$2:$BM$111),""),"")</f>
        <v/>
      </c>
      <c r="BP7" s="30" t="str">
        <f>IF(AND($F7='Tournament Setup'!$A$36,SUM($Q7,$S7,$U7)=0),$I7,"")</f>
        <v/>
      </c>
      <c r="BQ7" s="47" t="str">
        <f>IF(ISNUMBER(BP7),IF(COUNTIFS(BQ$1:BQ6,_xlfn.RANK.EQ(BP7,BP$2:BP$111,0))&gt;0,_xlfn.MAXIFS(BQ$1:BQ6,BP$1:BP6,BP7)+1,_xlfn.RANK.EQ(BP7,BP$2:BP$111,0)),"")</f>
        <v/>
      </c>
      <c r="BR7" s="1" t="str">
        <f>IF(ISNUMBER(BP7)=TRUE,IF(_xlfn.RANK.EQ(BP7,$BP$2:$BP$111)&lt;='Tournament Setup'!$B$36,_xlfn.RANK.EQ(BP7,$BP$2:$BP$111),""),"")</f>
        <v/>
      </c>
      <c r="BS7" s="31" t="str">
        <f>IF(AND($F7='Tournament Setup'!$A$36,SUM($Q7,$S7)=0,$E7="M",$BR7&gt;'Tournament Setup'!$B$36),$I7,"")</f>
        <v/>
      </c>
      <c r="BT7" s="1" t="str">
        <f>IF(ISNUMBER(BS7)=TRUE,IF(_xlfn.RANK.EQ(BS7,$BS$2:$BS$111)&lt;='Tournament Setup'!$C$36,_xlfn.RANK.EQ(BS7,$BS$2:$BS$111),""),"")</f>
        <v/>
      </c>
      <c r="BU7" s="31" t="str">
        <f>IF(AND($F7='Tournament Setup'!$A$36,SUM($Q7,$U7)=0,$E7="F",$BR7&gt;'Tournament Setup'!$B$36),$I7,"")</f>
        <v/>
      </c>
      <c r="BV7" s="12" t="str">
        <f>IF(ISNUMBER(BU7)=TRUE,IF(_xlfn.RANK.EQ(BU7,$BU$2:$BU$111)&lt;='Tournament Setup'!$D$36,_xlfn.RANK.EQ(BU7,$BU$2:$BU$111),""),"")</f>
        <v/>
      </c>
      <c r="BW7" s="30" t="str">
        <f>IF($H7='Tournament Setup'!$A$41,$I7,"")</f>
        <v/>
      </c>
      <c r="BX7" s="47" t="str">
        <f>IF(ISNUMBER(BW7),IF(COUNTIFS(BX$1:BX6,_xlfn.RANK.EQ(BW7,BW$2:BW$111,0))&gt;0,_xlfn.MAXIFS(BX$1:BX6,BW$1:BW6,BW7)+1,_xlfn.RANK.EQ(BW7,BW$2:BW$111,0)),"")</f>
        <v/>
      </c>
      <c r="BY7" s="1" t="str">
        <f>IF(ISNUMBER(BW7)=TRUE,IF(_xlfn.RANK.EQ(BW7,$BW$2:$BW$111)&lt;='Tournament Setup'!$B$41,_xlfn.RANK.EQ(BW7,$BW$2:$BW$111),""),"")</f>
        <v/>
      </c>
      <c r="BZ7" s="31" t="str">
        <f>IF(AND($H7='Tournament Setup'!$A$41,$E7="M",$BY7&gt;'Tournament Setup'!$B$41),$I7,"")</f>
        <v/>
      </c>
      <c r="CA7" s="1" t="str">
        <f>IF(ISNUMBER(BZ7)=TRUE,IF(_xlfn.RANK.EQ(BZ7,$BZ$2:$BZ$111)&lt;='Tournament Setup'!$C$41,_xlfn.RANK.EQ(BZ7,$BZ$2:$BZ$111),""),"")</f>
        <v/>
      </c>
      <c r="CB7" s="31" t="str">
        <f>IF(AND($H7='Tournament Setup'!$A$41,$E7="F",$BY7&gt;'Tournament Setup'!$B$41),$I7,"")</f>
        <v/>
      </c>
      <c r="CC7" s="12" t="str">
        <f>IF(ISNUMBER(CB7)=TRUE,IF(_xlfn.RANK.EQ(CB7,$CB$2:$CB$111)&lt;='Tournament Setup'!$D$41,_xlfn.RANK.EQ(CB7,$CB$2:$CB$111),""),"")</f>
        <v/>
      </c>
      <c r="CD7" s="30" t="str">
        <f>IF($H7='Tournament Setup'!$A$42,$I7,"")</f>
        <v/>
      </c>
      <c r="CE7" s="47" t="str">
        <f>IF(ISNUMBER(CD7),IF(COUNTIFS(CE$1:CE6,_xlfn.RANK.EQ(CD7,CD$2:CD$111,0))&gt;0,_xlfn.MAXIFS(CE$1:CE6,CD$1:CD6,CD7)+1,_xlfn.RANK.EQ(CD7,CD$2:CD$111,0)),"")</f>
        <v/>
      </c>
      <c r="CF7" s="1" t="str">
        <f>IF(ISNUMBER(CD7)=TRUE,IF(_xlfn.RANK.EQ(CD7,$CD$2:$CD$111)&lt;='Tournament Setup'!$B$42,_xlfn.RANK.EQ(CD7,$CD$2:$CD$111),""),"")</f>
        <v/>
      </c>
      <c r="CG7" s="31" t="str">
        <f>IF(AND($H7='Tournament Setup'!$A$42,$E7="M",$CF7&gt;'Tournament Setup'!$B$42),$I7,"")</f>
        <v/>
      </c>
      <c r="CH7" s="1" t="str">
        <f>IF(ISNUMBER(CG7)=TRUE,IF(_xlfn.RANK.EQ(CG7,$CG$2:$CG$111)&lt;='Tournament Setup'!$C$42,_xlfn.RANK.EQ(CG7,$CG$2:$CG$111),""),"")</f>
        <v/>
      </c>
      <c r="CI7" s="31" t="str">
        <f>IF(AND($H7='Tournament Setup'!$A$42,$E7="F",$CF7&gt;'Tournament Setup'!$B$42),$I7,"")</f>
        <v/>
      </c>
      <c r="CJ7" s="12" t="str">
        <f>IF(ISNUMBER(CI7)=TRUE,IF(_xlfn.RANK.EQ(CI7,$CI$2:$CI$111)&lt;='Tournament Setup'!$D$42,_xlfn.RANK.EQ(CI7,$CI$2:$CI$111),""),"")</f>
        <v/>
      </c>
      <c r="CK7" s="30">
        <f>IF($H7='Tournament Setup'!$A$43,$I7,"")</f>
        <v>51.1</v>
      </c>
      <c r="CL7" s="47">
        <f>IF(ISNUMBER(CK7),IF(COUNTIFS(CL$1:CL6,_xlfn.RANK.EQ(CK7,CK$2:CK$111,0))&gt;0,_xlfn.MAXIFS(CL$1:CL6,CK$1:CK6,CK7)+1,_xlfn.RANK.EQ(CK7,CK$2:CK$111,0)),"")</f>
        <v>12</v>
      </c>
      <c r="CM7" s="1" t="str">
        <f>IF(ISNUMBER(CK7)=TRUE,IF(_xlfn.RANK.EQ(CK7,$CK$2:$CK$111)&lt;='Tournament Setup'!$B$43,_xlfn.RANK.EQ(CK7,$CK$2:$CK$111),""),"")</f>
        <v/>
      </c>
      <c r="CN7" s="31">
        <f>IF(AND($H7='Tournament Setup'!$A$43,$E7="M",$CM7&gt;'Tournament Setup'!$B$43),$I7,"")</f>
        <v>51.1</v>
      </c>
      <c r="CO7" s="1" t="str">
        <f>IF(ISNUMBER(CN7)=TRUE,IF(_xlfn.RANK.EQ(CN7,$CN$2:$CN$111)&lt;='Tournament Setup'!$C$43,_xlfn.RANK.EQ(CN7,$CN$2:$CN$111),""),"")</f>
        <v/>
      </c>
      <c r="CP7" s="31" t="str">
        <f>IF(AND($H7='Tournament Setup'!$A$43,$E7="F",$CM7&gt;'Tournament Setup'!$B$43),$I7,"")</f>
        <v/>
      </c>
      <c r="CQ7" s="12" t="str">
        <f>IF(ISNUMBER(CP7)=TRUE,IF(_xlfn.RANK.EQ(CP7,$CP$2:$CP$111)&lt;='Tournament Setup'!$D$43,_xlfn.RANK.EQ(CP7,$CP$2:$CP$111),""),"")</f>
        <v/>
      </c>
      <c r="CR7" s="30" t="str">
        <f>IF($H7='Tournament Setup'!$A$44,$I7,"")</f>
        <v/>
      </c>
      <c r="CS7" s="47" t="str">
        <f>IF(ISNUMBER(CR7),IF(COUNTIFS(CS$1:CS6,_xlfn.RANK.EQ(CR7,CR$2:CR$111,0))&gt;0,_xlfn.MAXIFS(CS$1:CS6,CR$1:CR6,CR7)+1,_xlfn.RANK.EQ(CR7,CR$2:CR$111,0)),"")</f>
        <v/>
      </c>
      <c r="CT7" s="1" t="str">
        <f>IF(ISNUMBER(CR7)=TRUE,IF(_xlfn.RANK.EQ(CR7,$CR$2:$CR$111)&lt;='Tournament Setup'!$B$44,_xlfn.RANK.EQ(CR7,$CR$2:$CR$111),""),"")</f>
        <v/>
      </c>
      <c r="CU7" s="31" t="str">
        <f>IF(AND($H7='Tournament Setup'!$A$44,$E7="M",$CT7&gt;'Tournament Setup'!$B$44),$I7,"")</f>
        <v/>
      </c>
      <c r="CV7" s="1" t="str">
        <f>IF(ISNUMBER(CU7)=TRUE,IF(_xlfn.RANK.EQ(CU7,$CU$2:$CU$111)&lt;='Tournament Setup'!$C$44,_xlfn.RANK.EQ(CU7,$CU$2:$CU$111),""),"")</f>
        <v/>
      </c>
      <c r="CW7" s="31" t="str">
        <f>IF(AND($H7='Tournament Setup'!$A$44,$E7="F",$CT7&gt;'Tournament Setup'!$B$44),$I7,"")</f>
        <v/>
      </c>
      <c r="CX7" s="12" t="str">
        <f>IF(ISNUMBER(CW7)=TRUE,IF(_xlfn.RANK.EQ(CW7,$CW$2:$CW$111)&lt;='Tournament Setup'!$D$44,_xlfn.RANK.EQ(CW7,$CW$2:$CW$111),""),"")</f>
        <v/>
      </c>
    </row>
    <row r="8" spans="1:102" x14ac:dyDescent="0.3">
      <c r="A8" t="s">
        <v>43</v>
      </c>
      <c r="B8" t="str">
        <f>IFERROR(INDEX('Tournament List'!$B:$B,MATCH($A8,'Tournament List'!$A:$A,0)),"")</f>
        <v>Blake</v>
      </c>
      <c r="C8" t="str">
        <f>IFERROR(INDEX('Tournament List'!$C:$C,MATCH($A8,'Tournament List'!$A:$A,0)),"")</f>
        <v>Last Name7</v>
      </c>
      <c r="D8" t="str">
        <f t="shared" si="0"/>
        <v>Blake Last Name7</v>
      </c>
      <c r="E8" s="1" t="str">
        <f>IFERROR(INDEX('Tournament List'!F:F,MATCH($A8,'Tournament List'!$A:$A,0)),"")</f>
        <v>M</v>
      </c>
      <c r="F8" t="str">
        <f>IFERROR(INDEX('Tournament List'!M:M,MATCH($A8,'Tournament List'!$A:$A,0)),"")</f>
        <v>Intermediate</v>
      </c>
      <c r="G8" t="str">
        <f>IFERROR(INDEX('Shooter-Squad Assignment'!L:L,MATCH(A8,'Shooter-Squad Assignment'!A:A,0)),"")</f>
        <v>Intermediate</v>
      </c>
      <c r="H8" s="1" t="str">
        <f>IFERROR(INDEX('Tournament List'!AD:AD,MATCH($A8,'Tournament List'!$A:$A,0)),"")</f>
        <v>C</v>
      </c>
      <c r="I8" s="123">
        <f>IFERROR(INDEX('Tournament List'!AG:AG,MATCH($A8,'Tournament List'!$A:$A,0)),"")</f>
        <v>97</v>
      </c>
      <c r="J8" s="145">
        <f>IFERROR(INDEX('Tournament List'!Y:Y,MATCH($A8,'Tournament List'!$A:$A,0)),"")</f>
        <v>277</v>
      </c>
      <c r="K8" s="47">
        <f>IFERROR(INDEX('Tournament List'!S:S,MATCH(A8,'Tournament List'!A:A,0)),"")</f>
        <v>118</v>
      </c>
      <c r="L8" s="47">
        <f>IF(ISNUMBER(J8),IF(COUNTIFS(L$1:L7,_xlfn.RANK.EQ(J8,J$2:J$111,0))&gt;0,_xlfn.MAXIFS(L$1:L7,J$1:J7,J8)+1,_xlfn.RANK.EQ(J8,J$2:J$111,0)),"")</f>
        <v>1</v>
      </c>
      <c r="M8" s="11">
        <f>IF(ISNUMBER(I8)=TRUE,IF(I8&gt;0,_xlfn.RANK.EQ(I8,$I$2:$I$111,0),""),"")</f>
        <v>2</v>
      </c>
      <c r="N8" s="56">
        <f>IF(ISNUMBER(I8),IF(COUNTIFS(N$1:N7,_xlfn.RANK.EQ(I8,I$2:I$111,0))&gt;0,_xlfn.MAXIFS(N$1:N7,I$1:I7,I8)+1,_xlfn.RANK.EQ(I8,I$2:I$111,0)),"")</f>
        <v>2</v>
      </c>
      <c r="O8" s="144">
        <f>IF(F8&lt;&gt;"Collegiate"=TRUE,$I8,"")</f>
        <v>97</v>
      </c>
      <c r="P8" s="47">
        <f>IF(ISNUMBER(O8),IF(COUNTIFS(P$1:P7,_xlfn.RANK.EQ(O8,O$2:O$111,0))&gt;0,_xlfn.MAXIFS(P$1:P7,O$1:O7,O8)+1,_xlfn.RANK.EQ(O8,O$2:O$111,0)),"")</f>
        <v>2</v>
      </c>
      <c r="Q8" s="1">
        <f>IF(ISNUMBER(O8)=TRUE,IF(_xlfn.RANK.EQ(O8,$O$2:$O$111)&lt;='Tournament Setup'!$B$26,_xlfn.RANK.EQ(O8,$O$2:$O$111),""),"")</f>
        <v>2</v>
      </c>
      <c r="R8" s="143" t="str">
        <f>IF(AND($E8="M",SUM($Q8)=0,F8&lt;&gt;"Collegiate")=TRUE,$I8,"")</f>
        <v/>
      </c>
      <c r="S8" s="1" t="str">
        <f>IF(ISNUMBER(R8)=TRUE,IF(_xlfn.RANK.EQ(R8,$R$2:$R$111)&lt;='Tournament Setup'!$B$27,_xlfn.RANK.EQ(R8,$R$2:$R$111),""),"")</f>
        <v/>
      </c>
      <c r="T8" s="143" t="str">
        <f>IF(AND($E8="F",SUM($Q8)=0,F8&lt;&gt;"Collegiate")=TRUE,$I8,"")</f>
        <v/>
      </c>
      <c r="U8" s="12" t="str">
        <f>IF(ISNUMBER(T8)=TRUE,IF(_xlfn.RANK.EQ(T8,$T$2:$T$111)&lt;='Tournament Setup'!$B$28,_xlfn.RANK.EQ(T8,$T$2:$T$111),""),"")</f>
        <v/>
      </c>
      <c r="V8" s="145" t="str">
        <f>IF(AND($G8='Tournament Setup'!$A$53,$J8&lt;&gt;0),$J8,"")</f>
        <v/>
      </c>
      <c r="W8" s="47" t="str">
        <f>IF(ISNUMBER(V8),IF(COUNTIFS(W$1:W7,_xlfn.RANK.EQ(V8,V$2:V$111,0))&gt;0,_xlfn.MAXIFS(W$1:W7,V$1:V7,V8)+1,_xlfn.RANK.EQ(V8,V$2:V$111,0)),"")</f>
        <v/>
      </c>
      <c r="X8" s="1" t="str">
        <f>IF(ISNUMBER(V8)=TRUE,IF(_xlfn.RANK.EQ(V8,$V$2:$V$111)&lt;='Tournament Setup'!$B$53,_xlfn.RANK.EQ(V8,$V$2:$V$111),""),"")</f>
        <v/>
      </c>
      <c r="Y8" s="145" t="str">
        <f>IF(AND($G8='Tournament Setup'!$A$49,$J8&lt;&gt;0),$J8,"")</f>
        <v/>
      </c>
      <c r="Z8" s="47" t="str">
        <f>IF(ISNUMBER(Y8),IF(COUNTIFS(Z$1:Z7,_xlfn.RANK.EQ(Y8,Y$2:Y$111,0))&gt;0,_xlfn.MAXIFS(Z$1:Z7,Y$1:Y7,Y8)+1,_xlfn.RANK.EQ(Y8,Y$2:Y$111,0)),"")</f>
        <v/>
      </c>
      <c r="AA8" s="1" t="str">
        <f>IF(ISNUMBER(Y8)=TRUE,IF(_xlfn.RANK.EQ(Y8,$Y$2:$Y$111)&lt;='Tournament Setup'!$B$49,_xlfn.RANK.EQ(Y8,$Y$2:$Y$111),""),"")</f>
        <v/>
      </c>
      <c r="AB8" s="30" t="str">
        <f>IF(AND($F8='Tournament Setup'!$A$32,SUM($Q8,$S8,$U8)=0),$I8,"")</f>
        <v/>
      </c>
      <c r="AC8" s="47" t="str">
        <f>IF(ISNUMBER(AB8),IF(COUNTIFS(AC$1:AC7,_xlfn.RANK.EQ(AB8,AB$2:AB$111,0))&gt;0,_xlfn.MAXIFS(AC$1:AC7,AB$1:AB7,AB8)+1,_xlfn.RANK.EQ(AB8,AB$2:AB$111,0)),"")</f>
        <v/>
      </c>
      <c r="AD8" s="1" t="str">
        <f>IF(ISNUMBER(AB8)=TRUE,IF(_xlfn.RANK.EQ(AB8,$AB$2:$AB$111)&lt;='Tournament Setup'!$B$32,_xlfn.RANK.EQ(AB8,$AB$2:$AB$111),""),"")</f>
        <v/>
      </c>
      <c r="AE8" s="31" t="str">
        <f>IF(AND($F8='Tournament Setup'!$A$32,SUM($Q8,$S8)=0,$E8="M",$AD8&gt;'Tournament Setup'!$B$32),$I8,"")</f>
        <v/>
      </c>
      <c r="AF8" s="1" t="str">
        <f>IF(ISNUMBER(AE8)=TRUE,IF(_xlfn.RANK.EQ(AE8,$AE$2:$AE$111)&lt;='Tournament Setup'!$C$32,_xlfn.RANK.EQ(AE8,$AE$2:$AE$111),""),"")</f>
        <v/>
      </c>
      <c r="AG8" s="31" t="str">
        <f>IF(AND($F8='Tournament Setup'!$A$32,SUM($Q8,$U8)=0,$E8="F",$AD8&gt;'Tournament Setup'!$B$32),$I8,"")</f>
        <v/>
      </c>
      <c r="AH8" s="12" t="str">
        <f>IF(ISNUMBER(AG8)=TRUE,IF(_xlfn.RANK.EQ(AG8,$AG$2:$AG$111)&lt;='Tournament Setup'!$D$32,_xlfn.RANK.EQ(AG8,$AG$2:$AG$111),""),"")</f>
        <v/>
      </c>
      <c r="AI8" s="30">
        <f>IF(AND($G8='Tournament Setup'!$A$50,$J8&lt;&gt;0),$J8,"")</f>
        <v>277</v>
      </c>
      <c r="AJ8" s="47">
        <f>IF(ISNUMBER(AI8),IF(COUNTIFS(AJ$1:AJ7,_xlfn.RANK.EQ(AI8,AI$2:AI$111,0))&gt;0,_xlfn.MAXIFS(AJ$1:AJ7,AI$1:AI7,AI8)+1,_xlfn.RANK.EQ(AI8,AI$2:AI$111,0)),"")</f>
        <v>1</v>
      </c>
      <c r="AK8" s="1">
        <f>IF(ISNUMBER(AI8)=TRUE,IF(_xlfn.RANK.EQ(AI8,$AI$2:$AI$111)&lt;='Tournament Setup'!$B$49,_xlfn.RANK.EQ(AI8,$AI$2:$AI$111),""),"")</f>
        <v>1</v>
      </c>
      <c r="AL8" s="30" t="str">
        <f>IF(AND($F8='Tournament Setup'!$A$33,SUM($Q8,$S8,$U8)=0),$I8,"")</f>
        <v/>
      </c>
      <c r="AM8" s="47" t="str">
        <f>IF(ISNUMBER(AL8),IF(COUNTIFS(AM$1:AM7,_xlfn.RANK.EQ(AL8,AL$2:AL$111,0))&gt;0,_xlfn.MAXIFS(AM$1:AM7,AL$1:AL7,AL8)+1,_xlfn.RANK.EQ(AL8,AL$2:AL$111,0)),"")</f>
        <v/>
      </c>
      <c r="AN8" s="1" t="str">
        <f>IF(ISNUMBER(AL8)=TRUE,IF(_xlfn.RANK.EQ(AL8,$AL$2:$AL$111)&lt;='Tournament Setup'!$B$33,_xlfn.RANK.EQ(AL8,$AL$2:$AL$111),""),"")</f>
        <v/>
      </c>
      <c r="AO8" s="31" t="str">
        <f>IF(AND($F8='Tournament Setup'!$A$33,SUM($Q8,$S8)=0,$E8="M",$AN8&gt;'Tournament Setup'!$B$33),$I8,"")</f>
        <v/>
      </c>
      <c r="AP8" s="1" t="str">
        <f>IF(ISNUMBER(AO8)=TRUE,IF(_xlfn.RANK.EQ(AO8,$AO$2:$AO$111)&lt;='Tournament Setup'!$C$33,_xlfn.RANK.EQ(AO8,$AO$2:$AO$111),""),"")</f>
        <v/>
      </c>
      <c r="AQ8" s="31" t="str">
        <f>IF(AND($F8='Tournament Setup'!$A$33,SUM($Q8,$U8)=0,$E8="F",$AN8&gt;'Tournament Setup'!$B$33),$I8,"")</f>
        <v/>
      </c>
      <c r="AR8" s="12" t="str">
        <f>IF(ISNUMBER(AQ8)=TRUE,IF(_xlfn.RANK.EQ(AQ8,$AQ$2:$AQ$111)&lt;='Tournament Setup'!$D$33,_xlfn.RANK.EQ(AQ8,$AQ$2:$AQ$111),""),"")</f>
        <v/>
      </c>
      <c r="AS8" s="30" t="str">
        <f>IF(AND($G8='Tournament Setup'!$A$51,$J8&lt;&gt;0),$J8,"")</f>
        <v/>
      </c>
      <c r="AT8" s="47" t="str">
        <f>IF(ISNUMBER(AS8),IF(COUNTIFS(AT$1:AT7,_xlfn.RANK.EQ(AS8,AS$2:AS$111,0))&gt;0,_xlfn.MAXIFS(AT$1:AT7,AS$1:AS7,AS8)+1,_xlfn.RANK.EQ(AS8,AS$2:AS$111,0)),"")</f>
        <v/>
      </c>
      <c r="AU8" s="1" t="str">
        <f>IF(ISNUMBER(AS8)=TRUE,IF(_xlfn.RANK.EQ(AS8,$AS$2:$AS$111)&lt;='Tournament Setup'!$B$49,_xlfn.RANK.EQ(AS8,$AS$2:$AS$111),""),"")</f>
        <v/>
      </c>
      <c r="AV8" s="30" t="str">
        <f>IF(AND($F8='Tournament Setup'!$A$34,SUM($Q8,$S8,$U8)=0),$I8,"")</f>
        <v/>
      </c>
      <c r="AW8" s="47" t="str">
        <f>IF(ISNUMBER(AV8),IF(COUNTIFS(AW$1:AW7,_xlfn.RANK.EQ(AV8,AV$2:AV$111,0))&gt;0,_xlfn.MAXIFS(AW$1:AW7,AV$1:AV7,AV8)+1,_xlfn.RANK.EQ(AV8,AV$2:AV$111,0)),"")</f>
        <v/>
      </c>
      <c r="AX8" s="1" t="str">
        <f>IF(ISNUMBER(AV8)=TRUE,IF(_xlfn.RANK.EQ(AV8,$AV$2:$AV$111)&lt;='Tournament Setup'!$B$34,_xlfn.RANK.EQ(AV8,$AV$2:$AV$111),""),"")</f>
        <v/>
      </c>
      <c r="AY8" s="31" t="str">
        <f>IF(AND($F8='Tournament Setup'!$A$34,SUM($Q8,$S8)=0,$E8="M",$AX8&gt;'Tournament Setup'!$B$34),$I8,"")</f>
        <v/>
      </c>
      <c r="AZ8" s="1" t="str">
        <f>IF(ISNUMBER(AY8)=TRUE,IF(_xlfn.RANK.EQ(AY8,$AY$2:$AY$111)&lt;='Tournament Setup'!$C$34,_xlfn.RANK.EQ(AY8,$AY$2:$AY$111),""),"")</f>
        <v/>
      </c>
      <c r="BA8" s="31" t="str">
        <f>IF(AND($F8='Tournament Setup'!$A$34,SUM($Q8,$U8)=0,$E8="F",$AX8&gt;'Tournament Setup'!$B$34),$I8,"")</f>
        <v/>
      </c>
      <c r="BB8" s="12" t="str">
        <f>IF(ISNUMBER(BA8)=TRUE,IF(_xlfn.RANK.EQ(BA8,$BA$2:$BA$111)&lt;='Tournament Setup'!$D$34,_xlfn.RANK.EQ(BA8,$BA$2:$BA$111),""),"")</f>
        <v/>
      </c>
      <c r="BC8" s="30" t="str">
        <f>IF(AND($G8='Tournament Setup'!$A$52,$J8&lt;&gt;0),$J8,"")</f>
        <v/>
      </c>
      <c r="BD8" s="47" t="str">
        <f>IF(ISNUMBER(BC8),IF(COUNTIFS(BD$1:BD7,_xlfn.RANK.EQ(BC8,BC$2:BC$111,0))&gt;0,_xlfn.MAXIFS(BD$1:BD7,BC$1:BC7,BC8)+1,_xlfn.RANK.EQ(BC8,BC$2:BC$111,0)),"")</f>
        <v/>
      </c>
      <c r="BE8" s="1" t="str">
        <f>IF(ISNUMBER(BC8)=TRUE,IF(_xlfn.RANK.EQ(BC8,$BC$2:$BC$111)&lt;='Tournament Setup'!$B$49,_xlfn.RANK.EQ(BC8,$BC$2:$BC$111),""),"")</f>
        <v/>
      </c>
      <c r="BF8" s="30" t="str">
        <f>IF(AND($F8='Tournament Setup'!$A$35,SUM($Q8,$S8,$U8)=0),$I8,"")</f>
        <v/>
      </c>
      <c r="BG8" s="47" t="str">
        <f>IF(ISNUMBER(BF8),IF(COUNTIFS(BG$1:BG7,_xlfn.RANK.EQ(BF8,BF$2:BF$111,0))&gt;0,_xlfn.MAXIFS(BG$1:BG7,BF$1:BF7,BF8)+1,_xlfn.RANK.EQ(BF8,BF$2:BF$111,0)),"")</f>
        <v/>
      </c>
      <c r="BH8" s="1" t="str">
        <f>IF(ISNUMBER(BF8)=TRUE,IF(_xlfn.RANK.EQ(BF8,$BF$2:$BF$111)&lt;='Tournament Setup'!$B$35,_xlfn.RANK.EQ(BF8,$BF$2:$BF$111),""),"")</f>
        <v/>
      </c>
      <c r="BI8" s="31" t="str">
        <f>IF(AND($F8='Tournament Setup'!$A$35,SUM($Q8,$S8)=0,$E8="M",$BH8&gt;'Tournament Setup'!$B$35),$I8,"")</f>
        <v/>
      </c>
      <c r="BJ8" s="1" t="str">
        <f>IF(ISNUMBER(BI8)=TRUE,IF(_xlfn.RANK.EQ(BI8,$BI$2:$BI$111)&lt;='Tournament Setup'!$C$35,_xlfn.RANK.EQ(BI8,$BI$2:$BI$111),""),"")</f>
        <v/>
      </c>
      <c r="BK8" s="31" t="str">
        <f>IF(AND($F8='Tournament Setup'!$A$35,SUM($Q8,$U8)=0,$E8="F",$BH8&gt;'Tournament Setup'!$B$35),$I8,"")</f>
        <v/>
      </c>
      <c r="BL8" s="12" t="str">
        <f>IF(ISNUMBER(BK8)=TRUE,IF(_xlfn.RANK.EQ(BK8,$BK$2:$BK$111)&lt;='Tournament Setup'!$D$35,_xlfn.RANK.EQ(BK8,$BK$2:$BK$111),""),"")</f>
        <v/>
      </c>
      <c r="BM8" s="30" t="str">
        <f>IF(AND($G8='Tournament Setup'!$A$54,$J8&lt;&gt;0),$J8,"")</f>
        <v/>
      </c>
      <c r="BN8" s="47" t="str">
        <f>IF(ISNUMBER(BM8),IF(COUNTIFS(BN$1:BN7,_xlfn.RANK.EQ(BM8,BM$2:BM$111,0))&gt;0,_xlfn.MAXIFS(BN$1:BN7,BM$1:BM7,BM8)+1,_xlfn.RANK.EQ(BM8,BM$2:BM$111,0)),"")</f>
        <v/>
      </c>
      <c r="BO8" s="1" t="str">
        <f>IF(ISNUMBER(BM8)=TRUE,IF(_xlfn.RANK.EQ(BM8,$BM$2:$BM$111)&lt;='Tournament Setup'!$B$49,_xlfn.RANK.EQ(BM8,$BM$2:$BM$111),""),"")</f>
        <v/>
      </c>
      <c r="BP8" s="30" t="str">
        <f>IF(AND($F8='Tournament Setup'!$A$36,SUM($Q8,$S8,$U8)=0),$I8,"")</f>
        <v/>
      </c>
      <c r="BQ8" s="47" t="str">
        <f>IF(ISNUMBER(BP8),IF(COUNTIFS(BQ$1:BQ7,_xlfn.RANK.EQ(BP8,BP$2:BP$111,0))&gt;0,_xlfn.MAXIFS(BQ$1:BQ7,BP$1:BP7,BP8)+1,_xlfn.RANK.EQ(BP8,BP$2:BP$111,0)),"")</f>
        <v/>
      </c>
      <c r="BR8" s="1" t="str">
        <f>IF(ISNUMBER(BP8)=TRUE,IF(_xlfn.RANK.EQ(BP8,$BP$2:$BP$111)&lt;='Tournament Setup'!$B$36,_xlfn.RANK.EQ(BP8,$BP$2:$BP$111),""),"")</f>
        <v/>
      </c>
      <c r="BS8" s="31" t="str">
        <f>IF(AND($F8='Tournament Setup'!$A$36,SUM($Q8,$S8)=0,$E8="M",$BR8&gt;'Tournament Setup'!$B$36),$I8,"")</f>
        <v/>
      </c>
      <c r="BT8" s="1" t="str">
        <f>IF(ISNUMBER(BS8)=TRUE,IF(_xlfn.RANK.EQ(BS8,$BS$2:$BS$111)&lt;='Tournament Setup'!$C$36,_xlfn.RANK.EQ(BS8,$BS$2:$BS$111),""),"")</f>
        <v/>
      </c>
      <c r="BU8" s="31" t="str">
        <f>IF(AND($F8='Tournament Setup'!$A$36,SUM($Q8,$U8)=0,$E8="F",$BR8&gt;'Tournament Setup'!$B$36),$I8,"")</f>
        <v/>
      </c>
      <c r="BV8" s="12" t="str">
        <f>IF(ISNUMBER(BU8)=TRUE,IF(_xlfn.RANK.EQ(BU8,$BU$2:$BU$111)&lt;='Tournament Setup'!$D$36,_xlfn.RANK.EQ(BU8,$BU$2:$BU$111),""),"")</f>
        <v/>
      </c>
      <c r="BW8" s="30" t="str">
        <f>IF($H8='Tournament Setup'!$A$41,$I8,"")</f>
        <v/>
      </c>
      <c r="BX8" s="47" t="str">
        <f>IF(ISNUMBER(BW8),IF(COUNTIFS(BX$1:BX7,_xlfn.RANK.EQ(BW8,BW$2:BW$111,0))&gt;0,_xlfn.MAXIFS(BX$1:BX7,BW$1:BW7,BW8)+1,_xlfn.RANK.EQ(BW8,BW$2:BW$111,0)),"")</f>
        <v/>
      </c>
      <c r="BY8" s="1" t="str">
        <f>IF(ISNUMBER(BW8)=TRUE,IF(_xlfn.RANK.EQ(BW8,$BW$2:$BW$111)&lt;='Tournament Setup'!$B$41,_xlfn.RANK.EQ(BW8,$BW$2:$BW$111),""),"")</f>
        <v/>
      </c>
      <c r="BZ8" s="31" t="str">
        <f>IF(AND($H8='Tournament Setup'!$A$41,$E8="M",$BY8&gt;'Tournament Setup'!$B$41),$I8,"")</f>
        <v/>
      </c>
      <c r="CA8" s="1" t="str">
        <f>IF(ISNUMBER(BZ8)=TRUE,IF(_xlfn.RANK.EQ(BZ8,$BZ$2:$BZ$111)&lt;='Tournament Setup'!$C$41,_xlfn.RANK.EQ(BZ8,$BZ$2:$BZ$111),""),"")</f>
        <v/>
      </c>
      <c r="CB8" s="31" t="str">
        <f>IF(AND($H8='Tournament Setup'!$A$41,$E8="F",$BY8&gt;'Tournament Setup'!$B$41),$I8,"")</f>
        <v/>
      </c>
      <c r="CC8" s="12" t="str">
        <f>IF(ISNUMBER(CB8)=TRUE,IF(_xlfn.RANK.EQ(CB8,$CB$2:$CB$111)&lt;='Tournament Setup'!$D$41,_xlfn.RANK.EQ(CB8,$CB$2:$CB$111),""),"")</f>
        <v/>
      </c>
      <c r="CD8" s="30" t="str">
        <f>IF($H8='Tournament Setup'!$A$42,$I8,"")</f>
        <v/>
      </c>
      <c r="CE8" s="47" t="str">
        <f>IF(ISNUMBER(CD8),IF(COUNTIFS(CE$1:CE7,_xlfn.RANK.EQ(CD8,CD$2:CD$111,0))&gt;0,_xlfn.MAXIFS(CE$1:CE7,CD$1:CD7,CD8)+1,_xlfn.RANK.EQ(CD8,CD$2:CD$111,0)),"")</f>
        <v/>
      </c>
      <c r="CF8" s="1" t="str">
        <f>IF(ISNUMBER(CD8)=TRUE,IF(_xlfn.RANK.EQ(CD8,$CD$2:$CD$111)&lt;='Tournament Setup'!$B$42,_xlfn.RANK.EQ(CD8,$CD$2:$CD$111),""),"")</f>
        <v/>
      </c>
      <c r="CG8" s="31" t="str">
        <f>IF(AND($H8='Tournament Setup'!$A$42,$E8="M",$CF8&gt;'Tournament Setup'!$B$42),$I8,"")</f>
        <v/>
      </c>
      <c r="CH8" s="1" t="str">
        <f>IF(ISNUMBER(CG8)=TRUE,IF(_xlfn.RANK.EQ(CG8,$CG$2:$CG$111)&lt;='Tournament Setup'!$C$42,_xlfn.RANK.EQ(CG8,$CG$2:$CG$111),""),"")</f>
        <v/>
      </c>
      <c r="CI8" s="31" t="str">
        <f>IF(AND($H8='Tournament Setup'!$A$42,$E8="F",$CF8&gt;'Tournament Setup'!$B$42),$I8,"")</f>
        <v/>
      </c>
      <c r="CJ8" s="12" t="str">
        <f>IF(ISNUMBER(CI8)=TRUE,IF(_xlfn.RANK.EQ(CI8,$CI$2:$CI$111)&lt;='Tournament Setup'!$D$42,_xlfn.RANK.EQ(CI8,$CI$2:$CI$111),""),"")</f>
        <v/>
      </c>
      <c r="CK8" s="30">
        <f>IF($H8='Tournament Setup'!$A$43,$I8,"")</f>
        <v>97</v>
      </c>
      <c r="CL8" s="47">
        <f>IF(ISNUMBER(CK8),IF(COUNTIFS(CL$1:CL7,_xlfn.RANK.EQ(CK8,CK$2:CK$111,0))&gt;0,_xlfn.MAXIFS(CL$1:CL7,CK$1:CK7,CK8)+1,_xlfn.RANK.EQ(CK8,CK$2:CK$111,0)),"")</f>
        <v>1</v>
      </c>
      <c r="CM8" s="1">
        <f>IF(ISNUMBER(CK8)=TRUE,IF(_xlfn.RANK.EQ(CK8,$CK$2:$CK$111)&lt;='Tournament Setup'!$B$43,_xlfn.RANK.EQ(CK8,$CK$2:$CK$111),""),"")</f>
        <v>1</v>
      </c>
      <c r="CN8" s="31" t="str">
        <f>IF(AND($H8='Tournament Setup'!$A$43,$E8="M",$CM8&gt;'Tournament Setup'!$B$43),$I8,"")</f>
        <v/>
      </c>
      <c r="CO8" s="1" t="str">
        <f>IF(ISNUMBER(CN8)=TRUE,IF(_xlfn.RANK.EQ(CN8,$CN$2:$CN$111)&lt;='Tournament Setup'!$C$43,_xlfn.RANK.EQ(CN8,$CN$2:$CN$111),""),"")</f>
        <v/>
      </c>
      <c r="CP8" s="31" t="str">
        <f>IF(AND($H8='Tournament Setup'!$A$43,$E8="F",$CM8&gt;'Tournament Setup'!$B$43),$I8,"")</f>
        <v/>
      </c>
      <c r="CQ8" s="12" t="str">
        <f>IF(ISNUMBER(CP8)=TRUE,IF(_xlfn.RANK.EQ(CP8,$CP$2:$CP$111)&lt;='Tournament Setup'!$D$43,_xlfn.RANK.EQ(CP8,$CP$2:$CP$111),""),"")</f>
        <v/>
      </c>
      <c r="CR8" s="30" t="str">
        <f>IF($H8='Tournament Setup'!$A$44,$I8,"")</f>
        <v/>
      </c>
      <c r="CS8" s="47" t="str">
        <f>IF(ISNUMBER(CR8),IF(COUNTIFS(CS$1:CS7,_xlfn.RANK.EQ(CR8,CR$2:CR$111,0))&gt;0,_xlfn.MAXIFS(CS$1:CS7,CR$1:CR7,CR8)+1,_xlfn.RANK.EQ(CR8,CR$2:CR$111,0)),"")</f>
        <v/>
      </c>
      <c r="CT8" s="1" t="str">
        <f>IF(ISNUMBER(CR8)=TRUE,IF(_xlfn.RANK.EQ(CR8,$CR$2:$CR$111)&lt;='Tournament Setup'!$B$44,_xlfn.RANK.EQ(CR8,$CR$2:$CR$111),""),"")</f>
        <v/>
      </c>
      <c r="CU8" s="31" t="str">
        <f>IF(AND($H8='Tournament Setup'!$A$44,$E8="M",$CT8&gt;'Tournament Setup'!$B$44),$I8,"")</f>
        <v/>
      </c>
      <c r="CV8" s="1" t="str">
        <f>IF(ISNUMBER(CU8)=TRUE,IF(_xlfn.RANK.EQ(CU8,$CU$2:$CU$111)&lt;='Tournament Setup'!$C$44,_xlfn.RANK.EQ(CU8,$CU$2:$CU$111),""),"")</f>
        <v/>
      </c>
      <c r="CW8" s="31" t="str">
        <f>IF(AND($H8='Tournament Setup'!$A$44,$E8="F",$CT8&gt;'Tournament Setup'!$B$44),$I8,"")</f>
        <v/>
      </c>
      <c r="CX8" s="12" t="str">
        <f>IF(ISNUMBER(CW8)=TRUE,IF(_xlfn.RANK.EQ(CW8,$CW$2:$CW$111)&lt;='Tournament Setup'!$D$44,_xlfn.RANK.EQ(CW8,$CW$2:$CW$111),""),"")</f>
        <v/>
      </c>
    </row>
    <row r="9" spans="1:102" x14ac:dyDescent="0.3">
      <c r="A9" t="s">
        <v>44</v>
      </c>
      <c r="B9" t="str">
        <f>IFERROR(INDEX('Tournament List'!$B:$B,MATCH($A9,'Tournament List'!$A:$A,0)),"")</f>
        <v>James</v>
      </c>
      <c r="C9" t="str">
        <f>IFERROR(INDEX('Tournament List'!$C:$C,MATCH($A9,'Tournament List'!$A:$A,0)),"")</f>
        <v>Last Name8</v>
      </c>
      <c r="D9" t="str">
        <f t="shared" si="0"/>
        <v>James Last Name8</v>
      </c>
      <c r="E9" s="1" t="str">
        <f>IFERROR(INDEX('Tournament List'!F:F,MATCH($A9,'Tournament List'!$A:$A,0)),"")</f>
        <v>M</v>
      </c>
      <c r="F9" t="str">
        <f>IFERROR(INDEX('Tournament List'!M:M,MATCH($A9,'Tournament List'!$A:$A,0)),"")</f>
        <v>Junior Varsity</v>
      </c>
      <c r="G9" t="str">
        <f>IFERROR(INDEX('Shooter-Squad Assignment'!L:L,MATCH(A9,'Shooter-Squad Assignment'!A:A,0)),"")</f>
        <v>Junior Varsity</v>
      </c>
      <c r="H9" s="1" t="str">
        <f>IFERROR(INDEX('Tournament List'!AD:AD,MATCH($A9,'Tournament List'!$A:$A,0)),"")</f>
        <v>C</v>
      </c>
      <c r="I9" s="123">
        <f>IFERROR(INDEX('Tournament List'!AG:AG,MATCH($A9,'Tournament List'!$A:$A,0)),"")</f>
        <v>64</v>
      </c>
      <c r="J9" s="145" t="str">
        <f>IFERROR(INDEX('Tournament List'!Y:Y,MATCH($A9,'Tournament List'!$A:$A,0)),"")</f>
        <v/>
      </c>
      <c r="K9" s="47">
        <f>IFERROR(INDEX('Tournament List'!S:S,MATCH(A9,'Tournament List'!A:A,0)),"")</f>
        <v>235</v>
      </c>
      <c r="L9" s="47" t="str">
        <f>IF(ISNUMBER(J9),IF(COUNTIFS(L$1:L8,_xlfn.RANK.EQ(J9,J$2:J$111,0))&gt;0,_xlfn.MAXIFS(L$1:L8,J$1:J8,J9)+1,_xlfn.RANK.EQ(J9,J$2:J$111,0)),"")</f>
        <v/>
      </c>
      <c r="M9" s="11">
        <f>IF(ISNUMBER(I9)=TRUE,IF(I9&gt;0,_xlfn.RANK.EQ(I9,$I$2:$I$111,0),""),"")</f>
        <v>30</v>
      </c>
      <c r="N9" s="56">
        <f>IF(ISNUMBER(I9),IF(COUNTIFS(N$1:N8,_xlfn.RANK.EQ(I9,I$2:I$111,0))&gt;0,_xlfn.MAXIFS(N$1:N8,I$1:I8,I9)+1,_xlfn.RANK.EQ(I9,I$2:I$111,0)),"")</f>
        <v>30</v>
      </c>
      <c r="O9" s="144">
        <f>IF(F9&lt;&gt;"Collegiate"=TRUE,$I9,"")</f>
        <v>64</v>
      </c>
      <c r="P9" s="47">
        <f>IF(ISNUMBER(O9),IF(COUNTIFS(P$1:P8,_xlfn.RANK.EQ(O9,O$2:O$111,0))&gt;0,_xlfn.MAXIFS(P$1:P8,O$1:O8,O9)+1,_xlfn.RANK.EQ(O9,O$2:O$111,0)),"")</f>
        <v>28</v>
      </c>
      <c r="Q9" s="1" t="str">
        <f>IF(ISNUMBER(O9)=TRUE,IF(_xlfn.RANK.EQ(O9,$O$2:$O$111)&lt;='Tournament Setup'!$B$26,_xlfn.RANK.EQ(O9,$O$2:$O$111),""),"")</f>
        <v/>
      </c>
      <c r="R9" s="143">
        <f>IF(AND($E9="M",SUM($Q9)=0,F9&lt;&gt;"Collegiate")=TRUE,$I9,"")</f>
        <v>64</v>
      </c>
      <c r="S9" s="1" t="str">
        <f>IF(ISNUMBER(R9)=TRUE,IF(_xlfn.RANK.EQ(R9,$R$2:$R$111)&lt;='Tournament Setup'!$B$27,_xlfn.RANK.EQ(R9,$R$2:$R$111),""),"")</f>
        <v/>
      </c>
      <c r="T9" s="143" t="str">
        <f>IF(AND($E9="F",SUM($Q9)=0,F9&lt;&gt;"Collegiate")=TRUE,$I9,"")</f>
        <v/>
      </c>
      <c r="U9" s="12" t="str">
        <f>IF(ISNUMBER(T9)=TRUE,IF(_xlfn.RANK.EQ(T9,$T$2:$T$111)&lt;='Tournament Setup'!$B$28,_xlfn.RANK.EQ(T9,$T$2:$T$111),""),"")</f>
        <v/>
      </c>
      <c r="V9" s="145" t="str">
        <f>IF(AND($G9='Tournament Setup'!$A$53,$J9&lt;&gt;0),$J9,"")</f>
        <v/>
      </c>
      <c r="W9" s="47" t="str">
        <f>IF(ISNUMBER(V9),IF(COUNTIFS(W$1:W8,_xlfn.RANK.EQ(V9,V$2:V$111,0))&gt;0,_xlfn.MAXIFS(W$1:W8,V$1:V8,V9)+1,_xlfn.RANK.EQ(V9,V$2:V$111,0)),"")</f>
        <v/>
      </c>
      <c r="X9" s="1" t="str">
        <f>IF(ISNUMBER(V9)=TRUE,IF(_xlfn.RANK.EQ(V9,$V$2:$V$111)&lt;='Tournament Setup'!$B$53,_xlfn.RANK.EQ(V9,$V$2:$V$111),""),"")</f>
        <v/>
      </c>
      <c r="Y9" s="145" t="str">
        <f>IF(AND($G9='Tournament Setup'!$A$49,$J9&lt;&gt;0),$J9,"")</f>
        <v/>
      </c>
      <c r="Z9" s="47" t="str">
        <f>IF(ISNUMBER(Y9),IF(COUNTIFS(Z$1:Z8,_xlfn.RANK.EQ(Y9,Y$2:Y$111,0))&gt;0,_xlfn.MAXIFS(Z$1:Z8,Y$1:Y8,Y9)+1,_xlfn.RANK.EQ(Y9,Y$2:Y$111,0)),"")</f>
        <v/>
      </c>
      <c r="AA9" s="1" t="str">
        <f>IF(ISNUMBER(Y9)=TRUE,IF(_xlfn.RANK.EQ(Y9,$Y$2:$Y$111)&lt;='Tournament Setup'!$B$49,_xlfn.RANK.EQ(Y9,$Y$2:$Y$111),""),"")</f>
        <v/>
      </c>
      <c r="AB9" s="30" t="str">
        <f>IF(AND($F9='Tournament Setup'!$A$32,SUM($Q9,$S9,$U9)=0),$I9,"")</f>
        <v/>
      </c>
      <c r="AC9" s="47" t="str">
        <f>IF(ISNUMBER(AB9),IF(COUNTIFS(AC$1:AC8,_xlfn.RANK.EQ(AB9,AB$2:AB$111,0))&gt;0,_xlfn.MAXIFS(AC$1:AC8,AB$1:AB8,AB9)+1,_xlfn.RANK.EQ(AB9,AB$2:AB$111,0)),"")</f>
        <v/>
      </c>
      <c r="AD9" s="1" t="str">
        <f>IF(ISNUMBER(AB9)=TRUE,IF(_xlfn.RANK.EQ(AB9,$AB$2:$AB$111)&lt;='Tournament Setup'!$B$32,_xlfn.RANK.EQ(AB9,$AB$2:$AB$111),""),"")</f>
        <v/>
      </c>
      <c r="AE9" s="31" t="str">
        <f>IF(AND($F9='Tournament Setup'!$A$32,SUM($Q9,$S9)=0,$E9="M",$AD9&gt;'Tournament Setup'!$B$32),$I9,"")</f>
        <v/>
      </c>
      <c r="AF9" s="1" t="str">
        <f>IF(ISNUMBER(AE9)=TRUE,IF(_xlfn.RANK.EQ(AE9,$AE$2:$AE$111)&lt;='Tournament Setup'!$C$32,_xlfn.RANK.EQ(AE9,$AE$2:$AE$111),""),"")</f>
        <v/>
      </c>
      <c r="AG9" s="31" t="str">
        <f>IF(AND($F9='Tournament Setup'!$A$32,SUM($Q9,$U9)=0,$E9="F",$AD9&gt;'Tournament Setup'!$B$32),$I9,"")</f>
        <v/>
      </c>
      <c r="AH9" s="12" t="str">
        <f>IF(ISNUMBER(AG9)=TRUE,IF(_xlfn.RANK.EQ(AG9,$AG$2:$AG$111)&lt;='Tournament Setup'!$D$32,_xlfn.RANK.EQ(AG9,$AG$2:$AG$111),""),"")</f>
        <v/>
      </c>
      <c r="AI9" s="30" t="str">
        <f>IF(AND($G9='Tournament Setup'!$A$50,$J9&lt;&gt;0),$J9,"")</f>
        <v/>
      </c>
      <c r="AJ9" s="47" t="str">
        <f>IF(ISNUMBER(AI9),IF(COUNTIFS(AJ$1:AJ8,_xlfn.RANK.EQ(AI9,AI$2:AI$111,0))&gt;0,_xlfn.MAXIFS(AJ$1:AJ8,AI$1:AI8,AI9)+1,_xlfn.RANK.EQ(AI9,AI$2:AI$111,0)),"")</f>
        <v/>
      </c>
      <c r="AK9" s="1" t="str">
        <f>IF(ISNUMBER(AI9)=TRUE,IF(_xlfn.RANK.EQ(AI9,$AI$2:$AI$111)&lt;='Tournament Setup'!$B$49,_xlfn.RANK.EQ(AI9,$AI$2:$AI$111),""),"")</f>
        <v/>
      </c>
      <c r="AL9" s="30" t="str">
        <f>IF(AND($F9='Tournament Setup'!$A$33,SUM($Q9,$S9,$U9)=0),$I9,"")</f>
        <v/>
      </c>
      <c r="AM9" s="47" t="str">
        <f>IF(ISNUMBER(AL9),IF(COUNTIFS(AM$1:AM8,_xlfn.RANK.EQ(AL9,AL$2:AL$111,0))&gt;0,_xlfn.MAXIFS(AM$1:AM8,AL$1:AL8,AL9)+1,_xlfn.RANK.EQ(AL9,AL$2:AL$111,0)),"")</f>
        <v/>
      </c>
      <c r="AN9" s="1" t="str">
        <f>IF(ISNUMBER(AL9)=TRUE,IF(_xlfn.RANK.EQ(AL9,$AL$2:$AL$111)&lt;='Tournament Setup'!$B$33,_xlfn.RANK.EQ(AL9,$AL$2:$AL$111),""),"")</f>
        <v/>
      </c>
      <c r="AO9" s="31" t="str">
        <f>IF(AND($F9='Tournament Setup'!$A$33,SUM($Q9,$S9)=0,$E9="M",$AN9&gt;'Tournament Setup'!$B$33),$I9,"")</f>
        <v/>
      </c>
      <c r="AP9" s="1" t="str">
        <f>IF(ISNUMBER(AO9)=TRUE,IF(_xlfn.RANK.EQ(AO9,$AO$2:$AO$111)&lt;='Tournament Setup'!$C$33,_xlfn.RANK.EQ(AO9,$AO$2:$AO$111),""),"")</f>
        <v/>
      </c>
      <c r="AQ9" s="31" t="str">
        <f>IF(AND($F9='Tournament Setup'!$A$33,SUM($Q9,$U9)=0,$E9="F",$AN9&gt;'Tournament Setup'!$B$33),$I9,"")</f>
        <v/>
      </c>
      <c r="AR9" s="12" t="str">
        <f>IF(ISNUMBER(AQ9)=TRUE,IF(_xlfn.RANK.EQ(AQ9,$AQ$2:$AQ$111)&lt;='Tournament Setup'!$D$33,_xlfn.RANK.EQ(AQ9,$AQ$2:$AQ$111),""),"")</f>
        <v/>
      </c>
      <c r="AS9" s="30" t="str">
        <f>IF(AND($G9='Tournament Setup'!$A$51,$J9&lt;&gt;0),$J9,"")</f>
        <v/>
      </c>
      <c r="AT9" s="47" t="str">
        <f>IF(ISNUMBER(AS9),IF(COUNTIFS(AT$1:AT8,_xlfn.RANK.EQ(AS9,AS$2:AS$111,0))&gt;0,_xlfn.MAXIFS(AT$1:AT8,AS$1:AS8,AS9)+1,_xlfn.RANK.EQ(AS9,AS$2:AS$111,0)),"")</f>
        <v/>
      </c>
      <c r="AU9" s="1" t="str">
        <f>IF(ISNUMBER(AS9)=TRUE,IF(_xlfn.RANK.EQ(AS9,$AS$2:$AS$111)&lt;='Tournament Setup'!$B$49,_xlfn.RANK.EQ(AS9,$AS$2:$AS$111),""),"")</f>
        <v/>
      </c>
      <c r="AV9" s="30">
        <f>IF(AND($F9='Tournament Setup'!$A$34,SUM($Q9,$S9,$U9)=0),$I9,"")</f>
        <v>64</v>
      </c>
      <c r="AW9" s="47">
        <f>IF(ISNUMBER(AV9),IF(COUNTIFS(AW$1:AW8,_xlfn.RANK.EQ(AV9,AV$2:AV$111,0))&gt;0,_xlfn.MAXIFS(AW$1:AW8,AV$1:AV8,AV9)+1,_xlfn.RANK.EQ(AV9,AV$2:AV$111,0)),"")</f>
        <v>3</v>
      </c>
      <c r="AX9" s="1">
        <f>IF(ISNUMBER(AV9)=TRUE,IF(_xlfn.RANK.EQ(AV9,$AV$2:$AV$111)&lt;='Tournament Setup'!$B$34,_xlfn.RANK.EQ(AV9,$AV$2:$AV$111),""),"")</f>
        <v>3</v>
      </c>
      <c r="AY9" s="31" t="str">
        <f>IF(AND($F9='Tournament Setup'!$A$34,SUM($Q9,$S9)=0,$E9="M",$AX9&gt;'Tournament Setup'!$B$34),$I9,"")</f>
        <v/>
      </c>
      <c r="AZ9" s="1" t="str">
        <f>IF(ISNUMBER(AY9)=TRUE,IF(_xlfn.RANK.EQ(AY9,$AY$2:$AY$111)&lt;='Tournament Setup'!$C$34,_xlfn.RANK.EQ(AY9,$AY$2:$AY$111),""),"")</f>
        <v/>
      </c>
      <c r="BA9" s="31" t="str">
        <f>IF(AND($F9='Tournament Setup'!$A$34,SUM($Q9,$U9)=0,$E9="F",$AX9&gt;'Tournament Setup'!$B$34),$I9,"")</f>
        <v/>
      </c>
      <c r="BB9" s="12" t="str">
        <f>IF(ISNUMBER(BA9)=TRUE,IF(_xlfn.RANK.EQ(BA9,$BA$2:$BA$111)&lt;='Tournament Setup'!$D$34,_xlfn.RANK.EQ(BA9,$BA$2:$BA$111),""),"")</f>
        <v/>
      </c>
      <c r="BC9" s="30" t="str">
        <f>IF(AND($G9='Tournament Setup'!$A$52,$J9&lt;&gt;0),$J9,"")</f>
        <v/>
      </c>
      <c r="BD9" s="47" t="str">
        <f>IF(ISNUMBER(BC9),IF(COUNTIFS(BD$1:BD8,_xlfn.RANK.EQ(BC9,BC$2:BC$111,0))&gt;0,_xlfn.MAXIFS(BD$1:BD8,BC$1:BC8,BC9)+1,_xlfn.RANK.EQ(BC9,BC$2:BC$111,0)),"")</f>
        <v/>
      </c>
      <c r="BE9" s="1" t="str">
        <f>IF(ISNUMBER(BC9)=TRUE,IF(_xlfn.RANK.EQ(BC9,$BC$2:$BC$111)&lt;='Tournament Setup'!$B$49,_xlfn.RANK.EQ(BC9,$BC$2:$BC$111),""),"")</f>
        <v/>
      </c>
      <c r="BF9" s="30" t="str">
        <f>IF(AND($F9='Tournament Setup'!$A$35,SUM($Q9,$S9,$U9)=0),$I9,"")</f>
        <v/>
      </c>
      <c r="BG9" s="47" t="str">
        <f>IF(ISNUMBER(BF9),IF(COUNTIFS(BG$1:BG8,_xlfn.RANK.EQ(BF9,BF$2:BF$111,0))&gt;0,_xlfn.MAXIFS(BG$1:BG8,BF$1:BF8,BF9)+1,_xlfn.RANK.EQ(BF9,BF$2:BF$111,0)),"")</f>
        <v/>
      </c>
      <c r="BH9" s="1" t="str">
        <f>IF(ISNUMBER(BF9)=TRUE,IF(_xlfn.RANK.EQ(BF9,$BF$2:$BF$111)&lt;='Tournament Setup'!$B$35,_xlfn.RANK.EQ(BF9,$BF$2:$BF$111),""),"")</f>
        <v/>
      </c>
      <c r="BI9" s="31" t="str">
        <f>IF(AND($F9='Tournament Setup'!$A$35,SUM($Q9,$S9)=0,$E9="M",$BH9&gt;'Tournament Setup'!$B$35),$I9,"")</f>
        <v/>
      </c>
      <c r="BJ9" s="1" t="str">
        <f>IF(ISNUMBER(BI9)=TRUE,IF(_xlfn.RANK.EQ(BI9,$BI$2:$BI$111)&lt;='Tournament Setup'!$C$35,_xlfn.RANK.EQ(BI9,$BI$2:$BI$111),""),"")</f>
        <v/>
      </c>
      <c r="BK9" s="31" t="str">
        <f>IF(AND($F9='Tournament Setup'!$A$35,SUM($Q9,$U9)=0,$E9="F",$BH9&gt;'Tournament Setup'!$B$35),$I9,"")</f>
        <v/>
      </c>
      <c r="BL9" s="12" t="str">
        <f>IF(ISNUMBER(BK9)=TRUE,IF(_xlfn.RANK.EQ(BK9,$BK$2:$BK$111)&lt;='Tournament Setup'!$D$35,_xlfn.RANK.EQ(BK9,$BK$2:$BK$111),""),"")</f>
        <v/>
      </c>
      <c r="BM9" s="30" t="str">
        <f>IF(AND($G9='Tournament Setup'!$A$54,$J9&lt;&gt;0),$J9,"")</f>
        <v/>
      </c>
      <c r="BN9" s="47" t="str">
        <f>IF(ISNUMBER(BM9),IF(COUNTIFS(BN$1:BN8,_xlfn.RANK.EQ(BM9,BM$2:BM$111,0))&gt;0,_xlfn.MAXIFS(BN$1:BN8,BM$1:BM8,BM9)+1,_xlfn.RANK.EQ(BM9,BM$2:BM$111,0)),"")</f>
        <v/>
      </c>
      <c r="BO9" s="1" t="str">
        <f>IF(ISNUMBER(BM9)=TRUE,IF(_xlfn.RANK.EQ(BM9,$BM$2:$BM$111)&lt;='Tournament Setup'!$B$49,_xlfn.RANK.EQ(BM9,$BM$2:$BM$111),""),"")</f>
        <v/>
      </c>
      <c r="BP9" s="30" t="str">
        <f>IF(AND($F9='Tournament Setup'!$A$36,SUM($Q9,$S9,$U9)=0),$I9,"")</f>
        <v/>
      </c>
      <c r="BQ9" s="47" t="str">
        <f>IF(ISNUMBER(BP9),IF(COUNTIFS(BQ$1:BQ8,_xlfn.RANK.EQ(BP9,BP$2:BP$111,0))&gt;0,_xlfn.MAXIFS(BQ$1:BQ8,BP$1:BP8,BP9)+1,_xlfn.RANK.EQ(BP9,BP$2:BP$111,0)),"")</f>
        <v/>
      </c>
      <c r="BR9" s="1" t="str">
        <f>IF(ISNUMBER(BP9)=TRUE,IF(_xlfn.RANK.EQ(BP9,$BP$2:$BP$111)&lt;='Tournament Setup'!$B$36,_xlfn.RANK.EQ(BP9,$BP$2:$BP$111),""),"")</f>
        <v/>
      </c>
      <c r="BS9" s="31" t="str">
        <f>IF(AND($F9='Tournament Setup'!$A$36,SUM($Q9,$S9)=0,$E9="M",$BR9&gt;'Tournament Setup'!$B$36),$I9,"")</f>
        <v/>
      </c>
      <c r="BT9" s="1" t="str">
        <f>IF(ISNUMBER(BS9)=TRUE,IF(_xlfn.RANK.EQ(BS9,$BS$2:$BS$111)&lt;='Tournament Setup'!$C$36,_xlfn.RANK.EQ(BS9,$BS$2:$BS$111),""),"")</f>
        <v/>
      </c>
      <c r="BU9" s="31" t="str">
        <f>IF(AND($F9='Tournament Setup'!$A$36,SUM($Q9,$U9)=0,$E9="F",$BR9&gt;'Tournament Setup'!$B$36),$I9,"")</f>
        <v/>
      </c>
      <c r="BV9" s="12" t="str">
        <f>IF(ISNUMBER(BU9)=TRUE,IF(_xlfn.RANK.EQ(BU9,$BU$2:$BU$111)&lt;='Tournament Setup'!$D$36,_xlfn.RANK.EQ(BU9,$BU$2:$BU$111),""),"")</f>
        <v/>
      </c>
      <c r="BW9" s="30" t="str">
        <f>IF($H9='Tournament Setup'!$A$41,$I9,"")</f>
        <v/>
      </c>
      <c r="BX9" s="47" t="str">
        <f>IF(ISNUMBER(BW9),IF(COUNTIFS(BX$1:BX8,_xlfn.RANK.EQ(BW9,BW$2:BW$111,0))&gt;0,_xlfn.MAXIFS(BX$1:BX8,BW$1:BW8,BW9)+1,_xlfn.RANK.EQ(BW9,BW$2:BW$111,0)),"")</f>
        <v/>
      </c>
      <c r="BY9" s="1" t="str">
        <f>IF(ISNUMBER(BW9)=TRUE,IF(_xlfn.RANK.EQ(BW9,$BW$2:$BW$111)&lt;='Tournament Setup'!$B$41,_xlfn.RANK.EQ(BW9,$BW$2:$BW$111),""),"")</f>
        <v/>
      </c>
      <c r="BZ9" s="31" t="str">
        <f>IF(AND($H9='Tournament Setup'!$A$41,$E9="M",$BY9&gt;'Tournament Setup'!$B$41),$I9,"")</f>
        <v/>
      </c>
      <c r="CA9" s="1" t="str">
        <f>IF(ISNUMBER(BZ9)=TRUE,IF(_xlfn.RANK.EQ(BZ9,$BZ$2:$BZ$111)&lt;='Tournament Setup'!$C$41,_xlfn.RANK.EQ(BZ9,$BZ$2:$BZ$111),""),"")</f>
        <v/>
      </c>
      <c r="CB9" s="31" t="str">
        <f>IF(AND($H9='Tournament Setup'!$A$41,$E9="F",$BY9&gt;'Tournament Setup'!$B$41),$I9,"")</f>
        <v/>
      </c>
      <c r="CC9" s="12" t="str">
        <f>IF(ISNUMBER(CB9)=TRUE,IF(_xlfn.RANK.EQ(CB9,$CB$2:$CB$111)&lt;='Tournament Setup'!$D$41,_xlfn.RANK.EQ(CB9,$CB$2:$CB$111),""),"")</f>
        <v/>
      </c>
      <c r="CD9" s="30" t="str">
        <f>IF($H9='Tournament Setup'!$A$42,$I9,"")</f>
        <v/>
      </c>
      <c r="CE9" s="47" t="str">
        <f>IF(ISNUMBER(CD9),IF(COUNTIFS(CE$1:CE8,_xlfn.RANK.EQ(CD9,CD$2:CD$111,0))&gt;0,_xlfn.MAXIFS(CE$1:CE8,CD$1:CD8,CD9)+1,_xlfn.RANK.EQ(CD9,CD$2:CD$111,0)),"")</f>
        <v/>
      </c>
      <c r="CF9" s="1" t="str">
        <f>IF(ISNUMBER(CD9)=TRUE,IF(_xlfn.RANK.EQ(CD9,$CD$2:$CD$111)&lt;='Tournament Setup'!$B$42,_xlfn.RANK.EQ(CD9,$CD$2:$CD$111),""),"")</f>
        <v/>
      </c>
      <c r="CG9" s="31" t="str">
        <f>IF(AND($H9='Tournament Setup'!$A$42,$E9="M",$CF9&gt;'Tournament Setup'!$B$42),$I9,"")</f>
        <v/>
      </c>
      <c r="CH9" s="1" t="str">
        <f>IF(ISNUMBER(CG9)=TRUE,IF(_xlfn.RANK.EQ(CG9,$CG$2:$CG$111)&lt;='Tournament Setup'!$C$42,_xlfn.RANK.EQ(CG9,$CG$2:$CG$111),""),"")</f>
        <v/>
      </c>
      <c r="CI9" s="31" t="str">
        <f>IF(AND($H9='Tournament Setup'!$A$42,$E9="F",$CF9&gt;'Tournament Setup'!$B$42),$I9,"")</f>
        <v/>
      </c>
      <c r="CJ9" s="12" t="str">
        <f>IF(ISNUMBER(CI9)=TRUE,IF(_xlfn.RANK.EQ(CI9,$CI$2:$CI$111)&lt;='Tournament Setup'!$D$42,_xlfn.RANK.EQ(CI9,$CI$2:$CI$111),""),"")</f>
        <v/>
      </c>
      <c r="CK9" s="30">
        <f>IF($H9='Tournament Setup'!$A$43,$I9,"")</f>
        <v>64</v>
      </c>
      <c r="CL9" s="47">
        <f>IF(ISNUMBER(CK9),IF(COUNTIFS(CL$1:CL8,_xlfn.RANK.EQ(CK9,CK$2:CK$111,0))&gt;0,_xlfn.MAXIFS(CL$1:CL8,CK$1:CK8,CK9)+1,_xlfn.RANK.EQ(CK9,CK$2:CK$111,0)),"")</f>
        <v>8</v>
      </c>
      <c r="CM9" s="1" t="str">
        <f>IF(ISNUMBER(CK9)=TRUE,IF(_xlfn.RANK.EQ(CK9,$CK$2:$CK$111)&lt;='Tournament Setup'!$B$43,_xlfn.RANK.EQ(CK9,$CK$2:$CK$111),""),"")</f>
        <v/>
      </c>
      <c r="CN9" s="31">
        <f>IF(AND($H9='Tournament Setup'!$A$43,$E9="M",$CM9&gt;'Tournament Setup'!$B$43),$I9,"")</f>
        <v>64</v>
      </c>
      <c r="CO9" s="1" t="str">
        <f>IF(ISNUMBER(CN9)=TRUE,IF(_xlfn.RANK.EQ(CN9,$CN$2:$CN$111)&lt;='Tournament Setup'!$C$43,_xlfn.RANK.EQ(CN9,$CN$2:$CN$111),""),"")</f>
        <v/>
      </c>
      <c r="CP9" s="31" t="str">
        <f>IF(AND($H9='Tournament Setup'!$A$43,$E9="F",$CM9&gt;'Tournament Setup'!$B$43),$I9,"")</f>
        <v/>
      </c>
      <c r="CQ9" s="12" t="str">
        <f>IF(ISNUMBER(CP9)=TRUE,IF(_xlfn.RANK.EQ(CP9,$CP$2:$CP$111)&lt;='Tournament Setup'!$D$43,_xlfn.RANK.EQ(CP9,$CP$2:$CP$111),""),"")</f>
        <v/>
      </c>
      <c r="CR9" s="30" t="str">
        <f>IF($H9='Tournament Setup'!$A$44,$I9,"")</f>
        <v/>
      </c>
      <c r="CS9" s="47" t="str">
        <f>IF(ISNUMBER(CR9),IF(COUNTIFS(CS$1:CS8,_xlfn.RANK.EQ(CR9,CR$2:CR$111,0))&gt;0,_xlfn.MAXIFS(CS$1:CS8,CR$1:CR8,CR9)+1,_xlfn.RANK.EQ(CR9,CR$2:CR$111,0)),"")</f>
        <v/>
      </c>
      <c r="CT9" s="1" t="str">
        <f>IF(ISNUMBER(CR9)=TRUE,IF(_xlfn.RANK.EQ(CR9,$CR$2:$CR$111)&lt;='Tournament Setup'!$B$44,_xlfn.RANK.EQ(CR9,$CR$2:$CR$111),""),"")</f>
        <v/>
      </c>
      <c r="CU9" s="31" t="str">
        <f>IF(AND($H9='Tournament Setup'!$A$44,$E9="M",$CT9&gt;'Tournament Setup'!$B$44),$I9,"")</f>
        <v/>
      </c>
      <c r="CV9" s="1" t="str">
        <f>IF(ISNUMBER(CU9)=TRUE,IF(_xlfn.RANK.EQ(CU9,$CU$2:$CU$111)&lt;='Tournament Setup'!$C$44,_xlfn.RANK.EQ(CU9,$CU$2:$CU$111),""),"")</f>
        <v/>
      </c>
      <c r="CW9" s="31" t="str">
        <f>IF(AND($H9='Tournament Setup'!$A$44,$E9="F",$CT9&gt;'Tournament Setup'!$B$44),$I9,"")</f>
        <v/>
      </c>
      <c r="CX9" s="12" t="str">
        <f>IF(ISNUMBER(CW9)=TRUE,IF(_xlfn.RANK.EQ(CW9,$CW$2:$CW$111)&lt;='Tournament Setup'!$D$44,_xlfn.RANK.EQ(CW9,$CW$2:$CW$111),""),"")</f>
        <v/>
      </c>
    </row>
    <row r="10" spans="1:102" x14ac:dyDescent="0.3">
      <c r="A10" t="s">
        <v>45</v>
      </c>
      <c r="B10" t="str">
        <f>IFERROR(INDEX('Tournament List'!$B:$B,MATCH($A10,'Tournament List'!$A:$A,0)),"")</f>
        <v>Linda</v>
      </c>
      <c r="C10" t="str">
        <f>IFERROR(INDEX('Tournament List'!$C:$C,MATCH($A10,'Tournament List'!$A:$A,0)),"")</f>
        <v>Last Name9</v>
      </c>
      <c r="D10" t="str">
        <f t="shared" si="0"/>
        <v>Linda Last Name9</v>
      </c>
      <c r="E10" s="1" t="str">
        <f>IFERROR(INDEX('Tournament List'!F:F,MATCH($A10,'Tournament List'!$A:$A,0)),"")</f>
        <v>F</v>
      </c>
      <c r="F10" t="str">
        <f>IFERROR(INDEX('Tournament List'!M:M,MATCH($A10,'Tournament List'!$A:$A,0)),"")</f>
        <v>Novice</v>
      </c>
      <c r="G10" t="str">
        <f>IFERROR(INDEX('Shooter-Squad Assignment'!L:L,MATCH(A10,'Shooter-Squad Assignment'!A:A,0)),"")</f>
        <v/>
      </c>
      <c r="H10" s="1" t="str">
        <f>IFERROR(INDEX('Tournament List'!AD:AD,MATCH($A10,'Tournament List'!$A:$A,0)),"")</f>
        <v>B</v>
      </c>
      <c r="I10" s="123">
        <f>IFERROR(INDEX('Tournament List'!AG:AG,MATCH($A10,'Tournament List'!$A:$A,0)),"")</f>
        <v>75</v>
      </c>
      <c r="J10" s="145" t="str">
        <f>IFERROR(INDEX('Tournament List'!Y:Y,MATCH($A10,'Tournament List'!$A:$A,0)),"")</f>
        <v/>
      </c>
      <c r="K10" s="47" t="str">
        <f>IFERROR(INDEX('Tournament List'!S:S,MATCH(A10,'Tournament List'!A:A,0)),"")</f>
        <v/>
      </c>
      <c r="L10" s="47" t="str">
        <f>IF(ISNUMBER(J10),IF(COUNTIFS(L$1:L9,_xlfn.RANK.EQ(J10,J$2:J$111,0))&gt;0,_xlfn.MAXIFS(L$1:L9,J$1:J9,J10)+1,_xlfn.RANK.EQ(J10,J$2:J$111,0)),"")</f>
        <v/>
      </c>
      <c r="M10" s="11">
        <f>IF(ISNUMBER(I10)=TRUE,IF(I10&gt;0,_xlfn.RANK.EQ(I10,$I$2:$I$111,0),""),"")</f>
        <v>20</v>
      </c>
      <c r="N10" s="56">
        <f>IF(ISNUMBER(I10),IF(COUNTIFS(N$1:N9,_xlfn.RANK.EQ(I10,I$2:I$111,0))&gt;0,_xlfn.MAXIFS(N$1:N9,I$1:I9,I10)+1,_xlfn.RANK.EQ(I10,I$2:I$111,0)),"")</f>
        <v>20</v>
      </c>
      <c r="O10" s="144">
        <f>IF(F10&lt;&gt;"Collegiate"=TRUE,$I10,"")</f>
        <v>75</v>
      </c>
      <c r="P10" s="47">
        <f>IF(ISNUMBER(O10),IF(COUNTIFS(P$1:P9,_xlfn.RANK.EQ(O10,O$2:O$111,0))&gt;0,_xlfn.MAXIFS(P$1:P9,O$1:O9,O10)+1,_xlfn.RANK.EQ(O10,O$2:O$111,0)),"")</f>
        <v>18</v>
      </c>
      <c r="Q10" s="1" t="str">
        <f>IF(ISNUMBER(O10)=TRUE,IF(_xlfn.RANK.EQ(O10,$O$2:$O$111)&lt;='Tournament Setup'!$B$26,_xlfn.RANK.EQ(O10,$O$2:$O$111),""),"")</f>
        <v/>
      </c>
      <c r="R10" s="143" t="str">
        <f>IF(AND($E10="M",SUM($Q10)=0,F10&lt;&gt;"Collegiate")=TRUE,$I10,"")</f>
        <v/>
      </c>
      <c r="S10" s="1" t="str">
        <f>IF(ISNUMBER(R10)=TRUE,IF(_xlfn.RANK.EQ(R10,$R$2:$R$111)&lt;='Tournament Setup'!$B$27,_xlfn.RANK.EQ(R10,$R$2:$R$111),""),"")</f>
        <v/>
      </c>
      <c r="T10" s="143">
        <f>IF(AND($E10="F",SUM($Q10)=0,F10&lt;&gt;"Collegiate")=TRUE,$I10,"")</f>
        <v>75</v>
      </c>
      <c r="U10" s="12" t="str">
        <f>IF(ISNUMBER(T10)=TRUE,IF(_xlfn.RANK.EQ(T10,$T$2:$T$111)&lt;='Tournament Setup'!$B$28,_xlfn.RANK.EQ(T10,$T$2:$T$111),""),"")</f>
        <v/>
      </c>
      <c r="V10" s="145" t="str">
        <f>IF(AND($G10='Tournament Setup'!$A$53,$J10&lt;&gt;0),$J10,"")</f>
        <v/>
      </c>
      <c r="W10" s="47" t="str">
        <f>IF(ISNUMBER(V10),IF(COUNTIFS(W$1:W9,_xlfn.RANK.EQ(V10,V$2:V$111,0))&gt;0,_xlfn.MAXIFS(W$1:W9,V$1:V9,V10)+1,_xlfn.RANK.EQ(V10,V$2:V$111,0)),"")</f>
        <v/>
      </c>
      <c r="X10" s="1" t="str">
        <f>IF(ISNUMBER(V10)=TRUE,IF(_xlfn.RANK.EQ(V10,$V$2:$V$111)&lt;='Tournament Setup'!$B$53,_xlfn.RANK.EQ(V10,$V$2:$V$111),""),"")</f>
        <v/>
      </c>
      <c r="Y10" s="145" t="str">
        <f>IF(AND($G10='Tournament Setup'!$A$49,$J10&lt;&gt;0),$J10,"")</f>
        <v/>
      </c>
      <c r="Z10" s="47" t="str">
        <f>IF(ISNUMBER(Y10),IF(COUNTIFS(Z$1:Z9,_xlfn.RANK.EQ(Y10,Y$2:Y$111,0))&gt;0,_xlfn.MAXIFS(Z$1:Z9,Y$1:Y9,Y10)+1,_xlfn.RANK.EQ(Y10,Y$2:Y$111,0)),"")</f>
        <v/>
      </c>
      <c r="AA10" s="1" t="str">
        <f>IF(ISNUMBER(Y10)=TRUE,IF(_xlfn.RANK.EQ(Y10,$Y$2:$Y$111)&lt;='Tournament Setup'!$B$49,_xlfn.RANK.EQ(Y10,$Y$2:$Y$111),""),"")</f>
        <v/>
      </c>
      <c r="AB10" s="30">
        <f>IF(AND($F10='Tournament Setup'!$A$32,SUM($Q10,$S10,$U10)=0),$I10,"")</f>
        <v>75</v>
      </c>
      <c r="AC10" s="47">
        <f>IF(ISNUMBER(AB10),IF(COUNTIFS(AC$1:AC9,_xlfn.RANK.EQ(AB10,AB$2:AB$111,0))&gt;0,_xlfn.MAXIFS(AC$1:AC9,AB$1:AB9,AB10)+1,_xlfn.RANK.EQ(AB10,AB$2:AB$111,0)),"")</f>
        <v>2</v>
      </c>
      <c r="AD10" s="1">
        <f>IF(ISNUMBER(AB10)=TRUE,IF(_xlfn.RANK.EQ(AB10,$AB$2:$AB$111)&lt;='Tournament Setup'!$B$32,_xlfn.RANK.EQ(AB10,$AB$2:$AB$111),""),"")</f>
        <v>2</v>
      </c>
      <c r="AE10" s="31" t="str">
        <f>IF(AND($F10='Tournament Setup'!$A$32,SUM($Q10,$S10)=0,$E10="M",$AD10&gt;'Tournament Setup'!$B$32),$I10,"")</f>
        <v/>
      </c>
      <c r="AF10" s="1" t="str">
        <f>IF(ISNUMBER(AE10)=TRUE,IF(_xlfn.RANK.EQ(AE10,$AE$2:$AE$111)&lt;='Tournament Setup'!$C$32,_xlfn.RANK.EQ(AE10,$AE$2:$AE$111),""),"")</f>
        <v/>
      </c>
      <c r="AG10" s="31" t="str">
        <f>IF(AND($F10='Tournament Setup'!$A$32,SUM($Q10,$U10)=0,$E10="F",$AD10&gt;'Tournament Setup'!$B$32),$I10,"")</f>
        <v/>
      </c>
      <c r="AH10" s="12" t="str">
        <f>IF(ISNUMBER(AG10)=TRUE,IF(_xlfn.RANK.EQ(AG10,$AG$2:$AG$111)&lt;='Tournament Setup'!$D$32,_xlfn.RANK.EQ(AG10,$AG$2:$AG$111),""),"")</f>
        <v/>
      </c>
      <c r="AI10" s="30" t="str">
        <f>IF(AND($G10='Tournament Setup'!$A$50,$J10&lt;&gt;0),$J10,"")</f>
        <v/>
      </c>
      <c r="AJ10" s="47" t="str">
        <f>IF(ISNUMBER(AI10),IF(COUNTIFS(AJ$1:AJ9,_xlfn.RANK.EQ(AI10,AI$2:AI$111,0))&gt;0,_xlfn.MAXIFS(AJ$1:AJ9,AI$1:AI9,AI10)+1,_xlfn.RANK.EQ(AI10,AI$2:AI$111,0)),"")</f>
        <v/>
      </c>
      <c r="AK10" s="1" t="str">
        <f>IF(ISNUMBER(AI10)=TRUE,IF(_xlfn.RANK.EQ(AI10,$AI$2:$AI$111)&lt;='Tournament Setup'!$B$49,_xlfn.RANK.EQ(AI10,$AI$2:$AI$111),""),"")</f>
        <v/>
      </c>
      <c r="AL10" s="30" t="str">
        <f>IF(AND($F10='Tournament Setup'!$A$33,SUM($Q10,$S10,$U10)=0),$I10,"")</f>
        <v/>
      </c>
      <c r="AM10" s="47" t="str">
        <f>IF(ISNUMBER(AL10),IF(COUNTIFS(AM$1:AM9,_xlfn.RANK.EQ(AL10,AL$2:AL$111,0))&gt;0,_xlfn.MAXIFS(AM$1:AM9,AL$1:AL9,AL10)+1,_xlfn.RANK.EQ(AL10,AL$2:AL$111,0)),"")</f>
        <v/>
      </c>
      <c r="AN10" s="1" t="str">
        <f>IF(ISNUMBER(AL10)=TRUE,IF(_xlfn.RANK.EQ(AL10,$AL$2:$AL$111)&lt;='Tournament Setup'!$B$33,_xlfn.RANK.EQ(AL10,$AL$2:$AL$111),""),"")</f>
        <v/>
      </c>
      <c r="AO10" s="31" t="str">
        <f>IF(AND($F10='Tournament Setup'!$A$33,SUM($Q10,$S10)=0,$E10="M",$AN10&gt;'Tournament Setup'!$B$33),$I10,"")</f>
        <v/>
      </c>
      <c r="AP10" s="1" t="str">
        <f>IF(ISNUMBER(AO10)=TRUE,IF(_xlfn.RANK.EQ(AO10,$AO$2:$AO$111)&lt;='Tournament Setup'!$C$33,_xlfn.RANK.EQ(AO10,$AO$2:$AO$111),""),"")</f>
        <v/>
      </c>
      <c r="AQ10" s="31" t="str">
        <f>IF(AND($F10='Tournament Setup'!$A$33,SUM($Q10,$U10)=0,$E10="F",$AN10&gt;'Tournament Setup'!$B$33),$I10,"")</f>
        <v/>
      </c>
      <c r="AR10" s="12" t="str">
        <f>IF(ISNUMBER(AQ10)=TRUE,IF(_xlfn.RANK.EQ(AQ10,$AQ$2:$AQ$111)&lt;='Tournament Setup'!$D$33,_xlfn.RANK.EQ(AQ10,$AQ$2:$AQ$111),""),"")</f>
        <v/>
      </c>
      <c r="AS10" s="30" t="str">
        <f>IF(AND($G10='Tournament Setup'!$A$51,$J10&lt;&gt;0),$J10,"")</f>
        <v/>
      </c>
      <c r="AT10" s="47" t="str">
        <f>IF(ISNUMBER(AS10),IF(COUNTIFS(AT$1:AT9,_xlfn.RANK.EQ(AS10,AS$2:AS$111,0))&gt;0,_xlfn.MAXIFS(AT$1:AT9,AS$1:AS9,AS10)+1,_xlfn.RANK.EQ(AS10,AS$2:AS$111,0)),"")</f>
        <v/>
      </c>
      <c r="AU10" s="1" t="str">
        <f>IF(ISNUMBER(AS10)=TRUE,IF(_xlfn.RANK.EQ(AS10,$AS$2:$AS$111)&lt;='Tournament Setup'!$B$49,_xlfn.RANK.EQ(AS10,$AS$2:$AS$111),""),"")</f>
        <v/>
      </c>
      <c r="AV10" s="30" t="str">
        <f>IF(AND($F10='Tournament Setup'!$A$34,SUM($Q10,$S10,$U10)=0),$I10,"")</f>
        <v/>
      </c>
      <c r="AW10" s="47" t="str">
        <f>IF(ISNUMBER(AV10),IF(COUNTIFS(AW$1:AW9,_xlfn.RANK.EQ(AV10,AV$2:AV$111,0))&gt;0,_xlfn.MAXIFS(AW$1:AW9,AV$1:AV9,AV10)+1,_xlfn.RANK.EQ(AV10,AV$2:AV$111,0)),"")</f>
        <v/>
      </c>
      <c r="AX10" s="1" t="str">
        <f>IF(ISNUMBER(AV10)=TRUE,IF(_xlfn.RANK.EQ(AV10,$AV$2:$AV$111)&lt;='Tournament Setup'!$B$34,_xlfn.RANK.EQ(AV10,$AV$2:$AV$111),""),"")</f>
        <v/>
      </c>
      <c r="AY10" s="31" t="str">
        <f>IF(AND($F10='Tournament Setup'!$A$34,SUM($Q10,$S10)=0,$E10="M",$AX10&gt;'Tournament Setup'!$B$34),$I10,"")</f>
        <v/>
      </c>
      <c r="AZ10" s="1" t="str">
        <f>IF(ISNUMBER(AY10)=TRUE,IF(_xlfn.RANK.EQ(AY10,$AY$2:$AY$111)&lt;='Tournament Setup'!$C$34,_xlfn.RANK.EQ(AY10,$AY$2:$AY$111),""),"")</f>
        <v/>
      </c>
      <c r="BA10" s="31" t="str">
        <f>IF(AND($F10='Tournament Setup'!$A$34,SUM($Q10,$U10)=0,$E10="F",$AX10&gt;'Tournament Setup'!$B$34),$I10,"")</f>
        <v/>
      </c>
      <c r="BB10" s="12" t="str">
        <f>IF(ISNUMBER(BA10)=TRUE,IF(_xlfn.RANK.EQ(BA10,$BA$2:$BA$111)&lt;='Tournament Setup'!$D$34,_xlfn.RANK.EQ(BA10,$BA$2:$BA$111),""),"")</f>
        <v/>
      </c>
      <c r="BC10" s="30" t="str">
        <f>IF(AND($G10='Tournament Setup'!$A$52,$J10&lt;&gt;0),$J10,"")</f>
        <v/>
      </c>
      <c r="BD10" s="47" t="str">
        <f>IF(ISNUMBER(BC10),IF(COUNTIFS(BD$1:BD9,_xlfn.RANK.EQ(BC10,BC$2:BC$111,0))&gt;0,_xlfn.MAXIFS(BD$1:BD9,BC$1:BC9,BC10)+1,_xlfn.RANK.EQ(BC10,BC$2:BC$111,0)),"")</f>
        <v/>
      </c>
      <c r="BE10" s="1" t="str">
        <f>IF(ISNUMBER(BC10)=TRUE,IF(_xlfn.RANK.EQ(BC10,$BC$2:$BC$111)&lt;='Tournament Setup'!$B$49,_xlfn.RANK.EQ(BC10,$BC$2:$BC$111),""),"")</f>
        <v/>
      </c>
      <c r="BF10" s="30" t="str">
        <f>IF(AND($F10='Tournament Setup'!$A$35,SUM($Q10,$S10,$U10)=0),$I10,"")</f>
        <v/>
      </c>
      <c r="BG10" s="47" t="str">
        <f>IF(ISNUMBER(BF10),IF(COUNTIFS(BG$1:BG9,_xlfn.RANK.EQ(BF10,BF$2:BF$111,0))&gt;0,_xlfn.MAXIFS(BG$1:BG9,BF$1:BF9,BF10)+1,_xlfn.RANK.EQ(BF10,BF$2:BF$111,0)),"")</f>
        <v/>
      </c>
      <c r="BH10" s="1" t="str">
        <f>IF(ISNUMBER(BF10)=TRUE,IF(_xlfn.RANK.EQ(BF10,$BF$2:$BF$111)&lt;='Tournament Setup'!$B$35,_xlfn.RANK.EQ(BF10,$BF$2:$BF$111),""),"")</f>
        <v/>
      </c>
      <c r="BI10" s="31" t="str">
        <f>IF(AND($F10='Tournament Setup'!$A$35,SUM($Q10,$S10)=0,$E10="M",$BH10&gt;'Tournament Setup'!$B$35),$I10,"")</f>
        <v/>
      </c>
      <c r="BJ10" s="1" t="str">
        <f>IF(ISNUMBER(BI10)=TRUE,IF(_xlfn.RANK.EQ(BI10,$BI$2:$BI$111)&lt;='Tournament Setup'!$C$35,_xlfn.RANK.EQ(BI10,$BI$2:$BI$111),""),"")</f>
        <v/>
      </c>
      <c r="BK10" s="31" t="str">
        <f>IF(AND($F10='Tournament Setup'!$A$35,SUM($Q10,$U10)=0,$E10="F",$BH10&gt;'Tournament Setup'!$B$35),$I10,"")</f>
        <v/>
      </c>
      <c r="BL10" s="12" t="str">
        <f>IF(ISNUMBER(BK10)=TRUE,IF(_xlfn.RANK.EQ(BK10,$BK$2:$BK$111)&lt;='Tournament Setup'!$D$35,_xlfn.RANK.EQ(BK10,$BK$2:$BK$111),""),"")</f>
        <v/>
      </c>
      <c r="BM10" s="30" t="str">
        <f>IF(AND($G10='Tournament Setup'!$A$54,$J10&lt;&gt;0),$J10,"")</f>
        <v/>
      </c>
      <c r="BN10" s="47" t="str">
        <f>IF(ISNUMBER(BM10),IF(COUNTIFS(BN$1:BN9,_xlfn.RANK.EQ(BM10,BM$2:BM$111,0))&gt;0,_xlfn.MAXIFS(BN$1:BN9,BM$1:BM9,BM10)+1,_xlfn.RANK.EQ(BM10,BM$2:BM$111,0)),"")</f>
        <v/>
      </c>
      <c r="BO10" s="1" t="str">
        <f>IF(ISNUMBER(BM10)=TRUE,IF(_xlfn.RANK.EQ(BM10,$BM$2:$BM$111)&lt;='Tournament Setup'!$B$49,_xlfn.RANK.EQ(BM10,$BM$2:$BM$111),""),"")</f>
        <v/>
      </c>
      <c r="BP10" s="30" t="str">
        <f>IF(AND($F10='Tournament Setup'!$A$36,SUM($Q10,$S10,$U10)=0),$I10,"")</f>
        <v/>
      </c>
      <c r="BQ10" s="47" t="str">
        <f>IF(ISNUMBER(BP10),IF(COUNTIFS(BQ$1:BQ9,_xlfn.RANK.EQ(BP10,BP$2:BP$111,0))&gt;0,_xlfn.MAXIFS(BQ$1:BQ9,BP$1:BP9,BP10)+1,_xlfn.RANK.EQ(BP10,BP$2:BP$111,0)),"")</f>
        <v/>
      </c>
      <c r="BR10" s="1" t="str">
        <f>IF(ISNUMBER(BP10)=TRUE,IF(_xlfn.RANK.EQ(BP10,$BP$2:$BP$111)&lt;='Tournament Setup'!$B$36,_xlfn.RANK.EQ(BP10,$BP$2:$BP$111),""),"")</f>
        <v/>
      </c>
      <c r="BS10" s="31" t="str">
        <f>IF(AND($F10='Tournament Setup'!$A$36,SUM($Q10,$S10)=0,$E10="M",$BR10&gt;'Tournament Setup'!$B$36),$I10,"")</f>
        <v/>
      </c>
      <c r="BT10" s="1" t="str">
        <f>IF(ISNUMBER(BS10)=TRUE,IF(_xlfn.RANK.EQ(BS10,$BS$2:$BS$111)&lt;='Tournament Setup'!$C$36,_xlfn.RANK.EQ(BS10,$BS$2:$BS$111),""),"")</f>
        <v/>
      </c>
      <c r="BU10" s="31" t="str">
        <f>IF(AND($F10='Tournament Setup'!$A$36,SUM($Q10,$U10)=0,$E10="F",$BR10&gt;'Tournament Setup'!$B$36),$I10,"")</f>
        <v/>
      </c>
      <c r="BV10" s="12" t="str">
        <f>IF(ISNUMBER(BU10)=TRUE,IF(_xlfn.RANK.EQ(BU10,$BU$2:$BU$111)&lt;='Tournament Setup'!$D$36,_xlfn.RANK.EQ(BU10,$BU$2:$BU$111),""),"")</f>
        <v/>
      </c>
      <c r="BW10" s="30" t="str">
        <f>IF($H10='Tournament Setup'!$A$41,$I10,"")</f>
        <v/>
      </c>
      <c r="BX10" s="47" t="str">
        <f>IF(ISNUMBER(BW10),IF(COUNTIFS(BX$1:BX9,_xlfn.RANK.EQ(BW10,BW$2:BW$111,0))&gt;0,_xlfn.MAXIFS(BX$1:BX9,BW$1:BW9,BW10)+1,_xlfn.RANK.EQ(BW10,BW$2:BW$111,0)),"")</f>
        <v/>
      </c>
      <c r="BY10" s="1" t="str">
        <f>IF(ISNUMBER(BW10)=TRUE,IF(_xlfn.RANK.EQ(BW10,$BW$2:$BW$111)&lt;='Tournament Setup'!$B$41,_xlfn.RANK.EQ(BW10,$BW$2:$BW$111),""),"")</f>
        <v/>
      </c>
      <c r="BZ10" s="31" t="str">
        <f>IF(AND($H10='Tournament Setup'!$A$41,$E10="M",$BY10&gt;'Tournament Setup'!$B$41),$I10,"")</f>
        <v/>
      </c>
      <c r="CA10" s="1" t="str">
        <f>IF(ISNUMBER(BZ10)=TRUE,IF(_xlfn.RANK.EQ(BZ10,$BZ$2:$BZ$111)&lt;='Tournament Setup'!$C$41,_xlfn.RANK.EQ(BZ10,$BZ$2:$BZ$111),""),"")</f>
        <v/>
      </c>
      <c r="CB10" s="31" t="str">
        <f>IF(AND($H10='Tournament Setup'!$A$41,$E10="F",$BY10&gt;'Tournament Setup'!$B$41),$I10,"")</f>
        <v/>
      </c>
      <c r="CC10" s="12" t="str">
        <f>IF(ISNUMBER(CB10)=TRUE,IF(_xlfn.RANK.EQ(CB10,$CB$2:$CB$111)&lt;='Tournament Setup'!$D$41,_xlfn.RANK.EQ(CB10,$CB$2:$CB$111),""),"")</f>
        <v/>
      </c>
      <c r="CD10" s="30">
        <f>IF($H10='Tournament Setup'!$A$42,$I10,"")</f>
        <v>75</v>
      </c>
      <c r="CE10" s="47">
        <f>IF(ISNUMBER(CD10),IF(COUNTIFS(CE$1:CE9,_xlfn.RANK.EQ(CD10,CD$2:CD$111,0))&gt;0,_xlfn.MAXIFS(CE$1:CE9,CD$1:CD9,CD10)+1,_xlfn.RANK.EQ(CD10,CD$2:CD$111,0)),"")</f>
        <v>10</v>
      </c>
      <c r="CF10" s="1" t="str">
        <f>IF(ISNUMBER(CD10)=TRUE,IF(_xlfn.RANK.EQ(CD10,$CD$2:$CD$111)&lt;='Tournament Setup'!$B$42,_xlfn.RANK.EQ(CD10,$CD$2:$CD$111),""),"")</f>
        <v/>
      </c>
      <c r="CG10" s="31" t="str">
        <f>IF(AND($H10='Tournament Setup'!$A$42,$E10="M",$CF10&gt;'Tournament Setup'!$B$42),$I10,"")</f>
        <v/>
      </c>
      <c r="CH10" s="1" t="str">
        <f>IF(ISNUMBER(CG10)=TRUE,IF(_xlfn.RANK.EQ(CG10,$CG$2:$CG$111)&lt;='Tournament Setup'!$C$42,_xlfn.RANK.EQ(CG10,$CG$2:$CG$111),""),"")</f>
        <v/>
      </c>
      <c r="CI10" s="31">
        <f>IF(AND($H10='Tournament Setup'!$A$42,$E10="F",$CF10&gt;'Tournament Setup'!$B$42),$I10,"")</f>
        <v>75</v>
      </c>
      <c r="CJ10" s="12">
        <f>IF(ISNUMBER(CI10)=TRUE,IF(_xlfn.RANK.EQ(CI10,$CI$2:$CI$111)&lt;='Tournament Setup'!$D$42,_xlfn.RANK.EQ(CI10,$CI$2:$CI$111),""),"")</f>
        <v>2</v>
      </c>
      <c r="CK10" s="30" t="str">
        <f>IF($H10='Tournament Setup'!$A$43,$I10,"")</f>
        <v/>
      </c>
      <c r="CL10" s="47" t="str">
        <f>IF(ISNUMBER(CK10),IF(COUNTIFS(CL$1:CL9,_xlfn.RANK.EQ(CK10,CK$2:CK$111,0))&gt;0,_xlfn.MAXIFS(CL$1:CL9,CK$1:CK9,CK10)+1,_xlfn.RANK.EQ(CK10,CK$2:CK$111,0)),"")</f>
        <v/>
      </c>
      <c r="CM10" s="1" t="str">
        <f>IF(ISNUMBER(CK10)=TRUE,IF(_xlfn.RANK.EQ(CK10,$CK$2:$CK$111)&lt;='Tournament Setup'!$B$43,_xlfn.RANK.EQ(CK10,$CK$2:$CK$111),""),"")</f>
        <v/>
      </c>
      <c r="CN10" s="31" t="str">
        <f>IF(AND($H10='Tournament Setup'!$A$43,$E10="M",$CM10&gt;'Tournament Setup'!$B$43),$I10,"")</f>
        <v/>
      </c>
      <c r="CO10" s="1" t="str">
        <f>IF(ISNUMBER(CN10)=TRUE,IF(_xlfn.RANK.EQ(CN10,$CN$2:$CN$111)&lt;='Tournament Setup'!$C$43,_xlfn.RANK.EQ(CN10,$CN$2:$CN$111),""),"")</f>
        <v/>
      </c>
      <c r="CP10" s="31" t="str">
        <f>IF(AND($H10='Tournament Setup'!$A$43,$E10="F",$CM10&gt;'Tournament Setup'!$B$43),$I10,"")</f>
        <v/>
      </c>
      <c r="CQ10" s="12" t="str">
        <f>IF(ISNUMBER(CP10)=TRUE,IF(_xlfn.RANK.EQ(CP10,$CP$2:$CP$111)&lt;='Tournament Setup'!$D$43,_xlfn.RANK.EQ(CP10,$CP$2:$CP$111),""),"")</f>
        <v/>
      </c>
      <c r="CR10" s="30" t="str">
        <f>IF($H10='Tournament Setup'!$A$44,$I10,"")</f>
        <v/>
      </c>
      <c r="CS10" s="47" t="str">
        <f>IF(ISNUMBER(CR10),IF(COUNTIFS(CS$1:CS9,_xlfn.RANK.EQ(CR10,CR$2:CR$111,0))&gt;0,_xlfn.MAXIFS(CS$1:CS9,CR$1:CR9,CR10)+1,_xlfn.RANK.EQ(CR10,CR$2:CR$111,0)),"")</f>
        <v/>
      </c>
      <c r="CT10" s="1" t="str">
        <f>IF(ISNUMBER(CR10)=TRUE,IF(_xlfn.RANK.EQ(CR10,$CR$2:$CR$111)&lt;='Tournament Setup'!$B$44,_xlfn.RANK.EQ(CR10,$CR$2:$CR$111),""),"")</f>
        <v/>
      </c>
      <c r="CU10" s="31" t="str">
        <f>IF(AND($H10='Tournament Setup'!$A$44,$E10="M",$CT10&gt;'Tournament Setup'!$B$44),$I10,"")</f>
        <v/>
      </c>
      <c r="CV10" s="1" t="str">
        <f>IF(ISNUMBER(CU10)=TRUE,IF(_xlfn.RANK.EQ(CU10,$CU$2:$CU$111)&lt;='Tournament Setup'!$C$44,_xlfn.RANK.EQ(CU10,$CU$2:$CU$111),""),"")</f>
        <v/>
      </c>
      <c r="CW10" s="31" t="str">
        <f>IF(AND($H10='Tournament Setup'!$A$44,$E10="F",$CT10&gt;'Tournament Setup'!$B$44),$I10,"")</f>
        <v/>
      </c>
      <c r="CX10" s="12" t="str">
        <f>IF(ISNUMBER(CW10)=TRUE,IF(_xlfn.RANK.EQ(CW10,$CW$2:$CW$111)&lt;='Tournament Setup'!$D$44,_xlfn.RANK.EQ(CW10,$CW$2:$CW$111),""),"")</f>
        <v/>
      </c>
    </row>
    <row r="11" spans="1:102" x14ac:dyDescent="0.3">
      <c r="A11" t="s">
        <v>46</v>
      </c>
      <c r="B11" t="str">
        <f>IFERROR(INDEX('Tournament List'!$B:$B,MATCH($A11,'Tournament List'!$A:$A,0)),"")</f>
        <v>Christy</v>
      </c>
      <c r="C11" t="str">
        <f>IFERROR(INDEX('Tournament List'!$C:$C,MATCH($A11,'Tournament List'!$A:$A,0)),"")</f>
        <v>Last Name10</v>
      </c>
      <c r="D11" t="str">
        <f t="shared" si="0"/>
        <v>Christy Last Name10</v>
      </c>
      <c r="E11" s="1" t="str">
        <f>IFERROR(INDEX('Tournament List'!F:F,MATCH($A11,'Tournament List'!$A:$A,0)),"")</f>
        <v>F</v>
      </c>
      <c r="F11" t="str">
        <f>IFERROR(INDEX('Tournament List'!M:M,MATCH($A11,'Tournament List'!$A:$A,0)),"")</f>
        <v>Intermediate</v>
      </c>
      <c r="G11" t="str">
        <f>IFERROR(INDEX('Shooter-Squad Assignment'!L:L,MATCH(A11,'Shooter-Squad Assignment'!A:A,0)),"")</f>
        <v>Intermediate</v>
      </c>
      <c r="H11" s="1" t="str">
        <f>IFERROR(INDEX('Tournament List'!AD:AD,MATCH($A11,'Tournament List'!$A:$A,0)),"")</f>
        <v>B</v>
      </c>
      <c r="I11" s="123">
        <f>IFERROR(INDEX('Tournament List'!AG:AG,MATCH($A11,'Tournament List'!$A:$A,0)),"")</f>
        <v>93</v>
      </c>
      <c r="J11" s="145">
        <f>IFERROR(INDEX('Tournament List'!Y:Y,MATCH($A11,'Tournament List'!$A:$A,0)),"")</f>
        <v>231</v>
      </c>
      <c r="K11" s="47">
        <f>IFERROR(INDEX('Tournament List'!S:S,MATCH(A11,'Tournament List'!A:A,0)),"")</f>
        <v>61</v>
      </c>
      <c r="L11" s="47">
        <f>IF(ISNUMBER(J11),IF(COUNTIFS(L$1:L10,_xlfn.RANK.EQ(J11,J$2:J$111,0))&gt;0,_xlfn.MAXIFS(L$1:L10,J$1:J10,J11)+1,_xlfn.RANK.EQ(J11,J$2:J$111,0)),"")</f>
        <v>5</v>
      </c>
      <c r="M11" s="11">
        <f>IF(ISNUMBER(I11)=TRUE,IF(I11&gt;0,_xlfn.RANK.EQ(I11,$I$2:$I$111,0),""),"")</f>
        <v>5</v>
      </c>
      <c r="N11" s="56">
        <f>IF(ISNUMBER(I11),IF(COUNTIFS(N$1:N10,_xlfn.RANK.EQ(I11,I$2:I$111,0))&gt;0,_xlfn.MAXIFS(N$1:N10,I$1:I10,I11)+1,_xlfn.RANK.EQ(I11,I$2:I$111,0)),"")</f>
        <v>5</v>
      </c>
      <c r="O11" s="144">
        <f>IF(F11&lt;&gt;"Collegiate"=TRUE,$I11,"")</f>
        <v>93</v>
      </c>
      <c r="P11" s="47">
        <f>IF(ISNUMBER(O11),IF(COUNTIFS(P$1:P10,_xlfn.RANK.EQ(O11,O$2:O$111,0))&gt;0,_xlfn.MAXIFS(P$1:P10,O$1:O10,O11)+1,_xlfn.RANK.EQ(O11,O$2:O$111,0)),"")</f>
        <v>5</v>
      </c>
      <c r="Q11" s="1" t="str">
        <f>IF(ISNUMBER(O11)=TRUE,IF(_xlfn.RANK.EQ(O11,$O$2:$O$111)&lt;='Tournament Setup'!$B$26,_xlfn.RANK.EQ(O11,$O$2:$O$111),""),"")</f>
        <v/>
      </c>
      <c r="R11" s="143" t="str">
        <f>IF(AND($E11="M",SUM($Q11)=0,F11&lt;&gt;"Collegiate")=TRUE,$I11,"")</f>
        <v/>
      </c>
      <c r="S11" s="1" t="str">
        <f>IF(ISNUMBER(R11)=TRUE,IF(_xlfn.RANK.EQ(R11,$R$2:$R$111)&lt;='Tournament Setup'!$B$27,_xlfn.RANK.EQ(R11,$R$2:$R$111),""),"")</f>
        <v/>
      </c>
      <c r="T11" s="143">
        <f>IF(AND($E11="F",SUM($Q11)=0,F11&lt;&gt;"Collegiate")=TRUE,$I11,"")</f>
        <v>93</v>
      </c>
      <c r="U11" s="12">
        <f>IF(ISNUMBER(T11)=TRUE,IF(_xlfn.RANK.EQ(T11,$T$2:$T$111)&lt;='Tournament Setup'!$B$28,_xlfn.RANK.EQ(T11,$T$2:$T$111),""),"")</f>
        <v>2</v>
      </c>
      <c r="V11" s="145" t="str">
        <f>IF(AND($G11='Tournament Setup'!$A$53,$J11&lt;&gt;0),$J11,"")</f>
        <v/>
      </c>
      <c r="W11" s="47" t="str">
        <f>IF(ISNUMBER(V11),IF(COUNTIFS(W$1:W10,_xlfn.RANK.EQ(V11,V$2:V$111,0))&gt;0,_xlfn.MAXIFS(W$1:W10,V$1:V10,V11)+1,_xlfn.RANK.EQ(V11,V$2:V$111,0)),"")</f>
        <v/>
      </c>
      <c r="X11" s="1" t="str">
        <f>IF(ISNUMBER(V11)=TRUE,IF(_xlfn.RANK.EQ(V11,$V$2:$V$111)&lt;='Tournament Setup'!$B$53,_xlfn.RANK.EQ(V11,$V$2:$V$111),""),"")</f>
        <v/>
      </c>
      <c r="Y11" s="145" t="str">
        <f>IF(AND($G11='Tournament Setup'!$A$49,$J11&lt;&gt;0),$J11,"")</f>
        <v/>
      </c>
      <c r="Z11" s="47" t="str">
        <f>IF(ISNUMBER(Y11),IF(COUNTIFS(Z$1:Z10,_xlfn.RANK.EQ(Y11,Y$2:Y$111,0))&gt;0,_xlfn.MAXIFS(Z$1:Z10,Y$1:Y10,Y11)+1,_xlfn.RANK.EQ(Y11,Y$2:Y$111,0)),"")</f>
        <v/>
      </c>
      <c r="AA11" s="1" t="str">
        <f>IF(ISNUMBER(Y11)=TRUE,IF(_xlfn.RANK.EQ(Y11,$Y$2:$Y$111)&lt;='Tournament Setup'!$B$49,_xlfn.RANK.EQ(Y11,$Y$2:$Y$111),""),"")</f>
        <v/>
      </c>
      <c r="AB11" s="30" t="str">
        <f>IF(AND($F11='Tournament Setup'!$A$32,SUM($Q11,$S11,$U11)=0),$I11,"")</f>
        <v/>
      </c>
      <c r="AC11" s="47" t="str">
        <f>IF(ISNUMBER(AB11),IF(COUNTIFS(AC$1:AC10,_xlfn.RANK.EQ(AB11,AB$2:AB$111,0))&gt;0,_xlfn.MAXIFS(AC$1:AC10,AB$1:AB10,AB11)+1,_xlfn.RANK.EQ(AB11,AB$2:AB$111,0)),"")</f>
        <v/>
      </c>
      <c r="AD11" s="1" t="str">
        <f>IF(ISNUMBER(AB11)=TRUE,IF(_xlfn.RANK.EQ(AB11,$AB$2:$AB$111)&lt;='Tournament Setup'!$B$32,_xlfn.RANK.EQ(AB11,$AB$2:$AB$111),""),"")</f>
        <v/>
      </c>
      <c r="AE11" s="31" t="str">
        <f>IF(AND($F11='Tournament Setup'!$A$32,SUM($Q11,$S11)=0,$E11="M",$AD11&gt;'Tournament Setup'!$B$32),$I11,"")</f>
        <v/>
      </c>
      <c r="AF11" s="1" t="str">
        <f>IF(ISNUMBER(AE11)=TRUE,IF(_xlfn.RANK.EQ(AE11,$AE$2:$AE$111)&lt;='Tournament Setup'!$C$32,_xlfn.RANK.EQ(AE11,$AE$2:$AE$111),""),"")</f>
        <v/>
      </c>
      <c r="AG11" s="31" t="str">
        <f>IF(AND($F11='Tournament Setup'!$A$32,SUM($Q11,$U11)=0,$E11="F",$AD11&gt;'Tournament Setup'!$B$32),$I11,"")</f>
        <v/>
      </c>
      <c r="AH11" s="12" t="str">
        <f>IF(ISNUMBER(AG11)=TRUE,IF(_xlfn.RANK.EQ(AG11,$AG$2:$AG$111)&lt;='Tournament Setup'!$D$32,_xlfn.RANK.EQ(AG11,$AG$2:$AG$111),""),"")</f>
        <v/>
      </c>
      <c r="AI11" s="30">
        <f>IF(AND($G11='Tournament Setup'!$A$50,$J11&lt;&gt;0),$J11,"")</f>
        <v>231</v>
      </c>
      <c r="AJ11" s="47">
        <f>IF(ISNUMBER(AI11),IF(COUNTIFS(AJ$1:AJ10,_xlfn.RANK.EQ(AI11,AI$2:AI$111,0))&gt;0,_xlfn.MAXIFS(AJ$1:AJ10,AI$1:AI10,AI11)+1,_xlfn.RANK.EQ(AI11,AI$2:AI$111,0)),"")</f>
        <v>2</v>
      </c>
      <c r="AK11" s="1">
        <f>IF(ISNUMBER(AI11)=TRUE,IF(_xlfn.RANK.EQ(AI11,$AI$2:$AI$111)&lt;='Tournament Setup'!$B$49,_xlfn.RANK.EQ(AI11,$AI$2:$AI$111),""),"")</f>
        <v>2</v>
      </c>
      <c r="AL11" s="30" t="str">
        <f>IF(AND($F11='Tournament Setup'!$A$33,SUM($Q11,$S11,$U11)=0),$I11,"")</f>
        <v/>
      </c>
      <c r="AM11" s="47" t="str">
        <f>IF(ISNUMBER(AL11),IF(COUNTIFS(AM$1:AM10,_xlfn.RANK.EQ(AL11,AL$2:AL$111,0))&gt;0,_xlfn.MAXIFS(AM$1:AM10,AL$1:AL10,AL11)+1,_xlfn.RANK.EQ(AL11,AL$2:AL$111,0)),"")</f>
        <v/>
      </c>
      <c r="AN11" s="1" t="str">
        <f>IF(ISNUMBER(AL11)=TRUE,IF(_xlfn.RANK.EQ(AL11,$AL$2:$AL$111)&lt;='Tournament Setup'!$B$33,_xlfn.RANK.EQ(AL11,$AL$2:$AL$111),""),"")</f>
        <v/>
      </c>
      <c r="AO11" s="31" t="str">
        <f>IF(AND($F11='Tournament Setup'!$A$33,SUM($Q11,$S11)=0,$E11="M",$AN11&gt;'Tournament Setup'!$B$33),$I11,"")</f>
        <v/>
      </c>
      <c r="AP11" s="1" t="str">
        <f>IF(ISNUMBER(AO11)=TRUE,IF(_xlfn.RANK.EQ(AO11,$AO$2:$AO$111)&lt;='Tournament Setup'!$C$33,_xlfn.RANK.EQ(AO11,$AO$2:$AO$111),""),"")</f>
        <v/>
      </c>
      <c r="AQ11" s="31" t="str">
        <f>IF(AND($F11='Tournament Setup'!$A$33,SUM($Q11,$U11)=0,$E11="F",$AN11&gt;'Tournament Setup'!$B$33),$I11,"")</f>
        <v/>
      </c>
      <c r="AR11" s="12" t="str">
        <f>IF(ISNUMBER(AQ11)=TRUE,IF(_xlfn.RANK.EQ(AQ11,$AQ$2:$AQ$111)&lt;='Tournament Setup'!$D$33,_xlfn.RANK.EQ(AQ11,$AQ$2:$AQ$111),""),"")</f>
        <v/>
      </c>
      <c r="AS11" s="30" t="str">
        <f>IF(AND($G11='Tournament Setup'!$A$51,$J11&lt;&gt;0),$J11,"")</f>
        <v/>
      </c>
      <c r="AT11" s="47" t="str">
        <f>IF(ISNUMBER(AS11),IF(COUNTIFS(AT$1:AT10,_xlfn.RANK.EQ(AS11,AS$2:AS$111,0))&gt;0,_xlfn.MAXIFS(AT$1:AT10,AS$1:AS10,AS11)+1,_xlfn.RANK.EQ(AS11,AS$2:AS$111,0)),"")</f>
        <v/>
      </c>
      <c r="AU11" s="1" t="str">
        <f>IF(ISNUMBER(AS11)=TRUE,IF(_xlfn.RANK.EQ(AS11,$AS$2:$AS$111)&lt;='Tournament Setup'!$B$49,_xlfn.RANK.EQ(AS11,$AS$2:$AS$111),""),"")</f>
        <v/>
      </c>
      <c r="AV11" s="30" t="str">
        <f>IF(AND($F11='Tournament Setup'!$A$34,SUM($Q11,$S11,$U11)=0),$I11,"")</f>
        <v/>
      </c>
      <c r="AW11" s="47" t="str">
        <f>IF(ISNUMBER(AV11),IF(COUNTIFS(AW$1:AW10,_xlfn.RANK.EQ(AV11,AV$2:AV$111,0))&gt;0,_xlfn.MAXIFS(AW$1:AW10,AV$1:AV10,AV11)+1,_xlfn.RANK.EQ(AV11,AV$2:AV$111,0)),"")</f>
        <v/>
      </c>
      <c r="AX11" s="1" t="str">
        <f>IF(ISNUMBER(AV11)=TRUE,IF(_xlfn.RANK.EQ(AV11,$AV$2:$AV$111)&lt;='Tournament Setup'!$B$34,_xlfn.RANK.EQ(AV11,$AV$2:$AV$111),""),"")</f>
        <v/>
      </c>
      <c r="AY11" s="31" t="str">
        <f>IF(AND($F11='Tournament Setup'!$A$34,SUM($Q11,$S11)=0,$E11="M",$AX11&gt;'Tournament Setup'!$B$34),$I11,"")</f>
        <v/>
      </c>
      <c r="AZ11" s="1" t="str">
        <f>IF(ISNUMBER(AY11)=TRUE,IF(_xlfn.RANK.EQ(AY11,$AY$2:$AY$111)&lt;='Tournament Setup'!$C$34,_xlfn.RANK.EQ(AY11,$AY$2:$AY$111),""),"")</f>
        <v/>
      </c>
      <c r="BA11" s="31" t="str">
        <f>IF(AND($F11='Tournament Setup'!$A$34,SUM($Q11,$U11)=0,$E11="F",$AX11&gt;'Tournament Setup'!$B$34),$I11,"")</f>
        <v/>
      </c>
      <c r="BB11" s="12" t="str">
        <f>IF(ISNUMBER(BA11)=TRUE,IF(_xlfn.RANK.EQ(BA11,$BA$2:$BA$111)&lt;='Tournament Setup'!$D$34,_xlfn.RANK.EQ(BA11,$BA$2:$BA$111),""),"")</f>
        <v/>
      </c>
      <c r="BC11" s="30" t="str">
        <f>IF(AND($G11='Tournament Setup'!$A$52,$J11&lt;&gt;0),$J11,"")</f>
        <v/>
      </c>
      <c r="BD11" s="47" t="str">
        <f>IF(ISNUMBER(BC11),IF(COUNTIFS(BD$1:BD10,_xlfn.RANK.EQ(BC11,BC$2:BC$111,0))&gt;0,_xlfn.MAXIFS(BD$1:BD10,BC$1:BC10,BC11)+1,_xlfn.RANK.EQ(BC11,BC$2:BC$111,0)),"")</f>
        <v/>
      </c>
      <c r="BE11" s="1" t="str">
        <f>IF(ISNUMBER(BC11)=TRUE,IF(_xlfn.RANK.EQ(BC11,$BC$2:$BC$111)&lt;='Tournament Setup'!$B$49,_xlfn.RANK.EQ(BC11,$BC$2:$BC$111),""),"")</f>
        <v/>
      </c>
      <c r="BF11" s="30" t="str">
        <f>IF(AND($F11='Tournament Setup'!$A$35,SUM($Q11,$S11,$U11)=0),$I11,"")</f>
        <v/>
      </c>
      <c r="BG11" s="47" t="str">
        <f>IF(ISNUMBER(BF11),IF(COUNTIFS(BG$1:BG10,_xlfn.RANK.EQ(BF11,BF$2:BF$111,0))&gt;0,_xlfn.MAXIFS(BG$1:BG10,BF$1:BF10,BF11)+1,_xlfn.RANK.EQ(BF11,BF$2:BF$111,0)),"")</f>
        <v/>
      </c>
      <c r="BH11" s="1" t="str">
        <f>IF(ISNUMBER(BF11)=TRUE,IF(_xlfn.RANK.EQ(BF11,$BF$2:$BF$111)&lt;='Tournament Setup'!$B$35,_xlfn.RANK.EQ(BF11,$BF$2:$BF$111),""),"")</f>
        <v/>
      </c>
      <c r="BI11" s="31" t="str">
        <f>IF(AND($F11='Tournament Setup'!$A$35,SUM($Q11,$S11)=0,$E11="M",$BH11&gt;'Tournament Setup'!$B$35),$I11,"")</f>
        <v/>
      </c>
      <c r="BJ11" s="1" t="str">
        <f>IF(ISNUMBER(BI11)=TRUE,IF(_xlfn.RANK.EQ(BI11,$BI$2:$BI$111)&lt;='Tournament Setup'!$C$35,_xlfn.RANK.EQ(BI11,$BI$2:$BI$111),""),"")</f>
        <v/>
      </c>
      <c r="BK11" s="31" t="str">
        <f>IF(AND($F11='Tournament Setup'!$A$35,SUM($Q11,$U11)=0,$E11="F",$BH11&gt;'Tournament Setup'!$B$35),$I11,"")</f>
        <v/>
      </c>
      <c r="BL11" s="12" t="str">
        <f>IF(ISNUMBER(BK11)=TRUE,IF(_xlfn.RANK.EQ(BK11,$BK$2:$BK$111)&lt;='Tournament Setup'!$D$35,_xlfn.RANK.EQ(BK11,$BK$2:$BK$111),""),"")</f>
        <v/>
      </c>
      <c r="BM11" s="30" t="str">
        <f>IF(AND($G11='Tournament Setup'!$A$54,$J11&lt;&gt;0),$J11,"")</f>
        <v/>
      </c>
      <c r="BN11" s="47" t="str">
        <f>IF(ISNUMBER(BM11),IF(COUNTIFS(BN$1:BN10,_xlfn.RANK.EQ(BM11,BM$2:BM$111,0))&gt;0,_xlfn.MAXIFS(BN$1:BN10,BM$1:BM10,BM11)+1,_xlfn.RANK.EQ(BM11,BM$2:BM$111,0)),"")</f>
        <v/>
      </c>
      <c r="BO11" s="1" t="str">
        <f>IF(ISNUMBER(BM11)=TRUE,IF(_xlfn.RANK.EQ(BM11,$BM$2:$BM$111)&lt;='Tournament Setup'!$B$49,_xlfn.RANK.EQ(BM11,$BM$2:$BM$111),""),"")</f>
        <v/>
      </c>
      <c r="BP11" s="30" t="str">
        <f>IF(AND($F11='Tournament Setup'!$A$36,SUM($Q11,$S11,$U11)=0),$I11,"")</f>
        <v/>
      </c>
      <c r="BQ11" s="47" t="str">
        <f>IF(ISNUMBER(BP11),IF(COUNTIFS(BQ$1:BQ10,_xlfn.RANK.EQ(BP11,BP$2:BP$111,0))&gt;0,_xlfn.MAXIFS(BQ$1:BQ10,BP$1:BP10,BP11)+1,_xlfn.RANK.EQ(BP11,BP$2:BP$111,0)),"")</f>
        <v/>
      </c>
      <c r="BR11" s="1" t="str">
        <f>IF(ISNUMBER(BP11)=TRUE,IF(_xlfn.RANK.EQ(BP11,$BP$2:$BP$111)&lt;='Tournament Setup'!$B$36,_xlfn.RANK.EQ(BP11,$BP$2:$BP$111),""),"")</f>
        <v/>
      </c>
      <c r="BS11" s="31" t="str">
        <f>IF(AND($F11='Tournament Setup'!$A$36,SUM($Q11,$S11)=0,$E11="M",$BR11&gt;'Tournament Setup'!$B$36),$I11,"")</f>
        <v/>
      </c>
      <c r="BT11" s="1" t="str">
        <f>IF(ISNUMBER(BS11)=TRUE,IF(_xlfn.RANK.EQ(BS11,$BS$2:$BS$111)&lt;='Tournament Setup'!$C$36,_xlfn.RANK.EQ(BS11,$BS$2:$BS$111),""),"")</f>
        <v/>
      </c>
      <c r="BU11" s="31" t="str">
        <f>IF(AND($F11='Tournament Setup'!$A$36,SUM($Q11,$U11)=0,$E11="F",$BR11&gt;'Tournament Setup'!$B$36),$I11,"")</f>
        <v/>
      </c>
      <c r="BV11" s="12" t="str">
        <f>IF(ISNUMBER(BU11)=TRUE,IF(_xlfn.RANK.EQ(BU11,$BU$2:$BU$111)&lt;='Tournament Setup'!$D$36,_xlfn.RANK.EQ(BU11,$BU$2:$BU$111),""),"")</f>
        <v/>
      </c>
      <c r="BW11" s="30" t="str">
        <f>IF($H11='Tournament Setup'!$A$41,$I11,"")</f>
        <v/>
      </c>
      <c r="BX11" s="47" t="str">
        <f>IF(ISNUMBER(BW11),IF(COUNTIFS(BX$1:BX10,_xlfn.RANK.EQ(BW11,BW$2:BW$111,0))&gt;0,_xlfn.MAXIFS(BX$1:BX10,BW$1:BW10,BW11)+1,_xlfn.RANK.EQ(BW11,BW$2:BW$111,0)),"")</f>
        <v/>
      </c>
      <c r="BY11" s="1" t="str">
        <f>IF(ISNUMBER(BW11)=TRUE,IF(_xlfn.RANK.EQ(BW11,$BW$2:$BW$111)&lt;='Tournament Setup'!$B$41,_xlfn.RANK.EQ(BW11,$BW$2:$BW$111),""),"")</f>
        <v/>
      </c>
      <c r="BZ11" s="31" t="str">
        <f>IF(AND($H11='Tournament Setup'!$A$41,$E11="M",$BY11&gt;'Tournament Setup'!$B$41),$I11,"")</f>
        <v/>
      </c>
      <c r="CA11" s="1" t="str">
        <f>IF(ISNUMBER(BZ11)=TRUE,IF(_xlfn.RANK.EQ(BZ11,$BZ$2:$BZ$111)&lt;='Tournament Setup'!$C$41,_xlfn.RANK.EQ(BZ11,$BZ$2:$BZ$111),""),"")</f>
        <v/>
      </c>
      <c r="CB11" s="31" t="str">
        <f>IF(AND($H11='Tournament Setup'!$A$41,$E11="F",$BY11&gt;'Tournament Setup'!$B$41),$I11,"")</f>
        <v/>
      </c>
      <c r="CC11" s="12" t="str">
        <f>IF(ISNUMBER(CB11)=TRUE,IF(_xlfn.RANK.EQ(CB11,$CB$2:$CB$111)&lt;='Tournament Setup'!$D$41,_xlfn.RANK.EQ(CB11,$CB$2:$CB$111),""),"")</f>
        <v/>
      </c>
      <c r="CD11" s="30">
        <f>IF($H11='Tournament Setup'!$A$42,$I11,"")</f>
        <v>93</v>
      </c>
      <c r="CE11" s="47">
        <f>IF(ISNUMBER(CD11),IF(COUNTIFS(CE$1:CE10,_xlfn.RANK.EQ(CD11,CD$2:CD$111,0))&gt;0,_xlfn.MAXIFS(CE$1:CE10,CD$1:CD10,CD11)+1,_xlfn.RANK.EQ(CD11,CD$2:CD$111,0)),"")</f>
        <v>3</v>
      </c>
      <c r="CF11" s="1">
        <f>IF(ISNUMBER(CD11)=TRUE,IF(_xlfn.RANK.EQ(CD11,$CD$2:$CD$111)&lt;='Tournament Setup'!$B$42,_xlfn.RANK.EQ(CD11,$CD$2:$CD$111),""),"")</f>
        <v>3</v>
      </c>
      <c r="CG11" s="31" t="str">
        <f>IF(AND($H11='Tournament Setup'!$A$42,$E11="M",$CF11&gt;'Tournament Setup'!$B$42),$I11,"")</f>
        <v/>
      </c>
      <c r="CH11" s="1" t="str">
        <f>IF(ISNUMBER(CG11)=TRUE,IF(_xlfn.RANK.EQ(CG11,$CG$2:$CG$111)&lt;='Tournament Setup'!$C$42,_xlfn.RANK.EQ(CG11,$CG$2:$CG$111),""),"")</f>
        <v/>
      </c>
      <c r="CI11" s="31" t="str">
        <f>IF(AND($H11='Tournament Setup'!$A$42,$E11="F",$CF11&gt;'Tournament Setup'!$B$42),$I11,"")</f>
        <v/>
      </c>
      <c r="CJ11" s="12" t="str">
        <f>IF(ISNUMBER(CI11)=TRUE,IF(_xlfn.RANK.EQ(CI11,$CI$2:$CI$111)&lt;='Tournament Setup'!$D$42,_xlfn.RANK.EQ(CI11,$CI$2:$CI$111),""),"")</f>
        <v/>
      </c>
      <c r="CK11" s="30" t="str">
        <f>IF($H11='Tournament Setup'!$A$43,$I11,"")</f>
        <v/>
      </c>
      <c r="CL11" s="47" t="str">
        <f>IF(ISNUMBER(CK11),IF(COUNTIFS(CL$1:CL10,_xlfn.RANK.EQ(CK11,CK$2:CK$111,0))&gt;0,_xlfn.MAXIFS(CL$1:CL10,CK$1:CK10,CK11)+1,_xlfn.RANK.EQ(CK11,CK$2:CK$111,0)),"")</f>
        <v/>
      </c>
      <c r="CM11" s="1" t="str">
        <f>IF(ISNUMBER(CK11)=TRUE,IF(_xlfn.RANK.EQ(CK11,$CK$2:$CK$111)&lt;='Tournament Setup'!$B$43,_xlfn.RANK.EQ(CK11,$CK$2:$CK$111),""),"")</f>
        <v/>
      </c>
      <c r="CN11" s="31" t="str">
        <f>IF(AND($H11='Tournament Setup'!$A$43,$E11="M",$CM11&gt;'Tournament Setup'!$B$43),$I11,"")</f>
        <v/>
      </c>
      <c r="CO11" s="1" t="str">
        <f>IF(ISNUMBER(CN11)=TRUE,IF(_xlfn.RANK.EQ(CN11,$CN$2:$CN$111)&lt;='Tournament Setup'!$C$43,_xlfn.RANK.EQ(CN11,$CN$2:$CN$111),""),"")</f>
        <v/>
      </c>
      <c r="CP11" s="31" t="str">
        <f>IF(AND($H11='Tournament Setup'!$A$43,$E11="F",$CM11&gt;'Tournament Setup'!$B$43),$I11,"")</f>
        <v/>
      </c>
      <c r="CQ11" s="12" t="str">
        <f>IF(ISNUMBER(CP11)=TRUE,IF(_xlfn.RANK.EQ(CP11,$CP$2:$CP$111)&lt;='Tournament Setup'!$D$43,_xlfn.RANK.EQ(CP11,$CP$2:$CP$111),""),"")</f>
        <v/>
      </c>
      <c r="CR11" s="30" t="str">
        <f>IF($H11='Tournament Setup'!$A$44,$I11,"")</f>
        <v/>
      </c>
      <c r="CS11" s="47" t="str">
        <f>IF(ISNUMBER(CR11),IF(COUNTIFS(CS$1:CS10,_xlfn.RANK.EQ(CR11,CR$2:CR$111,0))&gt;0,_xlfn.MAXIFS(CS$1:CS10,CR$1:CR10,CR11)+1,_xlfn.RANK.EQ(CR11,CR$2:CR$111,0)),"")</f>
        <v/>
      </c>
      <c r="CT11" s="1" t="str">
        <f>IF(ISNUMBER(CR11)=TRUE,IF(_xlfn.RANK.EQ(CR11,$CR$2:$CR$111)&lt;='Tournament Setup'!$B$44,_xlfn.RANK.EQ(CR11,$CR$2:$CR$111),""),"")</f>
        <v/>
      </c>
      <c r="CU11" s="31" t="str">
        <f>IF(AND($H11='Tournament Setup'!$A$44,$E11="M",$CT11&gt;'Tournament Setup'!$B$44),$I11,"")</f>
        <v/>
      </c>
      <c r="CV11" s="1" t="str">
        <f>IF(ISNUMBER(CU11)=TRUE,IF(_xlfn.RANK.EQ(CU11,$CU$2:$CU$111)&lt;='Tournament Setup'!$C$44,_xlfn.RANK.EQ(CU11,$CU$2:$CU$111),""),"")</f>
        <v/>
      </c>
      <c r="CW11" s="31" t="str">
        <f>IF(AND($H11='Tournament Setup'!$A$44,$E11="F",$CT11&gt;'Tournament Setup'!$B$44),$I11,"")</f>
        <v/>
      </c>
      <c r="CX11" s="12" t="str">
        <f>IF(ISNUMBER(CW11)=TRUE,IF(_xlfn.RANK.EQ(CW11,$CW$2:$CW$111)&lt;='Tournament Setup'!$D$44,_xlfn.RANK.EQ(CW11,$CW$2:$CW$111),""),"")</f>
        <v/>
      </c>
    </row>
    <row r="12" spans="1:102" x14ac:dyDescent="0.3">
      <c r="A12" t="s">
        <v>47</v>
      </c>
      <c r="B12" t="str">
        <f>IFERROR(INDEX('Tournament List'!$B:$B,MATCH($A12,'Tournament List'!$A:$A,0)),"")</f>
        <v>Bill</v>
      </c>
      <c r="C12" t="str">
        <f>IFERROR(INDEX('Tournament List'!$C:$C,MATCH($A12,'Tournament List'!$A:$A,0)),"")</f>
        <v>Last Name11</v>
      </c>
      <c r="D12" t="str">
        <f t="shared" si="0"/>
        <v>Bill Last Name11</v>
      </c>
      <c r="E12" s="1" t="str">
        <f>IFERROR(INDEX('Tournament List'!F:F,MATCH($A12,'Tournament List'!$A:$A,0)),"")</f>
        <v>M</v>
      </c>
      <c r="F12" t="str">
        <f>IFERROR(INDEX('Tournament List'!M:M,MATCH($A12,'Tournament List'!$A:$A,0)),"")</f>
        <v>Junior Varsity</v>
      </c>
      <c r="G12" t="str">
        <f>IFERROR(INDEX('Shooter-Squad Assignment'!L:L,MATCH(A12,'Shooter-Squad Assignment'!A:A,0)),"")</f>
        <v>Junior Varsity</v>
      </c>
      <c r="H12" s="1" t="str">
        <f>IFERROR(INDEX('Tournament List'!AD:AD,MATCH($A12,'Tournament List'!$A:$A,0)),"")</f>
        <v>B</v>
      </c>
      <c r="I12" s="123">
        <f>IFERROR(INDEX('Tournament List'!AG:AG,MATCH($A12,'Tournament List'!$A:$A,0)),"")</f>
        <v>98</v>
      </c>
      <c r="J12" s="145" t="str">
        <f>IFERROR(INDEX('Tournament List'!Y:Y,MATCH($A12,'Tournament List'!$A:$A,0)),"")</f>
        <v/>
      </c>
      <c r="K12" s="47">
        <f>IFERROR(INDEX('Tournament List'!S:S,MATCH(A12,'Tournament List'!A:A,0)),"")</f>
        <v>7</v>
      </c>
      <c r="L12" s="47" t="str">
        <f>IF(ISNUMBER(J12),IF(COUNTIFS(L$1:L11,_xlfn.RANK.EQ(J12,J$2:J$111,0))&gt;0,_xlfn.MAXIFS(L$1:L11,J$1:J11,J12)+1,_xlfn.RANK.EQ(J12,J$2:J$111,0)),"")</f>
        <v/>
      </c>
      <c r="M12" s="11">
        <f>IF(ISNUMBER(I12)=TRUE,IF(I12&gt;0,_xlfn.RANK.EQ(I12,$I$2:$I$111,0),""),"")</f>
        <v>1</v>
      </c>
      <c r="N12" s="56">
        <f>IF(ISNUMBER(I12),IF(COUNTIFS(N$1:N11,_xlfn.RANK.EQ(I12,I$2:I$111,0))&gt;0,_xlfn.MAXIFS(N$1:N11,I$1:I11,I12)+1,_xlfn.RANK.EQ(I12,I$2:I$111,0)),"")</f>
        <v>1</v>
      </c>
      <c r="O12" s="144">
        <f>IF(F12&lt;&gt;"Collegiate"=TRUE,$I12,"")</f>
        <v>98</v>
      </c>
      <c r="P12" s="47">
        <f>IF(ISNUMBER(O12),IF(COUNTIFS(P$1:P11,_xlfn.RANK.EQ(O12,O$2:O$111,0))&gt;0,_xlfn.MAXIFS(P$1:P11,O$1:O11,O12)+1,_xlfn.RANK.EQ(O12,O$2:O$111,0)),"")</f>
        <v>1</v>
      </c>
      <c r="Q12" s="1">
        <f>IF(ISNUMBER(O12)=TRUE,IF(_xlfn.RANK.EQ(O12,$O$2:$O$111)&lt;='Tournament Setup'!$B$26,_xlfn.RANK.EQ(O12,$O$2:$O$111),""),"")</f>
        <v>1</v>
      </c>
      <c r="R12" s="143" t="str">
        <f>IF(AND($E12="M",SUM($Q12)=0,F12&lt;&gt;"Collegiate")=TRUE,$I12,"")</f>
        <v/>
      </c>
      <c r="S12" s="1" t="str">
        <f>IF(ISNUMBER(R12)=TRUE,IF(_xlfn.RANK.EQ(R12,$R$2:$R$111)&lt;='Tournament Setup'!$B$27,_xlfn.RANK.EQ(R12,$R$2:$R$111),""),"")</f>
        <v/>
      </c>
      <c r="T12" s="143" t="str">
        <f>IF(AND($E12="F",SUM($Q12)=0,F12&lt;&gt;"Collegiate")=TRUE,$I12,"")</f>
        <v/>
      </c>
      <c r="U12" s="12" t="str">
        <f>IF(ISNUMBER(T12)=TRUE,IF(_xlfn.RANK.EQ(T12,$T$2:$T$111)&lt;='Tournament Setup'!$B$28,_xlfn.RANK.EQ(T12,$T$2:$T$111),""),"")</f>
        <v/>
      </c>
      <c r="V12" s="145" t="str">
        <f>IF(AND($G12='Tournament Setup'!$A$53,$J12&lt;&gt;0),$J12,"")</f>
        <v/>
      </c>
      <c r="W12" s="47" t="str">
        <f>IF(ISNUMBER(V12),IF(COUNTIFS(W$1:W11,_xlfn.RANK.EQ(V12,V$2:V$111,0))&gt;0,_xlfn.MAXIFS(W$1:W11,V$1:V11,V12)+1,_xlfn.RANK.EQ(V12,V$2:V$111,0)),"")</f>
        <v/>
      </c>
      <c r="X12" s="1" t="str">
        <f>IF(ISNUMBER(V12)=TRUE,IF(_xlfn.RANK.EQ(V12,$V$2:$V$111)&lt;='Tournament Setup'!$B$53,_xlfn.RANK.EQ(V12,$V$2:$V$111),""),"")</f>
        <v/>
      </c>
      <c r="Y12" s="145" t="str">
        <f>IF(AND($G12='Tournament Setup'!$A$49,$J12&lt;&gt;0),$J12,"")</f>
        <v/>
      </c>
      <c r="Z12" s="47" t="str">
        <f>IF(ISNUMBER(Y12),IF(COUNTIFS(Z$1:Z11,_xlfn.RANK.EQ(Y12,Y$2:Y$111,0))&gt;0,_xlfn.MAXIFS(Z$1:Z11,Y$1:Y11,Y12)+1,_xlfn.RANK.EQ(Y12,Y$2:Y$111,0)),"")</f>
        <v/>
      </c>
      <c r="AA12" s="1" t="str">
        <f>IF(ISNUMBER(Y12)=TRUE,IF(_xlfn.RANK.EQ(Y12,$Y$2:$Y$111)&lt;='Tournament Setup'!$B$49,_xlfn.RANK.EQ(Y12,$Y$2:$Y$111),""),"")</f>
        <v/>
      </c>
      <c r="AB12" s="30" t="str">
        <f>IF(AND($F12='Tournament Setup'!$A$32,SUM($Q12,$S12,$U12)=0),$I12,"")</f>
        <v/>
      </c>
      <c r="AC12" s="47" t="str">
        <f>IF(ISNUMBER(AB12),IF(COUNTIFS(AC$1:AC11,_xlfn.RANK.EQ(AB12,AB$2:AB$111,0))&gt;0,_xlfn.MAXIFS(AC$1:AC11,AB$1:AB11,AB12)+1,_xlfn.RANK.EQ(AB12,AB$2:AB$111,0)),"")</f>
        <v/>
      </c>
      <c r="AD12" s="1" t="str">
        <f>IF(ISNUMBER(AB12)=TRUE,IF(_xlfn.RANK.EQ(AB12,$AB$2:$AB$111)&lt;='Tournament Setup'!$B$32,_xlfn.RANK.EQ(AB12,$AB$2:$AB$111),""),"")</f>
        <v/>
      </c>
      <c r="AE12" s="31" t="str">
        <f>IF(AND($F12='Tournament Setup'!$A$32,SUM($Q12,$S12)=0,$E12="M",$AD12&gt;'Tournament Setup'!$B$32),$I12,"")</f>
        <v/>
      </c>
      <c r="AF12" s="1" t="str">
        <f>IF(ISNUMBER(AE12)=TRUE,IF(_xlfn.RANK.EQ(AE12,$AE$2:$AE$111)&lt;='Tournament Setup'!$C$32,_xlfn.RANK.EQ(AE12,$AE$2:$AE$111),""),"")</f>
        <v/>
      </c>
      <c r="AG12" s="31" t="str">
        <f>IF(AND($F12='Tournament Setup'!$A$32,SUM($Q12,$U12)=0,$E12="F",$AD12&gt;'Tournament Setup'!$B$32),$I12,"")</f>
        <v/>
      </c>
      <c r="AH12" s="12" t="str">
        <f>IF(ISNUMBER(AG12)=TRUE,IF(_xlfn.RANK.EQ(AG12,$AG$2:$AG$111)&lt;='Tournament Setup'!$D$32,_xlfn.RANK.EQ(AG12,$AG$2:$AG$111),""),"")</f>
        <v/>
      </c>
      <c r="AI12" s="30" t="str">
        <f>IF(AND($G12='Tournament Setup'!$A$50,$J12&lt;&gt;0),$J12,"")</f>
        <v/>
      </c>
      <c r="AJ12" s="47" t="str">
        <f>IF(ISNUMBER(AI12),IF(COUNTIFS(AJ$1:AJ11,_xlfn.RANK.EQ(AI12,AI$2:AI$111,0))&gt;0,_xlfn.MAXIFS(AJ$1:AJ11,AI$1:AI11,AI12)+1,_xlfn.RANK.EQ(AI12,AI$2:AI$111,0)),"")</f>
        <v/>
      </c>
      <c r="AK12" s="1" t="str">
        <f>IF(ISNUMBER(AI12)=TRUE,IF(_xlfn.RANK.EQ(AI12,$AI$2:$AI$111)&lt;='Tournament Setup'!$B$49,_xlfn.RANK.EQ(AI12,$AI$2:$AI$111),""),"")</f>
        <v/>
      </c>
      <c r="AL12" s="30" t="str">
        <f>IF(AND($F12='Tournament Setup'!$A$33,SUM($Q12,$S12,$U12)=0),$I12,"")</f>
        <v/>
      </c>
      <c r="AM12" s="47" t="str">
        <f>IF(ISNUMBER(AL12),IF(COUNTIFS(AM$1:AM11,_xlfn.RANK.EQ(AL12,AL$2:AL$111,0))&gt;0,_xlfn.MAXIFS(AM$1:AM11,AL$1:AL11,AL12)+1,_xlfn.RANK.EQ(AL12,AL$2:AL$111,0)),"")</f>
        <v/>
      </c>
      <c r="AN12" s="1" t="str">
        <f>IF(ISNUMBER(AL12)=TRUE,IF(_xlfn.RANK.EQ(AL12,$AL$2:$AL$111)&lt;='Tournament Setup'!$B$33,_xlfn.RANK.EQ(AL12,$AL$2:$AL$111),""),"")</f>
        <v/>
      </c>
      <c r="AO12" s="31" t="str">
        <f>IF(AND($F12='Tournament Setup'!$A$33,SUM($Q12,$S12)=0,$E12="M",$AN12&gt;'Tournament Setup'!$B$33),$I12,"")</f>
        <v/>
      </c>
      <c r="AP12" s="1" t="str">
        <f>IF(ISNUMBER(AO12)=TRUE,IF(_xlfn.RANK.EQ(AO12,$AO$2:$AO$111)&lt;='Tournament Setup'!$C$33,_xlfn.RANK.EQ(AO12,$AO$2:$AO$111),""),"")</f>
        <v/>
      </c>
      <c r="AQ12" s="31" t="str">
        <f>IF(AND($F12='Tournament Setup'!$A$33,SUM($Q12,$U12)=0,$E12="F",$AN12&gt;'Tournament Setup'!$B$33),$I12,"")</f>
        <v/>
      </c>
      <c r="AR12" s="12" t="str">
        <f>IF(ISNUMBER(AQ12)=TRUE,IF(_xlfn.RANK.EQ(AQ12,$AQ$2:$AQ$111)&lt;='Tournament Setup'!$D$33,_xlfn.RANK.EQ(AQ12,$AQ$2:$AQ$111),""),"")</f>
        <v/>
      </c>
      <c r="AS12" s="30" t="str">
        <f>IF(AND($G12='Tournament Setup'!$A$51,$J12&lt;&gt;0),$J12,"")</f>
        <v/>
      </c>
      <c r="AT12" s="47" t="str">
        <f>IF(ISNUMBER(AS12),IF(COUNTIFS(AT$1:AT11,_xlfn.RANK.EQ(AS12,AS$2:AS$111,0))&gt;0,_xlfn.MAXIFS(AT$1:AT11,AS$1:AS11,AS12)+1,_xlfn.RANK.EQ(AS12,AS$2:AS$111,0)),"")</f>
        <v/>
      </c>
      <c r="AU12" s="1" t="str">
        <f>IF(ISNUMBER(AS12)=TRUE,IF(_xlfn.RANK.EQ(AS12,$AS$2:$AS$111)&lt;='Tournament Setup'!$B$49,_xlfn.RANK.EQ(AS12,$AS$2:$AS$111),""),"")</f>
        <v/>
      </c>
      <c r="AV12" s="30" t="str">
        <f>IF(AND($F12='Tournament Setup'!$A$34,SUM($Q12,$S12,$U12)=0),$I12,"")</f>
        <v/>
      </c>
      <c r="AW12" s="47" t="str">
        <f>IF(ISNUMBER(AV12),IF(COUNTIFS(AW$1:AW11,_xlfn.RANK.EQ(AV12,AV$2:AV$111,0))&gt;0,_xlfn.MAXIFS(AW$1:AW11,AV$1:AV11,AV12)+1,_xlfn.RANK.EQ(AV12,AV$2:AV$111,0)),"")</f>
        <v/>
      </c>
      <c r="AX12" s="1" t="str">
        <f>IF(ISNUMBER(AV12)=TRUE,IF(_xlfn.RANK.EQ(AV12,$AV$2:$AV$111)&lt;='Tournament Setup'!$B$34,_xlfn.RANK.EQ(AV12,$AV$2:$AV$111),""),"")</f>
        <v/>
      </c>
      <c r="AY12" s="31" t="str">
        <f>IF(AND($F12='Tournament Setup'!$A$34,SUM($Q12,$S12)=0,$E12="M",$AX12&gt;'Tournament Setup'!$B$34),$I12,"")</f>
        <v/>
      </c>
      <c r="AZ12" s="1" t="str">
        <f>IF(ISNUMBER(AY12)=TRUE,IF(_xlfn.RANK.EQ(AY12,$AY$2:$AY$111)&lt;='Tournament Setup'!$C$34,_xlfn.RANK.EQ(AY12,$AY$2:$AY$111),""),"")</f>
        <v/>
      </c>
      <c r="BA12" s="31" t="str">
        <f>IF(AND($F12='Tournament Setup'!$A$34,SUM($Q12,$U12)=0,$E12="F",$AX12&gt;'Tournament Setup'!$B$34),$I12,"")</f>
        <v/>
      </c>
      <c r="BB12" s="12" t="str">
        <f>IF(ISNUMBER(BA12)=TRUE,IF(_xlfn.RANK.EQ(BA12,$BA$2:$BA$111)&lt;='Tournament Setup'!$D$34,_xlfn.RANK.EQ(BA12,$BA$2:$BA$111),""),"")</f>
        <v/>
      </c>
      <c r="BC12" s="30" t="str">
        <f>IF(AND($G12='Tournament Setup'!$A$52,$J12&lt;&gt;0),$J12,"")</f>
        <v/>
      </c>
      <c r="BD12" s="47" t="str">
        <f>IF(ISNUMBER(BC12),IF(COUNTIFS(BD$1:BD11,_xlfn.RANK.EQ(BC12,BC$2:BC$111,0))&gt;0,_xlfn.MAXIFS(BD$1:BD11,BC$1:BC11,BC12)+1,_xlfn.RANK.EQ(BC12,BC$2:BC$111,0)),"")</f>
        <v/>
      </c>
      <c r="BE12" s="1" t="str">
        <f>IF(ISNUMBER(BC12)=TRUE,IF(_xlfn.RANK.EQ(BC12,$BC$2:$BC$111)&lt;='Tournament Setup'!$B$49,_xlfn.RANK.EQ(BC12,$BC$2:$BC$111),""),"")</f>
        <v/>
      </c>
      <c r="BF12" s="30" t="str">
        <f>IF(AND($F12='Tournament Setup'!$A$35,SUM($Q12,$S12,$U12)=0),$I12,"")</f>
        <v/>
      </c>
      <c r="BG12" s="47" t="str">
        <f>IF(ISNUMBER(BF12),IF(COUNTIFS(BG$1:BG11,_xlfn.RANK.EQ(BF12,BF$2:BF$111,0))&gt;0,_xlfn.MAXIFS(BG$1:BG11,BF$1:BF11,BF12)+1,_xlfn.RANK.EQ(BF12,BF$2:BF$111,0)),"")</f>
        <v/>
      </c>
      <c r="BH12" s="1" t="str">
        <f>IF(ISNUMBER(BF12)=TRUE,IF(_xlfn.RANK.EQ(BF12,$BF$2:$BF$111)&lt;='Tournament Setup'!$B$35,_xlfn.RANK.EQ(BF12,$BF$2:$BF$111),""),"")</f>
        <v/>
      </c>
      <c r="BI12" s="31" t="str">
        <f>IF(AND($F12='Tournament Setup'!$A$35,SUM($Q12,$S12)=0,$E12="M",$BH12&gt;'Tournament Setup'!$B$35),$I12,"")</f>
        <v/>
      </c>
      <c r="BJ12" s="1" t="str">
        <f>IF(ISNUMBER(BI12)=TRUE,IF(_xlfn.RANK.EQ(BI12,$BI$2:$BI$111)&lt;='Tournament Setup'!$C$35,_xlfn.RANK.EQ(BI12,$BI$2:$BI$111),""),"")</f>
        <v/>
      </c>
      <c r="BK12" s="31" t="str">
        <f>IF(AND($F12='Tournament Setup'!$A$35,SUM($Q12,$U12)=0,$E12="F",$BH12&gt;'Tournament Setup'!$B$35),$I12,"")</f>
        <v/>
      </c>
      <c r="BL12" s="12" t="str">
        <f>IF(ISNUMBER(BK12)=TRUE,IF(_xlfn.RANK.EQ(BK12,$BK$2:$BK$111)&lt;='Tournament Setup'!$D$35,_xlfn.RANK.EQ(BK12,$BK$2:$BK$111),""),"")</f>
        <v/>
      </c>
      <c r="BM12" s="30" t="str">
        <f>IF(AND($G12='Tournament Setup'!$A$54,$J12&lt;&gt;0),$J12,"")</f>
        <v/>
      </c>
      <c r="BN12" s="47" t="str">
        <f>IF(ISNUMBER(BM12),IF(COUNTIFS(BN$1:BN11,_xlfn.RANK.EQ(BM12,BM$2:BM$111,0))&gt;0,_xlfn.MAXIFS(BN$1:BN11,BM$1:BM11,BM12)+1,_xlfn.RANK.EQ(BM12,BM$2:BM$111,0)),"")</f>
        <v/>
      </c>
      <c r="BO12" s="1" t="str">
        <f>IF(ISNUMBER(BM12)=TRUE,IF(_xlfn.RANK.EQ(BM12,$BM$2:$BM$111)&lt;='Tournament Setup'!$B$49,_xlfn.RANK.EQ(BM12,$BM$2:$BM$111),""),"")</f>
        <v/>
      </c>
      <c r="BP12" s="30" t="str">
        <f>IF(AND($F12='Tournament Setup'!$A$36,SUM($Q12,$S12,$U12)=0),$I12,"")</f>
        <v/>
      </c>
      <c r="BQ12" s="47" t="str">
        <f>IF(ISNUMBER(BP12),IF(COUNTIFS(BQ$1:BQ11,_xlfn.RANK.EQ(BP12,BP$2:BP$111,0))&gt;0,_xlfn.MAXIFS(BQ$1:BQ11,BP$1:BP11,BP12)+1,_xlfn.RANK.EQ(BP12,BP$2:BP$111,0)),"")</f>
        <v/>
      </c>
      <c r="BR12" s="1" t="str">
        <f>IF(ISNUMBER(BP12)=TRUE,IF(_xlfn.RANK.EQ(BP12,$BP$2:$BP$111)&lt;='Tournament Setup'!$B$36,_xlfn.RANK.EQ(BP12,$BP$2:$BP$111),""),"")</f>
        <v/>
      </c>
      <c r="BS12" s="31" t="str">
        <f>IF(AND($F12='Tournament Setup'!$A$36,SUM($Q12,$S12)=0,$E12="M",$BR12&gt;'Tournament Setup'!$B$36),$I12,"")</f>
        <v/>
      </c>
      <c r="BT12" s="1" t="str">
        <f>IF(ISNUMBER(BS12)=TRUE,IF(_xlfn.RANK.EQ(BS12,$BS$2:$BS$111)&lt;='Tournament Setup'!$C$36,_xlfn.RANK.EQ(BS12,$BS$2:$BS$111),""),"")</f>
        <v/>
      </c>
      <c r="BU12" s="31" t="str">
        <f>IF(AND($F12='Tournament Setup'!$A$36,SUM($Q12,$U12)=0,$E12="F",$BR12&gt;'Tournament Setup'!$B$36),$I12,"")</f>
        <v/>
      </c>
      <c r="BV12" s="12" t="str">
        <f>IF(ISNUMBER(BU12)=TRUE,IF(_xlfn.RANK.EQ(BU12,$BU$2:$BU$111)&lt;='Tournament Setup'!$D$36,_xlfn.RANK.EQ(BU12,$BU$2:$BU$111),""),"")</f>
        <v/>
      </c>
      <c r="BW12" s="30" t="str">
        <f>IF($H12='Tournament Setup'!$A$41,$I12,"")</f>
        <v/>
      </c>
      <c r="BX12" s="47" t="str">
        <f>IF(ISNUMBER(BW12),IF(COUNTIFS(BX$1:BX11,_xlfn.RANK.EQ(BW12,BW$2:BW$111,0))&gt;0,_xlfn.MAXIFS(BX$1:BX11,BW$1:BW11,BW12)+1,_xlfn.RANK.EQ(BW12,BW$2:BW$111,0)),"")</f>
        <v/>
      </c>
      <c r="BY12" s="1" t="str">
        <f>IF(ISNUMBER(BW12)=TRUE,IF(_xlfn.RANK.EQ(BW12,$BW$2:$BW$111)&lt;='Tournament Setup'!$B$41,_xlfn.RANK.EQ(BW12,$BW$2:$BW$111),""),"")</f>
        <v/>
      </c>
      <c r="BZ12" s="31" t="str">
        <f>IF(AND($H12='Tournament Setup'!$A$41,$E12="M",$BY12&gt;'Tournament Setup'!$B$41),$I12,"")</f>
        <v/>
      </c>
      <c r="CA12" s="1" t="str">
        <f>IF(ISNUMBER(BZ12)=TRUE,IF(_xlfn.RANK.EQ(BZ12,$BZ$2:$BZ$111)&lt;='Tournament Setup'!$C$41,_xlfn.RANK.EQ(BZ12,$BZ$2:$BZ$111),""),"")</f>
        <v/>
      </c>
      <c r="CB12" s="31" t="str">
        <f>IF(AND($H12='Tournament Setup'!$A$41,$E12="F",$BY12&gt;'Tournament Setup'!$B$41),$I12,"")</f>
        <v/>
      </c>
      <c r="CC12" s="12" t="str">
        <f>IF(ISNUMBER(CB12)=TRUE,IF(_xlfn.RANK.EQ(CB12,$CB$2:$CB$111)&lt;='Tournament Setup'!$D$41,_xlfn.RANK.EQ(CB12,$CB$2:$CB$111),""),"")</f>
        <v/>
      </c>
      <c r="CD12" s="30">
        <f>IF($H12='Tournament Setup'!$A$42,$I12,"")</f>
        <v>98</v>
      </c>
      <c r="CE12" s="47">
        <f>IF(ISNUMBER(CD12),IF(COUNTIFS(CE$1:CE11,_xlfn.RANK.EQ(CD12,CD$2:CD$111,0))&gt;0,_xlfn.MAXIFS(CE$1:CE11,CD$1:CD11,CD12)+1,_xlfn.RANK.EQ(CD12,CD$2:CD$111,0)),"")</f>
        <v>1</v>
      </c>
      <c r="CF12" s="1">
        <f>IF(ISNUMBER(CD12)=TRUE,IF(_xlfn.RANK.EQ(CD12,$CD$2:$CD$111)&lt;='Tournament Setup'!$B$42,_xlfn.RANK.EQ(CD12,$CD$2:$CD$111),""),"")</f>
        <v>1</v>
      </c>
      <c r="CG12" s="31" t="str">
        <f>IF(AND($H12='Tournament Setup'!$A$42,$E12="M",$CF12&gt;'Tournament Setup'!$B$42),$I12,"")</f>
        <v/>
      </c>
      <c r="CH12" s="1" t="str">
        <f>IF(ISNUMBER(CG12)=TRUE,IF(_xlfn.RANK.EQ(CG12,$CG$2:$CG$111)&lt;='Tournament Setup'!$C$42,_xlfn.RANK.EQ(CG12,$CG$2:$CG$111),""),"")</f>
        <v/>
      </c>
      <c r="CI12" s="31" t="str">
        <f>IF(AND($H12='Tournament Setup'!$A$42,$E12="F",$CF12&gt;'Tournament Setup'!$B$42),$I12,"")</f>
        <v/>
      </c>
      <c r="CJ12" s="12" t="str">
        <f>IF(ISNUMBER(CI12)=TRUE,IF(_xlfn.RANK.EQ(CI12,$CI$2:$CI$111)&lt;='Tournament Setup'!$D$42,_xlfn.RANK.EQ(CI12,$CI$2:$CI$111),""),"")</f>
        <v/>
      </c>
      <c r="CK12" s="30" t="str">
        <f>IF($H12='Tournament Setup'!$A$43,$I12,"")</f>
        <v/>
      </c>
      <c r="CL12" s="47" t="str">
        <f>IF(ISNUMBER(CK12),IF(COUNTIFS(CL$1:CL11,_xlfn.RANK.EQ(CK12,CK$2:CK$111,0))&gt;0,_xlfn.MAXIFS(CL$1:CL11,CK$1:CK11,CK12)+1,_xlfn.RANK.EQ(CK12,CK$2:CK$111,0)),"")</f>
        <v/>
      </c>
      <c r="CM12" s="1" t="str">
        <f>IF(ISNUMBER(CK12)=TRUE,IF(_xlfn.RANK.EQ(CK12,$CK$2:$CK$111)&lt;='Tournament Setup'!$B$43,_xlfn.RANK.EQ(CK12,$CK$2:$CK$111),""),"")</f>
        <v/>
      </c>
      <c r="CN12" s="31" t="str">
        <f>IF(AND($H12='Tournament Setup'!$A$43,$E12="M",$CM12&gt;'Tournament Setup'!$B$43),$I12,"")</f>
        <v/>
      </c>
      <c r="CO12" s="1" t="str">
        <f>IF(ISNUMBER(CN12)=TRUE,IF(_xlfn.RANK.EQ(CN12,$CN$2:$CN$111)&lt;='Tournament Setup'!$C$43,_xlfn.RANK.EQ(CN12,$CN$2:$CN$111),""),"")</f>
        <v/>
      </c>
      <c r="CP12" s="31" t="str">
        <f>IF(AND($H12='Tournament Setup'!$A$43,$E12="F",$CM12&gt;'Tournament Setup'!$B$43),$I12,"")</f>
        <v/>
      </c>
      <c r="CQ12" s="12" t="str">
        <f>IF(ISNUMBER(CP12)=TRUE,IF(_xlfn.RANK.EQ(CP12,$CP$2:$CP$111)&lt;='Tournament Setup'!$D$43,_xlfn.RANK.EQ(CP12,$CP$2:$CP$111),""),"")</f>
        <v/>
      </c>
      <c r="CR12" s="30" t="str">
        <f>IF($H12='Tournament Setup'!$A$44,$I12,"")</f>
        <v/>
      </c>
      <c r="CS12" s="47" t="str">
        <f>IF(ISNUMBER(CR12),IF(COUNTIFS(CS$1:CS11,_xlfn.RANK.EQ(CR12,CR$2:CR$111,0))&gt;0,_xlfn.MAXIFS(CS$1:CS11,CR$1:CR11,CR12)+1,_xlfn.RANK.EQ(CR12,CR$2:CR$111,0)),"")</f>
        <v/>
      </c>
      <c r="CT12" s="1" t="str">
        <f>IF(ISNUMBER(CR12)=TRUE,IF(_xlfn.RANK.EQ(CR12,$CR$2:$CR$111)&lt;='Tournament Setup'!$B$44,_xlfn.RANK.EQ(CR12,$CR$2:$CR$111),""),"")</f>
        <v/>
      </c>
      <c r="CU12" s="31" t="str">
        <f>IF(AND($H12='Tournament Setup'!$A$44,$E12="M",$CT12&gt;'Tournament Setup'!$B$44),$I12,"")</f>
        <v/>
      </c>
      <c r="CV12" s="1" t="str">
        <f>IF(ISNUMBER(CU12)=TRUE,IF(_xlfn.RANK.EQ(CU12,$CU$2:$CU$111)&lt;='Tournament Setup'!$C$44,_xlfn.RANK.EQ(CU12,$CU$2:$CU$111),""),"")</f>
        <v/>
      </c>
      <c r="CW12" s="31" t="str">
        <f>IF(AND($H12='Tournament Setup'!$A$44,$E12="F",$CT12&gt;'Tournament Setup'!$B$44),$I12,"")</f>
        <v/>
      </c>
      <c r="CX12" s="12" t="str">
        <f>IF(ISNUMBER(CW12)=TRUE,IF(_xlfn.RANK.EQ(CW12,$CW$2:$CW$111)&lt;='Tournament Setup'!$D$44,_xlfn.RANK.EQ(CW12,$CW$2:$CW$111),""),"")</f>
        <v/>
      </c>
    </row>
    <row r="13" spans="1:102" x14ac:dyDescent="0.3">
      <c r="A13" t="s">
        <v>48</v>
      </c>
      <c r="B13" t="str">
        <f>IFERROR(INDEX('Tournament List'!$B:$B,MATCH($A13,'Tournament List'!$A:$A,0)),"")</f>
        <v>Bob</v>
      </c>
      <c r="C13" t="str">
        <f>IFERROR(INDEX('Tournament List'!$C:$C,MATCH($A13,'Tournament List'!$A:$A,0)),"")</f>
        <v>Last Name12</v>
      </c>
      <c r="D13" t="str">
        <f t="shared" si="0"/>
        <v>Bob Last Name12</v>
      </c>
      <c r="E13" s="1" t="str">
        <f>IFERROR(INDEX('Tournament List'!F:F,MATCH($A13,'Tournament List'!$A:$A,0)),"")</f>
        <v>M</v>
      </c>
      <c r="F13" t="str">
        <f>IFERROR(INDEX('Tournament List'!M:M,MATCH($A13,'Tournament List'!$A:$A,0)),"")</f>
        <v>Collegiate</v>
      </c>
      <c r="G13" t="str">
        <f>IFERROR(INDEX('Shooter-Squad Assignment'!L:L,MATCH(A13,'Shooter-Squad Assignment'!A:A,0)),"")</f>
        <v>Collegiate</v>
      </c>
      <c r="H13" s="1" t="str">
        <f>IFERROR(INDEX('Tournament List'!AD:AD,MATCH($A13,'Tournament List'!$A:$A,0)),"")</f>
        <v>C</v>
      </c>
      <c r="I13" s="123">
        <f>IFERROR(INDEX('Tournament List'!AG:AG,MATCH($A13,'Tournament List'!$A:$A,0)),"")</f>
        <v>48</v>
      </c>
      <c r="J13" s="145">
        <f>IFERROR(INDEX('Tournament List'!Y:Y,MATCH($A13,'Tournament List'!$A:$A,0)),"")</f>
        <v>189</v>
      </c>
      <c r="K13" s="47">
        <f>IFERROR(INDEX('Tournament List'!S:S,MATCH(A13,'Tournament List'!A:A,0)),"")</f>
        <v>172</v>
      </c>
      <c r="L13" s="47">
        <f>IF(ISNUMBER(J13),IF(COUNTIFS(L$1:L12,_xlfn.RANK.EQ(J13,J$2:J$111,0))&gt;0,_xlfn.MAXIFS(L$1:L12,J$1:J12,J13)+1,_xlfn.RANK.EQ(J13,J$2:J$111,0)),"")</f>
        <v>8</v>
      </c>
      <c r="M13" s="11">
        <f>IF(ISNUMBER(I13)=TRUE,IF(I13&gt;0,_xlfn.RANK.EQ(I13,$I$2:$I$111,0),""),"")</f>
        <v>42</v>
      </c>
      <c r="N13" s="56">
        <f>IF(ISNUMBER(I13),IF(COUNTIFS(N$1:N12,_xlfn.RANK.EQ(I13,I$2:I$111,0))&gt;0,_xlfn.MAXIFS(N$1:N12,I$1:I12,I13)+1,_xlfn.RANK.EQ(I13,I$2:I$111,0)),"")</f>
        <v>42</v>
      </c>
      <c r="O13" s="144" t="str">
        <f>IF(F13&lt;&gt;"Collegiate"=TRUE,$I13,"")</f>
        <v/>
      </c>
      <c r="P13" s="47" t="str">
        <f>IF(ISNUMBER(O13),IF(COUNTIFS(P$1:P12,_xlfn.RANK.EQ(O13,O$2:O$111,0))&gt;0,_xlfn.MAXIFS(P$1:P12,O$1:O12,O13)+1,_xlfn.RANK.EQ(O13,O$2:O$111,0)),"")</f>
        <v/>
      </c>
      <c r="Q13" s="1" t="str">
        <f>IF(ISNUMBER(O13)=TRUE,IF(_xlfn.RANK.EQ(O13,$O$2:$O$111)&lt;='Tournament Setup'!$B$26,_xlfn.RANK.EQ(O13,$O$2:$O$111),""),"")</f>
        <v/>
      </c>
      <c r="R13" s="143" t="str">
        <f>IF(AND($E13="M",SUM($Q13)=0,F13&lt;&gt;"Collegiate")=TRUE,$I13,"")</f>
        <v/>
      </c>
      <c r="S13" s="1" t="str">
        <f>IF(ISNUMBER(R13)=TRUE,IF(_xlfn.RANK.EQ(R13,$R$2:$R$111)&lt;='Tournament Setup'!$B$27,_xlfn.RANK.EQ(R13,$R$2:$R$111),""),"")</f>
        <v/>
      </c>
      <c r="T13" s="143" t="str">
        <f>IF(AND($E13="F",SUM($Q13)=0,F13&lt;&gt;"Collegiate")=TRUE,$I13,"")</f>
        <v/>
      </c>
      <c r="U13" s="12" t="str">
        <f>IF(ISNUMBER(T13)=TRUE,IF(_xlfn.RANK.EQ(T13,$T$2:$T$111)&lt;='Tournament Setup'!$B$28,_xlfn.RANK.EQ(T13,$T$2:$T$111),""),"")</f>
        <v/>
      </c>
      <c r="V13" s="145" t="str">
        <f>IF(AND($G13='Tournament Setup'!$A$53,$J13&lt;&gt;0),$J13,"")</f>
        <v/>
      </c>
      <c r="W13" s="47" t="str">
        <f>IF(ISNUMBER(V13),IF(COUNTIFS(W$1:W12,_xlfn.RANK.EQ(V13,V$2:V$111,0))&gt;0,_xlfn.MAXIFS(W$1:W12,V$1:V12,V13)+1,_xlfn.RANK.EQ(V13,V$2:V$111,0)),"")</f>
        <v/>
      </c>
      <c r="X13" s="1" t="str">
        <f>IF(ISNUMBER(V13)=TRUE,IF(_xlfn.RANK.EQ(V13,$V$2:$V$111)&lt;='Tournament Setup'!$B$53,_xlfn.RANK.EQ(V13,$V$2:$V$111),""),"")</f>
        <v/>
      </c>
      <c r="Y13" s="145" t="str">
        <f>IF(AND($G13='Tournament Setup'!$A$49,$J13&lt;&gt;0),$J13,"")</f>
        <v/>
      </c>
      <c r="Z13" s="47" t="str">
        <f>IF(ISNUMBER(Y13),IF(COUNTIFS(Z$1:Z12,_xlfn.RANK.EQ(Y13,Y$2:Y$111,0))&gt;0,_xlfn.MAXIFS(Z$1:Z12,Y$1:Y12,Y13)+1,_xlfn.RANK.EQ(Y13,Y$2:Y$111,0)),"")</f>
        <v/>
      </c>
      <c r="AA13" s="1" t="str">
        <f>IF(ISNUMBER(Y13)=TRUE,IF(_xlfn.RANK.EQ(Y13,$Y$2:$Y$111)&lt;='Tournament Setup'!$B$49,_xlfn.RANK.EQ(Y13,$Y$2:$Y$111),""),"")</f>
        <v/>
      </c>
      <c r="AB13" s="30" t="str">
        <f>IF(AND($F13='Tournament Setup'!$A$32,SUM($Q13,$S13,$U13)=0),$I13,"")</f>
        <v/>
      </c>
      <c r="AC13" s="47" t="str">
        <f>IF(ISNUMBER(AB13),IF(COUNTIFS(AC$1:AC12,_xlfn.RANK.EQ(AB13,AB$2:AB$111,0))&gt;0,_xlfn.MAXIFS(AC$1:AC12,AB$1:AB12,AB13)+1,_xlfn.RANK.EQ(AB13,AB$2:AB$111,0)),"")</f>
        <v/>
      </c>
      <c r="AD13" s="1" t="str">
        <f>IF(ISNUMBER(AB13)=TRUE,IF(_xlfn.RANK.EQ(AB13,$AB$2:$AB$111)&lt;='Tournament Setup'!$B$32,_xlfn.RANK.EQ(AB13,$AB$2:$AB$111),""),"")</f>
        <v/>
      </c>
      <c r="AE13" s="31" t="str">
        <f>IF(AND($F13='Tournament Setup'!$A$32,SUM($Q13,$S13)=0,$E13="M",$AD13&gt;'Tournament Setup'!$B$32),$I13,"")</f>
        <v/>
      </c>
      <c r="AF13" s="1" t="str">
        <f>IF(ISNUMBER(AE13)=TRUE,IF(_xlfn.RANK.EQ(AE13,$AE$2:$AE$111)&lt;='Tournament Setup'!$C$32,_xlfn.RANK.EQ(AE13,$AE$2:$AE$111),""),"")</f>
        <v/>
      </c>
      <c r="AG13" s="31" t="str">
        <f>IF(AND($F13='Tournament Setup'!$A$32,SUM($Q13,$U13)=0,$E13="F",$AD13&gt;'Tournament Setup'!$B$32),$I13,"")</f>
        <v/>
      </c>
      <c r="AH13" s="12" t="str">
        <f>IF(ISNUMBER(AG13)=TRUE,IF(_xlfn.RANK.EQ(AG13,$AG$2:$AG$111)&lt;='Tournament Setup'!$D$32,_xlfn.RANK.EQ(AG13,$AG$2:$AG$111),""),"")</f>
        <v/>
      </c>
      <c r="AI13" s="30" t="str">
        <f>IF(AND($G13='Tournament Setup'!$A$50,$J13&lt;&gt;0),$J13,"")</f>
        <v/>
      </c>
      <c r="AJ13" s="47" t="str">
        <f>IF(ISNUMBER(AI13),IF(COUNTIFS(AJ$1:AJ12,_xlfn.RANK.EQ(AI13,AI$2:AI$111,0))&gt;0,_xlfn.MAXIFS(AJ$1:AJ12,AI$1:AI12,AI13)+1,_xlfn.RANK.EQ(AI13,AI$2:AI$111,0)),"")</f>
        <v/>
      </c>
      <c r="AK13" s="1" t="str">
        <f>IF(ISNUMBER(AI13)=TRUE,IF(_xlfn.RANK.EQ(AI13,$AI$2:$AI$111)&lt;='Tournament Setup'!$B$49,_xlfn.RANK.EQ(AI13,$AI$2:$AI$111),""),"")</f>
        <v/>
      </c>
      <c r="AL13" s="30" t="str">
        <f>IF(AND($F13='Tournament Setup'!$A$33,SUM($Q13,$S13,$U13)=0),$I13,"")</f>
        <v/>
      </c>
      <c r="AM13" s="47" t="str">
        <f>IF(ISNUMBER(AL13),IF(COUNTIFS(AM$1:AM12,_xlfn.RANK.EQ(AL13,AL$2:AL$111,0))&gt;0,_xlfn.MAXIFS(AM$1:AM12,AL$1:AL12,AL13)+1,_xlfn.RANK.EQ(AL13,AL$2:AL$111,0)),"")</f>
        <v/>
      </c>
      <c r="AN13" s="1" t="str">
        <f>IF(ISNUMBER(AL13)=TRUE,IF(_xlfn.RANK.EQ(AL13,$AL$2:$AL$111)&lt;='Tournament Setup'!$B$33,_xlfn.RANK.EQ(AL13,$AL$2:$AL$111),""),"")</f>
        <v/>
      </c>
      <c r="AO13" s="31" t="str">
        <f>IF(AND($F13='Tournament Setup'!$A$33,SUM($Q13,$S13)=0,$E13="M",$AN13&gt;'Tournament Setup'!$B$33),$I13,"")</f>
        <v/>
      </c>
      <c r="AP13" s="1" t="str">
        <f>IF(ISNUMBER(AO13)=TRUE,IF(_xlfn.RANK.EQ(AO13,$AO$2:$AO$111)&lt;='Tournament Setup'!$C$33,_xlfn.RANK.EQ(AO13,$AO$2:$AO$111),""),"")</f>
        <v/>
      </c>
      <c r="AQ13" s="31" t="str">
        <f>IF(AND($F13='Tournament Setup'!$A$33,SUM($Q13,$U13)=0,$E13="F",$AN13&gt;'Tournament Setup'!$B$33),$I13,"")</f>
        <v/>
      </c>
      <c r="AR13" s="12" t="str">
        <f>IF(ISNUMBER(AQ13)=TRUE,IF(_xlfn.RANK.EQ(AQ13,$AQ$2:$AQ$111)&lt;='Tournament Setup'!$D$33,_xlfn.RANK.EQ(AQ13,$AQ$2:$AQ$111),""),"")</f>
        <v/>
      </c>
      <c r="AS13" s="30" t="str">
        <f>IF(AND($G13='Tournament Setup'!$A$51,$J13&lt;&gt;0),$J13,"")</f>
        <v/>
      </c>
      <c r="AT13" s="47" t="str">
        <f>IF(ISNUMBER(AS13),IF(COUNTIFS(AT$1:AT12,_xlfn.RANK.EQ(AS13,AS$2:AS$111,0))&gt;0,_xlfn.MAXIFS(AT$1:AT12,AS$1:AS12,AS13)+1,_xlfn.RANK.EQ(AS13,AS$2:AS$111,0)),"")</f>
        <v/>
      </c>
      <c r="AU13" s="1" t="str">
        <f>IF(ISNUMBER(AS13)=TRUE,IF(_xlfn.RANK.EQ(AS13,$AS$2:$AS$111)&lt;='Tournament Setup'!$B$49,_xlfn.RANK.EQ(AS13,$AS$2:$AS$111),""),"")</f>
        <v/>
      </c>
      <c r="AV13" s="30" t="str">
        <f>IF(AND($F13='Tournament Setup'!$A$34,SUM($Q13,$S13,$U13)=0),$I13,"")</f>
        <v/>
      </c>
      <c r="AW13" s="47" t="str">
        <f>IF(ISNUMBER(AV13),IF(COUNTIFS(AW$1:AW12,_xlfn.RANK.EQ(AV13,AV$2:AV$111,0))&gt;0,_xlfn.MAXIFS(AW$1:AW12,AV$1:AV12,AV13)+1,_xlfn.RANK.EQ(AV13,AV$2:AV$111,0)),"")</f>
        <v/>
      </c>
      <c r="AX13" s="1" t="str">
        <f>IF(ISNUMBER(AV13)=TRUE,IF(_xlfn.RANK.EQ(AV13,$AV$2:$AV$111)&lt;='Tournament Setup'!$B$34,_xlfn.RANK.EQ(AV13,$AV$2:$AV$111),""),"")</f>
        <v/>
      </c>
      <c r="AY13" s="31" t="str">
        <f>IF(AND($F13='Tournament Setup'!$A$34,SUM($Q13,$S13)=0,$E13="M",$AX13&gt;'Tournament Setup'!$B$34),$I13,"")</f>
        <v/>
      </c>
      <c r="AZ13" s="1" t="str">
        <f>IF(ISNUMBER(AY13)=TRUE,IF(_xlfn.RANK.EQ(AY13,$AY$2:$AY$111)&lt;='Tournament Setup'!$C$34,_xlfn.RANK.EQ(AY13,$AY$2:$AY$111),""),"")</f>
        <v/>
      </c>
      <c r="BA13" s="31" t="str">
        <f>IF(AND($F13='Tournament Setup'!$A$34,SUM($Q13,$U13)=0,$E13="F",$AX13&gt;'Tournament Setup'!$B$34),$I13,"")</f>
        <v/>
      </c>
      <c r="BB13" s="12" t="str">
        <f>IF(ISNUMBER(BA13)=TRUE,IF(_xlfn.RANK.EQ(BA13,$BA$2:$BA$111)&lt;='Tournament Setup'!$D$34,_xlfn.RANK.EQ(BA13,$BA$2:$BA$111),""),"")</f>
        <v/>
      </c>
      <c r="BC13" s="30" t="str">
        <f>IF(AND($G13='Tournament Setup'!$A$52,$J13&lt;&gt;0),$J13,"")</f>
        <v/>
      </c>
      <c r="BD13" s="47" t="str">
        <f>IF(ISNUMBER(BC13),IF(COUNTIFS(BD$1:BD12,_xlfn.RANK.EQ(BC13,BC$2:BC$111,0))&gt;0,_xlfn.MAXIFS(BD$1:BD12,BC$1:BC12,BC13)+1,_xlfn.RANK.EQ(BC13,BC$2:BC$111,0)),"")</f>
        <v/>
      </c>
      <c r="BE13" s="1" t="str">
        <f>IF(ISNUMBER(BC13)=TRUE,IF(_xlfn.RANK.EQ(BC13,$BC$2:$BC$111)&lt;='Tournament Setup'!$B$49,_xlfn.RANK.EQ(BC13,$BC$2:$BC$111),""),"")</f>
        <v/>
      </c>
      <c r="BF13" s="30" t="str">
        <f>IF(AND($F13='Tournament Setup'!$A$35,SUM($Q13,$S13,$U13)=0),$I13,"")</f>
        <v/>
      </c>
      <c r="BG13" s="47" t="str">
        <f>IF(ISNUMBER(BF13),IF(COUNTIFS(BG$1:BG12,_xlfn.RANK.EQ(BF13,BF$2:BF$111,0))&gt;0,_xlfn.MAXIFS(BG$1:BG12,BF$1:BF12,BF13)+1,_xlfn.RANK.EQ(BF13,BF$2:BF$111,0)),"")</f>
        <v/>
      </c>
      <c r="BH13" s="1" t="str">
        <f>IF(ISNUMBER(BF13)=TRUE,IF(_xlfn.RANK.EQ(BF13,$BF$2:$BF$111)&lt;='Tournament Setup'!$B$35,_xlfn.RANK.EQ(BF13,$BF$2:$BF$111),""),"")</f>
        <v/>
      </c>
      <c r="BI13" s="31" t="str">
        <f>IF(AND($F13='Tournament Setup'!$A$35,SUM($Q13,$S13)=0,$E13="M",$BH13&gt;'Tournament Setup'!$B$35),$I13,"")</f>
        <v/>
      </c>
      <c r="BJ13" s="1" t="str">
        <f>IF(ISNUMBER(BI13)=TRUE,IF(_xlfn.RANK.EQ(BI13,$BI$2:$BI$111)&lt;='Tournament Setup'!$C$35,_xlfn.RANK.EQ(BI13,$BI$2:$BI$111),""),"")</f>
        <v/>
      </c>
      <c r="BK13" s="31" t="str">
        <f>IF(AND($F13='Tournament Setup'!$A$35,SUM($Q13,$U13)=0,$E13="F",$BH13&gt;'Tournament Setup'!$B$35),$I13,"")</f>
        <v/>
      </c>
      <c r="BL13" s="12" t="str">
        <f>IF(ISNUMBER(BK13)=TRUE,IF(_xlfn.RANK.EQ(BK13,$BK$2:$BK$111)&lt;='Tournament Setup'!$D$35,_xlfn.RANK.EQ(BK13,$BK$2:$BK$111),""),"")</f>
        <v/>
      </c>
      <c r="BM13" s="30">
        <f>IF(AND($G13='Tournament Setup'!$A$54,$J13&lt;&gt;0),$J13,"")</f>
        <v>189</v>
      </c>
      <c r="BN13" s="47">
        <f>IF(ISNUMBER(BM13),IF(COUNTIFS(BN$1:BN12,_xlfn.RANK.EQ(BM13,BM$2:BM$111,0))&gt;0,_xlfn.MAXIFS(BN$1:BN12,BM$1:BM12,BM13)+1,_xlfn.RANK.EQ(BM13,BM$2:BM$111,0)),"")</f>
        <v>1</v>
      </c>
      <c r="BO13" s="1">
        <f>IF(ISNUMBER(BM13)=TRUE,IF(_xlfn.RANK.EQ(BM13,$BM$2:$BM$111)&lt;='Tournament Setup'!$B$49,_xlfn.RANK.EQ(BM13,$BM$2:$BM$111),""),"")</f>
        <v>1</v>
      </c>
      <c r="BP13" s="30">
        <f>IF(AND($F13='Tournament Setup'!$A$36,SUM($Q13,$S13,$U13)=0),$I13,"")</f>
        <v>48</v>
      </c>
      <c r="BQ13" s="47">
        <f>IF(ISNUMBER(BP13),IF(COUNTIFS(BQ$1:BQ12,_xlfn.RANK.EQ(BP13,BP$2:BP$111,0))&gt;0,_xlfn.MAXIFS(BQ$1:BQ12,BP$1:BP12,BP13)+1,_xlfn.RANK.EQ(BP13,BP$2:BP$111,0)),"")</f>
        <v>4</v>
      </c>
      <c r="BR13" s="1" t="str">
        <f>IF(ISNUMBER(BP13)=TRUE,IF(_xlfn.RANK.EQ(BP13,$BP$2:$BP$111)&lt;='Tournament Setup'!$B$36,_xlfn.RANK.EQ(BP13,$BP$2:$BP$111),""),"")</f>
        <v/>
      </c>
      <c r="BS13" s="31">
        <f>IF(AND($F13='Tournament Setup'!$A$36,SUM($Q13,$S13)=0,$E13="M",$BR13&gt;'Tournament Setup'!$B$36),$I13,"")</f>
        <v>48</v>
      </c>
      <c r="BT13" s="1">
        <f>IF(ISNUMBER(BS13)=TRUE,IF(_xlfn.RANK.EQ(BS13,$BS$2:$BS$111)&lt;='Tournament Setup'!$C$36,_xlfn.RANK.EQ(BS13,$BS$2:$BS$111),""),"")</f>
        <v>1</v>
      </c>
      <c r="BU13" s="31" t="str">
        <f>IF(AND($F13='Tournament Setup'!$A$36,SUM($Q13,$U13)=0,$E13="F",$BR13&gt;'Tournament Setup'!$B$36),$I13,"")</f>
        <v/>
      </c>
      <c r="BV13" s="12" t="str">
        <f>IF(ISNUMBER(BU13)=TRUE,IF(_xlfn.RANK.EQ(BU13,$BU$2:$BU$111)&lt;='Tournament Setup'!$D$36,_xlfn.RANK.EQ(BU13,$BU$2:$BU$111),""),"")</f>
        <v/>
      </c>
      <c r="BW13" s="30" t="str">
        <f>IF($H13='Tournament Setup'!$A$41,$I13,"")</f>
        <v/>
      </c>
      <c r="BX13" s="47" t="str">
        <f>IF(ISNUMBER(BW13),IF(COUNTIFS(BX$1:BX12,_xlfn.RANK.EQ(BW13,BW$2:BW$111,0))&gt;0,_xlfn.MAXIFS(BX$1:BX12,BW$1:BW12,BW13)+1,_xlfn.RANK.EQ(BW13,BW$2:BW$111,0)),"")</f>
        <v/>
      </c>
      <c r="BY13" s="1" t="str">
        <f>IF(ISNUMBER(BW13)=TRUE,IF(_xlfn.RANK.EQ(BW13,$BW$2:$BW$111)&lt;='Tournament Setup'!$B$41,_xlfn.RANK.EQ(BW13,$BW$2:$BW$111),""),"")</f>
        <v/>
      </c>
      <c r="BZ13" s="31" t="str">
        <f>IF(AND($H13='Tournament Setup'!$A$41,$E13="M",$BY13&gt;'Tournament Setup'!$B$41),$I13,"")</f>
        <v/>
      </c>
      <c r="CA13" s="1" t="str">
        <f>IF(ISNUMBER(BZ13)=TRUE,IF(_xlfn.RANK.EQ(BZ13,$BZ$2:$BZ$111)&lt;='Tournament Setup'!$C$41,_xlfn.RANK.EQ(BZ13,$BZ$2:$BZ$111),""),"")</f>
        <v/>
      </c>
      <c r="CB13" s="31" t="str">
        <f>IF(AND($H13='Tournament Setup'!$A$41,$E13="F",$BY13&gt;'Tournament Setup'!$B$41),$I13,"")</f>
        <v/>
      </c>
      <c r="CC13" s="12" t="str">
        <f>IF(ISNUMBER(CB13)=TRUE,IF(_xlfn.RANK.EQ(CB13,$CB$2:$CB$111)&lt;='Tournament Setup'!$D$41,_xlfn.RANK.EQ(CB13,$CB$2:$CB$111),""),"")</f>
        <v/>
      </c>
      <c r="CD13" s="30" t="str">
        <f>IF($H13='Tournament Setup'!$A$42,$I13,"")</f>
        <v/>
      </c>
      <c r="CE13" s="47" t="str">
        <f>IF(ISNUMBER(CD13),IF(COUNTIFS(CE$1:CE12,_xlfn.RANK.EQ(CD13,CD$2:CD$111,0))&gt;0,_xlfn.MAXIFS(CE$1:CE12,CD$1:CD12,CD13)+1,_xlfn.RANK.EQ(CD13,CD$2:CD$111,0)),"")</f>
        <v/>
      </c>
      <c r="CF13" s="1" t="str">
        <f>IF(ISNUMBER(CD13)=TRUE,IF(_xlfn.RANK.EQ(CD13,$CD$2:$CD$111)&lt;='Tournament Setup'!$B$42,_xlfn.RANK.EQ(CD13,$CD$2:$CD$111),""),"")</f>
        <v/>
      </c>
      <c r="CG13" s="31" t="str">
        <f>IF(AND($H13='Tournament Setup'!$A$42,$E13="M",$CF13&gt;'Tournament Setup'!$B$42),$I13,"")</f>
        <v/>
      </c>
      <c r="CH13" s="1" t="str">
        <f>IF(ISNUMBER(CG13)=TRUE,IF(_xlfn.RANK.EQ(CG13,$CG$2:$CG$111)&lt;='Tournament Setup'!$C$42,_xlfn.RANK.EQ(CG13,$CG$2:$CG$111),""),"")</f>
        <v/>
      </c>
      <c r="CI13" s="31" t="str">
        <f>IF(AND($H13='Tournament Setup'!$A$42,$E13="F",$CF13&gt;'Tournament Setup'!$B$42),$I13,"")</f>
        <v/>
      </c>
      <c r="CJ13" s="12" t="str">
        <f>IF(ISNUMBER(CI13)=TRUE,IF(_xlfn.RANK.EQ(CI13,$CI$2:$CI$111)&lt;='Tournament Setup'!$D$42,_xlfn.RANK.EQ(CI13,$CI$2:$CI$111),""),"")</f>
        <v/>
      </c>
      <c r="CK13" s="30">
        <f>IF($H13='Tournament Setup'!$A$43,$I13,"")</f>
        <v>48</v>
      </c>
      <c r="CL13" s="47">
        <f>IF(ISNUMBER(CK13),IF(COUNTIFS(CL$1:CL12,_xlfn.RANK.EQ(CK13,CK$2:CK$111,0))&gt;0,_xlfn.MAXIFS(CL$1:CL12,CK$1:CK12,CK13)+1,_xlfn.RANK.EQ(CK13,CK$2:CK$111,0)),"")</f>
        <v>13</v>
      </c>
      <c r="CM13" s="1" t="str">
        <f>IF(ISNUMBER(CK13)=TRUE,IF(_xlfn.RANK.EQ(CK13,$CK$2:$CK$111)&lt;='Tournament Setup'!$B$43,_xlfn.RANK.EQ(CK13,$CK$2:$CK$111),""),"")</f>
        <v/>
      </c>
      <c r="CN13" s="31">
        <f>IF(AND($H13='Tournament Setup'!$A$43,$E13="M",$CM13&gt;'Tournament Setup'!$B$43),$I13,"")</f>
        <v>48</v>
      </c>
      <c r="CO13" s="1" t="str">
        <f>IF(ISNUMBER(CN13)=TRUE,IF(_xlfn.RANK.EQ(CN13,$CN$2:$CN$111)&lt;='Tournament Setup'!$C$43,_xlfn.RANK.EQ(CN13,$CN$2:$CN$111),""),"")</f>
        <v/>
      </c>
      <c r="CP13" s="31" t="str">
        <f>IF(AND($H13='Tournament Setup'!$A$43,$E13="F",$CM13&gt;'Tournament Setup'!$B$43),$I13,"")</f>
        <v/>
      </c>
      <c r="CQ13" s="12" t="str">
        <f>IF(ISNUMBER(CP13)=TRUE,IF(_xlfn.RANK.EQ(CP13,$CP$2:$CP$111)&lt;='Tournament Setup'!$D$43,_xlfn.RANK.EQ(CP13,$CP$2:$CP$111),""),"")</f>
        <v/>
      </c>
      <c r="CR13" s="30" t="str">
        <f>IF($H13='Tournament Setup'!$A$44,$I13,"")</f>
        <v/>
      </c>
      <c r="CS13" s="47" t="str">
        <f>IF(ISNUMBER(CR13),IF(COUNTIFS(CS$1:CS12,_xlfn.RANK.EQ(CR13,CR$2:CR$111,0))&gt;0,_xlfn.MAXIFS(CS$1:CS12,CR$1:CR12,CR13)+1,_xlfn.RANK.EQ(CR13,CR$2:CR$111,0)),"")</f>
        <v/>
      </c>
      <c r="CT13" s="1" t="str">
        <f>IF(ISNUMBER(CR13)=TRUE,IF(_xlfn.RANK.EQ(CR13,$CR$2:$CR$111)&lt;='Tournament Setup'!$B$44,_xlfn.RANK.EQ(CR13,$CR$2:$CR$111),""),"")</f>
        <v/>
      </c>
      <c r="CU13" s="31" t="str">
        <f>IF(AND($H13='Tournament Setup'!$A$44,$E13="M",$CT13&gt;'Tournament Setup'!$B$44),$I13,"")</f>
        <v/>
      </c>
      <c r="CV13" s="1" t="str">
        <f>IF(ISNUMBER(CU13)=TRUE,IF(_xlfn.RANK.EQ(CU13,$CU$2:$CU$111)&lt;='Tournament Setup'!$C$44,_xlfn.RANK.EQ(CU13,$CU$2:$CU$111),""),"")</f>
        <v/>
      </c>
      <c r="CW13" s="31" t="str">
        <f>IF(AND($H13='Tournament Setup'!$A$44,$E13="F",$CT13&gt;'Tournament Setup'!$B$44),$I13,"")</f>
        <v/>
      </c>
      <c r="CX13" s="12" t="str">
        <f>IF(ISNUMBER(CW13)=TRUE,IF(_xlfn.RANK.EQ(CW13,$CW$2:$CW$111)&lt;='Tournament Setup'!$D$44,_xlfn.RANK.EQ(CW13,$CW$2:$CW$111),""),"")</f>
        <v/>
      </c>
    </row>
    <row r="14" spans="1:102" x14ac:dyDescent="0.3">
      <c r="A14" t="s">
        <v>49</v>
      </c>
      <c r="B14" t="str">
        <f>IFERROR(INDEX('Tournament List'!$B:$B,MATCH($A14,'Tournament List'!$A:$A,0)),"")</f>
        <v>Bruce</v>
      </c>
      <c r="C14" t="str">
        <f>IFERROR(INDEX('Tournament List'!$C:$C,MATCH($A14,'Tournament List'!$A:$A,0)),"")</f>
        <v>Last Name13</v>
      </c>
      <c r="D14" t="str">
        <f t="shared" si="0"/>
        <v>Bruce Last Name13</v>
      </c>
      <c r="E14" s="1" t="str">
        <f>IFERROR(INDEX('Tournament List'!F:F,MATCH($A14,'Tournament List'!$A:$A,0)),"")</f>
        <v>M</v>
      </c>
      <c r="F14" t="str">
        <f>IFERROR(INDEX('Tournament List'!M:M,MATCH($A14,'Tournament List'!$A:$A,0)),"")</f>
        <v>Junior Varsity</v>
      </c>
      <c r="G14" t="str">
        <f>IFERROR(INDEX('Shooter-Squad Assignment'!L:L,MATCH(A14,'Shooter-Squad Assignment'!A:A,0)),"")</f>
        <v/>
      </c>
      <c r="H14" s="1" t="str">
        <f>IFERROR(INDEX('Tournament List'!AD:AD,MATCH($A14,'Tournament List'!$A:$A,0)),"")</f>
        <v>C</v>
      </c>
      <c r="I14" s="123">
        <f>IFERROR(INDEX('Tournament List'!AG:AG,MATCH($A14,'Tournament List'!$A:$A,0)),"")</f>
        <v>72.099999999999994</v>
      </c>
      <c r="J14" s="145" t="str">
        <f>IFERROR(INDEX('Tournament List'!Y:Y,MATCH($A14,'Tournament List'!$A:$A,0)),"")</f>
        <v/>
      </c>
      <c r="K14" s="47" t="str">
        <f>IFERROR(INDEX('Tournament List'!S:S,MATCH(A14,'Tournament List'!A:A,0)),"")</f>
        <v/>
      </c>
      <c r="L14" s="47" t="str">
        <f>IF(ISNUMBER(J14),IF(COUNTIFS(L$1:L13,_xlfn.RANK.EQ(J14,J$2:J$111,0))&gt;0,_xlfn.MAXIFS(L$1:L13,J$1:J13,J14)+1,_xlfn.RANK.EQ(J14,J$2:J$111,0)),"")</f>
        <v/>
      </c>
      <c r="M14" s="11">
        <f>IF(ISNUMBER(I14)=TRUE,IF(I14&gt;0,_xlfn.RANK.EQ(I14,$I$2:$I$111,0),""),"")</f>
        <v>23</v>
      </c>
      <c r="N14" s="56">
        <f>IF(ISNUMBER(I14),IF(COUNTIFS(N$1:N13,_xlfn.RANK.EQ(I14,I$2:I$111,0))&gt;0,_xlfn.MAXIFS(N$1:N13,I$1:I13,I14)+1,_xlfn.RANK.EQ(I14,I$2:I$111,0)),"")</f>
        <v>23</v>
      </c>
      <c r="O14" s="144">
        <f>IF(F14&lt;&gt;"Collegiate"=TRUE,$I14,"")</f>
        <v>72.099999999999994</v>
      </c>
      <c r="P14" s="47">
        <f>IF(ISNUMBER(O14),IF(COUNTIFS(P$1:P13,_xlfn.RANK.EQ(O14,O$2:O$111,0))&gt;0,_xlfn.MAXIFS(P$1:P13,O$1:O13,O14)+1,_xlfn.RANK.EQ(O14,O$2:O$111,0)),"")</f>
        <v>21</v>
      </c>
      <c r="Q14" s="1" t="str">
        <f>IF(ISNUMBER(O14)=TRUE,IF(_xlfn.RANK.EQ(O14,$O$2:$O$111)&lt;='Tournament Setup'!$B$26,_xlfn.RANK.EQ(O14,$O$2:$O$111),""),"")</f>
        <v/>
      </c>
      <c r="R14" s="143">
        <f>IF(AND($E14="M",SUM($Q14)=0,F14&lt;&gt;"Collegiate")=TRUE,$I14,"")</f>
        <v>72.099999999999994</v>
      </c>
      <c r="S14" s="1" t="str">
        <f>IF(ISNUMBER(R14)=TRUE,IF(_xlfn.RANK.EQ(R14,$R$2:$R$111)&lt;='Tournament Setup'!$B$27,_xlfn.RANK.EQ(R14,$R$2:$R$111),""),"")</f>
        <v/>
      </c>
      <c r="T14" s="143" t="str">
        <f>IF(AND($E14="F",SUM($Q14)=0,F14&lt;&gt;"Collegiate")=TRUE,$I14,"")</f>
        <v/>
      </c>
      <c r="U14" s="12" t="str">
        <f>IF(ISNUMBER(T14)=TRUE,IF(_xlfn.RANK.EQ(T14,$T$2:$T$111)&lt;='Tournament Setup'!$B$28,_xlfn.RANK.EQ(T14,$T$2:$T$111),""),"")</f>
        <v/>
      </c>
      <c r="V14" s="145" t="str">
        <f>IF(AND($G14='Tournament Setup'!$A$53,$J14&lt;&gt;0),$J14,"")</f>
        <v/>
      </c>
      <c r="W14" s="47" t="str">
        <f>IF(ISNUMBER(V14),IF(COUNTIFS(W$1:W13,_xlfn.RANK.EQ(V14,V$2:V$111,0))&gt;0,_xlfn.MAXIFS(W$1:W13,V$1:V13,V14)+1,_xlfn.RANK.EQ(V14,V$2:V$111,0)),"")</f>
        <v/>
      </c>
      <c r="X14" s="1" t="str">
        <f>IF(ISNUMBER(V14)=TRUE,IF(_xlfn.RANK.EQ(V14,$V$2:$V$111)&lt;='Tournament Setup'!$B$53,_xlfn.RANK.EQ(V14,$V$2:$V$111),""),"")</f>
        <v/>
      </c>
      <c r="Y14" s="145" t="str">
        <f>IF(AND($G14='Tournament Setup'!$A$49,$J14&lt;&gt;0),$J14,"")</f>
        <v/>
      </c>
      <c r="Z14" s="47" t="str">
        <f>IF(ISNUMBER(Y14),IF(COUNTIFS(Z$1:Z13,_xlfn.RANK.EQ(Y14,Y$2:Y$111,0))&gt;0,_xlfn.MAXIFS(Z$1:Z13,Y$1:Y13,Y14)+1,_xlfn.RANK.EQ(Y14,Y$2:Y$111,0)),"")</f>
        <v/>
      </c>
      <c r="AA14" s="1" t="str">
        <f>IF(ISNUMBER(Y14)=TRUE,IF(_xlfn.RANK.EQ(Y14,$Y$2:$Y$111)&lt;='Tournament Setup'!$B$49,_xlfn.RANK.EQ(Y14,$Y$2:$Y$111),""),"")</f>
        <v/>
      </c>
      <c r="AB14" s="30" t="str">
        <f>IF(AND($F14='Tournament Setup'!$A$32,SUM($Q14,$S14,$U14)=0),$I14,"")</f>
        <v/>
      </c>
      <c r="AC14" s="47" t="str">
        <f>IF(ISNUMBER(AB14),IF(COUNTIFS(AC$1:AC13,_xlfn.RANK.EQ(AB14,AB$2:AB$111,0))&gt;0,_xlfn.MAXIFS(AC$1:AC13,AB$1:AB13,AB14)+1,_xlfn.RANK.EQ(AB14,AB$2:AB$111,0)),"")</f>
        <v/>
      </c>
      <c r="AD14" s="1" t="str">
        <f>IF(ISNUMBER(AB14)=TRUE,IF(_xlfn.RANK.EQ(AB14,$AB$2:$AB$111)&lt;='Tournament Setup'!$B$32,_xlfn.RANK.EQ(AB14,$AB$2:$AB$111),""),"")</f>
        <v/>
      </c>
      <c r="AE14" s="31" t="str">
        <f>IF(AND($F14='Tournament Setup'!$A$32,SUM($Q14,$S14)=0,$E14="M",$AD14&gt;'Tournament Setup'!$B$32),$I14,"")</f>
        <v/>
      </c>
      <c r="AF14" s="1" t="str">
        <f>IF(ISNUMBER(AE14)=TRUE,IF(_xlfn.RANK.EQ(AE14,$AE$2:$AE$111)&lt;='Tournament Setup'!$C$32,_xlfn.RANK.EQ(AE14,$AE$2:$AE$111),""),"")</f>
        <v/>
      </c>
      <c r="AG14" s="31" t="str">
        <f>IF(AND($F14='Tournament Setup'!$A$32,SUM($Q14,$U14)=0,$E14="F",$AD14&gt;'Tournament Setup'!$B$32),$I14,"")</f>
        <v/>
      </c>
      <c r="AH14" s="12" t="str">
        <f>IF(ISNUMBER(AG14)=TRUE,IF(_xlfn.RANK.EQ(AG14,$AG$2:$AG$111)&lt;='Tournament Setup'!$D$32,_xlfn.RANK.EQ(AG14,$AG$2:$AG$111),""),"")</f>
        <v/>
      </c>
      <c r="AI14" s="30" t="str">
        <f>IF(AND($G14='Tournament Setup'!$A$50,$J14&lt;&gt;0),$J14,"")</f>
        <v/>
      </c>
      <c r="AJ14" s="47" t="str">
        <f>IF(ISNUMBER(AI14),IF(COUNTIFS(AJ$1:AJ13,_xlfn.RANK.EQ(AI14,AI$2:AI$111,0))&gt;0,_xlfn.MAXIFS(AJ$1:AJ13,AI$1:AI13,AI14)+1,_xlfn.RANK.EQ(AI14,AI$2:AI$111,0)),"")</f>
        <v/>
      </c>
      <c r="AK14" s="1" t="str">
        <f>IF(ISNUMBER(AI14)=TRUE,IF(_xlfn.RANK.EQ(AI14,$AI$2:$AI$111)&lt;='Tournament Setup'!$B$49,_xlfn.RANK.EQ(AI14,$AI$2:$AI$111),""),"")</f>
        <v/>
      </c>
      <c r="AL14" s="30" t="str">
        <f>IF(AND($F14='Tournament Setup'!$A$33,SUM($Q14,$S14,$U14)=0),$I14,"")</f>
        <v/>
      </c>
      <c r="AM14" s="47" t="str">
        <f>IF(ISNUMBER(AL14),IF(COUNTIFS(AM$1:AM13,_xlfn.RANK.EQ(AL14,AL$2:AL$111,0))&gt;0,_xlfn.MAXIFS(AM$1:AM13,AL$1:AL13,AL14)+1,_xlfn.RANK.EQ(AL14,AL$2:AL$111,0)),"")</f>
        <v/>
      </c>
      <c r="AN14" s="1" t="str">
        <f>IF(ISNUMBER(AL14)=TRUE,IF(_xlfn.RANK.EQ(AL14,$AL$2:$AL$111)&lt;='Tournament Setup'!$B$33,_xlfn.RANK.EQ(AL14,$AL$2:$AL$111),""),"")</f>
        <v/>
      </c>
      <c r="AO14" s="31" t="str">
        <f>IF(AND($F14='Tournament Setup'!$A$33,SUM($Q14,$S14)=0,$E14="M",$AN14&gt;'Tournament Setup'!$B$33),$I14,"")</f>
        <v/>
      </c>
      <c r="AP14" s="1" t="str">
        <f>IF(ISNUMBER(AO14)=TRUE,IF(_xlfn.RANK.EQ(AO14,$AO$2:$AO$111)&lt;='Tournament Setup'!$C$33,_xlfn.RANK.EQ(AO14,$AO$2:$AO$111),""),"")</f>
        <v/>
      </c>
      <c r="AQ14" s="31" t="str">
        <f>IF(AND($F14='Tournament Setup'!$A$33,SUM($Q14,$U14)=0,$E14="F",$AN14&gt;'Tournament Setup'!$B$33),$I14,"")</f>
        <v/>
      </c>
      <c r="AR14" s="12" t="str">
        <f>IF(ISNUMBER(AQ14)=TRUE,IF(_xlfn.RANK.EQ(AQ14,$AQ$2:$AQ$111)&lt;='Tournament Setup'!$D$33,_xlfn.RANK.EQ(AQ14,$AQ$2:$AQ$111),""),"")</f>
        <v/>
      </c>
      <c r="AS14" s="30" t="str">
        <f>IF(AND($G14='Tournament Setup'!$A$51,$J14&lt;&gt;0),$J14,"")</f>
        <v/>
      </c>
      <c r="AT14" s="47" t="str">
        <f>IF(ISNUMBER(AS14),IF(COUNTIFS(AT$1:AT13,_xlfn.RANK.EQ(AS14,AS$2:AS$111,0))&gt;0,_xlfn.MAXIFS(AT$1:AT13,AS$1:AS13,AS14)+1,_xlfn.RANK.EQ(AS14,AS$2:AS$111,0)),"")</f>
        <v/>
      </c>
      <c r="AU14" s="1" t="str">
        <f>IF(ISNUMBER(AS14)=TRUE,IF(_xlfn.RANK.EQ(AS14,$AS$2:$AS$111)&lt;='Tournament Setup'!$B$49,_xlfn.RANK.EQ(AS14,$AS$2:$AS$111),""),"")</f>
        <v/>
      </c>
      <c r="AV14" s="30">
        <f>IF(AND($F14='Tournament Setup'!$A$34,SUM($Q14,$S14,$U14)=0),$I14,"")</f>
        <v>72.099999999999994</v>
      </c>
      <c r="AW14" s="47">
        <f>IF(ISNUMBER(AV14),IF(COUNTIFS(AW$1:AW13,_xlfn.RANK.EQ(AV14,AV$2:AV$111,0))&gt;0,_xlfn.MAXIFS(AW$1:AW13,AV$1:AV13,AV14)+1,_xlfn.RANK.EQ(AV14,AV$2:AV$111,0)),"")</f>
        <v>2</v>
      </c>
      <c r="AX14" s="1">
        <f>IF(ISNUMBER(AV14)=TRUE,IF(_xlfn.RANK.EQ(AV14,$AV$2:$AV$111)&lt;='Tournament Setup'!$B$34,_xlfn.RANK.EQ(AV14,$AV$2:$AV$111),""),"")</f>
        <v>2</v>
      </c>
      <c r="AY14" s="31" t="str">
        <f>IF(AND($F14='Tournament Setup'!$A$34,SUM($Q14,$S14)=0,$E14="M",$AX14&gt;'Tournament Setup'!$B$34),$I14,"")</f>
        <v/>
      </c>
      <c r="AZ14" s="1" t="str">
        <f>IF(ISNUMBER(AY14)=TRUE,IF(_xlfn.RANK.EQ(AY14,$AY$2:$AY$111)&lt;='Tournament Setup'!$C$34,_xlfn.RANK.EQ(AY14,$AY$2:$AY$111),""),"")</f>
        <v/>
      </c>
      <c r="BA14" s="31" t="str">
        <f>IF(AND($F14='Tournament Setup'!$A$34,SUM($Q14,$U14)=0,$E14="F",$AX14&gt;'Tournament Setup'!$B$34),$I14,"")</f>
        <v/>
      </c>
      <c r="BB14" s="12" t="str">
        <f>IF(ISNUMBER(BA14)=TRUE,IF(_xlfn.RANK.EQ(BA14,$BA$2:$BA$111)&lt;='Tournament Setup'!$D$34,_xlfn.RANK.EQ(BA14,$BA$2:$BA$111),""),"")</f>
        <v/>
      </c>
      <c r="BC14" s="30" t="str">
        <f>IF(AND($G14='Tournament Setup'!$A$52,$J14&lt;&gt;0),$J14,"")</f>
        <v/>
      </c>
      <c r="BD14" s="47" t="str">
        <f>IF(ISNUMBER(BC14),IF(COUNTIFS(BD$1:BD13,_xlfn.RANK.EQ(BC14,BC$2:BC$111,0))&gt;0,_xlfn.MAXIFS(BD$1:BD13,BC$1:BC13,BC14)+1,_xlfn.RANK.EQ(BC14,BC$2:BC$111,0)),"")</f>
        <v/>
      </c>
      <c r="BE14" s="1" t="str">
        <f>IF(ISNUMBER(BC14)=TRUE,IF(_xlfn.RANK.EQ(BC14,$BC$2:$BC$111)&lt;='Tournament Setup'!$B$49,_xlfn.RANK.EQ(BC14,$BC$2:$BC$111),""),"")</f>
        <v/>
      </c>
      <c r="BF14" s="30" t="str">
        <f>IF(AND($F14='Tournament Setup'!$A$35,SUM($Q14,$S14,$U14)=0),$I14,"")</f>
        <v/>
      </c>
      <c r="BG14" s="47" t="str">
        <f>IF(ISNUMBER(BF14),IF(COUNTIFS(BG$1:BG13,_xlfn.RANK.EQ(BF14,BF$2:BF$111,0))&gt;0,_xlfn.MAXIFS(BG$1:BG13,BF$1:BF13,BF14)+1,_xlfn.RANK.EQ(BF14,BF$2:BF$111,0)),"")</f>
        <v/>
      </c>
      <c r="BH14" s="1" t="str">
        <f>IF(ISNUMBER(BF14)=TRUE,IF(_xlfn.RANK.EQ(BF14,$BF$2:$BF$111)&lt;='Tournament Setup'!$B$35,_xlfn.RANK.EQ(BF14,$BF$2:$BF$111),""),"")</f>
        <v/>
      </c>
      <c r="BI14" s="31" t="str">
        <f>IF(AND($F14='Tournament Setup'!$A$35,SUM($Q14,$S14)=0,$E14="M",$BH14&gt;'Tournament Setup'!$B$35),$I14,"")</f>
        <v/>
      </c>
      <c r="BJ14" s="1" t="str">
        <f>IF(ISNUMBER(BI14)=TRUE,IF(_xlfn.RANK.EQ(BI14,$BI$2:$BI$111)&lt;='Tournament Setup'!$C$35,_xlfn.RANK.EQ(BI14,$BI$2:$BI$111),""),"")</f>
        <v/>
      </c>
      <c r="BK14" s="31" t="str">
        <f>IF(AND($F14='Tournament Setup'!$A$35,SUM($Q14,$U14)=0,$E14="F",$BH14&gt;'Tournament Setup'!$B$35),$I14,"")</f>
        <v/>
      </c>
      <c r="BL14" s="12" t="str">
        <f>IF(ISNUMBER(BK14)=TRUE,IF(_xlfn.RANK.EQ(BK14,$BK$2:$BK$111)&lt;='Tournament Setup'!$D$35,_xlfn.RANK.EQ(BK14,$BK$2:$BK$111),""),"")</f>
        <v/>
      </c>
      <c r="BM14" s="30" t="str">
        <f>IF(AND($G14='Tournament Setup'!$A$54,$J14&lt;&gt;0),$J14,"")</f>
        <v/>
      </c>
      <c r="BN14" s="47" t="str">
        <f>IF(ISNUMBER(BM14),IF(COUNTIFS(BN$1:BN13,_xlfn.RANK.EQ(BM14,BM$2:BM$111,0))&gt;0,_xlfn.MAXIFS(BN$1:BN13,BM$1:BM13,BM14)+1,_xlfn.RANK.EQ(BM14,BM$2:BM$111,0)),"")</f>
        <v/>
      </c>
      <c r="BO14" s="1" t="str">
        <f>IF(ISNUMBER(BM14)=TRUE,IF(_xlfn.RANK.EQ(BM14,$BM$2:$BM$111)&lt;='Tournament Setup'!$B$49,_xlfn.RANK.EQ(BM14,$BM$2:$BM$111),""),"")</f>
        <v/>
      </c>
      <c r="BP14" s="30" t="str">
        <f>IF(AND($F14='Tournament Setup'!$A$36,SUM($Q14,$S14,$U14)=0),$I14,"")</f>
        <v/>
      </c>
      <c r="BQ14" s="47" t="str">
        <f>IF(ISNUMBER(BP14),IF(COUNTIFS(BQ$1:BQ13,_xlfn.RANK.EQ(BP14,BP$2:BP$111,0))&gt;0,_xlfn.MAXIFS(BQ$1:BQ13,BP$1:BP13,BP14)+1,_xlfn.RANK.EQ(BP14,BP$2:BP$111,0)),"")</f>
        <v/>
      </c>
      <c r="BR14" s="1" t="str">
        <f>IF(ISNUMBER(BP14)=TRUE,IF(_xlfn.RANK.EQ(BP14,$BP$2:$BP$111)&lt;='Tournament Setup'!$B$36,_xlfn.RANK.EQ(BP14,$BP$2:$BP$111),""),"")</f>
        <v/>
      </c>
      <c r="BS14" s="31" t="str">
        <f>IF(AND($F14='Tournament Setup'!$A$36,SUM($Q14,$S14)=0,$E14="M",$BR14&gt;'Tournament Setup'!$B$36),$I14,"")</f>
        <v/>
      </c>
      <c r="BT14" s="1" t="str">
        <f>IF(ISNUMBER(BS14)=TRUE,IF(_xlfn.RANK.EQ(BS14,$BS$2:$BS$111)&lt;='Tournament Setup'!$C$36,_xlfn.RANK.EQ(BS14,$BS$2:$BS$111),""),"")</f>
        <v/>
      </c>
      <c r="BU14" s="31" t="str">
        <f>IF(AND($F14='Tournament Setup'!$A$36,SUM($Q14,$U14)=0,$E14="F",$BR14&gt;'Tournament Setup'!$B$36),$I14,"")</f>
        <v/>
      </c>
      <c r="BV14" s="12" t="str">
        <f>IF(ISNUMBER(BU14)=TRUE,IF(_xlfn.RANK.EQ(BU14,$BU$2:$BU$111)&lt;='Tournament Setup'!$D$36,_xlfn.RANK.EQ(BU14,$BU$2:$BU$111),""),"")</f>
        <v/>
      </c>
      <c r="BW14" s="30" t="str">
        <f>IF($H14='Tournament Setup'!$A$41,$I14,"")</f>
        <v/>
      </c>
      <c r="BX14" s="47" t="str">
        <f>IF(ISNUMBER(BW14),IF(COUNTIFS(BX$1:BX13,_xlfn.RANK.EQ(BW14,BW$2:BW$111,0))&gt;0,_xlfn.MAXIFS(BX$1:BX13,BW$1:BW13,BW14)+1,_xlfn.RANK.EQ(BW14,BW$2:BW$111,0)),"")</f>
        <v/>
      </c>
      <c r="BY14" s="1" t="str">
        <f>IF(ISNUMBER(BW14)=TRUE,IF(_xlfn.RANK.EQ(BW14,$BW$2:$BW$111)&lt;='Tournament Setup'!$B$41,_xlfn.RANK.EQ(BW14,$BW$2:$BW$111),""),"")</f>
        <v/>
      </c>
      <c r="BZ14" s="31" t="str">
        <f>IF(AND($H14='Tournament Setup'!$A$41,$E14="M",$BY14&gt;'Tournament Setup'!$B$41),$I14,"")</f>
        <v/>
      </c>
      <c r="CA14" s="1" t="str">
        <f>IF(ISNUMBER(BZ14)=TRUE,IF(_xlfn.RANK.EQ(BZ14,$BZ$2:$BZ$111)&lt;='Tournament Setup'!$C$41,_xlfn.RANK.EQ(BZ14,$BZ$2:$BZ$111),""),"")</f>
        <v/>
      </c>
      <c r="CB14" s="31" t="str">
        <f>IF(AND($H14='Tournament Setup'!$A$41,$E14="F",$BY14&gt;'Tournament Setup'!$B$41),$I14,"")</f>
        <v/>
      </c>
      <c r="CC14" s="12" t="str">
        <f>IF(ISNUMBER(CB14)=TRUE,IF(_xlfn.RANK.EQ(CB14,$CB$2:$CB$111)&lt;='Tournament Setup'!$D$41,_xlfn.RANK.EQ(CB14,$CB$2:$CB$111),""),"")</f>
        <v/>
      </c>
      <c r="CD14" s="30" t="str">
        <f>IF($H14='Tournament Setup'!$A$42,$I14,"")</f>
        <v/>
      </c>
      <c r="CE14" s="47" t="str">
        <f>IF(ISNUMBER(CD14),IF(COUNTIFS(CE$1:CE13,_xlfn.RANK.EQ(CD14,CD$2:CD$111,0))&gt;0,_xlfn.MAXIFS(CE$1:CE13,CD$1:CD13,CD14)+1,_xlfn.RANK.EQ(CD14,CD$2:CD$111,0)),"")</f>
        <v/>
      </c>
      <c r="CF14" s="1" t="str">
        <f>IF(ISNUMBER(CD14)=TRUE,IF(_xlfn.RANK.EQ(CD14,$CD$2:$CD$111)&lt;='Tournament Setup'!$B$42,_xlfn.RANK.EQ(CD14,$CD$2:$CD$111),""),"")</f>
        <v/>
      </c>
      <c r="CG14" s="31" t="str">
        <f>IF(AND($H14='Tournament Setup'!$A$42,$E14="M",$CF14&gt;'Tournament Setup'!$B$42),$I14,"")</f>
        <v/>
      </c>
      <c r="CH14" s="1" t="str">
        <f>IF(ISNUMBER(CG14)=TRUE,IF(_xlfn.RANK.EQ(CG14,$CG$2:$CG$111)&lt;='Tournament Setup'!$C$42,_xlfn.RANK.EQ(CG14,$CG$2:$CG$111),""),"")</f>
        <v/>
      </c>
      <c r="CI14" s="31" t="str">
        <f>IF(AND($H14='Tournament Setup'!$A$42,$E14="F",$CF14&gt;'Tournament Setup'!$B$42),$I14,"")</f>
        <v/>
      </c>
      <c r="CJ14" s="12" t="str">
        <f>IF(ISNUMBER(CI14)=TRUE,IF(_xlfn.RANK.EQ(CI14,$CI$2:$CI$111)&lt;='Tournament Setup'!$D$42,_xlfn.RANK.EQ(CI14,$CI$2:$CI$111),""),"")</f>
        <v/>
      </c>
      <c r="CK14" s="30">
        <f>IF($H14='Tournament Setup'!$A$43,$I14,"")</f>
        <v>72.099999999999994</v>
      </c>
      <c r="CL14" s="47">
        <f>IF(ISNUMBER(CK14),IF(COUNTIFS(CL$1:CL13,_xlfn.RANK.EQ(CK14,CK$2:CK$111,0))&gt;0,_xlfn.MAXIFS(CL$1:CL13,CK$1:CK13,CK14)+1,_xlfn.RANK.EQ(CK14,CK$2:CK$111,0)),"")</f>
        <v>6</v>
      </c>
      <c r="CM14" s="1" t="str">
        <f>IF(ISNUMBER(CK14)=TRUE,IF(_xlfn.RANK.EQ(CK14,$CK$2:$CK$111)&lt;='Tournament Setup'!$B$43,_xlfn.RANK.EQ(CK14,$CK$2:$CK$111),""),"")</f>
        <v/>
      </c>
      <c r="CN14" s="31">
        <f>IF(AND($H14='Tournament Setup'!$A$43,$E14="M",$CM14&gt;'Tournament Setup'!$B$43),$I14,"")</f>
        <v>72.099999999999994</v>
      </c>
      <c r="CO14" s="1">
        <f>IF(ISNUMBER(CN14)=TRUE,IF(_xlfn.RANK.EQ(CN14,$CN$2:$CN$111)&lt;='Tournament Setup'!$C$43,_xlfn.RANK.EQ(CN14,$CN$2:$CN$111),""),"")</f>
        <v>3</v>
      </c>
      <c r="CP14" s="31" t="str">
        <f>IF(AND($H14='Tournament Setup'!$A$43,$E14="F",$CM14&gt;'Tournament Setup'!$B$43),$I14,"")</f>
        <v/>
      </c>
      <c r="CQ14" s="12" t="str">
        <f>IF(ISNUMBER(CP14)=TRUE,IF(_xlfn.RANK.EQ(CP14,$CP$2:$CP$111)&lt;='Tournament Setup'!$D$43,_xlfn.RANK.EQ(CP14,$CP$2:$CP$111),""),"")</f>
        <v/>
      </c>
      <c r="CR14" s="30" t="str">
        <f>IF($H14='Tournament Setup'!$A$44,$I14,"")</f>
        <v/>
      </c>
      <c r="CS14" s="47" t="str">
        <f>IF(ISNUMBER(CR14),IF(COUNTIFS(CS$1:CS13,_xlfn.RANK.EQ(CR14,CR$2:CR$111,0))&gt;0,_xlfn.MAXIFS(CS$1:CS13,CR$1:CR13,CR14)+1,_xlfn.RANK.EQ(CR14,CR$2:CR$111,0)),"")</f>
        <v/>
      </c>
      <c r="CT14" s="1" t="str">
        <f>IF(ISNUMBER(CR14)=TRUE,IF(_xlfn.RANK.EQ(CR14,$CR$2:$CR$111)&lt;='Tournament Setup'!$B$44,_xlfn.RANK.EQ(CR14,$CR$2:$CR$111),""),"")</f>
        <v/>
      </c>
      <c r="CU14" s="31" t="str">
        <f>IF(AND($H14='Tournament Setup'!$A$44,$E14="M",$CT14&gt;'Tournament Setup'!$B$44),$I14,"")</f>
        <v/>
      </c>
      <c r="CV14" s="1" t="str">
        <f>IF(ISNUMBER(CU14)=TRUE,IF(_xlfn.RANK.EQ(CU14,$CU$2:$CU$111)&lt;='Tournament Setup'!$C$44,_xlfn.RANK.EQ(CU14,$CU$2:$CU$111),""),"")</f>
        <v/>
      </c>
      <c r="CW14" s="31" t="str">
        <f>IF(AND($H14='Tournament Setup'!$A$44,$E14="F",$CT14&gt;'Tournament Setup'!$B$44),$I14,"")</f>
        <v/>
      </c>
      <c r="CX14" s="12" t="str">
        <f>IF(ISNUMBER(CW14)=TRUE,IF(_xlfn.RANK.EQ(CW14,$CW$2:$CW$111)&lt;='Tournament Setup'!$D$44,_xlfn.RANK.EQ(CW14,$CW$2:$CW$111),""),"")</f>
        <v/>
      </c>
    </row>
    <row r="15" spans="1:102" x14ac:dyDescent="0.3">
      <c r="A15" t="s">
        <v>50</v>
      </c>
      <c r="B15" t="str">
        <f>IFERROR(INDEX('Tournament List'!$B:$B,MATCH($A15,'Tournament List'!$A:$A,0)),"")</f>
        <v>Henry</v>
      </c>
      <c r="C15" t="str">
        <f>IFERROR(INDEX('Tournament List'!$C:$C,MATCH($A15,'Tournament List'!$A:$A,0)),"")</f>
        <v>Last Name14</v>
      </c>
      <c r="D15" t="str">
        <f t="shared" si="0"/>
        <v>Henry Last Name14</v>
      </c>
      <c r="E15" s="1" t="str">
        <f>IFERROR(INDEX('Tournament List'!F:F,MATCH($A15,'Tournament List'!$A:$A,0)),"")</f>
        <v>M</v>
      </c>
      <c r="F15" t="str">
        <f>IFERROR(INDEX('Tournament List'!M:M,MATCH($A15,'Tournament List'!$A:$A,0)),"")</f>
        <v>Intermediate</v>
      </c>
      <c r="G15" t="str">
        <f>IFERROR(INDEX('Shooter-Squad Assignment'!L:L,MATCH(A15,'Shooter-Squad Assignment'!A:A,0)),"")</f>
        <v>Intermediate</v>
      </c>
      <c r="H15" s="1" t="str">
        <f>IFERROR(INDEX('Tournament List'!AD:AD,MATCH($A15,'Tournament List'!$A:$A,0)),"")</f>
        <v>A</v>
      </c>
      <c r="I15" s="123">
        <f>IFERROR(INDEX('Tournament List'!AG:AG,MATCH($A15,'Tournament List'!$A:$A,0)),"")</f>
        <v>76</v>
      </c>
      <c r="J15" s="145" t="str">
        <f>IFERROR(INDEX('Tournament List'!Y:Y,MATCH($A15,'Tournament List'!$A:$A,0)),"")</f>
        <v/>
      </c>
      <c r="K15" s="47">
        <f>IFERROR(INDEX('Tournament List'!S:S,MATCH(A15,'Tournament List'!A:A,0)),"")</f>
        <v>232</v>
      </c>
      <c r="L15" s="47" t="str">
        <f>IF(ISNUMBER(J15),IF(COUNTIFS(L$1:L14,_xlfn.RANK.EQ(J15,J$2:J$111,0))&gt;0,_xlfn.MAXIFS(L$1:L14,J$1:J14,J15)+1,_xlfn.RANK.EQ(J15,J$2:J$111,0)),"")</f>
        <v/>
      </c>
      <c r="M15" s="11">
        <f>IF(ISNUMBER(I15)=TRUE,IF(I15&gt;0,_xlfn.RANK.EQ(I15,$I$2:$I$111,0),""),"")</f>
        <v>19</v>
      </c>
      <c r="N15" s="56">
        <f>IF(ISNUMBER(I15),IF(COUNTIFS(N$1:N14,_xlfn.RANK.EQ(I15,I$2:I$111,0))&gt;0,_xlfn.MAXIFS(N$1:N14,I$1:I14,I15)+1,_xlfn.RANK.EQ(I15,I$2:I$111,0)),"")</f>
        <v>19</v>
      </c>
      <c r="O15" s="144">
        <f>IF(F15&lt;&gt;"Collegiate"=TRUE,$I15,"")</f>
        <v>76</v>
      </c>
      <c r="P15" s="47">
        <f>IF(ISNUMBER(O15),IF(COUNTIFS(P$1:P14,_xlfn.RANK.EQ(O15,O$2:O$111,0))&gt;0,_xlfn.MAXIFS(P$1:P14,O$1:O14,O15)+1,_xlfn.RANK.EQ(O15,O$2:O$111,0)),"")</f>
        <v>17</v>
      </c>
      <c r="Q15" s="1" t="str">
        <f>IF(ISNUMBER(O15)=TRUE,IF(_xlfn.RANK.EQ(O15,$O$2:$O$111)&lt;='Tournament Setup'!$B$26,_xlfn.RANK.EQ(O15,$O$2:$O$111),""),"")</f>
        <v/>
      </c>
      <c r="R15" s="143">
        <f>IF(AND($E15="M",SUM($Q15)=0,F15&lt;&gt;"Collegiate")=TRUE,$I15,"")</f>
        <v>76</v>
      </c>
      <c r="S15" s="1" t="str">
        <f>IF(ISNUMBER(R15)=TRUE,IF(_xlfn.RANK.EQ(R15,$R$2:$R$111)&lt;='Tournament Setup'!$B$27,_xlfn.RANK.EQ(R15,$R$2:$R$111),""),"")</f>
        <v/>
      </c>
      <c r="T15" s="143" t="str">
        <f>IF(AND($E15="F",SUM($Q15)=0,F15&lt;&gt;"Collegiate")=TRUE,$I15,"")</f>
        <v/>
      </c>
      <c r="U15" s="12" t="str">
        <f>IF(ISNUMBER(T15)=TRUE,IF(_xlfn.RANK.EQ(T15,$T$2:$T$111)&lt;='Tournament Setup'!$B$28,_xlfn.RANK.EQ(T15,$T$2:$T$111),""),"")</f>
        <v/>
      </c>
      <c r="V15" s="145" t="str">
        <f>IF(AND($G15='Tournament Setup'!$A$53,$J15&lt;&gt;0),$J15,"")</f>
        <v/>
      </c>
      <c r="W15" s="47" t="str">
        <f>IF(ISNUMBER(V15),IF(COUNTIFS(W$1:W14,_xlfn.RANK.EQ(V15,V$2:V$111,0))&gt;0,_xlfn.MAXIFS(W$1:W14,V$1:V14,V15)+1,_xlfn.RANK.EQ(V15,V$2:V$111,0)),"")</f>
        <v/>
      </c>
      <c r="X15" s="1" t="str">
        <f>IF(ISNUMBER(V15)=TRUE,IF(_xlfn.RANK.EQ(V15,$V$2:$V$111)&lt;='Tournament Setup'!$B$53,_xlfn.RANK.EQ(V15,$V$2:$V$111),""),"")</f>
        <v/>
      </c>
      <c r="Y15" s="145" t="str">
        <f>IF(AND($G15='Tournament Setup'!$A$49,$J15&lt;&gt;0),$J15,"")</f>
        <v/>
      </c>
      <c r="Z15" s="47" t="str">
        <f>IF(ISNUMBER(Y15),IF(COUNTIFS(Z$1:Z14,_xlfn.RANK.EQ(Y15,Y$2:Y$111,0))&gt;0,_xlfn.MAXIFS(Z$1:Z14,Y$1:Y14,Y15)+1,_xlfn.RANK.EQ(Y15,Y$2:Y$111,0)),"")</f>
        <v/>
      </c>
      <c r="AA15" s="1" t="str">
        <f>IF(ISNUMBER(Y15)=TRUE,IF(_xlfn.RANK.EQ(Y15,$Y$2:$Y$111)&lt;='Tournament Setup'!$B$49,_xlfn.RANK.EQ(Y15,$Y$2:$Y$111),""),"")</f>
        <v/>
      </c>
      <c r="AB15" s="30" t="str">
        <f>IF(AND($F15='Tournament Setup'!$A$32,SUM($Q15,$S15,$U15)=0),$I15,"")</f>
        <v/>
      </c>
      <c r="AC15" s="47" t="str">
        <f>IF(ISNUMBER(AB15),IF(COUNTIFS(AC$1:AC14,_xlfn.RANK.EQ(AB15,AB$2:AB$111,0))&gt;0,_xlfn.MAXIFS(AC$1:AC14,AB$1:AB14,AB15)+1,_xlfn.RANK.EQ(AB15,AB$2:AB$111,0)),"")</f>
        <v/>
      </c>
      <c r="AD15" s="1" t="str">
        <f>IF(ISNUMBER(AB15)=TRUE,IF(_xlfn.RANK.EQ(AB15,$AB$2:$AB$111)&lt;='Tournament Setup'!$B$32,_xlfn.RANK.EQ(AB15,$AB$2:$AB$111),""),"")</f>
        <v/>
      </c>
      <c r="AE15" s="31" t="str">
        <f>IF(AND($F15='Tournament Setup'!$A$32,SUM($Q15,$S15)=0,$E15="M",$AD15&gt;'Tournament Setup'!$B$32),$I15,"")</f>
        <v/>
      </c>
      <c r="AF15" s="1" t="str">
        <f>IF(ISNUMBER(AE15)=TRUE,IF(_xlfn.RANK.EQ(AE15,$AE$2:$AE$111)&lt;='Tournament Setup'!$C$32,_xlfn.RANK.EQ(AE15,$AE$2:$AE$111),""),"")</f>
        <v/>
      </c>
      <c r="AG15" s="31" t="str">
        <f>IF(AND($F15='Tournament Setup'!$A$32,SUM($Q15,$U15)=0,$E15="F",$AD15&gt;'Tournament Setup'!$B$32),$I15,"")</f>
        <v/>
      </c>
      <c r="AH15" s="12" t="str">
        <f>IF(ISNUMBER(AG15)=TRUE,IF(_xlfn.RANK.EQ(AG15,$AG$2:$AG$111)&lt;='Tournament Setup'!$D$32,_xlfn.RANK.EQ(AG15,$AG$2:$AG$111),""),"")</f>
        <v/>
      </c>
      <c r="AI15" s="30" t="str">
        <f>IF(AND($G15='Tournament Setup'!$A$50,$J15&lt;&gt;0),$J15,"")</f>
        <v/>
      </c>
      <c r="AJ15" s="47" t="str">
        <f>IF(ISNUMBER(AI15),IF(COUNTIFS(AJ$1:AJ14,_xlfn.RANK.EQ(AI15,AI$2:AI$111,0))&gt;0,_xlfn.MAXIFS(AJ$1:AJ14,AI$1:AI14,AI15)+1,_xlfn.RANK.EQ(AI15,AI$2:AI$111,0)),"")</f>
        <v/>
      </c>
      <c r="AK15" s="1" t="str">
        <f>IF(ISNUMBER(AI15)=TRUE,IF(_xlfn.RANK.EQ(AI15,$AI$2:$AI$111)&lt;='Tournament Setup'!$B$49,_xlfn.RANK.EQ(AI15,$AI$2:$AI$111),""),"")</f>
        <v/>
      </c>
      <c r="AL15" s="30">
        <f>IF(AND($F15='Tournament Setup'!$A$33,SUM($Q15,$S15,$U15)=0),$I15,"")</f>
        <v>76</v>
      </c>
      <c r="AM15" s="47">
        <f>IF(ISNUMBER(AL15),IF(COUNTIFS(AM$1:AM14,_xlfn.RANK.EQ(AL15,AL$2:AL$111,0))&gt;0,_xlfn.MAXIFS(AM$1:AM14,AL$1:AL14,AL15)+1,_xlfn.RANK.EQ(AL15,AL$2:AL$111,0)),"")</f>
        <v>2</v>
      </c>
      <c r="AN15" s="1">
        <f>IF(ISNUMBER(AL15)=TRUE,IF(_xlfn.RANK.EQ(AL15,$AL$2:$AL$111)&lt;='Tournament Setup'!$B$33,_xlfn.RANK.EQ(AL15,$AL$2:$AL$111),""),"")</f>
        <v>2</v>
      </c>
      <c r="AO15" s="31" t="str">
        <f>IF(AND($F15='Tournament Setup'!$A$33,SUM($Q15,$S15)=0,$E15="M",$AN15&gt;'Tournament Setup'!$B$33),$I15,"")</f>
        <v/>
      </c>
      <c r="AP15" s="1" t="str">
        <f>IF(ISNUMBER(AO15)=TRUE,IF(_xlfn.RANK.EQ(AO15,$AO$2:$AO$111)&lt;='Tournament Setup'!$C$33,_xlfn.RANK.EQ(AO15,$AO$2:$AO$111),""),"")</f>
        <v/>
      </c>
      <c r="AQ15" s="31" t="str">
        <f>IF(AND($F15='Tournament Setup'!$A$33,SUM($Q15,$U15)=0,$E15="F",$AN15&gt;'Tournament Setup'!$B$33),$I15,"")</f>
        <v/>
      </c>
      <c r="AR15" s="12" t="str">
        <f>IF(ISNUMBER(AQ15)=TRUE,IF(_xlfn.RANK.EQ(AQ15,$AQ$2:$AQ$111)&lt;='Tournament Setup'!$D$33,_xlfn.RANK.EQ(AQ15,$AQ$2:$AQ$111),""),"")</f>
        <v/>
      </c>
      <c r="AS15" s="30" t="str">
        <f>IF(AND($G15='Tournament Setup'!$A$51,$J15&lt;&gt;0),$J15,"")</f>
        <v/>
      </c>
      <c r="AT15" s="47" t="str">
        <f>IF(ISNUMBER(AS15),IF(COUNTIFS(AT$1:AT14,_xlfn.RANK.EQ(AS15,AS$2:AS$111,0))&gt;0,_xlfn.MAXIFS(AT$1:AT14,AS$1:AS14,AS15)+1,_xlfn.RANK.EQ(AS15,AS$2:AS$111,0)),"")</f>
        <v/>
      </c>
      <c r="AU15" s="1" t="str">
        <f>IF(ISNUMBER(AS15)=TRUE,IF(_xlfn.RANK.EQ(AS15,$AS$2:$AS$111)&lt;='Tournament Setup'!$B$49,_xlfn.RANK.EQ(AS15,$AS$2:$AS$111),""),"")</f>
        <v/>
      </c>
      <c r="AV15" s="30" t="str">
        <f>IF(AND($F15='Tournament Setup'!$A$34,SUM($Q15,$S15,$U15)=0),$I15,"")</f>
        <v/>
      </c>
      <c r="AW15" s="47" t="str">
        <f>IF(ISNUMBER(AV15),IF(COUNTIFS(AW$1:AW14,_xlfn.RANK.EQ(AV15,AV$2:AV$111,0))&gt;0,_xlfn.MAXIFS(AW$1:AW14,AV$1:AV14,AV15)+1,_xlfn.RANK.EQ(AV15,AV$2:AV$111,0)),"")</f>
        <v/>
      </c>
      <c r="AX15" s="1" t="str">
        <f>IF(ISNUMBER(AV15)=TRUE,IF(_xlfn.RANK.EQ(AV15,$AV$2:$AV$111)&lt;='Tournament Setup'!$B$34,_xlfn.RANK.EQ(AV15,$AV$2:$AV$111),""),"")</f>
        <v/>
      </c>
      <c r="AY15" s="31" t="str">
        <f>IF(AND($F15='Tournament Setup'!$A$34,SUM($Q15,$S15)=0,$E15="M",$AX15&gt;'Tournament Setup'!$B$34),$I15,"")</f>
        <v/>
      </c>
      <c r="AZ15" s="1" t="str">
        <f>IF(ISNUMBER(AY15)=TRUE,IF(_xlfn.RANK.EQ(AY15,$AY$2:$AY$111)&lt;='Tournament Setup'!$C$34,_xlfn.RANK.EQ(AY15,$AY$2:$AY$111),""),"")</f>
        <v/>
      </c>
      <c r="BA15" s="31" t="str">
        <f>IF(AND($F15='Tournament Setup'!$A$34,SUM($Q15,$U15)=0,$E15="F",$AX15&gt;'Tournament Setup'!$B$34),$I15,"")</f>
        <v/>
      </c>
      <c r="BB15" s="12" t="str">
        <f>IF(ISNUMBER(BA15)=TRUE,IF(_xlfn.RANK.EQ(BA15,$BA$2:$BA$111)&lt;='Tournament Setup'!$D$34,_xlfn.RANK.EQ(BA15,$BA$2:$BA$111),""),"")</f>
        <v/>
      </c>
      <c r="BC15" s="30" t="str">
        <f>IF(AND($G15='Tournament Setup'!$A$52,$J15&lt;&gt;0),$J15,"")</f>
        <v/>
      </c>
      <c r="BD15" s="47" t="str">
        <f>IF(ISNUMBER(BC15),IF(COUNTIFS(BD$1:BD14,_xlfn.RANK.EQ(BC15,BC$2:BC$111,0))&gt;0,_xlfn.MAXIFS(BD$1:BD14,BC$1:BC14,BC15)+1,_xlfn.RANK.EQ(BC15,BC$2:BC$111,0)),"")</f>
        <v/>
      </c>
      <c r="BE15" s="1" t="str">
        <f>IF(ISNUMBER(BC15)=TRUE,IF(_xlfn.RANK.EQ(BC15,$BC$2:$BC$111)&lt;='Tournament Setup'!$B$49,_xlfn.RANK.EQ(BC15,$BC$2:$BC$111),""),"")</f>
        <v/>
      </c>
      <c r="BF15" s="30" t="str">
        <f>IF(AND($F15='Tournament Setup'!$A$35,SUM($Q15,$S15,$U15)=0),$I15,"")</f>
        <v/>
      </c>
      <c r="BG15" s="47" t="str">
        <f>IF(ISNUMBER(BF15),IF(COUNTIFS(BG$1:BG14,_xlfn.RANK.EQ(BF15,BF$2:BF$111,0))&gt;0,_xlfn.MAXIFS(BG$1:BG14,BF$1:BF14,BF15)+1,_xlfn.RANK.EQ(BF15,BF$2:BF$111,0)),"")</f>
        <v/>
      </c>
      <c r="BH15" s="1" t="str">
        <f>IF(ISNUMBER(BF15)=TRUE,IF(_xlfn.RANK.EQ(BF15,$BF$2:$BF$111)&lt;='Tournament Setup'!$B$35,_xlfn.RANK.EQ(BF15,$BF$2:$BF$111),""),"")</f>
        <v/>
      </c>
      <c r="BI15" s="31" t="str">
        <f>IF(AND($F15='Tournament Setup'!$A$35,SUM($Q15,$S15)=0,$E15="M",$BH15&gt;'Tournament Setup'!$B$35),$I15,"")</f>
        <v/>
      </c>
      <c r="BJ15" s="1" t="str">
        <f>IF(ISNUMBER(BI15)=TRUE,IF(_xlfn.RANK.EQ(BI15,$BI$2:$BI$111)&lt;='Tournament Setup'!$C$35,_xlfn.RANK.EQ(BI15,$BI$2:$BI$111),""),"")</f>
        <v/>
      </c>
      <c r="BK15" s="31" t="str">
        <f>IF(AND($F15='Tournament Setup'!$A$35,SUM($Q15,$U15)=0,$E15="F",$BH15&gt;'Tournament Setup'!$B$35),$I15,"")</f>
        <v/>
      </c>
      <c r="BL15" s="12" t="str">
        <f>IF(ISNUMBER(BK15)=TRUE,IF(_xlfn.RANK.EQ(BK15,$BK$2:$BK$111)&lt;='Tournament Setup'!$D$35,_xlfn.RANK.EQ(BK15,$BK$2:$BK$111),""),"")</f>
        <v/>
      </c>
      <c r="BM15" s="30" t="str">
        <f>IF(AND($G15='Tournament Setup'!$A$54,$J15&lt;&gt;0),$J15,"")</f>
        <v/>
      </c>
      <c r="BN15" s="47" t="str">
        <f>IF(ISNUMBER(BM15),IF(COUNTIFS(BN$1:BN14,_xlfn.RANK.EQ(BM15,BM$2:BM$111,0))&gt;0,_xlfn.MAXIFS(BN$1:BN14,BM$1:BM14,BM15)+1,_xlfn.RANK.EQ(BM15,BM$2:BM$111,0)),"")</f>
        <v/>
      </c>
      <c r="BO15" s="1" t="str">
        <f>IF(ISNUMBER(BM15)=TRUE,IF(_xlfn.RANK.EQ(BM15,$BM$2:$BM$111)&lt;='Tournament Setup'!$B$49,_xlfn.RANK.EQ(BM15,$BM$2:$BM$111),""),"")</f>
        <v/>
      </c>
      <c r="BP15" s="30" t="str">
        <f>IF(AND($F15='Tournament Setup'!$A$36,SUM($Q15,$S15,$U15)=0),$I15,"")</f>
        <v/>
      </c>
      <c r="BQ15" s="47" t="str">
        <f>IF(ISNUMBER(BP15),IF(COUNTIFS(BQ$1:BQ14,_xlfn.RANK.EQ(BP15,BP$2:BP$111,0))&gt;0,_xlfn.MAXIFS(BQ$1:BQ14,BP$1:BP14,BP15)+1,_xlfn.RANK.EQ(BP15,BP$2:BP$111,0)),"")</f>
        <v/>
      </c>
      <c r="BR15" s="1" t="str">
        <f>IF(ISNUMBER(BP15)=TRUE,IF(_xlfn.RANK.EQ(BP15,$BP$2:$BP$111)&lt;='Tournament Setup'!$B$36,_xlfn.RANK.EQ(BP15,$BP$2:$BP$111),""),"")</f>
        <v/>
      </c>
      <c r="BS15" s="31" t="str">
        <f>IF(AND($F15='Tournament Setup'!$A$36,SUM($Q15,$S15)=0,$E15="M",$BR15&gt;'Tournament Setup'!$B$36),$I15,"")</f>
        <v/>
      </c>
      <c r="BT15" s="1" t="str">
        <f>IF(ISNUMBER(BS15)=TRUE,IF(_xlfn.RANK.EQ(BS15,$BS$2:$BS$111)&lt;='Tournament Setup'!$C$36,_xlfn.RANK.EQ(BS15,$BS$2:$BS$111),""),"")</f>
        <v/>
      </c>
      <c r="BU15" s="31" t="str">
        <f>IF(AND($F15='Tournament Setup'!$A$36,SUM($Q15,$U15)=0,$E15="F",$BR15&gt;'Tournament Setup'!$B$36),$I15,"")</f>
        <v/>
      </c>
      <c r="BV15" s="12" t="str">
        <f>IF(ISNUMBER(BU15)=TRUE,IF(_xlfn.RANK.EQ(BU15,$BU$2:$BU$111)&lt;='Tournament Setup'!$D$36,_xlfn.RANK.EQ(BU15,$BU$2:$BU$111),""),"")</f>
        <v/>
      </c>
      <c r="BW15" s="30">
        <f>IF($H15='Tournament Setup'!$A$41,$I15,"")</f>
        <v>76</v>
      </c>
      <c r="BX15" s="47">
        <f>IF(ISNUMBER(BW15),IF(COUNTIFS(BX$1:BX14,_xlfn.RANK.EQ(BW15,BW$2:BW$111,0))&gt;0,_xlfn.MAXIFS(BX$1:BX14,BW$1:BW14,BW15)+1,_xlfn.RANK.EQ(BW15,BW$2:BW$111,0)),"")</f>
        <v>5</v>
      </c>
      <c r="BY15" s="1" t="str">
        <f>IF(ISNUMBER(BW15)=TRUE,IF(_xlfn.RANK.EQ(BW15,$BW$2:$BW$111)&lt;='Tournament Setup'!$B$41,_xlfn.RANK.EQ(BW15,$BW$2:$BW$111),""),"")</f>
        <v/>
      </c>
      <c r="BZ15" s="31">
        <f>IF(AND($H15='Tournament Setup'!$A$41,$E15="M",$BY15&gt;'Tournament Setup'!$B$41),$I15,"")</f>
        <v>76</v>
      </c>
      <c r="CA15" s="1">
        <f>IF(ISNUMBER(BZ15)=TRUE,IF(_xlfn.RANK.EQ(BZ15,$BZ$2:$BZ$111)&lt;='Tournament Setup'!$C$41,_xlfn.RANK.EQ(BZ15,$BZ$2:$BZ$111),""),"")</f>
        <v>2</v>
      </c>
      <c r="CB15" s="31" t="str">
        <f>IF(AND($H15='Tournament Setup'!$A$41,$E15="F",$BY15&gt;'Tournament Setup'!$B$41),$I15,"")</f>
        <v/>
      </c>
      <c r="CC15" s="12" t="str">
        <f>IF(ISNUMBER(CB15)=TRUE,IF(_xlfn.RANK.EQ(CB15,$CB$2:$CB$111)&lt;='Tournament Setup'!$D$41,_xlfn.RANK.EQ(CB15,$CB$2:$CB$111),""),"")</f>
        <v/>
      </c>
      <c r="CD15" s="30" t="str">
        <f>IF($H15='Tournament Setup'!$A$42,$I15,"")</f>
        <v/>
      </c>
      <c r="CE15" s="47" t="str">
        <f>IF(ISNUMBER(CD15),IF(COUNTIFS(CE$1:CE14,_xlfn.RANK.EQ(CD15,CD$2:CD$111,0))&gt;0,_xlfn.MAXIFS(CE$1:CE14,CD$1:CD14,CD15)+1,_xlfn.RANK.EQ(CD15,CD$2:CD$111,0)),"")</f>
        <v/>
      </c>
      <c r="CF15" s="1" t="str">
        <f>IF(ISNUMBER(CD15)=TRUE,IF(_xlfn.RANK.EQ(CD15,$CD$2:$CD$111)&lt;='Tournament Setup'!$B$42,_xlfn.RANK.EQ(CD15,$CD$2:$CD$111),""),"")</f>
        <v/>
      </c>
      <c r="CG15" s="31" t="str">
        <f>IF(AND($H15='Tournament Setup'!$A$42,$E15="M",$CF15&gt;'Tournament Setup'!$B$42),$I15,"")</f>
        <v/>
      </c>
      <c r="CH15" s="1" t="str">
        <f>IF(ISNUMBER(CG15)=TRUE,IF(_xlfn.RANK.EQ(CG15,$CG$2:$CG$111)&lt;='Tournament Setup'!$C$42,_xlfn.RANK.EQ(CG15,$CG$2:$CG$111),""),"")</f>
        <v/>
      </c>
      <c r="CI15" s="31" t="str">
        <f>IF(AND($H15='Tournament Setup'!$A$42,$E15="F",$CF15&gt;'Tournament Setup'!$B$42),$I15,"")</f>
        <v/>
      </c>
      <c r="CJ15" s="12" t="str">
        <f>IF(ISNUMBER(CI15)=TRUE,IF(_xlfn.RANK.EQ(CI15,$CI$2:$CI$111)&lt;='Tournament Setup'!$D$42,_xlfn.RANK.EQ(CI15,$CI$2:$CI$111),""),"")</f>
        <v/>
      </c>
      <c r="CK15" s="30" t="str">
        <f>IF($H15='Tournament Setup'!$A$43,$I15,"")</f>
        <v/>
      </c>
      <c r="CL15" s="47" t="str">
        <f>IF(ISNUMBER(CK15),IF(COUNTIFS(CL$1:CL14,_xlfn.RANK.EQ(CK15,CK$2:CK$111,0))&gt;0,_xlfn.MAXIFS(CL$1:CL14,CK$1:CK14,CK15)+1,_xlfn.RANK.EQ(CK15,CK$2:CK$111,0)),"")</f>
        <v/>
      </c>
      <c r="CM15" s="1" t="str">
        <f>IF(ISNUMBER(CK15)=TRUE,IF(_xlfn.RANK.EQ(CK15,$CK$2:$CK$111)&lt;='Tournament Setup'!$B$43,_xlfn.RANK.EQ(CK15,$CK$2:$CK$111),""),"")</f>
        <v/>
      </c>
      <c r="CN15" s="31" t="str">
        <f>IF(AND($H15='Tournament Setup'!$A$43,$E15="M",$CM15&gt;'Tournament Setup'!$B$43),$I15,"")</f>
        <v/>
      </c>
      <c r="CO15" s="1" t="str">
        <f>IF(ISNUMBER(CN15)=TRUE,IF(_xlfn.RANK.EQ(CN15,$CN$2:$CN$111)&lt;='Tournament Setup'!$C$43,_xlfn.RANK.EQ(CN15,$CN$2:$CN$111),""),"")</f>
        <v/>
      </c>
      <c r="CP15" s="31" t="str">
        <f>IF(AND($H15='Tournament Setup'!$A$43,$E15="F",$CM15&gt;'Tournament Setup'!$B$43),$I15,"")</f>
        <v/>
      </c>
      <c r="CQ15" s="12" t="str">
        <f>IF(ISNUMBER(CP15)=TRUE,IF(_xlfn.RANK.EQ(CP15,$CP$2:$CP$111)&lt;='Tournament Setup'!$D$43,_xlfn.RANK.EQ(CP15,$CP$2:$CP$111),""),"")</f>
        <v/>
      </c>
      <c r="CR15" s="30" t="str">
        <f>IF($H15='Tournament Setup'!$A$44,$I15,"")</f>
        <v/>
      </c>
      <c r="CS15" s="47" t="str">
        <f>IF(ISNUMBER(CR15),IF(COUNTIFS(CS$1:CS14,_xlfn.RANK.EQ(CR15,CR$2:CR$111,0))&gt;0,_xlfn.MAXIFS(CS$1:CS14,CR$1:CR14,CR15)+1,_xlfn.RANK.EQ(CR15,CR$2:CR$111,0)),"")</f>
        <v/>
      </c>
      <c r="CT15" s="1" t="str">
        <f>IF(ISNUMBER(CR15)=TRUE,IF(_xlfn.RANK.EQ(CR15,$CR$2:$CR$111)&lt;='Tournament Setup'!$B$44,_xlfn.RANK.EQ(CR15,$CR$2:$CR$111),""),"")</f>
        <v/>
      </c>
      <c r="CU15" s="31" t="str">
        <f>IF(AND($H15='Tournament Setup'!$A$44,$E15="M",$CT15&gt;'Tournament Setup'!$B$44),$I15,"")</f>
        <v/>
      </c>
      <c r="CV15" s="1" t="str">
        <f>IF(ISNUMBER(CU15)=TRUE,IF(_xlfn.RANK.EQ(CU15,$CU$2:$CU$111)&lt;='Tournament Setup'!$C$44,_xlfn.RANK.EQ(CU15,$CU$2:$CU$111),""),"")</f>
        <v/>
      </c>
      <c r="CW15" s="31" t="str">
        <f>IF(AND($H15='Tournament Setup'!$A$44,$E15="F",$CT15&gt;'Tournament Setup'!$B$44),$I15,"")</f>
        <v/>
      </c>
      <c r="CX15" s="12" t="str">
        <f>IF(ISNUMBER(CW15)=TRUE,IF(_xlfn.RANK.EQ(CW15,$CW$2:$CW$111)&lt;='Tournament Setup'!$D$44,_xlfn.RANK.EQ(CW15,$CW$2:$CW$111),""),"")</f>
        <v/>
      </c>
    </row>
    <row r="16" spans="1:102" x14ac:dyDescent="0.3">
      <c r="A16" t="s">
        <v>51</v>
      </c>
      <c r="B16" t="str">
        <f>IFERROR(INDEX('Tournament List'!$B:$B,MATCH($A16,'Tournament List'!$A:$A,0)),"")</f>
        <v>Daniel</v>
      </c>
      <c r="C16" t="str">
        <f>IFERROR(INDEX('Tournament List'!$C:$C,MATCH($A16,'Tournament List'!$A:$A,0)),"")</f>
        <v>Last Name15</v>
      </c>
      <c r="D16" t="str">
        <f t="shared" si="0"/>
        <v>Daniel Last Name15</v>
      </c>
      <c r="E16" s="1" t="str">
        <f>IFERROR(INDEX('Tournament List'!F:F,MATCH($A16,'Tournament List'!$A:$A,0)),"")</f>
        <v>M</v>
      </c>
      <c r="F16" t="str">
        <f>IFERROR(INDEX('Tournament List'!M:M,MATCH($A16,'Tournament List'!$A:$A,0)),"")</f>
        <v>Collegiate</v>
      </c>
      <c r="G16" t="str">
        <f>IFERROR(INDEX('Shooter-Squad Assignment'!L:L,MATCH(A16,'Shooter-Squad Assignment'!A:A,0)),"")</f>
        <v>Collegiate</v>
      </c>
      <c r="H16" s="1" t="str">
        <f>IFERROR(INDEX('Tournament List'!AD:AD,MATCH($A16,'Tournament List'!$A:$A,0)),"")</f>
        <v>B</v>
      </c>
      <c r="I16" s="123">
        <f>IFERROR(INDEX('Tournament List'!AG:AG,MATCH($A16,'Tournament List'!$A:$A,0)),"")</f>
        <v>89.1</v>
      </c>
      <c r="J16" s="145" t="str">
        <f>IFERROR(INDEX('Tournament List'!Y:Y,MATCH($A16,'Tournament List'!$A:$A,0)),"")</f>
        <v/>
      </c>
      <c r="K16" s="47">
        <f>IFERROR(INDEX('Tournament List'!S:S,MATCH(A16,'Tournament List'!A:A,0)),"")</f>
        <v>286</v>
      </c>
      <c r="L16" s="47" t="str">
        <f>IF(ISNUMBER(J16),IF(COUNTIFS(L$1:L15,_xlfn.RANK.EQ(J16,J$2:J$111,0))&gt;0,_xlfn.MAXIFS(L$1:L15,J$1:J15,J16)+1,_xlfn.RANK.EQ(J16,J$2:J$111,0)),"")</f>
        <v/>
      </c>
      <c r="M16" s="11">
        <f>IF(ISNUMBER(I16)=TRUE,IF(I16&gt;0,_xlfn.RANK.EQ(I16,$I$2:$I$111,0),""),"")</f>
        <v>8</v>
      </c>
      <c r="N16" s="56">
        <f>IF(ISNUMBER(I16),IF(COUNTIFS(N$1:N15,_xlfn.RANK.EQ(I16,I$2:I$111,0))&gt;0,_xlfn.MAXIFS(N$1:N15,I$1:I15,I16)+1,_xlfn.RANK.EQ(I16,I$2:I$111,0)),"")</f>
        <v>9</v>
      </c>
      <c r="O16" s="144" t="str">
        <f>IF(F16&lt;&gt;"Collegiate"=TRUE,$I16,"")</f>
        <v/>
      </c>
      <c r="P16" s="47" t="str">
        <f>IF(ISNUMBER(O16),IF(COUNTIFS(P$1:P15,_xlfn.RANK.EQ(O16,O$2:O$111,0))&gt;0,_xlfn.MAXIFS(P$1:P15,O$1:O15,O16)+1,_xlfn.RANK.EQ(O16,O$2:O$111,0)),"")</f>
        <v/>
      </c>
      <c r="Q16" s="1" t="str">
        <f>IF(ISNUMBER(O16)=TRUE,IF(_xlfn.RANK.EQ(O16,$O$2:$O$111)&lt;='Tournament Setup'!$B$26,_xlfn.RANK.EQ(O16,$O$2:$O$111),""),"")</f>
        <v/>
      </c>
      <c r="R16" s="143" t="str">
        <f>IF(AND($E16="M",SUM($Q16)=0,F16&lt;&gt;"Collegiate")=TRUE,$I16,"")</f>
        <v/>
      </c>
      <c r="S16" s="1" t="str">
        <f>IF(ISNUMBER(R16)=TRUE,IF(_xlfn.RANK.EQ(R16,$R$2:$R$111)&lt;='Tournament Setup'!$B$27,_xlfn.RANK.EQ(R16,$R$2:$R$111),""),"")</f>
        <v/>
      </c>
      <c r="T16" s="143" t="str">
        <f>IF(AND($E16="F",SUM($Q16)=0,F16&lt;&gt;"Collegiate")=TRUE,$I16,"")</f>
        <v/>
      </c>
      <c r="U16" s="12" t="str">
        <f>IF(ISNUMBER(T16)=TRUE,IF(_xlfn.RANK.EQ(T16,$T$2:$T$111)&lt;='Tournament Setup'!$B$28,_xlfn.RANK.EQ(T16,$T$2:$T$111),""),"")</f>
        <v/>
      </c>
      <c r="V16" s="145" t="str">
        <f>IF(AND($G16='Tournament Setup'!$A$53,$J16&lt;&gt;0),$J16,"")</f>
        <v/>
      </c>
      <c r="W16" s="47" t="str">
        <f>IF(ISNUMBER(V16),IF(COUNTIFS(W$1:W15,_xlfn.RANK.EQ(V16,V$2:V$111,0))&gt;0,_xlfn.MAXIFS(W$1:W15,V$1:V15,V16)+1,_xlfn.RANK.EQ(V16,V$2:V$111,0)),"")</f>
        <v/>
      </c>
      <c r="X16" s="1" t="str">
        <f>IF(ISNUMBER(V16)=TRUE,IF(_xlfn.RANK.EQ(V16,$V$2:$V$111)&lt;='Tournament Setup'!$B$53,_xlfn.RANK.EQ(V16,$V$2:$V$111),""),"")</f>
        <v/>
      </c>
      <c r="Y16" s="145" t="str">
        <f>IF(AND($G16='Tournament Setup'!$A$49,$J16&lt;&gt;0),$J16,"")</f>
        <v/>
      </c>
      <c r="Z16" s="47" t="str">
        <f>IF(ISNUMBER(Y16),IF(COUNTIFS(Z$1:Z15,_xlfn.RANK.EQ(Y16,Y$2:Y$111,0))&gt;0,_xlfn.MAXIFS(Z$1:Z15,Y$1:Y15,Y16)+1,_xlfn.RANK.EQ(Y16,Y$2:Y$111,0)),"")</f>
        <v/>
      </c>
      <c r="AA16" s="1" t="str">
        <f>IF(ISNUMBER(Y16)=TRUE,IF(_xlfn.RANK.EQ(Y16,$Y$2:$Y$111)&lt;='Tournament Setup'!$B$49,_xlfn.RANK.EQ(Y16,$Y$2:$Y$111),""),"")</f>
        <v/>
      </c>
      <c r="AB16" s="30" t="str">
        <f>IF(AND($F16='Tournament Setup'!$A$32,SUM($Q16,$S16,$U16)=0),$I16,"")</f>
        <v/>
      </c>
      <c r="AC16" s="47" t="str">
        <f>IF(ISNUMBER(AB16),IF(COUNTIFS(AC$1:AC15,_xlfn.RANK.EQ(AB16,AB$2:AB$111,0))&gt;0,_xlfn.MAXIFS(AC$1:AC15,AB$1:AB15,AB16)+1,_xlfn.RANK.EQ(AB16,AB$2:AB$111,0)),"")</f>
        <v/>
      </c>
      <c r="AD16" s="1" t="str">
        <f>IF(ISNUMBER(AB16)=TRUE,IF(_xlfn.RANK.EQ(AB16,$AB$2:$AB$111)&lt;='Tournament Setup'!$B$32,_xlfn.RANK.EQ(AB16,$AB$2:$AB$111),""),"")</f>
        <v/>
      </c>
      <c r="AE16" s="31" t="str">
        <f>IF(AND($F16='Tournament Setup'!$A$32,SUM($Q16,$S16)=0,$E16="M",$AD16&gt;'Tournament Setup'!$B$32),$I16,"")</f>
        <v/>
      </c>
      <c r="AF16" s="1" t="str">
        <f>IF(ISNUMBER(AE16)=TRUE,IF(_xlfn.RANK.EQ(AE16,$AE$2:$AE$111)&lt;='Tournament Setup'!$C$32,_xlfn.RANK.EQ(AE16,$AE$2:$AE$111),""),"")</f>
        <v/>
      </c>
      <c r="AG16" s="31" t="str">
        <f>IF(AND($F16='Tournament Setup'!$A$32,SUM($Q16,$U16)=0,$E16="F",$AD16&gt;'Tournament Setup'!$B$32),$I16,"")</f>
        <v/>
      </c>
      <c r="AH16" s="12" t="str">
        <f>IF(ISNUMBER(AG16)=TRUE,IF(_xlfn.RANK.EQ(AG16,$AG$2:$AG$111)&lt;='Tournament Setup'!$D$32,_xlfn.RANK.EQ(AG16,$AG$2:$AG$111),""),"")</f>
        <v/>
      </c>
      <c r="AI16" s="30" t="str">
        <f>IF(AND($G16='Tournament Setup'!$A$50,$J16&lt;&gt;0),$J16,"")</f>
        <v/>
      </c>
      <c r="AJ16" s="47" t="str">
        <f>IF(ISNUMBER(AI16),IF(COUNTIFS(AJ$1:AJ15,_xlfn.RANK.EQ(AI16,AI$2:AI$111,0))&gt;0,_xlfn.MAXIFS(AJ$1:AJ15,AI$1:AI15,AI16)+1,_xlfn.RANK.EQ(AI16,AI$2:AI$111,0)),"")</f>
        <v/>
      </c>
      <c r="AK16" s="1" t="str">
        <f>IF(ISNUMBER(AI16)=TRUE,IF(_xlfn.RANK.EQ(AI16,$AI$2:$AI$111)&lt;='Tournament Setup'!$B$49,_xlfn.RANK.EQ(AI16,$AI$2:$AI$111),""),"")</f>
        <v/>
      </c>
      <c r="AL16" s="30" t="str">
        <f>IF(AND($F16='Tournament Setup'!$A$33,SUM($Q16,$S16,$U16)=0),$I16,"")</f>
        <v/>
      </c>
      <c r="AM16" s="47" t="str">
        <f>IF(ISNUMBER(AL16),IF(COUNTIFS(AM$1:AM15,_xlfn.RANK.EQ(AL16,AL$2:AL$111,0))&gt;0,_xlfn.MAXIFS(AM$1:AM15,AL$1:AL15,AL16)+1,_xlfn.RANK.EQ(AL16,AL$2:AL$111,0)),"")</f>
        <v/>
      </c>
      <c r="AN16" s="1" t="str">
        <f>IF(ISNUMBER(AL16)=TRUE,IF(_xlfn.RANK.EQ(AL16,$AL$2:$AL$111)&lt;='Tournament Setup'!$B$33,_xlfn.RANK.EQ(AL16,$AL$2:$AL$111),""),"")</f>
        <v/>
      </c>
      <c r="AO16" s="31" t="str">
        <f>IF(AND($F16='Tournament Setup'!$A$33,SUM($Q16,$S16)=0,$E16="M",$AN16&gt;'Tournament Setup'!$B$33),$I16,"")</f>
        <v/>
      </c>
      <c r="AP16" s="1" t="str">
        <f>IF(ISNUMBER(AO16)=TRUE,IF(_xlfn.RANK.EQ(AO16,$AO$2:$AO$111)&lt;='Tournament Setup'!$C$33,_xlfn.RANK.EQ(AO16,$AO$2:$AO$111),""),"")</f>
        <v/>
      </c>
      <c r="AQ16" s="31" t="str">
        <f>IF(AND($F16='Tournament Setup'!$A$33,SUM($Q16,$U16)=0,$E16="F",$AN16&gt;'Tournament Setup'!$B$33),$I16,"")</f>
        <v/>
      </c>
      <c r="AR16" s="12" t="str">
        <f>IF(ISNUMBER(AQ16)=TRUE,IF(_xlfn.RANK.EQ(AQ16,$AQ$2:$AQ$111)&lt;='Tournament Setup'!$D$33,_xlfn.RANK.EQ(AQ16,$AQ$2:$AQ$111),""),"")</f>
        <v/>
      </c>
      <c r="AS16" s="30" t="str">
        <f>IF(AND($G16='Tournament Setup'!$A$51,$J16&lt;&gt;0),$J16,"")</f>
        <v/>
      </c>
      <c r="AT16" s="47" t="str">
        <f>IF(ISNUMBER(AS16),IF(COUNTIFS(AT$1:AT15,_xlfn.RANK.EQ(AS16,AS$2:AS$111,0))&gt;0,_xlfn.MAXIFS(AT$1:AT15,AS$1:AS15,AS16)+1,_xlfn.RANK.EQ(AS16,AS$2:AS$111,0)),"")</f>
        <v/>
      </c>
      <c r="AU16" s="1" t="str">
        <f>IF(ISNUMBER(AS16)=TRUE,IF(_xlfn.RANK.EQ(AS16,$AS$2:$AS$111)&lt;='Tournament Setup'!$B$49,_xlfn.RANK.EQ(AS16,$AS$2:$AS$111),""),"")</f>
        <v/>
      </c>
      <c r="AV16" s="30" t="str">
        <f>IF(AND($F16='Tournament Setup'!$A$34,SUM($Q16,$S16,$U16)=0),$I16,"")</f>
        <v/>
      </c>
      <c r="AW16" s="47" t="str">
        <f>IF(ISNUMBER(AV16),IF(COUNTIFS(AW$1:AW15,_xlfn.RANK.EQ(AV16,AV$2:AV$111,0))&gt;0,_xlfn.MAXIFS(AW$1:AW15,AV$1:AV15,AV16)+1,_xlfn.RANK.EQ(AV16,AV$2:AV$111,0)),"")</f>
        <v/>
      </c>
      <c r="AX16" s="1" t="str">
        <f>IF(ISNUMBER(AV16)=TRUE,IF(_xlfn.RANK.EQ(AV16,$AV$2:$AV$111)&lt;='Tournament Setup'!$B$34,_xlfn.RANK.EQ(AV16,$AV$2:$AV$111),""),"")</f>
        <v/>
      </c>
      <c r="AY16" s="31" t="str">
        <f>IF(AND($F16='Tournament Setup'!$A$34,SUM($Q16,$S16)=0,$E16="M",$AX16&gt;'Tournament Setup'!$B$34),$I16,"")</f>
        <v/>
      </c>
      <c r="AZ16" s="1" t="str">
        <f>IF(ISNUMBER(AY16)=TRUE,IF(_xlfn.RANK.EQ(AY16,$AY$2:$AY$111)&lt;='Tournament Setup'!$C$34,_xlfn.RANK.EQ(AY16,$AY$2:$AY$111),""),"")</f>
        <v/>
      </c>
      <c r="BA16" s="31" t="str">
        <f>IF(AND($F16='Tournament Setup'!$A$34,SUM($Q16,$U16)=0,$E16="F",$AX16&gt;'Tournament Setup'!$B$34),$I16,"")</f>
        <v/>
      </c>
      <c r="BB16" s="12" t="str">
        <f>IF(ISNUMBER(BA16)=TRUE,IF(_xlfn.RANK.EQ(BA16,$BA$2:$BA$111)&lt;='Tournament Setup'!$D$34,_xlfn.RANK.EQ(BA16,$BA$2:$BA$111),""),"")</f>
        <v/>
      </c>
      <c r="BC16" s="30" t="str">
        <f>IF(AND($G16='Tournament Setup'!$A$52,$J16&lt;&gt;0),$J16,"")</f>
        <v/>
      </c>
      <c r="BD16" s="47" t="str">
        <f>IF(ISNUMBER(BC16),IF(COUNTIFS(BD$1:BD15,_xlfn.RANK.EQ(BC16,BC$2:BC$111,0))&gt;0,_xlfn.MAXIFS(BD$1:BD15,BC$1:BC15,BC16)+1,_xlfn.RANK.EQ(BC16,BC$2:BC$111,0)),"")</f>
        <v/>
      </c>
      <c r="BE16" s="1" t="str">
        <f>IF(ISNUMBER(BC16)=TRUE,IF(_xlfn.RANK.EQ(BC16,$BC$2:$BC$111)&lt;='Tournament Setup'!$B$49,_xlfn.RANK.EQ(BC16,$BC$2:$BC$111),""),"")</f>
        <v/>
      </c>
      <c r="BF16" s="30" t="str">
        <f>IF(AND($F16='Tournament Setup'!$A$35,SUM($Q16,$S16,$U16)=0),$I16,"")</f>
        <v/>
      </c>
      <c r="BG16" s="47" t="str">
        <f>IF(ISNUMBER(BF16),IF(COUNTIFS(BG$1:BG15,_xlfn.RANK.EQ(BF16,BF$2:BF$111,0))&gt;0,_xlfn.MAXIFS(BG$1:BG15,BF$1:BF15,BF16)+1,_xlfn.RANK.EQ(BF16,BF$2:BF$111,0)),"")</f>
        <v/>
      </c>
      <c r="BH16" s="1" t="str">
        <f>IF(ISNUMBER(BF16)=TRUE,IF(_xlfn.RANK.EQ(BF16,$BF$2:$BF$111)&lt;='Tournament Setup'!$B$35,_xlfn.RANK.EQ(BF16,$BF$2:$BF$111),""),"")</f>
        <v/>
      </c>
      <c r="BI16" s="31" t="str">
        <f>IF(AND($F16='Tournament Setup'!$A$35,SUM($Q16,$S16)=0,$E16="M",$BH16&gt;'Tournament Setup'!$B$35),$I16,"")</f>
        <v/>
      </c>
      <c r="BJ16" s="1" t="str">
        <f>IF(ISNUMBER(BI16)=TRUE,IF(_xlfn.RANK.EQ(BI16,$BI$2:$BI$111)&lt;='Tournament Setup'!$C$35,_xlfn.RANK.EQ(BI16,$BI$2:$BI$111),""),"")</f>
        <v/>
      </c>
      <c r="BK16" s="31" t="str">
        <f>IF(AND($F16='Tournament Setup'!$A$35,SUM($Q16,$U16)=0,$E16="F",$BH16&gt;'Tournament Setup'!$B$35),$I16,"")</f>
        <v/>
      </c>
      <c r="BL16" s="12" t="str">
        <f>IF(ISNUMBER(BK16)=TRUE,IF(_xlfn.RANK.EQ(BK16,$BK$2:$BK$111)&lt;='Tournament Setup'!$D$35,_xlfn.RANK.EQ(BK16,$BK$2:$BK$111),""),"")</f>
        <v/>
      </c>
      <c r="BM16" s="30" t="str">
        <f>IF(AND($G16='Tournament Setup'!$A$54,$J16&lt;&gt;0),$J16,"")</f>
        <v/>
      </c>
      <c r="BN16" s="47" t="str">
        <f>IF(ISNUMBER(BM16),IF(COUNTIFS(BN$1:BN15,_xlfn.RANK.EQ(BM16,BM$2:BM$111,0))&gt;0,_xlfn.MAXIFS(BN$1:BN15,BM$1:BM15,BM16)+1,_xlfn.RANK.EQ(BM16,BM$2:BM$111,0)),"")</f>
        <v/>
      </c>
      <c r="BO16" s="1" t="str">
        <f>IF(ISNUMBER(BM16)=TRUE,IF(_xlfn.RANK.EQ(BM16,$BM$2:$BM$111)&lt;='Tournament Setup'!$B$49,_xlfn.RANK.EQ(BM16,$BM$2:$BM$111),""),"")</f>
        <v/>
      </c>
      <c r="BP16" s="30">
        <f>IF(AND($F16='Tournament Setup'!$A$36,SUM($Q16,$S16,$U16)=0),$I16,"")</f>
        <v>89.1</v>
      </c>
      <c r="BQ16" s="47">
        <f>IF(ISNUMBER(BP16),IF(COUNTIFS(BQ$1:BQ15,_xlfn.RANK.EQ(BP16,BP$2:BP$111,0))&gt;0,_xlfn.MAXIFS(BQ$1:BQ15,BP$1:BP15,BP16)+1,_xlfn.RANK.EQ(BP16,BP$2:BP$111,0)),"")</f>
        <v>2</v>
      </c>
      <c r="BR16" s="1">
        <f>IF(ISNUMBER(BP16)=TRUE,IF(_xlfn.RANK.EQ(BP16,$BP$2:$BP$111)&lt;='Tournament Setup'!$B$36,_xlfn.RANK.EQ(BP16,$BP$2:$BP$111),""),"")</f>
        <v>2</v>
      </c>
      <c r="BS16" s="31" t="str">
        <f>IF(AND($F16='Tournament Setup'!$A$36,SUM($Q16,$S16)=0,$E16="M",$BR16&gt;'Tournament Setup'!$B$36),$I16,"")</f>
        <v/>
      </c>
      <c r="BT16" s="1" t="str">
        <f>IF(ISNUMBER(BS16)=TRUE,IF(_xlfn.RANK.EQ(BS16,$BS$2:$BS$111)&lt;='Tournament Setup'!$C$36,_xlfn.RANK.EQ(BS16,$BS$2:$BS$111),""),"")</f>
        <v/>
      </c>
      <c r="BU16" s="31" t="str">
        <f>IF(AND($F16='Tournament Setup'!$A$36,SUM($Q16,$U16)=0,$E16="F",$BR16&gt;'Tournament Setup'!$B$36),$I16,"")</f>
        <v/>
      </c>
      <c r="BV16" s="12" t="str">
        <f>IF(ISNUMBER(BU16)=TRUE,IF(_xlfn.RANK.EQ(BU16,$BU$2:$BU$111)&lt;='Tournament Setup'!$D$36,_xlfn.RANK.EQ(BU16,$BU$2:$BU$111),""),"")</f>
        <v/>
      </c>
      <c r="BW16" s="30" t="str">
        <f>IF($H16='Tournament Setup'!$A$41,$I16,"")</f>
        <v/>
      </c>
      <c r="BX16" s="47" t="str">
        <f>IF(ISNUMBER(BW16),IF(COUNTIFS(BX$1:BX15,_xlfn.RANK.EQ(BW16,BW$2:BW$111,0))&gt;0,_xlfn.MAXIFS(BX$1:BX15,BW$1:BW15,BW16)+1,_xlfn.RANK.EQ(BW16,BW$2:BW$111,0)),"")</f>
        <v/>
      </c>
      <c r="BY16" s="1" t="str">
        <f>IF(ISNUMBER(BW16)=TRUE,IF(_xlfn.RANK.EQ(BW16,$BW$2:$BW$111)&lt;='Tournament Setup'!$B$41,_xlfn.RANK.EQ(BW16,$BW$2:$BW$111),""),"")</f>
        <v/>
      </c>
      <c r="BZ16" s="31" t="str">
        <f>IF(AND($H16='Tournament Setup'!$A$41,$E16="M",$BY16&gt;'Tournament Setup'!$B$41),$I16,"")</f>
        <v/>
      </c>
      <c r="CA16" s="1" t="str">
        <f>IF(ISNUMBER(BZ16)=TRUE,IF(_xlfn.RANK.EQ(BZ16,$BZ$2:$BZ$111)&lt;='Tournament Setup'!$C$41,_xlfn.RANK.EQ(BZ16,$BZ$2:$BZ$111),""),"")</f>
        <v/>
      </c>
      <c r="CB16" s="31" t="str">
        <f>IF(AND($H16='Tournament Setup'!$A$41,$E16="F",$BY16&gt;'Tournament Setup'!$B$41),$I16,"")</f>
        <v/>
      </c>
      <c r="CC16" s="12" t="str">
        <f>IF(ISNUMBER(CB16)=TRUE,IF(_xlfn.RANK.EQ(CB16,$CB$2:$CB$111)&lt;='Tournament Setup'!$D$41,_xlfn.RANK.EQ(CB16,$CB$2:$CB$111),""),"")</f>
        <v/>
      </c>
      <c r="CD16" s="30">
        <f>IF($H16='Tournament Setup'!$A$42,$I16,"")</f>
        <v>89.1</v>
      </c>
      <c r="CE16" s="47">
        <f>IF(ISNUMBER(CD16),IF(COUNTIFS(CE$1:CE15,_xlfn.RANK.EQ(CD16,CD$2:CD$111,0))&gt;0,_xlfn.MAXIFS(CE$1:CE15,CD$1:CD15,CD16)+1,_xlfn.RANK.EQ(CD16,CD$2:CD$111,0)),"")</f>
        <v>5</v>
      </c>
      <c r="CF16" s="1" t="str">
        <f>IF(ISNUMBER(CD16)=TRUE,IF(_xlfn.RANK.EQ(CD16,$CD$2:$CD$111)&lt;='Tournament Setup'!$B$42,_xlfn.RANK.EQ(CD16,$CD$2:$CD$111),""),"")</f>
        <v/>
      </c>
      <c r="CG16" s="31">
        <f>IF(AND($H16='Tournament Setup'!$A$42,$E16="M",$CF16&gt;'Tournament Setup'!$B$42),$I16,"")</f>
        <v>89.1</v>
      </c>
      <c r="CH16" s="1">
        <f>IF(ISNUMBER(CG16)=TRUE,IF(_xlfn.RANK.EQ(CG16,$CG$2:$CG$111)&lt;='Tournament Setup'!$C$42,_xlfn.RANK.EQ(CG16,$CG$2:$CG$111),""),"")</f>
        <v>1</v>
      </c>
      <c r="CI16" s="31" t="str">
        <f>IF(AND($H16='Tournament Setup'!$A$42,$E16="F",$CF16&gt;'Tournament Setup'!$B$42),$I16,"")</f>
        <v/>
      </c>
      <c r="CJ16" s="12" t="str">
        <f>IF(ISNUMBER(CI16)=TRUE,IF(_xlfn.RANK.EQ(CI16,$CI$2:$CI$111)&lt;='Tournament Setup'!$D$42,_xlfn.RANK.EQ(CI16,$CI$2:$CI$111),""),"")</f>
        <v/>
      </c>
      <c r="CK16" s="30" t="str">
        <f>IF($H16='Tournament Setup'!$A$43,$I16,"")</f>
        <v/>
      </c>
      <c r="CL16" s="47" t="str">
        <f>IF(ISNUMBER(CK16),IF(COUNTIFS(CL$1:CL15,_xlfn.RANK.EQ(CK16,CK$2:CK$111,0))&gt;0,_xlfn.MAXIFS(CL$1:CL15,CK$1:CK15,CK16)+1,_xlfn.RANK.EQ(CK16,CK$2:CK$111,0)),"")</f>
        <v/>
      </c>
      <c r="CM16" s="1" t="str">
        <f>IF(ISNUMBER(CK16)=TRUE,IF(_xlfn.RANK.EQ(CK16,$CK$2:$CK$111)&lt;='Tournament Setup'!$B$43,_xlfn.RANK.EQ(CK16,$CK$2:$CK$111),""),"")</f>
        <v/>
      </c>
      <c r="CN16" s="31" t="str">
        <f>IF(AND($H16='Tournament Setup'!$A$43,$E16="M",$CM16&gt;'Tournament Setup'!$B$43),$I16,"")</f>
        <v/>
      </c>
      <c r="CO16" s="1" t="str">
        <f>IF(ISNUMBER(CN16)=TRUE,IF(_xlfn.RANK.EQ(CN16,$CN$2:$CN$111)&lt;='Tournament Setup'!$C$43,_xlfn.RANK.EQ(CN16,$CN$2:$CN$111),""),"")</f>
        <v/>
      </c>
      <c r="CP16" s="31" t="str">
        <f>IF(AND($H16='Tournament Setup'!$A$43,$E16="F",$CM16&gt;'Tournament Setup'!$B$43),$I16,"")</f>
        <v/>
      </c>
      <c r="CQ16" s="12" t="str">
        <f>IF(ISNUMBER(CP16)=TRUE,IF(_xlfn.RANK.EQ(CP16,$CP$2:$CP$111)&lt;='Tournament Setup'!$D$43,_xlfn.RANK.EQ(CP16,$CP$2:$CP$111),""),"")</f>
        <v/>
      </c>
      <c r="CR16" s="30" t="str">
        <f>IF($H16='Tournament Setup'!$A$44,$I16,"")</f>
        <v/>
      </c>
      <c r="CS16" s="47" t="str">
        <f>IF(ISNUMBER(CR16),IF(COUNTIFS(CS$1:CS15,_xlfn.RANK.EQ(CR16,CR$2:CR$111,0))&gt;0,_xlfn.MAXIFS(CS$1:CS15,CR$1:CR15,CR16)+1,_xlfn.RANK.EQ(CR16,CR$2:CR$111,0)),"")</f>
        <v/>
      </c>
      <c r="CT16" s="1" t="str">
        <f>IF(ISNUMBER(CR16)=TRUE,IF(_xlfn.RANK.EQ(CR16,$CR$2:$CR$111)&lt;='Tournament Setup'!$B$44,_xlfn.RANK.EQ(CR16,$CR$2:$CR$111),""),"")</f>
        <v/>
      </c>
      <c r="CU16" s="31" t="str">
        <f>IF(AND($H16='Tournament Setup'!$A$44,$E16="M",$CT16&gt;'Tournament Setup'!$B$44),$I16,"")</f>
        <v/>
      </c>
      <c r="CV16" s="1" t="str">
        <f>IF(ISNUMBER(CU16)=TRUE,IF(_xlfn.RANK.EQ(CU16,$CU$2:$CU$111)&lt;='Tournament Setup'!$C$44,_xlfn.RANK.EQ(CU16,$CU$2:$CU$111),""),"")</f>
        <v/>
      </c>
      <c r="CW16" s="31" t="str">
        <f>IF(AND($H16='Tournament Setup'!$A$44,$E16="F",$CT16&gt;'Tournament Setup'!$B$44),$I16,"")</f>
        <v/>
      </c>
      <c r="CX16" s="12" t="str">
        <f>IF(ISNUMBER(CW16)=TRUE,IF(_xlfn.RANK.EQ(CW16,$CW$2:$CW$111)&lt;='Tournament Setup'!$D$44,_xlfn.RANK.EQ(CW16,$CW$2:$CW$111),""),"")</f>
        <v/>
      </c>
    </row>
    <row r="17" spans="1:102" x14ac:dyDescent="0.3">
      <c r="A17" t="s">
        <v>52</v>
      </c>
      <c r="B17" t="str">
        <f>IFERROR(INDEX('Tournament List'!$B:$B,MATCH($A17,'Tournament List'!$A:$A,0)),"")</f>
        <v>Paul</v>
      </c>
      <c r="C17" t="str">
        <f>IFERROR(INDEX('Tournament List'!$C:$C,MATCH($A17,'Tournament List'!$A:$A,0)),"")</f>
        <v>Last Name16</v>
      </c>
      <c r="D17" t="str">
        <f t="shared" si="0"/>
        <v>Paul Last Name16</v>
      </c>
      <c r="E17" s="1" t="str">
        <f>IFERROR(INDEX('Tournament List'!F:F,MATCH($A17,'Tournament List'!$A:$A,0)),"")</f>
        <v>M</v>
      </c>
      <c r="F17" t="str">
        <f>IFERROR(INDEX('Tournament List'!M:M,MATCH($A17,'Tournament List'!$A:$A,0)),"")</f>
        <v>Varsity</v>
      </c>
      <c r="G17" t="str">
        <f>IFERROR(INDEX('Shooter-Squad Assignment'!L:L,MATCH(A17,'Shooter-Squad Assignment'!A:A,0)),"")</f>
        <v/>
      </c>
      <c r="H17" s="1" t="str">
        <f>IFERROR(INDEX('Tournament List'!AD:AD,MATCH($A17,'Tournament List'!$A:$A,0)),"")</f>
        <v>D</v>
      </c>
      <c r="I17" s="123">
        <f>IFERROR(INDEX('Tournament List'!AG:AG,MATCH($A17,'Tournament List'!$A:$A,0)),"")</f>
        <v>42</v>
      </c>
      <c r="J17" s="145" t="str">
        <f>IFERROR(INDEX('Tournament List'!Y:Y,MATCH($A17,'Tournament List'!$A:$A,0)),"")</f>
        <v/>
      </c>
      <c r="K17" s="47" t="str">
        <f>IFERROR(INDEX('Tournament List'!S:S,MATCH(A17,'Tournament List'!A:A,0)),"")</f>
        <v/>
      </c>
      <c r="L17" s="47" t="str">
        <f>IF(ISNUMBER(J17),IF(COUNTIFS(L$1:L16,_xlfn.RANK.EQ(J17,J$2:J$111,0))&gt;0,_xlfn.MAXIFS(L$1:L16,J$1:J16,J17)+1,_xlfn.RANK.EQ(J17,J$2:J$111,0)),"")</f>
        <v/>
      </c>
      <c r="M17" s="11">
        <f>IF(ISNUMBER(I17)=TRUE,IF(I17&gt;0,_xlfn.RANK.EQ(I17,$I$2:$I$111,0),""),"")</f>
        <v>45</v>
      </c>
      <c r="N17" s="56">
        <f>IF(ISNUMBER(I17),IF(COUNTIFS(N$1:N16,_xlfn.RANK.EQ(I17,I$2:I$111,0))&gt;0,_xlfn.MAXIFS(N$1:N16,I$1:I16,I17)+1,_xlfn.RANK.EQ(I17,I$2:I$111,0)),"")</f>
        <v>45</v>
      </c>
      <c r="O17" s="144">
        <f>IF(F17&lt;&gt;"Collegiate"=TRUE,$I17,"")</f>
        <v>42</v>
      </c>
      <c r="P17" s="47">
        <f>IF(ISNUMBER(O17),IF(COUNTIFS(P$1:P16,_xlfn.RANK.EQ(O17,O$2:O$111,0))&gt;0,_xlfn.MAXIFS(P$1:P16,O$1:O16,O17)+1,_xlfn.RANK.EQ(O17,O$2:O$111,0)),"")</f>
        <v>39</v>
      </c>
      <c r="Q17" s="1" t="str">
        <f>IF(ISNUMBER(O17)=TRUE,IF(_xlfn.RANK.EQ(O17,$O$2:$O$111)&lt;='Tournament Setup'!$B$26,_xlfn.RANK.EQ(O17,$O$2:$O$111),""),"")</f>
        <v/>
      </c>
      <c r="R17" s="143">
        <f>IF(AND($E17="M",SUM($Q17)=0,F17&lt;&gt;"Collegiate")=TRUE,$I17,"")</f>
        <v>42</v>
      </c>
      <c r="S17" s="1" t="str">
        <f>IF(ISNUMBER(R17)=TRUE,IF(_xlfn.RANK.EQ(R17,$R$2:$R$111)&lt;='Tournament Setup'!$B$27,_xlfn.RANK.EQ(R17,$R$2:$R$111),""),"")</f>
        <v/>
      </c>
      <c r="T17" s="143" t="str">
        <f>IF(AND($E17="F",SUM($Q17)=0,F17&lt;&gt;"Collegiate")=TRUE,$I17,"")</f>
        <v/>
      </c>
      <c r="U17" s="12" t="str">
        <f>IF(ISNUMBER(T17)=TRUE,IF(_xlfn.RANK.EQ(T17,$T$2:$T$111)&lt;='Tournament Setup'!$B$28,_xlfn.RANK.EQ(T17,$T$2:$T$111),""),"")</f>
        <v/>
      </c>
      <c r="V17" s="145" t="str">
        <f>IF(AND($G17='Tournament Setup'!$A$53,$J17&lt;&gt;0),$J17,"")</f>
        <v/>
      </c>
      <c r="W17" s="47" t="str">
        <f>IF(ISNUMBER(V17),IF(COUNTIFS(W$1:W16,_xlfn.RANK.EQ(V17,V$2:V$111,0))&gt;0,_xlfn.MAXIFS(W$1:W16,V$1:V16,V17)+1,_xlfn.RANK.EQ(V17,V$2:V$111,0)),"")</f>
        <v/>
      </c>
      <c r="X17" s="1" t="str">
        <f>IF(ISNUMBER(V17)=TRUE,IF(_xlfn.RANK.EQ(V17,$V$2:$V$111)&lt;='Tournament Setup'!$B$53,_xlfn.RANK.EQ(V17,$V$2:$V$111),""),"")</f>
        <v/>
      </c>
      <c r="Y17" s="145" t="str">
        <f>IF(AND($G17='Tournament Setup'!$A$49,$J17&lt;&gt;0),$J17,"")</f>
        <v/>
      </c>
      <c r="Z17" s="47" t="str">
        <f>IF(ISNUMBER(Y17),IF(COUNTIFS(Z$1:Z16,_xlfn.RANK.EQ(Y17,Y$2:Y$111,0))&gt;0,_xlfn.MAXIFS(Z$1:Z16,Y$1:Y16,Y17)+1,_xlfn.RANK.EQ(Y17,Y$2:Y$111,0)),"")</f>
        <v/>
      </c>
      <c r="AA17" s="1" t="str">
        <f>IF(ISNUMBER(Y17)=TRUE,IF(_xlfn.RANK.EQ(Y17,$Y$2:$Y$111)&lt;='Tournament Setup'!$B$49,_xlfn.RANK.EQ(Y17,$Y$2:$Y$111),""),"")</f>
        <v/>
      </c>
      <c r="AB17" s="30" t="str">
        <f>IF(AND($F17='Tournament Setup'!$A$32,SUM($Q17,$S17,$U17)=0),$I17,"")</f>
        <v/>
      </c>
      <c r="AC17" s="47" t="str">
        <f>IF(ISNUMBER(AB17),IF(COUNTIFS(AC$1:AC16,_xlfn.RANK.EQ(AB17,AB$2:AB$111,0))&gt;0,_xlfn.MAXIFS(AC$1:AC16,AB$1:AB16,AB17)+1,_xlfn.RANK.EQ(AB17,AB$2:AB$111,0)),"")</f>
        <v/>
      </c>
      <c r="AD17" s="1" t="str">
        <f>IF(ISNUMBER(AB17)=TRUE,IF(_xlfn.RANK.EQ(AB17,$AB$2:$AB$111)&lt;='Tournament Setup'!$B$32,_xlfn.RANK.EQ(AB17,$AB$2:$AB$111),""),"")</f>
        <v/>
      </c>
      <c r="AE17" s="31" t="str">
        <f>IF(AND($F17='Tournament Setup'!$A$32,SUM($Q17,$S17)=0,$E17="M",$AD17&gt;'Tournament Setup'!$B$32),$I17,"")</f>
        <v/>
      </c>
      <c r="AF17" s="1" t="str">
        <f>IF(ISNUMBER(AE17)=TRUE,IF(_xlfn.RANK.EQ(AE17,$AE$2:$AE$111)&lt;='Tournament Setup'!$C$32,_xlfn.RANK.EQ(AE17,$AE$2:$AE$111),""),"")</f>
        <v/>
      </c>
      <c r="AG17" s="31" t="str">
        <f>IF(AND($F17='Tournament Setup'!$A$32,SUM($Q17,$U17)=0,$E17="F",$AD17&gt;'Tournament Setup'!$B$32),$I17,"")</f>
        <v/>
      </c>
      <c r="AH17" s="12" t="str">
        <f>IF(ISNUMBER(AG17)=TRUE,IF(_xlfn.RANK.EQ(AG17,$AG$2:$AG$111)&lt;='Tournament Setup'!$D$32,_xlfn.RANK.EQ(AG17,$AG$2:$AG$111),""),"")</f>
        <v/>
      </c>
      <c r="AI17" s="30" t="str">
        <f>IF(AND($G17='Tournament Setup'!$A$50,$J17&lt;&gt;0),$J17,"")</f>
        <v/>
      </c>
      <c r="AJ17" s="47" t="str">
        <f>IF(ISNUMBER(AI17),IF(COUNTIFS(AJ$1:AJ16,_xlfn.RANK.EQ(AI17,AI$2:AI$111,0))&gt;0,_xlfn.MAXIFS(AJ$1:AJ16,AI$1:AI16,AI17)+1,_xlfn.RANK.EQ(AI17,AI$2:AI$111,0)),"")</f>
        <v/>
      </c>
      <c r="AK17" s="1" t="str">
        <f>IF(ISNUMBER(AI17)=TRUE,IF(_xlfn.RANK.EQ(AI17,$AI$2:$AI$111)&lt;='Tournament Setup'!$B$49,_xlfn.RANK.EQ(AI17,$AI$2:$AI$111),""),"")</f>
        <v/>
      </c>
      <c r="AL17" s="30" t="str">
        <f>IF(AND($F17='Tournament Setup'!$A$33,SUM($Q17,$S17,$U17)=0),$I17,"")</f>
        <v/>
      </c>
      <c r="AM17" s="47" t="str">
        <f>IF(ISNUMBER(AL17),IF(COUNTIFS(AM$1:AM16,_xlfn.RANK.EQ(AL17,AL$2:AL$111,0))&gt;0,_xlfn.MAXIFS(AM$1:AM16,AL$1:AL16,AL17)+1,_xlfn.RANK.EQ(AL17,AL$2:AL$111,0)),"")</f>
        <v/>
      </c>
      <c r="AN17" s="1" t="str">
        <f>IF(ISNUMBER(AL17)=TRUE,IF(_xlfn.RANK.EQ(AL17,$AL$2:$AL$111)&lt;='Tournament Setup'!$B$33,_xlfn.RANK.EQ(AL17,$AL$2:$AL$111),""),"")</f>
        <v/>
      </c>
      <c r="AO17" s="31" t="str">
        <f>IF(AND($F17='Tournament Setup'!$A$33,SUM($Q17,$S17)=0,$E17="M",$AN17&gt;'Tournament Setup'!$B$33),$I17,"")</f>
        <v/>
      </c>
      <c r="AP17" s="1" t="str">
        <f>IF(ISNUMBER(AO17)=TRUE,IF(_xlfn.RANK.EQ(AO17,$AO$2:$AO$111)&lt;='Tournament Setup'!$C$33,_xlfn.RANK.EQ(AO17,$AO$2:$AO$111),""),"")</f>
        <v/>
      </c>
      <c r="AQ17" s="31" t="str">
        <f>IF(AND($F17='Tournament Setup'!$A$33,SUM($Q17,$U17)=0,$E17="F",$AN17&gt;'Tournament Setup'!$B$33),$I17,"")</f>
        <v/>
      </c>
      <c r="AR17" s="12" t="str">
        <f>IF(ISNUMBER(AQ17)=TRUE,IF(_xlfn.RANK.EQ(AQ17,$AQ$2:$AQ$111)&lt;='Tournament Setup'!$D$33,_xlfn.RANK.EQ(AQ17,$AQ$2:$AQ$111),""),"")</f>
        <v/>
      </c>
      <c r="AS17" s="30" t="str">
        <f>IF(AND($G17='Tournament Setup'!$A$51,$J17&lt;&gt;0),$J17,"")</f>
        <v/>
      </c>
      <c r="AT17" s="47" t="str">
        <f>IF(ISNUMBER(AS17),IF(COUNTIFS(AT$1:AT16,_xlfn.RANK.EQ(AS17,AS$2:AS$111,0))&gt;0,_xlfn.MAXIFS(AT$1:AT16,AS$1:AS16,AS17)+1,_xlfn.RANK.EQ(AS17,AS$2:AS$111,0)),"")</f>
        <v/>
      </c>
      <c r="AU17" s="1" t="str">
        <f>IF(ISNUMBER(AS17)=TRUE,IF(_xlfn.RANK.EQ(AS17,$AS$2:$AS$111)&lt;='Tournament Setup'!$B$49,_xlfn.RANK.EQ(AS17,$AS$2:$AS$111),""),"")</f>
        <v/>
      </c>
      <c r="AV17" s="30" t="str">
        <f>IF(AND($F17='Tournament Setup'!$A$34,SUM($Q17,$S17,$U17)=0),$I17,"")</f>
        <v/>
      </c>
      <c r="AW17" s="47" t="str">
        <f>IF(ISNUMBER(AV17),IF(COUNTIFS(AW$1:AW16,_xlfn.RANK.EQ(AV17,AV$2:AV$111,0))&gt;0,_xlfn.MAXIFS(AW$1:AW16,AV$1:AV16,AV17)+1,_xlfn.RANK.EQ(AV17,AV$2:AV$111,0)),"")</f>
        <v/>
      </c>
      <c r="AX17" s="1" t="str">
        <f>IF(ISNUMBER(AV17)=TRUE,IF(_xlfn.RANK.EQ(AV17,$AV$2:$AV$111)&lt;='Tournament Setup'!$B$34,_xlfn.RANK.EQ(AV17,$AV$2:$AV$111),""),"")</f>
        <v/>
      </c>
      <c r="AY17" s="31" t="str">
        <f>IF(AND($F17='Tournament Setup'!$A$34,SUM($Q17,$S17)=0,$E17="M",$AX17&gt;'Tournament Setup'!$B$34),$I17,"")</f>
        <v/>
      </c>
      <c r="AZ17" s="1" t="str">
        <f>IF(ISNUMBER(AY17)=TRUE,IF(_xlfn.RANK.EQ(AY17,$AY$2:$AY$111)&lt;='Tournament Setup'!$C$34,_xlfn.RANK.EQ(AY17,$AY$2:$AY$111),""),"")</f>
        <v/>
      </c>
      <c r="BA17" s="31" t="str">
        <f>IF(AND($F17='Tournament Setup'!$A$34,SUM($Q17,$U17)=0,$E17="F",$AX17&gt;'Tournament Setup'!$B$34),$I17,"")</f>
        <v/>
      </c>
      <c r="BB17" s="12" t="str">
        <f>IF(ISNUMBER(BA17)=TRUE,IF(_xlfn.RANK.EQ(BA17,$BA$2:$BA$111)&lt;='Tournament Setup'!$D$34,_xlfn.RANK.EQ(BA17,$BA$2:$BA$111),""),"")</f>
        <v/>
      </c>
      <c r="BC17" s="30" t="str">
        <f>IF(AND($G17='Tournament Setup'!$A$52,$J17&lt;&gt;0),$J17,"")</f>
        <v/>
      </c>
      <c r="BD17" s="47" t="str">
        <f>IF(ISNUMBER(BC17),IF(COUNTIFS(BD$1:BD16,_xlfn.RANK.EQ(BC17,BC$2:BC$111,0))&gt;0,_xlfn.MAXIFS(BD$1:BD16,BC$1:BC16,BC17)+1,_xlfn.RANK.EQ(BC17,BC$2:BC$111,0)),"")</f>
        <v/>
      </c>
      <c r="BE17" s="1" t="str">
        <f>IF(ISNUMBER(BC17)=TRUE,IF(_xlfn.RANK.EQ(BC17,$BC$2:$BC$111)&lt;='Tournament Setup'!$B$49,_xlfn.RANK.EQ(BC17,$BC$2:$BC$111),""),"")</f>
        <v/>
      </c>
      <c r="BF17" s="30">
        <f>IF(AND($F17='Tournament Setup'!$A$35,SUM($Q17,$S17,$U17)=0),$I17,"")</f>
        <v>42</v>
      </c>
      <c r="BG17" s="47">
        <f>IF(ISNUMBER(BF17),IF(COUNTIFS(BG$1:BG16,_xlfn.RANK.EQ(BF17,BF$2:BF$111,0))&gt;0,_xlfn.MAXIFS(BG$1:BG16,BF$1:BF16,BF17)+1,_xlfn.RANK.EQ(BF17,BF$2:BF$111,0)),"")</f>
        <v>8</v>
      </c>
      <c r="BH17" s="1" t="str">
        <f>IF(ISNUMBER(BF17)=TRUE,IF(_xlfn.RANK.EQ(BF17,$BF$2:$BF$111)&lt;='Tournament Setup'!$B$35,_xlfn.RANK.EQ(BF17,$BF$2:$BF$111),""),"")</f>
        <v/>
      </c>
      <c r="BI17" s="31">
        <f>IF(AND($F17='Tournament Setup'!$A$35,SUM($Q17,$S17)=0,$E17="M",$BH17&gt;'Tournament Setup'!$B$35),$I17,"")</f>
        <v>42</v>
      </c>
      <c r="BJ17" s="1" t="str">
        <f>IF(ISNUMBER(BI17)=TRUE,IF(_xlfn.RANK.EQ(BI17,$BI$2:$BI$111)&lt;='Tournament Setup'!$C$35,_xlfn.RANK.EQ(BI17,$BI$2:$BI$111),""),"")</f>
        <v/>
      </c>
      <c r="BK17" s="31" t="str">
        <f>IF(AND($F17='Tournament Setup'!$A$35,SUM($Q17,$U17)=0,$E17="F",$BH17&gt;'Tournament Setup'!$B$35),$I17,"")</f>
        <v/>
      </c>
      <c r="BL17" s="12" t="str">
        <f>IF(ISNUMBER(BK17)=TRUE,IF(_xlfn.RANK.EQ(BK17,$BK$2:$BK$111)&lt;='Tournament Setup'!$D$35,_xlfn.RANK.EQ(BK17,$BK$2:$BK$111),""),"")</f>
        <v/>
      </c>
      <c r="BM17" s="30" t="str">
        <f>IF(AND($G17='Tournament Setup'!$A$54,$J17&lt;&gt;0),$J17,"")</f>
        <v/>
      </c>
      <c r="BN17" s="47" t="str">
        <f>IF(ISNUMBER(BM17),IF(COUNTIFS(BN$1:BN16,_xlfn.RANK.EQ(BM17,BM$2:BM$111,0))&gt;0,_xlfn.MAXIFS(BN$1:BN16,BM$1:BM16,BM17)+1,_xlfn.RANK.EQ(BM17,BM$2:BM$111,0)),"")</f>
        <v/>
      </c>
      <c r="BO17" s="1" t="str">
        <f>IF(ISNUMBER(BM17)=TRUE,IF(_xlfn.RANK.EQ(BM17,$BM$2:$BM$111)&lt;='Tournament Setup'!$B$49,_xlfn.RANK.EQ(BM17,$BM$2:$BM$111),""),"")</f>
        <v/>
      </c>
      <c r="BP17" s="30" t="str">
        <f>IF(AND($F17='Tournament Setup'!$A$36,SUM($Q17,$S17,$U17)=0),$I17,"")</f>
        <v/>
      </c>
      <c r="BQ17" s="47" t="str">
        <f>IF(ISNUMBER(BP17),IF(COUNTIFS(BQ$1:BQ16,_xlfn.RANK.EQ(BP17,BP$2:BP$111,0))&gt;0,_xlfn.MAXIFS(BQ$1:BQ16,BP$1:BP16,BP17)+1,_xlfn.RANK.EQ(BP17,BP$2:BP$111,0)),"")</f>
        <v/>
      </c>
      <c r="BR17" s="1" t="str">
        <f>IF(ISNUMBER(BP17)=TRUE,IF(_xlfn.RANK.EQ(BP17,$BP$2:$BP$111)&lt;='Tournament Setup'!$B$36,_xlfn.RANK.EQ(BP17,$BP$2:$BP$111),""),"")</f>
        <v/>
      </c>
      <c r="BS17" s="31" t="str">
        <f>IF(AND($F17='Tournament Setup'!$A$36,SUM($Q17,$S17)=0,$E17="M",$BR17&gt;'Tournament Setup'!$B$36),$I17,"")</f>
        <v/>
      </c>
      <c r="BT17" s="1" t="str">
        <f>IF(ISNUMBER(BS17)=TRUE,IF(_xlfn.RANK.EQ(BS17,$BS$2:$BS$111)&lt;='Tournament Setup'!$C$36,_xlfn.RANK.EQ(BS17,$BS$2:$BS$111),""),"")</f>
        <v/>
      </c>
      <c r="BU17" s="31" t="str">
        <f>IF(AND($F17='Tournament Setup'!$A$36,SUM($Q17,$U17)=0,$E17="F",$BR17&gt;'Tournament Setup'!$B$36),$I17,"")</f>
        <v/>
      </c>
      <c r="BV17" s="12" t="str">
        <f>IF(ISNUMBER(BU17)=TRUE,IF(_xlfn.RANK.EQ(BU17,$BU$2:$BU$111)&lt;='Tournament Setup'!$D$36,_xlfn.RANK.EQ(BU17,$BU$2:$BU$111),""),"")</f>
        <v/>
      </c>
      <c r="BW17" s="30" t="str">
        <f>IF($H17='Tournament Setup'!$A$41,$I17,"")</f>
        <v/>
      </c>
      <c r="BX17" s="47" t="str">
        <f>IF(ISNUMBER(BW17),IF(COUNTIFS(BX$1:BX16,_xlfn.RANK.EQ(BW17,BW$2:BW$111,0))&gt;0,_xlfn.MAXIFS(BX$1:BX16,BW$1:BW16,BW17)+1,_xlfn.RANK.EQ(BW17,BW$2:BW$111,0)),"")</f>
        <v/>
      </c>
      <c r="BY17" s="1" t="str">
        <f>IF(ISNUMBER(BW17)=TRUE,IF(_xlfn.RANK.EQ(BW17,$BW$2:$BW$111)&lt;='Tournament Setup'!$B$41,_xlfn.RANK.EQ(BW17,$BW$2:$BW$111),""),"")</f>
        <v/>
      </c>
      <c r="BZ17" s="31" t="str">
        <f>IF(AND($H17='Tournament Setup'!$A$41,$E17="M",$BY17&gt;'Tournament Setup'!$B$41),$I17,"")</f>
        <v/>
      </c>
      <c r="CA17" s="1" t="str">
        <f>IF(ISNUMBER(BZ17)=TRUE,IF(_xlfn.RANK.EQ(BZ17,$BZ$2:$BZ$111)&lt;='Tournament Setup'!$C$41,_xlfn.RANK.EQ(BZ17,$BZ$2:$BZ$111),""),"")</f>
        <v/>
      </c>
      <c r="CB17" s="31" t="str">
        <f>IF(AND($H17='Tournament Setup'!$A$41,$E17="F",$BY17&gt;'Tournament Setup'!$B$41),$I17,"")</f>
        <v/>
      </c>
      <c r="CC17" s="12" t="str">
        <f>IF(ISNUMBER(CB17)=TRUE,IF(_xlfn.RANK.EQ(CB17,$CB$2:$CB$111)&lt;='Tournament Setup'!$D$41,_xlfn.RANK.EQ(CB17,$CB$2:$CB$111),""),"")</f>
        <v/>
      </c>
      <c r="CD17" s="30" t="str">
        <f>IF($H17='Tournament Setup'!$A$42,$I17,"")</f>
        <v/>
      </c>
      <c r="CE17" s="47" t="str">
        <f>IF(ISNUMBER(CD17),IF(COUNTIFS(CE$1:CE16,_xlfn.RANK.EQ(CD17,CD$2:CD$111,0))&gt;0,_xlfn.MAXIFS(CE$1:CE16,CD$1:CD16,CD17)+1,_xlfn.RANK.EQ(CD17,CD$2:CD$111,0)),"")</f>
        <v/>
      </c>
      <c r="CF17" s="1" t="str">
        <f>IF(ISNUMBER(CD17)=TRUE,IF(_xlfn.RANK.EQ(CD17,$CD$2:$CD$111)&lt;='Tournament Setup'!$B$42,_xlfn.RANK.EQ(CD17,$CD$2:$CD$111),""),"")</f>
        <v/>
      </c>
      <c r="CG17" s="31" t="str">
        <f>IF(AND($H17='Tournament Setup'!$A$42,$E17="M",$CF17&gt;'Tournament Setup'!$B$42),$I17,"")</f>
        <v/>
      </c>
      <c r="CH17" s="1" t="str">
        <f>IF(ISNUMBER(CG17)=TRUE,IF(_xlfn.RANK.EQ(CG17,$CG$2:$CG$111)&lt;='Tournament Setup'!$C$42,_xlfn.RANK.EQ(CG17,$CG$2:$CG$111),""),"")</f>
        <v/>
      </c>
      <c r="CI17" s="31" t="str">
        <f>IF(AND($H17='Tournament Setup'!$A$42,$E17="F",$CF17&gt;'Tournament Setup'!$B$42),$I17,"")</f>
        <v/>
      </c>
      <c r="CJ17" s="12" t="str">
        <f>IF(ISNUMBER(CI17)=TRUE,IF(_xlfn.RANK.EQ(CI17,$CI$2:$CI$111)&lt;='Tournament Setup'!$D$42,_xlfn.RANK.EQ(CI17,$CI$2:$CI$111),""),"")</f>
        <v/>
      </c>
      <c r="CK17" s="30" t="str">
        <f>IF($H17='Tournament Setup'!$A$43,$I17,"")</f>
        <v/>
      </c>
      <c r="CL17" s="47" t="str">
        <f>IF(ISNUMBER(CK17),IF(COUNTIFS(CL$1:CL16,_xlfn.RANK.EQ(CK17,CK$2:CK$111,0))&gt;0,_xlfn.MAXIFS(CL$1:CL16,CK$1:CK16,CK17)+1,_xlfn.RANK.EQ(CK17,CK$2:CK$111,0)),"")</f>
        <v/>
      </c>
      <c r="CM17" s="1" t="str">
        <f>IF(ISNUMBER(CK17)=TRUE,IF(_xlfn.RANK.EQ(CK17,$CK$2:$CK$111)&lt;='Tournament Setup'!$B$43,_xlfn.RANK.EQ(CK17,$CK$2:$CK$111),""),"")</f>
        <v/>
      </c>
      <c r="CN17" s="31" t="str">
        <f>IF(AND($H17='Tournament Setup'!$A$43,$E17="M",$CM17&gt;'Tournament Setup'!$B$43),$I17,"")</f>
        <v/>
      </c>
      <c r="CO17" s="1" t="str">
        <f>IF(ISNUMBER(CN17)=TRUE,IF(_xlfn.RANK.EQ(CN17,$CN$2:$CN$111)&lt;='Tournament Setup'!$C$43,_xlfn.RANK.EQ(CN17,$CN$2:$CN$111),""),"")</f>
        <v/>
      </c>
      <c r="CP17" s="31" t="str">
        <f>IF(AND($H17='Tournament Setup'!$A$43,$E17="F",$CM17&gt;'Tournament Setup'!$B$43),$I17,"")</f>
        <v/>
      </c>
      <c r="CQ17" s="12" t="str">
        <f>IF(ISNUMBER(CP17)=TRUE,IF(_xlfn.RANK.EQ(CP17,$CP$2:$CP$111)&lt;='Tournament Setup'!$D$43,_xlfn.RANK.EQ(CP17,$CP$2:$CP$111),""),"")</f>
        <v/>
      </c>
      <c r="CR17" s="30">
        <f>IF($H17='Tournament Setup'!$A$44,$I17,"")</f>
        <v>42</v>
      </c>
      <c r="CS17" s="47">
        <f>IF(ISNUMBER(CR17),IF(COUNTIFS(CS$1:CS16,_xlfn.RANK.EQ(CR17,CR$2:CR$111,0))&gt;0,_xlfn.MAXIFS(CS$1:CS16,CR$1:CR16,CR17)+1,_xlfn.RANK.EQ(CR17,CR$2:CR$111,0)),"")</f>
        <v>7</v>
      </c>
      <c r="CT17" s="1" t="str">
        <f>IF(ISNUMBER(CR17)=TRUE,IF(_xlfn.RANK.EQ(CR17,$CR$2:$CR$111)&lt;='Tournament Setup'!$B$44,_xlfn.RANK.EQ(CR17,$CR$2:$CR$111),""),"")</f>
        <v/>
      </c>
      <c r="CU17" s="31">
        <f>IF(AND($H17='Tournament Setup'!$A$44,$E17="M",$CT17&gt;'Tournament Setup'!$B$44),$I17,"")</f>
        <v>42</v>
      </c>
      <c r="CV17" s="1">
        <f>IF(ISNUMBER(CU17)=TRUE,IF(_xlfn.RANK.EQ(CU17,$CU$2:$CU$111)&lt;='Tournament Setup'!$C$44,_xlfn.RANK.EQ(CU17,$CU$2:$CU$111),""),"")</f>
        <v>3</v>
      </c>
      <c r="CW17" s="31" t="str">
        <f>IF(AND($H17='Tournament Setup'!$A$44,$E17="F",$CT17&gt;'Tournament Setup'!$B$44),$I17,"")</f>
        <v/>
      </c>
      <c r="CX17" s="12" t="str">
        <f>IF(ISNUMBER(CW17)=TRUE,IF(_xlfn.RANK.EQ(CW17,$CW$2:$CW$111)&lt;='Tournament Setup'!$D$44,_xlfn.RANK.EQ(CW17,$CW$2:$CW$111),""),"")</f>
        <v/>
      </c>
    </row>
    <row r="18" spans="1:102" x14ac:dyDescent="0.3">
      <c r="A18" t="s">
        <v>53</v>
      </c>
      <c r="B18" t="str">
        <f>IFERROR(INDEX('Tournament List'!$B:$B,MATCH($A18,'Tournament List'!$A:$A,0)),"")</f>
        <v>Joan</v>
      </c>
      <c r="C18" t="str">
        <f>IFERROR(INDEX('Tournament List'!$C:$C,MATCH($A18,'Tournament List'!$A:$A,0)),"")</f>
        <v>Last Name17</v>
      </c>
      <c r="D18" t="str">
        <f t="shared" si="0"/>
        <v>Joan Last Name17</v>
      </c>
      <c r="E18" s="1" t="str">
        <f>IFERROR(INDEX('Tournament List'!F:F,MATCH($A18,'Tournament List'!$A:$A,0)),"")</f>
        <v>F</v>
      </c>
      <c r="F18" t="str">
        <f>IFERROR(INDEX('Tournament List'!M:M,MATCH($A18,'Tournament List'!$A:$A,0)),"")</f>
        <v>Novice</v>
      </c>
      <c r="G18" t="str">
        <f>IFERROR(INDEX('Shooter-Squad Assignment'!L:L,MATCH(A18,'Shooter-Squad Assignment'!A:A,0)),"")</f>
        <v>Novice</v>
      </c>
      <c r="H18" s="1" t="str">
        <f>IFERROR(INDEX('Tournament List'!AD:AD,MATCH($A18,'Tournament List'!$A:$A,0)),"")</f>
        <v>D</v>
      </c>
      <c r="I18" s="123">
        <f>IFERROR(INDEX('Tournament List'!AG:AG,MATCH($A18,'Tournament List'!$A:$A,0)),"")</f>
        <v>60.1</v>
      </c>
      <c r="J18" s="145">
        <f>IFERROR(INDEX('Tournament List'!Y:Y,MATCH($A18,'Tournament List'!$A:$A,0)),"")</f>
        <v>220</v>
      </c>
      <c r="K18" s="47">
        <f>IFERROR(INDEX('Tournament List'!S:S,MATCH(A18,'Tournament List'!A:A,0)),"")</f>
        <v>10</v>
      </c>
      <c r="L18" s="47">
        <f>IF(ISNUMBER(J18),IF(COUNTIFS(L$1:L17,_xlfn.RANK.EQ(J18,J$2:J$111,0))&gt;0,_xlfn.MAXIFS(L$1:L17,J$1:J17,J18)+1,_xlfn.RANK.EQ(J18,J$2:J$111,0)),"")</f>
        <v>6</v>
      </c>
      <c r="M18" s="11">
        <f>IF(ISNUMBER(I18)=TRUE,IF(I18&gt;0,_xlfn.RANK.EQ(I18,$I$2:$I$111,0),""),"")</f>
        <v>35</v>
      </c>
      <c r="N18" s="56">
        <f>IF(ISNUMBER(I18),IF(COUNTIFS(N$1:N17,_xlfn.RANK.EQ(I18,I$2:I$111,0))&gt;0,_xlfn.MAXIFS(N$1:N17,I$1:I17,I18)+1,_xlfn.RANK.EQ(I18,I$2:I$111,0)),"")</f>
        <v>35</v>
      </c>
      <c r="O18" s="144">
        <f>IF(F18&lt;&gt;"Collegiate"=TRUE,$I18,"")</f>
        <v>60.1</v>
      </c>
      <c r="P18" s="47">
        <f>IF(ISNUMBER(O18),IF(COUNTIFS(P$1:P17,_xlfn.RANK.EQ(O18,O$2:O$111,0))&gt;0,_xlfn.MAXIFS(P$1:P17,O$1:O17,O18)+1,_xlfn.RANK.EQ(O18,O$2:O$111,0)),"")</f>
        <v>33</v>
      </c>
      <c r="Q18" s="1" t="str">
        <f>IF(ISNUMBER(O18)=TRUE,IF(_xlfn.RANK.EQ(O18,$O$2:$O$111)&lt;='Tournament Setup'!$B$26,_xlfn.RANK.EQ(O18,$O$2:$O$111),""),"")</f>
        <v/>
      </c>
      <c r="R18" s="143" t="str">
        <f>IF(AND($E18="M",SUM($Q18)=0,F18&lt;&gt;"Collegiate")=TRUE,$I18,"")</f>
        <v/>
      </c>
      <c r="S18" s="1" t="str">
        <f>IF(ISNUMBER(R18)=TRUE,IF(_xlfn.RANK.EQ(R18,$R$2:$R$111)&lt;='Tournament Setup'!$B$27,_xlfn.RANK.EQ(R18,$R$2:$R$111),""),"")</f>
        <v/>
      </c>
      <c r="T18" s="143">
        <f>IF(AND($E18="F",SUM($Q18)=0,F18&lt;&gt;"Collegiate")=TRUE,$I18,"")</f>
        <v>60.1</v>
      </c>
      <c r="U18" s="12" t="str">
        <f>IF(ISNUMBER(T18)=TRUE,IF(_xlfn.RANK.EQ(T18,$T$2:$T$111)&lt;='Tournament Setup'!$B$28,_xlfn.RANK.EQ(T18,$T$2:$T$111),""),"")</f>
        <v/>
      </c>
      <c r="V18" s="145" t="str">
        <f>IF(AND($G18='Tournament Setup'!$A$53,$J18&lt;&gt;0),$J18,"")</f>
        <v/>
      </c>
      <c r="W18" s="47" t="str">
        <f>IF(ISNUMBER(V18),IF(COUNTIFS(W$1:W17,_xlfn.RANK.EQ(V18,V$2:V$111,0))&gt;0,_xlfn.MAXIFS(W$1:W17,V$1:V17,V18)+1,_xlfn.RANK.EQ(V18,V$2:V$111,0)),"")</f>
        <v/>
      </c>
      <c r="X18" s="1" t="str">
        <f>IF(ISNUMBER(V18)=TRUE,IF(_xlfn.RANK.EQ(V18,$V$2:$V$111)&lt;='Tournament Setup'!$B$53,_xlfn.RANK.EQ(V18,$V$2:$V$111),""),"")</f>
        <v/>
      </c>
      <c r="Y18" s="145">
        <f>IF(AND($G18='Tournament Setup'!$A$49,$J18&lt;&gt;0),$J18,"")</f>
        <v>220</v>
      </c>
      <c r="Z18" s="47">
        <f>IF(ISNUMBER(Y18),IF(COUNTIFS(Z$1:Z17,_xlfn.RANK.EQ(Y18,Y$2:Y$111,0))&gt;0,_xlfn.MAXIFS(Z$1:Z17,Y$1:Y17,Y18)+1,_xlfn.RANK.EQ(Y18,Y$2:Y$111,0)),"")</f>
        <v>1</v>
      </c>
      <c r="AA18" s="1">
        <f>IF(ISNUMBER(Y18)=TRUE,IF(_xlfn.RANK.EQ(Y18,$Y$2:$Y$111)&lt;='Tournament Setup'!$B$49,_xlfn.RANK.EQ(Y18,$Y$2:$Y$111),""),"")</f>
        <v>1</v>
      </c>
      <c r="AB18" s="30">
        <f>IF(AND($F18='Tournament Setup'!$A$32,SUM($Q18,$S18,$U18)=0),$I18,"")</f>
        <v>60.1</v>
      </c>
      <c r="AC18" s="47">
        <f>IF(ISNUMBER(AB18),IF(COUNTIFS(AC$1:AC17,_xlfn.RANK.EQ(AB18,AB$2:AB$111,0))&gt;0,_xlfn.MAXIFS(AC$1:AC17,AB$1:AB17,AB18)+1,_xlfn.RANK.EQ(AB18,AB$2:AB$111,0)),"")</f>
        <v>8</v>
      </c>
      <c r="AD18" s="1" t="str">
        <f>IF(ISNUMBER(AB18)=TRUE,IF(_xlfn.RANK.EQ(AB18,$AB$2:$AB$111)&lt;='Tournament Setup'!$B$32,_xlfn.RANK.EQ(AB18,$AB$2:$AB$111),""),"")</f>
        <v/>
      </c>
      <c r="AE18" s="31" t="str">
        <f>IF(AND($F18='Tournament Setup'!$A$32,SUM($Q18,$S18)=0,$E18="M",$AD18&gt;'Tournament Setup'!$B$32),$I18,"")</f>
        <v/>
      </c>
      <c r="AF18" s="1" t="str">
        <f>IF(ISNUMBER(AE18)=TRUE,IF(_xlfn.RANK.EQ(AE18,$AE$2:$AE$111)&lt;='Tournament Setup'!$C$32,_xlfn.RANK.EQ(AE18,$AE$2:$AE$111),""),"")</f>
        <v/>
      </c>
      <c r="AG18" s="31">
        <f>IF(AND($F18='Tournament Setup'!$A$32,SUM($Q18,$U18)=0,$E18="F",$AD18&gt;'Tournament Setup'!$B$32),$I18,"")</f>
        <v>60.1</v>
      </c>
      <c r="AH18" s="12">
        <f>IF(ISNUMBER(AG18)=TRUE,IF(_xlfn.RANK.EQ(AG18,$AG$2:$AG$111)&lt;='Tournament Setup'!$D$32,_xlfn.RANK.EQ(AG18,$AG$2:$AG$111),""),"")</f>
        <v>1</v>
      </c>
      <c r="AI18" s="30" t="str">
        <f>IF(AND($G18='Tournament Setup'!$A$50,$J18&lt;&gt;0),$J18,"")</f>
        <v/>
      </c>
      <c r="AJ18" s="47" t="str">
        <f>IF(ISNUMBER(AI18),IF(COUNTIFS(AJ$1:AJ17,_xlfn.RANK.EQ(AI18,AI$2:AI$111,0))&gt;0,_xlfn.MAXIFS(AJ$1:AJ17,AI$1:AI17,AI18)+1,_xlfn.RANK.EQ(AI18,AI$2:AI$111,0)),"")</f>
        <v/>
      </c>
      <c r="AK18" s="1" t="str">
        <f>IF(ISNUMBER(AI18)=TRUE,IF(_xlfn.RANK.EQ(AI18,$AI$2:$AI$111)&lt;='Tournament Setup'!$B$49,_xlfn.RANK.EQ(AI18,$AI$2:$AI$111),""),"")</f>
        <v/>
      </c>
      <c r="AL18" s="30" t="str">
        <f>IF(AND($F18='Tournament Setup'!$A$33,SUM($Q18,$S18,$U18)=0),$I18,"")</f>
        <v/>
      </c>
      <c r="AM18" s="47" t="str">
        <f>IF(ISNUMBER(AL18),IF(COUNTIFS(AM$1:AM17,_xlfn.RANK.EQ(AL18,AL$2:AL$111,0))&gt;0,_xlfn.MAXIFS(AM$1:AM17,AL$1:AL17,AL18)+1,_xlfn.RANK.EQ(AL18,AL$2:AL$111,0)),"")</f>
        <v/>
      </c>
      <c r="AN18" s="1" t="str">
        <f>IF(ISNUMBER(AL18)=TRUE,IF(_xlfn.RANK.EQ(AL18,$AL$2:$AL$111)&lt;='Tournament Setup'!$B$33,_xlfn.RANK.EQ(AL18,$AL$2:$AL$111),""),"")</f>
        <v/>
      </c>
      <c r="AO18" s="31" t="str">
        <f>IF(AND($F18='Tournament Setup'!$A$33,SUM($Q18,$S18)=0,$E18="M",$AN18&gt;'Tournament Setup'!$B$33),$I18,"")</f>
        <v/>
      </c>
      <c r="AP18" s="1" t="str">
        <f>IF(ISNUMBER(AO18)=TRUE,IF(_xlfn.RANK.EQ(AO18,$AO$2:$AO$111)&lt;='Tournament Setup'!$C$33,_xlfn.RANK.EQ(AO18,$AO$2:$AO$111),""),"")</f>
        <v/>
      </c>
      <c r="AQ18" s="31" t="str">
        <f>IF(AND($F18='Tournament Setup'!$A$33,SUM($Q18,$U18)=0,$E18="F",$AN18&gt;'Tournament Setup'!$B$33),$I18,"")</f>
        <v/>
      </c>
      <c r="AR18" s="12" t="str">
        <f>IF(ISNUMBER(AQ18)=TRUE,IF(_xlfn.RANK.EQ(AQ18,$AQ$2:$AQ$111)&lt;='Tournament Setup'!$D$33,_xlfn.RANK.EQ(AQ18,$AQ$2:$AQ$111),""),"")</f>
        <v/>
      </c>
      <c r="AS18" s="30" t="str">
        <f>IF(AND($G18='Tournament Setup'!$A$51,$J18&lt;&gt;0),$J18,"")</f>
        <v/>
      </c>
      <c r="AT18" s="47" t="str">
        <f>IF(ISNUMBER(AS18),IF(COUNTIFS(AT$1:AT17,_xlfn.RANK.EQ(AS18,AS$2:AS$111,0))&gt;0,_xlfn.MAXIFS(AT$1:AT17,AS$1:AS17,AS18)+1,_xlfn.RANK.EQ(AS18,AS$2:AS$111,0)),"")</f>
        <v/>
      </c>
      <c r="AU18" s="1" t="str">
        <f>IF(ISNUMBER(AS18)=TRUE,IF(_xlfn.RANK.EQ(AS18,$AS$2:$AS$111)&lt;='Tournament Setup'!$B$49,_xlfn.RANK.EQ(AS18,$AS$2:$AS$111),""),"")</f>
        <v/>
      </c>
      <c r="AV18" s="30" t="str">
        <f>IF(AND($F18='Tournament Setup'!$A$34,SUM($Q18,$S18,$U18)=0),$I18,"")</f>
        <v/>
      </c>
      <c r="AW18" s="47" t="str">
        <f>IF(ISNUMBER(AV18),IF(COUNTIFS(AW$1:AW17,_xlfn.RANK.EQ(AV18,AV$2:AV$111,0))&gt;0,_xlfn.MAXIFS(AW$1:AW17,AV$1:AV17,AV18)+1,_xlfn.RANK.EQ(AV18,AV$2:AV$111,0)),"")</f>
        <v/>
      </c>
      <c r="AX18" s="1" t="str">
        <f>IF(ISNUMBER(AV18)=TRUE,IF(_xlfn.RANK.EQ(AV18,$AV$2:$AV$111)&lt;='Tournament Setup'!$B$34,_xlfn.RANK.EQ(AV18,$AV$2:$AV$111),""),"")</f>
        <v/>
      </c>
      <c r="AY18" s="31" t="str">
        <f>IF(AND($F18='Tournament Setup'!$A$34,SUM($Q18,$S18)=0,$E18="M",$AX18&gt;'Tournament Setup'!$B$34),$I18,"")</f>
        <v/>
      </c>
      <c r="AZ18" s="1" t="str">
        <f>IF(ISNUMBER(AY18)=TRUE,IF(_xlfn.RANK.EQ(AY18,$AY$2:$AY$111)&lt;='Tournament Setup'!$C$34,_xlfn.RANK.EQ(AY18,$AY$2:$AY$111),""),"")</f>
        <v/>
      </c>
      <c r="BA18" s="31" t="str">
        <f>IF(AND($F18='Tournament Setup'!$A$34,SUM($Q18,$U18)=0,$E18="F",$AX18&gt;'Tournament Setup'!$B$34),$I18,"")</f>
        <v/>
      </c>
      <c r="BB18" s="12" t="str">
        <f>IF(ISNUMBER(BA18)=TRUE,IF(_xlfn.RANK.EQ(BA18,$BA$2:$BA$111)&lt;='Tournament Setup'!$D$34,_xlfn.RANK.EQ(BA18,$BA$2:$BA$111),""),"")</f>
        <v/>
      </c>
      <c r="BC18" s="30" t="str">
        <f>IF(AND($G18='Tournament Setup'!$A$52,$J18&lt;&gt;0),$J18,"")</f>
        <v/>
      </c>
      <c r="BD18" s="47" t="str">
        <f>IF(ISNUMBER(BC18),IF(COUNTIFS(BD$1:BD17,_xlfn.RANK.EQ(BC18,BC$2:BC$111,0))&gt;0,_xlfn.MAXIFS(BD$1:BD17,BC$1:BC17,BC18)+1,_xlfn.RANK.EQ(BC18,BC$2:BC$111,0)),"")</f>
        <v/>
      </c>
      <c r="BE18" s="1" t="str">
        <f>IF(ISNUMBER(BC18)=TRUE,IF(_xlfn.RANK.EQ(BC18,$BC$2:$BC$111)&lt;='Tournament Setup'!$B$49,_xlfn.RANK.EQ(BC18,$BC$2:$BC$111),""),"")</f>
        <v/>
      </c>
      <c r="BF18" s="30" t="str">
        <f>IF(AND($F18='Tournament Setup'!$A$35,SUM($Q18,$S18,$U18)=0),$I18,"")</f>
        <v/>
      </c>
      <c r="BG18" s="47" t="str">
        <f>IF(ISNUMBER(BF18),IF(COUNTIFS(BG$1:BG17,_xlfn.RANK.EQ(BF18,BF$2:BF$111,0))&gt;0,_xlfn.MAXIFS(BG$1:BG17,BF$1:BF17,BF18)+1,_xlfn.RANK.EQ(BF18,BF$2:BF$111,0)),"")</f>
        <v/>
      </c>
      <c r="BH18" s="1" t="str">
        <f>IF(ISNUMBER(BF18)=TRUE,IF(_xlfn.RANK.EQ(BF18,$BF$2:$BF$111)&lt;='Tournament Setup'!$B$35,_xlfn.RANK.EQ(BF18,$BF$2:$BF$111),""),"")</f>
        <v/>
      </c>
      <c r="BI18" s="31" t="str">
        <f>IF(AND($F18='Tournament Setup'!$A$35,SUM($Q18,$S18)=0,$E18="M",$BH18&gt;'Tournament Setup'!$B$35),$I18,"")</f>
        <v/>
      </c>
      <c r="BJ18" s="1" t="str">
        <f>IF(ISNUMBER(BI18)=TRUE,IF(_xlfn.RANK.EQ(BI18,$BI$2:$BI$111)&lt;='Tournament Setup'!$C$35,_xlfn.RANK.EQ(BI18,$BI$2:$BI$111),""),"")</f>
        <v/>
      </c>
      <c r="BK18" s="31" t="str">
        <f>IF(AND($F18='Tournament Setup'!$A$35,SUM($Q18,$U18)=0,$E18="F",$BH18&gt;'Tournament Setup'!$B$35),$I18,"")</f>
        <v/>
      </c>
      <c r="BL18" s="12" t="str">
        <f>IF(ISNUMBER(BK18)=TRUE,IF(_xlfn.RANK.EQ(BK18,$BK$2:$BK$111)&lt;='Tournament Setup'!$D$35,_xlfn.RANK.EQ(BK18,$BK$2:$BK$111),""),"")</f>
        <v/>
      </c>
      <c r="BM18" s="30" t="str">
        <f>IF(AND($G18='Tournament Setup'!$A$54,$J18&lt;&gt;0),$J18,"")</f>
        <v/>
      </c>
      <c r="BN18" s="47" t="str">
        <f>IF(ISNUMBER(BM18),IF(COUNTIFS(BN$1:BN17,_xlfn.RANK.EQ(BM18,BM$2:BM$111,0))&gt;0,_xlfn.MAXIFS(BN$1:BN17,BM$1:BM17,BM18)+1,_xlfn.RANK.EQ(BM18,BM$2:BM$111,0)),"")</f>
        <v/>
      </c>
      <c r="BO18" s="1" t="str">
        <f>IF(ISNUMBER(BM18)=TRUE,IF(_xlfn.RANK.EQ(BM18,$BM$2:$BM$111)&lt;='Tournament Setup'!$B$49,_xlfn.RANK.EQ(BM18,$BM$2:$BM$111),""),"")</f>
        <v/>
      </c>
      <c r="BP18" s="30" t="str">
        <f>IF(AND($F18='Tournament Setup'!$A$36,SUM($Q18,$S18,$U18)=0),$I18,"")</f>
        <v/>
      </c>
      <c r="BQ18" s="47" t="str">
        <f>IF(ISNUMBER(BP18),IF(COUNTIFS(BQ$1:BQ17,_xlfn.RANK.EQ(BP18,BP$2:BP$111,0))&gt;0,_xlfn.MAXIFS(BQ$1:BQ17,BP$1:BP17,BP18)+1,_xlfn.RANK.EQ(BP18,BP$2:BP$111,0)),"")</f>
        <v/>
      </c>
      <c r="BR18" s="1" t="str">
        <f>IF(ISNUMBER(BP18)=TRUE,IF(_xlfn.RANK.EQ(BP18,$BP$2:$BP$111)&lt;='Tournament Setup'!$B$36,_xlfn.RANK.EQ(BP18,$BP$2:$BP$111),""),"")</f>
        <v/>
      </c>
      <c r="BS18" s="31" t="str">
        <f>IF(AND($F18='Tournament Setup'!$A$36,SUM($Q18,$S18)=0,$E18="M",$BR18&gt;'Tournament Setup'!$B$36),$I18,"")</f>
        <v/>
      </c>
      <c r="BT18" s="1" t="str">
        <f>IF(ISNUMBER(BS18)=TRUE,IF(_xlfn.RANK.EQ(BS18,$BS$2:$BS$111)&lt;='Tournament Setup'!$C$36,_xlfn.RANK.EQ(BS18,$BS$2:$BS$111),""),"")</f>
        <v/>
      </c>
      <c r="BU18" s="31" t="str">
        <f>IF(AND($F18='Tournament Setup'!$A$36,SUM($Q18,$U18)=0,$E18="F",$BR18&gt;'Tournament Setup'!$B$36),$I18,"")</f>
        <v/>
      </c>
      <c r="BV18" s="12" t="str">
        <f>IF(ISNUMBER(BU18)=TRUE,IF(_xlfn.RANK.EQ(BU18,$BU$2:$BU$111)&lt;='Tournament Setup'!$D$36,_xlfn.RANK.EQ(BU18,$BU$2:$BU$111),""),"")</f>
        <v/>
      </c>
      <c r="BW18" s="30" t="str">
        <f>IF($H18='Tournament Setup'!$A$41,$I18,"")</f>
        <v/>
      </c>
      <c r="BX18" s="47" t="str">
        <f>IF(ISNUMBER(BW18),IF(COUNTIFS(BX$1:BX17,_xlfn.RANK.EQ(BW18,BW$2:BW$111,0))&gt;0,_xlfn.MAXIFS(BX$1:BX17,BW$1:BW17,BW18)+1,_xlfn.RANK.EQ(BW18,BW$2:BW$111,0)),"")</f>
        <v/>
      </c>
      <c r="BY18" s="1" t="str">
        <f>IF(ISNUMBER(BW18)=TRUE,IF(_xlfn.RANK.EQ(BW18,$BW$2:$BW$111)&lt;='Tournament Setup'!$B$41,_xlfn.RANK.EQ(BW18,$BW$2:$BW$111),""),"")</f>
        <v/>
      </c>
      <c r="BZ18" s="31" t="str">
        <f>IF(AND($H18='Tournament Setup'!$A$41,$E18="M",$BY18&gt;'Tournament Setup'!$B$41),$I18,"")</f>
        <v/>
      </c>
      <c r="CA18" s="1" t="str">
        <f>IF(ISNUMBER(BZ18)=TRUE,IF(_xlfn.RANK.EQ(BZ18,$BZ$2:$BZ$111)&lt;='Tournament Setup'!$C$41,_xlfn.RANK.EQ(BZ18,$BZ$2:$BZ$111),""),"")</f>
        <v/>
      </c>
      <c r="CB18" s="31" t="str">
        <f>IF(AND($H18='Tournament Setup'!$A$41,$E18="F",$BY18&gt;'Tournament Setup'!$B$41),$I18,"")</f>
        <v/>
      </c>
      <c r="CC18" s="12" t="str">
        <f>IF(ISNUMBER(CB18)=TRUE,IF(_xlfn.RANK.EQ(CB18,$CB$2:$CB$111)&lt;='Tournament Setup'!$D$41,_xlfn.RANK.EQ(CB18,$CB$2:$CB$111),""),"")</f>
        <v/>
      </c>
      <c r="CD18" s="30" t="str">
        <f>IF($H18='Tournament Setup'!$A$42,$I18,"")</f>
        <v/>
      </c>
      <c r="CE18" s="47" t="str">
        <f>IF(ISNUMBER(CD18),IF(COUNTIFS(CE$1:CE17,_xlfn.RANK.EQ(CD18,CD$2:CD$111,0))&gt;0,_xlfn.MAXIFS(CE$1:CE17,CD$1:CD17,CD18)+1,_xlfn.RANK.EQ(CD18,CD$2:CD$111,0)),"")</f>
        <v/>
      </c>
      <c r="CF18" s="1" t="str">
        <f>IF(ISNUMBER(CD18)=TRUE,IF(_xlfn.RANK.EQ(CD18,$CD$2:$CD$111)&lt;='Tournament Setup'!$B$42,_xlfn.RANK.EQ(CD18,$CD$2:$CD$111),""),"")</f>
        <v/>
      </c>
      <c r="CG18" s="31" t="str">
        <f>IF(AND($H18='Tournament Setup'!$A$42,$E18="M",$CF18&gt;'Tournament Setup'!$B$42),$I18,"")</f>
        <v/>
      </c>
      <c r="CH18" s="1" t="str">
        <f>IF(ISNUMBER(CG18)=TRUE,IF(_xlfn.RANK.EQ(CG18,$CG$2:$CG$111)&lt;='Tournament Setup'!$C$42,_xlfn.RANK.EQ(CG18,$CG$2:$CG$111),""),"")</f>
        <v/>
      </c>
      <c r="CI18" s="31" t="str">
        <f>IF(AND($H18='Tournament Setup'!$A$42,$E18="F",$CF18&gt;'Tournament Setup'!$B$42),$I18,"")</f>
        <v/>
      </c>
      <c r="CJ18" s="12" t="str">
        <f>IF(ISNUMBER(CI18)=TRUE,IF(_xlfn.RANK.EQ(CI18,$CI$2:$CI$111)&lt;='Tournament Setup'!$D$42,_xlfn.RANK.EQ(CI18,$CI$2:$CI$111),""),"")</f>
        <v/>
      </c>
      <c r="CK18" s="30" t="str">
        <f>IF($H18='Tournament Setup'!$A$43,$I18,"")</f>
        <v/>
      </c>
      <c r="CL18" s="47" t="str">
        <f>IF(ISNUMBER(CK18),IF(COUNTIFS(CL$1:CL17,_xlfn.RANK.EQ(CK18,CK$2:CK$111,0))&gt;0,_xlfn.MAXIFS(CL$1:CL17,CK$1:CK17,CK18)+1,_xlfn.RANK.EQ(CK18,CK$2:CK$111,0)),"")</f>
        <v/>
      </c>
      <c r="CM18" s="1" t="str">
        <f>IF(ISNUMBER(CK18)=TRUE,IF(_xlfn.RANK.EQ(CK18,$CK$2:$CK$111)&lt;='Tournament Setup'!$B$43,_xlfn.RANK.EQ(CK18,$CK$2:$CK$111),""),"")</f>
        <v/>
      </c>
      <c r="CN18" s="31" t="str">
        <f>IF(AND($H18='Tournament Setup'!$A$43,$E18="M",$CM18&gt;'Tournament Setup'!$B$43),$I18,"")</f>
        <v/>
      </c>
      <c r="CO18" s="1" t="str">
        <f>IF(ISNUMBER(CN18)=TRUE,IF(_xlfn.RANK.EQ(CN18,$CN$2:$CN$111)&lt;='Tournament Setup'!$C$43,_xlfn.RANK.EQ(CN18,$CN$2:$CN$111),""),"")</f>
        <v/>
      </c>
      <c r="CP18" s="31" t="str">
        <f>IF(AND($H18='Tournament Setup'!$A$43,$E18="F",$CM18&gt;'Tournament Setup'!$B$43),$I18,"")</f>
        <v/>
      </c>
      <c r="CQ18" s="12" t="str">
        <f>IF(ISNUMBER(CP18)=TRUE,IF(_xlfn.RANK.EQ(CP18,$CP$2:$CP$111)&lt;='Tournament Setup'!$D$43,_xlfn.RANK.EQ(CP18,$CP$2:$CP$111),""),"")</f>
        <v/>
      </c>
      <c r="CR18" s="30">
        <f>IF($H18='Tournament Setup'!$A$44,$I18,"")</f>
        <v>60.1</v>
      </c>
      <c r="CS18" s="47">
        <f>IF(ISNUMBER(CR18),IF(COUNTIFS(CS$1:CS17,_xlfn.RANK.EQ(CR18,CR$2:CR$111,0))&gt;0,_xlfn.MAXIFS(CS$1:CS17,CR$1:CR17,CR18)+1,_xlfn.RANK.EQ(CR18,CR$2:CR$111,0)),"")</f>
        <v>4</v>
      </c>
      <c r="CT18" s="1" t="str">
        <f>IF(ISNUMBER(CR18)=TRUE,IF(_xlfn.RANK.EQ(CR18,$CR$2:$CR$111)&lt;='Tournament Setup'!$B$44,_xlfn.RANK.EQ(CR18,$CR$2:$CR$111),""),"")</f>
        <v/>
      </c>
      <c r="CU18" s="31" t="str">
        <f>IF(AND($H18='Tournament Setup'!$A$44,$E18="M",$CT18&gt;'Tournament Setup'!$B$44),$I18,"")</f>
        <v/>
      </c>
      <c r="CV18" s="1" t="str">
        <f>IF(ISNUMBER(CU18)=TRUE,IF(_xlfn.RANK.EQ(CU18,$CU$2:$CU$111)&lt;='Tournament Setup'!$C$44,_xlfn.RANK.EQ(CU18,$CU$2:$CU$111),""),"")</f>
        <v/>
      </c>
      <c r="CW18" s="31">
        <f>IF(AND($H18='Tournament Setup'!$A$44,$E18="F",$CT18&gt;'Tournament Setup'!$B$44),$I18,"")</f>
        <v>60.1</v>
      </c>
      <c r="CX18" s="12">
        <f>IF(ISNUMBER(CW18)=TRUE,IF(_xlfn.RANK.EQ(CW18,$CW$2:$CW$111)&lt;='Tournament Setup'!$D$44,_xlfn.RANK.EQ(CW18,$CW$2:$CW$111),""),"")</f>
        <v>1</v>
      </c>
    </row>
    <row r="19" spans="1:102" x14ac:dyDescent="0.3">
      <c r="A19" t="s">
        <v>54</v>
      </c>
      <c r="B19" t="str">
        <f>IFERROR(INDEX('Tournament List'!$B:$B,MATCH($A19,'Tournament List'!$A:$A,0)),"")</f>
        <v>Jill</v>
      </c>
      <c r="C19" t="str">
        <f>IFERROR(INDEX('Tournament List'!$C:$C,MATCH($A19,'Tournament List'!$A:$A,0)),"")</f>
        <v>Last Name18</v>
      </c>
      <c r="D19" t="str">
        <f t="shared" si="0"/>
        <v>Jill Last Name18</v>
      </c>
      <c r="E19" s="1" t="str">
        <f>IFERROR(INDEX('Tournament List'!F:F,MATCH($A19,'Tournament List'!$A:$A,0)),"")</f>
        <v>F</v>
      </c>
      <c r="F19" t="str">
        <f>IFERROR(INDEX('Tournament List'!M:M,MATCH($A19,'Tournament List'!$A:$A,0)),"")</f>
        <v>Collegiate</v>
      </c>
      <c r="G19" t="str">
        <f>IFERROR(INDEX('Shooter-Squad Assignment'!L:L,MATCH(A19,'Shooter-Squad Assignment'!A:A,0)),"")</f>
        <v>Collegiate</v>
      </c>
      <c r="H19" s="1" t="str">
        <f>IFERROR(INDEX('Tournament List'!AD:AD,MATCH($A19,'Tournament List'!$A:$A,0)),"")</f>
        <v>C</v>
      </c>
      <c r="I19" s="123">
        <f>IFERROR(INDEX('Tournament List'!AG:AG,MATCH($A19,'Tournament List'!$A:$A,0)),"")</f>
        <v>90</v>
      </c>
      <c r="J19" s="145" t="str">
        <f>IFERROR(INDEX('Tournament List'!Y:Y,MATCH($A19,'Tournament List'!$A:$A,0)),"")</f>
        <v/>
      </c>
      <c r="K19" s="47">
        <f>IFERROR(INDEX('Tournament List'!S:S,MATCH(A19,'Tournament List'!A:A,0)),"")</f>
        <v>172</v>
      </c>
      <c r="L19" s="47" t="str">
        <f>IF(ISNUMBER(J19),IF(COUNTIFS(L$1:L18,_xlfn.RANK.EQ(J19,J$2:J$111,0))&gt;0,_xlfn.MAXIFS(L$1:L18,J$1:J18,J19)+1,_xlfn.RANK.EQ(J19,J$2:J$111,0)),"")</f>
        <v/>
      </c>
      <c r="M19" s="11">
        <f>IF(ISNUMBER(I19)=TRUE,IF(I19&gt;0,_xlfn.RANK.EQ(I19,$I$2:$I$111,0),""),"")</f>
        <v>7</v>
      </c>
      <c r="N19" s="56">
        <f>IF(ISNUMBER(I19),IF(COUNTIFS(N$1:N18,_xlfn.RANK.EQ(I19,I$2:I$111,0))&gt;0,_xlfn.MAXIFS(N$1:N18,I$1:I18,I19)+1,_xlfn.RANK.EQ(I19,I$2:I$111,0)),"")</f>
        <v>7</v>
      </c>
      <c r="O19" s="144" t="str">
        <f>IF(F19&lt;&gt;"Collegiate"=TRUE,$I19,"")</f>
        <v/>
      </c>
      <c r="P19" s="47" t="str">
        <f>IF(ISNUMBER(O19),IF(COUNTIFS(P$1:P18,_xlfn.RANK.EQ(O19,O$2:O$111,0))&gt;0,_xlfn.MAXIFS(P$1:P18,O$1:O18,O19)+1,_xlfn.RANK.EQ(O19,O$2:O$111,0)),"")</f>
        <v/>
      </c>
      <c r="Q19" s="1" t="str">
        <f>IF(ISNUMBER(O19)=TRUE,IF(_xlfn.RANK.EQ(O19,$O$2:$O$111)&lt;='Tournament Setup'!$B$26,_xlfn.RANK.EQ(O19,$O$2:$O$111),""),"")</f>
        <v/>
      </c>
      <c r="R19" s="143" t="str">
        <f>IF(AND($E19="M",SUM($Q19)=0,F19&lt;&gt;"Collegiate")=TRUE,$I19,"")</f>
        <v/>
      </c>
      <c r="S19" s="1" t="str">
        <f>IF(ISNUMBER(R19)=TRUE,IF(_xlfn.RANK.EQ(R19,$R$2:$R$111)&lt;='Tournament Setup'!$B$27,_xlfn.RANK.EQ(R19,$R$2:$R$111),""),"")</f>
        <v/>
      </c>
      <c r="T19" s="143" t="str">
        <f>IF(AND($E19="F",SUM($Q19)=0,F19&lt;&gt;"Collegiate")=TRUE,$I19,"")</f>
        <v/>
      </c>
      <c r="U19" s="12" t="str">
        <f>IF(ISNUMBER(T19)=TRUE,IF(_xlfn.RANK.EQ(T19,$T$2:$T$111)&lt;='Tournament Setup'!$B$28,_xlfn.RANK.EQ(T19,$T$2:$T$111),""),"")</f>
        <v/>
      </c>
      <c r="V19" s="145" t="str">
        <f>IF(AND($G19='Tournament Setup'!$A$53,$J19&lt;&gt;0),$J19,"")</f>
        <v/>
      </c>
      <c r="W19" s="47" t="str">
        <f>IF(ISNUMBER(V19),IF(COUNTIFS(W$1:W18,_xlfn.RANK.EQ(V19,V$2:V$111,0))&gt;0,_xlfn.MAXIFS(W$1:W18,V$1:V18,V19)+1,_xlfn.RANK.EQ(V19,V$2:V$111,0)),"")</f>
        <v/>
      </c>
      <c r="X19" s="1" t="str">
        <f>IF(ISNUMBER(V19)=TRUE,IF(_xlfn.RANK.EQ(V19,$V$2:$V$111)&lt;='Tournament Setup'!$B$53,_xlfn.RANK.EQ(V19,$V$2:$V$111),""),"")</f>
        <v/>
      </c>
      <c r="Y19" s="145" t="str">
        <f>IF(AND($G19='Tournament Setup'!$A$49,$J19&lt;&gt;0),$J19,"")</f>
        <v/>
      </c>
      <c r="Z19" s="47" t="str">
        <f>IF(ISNUMBER(Y19),IF(COUNTIFS(Z$1:Z18,_xlfn.RANK.EQ(Y19,Y$2:Y$111,0))&gt;0,_xlfn.MAXIFS(Z$1:Z18,Y$1:Y18,Y19)+1,_xlfn.RANK.EQ(Y19,Y$2:Y$111,0)),"")</f>
        <v/>
      </c>
      <c r="AA19" s="1" t="str">
        <f>IF(ISNUMBER(Y19)=TRUE,IF(_xlfn.RANK.EQ(Y19,$Y$2:$Y$111)&lt;='Tournament Setup'!$B$49,_xlfn.RANK.EQ(Y19,$Y$2:$Y$111),""),"")</f>
        <v/>
      </c>
      <c r="AB19" s="30" t="str">
        <f>IF(AND($F19='Tournament Setup'!$A$32,SUM($Q19,$S19,$U19)=0),$I19,"")</f>
        <v/>
      </c>
      <c r="AC19" s="47" t="str">
        <f>IF(ISNUMBER(AB19),IF(COUNTIFS(AC$1:AC18,_xlfn.RANK.EQ(AB19,AB$2:AB$111,0))&gt;0,_xlfn.MAXIFS(AC$1:AC18,AB$1:AB18,AB19)+1,_xlfn.RANK.EQ(AB19,AB$2:AB$111,0)),"")</f>
        <v/>
      </c>
      <c r="AD19" s="1" t="str">
        <f>IF(ISNUMBER(AB19)=TRUE,IF(_xlfn.RANK.EQ(AB19,$AB$2:$AB$111)&lt;='Tournament Setup'!$B$32,_xlfn.RANK.EQ(AB19,$AB$2:$AB$111),""),"")</f>
        <v/>
      </c>
      <c r="AE19" s="31" t="str">
        <f>IF(AND($F19='Tournament Setup'!$A$32,SUM($Q19,$S19)=0,$E19="M",$AD19&gt;'Tournament Setup'!$B$32),$I19,"")</f>
        <v/>
      </c>
      <c r="AF19" s="1" t="str">
        <f>IF(ISNUMBER(AE19)=TRUE,IF(_xlfn.RANK.EQ(AE19,$AE$2:$AE$111)&lt;='Tournament Setup'!$C$32,_xlfn.RANK.EQ(AE19,$AE$2:$AE$111),""),"")</f>
        <v/>
      </c>
      <c r="AG19" s="31" t="str">
        <f>IF(AND($F19='Tournament Setup'!$A$32,SUM($Q19,$U19)=0,$E19="F",$AD19&gt;'Tournament Setup'!$B$32),$I19,"")</f>
        <v/>
      </c>
      <c r="AH19" s="12" t="str">
        <f>IF(ISNUMBER(AG19)=TRUE,IF(_xlfn.RANK.EQ(AG19,$AG$2:$AG$111)&lt;='Tournament Setup'!$D$32,_xlfn.RANK.EQ(AG19,$AG$2:$AG$111),""),"")</f>
        <v/>
      </c>
      <c r="AI19" s="30" t="str">
        <f>IF(AND($G19='Tournament Setup'!$A$50,$J19&lt;&gt;0),$J19,"")</f>
        <v/>
      </c>
      <c r="AJ19" s="47" t="str">
        <f>IF(ISNUMBER(AI19),IF(COUNTIFS(AJ$1:AJ18,_xlfn.RANK.EQ(AI19,AI$2:AI$111,0))&gt;0,_xlfn.MAXIFS(AJ$1:AJ18,AI$1:AI18,AI19)+1,_xlfn.RANK.EQ(AI19,AI$2:AI$111,0)),"")</f>
        <v/>
      </c>
      <c r="AK19" s="1" t="str">
        <f>IF(ISNUMBER(AI19)=TRUE,IF(_xlfn.RANK.EQ(AI19,$AI$2:$AI$111)&lt;='Tournament Setup'!$B$49,_xlfn.RANK.EQ(AI19,$AI$2:$AI$111),""),"")</f>
        <v/>
      </c>
      <c r="AL19" s="30" t="str">
        <f>IF(AND($F19='Tournament Setup'!$A$33,SUM($Q19,$S19,$U19)=0),$I19,"")</f>
        <v/>
      </c>
      <c r="AM19" s="47" t="str">
        <f>IF(ISNUMBER(AL19),IF(COUNTIFS(AM$1:AM18,_xlfn.RANK.EQ(AL19,AL$2:AL$111,0))&gt;0,_xlfn.MAXIFS(AM$1:AM18,AL$1:AL18,AL19)+1,_xlfn.RANK.EQ(AL19,AL$2:AL$111,0)),"")</f>
        <v/>
      </c>
      <c r="AN19" s="1" t="str">
        <f>IF(ISNUMBER(AL19)=TRUE,IF(_xlfn.RANK.EQ(AL19,$AL$2:$AL$111)&lt;='Tournament Setup'!$B$33,_xlfn.RANK.EQ(AL19,$AL$2:$AL$111),""),"")</f>
        <v/>
      </c>
      <c r="AO19" s="31" t="str">
        <f>IF(AND($F19='Tournament Setup'!$A$33,SUM($Q19,$S19)=0,$E19="M",$AN19&gt;'Tournament Setup'!$B$33),$I19,"")</f>
        <v/>
      </c>
      <c r="AP19" s="1" t="str">
        <f>IF(ISNUMBER(AO19)=TRUE,IF(_xlfn.RANK.EQ(AO19,$AO$2:$AO$111)&lt;='Tournament Setup'!$C$33,_xlfn.RANK.EQ(AO19,$AO$2:$AO$111),""),"")</f>
        <v/>
      </c>
      <c r="AQ19" s="31" t="str">
        <f>IF(AND($F19='Tournament Setup'!$A$33,SUM($Q19,$U19)=0,$E19="F",$AN19&gt;'Tournament Setup'!$B$33),$I19,"")</f>
        <v/>
      </c>
      <c r="AR19" s="12" t="str">
        <f>IF(ISNUMBER(AQ19)=TRUE,IF(_xlfn.RANK.EQ(AQ19,$AQ$2:$AQ$111)&lt;='Tournament Setup'!$D$33,_xlfn.RANK.EQ(AQ19,$AQ$2:$AQ$111),""),"")</f>
        <v/>
      </c>
      <c r="AS19" s="30" t="str">
        <f>IF(AND($G19='Tournament Setup'!$A$51,$J19&lt;&gt;0),$J19,"")</f>
        <v/>
      </c>
      <c r="AT19" s="47" t="str">
        <f>IF(ISNUMBER(AS19),IF(COUNTIFS(AT$1:AT18,_xlfn.RANK.EQ(AS19,AS$2:AS$111,0))&gt;0,_xlfn.MAXIFS(AT$1:AT18,AS$1:AS18,AS19)+1,_xlfn.RANK.EQ(AS19,AS$2:AS$111,0)),"")</f>
        <v/>
      </c>
      <c r="AU19" s="1" t="str">
        <f>IF(ISNUMBER(AS19)=TRUE,IF(_xlfn.RANK.EQ(AS19,$AS$2:$AS$111)&lt;='Tournament Setup'!$B$49,_xlfn.RANK.EQ(AS19,$AS$2:$AS$111),""),"")</f>
        <v/>
      </c>
      <c r="AV19" s="30" t="str">
        <f>IF(AND($F19='Tournament Setup'!$A$34,SUM($Q19,$S19,$U19)=0),$I19,"")</f>
        <v/>
      </c>
      <c r="AW19" s="47" t="str">
        <f>IF(ISNUMBER(AV19),IF(COUNTIFS(AW$1:AW18,_xlfn.RANK.EQ(AV19,AV$2:AV$111,0))&gt;0,_xlfn.MAXIFS(AW$1:AW18,AV$1:AV18,AV19)+1,_xlfn.RANK.EQ(AV19,AV$2:AV$111,0)),"")</f>
        <v/>
      </c>
      <c r="AX19" s="1" t="str">
        <f>IF(ISNUMBER(AV19)=TRUE,IF(_xlfn.RANK.EQ(AV19,$AV$2:$AV$111)&lt;='Tournament Setup'!$B$34,_xlfn.RANK.EQ(AV19,$AV$2:$AV$111),""),"")</f>
        <v/>
      </c>
      <c r="AY19" s="31" t="str">
        <f>IF(AND($F19='Tournament Setup'!$A$34,SUM($Q19,$S19)=0,$E19="M",$AX19&gt;'Tournament Setup'!$B$34),$I19,"")</f>
        <v/>
      </c>
      <c r="AZ19" s="1" t="str">
        <f>IF(ISNUMBER(AY19)=TRUE,IF(_xlfn.RANK.EQ(AY19,$AY$2:$AY$111)&lt;='Tournament Setup'!$C$34,_xlfn.RANK.EQ(AY19,$AY$2:$AY$111),""),"")</f>
        <v/>
      </c>
      <c r="BA19" s="31" t="str">
        <f>IF(AND($F19='Tournament Setup'!$A$34,SUM($Q19,$U19)=0,$E19="F",$AX19&gt;'Tournament Setup'!$B$34),$I19,"")</f>
        <v/>
      </c>
      <c r="BB19" s="12" t="str">
        <f>IF(ISNUMBER(BA19)=TRUE,IF(_xlfn.RANK.EQ(BA19,$BA$2:$BA$111)&lt;='Tournament Setup'!$D$34,_xlfn.RANK.EQ(BA19,$BA$2:$BA$111),""),"")</f>
        <v/>
      </c>
      <c r="BC19" s="30" t="str">
        <f>IF(AND($G19='Tournament Setup'!$A$52,$J19&lt;&gt;0),$J19,"")</f>
        <v/>
      </c>
      <c r="BD19" s="47" t="str">
        <f>IF(ISNUMBER(BC19),IF(COUNTIFS(BD$1:BD18,_xlfn.RANK.EQ(BC19,BC$2:BC$111,0))&gt;0,_xlfn.MAXIFS(BD$1:BD18,BC$1:BC18,BC19)+1,_xlfn.RANK.EQ(BC19,BC$2:BC$111,0)),"")</f>
        <v/>
      </c>
      <c r="BE19" s="1" t="str">
        <f>IF(ISNUMBER(BC19)=TRUE,IF(_xlfn.RANK.EQ(BC19,$BC$2:$BC$111)&lt;='Tournament Setup'!$B$49,_xlfn.RANK.EQ(BC19,$BC$2:$BC$111),""),"")</f>
        <v/>
      </c>
      <c r="BF19" s="30" t="str">
        <f>IF(AND($F19='Tournament Setup'!$A$35,SUM($Q19,$S19,$U19)=0),$I19,"")</f>
        <v/>
      </c>
      <c r="BG19" s="47" t="str">
        <f>IF(ISNUMBER(BF19),IF(COUNTIFS(BG$1:BG18,_xlfn.RANK.EQ(BF19,BF$2:BF$111,0))&gt;0,_xlfn.MAXIFS(BG$1:BG18,BF$1:BF18,BF19)+1,_xlfn.RANK.EQ(BF19,BF$2:BF$111,0)),"")</f>
        <v/>
      </c>
      <c r="BH19" s="1" t="str">
        <f>IF(ISNUMBER(BF19)=TRUE,IF(_xlfn.RANK.EQ(BF19,$BF$2:$BF$111)&lt;='Tournament Setup'!$B$35,_xlfn.RANK.EQ(BF19,$BF$2:$BF$111),""),"")</f>
        <v/>
      </c>
      <c r="BI19" s="31" t="str">
        <f>IF(AND($F19='Tournament Setup'!$A$35,SUM($Q19,$S19)=0,$E19="M",$BH19&gt;'Tournament Setup'!$B$35),$I19,"")</f>
        <v/>
      </c>
      <c r="BJ19" s="1" t="str">
        <f>IF(ISNUMBER(BI19)=TRUE,IF(_xlfn.RANK.EQ(BI19,$BI$2:$BI$111)&lt;='Tournament Setup'!$C$35,_xlfn.RANK.EQ(BI19,$BI$2:$BI$111),""),"")</f>
        <v/>
      </c>
      <c r="BK19" s="31" t="str">
        <f>IF(AND($F19='Tournament Setup'!$A$35,SUM($Q19,$U19)=0,$E19="F",$BH19&gt;'Tournament Setup'!$B$35),$I19,"")</f>
        <v/>
      </c>
      <c r="BL19" s="12" t="str">
        <f>IF(ISNUMBER(BK19)=TRUE,IF(_xlfn.RANK.EQ(BK19,$BK$2:$BK$111)&lt;='Tournament Setup'!$D$35,_xlfn.RANK.EQ(BK19,$BK$2:$BK$111),""),"")</f>
        <v/>
      </c>
      <c r="BM19" s="30" t="str">
        <f>IF(AND($G19='Tournament Setup'!$A$54,$J19&lt;&gt;0),$J19,"")</f>
        <v/>
      </c>
      <c r="BN19" s="47" t="str">
        <f>IF(ISNUMBER(BM19),IF(COUNTIFS(BN$1:BN18,_xlfn.RANK.EQ(BM19,BM$2:BM$111,0))&gt;0,_xlfn.MAXIFS(BN$1:BN18,BM$1:BM18,BM19)+1,_xlfn.RANK.EQ(BM19,BM$2:BM$111,0)),"")</f>
        <v/>
      </c>
      <c r="BO19" s="1" t="str">
        <f>IF(ISNUMBER(BM19)=TRUE,IF(_xlfn.RANK.EQ(BM19,$BM$2:$BM$111)&lt;='Tournament Setup'!$B$49,_xlfn.RANK.EQ(BM19,$BM$2:$BM$111),""),"")</f>
        <v/>
      </c>
      <c r="BP19" s="30">
        <f>IF(AND($F19='Tournament Setup'!$A$36,SUM($Q19,$S19,$U19)=0),$I19,"")</f>
        <v>90</v>
      </c>
      <c r="BQ19" s="47">
        <f>IF(ISNUMBER(BP19),IF(COUNTIFS(BQ$1:BQ18,_xlfn.RANK.EQ(BP19,BP$2:BP$111,0))&gt;0,_xlfn.MAXIFS(BQ$1:BQ18,BP$1:BP18,BP19)+1,_xlfn.RANK.EQ(BP19,BP$2:BP$111,0)),"")</f>
        <v>1</v>
      </c>
      <c r="BR19" s="1">
        <f>IF(ISNUMBER(BP19)=TRUE,IF(_xlfn.RANK.EQ(BP19,$BP$2:$BP$111)&lt;='Tournament Setup'!$B$36,_xlfn.RANK.EQ(BP19,$BP$2:$BP$111),""),"")</f>
        <v>1</v>
      </c>
      <c r="BS19" s="31" t="str">
        <f>IF(AND($F19='Tournament Setup'!$A$36,SUM($Q19,$S19)=0,$E19="M",$BR19&gt;'Tournament Setup'!$B$36),$I19,"")</f>
        <v/>
      </c>
      <c r="BT19" s="1" t="str">
        <f>IF(ISNUMBER(BS19)=TRUE,IF(_xlfn.RANK.EQ(BS19,$BS$2:$BS$111)&lt;='Tournament Setup'!$C$36,_xlfn.RANK.EQ(BS19,$BS$2:$BS$111),""),"")</f>
        <v/>
      </c>
      <c r="BU19" s="31" t="str">
        <f>IF(AND($F19='Tournament Setup'!$A$36,SUM($Q19,$U19)=0,$E19="F",$BR19&gt;'Tournament Setup'!$B$36),$I19,"")</f>
        <v/>
      </c>
      <c r="BV19" s="12" t="str">
        <f>IF(ISNUMBER(BU19)=TRUE,IF(_xlfn.RANK.EQ(BU19,$BU$2:$BU$111)&lt;='Tournament Setup'!$D$36,_xlfn.RANK.EQ(BU19,$BU$2:$BU$111),""),"")</f>
        <v/>
      </c>
      <c r="BW19" s="30" t="str">
        <f>IF($H19='Tournament Setup'!$A$41,$I19,"")</f>
        <v/>
      </c>
      <c r="BX19" s="47" t="str">
        <f>IF(ISNUMBER(BW19),IF(COUNTIFS(BX$1:BX18,_xlfn.RANK.EQ(BW19,BW$2:BW$111,0))&gt;0,_xlfn.MAXIFS(BX$1:BX18,BW$1:BW18,BW19)+1,_xlfn.RANK.EQ(BW19,BW$2:BW$111,0)),"")</f>
        <v/>
      </c>
      <c r="BY19" s="1" t="str">
        <f>IF(ISNUMBER(BW19)=TRUE,IF(_xlfn.RANK.EQ(BW19,$BW$2:$BW$111)&lt;='Tournament Setup'!$B$41,_xlfn.RANK.EQ(BW19,$BW$2:$BW$111),""),"")</f>
        <v/>
      </c>
      <c r="BZ19" s="31" t="str">
        <f>IF(AND($H19='Tournament Setup'!$A$41,$E19="M",$BY19&gt;'Tournament Setup'!$B$41),$I19,"")</f>
        <v/>
      </c>
      <c r="CA19" s="1" t="str">
        <f>IF(ISNUMBER(BZ19)=TRUE,IF(_xlfn.RANK.EQ(BZ19,$BZ$2:$BZ$111)&lt;='Tournament Setup'!$C$41,_xlfn.RANK.EQ(BZ19,$BZ$2:$BZ$111),""),"")</f>
        <v/>
      </c>
      <c r="CB19" s="31" t="str">
        <f>IF(AND($H19='Tournament Setup'!$A$41,$E19="F",$BY19&gt;'Tournament Setup'!$B$41),$I19,"")</f>
        <v/>
      </c>
      <c r="CC19" s="12" t="str">
        <f>IF(ISNUMBER(CB19)=TRUE,IF(_xlfn.RANK.EQ(CB19,$CB$2:$CB$111)&lt;='Tournament Setup'!$D$41,_xlfn.RANK.EQ(CB19,$CB$2:$CB$111),""),"")</f>
        <v/>
      </c>
      <c r="CD19" s="30" t="str">
        <f>IF($H19='Tournament Setup'!$A$42,$I19,"")</f>
        <v/>
      </c>
      <c r="CE19" s="47" t="str">
        <f>IF(ISNUMBER(CD19),IF(COUNTIFS(CE$1:CE18,_xlfn.RANK.EQ(CD19,CD$2:CD$111,0))&gt;0,_xlfn.MAXIFS(CE$1:CE18,CD$1:CD18,CD19)+1,_xlfn.RANK.EQ(CD19,CD$2:CD$111,0)),"")</f>
        <v/>
      </c>
      <c r="CF19" s="1" t="str">
        <f>IF(ISNUMBER(CD19)=TRUE,IF(_xlfn.RANK.EQ(CD19,$CD$2:$CD$111)&lt;='Tournament Setup'!$B$42,_xlfn.RANK.EQ(CD19,$CD$2:$CD$111),""),"")</f>
        <v/>
      </c>
      <c r="CG19" s="31" t="str">
        <f>IF(AND($H19='Tournament Setup'!$A$42,$E19="M",$CF19&gt;'Tournament Setup'!$B$42),$I19,"")</f>
        <v/>
      </c>
      <c r="CH19" s="1" t="str">
        <f>IF(ISNUMBER(CG19)=TRUE,IF(_xlfn.RANK.EQ(CG19,$CG$2:$CG$111)&lt;='Tournament Setup'!$C$42,_xlfn.RANK.EQ(CG19,$CG$2:$CG$111),""),"")</f>
        <v/>
      </c>
      <c r="CI19" s="31" t="str">
        <f>IF(AND($H19='Tournament Setup'!$A$42,$E19="F",$CF19&gt;'Tournament Setup'!$B$42),$I19,"")</f>
        <v/>
      </c>
      <c r="CJ19" s="12" t="str">
        <f>IF(ISNUMBER(CI19)=TRUE,IF(_xlfn.RANK.EQ(CI19,$CI$2:$CI$111)&lt;='Tournament Setup'!$D$42,_xlfn.RANK.EQ(CI19,$CI$2:$CI$111),""),"")</f>
        <v/>
      </c>
      <c r="CK19" s="30">
        <f>IF($H19='Tournament Setup'!$A$43,$I19,"")</f>
        <v>90</v>
      </c>
      <c r="CL19" s="47">
        <f>IF(ISNUMBER(CK19),IF(COUNTIFS(CL$1:CL18,_xlfn.RANK.EQ(CK19,CK$2:CK$111,0))&gt;0,_xlfn.MAXIFS(CL$1:CL18,CK$1:CK18,CK19)+1,_xlfn.RANK.EQ(CK19,CK$2:CK$111,0)),"")</f>
        <v>2</v>
      </c>
      <c r="CM19" s="1">
        <f>IF(ISNUMBER(CK19)=TRUE,IF(_xlfn.RANK.EQ(CK19,$CK$2:$CK$111)&lt;='Tournament Setup'!$B$43,_xlfn.RANK.EQ(CK19,$CK$2:$CK$111),""),"")</f>
        <v>2</v>
      </c>
      <c r="CN19" s="31" t="str">
        <f>IF(AND($H19='Tournament Setup'!$A$43,$E19="M",$CM19&gt;'Tournament Setup'!$B$43),$I19,"")</f>
        <v/>
      </c>
      <c r="CO19" s="1" t="str">
        <f>IF(ISNUMBER(CN19)=TRUE,IF(_xlfn.RANK.EQ(CN19,$CN$2:$CN$111)&lt;='Tournament Setup'!$C$43,_xlfn.RANK.EQ(CN19,$CN$2:$CN$111),""),"")</f>
        <v/>
      </c>
      <c r="CP19" s="31" t="str">
        <f>IF(AND($H19='Tournament Setup'!$A$43,$E19="F",$CM19&gt;'Tournament Setup'!$B$43),$I19,"")</f>
        <v/>
      </c>
      <c r="CQ19" s="12" t="str">
        <f>IF(ISNUMBER(CP19)=TRUE,IF(_xlfn.RANK.EQ(CP19,$CP$2:$CP$111)&lt;='Tournament Setup'!$D$43,_xlfn.RANK.EQ(CP19,$CP$2:$CP$111),""),"")</f>
        <v/>
      </c>
      <c r="CR19" s="30" t="str">
        <f>IF($H19='Tournament Setup'!$A$44,$I19,"")</f>
        <v/>
      </c>
      <c r="CS19" s="47" t="str">
        <f>IF(ISNUMBER(CR19),IF(COUNTIFS(CS$1:CS18,_xlfn.RANK.EQ(CR19,CR$2:CR$111,0))&gt;0,_xlfn.MAXIFS(CS$1:CS18,CR$1:CR18,CR19)+1,_xlfn.RANK.EQ(CR19,CR$2:CR$111,0)),"")</f>
        <v/>
      </c>
      <c r="CT19" s="1" t="str">
        <f>IF(ISNUMBER(CR19)=TRUE,IF(_xlfn.RANK.EQ(CR19,$CR$2:$CR$111)&lt;='Tournament Setup'!$B$44,_xlfn.RANK.EQ(CR19,$CR$2:$CR$111),""),"")</f>
        <v/>
      </c>
      <c r="CU19" s="31" t="str">
        <f>IF(AND($H19='Tournament Setup'!$A$44,$E19="M",$CT19&gt;'Tournament Setup'!$B$44),$I19,"")</f>
        <v/>
      </c>
      <c r="CV19" s="1" t="str">
        <f>IF(ISNUMBER(CU19)=TRUE,IF(_xlfn.RANK.EQ(CU19,$CU$2:$CU$111)&lt;='Tournament Setup'!$C$44,_xlfn.RANK.EQ(CU19,$CU$2:$CU$111),""),"")</f>
        <v/>
      </c>
      <c r="CW19" s="31" t="str">
        <f>IF(AND($H19='Tournament Setup'!$A$44,$E19="F",$CT19&gt;'Tournament Setup'!$B$44),$I19,"")</f>
        <v/>
      </c>
      <c r="CX19" s="12" t="str">
        <f>IF(ISNUMBER(CW19)=TRUE,IF(_xlfn.RANK.EQ(CW19,$CW$2:$CW$111)&lt;='Tournament Setup'!$D$44,_xlfn.RANK.EQ(CW19,$CW$2:$CW$111),""),"")</f>
        <v/>
      </c>
    </row>
    <row r="20" spans="1:102" x14ac:dyDescent="0.3">
      <c r="A20" t="s">
        <v>55</v>
      </c>
      <c r="B20" t="str">
        <f>IFERROR(INDEX('Tournament List'!$B:$B,MATCH($A20,'Tournament List'!$A:$A,0)),"")</f>
        <v>Jack</v>
      </c>
      <c r="C20" t="str">
        <f>IFERROR(INDEX('Tournament List'!$C:$C,MATCH($A20,'Tournament List'!$A:$A,0)),"")</f>
        <v>Last Name19</v>
      </c>
      <c r="D20" t="str">
        <f t="shared" si="0"/>
        <v>Jack Last Name19</v>
      </c>
      <c r="E20" s="1" t="str">
        <f>IFERROR(INDEX('Tournament List'!F:F,MATCH($A20,'Tournament List'!$A:$A,0)),"")</f>
        <v>M</v>
      </c>
      <c r="F20" t="str">
        <f>IFERROR(INDEX('Tournament List'!M:M,MATCH($A20,'Tournament List'!$A:$A,0)),"")</f>
        <v>Varsity</v>
      </c>
      <c r="G20" t="str">
        <f>IFERROR(INDEX('Shooter-Squad Assignment'!L:L,MATCH(A20,'Shooter-Squad Assignment'!A:A,0)),"")</f>
        <v>Open</v>
      </c>
      <c r="H20" s="1" t="str">
        <f>IFERROR(INDEX('Tournament List'!AD:AD,MATCH($A20,'Tournament List'!$A:$A,0)),"")</f>
        <v>B</v>
      </c>
      <c r="I20" s="123">
        <f>IFERROR(INDEX('Tournament List'!AG:AG,MATCH($A20,'Tournament List'!$A:$A,0)),"")</f>
        <v>82.1</v>
      </c>
      <c r="J20" s="145">
        <f>IFERROR(INDEX('Tournament List'!Y:Y,MATCH($A20,'Tournament List'!$A:$A,0)),"")</f>
        <v>239.1</v>
      </c>
      <c r="K20" s="47">
        <f>IFERROR(INDEX('Tournament List'!S:S,MATCH(A20,'Tournament List'!A:A,0)),"")</f>
        <v>127</v>
      </c>
      <c r="L20" s="47">
        <f>IF(ISNUMBER(J20),IF(COUNTIFS(L$1:L19,_xlfn.RANK.EQ(J20,J$2:J$111,0))&gt;0,_xlfn.MAXIFS(L$1:L19,J$1:J19,J20)+1,_xlfn.RANK.EQ(J20,J$2:J$111,0)),"")</f>
        <v>3</v>
      </c>
      <c r="M20" s="11">
        <f>IF(ISNUMBER(I20)=TRUE,IF(I20&gt;0,_xlfn.RANK.EQ(I20,$I$2:$I$111,0),""),"")</f>
        <v>16</v>
      </c>
      <c r="N20" s="56">
        <f>IF(ISNUMBER(I20),IF(COUNTIFS(N$1:N19,_xlfn.RANK.EQ(I20,I$2:I$111,0))&gt;0,_xlfn.MAXIFS(N$1:N19,I$1:I19,I20)+1,_xlfn.RANK.EQ(I20,I$2:I$111,0)),"")</f>
        <v>16</v>
      </c>
      <c r="O20" s="144">
        <f>IF(F20&lt;&gt;"Collegiate"=TRUE,$I20,"")</f>
        <v>82.1</v>
      </c>
      <c r="P20" s="47">
        <f>IF(ISNUMBER(O20),IF(COUNTIFS(P$1:P19,_xlfn.RANK.EQ(O20,O$2:O$111,0))&gt;0,_xlfn.MAXIFS(P$1:P19,O$1:O19,O20)+1,_xlfn.RANK.EQ(O20,O$2:O$111,0)),"")</f>
        <v>14</v>
      </c>
      <c r="Q20" s="1" t="str">
        <f>IF(ISNUMBER(O20)=TRUE,IF(_xlfn.RANK.EQ(O20,$O$2:$O$111)&lt;='Tournament Setup'!$B$26,_xlfn.RANK.EQ(O20,$O$2:$O$111),""),"")</f>
        <v/>
      </c>
      <c r="R20" s="143">
        <f>IF(AND($E20="M",SUM($Q20)=0,F20&lt;&gt;"Collegiate")=TRUE,$I20,"")</f>
        <v>82.1</v>
      </c>
      <c r="S20" s="1" t="str">
        <f>IF(ISNUMBER(R20)=TRUE,IF(_xlfn.RANK.EQ(R20,$R$2:$R$111)&lt;='Tournament Setup'!$B$27,_xlfn.RANK.EQ(R20,$R$2:$R$111),""),"")</f>
        <v/>
      </c>
      <c r="T20" s="143" t="str">
        <f>IF(AND($E20="F",SUM($Q20)=0,F20&lt;&gt;"Collegiate")=TRUE,$I20,"")</f>
        <v/>
      </c>
      <c r="U20" s="12" t="str">
        <f>IF(ISNUMBER(T20)=TRUE,IF(_xlfn.RANK.EQ(T20,$T$2:$T$111)&lt;='Tournament Setup'!$B$28,_xlfn.RANK.EQ(T20,$T$2:$T$111),""),"")</f>
        <v/>
      </c>
      <c r="V20" s="145">
        <f>IF(AND($G20='Tournament Setup'!$A$53,$J20&lt;&gt;0),$J20,"")</f>
        <v>239.1</v>
      </c>
      <c r="W20" s="47">
        <f>IF(ISNUMBER(V20),IF(COUNTIFS(W$1:W19,_xlfn.RANK.EQ(V20,V$2:V$111,0))&gt;0,_xlfn.MAXIFS(W$1:W19,V$1:V19,V20)+1,_xlfn.RANK.EQ(V20,V$2:V$111,0)),"")</f>
        <v>1</v>
      </c>
      <c r="X20" s="1">
        <f>IF(ISNUMBER(V20)=TRUE,IF(_xlfn.RANK.EQ(V20,$V$2:$V$111)&lt;='Tournament Setup'!$B$53,_xlfn.RANK.EQ(V20,$V$2:$V$111),""),"")</f>
        <v>1</v>
      </c>
      <c r="Y20" s="145" t="str">
        <f>IF(AND($G20='Tournament Setup'!$A$49,$J20&lt;&gt;0),$J20,"")</f>
        <v/>
      </c>
      <c r="Z20" s="47" t="str">
        <f>IF(ISNUMBER(Y20),IF(COUNTIFS(Z$1:Z19,_xlfn.RANK.EQ(Y20,Y$2:Y$111,0))&gt;0,_xlfn.MAXIFS(Z$1:Z19,Y$1:Y19,Y20)+1,_xlfn.RANK.EQ(Y20,Y$2:Y$111,0)),"")</f>
        <v/>
      </c>
      <c r="AA20" s="1" t="str">
        <f>IF(ISNUMBER(Y20)=TRUE,IF(_xlfn.RANK.EQ(Y20,$Y$2:$Y$111)&lt;='Tournament Setup'!$B$49,_xlfn.RANK.EQ(Y20,$Y$2:$Y$111),""),"")</f>
        <v/>
      </c>
      <c r="AB20" s="30" t="str">
        <f>IF(AND($F20='Tournament Setup'!$A$32,SUM($Q20,$S20,$U20)=0),$I20,"")</f>
        <v/>
      </c>
      <c r="AC20" s="47" t="str">
        <f>IF(ISNUMBER(AB20),IF(COUNTIFS(AC$1:AC19,_xlfn.RANK.EQ(AB20,AB$2:AB$111,0))&gt;0,_xlfn.MAXIFS(AC$1:AC19,AB$1:AB19,AB20)+1,_xlfn.RANK.EQ(AB20,AB$2:AB$111,0)),"")</f>
        <v/>
      </c>
      <c r="AD20" s="1" t="str">
        <f>IF(ISNUMBER(AB20)=TRUE,IF(_xlfn.RANK.EQ(AB20,$AB$2:$AB$111)&lt;='Tournament Setup'!$B$32,_xlfn.RANK.EQ(AB20,$AB$2:$AB$111),""),"")</f>
        <v/>
      </c>
      <c r="AE20" s="31" t="str">
        <f>IF(AND($F20='Tournament Setup'!$A$32,SUM($Q20,$S20)=0,$E20="M",$AD20&gt;'Tournament Setup'!$B$32),$I20,"")</f>
        <v/>
      </c>
      <c r="AF20" s="1" t="str">
        <f>IF(ISNUMBER(AE20)=TRUE,IF(_xlfn.RANK.EQ(AE20,$AE$2:$AE$111)&lt;='Tournament Setup'!$C$32,_xlfn.RANK.EQ(AE20,$AE$2:$AE$111),""),"")</f>
        <v/>
      </c>
      <c r="AG20" s="31" t="str">
        <f>IF(AND($F20='Tournament Setup'!$A$32,SUM($Q20,$U20)=0,$E20="F",$AD20&gt;'Tournament Setup'!$B$32),$I20,"")</f>
        <v/>
      </c>
      <c r="AH20" s="12" t="str">
        <f>IF(ISNUMBER(AG20)=TRUE,IF(_xlfn.RANK.EQ(AG20,$AG$2:$AG$111)&lt;='Tournament Setup'!$D$32,_xlfn.RANK.EQ(AG20,$AG$2:$AG$111),""),"")</f>
        <v/>
      </c>
      <c r="AI20" s="30" t="str">
        <f>IF(AND($G20='Tournament Setup'!$A$50,$J20&lt;&gt;0),$J20,"")</f>
        <v/>
      </c>
      <c r="AJ20" s="47" t="str">
        <f>IF(ISNUMBER(AI20),IF(COUNTIFS(AJ$1:AJ19,_xlfn.RANK.EQ(AI20,AI$2:AI$111,0))&gt;0,_xlfn.MAXIFS(AJ$1:AJ19,AI$1:AI19,AI20)+1,_xlfn.RANK.EQ(AI20,AI$2:AI$111,0)),"")</f>
        <v/>
      </c>
      <c r="AK20" s="1" t="str">
        <f>IF(ISNUMBER(AI20)=TRUE,IF(_xlfn.RANK.EQ(AI20,$AI$2:$AI$111)&lt;='Tournament Setup'!$B$49,_xlfn.RANK.EQ(AI20,$AI$2:$AI$111),""),"")</f>
        <v/>
      </c>
      <c r="AL20" s="30" t="str">
        <f>IF(AND($F20='Tournament Setup'!$A$33,SUM($Q20,$S20,$U20)=0),$I20,"")</f>
        <v/>
      </c>
      <c r="AM20" s="47" t="str">
        <f>IF(ISNUMBER(AL20),IF(COUNTIFS(AM$1:AM19,_xlfn.RANK.EQ(AL20,AL$2:AL$111,0))&gt;0,_xlfn.MAXIFS(AM$1:AM19,AL$1:AL19,AL20)+1,_xlfn.RANK.EQ(AL20,AL$2:AL$111,0)),"")</f>
        <v/>
      </c>
      <c r="AN20" s="1" t="str">
        <f>IF(ISNUMBER(AL20)=TRUE,IF(_xlfn.RANK.EQ(AL20,$AL$2:$AL$111)&lt;='Tournament Setup'!$B$33,_xlfn.RANK.EQ(AL20,$AL$2:$AL$111),""),"")</f>
        <v/>
      </c>
      <c r="AO20" s="31" t="str">
        <f>IF(AND($F20='Tournament Setup'!$A$33,SUM($Q20,$S20)=0,$E20="M",$AN20&gt;'Tournament Setup'!$B$33),$I20,"")</f>
        <v/>
      </c>
      <c r="AP20" s="1" t="str">
        <f>IF(ISNUMBER(AO20)=TRUE,IF(_xlfn.RANK.EQ(AO20,$AO$2:$AO$111)&lt;='Tournament Setup'!$C$33,_xlfn.RANK.EQ(AO20,$AO$2:$AO$111),""),"")</f>
        <v/>
      </c>
      <c r="AQ20" s="31" t="str">
        <f>IF(AND($F20='Tournament Setup'!$A$33,SUM($Q20,$U20)=0,$E20="F",$AN20&gt;'Tournament Setup'!$B$33),$I20,"")</f>
        <v/>
      </c>
      <c r="AR20" s="12" t="str">
        <f>IF(ISNUMBER(AQ20)=TRUE,IF(_xlfn.RANK.EQ(AQ20,$AQ$2:$AQ$111)&lt;='Tournament Setup'!$D$33,_xlfn.RANK.EQ(AQ20,$AQ$2:$AQ$111),""),"")</f>
        <v/>
      </c>
      <c r="AS20" s="30" t="str">
        <f>IF(AND($G20='Tournament Setup'!$A$51,$J20&lt;&gt;0),$J20,"")</f>
        <v/>
      </c>
      <c r="AT20" s="47" t="str">
        <f>IF(ISNUMBER(AS20),IF(COUNTIFS(AT$1:AT19,_xlfn.RANK.EQ(AS20,AS$2:AS$111,0))&gt;0,_xlfn.MAXIFS(AT$1:AT19,AS$1:AS19,AS20)+1,_xlfn.RANK.EQ(AS20,AS$2:AS$111,0)),"")</f>
        <v/>
      </c>
      <c r="AU20" s="1" t="str">
        <f>IF(ISNUMBER(AS20)=TRUE,IF(_xlfn.RANK.EQ(AS20,$AS$2:$AS$111)&lt;='Tournament Setup'!$B$49,_xlfn.RANK.EQ(AS20,$AS$2:$AS$111),""),"")</f>
        <v/>
      </c>
      <c r="AV20" s="30" t="str">
        <f>IF(AND($F20='Tournament Setup'!$A$34,SUM($Q20,$S20,$U20)=0),$I20,"")</f>
        <v/>
      </c>
      <c r="AW20" s="47" t="str">
        <f>IF(ISNUMBER(AV20),IF(COUNTIFS(AW$1:AW19,_xlfn.RANK.EQ(AV20,AV$2:AV$111,0))&gt;0,_xlfn.MAXIFS(AW$1:AW19,AV$1:AV19,AV20)+1,_xlfn.RANK.EQ(AV20,AV$2:AV$111,0)),"")</f>
        <v/>
      </c>
      <c r="AX20" s="1" t="str">
        <f>IF(ISNUMBER(AV20)=TRUE,IF(_xlfn.RANK.EQ(AV20,$AV$2:$AV$111)&lt;='Tournament Setup'!$B$34,_xlfn.RANK.EQ(AV20,$AV$2:$AV$111),""),"")</f>
        <v/>
      </c>
      <c r="AY20" s="31" t="str">
        <f>IF(AND($F20='Tournament Setup'!$A$34,SUM($Q20,$S20)=0,$E20="M",$AX20&gt;'Tournament Setup'!$B$34),$I20,"")</f>
        <v/>
      </c>
      <c r="AZ20" s="1" t="str">
        <f>IF(ISNUMBER(AY20)=TRUE,IF(_xlfn.RANK.EQ(AY20,$AY$2:$AY$111)&lt;='Tournament Setup'!$C$34,_xlfn.RANK.EQ(AY20,$AY$2:$AY$111),""),"")</f>
        <v/>
      </c>
      <c r="BA20" s="31" t="str">
        <f>IF(AND($F20='Tournament Setup'!$A$34,SUM($Q20,$U20)=0,$E20="F",$AX20&gt;'Tournament Setup'!$B$34),$I20,"")</f>
        <v/>
      </c>
      <c r="BB20" s="12" t="str">
        <f>IF(ISNUMBER(BA20)=TRUE,IF(_xlfn.RANK.EQ(BA20,$BA$2:$BA$111)&lt;='Tournament Setup'!$D$34,_xlfn.RANK.EQ(BA20,$BA$2:$BA$111),""),"")</f>
        <v/>
      </c>
      <c r="BC20" s="30" t="str">
        <f>IF(AND($G20='Tournament Setup'!$A$52,$J20&lt;&gt;0),$J20,"")</f>
        <v/>
      </c>
      <c r="BD20" s="47" t="str">
        <f>IF(ISNUMBER(BC20),IF(COUNTIFS(BD$1:BD19,_xlfn.RANK.EQ(BC20,BC$2:BC$111,0))&gt;0,_xlfn.MAXIFS(BD$1:BD19,BC$1:BC19,BC20)+1,_xlfn.RANK.EQ(BC20,BC$2:BC$111,0)),"")</f>
        <v/>
      </c>
      <c r="BE20" s="1" t="str">
        <f>IF(ISNUMBER(BC20)=TRUE,IF(_xlfn.RANK.EQ(BC20,$BC$2:$BC$111)&lt;='Tournament Setup'!$B$49,_xlfn.RANK.EQ(BC20,$BC$2:$BC$111),""),"")</f>
        <v/>
      </c>
      <c r="BF20" s="30">
        <f>IF(AND($F20='Tournament Setup'!$A$35,SUM($Q20,$S20,$U20)=0),$I20,"")</f>
        <v>82.1</v>
      </c>
      <c r="BG20" s="47">
        <f>IF(ISNUMBER(BF20),IF(COUNTIFS(BG$1:BG19,_xlfn.RANK.EQ(BF20,BF$2:BF$111,0))&gt;0,_xlfn.MAXIFS(BG$1:BG19,BF$1:BF19,BF20)+1,_xlfn.RANK.EQ(BF20,BF$2:BF$111,0)),"")</f>
        <v>3</v>
      </c>
      <c r="BH20" s="1">
        <f>IF(ISNUMBER(BF20)=TRUE,IF(_xlfn.RANK.EQ(BF20,$BF$2:$BF$111)&lt;='Tournament Setup'!$B$35,_xlfn.RANK.EQ(BF20,$BF$2:$BF$111),""),"")</f>
        <v>3</v>
      </c>
      <c r="BI20" s="31" t="str">
        <f>IF(AND($F20='Tournament Setup'!$A$35,SUM($Q20,$S20)=0,$E20="M",$BH20&gt;'Tournament Setup'!$B$35),$I20,"")</f>
        <v/>
      </c>
      <c r="BJ20" s="1" t="str">
        <f>IF(ISNUMBER(BI20)=TRUE,IF(_xlfn.RANK.EQ(BI20,$BI$2:$BI$111)&lt;='Tournament Setup'!$C$35,_xlfn.RANK.EQ(BI20,$BI$2:$BI$111),""),"")</f>
        <v/>
      </c>
      <c r="BK20" s="31" t="str">
        <f>IF(AND($F20='Tournament Setup'!$A$35,SUM($Q20,$U20)=0,$E20="F",$BH20&gt;'Tournament Setup'!$B$35),$I20,"")</f>
        <v/>
      </c>
      <c r="BL20" s="12" t="str">
        <f>IF(ISNUMBER(BK20)=TRUE,IF(_xlfn.RANK.EQ(BK20,$BK$2:$BK$111)&lt;='Tournament Setup'!$D$35,_xlfn.RANK.EQ(BK20,$BK$2:$BK$111),""),"")</f>
        <v/>
      </c>
      <c r="BM20" s="30" t="str">
        <f>IF(AND($G20='Tournament Setup'!$A$54,$J20&lt;&gt;0),$J20,"")</f>
        <v/>
      </c>
      <c r="BN20" s="47" t="str">
        <f>IF(ISNUMBER(BM20),IF(COUNTIFS(BN$1:BN19,_xlfn.RANK.EQ(BM20,BM$2:BM$111,0))&gt;0,_xlfn.MAXIFS(BN$1:BN19,BM$1:BM19,BM20)+1,_xlfn.RANK.EQ(BM20,BM$2:BM$111,0)),"")</f>
        <v/>
      </c>
      <c r="BO20" s="1" t="str">
        <f>IF(ISNUMBER(BM20)=TRUE,IF(_xlfn.RANK.EQ(BM20,$BM$2:$BM$111)&lt;='Tournament Setup'!$B$49,_xlfn.RANK.EQ(BM20,$BM$2:$BM$111),""),"")</f>
        <v/>
      </c>
      <c r="BP20" s="30" t="str">
        <f>IF(AND($F20='Tournament Setup'!$A$36,SUM($Q20,$S20,$U20)=0),$I20,"")</f>
        <v/>
      </c>
      <c r="BQ20" s="47" t="str">
        <f>IF(ISNUMBER(BP20),IF(COUNTIFS(BQ$1:BQ19,_xlfn.RANK.EQ(BP20,BP$2:BP$111,0))&gt;0,_xlfn.MAXIFS(BQ$1:BQ19,BP$1:BP19,BP20)+1,_xlfn.RANK.EQ(BP20,BP$2:BP$111,0)),"")</f>
        <v/>
      </c>
      <c r="BR20" s="1" t="str">
        <f>IF(ISNUMBER(BP20)=TRUE,IF(_xlfn.RANK.EQ(BP20,$BP$2:$BP$111)&lt;='Tournament Setup'!$B$36,_xlfn.RANK.EQ(BP20,$BP$2:$BP$111),""),"")</f>
        <v/>
      </c>
      <c r="BS20" s="31" t="str">
        <f>IF(AND($F20='Tournament Setup'!$A$36,SUM($Q20,$S20)=0,$E20="M",$BR20&gt;'Tournament Setup'!$B$36),$I20,"")</f>
        <v/>
      </c>
      <c r="BT20" s="1" t="str">
        <f>IF(ISNUMBER(BS20)=TRUE,IF(_xlfn.RANK.EQ(BS20,$BS$2:$BS$111)&lt;='Tournament Setup'!$C$36,_xlfn.RANK.EQ(BS20,$BS$2:$BS$111),""),"")</f>
        <v/>
      </c>
      <c r="BU20" s="31" t="str">
        <f>IF(AND($F20='Tournament Setup'!$A$36,SUM($Q20,$U20)=0,$E20="F",$BR20&gt;'Tournament Setup'!$B$36),$I20,"")</f>
        <v/>
      </c>
      <c r="BV20" s="12" t="str">
        <f>IF(ISNUMBER(BU20)=TRUE,IF(_xlfn.RANK.EQ(BU20,$BU$2:$BU$111)&lt;='Tournament Setup'!$D$36,_xlfn.RANK.EQ(BU20,$BU$2:$BU$111),""),"")</f>
        <v/>
      </c>
      <c r="BW20" s="30" t="str">
        <f>IF($H20='Tournament Setup'!$A$41,$I20,"")</f>
        <v/>
      </c>
      <c r="BX20" s="47" t="str">
        <f>IF(ISNUMBER(BW20),IF(COUNTIFS(BX$1:BX19,_xlfn.RANK.EQ(BW20,BW$2:BW$111,0))&gt;0,_xlfn.MAXIFS(BX$1:BX19,BW$1:BW19,BW20)+1,_xlfn.RANK.EQ(BW20,BW$2:BW$111,0)),"")</f>
        <v/>
      </c>
      <c r="BY20" s="1" t="str">
        <f>IF(ISNUMBER(BW20)=TRUE,IF(_xlfn.RANK.EQ(BW20,$BW$2:$BW$111)&lt;='Tournament Setup'!$B$41,_xlfn.RANK.EQ(BW20,$BW$2:$BW$111),""),"")</f>
        <v/>
      </c>
      <c r="BZ20" s="31" t="str">
        <f>IF(AND($H20='Tournament Setup'!$A$41,$E20="M",$BY20&gt;'Tournament Setup'!$B$41),$I20,"")</f>
        <v/>
      </c>
      <c r="CA20" s="1" t="str">
        <f>IF(ISNUMBER(BZ20)=TRUE,IF(_xlfn.RANK.EQ(BZ20,$BZ$2:$BZ$111)&lt;='Tournament Setup'!$C$41,_xlfn.RANK.EQ(BZ20,$BZ$2:$BZ$111),""),"")</f>
        <v/>
      </c>
      <c r="CB20" s="31" t="str">
        <f>IF(AND($H20='Tournament Setup'!$A$41,$E20="F",$BY20&gt;'Tournament Setup'!$B$41),$I20,"")</f>
        <v/>
      </c>
      <c r="CC20" s="12" t="str">
        <f>IF(ISNUMBER(CB20)=TRUE,IF(_xlfn.RANK.EQ(CB20,$CB$2:$CB$111)&lt;='Tournament Setup'!$D$41,_xlfn.RANK.EQ(CB20,$CB$2:$CB$111),""),"")</f>
        <v/>
      </c>
      <c r="CD20" s="30">
        <f>IF($H20='Tournament Setup'!$A$42,$I20,"")</f>
        <v>82.1</v>
      </c>
      <c r="CE20" s="47">
        <f>IF(ISNUMBER(CD20),IF(COUNTIFS(CE$1:CE19,_xlfn.RANK.EQ(CD20,CD$2:CD$111,0))&gt;0,_xlfn.MAXIFS(CE$1:CE19,CD$1:CD19,CD20)+1,_xlfn.RANK.EQ(CD20,CD$2:CD$111,0)),"")</f>
        <v>9</v>
      </c>
      <c r="CF20" s="1" t="str">
        <f>IF(ISNUMBER(CD20)=TRUE,IF(_xlfn.RANK.EQ(CD20,$CD$2:$CD$111)&lt;='Tournament Setup'!$B$42,_xlfn.RANK.EQ(CD20,$CD$2:$CD$111),""),"")</f>
        <v/>
      </c>
      <c r="CG20" s="31">
        <f>IF(AND($H20='Tournament Setup'!$A$42,$E20="M",$CF20&gt;'Tournament Setup'!$B$42),$I20,"")</f>
        <v>82.1</v>
      </c>
      <c r="CH20" s="1" t="str">
        <f>IF(ISNUMBER(CG20)=TRUE,IF(_xlfn.RANK.EQ(CG20,$CG$2:$CG$111)&lt;='Tournament Setup'!$C$42,_xlfn.RANK.EQ(CG20,$CG$2:$CG$111),""),"")</f>
        <v/>
      </c>
      <c r="CI20" s="31" t="str">
        <f>IF(AND($H20='Tournament Setup'!$A$42,$E20="F",$CF20&gt;'Tournament Setup'!$B$42),$I20,"")</f>
        <v/>
      </c>
      <c r="CJ20" s="12" t="str">
        <f>IF(ISNUMBER(CI20)=TRUE,IF(_xlfn.RANK.EQ(CI20,$CI$2:$CI$111)&lt;='Tournament Setup'!$D$42,_xlfn.RANK.EQ(CI20,$CI$2:$CI$111),""),"")</f>
        <v/>
      </c>
      <c r="CK20" s="30" t="str">
        <f>IF($H20='Tournament Setup'!$A$43,$I20,"")</f>
        <v/>
      </c>
      <c r="CL20" s="47" t="str">
        <f>IF(ISNUMBER(CK20),IF(COUNTIFS(CL$1:CL19,_xlfn.RANK.EQ(CK20,CK$2:CK$111,0))&gt;0,_xlfn.MAXIFS(CL$1:CL19,CK$1:CK19,CK20)+1,_xlfn.RANK.EQ(CK20,CK$2:CK$111,0)),"")</f>
        <v/>
      </c>
      <c r="CM20" s="1" t="str">
        <f>IF(ISNUMBER(CK20)=TRUE,IF(_xlfn.RANK.EQ(CK20,$CK$2:$CK$111)&lt;='Tournament Setup'!$B$43,_xlfn.RANK.EQ(CK20,$CK$2:$CK$111),""),"")</f>
        <v/>
      </c>
      <c r="CN20" s="31" t="str">
        <f>IF(AND($H20='Tournament Setup'!$A$43,$E20="M",$CM20&gt;'Tournament Setup'!$B$43),$I20,"")</f>
        <v/>
      </c>
      <c r="CO20" s="1" t="str">
        <f>IF(ISNUMBER(CN20)=TRUE,IF(_xlfn.RANK.EQ(CN20,$CN$2:$CN$111)&lt;='Tournament Setup'!$C$43,_xlfn.RANK.EQ(CN20,$CN$2:$CN$111),""),"")</f>
        <v/>
      </c>
      <c r="CP20" s="31" t="str">
        <f>IF(AND($H20='Tournament Setup'!$A$43,$E20="F",$CM20&gt;'Tournament Setup'!$B$43),$I20,"")</f>
        <v/>
      </c>
      <c r="CQ20" s="12" t="str">
        <f>IF(ISNUMBER(CP20)=TRUE,IF(_xlfn.RANK.EQ(CP20,$CP$2:$CP$111)&lt;='Tournament Setup'!$D$43,_xlfn.RANK.EQ(CP20,$CP$2:$CP$111),""),"")</f>
        <v/>
      </c>
      <c r="CR20" s="30" t="str">
        <f>IF($H20='Tournament Setup'!$A$44,$I20,"")</f>
        <v/>
      </c>
      <c r="CS20" s="47" t="str">
        <f>IF(ISNUMBER(CR20),IF(COUNTIFS(CS$1:CS19,_xlfn.RANK.EQ(CR20,CR$2:CR$111,0))&gt;0,_xlfn.MAXIFS(CS$1:CS19,CR$1:CR19,CR20)+1,_xlfn.RANK.EQ(CR20,CR$2:CR$111,0)),"")</f>
        <v/>
      </c>
      <c r="CT20" s="1" t="str">
        <f>IF(ISNUMBER(CR20)=TRUE,IF(_xlfn.RANK.EQ(CR20,$CR$2:$CR$111)&lt;='Tournament Setup'!$B$44,_xlfn.RANK.EQ(CR20,$CR$2:$CR$111),""),"")</f>
        <v/>
      </c>
      <c r="CU20" s="31" t="str">
        <f>IF(AND($H20='Tournament Setup'!$A$44,$E20="M",$CT20&gt;'Tournament Setup'!$B$44),$I20,"")</f>
        <v/>
      </c>
      <c r="CV20" s="1" t="str">
        <f>IF(ISNUMBER(CU20)=TRUE,IF(_xlfn.RANK.EQ(CU20,$CU$2:$CU$111)&lt;='Tournament Setup'!$C$44,_xlfn.RANK.EQ(CU20,$CU$2:$CU$111),""),"")</f>
        <v/>
      </c>
      <c r="CW20" s="31" t="str">
        <f>IF(AND($H20='Tournament Setup'!$A$44,$E20="F",$CT20&gt;'Tournament Setup'!$B$44),$I20,"")</f>
        <v/>
      </c>
      <c r="CX20" s="12" t="str">
        <f>IF(ISNUMBER(CW20)=TRUE,IF(_xlfn.RANK.EQ(CW20,$CW$2:$CW$111)&lt;='Tournament Setup'!$D$44,_xlfn.RANK.EQ(CW20,$CW$2:$CW$111),""),"")</f>
        <v/>
      </c>
    </row>
    <row r="21" spans="1:102" x14ac:dyDescent="0.3">
      <c r="A21" t="s">
        <v>56</v>
      </c>
      <c r="B21" t="str">
        <f>IFERROR(INDEX('Tournament List'!$B:$B,MATCH($A21,'Tournament List'!$A:$A,0)),"")</f>
        <v>Chris</v>
      </c>
      <c r="C21" t="str">
        <f>IFERROR(INDEX('Tournament List'!$C:$C,MATCH($A21,'Tournament List'!$A:$A,0)),"")</f>
        <v>Last Name20</v>
      </c>
      <c r="D21" t="str">
        <f t="shared" si="0"/>
        <v>Chris Last Name20</v>
      </c>
      <c r="E21" s="1" t="str">
        <f>IFERROR(INDEX('Tournament List'!F:F,MATCH($A21,'Tournament List'!$A:$A,0)),"")</f>
        <v>M</v>
      </c>
      <c r="F21" t="str">
        <f>IFERROR(INDEX('Tournament List'!M:M,MATCH($A21,'Tournament List'!$A:$A,0)),"")</f>
        <v>Junior Varsity</v>
      </c>
      <c r="G21" t="str">
        <f>IFERROR(INDEX('Shooter-Squad Assignment'!L:L,MATCH(A21,'Shooter-Squad Assignment'!A:A,0)),"")</f>
        <v/>
      </c>
      <c r="H21" s="1" t="str">
        <f>IFERROR(INDEX('Tournament List'!AD:AD,MATCH($A21,'Tournament List'!$A:$A,0)),"")</f>
        <v>B</v>
      </c>
      <c r="I21" s="123">
        <f>IFERROR(INDEX('Tournament List'!AG:AG,MATCH($A21,'Tournament List'!$A:$A,0)),"")</f>
        <v>32.1</v>
      </c>
      <c r="J21" s="145" t="str">
        <f>IFERROR(INDEX('Tournament List'!Y:Y,MATCH($A21,'Tournament List'!$A:$A,0)),"")</f>
        <v/>
      </c>
      <c r="K21" s="47" t="str">
        <f>IFERROR(INDEX('Tournament List'!S:S,MATCH(A21,'Tournament List'!A:A,0)),"")</f>
        <v/>
      </c>
      <c r="L21" s="47" t="str">
        <f>IF(ISNUMBER(J21),IF(COUNTIFS(L$1:L20,_xlfn.RANK.EQ(J21,J$2:J$111,0))&gt;0,_xlfn.MAXIFS(L$1:L20,J$1:J20,J21)+1,_xlfn.RANK.EQ(J21,J$2:J$111,0)),"")</f>
        <v/>
      </c>
      <c r="M21" s="11">
        <f>IF(ISNUMBER(I21)=TRUE,IF(I21&gt;0,_xlfn.RANK.EQ(I21,$I$2:$I$111,0),""),"")</f>
        <v>46</v>
      </c>
      <c r="N21" s="56">
        <f>IF(ISNUMBER(I21),IF(COUNTIFS(N$1:N20,_xlfn.RANK.EQ(I21,I$2:I$111,0))&gt;0,_xlfn.MAXIFS(N$1:N20,I$1:I20,I21)+1,_xlfn.RANK.EQ(I21,I$2:I$111,0)),"")</f>
        <v>46</v>
      </c>
      <c r="O21" s="144">
        <f>IF(F21&lt;&gt;"Collegiate"=TRUE,$I21,"")</f>
        <v>32.1</v>
      </c>
      <c r="P21" s="47">
        <f>IF(ISNUMBER(O21),IF(COUNTIFS(P$1:P20,_xlfn.RANK.EQ(O21,O$2:O$111,0))&gt;0,_xlfn.MAXIFS(P$1:P20,O$1:O20,O21)+1,_xlfn.RANK.EQ(O21,O$2:O$111,0)),"")</f>
        <v>40</v>
      </c>
      <c r="Q21" s="1" t="str">
        <f>IF(ISNUMBER(O21)=TRUE,IF(_xlfn.RANK.EQ(O21,$O$2:$O$111)&lt;='Tournament Setup'!$B$26,_xlfn.RANK.EQ(O21,$O$2:$O$111),""),"")</f>
        <v/>
      </c>
      <c r="R21" s="143">
        <f>IF(AND($E21="M",SUM($Q21)=0,F21&lt;&gt;"Collegiate")=TRUE,$I21,"")</f>
        <v>32.1</v>
      </c>
      <c r="S21" s="1" t="str">
        <f>IF(ISNUMBER(R21)=TRUE,IF(_xlfn.RANK.EQ(R21,$R$2:$R$111)&lt;='Tournament Setup'!$B$27,_xlfn.RANK.EQ(R21,$R$2:$R$111),""),"")</f>
        <v/>
      </c>
      <c r="T21" s="143" t="str">
        <f>IF(AND($E21="F",SUM($Q21)=0,F21&lt;&gt;"Collegiate")=TRUE,$I21,"")</f>
        <v/>
      </c>
      <c r="U21" s="12" t="str">
        <f>IF(ISNUMBER(T21)=TRUE,IF(_xlfn.RANK.EQ(T21,$T$2:$T$111)&lt;='Tournament Setup'!$B$28,_xlfn.RANK.EQ(T21,$T$2:$T$111),""),"")</f>
        <v/>
      </c>
      <c r="V21" s="145" t="str">
        <f>IF(AND($G21='Tournament Setup'!$A$53,$J21&lt;&gt;0),$J21,"")</f>
        <v/>
      </c>
      <c r="W21" s="47" t="str">
        <f>IF(ISNUMBER(V21),IF(COUNTIFS(W$1:W20,_xlfn.RANK.EQ(V21,V$2:V$111,0))&gt;0,_xlfn.MAXIFS(W$1:W20,V$1:V20,V21)+1,_xlfn.RANK.EQ(V21,V$2:V$111,0)),"")</f>
        <v/>
      </c>
      <c r="X21" s="1" t="str">
        <f>IF(ISNUMBER(V21)=TRUE,IF(_xlfn.RANK.EQ(V21,$V$2:$V$111)&lt;='Tournament Setup'!$B$53,_xlfn.RANK.EQ(V21,$V$2:$V$111),""),"")</f>
        <v/>
      </c>
      <c r="Y21" s="145" t="str">
        <f>IF(AND($G21='Tournament Setup'!$A$49,$J21&lt;&gt;0),$J21,"")</f>
        <v/>
      </c>
      <c r="Z21" s="47" t="str">
        <f>IF(ISNUMBER(Y21),IF(COUNTIFS(Z$1:Z20,_xlfn.RANK.EQ(Y21,Y$2:Y$111,0))&gt;0,_xlfn.MAXIFS(Z$1:Z20,Y$1:Y20,Y21)+1,_xlfn.RANK.EQ(Y21,Y$2:Y$111,0)),"")</f>
        <v/>
      </c>
      <c r="AA21" s="1" t="str">
        <f>IF(ISNUMBER(Y21)=TRUE,IF(_xlfn.RANK.EQ(Y21,$Y$2:$Y$111)&lt;='Tournament Setup'!$B$49,_xlfn.RANK.EQ(Y21,$Y$2:$Y$111),""),"")</f>
        <v/>
      </c>
      <c r="AB21" s="30" t="str">
        <f>IF(AND($F21='Tournament Setup'!$A$32,SUM($Q21,$S21,$U21)=0),$I21,"")</f>
        <v/>
      </c>
      <c r="AC21" s="47" t="str">
        <f>IF(ISNUMBER(AB21),IF(COUNTIFS(AC$1:AC20,_xlfn.RANK.EQ(AB21,AB$2:AB$111,0))&gt;0,_xlfn.MAXIFS(AC$1:AC20,AB$1:AB20,AB21)+1,_xlfn.RANK.EQ(AB21,AB$2:AB$111,0)),"")</f>
        <v/>
      </c>
      <c r="AD21" s="1" t="str">
        <f>IF(ISNUMBER(AB21)=TRUE,IF(_xlfn.RANK.EQ(AB21,$AB$2:$AB$111)&lt;='Tournament Setup'!$B$32,_xlfn.RANK.EQ(AB21,$AB$2:$AB$111),""),"")</f>
        <v/>
      </c>
      <c r="AE21" s="31" t="str">
        <f>IF(AND($F21='Tournament Setup'!$A$32,SUM($Q21,$S21)=0,$E21="M",$AD21&gt;'Tournament Setup'!$B$32),$I21,"")</f>
        <v/>
      </c>
      <c r="AF21" s="1" t="str">
        <f>IF(ISNUMBER(AE21)=TRUE,IF(_xlfn.RANK.EQ(AE21,$AE$2:$AE$111)&lt;='Tournament Setup'!$C$32,_xlfn.RANK.EQ(AE21,$AE$2:$AE$111),""),"")</f>
        <v/>
      </c>
      <c r="AG21" s="31" t="str">
        <f>IF(AND($F21='Tournament Setup'!$A$32,SUM($Q21,$U21)=0,$E21="F",$AD21&gt;'Tournament Setup'!$B$32),$I21,"")</f>
        <v/>
      </c>
      <c r="AH21" s="12" t="str">
        <f>IF(ISNUMBER(AG21)=TRUE,IF(_xlfn.RANK.EQ(AG21,$AG$2:$AG$111)&lt;='Tournament Setup'!$D$32,_xlfn.RANK.EQ(AG21,$AG$2:$AG$111),""),"")</f>
        <v/>
      </c>
      <c r="AI21" s="30" t="str">
        <f>IF(AND($G21='Tournament Setup'!$A$50,$J21&lt;&gt;0),$J21,"")</f>
        <v/>
      </c>
      <c r="AJ21" s="47" t="str">
        <f>IF(ISNUMBER(AI21),IF(COUNTIFS(AJ$1:AJ20,_xlfn.RANK.EQ(AI21,AI$2:AI$111,0))&gt;0,_xlfn.MAXIFS(AJ$1:AJ20,AI$1:AI20,AI21)+1,_xlfn.RANK.EQ(AI21,AI$2:AI$111,0)),"")</f>
        <v/>
      </c>
      <c r="AK21" s="1" t="str">
        <f>IF(ISNUMBER(AI21)=TRUE,IF(_xlfn.RANK.EQ(AI21,$AI$2:$AI$111)&lt;='Tournament Setup'!$B$49,_xlfn.RANK.EQ(AI21,$AI$2:$AI$111),""),"")</f>
        <v/>
      </c>
      <c r="AL21" s="30" t="str">
        <f>IF(AND($F21='Tournament Setup'!$A$33,SUM($Q21,$S21,$U21)=0),$I21,"")</f>
        <v/>
      </c>
      <c r="AM21" s="47" t="str">
        <f>IF(ISNUMBER(AL21),IF(COUNTIFS(AM$1:AM20,_xlfn.RANK.EQ(AL21,AL$2:AL$111,0))&gt;0,_xlfn.MAXIFS(AM$1:AM20,AL$1:AL20,AL21)+1,_xlfn.RANK.EQ(AL21,AL$2:AL$111,0)),"")</f>
        <v/>
      </c>
      <c r="AN21" s="1" t="str">
        <f>IF(ISNUMBER(AL21)=TRUE,IF(_xlfn.RANK.EQ(AL21,$AL$2:$AL$111)&lt;='Tournament Setup'!$B$33,_xlfn.RANK.EQ(AL21,$AL$2:$AL$111),""),"")</f>
        <v/>
      </c>
      <c r="AO21" s="31" t="str">
        <f>IF(AND($F21='Tournament Setup'!$A$33,SUM($Q21,$S21)=0,$E21="M",$AN21&gt;'Tournament Setup'!$B$33),$I21,"")</f>
        <v/>
      </c>
      <c r="AP21" s="1" t="str">
        <f>IF(ISNUMBER(AO21)=TRUE,IF(_xlfn.RANK.EQ(AO21,$AO$2:$AO$111)&lt;='Tournament Setup'!$C$33,_xlfn.RANK.EQ(AO21,$AO$2:$AO$111),""),"")</f>
        <v/>
      </c>
      <c r="AQ21" s="31" t="str">
        <f>IF(AND($F21='Tournament Setup'!$A$33,SUM($Q21,$U21)=0,$E21="F",$AN21&gt;'Tournament Setup'!$B$33),$I21,"")</f>
        <v/>
      </c>
      <c r="AR21" s="12" t="str">
        <f>IF(ISNUMBER(AQ21)=TRUE,IF(_xlfn.RANK.EQ(AQ21,$AQ$2:$AQ$111)&lt;='Tournament Setup'!$D$33,_xlfn.RANK.EQ(AQ21,$AQ$2:$AQ$111),""),"")</f>
        <v/>
      </c>
      <c r="AS21" s="30" t="str">
        <f>IF(AND($G21='Tournament Setup'!$A$51,$J21&lt;&gt;0),$J21,"")</f>
        <v/>
      </c>
      <c r="AT21" s="47" t="str">
        <f>IF(ISNUMBER(AS21),IF(COUNTIFS(AT$1:AT20,_xlfn.RANK.EQ(AS21,AS$2:AS$111,0))&gt;0,_xlfn.MAXIFS(AT$1:AT20,AS$1:AS20,AS21)+1,_xlfn.RANK.EQ(AS21,AS$2:AS$111,0)),"")</f>
        <v/>
      </c>
      <c r="AU21" s="1" t="str">
        <f>IF(ISNUMBER(AS21)=TRUE,IF(_xlfn.RANK.EQ(AS21,$AS$2:$AS$111)&lt;='Tournament Setup'!$B$49,_xlfn.RANK.EQ(AS21,$AS$2:$AS$111),""),"")</f>
        <v/>
      </c>
      <c r="AV21" s="30">
        <f>IF(AND($F21='Tournament Setup'!$A$34,SUM($Q21,$S21,$U21)=0),$I21,"")</f>
        <v>32.1</v>
      </c>
      <c r="AW21" s="47">
        <f>IF(ISNUMBER(AV21),IF(COUNTIFS(AW$1:AW20,_xlfn.RANK.EQ(AV21,AV$2:AV$111,0))&gt;0,_xlfn.MAXIFS(AW$1:AW20,AV$1:AV20,AV21)+1,_xlfn.RANK.EQ(AV21,AV$2:AV$111,0)),"")</f>
        <v>6</v>
      </c>
      <c r="AX21" s="1" t="str">
        <f>IF(ISNUMBER(AV21)=TRUE,IF(_xlfn.RANK.EQ(AV21,$AV$2:$AV$111)&lt;='Tournament Setup'!$B$34,_xlfn.RANK.EQ(AV21,$AV$2:$AV$111),""),"")</f>
        <v/>
      </c>
      <c r="AY21" s="31">
        <f>IF(AND($F21='Tournament Setup'!$A$34,SUM($Q21,$S21)=0,$E21="M",$AX21&gt;'Tournament Setup'!$B$34),$I21,"")</f>
        <v>32.1</v>
      </c>
      <c r="AZ21" s="1">
        <f>IF(ISNUMBER(AY21)=TRUE,IF(_xlfn.RANK.EQ(AY21,$AY$2:$AY$111)&lt;='Tournament Setup'!$C$34,_xlfn.RANK.EQ(AY21,$AY$2:$AY$111),""),"")</f>
        <v>3</v>
      </c>
      <c r="BA21" s="31" t="str">
        <f>IF(AND($F21='Tournament Setup'!$A$34,SUM($Q21,$U21)=0,$E21="F",$AX21&gt;'Tournament Setup'!$B$34),$I21,"")</f>
        <v/>
      </c>
      <c r="BB21" s="12" t="str">
        <f>IF(ISNUMBER(BA21)=TRUE,IF(_xlfn.RANK.EQ(BA21,$BA$2:$BA$111)&lt;='Tournament Setup'!$D$34,_xlfn.RANK.EQ(BA21,$BA$2:$BA$111),""),"")</f>
        <v/>
      </c>
      <c r="BC21" s="30" t="str">
        <f>IF(AND($G21='Tournament Setup'!$A$52,$J21&lt;&gt;0),$J21,"")</f>
        <v/>
      </c>
      <c r="BD21" s="47" t="str">
        <f>IF(ISNUMBER(BC21),IF(COUNTIFS(BD$1:BD20,_xlfn.RANK.EQ(BC21,BC$2:BC$111,0))&gt;0,_xlfn.MAXIFS(BD$1:BD20,BC$1:BC20,BC21)+1,_xlfn.RANK.EQ(BC21,BC$2:BC$111,0)),"")</f>
        <v/>
      </c>
      <c r="BE21" s="1" t="str">
        <f>IF(ISNUMBER(BC21)=TRUE,IF(_xlfn.RANK.EQ(BC21,$BC$2:$BC$111)&lt;='Tournament Setup'!$B$49,_xlfn.RANK.EQ(BC21,$BC$2:$BC$111),""),"")</f>
        <v/>
      </c>
      <c r="BF21" s="30" t="str">
        <f>IF(AND($F21='Tournament Setup'!$A$35,SUM($Q21,$S21,$U21)=0),$I21,"")</f>
        <v/>
      </c>
      <c r="BG21" s="47" t="str">
        <f>IF(ISNUMBER(BF21),IF(COUNTIFS(BG$1:BG20,_xlfn.RANK.EQ(BF21,BF$2:BF$111,0))&gt;0,_xlfn.MAXIFS(BG$1:BG20,BF$1:BF20,BF21)+1,_xlfn.RANK.EQ(BF21,BF$2:BF$111,0)),"")</f>
        <v/>
      </c>
      <c r="BH21" s="1" t="str">
        <f>IF(ISNUMBER(BF21)=TRUE,IF(_xlfn.RANK.EQ(BF21,$BF$2:$BF$111)&lt;='Tournament Setup'!$B$35,_xlfn.RANK.EQ(BF21,$BF$2:$BF$111),""),"")</f>
        <v/>
      </c>
      <c r="BI21" s="31" t="str">
        <f>IF(AND($F21='Tournament Setup'!$A$35,SUM($Q21,$S21)=0,$E21="M",$BH21&gt;'Tournament Setup'!$B$35),$I21,"")</f>
        <v/>
      </c>
      <c r="BJ21" s="1" t="str">
        <f>IF(ISNUMBER(BI21)=TRUE,IF(_xlfn.RANK.EQ(BI21,$BI$2:$BI$111)&lt;='Tournament Setup'!$C$35,_xlfn.RANK.EQ(BI21,$BI$2:$BI$111),""),"")</f>
        <v/>
      </c>
      <c r="BK21" s="31" t="str">
        <f>IF(AND($F21='Tournament Setup'!$A$35,SUM($Q21,$U21)=0,$E21="F",$BH21&gt;'Tournament Setup'!$B$35),$I21,"")</f>
        <v/>
      </c>
      <c r="BL21" s="12" t="str">
        <f>IF(ISNUMBER(BK21)=TRUE,IF(_xlfn.RANK.EQ(BK21,$BK$2:$BK$111)&lt;='Tournament Setup'!$D$35,_xlfn.RANK.EQ(BK21,$BK$2:$BK$111),""),"")</f>
        <v/>
      </c>
      <c r="BM21" s="30" t="str">
        <f>IF(AND($G21='Tournament Setup'!$A$54,$J21&lt;&gt;0),$J21,"")</f>
        <v/>
      </c>
      <c r="BN21" s="47" t="str">
        <f>IF(ISNUMBER(BM21),IF(COUNTIFS(BN$1:BN20,_xlfn.RANK.EQ(BM21,BM$2:BM$111,0))&gt;0,_xlfn.MAXIFS(BN$1:BN20,BM$1:BM20,BM21)+1,_xlfn.RANK.EQ(BM21,BM$2:BM$111,0)),"")</f>
        <v/>
      </c>
      <c r="BO21" s="1" t="str">
        <f>IF(ISNUMBER(BM21)=TRUE,IF(_xlfn.RANK.EQ(BM21,$BM$2:$BM$111)&lt;='Tournament Setup'!$B$49,_xlfn.RANK.EQ(BM21,$BM$2:$BM$111),""),"")</f>
        <v/>
      </c>
      <c r="BP21" s="30" t="str">
        <f>IF(AND($F21='Tournament Setup'!$A$36,SUM($Q21,$S21,$U21)=0),$I21,"")</f>
        <v/>
      </c>
      <c r="BQ21" s="47" t="str">
        <f>IF(ISNUMBER(BP21),IF(COUNTIFS(BQ$1:BQ20,_xlfn.RANK.EQ(BP21,BP$2:BP$111,0))&gt;0,_xlfn.MAXIFS(BQ$1:BQ20,BP$1:BP20,BP21)+1,_xlfn.RANK.EQ(BP21,BP$2:BP$111,0)),"")</f>
        <v/>
      </c>
      <c r="BR21" s="1" t="str">
        <f>IF(ISNUMBER(BP21)=TRUE,IF(_xlfn.RANK.EQ(BP21,$BP$2:$BP$111)&lt;='Tournament Setup'!$B$36,_xlfn.RANK.EQ(BP21,$BP$2:$BP$111),""),"")</f>
        <v/>
      </c>
      <c r="BS21" s="31" t="str">
        <f>IF(AND($F21='Tournament Setup'!$A$36,SUM($Q21,$S21)=0,$E21="M",$BR21&gt;'Tournament Setup'!$B$36),$I21,"")</f>
        <v/>
      </c>
      <c r="BT21" s="1" t="str">
        <f>IF(ISNUMBER(BS21)=TRUE,IF(_xlfn.RANK.EQ(BS21,$BS$2:$BS$111)&lt;='Tournament Setup'!$C$36,_xlfn.RANK.EQ(BS21,$BS$2:$BS$111),""),"")</f>
        <v/>
      </c>
      <c r="BU21" s="31" t="str">
        <f>IF(AND($F21='Tournament Setup'!$A$36,SUM($Q21,$U21)=0,$E21="F",$BR21&gt;'Tournament Setup'!$B$36),$I21,"")</f>
        <v/>
      </c>
      <c r="BV21" s="12" t="str">
        <f>IF(ISNUMBER(BU21)=TRUE,IF(_xlfn.RANK.EQ(BU21,$BU$2:$BU$111)&lt;='Tournament Setup'!$D$36,_xlfn.RANK.EQ(BU21,$BU$2:$BU$111),""),"")</f>
        <v/>
      </c>
      <c r="BW21" s="30" t="str">
        <f>IF($H21='Tournament Setup'!$A$41,$I21,"")</f>
        <v/>
      </c>
      <c r="BX21" s="47" t="str">
        <f>IF(ISNUMBER(BW21),IF(COUNTIFS(BX$1:BX20,_xlfn.RANK.EQ(BW21,BW$2:BW$111,0))&gt;0,_xlfn.MAXIFS(BX$1:BX20,BW$1:BW20,BW21)+1,_xlfn.RANK.EQ(BW21,BW$2:BW$111,0)),"")</f>
        <v/>
      </c>
      <c r="BY21" s="1" t="str">
        <f>IF(ISNUMBER(BW21)=TRUE,IF(_xlfn.RANK.EQ(BW21,$BW$2:$BW$111)&lt;='Tournament Setup'!$B$41,_xlfn.RANK.EQ(BW21,$BW$2:$BW$111),""),"")</f>
        <v/>
      </c>
      <c r="BZ21" s="31" t="str">
        <f>IF(AND($H21='Tournament Setup'!$A$41,$E21="M",$BY21&gt;'Tournament Setup'!$B$41),$I21,"")</f>
        <v/>
      </c>
      <c r="CA21" s="1" t="str">
        <f>IF(ISNUMBER(BZ21)=TRUE,IF(_xlfn.RANK.EQ(BZ21,$BZ$2:$BZ$111)&lt;='Tournament Setup'!$C$41,_xlfn.RANK.EQ(BZ21,$BZ$2:$BZ$111),""),"")</f>
        <v/>
      </c>
      <c r="CB21" s="31" t="str">
        <f>IF(AND($H21='Tournament Setup'!$A$41,$E21="F",$BY21&gt;'Tournament Setup'!$B$41),$I21,"")</f>
        <v/>
      </c>
      <c r="CC21" s="12" t="str">
        <f>IF(ISNUMBER(CB21)=TRUE,IF(_xlfn.RANK.EQ(CB21,$CB$2:$CB$111)&lt;='Tournament Setup'!$D$41,_xlfn.RANK.EQ(CB21,$CB$2:$CB$111),""),"")</f>
        <v/>
      </c>
      <c r="CD21" s="30">
        <f>IF($H21='Tournament Setup'!$A$42,$I21,"")</f>
        <v>32.1</v>
      </c>
      <c r="CE21" s="47">
        <f>IF(ISNUMBER(CD21),IF(COUNTIFS(CE$1:CE20,_xlfn.RANK.EQ(CD21,CD$2:CD$111,0))&gt;0,_xlfn.MAXIFS(CE$1:CE20,CD$1:CD20,CD21)+1,_xlfn.RANK.EQ(CD21,CD$2:CD$111,0)),"")</f>
        <v>16</v>
      </c>
      <c r="CF21" s="1" t="str">
        <f>IF(ISNUMBER(CD21)=TRUE,IF(_xlfn.RANK.EQ(CD21,$CD$2:$CD$111)&lt;='Tournament Setup'!$B$42,_xlfn.RANK.EQ(CD21,$CD$2:$CD$111),""),"")</f>
        <v/>
      </c>
      <c r="CG21" s="31">
        <f>IF(AND($H21='Tournament Setup'!$A$42,$E21="M",$CF21&gt;'Tournament Setup'!$B$42),$I21,"")</f>
        <v>32.1</v>
      </c>
      <c r="CH21" s="1" t="str">
        <f>IF(ISNUMBER(CG21)=TRUE,IF(_xlfn.RANK.EQ(CG21,$CG$2:$CG$111)&lt;='Tournament Setup'!$C$42,_xlfn.RANK.EQ(CG21,$CG$2:$CG$111),""),"")</f>
        <v/>
      </c>
      <c r="CI21" s="31" t="str">
        <f>IF(AND($H21='Tournament Setup'!$A$42,$E21="F",$CF21&gt;'Tournament Setup'!$B$42),$I21,"")</f>
        <v/>
      </c>
      <c r="CJ21" s="12" t="str">
        <f>IF(ISNUMBER(CI21)=TRUE,IF(_xlfn.RANK.EQ(CI21,$CI$2:$CI$111)&lt;='Tournament Setup'!$D$42,_xlfn.RANK.EQ(CI21,$CI$2:$CI$111),""),"")</f>
        <v/>
      </c>
      <c r="CK21" s="30" t="str">
        <f>IF($H21='Tournament Setup'!$A$43,$I21,"")</f>
        <v/>
      </c>
      <c r="CL21" s="47" t="str">
        <f>IF(ISNUMBER(CK21),IF(COUNTIFS(CL$1:CL20,_xlfn.RANK.EQ(CK21,CK$2:CK$111,0))&gt;0,_xlfn.MAXIFS(CL$1:CL20,CK$1:CK20,CK21)+1,_xlfn.RANK.EQ(CK21,CK$2:CK$111,0)),"")</f>
        <v/>
      </c>
      <c r="CM21" s="1" t="str">
        <f>IF(ISNUMBER(CK21)=TRUE,IF(_xlfn.RANK.EQ(CK21,$CK$2:$CK$111)&lt;='Tournament Setup'!$B$43,_xlfn.RANK.EQ(CK21,$CK$2:$CK$111),""),"")</f>
        <v/>
      </c>
      <c r="CN21" s="31" t="str">
        <f>IF(AND($H21='Tournament Setup'!$A$43,$E21="M",$CM21&gt;'Tournament Setup'!$B$43),$I21,"")</f>
        <v/>
      </c>
      <c r="CO21" s="1" t="str">
        <f>IF(ISNUMBER(CN21)=TRUE,IF(_xlfn.RANK.EQ(CN21,$CN$2:$CN$111)&lt;='Tournament Setup'!$C$43,_xlfn.RANK.EQ(CN21,$CN$2:$CN$111),""),"")</f>
        <v/>
      </c>
      <c r="CP21" s="31" t="str">
        <f>IF(AND($H21='Tournament Setup'!$A$43,$E21="F",$CM21&gt;'Tournament Setup'!$B$43),$I21,"")</f>
        <v/>
      </c>
      <c r="CQ21" s="12" t="str">
        <f>IF(ISNUMBER(CP21)=TRUE,IF(_xlfn.RANK.EQ(CP21,$CP$2:$CP$111)&lt;='Tournament Setup'!$D$43,_xlfn.RANK.EQ(CP21,$CP$2:$CP$111),""),"")</f>
        <v/>
      </c>
      <c r="CR21" s="30" t="str">
        <f>IF($H21='Tournament Setup'!$A$44,$I21,"")</f>
        <v/>
      </c>
      <c r="CS21" s="47" t="str">
        <f>IF(ISNUMBER(CR21),IF(COUNTIFS(CS$1:CS20,_xlfn.RANK.EQ(CR21,CR$2:CR$111,0))&gt;0,_xlfn.MAXIFS(CS$1:CS20,CR$1:CR20,CR21)+1,_xlfn.RANK.EQ(CR21,CR$2:CR$111,0)),"")</f>
        <v/>
      </c>
      <c r="CT21" s="1" t="str">
        <f>IF(ISNUMBER(CR21)=TRUE,IF(_xlfn.RANK.EQ(CR21,$CR$2:$CR$111)&lt;='Tournament Setup'!$B$44,_xlfn.RANK.EQ(CR21,$CR$2:$CR$111),""),"")</f>
        <v/>
      </c>
      <c r="CU21" s="31" t="str">
        <f>IF(AND($H21='Tournament Setup'!$A$44,$E21="M",$CT21&gt;'Tournament Setup'!$B$44),$I21,"")</f>
        <v/>
      </c>
      <c r="CV21" s="1" t="str">
        <f>IF(ISNUMBER(CU21)=TRUE,IF(_xlfn.RANK.EQ(CU21,$CU$2:$CU$111)&lt;='Tournament Setup'!$C$44,_xlfn.RANK.EQ(CU21,$CU$2:$CU$111),""),"")</f>
        <v/>
      </c>
      <c r="CW21" s="31" t="str">
        <f>IF(AND($H21='Tournament Setup'!$A$44,$E21="F",$CT21&gt;'Tournament Setup'!$B$44),$I21,"")</f>
        <v/>
      </c>
      <c r="CX21" s="12" t="str">
        <f>IF(ISNUMBER(CW21)=TRUE,IF(_xlfn.RANK.EQ(CW21,$CW$2:$CW$111)&lt;='Tournament Setup'!$D$44,_xlfn.RANK.EQ(CW21,$CW$2:$CW$111),""),"")</f>
        <v/>
      </c>
    </row>
    <row r="22" spans="1:102" x14ac:dyDescent="0.3">
      <c r="A22" t="s">
        <v>57</v>
      </c>
      <c r="B22" t="str">
        <f>IFERROR(INDEX('Tournament List'!$B:$B,MATCH($A22,'Tournament List'!$A:$A,0)),"")</f>
        <v>Nathan</v>
      </c>
      <c r="C22" t="str">
        <f>IFERROR(INDEX('Tournament List'!$C:$C,MATCH($A22,'Tournament List'!$A:$A,0)),"")</f>
        <v>Last Name21</v>
      </c>
      <c r="D22" t="str">
        <f t="shared" si="0"/>
        <v>Nathan Last Name21</v>
      </c>
      <c r="E22" s="1" t="str">
        <f>IFERROR(INDEX('Tournament List'!F:F,MATCH($A22,'Tournament List'!$A:$A,0)),"")</f>
        <v>M</v>
      </c>
      <c r="F22" t="str">
        <f>IFERROR(INDEX('Tournament List'!M:M,MATCH($A22,'Tournament List'!$A:$A,0)),"")</f>
        <v>Novice</v>
      </c>
      <c r="G22" t="str">
        <f>IFERROR(INDEX('Shooter-Squad Assignment'!L:L,MATCH(A22,'Shooter-Squad Assignment'!A:A,0)),"")</f>
        <v>Novice</v>
      </c>
      <c r="H22" s="1" t="str">
        <f>IFERROR(INDEX('Tournament List'!AD:AD,MATCH($A22,'Tournament List'!$A:$A,0)),"")</f>
        <v>C</v>
      </c>
      <c r="I22" s="123">
        <f>IFERROR(INDEX('Tournament List'!AG:AG,MATCH($A22,'Tournament List'!$A:$A,0)),"")</f>
        <v>72.2</v>
      </c>
      <c r="J22" s="145" t="str">
        <f>IFERROR(INDEX('Tournament List'!Y:Y,MATCH($A22,'Tournament List'!$A:$A,0)),"")</f>
        <v/>
      </c>
      <c r="K22" s="47">
        <f>IFERROR(INDEX('Tournament List'!S:S,MATCH(A22,'Tournament List'!A:A,0)),"")</f>
        <v>295</v>
      </c>
      <c r="L22" s="47" t="str">
        <f>IF(ISNUMBER(J22),IF(COUNTIFS(L$1:L21,_xlfn.RANK.EQ(J22,J$2:J$111,0))&gt;0,_xlfn.MAXIFS(L$1:L21,J$1:J21,J22)+1,_xlfn.RANK.EQ(J22,J$2:J$111,0)),"")</f>
        <v/>
      </c>
      <c r="M22" s="11">
        <f>IF(ISNUMBER(I22)=TRUE,IF(I22&gt;0,_xlfn.RANK.EQ(I22,$I$2:$I$111,0),""),"")</f>
        <v>22</v>
      </c>
      <c r="N22" s="56">
        <f>IF(ISNUMBER(I22),IF(COUNTIFS(N$1:N21,_xlfn.RANK.EQ(I22,I$2:I$111,0))&gt;0,_xlfn.MAXIFS(N$1:N21,I$1:I21,I22)+1,_xlfn.RANK.EQ(I22,I$2:I$111,0)),"")</f>
        <v>22</v>
      </c>
      <c r="O22" s="144">
        <f>IF(F22&lt;&gt;"Collegiate"=TRUE,$I22,"")</f>
        <v>72.2</v>
      </c>
      <c r="P22" s="47">
        <f>IF(ISNUMBER(O22),IF(COUNTIFS(P$1:P21,_xlfn.RANK.EQ(O22,O$2:O$111,0))&gt;0,_xlfn.MAXIFS(P$1:P21,O$1:O21,O22)+1,_xlfn.RANK.EQ(O22,O$2:O$111,0)),"")</f>
        <v>20</v>
      </c>
      <c r="Q22" s="1" t="str">
        <f>IF(ISNUMBER(O22)=TRUE,IF(_xlfn.RANK.EQ(O22,$O$2:$O$111)&lt;='Tournament Setup'!$B$26,_xlfn.RANK.EQ(O22,$O$2:$O$111),""),"")</f>
        <v/>
      </c>
      <c r="R22" s="143">
        <f>IF(AND($E22="M",SUM($Q22)=0,F22&lt;&gt;"Collegiate")=TRUE,$I22,"")</f>
        <v>72.2</v>
      </c>
      <c r="S22" s="1" t="str">
        <f>IF(ISNUMBER(R22)=TRUE,IF(_xlfn.RANK.EQ(R22,$R$2:$R$111)&lt;='Tournament Setup'!$B$27,_xlfn.RANK.EQ(R22,$R$2:$R$111),""),"")</f>
        <v/>
      </c>
      <c r="T22" s="143" t="str">
        <f>IF(AND($E22="F",SUM($Q22)=0,F22&lt;&gt;"Collegiate")=TRUE,$I22,"")</f>
        <v/>
      </c>
      <c r="U22" s="12" t="str">
        <f>IF(ISNUMBER(T22)=TRUE,IF(_xlfn.RANK.EQ(T22,$T$2:$T$111)&lt;='Tournament Setup'!$B$28,_xlfn.RANK.EQ(T22,$T$2:$T$111),""),"")</f>
        <v/>
      </c>
      <c r="V22" s="145" t="str">
        <f>IF(AND($G22='Tournament Setup'!$A$53,$J22&lt;&gt;0),$J22,"")</f>
        <v/>
      </c>
      <c r="W22" s="47" t="str">
        <f>IF(ISNUMBER(V22),IF(COUNTIFS(W$1:W21,_xlfn.RANK.EQ(V22,V$2:V$111,0))&gt;0,_xlfn.MAXIFS(W$1:W21,V$1:V21,V22)+1,_xlfn.RANK.EQ(V22,V$2:V$111,0)),"")</f>
        <v/>
      </c>
      <c r="X22" s="1" t="str">
        <f>IF(ISNUMBER(V22)=TRUE,IF(_xlfn.RANK.EQ(V22,$V$2:$V$111)&lt;='Tournament Setup'!$B$53,_xlfn.RANK.EQ(V22,$V$2:$V$111),""),"")</f>
        <v/>
      </c>
      <c r="Y22" s="145" t="str">
        <f>IF(AND($G22='Tournament Setup'!$A$49,$J22&lt;&gt;0),$J22,"")</f>
        <v/>
      </c>
      <c r="Z22" s="47" t="str">
        <f>IF(ISNUMBER(Y22),IF(COUNTIFS(Z$1:Z21,_xlfn.RANK.EQ(Y22,Y$2:Y$111,0))&gt;0,_xlfn.MAXIFS(Z$1:Z21,Y$1:Y21,Y22)+1,_xlfn.RANK.EQ(Y22,Y$2:Y$111,0)),"")</f>
        <v/>
      </c>
      <c r="AA22" s="1" t="str">
        <f>IF(ISNUMBER(Y22)=TRUE,IF(_xlfn.RANK.EQ(Y22,$Y$2:$Y$111)&lt;='Tournament Setup'!$B$49,_xlfn.RANK.EQ(Y22,$Y$2:$Y$111),""),"")</f>
        <v/>
      </c>
      <c r="AB22" s="30">
        <f>IF(AND($F22='Tournament Setup'!$A$32,SUM($Q22,$S22,$U22)=0),$I22,"")</f>
        <v>72.2</v>
      </c>
      <c r="AC22" s="47">
        <f>IF(ISNUMBER(AB22),IF(COUNTIFS(AC$1:AC21,_xlfn.RANK.EQ(AB22,AB$2:AB$111,0))&gt;0,_xlfn.MAXIFS(AC$1:AC21,AB$1:AB21,AB22)+1,_xlfn.RANK.EQ(AB22,AB$2:AB$111,0)),"")</f>
        <v>4</v>
      </c>
      <c r="AD22" s="1" t="str">
        <f>IF(ISNUMBER(AB22)=TRUE,IF(_xlfn.RANK.EQ(AB22,$AB$2:$AB$111)&lt;='Tournament Setup'!$B$32,_xlfn.RANK.EQ(AB22,$AB$2:$AB$111),""),"")</f>
        <v/>
      </c>
      <c r="AE22" s="31">
        <f>IF(AND($F22='Tournament Setup'!$A$32,SUM($Q22,$S22)=0,$E22="M",$AD22&gt;'Tournament Setup'!$B$32),$I22,"")</f>
        <v>72.2</v>
      </c>
      <c r="AF22" s="1">
        <f>IF(ISNUMBER(AE22)=TRUE,IF(_xlfn.RANK.EQ(AE22,$AE$2:$AE$111)&lt;='Tournament Setup'!$C$32,_xlfn.RANK.EQ(AE22,$AE$2:$AE$111),""),"")</f>
        <v>1</v>
      </c>
      <c r="AG22" s="31" t="str">
        <f>IF(AND($F22='Tournament Setup'!$A$32,SUM($Q22,$U22)=0,$E22="F",$AD22&gt;'Tournament Setup'!$B$32),$I22,"")</f>
        <v/>
      </c>
      <c r="AH22" s="12" t="str">
        <f>IF(ISNUMBER(AG22)=TRUE,IF(_xlfn.RANK.EQ(AG22,$AG$2:$AG$111)&lt;='Tournament Setup'!$D$32,_xlfn.RANK.EQ(AG22,$AG$2:$AG$111),""),"")</f>
        <v/>
      </c>
      <c r="AI22" s="30" t="str">
        <f>IF(AND($G22='Tournament Setup'!$A$50,$J22&lt;&gt;0),$J22,"")</f>
        <v/>
      </c>
      <c r="AJ22" s="47" t="str">
        <f>IF(ISNUMBER(AI22),IF(COUNTIFS(AJ$1:AJ21,_xlfn.RANK.EQ(AI22,AI$2:AI$111,0))&gt;0,_xlfn.MAXIFS(AJ$1:AJ21,AI$1:AI21,AI22)+1,_xlfn.RANK.EQ(AI22,AI$2:AI$111,0)),"")</f>
        <v/>
      </c>
      <c r="AK22" s="1" t="str">
        <f>IF(ISNUMBER(AI22)=TRUE,IF(_xlfn.RANK.EQ(AI22,$AI$2:$AI$111)&lt;='Tournament Setup'!$B$49,_xlfn.RANK.EQ(AI22,$AI$2:$AI$111),""),"")</f>
        <v/>
      </c>
      <c r="AL22" s="30" t="str">
        <f>IF(AND($F22='Tournament Setup'!$A$33,SUM($Q22,$S22,$U22)=0),$I22,"")</f>
        <v/>
      </c>
      <c r="AM22" s="47" t="str">
        <f>IF(ISNUMBER(AL22),IF(COUNTIFS(AM$1:AM21,_xlfn.RANK.EQ(AL22,AL$2:AL$111,0))&gt;0,_xlfn.MAXIFS(AM$1:AM21,AL$1:AL21,AL22)+1,_xlfn.RANK.EQ(AL22,AL$2:AL$111,0)),"")</f>
        <v/>
      </c>
      <c r="AN22" s="1" t="str">
        <f>IF(ISNUMBER(AL22)=TRUE,IF(_xlfn.RANK.EQ(AL22,$AL$2:$AL$111)&lt;='Tournament Setup'!$B$33,_xlfn.RANK.EQ(AL22,$AL$2:$AL$111),""),"")</f>
        <v/>
      </c>
      <c r="AO22" s="31" t="str">
        <f>IF(AND($F22='Tournament Setup'!$A$33,SUM($Q22,$S22)=0,$E22="M",$AN22&gt;'Tournament Setup'!$B$33),$I22,"")</f>
        <v/>
      </c>
      <c r="AP22" s="1" t="str">
        <f>IF(ISNUMBER(AO22)=TRUE,IF(_xlfn.RANK.EQ(AO22,$AO$2:$AO$111)&lt;='Tournament Setup'!$C$33,_xlfn.RANK.EQ(AO22,$AO$2:$AO$111),""),"")</f>
        <v/>
      </c>
      <c r="AQ22" s="31" t="str">
        <f>IF(AND($F22='Tournament Setup'!$A$33,SUM($Q22,$U22)=0,$E22="F",$AN22&gt;'Tournament Setup'!$B$33),$I22,"")</f>
        <v/>
      </c>
      <c r="AR22" s="12" t="str">
        <f>IF(ISNUMBER(AQ22)=TRUE,IF(_xlfn.RANK.EQ(AQ22,$AQ$2:$AQ$111)&lt;='Tournament Setup'!$D$33,_xlfn.RANK.EQ(AQ22,$AQ$2:$AQ$111),""),"")</f>
        <v/>
      </c>
      <c r="AS22" s="30" t="str">
        <f>IF(AND($G22='Tournament Setup'!$A$51,$J22&lt;&gt;0),$J22,"")</f>
        <v/>
      </c>
      <c r="AT22" s="47" t="str">
        <f>IF(ISNUMBER(AS22),IF(COUNTIFS(AT$1:AT21,_xlfn.RANK.EQ(AS22,AS$2:AS$111,0))&gt;0,_xlfn.MAXIFS(AT$1:AT21,AS$1:AS21,AS22)+1,_xlfn.RANK.EQ(AS22,AS$2:AS$111,0)),"")</f>
        <v/>
      </c>
      <c r="AU22" s="1" t="str">
        <f>IF(ISNUMBER(AS22)=TRUE,IF(_xlfn.RANK.EQ(AS22,$AS$2:$AS$111)&lt;='Tournament Setup'!$B$49,_xlfn.RANK.EQ(AS22,$AS$2:$AS$111),""),"")</f>
        <v/>
      </c>
      <c r="AV22" s="30" t="str">
        <f>IF(AND($F22='Tournament Setup'!$A$34,SUM($Q22,$S22,$U22)=0),$I22,"")</f>
        <v/>
      </c>
      <c r="AW22" s="47" t="str">
        <f>IF(ISNUMBER(AV22),IF(COUNTIFS(AW$1:AW21,_xlfn.RANK.EQ(AV22,AV$2:AV$111,0))&gt;0,_xlfn.MAXIFS(AW$1:AW21,AV$1:AV21,AV22)+1,_xlfn.RANK.EQ(AV22,AV$2:AV$111,0)),"")</f>
        <v/>
      </c>
      <c r="AX22" s="1" t="str">
        <f>IF(ISNUMBER(AV22)=TRUE,IF(_xlfn.RANK.EQ(AV22,$AV$2:$AV$111)&lt;='Tournament Setup'!$B$34,_xlfn.RANK.EQ(AV22,$AV$2:$AV$111),""),"")</f>
        <v/>
      </c>
      <c r="AY22" s="31" t="str">
        <f>IF(AND($F22='Tournament Setup'!$A$34,SUM($Q22,$S22)=0,$E22="M",$AX22&gt;'Tournament Setup'!$B$34),$I22,"")</f>
        <v/>
      </c>
      <c r="AZ22" s="1" t="str">
        <f>IF(ISNUMBER(AY22)=TRUE,IF(_xlfn.RANK.EQ(AY22,$AY$2:$AY$111)&lt;='Tournament Setup'!$C$34,_xlfn.RANK.EQ(AY22,$AY$2:$AY$111),""),"")</f>
        <v/>
      </c>
      <c r="BA22" s="31" t="str">
        <f>IF(AND($F22='Tournament Setup'!$A$34,SUM($Q22,$U22)=0,$E22="F",$AX22&gt;'Tournament Setup'!$B$34),$I22,"")</f>
        <v/>
      </c>
      <c r="BB22" s="12" t="str">
        <f>IF(ISNUMBER(BA22)=TRUE,IF(_xlfn.RANK.EQ(BA22,$BA$2:$BA$111)&lt;='Tournament Setup'!$D$34,_xlfn.RANK.EQ(BA22,$BA$2:$BA$111),""),"")</f>
        <v/>
      </c>
      <c r="BC22" s="30" t="str">
        <f>IF(AND($G22='Tournament Setup'!$A$52,$J22&lt;&gt;0),$J22,"")</f>
        <v/>
      </c>
      <c r="BD22" s="47" t="str">
        <f>IF(ISNUMBER(BC22),IF(COUNTIFS(BD$1:BD21,_xlfn.RANK.EQ(BC22,BC$2:BC$111,0))&gt;0,_xlfn.MAXIFS(BD$1:BD21,BC$1:BC21,BC22)+1,_xlfn.RANK.EQ(BC22,BC$2:BC$111,0)),"")</f>
        <v/>
      </c>
      <c r="BE22" s="1" t="str">
        <f>IF(ISNUMBER(BC22)=TRUE,IF(_xlfn.RANK.EQ(BC22,$BC$2:$BC$111)&lt;='Tournament Setup'!$B$49,_xlfn.RANK.EQ(BC22,$BC$2:$BC$111),""),"")</f>
        <v/>
      </c>
      <c r="BF22" s="30" t="str">
        <f>IF(AND($F22='Tournament Setup'!$A$35,SUM($Q22,$S22,$U22)=0),$I22,"")</f>
        <v/>
      </c>
      <c r="BG22" s="47" t="str">
        <f>IF(ISNUMBER(BF22),IF(COUNTIFS(BG$1:BG21,_xlfn.RANK.EQ(BF22,BF$2:BF$111,0))&gt;0,_xlfn.MAXIFS(BG$1:BG21,BF$1:BF21,BF22)+1,_xlfn.RANK.EQ(BF22,BF$2:BF$111,0)),"")</f>
        <v/>
      </c>
      <c r="BH22" s="1" t="str">
        <f>IF(ISNUMBER(BF22)=TRUE,IF(_xlfn.RANK.EQ(BF22,$BF$2:$BF$111)&lt;='Tournament Setup'!$B$35,_xlfn.RANK.EQ(BF22,$BF$2:$BF$111),""),"")</f>
        <v/>
      </c>
      <c r="BI22" s="31" t="str">
        <f>IF(AND($F22='Tournament Setup'!$A$35,SUM($Q22,$S22)=0,$E22="M",$BH22&gt;'Tournament Setup'!$B$35),$I22,"")</f>
        <v/>
      </c>
      <c r="BJ22" s="1" t="str">
        <f>IF(ISNUMBER(BI22)=TRUE,IF(_xlfn.RANK.EQ(BI22,$BI$2:$BI$111)&lt;='Tournament Setup'!$C$35,_xlfn.RANK.EQ(BI22,$BI$2:$BI$111),""),"")</f>
        <v/>
      </c>
      <c r="BK22" s="31" t="str">
        <f>IF(AND($F22='Tournament Setup'!$A$35,SUM($Q22,$U22)=0,$E22="F",$BH22&gt;'Tournament Setup'!$B$35),$I22,"")</f>
        <v/>
      </c>
      <c r="BL22" s="12" t="str">
        <f>IF(ISNUMBER(BK22)=TRUE,IF(_xlfn.RANK.EQ(BK22,$BK$2:$BK$111)&lt;='Tournament Setup'!$D$35,_xlfn.RANK.EQ(BK22,$BK$2:$BK$111),""),"")</f>
        <v/>
      </c>
      <c r="BM22" s="30" t="str">
        <f>IF(AND($G22='Tournament Setup'!$A$54,$J22&lt;&gt;0),$J22,"")</f>
        <v/>
      </c>
      <c r="BN22" s="47" t="str">
        <f>IF(ISNUMBER(BM22),IF(COUNTIFS(BN$1:BN21,_xlfn.RANK.EQ(BM22,BM$2:BM$111,0))&gt;0,_xlfn.MAXIFS(BN$1:BN21,BM$1:BM21,BM22)+1,_xlfn.RANK.EQ(BM22,BM$2:BM$111,0)),"")</f>
        <v/>
      </c>
      <c r="BO22" s="1" t="str">
        <f>IF(ISNUMBER(BM22)=TRUE,IF(_xlfn.RANK.EQ(BM22,$BM$2:$BM$111)&lt;='Tournament Setup'!$B$49,_xlfn.RANK.EQ(BM22,$BM$2:$BM$111),""),"")</f>
        <v/>
      </c>
      <c r="BP22" s="30" t="str">
        <f>IF(AND($F22='Tournament Setup'!$A$36,SUM($Q22,$S22,$U22)=0),$I22,"")</f>
        <v/>
      </c>
      <c r="BQ22" s="47" t="str">
        <f>IF(ISNUMBER(BP22),IF(COUNTIFS(BQ$1:BQ21,_xlfn.RANK.EQ(BP22,BP$2:BP$111,0))&gt;0,_xlfn.MAXIFS(BQ$1:BQ21,BP$1:BP21,BP22)+1,_xlfn.RANK.EQ(BP22,BP$2:BP$111,0)),"")</f>
        <v/>
      </c>
      <c r="BR22" s="1" t="str">
        <f>IF(ISNUMBER(BP22)=TRUE,IF(_xlfn.RANK.EQ(BP22,$BP$2:$BP$111)&lt;='Tournament Setup'!$B$36,_xlfn.RANK.EQ(BP22,$BP$2:$BP$111),""),"")</f>
        <v/>
      </c>
      <c r="BS22" s="31" t="str">
        <f>IF(AND($F22='Tournament Setup'!$A$36,SUM($Q22,$S22)=0,$E22="M",$BR22&gt;'Tournament Setup'!$B$36),$I22,"")</f>
        <v/>
      </c>
      <c r="BT22" s="1" t="str">
        <f>IF(ISNUMBER(BS22)=TRUE,IF(_xlfn.RANK.EQ(BS22,$BS$2:$BS$111)&lt;='Tournament Setup'!$C$36,_xlfn.RANK.EQ(BS22,$BS$2:$BS$111),""),"")</f>
        <v/>
      </c>
      <c r="BU22" s="31" t="str">
        <f>IF(AND($F22='Tournament Setup'!$A$36,SUM($Q22,$U22)=0,$E22="F",$BR22&gt;'Tournament Setup'!$B$36),$I22,"")</f>
        <v/>
      </c>
      <c r="BV22" s="12" t="str">
        <f>IF(ISNUMBER(BU22)=TRUE,IF(_xlfn.RANK.EQ(BU22,$BU$2:$BU$111)&lt;='Tournament Setup'!$D$36,_xlfn.RANK.EQ(BU22,$BU$2:$BU$111),""),"")</f>
        <v/>
      </c>
      <c r="BW22" s="30" t="str">
        <f>IF($H22='Tournament Setup'!$A$41,$I22,"")</f>
        <v/>
      </c>
      <c r="BX22" s="47" t="str">
        <f>IF(ISNUMBER(BW22),IF(COUNTIFS(BX$1:BX21,_xlfn.RANK.EQ(BW22,BW$2:BW$111,0))&gt;0,_xlfn.MAXIFS(BX$1:BX21,BW$1:BW21,BW22)+1,_xlfn.RANK.EQ(BW22,BW$2:BW$111,0)),"")</f>
        <v/>
      </c>
      <c r="BY22" s="1" t="str">
        <f>IF(ISNUMBER(BW22)=TRUE,IF(_xlfn.RANK.EQ(BW22,$BW$2:$BW$111)&lt;='Tournament Setup'!$B$41,_xlfn.RANK.EQ(BW22,$BW$2:$BW$111),""),"")</f>
        <v/>
      </c>
      <c r="BZ22" s="31" t="str">
        <f>IF(AND($H22='Tournament Setup'!$A$41,$E22="M",$BY22&gt;'Tournament Setup'!$B$41),$I22,"")</f>
        <v/>
      </c>
      <c r="CA22" s="1" t="str">
        <f>IF(ISNUMBER(BZ22)=TRUE,IF(_xlfn.RANK.EQ(BZ22,$BZ$2:$BZ$111)&lt;='Tournament Setup'!$C$41,_xlfn.RANK.EQ(BZ22,$BZ$2:$BZ$111),""),"")</f>
        <v/>
      </c>
      <c r="CB22" s="31" t="str">
        <f>IF(AND($H22='Tournament Setup'!$A$41,$E22="F",$BY22&gt;'Tournament Setup'!$B$41),$I22,"")</f>
        <v/>
      </c>
      <c r="CC22" s="12" t="str">
        <f>IF(ISNUMBER(CB22)=TRUE,IF(_xlfn.RANK.EQ(CB22,$CB$2:$CB$111)&lt;='Tournament Setup'!$D$41,_xlfn.RANK.EQ(CB22,$CB$2:$CB$111),""),"")</f>
        <v/>
      </c>
      <c r="CD22" s="30" t="str">
        <f>IF($H22='Tournament Setup'!$A$42,$I22,"")</f>
        <v/>
      </c>
      <c r="CE22" s="47" t="str">
        <f>IF(ISNUMBER(CD22),IF(COUNTIFS(CE$1:CE21,_xlfn.RANK.EQ(CD22,CD$2:CD$111,0))&gt;0,_xlfn.MAXIFS(CE$1:CE21,CD$1:CD21,CD22)+1,_xlfn.RANK.EQ(CD22,CD$2:CD$111,0)),"")</f>
        <v/>
      </c>
      <c r="CF22" s="1" t="str">
        <f>IF(ISNUMBER(CD22)=TRUE,IF(_xlfn.RANK.EQ(CD22,$CD$2:$CD$111)&lt;='Tournament Setup'!$B$42,_xlfn.RANK.EQ(CD22,$CD$2:$CD$111),""),"")</f>
        <v/>
      </c>
      <c r="CG22" s="31" t="str">
        <f>IF(AND($H22='Tournament Setup'!$A$42,$E22="M",$CF22&gt;'Tournament Setup'!$B$42),$I22,"")</f>
        <v/>
      </c>
      <c r="CH22" s="1" t="str">
        <f>IF(ISNUMBER(CG22)=TRUE,IF(_xlfn.RANK.EQ(CG22,$CG$2:$CG$111)&lt;='Tournament Setup'!$C$42,_xlfn.RANK.EQ(CG22,$CG$2:$CG$111),""),"")</f>
        <v/>
      </c>
      <c r="CI22" s="31" t="str">
        <f>IF(AND($H22='Tournament Setup'!$A$42,$E22="F",$CF22&gt;'Tournament Setup'!$B$42),$I22,"")</f>
        <v/>
      </c>
      <c r="CJ22" s="12" t="str">
        <f>IF(ISNUMBER(CI22)=TRUE,IF(_xlfn.RANK.EQ(CI22,$CI$2:$CI$111)&lt;='Tournament Setup'!$D$42,_xlfn.RANK.EQ(CI22,$CI$2:$CI$111),""),"")</f>
        <v/>
      </c>
      <c r="CK22" s="30">
        <f>IF($H22='Tournament Setup'!$A$43,$I22,"")</f>
        <v>72.2</v>
      </c>
      <c r="CL22" s="47">
        <f>IF(ISNUMBER(CK22),IF(COUNTIFS(CL$1:CL21,_xlfn.RANK.EQ(CK22,CK$2:CK$111,0))&gt;0,_xlfn.MAXIFS(CL$1:CL21,CK$1:CK21,CK22)+1,_xlfn.RANK.EQ(CK22,CK$2:CK$111,0)),"")</f>
        <v>5</v>
      </c>
      <c r="CM22" s="1" t="str">
        <f>IF(ISNUMBER(CK22)=TRUE,IF(_xlfn.RANK.EQ(CK22,$CK$2:$CK$111)&lt;='Tournament Setup'!$B$43,_xlfn.RANK.EQ(CK22,$CK$2:$CK$111),""),"")</f>
        <v/>
      </c>
      <c r="CN22" s="31">
        <f>IF(AND($H22='Tournament Setup'!$A$43,$E22="M",$CM22&gt;'Tournament Setup'!$B$43),$I22,"")</f>
        <v>72.2</v>
      </c>
      <c r="CO22" s="1">
        <f>IF(ISNUMBER(CN22)=TRUE,IF(_xlfn.RANK.EQ(CN22,$CN$2:$CN$111)&lt;='Tournament Setup'!$C$43,_xlfn.RANK.EQ(CN22,$CN$2:$CN$111),""),"")</f>
        <v>2</v>
      </c>
      <c r="CP22" s="31" t="str">
        <f>IF(AND($H22='Tournament Setup'!$A$43,$E22="F",$CM22&gt;'Tournament Setup'!$B$43),$I22,"")</f>
        <v/>
      </c>
      <c r="CQ22" s="12" t="str">
        <f>IF(ISNUMBER(CP22)=TRUE,IF(_xlfn.RANK.EQ(CP22,$CP$2:$CP$111)&lt;='Tournament Setup'!$D$43,_xlfn.RANK.EQ(CP22,$CP$2:$CP$111),""),"")</f>
        <v/>
      </c>
      <c r="CR22" s="30" t="str">
        <f>IF($H22='Tournament Setup'!$A$44,$I22,"")</f>
        <v/>
      </c>
      <c r="CS22" s="47" t="str">
        <f>IF(ISNUMBER(CR22),IF(COUNTIFS(CS$1:CS21,_xlfn.RANK.EQ(CR22,CR$2:CR$111,0))&gt;0,_xlfn.MAXIFS(CS$1:CS21,CR$1:CR21,CR22)+1,_xlfn.RANK.EQ(CR22,CR$2:CR$111,0)),"")</f>
        <v/>
      </c>
      <c r="CT22" s="1" t="str">
        <f>IF(ISNUMBER(CR22)=TRUE,IF(_xlfn.RANK.EQ(CR22,$CR$2:$CR$111)&lt;='Tournament Setup'!$B$44,_xlfn.RANK.EQ(CR22,$CR$2:$CR$111),""),"")</f>
        <v/>
      </c>
      <c r="CU22" s="31" t="str">
        <f>IF(AND($H22='Tournament Setup'!$A$44,$E22="M",$CT22&gt;'Tournament Setup'!$B$44),$I22,"")</f>
        <v/>
      </c>
      <c r="CV22" s="1" t="str">
        <f>IF(ISNUMBER(CU22)=TRUE,IF(_xlfn.RANK.EQ(CU22,$CU$2:$CU$111)&lt;='Tournament Setup'!$C$44,_xlfn.RANK.EQ(CU22,$CU$2:$CU$111),""),"")</f>
        <v/>
      </c>
      <c r="CW22" s="31" t="str">
        <f>IF(AND($H22='Tournament Setup'!$A$44,$E22="F",$CT22&gt;'Tournament Setup'!$B$44),$I22,"")</f>
        <v/>
      </c>
      <c r="CX22" s="12" t="str">
        <f>IF(ISNUMBER(CW22)=TRUE,IF(_xlfn.RANK.EQ(CW22,$CW$2:$CW$111)&lt;='Tournament Setup'!$D$44,_xlfn.RANK.EQ(CW22,$CW$2:$CW$111),""),"")</f>
        <v/>
      </c>
    </row>
    <row r="23" spans="1:102" x14ac:dyDescent="0.3">
      <c r="A23" t="s">
        <v>58</v>
      </c>
      <c r="B23" t="str">
        <f>IFERROR(INDEX('Tournament List'!$B:$B,MATCH($A23,'Tournament List'!$A:$A,0)),"")</f>
        <v>Steve</v>
      </c>
      <c r="C23" t="str">
        <f>IFERROR(INDEX('Tournament List'!$C:$C,MATCH($A23,'Tournament List'!$A:$A,0)),"")</f>
        <v>Last Name22</v>
      </c>
      <c r="D23" t="str">
        <f t="shared" si="0"/>
        <v>Steve Last Name22</v>
      </c>
      <c r="E23" s="1" t="str">
        <f>IFERROR(INDEX('Tournament List'!F:F,MATCH($A23,'Tournament List'!$A:$A,0)),"")</f>
        <v>M</v>
      </c>
      <c r="F23" t="str">
        <f>IFERROR(INDEX('Tournament List'!M:M,MATCH($A23,'Tournament List'!$A:$A,0)),"")</f>
        <v>Intermediate</v>
      </c>
      <c r="G23" t="str">
        <f>IFERROR(INDEX('Shooter-Squad Assignment'!L:L,MATCH(A23,'Shooter-Squad Assignment'!A:A,0)),"")</f>
        <v>Intermediate</v>
      </c>
      <c r="H23" s="1" t="str">
        <f>IFERROR(INDEX('Tournament List'!AD:AD,MATCH($A23,'Tournament List'!$A:$A,0)),"")</f>
        <v>C</v>
      </c>
      <c r="I23" s="123">
        <f>IFERROR(INDEX('Tournament List'!AG:AG,MATCH($A23,'Tournament List'!$A:$A,0)),"")</f>
        <v>70</v>
      </c>
      <c r="J23" s="145" t="str">
        <f>IFERROR(INDEX('Tournament List'!Y:Y,MATCH($A23,'Tournament List'!$A:$A,0)),"")</f>
        <v/>
      </c>
      <c r="K23" s="47">
        <f>IFERROR(INDEX('Tournament List'!S:S,MATCH(A23,'Tournament List'!A:A,0)),"")</f>
        <v>61</v>
      </c>
      <c r="L23" s="47" t="str">
        <f>IF(ISNUMBER(J23),IF(COUNTIFS(L$1:L22,_xlfn.RANK.EQ(J23,J$2:J$111,0))&gt;0,_xlfn.MAXIFS(L$1:L22,J$1:J22,J23)+1,_xlfn.RANK.EQ(J23,J$2:J$111,0)),"")</f>
        <v/>
      </c>
      <c r="M23" s="11">
        <f>IF(ISNUMBER(I23)=TRUE,IF(I23&gt;0,_xlfn.RANK.EQ(I23,$I$2:$I$111,0),""),"")</f>
        <v>26</v>
      </c>
      <c r="N23" s="56">
        <f>IF(ISNUMBER(I23),IF(COUNTIFS(N$1:N22,_xlfn.RANK.EQ(I23,I$2:I$111,0))&gt;0,_xlfn.MAXIFS(N$1:N22,I$1:I22,I23)+1,_xlfn.RANK.EQ(I23,I$2:I$111,0)),"")</f>
        <v>26</v>
      </c>
      <c r="O23" s="144">
        <f>IF(F23&lt;&gt;"Collegiate"=TRUE,$I23,"")</f>
        <v>70</v>
      </c>
      <c r="P23" s="47">
        <f>IF(ISNUMBER(O23),IF(COUNTIFS(P$1:P22,_xlfn.RANK.EQ(O23,O$2:O$111,0))&gt;0,_xlfn.MAXIFS(P$1:P22,O$1:O22,O23)+1,_xlfn.RANK.EQ(O23,O$2:O$111,0)),"")</f>
        <v>24</v>
      </c>
      <c r="Q23" s="1" t="str">
        <f>IF(ISNUMBER(O23)=TRUE,IF(_xlfn.RANK.EQ(O23,$O$2:$O$111)&lt;='Tournament Setup'!$B$26,_xlfn.RANK.EQ(O23,$O$2:$O$111),""),"")</f>
        <v/>
      </c>
      <c r="R23" s="143">
        <f>IF(AND($E23="M",SUM($Q23)=0,F23&lt;&gt;"Collegiate")=TRUE,$I23,"")</f>
        <v>70</v>
      </c>
      <c r="S23" s="1" t="str">
        <f>IF(ISNUMBER(R23)=TRUE,IF(_xlfn.RANK.EQ(R23,$R$2:$R$111)&lt;='Tournament Setup'!$B$27,_xlfn.RANK.EQ(R23,$R$2:$R$111),""),"")</f>
        <v/>
      </c>
      <c r="T23" s="143" t="str">
        <f>IF(AND($E23="F",SUM($Q23)=0,F23&lt;&gt;"Collegiate")=TRUE,$I23,"")</f>
        <v/>
      </c>
      <c r="U23" s="12" t="str">
        <f>IF(ISNUMBER(T23)=TRUE,IF(_xlfn.RANK.EQ(T23,$T$2:$T$111)&lt;='Tournament Setup'!$B$28,_xlfn.RANK.EQ(T23,$T$2:$T$111),""),"")</f>
        <v/>
      </c>
      <c r="V23" s="145" t="str">
        <f>IF(AND($G23='Tournament Setup'!$A$53,$J23&lt;&gt;0),$J23,"")</f>
        <v/>
      </c>
      <c r="W23" s="47" t="str">
        <f>IF(ISNUMBER(V23),IF(COUNTIFS(W$1:W22,_xlfn.RANK.EQ(V23,V$2:V$111,0))&gt;0,_xlfn.MAXIFS(W$1:W22,V$1:V22,V23)+1,_xlfn.RANK.EQ(V23,V$2:V$111,0)),"")</f>
        <v/>
      </c>
      <c r="X23" s="1" t="str">
        <f>IF(ISNUMBER(V23)=TRUE,IF(_xlfn.RANK.EQ(V23,$V$2:$V$111)&lt;='Tournament Setup'!$B$53,_xlfn.RANK.EQ(V23,$V$2:$V$111),""),"")</f>
        <v/>
      </c>
      <c r="Y23" s="145" t="str">
        <f>IF(AND($G23='Tournament Setup'!$A$49,$J23&lt;&gt;0),$J23,"")</f>
        <v/>
      </c>
      <c r="Z23" s="47" t="str">
        <f>IF(ISNUMBER(Y23),IF(COUNTIFS(Z$1:Z22,_xlfn.RANK.EQ(Y23,Y$2:Y$111,0))&gt;0,_xlfn.MAXIFS(Z$1:Z22,Y$1:Y22,Y23)+1,_xlfn.RANK.EQ(Y23,Y$2:Y$111,0)),"")</f>
        <v/>
      </c>
      <c r="AA23" s="1" t="str">
        <f>IF(ISNUMBER(Y23)=TRUE,IF(_xlfn.RANK.EQ(Y23,$Y$2:$Y$111)&lt;='Tournament Setup'!$B$49,_xlfn.RANK.EQ(Y23,$Y$2:$Y$111),""),"")</f>
        <v/>
      </c>
      <c r="AB23" s="30" t="str">
        <f>IF(AND($F23='Tournament Setup'!$A$32,SUM($Q23,$S23,$U23)=0),$I23,"")</f>
        <v/>
      </c>
      <c r="AC23" s="47" t="str">
        <f>IF(ISNUMBER(AB23),IF(COUNTIFS(AC$1:AC22,_xlfn.RANK.EQ(AB23,AB$2:AB$111,0))&gt;0,_xlfn.MAXIFS(AC$1:AC22,AB$1:AB22,AB23)+1,_xlfn.RANK.EQ(AB23,AB$2:AB$111,0)),"")</f>
        <v/>
      </c>
      <c r="AD23" s="1" t="str">
        <f>IF(ISNUMBER(AB23)=TRUE,IF(_xlfn.RANK.EQ(AB23,$AB$2:$AB$111)&lt;='Tournament Setup'!$B$32,_xlfn.RANK.EQ(AB23,$AB$2:$AB$111),""),"")</f>
        <v/>
      </c>
      <c r="AE23" s="31" t="str">
        <f>IF(AND($F23='Tournament Setup'!$A$32,SUM($Q23,$S23)=0,$E23="M",$AD23&gt;'Tournament Setup'!$B$32),$I23,"")</f>
        <v/>
      </c>
      <c r="AF23" s="1" t="str">
        <f>IF(ISNUMBER(AE23)=TRUE,IF(_xlfn.RANK.EQ(AE23,$AE$2:$AE$111)&lt;='Tournament Setup'!$C$32,_xlfn.RANK.EQ(AE23,$AE$2:$AE$111),""),"")</f>
        <v/>
      </c>
      <c r="AG23" s="31" t="str">
        <f>IF(AND($F23='Tournament Setup'!$A$32,SUM($Q23,$U23)=0,$E23="F",$AD23&gt;'Tournament Setup'!$B$32),$I23,"")</f>
        <v/>
      </c>
      <c r="AH23" s="12" t="str">
        <f>IF(ISNUMBER(AG23)=TRUE,IF(_xlfn.RANK.EQ(AG23,$AG$2:$AG$111)&lt;='Tournament Setup'!$D$32,_xlfn.RANK.EQ(AG23,$AG$2:$AG$111),""),"")</f>
        <v/>
      </c>
      <c r="AI23" s="30" t="str">
        <f>IF(AND($G23='Tournament Setup'!$A$50,$J23&lt;&gt;0),$J23,"")</f>
        <v/>
      </c>
      <c r="AJ23" s="47" t="str">
        <f>IF(ISNUMBER(AI23),IF(COUNTIFS(AJ$1:AJ22,_xlfn.RANK.EQ(AI23,AI$2:AI$111,0))&gt;0,_xlfn.MAXIFS(AJ$1:AJ22,AI$1:AI22,AI23)+1,_xlfn.RANK.EQ(AI23,AI$2:AI$111,0)),"")</f>
        <v/>
      </c>
      <c r="AK23" s="1" t="str">
        <f>IF(ISNUMBER(AI23)=TRUE,IF(_xlfn.RANK.EQ(AI23,$AI$2:$AI$111)&lt;='Tournament Setup'!$B$49,_xlfn.RANK.EQ(AI23,$AI$2:$AI$111),""),"")</f>
        <v/>
      </c>
      <c r="AL23" s="30">
        <f>IF(AND($F23='Tournament Setup'!$A$33,SUM($Q23,$S23,$U23)=0),$I23,"")</f>
        <v>70</v>
      </c>
      <c r="AM23" s="47">
        <f>IF(ISNUMBER(AL23),IF(COUNTIFS(AM$1:AM22,_xlfn.RANK.EQ(AL23,AL$2:AL$111,0))&gt;0,_xlfn.MAXIFS(AM$1:AM22,AL$1:AL22,AL23)+1,_xlfn.RANK.EQ(AL23,AL$2:AL$111,0)),"")</f>
        <v>4</v>
      </c>
      <c r="AN23" s="1" t="str">
        <f>IF(ISNUMBER(AL23)=TRUE,IF(_xlfn.RANK.EQ(AL23,$AL$2:$AL$111)&lt;='Tournament Setup'!$B$33,_xlfn.RANK.EQ(AL23,$AL$2:$AL$111),""),"")</f>
        <v/>
      </c>
      <c r="AO23" s="31">
        <f>IF(AND($F23='Tournament Setup'!$A$33,SUM($Q23,$S23)=0,$E23="M",$AN23&gt;'Tournament Setup'!$B$33),$I23,"")</f>
        <v>70</v>
      </c>
      <c r="AP23" s="1">
        <f>IF(ISNUMBER(AO23)=TRUE,IF(_xlfn.RANK.EQ(AO23,$AO$2:$AO$111)&lt;='Tournament Setup'!$C$33,_xlfn.RANK.EQ(AO23,$AO$2:$AO$111),""),"")</f>
        <v>1</v>
      </c>
      <c r="AQ23" s="31" t="str">
        <f>IF(AND($F23='Tournament Setup'!$A$33,SUM($Q23,$U23)=0,$E23="F",$AN23&gt;'Tournament Setup'!$B$33),$I23,"")</f>
        <v/>
      </c>
      <c r="AR23" s="12" t="str">
        <f>IF(ISNUMBER(AQ23)=TRUE,IF(_xlfn.RANK.EQ(AQ23,$AQ$2:$AQ$111)&lt;='Tournament Setup'!$D$33,_xlfn.RANK.EQ(AQ23,$AQ$2:$AQ$111),""),"")</f>
        <v/>
      </c>
      <c r="AS23" s="30" t="str">
        <f>IF(AND($G23='Tournament Setup'!$A$51,$J23&lt;&gt;0),$J23,"")</f>
        <v/>
      </c>
      <c r="AT23" s="47" t="str">
        <f>IF(ISNUMBER(AS23),IF(COUNTIFS(AT$1:AT22,_xlfn.RANK.EQ(AS23,AS$2:AS$111,0))&gt;0,_xlfn.MAXIFS(AT$1:AT22,AS$1:AS22,AS23)+1,_xlfn.RANK.EQ(AS23,AS$2:AS$111,0)),"")</f>
        <v/>
      </c>
      <c r="AU23" s="1" t="str">
        <f>IF(ISNUMBER(AS23)=TRUE,IF(_xlfn.RANK.EQ(AS23,$AS$2:$AS$111)&lt;='Tournament Setup'!$B$49,_xlfn.RANK.EQ(AS23,$AS$2:$AS$111),""),"")</f>
        <v/>
      </c>
      <c r="AV23" s="30" t="str">
        <f>IF(AND($F23='Tournament Setup'!$A$34,SUM($Q23,$S23,$U23)=0),$I23,"")</f>
        <v/>
      </c>
      <c r="AW23" s="47" t="str">
        <f>IF(ISNUMBER(AV23),IF(COUNTIFS(AW$1:AW22,_xlfn.RANK.EQ(AV23,AV$2:AV$111,0))&gt;0,_xlfn.MAXIFS(AW$1:AW22,AV$1:AV22,AV23)+1,_xlfn.RANK.EQ(AV23,AV$2:AV$111,0)),"")</f>
        <v/>
      </c>
      <c r="AX23" s="1" t="str">
        <f>IF(ISNUMBER(AV23)=TRUE,IF(_xlfn.RANK.EQ(AV23,$AV$2:$AV$111)&lt;='Tournament Setup'!$B$34,_xlfn.RANK.EQ(AV23,$AV$2:$AV$111),""),"")</f>
        <v/>
      </c>
      <c r="AY23" s="31" t="str">
        <f>IF(AND($F23='Tournament Setup'!$A$34,SUM($Q23,$S23)=0,$E23="M",$AX23&gt;'Tournament Setup'!$B$34),$I23,"")</f>
        <v/>
      </c>
      <c r="AZ23" s="1" t="str">
        <f>IF(ISNUMBER(AY23)=TRUE,IF(_xlfn.RANK.EQ(AY23,$AY$2:$AY$111)&lt;='Tournament Setup'!$C$34,_xlfn.RANK.EQ(AY23,$AY$2:$AY$111),""),"")</f>
        <v/>
      </c>
      <c r="BA23" s="31" t="str">
        <f>IF(AND($F23='Tournament Setup'!$A$34,SUM($Q23,$U23)=0,$E23="F",$AX23&gt;'Tournament Setup'!$B$34),$I23,"")</f>
        <v/>
      </c>
      <c r="BB23" s="12" t="str">
        <f>IF(ISNUMBER(BA23)=TRUE,IF(_xlfn.RANK.EQ(BA23,$BA$2:$BA$111)&lt;='Tournament Setup'!$D$34,_xlfn.RANK.EQ(BA23,$BA$2:$BA$111),""),"")</f>
        <v/>
      </c>
      <c r="BC23" s="30" t="str">
        <f>IF(AND($G23='Tournament Setup'!$A$52,$J23&lt;&gt;0),$J23,"")</f>
        <v/>
      </c>
      <c r="BD23" s="47" t="str">
        <f>IF(ISNUMBER(BC23),IF(COUNTIFS(BD$1:BD22,_xlfn.RANK.EQ(BC23,BC$2:BC$111,0))&gt;0,_xlfn.MAXIFS(BD$1:BD22,BC$1:BC22,BC23)+1,_xlfn.RANK.EQ(BC23,BC$2:BC$111,0)),"")</f>
        <v/>
      </c>
      <c r="BE23" s="1" t="str">
        <f>IF(ISNUMBER(BC23)=TRUE,IF(_xlfn.RANK.EQ(BC23,$BC$2:$BC$111)&lt;='Tournament Setup'!$B$49,_xlfn.RANK.EQ(BC23,$BC$2:$BC$111),""),"")</f>
        <v/>
      </c>
      <c r="BF23" s="30" t="str">
        <f>IF(AND($F23='Tournament Setup'!$A$35,SUM($Q23,$S23,$U23)=0),$I23,"")</f>
        <v/>
      </c>
      <c r="BG23" s="47" t="str">
        <f>IF(ISNUMBER(BF23),IF(COUNTIFS(BG$1:BG22,_xlfn.RANK.EQ(BF23,BF$2:BF$111,0))&gt;0,_xlfn.MAXIFS(BG$1:BG22,BF$1:BF22,BF23)+1,_xlfn.RANK.EQ(BF23,BF$2:BF$111,0)),"")</f>
        <v/>
      </c>
      <c r="BH23" s="1" t="str">
        <f>IF(ISNUMBER(BF23)=TRUE,IF(_xlfn.RANK.EQ(BF23,$BF$2:$BF$111)&lt;='Tournament Setup'!$B$35,_xlfn.RANK.EQ(BF23,$BF$2:$BF$111),""),"")</f>
        <v/>
      </c>
      <c r="BI23" s="31" t="str">
        <f>IF(AND($F23='Tournament Setup'!$A$35,SUM($Q23,$S23)=0,$E23="M",$BH23&gt;'Tournament Setup'!$B$35),$I23,"")</f>
        <v/>
      </c>
      <c r="BJ23" s="1" t="str">
        <f>IF(ISNUMBER(BI23)=TRUE,IF(_xlfn.RANK.EQ(BI23,$BI$2:$BI$111)&lt;='Tournament Setup'!$C$35,_xlfn.RANK.EQ(BI23,$BI$2:$BI$111),""),"")</f>
        <v/>
      </c>
      <c r="BK23" s="31" t="str">
        <f>IF(AND($F23='Tournament Setup'!$A$35,SUM($Q23,$U23)=0,$E23="F",$BH23&gt;'Tournament Setup'!$B$35),$I23,"")</f>
        <v/>
      </c>
      <c r="BL23" s="12" t="str">
        <f>IF(ISNUMBER(BK23)=TRUE,IF(_xlfn.RANK.EQ(BK23,$BK$2:$BK$111)&lt;='Tournament Setup'!$D$35,_xlfn.RANK.EQ(BK23,$BK$2:$BK$111),""),"")</f>
        <v/>
      </c>
      <c r="BM23" s="30" t="str">
        <f>IF(AND($G23='Tournament Setup'!$A$54,$J23&lt;&gt;0),$J23,"")</f>
        <v/>
      </c>
      <c r="BN23" s="47" t="str">
        <f>IF(ISNUMBER(BM23),IF(COUNTIFS(BN$1:BN22,_xlfn.RANK.EQ(BM23,BM$2:BM$111,0))&gt;0,_xlfn.MAXIFS(BN$1:BN22,BM$1:BM22,BM23)+1,_xlfn.RANK.EQ(BM23,BM$2:BM$111,0)),"")</f>
        <v/>
      </c>
      <c r="BO23" s="1" t="str">
        <f>IF(ISNUMBER(BM23)=TRUE,IF(_xlfn.RANK.EQ(BM23,$BM$2:$BM$111)&lt;='Tournament Setup'!$B$49,_xlfn.RANK.EQ(BM23,$BM$2:$BM$111),""),"")</f>
        <v/>
      </c>
      <c r="BP23" s="30" t="str">
        <f>IF(AND($F23='Tournament Setup'!$A$36,SUM($Q23,$S23,$U23)=0),$I23,"")</f>
        <v/>
      </c>
      <c r="BQ23" s="47" t="str">
        <f>IF(ISNUMBER(BP23),IF(COUNTIFS(BQ$1:BQ22,_xlfn.RANK.EQ(BP23,BP$2:BP$111,0))&gt;0,_xlfn.MAXIFS(BQ$1:BQ22,BP$1:BP22,BP23)+1,_xlfn.RANK.EQ(BP23,BP$2:BP$111,0)),"")</f>
        <v/>
      </c>
      <c r="BR23" s="1" t="str">
        <f>IF(ISNUMBER(BP23)=TRUE,IF(_xlfn.RANK.EQ(BP23,$BP$2:$BP$111)&lt;='Tournament Setup'!$B$36,_xlfn.RANK.EQ(BP23,$BP$2:$BP$111),""),"")</f>
        <v/>
      </c>
      <c r="BS23" s="31" t="str">
        <f>IF(AND($F23='Tournament Setup'!$A$36,SUM($Q23,$S23)=0,$E23="M",$BR23&gt;'Tournament Setup'!$B$36),$I23,"")</f>
        <v/>
      </c>
      <c r="BT23" s="1" t="str">
        <f>IF(ISNUMBER(BS23)=TRUE,IF(_xlfn.RANK.EQ(BS23,$BS$2:$BS$111)&lt;='Tournament Setup'!$C$36,_xlfn.RANK.EQ(BS23,$BS$2:$BS$111),""),"")</f>
        <v/>
      </c>
      <c r="BU23" s="31" t="str">
        <f>IF(AND($F23='Tournament Setup'!$A$36,SUM($Q23,$U23)=0,$E23="F",$BR23&gt;'Tournament Setup'!$B$36),$I23,"")</f>
        <v/>
      </c>
      <c r="BV23" s="12" t="str">
        <f>IF(ISNUMBER(BU23)=TRUE,IF(_xlfn.RANK.EQ(BU23,$BU$2:$BU$111)&lt;='Tournament Setup'!$D$36,_xlfn.RANK.EQ(BU23,$BU$2:$BU$111),""),"")</f>
        <v/>
      </c>
      <c r="BW23" s="30" t="str">
        <f>IF($H23='Tournament Setup'!$A$41,$I23,"")</f>
        <v/>
      </c>
      <c r="BX23" s="47" t="str">
        <f>IF(ISNUMBER(BW23),IF(COUNTIFS(BX$1:BX22,_xlfn.RANK.EQ(BW23,BW$2:BW$111,0))&gt;0,_xlfn.MAXIFS(BX$1:BX22,BW$1:BW22,BW23)+1,_xlfn.RANK.EQ(BW23,BW$2:BW$111,0)),"")</f>
        <v/>
      </c>
      <c r="BY23" s="1" t="str">
        <f>IF(ISNUMBER(BW23)=TRUE,IF(_xlfn.RANK.EQ(BW23,$BW$2:$BW$111)&lt;='Tournament Setup'!$B$41,_xlfn.RANK.EQ(BW23,$BW$2:$BW$111),""),"")</f>
        <v/>
      </c>
      <c r="BZ23" s="31" t="str">
        <f>IF(AND($H23='Tournament Setup'!$A$41,$E23="M",$BY23&gt;'Tournament Setup'!$B$41),$I23,"")</f>
        <v/>
      </c>
      <c r="CA23" s="1" t="str">
        <f>IF(ISNUMBER(BZ23)=TRUE,IF(_xlfn.RANK.EQ(BZ23,$BZ$2:$BZ$111)&lt;='Tournament Setup'!$C$41,_xlfn.RANK.EQ(BZ23,$BZ$2:$BZ$111),""),"")</f>
        <v/>
      </c>
      <c r="CB23" s="31" t="str">
        <f>IF(AND($H23='Tournament Setup'!$A$41,$E23="F",$BY23&gt;'Tournament Setup'!$B$41),$I23,"")</f>
        <v/>
      </c>
      <c r="CC23" s="12" t="str">
        <f>IF(ISNUMBER(CB23)=TRUE,IF(_xlfn.RANK.EQ(CB23,$CB$2:$CB$111)&lt;='Tournament Setup'!$D$41,_xlfn.RANK.EQ(CB23,$CB$2:$CB$111),""),"")</f>
        <v/>
      </c>
      <c r="CD23" s="30" t="str">
        <f>IF($H23='Tournament Setup'!$A$42,$I23,"")</f>
        <v/>
      </c>
      <c r="CE23" s="47" t="str">
        <f>IF(ISNUMBER(CD23),IF(COUNTIFS(CE$1:CE22,_xlfn.RANK.EQ(CD23,CD$2:CD$111,0))&gt;0,_xlfn.MAXIFS(CE$1:CE22,CD$1:CD22,CD23)+1,_xlfn.RANK.EQ(CD23,CD$2:CD$111,0)),"")</f>
        <v/>
      </c>
      <c r="CF23" s="1" t="str">
        <f>IF(ISNUMBER(CD23)=TRUE,IF(_xlfn.RANK.EQ(CD23,$CD$2:$CD$111)&lt;='Tournament Setup'!$B$42,_xlfn.RANK.EQ(CD23,$CD$2:$CD$111),""),"")</f>
        <v/>
      </c>
      <c r="CG23" s="31" t="str">
        <f>IF(AND($H23='Tournament Setup'!$A$42,$E23="M",$CF23&gt;'Tournament Setup'!$B$42),$I23,"")</f>
        <v/>
      </c>
      <c r="CH23" s="1" t="str">
        <f>IF(ISNUMBER(CG23)=TRUE,IF(_xlfn.RANK.EQ(CG23,$CG$2:$CG$111)&lt;='Tournament Setup'!$C$42,_xlfn.RANK.EQ(CG23,$CG$2:$CG$111),""),"")</f>
        <v/>
      </c>
      <c r="CI23" s="31" t="str">
        <f>IF(AND($H23='Tournament Setup'!$A$42,$E23="F",$CF23&gt;'Tournament Setup'!$B$42),$I23,"")</f>
        <v/>
      </c>
      <c r="CJ23" s="12" t="str">
        <f>IF(ISNUMBER(CI23)=TRUE,IF(_xlfn.RANK.EQ(CI23,$CI$2:$CI$111)&lt;='Tournament Setup'!$D$42,_xlfn.RANK.EQ(CI23,$CI$2:$CI$111),""),"")</f>
        <v/>
      </c>
      <c r="CK23" s="30">
        <f>IF($H23='Tournament Setup'!$A$43,$I23,"")</f>
        <v>70</v>
      </c>
      <c r="CL23" s="47">
        <f>IF(ISNUMBER(CK23),IF(COUNTIFS(CL$1:CL22,_xlfn.RANK.EQ(CK23,CK$2:CK$111,0))&gt;0,_xlfn.MAXIFS(CL$1:CL22,CK$1:CK22,CK23)+1,_xlfn.RANK.EQ(CK23,CK$2:CK$111,0)),"")</f>
        <v>7</v>
      </c>
      <c r="CM23" s="1" t="str">
        <f>IF(ISNUMBER(CK23)=TRUE,IF(_xlfn.RANK.EQ(CK23,$CK$2:$CK$111)&lt;='Tournament Setup'!$B$43,_xlfn.RANK.EQ(CK23,$CK$2:$CK$111),""),"")</f>
        <v/>
      </c>
      <c r="CN23" s="31">
        <f>IF(AND($H23='Tournament Setup'!$A$43,$E23="M",$CM23&gt;'Tournament Setup'!$B$43),$I23,"")</f>
        <v>70</v>
      </c>
      <c r="CO23" s="1" t="str">
        <f>IF(ISNUMBER(CN23)=TRUE,IF(_xlfn.RANK.EQ(CN23,$CN$2:$CN$111)&lt;='Tournament Setup'!$C$43,_xlfn.RANK.EQ(CN23,$CN$2:$CN$111),""),"")</f>
        <v/>
      </c>
      <c r="CP23" s="31" t="str">
        <f>IF(AND($H23='Tournament Setup'!$A$43,$E23="F",$CM23&gt;'Tournament Setup'!$B$43),$I23,"")</f>
        <v/>
      </c>
      <c r="CQ23" s="12" t="str">
        <f>IF(ISNUMBER(CP23)=TRUE,IF(_xlfn.RANK.EQ(CP23,$CP$2:$CP$111)&lt;='Tournament Setup'!$D$43,_xlfn.RANK.EQ(CP23,$CP$2:$CP$111),""),"")</f>
        <v/>
      </c>
      <c r="CR23" s="30" t="str">
        <f>IF($H23='Tournament Setup'!$A$44,$I23,"")</f>
        <v/>
      </c>
      <c r="CS23" s="47" t="str">
        <f>IF(ISNUMBER(CR23),IF(COUNTIFS(CS$1:CS22,_xlfn.RANK.EQ(CR23,CR$2:CR$111,0))&gt;0,_xlfn.MAXIFS(CS$1:CS22,CR$1:CR22,CR23)+1,_xlfn.RANK.EQ(CR23,CR$2:CR$111,0)),"")</f>
        <v/>
      </c>
      <c r="CT23" s="1" t="str">
        <f>IF(ISNUMBER(CR23)=TRUE,IF(_xlfn.RANK.EQ(CR23,$CR$2:$CR$111)&lt;='Tournament Setup'!$B$44,_xlfn.RANK.EQ(CR23,$CR$2:$CR$111),""),"")</f>
        <v/>
      </c>
      <c r="CU23" s="31" t="str">
        <f>IF(AND($H23='Tournament Setup'!$A$44,$E23="M",$CT23&gt;'Tournament Setup'!$B$44),$I23,"")</f>
        <v/>
      </c>
      <c r="CV23" s="1" t="str">
        <f>IF(ISNUMBER(CU23)=TRUE,IF(_xlfn.RANK.EQ(CU23,$CU$2:$CU$111)&lt;='Tournament Setup'!$C$44,_xlfn.RANK.EQ(CU23,$CU$2:$CU$111),""),"")</f>
        <v/>
      </c>
      <c r="CW23" s="31" t="str">
        <f>IF(AND($H23='Tournament Setup'!$A$44,$E23="F",$CT23&gt;'Tournament Setup'!$B$44),$I23,"")</f>
        <v/>
      </c>
      <c r="CX23" s="12" t="str">
        <f>IF(ISNUMBER(CW23)=TRUE,IF(_xlfn.RANK.EQ(CW23,$CW$2:$CW$111)&lt;='Tournament Setup'!$D$44,_xlfn.RANK.EQ(CW23,$CW$2:$CW$111),""),"")</f>
        <v/>
      </c>
    </row>
    <row r="24" spans="1:102" x14ac:dyDescent="0.3">
      <c r="A24" t="s">
        <v>59</v>
      </c>
      <c r="B24" t="str">
        <f>IFERROR(INDEX('Tournament List'!$B:$B,MATCH($A24,'Tournament List'!$A:$A,0)),"")</f>
        <v>Tom</v>
      </c>
      <c r="C24" t="str">
        <f>IFERROR(INDEX('Tournament List'!$C:$C,MATCH($A24,'Tournament List'!$A:$A,0)),"")</f>
        <v>Last Name23</v>
      </c>
      <c r="D24" t="str">
        <f t="shared" si="0"/>
        <v>Tom Last Name23</v>
      </c>
      <c r="E24" s="1" t="str">
        <f>IFERROR(INDEX('Tournament List'!F:F,MATCH($A24,'Tournament List'!$A:$A,0)),"")</f>
        <v>M</v>
      </c>
      <c r="F24" t="str">
        <f>IFERROR(INDEX('Tournament List'!M:M,MATCH($A24,'Tournament List'!$A:$A,0)),"")</f>
        <v>Junior Varsity</v>
      </c>
      <c r="G24" t="str">
        <f>IFERROR(INDEX('Shooter-Squad Assignment'!L:L,MATCH(A24,'Shooter-Squad Assignment'!A:A,0)),"")</f>
        <v>Junior Varsity</v>
      </c>
      <c r="H24" s="1" t="str">
        <f>IFERROR(INDEX('Tournament List'!AD:AD,MATCH($A24,'Tournament List'!$A:$A,0)),"")</f>
        <v>C</v>
      </c>
      <c r="I24" s="123">
        <f>IFERROR(INDEX('Tournament List'!AG:AG,MATCH($A24,'Tournament List'!$A:$A,0)),"")</f>
        <v>61</v>
      </c>
      <c r="J24" s="145">
        <f>IFERROR(INDEX('Tournament List'!Y:Y,MATCH($A24,'Tournament List'!$A:$A,0)),"")</f>
        <v>239.2</v>
      </c>
      <c r="K24" s="47">
        <f>IFERROR(INDEX('Tournament List'!S:S,MATCH(A24,'Tournament List'!A:A,0)),"")</f>
        <v>7</v>
      </c>
      <c r="L24" s="47">
        <f>IF(ISNUMBER(J24),IF(COUNTIFS(L$1:L23,_xlfn.RANK.EQ(J24,J$2:J$111,0))&gt;0,_xlfn.MAXIFS(L$1:L23,J$1:J23,J24)+1,_xlfn.RANK.EQ(J24,J$2:J$111,0)),"")</f>
        <v>2</v>
      </c>
      <c r="M24" s="11">
        <f>IF(ISNUMBER(I24)=TRUE,IF(I24&gt;0,_xlfn.RANK.EQ(I24,$I$2:$I$111,0),""),"")</f>
        <v>34</v>
      </c>
      <c r="N24" s="56">
        <f>IF(ISNUMBER(I24),IF(COUNTIFS(N$1:N23,_xlfn.RANK.EQ(I24,I$2:I$111,0))&gt;0,_xlfn.MAXIFS(N$1:N23,I$1:I23,I24)+1,_xlfn.RANK.EQ(I24,I$2:I$111,0)),"")</f>
        <v>34</v>
      </c>
      <c r="O24" s="144">
        <f>IF(F24&lt;&gt;"Collegiate"=TRUE,$I24,"")</f>
        <v>61</v>
      </c>
      <c r="P24" s="47">
        <f>IF(ISNUMBER(O24),IF(COUNTIFS(P$1:P23,_xlfn.RANK.EQ(O24,O$2:O$111,0))&gt;0,_xlfn.MAXIFS(P$1:P23,O$1:O23,O24)+1,_xlfn.RANK.EQ(O24,O$2:O$111,0)),"")</f>
        <v>32</v>
      </c>
      <c r="Q24" s="1" t="str">
        <f>IF(ISNUMBER(O24)=TRUE,IF(_xlfn.RANK.EQ(O24,$O$2:$O$111)&lt;='Tournament Setup'!$B$26,_xlfn.RANK.EQ(O24,$O$2:$O$111),""),"")</f>
        <v/>
      </c>
      <c r="R24" s="143">
        <f>IF(AND($E24="M",SUM($Q24)=0,F24&lt;&gt;"Collegiate")=TRUE,$I24,"")</f>
        <v>61</v>
      </c>
      <c r="S24" s="1" t="str">
        <f>IF(ISNUMBER(R24)=TRUE,IF(_xlfn.RANK.EQ(R24,$R$2:$R$111)&lt;='Tournament Setup'!$B$27,_xlfn.RANK.EQ(R24,$R$2:$R$111),""),"")</f>
        <v/>
      </c>
      <c r="T24" s="143" t="str">
        <f>IF(AND($E24="F",SUM($Q24)=0,F24&lt;&gt;"Collegiate")=TRUE,$I24,"")</f>
        <v/>
      </c>
      <c r="U24" s="12" t="str">
        <f>IF(ISNUMBER(T24)=TRUE,IF(_xlfn.RANK.EQ(T24,$T$2:$T$111)&lt;='Tournament Setup'!$B$28,_xlfn.RANK.EQ(T24,$T$2:$T$111),""),"")</f>
        <v/>
      </c>
      <c r="V24" s="145" t="str">
        <f>IF(AND($G24='Tournament Setup'!$A$53,$J24&lt;&gt;0),$J24,"")</f>
        <v/>
      </c>
      <c r="W24" s="47" t="str">
        <f>IF(ISNUMBER(V24),IF(COUNTIFS(W$1:W23,_xlfn.RANK.EQ(V24,V$2:V$111,0))&gt;0,_xlfn.MAXIFS(W$1:W23,V$1:V23,V24)+1,_xlfn.RANK.EQ(V24,V$2:V$111,0)),"")</f>
        <v/>
      </c>
      <c r="X24" s="1" t="str">
        <f>IF(ISNUMBER(V24)=TRUE,IF(_xlfn.RANK.EQ(V24,$V$2:$V$111)&lt;='Tournament Setup'!$B$53,_xlfn.RANK.EQ(V24,$V$2:$V$111),""),"")</f>
        <v/>
      </c>
      <c r="Y24" s="145" t="str">
        <f>IF(AND($G24='Tournament Setup'!$A$49,$J24&lt;&gt;0),$J24,"")</f>
        <v/>
      </c>
      <c r="Z24" s="47" t="str">
        <f>IF(ISNUMBER(Y24),IF(COUNTIFS(Z$1:Z23,_xlfn.RANK.EQ(Y24,Y$2:Y$111,0))&gt;0,_xlfn.MAXIFS(Z$1:Z23,Y$1:Y23,Y24)+1,_xlfn.RANK.EQ(Y24,Y$2:Y$111,0)),"")</f>
        <v/>
      </c>
      <c r="AA24" s="1" t="str">
        <f>IF(ISNUMBER(Y24)=TRUE,IF(_xlfn.RANK.EQ(Y24,$Y$2:$Y$111)&lt;='Tournament Setup'!$B$49,_xlfn.RANK.EQ(Y24,$Y$2:$Y$111),""),"")</f>
        <v/>
      </c>
      <c r="AB24" s="30" t="str">
        <f>IF(AND($F24='Tournament Setup'!$A$32,SUM($Q24,$S24,$U24)=0),$I24,"")</f>
        <v/>
      </c>
      <c r="AC24" s="47" t="str">
        <f>IF(ISNUMBER(AB24),IF(COUNTIFS(AC$1:AC23,_xlfn.RANK.EQ(AB24,AB$2:AB$111,0))&gt;0,_xlfn.MAXIFS(AC$1:AC23,AB$1:AB23,AB24)+1,_xlfn.RANK.EQ(AB24,AB$2:AB$111,0)),"")</f>
        <v/>
      </c>
      <c r="AD24" s="1" t="str">
        <f>IF(ISNUMBER(AB24)=TRUE,IF(_xlfn.RANK.EQ(AB24,$AB$2:$AB$111)&lt;='Tournament Setup'!$B$32,_xlfn.RANK.EQ(AB24,$AB$2:$AB$111),""),"")</f>
        <v/>
      </c>
      <c r="AE24" s="31" t="str">
        <f>IF(AND($F24='Tournament Setup'!$A$32,SUM($Q24,$S24)=0,$E24="M",$AD24&gt;'Tournament Setup'!$B$32),$I24,"")</f>
        <v/>
      </c>
      <c r="AF24" s="1" t="str">
        <f>IF(ISNUMBER(AE24)=TRUE,IF(_xlfn.RANK.EQ(AE24,$AE$2:$AE$111)&lt;='Tournament Setup'!$C$32,_xlfn.RANK.EQ(AE24,$AE$2:$AE$111),""),"")</f>
        <v/>
      </c>
      <c r="AG24" s="31" t="str">
        <f>IF(AND($F24='Tournament Setup'!$A$32,SUM($Q24,$U24)=0,$E24="F",$AD24&gt;'Tournament Setup'!$B$32),$I24,"")</f>
        <v/>
      </c>
      <c r="AH24" s="12" t="str">
        <f>IF(ISNUMBER(AG24)=TRUE,IF(_xlfn.RANK.EQ(AG24,$AG$2:$AG$111)&lt;='Tournament Setup'!$D$32,_xlfn.RANK.EQ(AG24,$AG$2:$AG$111),""),"")</f>
        <v/>
      </c>
      <c r="AI24" s="30" t="str">
        <f>IF(AND($G24='Tournament Setup'!$A$50,$J24&lt;&gt;0),$J24,"")</f>
        <v/>
      </c>
      <c r="AJ24" s="47" t="str">
        <f>IF(ISNUMBER(AI24),IF(COUNTIFS(AJ$1:AJ23,_xlfn.RANK.EQ(AI24,AI$2:AI$111,0))&gt;0,_xlfn.MAXIFS(AJ$1:AJ23,AI$1:AI23,AI24)+1,_xlfn.RANK.EQ(AI24,AI$2:AI$111,0)),"")</f>
        <v/>
      </c>
      <c r="AK24" s="1" t="str">
        <f>IF(ISNUMBER(AI24)=TRUE,IF(_xlfn.RANK.EQ(AI24,$AI$2:$AI$111)&lt;='Tournament Setup'!$B$49,_xlfn.RANK.EQ(AI24,$AI$2:$AI$111),""),"")</f>
        <v/>
      </c>
      <c r="AL24" s="30" t="str">
        <f>IF(AND($F24='Tournament Setup'!$A$33,SUM($Q24,$S24,$U24)=0),$I24,"")</f>
        <v/>
      </c>
      <c r="AM24" s="47" t="str">
        <f>IF(ISNUMBER(AL24),IF(COUNTIFS(AM$1:AM23,_xlfn.RANK.EQ(AL24,AL$2:AL$111,0))&gt;0,_xlfn.MAXIFS(AM$1:AM23,AL$1:AL23,AL24)+1,_xlfn.RANK.EQ(AL24,AL$2:AL$111,0)),"")</f>
        <v/>
      </c>
      <c r="AN24" s="1" t="str">
        <f>IF(ISNUMBER(AL24)=TRUE,IF(_xlfn.RANK.EQ(AL24,$AL$2:$AL$111)&lt;='Tournament Setup'!$B$33,_xlfn.RANK.EQ(AL24,$AL$2:$AL$111),""),"")</f>
        <v/>
      </c>
      <c r="AO24" s="31" t="str">
        <f>IF(AND($F24='Tournament Setup'!$A$33,SUM($Q24,$S24)=0,$E24="M",$AN24&gt;'Tournament Setup'!$B$33),$I24,"")</f>
        <v/>
      </c>
      <c r="AP24" s="1" t="str">
        <f>IF(ISNUMBER(AO24)=TRUE,IF(_xlfn.RANK.EQ(AO24,$AO$2:$AO$111)&lt;='Tournament Setup'!$C$33,_xlfn.RANK.EQ(AO24,$AO$2:$AO$111),""),"")</f>
        <v/>
      </c>
      <c r="AQ24" s="31" t="str">
        <f>IF(AND($F24='Tournament Setup'!$A$33,SUM($Q24,$U24)=0,$E24="F",$AN24&gt;'Tournament Setup'!$B$33),$I24,"")</f>
        <v/>
      </c>
      <c r="AR24" s="12" t="str">
        <f>IF(ISNUMBER(AQ24)=TRUE,IF(_xlfn.RANK.EQ(AQ24,$AQ$2:$AQ$111)&lt;='Tournament Setup'!$D$33,_xlfn.RANK.EQ(AQ24,$AQ$2:$AQ$111),""),"")</f>
        <v/>
      </c>
      <c r="AS24" s="30">
        <f>IF(AND($G24='Tournament Setup'!$A$51,$J24&lt;&gt;0),$J24,"")</f>
        <v>239.2</v>
      </c>
      <c r="AT24" s="47">
        <f>IF(ISNUMBER(AS24),IF(COUNTIFS(AT$1:AT23,_xlfn.RANK.EQ(AS24,AS$2:AS$111,0))&gt;0,_xlfn.MAXIFS(AT$1:AT23,AS$1:AS23,AS24)+1,_xlfn.RANK.EQ(AS24,AS$2:AS$111,0)),"")</f>
        <v>1</v>
      </c>
      <c r="AU24" s="1">
        <f>IF(ISNUMBER(AS24)=TRUE,IF(_xlfn.RANK.EQ(AS24,$AS$2:$AS$111)&lt;='Tournament Setup'!$B$49,_xlfn.RANK.EQ(AS24,$AS$2:$AS$111),""),"")</f>
        <v>1</v>
      </c>
      <c r="AV24" s="30">
        <f>IF(AND($F24='Tournament Setup'!$A$34,SUM($Q24,$S24,$U24)=0),$I24,"")</f>
        <v>61</v>
      </c>
      <c r="AW24" s="47">
        <f>IF(ISNUMBER(AV24),IF(COUNTIFS(AW$1:AW23,_xlfn.RANK.EQ(AV24,AV$2:AV$111,0))&gt;0,_xlfn.MAXIFS(AW$1:AW23,AV$1:AV23,AV24)+1,_xlfn.RANK.EQ(AV24,AV$2:AV$111,0)),"")</f>
        <v>5</v>
      </c>
      <c r="AX24" s="1" t="str">
        <f>IF(ISNUMBER(AV24)=TRUE,IF(_xlfn.RANK.EQ(AV24,$AV$2:$AV$111)&lt;='Tournament Setup'!$B$34,_xlfn.RANK.EQ(AV24,$AV$2:$AV$111),""),"")</f>
        <v/>
      </c>
      <c r="AY24" s="31">
        <f>IF(AND($F24='Tournament Setup'!$A$34,SUM($Q24,$S24)=0,$E24="M",$AX24&gt;'Tournament Setup'!$B$34),$I24,"")</f>
        <v>61</v>
      </c>
      <c r="AZ24" s="1">
        <f>IF(ISNUMBER(AY24)=TRUE,IF(_xlfn.RANK.EQ(AY24,$AY$2:$AY$111)&lt;='Tournament Setup'!$C$34,_xlfn.RANK.EQ(AY24,$AY$2:$AY$111),""),"")</f>
        <v>2</v>
      </c>
      <c r="BA24" s="31" t="str">
        <f>IF(AND($F24='Tournament Setup'!$A$34,SUM($Q24,$U24)=0,$E24="F",$AX24&gt;'Tournament Setup'!$B$34),$I24,"")</f>
        <v/>
      </c>
      <c r="BB24" s="12" t="str">
        <f>IF(ISNUMBER(BA24)=TRUE,IF(_xlfn.RANK.EQ(BA24,$BA$2:$BA$111)&lt;='Tournament Setup'!$D$34,_xlfn.RANK.EQ(BA24,$BA$2:$BA$111),""),"")</f>
        <v/>
      </c>
      <c r="BC24" s="30" t="str">
        <f>IF(AND($G24='Tournament Setup'!$A$52,$J24&lt;&gt;0),$J24,"")</f>
        <v/>
      </c>
      <c r="BD24" s="47" t="str">
        <f>IF(ISNUMBER(BC24),IF(COUNTIFS(BD$1:BD23,_xlfn.RANK.EQ(BC24,BC$2:BC$111,0))&gt;0,_xlfn.MAXIFS(BD$1:BD23,BC$1:BC23,BC24)+1,_xlfn.RANK.EQ(BC24,BC$2:BC$111,0)),"")</f>
        <v/>
      </c>
      <c r="BE24" s="1" t="str">
        <f>IF(ISNUMBER(BC24)=TRUE,IF(_xlfn.RANK.EQ(BC24,$BC$2:$BC$111)&lt;='Tournament Setup'!$B$49,_xlfn.RANK.EQ(BC24,$BC$2:$BC$111),""),"")</f>
        <v/>
      </c>
      <c r="BF24" s="30" t="str">
        <f>IF(AND($F24='Tournament Setup'!$A$35,SUM($Q24,$S24,$U24)=0),$I24,"")</f>
        <v/>
      </c>
      <c r="BG24" s="47" t="str">
        <f>IF(ISNUMBER(BF24),IF(COUNTIFS(BG$1:BG23,_xlfn.RANK.EQ(BF24,BF$2:BF$111,0))&gt;0,_xlfn.MAXIFS(BG$1:BG23,BF$1:BF23,BF24)+1,_xlfn.RANK.EQ(BF24,BF$2:BF$111,0)),"")</f>
        <v/>
      </c>
      <c r="BH24" s="1" t="str">
        <f>IF(ISNUMBER(BF24)=TRUE,IF(_xlfn.RANK.EQ(BF24,$BF$2:$BF$111)&lt;='Tournament Setup'!$B$35,_xlfn.RANK.EQ(BF24,$BF$2:$BF$111),""),"")</f>
        <v/>
      </c>
      <c r="BI24" s="31" t="str">
        <f>IF(AND($F24='Tournament Setup'!$A$35,SUM($Q24,$S24)=0,$E24="M",$BH24&gt;'Tournament Setup'!$B$35),$I24,"")</f>
        <v/>
      </c>
      <c r="BJ24" s="1" t="str">
        <f>IF(ISNUMBER(BI24)=TRUE,IF(_xlfn.RANK.EQ(BI24,$BI$2:$BI$111)&lt;='Tournament Setup'!$C$35,_xlfn.RANK.EQ(BI24,$BI$2:$BI$111),""),"")</f>
        <v/>
      </c>
      <c r="BK24" s="31" t="str">
        <f>IF(AND($F24='Tournament Setup'!$A$35,SUM($Q24,$U24)=0,$E24="F",$BH24&gt;'Tournament Setup'!$B$35),$I24,"")</f>
        <v/>
      </c>
      <c r="BL24" s="12" t="str">
        <f>IF(ISNUMBER(BK24)=TRUE,IF(_xlfn.RANK.EQ(BK24,$BK$2:$BK$111)&lt;='Tournament Setup'!$D$35,_xlfn.RANK.EQ(BK24,$BK$2:$BK$111),""),"")</f>
        <v/>
      </c>
      <c r="BM24" s="30" t="str">
        <f>IF(AND($G24='Tournament Setup'!$A$54,$J24&lt;&gt;0),$J24,"")</f>
        <v/>
      </c>
      <c r="BN24" s="47" t="str">
        <f>IF(ISNUMBER(BM24),IF(COUNTIFS(BN$1:BN23,_xlfn.RANK.EQ(BM24,BM$2:BM$111,0))&gt;0,_xlfn.MAXIFS(BN$1:BN23,BM$1:BM23,BM24)+1,_xlfn.RANK.EQ(BM24,BM$2:BM$111,0)),"")</f>
        <v/>
      </c>
      <c r="BO24" s="1" t="str">
        <f>IF(ISNUMBER(BM24)=TRUE,IF(_xlfn.RANK.EQ(BM24,$BM$2:$BM$111)&lt;='Tournament Setup'!$B$49,_xlfn.RANK.EQ(BM24,$BM$2:$BM$111),""),"")</f>
        <v/>
      </c>
      <c r="BP24" s="30" t="str">
        <f>IF(AND($F24='Tournament Setup'!$A$36,SUM($Q24,$S24,$U24)=0),$I24,"")</f>
        <v/>
      </c>
      <c r="BQ24" s="47" t="str">
        <f>IF(ISNUMBER(BP24),IF(COUNTIFS(BQ$1:BQ23,_xlfn.RANK.EQ(BP24,BP$2:BP$111,0))&gt;0,_xlfn.MAXIFS(BQ$1:BQ23,BP$1:BP23,BP24)+1,_xlfn.RANK.EQ(BP24,BP$2:BP$111,0)),"")</f>
        <v/>
      </c>
      <c r="BR24" s="1" t="str">
        <f>IF(ISNUMBER(BP24)=TRUE,IF(_xlfn.RANK.EQ(BP24,$BP$2:$BP$111)&lt;='Tournament Setup'!$B$36,_xlfn.RANK.EQ(BP24,$BP$2:$BP$111),""),"")</f>
        <v/>
      </c>
      <c r="BS24" s="31" t="str">
        <f>IF(AND($F24='Tournament Setup'!$A$36,SUM($Q24,$S24)=0,$E24="M",$BR24&gt;'Tournament Setup'!$B$36),$I24,"")</f>
        <v/>
      </c>
      <c r="BT24" s="1" t="str">
        <f>IF(ISNUMBER(BS24)=TRUE,IF(_xlfn.RANK.EQ(BS24,$BS$2:$BS$111)&lt;='Tournament Setup'!$C$36,_xlfn.RANK.EQ(BS24,$BS$2:$BS$111),""),"")</f>
        <v/>
      </c>
      <c r="BU24" s="31" t="str">
        <f>IF(AND($F24='Tournament Setup'!$A$36,SUM($Q24,$U24)=0,$E24="F",$BR24&gt;'Tournament Setup'!$B$36),$I24,"")</f>
        <v/>
      </c>
      <c r="BV24" s="12" t="str">
        <f>IF(ISNUMBER(BU24)=TRUE,IF(_xlfn.RANK.EQ(BU24,$BU$2:$BU$111)&lt;='Tournament Setup'!$D$36,_xlfn.RANK.EQ(BU24,$BU$2:$BU$111),""),"")</f>
        <v/>
      </c>
      <c r="BW24" s="30" t="str">
        <f>IF($H24='Tournament Setup'!$A$41,$I24,"")</f>
        <v/>
      </c>
      <c r="BX24" s="47" t="str">
        <f>IF(ISNUMBER(BW24),IF(COUNTIFS(BX$1:BX23,_xlfn.RANK.EQ(BW24,BW$2:BW$111,0))&gt;0,_xlfn.MAXIFS(BX$1:BX23,BW$1:BW23,BW24)+1,_xlfn.RANK.EQ(BW24,BW$2:BW$111,0)),"")</f>
        <v/>
      </c>
      <c r="BY24" s="1" t="str">
        <f>IF(ISNUMBER(BW24)=TRUE,IF(_xlfn.RANK.EQ(BW24,$BW$2:$BW$111)&lt;='Tournament Setup'!$B$41,_xlfn.RANK.EQ(BW24,$BW$2:$BW$111),""),"")</f>
        <v/>
      </c>
      <c r="BZ24" s="31" t="str">
        <f>IF(AND($H24='Tournament Setup'!$A$41,$E24="M",$BY24&gt;'Tournament Setup'!$B$41),$I24,"")</f>
        <v/>
      </c>
      <c r="CA24" s="1" t="str">
        <f>IF(ISNUMBER(BZ24)=TRUE,IF(_xlfn.RANK.EQ(BZ24,$BZ$2:$BZ$111)&lt;='Tournament Setup'!$C$41,_xlfn.RANK.EQ(BZ24,$BZ$2:$BZ$111),""),"")</f>
        <v/>
      </c>
      <c r="CB24" s="31" t="str">
        <f>IF(AND($H24='Tournament Setup'!$A$41,$E24="F",$BY24&gt;'Tournament Setup'!$B$41),$I24,"")</f>
        <v/>
      </c>
      <c r="CC24" s="12" t="str">
        <f>IF(ISNUMBER(CB24)=TRUE,IF(_xlfn.RANK.EQ(CB24,$CB$2:$CB$111)&lt;='Tournament Setup'!$D$41,_xlfn.RANK.EQ(CB24,$CB$2:$CB$111),""),"")</f>
        <v/>
      </c>
      <c r="CD24" s="30" t="str">
        <f>IF($H24='Tournament Setup'!$A$42,$I24,"")</f>
        <v/>
      </c>
      <c r="CE24" s="47" t="str">
        <f>IF(ISNUMBER(CD24),IF(COUNTIFS(CE$1:CE23,_xlfn.RANK.EQ(CD24,CD$2:CD$111,0))&gt;0,_xlfn.MAXIFS(CE$1:CE23,CD$1:CD23,CD24)+1,_xlfn.RANK.EQ(CD24,CD$2:CD$111,0)),"")</f>
        <v/>
      </c>
      <c r="CF24" s="1" t="str">
        <f>IF(ISNUMBER(CD24)=TRUE,IF(_xlfn.RANK.EQ(CD24,$CD$2:$CD$111)&lt;='Tournament Setup'!$B$42,_xlfn.RANK.EQ(CD24,$CD$2:$CD$111),""),"")</f>
        <v/>
      </c>
      <c r="CG24" s="31" t="str">
        <f>IF(AND($H24='Tournament Setup'!$A$42,$E24="M",$CF24&gt;'Tournament Setup'!$B$42),$I24,"")</f>
        <v/>
      </c>
      <c r="CH24" s="1" t="str">
        <f>IF(ISNUMBER(CG24)=TRUE,IF(_xlfn.RANK.EQ(CG24,$CG$2:$CG$111)&lt;='Tournament Setup'!$C$42,_xlfn.RANK.EQ(CG24,$CG$2:$CG$111),""),"")</f>
        <v/>
      </c>
      <c r="CI24" s="31" t="str">
        <f>IF(AND($H24='Tournament Setup'!$A$42,$E24="F",$CF24&gt;'Tournament Setup'!$B$42),$I24,"")</f>
        <v/>
      </c>
      <c r="CJ24" s="12" t="str">
        <f>IF(ISNUMBER(CI24)=TRUE,IF(_xlfn.RANK.EQ(CI24,$CI$2:$CI$111)&lt;='Tournament Setup'!$D$42,_xlfn.RANK.EQ(CI24,$CI$2:$CI$111),""),"")</f>
        <v/>
      </c>
      <c r="CK24" s="30">
        <f>IF($H24='Tournament Setup'!$A$43,$I24,"")</f>
        <v>61</v>
      </c>
      <c r="CL24" s="47">
        <f>IF(ISNUMBER(CK24),IF(COUNTIFS(CL$1:CL23,_xlfn.RANK.EQ(CK24,CK$2:CK$111,0))&gt;0,_xlfn.MAXIFS(CL$1:CL23,CK$1:CK23,CK24)+1,_xlfn.RANK.EQ(CK24,CK$2:CK$111,0)),"")</f>
        <v>10</v>
      </c>
      <c r="CM24" s="1" t="str">
        <f>IF(ISNUMBER(CK24)=TRUE,IF(_xlfn.RANK.EQ(CK24,$CK$2:$CK$111)&lt;='Tournament Setup'!$B$43,_xlfn.RANK.EQ(CK24,$CK$2:$CK$111),""),"")</f>
        <v/>
      </c>
      <c r="CN24" s="31">
        <f>IF(AND($H24='Tournament Setup'!$A$43,$E24="M",$CM24&gt;'Tournament Setup'!$B$43),$I24,"")</f>
        <v>61</v>
      </c>
      <c r="CO24" s="1" t="str">
        <f>IF(ISNUMBER(CN24)=TRUE,IF(_xlfn.RANK.EQ(CN24,$CN$2:$CN$111)&lt;='Tournament Setup'!$C$43,_xlfn.RANK.EQ(CN24,$CN$2:$CN$111),""),"")</f>
        <v/>
      </c>
      <c r="CP24" s="31" t="str">
        <f>IF(AND($H24='Tournament Setup'!$A$43,$E24="F",$CM24&gt;'Tournament Setup'!$B$43),$I24,"")</f>
        <v/>
      </c>
      <c r="CQ24" s="12" t="str">
        <f>IF(ISNUMBER(CP24)=TRUE,IF(_xlfn.RANK.EQ(CP24,$CP$2:$CP$111)&lt;='Tournament Setup'!$D$43,_xlfn.RANK.EQ(CP24,$CP$2:$CP$111),""),"")</f>
        <v/>
      </c>
      <c r="CR24" s="30" t="str">
        <f>IF($H24='Tournament Setup'!$A$44,$I24,"")</f>
        <v/>
      </c>
      <c r="CS24" s="47" t="str">
        <f>IF(ISNUMBER(CR24),IF(COUNTIFS(CS$1:CS23,_xlfn.RANK.EQ(CR24,CR$2:CR$111,0))&gt;0,_xlfn.MAXIFS(CS$1:CS23,CR$1:CR23,CR24)+1,_xlfn.RANK.EQ(CR24,CR$2:CR$111,0)),"")</f>
        <v/>
      </c>
      <c r="CT24" s="1" t="str">
        <f>IF(ISNUMBER(CR24)=TRUE,IF(_xlfn.RANK.EQ(CR24,$CR$2:$CR$111)&lt;='Tournament Setup'!$B$44,_xlfn.RANK.EQ(CR24,$CR$2:$CR$111),""),"")</f>
        <v/>
      </c>
      <c r="CU24" s="31" t="str">
        <f>IF(AND($H24='Tournament Setup'!$A$44,$E24="M",$CT24&gt;'Tournament Setup'!$B$44),$I24,"")</f>
        <v/>
      </c>
      <c r="CV24" s="1" t="str">
        <f>IF(ISNUMBER(CU24)=TRUE,IF(_xlfn.RANK.EQ(CU24,$CU$2:$CU$111)&lt;='Tournament Setup'!$C$44,_xlfn.RANK.EQ(CU24,$CU$2:$CU$111),""),"")</f>
        <v/>
      </c>
      <c r="CW24" s="31" t="str">
        <f>IF(AND($H24='Tournament Setup'!$A$44,$E24="F",$CT24&gt;'Tournament Setup'!$B$44),$I24,"")</f>
        <v/>
      </c>
      <c r="CX24" s="12" t="str">
        <f>IF(ISNUMBER(CW24)=TRUE,IF(_xlfn.RANK.EQ(CW24,$CW$2:$CW$111)&lt;='Tournament Setup'!$D$44,_xlfn.RANK.EQ(CW24,$CW$2:$CW$111),""),"")</f>
        <v/>
      </c>
    </row>
    <row r="25" spans="1:102" x14ac:dyDescent="0.3">
      <c r="A25" t="s">
        <v>60</v>
      </c>
      <c r="B25" t="str">
        <f>IFERROR(INDEX('Tournament List'!$B:$B,MATCH($A25,'Tournament List'!$A:$A,0)),"")</f>
        <v>Tim</v>
      </c>
      <c r="C25" t="str">
        <f>IFERROR(INDEX('Tournament List'!$C:$C,MATCH($A25,'Tournament List'!$A:$A,0)),"")</f>
        <v>Last Name24</v>
      </c>
      <c r="D25" t="str">
        <f t="shared" si="0"/>
        <v>Tim Last Name24</v>
      </c>
      <c r="E25" s="1" t="str">
        <f>IFERROR(INDEX('Tournament List'!F:F,MATCH($A25,'Tournament List'!$A:$A,0)),"")</f>
        <v>M</v>
      </c>
      <c r="F25" t="str">
        <f>IFERROR(INDEX('Tournament List'!M:M,MATCH($A25,'Tournament List'!$A:$A,0)),"")</f>
        <v>Novice</v>
      </c>
      <c r="G25" t="str">
        <f>IFERROR(INDEX('Shooter-Squad Assignment'!L:L,MATCH(A25,'Shooter-Squad Assignment'!A:A,0)),"")</f>
        <v/>
      </c>
      <c r="H25" s="1" t="str">
        <f>IFERROR(INDEX('Tournament List'!AD:AD,MATCH($A25,'Tournament List'!$A:$A,0)),"")</f>
        <v>B</v>
      </c>
      <c r="I25" s="123">
        <f>IFERROR(INDEX('Tournament List'!AG:AG,MATCH($A25,'Tournament List'!$A:$A,0)),"")</f>
        <v>70</v>
      </c>
      <c r="J25" s="145" t="str">
        <f>IFERROR(INDEX('Tournament List'!Y:Y,MATCH($A25,'Tournament List'!$A:$A,0)),"")</f>
        <v/>
      </c>
      <c r="K25" s="47" t="str">
        <f>IFERROR(INDEX('Tournament List'!S:S,MATCH(A25,'Tournament List'!A:A,0)),"")</f>
        <v/>
      </c>
      <c r="L25" s="47" t="str">
        <f>IF(ISNUMBER(J25),IF(COUNTIFS(L$1:L24,_xlfn.RANK.EQ(J25,J$2:J$111,0))&gt;0,_xlfn.MAXIFS(L$1:L24,J$1:J24,J25)+1,_xlfn.RANK.EQ(J25,J$2:J$111,0)),"")</f>
        <v/>
      </c>
      <c r="M25" s="11">
        <f>IF(ISNUMBER(I25)=TRUE,IF(I25&gt;0,_xlfn.RANK.EQ(I25,$I$2:$I$111,0),""),"")</f>
        <v>26</v>
      </c>
      <c r="N25" s="56">
        <f>IF(ISNUMBER(I25),IF(COUNTIFS(N$1:N24,_xlfn.RANK.EQ(I25,I$2:I$111,0))&gt;0,_xlfn.MAXIFS(N$1:N24,I$1:I24,I25)+1,_xlfn.RANK.EQ(I25,I$2:I$111,0)),"")</f>
        <v>27</v>
      </c>
      <c r="O25" s="144">
        <f>IF(F25&lt;&gt;"Collegiate"=TRUE,$I25,"")</f>
        <v>70</v>
      </c>
      <c r="P25" s="47">
        <f>IF(ISNUMBER(O25),IF(COUNTIFS(P$1:P24,_xlfn.RANK.EQ(O25,O$2:O$111,0))&gt;0,_xlfn.MAXIFS(P$1:P24,O$1:O24,O25)+1,_xlfn.RANK.EQ(O25,O$2:O$111,0)),"")</f>
        <v>25</v>
      </c>
      <c r="Q25" s="1" t="str">
        <f>IF(ISNUMBER(O25)=TRUE,IF(_xlfn.RANK.EQ(O25,$O$2:$O$111)&lt;='Tournament Setup'!$B$26,_xlfn.RANK.EQ(O25,$O$2:$O$111),""),"")</f>
        <v/>
      </c>
      <c r="R25" s="143">
        <f>IF(AND($E25="M",SUM($Q25)=0,F25&lt;&gt;"Collegiate")=TRUE,$I25,"")</f>
        <v>70</v>
      </c>
      <c r="S25" s="1" t="str">
        <f>IF(ISNUMBER(R25)=TRUE,IF(_xlfn.RANK.EQ(R25,$R$2:$R$111)&lt;='Tournament Setup'!$B$27,_xlfn.RANK.EQ(R25,$R$2:$R$111),""),"")</f>
        <v/>
      </c>
      <c r="T25" s="143" t="str">
        <f>IF(AND($E25="F",SUM($Q25)=0,F25&lt;&gt;"Collegiate")=TRUE,$I25,"")</f>
        <v/>
      </c>
      <c r="U25" s="12" t="str">
        <f>IF(ISNUMBER(T25)=TRUE,IF(_xlfn.RANK.EQ(T25,$T$2:$T$111)&lt;='Tournament Setup'!$B$28,_xlfn.RANK.EQ(T25,$T$2:$T$111),""),"")</f>
        <v/>
      </c>
      <c r="V25" s="145" t="str">
        <f>IF(AND($G25='Tournament Setup'!$A$53,$J25&lt;&gt;0),$J25,"")</f>
        <v/>
      </c>
      <c r="W25" s="47" t="str">
        <f>IF(ISNUMBER(V25),IF(COUNTIFS(W$1:W24,_xlfn.RANK.EQ(V25,V$2:V$111,0))&gt;0,_xlfn.MAXIFS(W$1:W24,V$1:V24,V25)+1,_xlfn.RANK.EQ(V25,V$2:V$111,0)),"")</f>
        <v/>
      </c>
      <c r="X25" s="1" t="str">
        <f>IF(ISNUMBER(V25)=TRUE,IF(_xlfn.RANK.EQ(V25,$V$2:$V$111)&lt;='Tournament Setup'!$B$53,_xlfn.RANK.EQ(V25,$V$2:$V$111),""),"")</f>
        <v/>
      </c>
      <c r="Y25" s="145" t="str">
        <f>IF(AND($G25='Tournament Setup'!$A$49,$J25&lt;&gt;0),$J25,"")</f>
        <v/>
      </c>
      <c r="Z25" s="47" t="str">
        <f>IF(ISNUMBER(Y25),IF(COUNTIFS(Z$1:Z24,_xlfn.RANK.EQ(Y25,Y$2:Y$111,0))&gt;0,_xlfn.MAXIFS(Z$1:Z24,Y$1:Y24,Y25)+1,_xlfn.RANK.EQ(Y25,Y$2:Y$111,0)),"")</f>
        <v/>
      </c>
      <c r="AA25" s="1" t="str">
        <f>IF(ISNUMBER(Y25)=TRUE,IF(_xlfn.RANK.EQ(Y25,$Y$2:$Y$111)&lt;='Tournament Setup'!$B$49,_xlfn.RANK.EQ(Y25,$Y$2:$Y$111),""),"")</f>
        <v/>
      </c>
      <c r="AB25" s="30">
        <f>IF(AND($F25='Tournament Setup'!$A$32,SUM($Q25,$S25,$U25)=0),$I25,"")</f>
        <v>70</v>
      </c>
      <c r="AC25" s="47">
        <f>IF(ISNUMBER(AB25),IF(COUNTIFS(AC$1:AC24,_xlfn.RANK.EQ(AB25,AB$2:AB$111,0))&gt;0,_xlfn.MAXIFS(AC$1:AC24,AB$1:AB24,AB25)+1,_xlfn.RANK.EQ(AB25,AB$2:AB$111,0)),"")</f>
        <v>5</v>
      </c>
      <c r="AD25" s="1" t="str">
        <f>IF(ISNUMBER(AB25)=TRUE,IF(_xlfn.RANK.EQ(AB25,$AB$2:$AB$111)&lt;='Tournament Setup'!$B$32,_xlfn.RANK.EQ(AB25,$AB$2:$AB$111),""),"")</f>
        <v/>
      </c>
      <c r="AE25" s="31">
        <f>IF(AND($F25='Tournament Setup'!$A$32,SUM($Q25,$S25)=0,$E25="M",$AD25&gt;'Tournament Setup'!$B$32),$I25,"")</f>
        <v>70</v>
      </c>
      <c r="AF25" s="1">
        <f>IF(ISNUMBER(AE25)=TRUE,IF(_xlfn.RANK.EQ(AE25,$AE$2:$AE$111)&lt;='Tournament Setup'!$C$32,_xlfn.RANK.EQ(AE25,$AE$2:$AE$111),""),"")</f>
        <v>2</v>
      </c>
      <c r="AG25" s="31" t="str">
        <f>IF(AND($F25='Tournament Setup'!$A$32,SUM($Q25,$U25)=0,$E25="F",$AD25&gt;'Tournament Setup'!$B$32),$I25,"")</f>
        <v/>
      </c>
      <c r="AH25" s="12" t="str">
        <f>IF(ISNUMBER(AG25)=TRUE,IF(_xlfn.RANK.EQ(AG25,$AG$2:$AG$111)&lt;='Tournament Setup'!$D$32,_xlfn.RANK.EQ(AG25,$AG$2:$AG$111),""),"")</f>
        <v/>
      </c>
      <c r="AI25" s="30" t="str">
        <f>IF(AND($G25='Tournament Setup'!$A$50,$J25&lt;&gt;0),$J25,"")</f>
        <v/>
      </c>
      <c r="AJ25" s="47" t="str">
        <f>IF(ISNUMBER(AI25),IF(COUNTIFS(AJ$1:AJ24,_xlfn.RANK.EQ(AI25,AI$2:AI$111,0))&gt;0,_xlfn.MAXIFS(AJ$1:AJ24,AI$1:AI24,AI25)+1,_xlfn.RANK.EQ(AI25,AI$2:AI$111,0)),"")</f>
        <v/>
      </c>
      <c r="AK25" s="1" t="str">
        <f>IF(ISNUMBER(AI25)=TRUE,IF(_xlfn.RANK.EQ(AI25,$AI$2:$AI$111)&lt;='Tournament Setup'!$B$49,_xlfn.RANK.EQ(AI25,$AI$2:$AI$111),""),"")</f>
        <v/>
      </c>
      <c r="AL25" s="30" t="str">
        <f>IF(AND($F25='Tournament Setup'!$A$33,SUM($Q25,$S25,$U25)=0),$I25,"")</f>
        <v/>
      </c>
      <c r="AM25" s="47" t="str">
        <f>IF(ISNUMBER(AL25),IF(COUNTIFS(AM$1:AM24,_xlfn.RANK.EQ(AL25,AL$2:AL$111,0))&gt;0,_xlfn.MAXIFS(AM$1:AM24,AL$1:AL24,AL25)+1,_xlfn.RANK.EQ(AL25,AL$2:AL$111,0)),"")</f>
        <v/>
      </c>
      <c r="AN25" s="1" t="str">
        <f>IF(ISNUMBER(AL25)=TRUE,IF(_xlfn.RANK.EQ(AL25,$AL$2:$AL$111)&lt;='Tournament Setup'!$B$33,_xlfn.RANK.EQ(AL25,$AL$2:$AL$111),""),"")</f>
        <v/>
      </c>
      <c r="AO25" s="31" t="str">
        <f>IF(AND($F25='Tournament Setup'!$A$33,SUM($Q25,$S25)=0,$E25="M",$AN25&gt;'Tournament Setup'!$B$33),$I25,"")</f>
        <v/>
      </c>
      <c r="AP25" s="1" t="str">
        <f>IF(ISNUMBER(AO25)=TRUE,IF(_xlfn.RANK.EQ(AO25,$AO$2:$AO$111)&lt;='Tournament Setup'!$C$33,_xlfn.RANK.EQ(AO25,$AO$2:$AO$111),""),"")</f>
        <v/>
      </c>
      <c r="AQ25" s="31" t="str">
        <f>IF(AND($F25='Tournament Setup'!$A$33,SUM($Q25,$U25)=0,$E25="F",$AN25&gt;'Tournament Setup'!$B$33),$I25,"")</f>
        <v/>
      </c>
      <c r="AR25" s="12" t="str">
        <f>IF(ISNUMBER(AQ25)=TRUE,IF(_xlfn.RANK.EQ(AQ25,$AQ$2:$AQ$111)&lt;='Tournament Setup'!$D$33,_xlfn.RANK.EQ(AQ25,$AQ$2:$AQ$111),""),"")</f>
        <v/>
      </c>
      <c r="AS25" s="30" t="str">
        <f>IF(AND($G25='Tournament Setup'!$A$51,$J25&lt;&gt;0),$J25,"")</f>
        <v/>
      </c>
      <c r="AT25" s="47" t="str">
        <f>IF(ISNUMBER(AS25),IF(COUNTIFS(AT$1:AT24,_xlfn.RANK.EQ(AS25,AS$2:AS$111,0))&gt;0,_xlfn.MAXIFS(AT$1:AT24,AS$1:AS24,AS25)+1,_xlfn.RANK.EQ(AS25,AS$2:AS$111,0)),"")</f>
        <v/>
      </c>
      <c r="AU25" s="1" t="str">
        <f>IF(ISNUMBER(AS25)=TRUE,IF(_xlfn.RANK.EQ(AS25,$AS$2:$AS$111)&lt;='Tournament Setup'!$B$49,_xlfn.RANK.EQ(AS25,$AS$2:$AS$111),""),"")</f>
        <v/>
      </c>
      <c r="AV25" s="30" t="str">
        <f>IF(AND($F25='Tournament Setup'!$A$34,SUM($Q25,$S25,$U25)=0),$I25,"")</f>
        <v/>
      </c>
      <c r="AW25" s="47" t="str">
        <f>IF(ISNUMBER(AV25),IF(COUNTIFS(AW$1:AW24,_xlfn.RANK.EQ(AV25,AV$2:AV$111,0))&gt;0,_xlfn.MAXIFS(AW$1:AW24,AV$1:AV24,AV25)+1,_xlfn.RANK.EQ(AV25,AV$2:AV$111,0)),"")</f>
        <v/>
      </c>
      <c r="AX25" s="1" t="str">
        <f>IF(ISNUMBER(AV25)=TRUE,IF(_xlfn.RANK.EQ(AV25,$AV$2:$AV$111)&lt;='Tournament Setup'!$B$34,_xlfn.RANK.EQ(AV25,$AV$2:$AV$111),""),"")</f>
        <v/>
      </c>
      <c r="AY25" s="31" t="str">
        <f>IF(AND($F25='Tournament Setup'!$A$34,SUM($Q25,$S25)=0,$E25="M",$AX25&gt;'Tournament Setup'!$B$34),$I25,"")</f>
        <v/>
      </c>
      <c r="AZ25" s="1" t="str">
        <f>IF(ISNUMBER(AY25)=TRUE,IF(_xlfn.RANK.EQ(AY25,$AY$2:$AY$111)&lt;='Tournament Setup'!$C$34,_xlfn.RANK.EQ(AY25,$AY$2:$AY$111),""),"")</f>
        <v/>
      </c>
      <c r="BA25" s="31" t="str">
        <f>IF(AND($F25='Tournament Setup'!$A$34,SUM($Q25,$U25)=0,$E25="F",$AX25&gt;'Tournament Setup'!$B$34),$I25,"")</f>
        <v/>
      </c>
      <c r="BB25" s="12" t="str">
        <f>IF(ISNUMBER(BA25)=TRUE,IF(_xlfn.RANK.EQ(BA25,$BA$2:$BA$111)&lt;='Tournament Setup'!$D$34,_xlfn.RANK.EQ(BA25,$BA$2:$BA$111),""),"")</f>
        <v/>
      </c>
      <c r="BC25" s="30" t="str">
        <f>IF(AND($G25='Tournament Setup'!$A$52,$J25&lt;&gt;0),$J25,"")</f>
        <v/>
      </c>
      <c r="BD25" s="47" t="str">
        <f>IF(ISNUMBER(BC25),IF(COUNTIFS(BD$1:BD24,_xlfn.RANK.EQ(BC25,BC$2:BC$111,0))&gt;0,_xlfn.MAXIFS(BD$1:BD24,BC$1:BC24,BC25)+1,_xlfn.RANK.EQ(BC25,BC$2:BC$111,0)),"")</f>
        <v/>
      </c>
      <c r="BE25" s="1" t="str">
        <f>IF(ISNUMBER(BC25)=TRUE,IF(_xlfn.RANK.EQ(BC25,$BC$2:$BC$111)&lt;='Tournament Setup'!$B$49,_xlfn.RANK.EQ(BC25,$BC$2:$BC$111),""),"")</f>
        <v/>
      </c>
      <c r="BF25" s="30" t="str">
        <f>IF(AND($F25='Tournament Setup'!$A$35,SUM($Q25,$S25,$U25)=0),$I25,"")</f>
        <v/>
      </c>
      <c r="BG25" s="47" t="str">
        <f>IF(ISNUMBER(BF25),IF(COUNTIFS(BG$1:BG24,_xlfn.RANK.EQ(BF25,BF$2:BF$111,0))&gt;0,_xlfn.MAXIFS(BG$1:BG24,BF$1:BF24,BF25)+1,_xlfn.RANK.EQ(BF25,BF$2:BF$111,0)),"")</f>
        <v/>
      </c>
      <c r="BH25" s="1" t="str">
        <f>IF(ISNUMBER(BF25)=TRUE,IF(_xlfn.RANK.EQ(BF25,$BF$2:$BF$111)&lt;='Tournament Setup'!$B$35,_xlfn.RANK.EQ(BF25,$BF$2:$BF$111),""),"")</f>
        <v/>
      </c>
      <c r="BI25" s="31" t="str">
        <f>IF(AND($F25='Tournament Setup'!$A$35,SUM($Q25,$S25)=0,$E25="M",$BH25&gt;'Tournament Setup'!$B$35),$I25,"")</f>
        <v/>
      </c>
      <c r="BJ25" s="1" t="str">
        <f>IF(ISNUMBER(BI25)=TRUE,IF(_xlfn.RANK.EQ(BI25,$BI$2:$BI$111)&lt;='Tournament Setup'!$C$35,_xlfn.RANK.EQ(BI25,$BI$2:$BI$111),""),"")</f>
        <v/>
      </c>
      <c r="BK25" s="31" t="str">
        <f>IF(AND($F25='Tournament Setup'!$A$35,SUM($Q25,$U25)=0,$E25="F",$BH25&gt;'Tournament Setup'!$B$35),$I25,"")</f>
        <v/>
      </c>
      <c r="BL25" s="12" t="str">
        <f>IF(ISNUMBER(BK25)=TRUE,IF(_xlfn.RANK.EQ(BK25,$BK$2:$BK$111)&lt;='Tournament Setup'!$D$35,_xlfn.RANK.EQ(BK25,$BK$2:$BK$111),""),"")</f>
        <v/>
      </c>
      <c r="BM25" s="30" t="str">
        <f>IF(AND($G25='Tournament Setup'!$A$54,$J25&lt;&gt;0),$J25,"")</f>
        <v/>
      </c>
      <c r="BN25" s="47" t="str">
        <f>IF(ISNUMBER(BM25),IF(COUNTIFS(BN$1:BN24,_xlfn.RANK.EQ(BM25,BM$2:BM$111,0))&gt;0,_xlfn.MAXIFS(BN$1:BN24,BM$1:BM24,BM25)+1,_xlfn.RANK.EQ(BM25,BM$2:BM$111,0)),"")</f>
        <v/>
      </c>
      <c r="BO25" s="1" t="str">
        <f>IF(ISNUMBER(BM25)=TRUE,IF(_xlfn.RANK.EQ(BM25,$BM$2:$BM$111)&lt;='Tournament Setup'!$B$49,_xlfn.RANK.EQ(BM25,$BM$2:$BM$111),""),"")</f>
        <v/>
      </c>
      <c r="BP25" s="30" t="str">
        <f>IF(AND($F25='Tournament Setup'!$A$36,SUM($Q25,$S25,$U25)=0),$I25,"")</f>
        <v/>
      </c>
      <c r="BQ25" s="47" t="str">
        <f>IF(ISNUMBER(BP25),IF(COUNTIFS(BQ$1:BQ24,_xlfn.RANK.EQ(BP25,BP$2:BP$111,0))&gt;0,_xlfn.MAXIFS(BQ$1:BQ24,BP$1:BP24,BP25)+1,_xlfn.RANK.EQ(BP25,BP$2:BP$111,0)),"")</f>
        <v/>
      </c>
      <c r="BR25" s="1" t="str">
        <f>IF(ISNUMBER(BP25)=TRUE,IF(_xlfn.RANK.EQ(BP25,$BP$2:$BP$111)&lt;='Tournament Setup'!$B$36,_xlfn.RANK.EQ(BP25,$BP$2:$BP$111),""),"")</f>
        <v/>
      </c>
      <c r="BS25" s="31" t="str">
        <f>IF(AND($F25='Tournament Setup'!$A$36,SUM($Q25,$S25)=0,$E25="M",$BR25&gt;'Tournament Setup'!$B$36),$I25,"")</f>
        <v/>
      </c>
      <c r="BT25" s="1" t="str">
        <f>IF(ISNUMBER(BS25)=TRUE,IF(_xlfn.RANK.EQ(BS25,$BS$2:$BS$111)&lt;='Tournament Setup'!$C$36,_xlfn.RANK.EQ(BS25,$BS$2:$BS$111),""),"")</f>
        <v/>
      </c>
      <c r="BU25" s="31" t="str">
        <f>IF(AND($F25='Tournament Setup'!$A$36,SUM($Q25,$U25)=0,$E25="F",$BR25&gt;'Tournament Setup'!$B$36),$I25,"")</f>
        <v/>
      </c>
      <c r="BV25" s="12" t="str">
        <f>IF(ISNUMBER(BU25)=TRUE,IF(_xlfn.RANK.EQ(BU25,$BU$2:$BU$111)&lt;='Tournament Setup'!$D$36,_xlfn.RANK.EQ(BU25,$BU$2:$BU$111),""),"")</f>
        <v/>
      </c>
      <c r="BW25" s="30" t="str">
        <f>IF($H25='Tournament Setup'!$A$41,$I25,"")</f>
        <v/>
      </c>
      <c r="BX25" s="47" t="str">
        <f>IF(ISNUMBER(BW25),IF(COUNTIFS(BX$1:BX24,_xlfn.RANK.EQ(BW25,BW$2:BW$111,0))&gt;0,_xlfn.MAXIFS(BX$1:BX24,BW$1:BW24,BW25)+1,_xlfn.RANK.EQ(BW25,BW$2:BW$111,0)),"")</f>
        <v/>
      </c>
      <c r="BY25" s="1" t="str">
        <f>IF(ISNUMBER(BW25)=TRUE,IF(_xlfn.RANK.EQ(BW25,$BW$2:$BW$111)&lt;='Tournament Setup'!$B$41,_xlfn.RANK.EQ(BW25,$BW$2:$BW$111),""),"")</f>
        <v/>
      </c>
      <c r="BZ25" s="31" t="str">
        <f>IF(AND($H25='Tournament Setup'!$A$41,$E25="M",$BY25&gt;'Tournament Setup'!$B$41),$I25,"")</f>
        <v/>
      </c>
      <c r="CA25" s="1" t="str">
        <f>IF(ISNUMBER(BZ25)=TRUE,IF(_xlfn.RANK.EQ(BZ25,$BZ$2:$BZ$111)&lt;='Tournament Setup'!$C$41,_xlfn.RANK.EQ(BZ25,$BZ$2:$BZ$111),""),"")</f>
        <v/>
      </c>
      <c r="CB25" s="31" t="str">
        <f>IF(AND($H25='Tournament Setup'!$A$41,$E25="F",$BY25&gt;'Tournament Setup'!$B$41),$I25,"")</f>
        <v/>
      </c>
      <c r="CC25" s="12" t="str">
        <f>IF(ISNUMBER(CB25)=TRUE,IF(_xlfn.RANK.EQ(CB25,$CB$2:$CB$111)&lt;='Tournament Setup'!$D$41,_xlfn.RANK.EQ(CB25,$CB$2:$CB$111),""),"")</f>
        <v/>
      </c>
      <c r="CD25" s="30">
        <f>IF($H25='Tournament Setup'!$A$42,$I25,"")</f>
        <v>70</v>
      </c>
      <c r="CE25" s="47">
        <f>IF(ISNUMBER(CD25),IF(COUNTIFS(CE$1:CE24,_xlfn.RANK.EQ(CD25,CD$2:CD$111,0))&gt;0,_xlfn.MAXIFS(CE$1:CE24,CD$1:CD24,CD25)+1,_xlfn.RANK.EQ(CD25,CD$2:CD$111,0)),"")</f>
        <v>13</v>
      </c>
      <c r="CF25" s="1" t="str">
        <f>IF(ISNUMBER(CD25)=TRUE,IF(_xlfn.RANK.EQ(CD25,$CD$2:$CD$111)&lt;='Tournament Setup'!$B$42,_xlfn.RANK.EQ(CD25,$CD$2:$CD$111),""),"")</f>
        <v/>
      </c>
      <c r="CG25" s="31">
        <f>IF(AND($H25='Tournament Setup'!$A$42,$E25="M",$CF25&gt;'Tournament Setup'!$B$42),$I25,"")</f>
        <v>70</v>
      </c>
      <c r="CH25" s="1" t="str">
        <f>IF(ISNUMBER(CG25)=TRUE,IF(_xlfn.RANK.EQ(CG25,$CG$2:$CG$111)&lt;='Tournament Setup'!$C$42,_xlfn.RANK.EQ(CG25,$CG$2:$CG$111),""),"")</f>
        <v/>
      </c>
      <c r="CI25" s="31" t="str">
        <f>IF(AND($H25='Tournament Setup'!$A$42,$E25="F",$CF25&gt;'Tournament Setup'!$B$42),$I25,"")</f>
        <v/>
      </c>
      <c r="CJ25" s="12" t="str">
        <f>IF(ISNUMBER(CI25)=TRUE,IF(_xlfn.RANK.EQ(CI25,$CI$2:$CI$111)&lt;='Tournament Setup'!$D$42,_xlfn.RANK.EQ(CI25,$CI$2:$CI$111),""),"")</f>
        <v/>
      </c>
      <c r="CK25" s="30" t="str">
        <f>IF($H25='Tournament Setup'!$A$43,$I25,"")</f>
        <v/>
      </c>
      <c r="CL25" s="47" t="str">
        <f>IF(ISNUMBER(CK25),IF(COUNTIFS(CL$1:CL24,_xlfn.RANK.EQ(CK25,CK$2:CK$111,0))&gt;0,_xlfn.MAXIFS(CL$1:CL24,CK$1:CK24,CK25)+1,_xlfn.RANK.EQ(CK25,CK$2:CK$111,0)),"")</f>
        <v/>
      </c>
      <c r="CM25" s="1" t="str">
        <f>IF(ISNUMBER(CK25)=TRUE,IF(_xlfn.RANK.EQ(CK25,$CK$2:$CK$111)&lt;='Tournament Setup'!$B$43,_xlfn.RANK.EQ(CK25,$CK$2:$CK$111),""),"")</f>
        <v/>
      </c>
      <c r="CN25" s="31" t="str">
        <f>IF(AND($H25='Tournament Setup'!$A$43,$E25="M",$CM25&gt;'Tournament Setup'!$B$43),$I25,"")</f>
        <v/>
      </c>
      <c r="CO25" s="1" t="str">
        <f>IF(ISNUMBER(CN25)=TRUE,IF(_xlfn.RANK.EQ(CN25,$CN$2:$CN$111)&lt;='Tournament Setup'!$C$43,_xlfn.RANK.EQ(CN25,$CN$2:$CN$111),""),"")</f>
        <v/>
      </c>
      <c r="CP25" s="31" t="str">
        <f>IF(AND($H25='Tournament Setup'!$A$43,$E25="F",$CM25&gt;'Tournament Setup'!$B$43),$I25,"")</f>
        <v/>
      </c>
      <c r="CQ25" s="12" t="str">
        <f>IF(ISNUMBER(CP25)=TRUE,IF(_xlfn.RANK.EQ(CP25,$CP$2:$CP$111)&lt;='Tournament Setup'!$D$43,_xlfn.RANK.EQ(CP25,$CP$2:$CP$111),""),"")</f>
        <v/>
      </c>
      <c r="CR25" s="30" t="str">
        <f>IF($H25='Tournament Setup'!$A$44,$I25,"")</f>
        <v/>
      </c>
      <c r="CS25" s="47" t="str">
        <f>IF(ISNUMBER(CR25),IF(COUNTIFS(CS$1:CS24,_xlfn.RANK.EQ(CR25,CR$2:CR$111,0))&gt;0,_xlfn.MAXIFS(CS$1:CS24,CR$1:CR24,CR25)+1,_xlfn.RANK.EQ(CR25,CR$2:CR$111,0)),"")</f>
        <v/>
      </c>
      <c r="CT25" s="1" t="str">
        <f>IF(ISNUMBER(CR25)=TRUE,IF(_xlfn.RANK.EQ(CR25,$CR$2:$CR$111)&lt;='Tournament Setup'!$B$44,_xlfn.RANK.EQ(CR25,$CR$2:$CR$111),""),"")</f>
        <v/>
      </c>
      <c r="CU25" s="31" t="str">
        <f>IF(AND($H25='Tournament Setup'!$A$44,$E25="M",$CT25&gt;'Tournament Setup'!$B$44),$I25,"")</f>
        <v/>
      </c>
      <c r="CV25" s="1" t="str">
        <f>IF(ISNUMBER(CU25)=TRUE,IF(_xlfn.RANK.EQ(CU25,$CU$2:$CU$111)&lt;='Tournament Setup'!$C$44,_xlfn.RANK.EQ(CU25,$CU$2:$CU$111),""),"")</f>
        <v/>
      </c>
      <c r="CW25" s="31" t="str">
        <f>IF(AND($H25='Tournament Setup'!$A$44,$E25="F",$CT25&gt;'Tournament Setup'!$B$44),$I25,"")</f>
        <v/>
      </c>
      <c r="CX25" s="12" t="str">
        <f>IF(ISNUMBER(CW25)=TRUE,IF(_xlfn.RANK.EQ(CW25,$CW$2:$CW$111)&lt;='Tournament Setup'!$D$44,_xlfn.RANK.EQ(CW25,$CW$2:$CW$111),""),"")</f>
        <v/>
      </c>
    </row>
    <row r="26" spans="1:102" x14ac:dyDescent="0.3">
      <c r="A26" t="s">
        <v>181</v>
      </c>
      <c r="B26" t="str">
        <f>IFERROR(INDEX('Tournament List'!$B:$B,MATCH($A26,'Tournament List'!$A:$A,0)),"")</f>
        <v>Harry</v>
      </c>
      <c r="C26" t="str">
        <f>IFERROR(INDEX('Tournament List'!$C:$C,MATCH($A26,'Tournament List'!$A:$A,0)),"")</f>
        <v>Last Name25</v>
      </c>
      <c r="D26" t="str">
        <f t="shared" si="0"/>
        <v>Harry Last Name25</v>
      </c>
      <c r="E26" s="1" t="str">
        <f>IFERROR(INDEX('Tournament List'!F:F,MATCH($A26,'Tournament List'!$A:$A,0)),"")</f>
        <v>M</v>
      </c>
      <c r="F26" t="str">
        <f>IFERROR(INDEX('Tournament List'!M:M,MATCH($A26,'Tournament List'!$A:$A,0)),"")</f>
        <v>Varsity</v>
      </c>
      <c r="G26" t="str">
        <f>IFERROR(INDEX('Shooter-Squad Assignment'!L:L,MATCH(A26,'Shooter-Squad Assignment'!A:A,0)),"")</f>
        <v>Open</v>
      </c>
      <c r="H26" s="1" t="str">
        <f>IFERROR(INDEX('Tournament List'!AD:AD,MATCH($A26,'Tournament List'!$A:$A,0)),"")</f>
        <v>B</v>
      </c>
      <c r="I26" s="123">
        <f>IFERROR(INDEX('Tournament List'!AG:AG,MATCH($A26,'Tournament List'!$A:$A,0)),"")</f>
        <v>72</v>
      </c>
      <c r="J26" s="145" t="str">
        <f>IFERROR(INDEX('Tournament List'!Y:Y,MATCH($A26,'Tournament List'!$A:$A,0)),"")</f>
        <v/>
      </c>
      <c r="K26" s="47">
        <f>IFERROR(INDEX('Tournament List'!S:S,MATCH(A26,'Tournament List'!A:A,0)),"")</f>
        <v>127</v>
      </c>
      <c r="L26" s="47" t="str">
        <f>IF(ISNUMBER(J26),IF(COUNTIFS(L$1:L25,_xlfn.RANK.EQ(J26,J$2:J$111,0))&gt;0,_xlfn.MAXIFS(L$1:L25,J$1:J25,J26)+1,_xlfn.RANK.EQ(J26,J$2:J$111,0)),"")</f>
        <v/>
      </c>
      <c r="M26" s="11">
        <f>IF(ISNUMBER(I26)=TRUE,IF(I26&gt;0,_xlfn.RANK.EQ(I26,$I$2:$I$111,0),""),"")</f>
        <v>25</v>
      </c>
      <c r="N26" s="56">
        <f>IF(ISNUMBER(I26),IF(COUNTIFS(N$1:N25,_xlfn.RANK.EQ(I26,I$2:I$111,0))&gt;0,_xlfn.MAXIFS(N$1:N25,I$1:I25,I26)+1,_xlfn.RANK.EQ(I26,I$2:I$111,0)),"")</f>
        <v>25</v>
      </c>
      <c r="O26" s="144">
        <f>IF(F26&lt;&gt;"Collegiate"=TRUE,$I26,"")</f>
        <v>72</v>
      </c>
      <c r="P26" s="47">
        <f>IF(ISNUMBER(O26),IF(COUNTIFS(P$1:P25,_xlfn.RANK.EQ(O26,O$2:O$111,0))&gt;0,_xlfn.MAXIFS(P$1:P25,O$1:O25,O26)+1,_xlfn.RANK.EQ(O26,O$2:O$111,0)),"")</f>
        <v>23</v>
      </c>
      <c r="Q26" s="1" t="str">
        <f>IF(ISNUMBER(O26)=TRUE,IF(_xlfn.RANK.EQ(O26,$O$2:$O$111)&lt;='Tournament Setup'!$B$26,_xlfn.RANK.EQ(O26,$O$2:$O$111),""),"")</f>
        <v/>
      </c>
      <c r="R26" s="143">
        <f>IF(AND($E26="M",SUM($Q26)=0,F26&lt;&gt;"Collegiate")=TRUE,$I26,"")</f>
        <v>72</v>
      </c>
      <c r="S26" s="1" t="str">
        <f>IF(ISNUMBER(R26)=TRUE,IF(_xlfn.RANK.EQ(R26,$R$2:$R$111)&lt;='Tournament Setup'!$B$27,_xlfn.RANK.EQ(R26,$R$2:$R$111),""),"")</f>
        <v/>
      </c>
      <c r="T26" s="143" t="str">
        <f>IF(AND($E26="F",SUM($Q26)=0,F26&lt;&gt;"Collegiate")=TRUE,$I26,"")</f>
        <v/>
      </c>
      <c r="U26" s="12" t="str">
        <f>IF(ISNUMBER(T26)=TRUE,IF(_xlfn.RANK.EQ(T26,$T$2:$T$111)&lt;='Tournament Setup'!$B$28,_xlfn.RANK.EQ(T26,$T$2:$T$111),""),"")</f>
        <v/>
      </c>
      <c r="V26" s="145" t="str">
        <f>IF(AND($G26='Tournament Setup'!$A$53,$J26&lt;&gt;0),$J26,"")</f>
        <v/>
      </c>
      <c r="W26" s="47" t="str">
        <f>IF(ISNUMBER(V26),IF(COUNTIFS(W$1:W25,_xlfn.RANK.EQ(V26,V$2:V$111,0))&gt;0,_xlfn.MAXIFS(W$1:W25,V$1:V25,V26)+1,_xlfn.RANK.EQ(V26,V$2:V$111,0)),"")</f>
        <v/>
      </c>
      <c r="X26" s="1" t="str">
        <f>IF(ISNUMBER(V26)=TRUE,IF(_xlfn.RANK.EQ(V26,$V$2:$V$111)&lt;='Tournament Setup'!$B$53,_xlfn.RANK.EQ(V26,$V$2:$V$111),""),"")</f>
        <v/>
      </c>
      <c r="Y26" s="145" t="str">
        <f>IF(AND($G26='Tournament Setup'!$A$49,$J26&lt;&gt;0),$J26,"")</f>
        <v/>
      </c>
      <c r="Z26" s="47" t="str">
        <f>IF(ISNUMBER(Y26),IF(COUNTIFS(Z$1:Z25,_xlfn.RANK.EQ(Y26,Y$2:Y$111,0))&gt;0,_xlfn.MAXIFS(Z$1:Z25,Y$1:Y25,Y26)+1,_xlfn.RANK.EQ(Y26,Y$2:Y$111,0)),"")</f>
        <v/>
      </c>
      <c r="AA26" s="1" t="str">
        <f>IF(ISNUMBER(Y26)=TRUE,IF(_xlfn.RANK.EQ(Y26,$Y$2:$Y$111)&lt;='Tournament Setup'!$B$49,_xlfn.RANK.EQ(Y26,$Y$2:$Y$111),""),"")</f>
        <v/>
      </c>
      <c r="AB26" s="30" t="str">
        <f>IF(AND($F26='Tournament Setup'!$A$32,SUM($Q26,$S26,$U26)=0),$I26,"")</f>
        <v/>
      </c>
      <c r="AC26" s="47" t="str">
        <f>IF(ISNUMBER(AB26),IF(COUNTIFS(AC$1:AC25,_xlfn.RANK.EQ(AB26,AB$2:AB$111,0))&gt;0,_xlfn.MAXIFS(AC$1:AC25,AB$1:AB25,AB26)+1,_xlfn.RANK.EQ(AB26,AB$2:AB$111,0)),"")</f>
        <v/>
      </c>
      <c r="AD26" s="1" t="str">
        <f>IF(ISNUMBER(AB26)=TRUE,IF(_xlfn.RANK.EQ(AB26,$AB$2:$AB$111)&lt;='Tournament Setup'!$B$32,_xlfn.RANK.EQ(AB26,$AB$2:$AB$111),""),"")</f>
        <v/>
      </c>
      <c r="AE26" s="31" t="str">
        <f>IF(AND($F26='Tournament Setup'!$A$32,SUM($Q26,$S26)=0,$E26="M",$AD26&gt;'Tournament Setup'!$B$32),$I26,"")</f>
        <v/>
      </c>
      <c r="AF26" s="1" t="str">
        <f>IF(ISNUMBER(AE26)=TRUE,IF(_xlfn.RANK.EQ(AE26,$AE$2:$AE$111)&lt;='Tournament Setup'!$C$32,_xlfn.RANK.EQ(AE26,$AE$2:$AE$111),""),"")</f>
        <v/>
      </c>
      <c r="AG26" s="31" t="str">
        <f>IF(AND($F26='Tournament Setup'!$A$32,SUM($Q26,$U26)=0,$E26="F",$AD26&gt;'Tournament Setup'!$B$32),$I26,"")</f>
        <v/>
      </c>
      <c r="AH26" s="12" t="str">
        <f>IF(ISNUMBER(AG26)=TRUE,IF(_xlfn.RANK.EQ(AG26,$AG$2:$AG$111)&lt;='Tournament Setup'!$D$32,_xlfn.RANK.EQ(AG26,$AG$2:$AG$111),""),"")</f>
        <v/>
      </c>
      <c r="AI26" s="30" t="str">
        <f>IF(AND($G26='Tournament Setup'!$A$50,$J26&lt;&gt;0),$J26,"")</f>
        <v/>
      </c>
      <c r="AJ26" s="47" t="str">
        <f>IF(ISNUMBER(AI26),IF(COUNTIFS(AJ$1:AJ25,_xlfn.RANK.EQ(AI26,AI$2:AI$111,0))&gt;0,_xlfn.MAXIFS(AJ$1:AJ25,AI$1:AI25,AI26)+1,_xlfn.RANK.EQ(AI26,AI$2:AI$111,0)),"")</f>
        <v/>
      </c>
      <c r="AK26" s="1" t="str">
        <f>IF(ISNUMBER(AI26)=TRUE,IF(_xlfn.RANK.EQ(AI26,$AI$2:$AI$111)&lt;='Tournament Setup'!$B$49,_xlfn.RANK.EQ(AI26,$AI$2:$AI$111),""),"")</f>
        <v/>
      </c>
      <c r="AL26" s="30" t="str">
        <f>IF(AND($F26='Tournament Setup'!$A$33,SUM($Q26,$S26,$U26)=0),$I26,"")</f>
        <v/>
      </c>
      <c r="AM26" s="47" t="str">
        <f>IF(ISNUMBER(AL26),IF(COUNTIFS(AM$1:AM25,_xlfn.RANK.EQ(AL26,AL$2:AL$111,0))&gt;0,_xlfn.MAXIFS(AM$1:AM25,AL$1:AL25,AL26)+1,_xlfn.RANK.EQ(AL26,AL$2:AL$111,0)),"")</f>
        <v/>
      </c>
      <c r="AN26" s="1" t="str">
        <f>IF(ISNUMBER(AL26)=TRUE,IF(_xlfn.RANK.EQ(AL26,$AL$2:$AL$111)&lt;='Tournament Setup'!$B$33,_xlfn.RANK.EQ(AL26,$AL$2:$AL$111),""),"")</f>
        <v/>
      </c>
      <c r="AO26" s="31" t="str">
        <f>IF(AND($F26='Tournament Setup'!$A$33,SUM($Q26,$S26)=0,$E26="M",$AN26&gt;'Tournament Setup'!$B$33),$I26,"")</f>
        <v/>
      </c>
      <c r="AP26" s="1" t="str">
        <f>IF(ISNUMBER(AO26)=TRUE,IF(_xlfn.RANK.EQ(AO26,$AO$2:$AO$111)&lt;='Tournament Setup'!$C$33,_xlfn.RANK.EQ(AO26,$AO$2:$AO$111),""),"")</f>
        <v/>
      </c>
      <c r="AQ26" s="31" t="str">
        <f>IF(AND($F26='Tournament Setup'!$A$33,SUM($Q26,$U26)=0,$E26="F",$AN26&gt;'Tournament Setup'!$B$33),$I26,"")</f>
        <v/>
      </c>
      <c r="AR26" s="12" t="str">
        <f>IF(ISNUMBER(AQ26)=TRUE,IF(_xlfn.RANK.EQ(AQ26,$AQ$2:$AQ$111)&lt;='Tournament Setup'!$D$33,_xlfn.RANK.EQ(AQ26,$AQ$2:$AQ$111),""),"")</f>
        <v/>
      </c>
      <c r="AS26" s="30" t="str">
        <f>IF(AND($G26='Tournament Setup'!$A$51,$J26&lt;&gt;0),$J26,"")</f>
        <v/>
      </c>
      <c r="AT26" s="47" t="str">
        <f>IF(ISNUMBER(AS26),IF(COUNTIFS(AT$1:AT25,_xlfn.RANK.EQ(AS26,AS$2:AS$111,0))&gt;0,_xlfn.MAXIFS(AT$1:AT25,AS$1:AS25,AS26)+1,_xlfn.RANK.EQ(AS26,AS$2:AS$111,0)),"")</f>
        <v/>
      </c>
      <c r="AU26" s="1" t="str">
        <f>IF(ISNUMBER(AS26)=TRUE,IF(_xlfn.RANK.EQ(AS26,$AS$2:$AS$111)&lt;='Tournament Setup'!$B$49,_xlfn.RANK.EQ(AS26,$AS$2:$AS$111),""),"")</f>
        <v/>
      </c>
      <c r="AV26" s="30" t="str">
        <f>IF(AND($F26='Tournament Setup'!$A$34,SUM($Q26,$S26,$U26)=0),$I26,"")</f>
        <v/>
      </c>
      <c r="AW26" s="47" t="str">
        <f>IF(ISNUMBER(AV26),IF(COUNTIFS(AW$1:AW25,_xlfn.RANK.EQ(AV26,AV$2:AV$111,0))&gt;0,_xlfn.MAXIFS(AW$1:AW25,AV$1:AV25,AV26)+1,_xlfn.RANK.EQ(AV26,AV$2:AV$111,0)),"")</f>
        <v/>
      </c>
      <c r="AX26" s="1" t="str">
        <f>IF(ISNUMBER(AV26)=TRUE,IF(_xlfn.RANK.EQ(AV26,$AV$2:$AV$111)&lt;='Tournament Setup'!$B$34,_xlfn.RANK.EQ(AV26,$AV$2:$AV$111),""),"")</f>
        <v/>
      </c>
      <c r="AY26" s="31" t="str">
        <f>IF(AND($F26='Tournament Setup'!$A$34,SUM($Q26,$S26)=0,$E26="M",$AX26&gt;'Tournament Setup'!$B$34),$I26,"")</f>
        <v/>
      </c>
      <c r="AZ26" s="1" t="str">
        <f>IF(ISNUMBER(AY26)=TRUE,IF(_xlfn.RANK.EQ(AY26,$AY$2:$AY$111)&lt;='Tournament Setup'!$C$34,_xlfn.RANK.EQ(AY26,$AY$2:$AY$111),""),"")</f>
        <v/>
      </c>
      <c r="BA26" s="31" t="str">
        <f>IF(AND($F26='Tournament Setup'!$A$34,SUM($Q26,$U26)=0,$E26="F",$AX26&gt;'Tournament Setup'!$B$34),$I26,"")</f>
        <v/>
      </c>
      <c r="BB26" s="12" t="str">
        <f>IF(ISNUMBER(BA26)=TRUE,IF(_xlfn.RANK.EQ(BA26,$BA$2:$BA$111)&lt;='Tournament Setup'!$D$34,_xlfn.RANK.EQ(BA26,$BA$2:$BA$111),""),"")</f>
        <v/>
      </c>
      <c r="BC26" s="30" t="str">
        <f>IF(AND($G26='Tournament Setup'!$A$52,$J26&lt;&gt;0),$J26,"")</f>
        <v/>
      </c>
      <c r="BD26" s="47" t="str">
        <f>IF(ISNUMBER(BC26),IF(COUNTIFS(BD$1:BD25,_xlfn.RANK.EQ(BC26,BC$2:BC$111,0))&gt;0,_xlfn.MAXIFS(BD$1:BD25,BC$1:BC25,BC26)+1,_xlfn.RANK.EQ(BC26,BC$2:BC$111,0)),"")</f>
        <v/>
      </c>
      <c r="BE26" s="1" t="str">
        <f>IF(ISNUMBER(BC26)=TRUE,IF(_xlfn.RANK.EQ(BC26,$BC$2:$BC$111)&lt;='Tournament Setup'!$B$49,_xlfn.RANK.EQ(BC26,$BC$2:$BC$111),""),"")</f>
        <v/>
      </c>
      <c r="BF26" s="30">
        <f>IF(AND($F26='Tournament Setup'!$A$35,SUM($Q26,$S26,$U26)=0),$I26,"")</f>
        <v>72</v>
      </c>
      <c r="BG26" s="47">
        <f>IF(ISNUMBER(BF26),IF(COUNTIFS(BG$1:BG25,_xlfn.RANK.EQ(BF26,BF$2:BF$111,0))&gt;0,_xlfn.MAXIFS(BG$1:BG25,BF$1:BF25,BF26)+1,_xlfn.RANK.EQ(BF26,BF$2:BF$111,0)),"")</f>
        <v>5</v>
      </c>
      <c r="BH26" s="1" t="str">
        <f>IF(ISNUMBER(BF26)=TRUE,IF(_xlfn.RANK.EQ(BF26,$BF$2:$BF$111)&lt;='Tournament Setup'!$B$35,_xlfn.RANK.EQ(BF26,$BF$2:$BF$111),""),"")</f>
        <v/>
      </c>
      <c r="BI26" s="31">
        <f>IF(AND($F26='Tournament Setup'!$A$35,SUM($Q26,$S26)=0,$E26="M",$BH26&gt;'Tournament Setup'!$B$35),$I26,"")</f>
        <v>72</v>
      </c>
      <c r="BJ26" s="1">
        <f>IF(ISNUMBER(BI26)=TRUE,IF(_xlfn.RANK.EQ(BI26,$BI$2:$BI$111)&lt;='Tournament Setup'!$C$35,_xlfn.RANK.EQ(BI26,$BI$2:$BI$111),""),"")</f>
        <v>1</v>
      </c>
      <c r="BK26" s="31" t="str">
        <f>IF(AND($F26='Tournament Setup'!$A$35,SUM($Q26,$U26)=0,$E26="F",$BH26&gt;'Tournament Setup'!$B$35),$I26,"")</f>
        <v/>
      </c>
      <c r="BL26" s="12" t="str">
        <f>IF(ISNUMBER(BK26)=TRUE,IF(_xlfn.RANK.EQ(BK26,$BK$2:$BK$111)&lt;='Tournament Setup'!$D$35,_xlfn.RANK.EQ(BK26,$BK$2:$BK$111),""),"")</f>
        <v/>
      </c>
      <c r="BM26" s="30" t="str">
        <f>IF(AND($G26='Tournament Setup'!$A$54,$J26&lt;&gt;0),$J26,"")</f>
        <v/>
      </c>
      <c r="BN26" s="47" t="str">
        <f>IF(ISNUMBER(BM26),IF(COUNTIFS(BN$1:BN25,_xlfn.RANK.EQ(BM26,BM$2:BM$111,0))&gt;0,_xlfn.MAXIFS(BN$1:BN25,BM$1:BM25,BM26)+1,_xlfn.RANK.EQ(BM26,BM$2:BM$111,0)),"")</f>
        <v/>
      </c>
      <c r="BO26" s="1" t="str">
        <f>IF(ISNUMBER(BM26)=TRUE,IF(_xlfn.RANK.EQ(BM26,$BM$2:$BM$111)&lt;='Tournament Setup'!$B$49,_xlfn.RANK.EQ(BM26,$BM$2:$BM$111),""),"")</f>
        <v/>
      </c>
      <c r="BP26" s="30" t="str">
        <f>IF(AND($F26='Tournament Setup'!$A$36,SUM($Q26,$S26,$U26)=0),$I26,"")</f>
        <v/>
      </c>
      <c r="BQ26" s="47" t="str">
        <f>IF(ISNUMBER(BP26),IF(COUNTIFS(BQ$1:BQ25,_xlfn.RANK.EQ(BP26,BP$2:BP$111,0))&gt;0,_xlfn.MAXIFS(BQ$1:BQ25,BP$1:BP25,BP26)+1,_xlfn.RANK.EQ(BP26,BP$2:BP$111,0)),"")</f>
        <v/>
      </c>
      <c r="BR26" s="1" t="str">
        <f>IF(ISNUMBER(BP26)=TRUE,IF(_xlfn.RANK.EQ(BP26,$BP$2:$BP$111)&lt;='Tournament Setup'!$B$36,_xlfn.RANK.EQ(BP26,$BP$2:$BP$111),""),"")</f>
        <v/>
      </c>
      <c r="BS26" s="31" t="str">
        <f>IF(AND($F26='Tournament Setup'!$A$36,SUM($Q26,$S26)=0,$E26="M",$BR26&gt;'Tournament Setup'!$B$36),$I26,"")</f>
        <v/>
      </c>
      <c r="BT26" s="1" t="str">
        <f>IF(ISNUMBER(BS26)=TRUE,IF(_xlfn.RANK.EQ(BS26,$BS$2:$BS$111)&lt;='Tournament Setup'!$C$36,_xlfn.RANK.EQ(BS26,$BS$2:$BS$111),""),"")</f>
        <v/>
      </c>
      <c r="BU26" s="31" t="str">
        <f>IF(AND($F26='Tournament Setup'!$A$36,SUM($Q26,$U26)=0,$E26="F",$BR26&gt;'Tournament Setup'!$B$36),$I26,"")</f>
        <v/>
      </c>
      <c r="BV26" s="12" t="str">
        <f>IF(ISNUMBER(BU26)=TRUE,IF(_xlfn.RANK.EQ(BU26,$BU$2:$BU$111)&lt;='Tournament Setup'!$D$36,_xlfn.RANK.EQ(BU26,$BU$2:$BU$111),""),"")</f>
        <v/>
      </c>
      <c r="BW26" s="30" t="str">
        <f>IF($H26='Tournament Setup'!$A$41,$I26,"")</f>
        <v/>
      </c>
      <c r="BX26" s="47" t="str">
        <f>IF(ISNUMBER(BW26),IF(COUNTIFS(BX$1:BX25,_xlfn.RANK.EQ(BW26,BW$2:BW$111,0))&gt;0,_xlfn.MAXIFS(BX$1:BX25,BW$1:BW25,BW26)+1,_xlfn.RANK.EQ(BW26,BW$2:BW$111,0)),"")</f>
        <v/>
      </c>
      <c r="BY26" s="1" t="str">
        <f>IF(ISNUMBER(BW26)=TRUE,IF(_xlfn.RANK.EQ(BW26,$BW$2:$BW$111)&lt;='Tournament Setup'!$B$41,_xlfn.RANK.EQ(BW26,$BW$2:$BW$111),""),"")</f>
        <v/>
      </c>
      <c r="BZ26" s="31" t="str">
        <f>IF(AND($H26='Tournament Setup'!$A$41,$E26="M",$BY26&gt;'Tournament Setup'!$B$41),$I26,"")</f>
        <v/>
      </c>
      <c r="CA26" s="1" t="str">
        <f>IF(ISNUMBER(BZ26)=TRUE,IF(_xlfn.RANK.EQ(BZ26,$BZ$2:$BZ$111)&lt;='Tournament Setup'!$C$41,_xlfn.RANK.EQ(BZ26,$BZ$2:$BZ$111),""),"")</f>
        <v/>
      </c>
      <c r="CB26" s="31" t="str">
        <f>IF(AND($H26='Tournament Setup'!$A$41,$E26="F",$BY26&gt;'Tournament Setup'!$B$41),$I26,"")</f>
        <v/>
      </c>
      <c r="CC26" s="12" t="str">
        <f>IF(ISNUMBER(CB26)=TRUE,IF(_xlfn.RANK.EQ(CB26,$CB$2:$CB$111)&lt;='Tournament Setup'!$D$41,_xlfn.RANK.EQ(CB26,$CB$2:$CB$111),""),"")</f>
        <v/>
      </c>
      <c r="CD26" s="30">
        <f>IF($H26='Tournament Setup'!$A$42,$I26,"")</f>
        <v>72</v>
      </c>
      <c r="CE26" s="47">
        <f>IF(ISNUMBER(CD26),IF(COUNTIFS(CE$1:CE25,_xlfn.RANK.EQ(CD26,CD$2:CD$111,0))&gt;0,_xlfn.MAXIFS(CE$1:CE25,CD$1:CD25,CD26)+1,_xlfn.RANK.EQ(CD26,CD$2:CD$111,0)),"")</f>
        <v>12</v>
      </c>
      <c r="CF26" s="1" t="str">
        <f>IF(ISNUMBER(CD26)=TRUE,IF(_xlfn.RANK.EQ(CD26,$CD$2:$CD$111)&lt;='Tournament Setup'!$B$42,_xlfn.RANK.EQ(CD26,$CD$2:$CD$111),""),"")</f>
        <v/>
      </c>
      <c r="CG26" s="31">
        <f>IF(AND($H26='Tournament Setup'!$A$42,$E26="M",$CF26&gt;'Tournament Setup'!$B$42),$I26,"")</f>
        <v>72</v>
      </c>
      <c r="CH26" s="1" t="str">
        <f>IF(ISNUMBER(CG26)=TRUE,IF(_xlfn.RANK.EQ(CG26,$CG$2:$CG$111)&lt;='Tournament Setup'!$C$42,_xlfn.RANK.EQ(CG26,$CG$2:$CG$111),""),"")</f>
        <v/>
      </c>
      <c r="CI26" s="31" t="str">
        <f>IF(AND($H26='Tournament Setup'!$A$42,$E26="F",$CF26&gt;'Tournament Setup'!$B$42),$I26,"")</f>
        <v/>
      </c>
      <c r="CJ26" s="12" t="str">
        <f>IF(ISNUMBER(CI26)=TRUE,IF(_xlfn.RANK.EQ(CI26,$CI$2:$CI$111)&lt;='Tournament Setup'!$D$42,_xlfn.RANK.EQ(CI26,$CI$2:$CI$111),""),"")</f>
        <v/>
      </c>
      <c r="CK26" s="30" t="str">
        <f>IF($H26='Tournament Setup'!$A$43,$I26,"")</f>
        <v/>
      </c>
      <c r="CL26" s="47" t="str">
        <f>IF(ISNUMBER(CK26),IF(COUNTIFS(CL$1:CL25,_xlfn.RANK.EQ(CK26,CK$2:CK$111,0))&gt;0,_xlfn.MAXIFS(CL$1:CL25,CK$1:CK25,CK26)+1,_xlfn.RANK.EQ(CK26,CK$2:CK$111,0)),"")</f>
        <v/>
      </c>
      <c r="CM26" s="1" t="str">
        <f>IF(ISNUMBER(CK26)=TRUE,IF(_xlfn.RANK.EQ(CK26,$CK$2:$CK$111)&lt;='Tournament Setup'!$B$43,_xlfn.RANK.EQ(CK26,$CK$2:$CK$111),""),"")</f>
        <v/>
      </c>
      <c r="CN26" s="31" t="str">
        <f>IF(AND($H26='Tournament Setup'!$A$43,$E26="M",$CM26&gt;'Tournament Setup'!$B$43),$I26,"")</f>
        <v/>
      </c>
      <c r="CO26" s="1" t="str">
        <f>IF(ISNUMBER(CN26)=TRUE,IF(_xlfn.RANK.EQ(CN26,$CN$2:$CN$111)&lt;='Tournament Setup'!$C$43,_xlfn.RANK.EQ(CN26,$CN$2:$CN$111),""),"")</f>
        <v/>
      </c>
      <c r="CP26" s="31" t="str">
        <f>IF(AND($H26='Tournament Setup'!$A$43,$E26="F",$CM26&gt;'Tournament Setup'!$B$43),$I26,"")</f>
        <v/>
      </c>
      <c r="CQ26" s="12" t="str">
        <f>IF(ISNUMBER(CP26)=TRUE,IF(_xlfn.RANK.EQ(CP26,$CP$2:$CP$111)&lt;='Tournament Setup'!$D$43,_xlfn.RANK.EQ(CP26,$CP$2:$CP$111),""),"")</f>
        <v/>
      </c>
      <c r="CR26" s="30" t="str">
        <f>IF($H26='Tournament Setup'!$A$44,$I26,"")</f>
        <v/>
      </c>
      <c r="CS26" s="47" t="str">
        <f>IF(ISNUMBER(CR26),IF(COUNTIFS(CS$1:CS25,_xlfn.RANK.EQ(CR26,CR$2:CR$111,0))&gt;0,_xlfn.MAXIFS(CS$1:CS25,CR$1:CR25,CR26)+1,_xlfn.RANK.EQ(CR26,CR$2:CR$111,0)),"")</f>
        <v/>
      </c>
      <c r="CT26" s="1" t="str">
        <f>IF(ISNUMBER(CR26)=TRUE,IF(_xlfn.RANK.EQ(CR26,$CR$2:$CR$111)&lt;='Tournament Setup'!$B$44,_xlfn.RANK.EQ(CR26,$CR$2:$CR$111),""),"")</f>
        <v/>
      </c>
      <c r="CU26" s="31" t="str">
        <f>IF(AND($H26='Tournament Setup'!$A$44,$E26="M",$CT26&gt;'Tournament Setup'!$B$44),$I26,"")</f>
        <v/>
      </c>
      <c r="CV26" s="1" t="str">
        <f>IF(ISNUMBER(CU26)=TRUE,IF(_xlfn.RANK.EQ(CU26,$CU$2:$CU$111)&lt;='Tournament Setup'!$C$44,_xlfn.RANK.EQ(CU26,$CU$2:$CU$111),""),"")</f>
        <v/>
      </c>
      <c r="CW26" s="31" t="str">
        <f>IF(AND($H26='Tournament Setup'!$A$44,$E26="F",$CT26&gt;'Tournament Setup'!$B$44),$I26,"")</f>
        <v/>
      </c>
      <c r="CX26" s="12" t="str">
        <f>IF(ISNUMBER(CW26)=TRUE,IF(_xlfn.RANK.EQ(CW26,$CW$2:$CW$111)&lt;='Tournament Setup'!$D$44,_xlfn.RANK.EQ(CW26,$CW$2:$CW$111),""),"")</f>
        <v/>
      </c>
    </row>
    <row r="27" spans="1:102" x14ac:dyDescent="0.3">
      <c r="A27" t="s">
        <v>182</v>
      </c>
      <c r="B27" t="str">
        <f>IFERROR(INDEX('Tournament List'!$B:$B,MATCH($A27,'Tournament List'!$A:$A,0)),"")</f>
        <v>Gary</v>
      </c>
      <c r="C27" t="str">
        <f>IFERROR(INDEX('Tournament List'!$C:$C,MATCH($A27,'Tournament List'!$A:$A,0)),"")</f>
        <v>Last Name26</v>
      </c>
      <c r="D27" t="str">
        <f t="shared" si="0"/>
        <v>Gary Last Name26</v>
      </c>
      <c r="E27" s="1" t="str">
        <f>IFERROR(INDEX('Tournament List'!F:F,MATCH($A27,'Tournament List'!$A:$A,0)),"")</f>
        <v>M</v>
      </c>
      <c r="F27" t="str">
        <f>IFERROR(INDEX('Tournament List'!M:M,MATCH($A27,'Tournament List'!$A:$A,0)),"")</f>
        <v>Junior Varsity</v>
      </c>
      <c r="G27" t="str">
        <f>IFERROR(INDEX('Shooter-Squad Assignment'!L:L,MATCH(A27,'Shooter-Squad Assignment'!A:A,0)),"")</f>
        <v>Junior Varsity</v>
      </c>
      <c r="H27" s="1" t="str">
        <f>IFERROR(INDEX('Tournament List'!AD:AD,MATCH($A27,'Tournament List'!$A:$A,0)),"")</f>
        <v>B</v>
      </c>
      <c r="I27" s="123">
        <f>IFERROR(INDEX('Tournament List'!AG:AG,MATCH($A27,'Tournament List'!$A:$A,0)),"")</f>
        <v>86</v>
      </c>
      <c r="J27" s="145">
        <f>IFERROR(INDEX('Tournament List'!Y:Y,MATCH($A27,'Tournament List'!$A:$A,0)),"")</f>
        <v>239</v>
      </c>
      <c r="K27" s="47">
        <f>IFERROR(INDEX('Tournament List'!S:S,MATCH(A27,'Tournament List'!A:A,0)),"")</f>
        <v>235</v>
      </c>
      <c r="L27" s="47">
        <f>IF(ISNUMBER(J27),IF(COUNTIFS(L$1:L26,_xlfn.RANK.EQ(J27,J$2:J$111,0))&gt;0,_xlfn.MAXIFS(L$1:L26,J$1:J26,J27)+1,_xlfn.RANK.EQ(J27,J$2:J$111,0)),"")</f>
        <v>4</v>
      </c>
      <c r="M27" s="11">
        <f>IF(ISNUMBER(I27)=TRUE,IF(I27&gt;0,_xlfn.RANK.EQ(I27,$I$2:$I$111,0),""),"")</f>
        <v>12</v>
      </c>
      <c r="N27" s="56">
        <f>IF(ISNUMBER(I27),IF(COUNTIFS(N$1:N26,_xlfn.RANK.EQ(I27,I$2:I$111,0))&gt;0,_xlfn.MAXIFS(N$1:N26,I$1:I26,I27)+1,_xlfn.RANK.EQ(I27,I$2:I$111,0)),"")</f>
        <v>12</v>
      </c>
      <c r="O27" s="144">
        <f>IF(F27&lt;&gt;"Collegiate"=TRUE,$I27,"")</f>
        <v>86</v>
      </c>
      <c r="P27" s="47">
        <f>IF(ISNUMBER(O27),IF(COUNTIFS(P$1:P26,_xlfn.RANK.EQ(O27,O$2:O$111,0))&gt;0,_xlfn.MAXIFS(P$1:P26,O$1:O26,O27)+1,_xlfn.RANK.EQ(O27,O$2:O$111,0)),"")</f>
        <v>10</v>
      </c>
      <c r="Q27" s="1" t="str">
        <f>IF(ISNUMBER(O27)=TRUE,IF(_xlfn.RANK.EQ(O27,$O$2:$O$111)&lt;='Tournament Setup'!$B$26,_xlfn.RANK.EQ(O27,$O$2:$O$111),""),"")</f>
        <v/>
      </c>
      <c r="R27" s="143">
        <f>IF(AND($E27="M",SUM($Q27)=0,F27&lt;&gt;"Collegiate")=TRUE,$I27,"")</f>
        <v>86</v>
      </c>
      <c r="S27" s="1">
        <f>IF(ISNUMBER(R27)=TRUE,IF(_xlfn.RANK.EQ(R27,$R$2:$R$111)&lt;='Tournament Setup'!$B$27,_xlfn.RANK.EQ(R27,$R$2:$R$111),""),"")</f>
        <v>3</v>
      </c>
      <c r="T27" s="143" t="str">
        <f>IF(AND($E27="F",SUM($Q27)=0,F27&lt;&gt;"Collegiate")=TRUE,$I27,"")</f>
        <v/>
      </c>
      <c r="U27" s="12" t="str">
        <f>IF(ISNUMBER(T27)=TRUE,IF(_xlfn.RANK.EQ(T27,$T$2:$T$111)&lt;='Tournament Setup'!$B$28,_xlfn.RANK.EQ(T27,$T$2:$T$111),""),"")</f>
        <v/>
      </c>
      <c r="V27" s="145" t="str">
        <f>IF(AND($G27='Tournament Setup'!$A$53,$J27&lt;&gt;0),$J27,"")</f>
        <v/>
      </c>
      <c r="W27" s="47" t="str">
        <f>IF(ISNUMBER(V27),IF(COUNTIFS(W$1:W26,_xlfn.RANK.EQ(V27,V$2:V$111,0))&gt;0,_xlfn.MAXIFS(W$1:W26,V$1:V26,V27)+1,_xlfn.RANK.EQ(V27,V$2:V$111,0)),"")</f>
        <v/>
      </c>
      <c r="X27" s="1" t="str">
        <f>IF(ISNUMBER(V27)=TRUE,IF(_xlfn.RANK.EQ(V27,$V$2:$V$111)&lt;='Tournament Setup'!$B$53,_xlfn.RANK.EQ(V27,$V$2:$V$111),""),"")</f>
        <v/>
      </c>
      <c r="Y27" s="145" t="str">
        <f>IF(AND($G27='Tournament Setup'!$A$49,$J27&lt;&gt;0),$J27,"")</f>
        <v/>
      </c>
      <c r="Z27" s="47" t="str">
        <f>IF(ISNUMBER(Y27),IF(COUNTIFS(Z$1:Z26,_xlfn.RANK.EQ(Y27,Y$2:Y$111,0))&gt;0,_xlfn.MAXIFS(Z$1:Z26,Y$1:Y26,Y27)+1,_xlfn.RANK.EQ(Y27,Y$2:Y$111,0)),"")</f>
        <v/>
      </c>
      <c r="AA27" s="1" t="str">
        <f>IF(ISNUMBER(Y27)=TRUE,IF(_xlfn.RANK.EQ(Y27,$Y$2:$Y$111)&lt;='Tournament Setup'!$B$49,_xlfn.RANK.EQ(Y27,$Y$2:$Y$111),""),"")</f>
        <v/>
      </c>
      <c r="AB27" s="30" t="str">
        <f>IF(AND($F27='Tournament Setup'!$A$32,SUM($Q27,$S27,$U27)=0),$I27,"")</f>
        <v/>
      </c>
      <c r="AC27" s="47" t="str">
        <f>IF(ISNUMBER(AB27),IF(COUNTIFS(AC$1:AC26,_xlfn.RANK.EQ(AB27,AB$2:AB$111,0))&gt;0,_xlfn.MAXIFS(AC$1:AC26,AB$1:AB26,AB27)+1,_xlfn.RANK.EQ(AB27,AB$2:AB$111,0)),"")</f>
        <v/>
      </c>
      <c r="AD27" s="1" t="str">
        <f>IF(ISNUMBER(AB27)=TRUE,IF(_xlfn.RANK.EQ(AB27,$AB$2:$AB$111)&lt;='Tournament Setup'!$B$32,_xlfn.RANK.EQ(AB27,$AB$2:$AB$111),""),"")</f>
        <v/>
      </c>
      <c r="AE27" s="31" t="str">
        <f>IF(AND($F27='Tournament Setup'!$A$32,SUM($Q27,$S27)=0,$E27="M",$AD27&gt;'Tournament Setup'!$B$32),$I27,"")</f>
        <v/>
      </c>
      <c r="AF27" s="1" t="str">
        <f>IF(ISNUMBER(AE27)=TRUE,IF(_xlfn.RANK.EQ(AE27,$AE$2:$AE$111)&lt;='Tournament Setup'!$C$32,_xlfn.RANK.EQ(AE27,$AE$2:$AE$111),""),"")</f>
        <v/>
      </c>
      <c r="AG27" s="31" t="str">
        <f>IF(AND($F27='Tournament Setup'!$A$32,SUM($Q27,$U27)=0,$E27="F",$AD27&gt;'Tournament Setup'!$B$32),$I27,"")</f>
        <v/>
      </c>
      <c r="AH27" s="12" t="str">
        <f>IF(ISNUMBER(AG27)=TRUE,IF(_xlfn.RANK.EQ(AG27,$AG$2:$AG$111)&lt;='Tournament Setup'!$D$32,_xlfn.RANK.EQ(AG27,$AG$2:$AG$111),""),"")</f>
        <v/>
      </c>
      <c r="AI27" s="30" t="str">
        <f>IF(AND($G27='Tournament Setup'!$A$50,$J27&lt;&gt;0),$J27,"")</f>
        <v/>
      </c>
      <c r="AJ27" s="47" t="str">
        <f>IF(ISNUMBER(AI27),IF(COUNTIFS(AJ$1:AJ26,_xlfn.RANK.EQ(AI27,AI$2:AI$111,0))&gt;0,_xlfn.MAXIFS(AJ$1:AJ26,AI$1:AI26,AI27)+1,_xlfn.RANK.EQ(AI27,AI$2:AI$111,0)),"")</f>
        <v/>
      </c>
      <c r="AK27" s="1" t="str">
        <f>IF(ISNUMBER(AI27)=TRUE,IF(_xlfn.RANK.EQ(AI27,$AI$2:$AI$111)&lt;='Tournament Setup'!$B$49,_xlfn.RANK.EQ(AI27,$AI$2:$AI$111),""),"")</f>
        <v/>
      </c>
      <c r="AL27" s="30" t="str">
        <f>IF(AND($F27='Tournament Setup'!$A$33,SUM($Q27,$S27,$U27)=0),$I27,"")</f>
        <v/>
      </c>
      <c r="AM27" s="47" t="str">
        <f>IF(ISNUMBER(AL27),IF(COUNTIFS(AM$1:AM26,_xlfn.RANK.EQ(AL27,AL$2:AL$111,0))&gt;0,_xlfn.MAXIFS(AM$1:AM26,AL$1:AL26,AL27)+1,_xlfn.RANK.EQ(AL27,AL$2:AL$111,0)),"")</f>
        <v/>
      </c>
      <c r="AN27" s="1" t="str">
        <f>IF(ISNUMBER(AL27)=TRUE,IF(_xlfn.RANK.EQ(AL27,$AL$2:$AL$111)&lt;='Tournament Setup'!$B$33,_xlfn.RANK.EQ(AL27,$AL$2:$AL$111),""),"")</f>
        <v/>
      </c>
      <c r="AO27" s="31" t="str">
        <f>IF(AND($F27='Tournament Setup'!$A$33,SUM($Q27,$S27)=0,$E27="M",$AN27&gt;'Tournament Setup'!$B$33),$I27,"")</f>
        <v/>
      </c>
      <c r="AP27" s="1" t="str">
        <f>IF(ISNUMBER(AO27)=TRUE,IF(_xlfn.RANK.EQ(AO27,$AO$2:$AO$111)&lt;='Tournament Setup'!$C$33,_xlfn.RANK.EQ(AO27,$AO$2:$AO$111),""),"")</f>
        <v/>
      </c>
      <c r="AQ27" s="31" t="str">
        <f>IF(AND($F27='Tournament Setup'!$A$33,SUM($Q27,$U27)=0,$E27="F",$AN27&gt;'Tournament Setup'!$B$33),$I27,"")</f>
        <v/>
      </c>
      <c r="AR27" s="12" t="str">
        <f>IF(ISNUMBER(AQ27)=TRUE,IF(_xlfn.RANK.EQ(AQ27,$AQ$2:$AQ$111)&lt;='Tournament Setup'!$D$33,_xlfn.RANK.EQ(AQ27,$AQ$2:$AQ$111),""),"")</f>
        <v/>
      </c>
      <c r="AS27" s="30">
        <f>IF(AND($G27='Tournament Setup'!$A$51,$J27&lt;&gt;0),$J27,"")</f>
        <v>239</v>
      </c>
      <c r="AT27" s="47">
        <f>IF(ISNUMBER(AS27),IF(COUNTIFS(AT$1:AT26,_xlfn.RANK.EQ(AS27,AS$2:AS$111,0))&gt;0,_xlfn.MAXIFS(AT$1:AT26,AS$1:AS26,AS27)+1,_xlfn.RANK.EQ(AS27,AS$2:AS$111,0)),"")</f>
        <v>2</v>
      </c>
      <c r="AU27" s="1">
        <f>IF(ISNUMBER(AS27)=TRUE,IF(_xlfn.RANK.EQ(AS27,$AS$2:$AS$111)&lt;='Tournament Setup'!$B$49,_xlfn.RANK.EQ(AS27,$AS$2:$AS$111),""),"")</f>
        <v>2</v>
      </c>
      <c r="AV27" s="30" t="str">
        <f>IF(AND($F27='Tournament Setup'!$A$34,SUM($Q27,$S27,$U27)=0),$I27,"")</f>
        <v/>
      </c>
      <c r="AW27" s="47" t="str">
        <f>IF(ISNUMBER(AV27),IF(COUNTIFS(AW$1:AW26,_xlfn.RANK.EQ(AV27,AV$2:AV$111,0))&gt;0,_xlfn.MAXIFS(AW$1:AW26,AV$1:AV26,AV27)+1,_xlfn.RANK.EQ(AV27,AV$2:AV$111,0)),"")</f>
        <v/>
      </c>
      <c r="AX27" s="1" t="str">
        <f>IF(ISNUMBER(AV27)=TRUE,IF(_xlfn.RANK.EQ(AV27,$AV$2:$AV$111)&lt;='Tournament Setup'!$B$34,_xlfn.RANK.EQ(AV27,$AV$2:$AV$111),""),"")</f>
        <v/>
      </c>
      <c r="AY27" s="31" t="str">
        <f>IF(AND($F27='Tournament Setup'!$A$34,SUM($Q27,$S27)=0,$E27="M",$AX27&gt;'Tournament Setup'!$B$34),$I27,"")</f>
        <v/>
      </c>
      <c r="AZ27" s="1" t="str">
        <f>IF(ISNUMBER(AY27)=TRUE,IF(_xlfn.RANK.EQ(AY27,$AY$2:$AY$111)&lt;='Tournament Setup'!$C$34,_xlfn.RANK.EQ(AY27,$AY$2:$AY$111),""),"")</f>
        <v/>
      </c>
      <c r="BA27" s="31" t="str">
        <f>IF(AND($F27='Tournament Setup'!$A$34,SUM($Q27,$U27)=0,$E27="F",$AX27&gt;'Tournament Setup'!$B$34),$I27,"")</f>
        <v/>
      </c>
      <c r="BB27" s="12" t="str">
        <f>IF(ISNUMBER(BA27)=TRUE,IF(_xlfn.RANK.EQ(BA27,$BA$2:$BA$111)&lt;='Tournament Setup'!$D$34,_xlfn.RANK.EQ(BA27,$BA$2:$BA$111),""),"")</f>
        <v/>
      </c>
      <c r="BC27" s="30" t="str">
        <f>IF(AND($G27='Tournament Setup'!$A$52,$J27&lt;&gt;0),$J27,"")</f>
        <v/>
      </c>
      <c r="BD27" s="47" t="str">
        <f>IF(ISNUMBER(BC27),IF(COUNTIFS(BD$1:BD26,_xlfn.RANK.EQ(BC27,BC$2:BC$111,0))&gt;0,_xlfn.MAXIFS(BD$1:BD26,BC$1:BC26,BC27)+1,_xlfn.RANK.EQ(BC27,BC$2:BC$111,0)),"")</f>
        <v/>
      </c>
      <c r="BE27" s="1" t="str">
        <f>IF(ISNUMBER(BC27)=TRUE,IF(_xlfn.RANK.EQ(BC27,$BC$2:$BC$111)&lt;='Tournament Setup'!$B$49,_xlfn.RANK.EQ(BC27,$BC$2:$BC$111),""),"")</f>
        <v/>
      </c>
      <c r="BF27" s="30" t="str">
        <f>IF(AND($F27='Tournament Setup'!$A$35,SUM($Q27,$S27,$U27)=0),$I27,"")</f>
        <v/>
      </c>
      <c r="BG27" s="47" t="str">
        <f>IF(ISNUMBER(BF27),IF(COUNTIFS(BG$1:BG26,_xlfn.RANK.EQ(BF27,BF$2:BF$111,0))&gt;0,_xlfn.MAXIFS(BG$1:BG26,BF$1:BF26,BF27)+1,_xlfn.RANK.EQ(BF27,BF$2:BF$111,0)),"")</f>
        <v/>
      </c>
      <c r="BH27" s="1" t="str">
        <f>IF(ISNUMBER(BF27)=TRUE,IF(_xlfn.RANK.EQ(BF27,$BF$2:$BF$111)&lt;='Tournament Setup'!$B$35,_xlfn.RANK.EQ(BF27,$BF$2:$BF$111),""),"")</f>
        <v/>
      </c>
      <c r="BI27" s="31" t="str">
        <f>IF(AND($F27='Tournament Setup'!$A$35,SUM($Q27,$S27)=0,$E27="M",$BH27&gt;'Tournament Setup'!$B$35),$I27,"")</f>
        <v/>
      </c>
      <c r="BJ27" s="1" t="str">
        <f>IF(ISNUMBER(BI27)=TRUE,IF(_xlfn.RANK.EQ(BI27,$BI$2:$BI$111)&lt;='Tournament Setup'!$C$35,_xlfn.RANK.EQ(BI27,$BI$2:$BI$111),""),"")</f>
        <v/>
      </c>
      <c r="BK27" s="31" t="str">
        <f>IF(AND($F27='Tournament Setup'!$A$35,SUM($Q27,$U27)=0,$E27="F",$BH27&gt;'Tournament Setup'!$B$35),$I27,"")</f>
        <v/>
      </c>
      <c r="BL27" s="12" t="str">
        <f>IF(ISNUMBER(BK27)=TRUE,IF(_xlfn.RANK.EQ(BK27,$BK$2:$BK$111)&lt;='Tournament Setup'!$D$35,_xlfn.RANK.EQ(BK27,$BK$2:$BK$111),""),"")</f>
        <v/>
      </c>
      <c r="BM27" s="30" t="str">
        <f>IF(AND($G27='Tournament Setup'!$A$54,$J27&lt;&gt;0),$J27,"")</f>
        <v/>
      </c>
      <c r="BN27" s="47" t="str">
        <f>IF(ISNUMBER(BM27),IF(COUNTIFS(BN$1:BN26,_xlfn.RANK.EQ(BM27,BM$2:BM$111,0))&gt;0,_xlfn.MAXIFS(BN$1:BN26,BM$1:BM26,BM27)+1,_xlfn.RANK.EQ(BM27,BM$2:BM$111,0)),"")</f>
        <v/>
      </c>
      <c r="BO27" s="1" t="str">
        <f>IF(ISNUMBER(BM27)=TRUE,IF(_xlfn.RANK.EQ(BM27,$BM$2:$BM$111)&lt;='Tournament Setup'!$B$49,_xlfn.RANK.EQ(BM27,$BM$2:$BM$111),""),"")</f>
        <v/>
      </c>
      <c r="BP27" s="30" t="str">
        <f>IF(AND($F27='Tournament Setup'!$A$36,SUM($Q27,$S27,$U27)=0),$I27,"")</f>
        <v/>
      </c>
      <c r="BQ27" s="47" t="str">
        <f>IF(ISNUMBER(BP27),IF(COUNTIFS(BQ$1:BQ26,_xlfn.RANK.EQ(BP27,BP$2:BP$111,0))&gt;0,_xlfn.MAXIFS(BQ$1:BQ26,BP$1:BP26,BP27)+1,_xlfn.RANK.EQ(BP27,BP$2:BP$111,0)),"")</f>
        <v/>
      </c>
      <c r="BR27" s="1" t="str">
        <f>IF(ISNUMBER(BP27)=TRUE,IF(_xlfn.RANK.EQ(BP27,$BP$2:$BP$111)&lt;='Tournament Setup'!$B$36,_xlfn.RANK.EQ(BP27,$BP$2:$BP$111),""),"")</f>
        <v/>
      </c>
      <c r="BS27" s="31" t="str">
        <f>IF(AND($F27='Tournament Setup'!$A$36,SUM($Q27,$S27)=0,$E27="M",$BR27&gt;'Tournament Setup'!$B$36),$I27,"")</f>
        <v/>
      </c>
      <c r="BT27" s="1" t="str">
        <f>IF(ISNUMBER(BS27)=TRUE,IF(_xlfn.RANK.EQ(BS27,$BS$2:$BS$111)&lt;='Tournament Setup'!$C$36,_xlfn.RANK.EQ(BS27,$BS$2:$BS$111),""),"")</f>
        <v/>
      </c>
      <c r="BU27" s="31" t="str">
        <f>IF(AND($F27='Tournament Setup'!$A$36,SUM($Q27,$U27)=0,$E27="F",$BR27&gt;'Tournament Setup'!$B$36),$I27,"")</f>
        <v/>
      </c>
      <c r="BV27" s="12" t="str">
        <f>IF(ISNUMBER(BU27)=TRUE,IF(_xlfn.RANK.EQ(BU27,$BU$2:$BU$111)&lt;='Tournament Setup'!$D$36,_xlfn.RANK.EQ(BU27,$BU$2:$BU$111),""),"")</f>
        <v/>
      </c>
      <c r="BW27" s="30" t="str">
        <f>IF($H27='Tournament Setup'!$A$41,$I27,"")</f>
        <v/>
      </c>
      <c r="BX27" s="47" t="str">
        <f>IF(ISNUMBER(BW27),IF(COUNTIFS(BX$1:BX26,_xlfn.RANK.EQ(BW27,BW$2:BW$111,0))&gt;0,_xlfn.MAXIFS(BX$1:BX26,BW$1:BW26,BW27)+1,_xlfn.RANK.EQ(BW27,BW$2:BW$111,0)),"")</f>
        <v/>
      </c>
      <c r="BY27" s="1" t="str">
        <f>IF(ISNUMBER(BW27)=TRUE,IF(_xlfn.RANK.EQ(BW27,$BW$2:$BW$111)&lt;='Tournament Setup'!$B$41,_xlfn.RANK.EQ(BW27,$BW$2:$BW$111),""),"")</f>
        <v/>
      </c>
      <c r="BZ27" s="31" t="str">
        <f>IF(AND($H27='Tournament Setup'!$A$41,$E27="M",$BY27&gt;'Tournament Setup'!$B$41),$I27,"")</f>
        <v/>
      </c>
      <c r="CA27" s="1" t="str">
        <f>IF(ISNUMBER(BZ27)=TRUE,IF(_xlfn.RANK.EQ(BZ27,$BZ$2:$BZ$111)&lt;='Tournament Setup'!$C$41,_xlfn.RANK.EQ(BZ27,$BZ$2:$BZ$111),""),"")</f>
        <v/>
      </c>
      <c r="CB27" s="31" t="str">
        <f>IF(AND($H27='Tournament Setup'!$A$41,$E27="F",$BY27&gt;'Tournament Setup'!$B$41),$I27,"")</f>
        <v/>
      </c>
      <c r="CC27" s="12" t="str">
        <f>IF(ISNUMBER(CB27)=TRUE,IF(_xlfn.RANK.EQ(CB27,$CB$2:$CB$111)&lt;='Tournament Setup'!$D$41,_xlfn.RANK.EQ(CB27,$CB$2:$CB$111),""),"")</f>
        <v/>
      </c>
      <c r="CD27" s="30">
        <f>IF($H27='Tournament Setup'!$A$42,$I27,"")</f>
        <v>86</v>
      </c>
      <c r="CE27" s="47">
        <f>IF(ISNUMBER(CD27),IF(COUNTIFS(CE$1:CE26,_xlfn.RANK.EQ(CD27,CD$2:CD$111,0))&gt;0,_xlfn.MAXIFS(CE$1:CE26,CD$1:CD26,CD27)+1,_xlfn.RANK.EQ(CD27,CD$2:CD$111,0)),"")</f>
        <v>7</v>
      </c>
      <c r="CF27" s="1" t="str">
        <f>IF(ISNUMBER(CD27)=TRUE,IF(_xlfn.RANK.EQ(CD27,$CD$2:$CD$111)&lt;='Tournament Setup'!$B$42,_xlfn.RANK.EQ(CD27,$CD$2:$CD$111),""),"")</f>
        <v/>
      </c>
      <c r="CG27" s="31">
        <f>IF(AND($H27='Tournament Setup'!$A$42,$E27="M",$CF27&gt;'Tournament Setup'!$B$42),$I27,"")</f>
        <v>86</v>
      </c>
      <c r="CH27" s="1">
        <f>IF(ISNUMBER(CG27)=TRUE,IF(_xlfn.RANK.EQ(CG27,$CG$2:$CG$111)&lt;='Tournament Setup'!$C$42,_xlfn.RANK.EQ(CG27,$CG$2:$CG$111),""),"")</f>
        <v>3</v>
      </c>
      <c r="CI27" s="31" t="str">
        <f>IF(AND($H27='Tournament Setup'!$A$42,$E27="F",$CF27&gt;'Tournament Setup'!$B$42),$I27,"")</f>
        <v/>
      </c>
      <c r="CJ27" s="12" t="str">
        <f>IF(ISNUMBER(CI27)=TRUE,IF(_xlfn.RANK.EQ(CI27,$CI$2:$CI$111)&lt;='Tournament Setup'!$D$42,_xlfn.RANK.EQ(CI27,$CI$2:$CI$111),""),"")</f>
        <v/>
      </c>
      <c r="CK27" s="30" t="str">
        <f>IF($H27='Tournament Setup'!$A$43,$I27,"")</f>
        <v/>
      </c>
      <c r="CL27" s="47" t="str">
        <f>IF(ISNUMBER(CK27),IF(COUNTIFS(CL$1:CL26,_xlfn.RANK.EQ(CK27,CK$2:CK$111,0))&gt;0,_xlfn.MAXIFS(CL$1:CL26,CK$1:CK26,CK27)+1,_xlfn.RANK.EQ(CK27,CK$2:CK$111,0)),"")</f>
        <v/>
      </c>
      <c r="CM27" s="1" t="str">
        <f>IF(ISNUMBER(CK27)=TRUE,IF(_xlfn.RANK.EQ(CK27,$CK$2:$CK$111)&lt;='Tournament Setup'!$B$43,_xlfn.RANK.EQ(CK27,$CK$2:$CK$111),""),"")</f>
        <v/>
      </c>
      <c r="CN27" s="31" t="str">
        <f>IF(AND($H27='Tournament Setup'!$A$43,$E27="M",$CM27&gt;'Tournament Setup'!$B$43),$I27,"")</f>
        <v/>
      </c>
      <c r="CO27" s="1" t="str">
        <f>IF(ISNUMBER(CN27)=TRUE,IF(_xlfn.RANK.EQ(CN27,$CN$2:$CN$111)&lt;='Tournament Setup'!$C$43,_xlfn.RANK.EQ(CN27,$CN$2:$CN$111),""),"")</f>
        <v/>
      </c>
      <c r="CP27" s="31" t="str">
        <f>IF(AND($H27='Tournament Setup'!$A$43,$E27="F",$CM27&gt;'Tournament Setup'!$B$43),$I27,"")</f>
        <v/>
      </c>
      <c r="CQ27" s="12" t="str">
        <f>IF(ISNUMBER(CP27)=TRUE,IF(_xlfn.RANK.EQ(CP27,$CP$2:$CP$111)&lt;='Tournament Setup'!$D$43,_xlfn.RANK.EQ(CP27,$CP$2:$CP$111),""),"")</f>
        <v/>
      </c>
      <c r="CR27" s="30" t="str">
        <f>IF($H27='Tournament Setup'!$A$44,$I27,"")</f>
        <v/>
      </c>
      <c r="CS27" s="47" t="str">
        <f>IF(ISNUMBER(CR27),IF(COUNTIFS(CS$1:CS26,_xlfn.RANK.EQ(CR27,CR$2:CR$111,0))&gt;0,_xlfn.MAXIFS(CS$1:CS26,CR$1:CR26,CR27)+1,_xlfn.RANK.EQ(CR27,CR$2:CR$111,0)),"")</f>
        <v/>
      </c>
      <c r="CT27" s="1" t="str">
        <f>IF(ISNUMBER(CR27)=TRUE,IF(_xlfn.RANK.EQ(CR27,$CR$2:$CR$111)&lt;='Tournament Setup'!$B$44,_xlfn.RANK.EQ(CR27,$CR$2:$CR$111),""),"")</f>
        <v/>
      </c>
      <c r="CU27" s="31" t="str">
        <f>IF(AND($H27='Tournament Setup'!$A$44,$E27="M",$CT27&gt;'Tournament Setup'!$B$44),$I27,"")</f>
        <v/>
      </c>
      <c r="CV27" s="1" t="str">
        <f>IF(ISNUMBER(CU27)=TRUE,IF(_xlfn.RANK.EQ(CU27,$CU$2:$CU$111)&lt;='Tournament Setup'!$C$44,_xlfn.RANK.EQ(CU27,$CU$2:$CU$111),""),"")</f>
        <v/>
      </c>
      <c r="CW27" s="31" t="str">
        <f>IF(AND($H27='Tournament Setup'!$A$44,$E27="F",$CT27&gt;'Tournament Setup'!$B$44),$I27,"")</f>
        <v/>
      </c>
      <c r="CX27" s="12" t="str">
        <f>IF(ISNUMBER(CW27)=TRUE,IF(_xlfn.RANK.EQ(CW27,$CW$2:$CW$111)&lt;='Tournament Setup'!$D$44,_xlfn.RANK.EQ(CW27,$CW$2:$CW$111),""),"")</f>
        <v/>
      </c>
    </row>
    <row r="28" spans="1:102" x14ac:dyDescent="0.3">
      <c r="A28" t="s">
        <v>183</v>
      </c>
      <c r="B28" t="str">
        <f>IFERROR(INDEX('Tournament List'!$B:$B,MATCH($A28,'Tournament List'!$A:$A,0)),"")</f>
        <v>Becky</v>
      </c>
      <c r="C28" t="str">
        <f>IFERROR(INDEX('Tournament List'!$C:$C,MATCH($A28,'Tournament List'!$A:$A,0)),"")</f>
        <v>Last Name27</v>
      </c>
      <c r="D28" t="str">
        <f t="shared" si="0"/>
        <v>Becky Last Name27</v>
      </c>
      <c r="E28" s="1" t="str">
        <f>IFERROR(INDEX('Tournament List'!F:F,MATCH($A28,'Tournament List'!$A:$A,0)),"")</f>
        <v>F</v>
      </c>
      <c r="F28" t="str">
        <f>IFERROR(INDEX('Tournament List'!M:M,MATCH($A28,'Tournament List'!$A:$A,0)),"")</f>
        <v>Collegiate</v>
      </c>
      <c r="G28" t="str">
        <f>IFERROR(INDEX('Shooter-Squad Assignment'!L:L,MATCH(A28,'Shooter-Squad Assignment'!A:A,0)),"")</f>
        <v>Collegiate</v>
      </c>
      <c r="H28" s="1" t="str">
        <f>IFERROR(INDEX('Tournament List'!AD:AD,MATCH($A28,'Tournament List'!$A:$A,0)),"")</f>
        <v>C</v>
      </c>
      <c r="I28" s="123">
        <f>IFERROR(INDEX('Tournament List'!AG:AG,MATCH($A28,'Tournament List'!$A:$A,0)),"")</f>
        <v>45</v>
      </c>
      <c r="J28" s="145" t="str">
        <f>IFERROR(INDEX('Tournament List'!Y:Y,MATCH($A28,'Tournament List'!$A:$A,0)),"")</f>
        <v/>
      </c>
      <c r="K28" s="47">
        <f>IFERROR(INDEX('Tournament List'!S:S,MATCH(A28,'Tournament List'!A:A,0)),"")</f>
        <v>286</v>
      </c>
      <c r="L28" s="47" t="str">
        <f>IF(ISNUMBER(J28),IF(COUNTIFS(L$1:L27,_xlfn.RANK.EQ(J28,J$2:J$111,0))&gt;0,_xlfn.MAXIFS(L$1:L27,J$1:J27,J28)+1,_xlfn.RANK.EQ(J28,J$2:J$111,0)),"")</f>
        <v/>
      </c>
      <c r="M28" s="11">
        <f>IF(ISNUMBER(I28)=TRUE,IF(I28&gt;0,_xlfn.RANK.EQ(I28,$I$2:$I$111,0),""),"")</f>
        <v>43</v>
      </c>
      <c r="N28" s="56">
        <f>IF(ISNUMBER(I28),IF(COUNTIFS(N$1:N27,_xlfn.RANK.EQ(I28,I$2:I$111,0))&gt;0,_xlfn.MAXIFS(N$1:N27,I$1:I27,I28)+1,_xlfn.RANK.EQ(I28,I$2:I$111,0)),"")</f>
        <v>43</v>
      </c>
      <c r="O28" s="144" t="str">
        <f>IF(F28&lt;&gt;"Collegiate"=TRUE,$I28,"")</f>
        <v/>
      </c>
      <c r="P28" s="47" t="str">
        <f>IF(ISNUMBER(O28),IF(COUNTIFS(P$1:P27,_xlfn.RANK.EQ(O28,O$2:O$111,0))&gt;0,_xlfn.MAXIFS(P$1:P27,O$1:O27,O28)+1,_xlfn.RANK.EQ(O28,O$2:O$111,0)),"")</f>
        <v/>
      </c>
      <c r="Q28" s="1" t="str">
        <f>IF(ISNUMBER(O28)=TRUE,IF(_xlfn.RANK.EQ(O28,$O$2:$O$111)&lt;='Tournament Setup'!$B$26,_xlfn.RANK.EQ(O28,$O$2:$O$111),""),"")</f>
        <v/>
      </c>
      <c r="R28" s="143" t="str">
        <f>IF(AND($E28="M",SUM($Q28)=0,F28&lt;&gt;"Collegiate")=TRUE,$I28,"")</f>
        <v/>
      </c>
      <c r="S28" s="1" t="str">
        <f>IF(ISNUMBER(R28)=TRUE,IF(_xlfn.RANK.EQ(R28,$R$2:$R$111)&lt;='Tournament Setup'!$B$27,_xlfn.RANK.EQ(R28,$R$2:$R$111),""),"")</f>
        <v/>
      </c>
      <c r="T28" s="143" t="str">
        <f>IF(AND($E28="F",SUM($Q28)=0,F28&lt;&gt;"Collegiate")=TRUE,$I28,"")</f>
        <v/>
      </c>
      <c r="U28" s="12" t="str">
        <f>IF(ISNUMBER(T28)=TRUE,IF(_xlfn.RANK.EQ(T28,$T$2:$T$111)&lt;='Tournament Setup'!$B$28,_xlfn.RANK.EQ(T28,$T$2:$T$111),""),"")</f>
        <v/>
      </c>
      <c r="V28" s="145" t="str">
        <f>IF(AND($G28='Tournament Setup'!$A$53,$J28&lt;&gt;0),$J28,"")</f>
        <v/>
      </c>
      <c r="W28" s="47" t="str">
        <f>IF(ISNUMBER(V28),IF(COUNTIFS(W$1:W27,_xlfn.RANK.EQ(V28,V$2:V$111,0))&gt;0,_xlfn.MAXIFS(W$1:W27,V$1:V27,V28)+1,_xlfn.RANK.EQ(V28,V$2:V$111,0)),"")</f>
        <v/>
      </c>
      <c r="X28" s="1" t="str">
        <f>IF(ISNUMBER(V28)=TRUE,IF(_xlfn.RANK.EQ(V28,$V$2:$V$111)&lt;='Tournament Setup'!$B$53,_xlfn.RANK.EQ(V28,$V$2:$V$111),""),"")</f>
        <v/>
      </c>
      <c r="Y28" s="145" t="str">
        <f>IF(AND($G28='Tournament Setup'!$A$49,$J28&lt;&gt;0),$J28,"")</f>
        <v/>
      </c>
      <c r="Z28" s="47" t="str">
        <f>IF(ISNUMBER(Y28),IF(COUNTIFS(Z$1:Z27,_xlfn.RANK.EQ(Y28,Y$2:Y$111,0))&gt;0,_xlfn.MAXIFS(Z$1:Z27,Y$1:Y27,Y28)+1,_xlfn.RANK.EQ(Y28,Y$2:Y$111,0)),"")</f>
        <v/>
      </c>
      <c r="AA28" s="1" t="str">
        <f>IF(ISNUMBER(Y28)=TRUE,IF(_xlfn.RANK.EQ(Y28,$Y$2:$Y$111)&lt;='Tournament Setup'!$B$49,_xlfn.RANK.EQ(Y28,$Y$2:$Y$111),""),"")</f>
        <v/>
      </c>
      <c r="AB28" s="30" t="str">
        <f>IF(AND($F28='Tournament Setup'!$A$32,SUM($Q28,$S28,$U28)=0),$I28,"")</f>
        <v/>
      </c>
      <c r="AC28" s="47" t="str">
        <f>IF(ISNUMBER(AB28),IF(COUNTIFS(AC$1:AC27,_xlfn.RANK.EQ(AB28,AB$2:AB$111,0))&gt;0,_xlfn.MAXIFS(AC$1:AC27,AB$1:AB27,AB28)+1,_xlfn.RANK.EQ(AB28,AB$2:AB$111,0)),"")</f>
        <v/>
      </c>
      <c r="AD28" s="1" t="str">
        <f>IF(ISNUMBER(AB28)=TRUE,IF(_xlfn.RANK.EQ(AB28,$AB$2:$AB$111)&lt;='Tournament Setup'!$B$32,_xlfn.RANK.EQ(AB28,$AB$2:$AB$111),""),"")</f>
        <v/>
      </c>
      <c r="AE28" s="31" t="str">
        <f>IF(AND($F28='Tournament Setup'!$A$32,SUM($Q28,$S28)=0,$E28="M",$AD28&gt;'Tournament Setup'!$B$32),$I28,"")</f>
        <v/>
      </c>
      <c r="AF28" s="1" t="str">
        <f>IF(ISNUMBER(AE28)=TRUE,IF(_xlfn.RANK.EQ(AE28,$AE$2:$AE$111)&lt;='Tournament Setup'!$C$32,_xlfn.RANK.EQ(AE28,$AE$2:$AE$111),""),"")</f>
        <v/>
      </c>
      <c r="AG28" s="31" t="str">
        <f>IF(AND($F28='Tournament Setup'!$A$32,SUM($Q28,$U28)=0,$E28="F",$AD28&gt;'Tournament Setup'!$B$32),$I28,"")</f>
        <v/>
      </c>
      <c r="AH28" s="12" t="str">
        <f>IF(ISNUMBER(AG28)=TRUE,IF(_xlfn.RANK.EQ(AG28,$AG$2:$AG$111)&lt;='Tournament Setup'!$D$32,_xlfn.RANK.EQ(AG28,$AG$2:$AG$111),""),"")</f>
        <v/>
      </c>
      <c r="AI28" s="30" t="str">
        <f>IF(AND($G28='Tournament Setup'!$A$50,$J28&lt;&gt;0),$J28,"")</f>
        <v/>
      </c>
      <c r="AJ28" s="47" t="str">
        <f>IF(ISNUMBER(AI28),IF(COUNTIFS(AJ$1:AJ27,_xlfn.RANK.EQ(AI28,AI$2:AI$111,0))&gt;0,_xlfn.MAXIFS(AJ$1:AJ27,AI$1:AI27,AI28)+1,_xlfn.RANK.EQ(AI28,AI$2:AI$111,0)),"")</f>
        <v/>
      </c>
      <c r="AK28" s="1" t="str">
        <f>IF(ISNUMBER(AI28)=TRUE,IF(_xlfn.RANK.EQ(AI28,$AI$2:$AI$111)&lt;='Tournament Setup'!$B$49,_xlfn.RANK.EQ(AI28,$AI$2:$AI$111),""),"")</f>
        <v/>
      </c>
      <c r="AL28" s="30" t="str">
        <f>IF(AND($F28='Tournament Setup'!$A$33,SUM($Q28,$S28,$U28)=0),$I28,"")</f>
        <v/>
      </c>
      <c r="AM28" s="47" t="str">
        <f>IF(ISNUMBER(AL28),IF(COUNTIFS(AM$1:AM27,_xlfn.RANK.EQ(AL28,AL$2:AL$111,0))&gt;0,_xlfn.MAXIFS(AM$1:AM27,AL$1:AL27,AL28)+1,_xlfn.RANK.EQ(AL28,AL$2:AL$111,0)),"")</f>
        <v/>
      </c>
      <c r="AN28" s="1" t="str">
        <f>IF(ISNUMBER(AL28)=TRUE,IF(_xlfn.RANK.EQ(AL28,$AL$2:$AL$111)&lt;='Tournament Setup'!$B$33,_xlfn.RANK.EQ(AL28,$AL$2:$AL$111),""),"")</f>
        <v/>
      </c>
      <c r="AO28" s="31" t="str">
        <f>IF(AND($F28='Tournament Setup'!$A$33,SUM($Q28,$S28)=0,$E28="M",$AN28&gt;'Tournament Setup'!$B$33),$I28,"")</f>
        <v/>
      </c>
      <c r="AP28" s="1" t="str">
        <f>IF(ISNUMBER(AO28)=TRUE,IF(_xlfn.RANK.EQ(AO28,$AO$2:$AO$111)&lt;='Tournament Setup'!$C$33,_xlfn.RANK.EQ(AO28,$AO$2:$AO$111),""),"")</f>
        <v/>
      </c>
      <c r="AQ28" s="31" t="str">
        <f>IF(AND($F28='Tournament Setup'!$A$33,SUM($Q28,$U28)=0,$E28="F",$AN28&gt;'Tournament Setup'!$B$33),$I28,"")</f>
        <v/>
      </c>
      <c r="AR28" s="12" t="str">
        <f>IF(ISNUMBER(AQ28)=TRUE,IF(_xlfn.RANK.EQ(AQ28,$AQ$2:$AQ$111)&lt;='Tournament Setup'!$D$33,_xlfn.RANK.EQ(AQ28,$AQ$2:$AQ$111),""),"")</f>
        <v/>
      </c>
      <c r="AS28" s="30" t="str">
        <f>IF(AND($G28='Tournament Setup'!$A$51,$J28&lt;&gt;0),$J28,"")</f>
        <v/>
      </c>
      <c r="AT28" s="47" t="str">
        <f>IF(ISNUMBER(AS28),IF(COUNTIFS(AT$1:AT27,_xlfn.RANK.EQ(AS28,AS$2:AS$111,0))&gt;0,_xlfn.MAXIFS(AT$1:AT27,AS$1:AS27,AS28)+1,_xlfn.RANK.EQ(AS28,AS$2:AS$111,0)),"")</f>
        <v/>
      </c>
      <c r="AU28" s="1" t="str">
        <f>IF(ISNUMBER(AS28)=TRUE,IF(_xlfn.RANK.EQ(AS28,$AS$2:$AS$111)&lt;='Tournament Setup'!$B$49,_xlfn.RANK.EQ(AS28,$AS$2:$AS$111),""),"")</f>
        <v/>
      </c>
      <c r="AV28" s="30" t="str">
        <f>IF(AND($F28='Tournament Setup'!$A$34,SUM($Q28,$S28,$U28)=0),$I28,"")</f>
        <v/>
      </c>
      <c r="AW28" s="47" t="str">
        <f>IF(ISNUMBER(AV28),IF(COUNTIFS(AW$1:AW27,_xlfn.RANK.EQ(AV28,AV$2:AV$111,0))&gt;0,_xlfn.MAXIFS(AW$1:AW27,AV$1:AV27,AV28)+1,_xlfn.RANK.EQ(AV28,AV$2:AV$111,0)),"")</f>
        <v/>
      </c>
      <c r="AX28" s="1" t="str">
        <f>IF(ISNUMBER(AV28)=TRUE,IF(_xlfn.RANK.EQ(AV28,$AV$2:$AV$111)&lt;='Tournament Setup'!$B$34,_xlfn.RANK.EQ(AV28,$AV$2:$AV$111),""),"")</f>
        <v/>
      </c>
      <c r="AY28" s="31" t="str">
        <f>IF(AND($F28='Tournament Setup'!$A$34,SUM($Q28,$S28)=0,$E28="M",$AX28&gt;'Tournament Setup'!$B$34),$I28,"")</f>
        <v/>
      </c>
      <c r="AZ28" s="1" t="str">
        <f>IF(ISNUMBER(AY28)=TRUE,IF(_xlfn.RANK.EQ(AY28,$AY$2:$AY$111)&lt;='Tournament Setup'!$C$34,_xlfn.RANK.EQ(AY28,$AY$2:$AY$111),""),"")</f>
        <v/>
      </c>
      <c r="BA28" s="31" t="str">
        <f>IF(AND($F28='Tournament Setup'!$A$34,SUM($Q28,$U28)=0,$E28="F",$AX28&gt;'Tournament Setup'!$B$34),$I28,"")</f>
        <v/>
      </c>
      <c r="BB28" s="12" t="str">
        <f>IF(ISNUMBER(BA28)=TRUE,IF(_xlfn.RANK.EQ(BA28,$BA$2:$BA$111)&lt;='Tournament Setup'!$D$34,_xlfn.RANK.EQ(BA28,$BA$2:$BA$111),""),"")</f>
        <v/>
      </c>
      <c r="BC28" s="30" t="str">
        <f>IF(AND($G28='Tournament Setup'!$A$52,$J28&lt;&gt;0),$J28,"")</f>
        <v/>
      </c>
      <c r="BD28" s="47" t="str">
        <f>IF(ISNUMBER(BC28),IF(COUNTIFS(BD$1:BD27,_xlfn.RANK.EQ(BC28,BC$2:BC$111,0))&gt;0,_xlfn.MAXIFS(BD$1:BD27,BC$1:BC27,BC28)+1,_xlfn.RANK.EQ(BC28,BC$2:BC$111,0)),"")</f>
        <v/>
      </c>
      <c r="BE28" s="1" t="str">
        <f>IF(ISNUMBER(BC28)=TRUE,IF(_xlfn.RANK.EQ(BC28,$BC$2:$BC$111)&lt;='Tournament Setup'!$B$49,_xlfn.RANK.EQ(BC28,$BC$2:$BC$111),""),"")</f>
        <v/>
      </c>
      <c r="BF28" s="30" t="str">
        <f>IF(AND($F28='Tournament Setup'!$A$35,SUM($Q28,$S28,$U28)=0),$I28,"")</f>
        <v/>
      </c>
      <c r="BG28" s="47" t="str">
        <f>IF(ISNUMBER(BF28),IF(COUNTIFS(BG$1:BG27,_xlfn.RANK.EQ(BF28,BF$2:BF$111,0))&gt;0,_xlfn.MAXIFS(BG$1:BG27,BF$1:BF27,BF28)+1,_xlfn.RANK.EQ(BF28,BF$2:BF$111,0)),"")</f>
        <v/>
      </c>
      <c r="BH28" s="1" t="str">
        <f>IF(ISNUMBER(BF28)=TRUE,IF(_xlfn.RANK.EQ(BF28,$BF$2:$BF$111)&lt;='Tournament Setup'!$B$35,_xlfn.RANK.EQ(BF28,$BF$2:$BF$111),""),"")</f>
        <v/>
      </c>
      <c r="BI28" s="31" t="str">
        <f>IF(AND($F28='Tournament Setup'!$A$35,SUM($Q28,$S28)=0,$E28="M",$BH28&gt;'Tournament Setup'!$B$35),$I28,"")</f>
        <v/>
      </c>
      <c r="BJ28" s="1" t="str">
        <f>IF(ISNUMBER(BI28)=TRUE,IF(_xlfn.RANK.EQ(BI28,$BI$2:$BI$111)&lt;='Tournament Setup'!$C$35,_xlfn.RANK.EQ(BI28,$BI$2:$BI$111),""),"")</f>
        <v/>
      </c>
      <c r="BK28" s="31" t="str">
        <f>IF(AND($F28='Tournament Setup'!$A$35,SUM($Q28,$U28)=0,$E28="F",$BH28&gt;'Tournament Setup'!$B$35),$I28,"")</f>
        <v/>
      </c>
      <c r="BL28" s="12" t="str">
        <f>IF(ISNUMBER(BK28)=TRUE,IF(_xlfn.RANK.EQ(BK28,$BK$2:$BK$111)&lt;='Tournament Setup'!$D$35,_xlfn.RANK.EQ(BK28,$BK$2:$BK$111),""),"")</f>
        <v/>
      </c>
      <c r="BM28" s="30" t="str">
        <f>IF(AND($G28='Tournament Setup'!$A$54,$J28&lt;&gt;0),$J28,"")</f>
        <v/>
      </c>
      <c r="BN28" s="47" t="str">
        <f>IF(ISNUMBER(BM28),IF(COUNTIFS(BN$1:BN27,_xlfn.RANK.EQ(BM28,BM$2:BM$111,0))&gt;0,_xlfn.MAXIFS(BN$1:BN27,BM$1:BM27,BM28)+1,_xlfn.RANK.EQ(BM28,BM$2:BM$111,0)),"")</f>
        <v/>
      </c>
      <c r="BO28" s="1" t="str">
        <f>IF(ISNUMBER(BM28)=TRUE,IF(_xlfn.RANK.EQ(BM28,$BM$2:$BM$111)&lt;='Tournament Setup'!$B$49,_xlfn.RANK.EQ(BM28,$BM$2:$BM$111),""),"")</f>
        <v/>
      </c>
      <c r="BP28" s="30">
        <f>IF(AND($F28='Tournament Setup'!$A$36,SUM($Q28,$S28,$U28)=0),$I28,"")</f>
        <v>45</v>
      </c>
      <c r="BQ28" s="47">
        <f>IF(ISNUMBER(BP28),IF(COUNTIFS(BQ$1:BQ27,_xlfn.RANK.EQ(BP28,BP$2:BP$111,0))&gt;0,_xlfn.MAXIFS(BQ$1:BQ27,BP$1:BP27,BP28)+1,_xlfn.RANK.EQ(BP28,BP$2:BP$111,0)),"")</f>
        <v>5</v>
      </c>
      <c r="BR28" s="1" t="str">
        <f>IF(ISNUMBER(BP28)=TRUE,IF(_xlfn.RANK.EQ(BP28,$BP$2:$BP$111)&lt;='Tournament Setup'!$B$36,_xlfn.RANK.EQ(BP28,$BP$2:$BP$111),""),"")</f>
        <v/>
      </c>
      <c r="BS28" s="31" t="str">
        <f>IF(AND($F28='Tournament Setup'!$A$36,SUM($Q28,$S28)=0,$E28="M",$BR28&gt;'Tournament Setup'!$B$36),$I28,"")</f>
        <v/>
      </c>
      <c r="BT28" s="1" t="str">
        <f>IF(ISNUMBER(BS28)=TRUE,IF(_xlfn.RANK.EQ(BS28,$BS$2:$BS$111)&lt;='Tournament Setup'!$C$36,_xlfn.RANK.EQ(BS28,$BS$2:$BS$111),""),"")</f>
        <v/>
      </c>
      <c r="BU28" s="31">
        <f>IF(AND($F28='Tournament Setup'!$A$36,SUM($Q28,$U28)=0,$E28="F",$BR28&gt;'Tournament Setup'!$B$36),$I28,"")</f>
        <v>45</v>
      </c>
      <c r="BV28" s="12">
        <f>IF(ISNUMBER(BU28)=TRUE,IF(_xlfn.RANK.EQ(BU28,$BU$2:$BU$111)&lt;='Tournament Setup'!$D$36,_xlfn.RANK.EQ(BU28,$BU$2:$BU$111),""),"")</f>
        <v>1</v>
      </c>
      <c r="BW28" s="30" t="str">
        <f>IF($H28='Tournament Setup'!$A$41,$I28,"")</f>
        <v/>
      </c>
      <c r="BX28" s="47" t="str">
        <f>IF(ISNUMBER(BW28),IF(COUNTIFS(BX$1:BX27,_xlfn.RANK.EQ(BW28,BW$2:BW$111,0))&gt;0,_xlfn.MAXIFS(BX$1:BX27,BW$1:BW27,BW28)+1,_xlfn.RANK.EQ(BW28,BW$2:BW$111,0)),"")</f>
        <v/>
      </c>
      <c r="BY28" s="1" t="str">
        <f>IF(ISNUMBER(BW28)=TRUE,IF(_xlfn.RANK.EQ(BW28,$BW$2:$BW$111)&lt;='Tournament Setup'!$B$41,_xlfn.RANK.EQ(BW28,$BW$2:$BW$111),""),"")</f>
        <v/>
      </c>
      <c r="BZ28" s="31" t="str">
        <f>IF(AND($H28='Tournament Setup'!$A$41,$E28="M",$BY28&gt;'Tournament Setup'!$B$41),$I28,"")</f>
        <v/>
      </c>
      <c r="CA28" s="1" t="str">
        <f>IF(ISNUMBER(BZ28)=TRUE,IF(_xlfn.RANK.EQ(BZ28,$BZ$2:$BZ$111)&lt;='Tournament Setup'!$C$41,_xlfn.RANK.EQ(BZ28,$BZ$2:$BZ$111),""),"")</f>
        <v/>
      </c>
      <c r="CB28" s="31" t="str">
        <f>IF(AND($H28='Tournament Setup'!$A$41,$E28="F",$BY28&gt;'Tournament Setup'!$B$41),$I28,"")</f>
        <v/>
      </c>
      <c r="CC28" s="12" t="str">
        <f>IF(ISNUMBER(CB28)=TRUE,IF(_xlfn.RANK.EQ(CB28,$CB$2:$CB$111)&lt;='Tournament Setup'!$D$41,_xlfn.RANK.EQ(CB28,$CB$2:$CB$111),""),"")</f>
        <v/>
      </c>
      <c r="CD28" s="30" t="str">
        <f>IF($H28='Tournament Setup'!$A$42,$I28,"")</f>
        <v/>
      </c>
      <c r="CE28" s="47" t="str">
        <f>IF(ISNUMBER(CD28),IF(COUNTIFS(CE$1:CE27,_xlfn.RANK.EQ(CD28,CD$2:CD$111,0))&gt;0,_xlfn.MAXIFS(CE$1:CE27,CD$1:CD27,CD28)+1,_xlfn.RANK.EQ(CD28,CD$2:CD$111,0)),"")</f>
        <v/>
      </c>
      <c r="CF28" s="1" t="str">
        <f>IF(ISNUMBER(CD28)=TRUE,IF(_xlfn.RANK.EQ(CD28,$CD$2:$CD$111)&lt;='Tournament Setup'!$B$42,_xlfn.RANK.EQ(CD28,$CD$2:$CD$111),""),"")</f>
        <v/>
      </c>
      <c r="CG28" s="31" t="str">
        <f>IF(AND($H28='Tournament Setup'!$A$42,$E28="M",$CF28&gt;'Tournament Setup'!$B$42),$I28,"")</f>
        <v/>
      </c>
      <c r="CH28" s="1" t="str">
        <f>IF(ISNUMBER(CG28)=TRUE,IF(_xlfn.RANK.EQ(CG28,$CG$2:$CG$111)&lt;='Tournament Setup'!$C$42,_xlfn.RANK.EQ(CG28,$CG$2:$CG$111),""),"")</f>
        <v/>
      </c>
      <c r="CI28" s="31" t="str">
        <f>IF(AND($H28='Tournament Setup'!$A$42,$E28="F",$CF28&gt;'Tournament Setup'!$B$42),$I28,"")</f>
        <v/>
      </c>
      <c r="CJ28" s="12" t="str">
        <f>IF(ISNUMBER(CI28)=TRUE,IF(_xlfn.RANK.EQ(CI28,$CI$2:$CI$111)&lt;='Tournament Setup'!$D$42,_xlfn.RANK.EQ(CI28,$CI$2:$CI$111),""),"")</f>
        <v/>
      </c>
      <c r="CK28" s="30">
        <f>IF($H28='Tournament Setup'!$A$43,$I28,"")</f>
        <v>45</v>
      </c>
      <c r="CL28" s="47">
        <f>IF(ISNUMBER(CK28),IF(COUNTIFS(CL$1:CL27,_xlfn.RANK.EQ(CK28,CK$2:CK$111,0))&gt;0,_xlfn.MAXIFS(CL$1:CL27,CK$1:CK27,CK28)+1,_xlfn.RANK.EQ(CK28,CK$2:CK$111,0)),"")</f>
        <v>14</v>
      </c>
      <c r="CM28" s="1" t="str">
        <f>IF(ISNUMBER(CK28)=TRUE,IF(_xlfn.RANK.EQ(CK28,$CK$2:$CK$111)&lt;='Tournament Setup'!$B$43,_xlfn.RANK.EQ(CK28,$CK$2:$CK$111),""),"")</f>
        <v/>
      </c>
      <c r="CN28" s="31" t="str">
        <f>IF(AND($H28='Tournament Setup'!$A$43,$E28="M",$CM28&gt;'Tournament Setup'!$B$43),$I28,"")</f>
        <v/>
      </c>
      <c r="CO28" s="1" t="str">
        <f>IF(ISNUMBER(CN28)=TRUE,IF(_xlfn.RANK.EQ(CN28,$CN$2:$CN$111)&lt;='Tournament Setup'!$C$43,_xlfn.RANK.EQ(CN28,$CN$2:$CN$111),""),"")</f>
        <v/>
      </c>
      <c r="CP28" s="31">
        <f>IF(AND($H28='Tournament Setup'!$A$43,$E28="F",$CM28&gt;'Tournament Setup'!$B$43),$I28,"")</f>
        <v>45</v>
      </c>
      <c r="CQ28" s="12">
        <f>IF(ISNUMBER(CP28)=TRUE,IF(_xlfn.RANK.EQ(CP28,$CP$2:$CP$111)&lt;='Tournament Setup'!$D$43,_xlfn.RANK.EQ(CP28,$CP$2:$CP$111),""),"")</f>
        <v>1</v>
      </c>
      <c r="CR28" s="30" t="str">
        <f>IF($H28='Tournament Setup'!$A$44,$I28,"")</f>
        <v/>
      </c>
      <c r="CS28" s="47" t="str">
        <f>IF(ISNUMBER(CR28),IF(COUNTIFS(CS$1:CS27,_xlfn.RANK.EQ(CR28,CR$2:CR$111,0))&gt;0,_xlfn.MAXIFS(CS$1:CS27,CR$1:CR27,CR28)+1,_xlfn.RANK.EQ(CR28,CR$2:CR$111,0)),"")</f>
        <v/>
      </c>
      <c r="CT28" s="1" t="str">
        <f>IF(ISNUMBER(CR28)=TRUE,IF(_xlfn.RANK.EQ(CR28,$CR$2:$CR$111)&lt;='Tournament Setup'!$B$44,_xlfn.RANK.EQ(CR28,$CR$2:$CR$111),""),"")</f>
        <v/>
      </c>
      <c r="CU28" s="31" t="str">
        <f>IF(AND($H28='Tournament Setup'!$A$44,$E28="M",$CT28&gt;'Tournament Setup'!$B$44),$I28,"")</f>
        <v/>
      </c>
      <c r="CV28" s="1" t="str">
        <f>IF(ISNUMBER(CU28)=TRUE,IF(_xlfn.RANK.EQ(CU28,$CU$2:$CU$111)&lt;='Tournament Setup'!$C$44,_xlfn.RANK.EQ(CU28,$CU$2:$CU$111),""),"")</f>
        <v/>
      </c>
      <c r="CW28" s="31" t="str">
        <f>IF(AND($H28='Tournament Setup'!$A$44,$E28="F",$CT28&gt;'Tournament Setup'!$B$44),$I28,"")</f>
        <v/>
      </c>
      <c r="CX28" s="12" t="str">
        <f>IF(ISNUMBER(CW28)=TRUE,IF(_xlfn.RANK.EQ(CW28,$CW$2:$CW$111)&lt;='Tournament Setup'!$D$44,_xlfn.RANK.EQ(CW28,$CW$2:$CW$111),""),"")</f>
        <v/>
      </c>
    </row>
    <row r="29" spans="1:102" x14ac:dyDescent="0.3">
      <c r="A29" t="s">
        <v>184</v>
      </c>
      <c r="B29" t="str">
        <f>IFERROR(INDEX('Tournament List'!$B:$B,MATCH($A29,'Tournament List'!$A:$A,0)),"")</f>
        <v>Brad</v>
      </c>
      <c r="C29" t="str">
        <f>IFERROR(INDEX('Tournament List'!$C:$C,MATCH($A29,'Tournament List'!$A:$A,0)),"")</f>
        <v>Last Name28</v>
      </c>
      <c r="D29" t="str">
        <f t="shared" si="0"/>
        <v>Brad Last Name28</v>
      </c>
      <c r="E29" s="1" t="str">
        <f>IFERROR(INDEX('Tournament List'!F:F,MATCH($A29,'Tournament List'!$A:$A,0)),"")</f>
        <v>M</v>
      </c>
      <c r="F29" t="str">
        <f>IFERROR(INDEX('Tournament List'!M:M,MATCH($A29,'Tournament List'!$A:$A,0)),"")</f>
        <v>Varsity</v>
      </c>
      <c r="G29" t="str">
        <f>IFERROR(INDEX('Shooter-Squad Assignment'!L:L,MATCH(A29,'Shooter-Squad Assignment'!A:A,0)),"")</f>
        <v>Varsity</v>
      </c>
      <c r="H29" s="1" t="str">
        <f>IFERROR(INDEX('Tournament List'!AD:AD,MATCH($A29,'Tournament List'!$A:$A,0)),"")</f>
        <v>D</v>
      </c>
      <c r="I29" s="123">
        <f>IFERROR(INDEX('Tournament List'!AG:AG,MATCH($A29,'Tournament List'!$A:$A,0)),"")</f>
        <v>63</v>
      </c>
      <c r="J29" s="145" t="str">
        <f>IFERROR(INDEX('Tournament List'!Y:Y,MATCH($A29,'Tournament List'!$A:$A,0)),"")</f>
        <v/>
      </c>
      <c r="K29" s="47">
        <f>IFERROR(INDEX('Tournament List'!S:S,MATCH(A29,'Tournament List'!A:A,0)),"")</f>
        <v>74</v>
      </c>
      <c r="L29" s="47" t="str">
        <f>IF(ISNUMBER(J29),IF(COUNTIFS(L$1:L28,_xlfn.RANK.EQ(J29,J$2:J$111,0))&gt;0,_xlfn.MAXIFS(L$1:L28,J$1:J28,J29)+1,_xlfn.RANK.EQ(J29,J$2:J$111,0)),"")</f>
        <v/>
      </c>
      <c r="M29" s="11">
        <f>IF(ISNUMBER(I29)=TRUE,IF(I29&gt;0,_xlfn.RANK.EQ(I29,$I$2:$I$111,0),""),"")</f>
        <v>32</v>
      </c>
      <c r="N29" s="56">
        <f>IF(ISNUMBER(I29),IF(COUNTIFS(N$1:N28,_xlfn.RANK.EQ(I29,I$2:I$111,0))&gt;0,_xlfn.MAXIFS(N$1:N28,I$1:I28,I29)+1,_xlfn.RANK.EQ(I29,I$2:I$111,0)),"")</f>
        <v>33</v>
      </c>
      <c r="O29" s="144">
        <f>IF(F29&lt;&gt;"Collegiate"=TRUE,$I29,"")</f>
        <v>63</v>
      </c>
      <c r="P29" s="47">
        <f>IF(ISNUMBER(O29),IF(COUNTIFS(P$1:P28,_xlfn.RANK.EQ(O29,O$2:O$111,0))&gt;0,_xlfn.MAXIFS(P$1:P28,O$1:O28,O29)+1,_xlfn.RANK.EQ(O29,O$2:O$111,0)),"")</f>
        <v>31</v>
      </c>
      <c r="Q29" s="1" t="str">
        <f>IF(ISNUMBER(O29)=TRUE,IF(_xlfn.RANK.EQ(O29,$O$2:$O$111)&lt;='Tournament Setup'!$B$26,_xlfn.RANK.EQ(O29,$O$2:$O$111),""),"")</f>
        <v/>
      </c>
      <c r="R29" s="143">
        <f>IF(AND($E29="M",SUM($Q29)=0,F29&lt;&gt;"Collegiate")=TRUE,$I29,"")</f>
        <v>63</v>
      </c>
      <c r="S29" s="1" t="str">
        <f>IF(ISNUMBER(R29)=TRUE,IF(_xlfn.RANK.EQ(R29,$R$2:$R$111)&lt;='Tournament Setup'!$B$27,_xlfn.RANK.EQ(R29,$R$2:$R$111),""),"")</f>
        <v/>
      </c>
      <c r="T29" s="143" t="str">
        <f>IF(AND($E29="F",SUM($Q29)=0,F29&lt;&gt;"Collegiate")=TRUE,$I29,"")</f>
        <v/>
      </c>
      <c r="U29" s="12" t="str">
        <f>IF(ISNUMBER(T29)=TRUE,IF(_xlfn.RANK.EQ(T29,$T$2:$T$111)&lt;='Tournament Setup'!$B$28,_xlfn.RANK.EQ(T29,$T$2:$T$111),""),"")</f>
        <v/>
      </c>
      <c r="V29" s="145" t="str">
        <f>IF(AND($G29='Tournament Setup'!$A$53,$J29&lt;&gt;0),$J29,"")</f>
        <v/>
      </c>
      <c r="W29" s="47" t="str">
        <f>IF(ISNUMBER(V29),IF(COUNTIFS(W$1:W28,_xlfn.RANK.EQ(V29,V$2:V$111,0))&gt;0,_xlfn.MAXIFS(W$1:W28,V$1:V28,V29)+1,_xlfn.RANK.EQ(V29,V$2:V$111,0)),"")</f>
        <v/>
      </c>
      <c r="X29" s="1" t="str">
        <f>IF(ISNUMBER(V29)=TRUE,IF(_xlfn.RANK.EQ(V29,$V$2:$V$111)&lt;='Tournament Setup'!$B$53,_xlfn.RANK.EQ(V29,$V$2:$V$111),""),"")</f>
        <v/>
      </c>
      <c r="Y29" s="145" t="str">
        <f>IF(AND($G29='Tournament Setup'!$A$49,$J29&lt;&gt;0),$J29,"")</f>
        <v/>
      </c>
      <c r="Z29" s="47" t="str">
        <f>IF(ISNUMBER(Y29),IF(COUNTIFS(Z$1:Z28,_xlfn.RANK.EQ(Y29,Y$2:Y$111,0))&gt;0,_xlfn.MAXIFS(Z$1:Z28,Y$1:Y28,Y29)+1,_xlfn.RANK.EQ(Y29,Y$2:Y$111,0)),"")</f>
        <v/>
      </c>
      <c r="AA29" s="1" t="str">
        <f>IF(ISNUMBER(Y29)=TRUE,IF(_xlfn.RANK.EQ(Y29,$Y$2:$Y$111)&lt;='Tournament Setup'!$B$49,_xlfn.RANK.EQ(Y29,$Y$2:$Y$111),""),"")</f>
        <v/>
      </c>
      <c r="AB29" s="30" t="str">
        <f>IF(AND($F29='Tournament Setup'!$A$32,SUM($Q29,$S29,$U29)=0),$I29,"")</f>
        <v/>
      </c>
      <c r="AC29" s="47" t="str">
        <f>IF(ISNUMBER(AB29),IF(COUNTIFS(AC$1:AC28,_xlfn.RANK.EQ(AB29,AB$2:AB$111,0))&gt;0,_xlfn.MAXIFS(AC$1:AC28,AB$1:AB28,AB29)+1,_xlfn.RANK.EQ(AB29,AB$2:AB$111,0)),"")</f>
        <v/>
      </c>
      <c r="AD29" s="1" t="str">
        <f>IF(ISNUMBER(AB29)=TRUE,IF(_xlfn.RANK.EQ(AB29,$AB$2:$AB$111)&lt;='Tournament Setup'!$B$32,_xlfn.RANK.EQ(AB29,$AB$2:$AB$111),""),"")</f>
        <v/>
      </c>
      <c r="AE29" s="31" t="str">
        <f>IF(AND($F29='Tournament Setup'!$A$32,SUM($Q29,$S29)=0,$E29="M",$AD29&gt;'Tournament Setup'!$B$32),$I29,"")</f>
        <v/>
      </c>
      <c r="AF29" s="1" t="str">
        <f>IF(ISNUMBER(AE29)=TRUE,IF(_xlfn.RANK.EQ(AE29,$AE$2:$AE$111)&lt;='Tournament Setup'!$C$32,_xlfn.RANK.EQ(AE29,$AE$2:$AE$111),""),"")</f>
        <v/>
      </c>
      <c r="AG29" s="31" t="str">
        <f>IF(AND($F29='Tournament Setup'!$A$32,SUM($Q29,$U29)=0,$E29="F",$AD29&gt;'Tournament Setup'!$B$32),$I29,"")</f>
        <v/>
      </c>
      <c r="AH29" s="12" t="str">
        <f>IF(ISNUMBER(AG29)=TRUE,IF(_xlfn.RANK.EQ(AG29,$AG$2:$AG$111)&lt;='Tournament Setup'!$D$32,_xlfn.RANK.EQ(AG29,$AG$2:$AG$111),""),"")</f>
        <v/>
      </c>
      <c r="AI29" s="30" t="str">
        <f>IF(AND($G29='Tournament Setup'!$A$50,$J29&lt;&gt;0),$J29,"")</f>
        <v/>
      </c>
      <c r="AJ29" s="47" t="str">
        <f>IF(ISNUMBER(AI29),IF(COUNTIFS(AJ$1:AJ28,_xlfn.RANK.EQ(AI29,AI$2:AI$111,0))&gt;0,_xlfn.MAXIFS(AJ$1:AJ28,AI$1:AI28,AI29)+1,_xlfn.RANK.EQ(AI29,AI$2:AI$111,0)),"")</f>
        <v/>
      </c>
      <c r="AK29" s="1" t="str">
        <f>IF(ISNUMBER(AI29)=TRUE,IF(_xlfn.RANK.EQ(AI29,$AI$2:$AI$111)&lt;='Tournament Setup'!$B$49,_xlfn.RANK.EQ(AI29,$AI$2:$AI$111),""),"")</f>
        <v/>
      </c>
      <c r="AL29" s="30" t="str">
        <f>IF(AND($F29='Tournament Setup'!$A$33,SUM($Q29,$S29,$U29)=0),$I29,"")</f>
        <v/>
      </c>
      <c r="AM29" s="47" t="str">
        <f>IF(ISNUMBER(AL29),IF(COUNTIFS(AM$1:AM28,_xlfn.RANK.EQ(AL29,AL$2:AL$111,0))&gt;0,_xlfn.MAXIFS(AM$1:AM28,AL$1:AL28,AL29)+1,_xlfn.RANK.EQ(AL29,AL$2:AL$111,0)),"")</f>
        <v/>
      </c>
      <c r="AN29" s="1" t="str">
        <f>IF(ISNUMBER(AL29)=TRUE,IF(_xlfn.RANK.EQ(AL29,$AL$2:$AL$111)&lt;='Tournament Setup'!$B$33,_xlfn.RANK.EQ(AL29,$AL$2:$AL$111),""),"")</f>
        <v/>
      </c>
      <c r="AO29" s="31" t="str">
        <f>IF(AND($F29='Tournament Setup'!$A$33,SUM($Q29,$S29)=0,$E29="M",$AN29&gt;'Tournament Setup'!$B$33),$I29,"")</f>
        <v/>
      </c>
      <c r="AP29" s="1" t="str">
        <f>IF(ISNUMBER(AO29)=TRUE,IF(_xlfn.RANK.EQ(AO29,$AO$2:$AO$111)&lt;='Tournament Setup'!$C$33,_xlfn.RANK.EQ(AO29,$AO$2:$AO$111),""),"")</f>
        <v/>
      </c>
      <c r="AQ29" s="31" t="str">
        <f>IF(AND($F29='Tournament Setup'!$A$33,SUM($Q29,$U29)=0,$E29="F",$AN29&gt;'Tournament Setup'!$B$33),$I29,"")</f>
        <v/>
      </c>
      <c r="AR29" s="12" t="str">
        <f>IF(ISNUMBER(AQ29)=TRUE,IF(_xlfn.RANK.EQ(AQ29,$AQ$2:$AQ$111)&lt;='Tournament Setup'!$D$33,_xlfn.RANK.EQ(AQ29,$AQ$2:$AQ$111),""),"")</f>
        <v/>
      </c>
      <c r="AS29" s="30" t="str">
        <f>IF(AND($G29='Tournament Setup'!$A$51,$J29&lt;&gt;0),$J29,"")</f>
        <v/>
      </c>
      <c r="AT29" s="47" t="str">
        <f>IF(ISNUMBER(AS29),IF(COUNTIFS(AT$1:AT28,_xlfn.RANK.EQ(AS29,AS$2:AS$111,0))&gt;0,_xlfn.MAXIFS(AT$1:AT28,AS$1:AS28,AS29)+1,_xlfn.RANK.EQ(AS29,AS$2:AS$111,0)),"")</f>
        <v/>
      </c>
      <c r="AU29" s="1" t="str">
        <f>IF(ISNUMBER(AS29)=TRUE,IF(_xlfn.RANK.EQ(AS29,$AS$2:$AS$111)&lt;='Tournament Setup'!$B$49,_xlfn.RANK.EQ(AS29,$AS$2:$AS$111),""),"")</f>
        <v/>
      </c>
      <c r="AV29" s="30" t="str">
        <f>IF(AND($F29='Tournament Setup'!$A$34,SUM($Q29,$S29,$U29)=0),$I29,"")</f>
        <v/>
      </c>
      <c r="AW29" s="47" t="str">
        <f>IF(ISNUMBER(AV29),IF(COUNTIFS(AW$1:AW28,_xlfn.RANK.EQ(AV29,AV$2:AV$111,0))&gt;0,_xlfn.MAXIFS(AW$1:AW28,AV$1:AV28,AV29)+1,_xlfn.RANK.EQ(AV29,AV$2:AV$111,0)),"")</f>
        <v/>
      </c>
      <c r="AX29" s="1" t="str">
        <f>IF(ISNUMBER(AV29)=TRUE,IF(_xlfn.RANK.EQ(AV29,$AV$2:$AV$111)&lt;='Tournament Setup'!$B$34,_xlfn.RANK.EQ(AV29,$AV$2:$AV$111),""),"")</f>
        <v/>
      </c>
      <c r="AY29" s="31" t="str">
        <f>IF(AND($F29='Tournament Setup'!$A$34,SUM($Q29,$S29)=0,$E29="M",$AX29&gt;'Tournament Setup'!$B$34),$I29,"")</f>
        <v/>
      </c>
      <c r="AZ29" s="1" t="str">
        <f>IF(ISNUMBER(AY29)=TRUE,IF(_xlfn.RANK.EQ(AY29,$AY$2:$AY$111)&lt;='Tournament Setup'!$C$34,_xlfn.RANK.EQ(AY29,$AY$2:$AY$111),""),"")</f>
        <v/>
      </c>
      <c r="BA29" s="31" t="str">
        <f>IF(AND($F29='Tournament Setup'!$A$34,SUM($Q29,$U29)=0,$E29="F",$AX29&gt;'Tournament Setup'!$B$34),$I29,"")</f>
        <v/>
      </c>
      <c r="BB29" s="12" t="str">
        <f>IF(ISNUMBER(BA29)=TRUE,IF(_xlfn.RANK.EQ(BA29,$BA$2:$BA$111)&lt;='Tournament Setup'!$D$34,_xlfn.RANK.EQ(BA29,$BA$2:$BA$111),""),"")</f>
        <v/>
      </c>
      <c r="BC29" s="30" t="str">
        <f>IF(AND($G29='Tournament Setup'!$A$52,$J29&lt;&gt;0),$J29,"")</f>
        <v/>
      </c>
      <c r="BD29" s="47" t="str">
        <f>IF(ISNUMBER(BC29),IF(COUNTIFS(BD$1:BD28,_xlfn.RANK.EQ(BC29,BC$2:BC$111,0))&gt;0,_xlfn.MAXIFS(BD$1:BD28,BC$1:BC28,BC29)+1,_xlfn.RANK.EQ(BC29,BC$2:BC$111,0)),"")</f>
        <v/>
      </c>
      <c r="BE29" s="1" t="str">
        <f>IF(ISNUMBER(BC29)=TRUE,IF(_xlfn.RANK.EQ(BC29,$BC$2:$BC$111)&lt;='Tournament Setup'!$B$49,_xlfn.RANK.EQ(BC29,$BC$2:$BC$111),""),"")</f>
        <v/>
      </c>
      <c r="BF29" s="30">
        <f>IF(AND($F29='Tournament Setup'!$A$35,SUM($Q29,$S29,$U29)=0),$I29,"")</f>
        <v>63</v>
      </c>
      <c r="BG29" s="47">
        <f>IF(ISNUMBER(BF29),IF(COUNTIFS(BG$1:BG28,_xlfn.RANK.EQ(BF29,BF$2:BF$111,0))&gt;0,_xlfn.MAXIFS(BG$1:BG28,BF$1:BF28,BF29)+1,_xlfn.RANK.EQ(BF29,BF$2:BF$111,0)),"")</f>
        <v>6</v>
      </c>
      <c r="BH29" s="1" t="str">
        <f>IF(ISNUMBER(BF29)=TRUE,IF(_xlfn.RANK.EQ(BF29,$BF$2:$BF$111)&lt;='Tournament Setup'!$B$35,_xlfn.RANK.EQ(BF29,$BF$2:$BF$111),""),"")</f>
        <v/>
      </c>
      <c r="BI29" s="31">
        <f>IF(AND($F29='Tournament Setup'!$A$35,SUM($Q29,$S29)=0,$E29="M",$BH29&gt;'Tournament Setup'!$B$35),$I29,"")</f>
        <v>63</v>
      </c>
      <c r="BJ29" s="1">
        <f>IF(ISNUMBER(BI29)=TRUE,IF(_xlfn.RANK.EQ(BI29,$BI$2:$BI$111)&lt;='Tournament Setup'!$C$35,_xlfn.RANK.EQ(BI29,$BI$2:$BI$111),""),"")</f>
        <v>2</v>
      </c>
      <c r="BK29" s="31" t="str">
        <f>IF(AND($F29='Tournament Setup'!$A$35,SUM($Q29,$U29)=0,$E29="F",$BH29&gt;'Tournament Setup'!$B$35),$I29,"")</f>
        <v/>
      </c>
      <c r="BL29" s="12" t="str">
        <f>IF(ISNUMBER(BK29)=TRUE,IF(_xlfn.RANK.EQ(BK29,$BK$2:$BK$111)&lt;='Tournament Setup'!$D$35,_xlfn.RANK.EQ(BK29,$BK$2:$BK$111),""),"")</f>
        <v/>
      </c>
      <c r="BM29" s="30" t="str">
        <f>IF(AND($G29='Tournament Setup'!$A$54,$J29&lt;&gt;0),$J29,"")</f>
        <v/>
      </c>
      <c r="BN29" s="47" t="str">
        <f>IF(ISNUMBER(BM29),IF(COUNTIFS(BN$1:BN28,_xlfn.RANK.EQ(BM29,BM$2:BM$111,0))&gt;0,_xlfn.MAXIFS(BN$1:BN28,BM$1:BM28,BM29)+1,_xlfn.RANK.EQ(BM29,BM$2:BM$111,0)),"")</f>
        <v/>
      </c>
      <c r="BO29" s="1" t="str">
        <f>IF(ISNUMBER(BM29)=TRUE,IF(_xlfn.RANK.EQ(BM29,$BM$2:$BM$111)&lt;='Tournament Setup'!$B$49,_xlfn.RANK.EQ(BM29,$BM$2:$BM$111),""),"")</f>
        <v/>
      </c>
      <c r="BP29" s="30" t="str">
        <f>IF(AND($F29='Tournament Setup'!$A$36,SUM($Q29,$S29,$U29)=0),$I29,"")</f>
        <v/>
      </c>
      <c r="BQ29" s="47" t="str">
        <f>IF(ISNUMBER(BP29),IF(COUNTIFS(BQ$1:BQ28,_xlfn.RANK.EQ(BP29,BP$2:BP$111,0))&gt;0,_xlfn.MAXIFS(BQ$1:BQ28,BP$1:BP28,BP29)+1,_xlfn.RANK.EQ(BP29,BP$2:BP$111,0)),"")</f>
        <v/>
      </c>
      <c r="BR29" s="1" t="str">
        <f>IF(ISNUMBER(BP29)=TRUE,IF(_xlfn.RANK.EQ(BP29,$BP$2:$BP$111)&lt;='Tournament Setup'!$B$36,_xlfn.RANK.EQ(BP29,$BP$2:$BP$111),""),"")</f>
        <v/>
      </c>
      <c r="BS29" s="31" t="str">
        <f>IF(AND($F29='Tournament Setup'!$A$36,SUM($Q29,$S29)=0,$E29="M",$BR29&gt;'Tournament Setup'!$B$36),$I29,"")</f>
        <v/>
      </c>
      <c r="BT29" s="1" t="str">
        <f>IF(ISNUMBER(BS29)=TRUE,IF(_xlfn.RANK.EQ(BS29,$BS$2:$BS$111)&lt;='Tournament Setup'!$C$36,_xlfn.RANK.EQ(BS29,$BS$2:$BS$111),""),"")</f>
        <v/>
      </c>
      <c r="BU29" s="31" t="str">
        <f>IF(AND($F29='Tournament Setup'!$A$36,SUM($Q29,$U29)=0,$E29="F",$BR29&gt;'Tournament Setup'!$B$36),$I29,"")</f>
        <v/>
      </c>
      <c r="BV29" s="12" t="str">
        <f>IF(ISNUMBER(BU29)=TRUE,IF(_xlfn.RANK.EQ(BU29,$BU$2:$BU$111)&lt;='Tournament Setup'!$D$36,_xlfn.RANK.EQ(BU29,$BU$2:$BU$111),""),"")</f>
        <v/>
      </c>
      <c r="BW29" s="30" t="str">
        <f>IF($H29='Tournament Setup'!$A$41,$I29,"")</f>
        <v/>
      </c>
      <c r="BX29" s="47" t="str">
        <f>IF(ISNUMBER(BW29),IF(COUNTIFS(BX$1:BX28,_xlfn.RANK.EQ(BW29,BW$2:BW$111,0))&gt;0,_xlfn.MAXIFS(BX$1:BX28,BW$1:BW28,BW29)+1,_xlfn.RANK.EQ(BW29,BW$2:BW$111,0)),"")</f>
        <v/>
      </c>
      <c r="BY29" s="1" t="str">
        <f>IF(ISNUMBER(BW29)=TRUE,IF(_xlfn.RANK.EQ(BW29,$BW$2:$BW$111)&lt;='Tournament Setup'!$B$41,_xlfn.RANK.EQ(BW29,$BW$2:$BW$111),""),"")</f>
        <v/>
      </c>
      <c r="BZ29" s="31" t="str">
        <f>IF(AND($H29='Tournament Setup'!$A$41,$E29="M",$BY29&gt;'Tournament Setup'!$B$41),$I29,"")</f>
        <v/>
      </c>
      <c r="CA29" s="1" t="str">
        <f>IF(ISNUMBER(BZ29)=TRUE,IF(_xlfn.RANK.EQ(BZ29,$BZ$2:$BZ$111)&lt;='Tournament Setup'!$C$41,_xlfn.RANK.EQ(BZ29,$BZ$2:$BZ$111),""),"")</f>
        <v/>
      </c>
      <c r="CB29" s="31" t="str">
        <f>IF(AND($H29='Tournament Setup'!$A$41,$E29="F",$BY29&gt;'Tournament Setup'!$B$41),$I29,"")</f>
        <v/>
      </c>
      <c r="CC29" s="12" t="str">
        <f>IF(ISNUMBER(CB29)=TRUE,IF(_xlfn.RANK.EQ(CB29,$CB$2:$CB$111)&lt;='Tournament Setup'!$D$41,_xlfn.RANK.EQ(CB29,$CB$2:$CB$111),""),"")</f>
        <v/>
      </c>
      <c r="CD29" s="30" t="str">
        <f>IF($H29='Tournament Setup'!$A$42,$I29,"")</f>
        <v/>
      </c>
      <c r="CE29" s="47" t="str">
        <f>IF(ISNUMBER(CD29),IF(COUNTIFS(CE$1:CE28,_xlfn.RANK.EQ(CD29,CD$2:CD$111,0))&gt;0,_xlfn.MAXIFS(CE$1:CE28,CD$1:CD28,CD29)+1,_xlfn.RANK.EQ(CD29,CD$2:CD$111,0)),"")</f>
        <v/>
      </c>
      <c r="CF29" s="1" t="str">
        <f>IF(ISNUMBER(CD29)=TRUE,IF(_xlfn.RANK.EQ(CD29,$CD$2:$CD$111)&lt;='Tournament Setup'!$B$42,_xlfn.RANK.EQ(CD29,$CD$2:$CD$111),""),"")</f>
        <v/>
      </c>
      <c r="CG29" s="31" t="str">
        <f>IF(AND($H29='Tournament Setup'!$A$42,$E29="M",$CF29&gt;'Tournament Setup'!$B$42),$I29,"")</f>
        <v/>
      </c>
      <c r="CH29" s="1" t="str">
        <f>IF(ISNUMBER(CG29)=TRUE,IF(_xlfn.RANK.EQ(CG29,$CG$2:$CG$111)&lt;='Tournament Setup'!$C$42,_xlfn.RANK.EQ(CG29,$CG$2:$CG$111),""),"")</f>
        <v/>
      </c>
      <c r="CI29" s="31" t="str">
        <f>IF(AND($H29='Tournament Setup'!$A$42,$E29="F",$CF29&gt;'Tournament Setup'!$B$42),$I29,"")</f>
        <v/>
      </c>
      <c r="CJ29" s="12" t="str">
        <f>IF(ISNUMBER(CI29)=TRUE,IF(_xlfn.RANK.EQ(CI29,$CI$2:$CI$111)&lt;='Tournament Setup'!$D$42,_xlfn.RANK.EQ(CI29,$CI$2:$CI$111),""),"")</f>
        <v/>
      </c>
      <c r="CK29" s="30" t="str">
        <f>IF($H29='Tournament Setup'!$A$43,$I29,"")</f>
        <v/>
      </c>
      <c r="CL29" s="47" t="str">
        <f>IF(ISNUMBER(CK29),IF(COUNTIFS(CL$1:CL28,_xlfn.RANK.EQ(CK29,CK$2:CK$111,0))&gt;0,_xlfn.MAXIFS(CL$1:CL28,CK$1:CK28,CK29)+1,_xlfn.RANK.EQ(CK29,CK$2:CK$111,0)),"")</f>
        <v/>
      </c>
      <c r="CM29" s="1" t="str">
        <f>IF(ISNUMBER(CK29)=TRUE,IF(_xlfn.RANK.EQ(CK29,$CK$2:$CK$111)&lt;='Tournament Setup'!$B$43,_xlfn.RANK.EQ(CK29,$CK$2:$CK$111),""),"")</f>
        <v/>
      </c>
      <c r="CN29" s="31" t="str">
        <f>IF(AND($H29='Tournament Setup'!$A$43,$E29="M",$CM29&gt;'Tournament Setup'!$B$43),$I29,"")</f>
        <v/>
      </c>
      <c r="CO29" s="1" t="str">
        <f>IF(ISNUMBER(CN29)=TRUE,IF(_xlfn.RANK.EQ(CN29,$CN$2:$CN$111)&lt;='Tournament Setup'!$C$43,_xlfn.RANK.EQ(CN29,$CN$2:$CN$111),""),"")</f>
        <v/>
      </c>
      <c r="CP29" s="31" t="str">
        <f>IF(AND($H29='Tournament Setup'!$A$43,$E29="F",$CM29&gt;'Tournament Setup'!$B$43),$I29,"")</f>
        <v/>
      </c>
      <c r="CQ29" s="12" t="str">
        <f>IF(ISNUMBER(CP29)=TRUE,IF(_xlfn.RANK.EQ(CP29,$CP$2:$CP$111)&lt;='Tournament Setup'!$D$43,_xlfn.RANK.EQ(CP29,$CP$2:$CP$111),""),"")</f>
        <v/>
      </c>
      <c r="CR29" s="30">
        <f>IF($H29='Tournament Setup'!$A$44,$I29,"")</f>
        <v>63</v>
      </c>
      <c r="CS29" s="47">
        <f>IF(ISNUMBER(CR29),IF(COUNTIFS(CS$1:CS28,_xlfn.RANK.EQ(CR29,CR$2:CR$111,0))&gt;0,_xlfn.MAXIFS(CS$1:CS28,CR$1:CR28,CR29)+1,_xlfn.RANK.EQ(CR29,CR$2:CR$111,0)),"")</f>
        <v>3</v>
      </c>
      <c r="CT29" s="1">
        <f>IF(ISNUMBER(CR29)=TRUE,IF(_xlfn.RANK.EQ(CR29,$CR$2:$CR$111)&lt;='Tournament Setup'!$B$44,_xlfn.RANK.EQ(CR29,$CR$2:$CR$111),""),"")</f>
        <v>3</v>
      </c>
      <c r="CU29" s="31" t="str">
        <f>IF(AND($H29='Tournament Setup'!$A$44,$E29="M",$CT29&gt;'Tournament Setup'!$B$44),$I29,"")</f>
        <v/>
      </c>
      <c r="CV29" s="1" t="str">
        <f>IF(ISNUMBER(CU29)=TRUE,IF(_xlfn.RANK.EQ(CU29,$CU$2:$CU$111)&lt;='Tournament Setup'!$C$44,_xlfn.RANK.EQ(CU29,$CU$2:$CU$111),""),"")</f>
        <v/>
      </c>
      <c r="CW29" s="31" t="str">
        <f>IF(AND($H29='Tournament Setup'!$A$44,$E29="F",$CT29&gt;'Tournament Setup'!$B$44),$I29,"")</f>
        <v/>
      </c>
      <c r="CX29" s="12" t="str">
        <f>IF(ISNUMBER(CW29)=TRUE,IF(_xlfn.RANK.EQ(CW29,$CW$2:$CW$111)&lt;='Tournament Setup'!$D$44,_xlfn.RANK.EQ(CW29,$CW$2:$CW$111),""),"")</f>
        <v/>
      </c>
    </row>
    <row r="30" spans="1:102" x14ac:dyDescent="0.3">
      <c r="A30" t="s">
        <v>185</v>
      </c>
      <c r="B30" t="str">
        <f>IFERROR(INDEX('Tournament List'!$B:$B,MATCH($A30,'Tournament List'!$A:$A,0)),"")</f>
        <v>Alan</v>
      </c>
      <c r="C30" t="str">
        <f>IFERROR(INDEX('Tournament List'!$C:$C,MATCH($A30,'Tournament List'!$A:$A,0)),"")</f>
        <v>Last Name29</v>
      </c>
      <c r="D30" t="str">
        <f t="shared" si="0"/>
        <v>Alan Last Name29</v>
      </c>
      <c r="E30" s="1" t="str">
        <f>IFERROR(INDEX('Tournament List'!F:F,MATCH($A30,'Tournament List'!$A:$A,0)),"")</f>
        <v>M</v>
      </c>
      <c r="F30" t="str">
        <f>IFERROR(INDEX('Tournament List'!M:M,MATCH($A30,'Tournament List'!$A:$A,0)),"")</f>
        <v>Junior Varsity</v>
      </c>
      <c r="G30" t="str">
        <f>IFERROR(INDEX('Shooter-Squad Assignment'!L:L,MATCH(A30,'Shooter-Squad Assignment'!A:A,0)),"")</f>
        <v>Junior Varsity</v>
      </c>
      <c r="H30" s="1" t="str">
        <f>IFERROR(INDEX('Tournament List'!AD:AD,MATCH($A30,'Tournament List'!$A:$A,0)),"")</f>
        <v>A</v>
      </c>
      <c r="I30" s="123">
        <f>IFERROR(INDEX('Tournament List'!AG:AG,MATCH($A30,'Tournament List'!$A:$A,0)),"")</f>
        <v>80</v>
      </c>
      <c r="J30" s="145" t="str">
        <f>IFERROR(INDEX('Tournament List'!Y:Y,MATCH($A30,'Tournament List'!$A:$A,0)),"")</f>
        <v/>
      </c>
      <c r="K30" s="47">
        <f>IFERROR(INDEX('Tournament List'!S:S,MATCH(A30,'Tournament List'!A:A,0)),"")</f>
        <v>7</v>
      </c>
      <c r="L30" s="47" t="str">
        <f>IF(ISNUMBER(J30),IF(COUNTIFS(L$1:L29,_xlfn.RANK.EQ(J30,J$2:J$111,0))&gt;0,_xlfn.MAXIFS(L$1:L29,J$1:J29,J30)+1,_xlfn.RANK.EQ(J30,J$2:J$111,0)),"")</f>
        <v/>
      </c>
      <c r="M30" s="11">
        <f>IF(ISNUMBER(I30)=TRUE,IF(I30&gt;0,_xlfn.RANK.EQ(I30,$I$2:$I$111,0),""),"")</f>
        <v>18</v>
      </c>
      <c r="N30" s="56">
        <f>IF(ISNUMBER(I30),IF(COUNTIFS(N$1:N29,_xlfn.RANK.EQ(I30,I$2:I$111,0))&gt;0,_xlfn.MAXIFS(N$1:N29,I$1:I29,I30)+1,_xlfn.RANK.EQ(I30,I$2:I$111,0)),"")</f>
        <v>18</v>
      </c>
      <c r="O30" s="144">
        <f>IF(F30&lt;&gt;"Collegiate"=TRUE,$I30,"")</f>
        <v>80</v>
      </c>
      <c r="P30" s="47">
        <f>IF(ISNUMBER(O30),IF(COUNTIFS(P$1:P29,_xlfn.RANK.EQ(O30,O$2:O$111,0))&gt;0,_xlfn.MAXIFS(P$1:P29,O$1:O29,O30)+1,_xlfn.RANK.EQ(O30,O$2:O$111,0)),"")</f>
        <v>16</v>
      </c>
      <c r="Q30" s="1" t="str">
        <f>IF(ISNUMBER(O30)=TRUE,IF(_xlfn.RANK.EQ(O30,$O$2:$O$111)&lt;='Tournament Setup'!$B$26,_xlfn.RANK.EQ(O30,$O$2:$O$111),""),"")</f>
        <v/>
      </c>
      <c r="R30" s="143">
        <f>IF(AND($E30="M",SUM($Q30)=0,F30&lt;&gt;"Collegiate")=TRUE,$I30,"")</f>
        <v>80</v>
      </c>
      <c r="S30" s="1" t="str">
        <f>IF(ISNUMBER(R30)=TRUE,IF(_xlfn.RANK.EQ(R30,$R$2:$R$111)&lt;='Tournament Setup'!$B$27,_xlfn.RANK.EQ(R30,$R$2:$R$111),""),"")</f>
        <v/>
      </c>
      <c r="T30" s="143" t="str">
        <f>IF(AND($E30="F",SUM($Q30)=0,F30&lt;&gt;"Collegiate")=TRUE,$I30,"")</f>
        <v/>
      </c>
      <c r="U30" s="12" t="str">
        <f>IF(ISNUMBER(T30)=TRUE,IF(_xlfn.RANK.EQ(T30,$T$2:$T$111)&lt;='Tournament Setup'!$B$28,_xlfn.RANK.EQ(T30,$T$2:$T$111),""),"")</f>
        <v/>
      </c>
      <c r="V30" s="145" t="str">
        <f>IF(AND($G30='Tournament Setup'!$A$53,$J30&lt;&gt;0),$J30,"")</f>
        <v/>
      </c>
      <c r="W30" s="47" t="str">
        <f>IF(ISNUMBER(V30),IF(COUNTIFS(W$1:W29,_xlfn.RANK.EQ(V30,V$2:V$111,0))&gt;0,_xlfn.MAXIFS(W$1:W29,V$1:V29,V30)+1,_xlfn.RANK.EQ(V30,V$2:V$111,0)),"")</f>
        <v/>
      </c>
      <c r="X30" s="1" t="str">
        <f>IF(ISNUMBER(V30)=TRUE,IF(_xlfn.RANK.EQ(V30,$V$2:$V$111)&lt;='Tournament Setup'!$B$53,_xlfn.RANK.EQ(V30,$V$2:$V$111),""),"")</f>
        <v/>
      </c>
      <c r="Y30" s="145" t="str">
        <f>IF(AND($G30='Tournament Setup'!$A$49,$J30&lt;&gt;0),$J30,"")</f>
        <v/>
      </c>
      <c r="Z30" s="47" t="str">
        <f>IF(ISNUMBER(Y30),IF(COUNTIFS(Z$1:Z29,_xlfn.RANK.EQ(Y30,Y$2:Y$111,0))&gt;0,_xlfn.MAXIFS(Z$1:Z29,Y$1:Y29,Y30)+1,_xlfn.RANK.EQ(Y30,Y$2:Y$111,0)),"")</f>
        <v/>
      </c>
      <c r="AA30" s="1" t="str">
        <f>IF(ISNUMBER(Y30)=TRUE,IF(_xlfn.RANK.EQ(Y30,$Y$2:$Y$111)&lt;='Tournament Setup'!$B$49,_xlfn.RANK.EQ(Y30,$Y$2:$Y$111),""),"")</f>
        <v/>
      </c>
      <c r="AB30" s="30" t="str">
        <f>IF(AND($F30='Tournament Setup'!$A$32,SUM($Q30,$S30,$U30)=0),$I30,"")</f>
        <v/>
      </c>
      <c r="AC30" s="47" t="str">
        <f>IF(ISNUMBER(AB30),IF(COUNTIFS(AC$1:AC29,_xlfn.RANK.EQ(AB30,AB$2:AB$111,0))&gt;0,_xlfn.MAXIFS(AC$1:AC29,AB$1:AB29,AB30)+1,_xlfn.RANK.EQ(AB30,AB$2:AB$111,0)),"")</f>
        <v/>
      </c>
      <c r="AD30" s="1" t="str">
        <f>IF(ISNUMBER(AB30)=TRUE,IF(_xlfn.RANK.EQ(AB30,$AB$2:$AB$111)&lt;='Tournament Setup'!$B$32,_xlfn.RANK.EQ(AB30,$AB$2:$AB$111),""),"")</f>
        <v/>
      </c>
      <c r="AE30" s="31" t="str">
        <f>IF(AND($F30='Tournament Setup'!$A$32,SUM($Q30,$S30)=0,$E30="M",$AD30&gt;'Tournament Setup'!$B$32),$I30,"")</f>
        <v/>
      </c>
      <c r="AF30" s="1" t="str">
        <f>IF(ISNUMBER(AE30)=TRUE,IF(_xlfn.RANK.EQ(AE30,$AE$2:$AE$111)&lt;='Tournament Setup'!$C$32,_xlfn.RANK.EQ(AE30,$AE$2:$AE$111),""),"")</f>
        <v/>
      </c>
      <c r="AG30" s="31" t="str">
        <f>IF(AND($F30='Tournament Setup'!$A$32,SUM($Q30,$U30)=0,$E30="F",$AD30&gt;'Tournament Setup'!$B$32),$I30,"")</f>
        <v/>
      </c>
      <c r="AH30" s="12" t="str">
        <f>IF(ISNUMBER(AG30)=TRUE,IF(_xlfn.RANK.EQ(AG30,$AG$2:$AG$111)&lt;='Tournament Setup'!$D$32,_xlfn.RANK.EQ(AG30,$AG$2:$AG$111),""),"")</f>
        <v/>
      </c>
      <c r="AI30" s="30" t="str">
        <f>IF(AND($G30='Tournament Setup'!$A$50,$J30&lt;&gt;0),$J30,"")</f>
        <v/>
      </c>
      <c r="AJ30" s="47" t="str">
        <f>IF(ISNUMBER(AI30),IF(COUNTIFS(AJ$1:AJ29,_xlfn.RANK.EQ(AI30,AI$2:AI$111,0))&gt;0,_xlfn.MAXIFS(AJ$1:AJ29,AI$1:AI29,AI30)+1,_xlfn.RANK.EQ(AI30,AI$2:AI$111,0)),"")</f>
        <v/>
      </c>
      <c r="AK30" s="1" t="str">
        <f>IF(ISNUMBER(AI30)=TRUE,IF(_xlfn.RANK.EQ(AI30,$AI$2:$AI$111)&lt;='Tournament Setup'!$B$49,_xlfn.RANK.EQ(AI30,$AI$2:$AI$111),""),"")</f>
        <v/>
      </c>
      <c r="AL30" s="30" t="str">
        <f>IF(AND($F30='Tournament Setup'!$A$33,SUM($Q30,$S30,$U30)=0),$I30,"")</f>
        <v/>
      </c>
      <c r="AM30" s="47" t="str">
        <f>IF(ISNUMBER(AL30),IF(COUNTIFS(AM$1:AM29,_xlfn.RANK.EQ(AL30,AL$2:AL$111,0))&gt;0,_xlfn.MAXIFS(AM$1:AM29,AL$1:AL29,AL30)+1,_xlfn.RANK.EQ(AL30,AL$2:AL$111,0)),"")</f>
        <v/>
      </c>
      <c r="AN30" s="1" t="str">
        <f>IF(ISNUMBER(AL30)=TRUE,IF(_xlfn.RANK.EQ(AL30,$AL$2:$AL$111)&lt;='Tournament Setup'!$B$33,_xlfn.RANK.EQ(AL30,$AL$2:$AL$111),""),"")</f>
        <v/>
      </c>
      <c r="AO30" s="31" t="str">
        <f>IF(AND($F30='Tournament Setup'!$A$33,SUM($Q30,$S30)=0,$E30="M",$AN30&gt;'Tournament Setup'!$B$33),$I30,"")</f>
        <v/>
      </c>
      <c r="AP30" s="1" t="str">
        <f>IF(ISNUMBER(AO30)=TRUE,IF(_xlfn.RANK.EQ(AO30,$AO$2:$AO$111)&lt;='Tournament Setup'!$C$33,_xlfn.RANK.EQ(AO30,$AO$2:$AO$111),""),"")</f>
        <v/>
      </c>
      <c r="AQ30" s="31" t="str">
        <f>IF(AND($F30='Tournament Setup'!$A$33,SUM($Q30,$U30)=0,$E30="F",$AN30&gt;'Tournament Setup'!$B$33),$I30,"")</f>
        <v/>
      </c>
      <c r="AR30" s="12" t="str">
        <f>IF(ISNUMBER(AQ30)=TRUE,IF(_xlfn.RANK.EQ(AQ30,$AQ$2:$AQ$111)&lt;='Tournament Setup'!$D$33,_xlfn.RANK.EQ(AQ30,$AQ$2:$AQ$111),""),"")</f>
        <v/>
      </c>
      <c r="AS30" s="30" t="str">
        <f>IF(AND($G30='Tournament Setup'!$A$51,$J30&lt;&gt;0),$J30,"")</f>
        <v/>
      </c>
      <c r="AT30" s="47" t="str">
        <f>IF(ISNUMBER(AS30),IF(COUNTIFS(AT$1:AT29,_xlfn.RANK.EQ(AS30,AS$2:AS$111,0))&gt;0,_xlfn.MAXIFS(AT$1:AT29,AS$1:AS29,AS30)+1,_xlfn.RANK.EQ(AS30,AS$2:AS$111,0)),"")</f>
        <v/>
      </c>
      <c r="AU30" s="1" t="str">
        <f>IF(ISNUMBER(AS30)=TRUE,IF(_xlfn.RANK.EQ(AS30,$AS$2:$AS$111)&lt;='Tournament Setup'!$B$49,_xlfn.RANK.EQ(AS30,$AS$2:$AS$111),""),"")</f>
        <v/>
      </c>
      <c r="AV30" s="30">
        <f>IF(AND($F30='Tournament Setup'!$A$34,SUM($Q30,$S30,$U30)=0),$I30,"")</f>
        <v>80</v>
      </c>
      <c r="AW30" s="47">
        <f>IF(ISNUMBER(AV30),IF(COUNTIFS(AW$1:AW29,_xlfn.RANK.EQ(AV30,AV$2:AV$111,0))&gt;0,_xlfn.MAXIFS(AW$1:AW29,AV$1:AV29,AV30)+1,_xlfn.RANK.EQ(AV30,AV$2:AV$111,0)),"")</f>
        <v>1</v>
      </c>
      <c r="AX30" s="1">
        <f>IF(ISNUMBER(AV30)=TRUE,IF(_xlfn.RANK.EQ(AV30,$AV$2:$AV$111)&lt;='Tournament Setup'!$B$34,_xlfn.RANK.EQ(AV30,$AV$2:$AV$111),""),"")</f>
        <v>1</v>
      </c>
      <c r="AY30" s="31" t="str">
        <f>IF(AND($F30='Tournament Setup'!$A$34,SUM($Q30,$S30)=0,$E30="M",$AX30&gt;'Tournament Setup'!$B$34),$I30,"")</f>
        <v/>
      </c>
      <c r="AZ30" s="1" t="str">
        <f>IF(ISNUMBER(AY30)=TRUE,IF(_xlfn.RANK.EQ(AY30,$AY$2:$AY$111)&lt;='Tournament Setup'!$C$34,_xlfn.RANK.EQ(AY30,$AY$2:$AY$111),""),"")</f>
        <v/>
      </c>
      <c r="BA30" s="31" t="str">
        <f>IF(AND($F30='Tournament Setup'!$A$34,SUM($Q30,$U30)=0,$E30="F",$AX30&gt;'Tournament Setup'!$B$34),$I30,"")</f>
        <v/>
      </c>
      <c r="BB30" s="12" t="str">
        <f>IF(ISNUMBER(BA30)=TRUE,IF(_xlfn.RANK.EQ(BA30,$BA$2:$BA$111)&lt;='Tournament Setup'!$D$34,_xlfn.RANK.EQ(BA30,$BA$2:$BA$111),""),"")</f>
        <v/>
      </c>
      <c r="BC30" s="30" t="str">
        <f>IF(AND($G30='Tournament Setup'!$A$52,$J30&lt;&gt;0),$J30,"")</f>
        <v/>
      </c>
      <c r="BD30" s="47" t="str">
        <f>IF(ISNUMBER(BC30),IF(COUNTIFS(BD$1:BD29,_xlfn.RANK.EQ(BC30,BC$2:BC$111,0))&gt;0,_xlfn.MAXIFS(BD$1:BD29,BC$1:BC29,BC30)+1,_xlfn.RANK.EQ(BC30,BC$2:BC$111,0)),"")</f>
        <v/>
      </c>
      <c r="BE30" s="1" t="str">
        <f>IF(ISNUMBER(BC30)=TRUE,IF(_xlfn.RANK.EQ(BC30,$BC$2:$BC$111)&lt;='Tournament Setup'!$B$49,_xlfn.RANK.EQ(BC30,$BC$2:$BC$111),""),"")</f>
        <v/>
      </c>
      <c r="BF30" s="30" t="str">
        <f>IF(AND($F30='Tournament Setup'!$A$35,SUM($Q30,$S30,$U30)=0),$I30,"")</f>
        <v/>
      </c>
      <c r="BG30" s="47" t="str">
        <f>IF(ISNUMBER(BF30),IF(COUNTIFS(BG$1:BG29,_xlfn.RANK.EQ(BF30,BF$2:BF$111,0))&gt;0,_xlfn.MAXIFS(BG$1:BG29,BF$1:BF29,BF30)+1,_xlfn.RANK.EQ(BF30,BF$2:BF$111,0)),"")</f>
        <v/>
      </c>
      <c r="BH30" s="1" t="str">
        <f>IF(ISNUMBER(BF30)=TRUE,IF(_xlfn.RANK.EQ(BF30,$BF$2:$BF$111)&lt;='Tournament Setup'!$B$35,_xlfn.RANK.EQ(BF30,$BF$2:$BF$111),""),"")</f>
        <v/>
      </c>
      <c r="BI30" s="31" t="str">
        <f>IF(AND($F30='Tournament Setup'!$A$35,SUM($Q30,$S30)=0,$E30="M",$BH30&gt;'Tournament Setup'!$B$35),$I30,"")</f>
        <v/>
      </c>
      <c r="BJ30" s="1" t="str">
        <f>IF(ISNUMBER(BI30)=TRUE,IF(_xlfn.RANK.EQ(BI30,$BI$2:$BI$111)&lt;='Tournament Setup'!$C$35,_xlfn.RANK.EQ(BI30,$BI$2:$BI$111),""),"")</f>
        <v/>
      </c>
      <c r="BK30" s="31" t="str">
        <f>IF(AND($F30='Tournament Setup'!$A$35,SUM($Q30,$U30)=0,$E30="F",$BH30&gt;'Tournament Setup'!$B$35),$I30,"")</f>
        <v/>
      </c>
      <c r="BL30" s="12" t="str">
        <f>IF(ISNUMBER(BK30)=TRUE,IF(_xlfn.RANK.EQ(BK30,$BK$2:$BK$111)&lt;='Tournament Setup'!$D$35,_xlfn.RANK.EQ(BK30,$BK$2:$BK$111),""),"")</f>
        <v/>
      </c>
      <c r="BM30" s="30" t="str">
        <f>IF(AND($G30='Tournament Setup'!$A$54,$J30&lt;&gt;0),$J30,"")</f>
        <v/>
      </c>
      <c r="BN30" s="47" t="str">
        <f>IF(ISNUMBER(BM30),IF(COUNTIFS(BN$1:BN29,_xlfn.RANK.EQ(BM30,BM$2:BM$111,0))&gt;0,_xlfn.MAXIFS(BN$1:BN29,BM$1:BM29,BM30)+1,_xlfn.RANK.EQ(BM30,BM$2:BM$111,0)),"")</f>
        <v/>
      </c>
      <c r="BO30" s="1" t="str">
        <f>IF(ISNUMBER(BM30)=TRUE,IF(_xlfn.RANK.EQ(BM30,$BM$2:$BM$111)&lt;='Tournament Setup'!$B$49,_xlfn.RANK.EQ(BM30,$BM$2:$BM$111),""),"")</f>
        <v/>
      </c>
      <c r="BP30" s="30" t="str">
        <f>IF(AND($F30='Tournament Setup'!$A$36,SUM($Q30,$S30,$U30)=0),$I30,"")</f>
        <v/>
      </c>
      <c r="BQ30" s="47" t="str">
        <f>IF(ISNUMBER(BP30),IF(COUNTIFS(BQ$1:BQ29,_xlfn.RANK.EQ(BP30,BP$2:BP$111,0))&gt;0,_xlfn.MAXIFS(BQ$1:BQ29,BP$1:BP29,BP30)+1,_xlfn.RANK.EQ(BP30,BP$2:BP$111,0)),"")</f>
        <v/>
      </c>
      <c r="BR30" s="1" t="str">
        <f>IF(ISNUMBER(BP30)=TRUE,IF(_xlfn.RANK.EQ(BP30,$BP$2:$BP$111)&lt;='Tournament Setup'!$B$36,_xlfn.RANK.EQ(BP30,$BP$2:$BP$111),""),"")</f>
        <v/>
      </c>
      <c r="BS30" s="31" t="str">
        <f>IF(AND($F30='Tournament Setup'!$A$36,SUM($Q30,$S30)=0,$E30="M",$BR30&gt;'Tournament Setup'!$B$36),$I30,"")</f>
        <v/>
      </c>
      <c r="BT30" s="1" t="str">
        <f>IF(ISNUMBER(BS30)=TRUE,IF(_xlfn.RANK.EQ(BS30,$BS$2:$BS$111)&lt;='Tournament Setup'!$C$36,_xlfn.RANK.EQ(BS30,$BS$2:$BS$111),""),"")</f>
        <v/>
      </c>
      <c r="BU30" s="31" t="str">
        <f>IF(AND($F30='Tournament Setup'!$A$36,SUM($Q30,$U30)=0,$E30="F",$BR30&gt;'Tournament Setup'!$B$36),$I30,"")</f>
        <v/>
      </c>
      <c r="BV30" s="12" t="str">
        <f>IF(ISNUMBER(BU30)=TRUE,IF(_xlfn.RANK.EQ(BU30,$BU$2:$BU$111)&lt;='Tournament Setup'!$D$36,_xlfn.RANK.EQ(BU30,$BU$2:$BU$111),""),"")</f>
        <v/>
      </c>
      <c r="BW30" s="30">
        <f>IF($H30='Tournament Setup'!$A$41,$I30,"")</f>
        <v>80</v>
      </c>
      <c r="BX30" s="47">
        <f>IF(ISNUMBER(BW30),IF(COUNTIFS(BX$1:BX29,_xlfn.RANK.EQ(BW30,BW$2:BW$111,0))&gt;0,_xlfn.MAXIFS(BX$1:BX29,BW$1:BW29,BW30)+1,_xlfn.RANK.EQ(BW30,BW$2:BW$111,0)),"")</f>
        <v>4</v>
      </c>
      <c r="BY30" s="1" t="str">
        <f>IF(ISNUMBER(BW30)=TRUE,IF(_xlfn.RANK.EQ(BW30,$BW$2:$BW$111)&lt;='Tournament Setup'!$B$41,_xlfn.RANK.EQ(BW30,$BW$2:$BW$111),""),"")</f>
        <v/>
      </c>
      <c r="BZ30" s="31">
        <f>IF(AND($H30='Tournament Setup'!$A$41,$E30="M",$BY30&gt;'Tournament Setup'!$B$41),$I30,"")</f>
        <v>80</v>
      </c>
      <c r="CA30" s="1">
        <f>IF(ISNUMBER(BZ30)=TRUE,IF(_xlfn.RANK.EQ(BZ30,$BZ$2:$BZ$111)&lt;='Tournament Setup'!$C$41,_xlfn.RANK.EQ(BZ30,$BZ$2:$BZ$111),""),"")</f>
        <v>1</v>
      </c>
      <c r="CB30" s="31" t="str">
        <f>IF(AND($H30='Tournament Setup'!$A$41,$E30="F",$BY30&gt;'Tournament Setup'!$B$41),$I30,"")</f>
        <v/>
      </c>
      <c r="CC30" s="12" t="str">
        <f>IF(ISNUMBER(CB30)=TRUE,IF(_xlfn.RANK.EQ(CB30,$CB$2:$CB$111)&lt;='Tournament Setup'!$D$41,_xlfn.RANK.EQ(CB30,$CB$2:$CB$111),""),"")</f>
        <v/>
      </c>
      <c r="CD30" s="30" t="str">
        <f>IF($H30='Tournament Setup'!$A$42,$I30,"")</f>
        <v/>
      </c>
      <c r="CE30" s="47" t="str">
        <f>IF(ISNUMBER(CD30),IF(COUNTIFS(CE$1:CE29,_xlfn.RANK.EQ(CD30,CD$2:CD$111,0))&gt;0,_xlfn.MAXIFS(CE$1:CE29,CD$1:CD29,CD30)+1,_xlfn.RANK.EQ(CD30,CD$2:CD$111,0)),"")</f>
        <v/>
      </c>
      <c r="CF30" s="1" t="str">
        <f>IF(ISNUMBER(CD30)=TRUE,IF(_xlfn.RANK.EQ(CD30,$CD$2:$CD$111)&lt;='Tournament Setup'!$B$42,_xlfn.RANK.EQ(CD30,$CD$2:$CD$111),""),"")</f>
        <v/>
      </c>
      <c r="CG30" s="31" t="str">
        <f>IF(AND($H30='Tournament Setup'!$A$42,$E30="M",$CF30&gt;'Tournament Setup'!$B$42),$I30,"")</f>
        <v/>
      </c>
      <c r="CH30" s="1" t="str">
        <f>IF(ISNUMBER(CG30)=TRUE,IF(_xlfn.RANK.EQ(CG30,$CG$2:$CG$111)&lt;='Tournament Setup'!$C$42,_xlfn.RANK.EQ(CG30,$CG$2:$CG$111),""),"")</f>
        <v/>
      </c>
      <c r="CI30" s="31" t="str">
        <f>IF(AND($H30='Tournament Setup'!$A$42,$E30="F",$CF30&gt;'Tournament Setup'!$B$42),$I30,"")</f>
        <v/>
      </c>
      <c r="CJ30" s="12" t="str">
        <f>IF(ISNUMBER(CI30)=TRUE,IF(_xlfn.RANK.EQ(CI30,$CI$2:$CI$111)&lt;='Tournament Setup'!$D$42,_xlfn.RANK.EQ(CI30,$CI$2:$CI$111),""),"")</f>
        <v/>
      </c>
      <c r="CK30" s="30" t="str">
        <f>IF($H30='Tournament Setup'!$A$43,$I30,"")</f>
        <v/>
      </c>
      <c r="CL30" s="47" t="str">
        <f>IF(ISNUMBER(CK30),IF(COUNTIFS(CL$1:CL29,_xlfn.RANK.EQ(CK30,CK$2:CK$111,0))&gt;0,_xlfn.MAXIFS(CL$1:CL29,CK$1:CK29,CK30)+1,_xlfn.RANK.EQ(CK30,CK$2:CK$111,0)),"")</f>
        <v/>
      </c>
      <c r="CM30" s="1" t="str">
        <f>IF(ISNUMBER(CK30)=TRUE,IF(_xlfn.RANK.EQ(CK30,$CK$2:$CK$111)&lt;='Tournament Setup'!$B$43,_xlfn.RANK.EQ(CK30,$CK$2:$CK$111),""),"")</f>
        <v/>
      </c>
      <c r="CN30" s="31" t="str">
        <f>IF(AND($H30='Tournament Setup'!$A$43,$E30="M",$CM30&gt;'Tournament Setup'!$B$43),$I30,"")</f>
        <v/>
      </c>
      <c r="CO30" s="1" t="str">
        <f>IF(ISNUMBER(CN30)=TRUE,IF(_xlfn.RANK.EQ(CN30,$CN$2:$CN$111)&lt;='Tournament Setup'!$C$43,_xlfn.RANK.EQ(CN30,$CN$2:$CN$111),""),"")</f>
        <v/>
      </c>
      <c r="CP30" s="31" t="str">
        <f>IF(AND($H30='Tournament Setup'!$A$43,$E30="F",$CM30&gt;'Tournament Setup'!$B$43),$I30,"")</f>
        <v/>
      </c>
      <c r="CQ30" s="12" t="str">
        <f>IF(ISNUMBER(CP30)=TRUE,IF(_xlfn.RANK.EQ(CP30,$CP$2:$CP$111)&lt;='Tournament Setup'!$D$43,_xlfn.RANK.EQ(CP30,$CP$2:$CP$111),""),"")</f>
        <v/>
      </c>
      <c r="CR30" s="30" t="str">
        <f>IF($H30='Tournament Setup'!$A$44,$I30,"")</f>
        <v/>
      </c>
      <c r="CS30" s="47" t="str">
        <f>IF(ISNUMBER(CR30),IF(COUNTIFS(CS$1:CS29,_xlfn.RANK.EQ(CR30,CR$2:CR$111,0))&gt;0,_xlfn.MAXIFS(CS$1:CS29,CR$1:CR29,CR30)+1,_xlfn.RANK.EQ(CR30,CR$2:CR$111,0)),"")</f>
        <v/>
      </c>
      <c r="CT30" s="1" t="str">
        <f>IF(ISNUMBER(CR30)=TRUE,IF(_xlfn.RANK.EQ(CR30,$CR$2:$CR$111)&lt;='Tournament Setup'!$B$44,_xlfn.RANK.EQ(CR30,$CR$2:$CR$111),""),"")</f>
        <v/>
      </c>
      <c r="CU30" s="31" t="str">
        <f>IF(AND($H30='Tournament Setup'!$A$44,$E30="M",$CT30&gt;'Tournament Setup'!$B$44),$I30,"")</f>
        <v/>
      </c>
      <c r="CV30" s="1" t="str">
        <f>IF(ISNUMBER(CU30)=TRUE,IF(_xlfn.RANK.EQ(CU30,$CU$2:$CU$111)&lt;='Tournament Setup'!$C$44,_xlfn.RANK.EQ(CU30,$CU$2:$CU$111),""),"")</f>
        <v/>
      </c>
      <c r="CW30" s="31" t="str">
        <f>IF(AND($H30='Tournament Setup'!$A$44,$E30="F",$CT30&gt;'Tournament Setup'!$B$44),$I30,"")</f>
        <v/>
      </c>
      <c r="CX30" s="12" t="str">
        <f>IF(ISNUMBER(CW30)=TRUE,IF(_xlfn.RANK.EQ(CW30,$CW$2:$CW$111)&lt;='Tournament Setup'!$D$44,_xlfn.RANK.EQ(CW30,$CW$2:$CW$111),""),"")</f>
        <v/>
      </c>
    </row>
    <row r="31" spans="1:102" x14ac:dyDescent="0.3">
      <c r="A31" t="s">
        <v>186</v>
      </c>
      <c r="B31" t="str">
        <f>IFERROR(INDEX('Tournament List'!$B:$B,MATCH($A31,'Tournament List'!$A:$A,0)),"")</f>
        <v>Judy</v>
      </c>
      <c r="C31" t="str">
        <f>IFERROR(INDEX('Tournament List'!$C:$C,MATCH($A31,'Tournament List'!$A:$A,0)),"")</f>
        <v>Last Name30</v>
      </c>
      <c r="D31" t="str">
        <f t="shared" si="0"/>
        <v>Judy Last Name30</v>
      </c>
      <c r="E31" s="1" t="str">
        <f>IFERROR(INDEX('Tournament List'!F:F,MATCH($A31,'Tournament List'!$A:$A,0)),"")</f>
        <v>F</v>
      </c>
      <c r="F31" t="str">
        <f>IFERROR(INDEX('Tournament List'!M:M,MATCH($A31,'Tournament List'!$A:$A,0)),"")</f>
        <v>Collegiate</v>
      </c>
      <c r="G31" t="str">
        <f>IFERROR(INDEX('Shooter-Squad Assignment'!L:L,MATCH(A31,'Shooter-Squad Assignment'!A:A,0)),"")</f>
        <v>Collegiate</v>
      </c>
      <c r="H31" s="1" t="str">
        <f>IFERROR(INDEX('Tournament List'!AD:AD,MATCH($A31,'Tournament List'!$A:$A,0)),"")</f>
        <v>A</v>
      </c>
      <c r="I31" s="123">
        <f>IFERROR(INDEX('Tournament List'!AG:AG,MATCH($A31,'Tournament List'!$A:$A,0)),"")</f>
        <v>51</v>
      </c>
      <c r="J31" s="145" t="str">
        <f>IFERROR(INDEX('Tournament List'!Y:Y,MATCH($A31,'Tournament List'!$A:$A,0)),"")</f>
        <v/>
      </c>
      <c r="K31" s="47">
        <f>IFERROR(INDEX('Tournament List'!S:S,MATCH(A31,'Tournament List'!A:A,0)),"")</f>
        <v>172</v>
      </c>
      <c r="L31" s="47" t="str">
        <f>IF(ISNUMBER(J31),IF(COUNTIFS(L$1:L30,_xlfn.RANK.EQ(J31,J$2:J$111,0))&gt;0,_xlfn.MAXIFS(L$1:L30,J$1:J30,J31)+1,_xlfn.RANK.EQ(J31,J$2:J$111,0)),"")</f>
        <v/>
      </c>
      <c r="M31" s="11">
        <f>IF(ISNUMBER(I31)=TRUE,IF(I31&gt;0,_xlfn.RANK.EQ(I31,$I$2:$I$111,0),""),"")</f>
        <v>41</v>
      </c>
      <c r="N31" s="56">
        <f>IF(ISNUMBER(I31),IF(COUNTIFS(N$1:N30,_xlfn.RANK.EQ(I31,I$2:I$111,0))&gt;0,_xlfn.MAXIFS(N$1:N30,I$1:I30,I31)+1,_xlfn.RANK.EQ(I31,I$2:I$111,0)),"")</f>
        <v>41</v>
      </c>
      <c r="O31" s="144" t="str">
        <f>IF(F31&lt;&gt;"Collegiate"=TRUE,$I31,"")</f>
        <v/>
      </c>
      <c r="P31" s="47" t="str">
        <f>IF(ISNUMBER(O31),IF(COUNTIFS(P$1:P30,_xlfn.RANK.EQ(O31,O$2:O$111,0))&gt;0,_xlfn.MAXIFS(P$1:P30,O$1:O30,O31)+1,_xlfn.RANK.EQ(O31,O$2:O$111,0)),"")</f>
        <v/>
      </c>
      <c r="Q31" s="1" t="str">
        <f>IF(ISNUMBER(O31)=TRUE,IF(_xlfn.RANK.EQ(O31,$O$2:$O$111)&lt;='Tournament Setup'!$B$26,_xlfn.RANK.EQ(O31,$O$2:$O$111),""),"")</f>
        <v/>
      </c>
      <c r="R31" s="143" t="str">
        <f>IF(AND($E31="M",SUM($Q31)=0,F31&lt;&gt;"Collegiate")=TRUE,$I31,"")</f>
        <v/>
      </c>
      <c r="S31" s="1" t="str">
        <f>IF(ISNUMBER(R31)=TRUE,IF(_xlfn.RANK.EQ(R31,$R$2:$R$111)&lt;='Tournament Setup'!$B$27,_xlfn.RANK.EQ(R31,$R$2:$R$111),""),"")</f>
        <v/>
      </c>
      <c r="T31" s="143" t="str">
        <f>IF(AND($E31="F",SUM($Q31)=0,F31&lt;&gt;"Collegiate")=TRUE,$I31,"")</f>
        <v/>
      </c>
      <c r="U31" s="12" t="str">
        <f>IF(ISNUMBER(T31)=TRUE,IF(_xlfn.RANK.EQ(T31,$T$2:$T$111)&lt;='Tournament Setup'!$B$28,_xlfn.RANK.EQ(T31,$T$2:$T$111),""),"")</f>
        <v/>
      </c>
      <c r="V31" s="145" t="str">
        <f>IF(AND($G31='Tournament Setup'!$A$53,$J31&lt;&gt;0),$J31,"")</f>
        <v/>
      </c>
      <c r="W31" s="47" t="str">
        <f>IF(ISNUMBER(V31),IF(COUNTIFS(W$1:W30,_xlfn.RANK.EQ(V31,V$2:V$111,0))&gt;0,_xlfn.MAXIFS(W$1:W30,V$1:V30,V31)+1,_xlfn.RANK.EQ(V31,V$2:V$111,0)),"")</f>
        <v/>
      </c>
      <c r="X31" s="1" t="str">
        <f>IF(ISNUMBER(V31)=TRUE,IF(_xlfn.RANK.EQ(V31,$V$2:$V$111)&lt;='Tournament Setup'!$B$53,_xlfn.RANK.EQ(V31,$V$2:$V$111),""),"")</f>
        <v/>
      </c>
      <c r="Y31" s="145" t="str">
        <f>IF(AND($G31='Tournament Setup'!$A$49,$J31&lt;&gt;0),$J31,"")</f>
        <v/>
      </c>
      <c r="Z31" s="47" t="str">
        <f>IF(ISNUMBER(Y31),IF(COUNTIFS(Z$1:Z30,_xlfn.RANK.EQ(Y31,Y$2:Y$111,0))&gt;0,_xlfn.MAXIFS(Z$1:Z30,Y$1:Y30,Y31)+1,_xlfn.RANK.EQ(Y31,Y$2:Y$111,0)),"")</f>
        <v/>
      </c>
      <c r="AA31" s="1" t="str">
        <f>IF(ISNUMBER(Y31)=TRUE,IF(_xlfn.RANK.EQ(Y31,$Y$2:$Y$111)&lt;='Tournament Setup'!$B$49,_xlfn.RANK.EQ(Y31,$Y$2:$Y$111),""),"")</f>
        <v/>
      </c>
      <c r="AB31" s="30" t="str">
        <f>IF(AND($F31='Tournament Setup'!$A$32,SUM($Q31,$S31,$U31)=0),$I31,"")</f>
        <v/>
      </c>
      <c r="AC31" s="47" t="str">
        <f>IF(ISNUMBER(AB31),IF(COUNTIFS(AC$1:AC30,_xlfn.RANK.EQ(AB31,AB$2:AB$111,0))&gt;0,_xlfn.MAXIFS(AC$1:AC30,AB$1:AB30,AB31)+1,_xlfn.RANK.EQ(AB31,AB$2:AB$111,0)),"")</f>
        <v/>
      </c>
      <c r="AD31" s="1" t="str">
        <f>IF(ISNUMBER(AB31)=TRUE,IF(_xlfn.RANK.EQ(AB31,$AB$2:$AB$111)&lt;='Tournament Setup'!$B$32,_xlfn.RANK.EQ(AB31,$AB$2:$AB$111),""),"")</f>
        <v/>
      </c>
      <c r="AE31" s="31" t="str">
        <f>IF(AND($F31='Tournament Setup'!$A$32,SUM($Q31,$S31)=0,$E31="M",$AD31&gt;'Tournament Setup'!$B$32),$I31,"")</f>
        <v/>
      </c>
      <c r="AF31" s="1" t="str">
        <f>IF(ISNUMBER(AE31)=TRUE,IF(_xlfn.RANK.EQ(AE31,$AE$2:$AE$111)&lt;='Tournament Setup'!$C$32,_xlfn.RANK.EQ(AE31,$AE$2:$AE$111),""),"")</f>
        <v/>
      </c>
      <c r="AG31" s="31" t="str">
        <f>IF(AND($F31='Tournament Setup'!$A$32,SUM($Q31,$U31)=0,$E31="F",$AD31&gt;'Tournament Setup'!$B$32),$I31,"")</f>
        <v/>
      </c>
      <c r="AH31" s="12" t="str">
        <f>IF(ISNUMBER(AG31)=TRUE,IF(_xlfn.RANK.EQ(AG31,$AG$2:$AG$111)&lt;='Tournament Setup'!$D$32,_xlfn.RANK.EQ(AG31,$AG$2:$AG$111),""),"")</f>
        <v/>
      </c>
      <c r="AI31" s="30" t="str">
        <f>IF(AND($G31='Tournament Setup'!$A$50,$J31&lt;&gt;0),$J31,"")</f>
        <v/>
      </c>
      <c r="AJ31" s="47" t="str">
        <f>IF(ISNUMBER(AI31),IF(COUNTIFS(AJ$1:AJ30,_xlfn.RANK.EQ(AI31,AI$2:AI$111,0))&gt;0,_xlfn.MAXIFS(AJ$1:AJ30,AI$1:AI30,AI31)+1,_xlfn.RANK.EQ(AI31,AI$2:AI$111,0)),"")</f>
        <v/>
      </c>
      <c r="AK31" s="1" t="str">
        <f>IF(ISNUMBER(AI31)=TRUE,IF(_xlfn.RANK.EQ(AI31,$AI$2:$AI$111)&lt;='Tournament Setup'!$B$49,_xlfn.RANK.EQ(AI31,$AI$2:$AI$111),""),"")</f>
        <v/>
      </c>
      <c r="AL31" s="30" t="str">
        <f>IF(AND($F31='Tournament Setup'!$A$33,SUM($Q31,$S31,$U31)=0),$I31,"")</f>
        <v/>
      </c>
      <c r="AM31" s="47" t="str">
        <f>IF(ISNUMBER(AL31),IF(COUNTIFS(AM$1:AM30,_xlfn.RANK.EQ(AL31,AL$2:AL$111,0))&gt;0,_xlfn.MAXIFS(AM$1:AM30,AL$1:AL30,AL31)+1,_xlfn.RANK.EQ(AL31,AL$2:AL$111,0)),"")</f>
        <v/>
      </c>
      <c r="AN31" s="1" t="str">
        <f>IF(ISNUMBER(AL31)=TRUE,IF(_xlfn.RANK.EQ(AL31,$AL$2:$AL$111)&lt;='Tournament Setup'!$B$33,_xlfn.RANK.EQ(AL31,$AL$2:$AL$111),""),"")</f>
        <v/>
      </c>
      <c r="AO31" s="31" t="str">
        <f>IF(AND($F31='Tournament Setup'!$A$33,SUM($Q31,$S31)=0,$E31="M",$AN31&gt;'Tournament Setup'!$B$33),$I31,"")</f>
        <v/>
      </c>
      <c r="AP31" s="1" t="str">
        <f>IF(ISNUMBER(AO31)=TRUE,IF(_xlfn.RANK.EQ(AO31,$AO$2:$AO$111)&lt;='Tournament Setup'!$C$33,_xlfn.RANK.EQ(AO31,$AO$2:$AO$111),""),"")</f>
        <v/>
      </c>
      <c r="AQ31" s="31" t="str">
        <f>IF(AND($F31='Tournament Setup'!$A$33,SUM($Q31,$U31)=0,$E31="F",$AN31&gt;'Tournament Setup'!$B$33),$I31,"")</f>
        <v/>
      </c>
      <c r="AR31" s="12" t="str">
        <f>IF(ISNUMBER(AQ31)=TRUE,IF(_xlfn.RANK.EQ(AQ31,$AQ$2:$AQ$111)&lt;='Tournament Setup'!$D$33,_xlfn.RANK.EQ(AQ31,$AQ$2:$AQ$111),""),"")</f>
        <v/>
      </c>
      <c r="AS31" s="30" t="str">
        <f>IF(AND($G31='Tournament Setup'!$A$51,$J31&lt;&gt;0),$J31,"")</f>
        <v/>
      </c>
      <c r="AT31" s="47" t="str">
        <f>IF(ISNUMBER(AS31),IF(COUNTIFS(AT$1:AT30,_xlfn.RANK.EQ(AS31,AS$2:AS$111,0))&gt;0,_xlfn.MAXIFS(AT$1:AT30,AS$1:AS30,AS31)+1,_xlfn.RANK.EQ(AS31,AS$2:AS$111,0)),"")</f>
        <v/>
      </c>
      <c r="AU31" s="1" t="str">
        <f>IF(ISNUMBER(AS31)=TRUE,IF(_xlfn.RANK.EQ(AS31,$AS$2:$AS$111)&lt;='Tournament Setup'!$B$49,_xlfn.RANK.EQ(AS31,$AS$2:$AS$111),""),"")</f>
        <v/>
      </c>
      <c r="AV31" s="30" t="str">
        <f>IF(AND($F31='Tournament Setup'!$A$34,SUM($Q31,$S31,$U31)=0),$I31,"")</f>
        <v/>
      </c>
      <c r="AW31" s="47" t="str">
        <f>IF(ISNUMBER(AV31),IF(COUNTIFS(AW$1:AW30,_xlfn.RANK.EQ(AV31,AV$2:AV$111,0))&gt;0,_xlfn.MAXIFS(AW$1:AW30,AV$1:AV30,AV31)+1,_xlfn.RANK.EQ(AV31,AV$2:AV$111,0)),"")</f>
        <v/>
      </c>
      <c r="AX31" s="1" t="str">
        <f>IF(ISNUMBER(AV31)=TRUE,IF(_xlfn.RANK.EQ(AV31,$AV$2:$AV$111)&lt;='Tournament Setup'!$B$34,_xlfn.RANK.EQ(AV31,$AV$2:$AV$111),""),"")</f>
        <v/>
      </c>
      <c r="AY31" s="31" t="str">
        <f>IF(AND($F31='Tournament Setup'!$A$34,SUM($Q31,$S31)=0,$E31="M",$AX31&gt;'Tournament Setup'!$B$34),$I31,"")</f>
        <v/>
      </c>
      <c r="AZ31" s="1" t="str">
        <f>IF(ISNUMBER(AY31)=TRUE,IF(_xlfn.RANK.EQ(AY31,$AY$2:$AY$111)&lt;='Tournament Setup'!$C$34,_xlfn.RANK.EQ(AY31,$AY$2:$AY$111),""),"")</f>
        <v/>
      </c>
      <c r="BA31" s="31" t="str">
        <f>IF(AND($F31='Tournament Setup'!$A$34,SUM($Q31,$U31)=0,$E31="F",$AX31&gt;'Tournament Setup'!$B$34),$I31,"")</f>
        <v/>
      </c>
      <c r="BB31" s="12" t="str">
        <f>IF(ISNUMBER(BA31)=TRUE,IF(_xlfn.RANK.EQ(BA31,$BA$2:$BA$111)&lt;='Tournament Setup'!$D$34,_xlfn.RANK.EQ(BA31,$BA$2:$BA$111),""),"")</f>
        <v/>
      </c>
      <c r="BC31" s="30" t="str">
        <f>IF(AND($G31='Tournament Setup'!$A$52,$J31&lt;&gt;0),$J31,"")</f>
        <v/>
      </c>
      <c r="BD31" s="47" t="str">
        <f>IF(ISNUMBER(BC31),IF(COUNTIFS(BD$1:BD30,_xlfn.RANK.EQ(BC31,BC$2:BC$111,0))&gt;0,_xlfn.MAXIFS(BD$1:BD30,BC$1:BC30,BC31)+1,_xlfn.RANK.EQ(BC31,BC$2:BC$111,0)),"")</f>
        <v/>
      </c>
      <c r="BE31" s="1" t="str">
        <f>IF(ISNUMBER(BC31)=TRUE,IF(_xlfn.RANK.EQ(BC31,$BC$2:$BC$111)&lt;='Tournament Setup'!$B$49,_xlfn.RANK.EQ(BC31,$BC$2:$BC$111),""),"")</f>
        <v/>
      </c>
      <c r="BF31" s="30" t="str">
        <f>IF(AND($F31='Tournament Setup'!$A$35,SUM($Q31,$S31,$U31)=0),$I31,"")</f>
        <v/>
      </c>
      <c r="BG31" s="47" t="str">
        <f>IF(ISNUMBER(BF31),IF(COUNTIFS(BG$1:BG30,_xlfn.RANK.EQ(BF31,BF$2:BF$111,0))&gt;0,_xlfn.MAXIFS(BG$1:BG30,BF$1:BF30,BF31)+1,_xlfn.RANK.EQ(BF31,BF$2:BF$111,0)),"")</f>
        <v/>
      </c>
      <c r="BH31" s="1" t="str">
        <f>IF(ISNUMBER(BF31)=TRUE,IF(_xlfn.RANK.EQ(BF31,$BF$2:$BF$111)&lt;='Tournament Setup'!$B$35,_xlfn.RANK.EQ(BF31,$BF$2:$BF$111),""),"")</f>
        <v/>
      </c>
      <c r="BI31" s="31" t="str">
        <f>IF(AND($F31='Tournament Setup'!$A$35,SUM($Q31,$S31)=0,$E31="M",$BH31&gt;'Tournament Setup'!$B$35),$I31,"")</f>
        <v/>
      </c>
      <c r="BJ31" s="1" t="str">
        <f>IF(ISNUMBER(BI31)=TRUE,IF(_xlfn.RANK.EQ(BI31,$BI$2:$BI$111)&lt;='Tournament Setup'!$C$35,_xlfn.RANK.EQ(BI31,$BI$2:$BI$111),""),"")</f>
        <v/>
      </c>
      <c r="BK31" s="31" t="str">
        <f>IF(AND($F31='Tournament Setup'!$A$35,SUM($Q31,$U31)=0,$E31="F",$BH31&gt;'Tournament Setup'!$B$35),$I31,"")</f>
        <v/>
      </c>
      <c r="BL31" s="12" t="str">
        <f>IF(ISNUMBER(BK31)=TRUE,IF(_xlfn.RANK.EQ(BK31,$BK$2:$BK$111)&lt;='Tournament Setup'!$D$35,_xlfn.RANK.EQ(BK31,$BK$2:$BK$111),""),"")</f>
        <v/>
      </c>
      <c r="BM31" s="30" t="str">
        <f>IF(AND($G31='Tournament Setup'!$A$54,$J31&lt;&gt;0),$J31,"")</f>
        <v/>
      </c>
      <c r="BN31" s="47" t="str">
        <f>IF(ISNUMBER(BM31),IF(COUNTIFS(BN$1:BN30,_xlfn.RANK.EQ(BM31,BM$2:BM$111,0))&gt;0,_xlfn.MAXIFS(BN$1:BN30,BM$1:BM30,BM31)+1,_xlfn.RANK.EQ(BM31,BM$2:BM$111,0)),"")</f>
        <v/>
      </c>
      <c r="BO31" s="1" t="str">
        <f>IF(ISNUMBER(BM31)=TRUE,IF(_xlfn.RANK.EQ(BM31,$BM$2:$BM$111)&lt;='Tournament Setup'!$B$49,_xlfn.RANK.EQ(BM31,$BM$2:$BM$111),""),"")</f>
        <v/>
      </c>
      <c r="BP31" s="30">
        <f>IF(AND($F31='Tournament Setup'!$A$36,SUM($Q31,$S31,$U31)=0),$I31,"")</f>
        <v>51</v>
      </c>
      <c r="BQ31" s="47">
        <f>IF(ISNUMBER(BP31),IF(COUNTIFS(BQ$1:BQ30,_xlfn.RANK.EQ(BP31,BP$2:BP$111,0))&gt;0,_xlfn.MAXIFS(BQ$1:BQ30,BP$1:BP30,BP31)+1,_xlfn.RANK.EQ(BP31,BP$2:BP$111,0)),"")</f>
        <v>3</v>
      </c>
      <c r="BR31" s="1">
        <f>IF(ISNUMBER(BP31)=TRUE,IF(_xlfn.RANK.EQ(BP31,$BP$2:$BP$111)&lt;='Tournament Setup'!$B$36,_xlfn.RANK.EQ(BP31,$BP$2:$BP$111),""),"")</f>
        <v>3</v>
      </c>
      <c r="BS31" s="31" t="str">
        <f>IF(AND($F31='Tournament Setup'!$A$36,SUM($Q31,$S31)=0,$E31="M",$BR31&gt;'Tournament Setup'!$B$36),$I31,"")</f>
        <v/>
      </c>
      <c r="BT31" s="1" t="str">
        <f>IF(ISNUMBER(BS31)=TRUE,IF(_xlfn.RANK.EQ(BS31,$BS$2:$BS$111)&lt;='Tournament Setup'!$C$36,_xlfn.RANK.EQ(BS31,$BS$2:$BS$111),""),"")</f>
        <v/>
      </c>
      <c r="BU31" s="31" t="str">
        <f>IF(AND($F31='Tournament Setup'!$A$36,SUM($Q31,$U31)=0,$E31="F",$BR31&gt;'Tournament Setup'!$B$36),$I31,"")</f>
        <v/>
      </c>
      <c r="BV31" s="12" t="str">
        <f>IF(ISNUMBER(BU31)=TRUE,IF(_xlfn.RANK.EQ(BU31,$BU$2:$BU$111)&lt;='Tournament Setup'!$D$36,_xlfn.RANK.EQ(BU31,$BU$2:$BU$111),""),"")</f>
        <v/>
      </c>
      <c r="BW31" s="30">
        <f>IF($H31='Tournament Setup'!$A$41,$I31,"")</f>
        <v>51</v>
      </c>
      <c r="BX31" s="47">
        <f>IF(ISNUMBER(BW31),IF(COUNTIFS(BX$1:BX30,_xlfn.RANK.EQ(BW31,BW$2:BW$111,0))&gt;0,_xlfn.MAXIFS(BX$1:BX30,BW$1:BW30,BW31)+1,_xlfn.RANK.EQ(BW31,BW$2:BW$111,0)),"")</f>
        <v>8</v>
      </c>
      <c r="BY31" s="1" t="str">
        <f>IF(ISNUMBER(BW31)=TRUE,IF(_xlfn.RANK.EQ(BW31,$BW$2:$BW$111)&lt;='Tournament Setup'!$B$41,_xlfn.RANK.EQ(BW31,$BW$2:$BW$111),""),"")</f>
        <v/>
      </c>
      <c r="BZ31" s="31" t="str">
        <f>IF(AND($H31='Tournament Setup'!$A$41,$E31="M",$BY31&gt;'Tournament Setup'!$B$41),$I31,"")</f>
        <v/>
      </c>
      <c r="CA31" s="1" t="str">
        <f>IF(ISNUMBER(BZ31)=TRUE,IF(_xlfn.RANK.EQ(BZ31,$BZ$2:$BZ$111)&lt;='Tournament Setup'!$C$41,_xlfn.RANK.EQ(BZ31,$BZ$2:$BZ$111),""),"")</f>
        <v/>
      </c>
      <c r="CB31" s="31">
        <f>IF(AND($H31='Tournament Setup'!$A$41,$E31="F",$BY31&gt;'Tournament Setup'!$B$41),$I31,"")</f>
        <v>51</v>
      </c>
      <c r="CC31" s="12">
        <f>IF(ISNUMBER(CB31)=TRUE,IF(_xlfn.RANK.EQ(CB31,$CB$2:$CB$111)&lt;='Tournament Setup'!$D$41,_xlfn.RANK.EQ(CB31,$CB$2:$CB$111),""),"")</f>
        <v>1</v>
      </c>
      <c r="CD31" s="30" t="str">
        <f>IF($H31='Tournament Setup'!$A$42,$I31,"")</f>
        <v/>
      </c>
      <c r="CE31" s="47" t="str">
        <f>IF(ISNUMBER(CD31),IF(COUNTIFS(CE$1:CE30,_xlfn.RANK.EQ(CD31,CD$2:CD$111,0))&gt;0,_xlfn.MAXIFS(CE$1:CE30,CD$1:CD30,CD31)+1,_xlfn.RANK.EQ(CD31,CD$2:CD$111,0)),"")</f>
        <v/>
      </c>
      <c r="CF31" s="1" t="str">
        <f>IF(ISNUMBER(CD31)=TRUE,IF(_xlfn.RANK.EQ(CD31,$CD$2:$CD$111)&lt;='Tournament Setup'!$B$42,_xlfn.RANK.EQ(CD31,$CD$2:$CD$111),""),"")</f>
        <v/>
      </c>
      <c r="CG31" s="31" t="str">
        <f>IF(AND($H31='Tournament Setup'!$A$42,$E31="M",$CF31&gt;'Tournament Setup'!$B$42),$I31,"")</f>
        <v/>
      </c>
      <c r="CH31" s="1" t="str">
        <f>IF(ISNUMBER(CG31)=TRUE,IF(_xlfn.RANK.EQ(CG31,$CG$2:$CG$111)&lt;='Tournament Setup'!$C$42,_xlfn.RANK.EQ(CG31,$CG$2:$CG$111),""),"")</f>
        <v/>
      </c>
      <c r="CI31" s="31" t="str">
        <f>IF(AND($H31='Tournament Setup'!$A$42,$E31="F",$CF31&gt;'Tournament Setup'!$B$42),$I31,"")</f>
        <v/>
      </c>
      <c r="CJ31" s="12" t="str">
        <f>IF(ISNUMBER(CI31)=TRUE,IF(_xlfn.RANK.EQ(CI31,$CI$2:$CI$111)&lt;='Tournament Setup'!$D$42,_xlfn.RANK.EQ(CI31,$CI$2:$CI$111),""),"")</f>
        <v/>
      </c>
      <c r="CK31" s="30" t="str">
        <f>IF($H31='Tournament Setup'!$A$43,$I31,"")</f>
        <v/>
      </c>
      <c r="CL31" s="47" t="str">
        <f>IF(ISNUMBER(CK31),IF(COUNTIFS(CL$1:CL30,_xlfn.RANK.EQ(CK31,CK$2:CK$111,0))&gt;0,_xlfn.MAXIFS(CL$1:CL30,CK$1:CK30,CK31)+1,_xlfn.RANK.EQ(CK31,CK$2:CK$111,0)),"")</f>
        <v/>
      </c>
      <c r="CM31" s="1" t="str">
        <f>IF(ISNUMBER(CK31)=TRUE,IF(_xlfn.RANK.EQ(CK31,$CK$2:$CK$111)&lt;='Tournament Setup'!$B$43,_xlfn.RANK.EQ(CK31,$CK$2:$CK$111),""),"")</f>
        <v/>
      </c>
      <c r="CN31" s="31" t="str">
        <f>IF(AND($H31='Tournament Setup'!$A$43,$E31="M",$CM31&gt;'Tournament Setup'!$B$43),$I31,"")</f>
        <v/>
      </c>
      <c r="CO31" s="1" t="str">
        <f>IF(ISNUMBER(CN31)=TRUE,IF(_xlfn.RANK.EQ(CN31,$CN$2:$CN$111)&lt;='Tournament Setup'!$C$43,_xlfn.RANK.EQ(CN31,$CN$2:$CN$111),""),"")</f>
        <v/>
      </c>
      <c r="CP31" s="31" t="str">
        <f>IF(AND($H31='Tournament Setup'!$A$43,$E31="F",$CM31&gt;'Tournament Setup'!$B$43),$I31,"")</f>
        <v/>
      </c>
      <c r="CQ31" s="12" t="str">
        <f>IF(ISNUMBER(CP31)=TRUE,IF(_xlfn.RANK.EQ(CP31,$CP$2:$CP$111)&lt;='Tournament Setup'!$D$43,_xlfn.RANK.EQ(CP31,$CP$2:$CP$111),""),"")</f>
        <v/>
      </c>
      <c r="CR31" s="30" t="str">
        <f>IF($H31='Tournament Setup'!$A$44,$I31,"")</f>
        <v/>
      </c>
      <c r="CS31" s="47" t="str">
        <f>IF(ISNUMBER(CR31),IF(COUNTIFS(CS$1:CS30,_xlfn.RANK.EQ(CR31,CR$2:CR$111,0))&gt;0,_xlfn.MAXIFS(CS$1:CS30,CR$1:CR30,CR31)+1,_xlfn.RANK.EQ(CR31,CR$2:CR$111,0)),"")</f>
        <v/>
      </c>
      <c r="CT31" s="1" t="str">
        <f>IF(ISNUMBER(CR31)=TRUE,IF(_xlfn.RANK.EQ(CR31,$CR$2:$CR$111)&lt;='Tournament Setup'!$B$44,_xlfn.RANK.EQ(CR31,$CR$2:$CR$111),""),"")</f>
        <v/>
      </c>
      <c r="CU31" s="31" t="str">
        <f>IF(AND($H31='Tournament Setup'!$A$44,$E31="M",$CT31&gt;'Tournament Setup'!$B$44),$I31,"")</f>
        <v/>
      </c>
      <c r="CV31" s="1" t="str">
        <f>IF(ISNUMBER(CU31)=TRUE,IF(_xlfn.RANK.EQ(CU31,$CU$2:$CU$111)&lt;='Tournament Setup'!$C$44,_xlfn.RANK.EQ(CU31,$CU$2:$CU$111),""),"")</f>
        <v/>
      </c>
      <c r="CW31" s="31" t="str">
        <f>IF(AND($H31='Tournament Setup'!$A$44,$E31="F",$CT31&gt;'Tournament Setup'!$B$44),$I31,"")</f>
        <v/>
      </c>
      <c r="CX31" s="12" t="str">
        <f>IF(ISNUMBER(CW31)=TRUE,IF(_xlfn.RANK.EQ(CW31,$CW$2:$CW$111)&lt;='Tournament Setup'!$D$44,_xlfn.RANK.EQ(CW31,$CW$2:$CW$111),""),"")</f>
        <v/>
      </c>
    </row>
    <row r="32" spans="1:102" x14ac:dyDescent="0.3">
      <c r="A32" t="s">
        <v>187</v>
      </c>
      <c r="B32" t="str">
        <f>IFERROR(INDEX('Tournament List'!$B:$B,MATCH($A32,'Tournament List'!$A:$A,0)),"")</f>
        <v>Shelly</v>
      </c>
      <c r="C32" t="str">
        <f>IFERROR(INDEX('Tournament List'!$C:$C,MATCH($A32,'Tournament List'!$A:$A,0)),"")</f>
        <v>Last Name31</v>
      </c>
      <c r="D32" t="str">
        <f t="shared" si="0"/>
        <v>Shelly Last Name31</v>
      </c>
      <c r="E32" s="1" t="str">
        <f>IFERROR(INDEX('Tournament List'!F:F,MATCH($A32,'Tournament List'!$A:$A,0)),"")</f>
        <v>F</v>
      </c>
      <c r="F32" t="str">
        <f>IFERROR(INDEX('Tournament List'!M:M,MATCH($A32,'Tournament List'!$A:$A,0)),"")</f>
        <v>Intermediate</v>
      </c>
      <c r="G32" t="str">
        <f>IFERROR(INDEX('Shooter-Squad Assignment'!L:L,MATCH(A32,'Shooter-Squad Assignment'!A:A,0)),"")</f>
        <v>Intermediate</v>
      </c>
      <c r="H32" s="1" t="str">
        <f>IFERROR(INDEX('Tournament List'!AD:AD,MATCH($A32,'Tournament List'!$A:$A,0)),"")</f>
        <v>B</v>
      </c>
      <c r="I32" s="123">
        <f>IFERROR(INDEX('Tournament List'!AG:AG,MATCH($A32,'Tournament List'!$A:$A,0)),"")</f>
        <v>92</v>
      </c>
      <c r="J32" s="145" t="str">
        <f>IFERROR(INDEX('Tournament List'!Y:Y,MATCH($A32,'Tournament List'!$A:$A,0)),"")</f>
        <v/>
      </c>
      <c r="K32" s="47">
        <f>IFERROR(INDEX('Tournament List'!S:S,MATCH(A32,'Tournament List'!A:A,0)),"")</f>
        <v>118</v>
      </c>
      <c r="L32" s="47" t="str">
        <f>IF(ISNUMBER(J32),IF(COUNTIFS(L$1:L31,_xlfn.RANK.EQ(J32,J$2:J$111,0))&gt;0,_xlfn.MAXIFS(L$1:L31,J$1:J31,J32)+1,_xlfn.RANK.EQ(J32,J$2:J$111,0)),"")</f>
        <v/>
      </c>
      <c r="M32" s="11">
        <f>IF(ISNUMBER(I32)=TRUE,IF(I32&gt;0,_xlfn.RANK.EQ(I32,$I$2:$I$111,0),""),"")</f>
        <v>6</v>
      </c>
      <c r="N32" s="56">
        <f>IF(ISNUMBER(I32),IF(COUNTIFS(N$1:N31,_xlfn.RANK.EQ(I32,I$2:I$111,0))&gt;0,_xlfn.MAXIFS(N$1:N31,I$1:I31,I32)+1,_xlfn.RANK.EQ(I32,I$2:I$111,0)),"")</f>
        <v>6</v>
      </c>
      <c r="O32" s="144">
        <f>IF(F32&lt;&gt;"Collegiate"=TRUE,$I32,"")</f>
        <v>92</v>
      </c>
      <c r="P32" s="47">
        <f>IF(ISNUMBER(O32),IF(COUNTIFS(P$1:P31,_xlfn.RANK.EQ(O32,O$2:O$111,0))&gt;0,_xlfn.MAXIFS(P$1:P31,O$1:O31,O32)+1,_xlfn.RANK.EQ(O32,O$2:O$111,0)),"")</f>
        <v>6</v>
      </c>
      <c r="Q32" s="1" t="str">
        <f>IF(ISNUMBER(O32)=TRUE,IF(_xlfn.RANK.EQ(O32,$O$2:$O$111)&lt;='Tournament Setup'!$B$26,_xlfn.RANK.EQ(O32,$O$2:$O$111),""),"")</f>
        <v/>
      </c>
      <c r="R32" s="143" t="str">
        <f>IF(AND($E32="M",SUM($Q32)=0,F32&lt;&gt;"Collegiate")=TRUE,$I32,"")</f>
        <v/>
      </c>
      <c r="S32" s="1" t="str">
        <f>IF(ISNUMBER(R32)=TRUE,IF(_xlfn.RANK.EQ(R32,$R$2:$R$111)&lt;='Tournament Setup'!$B$27,_xlfn.RANK.EQ(R32,$R$2:$R$111),""),"")</f>
        <v/>
      </c>
      <c r="T32" s="143">
        <f>IF(AND($E32="F",SUM($Q32)=0,F32&lt;&gt;"Collegiate")=TRUE,$I32,"")</f>
        <v>92</v>
      </c>
      <c r="U32" s="12">
        <f>IF(ISNUMBER(T32)=TRUE,IF(_xlfn.RANK.EQ(T32,$T$2:$T$111)&lt;='Tournament Setup'!$B$28,_xlfn.RANK.EQ(T32,$T$2:$T$111),""),"")</f>
        <v>3</v>
      </c>
      <c r="V32" s="145" t="str">
        <f>IF(AND($G32='Tournament Setup'!$A$53,$J32&lt;&gt;0),$J32,"")</f>
        <v/>
      </c>
      <c r="W32" s="47" t="str">
        <f>IF(ISNUMBER(V32),IF(COUNTIFS(W$1:W31,_xlfn.RANK.EQ(V32,V$2:V$111,0))&gt;0,_xlfn.MAXIFS(W$1:W31,V$1:V31,V32)+1,_xlfn.RANK.EQ(V32,V$2:V$111,0)),"")</f>
        <v/>
      </c>
      <c r="X32" s="1" t="str">
        <f>IF(ISNUMBER(V32)=TRUE,IF(_xlfn.RANK.EQ(V32,$V$2:$V$111)&lt;='Tournament Setup'!$B$53,_xlfn.RANK.EQ(V32,$V$2:$V$111),""),"")</f>
        <v/>
      </c>
      <c r="Y32" s="145" t="str">
        <f>IF(AND($G32='Tournament Setup'!$A$49,$J32&lt;&gt;0),$J32,"")</f>
        <v/>
      </c>
      <c r="Z32" s="47" t="str">
        <f>IF(ISNUMBER(Y32),IF(COUNTIFS(Z$1:Z31,_xlfn.RANK.EQ(Y32,Y$2:Y$111,0))&gt;0,_xlfn.MAXIFS(Z$1:Z31,Y$1:Y31,Y32)+1,_xlfn.RANK.EQ(Y32,Y$2:Y$111,0)),"")</f>
        <v/>
      </c>
      <c r="AA32" s="1" t="str">
        <f>IF(ISNUMBER(Y32)=TRUE,IF(_xlfn.RANK.EQ(Y32,$Y$2:$Y$111)&lt;='Tournament Setup'!$B$49,_xlfn.RANK.EQ(Y32,$Y$2:$Y$111),""),"")</f>
        <v/>
      </c>
      <c r="AB32" s="30" t="str">
        <f>IF(AND($F32='Tournament Setup'!$A$32,SUM($Q32,$S32,$U32)=0),$I32,"")</f>
        <v/>
      </c>
      <c r="AC32" s="47" t="str">
        <f>IF(ISNUMBER(AB32),IF(COUNTIFS(AC$1:AC31,_xlfn.RANK.EQ(AB32,AB$2:AB$111,0))&gt;0,_xlfn.MAXIFS(AC$1:AC31,AB$1:AB31,AB32)+1,_xlfn.RANK.EQ(AB32,AB$2:AB$111,0)),"")</f>
        <v/>
      </c>
      <c r="AD32" s="1" t="str">
        <f>IF(ISNUMBER(AB32)=TRUE,IF(_xlfn.RANK.EQ(AB32,$AB$2:$AB$111)&lt;='Tournament Setup'!$B$32,_xlfn.RANK.EQ(AB32,$AB$2:$AB$111),""),"")</f>
        <v/>
      </c>
      <c r="AE32" s="31" t="str">
        <f>IF(AND($F32='Tournament Setup'!$A$32,SUM($Q32,$S32)=0,$E32="M",$AD32&gt;'Tournament Setup'!$B$32),$I32,"")</f>
        <v/>
      </c>
      <c r="AF32" s="1" t="str">
        <f>IF(ISNUMBER(AE32)=TRUE,IF(_xlfn.RANK.EQ(AE32,$AE$2:$AE$111)&lt;='Tournament Setup'!$C$32,_xlfn.RANK.EQ(AE32,$AE$2:$AE$111),""),"")</f>
        <v/>
      </c>
      <c r="AG32" s="31" t="str">
        <f>IF(AND($F32='Tournament Setup'!$A$32,SUM($Q32,$U32)=0,$E32="F",$AD32&gt;'Tournament Setup'!$B$32),$I32,"")</f>
        <v/>
      </c>
      <c r="AH32" s="12" t="str">
        <f>IF(ISNUMBER(AG32)=TRUE,IF(_xlfn.RANK.EQ(AG32,$AG$2:$AG$111)&lt;='Tournament Setup'!$D$32,_xlfn.RANK.EQ(AG32,$AG$2:$AG$111),""),"")</f>
        <v/>
      </c>
      <c r="AI32" s="30" t="str">
        <f>IF(AND($G32='Tournament Setup'!$A$50,$J32&lt;&gt;0),$J32,"")</f>
        <v/>
      </c>
      <c r="AJ32" s="47" t="str">
        <f>IF(ISNUMBER(AI32),IF(COUNTIFS(AJ$1:AJ31,_xlfn.RANK.EQ(AI32,AI$2:AI$111,0))&gt;0,_xlfn.MAXIFS(AJ$1:AJ31,AI$1:AI31,AI32)+1,_xlfn.RANK.EQ(AI32,AI$2:AI$111,0)),"")</f>
        <v/>
      </c>
      <c r="AK32" s="1" t="str">
        <f>IF(ISNUMBER(AI32)=TRUE,IF(_xlfn.RANK.EQ(AI32,$AI$2:$AI$111)&lt;='Tournament Setup'!$B$49,_xlfn.RANK.EQ(AI32,$AI$2:$AI$111),""),"")</f>
        <v/>
      </c>
      <c r="AL32" s="30" t="str">
        <f>IF(AND($F32='Tournament Setup'!$A$33,SUM($Q32,$S32,$U32)=0),$I32,"")</f>
        <v/>
      </c>
      <c r="AM32" s="47" t="str">
        <f>IF(ISNUMBER(AL32),IF(COUNTIFS(AM$1:AM31,_xlfn.RANK.EQ(AL32,AL$2:AL$111,0))&gt;0,_xlfn.MAXIFS(AM$1:AM31,AL$1:AL31,AL32)+1,_xlfn.RANK.EQ(AL32,AL$2:AL$111,0)),"")</f>
        <v/>
      </c>
      <c r="AN32" s="1" t="str">
        <f>IF(ISNUMBER(AL32)=TRUE,IF(_xlfn.RANK.EQ(AL32,$AL$2:$AL$111)&lt;='Tournament Setup'!$B$33,_xlfn.RANK.EQ(AL32,$AL$2:$AL$111),""),"")</f>
        <v/>
      </c>
      <c r="AO32" s="31" t="str">
        <f>IF(AND($F32='Tournament Setup'!$A$33,SUM($Q32,$S32)=0,$E32="M",$AN32&gt;'Tournament Setup'!$B$33),$I32,"")</f>
        <v/>
      </c>
      <c r="AP32" s="1" t="str">
        <f>IF(ISNUMBER(AO32)=TRUE,IF(_xlfn.RANK.EQ(AO32,$AO$2:$AO$111)&lt;='Tournament Setup'!$C$33,_xlfn.RANK.EQ(AO32,$AO$2:$AO$111),""),"")</f>
        <v/>
      </c>
      <c r="AQ32" s="31" t="str">
        <f>IF(AND($F32='Tournament Setup'!$A$33,SUM($Q32,$U32)=0,$E32="F",$AN32&gt;'Tournament Setup'!$B$33),$I32,"")</f>
        <v/>
      </c>
      <c r="AR32" s="12" t="str">
        <f>IF(ISNUMBER(AQ32)=TRUE,IF(_xlfn.RANK.EQ(AQ32,$AQ$2:$AQ$111)&lt;='Tournament Setup'!$D$33,_xlfn.RANK.EQ(AQ32,$AQ$2:$AQ$111),""),"")</f>
        <v/>
      </c>
      <c r="AS32" s="30" t="str">
        <f>IF(AND($G32='Tournament Setup'!$A$51,$J32&lt;&gt;0),$J32,"")</f>
        <v/>
      </c>
      <c r="AT32" s="47" t="str">
        <f>IF(ISNUMBER(AS32),IF(COUNTIFS(AT$1:AT31,_xlfn.RANK.EQ(AS32,AS$2:AS$111,0))&gt;0,_xlfn.MAXIFS(AT$1:AT31,AS$1:AS31,AS32)+1,_xlfn.RANK.EQ(AS32,AS$2:AS$111,0)),"")</f>
        <v/>
      </c>
      <c r="AU32" s="1" t="str">
        <f>IF(ISNUMBER(AS32)=TRUE,IF(_xlfn.RANK.EQ(AS32,$AS$2:$AS$111)&lt;='Tournament Setup'!$B$49,_xlfn.RANK.EQ(AS32,$AS$2:$AS$111),""),"")</f>
        <v/>
      </c>
      <c r="AV32" s="30" t="str">
        <f>IF(AND($F32='Tournament Setup'!$A$34,SUM($Q32,$S32,$U32)=0),$I32,"")</f>
        <v/>
      </c>
      <c r="AW32" s="47" t="str">
        <f>IF(ISNUMBER(AV32),IF(COUNTIFS(AW$1:AW31,_xlfn.RANK.EQ(AV32,AV$2:AV$111,0))&gt;0,_xlfn.MAXIFS(AW$1:AW31,AV$1:AV31,AV32)+1,_xlfn.RANK.EQ(AV32,AV$2:AV$111,0)),"")</f>
        <v/>
      </c>
      <c r="AX32" s="1" t="str">
        <f>IF(ISNUMBER(AV32)=TRUE,IF(_xlfn.RANK.EQ(AV32,$AV$2:$AV$111)&lt;='Tournament Setup'!$B$34,_xlfn.RANK.EQ(AV32,$AV$2:$AV$111),""),"")</f>
        <v/>
      </c>
      <c r="AY32" s="31" t="str">
        <f>IF(AND($F32='Tournament Setup'!$A$34,SUM($Q32,$S32)=0,$E32="M",$AX32&gt;'Tournament Setup'!$B$34),$I32,"")</f>
        <v/>
      </c>
      <c r="AZ32" s="1" t="str">
        <f>IF(ISNUMBER(AY32)=TRUE,IF(_xlfn.RANK.EQ(AY32,$AY$2:$AY$111)&lt;='Tournament Setup'!$C$34,_xlfn.RANK.EQ(AY32,$AY$2:$AY$111),""),"")</f>
        <v/>
      </c>
      <c r="BA32" s="31" t="str">
        <f>IF(AND($F32='Tournament Setup'!$A$34,SUM($Q32,$U32)=0,$E32="F",$AX32&gt;'Tournament Setup'!$B$34),$I32,"")</f>
        <v/>
      </c>
      <c r="BB32" s="12" t="str">
        <f>IF(ISNUMBER(BA32)=TRUE,IF(_xlfn.RANK.EQ(BA32,$BA$2:$BA$111)&lt;='Tournament Setup'!$D$34,_xlfn.RANK.EQ(BA32,$BA$2:$BA$111),""),"")</f>
        <v/>
      </c>
      <c r="BC32" s="30" t="str">
        <f>IF(AND($G32='Tournament Setup'!$A$52,$J32&lt;&gt;0),$J32,"")</f>
        <v/>
      </c>
      <c r="BD32" s="47" t="str">
        <f>IF(ISNUMBER(BC32),IF(COUNTIFS(BD$1:BD31,_xlfn.RANK.EQ(BC32,BC$2:BC$111,0))&gt;0,_xlfn.MAXIFS(BD$1:BD31,BC$1:BC31,BC32)+1,_xlfn.RANK.EQ(BC32,BC$2:BC$111,0)),"")</f>
        <v/>
      </c>
      <c r="BE32" s="1" t="str">
        <f>IF(ISNUMBER(BC32)=TRUE,IF(_xlfn.RANK.EQ(BC32,$BC$2:$BC$111)&lt;='Tournament Setup'!$B$49,_xlfn.RANK.EQ(BC32,$BC$2:$BC$111),""),"")</f>
        <v/>
      </c>
      <c r="BF32" s="30" t="str">
        <f>IF(AND($F32='Tournament Setup'!$A$35,SUM($Q32,$S32,$U32)=0),$I32,"")</f>
        <v/>
      </c>
      <c r="BG32" s="47" t="str">
        <f>IF(ISNUMBER(BF32),IF(COUNTIFS(BG$1:BG31,_xlfn.RANK.EQ(BF32,BF$2:BF$111,0))&gt;0,_xlfn.MAXIFS(BG$1:BG31,BF$1:BF31,BF32)+1,_xlfn.RANK.EQ(BF32,BF$2:BF$111,0)),"")</f>
        <v/>
      </c>
      <c r="BH32" s="1" t="str">
        <f>IF(ISNUMBER(BF32)=TRUE,IF(_xlfn.RANK.EQ(BF32,$BF$2:$BF$111)&lt;='Tournament Setup'!$B$35,_xlfn.RANK.EQ(BF32,$BF$2:$BF$111),""),"")</f>
        <v/>
      </c>
      <c r="BI32" s="31" t="str">
        <f>IF(AND($F32='Tournament Setup'!$A$35,SUM($Q32,$S32)=0,$E32="M",$BH32&gt;'Tournament Setup'!$B$35),$I32,"")</f>
        <v/>
      </c>
      <c r="BJ32" s="1" t="str">
        <f>IF(ISNUMBER(BI32)=TRUE,IF(_xlfn.RANK.EQ(BI32,$BI$2:$BI$111)&lt;='Tournament Setup'!$C$35,_xlfn.RANK.EQ(BI32,$BI$2:$BI$111),""),"")</f>
        <v/>
      </c>
      <c r="BK32" s="31" t="str">
        <f>IF(AND($F32='Tournament Setup'!$A$35,SUM($Q32,$U32)=0,$E32="F",$BH32&gt;'Tournament Setup'!$B$35),$I32,"")</f>
        <v/>
      </c>
      <c r="BL32" s="12" t="str">
        <f>IF(ISNUMBER(BK32)=TRUE,IF(_xlfn.RANK.EQ(BK32,$BK$2:$BK$111)&lt;='Tournament Setup'!$D$35,_xlfn.RANK.EQ(BK32,$BK$2:$BK$111),""),"")</f>
        <v/>
      </c>
      <c r="BM32" s="30" t="str">
        <f>IF(AND($G32='Tournament Setup'!$A$54,$J32&lt;&gt;0),$J32,"")</f>
        <v/>
      </c>
      <c r="BN32" s="47" t="str">
        <f>IF(ISNUMBER(BM32),IF(COUNTIFS(BN$1:BN31,_xlfn.RANK.EQ(BM32,BM$2:BM$111,0))&gt;0,_xlfn.MAXIFS(BN$1:BN31,BM$1:BM31,BM32)+1,_xlfn.RANK.EQ(BM32,BM$2:BM$111,0)),"")</f>
        <v/>
      </c>
      <c r="BO32" s="1" t="str">
        <f>IF(ISNUMBER(BM32)=TRUE,IF(_xlfn.RANK.EQ(BM32,$BM$2:$BM$111)&lt;='Tournament Setup'!$B$49,_xlfn.RANK.EQ(BM32,$BM$2:$BM$111),""),"")</f>
        <v/>
      </c>
      <c r="BP32" s="30" t="str">
        <f>IF(AND($F32='Tournament Setup'!$A$36,SUM($Q32,$S32,$U32)=0),$I32,"")</f>
        <v/>
      </c>
      <c r="BQ32" s="47" t="str">
        <f>IF(ISNUMBER(BP32),IF(COUNTIFS(BQ$1:BQ31,_xlfn.RANK.EQ(BP32,BP$2:BP$111,0))&gt;0,_xlfn.MAXIFS(BQ$1:BQ31,BP$1:BP31,BP32)+1,_xlfn.RANK.EQ(BP32,BP$2:BP$111,0)),"")</f>
        <v/>
      </c>
      <c r="BR32" s="1" t="str">
        <f>IF(ISNUMBER(BP32)=TRUE,IF(_xlfn.RANK.EQ(BP32,$BP$2:$BP$111)&lt;='Tournament Setup'!$B$36,_xlfn.RANK.EQ(BP32,$BP$2:$BP$111),""),"")</f>
        <v/>
      </c>
      <c r="BS32" s="31" t="str">
        <f>IF(AND($F32='Tournament Setup'!$A$36,SUM($Q32,$S32)=0,$E32="M",$BR32&gt;'Tournament Setup'!$B$36),$I32,"")</f>
        <v/>
      </c>
      <c r="BT32" s="1" t="str">
        <f>IF(ISNUMBER(BS32)=TRUE,IF(_xlfn.RANK.EQ(BS32,$BS$2:$BS$111)&lt;='Tournament Setup'!$C$36,_xlfn.RANK.EQ(BS32,$BS$2:$BS$111),""),"")</f>
        <v/>
      </c>
      <c r="BU32" s="31" t="str">
        <f>IF(AND($F32='Tournament Setup'!$A$36,SUM($Q32,$U32)=0,$E32="F",$BR32&gt;'Tournament Setup'!$B$36),$I32,"")</f>
        <v/>
      </c>
      <c r="BV32" s="12" t="str">
        <f>IF(ISNUMBER(BU32)=TRUE,IF(_xlfn.RANK.EQ(BU32,$BU$2:$BU$111)&lt;='Tournament Setup'!$D$36,_xlfn.RANK.EQ(BU32,$BU$2:$BU$111),""),"")</f>
        <v/>
      </c>
      <c r="BW32" s="30" t="str">
        <f>IF($H32='Tournament Setup'!$A$41,$I32,"")</f>
        <v/>
      </c>
      <c r="BX32" s="47" t="str">
        <f>IF(ISNUMBER(BW32),IF(COUNTIFS(BX$1:BX31,_xlfn.RANK.EQ(BW32,BW$2:BW$111,0))&gt;0,_xlfn.MAXIFS(BX$1:BX31,BW$1:BW31,BW32)+1,_xlfn.RANK.EQ(BW32,BW$2:BW$111,0)),"")</f>
        <v/>
      </c>
      <c r="BY32" s="1" t="str">
        <f>IF(ISNUMBER(BW32)=TRUE,IF(_xlfn.RANK.EQ(BW32,$BW$2:$BW$111)&lt;='Tournament Setup'!$B$41,_xlfn.RANK.EQ(BW32,$BW$2:$BW$111),""),"")</f>
        <v/>
      </c>
      <c r="BZ32" s="31" t="str">
        <f>IF(AND($H32='Tournament Setup'!$A$41,$E32="M",$BY32&gt;'Tournament Setup'!$B$41),$I32,"")</f>
        <v/>
      </c>
      <c r="CA32" s="1" t="str">
        <f>IF(ISNUMBER(BZ32)=TRUE,IF(_xlfn.RANK.EQ(BZ32,$BZ$2:$BZ$111)&lt;='Tournament Setup'!$C$41,_xlfn.RANK.EQ(BZ32,$BZ$2:$BZ$111),""),"")</f>
        <v/>
      </c>
      <c r="CB32" s="31" t="str">
        <f>IF(AND($H32='Tournament Setup'!$A$41,$E32="F",$BY32&gt;'Tournament Setup'!$B$41),$I32,"")</f>
        <v/>
      </c>
      <c r="CC32" s="12" t="str">
        <f>IF(ISNUMBER(CB32)=TRUE,IF(_xlfn.RANK.EQ(CB32,$CB$2:$CB$111)&lt;='Tournament Setup'!$D$41,_xlfn.RANK.EQ(CB32,$CB$2:$CB$111),""),"")</f>
        <v/>
      </c>
      <c r="CD32" s="30">
        <f>IF($H32='Tournament Setup'!$A$42,$I32,"")</f>
        <v>92</v>
      </c>
      <c r="CE32" s="47">
        <f>IF(ISNUMBER(CD32),IF(COUNTIFS(CE$1:CE31,_xlfn.RANK.EQ(CD32,CD$2:CD$111,0))&gt;0,_xlfn.MAXIFS(CE$1:CE31,CD$1:CD31,CD32)+1,_xlfn.RANK.EQ(CD32,CD$2:CD$111,0)),"")</f>
        <v>4</v>
      </c>
      <c r="CF32" s="1" t="str">
        <f>IF(ISNUMBER(CD32)=TRUE,IF(_xlfn.RANK.EQ(CD32,$CD$2:$CD$111)&lt;='Tournament Setup'!$B$42,_xlfn.RANK.EQ(CD32,$CD$2:$CD$111),""),"")</f>
        <v/>
      </c>
      <c r="CG32" s="31" t="str">
        <f>IF(AND($H32='Tournament Setup'!$A$42,$E32="M",$CF32&gt;'Tournament Setup'!$B$42),$I32,"")</f>
        <v/>
      </c>
      <c r="CH32" s="1" t="str">
        <f>IF(ISNUMBER(CG32)=TRUE,IF(_xlfn.RANK.EQ(CG32,$CG$2:$CG$111)&lt;='Tournament Setup'!$C$42,_xlfn.RANK.EQ(CG32,$CG$2:$CG$111),""),"")</f>
        <v/>
      </c>
      <c r="CI32" s="31">
        <f>IF(AND($H32='Tournament Setup'!$A$42,$E32="F",$CF32&gt;'Tournament Setup'!$B$42),$I32,"")</f>
        <v>92</v>
      </c>
      <c r="CJ32" s="12">
        <f>IF(ISNUMBER(CI32)=TRUE,IF(_xlfn.RANK.EQ(CI32,$CI$2:$CI$111)&lt;='Tournament Setup'!$D$42,_xlfn.RANK.EQ(CI32,$CI$2:$CI$111),""),"")</f>
        <v>1</v>
      </c>
      <c r="CK32" s="30" t="str">
        <f>IF($H32='Tournament Setup'!$A$43,$I32,"")</f>
        <v/>
      </c>
      <c r="CL32" s="47" t="str">
        <f>IF(ISNUMBER(CK32),IF(COUNTIFS(CL$1:CL31,_xlfn.RANK.EQ(CK32,CK$2:CK$111,0))&gt;0,_xlfn.MAXIFS(CL$1:CL31,CK$1:CK31,CK32)+1,_xlfn.RANK.EQ(CK32,CK$2:CK$111,0)),"")</f>
        <v/>
      </c>
      <c r="CM32" s="1" t="str">
        <f>IF(ISNUMBER(CK32)=TRUE,IF(_xlfn.RANK.EQ(CK32,$CK$2:$CK$111)&lt;='Tournament Setup'!$B$43,_xlfn.RANK.EQ(CK32,$CK$2:$CK$111),""),"")</f>
        <v/>
      </c>
      <c r="CN32" s="31" t="str">
        <f>IF(AND($H32='Tournament Setup'!$A$43,$E32="M",$CM32&gt;'Tournament Setup'!$B$43),$I32,"")</f>
        <v/>
      </c>
      <c r="CO32" s="1" t="str">
        <f>IF(ISNUMBER(CN32)=TRUE,IF(_xlfn.RANK.EQ(CN32,$CN$2:$CN$111)&lt;='Tournament Setup'!$C$43,_xlfn.RANK.EQ(CN32,$CN$2:$CN$111),""),"")</f>
        <v/>
      </c>
      <c r="CP32" s="31" t="str">
        <f>IF(AND($H32='Tournament Setup'!$A$43,$E32="F",$CM32&gt;'Tournament Setup'!$B$43),$I32,"")</f>
        <v/>
      </c>
      <c r="CQ32" s="12" t="str">
        <f>IF(ISNUMBER(CP32)=TRUE,IF(_xlfn.RANK.EQ(CP32,$CP$2:$CP$111)&lt;='Tournament Setup'!$D$43,_xlfn.RANK.EQ(CP32,$CP$2:$CP$111),""),"")</f>
        <v/>
      </c>
      <c r="CR32" s="30" t="str">
        <f>IF($H32='Tournament Setup'!$A$44,$I32,"")</f>
        <v/>
      </c>
      <c r="CS32" s="47" t="str">
        <f>IF(ISNUMBER(CR32),IF(COUNTIFS(CS$1:CS31,_xlfn.RANK.EQ(CR32,CR$2:CR$111,0))&gt;0,_xlfn.MAXIFS(CS$1:CS31,CR$1:CR31,CR32)+1,_xlfn.RANK.EQ(CR32,CR$2:CR$111,0)),"")</f>
        <v/>
      </c>
      <c r="CT32" s="1" t="str">
        <f>IF(ISNUMBER(CR32)=TRUE,IF(_xlfn.RANK.EQ(CR32,$CR$2:$CR$111)&lt;='Tournament Setup'!$B$44,_xlfn.RANK.EQ(CR32,$CR$2:$CR$111),""),"")</f>
        <v/>
      </c>
      <c r="CU32" s="31" t="str">
        <f>IF(AND($H32='Tournament Setup'!$A$44,$E32="M",$CT32&gt;'Tournament Setup'!$B$44),$I32,"")</f>
        <v/>
      </c>
      <c r="CV32" s="1" t="str">
        <f>IF(ISNUMBER(CU32)=TRUE,IF(_xlfn.RANK.EQ(CU32,$CU$2:$CU$111)&lt;='Tournament Setup'!$C$44,_xlfn.RANK.EQ(CU32,$CU$2:$CU$111),""),"")</f>
        <v/>
      </c>
      <c r="CW32" s="31" t="str">
        <f>IF(AND($H32='Tournament Setup'!$A$44,$E32="F",$CT32&gt;'Tournament Setup'!$B$44),$I32,"")</f>
        <v/>
      </c>
      <c r="CX32" s="12" t="str">
        <f>IF(ISNUMBER(CW32)=TRUE,IF(_xlfn.RANK.EQ(CW32,$CW$2:$CW$111)&lt;='Tournament Setup'!$D$44,_xlfn.RANK.EQ(CW32,$CW$2:$CW$111),""),"")</f>
        <v/>
      </c>
    </row>
    <row r="33" spans="1:102" x14ac:dyDescent="0.3">
      <c r="A33" t="s">
        <v>188</v>
      </c>
      <c r="B33" t="str">
        <f>IFERROR(INDEX('Tournament List'!$B:$B,MATCH($A33,'Tournament List'!$A:$A,0)),"")</f>
        <v>Kelly</v>
      </c>
      <c r="C33" t="str">
        <f>IFERROR(INDEX('Tournament List'!$C:$C,MATCH($A33,'Tournament List'!$A:$A,0)),"")</f>
        <v>Last Name32</v>
      </c>
      <c r="D33" t="str">
        <f t="shared" si="0"/>
        <v>Kelly Last Name32</v>
      </c>
      <c r="E33" s="1" t="str">
        <f>IFERROR(INDEX('Tournament List'!F:F,MATCH($A33,'Tournament List'!$A:$A,0)),"")</f>
        <v>F</v>
      </c>
      <c r="F33" t="str">
        <f>IFERROR(INDEX('Tournament List'!M:M,MATCH($A33,'Tournament List'!$A:$A,0)),"")</f>
        <v>Intermediate</v>
      </c>
      <c r="G33" t="str">
        <f>IFERROR(INDEX('Shooter-Squad Assignment'!L:L,MATCH(A33,'Shooter-Squad Assignment'!A:A,0)),"")</f>
        <v>Intermediate</v>
      </c>
      <c r="H33" s="1" t="str">
        <f>IFERROR(INDEX('Tournament List'!AD:AD,MATCH($A33,'Tournament List'!$A:$A,0)),"")</f>
        <v>C</v>
      </c>
      <c r="I33" s="123">
        <f>IFERROR(INDEX('Tournament List'!AG:AG,MATCH($A33,'Tournament List'!$A:$A,0)),"")</f>
        <v>29</v>
      </c>
      <c r="J33" s="145" t="str">
        <f>IFERROR(INDEX('Tournament List'!Y:Y,MATCH($A33,'Tournament List'!$A:$A,0)),"")</f>
        <v/>
      </c>
      <c r="K33" s="47">
        <f>IFERROR(INDEX('Tournament List'!S:S,MATCH(A33,'Tournament List'!A:A,0)),"")</f>
        <v>232</v>
      </c>
      <c r="L33" s="47" t="str">
        <f>IF(ISNUMBER(J33),IF(COUNTIFS(L$1:L32,_xlfn.RANK.EQ(J33,J$2:J$111,0))&gt;0,_xlfn.MAXIFS(L$1:L32,J$1:J32,J33)+1,_xlfn.RANK.EQ(J33,J$2:J$111,0)),"")</f>
        <v/>
      </c>
      <c r="M33" s="11">
        <f>IF(ISNUMBER(I33)=TRUE,IF(I33&gt;0,_xlfn.RANK.EQ(I33,$I$2:$I$111,0),""),"")</f>
        <v>48</v>
      </c>
      <c r="N33" s="56">
        <f>IF(ISNUMBER(I33),IF(COUNTIFS(N$1:N32,_xlfn.RANK.EQ(I33,I$2:I$111,0))&gt;0,_xlfn.MAXIFS(N$1:N32,I$1:I32,I33)+1,_xlfn.RANK.EQ(I33,I$2:I$111,0)),"")</f>
        <v>48</v>
      </c>
      <c r="O33" s="144">
        <f>IF(F33&lt;&gt;"Collegiate"=TRUE,$I33,"")</f>
        <v>29</v>
      </c>
      <c r="P33" s="47">
        <f>IF(ISNUMBER(O33),IF(COUNTIFS(P$1:P32,_xlfn.RANK.EQ(O33,O$2:O$111,0))&gt;0,_xlfn.MAXIFS(P$1:P32,O$1:O32,O33)+1,_xlfn.RANK.EQ(O33,O$2:O$111,0)),"")</f>
        <v>42</v>
      </c>
      <c r="Q33" s="1" t="str">
        <f>IF(ISNUMBER(O33)=TRUE,IF(_xlfn.RANK.EQ(O33,$O$2:$O$111)&lt;='Tournament Setup'!$B$26,_xlfn.RANK.EQ(O33,$O$2:$O$111),""),"")</f>
        <v/>
      </c>
      <c r="R33" s="143" t="str">
        <f>IF(AND($E33="M",SUM($Q33)=0,F33&lt;&gt;"Collegiate")=TRUE,$I33,"")</f>
        <v/>
      </c>
      <c r="S33" s="1" t="str">
        <f>IF(ISNUMBER(R33)=TRUE,IF(_xlfn.RANK.EQ(R33,$R$2:$R$111)&lt;='Tournament Setup'!$B$27,_xlfn.RANK.EQ(R33,$R$2:$R$111),""),"")</f>
        <v/>
      </c>
      <c r="T33" s="143">
        <f>IF(AND($E33="F",SUM($Q33)=0,F33&lt;&gt;"Collegiate")=TRUE,$I33,"")</f>
        <v>29</v>
      </c>
      <c r="U33" s="12" t="str">
        <f>IF(ISNUMBER(T33)=TRUE,IF(_xlfn.RANK.EQ(T33,$T$2:$T$111)&lt;='Tournament Setup'!$B$28,_xlfn.RANK.EQ(T33,$T$2:$T$111),""),"")</f>
        <v/>
      </c>
      <c r="V33" s="145" t="str">
        <f>IF(AND($G33='Tournament Setup'!$A$53,$J33&lt;&gt;0),$J33,"")</f>
        <v/>
      </c>
      <c r="W33" s="47" t="str">
        <f>IF(ISNUMBER(V33),IF(COUNTIFS(W$1:W32,_xlfn.RANK.EQ(V33,V$2:V$111,0))&gt;0,_xlfn.MAXIFS(W$1:W32,V$1:V32,V33)+1,_xlfn.RANK.EQ(V33,V$2:V$111,0)),"")</f>
        <v/>
      </c>
      <c r="X33" s="1" t="str">
        <f>IF(ISNUMBER(V33)=TRUE,IF(_xlfn.RANK.EQ(V33,$V$2:$V$111)&lt;='Tournament Setup'!$B$53,_xlfn.RANK.EQ(V33,$V$2:$V$111),""),"")</f>
        <v/>
      </c>
      <c r="Y33" s="145" t="str">
        <f>IF(AND($G33='Tournament Setup'!$A$49,$J33&lt;&gt;0),$J33,"")</f>
        <v/>
      </c>
      <c r="Z33" s="47" t="str">
        <f>IF(ISNUMBER(Y33),IF(COUNTIFS(Z$1:Z32,_xlfn.RANK.EQ(Y33,Y$2:Y$111,0))&gt;0,_xlfn.MAXIFS(Z$1:Z32,Y$1:Y32,Y33)+1,_xlfn.RANK.EQ(Y33,Y$2:Y$111,0)),"")</f>
        <v/>
      </c>
      <c r="AA33" s="1" t="str">
        <f>IF(ISNUMBER(Y33)=TRUE,IF(_xlfn.RANK.EQ(Y33,$Y$2:$Y$111)&lt;='Tournament Setup'!$B$49,_xlfn.RANK.EQ(Y33,$Y$2:$Y$111),""),"")</f>
        <v/>
      </c>
      <c r="AB33" s="30" t="str">
        <f>IF(AND($F33='Tournament Setup'!$A$32,SUM($Q33,$S33,$U33)=0),$I33,"")</f>
        <v/>
      </c>
      <c r="AC33" s="47" t="str">
        <f>IF(ISNUMBER(AB33),IF(COUNTIFS(AC$1:AC32,_xlfn.RANK.EQ(AB33,AB$2:AB$111,0))&gt;0,_xlfn.MAXIFS(AC$1:AC32,AB$1:AB32,AB33)+1,_xlfn.RANK.EQ(AB33,AB$2:AB$111,0)),"")</f>
        <v/>
      </c>
      <c r="AD33" s="1" t="str">
        <f>IF(ISNUMBER(AB33)=TRUE,IF(_xlfn.RANK.EQ(AB33,$AB$2:$AB$111)&lt;='Tournament Setup'!$B$32,_xlfn.RANK.EQ(AB33,$AB$2:$AB$111),""),"")</f>
        <v/>
      </c>
      <c r="AE33" s="31" t="str">
        <f>IF(AND($F33='Tournament Setup'!$A$32,SUM($Q33,$S33)=0,$E33="M",$AD33&gt;'Tournament Setup'!$B$32),$I33,"")</f>
        <v/>
      </c>
      <c r="AF33" s="1" t="str">
        <f>IF(ISNUMBER(AE33)=TRUE,IF(_xlfn.RANK.EQ(AE33,$AE$2:$AE$111)&lt;='Tournament Setup'!$C$32,_xlfn.RANK.EQ(AE33,$AE$2:$AE$111),""),"")</f>
        <v/>
      </c>
      <c r="AG33" s="31" t="str">
        <f>IF(AND($F33='Tournament Setup'!$A$32,SUM($Q33,$U33)=0,$E33="F",$AD33&gt;'Tournament Setup'!$B$32),$I33,"")</f>
        <v/>
      </c>
      <c r="AH33" s="12" t="str">
        <f>IF(ISNUMBER(AG33)=TRUE,IF(_xlfn.RANK.EQ(AG33,$AG$2:$AG$111)&lt;='Tournament Setup'!$D$32,_xlfn.RANK.EQ(AG33,$AG$2:$AG$111),""),"")</f>
        <v/>
      </c>
      <c r="AI33" s="30" t="str">
        <f>IF(AND($G33='Tournament Setup'!$A$50,$J33&lt;&gt;0),$J33,"")</f>
        <v/>
      </c>
      <c r="AJ33" s="47" t="str">
        <f>IF(ISNUMBER(AI33),IF(COUNTIFS(AJ$1:AJ32,_xlfn.RANK.EQ(AI33,AI$2:AI$111,0))&gt;0,_xlfn.MAXIFS(AJ$1:AJ32,AI$1:AI32,AI33)+1,_xlfn.RANK.EQ(AI33,AI$2:AI$111,0)),"")</f>
        <v/>
      </c>
      <c r="AK33" s="1" t="str">
        <f>IF(ISNUMBER(AI33)=TRUE,IF(_xlfn.RANK.EQ(AI33,$AI$2:$AI$111)&lt;='Tournament Setup'!$B$49,_xlfn.RANK.EQ(AI33,$AI$2:$AI$111),""),"")</f>
        <v/>
      </c>
      <c r="AL33" s="30">
        <f>IF(AND($F33='Tournament Setup'!$A$33,SUM($Q33,$S33,$U33)=0),$I33,"")</f>
        <v>29</v>
      </c>
      <c r="AM33" s="47">
        <f>IF(ISNUMBER(AL33),IF(COUNTIFS(AM$1:AM32,_xlfn.RANK.EQ(AL33,AL$2:AL$111,0))&gt;0,_xlfn.MAXIFS(AM$1:AM32,AL$1:AL32,AL33)+1,_xlfn.RANK.EQ(AL33,AL$2:AL$111,0)),"")</f>
        <v>6</v>
      </c>
      <c r="AN33" s="1" t="str">
        <f>IF(ISNUMBER(AL33)=TRUE,IF(_xlfn.RANK.EQ(AL33,$AL$2:$AL$111)&lt;='Tournament Setup'!$B$33,_xlfn.RANK.EQ(AL33,$AL$2:$AL$111),""),"")</f>
        <v/>
      </c>
      <c r="AO33" s="31" t="str">
        <f>IF(AND($F33='Tournament Setup'!$A$33,SUM($Q33,$S33)=0,$E33="M",$AN33&gt;'Tournament Setup'!$B$33),$I33,"")</f>
        <v/>
      </c>
      <c r="AP33" s="1" t="str">
        <f>IF(ISNUMBER(AO33)=TRUE,IF(_xlfn.RANK.EQ(AO33,$AO$2:$AO$111)&lt;='Tournament Setup'!$C$33,_xlfn.RANK.EQ(AO33,$AO$2:$AO$111),""),"")</f>
        <v/>
      </c>
      <c r="AQ33" s="31">
        <f>IF(AND($F33='Tournament Setup'!$A$33,SUM($Q33,$U33)=0,$E33="F",$AN33&gt;'Tournament Setup'!$B$33),$I33,"")</f>
        <v>29</v>
      </c>
      <c r="AR33" s="12">
        <f>IF(ISNUMBER(AQ33)=TRUE,IF(_xlfn.RANK.EQ(AQ33,$AQ$2:$AQ$111)&lt;='Tournament Setup'!$D$33,_xlfn.RANK.EQ(AQ33,$AQ$2:$AQ$111),""),"")</f>
        <v>1</v>
      </c>
      <c r="AS33" s="30" t="str">
        <f>IF(AND($G33='Tournament Setup'!$A$51,$J33&lt;&gt;0),$J33,"")</f>
        <v/>
      </c>
      <c r="AT33" s="47" t="str">
        <f>IF(ISNUMBER(AS33),IF(COUNTIFS(AT$1:AT32,_xlfn.RANK.EQ(AS33,AS$2:AS$111,0))&gt;0,_xlfn.MAXIFS(AT$1:AT32,AS$1:AS32,AS33)+1,_xlfn.RANK.EQ(AS33,AS$2:AS$111,0)),"")</f>
        <v/>
      </c>
      <c r="AU33" s="1" t="str">
        <f>IF(ISNUMBER(AS33)=TRUE,IF(_xlfn.RANK.EQ(AS33,$AS$2:$AS$111)&lt;='Tournament Setup'!$B$49,_xlfn.RANK.EQ(AS33,$AS$2:$AS$111),""),"")</f>
        <v/>
      </c>
      <c r="AV33" s="30" t="str">
        <f>IF(AND($F33='Tournament Setup'!$A$34,SUM($Q33,$S33,$U33)=0),$I33,"")</f>
        <v/>
      </c>
      <c r="AW33" s="47" t="str">
        <f>IF(ISNUMBER(AV33),IF(COUNTIFS(AW$1:AW32,_xlfn.RANK.EQ(AV33,AV$2:AV$111,0))&gt;0,_xlfn.MAXIFS(AW$1:AW32,AV$1:AV32,AV33)+1,_xlfn.RANK.EQ(AV33,AV$2:AV$111,0)),"")</f>
        <v/>
      </c>
      <c r="AX33" s="1" t="str">
        <f>IF(ISNUMBER(AV33)=TRUE,IF(_xlfn.RANK.EQ(AV33,$AV$2:$AV$111)&lt;='Tournament Setup'!$B$34,_xlfn.RANK.EQ(AV33,$AV$2:$AV$111),""),"")</f>
        <v/>
      </c>
      <c r="AY33" s="31" t="str">
        <f>IF(AND($F33='Tournament Setup'!$A$34,SUM($Q33,$S33)=0,$E33="M",$AX33&gt;'Tournament Setup'!$B$34),$I33,"")</f>
        <v/>
      </c>
      <c r="AZ33" s="1" t="str">
        <f>IF(ISNUMBER(AY33)=TRUE,IF(_xlfn.RANK.EQ(AY33,$AY$2:$AY$111)&lt;='Tournament Setup'!$C$34,_xlfn.RANK.EQ(AY33,$AY$2:$AY$111),""),"")</f>
        <v/>
      </c>
      <c r="BA33" s="31" t="str">
        <f>IF(AND($F33='Tournament Setup'!$A$34,SUM($Q33,$U33)=0,$E33="F",$AX33&gt;'Tournament Setup'!$B$34),$I33,"")</f>
        <v/>
      </c>
      <c r="BB33" s="12" t="str">
        <f>IF(ISNUMBER(BA33)=TRUE,IF(_xlfn.RANK.EQ(BA33,$BA$2:$BA$111)&lt;='Tournament Setup'!$D$34,_xlfn.RANK.EQ(BA33,$BA$2:$BA$111),""),"")</f>
        <v/>
      </c>
      <c r="BC33" s="30" t="str">
        <f>IF(AND($G33='Tournament Setup'!$A$52,$J33&lt;&gt;0),$J33,"")</f>
        <v/>
      </c>
      <c r="BD33" s="47" t="str">
        <f>IF(ISNUMBER(BC33),IF(COUNTIFS(BD$1:BD32,_xlfn.RANK.EQ(BC33,BC$2:BC$111,0))&gt;0,_xlfn.MAXIFS(BD$1:BD32,BC$1:BC32,BC33)+1,_xlfn.RANK.EQ(BC33,BC$2:BC$111,0)),"")</f>
        <v/>
      </c>
      <c r="BE33" s="1" t="str">
        <f>IF(ISNUMBER(BC33)=TRUE,IF(_xlfn.RANK.EQ(BC33,$BC$2:$BC$111)&lt;='Tournament Setup'!$B$49,_xlfn.RANK.EQ(BC33,$BC$2:$BC$111),""),"")</f>
        <v/>
      </c>
      <c r="BF33" s="30" t="str">
        <f>IF(AND($F33='Tournament Setup'!$A$35,SUM($Q33,$S33,$U33)=0),$I33,"")</f>
        <v/>
      </c>
      <c r="BG33" s="47" t="str">
        <f>IF(ISNUMBER(BF33),IF(COUNTIFS(BG$1:BG32,_xlfn.RANK.EQ(BF33,BF$2:BF$111,0))&gt;0,_xlfn.MAXIFS(BG$1:BG32,BF$1:BF32,BF33)+1,_xlfn.RANK.EQ(BF33,BF$2:BF$111,0)),"")</f>
        <v/>
      </c>
      <c r="BH33" s="1" t="str">
        <f>IF(ISNUMBER(BF33)=TRUE,IF(_xlfn.RANK.EQ(BF33,$BF$2:$BF$111)&lt;='Tournament Setup'!$B$35,_xlfn.RANK.EQ(BF33,$BF$2:$BF$111),""),"")</f>
        <v/>
      </c>
      <c r="BI33" s="31" t="str">
        <f>IF(AND($F33='Tournament Setup'!$A$35,SUM($Q33,$S33)=0,$E33="M",$BH33&gt;'Tournament Setup'!$B$35),$I33,"")</f>
        <v/>
      </c>
      <c r="BJ33" s="1" t="str">
        <f>IF(ISNUMBER(BI33)=TRUE,IF(_xlfn.RANK.EQ(BI33,$BI$2:$BI$111)&lt;='Tournament Setup'!$C$35,_xlfn.RANK.EQ(BI33,$BI$2:$BI$111),""),"")</f>
        <v/>
      </c>
      <c r="BK33" s="31" t="str">
        <f>IF(AND($F33='Tournament Setup'!$A$35,SUM($Q33,$U33)=0,$E33="F",$BH33&gt;'Tournament Setup'!$B$35),$I33,"")</f>
        <v/>
      </c>
      <c r="BL33" s="12" t="str">
        <f>IF(ISNUMBER(BK33)=TRUE,IF(_xlfn.RANK.EQ(BK33,$BK$2:$BK$111)&lt;='Tournament Setup'!$D$35,_xlfn.RANK.EQ(BK33,$BK$2:$BK$111),""),"")</f>
        <v/>
      </c>
      <c r="BM33" s="30" t="str">
        <f>IF(AND($G33='Tournament Setup'!$A$54,$J33&lt;&gt;0),$J33,"")</f>
        <v/>
      </c>
      <c r="BN33" s="47" t="str">
        <f>IF(ISNUMBER(BM33),IF(COUNTIFS(BN$1:BN32,_xlfn.RANK.EQ(BM33,BM$2:BM$111,0))&gt;0,_xlfn.MAXIFS(BN$1:BN32,BM$1:BM32,BM33)+1,_xlfn.RANK.EQ(BM33,BM$2:BM$111,0)),"")</f>
        <v/>
      </c>
      <c r="BO33" s="1" t="str">
        <f>IF(ISNUMBER(BM33)=TRUE,IF(_xlfn.RANK.EQ(BM33,$BM$2:$BM$111)&lt;='Tournament Setup'!$B$49,_xlfn.RANK.EQ(BM33,$BM$2:$BM$111),""),"")</f>
        <v/>
      </c>
      <c r="BP33" s="30" t="str">
        <f>IF(AND($F33='Tournament Setup'!$A$36,SUM($Q33,$S33,$U33)=0),$I33,"")</f>
        <v/>
      </c>
      <c r="BQ33" s="47" t="str">
        <f>IF(ISNUMBER(BP33),IF(COUNTIFS(BQ$1:BQ32,_xlfn.RANK.EQ(BP33,BP$2:BP$111,0))&gt;0,_xlfn.MAXIFS(BQ$1:BQ32,BP$1:BP32,BP33)+1,_xlfn.RANK.EQ(BP33,BP$2:BP$111,0)),"")</f>
        <v/>
      </c>
      <c r="BR33" s="1" t="str">
        <f>IF(ISNUMBER(BP33)=TRUE,IF(_xlfn.RANK.EQ(BP33,$BP$2:$BP$111)&lt;='Tournament Setup'!$B$36,_xlfn.RANK.EQ(BP33,$BP$2:$BP$111),""),"")</f>
        <v/>
      </c>
      <c r="BS33" s="31" t="str">
        <f>IF(AND($F33='Tournament Setup'!$A$36,SUM($Q33,$S33)=0,$E33="M",$BR33&gt;'Tournament Setup'!$B$36),$I33,"")</f>
        <v/>
      </c>
      <c r="BT33" s="1" t="str">
        <f>IF(ISNUMBER(BS33)=TRUE,IF(_xlfn.RANK.EQ(BS33,$BS$2:$BS$111)&lt;='Tournament Setup'!$C$36,_xlfn.RANK.EQ(BS33,$BS$2:$BS$111),""),"")</f>
        <v/>
      </c>
      <c r="BU33" s="31" t="str">
        <f>IF(AND($F33='Tournament Setup'!$A$36,SUM($Q33,$U33)=0,$E33="F",$BR33&gt;'Tournament Setup'!$B$36),$I33,"")</f>
        <v/>
      </c>
      <c r="BV33" s="12" t="str">
        <f>IF(ISNUMBER(BU33)=TRUE,IF(_xlfn.RANK.EQ(BU33,$BU$2:$BU$111)&lt;='Tournament Setup'!$D$36,_xlfn.RANK.EQ(BU33,$BU$2:$BU$111),""),"")</f>
        <v/>
      </c>
      <c r="BW33" s="30" t="str">
        <f>IF($H33='Tournament Setup'!$A$41,$I33,"")</f>
        <v/>
      </c>
      <c r="BX33" s="47" t="str">
        <f>IF(ISNUMBER(BW33),IF(COUNTIFS(BX$1:BX32,_xlfn.RANK.EQ(BW33,BW$2:BW$111,0))&gt;0,_xlfn.MAXIFS(BX$1:BX32,BW$1:BW32,BW33)+1,_xlfn.RANK.EQ(BW33,BW$2:BW$111,0)),"")</f>
        <v/>
      </c>
      <c r="BY33" s="1" t="str">
        <f>IF(ISNUMBER(BW33)=TRUE,IF(_xlfn.RANK.EQ(BW33,$BW$2:$BW$111)&lt;='Tournament Setup'!$B$41,_xlfn.RANK.EQ(BW33,$BW$2:$BW$111),""),"")</f>
        <v/>
      </c>
      <c r="BZ33" s="31" t="str">
        <f>IF(AND($H33='Tournament Setup'!$A$41,$E33="M",$BY33&gt;'Tournament Setup'!$B$41),$I33,"")</f>
        <v/>
      </c>
      <c r="CA33" s="1" t="str">
        <f>IF(ISNUMBER(BZ33)=TRUE,IF(_xlfn.RANK.EQ(BZ33,$BZ$2:$BZ$111)&lt;='Tournament Setup'!$C$41,_xlfn.RANK.EQ(BZ33,$BZ$2:$BZ$111),""),"")</f>
        <v/>
      </c>
      <c r="CB33" s="31" t="str">
        <f>IF(AND($H33='Tournament Setup'!$A$41,$E33="F",$BY33&gt;'Tournament Setup'!$B$41),$I33,"")</f>
        <v/>
      </c>
      <c r="CC33" s="12" t="str">
        <f>IF(ISNUMBER(CB33)=TRUE,IF(_xlfn.RANK.EQ(CB33,$CB$2:$CB$111)&lt;='Tournament Setup'!$D$41,_xlfn.RANK.EQ(CB33,$CB$2:$CB$111),""),"")</f>
        <v/>
      </c>
      <c r="CD33" s="30" t="str">
        <f>IF($H33='Tournament Setup'!$A$42,$I33,"")</f>
        <v/>
      </c>
      <c r="CE33" s="47" t="str">
        <f>IF(ISNUMBER(CD33),IF(COUNTIFS(CE$1:CE32,_xlfn.RANK.EQ(CD33,CD$2:CD$111,0))&gt;0,_xlfn.MAXIFS(CE$1:CE32,CD$1:CD32,CD33)+1,_xlfn.RANK.EQ(CD33,CD$2:CD$111,0)),"")</f>
        <v/>
      </c>
      <c r="CF33" s="1" t="str">
        <f>IF(ISNUMBER(CD33)=TRUE,IF(_xlfn.RANK.EQ(CD33,$CD$2:$CD$111)&lt;='Tournament Setup'!$B$42,_xlfn.RANK.EQ(CD33,$CD$2:$CD$111),""),"")</f>
        <v/>
      </c>
      <c r="CG33" s="31" t="str">
        <f>IF(AND($H33='Tournament Setup'!$A$42,$E33="M",$CF33&gt;'Tournament Setup'!$B$42),$I33,"")</f>
        <v/>
      </c>
      <c r="CH33" s="1" t="str">
        <f>IF(ISNUMBER(CG33)=TRUE,IF(_xlfn.RANK.EQ(CG33,$CG$2:$CG$111)&lt;='Tournament Setup'!$C$42,_xlfn.RANK.EQ(CG33,$CG$2:$CG$111),""),"")</f>
        <v/>
      </c>
      <c r="CI33" s="31" t="str">
        <f>IF(AND($H33='Tournament Setup'!$A$42,$E33="F",$CF33&gt;'Tournament Setup'!$B$42),$I33,"")</f>
        <v/>
      </c>
      <c r="CJ33" s="12" t="str">
        <f>IF(ISNUMBER(CI33)=TRUE,IF(_xlfn.RANK.EQ(CI33,$CI$2:$CI$111)&lt;='Tournament Setup'!$D$42,_xlfn.RANK.EQ(CI33,$CI$2:$CI$111),""),"")</f>
        <v/>
      </c>
      <c r="CK33" s="30">
        <f>IF($H33='Tournament Setup'!$A$43,$I33,"")</f>
        <v>29</v>
      </c>
      <c r="CL33" s="47">
        <f>IF(ISNUMBER(CK33),IF(COUNTIFS(CL$1:CL32,_xlfn.RANK.EQ(CK33,CK$2:CK$111,0))&gt;0,_xlfn.MAXIFS(CL$1:CL32,CK$1:CK32,CK33)+1,_xlfn.RANK.EQ(CK33,CK$2:CK$111,0)),"")</f>
        <v>16</v>
      </c>
      <c r="CM33" s="1" t="str">
        <f>IF(ISNUMBER(CK33)=TRUE,IF(_xlfn.RANK.EQ(CK33,$CK$2:$CK$111)&lt;='Tournament Setup'!$B$43,_xlfn.RANK.EQ(CK33,$CK$2:$CK$111),""),"")</f>
        <v/>
      </c>
      <c r="CN33" s="31" t="str">
        <f>IF(AND($H33='Tournament Setup'!$A$43,$E33="M",$CM33&gt;'Tournament Setup'!$B$43),$I33,"")</f>
        <v/>
      </c>
      <c r="CO33" s="1" t="str">
        <f>IF(ISNUMBER(CN33)=TRUE,IF(_xlfn.RANK.EQ(CN33,$CN$2:$CN$111)&lt;='Tournament Setup'!$C$43,_xlfn.RANK.EQ(CN33,$CN$2:$CN$111),""),"")</f>
        <v/>
      </c>
      <c r="CP33" s="31">
        <f>IF(AND($H33='Tournament Setup'!$A$43,$E33="F",$CM33&gt;'Tournament Setup'!$B$43),$I33,"")</f>
        <v>29</v>
      </c>
      <c r="CQ33" s="12">
        <f>IF(ISNUMBER(CP33)=TRUE,IF(_xlfn.RANK.EQ(CP33,$CP$2:$CP$111)&lt;='Tournament Setup'!$D$43,_xlfn.RANK.EQ(CP33,$CP$2:$CP$111),""),"")</f>
        <v>2</v>
      </c>
      <c r="CR33" s="30" t="str">
        <f>IF($H33='Tournament Setup'!$A$44,$I33,"")</f>
        <v/>
      </c>
      <c r="CS33" s="47" t="str">
        <f>IF(ISNUMBER(CR33),IF(COUNTIFS(CS$1:CS32,_xlfn.RANK.EQ(CR33,CR$2:CR$111,0))&gt;0,_xlfn.MAXIFS(CS$1:CS32,CR$1:CR32,CR33)+1,_xlfn.RANK.EQ(CR33,CR$2:CR$111,0)),"")</f>
        <v/>
      </c>
      <c r="CT33" s="1" t="str">
        <f>IF(ISNUMBER(CR33)=TRUE,IF(_xlfn.RANK.EQ(CR33,$CR$2:$CR$111)&lt;='Tournament Setup'!$B$44,_xlfn.RANK.EQ(CR33,$CR$2:$CR$111),""),"")</f>
        <v/>
      </c>
      <c r="CU33" s="31" t="str">
        <f>IF(AND($H33='Tournament Setup'!$A$44,$E33="M",$CT33&gt;'Tournament Setup'!$B$44),$I33,"")</f>
        <v/>
      </c>
      <c r="CV33" s="1" t="str">
        <f>IF(ISNUMBER(CU33)=TRUE,IF(_xlfn.RANK.EQ(CU33,$CU$2:$CU$111)&lt;='Tournament Setup'!$C$44,_xlfn.RANK.EQ(CU33,$CU$2:$CU$111),""),"")</f>
        <v/>
      </c>
      <c r="CW33" s="31" t="str">
        <f>IF(AND($H33='Tournament Setup'!$A$44,$E33="F",$CT33&gt;'Tournament Setup'!$B$44),$I33,"")</f>
        <v/>
      </c>
      <c r="CX33" s="12" t="str">
        <f>IF(ISNUMBER(CW33)=TRUE,IF(_xlfn.RANK.EQ(CW33,$CW$2:$CW$111)&lt;='Tournament Setup'!$D$44,_xlfn.RANK.EQ(CW33,$CW$2:$CW$111),""),"")</f>
        <v/>
      </c>
    </row>
    <row r="34" spans="1:102" x14ac:dyDescent="0.3">
      <c r="A34" t="s">
        <v>189</v>
      </c>
      <c r="B34" t="str">
        <f>IFERROR(INDEX('Tournament List'!$B:$B,MATCH($A34,'Tournament List'!$A:$A,0)),"")</f>
        <v>Missy</v>
      </c>
      <c r="C34" t="str">
        <f>IFERROR(INDEX('Tournament List'!$C:$C,MATCH($A34,'Tournament List'!$A:$A,0)),"")</f>
        <v>Last Name33</v>
      </c>
      <c r="D34" t="str">
        <f t="shared" ref="D34:D111" si="1">B34&amp;" "&amp;C34</f>
        <v>Missy Last Name33</v>
      </c>
      <c r="E34" s="1" t="str">
        <f>IFERROR(INDEX('Tournament List'!F:F,MATCH($A34,'Tournament List'!$A:$A,0)),"")</f>
        <v>F</v>
      </c>
      <c r="F34" t="str">
        <f>IFERROR(INDEX('Tournament List'!M:M,MATCH($A34,'Tournament List'!$A:$A,0)),"")</f>
        <v>Novice</v>
      </c>
      <c r="G34" t="str">
        <f>IFERROR(INDEX('Shooter-Squad Assignment'!L:L,MATCH(A34,'Shooter-Squad Assignment'!A:A,0)),"")</f>
        <v>Novice</v>
      </c>
      <c r="H34" s="1" t="str">
        <f>IFERROR(INDEX('Tournament List'!AD:AD,MATCH($A34,'Tournament List'!$A:$A,0)),"")</f>
        <v>B</v>
      </c>
      <c r="I34" s="123">
        <f>IFERROR(INDEX('Tournament List'!AG:AG,MATCH($A34,'Tournament List'!$A:$A,0)),"")</f>
        <v>73</v>
      </c>
      <c r="J34" s="145" t="str">
        <f>IFERROR(INDEX('Tournament List'!Y:Y,MATCH($A34,'Tournament List'!$A:$A,0)),"")</f>
        <v/>
      </c>
      <c r="K34" s="47">
        <f>IFERROR(INDEX('Tournament List'!S:S,MATCH(A34,'Tournament List'!A:A,0)),"")</f>
        <v>295</v>
      </c>
      <c r="L34" s="47" t="str">
        <f>IF(ISNUMBER(J34),IF(COUNTIFS(L$1:L33,_xlfn.RANK.EQ(J34,J$2:J$111,0))&gt;0,_xlfn.MAXIFS(L$1:L33,J$1:J33,J34)+1,_xlfn.RANK.EQ(J34,J$2:J$111,0)),"")</f>
        <v/>
      </c>
      <c r="M34" s="11">
        <f>IF(ISNUMBER(I34)=TRUE,IF(I34&gt;0,_xlfn.RANK.EQ(I34,$I$2:$I$111,0),""),"")</f>
        <v>21</v>
      </c>
      <c r="N34" s="56">
        <f>IF(ISNUMBER(I34),IF(COUNTIFS(N$1:N33,_xlfn.RANK.EQ(I34,I$2:I$111,0))&gt;0,_xlfn.MAXIFS(N$1:N33,I$1:I33,I34)+1,_xlfn.RANK.EQ(I34,I$2:I$111,0)),"")</f>
        <v>21</v>
      </c>
      <c r="O34" s="144">
        <f>IF(F34&lt;&gt;"Collegiate"=TRUE,$I34,"")</f>
        <v>73</v>
      </c>
      <c r="P34" s="47">
        <f>IF(ISNUMBER(O34),IF(COUNTIFS(P$1:P33,_xlfn.RANK.EQ(O34,O$2:O$111,0))&gt;0,_xlfn.MAXIFS(P$1:P33,O$1:O33,O34)+1,_xlfn.RANK.EQ(O34,O$2:O$111,0)),"")</f>
        <v>19</v>
      </c>
      <c r="Q34" s="1" t="str">
        <f>IF(ISNUMBER(O34)=TRUE,IF(_xlfn.RANK.EQ(O34,$O$2:$O$111)&lt;='Tournament Setup'!$B$26,_xlfn.RANK.EQ(O34,$O$2:$O$111),""),"")</f>
        <v/>
      </c>
      <c r="R34" s="143" t="str">
        <f>IF(AND($E34="M",SUM($Q34)=0,F34&lt;&gt;"Collegiate")=TRUE,$I34,"")</f>
        <v/>
      </c>
      <c r="S34" s="1" t="str">
        <f>IF(ISNUMBER(R34)=TRUE,IF(_xlfn.RANK.EQ(R34,$R$2:$R$111)&lt;='Tournament Setup'!$B$27,_xlfn.RANK.EQ(R34,$R$2:$R$111),""),"")</f>
        <v/>
      </c>
      <c r="T34" s="143">
        <f>IF(AND($E34="F",SUM($Q34)=0,F34&lt;&gt;"Collegiate")=TRUE,$I34,"")</f>
        <v>73</v>
      </c>
      <c r="U34" s="12" t="str">
        <f>IF(ISNUMBER(T34)=TRUE,IF(_xlfn.RANK.EQ(T34,$T$2:$T$111)&lt;='Tournament Setup'!$B$28,_xlfn.RANK.EQ(T34,$T$2:$T$111),""),"")</f>
        <v/>
      </c>
      <c r="V34" s="145" t="str">
        <f>IF(AND($G34='Tournament Setup'!$A$53,$J34&lt;&gt;0),$J34,"")</f>
        <v/>
      </c>
      <c r="W34" s="47" t="str">
        <f>IF(ISNUMBER(V34),IF(COUNTIFS(W$1:W33,_xlfn.RANK.EQ(V34,V$2:V$111,0))&gt;0,_xlfn.MAXIFS(W$1:W33,V$1:V33,V34)+1,_xlfn.RANK.EQ(V34,V$2:V$111,0)),"")</f>
        <v/>
      </c>
      <c r="X34" s="1" t="str">
        <f>IF(ISNUMBER(V34)=TRUE,IF(_xlfn.RANK.EQ(V34,$V$2:$V$111)&lt;='Tournament Setup'!$B$53,_xlfn.RANK.EQ(V34,$V$2:$V$111),""),"")</f>
        <v/>
      </c>
      <c r="Y34" s="145" t="str">
        <f>IF(AND($G34='Tournament Setup'!$A$49,$J34&lt;&gt;0),$J34,"")</f>
        <v/>
      </c>
      <c r="Z34" s="47" t="str">
        <f>IF(ISNUMBER(Y34),IF(COUNTIFS(Z$1:Z33,_xlfn.RANK.EQ(Y34,Y$2:Y$111,0))&gt;0,_xlfn.MAXIFS(Z$1:Z33,Y$1:Y33,Y34)+1,_xlfn.RANK.EQ(Y34,Y$2:Y$111,0)),"")</f>
        <v/>
      </c>
      <c r="AA34" s="1" t="str">
        <f>IF(ISNUMBER(Y34)=TRUE,IF(_xlfn.RANK.EQ(Y34,$Y$2:$Y$111)&lt;='Tournament Setup'!$B$49,_xlfn.RANK.EQ(Y34,$Y$2:$Y$111),""),"")</f>
        <v/>
      </c>
      <c r="AB34" s="30">
        <f>IF(AND($F34='Tournament Setup'!$A$32,SUM($Q34,$S34,$U34)=0),$I34,"")</f>
        <v>73</v>
      </c>
      <c r="AC34" s="47">
        <f>IF(ISNUMBER(AB34),IF(COUNTIFS(AC$1:AC33,_xlfn.RANK.EQ(AB34,AB$2:AB$111,0))&gt;0,_xlfn.MAXIFS(AC$1:AC33,AB$1:AB33,AB34)+1,_xlfn.RANK.EQ(AB34,AB$2:AB$111,0)),"")</f>
        <v>3</v>
      </c>
      <c r="AD34" s="1">
        <f>IF(ISNUMBER(AB34)=TRUE,IF(_xlfn.RANK.EQ(AB34,$AB$2:$AB$111)&lt;='Tournament Setup'!$B$32,_xlfn.RANK.EQ(AB34,$AB$2:$AB$111),""),"")</f>
        <v>3</v>
      </c>
      <c r="AE34" s="31" t="str">
        <f>IF(AND($F34='Tournament Setup'!$A$32,SUM($Q34,$S34)=0,$E34="M",$AD34&gt;'Tournament Setup'!$B$32),$I34,"")</f>
        <v/>
      </c>
      <c r="AF34" s="1" t="str">
        <f>IF(ISNUMBER(AE34)=TRUE,IF(_xlfn.RANK.EQ(AE34,$AE$2:$AE$111)&lt;='Tournament Setup'!$C$32,_xlfn.RANK.EQ(AE34,$AE$2:$AE$111),""),"")</f>
        <v/>
      </c>
      <c r="AG34" s="31" t="str">
        <f>IF(AND($F34='Tournament Setup'!$A$32,SUM($Q34,$U34)=0,$E34="F",$AD34&gt;'Tournament Setup'!$B$32),$I34,"")</f>
        <v/>
      </c>
      <c r="AH34" s="12" t="str">
        <f>IF(ISNUMBER(AG34)=TRUE,IF(_xlfn.RANK.EQ(AG34,$AG$2:$AG$111)&lt;='Tournament Setup'!$D$32,_xlfn.RANK.EQ(AG34,$AG$2:$AG$111),""),"")</f>
        <v/>
      </c>
      <c r="AI34" s="30" t="str">
        <f>IF(AND($G34='Tournament Setup'!$A$50,$J34&lt;&gt;0),$J34,"")</f>
        <v/>
      </c>
      <c r="AJ34" s="47" t="str">
        <f>IF(ISNUMBER(AI34),IF(COUNTIFS(AJ$1:AJ33,_xlfn.RANK.EQ(AI34,AI$2:AI$111,0))&gt;0,_xlfn.MAXIFS(AJ$1:AJ33,AI$1:AI33,AI34)+1,_xlfn.RANK.EQ(AI34,AI$2:AI$111,0)),"")</f>
        <v/>
      </c>
      <c r="AK34" s="1" t="str">
        <f>IF(ISNUMBER(AI34)=TRUE,IF(_xlfn.RANK.EQ(AI34,$AI$2:$AI$111)&lt;='Tournament Setup'!$B$49,_xlfn.RANK.EQ(AI34,$AI$2:$AI$111),""),"")</f>
        <v/>
      </c>
      <c r="AL34" s="30" t="str">
        <f>IF(AND($F34='Tournament Setup'!$A$33,SUM($Q34,$S34,$U34)=0),$I34,"")</f>
        <v/>
      </c>
      <c r="AM34" s="47" t="str">
        <f>IF(ISNUMBER(AL34),IF(COUNTIFS(AM$1:AM33,_xlfn.RANK.EQ(AL34,AL$2:AL$111,0))&gt;0,_xlfn.MAXIFS(AM$1:AM33,AL$1:AL33,AL34)+1,_xlfn.RANK.EQ(AL34,AL$2:AL$111,0)),"")</f>
        <v/>
      </c>
      <c r="AN34" s="1" t="str">
        <f>IF(ISNUMBER(AL34)=TRUE,IF(_xlfn.RANK.EQ(AL34,$AL$2:$AL$111)&lt;='Tournament Setup'!$B$33,_xlfn.RANK.EQ(AL34,$AL$2:$AL$111),""),"")</f>
        <v/>
      </c>
      <c r="AO34" s="31" t="str">
        <f>IF(AND($F34='Tournament Setup'!$A$33,SUM($Q34,$S34)=0,$E34="M",$AN34&gt;'Tournament Setup'!$B$33),$I34,"")</f>
        <v/>
      </c>
      <c r="AP34" s="1" t="str">
        <f>IF(ISNUMBER(AO34)=TRUE,IF(_xlfn.RANK.EQ(AO34,$AO$2:$AO$111)&lt;='Tournament Setup'!$C$33,_xlfn.RANK.EQ(AO34,$AO$2:$AO$111),""),"")</f>
        <v/>
      </c>
      <c r="AQ34" s="31" t="str">
        <f>IF(AND($F34='Tournament Setup'!$A$33,SUM($Q34,$U34)=0,$E34="F",$AN34&gt;'Tournament Setup'!$B$33),$I34,"")</f>
        <v/>
      </c>
      <c r="AR34" s="12" t="str">
        <f>IF(ISNUMBER(AQ34)=TRUE,IF(_xlfn.RANK.EQ(AQ34,$AQ$2:$AQ$111)&lt;='Tournament Setup'!$D$33,_xlfn.RANK.EQ(AQ34,$AQ$2:$AQ$111),""),"")</f>
        <v/>
      </c>
      <c r="AS34" s="30" t="str">
        <f>IF(AND($G34='Tournament Setup'!$A$51,$J34&lt;&gt;0),$J34,"")</f>
        <v/>
      </c>
      <c r="AT34" s="47" t="str">
        <f>IF(ISNUMBER(AS34),IF(COUNTIFS(AT$1:AT33,_xlfn.RANK.EQ(AS34,AS$2:AS$111,0))&gt;0,_xlfn.MAXIFS(AT$1:AT33,AS$1:AS33,AS34)+1,_xlfn.RANK.EQ(AS34,AS$2:AS$111,0)),"")</f>
        <v/>
      </c>
      <c r="AU34" s="1" t="str">
        <f>IF(ISNUMBER(AS34)=TRUE,IF(_xlfn.RANK.EQ(AS34,$AS$2:$AS$111)&lt;='Tournament Setup'!$B$49,_xlfn.RANK.EQ(AS34,$AS$2:$AS$111),""),"")</f>
        <v/>
      </c>
      <c r="AV34" s="30" t="str">
        <f>IF(AND($F34='Tournament Setup'!$A$34,SUM($Q34,$S34,$U34)=0),$I34,"")</f>
        <v/>
      </c>
      <c r="AW34" s="47" t="str">
        <f>IF(ISNUMBER(AV34),IF(COUNTIFS(AW$1:AW33,_xlfn.RANK.EQ(AV34,AV$2:AV$111,0))&gt;0,_xlfn.MAXIFS(AW$1:AW33,AV$1:AV33,AV34)+1,_xlfn.RANK.EQ(AV34,AV$2:AV$111,0)),"")</f>
        <v/>
      </c>
      <c r="AX34" s="1" t="str">
        <f>IF(ISNUMBER(AV34)=TRUE,IF(_xlfn.RANK.EQ(AV34,$AV$2:$AV$111)&lt;='Tournament Setup'!$B$34,_xlfn.RANK.EQ(AV34,$AV$2:$AV$111),""),"")</f>
        <v/>
      </c>
      <c r="AY34" s="31" t="str">
        <f>IF(AND($F34='Tournament Setup'!$A$34,SUM($Q34,$S34)=0,$E34="M",$AX34&gt;'Tournament Setup'!$B$34),$I34,"")</f>
        <v/>
      </c>
      <c r="AZ34" s="1" t="str">
        <f>IF(ISNUMBER(AY34)=TRUE,IF(_xlfn.RANK.EQ(AY34,$AY$2:$AY$111)&lt;='Tournament Setup'!$C$34,_xlfn.RANK.EQ(AY34,$AY$2:$AY$111),""),"")</f>
        <v/>
      </c>
      <c r="BA34" s="31" t="str">
        <f>IF(AND($F34='Tournament Setup'!$A$34,SUM($Q34,$U34)=0,$E34="F",$AX34&gt;'Tournament Setup'!$B$34),$I34,"")</f>
        <v/>
      </c>
      <c r="BB34" s="12" t="str">
        <f>IF(ISNUMBER(BA34)=TRUE,IF(_xlfn.RANK.EQ(BA34,$BA$2:$BA$111)&lt;='Tournament Setup'!$D$34,_xlfn.RANK.EQ(BA34,$BA$2:$BA$111),""),"")</f>
        <v/>
      </c>
      <c r="BC34" s="30" t="str">
        <f>IF(AND($G34='Tournament Setup'!$A$52,$J34&lt;&gt;0),$J34,"")</f>
        <v/>
      </c>
      <c r="BD34" s="47" t="str">
        <f>IF(ISNUMBER(BC34),IF(COUNTIFS(BD$1:BD33,_xlfn.RANK.EQ(BC34,BC$2:BC$111,0))&gt;0,_xlfn.MAXIFS(BD$1:BD33,BC$1:BC33,BC34)+1,_xlfn.RANK.EQ(BC34,BC$2:BC$111,0)),"")</f>
        <v/>
      </c>
      <c r="BE34" s="1" t="str">
        <f>IF(ISNUMBER(BC34)=TRUE,IF(_xlfn.RANK.EQ(BC34,$BC$2:$BC$111)&lt;='Tournament Setup'!$B$49,_xlfn.RANK.EQ(BC34,$BC$2:$BC$111),""),"")</f>
        <v/>
      </c>
      <c r="BF34" s="30" t="str">
        <f>IF(AND($F34='Tournament Setup'!$A$35,SUM($Q34,$S34,$U34)=0),$I34,"")</f>
        <v/>
      </c>
      <c r="BG34" s="47" t="str">
        <f>IF(ISNUMBER(BF34),IF(COUNTIFS(BG$1:BG33,_xlfn.RANK.EQ(BF34,BF$2:BF$111,0))&gt;0,_xlfn.MAXIFS(BG$1:BG33,BF$1:BF33,BF34)+1,_xlfn.RANK.EQ(BF34,BF$2:BF$111,0)),"")</f>
        <v/>
      </c>
      <c r="BH34" s="1" t="str">
        <f>IF(ISNUMBER(BF34)=TRUE,IF(_xlfn.RANK.EQ(BF34,$BF$2:$BF$111)&lt;='Tournament Setup'!$B$35,_xlfn.RANK.EQ(BF34,$BF$2:$BF$111),""),"")</f>
        <v/>
      </c>
      <c r="BI34" s="31" t="str">
        <f>IF(AND($F34='Tournament Setup'!$A$35,SUM($Q34,$S34)=0,$E34="M",$BH34&gt;'Tournament Setup'!$B$35),$I34,"")</f>
        <v/>
      </c>
      <c r="BJ34" s="1" t="str">
        <f>IF(ISNUMBER(BI34)=TRUE,IF(_xlfn.RANK.EQ(BI34,$BI$2:$BI$111)&lt;='Tournament Setup'!$C$35,_xlfn.RANK.EQ(BI34,$BI$2:$BI$111),""),"")</f>
        <v/>
      </c>
      <c r="BK34" s="31" t="str">
        <f>IF(AND($F34='Tournament Setup'!$A$35,SUM($Q34,$U34)=0,$E34="F",$BH34&gt;'Tournament Setup'!$B$35),$I34,"")</f>
        <v/>
      </c>
      <c r="BL34" s="12" t="str">
        <f>IF(ISNUMBER(BK34)=TRUE,IF(_xlfn.RANK.EQ(BK34,$BK$2:$BK$111)&lt;='Tournament Setup'!$D$35,_xlfn.RANK.EQ(BK34,$BK$2:$BK$111),""),"")</f>
        <v/>
      </c>
      <c r="BM34" s="30" t="str">
        <f>IF(AND($G34='Tournament Setup'!$A$54,$J34&lt;&gt;0),$J34,"")</f>
        <v/>
      </c>
      <c r="BN34" s="47" t="str">
        <f>IF(ISNUMBER(BM34),IF(COUNTIFS(BN$1:BN33,_xlfn.RANK.EQ(BM34,BM$2:BM$111,0))&gt;0,_xlfn.MAXIFS(BN$1:BN33,BM$1:BM33,BM34)+1,_xlfn.RANK.EQ(BM34,BM$2:BM$111,0)),"")</f>
        <v/>
      </c>
      <c r="BO34" s="1" t="str">
        <f>IF(ISNUMBER(BM34)=TRUE,IF(_xlfn.RANK.EQ(BM34,$BM$2:$BM$111)&lt;='Tournament Setup'!$B$49,_xlfn.RANK.EQ(BM34,$BM$2:$BM$111),""),"")</f>
        <v/>
      </c>
      <c r="BP34" s="30" t="str">
        <f>IF(AND($F34='Tournament Setup'!$A$36,SUM($Q34,$S34,$U34)=0),$I34,"")</f>
        <v/>
      </c>
      <c r="BQ34" s="47" t="str">
        <f>IF(ISNUMBER(BP34),IF(COUNTIFS(BQ$1:BQ33,_xlfn.RANK.EQ(BP34,BP$2:BP$111,0))&gt;0,_xlfn.MAXIFS(BQ$1:BQ33,BP$1:BP33,BP34)+1,_xlfn.RANK.EQ(BP34,BP$2:BP$111,0)),"")</f>
        <v/>
      </c>
      <c r="BR34" s="1" t="str">
        <f>IF(ISNUMBER(BP34)=TRUE,IF(_xlfn.RANK.EQ(BP34,$BP$2:$BP$111)&lt;='Tournament Setup'!$B$36,_xlfn.RANK.EQ(BP34,$BP$2:$BP$111),""),"")</f>
        <v/>
      </c>
      <c r="BS34" s="31" t="str">
        <f>IF(AND($F34='Tournament Setup'!$A$36,SUM($Q34,$S34)=0,$E34="M",$BR34&gt;'Tournament Setup'!$B$36),$I34,"")</f>
        <v/>
      </c>
      <c r="BT34" s="1" t="str">
        <f>IF(ISNUMBER(BS34)=TRUE,IF(_xlfn.RANK.EQ(BS34,$BS$2:$BS$111)&lt;='Tournament Setup'!$C$36,_xlfn.RANK.EQ(BS34,$BS$2:$BS$111),""),"")</f>
        <v/>
      </c>
      <c r="BU34" s="31" t="str">
        <f>IF(AND($F34='Tournament Setup'!$A$36,SUM($Q34,$U34)=0,$E34="F",$BR34&gt;'Tournament Setup'!$B$36),$I34,"")</f>
        <v/>
      </c>
      <c r="BV34" s="12" t="str">
        <f>IF(ISNUMBER(BU34)=TRUE,IF(_xlfn.RANK.EQ(BU34,$BU$2:$BU$111)&lt;='Tournament Setup'!$D$36,_xlfn.RANK.EQ(BU34,$BU$2:$BU$111),""),"")</f>
        <v/>
      </c>
      <c r="BW34" s="30" t="str">
        <f>IF($H34='Tournament Setup'!$A$41,$I34,"")</f>
        <v/>
      </c>
      <c r="BX34" s="47" t="str">
        <f>IF(ISNUMBER(BW34),IF(COUNTIFS(BX$1:BX33,_xlfn.RANK.EQ(BW34,BW$2:BW$111,0))&gt;0,_xlfn.MAXIFS(BX$1:BX33,BW$1:BW33,BW34)+1,_xlfn.RANK.EQ(BW34,BW$2:BW$111,0)),"")</f>
        <v/>
      </c>
      <c r="BY34" s="1" t="str">
        <f>IF(ISNUMBER(BW34)=TRUE,IF(_xlfn.RANK.EQ(BW34,$BW$2:$BW$111)&lt;='Tournament Setup'!$B$41,_xlfn.RANK.EQ(BW34,$BW$2:$BW$111),""),"")</f>
        <v/>
      </c>
      <c r="BZ34" s="31" t="str">
        <f>IF(AND($H34='Tournament Setup'!$A$41,$E34="M",$BY34&gt;'Tournament Setup'!$B$41),$I34,"")</f>
        <v/>
      </c>
      <c r="CA34" s="1" t="str">
        <f>IF(ISNUMBER(BZ34)=TRUE,IF(_xlfn.RANK.EQ(BZ34,$BZ$2:$BZ$111)&lt;='Tournament Setup'!$C$41,_xlfn.RANK.EQ(BZ34,$BZ$2:$BZ$111),""),"")</f>
        <v/>
      </c>
      <c r="CB34" s="31" t="str">
        <f>IF(AND($H34='Tournament Setup'!$A$41,$E34="F",$BY34&gt;'Tournament Setup'!$B$41),$I34,"")</f>
        <v/>
      </c>
      <c r="CC34" s="12" t="str">
        <f>IF(ISNUMBER(CB34)=TRUE,IF(_xlfn.RANK.EQ(CB34,$CB$2:$CB$111)&lt;='Tournament Setup'!$D$41,_xlfn.RANK.EQ(CB34,$CB$2:$CB$111),""),"")</f>
        <v/>
      </c>
      <c r="CD34" s="30">
        <f>IF($H34='Tournament Setup'!$A$42,$I34,"")</f>
        <v>73</v>
      </c>
      <c r="CE34" s="47">
        <f>IF(ISNUMBER(CD34),IF(COUNTIFS(CE$1:CE33,_xlfn.RANK.EQ(CD34,CD$2:CD$111,0))&gt;0,_xlfn.MAXIFS(CE$1:CE33,CD$1:CD33,CD34)+1,_xlfn.RANK.EQ(CD34,CD$2:CD$111,0)),"")</f>
        <v>11</v>
      </c>
      <c r="CF34" s="1" t="str">
        <f>IF(ISNUMBER(CD34)=TRUE,IF(_xlfn.RANK.EQ(CD34,$CD$2:$CD$111)&lt;='Tournament Setup'!$B$42,_xlfn.RANK.EQ(CD34,$CD$2:$CD$111),""),"")</f>
        <v/>
      </c>
      <c r="CG34" s="31" t="str">
        <f>IF(AND($H34='Tournament Setup'!$A$42,$E34="M",$CF34&gt;'Tournament Setup'!$B$42),$I34,"")</f>
        <v/>
      </c>
      <c r="CH34" s="1" t="str">
        <f>IF(ISNUMBER(CG34)=TRUE,IF(_xlfn.RANK.EQ(CG34,$CG$2:$CG$111)&lt;='Tournament Setup'!$C$42,_xlfn.RANK.EQ(CG34,$CG$2:$CG$111),""),"")</f>
        <v/>
      </c>
      <c r="CI34" s="31">
        <f>IF(AND($H34='Tournament Setup'!$A$42,$E34="F",$CF34&gt;'Tournament Setup'!$B$42),$I34,"")</f>
        <v>73</v>
      </c>
      <c r="CJ34" s="12">
        <f>IF(ISNUMBER(CI34)=TRUE,IF(_xlfn.RANK.EQ(CI34,$CI$2:$CI$111)&lt;='Tournament Setup'!$D$42,_xlfn.RANK.EQ(CI34,$CI$2:$CI$111),""),"")</f>
        <v>3</v>
      </c>
      <c r="CK34" s="30" t="str">
        <f>IF($H34='Tournament Setup'!$A$43,$I34,"")</f>
        <v/>
      </c>
      <c r="CL34" s="47" t="str">
        <f>IF(ISNUMBER(CK34),IF(COUNTIFS(CL$1:CL33,_xlfn.RANK.EQ(CK34,CK$2:CK$111,0))&gt;0,_xlfn.MAXIFS(CL$1:CL33,CK$1:CK33,CK34)+1,_xlfn.RANK.EQ(CK34,CK$2:CK$111,0)),"")</f>
        <v/>
      </c>
      <c r="CM34" s="1" t="str">
        <f>IF(ISNUMBER(CK34)=TRUE,IF(_xlfn.RANK.EQ(CK34,$CK$2:$CK$111)&lt;='Tournament Setup'!$B$43,_xlfn.RANK.EQ(CK34,$CK$2:$CK$111),""),"")</f>
        <v/>
      </c>
      <c r="CN34" s="31" t="str">
        <f>IF(AND($H34='Tournament Setup'!$A$43,$E34="M",$CM34&gt;'Tournament Setup'!$B$43),$I34,"")</f>
        <v/>
      </c>
      <c r="CO34" s="1" t="str">
        <f>IF(ISNUMBER(CN34)=TRUE,IF(_xlfn.RANK.EQ(CN34,$CN$2:$CN$111)&lt;='Tournament Setup'!$C$43,_xlfn.RANK.EQ(CN34,$CN$2:$CN$111),""),"")</f>
        <v/>
      </c>
      <c r="CP34" s="31" t="str">
        <f>IF(AND($H34='Tournament Setup'!$A$43,$E34="F",$CM34&gt;'Tournament Setup'!$B$43),$I34,"")</f>
        <v/>
      </c>
      <c r="CQ34" s="12" t="str">
        <f>IF(ISNUMBER(CP34)=TRUE,IF(_xlfn.RANK.EQ(CP34,$CP$2:$CP$111)&lt;='Tournament Setup'!$D$43,_xlfn.RANK.EQ(CP34,$CP$2:$CP$111),""),"")</f>
        <v/>
      </c>
      <c r="CR34" s="30" t="str">
        <f>IF($H34='Tournament Setup'!$A$44,$I34,"")</f>
        <v/>
      </c>
      <c r="CS34" s="47" t="str">
        <f>IF(ISNUMBER(CR34),IF(COUNTIFS(CS$1:CS33,_xlfn.RANK.EQ(CR34,CR$2:CR$111,0))&gt;0,_xlfn.MAXIFS(CS$1:CS33,CR$1:CR33,CR34)+1,_xlfn.RANK.EQ(CR34,CR$2:CR$111,0)),"")</f>
        <v/>
      </c>
      <c r="CT34" s="1" t="str">
        <f>IF(ISNUMBER(CR34)=TRUE,IF(_xlfn.RANK.EQ(CR34,$CR$2:$CR$111)&lt;='Tournament Setup'!$B$44,_xlfn.RANK.EQ(CR34,$CR$2:$CR$111),""),"")</f>
        <v/>
      </c>
      <c r="CU34" s="31" t="str">
        <f>IF(AND($H34='Tournament Setup'!$A$44,$E34="M",$CT34&gt;'Tournament Setup'!$B$44),$I34,"")</f>
        <v/>
      </c>
      <c r="CV34" s="1" t="str">
        <f>IF(ISNUMBER(CU34)=TRUE,IF(_xlfn.RANK.EQ(CU34,$CU$2:$CU$111)&lt;='Tournament Setup'!$C$44,_xlfn.RANK.EQ(CU34,$CU$2:$CU$111),""),"")</f>
        <v/>
      </c>
      <c r="CW34" s="31" t="str">
        <f>IF(AND($H34='Tournament Setup'!$A$44,$E34="F",$CT34&gt;'Tournament Setup'!$B$44),$I34,"")</f>
        <v/>
      </c>
      <c r="CX34" s="12" t="str">
        <f>IF(ISNUMBER(CW34)=TRUE,IF(_xlfn.RANK.EQ(CW34,$CW$2:$CW$111)&lt;='Tournament Setup'!$D$44,_xlfn.RANK.EQ(CW34,$CW$2:$CW$111),""),"")</f>
        <v/>
      </c>
    </row>
    <row r="35" spans="1:102" x14ac:dyDescent="0.3">
      <c r="A35" t="s">
        <v>190</v>
      </c>
      <c r="B35" t="str">
        <f>IFERROR(INDEX('Tournament List'!$B:$B,MATCH($A35,'Tournament List'!$A:$A,0)),"")</f>
        <v>Marty</v>
      </c>
      <c r="C35" t="str">
        <f>IFERROR(INDEX('Tournament List'!$C:$C,MATCH($A35,'Tournament List'!$A:$A,0)),"")</f>
        <v>Last Name34</v>
      </c>
      <c r="D35" t="str">
        <f t="shared" si="1"/>
        <v>Marty Last Name34</v>
      </c>
      <c r="E35" s="1" t="str">
        <f>IFERROR(INDEX('Tournament List'!F:F,MATCH($A35,'Tournament List'!$A:$A,0)),"")</f>
        <v>M</v>
      </c>
      <c r="F35" t="str">
        <f>IFERROR(INDEX('Tournament List'!M:M,MATCH($A35,'Tournament List'!$A:$A,0)),"")</f>
        <v>Intermediate</v>
      </c>
      <c r="G35" t="str">
        <f>IFERROR(INDEX('Shooter-Squad Assignment'!L:L,MATCH(A35,'Shooter-Squad Assignment'!A:A,0)),"")</f>
        <v>Intermediate</v>
      </c>
      <c r="H35" s="1" t="str">
        <f>IFERROR(INDEX('Tournament List'!AD:AD,MATCH($A35,'Tournament List'!$A:$A,0)),"")</f>
        <v>A</v>
      </c>
      <c r="I35" s="123">
        <f>IFERROR(INDEX('Tournament List'!AG:AG,MATCH($A35,'Tournament List'!$A:$A,0)),"")</f>
        <v>68</v>
      </c>
      <c r="J35" s="145" t="str">
        <f>IFERROR(INDEX('Tournament List'!Y:Y,MATCH($A35,'Tournament List'!$A:$A,0)),"")</f>
        <v/>
      </c>
      <c r="K35" s="47">
        <f>IFERROR(INDEX('Tournament List'!S:S,MATCH(A35,'Tournament List'!A:A,0)),"")</f>
        <v>61</v>
      </c>
      <c r="L35" s="47" t="str">
        <f>IF(ISNUMBER(J35),IF(COUNTIFS(L$1:L34,_xlfn.RANK.EQ(J35,J$2:J$111,0))&gt;0,_xlfn.MAXIFS(L$1:L34,J$1:J34,J35)+1,_xlfn.RANK.EQ(J35,J$2:J$111,0)),"")</f>
        <v/>
      </c>
      <c r="M35" s="11">
        <f>IF(ISNUMBER(I35)=TRUE,IF(I35&gt;0,_xlfn.RANK.EQ(I35,$I$2:$I$111,0),""),"")</f>
        <v>28</v>
      </c>
      <c r="N35" s="56">
        <f>IF(ISNUMBER(I35),IF(COUNTIFS(N$1:N34,_xlfn.RANK.EQ(I35,I$2:I$111,0))&gt;0,_xlfn.MAXIFS(N$1:N34,I$1:I34,I35)+1,_xlfn.RANK.EQ(I35,I$2:I$111,0)),"")</f>
        <v>28</v>
      </c>
      <c r="O35" s="144">
        <f>IF(F35&lt;&gt;"Collegiate"=TRUE,$I35,"")</f>
        <v>68</v>
      </c>
      <c r="P35" s="47">
        <f>IF(ISNUMBER(O35),IF(COUNTIFS(P$1:P34,_xlfn.RANK.EQ(O35,O$2:O$111,0))&gt;0,_xlfn.MAXIFS(P$1:P34,O$1:O34,O35)+1,_xlfn.RANK.EQ(O35,O$2:O$111,0)),"")</f>
        <v>26</v>
      </c>
      <c r="Q35" s="1" t="str">
        <f>IF(ISNUMBER(O35)=TRUE,IF(_xlfn.RANK.EQ(O35,$O$2:$O$111)&lt;='Tournament Setup'!$B$26,_xlfn.RANK.EQ(O35,$O$2:$O$111),""),"")</f>
        <v/>
      </c>
      <c r="R35" s="143">
        <f>IF(AND($E35="M",SUM($Q35)=0,F35&lt;&gt;"Collegiate")=TRUE,$I35,"")</f>
        <v>68</v>
      </c>
      <c r="S35" s="1" t="str">
        <f>IF(ISNUMBER(R35)=TRUE,IF(_xlfn.RANK.EQ(R35,$R$2:$R$111)&lt;='Tournament Setup'!$B$27,_xlfn.RANK.EQ(R35,$R$2:$R$111),""),"")</f>
        <v/>
      </c>
      <c r="T35" s="143" t="str">
        <f>IF(AND($E35="F",SUM($Q35)=0,F35&lt;&gt;"Collegiate")=TRUE,$I35,"")</f>
        <v/>
      </c>
      <c r="U35" s="12" t="str">
        <f>IF(ISNUMBER(T35)=TRUE,IF(_xlfn.RANK.EQ(T35,$T$2:$T$111)&lt;='Tournament Setup'!$B$28,_xlfn.RANK.EQ(T35,$T$2:$T$111),""),"")</f>
        <v/>
      </c>
      <c r="V35" s="145" t="str">
        <f>IF(AND($G35='Tournament Setup'!$A$53,$J35&lt;&gt;0),$J35,"")</f>
        <v/>
      </c>
      <c r="W35" s="47" t="str">
        <f>IF(ISNUMBER(V35),IF(COUNTIFS(W$1:W34,_xlfn.RANK.EQ(V35,V$2:V$111,0))&gt;0,_xlfn.MAXIFS(W$1:W34,V$1:V34,V35)+1,_xlfn.RANK.EQ(V35,V$2:V$111,0)),"")</f>
        <v/>
      </c>
      <c r="X35" s="1" t="str">
        <f>IF(ISNUMBER(V35)=TRUE,IF(_xlfn.RANK.EQ(V35,$V$2:$V$111)&lt;='Tournament Setup'!$B$53,_xlfn.RANK.EQ(V35,$V$2:$V$111),""),"")</f>
        <v/>
      </c>
      <c r="Y35" s="145" t="str">
        <f>IF(AND($G35='Tournament Setup'!$A$49,$J35&lt;&gt;0),$J35,"")</f>
        <v/>
      </c>
      <c r="Z35" s="47" t="str">
        <f>IF(ISNUMBER(Y35),IF(COUNTIFS(Z$1:Z34,_xlfn.RANK.EQ(Y35,Y$2:Y$111,0))&gt;0,_xlfn.MAXIFS(Z$1:Z34,Y$1:Y34,Y35)+1,_xlfn.RANK.EQ(Y35,Y$2:Y$111,0)),"")</f>
        <v/>
      </c>
      <c r="AA35" s="1" t="str">
        <f>IF(ISNUMBER(Y35)=TRUE,IF(_xlfn.RANK.EQ(Y35,$Y$2:$Y$111)&lt;='Tournament Setup'!$B$49,_xlfn.RANK.EQ(Y35,$Y$2:$Y$111),""),"")</f>
        <v/>
      </c>
      <c r="AB35" s="30" t="str">
        <f>IF(AND($F35='Tournament Setup'!$A$32,SUM($Q35,$S35,$U35)=0),$I35,"")</f>
        <v/>
      </c>
      <c r="AC35" s="47" t="str">
        <f>IF(ISNUMBER(AB35),IF(COUNTIFS(AC$1:AC34,_xlfn.RANK.EQ(AB35,AB$2:AB$111,0))&gt;0,_xlfn.MAXIFS(AC$1:AC34,AB$1:AB34,AB35)+1,_xlfn.RANK.EQ(AB35,AB$2:AB$111,0)),"")</f>
        <v/>
      </c>
      <c r="AD35" s="1" t="str">
        <f>IF(ISNUMBER(AB35)=TRUE,IF(_xlfn.RANK.EQ(AB35,$AB$2:$AB$111)&lt;='Tournament Setup'!$B$32,_xlfn.RANK.EQ(AB35,$AB$2:$AB$111),""),"")</f>
        <v/>
      </c>
      <c r="AE35" s="31" t="str">
        <f>IF(AND($F35='Tournament Setup'!$A$32,SUM($Q35,$S35)=0,$E35="M",$AD35&gt;'Tournament Setup'!$B$32),$I35,"")</f>
        <v/>
      </c>
      <c r="AF35" s="1" t="str">
        <f>IF(ISNUMBER(AE35)=TRUE,IF(_xlfn.RANK.EQ(AE35,$AE$2:$AE$111)&lt;='Tournament Setup'!$C$32,_xlfn.RANK.EQ(AE35,$AE$2:$AE$111),""),"")</f>
        <v/>
      </c>
      <c r="AG35" s="31" t="str">
        <f>IF(AND($F35='Tournament Setup'!$A$32,SUM($Q35,$U35)=0,$E35="F",$AD35&gt;'Tournament Setup'!$B$32),$I35,"")</f>
        <v/>
      </c>
      <c r="AH35" s="12" t="str">
        <f>IF(ISNUMBER(AG35)=TRUE,IF(_xlfn.RANK.EQ(AG35,$AG$2:$AG$111)&lt;='Tournament Setup'!$D$32,_xlfn.RANK.EQ(AG35,$AG$2:$AG$111),""),"")</f>
        <v/>
      </c>
      <c r="AI35" s="30" t="str">
        <f>IF(AND($G35='Tournament Setup'!$A$50,$J35&lt;&gt;0),$J35,"")</f>
        <v/>
      </c>
      <c r="AJ35" s="47" t="str">
        <f>IF(ISNUMBER(AI35),IF(COUNTIFS(AJ$1:AJ34,_xlfn.RANK.EQ(AI35,AI$2:AI$111,0))&gt;0,_xlfn.MAXIFS(AJ$1:AJ34,AI$1:AI34,AI35)+1,_xlfn.RANK.EQ(AI35,AI$2:AI$111,0)),"")</f>
        <v/>
      </c>
      <c r="AK35" s="1" t="str">
        <f>IF(ISNUMBER(AI35)=TRUE,IF(_xlfn.RANK.EQ(AI35,$AI$2:$AI$111)&lt;='Tournament Setup'!$B$49,_xlfn.RANK.EQ(AI35,$AI$2:$AI$111),""),"")</f>
        <v/>
      </c>
      <c r="AL35" s="30">
        <f>IF(AND($F35='Tournament Setup'!$A$33,SUM($Q35,$S35,$U35)=0),$I35,"")</f>
        <v>68</v>
      </c>
      <c r="AM35" s="47">
        <f>IF(ISNUMBER(AL35),IF(COUNTIFS(AM$1:AM34,_xlfn.RANK.EQ(AL35,AL$2:AL$111,0))&gt;0,_xlfn.MAXIFS(AM$1:AM34,AL$1:AL34,AL35)+1,_xlfn.RANK.EQ(AL35,AL$2:AL$111,0)),"")</f>
        <v>5</v>
      </c>
      <c r="AN35" s="1" t="str">
        <f>IF(ISNUMBER(AL35)=TRUE,IF(_xlfn.RANK.EQ(AL35,$AL$2:$AL$111)&lt;='Tournament Setup'!$B$33,_xlfn.RANK.EQ(AL35,$AL$2:$AL$111),""),"")</f>
        <v/>
      </c>
      <c r="AO35" s="31">
        <f>IF(AND($F35='Tournament Setup'!$A$33,SUM($Q35,$S35)=0,$E35="M",$AN35&gt;'Tournament Setup'!$B$33),$I35,"")</f>
        <v>68</v>
      </c>
      <c r="AP35" s="1">
        <f>IF(ISNUMBER(AO35)=TRUE,IF(_xlfn.RANK.EQ(AO35,$AO$2:$AO$111)&lt;='Tournament Setup'!$C$33,_xlfn.RANK.EQ(AO35,$AO$2:$AO$111),""),"")</f>
        <v>2</v>
      </c>
      <c r="AQ35" s="31" t="str">
        <f>IF(AND($F35='Tournament Setup'!$A$33,SUM($Q35,$U35)=0,$E35="F",$AN35&gt;'Tournament Setup'!$B$33),$I35,"")</f>
        <v/>
      </c>
      <c r="AR35" s="12" t="str">
        <f>IF(ISNUMBER(AQ35)=TRUE,IF(_xlfn.RANK.EQ(AQ35,$AQ$2:$AQ$111)&lt;='Tournament Setup'!$D$33,_xlfn.RANK.EQ(AQ35,$AQ$2:$AQ$111),""),"")</f>
        <v/>
      </c>
      <c r="AS35" s="30" t="str">
        <f>IF(AND($G35='Tournament Setup'!$A$51,$J35&lt;&gt;0),$J35,"")</f>
        <v/>
      </c>
      <c r="AT35" s="47" t="str">
        <f>IF(ISNUMBER(AS35),IF(COUNTIFS(AT$1:AT34,_xlfn.RANK.EQ(AS35,AS$2:AS$111,0))&gt;0,_xlfn.MAXIFS(AT$1:AT34,AS$1:AS34,AS35)+1,_xlfn.RANK.EQ(AS35,AS$2:AS$111,0)),"")</f>
        <v/>
      </c>
      <c r="AU35" s="1" t="str">
        <f>IF(ISNUMBER(AS35)=TRUE,IF(_xlfn.RANK.EQ(AS35,$AS$2:$AS$111)&lt;='Tournament Setup'!$B$49,_xlfn.RANK.EQ(AS35,$AS$2:$AS$111),""),"")</f>
        <v/>
      </c>
      <c r="AV35" s="30" t="str">
        <f>IF(AND($F35='Tournament Setup'!$A$34,SUM($Q35,$S35,$U35)=0),$I35,"")</f>
        <v/>
      </c>
      <c r="AW35" s="47" t="str">
        <f>IF(ISNUMBER(AV35),IF(COUNTIFS(AW$1:AW34,_xlfn.RANK.EQ(AV35,AV$2:AV$111,0))&gt;0,_xlfn.MAXIFS(AW$1:AW34,AV$1:AV34,AV35)+1,_xlfn.RANK.EQ(AV35,AV$2:AV$111,0)),"")</f>
        <v/>
      </c>
      <c r="AX35" s="1" t="str">
        <f>IF(ISNUMBER(AV35)=TRUE,IF(_xlfn.RANK.EQ(AV35,$AV$2:$AV$111)&lt;='Tournament Setup'!$B$34,_xlfn.RANK.EQ(AV35,$AV$2:$AV$111),""),"")</f>
        <v/>
      </c>
      <c r="AY35" s="31" t="str">
        <f>IF(AND($F35='Tournament Setup'!$A$34,SUM($Q35,$S35)=0,$E35="M",$AX35&gt;'Tournament Setup'!$B$34),$I35,"")</f>
        <v/>
      </c>
      <c r="AZ35" s="1" t="str">
        <f>IF(ISNUMBER(AY35)=TRUE,IF(_xlfn.RANK.EQ(AY35,$AY$2:$AY$111)&lt;='Tournament Setup'!$C$34,_xlfn.RANK.EQ(AY35,$AY$2:$AY$111),""),"")</f>
        <v/>
      </c>
      <c r="BA35" s="31" t="str">
        <f>IF(AND($F35='Tournament Setup'!$A$34,SUM($Q35,$U35)=0,$E35="F",$AX35&gt;'Tournament Setup'!$B$34),$I35,"")</f>
        <v/>
      </c>
      <c r="BB35" s="12" t="str">
        <f>IF(ISNUMBER(BA35)=TRUE,IF(_xlfn.RANK.EQ(BA35,$BA$2:$BA$111)&lt;='Tournament Setup'!$D$34,_xlfn.RANK.EQ(BA35,$BA$2:$BA$111),""),"")</f>
        <v/>
      </c>
      <c r="BC35" s="30" t="str">
        <f>IF(AND($G35='Tournament Setup'!$A$52,$J35&lt;&gt;0),$J35,"")</f>
        <v/>
      </c>
      <c r="BD35" s="47" t="str">
        <f>IF(ISNUMBER(BC35),IF(COUNTIFS(BD$1:BD34,_xlfn.RANK.EQ(BC35,BC$2:BC$111,0))&gt;0,_xlfn.MAXIFS(BD$1:BD34,BC$1:BC34,BC35)+1,_xlfn.RANK.EQ(BC35,BC$2:BC$111,0)),"")</f>
        <v/>
      </c>
      <c r="BE35" s="1" t="str">
        <f>IF(ISNUMBER(BC35)=TRUE,IF(_xlfn.RANK.EQ(BC35,$BC$2:$BC$111)&lt;='Tournament Setup'!$B$49,_xlfn.RANK.EQ(BC35,$BC$2:$BC$111),""),"")</f>
        <v/>
      </c>
      <c r="BF35" s="30" t="str">
        <f>IF(AND($F35='Tournament Setup'!$A$35,SUM($Q35,$S35,$U35)=0),$I35,"")</f>
        <v/>
      </c>
      <c r="BG35" s="47" t="str">
        <f>IF(ISNUMBER(BF35),IF(COUNTIFS(BG$1:BG34,_xlfn.RANK.EQ(BF35,BF$2:BF$111,0))&gt;0,_xlfn.MAXIFS(BG$1:BG34,BF$1:BF34,BF35)+1,_xlfn.RANK.EQ(BF35,BF$2:BF$111,0)),"")</f>
        <v/>
      </c>
      <c r="BH35" s="1" t="str">
        <f>IF(ISNUMBER(BF35)=TRUE,IF(_xlfn.RANK.EQ(BF35,$BF$2:$BF$111)&lt;='Tournament Setup'!$B$35,_xlfn.RANK.EQ(BF35,$BF$2:$BF$111),""),"")</f>
        <v/>
      </c>
      <c r="BI35" s="31" t="str">
        <f>IF(AND($F35='Tournament Setup'!$A$35,SUM($Q35,$S35)=0,$E35="M",$BH35&gt;'Tournament Setup'!$B$35),$I35,"")</f>
        <v/>
      </c>
      <c r="BJ35" s="1" t="str">
        <f>IF(ISNUMBER(BI35)=TRUE,IF(_xlfn.RANK.EQ(BI35,$BI$2:$BI$111)&lt;='Tournament Setup'!$C$35,_xlfn.RANK.EQ(BI35,$BI$2:$BI$111),""),"")</f>
        <v/>
      </c>
      <c r="BK35" s="31" t="str">
        <f>IF(AND($F35='Tournament Setup'!$A$35,SUM($Q35,$U35)=0,$E35="F",$BH35&gt;'Tournament Setup'!$B$35),$I35,"")</f>
        <v/>
      </c>
      <c r="BL35" s="12" t="str">
        <f>IF(ISNUMBER(BK35)=TRUE,IF(_xlfn.RANK.EQ(BK35,$BK$2:$BK$111)&lt;='Tournament Setup'!$D$35,_xlfn.RANK.EQ(BK35,$BK$2:$BK$111),""),"")</f>
        <v/>
      </c>
      <c r="BM35" s="30" t="str">
        <f>IF(AND($G35='Tournament Setup'!$A$54,$J35&lt;&gt;0),$J35,"")</f>
        <v/>
      </c>
      <c r="BN35" s="47" t="str">
        <f>IF(ISNUMBER(BM35),IF(COUNTIFS(BN$1:BN34,_xlfn.RANK.EQ(BM35,BM$2:BM$111,0))&gt;0,_xlfn.MAXIFS(BN$1:BN34,BM$1:BM34,BM35)+1,_xlfn.RANK.EQ(BM35,BM$2:BM$111,0)),"")</f>
        <v/>
      </c>
      <c r="BO35" s="1" t="str">
        <f>IF(ISNUMBER(BM35)=TRUE,IF(_xlfn.RANK.EQ(BM35,$BM$2:$BM$111)&lt;='Tournament Setup'!$B$49,_xlfn.RANK.EQ(BM35,$BM$2:$BM$111),""),"")</f>
        <v/>
      </c>
      <c r="BP35" s="30" t="str">
        <f>IF(AND($F35='Tournament Setup'!$A$36,SUM($Q35,$S35,$U35)=0),$I35,"")</f>
        <v/>
      </c>
      <c r="BQ35" s="47" t="str">
        <f>IF(ISNUMBER(BP35),IF(COUNTIFS(BQ$1:BQ34,_xlfn.RANK.EQ(BP35,BP$2:BP$111,0))&gt;0,_xlfn.MAXIFS(BQ$1:BQ34,BP$1:BP34,BP35)+1,_xlfn.RANK.EQ(BP35,BP$2:BP$111,0)),"")</f>
        <v/>
      </c>
      <c r="BR35" s="1" t="str">
        <f>IF(ISNUMBER(BP35)=TRUE,IF(_xlfn.RANK.EQ(BP35,$BP$2:$BP$111)&lt;='Tournament Setup'!$B$36,_xlfn.RANK.EQ(BP35,$BP$2:$BP$111),""),"")</f>
        <v/>
      </c>
      <c r="BS35" s="31" t="str">
        <f>IF(AND($F35='Tournament Setup'!$A$36,SUM($Q35,$S35)=0,$E35="M",$BR35&gt;'Tournament Setup'!$B$36),$I35,"")</f>
        <v/>
      </c>
      <c r="BT35" s="1" t="str">
        <f>IF(ISNUMBER(BS35)=TRUE,IF(_xlfn.RANK.EQ(BS35,$BS$2:$BS$111)&lt;='Tournament Setup'!$C$36,_xlfn.RANK.EQ(BS35,$BS$2:$BS$111),""),"")</f>
        <v/>
      </c>
      <c r="BU35" s="31" t="str">
        <f>IF(AND($F35='Tournament Setup'!$A$36,SUM($Q35,$U35)=0,$E35="F",$BR35&gt;'Tournament Setup'!$B$36),$I35,"")</f>
        <v/>
      </c>
      <c r="BV35" s="12" t="str">
        <f>IF(ISNUMBER(BU35)=TRUE,IF(_xlfn.RANK.EQ(BU35,$BU$2:$BU$111)&lt;='Tournament Setup'!$D$36,_xlfn.RANK.EQ(BU35,$BU$2:$BU$111),""),"")</f>
        <v/>
      </c>
      <c r="BW35" s="30">
        <f>IF($H35='Tournament Setup'!$A$41,$I35,"")</f>
        <v>68</v>
      </c>
      <c r="BX35" s="47">
        <f>IF(ISNUMBER(BW35),IF(COUNTIFS(BX$1:BX34,_xlfn.RANK.EQ(BW35,BW$2:BW$111,0))&gt;0,_xlfn.MAXIFS(BX$1:BX34,BW$1:BW34,BW35)+1,_xlfn.RANK.EQ(BW35,BW$2:BW$111,0)),"")</f>
        <v>6</v>
      </c>
      <c r="BY35" s="1" t="str">
        <f>IF(ISNUMBER(BW35)=TRUE,IF(_xlfn.RANK.EQ(BW35,$BW$2:$BW$111)&lt;='Tournament Setup'!$B$41,_xlfn.RANK.EQ(BW35,$BW$2:$BW$111),""),"")</f>
        <v/>
      </c>
      <c r="BZ35" s="31">
        <f>IF(AND($H35='Tournament Setup'!$A$41,$E35="M",$BY35&gt;'Tournament Setup'!$B$41),$I35,"")</f>
        <v>68</v>
      </c>
      <c r="CA35" s="1">
        <f>IF(ISNUMBER(BZ35)=TRUE,IF(_xlfn.RANK.EQ(BZ35,$BZ$2:$BZ$111)&lt;='Tournament Setup'!$C$41,_xlfn.RANK.EQ(BZ35,$BZ$2:$BZ$111),""),"")</f>
        <v>3</v>
      </c>
      <c r="CB35" s="31" t="str">
        <f>IF(AND($H35='Tournament Setup'!$A$41,$E35="F",$BY35&gt;'Tournament Setup'!$B$41),$I35,"")</f>
        <v/>
      </c>
      <c r="CC35" s="12" t="str">
        <f>IF(ISNUMBER(CB35)=TRUE,IF(_xlfn.RANK.EQ(CB35,$CB$2:$CB$111)&lt;='Tournament Setup'!$D$41,_xlfn.RANK.EQ(CB35,$CB$2:$CB$111),""),"")</f>
        <v/>
      </c>
      <c r="CD35" s="30" t="str">
        <f>IF($H35='Tournament Setup'!$A$42,$I35,"")</f>
        <v/>
      </c>
      <c r="CE35" s="47" t="str">
        <f>IF(ISNUMBER(CD35),IF(COUNTIFS(CE$1:CE34,_xlfn.RANK.EQ(CD35,CD$2:CD$111,0))&gt;0,_xlfn.MAXIFS(CE$1:CE34,CD$1:CD34,CD35)+1,_xlfn.RANK.EQ(CD35,CD$2:CD$111,0)),"")</f>
        <v/>
      </c>
      <c r="CF35" s="1" t="str">
        <f>IF(ISNUMBER(CD35)=TRUE,IF(_xlfn.RANK.EQ(CD35,$CD$2:$CD$111)&lt;='Tournament Setup'!$B$42,_xlfn.RANK.EQ(CD35,$CD$2:$CD$111),""),"")</f>
        <v/>
      </c>
      <c r="CG35" s="31" t="str">
        <f>IF(AND($H35='Tournament Setup'!$A$42,$E35="M",$CF35&gt;'Tournament Setup'!$B$42),$I35,"")</f>
        <v/>
      </c>
      <c r="CH35" s="1" t="str">
        <f>IF(ISNUMBER(CG35)=TRUE,IF(_xlfn.RANK.EQ(CG35,$CG$2:$CG$111)&lt;='Tournament Setup'!$C$42,_xlfn.RANK.EQ(CG35,$CG$2:$CG$111),""),"")</f>
        <v/>
      </c>
      <c r="CI35" s="31" t="str">
        <f>IF(AND($H35='Tournament Setup'!$A$42,$E35="F",$CF35&gt;'Tournament Setup'!$B$42),$I35,"")</f>
        <v/>
      </c>
      <c r="CJ35" s="12" t="str">
        <f>IF(ISNUMBER(CI35)=TRUE,IF(_xlfn.RANK.EQ(CI35,$CI$2:$CI$111)&lt;='Tournament Setup'!$D$42,_xlfn.RANK.EQ(CI35,$CI$2:$CI$111),""),"")</f>
        <v/>
      </c>
      <c r="CK35" s="30" t="str">
        <f>IF($H35='Tournament Setup'!$A$43,$I35,"")</f>
        <v/>
      </c>
      <c r="CL35" s="47" t="str">
        <f>IF(ISNUMBER(CK35),IF(COUNTIFS(CL$1:CL34,_xlfn.RANK.EQ(CK35,CK$2:CK$111,0))&gt;0,_xlfn.MAXIFS(CL$1:CL34,CK$1:CK34,CK35)+1,_xlfn.RANK.EQ(CK35,CK$2:CK$111,0)),"")</f>
        <v/>
      </c>
      <c r="CM35" s="1" t="str">
        <f>IF(ISNUMBER(CK35)=TRUE,IF(_xlfn.RANK.EQ(CK35,$CK$2:$CK$111)&lt;='Tournament Setup'!$B$43,_xlfn.RANK.EQ(CK35,$CK$2:$CK$111),""),"")</f>
        <v/>
      </c>
      <c r="CN35" s="31" t="str">
        <f>IF(AND($H35='Tournament Setup'!$A$43,$E35="M",$CM35&gt;'Tournament Setup'!$B$43),$I35,"")</f>
        <v/>
      </c>
      <c r="CO35" s="1" t="str">
        <f>IF(ISNUMBER(CN35)=TRUE,IF(_xlfn.RANK.EQ(CN35,$CN$2:$CN$111)&lt;='Tournament Setup'!$C$43,_xlfn.RANK.EQ(CN35,$CN$2:$CN$111),""),"")</f>
        <v/>
      </c>
      <c r="CP35" s="31" t="str">
        <f>IF(AND($H35='Tournament Setup'!$A$43,$E35="F",$CM35&gt;'Tournament Setup'!$B$43),$I35,"")</f>
        <v/>
      </c>
      <c r="CQ35" s="12" t="str">
        <f>IF(ISNUMBER(CP35)=TRUE,IF(_xlfn.RANK.EQ(CP35,$CP$2:$CP$111)&lt;='Tournament Setup'!$D$43,_xlfn.RANK.EQ(CP35,$CP$2:$CP$111),""),"")</f>
        <v/>
      </c>
      <c r="CR35" s="30" t="str">
        <f>IF($H35='Tournament Setup'!$A$44,$I35,"")</f>
        <v/>
      </c>
      <c r="CS35" s="47" t="str">
        <f>IF(ISNUMBER(CR35),IF(COUNTIFS(CS$1:CS34,_xlfn.RANK.EQ(CR35,CR$2:CR$111,0))&gt;0,_xlfn.MAXIFS(CS$1:CS34,CR$1:CR34,CR35)+1,_xlfn.RANK.EQ(CR35,CR$2:CR$111,0)),"")</f>
        <v/>
      </c>
      <c r="CT35" s="1" t="str">
        <f>IF(ISNUMBER(CR35)=TRUE,IF(_xlfn.RANK.EQ(CR35,$CR$2:$CR$111)&lt;='Tournament Setup'!$B$44,_xlfn.RANK.EQ(CR35,$CR$2:$CR$111),""),"")</f>
        <v/>
      </c>
      <c r="CU35" s="31" t="str">
        <f>IF(AND($H35='Tournament Setup'!$A$44,$E35="M",$CT35&gt;'Tournament Setup'!$B$44),$I35,"")</f>
        <v/>
      </c>
      <c r="CV35" s="1" t="str">
        <f>IF(ISNUMBER(CU35)=TRUE,IF(_xlfn.RANK.EQ(CU35,$CU$2:$CU$111)&lt;='Tournament Setup'!$C$44,_xlfn.RANK.EQ(CU35,$CU$2:$CU$111),""),"")</f>
        <v/>
      </c>
      <c r="CW35" s="31" t="str">
        <f>IF(AND($H35='Tournament Setup'!$A$44,$E35="F",$CT35&gt;'Tournament Setup'!$B$44),$I35,"")</f>
        <v/>
      </c>
      <c r="CX35" s="12" t="str">
        <f>IF(ISNUMBER(CW35)=TRUE,IF(_xlfn.RANK.EQ(CW35,$CW$2:$CW$111)&lt;='Tournament Setup'!$D$44,_xlfn.RANK.EQ(CW35,$CW$2:$CW$111),""),"")</f>
        <v/>
      </c>
    </row>
    <row r="36" spans="1:102" x14ac:dyDescent="0.3">
      <c r="A36" t="s">
        <v>191</v>
      </c>
      <c r="B36" t="str">
        <f>IFERROR(INDEX('Tournament List'!$B:$B,MATCH($A36,'Tournament List'!$A:$A,0)),"")</f>
        <v>Patricia</v>
      </c>
      <c r="C36" t="str">
        <f>IFERROR(INDEX('Tournament List'!$C:$C,MATCH($A36,'Tournament List'!$A:$A,0)),"")</f>
        <v>Last Name35</v>
      </c>
      <c r="D36" t="str">
        <f t="shared" si="1"/>
        <v>Patricia Last Name35</v>
      </c>
      <c r="E36" s="1" t="str">
        <f>IFERROR(INDEX('Tournament List'!F:F,MATCH($A36,'Tournament List'!$A:$A,0)),"")</f>
        <v>F</v>
      </c>
      <c r="F36" t="str">
        <f>IFERROR(INDEX('Tournament List'!M:M,MATCH($A36,'Tournament List'!$A:$A,0)),"")</f>
        <v>Novice</v>
      </c>
      <c r="G36" t="str">
        <f>IFERROR(INDEX('Shooter-Squad Assignment'!L:L,MATCH(A36,'Shooter-Squad Assignment'!A:A,0)),"")</f>
        <v>Novice</v>
      </c>
      <c r="H36" s="1" t="str">
        <f>IFERROR(INDEX('Tournament List'!AD:AD,MATCH($A36,'Tournament List'!$A:$A,0)),"")</f>
        <v>A</v>
      </c>
      <c r="I36" s="123">
        <f>IFERROR(INDEX('Tournament List'!AG:AG,MATCH($A36,'Tournament List'!$A:$A,0)),"")</f>
        <v>95</v>
      </c>
      <c r="J36" s="145" t="str">
        <f>IFERROR(INDEX('Tournament List'!Y:Y,MATCH($A36,'Tournament List'!$A:$A,0)),"")</f>
        <v/>
      </c>
      <c r="K36" s="47">
        <f>IFERROR(INDEX('Tournament List'!S:S,MATCH(A36,'Tournament List'!A:A,0)),"")</f>
        <v>10</v>
      </c>
      <c r="L36" s="47" t="str">
        <f>IF(ISNUMBER(J36),IF(COUNTIFS(L$1:L35,_xlfn.RANK.EQ(J36,J$2:J$111,0))&gt;0,_xlfn.MAXIFS(L$1:L35,J$1:J35,J36)+1,_xlfn.RANK.EQ(J36,J$2:J$111,0)),"")</f>
        <v/>
      </c>
      <c r="M36" s="11">
        <f>IF(ISNUMBER(I36)=TRUE,IF(I36&gt;0,_xlfn.RANK.EQ(I36,$I$2:$I$111,0),""),"")</f>
        <v>4</v>
      </c>
      <c r="N36" s="56">
        <f>IF(ISNUMBER(I36),IF(COUNTIFS(N$1:N35,_xlfn.RANK.EQ(I36,I$2:I$111,0))&gt;0,_xlfn.MAXIFS(N$1:N35,I$1:I35,I36)+1,_xlfn.RANK.EQ(I36,I$2:I$111,0)),"")</f>
        <v>4</v>
      </c>
      <c r="O36" s="144">
        <f>IF(F36&lt;&gt;"Collegiate"=TRUE,$I36,"")</f>
        <v>95</v>
      </c>
      <c r="P36" s="47">
        <f>IF(ISNUMBER(O36),IF(COUNTIFS(P$1:P35,_xlfn.RANK.EQ(O36,O$2:O$111,0))&gt;0,_xlfn.MAXIFS(P$1:P35,O$1:O35,O36)+1,_xlfn.RANK.EQ(O36,O$2:O$111,0)),"")</f>
        <v>4</v>
      </c>
      <c r="Q36" s="1" t="str">
        <f>IF(ISNUMBER(O36)=TRUE,IF(_xlfn.RANK.EQ(O36,$O$2:$O$111)&lt;='Tournament Setup'!$B$26,_xlfn.RANK.EQ(O36,$O$2:$O$111),""),"")</f>
        <v/>
      </c>
      <c r="R36" s="143" t="str">
        <f>IF(AND($E36="M",SUM($Q36)=0,F36&lt;&gt;"Collegiate")=TRUE,$I36,"")</f>
        <v/>
      </c>
      <c r="S36" s="1" t="str">
        <f>IF(ISNUMBER(R36)=TRUE,IF(_xlfn.RANK.EQ(R36,$R$2:$R$111)&lt;='Tournament Setup'!$B$27,_xlfn.RANK.EQ(R36,$R$2:$R$111),""),"")</f>
        <v/>
      </c>
      <c r="T36" s="143">
        <f>IF(AND($E36="F",SUM($Q36)=0,F36&lt;&gt;"Collegiate")=TRUE,$I36,"")</f>
        <v>95</v>
      </c>
      <c r="U36" s="12">
        <f>IF(ISNUMBER(T36)=TRUE,IF(_xlfn.RANK.EQ(T36,$T$2:$T$111)&lt;='Tournament Setup'!$B$28,_xlfn.RANK.EQ(T36,$T$2:$T$111),""),"")</f>
        <v>1</v>
      </c>
      <c r="V36" s="145" t="str">
        <f>IF(AND($G36='Tournament Setup'!$A$53,$J36&lt;&gt;0),$J36,"")</f>
        <v/>
      </c>
      <c r="W36" s="47" t="str">
        <f>IF(ISNUMBER(V36),IF(COUNTIFS(W$1:W35,_xlfn.RANK.EQ(V36,V$2:V$111,0))&gt;0,_xlfn.MAXIFS(W$1:W35,V$1:V35,V36)+1,_xlfn.RANK.EQ(V36,V$2:V$111,0)),"")</f>
        <v/>
      </c>
      <c r="X36" s="1" t="str">
        <f>IF(ISNUMBER(V36)=TRUE,IF(_xlfn.RANK.EQ(V36,$V$2:$V$111)&lt;='Tournament Setup'!$B$53,_xlfn.RANK.EQ(V36,$V$2:$V$111),""),"")</f>
        <v/>
      </c>
      <c r="Y36" s="145" t="str">
        <f>IF(AND($G36='Tournament Setup'!$A$49,$J36&lt;&gt;0),$J36,"")</f>
        <v/>
      </c>
      <c r="Z36" s="47" t="str">
        <f>IF(ISNUMBER(Y36),IF(COUNTIFS(Z$1:Z35,_xlfn.RANK.EQ(Y36,Y$2:Y$111,0))&gt;0,_xlfn.MAXIFS(Z$1:Z35,Y$1:Y35,Y36)+1,_xlfn.RANK.EQ(Y36,Y$2:Y$111,0)),"")</f>
        <v/>
      </c>
      <c r="AA36" s="1" t="str">
        <f>IF(ISNUMBER(Y36)=TRUE,IF(_xlfn.RANK.EQ(Y36,$Y$2:$Y$111)&lt;='Tournament Setup'!$B$49,_xlfn.RANK.EQ(Y36,$Y$2:$Y$111),""),"")</f>
        <v/>
      </c>
      <c r="AB36" s="30" t="str">
        <f>IF(AND($F36='Tournament Setup'!$A$32,SUM($Q36,$S36,$U36)=0),$I36,"")</f>
        <v/>
      </c>
      <c r="AC36" s="47" t="str">
        <f>IF(ISNUMBER(AB36),IF(COUNTIFS(AC$1:AC35,_xlfn.RANK.EQ(AB36,AB$2:AB$111,0))&gt;0,_xlfn.MAXIFS(AC$1:AC35,AB$1:AB35,AB36)+1,_xlfn.RANK.EQ(AB36,AB$2:AB$111,0)),"")</f>
        <v/>
      </c>
      <c r="AD36" s="1" t="str">
        <f>IF(ISNUMBER(AB36)=TRUE,IF(_xlfn.RANK.EQ(AB36,$AB$2:$AB$111)&lt;='Tournament Setup'!$B$32,_xlfn.RANK.EQ(AB36,$AB$2:$AB$111),""),"")</f>
        <v/>
      </c>
      <c r="AE36" s="31" t="str">
        <f>IF(AND($F36='Tournament Setup'!$A$32,SUM($Q36,$S36)=0,$E36="M",$AD36&gt;'Tournament Setup'!$B$32),$I36,"")</f>
        <v/>
      </c>
      <c r="AF36" s="1" t="str">
        <f>IF(ISNUMBER(AE36)=TRUE,IF(_xlfn.RANK.EQ(AE36,$AE$2:$AE$111)&lt;='Tournament Setup'!$C$32,_xlfn.RANK.EQ(AE36,$AE$2:$AE$111),""),"")</f>
        <v/>
      </c>
      <c r="AG36" s="31" t="str">
        <f>IF(AND($F36='Tournament Setup'!$A$32,SUM($Q36,$U36)=0,$E36="F",$AD36&gt;'Tournament Setup'!$B$32),$I36,"")</f>
        <v/>
      </c>
      <c r="AH36" s="12" t="str">
        <f>IF(ISNUMBER(AG36)=TRUE,IF(_xlfn.RANK.EQ(AG36,$AG$2:$AG$111)&lt;='Tournament Setup'!$D$32,_xlfn.RANK.EQ(AG36,$AG$2:$AG$111),""),"")</f>
        <v/>
      </c>
      <c r="AI36" s="30" t="str">
        <f>IF(AND($G36='Tournament Setup'!$A$50,$J36&lt;&gt;0),$J36,"")</f>
        <v/>
      </c>
      <c r="AJ36" s="47" t="str">
        <f>IF(ISNUMBER(AI36),IF(COUNTIFS(AJ$1:AJ35,_xlfn.RANK.EQ(AI36,AI$2:AI$111,0))&gt;0,_xlfn.MAXIFS(AJ$1:AJ35,AI$1:AI35,AI36)+1,_xlfn.RANK.EQ(AI36,AI$2:AI$111,0)),"")</f>
        <v/>
      </c>
      <c r="AK36" s="1" t="str">
        <f>IF(ISNUMBER(AI36)=TRUE,IF(_xlfn.RANK.EQ(AI36,$AI$2:$AI$111)&lt;='Tournament Setup'!$B$49,_xlfn.RANK.EQ(AI36,$AI$2:$AI$111),""),"")</f>
        <v/>
      </c>
      <c r="AL36" s="30" t="str">
        <f>IF(AND($F36='Tournament Setup'!$A$33,SUM($Q36,$S36,$U36)=0),$I36,"")</f>
        <v/>
      </c>
      <c r="AM36" s="47" t="str">
        <f>IF(ISNUMBER(AL36),IF(COUNTIFS(AM$1:AM35,_xlfn.RANK.EQ(AL36,AL$2:AL$111,0))&gt;0,_xlfn.MAXIFS(AM$1:AM35,AL$1:AL35,AL36)+1,_xlfn.RANK.EQ(AL36,AL$2:AL$111,0)),"")</f>
        <v/>
      </c>
      <c r="AN36" s="1" t="str">
        <f>IF(ISNUMBER(AL36)=TRUE,IF(_xlfn.RANK.EQ(AL36,$AL$2:$AL$111)&lt;='Tournament Setup'!$B$33,_xlfn.RANK.EQ(AL36,$AL$2:$AL$111),""),"")</f>
        <v/>
      </c>
      <c r="AO36" s="31" t="str">
        <f>IF(AND($F36='Tournament Setup'!$A$33,SUM($Q36,$S36)=0,$E36="M",$AN36&gt;'Tournament Setup'!$B$33),$I36,"")</f>
        <v/>
      </c>
      <c r="AP36" s="1" t="str">
        <f>IF(ISNUMBER(AO36)=TRUE,IF(_xlfn.RANK.EQ(AO36,$AO$2:$AO$111)&lt;='Tournament Setup'!$C$33,_xlfn.RANK.EQ(AO36,$AO$2:$AO$111),""),"")</f>
        <v/>
      </c>
      <c r="AQ36" s="31" t="str">
        <f>IF(AND($F36='Tournament Setup'!$A$33,SUM($Q36,$U36)=0,$E36="F",$AN36&gt;'Tournament Setup'!$B$33),$I36,"")</f>
        <v/>
      </c>
      <c r="AR36" s="12" t="str">
        <f>IF(ISNUMBER(AQ36)=TRUE,IF(_xlfn.RANK.EQ(AQ36,$AQ$2:$AQ$111)&lt;='Tournament Setup'!$D$33,_xlfn.RANK.EQ(AQ36,$AQ$2:$AQ$111),""),"")</f>
        <v/>
      </c>
      <c r="AS36" s="30" t="str">
        <f>IF(AND($G36='Tournament Setup'!$A$51,$J36&lt;&gt;0),$J36,"")</f>
        <v/>
      </c>
      <c r="AT36" s="47" t="str">
        <f>IF(ISNUMBER(AS36),IF(COUNTIFS(AT$1:AT35,_xlfn.RANK.EQ(AS36,AS$2:AS$111,0))&gt;0,_xlfn.MAXIFS(AT$1:AT35,AS$1:AS35,AS36)+1,_xlfn.RANK.EQ(AS36,AS$2:AS$111,0)),"")</f>
        <v/>
      </c>
      <c r="AU36" s="1" t="str">
        <f>IF(ISNUMBER(AS36)=TRUE,IF(_xlfn.RANK.EQ(AS36,$AS$2:$AS$111)&lt;='Tournament Setup'!$B$49,_xlfn.RANK.EQ(AS36,$AS$2:$AS$111),""),"")</f>
        <v/>
      </c>
      <c r="AV36" s="30" t="str">
        <f>IF(AND($F36='Tournament Setup'!$A$34,SUM($Q36,$S36,$U36)=0),$I36,"")</f>
        <v/>
      </c>
      <c r="AW36" s="47" t="str">
        <f>IF(ISNUMBER(AV36),IF(COUNTIFS(AW$1:AW35,_xlfn.RANK.EQ(AV36,AV$2:AV$111,0))&gt;0,_xlfn.MAXIFS(AW$1:AW35,AV$1:AV35,AV36)+1,_xlfn.RANK.EQ(AV36,AV$2:AV$111,0)),"")</f>
        <v/>
      </c>
      <c r="AX36" s="1" t="str">
        <f>IF(ISNUMBER(AV36)=TRUE,IF(_xlfn.RANK.EQ(AV36,$AV$2:$AV$111)&lt;='Tournament Setup'!$B$34,_xlfn.RANK.EQ(AV36,$AV$2:$AV$111),""),"")</f>
        <v/>
      </c>
      <c r="AY36" s="31" t="str">
        <f>IF(AND($F36='Tournament Setup'!$A$34,SUM($Q36,$S36)=0,$E36="M",$AX36&gt;'Tournament Setup'!$B$34),$I36,"")</f>
        <v/>
      </c>
      <c r="AZ36" s="1" t="str">
        <f>IF(ISNUMBER(AY36)=TRUE,IF(_xlfn.RANK.EQ(AY36,$AY$2:$AY$111)&lt;='Tournament Setup'!$C$34,_xlfn.RANK.EQ(AY36,$AY$2:$AY$111),""),"")</f>
        <v/>
      </c>
      <c r="BA36" s="31" t="str">
        <f>IF(AND($F36='Tournament Setup'!$A$34,SUM($Q36,$U36)=0,$E36="F",$AX36&gt;'Tournament Setup'!$B$34),$I36,"")</f>
        <v/>
      </c>
      <c r="BB36" s="12" t="str">
        <f>IF(ISNUMBER(BA36)=TRUE,IF(_xlfn.RANK.EQ(BA36,$BA$2:$BA$111)&lt;='Tournament Setup'!$D$34,_xlfn.RANK.EQ(BA36,$BA$2:$BA$111),""),"")</f>
        <v/>
      </c>
      <c r="BC36" s="30" t="str">
        <f>IF(AND($G36='Tournament Setup'!$A$52,$J36&lt;&gt;0),$J36,"")</f>
        <v/>
      </c>
      <c r="BD36" s="47" t="str">
        <f>IF(ISNUMBER(BC36),IF(COUNTIFS(BD$1:BD35,_xlfn.RANK.EQ(BC36,BC$2:BC$111,0))&gt;0,_xlfn.MAXIFS(BD$1:BD35,BC$1:BC35,BC36)+1,_xlfn.RANK.EQ(BC36,BC$2:BC$111,0)),"")</f>
        <v/>
      </c>
      <c r="BE36" s="1" t="str">
        <f>IF(ISNUMBER(BC36)=TRUE,IF(_xlfn.RANK.EQ(BC36,$BC$2:$BC$111)&lt;='Tournament Setup'!$B$49,_xlfn.RANK.EQ(BC36,$BC$2:$BC$111),""),"")</f>
        <v/>
      </c>
      <c r="BF36" s="30" t="str">
        <f>IF(AND($F36='Tournament Setup'!$A$35,SUM($Q36,$S36,$U36)=0),$I36,"")</f>
        <v/>
      </c>
      <c r="BG36" s="47" t="str">
        <f>IF(ISNUMBER(BF36),IF(COUNTIFS(BG$1:BG35,_xlfn.RANK.EQ(BF36,BF$2:BF$111,0))&gt;0,_xlfn.MAXIFS(BG$1:BG35,BF$1:BF35,BF36)+1,_xlfn.RANK.EQ(BF36,BF$2:BF$111,0)),"")</f>
        <v/>
      </c>
      <c r="BH36" s="1" t="str">
        <f>IF(ISNUMBER(BF36)=TRUE,IF(_xlfn.RANK.EQ(BF36,$BF$2:$BF$111)&lt;='Tournament Setup'!$B$35,_xlfn.RANK.EQ(BF36,$BF$2:$BF$111),""),"")</f>
        <v/>
      </c>
      <c r="BI36" s="31" t="str">
        <f>IF(AND($F36='Tournament Setup'!$A$35,SUM($Q36,$S36)=0,$E36="M",$BH36&gt;'Tournament Setup'!$B$35),$I36,"")</f>
        <v/>
      </c>
      <c r="BJ36" s="1" t="str">
        <f>IF(ISNUMBER(BI36)=TRUE,IF(_xlfn.RANK.EQ(BI36,$BI$2:$BI$111)&lt;='Tournament Setup'!$C$35,_xlfn.RANK.EQ(BI36,$BI$2:$BI$111),""),"")</f>
        <v/>
      </c>
      <c r="BK36" s="31" t="str">
        <f>IF(AND($F36='Tournament Setup'!$A$35,SUM($Q36,$U36)=0,$E36="F",$BH36&gt;'Tournament Setup'!$B$35),$I36,"")</f>
        <v/>
      </c>
      <c r="BL36" s="12" t="str">
        <f>IF(ISNUMBER(BK36)=TRUE,IF(_xlfn.RANK.EQ(BK36,$BK$2:$BK$111)&lt;='Tournament Setup'!$D$35,_xlfn.RANK.EQ(BK36,$BK$2:$BK$111),""),"")</f>
        <v/>
      </c>
      <c r="BM36" s="30" t="str">
        <f>IF(AND($G36='Tournament Setup'!$A$54,$J36&lt;&gt;0),$J36,"")</f>
        <v/>
      </c>
      <c r="BN36" s="47" t="str">
        <f>IF(ISNUMBER(BM36),IF(COUNTIFS(BN$1:BN35,_xlfn.RANK.EQ(BM36,BM$2:BM$111,0))&gt;0,_xlfn.MAXIFS(BN$1:BN35,BM$1:BM35,BM36)+1,_xlfn.RANK.EQ(BM36,BM$2:BM$111,0)),"")</f>
        <v/>
      </c>
      <c r="BO36" s="1" t="str">
        <f>IF(ISNUMBER(BM36)=TRUE,IF(_xlfn.RANK.EQ(BM36,$BM$2:$BM$111)&lt;='Tournament Setup'!$B$49,_xlfn.RANK.EQ(BM36,$BM$2:$BM$111),""),"")</f>
        <v/>
      </c>
      <c r="BP36" s="30" t="str">
        <f>IF(AND($F36='Tournament Setup'!$A$36,SUM($Q36,$S36,$U36)=0),$I36,"")</f>
        <v/>
      </c>
      <c r="BQ36" s="47" t="str">
        <f>IF(ISNUMBER(BP36),IF(COUNTIFS(BQ$1:BQ35,_xlfn.RANK.EQ(BP36,BP$2:BP$111,0))&gt;0,_xlfn.MAXIFS(BQ$1:BQ35,BP$1:BP35,BP36)+1,_xlfn.RANK.EQ(BP36,BP$2:BP$111,0)),"")</f>
        <v/>
      </c>
      <c r="BR36" s="1" t="str">
        <f>IF(ISNUMBER(BP36)=TRUE,IF(_xlfn.RANK.EQ(BP36,$BP$2:$BP$111)&lt;='Tournament Setup'!$B$36,_xlfn.RANK.EQ(BP36,$BP$2:$BP$111),""),"")</f>
        <v/>
      </c>
      <c r="BS36" s="31" t="str">
        <f>IF(AND($F36='Tournament Setup'!$A$36,SUM($Q36,$S36)=0,$E36="M",$BR36&gt;'Tournament Setup'!$B$36),$I36,"")</f>
        <v/>
      </c>
      <c r="BT36" s="1" t="str">
        <f>IF(ISNUMBER(BS36)=TRUE,IF(_xlfn.RANK.EQ(BS36,$BS$2:$BS$111)&lt;='Tournament Setup'!$C$36,_xlfn.RANK.EQ(BS36,$BS$2:$BS$111),""),"")</f>
        <v/>
      </c>
      <c r="BU36" s="31" t="str">
        <f>IF(AND($F36='Tournament Setup'!$A$36,SUM($Q36,$U36)=0,$E36="F",$BR36&gt;'Tournament Setup'!$B$36),$I36,"")</f>
        <v/>
      </c>
      <c r="BV36" s="12" t="str">
        <f>IF(ISNUMBER(BU36)=TRUE,IF(_xlfn.RANK.EQ(BU36,$BU$2:$BU$111)&lt;='Tournament Setup'!$D$36,_xlfn.RANK.EQ(BU36,$BU$2:$BU$111),""),"")</f>
        <v/>
      </c>
      <c r="BW36" s="30">
        <f>IF($H36='Tournament Setup'!$A$41,$I36,"")</f>
        <v>95</v>
      </c>
      <c r="BX36" s="47">
        <f>IF(ISNUMBER(BW36),IF(COUNTIFS(BX$1:BX35,_xlfn.RANK.EQ(BW36,BW$2:BW$111,0))&gt;0,_xlfn.MAXIFS(BX$1:BX35,BW$1:BW35,BW36)+1,_xlfn.RANK.EQ(BW36,BW$2:BW$111,0)),"")</f>
        <v>1</v>
      </c>
      <c r="BY36" s="1">
        <f>IF(ISNUMBER(BW36)=TRUE,IF(_xlfn.RANK.EQ(BW36,$BW$2:$BW$111)&lt;='Tournament Setup'!$B$41,_xlfn.RANK.EQ(BW36,$BW$2:$BW$111),""),"")</f>
        <v>1</v>
      </c>
      <c r="BZ36" s="31" t="str">
        <f>IF(AND($H36='Tournament Setup'!$A$41,$E36="M",$BY36&gt;'Tournament Setup'!$B$41),$I36,"")</f>
        <v/>
      </c>
      <c r="CA36" s="1" t="str">
        <f>IF(ISNUMBER(BZ36)=TRUE,IF(_xlfn.RANK.EQ(BZ36,$BZ$2:$BZ$111)&lt;='Tournament Setup'!$C$41,_xlfn.RANK.EQ(BZ36,$BZ$2:$BZ$111),""),"")</f>
        <v/>
      </c>
      <c r="CB36" s="31" t="str">
        <f>IF(AND($H36='Tournament Setup'!$A$41,$E36="F",$BY36&gt;'Tournament Setup'!$B$41),$I36,"")</f>
        <v/>
      </c>
      <c r="CC36" s="12" t="str">
        <f>IF(ISNUMBER(CB36)=TRUE,IF(_xlfn.RANK.EQ(CB36,$CB$2:$CB$111)&lt;='Tournament Setup'!$D$41,_xlfn.RANK.EQ(CB36,$CB$2:$CB$111),""),"")</f>
        <v/>
      </c>
      <c r="CD36" s="30" t="str">
        <f>IF($H36='Tournament Setup'!$A$42,$I36,"")</f>
        <v/>
      </c>
      <c r="CE36" s="47" t="str">
        <f>IF(ISNUMBER(CD36),IF(COUNTIFS(CE$1:CE35,_xlfn.RANK.EQ(CD36,CD$2:CD$111,0))&gt;0,_xlfn.MAXIFS(CE$1:CE35,CD$1:CD35,CD36)+1,_xlfn.RANK.EQ(CD36,CD$2:CD$111,0)),"")</f>
        <v/>
      </c>
      <c r="CF36" s="1" t="str">
        <f>IF(ISNUMBER(CD36)=TRUE,IF(_xlfn.RANK.EQ(CD36,$CD$2:$CD$111)&lt;='Tournament Setup'!$B$42,_xlfn.RANK.EQ(CD36,$CD$2:$CD$111),""),"")</f>
        <v/>
      </c>
      <c r="CG36" s="31" t="str">
        <f>IF(AND($H36='Tournament Setup'!$A$42,$E36="M",$CF36&gt;'Tournament Setup'!$B$42),$I36,"")</f>
        <v/>
      </c>
      <c r="CH36" s="1" t="str">
        <f>IF(ISNUMBER(CG36)=TRUE,IF(_xlfn.RANK.EQ(CG36,$CG$2:$CG$111)&lt;='Tournament Setup'!$C$42,_xlfn.RANK.EQ(CG36,$CG$2:$CG$111),""),"")</f>
        <v/>
      </c>
      <c r="CI36" s="31" t="str">
        <f>IF(AND($H36='Tournament Setup'!$A$42,$E36="F",$CF36&gt;'Tournament Setup'!$B$42),$I36,"")</f>
        <v/>
      </c>
      <c r="CJ36" s="12" t="str">
        <f>IF(ISNUMBER(CI36)=TRUE,IF(_xlfn.RANK.EQ(CI36,$CI$2:$CI$111)&lt;='Tournament Setup'!$D$42,_xlfn.RANK.EQ(CI36,$CI$2:$CI$111),""),"")</f>
        <v/>
      </c>
      <c r="CK36" s="30" t="str">
        <f>IF($H36='Tournament Setup'!$A$43,$I36,"")</f>
        <v/>
      </c>
      <c r="CL36" s="47" t="str">
        <f>IF(ISNUMBER(CK36),IF(COUNTIFS(CL$1:CL35,_xlfn.RANK.EQ(CK36,CK$2:CK$111,0))&gt;0,_xlfn.MAXIFS(CL$1:CL35,CK$1:CK35,CK36)+1,_xlfn.RANK.EQ(CK36,CK$2:CK$111,0)),"")</f>
        <v/>
      </c>
      <c r="CM36" s="1" t="str">
        <f>IF(ISNUMBER(CK36)=TRUE,IF(_xlfn.RANK.EQ(CK36,$CK$2:$CK$111)&lt;='Tournament Setup'!$B$43,_xlfn.RANK.EQ(CK36,$CK$2:$CK$111),""),"")</f>
        <v/>
      </c>
      <c r="CN36" s="31" t="str">
        <f>IF(AND($H36='Tournament Setup'!$A$43,$E36="M",$CM36&gt;'Tournament Setup'!$B$43),$I36,"")</f>
        <v/>
      </c>
      <c r="CO36" s="1" t="str">
        <f>IF(ISNUMBER(CN36)=TRUE,IF(_xlfn.RANK.EQ(CN36,$CN$2:$CN$111)&lt;='Tournament Setup'!$C$43,_xlfn.RANK.EQ(CN36,$CN$2:$CN$111),""),"")</f>
        <v/>
      </c>
      <c r="CP36" s="31" t="str">
        <f>IF(AND($H36='Tournament Setup'!$A$43,$E36="F",$CM36&gt;'Tournament Setup'!$B$43),$I36,"")</f>
        <v/>
      </c>
      <c r="CQ36" s="12" t="str">
        <f>IF(ISNUMBER(CP36)=TRUE,IF(_xlfn.RANK.EQ(CP36,$CP$2:$CP$111)&lt;='Tournament Setup'!$D$43,_xlfn.RANK.EQ(CP36,$CP$2:$CP$111),""),"")</f>
        <v/>
      </c>
      <c r="CR36" s="30" t="str">
        <f>IF($H36='Tournament Setup'!$A$44,$I36,"")</f>
        <v/>
      </c>
      <c r="CS36" s="47" t="str">
        <f>IF(ISNUMBER(CR36),IF(COUNTIFS(CS$1:CS35,_xlfn.RANK.EQ(CR36,CR$2:CR$111,0))&gt;0,_xlfn.MAXIFS(CS$1:CS35,CR$1:CR35,CR36)+1,_xlfn.RANK.EQ(CR36,CR$2:CR$111,0)),"")</f>
        <v/>
      </c>
      <c r="CT36" s="1" t="str">
        <f>IF(ISNUMBER(CR36)=TRUE,IF(_xlfn.RANK.EQ(CR36,$CR$2:$CR$111)&lt;='Tournament Setup'!$B$44,_xlfn.RANK.EQ(CR36,$CR$2:$CR$111),""),"")</f>
        <v/>
      </c>
      <c r="CU36" s="31" t="str">
        <f>IF(AND($H36='Tournament Setup'!$A$44,$E36="M",$CT36&gt;'Tournament Setup'!$B$44),$I36,"")</f>
        <v/>
      </c>
      <c r="CV36" s="1" t="str">
        <f>IF(ISNUMBER(CU36)=TRUE,IF(_xlfn.RANK.EQ(CU36,$CU$2:$CU$111)&lt;='Tournament Setup'!$C$44,_xlfn.RANK.EQ(CU36,$CU$2:$CU$111),""),"")</f>
        <v/>
      </c>
      <c r="CW36" s="31" t="str">
        <f>IF(AND($H36='Tournament Setup'!$A$44,$E36="F",$CT36&gt;'Tournament Setup'!$B$44),$I36,"")</f>
        <v/>
      </c>
      <c r="CX36" s="12" t="str">
        <f>IF(ISNUMBER(CW36)=TRUE,IF(_xlfn.RANK.EQ(CW36,$CW$2:$CW$111)&lt;='Tournament Setup'!$D$44,_xlfn.RANK.EQ(CW36,$CW$2:$CW$111),""),"")</f>
        <v/>
      </c>
    </row>
    <row r="37" spans="1:102" x14ac:dyDescent="0.3">
      <c r="A37" t="s">
        <v>192</v>
      </c>
      <c r="B37" t="str">
        <f>IFERROR(INDEX('Tournament List'!$B:$B,MATCH($A37,'Tournament List'!$A:$A,0)),"")</f>
        <v>Randy</v>
      </c>
      <c r="C37" t="str">
        <f>IFERROR(INDEX('Tournament List'!$C:$C,MATCH($A37,'Tournament List'!$A:$A,0)),"")</f>
        <v>Last Name36</v>
      </c>
      <c r="D37" t="str">
        <f t="shared" si="1"/>
        <v>Randy Last Name36</v>
      </c>
      <c r="E37" s="1" t="str">
        <f>IFERROR(INDEX('Tournament List'!F:F,MATCH($A37,'Tournament List'!$A:$A,0)),"")</f>
        <v>M</v>
      </c>
      <c r="F37" t="str">
        <f>IFERROR(INDEX('Tournament List'!M:M,MATCH($A37,'Tournament List'!$A:$A,0)),"")</f>
        <v>Novice</v>
      </c>
      <c r="G37" t="str">
        <f>IFERROR(INDEX('Shooter-Squad Assignment'!L:L,MATCH(A37,'Shooter-Squad Assignment'!A:A,0)),"")</f>
        <v>Novice</v>
      </c>
      <c r="H37" s="1" t="str">
        <f>IFERROR(INDEX('Tournament List'!AD:AD,MATCH($A37,'Tournament List'!$A:$A,0)),"")</f>
        <v>C</v>
      </c>
      <c r="I37" s="123">
        <f>IFERROR(INDEX('Tournament List'!AG:AG,MATCH($A37,'Tournament List'!$A:$A,0)),"")</f>
        <v>63.1</v>
      </c>
      <c r="J37" s="145">
        <f>IFERROR(INDEX('Tournament List'!Y:Y,MATCH($A37,'Tournament List'!$A:$A,0)),"")</f>
        <v>174</v>
      </c>
      <c r="K37" s="47">
        <f>IFERROR(INDEX('Tournament List'!S:S,MATCH(A37,'Tournament List'!A:A,0)),"")</f>
        <v>181</v>
      </c>
      <c r="L37" s="47">
        <f>IF(ISNUMBER(J37),IF(COUNTIFS(L$1:L36,_xlfn.RANK.EQ(J37,J$2:J$111,0))&gt;0,_xlfn.MAXIFS(L$1:L36,J$1:J36,J37)+1,_xlfn.RANK.EQ(J37,J$2:J$111,0)),"")</f>
        <v>11</v>
      </c>
      <c r="M37" s="11">
        <f>IF(ISNUMBER(I37)=TRUE,IF(I37&gt;0,_xlfn.RANK.EQ(I37,$I$2:$I$111,0),""),"")</f>
        <v>31</v>
      </c>
      <c r="N37" s="56">
        <f>IF(ISNUMBER(I37),IF(COUNTIFS(N$1:N36,_xlfn.RANK.EQ(I37,I$2:I$111,0))&gt;0,_xlfn.MAXIFS(N$1:N36,I$1:I36,I37)+1,_xlfn.RANK.EQ(I37,I$2:I$111,0)),"")</f>
        <v>31</v>
      </c>
      <c r="O37" s="144">
        <f>IF(F37&lt;&gt;"Collegiate"=TRUE,$I37,"")</f>
        <v>63.1</v>
      </c>
      <c r="P37" s="47">
        <f>IF(ISNUMBER(O37),IF(COUNTIFS(P$1:P36,_xlfn.RANK.EQ(O37,O$2:O$111,0))&gt;0,_xlfn.MAXIFS(P$1:P36,O$1:O36,O37)+1,_xlfn.RANK.EQ(O37,O$2:O$111,0)),"")</f>
        <v>29</v>
      </c>
      <c r="Q37" s="1" t="str">
        <f>IF(ISNUMBER(O37)=TRUE,IF(_xlfn.RANK.EQ(O37,$O$2:$O$111)&lt;='Tournament Setup'!$B$26,_xlfn.RANK.EQ(O37,$O$2:$O$111),""),"")</f>
        <v/>
      </c>
      <c r="R37" s="143">
        <f>IF(AND($E37="M",SUM($Q37)=0,F37&lt;&gt;"Collegiate")=TRUE,$I37,"")</f>
        <v>63.1</v>
      </c>
      <c r="S37" s="1" t="str">
        <f>IF(ISNUMBER(R37)=TRUE,IF(_xlfn.RANK.EQ(R37,$R$2:$R$111)&lt;='Tournament Setup'!$B$27,_xlfn.RANK.EQ(R37,$R$2:$R$111),""),"")</f>
        <v/>
      </c>
      <c r="T37" s="143" t="str">
        <f>IF(AND($E37="F",SUM($Q37)=0,F37&lt;&gt;"Collegiate")=TRUE,$I37,"")</f>
        <v/>
      </c>
      <c r="U37" s="12" t="str">
        <f>IF(ISNUMBER(T37)=TRUE,IF(_xlfn.RANK.EQ(T37,$T$2:$T$111)&lt;='Tournament Setup'!$B$28,_xlfn.RANK.EQ(T37,$T$2:$T$111),""),"")</f>
        <v/>
      </c>
      <c r="V37" s="145" t="str">
        <f>IF(AND($G37='Tournament Setup'!$A$53,$J37&lt;&gt;0),$J37,"")</f>
        <v/>
      </c>
      <c r="W37" s="47" t="str">
        <f>IF(ISNUMBER(V37),IF(COUNTIFS(W$1:W36,_xlfn.RANK.EQ(V37,V$2:V$111,0))&gt;0,_xlfn.MAXIFS(W$1:W36,V$1:V36,V37)+1,_xlfn.RANK.EQ(V37,V$2:V$111,0)),"")</f>
        <v/>
      </c>
      <c r="X37" s="1" t="str">
        <f>IF(ISNUMBER(V37)=TRUE,IF(_xlfn.RANK.EQ(V37,$V$2:$V$111)&lt;='Tournament Setup'!$B$53,_xlfn.RANK.EQ(V37,$V$2:$V$111),""),"")</f>
        <v/>
      </c>
      <c r="Y37" s="145">
        <f>IF(AND($G37='Tournament Setup'!$A$49,$J37&lt;&gt;0),$J37,"")</f>
        <v>174</v>
      </c>
      <c r="Z37" s="47">
        <f>IF(ISNUMBER(Y37),IF(COUNTIFS(Z$1:Z36,_xlfn.RANK.EQ(Y37,Y$2:Y$111,0))&gt;0,_xlfn.MAXIFS(Z$1:Z36,Y$1:Y36,Y37)+1,_xlfn.RANK.EQ(Y37,Y$2:Y$111,0)),"")</f>
        <v>3</v>
      </c>
      <c r="AA37" s="1">
        <f>IF(ISNUMBER(Y37)=TRUE,IF(_xlfn.RANK.EQ(Y37,$Y$2:$Y$111)&lt;='Tournament Setup'!$B$49,_xlfn.RANK.EQ(Y37,$Y$2:$Y$111),""),"")</f>
        <v>3</v>
      </c>
      <c r="AB37" s="30">
        <f>IF(AND($F37='Tournament Setup'!$A$32,SUM($Q37,$S37,$U37)=0),$I37,"")</f>
        <v>63.1</v>
      </c>
      <c r="AC37" s="47">
        <f>IF(ISNUMBER(AB37),IF(COUNTIFS(AC$1:AC36,_xlfn.RANK.EQ(AB37,AB$2:AB$111,0))&gt;0,_xlfn.MAXIFS(AC$1:AC36,AB$1:AB36,AB37)+1,_xlfn.RANK.EQ(AB37,AB$2:AB$111,0)),"")</f>
        <v>7</v>
      </c>
      <c r="AD37" s="1" t="str">
        <f>IF(ISNUMBER(AB37)=TRUE,IF(_xlfn.RANK.EQ(AB37,$AB$2:$AB$111)&lt;='Tournament Setup'!$B$32,_xlfn.RANK.EQ(AB37,$AB$2:$AB$111),""),"")</f>
        <v/>
      </c>
      <c r="AE37" s="31">
        <f>IF(AND($F37='Tournament Setup'!$A$32,SUM($Q37,$S37)=0,$E37="M",$AD37&gt;'Tournament Setup'!$B$32),$I37,"")</f>
        <v>63.1</v>
      </c>
      <c r="AF37" s="1" t="str">
        <f>IF(ISNUMBER(AE37)=TRUE,IF(_xlfn.RANK.EQ(AE37,$AE$2:$AE$111)&lt;='Tournament Setup'!$C$32,_xlfn.RANK.EQ(AE37,$AE$2:$AE$111),""),"")</f>
        <v/>
      </c>
      <c r="AG37" s="31" t="str">
        <f>IF(AND($F37='Tournament Setup'!$A$32,SUM($Q37,$U37)=0,$E37="F",$AD37&gt;'Tournament Setup'!$B$32),$I37,"")</f>
        <v/>
      </c>
      <c r="AH37" s="12" t="str">
        <f>IF(ISNUMBER(AG37)=TRUE,IF(_xlfn.RANK.EQ(AG37,$AG$2:$AG$111)&lt;='Tournament Setup'!$D$32,_xlfn.RANK.EQ(AG37,$AG$2:$AG$111),""),"")</f>
        <v/>
      </c>
      <c r="AI37" s="30" t="str">
        <f>IF(AND($G37='Tournament Setup'!$A$50,$J37&lt;&gt;0),$J37,"")</f>
        <v/>
      </c>
      <c r="AJ37" s="47" t="str">
        <f>IF(ISNUMBER(AI37),IF(COUNTIFS(AJ$1:AJ36,_xlfn.RANK.EQ(AI37,AI$2:AI$111,0))&gt;0,_xlfn.MAXIFS(AJ$1:AJ36,AI$1:AI36,AI37)+1,_xlfn.RANK.EQ(AI37,AI$2:AI$111,0)),"")</f>
        <v/>
      </c>
      <c r="AK37" s="1" t="str">
        <f>IF(ISNUMBER(AI37)=TRUE,IF(_xlfn.RANK.EQ(AI37,$AI$2:$AI$111)&lt;='Tournament Setup'!$B$49,_xlfn.RANK.EQ(AI37,$AI$2:$AI$111),""),"")</f>
        <v/>
      </c>
      <c r="AL37" s="30" t="str">
        <f>IF(AND($F37='Tournament Setup'!$A$33,SUM($Q37,$S37,$U37)=0),$I37,"")</f>
        <v/>
      </c>
      <c r="AM37" s="47" t="str">
        <f>IF(ISNUMBER(AL37),IF(COUNTIFS(AM$1:AM36,_xlfn.RANK.EQ(AL37,AL$2:AL$111,0))&gt;0,_xlfn.MAXIFS(AM$1:AM36,AL$1:AL36,AL37)+1,_xlfn.RANK.EQ(AL37,AL$2:AL$111,0)),"")</f>
        <v/>
      </c>
      <c r="AN37" s="1" t="str">
        <f>IF(ISNUMBER(AL37)=TRUE,IF(_xlfn.RANK.EQ(AL37,$AL$2:$AL$111)&lt;='Tournament Setup'!$B$33,_xlfn.RANK.EQ(AL37,$AL$2:$AL$111),""),"")</f>
        <v/>
      </c>
      <c r="AO37" s="31" t="str">
        <f>IF(AND($F37='Tournament Setup'!$A$33,SUM($Q37,$S37)=0,$E37="M",$AN37&gt;'Tournament Setup'!$B$33),$I37,"")</f>
        <v/>
      </c>
      <c r="AP37" s="1" t="str">
        <f>IF(ISNUMBER(AO37)=TRUE,IF(_xlfn.RANK.EQ(AO37,$AO$2:$AO$111)&lt;='Tournament Setup'!$C$33,_xlfn.RANK.EQ(AO37,$AO$2:$AO$111),""),"")</f>
        <v/>
      </c>
      <c r="AQ37" s="31" t="str">
        <f>IF(AND($F37='Tournament Setup'!$A$33,SUM($Q37,$U37)=0,$E37="F",$AN37&gt;'Tournament Setup'!$B$33),$I37,"")</f>
        <v/>
      </c>
      <c r="AR37" s="12" t="str">
        <f>IF(ISNUMBER(AQ37)=TRUE,IF(_xlfn.RANK.EQ(AQ37,$AQ$2:$AQ$111)&lt;='Tournament Setup'!$D$33,_xlfn.RANK.EQ(AQ37,$AQ$2:$AQ$111),""),"")</f>
        <v/>
      </c>
      <c r="AS37" s="30" t="str">
        <f>IF(AND($G37='Tournament Setup'!$A$51,$J37&lt;&gt;0),$J37,"")</f>
        <v/>
      </c>
      <c r="AT37" s="47" t="str">
        <f>IF(ISNUMBER(AS37),IF(COUNTIFS(AT$1:AT36,_xlfn.RANK.EQ(AS37,AS$2:AS$111,0))&gt;0,_xlfn.MAXIFS(AT$1:AT36,AS$1:AS36,AS37)+1,_xlfn.RANK.EQ(AS37,AS$2:AS$111,0)),"")</f>
        <v/>
      </c>
      <c r="AU37" s="1" t="str">
        <f>IF(ISNUMBER(AS37)=TRUE,IF(_xlfn.RANK.EQ(AS37,$AS$2:$AS$111)&lt;='Tournament Setup'!$B$49,_xlfn.RANK.EQ(AS37,$AS$2:$AS$111),""),"")</f>
        <v/>
      </c>
      <c r="AV37" s="30" t="str">
        <f>IF(AND($F37='Tournament Setup'!$A$34,SUM($Q37,$S37,$U37)=0),$I37,"")</f>
        <v/>
      </c>
      <c r="AW37" s="47" t="str">
        <f>IF(ISNUMBER(AV37),IF(COUNTIFS(AW$1:AW36,_xlfn.RANK.EQ(AV37,AV$2:AV$111,0))&gt;0,_xlfn.MAXIFS(AW$1:AW36,AV$1:AV36,AV37)+1,_xlfn.RANK.EQ(AV37,AV$2:AV$111,0)),"")</f>
        <v/>
      </c>
      <c r="AX37" s="1" t="str">
        <f>IF(ISNUMBER(AV37)=TRUE,IF(_xlfn.RANK.EQ(AV37,$AV$2:$AV$111)&lt;='Tournament Setup'!$B$34,_xlfn.RANK.EQ(AV37,$AV$2:$AV$111),""),"")</f>
        <v/>
      </c>
      <c r="AY37" s="31" t="str">
        <f>IF(AND($F37='Tournament Setup'!$A$34,SUM($Q37,$S37)=0,$E37="M",$AX37&gt;'Tournament Setup'!$B$34),$I37,"")</f>
        <v/>
      </c>
      <c r="AZ37" s="1" t="str">
        <f>IF(ISNUMBER(AY37)=TRUE,IF(_xlfn.RANK.EQ(AY37,$AY$2:$AY$111)&lt;='Tournament Setup'!$C$34,_xlfn.RANK.EQ(AY37,$AY$2:$AY$111),""),"")</f>
        <v/>
      </c>
      <c r="BA37" s="31" t="str">
        <f>IF(AND($F37='Tournament Setup'!$A$34,SUM($Q37,$U37)=0,$E37="F",$AX37&gt;'Tournament Setup'!$B$34),$I37,"")</f>
        <v/>
      </c>
      <c r="BB37" s="12" t="str">
        <f>IF(ISNUMBER(BA37)=TRUE,IF(_xlfn.RANK.EQ(BA37,$BA$2:$BA$111)&lt;='Tournament Setup'!$D$34,_xlfn.RANK.EQ(BA37,$BA$2:$BA$111),""),"")</f>
        <v/>
      </c>
      <c r="BC37" s="30" t="str">
        <f>IF(AND($G37='Tournament Setup'!$A$52,$J37&lt;&gt;0),$J37,"")</f>
        <v/>
      </c>
      <c r="BD37" s="47" t="str">
        <f>IF(ISNUMBER(BC37),IF(COUNTIFS(BD$1:BD36,_xlfn.RANK.EQ(BC37,BC$2:BC$111,0))&gt;0,_xlfn.MAXIFS(BD$1:BD36,BC$1:BC36,BC37)+1,_xlfn.RANK.EQ(BC37,BC$2:BC$111,0)),"")</f>
        <v/>
      </c>
      <c r="BE37" s="1" t="str">
        <f>IF(ISNUMBER(BC37)=TRUE,IF(_xlfn.RANK.EQ(BC37,$BC$2:$BC$111)&lt;='Tournament Setup'!$B$49,_xlfn.RANK.EQ(BC37,$BC$2:$BC$111),""),"")</f>
        <v/>
      </c>
      <c r="BF37" s="30" t="str">
        <f>IF(AND($F37='Tournament Setup'!$A$35,SUM($Q37,$S37,$U37)=0),$I37,"")</f>
        <v/>
      </c>
      <c r="BG37" s="47" t="str">
        <f>IF(ISNUMBER(BF37),IF(COUNTIFS(BG$1:BG36,_xlfn.RANK.EQ(BF37,BF$2:BF$111,0))&gt;0,_xlfn.MAXIFS(BG$1:BG36,BF$1:BF36,BF37)+1,_xlfn.RANK.EQ(BF37,BF$2:BF$111,0)),"")</f>
        <v/>
      </c>
      <c r="BH37" s="1" t="str">
        <f>IF(ISNUMBER(BF37)=TRUE,IF(_xlfn.RANK.EQ(BF37,$BF$2:$BF$111)&lt;='Tournament Setup'!$B$35,_xlfn.RANK.EQ(BF37,$BF$2:$BF$111),""),"")</f>
        <v/>
      </c>
      <c r="BI37" s="31" t="str">
        <f>IF(AND($F37='Tournament Setup'!$A$35,SUM($Q37,$S37)=0,$E37="M",$BH37&gt;'Tournament Setup'!$B$35),$I37,"")</f>
        <v/>
      </c>
      <c r="BJ37" s="1" t="str">
        <f>IF(ISNUMBER(BI37)=TRUE,IF(_xlfn.RANK.EQ(BI37,$BI$2:$BI$111)&lt;='Tournament Setup'!$C$35,_xlfn.RANK.EQ(BI37,$BI$2:$BI$111),""),"")</f>
        <v/>
      </c>
      <c r="BK37" s="31" t="str">
        <f>IF(AND($F37='Tournament Setup'!$A$35,SUM($Q37,$U37)=0,$E37="F",$BH37&gt;'Tournament Setup'!$B$35),$I37,"")</f>
        <v/>
      </c>
      <c r="BL37" s="12" t="str">
        <f>IF(ISNUMBER(BK37)=TRUE,IF(_xlfn.RANK.EQ(BK37,$BK$2:$BK$111)&lt;='Tournament Setup'!$D$35,_xlfn.RANK.EQ(BK37,$BK$2:$BK$111),""),"")</f>
        <v/>
      </c>
      <c r="BM37" s="30" t="str">
        <f>IF(AND($G37='Tournament Setup'!$A$54,$J37&lt;&gt;0),$J37,"")</f>
        <v/>
      </c>
      <c r="BN37" s="47" t="str">
        <f>IF(ISNUMBER(BM37),IF(COUNTIFS(BN$1:BN36,_xlfn.RANK.EQ(BM37,BM$2:BM$111,0))&gt;0,_xlfn.MAXIFS(BN$1:BN36,BM$1:BM36,BM37)+1,_xlfn.RANK.EQ(BM37,BM$2:BM$111,0)),"")</f>
        <v/>
      </c>
      <c r="BO37" s="1" t="str">
        <f>IF(ISNUMBER(BM37)=TRUE,IF(_xlfn.RANK.EQ(BM37,$BM$2:$BM$111)&lt;='Tournament Setup'!$B$49,_xlfn.RANK.EQ(BM37,$BM$2:$BM$111),""),"")</f>
        <v/>
      </c>
      <c r="BP37" s="30" t="str">
        <f>IF(AND($F37='Tournament Setup'!$A$36,SUM($Q37,$S37,$U37)=0),$I37,"")</f>
        <v/>
      </c>
      <c r="BQ37" s="47" t="str">
        <f>IF(ISNUMBER(BP37),IF(COUNTIFS(BQ$1:BQ36,_xlfn.RANK.EQ(BP37,BP$2:BP$111,0))&gt;0,_xlfn.MAXIFS(BQ$1:BQ36,BP$1:BP36,BP37)+1,_xlfn.RANK.EQ(BP37,BP$2:BP$111,0)),"")</f>
        <v/>
      </c>
      <c r="BR37" s="1" t="str">
        <f>IF(ISNUMBER(BP37)=TRUE,IF(_xlfn.RANK.EQ(BP37,$BP$2:$BP$111)&lt;='Tournament Setup'!$B$36,_xlfn.RANK.EQ(BP37,$BP$2:$BP$111),""),"")</f>
        <v/>
      </c>
      <c r="BS37" s="31" t="str">
        <f>IF(AND($F37='Tournament Setup'!$A$36,SUM($Q37,$S37)=0,$E37="M",$BR37&gt;'Tournament Setup'!$B$36),$I37,"")</f>
        <v/>
      </c>
      <c r="BT37" s="1" t="str">
        <f>IF(ISNUMBER(BS37)=TRUE,IF(_xlfn.RANK.EQ(BS37,$BS$2:$BS$111)&lt;='Tournament Setup'!$C$36,_xlfn.RANK.EQ(BS37,$BS$2:$BS$111),""),"")</f>
        <v/>
      </c>
      <c r="BU37" s="31" t="str">
        <f>IF(AND($F37='Tournament Setup'!$A$36,SUM($Q37,$U37)=0,$E37="F",$BR37&gt;'Tournament Setup'!$B$36),$I37,"")</f>
        <v/>
      </c>
      <c r="BV37" s="12" t="str">
        <f>IF(ISNUMBER(BU37)=TRUE,IF(_xlfn.RANK.EQ(BU37,$BU$2:$BU$111)&lt;='Tournament Setup'!$D$36,_xlfn.RANK.EQ(BU37,$BU$2:$BU$111),""),"")</f>
        <v/>
      </c>
      <c r="BW37" s="30" t="str">
        <f>IF($H37='Tournament Setup'!$A$41,$I37,"")</f>
        <v/>
      </c>
      <c r="BX37" s="47" t="str">
        <f>IF(ISNUMBER(BW37),IF(COUNTIFS(BX$1:BX36,_xlfn.RANK.EQ(BW37,BW$2:BW$111,0))&gt;0,_xlfn.MAXIFS(BX$1:BX36,BW$1:BW36,BW37)+1,_xlfn.RANK.EQ(BW37,BW$2:BW$111,0)),"")</f>
        <v/>
      </c>
      <c r="BY37" s="1" t="str">
        <f>IF(ISNUMBER(BW37)=TRUE,IF(_xlfn.RANK.EQ(BW37,$BW$2:$BW$111)&lt;='Tournament Setup'!$B$41,_xlfn.RANK.EQ(BW37,$BW$2:$BW$111),""),"")</f>
        <v/>
      </c>
      <c r="BZ37" s="31" t="str">
        <f>IF(AND($H37='Tournament Setup'!$A$41,$E37="M",$BY37&gt;'Tournament Setup'!$B$41),$I37,"")</f>
        <v/>
      </c>
      <c r="CA37" s="1" t="str">
        <f>IF(ISNUMBER(BZ37)=TRUE,IF(_xlfn.RANK.EQ(BZ37,$BZ$2:$BZ$111)&lt;='Tournament Setup'!$C$41,_xlfn.RANK.EQ(BZ37,$BZ$2:$BZ$111),""),"")</f>
        <v/>
      </c>
      <c r="CB37" s="31" t="str">
        <f>IF(AND($H37='Tournament Setup'!$A$41,$E37="F",$BY37&gt;'Tournament Setup'!$B$41),$I37,"")</f>
        <v/>
      </c>
      <c r="CC37" s="12" t="str">
        <f>IF(ISNUMBER(CB37)=TRUE,IF(_xlfn.RANK.EQ(CB37,$CB$2:$CB$111)&lt;='Tournament Setup'!$D$41,_xlfn.RANK.EQ(CB37,$CB$2:$CB$111),""),"")</f>
        <v/>
      </c>
      <c r="CD37" s="30" t="str">
        <f>IF($H37='Tournament Setup'!$A$42,$I37,"")</f>
        <v/>
      </c>
      <c r="CE37" s="47" t="str">
        <f>IF(ISNUMBER(CD37),IF(COUNTIFS(CE$1:CE36,_xlfn.RANK.EQ(CD37,CD$2:CD$111,0))&gt;0,_xlfn.MAXIFS(CE$1:CE36,CD$1:CD36,CD37)+1,_xlfn.RANK.EQ(CD37,CD$2:CD$111,0)),"")</f>
        <v/>
      </c>
      <c r="CF37" s="1" t="str">
        <f>IF(ISNUMBER(CD37)=TRUE,IF(_xlfn.RANK.EQ(CD37,$CD$2:$CD$111)&lt;='Tournament Setup'!$B$42,_xlfn.RANK.EQ(CD37,$CD$2:$CD$111),""),"")</f>
        <v/>
      </c>
      <c r="CG37" s="31" t="str">
        <f>IF(AND($H37='Tournament Setup'!$A$42,$E37="M",$CF37&gt;'Tournament Setup'!$B$42),$I37,"")</f>
        <v/>
      </c>
      <c r="CH37" s="1" t="str">
        <f>IF(ISNUMBER(CG37)=TRUE,IF(_xlfn.RANK.EQ(CG37,$CG$2:$CG$111)&lt;='Tournament Setup'!$C$42,_xlfn.RANK.EQ(CG37,$CG$2:$CG$111),""),"")</f>
        <v/>
      </c>
      <c r="CI37" s="31" t="str">
        <f>IF(AND($H37='Tournament Setup'!$A$42,$E37="F",$CF37&gt;'Tournament Setup'!$B$42),$I37,"")</f>
        <v/>
      </c>
      <c r="CJ37" s="12" t="str">
        <f>IF(ISNUMBER(CI37)=TRUE,IF(_xlfn.RANK.EQ(CI37,$CI$2:$CI$111)&lt;='Tournament Setup'!$D$42,_xlfn.RANK.EQ(CI37,$CI$2:$CI$111),""),"")</f>
        <v/>
      </c>
      <c r="CK37" s="30">
        <f>IF($H37='Tournament Setup'!$A$43,$I37,"")</f>
        <v>63.1</v>
      </c>
      <c r="CL37" s="47">
        <f>IF(ISNUMBER(CK37),IF(COUNTIFS(CL$1:CL36,_xlfn.RANK.EQ(CK37,CK$2:CK$111,0))&gt;0,_xlfn.MAXIFS(CL$1:CL36,CK$1:CK36,CK37)+1,_xlfn.RANK.EQ(CK37,CK$2:CK$111,0)),"")</f>
        <v>9</v>
      </c>
      <c r="CM37" s="1" t="str">
        <f>IF(ISNUMBER(CK37)=TRUE,IF(_xlfn.RANK.EQ(CK37,$CK$2:$CK$111)&lt;='Tournament Setup'!$B$43,_xlfn.RANK.EQ(CK37,$CK$2:$CK$111),""),"")</f>
        <v/>
      </c>
      <c r="CN37" s="31">
        <f>IF(AND($H37='Tournament Setup'!$A$43,$E37="M",$CM37&gt;'Tournament Setup'!$B$43),$I37,"")</f>
        <v>63.1</v>
      </c>
      <c r="CO37" s="1" t="str">
        <f>IF(ISNUMBER(CN37)=TRUE,IF(_xlfn.RANK.EQ(CN37,$CN$2:$CN$111)&lt;='Tournament Setup'!$C$43,_xlfn.RANK.EQ(CN37,$CN$2:$CN$111),""),"")</f>
        <v/>
      </c>
      <c r="CP37" s="31" t="str">
        <f>IF(AND($H37='Tournament Setup'!$A$43,$E37="F",$CM37&gt;'Tournament Setup'!$B$43),$I37,"")</f>
        <v/>
      </c>
      <c r="CQ37" s="12" t="str">
        <f>IF(ISNUMBER(CP37)=TRUE,IF(_xlfn.RANK.EQ(CP37,$CP$2:$CP$111)&lt;='Tournament Setup'!$D$43,_xlfn.RANK.EQ(CP37,$CP$2:$CP$111),""),"")</f>
        <v/>
      </c>
      <c r="CR37" s="30" t="str">
        <f>IF($H37='Tournament Setup'!$A$44,$I37,"")</f>
        <v/>
      </c>
      <c r="CS37" s="47" t="str">
        <f>IF(ISNUMBER(CR37),IF(COUNTIFS(CS$1:CS36,_xlfn.RANK.EQ(CR37,CR$2:CR$111,0))&gt;0,_xlfn.MAXIFS(CS$1:CS36,CR$1:CR36,CR37)+1,_xlfn.RANK.EQ(CR37,CR$2:CR$111,0)),"")</f>
        <v/>
      </c>
      <c r="CT37" s="1" t="str">
        <f>IF(ISNUMBER(CR37)=TRUE,IF(_xlfn.RANK.EQ(CR37,$CR$2:$CR$111)&lt;='Tournament Setup'!$B$44,_xlfn.RANK.EQ(CR37,$CR$2:$CR$111),""),"")</f>
        <v/>
      </c>
      <c r="CU37" s="31" t="str">
        <f>IF(AND($H37='Tournament Setup'!$A$44,$E37="M",$CT37&gt;'Tournament Setup'!$B$44),$I37,"")</f>
        <v/>
      </c>
      <c r="CV37" s="1" t="str">
        <f>IF(ISNUMBER(CU37)=TRUE,IF(_xlfn.RANK.EQ(CU37,$CU$2:$CU$111)&lt;='Tournament Setup'!$C$44,_xlfn.RANK.EQ(CU37,$CU$2:$CU$111),""),"")</f>
        <v/>
      </c>
      <c r="CW37" s="31" t="str">
        <f>IF(AND($H37='Tournament Setup'!$A$44,$E37="F",$CT37&gt;'Tournament Setup'!$B$44),$I37,"")</f>
        <v/>
      </c>
      <c r="CX37" s="12" t="str">
        <f>IF(ISNUMBER(CW37)=TRUE,IF(_xlfn.RANK.EQ(CW37,$CW$2:$CW$111)&lt;='Tournament Setup'!$D$44,_xlfn.RANK.EQ(CW37,$CW$2:$CW$111),""),"")</f>
        <v/>
      </c>
    </row>
    <row r="38" spans="1:102" x14ac:dyDescent="0.3">
      <c r="A38" t="s">
        <v>193</v>
      </c>
      <c r="B38" t="str">
        <f>IFERROR(INDEX('Tournament List'!$B:$B,MATCH($A38,'Tournament List'!$A:$A,0)),"")</f>
        <v>Will</v>
      </c>
      <c r="C38" t="str">
        <f>IFERROR(INDEX('Tournament List'!$C:$C,MATCH($A38,'Tournament List'!$A:$A,0)),"")</f>
        <v>Last Name37</v>
      </c>
      <c r="D38" t="str">
        <f t="shared" si="1"/>
        <v>Will Last Name37</v>
      </c>
      <c r="E38" s="1" t="str">
        <f>IFERROR(INDEX('Tournament List'!F:F,MATCH($A38,'Tournament List'!$A:$A,0)),"")</f>
        <v>M</v>
      </c>
      <c r="F38" t="str">
        <f>IFERROR(INDEX('Tournament List'!M:M,MATCH($A38,'Tournament List'!$A:$A,0)),"")</f>
        <v>Varsity</v>
      </c>
      <c r="G38" t="str">
        <f>IFERROR(INDEX('Shooter-Squad Assignment'!L:L,MATCH(A38,'Shooter-Squad Assignment'!A:A,0)),"")</f>
        <v>Open</v>
      </c>
      <c r="H38" s="1" t="str">
        <f>IFERROR(INDEX('Tournament List'!AD:AD,MATCH($A38,'Tournament List'!$A:$A,0)),"")</f>
        <v>B</v>
      </c>
      <c r="I38" s="123">
        <f>IFERROR(INDEX('Tournament List'!AG:AG,MATCH($A38,'Tournament List'!$A:$A,0)),"")</f>
        <v>85</v>
      </c>
      <c r="J38" s="145" t="str">
        <f>IFERROR(INDEX('Tournament List'!Y:Y,MATCH($A38,'Tournament List'!$A:$A,0)),"")</f>
        <v/>
      </c>
      <c r="K38" s="47">
        <f>IFERROR(INDEX('Tournament List'!S:S,MATCH(A38,'Tournament List'!A:A,0)),"")</f>
        <v>127</v>
      </c>
      <c r="L38" s="47" t="str">
        <f>IF(ISNUMBER(J38),IF(COUNTIFS(L$1:L37,_xlfn.RANK.EQ(J38,J$2:J$111,0))&gt;0,_xlfn.MAXIFS(L$1:L37,J$1:J37,J38)+1,_xlfn.RANK.EQ(J38,J$2:J$111,0)),"")</f>
        <v/>
      </c>
      <c r="M38" s="11">
        <f>IF(ISNUMBER(I38)=TRUE,IF(I38&gt;0,_xlfn.RANK.EQ(I38,$I$2:$I$111,0),""),"")</f>
        <v>13</v>
      </c>
      <c r="N38" s="56">
        <f>IF(ISNUMBER(I38),IF(COUNTIFS(N$1:N37,_xlfn.RANK.EQ(I38,I$2:I$111,0))&gt;0,_xlfn.MAXIFS(N$1:N37,I$1:I37,I38)+1,_xlfn.RANK.EQ(I38,I$2:I$111,0)),"")</f>
        <v>14</v>
      </c>
      <c r="O38" s="144">
        <f>IF(F38&lt;&gt;"Collegiate"=TRUE,$I38,"")</f>
        <v>85</v>
      </c>
      <c r="P38" s="47">
        <f>IF(ISNUMBER(O38),IF(COUNTIFS(P$1:P37,_xlfn.RANK.EQ(O38,O$2:O$111,0))&gt;0,_xlfn.MAXIFS(P$1:P37,O$1:O37,O38)+1,_xlfn.RANK.EQ(O38,O$2:O$111,0)),"")</f>
        <v>12</v>
      </c>
      <c r="Q38" s="1" t="str">
        <f>IF(ISNUMBER(O38)=TRUE,IF(_xlfn.RANK.EQ(O38,$O$2:$O$111)&lt;='Tournament Setup'!$B$26,_xlfn.RANK.EQ(O38,$O$2:$O$111),""),"")</f>
        <v/>
      </c>
      <c r="R38" s="143">
        <f>IF(AND($E38="M",SUM($Q38)=0,F38&lt;&gt;"Collegiate")=TRUE,$I38,"")</f>
        <v>85</v>
      </c>
      <c r="S38" s="1" t="str">
        <f>IF(ISNUMBER(R38)=TRUE,IF(_xlfn.RANK.EQ(R38,$R$2:$R$111)&lt;='Tournament Setup'!$B$27,_xlfn.RANK.EQ(R38,$R$2:$R$111),""),"")</f>
        <v/>
      </c>
      <c r="T38" s="143" t="str">
        <f>IF(AND($E38="F",SUM($Q38)=0,F38&lt;&gt;"Collegiate")=TRUE,$I38,"")</f>
        <v/>
      </c>
      <c r="U38" s="12" t="str">
        <f>IF(ISNUMBER(T38)=TRUE,IF(_xlfn.RANK.EQ(T38,$T$2:$T$111)&lt;='Tournament Setup'!$B$28,_xlfn.RANK.EQ(T38,$T$2:$T$111),""),"")</f>
        <v/>
      </c>
      <c r="V38" s="145" t="str">
        <f>IF(AND($G38='Tournament Setup'!$A$53,$J38&lt;&gt;0),$J38,"")</f>
        <v/>
      </c>
      <c r="W38" s="47" t="str">
        <f>IF(ISNUMBER(V38),IF(COUNTIFS(W$1:W37,_xlfn.RANK.EQ(V38,V$2:V$111,0))&gt;0,_xlfn.MAXIFS(W$1:W37,V$1:V37,V38)+1,_xlfn.RANK.EQ(V38,V$2:V$111,0)),"")</f>
        <v/>
      </c>
      <c r="X38" s="1" t="str">
        <f>IF(ISNUMBER(V38)=TRUE,IF(_xlfn.RANK.EQ(V38,$V$2:$V$111)&lt;='Tournament Setup'!$B$53,_xlfn.RANK.EQ(V38,$V$2:$V$111),""),"")</f>
        <v/>
      </c>
      <c r="Y38" s="145" t="str">
        <f>IF(AND($G38='Tournament Setup'!$A$49,$J38&lt;&gt;0),$J38,"")</f>
        <v/>
      </c>
      <c r="Z38" s="47" t="str">
        <f>IF(ISNUMBER(Y38),IF(COUNTIFS(Z$1:Z37,_xlfn.RANK.EQ(Y38,Y$2:Y$111,0))&gt;0,_xlfn.MAXIFS(Z$1:Z37,Y$1:Y37,Y38)+1,_xlfn.RANK.EQ(Y38,Y$2:Y$111,0)),"")</f>
        <v/>
      </c>
      <c r="AA38" s="1" t="str">
        <f>IF(ISNUMBER(Y38)=TRUE,IF(_xlfn.RANK.EQ(Y38,$Y$2:$Y$111)&lt;='Tournament Setup'!$B$49,_xlfn.RANK.EQ(Y38,$Y$2:$Y$111),""),"")</f>
        <v/>
      </c>
      <c r="AB38" s="30" t="str">
        <f>IF(AND($F38='Tournament Setup'!$A$32,SUM($Q38,$S38,$U38)=0),$I38,"")</f>
        <v/>
      </c>
      <c r="AC38" s="47" t="str">
        <f>IF(ISNUMBER(AB38),IF(COUNTIFS(AC$1:AC37,_xlfn.RANK.EQ(AB38,AB$2:AB$111,0))&gt;0,_xlfn.MAXIFS(AC$1:AC37,AB$1:AB37,AB38)+1,_xlfn.RANK.EQ(AB38,AB$2:AB$111,0)),"")</f>
        <v/>
      </c>
      <c r="AD38" s="1" t="str">
        <f>IF(ISNUMBER(AB38)=TRUE,IF(_xlfn.RANK.EQ(AB38,$AB$2:$AB$111)&lt;='Tournament Setup'!$B$32,_xlfn.RANK.EQ(AB38,$AB$2:$AB$111),""),"")</f>
        <v/>
      </c>
      <c r="AE38" s="31" t="str">
        <f>IF(AND($F38='Tournament Setup'!$A$32,SUM($Q38,$S38)=0,$E38="M",$AD38&gt;'Tournament Setup'!$B$32),$I38,"")</f>
        <v/>
      </c>
      <c r="AF38" s="1" t="str">
        <f>IF(ISNUMBER(AE38)=TRUE,IF(_xlfn.RANK.EQ(AE38,$AE$2:$AE$111)&lt;='Tournament Setup'!$C$32,_xlfn.RANK.EQ(AE38,$AE$2:$AE$111),""),"")</f>
        <v/>
      </c>
      <c r="AG38" s="31" t="str">
        <f>IF(AND($F38='Tournament Setup'!$A$32,SUM($Q38,$U38)=0,$E38="F",$AD38&gt;'Tournament Setup'!$B$32),$I38,"")</f>
        <v/>
      </c>
      <c r="AH38" s="12" t="str">
        <f>IF(ISNUMBER(AG38)=TRUE,IF(_xlfn.RANK.EQ(AG38,$AG$2:$AG$111)&lt;='Tournament Setup'!$D$32,_xlfn.RANK.EQ(AG38,$AG$2:$AG$111),""),"")</f>
        <v/>
      </c>
      <c r="AI38" s="30" t="str">
        <f>IF(AND($G38='Tournament Setup'!$A$50,$J38&lt;&gt;0),$J38,"")</f>
        <v/>
      </c>
      <c r="AJ38" s="47" t="str">
        <f>IF(ISNUMBER(AI38),IF(COUNTIFS(AJ$1:AJ37,_xlfn.RANK.EQ(AI38,AI$2:AI$111,0))&gt;0,_xlfn.MAXIFS(AJ$1:AJ37,AI$1:AI37,AI38)+1,_xlfn.RANK.EQ(AI38,AI$2:AI$111,0)),"")</f>
        <v/>
      </c>
      <c r="AK38" s="1" t="str">
        <f>IF(ISNUMBER(AI38)=TRUE,IF(_xlfn.RANK.EQ(AI38,$AI$2:$AI$111)&lt;='Tournament Setup'!$B$49,_xlfn.RANK.EQ(AI38,$AI$2:$AI$111),""),"")</f>
        <v/>
      </c>
      <c r="AL38" s="30" t="str">
        <f>IF(AND($F38='Tournament Setup'!$A$33,SUM($Q38,$S38,$U38)=0),$I38,"")</f>
        <v/>
      </c>
      <c r="AM38" s="47" t="str">
        <f>IF(ISNUMBER(AL38),IF(COUNTIFS(AM$1:AM37,_xlfn.RANK.EQ(AL38,AL$2:AL$111,0))&gt;0,_xlfn.MAXIFS(AM$1:AM37,AL$1:AL37,AL38)+1,_xlfn.RANK.EQ(AL38,AL$2:AL$111,0)),"")</f>
        <v/>
      </c>
      <c r="AN38" s="1" t="str">
        <f>IF(ISNUMBER(AL38)=TRUE,IF(_xlfn.RANK.EQ(AL38,$AL$2:$AL$111)&lt;='Tournament Setup'!$B$33,_xlfn.RANK.EQ(AL38,$AL$2:$AL$111),""),"")</f>
        <v/>
      </c>
      <c r="AO38" s="31" t="str">
        <f>IF(AND($F38='Tournament Setup'!$A$33,SUM($Q38,$S38)=0,$E38="M",$AN38&gt;'Tournament Setup'!$B$33),$I38,"")</f>
        <v/>
      </c>
      <c r="AP38" s="1" t="str">
        <f>IF(ISNUMBER(AO38)=TRUE,IF(_xlfn.RANK.EQ(AO38,$AO$2:$AO$111)&lt;='Tournament Setup'!$C$33,_xlfn.RANK.EQ(AO38,$AO$2:$AO$111),""),"")</f>
        <v/>
      </c>
      <c r="AQ38" s="31" t="str">
        <f>IF(AND($F38='Tournament Setup'!$A$33,SUM($Q38,$U38)=0,$E38="F",$AN38&gt;'Tournament Setup'!$B$33),$I38,"")</f>
        <v/>
      </c>
      <c r="AR38" s="12" t="str">
        <f>IF(ISNUMBER(AQ38)=TRUE,IF(_xlfn.RANK.EQ(AQ38,$AQ$2:$AQ$111)&lt;='Tournament Setup'!$D$33,_xlfn.RANK.EQ(AQ38,$AQ$2:$AQ$111),""),"")</f>
        <v/>
      </c>
      <c r="AS38" s="30" t="str">
        <f>IF(AND($G38='Tournament Setup'!$A$51,$J38&lt;&gt;0),$J38,"")</f>
        <v/>
      </c>
      <c r="AT38" s="47" t="str">
        <f>IF(ISNUMBER(AS38),IF(COUNTIFS(AT$1:AT37,_xlfn.RANK.EQ(AS38,AS$2:AS$111,0))&gt;0,_xlfn.MAXIFS(AT$1:AT37,AS$1:AS37,AS38)+1,_xlfn.RANK.EQ(AS38,AS$2:AS$111,0)),"")</f>
        <v/>
      </c>
      <c r="AU38" s="1" t="str">
        <f>IF(ISNUMBER(AS38)=TRUE,IF(_xlfn.RANK.EQ(AS38,$AS$2:$AS$111)&lt;='Tournament Setup'!$B$49,_xlfn.RANK.EQ(AS38,$AS$2:$AS$111),""),"")</f>
        <v/>
      </c>
      <c r="AV38" s="30" t="str">
        <f>IF(AND($F38='Tournament Setup'!$A$34,SUM($Q38,$S38,$U38)=0),$I38,"")</f>
        <v/>
      </c>
      <c r="AW38" s="47" t="str">
        <f>IF(ISNUMBER(AV38),IF(COUNTIFS(AW$1:AW37,_xlfn.RANK.EQ(AV38,AV$2:AV$111,0))&gt;0,_xlfn.MAXIFS(AW$1:AW37,AV$1:AV37,AV38)+1,_xlfn.RANK.EQ(AV38,AV$2:AV$111,0)),"")</f>
        <v/>
      </c>
      <c r="AX38" s="1" t="str">
        <f>IF(ISNUMBER(AV38)=TRUE,IF(_xlfn.RANK.EQ(AV38,$AV$2:$AV$111)&lt;='Tournament Setup'!$B$34,_xlfn.RANK.EQ(AV38,$AV$2:$AV$111),""),"")</f>
        <v/>
      </c>
      <c r="AY38" s="31" t="str">
        <f>IF(AND($F38='Tournament Setup'!$A$34,SUM($Q38,$S38)=0,$E38="M",$AX38&gt;'Tournament Setup'!$B$34),$I38,"")</f>
        <v/>
      </c>
      <c r="AZ38" s="1" t="str">
        <f>IF(ISNUMBER(AY38)=TRUE,IF(_xlfn.RANK.EQ(AY38,$AY$2:$AY$111)&lt;='Tournament Setup'!$C$34,_xlfn.RANK.EQ(AY38,$AY$2:$AY$111),""),"")</f>
        <v/>
      </c>
      <c r="BA38" s="31" t="str">
        <f>IF(AND($F38='Tournament Setup'!$A$34,SUM($Q38,$U38)=0,$E38="F",$AX38&gt;'Tournament Setup'!$B$34),$I38,"")</f>
        <v/>
      </c>
      <c r="BB38" s="12" t="str">
        <f>IF(ISNUMBER(BA38)=TRUE,IF(_xlfn.RANK.EQ(BA38,$BA$2:$BA$111)&lt;='Tournament Setup'!$D$34,_xlfn.RANK.EQ(BA38,$BA$2:$BA$111),""),"")</f>
        <v/>
      </c>
      <c r="BC38" s="30" t="str">
        <f>IF(AND($G38='Tournament Setup'!$A$52,$J38&lt;&gt;0),$J38,"")</f>
        <v/>
      </c>
      <c r="BD38" s="47" t="str">
        <f>IF(ISNUMBER(BC38),IF(COUNTIFS(BD$1:BD37,_xlfn.RANK.EQ(BC38,BC$2:BC$111,0))&gt;0,_xlfn.MAXIFS(BD$1:BD37,BC$1:BC37,BC38)+1,_xlfn.RANK.EQ(BC38,BC$2:BC$111,0)),"")</f>
        <v/>
      </c>
      <c r="BE38" s="1" t="str">
        <f>IF(ISNUMBER(BC38)=TRUE,IF(_xlfn.RANK.EQ(BC38,$BC$2:$BC$111)&lt;='Tournament Setup'!$B$49,_xlfn.RANK.EQ(BC38,$BC$2:$BC$111),""),"")</f>
        <v/>
      </c>
      <c r="BF38" s="30">
        <f>IF(AND($F38='Tournament Setup'!$A$35,SUM($Q38,$S38,$U38)=0),$I38,"")</f>
        <v>85</v>
      </c>
      <c r="BG38" s="47">
        <f>IF(ISNUMBER(BF38),IF(COUNTIFS(BG$1:BG37,_xlfn.RANK.EQ(BF38,BF$2:BF$111,0))&gt;0,_xlfn.MAXIFS(BG$1:BG37,BF$1:BF37,BF38)+1,_xlfn.RANK.EQ(BF38,BF$2:BF$111,0)),"")</f>
        <v>1</v>
      </c>
      <c r="BH38" s="1">
        <f>IF(ISNUMBER(BF38)=TRUE,IF(_xlfn.RANK.EQ(BF38,$BF$2:$BF$111)&lt;='Tournament Setup'!$B$35,_xlfn.RANK.EQ(BF38,$BF$2:$BF$111),""),"")</f>
        <v>1</v>
      </c>
      <c r="BI38" s="31" t="str">
        <f>IF(AND($F38='Tournament Setup'!$A$35,SUM($Q38,$S38)=0,$E38="M",$BH38&gt;'Tournament Setup'!$B$35),$I38,"")</f>
        <v/>
      </c>
      <c r="BJ38" s="1" t="str">
        <f>IF(ISNUMBER(BI38)=TRUE,IF(_xlfn.RANK.EQ(BI38,$BI$2:$BI$111)&lt;='Tournament Setup'!$C$35,_xlfn.RANK.EQ(BI38,$BI$2:$BI$111),""),"")</f>
        <v/>
      </c>
      <c r="BK38" s="31" t="str">
        <f>IF(AND($F38='Tournament Setup'!$A$35,SUM($Q38,$U38)=0,$E38="F",$BH38&gt;'Tournament Setup'!$B$35),$I38,"")</f>
        <v/>
      </c>
      <c r="BL38" s="12" t="str">
        <f>IF(ISNUMBER(BK38)=TRUE,IF(_xlfn.RANK.EQ(BK38,$BK$2:$BK$111)&lt;='Tournament Setup'!$D$35,_xlfn.RANK.EQ(BK38,$BK$2:$BK$111),""),"")</f>
        <v/>
      </c>
      <c r="BM38" s="30" t="str">
        <f>IF(AND($G38='Tournament Setup'!$A$54,$J38&lt;&gt;0),$J38,"")</f>
        <v/>
      </c>
      <c r="BN38" s="47" t="str">
        <f>IF(ISNUMBER(BM38),IF(COUNTIFS(BN$1:BN37,_xlfn.RANK.EQ(BM38,BM$2:BM$111,0))&gt;0,_xlfn.MAXIFS(BN$1:BN37,BM$1:BM37,BM38)+1,_xlfn.RANK.EQ(BM38,BM$2:BM$111,0)),"")</f>
        <v/>
      </c>
      <c r="BO38" s="1" t="str">
        <f>IF(ISNUMBER(BM38)=TRUE,IF(_xlfn.RANK.EQ(BM38,$BM$2:$BM$111)&lt;='Tournament Setup'!$B$49,_xlfn.RANK.EQ(BM38,$BM$2:$BM$111),""),"")</f>
        <v/>
      </c>
      <c r="BP38" s="30" t="str">
        <f>IF(AND($F38='Tournament Setup'!$A$36,SUM($Q38,$S38,$U38)=0),$I38,"")</f>
        <v/>
      </c>
      <c r="BQ38" s="47" t="str">
        <f>IF(ISNUMBER(BP38),IF(COUNTIFS(BQ$1:BQ37,_xlfn.RANK.EQ(BP38,BP$2:BP$111,0))&gt;0,_xlfn.MAXIFS(BQ$1:BQ37,BP$1:BP37,BP38)+1,_xlfn.RANK.EQ(BP38,BP$2:BP$111,0)),"")</f>
        <v/>
      </c>
      <c r="BR38" s="1" t="str">
        <f>IF(ISNUMBER(BP38)=TRUE,IF(_xlfn.RANK.EQ(BP38,$BP$2:$BP$111)&lt;='Tournament Setup'!$B$36,_xlfn.RANK.EQ(BP38,$BP$2:$BP$111),""),"")</f>
        <v/>
      </c>
      <c r="BS38" s="31" t="str">
        <f>IF(AND($F38='Tournament Setup'!$A$36,SUM($Q38,$S38)=0,$E38="M",$BR38&gt;'Tournament Setup'!$B$36),$I38,"")</f>
        <v/>
      </c>
      <c r="BT38" s="1" t="str">
        <f>IF(ISNUMBER(BS38)=TRUE,IF(_xlfn.RANK.EQ(BS38,$BS$2:$BS$111)&lt;='Tournament Setup'!$C$36,_xlfn.RANK.EQ(BS38,$BS$2:$BS$111),""),"")</f>
        <v/>
      </c>
      <c r="BU38" s="31" t="str">
        <f>IF(AND($F38='Tournament Setup'!$A$36,SUM($Q38,$U38)=0,$E38="F",$BR38&gt;'Tournament Setup'!$B$36),$I38,"")</f>
        <v/>
      </c>
      <c r="BV38" s="12" t="str">
        <f>IF(ISNUMBER(BU38)=TRUE,IF(_xlfn.RANK.EQ(BU38,$BU$2:$BU$111)&lt;='Tournament Setup'!$D$36,_xlfn.RANK.EQ(BU38,$BU$2:$BU$111),""),"")</f>
        <v/>
      </c>
      <c r="BW38" s="30" t="str">
        <f>IF($H38='Tournament Setup'!$A$41,$I38,"")</f>
        <v/>
      </c>
      <c r="BX38" s="47" t="str">
        <f>IF(ISNUMBER(BW38),IF(COUNTIFS(BX$1:BX37,_xlfn.RANK.EQ(BW38,BW$2:BW$111,0))&gt;0,_xlfn.MAXIFS(BX$1:BX37,BW$1:BW37,BW38)+1,_xlfn.RANK.EQ(BW38,BW$2:BW$111,0)),"")</f>
        <v/>
      </c>
      <c r="BY38" s="1" t="str">
        <f>IF(ISNUMBER(BW38)=TRUE,IF(_xlfn.RANK.EQ(BW38,$BW$2:$BW$111)&lt;='Tournament Setup'!$B$41,_xlfn.RANK.EQ(BW38,$BW$2:$BW$111),""),"")</f>
        <v/>
      </c>
      <c r="BZ38" s="31" t="str">
        <f>IF(AND($H38='Tournament Setup'!$A$41,$E38="M",$BY38&gt;'Tournament Setup'!$B$41),$I38,"")</f>
        <v/>
      </c>
      <c r="CA38" s="1" t="str">
        <f>IF(ISNUMBER(BZ38)=TRUE,IF(_xlfn.RANK.EQ(BZ38,$BZ$2:$BZ$111)&lt;='Tournament Setup'!$C$41,_xlfn.RANK.EQ(BZ38,$BZ$2:$BZ$111),""),"")</f>
        <v/>
      </c>
      <c r="CB38" s="31" t="str">
        <f>IF(AND($H38='Tournament Setup'!$A$41,$E38="F",$BY38&gt;'Tournament Setup'!$B$41),$I38,"")</f>
        <v/>
      </c>
      <c r="CC38" s="12" t="str">
        <f>IF(ISNUMBER(CB38)=TRUE,IF(_xlfn.RANK.EQ(CB38,$CB$2:$CB$111)&lt;='Tournament Setup'!$D$41,_xlfn.RANK.EQ(CB38,$CB$2:$CB$111),""),"")</f>
        <v/>
      </c>
      <c r="CD38" s="30">
        <f>IF($H38='Tournament Setup'!$A$42,$I38,"")</f>
        <v>85</v>
      </c>
      <c r="CE38" s="47">
        <f>IF(ISNUMBER(CD38),IF(COUNTIFS(CE$1:CE37,_xlfn.RANK.EQ(CD38,CD$2:CD$111,0))&gt;0,_xlfn.MAXIFS(CE$1:CE37,CD$1:CD37,CD38)+1,_xlfn.RANK.EQ(CD38,CD$2:CD$111,0)),"")</f>
        <v>8</v>
      </c>
      <c r="CF38" s="1" t="str">
        <f>IF(ISNUMBER(CD38)=TRUE,IF(_xlfn.RANK.EQ(CD38,$CD$2:$CD$111)&lt;='Tournament Setup'!$B$42,_xlfn.RANK.EQ(CD38,$CD$2:$CD$111),""),"")</f>
        <v/>
      </c>
      <c r="CG38" s="31">
        <f>IF(AND($H38='Tournament Setup'!$A$42,$E38="M",$CF38&gt;'Tournament Setup'!$B$42),$I38,"")</f>
        <v>85</v>
      </c>
      <c r="CH38" s="1" t="str">
        <f>IF(ISNUMBER(CG38)=TRUE,IF(_xlfn.RANK.EQ(CG38,$CG$2:$CG$111)&lt;='Tournament Setup'!$C$42,_xlfn.RANK.EQ(CG38,$CG$2:$CG$111),""),"")</f>
        <v/>
      </c>
      <c r="CI38" s="31" t="str">
        <f>IF(AND($H38='Tournament Setup'!$A$42,$E38="F",$CF38&gt;'Tournament Setup'!$B$42),$I38,"")</f>
        <v/>
      </c>
      <c r="CJ38" s="12" t="str">
        <f>IF(ISNUMBER(CI38)=TRUE,IF(_xlfn.RANK.EQ(CI38,$CI$2:$CI$111)&lt;='Tournament Setup'!$D$42,_xlfn.RANK.EQ(CI38,$CI$2:$CI$111),""),"")</f>
        <v/>
      </c>
      <c r="CK38" s="30" t="str">
        <f>IF($H38='Tournament Setup'!$A$43,$I38,"")</f>
        <v/>
      </c>
      <c r="CL38" s="47" t="str">
        <f>IF(ISNUMBER(CK38),IF(COUNTIFS(CL$1:CL37,_xlfn.RANK.EQ(CK38,CK$2:CK$111,0))&gt;0,_xlfn.MAXIFS(CL$1:CL37,CK$1:CK37,CK38)+1,_xlfn.RANK.EQ(CK38,CK$2:CK$111,0)),"")</f>
        <v/>
      </c>
      <c r="CM38" s="1" t="str">
        <f>IF(ISNUMBER(CK38)=TRUE,IF(_xlfn.RANK.EQ(CK38,$CK$2:$CK$111)&lt;='Tournament Setup'!$B$43,_xlfn.RANK.EQ(CK38,$CK$2:$CK$111),""),"")</f>
        <v/>
      </c>
      <c r="CN38" s="31" t="str">
        <f>IF(AND($H38='Tournament Setup'!$A$43,$E38="M",$CM38&gt;'Tournament Setup'!$B$43),$I38,"")</f>
        <v/>
      </c>
      <c r="CO38" s="1" t="str">
        <f>IF(ISNUMBER(CN38)=TRUE,IF(_xlfn.RANK.EQ(CN38,$CN$2:$CN$111)&lt;='Tournament Setup'!$C$43,_xlfn.RANK.EQ(CN38,$CN$2:$CN$111),""),"")</f>
        <v/>
      </c>
      <c r="CP38" s="31" t="str">
        <f>IF(AND($H38='Tournament Setup'!$A$43,$E38="F",$CM38&gt;'Tournament Setup'!$B$43),$I38,"")</f>
        <v/>
      </c>
      <c r="CQ38" s="12" t="str">
        <f>IF(ISNUMBER(CP38)=TRUE,IF(_xlfn.RANK.EQ(CP38,$CP$2:$CP$111)&lt;='Tournament Setup'!$D$43,_xlfn.RANK.EQ(CP38,$CP$2:$CP$111),""),"")</f>
        <v/>
      </c>
      <c r="CR38" s="30" t="str">
        <f>IF($H38='Tournament Setup'!$A$44,$I38,"")</f>
        <v/>
      </c>
      <c r="CS38" s="47" t="str">
        <f>IF(ISNUMBER(CR38),IF(COUNTIFS(CS$1:CS37,_xlfn.RANK.EQ(CR38,CR$2:CR$111,0))&gt;0,_xlfn.MAXIFS(CS$1:CS37,CR$1:CR37,CR38)+1,_xlfn.RANK.EQ(CR38,CR$2:CR$111,0)),"")</f>
        <v/>
      </c>
      <c r="CT38" s="1" t="str">
        <f>IF(ISNUMBER(CR38)=TRUE,IF(_xlfn.RANK.EQ(CR38,$CR$2:$CR$111)&lt;='Tournament Setup'!$B$44,_xlfn.RANK.EQ(CR38,$CR$2:$CR$111),""),"")</f>
        <v/>
      </c>
      <c r="CU38" s="31" t="str">
        <f>IF(AND($H38='Tournament Setup'!$A$44,$E38="M",$CT38&gt;'Tournament Setup'!$B$44),$I38,"")</f>
        <v/>
      </c>
      <c r="CV38" s="1" t="str">
        <f>IF(ISNUMBER(CU38)=TRUE,IF(_xlfn.RANK.EQ(CU38,$CU$2:$CU$111)&lt;='Tournament Setup'!$C$44,_xlfn.RANK.EQ(CU38,$CU$2:$CU$111),""),"")</f>
        <v/>
      </c>
      <c r="CW38" s="31" t="str">
        <f>IF(AND($H38='Tournament Setup'!$A$44,$E38="F",$CT38&gt;'Tournament Setup'!$B$44),$I38,"")</f>
        <v/>
      </c>
      <c r="CX38" s="12" t="str">
        <f>IF(ISNUMBER(CW38)=TRUE,IF(_xlfn.RANK.EQ(CW38,$CW$2:$CW$111)&lt;='Tournament Setup'!$D$44,_xlfn.RANK.EQ(CW38,$CW$2:$CW$111),""),"")</f>
        <v/>
      </c>
    </row>
    <row r="39" spans="1:102" x14ac:dyDescent="0.3">
      <c r="A39" t="s">
        <v>194</v>
      </c>
      <c r="B39" t="str">
        <f>IFERROR(INDEX('Tournament List'!$B:$B,MATCH($A39,'Tournament List'!$A:$A,0)),"")</f>
        <v>Stuart</v>
      </c>
      <c r="C39" t="str">
        <f>IFERROR(INDEX('Tournament List'!$C:$C,MATCH($A39,'Tournament List'!$A:$A,0)),"")</f>
        <v>Last Name38</v>
      </c>
      <c r="D39" t="str">
        <f t="shared" si="1"/>
        <v>Stuart Last Name38</v>
      </c>
      <c r="E39" s="1" t="str">
        <f>IFERROR(INDEX('Tournament List'!F:F,MATCH($A39,'Tournament List'!$A:$A,0)),"")</f>
        <v>M</v>
      </c>
      <c r="F39" t="str">
        <f>IFERROR(INDEX('Tournament List'!M:M,MATCH($A39,'Tournament List'!$A:$A,0)),"")</f>
        <v>Junior Varsity</v>
      </c>
      <c r="G39" t="str">
        <f>IFERROR(INDEX('Shooter-Squad Assignment'!L:L,MATCH(A39,'Shooter-Squad Assignment'!A:A,0)),"")</f>
        <v>Junior Varsity</v>
      </c>
      <c r="H39" s="1" t="str">
        <f>IFERROR(INDEX('Tournament List'!AD:AD,MATCH($A39,'Tournament List'!$A:$A,0)),"")</f>
        <v>B</v>
      </c>
      <c r="I39" s="123">
        <f>IFERROR(INDEX('Tournament List'!AG:AG,MATCH($A39,'Tournament List'!$A:$A,0)),"")</f>
        <v>89</v>
      </c>
      <c r="J39" s="145" t="str">
        <f>IFERROR(INDEX('Tournament List'!Y:Y,MATCH($A39,'Tournament List'!$A:$A,0)),"")</f>
        <v/>
      </c>
      <c r="K39" s="47">
        <f>IFERROR(INDEX('Tournament List'!S:S,MATCH(A39,'Tournament List'!A:A,0)),"")</f>
        <v>235</v>
      </c>
      <c r="L39" s="47" t="str">
        <f>IF(ISNUMBER(J39),IF(COUNTIFS(L$1:L38,_xlfn.RANK.EQ(J39,J$2:J$111,0))&gt;0,_xlfn.MAXIFS(L$1:L38,J$1:J38,J39)+1,_xlfn.RANK.EQ(J39,J$2:J$111,0)),"")</f>
        <v/>
      </c>
      <c r="M39" s="11">
        <f>IF(ISNUMBER(I39)=TRUE,IF(I39&gt;0,_xlfn.RANK.EQ(I39,$I$2:$I$111,0),""),"")</f>
        <v>10</v>
      </c>
      <c r="N39" s="56">
        <f>IF(ISNUMBER(I39),IF(COUNTIFS(N$1:N38,_xlfn.RANK.EQ(I39,I$2:I$111,0))&gt;0,_xlfn.MAXIFS(N$1:N38,I$1:I38,I39)+1,_xlfn.RANK.EQ(I39,I$2:I$111,0)),"")</f>
        <v>10</v>
      </c>
      <c r="O39" s="144">
        <f>IF(F39&lt;&gt;"Collegiate"=TRUE,$I39,"")</f>
        <v>89</v>
      </c>
      <c r="P39" s="47">
        <f>IF(ISNUMBER(O39),IF(COUNTIFS(P$1:P38,_xlfn.RANK.EQ(O39,O$2:O$111,0))&gt;0,_xlfn.MAXIFS(P$1:P38,O$1:O38,O39)+1,_xlfn.RANK.EQ(O39,O$2:O$111,0)),"")</f>
        <v>8</v>
      </c>
      <c r="Q39" s="1" t="str">
        <f>IF(ISNUMBER(O39)=TRUE,IF(_xlfn.RANK.EQ(O39,$O$2:$O$111)&lt;='Tournament Setup'!$B$26,_xlfn.RANK.EQ(O39,$O$2:$O$111),""),"")</f>
        <v/>
      </c>
      <c r="R39" s="143">
        <f>IF(AND($E39="M",SUM($Q39)=0,F39&lt;&gt;"Collegiate")=TRUE,$I39,"")</f>
        <v>89</v>
      </c>
      <c r="S39" s="1">
        <f>IF(ISNUMBER(R39)=TRUE,IF(_xlfn.RANK.EQ(R39,$R$2:$R$111)&lt;='Tournament Setup'!$B$27,_xlfn.RANK.EQ(R39,$R$2:$R$111),""),"")</f>
        <v>2</v>
      </c>
      <c r="T39" s="143" t="str">
        <f>IF(AND($E39="F",SUM($Q39)=0,F39&lt;&gt;"Collegiate")=TRUE,$I39,"")</f>
        <v/>
      </c>
      <c r="U39" s="12" t="str">
        <f>IF(ISNUMBER(T39)=TRUE,IF(_xlfn.RANK.EQ(T39,$T$2:$T$111)&lt;='Tournament Setup'!$B$28,_xlfn.RANK.EQ(T39,$T$2:$T$111),""),"")</f>
        <v/>
      </c>
      <c r="V39" s="145" t="str">
        <f>IF(AND($G39='Tournament Setup'!$A$53,$J39&lt;&gt;0),$J39,"")</f>
        <v/>
      </c>
      <c r="W39" s="47" t="str">
        <f>IF(ISNUMBER(V39),IF(COUNTIFS(W$1:W38,_xlfn.RANK.EQ(V39,V$2:V$111,0))&gt;0,_xlfn.MAXIFS(W$1:W38,V$1:V38,V39)+1,_xlfn.RANK.EQ(V39,V$2:V$111,0)),"")</f>
        <v/>
      </c>
      <c r="X39" s="1" t="str">
        <f>IF(ISNUMBER(V39)=TRUE,IF(_xlfn.RANK.EQ(V39,$V$2:$V$111)&lt;='Tournament Setup'!$B$53,_xlfn.RANK.EQ(V39,$V$2:$V$111),""),"")</f>
        <v/>
      </c>
      <c r="Y39" s="145" t="str">
        <f>IF(AND($G39='Tournament Setup'!$A$49,$J39&lt;&gt;0),$J39,"")</f>
        <v/>
      </c>
      <c r="Z39" s="47" t="str">
        <f>IF(ISNUMBER(Y39),IF(COUNTIFS(Z$1:Z38,_xlfn.RANK.EQ(Y39,Y$2:Y$111,0))&gt;0,_xlfn.MAXIFS(Z$1:Z38,Y$1:Y38,Y39)+1,_xlfn.RANK.EQ(Y39,Y$2:Y$111,0)),"")</f>
        <v/>
      </c>
      <c r="AA39" s="1" t="str">
        <f>IF(ISNUMBER(Y39)=TRUE,IF(_xlfn.RANK.EQ(Y39,$Y$2:$Y$111)&lt;='Tournament Setup'!$B$49,_xlfn.RANK.EQ(Y39,$Y$2:$Y$111),""),"")</f>
        <v/>
      </c>
      <c r="AB39" s="30" t="str">
        <f>IF(AND($F39='Tournament Setup'!$A$32,SUM($Q39,$S39,$U39)=0),$I39,"")</f>
        <v/>
      </c>
      <c r="AC39" s="47" t="str">
        <f>IF(ISNUMBER(AB39),IF(COUNTIFS(AC$1:AC38,_xlfn.RANK.EQ(AB39,AB$2:AB$111,0))&gt;0,_xlfn.MAXIFS(AC$1:AC38,AB$1:AB38,AB39)+1,_xlfn.RANK.EQ(AB39,AB$2:AB$111,0)),"")</f>
        <v/>
      </c>
      <c r="AD39" s="1" t="str">
        <f>IF(ISNUMBER(AB39)=TRUE,IF(_xlfn.RANK.EQ(AB39,$AB$2:$AB$111)&lt;='Tournament Setup'!$B$32,_xlfn.RANK.EQ(AB39,$AB$2:$AB$111),""),"")</f>
        <v/>
      </c>
      <c r="AE39" s="31" t="str">
        <f>IF(AND($F39='Tournament Setup'!$A$32,SUM($Q39,$S39)=0,$E39="M",$AD39&gt;'Tournament Setup'!$B$32),$I39,"")</f>
        <v/>
      </c>
      <c r="AF39" s="1" t="str">
        <f>IF(ISNUMBER(AE39)=TRUE,IF(_xlfn.RANK.EQ(AE39,$AE$2:$AE$111)&lt;='Tournament Setup'!$C$32,_xlfn.RANK.EQ(AE39,$AE$2:$AE$111),""),"")</f>
        <v/>
      </c>
      <c r="AG39" s="31" t="str">
        <f>IF(AND($F39='Tournament Setup'!$A$32,SUM($Q39,$U39)=0,$E39="F",$AD39&gt;'Tournament Setup'!$B$32),$I39,"")</f>
        <v/>
      </c>
      <c r="AH39" s="12" t="str">
        <f>IF(ISNUMBER(AG39)=TRUE,IF(_xlfn.RANK.EQ(AG39,$AG$2:$AG$111)&lt;='Tournament Setup'!$D$32,_xlfn.RANK.EQ(AG39,$AG$2:$AG$111),""),"")</f>
        <v/>
      </c>
      <c r="AI39" s="30" t="str">
        <f>IF(AND($G39='Tournament Setup'!$A$50,$J39&lt;&gt;0),$J39,"")</f>
        <v/>
      </c>
      <c r="AJ39" s="47" t="str">
        <f>IF(ISNUMBER(AI39),IF(COUNTIFS(AJ$1:AJ38,_xlfn.RANK.EQ(AI39,AI$2:AI$111,0))&gt;0,_xlfn.MAXIFS(AJ$1:AJ38,AI$1:AI38,AI39)+1,_xlfn.RANK.EQ(AI39,AI$2:AI$111,0)),"")</f>
        <v/>
      </c>
      <c r="AK39" s="1" t="str">
        <f>IF(ISNUMBER(AI39)=TRUE,IF(_xlfn.RANK.EQ(AI39,$AI$2:$AI$111)&lt;='Tournament Setup'!$B$49,_xlfn.RANK.EQ(AI39,$AI$2:$AI$111),""),"")</f>
        <v/>
      </c>
      <c r="AL39" s="30" t="str">
        <f>IF(AND($F39='Tournament Setup'!$A$33,SUM($Q39,$S39,$U39)=0),$I39,"")</f>
        <v/>
      </c>
      <c r="AM39" s="47" t="str">
        <f>IF(ISNUMBER(AL39),IF(COUNTIFS(AM$1:AM38,_xlfn.RANK.EQ(AL39,AL$2:AL$111,0))&gt;0,_xlfn.MAXIFS(AM$1:AM38,AL$1:AL38,AL39)+1,_xlfn.RANK.EQ(AL39,AL$2:AL$111,0)),"")</f>
        <v/>
      </c>
      <c r="AN39" s="1" t="str">
        <f>IF(ISNUMBER(AL39)=TRUE,IF(_xlfn.RANK.EQ(AL39,$AL$2:$AL$111)&lt;='Tournament Setup'!$B$33,_xlfn.RANK.EQ(AL39,$AL$2:$AL$111),""),"")</f>
        <v/>
      </c>
      <c r="AO39" s="31" t="str">
        <f>IF(AND($F39='Tournament Setup'!$A$33,SUM($Q39,$S39)=0,$E39="M",$AN39&gt;'Tournament Setup'!$B$33),$I39,"")</f>
        <v/>
      </c>
      <c r="AP39" s="1" t="str">
        <f>IF(ISNUMBER(AO39)=TRUE,IF(_xlfn.RANK.EQ(AO39,$AO$2:$AO$111)&lt;='Tournament Setup'!$C$33,_xlfn.RANK.EQ(AO39,$AO$2:$AO$111),""),"")</f>
        <v/>
      </c>
      <c r="AQ39" s="31" t="str">
        <f>IF(AND($F39='Tournament Setup'!$A$33,SUM($Q39,$U39)=0,$E39="F",$AN39&gt;'Tournament Setup'!$B$33),$I39,"")</f>
        <v/>
      </c>
      <c r="AR39" s="12" t="str">
        <f>IF(ISNUMBER(AQ39)=TRUE,IF(_xlfn.RANK.EQ(AQ39,$AQ$2:$AQ$111)&lt;='Tournament Setup'!$D$33,_xlfn.RANK.EQ(AQ39,$AQ$2:$AQ$111),""),"")</f>
        <v/>
      </c>
      <c r="AS39" s="30" t="str">
        <f>IF(AND($G39='Tournament Setup'!$A$51,$J39&lt;&gt;0),$J39,"")</f>
        <v/>
      </c>
      <c r="AT39" s="47" t="str">
        <f>IF(ISNUMBER(AS39),IF(COUNTIFS(AT$1:AT38,_xlfn.RANK.EQ(AS39,AS$2:AS$111,0))&gt;0,_xlfn.MAXIFS(AT$1:AT38,AS$1:AS38,AS39)+1,_xlfn.RANK.EQ(AS39,AS$2:AS$111,0)),"")</f>
        <v/>
      </c>
      <c r="AU39" s="1" t="str">
        <f>IF(ISNUMBER(AS39)=TRUE,IF(_xlfn.RANK.EQ(AS39,$AS$2:$AS$111)&lt;='Tournament Setup'!$B$49,_xlfn.RANK.EQ(AS39,$AS$2:$AS$111),""),"")</f>
        <v/>
      </c>
      <c r="AV39" s="30" t="str">
        <f>IF(AND($F39='Tournament Setup'!$A$34,SUM($Q39,$S39,$U39)=0),$I39,"")</f>
        <v/>
      </c>
      <c r="AW39" s="47" t="str">
        <f>IF(ISNUMBER(AV39),IF(COUNTIFS(AW$1:AW38,_xlfn.RANK.EQ(AV39,AV$2:AV$111,0))&gt;0,_xlfn.MAXIFS(AW$1:AW38,AV$1:AV38,AV39)+1,_xlfn.RANK.EQ(AV39,AV$2:AV$111,0)),"")</f>
        <v/>
      </c>
      <c r="AX39" s="1" t="str">
        <f>IF(ISNUMBER(AV39)=TRUE,IF(_xlfn.RANK.EQ(AV39,$AV$2:$AV$111)&lt;='Tournament Setup'!$B$34,_xlfn.RANK.EQ(AV39,$AV$2:$AV$111),""),"")</f>
        <v/>
      </c>
      <c r="AY39" s="31" t="str">
        <f>IF(AND($F39='Tournament Setup'!$A$34,SUM($Q39,$S39)=0,$E39="M",$AX39&gt;'Tournament Setup'!$B$34),$I39,"")</f>
        <v/>
      </c>
      <c r="AZ39" s="1" t="str">
        <f>IF(ISNUMBER(AY39)=TRUE,IF(_xlfn.RANK.EQ(AY39,$AY$2:$AY$111)&lt;='Tournament Setup'!$C$34,_xlfn.RANK.EQ(AY39,$AY$2:$AY$111),""),"")</f>
        <v/>
      </c>
      <c r="BA39" s="31" t="str">
        <f>IF(AND($F39='Tournament Setup'!$A$34,SUM($Q39,$U39)=0,$E39="F",$AX39&gt;'Tournament Setup'!$B$34),$I39,"")</f>
        <v/>
      </c>
      <c r="BB39" s="12" t="str">
        <f>IF(ISNUMBER(BA39)=TRUE,IF(_xlfn.RANK.EQ(BA39,$BA$2:$BA$111)&lt;='Tournament Setup'!$D$34,_xlfn.RANK.EQ(BA39,$BA$2:$BA$111),""),"")</f>
        <v/>
      </c>
      <c r="BC39" s="30" t="str">
        <f>IF(AND($G39='Tournament Setup'!$A$52,$J39&lt;&gt;0),$J39,"")</f>
        <v/>
      </c>
      <c r="BD39" s="47" t="str">
        <f>IF(ISNUMBER(BC39),IF(COUNTIFS(BD$1:BD38,_xlfn.RANK.EQ(BC39,BC$2:BC$111,0))&gt;0,_xlfn.MAXIFS(BD$1:BD38,BC$1:BC38,BC39)+1,_xlfn.RANK.EQ(BC39,BC$2:BC$111,0)),"")</f>
        <v/>
      </c>
      <c r="BE39" s="1" t="str">
        <f>IF(ISNUMBER(BC39)=TRUE,IF(_xlfn.RANK.EQ(BC39,$BC$2:$BC$111)&lt;='Tournament Setup'!$B$49,_xlfn.RANK.EQ(BC39,$BC$2:$BC$111),""),"")</f>
        <v/>
      </c>
      <c r="BF39" s="30" t="str">
        <f>IF(AND($F39='Tournament Setup'!$A$35,SUM($Q39,$S39,$U39)=0),$I39,"")</f>
        <v/>
      </c>
      <c r="BG39" s="47" t="str">
        <f>IF(ISNUMBER(BF39),IF(COUNTIFS(BG$1:BG38,_xlfn.RANK.EQ(BF39,BF$2:BF$111,0))&gt;0,_xlfn.MAXIFS(BG$1:BG38,BF$1:BF38,BF39)+1,_xlfn.RANK.EQ(BF39,BF$2:BF$111,0)),"")</f>
        <v/>
      </c>
      <c r="BH39" s="1" t="str">
        <f>IF(ISNUMBER(BF39)=TRUE,IF(_xlfn.RANK.EQ(BF39,$BF$2:$BF$111)&lt;='Tournament Setup'!$B$35,_xlfn.RANK.EQ(BF39,$BF$2:$BF$111),""),"")</f>
        <v/>
      </c>
      <c r="BI39" s="31" t="str">
        <f>IF(AND($F39='Tournament Setup'!$A$35,SUM($Q39,$S39)=0,$E39="M",$BH39&gt;'Tournament Setup'!$B$35),$I39,"")</f>
        <v/>
      </c>
      <c r="BJ39" s="1" t="str">
        <f>IF(ISNUMBER(BI39)=TRUE,IF(_xlfn.RANK.EQ(BI39,$BI$2:$BI$111)&lt;='Tournament Setup'!$C$35,_xlfn.RANK.EQ(BI39,$BI$2:$BI$111),""),"")</f>
        <v/>
      </c>
      <c r="BK39" s="31" t="str">
        <f>IF(AND($F39='Tournament Setup'!$A$35,SUM($Q39,$U39)=0,$E39="F",$BH39&gt;'Tournament Setup'!$B$35),$I39,"")</f>
        <v/>
      </c>
      <c r="BL39" s="12" t="str">
        <f>IF(ISNUMBER(BK39)=TRUE,IF(_xlfn.RANK.EQ(BK39,$BK$2:$BK$111)&lt;='Tournament Setup'!$D$35,_xlfn.RANK.EQ(BK39,$BK$2:$BK$111),""),"")</f>
        <v/>
      </c>
      <c r="BM39" s="30" t="str">
        <f>IF(AND($G39='Tournament Setup'!$A$54,$J39&lt;&gt;0),$J39,"")</f>
        <v/>
      </c>
      <c r="BN39" s="47" t="str">
        <f>IF(ISNUMBER(BM39),IF(COUNTIFS(BN$1:BN38,_xlfn.RANK.EQ(BM39,BM$2:BM$111,0))&gt;0,_xlfn.MAXIFS(BN$1:BN38,BM$1:BM38,BM39)+1,_xlfn.RANK.EQ(BM39,BM$2:BM$111,0)),"")</f>
        <v/>
      </c>
      <c r="BO39" s="1" t="str">
        <f>IF(ISNUMBER(BM39)=TRUE,IF(_xlfn.RANK.EQ(BM39,$BM$2:$BM$111)&lt;='Tournament Setup'!$B$49,_xlfn.RANK.EQ(BM39,$BM$2:$BM$111),""),"")</f>
        <v/>
      </c>
      <c r="BP39" s="30" t="str">
        <f>IF(AND($F39='Tournament Setup'!$A$36,SUM($Q39,$S39,$U39)=0),$I39,"")</f>
        <v/>
      </c>
      <c r="BQ39" s="47" t="str">
        <f>IF(ISNUMBER(BP39),IF(COUNTIFS(BQ$1:BQ38,_xlfn.RANK.EQ(BP39,BP$2:BP$111,0))&gt;0,_xlfn.MAXIFS(BQ$1:BQ38,BP$1:BP38,BP39)+1,_xlfn.RANK.EQ(BP39,BP$2:BP$111,0)),"")</f>
        <v/>
      </c>
      <c r="BR39" s="1" t="str">
        <f>IF(ISNUMBER(BP39)=TRUE,IF(_xlfn.RANK.EQ(BP39,$BP$2:$BP$111)&lt;='Tournament Setup'!$B$36,_xlfn.RANK.EQ(BP39,$BP$2:$BP$111),""),"")</f>
        <v/>
      </c>
      <c r="BS39" s="31" t="str">
        <f>IF(AND($F39='Tournament Setup'!$A$36,SUM($Q39,$S39)=0,$E39="M",$BR39&gt;'Tournament Setup'!$B$36),$I39,"")</f>
        <v/>
      </c>
      <c r="BT39" s="1" t="str">
        <f>IF(ISNUMBER(BS39)=TRUE,IF(_xlfn.RANK.EQ(BS39,$BS$2:$BS$111)&lt;='Tournament Setup'!$C$36,_xlfn.RANK.EQ(BS39,$BS$2:$BS$111),""),"")</f>
        <v/>
      </c>
      <c r="BU39" s="31" t="str">
        <f>IF(AND($F39='Tournament Setup'!$A$36,SUM($Q39,$U39)=0,$E39="F",$BR39&gt;'Tournament Setup'!$B$36),$I39,"")</f>
        <v/>
      </c>
      <c r="BV39" s="12" t="str">
        <f>IF(ISNUMBER(BU39)=TRUE,IF(_xlfn.RANK.EQ(BU39,$BU$2:$BU$111)&lt;='Tournament Setup'!$D$36,_xlfn.RANK.EQ(BU39,$BU$2:$BU$111),""),"")</f>
        <v/>
      </c>
      <c r="BW39" s="30" t="str">
        <f>IF($H39='Tournament Setup'!$A$41,$I39,"")</f>
        <v/>
      </c>
      <c r="BX39" s="47" t="str">
        <f>IF(ISNUMBER(BW39),IF(COUNTIFS(BX$1:BX38,_xlfn.RANK.EQ(BW39,BW$2:BW$111,0))&gt;0,_xlfn.MAXIFS(BX$1:BX38,BW$1:BW38,BW39)+1,_xlfn.RANK.EQ(BW39,BW$2:BW$111,0)),"")</f>
        <v/>
      </c>
      <c r="BY39" s="1" t="str">
        <f>IF(ISNUMBER(BW39)=TRUE,IF(_xlfn.RANK.EQ(BW39,$BW$2:$BW$111)&lt;='Tournament Setup'!$B$41,_xlfn.RANK.EQ(BW39,$BW$2:$BW$111),""),"")</f>
        <v/>
      </c>
      <c r="BZ39" s="31" t="str">
        <f>IF(AND($H39='Tournament Setup'!$A$41,$E39="M",$BY39&gt;'Tournament Setup'!$B$41),$I39,"")</f>
        <v/>
      </c>
      <c r="CA39" s="1" t="str">
        <f>IF(ISNUMBER(BZ39)=TRUE,IF(_xlfn.RANK.EQ(BZ39,$BZ$2:$BZ$111)&lt;='Tournament Setup'!$C$41,_xlfn.RANK.EQ(BZ39,$BZ$2:$BZ$111),""),"")</f>
        <v/>
      </c>
      <c r="CB39" s="31" t="str">
        <f>IF(AND($H39='Tournament Setup'!$A$41,$E39="F",$BY39&gt;'Tournament Setup'!$B$41),$I39,"")</f>
        <v/>
      </c>
      <c r="CC39" s="12" t="str">
        <f>IF(ISNUMBER(CB39)=TRUE,IF(_xlfn.RANK.EQ(CB39,$CB$2:$CB$111)&lt;='Tournament Setup'!$D$41,_xlfn.RANK.EQ(CB39,$CB$2:$CB$111),""),"")</f>
        <v/>
      </c>
      <c r="CD39" s="30">
        <f>IF($H39='Tournament Setup'!$A$42,$I39,"")</f>
        <v>89</v>
      </c>
      <c r="CE39" s="47">
        <f>IF(ISNUMBER(CD39),IF(COUNTIFS(CE$1:CE38,_xlfn.RANK.EQ(CD39,CD$2:CD$111,0))&gt;0,_xlfn.MAXIFS(CE$1:CE38,CD$1:CD38,CD39)+1,_xlfn.RANK.EQ(CD39,CD$2:CD$111,0)),"")</f>
        <v>6</v>
      </c>
      <c r="CF39" s="1" t="str">
        <f>IF(ISNUMBER(CD39)=TRUE,IF(_xlfn.RANK.EQ(CD39,$CD$2:$CD$111)&lt;='Tournament Setup'!$B$42,_xlfn.RANK.EQ(CD39,$CD$2:$CD$111),""),"")</f>
        <v/>
      </c>
      <c r="CG39" s="31">
        <f>IF(AND($H39='Tournament Setup'!$A$42,$E39="M",$CF39&gt;'Tournament Setup'!$B$42),$I39,"")</f>
        <v>89</v>
      </c>
      <c r="CH39" s="1">
        <f>IF(ISNUMBER(CG39)=TRUE,IF(_xlfn.RANK.EQ(CG39,$CG$2:$CG$111)&lt;='Tournament Setup'!$C$42,_xlfn.RANK.EQ(CG39,$CG$2:$CG$111),""),"")</f>
        <v>2</v>
      </c>
      <c r="CI39" s="31" t="str">
        <f>IF(AND($H39='Tournament Setup'!$A$42,$E39="F",$CF39&gt;'Tournament Setup'!$B$42),$I39,"")</f>
        <v/>
      </c>
      <c r="CJ39" s="12" t="str">
        <f>IF(ISNUMBER(CI39)=TRUE,IF(_xlfn.RANK.EQ(CI39,$CI$2:$CI$111)&lt;='Tournament Setup'!$D$42,_xlfn.RANK.EQ(CI39,$CI$2:$CI$111),""),"")</f>
        <v/>
      </c>
      <c r="CK39" s="30" t="str">
        <f>IF($H39='Tournament Setup'!$A$43,$I39,"")</f>
        <v/>
      </c>
      <c r="CL39" s="47" t="str">
        <f>IF(ISNUMBER(CK39),IF(COUNTIFS(CL$1:CL38,_xlfn.RANK.EQ(CK39,CK$2:CK$111,0))&gt;0,_xlfn.MAXIFS(CL$1:CL38,CK$1:CK38,CK39)+1,_xlfn.RANK.EQ(CK39,CK$2:CK$111,0)),"")</f>
        <v/>
      </c>
      <c r="CM39" s="1" t="str">
        <f>IF(ISNUMBER(CK39)=TRUE,IF(_xlfn.RANK.EQ(CK39,$CK$2:$CK$111)&lt;='Tournament Setup'!$B$43,_xlfn.RANK.EQ(CK39,$CK$2:$CK$111),""),"")</f>
        <v/>
      </c>
      <c r="CN39" s="31" t="str">
        <f>IF(AND($H39='Tournament Setup'!$A$43,$E39="M",$CM39&gt;'Tournament Setup'!$B$43),$I39,"")</f>
        <v/>
      </c>
      <c r="CO39" s="1" t="str">
        <f>IF(ISNUMBER(CN39)=TRUE,IF(_xlfn.RANK.EQ(CN39,$CN$2:$CN$111)&lt;='Tournament Setup'!$C$43,_xlfn.RANK.EQ(CN39,$CN$2:$CN$111),""),"")</f>
        <v/>
      </c>
      <c r="CP39" s="31" t="str">
        <f>IF(AND($H39='Tournament Setup'!$A$43,$E39="F",$CM39&gt;'Tournament Setup'!$B$43),$I39,"")</f>
        <v/>
      </c>
      <c r="CQ39" s="12" t="str">
        <f>IF(ISNUMBER(CP39)=TRUE,IF(_xlfn.RANK.EQ(CP39,$CP$2:$CP$111)&lt;='Tournament Setup'!$D$43,_xlfn.RANK.EQ(CP39,$CP$2:$CP$111),""),"")</f>
        <v/>
      </c>
      <c r="CR39" s="30" t="str">
        <f>IF($H39='Tournament Setup'!$A$44,$I39,"")</f>
        <v/>
      </c>
      <c r="CS39" s="47" t="str">
        <f>IF(ISNUMBER(CR39),IF(COUNTIFS(CS$1:CS38,_xlfn.RANK.EQ(CR39,CR$2:CR$111,0))&gt;0,_xlfn.MAXIFS(CS$1:CS38,CR$1:CR38,CR39)+1,_xlfn.RANK.EQ(CR39,CR$2:CR$111,0)),"")</f>
        <v/>
      </c>
      <c r="CT39" s="1" t="str">
        <f>IF(ISNUMBER(CR39)=TRUE,IF(_xlfn.RANK.EQ(CR39,$CR$2:$CR$111)&lt;='Tournament Setup'!$B$44,_xlfn.RANK.EQ(CR39,$CR$2:$CR$111),""),"")</f>
        <v/>
      </c>
      <c r="CU39" s="31" t="str">
        <f>IF(AND($H39='Tournament Setup'!$A$44,$E39="M",$CT39&gt;'Tournament Setup'!$B$44),$I39,"")</f>
        <v/>
      </c>
      <c r="CV39" s="1" t="str">
        <f>IF(ISNUMBER(CU39)=TRUE,IF(_xlfn.RANK.EQ(CU39,$CU$2:$CU$111)&lt;='Tournament Setup'!$C$44,_xlfn.RANK.EQ(CU39,$CU$2:$CU$111),""),"")</f>
        <v/>
      </c>
      <c r="CW39" s="31" t="str">
        <f>IF(AND($H39='Tournament Setup'!$A$44,$E39="F",$CT39&gt;'Tournament Setup'!$B$44),$I39,"")</f>
        <v/>
      </c>
      <c r="CX39" s="12" t="str">
        <f>IF(ISNUMBER(CW39)=TRUE,IF(_xlfn.RANK.EQ(CW39,$CW$2:$CW$111)&lt;='Tournament Setup'!$D$44,_xlfn.RANK.EQ(CW39,$CW$2:$CW$111),""),"")</f>
        <v/>
      </c>
    </row>
    <row r="40" spans="1:102" x14ac:dyDescent="0.3">
      <c r="A40" t="s">
        <v>195</v>
      </c>
      <c r="B40" t="str">
        <f>IFERROR(INDEX('Tournament List'!$B:$B,MATCH($A40,'Tournament List'!$A:$A,0)),"")</f>
        <v>Chad</v>
      </c>
      <c r="C40" t="str">
        <f>IFERROR(INDEX('Tournament List'!$C:$C,MATCH($A40,'Tournament List'!$A:$A,0)),"")</f>
        <v>Last Name39</v>
      </c>
      <c r="D40" t="str">
        <f t="shared" si="1"/>
        <v>Chad Last Name39</v>
      </c>
      <c r="E40" s="1" t="str">
        <f>IFERROR(INDEX('Tournament List'!F:F,MATCH($A40,'Tournament List'!$A:$A,0)),"")</f>
        <v>M</v>
      </c>
      <c r="F40" t="str">
        <f>IFERROR(INDEX('Tournament List'!M:M,MATCH($A40,'Tournament List'!$A:$A,0)),"")</f>
        <v>Collegiate</v>
      </c>
      <c r="G40" t="str">
        <f>IFERROR(INDEX('Shooter-Squad Assignment'!L:L,MATCH(A40,'Shooter-Squad Assignment'!A:A,0)),"")</f>
        <v>Collegiate</v>
      </c>
      <c r="H40" s="1" t="str">
        <f>IFERROR(INDEX('Tournament List'!AD:AD,MATCH($A40,'Tournament List'!$A:$A,0)),"")</f>
        <v>C</v>
      </c>
      <c r="I40" s="123">
        <f>IFERROR(INDEX('Tournament List'!AG:AG,MATCH($A40,'Tournament List'!$A:$A,0)),"")</f>
        <v>43</v>
      </c>
      <c r="J40" s="145">
        <f>IFERROR(INDEX('Tournament List'!Y:Y,MATCH($A40,'Tournament List'!$A:$A,0)),"")</f>
        <v>177.1</v>
      </c>
      <c r="K40" s="47">
        <f>IFERROR(INDEX('Tournament List'!S:S,MATCH(A40,'Tournament List'!A:A,0)),"")</f>
        <v>286</v>
      </c>
      <c r="L40" s="47">
        <f>IF(ISNUMBER(J40),IF(COUNTIFS(L$1:L39,_xlfn.RANK.EQ(J40,J$2:J$111,0))&gt;0,_xlfn.MAXIFS(L$1:L39,J$1:J39,J40)+1,_xlfn.RANK.EQ(J40,J$2:J$111,0)),"")</f>
        <v>9</v>
      </c>
      <c r="M40" s="11">
        <f>IF(ISNUMBER(I40)=TRUE,IF(I40&gt;0,_xlfn.RANK.EQ(I40,$I$2:$I$111,0),""),"")</f>
        <v>44</v>
      </c>
      <c r="N40" s="56">
        <f>IF(ISNUMBER(I40),IF(COUNTIFS(N$1:N39,_xlfn.RANK.EQ(I40,I$2:I$111,0))&gt;0,_xlfn.MAXIFS(N$1:N39,I$1:I39,I40)+1,_xlfn.RANK.EQ(I40,I$2:I$111,0)),"")</f>
        <v>44</v>
      </c>
      <c r="O40" s="144" t="str">
        <f>IF(F40&lt;&gt;"Collegiate"=TRUE,$I40,"")</f>
        <v/>
      </c>
      <c r="P40" s="47" t="str">
        <f>IF(ISNUMBER(O40),IF(COUNTIFS(P$1:P39,_xlfn.RANK.EQ(O40,O$2:O$111,0))&gt;0,_xlfn.MAXIFS(P$1:P39,O$1:O39,O40)+1,_xlfn.RANK.EQ(O40,O$2:O$111,0)),"")</f>
        <v/>
      </c>
      <c r="Q40" s="1" t="str">
        <f>IF(ISNUMBER(O40)=TRUE,IF(_xlfn.RANK.EQ(O40,$O$2:$O$111)&lt;='Tournament Setup'!$B$26,_xlfn.RANK.EQ(O40,$O$2:$O$111),""),"")</f>
        <v/>
      </c>
      <c r="R40" s="143" t="str">
        <f>IF(AND($E40="M",SUM($Q40)=0,F40&lt;&gt;"Collegiate")=TRUE,$I40,"")</f>
        <v/>
      </c>
      <c r="S40" s="1" t="str">
        <f>IF(ISNUMBER(R40)=TRUE,IF(_xlfn.RANK.EQ(R40,$R$2:$R$111)&lt;='Tournament Setup'!$B$27,_xlfn.RANK.EQ(R40,$R$2:$R$111),""),"")</f>
        <v/>
      </c>
      <c r="T40" s="143" t="str">
        <f>IF(AND($E40="F",SUM($Q40)=0,F40&lt;&gt;"Collegiate")=TRUE,$I40,"")</f>
        <v/>
      </c>
      <c r="U40" s="12" t="str">
        <f>IF(ISNUMBER(T40)=TRUE,IF(_xlfn.RANK.EQ(T40,$T$2:$T$111)&lt;='Tournament Setup'!$B$28,_xlfn.RANK.EQ(T40,$T$2:$T$111),""),"")</f>
        <v/>
      </c>
      <c r="V40" s="145" t="str">
        <f>IF(AND($G40='Tournament Setup'!$A$53,$J40&lt;&gt;0),$J40,"")</f>
        <v/>
      </c>
      <c r="W40" s="47" t="str">
        <f>IF(ISNUMBER(V40),IF(COUNTIFS(W$1:W39,_xlfn.RANK.EQ(V40,V$2:V$111,0))&gt;0,_xlfn.MAXIFS(W$1:W39,V$1:V39,V40)+1,_xlfn.RANK.EQ(V40,V$2:V$111,0)),"")</f>
        <v/>
      </c>
      <c r="X40" s="1" t="str">
        <f>IF(ISNUMBER(V40)=TRUE,IF(_xlfn.RANK.EQ(V40,$V$2:$V$111)&lt;='Tournament Setup'!$B$53,_xlfn.RANK.EQ(V40,$V$2:$V$111),""),"")</f>
        <v/>
      </c>
      <c r="Y40" s="145" t="str">
        <f>IF(AND($G40='Tournament Setup'!$A$49,$J40&lt;&gt;0),$J40,"")</f>
        <v/>
      </c>
      <c r="Z40" s="47" t="str">
        <f>IF(ISNUMBER(Y40),IF(COUNTIFS(Z$1:Z39,_xlfn.RANK.EQ(Y40,Y$2:Y$111,0))&gt;0,_xlfn.MAXIFS(Z$1:Z39,Y$1:Y39,Y40)+1,_xlfn.RANK.EQ(Y40,Y$2:Y$111,0)),"")</f>
        <v/>
      </c>
      <c r="AA40" s="1" t="str">
        <f>IF(ISNUMBER(Y40)=TRUE,IF(_xlfn.RANK.EQ(Y40,$Y$2:$Y$111)&lt;='Tournament Setup'!$B$49,_xlfn.RANK.EQ(Y40,$Y$2:$Y$111),""),"")</f>
        <v/>
      </c>
      <c r="AB40" s="30" t="str">
        <f>IF(AND($F40='Tournament Setup'!$A$32,SUM($Q40,$S40,$U40)=0),$I40,"")</f>
        <v/>
      </c>
      <c r="AC40" s="47" t="str">
        <f>IF(ISNUMBER(AB40),IF(COUNTIFS(AC$1:AC39,_xlfn.RANK.EQ(AB40,AB$2:AB$111,0))&gt;0,_xlfn.MAXIFS(AC$1:AC39,AB$1:AB39,AB40)+1,_xlfn.RANK.EQ(AB40,AB$2:AB$111,0)),"")</f>
        <v/>
      </c>
      <c r="AD40" s="1" t="str">
        <f>IF(ISNUMBER(AB40)=TRUE,IF(_xlfn.RANK.EQ(AB40,$AB$2:$AB$111)&lt;='Tournament Setup'!$B$32,_xlfn.RANK.EQ(AB40,$AB$2:$AB$111),""),"")</f>
        <v/>
      </c>
      <c r="AE40" s="31" t="str">
        <f>IF(AND($F40='Tournament Setup'!$A$32,SUM($Q40,$S40)=0,$E40="M",$AD40&gt;'Tournament Setup'!$B$32),$I40,"")</f>
        <v/>
      </c>
      <c r="AF40" s="1" t="str">
        <f>IF(ISNUMBER(AE40)=TRUE,IF(_xlfn.RANK.EQ(AE40,$AE$2:$AE$111)&lt;='Tournament Setup'!$C$32,_xlfn.RANK.EQ(AE40,$AE$2:$AE$111),""),"")</f>
        <v/>
      </c>
      <c r="AG40" s="31" t="str">
        <f>IF(AND($F40='Tournament Setup'!$A$32,SUM($Q40,$U40)=0,$E40="F",$AD40&gt;'Tournament Setup'!$B$32),$I40,"")</f>
        <v/>
      </c>
      <c r="AH40" s="12" t="str">
        <f>IF(ISNUMBER(AG40)=TRUE,IF(_xlfn.RANK.EQ(AG40,$AG$2:$AG$111)&lt;='Tournament Setup'!$D$32,_xlfn.RANK.EQ(AG40,$AG$2:$AG$111),""),"")</f>
        <v/>
      </c>
      <c r="AI40" s="30" t="str">
        <f>IF(AND($G40='Tournament Setup'!$A$50,$J40&lt;&gt;0),$J40,"")</f>
        <v/>
      </c>
      <c r="AJ40" s="47" t="str">
        <f>IF(ISNUMBER(AI40),IF(COUNTIFS(AJ$1:AJ39,_xlfn.RANK.EQ(AI40,AI$2:AI$111,0))&gt;0,_xlfn.MAXIFS(AJ$1:AJ39,AI$1:AI39,AI40)+1,_xlfn.RANK.EQ(AI40,AI$2:AI$111,0)),"")</f>
        <v/>
      </c>
      <c r="AK40" s="1" t="str">
        <f>IF(ISNUMBER(AI40)=TRUE,IF(_xlfn.RANK.EQ(AI40,$AI$2:$AI$111)&lt;='Tournament Setup'!$B$49,_xlfn.RANK.EQ(AI40,$AI$2:$AI$111),""),"")</f>
        <v/>
      </c>
      <c r="AL40" s="30" t="str">
        <f>IF(AND($F40='Tournament Setup'!$A$33,SUM($Q40,$S40,$U40)=0),$I40,"")</f>
        <v/>
      </c>
      <c r="AM40" s="47" t="str">
        <f>IF(ISNUMBER(AL40),IF(COUNTIFS(AM$1:AM39,_xlfn.RANK.EQ(AL40,AL$2:AL$111,0))&gt;0,_xlfn.MAXIFS(AM$1:AM39,AL$1:AL39,AL40)+1,_xlfn.RANK.EQ(AL40,AL$2:AL$111,0)),"")</f>
        <v/>
      </c>
      <c r="AN40" s="1" t="str">
        <f>IF(ISNUMBER(AL40)=TRUE,IF(_xlfn.RANK.EQ(AL40,$AL$2:$AL$111)&lt;='Tournament Setup'!$B$33,_xlfn.RANK.EQ(AL40,$AL$2:$AL$111),""),"")</f>
        <v/>
      </c>
      <c r="AO40" s="31" t="str">
        <f>IF(AND($F40='Tournament Setup'!$A$33,SUM($Q40,$S40)=0,$E40="M",$AN40&gt;'Tournament Setup'!$B$33),$I40,"")</f>
        <v/>
      </c>
      <c r="AP40" s="1" t="str">
        <f>IF(ISNUMBER(AO40)=TRUE,IF(_xlfn.RANK.EQ(AO40,$AO$2:$AO$111)&lt;='Tournament Setup'!$C$33,_xlfn.RANK.EQ(AO40,$AO$2:$AO$111),""),"")</f>
        <v/>
      </c>
      <c r="AQ40" s="31" t="str">
        <f>IF(AND($F40='Tournament Setup'!$A$33,SUM($Q40,$U40)=0,$E40="F",$AN40&gt;'Tournament Setup'!$B$33),$I40,"")</f>
        <v/>
      </c>
      <c r="AR40" s="12" t="str">
        <f>IF(ISNUMBER(AQ40)=TRUE,IF(_xlfn.RANK.EQ(AQ40,$AQ$2:$AQ$111)&lt;='Tournament Setup'!$D$33,_xlfn.RANK.EQ(AQ40,$AQ$2:$AQ$111),""),"")</f>
        <v/>
      </c>
      <c r="AS40" s="30" t="str">
        <f>IF(AND($G40='Tournament Setup'!$A$51,$J40&lt;&gt;0),$J40,"")</f>
        <v/>
      </c>
      <c r="AT40" s="47" t="str">
        <f>IF(ISNUMBER(AS40),IF(COUNTIFS(AT$1:AT39,_xlfn.RANK.EQ(AS40,AS$2:AS$111,0))&gt;0,_xlfn.MAXIFS(AT$1:AT39,AS$1:AS39,AS40)+1,_xlfn.RANK.EQ(AS40,AS$2:AS$111,0)),"")</f>
        <v/>
      </c>
      <c r="AU40" s="1" t="str">
        <f>IF(ISNUMBER(AS40)=TRUE,IF(_xlfn.RANK.EQ(AS40,$AS$2:$AS$111)&lt;='Tournament Setup'!$B$49,_xlfn.RANK.EQ(AS40,$AS$2:$AS$111),""),"")</f>
        <v/>
      </c>
      <c r="AV40" s="30" t="str">
        <f>IF(AND($F40='Tournament Setup'!$A$34,SUM($Q40,$S40,$U40)=0),$I40,"")</f>
        <v/>
      </c>
      <c r="AW40" s="47" t="str">
        <f>IF(ISNUMBER(AV40),IF(COUNTIFS(AW$1:AW39,_xlfn.RANK.EQ(AV40,AV$2:AV$111,0))&gt;0,_xlfn.MAXIFS(AW$1:AW39,AV$1:AV39,AV40)+1,_xlfn.RANK.EQ(AV40,AV$2:AV$111,0)),"")</f>
        <v/>
      </c>
      <c r="AX40" s="1" t="str">
        <f>IF(ISNUMBER(AV40)=TRUE,IF(_xlfn.RANK.EQ(AV40,$AV$2:$AV$111)&lt;='Tournament Setup'!$B$34,_xlfn.RANK.EQ(AV40,$AV$2:$AV$111),""),"")</f>
        <v/>
      </c>
      <c r="AY40" s="31" t="str">
        <f>IF(AND($F40='Tournament Setup'!$A$34,SUM($Q40,$S40)=0,$E40="M",$AX40&gt;'Tournament Setup'!$B$34),$I40,"")</f>
        <v/>
      </c>
      <c r="AZ40" s="1" t="str">
        <f>IF(ISNUMBER(AY40)=TRUE,IF(_xlfn.RANK.EQ(AY40,$AY$2:$AY$111)&lt;='Tournament Setup'!$C$34,_xlfn.RANK.EQ(AY40,$AY$2:$AY$111),""),"")</f>
        <v/>
      </c>
      <c r="BA40" s="31" t="str">
        <f>IF(AND($F40='Tournament Setup'!$A$34,SUM($Q40,$U40)=0,$E40="F",$AX40&gt;'Tournament Setup'!$B$34),$I40,"")</f>
        <v/>
      </c>
      <c r="BB40" s="12" t="str">
        <f>IF(ISNUMBER(BA40)=TRUE,IF(_xlfn.RANK.EQ(BA40,$BA$2:$BA$111)&lt;='Tournament Setup'!$D$34,_xlfn.RANK.EQ(BA40,$BA$2:$BA$111),""),"")</f>
        <v/>
      </c>
      <c r="BC40" s="30" t="str">
        <f>IF(AND($G40='Tournament Setup'!$A$52,$J40&lt;&gt;0),$J40,"")</f>
        <v/>
      </c>
      <c r="BD40" s="47" t="str">
        <f>IF(ISNUMBER(BC40),IF(COUNTIFS(BD$1:BD39,_xlfn.RANK.EQ(BC40,BC$2:BC$111,0))&gt;0,_xlfn.MAXIFS(BD$1:BD39,BC$1:BC39,BC40)+1,_xlfn.RANK.EQ(BC40,BC$2:BC$111,0)),"")</f>
        <v/>
      </c>
      <c r="BE40" s="1" t="str">
        <f>IF(ISNUMBER(BC40)=TRUE,IF(_xlfn.RANK.EQ(BC40,$BC$2:$BC$111)&lt;='Tournament Setup'!$B$49,_xlfn.RANK.EQ(BC40,$BC$2:$BC$111),""),"")</f>
        <v/>
      </c>
      <c r="BF40" s="30" t="str">
        <f>IF(AND($F40='Tournament Setup'!$A$35,SUM($Q40,$S40,$U40)=0),$I40,"")</f>
        <v/>
      </c>
      <c r="BG40" s="47" t="str">
        <f>IF(ISNUMBER(BF40),IF(COUNTIFS(BG$1:BG39,_xlfn.RANK.EQ(BF40,BF$2:BF$111,0))&gt;0,_xlfn.MAXIFS(BG$1:BG39,BF$1:BF39,BF40)+1,_xlfn.RANK.EQ(BF40,BF$2:BF$111,0)),"")</f>
        <v/>
      </c>
      <c r="BH40" s="1" t="str">
        <f>IF(ISNUMBER(BF40)=TRUE,IF(_xlfn.RANK.EQ(BF40,$BF$2:$BF$111)&lt;='Tournament Setup'!$B$35,_xlfn.RANK.EQ(BF40,$BF$2:$BF$111),""),"")</f>
        <v/>
      </c>
      <c r="BI40" s="31" t="str">
        <f>IF(AND($F40='Tournament Setup'!$A$35,SUM($Q40,$S40)=0,$E40="M",$BH40&gt;'Tournament Setup'!$B$35),$I40,"")</f>
        <v/>
      </c>
      <c r="BJ40" s="1" t="str">
        <f>IF(ISNUMBER(BI40)=TRUE,IF(_xlfn.RANK.EQ(BI40,$BI$2:$BI$111)&lt;='Tournament Setup'!$C$35,_xlfn.RANK.EQ(BI40,$BI$2:$BI$111),""),"")</f>
        <v/>
      </c>
      <c r="BK40" s="31" t="str">
        <f>IF(AND($F40='Tournament Setup'!$A$35,SUM($Q40,$U40)=0,$E40="F",$BH40&gt;'Tournament Setup'!$B$35),$I40,"")</f>
        <v/>
      </c>
      <c r="BL40" s="12" t="str">
        <f>IF(ISNUMBER(BK40)=TRUE,IF(_xlfn.RANK.EQ(BK40,$BK$2:$BK$111)&lt;='Tournament Setup'!$D$35,_xlfn.RANK.EQ(BK40,$BK$2:$BK$111),""),"")</f>
        <v/>
      </c>
      <c r="BM40" s="30">
        <f>IF(AND($G40='Tournament Setup'!$A$54,$J40&lt;&gt;0),$J40,"")</f>
        <v>177.1</v>
      </c>
      <c r="BN40" s="47">
        <f>IF(ISNUMBER(BM40),IF(COUNTIFS(BN$1:BN39,_xlfn.RANK.EQ(BM40,BM$2:BM$111,0))&gt;0,_xlfn.MAXIFS(BN$1:BN39,BM$1:BM39,BM40)+1,_xlfn.RANK.EQ(BM40,BM$2:BM$111,0)),"")</f>
        <v>2</v>
      </c>
      <c r="BO40" s="1">
        <f>IF(ISNUMBER(BM40)=TRUE,IF(_xlfn.RANK.EQ(BM40,$BM$2:$BM$111)&lt;='Tournament Setup'!$B$49,_xlfn.RANK.EQ(BM40,$BM$2:$BM$111),""),"")</f>
        <v>2</v>
      </c>
      <c r="BP40" s="30">
        <f>IF(AND($F40='Tournament Setup'!$A$36,SUM($Q40,$S40,$U40)=0),$I40,"")</f>
        <v>43</v>
      </c>
      <c r="BQ40" s="47">
        <f>IF(ISNUMBER(BP40),IF(COUNTIFS(BQ$1:BQ39,_xlfn.RANK.EQ(BP40,BP$2:BP$111,0))&gt;0,_xlfn.MAXIFS(BQ$1:BQ39,BP$1:BP39,BP40)+1,_xlfn.RANK.EQ(BP40,BP$2:BP$111,0)),"")</f>
        <v>6</v>
      </c>
      <c r="BR40" s="1" t="str">
        <f>IF(ISNUMBER(BP40)=TRUE,IF(_xlfn.RANK.EQ(BP40,$BP$2:$BP$111)&lt;='Tournament Setup'!$B$36,_xlfn.RANK.EQ(BP40,$BP$2:$BP$111),""),"")</f>
        <v/>
      </c>
      <c r="BS40" s="31">
        <f>IF(AND($F40='Tournament Setup'!$A$36,SUM($Q40,$S40)=0,$E40="M",$BR40&gt;'Tournament Setup'!$B$36),$I40,"")</f>
        <v>43</v>
      </c>
      <c r="BT40" s="1">
        <f>IF(ISNUMBER(BS40)=TRUE,IF(_xlfn.RANK.EQ(BS40,$BS$2:$BS$111)&lt;='Tournament Setup'!$C$36,_xlfn.RANK.EQ(BS40,$BS$2:$BS$111),""),"")</f>
        <v>2</v>
      </c>
      <c r="BU40" s="31" t="str">
        <f>IF(AND($F40='Tournament Setup'!$A$36,SUM($Q40,$U40)=0,$E40="F",$BR40&gt;'Tournament Setup'!$B$36),$I40,"")</f>
        <v/>
      </c>
      <c r="BV40" s="12" t="str">
        <f>IF(ISNUMBER(BU40)=TRUE,IF(_xlfn.RANK.EQ(BU40,$BU$2:$BU$111)&lt;='Tournament Setup'!$D$36,_xlfn.RANK.EQ(BU40,$BU$2:$BU$111),""),"")</f>
        <v/>
      </c>
      <c r="BW40" s="30" t="str">
        <f>IF($H40='Tournament Setup'!$A$41,$I40,"")</f>
        <v/>
      </c>
      <c r="BX40" s="47" t="str">
        <f>IF(ISNUMBER(BW40),IF(COUNTIFS(BX$1:BX39,_xlfn.RANK.EQ(BW40,BW$2:BW$111,0))&gt;0,_xlfn.MAXIFS(BX$1:BX39,BW$1:BW39,BW40)+1,_xlfn.RANK.EQ(BW40,BW$2:BW$111,0)),"")</f>
        <v/>
      </c>
      <c r="BY40" s="1" t="str">
        <f>IF(ISNUMBER(BW40)=TRUE,IF(_xlfn.RANK.EQ(BW40,$BW$2:$BW$111)&lt;='Tournament Setup'!$B$41,_xlfn.RANK.EQ(BW40,$BW$2:$BW$111),""),"")</f>
        <v/>
      </c>
      <c r="BZ40" s="31" t="str">
        <f>IF(AND($H40='Tournament Setup'!$A$41,$E40="M",$BY40&gt;'Tournament Setup'!$B$41),$I40,"")</f>
        <v/>
      </c>
      <c r="CA40" s="1" t="str">
        <f>IF(ISNUMBER(BZ40)=TRUE,IF(_xlfn.RANK.EQ(BZ40,$BZ$2:$BZ$111)&lt;='Tournament Setup'!$C$41,_xlfn.RANK.EQ(BZ40,$BZ$2:$BZ$111),""),"")</f>
        <v/>
      </c>
      <c r="CB40" s="31" t="str">
        <f>IF(AND($H40='Tournament Setup'!$A$41,$E40="F",$BY40&gt;'Tournament Setup'!$B$41),$I40,"")</f>
        <v/>
      </c>
      <c r="CC40" s="12" t="str">
        <f>IF(ISNUMBER(CB40)=TRUE,IF(_xlfn.RANK.EQ(CB40,$CB$2:$CB$111)&lt;='Tournament Setup'!$D$41,_xlfn.RANK.EQ(CB40,$CB$2:$CB$111),""),"")</f>
        <v/>
      </c>
      <c r="CD40" s="30" t="str">
        <f>IF($H40='Tournament Setup'!$A$42,$I40,"")</f>
        <v/>
      </c>
      <c r="CE40" s="47" t="str">
        <f>IF(ISNUMBER(CD40),IF(COUNTIFS(CE$1:CE39,_xlfn.RANK.EQ(CD40,CD$2:CD$111,0))&gt;0,_xlfn.MAXIFS(CE$1:CE39,CD$1:CD39,CD40)+1,_xlfn.RANK.EQ(CD40,CD$2:CD$111,0)),"")</f>
        <v/>
      </c>
      <c r="CF40" s="1" t="str">
        <f>IF(ISNUMBER(CD40)=TRUE,IF(_xlfn.RANK.EQ(CD40,$CD$2:$CD$111)&lt;='Tournament Setup'!$B$42,_xlfn.RANK.EQ(CD40,$CD$2:$CD$111),""),"")</f>
        <v/>
      </c>
      <c r="CG40" s="31" t="str">
        <f>IF(AND($H40='Tournament Setup'!$A$42,$E40="M",$CF40&gt;'Tournament Setup'!$B$42),$I40,"")</f>
        <v/>
      </c>
      <c r="CH40" s="1" t="str">
        <f>IF(ISNUMBER(CG40)=TRUE,IF(_xlfn.RANK.EQ(CG40,$CG$2:$CG$111)&lt;='Tournament Setup'!$C$42,_xlfn.RANK.EQ(CG40,$CG$2:$CG$111),""),"")</f>
        <v/>
      </c>
      <c r="CI40" s="31" t="str">
        <f>IF(AND($H40='Tournament Setup'!$A$42,$E40="F",$CF40&gt;'Tournament Setup'!$B$42),$I40,"")</f>
        <v/>
      </c>
      <c r="CJ40" s="12" t="str">
        <f>IF(ISNUMBER(CI40)=TRUE,IF(_xlfn.RANK.EQ(CI40,$CI$2:$CI$111)&lt;='Tournament Setup'!$D$42,_xlfn.RANK.EQ(CI40,$CI$2:$CI$111),""),"")</f>
        <v/>
      </c>
      <c r="CK40" s="30">
        <f>IF($H40='Tournament Setup'!$A$43,$I40,"")</f>
        <v>43</v>
      </c>
      <c r="CL40" s="47">
        <f>IF(ISNUMBER(CK40),IF(COUNTIFS(CL$1:CL39,_xlfn.RANK.EQ(CK40,CK$2:CK$111,0))&gt;0,_xlfn.MAXIFS(CL$1:CL39,CK$1:CK39,CK40)+1,_xlfn.RANK.EQ(CK40,CK$2:CK$111,0)),"")</f>
        <v>15</v>
      </c>
      <c r="CM40" s="1" t="str">
        <f>IF(ISNUMBER(CK40)=TRUE,IF(_xlfn.RANK.EQ(CK40,$CK$2:$CK$111)&lt;='Tournament Setup'!$B$43,_xlfn.RANK.EQ(CK40,$CK$2:$CK$111),""),"")</f>
        <v/>
      </c>
      <c r="CN40" s="31">
        <f>IF(AND($H40='Tournament Setup'!$A$43,$E40="M",$CM40&gt;'Tournament Setup'!$B$43),$I40,"")</f>
        <v>43</v>
      </c>
      <c r="CO40" s="1" t="str">
        <f>IF(ISNUMBER(CN40)=TRUE,IF(_xlfn.RANK.EQ(CN40,$CN$2:$CN$111)&lt;='Tournament Setup'!$C$43,_xlfn.RANK.EQ(CN40,$CN$2:$CN$111),""),"")</f>
        <v/>
      </c>
      <c r="CP40" s="31" t="str">
        <f>IF(AND($H40='Tournament Setup'!$A$43,$E40="F",$CM40&gt;'Tournament Setup'!$B$43),$I40,"")</f>
        <v/>
      </c>
      <c r="CQ40" s="12" t="str">
        <f>IF(ISNUMBER(CP40)=TRUE,IF(_xlfn.RANK.EQ(CP40,$CP$2:$CP$111)&lt;='Tournament Setup'!$D$43,_xlfn.RANK.EQ(CP40,$CP$2:$CP$111),""),"")</f>
        <v/>
      </c>
      <c r="CR40" s="30" t="str">
        <f>IF($H40='Tournament Setup'!$A$44,$I40,"")</f>
        <v/>
      </c>
      <c r="CS40" s="47" t="str">
        <f>IF(ISNUMBER(CR40),IF(COUNTIFS(CS$1:CS39,_xlfn.RANK.EQ(CR40,CR$2:CR$111,0))&gt;0,_xlfn.MAXIFS(CS$1:CS39,CR$1:CR39,CR40)+1,_xlfn.RANK.EQ(CR40,CR$2:CR$111,0)),"")</f>
        <v/>
      </c>
      <c r="CT40" s="1" t="str">
        <f>IF(ISNUMBER(CR40)=TRUE,IF(_xlfn.RANK.EQ(CR40,$CR$2:$CR$111)&lt;='Tournament Setup'!$B$44,_xlfn.RANK.EQ(CR40,$CR$2:$CR$111),""),"")</f>
        <v/>
      </c>
      <c r="CU40" s="31" t="str">
        <f>IF(AND($H40='Tournament Setup'!$A$44,$E40="M",$CT40&gt;'Tournament Setup'!$B$44),$I40,"")</f>
        <v/>
      </c>
      <c r="CV40" s="1" t="str">
        <f>IF(ISNUMBER(CU40)=TRUE,IF(_xlfn.RANK.EQ(CU40,$CU$2:$CU$111)&lt;='Tournament Setup'!$C$44,_xlfn.RANK.EQ(CU40,$CU$2:$CU$111),""),"")</f>
        <v/>
      </c>
      <c r="CW40" s="31" t="str">
        <f>IF(AND($H40='Tournament Setup'!$A$44,$E40="F",$CT40&gt;'Tournament Setup'!$B$44),$I40,"")</f>
        <v/>
      </c>
      <c r="CX40" s="12" t="str">
        <f>IF(ISNUMBER(CW40)=TRUE,IF(_xlfn.RANK.EQ(CW40,$CW$2:$CW$111)&lt;='Tournament Setup'!$D$44,_xlfn.RANK.EQ(CW40,$CW$2:$CW$111),""),"")</f>
        <v/>
      </c>
    </row>
    <row r="41" spans="1:102" x14ac:dyDescent="0.3">
      <c r="A41" t="s">
        <v>196</v>
      </c>
      <c r="B41" t="str">
        <f>IFERROR(INDEX('Tournament List'!$B:$B,MATCH($A41,'Tournament List'!$A:$A,0)),"")</f>
        <v>Troy</v>
      </c>
      <c r="C41" t="str">
        <f>IFERROR(INDEX('Tournament List'!$C:$C,MATCH($A41,'Tournament List'!$A:$A,0)),"")</f>
        <v>Last Name40</v>
      </c>
      <c r="D41" t="str">
        <f t="shared" si="1"/>
        <v>Troy Last Name40</v>
      </c>
      <c r="E41" s="1" t="str">
        <f>IFERROR(INDEX('Tournament List'!F:F,MATCH($A41,'Tournament List'!$A:$A,0)),"")</f>
        <v>M</v>
      </c>
      <c r="F41" t="str">
        <f>IFERROR(INDEX('Tournament List'!M:M,MATCH($A41,'Tournament List'!$A:$A,0)),"")</f>
        <v>Varsity</v>
      </c>
      <c r="G41" t="str">
        <f>IFERROR(INDEX('Shooter-Squad Assignment'!L:L,MATCH(A41,'Shooter-Squad Assignment'!A:A,0)),"")</f>
        <v>Varsity</v>
      </c>
      <c r="H41" s="1" t="str">
        <f>IFERROR(INDEX('Tournament List'!AD:AD,MATCH($A41,'Tournament List'!$A:$A,0)),"")</f>
        <v>D</v>
      </c>
      <c r="I41" s="123">
        <f>IFERROR(INDEX('Tournament List'!AG:AG,MATCH($A41,'Tournament List'!$A:$A,0)),"")</f>
        <v>59</v>
      </c>
      <c r="J41" s="145" t="str">
        <f>IFERROR(INDEX('Tournament List'!Y:Y,MATCH($A41,'Tournament List'!$A:$A,0)),"")</f>
        <v/>
      </c>
      <c r="K41" s="47">
        <f>IFERROR(INDEX('Tournament List'!S:S,MATCH(A41,'Tournament List'!A:A,0)),"")</f>
        <v>74</v>
      </c>
      <c r="L41" s="47" t="str">
        <f>IF(ISNUMBER(J41),IF(COUNTIFS(L$1:L40,_xlfn.RANK.EQ(J41,J$2:J$111,0))&gt;0,_xlfn.MAXIFS(L$1:L40,J$1:J40,J41)+1,_xlfn.RANK.EQ(J41,J$2:J$111,0)),"")</f>
        <v/>
      </c>
      <c r="M41" s="11">
        <f>IF(ISNUMBER(I41)=TRUE,IF(I41&gt;0,_xlfn.RANK.EQ(I41,$I$2:$I$111,0),""),"")</f>
        <v>37</v>
      </c>
      <c r="N41" s="56">
        <f>IF(ISNUMBER(I41),IF(COUNTIFS(N$1:N40,_xlfn.RANK.EQ(I41,I$2:I$111,0))&gt;0,_xlfn.MAXIFS(N$1:N40,I$1:I40,I41)+1,_xlfn.RANK.EQ(I41,I$2:I$111,0)),"")</f>
        <v>37</v>
      </c>
      <c r="O41" s="144">
        <f>IF(F41&lt;&gt;"Collegiate"=TRUE,$I41,"")</f>
        <v>59</v>
      </c>
      <c r="P41" s="47">
        <f>IF(ISNUMBER(O41),IF(COUNTIFS(P$1:P40,_xlfn.RANK.EQ(O41,O$2:O$111,0))&gt;0,_xlfn.MAXIFS(P$1:P40,O$1:O40,O41)+1,_xlfn.RANK.EQ(O41,O$2:O$111,0)),"")</f>
        <v>35</v>
      </c>
      <c r="Q41" s="1" t="str">
        <f>IF(ISNUMBER(O41)=TRUE,IF(_xlfn.RANK.EQ(O41,$O$2:$O$111)&lt;='Tournament Setup'!$B$26,_xlfn.RANK.EQ(O41,$O$2:$O$111),""),"")</f>
        <v/>
      </c>
      <c r="R41" s="143">
        <f>IF(AND($E41="M",SUM($Q41)=0,F41&lt;&gt;"Collegiate")=TRUE,$I41,"")</f>
        <v>59</v>
      </c>
      <c r="S41" s="1" t="str">
        <f>IF(ISNUMBER(R41)=TRUE,IF(_xlfn.RANK.EQ(R41,$R$2:$R$111)&lt;='Tournament Setup'!$B$27,_xlfn.RANK.EQ(R41,$R$2:$R$111),""),"")</f>
        <v/>
      </c>
      <c r="T41" s="143" t="str">
        <f>IF(AND($E41="F",SUM($Q41)=0,F41&lt;&gt;"Collegiate")=TRUE,$I41,"")</f>
        <v/>
      </c>
      <c r="U41" s="12" t="str">
        <f>IF(ISNUMBER(T41)=TRUE,IF(_xlfn.RANK.EQ(T41,$T$2:$T$111)&lt;='Tournament Setup'!$B$28,_xlfn.RANK.EQ(T41,$T$2:$T$111),""),"")</f>
        <v/>
      </c>
      <c r="V41" s="145" t="str">
        <f>IF(AND($G41='Tournament Setup'!$A$53,$J41&lt;&gt;0),$J41,"")</f>
        <v/>
      </c>
      <c r="W41" s="47" t="str">
        <f>IF(ISNUMBER(V41),IF(COUNTIFS(W$1:W40,_xlfn.RANK.EQ(V41,V$2:V$111,0))&gt;0,_xlfn.MAXIFS(W$1:W40,V$1:V40,V41)+1,_xlfn.RANK.EQ(V41,V$2:V$111,0)),"")</f>
        <v/>
      </c>
      <c r="X41" s="1" t="str">
        <f>IF(ISNUMBER(V41)=TRUE,IF(_xlfn.RANK.EQ(V41,$V$2:$V$111)&lt;='Tournament Setup'!$B$53,_xlfn.RANK.EQ(V41,$V$2:$V$111),""),"")</f>
        <v/>
      </c>
      <c r="Y41" s="145" t="str">
        <f>IF(AND($G41='Tournament Setup'!$A$49,$J41&lt;&gt;0),$J41,"")</f>
        <v/>
      </c>
      <c r="Z41" s="47" t="str">
        <f>IF(ISNUMBER(Y41),IF(COUNTIFS(Z$1:Z40,_xlfn.RANK.EQ(Y41,Y$2:Y$111,0))&gt;0,_xlfn.MAXIFS(Z$1:Z40,Y$1:Y40,Y41)+1,_xlfn.RANK.EQ(Y41,Y$2:Y$111,0)),"")</f>
        <v/>
      </c>
      <c r="AA41" s="1" t="str">
        <f>IF(ISNUMBER(Y41)=TRUE,IF(_xlfn.RANK.EQ(Y41,$Y$2:$Y$111)&lt;='Tournament Setup'!$B$49,_xlfn.RANK.EQ(Y41,$Y$2:$Y$111),""),"")</f>
        <v/>
      </c>
      <c r="AB41" s="30" t="str">
        <f>IF(AND($F41='Tournament Setup'!$A$32,SUM($Q41,$S41,$U41)=0),$I41,"")</f>
        <v/>
      </c>
      <c r="AC41" s="47" t="str">
        <f>IF(ISNUMBER(AB41),IF(COUNTIFS(AC$1:AC40,_xlfn.RANK.EQ(AB41,AB$2:AB$111,0))&gt;0,_xlfn.MAXIFS(AC$1:AC40,AB$1:AB40,AB41)+1,_xlfn.RANK.EQ(AB41,AB$2:AB$111,0)),"")</f>
        <v/>
      </c>
      <c r="AD41" s="1" t="str">
        <f>IF(ISNUMBER(AB41)=TRUE,IF(_xlfn.RANK.EQ(AB41,$AB$2:$AB$111)&lt;='Tournament Setup'!$B$32,_xlfn.RANK.EQ(AB41,$AB$2:$AB$111),""),"")</f>
        <v/>
      </c>
      <c r="AE41" s="31" t="str">
        <f>IF(AND($F41='Tournament Setup'!$A$32,SUM($Q41,$S41)=0,$E41="M",$AD41&gt;'Tournament Setup'!$B$32),$I41,"")</f>
        <v/>
      </c>
      <c r="AF41" s="1" t="str">
        <f>IF(ISNUMBER(AE41)=TRUE,IF(_xlfn.RANK.EQ(AE41,$AE$2:$AE$111)&lt;='Tournament Setup'!$C$32,_xlfn.RANK.EQ(AE41,$AE$2:$AE$111),""),"")</f>
        <v/>
      </c>
      <c r="AG41" s="31" t="str">
        <f>IF(AND($F41='Tournament Setup'!$A$32,SUM($Q41,$U41)=0,$E41="F",$AD41&gt;'Tournament Setup'!$B$32),$I41,"")</f>
        <v/>
      </c>
      <c r="AH41" s="12" t="str">
        <f>IF(ISNUMBER(AG41)=TRUE,IF(_xlfn.RANK.EQ(AG41,$AG$2:$AG$111)&lt;='Tournament Setup'!$D$32,_xlfn.RANK.EQ(AG41,$AG$2:$AG$111),""),"")</f>
        <v/>
      </c>
      <c r="AI41" s="30" t="str">
        <f>IF(AND($G41='Tournament Setup'!$A$50,$J41&lt;&gt;0),$J41,"")</f>
        <v/>
      </c>
      <c r="AJ41" s="47" t="str">
        <f>IF(ISNUMBER(AI41),IF(COUNTIFS(AJ$1:AJ40,_xlfn.RANK.EQ(AI41,AI$2:AI$111,0))&gt;0,_xlfn.MAXIFS(AJ$1:AJ40,AI$1:AI40,AI41)+1,_xlfn.RANK.EQ(AI41,AI$2:AI$111,0)),"")</f>
        <v/>
      </c>
      <c r="AK41" s="1" t="str">
        <f>IF(ISNUMBER(AI41)=TRUE,IF(_xlfn.RANK.EQ(AI41,$AI$2:$AI$111)&lt;='Tournament Setup'!$B$49,_xlfn.RANK.EQ(AI41,$AI$2:$AI$111),""),"")</f>
        <v/>
      </c>
      <c r="AL41" s="30" t="str">
        <f>IF(AND($F41='Tournament Setup'!$A$33,SUM($Q41,$S41,$U41)=0),$I41,"")</f>
        <v/>
      </c>
      <c r="AM41" s="47" t="str">
        <f>IF(ISNUMBER(AL41),IF(COUNTIFS(AM$1:AM40,_xlfn.RANK.EQ(AL41,AL$2:AL$111,0))&gt;0,_xlfn.MAXIFS(AM$1:AM40,AL$1:AL40,AL41)+1,_xlfn.RANK.EQ(AL41,AL$2:AL$111,0)),"")</f>
        <v/>
      </c>
      <c r="AN41" s="1" t="str">
        <f>IF(ISNUMBER(AL41)=TRUE,IF(_xlfn.RANK.EQ(AL41,$AL$2:$AL$111)&lt;='Tournament Setup'!$B$33,_xlfn.RANK.EQ(AL41,$AL$2:$AL$111),""),"")</f>
        <v/>
      </c>
      <c r="AO41" s="31" t="str">
        <f>IF(AND($F41='Tournament Setup'!$A$33,SUM($Q41,$S41)=0,$E41="M",$AN41&gt;'Tournament Setup'!$B$33),$I41,"")</f>
        <v/>
      </c>
      <c r="AP41" s="1" t="str">
        <f>IF(ISNUMBER(AO41)=TRUE,IF(_xlfn.RANK.EQ(AO41,$AO$2:$AO$111)&lt;='Tournament Setup'!$C$33,_xlfn.RANK.EQ(AO41,$AO$2:$AO$111),""),"")</f>
        <v/>
      </c>
      <c r="AQ41" s="31" t="str">
        <f>IF(AND($F41='Tournament Setup'!$A$33,SUM($Q41,$U41)=0,$E41="F",$AN41&gt;'Tournament Setup'!$B$33),$I41,"")</f>
        <v/>
      </c>
      <c r="AR41" s="12" t="str">
        <f>IF(ISNUMBER(AQ41)=TRUE,IF(_xlfn.RANK.EQ(AQ41,$AQ$2:$AQ$111)&lt;='Tournament Setup'!$D$33,_xlfn.RANK.EQ(AQ41,$AQ$2:$AQ$111),""),"")</f>
        <v/>
      </c>
      <c r="AS41" s="30" t="str">
        <f>IF(AND($G41='Tournament Setup'!$A$51,$J41&lt;&gt;0),$J41,"")</f>
        <v/>
      </c>
      <c r="AT41" s="47" t="str">
        <f>IF(ISNUMBER(AS41),IF(COUNTIFS(AT$1:AT40,_xlfn.RANK.EQ(AS41,AS$2:AS$111,0))&gt;0,_xlfn.MAXIFS(AT$1:AT40,AS$1:AS40,AS41)+1,_xlfn.RANK.EQ(AS41,AS$2:AS$111,0)),"")</f>
        <v/>
      </c>
      <c r="AU41" s="1" t="str">
        <f>IF(ISNUMBER(AS41)=TRUE,IF(_xlfn.RANK.EQ(AS41,$AS$2:$AS$111)&lt;='Tournament Setup'!$B$49,_xlfn.RANK.EQ(AS41,$AS$2:$AS$111),""),"")</f>
        <v/>
      </c>
      <c r="AV41" s="30" t="str">
        <f>IF(AND($F41='Tournament Setup'!$A$34,SUM($Q41,$S41,$U41)=0),$I41,"")</f>
        <v/>
      </c>
      <c r="AW41" s="47" t="str">
        <f>IF(ISNUMBER(AV41),IF(COUNTIFS(AW$1:AW40,_xlfn.RANK.EQ(AV41,AV$2:AV$111,0))&gt;0,_xlfn.MAXIFS(AW$1:AW40,AV$1:AV40,AV41)+1,_xlfn.RANK.EQ(AV41,AV$2:AV$111,0)),"")</f>
        <v/>
      </c>
      <c r="AX41" s="1" t="str">
        <f>IF(ISNUMBER(AV41)=TRUE,IF(_xlfn.RANK.EQ(AV41,$AV$2:$AV$111)&lt;='Tournament Setup'!$B$34,_xlfn.RANK.EQ(AV41,$AV$2:$AV$111),""),"")</f>
        <v/>
      </c>
      <c r="AY41" s="31" t="str">
        <f>IF(AND($F41='Tournament Setup'!$A$34,SUM($Q41,$S41)=0,$E41="M",$AX41&gt;'Tournament Setup'!$B$34),$I41,"")</f>
        <v/>
      </c>
      <c r="AZ41" s="1" t="str">
        <f>IF(ISNUMBER(AY41)=TRUE,IF(_xlfn.RANK.EQ(AY41,$AY$2:$AY$111)&lt;='Tournament Setup'!$C$34,_xlfn.RANK.EQ(AY41,$AY$2:$AY$111),""),"")</f>
        <v/>
      </c>
      <c r="BA41" s="31" t="str">
        <f>IF(AND($F41='Tournament Setup'!$A$34,SUM($Q41,$U41)=0,$E41="F",$AX41&gt;'Tournament Setup'!$B$34),$I41,"")</f>
        <v/>
      </c>
      <c r="BB41" s="12" t="str">
        <f>IF(ISNUMBER(BA41)=TRUE,IF(_xlfn.RANK.EQ(BA41,$BA$2:$BA$111)&lt;='Tournament Setup'!$D$34,_xlfn.RANK.EQ(BA41,$BA$2:$BA$111),""),"")</f>
        <v/>
      </c>
      <c r="BC41" s="30" t="str">
        <f>IF(AND($G41='Tournament Setup'!$A$52,$J41&lt;&gt;0),$J41,"")</f>
        <v/>
      </c>
      <c r="BD41" s="47" t="str">
        <f>IF(ISNUMBER(BC41),IF(COUNTIFS(BD$1:BD40,_xlfn.RANK.EQ(BC41,BC$2:BC$111,0))&gt;0,_xlfn.MAXIFS(BD$1:BD40,BC$1:BC40,BC41)+1,_xlfn.RANK.EQ(BC41,BC$2:BC$111,0)),"")</f>
        <v/>
      </c>
      <c r="BE41" s="1" t="str">
        <f>IF(ISNUMBER(BC41)=TRUE,IF(_xlfn.RANK.EQ(BC41,$BC$2:$BC$111)&lt;='Tournament Setup'!$B$49,_xlfn.RANK.EQ(BC41,$BC$2:$BC$111),""),"")</f>
        <v/>
      </c>
      <c r="BF41" s="30">
        <f>IF(AND($F41='Tournament Setup'!$A$35,SUM($Q41,$S41,$U41)=0),$I41,"")</f>
        <v>59</v>
      </c>
      <c r="BG41" s="47">
        <f>IF(ISNUMBER(BF41),IF(COUNTIFS(BG$1:BG40,_xlfn.RANK.EQ(BF41,BF$2:BF$111,0))&gt;0,_xlfn.MAXIFS(BG$1:BG40,BF$1:BF40,BF41)+1,_xlfn.RANK.EQ(BF41,BF$2:BF$111,0)),"")</f>
        <v>7</v>
      </c>
      <c r="BH41" s="1" t="str">
        <f>IF(ISNUMBER(BF41)=TRUE,IF(_xlfn.RANK.EQ(BF41,$BF$2:$BF$111)&lt;='Tournament Setup'!$B$35,_xlfn.RANK.EQ(BF41,$BF$2:$BF$111),""),"")</f>
        <v/>
      </c>
      <c r="BI41" s="31">
        <f>IF(AND($F41='Tournament Setup'!$A$35,SUM($Q41,$S41)=0,$E41="M",$BH41&gt;'Tournament Setup'!$B$35),$I41,"")</f>
        <v>59</v>
      </c>
      <c r="BJ41" s="1">
        <f>IF(ISNUMBER(BI41)=TRUE,IF(_xlfn.RANK.EQ(BI41,$BI$2:$BI$111)&lt;='Tournament Setup'!$C$35,_xlfn.RANK.EQ(BI41,$BI$2:$BI$111),""),"")</f>
        <v>3</v>
      </c>
      <c r="BK41" s="31" t="str">
        <f>IF(AND($F41='Tournament Setup'!$A$35,SUM($Q41,$U41)=0,$E41="F",$BH41&gt;'Tournament Setup'!$B$35),$I41,"")</f>
        <v/>
      </c>
      <c r="BL41" s="12" t="str">
        <f>IF(ISNUMBER(BK41)=TRUE,IF(_xlfn.RANK.EQ(BK41,$BK$2:$BK$111)&lt;='Tournament Setup'!$D$35,_xlfn.RANK.EQ(BK41,$BK$2:$BK$111),""),"")</f>
        <v/>
      </c>
      <c r="BM41" s="30" t="str">
        <f>IF(AND($G41='Tournament Setup'!$A$54,$J41&lt;&gt;0),$J41,"")</f>
        <v/>
      </c>
      <c r="BN41" s="47" t="str">
        <f>IF(ISNUMBER(BM41),IF(COUNTIFS(BN$1:BN40,_xlfn.RANK.EQ(BM41,BM$2:BM$111,0))&gt;0,_xlfn.MAXIFS(BN$1:BN40,BM$1:BM40,BM41)+1,_xlfn.RANK.EQ(BM41,BM$2:BM$111,0)),"")</f>
        <v/>
      </c>
      <c r="BO41" s="1" t="str">
        <f>IF(ISNUMBER(BM41)=TRUE,IF(_xlfn.RANK.EQ(BM41,$BM$2:$BM$111)&lt;='Tournament Setup'!$B$49,_xlfn.RANK.EQ(BM41,$BM$2:$BM$111),""),"")</f>
        <v/>
      </c>
      <c r="BP41" s="30" t="str">
        <f>IF(AND($F41='Tournament Setup'!$A$36,SUM($Q41,$S41,$U41)=0),$I41,"")</f>
        <v/>
      </c>
      <c r="BQ41" s="47" t="str">
        <f>IF(ISNUMBER(BP41),IF(COUNTIFS(BQ$1:BQ40,_xlfn.RANK.EQ(BP41,BP$2:BP$111,0))&gt;0,_xlfn.MAXIFS(BQ$1:BQ40,BP$1:BP40,BP41)+1,_xlfn.RANK.EQ(BP41,BP$2:BP$111,0)),"")</f>
        <v/>
      </c>
      <c r="BR41" s="1" t="str">
        <f>IF(ISNUMBER(BP41)=TRUE,IF(_xlfn.RANK.EQ(BP41,$BP$2:$BP$111)&lt;='Tournament Setup'!$B$36,_xlfn.RANK.EQ(BP41,$BP$2:$BP$111),""),"")</f>
        <v/>
      </c>
      <c r="BS41" s="31" t="str">
        <f>IF(AND($F41='Tournament Setup'!$A$36,SUM($Q41,$S41)=0,$E41="M",$BR41&gt;'Tournament Setup'!$B$36),$I41,"")</f>
        <v/>
      </c>
      <c r="BT41" s="1" t="str">
        <f>IF(ISNUMBER(BS41)=TRUE,IF(_xlfn.RANK.EQ(BS41,$BS$2:$BS$111)&lt;='Tournament Setup'!$C$36,_xlfn.RANK.EQ(BS41,$BS$2:$BS$111),""),"")</f>
        <v/>
      </c>
      <c r="BU41" s="31" t="str">
        <f>IF(AND($F41='Tournament Setup'!$A$36,SUM($Q41,$U41)=0,$E41="F",$BR41&gt;'Tournament Setup'!$B$36),$I41,"")</f>
        <v/>
      </c>
      <c r="BV41" s="12" t="str">
        <f>IF(ISNUMBER(BU41)=TRUE,IF(_xlfn.RANK.EQ(BU41,$BU$2:$BU$111)&lt;='Tournament Setup'!$D$36,_xlfn.RANK.EQ(BU41,$BU$2:$BU$111),""),"")</f>
        <v/>
      </c>
      <c r="BW41" s="30" t="str">
        <f>IF($H41='Tournament Setup'!$A$41,$I41,"")</f>
        <v/>
      </c>
      <c r="BX41" s="47" t="str">
        <f>IF(ISNUMBER(BW41),IF(COUNTIFS(BX$1:BX40,_xlfn.RANK.EQ(BW41,BW$2:BW$111,0))&gt;0,_xlfn.MAXIFS(BX$1:BX40,BW$1:BW40,BW41)+1,_xlfn.RANK.EQ(BW41,BW$2:BW$111,0)),"")</f>
        <v/>
      </c>
      <c r="BY41" s="1" t="str">
        <f>IF(ISNUMBER(BW41)=TRUE,IF(_xlfn.RANK.EQ(BW41,$BW$2:$BW$111)&lt;='Tournament Setup'!$B$41,_xlfn.RANK.EQ(BW41,$BW$2:$BW$111),""),"")</f>
        <v/>
      </c>
      <c r="BZ41" s="31" t="str">
        <f>IF(AND($H41='Tournament Setup'!$A$41,$E41="M",$BY41&gt;'Tournament Setup'!$B$41),$I41,"")</f>
        <v/>
      </c>
      <c r="CA41" s="1" t="str">
        <f>IF(ISNUMBER(BZ41)=TRUE,IF(_xlfn.RANK.EQ(BZ41,$BZ$2:$BZ$111)&lt;='Tournament Setup'!$C$41,_xlfn.RANK.EQ(BZ41,$BZ$2:$BZ$111),""),"")</f>
        <v/>
      </c>
      <c r="CB41" s="31" t="str">
        <f>IF(AND($H41='Tournament Setup'!$A$41,$E41="F",$BY41&gt;'Tournament Setup'!$B$41),$I41,"")</f>
        <v/>
      </c>
      <c r="CC41" s="12" t="str">
        <f>IF(ISNUMBER(CB41)=TRUE,IF(_xlfn.RANK.EQ(CB41,$CB$2:$CB$111)&lt;='Tournament Setup'!$D$41,_xlfn.RANK.EQ(CB41,$CB$2:$CB$111),""),"")</f>
        <v/>
      </c>
      <c r="CD41" s="30" t="str">
        <f>IF($H41='Tournament Setup'!$A$42,$I41,"")</f>
        <v/>
      </c>
      <c r="CE41" s="47" t="str">
        <f>IF(ISNUMBER(CD41),IF(COUNTIFS(CE$1:CE40,_xlfn.RANK.EQ(CD41,CD$2:CD$111,0))&gt;0,_xlfn.MAXIFS(CE$1:CE40,CD$1:CD40,CD41)+1,_xlfn.RANK.EQ(CD41,CD$2:CD$111,0)),"")</f>
        <v/>
      </c>
      <c r="CF41" s="1" t="str">
        <f>IF(ISNUMBER(CD41)=TRUE,IF(_xlfn.RANK.EQ(CD41,$CD$2:$CD$111)&lt;='Tournament Setup'!$B$42,_xlfn.RANK.EQ(CD41,$CD$2:$CD$111),""),"")</f>
        <v/>
      </c>
      <c r="CG41" s="31" t="str">
        <f>IF(AND($H41='Tournament Setup'!$A$42,$E41="M",$CF41&gt;'Tournament Setup'!$B$42),$I41,"")</f>
        <v/>
      </c>
      <c r="CH41" s="1" t="str">
        <f>IF(ISNUMBER(CG41)=TRUE,IF(_xlfn.RANK.EQ(CG41,$CG$2:$CG$111)&lt;='Tournament Setup'!$C$42,_xlfn.RANK.EQ(CG41,$CG$2:$CG$111),""),"")</f>
        <v/>
      </c>
      <c r="CI41" s="31" t="str">
        <f>IF(AND($H41='Tournament Setup'!$A$42,$E41="F",$CF41&gt;'Tournament Setup'!$B$42),$I41,"")</f>
        <v/>
      </c>
      <c r="CJ41" s="12" t="str">
        <f>IF(ISNUMBER(CI41)=TRUE,IF(_xlfn.RANK.EQ(CI41,$CI$2:$CI$111)&lt;='Tournament Setup'!$D$42,_xlfn.RANK.EQ(CI41,$CI$2:$CI$111),""),"")</f>
        <v/>
      </c>
      <c r="CK41" s="30" t="str">
        <f>IF($H41='Tournament Setup'!$A$43,$I41,"")</f>
        <v/>
      </c>
      <c r="CL41" s="47" t="str">
        <f>IF(ISNUMBER(CK41),IF(COUNTIFS(CL$1:CL40,_xlfn.RANK.EQ(CK41,CK$2:CK$111,0))&gt;0,_xlfn.MAXIFS(CL$1:CL40,CK$1:CK40,CK41)+1,_xlfn.RANK.EQ(CK41,CK$2:CK$111,0)),"")</f>
        <v/>
      </c>
      <c r="CM41" s="1" t="str">
        <f>IF(ISNUMBER(CK41)=TRUE,IF(_xlfn.RANK.EQ(CK41,$CK$2:$CK$111)&lt;='Tournament Setup'!$B$43,_xlfn.RANK.EQ(CK41,$CK$2:$CK$111),""),"")</f>
        <v/>
      </c>
      <c r="CN41" s="31" t="str">
        <f>IF(AND($H41='Tournament Setup'!$A$43,$E41="M",$CM41&gt;'Tournament Setup'!$B$43),$I41,"")</f>
        <v/>
      </c>
      <c r="CO41" s="1" t="str">
        <f>IF(ISNUMBER(CN41)=TRUE,IF(_xlfn.RANK.EQ(CN41,$CN$2:$CN$111)&lt;='Tournament Setup'!$C$43,_xlfn.RANK.EQ(CN41,$CN$2:$CN$111),""),"")</f>
        <v/>
      </c>
      <c r="CP41" s="31" t="str">
        <f>IF(AND($H41='Tournament Setup'!$A$43,$E41="F",$CM41&gt;'Tournament Setup'!$B$43),$I41,"")</f>
        <v/>
      </c>
      <c r="CQ41" s="12" t="str">
        <f>IF(ISNUMBER(CP41)=TRUE,IF(_xlfn.RANK.EQ(CP41,$CP$2:$CP$111)&lt;='Tournament Setup'!$D$43,_xlfn.RANK.EQ(CP41,$CP$2:$CP$111),""),"")</f>
        <v/>
      </c>
      <c r="CR41" s="30">
        <f>IF($H41='Tournament Setup'!$A$44,$I41,"")</f>
        <v>59</v>
      </c>
      <c r="CS41" s="47">
        <f>IF(ISNUMBER(CR41),IF(COUNTIFS(CS$1:CS40,_xlfn.RANK.EQ(CR41,CR$2:CR$111,0))&gt;0,_xlfn.MAXIFS(CS$1:CS40,CR$1:CR40,CR41)+1,_xlfn.RANK.EQ(CR41,CR$2:CR$111,0)),"")</f>
        <v>5</v>
      </c>
      <c r="CT41" s="1" t="str">
        <f>IF(ISNUMBER(CR41)=TRUE,IF(_xlfn.RANK.EQ(CR41,$CR$2:$CR$111)&lt;='Tournament Setup'!$B$44,_xlfn.RANK.EQ(CR41,$CR$2:$CR$111),""),"")</f>
        <v/>
      </c>
      <c r="CU41" s="31">
        <f>IF(AND($H41='Tournament Setup'!$A$44,$E41="M",$CT41&gt;'Tournament Setup'!$B$44),$I41,"")</f>
        <v>59</v>
      </c>
      <c r="CV41" s="1">
        <f>IF(ISNUMBER(CU41)=TRUE,IF(_xlfn.RANK.EQ(CU41,$CU$2:$CU$111)&lt;='Tournament Setup'!$C$44,_xlfn.RANK.EQ(CU41,$CU$2:$CU$111),""),"")</f>
        <v>1</v>
      </c>
      <c r="CW41" s="31" t="str">
        <f>IF(AND($H41='Tournament Setup'!$A$44,$E41="F",$CT41&gt;'Tournament Setup'!$B$44),$I41,"")</f>
        <v/>
      </c>
      <c r="CX41" s="12" t="str">
        <f>IF(ISNUMBER(CW41)=TRUE,IF(_xlfn.RANK.EQ(CW41,$CW$2:$CW$111)&lt;='Tournament Setup'!$D$44,_xlfn.RANK.EQ(CW41,$CW$2:$CW$111),""),"")</f>
        <v/>
      </c>
    </row>
    <row r="42" spans="1:102" x14ac:dyDescent="0.3">
      <c r="A42" t="s">
        <v>197</v>
      </c>
      <c r="B42" t="str">
        <f>IFERROR(INDEX('Tournament List'!$B:$B,MATCH($A42,'Tournament List'!$A:$A,0)),"")</f>
        <v>Trey</v>
      </c>
      <c r="C42" t="str">
        <f>IFERROR(INDEX('Tournament List'!$C:$C,MATCH($A42,'Tournament List'!$A:$A,0)),"")</f>
        <v>Last Name41</v>
      </c>
      <c r="D42" t="str">
        <f t="shared" si="1"/>
        <v>Trey Last Name41</v>
      </c>
      <c r="E42" s="1" t="str">
        <f>IFERROR(INDEX('Tournament List'!F:F,MATCH($A42,'Tournament List'!$A:$A,0)),"")</f>
        <v>M</v>
      </c>
      <c r="F42" t="str">
        <f>IFERROR(INDEX('Tournament List'!M:M,MATCH($A42,'Tournament List'!$A:$A,0)),"")</f>
        <v>Varsity</v>
      </c>
      <c r="G42" t="str">
        <f>IFERROR(INDEX('Shooter-Squad Assignment'!L:L,MATCH(A42,'Shooter-Squad Assignment'!A:A,0)),"")</f>
        <v/>
      </c>
      <c r="H42" s="1" t="str">
        <f>IFERROR(INDEX('Tournament List'!AD:AD,MATCH($A42,'Tournament List'!$A:$A,0)),"")</f>
        <v>C</v>
      </c>
      <c r="I42" s="123">
        <f>IFERROR(INDEX('Tournament List'!AG:AG,MATCH($A42,'Tournament List'!$A:$A,0)),"")</f>
        <v>84</v>
      </c>
      <c r="J42" s="145" t="str">
        <f>IFERROR(INDEX('Tournament List'!Y:Y,MATCH($A42,'Tournament List'!$A:$A,0)),"")</f>
        <v/>
      </c>
      <c r="K42" s="47" t="str">
        <f>IFERROR(INDEX('Tournament List'!S:S,MATCH(A42,'Tournament List'!A:A,0)),"")</f>
        <v/>
      </c>
      <c r="L42" s="47" t="str">
        <f>IF(ISNUMBER(J42),IF(COUNTIFS(L$1:L41,_xlfn.RANK.EQ(J42,J$2:J$111,0))&gt;0,_xlfn.MAXIFS(L$1:L41,J$1:J41,J42)+1,_xlfn.RANK.EQ(J42,J$2:J$111,0)),"")</f>
        <v/>
      </c>
      <c r="M42" s="11">
        <f>IF(ISNUMBER(I42)=TRUE,IF(I42&gt;0,_xlfn.RANK.EQ(I42,$I$2:$I$111,0),""),"")</f>
        <v>15</v>
      </c>
      <c r="N42" s="56">
        <f>IF(ISNUMBER(I42),IF(COUNTIFS(N$1:N41,_xlfn.RANK.EQ(I42,I$2:I$111,0))&gt;0,_xlfn.MAXIFS(N$1:N41,I$1:I41,I42)+1,_xlfn.RANK.EQ(I42,I$2:I$111,0)),"")</f>
        <v>15</v>
      </c>
      <c r="O42" s="144">
        <f>IF(F42&lt;&gt;"Collegiate"=TRUE,$I42,"")</f>
        <v>84</v>
      </c>
      <c r="P42" s="47">
        <f>IF(ISNUMBER(O42),IF(COUNTIFS(P$1:P41,_xlfn.RANK.EQ(O42,O$2:O$111,0))&gt;0,_xlfn.MAXIFS(P$1:P41,O$1:O41,O42)+1,_xlfn.RANK.EQ(O42,O$2:O$111,0)),"")</f>
        <v>13</v>
      </c>
      <c r="Q42" s="1" t="str">
        <f>IF(ISNUMBER(O42)=TRUE,IF(_xlfn.RANK.EQ(O42,$O$2:$O$111)&lt;='Tournament Setup'!$B$26,_xlfn.RANK.EQ(O42,$O$2:$O$111),""),"")</f>
        <v/>
      </c>
      <c r="R42" s="143">
        <f>IF(AND($E42="M",SUM($Q42)=0,F42&lt;&gt;"Collegiate")=TRUE,$I42,"")</f>
        <v>84</v>
      </c>
      <c r="S42" s="1" t="str">
        <f>IF(ISNUMBER(R42)=TRUE,IF(_xlfn.RANK.EQ(R42,$R$2:$R$111)&lt;='Tournament Setup'!$B$27,_xlfn.RANK.EQ(R42,$R$2:$R$111),""),"")</f>
        <v/>
      </c>
      <c r="T42" s="143" t="str">
        <f>IF(AND($E42="F",SUM($Q42)=0,F42&lt;&gt;"Collegiate")=TRUE,$I42,"")</f>
        <v/>
      </c>
      <c r="U42" s="12" t="str">
        <f>IF(ISNUMBER(T42)=TRUE,IF(_xlfn.RANK.EQ(T42,$T$2:$T$111)&lt;='Tournament Setup'!$B$28,_xlfn.RANK.EQ(T42,$T$2:$T$111),""),"")</f>
        <v/>
      </c>
      <c r="V42" s="145" t="str">
        <f>IF(AND($G42='Tournament Setup'!$A$53,$J42&lt;&gt;0),$J42,"")</f>
        <v/>
      </c>
      <c r="W42" s="47" t="str">
        <f>IF(ISNUMBER(V42),IF(COUNTIFS(W$1:W41,_xlfn.RANK.EQ(V42,V$2:V$111,0))&gt;0,_xlfn.MAXIFS(W$1:W41,V$1:V41,V42)+1,_xlfn.RANK.EQ(V42,V$2:V$111,0)),"")</f>
        <v/>
      </c>
      <c r="X42" s="1" t="str">
        <f>IF(ISNUMBER(V42)=TRUE,IF(_xlfn.RANK.EQ(V42,$V$2:$V$111)&lt;='Tournament Setup'!$B$53,_xlfn.RANK.EQ(V42,$V$2:$V$111),""),"")</f>
        <v/>
      </c>
      <c r="Y42" s="145" t="str">
        <f>IF(AND($G42='Tournament Setup'!$A$49,$J42&lt;&gt;0),$J42,"")</f>
        <v/>
      </c>
      <c r="Z42" s="47" t="str">
        <f>IF(ISNUMBER(Y42),IF(COUNTIFS(Z$1:Z41,_xlfn.RANK.EQ(Y42,Y$2:Y$111,0))&gt;0,_xlfn.MAXIFS(Z$1:Z41,Y$1:Y41,Y42)+1,_xlfn.RANK.EQ(Y42,Y$2:Y$111,0)),"")</f>
        <v/>
      </c>
      <c r="AA42" s="1" t="str">
        <f>IF(ISNUMBER(Y42)=TRUE,IF(_xlfn.RANK.EQ(Y42,$Y$2:$Y$111)&lt;='Tournament Setup'!$B$49,_xlfn.RANK.EQ(Y42,$Y$2:$Y$111),""),"")</f>
        <v/>
      </c>
      <c r="AB42" s="30" t="str">
        <f>IF(AND($F42='Tournament Setup'!$A$32,SUM($Q42,$S42,$U42)=0),$I42,"")</f>
        <v/>
      </c>
      <c r="AC42" s="47" t="str">
        <f>IF(ISNUMBER(AB42),IF(COUNTIFS(AC$1:AC41,_xlfn.RANK.EQ(AB42,AB$2:AB$111,0))&gt;0,_xlfn.MAXIFS(AC$1:AC41,AB$1:AB41,AB42)+1,_xlfn.RANK.EQ(AB42,AB$2:AB$111,0)),"")</f>
        <v/>
      </c>
      <c r="AD42" s="1" t="str">
        <f>IF(ISNUMBER(AB42)=TRUE,IF(_xlfn.RANK.EQ(AB42,$AB$2:$AB$111)&lt;='Tournament Setup'!$B$32,_xlfn.RANK.EQ(AB42,$AB$2:$AB$111),""),"")</f>
        <v/>
      </c>
      <c r="AE42" s="31" t="str">
        <f>IF(AND($F42='Tournament Setup'!$A$32,SUM($Q42,$S42)=0,$E42="M",$AD42&gt;'Tournament Setup'!$B$32),$I42,"")</f>
        <v/>
      </c>
      <c r="AF42" s="1" t="str">
        <f>IF(ISNUMBER(AE42)=TRUE,IF(_xlfn.RANK.EQ(AE42,$AE$2:$AE$111)&lt;='Tournament Setup'!$C$32,_xlfn.RANK.EQ(AE42,$AE$2:$AE$111),""),"")</f>
        <v/>
      </c>
      <c r="AG42" s="31" t="str">
        <f>IF(AND($F42='Tournament Setup'!$A$32,SUM($Q42,$U42)=0,$E42="F",$AD42&gt;'Tournament Setup'!$B$32),$I42,"")</f>
        <v/>
      </c>
      <c r="AH42" s="12" t="str">
        <f>IF(ISNUMBER(AG42)=TRUE,IF(_xlfn.RANK.EQ(AG42,$AG$2:$AG$111)&lt;='Tournament Setup'!$D$32,_xlfn.RANK.EQ(AG42,$AG$2:$AG$111),""),"")</f>
        <v/>
      </c>
      <c r="AI42" s="30" t="str">
        <f>IF(AND($G42='Tournament Setup'!$A$50,$J42&lt;&gt;0),$J42,"")</f>
        <v/>
      </c>
      <c r="AJ42" s="47" t="str">
        <f>IF(ISNUMBER(AI42),IF(COUNTIFS(AJ$1:AJ41,_xlfn.RANK.EQ(AI42,AI$2:AI$111,0))&gt;0,_xlfn.MAXIFS(AJ$1:AJ41,AI$1:AI41,AI42)+1,_xlfn.RANK.EQ(AI42,AI$2:AI$111,0)),"")</f>
        <v/>
      </c>
      <c r="AK42" s="1" t="str">
        <f>IF(ISNUMBER(AI42)=TRUE,IF(_xlfn.RANK.EQ(AI42,$AI$2:$AI$111)&lt;='Tournament Setup'!$B$49,_xlfn.RANK.EQ(AI42,$AI$2:$AI$111),""),"")</f>
        <v/>
      </c>
      <c r="AL42" s="30" t="str">
        <f>IF(AND($F42='Tournament Setup'!$A$33,SUM($Q42,$S42,$U42)=0),$I42,"")</f>
        <v/>
      </c>
      <c r="AM42" s="47" t="str">
        <f>IF(ISNUMBER(AL42),IF(COUNTIFS(AM$1:AM41,_xlfn.RANK.EQ(AL42,AL$2:AL$111,0))&gt;0,_xlfn.MAXIFS(AM$1:AM41,AL$1:AL41,AL42)+1,_xlfn.RANK.EQ(AL42,AL$2:AL$111,0)),"")</f>
        <v/>
      </c>
      <c r="AN42" s="1" t="str">
        <f>IF(ISNUMBER(AL42)=TRUE,IF(_xlfn.RANK.EQ(AL42,$AL$2:$AL$111)&lt;='Tournament Setup'!$B$33,_xlfn.RANK.EQ(AL42,$AL$2:$AL$111),""),"")</f>
        <v/>
      </c>
      <c r="AO42" s="31" t="str">
        <f>IF(AND($F42='Tournament Setup'!$A$33,SUM($Q42,$S42)=0,$E42="M",$AN42&gt;'Tournament Setup'!$B$33),$I42,"")</f>
        <v/>
      </c>
      <c r="AP42" s="1" t="str">
        <f>IF(ISNUMBER(AO42)=TRUE,IF(_xlfn.RANK.EQ(AO42,$AO$2:$AO$111)&lt;='Tournament Setup'!$C$33,_xlfn.RANK.EQ(AO42,$AO$2:$AO$111),""),"")</f>
        <v/>
      </c>
      <c r="AQ42" s="31" t="str">
        <f>IF(AND($F42='Tournament Setup'!$A$33,SUM($Q42,$U42)=0,$E42="F",$AN42&gt;'Tournament Setup'!$B$33),$I42,"")</f>
        <v/>
      </c>
      <c r="AR42" s="12" t="str">
        <f>IF(ISNUMBER(AQ42)=TRUE,IF(_xlfn.RANK.EQ(AQ42,$AQ$2:$AQ$111)&lt;='Tournament Setup'!$D$33,_xlfn.RANK.EQ(AQ42,$AQ$2:$AQ$111),""),"")</f>
        <v/>
      </c>
      <c r="AS42" s="30" t="str">
        <f>IF(AND($G42='Tournament Setup'!$A$51,$J42&lt;&gt;0),$J42,"")</f>
        <v/>
      </c>
      <c r="AT42" s="47" t="str">
        <f>IF(ISNUMBER(AS42),IF(COUNTIFS(AT$1:AT41,_xlfn.RANK.EQ(AS42,AS$2:AS$111,0))&gt;0,_xlfn.MAXIFS(AT$1:AT41,AS$1:AS41,AS42)+1,_xlfn.RANK.EQ(AS42,AS$2:AS$111,0)),"")</f>
        <v/>
      </c>
      <c r="AU42" s="1" t="str">
        <f>IF(ISNUMBER(AS42)=TRUE,IF(_xlfn.RANK.EQ(AS42,$AS$2:$AS$111)&lt;='Tournament Setup'!$B$49,_xlfn.RANK.EQ(AS42,$AS$2:$AS$111),""),"")</f>
        <v/>
      </c>
      <c r="AV42" s="30" t="str">
        <f>IF(AND($F42='Tournament Setup'!$A$34,SUM($Q42,$S42,$U42)=0),$I42,"")</f>
        <v/>
      </c>
      <c r="AW42" s="47" t="str">
        <f>IF(ISNUMBER(AV42),IF(COUNTIFS(AW$1:AW41,_xlfn.RANK.EQ(AV42,AV$2:AV$111,0))&gt;0,_xlfn.MAXIFS(AW$1:AW41,AV$1:AV41,AV42)+1,_xlfn.RANK.EQ(AV42,AV$2:AV$111,0)),"")</f>
        <v/>
      </c>
      <c r="AX42" s="1" t="str">
        <f>IF(ISNUMBER(AV42)=TRUE,IF(_xlfn.RANK.EQ(AV42,$AV$2:$AV$111)&lt;='Tournament Setup'!$B$34,_xlfn.RANK.EQ(AV42,$AV$2:$AV$111),""),"")</f>
        <v/>
      </c>
      <c r="AY42" s="31" t="str">
        <f>IF(AND($F42='Tournament Setup'!$A$34,SUM($Q42,$S42)=0,$E42="M",$AX42&gt;'Tournament Setup'!$B$34),$I42,"")</f>
        <v/>
      </c>
      <c r="AZ42" s="1" t="str">
        <f>IF(ISNUMBER(AY42)=TRUE,IF(_xlfn.RANK.EQ(AY42,$AY$2:$AY$111)&lt;='Tournament Setup'!$C$34,_xlfn.RANK.EQ(AY42,$AY$2:$AY$111),""),"")</f>
        <v/>
      </c>
      <c r="BA42" s="31" t="str">
        <f>IF(AND($F42='Tournament Setup'!$A$34,SUM($Q42,$U42)=0,$E42="F",$AX42&gt;'Tournament Setup'!$B$34),$I42,"")</f>
        <v/>
      </c>
      <c r="BB42" s="12" t="str">
        <f>IF(ISNUMBER(BA42)=TRUE,IF(_xlfn.RANK.EQ(BA42,$BA$2:$BA$111)&lt;='Tournament Setup'!$D$34,_xlfn.RANK.EQ(BA42,$BA$2:$BA$111),""),"")</f>
        <v/>
      </c>
      <c r="BC42" s="30" t="str">
        <f>IF(AND($G42='Tournament Setup'!$A$52,$J42&lt;&gt;0),$J42,"")</f>
        <v/>
      </c>
      <c r="BD42" s="47" t="str">
        <f>IF(ISNUMBER(BC42),IF(COUNTIFS(BD$1:BD41,_xlfn.RANK.EQ(BC42,BC$2:BC$111,0))&gt;0,_xlfn.MAXIFS(BD$1:BD41,BC$1:BC41,BC42)+1,_xlfn.RANK.EQ(BC42,BC$2:BC$111,0)),"")</f>
        <v/>
      </c>
      <c r="BE42" s="1" t="str">
        <f>IF(ISNUMBER(BC42)=TRUE,IF(_xlfn.RANK.EQ(BC42,$BC$2:$BC$111)&lt;='Tournament Setup'!$B$49,_xlfn.RANK.EQ(BC42,$BC$2:$BC$111),""),"")</f>
        <v/>
      </c>
      <c r="BF42" s="30">
        <f>IF(AND($F42='Tournament Setup'!$A$35,SUM($Q42,$S42,$U42)=0),$I42,"")</f>
        <v>84</v>
      </c>
      <c r="BG42" s="47">
        <f>IF(ISNUMBER(BF42),IF(COUNTIFS(BG$1:BG41,_xlfn.RANK.EQ(BF42,BF$2:BF$111,0))&gt;0,_xlfn.MAXIFS(BG$1:BG41,BF$1:BF41,BF42)+1,_xlfn.RANK.EQ(BF42,BF$2:BF$111,0)),"")</f>
        <v>2</v>
      </c>
      <c r="BH42" s="1">
        <f>IF(ISNUMBER(BF42)=TRUE,IF(_xlfn.RANK.EQ(BF42,$BF$2:$BF$111)&lt;='Tournament Setup'!$B$35,_xlfn.RANK.EQ(BF42,$BF$2:$BF$111),""),"")</f>
        <v>2</v>
      </c>
      <c r="BI42" s="31" t="str">
        <f>IF(AND($F42='Tournament Setup'!$A$35,SUM($Q42,$S42)=0,$E42="M",$BH42&gt;'Tournament Setup'!$B$35),$I42,"")</f>
        <v/>
      </c>
      <c r="BJ42" s="1" t="str">
        <f>IF(ISNUMBER(BI42)=TRUE,IF(_xlfn.RANK.EQ(BI42,$BI$2:$BI$111)&lt;='Tournament Setup'!$C$35,_xlfn.RANK.EQ(BI42,$BI$2:$BI$111),""),"")</f>
        <v/>
      </c>
      <c r="BK42" s="31" t="str">
        <f>IF(AND($F42='Tournament Setup'!$A$35,SUM($Q42,$U42)=0,$E42="F",$BH42&gt;'Tournament Setup'!$B$35),$I42,"")</f>
        <v/>
      </c>
      <c r="BL42" s="12" t="str">
        <f>IF(ISNUMBER(BK42)=TRUE,IF(_xlfn.RANK.EQ(BK42,$BK$2:$BK$111)&lt;='Tournament Setup'!$D$35,_xlfn.RANK.EQ(BK42,$BK$2:$BK$111),""),"")</f>
        <v/>
      </c>
      <c r="BM42" s="30" t="str">
        <f>IF(AND($G42='Tournament Setup'!$A$54,$J42&lt;&gt;0),$J42,"")</f>
        <v/>
      </c>
      <c r="BN42" s="47" t="str">
        <f>IF(ISNUMBER(BM42),IF(COUNTIFS(BN$1:BN41,_xlfn.RANK.EQ(BM42,BM$2:BM$111,0))&gt;0,_xlfn.MAXIFS(BN$1:BN41,BM$1:BM41,BM42)+1,_xlfn.RANK.EQ(BM42,BM$2:BM$111,0)),"")</f>
        <v/>
      </c>
      <c r="BO42" s="1" t="str">
        <f>IF(ISNUMBER(BM42)=TRUE,IF(_xlfn.RANK.EQ(BM42,$BM$2:$BM$111)&lt;='Tournament Setup'!$B$49,_xlfn.RANK.EQ(BM42,$BM$2:$BM$111),""),"")</f>
        <v/>
      </c>
      <c r="BP42" s="30" t="str">
        <f>IF(AND($F42='Tournament Setup'!$A$36,SUM($Q42,$S42,$U42)=0),$I42,"")</f>
        <v/>
      </c>
      <c r="BQ42" s="47" t="str">
        <f>IF(ISNUMBER(BP42),IF(COUNTIFS(BQ$1:BQ41,_xlfn.RANK.EQ(BP42,BP$2:BP$111,0))&gt;0,_xlfn.MAXIFS(BQ$1:BQ41,BP$1:BP41,BP42)+1,_xlfn.RANK.EQ(BP42,BP$2:BP$111,0)),"")</f>
        <v/>
      </c>
      <c r="BR42" s="1" t="str">
        <f>IF(ISNUMBER(BP42)=TRUE,IF(_xlfn.RANK.EQ(BP42,$BP$2:$BP$111)&lt;='Tournament Setup'!$B$36,_xlfn.RANK.EQ(BP42,$BP$2:$BP$111),""),"")</f>
        <v/>
      </c>
      <c r="BS42" s="31" t="str">
        <f>IF(AND($F42='Tournament Setup'!$A$36,SUM($Q42,$S42)=0,$E42="M",$BR42&gt;'Tournament Setup'!$B$36),$I42,"")</f>
        <v/>
      </c>
      <c r="BT42" s="1" t="str">
        <f>IF(ISNUMBER(BS42)=TRUE,IF(_xlfn.RANK.EQ(BS42,$BS$2:$BS$111)&lt;='Tournament Setup'!$C$36,_xlfn.RANK.EQ(BS42,$BS$2:$BS$111),""),"")</f>
        <v/>
      </c>
      <c r="BU42" s="31" t="str">
        <f>IF(AND($F42='Tournament Setup'!$A$36,SUM($Q42,$U42)=0,$E42="F",$BR42&gt;'Tournament Setup'!$B$36),$I42,"")</f>
        <v/>
      </c>
      <c r="BV42" s="12" t="str">
        <f>IF(ISNUMBER(BU42)=TRUE,IF(_xlfn.RANK.EQ(BU42,$BU$2:$BU$111)&lt;='Tournament Setup'!$D$36,_xlfn.RANK.EQ(BU42,$BU$2:$BU$111),""),"")</f>
        <v/>
      </c>
      <c r="BW42" s="30" t="str">
        <f>IF($H42='Tournament Setup'!$A$41,$I42,"")</f>
        <v/>
      </c>
      <c r="BX42" s="47" t="str">
        <f>IF(ISNUMBER(BW42),IF(COUNTIFS(BX$1:BX41,_xlfn.RANK.EQ(BW42,BW$2:BW$111,0))&gt;0,_xlfn.MAXIFS(BX$1:BX41,BW$1:BW41,BW42)+1,_xlfn.RANK.EQ(BW42,BW$2:BW$111,0)),"")</f>
        <v/>
      </c>
      <c r="BY42" s="1" t="str">
        <f>IF(ISNUMBER(BW42)=TRUE,IF(_xlfn.RANK.EQ(BW42,$BW$2:$BW$111)&lt;='Tournament Setup'!$B$41,_xlfn.RANK.EQ(BW42,$BW$2:$BW$111),""),"")</f>
        <v/>
      </c>
      <c r="BZ42" s="31" t="str">
        <f>IF(AND($H42='Tournament Setup'!$A$41,$E42="M",$BY42&gt;'Tournament Setup'!$B$41),$I42,"")</f>
        <v/>
      </c>
      <c r="CA42" s="1" t="str">
        <f>IF(ISNUMBER(BZ42)=TRUE,IF(_xlfn.RANK.EQ(BZ42,$BZ$2:$BZ$111)&lt;='Tournament Setup'!$C$41,_xlfn.RANK.EQ(BZ42,$BZ$2:$BZ$111),""),"")</f>
        <v/>
      </c>
      <c r="CB42" s="31" t="str">
        <f>IF(AND($H42='Tournament Setup'!$A$41,$E42="F",$BY42&gt;'Tournament Setup'!$B$41),$I42,"")</f>
        <v/>
      </c>
      <c r="CC42" s="12" t="str">
        <f>IF(ISNUMBER(CB42)=TRUE,IF(_xlfn.RANK.EQ(CB42,$CB$2:$CB$111)&lt;='Tournament Setup'!$D$41,_xlfn.RANK.EQ(CB42,$CB$2:$CB$111),""),"")</f>
        <v/>
      </c>
      <c r="CD42" s="30" t="str">
        <f>IF($H42='Tournament Setup'!$A$42,$I42,"")</f>
        <v/>
      </c>
      <c r="CE42" s="47" t="str">
        <f>IF(ISNUMBER(CD42),IF(COUNTIFS(CE$1:CE41,_xlfn.RANK.EQ(CD42,CD$2:CD$111,0))&gt;0,_xlfn.MAXIFS(CE$1:CE41,CD$1:CD41,CD42)+1,_xlfn.RANK.EQ(CD42,CD$2:CD$111,0)),"")</f>
        <v/>
      </c>
      <c r="CF42" s="1" t="str">
        <f>IF(ISNUMBER(CD42)=TRUE,IF(_xlfn.RANK.EQ(CD42,$CD$2:$CD$111)&lt;='Tournament Setup'!$B$42,_xlfn.RANK.EQ(CD42,$CD$2:$CD$111),""),"")</f>
        <v/>
      </c>
      <c r="CG42" s="31" t="str">
        <f>IF(AND($H42='Tournament Setup'!$A$42,$E42="M",$CF42&gt;'Tournament Setup'!$B$42),$I42,"")</f>
        <v/>
      </c>
      <c r="CH42" s="1" t="str">
        <f>IF(ISNUMBER(CG42)=TRUE,IF(_xlfn.RANK.EQ(CG42,$CG$2:$CG$111)&lt;='Tournament Setup'!$C$42,_xlfn.RANK.EQ(CG42,$CG$2:$CG$111),""),"")</f>
        <v/>
      </c>
      <c r="CI42" s="31" t="str">
        <f>IF(AND($H42='Tournament Setup'!$A$42,$E42="F",$CF42&gt;'Tournament Setup'!$B$42),$I42,"")</f>
        <v/>
      </c>
      <c r="CJ42" s="12" t="str">
        <f>IF(ISNUMBER(CI42)=TRUE,IF(_xlfn.RANK.EQ(CI42,$CI$2:$CI$111)&lt;='Tournament Setup'!$D$42,_xlfn.RANK.EQ(CI42,$CI$2:$CI$111),""),"")</f>
        <v/>
      </c>
      <c r="CK42" s="30">
        <f>IF($H42='Tournament Setup'!$A$43,$I42,"")</f>
        <v>84</v>
      </c>
      <c r="CL42" s="47">
        <f>IF(ISNUMBER(CK42),IF(COUNTIFS(CL$1:CL41,_xlfn.RANK.EQ(CK42,CK$2:CK$111,0))&gt;0,_xlfn.MAXIFS(CL$1:CL41,CK$1:CK41,CK42)+1,_xlfn.RANK.EQ(CK42,CK$2:CK$111,0)),"")</f>
        <v>4</v>
      </c>
      <c r="CM42" s="1" t="str">
        <f>IF(ISNUMBER(CK42)=TRUE,IF(_xlfn.RANK.EQ(CK42,$CK$2:$CK$111)&lt;='Tournament Setup'!$B$43,_xlfn.RANK.EQ(CK42,$CK$2:$CK$111),""),"")</f>
        <v/>
      </c>
      <c r="CN42" s="31">
        <f>IF(AND($H42='Tournament Setup'!$A$43,$E42="M",$CM42&gt;'Tournament Setup'!$B$43),$I42,"")</f>
        <v>84</v>
      </c>
      <c r="CO42" s="1">
        <f>IF(ISNUMBER(CN42)=TRUE,IF(_xlfn.RANK.EQ(CN42,$CN$2:$CN$111)&lt;='Tournament Setup'!$C$43,_xlfn.RANK.EQ(CN42,$CN$2:$CN$111),""),"")</f>
        <v>1</v>
      </c>
      <c r="CP42" s="31" t="str">
        <f>IF(AND($H42='Tournament Setup'!$A$43,$E42="F",$CM42&gt;'Tournament Setup'!$B$43),$I42,"")</f>
        <v/>
      </c>
      <c r="CQ42" s="12" t="str">
        <f>IF(ISNUMBER(CP42)=TRUE,IF(_xlfn.RANK.EQ(CP42,$CP$2:$CP$111)&lt;='Tournament Setup'!$D$43,_xlfn.RANK.EQ(CP42,$CP$2:$CP$111),""),"")</f>
        <v/>
      </c>
      <c r="CR42" s="30" t="str">
        <f>IF($H42='Tournament Setup'!$A$44,$I42,"")</f>
        <v/>
      </c>
      <c r="CS42" s="47" t="str">
        <f>IF(ISNUMBER(CR42),IF(COUNTIFS(CS$1:CS41,_xlfn.RANK.EQ(CR42,CR$2:CR$111,0))&gt;0,_xlfn.MAXIFS(CS$1:CS41,CR$1:CR41,CR42)+1,_xlfn.RANK.EQ(CR42,CR$2:CR$111,0)),"")</f>
        <v/>
      </c>
      <c r="CT42" s="1" t="str">
        <f>IF(ISNUMBER(CR42)=TRUE,IF(_xlfn.RANK.EQ(CR42,$CR$2:$CR$111)&lt;='Tournament Setup'!$B$44,_xlfn.RANK.EQ(CR42,$CR$2:$CR$111),""),"")</f>
        <v/>
      </c>
      <c r="CU42" s="31" t="str">
        <f>IF(AND($H42='Tournament Setup'!$A$44,$E42="M",$CT42&gt;'Tournament Setup'!$B$44),$I42,"")</f>
        <v/>
      </c>
      <c r="CV42" s="1" t="str">
        <f>IF(ISNUMBER(CU42)=TRUE,IF(_xlfn.RANK.EQ(CU42,$CU$2:$CU$111)&lt;='Tournament Setup'!$C$44,_xlfn.RANK.EQ(CU42,$CU$2:$CU$111),""),"")</f>
        <v/>
      </c>
      <c r="CW42" s="31" t="str">
        <f>IF(AND($H42='Tournament Setup'!$A$44,$E42="F",$CT42&gt;'Tournament Setup'!$B$44),$I42,"")</f>
        <v/>
      </c>
      <c r="CX42" s="12" t="str">
        <f>IF(ISNUMBER(CW42)=TRUE,IF(_xlfn.RANK.EQ(CW42,$CW$2:$CW$111)&lt;='Tournament Setup'!$D$44,_xlfn.RANK.EQ(CW42,$CW$2:$CW$111),""),"")</f>
        <v/>
      </c>
    </row>
    <row r="43" spans="1:102" x14ac:dyDescent="0.3">
      <c r="A43" t="s">
        <v>198</v>
      </c>
      <c r="B43" t="str">
        <f>IFERROR(INDEX('Tournament List'!$B:$B,MATCH($A43,'Tournament List'!$A:$A,0)),"")</f>
        <v>Owen</v>
      </c>
      <c r="C43" t="str">
        <f>IFERROR(INDEX('Tournament List'!$C:$C,MATCH($A43,'Tournament List'!$A:$A,0)),"")</f>
        <v>Last Name42</v>
      </c>
      <c r="D43" t="str">
        <f t="shared" si="1"/>
        <v>Owen Last Name42</v>
      </c>
      <c r="E43" s="1" t="str">
        <f>IFERROR(INDEX('Tournament List'!F:F,MATCH($A43,'Tournament List'!$A:$A,0)),"")</f>
        <v>M</v>
      </c>
      <c r="F43" t="str">
        <f>IFERROR(INDEX('Tournament List'!M:M,MATCH($A43,'Tournament List'!$A:$A,0)),"")</f>
        <v>Novice</v>
      </c>
      <c r="G43" t="str">
        <f>IFERROR(INDEX('Shooter-Squad Assignment'!L:L,MATCH(A43,'Shooter-Squad Assignment'!A:A,0)),"")</f>
        <v>Novice</v>
      </c>
      <c r="H43" s="1" t="str">
        <f>IFERROR(INDEX('Tournament List'!AD:AD,MATCH($A43,'Tournament List'!$A:$A,0)),"")</f>
        <v>C</v>
      </c>
      <c r="I43" s="123">
        <f>IFERROR(INDEX('Tournament List'!AG:AG,MATCH($A43,'Tournament List'!$A:$A,0)),"")</f>
        <v>60</v>
      </c>
      <c r="J43" s="145" t="str">
        <f>IFERROR(INDEX('Tournament List'!Y:Y,MATCH($A43,'Tournament List'!$A:$A,0)),"")</f>
        <v/>
      </c>
      <c r="K43" s="47">
        <f>IFERROR(INDEX('Tournament List'!S:S,MATCH(A43,'Tournament List'!A:A,0)),"")</f>
        <v>181</v>
      </c>
      <c r="L43" s="47" t="str">
        <f>IF(ISNUMBER(J43),IF(COUNTIFS(L$1:L42,_xlfn.RANK.EQ(J43,J$2:J$111,0))&gt;0,_xlfn.MAXIFS(L$1:L42,J$1:J42,J43)+1,_xlfn.RANK.EQ(J43,J$2:J$111,0)),"")</f>
        <v/>
      </c>
      <c r="M43" s="11">
        <f>IF(ISNUMBER(I43)=TRUE,IF(I43&gt;0,_xlfn.RANK.EQ(I43,$I$2:$I$111,0),""),"")</f>
        <v>36</v>
      </c>
      <c r="N43" s="56">
        <f>IF(ISNUMBER(I43),IF(COUNTIFS(N$1:N42,_xlfn.RANK.EQ(I43,I$2:I$111,0))&gt;0,_xlfn.MAXIFS(N$1:N42,I$1:I42,I43)+1,_xlfn.RANK.EQ(I43,I$2:I$111,0)),"")</f>
        <v>36</v>
      </c>
      <c r="O43" s="144">
        <f>IF(F43&lt;&gt;"Collegiate"=TRUE,$I43,"")</f>
        <v>60</v>
      </c>
      <c r="P43" s="47">
        <f>IF(ISNUMBER(O43),IF(COUNTIFS(P$1:P42,_xlfn.RANK.EQ(O43,O$2:O$111,0))&gt;0,_xlfn.MAXIFS(P$1:P42,O$1:O42,O43)+1,_xlfn.RANK.EQ(O43,O$2:O$111,0)),"")</f>
        <v>34</v>
      </c>
      <c r="Q43" s="1" t="str">
        <f>IF(ISNUMBER(O43)=TRUE,IF(_xlfn.RANK.EQ(O43,$O$2:$O$111)&lt;='Tournament Setup'!$B$26,_xlfn.RANK.EQ(O43,$O$2:$O$111),""),"")</f>
        <v/>
      </c>
      <c r="R43" s="143">
        <f>IF(AND($E43="M",SUM($Q43)=0,F43&lt;&gt;"Collegiate")=TRUE,$I43,"")</f>
        <v>60</v>
      </c>
      <c r="S43" s="1" t="str">
        <f>IF(ISNUMBER(R43)=TRUE,IF(_xlfn.RANK.EQ(R43,$R$2:$R$111)&lt;='Tournament Setup'!$B$27,_xlfn.RANK.EQ(R43,$R$2:$R$111),""),"")</f>
        <v/>
      </c>
      <c r="T43" s="143" t="str">
        <f>IF(AND($E43="F",SUM($Q43)=0,F43&lt;&gt;"Collegiate")=TRUE,$I43,"")</f>
        <v/>
      </c>
      <c r="U43" s="12" t="str">
        <f>IF(ISNUMBER(T43)=TRUE,IF(_xlfn.RANK.EQ(T43,$T$2:$T$111)&lt;='Tournament Setup'!$B$28,_xlfn.RANK.EQ(T43,$T$2:$T$111),""),"")</f>
        <v/>
      </c>
      <c r="V43" s="145" t="str">
        <f>IF(AND($G43='Tournament Setup'!$A$53,$J43&lt;&gt;0),$J43,"")</f>
        <v/>
      </c>
      <c r="W43" s="47" t="str">
        <f>IF(ISNUMBER(V43),IF(COUNTIFS(W$1:W42,_xlfn.RANK.EQ(V43,V$2:V$111,0))&gt;0,_xlfn.MAXIFS(W$1:W42,V$1:V42,V43)+1,_xlfn.RANK.EQ(V43,V$2:V$111,0)),"")</f>
        <v/>
      </c>
      <c r="X43" s="1" t="str">
        <f>IF(ISNUMBER(V43)=TRUE,IF(_xlfn.RANK.EQ(V43,$V$2:$V$111)&lt;='Tournament Setup'!$B$53,_xlfn.RANK.EQ(V43,$V$2:$V$111),""),"")</f>
        <v/>
      </c>
      <c r="Y43" s="145" t="str">
        <f>IF(AND($G43='Tournament Setup'!$A$49,$J43&lt;&gt;0),$J43,"")</f>
        <v/>
      </c>
      <c r="Z43" s="47" t="str">
        <f>IF(ISNUMBER(Y43),IF(COUNTIFS(Z$1:Z42,_xlfn.RANK.EQ(Y43,Y$2:Y$111,0))&gt;0,_xlfn.MAXIFS(Z$1:Z42,Y$1:Y42,Y43)+1,_xlfn.RANK.EQ(Y43,Y$2:Y$111,0)),"")</f>
        <v/>
      </c>
      <c r="AA43" s="1" t="str">
        <f>IF(ISNUMBER(Y43)=TRUE,IF(_xlfn.RANK.EQ(Y43,$Y$2:$Y$111)&lt;='Tournament Setup'!$B$49,_xlfn.RANK.EQ(Y43,$Y$2:$Y$111),""),"")</f>
        <v/>
      </c>
      <c r="AB43" s="30">
        <f>IF(AND($F43='Tournament Setup'!$A$32,SUM($Q43,$S43,$U43)=0),$I43,"")</f>
        <v>60</v>
      </c>
      <c r="AC43" s="47">
        <f>IF(ISNUMBER(AB43),IF(COUNTIFS(AC$1:AC42,_xlfn.RANK.EQ(AB43,AB$2:AB$111,0))&gt;0,_xlfn.MAXIFS(AC$1:AC42,AB$1:AB42,AB43)+1,_xlfn.RANK.EQ(AB43,AB$2:AB$111,0)),"")</f>
        <v>9</v>
      </c>
      <c r="AD43" s="1" t="str">
        <f>IF(ISNUMBER(AB43)=TRUE,IF(_xlfn.RANK.EQ(AB43,$AB$2:$AB$111)&lt;='Tournament Setup'!$B$32,_xlfn.RANK.EQ(AB43,$AB$2:$AB$111),""),"")</f>
        <v/>
      </c>
      <c r="AE43" s="31">
        <f>IF(AND($F43='Tournament Setup'!$A$32,SUM($Q43,$S43)=0,$E43="M",$AD43&gt;'Tournament Setup'!$B$32),$I43,"")</f>
        <v>60</v>
      </c>
      <c r="AF43" s="1" t="str">
        <f>IF(ISNUMBER(AE43)=TRUE,IF(_xlfn.RANK.EQ(AE43,$AE$2:$AE$111)&lt;='Tournament Setup'!$C$32,_xlfn.RANK.EQ(AE43,$AE$2:$AE$111),""),"")</f>
        <v/>
      </c>
      <c r="AG43" s="31" t="str">
        <f>IF(AND($F43='Tournament Setup'!$A$32,SUM($Q43,$U43)=0,$E43="F",$AD43&gt;'Tournament Setup'!$B$32),$I43,"")</f>
        <v/>
      </c>
      <c r="AH43" s="12" t="str">
        <f>IF(ISNUMBER(AG43)=TRUE,IF(_xlfn.RANK.EQ(AG43,$AG$2:$AG$111)&lt;='Tournament Setup'!$D$32,_xlfn.RANK.EQ(AG43,$AG$2:$AG$111),""),"")</f>
        <v/>
      </c>
      <c r="AI43" s="30" t="str">
        <f>IF(AND($G43='Tournament Setup'!$A$50,$J43&lt;&gt;0),$J43,"")</f>
        <v/>
      </c>
      <c r="AJ43" s="47" t="str">
        <f>IF(ISNUMBER(AI43),IF(COUNTIFS(AJ$1:AJ42,_xlfn.RANK.EQ(AI43,AI$2:AI$111,0))&gt;0,_xlfn.MAXIFS(AJ$1:AJ42,AI$1:AI42,AI43)+1,_xlfn.RANK.EQ(AI43,AI$2:AI$111,0)),"")</f>
        <v/>
      </c>
      <c r="AK43" s="1" t="str">
        <f>IF(ISNUMBER(AI43)=TRUE,IF(_xlfn.RANK.EQ(AI43,$AI$2:$AI$111)&lt;='Tournament Setup'!$B$49,_xlfn.RANK.EQ(AI43,$AI$2:$AI$111),""),"")</f>
        <v/>
      </c>
      <c r="AL43" s="30" t="str">
        <f>IF(AND($F43='Tournament Setup'!$A$33,SUM($Q43,$S43,$U43)=0),$I43,"")</f>
        <v/>
      </c>
      <c r="AM43" s="47" t="str">
        <f>IF(ISNUMBER(AL43),IF(COUNTIFS(AM$1:AM42,_xlfn.RANK.EQ(AL43,AL$2:AL$111,0))&gt;0,_xlfn.MAXIFS(AM$1:AM42,AL$1:AL42,AL43)+1,_xlfn.RANK.EQ(AL43,AL$2:AL$111,0)),"")</f>
        <v/>
      </c>
      <c r="AN43" s="1" t="str">
        <f>IF(ISNUMBER(AL43)=TRUE,IF(_xlfn.RANK.EQ(AL43,$AL$2:$AL$111)&lt;='Tournament Setup'!$B$33,_xlfn.RANK.EQ(AL43,$AL$2:$AL$111),""),"")</f>
        <v/>
      </c>
      <c r="AO43" s="31" t="str">
        <f>IF(AND($F43='Tournament Setup'!$A$33,SUM($Q43,$S43)=0,$E43="M",$AN43&gt;'Tournament Setup'!$B$33),$I43,"")</f>
        <v/>
      </c>
      <c r="AP43" s="1" t="str">
        <f>IF(ISNUMBER(AO43)=TRUE,IF(_xlfn.RANK.EQ(AO43,$AO$2:$AO$111)&lt;='Tournament Setup'!$C$33,_xlfn.RANK.EQ(AO43,$AO$2:$AO$111),""),"")</f>
        <v/>
      </c>
      <c r="AQ43" s="31" t="str">
        <f>IF(AND($F43='Tournament Setup'!$A$33,SUM($Q43,$U43)=0,$E43="F",$AN43&gt;'Tournament Setup'!$B$33),$I43,"")</f>
        <v/>
      </c>
      <c r="AR43" s="12" t="str">
        <f>IF(ISNUMBER(AQ43)=TRUE,IF(_xlfn.RANK.EQ(AQ43,$AQ$2:$AQ$111)&lt;='Tournament Setup'!$D$33,_xlfn.RANK.EQ(AQ43,$AQ$2:$AQ$111),""),"")</f>
        <v/>
      </c>
      <c r="AS43" s="30" t="str">
        <f>IF(AND($G43='Tournament Setup'!$A$51,$J43&lt;&gt;0),$J43,"")</f>
        <v/>
      </c>
      <c r="AT43" s="47" t="str">
        <f>IF(ISNUMBER(AS43),IF(COUNTIFS(AT$1:AT42,_xlfn.RANK.EQ(AS43,AS$2:AS$111,0))&gt;0,_xlfn.MAXIFS(AT$1:AT42,AS$1:AS42,AS43)+1,_xlfn.RANK.EQ(AS43,AS$2:AS$111,0)),"")</f>
        <v/>
      </c>
      <c r="AU43" s="1" t="str">
        <f>IF(ISNUMBER(AS43)=TRUE,IF(_xlfn.RANK.EQ(AS43,$AS$2:$AS$111)&lt;='Tournament Setup'!$B$49,_xlfn.RANK.EQ(AS43,$AS$2:$AS$111),""),"")</f>
        <v/>
      </c>
      <c r="AV43" s="30" t="str">
        <f>IF(AND($F43='Tournament Setup'!$A$34,SUM($Q43,$S43,$U43)=0),$I43,"")</f>
        <v/>
      </c>
      <c r="AW43" s="47" t="str">
        <f>IF(ISNUMBER(AV43),IF(COUNTIFS(AW$1:AW42,_xlfn.RANK.EQ(AV43,AV$2:AV$111,0))&gt;0,_xlfn.MAXIFS(AW$1:AW42,AV$1:AV42,AV43)+1,_xlfn.RANK.EQ(AV43,AV$2:AV$111,0)),"")</f>
        <v/>
      </c>
      <c r="AX43" s="1" t="str">
        <f>IF(ISNUMBER(AV43)=TRUE,IF(_xlfn.RANK.EQ(AV43,$AV$2:$AV$111)&lt;='Tournament Setup'!$B$34,_xlfn.RANK.EQ(AV43,$AV$2:$AV$111),""),"")</f>
        <v/>
      </c>
      <c r="AY43" s="31" t="str">
        <f>IF(AND($F43='Tournament Setup'!$A$34,SUM($Q43,$S43)=0,$E43="M",$AX43&gt;'Tournament Setup'!$B$34),$I43,"")</f>
        <v/>
      </c>
      <c r="AZ43" s="1" t="str">
        <f>IF(ISNUMBER(AY43)=TRUE,IF(_xlfn.RANK.EQ(AY43,$AY$2:$AY$111)&lt;='Tournament Setup'!$C$34,_xlfn.RANK.EQ(AY43,$AY$2:$AY$111),""),"")</f>
        <v/>
      </c>
      <c r="BA43" s="31" t="str">
        <f>IF(AND($F43='Tournament Setup'!$A$34,SUM($Q43,$U43)=0,$E43="F",$AX43&gt;'Tournament Setup'!$B$34),$I43,"")</f>
        <v/>
      </c>
      <c r="BB43" s="12" t="str">
        <f>IF(ISNUMBER(BA43)=TRUE,IF(_xlfn.RANK.EQ(BA43,$BA$2:$BA$111)&lt;='Tournament Setup'!$D$34,_xlfn.RANK.EQ(BA43,$BA$2:$BA$111),""),"")</f>
        <v/>
      </c>
      <c r="BC43" s="30" t="str">
        <f>IF(AND($G43='Tournament Setup'!$A$52,$J43&lt;&gt;0),$J43,"")</f>
        <v/>
      </c>
      <c r="BD43" s="47" t="str">
        <f>IF(ISNUMBER(BC43),IF(COUNTIFS(BD$1:BD42,_xlfn.RANK.EQ(BC43,BC$2:BC$111,0))&gt;0,_xlfn.MAXIFS(BD$1:BD42,BC$1:BC42,BC43)+1,_xlfn.RANK.EQ(BC43,BC$2:BC$111,0)),"")</f>
        <v/>
      </c>
      <c r="BE43" s="1" t="str">
        <f>IF(ISNUMBER(BC43)=TRUE,IF(_xlfn.RANK.EQ(BC43,$BC$2:$BC$111)&lt;='Tournament Setup'!$B$49,_xlfn.RANK.EQ(BC43,$BC$2:$BC$111),""),"")</f>
        <v/>
      </c>
      <c r="BF43" s="30" t="str">
        <f>IF(AND($F43='Tournament Setup'!$A$35,SUM($Q43,$S43,$U43)=0),$I43,"")</f>
        <v/>
      </c>
      <c r="BG43" s="47" t="str">
        <f>IF(ISNUMBER(BF43),IF(COUNTIFS(BG$1:BG42,_xlfn.RANK.EQ(BF43,BF$2:BF$111,0))&gt;0,_xlfn.MAXIFS(BG$1:BG42,BF$1:BF42,BF43)+1,_xlfn.RANK.EQ(BF43,BF$2:BF$111,0)),"")</f>
        <v/>
      </c>
      <c r="BH43" s="1" t="str">
        <f>IF(ISNUMBER(BF43)=TRUE,IF(_xlfn.RANK.EQ(BF43,$BF$2:$BF$111)&lt;='Tournament Setup'!$B$35,_xlfn.RANK.EQ(BF43,$BF$2:$BF$111),""),"")</f>
        <v/>
      </c>
      <c r="BI43" s="31" t="str">
        <f>IF(AND($F43='Tournament Setup'!$A$35,SUM($Q43,$S43)=0,$E43="M",$BH43&gt;'Tournament Setup'!$B$35),$I43,"")</f>
        <v/>
      </c>
      <c r="BJ43" s="1" t="str">
        <f>IF(ISNUMBER(BI43)=TRUE,IF(_xlfn.RANK.EQ(BI43,$BI$2:$BI$111)&lt;='Tournament Setup'!$C$35,_xlfn.RANK.EQ(BI43,$BI$2:$BI$111),""),"")</f>
        <v/>
      </c>
      <c r="BK43" s="31" t="str">
        <f>IF(AND($F43='Tournament Setup'!$A$35,SUM($Q43,$U43)=0,$E43="F",$BH43&gt;'Tournament Setup'!$B$35),$I43,"")</f>
        <v/>
      </c>
      <c r="BL43" s="12" t="str">
        <f>IF(ISNUMBER(BK43)=TRUE,IF(_xlfn.RANK.EQ(BK43,$BK$2:$BK$111)&lt;='Tournament Setup'!$D$35,_xlfn.RANK.EQ(BK43,$BK$2:$BK$111),""),"")</f>
        <v/>
      </c>
      <c r="BM43" s="30" t="str">
        <f>IF(AND($G43='Tournament Setup'!$A$54,$J43&lt;&gt;0),$J43,"")</f>
        <v/>
      </c>
      <c r="BN43" s="47" t="str">
        <f>IF(ISNUMBER(BM43),IF(COUNTIFS(BN$1:BN42,_xlfn.RANK.EQ(BM43,BM$2:BM$111,0))&gt;0,_xlfn.MAXIFS(BN$1:BN42,BM$1:BM42,BM43)+1,_xlfn.RANK.EQ(BM43,BM$2:BM$111,0)),"")</f>
        <v/>
      </c>
      <c r="BO43" s="1" t="str">
        <f>IF(ISNUMBER(BM43)=TRUE,IF(_xlfn.RANK.EQ(BM43,$BM$2:$BM$111)&lt;='Tournament Setup'!$B$49,_xlfn.RANK.EQ(BM43,$BM$2:$BM$111),""),"")</f>
        <v/>
      </c>
      <c r="BP43" s="30" t="str">
        <f>IF(AND($F43='Tournament Setup'!$A$36,SUM($Q43,$S43,$U43)=0),$I43,"")</f>
        <v/>
      </c>
      <c r="BQ43" s="47" t="str">
        <f>IF(ISNUMBER(BP43),IF(COUNTIFS(BQ$1:BQ42,_xlfn.RANK.EQ(BP43,BP$2:BP$111,0))&gt;0,_xlfn.MAXIFS(BQ$1:BQ42,BP$1:BP42,BP43)+1,_xlfn.RANK.EQ(BP43,BP$2:BP$111,0)),"")</f>
        <v/>
      </c>
      <c r="BR43" s="1" t="str">
        <f>IF(ISNUMBER(BP43)=TRUE,IF(_xlfn.RANK.EQ(BP43,$BP$2:$BP$111)&lt;='Tournament Setup'!$B$36,_xlfn.RANK.EQ(BP43,$BP$2:$BP$111),""),"")</f>
        <v/>
      </c>
      <c r="BS43" s="31" t="str">
        <f>IF(AND($F43='Tournament Setup'!$A$36,SUM($Q43,$S43)=0,$E43="M",$BR43&gt;'Tournament Setup'!$B$36),$I43,"")</f>
        <v/>
      </c>
      <c r="BT43" s="1" t="str">
        <f>IF(ISNUMBER(BS43)=TRUE,IF(_xlfn.RANK.EQ(BS43,$BS$2:$BS$111)&lt;='Tournament Setup'!$C$36,_xlfn.RANK.EQ(BS43,$BS$2:$BS$111),""),"")</f>
        <v/>
      </c>
      <c r="BU43" s="31" t="str">
        <f>IF(AND($F43='Tournament Setup'!$A$36,SUM($Q43,$U43)=0,$E43="F",$BR43&gt;'Tournament Setup'!$B$36),$I43,"")</f>
        <v/>
      </c>
      <c r="BV43" s="12" t="str">
        <f>IF(ISNUMBER(BU43)=TRUE,IF(_xlfn.RANK.EQ(BU43,$BU$2:$BU$111)&lt;='Tournament Setup'!$D$36,_xlfn.RANK.EQ(BU43,$BU$2:$BU$111),""),"")</f>
        <v/>
      </c>
      <c r="BW43" s="30" t="str">
        <f>IF($H43='Tournament Setup'!$A$41,$I43,"")</f>
        <v/>
      </c>
      <c r="BX43" s="47" t="str">
        <f>IF(ISNUMBER(BW43),IF(COUNTIFS(BX$1:BX42,_xlfn.RANK.EQ(BW43,BW$2:BW$111,0))&gt;0,_xlfn.MAXIFS(BX$1:BX42,BW$1:BW42,BW43)+1,_xlfn.RANK.EQ(BW43,BW$2:BW$111,0)),"")</f>
        <v/>
      </c>
      <c r="BY43" s="1" t="str">
        <f>IF(ISNUMBER(BW43)=TRUE,IF(_xlfn.RANK.EQ(BW43,$BW$2:$BW$111)&lt;='Tournament Setup'!$B$41,_xlfn.RANK.EQ(BW43,$BW$2:$BW$111),""),"")</f>
        <v/>
      </c>
      <c r="BZ43" s="31" t="str">
        <f>IF(AND($H43='Tournament Setup'!$A$41,$E43="M",$BY43&gt;'Tournament Setup'!$B$41),$I43,"")</f>
        <v/>
      </c>
      <c r="CA43" s="1" t="str">
        <f>IF(ISNUMBER(BZ43)=TRUE,IF(_xlfn.RANK.EQ(BZ43,$BZ$2:$BZ$111)&lt;='Tournament Setup'!$C$41,_xlfn.RANK.EQ(BZ43,$BZ$2:$BZ$111),""),"")</f>
        <v/>
      </c>
      <c r="CB43" s="31" t="str">
        <f>IF(AND($H43='Tournament Setup'!$A$41,$E43="F",$BY43&gt;'Tournament Setup'!$B$41),$I43,"")</f>
        <v/>
      </c>
      <c r="CC43" s="12" t="str">
        <f>IF(ISNUMBER(CB43)=TRUE,IF(_xlfn.RANK.EQ(CB43,$CB$2:$CB$111)&lt;='Tournament Setup'!$D$41,_xlfn.RANK.EQ(CB43,$CB$2:$CB$111),""),"")</f>
        <v/>
      </c>
      <c r="CD43" s="30" t="str">
        <f>IF($H43='Tournament Setup'!$A$42,$I43,"")</f>
        <v/>
      </c>
      <c r="CE43" s="47" t="str">
        <f>IF(ISNUMBER(CD43),IF(COUNTIFS(CE$1:CE42,_xlfn.RANK.EQ(CD43,CD$2:CD$111,0))&gt;0,_xlfn.MAXIFS(CE$1:CE42,CD$1:CD42,CD43)+1,_xlfn.RANK.EQ(CD43,CD$2:CD$111,0)),"")</f>
        <v/>
      </c>
      <c r="CF43" s="1" t="str">
        <f>IF(ISNUMBER(CD43)=TRUE,IF(_xlfn.RANK.EQ(CD43,$CD$2:$CD$111)&lt;='Tournament Setup'!$B$42,_xlfn.RANK.EQ(CD43,$CD$2:$CD$111),""),"")</f>
        <v/>
      </c>
      <c r="CG43" s="31" t="str">
        <f>IF(AND($H43='Tournament Setup'!$A$42,$E43="M",$CF43&gt;'Tournament Setup'!$B$42),$I43,"")</f>
        <v/>
      </c>
      <c r="CH43" s="1" t="str">
        <f>IF(ISNUMBER(CG43)=TRUE,IF(_xlfn.RANK.EQ(CG43,$CG$2:$CG$111)&lt;='Tournament Setup'!$C$42,_xlfn.RANK.EQ(CG43,$CG$2:$CG$111),""),"")</f>
        <v/>
      </c>
      <c r="CI43" s="31" t="str">
        <f>IF(AND($H43='Tournament Setup'!$A$42,$E43="F",$CF43&gt;'Tournament Setup'!$B$42),$I43,"")</f>
        <v/>
      </c>
      <c r="CJ43" s="12" t="str">
        <f>IF(ISNUMBER(CI43)=TRUE,IF(_xlfn.RANK.EQ(CI43,$CI$2:$CI$111)&lt;='Tournament Setup'!$D$42,_xlfn.RANK.EQ(CI43,$CI$2:$CI$111),""),"")</f>
        <v/>
      </c>
      <c r="CK43" s="30">
        <f>IF($H43='Tournament Setup'!$A$43,$I43,"")</f>
        <v>60</v>
      </c>
      <c r="CL43" s="47">
        <f>IF(ISNUMBER(CK43),IF(COUNTIFS(CL$1:CL42,_xlfn.RANK.EQ(CK43,CK$2:CK$111,0))&gt;0,_xlfn.MAXIFS(CL$1:CL42,CK$1:CK42,CK43)+1,_xlfn.RANK.EQ(CK43,CK$2:CK$111,0)),"")</f>
        <v>11</v>
      </c>
      <c r="CM43" s="1" t="str">
        <f>IF(ISNUMBER(CK43)=TRUE,IF(_xlfn.RANK.EQ(CK43,$CK$2:$CK$111)&lt;='Tournament Setup'!$B$43,_xlfn.RANK.EQ(CK43,$CK$2:$CK$111),""),"")</f>
        <v/>
      </c>
      <c r="CN43" s="31">
        <f>IF(AND($H43='Tournament Setup'!$A$43,$E43="M",$CM43&gt;'Tournament Setup'!$B$43),$I43,"")</f>
        <v>60</v>
      </c>
      <c r="CO43" s="1" t="str">
        <f>IF(ISNUMBER(CN43)=TRUE,IF(_xlfn.RANK.EQ(CN43,$CN$2:$CN$111)&lt;='Tournament Setup'!$C$43,_xlfn.RANK.EQ(CN43,$CN$2:$CN$111),""),"")</f>
        <v/>
      </c>
      <c r="CP43" s="31" t="str">
        <f>IF(AND($H43='Tournament Setup'!$A$43,$E43="F",$CM43&gt;'Tournament Setup'!$B$43),$I43,"")</f>
        <v/>
      </c>
      <c r="CQ43" s="12" t="str">
        <f>IF(ISNUMBER(CP43)=TRUE,IF(_xlfn.RANK.EQ(CP43,$CP$2:$CP$111)&lt;='Tournament Setup'!$D$43,_xlfn.RANK.EQ(CP43,$CP$2:$CP$111),""),"")</f>
        <v/>
      </c>
      <c r="CR43" s="30" t="str">
        <f>IF($H43='Tournament Setup'!$A$44,$I43,"")</f>
        <v/>
      </c>
      <c r="CS43" s="47" t="str">
        <f>IF(ISNUMBER(CR43),IF(COUNTIFS(CS$1:CS42,_xlfn.RANK.EQ(CR43,CR$2:CR$111,0))&gt;0,_xlfn.MAXIFS(CS$1:CS42,CR$1:CR42,CR43)+1,_xlfn.RANK.EQ(CR43,CR$2:CR$111,0)),"")</f>
        <v/>
      </c>
      <c r="CT43" s="1" t="str">
        <f>IF(ISNUMBER(CR43)=TRUE,IF(_xlfn.RANK.EQ(CR43,$CR$2:$CR$111)&lt;='Tournament Setup'!$B$44,_xlfn.RANK.EQ(CR43,$CR$2:$CR$111),""),"")</f>
        <v/>
      </c>
      <c r="CU43" s="31" t="str">
        <f>IF(AND($H43='Tournament Setup'!$A$44,$E43="M",$CT43&gt;'Tournament Setup'!$B$44),$I43,"")</f>
        <v/>
      </c>
      <c r="CV43" s="1" t="str">
        <f>IF(ISNUMBER(CU43)=TRUE,IF(_xlfn.RANK.EQ(CU43,$CU$2:$CU$111)&lt;='Tournament Setup'!$C$44,_xlfn.RANK.EQ(CU43,$CU$2:$CU$111),""),"")</f>
        <v/>
      </c>
      <c r="CW43" s="31" t="str">
        <f>IF(AND($H43='Tournament Setup'!$A$44,$E43="F",$CT43&gt;'Tournament Setup'!$B$44),$I43,"")</f>
        <v/>
      </c>
      <c r="CX43" s="12" t="str">
        <f>IF(ISNUMBER(CW43)=TRUE,IF(_xlfn.RANK.EQ(CW43,$CW$2:$CW$111)&lt;='Tournament Setup'!$D$44,_xlfn.RANK.EQ(CW43,$CW$2:$CW$111),""),"")</f>
        <v/>
      </c>
    </row>
    <row r="44" spans="1:102" x14ac:dyDescent="0.3">
      <c r="A44" t="s">
        <v>199</v>
      </c>
      <c r="B44" t="str">
        <f>IFERROR(INDEX('Tournament List'!$B:$B,MATCH($A44,'Tournament List'!$A:$A,0)),"")</f>
        <v>Terry</v>
      </c>
      <c r="C44" t="str">
        <f>IFERROR(INDEX('Tournament List'!$C:$C,MATCH($A44,'Tournament List'!$A:$A,0)),"")</f>
        <v>Last Name43</v>
      </c>
      <c r="D44" t="str">
        <f t="shared" si="1"/>
        <v>Terry Last Name43</v>
      </c>
      <c r="E44" s="1" t="str">
        <f>IFERROR(INDEX('Tournament List'!F:F,MATCH($A44,'Tournament List'!$A:$A,0)),"")</f>
        <v>F</v>
      </c>
      <c r="F44" t="str">
        <f>IFERROR(INDEX('Tournament List'!M:M,MATCH($A44,'Tournament List'!$A:$A,0)),"")</f>
        <v>Intermediate</v>
      </c>
      <c r="G44" t="str">
        <f>IFERROR(INDEX('Shooter-Squad Assignment'!L:L,MATCH(A44,'Shooter-Squad Assignment'!A:A,0)),"")</f>
        <v>Intermediate</v>
      </c>
      <c r="H44" s="1" t="str">
        <f>IFERROR(INDEX('Tournament List'!AD:AD,MATCH($A44,'Tournament List'!$A:$A,0)),"")</f>
        <v>C</v>
      </c>
      <c r="I44" s="123">
        <f>IFERROR(INDEX('Tournament List'!AG:AG,MATCH($A44,'Tournament List'!$A:$A,0)),"")</f>
        <v>88</v>
      </c>
      <c r="J44" s="145" t="str">
        <f>IFERROR(INDEX('Tournament List'!Y:Y,MATCH($A44,'Tournament List'!$A:$A,0)),"")</f>
        <v/>
      </c>
      <c r="K44" s="47">
        <f>IFERROR(INDEX('Tournament List'!S:S,MATCH(A44,'Tournament List'!A:A,0)),"")</f>
        <v>118</v>
      </c>
      <c r="L44" s="47" t="str">
        <f>IF(ISNUMBER(J44),IF(COUNTIFS(L$1:L43,_xlfn.RANK.EQ(J44,J$2:J$111,0))&gt;0,_xlfn.MAXIFS(L$1:L43,J$1:J43,J44)+1,_xlfn.RANK.EQ(J44,J$2:J$111,0)),"")</f>
        <v/>
      </c>
      <c r="M44" s="11">
        <f>IF(ISNUMBER(I44)=TRUE,IF(I44&gt;0,_xlfn.RANK.EQ(I44,$I$2:$I$111,0),""),"")</f>
        <v>11</v>
      </c>
      <c r="N44" s="56">
        <f>IF(ISNUMBER(I44),IF(COUNTIFS(N$1:N43,_xlfn.RANK.EQ(I44,I$2:I$111,0))&gt;0,_xlfn.MAXIFS(N$1:N43,I$1:I43,I44)+1,_xlfn.RANK.EQ(I44,I$2:I$111,0)),"")</f>
        <v>11</v>
      </c>
      <c r="O44" s="144">
        <f>IF(F44&lt;&gt;"Collegiate"=TRUE,$I44,"")</f>
        <v>88</v>
      </c>
      <c r="P44" s="47">
        <f>IF(ISNUMBER(O44),IF(COUNTIFS(P$1:P43,_xlfn.RANK.EQ(O44,O$2:O$111,0))&gt;0,_xlfn.MAXIFS(P$1:P43,O$1:O43,O44)+1,_xlfn.RANK.EQ(O44,O$2:O$111,0)),"")</f>
        <v>9</v>
      </c>
      <c r="Q44" s="1" t="str">
        <f>IF(ISNUMBER(O44)=TRUE,IF(_xlfn.RANK.EQ(O44,$O$2:$O$111)&lt;='Tournament Setup'!$B$26,_xlfn.RANK.EQ(O44,$O$2:$O$111),""),"")</f>
        <v/>
      </c>
      <c r="R44" s="143" t="str">
        <f>IF(AND($E44="M",SUM($Q44)=0,F44&lt;&gt;"Collegiate")=TRUE,$I44,"")</f>
        <v/>
      </c>
      <c r="S44" s="1" t="str">
        <f>IF(ISNUMBER(R44)=TRUE,IF(_xlfn.RANK.EQ(R44,$R$2:$R$111)&lt;='Tournament Setup'!$B$27,_xlfn.RANK.EQ(R44,$R$2:$R$111),""),"")</f>
        <v/>
      </c>
      <c r="T44" s="143">
        <f>IF(AND($E44="F",SUM($Q44)=0,F44&lt;&gt;"Collegiate")=TRUE,$I44,"")</f>
        <v>88</v>
      </c>
      <c r="U44" s="12" t="str">
        <f>IF(ISNUMBER(T44)=TRUE,IF(_xlfn.RANK.EQ(T44,$T$2:$T$111)&lt;='Tournament Setup'!$B$28,_xlfn.RANK.EQ(T44,$T$2:$T$111),""),"")</f>
        <v/>
      </c>
      <c r="V44" s="145" t="str">
        <f>IF(AND($G44='Tournament Setup'!$A$53,$J44&lt;&gt;0),$J44,"")</f>
        <v/>
      </c>
      <c r="W44" s="47" t="str">
        <f>IF(ISNUMBER(V44),IF(COUNTIFS(W$1:W43,_xlfn.RANK.EQ(V44,V$2:V$111,0))&gt;0,_xlfn.MAXIFS(W$1:W43,V$1:V43,V44)+1,_xlfn.RANK.EQ(V44,V$2:V$111,0)),"")</f>
        <v/>
      </c>
      <c r="X44" s="1" t="str">
        <f>IF(ISNUMBER(V44)=TRUE,IF(_xlfn.RANK.EQ(V44,$V$2:$V$111)&lt;='Tournament Setup'!$B$53,_xlfn.RANK.EQ(V44,$V$2:$V$111),""),"")</f>
        <v/>
      </c>
      <c r="Y44" s="145" t="str">
        <f>IF(AND($G44='Tournament Setup'!$A$49,$J44&lt;&gt;0),$J44,"")</f>
        <v/>
      </c>
      <c r="Z44" s="47" t="str">
        <f>IF(ISNUMBER(Y44),IF(COUNTIFS(Z$1:Z43,_xlfn.RANK.EQ(Y44,Y$2:Y$111,0))&gt;0,_xlfn.MAXIFS(Z$1:Z43,Y$1:Y43,Y44)+1,_xlfn.RANK.EQ(Y44,Y$2:Y$111,0)),"")</f>
        <v/>
      </c>
      <c r="AA44" s="1" t="str">
        <f>IF(ISNUMBER(Y44)=TRUE,IF(_xlfn.RANK.EQ(Y44,$Y$2:$Y$111)&lt;='Tournament Setup'!$B$49,_xlfn.RANK.EQ(Y44,$Y$2:$Y$111),""),"")</f>
        <v/>
      </c>
      <c r="AB44" s="30" t="str">
        <f>IF(AND($F44='Tournament Setup'!$A$32,SUM($Q44,$S44,$U44)=0),$I44,"")</f>
        <v/>
      </c>
      <c r="AC44" s="47" t="str">
        <f>IF(ISNUMBER(AB44),IF(COUNTIFS(AC$1:AC43,_xlfn.RANK.EQ(AB44,AB$2:AB$111,0))&gt;0,_xlfn.MAXIFS(AC$1:AC43,AB$1:AB43,AB44)+1,_xlfn.RANK.EQ(AB44,AB$2:AB$111,0)),"")</f>
        <v/>
      </c>
      <c r="AD44" s="1" t="str">
        <f>IF(ISNUMBER(AB44)=TRUE,IF(_xlfn.RANK.EQ(AB44,$AB$2:$AB$111)&lt;='Tournament Setup'!$B$32,_xlfn.RANK.EQ(AB44,$AB$2:$AB$111),""),"")</f>
        <v/>
      </c>
      <c r="AE44" s="31" t="str">
        <f>IF(AND($F44='Tournament Setup'!$A$32,SUM($Q44,$S44)=0,$E44="M",$AD44&gt;'Tournament Setup'!$B$32),$I44,"")</f>
        <v/>
      </c>
      <c r="AF44" s="1" t="str">
        <f>IF(ISNUMBER(AE44)=TRUE,IF(_xlfn.RANK.EQ(AE44,$AE$2:$AE$111)&lt;='Tournament Setup'!$C$32,_xlfn.RANK.EQ(AE44,$AE$2:$AE$111),""),"")</f>
        <v/>
      </c>
      <c r="AG44" s="31" t="str">
        <f>IF(AND($F44='Tournament Setup'!$A$32,SUM($Q44,$U44)=0,$E44="F",$AD44&gt;'Tournament Setup'!$B$32),$I44,"")</f>
        <v/>
      </c>
      <c r="AH44" s="12" t="str">
        <f>IF(ISNUMBER(AG44)=TRUE,IF(_xlfn.RANK.EQ(AG44,$AG$2:$AG$111)&lt;='Tournament Setup'!$D$32,_xlfn.RANK.EQ(AG44,$AG$2:$AG$111),""),"")</f>
        <v/>
      </c>
      <c r="AI44" s="30" t="str">
        <f>IF(AND($G44='Tournament Setup'!$A$50,$J44&lt;&gt;0),$J44,"")</f>
        <v/>
      </c>
      <c r="AJ44" s="47" t="str">
        <f>IF(ISNUMBER(AI44),IF(COUNTIFS(AJ$1:AJ43,_xlfn.RANK.EQ(AI44,AI$2:AI$111,0))&gt;0,_xlfn.MAXIFS(AJ$1:AJ43,AI$1:AI43,AI44)+1,_xlfn.RANK.EQ(AI44,AI$2:AI$111,0)),"")</f>
        <v/>
      </c>
      <c r="AK44" s="1" t="str">
        <f>IF(ISNUMBER(AI44)=TRUE,IF(_xlfn.RANK.EQ(AI44,$AI$2:$AI$111)&lt;='Tournament Setup'!$B$49,_xlfn.RANK.EQ(AI44,$AI$2:$AI$111),""),"")</f>
        <v/>
      </c>
      <c r="AL44" s="30">
        <f>IF(AND($F44='Tournament Setup'!$A$33,SUM($Q44,$S44,$U44)=0),$I44,"")</f>
        <v>88</v>
      </c>
      <c r="AM44" s="47">
        <f>IF(ISNUMBER(AL44),IF(COUNTIFS(AM$1:AM43,_xlfn.RANK.EQ(AL44,AL$2:AL$111,0))&gt;0,_xlfn.MAXIFS(AM$1:AM43,AL$1:AL43,AL44)+1,_xlfn.RANK.EQ(AL44,AL$2:AL$111,0)),"")</f>
        <v>1</v>
      </c>
      <c r="AN44" s="1">
        <f>IF(ISNUMBER(AL44)=TRUE,IF(_xlfn.RANK.EQ(AL44,$AL$2:$AL$111)&lt;='Tournament Setup'!$B$33,_xlfn.RANK.EQ(AL44,$AL$2:$AL$111),""),"")</f>
        <v>1</v>
      </c>
      <c r="AO44" s="31" t="str">
        <f>IF(AND($F44='Tournament Setup'!$A$33,SUM($Q44,$S44)=0,$E44="M",$AN44&gt;'Tournament Setup'!$B$33),$I44,"")</f>
        <v/>
      </c>
      <c r="AP44" s="1" t="str">
        <f>IF(ISNUMBER(AO44)=TRUE,IF(_xlfn.RANK.EQ(AO44,$AO$2:$AO$111)&lt;='Tournament Setup'!$C$33,_xlfn.RANK.EQ(AO44,$AO$2:$AO$111),""),"")</f>
        <v/>
      </c>
      <c r="AQ44" s="31" t="str">
        <f>IF(AND($F44='Tournament Setup'!$A$33,SUM($Q44,$U44)=0,$E44="F",$AN44&gt;'Tournament Setup'!$B$33),$I44,"")</f>
        <v/>
      </c>
      <c r="AR44" s="12" t="str">
        <f>IF(ISNUMBER(AQ44)=TRUE,IF(_xlfn.RANK.EQ(AQ44,$AQ$2:$AQ$111)&lt;='Tournament Setup'!$D$33,_xlfn.RANK.EQ(AQ44,$AQ$2:$AQ$111),""),"")</f>
        <v/>
      </c>
      <c r="AS44" s="30" t="str">
        <f>IF(AND($G44='Tournament Setup'!$A$51,$J44&lt;&gt;0),$J44,"")</f>
        <v/>
      </c>
      <c r="AT44" s="47" t="str">
        <f>IF(ISNUMBER(AS44),IF(COUNTIFS(AT$1:AT43,_xlfn.RANK.EQ(AS44,AS$2:AS$111,0))&gt;0,_xlfn.MAXIFS(AT$1:AT43,AS$1:AS43,AS44)+1,_xlfn.RANK.EQ(AS44,AS$2:AS$111,0)),"")</f>
        <v/>
      </c>
      <c r="AU44" s="1" t="str">
        <f>IF(ISNUMBER(AS44)=TRUE,IF(_xlfn.RANK.EQ(AS44,$AS$2:$AS$111)&lt;='Tournament Setup'!$B$49,_xlfn.RANK.EQ(AS44,$AS$2:$AS$111),""),"")</f>
        <v/>
      </c>
      <c r="AV44" s="30" t="str">
        <f>IF(AND($F44='Tournament Setup'!$A$34,SUM($Q44,$S44,$U44)=0),$I44,"")</f>
        <v/>
      </c>
      <c r="AW44" s="47" t="str">
        <f>IF(ISNUMBER(AV44),IF(COUNTIFS(AW$1:AW43,_xlfn.RANK.EQ(AV44,AV$2:AV$111,0))&gt;0,_xlfn.MAXIFS(AW$1:AW43,AV$1:AV43,AV44)+1,_xlfn.RANK.EQ(AV44,AV$2:AV$111,0)),"")</f>
        <v/>
      </c>
      <c r="AX44" s="1" t="str">
        <f>IF(ISNUMBER(AV44)=TRUE,IF(_xlfn.RANK.EQ(AV44,$AV$2:$AV$111)&lt;='Tournament Setup'!$B$34,_xlfn.RANK.EQ(AV44,$AV$2:$AV$111),""),"")</f>
        <v/>
      </c>
      <c r="AY44" s="31" t="str">
        <f>IF(AND($F44='Tournament Setup'!$A$34,SUM($Q44,$S44)=0,$E44="M",$AX44&gt;'Tournament Setup'!$B$34),$I44,"")</f>
        <v/>
      </c>
      <c r="AZ44" s="1" t="str">
        <f>IF(ISNUMBER(AY44)=TRUE,IF(_xlfn.RANK.EQ(AY44,$AY$2:$AY$111)&lt;='Tournament Setup'!$C$34,_xlfn.RANK.EQ(AY44,$AY$2:$AY$111),""),"")</f>
        <v/>
      </c>
      <c r="BA44" s="31" t="str">
        <f>IF(AND($F44='Tournament Setup'!$A$34,SUM($Q44,$U44)=0,$E44="F",$AX44&gt;'Tournament Setup'!$B$34),$I44,"")</f>
        <v/>
      </c>
      <c r="BB44" s="12" t="str">
        <f>IF(ISNUMBER(BA44)=TRUE,IF(_xlfn.RANK.EQ(BA44,$BA$2:$BA$111)&lt;='Tournament Setup'!$D$34,_xlfn.RANK.EQ(BA44,$BA$2:$BA$111),""),"")</f>
        <v/>
      </c>
      <c r="BC44" s="30" t="str">
        <f>IF(AND($G44='Tournament Setup'!$A$52,$J44&lt;&gt;0),$J44,"")</f>
        <v/>
      </c>
      <c r="BD44" s="47" t="str">
        <f>IF(ISNUMBER(BC44),IF(COUNTIFS(BD$1:BD43,_xlfn.RANK.EQ(BC44,BC$2:BC$111,0))&gt;0,_xlfn.MAXIFS(BD$1:BD43,BC$1:BC43,BC44)+1,_xlfn.RANK.EQ(BC44,BC$2:BC$111,0)),"")</f>
        <v/>
      </c>
      <c r="BE44" s="1" t="str">
        <f>IF(ISNUMBER(BC44)=TRUE,IF(_xlfn.RANK.EQ(BC44,$BC$2:$BC$111)&lt;='Tournament Setup'!$B$49,_xlfn.RANK.EQ(BC44,$BC$2:$BC$111),""),"")</f>
        <v/>
      </c>
      <c r="BF44" s="30" t="str">
        <f>IF(AND($F44='Tournament Setup'!$A$35,SUM($Q44,$S44,$U44)=0),$I44,"")</f>
        <v/>
      </c>
      <c r="BG44" s="47" t="str">
        <f>IF(ISNUMBER(BF44),IF(COUNTIFS(BG$1:BG43,_xlfn.RANK.EQ(BF44,BF$2:BF$111,0))&gt;0,_xlfn.MAXIFS(BG$1:BG43,BF$1:BF43,BF44)+1,_xlfn.RANK.EQ(BF44,BF$2:BF$111,0)),"")</f>
        <v/>
      </c>
      <c r="BH44" s="1" t="str">
        <f>IF(ISNUMBER(BF44)=TRUE,IF(_xlfn.RANK.EQ(BF44,$BF$2:$BF$111)&lt;='Tournament Setup'!$B$35,_xlfn.RANK.EQ(BF44,$BF$2:$BF$111),""),"")</f>
        <v/>
      </c>
      <c r="BI44" s="31" t="str">
        <f>IF(AND($F44='Tournament Setup'!$A$35,SUM($Q44,$S44)=0,$E44="M",$BH44&gt;'Tournament Setup'!$B$35),$I44,"")</f>
        <v/>
      </c>
      <c r="BJ44" s="1" t="str">
        <f>IF(ISNUMBER(BI44)=TRUE,IF(_xlfn.RANK.EQ(BI44,$BI$2:$BI$111)&lt;='Tournament Setup'!$C$35,_xlfn.RANK.EQ(BI44,$BI$2:$BI$111),""),"")</f>
        <v/>
      </c>
      <c r="BK44" s="31" t="str">
        <f>IF(AND($F44='Tournament Setup'!$A$35,SUM($Q44,$U44)=0,$E44="F",$BH44&gt;'Tournament Setup'!$B$35),$I44,"")</f>
        <v/>
      </c>
      <c r="BL44" s="12" t="str">
        <f>IF(ISNUMBER(BK44)=TRUE,IF(_xlfn.RANK.EQ(BK44,$BK$2:$BK$111)&lt;='Tournament Setup'!$D$35,_xlfn.RANK.EQ(BK44,$BK$2:$BK$111),""),"")</f>
        <v/>
      </c>
      <c r="BM44" s="30" t="str">
        <f>IF(AND($G44='Tournament Setup'!$A$54,$J44&lt;&gt;0),$J44,"")</f>
        <v/>
      </c>
      <c r="BN44" s="47" t="str">
        <f>IF(ISNUMBER(BM44),IF(COUNTIFS(BN$1:BN43,_xlfn.RANK.EQ(BM44,BM$2:BM$111,0))&gt;0,_xlfn.MAXIFS(BN$1:BN43,BM$1:BM43,BM44)+1,_xlfn.RANK.EQ(BM44,BM$2:BM$111,0)),"")</f>
        <v/>
      </c>
      <c r="BO44" s="1" t="str">
        <f>IF(ISNUMBER(BM44)=TRUE,IF(_xlfn.RANK.EQ(BM44,$BM$2:$BM$111)&lt;='Tournament Setup'!$B$49,_xlfn.RANK.EQ(BM44,$BM$2:$BM$111),""),"")</f>
        <v/>
      </c>
      <c r="BP44" s="30" t="str">
        <f>IF(AND($F44='Tournament Setup'!$A$36,SUM($Q44,$S44,$U44)=0),$I44,"")</f>
        <v/>
      </c>
      <c r="BQ44" s="47" t="str">
        <f>IF(ISNUMBER(BP44),IF(COUNTIFS(BQ$1:BQ43,_xlfn.RANK.EQ(BP44,BP$2:BP$111,0))&gt;0,_xlfn.MAXIFS(BQ$1:BQ43,BP$1:BP43,BP44)+1,_xlfn.RANK.EQ(BP44,BP$2:BP$111,0)),"")</f>
        <v/>
      </c>
      <c r="BR44" s="1" t="str">
        <f>IF(ISNUMBER(BP44)=TRUE,IF(_xlfn.RANK.EQ(BP44,$BP$2:$BP$111)&lt;='Tournament Setup'!$B$36,_xlfn.RANK.EQ(BP44,$BP$2:$BP$111),""),"")</f>
        <v/>
      </c>
      <c r="BS44" s="31" t="str">
        <f>IF(AND($F44='Tournament Setup'!$A$36,SUM($Q44,$S44)=0,$E44="M",$BR44&gt;'Tournament Setup'!$B$36),$I44,"")</f>
        <v/>
      </c>
      <c r="BT44" s="1" t="str">
        <f>IF(ISNUMBER(BS44)=TRUE,IF(_xlfn.RANK.EQ(BS44,$BS$2:$BS$111)&lt;='Tournament Setup'!$C$36,_xlfn.RANK.EQ(BS44,$BS$2:$BS$111),""),"")</f>
        <v/>
      </c>
      <c r="BU44" s="31" t="str">
        <f>IF(AND($F44='Tournament Setup'!$A$36,SUM($Q44,$U44)=0,$E44="F",$BR44&gt;'Tournament Setup'!$B$36),$I44,"")</f>
        <v/>
      </c>
      <c r="BV44" s="12" t="str">
        <f>IF(ISNUMBER(BU44)=TRUE,IF(_xlfn.RANK.EQ(BU44,$BU$2:$BU$111)&lt;='Tournament Setup'!$D$36,_xlfn.RANK.EQ(BU44,$BU$2:$BU$111),""),"")</f>
        <v/>
      </c>
      <c r="BW44" s="30" t="str">
        <f>IF($H44='Tournament Setup'!$A$41,$I44,"")</f>
        <v/>
      </c>
      <c r="BX44" s="47" t="str">
        <f>IF(ISNUMBER(BW44),IF(COUNTIFS(BX$1:BX43,_xlfn.RANK.EQ(BW44,BW$2:BW$111,0))&gt;0,_xlfn.MAXIFS(BX$1:BX43,BW$1:BW43,BW44)+1,_xlfn.RANK.EQ(BW44,BW$2:BW$111,0)),"")</f>
        <v/>
      </c>
      <c r="BY44" s="1" t="str">
        <f>IF(ISNUMBER(BW44)=TRUE,IF(_xlfn.RANK.EQ(BW44,$BW$2:$BW$111)&lt;='Tournament Setup'!$B$41,_xlfn.RANK.EQ(BW44,$BW$2:$BW$111),""),"")</f>
        <v/>
      </c>
      <c r="BZ44" s="31" t="str">
        <f>IF(AND($H44='Tournament Setup'!$A$41,$E44="M",$BY44&gt;'Tournament Setup'!$B$41),$I44,"")</f>
        <v/>
      </c>
      <c r="CA44" s="1" t="str">
        <f>IF(ISNUMBER(BZ44)=TRUE,IF(_xlfn.RANK.EQ(BZ44,$BZ$2:$BZ$111)&lt;='Tournament Setup'!$C$41,_xlfn.RANK.EQ(BZ44,$BZ$2:$BZ$111),""),"")</f>
        <v/>
      </c>
      <c r="CB44" s="31" t="str">
        <f>IF(AND($H44='Tournament Setup'!$A$41,$E44="F",$BY44&gt;'Tournament Setup'!$B$41),$I44,"")</f>
        <v/>
      </c>
      <c r="CC44" s="12" t="str">
        <f>IF(ISNUMBER(CB44)=TRUE,IF(_xlfn.RANK.EQ(CB44,$CB$2:$CB$111)&lt;='Tournament Setup'!$D$41,_xlfn.RANK.EQ(CB44,$CB$2:$CB$111),""),"")</f>
        <v/>
      </c>
      <c r="CD44" s="30" t="str">
        <f>IF($H44='Tournament Setup'!$A$42,$I44,"")</f>
        <v/>
      </c>
      <c r="CE44" s="47" t="str">
        <f>IF(ISNUMBER(CD44),IF(COUNTIFS(CE$1:CE43,_xlfn.RANK.EQ(CD44,CD$2:CD$111,0))&gt;0,_xlfn.MAXIFS(CE$1:CE43,CD$1:CD43,CD44)+1,_xlfn.RANK.EQ(CD44,CD$2:CD$111,0)),"")</f>
        <v/>
      </c>
      <c r="CF44" s="1" t="str">
        <f>IF(ISNUMBER(CD44)=TRUE,IF(_xlfn.RANK.EQ(CD44,$CD$2:$CD$111)&lt;='Tournament Setup'!$B$42,_xlfn.RANK.EQ(CD44,$CD$2:$CD$111),""),"")</f>
        <v/>
      </c>
      <c r="CG44" s="31" t="str">
        <f>IF(AND($H44='Tournament Setup'!$A$42,$E44="M",$CF44&gt;'Tournament Setup'!$B$42),$I44,"")</f>
        <v/>
      </c>
      <c r="CH44" s="1" t="str">
        <f>IF(ISNUMBER(CG44)=TRUE,IF(_xlfn.RANK.EQ(CG44,$CG$2:$CG$111)&lt;='Tournament Setup'!$C$42,_xlfn.RANK.EQ(CG44,$CG$2:$CG$111),""),"")</f>
        <v/>
      </c>
      <c r="CI44" s="31" t="str">
        <f>IF(AND($H44='Tournament Setup'!$A$42,$E44="F",$CF44&gt;'Tournament Setup'!$B$42),$I44,"")</f>
        <v/>
      </c>
      <c r="CJ44" s="12" t="str">
        <f>IF(ISNUMBER(CI44)=TRUE,IF(_xlfn.RANK.EQ(CI44,$CI$2:$CI$111)&lt;='Tournament Setup'!$D$42,_xlfn.RANK.EQ(CI44,$CI$2:$CI$111),""),"")</f>
        <v/>
      </c>
      <c r="CK44" s="30">
        <f>IF($H44='Tournament Setup'!$A$43,$I44,"")</f>
        <v>88</v>
      </c>
      <c r="CL44" s="47">
        <f>IF(ISNUMBER(CK44),IF(COUNTIFS(CL$1:CL43,_xlfn.RANK.EQ(CK44,CK$2:CK$111,0))&gt;0,_xlfn.MAXIFS(CL$1:CL43,CK$1:CK43,CK44)+1,_xlfn.RANK.EQ(CK44,CK$2:CK$111,0)),"")</f>
        <v>3</v>
      </c>
      <c r="CM44" s="1">
        <f>IF(ISNUMBER(CK44)=TRUE,IF(_xlfn.RANK.EQ(CK44,$CK$2:$CK$111)&lt;='Tournament Setup'!$B$43,_xlfn.RANK.EQ(CK44,$CK$2:$CK$111),""),"")</f>
        <v>3</v>
      </c>
      <c r="CN44" s="31" t="str">
        <f>IF(AND($H44='Tournament Setup'!$A$43,$E44="M",$CM44&gt;'Tournament Setup'!$B$43),$I44,"")</f>
        <v/>
      </c>
      <c r="CO44" s="1" t="str">
        <f>IF(ISNUMBER(CN44)=TRUE,IF(_xlfn.RANK.EQ(CN44,$CN$2:$CN$111)&lt;='Tournament Setup'!$C$43,_xlfn.RANK.EQ(CN44,$CN$2:$CN$111),""),"")</f>
        <v/>
      </c>
      <c r="CP44" s="31" t="str">
        <f>IF(AND($H44='Tournament Setup'!$A$43,$E44="F",$CM44&gt;'Tournament Setup'!$B$43),$I44,"")</f>
        <v/>
      </c>
      <c r="CQ44" s="12" t="str">
        <f>IF(ISNUMBER(CP44)=TRUE,IF(_xlfn.RANK.EQ(CP44,$CP$2:$CP$111)&lt;='Tournament Setup'!$D$43,_xlfn.RANK.EQ(CP44,$CP$2:$CP$111),""),"")</f>
        <v/>
      </c>
      <c r="CR44" s="30" t="str">
        <f>IF($H44='Tournament Setup'!$A$44,$I44,"")</f>
        <v/>
      </c>
      <c r="CS44" s="47" t="str">
        <f>IF(ISNUMBER(CR44),IF(COUNTIFS(CS$1:CS43,_xlfn.RANK.EQ(CR44,CR$2:CR$111,0))&gt;0,_xlfn.MAXIFS(CS$1:CS43,CR$1:CR43,CR44)+1,_xlfn.RANK.EQ(CR44,CR$2:CR$111,0)),"")</f>
        <v/>
      </c>
      <c r="CT44" s="1" t="str">
        <f>IF(ISNUMBER(CR44)=TRUE,IF(_xlfn.RANK.EQ(CR44,$CR$2:$CR$111)&lt;='Tournament Setup'!$B$44,_xlfn.RANK.EQ(CR44,$CR$2:$CR$111),""),"")</f>
        <v/>
      </c>
      <c r="CU44" s="31" t="str">
        <f>IF(AND($H44='Tournament Setup'!$A$44,$E44="M",$CT44&gt;'Tournament Setup'!$B$44),$I44,"")</f>
        <v/>
      </c>
      <c r="CV44" s="1" t="str">
        <f>IF(ISNUMBER(CU44)=TRUE,IF(_xlfn.RANK.EQ(CU44,$CU$2:$CU$111)&lt;='Tournament Setup'!$C$44,_xlfn.RANK.EQ(CU44,$CU$2:$CU$111),""),"")</f>
        <v/>
      </c>
      <c r="CW44" s="31" t="str">
        <f>IF(AND($H44='Tournament Setup'!$A$44,$E44="F",$CT44&gt;'Tournament Setup'!$B$44),$I44,"")</f>
        <v/>
      </c>
      <c r="CX44" s="12" t="str">
        <f>IF(ISNUMBER(CW44)=TRUE,IF(_xlfn.RANK.EQ(CW44,$CW$2:$CW$111)&lt;='Tournament Setup'!$D$44,_xlfn.RANK.EQ(CW44,$CW$2:$CW$111),""),"")</f>
        <v/>
      </c>
    </row>
    <row r="45" spans="1:102" x14ac:dyDescent="0.3">
      <c r="A45" t="s">
        <v>200</v>
      </c>
      <c r="B45" t="str">
        <f>IFERROR(INDEX('Tournament List'!$B:$B,MATCH($A45,'Tournament List'!$A:$A,0)),"")</f>
        <v>Trisha</v>
      </c>
      <c r="C45" t="str">
        <f>IFERROR(INDEX('Tournament List'!$C:$C,MATCH($A45,'Tournament List'!$A:$A,0)),"")</f>
        <v>Last Name44</v>
      </c>
      <c r="D45" t="str">
        <f t="shared" si="1"/>
        <v>Trisha Last Name44</v>
      </c>
      <c r="E45" s="1" t="str">
        <f>IFERROR(INDEX('Tournament List'!F:F,MATCH($A45,'Tournament List'!$A:$A,0)),"")</f>
        <v>F</v>
      </c>
      <c r="F45" t="str">
        <f>IFERROR(INDEX('Tournament List'!M:M,MATCH($A45,'Tournament List'!$A:$A,0)),"")</f>
        <v>Intermediate</v>
      </c>
      <c r="G45" t="str">
        <f>IFERROR(INDEX('Shooter-Squad Assignment'!L:L,MATCH(A45,'Shooter-Squad Assignment'!A:A,0)),"")</f>
        <v>Intermediate</v>
      </c>
      <c r="H45" s="1" t="str">
        <f>IFERROR(INDEX('Tournament List'!AD:AD,MATCH($A45,'Tournament List'!$A:$A,0)),"")</f>
        <v>D</v>
      </c>
      <c r="I45" s="123">
        <f>IFERROR(INDEX('Tournament List'!AG:AG,MATCH($A45,'Tournament List'!$A:$A,0)),"")</f>
        <v>72.099999999999994</v>
      </c>
      <c r="J45" s="145">
        <f>IFERROR(INDEX('Tournament List'!Y:Y,MATCH($A45,'Tournament List'!$A:$A,0)),"")</f>
        <v>177</v>
      </c>
      <c r="K45" s="47">
        <f>IFERROR(INDEX('Tournament List'!S:S,MATCH(A45,'Tournament List'!A:A,0)),"")</f>
        <v>232</v>
      </c>
      <c r="L45" s="47">
        <f>IF(ISNUMBER(J45),IF(COUNTIFS(L$1:L44,_xlfn.RANK.EQ(J45,J$2:J$111,0))&gt;0,_xlfn.MAXIFS(L$1:L44,J$1:J44,J45)+1,_xlfn.RANK.EQ(J45,J$2:J$111,0)),"")</f>
        <v>10</v>
      </c>
      <c r="M45" s="11">
        <f>IF(ISNUMBER(I45)=TRUE,IF(I45&gt;0,_xlfn.RANK.EQ(I45,$I$2:$I$111,0),""),"")</f>
        <v>23</v>
      </c>
      <c r="N45" s="56">
        <f>IF(ISNUMBER(I45),IF(COUNTIFS(N$1:N44,_xlfn.RANK.EQ(I45,I$2:I$111,0))&gt;0,_xlfn.MAXIFS(N$1:N44,I$1:I44,I45)+1,_xlfn.RANK.EQ(I45,I$2:I$111,0)),"")</f>
        <v>24</v>
      </c>
      <c r="O45" s="144">
        <f>IF(F45&lt;&gt;"Collegiate"=TRUE,$I45,"")</f>
        <v>72.099999999999994</v>
      </c>
      <c r="P45" s="47">
        <f>IF(ISNUMBER(O45),IF(COUNTIFS(P$1:P44,_xlfn.RANK.EQ(O45,O$2:O$111,0))&gt;0,_xlfn.MAXIFS(P$1:P44,O$1:O44,O45)+1,_xlfn.RANK.EQ(O45,O$2:O$111,0)),"")</f>
        <v>22</v>
      </c>
      <c r="Q45" s="1" t="str">
        <f>IF(ISNUMBER(O45)=TRUE,IF(_xlfn.RANK.EQ(O45,$O$2:$O$111)&lt;='Tournament Setup'!$B$26,_xlfn.RANK.EQ(O45,$O$2:$O$111),""),"")</f>
        <v/>
      </c>
      <c r="R45" s="143" t="str">
        <f>IF(AND($E45="M",SUM($Q45)=0,F45&lt;&gt;"Collegiate")=TRUE,$I45,"")</f>
        <v/>
      </c>
      <c r="S45" s="1" t="str">
        <f>IF(ISNUMBER(R45)=TRUE,IF(_xlfn.RANK.EQ(R45,$R$2:$R$111)&lt;='Tournament Setup'!$B$27,_xlfn.RANK.EQ(R45,$R$2:$R$111),""),"")</f>
        <v/>
      </c>
      <c r="T45" s="143">
        <f>IF(AND($E45="F",SUM($Q45)=0,F45&lt;&gt;"Collegiate")=TRUE,$I45,"")</f>
        <v>72.099999999999994</v>
      </c>
      <c r="U45" s="12" t="str">
        <f>IF(ISNUMBER(T45)=TRUE,IF(_xlfn.RANK.EQ(T45,$T$2:$T$111)&lt;='Tournament Setup'!$B$28,_xlfn.RANK.EQ(T45,$T$2:$T$111),""),"")</f>
        <v/>
      </c>
      <c r="V45" s="145" t="str">
        <f>IF(AND($G45='Tournament Setup'!$A$53,$J45&lt;&gt;0),$J45,"")</f>
        <v/>
      </c>
      <c r="W45" s="47" t="str">
        <f>IF(ISNUMBER(V45),IF(COUNTIFS(W$1:W44,_xlfn.RANK.EQ(V45,V$2:V$111,0))&gt;0,_xlfn.MAXIFS(W$1:W44,V$1:V44,V45)+1,_xlfn.RANK.EQ(V45,V$2:V$111,0)),"")</f>
        <v/>
      </c>
      <c r="X45" s="1" t="str">
        <f>IF(ISNUMBER(V45)=TRUE,IF(_xlfn.RANK.EQ(V45,$V$2:$V$111)&lt;='Tournament Setup'!$B$53,_xlfn.RANK.EQ(V45,$V$2:$V$111),""),"")</f>
        <v/>
      </c>
      <c r="Y45" s="145" t="str">
        <f>IF(AND($G45='Tournament Setup'!$A$49,$J45&lt;&gt;0),$J45,"")</f>
        <v/>
      </c>
      <c r="Z45" s="47" t="str">
        <f>IF(ISNUMBER(Y45),IF(COUNTIFS(Z$1:Z44,_xlfn.RANK.EQ(Y45,Y$2:Y$111,0))&gt;0,_xlfn.MAXIFS(Z$1:Z44,Y$1:Y44,Y45)+1,_xlfn.RANK.EQ(Y45,Y$2:Y$111,0)),"")</f>
        <v/>
      </c>
      <c r="AA45" s="1" t="str">
        <f>IF(ISNUMBER(Y45)=TRUE,IF(_xlfn.RANK.EQ(Y45,$Y$2:$Y$111)&lt;='Tournament Setup'!$B$49,_xlfn.RANK.EQ(Y45,$Y$2:$Y$111),""),"")</f>
        <v/>
      </c>
      <c r="AB45" s="30" t="str">
        <f>IF(AND($F45='Tournament Setup'!$A$32,SUM($Q45,$S45,$U45)=0),$I45,"")</f>
        <v/>
      </c>
      <c r="AC45" s="47" t="str">
        <f>IF(ISNUMBER(AB45),IF(COUNTIFS(AC$1:AC44,_xlfn.RANK.EQ(AB45,AB$2:AB$111,0))&gt;0,_xlfn.MAXIFS(AC$1:AC44,AB$1:AB44,AB45)+1,_xlfn.RANK.EQ(AB45,AB$2:AB$111,0)),"")</f>
        <v/>
      </c>
      <c r="AD45" s="1" t="str">
        <f>IF(ISNUMBER(AB45)=TRUE,IF(_xlfn.RANK.EQ(AB45,$AB$2:$AB$111)&lt;='Tournament Setup'!$B$32,_xlfn.RANK.EQ(AB45,$AB$2:$AB$111),""),"")</f>
        <v/>
      </c>
      <c r="AE45" s="31" t="str">
        <f>IF(AND($F45='Tournament Setup'!$A$32,SUM($Q45,$S45)=0,$E45="M",$AD45&gt;'Tournament Setup'!$B$32),$I45,"")</f>
        <v/>
      </c>
      <c r="AF45" s="1" t="str">
        <f>IF(ISNUMBER(AE45)=TRUE,IF(_xlfn.RANK.EQ(AE45,$AE$2:$AE$111)&lt;='Tournament Setup'!$C$32,_xlfn.RANK.EQ(AE45,$AE$2:$AE$111),""),"")</f>
        <v/>
      </c>
      <c r="AG45" s="31" t="str">
        <f>IF(AND($F45='Tournament Setup'!$A$32,SUM($Q45,$U45)=0,$E45="F",$AD45&gt;'Tournament Setup'!$B$32),$I45,"")</f>
        <v/>
      </c>
      <c r="AH45" s="12" t="str">
        <f>IF(ISNUMBER(AG45)=TRUE,IF(_xlfn.RANK.EQ(AG45,$AG$2:$AG$111)&lt;='Tournament Setup'!$D$32,_xlfn.RANK.EQ(AG45,$AG$2:$AG$111),""),"")</f>
        <v/>
      </c>
      <c r="AI45" s="30">
        <f>IF(AND($G45='Tournament Setup'!$A$50,$J45&lt;&gt;0),$J45,"")</f>
        <v>177</v>
      </c>
      <c r="AJ45" s="47">
        <f>IF(ISNUMBER(AI45),IF(COUNTIFS(AJ$1:AJ44,_xlfn.RANK.EQ(AI45,AI$2:AI$111,0))&gt;0,_xlfn.MAXIFS(AJ$1:AJ44,AI$1:AI44,AI45)+1,_xlfn.RANK.EQ(AI45,AI$2:AI$111,0)),"")</f>
        <v>3</v>
      </c>
      <c r="AK45" s="1">
        <f>IF(ISNUMBER(AI45)=TRUE,IF(_xlfn.RANK.EQ(AI45,$AI$2:$AI$111)&lt;='Tournament Setup'!$B$49,_xlfn.RANK.EQ(AI45,$AI$2:$AI$111),""),"")</f>
        <v>3</v>
      </c>
      <c r="AL45" s="30">
        <f>IF(AND($F45='Tournament Setup'!$A$33,SUM($Q45,$S45,$U45)=0),$I45,"")</f>
        <v>72.099999999999994</v>
      </c>
      <c r="AM45" s="47">
        <f>IF(ISNUMBER(AL45),IF(COUNTIFS(AM$1:AM44,_xlfn.RANK.EQ(AL45,AL$2:AL$111,0))&gt;0,_xlfn.MAXIFS(AM$1:AM44,AL$1:AL44,AL45)+1,_xlfn.RANK.EQ(AL45,AL$2:AL$111,0)),"")</f>
        <v>3</v>
      </c>
      <c r="AN45" s="1">
        <f>IF(ISNUMBER(AL45)=TRUE,IF(_xlfn.RANK.EQ(AL45,$AL$2:$AL$111)&lt;='Tournament Setup'!$B$33,_xlfn.RANK.EQ(AL45,$AL$2:$AL$111),""),"")</f>
        <v>3</v>
      </c>
      <c r="AO45" s="31" t="str">
        <f>IF(AND($F45='Tournament Setup'!$A$33,SUM($Q45,$S45)=0,$E45="M",$AN45&gt;'Tournament Setup'!$B$33),$I45,"")</f>
        <v/>
      </c>
      <c r="AP45" s="1" t="str">
        <f>IF(ISNUMBER(AO45)=TRUE,IF(_xlfn.RANK.EQ(AO45,$AO$2:$AO$111)&lt;='Tournament Setup'!$C$33,_xlfn.RANK.EQ(AO45,$AO$2:$AO$111),""),"")</f>
        <v/>
      </c>
      <c r="AQ45" s="31" t="str">
        <f>IF(AND($F45='Tournament Setup'!$A$33,SUM($Q45,$U45)=0,$E45="F",$AN45&gt;'Tournament Setup'!$B$33),$I45,"")</f>
        <v/>
      </c>
      <c r="AR45" s="12" t="str">
        <f>IF(ISNUMBER(AQ45)=TRUE,IF(_xlfn.RANK.EQ(AQ45,$AQ$2:$AQ$111)&lt;='Tournament Setup'!$D$33,_xlfn.RANK.EQ(AQ45,$AQ$2:$AQ$111),""),"")</f>
        <v/>
      </c>
      <c r="AS45" s="30" t="str">
        <f>IF(AND($G45='Tournament Setup'!$A$51,$J45&lt;&gt;0),$J45,"")</f>
        <v/>
      </c>
      <c r="AT45" s="47" t="str">
        <f>IF(ISNUMBER(AS45),IF(COUNTIFS(AT$1:AT44,_xlfn.RANK.EQ(AS45,AS$2:AS$111,0))&gt;0,_xlfn.MAXIFS(AT$1:AT44,AS$1:AS44,AS45)+1,_xlfn.RANK.EQ(AS45,AS$2:AS$111,0)),"")</f>
        <v/>
      </c>
      <c r="AU45" s="1" t="str">
        <f>IF(ISNUMBER(AS45)=TRUE,IF(_xlfn.RANK.EQ(AS45,$AS$2:$AS$111)&lt;='Tournament Setup'!$B$49,_xlfn.RANK.EQ(AS45,$AS$2:$AS$111),""),"")</f>
        <v/>
      </c>
      <c r="AV45" s="30" t="str">
        <f>IF(AND($F45='Tournament Setup'!$A$34,SUM($Q45,$S45,$U45)=0),$I45,"")</f>
        <v/>
      </c>
      <c r="AW45" s="47" t="str">
        <f>IF(ISNUMBER(AV45),IF(COUNTIFS(AW$1:AW44,_xlfn.RANK.EQ(AV45,AV$2:AV$111,0))&gt;0,_xlfn.MAXIFS(AW$1:AW44,AV$1:AV44,AV45)+1,_xlfn.RANK.EQ(AV45,AV$2:AV$111,0)),"")</f>
        <v/>
      </c>
      <c r="AX45" s="1" t="str">
        <f>IF(ISNUMBER(AV45)=TRUE,IF(_xlfn.RANK.EQ(AV45,$AV$2:$AV$111)&lt;='Tournament Setup'!$B$34,_xlfn.RANK.EQ(AV45,$AV$2:$AV$111),""),"")</f>
        <v/>
      </c>
      <c r="AY45" s="31" t="str">
        <f>IF(AND($F45='Tournament Setup'!$A$34,SUM($Q45,$S45)=0,$E45="M",$AX45&gt;'Tournament Setup'!$B$34),$I45,"")</f>
        <v/>
      </c>
      <c r="AZ45" s="1" t="str">
        <f>IF(ISNUMBER(AY45)=TRUE,IF(_xlfn.RANK.EQ(AY45,$AY$2:$AY$111)&lt;='Tournament Setup'!$C$34,_xlfn.RANK.EQ(AY45,$AY$2:$AY$111),""),"")</f>
        <v/>
      </c>
      <c r="BA45" s="31" t="str">
        <f>IF(AND($F45='Tournament Setup'!$A$34,SUM($Q45,$U45)=0,$E45="F",$AX45&gt;'Tournament Setup'!$B$34),$I45,"")</f>
        <v/>
      </c>
      <c r="BB45" s="12" t="str">
        <f>IF(ISNUMBER(BA45)=TRUE,IF(_xlfn.RANK.EQ(BA45,$BA$2:$BA$111)&lt;='Tournament Setup'!$D$34,_xlfn.RANK.EQ(BA45,$BA$2:$BA$111),""),"")</f>
        <v/>
      </c>
      <c r="BC45" s="30" t="str">
        <f>IF(AND($G45='Tournament Setup'!$A$52,$J45&lt;&gt;0),$J45,"")</f>
        <v/>
      </c>
      <c r="BD45" s="47" t="str">
        <f>IF(ISNUMBER(BC45),IF(COUNTIFS(BD$1:BD44,_xlfn.RANK.EQ(BC45,BC$2:BC$111,0))&gt;0,_xlfn.MAXIFS(BD$1:BD44,BC$1:BC44,BC45)+1,_xlfn.RANK.EQ(BC45,BC$2:BC$111,0)),"")</f>
        <v/>
      </c>
      <c r="BE45" s="1" t="str">
        <f>IF(ISNUMBER(BC45)=TRUE,IF(_xlfn.RANK.EQ(BC45,$BC$2:$BC$111)&lt;='Tournament Setup'!$B$49,_xlfn.RANK.EQ(BC45,$BC$2:$BC$111),""),"")</f>
        <v/>
      </c>
      <c r="BF45" s="30" t="str">
        <f>IF(AND($F45='Tournament Setup'!$A$35,SUM($Q45,$S45,$U45)=0),$I45,"")</f>
        <v/>
      </c>
      <c r="BG45" s="47" t="str">
        <f>IF(ISNUMBER(BF45),IF(COUNTIFS(BG$1:BG44,_xlfn.RANK.EQ(BF45,BF$2:BF$111,0))&gt;0,_xlfn.MAXIFS(BG$1:BG44,BF$1:BF44,BF45)+1,_xlfn.RANK.EQ(BF45,BF$2:BF$111,0)),"")</f>
        <v/>
      </c>
      <c r="BH45" s="1" t="str">
        <f>IF(ISNUMBER(BF45)=TRUE,IF(_xlfn.RANK.EQ(BF45,$BF$2:$BF$111)&lt;='Tournament Setup'!$B$35,_xlfn.RANK.EQ(BF45,$BF$2:$BF$111),""),"")</f>
        <v/>
      </c>
      <c r="BI45" s="31" t="str">
        <f>IF(AND($F45='Tournament Setup'!$A$35,SUM($Q45,$S45)=0,$E45="M",$BH45&gt;'Tournament Setup'!$B$35),$I45,"")</f>
        <v/>
      </c>
      <c r="BJ45" s="1" t="str">
        <f>IF(ISNUMBER(BI45)=TRUE,IF(_xlfn.RANK.EQ(BI45,$BI$2:$BI$111)&lt;='Tournament Setup'!$C$35,_xlfn.RANK.EQ(BI45,$BI$2:$BI$111),""),"")</f>
        <v/>
      </c>
      <c r="BK45" s="31" t="str">
        <f>IF(AND($F45='Tournament Setup'!$A$35,SUM($Q45,$U45)=0,$E45="F",$BH45&gt;'Tournament Setup'!$B$35),$I45,"")</f>
        <v/>
      </c>
      <c r="BL45" s="12" t="str">
        <f>IF(ISNUMBER(BK45)=TRUE,IF(_xlfn.RANK.EQ(BK45,$BK$2:$BK$111)&lt;='Tournament Setup'!$D$35,_xlfn.RANK.EQ(BK45,$BK$2:$BK$111),""),"")</f>
        <v/>
      </c>
      <c r="BM45" s="30" t="str">
        <f>IF(AND($G45='Tournament Setup'!$A$54,$J45&lt;&gt;0),$J45,"")</f>
        <v/>
      </c>
      <c r="BN45" s="47" t="str">
        <f>IF(ISNUMBER(BM45),IF(COUNTIFS(BN$1:BN44,_xlfn.RANK.EQ(BM45,BM$2:BM$111,0))&gt;0,_xlfn.MAXIFS(BN$1:BN44,BM$1:BM44,BM45)+1,_xlfn.RANK.EQ(BM45,BM$2:BM$111,0)),"")</f>
        <v/>
      </c>
      <c r="BO45" s="1" t="str">
        <f>IF(ISNUMBER(BM45)=TRUE,IF(_xlfn.RANK.EQ(BM45,$BM$2:$BM$111)&lt;='Tournament Setup'!$B$49,_xlfn.RANK.EQ(BM45,$BM$2:$BM$111),""),"")</f>
        <v/>
      </c>
      <c r="BP45" s="30" t="str">
        <f>IF(AND($F45='Tournament Setup'!$A$36,SUM($Q45,$S45,$U45)=0),$I45,"")</f>
        <v/>
      </c>
      <c r="BQ45" s="47" t="str">
        <f>IF(ISNUMBER(BP45),IF(COUNTIFS(BQ$1:BQ44,_xlfn.RANK.EQ(BP45,BP$2:BP$111,0))&gt;0,_xlfn.MAXIFS(BQ$1:BQ44,BP$1:BP44,BP45)+1,_xlfn.RANK.EQ(BP45,BP$2:BP$111,0)),"")</f>
        <v/>
      </c>
      <c r="BR45" s="1" t="str">
        <f>IF(ISNUMBER(BP45)=TRUE,IF(_xlfn.RANK.EQ(BP45,$BP$2:$BP$111)&lt;='Tournament Setup'!$B$36,_xlfn.RANK.EQ(BP45,$BP$2:$BP$111),""),"")</f>
        <v/>
      </c>
      <c r="BS45" s="31" t="str">
        <f>IF(AND($F45='Tournament Setup'!$A$36,SUM($Q45,$S45)=0,$E45="M",$BR45&gt;'Tournament Setup'!$B$36),$I45,"")</f>
        <v/>
      </c>
      <c r="BT45" s="1" t="str">
        <f>IF(ISNUMBER(BS45)=TRUE,IF(_xlfn.RANK.EQ(BS45,$BS$2:$BS$111)&lt;='Tournament Setup'!$C$36,_xlfn.RANK.EQ(BS45,$BS$2:$BS$111),""),"")</f>
        <v/>
      </c>
      <c r="BU45" s="31" t="str">
        <f>IF(AND($F45='Tournament Setup'!$A$36,SUM($Q45,$U45)=0,$E45="F",$BR45&gt;'Tournament Setup'!$B$36),$I45,"")</f>
        <v/>
      </c>
      <c r="BV45" s="12" t="str">
        <f>IF(ISNUMBER(BU45)=TRUE,IF(_xlfn.RANK.EQ(BU45,$BU$2:$BU$111)&lt;='Tournament Setup'!$D$36,_xlfn.RANK.EQ(BU45,$BU$2:$BU$111),""),"")</f>
        <v/>
      </c>
      <c r="BW45" s="30" t="str">
        <f>IF($H45='Tournament Setup'!$A$41,$I45,"")</f>
        <v/>
      </c>
      <c r="BX45" s="47" t="str">
        <f>IF(ISNUMBER(BW45),IF(COUNTIFS(BX$1:BX44,_xlfn.RANK.EQ(BW45,BW$2:BW$111,0))&gt;0,_xlfn.MAXIFS(BX$1:BX44,BW$1:BW44,BW45)+1,_xlfn.RANK.EQ(BW45,BW$2:BW$111,0)),"")</f>
        <v/>
      </c>
      <c r="BY45" s="1" t="str">
        <f>IF(ISNUMBER(BW45)=TRUE,IF(_xlfn.RANK.EQ(BW45,$BW$2:$BW$111)&lt;='Tournament Setup'!$B$41,_xlfn.RANK.EQ(BW45,$BW$2:$BW$111),""),"")</f>
        <v/>
      </c>
      <c r="BZ45" s="31" t="str">
        <f>IF(AND($H45='Tournament Setup'!$A$41,$E45="M",$BY45&gt;'Tournament Setup'!$B$41),$I45,"")</f>
        <v/>
      </c>
      <c r="CA45" s="1" t="str">
        <f>IF(ISNUMBER(BZ45)=TRUE,IF(_xlfn.RANK.EQ(BZ45,$BZ$2:$BZ$111)&lt;='Tournament Setup'!$C$41,_xlfn.RANK.EQ(BZ45,$BZ$2:$BZ$111),""),"")</f>
        <v/>
      </c>
      <c r="CB45" s="31" t="str">
        <f>IF(AND($H45='Tournament Setup'!$A$41,$E45="F",$BY45&gt;'Tournament Setup'!$B$41),$I45,"")</f>
        <v/>
      </c>
      <c r="CC45" s="12" t="str">
        <f>IF(ISNUMBER(CB45)=TRUE,IF(_xlfn.RANK.EQ(CB45,$CB$2:$CB$111)&lt;='Tournament Setup'!$D$41,_xlfn.RANK.EQ(CB45,$CB$2:$CB$111),""),"")</f>
        <v/>
      </c>
      <c r="CD45" s="30" t="str">
        <f>IF($H45='Tournament Setup'!$A$42,$I45,"")</f>
        <v/>
      </c>
      <c r="CE45" s="47" t="str">
        <f>IF(ISNUMBER(CD45),IF(COUNTIFS(CE$1:CE44,_xlfn.RANK.EQ(CD45,CD$2:CD$111,0))&gt;0,_xlfn.MAXIFS(CE$1:CE44,CD$1:CD44,CD45)+1,_xlfn.RANK.EQ(CD45,CD$2:CD$111,0)),"")</f>
        <v/>
      </c>
      <c r="CF45" s="1" t="str">
        <f>IF(ISNUMBER(CD45)=TRUE,IF(_xlfn.RANK.EQ(CD45,$CD$2:$CD$111)&lt;='Tournament Setup'!$B$42,_xlfn.RANK.EQ(CD45,$CD$2:$CD$111),""),"")</f>
        <v/>
      </c>
      <c r="CG45" s="31" t="str">
        <f>IF(AND($H45='Tournament Setup'!$A$42,$E45="M",$CF45&gt;'Tournament Setup'!$B$42),$I45,"")</f>
        <v/>
      </c>
      <c r="CH45" s="1" t="str">
        <f>IF(ISNUMBER(CG45)=TRUE,IF(_xlfn.RANK.EQ(CG45,$CG$2:$CG$111)&lt;='Tournament Setup'!$C$42,_xlfn.RANK.EQ(CG45,$CG$2:$CG$111),""),"")</f>
        <v/>
      </c>
      <c r="CI45" s="31" t="str">
        <f>IF(AND($H45='Tournament Setup'!$A$42,$E45="F",$CF45&gt;'Tournament Setup'!$B$42),$I45,"")</f>
        <v/>
      </c>
      <c r="CJ45" s="12" t="str">
        <f>IF(ISNUMBER(CI45)=TRUE,IF(_xlfn.RANK.EQ(CI45,$CI$2:$CI$111)&lt;='Tournament Setup'!$D$42,_xlfn.RANK.EQ(CI45,$CI$2:$CI$111),""),"")</f>
        <v/>
      </c>
      <c r="CK45" s="30" t="str">
        <f>IF($H45='Tournament Setup'!$A$43,$I45,"")</f>
        <v/>
      </c>
      <c r="CL45" s="47" t="str">
        <f>IF(ISNUMBER(CK45),IF(COUNTIFS(CL$1:CL44,_xlfn.RANK.EQ(CK45,CK$2:CK$111,0))&gt;0,_xlfn.MAXIFS(CL$1:CL44,CK$1:CK44,CK45)+1,_xlfn.RANK.EQ(CK45,CK$2:CK$111,0)),"")</f>
        <v/>
      </c>
      <c r="CM45" s="1" t="str">
        <f>IF(ISNUMBER(CK45)=TRUE,IF(_xlfn.RANK.EQ(CK45,$CK$2:$CK$111)&lt;='Tournament Setup'!$B$43,_xlfn.RANK.EQ(CK45,$CK$2:$CK$111),""),"")</f>
        <v/>
      </c>
      <c r="CN45" s="31" t="str">
        <f>IF(AND($H45='Tournament Setup'!$A$43,$E45="M",$CM45&gt;'Tournament Setup'!$B$43),$I45,"")</f>
        <v/>
      </c>
      <c r="CO45" s="1" t="str">
        <f>IF(ISNUMBER(CN45)=TRUE,IF(_xlfn.RANK.EQ(CN45,$CN$2:$CN$111)&lt;='Tournament Setup'!$C$43,_xlfn.RANK.EQ(CN45,$CN$2:$CN$111),""),"")</f>
        <v/>
      </c>
      <c r="CP45" s="31" t="str">
        <f>IF(AND($H45='Tournament Setup'!$A$43,$E45="F",$CM45&gt;'Tournament Setup'!$B$43),$I45,"")</f>
        <v/>
      </c>
      <c r="CQ45" s="12" t="str">
        <f>IF(ISNUMBER(CP45)=TRUE,IF(_xlfn.RANK.EQ(CP45,$CP$2:$CP$111)&lt;='Tournament Setup'!$D$43,_xlfn.RANK.EQ(CP45,$CP$2:$CP$111),""),"")</f>
        <v/>
      </c>
      <c r="CR45" s="30">
        <f>IF($H45='Tournament Setup'!$A$44,$I45,"")</f>
        <v>72.099999999999994</v>
      </c>
      <c r="CS45" s="47">
        <f>IF(ISNUMBER(CR45),IF(COUNTIFS(CS$1:CS44,_xlfn.RANK.EQ(CR45,CR$2:CR$111,0))&gt;0,_xlfn.MAXIFS(CS$1:CS44,CR$1:CR44,CR45)+1,_xlfn.RANK.EQ(CR45,CR$2:CR$111,0)),"")</f>
        <v>2</v>
      </c>
      <c r="CT45" s="1">
        <f>IF(ISNUMBER(CR45)=TRUE,IF(_xlfn.RANK.EQ(CR45,$CR$2:$CR$111)&lt;='Tournament Setup'!$B$44,_xlfn.RANK.EQ(CR45,$CR$2:$CR$111),""),"")</f>
        <v>2</v>
      </c>
      <c r="CU45" s="31" t="str">
        <f>IF(AND($H45='Tournament Setup'!$A$44,$E45="M",$CT45&gt;'Tournament Setup'!$B$44),$I45,"")</f>
        <v/>
      </c>
      <c r="CV45" s="1" t="str">
        <f>IF(ISNUMBER(CU45)=TRUE,IF(_xlfn.RANK.EQ(CU45,$CU$2:$CU$111)&lt;='Tournament Setup'!$C$44,_xlfn.RANK.EQ(CU45,$CU$2:$CU$111),""),"")</f>
        <v/>
      </c>
      <c r="CW45" s="31" t="str">
        <f>IF(AND($H45='Tournament Setup'!$A$44,$E45="F",$CT45&gt;'Tournament Setup'!$B$44),$I45,"")</f>
        <v/>
      </c>
      <c r="CX45" s="12" t="str">
        <f>IF(ISNUMBER(CW45)=TRUE,IF(_xlfn.RANK.EQ(CW45,$CW$2:$CW$111)&lt;='Tournament Setup'!$D$44,_xlfn.RANK.EQ(CW45,$CW$2:$CW$111),""),"")</f>
        <v/>
      </c>
    </row>
    <row r="46" spans="1:102" x14ac:dyDescent="0.3">
      <c r="A46" t="s">
        <v>201</v>
      </c>
      <c r="B46" t="str">
        <f>IFERROR(INDEX('Tournament List'!$B:$B,MATCH($A46,'Tournament List'!$A:$A,0)),"")</f>
        <v>Dee</v>
      </c>
      <c r="C46" t="str">
        <f>IFERROR(INDEX('Tournament List'!$C:$C,MATCH($A46,'Tournament List'!$A:$A,0)),"")</f>
        <v>Last Name45</v>
      </c>
      <c r="D46" t="str">
        <f t="shared" si="1"/>
        <v>Dee Last Name45</v>
      </c>
      <c r="E46" s="1" t="str">
        <f>IFERROR(INDEX('Tournament List'!F:F,MATCH($A46,'Tournament List'!$A:$A,0)),"")</f>
        <v>F</v>
      </c>
      <c r="F46" t="str">
        <f>IFERROR(INDEX('Tournament List'!M:M,MATCH($A46,'Tournament List'!$A:$A,0)),"")</f>
        <v>Novice</v>
      </c>
      <c r="G46" t="str">
        <f>IFERROR(INDEX('Shooter-Squad Assignment'!L:L,MATCH(A46,'Shooter-Squad Assignment'!A:A,0)),"")</f>
        <v>Novice</v>
      </c>
      <c r="H46" s="1" t="str">
        <f>IFERROR(INDEX('Tournament List'!AD:AD,MATCH($A46,'Tournament List'!$A:$A,0)),"")</f>
        <v>B</v>
      </c>
      <c r="I46" s="123">
        <f>IFERROR(INDEX('Tournament List'!AG:AG,MATCH($A46,'Tournament List'!$A:$A,0)),"")</f>
        <v>54</v>
      </c>
      <c r="J46" s="145">
        <f>IFERROR(INDEX('Tournament List'!Y:Y,MATCH($A46,'Tournament List'!$A:$A,0)),"")</f>
        <v>199</v>
      </c>
      <c r="K46" s="47">
        <f>IFERROR(INDEX('Tournament List'!S:S,MATCH(A46,'Tournament List'!A:A,0)),"")</f>
        <v>295</v>
      </c>
      <c r="L46" s="47">
        <f>IF(ISNUMBER(J46),IF(COUNTIFS(L$1:L45,_xlfn.RANK.EQ(J46,J$2:J$111,0))&gt;0,_xlfn.MAXIFS(L$1:L45,J$1:J45,J46)+1,_xlfn.RANK.EQ(J46,J$2:J$111,0)),"")</f>
        <v>7</v>
      </c>
      <c r="M46" s="11">
        <f>IF(ISNUMBER(I46)=TRUE,IF(I46&gt;0,_xlfn.RANK.EQ(I46,$I$2:$I$111,0),""),"")</f>
        <v>38</v>
      </c>
      <c r="N46" s="56">
        <f>IF(ISNUMBER(I46),IF(COUNTIFS(N$1:N45,_xlfn.RANK.EQ(I46,I$2:I$111,0))&gt;0,_xlfn.MAXIFS(N$1:N45,I$1:I45,I46)+1,_xlfn.RANK.EQ(I46,I$2:I$111,0)),"")</f>
        <v>38</v>
      </c>
      <c r="O46" s="144">
        <f>IF(F46&lt;&gt;"Collegiate"=TRUE,$I46,"")</f>
        <v>54</v>
      </c>
      <c r="P46" s="47">
        <f>IF(ISNUMBER(O46),IF(COUNTIFS(P$1:P45,_xlfn.RANK.EQ(O46,O$2:O$111,0))&gt;0,_xlfn.MAXIFS(P$1:P45,O$1:O45,O46)+1,_xlfn.RANK.EQ(O46,O$2:O$111,0)),"")</f>
        <v>36</v>
      </c>
      <c r="Q46" s="1" t="str">
        <f>IF(ISNUMBER(O46)=TRUE,IF(_xlfn.RANK.EQ(O46,$O$2:$O$111)&lt;='Tournament Setup'!$B$26,_xlfn.RANK.EQ(O46,$O$2:$O$111),""),"")</f>
        <v/>
      </c>
      <c r="R46" s="143" t="str">
        <f>IF(AND($E46="M",SUM($Q46)=0,F46&lt;&gt;"Collegiate")=TRUE,$I46,"")</f>
        <v/>
      </c>
      <c r="S46" s="1" t="str">
        <f>IF(ISNUMBER(R46)=TRUE,IF(_xlfn.RANK.EQ(R46,$R$2:$R$111)&lt;='Tournament Setup'!$B$27,_xlfn.RANK.EQ(R46,$R$2:$R$111),""),"")</f>
        <v/>
      </c>
      <c r="T46" s="143">
        <f>IF(AND($E46="F",SUM($Q46)=0,F46&lt;&gt;"Collegiate")=TRUE,$I46,"")</f>
        <v>54</v>
      </c>
      <c r="U46" s="12" t="str">
        <f>IF(ISNUMBER(T46)=TRUE,IF(_xlfn.RANK.EQ(T46,$T$2:$T$111)&lt;='Tournament Setup'!$B$28,_xlfn.RANK.EQ(T46,$T$2:$T$111),""),"")</f>
        <v/>
      </c>
      <c r="V46" s="145" t="str">
        <f>IF(AND($G46='Tournament Setup'!$A$53,$J46&lt;&gt;0),$J46,"")</f>
        <v/>
      </c>
      <c r="W46" s="47" t="str">
        <f>IF(ISNUMBER(V46),IF(COUNTIFS(W$1:W45,_xlfn.RANK.EQ(V46,V$2:V$111,0))&gt;0,_xlfn.MAXIFS(W$1:W45,V$1:V45,V46)+1,_xlfn.RANK.EQ(V46,V$2:V$111,0)),"")</f>
        <v/>
      </c>
      <c r="X46" s="1" t="str">
        <f>IF(ISNUMBER(V46)=TRUE,IF(_xlfn.RANK.EQ(V46,$V$2:$V$111)&lt;='Tournament Setup'!$B$53,_xlfn.RANK.EQ(V46,$V$2:$V$111),""),"")</f>
        <v/>
      </c>
      <c r="Y46" s="145">
        <f>IF(AND($G46='Tournament Setup'!$A$49,$J46&lt;&gt;0),$J46,"")</f>
        <v>199</v>
      </c>
      <c r="Z46" s="47">
        <f>IF(ISNUMBER(Y46),IF(COUNTIFS(Z$1:Z45,_xlfn.RANK.EQ(Y46,Y$2:Y$111,0))&gt;0,_xlfn.MAXIFS(Z$1:Z45,Y$1:Y45,Y46)+1,_xlfn.RANK.EQ(Y46,Y$2:Y$111,0)),"")</f>
        <v>2</v>
      </c>
      <c r="AA46" s="1">
        <f>IF(ISNUMBER(Y46)=TRUE,IF(_xlfn.RANK.EQ(Y46,$Y$2:$Y$111)&lt;='Tournament Setup'!$B$49,_xlfn.RANK.EQ(Y46,$Y$2:$Y$111),""),"")</f>
        <v>2</v>
      </c>
      <c r="AB46" s="30">
        <f>IF(AND($F46='Tournament Setup'!$A$32,SUM($Q46,$S46,$U46)=0),$I46,"")</f>
        <v>54</v>
      </c>
      <c r="AC46" s="47">
        <f>IF(ISNUMBER(AB46),IF(COUNTIFS(AC$1:AC45,_xlfn.RANK.EQ(AB46,AB$2:AB$111,0))&gt;0,_xlfn.MAXIFS(AC$1:AC45,AB$1:AB45,AB46)+1,_xlfn.RANK.EQ(AB46,AB$2:AB$111,0)),"")</f>
        <v>10</v>
      </c>
      <c r="AD46" s="1" t="str">
        <f>IF(ISNUMBER(AB46)=TRUE,IF(_xlfn.RANK.EQ(AB46,$AB$2:$AB$111)&lt;='Tournament Setup'!$B$32,_xlfn.RANK.EQ(AB46,$AB$2:$AB$111),""),"")</f>
        <v/>
      </c>
      <c r="AE46" s="31" t="str">
        <f>IF(AND($F46='Tournament Setup'!$A$32,SUM($Q46,$S46)=0,$E46="M",$AD46&gt;'Tournament Setup'!$B$32),$I46,"")</f>
        <v/>
      </c>
      <c r="AF46" s="1" t="str">
        <f>IF(ISNUMBER(AE46)=TRUE,IF(_xlfn.RANK.EQ(AE46,$AE$2:$AE$111)&lt;='Tournament Setup'!$C$32,_xlfn.RANK.EQ(AE46,$AE$2:$AE$111),""),"")</f>
        <v/>
      </c>
      <c r="AG46" s="31">
        <f>IF(AND($F46='Tournament Setup'!$A$32,SUM($Q46,$U46)=0,$E46="F",$AD46&gt;'Tournament Setup'!$B$32),$I46,"")</f>
        <v>54</v>
      </c>
      <c r="AH46" s="12">
        <f>IF(ISNUMBER(AG46)=TRUE,IF(_xlfn.RANK.EQ(AG46,$AG$2:$AG$111)&lt;='Tournament Setup'!$D$32,_xlfn.RANK.EQ(AG46,$AG$2:$AG$111),""),"")</f>
        <v>2</v>
      </c>
      <c r="AI46" s="30" t="str">
        <f>IF(AND($G46='Tournament Setup'!$A$50,$J46&lt;&gt;0),$J46,"")</f>
        <v/>
      </c>
      <c r="AJ46" s="47" t="str">
        <f>IF(ISNUMBER(AI46),IF(COUNTIFS(AJ$1:AJ45,_xlfn.RANK.EQ(AI46,AI$2:AI$111,0))&gt;0,_xlfn.MAXIFS(AJ$1:AJ45,AI$1:AI45,AI46)+1,_xlfn.RANK.EQ(AI46,AI$2:AI$111,0)),"")</f>
        <v/>
      </c>
      <c r="AK46" s="1" t="str">
        <f>IF(ISNUMBER(AI46)=TRUE,IF(_xlfn.RANK.EQ(AI46,$AI$2:$AI$111)&lt;='Tournament Setup'!$B$49,_xlfn.RANK.EQ(AI46,$AI$2:$AI$111),""),"")</f>
        <v/>
      </c>
      <c r="AL46" s="30" t="str">
        <f>IF(AND($F46='Tournament Setup'!$A$33,SUM($Q46,$S46,$U46)=0),$I46,"")</f>
        <v/>
      </c>
      <c r="AM46" s="47" t="str">
        <f>IF(ISNUMBER(AL46),IF(COUNTIFS(AM$1:AM45,_xlfn.RANK.EQ(AL46,AL$2:AL$111,0))&gt;0,_xlfn.MAXIFS(AM$1:AM45,AL$1:AL45,AL46)+1,_xlfn.RANK.EQ(AL46,AL$2:AL$111,0)),"")</f>
        <v/>
      </c>
      <c r="AN46" s="1" t="str">
        <f>IF(ISNUMBER(AL46)=TRUE,IF(_xlfn.RANK.EQ(AL46,$AL$2:$AL$111)&lt;='Tournament Setup'!$B$33,_xlfn.RANK.EQ(AL46,$AL$2:$AL$111),""),"")</f>
        <v/>
      </c>
      <c r="AO46" s="31" t="str">
        <f>IF(AND($F46='Tournament Setup'!$A$33,SUM($Q46,$S46)=0,$E46="M",$AN46&gt;'Tournament Setup'!$B$33),$I46,"")</f>
        <v/>
      </c>
      <c r="AP46" s="1" t="str">
        <f>IF(ISNUMBER(AO46)=TRUE,IF(_xlfn.RANK.EQ(AO46,$AO$2:$AO$111)&lt;='Tournament Setup'!$C$33,_xlfn.RANK.EQ(AO46,$AO$2:$AO$111),""),"")</f>
        <v/>
      </c>
      <c r="AQ46" s="31" t="str">
        <f>IF(AND($F46='Tournament Setup'!$A$33,SUM($Q46,$U46)=0,$E46="F",$AN46&gt;'Tournament Setup'!$B$33),$I46,"")</f>
        <v/>
      </c>
      <c r="AR46" s="12" t="str">
        <f>IF(ISNUMBER(AQ46)=TRUE,IF(_xlfn.RANK.EQ(AQ46,$AQ$2:$AQ$111)&lt;='Tournament Setup'!$D$33,_xlfn.RANK.EQ(AQ46,$AQ$2:$AQ$111),""),"")</f>
        <v/>
      </c>
      <c r="AS46" s="30" t="str">
        <f>IF(AND($G46='Tournament Setup'!$A$51,$J46&lt;&gt;0),$J46,"")</f>
        <v/>
      </c>
      <c r="AT46" s="47" t="str">
        <f>IF(ISNUMBER(AS46),IF(COUNTIFS(AT$1:AT45,_xlfn.RANK.EQ(AS46,AS$2:AS$111,0))&gt;0,_xlfn.MAXIFS(AT$1:AT45,AS$1:AS45,AS46)+1,_xlfn.RANK.EQ(AS46,AS$2:AS$111,0)),"")</f>
        <v/>
      </c>
      <c r="AU46" s="1" t="str">
        <f>IF(ISNUMBER(AS46)=TRUE,IF(_xlfn.RANK.EQ(AS46,$AS$2:$AS$111)&lt;='Tournament Setup'!$B$49,_xlfn.RANK.EQ(AS46,$AS$2:$AS$111),""),"")</f>
        <v/>
      </c>
      <c r="AV46" s="30" t="str">
        <f>IF(AND($F46='Tournament Setup'!$A$34,SUM($Q46,$S46,$U46)=0),$I46,"")</f>
        <v/>
      </c>
      <c r="AW46" s="47" t="str">
        <f>IF(ISNUMBER(AV46),IF(COUNTIFS(AW$1:AW45,_xlfn.RANK.EQ(AV46,AV$2:AV$111,0))&gt;0,_xlfn.MAXIFS(AW$1:AW45,AV$1:AV45,AV46)+1,_xlfn.RANK.EQ(AV46,AV$2:AV$111,0)),"")</f>
        <v/>
      </c>
      <c r="AX46" s="1" t="str">
        <f>IF(ISNUMBER(AV46)=TRUE,IF(_xlfn.RANK.EQ(AV46,$AV$2:$AV$111)&lt;='Tournament Setup'!$B$34,_xlfn.RANK.EQ(AV46,$AV$2:$AV$111),""),"")</f>
        <v/>
      </c>
      <c r="AY46" s="31" t="str">
        <f>IF(AND($F46='Tournament Setup'!$A$34,SUM($Q46,$S46)=0,$E46="M",$AX46&gt;'Tournament Setup'!$B$34),$I46,"")</f>
        <v/>
      </c>
      <c r="AZ46" s="1" t="str">
        <f>IF(ISNUMBER(AY46)=TRUE,IF(_xlfn.RANK.EQ(AY46,$AY$2:$AY$111)&lt;='Tournament Setup'!$C$34,_xlfn.RANK.EQ(AY46,$AY$2:$AY$111),""),"")</f>
        <v/>
      </c>
      <c r="BA46" s="31" t="str">
        <f>IF(AND($F46='Tournament Setup'!$A$34,SUM($Q46,$U46)=0,$E46="F",$AX46&gt;'Tournament Setup'!$B$34),$I46,"")</f>
        <v/>
      </c>
      <c r="BB46" s="12" t="str">
        <f>IF(ISNUMBER(BA46)=TRUE,IF(_xlfn.RANK.EQ(BA46,$BA$2:$BA$111)&lt;='Tournament Setup'!$D$34,_xlfn.RANK.EQ(BA46,$BA$2:$BA$111),""),"")</f>
        <v/>
      </c>
      <c r="BC46" s="30" t="str">
        <f>IF(AND($G46='Tournament Setup'!$A$52,$J46&lt;&gt;0),$J46,"")</f>
        <v/>
      </c>
      <c r="BD46" s="47" t="str">
        <f>IF(ISNUMBER(BC46),IF(COUNTIFS(BD$1:BD45,_xlfn.RANK.EQ(BC46,BC$2:BC$111,0))&gt;0,_xlfn.MAXIFS(BD$1:BD45,BC$1:BC45,BC46)+1,_xlfn.RANK.EQ(BC46,BC$2:BC$111,0)),"")</f>
        <v/>
      </c>
      <c r="BE46" s="1" t="str">
        <f>IF(ISNUMBER(BC46)=TRUE,IF(_xlfn.RANK.EQ(BC46,$BC$2:$BC$111)&lt;='Tournament Setup'!$B$49,_xlfn.RANK.EQ(BC46,$BC$2:$BC$111),""),"")</f>
        <v/>
      </c>
      <c r="BF46" s="30" t="str">
        <f>IF(AND($F46='Tournament Setup'!$A$35,SUM($Q46,$S46,$U46)=0),$I46,"")</f>
        <v/>
      </c>
      <c r="BG46" s="47" t="str">
        <f>IF(ISNUMBER(BF46),IF(COUNTIFS(BG$1:BG45,_xlfn.RANK.EQ(BF46,BF$2:BF$111,0))&gt;0,_xlfn.MAXIFS(BG$1:BG45,BF$1:BF45,BF46)+1,_xlfn.RANK.EQ(BF46,BF$2:BF$111,0)),"")</f>
        <v/>
      </c>
      <c r="BH46" s="1" t="str">
        <f>IF(ISNUMBER(BF46)=TRUE,IF(_xlfn.RANK.EQ(BF46,$BF$2:$BF$111)&lt;='Tournament Setup'!$B$35,_xlfn.RANK.EQ(BF46,$BF$2:$BF$111),""),"")</f>
        <v/>
      </c>
      <c r="BI46" s="31" t="str">
        <f>IF(AND($F46='Tournament Setup'!$A$35,SUM($Q46,$S46)=0,$E46="M",$BH46&gt;'Tournament Setup'!$B$35),$I46,"")</f>
        <v/>
      </c>
      <c r="BJ46" s="1" t="str">
        <f>IF(ISNUMBER(BI46)=TRUE,IF(_xlfn.RANK.EQ(BI46,$BI$2:$BI$111)&lt;='Tournament Setup'!$C$35,_xlfn.RANK.EQ(BI46,$BI$2:$BI$111),""),"")</f>
        <v/>
      </c>
      <c r="BK46" s="31" t="str">
        <f>IF(AND($F46='Tournament Setup'!$A$35,SUM($Q46,$U46)=0,$E46="F",$BH46&gt;'Tournament Setup'!$B$35),$I46,"")</f>
        <v/>
      </c>
      <c r="BL46" s="12" t="str">
        <f>IF(ISNUMBER(BK46)=TRUE,IF(_xlfn.RANK.EQ(BK46,$BK$2:$BK$111)&lt;='Tournament Setup'!$D$35,_xlfn.RANK.EQ(BK46,$BK$2:$BK$111),""),"")</f>
        <v/>
      </c>
      <c r="BM46" s="30" t="str">
        <f>IF(AND($G46='Tournament Setup'!$A$54,$J46&lt;&gt;0),$J46,"")</f>
        <v/>
      </c>
      <c r="BN46" s="47" t="str">
        <f>IF(ISNUMBER(BM46),IF(COUNTIFS(BN$1:BN45,_xlfn.RANK.EQ(BM46,BM$2:BM$111,0))&gt;0,_xlfn.MAXIFS(BN$1:BN45,BM$1:BM45,BM46)+1,_xlfn.RANK.EQ(BM46,BM$2:BM$111,0)),"")</f>
        <v/>
      </c>
      <c r="BO46" s="1" t="str">
        <f>IF(ISNUMBER(BM46)=TRUE,IF(_xlfn.RANK.EQ(BM46,$BM$2:$BM$111)&lt;='Tournament Setup'!$B$49,_xlfn.RANK.EQ(BM46,$BM$2:$BM$111),""),"")</f>
        <v/>
      </c>
      <c r="BP46" s="30" t="str">
        <f>IF(AND($F46='Tournament Setup'!$A$36,SUM($Q46,$S46,$U46)=0),$I46,"")</f>
        <v/>
      </c>
      <c r="BQ46" s="47" t="str">
        <f>IF(ISNUMBER(BP46),IF(COUNTIFS(BQ$1:BQ45,_xlfn.RANK.EQ(BP46,BP$2:BP$111,0))&gt;0,_xlfn.MAXIFS(BQ$1:BQ45,BP$1:BP45,BP46)+1,_xlfn.RANK.EQ(BP46,BP$2:BP$111,0)),"")</f>
        <v/>
      </c>
      <c r="BR46" s="1" t="str">
        <f>IF(ISNUMBER(BP46)=TRUE,IF(_xlfn.RANK.EQ(BP46,$BP$2:$BP$111)&lt;='Tournament Setup'!$B$36,_xlfn.RANK.EQ(BP46,$BP$2:$BP$111),""),"")</f>
        <v/>
      </c>
      <c r="BS46" s="31" t="str">
        <f>IF(AND($F46='Tournament Setup'!$A$36,SUM($Q46,$S46)=0,$E46="M",$BR46&gt;'Tournament Setup'!$B$36),$I46,"")</f>
        <v/>
      </c>
      <c r="BT46" s="1" t="str">
        <f>IF(ISNUMBER(BS46)=TRUE,IF(_xlfn.RANK.EQ(BS46,$BS$2:$BS$111)&lt;='Tournament Setup'!$C$36,_xlfn.RANK.EQ(BS46,$BS$2:$BS$111),""),"")</f>
        <v/>
      </c>
      <c r="BU46" s="31" t="str">
        <f>IF(AND($F46='Tournament Setup'!$A$36,SUM($Q46,$U46)=0,$E46="F",$BR46&gt;'Tournament Setup'!$B$36),$I46,"")</f>
        <v/>
      </c>
      <c r="BV46" s="12" t="str">
        <f>IF(ISNUMBER(BU46)=TRUE,IF(_xlfn.RANK.EQ(BU46,$BU$2:$BU$111)&lt;='Tournament Setup'!$D$36,_xlfn.RANK.EQ(BU46,$BU$2:$BU$111),""),"")</f>
        <v/>
      </c>
      <c r="BW46" s="30" t="str">
        <f>IF($H46='Tournament Setup'!$A$41,$I46,"")</f>
        <v/>
      </c>
      <c r="BX46" s="47" t="str">
        <f>IF(ISNUMBER(BW46),IF(COUNTIFS(BX$1:BX45,_xlfn.RANK.EQ(BW46,BW$2:BW$111,0))&gt;0,_xlfn.MAXIFS(BX$1:BX45,BW$1:BW45,BW46)+1,_xlfn.RANK.EQ(BW46,BW$2:BW$111,0)),"")</f>
        <v/>
      </c>
      <c r="BY46" s="1" t="str">
        <f>IF(ISNUMBER(BW46)=TRUE,IF(_xlfn.RANK.EQ(BW46,$BW$2:$BW$111)&lt;='Tournament Setup'!$B$41,_xlfn.RANK.EQ(BW46,$BW$2:$BW$111),""),"")</f>
        <v/>
      </c>
      <c r="BZ46" s="31" t="str">
        <f>IF(AND($H46='Tournament Setup'!$A$41,$E46="M",$BY46&gt;'Tournament Setup'!$B$41),$I46,"")</f>
        <v/>
      </c>
      <c r="CA46" s="1" t="str">
        <f>IF(ISNUMBER(BZ46)=TRUE,IF(_xlfn.RANK.EQ(BZ46,$BZ$2:$BZ$111)&lt;='Tournament Setup'!$C$41,_xlfn.RANK.EQ(BZ46,$BZ$2:$BZ$111),""),"")</f>
        <v/>
      </c>
      <c r="CB46" s="31" t="str">
        <f>IF(AND($H46='Tournament Setup'!$A$41,$E46="F",$BY46&gt;'Tournament Setup'!$B$41),$I46,"")</f>
        <v/>
      </c>
      <c r="CC46" s="12" t="str">
        <f>IF(ISNUMBER(CB46)=TRUE,IF(_xlfn.RANK.EQ(CB46,$CB$2:$CB$111)&lt;='Tournament Setup'!$D$41,_xlfn.RANK.EQ(CB46,$CB$2:$CB$111),""),"")</f>
        <v/>
      </c>
      <c r="CD46" s="30">
        <f>IF($H46='Tournament Setup'!$A$42,$I46,"")</f>
        <v>54</v>
      </c>
      <c r="CE46" s="47">
        <f>IF(ISNUMBER(CD46),IF(COUNTIFS(CE$1:CE45,_xlfn.RANK.EQ(CD46,CD$2:CD$111,0))&gt;0,_xlfn.MAXIFS(CE$1:CE45,CD$1:CD45,CD46)+1,_xlfn.RANK.EQ(CD46,CD$2:CD$111,0)),"")</f>
        <v>15</v>
      </c>
      <c r="CF46" s="1" t="str">
        <f>IF(ISNUMBER(CD46)=TRUE,IF(_xlfn.RANK.EQ(CD46,$CD$2:$CD$111)&lt;='Tournament Setup'!$B$42,_xlfn.RANK.EQ(CD46,$CD$2:$CD$111),""),"")</f>
        <v/>
      </c>
      <c r="CG46" s="31" t="str">
        <f>IF(AND($H46='Tournament Setup'!$A$42,$E46="M",$CF46&gt;'Tournament Setup'!$B$42),$I46,"")</f>
        <v/>
      </c>
      <c r="CH46" s="1" t="str">
        <f>IF(ISNUMBER(CG46)=TRUE,IF(_xlfn.RANK.EQ(CG46,$CG$2:$CG$111)&lt;='Tournament Setup'!$C$42,_xlfn.RANK.EQ(CG46,$CG$2:$CG$111),""),"")</f>
        <v/>
      </c>
      <c r="CI46" s="31">
        <f>IF(AND($H46='Tournament Setup'!$A$42,$E46="F",$CF46&gt;'Tournament Setup'!$B$42),$I46,"")</f>
        <v>54</v>
      </c>
      <c r="CJ46" s="12" t="str">
        <f>IF(ISNUMBER(CI46)=TRUE,IF(_xlfn.RANK.EQ(CI46,$CI$2:$CI$111)&lt;='Tournament Setup'!$D$42,_xlfn.RANK.EQ(CI46,$CI$2:$CI$111),""),"")</f>
        <v/>
      </c>
      <c r="CK46" s="30" t="str">
        <f>IF($H46='Tournament Setup'!$A$43,$I46,"")</f>
        <v/>
      </c>
      <c r="CL46" s="47" t="str">
        <f>IF(ISNUMBER(CK46),IF(COUNTIFS(CL$1:CL45,_xlfn.RANK.EQ(CK46,CK$2:CK$111,0))&gt;0,_xlfn.MAXIFS(CL$1:CL45,CK$1:CK45,CK46)+1,_xlfn.RANK.EQ(CK46,CK$2:CK$111,0)),"")</f>
        <v/>
      </c>
      <c r="CM46" s="1" t="str">
        <f>IF(ISNUMBER(CK46)=TRUE,IF(_xlfn.RANK.EQ(CK46,$CK$2:$CK$111)&lt;='Tournament Setup'!$B$43,_xlfn.RANK.EQ(CK46,$CK$2:$CK$111),""),"")</f>
        <v/>
      </c>
      <c r="CN46" s="31" t="str">
        <f>IF(AND($H46='Tournament Setup'!$A$43,$E46="M",$CM46&gt;'Tournament Setup'!$B$43),$I46,"")</f>
        <v/>
      </c>
      <c r="CO46" s="1" t="str">
        <f>IF(ISNUMBER(CN46)=TRUE,IF(_xlfn.RANK.EQ(CN46,$CN$2:$CN$111)&lt;='Tournament Setup'!$C$43,_xlfn.RANK.EQ(CN46,$CN$2:$CN$111),""),"")</f>
        <v/>
      </c>
      <c r="CP46" s="31" t="str">
        <f>IF(AND($H46='Tournament Setup'!$A$43,$E46="F",$CM46&gt;'Tournament Setup'!$B$43),$I46,"")</f>
        <v/>
      </c>
      <c r="CQ46" s="12" t="str">
        <f>IF(ISNUMBER(CP46)=TRUE,IF(_xlfn.RANK.EQ(CP46,$CP$2:$CP$111)&lt;='Tournament Setup'!$D$43,_xlfn.RANK.EQ(CP46,$CP$2:$CP$111),""),"")</f>
        <v/>
      </c>
      <c r="CR46" s="30" t="str">
        <f>IF($H46='Tournament Setup'!$A$44,$I46,"")</f>
        <v/>
      </c>
      <c r="CS46" s="47" t="str">
        <f>IF(ISNUMBER(CR46),IF(COUNTIFS(CS$1:CS45,_xlfn.RANK.EQ(CR46,CR$2:CR$111,0))&gt;0,_xlfn.MAXIFS(CS$1:CS45,CR$1:CR45,CR46)+1,_xlfn.RANK.EQ(CR46,CR$2:CR$111,0)),"")</f>
        <v/>
      </c>
      <c r="CT46" s="1" t="str">
        <f>IF(ISNUMBER(CR46)=TRUE,IF(_xlfn.RANK.EQ(CR46,$CR$2:$CR$111)&lt;='Tournament Setup'!$B$44,_xlfn.RANK.EQ(CR46,$CR$2:$CR$111),""),"")</f>
        <v/>
      </c>
      <c r="CU46" s="31" t="str">
        <f>IF(AND($H46='Tournament Setup'!$A$44,$E46="M",$CT46&gt;'Tournament Setup'!$B$44),$I46,"")</f>
        <v/>
      </c>
      <c r="CV46" s="1" t="str">
        <f>IF(ISNUMBER(CU46)=TRUE,IF(_xlfn.RANK.EQ(CU46,$CU$2:$CU$111)&lt;='Tournament Setup'!$C$44,_xlfn.RANK.EQ(CU46,$CU$2:$CU$111),""),"")</f>
        <v/>
      </c>
      <c r="CW46" s="31" t="str">
        <f>IF(AND($H46='Tournament Setup'!$A$44,$E46="F",$CT46&gt;'Tournament Setup'!$B$44),$I46,"")</f>
        <v/>
      </c>
      <c r="CX46" s="12" t="str">
        <f>IF(ISNUMBER(CW46)=TRUE,IF(_xlfn.RANK.EQ(CW46,$CW$2:$CW$111)&lt;='Tournament Setup'!$D$44,_xlfn.RANK.EQ(CW46,$CW$2:$CW$111),""),"")</f>
        <v/>
      </c>
    </row>
    <row r="47" spans="1:102" x14ac:dyDescent="0.3">
      <c r="A47" t="s">
        <v>202</v>
      </c>
      <c r="B47" t="str">
        <f>IFERROR(INDEX('Tournament List'!$B:$B,MATCH($A47,'Tournament List'!$A:$A,0)),"")</f>
        <v>Sam</v>
      </c>
      <c r="C47" t="str">
        <f>IFERROR(INDEX('Tournament List'!$C:$C,MATCH($A47,'Tournament List'!$A:$A,0)),"")</f>
        <v>Last Name46</v>
      </c>
      <c r="D47" t="str">
        <f t="shared" si="1"/>
        <v>Sam Last Name46</v>
      </c>
      <c r="E47" s="1" t="str">
        <f>IFERROR(INDEX('Tournament List'!F:F,MATCH($A47,'Tournament List'!$A:$A,0)),"")</f>
        <v>M</v>
      </c>
      <c r="F47" t="str">
        <f>IFERROR(INDEX('Tournament List'!M:M,MATCH($A47,'Tournament List'!$A:$A,0)),"")</f>
        <v>Varsity</v>
      </c>
      <c r="G47" t="str">
        <f>IFERROR(INDEX('Shooter-Squad Assignment'!L:L,MATCH(A47,'Shooter-Squad Assignment'!A:A,0)),"")</f>
        <v>Varsity</v>
      </c>
      <c r="H47" s="1" t="str">
        <f>IFERROR(INDEX('Tournament List'!AD:AD,MATCH($A47,'Tournament List'!$A:$A,0)),"")</f>
        <v>B</v>
      </c>
      <c r="I47" s="123">
        <f>IFERROR(INDEX('Tournament List'!AG:AG,MATCH($A47,'Tournament List'!$A:$A,0)),"")</f>
        <v>32</v>
      </c>
      <c r="J47" s="145">
        <f>IFERROR(INDEX('Tournament List'!Y:Y,MATCH($A47,'Tournament List'!$A:$A,0)),"")</f>
        <v>154</v>
      </c>
      <c r="K47" s="47">
        <f>IFERROR(INDEX('Tournament List'!S:S,MATCH(A47,'Tournament List'!A:A,0)),"")</f>
        <v>74</v>
      </c>
      <c r="L47" s="47">
        <f>IF(ISNUMBER(J47),IF(COUNTIFS(L$1:L46,_xlfn.RANK.EQ(J47,J$2:J$111,0))&gt;0,_xlfn.MAXIFS(L$1:L46,J$1:J46,J47)+1,_xlfn.RANK.EQ(J47,J$2:J$111,0)),"")</f>
        <v>12</v>
      </c>
      <c r="M47" s="11">
        <f>IF(ISNUMBER(I47)=TRUE,IF(I47&gt;0,_xlfn.RANK.EQ(I47,$I$2:$I$111,0),""),"")</f>
        <v>47</v>
      </c>
      <c r="N47" s="56">
        <f>IF(ISNUMBER(I47),IF(COUNTIFS(N$1:N46,_xlfn.RANK.EQ(I47,I$2:I$111,0))&gt;0,_xlfn.MAXIFS(N$1:N46,I$1:I46,I47)+1,_xlfn.RANK.EQ(I47,I$2:I$111,0)),"")</f>
        <v>47</v>
      </c>
      <c r="O47" s="144">
        <f>IF(F47&lt;&gt;"Collegiate"=TRUE,$I47,"")</f>
        <v>32</v>
      </c>
      <c r="P47" s="47">
        <f>IF(ISNUMBER(O47),IF(COUNTIFS(P$1:P46,_xlfn.RANK.EQ(O47,O$2:O$111,0))&gt;0,_xlfn.MAXIFS(P$1:P46,O$1:O46,O47)+1,_xlfn.RANK.EQ(O47,O$2:O$111,0)),"")</f>
        <v>41</v>
      </c>
      <c r="Q47" s="1" t="str">
        <f>IF(ISNUMBER(O47)=TRUE,IF(_xlfn.RANK.EQ(O47,$O$2:$O$111)&lt;='Tournament Setup'!$B$26,_xlfn.RANK.EQ(O47,$O$2:$O$111),""),"")</f>
        <v/>
      </c>
      <c r="R47" s="143">
        <f>IF(AND($E47="M",SUM($Q47)=0,F47&lt;&gt;"Collegiate")=TRUE,$I47,"")</f>
        <v>32</v>
      </c>
      <c r="S47" s="1" t="str">
        <f>IF(ISNUMBER(R47)=TRUE,IF(_xlfn.RANK.EQ(R47,$R$2:$R$111)&lt;='Tournament Setup'!$B$27,_xlfn.RANK.EQ(R47,$R$2:$R$111),""),"")</f>
        <v/>
      </c>
      <c r="T47" s="143" t="str">
        <f>IF(AND($E47="F",SUM($Q47)=0,F47&lt;&gt;"Collegiate")=TRUE,$I47,"")</f>
        <v/>
      </c>
      <c r="U47" s="12" t="str">
        <f>IF(ISNUMBER(T47)=TRUE,IF(_xlfn.RANK.EQ(T47,$T$2:$T$111)&lt;='Tournament Setup'!$B$28,_xlfn.RANK.EQ(T47,$T$2:$T$111),""),"")</f>
        <v/>
      </c>
      <c r="V47" s="145" t="str">
        <f>IF(AND($G47='Tournament Setup'!$A$53,$J47&lt;&gt;0),$J47,"")</f>
        <v/>
      </c>
      <c r="W47" s="47" t="str">
        <f>IF(ISNUMBER(V47),IF(COUNTIFS(W$1:W46,_xlfn.RANK.EQ(V47,V$2:V$111,0))&gt;0,_xlfn.MAXIFS(W$1:W46,V$1:V46,V47)+1,_xlfn.RANK.EQ(V47,V$2:V$111,0)),"")</f>
        <v/>
      </c>
      <c r="X47" s="1" t="str">
        <f>IF(ISNUMBER(V47)=TRUE,IF(_xlfn.RANK.EQ(V47,$V$2:$V$111)&lt;='Tournament Setup'!$B$53,_xlfn.RANK.EQ(V47,$V$2:$V$111),""),"")</f>
        <v/>
      </c>
      <c r="Y47" s="145" t="str">
        <f>IF(AND($G47='Tournament Setup'!$A$49,$J47&lt;&gt;0),$J47,"")</f>
        <v/>
      </c>
      <c r="Z47" s="47" t="str">
        <f>IF(ISNUMBER(Y47),IF(COUNTIFS(Z$1:Z46,_xlfn.RANK.EQ(Y47,Y$2:Y$111,0))&gt;0,_xlfn.MAXIFS(Z$1:Z46,Y$1:Y46,Y47)+1,_xlfn.RANK.EQ(Y47,Y$2:Y$111,0)),"")</f>
        <v/>
      </c>
      <c r="AA47" s="1" t="str">
        <f>IF(ISNUMBER(Y47)=TRUE,IF(_xlfn.RANK.EQ(Y47,$Y$2:$Y$111)&lt;='Tournament Setup'!$B$49,_xlfn.RANK.EQ(Y47,$Y$2:$Y$111),""),"")</f>
        <v/>
      </c>
      <c r="AB47" s="30" t="str">
        <f>IF(AND($F47='Tournament Setup'!$A$32,SUM($Q47,$S47,$U47)=0),$I47,"")</f>
        <v/>
      </c>
      <c r="AC47" s="47" t="str">
        <f>IF(ISNUMBER(AB47),IF(COUNTIFS(AC$1:AC46,_xlfn.RANK.EQ(AB47,AB$2:AB$111,0))&gt;0,_xlfn.MAXIFS(AC$1:AC46,AB$1:AB46,AB47)+1,_xlfn.RANK.EQ(AB47,AB$2:AB$111,0)),"")</f>
        <v/>
      </c>
      <c r="AD47" s="1" t="str">
        <f>IF(ISNUMBER(AB47)=TRUE,IF(_xlfn.RANK.EQ(AB47,$AB$2:$AB$111)&lt;='Tournament Setup'!$B$32,_xlfn.RANK.EQ(AB47,$AB$2:$AB$111),""),"")</f>
        <v/>
      </c>
      <c r="AE47" s="31" t="str">
        <f>IF(AND($F47='Tournament Setup'!$A$32,SUM($Q47,$S47)=0,$E47="M",$AD47&gt;'Tournament Setup'!$B$32),$I47,"")</f>
        <v/>
      </c>
      <c r="AF47" s="1" t="str">
        <f>IF(ISNUMBER(AE47)=TRUE,IF(_xlfn.RANK.EQ(AE47,$AE$2:$AE$111)&lt;='Tournament Setup'!$C$32,_xlfn.RANK.EQ(AE47,$AE$2:$AE$111),""),"")</f>
        <v/>
      </c>
      <c r="AG47" s="31" t="str">
        <f>IF(AND($F47='Tournament Setup'!$A$32,SUM($Q47,$U47)=0,$E47="F",$AD47&gt;'Tournament Setup'!$B$32),$I47,"")</f>
        <v/>
      </c>
      <c r="AH47" s="12" t="str">
        <f>IF(ISNUMBER(AG47)=TRUE,IF(_xlfn.RANK.EQ(AG47,$AG$2:$AG$111)&lt;='Tournament Setup'!$D$32,_xlfn.RANK.EQ(AG47,$AG$2:$AG$111),""),"")</f>
        <v/>
      </c>
      <c r="AI47" s="30" t="str">
        <f>IF(AND($G47='Tournament Setup'!$A$50,$J47&lt;&gt;0),$J47,"")</f>
        <v/>
      </c>
      <c r="AJ47" s="47" t="str">
        <f>IF(ISNUMBER(AI47),IF(COUNTIFS(AJ$1:AJ46,_xlfn.RANK.EQ(AI47,AI$2:AI$111,0))&gt;0,_xlfn.MAXIFS(AJ$1:AJ46,AI$1:AI46,AI47)+1,_xlfn.RANK.EQ(AI47,AI$2:AI$111,0)),"")</f>
        <v/>
      </c>
      <c r="AK47" s="1" t="str">
        <f>IF(ISNUMBER(AI47)=TRUE,IF(_xlfn.RANK.EQ(AI47,$AI$2:$AI$111)&lt;='Tournament Setup'!$B$49,_xlfn.RANK.EQ(AI47,$AI$2:$AI$111),""),"")</f>
        <v/>
      </c>
      <c r="AL47" s="30" t="str">
        <f>IF(AND($F47='Tournament Setup'!$A$33,SUM($Q47,$S47,$U47)=0),$I47,"")</f>
        <v/>
      </c>
      <c r="AM47" s="47" t="str">
        <f>IF(ISNUMBER(AL47),IF(COUNTIFS(AM$1:AM46,_xlfn.RANK.EQ(AL47,AL$2:AL$111,0))&gt;0,_xlfn.MAXIFS(AM$1:AM46,AL$1:AL46,AL47)+1,_xlfn.RANK.EQ(AL47,AL$2:AL$111,0)),"")</f>
        <v/>
      </c>
      <c r="AN47" s="1" t="str">
        <f>IF(ISNUMBER(AL47)=TRUE,IF(_xlfn.RANK.EQ(AL47,$AL$2:$AL$111)&lt;='Tournament Setup'!$B$33,_xlfn.RANK.EQ(AL47,$AL$2:$AL$111),""),"")</f>
        <v/>
      </c>
      <c r="AO47" s="31" t="str">
        <f>IF(AND($F47='Tournament Setup'!$A$33,SUM($Q47,$S47)=0,$E47="M",$AN47&gt;'Tournament Setup'!$B$33),$I47,"")</f>
        <v/>
      </c>
      <c r="AP47" s="1" t="str">
        <f>IF(ISNUMBER(AO47)=TRUE,IF(_xlfn.RANK.EQ(AO47,$AO$2:$AO$111)&lt;='Tournament Setup'!$C$33,_xlfn.RANK.EQ(AO47,$AO$2:$AO$111),""),"")</f>
        <v/>
      </c>
      <c r="AQ47" s="31" t="str">
        <f>IF(AND($F47='Tournament Setup'!$A$33,SUM($Q47,$U47)=0,$E47="F",$AN47&gt;'Tournament Setup'!$B$33),$I47,"")</f>
        <v/>
      </c>
      <c r="AR47" s="12" t="str">
        <f>IF(ISNUMBER(AQ47)=TRUE,IF(_xlfn.RANK.EQ(AQ47,$AQ$2:$AQ$111)&lt;='Tournament Setup'!$D$33,_xlfn.RANK.EQ(AQ47,$AQ$2:$AQ$111),""),"")</f>
        <v/>
      </c>
      <c r="AS47" s="30" t="str">
        <f>IF(AND($G47='Tournament Setup'!$A$51,$J47&lt;&gt;0),$J47,"")</f>
        <v/>
      </c>
      <c r="AT47" s="47" t="str">
        <f>IF(ISNUMBER(AS47),IF(COUNTIFS(AT$1:AT46,_xlfn.RANK.EQ(AS47,AS$2:AS$111,0))&gt;0,_xlfn.MAXIFS(AT$1:AT46,AS$1:AS46,AS47)+1,_xlfn.RANK.EQ(AS47,AS$2:AS$111,0)),"")</f>
        <v/>
      </c>
      <c r="AU47" s="1" t="str">
        <f>IF(ISNUMBER(AS47)=TRUE,IF(_xlfn.RANK.EQ(AS47,$AS$2:$AS$111)&lt;='Tournament Setup'!$B$49,_xlfn.RANK.EQ(AS47,$AS$2:$AS$111),""),"")</f>
        <v/>
      </c>
      <c r="AV47" s="30" t="str">
        <f>IF(AND($F47='Tournament Setup'!$A$34,SUM($Q47,$S47,$U47)=0),$I47,"")</f>
        <v/>
      </c>
      <c r="AW47" s="47" t="str">
        <f>IF(ISNUMBER(AV47),IF(COUNTIFS(AW$1:AW46,_xlfn.RANK.EQ(AV47,AV$2:AV$111,0))&gt;0,_xlfn.MAXIFS(AW$1:AW46,AV$1:AV46,AV47)+1,_xlfn.RANK.EQ(AV47,AV$2:AV$111,0)),"")</f>
        <v/>
      </c>
      <c r="AX47" s="1" t="str">
        <f>IF(ISNUMBER(AV47)=TRUE,IF(_xlfn.RANK.EQ(AV47,$AV$2:$AV$111)&lt;='Tournament Setup'!$B$34,_xlfn.RANK.EQ(AV47,$AV$2:$AV$111),""),"")</f>
        <v/>
      </c>
      <c r="AY47" s="31" t="str">
        <f>IF(AND($F47='Tournament Setup'!$A$34,SUM($Q47,$S47)=0,$E47="M",$AX47&gt;'Tournament Setup'!$B$34),$I47,"")</f>
        <v/>
      </c>
      <c r="AZ47" s="1" t="str">
        <f>IF(ISNUMBER(AY47)=TRUE,IF(_xlfn.RANK.EQ(AY47,$AY$2:$AY$111)&lt;='Tournament Setup'!$C$34,_xlfn.RANK.EQ(AY47,$AY$2:$AY$111),""),"")</f>
        <v/>
      </c>
      <c r="BA47" s="31" t="str">
        <f>IF(AND($F47='Tournament Setup'!$A$34,SUM($Q47,$U47)=0,$E47="F",$AX47&gt;'Tournament Setup'!$B$34),$I47,"")</f>
        <v/>
      </c>
      <c r="BB47" s="12" t="str">
        <f>IF(ISNUMBER(BA47)=TRUE,IF(_xlfn.RANK.EQ(BA47,$BA$2:$BA$111)&lt;='Tournament Setup'!$D$34,_xlfn.RANK.EQ(BA47,$BA$2:$BA$111),""),"")</f>
        <v/>
      </c>
      <c r="BC47" s="30">
        <f>IF(AND($G47='Tournament Setup'!$A$52,$J47&lt;&gt;0),$J47,"")</f>
        <v>154</v>
      </c>
      <c r="BD47" s="47">
        <f>IF(ISNUMBER(BC47),IF(COUNTIFS(BD$1:BD46,_xlfn.RANK.EQ(BC47,BC$2:BC$111,0))&gt;0,_xlfn.MAXIFS(BD$1:BD46,BC$1:BC46,BC47)+1,_xlfn.RANK.EQ(BC47,BC$2:BC$111,0)),"")</f>
        <v>1</v>
      </c>
      <c r="BE47" s="1">
        <f>IF(ISNUMBER(BC47)=TRUE,IF(_xlfn.RANK.EQ(BC47,$BC$2:$BC$111)&lt;='Tournament Setup'!$B$49,_xlfn.RANK.EQ(BC47,$BC$2:$BC$111),""),"")</f>
        <v>1</v>
      </c>
      <c r="BF47" s="30">
        <f>IF(AND($F47='Tournament Setup'!$A$35,SUM($Q47,$S47,$U47)=0),$I47,"")</f>
        <v>32</v>
      </c>
      <c r="BG47" s="47">
        <f>IF(ISNUMBER(BF47),IF(COUNTIFS(BG$1:BG46,_xlfn.RANK.EQ(BF47,BF$2:BF$111,0))&gt;0,_xlfn.MAXIFS(BG$1:BG46,BF$1:BF46,BF47)+1,_xlfn.RANK.EQ(BF47,BF$2:BF$111,0)),"")</f>
        <v>9</v>
      </c>
      <c r="BH47" s="1" t="str">
        <f>IF(ISNUMBER(BF47)=TRUE,IF(_xlfn.RANK.EQ(BF47,$BF$2:$BF$111)&lt;='Tournament Setup'!$B$35,_xlfn.RANK.EQ(BF47,$BF$2:$BF$111),""),"")</f>
        <v/>
      </c>
      <c r="BI47" s="31">
        <f>IF(AND($F47='Tournament Setup'!$A$35,SUM($Q47,$S47)=0,$E47="M",$BH47&gt;'Tournament Setup'!$B$35),$I47,"")</f>
        <v>32</v>
      </c>
      <c r="BJ47" s="1" t="str">
        <f>IF(ISNUMBER(BI47)=TRUE,IF(_xlfn.RANK.EQ(BI47,$BI$2:$BI$111)&lt;='Tournament Setup'!$C$35,_xlfn.RANK.EQ(BI47,$BI$2:$BI$111),""),"")</f>
        <v/>
      </c>
      <c r="BK47" s="31" t="str">
        <f>IF(AND($F47='Tournament Setup'!$A$35,SUM($Q47,$U47)=0,$E47="F",$BH47&gt;'Tournament Setup'!$B$35),$I47,"")</f>
        <v/>
      </c>
      <c r="BL47" s="12" t="str">
        <f>IF(ISNUMBER(BK47)=TRUE,IF(_xlfn.RANK.EQ(BK47,$BK$2:$BK$111)&lt;='Tournament Setup'!$D$35,_xlfn.RANK.EQ(BK47,$BK$2:$BK$111),""),"")</f>
        <v/>
      </c>
      <c r="BM47" s="30" t="str">
        <f>IF(AND($G47='Tournament Setup'!$A$54,$J47&lt;&gt;0),$J47,"")</f>
        <v/>
      </c>
      <c r="BN47" s="47" t="str">
        <f>IF(ISNUMBER(BM47),IF(COUNTIFS(BN$1:BN46,_xlfn.RANK.EQ(BM47,BM$2:BM$111,0))&gt;0,_xlfn.MAXIFS(BN$1:BN46,BM$1:BM46,BM47)+1,_xlfn.RANK.EQ(BM47,BM$2:BM$111,0)),"")</f>
        <v/>
      </c>
      <c r="BO47" s="1" t="str">
        <f>IF(ISNUMBER(BM47)=TRUE,IF(_xlfn.RANK.EQ(BM47,$BM$2:$BM$111)&lt;='Tournament Setup'!$B$49,_xlfn.RANK.EQ(BM47,$BM$2:$BM$111),""),"")</f>
        <v/>
      </c>
      <c r="BP47" s="30" t="str">
        <f>IF(AND($F47='Tournament Setup'!$A$36,SUM($Q47,$S47,$U47)=0),$I47,"")</f>
        <v/>
      </c>
      <c r="BQ47" s="47" t="str">
        <f>IF(ISNUMBER(BP47),IF(COUNTIFS(BQ$1:BQ46,_xlfn.RANK.EQ(BP47,BP$2:BP$111,0))&gt;0,_xlfn.MAXIFS(BQ$1:BQ46,BP$1:BP46,BP47)+1,_xlfn.RANK.EQ(BP47,BP$2:BP$111,0)),"")</f>
        <v/>
      </c>
      <c r="BR47" s="1" t="str">
        <f>IF(ISNUMBER(BP47)=TRUE,IF(_xlfn.RANK.EQ(BP47,$BP$2:$BP$111)&lt;='Tournament Setup'!$B$36,_xlfn.RANK.EQ(BP47,$BP$2:$BP$111),""),"")</f>
        <v/>
      </c>
      <c r="BS47" s="31" t="str">
        <f>IF(AND($F47='Tournament Setup'!$A$36,SUM($Q47,$S47)=0,$E47="M",$BR47&gt;'Tournament Setup'!$B$36),$I47,"")</f>
        <v/>
      </c>
      <c r="BT47" s="1" t="str">
        <f>IF(ISNUMBER(BS47)=TRUE,IF(_xlfn.RANK.EQ(BS47,$BS$2:$BS$111)&lt;='Tournament Setup'!$C$36,_xlfn.RANK.EQ(BS47,$BS$2:$BS$111),""),"")</f>
        <v/>
      </c>
      <c r="BU47" s="31" t="str">
        <f>IF(AND($F47='Tournament Setup'!$A$36,SUM($Q47,$U47)=0,$E47="F",$BR47&gt;'Tournament Setup'!$B$36),$I47,"")</f>
        <v/>
      </c>
      <c r="BV47" s="12" t="str">
        <f>IF(ISNUMBER(BU47)=TRUE,IF(_xlfn.RANK.EQ(BU47,$BU$2:$BU$111)&lt;='Tournament Setup'!$D$36,_xlfn.RANK.EQ(BU47,$BU$2:$BU$111),""),"")</f>
        <v/>
      </c>
      <c r="BW47" s="30" t="str">
        <f>IF($H47='Tournament Setup'!$A$41,$I47,"")</f>
        <v/>
      </c>
      <c r="BX47" s="47" t="str">
        <f>IF(ISNUMBER(BW47),IF(COUNTIFS(BX$1:BX46,_xlfn.RANK.EQ(BW47,BW$2:BW$111,0))&gt;0,_xlfn.MAXIFS(BX$1:BX46,BW$1:BW46,BW47)+1,_xlfn.RANK.EQ(BW47,BW$2:BW$111,0)),"")</f>
        <v/>
      </c>
      <c r="BY47" s="1" t="str">
        <f>IF(ISNUMBER(BW47)=TRUE,IF(_xlfn.RANK.EQ(BW47,$BW$2:$BW$111)&lt;='Tournament Setup'!$B$41,_xlfn.RANK.EQ(BW47,$BW$2:$BW$111),""),"")</f>
        <v/>
      </c>
      <c r="BZ47" s="31" t="str">
        <f>IF(AND($H47='Tournament Setup'!$A$41,$E47="M",$BY47&gt;'Tournament Setup'!$B$41),$I47,"")</f>
        <v/>
      </c>
      <c r="CA47" s="1" t="str">
        <f>IF(ISNUMBER(BZ47)=TRUE,IF(_xlfn.RANK.EQ(BZ47,$BZ$2:$BZ$111)&lt;='Tournament Setup'!$C$41,_xlfn.RANK.EQ(BZ47,$BZ$2:$BZ$111),""),"")</f>
        <v/>
      </c>
      <c r="CB47" s="31" t="str">
        <f>IF(AND($H47='Tournament Setup'!$A$41,$E47="F",$BY47&gt;'Tournament Setup'!$B$41),$I47,"")</f>
        <v/>
      </c>
      <c r="CC47" s="12" t="str">
        <f>IF(ISNUMBER(CB47)=TRUE,IF(_xlfn.RANK.EQ(CB47,$CB$2:$CB$111)&lt;='Tournament Setup'!$D$41,_xlfn.RANK.EQ(CB47,$CB$2:$CB$111),""),"")</f>
        <v/>
      </c>
      <c r="CD47" s="30">
        <f>IF($H47='Tournament Setup'!$A$42,$I47,"")</f>
        <v>32</v>
      </c>
      <c r="CE47" s="47">
        <f>IF(ISNUMBER(CD47),IF(COUNTIFS(CE$1:CE46,_xlfn.RANK.EQ(CD47,CD$2:CD$111,0))&gt;0,_xlfn.MAXIFS(CE$1:CE46,CD$1:CD46,CD47)+1,_xlfn.RANK.EQ(CD47,CD$2:CD$111,0)),"")</f>
        <v>17</v>
      </c>
      <c r="CF47" s="1" t="str">
        <f>IF(ISNUMBER(CD47)=TRUE,IF(_xlfn.RANK.EQ(CD47,$CD$2:$CD$111)&lt;='Tournament Setup'!$B$42,_xlfn.RANK.EQ(CD47,$CD$2:$CD$111),""),"")</f>
        <v/>
      </c>
      <c r="CG47" s="31">
        <f>IF(AND($H47='Tournament Setup'!$A$42,$E47="M",$CF47&gt;'Tournament Setup'!$B$42),$I47,"")</f>
        <v>32</v>
      </c>
      <c r="CH47" s="1" t="str">
        <f>IF(ISNUMBER(CG47)=TRUE,IF(_xlfn.RANK.EQ(CG47,$CG$2:$CG$111)&lt;='Tournament Setup'!$C$42,_xlfn.RANK.EQ(CG47,$CG$2:$CG$111),""),"")</f>
        <v/>
      </c>
      <c r="CI47" s="31" t="str">
        <f>IF(AND($H47='Tournament Setup'!$A$42,$E47="F",$CF47&gt;'Tournament Setup'!$B$42),$I47,"")</f>
        <v/>
      </c>
      <c r="CJ47" s="12" t="str">
        <f>IF(ISNUMBER(CI47)=TRUE,IF(_xlfn.RANK.EQ(CI47,$CI$2:$CI$111)&lt;='Tournament Setup'!$D$42,_xlfn.RANK.EQ(CI47,$CI$2:$CI$111),""),"")</f>
        <v/>
      </c>
      <c r="CK47" s="30" t="str">
        <f>IF($H47='Tournament Setup'!$A$43,$I47,"")</f>
        <v/>
      </c>
      <c r="CL47" s="47" t="str">
        <f>IF(ISNUMBER(CK47),IF(COUNTIFS(CL$1:CL46,_xlfn.RANK.EQ(CK47,CK$2:CK$111,0))&gt;0,_xlfn.MAXIFS(CL$1:CL46,CK$1:CK46,CK47)+1,_xlfn.RANK.EQ(CK47,CK$2:CK$111,0)),"")</f>
        <v/>
      </c>
      <c r="CM47" s="1" t="str">
        <f>IF(ISNUMBER(CK47)=TRUE,IF(_xlfn.RANK.EQ(CK47,$CK$2:$CK$111)&lt;='Tournament Setup'!$B$43,_xlfn.RANK.EQ(CK47,$CK$2:$CK$111),""),"")</f>
        <v/>
      </c>
      <c r="CN47" s="31" t="str">
        <f>IF(AND($H47='Tournament Setup'!$A$43,$E47="M",$CM47&gt;'Tournament Setup'!$B$43),$I47,"")</f>
        <v/>
      </c>
      <c r="CO47" s="1" t="str">
        <f>IF(ISNUMBER(CN47)=TRUE,IF(_xlfn.RANK.EQ(CN47,$CN$2:$CN$111)&lt;='Tournament Setup'!$C$43,_xlfn.RANK.EQ(CN47,$CN$2:$CN$111),""),"")</f>
        <v/>
      </c>
      <c r="CP47" s="31" t="str">
        <f>IF(AND($H47='Tournament Setup'!$A$43,$E47="F",$CM47&gt;'Tournament Setup'!$B$43),$I47,"")</f>
        <v/>
      </c>
      <c r="CQ47" s="12" t="str">
        <f>IF(ISNUMBER(CP47)=TRUE,IF(_xlfn.RANK.EQ(CP47,$CP$2:$CP$111)&lt;='Tournament Setup'!$D$43,_xlfn.RANK.EQ(CP47,$CP$2:$CP$111),""),"")</f>
        <v/>
      </c>
      <c r="CR47" s="30" t="str">
        <f>IF($H47='Tournament Setup'!$A$44,$I47,"")</f>
        <v/>
      </c>
      <c r="CS47" s="47" t="str">
        <f>IF(ISNUMBER(CR47),IF(COUNTIFS(CS$1:CS46,_xlfn.RANK.EQ(CR47,CR$2:CR$111,0))&gt;0,_xlfn.MAXIFS(CS$1:CS46,CR$1:CR46,CR47)+1,_xlfn.RANK.EQ(CR47,CR$2:CR$111,0)),"")</f>
        <v/>
      </c>
      <c r="CT47" s="1" t="str">
        <f>IF(ISNUMBER(CR47)=TRUE,IF(_xlfn.RANK.EQ(CR47,$CR$2:$CR$111)&lt;='Tournament Setup'!$B$44,_xlfn.RANK.EQ(CR47,$CR$2:$CR$111),""),"")</f>
        <v/>
      </c>
      <c r="CU47" s="31" t="str">
        <f>IF(AND($H47='Tournament Setup'!$A$44,$E47="M",$CT47&gt;'Tournament Setup'!$B$44),$I47,"")</f>
        <v/>
      </c>
      <c r="CV47" s="1" t="str">
        <f>IF(ISNUMBER(CU47)=TRUE,IF(_xlfn.RANK.EQ(CU47,$CU$2:$CU$111)&lt;='Tournament Setup'!$C$44,_xlfn.RANK.EQ(CU47,$CU$2:$CU$111),""),"")</f>
        <v/>
      </c>
      <c r="CW47" s="31" t="str">
        <f>IF(AND($H47='Tournament Setup'!$A$44,$E47="F",$CT47&gt;'Tournament Setup'!$B$44),$I47,"")</f>
        <v/>
      </c>
      <c r="CX47" s="12" t="str">
        <f>IF(ISNUMBER(CW47)=TRUE,IF(_xlfn.RANK.EQ(CW47,$CW$2:$CW$111)&lt;='Tournament Setup'!$D$44,_xlfn.RANK.EQ(CW47,$CW$2:$CW$111),""),"")</f>
        <v/>
      </c>
    </row>
    <row r="48" spans="1:102" x14ac:dyDescent="0.3">
      <c r="A48" t="s">
        <v>203</v>
      </c>
      <c r="B48" t="str">
        <f>IFERROR(INDEX('Tournament List'!$B:$B,MATCH($A48,'Tournament List'!$A:$A,0)),"")</f>
        <v>Rick</v>
      </c>
      <c r="C48" t="str">
        <f>IFERROR(INDEX('Tournament List'!$C:$C,MATCH($A48,'Tournament List'!$A:$A,0)),"")</f>
        <v>Last Name47</v>
      </c>
      <c r="D48" t="str">
        <f t="shared" si="1"/>
        <v>Rick Last Name47</v>
      </c>
      <c r="E48" s="1" t="str">
        <f>IFERROR(INDEX('Tournament List'!F:F,MATCH($A48,'Tournament List'!$A:$A,0)),"")</f>
        <v>M</v>
      </c>
      <c r="F48" t="str">
        <f>IFERROR(INDEX('Tournament List'!M:M,MATCH($A48,'Tournament List'!$A:$A,0)),"")</f>
        <v>Novice</v>
      </c>
      <c r="G48" t="str">
        <f>IFERROR(INDEX('Shooter-Squad Assignment'!L:L,MATCH(A48,'Shooter-Squad Assignment'!A:A,0)),"")</f>
        <v>Novice</v>
      </c>
      <c r="H48" s="1" t="str">
        <f>IFERROR(INDEX('Tournament List'!AD:AD,MATCH($A48,'Tournament List'!$A:$A,0)),"")</f>
        <v>A</v>
      </c>
      <c r="I48" s="123">
        <f>IFERROR(INDEX('Tournament List'!AG:AG,MATCH($A48,'Tournament List'!$A:$A,0)),"")</f>
        <v>65</v>
      </c>
      <c r="J48" s="145" t="str">
        <f>IFERROR(INDEX('Tournament List'!Y:Y,MATCH($A48,'Tournament List'!$A:$A,0)),"")</f>
        <v/>
      </c>
      <c r="K48" s="47">
        <f>IFERROR(INDEX('Tournament List'!S:S,MATCH(A48,'Tournament List'!A:A,0)),"")</f>
        <v>10</v>
      </c>
      <c r="L48" s="47" t="str">
        <f>IF(ISNUMBER(J48),IF(COUNTIFS(L$1:L47,_xlfn.RANK.EQ(J48,J$2:J$111,0))&gt;0,_xlfn.MAXIFS(L$1:L47,J$1:J47,J48)+1,_xlfn.RANK.EQ(J48,J$2:J$111,0)),"")</f>
        <v/>
      </c>
      <c r="M48" s="11">
        <f>IF(ISNUMBER(I48)=TRUE,IF(I48&gt;0,_xlfn.RANK.EQ(I48,$I$2:$I$111,0),""),"")</f>
        <v>29</v>
      </c>
      <c r="N48" s="56">
        <f>IF(ISNUMBER(I48),IF(COUNTIFS(N$1:N47,_xlfn.RANK.EQ(I48,I$2:I$111,0))&gt;0,_xlfn.MAXIFS(N$1:N47,I$1:I47,I48)+1,_xlfn.RANK.EQ(I48,I$2:I$111,0)),"")</f>
        <v>29</v>
      </c>
      <c r="O48" s="144">
        <f>IF(F48&lt;&gt;"Collegiate"=TRUE,$I48,"")</f>
        <v>65</v>
      </c>
      <c r="P48" s="47">
        <f>IF(ISNUMBER(O48),IF(COUNTIFS(P$1:P47,_xlfn.RANK.EQ(O48,O$2:O$111,0))&gt;0,_xlfn.MAXIFS(P$1:P47,O$1:O47,O48)+1,_xlfn.RANK.EQ(O48,O$2:O$111,0)),"")</f>
        <v>27</v>
      </c>
      <c r="Q48" s="1" t="str">
        <f>IF(ISNUMBER(O48)=TRUE,IF(_xlfn.RANK.EQ(O48,$O$2:$O$111)&lt;='Tournament Setup'!$B$26,_xlfn.RANK.EQ(O48,$O$2:$O$111),""),"")</f>
        <v/>
      </c>
      <c r="R48" s="143">
        <f>IF(AND($E48="M",SUM($Q48)=0,F48&lt;&gt;"Collegiate")=TRUE,$I48,"")</f>
        <v>65</v>
      </c>
      <c r="S48" s="1" t="str">
        <f>IF(ISNUMBER(R48)=TRUE,IF(_xlfn.RANK.EQ(R48,$R$2:$R$111)&lt;='Tournament Setup'!$B$27,_xlfn.RANK.EQ(R48,$R$2:$R$111),""),"")</f>
        <v/>
      </c>
      <c r="T48" s="143" t="str">
        <f>IF(AND($E48="F",SUM($Q48)=0,F48&lt;&gt;"Collegiate")=TRUE,$I48,"")</f>
        <v/>
      </c>
      <c r="U48" s="12" t="str">
        <f>IF(ISNUMBER(T48)=TRUE,IF(_xlfn.RANK.EQ(T48,$T$2:$T$111)&lt;='Tournament Setup'!$B$28,_xlfn.RANK.EQ(T48,$T$2:$T$111),""),"")</f>
        <v/>
      </c>
      <c r="V48" s="145" t="str">
        <f>IF(AND($G48='Tournament Setup'!$A$53,$J48&lt;&gt;0),$J48,"")</f>
        <v/>
      </c>
      <c r="W48" s="47" t="str">
        <f>IF(ISNUMBER(V48),IF(COUNTIFS(W$1:W47,_xlfn.RANK.EQ(V48,V$2:V$111,0))&gt;0,_xlfn.MAXIFS(W$1:W47,V$1:V47,V48)+1,_xlfn.RANK.EQ(V48,V$2:V$111,0)),"")</f>
        <v/>
      </c>
      <c r="X48" s="1" t="str">
        <f>IF(ISNUMBER(V48)=TRUE,IF(_xlfn.RANK.EQ(V48,$V$2:$V$111)&lt;='Tournament Setup'!$B$53,_xlfn.RANK.EQ(V48,$V$2:$V$111),""),"")</f>
        <v/>
      </c>
      <c r="Y48" s="145" t="str">
        <f>IF(AND($G48='Tournament Setup'!$A$49,$J48&lt;&gt;0),$J48,"")</f>
        <v/>
      </c>
      <c r="Z48" s="47" t="str">
        <f>IF(ISNUMBER(Y48),IF(COUNTIFS(Z$1:Z47,_xlfn.RANK.EQ(Y48,Y$2:Y$111,0))&gt;0,_xlfn.MAXIFS(Z$1:Z47,Y$1:Y47,Y48)+1,_xlfn.RANK.EQ(Y48,Y$2:Y$111,0)),"")</f>
        <v/>
      </c>
      <c r="AA48" s="1" t="str">
        <f>IF(ISNUMBER(Y48)=TRUE,IF(_xlfn.RANK.EQ(Y48,$Y$2:$Y$111)&lt;='Tournament Setup'!$B$49,_xlfn.RANK.EQ(Y48,$Y$2:$Y$111),""),"")</f>
        <v/>
      </c>
      <c r="AB48" s="30">
        <f>IF(AND($F48='Tournament Setup'!$A$32,SUM($Q48,$S48,$U48)=0),$I48,"")</f>
        <v>65</v>
      </c>
      <c r="AC48" s="47">
        <f>IF(ISNUMBER(AB48),IF(COUNTIFS(AC$1:AC47,_xlfn.RANK.EQ(AB48,AB$2:AB$111,0))&gt;0,_xlfn.MAXIFS(AC$1:AC47,AB$1:AB47,AB48)+1,_xlfn.RANK.EQ(AB48,AB$2:AB$111,0)),"")</f>
        <v>6</v>
      </c>
      <c r="AD48" s="1" t="str">
        <f>IF(ISNUMBER(AB48)=TRUE,IF(_xlfn.RANK.EQ(AB48,$AB$2:$AB$111)&lt;='Tournament Setup'!$B$32,_xlfn.RANK.EQ(AB48,$AB$2:$AB$111),""),"")</f>
        <v/>
      </c>
      <c r="AE48" s="31">
        <f>IF(AND($F48='Tournament Setup'!$A$32,SUM($Q48,$S48)=0,$E48="M",$AD48&gt;'Tournament Setup'!$B$32),$I48,"")</f>
        <v>65</v>
      </c>
      <c r="AF48" s="1">
        <f>IF(ISNUMBER(AE48)=TRUE,IF(_xlfn.RANK.EQ(AE48,$AE$2:$AE$111)&lt;='Tournament Setup'!$C$32,_xlfn.RANK.EQ(AE48,$AE$2:$AE$111),""),"")</f>
        <v>3</v>
      </c>
      <c r="AG48" s="31" t="str">
        <f>IF(AND($F48='Tournament Setup'!$A$32,SUM($Q48,$U48)=0,$E48="F",$AD48&gt;'Tournament Setup'!$B$32),$I48,"")</f>
        <v/>
      </c>
      <c r="AH48" s="12" t="str">
        <f>IF(ISNUMBER(AG48)=TRUE,IF(_xlfn.RANK.EQ(AG48,$AG$2:$AG$111)&lt;='Tournament Setup'!$D$32,_xlfn.RANK.EQ(AG48,$AG$2:$AG$111),""),"")</f>
        <v/>
      </c>
      <c r="AI48" s="30" t="str">
        <f>IF(AND($G48='Tournament Setup'!$A$50,$J48&lt;&gt;0),$J48,"")</f>
        <v/>
      </c>
      <c r="AJ48" s="47" t="str">
        <f>IF(ISNUMBER(AI48),IF(COUNTIFS(AJ$1:AJ47,_xlfn.RANK.EQ(AI48,AI$2:AI$111,0))&gt;0,_xlfn.MAXIFS(AJ$1:AJ47,AI$1:AI47,AI48)+1,_xlfn.RANK.EQ(AI48,AI$2:AI$111,0)),"")</f>
        <v/>
      </c>
      <c r="AK48" s="1" t="str">
        <f>IF(ISNUMBER(AI48)=TRUE,IF(_xlfn.RANK.EQ(AI48,$AI$2:$AI$111)&lt;='Tournament Setup'!$B$49,_xlfn.RANK.EQ(AI48,$AI$2:$AI$111),""),"")</f>
        <v/>
      </c>
      <c r="AL48" s="30" t="str">
        <f>IF(AND($F48='Tournament Setup'!$A$33,SUM($Q48,$S48,$U48)=0),$I48,"")</f>
        <v/>
      </c>
      <c r="AM48" s="47" t="str">
        <f>IF(ISNUMBER(AL48),IF(COUNTIFS(AM$1:AM47,_xlfn.RANK.EQ(AL48,AL$2:AL$111,0))&gt;0,_xlfn.MAXIFS(AM$1:AM47,AL$1:AL47,AL48)+1,_xlfn.RANK.EQ(AL48,AL$2:AL$111,0)),"")</f>
        <v/>
      </c>
      <c r="AN48" s="1" t="str">
        <f>IF(ISNUMBER(AL48)=TRUE,IF(_xlfn.RANK.EQ(AL48,$AL$2:$AL$111)&lt;='Tournament Setup'!$B$33,_xlfn.RANK.EQ(AL48,$AL$2:$AL$111),""),"")</f>
        <v/>
      </c>
      <c r="AO48" s="31" t="str">
        <f>IF(AND($F48='Tournament Setup'!$A$33,SUM($Q48,$S48)=0,$E48="M",$AN48&gt;'Tournament Setup'!$B$33),$I48,"")</f>
        <v/>
      </c>
      <c r="AP48" s="1" t="str">
        <f>IF(ISNUMBER(AO48)=TRUE,IF(_xlfn.RANK.EQ(AO48,$AO$2:$AO$111)&lt;='Tournament Setup'!$C$33,_xlfn.RANK.EQ(AO48,$AO$2:$AO$111),""),"")</f>
        <v/>
      </c>
      <c r="AQ48" s="31" t="str">
        <f>IF(AND($F48='Tournament Setup'!$A$33,SUM($Q48,$U48)=0,$E48="F",$AN48&gt;'Tournament Setup'!$B$33),$I48,"")</f>
        <v/>
      </c>
      <c r="AR48" s="12" t="str">
        <f>IF(ISNUMBER(AQ48)=TRUE,IF(_xlfn.RANK.EQ(AQ48,$AQ$2:$AQ$111)&lt;='Tournament Setup'!$D$33,_xlfn.RANK.EQ(AQ48,$AQ$2:$AQ$111),""),"")</f>
        <v/>
      </c>
      <c r="AS48" s="30" t="str">
        <f>IF(AND($G48='Tournament Setup'!$A$51,$J48&lt;&gt;0),$J48,"")</f>
        <v/>
      </c>
      <c r="AT48" s="47" t="str">
        <f>IF(ISNUMBER(AS48),IF(COUNTIFS(AT$1:AT47,_xlfn.RANK.EQ(AS48,AS$2:AS$111,0))&gt;0,_xlfn.MAXIFS(AT$1:AT47,AS$1:AS47,AS48)+1,_xlfn.RANK.EQ(AS48,AS$2:AS$111,0)),"")</f>
        <v/>
      </c>
      <c r="AU48" s="1" t="str">
        <f>IF(ISNUMBER(AS48)=TRUE,IF(_xlfn.RANK.EQ(AS48,$AS$2:$AS$111)&lt;='Tournament Setup'!$B$49,_xlfn.RANK.EQ(AS48,$AS$2:$AS$111),""),"")</f>
        <v/>
      </c>
      <c r="AV48" s="30" t="str">
        <f>IF(AND($F48='Tournament Setup'!$A$34,SUM($Q48,$S48,$U48)=0),$I48,"")</f>
        <v/>
      </c>
      <c r="AW48" s="47" t="str">
        <f>IF(ISNUMBER(AV48),IF(COUNTIFS(AW$1:AW47,_xlfn.RANK.EQ(AV48,AV$2:AV$111,0))&gt;0,_xlfn.MAXIFS(AW$1:AW47,AV$1:AV47,AV48)+1,_xlfn.RANK.EQ(AV48,AV$2:AV$111,0)),"")</f>
        <v/>
      </c>
      <c r="AX48" s="1" t="str">
        <f>IF(ISNUMBER(AV48)=TRUE,IF(_xlfn.RANK.EQ(AV48,$AV$2:$AV$111)&lt;='Tournament Setup'!$B$34,_xlfn.RANK.EQ(AV48,$AV$2:$AV$111),""),"")</f>
        <v/>
      </c>
      <c r="AY48" s="31" t="str">
        <f>IF(AND($F48='Tournament Setup'!$A$34,SUM($Q48,$S48)=0,$E48="M",$AX48&gt;'Tournament Setup'!$B$34),$I48,"")</f>
        <v/>
      </c>
      <c r="AZ48" s="1" t="str">
        <f>IF(ISNUMBER(AY48)=TRUE,IF(_xlfn.RANK.EQ(AY48,$AY$2:$AY$111)&lt;='Tournament Setup'!$C$34,_xlfn.RANK.EQ(AY48,$AY$2:$AY$111),""),"")</f>
        <v/>
      </c>
      <c r="BA48" s="31" t="str">
        <f>IF(AND($F48='Tournament Setup'!$A$34,SUM($Q48,$U48)=0,$E48="F",$AX48&gt;'Tournament Setup'!$B$34),$I48,"")</f>
        <v/>
      </c>
      <c r="BB48" s="12" t="str">
        <f>IF(ISNUMBER(BA48)=TRUE,IF(_xlfn.RANK.EQ(BA48,$BA$2:$BA$111)&lt;='Tournament Setup'!$D$34,_xlfn.RANK.EQ(BA48,$BA$2:$BA$111),""),"")</f>
        <v/>
      </c>
      <c r="BC48" s="30" t="str">
        <f>IF(AND($G48='Tournament Setup'!$A$52,$J48&lt;&gt;0),$J48,"")</f>
        <v/>
      </c>
      <c r="BD48" s="47" t="str">
        <f>IF(ISNUMBER(BC48),IF(COUNTIFS(BD$1:BD47,_xlfn.RANK.EQ(BC48,BC$2:BC$111,0))&gt;0,_xlfn.MAXIFS(BD$1:BD47,BC$1:BC47,BC48)+1,_xlfn.RANK.EQ(BC48,BC$2:BC$111,0)),"")</f>
        <v/>
      </c>
      <c r="BE48" s="1" t="str">
        <f>IF(ISNUMBER(BC48)=TRUE,IF(_xlfn.RANK.EQ(BC48,$BC$2:$BC$111)&lt;='Tournament Setup'!$B$49,_xlfn.RANK.EQ(BC48,$BC$2:$BC$111),""),"")</f>
        <v/>
      </c>
      <c r="BF48" s="30" t="str">
        <f>IF(AND($F48='Tournament Setup'!$A$35,SUM($Q48,$S48,$U48)=0),$I48,"")</f>
        <v/>
      </c>
      <c r="BG48" s="47" t="str">
        <f>IF(ISNUMBER(BF48),IF(COUNTIFS(BG$1:BG47,_xlfn.RANK.EQ(BF48,BF$2:BF$111,0))&gt;0,_xlfn.MAXIFS(BG$1:BG47,BF$1:BF47,BF48)+1,_xlfn.RANK.EQ(BF48,BF$2:BF$111,0)),"")</f>
        <v/>
      </c>
      <c r="BH48" s="1" t="str">
        <f>IF(ISNUMBER(BF48)=TRUE,IF(_xlfn.RANK.EQ(BF48,$BF$2:$BF$111)&lt;='Tournament Setup'!$B$35,_xlfn.RANK.EQ(BF48,$BF$2:$BF$111),""),"")</f>
        <v/>
      </c>
      <c r="BI48" s="31" t="str">
        <f>IF(AND($F48='Tournament Setup'!$A$35,SUM($Q48,$S48)=0,$E48="M",$BH48&gt;'Tournament Setup'!$B$35),$I48,"")</f>
        <v/>
      </c>
      <c r="BJ48" s="1" t="str">
        <f>IF(ISNUMBER(BI48)=TRUE,IF(_xlfn.RANK.EQ(BI48,$BI$2:$BI$111)&lt;='Tournament Setup'!$C$35,_xlfn.RANK.EQ(BI48,$BI$2:$BI$111),""),"")</f>
        <v/>
      </c>
      <c r="BK48" s="31" t="str">
        <f>IF(AND($F48='Tournament Setup'!$A$35,SUM($Q48,$U48)=0,$E48="F",$BH48&gt;'Tournament Setup'!$B$35),$I48,"")</f>
        <v/>
      </c>
      <c r="BL48" s="12" t="str">
        <f>IF(ISNUMBER(BK48)=TRUE,IF(_xlfn.RANK.EQ(BK48,$BK$2:$BK$111)&lt;='Tournament Setup'!$D$35,_xlfn.RANK.EQ(BK48,$BK$2:$BK$111),""),"")</f>
        <v/>
      </c>
      <c r="BM48" s="30" t="str">
        <f>IF(AND($G48='Tournament Setup'!$A$54,$J48&lt;&gt;0),$J48,"")</f>
        <v/>
      </c>
      <c r="BN48" s="47" t="str">
        <f>IF(ISNUMBER(BM48),IF(COUNTIFS(BN$1:BN47,_xlfn.RANK.EQ(BM48,BM$2:BM$111,0))&gt;0,_xlfn.MAXIFS(BN$1:BN47,BM$1:BM47,BM48)+1,_xlfn.RANK.EQ(BM48,BM$2:BM$111,0)),"")</f>
        <v/>
      </c>
      <c r="BO48" s="1" t="str">
        <f>IF(ISNUMBER(BM48)=TRUE,IF(_xlfn.RANK.EQ(BM48,$BM$2:$BM$111)&lt;='Tournament Setup'!$B$49,_xlfn.RANK.EQ(BM48,$BM$2:$BM$111),""),"")</f>
        <v/>
      </c>
      <c r="BP48" s="30" t="str">
        <f>IF(AND($F48='Tournament Setup'!$A$36,SUM($Q48,$S48,$U48)=0),$I48,"")</f>
        <v/>
      </c>
      <c r="BQ48" s="47" t="str">
        <f>IF(ISNUMBER(BP48),IF(COUNTIFS(BQ$1:BQ47,_xlfn.RANK.EQ(BP48,BP$2:BP$111,0))&gt;0,_xlfn.MAXIFS(BQ$1:BQ47,BP$1:BP47,BP48)+1,_xlfn.RANK.EQ(BP48,BP$2:BP$111,0)),"")</f>
        <v/>
      </c>
      <c r="BR48" s="1" t="str">
        <f>IF(ISNUMBER(BP48)=TRUE,IF(_xlfn.RANK.EQ(BP48,$BP$2:$BP$111)&lt;='Tournament Setup'!$B$36,_xlfn.RANK.EQ(BP48,$BP$2:$BP$111),""),"")</f>
        <v/>
      </c>
      <c r="BS48" s="31" t="str">
        <f>IF(AND($F48='Tournament Setup'!$A$36,SUM($Q48,$S48)=0,$E48="M",$BR48&gt;'Tournament Setup'!$B$36),$I48,"")</f>
        <v/>
      </c>
      <c r="BT48" s="1" t="str">
        <f>IF(ISNUMBER(BS48)=TRUE,IF(_xlfn.RANK.EQ(BS48,$BS$2:$BS$111)&lt;='Tournament Setup'!$C$36,_xlfn.RANK.EQ(BS48,$BS$2:$BS$111),""),"")</f>
        <v/>
      </c>
      <c r="BU48" s="31" t="str">
        <f>IF(AND($F48='Tournament Setup'!$A$36,SUM($Q48,$U48)=0,$E48="F",$BR48&gt;'Tournament Setup'!$B$36),$I48,"")</f>
        <v/>
      </c>
      <c r="BV48" s="12" t="str">
        <f>IF(ISNUMBER(BU48)=TRUE,IF(_xlfn.RANK.EQ(BU48,$BU$2:$BU$111)&lt;='Tournament Setup'!$D$36,_xlfn.RANK.EQ(BU48,$BU$2:$BU$111),""),"")</f>
        <v/>
      </c>
      <c r="BW48" s="30">
        <f>IF($H48='Tournament Setup'!$A$41,$I48,"")</f>
        <v>65</v>
      </c>
      <c r="BX48" s="47">
        <f>IF(ISNUMBER(BW48),IF(COUNTIFS(BX$1:BX47,_xlfn.RANK.EQ(BW48,BW$2:BW$111,0))&gt;0,_xlfn.MAXIFS(BX$1:BX47,BW$1:BW47,BW48)+1,_xlfn.RANK.EQ(BW48,BW$2:BW$111,0)),"")</f>
        <v>7</v>
      </c>
      <c r="BY48" s="1" t="str">
        <f>IF(ISNUMBER(BW48)=TRUE,IF(_xlfn.RANK.EQ(BW48,$BW$2:$BW$111)&lt;='Tournament Setup'!$B$41,_xlfn.RANK.EQ(BW48,$BW$2:$BW$111),""),"")</f>
        <v/>
      </c>
      <c r="BZ48" s="31">
        <f>IF(AND($H48='Tournament Setup'!$A$41,$E48="M",$BY48&gt;'Tournament Setup'!$B$41),$I48,"")</f>
        <v>65</v>
      </c>
      <c r="CA48" s="1" t="str">
        <f>IF(ISNUMBER(BZ48)=TRUE,IF(_xlfn.RANK.EQ(BZ48,$BZ$2:$BZ$111)&lt;='Tournament Setup'!$C$41,_xlfn.RANK.EQ(BZ48,$BZ$2:$BZ$111),""),"")</f>
        <v/>
      </c>
      <c r="CB48" s="31" t="str">
        <f>IF(AND($H48='Tournament Setup'!$A$41,$E48="F",$BY48&gt;'Tournament Setup'!$B$41),$I48,"")</f>
        <v/>
      </c>
      <c r="CC48" s="12" t="str">
        <f>IF(ISNUMBER(CB48)=TRUE,IF(_xlfn.RANK.EQ(CB48,$CB$2:$CB$111)&lt;='Tournament Setup'!$D$41,_xlfn.RANK.EQ(CB48,$CB$2:$CB$111),""),"")</f>
        <v/>
      </c>
      <c r="CD48" s="30" t="str">
        <f>IF($H48='Tournament Setup'!$A$42,$I48,"")</f>
        <v/>
      </c>
      <c r="CE48" s="47" t="str">
        <f>IF(ISNUMBER(CD48),IF(COUNTIFS(CE$1:CE47,_xlfn.RANK.EQ(CD48,CD$2:CD$111,0))&gt;0,_xlfn.MAXIFS(CE$1:CE47,CD$1:CD47,CD48)+1,_xlfn.RANK.EQ(CD48,CD$2:CD$111,0)),"")</f>
        <v/>
      </c>
      <c r="CF48" s="1" t="str">
        <f>IF(ISNUMBER(CD48)=TRUE,IF(_xlfn.RANK.EQ(CD48,$CD$2:$CD$111)&lt;='Tournament Setup'!$B$42,_xlfn.RANK.EQ(CD48,$CD$2:$CD$111),""),"")</f>
        <v/>
      </c>
      <c r="CG48" s="31" t="str">
        <f>IF(AND($H48='Tournament Setup'!$A$42,$E48="M",$CF48&gt;'Tournament Setup'!$B$42),$I48,"")</f>
        <v/>
      </c>
      <c r="CH48" s="1" t="str">
        <f>IF(ISNUMBER(CG48)=TRUE,IF(_xlfn.RANK.EQ(CG48,$CG$2:$CG$111)&lt;='Tournament Setup'!$C$42,_xlfn.RANK.EQ(CG48,$CG$2:$CG$111),""),"")</f>
        <v/>
      </c>
      <c r="CI48" s="31" t="str">
        <f>IF(AND($H48='Tournament Setup'!$A$42,$E48="F",$CF48&gt;'Tournament Setup'!$B$42),$I48,"")</f>
        <v/>
      </c>
      <c r="CJ48" s="12" t="str">
        <f>IF(ISNUMBER(CI48)=TRUE,IF(_xlfn.RANK.EQ(CI48,$CI$2:$CI$111)&lt;='Tournament Setup'!$D$42,_xlfn.RANK.EQ(CI48,$CI$2:$CI$111),""),"")</f>
        <v/>
      </c>
      <c r="CK48" s="30" t="str">
        <f>IF($H48='Tournament Setup'!$A$43,$I48,"")</f>
        <v/>
      </c>
      <c r="CL48" s="47" t="str">
        <f>IF(ISNUMBER(CK48),IF(COUNTIFS(CL$1:CL47,_xlfn.RANK.EQ(CK48,CK$2:CK$111,0))&gt;0,_xlfn.MAXIFS(CL$1:CL47,CK$1:CK47,CK48)+1,_xlfn.RANK.EQ(CK48,CK$2:CK$111,0)),"")</f>
        <v/>
      </c>
      <c r="CM48" s="1" t="str">
        <f>IF(ISNUMBER(CK48)=TRUE,IF(_xlfn.RANK.EQ(CK48,$CK$2:$CK$111)&lt;='Tournament Setup'!$B$43,_xlfn.RANK.EQ(CK48,$CK$2:$CK$111),""),"")</f>
        <v/>
      </c>
      <c r="CN48" s="31" t="str">
        <f>IF(AND($H48='Tournament Setup'!$A$43,$E48="M",$CM48&gt;'Tournament Setup'!$B$43),$I48,"")</f>
        <v/>
      </c>
      <c r="CO48" s="1" t="str">
        <f>IF(ISNUMBER(CN48)=TRUE,IF(_xlfn.RANK.EQ(CN48,$CN$2:$CN$111)&lt;='Tournament Setup'!$C$43,_xlfn.RANK.EQ(CN48,$CN$2:$CN$111),""),"")</f>
        <v/>
      </c>
      <c r="CP48" s="31" t="str">
        <f>IF(AND($H48='Tournament Setup'!$A$43,$E48="F",$CM48&gt;'Tournament Setup'!$B$43),$I48,"")</f>
        <v/>
      </c>
      <c r="CQ48" s="12" t="str">
        <f>IF(ISNUMBER(CP48)=TRUE,IF(_xlfn.RANK.EQ(CP48,$CP$2:$CP$111)&lt;='Tournament Setup'!$D$43,_xlfn.RANK.EQ(CP48,$CP$2:$CP$111),""),"")</f>
        <v/>
      </c>
      <c r="CR48" s="30" t="str">
        <f>IF($H48='Tournament Setup'!$A$44,$I48,"")</f>
        <v/>
      </c>
      <c r="CS48" s="47" t="str">
        <f>IF(ISNUMBER(CR48),IF(COUNTIFS(CS$1:CS47,_xlfn.RANK.EQ(CR48,CR$2:CR$111,0))&gt;0,_xlfn.MAXIFS(CS$1:CS47,CR$1:CR47,CR48)+1,_xlfn.RANK.EQ(CR48,CR$2:CR$111,0)),"")</f>
        <v/>
      </c>
      <c r="CT48" s="1" t="str">
        <f>IF(ISNUMBER(CR48)=TRUE,IF(_xlfn.RANK.EQ(CR48,$CR$2:$CR$111)&lt;='Tournament Setup'!$B$44,_xlfn.RANK.EQ(CR48,$CR$2:$CR$111),""),"")</f>
        <v/>
      </c>
      <c r="CU48" s="31" t="str">
        <f>IF(AND($H48='Tournament Setup'!$A$44,$E48="M",$CT48&gt;'Tournament Setup'!$B$44),$I48,"")</f>
        <v/>
      </c>
      <c r="CV48" s="1" t="str">
        <f>IF(ISNUMBER(CU48)=TRUE,IF(_xlfn.RANK.EQ(CU48,$CU$2:$CU$111)&lt;='Tournament Setup'!$C$44,_xlfn.RANK.EQ(CU48,$CU$2:$CU$111),""),"")</f>
        <v/>
      </c>
      <c r="CW48" s="31" t="str">
        <f>IF(AND($H48='Tournament Setup'!$A$44,$E48="F",$CT48&gt;'Tournament Setup'!$B$44),$I48,"")</f>
        <v/>
      </c>
      <c r="CX48" s="12" t="str">
        <f>IF(ISNUMBER(CW48)=TRUE,IF(_xlfn.RANK.EQ(CW48,$CW$2:$CW$111)&lt;='Tournament Setup'!$D$44,_xlfn.RANK.EQ(CW48,$CW$2:$CW$111),""),"")</f>
        <v/>
      </c>
    </row>
    <row r="49" spans="1:102" x14ac:dyDescent="0.3">
      <c r="A49" t="s">
        <v>250</v>
      </c>
      <c r="B49" t="str">
        <f>IFERROR(INDEX('Tournament List'!$B:$B,MATCH($A49,'Tournament List'!$A:$A,0)),"")</f>
        <v>Jackson</v>
      </c>
      <c r="C49" t="str">
        <f>IFERROR(INDEX('Tournament List'!$C:$C,MATCH($A49,'Tournament List'!$A:$A,0)),"")</f>
        <v>Last Name48</v>
      </c>
      <c r="D49" t="str">
        <f t="shared" si="1"/>
        <v>Jackson Last Name48</v>
      </c>
      <c r="E49" s="1" t="str">
        <f>IFERROR(INDEX('Tournament List'!F:F,MATCH($A49,'Tournament List'!$A:$A,0)),"")</f>
        <v>M</v>
      </c>
      <c r="F49" t="str">
        <f>IFERROR(INDEX('Tournament List'!M:M,MATCH($A49,'Tournament List'!$A:$A,0)),"")</f>
        <v>Novice</v>
      </c>
      <c r="G49" t="str">
        <f>IFERROR(INDEX('Shooter-Squad Assignment'!L:L,MATCH(A49,'Shooter-Squad Assignment'!A:A,0)),"")</f>
        <v/>
      </c>
      <c r="H49" s="1" t="str">
        <f>IFERROR(INDEX('Tournament List'!AD:AD,MATCH($A49,'Tournament List'!$A:$A,0)),"")</f>
        <v>D</v>
      </c>
      <c r="I49" s="123">
        <f>IFERROR(INDEX('Tournament List'!AG:AG,MATCH($A49,'Tournament List'!$A:$A,0)),"")</f>
        <v>51.2</v>
      </c>
      <c r="J49" s="145" t="str">
        <f>IFERROR(INDEX('Tournament List'!Y:Y,MATCH($A49,'Tournament List'!$A:$A,0)),"")</f>
        <v/>
      </c>
      <c r="K49" s="47" t="str">
        <f>IFERROR(INDEX('Tournament List'!S:S,MATCH(A49,'Tournament List'!A:A,0)),"")</f>
        <v/>
      </c>
      <c r="L49" s="47" t="str">
        <f>IF(ISNUMBER(J49),IF(COUNTIFS(L$1:L48,_xlfn.RANK.EQ(J49,J$2:J$111,0))&gt;0,_xlfn.MAXIFS(L$1:L48,J$1:J48,J49)+1,_xlfn.RANK.EQ(J49,J$2:J$111,0)),"")</f>
        <v/>
      </c>
      <c r="M49" s="11">
        <f>IF(ISNUMBER(I49)=TRUE,IF(I49&gt;0,_xlfn.RANK.EQ(I49,$I$2:$I$111,0),""),"")</f>
        <v>39</v>
      </c>
      <c r="N49" s="56">
        <f>IF(ISNUMBER(I49),IF(COUNTIFS(N$1:N48,_xlfn.RANK.EQ(I49,I$2:I$111,0))&gt;0,_xlfn.MAXIFS(N$1:N48,I$1:I48,I49)+1,_xlfn.RANK.EQ(I49,I$2:I$111,0)),"")</f>
        <v>39</v>
      </c>
      <c r="O49" s="144">
        <f>IF(F49&lt;&gt;"Collegiate"=TRUE,$I49,"")</f>
        <v>51.2</v>
      </c>
      <c r="P49" s="47">
        <f>IF(ISNUMBER(O49),IF(COUNTIFS(P$1:P48,_xlfn.RANK.EQ(O49,O$2:O$111,0))&gt;0,_xlfn.MAXIFS(P$1:P48,O$1:O48,O49)+1,_xlfn.RANK.EQ(O49,O$2:O$111,0)),"")</f>
        <v>37</v>
      </c>
      <c r="Q49" s="1" t="str">
        <f>IF(ISNUMBER(O49)=TRUE,IF(_xlfn.RANK.EQ(O49,$O$2:$O$111)&lt;='Tournament Setup'!$B$26,_xlfn.RANK.EQ(O49,$O$2:$O$111),""),"")</f>
        <v/>
      </c>
      <c r="R49" s="143">
        <f>IF(AND($E49="M",SUM($Q49)=0,F49&lt;&gt;"Collegiate")=TRUE,$I49,"")</f>
        <v>51.2</v>
      </c>
      <c r="S49" s="1" t="str">
        <f>IF(ISNUMBER(R49)=TRUE,IF(_xlfn.RANK.EQ(R49,$R$2:$R$111)&lt;='Tournament Setup'!$B$27,_xlfn.RANK.EQ(R49,$R$2:$R$111),""),"")</f>
        <v/>
      </c>
      <c r="T49" s="143" t="str">
        <f>IF(AND($E49="F",SUM($Q49)=0,F49&lt;&gt;"Collegiate")=TRUE,$I49,"")</f>
        <v/>
      </c>
      <c r="U49" s="12" t="str">
        <f>IF(ISNUMBER(T49)=TRUE,IF(_xlfn.RANK.EQ(T49,$T$2:$T$111)&lt;='Tournament Setup'!$B$28,_xlfn.RANK.EQ(T49,$T$2:$T$111),""),"")</f>
        <v/>
      </c>
      <c r="V49" s="145" t="str">
        <f>IF(AND($G49='Tournament Setup'!$A$53,$J49&lt;&gt;0),$J49,"")</f>
        <v/>
      </c>
      <c r="W49" s="47" t="str">
        <f>IF(ISNUMBER(V49),IF(COUNTIFS(W$1:W48,_xlfn.RANK.EQ(V49,V$2:V$111,0))&gt;0,_xlfn.MAXIFS(W$1:W48,V$1:V48,V49)+1,_xlfn.RANK.EQ(V49,V$2:V$111,0)),"")</f>
        <v/>
      </c>
      <c r="X49" s="1" t="str">
        <f>IF(ISNUMBER(V49)=TRUE,IF(_xlfn.RANK.EQ(V49,$V$2:$V$111)&lt;='Tournament Setup'!$B$53,_xlfn.RANK.EQ(V49,$V$2:$V$111),""),"")</f>
        <v/>
      </c>
      <c r="Y49" s="145" t="str">
        <f>IF(AND($G49='Tournament Setup'!$A$49,$J49&lt;&gt;0),$J49,"")</f>
        <v/>
      </c>
      <c r="Z49" s="47" t="str">
        <f>IF(ISNUMBER(Y49),IF(COUNTIFS(Z$1:Z48,_xlfn.RANK.EQ(Y49,Y$2:Y$111,0))&gt;0,_xlfn.MAXIFS(Z$1:Z48,Y$1:Y48,Y49)+1,_xlfn.RANK.EQ(Y49,Y$2:Y$111,0)),"")</f>
        <v/>
      </c>
      <c r="AA49" s="1" t="str">
        <f>IF(ISNUMBER(Y49)=TRUE,IF(_xlfn.RANK.EQ(Y49,$Y$2:$Y$111)&lt;='Tournament Setup'!$B$49,_xlfn.RANK.EQ(Y49,$Y$2:$Y$111),""),"")</f>
        <v/>
      </c>
      <c r="AB49" s="30">
        <f>IF(AND($F49='Tournament Setup'!$A$32,SUM($Q49,$S49,$U49)=0),$I49,"")</f>
        <v>51.2</v>
      </c>
      <c r="AC49" s="47">
        <f>IF(ISNUMBER(AB49),IF(COUNTIFS(AC$1:AC48,_xlfn.RANK.EQ(AB49,AB$2:AB$111,0))&gt;0,_xlfn.MAXIFS(AC$1:AC48,AB$1:AB48,AB49)+1,_xlfn.RANK.EQ(AB49,AB$2:AB$111,0)),"")</f>
        <v>11</v>
      </c>
      <c r="AD49" s="1" t="str">
        <f>IF(ISNUMBER(AB49)=TRUE,IF(_xlfn.RANK.EQ(AB49,$AB$2:$AB$111)&lt;='Tournament Setup'!$B$32,_xlfn.RANK.EQ(AB49,$AB$2:$AB$111),""),"")</f>
        <v/>
      </c>
      <c r="AE49" s="31">
        <f>IF(AND($F49='Tournament Setup'!$A$32,SUM($Q49,$S49)=0,$E49="M",$AD49&gt;'Tournament Setup'!$B$32),$I49,"")</f>
        <v>51.2</v>
      </c>
      <c r="AF49" s="1" t="str">
        <f>IF(ISNUMBER(AE49)=TRUE,IF(_xlfn.RANK.EQ(AE49,$AE$2:$AE$111)&lt;='Tournament Setup'!$C$32,_xlfn.RANK.EQ(AE49,$AE$2:$AE$111),""),"")</f>
        <v/>
      </c>
      <c r="AG49" s="31" t="str">
        <f>IF(AND($F49='Tournament Setup'!$A$32,SUM($Q49,$U49)=0,$E49="F",$AD49&gt;'Tournament Setup'!$B$32),$I49,"")</f>
        <v/>
      </c>
      <c r="AH49" s="12" t="str">
        <f>IF(ISNUMBER(AG49)=TRUE,IF(_xlfn.RANK.EQ(AG49,$AG$2:$AG$111)&lt;='Tournament Setup'!$D$32,_xlfn.RANK.EQ(AG49,$AG$2:$AG$111),""),"")</f>
        <v/>
      </c>
      <c r="AI49" s="30" t="str">
        <f>IF(AND($G49='Tournament Setup'!$A$50,$J49&lt;&gt;0),$J49,"")</f>
        <v/>
      </c>
      <c r="AJ49" s="47" t="str">
        <f>IF(ISNUMBER(AI49),IF(COUNTIFS(AJ$1:AJ48,_xlfn.RANK.EQ(AI49,AI$2:AI$111,0))&gt;0,_xlfn.MAXIFS(AJ$1:AJ48,AI$1:AI48,AI49)+1,_xlfn.RANK.EQ(AI49,AI$2:AI$111,0)),"")</f>
        <v/>
      </c>
      <c r="AK49" s="1" t="str">
        <f>IF(ISNUMBER(AI49)=TRUE,IF(_xlfn.RANK.EQ(AI49,$AI$2:$AI$111)&lt;='Tournament Setup'!$B$49,_xlfn.RANK.EQ(AI49,$AI$2:$AI$111),""),"")</f>
        <v/>
      </c>
      <c r="AL49" s="30" t="str">
        <f>IF(AND($F49='Tournament Setup'!$A$33,SUM($Q49,$S49,$U49)=0),$I49,"")</f>
        <v/>
      </c>
      <c r="AM49" s="47" t="str">
        <f>IF(ISNUMBER(AL49),IF(COUNTIFS(AM$1:AM48,_xlfn.RANK.EQ(AL49,AL$2:AL$111,0))&gt;0,_xlfn.MAXIFS(AM$1:AM48,AL$1:AL48,AL49)+1,_xlfn.RANK.EQ(AL49,AL$2:AL$111,0)),"")</f>
        <v/>
      </c>
      <c r="AN49" s="1" t="str">
        <f>IF(ISNUMBER(AL49)=TRUE,IF(_xlfn.RANK.EQ(AL49,$AL$2:$AL$111)&lt;='Tournament Setup'!$B$33,_xlfn.RANK.EQ(AL49,$AL$2:$AL$111),""),"")</f>
        <v/>
      </c>
      <c r="AO49" s="31" t="str">
        <f>IF(AND($F49='Tournament Setup'!$A$33,SUM($Q49,$S49)=0,$E49="M",$AN49&gt;'Tournament Setup'!$B$33),$I49,"")</f>
        <v/>
      </c>
      <c r="AP49" s="1" t="str">
        <f>IF(ISNUMBER(AO49)=TRUE,IF(_xlfn.RANK.EQ(AO49,$AO$2:$AO$111)&lt;='Tournament Setup'!$C$33,_xlfn.RANK.EQ(AO49,$AO$2:$AO$111),""),"")</f>
        <v/>
      </c>
      <c r="AQ49" s="31" t="str">
        <f>IF(AND($F49='Tournament Setup'!$A$33,SUM($Q49,$U49)=0,$E49="F",$AN49&gt;'Tournament Setup'!$B$33),$I49,"")</f>
        <v/>
      </c>
      <c r="AR49" s="12" t="str">
        <f>IF(ISNUMBER(AQ49)=TRUE,IF(_xlfn.RANK.EQ(AQ49,$AQ$2:$AQ$111)&lt;='Tournament Setup'!$D$33,_xlfn.RANK.EQ(AQ49,$AQ$2:$AQ$111),""),"")</f>
        <v/>
      </c>
      <c r="AS49" s="30" t="str">
        <f>IF(AND($G49='Tournament Setup'!$A$51,$J49&lt;&gt;0),$J49,"")</f>
        <v/>
      </c>
      <c r="AT49" s="47" t="str">
        <f>IF(ISNUMBER(AS49),IF(COUNTIFS(AT$1:AT48,_xlfn.RANK.EQ(AS49,AS$2:AS$111,0))&gt;0,_xlfn.MAXIFS(AT$1:AT48,AS$1:AS48,AS49)+1,_xlfn.RANK.EQ(AS49,AS$2:AS$111,0)),"")</f>
        <v/>
      </c>
      <c r="AU49" s="1" t="str">
        <f>IF(ISNUMBER(AS49)=TRUE,IF(_xlfn.RANK.EQ(AS49,$AS$2:$AS$111)&lt;='Tournament Setup'!$B$49,_xlfn.RANK.EQ(AS49,$AS$2:$AS$111),""),"")</f>
        <v/>
      </c>
      <c r="AV49" s="30" t="str">
        <f>IF(AND($F49='Tournament Setup'!$A$34,SUM($Q49,$S49,$U49)=0),$I49,"")</f>
        <v/>
      </c>
      <c r="AW49" s="47" t="str">
        <f>IF(ISNUMBER(AV49),IF(COUNTIFS(AW$1:AW48,_xlfn.RANK.EQ(AV49,AV$2:AV$111,0))&gt;0,_xlfn.MAXIFS(AW$1:AW48,AV$1:AV48,AV49)+1,_xlfn.RANK.EQ(AV49,AV$2:AV$111,0)),"")</f>
        <v/>
      </c>
      <c r="AX49" s="1" t="str">
        <f>IF(ISNUMBER(AV49)=TRUE,IF(_xlfn.RANK.EQ(AV49,$AV$2:$AV$111)&lt;='Tournament Setup'!$B$34,_xlfn.RANK.EQ(AV49,$AV$2:$AV$111),""),"")</f>
        <v/>
      </c>
      <c r="AY49" s="31" t="str">
        <f>IF(AND($F49='Tournament Setup'!$A$34,SUM($Q49,$S49)=0,$E49="M",$AX49&gt;'Tournament Setup'!$B$34),$I49,"")</f>
        <v/>
      </c>
      <c r="AZ49" s="1" t="str">
        <f>IF(ISNUMBER(AY49)=TRUE,IF(_xlfn.RANK.EQ(AY49,$AY$2:$AY$111)&lt;='Tournament Setup'!$C$34,_xlfn.RANK.EQ(AY49,$AY$2:$AY$111),""),"")</f>
        <v/>
      </c>
      <c r="BA49" s="31" t="str">
        <f>IF(AND($F49='Tournament Setup'!$A$34,SUM($Q49,$U49)=0,$E49="F",$AX49&gt;'Tournament Setup'!$B$34),$I49,"")</f>
        <v/>
      </c>
      <c r="BB49" s="12" t="str">
        <f>IF(ISNUMBER(BA49)=TRUE,IF(_xlfn.RANK.EQ(BA49,$BA$2:$BA$111)&lt;='Tournament Setup'!$D$34,_xlfn.RANK.EQ(BA49,$BA$2:$BA$111),""),"")</f>
        <v/>
      </c>
      <c r="BC49" s="30" t="str">
        <f>IF(AND($G49='Tournament Setup'!$A$52,$J49&lt;&gt;0),$J49,"")</f>
        <v/>
      </c>
      <c r="BD49" s="47" t="str">
        <f>IF(ISNUMBER(BC49),IF(COUNTIFS(BD$1:BD48,_xlfn.RANK.EQ(BC49,BC$2:BC$111,0))&gt;0,_xlfn.MAXIFS(BD$1:BD48,BC$1:BC48,BC49)+1,_xlfn.RANK.EQ(BC49,BC$2:BC$111,0)),"")</f>
        <v/>
      </c>
      <c r="BE49" s="1" t="str">
        <f>IF(ISNUMBER(BC49)=TRUE,IF(_xlfn.RANK.EQ(BC49,$BC$2:$BC$111)&lt;='Tournament Setup'!$B$49,_xlfn.RANK.EQ(BC49,$BC$2:$BC$111),""),"")</f>
        <v/>
      </c>
      <c r="BF49" s="30" t="str">
        <f>IF(AND($F49='Tournament Setup'!$A$35,SUM($Q49,$S49,$U49)=0),$I49,"")</f>
        <v/>
      </c>
      <c r="BG49" s="47" t="str">
        <f>IF(ISNUMBER(BF49),IF(COUNTIFS(BG$1:BG48,_xlfn.RANK.EQ(BF49,BF$2:BF$111,0))&gt;0,_xlfn.MAXIFS(BG$1:BG48,BF$1:BF48,BF49)+1,_xlfn.RANK.EQ(BF49,BF$2:BF$111,0)),"")</f>
        <v/>
      </c>
      <c r="BH49" s="1" t="str">
        <f>IF(ISNUMBER(BF49)=TRUE,IF(_xlfn.RANK.EQ(BF49,$BF$2:$BF$111)&lt;='Tournament Setup'!$B$35,_xlfn.RANK.EQ(BF49,$BF$2:$BF$111),""),"")</f>
        <v/>
      </c>
      <c r="BI49" s="31" t="str">
        <f>IF(AND($F49='Tournament Setup'!$A$35,SUM($Q49,$S49)=0,$E49="M",$BH49&gt;'Tournament Setup'!$B$35),$I49,"")</f>
        <v/>
      </c>
      <c r="BJ49" s="1" t="str">
        <f>IF(ISNUMBER(BI49)=TRUE,IF(_xlfn.RANK.EQ(BI49,$BI$2:$BI$111)&lt;='Tournament Setup'!$C$35,_xlfn.RANK.EQ(BI49,$BI$2:$BI$111),""),"")</f>
        <v/>
      </c>
      <c r="BK49" s="31" t="str">
        <f>IF(AND($F49='Tournament Setup'!$A$35,SUM($Q49,$U49)=0,$E49="F",$BH49&gt;'Tournament Setup'!$B$35),$I49,"")</f>
        <v/>
      </c>
      <c r="BL49" s="12" t="str">
        <f>IF(ISNUMBER(BK49)=TRUE,IF(_xlfn.RANK.EQ(BK49,$BK$2:$BK$111)&lt;='Tournament Setup'!$D$35,_xlfn.RANK.EQ(BK49,$BK$2:$BK$111),""),"")</f>
        <v/>
      </c>
      <c r="BM49" s="30" t="str">
        <f>IF(AND($G49='Tournament Setup'!$A$54,$J49&lt;&gt;0),$J49,"")</f>
        <v/>
      </c>
      <c r="BN49" s="47" t="str">
        <f>IF(ISNUMBER(BM49),IF(COUNTIFS(BN$1:BN48,_xlfn.RANK.EQ(BM49,BM$2:BM$111,0))&gt;0,_xlfn.MAXIFS(BN$1:BN48,BM$1:BM48,BM49)+1,_xlfn.RANK.EQ(BM49,BM$2:BM$111,0)),"")</f>
        <v/>
      </c>
      <c r="BO49" s="1" t="str">
        <f>IF(ISNUMBER(BM49)=TRUE,IF(_xlfn.RANK.EQ(BM49,$BM$2:$BM$111)&lt;='Tournament Setup'!$B$49,_xlfn.RANK.EQ(BM49,$BM$2:$BM$111),""),"")</f>
        <v/>
      </c>
      <c r="BP49" s="30" t="str">
        <f>IF(AND($F49='Tournament Setup'!$A$36,SUM($Q49,$S49,$U49)=0),$I49,"")</f>
        <v/>
      </c>
      <c r="BQ49" s="47" t="str">
        <f>IF(ISNUMBER(BP49),IF(COUNTIFS(BQ$1:BQ48,_xlfn.RANK.EQ(BP49,BP$2:BP$111,0))&gt;0,_xlfn.MAXIFS(BQ$1:BQ48,BP$1:BP48,BP49)+1,_xlfn.RANK.EQ(BP49,BP$2:BP$111,0)),"")</f>
        <v/>
      </c>
      <c r="BR49" s="1" t="str">
        <f>IF(ISNUMBER(BP49)=TRUE,IF(_xlfn.RANK.EQ(BP49,$BP$2:$BP$111)&lt;='Tournament Setup'!$B$36,_xlfn.RANK.EQ(BP49,$BP$2:$BP$111),""),"")</f>
        <v/>
      </c>
      <c r="BS49" s="31" t="str">
        <f>IF(AND($F49='Tournament Setup'!$A$36,SUM($Q49,$S49)=0,$E49="M",$BR49&gt;'Tournament Setup'!$B$36),$I49,"")</f>
        <v/>
      </c>
      <c r="BT49" s="1" t="str">
        <f>IF(ISNUMBER(BS49)=TRUE,IF(_xlfn.RANK.EQ(BS49,$BS$2:$BS$111)&lt;='Tournament Setup'!$C$36,_xlfn.RANK.EQ(BS49,$BS$2:$BS$111),""),"")</f>
        <v/>
      </c>
      <c r="BU49" s="31" t="str">
        <f>IF(AND($F49='Tournament Setup'!$A$36,SUM($Q49,$U49)=0,$E49="F",$BR49&gt;'Tournament Setup'!$B$36),$I49,"")</f>
        <v/>
      </c>
      <c r="BV49" s="12" t="str">
        <f>IF(ISNUMBER(BU49)=TRUE,IF(_xlfn.RANK.EQ(BU49,$BU$2:$BU$111)&lt;='Tournament Setup'!$D$36,_xlfn.RANK.EQ(BU49,$BU$2:$BU$111),""),"")</f>
        <v/>
      </c>
      <c r="BW49" s="30" t="str">
        <f>IF($H49='Tournament Setup'!$A$41,$I49,"")</f>
        <v/>
      </c>
      <c r="BX49" s="47" t="str">
        <f>IF(ISNUMBER(BW49),IF(COUNTIFS(BX$1:BX48,_xlfn.RANK.EQ(BW49,BW$2:BW$111,0))&gt;0,_xlfn.MAXIFS(BX$1:BX48,BW$1:BW48,BW49)+1,_xlfn.RANK.EQ(BW49,BW$2:BW$111,0)),"")</f>
        <v/>
      </c>
      <c r="BY49" s="1" t="str">
        <f>IF(ISNUMBER(BW49)=TRUE,IF(_xlfn.RANK.EQ(BW49,$BW$2:$BW$111)&lt;='Tournament Setup'!$B$41,_xlfn.RANK.EQ(BW49,$BW$2:$BW$111),""),"")</f>
        <v/>
      </c>
      <c r="BZ49" s="31" t="str">
        <f>IF(AND($H49='Tournament Setup'!$A$41,$E49="M",$BY49&gt;'Tournament Setup'!$B$41),$I49,"")</f>
        <v/>
      </c>
      <c r="CA49" s="1" t="str">
        <f>IF(ISNUMBER(BZ49)=TRUE,IF(_xlfn.RANK.EQ(BZ49,$BZ$2:$BZ$111)&lt;='Tournament Setup'!$C$41,_xlfn.RANK.EQ(BZ49,$BZ$2:$BZ$111),""),"")</f>
        <v/>
      </c>
      <c r="CB49" s="31" t="str">
        <f>IF(AND($H49='Tournament Setup'!$A$41,$E49="F",$BY49&gt;'Tournament Setup'!$B$41),$I49,"")</f>
        <v/>
      </c>
      <c r="CC49" s="12" t="str">
        <f>IF(ISNUMBER(CB49)=TRUE,IF(_xlfn.RANK.EQ(CB49,$CB$2:$CB$111)&lt;='Tournament Setup'!$D$41,_xlfn.RANK.EQ(CB49,$CB$2:$CB$111),""),"")</f>
        <v/>
      </c>
      <c r="CD49" s="30" t="str">
        <f>IF($H49='Tournament Setup'!$A$42,$I49,"")</f>
        <v/>
      </c>
      <c r="CE49" s="47" t="str">
        <f>IF(ISNUMBER(CD49),IF(COUNTIFS(CE$1:CE48,_xlfn.RANK.EQ(CD49,CD$2:CD$111,0))&gt;0,_xlfn.MAXIFS(CE$1:CE48,CD$1:CD48,CD49)+1,_xlfn.RANK.EQ(CD49,CD$2:CD$111,0)),"")</f>
        <v/>
      </c>
      <c r="CF49" s="1" t="str">
        <f>IF(ISNUMBER(CD49)=TRUE,IF(_xlfn.RANK.EQ(CD49,$CD$2:$CD$111)&lt;='Tournament Setup'!$B$42,_xlfn.RANK.EQ(CD49,$CD$2:$CD$111),""),"")</f>
        <v/>
      </c>
      <c r="CG49" s="31" t="str">
        <f>IF(AND($H49='Tournament Setup'!$A$42,$E49="M",$CF49&gt;'Tournament Setup'!$B$42),$I49,"")</f>
        <v/>
      </c>
      <c r="CH49" s="1" t="str">
        <f>IF(ISNUMBER(CG49)=TRUE,IF(_xlfn.RANK.EQ(CG49,$CG$2:$CG$111)&lt;='Tournament Setup'!$C$42,_xlfn.RANK.EQ(CG49,$CG$2:$CG$111),""),"")</f>
        <v/>
      </c>
      <c r="CI49" s="31" t="str">
        <f>IF(AND($H49='Tournament Setup'!$A$42,$E49="F",$CF49&gt;'Tournament Setup'!$B$42),$I49,"")</f>
        <v/>
      </c>
      <c r="CJ49" s="12" t="str">
        <f>IF(ISNUMBER(CI49)=TRUE,IF(_xlfn.RANK.EQ(CI49,$CI$2:$CI$111)&lt;='Tournament Setup'!$D$42,_xlfn.RANK.EQ(CI49,$CI$2:$CI$111),""),"")</f>
        <v/>
      </c>
      <c r="CK49" s="30" t="str">
        <f>IF($H49='Tournament Setup'!$A$43,$I49,"")</f>
        <v/>
      </c>
      <c r="CL49" s="47" t="str">
        <f>IF(ISNUMBER(CK49),IF(COUNTIFS(CL$1:CL48,_xlfn.RANK.EQ(CK49,CK$2:CK$111,0))&gt;0,_xlfn.MAXIFS(CL$1:CL48,CK$1:CK48,CK49)+1,_xlfn.RANK.EQ(CK49,CK$2:CK$111,0)),"")</f>
        <v/>
      </c>
      <c r="CM49" s="1" t="str">
        <f>IF(ISNUMBER(CK49)=TRUE,IF(_xlfn.RANK.EQ(CK49,$CK$2:$CK$111)&lt;='Tournament Setup'!$B$43,_xlfn.RANK.EQ(CK49,$CK$2:$CK$111),""),"")</f>
        <v/>
      </c>
      <c r="CN49" s="31" t="str">
        <f>IF(AND($H49='Tournament Setup'!$A$43,$E49="M",$CM49&gt;'Tournament Setup'!$B$43),$I49,"")</f>
        <v/>
      </c>
      <c r="CO49" s="1" t="str">
        <f>IF(ISNUMBER(CN49)=TRUE,IF(_xlfn.RANK.EQ(CN49,$CN$2:$CN$111)&lt;='Tournament Setup'!$C$43,_xlfn.RANK.EQ(CN49,$CN$2:$CN$111),""),"")</f>
        <v/>
      </c>
      <c r="CP49" s="31" t="str">
        <f>IF(AND($H49='Tournament Setup'!$A$43,$E49="F",$CM49&gt;'Tournament Setup'!$B$43),$I49,"")</f>
        <v/>
      </c>
      <c r="CQ49" s="12" t="str">
        <f>IF(ISNUMBER(CP49)=TRUE,IF(_xlfn.RANK.EQ(CP49,$CP$2:$CP$111)&lt;='Tournament Setup'!$D$43,_xlfn.RANK.EQ(CP49,$CP$2:$CP$111),""),"")</f>
        <v/>
      </c>
      <c r="CR49" s="30">
        <f>IF($H49='Tournament Setup'!$A$44,$I49,"")</f>
        <v>51.2</v>
      </c>
      <c r="CS49" s="47">
        <f>IF(ISNUMBER(CR49),IF(COUNTIFS(CS$1:CS48,_xlfn.RANK.EQ(CR49,CR$2:CR$111,0))&gt;0,_xlfn.MAXIFS(CS$1:CS48,CR$1:CR48,CR49)+1,_xlfn.RANK.EQ(CR49,CR$2:CR$111,0)),"")</f>
        <v>6</v>
      </c>
      <c r="CT49" s="1" t="str">
        <f>IF(ISNUMBER(CR49)=TRUE,IF(_xlfn.RANK.EQ(CR49,$CR$2:$CR$111)&lt;='Tournament Setup'!$B$44,_xlfn.RANK.EQ(CR49,$CR$2:$CR$111),""),"")</f>
        <v/>
      </c>
      <c r="CU49" s="31">
        <f>IF(AND($H49='Tournament Setup'!$A$44,$E49="M",$CT49&gt;'Tournament Setup'!$B$44),$I49,"")</f>
        <v>51.2</v>
      </c>
      <c r="CV49" s="1">
        <f>IF(ISNUMBER(CU49)=TRUE,IF(_xlfn.RANK.EQ(CU49,$CU$2:$CU$111)&lt;='Tournament Setup'!$C$44,_xlfn.RANK.EQ(CU49,$CU$2:$CU$111),""),"")</f>
        <v>2</v>
      </c>
      <c r="CW49" s="31" t="str">
        <f>IF(AND($H49='Tournament Setup'!$A$44,$E49="F",$CT49&gt;'Tournament Setup'!$B$44),$I49,"")</f>
        <v/>
      </c>
      <c r="CX49" s="12" t="str">
        <f>IF(ISNUMBER(CW49)=TRUE,IF(_xlfn.RANK.EQ(CW49,$CW$2:$CW$111)&lt;='Tournament Setup'!$D$44,_xlfn.RANK.EQ(CW49,$CW$2:$CW$111),""),"")</f>
        <v/>
      </c>
    </row>
    <row r="50" spans="1:102" x14ac:dyDescent="0.3">
      <c r="B50" t="str">
        <f>IFERROR(INDEX('Tournament List'!$B:$B,MATCH($A50,'Tournament List'!$A:$A,0)),"")</f>
        <v/>
      </c>
      <c r="C50" t="str">
        <f>IFERROR(INDEX('Tournament List'!$C:$C,MATCH($A50,'Tournament List'!$A:$A,0)),"")</f>
        <v/>
      </c>
      <c r="D50" t="str">
        <f t="shared" ref="D50:D59" si="2">B50&amp;" "&amp;C50</f>
        <v xml:space="preserve"> </v>
      </c>
      <c r="E50" s="1" t="str">
        <f>IFERROR(INDEX('Tournament List'!F:F,MATCH($A50,'Tournament List'!$A:$A,0)),"")</f>
        <v/>
      </c>
      <c r="F50" t="str">
        <f>IFERROR(INDEX('Tournament List'!M:M,MATCH($A50,'Tournament List'!$A:$A,0)),"")</f>
        <v/>
      </c>
      <c r="G50" t="str">
        <f>IFERROR(INDEX('Shooter-Squad Assignment'!L:L,MATCH(A50,'Shooter-Squad Assignment'!A:A,0)),"")</f>
        <v/>
      </c>
      <c r="H50" s="1" t="str">
        <f>IFERROR(INDEX('Tournament List'!AD:AD,MATCH($A50,'Tournament List'!$A:$A,0)),"")</f>
        <v/>
      </c>
      <c r="I50" s="123" t="str">
        <f>IFERROR(INDEX('Tournament List'!AG:AG,MATCH($A50,'Tournament List'!$A:$A,0)),"")</f>
        <v/>
      </c>
      <c r="J50" s="145" t="str">
        <f>IFERROR(INDEX('Tournament List'!Y:Y,MATCH($A50,'Tournament List'!$A:$A,0)),"")</f>
        <v/>
      </c>
      <c r="K50" s="47" t="str">
        <f>IFERROR(INDEX('Tournament List'!S:S,MATCH(A50,'Tournament List'!A:A,0)),"")</f>
        <v/>
      </c>
      <c r="L50" s="47" t="str">
        <f>IF(ISNUMBER(J50),IF(COUNTIFS(L$1:L39,_xlfn.RANK.EQ(J50,J$2:J$111,0))&gt;0,_xlfn.MAXIFS(L$1:L39,J$1:J39,J50)+1,_xlfn.RANK.EQ(J50,J$2:J$111,0)),"")</f>
        <v/>
      </c>
      <c r="M50" s="11" t="str">
        <f>IF(ISNUMBER(I50)=TRUE,IF(I50&gt;0,_xlfn.RANK.EQ(I50,$I$2:$I$111,0),""),"")</f>
        <v/>
      </c>
      <c r="N50" s="56" t="str">
        <f>IF(ISNUMBER(I50),IF(COUNTIFS(N$1:N39,_xlfn.RANK.EQ(I50,I$2:I$111,0))&gt;0,_xlfn.MAXIFS(N$1:N39,I$1:I39,I50)+1,_xlfn.RANK.EQ(I50,I$2:I$111,0)),"")</f>
        <v/>
      </c>
      <c r="O50" s="144" t="str">
        <f>IF(F50&lt;&gt;"Collegiate"=TRUE,$I50,"")</f>
        <v/>
      </c>
      <c r="P50" s="47" t="str">
        <f>IF(ISNUMBER(O50),IF(COUNTIFS(P$1:P39,_xlfn.RANK.EQ(O50,O$2:O$111,0))&gt;0,_xlfn.MAXIFS(P$1:P39,O$1:O39,O50)+1,_xlfn.RANK.EQ(O50,O$2:O$111,0)),"")</f>
        <v/>
      </c>
      <c r="Q50" s="1" t="str">
        <f>IF(ISNUMBER(O50)=TRUE,IF(_xlfn.RANK.EQ(O50,$O$2:$O$111)&lt;='Tournament Setup'!$B$26,_xlfn.RANK.EQ(O50,$O$2:$O$111),""),"")</f>
        <v/>
      </c>
      <c r="R50" s="143" t="str">
        <f>IF(AND($E50="M",SUM($Q50)=0,F50&lt;&gt;"Collegiate")=TRUE,$I50,"")</f>
        <v/>
      </c>
      <c r="S50" s="1" t="str">
        <f>IF(ISNUMBER(R50)=TRUE,IF(_xlfn.RANK.EQ(R50,$R$2:$R$111)&lt;='Tournament Setup'!$B$27,_xlfn.RANK.EQ(R50,$R$2:$R$111),""),"")</f>
        <v/>
      </c>
      <c r="T50" s="143" t="str">
        <f>IF(AND($E50="F",SUM($Q50)=0,F50&lt;&gt;"Collegiate")=TRUE,$I50,"")</f>
        <v/>
      </c>
      <c r="U50" s="12" t="str">
        <f>IF(ISNUMBER(T50)=TRUE,IF(_xlfn.RANK.EQ(T50,$T$2:$T$111)&lt;='Tournament Setup'!$B$28,_xlfn.RANK.EQ(T50,$T$2:$T$111),""),"")</f>
        <v/>
      </c>
      <c r="V50" s="145" t="str">
        <f>IF(AND($G50='Tournament Setup'!$A$53,$J50&lt;&gt;0),$J50,"")</f>
        <v/>
      </c>
      <c r="W50" s="47" t="str">
        <f>IF(ISNUMBER(V50),IF(COUNTIFS(W$1:W49,_xlfn.RANK.EQ(V50,V$2:V$111,0))&gt;0,_xlfn.MAXIFS(W$1:W49,V$1:V49,V50)+1,_xlfn.RANK.EQ(V50,V$2:V$111,0)),"")</f>
        <v/>
      </c>
      <c r="X50" s="1" t="str">
        <f>IF(ISNUMBER(V50)=TRUE,IF(_xlfn.RANK.EQ(V50,$V$2:$V$111)&lt;='Tournament Setup'!$B$53,_xlfn.RANK.EQ(V50,$V$2:$V$111),""),"")</f>
        <v/>
      </c>
      <c r="Y50" s="145" t="str">
        <f>IF(AND($G50='Tournament Setup'!$A$49,$J50&lt;&gt;0),$J50,"")</f>
        <v/>
      </c>
      <c r="Z50" s="47" t="str">
        <f>IF(ISNUMBER(Y50),IF(COUNTIFS(Z$1:Z49,_xlfn.RANK.EQ(Y50,Y$2:Y$111,0))&gt;0,_xlfn.MAXIFS(Z$1:Z49,Y$1:Y49,Y50)+1,_xlfn.RANK.EQ(Y50,Y$2:Y$111,0)),"")</f>
        <v/>
      </c>
      <c r="AA50" s="1" t="str">
        <f>IF(ISNUMBER(Y50)=TRUE,IF(_xlfn.RANK.EQ(Y50,$Y$2:$Y$111)&lt;='Tournament Setup'!$B$49,_xlfn.RANK.EQ(Y50,$Y$2:$Y$111),""),"")</f>
        <v/>
      </c>
      <c r="AB50" s="30" t="str">
        <f>IF(AND($F50='Tournament Setup'!$A$32,SUM($Q50,$S50,$U50)=0),$I50,"")</f>
        <v/>
      </c>
      <c r="AC50" s="47" t="str">
        <f>IF(ISNUMBER(AB50),IF(COUNTIFS(AC$1:AC39,_xlfn.RANK.EQ(AB50,AB$2:AB$111,0))&gt;0,_xlfn.MAXIFS(AC$1:AC39,AB$1:AB39,AB50)+1,_xlfn.RANK.EQ(AB50,AB$2:AB$111,0)),"")</f>
        <v/>
      </c>
      <c r="AD50" s="1" t="str">
        <f>IF(ISNUMBER(AB50)=TRUE,IF(_xlfn.RANK.EQ(AB50,$AB$2:$AB$111)&lt;='Tournament Setup'!$B$32,_xlfn.RANK.EQ(AB50,$AB$2:$AB$111),""),"")</f>
        <v/>
      </c>
      <c r="AE50" s="31" t="str">
        <f>IF(AND($F50='Tournament Setup'!$A$32,SUM($Q50,$S50)=0,$E50="M",$AD50&gt;'Tournament Setup'!$B$32),$I50,"")</f>
        <v/>
      </c>
      <c r="AF50" s="1" t="str">
        <f>IF(ISNUMBER(AE50)=TRUE,IF(_xlfn.RANK.EQ(AE50,$AE$2:$AE$111)&lt;='Tournament Setup'!$C$32,_xlfn.RANK.EQ(AE50,$AE$2:$AE$111),""),"")</f>
        <v/>
      </c>
      <c r="AG50" s="31" t="str">
        <f>IF(AND($F50='Tournament Setup'!$A$32,SUM($Q50,$U50)=0,$E50="F",$AD50&gt;'Tournament Setup'!$B$32),$I50,"")</f>
        <v/>
      </c>
      <c r="AH50" s="12" t="str">
        <f>IF(ISNUMBER(AG50)=TRUE,IF(_xlfn.RANK.EQ(AG50,$AG$2:$AG$111)&lt;='Tournament Setup'!$D$32,_xlfn.RANK.EQ(AG50,$AG$2:$AG$111),""),"")</f>
        <v/>
      </c>
      <c r="AI50" s="30" t="str">
        <f>IF(AND($G50='Tournament Setup'!$A$50,$J50&lt;&gt;0),$J50,"")</f>
        <v/>
      </c>
      <c r="AJ50" s="47" t="str">
        <f>IF(ISNUMBER(AI50),IF(COUNTIFS(AJ$1:AJ39,_xlfn.RANK.EQ(AI50,AI$2:AI$111,0))&gt;0,_xlfn.MAXIFS(AJ$1:AJ39,AI$1:AI39,AI50)+1,_xlfn.RANK.EQ(AI50,AI$2:AI$111,0)),"")</f>
        <v/>
      </c>
      <c r="AK50" s="1" t="str">
        <f>IF(ISNUMBER(AI50)=TRUE,IF(_xlfn.RANK.EQ(AI50,$AI$2:$AI$111)&lt;='Tournament Setup'!$B$49,_xlfn.RANK.EQ(AI50,$AI$2:$AI$111),""),"")</f>
        <v/>
      </c>
      <c r="AL50" s="30" t="str">
        <f>IF(AND($F50='Tournament Setup'!$A$33,SUM($Q50,$S50,$U50)=0),$I50,"")</f>
        <v/>
      </c>
      <c r="AM50" s="47" t="str">
        <f>IF(ISNUMBER(AL50),IF(COUNTIFS(AM$1:AM39,_xlfn.RANK.EQ(AL50,AL$2:AL$111,0))&gt;0,_xlfn.MAXIFS(AM$1:AM39,AL$1:AL39,AL50)+1,_xlfn.RANK.EQ(AL50,AL$2:AL$111,0)),"")</f>
        <v/>
      </c>
      <c r="AN50" s="1" t="str">
        <f>IF(ISNUMBER(AL50)=TRUE,IF(_xlfn.RANK.EQ(AL50,$AL$2:$AL$111)&lt;='Tournament Setup'!$B$33,_xlfn.RANK.EQ(AL50,$AL$2:$AL$111),""),"")</f>
        <v/>
      </c>
      <c r="AO50" s="31" t="str">
        <f>IF(AND($F50='Tournament Setup'!$A$33,SUM($Q50,$S50)=0,$E50="M",$AN50&gt;'Tournament Setup'!$B$33),$I50,"")</f>
        <v/>
      </c>
      <c r="AP50" s="1" t="str">
        <f>IF(ISNUMBER(AO50)=TRUE,IF(_xlfn.RANK.EQ(AO50,$AO$2:$AO$111)&lt;='Tournament Setup'!$C$33,_xlfn.RANK.EQ(AO50,$AO$2:$AO$111),""),"")</f>
        <v/>
      </c>
      <c r="AQ50" s="31" t="str">
        <f>IF(AND($F50='Tournament Setup'!$A$33,SUM($Q50,$U50)=0,$E50="F",$AN50&gt;'Tournament Setup'!$B$33),$I50,"")</f>
        <v/>
      </c>
      <c r="AR50" s="12" t="str">
        <f>IF(ISNUMBER(AQ50)=TRUE,IF(_xlfn.RANK.EQ(AQ50,$AQ$2:$AQ$111)&lt;='Tournament Setup'!$D$33,_xlfn.RANK.EQ(AQ50,$AQ$2:$AQ$111),""),"")</f>
        <v/>
      </c>
      <c r="AS50" s="30" t="str">
        <f>IF(AND($G50='Tournament Setup'!$A$51,$J50&lt;&gt;0),$J50,"")</f>
        <v/>
      </c>
      <c r="AT50" s="47" t="str">
        <f>IF(ISNUMBER(AS50),IF(COUNTIFS(AT$1:AT39,_xlfn.RANK.EQ(AS50,AS$2:AS$111,0))&gt;0,_xlfn.MAXIFS(AT$1:AT39,AS$1:AS39,AS50)+1,_xlfn.RANK.EQ(AS50,AS$2:AS$111,0)),"")</f>
        <v/>
      </c>
      <c r="AU50" s="1" t="str">
        <f>IF(ISNUMBER(AS50)=TRUE,IF(_xlfn.RANK.EQ(AS50,$AS$2:$AS$111)&lt;='Tournament Setup'!$B$49,_xlfn.RANK.EQ(AS50,$AS$2:$AS$111),""),"")</f>
        <v/>
      </c>
      <c r="AV50" s="30" t="str">
        <f>IF(AND($F50='Tournament Setup'!$A$34,SUM($Q50,$S50,$U50)=0),$I50,"")</f>
        <v/>
      </c>
      <c r="AW50" s="47" t="str">
        <f>IF(ISNUMBER(AV50),IF(COUNTIFS(AW$1:AW39,_xlfn.RANK.EQ(AV50,AV$2:AV$111,0))&gt;0,_xlfn.MAXIFS(AW$1:AW39,AV$1:AV39,AV50)+1,_xlfn.RANK.EQ(AV50,AV$2:AV$111,0)),"")</f>
        <v/>
      </c>
      <c r="AX50" s="1" t="str">
        <f>IF(ISNUMBER(AV50)=TRUE,IF(_xlfn.RANK.EQ(AV50,$AV$2:$AV$111)&lt;='Tournament Setup'!$B$34,_xlfn.RANK.EQ(AV50,$AV$2:$AV$111),""),"")</f>
        <v/>
      </c>
      <c r="AY50" s="31" t="str">
        <f>IF(AND($F50='Tournament Setup'!$A$34,SUM($Q50,$S50)=0,$E50="M",$AX50&gt;'Tournament Setup'!$B$34),$I50,"")</f>
        <v/>
      </c>
      <c r="AZ50" s="1" t="str">
        <f>IF(ISNUMBER(AY50)=TRUE,IF(_xlfn.RANK.EQ(AY50,$AY$2:$AY$111)&lt;='Tournament Setup'!$C$34,_xlfn.RANK.EQ(AY50,$AY$2:$AY$111),""),"")</f>
        <v/>
      </c>
      <c r="BA50" s="31" t="str">
        <f>IF(AND($F50='Tournament Setup'!$A$34,SUM($Q50,$U50)=0,$E50="F",$AX50&gt;'Tournament Setup'!$B$34),$I50,"")</f>
        <v/>
      </c>
      <c r="BB50" s="12" t="str">
        <f>IF(ISNUMBER(BA50)=TRUE,IF(_xlfn.RANK.EQ(BA50,$BA$2:$BA$111)&lt;='Tournament Setup'!$D$34,_xlfn.RANK.EQ(BA50,$BA$2:$BA$111),""),"")</f>
        <v/>
      </c>
      <c r="BC50" s="30" t="str">
        <f>IF(AND($G50='Tournament Setup'!$A$52,$J50&lt;&gt;0),$J50,"")</f>
        <v/>
      </c>
      <c r="BD50" s="47" t="str">
        <f>IF(ISNUMBER(BC50),IF(COUNTIFS(BD$1:BD39,_xlfn.RANK.EQ(BC50,BC$2:BC$111,0))&gt;0,_xlfn.MAXIFS(BD$1:BD39,BC$1:BC39,BC50)+1,_xlfn.RANK.EQ(BC50,BC$2:BC$111,0)),"")</f>
        <v/>
      </c>
      <c r="BE50" s="1" t="str">
        <f>IF(ISNUMBER(BC50)=TRUE,IF(_xlfn.RANK.EQ(BC50,$BC$2:$BC$111)&lt;='Tournament Setup'!$B$49,_xlfn.RANK.EQ(BC50,$BC$2:$BC$111),""),"")</f>
        <v/>
      </c>
      <c r="BF50" s="30" t="str">
        <f>IF(AND($F50='Tournament Setup'!$A$35,SUM($Q50,$S50,$U50)=0),$I50,"")</f>
        <v/>
      </c>
      <c r="BG50" s="47" t="str">
        <f>IF(ISNUMBER(BF50),IF(COUNTIFS(BG$1:BG39,_xlfn.RANK.EQ(BF50,BF$2:BF$111,0))&gt;0,_xlfn.MAXIFS(BG$1:BG39,BF$1:BF39,BF50)+1,_xlfn.RANK.EQ(BF50,BF$2:BF$111,0)),"")</f>
        <v/>
      </c>
      <c r="BH50" s="1" t="str">
        <f>IF(ISNUMBER(BF50)=TRUE,IF(_xlfn.RANK.EQ(BF50,$BF$2:$BF$111)&lt;='Tournament Setup'!$B$35,_xlfn.RANK.EQ(BF50,$BF$2:$BF$111),""),"")</f>
        <v/>
      </c>
      <c r="BI50" s="31" t="str">
        <f>IF(AND($F50='Tournament Setup'!$A$35,SUM($Q50,$S50)=0,$E50="M",$BH50&gt;'Tournament Setup'!$B$35),$I50,"")</f>
        <v/>
      </c>
      <c r="BJ50" s="1" t="str">
        <f>IF(ISNUMBER(BI50)=TRUE,IF(_xlfn.RANK.EQ(BI50,$BI$2:$BI$111)&lt;='Tournament Setup'!$C$35,_xlfn.RANK.EQ(BI50,$BI$2:$BI$111),""),"")</f>
        <v/>
      </c>
      <c r="BK50" s="31" t="str">
        <f>IF(AND($F50='Tournament Setup'!$A$35,SUM($Q50,$U50)=0,$E50="F",$BH50&gt;'Tournament Setup'!$B$35),$I50,"")</f>
        <v/>
      </c>
      <c r="BL50" s="12" t="str">
        <f>IF(ISNUMBER(BK50)=TRUE,IF(_xlfn.RANK.EQ(BK50,$BK$2:$BK$111)&lt;='Tournament Setup'!$D$35,_xlfn.RANK.EQ(BK50,$BK$2:$BK$111),""),"")</f>
        <v/>
      </c>
      <c r="BM50" s="30" t="str">
        <f>IF(AND($G50='Tournament Setup'!$A$54,$J50&lt;&gt;0),$J50,"")</f>
        <v/>
      </c>
      <c r="BN50" s="47" t="str">
        <f>IF(ISNUMBER(BM50),IF(COUNTIFS(BN$1:BN39,_xlfn.RANK.EQ(BM50,BM$2:BM$111,0))&gt;0,_xlfn.MAXIFS(BN$1:BN39,BM$1:BM39,BM50)+1,_xlfn.RANK.EQ(BM50,BM$2:BM$111,0)),"")</f>
        <v/>
      </c>
      <c r="BO50" s="1" t="str">
        <f>IF(ISNUMBER(BM50)=TRUE,IF(_xlfn.RANK.EQ(BM50,$BM$2:$BM$111)&lt;='Tournament Setup'!$B$49,_xlfn.RANK.EQ(BM50,$BM$2:$BM$111),""),"")</f>
        <v/>
      </c>
      <c r="BP50" s="30" t="str">
        <f>IF(AND($F50='Tournament Setup'!$A$36,SUM($Q50,$S50,$U50)=0),$I50,"")</f>
        <v/>
      </c>
      <c r="BQ50" s="47" t="str">
        <f>IF(ISNUMBER(BP50),IF(COUNTIFS(BQ$1:BQ39,_xlfn.RANK.EQ(BP50,BP$2:BP$111,0))&gt;0,_xlfn.MAXIFS(BQ$1:BQ39,BP$1:BP39,BP50)+1,_xlfn.RANK.EQ(BP50,BP$2:BP$111,0)),"")</f>
        <v/>
      </c>
      <c r="BR50" s="1" t="str">
        <f>IF(ISNUMBER(BP50)=TRUE,IF(_xlfn.RANK.EQ(BP50,$BP$2:$BP$111)&lt;='Tournament Setup'!$B$36,_xlfn.RANK.EQ(BP50,$BP$2:$BP$111),""),"")</f>
        <v/>
      </c>
      <c r="BS50" s="31" t="str">
        <f>IF(AND($F50='Tournament Setup'!$A$36,SUM($Q50,$S50)=0,$E50="M",$BR50&gt;'Tournament Setup'!$B$36),$I50,"")</f>
        <v/>
      </c>
      <c r="BT50" s="1" t="str">
        <f>IF(ISNUMBER(BS50)=TRUE,IF(_xlfn.RANK.EQ(BS50,$BS$2:$BS$111)&lt;='Tournament Setup'!$C$36,_xlfn.RANK.EQ(BS50,$BS$2:$BS$111),""),"")</f>
        <v/>
      </c>
      <c r="BU50" s="31" t="str">
        <f>IF(AND($F50='Tournament Setup'!$A$36,SUM($Q50,$U50)=0,$E50="F",$BR50&gt;'Tournament Setup'!$B$36),$I50,"")</f>
        <v/>
      </c>
      <c r="BV50" s="12" t="str">
        <f>IF(ISNUMBER(BU50)=TRUE,IF(_xlfn.RANK.EQ(BU50,$BU$2:$BU$111)&lt;='Tournament Setup'!$D$36,_xlfn.RANK.EQ(BU50,$BU$2:$BU$111),""),"")</f>
        <v/>
      </c>
      <c r="BW50" s="30" t="str">
        <f>IF($H50='Tournament Setup'!$A$41,$I50,"")</f>
        <v/>
      </c>
      <c r="BX50" s="47" t="str">
        <f>IF(ISNUMBER(BW50),IF(COUNTIFS(BX$1:BX39,_xlfn.RANK.EQ(BW50,BW$2:BW$111,0))&gt;0,_xlfn.MAXIFS(BX$1:BX39,BW$1:BW39,BW50)+1,_xlfn.RANK.EQ(BW50,BW$2:BW$111,0)),"")</f>
        <v/>
      </c>
      <c r="BY50" s="1" t="str">
        <f>IF(ISNUMBER(BW50)=TRUE,IF(_xlfn.RANK.EQ(BW50,$BW$2:$BW$111)&lt;='Tournament Setup'!$B$41,_xlfn.RANK.EQ(BW50,$BW$2:$BW$111),""),"")</f>
        <v/>
      </c>
      <c r="BZ50" s="31" t="str">
        <f>IF(AND($H50='Tournament Setup'!$A$41,$E50="M",$BY50&gt;'Tournament Setup'!$B$41),$I50,"")</f>
        <v/>
      </c>
      <c r="CA50" s="1" t="str">
        <f>IF(ISNUMBER(BZ50)=TRUE,IF(_xlfn.RANK.EQ(BZ50,$BZ$2:$BZ$111)&lt;='Tournament Setup'!$C$41,_xlfn.RANK.EQ(BZ50,$BZ$2:$BZ$111),""),"")</f>
        <v/>
      </c>
      <c r="CB50" s="31" t="str">
        <f>IF(AND($H50='Tournament Setup'!$A$41,$E50="F",$BY50&gt;'Tournament Setup'!$B$41),$I50,"")</f>
        <v/>
      </c>
      <c r="CC50" s="12" t="str">
        <f>IF(ISNUMBER(CB50)=TRUE,IF(_xlfn.RANK.EQ(CB50,$CB$2:$CB$111)&lt;='Tournament Setup'!$D$41,_xlfn.RANK.EQ(CB50,$CB$2:$CB$111),""),"")</f>
        <v/>
      </c>
      <c r="CD50" s="30" t="str">
        <f>IF($H50='Tournament Setup'!$A$42,$I50,"")</f>
        <v/>
      </c>
      <c r="CE50" s="47" t="str">
        <f>IF(ISNUMBER(CD50),IF(COUNTIFS(CE$1:CE39,_xlfn.RANK.EQ(CD50,CD$2:CD$111,0))&gt;0,_xlfn.MAXIFS(CE$1:CE39,CD$1:CD39,CD50)+1,_xlfn.RANK.EQ(CD50,CD$2:CD$111,0)),"")</f>
        <v/>
      </c>
      <c r="CF50" s="1" t="str">
        <f>IF(ISNUMBER(CD50)=TRUE,IF(_xlfn.RANK.EQ(CD50,$CD$2:$CD$111)&lt;='Tournament Setup'!$B$42,_xlfn.RANK.EQ(CD50,$CD$2:$CD$111),""),"")</f>
        <v/>
      </c>
      <c r="CG50" s="31" t="str">
        <f>IF(AND($H50='Tournament Setup'!$A$42,$E50="M",$CF50&gt;'Tournament Setup'!$B$42),$I50,"")</f>
        <v/>
      </c>
      <c r="CH50" s="1" t="str">
        <f>IF(ISNUMBER(CG50)=TRUE,IF(_xlfn.RANK.EQ(CG50,$CG$2:$CG$111)&lt;='Tournament Setup'!$C$42,_xlfn.RANK.EQ(CG50,$CG$2:$CG$111),""),"")</f>
        <v/>
      </c>
      <c r="CI50" s="31" t="str">
        <f>IF(AND($H50='Tournament Setup'!$A$42,$E50="F",$CF50&gt;'Tournament Setup'!$B$42),$I50,"")</f>
        <v/>
      </c>
      <c r="CJ50" s="12" t="str">
        <f>IF(ISNUMBER(CI50)=TRUE,IF(_xlfn.RANK.EQ(CI50,$CI$2:$CI$111)&lt;='Tournament Setup'!$D$42,_xlfn.RANK.EQ(CI50,$CI$2:$CI$111),""),"")</f>
        <v/>
      </c>
      <c r="CK50" s="30" t="str">
        <f>IF($H50='Tournament Setup'!$A$43,$I50,"")</f>
        <v/>
      </c>
      <c r="CL50" s="47" t="str">
        <f>IF(ISNUMBER(CK50),IF(COUNTIFS(CL$1:CL39,_xlfn.RANK.EQ(CK50,CK$2:CK$111,0))&gt;0,_xlfn.MAXIFS(CL$1:CL39,CK$1:CK39,CK50)+1,_xlfn.RANK.EQ(CK50,CK$2:CK$111,0)),"")</f>
        <v/>
      </c>
      <c r="CM50" s="1" t="str">
        <f>IF(ISNUMBER(CK50)=TRUE,IF(_xlfn.RANK.EQ(CK50,$CK$2:$CK$111)&lt;='Tournament Setup'!$B$43,_xlfn.RANK.EQ(CK50,$CK$2:$CK$111),""),"")</f>
        <v/>
      </c>
      <c r="CN50" s="31" t="str">
        <f>IF(AND($H50='Tournament Setup'!$A$43,$E50="M",$CM50&gt;'Tournament Setup'!$B$43),$I50,"")</f>
        <v/>
      </c>
      <c r="CO50" s="1" t="str">
        <f>IF(ISNUMBER(CN50)=TRUE,IF(_xlfn.RANK.EQ(CN50,$CN$2:$CN$111)&lt;='Tournament Setup'!$C$43,_xlfn.RANK.EQ(CN50,$CN$2:$CN$111),""),"")</f>
        <v/>
      </c>
      <c r="CP50" s="31" t="str">
        <f>IF(AND($H50='Tournament Setup'!$A$43,$E50="F",$CM50&gt;'Tournament Setup'!$B$43),$I50,"")</f>
        <v/>
      </c>
      <c r="CQ50" s="12" t="str">
        <f>IF(ISNUMBER(CP50)=TRUE,IF(_xlfn.RANK.EQ(CP50,$CP$2:$CP$111)&lt;='Tournament Setup'!$D$43,_xlfn.RANK.EQ(CP50,$CP$2:$CP$111),""),"")</f>
        <v/>
      </c>
      <c r="CR50" s="30" t="str">
        <f>IF($H50='Tournament Setup'!$A$44,$I50,"")</f>
        <v/>
      </c>
      <c r="CS50" s="47" t="str">
        <f>IF(ISNUMBER(CR50),IF(COUNTIFS(CS$1:CS39,_xlfn.RANK.EQ(CR50,CR$2:CR$111,0))&gt;0,_xlfn.MAXIFS(CS$1:CS39,CR$1:CR39,CR50)+1,_xlfn.RANK.EQ(CR50,CR$2:CR$111,0)),"")</f>
        <v/>
      </c>
      <c r="CT50" s="1" t="str">
        <f>IF(ISNUMBER(CR50)=TRUE,IF(_xlfn.RANK.EQ(CR50,$CR$2:$CR$111)&lt;='Tournament Setup'!$B$44,_xlfn.RANK.EQ(CR50,$CR$2:$CR$111),""),"")</f>
        <v/>
      </c>
      <c r="CU50" s="31" t="str">
        <f>IF(AND($H50='Tournament Setup'!$A$44,$E50="M",$CT50&gt;'Tournament Setup'!$B$44),$I50,"")</f>
        <v/>
      </c>
      <c r="CV50" s="1" t="str">
        <f>IF(ISNUMBER(CU50)=TRUE,IF(_xlfn.RANK.EQ(CU50,$CU$2:$CU$111)&lt;='Tournament Setup'!$C$44,_xlfn.RANK.EQ(CU50,$CU$2:$CU$111),""),"")</f>
        <v/>
      </c>
      <c r="CW50" s="31" t="str">
        <f>IF(AND($H50='Tournament Setup'!$A$44,$E50="F",$CT50&gt;'Tournament Setup'!$B$44),$I50,"")</f>
        <v/>
      </c>
      <c r="CX50" s="12" t="str">
        <f>IF(ISNUMBER(CW50)=TRUE,IF(_xlfn.RANK.EQ(CW50,$CW$2:$CW$111)&lt;='Tournament Setup'!$D$44,_xlfn.RANK.EQ(CW50,$CW$2:$CW$111),""),"")</f>
        <v/>
      </c>
    </row>
    <row r="51" spans="1:102" x14ac:dyDescent="0.3">
      <c r="B51" t="str">
        <f>IFERROR(INDEX('Tournament List'!$B:$B,MATCH($A51,'Tournament List'!$A:$A,0)),"")</f>
        <v/>
      </c>
      <c r="C51" t="str">
        <f>IFERROR(INDEX('Tournament List'!$C:$C,MATCH($A51,'Tournament List'!$A:$A,0)),"")</f>
        <v/>
      </c>
      <c r="D51" t="str">
        <f t="shared" si="2"/>
        <v xml:space="preserve"> </v>
      </c>
      <c r="E51" s="1" t="str">
        <f>IFERROR(INDEX('Tournament List'!F:F,MATCH($A51,'Tournament List'!$A:$A,0)),"")</f>
        <v/>
      </c>
      <c r="F51" t="str">
        <f>IFERROR(INDEX('Tournament List'!M:M,MATCH($A51,'Tournament List'!$A:$A,0)),"")</f>
        <v/>
      </c>
      <c r="G51" t="str">
        <f>IFERROR(INDEX('Shooter-Squad Assignment'!L:L,MATCH(A51,'Shooter-Squad Assignment'!A:A,0)),"")</f>
        <v/>
      </c>
      <c r="H51" s="1" t="str">
        <f>IFERROR(INDEX('Tournament List'!AD:AD,MATCH($A51,'Tournament List'!$A:$A,0)),"")</f>
        <v/>
      </c>
      <c r="I51" s="123" t="str">
        <f>IFERROR(INDEX('Tournament List'!AG:AG,MATCH($A51,'Tournament List'!$A:$A,0)),"")</f>
        <v/>
      </c>
      <c r="J51" s="145" t="str">
        <f>IFERROR(INDEX('Tournament List'!Y:Y,MATCH($A51,'Tournament List'!$A:$A,0)),"")</f>
        <v/>
      </c>
      <c r="K51" s="47" t="str">
        <f>IFERROR(INDEX('Tournament List'!S:S,MATCH(A51,'Tournament List'!A:A,0)),"")</f>
        <v/>
      </c>
      <c r="L51" s="47" t="str">
        <f>IF(ISNUMBER(J51),IF(COUNTIFS(L$1:L50,_xlfn.RANK.EQ(J51,J$2:J$111,0))&gt;0,_xlfn.MAXIFS(L$1:L50,J$1:J50,J51)+1,_xlfn.RANK.EQ(J51,J$2:J$111,0)),"")</f>
        <v/>
      </c>
      <c r="M51" s="11" t="str">
        <f>IF(ISNUMBER(I51)=TRUE,IF(I51&gt;0,_xlfn.RANK.EQ(I51,$I$2:$I$111,0),""),"")</f>
        <v/>
      </c>
      <c r="N51" s="56" t="str">
        <f>IF(ISNUMBER(I51),IF(COUNTIFS(N$1:N50,_xlfn.RANK.EQ(I51,I$2:I$111,0))&gt;0,_xlfn.MAXIFS(N$1:N50,I$1:I50,I51)+1,_xlfn.RANK.EQ(I51,I$2:I$111,0)),"")</f>
        <v/>
      </c>
      <c r="O51" s="144" t="str">
        <f>IF(F51&lt;&gt;"Collegiate"=TRUE,$I51,"")</f>
        <v/>
      </c>
      <c r="P51" s="47" t="str">
        <f>IF(ISNUMBER(O51),IF(COUNTIFS(P$1:P50,_xlfn.RANK.EQ(O51,O$2:O$111,0))&gt;0,_xlfn.MAXIFS(P$1:P50,O$1:O50,O51)+1,_xlfn.RANK.EQ(O51,O$2:O$111,0)),"")</f>
        <v/>
      </c>
      <c r="Q51" s="1" t="str">
        <f>IF(ISNUMBER(O51)=TRUE,IF(_xlfn.RANK.EQ(O51,$O$2:$O$111)&lt;='Tournament Setup'!$B$26,_xlfn.RANK.EQ(O51,$O$2:$O$111),""),"")</f>
        <v/>
      </c>
      <c r="R51" s="143" t="str">
        <f>IF(AND($E51="M",SUM($Q51)=0,F51&lt;&gt;"Collegiate")=TRUE,$I51,"")</f>
        <v/>
      </c>
      <c r="S51" s="1" t="str">
        <f>IF(ISNUMBER(R51)=TRUE,IF(_xlfn.RANK.EQ(R51,$R$2:$R$111)&lt;='Tournament Setup'!$B$27,_xlfn.RANK.EQ(R51,$R$2:$R$111),""),"")</f>
        <v/>
      </c>
      <c r="T51" s="143" t="str">
        <f>IF(AND($E51="F",SUM($Q51)=0,F51&lt;&gt;"Collegiate")=TRUE,$I51,"")</f>
        <v/>
      </c>
      <c r="U51" s="12" t="str">
        <f>IF(ISNUMBER(T51)=TRUE,IF(_xlfn.RANK.EQ(T51,$T$2:$T$111)&lt;='Tournament Setup'!$B$28,_xlfn.RANK.EQ(T51,$T$2:$T$111),""),"")</f>
        <v/>
      </c>
      <c r="V51" s="145" t="str">
        <f>IF(AND($G51='Tournament Setup'!$A$53,$J51&lt;&gt;0),$J51,"")</f>
        <v/>
      </c>
      <c r="W51" s="47" t="str">
        <f>IF(ISNUMBER(V51),IF(COUNTIFS(W$1:W50,_xlfn.RANK.EQ(V51,V$2:V$111,0))&gt;0,_xlfn.MAXIFS(W$1:W50,V$1:V50,V51)+1,_xlfn.RANK.EQ(V51,V$2:V$111,0)),"")</f>
        <v/>
      </c>
      <c r="X51" s="1" t="str">
        <f>IF(ISNUMBER(V51)=TRUE,IF(_xlfn.RANK.EQ(V51,$V$2:$V$111)&lt;='Tournament Setup'!$B$53,_xlfn.RANK.EQ(V51,$V$2:$V$111),""),"")</f>
        <v/>
      </c>
      <c r="Y51" s="145" t="str">
        <f>IF(AND($G51='Tournament Setup'!$A$49,$J51&lt;&gt;0),$J51,"")</f>
        <v/>
      </c>
      <c r="Z51" s="47" t="str">
        <f>IF(ISNUMBER(Y51),IF(COUNTIFS(Z$1:Z50,_xlfn.RANK.EQ(Y51,Y$2:Y$111,0))&gt;0,_xlfn.MAXIFS(Z$1:Z50,Y$1:Y50,Y51)+1,_xlfn.RANK.EQ(Y51,Y$2:Y$111,0)),"")</f>
        <v/>
      </c>
      <c r="AA51" s="1" t="str">
        <f>IF(ISNUMBER(Y51)=TRUE,IF(_xlfn.RANK.EQ(Y51,$Y$2:$Y$111)&lt;='Tournament Setup'!$B$49,_xlfn.RANK.EQ(Y51,$Y$2:$Y$111),""),"")</f>
        <v/>
      </c>
      <c r="AB51" s="30" t="str">
        <f>IF(AND($F51='Tournament Setup'!$A$32,SUM($Q51,$S51,$U51)=0),$I51,"")</f>
        <v/>
      </c>
      <c r="AC51" s="47" t="str">
        <f>IF(ISNUMBER(AB51),IF(COUNTIFS(AC$1:AC50,_xlfn.RANK.EQ(AB51,AB$2:AB$111,0))&gt;0,_xlfn.MAXIFS(AC$1:AC50,AB$1:AB50,AB51)+1,_xlfn.RANK.EQ(AB51,AB$2:AB$111,0)),"")</f>
        <v/>
      </c>
      <c r="AD51" s="1" t="str">
        <f>IF(ISNUMBER(AB51)=TRUE,IF(_xlfn.RANK.EQ(AB51,$AB$2:$AB$111)&lt;='Tournament Setup'!$B$32,_xlfn.RANK.EQ(AB51,$AB$2:$AB$111),""),"")</f>
        <v/>
      </c>
      <c r="AE51" s="31" t="str">
        <f>IF(AND($F51='Tournament Setup'!$A$32,SUM($Q51,$S51)=0,$E51="M",$AD51&gt;'Tournament Setup'!$B$32),$I51,"")</f>
        <v/>
      </c>
      <c r="AF51" s="1" t="str">
        <f>IF(ISNUMBER(AE51)=TRUE,IF(_xlfn.RANK.EQ(AE51,$AE$2:$AE$111)&lt;='Tournament Setup'!$C$32,_xlfn.RANK.EQ(AE51,$AE$2:$AE$111),""),"")</f>
        <v/>
      </c>
      <c r="AG51" s="31" t="str">
        <f>IF(AND($F51='Tournament Setup'!$A$32,SUM($Q51,$U51)=0,$E51="F",$AD51&gt;'Tournament Setup'!$B$32),$I51,"")</f>
        <v/>
      </c>
      <c r="AH51" s="12" t="str">
        <f>IF(ISNUMBER(AG51)=TRUE,IF(_xlfn.RANK.EQ(AG51,$AG$2:$AG$111)&lt;='Tournament Setup'!$D$32,_xlfn.RANK.EQ(AG51,$AG$2:$AG$111),""),"")</f>
        <v/>
      </c>
      <c r="AI51" s="30" t="str">
        <f>IF(AND($G51='Tournament Setup'!$A$50,$J51&lt;&gt;0),$J51,"")</f>
        <v/>
      </c>
      <c r="AJ51" s="47" t="str">
        <f>IF(ISNUMBER(AI51),IF(COUNTIFS(AJ$1:AJ50,_xlfn.RANK.EQ(AI51,AI$2:AI$111,0))&gt;0,_xlfn.MAXIFS(AJ$1:AJ50,AI$1:AI50,AI51)+1,_xlfn.RANK.EQ(AI51,AI$2:AI$111,0)),"")</f>
        <v/>
      </c>
      <c r="AK51" s="1" t="str">
        <f>IF(ISNUMBER(AI51)=TRUE,IF(_xlfn.RANK.EQ(AI51,$AI$2:$AI$111)&lt;='Tournament Setup'!$B$49,_xlfn.RANK.EQ(AI51,$AI$2:$AI$111),""),"")</f>
        <v/>
      </c>
      <c r="AL51" s="30" t="str">
        <f>IF(AND($F51='Tournament Setup'!$A$33,SUM($Q51,$S51,$U51)=0),$I51,"")</f>
        <v/>
      </c>
      <c r="AM51" s="47" t="str">
        <f>IF(ISNUMBER(AL51),IF(COUNTIFS(AM$1:AM50,_xlfn.RANK.EQ(AL51,AL$2:AL$111,0))&gt;0,_xlfn.MAXIFS(AM$1:AM50,AL$1:AL50,AL51)+1,_xlfn.RANK.EQ(AL51,AL$2:AL$111,0)),"")</f>
        <v/>
      </c>
      <c r="AN51" s="1" t="str">
        <f>IF(ISNUMBER(AL51)=TRUE,IF(_xlfn.RANK.EQ(AL51,$AL$2:$AL$111)&lt;='Tournament Setup'!$B$33,_xlfn.RANK.EQ(AL51,$AL$2:$AL$111),""),"")</f>
        <v/>
      </c>
      <c r="AO51" s="31" t="str">
        <f>IF(AND($F51='Tournament Setup'!$A$33,SUM($Q51,$S51)=0,$E51="M",$AN51&gt;'Tournament Setup'!$B$33),$I51,"")</f>
        <v/>
      </c>
      <c r="AP51" s="1" t="str">
        <f>IF(ISNUMBER(AO51)=TRUE,IF(_xlfn.RANK.EQ(AO51,$AO$2:$AO$111)&lt;='Tournament Setup'!$C$33,_xlfn.RANK.EQ(AO51,$AO$2:$AO$111),""),"")</f>
        <v/>
      </c>
      <c r="AQ51" s="31" t="str">
        <f>IF(AND($F51='Tournament Setup'!$A$33,SUM($Q51,$U51)=0,$E51="F",$AN51&gt;'Tournament Setup'!$B$33),$I51,"")</f>
        <v/>
      </c>
      <c r="AR51" s="12" t="str">
        <f>IF(ISNUMBER(AQ51)=TRUE,IF(_xlfn.RANK.EQ(AQ51,$AQ$2:$AQ$111)&lt;='Tournament Setup'!$D$33,_xlfn.RANK.EQ(AQ51,$AQ$2:$AQ$111),""),"")</f>
        <v/>
      </c>
      <c r="AS51" s="30" t="str">
        <f>IF(AND($G51='Tournament Setup'!$A$51,$J51&lt;&gt;0),$J51,"")</f>
        <v/>
      </c>
      <c r="AT51" s="47" t="str">
        <f>IF(ISNUMBER(AS51),IF(COUNTIFS(AT$1:AT50,_xlfn.RANK.EQ(AS51,AS$2:AS$111,0))&gt;0,_xlfn.MAXIFS(AT$1:AT50,AS$1:AS50,AS51)+1,_xlfn.RANK.EQ(AS51,AS$2:AS$111,0)),"")</f>
        <v/>
      </c>
      <c r="AU51" s="1" t="str">
        <f>IF(ISNUMBER(AS51)=TRUE,IF(_xlfn.RANK.EQ(AS51,$AS$2:$AS$111)&lt;='Tournament Setup'!$B$49,_xlfn.RANK.EQ(AS51,$AS$2:$AS$111),""),"")</f>
        <v/>
      </c>
      <c r="AV51" s="30" t="str">
        <f>IF(AND($F51='Tournament Setup'!$A$34,SUM($Q51,$S51,$U51)=0),$I51,"")</f>
        <v/>
      </c>
      <c r="AW51" s="47" t="str">
        <f>IF(ISNUMBER(AV51),IF(COUNTIFS(AW$1:AW50,_xlfn.RANK.EQ(AV51,AV$2:AV$111,0))&gt;0,_xlfn.MAXIFS(AW$1:AW50,AV$1:AV50,AV51)+1,_xlfn.RANK.EQ(AV51,AV$2:AV$111,0)),"")</f>
        <v/>
      </c>
      <c r="AX51" s="1" t="str">
        <f>IF(ISNUMBER(AV51)=TRUE,IF(_xlfn.RANK.EQ(AV51,$AV$2:$AV$111)&lt;='Tournament Setup'!$B$34,_xlfn.RANK.EQ(AV51,$AV$2:$AV$111),""),"")</f>
        <v/>
      </c>
      <c r="AY51" s="31" t="str">
        <f>IF(AND($F51='Tournament Setup'!$A$34,SUM($Q51,$S51)=0,$E51="M",$AX51&gt;'Tournament Setup'!$B$34),$I51,"")</f>
        <v/>
      </c>
      <c r="AZ51" s="1" t="str">
        <f>IF(ISNUMBER(AY51)=TRUE,IF(_xlfn.RANK.EQ(AY51,$AY$2:$AY$111)&lt;='Tournament Setup'!$C$34,_xlfn.RANK.EQ(AY51,$AY$2:$AY$111),""),"")</f>
        <v/>
      </c>
      <c r="BA51" s="31" t="str">
        <f>IF(AND($F51='Tournament Setup'!$A$34,SUM($Q51,$U51)=0,$E51="F",$AX51&gt;'Tournament Setup'!$B$34),$I51,"")</f>
        <v/>
      </c>
      <c r="BB51" s="12" t="str">
        <f>IF(ISNUMBER(BA51)=TRUE,IF(_xlfn.RANK.EQ(BA51,$BA$2:$BA$111)&lt;='Tournament Setup'!$D$34,_xlfn.RANK.EQ(BA51,$BA$2:$BA$111),""),"")</f>
        <v/>
      </c>
      <c r="BC51" s="30" t="str">
        <f>IF(AND($G51='Tournament Setup'!$A$52,$J51&lt;&gt;0),$J51,"")</f>
        <v/>
      </c>
      <c r="BD51" s="47" t="str">
        <f>IF(ISNUMBER(BC51),IF(COUNTIFS(BD$1:BD50,_xlfn.RANK.EQ(BC51,BC$2:BC$111,0))&gt;0,_xlfn.MAXIFS(BD$1:BD50,BC$1:BC50,BC51)+1,_xlfn.RANK.EQ(BC51,BC$2:BC$111,0)),"")</f>
        <v/>
      </c>
      <c r="BE51" s="1" t="str">
        <f>IF(ISNUMBER(BC51)=TRUE,IF(_xlfn.RANK.EQ(BC51,$BC$2:$BC$111)&lt;='Tournament Setup'!$B$49,_xlfn.RANK.EQ(BC51,$BC$2:$BC$111),""),"")</f>
        <v/>
      </c>
      <c r="BF51" s="30" t="str">
        <f>IF(AND($F51='Tournament Setup'!$A$35,SUM($Q51,$S51,$U51)=0),$I51,"")</f>
        <v/>
      </c>
      <c r="BG51" s="47" t="str">
        <f>IF(ISNUMBER(BF51),IF(COUNTIFS(BG$1:BG50,_xlfn.RANK.EQ(BF51,BF$2:BF$111,0))&gt;0,_xlfn.MAXIFS(BG$1:BG50,BF$1:BF50,BF51)+1,_xlfn.RANK.EQ(BF51,BF$2:BF$111,0)),"")</f>
        <v/>
      </c>
      <c r="BH51" s="1" t="str">
        <f>IF(ISNUMBER(BF51)=TRUE,IF(_xlfn.RANK.EQ(BF51,$BF$2:$BF$111)&lt;='Tournament Setup'!$B$35,_xlfn.RANK.EQ(BF51,$BF$2:$BF$111),""),"")</f>
        <v/>
      </c>
      <c r="BI51" s="31" t="str">
        <f>IF(AND($F51='Tournament Setup'!$A$35,SUM($Q51,$S51)=0,$E51="M",$BH51&gt;'Tournament Setup'!$B$35),$I51,"")</f>
        <v/>
      </c>
      <c r="BJ51" s="1" t="str">
        <f>IF(ISNUMBER(BI51)=TRUE,IF(_xlfn.RANK.EQ(BI51,$BI$2:$BI$111)&lt;='Tournament Setup'!$C$35,_xlfn.RANK.EQ(BI51,$BI$2:$BI$111),""),"")</f>
        <v/>
      </c>
      <c r="BK51" s="31" t="str">
        <f>IF(AND($F51='Tournament Setup'!$A$35,SUM($Q51,$U51)=0,$E51="F",$BH51&gt;'Tournament Setup'!$B$35),$I51,"")</f>
        <v/>
      </c>
      <c r="BL51" s="12" t="str">
        <f>IF(ISNUMBER(BK51)=TRUE,IF(_xlfn.RANK.EQ(BK51,$BK$2:$BK$111)&lt;='Tournament Setup'!$D$35,_xlfn.RANK.EQ(BK51,$BK$2:$BK$111),""),"")</f>
        <v/>
      </c>
      <c r="BM51" s="30" t="str">
        <f>IF(AND($G51='Tournament Setup'!$A$54,$J51&lt;&gt;0),$J51,"")</f>
        <v/>
      </c>
      <c r="BN51" s="47" t="str">
        <f>IF(ISNUMBER(BM51),IF(COUNTIFS(BN$1:BN50,_xlfn.RANK.EQ(BM51,BM$2:BM$111,0))&gt;0,_xlfn.MAXIFS(BN$1:BN50,BM$1:BM50,BM51)+1,_xlfn.RANK.EQ(BM51,BM$2:BM$111,0)),"")</f>
        <v/>
      </c>
      <c r="BO51" s="1" t="str">
        <f>IF(ISNUMBER(BM51)=TRUE,IF(_xlfn.RANK.EQ(BM51,$BM$2:$BM$111)&lt;='Tournament Setup'!$B$49,_xlfn.RANK.EQ(BM51,$BM$2:$BM$111),""),"")</f>
        <v/>
      </c>
      <c r="BP51" s="30" t="str">
        <f>IF(AND($F51='Tournament Setup'!$A$36,SUM($Q51,$S51,$U51)=0),$I51,"")</f>
        <v/>
      </c>
      <c r="BQ51" s="47" t="str">
        <f>IF(ISNUMBER(BP51),IF(COUNTIFS(BQ$1:BQ50,_xlfn.RANK.EQ(BP51,BP$2:BP$111,0))&gt;0,_xlfn.MAXIFS(BQ$1:BQ50,BP$1:BP50,BP51)+1,_xlfn.RANK.EQ(BP51,BP$2:BP$111,0)),"")</f>
        <v/>
      </c>
      <c r="BR51" s="1" t="str">
        <f>IF(ISNUMBER(BP51)=TRUE,IF(_xlfn.RANK.EQ(BP51,$BP$2:$BP$111)&lt;='Tournament Setup'!$B$36,_xlfn.RANK.EQ(BP51,$BP$2:$BP$111),""),"")</f>
        <v/>
      </c>
      <c r="BS51" s="31" t="str">
        <f>IF(AND($F51='Tournament Setup'!$A$36,SUM($Q51,$S51)=0,$E51="M",$BR51&gt;'Tournament Setup'!$B$36),$I51,"")</f>
        <v/>
      </c>
      <c r="BT51" s="1" t="str">
        <f>IF(ISNUMBER(BS51)=TRUE,IF(_xlfn.RANK.EQ(BS51,$BS$2:$BS$111)&lt;='Tournament Setup'!$C$36,_xlfn.RANK.EQ(BS51,$BS$2:$BS$111),""),"")</f>
        <v/>
      </c>
      <c r="BU51" s="31" t="str">
        <f>IF(AND($F51='Tournament Setup'!$A$36,SUM($Q51,$U51)=0,$E51="F",$BR51&gt;'Tournament Setup'!$B$36),$I51,"")</f>
        <v/>
      </c>
      <c r="BV51" s="12" t="str">
        <f>IF(ISNUMBER(BU51)=TRUE,IF(_xlfn.RANK.EQ(BU51,$BU$2:$BU$111)&lt;='Tournament Setup'!$D$36,_xlfn.RANK.EQ(BU51,$BU$2:$BU$111),""),"")</f>
        <v/>
      </c>
      <c r="BW51" s="30" t="str">
        <f>IF($H51='Tournament Setup'!$A$41,$I51,"")</f>
        <v/>
      </c>
      <c r="BX51" s="47" t="str">
        <f>IF(ISNUMBER(BW51),IF(COUNTIFS(BX$1:BX50,_xlfn.RANK.EQ(BW51,BW$2:BW$111,0))&gt;0,_xlfn.MAXIFS(BX$1:BX50,BW$1:BW50,BW51)+1,_xlfn.RANK.EQ(BW51,BW$2:BW$111,0)),"")</f>
        <v/>
      </c>
      <c r="BY51" s="1" t="str">
        <f>IF(ISNUMBER(BW51)=TRUE,IF(_xlfn.RANK.EQ(BW51,$BW$2:$BW$111)&lt;='Tournament Setup'!$B$41,_xlfn.RANK.EQ(BW51,$BW$2:$BW$111),""),"")</f>
        <v/>
      </c>
      <c r="BZ51" s="31" t="str">
        <f>IF(AND($H51='Tournament Setup'!$A$41,$E51="M",$BY51&gt;'Tournament Setup'!$B$41),$I51,"")</f>
        <v/>
      </c>
      <c r="CA51" s="1" t="str">
        <f>IF(ISNUMBER(BZ51)=TRUE,IF(_xlfn.RANK.EQ(BZ51,$BZ$2:$BZ$111)&lt;='Tournament Setup'!$C$41,_xlfn.RANK.EQ(BZ51,$BZ$2:$BZ$111),""),"")</f>
        <v/>
      </c>
      <c r="CB51" s="31" t="str">
        <f>IF(AND($H51='Tournament Setup'!$A$41,$E51="F",$BY51&gt;'Tournament Setup'!$B$41),$I51,"")</f>
        <v/>
      </c>
      <c r="CC51" s="12" t="str">
        <f>IF(ISNUMBER(CB51)=TRUE,IF(_xlfn.RANK.EQ(CB51,$CB$2:$CB$111)&lt;='Tournament Setup'!$D$41,_xlfn.RANK.EQ(CB51,$CB$2:$CB$111),""),"")</f>
        <v/>
      </c>
      <c r="CD51" s="30" t="str">
        <f>IF($H51='Tournament Setup'!$A$42,$I51,"")</f>
        <v/>
      </c>
      <c r="CE51" s="47" t="str">
        <f>IF(ISNUMBER(CD51),IF(COUNTIFS(CE$1:CE50,_xlfn.RANK.EQ(CD51,CD$2:CD$111,0))&gt;0,_xlfn.MAXIFS(CE$1:CE50,CD$1:CD50,CD51)+1,_xlfn.RANK.EQ(CD51,CD$2:CD$111,0)),"")</f>
        <v/>
      </c>
      <c r="CF51" s="1" t="str">
        <f>IF(ISNUMBER(CD51)=TRUE,IF(_xlfn.RANK.EQ(CD51,$CD$2:$CD$111)&lt;='Tournament Setup'!$B$42,_xlfn.RANK.EQ(CD51,$CD$2:$CD$111),""),"")</f>
        <v/>
      </c>
      <c r="CG51" s="31" t="str">
        <f>IF(AND($H51='Tournament Setup'!$A$42,$E51="M",$CF51&gt;'Tournament Setup'!$B$42),$I51,"")</f>
        <v/>
      </c>
      <c r="CH51" s="1" t="str">
        <f>IF(ISNUMBER(CG51)=TRUE,IF(_xlfn.RANK.EQ(CG51,$CG$2:$CG$111)&lt;='Tournament Setup'!$C$42,_xlfn.RANK.EQ(CG51,$CG$2:$CG$111),""),"")</f>
        <v/>
      </c>
      <c r="CI51" s="31" t="str">
        <f>IF(AND($H51='Tournament Setup'!$A$42,$E51="F",$CF51&gt;'Tournament Setup'!$B$42),$I51,"")</f>
        <v/>
      </c>
      <c r="CJ51" s="12" t="str">
        <f>IF(ISNUMBER(CI51)=TRUE,IF(_xlfn.RANK.EQ(CI51,$CI$2:$CI$111)&lt;='Tournament Setup'!$D$42,_xlfn.RANK.EQ(CI51,$CI$2:$CI$111),""),"")</f>
        <v/>
      </c>
      <c r="CK51" s="30" t="str">
        <f>IF($H51='Tournament Setup'!$A$43,$I51,"")</f>
        <v/>
      </c>
      <c r="CL51" s="47" t="str">
        <f>IF(ISNUMBER(CK51),IF(COUNTIFS(CL$1:CL50,_xlfn.RANK.EQ(CK51,CK$2:CK$111,0))&gt;0,_xlfn.MAXIFS(CL$1:CL50,CK$1:CK50,CK51)+1,_xlfn.RANK.EQ(CK51,CK$2:CK$111,0)),"")</f>
        <v/>
      </c>
      <c r="CM51" s="1" t="str">
        <f>IF(ISNUMBER(CK51)=TRUE,IF(_xlfn.RANK.EQ(CK51,$CK$2:$CK$111)&lt;='Tournament Setup'!$B$43,_xlfn.RANK.EQ(CK51,$CK$2:$CK$111),""),"")</f>
        <v/>
      </c>
      <c r="CN51" s="31" t="str">
        <f>IF(AND($H51='Tournament Setup'!$A$43,$E51="M",$CM51&gt;'Tournament Setup'!$B$43),$I51,"")</f>
        <v/>
      </c>
      <c r="CO51" s="1" t="str">
        <f>IF(ISNUMBER(CN51)=TRUE,IF(_xlfn.RANK.EQ(CN51,$CN$2:$CN$111)&lt;='Tournament Setup'!$C$43,_xlfn.RANK.EQ(CN51,$CN$2:$CN$111),""),"")</f>
        <v/>
      </c>
      <c r="CP51" s="31" t="str">
        <f>IF(AND($H51='Tournament Setup'!$A$43,$E51="F",$CM51&gt;'Tournament Setup'!$B$43),$I51,"")</f>
        <v/>
      </c>
      <c r="CQ51" s="12" t="str">
        <f>IF(ISNUMBER(CP51)=TRUE,IF(_xlfn.RANK.EQ(CP51,$CP$2:$CP$111)&lt;='Tournament Setup'!$D$43,_xlfn.RANK.EQ(CP51,$CP$2:$CP$111),""),"")</f>
        <v/>
      </c>
      <c r="CR51" s="30" t="str">
        <f>IF($H51='Tournament Setup'!$A$44,$I51,"")</f>
        <v/>
      </c>
      <c r="CS51" s="47" t="str">
        <f>IF(ISNUMBER(CR51),IF(COUNTIFS(CS$1:CS50,_xlfn.RANK.EQ(CR51,CR$2:CR$111,0))&gt;0,_xlfn.MAXIFS(CS$1:CS50,CR$1:CR50,CR51)+1,_xlfn.RANK.EQ(CR51,CR$2:CR$111,0)),"")</f>
        <v/>
      </c>
      <c r="CT51" s="1" t="str">
        <f>IF(ISNUMBER(CR51)=TRUE,IF(_xlfn.RANK.EQ(CR51,$CR$2:$CR$111)&lt;='Tournament Setup'!$B$44,_xlfn.RANK.EQ(CR51,$CR$2:$CR$111),""),"")</f>
        <v/>
      </c>
      <c r="CU51" s="31" t="str">
        <f>IF(AND($H51='Tournament Setup'!$A$44,$E51="M",$CT51&gt;'Tournament Setup'!$B$44),$I51,"")</f>
        <v/>
      </c>
      <c r="CV51" s="1" t="str">
        <f>IF(ISNUMBER(CU51)=TRUE,IF(_xlfn.RANK.EQ(CU51,$CU$2:$CU$111)&lt;='Tournament Setup'!$C$44,_xlfn.RANK.EQ(CU51,$CU$2:$CU$111),""),"")</f>
        <v/>
      </c>
      <c r="CW51" s="31" t="str">
        <f>IF(AND($H51='Tournament Setup'!$A$44,$E51="F",$CT51&gt;'Tournament Setup'!$B$44),$I51,"")</f>
        <v/>
      </c>
      <c r="CX51" s="12" t="str">
        <f>IF(ISNUMBER(CW51)=TRUE,IF(_xlfn.RANK.EQ(CW51,$CW$2:$CW$111)&lt;='Tournament Setup'!$D$44,_xlfn.RANK.EQ(CW51,$CW$2:$CW$111),""),"")</f>
        <v/>
      </c>
    </row>
    <row r="52" spans="1:102" x14ac:dyDescent="0.3">
      <c r="B52" t="str">
        <f>IFERROR(INDEX('Tournament List'!$B:$B,MATCH($A52,'Tournament List'!$A:$A,0)),"")</f>
        <v/>
      </c>
      <c r="C52" t="str">
        <f>IFERROR(INDEX('Tournament List'!$C:$C,MATCH($A52,'Tournament List'!$A:$A,0)),"")</f>
        <v/>
      </c>
      <c r="D52" t="str">
        <f t="shared" si="2"/>
        <v xml:space="preserve"> </v>
      </c>
      <c r="E52" s="1" t="str">
        <f>IFERROR(INDEX('Tournament List'!F:F,MATCH($A52,'Tournament List'!$A:$A,0)),"")</f>
        <v/>
      </c>
      <c r="F52" t="str">
        <f>IFERROR(INDEX('Tournament List'!M:M,MATCH($A52,'Tournament List'!$A:$A,0)),"")</f>
        <v/>
      </c>
      <c r="G52" t="str">
        <f>IFERROR(INDEX('Shooter-Squad Assignment'!L:L,MATCH(A52,'Shooter-Squad Assignment'!A:A,0)),"")</f>
        <v/>
      </c>
      <c r="H52" s="1" t="str">
        <f>IFERROR(INDEX('Tournament List'!AD:AD,MATCH($A52,'Tournament List'!$A:$A,0)),"")</f>
        <v/>
      </c>
      <c r="I52" s="123" t="str">
        <f>IFERROR(INDEX('Tournament List'!AG:AG,MATCH($A52,'Tournament List'!$A:$A,0)),"")</f>
        <v/>
      </c>
      <c r="J52" s="145" t="str">
        <f>IFERROR(INDEX('Tournament List'!Y:Y,MATCH($A52,'Tournament List'!$A:$A,0)),"")</f>
        <v/>
      </c>
      <c r="K52" s="47" t="str">
        <f>IFERROR(INDEX('Tournament List'!S:S,MATCH(A52,'Tournament List'!A:A,0)),"")</f>
        <v/>
      </c>
      <c r="L52" s="47" t="str">
        <f>IF(ISNUMBER(J52),IF(COUNTIFS(L$1:L51,_xlfn.RANK.EQ(J52,J$2:J$111,0))&gt;0,_xlfn.MAXIFS(L$1:L51,J$1:J51,J52)+1,_xlfn.RANK.EQ(J52,J$2:J$111,0)),"")</f>
        <v/>
      </c>
      <c r="M52" s="11" t="str">
        <f>IF(ISNUMBER(I52)=TRUE,IF(I52&gt;0,_xlfn.RANK.EQ(I52,$I$2:$I$111,0),""),"")</f>
        <v/>
      </c>
      <c r="N52" s="56" t="str">
        <f>IF(ISNUMBER(I52),IF(COUNTIFS(N$1:N51,_xlfn.RANK.EQ(I52,I$2:I$111,0))&gt;0,_xlfn.MAXIFS(N$1:N51,I$1:I51,I52)+1,_xlfn.RANK.EQ(I52,I$2:I$111,0)),"")</f>
        <v/>
      </c>
      <c r="O52" s="144" t="str">
        <f>IF(F52&lt;&gt;"Collegiate"=TRUE,$I52,"")</f>
        <v/>
      </c>
      <c r="P52" s="47" t="str">
        <f>IF(ISNUMBER(O52),IF(COUNTIFS(P$1:P51,_xlfn.RANK.EQ(O52,O$2:O$111,0))&gt;0,_xlfn.MAXIFS(P$1:P51,O$1:O51,O52)+1,_xlfn.RANK.EQ(O52,O$2:O$111,0)),"")</f>
        <v/>
      </c>
      <c r="Q52" s="1" t="str">
        <f>IF(ISNUMBER(O52)=TRUE,IF(_xlfn.RANK.EQ(O52,$O$2:$O$111)&lt;='Tournament Setup'!$B$26,_xlfn.RANK.EQ(O52,$O$2:$O$111),""),"")</f>
        <v/>
      </c>
      <c r="R52" s="143" t="str">
        <f>IF(AND($E52="M",SUM($Q52)=0,F52&lt;&gt;"Collegiate")=TRUE,$I52,"")</f>
        <v/>
      </c>
      <c r="S52" s="1" t="str">
        <f>IF(ISNUMBER(R52)=TRUE,IF(_xlfn.RANK.EQ(R52,$R$2:$R$111)&lt;='Tournament Setup'!$B$27,_xlfn.RANK.EQ(R52,$R$2:$R$111),""),"")</f>
        <v/>
      </c>
      <c r="T52" s="143" t="str">
        <f>IF(AND($E52="F",SUM($Q52)=0,F52&lt;&gt;"Collegiate")=TRUE,$I52,"")</f>
        <v/>
      </c>
      <c r="U52" s="12" t="str">
        <f>IF(ISNUMBER(T52)=TRUE,IF(_xlfn.RANK.EQ(T52,$T$2:$T$111)&lt;='Tournament Setup'!$B$28,_xlfn.RANK.EQ(T52,$T$2:$T$111),""),"")</f>
        <v/>
      </c>
      <c r="V52" s="145" t="str">
        <f>IF(AND($G52='Tournament Setup'!$A$53,$J52&lt;&gt;0),$J52,"")</f>
        <v/>
      </c>
      <c r="W52" s="47" t="str">
        <f>IF(ISNUMBER(V52),IF(COUNTIFS(W$1:W51,_xlfn.RANK.EQ(V52,V$2:V$111,0))&gt;0,_xlfn.MAXIFS(W$1:W51,V$1:V51,V52)+1,_xlfn.RANK.EQ(V52,V$2:V$111,0)),"")</f>
        <v/>
      </c>
      <c r="X52" s="1" t="str">
        <f>IF(ISNUMBER(V52)=TRUE,IF(_xlfn.RANK.EQ(V52,$V$2:$V$111)&lt;='Tournament Setup'!$B$53,_xlfn.RANK.EQ(V52,$V$2:$V$111),""),"")</f>
        <v/>
      </c>
      <c r="Y52" s="145" t="str">
        <f>IF(AND($G52='Tournament Setup'!$A$49,$J52&lt;&gt;0),$J52,"")</f>
        <v/>
      </c>
      <c r="Z52" s="47" t="str">
        <f>IF(ISNUMBER(Y52),IF(COUNTIFS(Z$1:Z51,_xlfn.RANK.EQ(Y52,Y$2:Y$111,0))&gt;0,_xlfn.MAXIFS(Z$1:Z51,Y$1:Y51,Y52)+1,_xlfn.RANK.EQ(Y52,Y$2:Y$111,0)),"")</f>
        <v/>
      </c>
      <c r="AA52" s="1" t="str">
        <f>IF(ISNUMBER(Y52)=TRUE,IF(_xlfn.RANK.EQ(Y52,$Y$2:$Y$111)&lt;='Tournament Setup'!$B$49,_xlfn.RANK.EQ(Y52,$Y$2:$Y$111),""),"")</f>
        <v/>
      </c>
      <c r="AB52" s="30" t="str">
        <f>IF(AND($F52='Tournament Setup'!$A$32,SUM($Q52,$S52,$U52)=0),$I52,"")</f>
        <v/>
      </c>
      <c r="AC52" s="47" t="str">
        <f>IF(ISNUMBER(AB52),IF(COUNTIFS(AC$1:AC51,_xlfn.RANK.EQ(AB52,AB$2:AB$111,0))&gt;0,_xlfn.MAXIFS(AC$1:AC51,AB$1:AB51,AB52)+1,_xlfn.RANK.EQ(AB52,AB$2:AB$111,0)),"")</f>
        <v/>
      </c>
      <c r="AD52" s="1" t="str">
        <f>IF(ISNUMBER(AB52)=TRUE,IF(_xlfn.RANK.EQ(AB52,$AB$2:$AB$111)&lt;='Tournament Setup'!$B$32,_xlfn.RANK.EQ(AB52,$AB$2:$AB$111),""),"")</f>
        <v/>
      </c>
      <c r="AE52" s="31" t="str">
        <f>IF(AND($F52='Tournament Setup'!$A$32,SUM($Q52,$S52)=0,$E52="M",$AD52&gt;'Tournament Setup'!$B$32),$I52,"")</f>
        <v/>
      </c>
      <c r="AF52" s="1" t="str">
        <f>IF(ISNUMBER(AE52)=TRUE,IF(_xlfn.RANK.EQ(AE52,$AE$2:$AE$111)&lt;='Tournament Setup'!$C$32,_xlfn.RANK.EQ(AE52,$AE$2:$AE$111),""),"")</f>
        <v/>
      </c>
      <c r="AG52" s="31" t="str">
        <f>IF(AND($F52='Tournament Setup'!$A$32,SUM($Q52,$U52)=0,$E52="F",$AD52&gt;'Tournament Setup'!$B$32),$I52,"")</f>
        <v/>
      </c>
      <c r="AH52" s="12" t="str">
        <f>IF(ISNUMBER(AG52)=TRUE,IF(_xlfn.RANK.EQ(AG52,$AG$2:$AG$111)&lt;='Tournament Setup'!$D$32,_xlfn.RANK.EQ(AG52,$AG$2:$AG$111),""),"")</f>
        <v/>
      </c>
      <c r="AI52" s="30" t="str">
        <f>IF(AND($G52='Tournament Setup'!$A$50,$J52&lt;&gt;0),$J52,"")</f>
        <v/>
      </c>
      <c r="AJ52" s="47" t="str">
        <f>IF(ISNUMBER(AI52),IF(COUNTIFS(AJ$1:AJ51,_xlfn.RANK.EQ(AI52,AI$2:AI$111,0))&gt;0,_xlfn.MAXIFS(AJ$1:AJ51,AI$1:AI51,AI52)+1,_xlfn.RANK.EQ(AI52,AI$2:AI$111,0)),"")</f>
        <v/>
      </c>
      <c r="AK52" s="1" t="str">
        <f>IF(ISNUMBER(AI52)=TRUE,IF(_xlfn.RANK.EQ(AI52,$AI$2:$AI$111)&lt;='Tournament Setup'!$B$49,_xlfn.RANK.EQ(AI52,$AI$2:$AI$111),""),"")</f>
        <v/>
      </c>
      <c r="AL52" s="30" t="str">
        <f>IF(AND($F52='Tournament Setup'!$A$33,SUM($Q52,$S52,$U52)=0),$I52,"")</f>
        <v/>
      </c>
      <c r="AM52" s="47" t="str">
        <f>IF(ISNUMBER(AL52),IF(COUNTIFS(AM$1:AM51,_xlfn.RANK.EQ(AL52,AL$2:AL$111,0))&gt;0,_xlfn.MAXIFS(AM$1:AM51,AL$1:AL51,AL52)+1,_xlfn.RANK.EQ(AL52,AL$2:AL$111,0)),"")</f>
        <v/>
      </c>
      <c r="AN52" s="1" t="str">
        <f>IF(ISNUMBER(AL52)=TRUE,IF(_xlfn.RANK.EQ(AL52,$AL$2:$AL$111)&lt;='Tournament Setup'!$B$33,_xlfn.RANK.EQ(AL52,$AL$2:$AL$111),""),"")</f>
        <v/>
      </c>
      <c r="AO52" s="31" t="str">
        <f>IF(AND($F52='Tournament Setup'!$A$33,SUM($Q52,$S52)=0,$E52="M",$AN52&gt;'Tournament Setup'!$B$33),$I52,"")</f>
        <v/>
      </c>
      <c r="AP52" s="1" t="str">
        <f>IF(ISNUMBER(AO52)=TRUE,IF(_xlfn.RANK.EQ(AO52,$AO$2:$AO$111)&lt;='Tournament Setup'!$C$33,_xlfn.RANK.EQ(AO52,$AO$2:$AO$111),""),"")</f>
        <v/>
      </c>
      <c r="AQ52" s="31" t="str">
        <f>IF(AND($F52='Tournament Setup'!$A$33,SUM($Q52,$U52)=0,$E52="F",$AN52&gt;'Tournament Setup'!$B$33),$I52,"")</f>
        <v/>
      </c>
      <c r="AR52" s="12" t="str">
        <f>IF(ISNUMBER(AQ52)=TRUE,IF(_xlfn.RANK.EQ(AQ52,$AQ$2:$AQ$111)&lt;='Tournament Setup'!$D$33,_xlfn.RANK.EQ(AQ52,$AQ$2:$AQ$111),""),"")</f>
        <v/>
      </c>
      <c r="AS52" s="30" t="str">
        <f>IF(AND($G52='Tournament Setup'!$A$51,$J52&lt;&gt;0),$J52,"")</f>
        <v/>
      </c>
      <c r="AT52" s="47" t="str">
        <f>IF(ISNUMBER(AS52),IF(COUNTIFS(AT$1:AT51,_xlfn.RANK.EQ(AS52,AS$2:AS$111,0))&gt;0,_xlfn.MAXIFS(AT$1:AT51,AS$1:AS51,AS52)+1,_xlfn.RANK.EQ(AS52,AS$2:AS$111,0)),"")</f>
        <v/>
      </c>
      <c r="AU52" s="1" t="str">
        <f>IF(ISNUMBER(AS52)=TRUE,IF(_xlfn.RANK.EQ(AS52,$AS$2:$AS$111)&lt;='Tournament Setup'!$B$49,_xlfn.RANK.EQ(AS52,$AS$2:$AS$111),""),"")</f>
        <v/>
      </c>
      <c r="AV52" s="30" t="str">
        <f>IF(AND($F52='Tournament Setup'!$A$34,SUM($Q52,$S52,$U52)=0),$I52,"")</f>
        <v/>
      </c>
      <c r="AW52" s="47" t="str">
        <f>IF(ISNUMBER(AV52),IF(COUNTIFS(AW$1:AW51,_xlfn.RANK.EQ(AV52,AV$2:AV$111,0))&gt;0,_xlfn.MAXIFS(AW$1:AW51,AV$1:AV51,AV52)+1,_xlfn.RANK.EQ(AV52,AV$2:AV$111,0)),"")</f>
        <v/>
      </c>
      <c r="AX52" s="1" t="str">
        <f>IF(ISNUMBER(AV52)=TRUE,IF(_xlfn.RANK.EQ(AV52,$AV$2:$AV$111)&lt;='Tournament Setup'!$B$34,_xlfn.RANK.EQ(AV52,$AV$2:$AV$111),""),"")</f>
        <v/>
      </c>
      <c r="AY52" s="31" t="str">
        <f>IF(AND($F52='Tournament Setup'!$A$34,SUM($Q52,$S52)=0,$E52="M",$AX52&gt;'Tournament Setup'!$B$34),$I52,"")</f>
        <v/>
      </c>
      <c r="AZ52" s="1" t="str">
        <f>IF(ISNUMBER(AY52)=TRUE,IF(_xlfn.RANK.EQ(AY52,$AY$2:$AY$111)&lt;='Tournament Setup'!$C$34,_xlfn.RANK.EQ(AY52,$AY$2:$AY$111),""),"")</f>
        <v/>
      </c>
      <c r="BA52" s="31" t="str">
        <f>IF(AND($F52='Tournament Setup'!$A$34,SUM($Q52,$U52)=0,$E52="F",$AX52&gt;'Tournament Setup'!$B$34),$I52,"")</f>
        <v/>
      </c>
      <c r="BB52" s="12" t="str">
        <f>IF(ISNUMBER(BA52)=TRUE,IF(_xlfn.RANK.EQ(BA52,$BA$2:$BA$111)&lt;='Tournament Setup'!$D$34,_xlfn.RANK.EQ(BA52,$BA$2:$BA$111),""),"")</f>
        <v/>
      </c>
      <c r="BC52" s="30" t="str">
        <f>IF(AND($G52='Tournament Setup'!$A$52,$J52&lt;&gt;0),$J52,"")</f>
        <v/>
      </c>
      <c r="BD52" s="47" t="str">
        <f>IF(ISNUMBER(BC52),IF(COUNTIFS(BD$1:BD51,_xlfn.RANK.EQ(BC52,BC$2:BC$111,0))&gt;0,_xlfn.MAXIFS(BD$1:BD51,BC$1:BC51,BC52)+1,_xlfn.RANK.EQ(BC52,BC$2:BC$111,0)),"")</f>
        <v/>
      </c>
      <c r="BE52" s="1" t="str">
        <f>IF(ISNUMBER(BC52)=TRUE,IF(_xlfn.RANK.EQ(BC52,$BC$2:$BC$111)&lt;='Tournament Setup'!$B$49,_xlfn.RANK.EQ(BC52,$BC$2:$BC$111),""),"")</f>
        <v/>
      </c>
      <c r="BF52" s="30" t="str">
        <f>IF(AND($F52='Tournament Setup'!$A$35,SUM($Q52,$S52,$U52)=0),$I52,"")</f>
        <v/>
      </c>
      <c r="BG52" s="47" t="str">
        <f>IF(ISNUMBER(BF52),IF(COUNTIFS(BG$1:BG51,_xlfn.RANK.EQ(BF52,BF$2:BF$111,0))&gt;0,_xlfn.MAXIFS(BG$1:BG51,BF$1:BF51,BF52)+1,_xlfn.RANK.EQ(BF52,BF$2:BF$111,0)),"")</f>
        <v/>
      </c>
      <c r="BH52" s="1" t="str">
        <f>IF(ISNUMBER(BF52)=TRUE,IF(_xlfn.RANK.EQ(BF52,$BF$2:$BF$111)&lt;='Tournament Setup'!$B$35,_xlfn.RANK.EQ(BF52,$BF$2:$BF$111),""),"")</f>
        <v/>
      </c>
      <c r="BI52" s="31" t="str">
        <f>IF(AND($F52='Tournament Setup'!$A$35,SUM($Q52,$S52)=0,$E52="M",$BH52&gt;'Tournament Setup'!$B$35),$I52,"")</f>
        <v/>
      </c>
      <c r="BJ52" s="1" t="str">
        <f>IF(ISNUMBER(BI52)=TRUE,IF(_xlfn.RANK.EQ(BI52,$BI$2:$BI$111)&lt;='Tournament Setup'!$C$35,_xlfn.RANK.EQ(BI52,$BI$2:$BI$111),""),"")</f>
        <v/>
      </c>
      <c r="BK52" s="31" t="str">
        <f>IF(AND($F52='Tournament Setup'!$A$35,SUM($Q52,$U52)=0,$E52="F",$BH52&gt;'Tournament Setup'!$B$35),$I52,"")</f>
        <v/>
      </c>
      <c r="BL52" s="12" t="str">
        <f>IF(ISNUMBER(BK52)=TRUE,IF(_xlfn.RANK.EQ(BK52,$BK$2:$BK$111)&lt;='Tournament Setup'!$D$35,_xlfn.RANK.EQ(BK52,$BK$2:$BK$111),""),"")</f>
        <v/>
      </c>
      <c r="BM52" s="30" t="str">
        <f>IF(AND($G52='Tournament Setup'!$A$54,$J52&lt;&gt;0),$J52,"")</f>
        <v/>
      </c>
      <c r="BN52" s="47" t="str">
        <f>IF(ISNUMBER(BM52),IF(COUNTIFS(BN$1:BN51,_xlfn.RANK.EQ(BM52,BM$2:BM$111,0))&gt;0,_xlfn.MAXIFS(BN$1:BN51,BM$1:BM51,BM52)+1,_xlfn.RANK.EQ(BM52,BM$2:BM$111,0)),"")</f>
        <v/>
      </c>
      <c r="BO52" s="1" t="str">
        <f>IF(ISNUMBER(BM52)=TRUE,IF(_xlfn.RANK.EQ(BM52,$BM$2:$BM$111)&lt;='Tournament Setup'!$B$49,_xlfn.RANK.EQ(BM52,$BM$2:$BM$111),""),"")</f>
        <v/>
      </c>
      <c r="BP52" s="30" t="str">
        <f>IF(AND($F52='Tournament Setup'!$A$36,SUM($Q52,$S52,$U52)=0),$I52,"")</f>
        <v/>
      </c>
      <c r="BQ52" s="47" t="str">
        <f>IF(ISNUMBER(BP52),IF(COUNTIFS(BQ$1:BQ51,_xlfn.RANK.EQ(BP52,BP$2:BP$111,0))&gt;0,_xlfn.MAXIFS(BQ$1:BQ51,BP$1:BP51,BP52)+1,_xlfn.RANK.EQ(BP52,BP$2:BP$111,0)),"")</f>
        <v/>
      </c>
      <c r="BR52" s="1" t="str">
        <f>IF(ISNUMBER(BP52)=TRUE,IF(_xlfn.RANK.EQ(BP52,$BP$2:$BP$111)&lt;='Tournament Setup'!$B$36,_xlfn.RANK.EQ(BP52,$BP$2:$BP$111),""),"")</f>
        <v/>
      </c>
      <c r="BS52" s="31" t="str">
        <f>IF(AND($F52='Tournament Setup'!$A$36,SUM($Q52,$S52)=0,$E52="M",$BR52&gt;'Tournament Setup'!$B$36),$I52,"")</f>
        <v/>
      </c>
      <c r="BT52" s="1" t="str">
        <f>IF(ISNUMBER(BS52)=TRUE,IF(_xlfn.RANK.EQ(BS52,$BS$2:$BS$111)&lt;='Tournament Setup'!$C$36,_xlfn.RANK.EQ(BS52,$BS$2:$BS$111),""),"")</f>
        <v/>
      </c>
      <c r="BU52" s="31" t="str">
        <f>IF(AND($F52='Tournament Setup'!$A$36,SUM($Q52,$U52)=0,$E52="F",$BR52&gt;'Tournament Setup'!$B$36),$I52,"")</f>
        <v/>
      </c>
      <c r="BV52" s="12" t="str">
        <f>IF(ISNUMBER(BU52)=TRUE,IF(_xlfn.RANK.EQ(BU52,$BU$2:$BU$111)&lt;='Tournament Setup'!$D$36,_xlfn.RANK.EQ(BU52,$BU$2:$BU$111),""),"")</f>
        <v/>
      </c>
      <c r="BW52" s="30" t="str">
        <f>IF($H52='Tournament Setup'!$A$41,$I52,"")</f>
        <v/>
      </c>
      <c r="BX52" s="47" t="str">
        <f>IF(ISNUMBER(BW52),IF(COUNTIFS(BX$1:BX51,_xlfn.RANK.EQ(BW52,BW$2:BW$111,0))&gt;0,_xlfn.MAXIFS(BX$1:BX51,BW$1:BW51,BW52)+1,_xlfn.RANK.EQ(BW52,BW$2:BW$111,0)),"")</f>
        <v/>
      </c>
      <c r="BY52" s="1" t="str">
        <f>IF(ISNUMBER(BW52)=TRUE,IF(_xlfn.RANK.EQ(BW52,$BW$2:$BW$111)&lt;='Tournament Setup'!$B$41,_xlfn.RANK.EQ(BW52,$BW$2:$BW$111),""),"")</f>
        <v/>
      </c>
      <c r="BZ52" s="31" t="str">
        <f>IF(AND($H52='Tournament Setup'!$A$41,$E52="M",$BY52&gt;'Tournament Setup'!$B$41),$I52,"")</f>
        <v/>
      </c>
      <c r="CA52" s="1" t="str">
        <f>IF(ISNUMBER(BZ52)=TRUE,IF(_xlfn.RANK.EQ(BZ52,$BZ$2:$BZ$111)&lt;='Tournament Setup'!$C$41,_xlfn.RANK.EQ(BZ52,$BZ$2:$BZ$111),""),"")</f>
        <v/>
      </c>
      <c r="CB52" s="31" t="str">
        <f>IF(AND($H52='Tournament Setup'!$A$41,$E52="F",$BY52&gt;'Tournament Setup'!$B$41),$I52,"")</f>
        <v/>
      </c>
      <c r="CC52" s="12" t="str">
        <f>IF(ISNUMBER(CB52)=TRUE,IF(_xlfn.RANK.EQ(CB52,$CB$2:$CB$111)&lt;='Tournament Setup'!$D$41,_xlfn.RANK.EQ(CB52,$CB$2:$CB$111),""),"")</f>
        <v/>
      </c>
      <c r="CD52" s="30" t="str">
        <f>IF($H52='Tournament Setup'!$A$42,$I52,"")</f>
        <v/>
      </c>
      <c r="CE52" s="47" t="str">
        <f>IF(ISNUMBER(CD52),IF(COUNTIFS(CE$1:CE51,_xlfn.RANK.EQ(CD52,CD$2:CD$111,0))&gt;0,_xlfn.MAXIFS(CE$1:CE51,CD$1:CD51,CD52)+1,_xlfn.RANK.EQ(CD52,CD$2:CD$111,0)),"")</f>
        <v/>
      </c>
      <c r="CF52" s="1" t="str">
        <f>IF(ISNUMBER(CD52)=TRUE,IF(_xlfn.RANK.EQ(CD52,$CD$2:$CD$111)&lt;='Tournament Setup'!$B$42,_xlfn.RANK.EQ(CD52,$CD$2:$CD$111),""),"")</f>
        <v/>
      </c>
      <c r="CG52" s="31" t="str">
        <f>IF(AND($H52='Tournament Setup'!$A$42,$E52="M",$CF52&gt;'Tournament Setup'!$B$42),$I52,"")</f>
        <v/>
      </c>
      <c r="CH52" s="1" t="str">
        <f>IF(ISNUMBER(CG52)=TRUE,IF(_xlfn.RANK.EQ(CG52,$CG$2:$CG$111)&lt;='Tournament Setup'!$C$42,_xlfn.RANK.EQ(CG52,$CG$2:$CG$111),""),"")</f>
        <v/>
      </c>
      <c r="CI52" s="31" t="str">
        <f>IF(AND($H52='Tournament Setup'!$A$42,$E52="F",$CF52&gt;'Tournament Setup'!$B$42),$I52,"")</f>
        <v/>
      </c>
      <c r="CJ52" s="12" t="str">
        <f>IF(ISNUMBER(CI52)=TRUE,IF(_xlfn.RANK.EQ(CI52,$CI$2:$CI$111)&lt;='Tournament Setup'!$D$42,_xlfn.RANK.EQ(CI52,$CI$2:$CI$111),""),"")</f>
        <v/>
      </c>
      <c r="CK52" s="30" t="str">
        <f>IF($H52='Tournament Setup'!$A$43,$I52,"")</f>
        <v/>
      </c>
      <c r="CL52" s="47" t="str">
        <f>IF(ISNUMBER(CK52),IF(COUNTIFS(CL$1:CL51,_xlfn.RANK.EQ(CK52,CK$2:CK$111,0))&gt;0,_xlfn.MAXIFS(CL$1:CL51,CK$1:CK51,CK52)+1,_xlfn.RANK.EQ(CK52,CK$2:CK$111,0)),"")</f>
        <v/>
      </c>
      <c r="CM52" s="1" t="str">
        <f>IF(ISNUMBER(CK52)=TRUE,IF(_xlfn.RANK.EQ(CK52,$CK$2:$CK$111)&lt;='Tournament Setup'!$B$43,_xlfn.RANK.EQ(CK52,$CK$2:$CK$111),""),"")</f>
        <v/>
      </c>
      <c r="CN52" s="31" t="str">
        <f>IF(AND($H52='Tournament Setup'!$A$43,$E52="M",$CM52&gt;'Tournament Setup'!$B$43),$I52,"")</f>
        <v/>
      </c>
      <c r="CO52" s="1" t="str">
        <f>IF(ISNUMBER(CN52)=TRUE,IF(_xlfn.RANK.EQ(CN52,$CN$2:$CN$111)&lt;='Tournament Setup'!$C$43,_xlfn.RANK.EQ(CN52,$CN$2:$CN$111),""),"")</f>
        <v/>
      </c>
      <c r="CP52" s="31" t="str">
        <f>IF(AND($H52='Tournament Setup'!$A$43,$E52="F",$CM52&gt;'Tournament Setup'!$B$43),$I52,"")</f>
        <v/>
      </c>
      <c r="CQ52" s="12" t="str">
        <f>IF(ISNUMBER(CP52)=TRUE,IF(_xlfn.RANK.EQ(CP52,$CP$2:$CP$111)&lt;='Tournament Setup'!$D$43,_xlfn.RANK.EQ(CP52,$CP$2:$CP$111),""),"")</f>
        <v/>
      </c>
      <c r="CR52" s="30" t="str">
        <f>IF($H52='Tournament Setup'!$A$44,$I52,"")</f>
        <v/>
      </c>
      <c r="CS52" s="47" t="str">
        <f>IF(ISNUMBER(CR52),IF(COUNTIFS(CS$1:CS51,_xlfn.RANK.EQ(CR52,CR$2:CR$111,0))&gt;0,_xlfn.MAXIFS(CS$1:CS51,CR$1:CR51,CR52)+1,_xlfn.RANK.EQ(CR52,CR$2:CR$111,0)),"")</f>
        <v/>
      </c>
      <c r="CT52" s="1" t="str">
        <f>IF(ISNUMBER(CR52)=TRUE,IF(_xlfn.RANK.EQ(CR52,$CR$2:$CR$111)&lt;='Tournament Setup'!$B$44,_xlfn.RANK.EQ(CR52,$CR$2:$CR$111),""),"")</f>
        <v/>
      </c>
      <c r="CU52" s="31" t="str">
        <f>IF(AND($H52='Tournament Setup'!$A$44,$E52="M",$CT52&gt;'Tournament Setup'!$B$44),$I52,"")</f>
        <v/>
      </c>
      <c r="CV52" s="1" t="str">
        <f>IF(ISNUMBER(CU52)=TRUE,IF(_xlfn.RANK.EQ(CU52,$CU$2:$CU$111)&lt;='Tournament Setup'!$C$44,_xlfn.RANK.EQ(CU52,$CU$2:$CU$111),""),"")</f>
        <v/>
      </c>
      <c r="CW52" s="31" t="str">
        <f>IF(AND($H52='Tournament Setup'!$A$44,$E52="F",$CT52&gt;'Tournament Setup'!$B$44),$I52,"")</f>
        <v/>
      </c>
      <c r="CX52" s="12" t="str">
        <f>IF(ISNUMBER(CW52)=TRUE,IF(_xlfn.RANK.EQ(CW52,$CW$2:$CW$111)&lt;='Tournament Setup'!$D$44,_xlfn.RANK.EQ(CW52,$CW$2:$CW$111),""),"")</f>
        <v/>
      </c>
    </row>
    <row r="53" spans="1:102" x14ac:dyDescent="0.3">
      <c r="B53" t="str">
        <f>IFERROR(INDEX('Tournament List'!$B:$B,MATCH($A53,'Tournament List'!$A:$A,0)),"")</f>
        <v/>
      </c>
      <c r="C53" t="str">
        <f>IFERROR(INDEX('Tournament List'!$C:$C,MATCH($A53,'Tournament List'!$A:$A,0)),"")</f>
        <v/>
      </c>
      <c r="D53" t="str">
        <f t="shared" si="2"/>
        <v xml:space="preserve"> </v>
      </c>
      <c r="E53" s="1" t="str">
        <f>IFERROR(INDEX('Tournament List'!F:F,MATCH($A53,'Tournament List'!$A:$A,0)),"")</f>
        <v/>
      </c>
      <c r="F53" t="str">
        <f>IFERROR(INDEX('Tournament List'!M:M,MATCH($A53,'Tournament List'!$A:$A,0)),"")</f>
        <v/>
      </c>
      <c r="G53" t="str">
        <f>IFERROR(INDEX('Shooter-Squad Assignment'!L:L,MATCH(A53,'Shooter-Squad Assignment'!A:A,0)),"")</f>
        <v/>
      </c>
      <c r="H53" s="1" t="str">
        <f>IFERROR(INDEX('Tournament List'!AD:AD,MATCH($A53,'Tournament List'!$A:$A,0)),"")</f>
        <v/>
      </c>
      <c r="I53" s="123" t="str">
        <f>IFERROR(INDEX('Tournament List'!AG:AG,MATCH($A53,'Tournament List'!$A:$A,0)),"")</f>
        <v/>
      </c>
      <c r="J53" s="145" t="str">
        <f>IFERROR(INDEX('Tournament List'!Y:Y,MATCH($A53,'Tournament List'!$A:$A,0)),"")</f>
        <v/>
      </c>
      <c r="K53" s="47" t="str">
        <f>IFERROR(INDEX('Tournament List'!S:S,MATCH(A53,'Tournament List'!A:A,0)),"")</f>
        <v/>
      </c>
      <c r="L53" s="47" t="str">
        <f>IF(ISNUMBER(J53),IF(COUNTIFS(L$1:L52,_xlfn.RANK.EQ(J53,J$2:J$111,0))&gt;0,_xlfn.MAXIFS(L$1:L52,J$1:J52,J53)+1,_xlfn.RANK.EQ(J53,J$2:J$111,0)),"")</f>
        <v/>
      </c>
      <c r="M53" s="11" t="str">
        <f>IF(ISNUMBER(I53)=TRUE,IF(I53&gt;0,_xlfn.RANK.EQ(I53,$I$2:$I$111,0),""),"")</f>
        <v/>
      </c>
      <c r="N53" s="56" t="str">
        <f>IF(ISNUMBER(I53),IF(COUNTIFS(N$1:N52,_xlfn.RANK.EQ(I53,I$2:I$111,0))&gt;0,_xlfn.MAXIFS(N$1:N52,I$1:I52,I53)+1,_xlfn.RANK.EQ(I53,I$2:I$111,0)),"")</f>
        <v/>
      </c>
      <c r="O53" s="144" t="str">
        <f>IF(F53&lt;&gt;"Collegiate"=TRUE,$I53,"")</f>
        <v/>
      </c>
      <c r="P53" s="47" t="str">
        <f>IF(ISNUMBER(O53),IF(COUNTIFS(P$1:P52,_xlfn.RANK.EQ(O53,O$2:O$111,0))&gt;0,_xlfn.MAXIFS(P$1:P52,O$1:O52,O53)+1,_xlfn.RANK.EQ(O53,O$2:O$111,0)),"")</f>
        <v/>
      </c>
      <c r="Q53" s="1" t="str">
        <f>IF(ISNUMBER(O53)=TRUE,IF(_xlfn.RANK.EQ(O53,$O$2:$O$111)&lt;='Tournament Setup'!$B$26,_xlfn.RANK.EQ(O53,$O$2:$O$111),""),"")</f>
        <v/>
      </c>
      <c r="R53" s="143" t="str">
        <f>IF(AND($E53="M",SUM($Q53)=0,F53&lt;&gt;"Collegiate")=TRUE,$I53,"")</f>
        <v/>
      </c>
      <c r="S53" s="1" t="str">
        <f>IF(ISNUMBER(R53)=TRUE,IF(_xlfn.RANK.EQ(R53,$R$2:$R$111)&lt;='Tournament Setup'!$B$27,_xlfn.RANK.EQ(R53,$R$2:$R$111),""),"")</f>
        <v/>
      </c>
      <c r="T53" s="143" t="str">
        <f>IF(AND($E53="F",SUM($Q53)=0,F53&lt;&gt;"Collegiate")=TRUE,$I53,"")</f>
        <v/>
      </c>
      <c r="U53" s="12" t="str">
        <f>IF(ISNUMBER(T53)=TRUE,IF(_xlfn.RANK.EQ(T53,$T$2:$T$111)&lt;='Tournament Setup'!$B$28,_xlfn.RANK.EQ(T53,$T$2:$T$111),""),"")</f>
        <v/>
      </c>
      <c r="V53" s="145" t="str">
        <f>IF(AND($G53='Tournament Setup'!$A$53,$J53&lt;&gt;0),$J53,"")</f>
        <v/>
      </c>
      <c r="W53" s="47" t="str">
        <f>IF(ISNUMBER(V53),IF(COUNTIFS(W$1:W52,_xlfn.RANK.EQ(V53,V$2:V$111,0))&gt;0,_xlfn.MAXIFS(W$1:W52,V$1:V52,V53)+1,_xlfn.RANK.EQ(V53,V$2:V$111,0)),"")</f>
        <v/>
      </c>
      <c r="X53" s="1" t="str">
        <f>IF(ISNUMBER(V53)=TRUE,IF(_xlfn.RANK.EQ(V53,$V$2:$V$111)&lt;='Tournament Setup'!$B$53,_xlfn.RANK.EQ(V53,$V$2:$V$111),""),"")</f>
        <v/>
      </c>
      <c r="Y53" s="145" t="str">
        <f>IF(AND($G53='Tournament Setup'!$A$49,$J53&lt;&gt;0),$J53,"")</f>
        <v/>
      </c>
      <c r="Z53" s="47" t="str">
        <f>IF(ISNUMBER(Y53),IF(COUNTIFS(Z$1:Z52,_xlfn.RANK.EQ(Y53,Y$2:Y$111,0))&gt;0,_xlfn.MAXIFS(Z$1:Z52,Y$1:Y52,Y53)+1,_xlfn.RANK.EQ(Y53,Y$2:Y$111,0)),"")</f>
        <v/>
      </c>
      <c r="AA53" s="1" t="str">
        <f>IF(ISNUMBER(Y53)=TRUE,IF(_xlfn.RANK.EQ(Y53,$Y$2:$Y$111)&lt;='Tournament Setup'!$B$49,_xlfn.RANK.EQ(Y53,$Y$2:$Y$111),""),"")</f>
        <v/>
      </c>
      <c r="AB53" s="30" t="str">
        <f>IF(AND($F53='Tournament Setup'!$A$32,SUM($Q53,$S53,$U53)=0),$I53,"")</f>
        <v/>
      </c>
      <c r="AC53" s="47" t="str">
        <f>IF(ISNUMBER(AB53),IF(COUNTIFS(AC$1:AC52,_xlfn.RANK.EQ(AB53,AB$2:AB$111,0))&gt;0,_xlfn.MAXIFS(AC$1:AC52,AB$1:AB52,AB53)+1,_xlfn.RANK.EQ(AB53,AB$2:AB$111,0)),"")</f>
        <v/>
      </c>
      <c r="AD53" s="1" t="str">
        <f>IF(ISNUMBER(AB53)=TRUE,IF(_xlfn.RANK.EQ(AB53,$AB$2:$AB$111)&lt;='Tournament Setup'!$B$32,_xlfn.RANK.EQ(AB53,$AB$2:$AB$111),""),"")</f>
        <v/>
      </c>
      <c r="AE53" s="31" t="str">
        <f>IF(AND($F53='Tournament Setup'!$A$32,SUM($Q53,$S53)=0,$E53="M",$AD53&gt;'Tournament Setup'!$B$32),$I53,"")</f>
        <v/>
      </c>
      <c r="AF53" s="1" t="str">
        <f>IF(ISNUMBER(AE53)=TRUE,IF(_xlfn.RANK.EQ(AE53,$AE$2:$AE$111)&lt;='Tournament Setup'!$C$32,_xlfn.RANK.EQ(AE53,$AE$2:$AE$111),""),"")</f>
        <v/>
      </c>
      <c r="AG53" s="31" t="str">
        <f>IF(AND($F53='Tournament Setup'!$A$32,SUM($Q53,$U53)=0,$E53="F",$AD53&gt;'Tournament Setup'!$B$32),$I53,"")</f>
        <v/>
      </c>
      <c r="AH53" s="12" t="str">
        <f>IF(ISNUMBER(AG53)=TRUE,IF(_xlfn.RANK.EQ(AG53,$AG$2:$AG$111)&lt;='Tournament Setup'!$D$32,_xlfn.RANK.EQ(AG53,$AG$2:$AG$111),""),"")</f>
        <v/>
      </c>
      <c r="AI53" s="30" t="str">
        <f>IF(AND($G53='Tournament Setup'!$A$50,$J53&lt;&gt;0),$J53,"")</f>
        <v/>
      </c>
      <c r="AJ53" s="47" t="str">
        <f>IF(ISNUMBER(AI53),IF(COUNTIFS(AJ$1:AJ52,_xlfn.RANK.EQ(AI53,AI$2:AI$111,0))&gt;0,_xlfn.MAXIFS(AJ$1:AJ52,AI$1:AI52,AI53)+1,_xlfn.RANK.EQ(AI53,AI$2:AI$111,0)),"")</f>
        <v/>
      </c>
      <c r="AK53" s="1" t="str">
        <f>IF(ISNUMBER(AI53)=TRUE,IF(_xlfn.RANK.EQ(AI53,$AI$2:$AI$111)&lt;='Tournament Setup'!$B$49,_xlfn.RANK.EQ(AI53,$AI$2:$AI$111),""),"")</f>
        <v/>
      </c>
      <c r="AL53" s="30" t="str">
        <f>IF(AND($F53='Tournament Setup'!$A$33,SUM($Q53,$S53,$U53)=0),$I53,"")</f>
        <v/>
      </c>
      <c r="AM53" s="47" t="str">
        <f>IF(ISNUMBER(AL53),IF(COUNTIFS(AM$1:AM52,_xlfn.RANK.EQ(AL53,AL$2:AL$111,0))&gt;0,_xlfn.MAXIFS(AM$1:AM52,AL$1:AL52,AL53)+1,_xlfn.RANK.EQ(AL53,AL$2:AL$111,0)),"")</f>
        <v/>
      </c>
      <c r="AN53" s="1" t="str">
        <f>IF(ISNUMBER(AL53)=TRUE,IF(_xlfn.RANK.EQ(AL53,$AL$2:$AL$111)&lt;='Tournament Setup'!$B$33,_xlfn.RANK.EQ(AL53,$AL$2:$AL$111),""),"")</f>
        <v/>
      </c>
      <c r="AO53" s="31" t="str">
        <f>IF(AND($F53='Tournament Setup'!$A$33,SUM($Q53,$S53)=0,$E53="M",$AN53&gt;'Tournament Setup'!$B$33),$I53,"")</f>
        <v/>
      </c>
      <c r="AP53" s="1" t="str">
        <f>IF(ISNUMBER(AO53)=TRUE,IF(_xlfn.RANK.EQ(AO53,$AO$2:$AO$111)&lt;='Tournament Setup'!$C$33,_xlfn.RANK.EQ(AO53,$AO$2:$AO$111),""),"")</f>
        <v/>
      </c>
      <c r="AQ53" s="31" t="str">
        <f>IF(AND($F53='Tournament Setup'!$A$33,SUM($Q53,$U53)=0,$E53="F",$AN53&gt;'Tournament Setup'!$B$33),$I53,"")</f>
        <v/>
      </c>
      <c r="AR53" s="12" t="str">
        <f>IF(ISNUMBER(AQ53)=TRUE,IF(_xlfn.RANK.EQ(AQ53,$AQ$2:$AQ$111)&lt;='Tournament Setup'!$D$33,_xlfn.RANK.EQ(AQ53,$AQ$2:$AQ$111),""),"")</f>
        <v/>
      </c>
      <c r="AS53" s="30" t="str">
        <f>IF(AND($G53='Tournament Setup'!$A$51,$J53&lt;&gt;0),$J53,"")</f>
        <v/>
      </c>
      <c r="AT53" s="47" t="str">
        <f>IF(ISNUMBER(AS53),IF(COUNTIFS(AT$1:AT52,_xlfn.RANK.EQ(AS53,AS$2:AS$111,0))&gt;0,_xlfn.MAXIFS(AT$1:AT52,AS$1:AS52,AS53)+1,_xlfn.RANK.EQ(AS53,AS$2:AS$111,0)),"")</f>
        <v/>
      </c>
      <c r="AU53" s="1" t="str">
        <f>IF(ISNUMBER(AS53)=TRUE,IF(_xlfn.RANK.EQ(AS53,$AS$2:$AS$111)&lt;='Tournament Setup'!$B$49,_xlfn.RANK.EQ(AS53,$AS$2:$AS$111),""),"")</f>
        <v/>
      </c>
      <c r="AV53" s="30" t="str">
        <f>IF(AND($F53='Tournament Setup'!$A$34,SUM($Q53,$S53,$U53)=0),$I53,"")</f>
        <v/>
      </c>
      <c r="AW53" s="47" t="str">
        <f>IF(ISNUMBER(AV53),IF(COUNTIFS(AW$1:AW52,_xlfn.RANK.EQ(AV53,AV$2:AV$111,0))&gt;0,_xlfn.MAXIFS(AW$1:AW52,AV$1:AV52,AV53)+1,_xlfn.RANK.EQ(AV53,AV$2:AV$111,0)),"")</f>
        <v/>
      </c>
      <c r="AX53" s="1" t="str">
        <f>IF(ISNUMBER(AV53)=TRUE,IF(_xlfn.RANK.EQ(AV53,$AV$2:$AV$111)&lt;='Tournament Setup'!$B$34,_xlfn.RANK.EQ(AV53,$AV$2:$AV$111),""),"")</f>
        <v/>
      </c>
      <c r="AY53" s="31" t="str">
        <f>IF(AND($F53='Tournament Setup'!$A$34,SUM($Q53,$S53)=0,$E53="M",$AX53&gt;'Tournament Setup'!$B$34),$I53,"")</f>
        <v/>
      </c>
      <c r="AZ53" s="1" t="str">
        <f>IF(ISNUMBER(AY53)=TRUE,IF(_xlfn.RANK.EQ(AY53,$AY$2:$AY$111)&lt;='Tournament Setup'!$C$34,_xlfn.RANK.EQ(AY53,$AY$2:$AY$111),""),"")</f>
        <v/>
      </c>
      <c r="BA53" s="31" t="str">
        <f>IF(AND($F53='Tournament Setup'!$A$34,SUM($Q53,$U53)=0,$E53="F",$AX53&gt;'Tournament Setup'!$B$34),$I53,"")</f>
        <v/>
      </c>
      <c r="BB53" s="12" t="str">
        <f>IF(ISNUMBER(BA53)=TRUE,IF(_xlfn.RANK.EQ(BA53,$BA$2:$BA$111)&lt;='Tournament Setup'!$D$34,_xlfn.RANK.EQ(BA53,$BA$2:$BA$111),""),"")</f>
        <v/>
      </c>
      <c r="BC53" s="30" t="str">
        <f>IF(AND($G53='Tournament Setup'!$A$52,$J53&lt;&gt;0),$J53,"")</f>
        <v/>
      </c>
      <c r="BD53" s="47" t="str">
        <f>IF(ISNUMBER(BC53),IF(COUNTIFS(BD$1:BD52,_xlfn.RANK.EQ(BC53,BC$2:BC$111,0))&gt;0,_xlfn.MAXIFS(BD$1:BD52,BC$1:BC52,BC53)+1,_xlfn.RANK.EQ(BC53,BC$2:BC$111,0)),"")</f>
        <v/>
      </c>
      <c r="BE53" s="1" t="str">
        <f>IF(ISNUMBER(BC53)=TRUE,IF(_xlfn.RANK.EQ(BC53,$BC$2:$BC$111)&lt;='Tournament Setup'!$B$49,_xlfn.RANK.EQ(BC53,$BC$2:$BC$111),""),"")</f>
        <v/>
      </c>
      <c r="BF53" s="30" t="str">
        <f>IF(AND($F53='Tournament Setup'!$A$35,SUM($Q53,$S53,$U53)=0),$I53,"")</f>
        <v/>
      </c>
      <c r="BG53" s="47" t="str">
        <f>IF(ISNUMBER(BF53),IF(COUNTIFS(BG$1:BG52,_xlfn.RANK.EQ(BF53,BF$2:BF$111,0))&gt;0,_xlfn.MAXIFS(BG$1:BG52,BF$1:BF52,BF53)+1,_xlfn.RANK.EQ(BF53,BF$2:BF$111,0)),"")</f>
        <v/>
      </c>
      <c r="BH53" s="1" t="str">
        <f>IF(ISNUMBER(BF53)=TRUE,IF(_xlfn.RANK.EQ(BF53,$BF$2:$BF$111)&lt;='Tournament Setup'!$B$35,_xlfn.RANK.EQ(BF53,$BF$2:$BF$111),""),"")</f>
        <v/>
      </c>
      <c r="BI53" s="31" t="str">
        <f>IF(AND($F53='Tournament Setup'!$A$35,SUM($Q53,$S53)=0,$E53="M",$BH53&gt;'Tournament Setup'!$B$35),$I53,"")</f>
        <v/>
      </c>
      <c r="BJ53" s="1" t="str">
        <f>IF(ISNUMBER(BI53)=TRUE,IF(_xlfn.RANK.EQ(BI53,$BI$2:$BI$111)&lt;='Tournament Setup'!$C$35,_xlfn.RANK.EQ(BI53,$BI$2:$BI$111),""),"")</f>
        <v/>
      </c>
      <c r="BK53" s="31" t="str">
        <f>IF(AND($F53='Tournament Setup'!$A$35,SUM($Q53,$U53)=0,$E53="F",$BH53&gt;'Tournament Setup'!$B$35),$I53,"")</f>
        <v/>
      </c>
      <c r="BL53" s="12" t="str">
        <f>IF(ISNUMBER(BK53)=TRUE,IF(_xlfn.RANK.EQ(BK53,$BK$2:$BK$111)&lt;='Tournament Setup'!$D$35,_xlfn.RANK.EQ(BK53,$BK$2:$BK$111),""),"")</f>
        <v/>
      </c>
      <c r="BM53" s="30" t="str">
        <f>IF(AND($G53='Tournament Setup'!$A$54,$J53&lt;&gt;0),$J53,"")</f>
        <v/>
      </c>
      <c r="BN53" s="47" t="str">
        <f>IF(ISNUMBER(BM53),IF(COUNTIFS(BN$1:BN52,_xlfn.RANK.EQ(BM53,BM$2:BM$111,0))&gt;0,_xlfn.MAXIFS(BN$1:BN52,BM$1:BM52,BM53)+1,_xlfn.RANK.EQ(BM53,BM$2:BM$111,0)),"")</f>
        <v/>
      </c>
      <c r="BO53" s="1" t="str">
        <f>IF(ISNUMBER(BM53)=TRUE,IF(_xlfn.RANK.EQ(BM53,$BM$2:$BM$111)&lt;='Tournament Setup'!$B$49,_xlfn.RANK.EQ(BM53,$BM$2:$BM$111),""),"")</f>
        <v/>
      </c>
      <c r="BP53" s="30" t="str">
        <f>IF(AND($F53='Tournament Setup'!$A$36,SUM($Q53,$S53,$U53)=0),$I53,"")</f>
        <v/>
      </c>
      <c r="BQ53" s="47" t="str">
        <f>IF(ISNUMBER(BP53),IF(COUNTIFS(BQ$1:BQ52,_xlfn.RANK.EQ(BP53,BP$2:BP$111,0))&gt;0,_xlfn.MAXIFS(BQ$1:BQ52,BP$1:BP52,BP53)+1,_xlfn.RANK.EQ(BP53,BP$2:BP$111,0)),"")</f>
        <v/>
      </c>
      <c r="BR53" s="1" t="str">
        <f>IF(ISNUMBER(BP53)=TRUE,IF(_xlfn.RANK.EQ(BP53,$BP$2:$BP$111)&lt;='Tournament Setup'!$B$36,_xlfn.RANK.EQ(BP53,$BP$2:$BP$111),""),"")</f>
        <v/>
      </c>
      <c r="BS53" s="31" t="str">
        <f>IF(AND($F53='Tournament Setup'!$A$36,SUM($Q53,$S53)=0,$E53="M",$BR53&gt;'Tournament Setup'!$B$36),$I53,"")</f>
        <v/>
      </c>
      <c r="BT53" s="1" t="str">
        <f>IF(ISNUMBER(BS53)=TRUE,IF(_xlfn.RANK.EQ(BS53,$BS$2:$BS$111)&lt;='Tournament Setup'!$C$36,_xlfn.RANK.EQ(BS53,$BS$2:$BS$111),""),"")</f>
        <v/>
      </c>
      <c r="BU53" s="31" t="str">
        <f>IF(AND($F53='Tournament Setup'!$A$36,SUM($Q53,$U53)=0,$E53="F",$BR53&gt;'Tournament Setup'!$B$36),$I53,"")</f>
        <v/>
      </c>
      <c r="BV53" s="12" t="str">
        <f>IF(ISNUMBER(BU53)=TRUE,IF(_xlfn.RANK.EQ(BU53,$BU$2:$BU$111)&lt;='Tournament Setup'!$D$36,_xlfn.RANK.EQ(BU53,$BU$2:$BU$111),""),"")</f>
        <v/>
      </c>
      <c r="BW53" s="30" t="str">
        <f>IF($H53='Tournament Setup'!$A$41,$I53,"")</f>
        <v/>
      </c>
      <c r="BX53" s="47" t="str">
        <f>IF(ISNUMBER(BW53),IF(COUNTIFS(BX$1:BX52,_xlfn.RANK.EQ(BW53,BW$2:BW$111,0))&gt;0,_xlfn.MAXIFS(BX$1:BX52,BW$1:BW52,BW53)+1,_xlfn.RANK.EQ(BW53,BW$2:BW$111,0)),"")</f>
        <v/>
      </c>
      <c r="BY53" s="1" t="str">
        <f>IF(ISNUMBER(BW53)=TRUE,IF(_xlfn.RANK.EQ(BW53,$BW$2:$BW$111)&lt;='Tournament Setup'!$B$41,_xlfn.RANK.EQ(BW53,$BW$2:$BW$111),""),"")</f>
        <v/>
      </c>
      <c r="BZ53" s="31" t="str">
        <f>IF(AND($H53='Tournament Setup'!$A$41,$E53="M",$BY53&gt;'Tournament Setup'!$B$41),$I53,"")</f>
        <v/>
      </c>
      <c r="CA53" s="1" t="str">
        <f>IF(ISNUMBER(BZ53)=TRUE,IF(_xlfn.RANK.EQ(BZ53,$BZ$2:$BZ$111)&lt;='Tournament Setup'!$C$41,_xlfn.RANK.EQ(BZ53,$BZ$2:$BZ$111),""),"")</f>
        <v/>
      </c>
      <c r="CB53" s="31" t="str">
        <f>IF(AND($H53='Tournament Setup'!$A$41,$E53="F",$BY53&gt;'Tournament Setup'!$B$41),$I53,"")</f>
        <v/>
      </c>
      <c r="CC53" s="12" t="str">
        <f>IF(ISNUMBER(CB53)=TRUE,IF(_xlfn.RANK.EQ(CB53,$CB$2:$CB$111)&lt;='Tournament Setup'!$D$41,_xlfn.RANK.EQ(CB53,$CB$2:$CB$111),""),"")</f>
        <v/>
      </c>
      <c r="CD53" s="30" t="str">
        <f>IF($H53='Tournament Setup'!$A$42,$I53,"")</f>
        <v/>
      </c>
      <c r="CE53" s="47" t="str">
        <f>IF(ISNUMBER(CD53),IF(COUNTIFS(CE$1:CE52,_xlfn.RANK.EQ(CD53,CD$2:CD$111,0))&gt;0,_xlfn.MAXIFS(CE$1:CE52,CD$1:CD52,CD53)+1,_xlfn.RANK.EQ(CD53,CD$2:CD$111,0)),"")</f>
        <v/>
      </c>
      <c r="CF53" s="1" t="str">
        <f>IF(ISNUMBER(CD53)=TRUE,IF(_xlfn.RANK.EQ(CD53,$CD$2:$CD$111)&lt;='Tournament Setup'!$B$42,_xlfn.RANK.EQ(CD53,$CD$2:$CD$111),""),"")</f>
        <v/>
      </c>
      <c r="CG53" s="31" t="str">
        <f>IF(AND($H53='Tournament Setup'!$A$42,$E53="M",$CF53&gt;'Tournament Setup'!$B$42),$I53,"")</f>
        <v/>
      </c>
      <c r="CH53" s="1" t="str">
        <f>IF(ISNUMBER(CG53)=TRUE,IF(_xlfn.RANK.EQ(CG53,$CG$2:$CG$111)&lt;='Tournament Setup'!$C$42,_xlfn.RANK.EQ(CG53,$CG$2:$CG$111),""),"")</f>
        <v/>
      </c>
      <c r="CI53" s="31" t="str">
        <f>IF(AND($H53='Tournament Setup'!$A$42,$E53="F",$CF53&gt;'Tournament Setup'!$B$42),$I53,"")</f>
        <v/>
      </c>
      <c r="CJ53" s="12" t="str">
        <f>IF(ISNUMBER(CI53)=TRUE,IF(_xlfn.RANK.EQ(CI53,$CI$2:$CI$111)&lt;='Tournament Setup'!$D$42,_xlfn.RANK.EQ(CI53,$CI$2:$CI$111),""),"")</f>
        <v/>
      </c>
      <c r="CK53" s="30" t="str">
        <f>IF($H53='Tournament Setup'!$A$43,$I53,"")</f>
        <v/>
      </c>
      <c r="CL53" s="47" t="str">
        <f>IF(ISNUMBER(CK53),IF(COUNTIFS(CL$1:CL52,_xlfn.RANK.EQ(CK53,CK$2:CK$111,0))&gt;0,_xlfn.MAXIFS(CL$1:CL52,CK$1:CK52,CK53)+1,_xlfn.RANK.EQ(CK53,CK$2:CK$111,0)),"")</f>
        <v/>
      </c>
      <c r="CM53" s="1" t="str">
        <f>IF(ISNUMBER(CK53)=TRUE,IF(_xlfn.RANK.EQ(CK53,$CK$2:$CK$111)&lt;='Tournament Setup'!$B$43,_xlfn.RANK.EQ(CK53,$CK$2:$CK$111),""),"")</f>
        <v/>
      </c>
      <c r="CN53" s="31" t="str">
        <f>IF(AND($H53='Tournament Setup'!$A$43,$E53="M",$CM53&gt;'Tournament Setup'!$B$43),$I53,"")</f>
        <v/>
      </c>
      <c r="CO53" s="1" t="str">
        <f>IF(ISNUMBER(CN53)=TRUE,IF(_xlfn.RANK.EQ(CN53,$CN$2:$CN$111)&lt;='Tournament Setup'!$C$43,_xlfn.RANK.EQ(CN53,$CN$2:$CN$111),""),"")</f>
        <v/>
      </c>
      <c r="CP53" s="31" t="str">
        <f>IF(AND($H53='Tournament Setup'!$A$43,$E53="F",$CM53&gt;'Tournament Setup'!$B$43),$I53,"")</f>
        <v/>
      </c>
      <c r="CQ53" s="12" t="str">
        <f>IF(ISNUMBER(CP53)=TRUE,IF(_xlfn.RANK.EQ(CP53,$CP$2:$CP$111)&lt;='Tournament Setup'!$D$43,_xlfn.RANK.EQ(CP53,$CP$2:$CP$111),""),"")</f>
        <v/>
      </c>
      <c r="CR53" s="30" t="str">
        <f>IF($H53='Tournament Setup'!$A$44,$I53,"")</f>
        <v/>
      </c>
      <c r="CS53" s="47" t="str">
        <f>IF(ISNUMBER(CR53),IF(COUNTIFS(CS$1:CS52,_xlfn.RANK.EQ(CR53,CR$2:CR$111,0))&gt;0,_xlfn.MAXIFS(CS$1:CS52,CR$1:CR52,CR53)+1,_xlfn.RANK.EQ(CR53,CR$2:CR$111,0)),"")</f>
        <v/>
      </c>
      <c r="CT53" s="1" t="str">
        <f>IF(ISNUMBER(CR53)=TRUE,IF(_xlfn.RANK.EQ(CR53,$CR$2:$CR$111)&lt;='Tournament Setup'!$B$44,_xlfn.RANK.EQ(CR53,$CR$2:$CR$111),""),"")</f>
        <v/>
      </c>
      <c r="CU53" s="31" t="str">
        <f>IF(AND($H53='Tournament Setup'!$A$44,$E53="M",$CT53&gt;'Tournament Setup'!$B$44),$I53,"")</f>
        <v/>
      </c>
      <c r="CV53" s="1" t="str">
        <f>IF(ISNUMBER(CU53)=TRUE,IF(_xlfn.RANK.EQ(CU53,$CU$2:$CU$111)&lt;='Tournament Setup'!$C$44,_xlfn.RANK.EQ(CU53,$CU$2:$CU$111),""),"")</f>
        <v/>
      </c>
      <c r="CW53" s="31" t="str">
        <f>IF(AND($H53='Tournament Setup'!$A$44,$E53="F",$CT53&gt;'Tournament Setup'!$B$44),$I53,"")</f>
        <v/>
      </c>
      <c r="CX53" s="12" t="str">
        <f>IF(ISNUMBER(CW53)=TRUE,IF(_xlfn.RANK.EQ(CW53,$CW$2:$CW$111)&lt;='Tournament Setup'!$D$44,_xlfn.RANK.EQ(CW53,$CW$2:$CW$111),""),"")</f>
        <v/>
      </c>
    </row>
    <row r="54" spans="1:102" x14ac:dyDescent="0.3">
      <c r="B54" t="str">
        <f>IFERROR(INDEX('Tournament List'!$B:$B,MATCH($A54,'Tournament List'!$A:$A,0)),"")</f>
        <v/>
      </c>
      <c r="C54" t="str">
        <f>IFERROR(INDEX('Tournament List'!$C:$C,MATCH($A54,'Tournament List'!$A:$A,0)),"")</f>
        <v/>
      </c>
      <c r="D54" t="str">
        <f t="shared" si="2"/>
        <v xml:space="preserve"> </v>
      </c>
      <c r="E54" s="1" t="str">
        <f>IFERROR(INDEX('Tournament List'!F:F,MATCH($A54,'Tournament List'!$A:$A,0)),"")</f>
        <v/>
      </c>
      <c r="F54" t="str">
        <f>IFERROR(INDEX('Tournament List'!M:M,MATCH($A54,'Tournament List'!$A:$A,0)),"")</f>
        <v/>
      </c>
      <c r="G54" t="str">
        <f>IFERROR(INDEX('Shooter-Squad Assignment'!L:L,MATCH(A54,'Shooter-Squad Assignment'!A:A,0)),"")</f>
        <v/>
      </c>
      <c r="H54" s="1" t="str">
        <f>IFERROR(INDEX('Tournament List'!AD:AD,MATCH($A54,'Tournament List'!$A:$A,0)),"")</f>
        <v/>
      </c>
      <c r="I54" s="123" t="str">
        <f>IFERROR(INDEX('Tournament List'!AG:AG,MATCH($A54,'Tournament List'!$A:$A,0)),"")</f>
        <v/>
      </c>
      <c r="J54" s="145" t="str">
        <f>IFERROR(INDEX('Tournament List'!Y:Y,MATCH($A54,'Tournament List'!$A:$A,0)),"")</f>
        <v/>
      </c>
      <c r="K54" s="47" t="str">
        <f>IFERROR(INDEX('Tournament List'!S:S,MATCH(A54,'Tournament List'!A:A,0)),"")</f>
        <v/>
      </c>
      <c r="L54" s="47" t="str">
        <f>IF(ISNUMBER(J54),IF(COUNTIFS(L$1:L53,_xlfn.RANK.EQ(J54,J$2:J$111,0))&gt;0,_xlfn.MAXIFS(L$1:L53,J$1:J53,J54)+1,_xlfn.RANK.EQ(J54,J$2:J$111,0)),"")</f>
        <v/>
      </c>
      <c r="M54" s="11" t="str">
        <f>IF(ISNUMBER(I54)=TRUE,IF(I54&gt;0,_xlfn.RANK.EQ(I54,$I$2:$I$111,0),""),"")</f>
        <v/>
      </c>
      <c r="N54" s="56" t="str">
        <f>IF(ISNUMBER(I54),IF(COUNTIFS(N$1:N53,_xlfn.RANK.EQ(I54,I$2:I$111,0))&gt;0,_xlfn.MAXIFS(N$1:N53,I$1:I53,I54)+1,_xlfn.RANK.EQ(I54,I$2:I$111,0)),"")</f>
        <v/>
      </c>
      <c r="O54" s="144" t="str">
        <f>IF(F54&lt;&gt;"Collegiate"=TRUE,$I54,"")</f>
        <v/>
      </c>
      <c r="P54" s="47" t="str">
        <f>IF(ISNUMBER(O54),IF(COUNTIFS(P$1:P53,_xlfn.RANK.EQ(O54,O$2:O$111,0))&gt;0,_xlfn.MAXIFS(P$1:P53,O$1:O53,O54)+1,_xlfn.RANK.EQ(O54,O$2:O$111,0)),"")</f>
        <v/>
      </c>
      <c r="Q54" s="1" t="str">
        <f>IF(ISNUMBER(O54)=TRUE,IF(_xlfn.RANK.EQ(O54,$O$2:$O$111)&lt;='Tournament Setup'!$B$26,_xlfn.RANK.EQ(O54,$O$2:$O$111),""),"")</f>
        <v/>
      </c>
      <c r="R54" s="143" t="str">
        <f>IF(AND($E54="M",SUM($Q54)=0,F54&lt;&gt;"Collegiate")=TRUE,$I54,"")</f>
        <v/>
      </c>
      <c r="S54" s="1" t="str">
        <f>IF(ISNUMBER(R54)=TRUE,IF(_xlfn.RANK.EQ(R54,$R$2:$R$111)&lt;='Tournament Setup'!$B$27,_xlfn.RANK.EQ(R54,$R$2:$R$111),""),"")</f>
        <v/>
      </c>
      <c r="T54" s="143" t="str">
        <f>IF(AND($E54="F",SUM($Q54)=0,F54&lt;&gt;"Collegiate")=TRUE,$I54,"")</f>
        <v/>
      </c>
      <c r="U54" s="12" t="str">
        <f>IF(ISNUMBER(T54)=TRUE,IF(_xlfn.RANK.EQ(T54,$T$2:$T$111)&lt;='Tournament Setup'!$B$28,_xlfn.RANK.EQ(T54,$T$2:$T$111),""),"")</f>
        <v/>
      </c>
      <c r="V54" s="145" t="str">
        <f>IF(AND($G54='Tournament Setup'!$A$53,$J54&lt;&gt;0),$J54,"")</f>
        <v/>
      </c>
      <c r="W54" s="47" t="str">
        <f>IF(ISNUMBER(V54),IF(COUNTIFS(W$1:W53,_xlfn.RANK.EQ(V54,V$2:V$111,0))&gt;0,_xlfn.MAXIFS(W$1:W53,V$1:V53,V54)+1,_xlfn.RANK.EQ(V54,V$2:V$111,0)),"")</f>
        <v/>
      </c>
      <c r="X54" s="1" t="str">
        <f>IF(ISNUMBER(V54)=TRUE,IF(_xlfn.RANK.EQ(V54,$V$2:$V$111)&lt;='Tournament Setup'!$B$53,_xlfn.RANK.EQ(V54,$V$2:$V$111),""),"")</f>
        <v/>
      </c>
      <c r="Y54" s="145" t="str">
        <f>IF(AND($G54='Tournament Setup'!$A$49,$J54&lt;&gt;0),$J54,"")</f>
        <v/>
      </c>
      <c r="Z54" s="47" t="str">
        <f>IF(ISNUMBER(Y54),IF(COUNTIFS(Z$1:Z53,_xlfn.RANK.EQ(Y54,Y$2:Y$111,0))&gt;0,_xlfn.MAXIFS(Z$1:Z53,Y$1:Y53,Y54)+1,_xlfn.RANK.EQ(Y54,Y$2:Y$111,0)),"")</f>
        <v/>
      </c>
      <c r="AA54" s="1" t="str">
        <f>IF(ISNUMBER(Y54)=TRUE,IF(_xlfn.RANK.EQ(Y54,$Y$2:$Y$111)&lt;='Tournament Setup'!$B$49,_xlfn.RANK.EQ(Y54,$Y$2:$Y$111),""),"")</f>
        <v/>
      </c>
      <c r="AB54" s="30" t="str">
        <f>IF(AND($F54='Tournament Setup'!$A$32,SUM($Q54,$S54,$U54)=0),$I54,"")</f>
        <v/>
      </c>
      <c r="AC54" s="47" t="str">
        <f>IF(ISNUMBER(AB54),IF(COUNTIFS(AC$1:AC53,_xlfn.RANK.EQ(AB54,AB$2:AB$111,0))&gt;0,_xlfn.MAXIFS(AC$1:AC53,AB$1:AB53,AB54)+1,_xlfn.RANK.EQ(AB54,AB$2:AB$111,0)),"")</f>
        <v/>
      </c>
      <c r="AD54" s="1" t="str">
        <f>IF(ISNUMBER(AB54)=TRUE,IF(_xlfn.RANK.EQ(AB54,$AB$2:$AB$111)&lt;='Tournament Setup'!$B$32,_xlfn.RANK.EQ(AB54,$AB$2:$AB$111),""),"")</f>
        <v/>
      </c>
      <c r="AE54" s="31" t="str">
        <f>IF(AND($F54='Tournament Setup'!$A$32,SUM($Q54,$S54)=0,$E54="M",$AD54&gt;'Tournament Setup'!$B$32),$I54,"")</f>
        <v/>
      </c>
      <c r="AF54" s="1" t="str">
        <f>IF(ISNUMBER(AE54)=TRUE,IF(_xlfn.RANK.EQ(AE54,$AE$2:$AE$111)&lt;='Tournament Setup'!$C$32,_xlfn.RANK.EQ(AE54,$AE$2:$AE$111),""),"")</f>
        <v/>
      </c>
      <c r="AG54" s="31" t="str">
        <f>IF(AND($F54='Tournament Setup'!$A$32,SUM($Q54,$U54)=0,$E54="F",$AD54&gt;'Tournament Setup'!$B$32),$I54,"")</f>
        <v/>
      </c>
      <c r="AH54" s="12" t="str">
        <f>IF(ISNUMBER(AG54)=TRUE,IF(_xlfn.RANK.EQ(AG54,$AG$2:$AG$111)&lt;='Tournament Setup'!$D$32,_xlfn.RANK.EQ(AG54,$AG$2:$AG$111),""),"")</f>
        <v/>
      </c>
      <c r="AI54" s="30" t="str">
        <f>IF(AND($G54='Tournament Setup'!$A$50,$J54&lt;&gt;0),$J54,"")</f>
        <v/>
      </c>
      <c r="AJ54" s="47" t="str">
        <f>IF(ISNUMBER(AI54),IF(COUNTIFS(AJ$1:AJ53,_xlfn.RANK.EQ(AI54,AI$2:AI$111,0))&gt;0,_xlfn.MAXIFS(AJ$1:AJ53,AI$1:AI53,AI54)+1,_xlfn.RANK.EQ(AI54,AI$2:AI$111,0)),"")</f>
        <v/>
      </c>
      <c r="AK54" s="1" t="str">
        <f>IF(ISNUMBER(AI54)=TRUE,IF(_xlfn.RANK.EQ(AI54,$AI$2:$AI$111)&lt;='Tournament Setup'!$B$49,_xlfn.RANK.EQ(AI54,$AI$2:$AI$111),""),"")</f>
        <v/>
      </c>
      <c r="AL54" s="30" t="str">
        <f>IF(AND($F54='Tournament Setup'!$A$33,SUM($Q54,$S54,$U54)=0),$I54,"")</f>
        <v/>
      </c>
      <c r="AM54" s="47" t="str">
        <f>IF(ISNUMBER(AL54),IF(COUNTIFS(AM$1:AM53,_xlfn.RANK.EQ(AL54,AL$2:AL$111,0))&gt;0,_xlfn.MAXIFS(AM$1:AM53,AL$1:AL53,AL54)+1,_xlfn.RANK.EQ(AL54,AL$2:AL$111,0)),"")</f>
        <v/>
      </c>
      <c r="AN54" s="1" t="str">
        <f>IF(ISNUMBER(AL54)=TRUE,IF(_xlfn.RANK.EQ(AL54,$AL$2:$AL$111)&lt;='Tournament Setup'!$B$33,_xlfn.RANK.EQ(AL54,$AL$2:$AL$111),""),"")</f>
        <v/>
      </c>
      <c r="AO54" s="31" t="str">
        <f>IF(AND($F54='Tournament Setup'!$A$33,SUM($Q54,$S54)=0,$E54="M",$AN54&gt;'Tournament Setup'!$B$33),$I54,"")</f>
        <v/>
      </c>
      <c r="AP54" s="1" t="str">
        <f>IF(ISNUMBER(AO54)=TRUE,IF(_xlfn.RANK.EQ(AO54,$AO$2:$AO$111)&lt;='Tournament Setup'!$C$33,_xlfn.RANK.EQ(AO54,$AO$2:$AO$111),""),"")</f>
        <v/>
      </c>
      <c r="AQ54" s="31" t="str">
        <f>IF(AND($F54='Tournament Setup'!$A$33,SUM($Q54,$U54)=0,$E54="F",$AN54&gt;'Tournament Setup'!$B$33),$I54,"")</f>
        <v/>
      </c>
      <c r="AR54" s="12" t="str">
        <f>IF(ISNUMBER(AQ54)=TRUE,IF(_xlfn.RANK.EQ(AQ54,$AQ$2:$AQ$111)&lt;='Tournament Setup'!$D$33,_xlfn.RANK.EQ(AQ54,$AQ$2:$AQ$111),""),"")</f>
        <v/>
      </c>
      <c r="AS54" s="30" t="str">
        <f>IF(AND($G54='Tournament Setup'!$A$51,$J54&lt;&gt;0),$J54,"")</f>
        <v/>
      </c>
      <c r="AT54" s="47" t="str">
        <f>IF(ISNUMBER(AS54),IF(COUNTIFS(AT$1:AT53,_xlfn.RANK.EQ(AS54,AS$2:AS$111,0))&gt;0,_xlfn.MAXIFS(AT$1:AT53,AS$1:AS53,AS54)+1,_xlfn.RANK.EQ(AS54,AS$2:AS$111,0)),"")</f>
        <v/>
      </c>
      <c r="AU54" s="1" t="str">
        <f>IF(ISNUMBER(AS54)=TRUE,IF(_xlfn.RANK.EQ(AS54,$AS$2:$AS$111)&lt;='Tournament Setup'!$B$49,_xlfn.RANK.EQ(AS54,$AS$2:$AS$111),""),"")</f>
        <v/>
      </c>
      <c r="AV54" s="30" t="str">
        <f>IF(AND($F54='Tournament Setup'!$A$34,SUM($Q54,$S54,$U54)=0),$I54,"")</f>
        <v/>
      </c>
      <c r="AW54" s="47" t="str">
        <f>IF(ISNUMBER(AV54),IF(COUNTIFS(AW$1:AW53,_xlfn.RANK.EQ(AV54,AV$2:AV$111,0))&gt;0,_xlfn.MAXIFS(AW$1:AW53,AV$1:AV53,AV54)+1,_xlfn.RANK.EQ(AV54,AV$2:AV$111,0)),"")</f>
        <v/>
      </c>
      <c r="AX54" s="1" t="str">
        <f>IF(ISNUMBER(AV54)=TRUE,IF(_xlfn.RANK.EQ(AV54,$AV$2:$AV$111)&lt;='Tournament Setup'!$B$34,_xlfn.RANK.EQ(AV54,$AV$2:$AV$111),""),"")</f>
        <v/>
      </c>
      <c r="AY54" s="31" t="str">
        <f>IF(AND($F54='Tournament Setup'!$A$34,SUM($Q54,$S54)=0,$E54="M",$AX54&gt;'Tournament Setup'!$B$34),$I54,"")</f>
        <v/>
      </c>
      <c r="AZ54" s="1" t="str">
        <f>IF(ISNUMBER(AY54)=TRUE,IF(_xlfn.RANK.EQ(AY54,$AY$2:$AY$111)&lt;='Tournament Setup'!$C$34,_xlfn.RANK.EQ(AY54,$AY$2:$AY$111),""),"")</f>
        <v/>
      </c>
      <c r="BA54" s="31" t="str">
        <f>IF(AND($F54='Tournament Setup'!$A$34,SUM($Q54,$U54)=0,$E54="F",$AX54&gt;'Tournament Setup'!$B$34),$I54,"")</f>
        <v/>
      </c>
      <c r="BB54" s="12" t="str">
        <f>IF(ISNUMBER(BA54)=TRUE,IF(_xlfn.RANK.EQ(BA54,$BA$2:$BA$111)&lt;='Tournament Setup'!$D$34,_xlfn.RANK.EQ(BA54,$BA$2:$BA$111),""),"")</f>
        <v/>
      </c>
      <c r="BC54" s="30" t="str">
        <f>IF(AND($G54='Tournament Setup'!$A$52,$J54&lt;&gt;0),$J54,"")</f>
        <v/>
      </c>
      <c r="BD54" s="47" t="str">
        <f>IF(ISNUMBER(BC54),IF(COUNTIFS(BD$1:BD53,_xlfn.RANK.EQ(BC54,BC$2:BC$111,0))&gt;0,_xlfn.MAXIFS(BD$1:BD53,BC$1:BC53,BC54)+1,_xlfn.RANK.EQ(BC54,BC$2:BC$111,0)),"")</f>
        <v/>
      </c>
      <c r="BE54" s="1" t="str">
        <f>IF(ISNUMBER(BC54)=TRUE,IF(_xlfn.RANK.EQ(BC54,$BC$2:$BC$111)&lt;='Tournament Setup'!$B$49,_xlfn.RANK.EQ(BC54,$BC$2:$BC$111),""),"")</f>
        <v/>
      </c>
      <c r="BF54" s="30" t="str">
        <f>IF(AND($F54='Tournament Setup'!$A$35,SUM($Q54,$S54,$U54)=0),$I54,"")</f>
        <v/>
      </c>
      <c r="BG54" s="47" t="str">
        <f>IF(ISNUMBER(BF54),IF(COUNTIFS(BG$1:BG53,_xlfn.RANK.EQ(BF54,BF$2:BF$111,0))&gt;0,_xlfn.MAXIFS(BG$1:BG53,BF$1:BF53,BF54)+1,_xlfn.RANK.EQ(BF54,BF$2:BF$111,0)),"")</f>
        <v/>
      </c>
      <c r="BH54" s="1" t="str">
        <f>IF(ISNUMBER(BF54)=TRUE,IF(_xlfn.RANK.EQ(BF54,$BF$2:$BF$111)&lt;='Tournament Setup'!$B$35,_xlfn.RANK.EQ(BF54,$BF$2:$BF$111),""),"")</f>
        <v/>
      </c>
      <c r="BI54" s="31" t="str">
        <f>IF(AND($F54='Tournament Setup'!$A$35,SUM($Q54,$S54)=0,$E54="M",$BH54&gt;'Tournament Setup'!$B$35),$I54,"")</f>
        <v/>
      </c>
      <c r="BJ54" s="1" t="str">
        <f>IF(ISNUMBER(BI54)=TRUE,IF(_xlfn.RANK.EQ(BI54,$BI$2:$BI$111)&lt;='Tournament Setup'!$C$35,_xlfn.RANK.EQ(BI54,$BI$2:$BI$111),""),"")</f>
        <v/>
      </c>
      <c r="BK54" s="31" t="str">
        <f>IF(AND($F54='Tournament Setup'!$A$35,SUM($Q54,$U54)=0,$E54="F",$BH54&gt;'Tournament Setup'!$B$35),$I54,"")</f>
        <v/>
      </c>
      <c r="BL54" s="12" t="str">
        <f>IF(ISNUMBER(BK54)=TRUE,IF(_xlfn.RANK.EQ(BK54,$BK$2:$BK$111)&lt;='Tournament Setup'!$D$35,_xlfn.RANK.EQ(BK54,$BK$2:$BK$111),""),"")</f>
        <v/>
      </c>
      <c r="BM54" s="30" t="str">
        <f>IF(AND($G54='Tournament Setup'!$A$54,$J54&lt;&gt;0),$J54,"")</f>
        <v/>
      </c>
      <c r="BN54" s="47" t="str">
        <f>IF(ISNUMBER(BM54),IF(COUNTIFS(BN$1:BN53,_xlfn.RANK.EQ(BM54,BM$2:BM$111,0))&gt;0,_xlfn.MAXIFS(BN$1:BN53,BM$1:BM53,BM54)+1,_xlfn.RANK.EQ(BM54,BM$2:BM$111,0)),"")</f>
        <v/>
      </c>
      <c r="BO54" s="1" t="str">
        <f>IF(ISNUMBER(BM54)=TRUE,IF(_xlfn.RANK.EQ(BM54,$BM$2:$BM$111)&lt;='Tournament Setup'!$B$49,_xlfn.RANK.EQ(BM54,$BM$2:$BM$111),""),"")</f>
        <v/>
      </c>
      <c r="BP54" s="30" t="str">
        <f>IF(AND($F54='Tournament Setup'!$A$36,SUM($Q54,$S54,$U54)=0),$I54,"")</f>
        <v/>
      </c>
      <c r="BQ54" s="47" t="str">
        <f>IF(ISNUMBER(BP54),IF(COUNTIFS(BQ$1:BQ53,_xlfn.RANK.EQ(BP54,BP$2:BP$111,0))&gt;0,_xlfn.MAXIFS(BQ$1:BQ53,BP$1:BP53,BP54)+1,_xlfn.RANK.EQ(BP54,BP$2:BP$111,0)),"")</f>
        <v/>
      </c>
      <c r="BR54" s="1" t="str">
        <f>IF(ISNUMBER(BP54)=TRUE,IF(_xlfn.RANK.EQ(BP54,$BP$2:$BP$111)&lt;='Tournament Setup'!$B$36,_xlfn.RANK.EQ(BP54,$BP$2:$BP$111),""),"")</f>
        <v/>
      </c>
      <c r="BS54" s="31" t="str">
        <f>IF(AND($F54='Tournament Setup'!$A$36,SUM($Q54,$S54)=0,$E54="M",$BR54&gt;'Tournament Setup'!$B$36),$I54,"")</f>
        <v/>
      </c>
      <c r="BT54" s="1" t="str">
        <f>IF(ISNUMBER(BS54)=TRUE,IF(_xlfn.RANK.EQ(BS54,$BS$2:$BS$111)&lt;='Tournament Setup'!$C$36,_xlfn.RANK.EQ(BS54,$BS$2:$BS$111),""),"")</f>
        <v/>
      </c>
      <c r="BU54" s="31" t="str">
        <f>IF(AND($F54='Tournament Setup'!$A$36,SUM($Q54,$U54)=0,$E54="F",$BR54&gt;'Tournament Setup'!$B$36),$I54,"")</f>
        <v/>
      </c>
      <c r="BV54" s="12" t="str">
        <f>IF(ISNUMBER(BU54)=TRUE,IF(_xlfn.RANK.EQ(BU54,$BU$2:$BU$111)&lt;='Tournament Setup'!$D$36,_xlfn.RANK.EQ(BU54,$BU$2:$BU$111),""),"")</f>
        <v/>
      </c>
      <c r="BW54" s="30" t="str">
        <f>IF($H54='Tournament Setup'!$A$41,$I54,"")</f>
        <v/>
      </c>
      <c r="BX54" s="47" t="str">
        <f>IF(ISNUMBER(BW54),IF(COUNTIFS(BX$1:BX53,_xlfn.RANK.EQ(BW54,BW$2:BW$111,0))&gt;0,_xlfn.MAXIFS(BX$1:BX53,BW$1:BW53,BW54)+1,_xlfn.RANK.EQ(BW54,BW$2:BW$111,0)),"")</f>
        <v/>
      </c>
      <c r="BY54" s="1" t="str">
        <f>IF(ISNUMBER(BW54)=TRUE,IF(_xlfn.RANK.EQ(BW54,$BW$2:$BW$111)&lt;='Tournament Setup'!$B$41,_xlfn.RANK.EQ(BW54,$BW$2:$BW$111),""),"")</f>
        <v/>
      </c>
      <c r="BZ54" s="31" t="str">
        <f>IF(AND($H54='Tournament Setup'!$A$41,$E54="M",$BY54&gt;'Tournament Setup'!$B$41),$I54,"")</f>
        <v/>
      </c>
      <c r="CA54" s="1" t="str">
        <f>IF(ISNUMBER(BZ54)=TRUE,IF(_xlfn.RANK.EQ(BZ54,$BZ$2:$BZ$111)&lt;='Tournament Setup'!$C$41,_xlfn.RANK.EQ(BZ54,$BZ$2:$BZ$111),""),"")</f>
        <v/>
      </c>
      <c r="CB54" s="31" t="str">
        <f>IF(AND($H54='Tournament Setup'!$A$41,$E54="F",$BY54&gt;'Tournament Setup'!$B$41),$I54,"")</f>
        <v/>
      </c>
      <c r="CC54" s="12" t="str">
        <f>IF(ISNUMBER(CB54)=TRUE,IF(_xlfn.RANK.EQ(CB54,$CB$2:$CB$111)&lt;='Tournament Setup'!$D$41,_xlfn.RANK.EQ(CB54,$CB$2:$CB$111),""),"")</f>
        <v/>
      </c>
      <c r="CD54" s="30" t="str">
        <f>IF($H54='Tournament Setup'!$A$42,$I54,"")</f>
        <v/>
      </c>
      <c r="CE54" s="47" t="str">
        <f>IF(ISNUMBER(CD54),IF(COUNTIFS(CE$1:CE53,_xlfn.RANK.EQ(CD54,CD$2:CD$111,0))&gt;0,_xlfn.MAXIFS(CE$1:CE53,CD$1:CD53,CD54)+1,_xlfn.RANK.EQ(CD54,CD$2:CD$111,0)),"")</f>
        <v/>
      </c>
      <c r="CF54" s="1" t="str">
        <f>IF(ISNUMBER(CD54)=TRUE,IF(_xlfn.RANK.EQ(CD54,$CD$2:$CD$111)&lt;='Tournament Setup'!$B$42,_xlfn.RANK.EQ(CD54,$CD$2:$CD$111),""),"")</f>
        <v/>
      </c>
      <c r="CG54" s="31" t="str">
        <f>IF(AND($H54='Tournament Setup'!$A$42,$E54="M",$CF54&gt;'Tournament Setup'!$B$42),$I54,"")</f>
        <v/>
      </c>
      <c r="CH54" s="1" t="str">
        <f>IF(ISNUMBER(CG54)=TRUE,IF(_xlfn.RANK.EQ(CG54,$CG$2:$CG$111)&lt;='Tournament Setup'!$C$42,_xlfn.RANK.EQ(CG54,$CG$2:$CG$111),""),"")</f>
        <v/>
      </c>
      <c r="CI54" s="31" t="str">
        <f>IF(AND($H54='Tournament Setup'!$A$42,$E54="F",$CF54&gt;'Tournament Setup'!$B$42),$I54,"")</f>
        <v/>
      </c>
      <c r="CJ54" s="12" t="str">
        <f>IF(ISNUMBER(CI54)=TRUE,IF(_xlfn.RANK.EQ(CI54,$CI$2:$CI$111)&lt;='Tournament Setup'!$D$42,_xlfn.RANK.EQ(CI54,$CI$2:$CI$111),""),"")</f>
        <v/>
      </c>
      <c r="CK54" s="30" t="str">
        <f>IF($H54='Tournament Setup'!$A$43,$I54,"")</f>
        <v/>
      </c>
      <c r="CL54" s="47" t="str">
        <f>IF(ISNUMBER(CK54),IF(COUNTIFS(CL$1:CL53,_xlfn.RANK.EQ(CK54,CK$2:CK$111,0))&gt;0,_xlfn.MAXIFS(CL$1:CL53,CK$1:CK53,CK54)+1,_xlfn.RANK.EQ(CK54,CK$2:CK$111,0)),"")</f>
        <v/>
      </c>
      <c r="CM54" s="1" t="str">
        <f>IF(ISNUMBER(CK54)=TRUE,IF(_xlfn.RANK.EQ(CK54,$CK$2:$CK$111)&lt;='Tournament Setup'!$B$43,_xlfn.RANK.EQ(CK54,$CK$2:$CK$111),""),"")</f>
        <v/>
      </c>
      <c r="CN54" s="31" t="str">
        <f>IF(AND($H54='Tournament Setup'!$A$43,$E54="M",$CM54&gt;'Tournament Setup'!$B$43),$I54,"")</f>
        <v/>
      </c>
      <c r="CO54" s="1" t="str">
        <f>IF(ISNUMBER(CN54)=TRUE,IF(_xlfn.RANK.EQ(CN54,$CN$2:$CN$111)&lt;='Tournament Setup'!$C$43,_xlfn.RANK.EQ(CN54,$CN$2:$CN$111),""),"")</f>
        <v/>
      </c>
      <c r="CP54" s="31" t="str">
        <f>IF(AND($H54='Tournament Setup'!$A$43,$E54="F",$CM54&gt;'Tournament Setup'!$B$43),$I54,"")</f>
        <v/>
      </c>
      <c r="CQ54" s="12" t="str">
        <f>IF(ISNUMBER(CP54)=TRUE,IF(_xlfn.RANK.EQ(CP54,$CP$2:$CP$111)&lt;='Tournament Setup'!$D$43,_xlfn.RANK.EQ(CP54,$CP$2:$CP$111),""),"")</f>
        <v/>
      </c>
      <c r="CR54" s="30" t="str">
        <f>IF($H54='Tournament Setup'!$A$44,$I54,"")</f>
        <v/>
      </c>
      <c r="CS54" s="47" t="str">
        <f>IF(ISNUMBER(CR54),IF(COUNTIFS(CS$1:CS53,_xlfn.RANK.EQ(CR54,CR$2:CR$111,0))&gt;0,_xlfn.MAXIFS(CS$1:CS53,CR$1:CR53,CR54)+1,_xlfn.RANK.EQ(CR54,CR$2:CR$111,0)),"")</f>
        <v/>
      </c>
      <c r="CT54" s="1" t="str">
        <f>IF(ISNUMBER(CR54)=TRUE,IF(_xlfn.RANK.EQ(CR54,$CR$2:$CR$111)&lt;='Tournament Setup'!$B$44,_xlfn.RANK.EQ(CR54,$CR$2:$CR$111),""),"")</f>
        <v/>
      </c>
      <c r="CU54" s="31" t="str">
        <f>IF(AND($H54='Tournament Setup'!$A$44,$E54="M",$CT54&gt;'Tournament Setup'!$B$44),$I54,"")</f>
        <v/>
      </c>
      <c r="CV54" s="1" t="str">
        <f>IF(ISNUMBER(CU54)=TRUE,IF(_xlfn.RANK.EQ(CU54,$CU$2:$CU$111)&lt;='Tournament Setup'!$C$44,_xlfn.RANK.EQ(CU54,$CU$2:$CU$111),""),"")</f>
        <v/>
      </c>
      <c r="CW54" s="31" t="str">
        <f>IF(AND($H54='Tournament Setup'!$A$44,$E54="F",$CT54&gt;'Tournament Setup'!$B$44),$I54,"")</f>
        <v/>
      </c>
      <c r="CX54" s="12" t="str">
        <f>IF(ISNUMBER(CW54)=TRUE,IF(_xlfn.RANK.EQ(CW54,$CW$2:$CW$111)&lt;='Tournament Setup'!$D$44,_xlfn.RANK.EQ(CW54,$CW$2:$CW$111),""),"")</f>
        <v/>
      </c>
    </row>
    <row r="55" spans="1:102" x14ac:dyDescent="0.3">
      <c r="B55" t="str">
        <f>IFERROR(INDEX('Tournament List'!$B:$B,MATCH($A55,'Tournament List'!$A:$A,0)),"")</f>
        <v/>
      </c>
      <c r="C55" t="str">
        <f>IFERROR(INDEX('Tournament List'!$C:$C,MATCH($A55,'Tournament List'!$A:$A,0)),"")</f>
        <v/>
      </c>
      <c r="D55" t="str">
        <f t="shared" si="2"/>
        <v xml:space="preserve"> </v>
      </c>
      <c r="E55" s="1" t="str">
        <f>IFERROR(INDEX('Tournament List'!F:F,MATCH($A55,'Tournament List'!$A:$A,0)),"")</f>
        <v/>
      </c>
      <c r="F55" t="str">
        <f>IFERROR(INDEX('Tournament List'!M:M,MATCH($A55,'Tournament List'!$A:$A,0)),"")</f>
        <v/>
      </c>
      <c r="G55" t="str">
        <f>IFERROR(INDEX('Shooter-Squad Assignment'!L:L,MATCH(A55,'Shooter-Squad Assignment'!A:A,0)),"")</f>
        <v/>
      </c>
      <c r="H55" s="1" t="str">
        <f>IFERROR(INDEX('Tournament List'!AD:AD,MATCH($A55,'Tournament List'!$A:$A,0)),"")</f>
        <v/>
      </c>
      <c r="I55" s="123" t="str">
        <f>IFERROR(INDEX('Tournament List'!AG:AG,MATCH($A55,'Tournament List'!$A:$A,0)),"")</f>
        <v/>
      </c>
      <c r="J55" s="145" t="str">
        <f>IFERROR(INDEX('Tournament List'!Y:Y,MATCH($A55,'Tournament List'!$A:$A,0)),"")</f>
        <v/>
      </c>
      <c r="K55" s="47" t="str">
        <f>IFERROR(INDEX('Tournament List'!S:S,MATCH(A55,'Tournament List'!A:A,0)),"")</f>
        <v/>
      </c>
      <c r="L55" s="47" t="str">
        <f>IF(ISNUMBER(J55),IF(COUNTIFS(L$1:L54,_xlfn.RANK.EQ(J55,J$2:J$111,0))&gt;0,_xlfn.MAXIFS(L$1:L54,J$1:J54,J55)+1,_xlfn.RANK.EQ(J55,J$2:J$111,0)),"")</f>
        <v/>
      </c>
      <c r="M55" s="11" t="str">
        <f>IF(ISNUMBER(I55)=TRUE,IF(I55&gt;0,_xlfn.RANK.EQ(I55,$I$2:$I$111,0),""),"")</f>
        <v/>
      </c>
      <c r="N55" s="56" t="str">
        <f>IF(ISNUMBER(I55),IF(COUNTIFS(N$1:N54,_xlfn.RANK.EQ(I55,I$2:I$111,0))&gt;0,_xlfn.MAXIFS(N$1:N54,I$1:I54,I55)+1,_xlfn.RANK.EQ(I55,I$2:I$111,0)),"")</f>
        <v/>
      </c>
      <c r="O55" s="144" t="str">
        <f>IF(F55&lt;&gt;"Collegiate"=TRUE,$I55,"")</f>
        <v/>
      </c>
      <c r="P55" s="47" t="str">
        <f>IF(ISNUMBER(O55),IF(COUNTIFS(P$1:P54,_xlfn.RANK.EQ(O55,O$2:O$111,0))&gt;0,_xlfn.MAXIFS(P$1:P54,O$1:O54,O55)+1,_xlfn.RANK.EQ(O55,O$2:O$111,0)),"")</f>
        <v/>
      </c>
      <c r="Q55" s="1" t="str">
        <f>IF(ISNUMBER(O55)=TRUE,IF(_xlfn.RANK.EQ(O55,$O$2:$O$111)&lt;='Tournament Setup'!$B$26,_xlfn.RANK.EQ(O55,$O$2:$O$111),""),"")</f>
        <v/>
      </c>
      <c r="R55" s="143" t="str">
        <f>IF(AND($E55="M",SUM($Q55)=0,F55&lt;&gt;"Collegiate")=TRUE,$I55,"")</f>
        <v/>
      </c>
      <c r="S55" s="1" t="str">
        <f>IF(ISNUMBER(R55)=TRUE,IF(_xlfn.RANK.EQ(R55,$R$2:$R$111)&lt;='Tournament Setup'!$B$27,_xlfn.RANK.EQ(R55,$R$2:$R$111),""),"")</f>
        <v/>
      </c>
      <c r="T55" s="143" t="str">
        <f>IF(AND($E55="F",SUM($Q55)=0,F55&lt;&gt;"Collegiate")=TRUE,$I55,"")</f>
        <v/>
      </c>
      <c r="U55" s="12" t="str">
        <f>IF(ISNUMBER(T55)=TRUE,IF(_xlfn.RANK.EQ(T55,$T$2:$T$111)&lt;='Tournament Setup'!$B$28,_xlfn.RANK.EQ(T55,$T$2:$T$111),""),"")</f>
        <v/>
      </c>
      <c r="V55" s="145" t="str">
        <f>IF(AND($G55='Tournament Setup'!$A$53,$J55&lt;&gt;0),$J55,"")</f>
        <v/>
      </c>
      <c r="W55" s="47" t="str">
        <f>IF(ISNUMBER(V55),IF(COUNTIFS(W$1:W54,_xlfn.RANK.EQ(V55,V$2:V$111,0))&gt;0,_xlfn.MAXIFS(W$1:W54,V$1:V54,V55)+1,_xlfn.RANK.EQ(V55,V$2:V$111,0)),"")</f>
        <v/>
      </c>
      <c r="X55" s="1" t="str">
        <f>IF(ISNUMBER(V55)=TRUE,IF(_xlfn.RANK.EQ(V55,$V$2:$V$111)&lt;='Tournament Setup'!$B$53,_xlfn.RANK.EQ(V55,$V$2:$V$111),""),"")</f>
        <v/>
      </c>
      <c r="Y55" s="145" t="str">
        <f>IF(AND($G55='Tournament Setup'!$A$49,$J55&lt;&gt;0),$J55,"")</f>
        <v/>
      </c>
      <c r="Z55" s="47" t="str">
        <f>IF(ISNUMBER(Y55),IF(COUNTIFS(Z$1:Z54,_xlfn.RANK.EQ(Y55,Y$2:Y$111,0))&gt;0,_xlfn.MAXIFS(Z$1:Z54,Y$1:Y54,Y55)+1,_xlfn.RANK.EQ(Y55,Y$2:Y$111,0)),"")</f>
        <v/>
      </c>
      <c r="AA55" s="1" t="str">
        <f>IF(ISNUMBER(Y55)=TRUE,IF(_xlfn.RANK.EQ(Y55,$Y$2:$Y$111)&lt;='Tournament Setup'!$B$49,_xlfn.RANK.EQ(Y55,$Y$2:$Y$111),""),"")</f>
        <v/>
      </c>
      <c r="AB55" s="30" t="str">
        <f>IF(AND($F55='Tournament Setup'!$A$32,SUM($Q55,$S55,$U55)=0),$I55,"")</f>
        <v/>
      </c>
      <c r="AC55" s="47" t="str">
        <f>IF(ISNUMBER(AB55),IF(COUNTIFS(AC$1:AC54,_xlfn.RANK.EQ(AB55,AB$2:AB$111,0))&gt;0,_xlfn.MAXIFS(AC$1:AC54,AB$1:AB54,AB55)+1,_xlfn.RANK.EQ(AB55,AB$2:AB$111,0)),"")</f>
        <v/>
      </c>
      <c r="AD55" s="1" t="str">
        <f>IF(ISNUMBER(AB55)=TRUE,IF(_xlfn.RANK.EQ(AB55,$AB$2:$AB$111)&lt;='Tournament Setup'!$B$32,_xlfn.RANK.EQ(AB55,$AB$2:$AB$111),""),"")</f>
        <v/>
      </c>
      <c r="AE55" s="31" t="str">
        <f>IF(AND($F55='Tournament Setup'!$A$32,SUM($Q55,$S55)=0,$E55="M",$AD55&gt;'Tournament Setup'!$B$32),$I55,"")</f>
        <v/>
      </c>
      <c r="AF55" s="1" t="str">
        <f>IF(ISNUMBER(AE55)=TRUE,IF(_xlfn.RANK.EQ(AE55,$AE$2:$AE$111)&lt;='Tournament Setup'!$C$32,_xlfn.RANK.EQ(AE55,$AE$2:$AE$111),""),"")</f>
        <v/>
      </c>
      <c r="AG55" s="31" t="str">
        <f>IF(AND($F55='Tournament Setup'!$A$32,SUM($Q55,$U55)=0,$E55="F",$AD55&gt;'Tournament Setup'!$B$32),$I55,"")</f>
        <v/>
      </c>
      <c r="AH55" s="12" t="str">
        <f>IF(ISNUMBER(AG55)=TRUE,IF(_xlfn.RANK.EQ(AG55,$AG$2:$AG$111)&lt;='Tournament Setup'!$D$32,_xlfn.RANK.EQ(AG55,$AG$2:$AG$111),""),"")</f>
        <v/>
      </c>
      <c r="AI55" s="30" t="str">
        <f>IF(AND($G55='Tournament Setup'!$A$50,$J55&lt;&gt;0),$J55,"")</f>
        <v/>
      </c>
      <c r="AJ55" s="47" t="str">
        <f>IF(ISNUMBER(AI55),IF(COUNTIFS(AJ$1:AJ54,_xlfn.RANK.EQ(AI55,AI$2:AI$111,0))&gt;0,_xlfn.MAXIFS(AJ$1:AJ54,AI$1:AI54,AI55)+1,_xlfn.RANK.EQ(AI55,AI$2:AI$111,0)),"")</f>
        <v/>
      </c>
      <c r="AK55" s="1" t="str">
        <f>IF(ISNUMBER(AI55)=TRUE,IF(_xlfn.RANK.EQ(AI55,$AI$2:$AI$111)&lt;='Tournament Setup'!$B$49,_xlfn.RANK.EQ(AI55,$AI$2:$AI$111),""),"")</f>
        <v/>
      </c>
      <c r="AL55" s="30" t="str">
        <f>IF(AND($F55='Tournament Setup'!$A$33,SUM($Q55,$S55,$U55)=0),$I55,"")</f>
        <v/>
      </c>
      <c r="AM55" s="47" t="str">
        <f>IF(ISNUMBER(AL55),IF(COUNTIFS(AM$1:AM54,_xlfn.RANK.EQ(AL55,AL$2:AL$111,0))&gt;0,_xlfn.MAXIFS(AM$1:AM54,AL$1:AL54,AL55)+1,_xlfn.RANK.EQ(AL55,AL$2:AL$111,0)),"")</f>
        <v/>
      </c>
      <c r="AN55" s="1" t="str">
        <f>IF(ISNUMBER(AL55)=TRUE,IF(_xlfn.RANK.EQ(AL55,$AL$2:$AL$111)&lt;='Tournament Setup'!$B$33,_xlfn.RANK.EQ(AL55,$AL$2:$AL$111),""),"")</f>
        <v/>
      </c>
      <c r="AO55" s="31" t="str">
        <f>IF(AND($F55='Tournament Setup'!$A$33,SUM($Q55,$S55)=0,$E55="M",$AN55&gt;'Tournament Setup'!$B$33),$I55,"")</f>
        <v/>
      </c>
      <c r="AP55" s="1" t="str">
        <f>IF(ISNUMBER(AO55)=TRUE,IF(_xlfn.RANK.EQ(AO55,$AO$2:$AO$111)&lt;='Tournament Setup'!$C$33,_xlfn.RANK.EQ(AO55,$AO$2:$AO$111),""),"")</f>
        <v/>
      </c>
      <c r="AQ55" s="31" t="str">
        <f>IF(AND($F55='Tournament Setup'!$A$33,SUM($Q55,$U55)=0,$E55="F",$AN55&gt;'Tournament Setup'!$B$33),$I55,"")</f>
        <v/>
      </c>
      <c r="AR55" s="12" t="str">
        <f>IF(ISNUMBER(AQ55)=TRUE,IF(_xlfn.RANK.EQ(AQ55,$AQ$2:$AQ$111)&lt;='Tournament Setup'!$D$33,_xlfn.RANK.EQ(AQ55,$AQ$2:$AQ$111),""),"")</f>
        <v/>
      </c>
      <c r="AS55" s="30" t="str">
        <f>IF(AND($G55='Tournament Setup'!$A$51,$J55&lt;&gt;0),$J55,"")</f>
        <v/>
      </c>
      <c r="AT55" s="47" t="str">
        <f>IF(ISNUMBER(AS55),IF(COUNTIFS(AT$1:AT54,_xlfn.RANK.EQ(AS55,AS$2:AS$111,0))&gt;0,_xlfn.MAXIFS(AT$1:AT54,AS$1:AS54,AS55)+1,_xlfn.RANK.EQ(AS55,AS$2:AS$111,0)),"")</f>
        <v/>
      </c>
      <c r="AU55" s="1" t="str">
        <f>IF(ISNUMBER(AS55)=TRUE,IF(_xlfn.RANK.EQ(AS55,$AS$2:$AS$111)&lt;='Tournament Setup'!$B$49,_xlfn.RANK.EQ(AS55,$AS$2:$AS$111),""),"")</f>
        <v/>
      </c>
      <c r="AV55" s="30" t="str">
        <f>IF(AND($F55='Tournament Setup'!$A$34,SUM($Q55,$S55,$U55)=0),$I55,"")</f>
        <v/>
      </c>
      <c r="AW55" s="47" t="str">
        <f>IF(ISNUMBER(AV55),IF(COUNTIFS(AW$1:AW54,_xlfn.RANK.EQ(AV55,AV$2:AV$111,0))&gt;0,_xlfn.MAXIFS(AW$1:AW54,AV$1:AV54,AV55)+1,_xlfn.RANK.EQ(AV55,AV$2:AV$111,0)),"")</f>
        <v/>
      </c>
      <c r="AX55" s="1" t="str">
        <f>IF(ISNUMBER(AV55)=TRUE,IF(_xlfn.RANK.EQ(AV55,$AV$2:$AV$111)&lt;='Tournament Setup'!$B$34,_xlfn.RANK.EQ(AV55,$AV$2:$AV$111),""),"")</f>
        <v/>
      </c>
      <c r="AY55" s="31" t="str">
        <f>IF(AND($F55='Tournament Setup'!$A$34,SUM($Q55,$S55)=0,$E55="M",$AX55&gt;'Tournament Setup'!$B$34),$I55,"")</f>
        <v/>
      </c>
      <c r="AZ55" s="1" t="str">
        <f>IF(ISNUMBER(AY55)=TRUE,IF(_xlfn.RANK.EQ(AY55,$AY$2:$AY$111)&lt;='Tournament Setup'!$C$34,_xlfn.RANK.EQ(AY55,$AY$2:$AY$111),""),"")</f>
        <v/>
      </c>
      <c r="BA55" s="31" t="str">
        <f>IF(AND($F55='Tournament Setup'!$A$34,SUM($Q55,$U55)=0,$E55="F",$AX55&gt;'Tournament Setup'!$B$34),$I55,"")</f>
        <v/>
      </c>
      <c r="BB55" s="12" t="str">
        <f>IF(ISNUMBER(BA55)=TRUE,IF(_xlfn.RANK.EQ(BA55,$BA$2:$BA$111)&lt;='Tournament Setup'!$D$34,_xlfn.RANK.EQ(BA55,$BA$2:$BA$111),""),"")</f>
        <v/>
      </c>
      <c r="BC55" s="30" t="str">
        <f>IF(AND($G55='Tournament Setup'!$A$52,$J55&lt;&gt;0),$J55,"")</f>
        <v/>
      </c>
      <c r="BD55" s="47" t="str">
        <f>IF(ISNUMBER(BC55),IF(COUNTIFS(BD$1:BD54,_xlfn.RANK.EQ(BC55,BC$2:BC$111,0))&gt;0,_xlfn.MAXIFS(BD$1:BD54,BC$1:BC54,BC55)+1,_xlfn.RANK.EQ(BC55,BC$2:BC$111,0)),"")</f>
        <v/>
      </c>
      <c r="BE55" s="1" t="str">
        <f>IF(ISNUMBER(BC55)=TRUE,IF(_xlfn.RANK.EQ(BC55,$BC$2:$BC$111)&lt;='Tournament Setup'!$B$49,_xlfn.RANK.EQ(BC55,$BC$2:$BC$111),""),"")</f>
        <v/>
      </c>
      <c r="BF55" s="30" t="str">
        <f>IF(AND($F55='Tournament Setup'!$A$35,SUM($Q55,$S55,$U55)=0),$I55,"")</f>
        <v/>
      </c>
      <c r="BG55" s="47" t="str">
        <f>IF(ISNUMBER(BF55),IF(COUNTIFS(BG$1:BG54,_xlfn.RANK.EQ(BF55,BF$2:BF$111,0))&gt;0,_xlfn.MAXIFS(BG$1:BG54,BF$1:BF54,BF55)+1,_xlfn.RANK.EQ(BF55,BF$2:BF$111,0)),"")</f>
        <v/>
      </c>
      <c r="BH55" s="1" t="str">
        <f>IF(ISNUMBER(BF55)=TRUE,IF(_xlfn.RANK.EQ(BF55,$BF$2:$BF$111)&lt;='Tournament Setup'!$B$35,_xlfn.RANK.EQ(BF55,$BF$2:$BF$111),""),"")</f>
        <v/>
      </c>
      <c r="BI55" s="31" t="str">
        <f>IF(AND($F55='Tournament Setup'!$A$35,SUM($Q55,$S55)=0,$E55="M",$BH55&gt;'Tournament Setup'!$B$35),$I55,"")</f>
        <v/>
      </c>
      <c r="BJ55" s="1" t="str">
        <f>IF(ISNUMBER(BI55)=TRUE,IF(_xlfn.RANK.EQ(BI55,$BI$2:$BI$111)&lt;='Tournament Setup'!$C$35,_xlfn.RANK.EQ(BI55,$BI$2:$BI$111),""),"")</f>
        <v/>
      </c>
      <c r="BK55" s="31" t="str">
        <f>IF(AND($F55='Tournament Setup'!$A$35,SUM($Q55,$U55)=0,$E55="F",$BH55&gt;'Tournament Setup'!$B$35),$I55,"")</f>
        <v/>
      </c>
      <c r="BL55" s="12" t="str">
        <f>IF(ISNUMBER(BK55)=TRUE,IF(_xlfn.RANK.EQ(BK55,$BK$2:$BK$111)&lt;='Tournament Setup'!$D$35,_xlfn.RANK.EQ(BK55,$BK$2:$BK$111),""),"")</f>
        <v/>
      </c>
      <c r="BM55" s="30" t="str">
        <f>IF(AND($G55='Tournament Setup'!$A$54,$J55&lt;&gt;0),$J55,"")</f>
        <v/>
      </c>
      <c r="BN55" s="47" t="str">
        <f>IF(ISNUMBER(BM55),IF(COUNTIFS(BN$1:BN54,_xlfn.RANK.EQ(BM55,BM$2:BM$111,0))&gt;0,_xlfn.MAXIFS(BN$1:BN54,BM$1:BM54,BM55)+1,_xlfn.RANK.EQ(BM55,BM$2:BM$111,0)),"")</f>
        <v/>
      </c>
      <c r="BO55" s="1" t="str">
        <f>IF(ISNUMBER(BM55)=TRUE,IF(_xlfn.RANK.EQ(BM55,$BM$2:$BM$111)&lt;='Tournament Setup'!$B$49,_xlfn.RANK.EQ(BM55,$BM$2:$BM$111),""),"")</f>
        <v/>
      </c>
      <c r="BP55" s="30" t="str">
        <f>IF(AND($F55='Tournament Setup'!$A$36,SUM($Q55,$S55,$U55)=0),$I55,"")</f>
        <v/>
      </c>
      <c r="BQ55" s="47" t="str">
        <f>IF(ISNUMBER(BP55),IF(COUNTIFS(BQ$1:BQ54,_xlfn.RANK.EQ(BP55,BP$2:BP$111,0))&gt;0,_xlfn.MAXIFS(BQ$1:BQ54,BP$1:BP54,BP55)+1,_xlfn.RANK.EQ(BP55,BP$2:BP$111,0)),"")</f>
        <v/>
      </c>
      <c r="BR55" s="1" t="str">
        <f>IF(ISNUMBER(BP55)=TRUE,IF(_xlfn.RANK.EQ(BP55,$BP$2:$BP$111)&lt;='Tournament Setup'!$B$36,_xlfn.RANK.EQ(BP55,$BP$2:$BP$111),""),"")</f>
        <v/>
      </c>
      <c r="BS55" s="31" t="str">
        <f>IF(AND($F55='Tournament Setup'!$A$36,SUM($Q55,$S55)=0,$E55="M",$BR55&gt;'Tournament Setup'!$B$36),$I55,"")</f>
        <v/>
      </c>
      <c r="BT55" s="1" t="str">
        <f>IF(ISNUMBER(BS55)=TRUE,IF(_xlfn.RANK.EQ(BS55,$BS$2:$BS$111)&lt;='Tournament Setup'!$C$36,_xlfn.RANK.EQ(BS55,$BS$2:$BS$111),""),"")</f>
        <v/>
      </c>
      <c r="BU55" s="31" t="str">
        <f>IF(AND($F55='Tournament Setup'!$A$36,SUM($Q55,$U55)=0,$E55="F",$BR55&gt;'Tournament Setup'!$B$36),$I55,"")</f>
        <v/>
      </c>
      <c r="BV55" s="12" t="str">
        <f>IF(ISNUMBER(BU55)=TRUE,IF(_xlfn.RANK.EQ(BU55,$BU$2:$BU$111)&lt;='Tournament Setup'!$D$36,_xlfn.RANK.EQ(BU55,$BU$2:$BU$111),""),"")</f>
        <v/>
      </c>
      <c r="BW55" s="30" t="str">
        <f>IF($H55='Tournament Setup'!$A$41,$I55,"")</f>
        <v/>
      </c>
      <c r="BX55" s="47" t="str">
        <f>IF(ISNUMBER(BW55),IF(COUNTIFS(BX$1:BX54,_xlfn.RANK.EQ(BW55,BW$2:BW$111,0))&gt;0,_xlfn.MAXIFS(BX$1:BX54,BW$1:BW54,BW55)+1,_xlfn.RANK.EQ(BW55,BW$2:BW$111,0)),"")</f>
        <v/>
      </c>
      <c r="BY55" s="1" t="str">
        <f>IF(ISNUMBER(BW55)=TRUE,IF(_xlfn.RANK.EQ(BW55,$BW$2:$BW$111)&lt;='Tournament Setup'!$B$41,_xlfn.RANK.EQ(BW55,$BW$2:$BW$111),""),"")</f>
        <v/>
      </c>
      <c r="BZ55" s="31" t="str">
        <f>IF(AND($H55='Tournament Setup'!$A$41,$E55="M",$BY55&gt;'Tournament Setup'!$B$41),$I55,"")</f>
        <v/>
      </c>
      <c r="CA55" s="1" t="str">
        <f>IF(ISNUMBER(BZ55)=TRUE,IF(_xlfn.RANK.EQ(BZ55,$BZ$2:$BZ$111)&lt;='Tournament Setup'!$C$41,_xlfn.RANK.EQ(BZ55,$BZ$2:$BZ$111),""),"")</f>
        <v/>
      </c>
      <c r="CB55" s="31" t="str">
        <f>IF(AND($H55='Tournament Setup'!$A$41,$E55="F",$BY55&gt;'Tournament Setup'!$B$41),$I55,"")</f>
        <v/>
      </c>
      <c r="CC55" s="12" t="str">
        <f>IF(ISNUMBER(CB55)=TRUE,IF(_xlfn.RANK.EQ(CB55,$CB$2:$CB$111)&lt;='Tournament Setup'!$D$41,_xlfn.RANK.EQ(CB55,$CB$2:$CB$111),""),"")</f>
        <v/>
      </c>
      <c r="CD55" s="30" t="str">
        <f>IF($H55='Tournament Setup'!$A$42,$I55,"")</f>
        <v/>
      </c>
      <c r="CE55" s="47" t="str">
        <f>IF(ISNUMBER(CD55),IF(COUNTIFS(CE$1:CE54,_xlfn.RANK.EQ(CD55,CD$2:CD$111,0))&gt;0,_xlfn.MAXIFS(CE$1:CE54,CD$1:CD54,CD55)+1,_xlfn.RANK.EQ(CD55,CD$2:CD$111,0)),"")</f>
        <v/>
      </c>
      <c r="CF55" s="1" t="str">
        <f>IF(ISNUMBER(CD55)=TRUE,IF(_xlfn.RANK.EQ(CD55,$CD$2:$CD$111)&lt;='Tournament Setup'!$B$42,_xlfn.RANK.EQ(CD55,$CD$2:$CD$111),""),"")</f>
        <v/>
      </c>
      <c r="CG55" s="31" t="str">
        <f>IF(AND($H55='Tournament Setup'!$A$42,$E55="M",$CF55&gt;'Tournament Setup'!$B$42),$I55,"")</f>
        <v/>
      </c>
      <c r="CH55" s="1" t="str">
        <f>IF(ISNUMBER(CG55)=TRUE,IF(_xlfn.RANK.EQ(CG55,$CG$2:$CG$111)&lt;='Tournament Setup'!$C$42,_xlfn.RANK.EQ(CG55,$CG$2:$CG$111),""),"")</f>
        <v/>
      </c>
      <c r="CI55" s="31" t="str">
        <f>IF(AND($H55='Tournament Setup'!$A$42,$E55="F",$CF55&gt;'Tournament Setup'!$B$42),$I55,"")</f>
        <v/>
      </c>
      <c r="CJ55" s="12" t="str">
        <f>IF(ISNUMBER(CI55)=TRUE,IF(_xlfn.RANK.EQ(CI55,$CI$2:$CI$111)&lt;='Tournament Setup'!$D$42,_xlfn.RANK.EQ(CI55,$CI$2:$CI$111),""),"")</f>
        <v/>
      </c>
      <c r="CK55" s="30" t="str">
        <f>IF($H55='Tournament Setup'!$A$43,$I55,"")</f>
        <v/>
      </c>
      <c r="CL55" s="47" t="str">
        <f>IF(ISNUMBER(CK55),IF(COUNTIFS(CL$1:CL54,_xlfn.RANK.EQ(CK55,CK$2:CK$111,0))&gt;0,_xlfn.MAXIFS(CL$1:CL54,CK$1:CK54,CK55)+1,_xlfn.RANK.EQ(CK55,CK$2:CK$111,0)),"")</f>
        <v/>
      </c>
      <c r="CM55" s="1" t="str">
        <f>IF(ISNUMBER(CK55)=TRUE,IF(_xlfn.RANK.EQ(CK55,$CK$2:$CK$111)&lt;='Tournament Setup'!$B$43,_xlfn.RANK.EQ(CK55,$CK$2:$CK$111),""),"")</f>
        <v/>
      </c>
      <c r="CN55" s="31" t="str">
        <f>IF(AND($H55='Tournament Setup'!$A$43,$E55="M",$CM55&gt;'Tournament Setup'!$B$43),$I55,"")</f>
        <v/>
      </c>
      <c r="CO55" s="1" t="str">
        <f>IF(ISNUMBER(CN55)=TRUE,IF(_xlfn.RANK.EQ(CN55,$CN$2:$CN$111)&lt;='Tournament Setup'!$C$43,_xlfn.RANK.EQ(CN55,$CN$2:$CN$111),""),"")</f>
        <v/>
      </c>
      <c r="CP55" s="31" t="str">
        <f>IF(AND($H55='Tournament Setup'!$A$43,$E55="F",$CM55&gt;'Tournament Setup'!$B$43),$I55,"")</f>
        <v/>
      </c>
      <c r="CQ55" s="12" t="str">
        <f>IF(ISNUMBER(CP55)=TRUE,IF(_xlfn.RANK.EQ(CP55,$CP$2:$CP$111)&lt;='Tournament Setup'!$D$43,_xlfn.RANK.EQ(CP55,$CP$2:$CP$111),""),"")</f>
        <v/>
      </c>
      <c r="CR55" s="30" t="str">
        <f>IF($H55='Tournament Setup'!$A$44,$I55,"")</f>
        <v/>
      </c>
      <c r="CS55" s="47" t="str">
        <f>IF(ISNUMBER(CR55),IF(COUNTIFS(CS$1:CS54,_xlfn.RANK.EQ(CR55,CR$2:CR$111,0))&gt;0,_xlfn.MAXIFS(CS$1:CS54,CR$1:CR54,CR55)+1,_xlfn.RANK.EQ(CR55,CR$2:CR$111,0)),"")</f>
        <v/>
      </c>
      <c r="CT55" s="1" t="str">
        <f>IF(ISNUMBER(CR55)=TRUE,IF(_xlfn.RANK.EQ(CR55,$CR$2:$CR$111)&lt;='Tournament Setup'!$B$44,_xlfn.RANK.EQ(CR55,$CR$2:$CR$111),""),"")</f>
        <v/>
      </c>
      <c r="CU55" s="31" t="str">
        <f>IF(AND($H55='Tournament Setup'!$A$44,$E55="M",$CT55&gt;'Tournament Setup'!$B$44),$I55,"")</f>
        <v/>
      </c>
      <c r="CV55" s="1" t="str">
        <f>IF(ISNUMBER(CU55)=TRUE,IF(_xlfn.RANK.EQ(CU55,$CU$2:$CU$111)&lt;='Tournament Setup'!$C$44,_xlfn.RANK.EQ(CU55,$CU$2:$CU$111),""),"")</f>
        <v/>
      </c>
      <c r="CW55" s="31" t="str">
        <f>IF(AND($H55='Tournament Setup'!$A$44,$E55="F",$CT55&gt;'Tournament Setup'!$B$44),$I55,"")</f>
        <v/>
      </c>
      <c r="CX55" s="12" t="str">
        <f>IF(ISNUMBER(CW55)=TRUE,IF(_xlfn.RANK.EQ(CW55,$CW$2:$CW$111)&lt;='Tournament Setup'!$D$44,_xlfn.RANK.EQ(CW55,$CW$2:$CW$111),""),"")</f>
        <v/>
      </c>
    </row>
    <row r="56" spans="1:102" x14ac:dyDescent="0.3">
      <c r="B56" t="str">
        <f>IFERROR(INDEX('Tournament List'!$B:$B,MATCH($A56,'Tournament List'!$A:$A,0)),"")</f>
        <v/>
      </c>
      <c r="C56" t="str">
        <f>IFERROR(INDEX('Tournament List'!$C:$C,MATCH($A56,'Tournament List'!$A:$A,0)),"")</f>
        <v/>
      </c>
      <c r="D56" t="str">
        <f t="shared" si="2"/>
        <v xml:space="preserve"> </v>
      </c>
      <c r="E56" s="1" t="str">
        <f>IFERROR(INDEX('Tournament List'!F:F,MATCH($A56,'Tournament List'!$A:$A,0)),"")</f>
        <v/>
      </c>
      <c r="F56" t="str">
        <f>IFERROR(INDEX('Tournament List'!M:M,MATCH($A56,'Tournament List'!$A:$A,0)),"")</f>
        <v/>
      </c>
      <c r="G56" t="str">
        <f>IFERROR(INDEX('Shooter-Squad Assignment'!L:L,MATCH(A56,'Shooter-Squad Assignment'!A:A,0)),"")</f>
        <v/>
      </c>
      <c r="H56" s="1" t="str">
        <f>IFERROR(INDEX('Tournament List'!AD:AD,MATCH($A56,'Tournament List'!$A:$A,0)),"")</f>
        <v/>
      </c>
      <c r="I56" s="123" t="str">
        <f>IFERROR(INDEX('Tournament List'!AG:AG,MATCH($A56,'Tournament List'!$A:$A,0)),"")</f>
        <v/>
      </c>
      <c r="J56" s="145" t="str">
        <f>IFERROR(INDEX('Tournament List'!Y:Y,MATCH($A56,'Tournament List'!$A:$A,0)),"")</f>
        <v/>
      </c>
      <c r="K56" s="47" t="str">
        <f>IFERROR(INDEX('Tournament List'!S:S,MATCH(A56,'Tournament List'!A:A,0)),"")</f>
        <v/>
      </c>
      <c r="L56" s="47" t="str">
        <f>IF(ISNUMBER(J56),IF(COUNTIFS(L$1:L55,_xlfn.RANK.EQ(J56,J$2:J$111,0))&gt;0,_xlfn.MAXIFS(L$1:L55,J$1:J55,J56)+1,_xlfn.RANK.EQ(J56,J$2:J$111,0)),"")</f>
        <v/>
      </c>
      <c r="M56" s="11" t="str">
        <f>IF(ISNUMBER(I56)=TRUE,IF(I56&gt;0,_xlfn.RANK.EQ(I56,$I$2:$I$111,0),""),"")</f>
        <v/>
      </c>
      <c r="N56" s="56" t="str">
        <f>IF(ISNUMBER(I56),IF(COUNTIFS(N$1:N55,_xlfn.RANK.EQ(I56,I$2:I$111,0))&gt;0,_xlfn.MAXIFS(N$1:N55,I$1:I55,I56)+1,_xlfn.RANK.EQ(I56,I$2:I$111,0)),"")</f>
        <v/>
      </c>
      <c r="O56" s="144" t="str">
        <f>IF(F56&lt;&gt;"Collegiate"=TRUE,$I56,"")</f>
        <v/>
      </c>
      <c r="P56" s="47" t="str">
        <f>IF(ISNUMBER(O56),IF(COUNTIFS(P$1:P55,_xlfn.RANK.EQ(O56,O$2:O$111,0))&gt;0,_xlfn.MAXIFS(P$1:P55,O$1:O55,O56)+1,_xlfn.RANK.EQ(O56,O$2:O$111,0)),"")</f>
        <v/>
      </c>
      <c r="Q56" s="1" t="str">
        <f>IF(ISNUMBER(O56)=TRUE,IF(_xlfn.RANK.EQ(O56,$O$2:$O$111)&lt;='Tournament Setup'!$B$26,_xlfn.RANK.EQ(O56,$O$2:$O$111),""),"")</f>
        <v/>
      </c>
      <c r="R56" s="143" t="str">
        <f>IF(AND($E56="M",SUM($Q56)=0,F56&lt;&gt;"Collegiate")=TRUE,$I56,"")</f>
        <v/>
      </c>
      <c r="S56" s="1" t="str">
        <f>IF(ISNUMBER(R56)=TRUE,IF(_xlfn.RANK.EQ(R56,$R$2:$R$111)&lt;='Tournament Setup'!$B$27,_xlfn.RANK.EQ(R56,$R$2:$R$111),""),"")</f>
        <v/>
      </c>
      <c r="T56" s="143" t="str">
        <f>IF(AND($E56="F",SUM($Q56)=0,F56&lt;&gt;"Collegiate")=TRUE,$I56,"")</f>
        <v/>
      </c>
      <c r="U56" s="12" t="str">
        <f>IF(ISNUMBER(T56)=TRUE,IF(_xlfn.RANK.EQ(T56,$T$2:$T$111)&lt;='Tournament Setup'!$B$28,_xlfn.RANK.EQ(T56,$T$2:$T$111),""),"")</f>
        <v/>
      </c>
      <c r="V56" s="145" t="str">
        <f>IF(AND($G56='Tournament Setup'!$A$53,$J56&lt;&gt;0),$J56,"")</f>
        <v/>
      </c>
      <c r="W56" s="47" t="str">
        <f>IF(ISNUMBER(V56),IF(COUNTIFS(W$1:W55,_xlfn.RANK.EQ(V56,V$2:V$111,0))&gt;0,_xlfn.MAXIFS(W$1:W55,V$1:V55,V56)+1,_xlfn.RANK.EQ(V56,V$2:V$111,0)),"")</f>
        <v/>
      </c>
      <c r="X56" s="1" t="str">
        <f>IF(ISNUMBER(V56)=TRUE,IF(_xlfn.RANK.EQ(V56,$V$2:$V$111)&lt;='Tournament Setup'!$B$53,_xlfn.RANK.EQ(V56,$V$2:$V$111),""),"")</f>
        <v/>
      </c>
      <c r="Y56" s="145" t="str">
        <f>IF(AND($G56='Tournament Setup'!$A$49,$J56&lt;&gt;0),$J56,"")</f>
        <v/>
      </c>
      <c r="Z56" s="47" t="str">
        <f>IF(ISNUMBER(Y56),IF(COUNTIFS(Z$1:Z55,_xlfn.RANK.EQ(Y56,Y$2:Y$111,0))&gt;0,_xlfn.MAXIFS(Z$1:Z55,Y$1:Y55,Y56)+1,_xlfn.RANK.EQ(Y56,Y$2:Y$111,0)),"")</f>
        <v/>
      </c>
      <c r="AA56" s="1" t="str">
        <f>IF(ISNUMBER(Y56)=TRUE,IF(_xlfn.RANK.EQ(Y56,$Y$2:$Y$111)&lt;='Tournament Setup'!$B$49,_xlfn.RANK.EQ(Y56,$Y$2:$Y$111),""),"")</f>
        <v/>
      </c>
      <c r="AB56" s="30" t="str">
        <f>IF(AND($F56='Tournament Setup'!$A$32,SUM($Q56,$S56,$U56)=0),$I56,"")</f>
        <v/>
      </c>
      <c r="AC56" s="47" t="str">
        <f>IF(ISNUMBER(AB56),IF(COUNTIFS(AC$1:AC55,_xlfn.RANK.EQ(AB56,AB$2:AB$111,0))&gt;0,_xlfn.MAXIFS(AC$1:AC55,AB$1:AB55,AB56)+1,_xlfn.RANK.EQ(AB56,AB$2:AB$111,0)),"")</f>
        <v/>
      </c>
      <c r="AD56" s="1" t="str">
        <f>IF(ISNUMBER(AB56)=TRUE,IF(_xlfn.RANK.EQ(AB56,$AB$2:$AB$111)&lt;='Tournament Setup'!$B$32,_xlfn.RANK.EQ(AB56,$AB$2:$AB$111),""),"")</f>
        <v/>
      </c>
      <c r="AE56" s="31" t="str">
        <f>IF(AND($F56='Tournament Setup'!$A$32,SUM($Q56,$S56)=0,$E56="M",$AD56&gt;'Tournament Setup'!$B$32),$I56,"")</f>
        <v/>
      </c>
      <c r="AF56" s="1" t="str">
        <f>IF(ISNUMBER(AE56)=TRUE,IF(_xlfn.RANK.EQ(AE56,$AE$2:$AE$111)&lt;='Tournament Setup'!$C$32,_xlfn.RANK.EQ(AE56,$AE$2:$AE$111),""),"")</f>
        <v/>
      </c>
      <c r="AG56" s="31" t="str">
        <f>IF(AND($F56='Tournament Setup'!$A$32,SUM($Q56,$U56)=0,$E56="F",$AD56&gt;'Tournament Setup'!$B$32),$I56,"")</f>
        <v/>
      </c>
      <c r="AH56" s="12" t="str">
        <f>IF(ISNUMBER(AG56)=TRUE,IF(_xlfn.RANK.EQ(AG56,$AG$2:$AG$111)&lt;='Tournament Setup'!$D$32,_xlfn.RANK.EQ(AG56,$AG$2:$AG$111),""),"")</f>
        <v/>
      </c>
      <c r="AI56" s="30" t="str">
        <f>IF(AND($G56='Tournament Setup'!$A$50,$J56&lt;&gt;0),$J56,"")</f>
        <v/>
      </c>
      <c r="AJ56" s="47" t="str">
        <f>IF(ISNUMBER(AI56),IF(COUNTIFS(AJ$1:AJ55,_xlfn.RANK.EQ(AI56,AI$2:AI$111,0))&gt;0,_xlfn.MAXIFS(AJ$1:AJ55,AI$1:AI55,AI56)+1,_xlfn.RANK.EQ(AI56,AI$2:AI$111,0)),"")</f>
        <v/>
      </c>
      <c r="AK56" s="1" t="str">
        <f>IF(ISNUMBER(AI56)=TRUE,IF(_xlfn.RANK.EQ(AI56,$AI$2:$AI$111)&lt;='Tournament Setup'!$B$49,_xlfn.RANK.EQ(AI56,$AI$2:$AI$111),""),"")</f>
        <v/>
      </c>
      <c r="AL56" s="30" t="str">
        <f>IF(AND($F56='Tournament Setup'!$A$33,SUM($Q56,$S56,$U56)=0),$I56,"")</f>
        <v/>
      </c>
      <c r="AM56" s="47" t="str">
        <f>IF(ISNUMBER(AL56),IF(COUNTIFS(AM$1:AM55,_xlfn.RANK.EQ(AL56,AL$2:AL$111,0))&gt;0,_xlfn.MAXIFS(AM$1:AM55,AL$1:AL55,AL56)+1,_xlfn.RANK.EQ(AL56,AL$2:AL$111,0)),"")</f>
        <v/>
      </c>
      <c r="AN56" s="1" t="str">
        <f>IF(ISNUMBER(AL56)=TRUE,IF(_xlfn.RANK.EQ(AL56,$AL$2:$AL$111)&lt;='Tournament Setup'!$B$33,_xlfn.RANK.EQ(AL56,$AL$2:$AL$111),""),"")</f>
        <v/>
      </c>
      <c r="AO56" s="31" t="str">
        <f>IF(AND($F56='Tournament Setup'!$A$33,SUM($Q56,$S56)=0,$E56="M",$AN56&gt;'Tournament Setup'!$B$33),$I56,"")</f>
        <v/>
      </c>
      <c r="AP56" s="1" t="str">
        <f>IF(ISNUMBER(AO56)=TRUE,IF(_xlfn.RANK.EQ(AO56,$AO$2:$AO$111)&lt;='Tournament Setup'!$C$33,_xlfn.RANK.EQ(AO56,$AO$2:$AO$111),""),"")</f>
        <v/>
      </c>
      <c r="AQ56" s="31" t="str">
        <f>IF(AND($F56='Tournament Setup'!$A$33,SUM($Q56,$U56)=0,$E56="F",$AN56&gt;'Tournament Setup'!$B$33),$I56,"")</f>
        <v/>
      </c>
      <c r="AR56" s="12" t="str">
        <f>IF(ISNUMBER(AQ56)=TRUE,IF(_xlfn.RANK.EQ(AQ56,$AQ$2:$AQ$111)&lt;='Tournament Setup'!$D$33,_xlfn.RANK.EQ(AQ56,$AQ$2:$AQ$111),""),"")</f>
        <v/>
      </c>
      <c r="AS56" s="30" t="str">
        <f>IF(AND($G56='Tournament Setup'!$A$51,$J56&lt;&gt;0),$J56,"")</f>
        <v/>
      </c>
      <c r="AT56" s="47" t="str">
        <f>IF(ISNUMBER(AS56),IF(COUNTIFS(AT$1:AT55,_xlfn.RANK.EQ(AS56,AS$2:AS$111,0))&gt;0,_xlfn.MAXIFS(AT$1:AT55,AS$1:AS55,AS56)+1,_xlfn.RANK.EQ(AS56,AS$2:AS$111,0)),"")</f>
        <v/>
      </c>
      <c r="AU56" s="1" t="str">
        <f>IF(ISNUMBER(AS56)=TRUE,IF(_xlfn.RANK.EQ(AS56,$AS$2:$AS$111)&lt;='Tournament Setup'!$B$49,_xlfn.RANK.EQ(AS56,$AS$2:$AS$111),""),"")</f>
        <v/>
      </c>
      <c r="AV56" s="30" t="str">
        <f>IF(AND($F56='Tournament Setup'!$A$34,SUM($Q56,$S56,$U56)=0),$I56,"")</f>
        <v/>
      </c>
      <c r="AW56" s="47" t="str">
        <f>IF(ISNUMBER(AV56),IF(COUNTIFS(AW$1:AW55,_xlfn.RANK.EQ(AV56,AV$2:AV$111,0))&gt;0,_xlfn.MAXIFS(AW$1:AW55,AV$1:AV55,AV56)+1,_xlfn.RANK.EQ(AV56,AV$2:AV$111,0)),"")</f>
        <v/>
      </c>
      <c r="AX56" s="1" t="str">
        <f>IF(ISNUMBER(AV56)=TRUE,IF(_xlfn.RANK.EQ(AV56,$AV$2:$AV$111)&lt;='Tournament Setup'!$B$34,_xlfn.RANK.EQ(AV56,$AV$2:$AV$111),""),"")</f>
        <v/>
      </c>
      <c r="AY56" s="31" t="str">
        <f>IF(AND($F56='Tournament Setup'!$A$34,SUM($Q56,$S56)=0,$E56="M",$AX56&gt;'Tournament Setup'!$B$34),$I56,"")</f>
        <v/>
      </c>
      <c r="AZ56" s="1" t="str">
        <f>IF(ISNUMBER(AY56)=TRUE,IF(_xlfn.RANK.EQ(AY56,$AY$2:$AY$111)&lt;='Tournament Setup'!$C$34,_xlfn.RANK.EQ(AY56,$AY$2:$AY$111),""),"")</f>
        <v/>
      </c>
      <c r="BA56" s="31" t="str">
        <f>IF(AND($F56='Tournament Setup'!$A$34,SUM($Q56,$U56)=0,$E56="F",$AX56&gt;'Tournament Setup'!$B$34),$I56,"")</f>
        <v/>
      </c>
      <c r="BB56" s="12" t="str">
        <f>IF(ISNUMBER(BA56)=TRUE,IF(_xlfn.RANK.EQ(BA56,$BA$2:$BA$111)&lt;='Tournament Setup'!$D$34,_xlfn.RANK.EQ(BA56,$BA$2:$BA$111),""),"")</f>
        <v/>
      </c>
      <c r="BC56" s="30" t="str">
        <f>IF(AND($G56='Tournament Setup'!$A$52,$J56&lt;&gt;0),$J56,"")</f>
        <v/>
      </c>
      <c r="BD56" s="47" t="str">
        <f>IF(ISNUMBER(BC56),IF(COUNTIFS(BD$1:BD55,_xlfn.RANK.EQ(BC56,BC$2:BC$111,0))&gt;0,_xlfn.MAXIFS(BD$1:BD55,BC$1:BC55,BC56)+1,_xlfn.RANK.EQ(BC56,BC$2:BC$111,0)),"")</f>
        <v/>
      </c>
      <c r="BE56" s="1" t="str">
        <f>IF(ISNUMBER(BC56)=TRUE,IF(_xlfn.RANK.EQ(BC56,$BC$2:$BC$111)&lt;='Tournament Setup'!$B$49,_xlfn.RANK.EQ(BC56,$BC$2:$BC$111),""),"")</f>
        <v/>
      </c>
      <c r="BF56" s="30" t="str">
        <f>IF(AND($F56='Tournament Setup'!$A$35,SUM($Q56,$S56,$U56)=0),$I56,"")</f>
        <v/>
      </c>
      <c r="BG56" s="47" t="str">
        <f>IF(ISNUMBER(BF56),IF(COUNTIFS(BG$1:BG55,_xlfn.RANK.EQ(BF56,BF$2:BF$111,0))&gt;0,_xlfn.MAXIFS(BG$1:BG55,BF$1:BF55,BF56)+1,_xlfn.RANK.EQ(BF56,BF$2:BF$111,0)),"")</f>
        <v/>
      </c>
      <c r="BH56" s="1" t="str">
        <f>IF(ISNUMBER(BF56)=TRUE,IF(_xlfn.RANK.EQ(BF56,$BF$2:$BF$111)&lt;='Tournament Setup'!$B$35,_xlfn.RANK.EQ(BF56,$BF$2:$BF$111),""),"")</f>
        <v/>
      </c>
      <c r="BI56" s="31" t="str">
        <f>IF(AND($F56='Tournament Setup'!$A$35,SUM($Q56,$S56)=0,$E56="M",$BH56&gt;'Tournament Setup'!$B$35),$I56,"")</f>
        <v/>
      </c>
      <c r="BJ56" s="1" t="str">
        <f>IF(ISNUMBER(BI56)=TRUE,IF(_xlfn.RANK.EQ(BI56,$BI$2:$BI$111)&lt;='Tournament Setup'!$C$35,_xlfn.RANK.EQ(BI56,$BI$2:$BI$111),""),"")</f>
        <v/>
      </c>
      <c r="BK56" s="31" t="str">
        <f>IF(AND($F56='Tournament Setup'!$A$35,SUM($Q56,$U56)=0,$E56="F",$BH56&gt;'Tournament Setup'!$B$35),$I56,"")</f>
        <v/>
      </c>
      <c r="BL56" s="12" t="str">
        <f>IF(ISNUMBER(BK56)=TRUE,IF(_xlfn.RANK.EQ(BK56,$BK$2:$BK$111)&lt;='Tournament Setup'!$D$35,_xlfn.RANK.EQ(BK56,$BK$2:$BK$111),""),"")</f>
        <v/>
      </c>
      <c r="BM56" s="30" t="str">
        <f>IF(AND($G56='Tournament Setup'!$A$54,$J56&lt;&gt;0),$J56,"")</f>
        <v/>
      </c>
      <c r="BN56" s="47" t="str">
        <f>IF(ISNUMBER(BM56),IF(COUNTIFS(BN$1:BN55,_xlfn.RANK.EQ(BM56,BM$2:BM$111,0))&gt;0,_xlfn.MAXIFS(BN$1:BN55,BM$1:BM55,BM56)+1,_xlfn.RANK.EQ(BM56,BM$2:BM$111,0)),"")</f>
        <v/>
      </c>
      <c r="BO56" s="1" t="str">
        <f>IF(ISNUMBER(BM56)=TRUE,IF(_xlfn.RANK.EQ(BM56,$BM$2:$BM$111)&lt;='Tournament Setup'!$B$49,_xlfn.RANK.EQ(BM56,$BM$2:$BM$111),""),"")</f>
        <v/>
      </c>
      <c r="BP56" s="30" t="str">
        <f>IF(AND($F56='Tournament Setup'!$A$36,SUM($Q56,$S56,$U56)=0),$I56,"")</f>
        <v/>
      </c>
      <c r="BQ56" s="47" t="str">
        <f>IF(ISNUMBER(BP56),IF(COUNTIFS(BQ$1:BQ55,_xlfn.RANK.EQ(BP56,BP$2:BP$111,0))&gt;0,_xlfn.MAXIFS(BQ$1:BQ55,BP$1:BP55,BP56)+1,_xlfn.RANK.EQ(BP56,BP$2:BP$111,0)),"")</f>
        <v/>
      </c>
      <c r="BR56" s="1" t="str">
        <f>IF(ISNUMBER(BP56)=TRUE,IF(_xlfn.RANK.EQ(BP56,$BP$2:$BP$111)&lt;='Tournament Setup'!$B$36,_xlfn.RANK.EQ(BP56,$BP$2:$BP$111),""),"")</f>
        <v/>
      </c>
      <c r="BS56" s="31" t="str">
        <f>IF(AND($F56='Tournament Setup'!$A$36,SUM($Q56,$S56)=0,$E56="M",$BR56&gt;'Tournament Setup'!$B$36),$I56,"")</f>
        <v/>
      </c>
      <c r="BT56" s="1" t="str">
        <f>IF(ISNUMBER(BS56)=TRUE,IF(_xlfn.RANK.EQ(BS56,$BS$2:$BS$111)&lt;='Tournament Setup'!$C$36,_xlfn.RANK.EQ(BS56,$BS$2:$BS$111),""),"")</f>
        <v/>
      </c>
      <c r="BU56" s="31" t="str">
        <f>IF(AND($F56='Tournament Setup'!$A$36,SUM($Q56,$U56)=0,$E56="F",$BR56&gt;'Tournament Setup'!$B$36),$I56,"")</f>
        <v/>
      </c>
      <c r="BV56" s="12" t="str">
        <f>IF(ISNUMBER(BU56)=TRUE,IF(_xlfn.RANK.EQ(BU56,$BU$2:$BU$111)&lt;='Tournament Setup'!$D$36,_xlfn.RANK.EQ(BU56,$BU$2:$BU$111),""),"")</f>
        <v/>
      </c>
      <c r="BW56" s="30" t="str">
        <f>IF($H56='Tournament Setup'!$A$41,$I56,"")</f>
        <v/>
      </c>
      <c r="BX56" s="47" t="str">
        <f>IF(ISNUMBER(BW56),IF(COUNTIFS(BX$1:BX55,_xlfn.RANK.EQ(BW56,BW$2:BW$111,0))&gt;0,_xlfn.MAXIFS(BX$1:BX55,BW$1:BW55,BW56)+1,_xlfn.RANK.EQ(BW56,BW$2:BW$111,0)),"")</f>
        <v/>
      </c>
      <c r="BY56" s="1" t="str">
        <f>IF(ISNUMBER(BW56)=TRUE,IF(_xlfn.RANK.EQ(BW56,$BW$2:$BW$111)&lt;='Tournament Setup'!$B$41,_xlfn.RANK.EQ(BW56,$BW$2:$BW$111),""),"")</f>
        <v/>
      </c>
      <c r="BZ56" s="31" t="str">
        <f>IF(AND($H56='Tournament Setup'!$A$41,$E56="M",$BY56&gt;'Tournament Setup'!$B$41),$I56,"")</f>
        <v/>
      </c>
      <c r="CA56" s="1" t="str">
        <f>IF(ISNUMBER(BZ56)=TRUE,IF(_xlfn.RANK.EQ(BZ56,$BZ$2:$BZ$111)&lt;='Tournament Setup'!$C$41,_xlfn.RANK.EQ(BZ56,$BZ$2:$BZ$111),""),"")</f>
        <v/>
      </c>
      <c r="CB56" s="31" t="str">
        <f>IF(AND($H56='Tournament Setup'!$A$41,$E56="F",$BY56&gt;'Tournament Setup'!$B$41),$I56,"")</f>
        <v/>
      </c>
      <c r="CC56" s="12" t="str">
        <f>IF(ISNUMBER(CB56)=TRUE,IF(_xlfn.RANK.EQ(CB56,$CB$2:$CB$111)&lt;='Tournament Setup'!$D$41,_xlfn.RANK.EQ(CB56,$CB$2:$CB$111),""),"")</f>
        <v/>
      </c>
      <c r="CD56" s="30" t="str">
        <f>IF($H56='Tournament Setup'!$A$42,$I56,"")</f>
        <v/>
      </c>
      <c r="CE56" s="47" t="str">
        <f>IF(ISNUMBER(CD56),IF(COUNTIFS(CE$1:CE55,_xlfn.RANK.EQ(CD56,CD$2:CD$111,0))&gt;0,_xlfn.MAXIFS(CE$1:CE55,CD$1:CD55,CD56)+1,_xlfn.RANK.EQ(CD56,CD$2:CD$111,0)),"")</f>
        <v/>
      </c>
      <c r="CF56" s="1" t="str">
        <f>IF(ISNUMBER(CD56)=TRUE,IF(_xlfn.RANK.EQ(CD56,$CD$2:$CD$111)&lt;='Tournament Setup'!$B$42,_xlfn.RANK.EQ(CD56,$CD$2:$CD$111),""),"")</f>
        <v/>
      </c>
      <c r="CG56" s="31" t="str">
        <f>IF(AND($H56='Tournament Setup'!$A$42,$E56="M",$CF56&gt;'Tournament Setup'!$B$42),$I56,"")</f>
        <v/>
      </c>
      <c r="CH56" s="1" t="str">
        <f>IF(ISNUMBER(CG56)=TRUE,IF(_xlfn.RANK.EQ(CG56,$CG$2:$CG$111)&lt;='Tournament Setup'!$C$42,_xlfn.RANK.EQ(CG56,$CG$2:$CG$111),""),"")</f>
        <v/>
      </c>
      <c r="CI56" s="31" t="str">
        <f>IF(AND($H56='Tournament Setup'!$A$42,$E56="F",$CF56&gt;'Tournament Setup'!$B$42),$I56,"")</f>
        <v/>
      </c>
      <c r="CJ56" s="12" t="str">
        <f>IF(ISNUMBER(CI56)=TRUE,IF(_xlfn.RANK.EQ(CI56,$CI$2:$CI$111)&lt;='Tournament Setup'!$D$42,_xlfn.RANK.EQ(CI56,$CI$2:$CI$111),""),"")</f>
        <v/>
      </c>
      <c r="CK56" s="30" t="str">
        <f>IF($H56='Tournament Setup'!$A$43,$I56,"")</f>
        <v/>
      </c>
      <c r="CL56" s="47" t="str">
        <f>IF(ISNUMBER(CK56),IF(COUNTIFS(CL$1:CL55,_xlfn.RANK.EQ(CK56,CK$2:CK$111,0))&gt;0,_xlfn.MAXIFS(CL$1:CL55,CK$1:CK55,CK56)+1,_xlfn.RANK.EQ(CK56,CK$2:CK$111,0)),"")</f>
        <v/>
      </c>
      <c r="CM56" s="1" t="str">
        <f>IF(ISNUMBER(CK56)=TRUE,IF(_xlfn.RANK.EQ(CK56,$CK$2:$CK$111)&lt;='Tournament Setup'!$B$43,_xlfn.RANK.EQ(CK56,$CK$2:$CK$111),""),"")</f>
        <v/>
      </c>
      <c r="CN56" s="31" t="str">
        <f>IF(AND($H56='Tournament Setup'!$A$43,$E56="M",$CM56&gt;'Tournament Setup'!$B$43),$I56,"")</f>
        <v/>
      </c>
      <c r="CO56" s="1" t="str">
        <f>IF(ISNUMBER(CN56)=TRUE,IF(_xlfn.RANK.EQ(CN56,$CN$2:$CN$111)&lt;='Tournament Setup'!$C$43,_xlfn.RANK.EQ(CN56,$CN$2:$CN$111),""),"")</f>
        <v/>
      </c>
      <c r="CP56" s="31" t="str">
        <f>IF(AND($H56='Tournament Setup'!$A$43,$E56="F",$CM56&gt;'Tournament Setup'!$B$43),$I56,"")</f>
        <v/>
      </c>
      <c r="CQ56" s="12" t="str">
        <f>IF(ISNUMBER(CP56)=TRUE,IF(_xlfn.RANK.EQ(CP56,$CP$2:$CP$111)&lt;='Tournament Setup'!$D$43,_xlfn.RANK.EQ(CP56,$CP$2:$CP$111),""),"")</f>
        <v/>
      </c>
      <c r="CR56" s="30" t="str">
        <f>IF($H56='Tournament Setup'!$A$44,$I56,"")</f>
        <v/>
      </c>
      <c r="CS56" s="47" t="str">
        <f>IF(ISNUMBER(CR56),IF(COUNTIFS(CS$1:CS55,_xlfn.RANK.EQ(CR56,CR$2:CR$111,0))&gt;0,_xlfn.MAXIFS(CS$1:CS55,CR$1:CR55,CR56)+1,_xlfn.RANK.EQ(CR56,CR$2:CR$111,0)),"")</f>
        <v/>
      </c>
      <c r="CT56" s="1" t="str">
        <f>IF(ISNUMBER(CR56)=TRUE,IF(_xlfn.RANK.EQ(CR56,$CR$2:$CR$111)&lt;='Tournament Setup'!$B$44,_xlfn.RANK.EQ(CR56,$CR$2:$CR$111),""),"")</f>
        <v/>
      </c>
      <c r="CU56" s="31" t="str">
        <f>IF(AND($H56='Tournament Setup'!$A$44,$E56="M",$CT56&gt;'Tournament Setup'!$B$44),$I56,"")</f>
        <v/>
      </c>
      <c r="CV56" s="1" t="str">
        <f>IF(ISNUMBER(CU56)=TRUE,IF(_xlfn.RANK.EQ(CU56,$CU$2:$CU$111)&lt;='Tournament Setup'!$C$44,_xlfn.RANK.EQ(CU56,$CU$2:$CU$111),""),"")</f>
        <v/>
      </c>
      <c r="CW56" s="31" t="str">
        <f>IF(AND($H56='Tournament Setup'!$A$44,$E56="F",$CT56&gt;'Tournament Setup'!$B$44),$I56,"")</f>
        <v/>
      </c>
      <c r="CX56" s="12" t="str">
        <f>IF(ISNUMBER(CW56)=TRUE,IF(_xlfn.RANK.EQ(CW56,$CW$2:$CW$111)&lt;='Tournament Setup'!$D$44,_xlfn.RANK.EQ(CW56,$CW$2:$CW$111),""),"")</f>
        <v/>
      </c>
    </row>
    <row r="57" spans="1:102" x14ac:dyDescent="0.3">
      <c r="B57" t="str">
        <f>IFERROR(INDEX('Tournament List'!$B:$B,MATCH($A57,'Tournament List'!$A:$A,0)),"")</f>
        <v/>
      </c>
      <c r="C57" t="str">
        <f>IFERROR(INDEX('Tournament List'!$C:$C,MATCH($A57,'Tournament List'!$A:$A,0)),"")</f>
        <v/>
      </c>
      <c r="D57" t="str">
        <f t="shared" si="2"/>
        <v xml:space="preserve"> </v>
      </c>
      <c r="E57" s="1" t="str">
        <f>IFERROR(INDEX('Tournament List'!F:F,MATCH($A57,'Tournament List'!$A:$A,0)),"")</f>
        <v/>
      </c>
      <c r="F57" t="str">
        <f>IFERROR(INDEX('Tournament List'!M:M,MATCH($A57,'Tournament List'!$A:$A,0)),"")</f>
        <v/>
      </c>
      <c r="G57" t="str">
        <f>IFERROR(INDEX('Shooter-Squad Assignment'!L:L,MATCH(A57,'Shooter-Squad Assignment'!A:A,0)),"")</f>
        <v/>
      </c>
      <c r="H57" s="1" t="str">
        <f>IFERROR(INDEX('Tournament List'!AD:AD,MATCH($A57,'Tournament List'!$A:$A,0)),"")</f>
        <v/>
      </c>
      <c r="I57" s="123" t="str">
        <f>IFERROR(INDEX('Tournament List'!AG:AG,MATCH($A57,'Tournament List'!$A:$A,0)),"")</f>
        <v/>
      </c>
      <c r="J57" s="145" t="str">
        <f>IFERROR(INDEX('Tournament List'!Y:Y,MATCH($A57,'Tournament List'!$A:$A,0)),"")</f>
        <v/>
      </c>
      <c r="K57" s="47" t="str">
        <f>IFERROR(INDEX('Tournament List'!S:S,MATCH(A57,'Tournament List'!A:A,0)),"")</f>
        <v/>
      </c>
      <c r="L57" s="47" t="str">
        <f>IF(ISNUMBER(J57),IF(COUNTIFS(L$1:L56,_xlfn.RANK.EQ(J57,J$2:J$111,0))&gt;0,_xlfn.MAXIFS(L$1:L56,J$1:J56,J57)+1,_xlfn.RANK.EQ(J57,J$2:J$111,0)),"")</f>
        <v/>
      </c>
      <c r="M57" s="11" t="str">
        <f>IF(ISNUMBER(I57)=TRUE,IF(I57&gt;0,_xlfn.RANK.EQ(I57,$I$2:$I$111,0),""),"")</f>
        <v/>
      </c>
      <c r="N57" s="56" t="str">
        <f>IF(ISNUMBER(I57),IF(COUNTIFS(N$1:N56,_xlfn.RANK.EQ(I57,I$2:I$111,0))&gt;0,_xlfn.MAXIFS(N$1:N56,I$1:I56,I57)+1,_xlfn.RANK.EQ(I57,I$2:I$111,0)),"")</f>
        <v/>
      </c>
      <c r="O57" s="144" t="str">
        <f>IF(F57&lt;&gt;"Collegiate"=TRUE,$I57,"")</f>
        <v/>
      </c>
      <c r="P57" s="47" t="str">
        <f>IF(ISNUMBER(O57),IF(COUNTIFS(P$1:P56,_xlfn.RANK.EQ(O57,O$2:O$111,0))&gt;0,_xlfn.MAXIFS(P$1:P56,O$1:O56,O57)+1,_xlfn.RANK.EQ(O57,O$2:O$111,0)),"")</f>
        <v/>
      </c>
      <c r="Q57" s="1" t="str">
        <f>IF(ISNUMBER(O57)=TRUE,IF(_xlfn.RANK.EQ(O57,$O$2:$O$111)&lt;='Tournament Setup'!$B$26,_xlfn.RANK.EQ(O57,$O$2:$O$111),""),"")</f>
        <v/>
      </c>
      <c r="R57" s="143" t="str">
        <f>IF(AND($E57="M",SUM($Q57)=0,F57&lt;&gt;"Collegiate")=TRUE,$I57,"")</f>
        <v/>
      </c>
      <c r="S57" s="1" t="str">
        <f>IF(ISNUMBER(R57)=TRUE,IF(_xlfn.RANK.EQ(R57,$R$2:$R$111)&lt;='Tournament Setup'!$B$27,_xlfn.RANK.EQ(R57,$R$2:$R$111),""),"")</f>
        <v/>
      </c>
      <c r="T57" s="143" t="str">
        <f>IF(AND($E57="F",SUM($Q57)=0,F57&lt;&gt;"Collegiate")=TRUE,$I57,"")</f>
        <v/>
      </c>
      <c r="U57" s="12" t="str">
        <f>IF(ISNUMBER(T57)=TRUE,IF(_xlfn.RANK.EQ(T57,$T$2:$T$111)&lt;='Tournament Setup'!$B$28,_xlfn.RANK.EQ(T57,$T$2:$T$111),""),"")</f>
        <v/>
      </c>
      <c r="V57" s="145" t="str">
        <f>IF(AND($G57='Tournament Setup'!$A$53,$J57&lt;&gt;0),$J57,"")</f>
        <v/>
      </c>
      <c r="W57" s="47" t="str">
        <f>IF(ISNUMBER(V57),IF(COUNTIFS(W$1:W56,_xlfn.RANK.EQ(V57,V$2:V$111,0))&gt;0,_xlfn.MAXIFS(W$1:W56,V$1:V56,V57)+1,_xlfn.RANK.EQ(V57,V$2:V$111,0)),"")</f>
        <v/>
      </c>
      <c r="X57" s="1" t="str">
        <f>IF(ISNUMBER(V57)=TRUE,IF(_xlfn.RANK.EQ(V57,$V$2:$V$111)&lt;='Tournament Setup'!$B$53,_xlfn.RANK.EQ(V57,$V$2:$V$111),""),"")</f>
        <v/>
      </c>
      <c r="Y57" s="145" t="str">
        <f>IF(AND($G57='Tournament Setup'!$A$49,$J57&lt;&gt;0),$J57,"")</f>
        <v/>
      </c>
      <c r="Z57" s="47" t="str">
        <f>IF(ISNUMBER(Y57),IF(COUNTIFS(Z$1:Z56,_xlfn.RANK.EQ(Y57,Y$2:Y$111,0))&gt;0,_xlfn.MAXIFS(Z$1:Z56,Y$1:Y56,Y57)+1,_xlfn.RANK.EQ(Y57,Y$2:Y$111,0)),"")</f>
        <v/>
      </c>
      <c r="AA57" s="1" t="str">
        <f>IF(ISNUMBER(Y57)=TRUE,IF(_xlfn.RANK.EQ(Y57,$Y$2:$Y$111)&lt;='Tournament Setup'!$B$49,_xlfn.RANK.EQ(Y57,$Y$2:$Y$111),""),"")</f>
        <v/>
      </c>
      <c r="AB57" s="30" t="str">
        <f>IF(AND($F57='Tournament Setup'!$A$32,SUM($Q57,$S57,$U57)=0),$I57,"")</f>
        <v/>
      </c>
      <c r="AC57" s="47" t="str">
        <f>IF(ISNUMBER(AB57),IF(COUNTIFS(AC$1:AC56,_xlfn.RANK.EQ(AB57,AB$2:AB$111,0))&gt;0,_xlfn.MAXIFS(AC$1:AC56,AB$1:AB56,AB57)+1,_xlfn.RANK.EQ(AB57,AB$2:AB$111,0)),"")</f>
        <v/>
      </c>
      <c r="AD57" s="1" t="str">
        <f>IF(ISNUMBER(AB57)=TRUE,IF(_xlfn.RANK.EQ(AB57,$AB$2:$AB$111)&lt;='Tournament Setup'!$B$32,_xlfn.RANK.EQ(AB57,$AB$2:$AB$111),""),"")</f>
        <v/>
      </c>
      <c r="AE57" s="31" t="str">
        <f>IF(AND($F57='Tournament Setup'!$A$32,SUM($Q57,$S57)=0,$E57="M",$AD57&gt;'Tournament Setup'!$B$32),$I57,"")</f>
        <v/>
      </c>
      <c r="AF57" s="1" t="str">
        <f>IF(ISNUMBER(AE57)=TRUE,IF(_xlfn.RANK.EQ(AE57,$AE$2:$AE$111)&lt;='Tournament Setup'!$C$32,_xlfn.RANK.EQ(AE57,$AE$2:$AE$111),""),"")</f>
        <v/>
      </c>
      <c r="AG57" s="31" t="str">
        <f>IF(AND($F57='Tournament Setup'!$A$32,SUM($Q57,$U57)=0,$E57="F",$AD57&gt;'Tournament Setup'!$B$32),$I57,"")</f>
        <v/>
      </c>
      <c r="AH57" s="12" t="str">
        <f>IF(ISNUMBER(AG57)=TRUE,IF(_xlfn.RANK.EQ(AG57,$AG$2:$AG$111)&lt;='Tournament Setup'!$D$32,_xlfn.RANK.EQ(AG57,$AG$2:$AG$111),""),"")</f>
        <v/>
      </c>
      <c r="AI57" s="30" t="str">
        <f>IF(AND($G57='Tournament Setup'!$A$50,$J57&lt;&gt;0),$J57,"")</f>
        <v/>
      </c>
      <c r="AJ57" s="47" t="str">
        <f>IF(ISNUMBER(AI57),IF(COUNTIFS(AJ$1:AJ56,_xlfn.RANK.EQ(AI57,AI$2:AI$111,0))&gt;0,_xlfn.MAXIFS(AJ$1:AJ56,AI$1:AI56,AI57)+1,_xlfn.RANK.EQ(AI57,AI$2:AI$111,0)),"")</f>
        <v/>
      </c>
      <c r="AK57" s="1" t="str">
        <f>IF(ISNUMBER(AI57)=TRUE,IF(_xlfn.RANK.EQ(AI57,$AI$2:$AI$111)&lt;='Tournament Setup'!$B$49,_xlfn.RANK.EQ(AI57,$AI$2:$AI$111),""),"")</f>
        <v/>
      </c>
      <c r="AL57" s="30" t="str">
        <f>IF(AND($F57='Tournament Setup'!$A$33,SUM($Q57,$S57,$U57)=0),$I57,"")</f>
        <v/>
      </c>
      <c r="AM57" s="47" t="str">
        <f>IF(ISNUMBER(AL57),IF(COUNTIFS(AM$1:AM56,_xlfn.RANK.EQ(AL57,AL$2:AL$111,0))&gt;0,_xlfn.MAXIFS(AM$1:AM56,AL$1:AL56,AL57)+1,_xlfn.RANK.EQ(AL57,AL$2:AL$111,0)),"")</f>
        <v/>
      </c>
      <c r="AN57" s="1" t="str">
        <f>IF(ISNUMBER(AL57)=TRUE,IF(_xlfn.RANK.EQ(AL57,$AL$2:$AL$111)&lt;='Tournament Setup'!$B$33,_xlfn.RANK.EQ(AL57,$AL$2:$AL$111),""),"")</f>
        <v/>
      </c>
      <c r="AO57" s="31" t="str">
        <f>IF(AND($F57='Tournament Setup'!$A$33,SUM($Q57,$S57)=0,$E57="M",$AN57&gt;'Tournament Setup'!$B$33),$I57,"")</f>
        <v/>
      </c>
      <c r="AP57" s="1" t="str">
        <f>IF(ISNUMBER(AO57)=TRUE,IF(_xlfn.RANK.EQ(AO57,$AO$2:$AO$111)&lt;='Tournament Setup'!$C$33,_xlfn.RANK.EQ(AO57,$AO$2:$AO$111),""),"")</f>
        <v/>
      </c>
      <c r="AQ57" s="31" t="str">
        <f>IF(AND($F57='Tournament Setup'!$A$33,SUM($Q57,$U57)=0,$E57="F",$AN57&gt;'Tournament Setup'!$B$33),$I57,"")</f>
        <v/>
      </c>
      <c r="AR57" s="12" t="str">
        <f>IF(ISNUMBER(AQ57)=TRUE,IF(_xlfn.RANK.EQ(AQ57,$AQ$2:$AQ$111)&lt;='Tournament Setup'!$D$33,_xlfn.RANK.EQ(AQ57,$AQ$2:$AQ$111),""),"")</f>
        <v/>
      </c>
      <c r="AS57" s="30" t="str">
        <f>IF(AND($G57='Tournament Setup'!$A$51,$J57&lt;&gt;0),$J57,"")</f>
        <v/>
      </c>
      <c r="AT57" s="47" t="str">
        <f>IF(ISNUMBER(AS57),IF(COUNTIFS(AT$1:AT56,_xlfn.RANK.EQ(AS57,AS$2:AS$111,0))&gt;0,_xlfn.MAXIFS(AT$1:AT56,AS$1:AS56,AS57)+1,_xlfn.RANK.EQ(AS57,AS$2:AS$111,0)),"")</f>
        <v/>
      </c>
      <c r="AU57" s="1" t="str">
        <f>IF(ISNUMBER(AS57)=TRUE,IF(_xlfn.RANK.EQ(AS57,$AS$2:$AS$111)&lt;='Tournament Setup'!$B$49,_xlfn.RANK.EQ(AS57,$AS$2:$AS$111),""),"")</f>
        <v/>
      </c>
      <c r="AV57" s="30" t="str">
        <f>IF(AND($F57='Tournament Setup'!$A$34,SUM($Q57,$S57,$U57)=0),$I57,"")</f>
        <v/>
      </c>
      <c r="AW57" s="47" t="str">
        <f>IF(ISNUMBER(AV57),IF(COUNTIFS(AW$1:AW56,_xlfn.RANK.EQ(AV57,AV$2:AV$111,0))&gt;0,_xlfn.MAXIFS(AW$1:AW56,AV$1:AV56,AV57)+1,_xlfn.RANK.EQ(AV57,AV$2:AV$111,0)),"")</f>
        <v/>
      </c>
      <c r="AX57" s="1" t="str">
        <f>IF(ISNUMBER(AV57)=TRUE,IF(_xlfn.RANK.EQ(AV57,$AV$2:$AV$111)&lt;='Tournament Setup'!$B$34,_xlfn.RANK.EQ(AV57,$AV$2:$AV$111),""),"")</f>
        <v/>
      </c>
      <c r="AY57" s="31" t="str">
        <f>IF(AND($F57='Tournament Setup'!$A$34,SUM($Q57,$S57)=0,$E57="M",$AX57&gt;'Tournament Setup'!$B$34),$I57,"")</f>
        <v/>
      </c>
      <c r="AZ57" s="1" t="str">
        <f>IF(ISNUMBER(AY57)=TRUE,IF(_xlfn.RANK.EQ(AY57,$AY$2:$AY$111)&lt;='Tournament Setup'!$C$34,_xlfn.RANK.EQ(AY57,$AY$2:$AY$111),""),"")</f>
        <v/>
      </c>
      <c r="BA57" s="31" t="str">
        <f>IF(AND($F57='Tournament Setup'!$A$34,SUM($Q57,$U57)=0,$E57="F",$AX57&gt;'Tournament Setup'!$B$34),$I57,"")</f>
        <v/>
      </c>
      <c r="BB57" s="12" t="str">
        <f>IF(ISNUMBER(BA57)=TRUE,IF(_xlfn.RANK.EQ(BA57,$BA$2:$BA$111)&lt;='Tournament Setup'!$D$34,_xlfn.RANK.EQ(BA57,$BA$2:$BA$111),""),"")</f>
        <v/>
      </c>
      <c r="BC57" s="30" t="str">
        <f>IF(AND($G57='Tournament Setup'!$A$52,$J57&lt;&gt;0),$J57,"")</f>
        <v/>
      </c>
      <c r="BD57" s="47" t="str">
        <f>IF(ISNUMBER(BC57),IF(COUNTIFS(BD$1:BD56,_xlfn.RANK.EQ(BC57,BC$2:BC$111,0))&gt;0,_xlfn.MAXIFS(BD$1:BD56,BC$1:BC56,BC57)+1,_xlfn.RANK.EQ(BC57,BC$2:BC$111,0)),"")</f>
        <v/>
      </c>
      <c r="BE57" s="1" t="str">
        <f>IF(ISNUMBER(BC57)=TRUE,IF(_xlfn.RANK.EQ(BC57,$BC$2:$BC$111)&lt;='Tournament Setup'!$B$49,_xlfn.RANK.EQ(BC57,$BC$2:$BC$111),""),"")</f>
        <v/>
      </c>
      <c r="BF57" s="30" t="str">
        <f>IF(AND($F57='Tournament Setup'!$A$35,SUM($Q57,$S57,$U57)=0),$I57,"")</f>
        <v/>
      </c>
      <c r="BG57" s="47" t="str">
        <f>IF(ISNUMBER(BF57),IF(COUNTIFS(BG$1:BG56,_xlfn.RANK.EQ(BF57,BF$2:BF$111,0))&gt;0,_xlfn.MAXIFS(BG$1:BG56,BF$1:BF56,BF57)+1,_xlfn.RANK.EQ(BF57,BF$2:BF$111,0)),"")</f>
        <v/>
      </c>
      <c r="BH57" s="1" t="str">
        <f>IF(ISNUMBER(BF57)=TRUE,IF(_xlfn.RANK.EQ(BF57,$BF$2:$BF$111)&lt;='Tournament Setup'!$B$35,_xlfn.RANK.EQ(BF57,$BF$2:$BF$111),""),"")</f>
        <v/>
      </c>
      <c r="BI57" s="31" t="str">
        <f>IF(AND($F57='Tournament Setup'!$A$35,SUM($Q57,$S57)=0,$E57="M",$BH57&gt;'Tournament Setup'!$B$35),$I57,"")</f>
        <v/>
      </c>
      <c r="BJ57" s="1" t="str">
        <f>IF(ISNUMBER(BI57)=TRUE,IF(_xlfn.RANK.EQ(BI57,$BI$2:$BI$111)&lt;='Tournament Setup'!$C$35,_xlfn.RANK.EQ(BI57,$BI$2:$BI$111),""),"")</f>
        <v/>
      </c>
      <c r="BK57" s="31" t="str">
        <f>IF(AND($F57='Tournament Setup'!$A$35,SUM($Q57,$U57)=0,$E57="F",$BH57&gt;'Tournament Setup'!$B$35),$I57,"")</f>
        <v/>
      </c>
      <c r="BL57" s="12" t="str">
        <f>IF(ISNUMBER(BK57)=TRUE,IF(_xlfn.RANK.EQ(BK57,$BK$2:$BK$111)&lt;='Tournament Setup'!$D$35,_xlfn.RANK.EQ(BK57,$BK$2:$BK$111),""),"")</f>
        <v/>
      </c>
      <c r="BM57" s="30" t="str">
        <f>IF(AND($G57='Tournament Setup'!$A$54,$J57&lt;&gt;0),$J57,"")</f>
        <v/>
      </c>
      <c r="BN57" s="47" t="str">
        <f>IF(ISNUMBER(BM57),IF(COUNTIFS(BN$1:BN56,_xlfn.RANK.EQ(BM57,BM$2:BM$111,0))&gt;0,_xlfn.MAXIFS(BN$1:BN56,BM$1:BM56,BM57)+1,_xlfn.RANK.EQ(BM57,BM$2:BM$111,0)),"")</f>
        <v/>
      </c>
      <c r="BO57" s="1" t="str">
        <f>IF(ISNUMBER(BM57)=TRUE,IF(_xlfn.RANK.EQ(BM57,$BM$2:$BM$111)&lt;='Tournament Setup'!$B$49,_xlfn.RANK.EQ(BM57,$BM$2:$BM$111),""),"")</f>
        <v/>
      </c>
      <c r="BP57" s="30" t="str">
        <f>IF(AND($F57='Tournament Setup'!$A$36,SUM($Q57,$S57,$U57)=0),$I57,"")</f>
        <v/>
      </c>
      <c r="BQ57" s="47" t="str">
        <f>IF(ISNUMBER(BP57),IF(COUNTIFS(BQ$1:BQ56,_xlfn.RANK.EQ(BP57,BP$2:BP$111,0))&gt;0,_xlfn.MAXIFS(BQ$1:BQ56,BP$1:BP56,BP57)+1,_xlfn.RANK.EQ(BP57,BP$2:BP$111,0)),"")</f>
        <v/>
      </c>
      <c r="BR57" s="1" t="str">
        <f>IF(ISNUMBER(BP57)=TRUE,IF(_xlfn.RANK.EQ(BP57,$BP$2:$BP$111)&lt;='Tournament Setup'!$B$36,_xlfn.RANK.EQ(BP57,$BP$2:$BP$111),""),"")</f>
        <v/>
      </c>
      <c r="BS57" s="31" t="str">
        <f>IF(AND($F57='Tournament Setup'!$A$36,SUM($Q57,$S57)=0,$E57="M",$BR57&gt;'Tournament Setup'!$B$36),$I57,"")</f>
        <v/>
      </c>
      <c r="BT57" s="1" t="str">
        <f>IF(ISNUMBER(BS57)=TRUE,IF(_xlfn.RANK.EQ(BS57,$BS$2:$BS$111)&lt;='Tournament Setup'!$C$36,_xlfn.RANK.EQ(BS57,$BS$2:$BS$111),""),"")</f>
        <v/>
      </c>
      <c r="BU57" s="31" t="str">
        <f>IF(AND($F57='Tournament Setup'!$A$36,SUM($Q57,$U57)=0,$E57="F",$BR57&gt;'Tournament Setup'!$B$36),$I57,"")</f>
        <v/>
      </c>
      <c r="BV57" s="12" t="str">
        <f>IF(ISNUMBER(BU57)=TRUE,IF(_xlfn.RANK.EQ(BU57,$BU$2:$BU$111)&lt;='Tournament Setup'!$D$36,_xlfn.RANK.EQ(BU57,$BU$2:$BU$111),""),"")</f>
        <v/>
      </c>
      <c r="BW57" s="30" t="str">
        <f>IF($H57='Tournament Setup'!$A$41,$I57,"")</f>
        <v/>
      </c>
      <c r="BX57" s="47" t="str">
        <f>IF(ISNUMBER(BW57),IF(COUNTIFS(BX$1:BX56,_xlfn.RANK.EQ(BW57,BW$2:BW$111,0))&gt;0,_xlfn.MAXIFS(BX$1:BX56,BW$1:BW56,BW57)+1,_xlfn.RANK.EQ(BW57,BW$2:BW$111,0)),"")</f>
        <v/>
      </c>
      <c r="BY57" s="1" t="str">
        <f>IF(ISNUMBER(BW57)=TRUE,IF(_xlfn.RANK.EQ(BW57,$BW$2:$BW$111)&lt;='Tournament Setup'!$B$41,_xlfn.RANK.EQ(BW57,$BW$2:$BW$111),""),"")</f>
        <v/>
      </c>
      <c r="BZ57" s="31" t="str">
        <f>IF(AND($H57='Tournament Setup'!$A$41,$E57="M",$BY57&gt;'Tournament Setup'!$B$41),$I57,"")</f>
        <v/>
      </c>
      <c r="CA57" s="1" t="str">
        <f>IF(ISNUMBER(BZ57)=TRUE,IF(_xlfn.RANK.EQ(BZ57,$BZ$2:$BZ$111)&lt;='Tournament Setup'!$C$41,_xlfn.RANK.EQ(BZ57,$BZ$2:$BZ$111),""),"")</f>
        <v/>
      </c>
      <c r="CB57" s="31" t="str">
        <f>IF(AND($H57='Tournament Setup'!$A$41,$E57="F",$BY57&gt;'Tournament Setup'!$B$41),$I57,"")</f>
        <v/>
      </c>
      <c r="CC57" s="12" t="str">
        <f>IF(ISNUMBER(CB57)=TRUE,IF(_xlfn.RANK.EQ(CB57,$CB$2:$CB$111)&lt;='Tournament Setup'!$D$41,_xlfn.RANK.EQ(CB57,$CB$2:$CB$111),""),"")</f>
        <v/>
      </c>
      <c r="CD57" s="30" t="str">
        <f>IF($H57='Tournament Setup'!$A$42,$I57,"")</f>
        <v/>
      </c>
      <c r="CE57" s="47" t="str">
        <f>IF(ISNUMBER(CD57),IF(COUNTIFS(CE$1:CE56,_xlfn.RANK.EQ(CD57,CD$2:CD$111,0))&gt;0,_xlfn.MAXIFS(CE$1:CE56,CD$1:CD56,CD57)+1,_xlfn.RANK.EQ(CD57,CD$2:CD$111,0)),"")</f>
        <v/>
      </c>
      <c r="CF57" s="1" t="str">
        <f>IF(ISNUMBER(CD57)=TRUE,IF(_xlfn.RANK.EQ(CD57,$CD$2:$CD$111)&lt;='Tournament Setup'!$B$42,_xlfn.RANK.EQ(CD57,$CD$2:$CD$111),""),"")</f>
        <v/>
      </c>
      <c r="CG57" s="31" t="str">
        <f>IF(AND($H57='Tournament Setup'!$A$42,$E57="M",$CF57&gt;'Tournament Setup'!$B$42),$I57,"")</f>
        <v/>
      </c>
      <c r="CH57" s="1" t="str">
        <f>IF(ISNUMBER(CG57)=TRUE,IF(_xlfn.RANK.EQ(CG57,$CG$2:$CG$111)&lt;='Tournament Setup'!$C$42,_xlfn.RANK.EQ(CG57,$CG$2:$CG$111),""),"")</f>
        <v/>
      </c>
      <c r="CI57" s="31" t="str">
        <f>IF(AND($H57='Tournament Setup'!$A$42,$E57="F",$CF57&gt;'Tournament Setup'!$B$42),$I57,"")</f>
        <v/>
      </c>
      <c r="CJ57" s="12" t="str">
        <f>IF(ISNUMBER(CI57)=TRUE,IF(_xlfn.RANK.EQ(CI57,$CI$2:$CI$111)&lt;='Tournament Setup'!$D$42,_xlfn.RANK.EQ(CI57,$CI$2:$CI$111),""),"")</f>
        <v/>
      </c>
      <c r="CK57" s="30" t="str">
        <f>IF($H57='Tournament Setup'!$A$43,$I57,"")</f>
        <v/>
      </c>
      <c r="CL57" s="47" t="str">
        <f>IF(ISNUMBER(CK57),IF(COUNTIFS(CL$1:CL56,_xlfn.RANK.EQ(CK57,CK$2:CK$111,0))&gt;0,_xlfn.MAXIFS(CL$1:CL56,CK$1:CK56,CK57)+1,_xlfn.RANK.EQ(CK57,CK$2:CK$111,0)),"")</f>
        <v/>
      </c>
      <c r="CM57" s="1" t="str">
        <f>IF(ISNUMBER(CK57)=TRUE,IF(_xlfn.RANK.EQ(CK57,$CK$2:$CK$111)&lt;='Tournament Setup'!$B$43,_xlfn.RANK.EQ(CK57,$CK$2:$CK$111),""),"")</f>
        <v/>
      </c>
      <c r="CN57" s="31" t="str">
        <f>IF(AND($H57='Tournament Setup'!$A$43,$E57="M",$CM57&gt;'Tournament Setup'!$B$43),$I57,"")</f>
        <v/>
      </c>
      <c r="CO57" s="1" t="str">
        <f>IF(ISNUMBER(CN57)=TRUE,IF(_xlfn.RANK.EQ(CN57,$CN$2:$CN$111)&lt;='Tournament Setup'!$C$43,_xlfn.RANK.EQ(CN57,$CN$2:$CN$111),""),"")</f>
        <v/>
      </c>
      <c r="CP57" s="31" t="str">
        <f>IF(AND($H57='Tournament Setup'!$A$43,$E57="F",$CM57&gt;'Tournament Setup'!$B$43),$I57,"")</f>
        <v/>
      </c>
      <c r="CQ57" s="12" t="str">
        <f>IF(ISNUMBER(CP57)=TRUE,IF(_xlfn.RANK.EQ(CP57,$CP$2:$CP$111)&lt;='Tournament Setup'!$D$43,_xlfn.RANK.EQ(CP57,$CP$2:$CP$111),""),"")</f>
        <v/>
      </c>
      <c r="CR57" s="30" t="str">
        <f>IF($H57='Tournament Setup'!$A$44,$I57,"")</f>
        <v/>
      </c>
      <c r="CS57" s="47" t="str">
        <f>IF(ISNUMBER(CR57),IF(COUNTIFS(CS$1:CS56,_xlfn.RANK.EQ(CR57,CR$2:CR$111,0))&gt;0,_xlfn.MAXIFS(CS$1:CS56,CR$1:CR56,CR57)+1,_xlfn.RANK.EQ(CR57,CR$2:CR$111,0)),"")</f>
        <v/>
      </c>
      <c r="CT57" s="1" t="str">
        <f>IF(ISNUMBER(CR57)=TRUE,IF(_xlfn.RANK.EQ(CR57,$CR$2:$CR$111)&lt;='Tournament Setup'!$B$44,_xlfn.RANK.EQ(CR57,$CR$2:$CR$111),""),"")</f>
        <v/>
      </c>
      <c r="CU57" s="31" t="str">
        <f>IF(AND($H57='Tournament Setup'!$A$44,$E57="M",$CT57&gt;'Tournament Setup'!$B$44),$I57,"")</f>
        <v/>
      </c>
      <c r="CV57" s="1" t="str">
        <f>IF(ISNUMBER(CU57)=TRUE,IF(_xlfn.RANK.EQ(CU57,$CU$2:$CU$111)&lt;='Tournament Setup'!$C$44,_xlfn.RANK.EQ(CU57,$CU$2:$CU$111),""),"")</f>
        <v/>
      </c>
      <c r="CW57" s="31" t="str">
        <f>IF(AND($H57='Tournament Setup'!$A$44,$E57="F",$CT57&gt;'Tournament Setup'!$B$44),$I57,"")</f>
        <v/>
      </c>
      <c r="CX57" s="12" t="str">
        <f>IF(ISNUMBER(CW57)=TRUE,IF(_xlfn.RANK.EQ(CW57,$CW$2:$CW$111)&lt;='Tournament Setup'!$D$44,_xlfn.RANK.EQ(CW57,$CW$2:$CW$111),""),"")</f>
        <v/>
      </c>
    </row>
    <row r="58" spans="1:102" x14ac:dyDescent="0.3">
      <c r="B58" t="str">
        <f>IFERROR(INDEX('Tournament List'!$B:$B,MATCH($A58,'Tournament List'!$A:$A,0)),"")</f>
        <v/>
      </c>
      <c r="C58" t="str">
        <f>IFERROR(INDEX('Tournament List'!$C:$C,MATCH($A58,'Tournament List'!$A:$A,0)),"")</f>
        <v/>
      </c>
      <c r="D58" t="str">
        <f t="shared" si="2"/>
        <v xml:space="preserve"> </v>
      </c>
      <c r="E58" s="1" t="str">
        <f>IFERROR(INDEX('Tournament List'!F:F,MATCH($A58,'Tournament List'!$A:$A,0)),"")</f>
        <v/>
      </c>
      <c r="F58" t="str">
        <f>IFERROR(INDEX('Tournament List'!M:M,MATCH($A58,'Tournament List'!$A:$A,0)),"")</f>
        <v/>
      </c>
      <c r="G58" t="str">
        <f>IFERROR(INDEX('Shooter-Squad Assignment'!L:L,MATCH(A58,'Shooter-Squad Assignment'!A:A,0)),"")</f>
        <v/>
      </c>
      <c r="H58" s="1" t="str">
        <f>IFERROR(INDEX('Tournament List'!AD:AD,MATCH($A58,'Tournament List'!$A:$A,0)),"")</f>
        <v/>
      </c>
      <c r="I58" s="123" t="str">
        <f>IFERROR(INDEX('Tournament List'!AG:AG,MATCH($A58,'Tournament List'!$A:$A,0)),"")</f>
        <v/>
      </c>
      <c r="J58" s="145" t="str">
        <f>IFERROR(INDEX('Tournament List'!Y:Y,MATCH($A58,'Tournament List'!$A:$A,0)),"")</f>
        <v/>
      </c>
      <c r="K58" s="47" t="str">
        <f>IFERROR(INDEX('Tournament List'!S:S,MATCH(A58,'Tournament List'!A:A,0)),"")</f>
        <v/>
      </c>
      <c r="L58" s="47" t="str">
        <f>IF(ISNUMBER(J58),IF(COUNTIFS(L$1:L57,_xlfn.RANK.EQ(J58,J$2:J$111,0))&gt;0,_xlfn.MAXIFS(L$1:L57,J$1:J57,J58)+1,_xlfn.RANK.EQ(J58,J$2:J$111,0)),"")</f>
        <v/>
      </c>
      <c r="M58" s="11" t="str">
        <f>IF(ISNUMBER(I58)=TRUE,IF(I58&gt;0,_xlfn.RANK.EQ(I58,$I$2:$I$111,0),""),"")</f>
        <v/>
      </c>
      <c r="N58" s="56" t="str">
        <f>IF(ISNUMBER(I58),IF(COUNTIFS(N$1:N57,_xlfn.RANK.EQ(I58,I$2:I$111,0))&gt;0,_xlfn.MAXIFS(N$1:N57,I$1:I57,I58)+1,_xlfn.RANK.EQ(I58,I$2:I$111,0)),"")</f>
        <v/>
      </c>
      <c r="O58" s="144" t="str">
        <f>IF(F58&lt;&gt;"Collegiate"=TRUE,$I58,"")</f>
        <v/>
      </c>
      <c r="P58" s="47" t="str">
        <f>IF(ISNUMBER(O58),IF(COUNTIFS(P$1:P57,_xlfn.RANK.EQ(O58,O$2:O$111,0))&gt;0,_xlfn.MAXIFS(P$1:P57,O$1:O57,O58)+1,_xlfn.RANK.EQ(O58,O$2:O$111,0)),"")</f>
        <v/>
      </c>
      <c r="Q58" s="1" t="str">
        <f>IF(ISNUMBER(O58)=TRUE,IF(_xlfn.RANK.EQ(O58,$O$2:$O$111)&lt;='Tournament Setup'!$B$26,_xlfn.RANK.EQ(O58,$O$2:$O$111),""),"")</f>
        <v/>
      </c>
      <c r="R58" s="143" t="str">
        <f>IF(AND($E58="M",SUM($Q58)=0,F58&lt;&gt;"Collegiate")=TRUE,$I58,"")</f>
        <v/>
      </c>
      <c r="S58" s="1" t="str">
        <f>IF(ISNUMBER(R58)=TRUE,IF(_xlfn.RANK.EQ(R58,$R$2:$R$111)&lt;='Tournament Setup'!$B$27,_xlfn.RANK.EQ(R58,$R$2:$R$111),""),"")</f>
        <v/>
      </c>
      <c r="T58" s="143" t="str">
        <f>IF(AND($E58="F",SUM($Q58)=0,F58&lt;&gt;"Collegiate")=TRUE,$I58,"")</f>
        <v/>
      </c>
      <c r="U58" s="12" t="str">
        <f>IF(ISNUMBER(T58)=TRUE,IF(_xlfn.RANK.EQ(T58,$T$2:$T$111)&lt;='Tournament Setup'!$B$28,_xlfn.RANK.EQ(T58,$T$2:$T$111),""),"")</f>
        <v/>
      </c>
      <c r="V58" s="145" t="str">
        <f>IF(AND($G58='Tournament Setup'!$A$53,$J58&lt;&gt;0),$J58,"")</f>
        <v/>
      </c>
      <c r="W58" s="47" t="str">
        <f>IF(ISNUMBER(V58),IF(COUNTIFS(W$1:W57,_xlfn.RANK.EQ(V58,V$2:V$111,0))&gt;0,_xlfn.MAXIFS(W$1:W57,V$1:V57,V58)+1,_xlfn.RANK.EQ(V58,V$2:V$111,0)),"")</f>
        <v/>
      </c>
      <c r="X58" s="1" t="str">
        <f>IF(ISNUMBER(V58)=TRUE,IF(_xlfn.RANK.EQ(V58,$V$2:$V$111)&lt;='Tournament Setup'!$B$53,_xlfn.RANK.EQ(V58,$V$2:$V$111),""),"")</f>
        <v/>
      </c>
      <c r="Y58" s="145" t="str">
        <f>IF(AND($G58='Tournament Setup'!$A$49,$J58&lt;&gt;0),$J58,"")</f>
        <v/>
      </c>
      <c r="Z58" s="47" t="str">
        <f>IF(ISNUMBER(Y58),IF(COUNTIFS(Z$1:Z57,_xlfn.RANK.EQ(Y58,Y$2:Y$111,0))&gt;0,_xlfn.MAXIFS(Z$1:Z57,Y$1:Y57,Y58)+1,_xlfn.RANK.EQ(Y58,Y$2:Y$111,0)),"")</f>
        <v/>
      </c>
      <c r="AA58" s="1" t="str">
        <f>IF(ISNUMBER(Y58)=TRUE,IF(_xlfn.RANK.EQ(Y58,$Y$2:$Y$111)&lt;='Tournament Setup'!$B$49,_xlfn.RANK.EQ(Y58,$Y$2:$Y$111),""),"")</f>
        <v/>
      </c>
      <c r="AB58" s="30" t="str">
        <f>IF(AND($F58='Tournament Setup'!$A$32,SUM($Q58,$S58,$U58)=0),$I58,"")</f>
        <v/>
      </c>
      <c r="AC58" s="47" t="str">
        <f>IF(ISNUMBER(AB58),IF(COUNTIFS(AC$1:AC57,_xlfn.RANK.EQ(AB58,AB$2:AB$111,0))&gt;0,_xlfn.MAXIFS(AC$1:AC57,AB$1:AB57,AB58)+1,_xlfn.RANK.EQ(AB58,AB$2:AB$111,0)),"")</f>
        <v/>
      </c>
      <c r="AD58" s="1" t="str">
        <f>IF(ISNUMBER(AB58)=TRUE,IF(_xlfn.RANK.EQ(AB58,$AB$2:$AB$111)&lt;='Tournament Setup'!$B$32,_xlfn.RANK.EQ(AB58,$AB$2:$AB$111),""),"")</f>
        <v/>
      </c>
      <c r="AE58" s="31" t="str">
        <f>IF(AND($F58='Tournament Setup'!$A$32,SUM($Q58,$S58)=0,$E58="M",$AD58&gt;'Tournament Setup'!$B$32),$I58,"")</f>
        <v/>
      </c>
      <c r="AF58" s="1" t="str">
        <f>IF(ISNUMBER(AE58)=TRUE,IF(_xlfn.RANK.EQ(AE58,$AE$2:$AE$111)&lt;='Tournament Setup'!$C$32,_xlfn.RANK.EQ(AE58,$AE$2:$AE$111),""),"")</f>
        <v/>
      </c>
      <c r="AG58" s="31" t="str">
        <f>IF(AND($F58='Tournament Setup'!$A$32,SUM($Q58,$U58)=0,$E58="F",$AD58&gt;'Tournament Setup'!$B$32),$I58,"")</f>
        <v/>
      </c>
      <c r="AH58" s="12" t="str">
        <f>IF(ISNUMBER(AG58)=TRUE,IF(_xlfn.RANK.EQ(AG58,$AG$2:$AG$111)&lt;='Tournament Setup'!$D$32,_xlfn.RANK.EQ(AG58,$AG$2:$AG$111),""),"")</f>
        <v/>
      </c>
      <c r="AI58" s="30" t="str">
        <f>IF(AND($G58='Tournament Setup'!$A$50,$J58&lt;&gt;0),$J58,"")</f>
        <v/>
      </c>
      <c r="AJ58" s="47" t="str">
        <f>IF(ISNUMBER(AI58),IF(COUNTIFS(AJ$1:AJ57,_xlfn.RANK.EQ(AI58,AI$2:AI$111,0))&gt;0,_xlfn.MAXIFS(AJ$1:AJ57,AI$1:AI57,AI58)+1,_xlfn.RANK.EQ(AI58,AI$2:AI$111,0)),"")</f>
        <v/>
      </c>
      <c r="AK58" s="1" t="str">
        <f>IF(ISNUMBER(AI58)=TRUE,IF(_xlfn.RANK.EQ(AI58,$AI$2:$AI$111)&lt;='Tournament Setup'!$B$49,_xlfn.RANK.EQ(AI58,$AI$2:$AI$111),""),"")</f>
        <v/>
      </c>
      <c r="AL58" s="30" t="str">
        <f>IF(AND($F58='Tournament Setup'!$A$33,SUM($Q58,$S58,$U58)=0),$I58,"")</f>
        <v/>
      </c>
      <c r="AM58" s="47" t="str">
        <f>IF(ISNUMBER(AL58),IF(COUNTIFS(AM$1:AM57,_xlfn.RANK.EQ(AL58,AL$2:AL$111,0))&gt;0,_xlfn.MAXIFS(AM$1:AM57,AL$1:AL57,AL58)+1,_xlfn.RANK.EQ(AL58,AL$2:AL$111,0)),"")</f>
        <v/>
      </c>
      <c r="AN58" s="1" t="str">
        <f>IF(ISNUMBER(AL58)=TRUE,IF(_xlfn.RANK.EQ(AL58,$AL$2:$AL$111)&lt;='Tournament Setup'!$B$33,_xlfn.RANK.EQ(AL58,$AL$2:$AL$111),""),"")</f>
        <v/>
      </c>
      <c r="AO58" s="31" t="str">
        <f>IF(AND($F58='Tournament Setup'!$A$33,SUM($Q58,$S58)=0,$E58="M",$AN58&gt;'Tournament Setup'!$B$33),$I58,"")</f>
        <v/>
      </c>
      <c r="AP58" s="1" t="str">
        <f>IF(ISNUMBER(AO58)=TRUE,IF(_xlfn.RANK.EQ(AO58,$AO$2:$AO$111)&lt;='Tournament Setup'!$C$33,_xlfn.RANK.EQ(AO58,$AO$2:$AO$111),""),"")</f>
        <v/>
      </c>
      <c r="AQ58" s="31" t="str">
        <f>IF(AND($F58='Tournament Setup'!$A$33,SUM($Q58,$U58)=0,$E58="F",$AN58&gt;'Tournament Setup'!$B$33),$I58,"")</f>
        <v/>
      </c>
      <c r="AR58" s="12" t="str">
        <f>IF(ISNUMBER(AQ58)=TRUE,IF(_xlfn.RANK.EQ(AQ58,$AQ$2:$AQ$111)&lt;='Tournament Setup'!$D$33,_xlfn.RANK.EQ(AQ58,$AQ$2:$AQ$111),""),"")</f>
        <v/>
      </c>
      <c r="AS58" s="30" t="str">
        <f>IF(AND($G58='Tournament Setup'!$A$51,$J58&lt;&gt;0),$J58,"")</f>
        <v/>
      </c>
      <c r="AT58" s="47" t="str">
        <f>IF(ISNUMBER(AS58),IF(COUNTIFS(AT$1:AT57,_xlfn.RANK.EQ(AS58,AS$2:AS$111,0))&gt;0,_xlfn.MAXIFS(AT$1:AT57,AS$1:AS57,AS58)+1,_xlfn.RANK.EQ(AS58,AS$2:AS$111,0)),"")</f>
        <v/>
      </c>
      <c r="AU58" s="1" t="str">
        <f>IF(ISNUMBER(AS58)=TRUE,IF(_xlfn.RANK.EQ(AS58,$AS$2:$AS$111)&lt;='Tournament Setup'!$B$49,_xlfn.RANK.EQ(AS58,$AS$2:$AS$111),""),"")</f>
        <v/>
      </c>
      <c r="AV58" s="30" t="str">
        <f>IF(AND($F58='Tournament Setup'!$A$34,SUM($Q58,$S58,$U58)=0),$I58,"")</f>
        <v/>
      </c>
      <c r="AW58" s="47" t="str">
        <f>IF(ISNUMBER(AV58),IF(COUNTIFS(AW$1:AW57,_xlfn.RANK.EQ(AV58,AV$2:AV$111,0))&gt;0,_xlfn.MAXIFS(AW$1:AW57,AV$1:AV57,AV58)+1,_xlfn.RANK.EQ(AV58,AV$2:AV$111,0)),"")</f>
        <v/>
      </c>
      <c r="AX58" s="1" t="str">
        <f>IF(ISNUMBER(AV58)=TRUE,IF(_xlfn.RANK.EQ(AV58,$AV$2:$AV$111)&lt;='Tournament Setup'!$B$34,_xlfn.RANK.EQ(AV58,$AV$2:$AV$111),""),"")</f>
        <v/>
      </c>
      <c r="AY58" s="31" t="str">
        <f>IF(AND($F58='Tournament Setup'!$A$34,SUM($Q58,$S58)=0,$E58="M",$AX58&gt;'Tournament Setup'!$B$34),$I58,"")</f>
        <v/>
      </c>
      <c r="AZ58" s="1" t="str">
        <f>IF(ISNUMBER(AY58)=TRUE,IF(_xlfn.RANK.EQ(AY58,$AY$2:$AY$111)&lt;='Tournament Setup'!$C$34,_xlfn.RANK.EQ(AY58,$AY$2:$AY$111),""),"")</f>
        <v/>
      </c>
      <c r="BA58" s="31" t="str">
        <f>IF(AND($F58='Tournament Setup'!$A$34,SUM($Q58,$U58)=0,$E58="F",$AX58&gt;'Tournament Setup'!$B$34),$I58,"")</f>
        <v/>
      </c>
      <c r="BB58" s="12" t="str">
        <f>IF(ISNUMBER(BA58)=TRUE,IF(_xlfn.RANK.EQ(BA58,$BA$2:$BA$111)&lt;='Tournament Setup'!$D$34,_xlfn.RANK.EQ(BA58,$BA$2:$BA$111),""),"")</f>
        <v/>
      </c>
      <c r="BC58" s="30" t="str">
        <f>IF(AND($G58='Tournament Setup'!$A$52,$J58&lt;&gt;0),$J58,"")</f>
        <v/>
      </c>
      <c r="BD58" s="47" t="str">
        <f>IF(ISNUMBER(BC58),IF(COUNTIFS(BD$1:BD57,_xlfn.RANK.EQ(BC58,BC$2:BC$111,0))&gt;0,_xlfn.MAXIFS(BD$1:BD57,BC$1:BC57,BC58)+1,_xlfn.RANK.EQ(BC58,BC$2:BC$111,0)),"")</f>
        <v/>
      </c>
      <c r="BE58" s="1" t="str">
        <f>IF(ISNUMBER(BC58)=TRUE,IF(_xlfn.RANK.EQ(BC58,$BC$2:$BC$111)&lt;='Tournament Setup'!$B$49,_xlfn.RANK.EQ(BC58,$BC$2:$BC$111),""),"")</f>
        <v/>
      </c>
      <c r="BF58" s="30" t="str">
        <f>IF(AND($F58='Tournament Setup'!$A$35,SUM($Q58,$S58,$U58)=0),$I58,"")</f>
        <v/>
      </c>
      <c r="BG58" s="47" t="str">
        <f>IF(ISNUMBER(BF58),IF(COUNTIFS(BG$1:BG57,_xlfn.RANK.EQ(BF58,BF$2:BF$111,0))&gt;0,_xlfn.MAXIFS(BG$1:BG57,BF$1:BF57,BF58)+1,_xlfn.RANK.EQ(BF58,BF$2:BF$111,0)),"")</f>
        <v/>
      </c>
      <c r="BH58" s="1" t="str">
        <f>IF(ISNUMBER(BF58)=TRUE,IF(_xlfn.RANK.EQ(BF58,$BF$2:$BF$111)&lt;='Tournament Setup'!$B$35,_xlfn.RANK.EQ(BF58,$BF$2:$BF$111),""),"")</f>
        <v/>
      </c>
      <c r="BI58" s="31" t="str">
        <f>IF(AND($F58='Tournament Setup'!$A$35,SUM($Q58,$S58)=0,$E58="M",$BH58&gt;'Tournament Setup'!$B$35),$I58,"")</f>
        <v/>
      </c>
      <c r="BJ58" s="1" t="str">
        <f>IF(ISNUMBER(BI58)=TRUE,IF(_xlfn.RANK.EQ(BI58,$BI$2:$BI$111)&lt;='Tournament Setup'!$C$35,_xlfn.RANK.EQ(BI58,$BI$2:$BI$111),""),"")</f>
        <v/>
      </c>
      <c r="BK58" s="31" t="str">
        <f>IF(AND($F58='Tournament Setup'!$A$35,SUM($Q58,$U58)=0,$E58="F",$BH58&gt;'Tournament Setup'!$B$35),$I58,"")</f>
        <v/>
      </c>
      <c r="BL58" s="12" t="str">
        <f>IF(ISNUMBER(BK58)=TRUE,IF(_xlfn.RANK.EQ(BK58,$BK$2:$BK$111)&lt;='Tournament Setup'!$D$35,_xlfn.RANK.EQ(BK58,$BK$2:$BK$111),""),"")</f>
        <v/>
      </c>
      <c r="BM58" s="30" t="str">
        <f>IF(AND($G58='Tournament Setup'!$A$54,$J58&lt;&gt;0),$J58,"")</f>
        <v/>
      </c>
      <c r="BN58" s="47" t="str">
        <f>IF(ISNUMBER(BM58),IF(COUNTIFS(BN$1:BN57,_xlfn.RANK.EQ(BM58,BM$2:BM$111,0))&gt;0,_xlfn.MAXIFS(BN$1:BN57,BM$1:BM57,BM58)+1,_xlfn.RANK.EQ(BM58,BM$2:BM$111,0)),"")</f>
        <v/>
      </c>
      <c r="BO58" s="1" t="str">
        <f>IF(ISNUMBER(BM58)=TRUE,IF(_xlfn.RANK.EQ(BM58,$BM$2:$BM$111)&lt;='Tournament Setup'!$B$49,_xlfn.RANK.EQ(BM58,$BM$2:$BM$111),""),"")</f>
        <v/>
      </c>
      <c r="BP58" s="30" t="str">
        <f>IF(AND($F58='Tournament Setup'!$A$36,SUM($Q58,$S58,$U58)=0),$I58,"")</f>
        <v/>
      </c>
      <c r="BQ58" s="47" t="str">
        <f>IF(ISNUMBER(BP58),IF(COUNTIFS(BQ$1:BQ57,_xlfn.RANK.EQ(BP58,BP$2:BP$111,0))&gt;0,_xlfn.MAXIFS(BQ$1:BQ57,BP$1:BP57,BP58)+1,_xlfn.RANK.EQ(BP58,BP$2:BP$111,0)),"")</f>
        <v/>
      </c>
      <c r="BR58" s="1" t="str">
        <f>IF(ISNUMBER(BP58)=TRUE,IF(_xlfn.RANK.EQ(BP58,$BP$2:$BP$111)&lt;='Tournament Setup'!$B$36,_xlfn.RANK.EQ(BP58,$BP$2:$BP$111),""),"")</f>
        <v/>
      </c>
      <c r="BS58" s="31" t="str">
        <f>IF(AND($F58='Tournament Setup'!$A$36,SUM($Q58,$S58)=0,$E58="M",$BR58&gt;'Tournament Setup'!$B$36),$I58,"")</f>
        <v/>
      </c>
      <c r="BT58" s="1" t="str">
        <f>IF(ISNUMBER(BS58)=TRUE,IF(_xlfn.RANK.EQ(BS58,$BS$2:$BS$111)&lt;='Tournament Setup'!$C$36,_xlfn.RANK.EQ(BS58,$BS$2:$BS$111),""),"")</f>
        <v/>
      </c>
      <c r="BU58" s="31" t="str">
        <f>IF(AND($F58='Tournament Setup'!$A$36,SUM($Q58,$U58)=0,$E58="F",$BR58&gt;'Tournament Setup'!$B$36),$I58,"")</f>
        <v/>
      </c>
      <c r="BV58" s="12" t="str">
        <f>IF(ISNUMBER(BU58)=TRUE,IF(_xlfn.RANK.EQ(BU58,$BU$2:$BU$111)&lt;='Tournament Setup'!$D$36,_xlfn.RANK.EQ(BU58,$BU$2:$BU$111),""),"")</f>
        <v/>
      </c>
      <c r="BW58" s="30" t="str">
        <f>IF($H58='Tournament Setup'!$A$41,$I58,"")</f>
        <v/>
      </c>
      <c r="BX58" s="47" t="str">
        <f>IF(ISNUMBER(BW58),IF(COUNTIFS(BX$1:BX57,_xlfn.RANK.EQ(BW58,BW$2:BW$111,0))&gt;0,_xlfn.MAXIFS(BX$1:BX57,BW$1:BW57,BW58)+1,_xlfn.RANK.EQ(BW58,BW$2:BW$111,0)),"")</f>
        <v/>
      </c>
      <c r="BY58" s="1" t="str">
        <f>IF(ISNUMBER(BW58)=TRUE,IF(_xlfn.RANK.EQ(BW58,$BW$2:$BW$111)&lt;='Tournament Setup'!$B$41,_xlfn.RANK.EQ(BW58,$BW$2:$BW$111),""),"")</f>
        <v/>
      </c>
      <c r="BZ58" s="31" t="str">
        <f>IF(AND($H58='Tournament Setup'!$A$41,$E58="M",$BY58&gt;'Tournament Setup'!$B$41),$I58,"")</f>
        <v/>
      </c>
      <c r="CA58" s="1" t="str">
        <f>IF(ISNUMBER(BZ58)=TRUE,IF(_xlfn.RANK.EQ(BZ58,$BZ$2:$BZ$111)&lt;='Tournament Setup'!$C$41,_xlfn.RANK.EQ(BZ58,$BZ$2:$BZ$111),""),"")</f>
        <v/>
      </c>
      <c r="CB58" s="31" t="str">
        <f>IF(AND($H58='Tournament Setup'!$A$41,$E58="F",$BY58&gt;'Tournament Setup'!$B$41),$I58,"")</f>
        <v/>
      </c>
      <c r="CC58" s="12" t="str">
        <f>IF(ISNUMBER(CB58)=TRUE,IF(_xlfn.RANK.EQ(CB58,$CB$2:$CB$111)&lt;='Tournament Setup'!$D$41,_xlfn.RANK.EQ(CB58,$CB$2:$CB$111),""),"")</f>
        <v/>
      </c>
      <c r="CD58" s="30" t="str">
        <f>IF($H58='Tournament Setup'!$A$42,$I58,"")</f>
        <v/>
      </c>
      <c r="CE58" s="47" t="str">
        <f>IF(ISNUMBER(CD58),IF(COUNTIFS(CE$1:CE57,_xlfn.RANK.EQ(CD58,CD$2:CD$111,0))&gt;0,_xlfn.MAXIFS(CE$1:CE57,CD$1:CD57,CD58)+1,_xlfn.RANK.EQ(CD58,CD$2:CD$111,0)),"")</f>
        <v/>
      </c>
      <c r="CF58" s="1" t="str">
        <f>IF(ISNUMBER(CD58)=TRUE,IF(_xlfn.RANK.EQ(CD58,$CD$2:$CD$111)&lt;='Tournament Setup'!$B$42,_xlfn.RANK.EQ(CD58,$CD$2:$CD$111),""),"")</f>
        <v/>
      </c>
      <c r="CG58" s="31" t="str">
        <f>IF(AND($H58='Tournament Setup'!$A$42,$E58="M",$CF58&gt;'Tournament Setup'!$B$42),$I58,"")</f>
        <v/>
      </c>
      <c r="CH58" s="1" t="str">
        <f>IF(ISNUMBER(CG58)=TRUE,IF(_xlfn.RANK.EQ(CG58,$CG$2:$CG$111)&lt;='Tournament Setup'!$C$42,_xlfn.RANK.EQ(CG58,$CG$2:$CG$111),""),"")</f>
        <v/>
      </c>
      <c r="CI58" s="31" t="str">
        <f>IF(AND($H58='Tournament Setup'!$A$42,$E58="F",$CF58&gt;'Tournament Setup'!$B$42),$I58,"")</f>
        <v/>
      </c>
      <c r="CJ58" s="12" t="str">
        <f>IF(ISNUMBER(CI58)=TRUE,IF(_xlfn.RANK.EQ(CI58,$CI$2:$CI$111)&lt;='Tournament Setup'!$D$42,_xlfn.RANK.EQ(CI58,$CI$2:$CI$111),""),"")</f>
        <v/>
      </c>
      <c r="CK58" s="30" t="str">
        <f>IF($H58='Tournament Setup'!$A$43,$I58,"")</f>
        <v/>
      </c>
      <c r="CL58" s="47" t="str">
        <f>IF(ISNUMBER(CK58),IF(COUNTIFS(CL$1:CL57,_xlfn.RANK.EQ(CK58,CK$2:CK$111,0))&gt;0,_xlfn.MAXIFS(CL$1:CL57,CK$1:CK57,CK58)+1,_xlfn.RANK.EQ(CK58,CK$2:CK$111,0)),"")</f>
        <v/>
      </c>
      <c r="CM58" s="1" t="str">
        <f>IF(ISNUMBER(CK58)=TRUE,IF(_xlfn.RANK.EQ(CK58,$CK$2:$CK$111)&lt;='Tournament Setup'!$B$43,_xlfn.RANK.EQ(CK58,$CK$2:$CK$111),""),"")</f>
        <v/>
      </c>
      <c r="CN58" s="31" t="str">
        <f>IF(AND($H58='Tournament Setup'!$A$43,$E58="M",$CM58&gt;'Tournament Setup'!$B$43),$I58,"")</f>
        <v/>
      </c>
      <c r="CO58" s="1" t="str">
        <f>IF(ISNUMBER(CN58)=TRUE,IF(_xlfn.RANK.EQ(CN58,$CN$2:$CN$111)&lt;='Tournament Setup'!$C$43,_xlfn.RANK.EQ(CN58,$CN$2:$CN$111),""),"")</f>
        <v/>
      </c>
      <c r="CP58" s="31" t="str">
        <f>IF(AND($H58='Tournament Setup'!$A$43,$E58="F",$CM58&gt;'Tournament Setup'!$B$43),$I58,"")</f>
        <v/>
      </c>
      <c r="CQ58" s="12" t="str">
        <f>IF(ISNUMBER(CP58)=TRUE,IF(_xlfn.RANK.EQ(CP58,$CP$2:$CP$111)&lt;='Tournament Setup'!$D$43,_xlfn.RANK.EQ(CP58,$CP$2:$CP$111),""),"")</f>
        <v/>
      </c>
      <c r="CR58" s="30" t="str">
        <f>IF($H58='Tournament Setup'!$A$44,$I58,"")</f>
        <v/>
      </c>
      <c r="CS58" s="47" t="str">
        <f>IF(ISNUMBER(CR58),IF(COUNTIFS(CS$1:CS57,_xlfn.RANK.EQ(CR58,CR$2:CR$111,0))&gt;0,_xlfn.MAXIFS(CS$1:CS57,CR$1:CR57,CR58)+1,_xlfn.RANK.EQ(CR58,CR$2:CR$111,0)),"")</f>
        <v/>
      </c>
      <c r="CT58" s="1" t="str">
        <f>IF(ISNUMBER(CR58)=TRUE,IF(_xlfn.RANK.EQ(CR58,$CR$2:$CR$111)&lt;='Tournament Setup'!$B$44,_xlfn.RANK.EQ(CR58,$CR$2:$CR$111),""),"")</f>
        <v/>
      </c>
      <c r="CU58" s="31" t="str">
        <f>IF(AND($H58='Tournament Setup'!$A$44,$E58="M",$CT58&gt;'Tournament Setup'!$B$44),$I58,"")</f>
        <v/>
      </c>
      <c r="CV58" s="1" t="str">
        <f>IF(ISNUMBER(CU58)=TRUE,IF(_xlfn.RANK.EQ(CU58,$CU$2:$CU$111)&lt;='Tournament Setup'!$C$44,_xlfn.RANK.EQ(CU58,$CU$2:$CU$111),""),"")</f>
        <v/>
      </c>
      <c r="CW58" s="31" t="str">
        <f>IF(AND($H58='Tournament Setup'!$A$44,$E58="F",$CT58&gt;'Tournament Setup'!$B$44),$I58,"")</f>
        <v/>
      </c>
      <c r="CX58" s="12" t="str">
        <f>IF(ISNUMBER(CW58)=TRUE,IF(_xlfn.RANK.EQ(CW58,$CW$2:$CW$111)&lt;='Tournament Setup'!$D$44,_xlfn.RANK.EQ(CW58,$CW$2:$CW$111),""),"")</f>
        <v/>
      </c>
    </row>
    <row r="59" spans="1:102" x14ac:dyDescent="0.3">
      <c r="B59" t="str">
        <f>IFERROR(INDEX('Tournament List'!$B:$B,MATCH($A59,'Tournament List'!$A:$A,0)),"")</f>
        <v/>
      </c>
      <c r="C59" t="str">
        <f>IFERROR(INDEX('Tournament List'!$C:$C,MATCH($A59,'Tournament List'!$A:$A,0)),"")</f>
        <v/>
      </c>
      <c r="D59" t="str">
        <f t="shared" si="2"/>
        <v xml:space="preserve"> </v>
      </c>
      <c r="E59" s="1" t="str">
        <f>IFERROR(INDEX('Tournament List'!F:F,MATCH($A59,'Tournament List'!$A:$A,0)),"")</f>
        <v/>
      </c>
      <c r="F59" t="str">
        <f>IFERROR(INDEX('Tournament List'!M:M,MATCH($A59,'Tournament List'!$A:$A,0)),"")</f>
        <v/>
      </c>
      <c r="G59" t="str">
        <f>IFERROR(INDEX('Shooter-Squad Assignment'!L:L,MATCH(A59,'Shooter-Squad Assignment'!A:A,0)),"")</f>
        <v/>
      </c>
      <c r="H59" s="1" t="str">
        <f>IFERROR(INDEX('Tournament List'!AD:AD,MATCH($A59,'Tournament List'!$A:$A,0)),"")</f>
        <v/>
      </c>
      <c r="I59" s="123" t="str">
        <f>IFERROR(INDEX('Tournament List'!AG:AG,MATCH($A59,'Tournament List'!$A:$A,0)),"")</f>
        <v/>
      </c>
      <c r="J59" s="145" t="str">
        <f>IFERROR(INDEX('Tournament List'!Y:Y,MATCH($A59,'Tournament List'!$A:$A,0)),"")</f>
        <v/>
      </c>
      <c r="K59" s="47" t="str">
        <f>IFERROR(INDEX('Tournament List'!S:S,MATCH(A59,'Tournament List'!A:A,0)),"")</f>
        <v/>
      </c>
      <c r="L59" s="47" t="str">
        <f>IF(ISNUMBER(J59),IF(COUNTIFS(L$1:L58,_xlfn.RANK.EQ(J59,J$2:J$111,0))&gt;0,_xlfn.MAXIFS(L$1:L58,J$1:J58,J59)+1,_xlfn.RANK.EQ(J59,J$2:J$111,0)),"")</f>
        <v/>
      </c>
      <c r="M59" s="11" t="str">
        <f>IF(ISNUMBER(I59)=TRUE,IF(I59&gt;0,_xlfn.RANK.EQ(I59,$I$2:$I$111,0),""),"")</f>
        <v/>
      </c>
      <c r="N59" s="56" t="str">
        <f>IF(ISNUMBER(I59),IF(COUNTIFS(N$1:N58,_xlfn.RANK.EQ(I59,I$2:I$111,0))&gt;0,_xlfn.MAXIFS(N$1:N58,I$1:I58,I59)+1,_xlfn.RANK.EQ(I59,I$2:I$111,0)),"")</f>
        <v/>
      </c>
      <c r="O59" s="144" t="str">
        <f>IF(F59&lt;&gt;"Collegiate"=TRUE,$I59,"")</f>
        <v/>
      </c>
      <c r="P59" s="47" t="str">
        <f>IF(ISNUMBER(O59),IF(COUNTIFS(P$1:P58,_xlfn.RANK.EQ(O59,O$2:O$111,0))&gt;0,_xlfn.MAXIFS(P$1:P58,O$1:O58,O59)+1,_xlfn.RANK.EQ(O59,O$2:O$111,0)),"")</f>
        <v/>
      </c>
      <c r="Q59" s="1" t="str">
        <f>IF(ISNUMBER(O59)=TRUE,IF(_xlfn.RANK.EQ(O59,$O$2:$O$111)&lt;='Tournament Setup'!$B$26,_xlfn.RANK.EQ(O59,$O$2:$O$111),""),"")</f>
        <v/>
      </c>
      <c r="R59" s="143" t="str">
        <f>IF(AND($E59="M",SUM($Q59)=0,F59&lt;&gt;"Collegiate")=TRUE,$I59,"")</f>
        <v/>
      </c>
      <c r="S59" s="1" t="str">
        <f>IF(ISNUMBER(R59)=TRUE,IF(_xlfn.RANK.EQ(R59,$R$2:$R$111)&lt;='Tournament Setup'!$B$27,_xlfn.RANK.EQ(R59,$R$2:$R$111),""),"")</f>
        <v/>
      </c>
      <c r="T59" s="143" t="str">
        <f>IF(AND($E59="F",SUM($Q59)=0,F59&lt;&gt;"Collegiate")=TRUE,$I59,"")</f>
        <v/>
      </c>
      <c r="U59" s="12" t="str">
        <f>IF(ISNUMBER(T59)=TRUE,IF(_xlfn.RANK.EQ(T59,$T$2:$T$111)&lt;='Tournament Setup'!$B$28,_xlfn.RANK.EQ(T59,$T$2:$T$111),""),"")</f>
        <v/>
      </c>
      <c r="V59" s="145" t="str">
        <f>IF(AND($G59='Tournament Setup'!$A$53,$J59&lt;&gt;0),$J59,"")</f>
        <v/>
      </c>
      <c r="W59" s="47" t="str">
        <f>IF(ISNUMBER(V59),IF(COUNTIFS(W$1:W58,_xlfn.RANK.EQ(V59,V$2:V$111,0))&gt;0,_xlfn.MAXIFS(W$1:W58,V$1:V58,V59)+1,_xlfn.RANK.EQ(V59,V$2:V$111,0)),"")</f>
        <v/>
      </c>
      <c r="X59" s="1" t="str">
        <f>IF(ISNUMBER(V59)=TRUE,IF(_xlfn.RANK.EQ(V59,$V$2:$V$111)&lt;='Tournament Setup'!$B$53,_xlfn.RANK.EQ(V59,$V$2:$V$111),""),"")</f>
        <v/>
      </c>
      <c r="Y59" s="145" t="str">
        <f>IF(AND($G59='Tournament Setup'!$A$49,$J59&lt;&gt;0),$J59,"")</f>
        <v/>
      </c>
      <c r="Z59" s="47" t="str">
        <f>IF(ISNUMBER(Y59),IF(COUNTIFS(Z$1:Z58,_xlfn.RANK.EQ(Y59,Y$2:Y$111,0))&gt;0,_xlfn.MAXIFS(Z$1:Z58,Y$1:Y58,Y59)+1,_xlfn.RANK.EQ(Y59,Y$2:Y$111,0)),"")</f>
        <v/>
      </c>
      <c r="AA59" s="1" t="str">
        <f>IF(ISNUMBER(Y59)=TRUE,IF(_xlfn.RANK.EQ(Y59,$Y$2:$Y$111)&lt;='Tournament Setup'!$B$49,_xlfn.RANK.EQ(Y59,$Y$2:$Y$111),""),"")</f>
        <v/>
      </c>
      <c r="AB59" s="30" t="str">
        <f>IF(AND($F59='Tournament Setup'!$A$32,SUM($Q59,$S59,$U59)=0),$I59,"")</f>
        <v/>
      </c>
      <c r="AC59" s="47" t="str">
        <f>IF(ISNUMBER(AB59),IF(COUNTIFS(AC$1:AC58,_xlfn.RANK.EQ(AB59,AB$2:AB$111,0))&gt;0,_xlfn.MAXIFS(AC$1:AC58,AB$1:AB58,AB59)+1,_xlfn.RANK.EQ(AB59,AB$2:AB$111,0)),"")</f>
        <v/>
      </c>
      <c r="AD59" s="1" t="str">
        <f>IF(ISNUMBER(AB59)=TRUE,IF(_xlfn.RANK.EQ(AB59,$AB$2:$AB$111)&lt;='Tournament Setup'!$B$32,_xlfn.RANK.EQ(AB59,$AB$2:$AB$111),""),"")</f>
        <v/>
      </c>
      <c r="AE59" s="31" t="str">
        <f>IF(AND($F59='Tournament Setup'!$A$32,SUM($Q59,$S59)=0,$E59="M",$AD59&gt;'Tournament Setup'!$B$32),$I59,"")</f>
        <v/>
      </c>
      <c r="AF59" s="1" t="str">
        <f>IF(ISNUMBER(AE59)=TRUE,IF(_xlfn.RANK.EQ(AE59,$AE$2:$AE$111)&lt;='Tournament Setup'!$C$32,_xlfn.RANK.EQ(AE59,$AE$2:$AE$111),""),"")</f>
        <v/>
      </c>
      <c r="AG59" s="31" t="str">
        <f>IF(AND($F59='Tournament Setup'!$A$32,SUM($Q59,$U59)=0,$E59="F",$AD59&gt;'Tournament Setup'!$B$32),$I59,"")</f>
        <v/>
      </c>
      <c r="AH59" s="12" t="str">
        <f>IF(ISNUMBER(AG59)=TRUE,IF(_xlfn.RANK.EQ(AG59,$AG$2:$AG$111)&lt;='Tournament Setup'!$D$32,_xlfn.RANK.EQ(AG59,$AG$2:$AG$111),""),"")</f>
        <v/>
      </c>
      <c r="AI59" s="30" t="str">
        <f>IF(AND($G59='Tournament Setup'!$A$50,$J59&lt;&gt;0),$J59,"")</f>
        <v/>
      </c>
      <c r="AJ59" s="47" t="str">
        <f>IF(ISNUMBER(AI59),IF(COUNTIFS(AJ$1:AJ58,_xlfn.RANK.EQ(AI59,AI$2:AI$111,0))&gt;0,_xlfn.MAXIFS(AJ$1:AJ58,AI$1:AI58,AI59)+1,_xlfn.RANK.EQ(AI59,AI$2:AI$111,0)),"")</f>
        <v/>
      </c>
      <c r="AK59" s="1" t="str">
        <f>IF(ISNUMBER(AI59)=TRUE,IF(_xlfn.RANK.EQ(AI59,$AI$2:$AI$111)&lt;='Tournament Setup'!$B$49,_xlfn.RANK.EQ(AI59,$AI$2:$AI$111),""),"")</f>
        <v/>
      </c>
      <c r="AL59" s="30" t="str">
        <f>IF(AND($F59='Tournament Setup'!$A$33,SUM($Q59,$S59,$U59)=0),$I59,"")</f>
        <v/>
      </c>
      <c r="AM59" s="47" t="str">
        <f>IF(ISNUMBER(AL59),IF(COUNTIFS(AM$1:AM58,_xlfn.RANK.EQ(AL59,AL$2:AL$111,0))&gt;0,_xlfn.MAXIFS(AM$1:AM58,AL$1:AL58,AL59)+1,_xlfn.RANK.EQ(AL59,AL$2:AL$111,0)),"")</f>
        <v/>
      </c>
      <c r="AN59" s="1" t="str">
        <f>IF(ISNUMBER(AL59)=TRUE,IF(_xlfn.RANK.EQ(AL59,$AL$2:$AL$111)&lt;='Tournament Setup'!$B$33,_xlfn.RANK.EQ(AL59,$AL$2:$AL$111),""),"")</f>
        <v/>
      </c>
      <c r="AO59" s="31" t="str">
        <f>IF(AND($F59='Tournament Setup'!$A$33,SUM($Q59,$S59)=0,$E59="M",$AN59&gt;'Tournament Setup'!$B$33),$I59,"")</f>
        <v/>
      </c>
      <c r="AP59" s="1" t="str">
        <f>IF(ISNUMBER(AO59)=TRUE,IF(_xlfn.RANK.EQ(AO59,$AO$2:$AO$111)&lt;='Tournament Setup'!$C$33,_xlfn.RANK.EQ(AO59,$AO$2:$AO$111),""),"")</f>
        <v/>
      </c>
      <c r="AQ59" s="31" t="str">
        <f>IF(AND($F59='Tournament Setup'!$A$33,SUM($Q59,$U59)=0,$E59="F",$AN59&gt;'Tournament Setup'!$B$33),$I59,"")</f>
        <v/>
      </c>
      <c r="AR59" s="12" t="str">
        <f>IF(ISNUMBER(AQ59)=TRUE,IF(_xlfn.RANK.EQ(AQ59,$AQ$2:$AQ$111)&lt;='Tournament Setup'!$D$33,_xlfn.RANK.EQ(AQ59,$AQ$2:$AQ$111),""),"")</f>
        <v/>
      </c>
      <c r="AS59" s="30" t="str">
        <f>IF(AND($G59='Tournament Setup'!$A$51,$J59&lt;&gt;0),$J59,"")</f>
        <v/>
      </c>
      <c r="AT59" s="47" t="str">
        <f>IF(ISNUMBER(AS59),IF(COUNTIFS(AT$1:AT58,_xlfn.RANK.EQ(AS59,AS$2:AS$111,0))&gt;0,_xlfn.MAXIFS(AT$1:AT58,AS$1:AS58,AS59)+1,_xlfn.RANK.EQ(AS59,AS$2:AS$111,0)),"")</f>
        <v/>
      </c>
      <c r="AU59" s="1" t="str">
        <f>IF(ISNUMBER(AS59)=TRUE,IF(_xlfn.RANK.EQ(AS59,$AS$2:$AS$111)&lt;='Tournament Setup'!$B$49,_xlfn.RANK.EQ(AS59,$AS$2:$AS$111),""),"")</f>
        <v/>
      </c>
      <c r="AV59" s="30" t="str">
        <f>IF(AND($F59='Tournament Setup'!$A$34,SUM($Q59,$S59,$U59)=0),$I59,"")</f>
        <v/>
      </c>
      <c r="AW59" s="47" t="str">
        <f>IF(ISNUMBER(AV59),IF(COUNTIFS(AW$1:AW58,_xlfn.RANK.EQ(AV59,AV$2:AV$111,0))&gt;0,_xlfn.MAXIFS(AW$1:AW58,AV$1:AV58,AV59)+1,_xlfn.RANK.EQ(AV59,AV$2:AV$111,0)),"")</f>
        <v/>
      </c>
      <c r="AX59" s="1" t="str">
        <f>IF(ISNUMBER(AV59)=TRUE,IF(_xlfn.RANK.EQ(AV59,$AV$2:$AV$111)&lt;='Tournament Setup'!$B$34,_xlfn.RANK.EQ(AV59,$AV$2:$AV$111),""),"")</f>
        <v/>
      </c>
      <c r="AY59" s="31" t="str">
        <f>IF(AND($F59='Tournament Setup'!$A$34,SUM($Q59,$S59)=0,$E59="M",$AX59&gt;'Tournament Setup'!$B$34),$I59,"")</f>
        <v/>
      </c>
      <c r="AZ59" s="1" t="str">
        <f>IF(ISNUMBER(AY59)=TRUE,IF(_xlfn.RANK.EQ(AY59,$AY$2:$AY$111)&lt;='Tournament Setup'!$C$34,_xlfn.RANK.EQ(AY59,$AY$2:$AY$111),""),"")</f>
        <v/>
      </c>
      <c r="BA59" s="31" t="str">
        <f>IF(AND($F59='Tournament Setup'!$A$34,SUM($Q59,$U59)=0,$E59="F",$AX59&gt;'Tournament Setup'!$B$34),$I59,"")</f>
        <v/>
      </c>
      <c r="BB59" s="12" t="str">
        <f>IF(ISNUMBER(BA59)=TRUE,IF(_xlfn.RANK.EQ(BA59,$BA$2:$BA$111)&lt;='Tournament Setup'!$D$34,_xlfn.RANK.EQ(BA59,$BA$2:$BA$111),""),"")</f>
        <v/>
      </c>
      <c r="BC59" s="30" t="str">
        <f>IF(AND($G59='Tournament Setup'!$A$52,$J59&lt;&gt;0),$J59,"")</f>
        <v/>
      </c>
      <c r="BD59" s="47" t="str">
        <f>IF(ISNUMBER(BC59),IF(COUNTIFS(BD$1:BD58,_xlfn.RANK.EQ(BC59,BC$2:BC$111,0))&gt;0,_xlfn.MAXIFS(BD$1:BD58,BC$1:BC58,BC59)+1,_xlfn.RANK.EQ(BC59,BC$2:BC$111,0)),"")</f>
        <v/>
      </c>
      <c r="BE59" s="1" t="str">
        <f>IF(ISNUMBER(BC59)=TRUE,IF(_xlfn.RANK.EQ(BC59,$BC$2:$BC$111)&lt;='Tournament Setup'!$B$49,_xlfn.RANK.EQ(BC59,$BC$2:$BC$111),""),"")</f>
        <v/>
      </c>
      <c r="BF59" s="30" t="str">
        <f>IF(AND($F59='Tournament Setup'!$A$35,SUM($Q59,$S59,$U59)=0),$I59,"")</f>
        <v/>
      </c>
      <c r="BG59" s="47" t="str">
        <f>IF(ISNUMBER(BF59),IF(COUNTIFS(BG$1:BG58,_xlfn.RANK.EQ(BF59,BF$2:BF$111,0))&gt;0,_xlfn.MAXIFS(BG$1:BG58,BF$1:BF58,BF59)+1,_xlfn.RANK.EQ(BF59,BF$2:BF$111,0)),"")</f>
        <v/>
      </c>
      <c r="BH59" s="1" t="str">
        <f>IF(ISNUMBER(BF59)=TRUE,IF(_xlfn.RANK.EQ(BF59,$BF$2:$BF$111)&lt;='Tournament Setup'!$B$35,_xlfn.RANK.EQ(BF59,$BF$2:$BF$111),""),"")</f>
        <v/>
      </c>
      <c r="BI59" s="31" t="str">
        <f>IF(AND($F59='Tournament Setup'!$A$35,SUM($Q59,$S59)=0,$E59="M",$BH59&gt;'Tournament Setup'!$B$35),$I59,"")</f>
        <v/>
      </c>
      <c r="BJ59" s="1" t="str">
        <f>IF(ISNUMBER(BI59)=TRUE,IF(_xlfn.RANK.EQ(BI59,$BI$2:$BI$111)&lt;='Tournament Setup'!$C$35,_xlfn.RANK.EQ(BI59,$BI$2:$BI$111),""),"")</f>
        <v/>
      </c>
      <c r="BK59" s="31" t="str">
        <f>IF(AND($F59='Tournament Setup'!$A$35,SUM($Q59,$U59)=0,$E59="F",$BH59&gt;'Tournament Setup'!$B$35),$I59,"")</f>
        <v/>
      </c>
      <c r="BL59" s="12" t="str">
        <f>IF(ISNUMBER(BK59)=TRUE,IF(_xlfn.RANK.EQ(BK59,$BK$2:$BK$111)&lt;='Tournament Setup'!$D$35,_xlfn.RANK.EQ(BK59,$BK$2:$BK$111),""),"")</f>
        <v/>
      </c>
      <c r="BM59" s="30" t="str">
        <f>IF(AND($G59='Tournament Setup'!$A$54,$J59&lt;&gt;0),$J59,"")</f>
        <v/>
      </c>
      <c r="BN59" s="47" t="str">
        <f>IF(ISNUMBER(BM59),IF(COUNTIFS(BN$1:BN58,_xlfn.RANK.EQ(BM59,BM$2:BM$111,0))&gt;0,_xlfn.MAXIFS(BN$1:BN58,BM$1:BM58,BM59)+1,_xlfn.RANK.EQ(BM59,BM$2:BM$111,0)),"")</f>
        <v/>
      </c>
      <c r="BO59" s="1" t="str">
        <f>IF(ISNUMBER(BM59)=TRUE,IF(_xlfn.RANK.EQ(BM59,$BM$2:$BM$111)&lt;='Tournament Setup'!$B$49,_xlfn.RANK.EQ(BM59,$BM$2:$BM$111),""),"")</f>
        <v/>
      </c>
      <c r="BP59" s="30" t="str">
        <f>IF(AND($F59='Tournament Setup'!$A$36,SUM($Q59,$S59,$U59)=0),$I59,"")</f>
        <v/>
      </c>
      <c r="BQ59" s="47" t="str">
        <f>IF(ISNUMBER(BP59),IF(COUNTIFS(BQ$1:BQ58,_xlfn.RANK.EQ(BP59,BP$2:BP$111,0))&gt;0,_xlfn.MAXIFS(BQ$1:BQ58,BP$1:BP58,BP59)+1,_xlfn.RANK.EQ(BP59,BP$2:BP$111,0)),"")</f>
        <v/>
      </c>
      <c r="BR59" s="1" t="str">
        <f>IF(ISNUMBER(BP59)=TRUE,IF(_xlfn.RANK.EQ(BP59,$BP$2:$BP$111)&lt;='Tournament Setup'!$B$36,_xlfn.RANK.EQ(BP59,$BP$2:$BP$111),""),"")</f>
        <v/>
      </c>
      <c r="BS59" s="31" t="str">
        <f>IF(AND($F59='Tournament Setup'!$A$36,SUM($Q59,$S59)=0,$E59="M",$BR59&gt;'Tournament Setup'!$B$36),$I59,"")</f>
        <v/>
      </c>
      <c r="BT59" s="1" t="str">
        <f>IF(ISNUMBER(BS59)=TRUE,IF(_xlfn.RANK.EQ(BS59,$BS$2:$BS$111)&lt;='Tournament Setup'!$C$36,_xlfn.RANK.EQ(BS59,$BS$2:$BS$111),""),"")</f>
        <v/>
      </c>
      <c r="BU59" s="31" t="str">
        <f>IF(AND($F59='Tournament Setup'!$A$36,SUM($Q59,$U59)=0,$E59="F",$BR59&gt;'Tournament Setup'!$B$36),$I59,"")</f>
        <v/>
      </c>
      <c r="BV59" s="12" t="str">
        <f>IF(ISNUMBER(BU59)=TRUE,IF(_xlfn.RANK.EQ(BU59,$BU$2:$BU$111)&lt;='Tournament Setup'!$D$36,_xlfn.RANK.EQ(BU59,$BU$2:$BU$111),""),"")</f>
        <v/>
      </c>
      <c r="BW59" s="30" t="str">
        <f>IF($H59='Tournament Setup'!$A$41,$I59,"")</f>
        <v/>
      </c>
      <c r="BX59" s="47" t="str">
        <f>IF(ISNUMBER(BW59),IF(COUNTIFS(BX$1:BX58,_xlfn.RANK.EQ(BW59,BW$2:BW$111,0))&gt;0,_xlfn.MAXIFS(BX$1:BX58,BW$1:BW58,BW59)+1,_xlfn.RANK.EQ(BW59,BW$2:BW$111,0)),"")</f>
        <v/>
      </c>
      <c r="BY59" s="1" t="str">
        <f>IF(ISNUMBER(BW59)=TRUE,IF(_xlfn.RANK.EQ(BW59,$BW$2:$BW$111)&lt;='Tournament Setup'!$B$41,_xlfn.RANK.EQ(BW59,$BW$2:$BW$111),""),"")</f>
        <v/>
      </c>
      <c r="BZ59" s="31" t="str">
        <f>IF(AND($H59='Tournament Setup'!$A$41,$E59="M",$BY59&gt;'Tournament Setup'!$B$41),$I59,"")</f>
        <v/>
      </c>
      <c r="CA59" s="1" t="str">
        <f>IF(ISNUMBER(BZ59)=TRUE,IF(_xlfn.RANK.EQ(BZ59,$BZ$2:$BZ$111)&lt;='Tournament Setup'!$C$41,_xlfn.RANK.EQ(BZ59,$BZ$2:$BZ$111),""),"")</f>
        <v/>
      </c>
      <c r="CB59" s="31" t="str">
        <f>IF(AND($H59='Tournament Setup'!$A$41,$E59="F",$BY59&gt;'Tournament Setup'!$B$41),$I59,"")</f>
        <v/>
      </c>
      <c r="CC59" s="12" t="str">
        <f>IF(ISNUMBER(CB59)=TRUE,IF(_xlfn.RANK.EQ(CB59,$CB$2:$CB$111)&lt;='Tournament Setup'!$D$41,_xlfn.RANK.EQ(CB59,$CB$2:$CB$111),""),"")</f>
        <v/>
      </c>
      <c r="CD59" s="30" t="str">
        <f>IF($H59='Tournament Setup'!$A$42,$I59,"")</f>
        <v/>
      </c>
      <c r="CE59" s="47" t="str">
        <f>IF(ISNUMBER(CD59),IF(COUNTIFS(CE$1:CE58,_xlfn.RANK.EQ(CD59,CD$2:CD$111,0))&gt;0,_xlfn.MAXIFS(CE$1:CE58,CD$1:CD58,CD59)+1,_xlfn.RANK.EQ(CD59,CD$2:CD$111,0)),"")</f>
        <v/>
      </c>
      <c r="CF59" s="1" t="str">
        <f>IF(ISNUMBER(CD59)=TRUE,IF(_xlfn.RANK.EQ(CD59,$CD$2:$CD$111)&lt;='Tournament Setup'!$B$42,_xlfn.RANK.EQ(CD59,$CD$2:$CD$111),""),"")</f>
        <v/>
      </c>
      <c r="CG59" s="31" t="str">
        <f>IF(AND($H59='Tournament Setup'!$A$42,$E59="M",$CF59&gt;'Tournament Setup'!$B$42),$I59,"")</f>
        <v/>
      </c>
      <c r="CH59" s="1" t="str">
        <f>IF(ISNUMBER(CG59)=TRUE,IF(_xlfn.RANK.EQ(CG59,$CG$2:$CG$111)&lt;='Tournament Setup'!$C$42,_xlfn.RANK.EQ(CG59,$CG$2:$CG$111),""),"")</f>
        <v/>
      </c>
      <c r="CI59" s="31" t="str">
        <f>IF(AND($H59='Tournament Setup'!$A$42,$E59="F",$CF59&gt;'Tournament Setup'!$B$42),$I59,"")</f>
        <v/>
      </c>
      <c r="CJ59" s="12" t="str">
        <f>IF(ISNUMBER(CI59)=TRUE,IF(_xlfn.RANK.EQ(CI59,$CI$2:$CI$111)&lt;='Tournament Setup'!$D$42,_xlfn.RANK.EQ(CI59,$CI$2:$CI$111),""),"")</f>
        <v/>
      </c>
      <c r="CK59" s="30" t="str">
        <f>IF($H59='Tournament Setup'!$A$43,$I59,"")</f>
        <v/>
      </c>
      <c r="CL59" s="47" t="str">
        <f>IF(ISNUMBER(CK59),IF(COUNTIFS(CL$1:CL58,_xlfn.RANK.EQ(CK59,CK$2:CK$111,0))&gt;0,_xlfn.MAXIFS(CL$1:CL58,CK$1:CK58,CK59)+1,_xlfn.RANK.EQ(CK59,CK$2:CK$111,0)),"")</f>
        <v/>
      </c>
      <c r="CM59" s="1" t="str">
        <f>IF(ISNUMBER(CK59)=TRUE,IF(_xlfn.RANK.EQ(CK59,$CK$2:$CK$111)&lt;='Tournament Setup'!$B$43,_xlfn.RANK.EQ(CK59,$CK$2:$CK$111),""),"")</f>
        <v/>
      </c>
      <c r="CN59" s="31" t="str">
        <f>IF(AND($H59='Tournament Setup'!$A$43,$E59="M",$CM59&gt;'Tournament Setup'!$B$43),$I59,"")</f>
        <v/>
      </c>
      <c r="CO59" s="1" t="str">
        <f>IF(ISNUMBER(CN59)=TRUE,IF(_xlfn.RANK.EQ(CN59,$CN$2:$CN$111)&lt;='Tournament Setup'!$C$43,_xlfn.RANK.EQ(CN59,$CN$2:$CN$111),""),"")</f>
        <v/>
      </c>
      <c r="CP59" s="31" t="str">
        <f>IF(AND($H59='Tournament Setup'!$A$43,$E59="F",$CM59&gt;'Tournament Setup'!$B$43),$I59,"")</f>
        <v/>
      </c>
      <c r="CQ59" s="12" t="str">
        <f>IF(ISNUMBER(CP59)=TRUE,IF(_xlfn.RANK.EQ(CP59,$CP$2:$CP$111)&lt;='Tournament Setup'!$D$43,_xlfn.RANK.EQ(CP59,$CP$2:$CP$111),""),"")</f>
        <v/>
      </c>
      <c r="CR59" s="30" t="str">
        <f>IF($H59='Tournament Setup'!$A$44,$I59,"")</f>
        <v/>
      </c>
      <c r="CS59" s="47" t="str">
        <f>IF(ISNUMBER(CR59),IF(COUNTIFS(CS$1:CS58,_xlfn.RANK.EQ(CR59,CR$2:CR$111,0))&gt;0,_xlfn.MAXIFS(CS$1:CS58,CR$1:CR58,CR59)+1,_xlfn.RANK.EQ(CR59,CR$2:CR$111,0)),"")</f>
        <v/>
      </c>
      <c r="CT59" s="1" t="str">
        <f>IF(ISNUMBER(CR59)=TRUE,IF(_xlfn.RANK.EQ(CR59,$CR$2:$CR$111)&lt;='Tournament Setup'!$B$44,_xlfn.RANK.EQ(CR59,$CR$2:$CR$111),""),"")</f>
        <v/>
      </c>
      <c r="CU59" s="31" t="str">
        <f>IF(AND($H59='Tournament Setup'!$A$44,$E59="M",$CT59&gt;'Tournament Setup'!$B$44),$I59,"")</f>
        <v/>
      </c>
      <c r="CV59" s="1" t="str">
        <f>IF(ISNUMBER(CU59)=TRUE,IF(_xlfn.RANK.EQ(CU59,$CU$2:$CU$111)&lt;='Tournament Setup'!$C$44,_xlfn.RANK.EQ(CU59,$CU$2:$CU$111),""),"")</f>
        <v/>
      </c>
      <c r="CW59" s="31" t="str">
        <f>IF(AND($H59='Tournament Setup'!$A$44,$E59="F",$CT59&gt;'Tournament Setup'!$B$44),$I59,"")</f>
        <v/>
      </c>
      <c r="CX59" s="12" t="str">
        <f>IF(ISNUMBER(CW59)=TRUE,IF(_xlfn.RANK.EQ(CW59,$CW$2:$CW$111)&lt;='Tournament Setup'!$D$44,_xlfn.RANK.EQ(CW59,$CW$2:$CW$111),""),"")</f>
        <v/>
      </c>
    </row>
    <row r="60" spans="1:102" x14ac:dyDescent="0.3">
      <c r="B60" t="str">
        <f>IFERROR(INDEX('Tournament List'!$B:$B,MATCH($A60,'Tournament List'!$A:$A,0)),"")</f>
        <v/>
      </c>
      <c r="C60" t="str">
        <f>IFERROR(INDEX('Tournament List'!$C:$C,MATCH($A60,'Tournament List'!$A:$A,0)),"")</f>
        <v/>
      </c>
      <c r="D60" t="str">
        <f t="shared" si="1"/>
        <v xml:space="preserve"> </v>
      </c>
      <c r="E60" s="1" t="str">
        <f>IFERROR(INDEX('Tournament List'!F:F,MATCH($A60,'Tournament List'!$A:$A,0)),"")</f>
        <v/>
      </c>
      <c r="F60" t="str">
        <f>IFERROR(INDEX('Tournament List'!M:M,MATCH($A60,'Tournament List'!$A:$A,0)),"")</f>
        <v/>
      </c>
      <c r="G60" t="str">
        <f>IFERROR(INDEX('Shooter-Squad Assignment'!L:L,MATCH(A60,'Shooter-Squad Assignment'!A:A,0)),"")</f>
        <v/>
      </c>
      <c r="H60" s="1" t="str">
        <f>IFERROR(INDEX('Tournament List'!AD:AD,MATCH($A60,'Tournament List'!$A:$A,0)),"")</f>
        <v/>
      </c>
      <c r="I60" s="123" t="str">
        <f>IFERROR(INDEX('Tournament List'!AG:AG,MATCH($A60,'Tournament List'!$A:$A,0)),"")</f>
        <v/>
      </c>
      <c r="J60" s="145" t="str">
        <f>IFERROR(INDEX('Tournament List'!Y:Y,MATCH($A60,'Tournament List'!$A:$A,0)),"")</f>
        <v/>
      </c>
      <c r="K60" s="47" t="str">
        <f>IFERROR(INDEX('Tournament List'!S:S,MATCH(A60,'Tournament List'!A:A,0)),"")</f>
        <v/>
      </c>
      <c r="L60" s="47" t="str">
        <f>IF(ISNUMBER(J60),IF(COUNTIFS(L$1:L49,_xlfn.RANK.EQ(J60,J$2:J$111,0))&gt;0,_xlfn.MAXIFS(L$1:L49,J$1:J49,J60)+1,_xlfn.RANK.EQ(J60,J$2:J$111,0)),"")</f>
        <v/>
      </c>
      <c r="M60" s="11" t="str">
        <f>IF(ISNUMBER(I60)=TRUE,IF(I60&gt;0,_xlfn.RANK.EQ(I60,$I$2:$I$111,0),""),"")</f>
        <v/>
      </c>
      <c r="N60" s="56" t="str">
        <f>IF(ISNUMBER(I60),IF(COUNTIFS(N$1:N49,_xlfn.RANK.EQ(I60,I$2:I$111,0))&gt;0,_xlfn.MAXIFS(N$1:N49,I$1:I49,I60)+1,_xlfn.RANK.EQ(I60,I$2:I$111,0)),"")</f>
        <v/>
      </c>
      <c r="O60" s="144" t="str">
        <f>IF(F60&lt;&gt;"Collegiate"=TRUE,$I60,"")</f>
        <v/>
      </c>
      <c r="P60" s="47" t="str">
        <f>IF(ISNUMBER(O60),IF(COUNTIFS(P$1:P49,_xlfn.RANK.EQ(O60,O$2:O$111,0))&gt;0,_xlfn.MAXIFS(P$1:P49,O$1:O49,O60)+1,_xlfn.RANK.EQ(O60,O$2:O$111,0)),"")</f>
        <v/>
      </c>
      <c r="Q60" s="1" t="str">
        <f>IF(ISNUMBER(O60)=TRUE,IF(_xlfn.RANK.EQ(O60,$O$2:$O$111)&lt;='Tournament Setup'!$B$26,_xlfn.RANK.EQ(O60,$O$2:$O$111),""),"")</f>
        <v/>
      </c>
      <c r="R60" s="143" t="str">
        <f>IF(AND($E60="M",SUM($Q60)=0,F60&lt;&gt;"Collegiate")=TRUE,$I60,"")</f>
        <v/>
      </c>
      <c r="S60" s="1" t="str">
        <f>IF(ISNUMBER(R60)=TRUE,IF(_xlfn.RANK.EQ(R60,$R$2:$R$111)&lt;='Tournament Setup'!$B$27,_xlfn.RANK.EQ(R60,$R$2:$R$111),""),"")</f>
        <v/>
      </c>
      <c r="T60" s="143" t="str">
        <f>IF(AND($E60="F",SUM($Q60)=0,F60&lt;&gt;"Collegiate")=TRUE,$I60,"")</f>
        <v/>
      </c>
      <c r="U60" s="12" t="str">
        <f>IF(ISNUMBER(T60)=TRUE,IF(_xlfn.RANK.EQ(T60,$T$2:$T$111)&lt;='Tournament Setup'!$B$28,_xlfn.RANK.EQ(T60,$T$2:$T$111),""),"")</f>
        <v/>
      </c>
      <c r="V60" s="145" t="str">
        <f>IF(AND($G60='Tournament Setup'!$A$53,$J60&lt;&gt;0),$J60,"")</f>
        <v/>
      </c>
      <c r="W60" s="47" t="str">
        <f>IF(ISNUMBER(V60),IF(COUNTIFS(W$1:W59,_xlfn.RANK.EQ(V60,V$2:V$111,0))&gt;0,_xlfn.MAXIFS(W$1:W59,V$1:V59,V60)+1,_xlfn.RANK.EQ(V60,V$2:V$111,0)),"")</f>
        <v/>
      </c>
      <c r="X60" s="1" t="str">
        <f>IF(ISNUMBER(V60)=TRUE,IF(_xlfn.RANK.EQ(V60,$V$2:$V$111)&lt;='Tournament Setup'!$B$53,_xlfn.RANK.EQ(V60,$V$2:$V$111),""),"")</f>
        <v/>
      </c>
      <c r="Y60" s="145" t="str">
        <f>IF(AND($G60='Tournament Setup'!$A$49,$J60&lt;&gt;0),$J60,"")</f>
        <v/>
      </c>
      <c r="Z60" s="47" t="str">
        <f>IF(ISNUMBER(Y60),IF(COUNTIFS(Z$1:Z59,_xlfn.RANK.EQ(Y60,Y$2:Y$111,0))&gt;0,_xlfn.MAXIFS(Z$1:Z59,Y$1:Y59,Y60)+1,_xlfn.RANK.EQ(Y60,Y$2:Y$111,0)),"")</f>
        <v/>
      </c>
      <c r="AA60" s="1" t="str">
        <f>IF(ISNUMBER(Y60)=TRUE,IF(_xlfn.RANK.EQ(Y60,$Y$2:$Y$111)&lt;='Tournament Setup'!$B$49,_xlfn.RANK.EQ(Y60,$Y$2:$Y$111),""),"")</f>
        <v/>
      </c>
      <c r="AB60" s="30" t="str">
        <f>IF(AND($F60='Tournament Setup'!$A$32,SUM($Q60,$S60,$U60)=0),$I60,"")</f>
        <v/>
      </c>
      <c r="AC60" s="47" t="str">
        <f>IF(ISNUMBER(AB60),IF(COUNTIFS(AC$1:AC49,_xlfn.RANK.EQ(AB60,AB$2:AB$111,0))&gt;0,_xlfn.MAXIFS(AC$1:AC49,AB$1:AB49,AB60)+1,_xlfn.RANK.EQ(AB60,AB$2:AB$111,0)),"")</f>
        <v/>
      </c>
      <c r="AD60" s="1" t="str">
        <f>IF(ISNUMBER(AB60)=TRUE,IF(_xlfn.RANK.EQ(AB60,$AB$2:$AB$111)&lt;='Tournament Setup'!$B$32,_xlfn.RANK.EQ(AB60,$AB$2:$AB$111),""),"")</f>
        <v/>
      </c>
      <c r="AE60" s="31" t="str">
        <f>IF(AND($F60='Tournament Setup'!$A$32,SUM($Q60,$S60)=0,$E60="M",$AD60&gt;'Tournament Setup'!$B$32),$I60,"")</f>
        <v/>
      </c>
      <c r="AF60" s="1" t="str">
        <f>IF(ISNUMBER(AE60)=TRUE,IF(_xlfn.RANK.EQ(AE60,$AE$2:$AE$111)&lt;='Tournament Setup'!$C$32,_xlfn.RANK.EQ(AE60,$AE$2:$AE$111),""),"")</f>
        <v/>
      </c>
      <c r="AG60" s="31" t="str">
        <f>IF(AND($F60='Tournament Setup'!$A$32,SUM($Q60,$U60)=0,$E60="F",$AD60&gt;'Tournament Setup'!$B$32),$I60,"")</f>
        <v/>
      </c>
      <c r="AH60" s="12" t="str">
        <f>IF(ISNUMBER(AG60)=TRUE,IF(_xlfn.RANK.EQ(AG60,$AG$2:$AG$111)&lt;='Tournament Setup'!$D$32,_xlfn.RANK.EQ(AG60,$AG$2:$AG$111),""),"")</f>
        <v/>
      </c>
      <c r="AI60" s="30" t="str">
        <f>IF(AND($G60='Tournament Setup'!$A$50,$J60&lt;&gt;0),$J60,"")</f>
        <v/>
      </c>
      <c r="AJ60" s="47" t="str">
        <f>IF(ISNUMBER(AI60),IF(COUNTIFS(AJ$1:AJ49,_xlfn.RANK.EQ(AI60,AI$2:AI$111,0))&gt;0,_xlfn.MAXIFS(AJ$1:AJ49,AI$1:AI49,AI60)+1,_xlfn.RANK.EQ(AI60,AI$2:AI$111,0)),"")</f>
        <v/>
      </c>
      <c r="AK60" s="1" t="str">
        <f>IF(ISNUMBER(AI60)=TRUE,IF(_xlfn.RANK.EQ(AI60,$AI$2:$AI$111)&lt;='Tournament Setup'!$B$49,_xlfn.RANK.EQ(AI60,$AI$2:$AI$111),""),"")</f>
        <v/>
      </c>
      <c r="AL60" s="30" t="str">
        <f>IF(AND($F60='Tournament Setup'!$A$33,SUM($Q60,$S60,$U60)=0),$I60,"")</f>
        <v/>
      </c>
      <c r="AM60" s="47" t="str">
        <f>IF(ISNUMBER(AL60),IF(COUNTIFS(AM$1:AM49,_xlfn.RANK.EQ(AL60,AL$2:AL$111,0))&gt;0,_xlfn.MAXIFS(AM$1:AM49,AL$1:AL49,AL60)+1,_xlfn.RANK.EQ(AL60,AL$2:AL$111,0)),"")</f>
        <v/>
      </c>
      <c r="AN60" s="1" t="str">
        <f>IF(ISNUMBER(AL60)=TRUE,IF(_xlfn.RANK.EQ(AL60,$AL$2:$AL$111)&lt;='Tournament Setup'!$B$33,_xlfn.RANK.EQ(AL60,$AL$2:$AL$111),""),"")</f>
        <v/>
      </c>
      <c r="AO60" s="31" t="str">
        <f>IF(AND($F60='Tournament Setup'!$A$33,SUM($Q60,$S60)=0,$E60="M",$AN60&gt;'Tournament Setup'!$B$33),$I60,"")</f>
        <v/>
      </c>
      <c r="AP60" s="1" t="str">
        <f>IF(ISNUMBER(AO60)=TRUE,IF(_xlfn.RANK.EQ(AO60,$AO$2:$AO$111)&lt;='Tournament Setup'!$C$33,_xlfn.RANK.EQ(AO60,$AO$2:$AO$111),""),"")</f>
        <v/>
      </c>
      <c r="AQ60" s="31" t="str">
        <f>IF(AND($F60='Tournament Setup'!$A$33,SUM($Q60,$U60)=0,$E60="F",$AN60&gt;'Tournament Setup'!$B$33),$I60,"")</f>
        <v/>
      </c>
      <c r="AR60" s="12" t="str">
        <f>IF(ISNUMBER(AQ60)=TRUE,IF(_xlfn.RANK.EQ(AQ60,$AQ$2:$AQ$111)&lt;='Tournament Setup'!$D$33,_xlfn.RANK.EQ(AQ60,$AQ$2:$AQ$111),""),"")</f>
        <v/>
      </c>
      <c r="AS60" s="30" t="str">
        <f>IF(AND($G60='Tournament Setup'!$A$51,$J60&lt;&gt;0),$J60,"")</f>
        <v/>
      </c>
      <c r="AT60" s="47" t="str">
        <f>IF(ISNUMBER(AS60),IF(COUNTIFS(AT$1:AT49,_xlfn.RANK.EQ(AS60,AS$2:AS$111,0))&gt;0,_xlfn.MAXIFS(AT$1:AT49,AS$1:AS49,AS60)+1,_xlfn.RANK.EQ(AS60,AS$2:AS$111,0)),"")</f>
        <v/>
      </c>
      <c r="AU60" s="1" t="str">
        <f>IF(ISNUMBER(AS60)=TRUE,IF(_xlfn.RANK.EQ(AS60,$AS$2:$AS$111)&lt;='Tournament Setup'!$B$49,_xlfn.RANK.EQ(AS60,$AS$2:$AS$111),""),"")</f>
        <v/>
      </c>
      <c r="AV60" s="30" t="str">
        <f>IF(AND($F60='Tournament Setup'!$A$34,SUM($Q60,$S60,$U60)=0),$I60,"")</f>
        <v/>
      </c>
      <c r="AW60" s="47" t="str">
        <f>IF(ISNUMBER(AV60),IF(COUNTIFS(AW$1:AW49,_xlfn.RANK.EQ(AV60,AV$2:AV$111,0))&gt;0,_xlfn.MAXIFS(AW$1:AW49,AV$1:AV49,AV60)+1,_xlfn.RANK.EQ(AV60,AV$2:AV$111,0)),"")</f>
        <v/>
      </c>
      <c r="AX60" s="1" t="str">
        <f>IF(ISNUMBER(AV60)=TRUE,IF(_xlfn.RANK.EQ(AV60,$AV$2:$AV$111)&lt;='Tournament Setup'!$B$34,_xlfn.RANK.EQ(AV60,$AV$2:$AV$111),""),"")</f>
        <v/>
      </c>
      <c r="AY60" s="31" t="str">
        <f>IF(AND($F60='Tournament Setup'!$A$34,SUM($Q60,$S60)=0,$E60="M",$AX60&gt;'Tournament Setup'!$B$34),$I60,"")</f>
        <v/>
      </c>
      <c r="AZ60" s="1" t="str">
        <f>IF(ISNUMBER(AY60)=TRUE,IF(_xlfn.RANK.EQ(AY60,$AY$2:$AY$111)&lt;='Tournament Setup'!$C$34,_xlfn.RANK.EQ(AY60,$AY$2:$AY$111),""),"")</f>
        <v/>
      </c>
      <c r="BA60" s="31" t="str">
        <f>IF(AND($F60='Tournament Setup'!$A$34,SUM($Q60,$U60)=0,$E60="F",$AX60&gt;'Tournament Setup'!$B$34),$I60,"")</f>
        <v/>
      </c>
      <c r="BB60" s="12" t="str">
        <f>IF(ISNUMBER(BA60)=TRUE,IF(_xlfn.RANK.EQ(BA60,$BA$2:$BA$111)&lt;='Tournament Setup'!$D$34,_xlfn.RANK.EQ(BA60,$BA$2:$BA$111),""),"")</f>
        <v/>
      </c>
      <c r="BC60" s="30" t="str">
        <f>IF(AND($G60='Tournament Setup'!$A$52,$J60&lt;&gt;0),$J60,"")</f>
        <v/>
      </c>
      <c r="BD60" s="47" t="str">
        <f>IF(ISNUMBER(BC60),IF(COUNTIFS(BD$1:BD49,_xlfn.RANK.EQ(BC60,BC$2:BC$111,0))&gt;0,_xlfn.MAXIFS(BD$1:BD49,BC$1:BC49,BC60)+1,_xlfn.RANK.EQ(BC60,BC$2:BC$111,0)),"")</f>
        <v/>
      </c>
      <c r="BE60" s="1" t="str">
        <f>IF(ISNUMBER(BC60)=TRUE,IF(_xlfn.RANK.EQ(BC60,$BC$2:$BC$111)&lt;='Tournament Setup'!$B$49,_xlfn.RANK.EQ(BC60,$BC$2:$BC$111),""),"")</f>
        <v/>
      </c>
      <c r="BF60" s="30" t="str">
        <f>IF(AND($F60='Tournament Setup'!$A$35,SUM($Q60,$S60,$U60)=0),$I60,"")</f>
        <v/>
      </c>
      <c r="BG60" s="47" t="str">
        <f>IF(ISNUMBER(BF60),IF(COUNTIFS(BG$1:BG49,_xlfn.RANK.EQ(BF60,BF$2:BF$111,0))&gt;0,_xlfn.MAXIFS(BG$1:BG49,BF$1:BF49,BF60)+1,_xlfn.RANK.EQ(BF60,BF$2:BF$111,0)),"")</f>
        <v/>
      </c>
      <c r="BH60" s="1" t="str">
        <f>IF(ISNUMBER(BF60)=TRUE,IF(_xlfn.RANK.EQ(BF60,$BF$2:$BF$111)&lt;='Tournament Setup'!$B$35,_xlfn.RANK.EQ(BF60,$BF$2:$BF$111),""),"")</f>
        <v/>
      </c>
      <c r="BI60" s="31" t="str">
        <f>IF(AND($F60='Tournament Setup'!$A$35,SUM($Q60,$S60)=0,$E60="M",$BH60&gt;'Tournament Setup'!$B$35),$I60,"")</f>
        <v/>
      </c>
      <c r="BJ60" s="1" t="str">
        <f>IF(ISNUMBER(BI60)=TRUE,IF(_xlfn.RANK.EQ(BI60,$BI$2:$BI$111)&lt;='Tournament Setup'!$C$35,_xlfn.RANK.EQ(BI60,$BI$2:$BI$111),""),"")</f>
        <v/>
      </c>
      <c r="BK60" s="31" t="str">
        <f>IF(AND($F60='Tournament Setup'!$A$35,SUM($Q60,$U60)=0,$E60="F",$BH60&gt;'Tournament Setup'!$B$35),$I60,"")</f>
        <v/>
      </c>
      <c r="BL60" s="12" t="str">
        <f>IF(ISNUMBER(BK60)=TRUE,IF(_xlfn.RANK.EQ(BK60,$BK$2:$BK$111)&lt;='Tournament Setup'!$D$35,_xlfn.RANK.EQ(BK60,$BK$2:$BK$111),""),"")</f>
        <v/>
      </c>
      <c r="BM60" s="30" t="str">
        <f>IF(AND($G60='Tournament Setup'!$A$54,$J60&lt;&gt;0),$J60,"")</f>
        <v/>
      </c>
      <c r="BN60" s="47" t="str">
        <f>IF(ISNUMBER(BM60),IF(COUNTIFS(BN$1:BN49,_xlfn.RANK.EQ(BM60,BM$2:BM$111,0))&gt;0,_xlfn.MAXIFS(BN$1:BN49,BM$1:BM49,BM60)+1,_xlfn.RANK.EQ(BM60,BM$2:BM$111,0)),"")</f>
        <v/>
      </c>
      <c r="BO60" s="1" t="str">
        <f>IF(ISNUMBER(BM60)=TRUE,IF(_xlfn.RANK.EQ(BM60,$BM$2:$BM$111)&lt;='Tournament Setup'!$B$49,_xlfn.RANK.EQ(BM60,$BM$2:$BM$111),""),"")</f>
        <v/>
      </c>
      <c r="BP60" s="30" t="str">
        <f>IF(AND($F60='Tournament Setup'!$A$36,SUM($Q60,$S60,$U60)=0),$I60,"")</f>
        <v/>
      </c>
      <c r="BQ60" s="47" t="str">
        <f>IF(ISNUMBER(BP60),IF(COUNTIFS(BQ$1:BQ49,_xlfn.RANK.EQ(BP60,BP$2:BP$111,0))&gt;0,_xlfn.MAXIFS(BQ$1:BQ49,BP$1:BP49,BP60)+1,_xlfn.RANK.EQ(BP60,BP$2:BP$111,0)),"")</f>
        <v/>
      </c>
      <c r="BR60" s="1" t="str">
        <f>IF(ISNUMBER(BP60)=TRUE,IF(_xlfn.RANK.EQ(BP60,$BP$2:$BP$111)&lt;='Tournament Setup'!$B$36,_xlfn.RANK.EQ(BP60,$BP$2:$BP$111),""),"")</f>
        <v/>
      </c>
      <c r="BS60" s="31" t="str">
        <f>IF(AND($F60='Tournament Setup'!$A$36,SUM($Q60,$S60)=0,$E60="M",$BR60&gt;'Tournament Setup'!$B$36),$I60,"")</f>
        <v/>
      </c>
      <c r="BT60" s="1" t="str">
        <f>IF(ISNUMBER(BS60)=TRUE,IF(_xlfn.RANK.EQ(BS60,$BS$2:$BS$111)&lt;='Tournament Setup'!$C$36,_xlfn.RANK.EQ(BS60,$BS$2:$BS$111),""),"")</f>
        <v/>
      </c>
      <c r="BU60" s="31" t="str">
        <f>IF(AND($F60='Tournament Setup'!$A$36,SUM($Q60,$U60)=0,$E60="F",$BR60&gt;'Tournament Setup'!$B$36),$I60,"")</f>
        <v/>
      </c>
      <c r="BV60" s="12" t="str">
        <f>IF(ISNUMBER(BU60)=TRUE,IF(_xlfn.RANK.EQ(BU60,$BU$2:$BU$111)&lt;='Tournament Setup'!$D$36,_xlfn.RANK.EQ(BU60,$BU$2:$BU$111),""),"")</f>
        <v/>
      </c>
      <c r="BW60" s="30" t="str">
        <f>IF($H60='Tournament Setup'!$A$41,$I60,"")</f>
        <v/>
      </c>
      <c r="BX60" s="47" t="str">
        <f>IF(ISNUMBER(BW60),IF(COUNTIFS(BX$1:BX49,_xlfn.RANK.EQ(BW60,BW$2:BW$111,0))&gt;0,_xlfn.MAXIFS(BX$1:BX49,BW$1:BW49,BW60)+1,_xlfn.RANK.EQ(BW60,BW$2:BW$111,0)),"")</f>
        <v/>
      </c>
      <c r="BY60" s="1" t="str">
        <f>IF(ISNUMBER(BW60)=TRUE,IF(_xlfn.RANK.EQ(BW60,$BW$2:$BW$111)&lt;='Tournament Setup'!$B$41,_xlfn.RANK.EQ(BW60,$BW$2:$BW$111),""),"")</f>
        <v/>
      </c>
      <c r="BZ60" s="31" t="str">
        <f>IF(AND($H60='Tournament Setup'!$A$41,$E60="M",$BY60&gt;'Tournament Setup'!$B$41),$I60,"")</f>
        <v/>
      </c>
      <c r="CA60" s="1" t="str">
        <f>IF(ISNUMBER(BZ60)=TRUE,IF(_xlfn.RANK.EQ(BZ60,$BZ$2:$BZ$111)&lt;='Tournament Setup'!$C$41,_xlfn.RANK.EQ(BZ60,$BZ$2:$BZ$111),""),"")</f>
        <v/>
      </c>
      <c r="CB60" s="31" t="str">
        <f>IF(AND($H60='Tournament Setup'!$A$41,$E60="F",$BY60&gt;'Tournament Setup'!$B$41),$I60,"")</f>
        <v/>
      </c>
      <c r="CC60" s="12" t="str">
        <f>IF(ISNUMBER(CB60)=TRUE,IF(_xlfn.RANK.EQ(CB60,$CB$2:$CB$111)&lt;='Tournament Setup'!$D$41,_xlfn.RANK.EQ(CB60,$CB$2:$CB$111),""),"")</f>
        <v/>
      </c>
      <c r="CD60" s="30" t="str">
        <f>IF($H60='Tournament Setup'!$A$42,$I60,"")</f>
        <v/>
      </c>
      <c r="CE60" s="47" t="str">
        <f>IF(ISNUMBER(CD60),IF(COUNTIFS(CE$1:CE49,_xlfn.RANK.EQ(CD60,CD$2:CD$111,0))&gt;0,_xlfn.MAXIFS(CE$1:CE49,CD$1:CD49,CD60)+1,_xlfn.RANK.EQ(CD60,CD$2:CD$111,0)),"")</f>
        <v/>
      </c>
      <c r="CF60" s="1" t="str">
        <f>IF(ISNUMBER(CD60)=TRUE,IF(_xlfn.RANK.EQ(CD60,$CD$2:$CD$111)&lt;='Tournament Setup'!$B$42,_xlfn.RANK.EQ(CD60,$CD$2:$CD$111),""),"")</f>
        <v/>
      </c>
      <c r="CG60" s="31" t="str">
        <f>IF(AND($H60='Tournament Setup'!$A$42,$E60="M",$CF60&gt;'Tournament Setup'!$B$42),$I60,"")</f>
        <v/>
      </c>
      <c r="CH60" s="1" t="str">
        <f>IF(ISNUMBER(CG60)=TRUE,IF(_xlfn.RANK.EQ(CG60,$CG$2:$CG$111)&lt;='Tournament Setup'!$C$42,_xlfn.RANK.EQ(CG60,$CG$2:$CG$111),""),"")</f>
        <v/>
      </c>
      <c r="CI60" s="31" t="str">
        <f>IF(AND($H60='Tournament Setup'!$A$42,$E60="F",$CF60&gt;'Tournament Setup'!$B$42),$I60,"")</f>
        <v/>
      </c>
      <c r="CJ60" s="12" t="str">
        <f>IF(ISNUMBER(CI60)=TRUE,IF(_xlfn.RANK.EQ(CI60,$CI$2:$CI$111)&lt;='Tournament Setup'!$D$42,_xlfn.RANK.EQ(CI60,$CI$2:$CI$111),""),"")</f>
        <v/>
      </c>
      <c r="CK60" s="30" t="str">
        <f>IF($H60='Tournament Setup'!$A$43,$I60,"")</f>
        <v/>
      </c>
      <c r="CL60" s="47" t="str">
        <f>IF(ISNUMBER(CK60),IF(COUNTIFS(CL$1:CL49,_xlfn.RANK.EQ(CK60,CK$2:CK$111,0))&gt;0,_xlfn.MAXIFS(CL$1:CL49,CK$1:CK49,CK60)+1,_xlfn.RANK.EQ(CK60,CK$2:CK$111,0)),"")</f>
        <v/>
      </c>
      <c r="CM60" s="1" t="str">
        <f>IF(ISNUMBER(CK60)=TRUE,IF(_xlfn.RANK.EQ(CK60,$CK$2:$CK$111)&lt;='Tournament Setup'!$B$43,_xlfn.RANK.EQ(CK60,$CK$2:$CK$111),""),"")</f>
        <v/>
      </c>
      <c r="CN60" s="31" t="str">
        <f>IF(AND($H60='Tournament Setup'!$A$43,$E60="M",$CM60&gt;'Tournament Setup'!$B$43),$I60,"")</f>
        <v/>
      </c>
      <c r="CO60" s="1" t="str">
        <f>IF(ISNUMBER(CN60)=TRUE,IF(_xlfn.RANK.EQ(CN60,$CN$2:$CN$111)&lt;='Tournament Setup'!$C$43,_xlfn.RANK.EQ(CN60,$CN$2:$CN$111),""),"")</f>
        <v/>
      </c>
      <c r="CP60" s="31" t="str">
        <f>IF(AND($H60='Tournament Setup'!$A$43,$E60="F",$CM60&gt;'Tournament Setup'!$B$43),$I60,"")</f>
        <v/>
      </c>
      <c r="CQ60" s="12" t="str">
        <f>IF(ISNUMBER(CP60)=TRUE,IF(_xlfn.RANK.EQ(CP60,$CP$2:$CP$111)&lt;='Tournament Setup'!$D$43,_xlfn.RANK.EQ(CP60,$CP$2:$CP$111),""),"")</f>
        <v/>
      </c>
      <c r="CR60" s="30" t="str">
        <f>IF($H60='Tournament Setup'!$A$44,$I60,"")</f>
        <v/>
      </c>
      <c r="CS60" s="47" t="str">
        <f>IF(ISNUMBER(CR60),IF(COUNTIFS(CS$1:CS49,_xlfn.RANK.EQ(CR60,CR$2:CR$111,0))&gt;0,_xlfn.MAXIFS(CS$1:CS49,CR$1:CR49,CR60)+1,_xlfn.RANK.EQ(CR60,CR$2:CR$111,0)),"")</f>
        <v/>
      </c>
      <c r="CT60" s="1" t="str">
        <f>IF(ISNUMBER(CR60)=TRUE,IF(_xlfn.RANK.EQ(CR60,$CR$2:$CR$111)&lt;='Tournament Setup'!$B$44,_xlfn.RANK.EQ(CR60,$CR$2:$CR$111),""),"")</f>
        <v/>
      </c>
      <c r="CU60" s="31" t="str">
        <f>IF(AND($H60='Tournament Setup'!$A$44,$E60="M",$CT60&gt;'Tournament Setup'!$B$44),$I60,"")</f>
        <v/>
      </c>
      <c r="CV60" s="1" t="str">
        <f>IF(ISNUMBER(CU60)=TRUE,IF(_xlfn.RANK.EQ(CU60,$CU$2:$CU$111)&lt;='Tournament Setup'!$C$44,_xlfn.RANK.EQ(CU60,$CU$2:$CU$111),""),"")</f>
        <v/>
      </c>
      <c r="CW60" s="31" t="str">
        <f>IF(AND($H60='Tournament Setup'!$A$44,$E60="F",$CT60&gt;'Tournament Setup'!$B$44),$I60,"")</f>
        <v/>
      </c>
      <c r="CX60" s="12" t="str">
        <f>IF(ISNUMBER(CW60)=TRUE,IF(_xlfn.RANK.EQ(CW60,$CW$2:$CW$111)&lt;='Tournament Setup'!$D$44,_xlfn.RANK.EQ(CW60,$CW$2:$CW$111),""),"")</f>
        <v/>
      </c>
    </row>
    <row r="61" spans="1:102" x14ac:dyDescent="0.3">
      <c r="B61" t="str">
        <f>IFERROR(INDEX('Tournament List'!$B:$B,MATCH($A61,'Tournament List'!$A:$A,0)),"")</f>
        <v/>
      </c>
      <c r="C61" t="str">
        <f>IFERROR(INDEX('Tournament List'!$C:$C,MATCH($A61,'Tournament List'!$A:$A,0)),"")</f>
        <v/>
      </c>
      <c r="D61" t="str">
        <f t="shared" si="1"/>
        <v xml:space="preserve"> </v>
      </c>
      <c r="E61" s="1" t="str">
        <f>IFERROR(INDEX('Tournament List'!F:F,MATCH($A61,'Tournament List'!$A:$A,0)),"")</f>
        <v/>
      </c>
      <c r="F61" t="str">
        <f>IFERROR(INDEX('Tournament List'!M:M,MATCH($A61,'Tournament List'!$A:$A,0)),"")</f>
        <v/>
      </c>
      <c r="G61" t="str">
        <f>IFERROR(INDEX('Shooter-Squad Assignment'!L:L,MATCH(A61,'Shooter-Squad Assignment'!A:A,0)),"")</f>
        <v/>
      </c>
      <c r="H61" s="1" t="str">
        <f>IFERROR(INDEX('Tournament List'!AD:AD,MATCH($A61,'Tournament List'!$A:$A,0)),"")</f>
        <v/>
      </c>
      <c r="I61" s="123" t="str">
        <f>IFERROR(INDEX('Tournament List'!AG:AG,MATCH($A61,'Tournament List'!$A:$A,0)),"")</f>
        <v/>
      </c>
      <c r="J61" s="145" t="str">
        <f>IFERROR(INDEX('Tournament List'!Y:Y,MATCH($A61,'Tournament List'!$A:$A,0)),"")</f>
        <v/>
      </c>
      <c r="K61" s="47" t="str">
        <f>IFERROR(INDEX('Tournament List'!S:S,MATCH(A61,'Tournament List'!A:A,0)),"")</f>
        <v/>
      </c>
      <c r="L61" s="47" t="str">
        <f>IF(ISNUMBER(J61),IF(COUNTIFS(L$1:L60,_xlfn.RANK.EQ(J61,J$2:J$111,0))&gt;0,_xlfn.MAXIFS(L$1:L60,J$1:J60,J61)+1,_xlfn.RANK.EQ(J61,J$2:J$111,0)),"")</f>
        <v/>
      </c>
      <c r="M61" s="11" t="str">
        <f>IF(ISNUMBER(I61)=TRUE,IF(I61&gt;0,_xlfn.RANK.EQ(I61,$I$2:$I$111,0),""),"")</f>
        <v/>
      </c>
      <c r="N61" s="56" t="str">
        <f>IF(ISNUMBER(I61),IF(COUNTIFS(N$1:N60,_xlfn.RANK.EQ(I61,I$2:I$111,0))&gt;0,_xlfn.MAXIFS(N$1:N60,I$1:I60,I61)+1,_xlfn.RANK.EQ(I61,I$2:I$111,0)),"")</f>
        <v/>
      </c>
      <c r="O61" s="144" t="str">
        <f>IF(F61&lt;&gt;"Collegiate"=TRUE,$I61,"")</f>
        <v/>
      </c>
      <c r="P61" s="47" t="str">
        <f>IF(ISNUMBER(O61),IF(COUNTIFS(P$1:P60,_xlfn.RANK.EQ(O61,O$2:O$111,0))&gt;0,_xlfn.MAXIFS(P$1:P60,O$1:O60,O61)+1,_xlfn.RANK.EQ(O61,O$2:O$111,0)),"")</f>
        <v/>
      </c>
      <c r="Q61" s="1" t="str">
        <f>IF(ISNUMBER(O61)=TRUE,IF(_xlfn.RANK.EQ(O61,$O$2:$O$111)&lt;='Tournament Setup'!$B$26,_xlfn.RANK.EQ(O61,$O$2:$O$111),""),"")</f>
        <v/>
      </c>
      <c r="R61" s="143" t="str">
        <f>IF(AND($E61="M",SUM($Q61)=0,F61&lt;&gt;"Collegiate")=TRUE,$I61,"")</f>
        <v/>
      </c>
      <c r="S61" s="1" t="str">
        <f>IF(ISNUMBER(R61)=TRUE,IF(_xlfn.RANK.EQ(R61,$R$2:$R$111)&lt;='Tournament Setup'!$B$27,_xlfn.RANK.EQ(R61,$R$2:$R$111),""),"")</f>
        <v/>
      </c>
      <c r="T61" s="143" t="str">
        <f>IF(AND($E61="F",SUM($Q61)=0,F61&lt;&gt;"Collegiate")=TRUE,$I61,"")</f>
        <v/>
      </c>
      <c r="U61" s="12" t="str">
        <f>IF(ISNUMBER(T61)=TRUE,IF(_xlfn.RANK.EQ(T61,$T$2:$T$111)&lt;='Tournament Setup'!$B$28,_xlfn.RANK.EQ(T61,$T$2:$T$111),""),"")</f>
        <v/>
      </c>
      <c r="V61" s="145" t="str">
        <f>IF(AND($G61='Tournament Setup'!$A$53,$J61&lt;&gt;0),$J61,"")</f>
        <v/>
      </c>
      <c r="W61" s="47" t="str">
        <f>IF(ISNUMBER(V61),IF(COUNTIFS(W$1:W60,_xlfn.RANK.EQ(V61,V$2:V$111,0))&gt;0,_xlfn.MAXIFS(W$1:W60,V$1:V60,V61)+1,_xlfn.RANK.EQ(V61,V$2:V$111,0)),"")</f>
        <v/>
      </c>
      <c r="X61" s="1" t="str">
        <f>IF(ISNUMBER(V61)=TRUE,IF(_xlfn.RANK.EQ(V61,$V$2:$V$111)&lt;='Tournament Setup'!$B$53,_xlfn.RANK.EQ(V61,$V$2:$V$111),""),"")</f>
        <v/>
      </c>
      <c r="Y61" s="145" t="str">
        <f>IF(AND($G61='Tournament Setup'!$A$49,$J61&lt;&gt;0),$J61,"")</f>
        <v/>
      </c>
      <c r="Z61" s="47" t="str">
        <f>IF(ISNUMBER(Y61),IF(COUNTIFS(Z$1:Z60,_xlfn.RANK.EQ(Y61,Y$2:Y$111,0))&gt;0,_xlfn.MAXIFS(Z$1:Z60,Y$1:Y60,Y61)+1,_xlfn.RANK.EQ(Y61,Y$2:Y$111,0)),"")</f>
        <v/>
      </c>
      <c r="AA61" s="1" t="str">
        <f>IF(ISNUMBER(Y61)=TRUE,IF(_xlfn.RANK.EQ(Y61,$Y$2:$Y$111)&lt;='Tournament Setup'!$B$49,_xlfn.RANK.EQ(Y61,$Y$2:$Y$111),""),"")</f>
        <v/>
      </c>
      <c r="AB61" s="30" t="str">
        <f>IF(AND($F61='Tournament Setup'!$A$32,SUM($Q61,$S61,$U61)=0),$I61,"")</f>
        <v/>
      </c>
      <c r="AC61" s="47" t="str">
        <f>IF(ISNUMBER(AB61),IF(COUNTIFS(AC$1:AC60,_xlfn.RANK.EQ(AB61,AB$2:AB$111,0))&gt;0,_xlfn.MAXIFS(AC$1:AC60,AB$1:AB60,AB61)+1,_xlfn.RANK.EQ(AB61,AB$2:AB$111,0)),"")</f>
        <v/>
      </c>
      <c r="AD61" s="1" t="str">
        <f>IF(ISNUMBER(AB61)=TRUE,IF(_xlfn.RANK.EQ(AB61,$AB$2:$AB$111)&lt;='Tournament Setup'!$B$32,_xlfn.RANK.EQ(AB61,$AB$2:$AB$111),""),"")</f>
        <v/>
      </c>
      <c r="AE61" s="31" t="str">
        <f>IF(AND($F61='Tournament Setup'!$A$32,SUM($Q61,$S61)=0,$E61="M",$AD61&gt;'Tournament Setup'!$B$32),$I61,"")</f>
        <v/>
      </c>
      <c r="AF61" s="1" t="str">
        <f>IF(ISNUMBER(AE61)=TRUE,IF(_xlfn.RANK.EQ(AE61,$AE$2:$AE$111)&lt;='Tournament Setup'!$C$32,_xlfn.RANK.EQ(AE61,$AE$2:$AE$111),""),"")</f>
        <v/>
      </c>
      <c r="AG61" s="31" t="str">
        <f>IF(AND($F61='Tournament Setup'!$A$32,SUM($Q61,$U61)=0,$E61="F",$AD61&gt;'Tournament Setup'!$B$32),$I61,"")</f>
        <v/>
      </c>
      <c r="AH61" s="12" t="str">
        <f>IF(ISNUMBER(AG61)=TRUE,IF(_xlfn.RANK.EQ(AG61,$AG$2:$AG$111)&lt;='Tournament Setup'!$D$32,_xlfn.RANK.EQ(AG61,$AG$2:$AG$111),""),"")</f>
        <v/>
      </c>
      <c r="AI61" s="30" t="str">
        <f>IF(AND($G61='Tournament Setup'!$A$50,$J61&lt;&gt;0),$J61,"")</f>
        <v/>
      </c>
      <c r="AJ61" s="47" t="str">
        <f>IF(ISNUMBER(AI61),IF(COUNTIFS(AJ$1:AJ60,_xlfn.RANK.EQ(AI61,AI$2:AI$111,0))&gt;0,_xlfn.MAXIFS(AJ$1:AJ60,AI$1:AI60,AI61)+1,_xlfn.RANK.EQ(AI61,AI$2:AI$111,0)),"")</f>
        <v/>
      </c>
      <c r="AK61" s="1" t="str">
        <f>IF(ISNUMBER(AI61)=TRUE,IF(_xlfn.RANK.EQ(AI61,$AI$2:$AI$111)&lt;='Tournament Setup'!$B$49,_xlfn.RANK.EQ(AI61,$AI$2:$AI$111),""),"")</f>
        <v/>
      </c>
      <c r="AL61" s="30" t="str">
        <f>IF(AND($F61='Tournament Setup'!$A$33,SUM($Q61,$S61,$U61)=0),$I61,"")</f>
        <v/>
      </c>
      <c r="AM61" s="47" t="str">
        <f>IF(ISNUMBER(AL61),IF(COUNTIFS(AM$1:AM60,_xlfn.RANK.EQ(AL61,AL$2:AL$111,0))&gt;0,_xlfn.MAXIFS(AM$1:AM60,AL$1:AL60,AL61)+1,_xlfn.RANK.EQ(AL61,AL$2:AL$111,0)),"")</f>
        <v/>
      </c>
      <c r="AN61" s="1" t="str">
        <f>IF(ISNUMBER(AL61)=TRUE,IF(_xlfn.RANK.EQ(AL61,$AL$2:$AL$111)&lt;='Tournament Setup'!$B$33,_xlfn.RANK.EQ(AL61,$AL$2:$AL$111),""),"")</f>
        <v/>
      </c>
      <c r="AO61" s="31" t="str">
        <f>IF(AND($F61='Tournament Setup'!$A$33,SUM($Q61,$S61)=0,$E61="M",$AN61&gt;'Tournament Setup'!$B$33),$I61,"")</f>
        <v/>
      </c>
      <c r="AP61" s="1" t="str">
        <f>IF(ISNUMBER(AO61)=TRUE,IF(_xlfn.RANK.EQ(AO61,$AO$2:$AO$111)&lt;='Tournament Setup'!$C$33,_xlfn.RANK.EQ(AO61,$AO$2:$AO$111),""),"")</f>
        <v/>
      </c>
      <c r="AQ61" s="31" t="str">
        <f>IF(AND($F61='Tournament Setup'!$A$33,SUM($Q61,$U61)=0,$E61="F",$AN61&gt;'Tournament Setup'!$B$33),$I61,"")</f>
        <v/>
      </c>
      <c r="AR61" s="12" t="str">
        <f>IF(ISNUMBER(AQ61)=TRUE,IF(_xlfn.RANK.EQ(AQ61,$AQ$2:$AQ$111)&lt;='Tournament Setup'!$D$33,_xlfn.RANK.EQ(AQ61,$AQ$2:$AQ$111),""),"")</f>
        <v/>
      </c>
      <c r="AS61" s="30" t="str">
        <f>IF(AND($G61='Tournament Setup'!$A$51,$J61&lt;&gt;0),$J61,"")</f>
        <v/>
      </c>
      <c r="AT61" s="47" t="str">
        <f>IF(ISNUMBER(AS61),IF(COUNTIFS(AT$1:AT60,_xlfn.RANK.EQ(AS61,AS$2:AS$111,0))&gt;0,_xlfn.MAXIFS(AT$1:AT60,AS$1:AS60,AS61)+1,_xlfn.RANK.EQ(AS61,AS$2:AS$111,0)),"")</f>
        <v/>
      </c>
      <c r="AU61" s="1" t="str">
        <f>IF(ISNUMBER(AS61)=TRUE,IF(_xlfn.RANK.EQ(AS61,$AS$2:$AS$111)&lt;='Tournament Setup'!$B$49,_xlfn.RANK.EQ(AS61,$AS$2:$AS$111),""),"")</f>
        <v/>
      </c>
      <c r="AV61" s="30" t="str">
        <f>IF(AND($F61='Tournament Setup'!$A$34,SUM($Q61,$S61,$U61)=0),$I61,"")</f>
        <v/>
      </c>
      <c r="AW61" s="47" t="str">
        <f>IF(ISNUMBER(AV61),IF(COUNTIFS(AW$1:AW60,_xlfn.RANK.EQ(AV61,AV$2:AV$111,0))&gt;0,_xlfn.MAXIFS(AW$1:AW60,AV$1:AV60,AV61)+1,_xlfn.RANK.EQ(AV61,AV$2:AV$111,0)),"")</f>
        <v/>
      </c>
      <c r="AX61" s="1" t="str">
        <f>IF(ISNUMBER(AV61)=TRUE,IF(_xlfn.RANK.EQ(AV61,$AV$2:$AV$111)&lt;='Tournament Setup'!$B$34,_xlfn.RANK.EQ(AV61,$AV$2:$AV$111),""),"")</f>
        <v/>
      </c>
      <c r="AY61" s="31" t="str">
        <f>IF(AND($F61='Tournament Setup'!$A$34,SUM($Q61,$S61)=0,$E61="M",$AX61&gt;'Tournament Setup'!$B$34),$I61,"")</f>
        <v/>
      </c>
      <c r="AZ61" s="1" t="str">
        <f>IF(ISNUMBER(AY61)=TRUE,IF(_xlfn.RANK.EQ(AY61,$AY$2:$AY$111)&lt;='Tournament Setup'!$C$34,_xlfn.RANK.EQ(AY61,$AY$2:$AY$111),""),"")</f>
        <v/>
      </c>
      <c r="BA61" s="31" t="str">
        <f>IF(AND($F61='Tournament Setup'!$A$34,SUM($Q61,$U61)=0,$E61="F",$AX61&gt;'Tournament Setup'!$B$34),$I61,"")</f>
        <v/>
      </c>
      <c r="BB61" s="12" t="str">
        <f>IF(ISNUMBER(BA61)=TRUE,IF(_xlfn.RANK.EQ(BA61,$BA$2:$BA$111)&lt;='Tournament Setup'!$D$34,_xlfn.RANK.EQ(BA61,$BA$2:$BA$111),""),"")</f>
        <v/>
      </c>
      <c r="BC61" s="30" t="str">
        <f>IF(AND($G61='Tournament Setup'!$A$52,$J61&lt;&gt;0),$J61,"")</f>
        <v/>
      </c>
      <c r="BD61" s="47" t="str">
        <f>IF(ISNUMBER(BC61),IF(COUNTIFS(BD$1:BD60,_xlfn.RANK.EQ(BC61,BC$2:BC$111,0))&gt;0,_xlfn.MAXIFS(BD$1:BD60,BC$1:BC60,BC61)+1,_xlfn.RANK.EQ(BC61,BC$2:BC$111,0)),"")</f>
        <v/>
      </c>
      <c r="BE61" s="1" t="str">
        <f>IF(ISNUMBER(BC61)=TRUE,IF(_xlfn.RANK.EQ(BC61,$BC$2:$BC$111)&lt;='Tournament Setup'!$B$49,_xlfn.RANK.EQ(BC61,$BC$2:$BC$111),""),"")</f>
        <v/>
      </c>
      <c r="BF61" s="30" t="str">
        <f>IF(AND($F61='Tournament Setup'!$A$35,SUM($Q61,$S61,$U61)=0),$I61,"")</f>
        <v/>
      </c>
      <c r="BG61" s="47" t="str">
        <f>IF(ISNUMBER(BF61),IF(COUNTIFS(BG$1:BG60,_xlfn.RANK.EQ(BF61,BF$2:BF$111,0))&gt;0,_xlfn.MAXIFS(BG$1:BG60,BF$1:BF60,BF61)+1,_xlfn.RANK.EQ(BF61,BF$2:BF$111,0)),"")</f>
        <v/>
      </c>
      <c r="BH61" s="1" t="str">
        <f>IF(ISNUMBER(BF61)=TRUE,IF(_xlfn.RANK.EQ(BF61,$BF$2:$BF$111)&lt;='Tournament Setup'!$B$35,_xlfn.RANK.EQ(BF61,$BF$2:$BF$111),""),"")</f>
        <v/>
      </c>
      <c r="BI61" s="31" t="str">
        <f>IF(AND($F61='Tournament Setup'!$A$35,SUM($Q61,$S61)=0,$E61="M",$BH61&gt;'Tournament Setup'!$B$35),$I61,"")</f>
        <v/>
      </c>
      <c r="BJ61" s="1" t="str">
        <f>IF(ISNUMBER(BI61)=TRUE,IF(_xlfn.RANK.EQ(BI61,$BI$2:$BI$111)&lt;='Tournament Setup'!$C$35,_xlfn.RANK.EQ(BI61,$BI$2:$BI$111),""),"")</f>
        <v/>
      </c>
      <c r="BK61" s="31" t="str">
        <f>IF(AND($F61='Tournament Setup'!$A$35,SUM($Q61,$U61)=0,$E61="F",$BH61&gt;'Tournament Setup'!$B$35),$I61,"")</f>
        <v/>
      </c>
      <c r="BL61" s="12" t="str">
        <f>IF(ISNUMBER(BK61)=TRUE,IF(_xlfn.RANK.EQ(BK61,$BK$2:$BK$111)&lt;='Tournament Setup'!$D$35,_xlfn.RANK.EQ(BK61,$BK$2:$BK$111),""),"")</f>
        <v/>
      </c>
      <c r="BM61" s="30" t="str">
        <f>IF(AND($G61='Tournament Setup'!$A$54,$J61&lt;&gt;0),$J61,"")</f>
        <v/>
      </c>
      <c r="BN61" s="47" t="str">
        <f>IF(ISNUMBER(BM61),IF(COUNTIFS(BN$1:BN60,_xlfn.RANK.EQ(BM61,BM$2:BM$111,0))&gt;0,_xlfn.MAXIFS(BN$1:BN60,BM$1:BM60,BM61)+1,_xlfn.RANK.EQ(BM61,BM$2:BM$111,0)),"")</f>
        <v/>
      </c>
      <c r="BO61" s="1" t="str">
        <f>IF(ISNUMBER(BM61)=TRUE,IF(_xlfn.RANK.EQ(BM61,$BM$2:$BM$111)&lt;='Tournament Setup'!$B$49,_xlfn.RANK.EQ(BM61,$BM$2:$BM$111),""),"")</f>
        <v/>
      </c>
      <c r="BP61" s="30" t="str">
        <f>IF(AND($F61='Tournament Setup'!$A$36,SUM($Q61,$S61,$U61)=0),$I61,"")</f>
        <v/>
      </c>
      <c r="BQ61" s="47" t="str">
        <f>IF(ISNUMBER(BP61),IF(COUNTIFS(BQ$1:BQ60,_xlfn.RANK.EQ(BP61,BP$2:BP$111,0))&gt;0,_xlfn.MAXIFS(BQ$1:BQ60,BP$1:BP60,BP61)+1,_xlfn.RANK.EQ(BP61,BP$2:BP$111,0)),"")</f>
        <v/>
      </c>
      <c r="BR61" s="1" t="str">
        <f>IF(ISNUMBER(BP61)=TRUE,IF(_xlfn.RANK.EQ(BP61,$BP$2:$BP$111)&lt;='Tournament Setup'!$B$36,_xlfn.RANK.EQ(BP61,$BP$2:$BP$111),""),"")</f>
        <v/>
      </c>
      <c r="BS61" s="31" t="str">
        <f>IF(AND($F61='Tournament Setup'!$A$36,SUM($Q61,$S61)=0,$E61="M",$BR61&gt;'Tournament Setup'!$B$36),$I61,"")</f>
        <v/>
      </c>
      <c r="BT61" s="1" t="str">
        <f>IF(ISNUMBER(BS61)=TRUE,IF(_xlfn.RANK.EQ(BS61,$BS$2:$BS$111)&lt;='Tournament Setup'!$C$36,_xlfn.RANK.EQ(BS61,$BS$2:$BS$111),""),"")</f>
        <v/>
      </c>
      <c r="BU61" s="31" t="str">
        <f>IF(AND($F61='Tournament Setup'!$A$36,SUM($Q61,$U61)=0,$E61="F",$BR61&gt;'Tournament Setup'!$B$36),$I61,"")</f>
        <v/>
      </c>
      <c r="BV61" s="12" t="str">
        <f>IF(ISNUMBER(BU61)=TRUE,IF(_xlfn.RANK.EQ(BU61,$BU$2:$BU$111)&lt;='Tournament Setup'!$D$36,_xlfn.RANK.EQ(BU61,$BU$2:$BU$111),""),"")</f>
        <v/>
      </c>
      <c r="BW61" s="30" t="str">
        <f>IF($H61='Tournament Setup'!$A$41,$I61,"")</f>
        <v/>
      </c>
      <c r="BX61" s="47" t="str">
        <f>IF(ISNUMBER(BW61),IF(COUNTIFS(BX$1:BX60,_xlfn.RANK.EQ(BW61,BW$2:BW$111,0))&gt;0,_xlfn.MAXIFS(BX$1:BX60,BW$1:BW60,BW61)+1,_xlfn.RANK.EQ(BW61,BW$2:BW$111,0)),"")</f>
        <v/>
      </c>
      <c r="BY61" s="1" t="str">
        <f>IF(ISNUMBER(BW61)=TRUE,IF(_xlfn.RANK.EQ(BW61,$BW$2:$BW$111)&lt;='Tournament Setup'!$B$41,_xlfn.RANK.EQ(BW61,$BW$2:$BW$111),""),"")</f>
        <v/>
      </c>
      <c r="BZ61" s="31" t="str">
        <f>IF(AND($H61='Tournament Setup'!$A$41,$E61="M",$BY61&gt;'Tournament Setup'!$B$41),$I61,"")</f>
        <v/>
      </c>
      <c r="CA61" s="1" t="str">
        <f>IF(ISNUMBER(BZ61)=TRUE,IF(_xlfn.RANK.EQ(BZ61,$BZ$2:$BZ$111)&lt;='Tournament Setup'!$C$41,_xlfn.RANK.EQ(BZ61,$BZ$2:$BZ$111),""),"")</f>
        <v/>
      </c>
      <c r="CB61" s="31" t="str">
        <f>IF(AND($H61='Tournament Setup'!$A$41,$E61="F",$BY61&gt;'Tournament Setup'!$B$41),$I61,"")</f>
        <v/>
      </c>
      <c r="CC61" s="12" t="str">
        <f>IF(ISNUMBER(CB61)=TRUE,IF(_xlfn.RANK.EQ(CB61,$CB$2:$CB$111)&lt;='Tournament Setup'!$D$41,_xlfn.RANK.EQ(CB61,$CB$2:$CB$111),""),"")</f>
        <v/>
      </c>
      <c r="CD61" s="30" t="str">
        <f>IF($H61='Tournament Setup'!$A$42,$I61,"")</f>
        <v/>
      </c>
      <c r="CE61" s="47" t="str">
        <f>IF(ISNUMBER(CD61),IF(COUNTIFS(CE$1:CE60,_xlfn.RANK.EQ(CD61,CD$2:CD$111,0))&gt;0,_xlfn.MAXIFS(CE$1:CE60,CD$1:CD60,CD61)+1,_xlfn.RANK.EQ(CD61,CD$2:CD$111,0)),"")</f>
        <v/>
      </c>
      <c r="CF61" s="1" t="str">
        <f>IF(ISNUMBER(CD61)=TRUE,IF(_xlfn.RANK.EQ(CD61,$CD$2:$CD$111)&lt;='Tournament Setup'!$B$42,_xlfn.RANK.EQ(CD61,$CD$2:$CD$111),""),"")</f>
        <v/>
      </c>
      <c r="CG61" s="31" t="str">
        <f>IF(AND($H61='Tournament Setup'!$A$42,$E61="M",$CF61&gt;'Tournament Setup'!$B$42),$I61,"")</f>
        <v/>
      </c>
      <c r="CH61" s="1" t="str">
        <f>IF(ISNUMBER(CG61)=TRUE,IF(_xlfn.RANK.EQ(CG61,$CG$2:$CG$111)&lt;='Tournament Setup'!$C$42,_xlfn.RANK.EQ(CG61,$CG$2:$CG$111),""),"")</f>
        <v/>
      </c>
      <c r="CI61" s="31" t="str">
        <f>IF(AND($H61='Tournament Setup'!$A$42,$E61="F",$CF61&gt;'Tournament Setup'!$B$42),$I61,"")</f>
        <v/>
      </c>
      <c r="CJ61" s="12" t="str">
        <f>IF(ISNUMBER(CI61)=TRUE,IF(_xlfn.RANK.EQ(CI61,$CI$2:$CI$111)&lt;='Tournament Setup'!$D$42,_xlfn.RANK.EQ(CI61,$CI$2:$CI$111),""),"")</f>
        <v/>
      </c>
      <c r="CK61" s="30" t="str">
        <f>IF($H61='Tournament Setup'!$A$43,$I61,"")</f>
        <v/>
      </c>
      <c r="CL61" s="47" t="str">
        <f>IF(ISNUMBER(CK61),IF(COUNTIFS(CL$1:CL60,_xlfn.RANK.EQ(CK61,CK$2:CK$111,0))&gt;0,_xlfn.MAXIFS(CL$1:CL60,CK$1:CK60,CK61)+1,_xlfn.RANK.EQ(CK61,CK$2:CK$111,0)),"")</f>
        <v/>
      </c>
      <c r="CM61" s="1" t="str">
        <f>IF(ISNUMBER(CK61)=TRUE,IF(_xlfn.RANK.EQ(CK61,$CK$2:$CK$111)&lt;='Tournament Setup'!$B$43,_xlfn.RANK.EQ(CK61,$CK$2:$CK$111),""),"")</f>
        <v/>
      </c>
      <c r="CN61" s="31" t="str">
        <f>IF(AND($H61='Tournament Setup'!$A$43,$E61="M",$CM61&gt;'Tournament Setup'!$B$43),$I61,"")</f>
        <v/>
      </c>
      <c r="CO61" s="1" t="str">
        <f>IF(ISNUMBER(CN61)=TRUE,IF(_xlfn.RANK.EQ(CN61,$CN$2:$CN$111)&lt;='Tournament Setup'!$C$43,_xlfn.RANK.EQ(CN61,$CN$2:$CN$111),""),"")</f>
        <v/>
      </c>
      <c r="CP61" s="31" t="str">
        <f>IF(AND($H61='Tournament Setup'!$A$43,$E61="F",$CM61&gt;'Tournament Setup'!$B$43),$I61,"")</f>
        <v/>
      </c>
      <c r="CQ61" s="12" t="str">
        <f>IF(ISNUMBER(CP61)=TRUE,IF(_xlfn.RANK.EQ(CP61,$CP$2:$CP$111)&lt;='Tournament Setup'!$D$43,_xlfn.RANK.EQ(CP61,$CP$2:$CP$111),""),"")</f>
        <v/>
      </c>
      <c r="CR61" s="30" t="str">
        <f>IF($H61='Tournament Setup'!$A$44,$I61,"")</f>
        <v/>
      </c>
      <c r="CS61" s="47" t="str">
        <f>IF(ISNUMBER(CR61),IF(COUNTIFS(CS$1:CS60,_xlfn.RANK.EQ(CR61,CR$2:CR$111,0))&gt;0,_xlfn.MAXIFS(CS$1:CS60,CR$1:CR60,CR61)+1,_xlfn.RANK.EQ(CR61,CR$2:CR$111,0)),"")</f>
        <v/>
      </c>
      <c r="CT61" s="1" t="str">
        <f>IF(ISNUMBER(CR61)=TRUE,IF(_xlfn.RANK.EQ(CR61,$CR$2:$CR$111)&lt;='Tournament Setup'!$B$44,_xlfn.RANK.EQ(CR61,$CR$2:$CR$111),""),"")</f>
        <v/>
      </c>
      <c r="CU61" s="31" t="str">
        <f>IF(AND($H61='Tournament Setup'!$A$44,$E61="M",$CT61&gt;'Tournament Setup'!$B$44),$I61,"")</f>
        <v/>
      </c>
      <c r="CV61" s="1" t="str">
        <f>IF(ISNUMBER(CU61)=TRUE,IF(_xlfn.RANK.EQ(CU61,$CU$2:$CU$111)&lt;='Tournament Setup'!$C$44,_xlfn.RANK.EQ(CU61,$CU$2:$CU$111),""),"")</f>
        <v/>
      </c>
      <c r="CW61" s="31" t="str">
        <f>IF(AND($H61='Tournament Setup'!$A$44,$E61="F",$CT61&gt;'Tournament Setup'!$B$44),$I61,"")</f>
        <v/>
      </c>
      <c r="CX61" s="12" t="str">
        <f>IF(ISNUMBER(CW61)=TRUE,IF(_xlfn.RANK.EQ(CW61,$CW$2:$CW$111)&lt;='Tournament Setup'!$D$44,_xlfn.RANK.EQ(CW61,$CW$2:$CW$111),""),"")</f>
        <v/>
      </c>
    </row>
    <row r="62" spans="1:102" x14ac:dyDescent="0.3">
      <c r="B62" t="str">
        <f>IFERROR(INDEX('Tournament List'!$B:$B,MATCH($A62,'Tournament List'!$A:$A,0)),"")</f>
        <v/>
      </c>
      <c r="C62" t="str">
        <f>IFERROR(INDEX('Tournament List'!$C:$C,MATCH($A62,'Tournament List'!$A:$A,0)),"")</f>
        <v/>
      </c>
      <c r="D62" t="str">
        <f t="shared" si="1"/>
        <v xml:space="preserve"> </v>
      </c>
      <c r="E62" s="1" t="str">
        <f>IFERROR(INDEX('Tournament List'!F:F,MATCH($A62,'Tournament List'!$A:$A,0)),"")</f>
        <v/>
      </c>
      <c r="F62" t="str">
        <f>IFERROR(INDEX('Tournament List'!M:M,MATCH($A62,'Tournament List'!$A:$A,0)),"")</f>
        <v/>
      </c>
      <c r="G62" t="str">
        <f>IFERROR(INDEX('Shooter-Squad Assignment'!L:L,MATCH(A62,'Shooter-Squad Assignment'!A:A,0)),"")</f>
        <v/>
      </c>
      <c r="H62" s="1" t="str">
        <f>IFERROR(INDEX('Tournament List'!AD:AD,MATCH($A62,'Tournament List'!$A:$A,0)),"")</f>
        <v/>
      </c>
      <c r="I62" s="123" t="str">
        <f>IFERROR(INDEX('Tournament List'!AG:AG,MATCH($A62,'Tournament List'!$A:$A,0)),"")</f>
        <v/>
      </c>
      <c r="J62" s="145" t="str">
        <f>IFERROR(INDEX('Tournament List'!Y:Y,MATCH($A62,'Tournament List'!$A:$A,0)),"")</f>
        <v/>
      </c>
      <c r="K62" s="47" t="str">
        <f>IFERROR(INDEX('Tournament List'!S:S,MATCH(A62,'Tournament List'!A:A,0)),"")</f>
        <v/>
      </c>
      <c r="L62" s="47" t="str">
        <f>IF(ISNUMBER(J62),IF(COUNTIFS(L$1:L61,_xlfn.RANK.EQ(J62,J$2:J$111,0))&gt;0,_xlfn.MAXIFS(L$1:L61,J$1:J61,J62)+1,_xlfn.RANK.EQ(J62,J$2:J$111,0)),"")</f>
        <v/>
      </c>
      <c r="M62" s="11" t="str">
        <f>IF(ISNUMBER(I62)=TRUE,IF(I62&gt;0,_xlfn.RANK.EQ(I62,$I$2:$I$111,0),""),"")</f>
        <v/>
      </c>
      <c r="N62" s="56" t="str">
        <f>IF(ISNUMBER(I62),IF(COUNTIFS(N$1:N61,_xlfn.RANK.EQ(I62,I$2:I$111,0))&gt;0,_xlfn.MAXIFS(N$1:N61,I$1:I61,I62)+1,_xlfn.RANK.EQ(I62,I$2:I$111,0)),"")</f>
        <v/>
      </c>
      <c r="O62" s="144" t="str">
        <f>IF(F62&lt;&gt;"Collegiate"=TRUE,$I62,"")</f>
        <v/>
      </c>
      <c r="P62" s="47" t="str">
        <f>IF(ISNUMBER(O62),IF(COUNTIFS(P$1:P61,_xlfn.RANK.EQ(O62,O$2:O$111,0))&gt;0,_xlfn.MAXIFS(P$1:P61,O$1:O61,O62)+1,_xlfn.RANK.EQ(O62,O$2:O$111,0)),"")</f>
        <v/>
      </c>
      <c r="Q62" s="1" t="str">
        <f>IF(ISNUMBER(O62)=TRUE,IF(_xlfn.RANK.EQ(O62,$O$2:$O$111)&lt;='Tournament Setup'!$B$26,_xlfn.RANK.EQ(O62,$O$2:$O$111),""),"")</f>
        <v/>
      </c>
      <c r="R62" s="143" t="str">
        <f>IF(AND($E62="M",SUM($Q62)=0,F62&lt;&gt;"Collegiate")=TRUE,$I62,"")</f>
        <v/>
      </c>
      <c r="S62" s="1" t="str">
        <f>IF(ISNUMBER(R62)=TRUE,IF(_xlfn.RANK.EQ(R62,$R$2:$R$111)&lt;='Tournament Setup'!$B$27,_xlfn.RANK.EQ(R62,$R$2:$R$111),""),"")</f>
        <v/>
      </c>
      <c r="T62" s="143" t="str">
        <f>IF(AND($E62="F",SUM($Q62)=0,F62&lt;&gt;"Collegiate")=TRUE,$I62,"")</f>
        <v/>
      </c>
      <c r="U62" s="12" t="str">
        <f>IF(ISNUMBER(T62)=TRUE,IF(_xlfn.RANK.EQ(T62,$T$2:$T$111)&lt;='Tournament Setup'!$B$28,_xlfn.RANK.EQ(T62,$T$2:$T$111),""),"")</f>
        <v/>
      </c>
      <c r="V62" s="145" t="str">
        <f>IF(AND($G62='Tournament Setup'!$A$53,$J62&lt;&gt;0),$J62,"")</f>
        <v/>
      </c>
      <c r="W62" s="47" t="str">
        <f>IF(ISNUMBER(V62),IF(COUNTIFS(W$1:W61,_xlfn.RANK.EQ(V62,V$2:V$111,0))&gt;0,_xlfn.MAXIFS(W$1:W61,V$1:V61,V62)+1,_xlfn.RANK.EQ(V62,V$2:V$111,0)),"")</f>
        <v/>
      </c>
      <c r="X62" s="1" t="str">
        <f>IF(ISNUMBER(V62)=TRUE,IF(_xlfn.RANK.EQ(V62,$V$2:$V$111)&lt;='Tournament Setup'!$B$53,_xlfn.RANK.EQ(V62,$V$2:$V$111),""),"")</f>
        <v/>
      </c>
      <c r="Y62" s="145" t="str">
        <f>IF(AND($G62='Tournament Setup'!$A$49,$J62&lt;&gt;0),$J62,"")</f>
        <v/>
      </c>
      <c r="Z62" s="47" t="str">
        <f>IF(ISNUMBER(Y62),IF(COUNTIFS(Z$1:Z61,_xlfn.RANK.EQ(Y62,Y$2:Y$111,0))&gt;0,_xlfn.MAXIFS(Z$1:Z61,Y$1:Y61,Y62)+1,_xlfn.RANK.EQ(Y62,Y$2:Y$111,0)),"")</f>
        <v/>
      </c>
      <c r="AA62" s="1" t="str">
        <f>IF(ISNUMBER(Y62)=TRUE,IF(_xlfn.RANK.EQ(Y62,$Y$2:$Y$111)&lt;='Tournament Setup'!$B$49,_xlfn.RANK.EQ(Y62,$Y$2:$Y$111),""),"")</f>
        <v/>
      </c>
      <c r="AB62" s="30" t="str">
        <f>IF(AND($F62='Tournament Setup'!$A$32,SUM($Q62,$S62,$U62)=0),$I62,"")</f>
        <v/>
      </c>
      <c r="AC62" s="47" t="str">
        <f>IF(ISNUMBER(AB62),IF(COUNTIFS(AC$1:AC61,_xlfn.RANK.EQ(AB62,AB$2:AB$111,0))&gt;0,_xlfn.MAXIFS(AC$1:AC61,AB$1:AB61,AB62)+1,_xlfn.RANK.EQ(AB62,AB$2:AB$111,0)),"")</f>
        <v/>
      </c>
      <c r="AD62" s="1" t="str">
        <f>IF(ISNUMBER(AB62)=TRUE,IF(_xlfn.RANK.EQ(AB62,$AB$2:$AB$111)&lt;='Tournament Setup'!$B$32,_xlfn.RANK.EQ(AB62,$AB$2:$AB$111),""),"")</f>
        <v/>
      </c>
      <c r="AE62" s="31" t="str">
        <f>IF(AND($F62='Tournament Setup'!$A$32,SUM($Q62,$S62)=0,$E62="M",$AD62&gt;'Tournament Setup'!$B$32),$I62,"")</f>
        <v/>
      </c>
      <c r="AF62" s="1" t="str">
        <f>IF(ISNUMBER(AE62)=TRUE,IF(_xlfn.RANK.EQ(AE62,$AE$2:$AE$111)&lt;='Tournament Setup'!$C$32,_xlfn.RANK.EQ(AE62,$AE$2:$AE$111),""),"")</f>
        <v/>
      </c>
      <c r="AG62" s="31" t="str">
        <f>IF(AND($F62='Tournament Setup'!$A$32,SUM($Q62,$U62)=0,$E62="F",$AD62&gt;'Tournament Setup'!$B$32),$I62,"")</f>
        <v/>
      </c>
      <c r="AH62" s="12" t="str">
        <f>IF(ISNUMBER(AG62)=TRUE,IF(_xlfn.RANK.EQ(AG62,$AG$2:$AG$111)&lt;='Tournament Setup'!$D$32,_xlfn.RANK.EQ(AG62,$AG$2:$AG$111),""),"")</f>
        <v/>
      </c>
      <c r="AI62" s="30" t="str">
        <f>IF(AND($G62='Tournament Setup'!$A$50,$J62&lt;&gt;0),$J62,"")</f>
        <v/>
      </c>
      <c r="AJ62" s="47" t="str">
        <f>IF(ISNUMBER(AI62),IF(COUNTIFS(AJ$1:AJ61,_xlfn.RANK.EQ(AI62,AI$2:AI$111,0))&gt;0,_xlfn.MAXIFS(AJ$1:AJ61,AI$1:AI61,AI62)+1,_xlfn.RANK.EQ(AI62,AI$2:AI$111,0)),"")</f>
        <v/>
      </c>
      <c r="AK62" s="1" t="str">
        <f>IF(ISNUMBER(AI62)=TRUE,IF(_xlfn.RANK.EQ(AI62,$AI$2:$AI$111)&lt;='Tournament Setup'!$B$49,_xlfn.RANK.EQ(AI62,$AI$2:$AI$111),""),"")</f>
        <v/>
      </c>
      <c r="AL62" s="30" t="str">
        <f>IF(AND($F62='Tournament Setup'!$A$33,SUM($Q62,$S62,$U62)=0),$I62,"")</f>
        <v/>
      </c>
      <c r="AM62" s="47" t="str">
        <f>IF(ISNUMBER(AL62),IF(COUNTIFS(AM$1:AM61,_xlfn.RANK.EQ(AL62,AL$2:AL$111,0))&gt;0,_xlfn.MAXIFS(AM$1:AM61,AL$1:AL61,AL62)+1,_xlfn.RANK.EQ(AL62,AL$2:AL$111,0)),"")</f>
        <v/>
      </c>
      <c r="AN62" s="1" t="str">
        <f>IF(ISNUMBER(AL62)=TRUE,IF(_xlfn.RANK.EQ(AL62,$AL$2:$AL$111)&lt;='Tournament Setup'!$B$33,_xlfn.RANK.EQ(AL62,$AL$2:$AL$111),""),"")</f>
        <v/>
      </c>
      <c r="AO62" s="31" t="str">
        <f>IF(AND($F62='Tournament Setup'!$A$33,SUM($Q62,$S62)=0,$E62="M",$AN62&gt;'Tournament Setup'!$B$33),$I62,"")</f>
        <v/>
      </c>
      <c r="AP62" s="1" t="str">
        <f>IF(ISNUMBER(AO62)=TRUE,IF(_xlfn.RANK.EQ(AO62,$AO$2:$AO$111)&lt;='Tournament Setup'!$C$33,_xlfn.RANK.EQ(AO62,$AO$2:$AO$111),""),"")</f>
        <v/>
      </c>
      <c r="AQ62" s="31" t="str">
        <f>IF(AND($F62='Tournament Setup'!$A$33,SUM($Q62,$U62)=0,$E62="F",$AN62&gt;'Tournament Setup'!$B$33),$I62,"")</f>
        <v/>
      </c>
      <c r="AR62" s="12" t="str">
        <f>IF(ISNUMBER(AQ62)=TRUE,IF(_xlfn.RANK.EQ(AQ62,$AQ$2:$AQ$111)&lt;='Tournament Setup'!$D$33,_xlfn.RANK.EQ(AQ62,$AQ$2:$AQ$111),""),"")</f>
        <v/>
      </c>
      <c r="AS62" s="30" t="str">
        <f>IF(AND($G62='Tournament Setup'!$A$51,$J62&lt;&gt;0),$J62,"")</f>
        <v/>
      </c>
      <c r="AT62" s="47" t="str">
        <f>IF(ISNUMBER(AS62),IF(COUNTIFS(AT$1:AT61,_xlfn.RANK.EQ(AS62,AS$2:AS$111,0))&gt;0,_xlfn.MAXIFS(AT$1:AT61,AS$1:AS61,AS62)+1,_xlfn.RANK.EQ(AS62,AS$2:AS$111,0)),"")</f>
        <v/>
      </c>
      <c r="AU62" s="1" t="str">
        <f>IF(ISNUMBER(AS62)=TRUE,IF(_xlfn.RANK.EQ(AS62,$AS$2:$AS$111)&lt;='Tournament Setup'!$B$49,_xlfn.RANK.EQ(AS62,$AS$2:$AS$111),""),"")</f>
        <v/>
      </c>
      <c r="AV62" s="30" t="str">
        <f>IF(AND($F62='Tournament Setup'!$A$34,SUM($Q62,$S62,$U62)=0),$I62,"")</f>
        <v/>
      </c>
      <c r="AW62" s="47" t="str">
        <f>IF(ISNUMBER(AV62),IF(COUNTIFS(AW$1:AW61,_xlfn.RANK.EQ(AV62,AV$2:AV$111,0))&gt;0,_xlfn.MAXIFS(AW$1:AW61,AV$1:AV61,AV62)+1,_xlfn.RANK.EQ(AV62,AV$2:AV$111,0)),"")</f>
        <v/>
      </c>
      <c r="AX62" s="1" t="str">
        <f>IF(ISNUMBER(AV62)=TRUE,IF(_xlfn.RANK.EQ(AV62,$AV$2:$AV$111)&lt;='Tournament Setup'!$B$34,_xlfn.RANK.EQ(AV62,$AV$2:$AV$111),""),"")</f>
        <v/>
      </c>
      <c r="AY62" s="31" t="str">
        <f>IF(AND($F62='Tournament Setup'!$A$34,SUM($Q62,$S62)=0,$E62="M",$AX62&gt;'Tournament Setup'!$B$34),$I62,"")</f>
        <v/>
      </c>
      <c r="AZ62" s="1" t="str">
        <f>IF(ISNUMBER(AY62)=TRUE,IF(_xlfn.RANK.EQ(AY62,$AY$2:$AY$111)&lt;='Tournament Setup'!$C$34,_xlfn.RANK.EQ(AY62,$AY$2:$AY$111),""),"")</f>
        <v/>
      </c>
      <c r="BA62" s="31" t="str">
        <f>IF(AND($F62='Tournament Setup'!$A$34,SUM($Q62,$U62)=0,$E62="F",$AX62&gt;'Tournament Setup'!$B$34),$I62,"")</f>
        <v/>
      </c>
      <c r="BB62" s="12" t="str">
        <f>IF(ISNUMBER(BA62)=TRUE,IF(_xlfn.RANK.EQ(BA62,$BA$2:$BA$111)&lt;='Tournament Setup'!$D$34,_xlfn.RANK.EQ(BA62,$BA$2:$BA$111),""),"")</f>
        <v/>
      </c>
      <c r="BC62" s="30" t="str">
        <f>IF(AND($G62='Tournament Setup'!$A$52,$J62&lt;&gt;0),$J62,"")</f>
        <v/>
      </c>
      <c r="BD62" s="47" t="str">
        <f>IF(ISNUMBER(BC62),IF(COUNTIFS(BD$1:BD61,_xlfn.RANK.EQ(BC62,BC$2:BC$111,0))&gt;0,_xlfn.MAXIFS(BD$1:BD61,BC$1:BC61,BC62)+1,_xlfn.RANK.EQ(BC62,BC$2:BC$111,0)),"")</f>
        <v/>
      </c>
      <c r="BE62" s="1" t="str">
        <f>IF(ISNUMBER(BC62)=TRUE,IF(_xlfn.RANK.EQ(BC62,$BC$2:$BC$111)&lt;='Tournament Setup'!$B$49,_xlfn.RANK.EQ(BC62,$BC$2:$BC$111),""),"")</f>
        <v/>
      </c>
      <c r="BF62" s="30" t="str">
        <f>IF(AND($F62='Tournament Setup'!$A$35,SUM($Q62,$S62,$U62)=0),$I62,"")</f>
        <v/>
      </c>
      <c r="BG62" s="47" t="str">
        <f>IF(ISNUMBER(BF62),IF(COUNTIFS(BG$1:BG61,_xlfn.RANK.EQ(BF62,BF$2:BF$111,0))&gt;0,_xlfn.MAXIFS(BG$1:BG61,BF$1:BF61,BF62)+1,_xlfn.RANK.EQ(BF62,BF$2:BF$111,0)),"")</f>
        <v/>
      </c>
      <c r="BH62" s="1" t="str">
        <f>IF(ISNUMBER(BF62)=TRUE,IF(_xlfn.RANK.EQ(BF62,$BF$2:$BF$111)&lt;='Tournament Setup'!$B$35,_xlfn.RANK.EQ(BF62,$BF$2:$BF$111),""),"")</f>
        <v/>
      </c>
      <c r="BI62" s="31" t="str">
        <f>IF(AND($F62='Tournament Setup'!$A$35,SUM($Q62,$S62)=0,$E62="M",$BH62&gt;'Tournament Setup'!$B$35),$I62,"")</f>
        <v/>
      </c>
      <c r="BJ62" s="1" t="str">
        <f>IF(ISNUMBER(BI62)=TRUE,IF(_xlfn.RANK.EQ(BI62,$BI$2:$BI$111)&lt;='Tournament Setup'!$C$35,_xlfn.RANK.EQ(BI62,$BI$2:$BI$111),""),"")</f>
        <v/>
      </c>
      <c r="BK62" s="31" t="str">
        <f>IF(AND($F62='Tournament Setup'!$A$35,SUM($Q62,$U62)=0,$E62="F",$BH62&gt;'Tournament Setup'!$B$35),$I62,"")</f>
        <v/>
      </c>
      <c r="BL62" s="12" t="str">
        <f>IF(ISNUMBER(BK62)=TRUE,IF(_xlfn.RANK.EQ(BK62,$BK$2:$BK$111)&lt;='Tournament Setup'!$D$35,_xlfn.RANK.EQ(BK62,$BK$2:$BK$111),""),"")</f>
        <v/>
      </c>
      <c r="BM62" s="30" t="str">
        <f>IF(AND($G62='Tournament Setup'!$A$54,$J62&lt;&gt;0),$J62,"")</f>
        <v/>
      </c>
      <c r="BN62" s="47" t="str">
        <f>IF(ISNUMBER(BM62),IF(COUNTIFS(BN$1:BN61,_xlfn.RANK.EQ(BM62,BM$2:BM$111,0))&gt;0,_xlfn.MAXIFS(BN$1:BN61,BM$1:BM61,BM62)+1,_xlfn.RANK.EQ(BM62,BM$2:BM$111,0)),"")</f>
        <v/>
      </c>
      <c r="BO62" s="1" t="str">
        <f>IF(ISNUMBER(BM62)=TRUE,IF(_xlfn.RANK.EQ(BM62,$BM$2:$BM$111)&lt;='Tournament Setup'!$B$49,_xlfn.RANK.EQ(BM62,$BM$2:$BM$111),""),"")</f>
        <v/>
      </c>
      <c r="BP62" s="30" t="str">
        <f>IF(AND($F62='Tournament Setup'!$A$36,SUM($Q62,$S62,$U62)=0),$I62,"")</f>
        <v/>
      </c>
      <c r="BQ62" s="47" t="str">
        <f>IF(ISNUMBER(BP62),IF(COUNTIFS(BQ$1:BQ61,_xlfn.RANK.EQ(BP62,BP$2:BP$111,0))&gt;0,_xlfn.MAXIFS(BQ$1:BQ61,BP$1:BP61,BP62)+1,_xlfn.RANK.EQ(BP62,BP$2:BP$111,0)),"")</f>
        <v/>
      </c>
      <c r="BR62" s="1" t="str">
        <f>IF(ISNUMBER(BP62)=TRUE,IF(_xlfn.RANK.EQ(BP62,$BP$2:$BP$111)&lt;='Tournament Setup'!$B$36,_xlfn.RANK.EQ(BP62,$BP$2:$BP$111),""),"")</f>
        <v/>
      </c>
      <c r="BS62" s="31" t="str">
        <f>IF(AND($F62='Tournament Setup'!$A$36,SUM($Q62,$S62)=0,$E62="M",$BR62&gt;'Tournament Setup'!$B$36),$I62,"")</f>
        <v/>
      </c>
      <c r="BT62" s="1" t="str">
        <f>IF(ISNUMBER(BS62)=TRUE,IF(_xlfn.RANK.EQ(BS62,$BS$2:$BS$111)&lt;='Tournament Setup'!$C$36,_xlfn.RANK.EQ(BS62,$BS$2:$BS$111),""),"")</f>
        <v/>
      </c>
      <c r="BU62" s="31" t="str">
        <f>IF(AND($F62='Tournament Setup'!$A$36,SUM($Q62,$U62)=0,$E62="F",$BR62&gt;'Tournament Setup'!$B$36),$I62,"")</f>
        <v/>
      </c>
      <c r="BV62" s="12" t="str">
        <f>IF(ISNUMBER(BU62)=TRUE,IF(_xlfn.RANK.EQ(BU62,$BU$2:$BU$111)&lt;='Tournament Setup'!$D$36,_xlfn.RANK.EQ(BU62,$BU$2:$BU$111),""),"")</f>
        <v/>
      </c>
      <c r="BW62" s="30" t="str">
        <f>IF($H62='Tournament Setup'!$A$41,$I62,"")</f>
        <v/>
      </c>
      <c r="BX62" s="47" t="str">
        <f>IF(ISNUMBER(BW62),IF(COUNTIFS(BX$1:BX61,_xlfn.RANK.EQ(BW62,BW$2:BW$111,0))&gt;0,_xlfn.MAXIFS(BX$1:BX61,BW$1:BW61,BW62)+1,_xlfn.RANK.EQ(BW62,BW$2:BW$111,0)),"")</f>
        <v/>
      </c>
      <c r="BY62" s="1" t="str">
        <f>IF(ISNUMBER(BW62)=TRUE,IF(_xlfn.RANK.EQ(BW62,$BW$2:$BW$111)&lt;='Tournament Setup'!$B$41,_xlfn.RANK.EQ(BW62,$BW$2:$BW$111),""),"")</f>
        <v/>
      </c>
      <c r="BZ62" s="31" t="str">
        <f>IF(AND($H62='Tournament Setup'!$A$41,$E62="M",$BY62&gt;'Tournament Setup'!$B$41),$I62,"")</f>
        <v/>
      </c>
      <c r="CA62" s="1" t="str">
        <f>IF(ISNUMBER(BZ62)=TRUE,IF(_xlfn.RANK.EQ(BZ62,$BZ$2:$BZ$111)&lt;='Tournament Setup'!$C$41,_xlfn.RANK.EQ(BZ62,$BZ$2:$BZ$111),""),"")</f>
        <v/>
      </c>
      <c r="CB62" s="31" t="str">
        <f>IF(AND($H62='Tournament Setup'!$A$41,$E62="F",$BY62&gt;'Tournament Setup'!$B$41),$I62,"")</f>
        <v/>
      </c>
      <c r="CC62" s="12" t="str">
        <f>IF(ISNUMBER(CB62)=TRUE,IF(_xlfn.RANK.EQ(CB62,$CB$2:$CB$111)&lt;='Tournament Setup'!$D$41,_xlfn.RANK.EQ(CB62,$CB$2:$CB$111),""),"")</f>
        <v/>
      </c>
      <c r="CD62" s="30" t="str">
        <f>IF($H62='Tournament Setup'!$A$42,$I62,"")</f>
        <v/>
      </c>
      <c r="CE62" s="47" t="str">
        <f>IF(ISNUMBER(CD62),IF(COUNTIFS(CE$1:CE61,_xlfn.RANK.EQ(CD62,CD$2:CD$111,0))&gt;0,_xlfn.MAXIFS(CE$1:CE61,CD$1:CD61,CD62)+1,_xlfn.RANK.EQ(CD62,CD$2:CD$111,0)),"")</f>
        <v/>
      </c>
      <c r="CF62" s="1" t="str">
        <f>IF(ISNUMBER(CD62)=TRUE,IF(_xlfn.RANK.EQ(CD62,$CD$2:$CD$111)&lt;='Tournament Setup'!$B$42,_xlfn.RANK.EQ(CD62,$CD$2:$CD$111),""),"")</f>
        <v/>
      </c>
      <c r="CG62" s="31" t="str">
        <f>IF(AND($H62='Tournament Setup'!$A$42,$E62="M",$CF62&gt;'Tournament Setup'!$B$42),$I62,"")</f>
        <v/>
      </c>
      <c r="CH62" s="1" t="str">
        <f>IF(ISNUMBER(CG62)=TRUE,IF(_xlfn.RANK.EQ(CG62,$CG$2:$CG$111)&lt;='Tournament Setup'!$C$42,_xlfn.RANK.EQ(CG62,$CG$2:$CG$111),""),"")</f>
        <v/>
      </c>
      <c r="CI62" s="31" t="str">
        <f>IF(AND($H62='Tournament Setup'!$A$42,$E62="F",$CF62&gt;'Tournament Setup'!$B$42),$I62,"")</f>
        <v/>
      </c>
      <c r="CJ62" s="12" t="str">
        <f>IF(ISNUMBER(CI62)=TRUE,IF(_xlfn.RANK.EQ(CI62,$CI$2:$CI$111)&lt;='Tournament Setup'!$D$42,_xlfn.RANK.EQ(CI62,$CI$2:$CI$111),""),"")</f>
        <v/>
      </c>
      <c r="CK62" s="30" t="str">
        <f>IF($H62='Tournament Setup'!$A$43,$I62,"")</f>
        <v/>
      </c>
      <c r="CL62" s="47" t="str">
        <f>IF(ISNUMBER(CK62),IF(COUNTIFS(CL$1:CL61,_xlfn.RANK.EQ(CK62,CK$2:CK$111,0))&gt;0,_xlfn.MAXIFS(CL$1:CL61,CK$1:CK61,CK62)+1,_xlfn.RANK.EQ(CK62,CK$2:CK$111,0)),"")</f>
        <v/>
      </c>
      <c r="CM62" s="1" t="str">
        <f>IF(ISNUMBER(CK62)=TRUE,IF(_xlfn.RANK.EQ(CK62,$CK$2:$CK$111)&lt;='Tournament Setup'!$B$43,_xlfn.RANK.EQ(CK62,$CK$2:$CK$111),""),"")</f>
        <v/>
      </c>
      <c r="CN62" s="31" t="str">
        <f>IF(AND($H62='Tournament Setup'!$A$43,$E62="M",$CM62&gt;'Tournament Setup'!$B$43),$I62,"")</f>
        <v/>
      </c>
      <c r="CO62" s="1" t="str">
        <f>IF(ISNUMBER(CN62)=TRUE,IF(_xlfn.RANK.EQ(CN62,$CN$2:$CN$111)&lt;='Tournament Setup'!$C$43,_xlfn.RANK.EQ(CN62,$CN$2:$CN$111),""),"")</f>
        <v/>
      </c>
      <c r="CP62" s="31" t="str">
        <f>IF(AND($H62='Tournament Setup'!$A$43,$E62="F",$CM62&gt;'Tournament Setup'!$B$43),$I62,"")</f>
        <v/>
      </c>
      <c r="CQ62" s="12" t="str">
        <f>IF(ISNUMBER(CP62)=TRUE,IF(_xlfn.RANK.EQ(CP62,$CP$2:$CP$111)&lt;='Tournament Setup'!$D$43,_xlfn.RANK.EQ(CP62,$CP$2:$CP$111),""),"")</f>
        <v/>
      </c>
      <c r="CR62" s="30" t="str">
        <f>IF($H62='Tournament Setup'!$A$44,$I62,"")</f>
        <v/>
      </c>
      <c r="CS62" s="47" t="str">
        <f>IF(ISNUMBER(CR62),IF(COUNTIFS(CS$1:CS61,_xlfn.RANK.EQ(CR62,CR$2:CR$111,0))&gt;0,_xlfn.MAXIFS(CS$1:CS61,CR$1:CR61,CR62)+1,_xlfn.RANK.EQ(CR62,CR$2:CR$111,0)),"")</f>
        <v/>
      </c>
      <c r="CT62" s="1" t="str">
        <f>IF(ISNUMBER(CR62)=TRUE,IF(_xlfn.RANK.EQ(CR62,$CR$2:$CR$111)&lt;='Tournament Setup'!$B$44,_xlfn.RANK.EQ(CR62,$CR$2:$CR$111),""),"")</f>
        <v/>
      </c>
      <c r="CU62" s="31" t="str">
        <f>IF(AND($H62='Tournament Setup'!$A$44,$E62="M",$CT62&gt;'Tournament Setup'!$B$44),$I62,"")</f>
        <v/>
      </c>
      <c r="CV62" s="1" t="str">
        <f>IF(ISNUMBER(CU62)=TRUE,IF(_xlfn.RANK.EQ(CU62,$CU$2:$CU$111)&lt;='Tournament Setup'!$C$44,_xlfn.RANK.EQ(CU62,$CU$2:$CU$111),""),"")</f>
        <v/>
      </c>
      <c r="CW62" s="31" t="str">
        <f>IF(AND($H62='Tournament Setup'!$A$44,$E62="F",$CT62&gt;'Tournament Setup'!$B$44),$I62,"")</f>
        <v/>
      </c>
      <c r="CX62" s="12" t="str">
        <f>IF(ISNUMBER(CW62)=TRUE,IF(_xlfn.RANK.EQ(CW62,$CW$2:$CW$111)&lt;='Tournament Setup'!$D$44,_xlfn.RANK.EQ(CW62,$CW$2:$CW$111),""),"")</f>
        <v/>
      </c>
    </row>
    <row r="63" spans="1:102" x14ac:dyDescent="0.3">
      <c r="B63" t="str">
        <f>IFERROR(INDEX('Tournament List'!$B:$B,MATCH($A63,'Tournament List'!$A:$A,0)),"")</f>
        <v/>
      </c>
      <c r="C63" t="str">
        <f>IFERROR(INDEX('Tournament List'!$C:$C,MATCH($A63,'Tournament List'!$A:$A,0)),"")</f>
        <v/>
      </c>
      <c r="D63" t="str">
        <f t="shared" si="1"/>
        <v xml:space="preserve"> </v>
      </c>
      <c r="E63" s="1" t="str">
        <f>IFERROR(INDEX('Tournament List'!F:F,MATCH($A63,'Tournament List'!$A:$A,0)),"")</f>
        <v/>
      </c>
      <c r="F63" t="str">
        <f>IFERROR(INDEX('Tournament List'!M:M,MATCH($A63,'Tournament List'!$A:$A,0)),"")</f>
        <v/>
      </c>
      <c r="G63" t="str">
        <f>IFERROR(INDEX('Shooter-Squad Assignment'!L:L,MATCH(A63,'Shooter-Squad Assignment'!A:A,0)),"")</f>
        <v/>
      </c>
      <c r="H63" s="1" t="str">
        <f>IFERROR(INDEX('Tournament List'!AD:AD,MATCH($A63,'Tournament List'!$A:$A,0)),"")</f>
        <v/>
      </c>
      <c r="I63" s="123" t="str">
        <f>IFERROR(INDEX('Tournament List'!AG:AG,MATCH($A63,'Tournament List'!$A:$A,0)),"")</f>
        <v/>
      </c>
      <c r="J63" s="145" t="str">
        <f>IFERROR(INDEX('Tournament List'!Y:Y,MATCH($A63,'Tournament List'!$A:$A,0)),"")</f>
        <v/>
      </c>
      <c r="K63" s="47" t="str">
        <f>IFERROR(INDEX('Tournament List'!S:S,MATCH(A63,'Tournament List'!A:A,0)),"")</f>
        <v/>
      </c>
      <c r="L63" s="47" t="str">
        <f>IF(ISNUMBER(J63),IF(COUNTIFS(L$1:L62,_xlfn.RANK.EQ(J63,J$2:J$111,0))&gt;0,_xlfn.MAXIFS(L$1:L62,J$1:J62,J63)+1,_xlfn.RANK.EQ(J63,J$2:J$111,0)),"")</f>
        <v/>
      </c>
      <c r="M63" s="11" t="str">
        <f>IF(ISNUMBER(I63)=TRUE,IF(I63&gt;0,_xlfn.RANK.EQ(I63,$I$2:$I$111,0),""),"")</f>
        <v/>
      </c>
      <c r="N63" s="56" t="str">
        <f>IF(ISNUMBER(I63),IF(COUNTIFS(N$1:N62,_xlfn.RANK.EQ(I63,I$2:I$111,0))&gt;0,_xlfn.MAXIFS(N$1:N62,I$1:I62,I63)+1,_xlfn.RANK.EQ(I63,I$2:I$111,0)),"")</f>
        <v/>
      </c>
      <c r="O63" s="144" t="str">
        <f>IF(F63&lt;&gt;"Collegiate"=TRUE,$I63,"")</f>
        <v/>
      </c>
      <c r="P63" s="47" t="str">
        <f>IF(ISNUMBER(O63),IF(COUNTIFS(P$1:P62,_xlfn.RANK.EQ(O63,O$2:O$111,0))&gt;0,_xlfn.MAXIFS(P$1:P62,O$1:O62,O63)+1,_xlfn.RANK.EQ(O63,O$2:O$111,0)),"")</f>
        <v/>
      </c>
      <c r="Q63" s="1" t="str">
        <f>IF(ISNUMBER(O63)=TRUE,IF(_xlfn.RANK.EQ(O63,$O$2:$O$111)&lt;='Tournament Setup'!$B$26,_xlfn.RANK.EQ(O63,$O$2:$O$111),""),"")</f>
        <v/>
      </c>
      <c r="R63" s="143" t="str">
        <f>IF(AND($E63="M",SUM($Q63)=0,F63&lt;&gt;"Collegiate")=TRUE,$I63,"")</f>
        <v/>
      </c>
      <c r="S63" s="1" t="str">
        <f>IF(ISNUMBER(R63)=TRUE,IF(_xlfn.RANK.EQ(R63,$R$2:$R$111)&lt;='Tournament Setup'!$B$27,_xlfn.RANK.EQ(R63,$R$2:$R$111),""),"")</f>
        <v/>
      </c>
      <c r="T63" s="143" t="str">
        <f>IF(AND($E63="F",SUM($Q63)=0,F63&lt;&gt;"Collegiate")=TRUE,$I63,"")</f>
        <v/>
      </c>
      <c r="U63" s="12" t="str">
        <f>IF(ISNUMBER(T63)=TRUE,IF(_xlfn.RANK.EQ(T63,$T$2:$T$111)&lt;='Tournament Setup'!$B$28,_xlfn.RANK.EQ(T63,$T$2:$T$111),""),"")</f>
        <v/>
      </c>
      <c r="V63" s="145" t="str">
        <f>IF(AND($G63='Tournament Setup'!$A$53,$J63&lt;&gt;0),$J63,"")</f>
        <v/>
      </c>
      <c r="W63" s="47" t="str">
        <f>IF(ISNUMBER(V63),IF(COUNTIFS(W$1:W62,_xlfn.RANK.EQ(V63,V$2:V$111,0))&gt;0,_xlfn.MAXIFS(W$1:W62,V$1:V62,V63)+1,_xlfn.RANK.EQ(V63,V$2:V$111,0)),"")</f>
        <v/>
      </c>
      <c r="X63" s="1" t="str">
        <f>IF(ISNUMBER(V63)=TRUE,IF(_xlfn.RANK.EQ(V63,$V$2:$V$111)&lt;='Tournament Setup'!$B$53,_xlfn.RANK.EQ(V63,$V$2:$V$111),""),"")</f>
        <v/>
      </c>
      <c r="Y63" s="145" t="str">
        <f>IF(AND($G63='Tournament Setup'!$A$49,$J63&lt;&gt;0),$J63,"")</f>
        <v/>
      </c>
      <c r="Z63" s="47" t="str">
        <f>IF(ISNUMBER(Y63),IF(COUNTIFS(Z$1:Z62,_xlfn.RANK.EQ(Y63,Y$2:Y$111,0))&gt;0,_xlfn.MAXIFS(Z$1:Z62,Y$1:Y62,Y63)+1,_xlfn.RANK.EQ(Y63,Y$2:Y$111,0)),"")</f>
        <v/>
      </c>
      <c r="AA63" s="1" t="str">
        <f>IF(ISNUMBER(Y63)=TRUE,IF(_xlfn.RANK.EQ(Y63,$Y$2:$Y$111)&lt;='Tournament Setup'!$B$49,_xlfn.RANK.EQ(Y63,$Y$2:$Y$111),""),"")</f>
        <v/>
      </c>
      <c r="AB63" s="30" t="str">
        <f>IF(AND($F63='Tournament Setup'!$A$32,SUM($Q63,$S63,$U63)=0),$I63,"")</f>
        <v/>
      </c>
      <c r="AC63" s="47" t="str">
        <f>IF(ISNUMBER(AB63),IF(COUNTIFS(AC$1:AC62,_xlfn.RANK.EQ(AB63,AB$2:AB$111,0))&gt;0,_xlfn.MAXIFS(AC$1:AC62,AB$1:AB62,AB63)+1,_xlfn.RANK.EQ(AB63,AB$2:AB$111,0)),"")</f>
        <v/>
      </c>
      <c r="AD63" s="1" t="str">
        <f>IF(ISNUMBER(AB63)=TRUE,IF(_xlfn.RANK.EQ(AB63,$AB$2:$AB$111)&lt;='Tournament Setup'!$B$32,_xlfn.RANK.EQ(AB63,$AB$2:$AB$111),""),"")</f>
        <v/>
      </c>
      <c r="AE63" s="31" t="str">
        <f>IF(AND($F63='Tournament Setup'!$A$32,SUM($Q63,$S63)=0,$E63="M",$AD63&gt;'Tournament Setup'!$B$32),$I63,"")</f>
        <v/>
      </c>
      <c r="AF63" s="1" t="str">
        <f>IF(ISNUMBER(AE63)=TRUE,IF(_xlfn.RANK.EQ(AE63,$AE$2:$AE$111)&lt;='Tournament Setup'!$C$32,_xlfn.RANK.EQ(AE63,$AE$2:$AE$111),""),"")</f>
        <v/>
      </c>
      <c r="AG63" s="31" t="str">
        <f>IF(AND($F63='Tournament Setup'!$A$32,SUM($Q63,$U63)=0,$E63="F",$AD63&gt;'Tournament Setup'!$B$32),$I63,"")</f>
        <v/>
      </c>
      <c r="AH63" s="12" t="str">
        <f>IF(ISNUMBER(AG63)=TRUE,IF(_xlfn.RANK.EQ(AG63,$AG$2:$AG$111)&lt;='Tournament Setup'!$D$32,_xlfn.RANK.EQ(AG63,$AG$2:$AG$111),""),"")</f>
        <v/>
      </c>
      <c r="AI63" s="30" t="str">
        <f>IF(AND($G63='Tournament Setup'!$A$50,$J63&lt;&gt;0),$J63,"")</f>
        <v/>
      </c>
      <c r="AJ63" s="47" t="str">
        <f>IF(ISNUMBER(AI63),IF(COUNTIFS(AJ$1:AJ62,_xlfn.RANK.EQ(AI63,AI$2:AI$111,0))&gt;0,_xlfn.MAXIFS(AJ$1:AJ62,AI$1:AI62,AI63)+1,_xlfn.RANK.EQ(AI63,AI$2:AI$111,0)),"")</f>
        <v/>
      </c>
      <c r="AK63" s="1" t="str">
        <f>IF(ISNUMBER(AI63)=TRUE,IF(_xlfn.RANK.EQ(AI63,$AI$2:$AI$111)&lt;='Tournament Setup'!$B$49,_xlfn.RANK.EQ(AI63,$AI$2:$AI$111),""),"")</f>
        <v/>
      </c>
      <c r="AL63" s="30" t="str">
        <f>IF(AND($F63='Tournament Setup'!$A$33,SUM($Q63,$S63,$U63)=0),$I63,"")</f>
        <v/>
      </c>
      <c r="AM63" s="47" t="str">
        <f>IF(ISNUMBER(AL63),IF(COUNTIFS(AM$1:AM62,_xlfn.RANK.EQ(AL63,AL$2:AL$111,0))&gt;0,_xlfn.MAXIFS(AM$1:AM62,AL$1:AL62,AL63)+1,_xlfn.RANK.EQ(AL63,AL$2:AL$111,0)),"")</f>
        <v/>
      </c>
      <c r="AN63" s="1" t="str">
        <f>IF(ISNUMBER(AL63)=TRUE,IF(_xlfn.RANK.EQ(AL63,$AL$2:$AL$111)&lt;='Tournament Setup'!$B$33,_xlfn.RANK.EQ(AL63,$AL$2:$AL$111),""),"")</f>
        <v/>
      </c>
      <c r="AO63" s="31" t="str">
        <f>IF(AND($F63='Tournament Setup'!$A$33,SUM($Q63,$S63)=0,$E63="M",$AN63&gt;'Tournament Setup'!$B$33),$I63,"")</f>
        <v/>
      </c>
      <c r="AP63" s="1" t="str">
        <f>IF(ISNUMBER(AO63)=TRUE,IF(_xlfn.RANK.EQ(AO63,$AO$2:$AO$111)&lt;='Tournament Setup'!$C$33,_xlfn.RANK.EQ(AO63,$AO$2:$AO$111),""),"")</f>
        <v/>
      </c>
      <c r="AQ63" s="31" t="str">
        <f>IF(AND($F63='Tournament Setup'!$A$33,SUM($Q63,$U63)=0,$E63="F",$AN63&gt;'Tournament Setup'!$B$33),$I63,"")</f>
        <v/>
      </c>
      <c r="AR63" s="12" t="str">
        <f>IF(ISNUMBER(AQ63)=TRUE,IF(_xlfn.RANK.EQ(AQ63,$AQ$2:$AQ$111)&lt;='Tournament Setup'!$D$33,_xlfn.RANK.EQ(AQ63,$AQ$2:$AQ$111),""),"")</f>
        <v/>
      </c>
      <c r="AS63" s="30" t="str">
        <f>IF(AND($G63='Tournament Setup'!$A$51,$J63&lt;&gt;0),$J63,"")</f>
        <v/>
      </c>
      <c r="AT63" s="47" t="str">
        <f>IF(ISNUMBER(AS63),IF(COUNTIFS(AT$1:AT62,_xlfn.RANK.EQ(AS63,AS$2:AS$111,0))&gt;0,_xlfn.MAXIFS(AT$1:AT62,AS$1:AS62,AS63)+1,_xlfn.RANK.EQ(AS63,AS$2:AS$111,0)),"")</f>
        <v/>
      </c>
      <c r="AU63" s="1" t="str">
        <f>IF(ISNUMBER(AS63)=TRUE,IF(_xlfn.RANK.EQ(AS63,$AS$2:$AS$111)&lt;='Tournament Setup'!$B$49,_xlfn.RANK.EQ(AS63,$AS$2:$AS$111),""),"")</f>
        <v/>
      </c>
      <c r="AV63" s="30" t="str">
        <f>IF(AND($F63='Tournament Setup'!$A$34,SUM($Q63,$S63,$U63)=0),$I63,"")</f>
        <v/>
      </c>
      <c r="AW63" s="47" t="str">
        <f>IF(ISNUMBER(AV63),IF(COUNTIFS(AW$1:AW62,_xlfn.RANK.EQ(AV63,AV$2:AV$111,0))&gt;0,_xlfn.MAXIFS(AW$1:AW62,AV$1:AV62,AV63)+1,_xlfn.RANK.EQ(AV63,AV$2:AV$111,0)),"")</f>
        <v/>
      </c>
      <c r="AX63" s="1" t="str">
        <f>IF(ISNUMBER(AV63)=TRUE,IF(_xlfn.RANK.EQ(AV63,$AV$2:$AV$111)&lt;='Tournament Setup'!$B$34,_xlfn.RANK.EQ(AV63,$AV$2:$AV$111),""),"")</f>
        <v/>
      </c>
      <c r="AY63" s="31" t="str">
        <f>IF(AND($F63='Tournament Setup'!$A$34,SUM($Q63,$S63)=0,$E63="M",$AX63&gt;'Tournament Setup'!$B$34),$I63,"")</f>
        <v/>
      </c>
      <c r="AZ63" s="1" t="str">
        <f>IF(ISNUMBER(AY63)=TRUE,IF(_xlfn.RANK.EQ(AY63,$AY$2:$AY$111)&lt;='Tournament Setup'!$C$34,_xlfn.RANK.EQ(AY63,$AY$2:$AY$111),""),"")</f>
        <v/>
      </c>
      <c r="BA63" s="31" t="str">
        <f>IF(AND($F63='Tournament Setup'!$A$34,SUM($Q63,$U63)=0,$E63="F",$AX63&gt;'Tournament Setup'!$B$34),$I63,"")</f>
        <v/>
      </c>
      <c r="BB63" s="12" t="str">
        <f>IF(ISNUMBER(BA63)=TRUE,IF(_xlfn.RANK.EQ(BA63,$BA$2:$BA$111)&lt;='Tournament Setup'!$D$34,_xlfn.RANK.EQ(BA63,$BA$2:$BA$111),""),"")</f>
        <v/>
      </c>
      <c r="BC63" s="30" t="str">
        <f>IF(AND($G63='Tournament Setup'!$A$52,$J63&lt;&gt;0),$J63,"")</f>
        <v/>
      </c>
      <c r="BD63" s="47" t="str">
        <f>IF(ISNUMBER(BC63),IF(COUNTIFS(BD$1:BD62,_xlfn.RANK.EQ(BC63,BC$2:BC$111,0))&gt;0,_xlfn.MAXIFS(BD$1:BD62,BC$1:BC62,BC63)+1,_xlfn.RANK.EQ(BC63,BC$2:BC$111,0)),"")</f>
        <v/>
      </c>
      <c r="BE63" s="1" t="str">
        <f>IF(ISNUMBER(BC63)=TRUE,IF(_xlfn.RANK.EQ(BC63,$BC$2:$BC$111)&lt;='Tournament Setup'!$B$49,_xlfn.RANK.EQ(BC63,$BC$2:$BC$111),""),"")</f>
        <v/>
      </c>
      <c r="BF63" s="30" t="str">
        <f>IF(AND($F63='Tournament Setup'!$A$35,SUM($Q63,$S63,$U63)=0),$I63,"")</f>
        <v/>
      </c>
      <c r="BG63" s="47" t="str">
        <f>IF(ISNUMBER(BF63),IF(COUNTIFS(BG$1:BG62,_xlfn.RANK.EQ(BF63,BF$2:BF$111,0))&gt;0,_xlfn.MAXIFS(BG$1:BG62,BF$1:BF62,BF63)+1,_xlfn.RANK.EQ(BF63,BF$2:BF$111,0)),"")</f>
        <v/>
      </c>
      <c r="BH63" s="1" t="str">
        <f>IF(ISNUMBER(BF63)=TRUE,IF(_xlfn.RANK.EQ(BF63,$BF$2:$BF$111)&lt;='Tournament Setup'!$B$35,_xlfn.RANK.EQ(BF63,$BF$2:$BF$111),""),"")</f>
        <v/>
      </c>
      <c r="BI63" s="31" t="str">
        <f>IF(AND($F63='Tournament Setup'!$A$35,SUM($Q63,$S63)=0,$E63="M",$BH63&gt;'Tournament Setup'!$B$35),$I63,"")</f>
        <v/>
      </c>
      <c r="BJ63" s="1" t="str">
        <f>IF(ISNUMBER(BI63)=TRUE,IF(_xlfn.RANK.EQ(BI63,$BI$2:$BI$111)&lt;='Tournament Setup'!$C$35,_xlfn.RANK.EQ(BI63,$BI$2:$BI$111),""),"")</f>
        <v/>
      </c>
      <c r="BK63" s="31" t="str">
        <f>IF(AND($F63='Tournament Setup'!$A$35,SUM($Q63,$U63)=0,$E63="F",$BH63&gt;'Tournament Setup'!$B$35),$I63,"")</f>
        <v/>
      </c>
      <c r="BL63" s="12" t="str">
        <f>IF(ISNUMBER(BK63)=TRUE,IF(_xlfn.RANK.EQ(BK63,$BK$2:$BK$111)&lt;='Tournament Setup'!$D$35,_xlfn.RANK.EQ(BK63,$BK$2:$BK$111),""),"")</f>
        <v/>
      </c>
      <c r="BM63" s="30" t="str">
        <f>IF(AND($G63='Tournament Setup'!$A$54,$J63&lt;&gt;0),$J63,"")</f>
        <v/>
      </c>
      <c r="BN63" s="47" t="str">
        <f>IF(ISNUMBER(BM63),IF(COUNTIFS(BN$1:BN62,_xlfn.RANK.EQ(BM63,BM$2:BM$111,0))&gt;0,_xlfn.MAXIFS(BN$1:BN62,BM$1:BM62,BM63)+1,_xlfn.RANK.EQ(BM63,BM$2:BM$111,0)),"")</f>
        <v/>
      </c>
      <c r="BO63" s="1" t="str">
        <f>IF(ISNUMBER(BM63)=TRUE,IF(_xlfn.RANK.EQ(BM63,$BM$2:$BM$111)&lt;='Tournament Setup'!$B$49,_xlfn.RANK.EQ(BM63,$BM$2:$BM$111),""),"")</f>
        <v/>
      </c>
      <c r="BP63" s="30" t="str">
        <f>IF(AND($F63='Tournament Setup'!$A$36,SUM($Q63,$S63,$U63)=0),$I63,"")</f>
        <v/>
      </c>
      <c r="BQ63" s="47" t="str">
        <f>IF(ISNUMBER(BP63),IF(COUNTIFS(BQ$1:BQ62,_xlfn.RANK.EQ(BP63,BP$2:BP$111,0))&gt;0,_xlfn.MAXIFS(BQ$1:BQ62,BP$1:BP62,BP63)+1,_xlfn.RANK.EQ(BP63,BP$2:BP$111,0)),"")</f>
        <v/>
      </c>
      <c r="BR63" s="1" t="str">
        <f>IF(ISNUMBER(BP63)=TRUE,IF(_xlfn.RANK.EQ(BP63,$BP$2:$BP$111)&lt;='Tournament Setup'!$B$36,_xlfn.RANK.EQ(BP63,$BP$2:$BP$111),""),"")</f>
        <v/>
      </c>
      <c r="BS63" s="31" t="str">
        <f>IF(AND($F63='Tournament Setup'!$A$36,SUM($Q63,$S63)=0,$E63="M",$BR63&gt;'Tournament Setup'!$B$36),$I63,"")</f>
        <v/>
      </c>
      <c r="BT63" s="1" t="str">
        <f>IF(ISNUMBER(BS63)=TRUE,IF(_xlfn.RANK.EQ(BS63,$BS$2:$BS$111)&lt;='Tournament Setup'!$C$36,_xlfn.RANK.EQ(BS63,$BS$2:$BS$111),""),"")</f>
        <v/>
      </c>
      <c r="BU63" s="31" t="str">
        <f>IF(AND($F63='Tournament Setup'!$A$36,SUM($Q63,$U63)=0,$E63="F",$BR63&gt;'Tournament Setup'!$B$36),$I63,"")</f>
        <v/>
      </c>
      <c r="BV63" s="12" t="str">
        <f>IF(ISNUMBER(BU63)=TRUE,IF(_xlfn.RANK.EQ(BU63,$BU$2:$BU$111)&lt;='Tournament Setup'!$D$36,_xlfn.RANK.EQ(BU63,$BU$2:$BU$111),""),"")</f>
        <v/>
      </c>
      <c r="BW63" s="30" t="str">
        <f>IF($H63='Tournament Setup'!$A$41,$I63,"")</f>
        <v/>
      </c>
      <c r="BX63" s="47" t="str">
        <f>IF(ISNUMBER(BW63),IF(COUNTIFS(BX$1:BX62,_xlfn.RANK.EQ(BW63,BW$2:BW$111,0))&gt;0,_xlfn.MAXIFS(BX$1:BX62,BW$1:BW62,BW63)+1,_xlfn.RANK.EQ(BW63,BW$2:BW$111,0)),"")</f>
        <v/>
      </c>
      <c r="BY63" s="1" t="str">
        <f>IF(ISNUMBER(BW63)=TRUE,IF(_xlfn.RANK.EQ(BW63,$BW$2:$BW$111)&lt;='Tournament Setup'!$B$41,_xlfn.RANK.EQ(BW63,$BW$2:$BW$111),""),"")</f>
        <v/>
      </c>
      <c r="BZ63" s="31" t="str">
        <f>IF(AND($H63='Tournament Setup'!$A$41,$E63="M",$BY63&gt;'Tournament Setup'!$B$41),$I63,"")</f>
        <v/>
      </c>
      <c r="CA63" s="1" t="str">
        <f>IF(ISNUMBER(BZ63)=TRUE,IF(_xlfn.RANK.EQ(BZ63,$BZ$2:$BZ$111)&lt;='Tournament Setup'!$C$41,_xlfn.RANK.EQ(BZ63,$BZ$2:$BZ$111),""),"")</f>
        <v/>
      </c>
      <c r="CB63" s="31" t="str">
        <f>IF(AND($H63='Tournament Setup'!$A$41,$E63="F",$BY63&gt;'Tournament Setup'!$B$41),$I63,"")</f>
        <v/>
      </c>
      <c r="CC63" s="12" t="str">
        <f>IF(ISNUMBER(CB63)=TRUE,IF(_xlfn.RANK.EQ(CB63,$CB$2:$CB$111)&lt;='Tournament Setup'!$D$41,_xlfn.RANK.EQ(CB63,$CB$2:$CB$111),""),"")</f>
        <v/>
      </c>
      <c r="CD63" s="30" t="str">
        <f>IF($H63='Tournament Setup'!$A$42,$I63,"")</f>
        <v/>
      </c>
      <c r="CE63" s="47" t="str">
        <f>IF(ISNUMBER(CD63),IF(COUNTIFS(CE$1:CE62,_xlfn.RANK.EQ(CD63,CD$2:CD$111,0))&gt;0,_xlfn.MAXIFS(CE$1:CE62,CD$1:CD62,CD63)+1,_xlfn.RANK.EQ(CD63,CD$2:CD$111,0)),"")</f>
        <v/>
      </c>
      <c r="CF63" s="1" t="str">
        <f>IF(ISNUMBER(CD63)=TRUE,IF(_xlfn.RANK.EQ(CD63,$CD$2:$CD$111)&lt;='Tournament Setup'!$B$42,_xlfn.RANK.EQ(CD63,$CD$2:$CD$111),""),"")</f>
        <v/>
      </c>
      <c r="CG63" s="31" t="str">
        <f>IF(AND($H63='Tournament Setup'!$A$42,$E63="M",$CF63&gt;'Tournament Setup'!$B$42),$I63,"")</f>
        <v/>
      </c>
      <c r="CH63" s="1" t="str">
        <f>IF(ISNUMBER(CG63)=TRUE,IF(_xlfn.RANK.EQ(CG63,$CG$2:$CG$111)&lt;='Tournament Setup'!$C$42,_xlfn.RANK.EQ(CG63,$CG$2:$CG$111),""),"")</f>
        <v/>
      </c>
      <c r="CI63" s="31" t="str">
        <f>IF(AND($H63='Tournament Setup'!$A$42,$E63="F",$CF63&gt;'Tournament Setup'!$B$42),$I63,"")</f>
        <v/>
      </c>
      <c r="CJ63" s="12" t="str">
        <f>IF(ISNUMBER(CI63)=TRUE,IF(_xlfn.RANK.EQ(CI63,$CI$2:$CI$111)&lt;='Tournament Setup'!$D$42,_xlfn.RANK.EQ(CI63,$CI$2:$CI$111),""),"")</f>
        <v/>
      </c>
      <c r="CK63" s="30" t="str">
        <f>IF($H63='Tournament Setup'!$A$43,$I63,"")</f>
        <v/>
      </c>
      <c r="CL63" s="47" t="str">
        <f>IF(ISNUMBER(CK63),IF(COUNTIFS(CL$1:CL62,_xlfn.RANK.EQ(CK63,CK$2:CK$111,0))&gt;0,_xlfn.MAXIFS(CL$1:CL62,CK$1:CK62,CK63)+1,_xlfn.RANK.EQ(CK63,CK$2:CK$111,0)),"")</f>
        <v/>
      </c>
      <c r="CM63" s="1" t="str">
        <f>IF(ISNUMBER(CK63)=TRUE,IF(_xlfn.RANK.EQ(CK63,$CK$2:$CK$111)&lt;='Tournament Setup'!$B$43,_xlfn.RANK.EQ(CK63,$CK$2:$CK$111),""),"")</f>
        <v/>
      </c>
      <c r="CN63" s="31" t="str">
        <f>IF(AND($H63='Tournament Setup'!$A$43,$E63="M",$CM63&gt;'Tournament Setup'!$B$43),$I63,"")</f>
        <v/>
      </c>
      <c r="CO63" s="1" t="str">
        <f>IF(ISNUMBER(CN63)=TRUE,IF(_xlfn.RANK.EQ(CN63,$CN$2:$CN$111)&lt;='Tournament Setup'!$C$43,_xlfn.RANK.EQ(CN63,$CN$2:$CN$111),""),"")</f>
        <v/>
      </c>
      <c r="CP63" s="31" t="str">
        <f>IF(AND($H63='Tournament Setup'!$A$43,$E63="F",$CM63&gt;'Tournament Setup'!$B$43),$I63,"")</f>
        <v/>
      </c>
      <c r="CQ63" s="12" t="str">
        <f>IF(ISNUMBER(CP63)=TRUE,IF(_xlfn.RANK.EQ(CP63,$CP$2:$CP$111)&lt;='Tournament Setup'!$D$43,_xlfn.RANK.EQ(CP63,$CP$2:$CP$111),""),"")</f>
        <v/>
      </c>
      <c r="CR63" s="30" t="str">
        <f>IF($H63='Tournament Setup'!$A$44,$I63,"")</f>
        <v/>
      </c>
      <c r="CS63" s="47" t="str">
        <f>IF(ISNUMBER(CR63),IF(COUNTIFS(CS$1:CS62,_xlfn.RANK.EQ(CR63,CR$2:CR$111,0))&gt;0,_xlfn.MAXIFS(CS$1:CS62,CR$1:CR62,CR63)+1,_xlfn.RANK.EQ(CR63,CR$2:CR$111,0)),"")</f>
        <v/>
      </c>
      <c r="CT63" s="1" t="str">
        <f>IF(ISNUMBER(CR63)=TRUE,IF(_xlfn.RANK.EQ(CR63,$CR$2:$CR$111)&lt;='Tournament Setup'!$B$44,_xlfn.RANK.EQ(CR63,$CR$2:$CR$111),""),"")</f>
        <v/>
      </c>
      <c r="CU63" s="31" t="str">
        <f>IF(AND($H63='Tournament Setup'!$A$44,$E63="M",$CT63&gt;'Tournament Setup'!$B$44),$I63,"")</f>
        <v/>
      </c>
      <c r="CV63" s="1" t="str">
        <f>IF(ISNUMBER(CU63)=TRUE,IF(_xlfn.RANK.EQ(CU63,$CU$2:$CU$111)&lt;='Tournament Setup'!$C$44,_xlfn.RANK.EQ(CU63,$CU$2:$CU$111),""),"")</f>
        <v/>
      </c>
      <c r="CW63" s="31" t="str">
        <f>IF(AND($H63='Tournament Setup'!$A$44,$E63="F",$CT63&gt;'Tournament Setup'!$B$44),$I63,"")</f>
        <v/>
      </c>
      <c r="CX63" s="12" t="str">
        <f>IF(ISNUMBER(CW63)=TRUE,IF(_xlfn.RANK.EQ(CW63,$CW$2:$CW$111)&lt;='Tournament Setup'!$D$44,_xlfn.RANK.EQ(CW63,$CW$2:$CW$111),""),"")</f>
        <v/>
      </c>
    </row>
    <row r="64" spans="1:102" x14ac:dyDescent="0.3">
      <c r="B64" t="str">
        <f>IFERROR(INDEX('Tournament List'!$B:$B,MATCH($A64,'Tournament List'!$A:$A,0)),"")</f>
        <v/>
      </c>
      <c r="C64" t="str">
        <f>IFERROR(INDEX('Tournament List'!$C:$C,MATCH($A64,'Tournament List'!$A:$A,0)),"")</f>
        <v/>
      </c>
      <c r="D64" t="str">
        <f t="shared" si="1"/>
        <v xml:space="preserve"> </v>
      </c>
      <c r="E64" s="1" t="str">
        <f>IFERROR(INDEX('Tournament List'!F:F,MATCH($A64,'Tournament List'!$A:$A,0)),"")</f>
        <v/>
      </c>
      <c r="F64" t="str">
        <f>IFERROR(INDEX('Tournament List'!M:M,MATCH($A64,'Tournament List'!$A:$A,0)),"")</f>
        <v/>
      </c>
      <c r="G64" t="str">
        <f>IFERROR(INDEX('Shooter-Squad Assignment'!L:L,MATCH(A64,'Shooter-Squad Assignment'!A:A,0)),"")</f>
        <v/>
      </c>
      <c r="H64" s="1" t="str">
        <f>IFERROR(INDEX('Tournament List'!AD:AD,MATCH($A64,'Tournament List'!$A:$A,0)),"")</f>
        <v/>
      </c>
      <c r="I64" s="123" t="str">
        <f>IFERROR(INDEX('Tournament List'!AG:AG,MATCH($A64,'Tournament List'!$A:$A,0)),"")</f>
        <v/>
      </c>
      <c r="J64" s="145" t="str">
        <f>IFERROR(INDEX('Tournament List'!Y:Y,MATCH($A64,'Tournament List'!$A:$A,0)),"")</f>
        <v/>
      </c>
      <c r="K64" s="47" t="str">
        <f>IFERROR(INDEX('Tournament List'!S:S,MATCH(A64,'Tournament List'!A:A,0)),"")</f>
        <v/>
      </c>
      <c r="L64" s="47" t="str">
        <f>IF(ISNUMBER(J64),IF(COUNTIFS(L$1:L63,_xlfn.RANK.EQ(J64,J$2:J$111,0))&gt;0,_xlfn.MAXIFS(L$1:L63,J$1:J63,J64)+1,_xlfn.RANK.EQ(J64,J$2:J$111,0)),"")</f>
        <v/>
      </c>
      <c r="M64" s="11" t="str">
        <f>IF(ISNUMBER(I64)=TRUE,IF(I64&gt;0,_xlfn.RANK.EQ(I64,$I$2:$I$111,0),""),"")</f>
        <v/>
      </c>
      <c r="N64" s="56" t="str">
        <f>IF(ISNUMBER(I64),IF(COUNTIFS(N$1:N63,_xlfn.RANK.EQ(I64,I$2:I$111,0))&gt;0,_xlfn.MAXIFS(N$1:N63,I$1:I63,I64)+1,_xlfn.RANK.EQ(I64,I$2:I$111,0)),"")</f>
        <v/>
      </c>
      <c r="O64" s="144" t="str">
        <f>IF(F64&lt;&gt;"Collegiate"=TRUE,$I64,"")</f>
        <v/>
      </c>
      <c r="P64" s="47" t="str">
        <f>IF(ISNUMBER(O64),IF(COUNTIFS(P$1:P63,_xlfn.RANK.EQ(O64,O$2:O$111,0))&gt;0,_xlfn.MAXIFS(P$1:P63,O$1:O63,O64)+1,_xlfn.RANK.EQ(O64,O$2:O$111,0)),"")</f>
        <v/>
      </c>
      <c r="Q64" s="1" t="str">
        <f>IF(ISNUMBER(O64)=TRUE,IF(_xlfn.RANK.EQ(O64,$O$2:$O$111)&lt;='Tournament Setup'!$B$26,_xlfn.RANK.EQ(O64,$O$2:$O$111),""),"")</f>
        <v/>
      </c>
      <c r="R64" s="143" t="str">
        <f>IF(AND($E64="M",SUM($Q64)=0,F64&lt;&gt;"Collegiate")=TRUE,$I64,"")</f>
        <v/>
      </c>
      <c r="S64" s="1" t="str">
        <f>IF(ISNUMBER(R64)=TRUE,IF(_xlfn.RANK.EQ(R64,$R$2:$R$111)&lt;='Tournament Setup'!$B$27,_xlfn.RANK.EQ(R64,$R$2:$R$111),""),"")</f>
        <v/>
      </c>
      <c r="T64" s="143" t="str">
        <f>IF(AND($E64="F",SUM($Q64)=0,F64&lt;&gt;"Collegiate")=TRUE,$I64,"")</f>
        <v/>
      </c>
      <c r="U64" s="12" t="str">
        <f>IF(ISNUMBER(T64)=TRUE,IF(_xlfn.RANK.EQ(T64,$T$2:$T$111)&lt;='Tournament Setup'!$B$28,_xlfn.RANK.EQ(T64,$T$2:$T$111),""),"")</f>
        <v/>
      </c>
      <c r="V64" s="145" t="str">
        <f>IF(AND($G64='Tournament Setup'!$A$53,$J64&lt;&gt;0),$J64,"")</f>
        <v/>
      </c>
      <c r="W64" s="47" t="str">
        <f>IF(ISNUMBER(V64),IF(COUNTIFS(W$1:W63,_xlfn.RANK.EQ(V64,V$2:V$111,0))&gt;0,_xlfn.MAXIFS(W$1:W63,V$1:V63,V64)+1,_xlfn.RANK.EQ(V64,V$2:V$111,0)),"")</f>
        <v/>
      </c>
      <c r="X64" s="1" t="str">
        <f>IF(ISNUMBER(V64)=TRUE,IF(_xlfn.RANK.EQ(V64,$V$2:$V$111)&lt;='Tournament Setup'!$B$53,_xlfn.RANK.EQ(V64,$V$2:$V$111),""),"")</f>
        <v/>
      </c>
      <c r="Y64" s="145" t="str">
        <f>IF(AND($G64='Tournament Setup'!$A$49,$J64&lt;&gt;0),$J64,"")</f>
        <v/>
      </c>
      <c r="Z64" s="47" t="str">
        <f>IF(ISNUMBER(Y64),IF(COUNTIFS(Z$1:Z63,_xlfn.RANK.EQ(Y64,Y$2:Y$111,0))&gt;0,_xlfn.MAXIFS(Z$1:Z63,Y$1:Y63,Y64)+1,_xlfn.RANK.EQ(Y64,Y$2:Y$111,0)),"")</f>
        <v/>
      </c>
      <c r="AA64" s="1" t="str">
        <f>IF(ISNUMBER(Y64)=TRUE,IF(_xlfn.RANK.EQ(Y64,$Y$2:$Y$111)&lt;='Tournament Setup'!$B$49,_xlfn.RANK.EQ(Y64,$Y$2:$Y$111),""),"")</f>
        <v/>
      </c>
      <c r="AB64" s="30" t="str">
        <f>IF(AND($F64='Tournament Setup'!$A$32,SUM($Q64,$S64,$U64)=0),$I64,"")</f>
        <v/>
      </c>
      <c r="AC64" s="47" t="str">
        <f>IF(ISNUMBER(AB64),IF(COUNTIFS(AC$1:AC63,_xlfn.RANK.EQ(AB64,AB$2:AB$111,0))&gt;0,_xlfn.MAXIFS(AC$1:AC63,AB$1:AB63,AB64)+1,_xlfn.RANK.EQ(AB64,AB$2:AB$111,0)),"")</f>
        <v/>
      </c>
      <c r="AD64" s="1" t="str">
        <f>IF(ISNUMBER(AB64)=TRUE,IF(_xlfn.RANK.EQ(AB64,$AB$2:$AB$111)&lt;='Tournament Setup'!$B$32,_xlfn.RANK.EQ(AB64,$AB$2:$AB$111),""),"")</f>
        <v/>
      </c>
      <c r="AE64" s="31" t="str">
        <f>IF(AND($F64='Tournament Setup'!$A$32,SUM($Q64,$S64)=0,$E64="M",$AD64&gt;'Tournament Setup'!$B$32),$I64,"")</f>
        <v/>
      </c>
      <c r="AF64" s="1" t="str">
        <f>IF(ISNUMBER(AE64)=TRUE,IF(_xlfn.RANK.EQ(AE64,$AE$2:$AE$111)&lt;='Tournament Setup'!$C$32,_xlfn.RANK.EQ(AE64,$AE$2:$AE$111),""),"")</f>
        <v/>
      </c>
      <c r="AG64" s="31" t="str">
        <f>IF(AND($F64='Tournament Setup'!$A$32,SUM($Q64,$U64)=0,$E64="F",$AD64&gt;'Tournament Setup'!$B$32),$I64,"")</f>
        <v/>
      </c>
      <c r="AH64" s="12" t="str">
        <f>IF(ISNUMBER(AG64)=TRUE,IF(_xlfn.RANK.EQ(AG64,$AG$2:$AG$111)&lt;='Tournament Setup'!$D$32,_xlfn.RANK.EQ(AG64,$AG$2:$AG$111),""),"")</f>
        <v/>
      </c>
      <c r="AI64" s="30" t="str">
        <f>IF(AND($G64='Tournament Setup'!$A$50,$J64&lt;&gt;0),$J64,"")</f>
        <v/>
      </c>
      <c r="AJ64" s="47" t="str">
        <f>IF(ISNUMBER(AI64),IF(COUNTIFS(AJ$1:AJ63,_xlfn.RANK.EQ(AI64,AI$2:AI$111,0))&gt;0,_xlfn.MAXIFS(AJ$1:AJ63,AI$1:AI63,AI64)+1,_xlfn.RANK.EQ(AI64,AI$2:AI$111,0)),"")</f>
        <v/>
      </c>
      <c r="AK64" s="1" t="str">
        <f>IF(ISNUMBER(AI64)=TRUE,IF(_xlfn.RANK.EQ(AI64,$AI$2:$AI$111)&lt;='Tournament Setup'!$B$49,_xlfn.RANK.EQ(AI64,$AI$2:$AI$111),""),"")</f>
        <v/>
      </c>
      <c r="AL64" s="30" t="str">
        <f>IF(AND($F64='Tournament Setup'!$A$33,SUM($Q64,$S64,$U64)=0),$I64,"")</f>
        <v/>
      </c>
      <c r="AM64" s="47" t="str">
        <f>IF(ISNUMBER(AL64),IF(COUNTIFS(AM$1:AM63,_xlfn.RANK.EQ(AL64,AL$2:AL$111,0))&gt;0,_xlfn.MAXIFS(AM$1:AM63,AL$1:AL63,AL64)+1,_xlfn.RANK.EQ(AL64,AL$2:AL$111,0)),"")</f>
        <v/>
      </c>
      <c r="AN64" s="1" t="str">
        <f>IF(ISNUMBER(AL64)=TRUE,IF(_xlfn.RANK.EQ(AL64,$AL$2:$AL$111)&lt;='Tournament Setup'!$B$33,_xlfn.RANK.EQ(AL64,$AL$2:$AL$111),""),"")</f>
        <v/>
      </c>
      <c r="AO64" s="31" t="str">
        <f>IF(AND($F64='Tournament Setup'!$A$33,SUM($Q64,$S64)=0,$E64="M",$AN64&gt;'Tournament Setup'!$B$33),$I64,"")</f>
        <v/>
      </c>
      <c r="AP64" s="1" t="str">
        <f>IF(ISNUMBER(AO64)=TRUE,IF(_xlfn.RANK.EQ(AO64,$AO$2:$AO$111)&lt;='Tournament Setup'!$C$33,_xlfn.RANK.EQ(AO64,$AO$2:$AO$111),""),"")</f>
        <v/>
      </c>
      <c r="AQ64" s="31" t="str">
        <f>IF(AND($F64='Tournament Setup'!$A$33,SUM($Q64,$U64)=0,$E64="F",$AN64&gt;'Tournament Setup'!$B$33),$I64,"")</f>
        <v/>
      </c>
      <c r="AR64" s="12" t="str">
        <f>IF(ISNUMBER(AQ64)=TRUE,IF(_xlfn.RANK.EQ(AQ64,$AQ$2:$AQ$111)&lt;='Tournament Setup'!$D$33,_xlfn.RANK.EQ(AQ64,$AQ$2:$AQ$111),""),"")</f>
        <v/>
      </c>
      <c r="AS64" s="30" t="str">
        <f>IF(AND($G64='Tournament Setup'!$A$51,$J64&lt;&gt;0),$J64,"")</f>
        <v/>
      </c>
      <c r="AT64" s="47" t="str">
        <f>IF(ISNUMBER(AS64),IF(COUNTIFS(AT$1:AT63,_xlfn.RANK.EQ(AS64,AS$2:AS$111,0))&gt;0,_xlfn.MAXIFS(AT$1:AT63,AS$1:AS63,AS64)+1,_xlfn.RANK.EQ(AS64,AS$2:AS$111,0)),"")</f>
        <v/>
      </c>
      <c r="AU64" s="1" t="str">
        <f>IF(ISNUMBER(AS64)=TRUE,IF(_xlfn.RANK.EQ(AS64,$AS$2:$AS$111)&lt;='Tournament Setup'!$B$49,_xlfn.RANK.EQ(AS64,$AS$2:$AS$111),""),"")</f>
        <v/>
      </c>
      <c r="AV64" s="30" t="str">
        <f>IF(AND($F64='Tournament Setup'!$A$34,SUM($Q64,$S64,$U64)=0),$I64,"")</f>
        <v/>
      </c>
      <c r="AW64" s="47" t="str">
        <f>IF(ISNUMBER(AV64),IF(COUNTIFS(AW$1:AW63,_xlfn.RANK.EQ(AV64,AV$2:AV$111,0))&gt;0,_xlfn.MAXIFS(AW$1:AW63,AV$1:AV63,AV64)+1,_xlfn.RANK.EQ(AV64,AV$2:AV$111,0)),"")</f>
        <v/>
      </c>
      <c r="AX64" s="1" t="str">
        <f>IF(ISNUMBER(AV64)=TRUE,IF(_xlfn.RANK.EQ(AV64,$AV$2:$AV$111)&lt;='Tournament Setup'!$B$34,_xlfn.RANK.EQ(AV64,$AV$2:$AV$111),""),"")</f>
        <v/>
      </c>
      <c r="AY64" s="31" t="str">
        <f>IF(AND($F64='Tournament Setup'!$A$34,SUM($Q64,$S64)=0,$E64="M",$AX64&gt;'Tournament Setup'!$B$34),$I64,"")</f>
        <v/>
      </c>
      <c r="AZ64" s="1" t="str">
        <f>IF(ISNUMBER(AY64)=TRUE,IF(_xlfn.RANK.EQ(AY64,$AY$2:$AY$111)&lt;='Tournament Setup'!$C$34,_xlfn.RANK.EQ(AY64,$AY$2:$AY$111),""),"")</f>
        <v/>
      </c>
      <c r="BA64" s="31" t="str">
        <f>IF(AND($F64='Tournament Setup'!$A$34,SUM($Q64,$U64)=0,$E64="F",$AX64&gt;'Tournament Setup'!$B$34),$I64,"")</f>
        <v/>
      </c>
      <c r="BB64" s="12" t="str">
        <f>IF(ISNUMBER(BA64)=TRUE,IF(_xlfn.RANK.EQ(BA64,$BA$2:$BA$111)&lt;='Tournament Setup'!$D$34,_xlfn.RANK.EQ(BA64,$BA$2:$BA$111),""),"")</f>
        <v/>
      </c>
      <c r="BC64" s="30" t="str">
        <f>IF(AND($G64='Tournament Setup'!$A$52,$J64&lt;&gt;0),$J64,"")</f>
        <v/>
      </c>
      <c r="BD64" s="47" t="str">
        <f>IF(ISNUMBER(BC64),IF(COUNTIFS(BD$1:BD63,_xlfn.RANK.EQ(BC64,BC$2:BC$111,0))&gt;0,_xlfn.MAXIFS(BD$1:BD63,BC$1:BC63,BC64)+1,_xlfn.RANK.EQ(BC64,BC$2:BC$111,0)),"")</f>
        <v/>
      </c>
      <c r="BE64" s="1" t="str">
        <f>IF(ISNUMBER(BC64)=TRUE,IF(_xlfn.RANK.EQ(BC64,$BC$2:$BC$111)&lt;='Tournament Setup'!$B$49,_xlfn.RANK.EQ(BC64,$BC$2:$BC$111),""),"")</f>
        <v/>
      </c>
      <c r="BF64" s="30" t="str">
        <f>IF(AND($F64='Tournament Setup'!$A$35,SUM($Q64,$S64,$U64)=0),$I64,"")</f>
        <v/>
      </c>
      <c r="BG64" s="47" t="str">
        <f>IF(ISNUMBER(BF64),IF(COUNTIFS(BG$1:BG63,_xlfn.RANK.EQ(BF64,BF$2:BF$111,0))&gt;0,_xlfn.MAXIFS(BG$1:BG63,BF$1:BF63,BF64)+1,_xlfn.RANK.EQ(BF64,BF$2:BF$111,0)),"")</f>
        <v/>
      </c>
      <c r="BH64" s="1" t="str">
        <f>IF(ISNUMBER(BF64)=TRUE,IF(_xlfn.RANK.EQ(BF64,$BF$2:$BF$111)&lt;='Tournament Setup'!$B$35,_xlfn.RANK.EQ(BF64,$BF$2:$BF$111),""),"")</f>
        <v/>
      </c>
      <c r="BI64" s="31" t="str">
        <f>IF(AND($F64='Tournament Setup'!$A$35,SUM($Q64,$S64)=0,$E64="M",$BH64&gt;'Tournament Setup'!$B$35),$I64,"")</f>
        <v/>
      </c>
      <c r="BJ64" s="1" t="str">
        <f>IF(ISNUMBER(BI64)=TRUE,IF(_xlfn.RANK.EQ(BI64,$BI$2:$BI$111)&lt;='Tournament Setup'!$C$35,_xlfn.RANK.EQ(BI64,$BI$2:$BI$111),""),"")</f>
        <v/>
      </c>
      <c r="BK64" s="31" t="str">
        <f>IF(AND($F64='Tournament Setup'!$A$35,SUM($Q64,$U64)=0,$E64="F",$BH64&gt;'Tournament Setup'!$B$35),$I64,"")</f>
        <v/>
      </c>
      <c r="BL64" s="12" t="str">
        <f>IF(ISNUMBER(BK64)=TRUE,IF(_xlfn.RANK.EQ(BK64,$BK$2:$BK$111)&lt;='Tournament Setup'!$D$35,_xlfn.RANK.EQ(BK64,$BK$2:$BK$111),""),"")</f>
        <v/>
      </c>
      <c r="BM64" s="30" t="str">
        <f>IF(AND($G64='Tournament Setup'!$A$54,$J64&lt;&gt;0),$J64,"")</f>
        <v/>
      </c>
      <c r="BN64" s="47" t="str">
        <f>IF(ISNUMBER(BM64),IF(COUNTIFS(BN$1:BN63,_xlfn.RANK.EQ(BM64,BM$2:BM$111,0))&gt;0,_xlfn.MAXIFS(BN$1:BN63,BM$1:BM63,BM64)+1,_xlfn.RANK.EQ(BM64,BM$2:BM$111,0)),"")</f>
        <v/>
      </c>
      <c r="BO64" s="1" t="str">
        <f>IF(ISNUMBER(BM64)=TRUE,IF(_xlfn.RANK.EQ(BM64,$BM$2:$BM$111)&lt;='Tournament Setup'!$B$49,_xlfn.RANK.EQ(BM64,$BM$2:$BM$111),""),"")</f>
        <v/>
      </c>
      <c r="BP64" s="30" t="str">
        <f>IF(AND($F64='Tournament Setup'!$A$36,SUM($Q64,$S64,$U64)=0),$I64,"")</f>
        <v/>
      </c>
      <c r="BQ64" s="47" t="str">
        <f>IF(ISNUMBER(BP64),IF(COUNTIFS(BQ$1:BQ63,_xlfn.RANK.EQ(BP64,BP$2:BP$111,0))&gt;0,_xlfn.MAXIFS(BQ$1:BQ63,BP$1:BP63,BP64)+1,_xlfn.RANK.EQ(BP64,BP$2:BP$111,0)),"")</f>
        <v/>
      </c>
      <c r="BR64" s="1" t="str">
        <f>IF(ISNUMBER(BP64)=TRUE,IF(_xlfn.RANK.EQ(BP64,$BP$2:$BP$111)&lt;='Tournament Setup'!$B$36,_xlfn.RANK.EQ(BP64,$BP$2:$BP$111),""),"")</f>
        <v/>
      </c>
      <c r="BS64" s="31" t="str">
        <f>IF(AND($F64='Tournament Setup'!$A$36,SUM($Q64,$S64)=0,$E64="M",$BR64&gt;'Tournament Setup'!$B$36),$I64,"")</f>
        <v/>
      </c>
      <c r="BT64" s="1" t="str">
        <f>IF(ISNUMBER(BS64)=TRUE,IF(_xlfn.RANK.EQ(BS64,$BS$2:$BS$111)&lt;='Tournament Setup'!$C$36,_xlfn.RANK.EQ(BS64,$BS$2:$BS$111),""),"")</f>
        <v/>
      </c>
      <c r="BU64" s="31" t="str">
        <f>IF(AND($F64='Tournament Setup'!$A$36,SUM($Q64,$U64)=0,$E64="F",$BR64&gt;'Tournament Setup'!$B$36),$I64,"")</f>
        <v/>
      </c>
      <c r="BV64" s="12" t="str">
        <f>IF(ISNUMBER(BU64)=TRUE,IF(_xlfn.RANK.EQ(BU64,$BU$2:$BU$111)&lt;='Tournament Setup'!$D$36,_xlfn.RANK.EQ(BU64,$BU$2:$BU$111),""),"")</f>
        <v/>
      </c>
      <c r="BW64" s="30" t="str">
        <f>IF($H64='Tournament Setup'!$A$41,$I64,"")</f>
        <v/>
      </c>
      <c r="BX64" s="47" t="str">
        <f>IF(ISNUMBER(BW64),IF(COUNTIFS(BX$1:BX63,_xlfn.RANK.EQ(BW64,BW$2:BW$111,0))&gt;0,_xlfn.MAXIFS(BX$1:BX63,BW$1:BW63,BW64)+1,_xlfn.RANK.EQ(BW64,BW$2:BW$111,0)),"")</f>
        <v/>
      </c>
      <c r="BY64" s="1" t="str">
        <f>IF(ISNUMBER(BW64)=TRUE,IF(_xlfn.RANK.EQ(BW64,$BW$2:$BW$111)&lt;='Tournament Setup'!$B$41,_xlfn.RANK.EQ(BW64,$BW$2:$BW$111),""),"")</f>
        <v/>
      </c>
      <c r="BZ64" s="31" t="str">
        <f>IF(AND($H64='Tournament Setup'!$A$41,$E64="M",$BY64&gt;'Tournament Setup'!$B$41),$I64,"")</f>
        <v/>
      </c>
      <c r="CA64" s="1" t="str">
        <f>IF(ISNUMBER(BZ64)=TRUE,IF(_xlfn.RANK.EQ(BZ64,$BZ$2:$BZ$111)&lt;='Tournament Setup'!$C$41,_xlfn.RANK.EQ(BZ64,$BZ$2:$BZ$111),""),"")</f>
        <v/>
      </c>
      <c r="CB64" s="31" t="str">
        <f>IF(AND($H64='Tournament Setup'!$A$41,$E64="F",$BY64&gt;'Tournament Setup'!$B$41),$I64,"")</f>
        <v/>
      </c>
      <c r="CC64" s="12" t="str">
        <f>IF(ISNUMBER(CB64)=TRUE,IF(_xlfn.RANK.EQ(CB64,$CB$2:$CB$111)&lt;='Tournament Setup'!$D$41,_xlfn.RANK.EQ(CB64,$CB$2:$CB$111),""),"")</f>
        <v/>
      </c>
      <c r="CD64" s="30" t="str">
        <f>IF($H64='Tournament Setup'!$A$42,$I64,"")</f>
        <v/>
      </c>
      <c r="CE64" s="47" t="str">
        <f>IF(ISNUMBER(CD64),IF(COUNTIFS(CE$1:CE63,_xlfn.RANK.EQ(CD64,CD$2:CD$111,0))&gt;0,_xlfn.MAXIFS(CE$1:CE63,CD$1:CD63,CD64)+1,_xlfn.RANK.EQ(CD64,CD$2:CD$111,0)),"")</f>
        <v/>
      </c>
      <c r="CF64" s="1" t="str">
        <f>IF(ISNUMBER(CD64)=TRUE,IF(_xlfn.RANK.EQ(CD64,$CD$2:$CD$111)&lt;='Tournament Setup'!$B$42,_xlfn.RANK.EQ(CD64,$CD$2:$CD$111),""),"")</f>
        <v/>
      </c>
      <c r="CG64" s="31" t="str">
        <f>IF(AND($H64='Tournament Setup'!$A$42,$E64="M",$CF64&gt;'Tournament Setup'!$B$42),$I64,"")</f>
        <v/>
      </c>
      <c r="CH64" s="1" t="str">
        <f>IF(ISNUMBER(CG64)=TRUE,IF(_xlfn.RANK.EQ(CG64,$CG$2:$CG$111)&lt;='Tournament Setup'!$C$42,_xlfn.RANK.EQ(CG64,$CG$2:$CG$111),""),"")</f>
        <v/>
      </c>
      <c r="CI64" s="31" t="str">
        <f>IF(AND($H64='Tournament Setup'!$A$42,$E64="F",$CF64&gt;'Tournament Setup'!$B$42),$I64,"")</f>
        <v/>
      </c>
      <c r="CJ64" s="12" t="str">
        <f>IF(ISNUMBER(CI64)=TRUE,IF(_xlfn.RANK.EQ(CI64,$CI$2:$CI$111)&lt;='Tournament Setup'!$D$42,_xlfn.RANK.EQ(CI64,$CI$2:$CI$111),""),"")</f>
        <v/>
      </c>
      <c r="CK64" s="30" t="str">
        <f>IF($H64='Tournament Setup'!$A$43,$I64,"")</f>
        <v/>
      </c>
      <c r="CL64" s="47" t="str">
        <f>IF(ISNUMBER(CK64),IF(COUNTIFS(CL$1:CL63,_xlfn.RANK.EQ(CK64,CK$2:CK$111,0))&gt;0,_xlfn.MAXIFS(CL$1:CL63,CK$1:CK63,CK64)+1,_xlfn.RANK.EQ(CK64,CK$2:CK$111,0)),"")</f>
        <v/>
      </c>
      <c r="CM64" s="1" t="str">
        <f>IF(ISNUMBER(CK64)=TRUE,IF(_xlfn.RANK.EQ(CK64,$CK$2:$CK$111)&lt;='Tournament Setup'!$B$43,_xlfn.RANK.EQ(CK64,$CK$2:$CK$111),""),"")</f>
        <v/>
      </c>
      <c r="CN64" s="31" t="str">
        <f>IF(AND($H64='Tournament Setup'!$A$43,$E64="M",$CM64&gt;'Tournament Setup'!$B$43),$I64,"")</f>
        <v/>
      </c>
      <c r="CO64" s="1" t="str">
        <f>IF(ISNUMBER(CN64)=TRUE,IF(_xlfn.RANK.EQ(CN64,$CN$2:$CN$111)&lt;='Tournament Setup'!$C$43,_xlfn.RANK.EQ(CN64,$CN$2:$CN$111),""),"")</f>
        <v/>
      </c>
      <c r="CP64" s="31" t="str">
        <f>IF(AND($H64='Tournament Setup'!$A$43,$E64="F",$CM64&gt;'Tournament Setup'!$B$43),$I64,"")</f>
        <v/>
      </c>
      <c r="CQ64" s="12" t="str">
        <f>IF(ISNUMBER(CP64)=TRUE,IF(_xlfn.RANK.EQ(CP64,$CP$2:$CP$111)&lt;='Tournament Setup'!$D$43,_xlfn.RANK.EQ(CP64,$CP$2:$CP$111),""),"")</f>
        <v/>
      </c>
      <c r="CR64" s="30" t="str">
        <f>IF($H64='Tournament Setup'!$A$44,$I64,"")</f>
        <v/>
      </c>
      <c r="CS64" s="47" t="str">
        <f>IF(ISNUMBER(CR64),IF(COUNTIFS(CS$1:CS63,_xlfn.RANK.EQ(CR64,CR$2:CR$111,0))&gt;0,_xlfn.MAXIFS(CS$1:CS63,CR$1:CR63,CR64)+1,_xlfn.RANK.EQ(CR64,CR$2:CR$111,0)),"")</f>
        <v/>
      </c>
      <c r="CT64" s="1" t="str">
        <f>IF(ISNUMBER(CR64)=TRUE,IF(_xlfn.RANK.EQ(CR64,$CR$2:$CR$111)&lt;='Tournament Setup'!$B$44,_xlfn.RANK.EQ(CR64,$CR$2:$CR$111),""),"")</f>
        <v/>
      </c>
      <c r="CU64" s="31" t="str">
        <f>IF(AND($H64='Tournament Setup'!$A$44,$E64="M",$CT64&gt;'Tournament Setup'!$B$44),$I64,"")</f>
        <v/>
      </c>
      <c r="CV64" s="1" t="str">
        <f>IF(ISNUMBER(CU64)=TRUE,IF(_xlfn.RANK.EQ(CU64,$CU$2:$CU$111)&lt;='Tournament Setup'!$C$44,_xlfn.RANK.EQ(CU64,$CU$2:$CU$111),""),"")</f>
        <v/>
      </c>
      <c r="CW64" s="31" t="str">
        <f>IF(AND($H64='Tournament Setup'!$A$44,$E64="F",$CT64&gt;'Tournament Setup'!$B$44),$I64,"")</f>
        <v/>
      </c>
      <c r="CX64" s="12" t="str">
        <f>IF(ISNUMBER(CW64)=TRUE,IF(_xlfn.RANK.EQ(CW64,$CW$2:$CW$111)&lt;='Tournament Setup'!$D$44,_xlfn.RANK.EQ(CW64,$CW$2:$CW$111),""),"")</f>
        <v/>
      </c>
    </row>
    <row r="65" spans="2:102" x14ac:dyDescent="0.3">
      <c r="B65" t="str">
        <f>IFERROR(INDEX('Tournament List'!$B:$B,MATCH($A65,'Tournament List'!$A:$A,0)),"")</f>
        <v/>
      </c>
      <c r="C65" t="str">
        <f>IFERROR(INDEX('Tournament List'!$C:$C,MATCH($A65,'Tournament List'!$A:$A,0)),"")</f>
        <v/>
      </c>
      <c r="D65" t="str">
        <f t="shared" si="1"/>
        <v xml:space="preserve"> </v>
      </c>
      <c r="E65" s="1" t="str">
        <f>IFERROR(INDEX('Tournament List'!F:F,MATCH($A65,'Tournament List'!$A:$A,0)),"")</f>
        <v/>
      </c>
      <c r="F65" t="str">
        <f>IFERROR(INDEX('Tournament List'!M:M,MATCH($A65,'Tournament List'!$A:$A,0)),"")</f>
        <v/>
      </c>
      <c r="G65" t="str">
        <f>IFERROR(INDEX('Shooter-Squad Assignment'!L:L,MATCH(A65,'Shooter-Squad Assignment'!A:A,0)),"")</f>
        <v/>
      </c>
      <c r="H65" s="1" t="str">
        <f>IFERROR(INDEX('Tournament List'!AD:AD,MATCH($A65,'Tournament List'!$A:$A,0)),"")</f>
        <v/>
      </c>
      <c r="I65" s="123" t="str">
        <f>IFERROR(INDEX('Tournament List'!AG:AG,MATCH($A65,'Tournament List'!$A:$A,0)),"")</f>
        <v/>
      </c>
      <c r="J65" s="145" t="str">
        <f>IFERROR(INDEX('Tournament List'!Y:Y,MATCH($A65,'Tournament List'!$A:$A,0)),"")</f>
        <v/>
      </c>
      <c r="K65" s="47" t="str">
        <f>IFERROR(INDEX('Tournament List'!S:S,MATCH(A65,'Tournament List'!A:A,0)),"")</f>
        <v/>
      </c>
      <c r="L65" s="47" t="str">
        <f>IF(ISNUMBER(J65),IF(COUNTIFS(L$1:L64,_xlfn.RANK.EQ(J65,J$2:J$111,0))&gt;0,_xlfn.MAXIFS(L$1:L64,J$1:J64,J65)+1,_xlfn.RANK.EQ(J65,J$2:J$111,0)),"")</f>
        <v/>
      </c>
      <c r="M65" s="11" t="str">
        <f>IF(ISNUMBER(I65)=TRUE,IF(I65&gt;0,_xlfn.RANK.EQ(I65,$I$2:$I$111,0),""),"")</f>
        <v/>
      </c>
      <c r="N65" s="56" t="str">
        <f>IF(ISNUMBER(I65),IF(COUNTIFS(N$1:N64,_xlfn.RANK.EQ(I65,I$2:I$111,0))&gt;0,_xlfn.MAXIFS(N$1:N64,I$1:I64,I65)+1,_xlfn.RANK.EQ(I65,I$2:I$111,0)),"")</f>
        <v/>
      </c>
      <c r="O65" s="144" t="str">
        <f>IF(F65&lt;&gt;"Collegiate"=TRUE,$I65,"")</f>
        <v/>
      </c>
      <c r="P65" s="47" t="str">
        <f>IF(ISNUMBER(O65),IF(COUNTIFS(P$1:P64,_xlfn.RANK.EQ(O65,O$2:O$111,0))&gt;0,_xlfn.MAXIFS(P$1:P64,O$1:O64,O65)+1,_xlfn.RANK.EQ(O65,O$2:O$111,0)),"")</f>
        <v/>
      </c>
      <c r="Q65" s="1" t="str">
        <f>IF(ISNUMBER(O65)=TRUE,IF(_xlfn.RANK.EQ(O65,$O$2:$O$111)&lt;='Tournament Setup'!$B$26,_xlfn.RANK.EQ(O65,$O$2:$O$111),""),"")</f>
        <v/>
      </c>
      <c r="R65" s="143" t="str">
        <f>IF(AND($E65="M",SUM($Q65)=0,F65&lt;&gt;"Collegiate")=TRUE,$I65,"")</f>
        <v/>
      </c>
      <c r="S65" s="1" t="str">
        <f>IF(ISNUMBER(R65)=TRUE,IF(_xlfn.RANK.EQ(R65,$R$2:$R$111)&lt;='Tournament Setup'!$B$27,_xlfn.RANK.EQ(R65,$R$2:$R$111),""),"")</f>
        <v/>
      </c>
      <c r="T65" s="143" t="str">
        <f>IF(AND($E65="F",SUM($Q65)=0,F65&lt;&gt;"Collegiate")=TRUE,$I65,"")</f>
        <v/>
      </c>
      <c r="U65" s="12" t="str">
        <f>IF(ISNUMBER(T65)=TRUE,IF(_xlfn.RANK.EQ(T65,$T$2:$T$111)&lt;='Tournament Setup'!$B$28,_xlfn.RANK.EQ(T65,$T$2:$T$111),""),"")</f>
        <v/>
      </c>
      <c r="V65" s="145" t="str">
        <f>IF(AND($G65='Tournament Setup'!$A$53,$J65&lt;&gt;0),$J65,"")</f>
        <v/>
      </c>
      <c r="W65" s="47" t="str">
        <f>IF(ISNUMBER(V65),IF(COUNTIFS(W$1:W64,_xlfn.RANK.EQ(V65,V$2:V$111,0))&gt;0,_xlfn.MAXIFS(W$1:W64,V$1:V64,V65)+1,_xlfn.RANK.EQ(V65,V$2:V$111,0)),"")</f>
        <v/>
      </c>
      <c r="X65" s="1" t="str">
        <f>IF(ISNUMBER(V65)=TRUE,IF(_xlfn.RANK.EQ(V65,$V$2:$V$111)&lt;='Tournament Setup'!$B$53,_xlfn.RANK.EQ(V65,$V$2:$V$111),""),"")</f>
        <v/>
      </c>
      <c r="Y65" s="145" t="str">
        <f>IF(AND($G65='Tournament Setup'!$A$49,$J65&lt;&gt;0),$J65,"")</f>
        <v/>
      </c>
      <c r="Z65" s="47" t="str">
        <f>IF(ISNUMBER(Y65),IF(COUNTIFS(Z$1:Z64,_xlfn.RANK.EQ(Y65,Y$2:Y$111,0))&gt;0,_xlfn.MAXIFS(Z$1:Z64,Y$1:Y64,Y65)+1,_xlfn.RANK.EQ(Y65,Y$2:Y$111,0)),"")</f>
        <v/>
      </c>
      <c r="AA65" s="1" t="str">
        <f>IF(ISNUMBER(Y65)=TRUE,IF(_xlfn.RANK.EQ(Y65,$Y$2:$Y$111)&lt;='Tournament Setup'!$B$49,_xlfn.RANK.EQ(Y65,$Y$2:$Y$111),""),"")</f>
        <v/>
      </c>
      <c r="AB65" s="30" t="str">
        <f>IF(AND($F65='Tournament Setup'!$A$32,SUM($Q65,$S65,$U65)=0),$I65,"")</f>
        <v/>
      </c>
      <c r="AC65" s="47" t="str">
        <f>IF(ISNUMBER(AB65),IF(COUNTIFS(AC$1:AC64,_xlfn.RANK.EQ(AB65,AB$2:AB$111,0))&gt;0,_xlfn.MAXIFS(AC$1:AC64,AB$1:AB64,AB65)+1,_xlfn.RANK.EQ(AB65,AB$2:AB$111,0)),"")</f>
        <v/>
      </c>
      <c r="AD65" s="1" t="str">
        <f>IF(ISNUMBER(AB65)=TRUE,IF(_xlfn.RANK.EQ(AB65,$AB$2:$AB$111)&lt;='Tournament Setup'!$B$32,_xlfn.RANK.EQ(AB65,$AB$2:$AB$111),""),"")</f>
        <v/>
      </c>
      <c r="AE65" s="31" t="str">
        <f>IF(AND($F65='Tournament Setup'!$A$32,SUM($Q65,$S65)=0,$E65="M",$AD65&gt;'Tournament Setup'!$B$32),$I65,"")</f>
        <v/>
      </c>
      <c r="AF65" s="1" t="str">
        <f>IF(ISNUMBER(AE65)=TRUE,IF(_xlfn.RANK.EQ(AE65,$AE$2:$AE$111)&lt;='Tournament Setup'!$C$32,_xlfn.RANK.EQ(AE65,$AE$2:$AE$111),""),"")</f>
        <v/>
      </c>
      <c r="AG65" s="31" t="str">
        <f>IF(AND($F65='Tournament Setup'!$A$32,SUM($Q65,$U65)=0,$E65="F",$AD65&gt;'Tournament Setup'!$B$32),$I65,"")</f>
        <v/>
      </c>
      <c r="AH65" s="12" t="str">
        <f>IF(ISNUMBER(AG65)=TRUE,IF(_xlfn.RANK.EQ(AG65,$AG$2:$AG$111)&lt;='Tournament Setup'!$D$32,_xlfn.RANK.EQ(AG65,$AG$2:$AG$111),""),"")</f>
        <v/>
      </c>
      <c r="AI65" s="30" t="str">
        <f>IF(AND($G65='Tournament Setup'!$A$50,$J65&lt;&gt;0),$J65,"")</f>
        <v/>
      </c>
      <c r="AJ65" s="47" t="str">
        <f>IF(ISNUMBER(AI65),IF(COUNTIFS(AJ$1:AJ64,_xlfn.RANK.EQ(AI65,AI$2:AI$111,0))&gt;0,_xlfn.MAXIFS(AJ$1:AJ64,AI$1:AI64,AI65)+1,_xlfn.RANK.EQ(AI65,AI$2:AI$111,0)),"")</f>
        <v/>
      </c>
      <c r="AK65" s="1" t="str">
        <f>IF(ISNUMBER(AI65)=TRUE,IF(_xlfn.RANK.EQ(AI65,$AI$2:$AI$111)&lt;='Tournament Setup'!$B$49,_xlfn.RANK.EQ(AI65,$AI$2:$AI$111),""),"")</f>
        <v/>
      </c>
      <c r="AL65" s="30" t="str">
        <f>IF(AND($F65='Tournament Setup'!$A$33,SUM($Q65,$S65,$U65)=0),$I65,"")</f>
        <v/>
      </c>
      <c r="AM65" s="47" t="str">
        <f>IF(ISNUMBER(AL65),IF(COUNTIFS(AM$1:AM64,_xlfn.RANK.EQ(AL65,AL$2:AL$111,0))&gt;0,_xlfn.MAXIFS(AM$1:AM64,AL$1:AL64,AL65)+1,_xlfn.RANK.EQ(AL65,AL$2:AL$111,0)),"")</f>
        <v/>
      </c>
      <c r="AN65" s="1" t="str">
        <f>IF(ISNUMBER(AL65)=TRUE,IF(_xlfn.RANK.EQ(AL65,$AL$2:$AL$111)&lt;='Tournament Setup'!$B$33,_xlfn.RANK.EQ(AL65,$AL$2:$AL$111),""),"")</f>
        <v/>
      </c>
      <c r="AO65" s="31" t="str">
        <f>IF(AND($F65='Tournament Setup'!$A$33,SUM($Q65,$S65)=0,$E65="M",$AN65&gt;'Tournament Setup'!$B$33),$I65,"")</f>
        <v/>
      </c>
      <c r="AP65" s="1" t="str">
        <f>IF(ISNUMBER(AO65)=TRUE,IF(_xlfn.RANK.EQ(AO65,$AO$2:$AO$111)&lt;='Tournament Setup'!$C$33,_xlfn.RANK.EQ(AO65,$AO$2:$AO$111),""),"")</f>
        <v/>
      </c>
      <c r="AQ65" s="31" t="str">
        <f>IF(AND($F65='Tournament Setup'!$A$33,SUM($Q65,$U65)=0,$E65="F",$AN65&gt;'Tournament Setup'!$B$33),$I65,"")</f>
        <v/>
      </c>
      <c r="AR65" s="12" t="str">
        <f>IF(ISNUMBER(AQ65)=TRUE,IF(_xlfn.RANK.EQ(AQ65,$AQ$2:$AQ$111)&lt;='Tournament Setup'!$D$33,_xlfn.RANK.EQ(AQ65,$AQ$2:$AQ$111),""),"")</f>
        <v/>
      </c>
      <c r="AS65" s="30" t="str">
        <f>IF(AND($G65='Tournament Setup'!$A$51,$J65&lt;&gt;0),$J65,"")</f>
        <v/>
      </c>
      <c r="AT65" s="47" t="str">
        <f>IF(ISNUMBER(AS65),IF(COUNTIFS(AT$1:AT64,_xlfn.RANK.EQ(AS65,AS$2:AS$111,0))&gt;0,_xlfn.MAXIFS(AT$1:AT64,AS$1:AS64,AS65)+1,_xlfn.RANK.EQ(AS65,AS$2:AS$111,0)),"")</f>
        <v/>
      </c>
      <c r="AU65" s="1" t="str">
        <f>IF(ISNUMBER(AS65)=TRUE,IF(_xlfn.RANK.EQ(AS65,$AS$2:$AS$111)&lt;='Tournament Setup'!$B$49,_xlfn.RANK.EQ(AS65,$AS$2:$AS$111),""),"")</f>
        <v/>
      </c>
      <c r="AV65" s="30" t="str">
        <f>IF(AND($F65='Tournament Setup'!$A$34,SUM($Q65,$S65,$U65)=0),$I65,"")</f>
        <v/>
      </c>
      <c r="AW65" s="47" t="str">
        <f>IF(ISNUMBER(AV65),IF(COUNTIFS(AW$1:AW64,_xlfn.RANK.EQ(AV65,AV$2:AV$111,0))&gt;0,_xlfn.MAXIFS(AW$1:AW64,AV$1:AV64,AV65)+1,_xlfn.RANK.EQ(AV65,AV$2:AV$111,0)),"")</f>
        <v/>
      </c>
      <c r="AX65" s="1" t="str">
        <f>IF(ISNUMBER(AV65)=TRUE,IF(_xlfn.RANK.EQ(AV65,$AV$2:$AV$111)&lt;='Tournament Setup'!$B$34,_xlfn.RANK.EQ(AV65,$AV$2:$AV$111),""),"")</f>
        <v/>
      </c>
      <c r="AY65" s="31" t="str">
        <f>IF(AND($F65='Tournament Setup'!$A$34,SUM($Q65,$S65)=0,$E65="M",$AX65&gt;'Tournament Setup'!$B$34),$I65,"")</f>
        <v/>
      </c>
      <c r="AZ65" s="1" t="str">
        <f>IF(ISNUMBER(AY65)=TRUE,IF(_xlfn.RANK.EQ(AY65,$AY$2:$AY$111)&lt;='Tournament Setup'!$C$34,_xlfn.RANK.EQ(AY65,$AY$2:$AY$111),""),"")</f>
        <v/>
      </c>
      <c r="BA65" s="31" t="str">
        <f>IF(AND($F65='Tournament Setup'!$A$34,SUM($Q65,$U65)=0,$E65="F",$AX65&gt;'Tournament Setup'!$B$34),$I65,"")</f>
        <v/>
      </c>
      <c r="BB65" s="12" t="str">
        <f>IF(ISNUMBER(BA65)=TRUE,IF(_xlfn.RANK.EQ(BA65,$BA$2:$BA$111)&lt;='Tournament Setup'!$D$34,_xlfn.RANK.EQ(BA65,$BA$2:$BA$111),""),"")</f>
        <v/>
      </c>
      <c r="BC65" s="30" t="str">
        <f>IF(AND($G65='Tournament Setup'!$A$52,$J65&lt;&gt;0),$J65,"")</f>
        <v/>
      </c>
      <c r="BD65" s="47" t="str">
        <f>IF(ISNUMBER(BC65),IF(COUNTIFS(BD$1:BD64,_xlfn.RANK.EQ(BC65,BC$2:BC$111,0))&gt;0,_xlfn.MAXIFS(BD$1:BD64,BC$1:BC64,BC65)+1,_xlfn.RANK.EQ(BC65,BC$2:BC$111,0)),"")</f>
        <v/>
      </c>
      <c r="BE65" s="1" t="str">
        <f>IF(ISNUMBER(BC65)=TRUE,IF(_xlfn.RANK.EQ(BC65,$BC$2:$BC$111)&lt;='Tournament Setup'!$B$49,_xlfn.RANK.EQ(BC65,$BC$2:$BC$111),""),"")</f>
        <v/>
      </c>
      <c r="BF65" s="30" t="str">
        <f>IF(AND($F65='Tournament Setup'!$A$35,SUM($Q65,$S65,$U65)=0),$I65,"")</f>
        <v/>
      </c>
      <c r="BG65" s="47" t="str">
        <f>IF(ISNUMBER(BF65),IF(COUNTIFS(BG$1:BG64,_xlfn.RANK.EQ(BF65,BF$2:BF$111,0))&gt;0,_xlfn.MAXIFS(BG$1:BG64,BF$1:BF64,BF65)+1,_xlfn.RANK.EQ(BF65,BF$2:BF$111,0)),"")</f>
        <v/>
      </c>
      <c r="BH65" s="1" t="str">
        <f>IF(ISNUMBER(BF65)=TRUE,IF(_xlfn.RANK.EQ(BF65,$BF$2:$BF$111)&lt;='Tournament Setup'!$B$35,_xlfn.RANK.EQ(BF65,$BF$2:$BF$111),""),"")</f>
        <v/>
      </c>
      <c r="BI65" s="31" t="str">
        <f>IF(AND($F65='Tournament Setup'!$A$35,SUM($Q65,$S65)=0,$E65="M",$BH65&gt;'Tournament Setup'!$B$35),$I65,"")</f>
        <v/>
      </c>
      <c r="BJ65" s="1" t="str">
        <f>IF(ISNUMBER(BI65)=TRUE,IF(_xlfn.RANK.EQ(BI65,$BI$2:$BI$111)&lt;='Tournament Setup'!$C$35,_xlfn.RANK.EQ(BI65,$BI$2:$BI$111),""),"")</f>
        <v/>
      </c>
      <c r="BK65" s="31" t="str">
        <f>IF(AND($F65='Tournament Setup'!$A$35,SUM($Q65,$U65)=0,$E65="F",$BH65&gt;'Tournament Setup'!$B$35),$I65,"")</f>
        <v/>
      </c>
      <c r="BL65" s="12" t="str">
        <f>IF(ISNUMBER(BK65)=TRUE,IF(_xlfn.RANK.EQ(BK65,$BK$2:$BK$111)&lt;='Tournament Setup'!$D$35,_xlfn.RANK.EQ(BK65,$BK$2:$BK$111),""),"")</f>
        <v/>
      </c>
      <c r="BM65" s="30" t="str">
        <f>IF(AND($G65='Tournament Setup'!$A$54,$J65&lt;&gt;0),$J65,"")</f>
        <v/>
      </c>
      <c r="BN65" s="47" t="str">
        <f>IF(ISNUMBER(BM65),IF(COUNTIFS(BN$1:BN64,_xlfn.RANK.EQ(BM65,BM$2:BM$111,0))&gt;0,_xlfn.MAXIFS(BN$1:BN64,BM$1:BM64,BM65)+1,_xlfn.RANK.EQ(BM65,BM$2:BM$111,0)),"")</f>
        <v/>
      </c>
      <c r="BO65" s="1" t="str">
        <f>IF(ISNUMBER(BM65)=TRUE,IF(_xlfn.RANK.EQ(BM65,$BM$2:$BM$111)&lt;='Tournament Setup'!$B$49,_xlfn.RANK.EQ(BM65,$BM$2:$BM$111),""),"")</f>
        <v/>
      </c>
      <c r="BP65" s="30" t="str">
        <f>IF(AND($F65='Tournament Setup'!$A$36,SUM($Q65,$S65,$U65)=0),$I65,"")</f>
        <v/>
      </c>
      <c r="BQ65" s="47" t="str">
        <f>IF(ISNUMBER(BP65),IF(COUNTIFS(BQ$1:BQ64,_xlfn.RANK.EQ(BP65,BP$2:BP$111,0))&gt;0,_xlfn.MAXIFS(BQ$1:BQ64,BP$1:BP64,BP65)+1,_xlfn.RANK.EQ(BP65,BP$2:BP$111,0)),"")</f>
        <v/>
      </c>
      <c r="BR65" s="1" t="str">
        <f>IF(ISNUMBER(BP65)=TRUE,IF(_xlfn.RANK.EQ(BP65,$BP$2:$BP$111)&lt;='Tournament Setup'!$B$36,_xlfn.RANK.EQ(BP65,$BP$2:$BP$111),""),"")</f>
        <v/>
      </c>
      <c r="BS65" s="31" t="str">
        <f>IF(AND($F65='Tournament Setup'!$A$36,SUM($Q65,$S65)=0,$E65="M",$BR65&gt;'Tournament Setup'!$B$36),$I65,"")</f>
        <v/>
      </c>
      <c r="BT65" s="1" t="str">
        <f>IF(ISNUMBER(BS65)=TRUE,IF(_xlfn.RANK.EQ(BS65,$BS$2:$BS$111)&lt;='Tournament Setup'!$C$36,_xlfn.RANK.EQ(BS65,$BS$2:$BS$111),""),"")</f>
        <v/>
      </c>
      <c r="BU65" s="31" t="str">
        <f>IF(AND($F65='Tournament Setup'!$A$36,SUM($Q65,$U65)=0,$E65="F",$BR65&gt;'Tournament Setup'!$B$36),$I65,"")</f>
        <v/>
      </c>
      <c r="BV65" s="12" t="str">
        <f>IF(ISNUMBER(BU65)=TRUE,IF(_xlfn.RANK.EQ(BU65,$BU$2:$BU$111)&lt;='Tournament Setup'!$D$36,_xlfn.RANK.EQ(BU65,$BU$2:$BU$111),""),"")</f>
        <v/>
      </c>
      <c r="BW65" s="30" t="str">
        <f>IF($H65='Tournament Setup'!$A$41,$I65,"")</f>
        <v/>
      </c>
      <c r="BX65" s="47" t="str">
        <f>IF(ISNUMBER(BW65),IF(COUNTIFS(BX$1:BX64,_xlfn.RANK.EQ(BW65,BW$2:BW$111,0))&gt;0,_xlfn.MAXIFS(BX$1:BX64,BW$1:BW64,BW65)+1,_xlfn.RANK.EQ(BW65,BW$2:BW$111,0)),"")</f>
        <v/>
      </c>
      <c r="BY65" s="1" t="str">
        <f>IF(ISNUMBER(BW65)=TRUE,IF(_xlfn.RANK.EQ(BW65,$BW$2:$BW$111)&lt;='Tournament Setup'!$B$41,_xlfn.RANK.EQ(BW65,$BW$2:$BW$111),""),"")</f>
        <v/>
      </c>
      <c r="BZ65" s="31" t="str">
        <f>IF(AND($H65='Tournament Setup'!$A$41,$E65="M",$BY65&gt;'Tournament Setup'!$B$41),$I65,"")</f>
        <v/>
      </c>
      <c r="CA65" s="1" t="str">
        <f>IF(ISNUMBER(BZ65)=TRUE,IF(_xlfn.RANK.EQ(BZ65,$BZ$2:$BZ$111)&lt;='Tournament Setup'!$C$41,_xlfn.RANK.EQ(BZ65,$BZ$2:$BZ$111),""),"")</f>
        <v/>
      </c>
      <c r="CB65" s="31" t="str">
        <f>IF(AND($H65='Tournament Setup'!$A$41,$E65="F",$BY65&gt;'Tournament Setup'!$B$41),$I65,"")</f>
        <v/>
      </c>
      <c r="CC65" s="12" t="str">
        <f>IF(ISNUMBER(CB65)=TRUE,IF(_xlfn.RANK.EQ(CB65,$CB$2:$CB$111)&lt;='Tournament Setup'!$D$41,_xlfn.RANK.EQ(CB65,$CB$2:$CB$111),""),"")</f>
        <v/>
      </c>
      <c r="CD65" s="30" t="str">
        <f>IF($H65='Tournament Setup'!$A$42,$I65,"")</f>
        <v/>
      </c>
      <c r="CE65" s="47" t="str">
        <f>IF(ISNUMBER(CD65),IF(COUNTIFS(CE$1:CE64,_xlfn.RANK.EQ(CD65,CD$2:CD$111,0))&gt;0,_xlfn.MAXIFS(CE$1:CE64,CD$1:CD64,CD65)+1,_xlfn.RANK.EQ(CD65,CD$2:CD$111,0)),"")</f>
        <v/>
      </c>
      <c r="CF65" s="1" t="str">
        <f>IF(ISNUMBER(CD65)=TRUE,IF(_xlfn.RANK.EQ(CD65,$CD$2:$CD$111)&lt;='Tournament Setup'!$B$42,_xlfn.RANK.EQ(CD65,$CD$2:$CD$111),""),"")</f>
        <v/>
      </c>
      <c r="CG65" s="31" t="str">
        <f>IF(AND($H65='Tournament Setup'!$A$42,$E65="M",$CF65&gt;'Tournament Setup'!$B$42),$I65,"")</f>
        <v/>
      </c>
      <c r="CH65" s="1" t="str">
        <f>IF(ISNUMBER(CG65)=TRUE,IF(_xlfn.RANK.EQ(CG65,$CG$2:$CG$111)&lt;='Tournament Setup'!$C$42,_xlfn.RANK.EQ(CG65,$CG$2:$CG$111),""),"")</f>
        <v/>
      </c>
      <c r="CI65" s="31" t="str">
        <f>IF(AND($H65='Tournament Setup'!$A$42,$E65="F",$CF65&gt;'Tournament Setup'!$B$42),$I65,"")</f>
        <v/>
      </c>
      <c r="CJ65" s="12" t="str">
        <f>IF(ISNUMBER(CI65)=TRUE,IF(_xlfn.RANK.EQ(CI65,$CI$2:$CI$111)&lt;='Tournament Setup'!$D$42,_xlfn.RANK.EQ(CI65,$CI$2:$CI$111),""),"")</f>
        <v/>
      </c>
      <c r="CK65" s="30" t="str">
        <f>IF($H65='Tournament Setup'!$A$43,$I65,"")</f>
        <v/>
      </c>
      <c r="CL65" s="47" t="str">
        <f>IF(ISNUMBER(CK65),IF(COUNTIFS(CL$1:CL64,_xlfn.RANK.EQ(CK65,CK$2:CK$111,0))&gt;0,_xlfn.MAXIFS(CL$1:CL64,CK$1:CK64,CK65)+1,_xlfn.RANK.EQ(CK65,CK$2:CK$111,0)),"")</f>
        <v/>
      </c>
      <c r="CM65" s="1" t="str">
        <f>IF(ISNUMBER(CK65)=TRUE,IF(_xlfn.RANK.EQ(CK65,$CK$2:$CK$111)&lt;='Tournament Setup'!$B$43,_xlfn.RANK.EQ(CK65,$CK$2:$CK$111),""),"")</f>
        <v/>
      </c>
      <c r="CN65" s="31" t="str">
        <f>IF(AND($H65='Tournament Setup'!$A$43,$E65="M",$CM65&gt;'Tournament Setup'!$B$43),$I65,"")</f>
        <v/>
      </c>
      <c r="CO65" s="1" t="str">
        <f>IF(ISNUMBER(CN65)=TRUE,IF(_xlfn.RANK.EQ(CN65,$CN$2:$CN$111)&lt;='Tournament Setup'!$C$43,_xlfn.RANK.EQ(CN65,$CN$2:$CN$111),""),"")</f>
        <v/>
      </c>
      <c r="CP65" s="31" t="str">
        <f>IF(AND($H65='Tournament Setup'!$A$43,$E65="F",$CM65&gt;'Tournament Setup'!$B$43),$I65,"")</f>
        <v/>
      </c>
      <c r="CQ65" s="12" t="str">
        <f>IF(ISNUMBER(CP65)=TRUE,IF(_xlfn.RANK.EQ(CP65,$CP$2:$CP$111)&lt;='Tournament Setup'!$D$43,_xlfn.RANK.EQ(CP65,$CP$2:$CP$111),""),"")</f>
        <v/>
      </c>
      <c r="CR65" s="30" t="str">
        <f>IF($H65='Tournament Setup'!$A$44,$I65,"")</f>
        <v/>
      </c>
      <c r="CS65" s="47" t="str">
        <f>IF(ISNUMBER(CR65),IF(COUNTIFS(CS$1:CS64,_xlfn.RANK.EQ(CR65,CR$2:CR$111,0))&gt;0,_xlfn.MAXIFS(CS$1:CS64,CR$1:CR64,CR65)+1,_xlfn.RANK.EQ(CR65,CR$2:CR$111,0)),"")</f>
        <v/>
      </c>
      <c r="CT65" s="1" t="str">
        <f>IF(ISNUMBER(CR65)=TRUE,IF(_xlfn.RANK.EQ(CR65,$CR$2:$CR$111)&lt;='Tournament Setup'!$B$44,_xlfn.RANK.EQ(CR65,$CR$2:$CR$111),""),"")</f>
        <v/>
      </c>
      <c r="CU65" s="31" t="str">
        <f>IF(AND($H65='Tournament Setup'!$A$44,$E65="M",$CT65&gt;'Tournament Setup'!$B$44),$I65,"")</f>
        <v/>
      </c>
      <c r="CV65" s="1" t="str">
        <f>IF(ISNUMBER(CU65)=TRUE,IF(_xlfn.RANK.EQ(CU65,$CU$2:$CU$111)&lt;='Tournament Setup'!$C$44,_xlfn.RANK.EQ(CU65,$CU$2:$CU$111),""),"")</f>
        <v/>
      </c>
      <c r="CW65" s="31" t="str">
        <f>IF(AND($H65='Tournament Setup'!$A$44,$E65="F",$CT65&gt;'Tournament Setup'!$B$44),$I65,"")</f>
        <v/>
      </c>
      <c r="CX65" s="12" t="str">
        <f>IF(ISNUMBER(CW65)=TRUE,IF(_xlfn.RANK.EQ(CW65,$CW$2:$CW$111)&lt;='Tournament Setup'!$D$44,_xlfn.RANK.EQ(CW65,$CW$2:$CW$111),""),"")</f>
        <v/>
      </c>
    </row>
    <row r="66" spans="2:102" x14ac:dyDescent="0.3">
      <c r="B66" t="str">
        <f>IFERROR(INDEX('Tournament List'!$B:$B,MATCH($A66,'Tournament List'!$A:$A,0)),"")</f>
        <v/>
      </c>
      <c r="C66" t="str">
        <f>IFERROR(INDEX('Tournament List'!$C:$C,MATCH($A66,'Tournament List'!$A:$A,0)),"")</f>
        <v/>
      </c>
      <c r="D66" t="str">
        <f t="shared" si="1"/>
        <v xml:space="preserve"> </v>
      </c>
      <c r="E66" s="1" t="str">
        <f>IFERROR(INDEX('Tournament List'!F:F,MATCH($A66,'Tournament List'!$A:$A,0)),"")</f>
        <v/>
      </c>
      <c r="F66" t="str">
        <f>IFERROR(INDEX('Tournament List'!M:M,MATCH($A66,'Tournament List'!$A:$A,0)),"")</f>
        <v/>
      </c>
      <c r="G66" t="str">
        <f>IFERROR(INDEX('Shooter-Squad Assignment'!L:L,MATCH(A66,'Shooter-Squad Assignment'!A:A,0)),"")</f>
        <v/>
      </c>
      <c r="H66" s="1" t="str">
        <f>IFERROR(INDEX('Tournament List'!AD:AD,MATCH($A66,'Tournament List'!$A:$A,0)),"")</f>
        <v/>
      </c>
      <c r="I66" s="123" t="str">
        <f>IFERROR(INDEX('Tournament List'!AG:AG,MATCH($A66,'Tournament List'!$A:$A,0)),"")</f>
        <v/>
      </c>
      <c r="J66" s="145" t="str">
        <f>IFERROR(INDEX('Tournament List'!Y:Y,MATCH($A66,'Tournament List'!$A:$A,0)),"")</f>
        <v/>
      </c>
      <c r="K66" s="47" t="str">
        <f>IFERROR(INDEX('Tournament List'!S:S,MATCH(A66,'Tournament List'!A:A,0)),"")</f>
        <v/>
      </c>
      <c r="L66" s="47" t="str">
        <f>IF(ISNUMBER(J66),IF(COUNTIFS(L$1:L55,_xlfn.RANK.EQ(J66,J$2:J$111,0))&gt;0,_xlfn.MAXIFS(L$1:L55,J$1:J55,J66)+1,_xlfn.RANK.EQ(J66,J$2:J$111,0)),"")</f>
        <v/>
      </c>
      <c r="M66" s="11" t="str">
        <f>IF(ISNUMBER(I66)=TRUE,IF(I66&gt;0,_xlfn.RANK.EQ(I66,$I$2:$I$111,0),""),"")</f>
        <v/>
      </c>
      <c r="N66" s="56" t="str">
        <f>IF(ISNUMBER(I66),IF(COUNTIFS(N$1:N55,_xlfn.RANK.EQ(I66,I$2:I$111,0))&gt;0,_xlfn.MAXIFS(N$1:N55,I$1:I55,I66)+1,_xlfn.RANK.EQ(I66,I$2:I$111,0)),"")</f>
        <v/>
      </c>
      <c r="O66" s="144" t="str">
        <f>IF(F66&lt;&gt;"Collegiate"=TRUE,$I66,"")</f>
        <v/>
      </c>
      <c r="P66" s="47" t="str">
        <f>IF(ISNUMBER(O66),IF(COUNTIFS(P$1:P55,_xlfn.RANK.EQ(O66,O$2:O$111,0))&gt;0,_xlfn.MAXIFS(P$1:P55,O$1:O55,O66)+1,_xlfn.RANK.EQ(O66,O$2:O$111,0)),"")</f>
        <v/>
      </c>
      <c r="Q66" s="1" t="str">
        <f>IF(ISNUMBER(O66)=TRUE,IF(_xlfn.RANK.EQ(O66,$O$2:$O$111)&lt;='Tournament Setup'!$B$26,_xlfn.RANK.EQ(O66,$O$2:$O$111),""),"")</f>
        <v/>
      </c>
      <c r="R66" s="143" t="str">
        <f>IF(AND($E66="M",SUM($Q66)=0,F66&lt;&gt;"Collegiate")=TRUE,$I66,"")</f>
        <v/>
      </c>
      <c r="S66" s="1" t="str">
        <f>IF(ISNUMBER(R66)=TRUE,IF(_xlfn.RANK.EQ(R66,$R$2:$R$111)&lt;='Tournament Setup'!$B$27,_xlfn.RANK.EQ(R66,$R$2:$R$111),""),"")</f>
        <v/>
      </c>
      <c r="T66" s="143" t="str">
        <f>IF(AND($E66="F",SUM($Q66)=0,F66&lt;&gt;"Collegiate")=TRUE,$I66,"")</f>
        <v/>
      </c>
      <c r="U66" s="12" t="str">
        <f>IF(ISNUMBER(T66)=TRUE,IF(_xlfn.RANK.EQ(T66,$T$2:$T$111)&lt;='Tournament Setup'!$B$28,_xlfn.RANK.EQ(T66,$T$2:$T$111),""),"")</f>
        <v/>
      </c>
      <c r="V66" s="145" t="str">
        <f>IF(AND($G66='Tournament Setup'!$A$53,$J66&lt;&gt;0),$J66,"")</f>
        <v/>
      </c>
      <c r="W66" s="47" t="str">
        <f>IF(ISNUMBER(V66),IF(COUNTIFS(W$1:W65,_xlfn.RANK.EQ(V66,V$2:V$111,0))&gt;0,_xlfn.MAXIFS(W$1:W65,V$1:V65,V66)+1,_xlfn.RANK.EQ(V66,V$2:V$111,0)),"")</f>
        <v/>
      </c>
      <c r="X66" s="1" t="str">
        <f>IF(ISNUMBER(V66)=TRUE,IF(_xlfn.RANK.EQ(V66,$V$2:$V$111)&lt;='Tournament Setup'!$B$53,_xlfn.RANK.EQ(V66,$V$2:$V$111),""),"")</f>
        <v/>
      </c>
      <c r="Y66" s="145" t="str">
        <f>IF(AND($G66='Tournament Setup'!$A$49,$J66&lt;&gt;0),$J66,"")</f>
        <v/>
      </c>
      <c r="Z66" s="47" t="str">
        <f>IF(ISNUMBER(Y66),IF(COUNTIFS(Z$1:Z65,_xlfn.RANK.EQ(Y66,Y$2:Y$111,0))&gt;0,_xlfn.MAXIFS(Z$1:Z65,Y$1:Y65,Y66)+1,_xlfn.RANK.EQ(Y66,Y$2:Y$111,0)),"")</f>
        <v/>
      </c>
      <c r="AA66" s="1" t="str">
        <f>IF(ISNUMBER(Y66)=TRUE,IF(_xlfn.RANK.EQ(Y66,$Y$2:$Y$111)&lt;='Tournament Setup'!$B$49,_xlfn.RANK.EQ(Y66,$Y$2:$Y$111),""),"")</f>
        <v/>
      </c>
      <c r="AB66" s="30" t="str">
        <f>IF(AND($F66='Tournament Setup'!$A$32,SUM($Q66,$S66,$U66)=0),$I66,"")</f>
        <v/>
      </c>
      <c r="AC66" s="47" t="str">
        <f>IF(ISNUMBER(AB66),IF(COUNTIFS(AC$1:AC55,_xlfn.RANK.EQ(AB66,AB$2:AB$111,0))&gt;0,_xlfn.MAXIFS(AC$1:AC55,AB$1:AB55,AB66)+1,_xlfn.RANK.EQ(AB66,AB$2:AB$111,0)),"")</f>
        <v/>
      </c>
      <c r="AD66" s="1" t="str">
        <f>IF(ISNUMBER(AB66)=TRUE,IF(_xlfn.RANK.EQ(AB66,$AB$2:$AB$111)&lt;='Tournament Setup'!$B$32,_xlfn.RANK.EQ(AB66,$AB$2:$AB$111),""),"")</f>
        <v/>
      </c>
      <c r="AE66" s="31" t="str">
        <f>IF(AND($F66='Tournament Setup'!$A$32,SUM($Q66,$S66)=0,$E66="M",$AD66&gt;'Tournament Setup'!$B$32),$I66,"")</f>
        <v/>
      </c>
      <c r="AF66" s="1" t="str">
        <f>IF(ISNUMBER(AE66)=TRUE,IF(_xlfn.RANK.EQ(AE66,$AE$2:$AE$111)&lt;='Tournament Setup'!$C$32,_xlfn.RANK.EQ(AE66,$AE$2:$AE$111),""),"")</f>
        <v/>
      </c>
      <c r="AG66" s="31" t="str">
        <f>IF(AND($F66='Tournament Setup'!$A$32,SUM($Q66,$U66)=0,$E66="F",$AD66&gt;'Tournament Setup'!$B$32),$I66,"")</f>
        <v/>
      </c>
      <c r="AH66" s="12" t="str">
        <f>IF(ISNUMBER(AG66)=TRUE,IF(_xlfn.RANK.EQ(AG66,$AG$2:$AG$111)&lt;='Tournament Setup'!$D$32,_xlfn.RANK.EQ(AG66,$AG$2:$AG$111),""),"")</f>
        <v/>
      </c>
      <c r="AI66" s="30" t="str">
        <f>IF(AND($G66='Tournament Setup'!$A$50,$J66&lt;&gt;0),$J66,"")</f>
        <v/>
      </c>
      <c r="AJ66" s="47" t="str">
        <f>IF(ISNUMBER(AI66),IF(COUNTIFS(AJ$1:AJ55,_xlfn.RANK.EQ(AI66,AI$2:AI$111,0))&gt;0,_xlfn.MAXIFS(AJ$1:AJ55,AI$1:AI55,AI66)+1,_xlfn.RANK.EQ(AI66,AI$2:AI$111,0)),"")</f>
        <v/>
      </c>
      <c r="AK66" s="1" t="str">
        <f>IF(ISNUMBER(AI66)=TRUE,IF(_xlfn.RANK.EQ(AI66,$AI$2:$AI$111)&lt;='Tournament Setup'!$B$49,_xlfn.RANK.EQ(AI66,$AI$2:$AI$111),""),"")</f>
        <v/>
      </c>
      <c r="AL66" s="30" t="str">
        <f>IF(AND($F66='Tournament Setup'!$A$33,SUM($Q66,$S66,$U66)=0),$I66,"")</f>
        <v/>
      </c>
      <c r="AM66" s="47" t="str">
        <f>IF(ISNUMBER(AL66),IF(COUNTIFS(AM$1:AM55,_xlfn.RANK.EQ(AL66,AL$2:AL$111,0))&gt;0,_xlfn.MAXIFS(AM$1:AM55,AL$1:AL55,AL66)+1,_xlfn.RANK.EQ(AL66,AL$2:AL$111,0)),"")</f>
        <v/>
      </c>
      <c r="AN66" s="1" t="str">
        <f>IF(ISNUMBER(AL66)=TRUE,IF(_xlfn.RANK.EQ(AL66,$AL$2:$AL$111)&lt;='Tournament Setup'!$B$33,_xlfn.RANK.EQ(AL66,$AL$2:$AL$111),""),"")</f>
        <v/>
      </c>
      <c r="AO66" s="31" t="str">
        <f>IF(AND($F66='Tournament Setup'!$A$33,SUM($Q66,$S66)=0,$E66="M",$AN66&gt;'Tournament Setup'!$B$33),$I66,"")</f>
        <v/>
      </c>
      <c r="AP66" s="1" t="str">
        <f>IF(ISNUMBER(AO66)=TRUE,IF(_xlfn.RANK.EQ(AO66,$AO$2:$AO$111)&lt;='Tournament Setup'!$C$33,_xlfn.RANK.EQ(AO66,$AO$2:$AO$111),""),"")</f>
        <v/>
      </c>
      <c r="AQ66" s="31" t="str">
        <f>IF(AND($F66='Tournament Setup'!$A$33,SUM($Q66,$U66)=0,$E66="F",$AN66&gt;'Tournament Setup'!$B$33),$I66,"")</f>
        <v/>
      </c>
      <c r="AR66" s="12" t="str">
        <f>IF(ISNUMBER(AQ66)=TRUE,IF(_xlfn.RANK.EQ(AQ66,$AQ$2:$AQ$111)&lt;='Tournament Setup'!$D$33,_xlfn.RANK.EQ(AQ66,$AQ$2:$AQ$111),""),"")</f>
        <v/>
      </c>
      <c r="AS66" s="30" t="str">
        <f>IF(AND($G66='Tournament Setup'!$A$51,$J66&lt;&gt;0),$J66,"")</f>
        <v/>
      </c>
      <c r="AT66" s="47" t="str">
        <f>IF(ISNUMBER(AS66),IF(COUNTIFS(AT$1:AT55,_xlfn.RANK.EQ(AS66,AS$2:AS$111,0))&gt;0,_xlfn.MAXIFS(AT$1:AT55,AS$1:AS55,AS66)+1,_xlfn.RANK.EQ(AS66,AS$2:AS$111,0)),"")</f>
        <v/>
      </c>
      <c r="AU66" s="1" t="str">
        <f>IF(ISNUMBER(AS66)=TRUE,IF(_xlfn.RANK.EQ(AS66,$AS$2:$AS$111)&lt;='Tournament Setup'!$B$49,_xlfn.RANK.EQ(AS66,$AS$2:$AS$111),""),"")</f>
        <v/>
      </c>
      <c r="AV66" s="30" t="str">
        <f>IF(AND($F66='Tournament Setup'!$A$34,SUM($Q66,$S66,$U66)=0),$I66,"")</f>
        <v/>
      </c>
      <c r="AW66" s="47" t="str">
        <f>IF(ISNUMBER(AV66),IF(COUNTIFS(AW$1:AW55,_xlfn.RANK.EQ(AV66,AV$2:AV$111,0))&gt;0,_xlfn.MAXIFS(AW$1:AW55,AV$1:AV55,AV66)+1,_xlfn.RANK.EQ(AV66,AV$2:AV$111,0)),"")</f>
        <v/>
      </c>
      <c r="AX66" s="1" t="str">
        <f>IF(ISNUMBER(AV66)=TRUE,IF(_xlfn.RANK.EQ(AV66,$AV$2:$AV$111)&lt;='Tournament Setup'!$B$34,_xlfn.RANK.EQ(AV66,$AV$2:$AV$111),""),"")</f>
        <v/>
      </c>
      <c r="AY66" s="31" t="str">
        <f>IF(AND($F66='Tournament Setup'!$A$34,SUM($Q66,$S66)=0,$E66="M",$AX66&gt;'Tournament Setup'!$B$34),$I66,"")</f>
        <v/>
      </c>
      <c r="AZ66" s="1" t="str">
        <f>IF(ISNUMBER(AY66)=TRUE,IF(_xlfn.RANK.EQ(AY66,$AY$2:$AY$111)&lt;='Tournament Setup'!$C$34,_xlfn.RANK.EQ(AY66,$AY$2:$AY$111),""),"")</f>
        <v/>
      </c>
      <c r="BA66" s="31" t="str">
        <f>IF(AND($F66='Tournament Setup'!$A$34,SUM($Q66,$U66)=0,$E66="F",$AX66&gt;'Tournament Setup'!$B$34),$I66,"")</f>
        <v/>
      </c>
      <c r="BB66" s="12" t="str">
        <f>IF(ISNUMBER(BA66)=TRUE,IF(_xlfn.RANK.EQ(BA66,$BA$2:$BA$111)&lt;='Tournament Setup'!$D$34,_xlfn.RANK.EQ(BA66,$BA$2:$BA$111),""),"")</f>
        <v/>
      </c>
      <c r="BC66" s="30" t="str">
        <f>IF(AND($G66='Tournament Setup'!$A$52,$J66&lt;&gt;0),$J66,"")</f>
        <v/>
      </c>
      <c r="BD66" s="47" t="str">
        <f>IF(ISNUMBER(BC66),IF(COUNTIFS(BD$1:BD55,_xlfn.RANK.EQ(BC66,BC$2:BC$111,0))&gt;0,_xlfn.MAXIFS(BD$1:BD55,BC$1:BC55,BC66)+1,_xlfn.RANK.EQ(BC66,BC$2:BC$111,0)),"")</f>
        <v/>
      </c>
      <c r="BE66" s="1" t="str">
        <f>IF(ISNUMBER(BC66)=TRUE,IF(_xlfn.RANK.EQ(BC66,$BC$2:$BC$111)&lt;='Tournament Setup'!$B$49,_xlfn.RANK.EQ(BC66,$BC$2:$BC$111),""),"")</f>
        <v/>
      </c>
      <c r="BF66" s="30" t="str">
        <f>IF(AND($F66='Tournament Setup'!$A$35,SUM($Q66,$S66,$U66)=0),$I66,"")</f>
        <v/>
      </c>
      <c r="BG66" s="47" t="str">
        <f>IF(ISNUMBER(BF66),IF(COUNTIFS(BG$1:BG55,_xlfn.RANK.EQ(BF66,BF$2:BF$111,0))&gt;0,_xlfn.MAXIFS(BG$1:BG55,BF$1:BF55,BF66)+1,_xlfn.RANK.EQ(BF66,BF$2:BF$111,0)),"")</f>
        <v/>
      </c>
      <c r="BH66" s="1" t="str">
        <f>IF(ISNUMBER(BF66)=TRUE,IF(_xlfn.RANK.EQ(BF66,$BF$2:$BF$111)&lt;='Tournament Setup'!$B$35,_xlfn.RANK.EQ(BF66,$BF$2:$BF$111),""),"")</f>
        <v/>
      </c>
      <c r="BI66" s="31" t="str">
        <f>IF(AND($F66='Tournament Setup'!$A$35,SUM($Q66,$S66)=0,$E66="M",$BH66&gt;'Tournament Setup'!$B$35),$I66,"")</f>
        <v/>
      </c>
      <c r="BJ66" s="1" t="str">
        <f>IF(ISNUMBER(BI66)=TRUE,IF(_xlfn.RANK.EQ(BI66,$BI$2:$BI$111)&lt;='Tournament Setup'!$C$35,_xlfn.RANK.EQ(BI66,$BI$2:$BI$111),""),"")</f>
        <v/>
      </c>
      <c r="BK66" s="31" t="str">
        <f>IF(AND($F66='Tournament Setup'!$A$35,SUM($Q66,$U66)=0,$E66="F",$BH66&gt;'Tournament Setup'!$B$35),$I66,"")</f>
        <v/>
      </c>
      <c r="BL66" s="12" t="str">
        <f>IF(ISNUMBER(BK66)=TRUE,IF(_xlfn.RANK.EQ(BK66,$BK$2:$BK$111)&lt;='Tournament Setup'!$D$35,_xlfn.RANK.EQ(BK66,$BK$2:$BK$111),""),"")</f>
        <v/>
      </c>
      <c r="BM66" s="30" t="str">
        <f>IF(AND($G66='Tournament Setup'!$A$54,$J66&lt;&gt;0),$J66,"")</f>
        <v/>
      </c>
      <c r="BN66" s="47" t="str">
        <f>IF(ISNUMBER(BM66),IF(COUNTIFS(BN$1:BN55,_xlfn.RANK.EQ(BM66,BM$2:BM$111,0))&gt;0,_xlfn.MAXIFS(BN$1:BN55,BM$1:BM55,BM66)+1,_xlfn.RANK.EQ(BM66,BM$2:BM$111,0)),"")</f>
        <v/>
      </c>
      <c r="BO66" s="1" t="str">
        <f>IF(ISNUMBER(BM66)=TRUE,IF(_xlfn.RANK.EQ(BM66,$BM$2:$BM$111)&lt;='Tournament Setup'!$B$49,_xlfn.RANK.EQ(BM66,$BM$2:$BM$111),""),"")</f>
        <v/>
      </c>
      <c r="BP66" s="30" t="str">
        <f>IF(AND($F66='Tournament Setup'!$A$36,SUM($Q66,$S66,$U66)=0),$I66,"")</f>
        <v/>
      </c>
      <c r="BQ66" s="47" t="str">
        <f>IF(ISNUMBER(BP66),IF(COUNTIFS(BQ$1:BQ55,_xlfn.RANK.EQ(BP66,BP$2:BP$111,0))&gt;0,_xlfn.MAXIFS(BQ$1:BQ55,BP$1:BP55,BP66)+1,_xlfn.RANK.EQ(BP66,BP$2:BP$111,0)),"")</f>
        <v/>
      </c>
      <c r="BR66" s="1" t="str">
        <f>IF(ISNUMBER(BP66)=TRUE,IF(_xlfn.RANK.EQ(BP66,$BP$2:$BP$111)&lt;='Tournament Setup'!$B$36,_xlfn.RANK.EQ(BP66,$BP$2:$BP$111),""),"")</f>
        <v/>
      </c>
      <c r="BS66" s="31" t="str">
        <f>IF(AND($F66='Tournament Setup'!$A$36,SUM($Q66,$S66)=0,$E66="M",$BR66&gt;'Tournament Setup'!$B$36),$I66,"")</f>
        <v/>
      </c>
      <c r="BT66" s="1" t="str">
        <f>IF(ISNUMBER(BS66)=TRUE,IF(_xlfn.RANK.EQ(BS66,$BS$2:$BS$111)&lt;='Tournament Setup'!$C$36,_xlfn.RANK.EQ(BS66,$BS$2:$BS$111),""),"")</f>
        <v/>
      </c>
      <c r="BU66" s="31" t="str">
        <f>IF(AND($F66='Tournament Setup'!$A$36,SUM($Q66,$U66)=0,$E66="F",$BR66&gt;'Tournament Setup'!$B$36),$I66,"")</f>
        <v/>
      </c>
      <c r="BV66" s="12" t="str">
        <f>IF(ISNUMBER(BU66)=TRUE,IF(_xlfn.RANK.EQ(BU66,$BU$2:$BU$111)&lt;='Tournament Setup'!$D$36,_xlfn.RANK.EQ(BU66,$BU$2:$BU$111),""),"")</f>
        <v/>
      </c>
      <c r="BW66" s="30" t="str">
        <f>IF($H66='Tournament Setup'!$A$41,$I66,"")</f>
        <v/>
      </c>
      <c r="BX66" s="47" t="str">
        <f>IF(ISNUMBER(BW66),IF(COUNTIFS(BX$1:BX55,_xlfn.RANK.EQ(BW66,BW$2:BW$111,0))&gt;0,_xlfn.MAXIFS(BX$1:BX55,BW$1:BW55,BW66)+1,_xlfn.RANK.EQ(BW66,BW$2:BW$111,0)),"")</f>
        <v/>
      </c>
      <c r="BY66" s="1" t="str">
        <f>IF(ISNUMBER(BW66)=TRUE,IF(_xlfn.RANK.EQ(BW66,$BW$2:$BW$111)&lt;='Tournament Setup'!$B$41,_xlfn.RANK.EQ(BW66,$BW$2:$BW$111),""),"")</f>
        <v/>
      </c>
      <c r="BZ66" s="31" t="str">
        <f>IF(AND($H66='Tournament Setup'!$A$41,$E66="M",$BY66&gt;'Tournament Setup'!$B$41),$I66,"")</f>
        <v/>
      </c>
      <c r="CA66" s="1" t="str">
        <f>IF(ISNUMBER(BZ66)=TRUE,IF(_xlfn.RANK.EQ(BZ66,$BZ$2:$BZ$111)&lt;='Tournament Setup'!$C$41,_xlfn.RANK.EQ(BZ66,$BZ$2:$BZ$111),""),"")</f>
        <v/>
      </c>
      <c r="CB66" s="31" t="str">
        <f>IF(AND($H66='Tournament Setup'!$A$41,$E66="F",$BY66&gt;'Tournament Setup'!$B$41),$I66,"")</f>
        <v/>
      </c>
      <c r="CC66" s="12" t="str">
        <f>IF(ISNUMBER(CB66)=TRUE,IF(_xlfn.RANK.EQ(CB66,$CB$2:$CB$111)&lt;='Tournament Setup'!$D$41,_xlfn.RANK.EQ(CB66,$CB$2:$CB$111),""),"")</f>
        <v/>
      </c>
      <c r="CD66" s="30" t="str">
        <f>IF($H66='Tournament Setup'!$A$42,$I66,"")</f>
        <v/>
      </c>
      <c r="CE66" s="47" t="str">
        <f>IF(ISNUMBER(CD66),IF(COUNTIFS(CE$1:CE55,_xlfn.RANK.EQ(CD66,CD$2:CD$111,0))&gt;0,_xlfn.MAXIFS(CE$1:CE55,CD$1:CD55,CD66)+1,_xlfn.RANK.EQ(CD66,CD$2:CD$111,0)),"")</f>
        <v/>
      </c>
      <c r="CF66" s="1" t="str">
        <f>IF(ISNUMBER(CD66)=TRUE,IF(_xlfn.RANK.EQ(CD66,$CD$2:$CD$111)&lt;='Tournament Setup'!$B$42,_xlfn.RANK.EQ(CD66,$CD$2:$CD$111),""),"")</f>
        <v/>
      </c>
      <c r="CG66" s="31" t="str">
        <f>IF(AND($H66='Tournament Setup'!$A$42,$E66="M",$CF66&gt;'Tournament Setup'!$B$42),$I66,"")</f>
        <v/>
      </c>
      <c r="CH66" s="1" t="str">
        <f>IF(ISNUMBER(CG66)=TRUE,IF(_xlfn.RANK.EQ(CG66,$CG$2:$CG$111)&lt;='Tournament Setup'!$C$42,_xlfn.RANK.EQ(CG66,$CG$2:$CG$111),""),"")</f>
        <v/>
      </c>
      <c r="CI66" s="31" t="str">
        <f>IF(AND($H66='Tournament Setup'!$A$42,$E66="F",$CF66&gt;'Tournament Setup'!$B$42),$I66,"")</f>
        <v/>
      </c>
      <c r="CJ66" s="12" t="str">
        <f>IF(ISNUMBER(CI66)=TRUE,IF(_xlfn.RANK.EQ(CI66,$CI$2:$CI$111)&lt;='Tournament Setup'!$D$42,_xlfn.RANK.EQ(CI66,$CI$2:$CI$111),""),"")</f>
        <v/>
      </c>
      <c r="CK66" s="30" t="str">
        <f>IF($H66='Tournament Setup'!$A$43,$I66,"")</f>
        <v/>
      </c>
      <c r="CL66" s="47" t="str">
        <f>IF(ISNUMBER(CK66),IF(COUNTIFS(CL$1:CL55,_xlfn.RANK.EQ(CK66,CK$2:CK$111,0))&gt;0,_xlfn.MAXIFS(CL$1:CL55,CK$1:CK55,CK66)+1,_xlfn.RANK.EQ(CK66,CK$2:CK$111,0)),"")</f>
        <v/>
      </c>
      <c r="CM66" s="1" t="str">
        <f>IF(ISNUMBER(CK66)=TRUE,IF(_xlfn.RANK.EQ(CK66,$CK$2:$CK$111)&lt;='Tournament Setup'!$B$43,_xlfn.RANK.EQ(CK66,$CK$2:$CK$111),""),"")</f>
        <v/>
      </c>
      <c r="CN66" s="31" t="str">
        <f>IF(AND($H66='Tournament Setup'!$A$43,$E66="M",$CM66&gt;'Tournament Setup'!$B$43),$I66,"")</f>
        <v/>
      </c>
      <c r="CO66" s="1" t="str">
        <f>IF(ISNUMBER(CN66)=TRUE,IF(_xlfn.RANK.EQ(CN66,$CN$2:$CN$111)&lt;='Tournament Setup'!$C$43,_xlfn.RANK.EQ(CN66,$CN$2:$CN$111),""),"")</f>
        <v/>
      </c>
      <c r="CP66" s="31" t="str">
        <f>IF(AND($H66='Tournament Setup'!$A$43,$E66="F",$CM66&gt;'Tournament Setup'!$B$43),$I66,"")</f>
        <v/>
      </c>
      <c r="CQ66" s="12" t="str">
        <f>IF(ISNUMBER(CP66)=TRUE,IF(_xlfn.RANK.EQ(CP66,$CP$2:$CP$111)&lt;='Tournament Setup'!$D$43,_xlfn.RANK.EQ(CP66,$CP$2:$CP$111),""),"")</f>
        <v/>
      </c>
      <c r="CR66" s="30" t="str">
        <f>IF($H66='Tournament Setup'!$A$44,$I66,"")</f>
        <v/>
      </c>
      <c r="CS66" s="47" t="str">
        <f>IF(ISNUMBER(CR66),IF(COUNTIFS(CS$1:CS55,_xlfn.RANK.EQ(CR66,CR$2:CR$111,0))&gt;0,_xlfn.MAXIFS(CS$1:CS55,CR$1:CR55,CR66)+1,_xlfn.RANK.EQ(CR66,CR$2:CR$111,0)),"")</f>
        <v/>
      </c>
      <c r="CT66" s="1" t="str">
        <f>IF(ISNUMBER(CR66)=TRUE,IF(_xlfn.RANK.EQ(CR66,$CR$2:$CR$111)&lt;='Tournament Setup'!$B$44,_xlfn.RANK.EQ(CR66,$CR$2:$CR$111),""),"")</f>
        <v/>
      </c>
      <c r="CU66" s="31" t="str">
        <f>IF(AND($H66='Tournament Setup'!$A$44,$E66="M",$CT66&gt;'Tournament Setup'!$B$44),$I66,"")</f>
        <v/>
      </c>
      <c r="CV66" s="1" t="str">
        <f>IF(ISNUMBER(CU66)=TRUE,IF(_xlfn.RANK.EQ(CU66,$CU$2:$CU$111)&lt;='Tournament Setup'!$C$44,_xlfn.RANK.EQ(CU66,$CU$2:$CU$111),""),"")</f>
        <v/>
      </c>
      <c r="CW66" s="31" t="str">
        <f>IF(AND($H66='Tournament Setup'!$A$44,$E66="F",$CT66&gt;'Tournament Setup'!$B$44),$I66,"")</f>
        <v/>
      </c>
      <c r="CX66" s="12" t="str">
        <f>IF(ISNUMBER(CW66)=TRUE,IF(_xlfn.RANK.EQ(CW66,$CW$2:$CW$111)&lt;='Tournament Setup'!$D$44,_xlfn.RANK.EQ(CW66,$CW$2:$CW$111),""),"")</f>
        <v/>
      </c>
    </row>
    <row r="67" spans="2:102" x14ac:dyDescent="0.3">
      <c r="B67" t="str">
        <f>IFERROR(INDEX('Tournament List'!$B:$B,MATCH($A67,'Tournament List'!$A:$A,0)),"")</f>
        <v/>
      </c>
      <c r="C67" t="str">
        <f>IFERROR(INDEX('Tournament List'!$C:$C,MATCH($A67,'Tournament List'!$A:$A,0)),"")</f>
        <v/>
      </c>
      <c r="D67" t="str">
        <f t="shared" si="1"/>
        <v xml:space="preserve"> </v>
      </c>
      <c r="E67" s="1" t="str">
        <f>IFERROR(INDEX('Tournament List'!F:F,MATCH($A67,'Tournament List'!$A:$A,0)),"")</f>
        <v/>
      </c>
      <c r="F67" t="str">
        <f>IFERROR(INDEX('Tournament List'!M:M,MATCH($A67,'Tournament List'!$A:$A,0)),"")</f>
        <v/>
      </c>
      <c r="G67" t="str">
        <f>IFERROR(INDEX('Shooter-Squad Assignment'!L:L,MATCH(A67,'Shooter-Squad Assignment'!A:A,0)),"")</f>
        <v/>
      </c>
      <c r="H67" s="1" t="str">
        <f>IFERROR(INDEX('Tournament List'!AD:AD,MATCH($A67,'Tournament List'!$A:$A,0)),"")</f>
        <v/>
      </c>
      <c r="I67" s="123" t="str">
        <f>IFERROR(INDEX('Tournament List'!AG:AG,MATCH($A67,'Tournament List'!$A:$A,0)),"")</f>
        <v/>
      </c>
      <c r="J67" s="145" t="str">
        <f>IFERROR(INDEX('Tournament List'!Y:Y,MATCH($A67,'Tournament List'!$A:$A,0)),"")</f>
        <v/>
      </c>
      <c r="K67" s="47" t="str">
        <f>IFERROR(INDEX('Tournament List'!S:S,MATCH(A67,'Tournament List'!A:A,0)),"")</f>
        <v/>
      </c>
      <c r="L67" s="47" t="str">
        <f>IF(ISNUMBER(J67),IF(COUNTIFS(L$1:L66,_xlfn.RANK.EQ(J67,J$2:J$111,0))&gt;0,_xlfn.MAXIFS(L$1:L66,J$1:J66,J67)+1,_xlfn.RANK.EQ(J67,J$2:J$111,0)),"")</f>
        <v/>
      </c>
      <c r="M67" s="11" t="str">
        <f>IF(ISNUMBER(I67)=TRUE,IF(I67&gt;0,_xlfn.RANK.EQ(I67,$I$2:$I$111,0),""),"")</f>
        <v/>
      </c>
      <c r="N67" s="56" t="str">
        <f>IF(ISNUMBER(I67),IF(COUNTIFS(N$1:N66,_xlfn.RANK.EQ(I67,I$2:I$111,0))&gt;0,_xlfn.MAXIFS(N$1:N66,I$1:I66,I67)+1,_xlfn.RANK.EQ(I67,I$2:I$111,0)),"")</f>
        <v/>
      </c>
      <c r="O67" s="144" t="str">
        <f>IF(F67&lt;&gt;"Collegiate"=TRUE,$I67,"")</f>
        <v/>
      </c>
      <c r="P67" s="47" t="str">
        <f>IF(ISNUMBER(O67),IF(COUNTIFS(P$1:P66,_xlfn.RANK.EQ(O67,O$2:O$111,0))&gt;0,_xlfn.MAXIFS(P$1:P66,O$1:O66,O67)+1,_xlfn.RANK.EQ(O67,O$2:O$111,0)),"")</f>
        <v/>
      </c>
      <c r="Q67" s="1" t="str">
        <f>IF(ISNUMBER(O67)=TRUE,IF(_xlfn.RANK.EQ(O67,$O$2:$O$111)&lt;='Tournament Setup'!$B$26,_xlfn.RANK.EQ(O67,$O$2:$O$111),""),"")</f>
        <v/>
      </c>
      <c r="R67" s="143" t="str">
        <f>IF(AND($E67="M",SUM($Q67)=0,F67&lt;&gt;"Collegiate")=TRUE,$I67,"")</f>
        <v/>
      </c>
      <c r="S67" s="1" t="str">
        <f>IF(ISNUMBER(R67)=TRUE,IF(_xlfn.RANK.EQ(R67,$R$2:$R$111)&lt;='Tournament Setup'!$B$27,_xlfn.RANK.EQ(R67,$R$2:$R$111),""),"")</f>
        <v/>
      </c>
      <c r="T67" s="143" t="str">
        <f>IF(AND($E67="F",SUM($Q67)=0,F67&lt;&gt;"Collegiate")=TRUE,$I67,"")</f>
        <v/>
      </c>
      <c r="U67" s="12" t="str">
        <f>IF(ISNUMBER(T67)=TRUE,IF(_xlfn.RANK.EQ(T67,$T$2:$T$111)&lt;='Tournament Setup'!$B$28,_xlfn.RANK.EQ(T67,$T$2:$T$111),""),"")</f>
        <v/>
      </c>
      <c r="V67" s="145" t="str">
        <f>IF(AND($G67='Tournament Setup'!$A$53,$J67&lt;&gt;0),$J67,"")</f>
        <v/>
      </c>
      <c r="W67" s="47" t="str">
        <f>IF(ISNUMBER(V67),IF(COUNTIFS(W$1:W66,_xlfn.RANK.EQ(V67,V$2:V$111,0))&gt;0,_xlfn.MAXIFS(W$1:W66,V$1:V66,V67)+1,_xlfn.RANK.EQ(V67,V$2:V$111,0)),"")</f>
        <v/>
      </c>
      <c r="X67" s="1" t="str">
        <f>IF(ISNUMBER(V67)=TRUE,IF(_xlfn.RANK.EQ(V67,$V$2:$V$111)&lt;='Tournament Setup'!$B$53,_xlfn.RANK.EQ(V67,$V$2:$V$111),""),"")</f>
        <v/>
      </c>
      <c r="Y67" s="145" t="str">
        <f>IF(AND($G67='Tournament Setup'!$A$49,$J67&lt;&gt;0),$J67,"")</f>
        <v/>
      </c>
      <c r="Z67" s="47" t="str">
        <f>IF(ISNUMBER(Y67),IF(COUNTIFS(Z$1:Z66,_xlfn.RANK.EQ(Y67,Y$2:Y$111,0))&gt;0,_xlfn.MAXIFS(Z$1:Z66,Y$1:Y66,Y67)+1,_xlfn.RANK.EQ(Y67,Y$2:Y$111,0)),"")</f>
        <v/>
      </c>
      <c r="AA67" s="1" t="str">
        <f>IF(ISNUMBER(Y67)=TRUE,IF(_xlfn.RANK.EQ(Y67,$Y$2:$Y$111)&lt;='Tournament Setup'!$B$49,_xlfn.RANK.EQ(Y67,$Y$2:$Y$111),""),"")</f>
        <v/>
      </c>
      <c r="AB67" s="30" t="str">
        <f>IF(AND($F67='Tournament Setup'!$A$32,SUM($Q67,$S67,$U67)=0),$I67,"")</f>
        <v/>
      </c>
      <c r="AC67" s="47" t="str">
        <f>IF(ISNUMBER(AB67),IF(COUNTIFS(AC$1:AC66,_xlfn.RANK.EQ(AB67,AB$2:AB$111,0))&gt;0,_xlfn.MAXIFS(AC$1:AC66,AB$1:AB66,AB67)+1,_xlfn.RANK.EQ(AB67,AB$2:AB$111,0)),"")</f>
        <v/>
      </c>
      <c r="AD67" s="1" t="str">
        <f>IF(ISNUMBER(AB67)=TRUE,IF(_xlfn.RANK.EQ(AB67,$AB$2:$AB$111)&lt;='Tournament Setup'!$B$32,_xlfn.RANK.EQ(AB67,$AB$2:$AB$111),""),"")</f>
        <v/>
      </c>
      <c r="AE67" s="31" t="str">
        <f>IF(AND($F67='Tournament Setup'!$A$32,SUM($Q67,$S67)=0,$E67="M",$AD67&gt;'Tournament Setup'!$B$32),$I67,"")</f>
        <v/>
      </c>
      <c r="AF67" s="1" t="str">
        <f>IF(ISNUMBER(AE67)=TRUE,IF(_xlfn.RANK.EQ(AE67,$AE$2:$AE$111)&lt;='Tournament Setup'!$C$32,_xlfn.RANK.EQ(AE67,$AE$2:$AE$111),""),"")</f>
        <v/>
      </c>
      <c r="AG67" s="31" t="str">
        <f>IF(AND($F67='Tournament Setup'!$A$32,SUM($Q67,$U67)=0,$E67="F",$AD67&gt;'Tournament Setup'!$B$32),$I67,"")</f>
        <v/>
      </c>
      <c r="AH67" s="12" t="str">
        <f>IF(ISNUMBER(AG67)=TRUE,IF(_xlfn.RANK.EQ(AG67,$AG$2:$AG$111)&lt;='Tournament Setup'!$D$32,_xlfn.RANK.EQ(AG67,$AG$2:$AG$111),""),"")</f>
        <v/>
      </c>
      <c r="AI67" s="30" t="str">
        <f>IF(AND($G67='Tournament Setup'!$A$50,$J67&lt;&gt;0),$J67,"")</f>
        <v/>
      </c>
      <c r="AJ67" s="47" t="str">
        <f>IF(ISNUMBER(AI67),IF(COUNTIFS(AJ$1:AJ66,_xlfn.RANK.EQ(AI67,AI$2:AI$111,0))&gt;0,_xlfn.MAXIFS(AJ$1:AJ66,AI$1:AI66,AI67)+1,_xlfn.RANK.EQ(AI67,AI$2:AI$111,0)),"")</f>
        <v/>
      </c>
      <c r="AK67" s="1" t="str">
        <f>IF(ISNUMBER(AI67)=TRUE,IF(_xlfn.RANK.EQ(AI67,$AI$2:$AI$111)&lt;='Tournament Setup'!$B$49,_xlfn.RANK.EQ(AI67,$AI$2:$AI$111),""),"")</f>
        <v/>
      </c>
      <c r="AL67" s="30" t="str">
        <f>IF(AND($F67='Tournament Setup'!$A$33,SUM($Q67,$S67,$U67)=0),$I67,"")</f>
        <v/>
      </c>
      <c r="AM67" s="47" t="str">
        <f>IF(ISNUMBER(AL67),IF(COUNTIFS(AM$1:AM66,_xlfn.RANK.EQ(AL67,AL$2:AL$111,0))&gt;0,_xlfn.MAXIFS(AM$1:AM66,AL$1:AL66,AL67)+1,_xlfn.RANK.EQ(AL67,AL$2:AL$111,0)),"")</f>
        <v/>
      </c>
      <c r="AN67" s="1" t="str">
        <f>IF(ISNUMBER(AL67)=TRUE,IF(_xlfn.RANK.EQ(AL67,$AL$2:$AL$111)&lt;='Tournament Setup'!$B$33,_xlfn.RANK.EQ(AL67,$AL$2:$AL$111),""),"")</f>
        <v/>
      </c>
      <c r="AO67" s="31" t="str">
        <f>IF(AND($F67='Tournament Setup'!$A$33,SUM($Q67,$S67)=0,$E67="M",$AN67&gt;'Tournament Setup'!$B$33),$I67,"")</f>
        <v/>
      </c>
      <c r="AP67" s="1" t="str">
        <f>IF(ISNUMBER(AO67)=TRUE,IF(_xlfn.RANK.EQ(AO67,$AO$2:$AO$111)&lt;='Tournament Setup'!$C$33,_xlfn.RANK.EQ(AO67,$AO$2:$AO$111),""),"")</f>
        <v/>
      </c>
      <c r="AQ67" s="31" t="str">
        <f>IF(AND($F67='Tournament Setup'!$A$33,SUM($Q67,$U67)=0,$E67="F",$AN67&gt;'Tournament Setup'!$B$33),$I67,"")</f>
        <v/>
      </c>
      <c r="AR67" s="12" t="str">
        <f>IF(ISNUMBER(AQ67)=TRUE,IF(_xlfn.RANK.EQ(AQ67,$AQ$2:$AQ$111)&lt;='Tournament Setup'!$D$33,_xlfn.RANK.EQ(AQ67,$AQ$2:$AQ$111),""),"")</f>
        <v/>
      </c>
      <c r="AS67" s="30" t="str">
        <f>IF(AND($G67='Tournament Setup'!$A$51,$J67&lt;&gt;0),$J67,"")</f>
        <v/>
      </c>
      <c r="AT67" s="47" t="str">
        <f>IF(ISNUMBER(AS67),IF(COUNTIFS(AT$1:AT66,_xlfn.RANK.EQ(AS67,AS$2:AS$111,0))&gt;0,_xlfn.MAXIFS(AT$1:AT66,AS$1:AS66,AS67)+1,_xlfn.RANK.EQ(AS67,AS$2:AS$111,0)),"")</f>
        <v/>
      </c>
      <c r="AU67" s="1" t="str">
        <f>IF(ISNUMBER(AS67)=TRUE,IF(_xlfn.RANK.EQ(AS67,$AS$2:$AS$111)&lt;='Tournament Setup'!$B$49,_xlfn.RANK.EQ(AS67,$AS$2:$AS$111),""),"")</f>
        <v/>
      </c>
      <c r="AV67" s="30" t="str">
        <f>IF(AND($F67='Tournament Setup'!$A$34,SUM($Q67,$S67,$U67)=0),$I67,"")</f>
        <v/>
      </c>
      <c r="AW67" s="47" t="str">
        <f>IF(ISNUMBER(AV67),IF(COUNTIFS(AW$1:AW66,_xlfn.RANK.EQ(AV67,AV$2:AV$111,0))&gt;0,_xlfn.MAXIFS(AW$1:AW66,AV$1:AV66,AV67)+1,_xlfn.RANK.EQ(AV67,AV$2:AV$111,0)),"")</f>
        <v/>
      </c>
      <c r="AX67" s="1" t="str">
        <f>IF(ISNUMBER(AV67)=TRUE,IF(_xlfn.RANK.EQ(AV67,$AV$2:$AV$111)&lt;='Tournament Setup'!$B$34,_xlfn.RANK.EQ(AV67,$AV$2:$AV$111),""),"")</f>
        <v/>
      </c>
      <c r="AY67" s="31" t="str">
        <f>IF(AND($F67='Tournament Setup'!$A$34,SUM($Q67,$S67)=0,$E67="M",$AX67&gt;'Tournament Setup'!$B$34),$I67,"")</f>
        <v/>
      </c>
      <c r="AZ67" s="1" t="str">
        <f>IF(ISNUMBER(AY67)=TRUE,IF(_xlfn.RANK.EQ(AY67,$AY$2:$AY$111)&lt;='Tournament Setup'!$C$34,_xlfn.RANK.EQ(AY67,$AY$2:$AY$111),""),"")</f>
        <v/>
      </c>
      <c r="BA67" s="31" t="str">
        <f>IF(AND($F67='Tournament Setup'!$A$34,SUM($Q67,$U67)=0,$E67="F",$AX67&gt;'Tournament Setup'!$B$34),$I67,"")</f>
        <v/>
      </c>
      <c r="BB67" s="12" t="str">
        <f>IF(ISNUMBER(BA67)=TRUE,IF(_xlfn.RANK.EQ(BA67,$BA$2:$BA$111)&lt;='Tournament Setup'!$D$34,_xlfn.RANK.EQ(BA67,$BA$2:$BA$111),""),"")</f>
        <v/>
      </c>
      <c r="BC67" s="30" t="str">
        <f>IF(AND($G67='Tournament Setup'!$A$52,$J67&lt;&gt;0),$J67,"")</f>
        <v/>
      </c>
      <c r="BD67" s="47" t="str">
        <f>IF(ISNUMBER(BC67),IF(COUNTIFS(BD$1:BD66,_xlfn.RANK.EQ(BC67,BC$2:BC$111,0))&gt;0,_xlfn.MAXIFS(BD$1:BD66,BC$1:BC66,BC67)+1,_xlfn.RANK.EQ(BC67,BC$2:BC$111,0)),"")</f>
        <v/>
      </c>
      <c r="BE67" s="1" t="str">
        <f>IF(ISNUMBER(BC67)=TRUE,IF(_xlfn.RANK.EQ(BC67,$BC$2:$BC$111)&lt;='Tournament Setup'!$B$49,_xlfn.RANK.EQ(BC67,$BC$2:$BC$111),""),"")</f>
        <v/>
      </c>
      <c r="BF67" s="30" t="str">
        <f>IF(AND($F67='Tournament Setup'!$A$35,SUM($Q67,$S67,$U67)=0),$I67,"")</f>
        <v/>
      </c>
      <c r="BG67" s="47" t="str">
        <f>IF(ISNUMBER(BF67),IF(COUNTIFS(BG$1:BG66,_xlfn.RANK.EQ(BF67,BF$2:BF$111,0))&gt;0,_xlfn.MAXIFS(BG$1:BG66,BF$1:BF66,BF67)+1,_xlfn.RANK.EQ(BF67,BF$2:BF$111,0)),"")</f>
        <v/>
      </c>
      <c r="BH67" s="1" t="str">
        <f>IF(ISNUMBER(BF67)=TRUE,IF(_xlfn.RANK.EQ(BF67,$BF$2:$BF$111)&lt;='Tournament Setup'!$B$35,_xlfn.RANK.EQ(BF67,$BF$2:$BF$111),""),"")</f>
        <v/>
      </c>
      <c r="BI67" s="31" t="str">
        <f>IF(AND($F67='Tournament Setup'!$A$35,SUM($Q67,$S67)=0,$E67="M",$BH67&gt;'Tournament Setup'!$B$35),$I67,"")</f>
        <v/>
      </c>
      <c r="BJ67" s="1" t="str">
        <f>IF(ISNUMBER(BI67)=TRUE,IF(_xlfn.RANK.EQ(BI67,$BI$2:$BI$111)&lt;='Tournament Setup'!$C$35,_xlfn.RANK.EQ(BI67,$BI$2:$BI$111),""),"")</f>
        <v/>
      </c>
      <c r="BK67" s="31" t="str">
        <f>IF(AND($F67='Tournament Setup'!$A$35,SUM($Q67,$U67)=0,$E67="F",$BH67&gt;'Tournament Setup'!$B$35),$I67,"")</f>
        <v/>
      </c>
      <c r="BL67" s="12" t="str">
        <f>IF(ISNUMBER(BK67)=TRUE,IF(_xlfn.RANK.EQ(BK67,$BK$2:$BK$111)&lt;='Tournament Setup'!$D$35,_xlfn.RANK.EQ(BK67,$BK$2:$BK$111),""),"")</f>
        <v/>
      </c>
      <c r="BM67" s="30" t="str">
        <f>IF(AND($G67='Tournament Setup'!$A$54,$J67&lt;&gt;0),$J67,"")</f>
        <v/>
      </c>
      <c r="BN67" s="47" t="str">
        <f>IF(ISNUMBER(BM67),IF(COUNTIFS(BN$1:BN66,_xlfn.RANK.EQ(BM67,BM$2:BM$111,0))&gt;0,_xlfn.MAXIFS(BN$1:BN66,BM$1:BM66,BM67)+1,_xlfn.RANK.EQ(BM67,BM$2:BM$111,0)),"")</f>
        <v/>
      </c>
      <c r="BO67" s="1" t="str">
        <f>IF(ISNUMBER(BM67)=TRUE,IF(_xlfn.RANK.EQ(BM67,$BM$2:$BM$111)&lt;='Tournament Setup'!$B$49,_xlfn.RANK.EQ(BM67,$BM$2:$BM$111),""),"")</f>
        <v/>
      </c>
      <c r="BP67" s="30" t="str">
        <f>IF(AND($F67='Tournament Setup'!$A$36,SUM($Q67,$S67,$U67)=0),$I67,"")</f>
        <v/>
      </c>
      <c r="BQ67" s="47" t="str">
        <f>IF(ISNUMBER(BP67),IF(COUNTIFS(BQ$1:BQ66,_xlfn.RANK.EQ(BP67,BP$2:BP$111,0))&gt;0,_xlfn.MAXIFS(BQ$1:BQ66,BP$1:BP66,BP67)+1,_xlfn.RANK.EQ(BP67,BP$2:BP$111,0)),"")</f>
        <v/>
      </c>
      <c r="BR67" s="1" t="str">
        <f>IF(ISNUMBER(BP67)=TRUE,IF(_xlfn.RANK.EQ(BP67,$BP$2:$BP$111)&lt;='Tournament Setup'!$B$36,_xlfn.RANK.EQ(BP67,$BP$2:$BP$111),""),"")</f>
        <v/>
      </c>
      <c r="BS67" s="31" t="str">
        <f>IF(AND($F67='Tournament Setup'!$A$36,SUM($Q67,$S67)=0,$E67="M",$BR67&gt;'Tournament Setup'!$B$36),$I67,"")</f>
        <v/>
      </c>
      <c r="BT67" s="1" t="str">
        <f>IF(ISNUMBER(BS67)=TRUE,IF(_xlfn.RANK.EQ(BS67,$BS$2:$BS$111)&lt;='Tournament Setup'!$C$36,_xlfn.RANK.EQ(BS67,$BS$2:$BS$111),""),"")</f>
        <v/>
      </c>
      <c r="BU67" s="31" t="str">
        <f>IF(AND($F67='Tournament Setup'!$A$36,SUM($Q67,$U67)=0,$E67="F",$BR67&gt;'Tournament Setup'!$B$36),$I67,"")</f>
        <v/>
      </c>
      <c r="BV67" s="12" t="str">
        <f>IF(ISNUMBER(BU67)=TRUE,IF(_xlfn.RANK.EQ(BU67,$BU$2:$BU$111)&lt;='Tournament Setup'!$D$36,_xlfn.RANK.EQ(BU67,$BU$2:$BU$111),""),"")</f>
        <v/>
      </c>
      <c r="BW67" s="30" t="str">
        <f>IF($H67='Tournament Setup'!$A$41,$I67,"")</f>
        <v/>
      </c>
      <c r="BX67" s="47" t="str">
        <f>IF(ISNUMBER(BW67),IF(COUNTIFS(BX$1:BX66,_xlfn.RANK.EQ(BW67,BW$2:BW$111,0))&gt;0,_xlfn.MAXIFS(BX$1:BX66,BW$1:BW66,BW67)+1,_xlfn.RANK.EQ(BW67,BW$2:BW$111,0)),"")</f>
        <v/>
      </c>
      <c r="BY67" s="1" t="str">
        <f>IF(ISNUMBER(BW67)=TRUE,IF(_xlfn.RANK.EQ(BW67,$BW$2:$BW$111)&lt;='Tournament Setup'!$B$41,_xlfn.RANK.EQ(BW67,$BW$2:$BW$111),""),"")</f>
        <v/>
      </c>
      <c r="BZ67" s="31" t="str">
        <f>IF(AND($H67='Tournament Setup'!$A$41,$E67="M",$BY67&gt;'Tournament Setup'!$B$41),$I67,"")</f>
        <v/>
      </c>
      <c r="CA67" s="1" t="str">
        <f>IF(ISNUMBER(BZ67)=TRUE,IF(_xlfn.RANK.EQ(BZ67,$BZ$2:$BZ$111)&lt;='Tournament Setup'!$C$41,_xlfn.RANK.EQ(BZ67,$BZ$2:$BZ$111),""),"")</f>
        <v/>
      </c>
      <c r="CB67" s="31" t="str">
        <f>IF(AND($H67='Tournament Setup'!$A$41,$E67="F",$BY67&gt;'Tournament Setup'!$B$41),$I67,"")</f>
        <v/>
      </c>
      <c r="CC67" s="12" t="str">
        <f>IF(ISNUMBER(CB67)=TRUE,IF(_xlfn.RANK.EQ(CB67,$CB$2:$CB$111)&lt;='Tournament Setup'!$D$41,_xlfn.RANK.EQ(CB67,$CB$2:$CB$111),""),"")</f>
        <v/>
      </c>
      <c r="CD67" s="30" t="str">
        <f>IF($H67='Tournament Setup'!$A$42,$I67,"")</f>
        <v/>
      </c>
      <c r="CE67" s="47" t="str">
        <f>IF(ISNUMBER(CD67),IF(COUNTIFS(CE$1:CE66,_xlfn.RANK.EQ(CD67,CD$2:CD$111,0))&gt;0,_xlfn.MAXIFS(CE$1:CE66,CD$1:CD66,CD67)+1,_xlfn.RANK.EQ(CD67,CD$2:CD$111,0)),"")</f>
        <v/>
      </c>
      <c r="CF67" s="1" t="str">
        <f>IF(ISNUMBER(CD67)=TRUE,IF(_xlfn.RANK.EQ(CD67,$CD$2:$CD$111)&lt;='Tournament Setup'!$B$42,_xlfn.RANK.EQ(CD67,$CD$2:$CD$111),""),"")</f>
        <v/>
      </c>
      <c r="CG67" s="31" t="str">
        <f>IF(AND($H67='Tournament Setup'!$A$42,$E67="M",$CF67&gt;'Tournament Setup'!$B$42),$I67,"")</f>
        <v/>
      </c>
      <c r="CH67" s="1" t="str">
        <f>IF(ISNUMBER(CG67)=TRUE,IF(_xlfn.RANK.EQ(CG67,$CG$2:$CG$111)&lt;='Tournament Setup'!$C$42,_xlfn.RANK.EQ(CG67,$CG$2:$CG$111),""),"")</f>
        <v/>
      </c>
      <c r="CI67" s="31" t="str">
        <f>IF(AND($H67='Tournament Setup'!$A$42,$E67="F",$CF67&gt;'Tournament Setup'!$B$42),$I67,"")</f>
        <v/>
      </c>
      <c r="CJ67" s="12" t="str">
        <f>IF(ISNUMBER(CI67)=TRUE,IF(_xlfn.RANK.EQ(CI67,$CI$2:$CI$111)&lt;='Tournament Setup'!$D$42,_xlfn.RANK.EQ(CI67,$CI$2:$CI$111),""),"")</f>
        <v/>
      </c>
      <c r="CK67" s="30" t="str">
        <f>IF($H67='Tournament Setup'!$A$43,$I67,"")</f>
        <v/>
      </c>
      <c r="CL67" s="47" t="str">
        <f>IF(ISNUMBER(CK67),IF(COUNTIFS(CL$1:CL66,_xlfn.RANK.EQ(CK67,CK$2:CK$111,0))&gt;0,_xlfn.MAXIFS(CL$1:CL66,CK$1:CK66,CK67)+1,_xlfn.RANK.EQ(CK67,CK$2:CK$111,0)),"")</f>
        <v/>
      </c>
      <c r="CM67" s="1" t="str">
        <f>IF(ISNUMBER(CK67)=TRUE,IF(_xlfn.RANK.EQ(CK67,$CK$2:$CK$111)&lt;='Tournament Setup'!$B$43,_xlfn.RANK.EQ(CK67,$CK$2:$CK$111),""),"")</f>
        <v/>
      </c>
      <c r="CN67" s="31" t="str">
        <f>IF(AND($H67='Tournament Setup'!$A$43,$E67="M",$CM67&gt;'Tournament Setup'!$B$43),$I67,"")</f>
        <v/>
      </c>
      <c r="CO67" s="1" t="str">
        <f>IF(ISNUMBER(CN67)=TRUE,IF(_xlfn.RANK.EQ(CN67,$CN$2:$CN$111)&lt;='Tournament Setup'!$C$43,_xlfn.RANK.EQ(CN67,$CN$2:$CN$111),""),"")</f>
        <v/>
      </c>
      <c r="CP67" s="31" t="str">
        <f>IF(AND($H67='Tournament Setup'!$A$43,$E67="F",$CM67&gt;'Tournament Setup'!$B$43),$I67,"")</f>
        <v/>
      </c>
      <c r="CQ67" s="12" t="str">
        <f>IF(ISNUMBER(CP67)=TRUE,IF(_xlfn.RANK.EQ(CP67,$CP$2:$CP$111)&lt;='Tournament Setup'!$D$43,_xlfn.RANK.EQ(CP67,$CP$2:$CP$111),""),"")</f>
        <v/>
      </c>
      <c r="CR67" s="30" t="str">
        <f>IF($H67='Tournament Setup'!$A$44,$I67,"")</f>
        <v/>
      </c>
      <c r="CS67" s="47" t="str">
        <f>IF(ISNUMBER(CR67),IF(COUNTIFS(CS$1:CS66,_xlfn.RANK.EQ(CR67,CR$2:CR$111,0))&gt;0,_xlfn.MAXIFS(CS$1:CS66,CR$1:CR66,CR67)+1,_xlfn.RANK.EQ(CR67,CR$2:CR$111,0)),"")</f>
        <v/>
      </c>
      <c r="CT67" s="1" t="str">
        <f>IF(ISNUMBER(CR67)=TRUE,IF(_xlfn.RANK.EQ(CR67,$CR$2:$CR$111)&lt;='Tournament Setup'!$B$44,_xlfn.RANK.EQ(CR67,$CR$2:$CR$111),""),"")</f>
        <v/>
      </c>
      <c r="CU67" s="31" t="str">
        <f>IF(AND($H67='Tournament Setup'!$A$44,$E67="M",$CT67&gt;'Tournament Setup'!$B$44),$I67,"")</f>
        <v/>
      </c>
      <c r="CV67" s="1" t="str">
        <f>IF(ISNUMBER(CU67)=TRUE,IF(_xlfn.RANK.EQ(CU67,$CU$2:$CU$111)&lt;='Tournament Setup'!$C$44,_xlfn.RANK.EQ(CU67,$CU$2:$CU$111),""),"")</f>
        <v/>
      </c>
      <c r="CW67" s="31" t="str">
        <f>IF(AND($H67='Tournament Setup'!$A$44,$E67="F",$CT67&gt;'Tournament Setup'!$B$44),$I67,"")</f>
        <v/>
      </c>
      <c r="CX67" s="12" t="str">
        <f>IF(ISNUMBER(CW67)=TRUE,IF(_xlfn.RANK.EQ(CW67,$CW$2:$CW$111)&lt;='Tournament Setup'!$D$44,_xlfn.RANK.EQ(CW67,$CW$2:$CW$111),""),"")</f>
        <v/>
      </c>
    </row>
    <row r="68" spans="2:102" x14ac:dyDescent="0.3">
      <c r="B68" t="str">
        <f>IFERROR(INDEX('Tournament List'!$B:$B,MATCH($A68,'Tournament List'!$A:$A,0)),"")</f>
        <v/>
      </c>
      <c r="C68" t="str">
        <f>IFERROR(INDEX('Tournament List'!$C:$C,MATCH($A68,'Tournament List'!$A:$A,0)),"")</f>
        <v/>
      </c>
      <c r="D68" t="str">
        <f t="shared" si="1"/>
        <v xml:space="preserve"> </v>
      </c>
      <c r="E68" s="1" t="str">
        <f>IFERROR(INDEX('Tournament List'!F:F,MATCH($A68,'Tournament List'!$A:$A,0)),"")</f>
        <v/>
      </c>
      <c r="F68" t="str">
        <f>IFERROR(INDEX('Tournament List'!M:M,MATCH($A68,'Tournament List'!$A:$A,0)),"")</f>
        <v/>
      </c>
      <c r="G68" t="str">
        <f>IFERROR(INDEX('Shooter-Squad Assignment'!L:L,MATCH(A68,'Shooter-Squad Assignment'!A:A,0)),"")</f>
        <v/>
      </c>
      <c r="H68" s="1" t="str">
        <f>IFERROR(INDEX('Tournament List'!AD:AD,MATCH($A68,'Tournament List'!$A:$A,0)),"")</f>
        <v/>
      </c>
      <c r="I68" s="123" t="str">
        <f>IFERROR(INDEX('Tournament List'!AG:AG,MATCH($A68,'Tournament List'!$A:$A,0)),"")</f>
        <v/>
      </c>
      <c r="J68" s="145" t="str">
        <f>IFERROR(INDEX('Tournament List'!Y:Y,MATCH($A68,'Tournament List'!$A:$A,0)),"")</f>
        <v/>
      </c>
      <c r="K68" s="47" t="str">
        <f>IFERROR(INDEX('Tournament List'!S:S,MATCH(A68,'Tournament List'!A:A,0)),"")</f>
        <v/>
      </c>
      <c r="L68" s="47" t="str">
        <f>IF(ISNUMBER(J68),IF(COUNTIFS(L$1:L67,_xlfn.RANK.EQ(J68,J$2:J$111,0))&gt;0,_xlfn.MAXIFS(L$1:L67,J$1:J67,J68)+1,_xlfn.RANK.EQ(J68,J$2:J$111,0)),"")</f>
        <v/>
      </c>
      <c r="M68" s="11" t="str">
        <f>IF(ISNUMBER(I68)=TRUE,IF(I68&gt;0,_xlfn.RANK.EQ(I68,$I$2:$I$111,0),""),"")</f>
        <v/>
      </c>
      <c r="N68" s="56" t="str">
        <f>IF(ISNUMBER(I68),IF(COUNTIFS(N$1:N67,_xlfn.RANK.EQ(I68,I$2:I$111,0))&gt;0,_xlfn.MAXIFS(N$1:N67,I$1:I67,I68)+1,_xlfn.RANK.EQ(I68,I$2:I$111,0)),"")</f>
        <v/>
      </c>
      <c r="O68" s="144" t="str">
        <f>IF(F68&lt;&gt;"Collegiate"=TRUE,$I68,"")</f>
        <v/>
      </c>
      <c r="P68" s="47" t="str">
        <f>IF(ISNUMBER(O68),IF(COUNTIFS(P$1:P67,_xlfn.RANK.EQ(O68,O$2:O$111,0))&gt;0,_xlfn.MAXIFS(P$1:P67,O$1:O67,O68)+1,_xlfn.RANK.EQ(O68,O$2:O$111,0)),"")</f>
        <v/>
      </c>
      <c r="Q68" s="1" t="str">
        <f>IF(ISNUMBER(O68)=TRUE,IF(_xlfn.RANK.EQ(O68,$O$2:$O$111)&lt;='Tournament Setup'!$B$26,_xlfn.RANK.EQ(O68,$O$2:$O$111),""),"")</f>
        <v/>
      </c>
      <c r="R68" s="143" t="str">
        <f>IF(AND($E68="M",SUM($Q68)=0,F68&lt;&gt;"Collegiate")=TRUE,$I68,"")</f>
        <v/>
      </c>
      <c r="S68" s="1" t="str">
        <f>IF(ISNUMBER(R68)=TRUE,IF(_xlfn.RANK.EQ(R68,$R$2:$R$111)&lt;='Tournament Setup'!$B$27,_xlfn.RANK.EQ(R68,$R$2:$R$111),""),"")</f>
        <v/>
      </c>
      <c r="T68" s="143" t="str">
        <f>IF(AND($E68="F",SUM($Q68)=0,F68&lt;&gt;"Collegiate")=TRUE,$I68,"")</f>
        <v/>
      </c>
      <c r="U68" s="12" t="str">
        <f>IF(ISNUMBER(T68)=TRUE,IF(_xlfn.RANK.EQ(T68,$T$2:$T$111)&lt;='Tournament Setup'!$B$28,_xlfn.RANK.EQ(T68,$T$2:$T$111),""),"")</f>
        <v/>
      </c>
      <c r="V68" s="145" t="str">
        <f>IF(AND($G68='Tournament Setup'!$A$53,$J68&lt;&gt;0),$J68,"")</f>
        <v/>
      </c>
      <c r="W68" s="47" t="str">
        <f>IF(ISNUMBER(V68),IF(COUNTIFS(W$1:W67,_xlfn.RANK.EQ(V68,V$2:V$111,0))&gt;0,_xlfn.MAXIFS(W$1:W67,V$1:V67,V68)+1,_xlfn.RANK.EQ(V68,V$2:V$111,0)),"")</f>
        <v/>
      </c>
      <c r="X68" s="1" t="str">
        <f>IF(ISNUMBER(V68)=TRUE,IF(_xlfn.RANK.EQ(V68,$V$2:$V$111)&lt;='Tournament Setup'!$B$53,_xlfn.RANK.EQ(V68,$V$2:$V$111),""),"")</f>
        <v/>
      </c>
      <c r="Y68" s="145" t="str">
        <f>IF(AND($G68='Tournament Setup'!$A$49,$J68&lt;&gt;0),$J68,"")</f>
        <v/>
      </c>
      <c r="Z68" s="47" t="str">
        <f>IF(ISNUMBER(Y68),IF(COUNTIFS(Z$1:Z67,_xlfn.RANK.EQ(Y68,Y$2:Y$111,0))&gt;0,_xlfn.MAXIFS(Z$1:Z67,Y$1:Y67,Y68)+1,_xlfn.RANK.EQ(Y68,Y$2:Y$111,0)),"")</f>
        <v/>
      </c>
      <c r="AA68" s="1" t="str">
        <f>IF(ISNUMBER(Y68)=TRUE,IF(_xlfn.RANK.EQ(Y68,$Y$2:$Y$111)&lt;='Tournament Setup'!$B$49,_xlfn.RANK.EQ(Y68,$Y$2:$Y$111),""),"")</f>
        <v/>
      </c>
      <c r="AB68" s="30" t="str">
        <f>IF(AND($F68='Tournament Setup'!$A$32,SUM($Q68,$S68,$U68)=0),$I68,"")</f>
        <v/>
      </c>
      <c r="AC68" s="47" t="str">
        <f>IF(ISNUMBER(AB68),IF(COUNTIFS(AC$1:AC67,_xlfn.RANK.EQ(AB68,AB$2:AB$111,0))&gt;0,_xlfn.MAXIFS(AC$1:AC67,AB$1:AB67,AB68)+1,_xlfn.RANK.EQ(AB68,AB$2:AB$111,0)),"")</f>
        <v/>
      </c>
      <c r="AD68" s="1" t="str">
        <f>IF(ISNUMBER(AB68)=TRUE,IF(_xlfn.RANK.EQ(AB68,$AB$2:$AB$111)&lt;='Tournament Setup'!$B$32,_xlfn.RANK.EQ(AB68,$AB$2:$AB$111),""),"")</f>
        <v/>
      </c>
      <c r="AE68" s="31" t="str">
        <f>IF(AND($F68='Tournament Setup'!$A$32,SUM($Q68,$S68)=0,$E68="M",$AD68&gt;'Tournament Setup'!$B$32),$I68,"")</f>
        <v/>
      </c>
      <c r="AF68" s="1" t="str">
        <f>IF(ISNUMBER(AE68)=TRUE,IF(_xlfn.RANK.EQ(AE68,$AE$2:$AE$111)&lt;='Tournament Setup'!$C$32,_xlfn.RANK.EQ(AE68,$AE$2:$AE$111),""),"")</f>
        <v/>
      </c>
      <c r="AG68" s="31" t="str">
        <f>IF(AND($F68='Tournament Setup'!$A$32,SUM($Q68,$U68)=0,$E68="F",$AD68&gt;'Tournament Setup'!$B$32),$I68,"")</f>
        <v/>
      </c>
      <c r="AH68" s="12" t="str">
        <f>IF(ISNUMBER(AG68)=TRUE,IF(_xlfn.RANK.EQ(AG68,$AG$2:$AG$111)&lt;='Tournament Setup'!$D$32,_xlfn.RANK.EQ(AG68,$AG$2:$AG$111),""),"")</f>
        <v/>
      </c>
      <c r="AI68" s="30" t="str">
        <f>IF(AND($G68='Tournament Setup'!$A$50,$J68&lt;&gt;0),$J68,"")</f>
        <v/>
      </c>
      <c r="AJ68" s="47" t="str">
        <f>IF(ISNUMBER(AI68),IF(COUNTIFS(AJ$1:AJ67,_xlfn.RANK.EQ(AI68,AI$2:AI$111,0))&gt;0,_xlfn.MAXIFS(AJ$1:AJ67,AI$1:AI67,AI68)+1,_xlfn.RANK.EQ(AI68,AI$2:AI$111,0)),"")</f>
        <v/>
      </c>
      <c r="AK68" s="1" t="str">
        <f>IF(ISNUMBER(AI68)=TRUE,IF(_xlfn.RANK.EQ(AI68,$AI$2:$AI$111)&lt;='Tournament Setup'!$B$49,_xlfn.RANK.EQ(AI68,$AI$2:$AI$111),""),"")</f>
        <v/>
      </c>
      <c r="AL68" s="30" t="str">
        <f>IF(AND($F68='Tournament Setup'!$A$33,SUM($Q68,$S68,$U68)=0),$I68,"")</f>
        <v/>
      </c>
      <c r="AM68" s="47" t="str">
        <f>IF(ISNUMBER(AL68),IF(COUNTIFS(AM$1:AM67,_xlfn.RANK.EQ(AL68,AL$2:AL$111,0))&gt;0,_xlfn.MAXIFS(AM$1:AM67,AL$1:AL67,AL68)+1,_xlfn.RANK.EQ(AL68,AL$2:AL$111,0)),"")</f>
        <v/>
      </c>
      <c r="AN68" s="1" t="str">
        <f>IF(ISNUMBER(AL68)=TRUE,IF(_xlfn.RANK.EQ(AL68,$AL$2:$AL$111)&lt;='Tournament Setup'!$B$33,_xlfn.RANK.EQ(AL68,$AL$2:$AL$111),""),"")</f>
        <v/>
      </c>
      <c r="AO68" s="31" t="str">
        <f>IF(AND($F68='Tournament Setup'!$A$33,SUM($Q68,$S68)=0,$E68="M",$AN68&gt;'Tournament Setup'!$B$33),$I68,"")</f>
        <v/>
      </c>
      <c r="AP68" s="1" t="str">
        <f>IF(ISNUMBER(AO68)=TRUE,IF(_xlfn.RANK.EQ(AO68,$AO$2:$AO$111)&lt;='Tournament Setup'!$C$33,_xlfn.RANK.EQ(AO68,$AO$2:$AO$111),""),"")</f>
        <v/>
      </c>
      <c r="AQ68" s="31" t="str">
        <f>IF(AND($F68='Tournament Setup'!$A$33,SUM($Q68,$U68)=0,$E68="F",$AN68&gt;'Tournament Setup'!$B$33),$I68,"")</f>
        <v/>
      </c>
      <c r="AR68" s="12" t="str">
        <f>IF(ISNUMBER(AQ68)=TRUE,IF(_xlfn.RANK.EQ(AQ68,$AQ$2:$AQ$111)&lt;='Tournament Setup'!$D$33,_xlfn.RANK.EQ(AQ68,$AQ$2:$AQ$111),""),"")</f>
        <v/>
      </c>
      <c r="AS68" s="30" t="str">
        <f>IF(AND($G68='Tournament Setup'!$A$51,$J68&lt;&gt;0),$J68,"")</f>
        <v/>
      </c>
      <c r="AT68" s="47" t="str">
        <f>IF(ISNUMBER(AS68),IF(COUNTIFS(AT$1:AT67,_xlfn.RANK.EQ(AS68,AS$2:AS$111,0))&gt;0,_xlfn.MAXIFS(AT$1:AT67,AS$1:AS67,AS68)+1,_xlfn.RANK.EQ(AS68,AS$2:AS$111,0)),"")</f>
        <v/>
      </c>
      <c r="AU68" s="1" t="str">
        <f>IF(ISNUMBER(AS68)=TRUE,IF(_xlfn.RANK.EQ(AS68,$AS$2:$AS$111)&lt;='Tournament Setup'!$B$49,_xlfn.RANK.EQ(AS68,$AS$2:$AS$111),""),"")</f>
        <v/>
      </c>
      <c r="AV68" s="30" t="str">
        <f>IF(AND($F68='Tournament Setup'!$A$34,SUM($Q68,$S68,$U68)=0),$I68,"")</f>
        <v/>
      </c>
      <c r="AW68" s="47" t="str">
        <f>IF(ISNUMBER(AV68),IF(COUNTIFS(AW$1:AW67,_xlfn.RANK.EQ(AV68,AV$2:AV$111,0))&gt;0,_xlfn.MAXIFS(AW$1:AW67,AV$1:AV67,AV68)+1,_xlfn.RANK.EQ(AV68,AV$2:AV$111,0)),"")</f>
        <v/>
      </c>
      <c r="AX68" s="1" t="str">
        <f>IF(ISNUMBER(AV68)=TRUE,IF(_xlfn.RANK.EQ(AV68,$AV$2:$AV$111)&lt;='Tournament Setup'!$B$34,_xlfn.RANK.EQ(AV68,$AV$2:$AV$111),""),"")</f>
        <v/>
      </c>
      <c r="AY68" s="31" t="str">
        <f>IF(AND($F68='Tournament Setup'!$A$34,SUM($Q68,$S68)=0,$E68="M",$AX68&gt;'Tournament Setup'!$B$34),$I68,"")</f>
        <v/>
      </c>
      <c r="AZ68" s="1" t="str">
        <f>IF(ISNUMBER(AY68)=TRUE,IF(_xlfn.RANK.EQ(AY68,$AY$2:$AY$111)&lt;='Tournament Setup'!$C$34,_xlfn.RANK.EQ(AY68,$AY$2:$AY$111),""),"")</f>
        <v/>
      </c>
      <c r="BA68" s="31" t="str">
        <f>IF(AND($F68='Tournament Setup'!$A$34,SUM($Q68,$U68)=0,$E68="F",$AX68&gt;'Tournament Setup'!$B$34),$I68,"")</f>
        <v/>
      </c>
      <c r="BB68" s="12" t="str">
        <f>IF(ISNUMBER(BA68)=TRUE,IF(_xlfn.RANK.EQ(BA68,$BA$2:$BA$111)&lt;='Tournament Setup'!$D$34,_xlfn.RANK.EQ(BA68,$BA$2:$BA$111),""),"")</f>
        <v/>
      </c>
      <c r="BC68" s="30" t="str">
        <f>IF(AND($G68='Tournament Setup'!$A$52,$J68&lt;&gt;0),$J68,"")</f>
        <v/>
      </c>
      <c r="BD68" s="47" t="str">
        <f>IF(ISNUMBER(BC68),IF(COUNTIFS(BD$1:BD67,_xlfn.RANK.EQ(BC68,BC$2:BC$111,0))&gt;0,_xlfn.MAXIFS(BD$1:BD67,BC$1:BC67,BC68)+1,_xlfn.RANK.EQ(BC68,BC$2:BC$111,0)),"")</f>
        <v/>
      </c>
      <c r="BE68" s="1" t="str">
        <f>IF(ISNUMBER(BC68)=TRUE,IF(_xlfn.RANK.EQ(BC68,$BC$2:$BC$111)&lt;='Tournament Setup'!$B$49,_xlfn.RANK.EQ(BC68,$BC$2:$BC$111),""),"")</f>
        <v/>
      </c>
      <c r="BF68" s="30" t="str">
        <f>IF(AND($F68='Tournament Setup'!$A$35,SUM($Q68,$S68,$U68)=0),$I68,"")</f>
        <v/>
      </c>
      <c r="BG68" s="47" t="str">
        <f>IF(ISNUMBER(BF68),IF(COUNTIFS(BG$1:BG67,_xlfn.RANK.EQ(BF68,BF$2:BF$111,0))&gt;0,_xlfn.MAXIFS(BG$1:BG67,BF$1:BF67,BF68)+1,_xlfn.RANK.EQ(BF68,BF$2:BF$111,0)),"")</f>
        <v/>
      </c>
      <c r="BH68" s="1" t="str">
        <f>IF(ISNUMBER(BF68)=TRUE,IF(_xlfn.RANK.EQ(BF68,$BF$2:$BF$111)&lt;='Tournament Setup'!$B$35,_xlfn.RANK.EQ(BF68,$BF$2:$BF$111),""),"")</f>
        <v/>
      </c>
      <c r="BI68" s="31" t="str">
        <f>IF(AND($F68='Tournament Setup'!$A$35,SUM($Q68,$S68)=0,$E68="M",$BH68&gt;'Tournament Setup'!$B$35),$I68,"")</f>
        <v/>
      </c>
      <c r="BJ68" s="1" t="str">
        <f>IF(ISNUMBER(BI68)=TRUE,IF(_xlfn.RANK.EQ(BI68,$BI$2:$BI$111)&lt;='Tournament Setup'!$C$35,_xlfn.RANK.EQ(BI68,$BI$2:$BI$111),""),"")</f>
        <v/>
      </c>
      <c r="BK68" s="31" t="str">
        <f>IF(AND($F68='Tournament Setup'!$A$35,SUM($Q68,$U68)=0,$E68="F",$BH68&gt;'Tournament Setup'!$B$35),$I68,"")</f>
        <v/>
      </c>
      <c r="BL68" s="12" t="str">
        <f>IF(ISNUMBER(BK68)=TRUE,IF(_xlfn.RANK.EQ(BK68,$BK$2:$BK$111)&lt;='Tournament Setup'!$D$35,_xlfn.RANK.EQ(BK68,$BK$2:$BK$111),""),"")</f>
        <v/>
      </c>
      <c r="BM68" s="30" t="str">
        <f>IF(AND($G68='Tournament Setup'!$A$54,$J68&lt;&gt;0),$J68,"")</f>
        <v/>
      </c>
      <c r="BN68" s="47" t="str">
        <f>IF(ISNUMBER(BM68),IF(COUNTIFS(BN$1:BN67,_xlfn.RANK.EQ(BM68,BM$2:BM$111,0))&gt;0,_xlfn.MAXIFS(BN$1:BN67,BM$1:BM67,BM68)+1,_xlfn.RANK.EQ(BM68,BM$2:BM$111,0)),"")</f>
        <v/>
      </c>
      <c r="BO68" s="1" t="str">
        <f>IF(ISNUMBER(BM68)=TRUE,IF(_xlfn.RANK.EQ(BM68,$BM$2:$BM$111)&lt;='Tournament Setup'!$B$49,_xlfn.RANK.EQ(BM68,$BM$2:$BM$111),""),"")</f>
        <v/>
      </c>
      <c r="BP68" s="30" t="str">
        <f>IF(AND($F68='Tournament Setup'!$A$36,SUM($Q68,$S68,$U68)=0),$I68,"")</f>
        <v/>
      </c>
      <c r="BQ68" s="47" t="str">
        <f>IF(ISNUMBER(BP68),IF(COUNTIFS(BQ$1:BQ67,_xlfn.RANK.EQ(BP68,BP$2:BP$111,0))&gt;0,_xlfn.MAXIFS(BQ$1:BQ67,BP$1:BP67,BP68)+1,_xlfn.RANK.EQ(BP68,BP$2:BP$111,0)),"")</f>
        <v/>
      </c>
      <c r="BR68" s="1" t="str">
        <f>IF(ISNUMBER(BP68)=TRUE,IF(_xlfn.RANK.EQ(BP68,$BP$2:$BP$111)&lt;='Tournament Setup'!$B$36,_xlfn.RANK.EQ(BP68,$BP$2:$BP$111),""),"")</f>
        <v/>
      </c>
      <c r="BS68" s="31" t="str">
        <f>IF(AND($F68='Tournament Setup'!$A$36,SUM($Q68,$S68)=0,$E68="M",$BR68&gt;'Tournament Setup'!$B$36),$I68,"")</f>
        <v/>
      </c>
      <c r="BT68" s="1" t="str">
        <f>IF(ISNUMBER(BS68)=TRUE,IF(_xlfn.RANK.EQ(BS68,$BS$2:$BS$111)&lt;='Tournament Setup'!$C$36,_xlfn.RANK.EQ(BS68,$BS$2:$BS$111),""),"")</f>
        <v/>
      </c>
      <c r="BU68" s="31" t="str">
        <f>IF(AND($F68='Tournament Setup'!$A$36,SUM($Q68,$U68)=0,$E68="F",$BR68&gt;'Tournament Setup'!$B$36),$I68,"")</f>
        <v/>
      </c>
      <c r="BV68" s="12" t="str">
        <f>IF(ISNUMBER(BU68)=TRUE,IF(_xlfn.RANK.EQ(BU68,$BU$2:$BU$111)&lt;='Tournament Setup'!$D$36,_xlfn.RANK.EQ(BU68,$BU$2:$BU$111),""),"")</f>
        <v/>
      </c>
      <c r="BW68" s="30" t="str">
        <f>IF($H68='Tournament Setup'!$A$41,$I68,"")</f>
        <v/>
      </c>
      <c r="BX68" s="47" t="str">
        <f>IF(ISNUMBER(BW68),IF(COUNTIFS(BX$1:BX67,_xlfn.RANK.EQ(BW68,BW$2:BW$111,0))&gt;0,_xlfn.MAXIFS(BX$1:BX67,BW$1:BW67,BW68)+1,_xlfn.RANK.EQ(BW68,BW$2:BW$111,0)),"")</f>
        <v/>
      </c>
      <c r="BY68" s="1" t="str">
        <f>IF(ISNUMBER(BW68)=TRUE,IF(_xlfn.RANK.EQ(BW68,$BW$2:$BW$111)&lt;='Tournament Setup'!$B$41,_xlfn.RANK.EQ(BW68,$BW$2:$BW$111),""),"")</f>
        <v/>
      </c>
      <c r="BZ68" s="31" t="str">
        <f>IF(AND($H68='Tournament Setup'!$A$41,$E68="M",$BY68&gt;'Tournament Setup'!$B$41),$I68,"")</f>
        <v/>
      </c>
      <c r="CA68" s="1" t="str">
        <f>IF(ISNUMBER(BZ68)=TRUE,IF(_xlfn.RANK.EQ(BZ68,$BZ$2:$BZ$111)&lt;='Tournament Setup'!$C$41,_xlfn.RANK.EQ(BZ68,$BZ$2:$BZ$111),""),"")</f>
        <v/>
      </c>
      <c r="CB68" s="31" t="str">
        <f>IF(AND($H68='Tournament Setup'!$A$41,$E68="F",$BY68&gt;'Tournament Setup'!$B$41),$I68,"")</f>
        <v/>
      </c>
      <c r="CC68" s="12" t="str">
        <f>IF(ISNUMBER(CB68)=TRUE,IF(_xlfn.RANK.EQ(CB68,$CB$2:$CB$111)&lt;='Tournament Setup'!$D$41,_xlfn.RANK.EQ(CB68,$CB$2:$CB$111),""),"")</f>
        <v/>
      </c>
      <c r="CD68" s="30" t="str">
        <f>IF($H68='Tournament Setup'!$A$42,$I68,"")</f>
        <v/>
      </c>
      <c r="CE68" s="47" t="str">
        <f>IF(ISNUMBER(CD68),IF(COUNTIFS(CE$1:CE67,_xlfn.RANK.EQ(CD68,CD$2:CD$111,0))&gt;0,_xlfn.MAXIFS(CE$1:CE67,CD$1:CD67,CD68)+1,_xlfn.RANK.EQ(CD68,CD$2:CD$111,0)),"")</f>
        <v/>
      </c>
      <c r="CF68" s="1" t="str">
        <f>IF(ISNUMBER(CD68)=TRUE,IF(_xlfn.RANK.EQ(CD68,$CD$2:$CD$111)&lt;='Tournament Setup'!$B$42,_xlfn.RANK.EQ(CD68,$CD$2:$CD$111),""),"")</f>
        <v/>
      </c>
      <c r="CG68" s="31" t="str">
        <f>IF(AND($H68='Tournament Setup'!$A$42,$E68="M",$CF68&gt;'Tournament Setup'!$B$42),$I68,"")</f>
        <v/>
      </c>
      <c r="CH68" s="1" t="str">
        <f>IF(ISNUMBER(CG68)=TRUE,IF(_xlfn.RANK.EQ(CG68,$CG$2:$CG$111)&lt;='Tournament Setup'!$C$42,_xlfn.RANK.EQ(CG68,$CG$2:$CG$111),""),"")</f>
        <v/>
      </c>
      <c r="CI68" s="31" t="str">
        <f>IF(AND($H68='Tournament Setup'!$A$42,$E68="F",$CF68&gt;'Tournament Setup'!$B$42),$I68,"")</f>
        <v/>
      </c>
      <c r="CJ68" s="12" t="str">
        <f>IF(ISNUMBER(CI68)=TRUE,IF(_xlfn.RANK.EQ(CI68,$CI$2:$CI$111)&lt;='Tournament Setup'!$D$42,_xlfn.RANK.EQ(CI68,$CI$2:$CI$111),""),"")</f>
        <v/>
      </c>
      <c r="CK68" s="30" t="str">
        <f>IF($H68='Tournament Setup'!$A$43,$I68,"")</f>
        <v/>
      </c>
      <c r="CL68" s="47" t="str">
        <f>IF(ISNUMBER(CK68),IF(COUNTIFS(CL$1:CL67,_xlfn.RANK.EQ(CK68,CK$2:CK$111,0))&gt;0,_xlfn.MAXIFS(CL$1:CL67,CK$1:CK67,CK68)+1,_xlfn.RANK.EQ(CK68,CK$2:CK$111,0)),"")</f>
        <v/>
      </c>
      <c r="CM68" s="1" t="str">
        <f>IF(ISNUMBER(CK68)=TRUE,IF(_xlfn.RANK.EQ(CK68,$CK$2:$CK$111)&lt;='Tournament Setup'!$B$43,_xlfn.RANK.EQ(CK68,$CK$2:$CK$111),""),"")</f>
        <v/>
      </c>
      <c r="CN68" s="31" t="str">
        <f>IF(AND($H68='Tournament Setup'!$A$43,$E68="M",$CM68&gt;'Tournament Setup'!$B$43),$I68,"")</f>
        <v/>
      </c>
      <c r="CO68" s="1" t="str">
        <f>IF(ISNUMBER(CN68)=TRUE,IF(_xlfn.RANK.EQ(CN68,$CN$2:$CN$111)&lt;='Tournament Setup'!$C$43,_xlfn.RANK.EQ(CN68,$CN$2:$CN$111),""),"")</f>
        <v/>
      </c>
      <c r="CP68" s="31" t="str">
        <f>IF(AND($H68='Tournament Setup'!$A$43,$E68="F",$CM68&gt;'Tournament Setup'!$B$43),$I68,"")</f>
        <v/>
      </c>
      <c r="CQ68" s="12" t="str">
        <f>IF(ISNUMBER(CP68)=TRUE,IF(_xlfn.RANK.EQ(CP68,$CP$2:$CP$111)&lt;='Tournament Setup'!$D$43,_xlfn.RANK.EQ(CP68,$CP$2:$CP$111),""),"")</f>
        <v/>
      </c>
      <c r="CR68" s="30" t="str">
        <f>IF($H68='Tournament Setup'!$A$44,$I68,"")</f>
        <v/>
      </c>
      <c r="CS68" s="47" t="str">
        <f>IF(ISNUMBER(CR68),IF(COUNTIFS(CS$1:CS67,_xlfn.RANK.EQ(CR68,CR$2:CR$111,0))&gt;0,_xlfn.MAXIFS(CS$1:CS67,CR$1:CR67,CR68)+1,_xlfn.RANK.EQ(CR68,CR$2:CR$111,0)),"")</f>
        <v/>
      </c>
      <c r="CT68" s="1" t="str">
        <f>IF(ISNUMBER(CR68)=TRUE,IF(_xlfn.RANK.EQ(CR68,$CR$2:$CR$111)&lt;='Tournament Setup'!$B$44,_xlfn.RANK.EQ(CR68,$CR$2:$CR$111),""),"")</f>
        <v/>
      </c>
      <c r="CU68" s="31" t="str">
        <f>IF(AND($H68='Tournament Setup'!$A$44,$E68="M",$CT68&gt;'Tournament Setup'!$B$44),$I68,"")</f>
        <v/>
      </c>
      <c r="CV68" s="1" t="str">
        <f>IF(ISNUMBER(CU68)=TRUE,IF(_xlfn.RANK.EQ(CU68,$CU$2:$CU$111)&lt;='Tournament Setup'!$C$44,_xlfn.RANK.EQ(CU68,$CU$2:$CU$111),""),"")</f>
        <v/>
      </c>
      <c r="CW68" s="31" t="str">
        <f>IF(AND($H68='Tournament Setup'!$A$44,$E68="F",$CT68&gt;'Tournament Setup'!$B$44),$I68,"")</f>
        <v/>
      </c>
      <c r="CX68" s="12" t="str">
        <f>IF(ISNUMBER(CW68)=TRUE,IF(_xlfn.RANK.EQ(CW68,$CW$2:$CW$111)&lt;='Tournament Setup'!$D$44,_xlfn.RANK.EQ(CW68,$CW$2:$CW$111),""),"")</f>
        <v/>
      </c>
    </row>
    <row r="69" spans="2:102" x14ac:dyDescent="0.3">
      <c r="B69" t="str">
        <f>IFERROR(INDEX('Tournament List'!$B:$B,MATCH($A69,'Tournament List'!$A:$A,0)),"")</f>
        <v/>
      </c>
      <c r="C69" t="str">
        <f>IFERROR(INDEX('Tournament List'!$C:$C,MATCH($A69,'Tournament List'!$A:$A,0)),"")</f>
        <v/>
      </c>
      <c r="D69" t="str">
        <f t="shared" si="1"/>
        <v xml:space="preserve"> </v>
      </c>
      <c r="E69" s="1" t="str">
        <f>IFERROR(INDEX('Tournament List'!F:F,MATCH($A69,'Tournament List'!$A:$A,0)),"")</f>
        <v/>
      </c>
      <c r="F69" t="str">
        <f>IFERROR(INDEX('Tournament List'!M:M,MATCH($A69,'Tournament List'!$A:$A,0)),"")</f>
        <v/>
      </c>
      <c r="G69" t="str">
        <f>IFERROR(INDEX('Shooter-Squad Assignment'!L:L,MATCH(A69,'Shooter-Squad Assignment'!A:A,0)),"")</f>
        <v/>
      </c>
      <c r="H69" s="1" t="str">
        <f>IFERROR(INDEX('Tournament List'!AD:AD,MATCH($A69,'Tournament List'!$A:$A,0)),"")</f>
        <v/>
      </c>
      <c r="I69" s="123" t="str">
        <f>IFERROR(INDEX('Tournament List'!AG:AG,MATCH($A69,'Tournament List'!$A:$A,0)),"")</f>
        <v/>
      </c>
      <c r="J69" s="145" t="str">
        <f>IFERROR(INDEX('Tournament List'!Y:Y,MATCH($A69,'Tournament List'!$A:$A,0)),"")</f>
        <v/>
      </c>
      <c r="K69" s="47" t="str">
        <f>IFERROR(INDEX('Tournament List'!S:S,MATCH(A69,'Tournament List'!A:A,0)),"")</f>
        <v/>
      </c>
      <c r="L69" s="47" t="str">
        <f>IF(ISNUMBER(J69),IF(COUNTIFS(L$1:L68,_xlfn.RANK.EQ(J69,J$2:J$111,0))&gt;0,_xlfn.MAXIFS(L$1:L68,J$1:J68,J69)+1,_xlfn.RANK.EQ(J69,J$2:J$111,0)),"")</f>
        <v/>
      </c>
      <c r="M69" s="11" t="str">
        <f>IF(ISNUMBER(I69)=TRUE,IF(I69&gt;0,_xlfn.RANK.EQ(I69,$I$2:$I$111,0),""),"")</f>
        <v/>
      </c>
      <c r="N69" s="56" t="str">
        <f>IF(ISNUMBER(I69),IF(COUNTIFS(N$1:N68,_xlfn.RANK.EQ(I69,I$2:I$111,0))&gt;0,_xlfn.MAXIFS(N$1:N68,I$1:I68,I69)+1,_xlfn.RANK.EQ(I69,I$2:I$111,0)),"")</f>
        <v/>
      </c>
      <c r="O69" s="144" t="str">
        <f>IF(F69&lt;&gt;"Collegiate"=TRUE,$I69,"")</f>
        <v/>
      </c>
      <c r="P69" s="47" t="str">
        <f>IF(ISNUMBER(O69),IF(COUNTIFS(P$1:P68,_xlfn.RANK.EQ(O69,O$2:O$111,0))&gt;0,_xlfn.MAXIFS(P$1:P68,O$1:O68,O69)+1,_xlfn.RANK.EQ(O69,O$2:O$111,0)),"")</f>
        <v/>
      </c>
      <c r="Q69" s="1" t="str">
        <f>IF(ISNUMBER(O69)=TRUE,IF(_xlfn.RANK.EQ(O69,$O$2:$O$111)&lt;='Tournament Setup'!$B$26,_xlfn.RANK.EQ(O69,$O$2:$O$111),""),"")</f>
        <v/>
      </c>
      <c r="R69" s="143" t="str">
        <f>IF(AND($E69="M",SUM($Q69)=0,F69&lt;&gt;"Collegiate")=TRUE,$I69,"")</f>
        <v/>
      </c>
      <c r="S69" s="1" t="str">
        <f>IF(ISNUMBER(R69)=TRUE,IF(_xlfn.RANK.EQ(R69,$R$2:$R$111)&lt;='Tournament Setup'!$B$27,_xlfn.RANK.EQ(R69,$R$2:$R$111),""),"")</f>
        <v/>
      </c>
      <c r="T69" s="143" t="str">
        <f>IF(AND($E69="F",SUM($Q69)=0,F69&lt;&gt;"Collegiate")=TRUE,$I69,"")</f>
        <v/>
      </c>
      <c r="U69" s="12" t="str">
        <f>IF(ISNUMBER(T69)=TRUE,IF(_xlfn.RANK.EQ(T69,$T$2:$T$111)&lt;='Tournament Setup'!$B$28,_xlfn.RANK.EQ(T69,$T$2:$T$111),""),"")</f>
        <v/>
      </c>
      <c r="V69" s="145" t="str">
        <f>IF(AND($G69='Tournament Setup'!$A$53,$J69&lt;&gt;0),$J69,"")</f>
        <v/>
      </c>
      <c r="W69" s="47" t="str">
        <f>IF(ISNUMBER(V69),IF(COUNTIFS(W$1:W68,_xlfn.RANK.EQ(V69,V$2:V$111,0))&gt;0,_xlfn.MAXIFS(W$1:W68,V$1:V68,V69)+1,_xlfn.RANK.EQ(V69,V$2:V$111,0)),"")</f>
        <v/>
      </c>
      <c r="X69" s="1" t="str">
        <f>IF(ISNUMBER(V69)=TRUE,IF(_xlfn.RANK.EQ(V69,$V$2:$V$111)&lt;='Tournament Setup'!$B$53,_xlfn.RANK.EQ(V69,$V$2:$V$111),""),"")</f>
        <v/>
      </c>
      <c r="Y69" s="145" t="str">
        <f>IF(AND($G69='Tournament Setup'!$A$49,$J69&lt;&gt;0),$J69,"")</f>
        <v/>
      </c>
      <c r="Z69" s="47" t="str">
        <f>IF(ISNUMBER(Y69),IF(COUNTIFS(Z$1:Z68,_xlfn.RANK.EQ(Y69,Y$2:Y$111,0))&gt;0,_xlfn.MAXIFS(Z$1:Z68,Y$1:Y68,Y69)+1,_xlfn.RANK.EQ(Y69,Y$2:Y$111,0)),"")</f>
        <v/>
      </c>
      <c r="AA69" s="1" t="str">
        <f>IF(ISNUMBER(Y69)=TRUE,IF(_xlfn.RANK.EQ(Y69,$Y$2:$Y$111)&lt;='Tournament Setup'!$B$49,_xlfn.RANK.EQ(Y69,$Y$2:$Y$111),""),"")</f>
        <v/>
      </c>
      <c r="AB69" s="30" t="str">
        <f>IF(AND($F69='Tournament Setup'!$A$32,SUM($Q69,$S69,$U69)=0),$I69,"")</f>
        <v/>
      </c>
      <c r="AC69" s="47" t="str">
        <f>IF(ISNUMBER(AB69),IF(COUNTIFS(AC$1:AC68,_xlfn.RANK.EQ(AB69,AB$2:AB$111,0))&gt;0,_xlfn.MAXIFS(AC$1:AC68,AB$1:AB68,AB69)+1,_xlfn.RANK.EQ(AB69,AB$2:AB$111,0)),"")</f>
        <v/>
      </c>
      <c r="AD69" s="1" t="str">
        <f>IF(ISNUMBER(AB69)=TRUE,IF(_xlfn.RANK.EQ(AB69,$AB$2:$AB$111)&lt;='Tournament Setup'!$B$32,_xlfn.RANK.EQ(AB69,$AB$2:$AB$111),""),"")</f>
        <v/>
      </c>
      <c r="AE69" s="31" t="str">
        <f>IF(AND($F69='Tournament Setup'!$A$32,SUM($Q69,$S69)=0,$E69="M",$AD69&gt;'Tournament Setup'!$B$32),$I69,"")</f>
        <v/>
      </c>
      <c r="AF69" s="1" t="str">
        <f>IF(ISNUMBER(AE69)=TRUE,IF(_xlfn.RANK.EQ(AE69,$AE$2:$AE$111)&lt;='Tournament Setup'!$C$32,_xlfn.RANK.EQ(AE69,$AE$2:$AE$111),""),"")</f>
        <v/>
      </c>
      <c r="AG69" s="31" t="str">
        <f>IF(AND($F69='Tournament Setup'!$A$32,SUM($Q69,$U69)=0,$E69="F",$AD69&gt;'Tournament Setup'!$B$32),$I69,"")</f>
        <v/>
      </c>
      <c r="AH69" s="12" t="str">
        <f>IF(ISNUMBER(AG69)=TRUE,IF(_xlfn.RANK.EQ(AG69,$AG$2:$AG$111)&lt;='Tournament Setup'!$D$32,_xlfn.RANK.EQ(AG69,$AG$2:$AG$111),""),"")</f>
        <v/>
      </c>
      <c r="AI69" s="30" t="str">
        <f>IF(AND($G69='Tournament Setup'!$A$50,$J69&lt;&gt;0),$J69,"")</f>
        <v/>
      </c>
      <c r="AJ69" s="47" t="str">
        <f>IF(ISNUMBER(AI69),IF(COUNTIFS(AJ$1:AJ68,_xlfn.RANK.EQ(AI69,AI$2:AI$111,0))&gt;0,_xlfn.MAXIFS(AJ$1:AJ68,AI$1:AI68,AI69)+1,_xlfn.RANK.EQ(AI69,AI$2:AI$111,0)),"")</f>
        <v/>
      </c>
      <c r="AK69" s="1" t="str">
        <f>IF(ISNUMBER(AI69)=TRUE,IF(_xlfn.RANK.EQ(AI69,$AI$2:$AI$111)&lt;='Tournament Setup'!$B$49,_xlfn.RANK.EQ(AI69,$AI$2:$AI$111),""),"")</f>
        <v/>
      </c>
      <c r="AL69" s="30" t="str">
        <f>IF(AND($F69='Tournament Setup'!$A$33,SUM($Q69,$S69,$U69)=0),$I69,"")</f>
        <v/>
      </c>
      <c r="AM69" s="47" t="str">
        <f>IF(ISNUMBER(AL69),IF(COUNTIFS(AM$1:AM68,_xlfn.RANK.EQ(AL69,AL$2:AL$111,0))&gt;0,_xlfn.MAXIFS(AM$1:AM68,AL$1:AL68,AL69)+1,_xlfn.RANK.EQ(AL69,AL$2:AL$111,0)),"")</f>
        <v/>
      </c>
      <c r="AN69" s="1" t="str">
        <f>IF(ISNUMBER(AL69)=TRUE,IF(_xlfn.RANK.EQ(AL69,$AL$2:$AL$111)&lt;='Tournament Setup'!$B$33,_xlfn.RANK.EQ(AL69,$AL$2:$AL$111),""),"")</f>
        <v/>
      </c>
      <c r="AO69" s="31" t="str">
        <f>IF(AND($F69='Tournament Setup'!$A$33,SUM($Q69,$S69)=0,$E69="M",$AN69&gt;'Tournament Setup'!$B$33),$I69,"")</f>
        <v/>
      </c>
      <c r="AP69" s="1" t="str">
        <f>IF(ISNUMBER(AO69)=TRUE,IF(_xlfn.RANK.EQ(AO69,$AO$2:$AO$111)&lt;='Tournament Setup'!$C$33,_xlfn.RANK.EQ(AO69,$AO$2:$AO$111),""),"")</f>
        <v/>
      </c>
      <c r="AQ69" s="31" t="str">
        <f>IF(AND($F69='Tournament Setup'!$A$33,SUM($Q69,$U69)=0,$E69="F",$AN69&gt;'Tournament Setup'!$B$33),$I69,"")</f>
        <v/>
      </c>
      <c r="AR69" s="12" t="str">
        <f>IF(ISNUMBER(AQ69)=TRUE,IF(_xlfn.RANK.EQ(AQ69,$AQ$2:$AQ$111)&lt;='Tournament Setup'!$D$33,_xlfn.RANK.EQ(AQ69,$AQ$2:$AQ$111),""),"")</f>
        <v/>
      </c>
      <c r="AS69" s="30" t="str">
        <f>IF(AND($G69='Tournament Setup'!$A$51,$J69&lt;&gt;0),$J69,"")</f>
        <v/>
      </c>
      <c r="AT69" s="47" t="str">
        <f>IF(ISNUMBER(AS69),IF(COUNTIFS(AT$1:AT68,_xlfn.RANK.EQ(AS69,AS$2:AS$111,0))&gt;0,_xlfn.MAXIFS(AT$1:AT68,AS$1:AS68,AS69)+1,_xlfn.RANK.EQ(AS69,AS$2:AS$111,0)),"")</f>
        <v/>
      </c>
      <c r="AU69" s="1" t="str">
        <f>IF(ISNUMBER(AS69)=TRUE,IF(_xlfn.RANK.EQ(AS69,$AS$2:$AS$111)&lt;='Tournament Setup'!$B$49,_xlfn.RANK.EQ(AS69,$AS$2:$AS$111),""),"")</f>
        <v/>
      </c>
      <c r="AV69" s="30" t="str">
        <f>IF(AND($F69='Tournament Setup'!$A$34,SUM($Q69,$S69,$U69)=0),$I69,"")</f>
        <v/>
      </c>
      <c r="AW69" s="47" t="str">
        <f>IF(ISNUMBER(AV69),IF(COUNTIFS(AW$1:AW68,_xlfn.RANK.EQ(AV69,AV$2:AV$111,0))&gt;0,_xlfn.MAXIFS(AW$1:AW68,AV$1:AV68,AV69)+1,_xlfn.RANK.EQ(AV69,AV$2:AV$111,0)),"")</f>
        <v/>
      </c>
      <c r="AX69" s="1" t="str">
        <f>IF(ISNUMBER(AV69)=TRUE,IF(_xlfn.RANK.EQ(AV69,$AV$2:$AV$111)&lt;='Tournament Setup'!$B$34,_xlfn.RANK.EQ(AV69,$AV$2:$AV$111),""),"")</f>
        <v/>
      </c>
      <c r="AY69" s="31" t="str">
        <f>IF(AND($F69='Tournament Setup'!$A$34,SUM($Q69,$S69)=0,$E69="M",$AX69&gt;'Tournament Setup'!$B$34),$I69,"")</f>
        <v/>
      </c>
      <c r="AZ69" s="1" t="str">
        <f>IF(ISNUMBER(AY69)=TRUE,IF(_xlfn.RANK.EQ(AY69,$AY$2:$AY$111)&lt;='Tournament Setup'!$C$34,_xlfn.RANK.EQ(AY69,$AY$2:$AY$111),""),"")</f>
        <v/>
      </c>
      <c r="BA69" s="31" t="str">
        <f>IF(AND($F69='Tournament Setup'!$A$34,SUM($Q69,$U69)=0,$E69="F",$AX69&gt;'Tournament Setup'!$B$34),$I69,"")</f>
        <v/>
      </c>
      <c r="BB69" s="12" t="str">
        <f>IF(ISNUMBER(BA69)=TRUE,IF(_xlfn.RANK.EQ(BA69,$BA$2:$BA$111)&lt;='Tournament Setup'!$D$34,_xlfn.RANK.EQ(BA69,$BA$2:$BA$111),""),"")</f>
        <v/>
      </c>
      <c r="BC69" s="30" t="str">
        <f>IF(AND($G69='Tournament Setup'!$A$52,$J69&lt;&gt;0),$J69,"")</f>
        <v/>
      </c>
      <c r="BD69" s="47" t="str">
        <f>IF(ISNUMBER(BC69),IF(COUNTIFS(BD$1:BD68,_xlfn.RANK.EQ(BC69,BC$2:BC$111,0))&gt;0,_xlfn.MAXIFS(BD$1:BD68,BC$1:BC68,BC69)+1,_xlfn.RANK.EQ(BC69,BC$2:BC$111,0)),"")</f>
        <v/>
      </c>
      <c r="BE69" s="1" t="str">
        <f>IF(ISNUMBER(BC69)=TRUE,IF(_xlfn.RANK.EQ(BC69,$BC$2:$BC$111)&lt;='Tournament Setup'!$B$49,_xlfn.RANK.EQ(BC69,$BC$2:$BC$111),""),"")</f>
        <v/>
      </c>
      <c r="BF69" s="30" t="str">
        <f>IF(AND($F69='Tournament Setup'!$A$35,SUM($Q69,$S69,$U69)=0),$I69,"")</f>
        <v/>
      </c>
      <c r="BG69" s="47" t="str">
        <f>IF(ISNUMBER(BF69),IF(COUNTIFS(BG$1:BG68,_xlfn.RANK.EQ(BF69,BF$2:BF$111,0))&gt;0,_xlfn.MAXIFS(BG$1:BG68,BF$1:BF68,BF69)+1,_xlfn.RANK.EQ(BF69,BF$2:BF$111,0)),"")</f>
        <v/>
      </c>
      <c r="BH69" s="1" t="str">
        <f>IF(ISNUMBER(BF69)=TRUE,IF(_xlfn.RANK.EQ(BF69,$BF$2:$BF$111)&lt;='Tournament Setup'!$B$35,_xlfn.RANK.EQ(BF69,$BF$2:$BF$111),""),"")</f>
        <v/>
      </c>
      <c r="BI69" s="31" t="str">
        <f>IF(AND($F69='Tournament Setup'!$A$35,SUM($Q69,$S69)=0,$E69="M",$BH69&gt;'Tournament Setup'!$B$35),$I69,"")</f>
        <v/>
      </c>
      <c r="BJ69" s="1" t="str">
        <f>IF(ISNUMBER(BI69)=TRUE,IF(_xlfn.RANK.EQ(BI69,$BI$2:$BI$111)&lt;='Tournament Setup'!$C$35,_xlfn.RANK.EQ(BI69,$BI$2:$BI$111),""),"")</f>
        <v/>
      </c>
      <c r="BK69" s="31" t="str">
        <f>IF(AND($F69='Tournament Setup'!$A$35,SUM($Q69,$U69)=0,$E69="F",$BH69&gt;'Tournament Setup'!$B$35),$I69,"")</f>
        <v/>
      </c>
      <c r="BL69" s="12" t="str">
        <f>IF(ISNUMBER(BK69)=TRUE,IF(_xlfn.RANK.EQ(BK69,$BK$2:$BK$111)&lt;='Tournament Setup'!$D$35,_xlfn.RANK.EQ(BK69,$BK$2:$BK$111),""),"")</f>
        <v/>
      </c>
      <c r="BM69" s="30" t="str">
        <f>IF(AND($G69='Tournament Setup'!$A$54,$J69&lt;&gt;0),$J69,"")</f>
        <v/>
      </c>
      <c r="BN69" s="47" t="str">
        <f>IF(ISNUMBER(BM69),IF(COUNTIFS(BN$1:BN68,_xlfn.RANK.EQ(BM69,BM$2:BM$111,0))&gt;0,_xlfn.MAXIFS(BN$1:BN68,BM$1:BM68,BM69)+1,_xlfn.RANK.EQ(BM69,BM$2:BM$111,0)),"")</f>
        <v/>
      </c>
      <c r="BO69" s="1" t="str">
        <f>IF(ISNUMBER(BM69)=TRUE,IF(_xlfn.RANK.EQ(BM69,$BM$2:$BM$111)&lt;='Tournament Setup'!$B$49,_xlfn.RANK.EQ(BM69,$BM$2:$BM$111),""),"")</f>
        <v/>
      </c>
      <c r="BP69" s="30" t="str">
        <f>IF(AND($F69='Tournament Setup'!$A$36,SUM($Q69,$S69,$U69)=0),$I69,"")</f>
        <v/>
      </c>
      <c r="BQ69" s="47" t="str">
        <f>IF(ISNUMBER(BP69),IF(COUNTIFS(BQ$1:BQ68,_xlfn.RANK.EQ(BP69,BP$2:BP$111,0))&gt;0,_xlfn.MAXIFS(BQ$1:BQ68,BP$1:BP68,BP69)+1,_xlfn.RANK.EQ(BP69,BP$2:BP$111,0)),"")</f>
        <v/>
      </c>
      <c r="BR69" s="1" t="str">
        <f>IF(ISNUMBER(BP69)=TRUE,IF(_xlfn.RANK.EQ(BP69,$BP$2:$BP$111)&lt;='Tournament Setup'!$B$36,_xlfn.RANK.EQ(BP69,$BP$2:$BP$111),""),"")</f>
        <v/>
      </c>
      <c r="BS69" s="31" t="str">
        <f>IF(AND($F69='Tournament Setup'!$A$36,SUM($Q69,$S69)=0,$E69="M",$BR69&gt;'Tournament Setup'!$B$36),$I69,"")</f>
        <v/>
      </c>
      <c r="BT69" s="1" t="str">
        <f>IF(ISNUMBER(BS69)=TRUE,IF(_xlfn.RANK.EQ(BS69,$BS$2:$BS$111)&lt;='Tournament Setup'!$C$36,_xlfn.RANK.EQ(BS69,$BS$2:$BS$111),""),"")</f>
        <v/>
      </c>
      <c r="BU69" s="31" t="str">
        <f>IF(AND($F69='Tournament Setup'!$A$36,SUM($Q69,$U69)=0,$E69="F",$BR69&gt;'Tournament Setup'!$B$36),$I69,"")</f>
        <v/>
      </c>
      <c r="BV69" s="12" t="str">
        <f>IF(ISNUMBER(BU69)=TRUE,IF(_xlfn.RANK.EQ(BU69,$BU$2:$BU$111)&lt;='Tournament Setup'!$D$36,_xlfn.RANK.EQ(BU69,$BU$2:$BU$111),""),"")</f>
        <v/>
      </c>
      <c r="BW69" s="30" t="str">
        <f>IF($H69='Tournament Setup'!$A$41,$I69,"")</f>
        <v/>
      </c>
      <c r="BX69" s="47" t="str">
        <f>IF(ISNUMBER(BW69),IF(COUNTIFS(BX$1:BX68,_xlfn.RANK.EQ(BW69,BW$2:BW$111,0))&gt;0,_xlfn.MAXIFS(BX$1:BX68,BW$1:BW68,BW69)+1,_xlfn.RANK.EQ(BW69,BW$2:BW$111,0)),"")</f>
        <v/>
      </c>
      <c r="BY69" s="1" t="str">
        <f>IF(ISNUMBER(BW69)=TRUE,IF(_xlfn.RANK.EQ(BW69,$BW$2:$BW$111)&lt;='Tournament Setup'!$B$41,_xlfn.RANK.EQ(BW69,$BW$2:$BW$111),""),"")</f>
        <v/>
      </c>
      <c r="BZ69" s="31" t="str">
        <f>IF(AND($H69='Tournament Setup'!$A$41,$E69="M",$BY69&gt;'Tournament Setup'!$B$41),$I69,"")</f>
        <v/>
      </c>
      <c r="CA69" s="1" t="str">
        <f>IF(ISNUMBER(BZ69)=TRUE,IF(_xlfn.RANK.EQ(BZ69,$BZ$2:$BZ$111)&lt;='Tournament Setup'!$C$41,_xlfn.RANK.EQ(BZ69,$BZ$2:$BZ$111),""),"")</f>
        <v/>
      </c>
      <c r="CB69" s="31" t="str">
        <f>IF(AND($H69='Tournament Setup'!$A$41,$E69="F",$BY69&gt;'Tournament Setup'!$B$41),$I69,"")</f>
        <v/>
      </c>
      <c r="CC69" s="12" t="str">
        <f>IF(ISNUMBER(CB69)=TRUE,IF(_xlfn.RANK.EQ(CB69,$CB$2:$CB$111)&lt;='Tournament Setup'!$D$41,_xlfn.RANK.EQ(CB69,$CB$2:$CB$111),""),"")</f>
        <v/>
      </c>
      <c r="CD69" s="30" t="str">
        <f>IF($H69='Tournament Setup'!$A$42,$I69,"")</f>
        <v/>
      </c>
      <c r="CE69" s="47" t="str">
        <f>IF(ISNUMBER(CD69),IF(COUNTIFS(CE$1:CE68,_xlfn.RANK.EQ(CD69,CD$2:CD$111,0))&gt;0,_xlfn.MAXIFS(CE$1:CE68,CD$1:CD68,CD69)+1,_xlfn.RANK.EQ(CD69,CD$2:CD$111,0)),"")</f>
        <v/>
      </c>
      <c r="CF69" s="1" t="str">
        <f>IF(ISNUMBER(CD69)=TRUE,IF(_xlfn.RANK.EQ(CD69,$CD$2:$CD$111)&lt;='Tournament Setup'!$B$42,_xlfn.RANK.EQ(CD69,$CD$2:$CD$111),""),"")</f>
        <v/>
      </c>
      <c r="CG69" s="31" t="str">
        <f>IF(AND($H69='Tournament Setup'!$A$42,$E69="M",$CF69&gt;'Tournament Setup'!$B$42),$I69,"")</f>
        <v/>
      </c>
      <c r="CH69" s="1" t="str">
        <f>IF(ISNUMBER(CG69)=TRUE,IF(_xlfn.RANK.EQ(CG69,$CG$2:$CG$111)&lt;='Tournament Setup'!$C$42,_xlfn.RANK.EQ(CG69,$CG$2:$CG$111),""),"")</f>
        <v/>
      </c>
      <c r="CI69" s="31" t="str">
        <f>IF(AND($H69='Tournament Setup'!$A$42,$E69="F",$CF69&gt;'Tournament Setup'!$B$42),$I69,"")</f>
        <v/>
      </c>
      <c r="CJ69" s="12" t="str">
        <f>IF(ISNUMBER(CI69)=TRUE,IF(_xlfn.RANK.EQ(CI69,$CI$2:$CI$111)&lt;='Tournament Setup'!$D$42,_xlfn.RANK.EQ(CI69,$CI$2:$CI$111),""),"")</f>
        <v/>
      </c>
      <c r="CK69" s="30" t="str">
        <f>IF($H69='Tournament Setup'!$A$43,$I69,"")</f>
        <v/>
      </c>
      <c r="CL69" s="47" t="str">
        <f>IF(ISNUMBER(CK69),IF(COUNTIFS(CL$1:CL68,_xlfn.RANK.EQ(CK69,CK$2:CK$111,0))&gt;0,_xlfn.MAXIFS(CL$1:CL68,CK$1:CK68,CK69)+1,_xlfn.RANK.EQ(CK69,CK$2:CK$111,0)),"")</f>
        <v/>
      </c>
      <c r="CM69" s="1" t="str">
        <f>IF(ISNUMBER(CK69)=TRUE,IF(_xlfn.RANK.EQ(CK69,$CK$2:$CK$111)&lt;='Tournament Setup'!$B$43,_xlfn.RANK.EQ(CK69,$CK$2:$CK$111),""),"")</f>
        <v/>
      </c>
      <c r="CN69" s="31" t="str">
        <f>IF(AND($H69='Tournament Setup'!$A$43,$E69="M",$CM69&gt;'Tournament Setup'!$B$43),$I69,"")</f>
        <v/>
      </c>
      <c r="CO69" s="1" t="str">
        <f>IF(ISNUMBER(CN69)=TRUE,IF(_xlfn.RANK.EQ(CN69,$CN$2:$CN$111)&lt;='Tournament Setup'!$C$43,_xlfn.RANK.EQ(CN69,$CN$2:$CN$111),""),"")</f>
        <v/>
      </c>
      <c r="CP69" s="31" t="str">
        <f>IF(AND($H69='Tournament Setup'!$A$43,$E69="F",$CM69&gt;'Tournament Setup'!$B$43),$I69,"")</f>
        <v/>
      </c>
      <c r="CQ69" s="12" t="str">
        <f>IF(ISNUMBER(CP69)=TRUE,IF(_xlfn.RANK.EQ(CP69,$CP$2:$CP$111)&lt;='Tournament Setup'!$D$43,_xlfn.RANK.EQ(CP69,$CP$2:$CP$111),""),"")</f>
        <v/>
      </c>
      <c r="CR69" s="30" t="str">
        <f>IF($H69='Tournament Setup'!$A$44,$I69,"")</f>
        <v/>
      </c>
      <c r="CS69" s="47" t="str">
        <f>IF(ISNUMBER(CR69),IF(COUNTIFS(CS$1:CS68,_xlfn.RANK.EQ(CR69,CR$2:CR$111,0))&gt;0,_xlfn.MAXIFS(CS$1:CS68,CR$1:CR68,CR69)+1,_xlfn.RANK.EQ(CR69,CR$2:CR$111,0)),"")</f>
        <v/>
      </c>
      <c r="CT69" s="1" t="str">
        <f>IF(ISNUMBER(CR69)=TRUE,IF(_xlfn.RANK.EQ(CR69,$CR$2:$CR$111)&lt;='Tournament Setup'!$B$44,_xlfn.RANK.EQ(CR69,$CR$2:$CR$111),""),"")</f>
        <v/>
      </c>
      <c r="CU69" s="31" t="str">
        <f>IF(AND($H69='Tournament Setup'!$A$44,$E69="M",$CT69&gt;'Tournament Setup'!$B$44),$I69,"")</f>
        <v/>
      </c>
      <c r="CV69" s="1" t="str">
        <f>IF(ISNUMBER(CU69)=TRUE,IF(_xlfn.RANK.EQ(CU69,$CU$2:$CU$111)&lt;='Tournament Setup'!$C$44,_xlfn.RANK.EQ(CU69,$CU$2:$CU$111),""),"")</f>
        <v/>
      </c>
      <c r="CW69" s="31" t="str">
        <f>IF(AND($H69='Tournament Setup'!$A$44,$E69="F",$CT69&gt;'Tournament Setup'!$B$44),$I69,"")</f>
        <v/>
      </c>
      <c r="CX69" s="12" t="str">
        <f>IF(ISNUMBER(CW69)=TRUE,IF(_xlfn.RANK.EQ(CW69,$CW$2:$CW$111)&lt;='Tournament Setup'!$D$44,_xlfn.RANK.EQ(CW69,$CW$2:$CW$111),""),"")</f>
        <v/>
      </c>
    </row>
    <row r="70" spans="2:102" x14ac:dyDescent="0.3">
      <c r="B70" t="str">
        <f>IFERROR(INDEX('Tournament List'!$B:$B,MATCH($A70,'Tournament List'!$A:$A,0)),"")</f>
        <v/>
      </c>
      <c r="C70" t="str">
        <f>IFERROR(INDEX('Tournament List'!$C:$C,MATCH($A70,'Tournament List'!$A:$A,0)),"")</f>
        <v/>
      </c>
      <c r="D70" t="str">
        <f t="shared" si="1"/>
        <v xml:space="preserve"> </v>
      </c>
      <c r="E70" s="1" t="str">
        <f>IFERROR(INDEX('Tournament List'!F:F,MATCH($A70,'Tournament List'!$A:$A,0)),"")</f>
        <v/>
      </c>
      <c r="F70" t="str">
        <f>IFERROR(INDEX('Tournament List'!M:M,MATCH($A70,'Tournament List'!$A:$A,0)),"")</f>
        <v/>
      </c>
      <c r="G70" t="str">
        <f>IFERROR(INDEX('Shooter-Squad Assignment'!L:L,MATCH(A70,'Shooter-Squad Assignment'!A:A,0)),"")</f>
        <v/>
      </c>
      <c r="H70" s="1" t="str">
        <f>IFERROR(INDEX('Tournament List'!AD:AD,MATCH($A70,'Tournament List'!$A:$A,0)),"")</f>
        <v/>
      </c>
      <c r="I70" s="123" t="str">
        <f>IFERROR(INDEX('Tournament List'!AG:AG,MATCH($A70,'Tournament List'!$A:$A,0)),"")</f>
        <v/>
      </c>
      <c r="J70" s="145" t="str">
        <f>IFERROR(INDEX('Tournament List'!Y:Y,MATCH($A70,'Tournament List'!$A:$A,0)),"")</f>
        <v/>
      </c>
      <c r="K70" s="47" t="str">
        <f>IFERROR(INDEX('Tournament List'!S:S,MATCH(A70,'Tournament List'!A:A,0)),"")</f>
        <v/>
      </c>
      <c r="L70" s="47" t="str">
        <f>IF(ISNUMBER(J70),IF(COUNTIFS(L$1:L69,_xlfn.RANK.EQ(J70,J$2:J$111,0))&gt;0,_xlfn.MAXIFS(L$1:L69,J$1:J69,J70)+1,_xlfn.RANK.EQ(J70,J$2:J$111,0)),"")</f>
        <v/>
      </c>
      <c r="M70" s="11" t="str">
        <f>IF(ISNUMBER(I70)=TRUE,IF(I70&gt;0,_xlfn.RANK.EQ(I70,$I$2:$I$111,0),""),"")</f>
        <v/>
      </c>
      <c r="N70" s="56" t="str">
        <f>IF(ISNUMBER(I70),IF(COUNTIFS(N$1:N69,_xlfn.RANK.EQ(I70,I$2:I$111,0))&gt;0,_xlfn.MAXIFS(N$1:N69,I$1:I69,I70)+1,_xlfn.RANK.EQ(I70,I$2:I$111,0)),"")</f>
        <v/>
      </c>
      <c r="O70" s="144" t="str">
        <f>IF(F70&lt;&gt;"Collegiate"=TRUE,$I70,"")</f>
        <v/>
      </c>
      <c r="P70" s="47" t="str">
        <f>IF(ISNUMBER(O70),IF(COUNTIFS(P$1:P69,_xlfn.RANK.EQ(O70,O$2:O$111,0))&gt;0,_xlfn.MAXIFS(P$1:P69,O$1:O69,O70)+1,_xlfn.RANK.EQ(O70,O$2:O$111,0)),"")</f>
        <v/>
      </c>
      <c r="Q70" s="1" t="str">
        <f>IF(ISNUMBER(O70)=TRUE,IF(_xlfn.RANK.EQ(O70,$O$2:$O$111)&lt;='Tournament Setup'!$B$26,_xlfn.RANK.EQ(O70,$O$2:$O$111),""),"")</f>
        <v/>
      </c>
      <c r="R70" s="143" t="str">
        <f>IF(AND($E70="M",SUM($Q70)=0,F70&lt;&gt;"Collegiate")=TRUE,$I70,"")</f>
        <v/>
      </c>
      <c r="S70" s="1" t="str">
        <f>IF(ISNUMBER(R70)=TRUE,IF(_xlfn.RANK.EQ(R70,$R$2:$R$111)&lt;='Tournament Setup'!$B$27,_xlfn.RANK.EQ(R70,$R$2:$R$111),""),"")</f>
        <v/>
      </c>
      <c r="T70" s="143" t="str">
        <f>IF(AND($E70="F",SUM($Q70)=0,F70&lt;&gt;"Collegiate")=TRUE,$I70,"")</f>
        <v/>
      </c>
      <c r="U70" s="12" t="str">
        <f>IF(ISNUMBER(T70)=TRUE,IF(_xlfn.RANK.EQ(T70,$T$2:$T$111)&lt;='Tournament Setup'!$B$28,_xlfn.RANK.EQ(T70,$T$2:$T$111),""),"")</f>
        <v/>
      </c>
      <c r="V70" s="145" t="str">
        <f>IF(AND($G70='Tournament Setup'!$A$53,$J70&lt;&gt;0),$J70,"")</f>
        <v/>
      </c>
      <c r="W70" s="47" t="str">
        <f>IF(ISNUMBER(V70),IF(COUNTIFS(W$1:W69,_xlfn.RANK.EQ(V70,V$2:V$111,0))&gt;0,_xlfn.MAXIFS(W$1:W69,V$1:V69,V70)+1,_xlfn.RANK.EQ(V70,V$2:V$111,0)),"")</f>
        <v/>
      </c>
      <c r="X70" s="1" t="str">
        <f>IF(ISNUMBER(V70)=TRUE,IF(_xlfn.RANK.EQ(V70,$V$2:$V$111)&lt;='Tournament Setup'!$B$53,_xlfn.RANK.EQ(V70,$V$2:$V$111),""),"")</f>
        <v/>
      </c>
      <c r="Y70" s="145" t="str">
        <f>IF(AND($G70='Tournament Setup'!$A$49,$J70&lt;&gt;0),$J70,"")</f>
        <v/>
      </c>
      <c r="Z70" s="47" t="str">
        <f>IF(ISNUMBER(Y70),IF(COUNTIFS(Z$1:Z69,_xlfn.RANK.EQ(Y70,Y$2:Y$111,0))&gt;0,_xlfn.MAXIFS(Z$1:Z69,Y$1:Y69,Y70)+1,_xlfn.RANK.EQ(Y70,Y$2:Y$111,0)),"")</f>
        <v/>
      </c>
      <c r="AA70" s="1" t="str">
        <f>IF(ISNUMBER(Y70)=TRUE,IF(_xlfn.RANK.EQ(Y70,$Y$2:$Y$111)&lt;='Tournament Setup'!$B$49,_xlfn.RANK.EQ(Y70,$Y$2:$Y$111),""),"")</f>
        <v/>
      </c>
      <c r="AB70" s="30" t="str">
        <f>IF(AND($F70='Tournament Setup'!$A$32,SUM($Q70,$S70,$U70)=0),$I70,"")</f>
        <v/>
      </c>
      <c r="AC70" s="47" t="str">
        <f>IF(ISNUMBER(AB70),IF(COUNTIFS(AC$1:AC69,_xlfn.RANK.EQ(AB70,AB$2:AB$111,0))&gt;0,_xlfn.MAXIFS(AC$1:AC69,AB$1:AB69,AB70)+1,_xlfn.RANK.EQ(AB70,AB$2:AB$111,0)),"")</f>
        <v/>
      </c>
      <c r="AD70" s="1" t="str">
        <f>IF(ISNUMBER(AB70)=TRUE,IF(_xlfn.RANK.EQ(AB70,$AB$2:$AB$111)&lt;='Tournament Setup'!$B$32,_xlfn.RANK.EQ(AB70,$AB$2:$AB$111),""),"")</f>
        <v/>
      </c>
      <c r="AE70" s="31" t="str">
        <f>IF(AND($F70='Tournament Setup'!$A$32,SUM($Q70,$S70)=0,$E70="M",$AD70&gt;'Tournament Setup'!$B$32),$I70,"")</f>
        <v/>
      </c>
      <c r="AF70" s="1" t="str">
        <f>IF(ISNUMBER(AE70)=TRUE,IF(_xlfn.RANK.EQ(AE70,$AE$2:$AE$111)&lt;='Tournament Setup'!$C$32,_xlfn.RANK.EQ(AE70,$AE$2:$AE$111),""),"")</f>
        <v/>
      </c>
      <c r="AG70" s="31" t="str">
        <f>IF(AND($F70='Tournament Setup'!$A$32,SUM($Q70,$U70)=0,$E70="F",$AD70&gt;'Tournament Setup'!$B$32),$I70,"")</f>
        <v/>
      </c>
      <c r="AH70" s="12" t="str">
        <f>IF(ISNUMBER(AG70)=TRUE,IF(_xlfn.RANK.EQ(AG70,$AG$2:$AG$111)&lt;='Tournament Setup'!$D$32,_xlfn.RANK.EQ(AG70,$AG$2:$AG$111),""),"")</f>
        <v/>
      </c>
      <c r="AI70" s="30" t="str">
        <f>IF(AND($G70='Tournament Setup'!$A$50,$J70&lt;&gt;0),$J70,"")</f>
        <v/>
      </c>
      <c r="AJ70" s="47" t="str">
        <f>IF(ISNUMBER(AI70),IF(COUNTIFS(AJ$1:AJ69,_xlfn.RANK.EQ(AI70,AI$2:AI$111,0))&gt;0,_xlfn.MAXIFS(AJ$1:AJ69,AI$1:AI69,AI70)+1,_xlfn.RANK.EQ(AI70,AI$2:AI$111,0)),"")</f>
        <v/>
      </c>
      <c r="AK70" s="1" t="str">
        <f>IF(ISNUMBER(AI70)=TRUE,IF(_xlfn.RANK.EQ(AI70,$AI$2:$AI$111)&lt;='Tournament Setup'!$B$49,_xlfn.RANK.EQ(AI70,$AI$2:$AI$111),""),"")</f>
        <v/>
      </c>
      <c r="AL70" s="30" t="str">
        <f>IF(AND($F70='Tournament Setup'!$A$33,SUM($Q70,$S70,$U70)=0),$I70,"")</f>
        <v/>
      </c>
      <c r="AM70" s="47" t="str">
        <f>IF(ISNUMBER(AL70),IF(COUNTIFS(AM$1:AM69,_xlfn.RANK.EQ(AL70,AL$2:AL$111,0))&gt;0,_xlfn.MAXIFS(AM$1:AM69,AL$1:AL69,AL70)+1,_xlfn.RANK.EQ(AL70,AL$2:AL$111,0)),"")</f>
        <v/>
      </c>
      <c r="AN70" s="1" t="str">
        <f>IF(ISNUMBER(AL70)=TRUE,IF(_xlfn.RANK.EQ(AL70,$AL$2:$AL$111)&lt;='Tournament Setup'!$B$33,_xlfn.RANK.EQ(AL70,$AL$2:$AL$111),""),"")</f>
        <v/>
      </c>
      <c r="AO70" s="31" t="str">
        <f>IF(AND($F70='Tournament Setup'!$A$33,SUM($Q70,$S70)=0,$E70="M",$AN70&gt;'Tournament Setup'!$B$33),$I70,"")</f>
        <v/>
      </c>
      <c r="AP70" s="1" t="str">
        <f>IF(ISNUMBER(AO70)=TRUE,IF(_xlfn.RANK.EQ(AO70,$AO$2:$AO$111)&lt;='Tournament Setup'!$C$33,_xlfn.RANK.EQ(AO70,$AO$2:$AO$111),""),"")</f>
        <v/>
      </c>
      <c r="AQ70" s="31" t="str">
        <f>IF(AND($F70='Tournament Setup'!$A$33,SUM($Q70,$U70)=0,$E70="F",$AN70&gt;'Tournament Setup'!$B$33),$I70,"")</f>
        <v/>
      </c>
      <c r="AR70" s="12" t="str">
        <f>IF(ISNUMBER(AQ70)=TRUE,IF(_xlfn.RANK.EQ(AQ70,$AQ$2:$AQ$111)&lt;='Tournament Setup'!$D$33,_xlfn.RANK.EQ(AQ70,$AQ$2:$AQ$111),""),"")</f>
        <v/>
      </c>
      <c r="AS70" s="30" t="str">
        <f>IF(AND($G70='Tournament Setup'!$A$51,$J70&lt;&gt;0),$J70,"")</f>
        <v/>
      </c>
      <c r="AT70" s="47" t="str">
        <f>IF(ISNUMBER(AS70),IF(COUNTIFS(AT$1:AT69,_xlfn.RANK.EQ(AS70,AS$2:AS$111,0))&gt;0,_xlfn.MAXIFS(AT$1:AT69,AS$1:AS69,AS70)+1,_xlfn.RANK.EQ(AS70,AS$2:AS$111,0)),"")</f>
        <v/>
      </c>
      <c r="AU70" s="1" t="str">
        <f>IF(ISNUMBER(AS70)=TRUE,IF(_xlfn.RANK.EQ(AS70,$AS$2:$AS$111)&lt;='Tournament Setup'!$B$49,_xlfn.RANK.EQ(AS70,$AS$2:$AS$111),""),"")</f>
        <v/>
      </c>
      <c r="AV70" s="30" t="str">
        <f>IF(AND($F70='Tournament Setup'!$A$34,SUM($Q70,$S70,$U70)=0),$I70,"")</f>
        <v/>
      </c>
      <c r="AW70" s="47" t="str">
        <f>IF(ISNUMBER(AV70),IF(COUNTIFS(AW$1:AW69,_xlfn.RANK.EQ(AV70,AV$2:AV$111,0))&gt;0,_xlfn.MAXIFS(AW$1:AW69,AV$1:AV69,AV70)+1,_xlfn.RANK.EQ(AV70,AV$2:AV$111,0)),"")</f>
        <v/>
      </c>
      <c r="AX70" s="1" t="str">
        <f>IF(ISNUMBER(AV70)=TRUE,IF(_xlfn.RANK.EQ(AV70,$AV$2:$AV$111)&lt;='Tournament Setup'!$B$34,_xlfn.RANK.EQ(AV70,$AV$2:$AV$111),""),"")</f>
        <v/>
      </c>
      <c r="AY70" s="31" t="str">
        <f>IF(AND($F70='Tournament Setup'!$A$34,SUM($Q70,$S70)=0,$E70="M",$AX70&gt;'Tournament Setup'!$B$34),$I70,"")</f>
        <v/>
      </c>
      <c r="AZ70" s="1" t="str">
        <f>IF(ISNUMBER(AY70)=TRUE,IF(_xlfn.RANK.EQ(AY70,$AY$2:$AY$111)&lt;='Tournament Setup'!$C$34,_xlfn.RANK.EQ(AY70,$AY$2:$AY$111),""),"")</f>
        <v/>
      </c>
      <c r="BA70" s="31" t="str">
        <f>IF(AND($F70='Tournament Setup'!$A$34,SUM($Q70,$U70)=0,$E70="F",$AX70&gt;'Tournament Setup'!$B$34),$I70,"")</f>
        <v/>
      </c>
      <c r="BB70" s="12" t="str">
        <f>IF(ISNUMBER(BA70)=TRUE,IF(_xlfn.RANK.EQ(BA70,$BA$2:$BA$111)&lt;='Tournament Setup'!$D$34,_xlfn.RANK.EQ(BA70,$BA$2:$BA$111),""),"")</f>
        <v/>
      </c>
      <c r="BC70" s="30" t="str">
        <f>IF(AND($G70='Tournament Setup'!$A$52,$J70&lt;&gt;0),$J70,"")</f>
        <v/>
      </c>
      <c r="BD70" s="47" t="str">
        <f>IF(ISNUMBER(BC70),IF(COUNTIFS(BD$1:BD69,_xlfn.RANK.EQ(BC70,BC$2:BC$111,0))&gt;0,_xlfn.MAXIFS(BD$1:BD69,BC$1:BC69,BC70)+1,_xlfn.RANK.EQ(BC70,BC$2:BC$111,0)),"")</f>
        <v/>
      </c>
      <c r="BE70" s="1" t="str">
        <f>IF(ISNUMBER(BC70)=TRUE,IF(_xlfn.RANK.EQ(BC70,$BC$2:$BC$111)&lt;='Tournament Setup'!$B$49,_xlfn.RANK.EQ(BC70,$BC$2:$BC$111),""),"")</f>
        <v/>
      </c>
      <c r="BF70" s="30" t="str">
        <f>IF(AND($F70='Tournament Setup'!$A$35,SUM($Q70,$S70,$U70)=0),$I70,"")</f>
        <v/>
      </c>
      <c r="BG70" s="47" t="str">
        <f>IF(ISNUMBER(BF70),IF(COUNTIFS(BG$1:BG69,_xlfn.RANK.EQ(BF70,BF$2:BF$111,0))&gt;0,_xlfn.MAXIFS(BG$1:BG69,BF$1:BF69,BF70)+1,_xlfn.RANK.EQ(BF70,BF$2:BF$111,0)),"")</f>
        <v/>
      </c>
      <c r="BH70" s="1" t="str">
        <f>IF(ISNUMBER(BF70)=TRUE,IF(_xlfn.RANK.EQ(BF70,$BF$2:$BF$111)&lt;='Tournament Setup'!$B$35,_xlfn.RANK.EQ(BF70,$BF$2:$BF$111),""),"")</f>
        <v/>
      </c>
      <c r="BI70" s="31" t="str">
        <f>IF(AND($F70='Tournament Setup'!$A$35,SUM($Q70,$S70)=0,$E70="M",$BH70&gt;'Tournament Setup'!$B$35),$I70,"")</f>
        <v/>
      </c>
      <c r="BJ70" s="1" t="str">
        <f>IF(ISNUMBER(BI70)=TRUE,IF(_xlfn.RANK.EQ(BI70,$BI$2:$BI$111)&lt;='Tournament Setup'!$C$35,_xlfn.RANK.EQ(BI70,$BI$2:$BI$111),""),"")</f>
        <v/>
      </c>
      <c r="BK70" s="31" t="str">
        <f>IF(AND($F70='Tournament Setup'!$A$35,SUM($Q70,$U70)=0,$E70="F",$BH70&gt;'Tournament Setup'!$B$35),$I70,"")</f>
        <v/>
      </c>
      <c r="BL70" s="12" t="str">
        <f>IF(ISNUMBER(BK70)=TRUE,IF(_xlfn.RANK.EQ(BK70,$BK$2:$BK$111)&lt;='Tournament Setup'!$D$35,_xlfn.RANK.EQ(BK70,$BK$2:$BK$111),""),"")</f>
        <v/>
      </c>
      <c r="BM70" s="30" t="str">
        <f>IF(AND($G70='Tournament Setup'!$A$54,$J70&lt;&gt;0),$J70,"")</f>
        <v/>
      </c>
      <c r="BN70" s="47" t="str">
        <f>IF(ISNUMBER(BM70),IF(COUNTIFS(BN$1:BN69,_xlfn.RANK.EQ(BM70,BM$2:BM$111,0))&gt;0,_xlfn.MAXIFS(BN$1:BN69,BM$1:BM69,BM70)+1,_xlfn.RANK.EQ(BM70,BM$2:BM$111,0)),"")</f>
        <v/>
      </c>
      <c r="BO70" s="1" t="str">
        <f>IF(ISNUMBER(BM70)=TRUE,IF(_xlfn.RANK.EQ(BM70,$BM$2:$BM$111)&lt;='Tournament Setup'!$B$49,_xlfn.RANK.EQ(BM70,$BM$2:$BM$111),""),"")</f>
        <v/>
      </c>
      <c r="BP70" s="30" t="str">
        <f>IF(AND($F70='Tournament Setup'!$A$36,SUM($Q70,$S70,$U70)=0),$I70,"")</f>
        <v/>
      </c>
      <c r="BQ70" s="47" t="str">
        <f>IF(ISNUMBER(BP70),IF(COUNTIFS(BQ$1:BQ69,_xlfn.RANK.EQ(BP70,BP$2:BP$111,0))&gt;0,_xlfn.MAXIFS(BQ$1:BQ69,BP$1:BP69,BP70)+1,_xlfn.RANK.EQ(BP70,BP$2:BP$111,0)),"")</f>
        <v/>
      </c>
      <c r="BR70" s="1" t="str">
        <f>IF(ISNUMBER(BP70)=TRUE,IF(_xlfn.RANK.EQ(BP70,$BP$2:$BP$111)&lt;='Tournament Setup'!$B$36,_xlfn.RANK.EQ(BP70,$BP$2:$BP$111),""),"")</f>
        <v/>
      </c>
      <c r="BS70" s="31" t="str">
        <f>IF(AND($F70='Tournament Setup'!$A$36,SUM($Q70,$S70)=0,$E70="M",$BR70&gt;'Tournament Setup'!$B$36),$I70,"")</f>
        <v/>
      </c>
      <c r="BT70" s="1" t="str">
        <f>IF(ISNUMBER(BS70)=TRUE,IF(_xlfn.RANK.EQ(BS70,$BS$2:$BS$111)&lt;='Tournament Setup'!$C$36,_xlfn.RANK.EQ(BS70,$BS$2:$BS$111),""),"")</f>
        <v/>
      </c>
      <c r="BU70" s="31" t="str">
        <f>IF(AND($F70='Tournament Setup'!$A$36,SUM($Q70,$U70)=0,$E70="F",$BR70&gt;'Tournament Setup'!$B$36),$I70,"")</f>
        <v/>
      </c>
      <c r="BV70" s="12" t="str">
        <f>IF(ISNUMBER(BU70)=TRUE,IF(_xlfn.RANK.EQ(BU70,$BU$2:$BU$111)&lt;='Tournament Setup'!$D$36,_xlfn.RANK.EQ(BU70,$BU$2:$BU$111),""),"")</f>
        <v/>
      </c>
      <c r="BW70" s="30" t="str">
        <f>IF($H70='Tournament Setup'!$A$41,$I70,"")</f>
        <v/>
      </c>
      <c r="BX70" s="47" t="str">
        <f>IF(ISNUMBER(BW70),IF(COUNTIFS(BX$1:BX69,_xlfn.RANK.EQ(BW70,BW$2:BW$111,0))&gt;0,_xlfn.MAXIFS(BX$1:BX69,BW$1:BW69,BW70)+1,_xlfn.RANK.EQ(BW70,BW$2:BW$111,0)),"")</f>
        <v/>
      </c>
      <c r="BY70" s="1" t="str">
        <f>IF(ISNUMBER(BW70)=TRUE,IF(_xlfn.RANK.EQ(BW70,$BW$2:$BW$111)&lt;='Tournament Setup'!$B$41,_xlfn.RANK.EQ(BW70,$BW$2:$BW$111),""),"")</f>
        <v/>
      </c>
      <c r="BZ70" s="31" t="str">
        <f>IF(AND($H70='Tournament Setup'!$A$41,$E70="M",$BY70&gt;'Tournament Setup'!$B$41),$I70,"")</f>
        <v/>
      </c>
      <c r="CA70" s="1" t="str">
        <f>IF(ISNUMBER(BZ70)=TRUE,IF(_xlfn.RANK.EQ(BZ70,$BZ$2:$BZ$111)&lt;='Tournament Setup'!$C$41,_xlfn.RANK.EQ(BZ70,$BZ$2:$BZ$111),""),"")</f>
        <v/>
      </c>
      <c r="CB70" s="31" t="str">
        <f>IF(AND($H70='Tournament Setup'!$A$41,$E70="F",$BY70&gt;'Tournament Setup'!$B$41),$I70,"")</f>
        <v/>
      </c>
      <c r="CC70" s="12" t="str">
        <f>IF(ISNUMBER(CB70)=TRUE,IF(_xlfn.RANK.EQ(CB70,$CB$2:$CB$111)&lt;='Tournament Setup'!$D$41,_xlfn.RANK.EQ(CB70,$CB$2:$CB$111),""),"")</f>
        <v/>
      </c>
      <c r="CD70" s="30" t="str">
        <f>IF($H70='Tournament Setup'!$A$42,$I70,"")</f>
        <v/>
      </c>
      <c r="CE70" s="47" t="str">
        <f>IF(ISNUMBER(CD70),IF(COUNTIFS(CE$1:CE69,_xlfn.RANK.EQ(CD70,CD$2:CD$111,0))&gt;0,_xlfn.MAXIFS(CE$1:CE69,CD$1:CD69,CD70)+1,_xlfn.RANK.EQ(CD70,CD$2:CD$111,0)),"")</f>
        <v/>
      </c>
      <c r="CF70" s="1" t="str">
        <f>IF(ISNUMBER(CD70)=TRUE,IF(_xlfn.RANK.EQ(CD70,$CD$2:$CD$111)&lt;='Tournament Setup'!$B$42,_xlfn.RANK.EQ(CD70,$CD$2:$CD$111),""),"")</f>
        <v/>
      </c>
      <c r="CG70" s="31" t="str">
        <f>IF(AND($H70='Tournament Setup'!$A$42,$E70="M",$CF70&gt;'Tournament Setup'!$B$42),$I70,"")</f>
        <v/>
      </c>
      <c r="CH70" s="1" t="str">
        <f>IF(ISNUMBER(CG70)=TRUE,IF(_xlfn.RANK.EQ(CG70,$CG$2:$CG$111)&lt;='Tournament Setup'!$C$42,_xlfn.RANK.EQ(CG70,$CG$2:$CG$111),""),"")</f>
        <v/>
      </c>
      <c r="CI70" s="31" t="str">
        <f>IF(AND($H70='Tournament Setup'!$A$42,$E70="F",$CF70&gt;'Tournament Setup'!$B$42),$I70,"")</f>
        <v/>
      </c>
      <c r="CJ70" s="12" t="str">
        <f>IF(ISNUMBER(CI70)=TRUE,IF(_xlfn.RANK.EQ(CI70,$CI$2:$CI$111)&lt;='Tournament Setup'!$D$42,_xlfn.RANK.EQ(CI70,$CI$2:$CI$111),""),"")</f>
        <v/>
      </c>
      <c r="CK70" s="30" t="str">
        <f>IF($H70='Tournament Setup'!$A$43,$I70,"")</f>
        <v/>
      </c>
      <c r="CL70" s="47" t="str">
        <f>IF(ISNUMBER(CK70),IF(COUNTIFS(CL$1:CL69,_xlfn.RANK.EQ(CK70,CK$2:CK$111,0))&gt;0,_xlfn.MAXIFS(CL$1:CL69,CK$1:CK69,CK70)+1,_xlfn.RANK.EQ(CK70,CK$2:CK$111,0)),"")</f>
        <v/>
      </c>
      <c r="CM70" s="1" t="str">
        <f>IF(ISNUMBER(CK70)=TRUE,IF(_xlfn.RANK.EQ(CK70,$CK$2:$CK$111)&lt;='Tournament Setup'!$B$43,_xlfn.RANK.EQ(CK70,$CK$2:$CK$111),""),"")</f>
        <v/>
      </c>
      <c r="CN70" s="31" t="str">
        <f>IF(AND($H70='Tournament Setup'!$A$43,$E70="M",$CM70&gt;'Tournament Setup'!$B$43),$I70,"")</f>
        <v/>
      </c>
      <c r="CO70" s="1" t="str">
        <f>IF(ISNUMBER(CN70)=TRUE,IF(_xlfn.RANK.EQ(CN70,$CN$2:$CN$111)&lt;='Tournament Setup'!$C$43,_xlfn.RANK.EQ(CN70,$CN$2:$CN$111),""),"")</f>
        <v/>
      </c>
      <c r="CP70" s="31" t="str">
        <f>IF(AND($H70='Tournament Setup'!$A$43,$E70="F",$CM70&gt;'Tournament Setup'!$B$43),$I70,"")</f>
        <v/>
      </c>
      <c r="CQ70" s="12" t="str">
        <f>IF(ISNUMBER(CP70)=TRUE,IF(_xlfn.RANK.EQ(CP70,$CP$2:$CP$111)&lt;='Tournament Setup'!$D$43,_xlfn.RANK.EQ(CP70,$CP$2:$CP$111),""),"")</f>
        <v/>
      </c>
      <c r="CR70" s="30" t="str">
        <f>IF($H70='Tournament Setup'!$A$44,$I70,"")</f>
        <v/>
      </c>
      <c r="CS70" s="47" t="str">
        <f>IF(ISNUMBER(CR70),IF(COUNTIFS(CS$1:CS69,_xlfn.RANK.EQ(CR70,CR$2:CR$111,0))&gt;0,_xlfn.MAXIFS(CS$1:CS69,CR$1:CR69,CR70)+1,_xlfn.RANK.EQ(CR70,CR$2:CR$111,0)),"")</f>
        <v/>
      </c>
      <c r="CT70" s="1" t="str">
        <f>IF(ISNUMBER(CR70)=TRUE,IF(_xlfn.RANK.EQ(CR70,$CR$2:$CR$111)&lt;='Tournament Setup'!$B$44,_xlfn.RANK.EQ(CR70,$CR$2:$CR$111),""),"")</f>
        <v/>
      </c>
      <c r="CU70" s="31" t="str">
        <f>IF(AND($H70='Tournament Setup'!$A$44,$E70="M",$CT70&gt;'Tournament Setup'!$B$44),$I70,"")</f>
        <v/>
      </c>
      <c r="CV70" s="1" t="str">
        <f>IF(ISNUMBER(CU70)=TRUE,IF(_xlfn.RANK.EQ(CU70,$CU$2:$CU$111)&lt;='Tournament Setup'!$C$44,_xlfn.RANK.EQ(CU70,$CU$2:$CU$111),""),"")</f>
        <v/>
      </c>
      <c r="CW70" s="31" t="str">
        <f>IF(AND($H70='Tournament Setup'!$A$44,$E70="F",$CT70&gt;'Tournament Setup'!$B$44),$I70,"")</f>
        <v/>
      </c>
      <c r="CX70" s="12" t="str">
        <f>IF(ISNUMBER(CW70)=TRUE,IF(_xlfn.RANK.EQ(CW70,$CW$2:$CW$111)&lt;='Tournament Setup'!$D$44,_xlfn.RANK.EQ(CW70,$CW$2:$CW$111),""),"")</f>
        <v/>
      </c>
    </row>
    <row r="71" spans="2:102" x14ac:dyDescent="0.3">
      <c r="B71" t="str">
        <f>IFERROR(INDEX('Tournament List'!$B:$B,MATCH($A71,'Tournament List'!$A:$A,0)),"")</f>
        <v/>
      </c>
      <c r="C71" t="str">
        <f>IFERROR(INDEX('Tournament List'!$C:$C,MATCH($A71,'Tournament List'!$A:$A,0)),"")</f>
        <v/>
      </c>
      <c r="D71" t="str">
        <f t="shared" si="1"/>
        <v xml:space="preserve"> </v>
      </c>
      <c r="E71" s="1" t="str">
        <f>IFERROR(INDEX('Tournament List'!F:F,MATCH($A71,'Tournament List'!$A:$A,0)),"")</f>
        <v/>
      </c>
      <c r="F71" t="str">
        <f>IFERROR(INDEX('Tournament List'!M:M,MATCH($A71,'Tournament List'!$A:$A,0)),"")</f>
        <v/>
      </c>
      <c r="G71" t="str">
        <f>IFERROR(INDEX('Shooter-Squad Assignment'!L:L,MATCH(A71,'Shooter-Squad Assignment'!A:A,0)),"")</f>
        <v/>
      </c>
      <c r="H71" s="1" t="str">
        <f>IFERROR(INDEX('Tournament List'!AD:AD,MATCH($A71,'Tournament List'!$A:$A,0)),"")</f>
        <v/>
      </c>
      <c r="I71" s="123" t="str">
        <f>IFERROR(INDEX('Tournament List'!AG:AG,MATCH($A71,'Tournament List'!$A:$A,0)),"")</f>
        <v/>
      </c>
      <c r="J71" s="145" t="str">
        <f>IFERROR(INDEX('Tournament List'!Y:Y,MATCH($A71,'Tournament List'!$A:$A,0)),"")</f>
        <v/>
      </c>
      <c r="K71" s="47" t="str">
        <f>IFERROR(INDEX('Tournament List'!S:S,MATCH(A71,'Tournament List'!A:A,0)),"")</f>
        <v/>
      </c>
      <c r="L71" s="47" t="str">
        <f>IF(ISNUMBER(J71),IF(COUNTIFS(L$1:L70,_xlfn.RANK.EQ(J71,J$2:J$111,0))&gt;0,_xlfn.MAXIFS(L$1:L70,J$1:J70,J71)+1,_xlfn.RANK.EQ(J71,J$2:J$111,0)),"")</f>
        <v/>
      </c>
      <c r="M71" s="11" t="str">
        <f>IF(ISNUMBER(I71)=TRUE,IF(I71&gt;0,_xlfn.RANK.EQ(I71,$I$2:$I$111,0),""),"")</f>
        <v/>
      </c>
      <c r="N71" s="56" t="str">
        <f>IF(ISNUMBER(I71),IF(COUNTIFS(N$1:N70,_xlfn.RANK.EQ(I71,I$2:I$111,0))&gt;0,_xlfn.MAXIFS(N$1:N70,I$1:I70,I71)+1,_xlfn.RANK.EQ(I71,I$2:I$111,0)),"")</f>
        <v/>
      </c>
      <c r="O71" s="144" t="str">
        <f>IF(F71&lt;&gt;"Collegiate"=TRUE,$I71,"")</f>
        <v/>
      </c>
      <c r="P71" s="47" t="str">
        <f>IF(ISNUMBER(O71),IF(COUNTIFS(P$1:P70,_xlfn.RANK.EQ(O71,O$2:O$111,0))&gt;0,_xlfn.MAXIFS(P$1:P70,O$1:O70,O71)+1,_xlfn.RANK.EQ(O71,O$2:O$111,0)),"")</f>
        <v/>
      </c>
      <c r="Q71" s="1" t="str">
        <f>IF(ISNUMBER(O71)=TRUE,IF(_xlfn.RANK.EQ(O71,$O$2:$O$111)&lt;='Tournament Setup'!$B$26,_xlfn.RANK.EQ(O71,$O$2:$O$111),""),"")</f>
        <v/>
      </c>
      <c r="R71" s="143" t="str">
        <f>IF(AND($E71="M",SUM($Q71)=0,F71&lt;&gt;"Collegiate")=TRUE,$I71,"")</f>
        <v/>
      </c>
      <c r="S71" s="1" t="str">
        <f>IF(ISNUMBER(R71)=TRUE,IF(_xlfn.RANK.EQ(R71,$R$2:$R$111)&lt;='Tournament Setup'!$B$27,_xlfn.RANK.EQ(R71,$R$2:$R$111),""),"")</f>
        <v/>
      </c>
      <c r="T71" s="143" t="str">
        <f>IF(AND($E71="F",SUM($Q71)=0,F71&lt;&gt;"Collegiate")=TRUE,$I71,"")</f>
        <v/>
      </c>
      <c r="U71" s="12" t="str">
        <f>IF(ISNUMBER(T71)=TRUE,IF(_xlfn.RANK.EQ(T71,$T$2:$T$111)&lt;='Tournament Setup'!$B$28,_xlfn.RANK.EQ(T71,$T$2:$T$111),""),"")</f>
        <v/>
      </c>
      <c r="V71" s="145" t="str">
        <f>IF(AND($G71='Tournament Setup'!$A$53,$J71&lt;&gt;0),$J71,"")</f>
        <v/>
      </c>
      <c r="W71" s="47" t="str">
        <f>IF(ISNUMBER(V71),IF(COUNTIFS(W$1:W70,_xlfn.RANK.EQ(V71,V$2:V$111,0))&gt;0,_xlfn.MAXIFS(W$1:W70,V$1:V70,V71)+1,_xlfn.RANK.EQ(V71,V$2:V$111,0)),"")</f>
        <v/>
      </c>
      <c r="X71" s="1" t="str">
        <f>IF(ISNUMBER(V71)=TRUE,IF(_xlfn.RANK.EQ(V71,$V$2:$V$111)&lt;='Tournament Setup'!$B$53,_xlfn.RANK.EQ(V71,$V$2:$V$111),""),"")</f>
        <v/>
      </c>
      <c r="Y71" s="145" t="str">
        <f>IF(AND($G71='Tournament Setup'!$A$49,$J71&lt;&gt;0),$J71,"")</f>
        <v/>
      </c>
      <c r="Z71" s="47" t="str">
        <f>IF(ISNUMBER(Y71),IF(COUNTIFS(Z$1:Z70,_xlfn.RANK.EQ(Y71,Y$2:Y$111,0))&gt;0,_xlfn.MAXIFS(Z$1:Z70,Y$1:Y70,Y71)+1,_xlfn.RANK.EQ(Y71,Y$2:Y$111,0)),"")</f>
        <v/>
      </c>
      <c r="AA71" s="1" t="str">
        <f>IF(ISNUMBER(Y71)=TRUE,IF(_xlfn.RANK.EQ(Y71,$Y$2:$Y$111)&lt;='Tournament Setup'!$B$49,_xlfn.RANK.EQ(Y71,$Y$2:$Y$111),""),"")</f>
        <v/>
      </c>
      <c r="AB71" s="30" t="str">
        <f>IF(AND($F71='Tournament Setup'!$A$32,SUM($Q71,$S71,$U71)=0),$I71,"")</f>
        <v/>
      </c>
      <c r="AC71" s="47" t="str">
        <f>IF(ISNUMBER(AB71),IF(COUNTIFS(AC$1:AC70,_xlfn.RANK.EQ(AB71,AB$2:AB$111,0))&gt;0,_xlfn.MAXIFS(AC$1:AC70,AB$1:AB70,AB71)+1,_xlfn.RANK.EQ(AB71,AB$2:AB$111,0)),"")</f>
        <v/>
      </c>
      <c r="AD71" s="1" t="str">
        <f>IF(ISNUMBER(AB71)=TRUE,IF(_xlfn.RANK.EQ(AB71,$AB$2:$AB$111)&lt;='Tournament Setup'!$B$32,_xlfn.RANK.EQ(AB71,$AB$2:$AB$111),""),"")</f>
        <v/>
      </c>
      <c r="AE71" s="31" t="str">
        <f>IF(AND($F71='Tournament Setup'!$A$32,SUM($Q71,$S71)=0,$E71="M",$AD71&gt;'Tournament Setup'!$B$32),$I71,"")</f>
        <v/>
      </c>
      <c r="AF71" s="1" t="str">
        <f>IF(ISNUMBER(AE71)=TRUE,IF(_xlfn.RANK.EQ(AE71,$AE$2:$AE$111)&lt;='Tournament Setup'!$C$32,_xlfn.RANK.EQ(AE71,$AE$2:$AE$111),""),"")</f>
        <v/>
      </c>
      <c r="AG71" s="31" t="str">
        <f>IF(AND($F71='Tournament Setup'!$A$32,SUM($Q71,$U71)=0,$E71="F",$AD71&gt;'Tournament Setup'!$B$32),$I71,"")</f>
        <v/>
      </c>
      <c r="AH71" s="12" t="str">
        <f>IF(ISNUMBER(AG71)=TRUE,IF(_xlfn.RANK.EQ(AG71,$AG$2:$AG$111)&lt;='Tournament Setup'!$D$32,_xlfn.RANK.EQ(AG71,$AG$2:$AG$111),""),"")</f>
        <v/>
      </c>
      <c r="AI71" s="30" t="str">
        <f>IF(AND($G71='Tournament Setup'!$A$50,$J71&lt;&gt;0),$J71,"")</f>
        <v/>
      </c>
      <c r="AJ71" s="47" t="str">
        <f>IF(ISNUMBER(AI71),IF(COUNTIFS(AJ$1:AJ70,_xlfn.RANK.EQ(AI71,AI$2:AI$111,0))&gt;0,_xlfn.MAXIFS(AJ$1:AJ70,AI$1:AI70,AI71)+1,_xlfn.RANK.EQ(AI71,AI$2:AI$111,0)),"")</f>
        <v/>
      </c>
      <c r="AK71" s="1" t="str">
        <f>IF(ISNUMBER(AI71)=TRUE,IF(_xlfn.RANK.EQ(AI71,$AI$2:$AI$111)&lt;='Tournament Setup'!$B$49,_xlfn.RANK.EQ(AI71,$AI$2:$AI$111),""),"")</f>
        <v/>
      </c>
      <c r="AL71" s="30" t="str">
        <f>IF(AND($F71='Tournament Setup'!$A$33,SUM($Q71,$S71,$U71)=0),$I71,"")</f>
        <v/>
      </c>
      <c r="AM71" s="47" t="str">
        <f>IF(ISNUMBER(AL71),IF(COUNTIFS(AM$1:AM70,_xlfn.RANK.EQ(AL71,AL$2:AL$111,0))&gt;0,_xlfn.MAXIFS(AM$1:AM70,AL$1:AL70,AL71)+1,_xlfn.RANK.EQ(AL71,AL$2:AL$111,0)),"")</f>
        <v/>
      </c>
      <c r="AN71" s="1" t="str">
        <f>IF(ISNUMBER(AL71)=TRUE,IF(_xlfn.RANK.EQ(AL71,$AL$2:$AL$111)&lt;='Tournament Setup'!$B$33,_xlfn.RANK.EQ(AL71,$AL$2:$AL$111),""),"")</f>
        <v/>
      </c>
      <c r="AO71" s="31" t="str">
        <f>IF(AND($F71='Tournament Setup'!$A$33,SUM($Q71,$S71)=0,$E71="M",$AN71&gt;'Tournament Setup'!$B$33),$I71,"")</f>
        <v/>
      </c>
      <c r="AP71" s="1" t="str">
        <f>IF(ISNUMBER(AO71)=TRUE,IF(_xlfn.RANK.EQ(AO71,$AO$2:$AO$111)&lt;='Tournament Setup'!$C$33,_xlfn.RANK.EQ(AO71,$AO$2:$AO$111),""),"")</f>
        <v/>
      </c>
      <c r="AQ71" s="31" t="str">
        <f>IF(AND($F71='Tournament Setup'!$A$33,SUM($Q71,$U71)=0,$E71="F",$AN71&gt;'Tournament Setup'!$B$33),$I71,"")</f>
        <v/>
      </c>
      <c r="AR71" s="12" t="str">
        <f>IF(ISNUMBER(AQ71)=TRUE,IF(_xlfn.RANK.EQ(AQ71,$AQ$2:$AQ$111)&lt;='Tournament Setup'!$D$33,_xlfn.RANK.EQ(AQ71,$AQ$2:$AQ$111),""),"")</f>
        <v/>
      </c>
      <c r="AS71" s="30" t="str">
        <f>IF(AND($G71='Tournament Setup'!$A$51,$J71&lt;&gt;0),$J71,"")</f>
        <v/>
      </c>
      <c r="AT71" s="47" t="str">
        <f>IF(ISNUMBER(AS71),IF(COUNTIFS(AT$1:AT70,_xlfn.RANK.EQ(AS71,AS$2:AS$111,0))&gt;0,_xlfn.MAXIFS(AT$1:AT70,AS$1:AS70,AS71)+1,_xlfn.RANK.EQ(AS71,AS$2:AS$111,0)),"")</f>
        <v/>
      </c>
      <c r="AU71" s="1" t="str">
        <f>IF(ISNUMBER(AS71)=TRUE,IF(_xlfn.RANK.EQ(AS71,$AS$2:$AS$111)&lt;='Tournament Setup'!$B$49,_xlfn.RANK.EQ(AS71,$AS$2:$AS$111),""),"")</f>
        <v/>
      </c>
      <c r="AV71" s="30" t="str">
        <f>IF(AND($F71='Tournament Setup'!$A$34,SUM($Q71,$S71,$U71)=0),$I71,"")</f>
        <v/>
      </c>
      <c r="AW71" s="47" t="str">
        <f>IF(ISNUMBER(AV71),IF(COUNTIFS(AW$1:AW70,_xlfn.RANK.EQ(AV71,AV$2:AV$111,0))&gt;0,_xlfn.MAXIFS(AW$1:AW70,AV$1:AV70,AV71)+1,_xlfn.RANK.EQ(AV71,AV$2:AV$111,0)),"")</f>
        <v/>
      </c>
      <c r="AX71" s="1" t="str">
        <f>IF(ISNUMBER(AV71)=TRUE,IF(_xlfn.RANK.EQ(AV71,$AV$2:$AV$111)&lt;='Tournament Setup'!$B$34,_xlfn.RANK.EQ(AV71,$AV$2:$AV$111),""),"")</f>
        <v/>
      </c>
      <c r="AY71" s="31" t="str">
        <f>IF(AND($F71='Tournament Setup'!$A$34,SUM($Q71,$S71)=0,$E71="M",$AX71&gt;'Tournament Setup'!$B$34),$I71,"")</f>
        <v/>
      </c>
      <c r="AZ71" s="1" t="str">
        <f>IF(ISNUMBER(AY71)=TRUE,IF(_xlfn.RANK.EQ(AY71,$AY$2:$AY$111)&lt;='Tournament Setup'!$C$34,_xlfn.RANK.EQ(AY71,$AY$2:$AY$111),""),"")</f>
        <v/>
      </c>
      <c r="BA71" s="31" t="str">
        <f>IF(AND($F71='Tournament Setup'!$A$34,SUM($Q71,$U71)=0,$E71="F",$AX71&gt;'Tournament Setup'!$B$34),$I71,"")</f>
        <v/>
      </c>
      <c r="BB71" s="12" t="str">
        <f>IF(ISNUMBER(BA71)=TRUE,IF(_xlfn.RANK.EQ(BA71,$BA$2:$BA$111)&lt;='Tournament Setup'!$D$34,_xlfn.RANK.EQ(BA71,$BA$2:$BA$111),""),"")</f>
        <v/>
      </c>
      <c r="BC71" s="30" t="str">
        <f>IF(AND($G71='Tournament Setup'!$A$52,$J71&lt;&gt;0),$J71,"")</f>
        <v/>
      </c>
      <c r="BD71" s="47" t="str">
        <f>IF(ISNUMBER(BC71),IF(COUNTIFS(BD$1:BD70,_xlfn.RANK.EQ(BC71,BC$2:BC$111,0))&gt;0,_xlfn.MAXIFS(BD$1:BD70,BC$1:BC70,BC71)+1,_xlfn.RANK.EQ(BC71,BC$2:BC$111,0)),"")</f>
        <v/>
      </c>
      <c r="BE71" s="1" t="str">
        <f>IF(ISNUMBER(BC71)=TRUE,IF(_xlfn.RANK.EQ(BC71,$BC$2:$BC$111)&lt;='Tournament Setup'!$B$49,_xlfn.RANK.EQ(BC71,$BC$2:$BC$111),""),"")</f>
        <v/>
      </c>
      <c r="BF71" s="30" t="str">
        <f>IF(AND($F71='Tournament Setup'!$A$35,SUM($Q71,$S71,$U71)=0),$I71,"")</f>
        <v/>
      </c>
      <c r="BG71" s="47" t="str">
        <f>IF(ISNUMBER(BF71),IF(COUNTIFS(BG$1:BG70,_xlfn.RANK.EQ(BF71,BF$2:BF$111,0))&gt;0,_xlfn.MAXIFS(BG$1:BG70,BF$1:BF70,BF71)+1,_xlfn.RANK.EQ(BF71,BF$2:BF$111,0)),"")</f>
        <v/>
      </c>
      <c r="BH71" s="1" t="str">
        <f>IF(ISNUMBER(BF71)=TRUE,IF(_xlfn.RANK.EQ(BF71,$BF$2:$BF$111)&lt;='Tournament Setup'!$B$35,_xlfn.RANK.EQ(BF71,$BF$2:$BF$111),""),"")</f>
        <v/>
      </c>
      <c r="BI71" s="31" t="str">
        <f>IF(AND($F71='Tournament Setup'!$A$35,SUM($Q71,$S71)=0,$E71="M",$BH71&gt;'Tournament Setup'!$B$35),$I71,"")</f>
        <v/>
      </c>
      <c r="BJ71" s="1" t="str">
        <f>IF(ISNUMBER(BI71)=TRUE,IF(_xlfn.RANK.EQ(BI71,$BI$2:$BI$111)&lt;='Tournament Setup'!$C$35,_xlfn.RANK.EQ(BI71,$BI$2:$BI$111),""),"")</f>
        <v/>
      </c>
      <c r="BK71" s="31" t="str">
        <f>IF(AND($F71='Tournament Setup'!$A$35,SUM($Q71,$U71)=0,$E71="F",$BH71&gt;'Tournament Setup'!$B$35),$I71,"")</f>
        <v/>
      </c>
      <c r="BL71" s="12" t="str">
        <f>IF(ISNUMBER(BK71)=TRUE,IF(_xlfn.RANK.EQ(BK71,$BK$2:$BK$111)&lt;='Tournament Setup'!$D$35,_xlfn.RANK.EQ(BK71,$BK$2:$BK$111),""),"")</f>
        <v/>
      </c>
      <c r="BM71" s="30" t="str">
        <f>IF(AND($G71='Tournament Setup'!$A$54,$J71&lt;&gt;0),$J71,"")</f>
        <v/>
      </c>
      <c r="BN71" s="47" t="str">
        <f>IF(ISNUMBER(BM71),IF(COUNTIFS(BN$1:BN70,_xlfn.RANK.EQ(BM71,BM$2:BM$111,0))&gt;0,_xlfn.MAXIFS(BN$1:BN70,BM$1:BM70,BM71)+1,_xlfn.RANK.EQ(BM71,BM$2:BM$111,0)),"")</f>
        <v/>
      </c>
      <c r="BO71" s="1" t="str">
        <f>IF(ISNUMBER(BM71)=TRUE,IF(_xlfn.RANK.EQ(BM71,$BM$2:$BM$111)&lt;='Tournament Setup'!$B$49,_xlfn.RANK.EQ(BM71,$BM$2:$BM$111),""),"")</f>
        <v/>
      </c>
      <c r="BP71" s="30" t="str">
        <f>IF(AND($F71='Tournament Setup'!$A$36,SUM($Q71,$S71,$U71)=0),$I71,"")</f>
        <v/>
      </c>
      <c r="BQ71" s="47" t="str">
        <f>IF(ISNUMBER(BP71),IF(COUNTIFS(BQ$1:BQ70,_xlfn.RANK.EQ(BP71,BP$2:BP$111,0))&gt;0,_xlfn.MAXIFS(BQ$1:BQ70,BP$1:BP70,BP71)+1,_xlfn.RANK.EQ(BP71,BP$2:BP$111,0)),"")</f>
        <v/>
      </c>
      <c r="BR71" s="1" t="str">
        <f>IF(ISNUMBER(BP71)=TRUE,IF(_xlfn.RANK.EQ(BP71,$BP$2:$BP$111)&lt;='Tournament Setup'!$B$36,_xlfn.RANK.EQ(BP71,$BP$2:$BP$111),""),"")</f>
        <v/>
      </c>
      <c r="BS71" s="31" t="str">
        <f>IF(AND($F71='Tournament Setup'!$A$36,SUM($Q71,$S71)=0,$E71="M",$BR71&gt;'Tournament Setup'!$B$36),$I71,"")</f>
        <v/>
      </c>
      <c r="BT71" s="1" t="str">
        <f>IF(ISNUMBER(BS71)=TRUE,IF(_xlfn.RANK.EQ(BS71,$BS$2:$BS$111)&lt;='Tournament Setup'!$C$36,_xlfn.RANK.EQ(BS71,$BS$2:$BS$111),""),"")</f>
        <v/>
      </c>
      <c r="BU71" s="31" t="str">
        <f>IF(AND($F71='Tournament Setup'!$A$36,SUM($Q71,$U71)=0,$E71="F",$BR71&gt;'Tournament Setup'!$B$36),$I71,"")</f>
        <v/>
      </c>
      <c r="BV71" s="12" t="str">
        <f>IF(ISNUMBER(BU71)=TRUE,IF(_xlfn.RANK.EQ(BU71,$BU$2:$BU$111)&lt;='Tournament Setup'!$D$36,_xlfn.RANK.EQ(BU71,$BU$2:$BU$111),""),"")</f>
        <v/>
      </c>
      <c r="BW71" s="30" t="str">
        <f>IF($H71='Tournament Setup'!$A$41,$I71,"")</f>
        <v/>
      </c>
      <c r="BX71" s="47" t="str">
        <f>IF(ISNUMBER(BW71),IF(COUNTIFS(BX$1:BX70,_xlfn.RANK.EQ(BW71,BW$2:BW$111,0))&gt;0,_xlfn.MAXIFS(BX$1:BX70,BW$1:BW70,BW71)+1,_xlfn.RANK.EQ(BW71,BW$2:BW$111,0)),"")</f>
        <v/>
      </c>
      <c r="BY71" s="1" t="str">
        <f>IF(ISNUMBER(BW71)=TRUE,IF(_xlfn.RANK.EQ(BW71,$BW$2:$BW$111)&lt;='Tournament Setup'!$B$41,_xlfn.RANK.EQ(BW71,$BW$2:$BW$111),""),"")</f>
        <v/>
      </c>
      <c r="BZ71" s="31" t="str">
        <f>IF(AND($H71='Tournament Setup'!$A$41,$E71="M",$BY71&gt;'Tournament Setup'!$B$41),$I71,"")</f>
        <v/>
      </c>
      <c r="CA71" s="1" t="str">
        <f>IF(ISNUMBER(BZ71)=TRUE,IF(_xlfn.RANK.EQ(BZ71,$BZ$2:$BZ$111)&lt;='Tournament Setup'!$C$41,_xlfn.RANK.EQ(BZ71,$BZ$2:$BZ$111),""),"")</f>
        <v/>
      </c>
      <c r="CB71" s="31" t="str">
        <f>IF(AND($H71='Tournament Setup'!$A$41,$E71="F",$BY71&gt;'Tournament Setup'!$B$41),$I71,"")</f>
        <v/>
      </c>
      <c r="CC71" s="12" t="str">
        <f>IF(ISNUMBER(CB71)=TRUE,IF(_xlfn.RANK.EQ(CB71,$CB$2:$CB$111)&lt;='Tournament Setup'!$D$41,_xlfn.RANK.EQ(CB71,$CB$2:$CB$111),""),"")</f>
        <v/>
      </c>
      <c r="CD71" s="30" t="str">
        <f>IF($H71='Tournament Setup'!$A$42,$I71,"")</f>
        <v/>
      </c>
      <c r="CE71" s="47" t="str">
        <f>IF(ISNUMBER(CD71),IF(COUNTIFS(CE$1:CE70,_xlfn.RANK.EQ(CD71,CD$2:CD$111,0))&gt;0,_xlfn.MAXIFS(CE$1:CE70,CD$1:CD70,CD71)+1,_xlfn.RANK.EQ(CD71,CD$2:CD$111,0)),"")</f>
        <v/>
      </c>
      <c r="CF71" s="1" t="str">
        <f>IF(ISNUMBER(CD71)=TRUE,IF(_xlfn.RANK.EQ(CD71,$CD$2:$CD$111)&lt;='Tournament Setup'!$B$42,_xlfn.RANK.EQ(CD71,$CD$2:$CD$111),""),"")</f>
        <v/>
      </c>
      <c r="CG71" s="31" t="str">
        <f>IF(AND($H71='Tournament Setup'!$A$42,$E71="M",$CF71&gt;'Tournament Setup'!$B$42),$I71,"")</f>
        <v/>
      </c>
      <c r="CH71" s="1" t="str">
        <f>IF(ISNUMBER(CG71)=TRUE,IF(_xlfn.RANK.EQ(CG71,$CG$2:$CG$111)&lt;='Tournament Setup'!$C$42,_xlfn.RANK.EQ(CG71,$CG$2:$CG$111),""),"")</f>
        <v/>
      </c>
      <c r="CI71" s="31" t="str">
        <f>IF(AND($H71='Tournament Setup'!$A$42,$E71="F",$CF71&gt;'Tournament Setup'!$B$42),$I71,"")</f>
        <v/>
      </c>
      <c r="CJ71" s="12" t="str">
        <f>IF(ISNUMBER(CI71)=TRUE,IF(_xlfn.RANK.EQ(CI71,$CI$2:$CI$111)&lt;='Tournament Setup'!$D$42,_xlfn.RANK.EQ(CI71,$CI$2:$CI$111),""),"")</f>
        <v/>
      </c>
      <c r="CK71" s="30" t="str">
        <f>IF($H71='Tournament Setup'!$A$43,$I71,"")</f>
        <v/>
      </c>
      <c r="CL71" s="47" t="str">
        <f>IF(ISNUMBER(CK71),IF(COUNTIFS(CL$1:CL70,_xlfn.RANK.EQ(CK71,CK$2:CK$111,0))&gt;0,_xlfn.MAXIFS(CL$1:CL70,CK$1:CK70,CK71)+1,_xlfn.RANK.EQ(CK71,CK$2:CK$111,0)),"")</f>
        <v/>
      </c>
      <c r="CM71" s="1" t="str">
        <f>IF(ISNUMBER(CK71)=TRUE,IF(_xlfn.RANK.EQ(CK71,$CK$2:$CK$111)&lt;='Tournament Setup'!$B$43,_xlfn.RANK.EQ(CK71,$CK$2:$CK$111),""),"")</f>
        <v/>
      </c>
      <c r="CN71" s="31" t="str">
        <f>IF(AND($H71='Tournament Setup'!$A$43,$E71="M",$CM71&gt;'Tournament Setup'!$B$43),$I71,"")</f>
        <v/>
      </c>
      <c r="CO71" s="1" t="str">
        <f>IF(ISNUMBER(CN71)=TRUE,IF(_xlfn.RANK.EQ(CN71,$CN$2:$CN$111)&lt;='Tournament Setup'!$C$43,_xlfn.RANK.EQ(CN71,$CN$2:$CN$111),""),"")</f>
        <v/>
      </c>
      <c r="CP71" s="31" t="str">
        <f>IF(AND($H71='Tournament Setup'!$A$43,$E71="F",$CM71&gt;'Tournament Setup'!$B$43),$I71,"")</f>
        <v/>
      </c>
      <c r="CQ71" s="12" t="str">
        <f>IF(ISNUMBER(CP71)=TRUE,IF(_xlfn.RANK.EQ(CP71,$CP$2:$CP$111)&lt;='Tournament Setup'!$D$43,_xlfn.RANK.EQ(CP71,$CP$2:$CP$111),""),"")</f>
        <v/>
      </c>
      <c r="CR71" s="30" t="str">
        <f>IF($H71='Tournament Setup'!$A$44,$I71,"")</f>
        <v/>
      </c>
      <c r="CS71" s="47" t="str">
        <f>IF(ISNUMBER(CR71),IF(COUNTIFS(CS$1:CS70,_xlfn.RANK.EQ(CR71,CR$2:CR$111,0))&gt;0,_xlfn.MAXIFS(CS$1:CS70,CR$1:CR70,CR71)+1,_xlfn.RANK.EQ(CR71,CR$2:CR$111,0)),"")</f>
        <v/>
      </c>
      <c r="CT71" s="1" t="str">
        <f>IF(ISNUMBER(CR71)=TRUE,IF(_xlfn.RANK.EQ(CR71,$CR$2:$CR$111)&lt;='Tournament Setup'!$B$44,_xlfn.RANK.EQ(CR71,$CR$2:$CR$111),""),"")</f>
        <v/>
      </c>
      <c r="CU71" s="31" t="str">
        <f>IF(AND($H71='Tournament Setup'!$A$44,$E71="M",$CT71&gt;'Tournament Setup'!$B$44),$I71,"")</f>
        <v/>
      </c>
      <c r="CV71" s="1" t="str">
        <f>IF(ISNUMBER(CU71)=TRUE,IF(_xlfn.RANK.EQ(CU71,$CU$2:$CU$111)&lt;='Tournament Setup'!$C$44,_xlfn.RANK.EQ(CU71,$CU$2:$CU$111),""),"")</f>
        <v/>
      </c>
      <c r="CW71" s="31" t="str">
        <f>IF(AND($H71='Tournament Setup'!$A$44,$E71="F",$CT71&gt;'Tournament Setup'!$B$44),$I71,"")</f>
        <v/>
      </c>
      <c r="CX71" s="12" t="str">
        <f>IF(ISNUMBER(CW71)=TRUE,IF(_xlfn.RANK.EQ(CW71,$CW$2:$CW$111)&lt;='Tournament Setup'!$D$44,_xlfn.RANK.EQ(CW71,$CW$2:$CW$111),""),"")</f>
        <v/>
      </c>
    </row>
    <row r="72" spans="2:102" x14ac:dyDescent="0.3">
      <c r="B72" t="str">
        <f>IFERROR(INDEX('Tournament List'!$B:$B,MATCH($A72,'Tournament List'!$A:$A,0)),"")</f>
        <v/>
      </c>
      <c r="C72" t="str">
        <f>IFERROR(INDEX('Tournament List'!$C:$C,MATCH($A72,'Tournament List'!$A:$A,0)),"")</f>
        <v/>
      </c>
      <c r="D72" t="str">
        <f t="shared" si="1"/>
        <v xml:space="preserve"> </v>
      </c>
      <c r="E72" s="1" t="str">
        <f>IFERROR(INDEX('Tournament List'!F:F,MATCH($A72,'Tournament List'!$A:$A,0)),"")</f>
        <v/>
      </c>
      <c r="F72" t="str">
        <f>IFERROR(INDEX('Tournament List'!M:M,MATCH($A72,'Tournament List'!$A:$A,0)),"")</f>
        <v/>
      </c>
      <c r="G72" t="str">
        <f>IFERROR(INDEX('Shooter-Squad Assignment'!L:L,MATCH(A72,'Shooter-Squad Assignment'!A:A,0)),"")</f>
        <v/>
      </c>
      <c r="H72" s="1" t="str">
        <f>IFERROR(INDEX('Tournament List'!AD:AD,MATCH($A72,'Tournament List'!$A:$A,0)),"")</f>
        <v/>
      </c>
      <c r="I72" s="123" t="str">
        <f>IFERROR(INDEX('Tournament List'!AG:AG,MATCH($A72,'Tournament List'!$A:$A,0)),"")</f>
        <v/>
      </c>
      <c r="J72" s="145" t="str">
        <f>IFERROR(INDEX('Tournament List'!Y:Y,MATCH($A72,'Tournament List'!$A:$A,0)),"")</f>
        <v/>
      </c>
      <c r="K72" s="47" t="str">
        <f>IFERROR(INDEX('Tournament List'!S:S,MATCH(A72,'Tournament List'!A:A,0)),"")</f>
        <v/>
      </c>
      <c r="L72" s="47" t="str">
        <f>IF(ISNUMBER(J72),IF(COUNTIFS(L$1:L71,_xlfn.RANK.EQ(J72,J$2:J$111,0))&gt;0,_xlfn.MAXIFS(L$1:L71,J$1:J71,J72)+1,_xlfn.RANK.EQ(J72,J$2:J$111,0)),"")</f>
        <v/>
      </c>
      <c r="M72" s="11" t="str">
        <f>IF(ISNUMBER(I72)=TRUE,IF(I72&gt;0,_xlfn.RANK.EQ(I72,$I$2:$I$111,0),""),"")</f>
        <v/>
      </c>
      <c r="N72" s="56" t="str">
        <f>IF(ISNUMBER(I72),IF(COUNTIFS(N$1:N71,_xlfn.RANK.EQ(I72,I$2:I$111,0))&gt;0,_xlfn.MAXIFS(N$1:N71,I$1:I71,I72)+1,_xlfn.RANK.EQ(I72,I$2:I$111,0)),"")</f>
        <v/>
      </c>
      <c r="O72" s="144" t="str">
        <f>IF(F72&lt;&gt;"Collegiate"=TRUE,$I72,"")</f>
        <v/>
      </c>
      <c r="P72" s="47" t="str">
        <f>IF(ISNUMBER(O72),IF(COUNTIFS(P$1:P71,_xlfn.RANK.EQ(O72,O$2:O$111,0))&gt;0,_xlfn.MAXIFS(P$1:P71,O$1:O71,O72)+1,_xlfn.RANK.EQ(O72,O$2:O$111,0)),"")</f>
        <v/>
      </c>
      <c r="Q72" s="1" t="str">
        <f>IF(ISNUMBER(O72)=TRUE,IF(_xlfn.RANK.EQ(O72,$O$2:$O$111)&lt;='Tournament Setup'!$B$26,_xlfn.RANK.EQ(O72,$O$2:$O$111),""),"")</f>
        <v/>
      </c>
      <c r="R72" s="143" t="str">
        <f>IF(AND($E72="M",SUM($Q72)=0,F72&lt;&gt;"Collegiate")=TRUE,$I72,"")</f>
        <v/>
      </c>
      <c r="S72" s="1" t="str">
        <f>IF(ISNUMBER(R72)=TRUE,IF(_xlfn.RANK.EQ(R72,$R$2:$R$111)&lt;='Tournament Setup'!$B$27,_xlfn.RANK.EQ(R72,$R$2:$R$111),""),"")</f>
        <v/>
      </c>
      <c r="T72" s="143" t="str">
        <f>IF(AND($E72="F",SUM($Q72)=0,F72&lt;&gt;"Collegiate")=TRUE,$I72,"")</f>
        <v/>
      </c>
      <c r="U72" s="12" t="str">
        <f>IF(ISNUMBER(T72)=TRUE,IF(_xlfn.RANK.EQ(T72,$T$2:$T$111)&lt;='Tournament Setup'!$B$28,_xlfn.RANK.EQ(T72,$T$2:$T$111),""),"")</f>
        <v/>
      </c>
      <c r="V72" s="145" t="str">
        <f>IF(AND($G72='Tournament Setup'!$A$53,$J72&lt;&gt;0),$J72,"")</f>
        <v/>
      </c>
      <c r="W72" s="47" t="str">
        <f>IF(ISNUMBER(V72),IF(COUNTIFS(W$1:W71,_xlfn.RANK.EQ(V72,V$2:V$111,0))&gt;0,_xlfn.MAXIFS(W$1:W71,V$1:V71,V72)+1,_xlfn.RANK.EQ(V72,V$2:V$111,0)),"")</f>
        <v/>
      </c>
      <c r="X72" s="1" t="str">
        <f>IF(ISNUMBER(V72)=TRUE,IF(_xlfn.RANK.EQ(V72,$V$2:$V$111)&lt;='Tournament Setup'!$B$53,_xlfn.RANK.EQ(V72,$V$2:$V$111),""),"")</f>
        <v/>
      </c>
      <c r="Y72" s="145" t="str">
        <f>IF(AND($G72='Tournament Setup'!$A$49,$J72&lt;&gt;0),$J72,"")</f>
        <v/>
      </c>
      <c r="Z72" s="47" t="str">
        <f>IF(ISNUMBER(Y72),IF(COUNTIFS(Z$1:Z71,_xlfn.RANK.EQ(Y72,Y$2:Y$111,0))&gt;0,_xlfn.MAXIFS(Z$1:Z71,Y$1:Y71,Y72)+1,_xlfn.RANK.EQ(Y72,Y$2:Y$111,0)),"")</f>
        <v/>
      </c>
      <c r="AA72" s="1" t="str">
        <f>IF(ISNUMBER(Y72)=TRUE,IF(_xlfn.RANK.EQ(Y72,$Y$2:$Y$111)&lt;='Tournament Setup'!$B$49,_xlfn.RANK.EQ(Y72,$Y$2:$Y$111),""),"")</f>
        <v/>
      </c>
      <c r="AB72" s="30" t="str">
        <f>IF(AND($F72='Tournament Setup'!$A$32,SUM($Q72,$S72,$U72)=0),$I72,"")</f>
        <v/>
      </c>
      <c r="AC72" s="47" t="str">
        <f>IF(ISNUMBER(AB72),IF(COUNTIFS(AC$1:AC71,_xlfn.RANK.EQ(AB72,AB$2:AB$111,0))&gt;0,_xlfn.MAXIFS(AC$1:AC71,AB$1:AB71,AB72)+1,_xlfn.RANK.EQ(AB72,AB$2:AB$111,0)),"")</f>
        <v/>
      </c>
      <c r="AD72" s="1" t="str">
        <f>IF(ISNUMBER(AB72)=TRUE,IF(_xlfn.RANK.EQ(AB72,$AB$2:$AB$111)&lt;='Tournament Setup'!$B$32,_xlfn.RANK.EQ(AB72,$AB$2:$AB$111),""),"")</f>
        <v/>
      </c>
      <c r="AE72" s="31" t="str">
        <f>IF(AND($F72='Tournament Setup'!$A$32,SUM($Q72,$S72)=0,$E72="M",$AD72&gt;'Tournament Setup'!$B$32),$I72,"")</f>
        <v/>
      </c>
      <c r="AF72" s="1" t="str">
        <f>IF(ISNUMBER(AE72)=TRUE,IF(_xlfn.RANK.EQ(AE72,$AE$2:$AE$111)&lt;='Tournament Setup'!$C$32,_xlfn.RANK.EQ(AE72,$AE$2:$AE$111),""),"")</f>
        <v/>
      </c>
      <c r="AG72" s="31" t="str">
        <f>IF(AND($F72='Tournament Setup'!$A$32,SUM($Q72,$U72)=0,$E72="F",$AD72&gt;'Tournament Setup'!$B$32),$I72,"")</f>
        <v/>
      </c>
      <c r="AH72" s="12" t="str">
        <f>IF(ISNUMBER(AG72)=TRUE,IF(_xlfn.RANK.EQ(AG72,$AG$2:$AG$111)&lt;='Tournament Setup'!$D$32,_xlfn.RANK.EQ(AG72,$AG$2:$AG$111),""),"")</f>
        <v/>
      </c>
      <c r="AI72" s="30" t="str">
        <f>IF(AND($G72='Tournament Setup'!$A$50,$J72&lt;&gt;0),$J72,"")</f>
        <v/>
      </c>
      <c r="AJ72" s="47" t="str">
        <f>IF(ISNUMBER(AI72),IF(COUNTIFS(AJ$1:AJ71,_xlfn.RANK.EQ(AI72,AI$2:AI$111,0))&gt;0,_xlfn.MAXIFS(AJ$1:AJ71,AI$1:AI71,AI72)+1,_xlfn.RANK.EQ(AI72,AI$2:AI$111,0)),"")</f>
        <v/>
      </c>
      <c r="AK72" s="1" t="str">
        <f>IF(ISNUMBER(AI72)=TRUE,IF(_xlfn.RANK.EQ(AI72,$AI$2:$AI$111)&lt;='Tournament Setup'!$B$49,_xlfn.RANK.EQ(AI72,$AI$2:$AI$111),""),"")</f>
        <v/>
      </c>
      <c r="AL72" s="30" t="str">
        <f>IF(AND($F72='Tournament Setup'!$A$33,SUM($Q72,$S72,$U72)=0),$I72,"")</f>
        <v/>
      </c>
      <c r="AM72" s="47" t="str">
        <f>IF(ISNUMBER(AL72),IF(COUNTIFS(AM$1:AM71,_xlfn.RANK.EQ(AL72,AL$2:AL$111,0))&gt;0,_xlfn.MAXIFS(AM$1:AM71,AL$1:AL71,AL72)+1,_xlfn.RANK.EQ(AL72,AL$2:AL$111,0)),"")</f>
        <v/>
      </c>
      <c r="AN72" s="1" t="str">
        <f>IF(ISNUMBER(AL72)=TRUE,IF(_xlfn.RANK.EQ(AL72,$AL$2:$AL$111)&lt;='Tournament Setup'!$B$33,_xlfn.RANK.EQ(AL72,$AL$2:$AL$111),""),"")</f>
        <v/>
      </c>
      <c r="AO72" s="31" t="str">
        <f>IF(AND($F72='Tournament Setup'!$A$33,SUM($Q72,$S72)=0,$E72="M",$AN72&gt;'Tournament Setup'!$B$33),$I72,"")</f>
        <v/>
      </c>
      <c r="AP72" s="1" t="str">
        <f>IF(ISNUMBER(AO72)=TRUE,IF(_xlfn.RANK.EQ(AO72,$AO$2:$AO$111)&lt;='Tournament Setup'!$C$33,_xlfn.RANK.EQ(AO72,$AO$2:$AO$111),""),"")</f>
        <v/>
      </c>
      <c r="AQ72" s="31" t="str">
        <f>IF(AND($F72='Tournament Setup'!$A$33,SUM($Q72,$U72)=0,$E72="F",$AN72&gt;'Tournament Setup'!$B$33),$I72,"")</f>
        <v/>
      </c>
      <c r="AR72" s="12" t="str">
        <f>IF(ISNUMBER(AQ72)=TRUE,IF(_xlfn.RANK.EQ(AQ72,$AQ$2:$AQ$111)&lt;='Tournament Setup'!$D$33,_xlfn.RANK.EQ(AQ72,$AQ$2:$AQ$111),""),"")</f>
        <v/>
      </c>
      <c r="AS72" s="30" t="str">
        <f>IF(AND($G72='Tournament Setup'!$A$51,$J72&lt;&gt;0),$J72,"")</f>
        <v/>
      </c>
      <c r="AT72" s="47" t="str">
        <f>IF(ISNUMBER(AS72),IF(COUNTIFS(AT$1:AT71,_xlfn.RANK.EQ(AS72,AS$2:AS$111,0))&gt;0,_xlfn.MAXIFS(AT$1:AT71,AS$1:AS71,AS72)+1,_xlfn.RANK.EQ(AS72,AS$2:AS$111,0)),"")</f>
        <v/>
      </c>
      <c r="AU72" s="1" t="str">
        <f>IF(ISNUMBER(AS72)=TRUE,IF(_xlfn.RANK.EQ(AS72,$AS$2:$AS$111)&lt;='Tournament Setup'!$B$49,_xlfn.RANK.EQ(AS72,$AS$2:$AS$111),""),"")</f>
        <v/>
      </c>
      <c r="AV72" s="30" t="str">
        <f>IF(AND($F72='Tournament Setup'!$A$34,SUM($Q72,$S72,$U72)=0),$I72,"")</f>
        <v/>
      </c>
      <c r="AW72" s="47" t="str">
        <f>IF(ISNUMBER(AV72),IF(COUNTIFS(AW$1:AW71,_xlfn.RANK.EQ(AV72,AV$2:AV$111,0))&gt;0,_xlfn.MAXIFS(AW$1:AW71,AV$1:AV71,AV72)+1,_xlfn.RANK.EQ(AV72,AV$2:AV$111,0)),"")</f>
        <v/>
      </c>
      <c r="AX72" s="1" t="str">
        <f>IF(ISNUMBER(AV72)=TRUE,IF(_xlfn.RANK.EQ(AV72,$AV$2:$AV$111)&lt;='Tournament Setup'!$B$34,_xlfn.RANK.EQ(AV72,$AV$2:$AV$111),""),"")</f>
        <v/>
      </c>
      <c r="AY72" s="31" t="str">
        <f>IF(AND($F72='Tournament Setup'!$A$34,SUM($Q72,$S72)=0,$E72="M",$AX72&gt;'Tournament Setup'!$B$34),$I72,"")</f>
        <v/>
      </c>
      <c r="AZ72" s="1" t="str">
        <f>IF(ISNUMBER(AY72)=TRUE,IF(_xlfn.RANK.EQ(AY72,$AY$2:$AY$111)&lt;='Tournament Setup'!$C$34,_xlfn.RANK.EQ(AY72,$AY$2:$AY$111),""),"")</f>
        <v/>
      </c>
      <c r="BA72" s="31" t="str">
        <f>IF(AND($F72='Tournament Setup'!$A$34,SUM($Q72,$U72)=0,$E72="F",$AX72&gt;'Tournament Setup'!$B$34),$I72,"")</f>
        <v/>
      </c>
      <c r="BB72" s="12" t="str">
        <f>IF(ISNUMBER(BA72)=TRUE,IF(_xlfn.RANK.EQ(BA72,$BA$2:$BA$111)&lt;='Tournament Setup'!$D$34,_xlfn.RANK.EQ(BA72,$BA$2:$BA$111),""),"")</f>
        <v/>
      </c>
      <c r="BC72" s="30" t="str">
        <f>IF(AND($G72='Tournament Setup'!$A$52,$J72&lt;&gt;0),$J72,"")</f>
        <v/>
      </c>
      <c r="BD72" s="47" t="str">
        <f>IF(ISNUMBER(BC72),IF(COUNTIFS(BD$1:BD71,_xlfn.RANK.EQ(BC72,BC$2:BC$111,0))&gt;0,_xlfn.MAXIFS(BD$1:BD71,BC$1:BC71,BC72)+1,_xlfn.RANK.EQ(BC72,BC$2:BC$111,0)),"")</f>
        <v/>
      </c>
      <c r="BE72" s="1" t="str">
        <f>IF(ISNUMBER(BC72)=TRUE,IF(_xlfn.RANK.EQ(BC72,$BC$2:$BC$111)&lt;='Tournament Setup'!$B$49,_xlfn.RANK.EQ(BC72,$BC$2:$BC$111),""),"")</f>
        <v/>
      </c>
      <c r="BF72" s="30" t="str">
        <f>IF(AND($F72='Tournament Setup'!$A$35,SUM($Q72,$S72,$U72)=0),$I72,"")</f>
        <v/>
      </c>
      <c r="BG72" s="47" t="str">
        <f>IF(ISNUMBER(BF72),IF(COUNTIFS(BG$1:BG71,_xlfn.RANK.EQ(BF72,BF$2:BF$111,0))&gt;0,_xlfn.MAXIFS(BG$1:BG71,BF$1:BF71,BF72)+1,_xlfn.RANK.EQ(BF72,BF$2:BF$111,0)),"")</f>
        <v/>
      </c>
      <c r="BH72" s="1" t="str">
        <f>IF(ISNUMBER(BF72)=TRUE,IF(_xlfn.RANK.EQ(BF72,$BF$2:$BF$111)&lt;='Tournament Setup'!$B$35,_xlfn.RANK.EQ(BF72,$BF$2:$BF$111),""),"")</f>
        <v/>
      </c>
      <c r="BI72" s="31" t="str">
        <f>IF(AND($F72='Tournament Setup'!$A$35,SUM($Q72,$S72)=0,$E72="M",$BH72&gt;'Tournament Setup'!$B$35),$I72,"")</f>
        <v/>
      </c>
      <c r="BJ72" s="1" t="str">
        <f>IF(ISNUMBER(BI72)=TRUE,IF(_xlfn.RANK.EQ(BI72,$BI$2:$BI$111)&lt;='Tournament Setup'!$C$35,_xlfn.RANK.EQ(BI72,$BI$2:$BI$111),""),"")</f>
        <v/>
      </c>
      <c r="BK72" s="31" t="str">
        <f>IF(AND($F72='Tournament Setup'!$A$35,SUM($Q72,$U72)=0,$E72="F",$BH72&gt;'Tournament Setup'!$B$35),$I72,"")</f>
        <v/>
      </c>
      <c r="BL72" s="12" t="str">
        <f>IF(ISNUMBER(BK72)=TRUE,IF(_xlfn.RANK.EQ(BK72,$BK$2:$BK$111)&lt;='Tournament Setup'!$D$35,_xlfn.RANK.EQ(BK72,$BK$2:$BK$111),""),"")</f>
        <v/>
      </c>
      <c r="BM72" s="30" t="str">
        <f>IF(AND($G72='Tournament Setup'!$A$54,$J72&lt;&gt;0),$J72,"")</f>
        <v/>
      </c>
      <c r="BN72" s="47" t="str">
        <f>IF(ISNUMBER(BM72),IF(COUNTIFS(BN$1:BN71,_xlfn.RANK.EQ(BM72,BM$2:BM$111,0))&gt;0,_xlfn.MAXIFS(BN$1:BN71,BM$1:BM71,BM72)+1,_xlfn.RANK.EQ(BM72,BM$2:BM$111,0)),"")</f>
        <v/>
      </c>
      <c r="BO72" s="1" t="str">
        <f>IF(ISNUMBER(BM72)=TRUE,IF(_xlfn.RANK.EQ(BM72,$BM$2:$BM$111)&lt;='Tournament Setup'!$B$49,_xlfn.RANK.EQ(BM72,$BM$2:$BM$111),""),"")</f>
        <v/>
      </c>
      <c r="BP72" s="30" t="str">
        <f>IF(AND($F72='Tournament Setup'!$A$36,SUM($Q72,$S72,$U72)=0),$I72,"")</f>
        <v/>
      </c>
      <c r="BQ72" s="47" t="str">
        <f>IF(ISNUMBER(BP72),IF(COUNTIFS(BQ$1:BQ71,_xlfn.RANK.EQ(BP72,BP$2:BP$111,0))&gt;0,_xlfn.MAXIFS(BQ$1:BQ71,BP$1:BP71,BP72)+1,_xlfn.RANK.EQ(BP72,BP$2:BP$111,0)),"")</f>
        <v/>
      </c>
      <c r="BR72" s="1" t="str">
        <f>IF(ISNUMBER(BP72)=TRUE,IF(_xlfn.RANK.EQ(BP72,$BP$2:$BP$111)&lt;='Tournament Setup'!$B$36,_xlfn.RANK.EQ(BP72,$BP$2:$BP$111),""),"")</f>
        <v/>
      </c>
      <c r="BS72" s="31" t="str">
        <f>IF(AND($F72='Tournament Setup'!$A$36,SUM($Q72,$S72)=0,$E72="M",$BR72&gt;'Tournament Setup'!$B$36),$I72,"")</f>
        <v/>
      </c>
      <c r="BT72" s="1" t="str">
        <f>IF(ISNUMBER(BS72)=TRUE,IF(_xlfn.RANK.EQ(BS72,$BS$2:$BS$111)&lt;='Tournament Setup'!$C$36,_xlfn.RANK.EQ(BS72,$BS$2:$BS$111),""),"")</f>
        <v/>
      </c>
      <c r="BU72" s="31" t="str">
        <f>IF(AND($F72='Tournament Setup'!$A$36,SUM($Q72,$U72)=0,$E72="F",$BR72&gt;'Tournament Setup'!$B$36),$I72,"")</f>
        <v/>
      </c>
      <c r="BV72" s="12" t="str">
        <f>IF(ISNUMBER(BU72)=TRUE,IF(_xlfn.RANK.EQ(BU72,$BU$2:$BU$111)&lt;='Tournament Setup'!$D$36,_xlfn.RANK.EQ(BU72,$BU$2:$BU$111),""),"")</f>
        <v/>
      </c>
      <c r="BW72" s="30" t="str">
        <f>IF($H72='Tournament Setup'!$A$41,$I72,"")</f>
        <v/>
      </c>
      <c r="BX72" s="47" t="str">
        <f>IF(ISNUMBER(BW72),IF(COUNTIFS(BX$1:BX71,_xlfn.RANK.EQ(BW72,BW$2:BW$111,0))&gt;0,_xlfn.MAXIFS(BX$1:BX71,BW$1:BW71,BW72)+1,_xlfn.RANK.EQ(BW72,BW$2:BW$111,0)),"")</f>
        <v/>
      </c>
      <c r="BY72" s="1" t="str">
        <f>IF(ISNUMBER(BW72)=TRUE,IF(_xlfn.RANK.EQ(BW72,$BW$2:$BW$111)&lt;='Tournament Setup'!$B$41,_xlfn.RANK.EQ(BW72,$BW$2:$BW$111),""),"")</f>
        <v/>
      </c>
      <c r="BZ72" s="31" t="str">
        <f>IF(AND($H72='Tournament Setup'!$A$41,$E72="M",$BY72&gt;'Tournament Setup'!$B$41),$I72,"")</f>
        <v/>
      </c>
      <c r="CA72" s="1" t="str">
        <f>IF(ISNUMBER(BZ72)=TRUE,IF(_xlfn.RANK.EQ(BZ72,$BZ$2:$BZ$111)&lt;='Tournament Setup'!$C$41,_xlfn.RANK.EQ(BZ72,$BZ$2:$BZ$111),""),"")</f>
        <v/>
      </c>
      <c r="CB72" s="31" t="str">
        <f>IF(AND($H72='Tournament Setup'!$A$41,$E72="F",$BY72&gt;'Tournament Setup'!$B$41),$I72,"")</f>
        <v/>
      </c>
      <c r="CC72" s="12" t="str">
        <f>IF(ISNUMBER(CB72)=TRUE,IF(_xlfn.RANK.EQ(CB72,$CB$2:$CB$111)&lt;='Tournament Setup'!$D$41,_xlfn.RANK.EQ(CB72,$CB$2:$CB$111),""),"")</f>
        <v/>
      </c>
      <c r="CD72" s="30" t="str">
        <f>IF($H72='Tournament Setup'!$A$42,$I72,"")</f>
        <v/>
      </c>
      <c r="CE72" s="47" t="str">
        <f>IF(ISNUMBER(CD72),IF(COUNTIFS(CE$1:CE71,_xlfn.RANK.EQ(CD72,CD$2:CD$111,0))&gt;0,_xlfn.MAXIFS(CE$1:CE71,CD$1:CD71,CD72)+1,_xlfn.RANK.EQ(CD72,CD$2:CD$111,0)),"")</f>
        <v/>
      </c>
      <c r="CF72" s="1" t="str">
        <f>IF(ISNUMBER(CD72)=TRUE,IF(_xlfn.RANK.EQ(CD72,$CD$2:$CD$111)&lt;='Tournament Setup'!$B$42,_xlfn.RANK.EQ(CD72,$CD$2:$CD$111),""),"")</f>
        <v/>
      </c>
      <c r="CG72" s="31" t="str">
        <f>IF(AND($H72='Tournament Setup'!$A$42,$E72="M",$CF72&gt;'Tournament Setup'!$B$42),$I72,"")</f>
        <v/>
      </c>
      <c r="CH72" s="1" t="str">
        <f>IF(ISNUMBER(CG72)=TRUE,IF(_xlfn.RANK.EQ(CG72,$CG$2:$CG$111)&lt;='Tournament Setup'!$C$42,_xlfn.RANK.EQ(CG72,$CG$2:$CG$111),""),"")</f>
        <v/>
      </c>
      <c r="CI72" s="31" t="str">
        <f>IF(AND($H72='Tournament Setup'!$A$42,$E72="F",$CF72&gt;'Tournament Setup'!$B$42),$I72,"")</f>
        <v/>
      </c>
      <c r="CJ72" s="12" t="str">
        <f>IF(ISNUMBER(CI72)=TRUE,IF(_xlfn.RANK.EQ(CI72,$CI$2:$CI$111)&lt;='Tournament Setup'!$D$42,_xlfn.RANK.EQ(CI72,$CI$2:$CI$111),""),"")</f>
        <v/>
      </c>
      <c r="CK72" s="30" t="str">
        <f>IF($H72='Tournament Setup'!$A$43,$I72,"")</f>
        <v/>
      </c>
      <c r="CL72" s="47" t="str">
        <f>IF(ISNUMBER(CK72),IF(COUNTIFS(CL$1:CL71,_xlfn.RANK.EQ(CK72,CK$2:CK$111,0))&gt;0,_xlfn.MAXIFS(CL$1:CL71,CK$1:CK71,CK72)+1,_xlfn.RANK.EQ(CK72,CK$2:CK$111,0)),"")</f>
        <v/>
      </c>
      <c r="CM72" s="1" t="str">
        <f>IF(ISNUMBER(CK72)=TRUE,IF(_xlfn.RANK.EQ(CK72,$CK$2:$CK$111)&lt;='Tournament Setup'!$B$43,_xlfn.RANK.EQ(CK72,$CK$2:$CK$111),""),"")</f>
        <v/>
      </c>
      <c r="CN72" s="31" t="str">
        <f>IF(AND($H72='Tournament Setup'!$A$43,$E72="M",$CM72&gt;'Tournament Setup'!$B$43),$I72,"")</f>
        <v/>
      </c>
      <c r="CO72" s="1" t="str">
        <f>IF(ISNUMBER(CN72)=TRUE,IF(_xlfn.RANK.EQ(CN72,$CN$2:$CN$111)&lt;='Tournament Setup'!$C$43,_xlfn.RANK.EQ(CN72,$CN$2:$CN$111),""),"")</f>
        <v/>
      </c>
      <c r="CP72" s="31" t="str">
        <f>IF(AND($H72='Tournament Setup'!$A$43,$E72="F",$CM72&gt;'Tournament Setup'!$B$43),$I72,"")</f>
        <v/>
      </c>
      <c r="CQ72" s="12" t="str">
        <f>IF(ISNUMBER(CP72)=TRUE,IF(_xlfn.RANK.EQ(CP72,$CP$2:$CP$111)&lt;='Tournament Setup'!$D$43,_xlfn.RANK.EQ(CP72,$CP$2:$CP$111),""),"")</f>
        <v/>
      </c>
      <c r="CR72" s="30" t="str">
        <f>IF($H72='Tournament Setup'!$A$44,$I72,"")</f>
        <v/>
      </c>
      <c r="CS72" s="47" t="str">
        <f>IF(ISNUMBER(CR72),IF(COUNTIFS(CS$1:CS71,_xlfn.RANK.EQ(CR72,CR$2:CR$111,0))&gt;0,_xlfn.MAXIFS(CS$1:CS71,CR$1:CR71,CR72)+1,_xlfn.RANK.EQ(CR72,CR$2:CR$111,0)),"")</f>
        <v/>
      </c>
      <c r="CT72" s="1" t="str">
        <f>IF(ISNUMBER(CR72)=TRUE,IF(_xlfn.RANK.EQ(CR72,$CR$2:$CR$111)&lt;='Tournament Setup'!$B$44,_xlfn.RANK.EQ(CR72,$CR$2:$CR$111),""),"")</f>
        <v/>
      </c>
      <c r="CU72" s="31" t="str">
        <f>IF(AND($H72='Tournament Setup'!$A$44,$E72="M",$CT72&gt;'Tournament Setup'!$B$44),$I72,"")</f>
        <v/>
      </c>
      <c r="CV72" s="1" t="str">
        <f>IF(ISNUMBER(CU72)=TRUE,IF(_xlfn.RANK.EQ(CU72,$CU$2:$CU$111)&lt;='Tournament Setup'!$C$44,_xlfn.RANK.EQ(CU72,$CU$2:$CU$111),""),"")</f>
        <v/>
      </c>
      <c r="CW72" s="31" t="str">
        <f>IF(AND($H72='Tournament Setup'!$A$44,$E72="F",$CT72&gt;'Tournament Setup'!$B$44),$I72,"")</f>
        <v/>
      </c>
      <c r="CX72" s="12" t="str">
        <f>IF(ISNUMBER(CW72)=TRUE,IF(_xlfn.RANK.EQ(CW72,$CW$2:$CW$111)&lt;='Tournament Setup'!$D$44,_xlfn.RANK.EQ(CW72,$CW$2:$CW$111),""),"")</f>
        <v/>
      </c>
    </row>
    <row r="73" spans="2:102" x14ac:dyDescent="0.3">
      <c r="B73" t="str">
        <f>IFERROR(INDEX('Tournament List'!$B:$B,MATCH($A73,'Tournament List'!$A:$A,0)),"")</f>
        <v/>
      </c>
      <c r="C73" t="str">
        <f>IFERROR(INDEX('Tournament List'!$C:$C,MATCH($A73,'Tournament List'!$A:$A,0)),"")</f>
        <v/>
      </c>
      <c r="D73" t="str">
        <f t="shared" si="1"/>
        <v xml:space="preserve"> </v>
      </c>
      <c r="E73" s="1" t="str">
        <f>IFERROR(INDEX('Tournament List'!F:F,MATCH($A73,'Tournament List'!$A:$A,0)),"")</f>
        <v/>
      </c>
      <c r="F73" t="str">
        <f>IFERROR(INDEX('Tournament List'!M:M,MATCH($A73,'Tournament List'!$A:$A,0)),"")</f>
        <v/>
      </c>
      <c r="G73" t="str">
        <f>IFERROR(INDEX('Shooter-Squad Assignment'!L:L,MATCH(A73,'Shooter-Squad Assignment'!A:A,0)),"")</f>
        <v/>
      </c>
      <c r="H73" s="1" t="str">
        <f>IFERROR(INDEX('Tournament List'!AD:AD,MATCH($A73,'Tournament List'!$A:$A,0)),"")</f>
        <v/>
      </c>
      <c r="I73" s="123" t="str">
        <f>IFERROR(INDEX('Tournament List'!AG:AG,MATCH($A73,'Tournament List'!$A:$A,0)),"")</f>
        <v/>
      </c>
      <c r="J73" s="145" t="str">
        <f>IFERROR(INDEX('Tournament List'!Y:Y,MATCH($A73,'Tournament List'!$A:$A,0)),"")</f>
        <v/>
      </c>
      <c r="K73" s="47" t="str">
        <f>IFERROR(INDEX('Tournament List'!S:S,MATCH(A73,'Tournament List'!A:A,0)),"")</f>
        <v/>
      </c>
      <c r="L73" s="47" t="str">
        <f>IF(ISNUMBER(J73),IF(COUNTIFS(L$1:L72,_xlfn.RANK.EQ(J73,J$2:J$111,0))&gt;0,_xlfn.MAXIFS(L$1:L72,J$1:J72,J73)+1,_xlfn.RANK.EQ(J73,J$2:J$111,0)),"")</f>
        <v/>
      </c>
      <c r="M73" s="11" t="str">
        <f>IF(ISNUMBER(I73)=TRUE,IF(I73&gt;0,_xlfn.RANK.EQ(I73,$I$2:$I$111,0),""),"")</f>
        <v/>
      </c>
      <c r="N73" s="56" t="str">
        <f>IF(ISNUMBER(I73),IF(COUNTIFS(N$1:N72,_xlfn.RANK.EQ(I73,I$2:I$111,0))&gt;0,_xlfn.MAXIFS(N$1:N72,I$1:I72,I73)+1,_xlfn.RANK.EQ(I73,I$2:I$111,0)),"")</f>
        <v/>
      </c>
      <c r="O73" s="144" t="str">
        <f>IF(F73&lt;&gt;"Collegiate"=TRUE,$I73,"")</f>
        <v/>
      </c>
      <c r="P73" s="47" t="str">
        <f>IF(ISNUMBER(O73),IF(COUNTIFS(P$1:P72,_xlfn.RANK.EQ(O73,O$2:O$111,0))&gt;0,_xlfn.MAXIFS(P$1:P72,O$1:O72,O73)+1,_xlfn.RANK.EQ(O73,O$2:O$111,0)),"")</f>
        <v/>
      </c>
      <c r="Q73" s="1" t="str">
        <f>IF(ISNUMBER(O73)=TRUE,IF(_xlfn.RANK.EQ(O73,$O$2:$O$111)&lt;='Tournament Setup'!$B$26,_xlfn.RANK.EQ(O73,$O$2:$O$111),""),"")</f>
        <v/>
      </c>
      <c r="R73" s="143" t="str">
        <f>IF(AND($E73="M",SUM($Q73)=0,F73&lt;&gt;"Collegiate")=TRUE,$I73,"")</f>
        <v/>
      </c>
      <c r="S73" s="1" t="str">
        <f>IF(ISNUMBER(R73)=TRUE,IF(_xlfn.RANK.EQ(R73,$R$2:$R$111)&lt;='Tournament Setup'!$B$27,_xlfn.RANK.EQ(R73,$R$2:$R$111),""),"")</f>
        <v/>
      </c>
      <c r="T73" s="143" t="str">
        <f>IF(AND($E73="F",SUM($Q73)=0,F73&lt;&gt;"Collegiate")=TRUE,$I73,"")</f>
        <v/>
      </c>
      <c r="U73" s="12" t="str">
        <f>IF(ISNUMBER(T73)=TRUE,IF(_xlfn.RANK.EQ(T73,$T$2:$T$111)&lt;='Tournament Setup'!$B$28,_xlfn.RANK.EQ(T73,$T$2:$T$111),""),"")</f>
        <v/>
      </c>
      <c r="V73" s="145" t="str">
        <f>IF(AND($G73='Tournament Setup'!$A$53,$J73&lt;&gt;0),$J73,"")</f>
        <v/>
      </c>
      <c r="W73" s="47" t="str">
        <f>IF(ISNUMBER(V73),IF(COUNTIFS(W$1:W72,_xlfn.RANK.EQ(V73,V$2:V$111,0))&gt;0,_xlfn.MAXIFS(W$1:W72,V$1:V72,V73)+1,_xlfn.RANK.EQ(V73,V$2:V$111,0)),"")</f>
        <v/>
      </c>
      <c r="X73" s="1" t="str">
        <f>IF(ISNUMBER(V73)=TRUE,IF(_xlfn.RANK.EQ(V73,$V$2:$V$111)&lt;='Tournament Setup'!$B$53,_xlfn.RANK.EQ(V73,$V$2:$V$111),""),"")</f>
        <v/>
      </c>
      <c r="Y73" s="145" t="str">
        <f>IF(AND($G73='Tournament Setup'!$A$49,$J73&lt;&gt;0),$J73,"")</f>
        <v/>
      </c>
      <c r="Z73" s="47" t="str">
        <f>IF(ISNUMBER(Y73),IF(COUNTIFS(Z$1:Z72,_xlfn.RANK.EQ(Y73,Y$2:Y$111,0))&gt;0,_xlfn.MAXIFS(Z$1:Z72,Y$1:Y72,Y73)+1,_xlfn.RANK.EQ(Y73,Y$2:Y$111,0)),"")</f>
        <v/>
      </c>
      <c r="AA73" s="1" t="str">
        <f>IF(ISNUMBER(Y73)=TRUE,IF(_xlfn.RANK.EQ(Y73,$Y$2:$Y$111)&lt;='Tournament Setup'!$B$49,_xlfn.RANK.EQ(Y73,$Y$2:$Y$111),""),"")</f>
        <v/>
      </c>
      <c r="AB73" s="30" t="str">
        <f>IF(AND($F73='Tournament Setup'!$A$32,SUM($Q73,$S73,$U73)=0),$I73,"")</f>
        <v/>
      </c>
      <c r="AC73" s="47" t="str">
        <f>IF(ISNUMBER(AB73),IF(COUNTIFS(AC$1:AC72,_xlfn.RANK.EQ(AB73,AB$2:AB$111,0))&gt;0,_xlfn.MAXIFS(AC$1:AC72,AB$1:AB72,AB73)+1,_xlfn.RANK.EQ(AB73,AB$2:AB$111,0)),"")</f>
        <v/>
      </c>
      <c r="AD73" s="1" t="str">
        <f>IF(ISNUMBER(AB73)=TRUE,IF(_xlfn.RANK.EQ(AB73,$AB$2:$AB$111)&lt;='Tournament Setup'!$B$32,_xlfn.RANK.EQ(AB73,$AB$2:$AB$111),""),"")</f>
        <v/>
      </c>
      <c r="AE73" s="31" t="str">
        <f>IF(AND($F73='Tournament Setup'!$A$32,SUM($Q73,$S73)=0,$E73="M",$AD73&gt;'Tournament Setup'!$B$32),$I73,"")</f>
        <v/>
      </c>
      <c r="AF73" s="1" t="str">
        <f>IF(ISNUMBER(AE73)=TRUE,IF(_xlfn.RANK.EQ(AE73,$AE$2:$AE$111)&lt;='Tournament Setup'!$C$32,_xlfn.RANK.EQ(AE73,$AE$2:$AE$111),""),"")</f>
        <v/>
      </c>
      <c r="AG73" s="31" t="str">
        <f>IF(AND($F73='Tournament Setup'!$A$32,SUM($Q73,$U73)=0,$E73="F",$AD73&gt;'Tournament Setup'!$B$32),$I73,"")</f>
        <v/>
      </c>
      <c r="AH73" s="12" t="str">
        <f>IF(ISNUMBER(AG73)=TRUE,IF(_xlfn.RANK.EQ(AG73,$AG$2:$AG$111)&lt;='Tournament Setup'!$D$32,_xlfn.RANK.EQ(AG73,$AG$2:$AG$111),""),"")</f>
        <v/>
      </c>
      <c r="AI73" s="30" t="str">
        <f>IF(AND($G73='Tournament Setup'!$A$50,$J73&lt;&gt;0),$J73,"")</f>
        <v/>
      </c>
      <c r="AJ73" s="47" t="str">
        <f>IF(ISNUMBER(AI73),IF(COUNTIFS(AJ$1:AJ72,_xlfn.RANK.EQ(AI73,AI$2:AI$111,0))&gt;0,_xlfn.MAXIFS(AJ$1:AJ72,AI$1:AI72,AI73)+1,_xlfn.RANK.EQ(AI73,AI$2:AI$111,0)),"")</f>
        <v/>
      </c>
      <c r="AK73" s="1" t="str">
        <f>IF(ISNUMBER(AI73)=TRUE,IF(_xlfn.RANK.EQ(AI73,$AI$2:$AI$111)&lt;='Tournament Setup'!$B$49,_xlfn.RANK.EQ(AI73,$AI$2:$AI$111),""),"")</f>
        <v/>
      </c>
      <c r="AL73" s="30" t="str">
        <f>IF(AND($F73='Tournament Setup'!$A$33,SUM($Q73,$S73,$U73)=0),$I73,"")</f>
        <v/>
      </c>
      <c r="AM73" s="47" t="str">
        <f>IF(ISNUMBER(AL73),IF(COUNTIFS(AM$1:AM72,_xlfn.RANK.EQ(AL73,AL$2:AL$111,0))&gt;0,_xlfn.MAXIFS(AM$1:AM72,AL$1:AL72,AL73)+1,_xlfn.RANK.EQ(AL73,AL$2:AL$111,0)),"")</f>
        <v/>
      </c>
      <c r="AN73" s="1" t="str">
        <f>IF(ISNUMBER(AL73)=TRUE,IF(_xlfn.RANK.EQ(AL73,$AL$2:$AL$111)&lt;='Tournament Setup'!$B$33,_xlfn.RANK.EQ(AL73,$AL$2:$AL$111),""),"")</f>
        <v/>
      </c>
      <c r="AO73" s="31" t="str">
        <f>IF(AND($F73='Tournament Setup'!$A$33,SUM($Q73,$S73)=0,$E73="M",$AN73&gt;'Tournament Setup'!$B$33),$I73,"")</f>
        <v/>
      </c>
      <c r="AP73" s="1" t="str">
        <f>IF(ISNUMBER(AO73)=TRUE,IF(_xlfn.RANK.EQ(AO73,$AO$2:$AO$111)&lt;='Tournament Setup'!$C$33,_xlfn.RANK.EQ(AO73,$AO$2:$AO$111),""),"")</f>
        <v/>
      </c>
      <c r="AQ73" s="31" t="str">
        <f>IF(AND($F73='Tournament Setup'!$A$33,SUM($Q73,$U73)=0,$E73="F",$AN73&gt;'Tournament Setup'!$B$33),$I73,"")</f>
        <v/>
      </c>
      <c r="AR73" s="12" t="str">
        <f>IF(ISNUMBER(AQ73)=TRUE,IF(_xlfn.RANK.EQ(AQ73,$AQ$2:$AQ$111)&lt;='Tournament Setup'!$D$33,_xlfn.RANK.EQ(AQ73,$AQ$2:$AQ$111),""),"")</f>
        <v/>
      </c>
      <c r="AS73" s="30" t="str">
        <f>IF(AND($G73='Tournament Setup'!$A$51,$J73&lt;&gt;0),$J73,"")</f>
        <v/>
      </c>
      <c r="AT73" s="47" t="str">
        <f>IF(ISNUMBER(AS73),IF(COUNTIFS(AT$1:AT72,_xlfn.RANK.EQ(AS73,AS$2:AS$111,0))&gt;0,_xlfn.MAXIFS(AT$1:AT72,AS$1:AS72,AS73)+1,_xlfn.RANK.EQ(AS73,AS$2:AS$111,0)),"")</f>
        <v/>
      </c>
      <c r="AU73" s="1" t="str">
        <f>IF(ISNUMBER(AS73)=TRUE,IF(_xlfn.RANK.EQ(AS73,$AS$2:$AS$111)&lt;='Tournament Setup'!$B$49,_xlfn.RANK.EQ(AS73,$AS$2:$AS$111),""),"")</f>
        <v/>
      </c>
      <c r="AV73" s="30" t="str">
        <f>IF(AND($F73='Tournament Setup'!$A$34,SUM($Q73,$S73,$U73)=0),$I73,"")</f>
        <v/>
      </c>
      <c r="AW73" s="47" t="str">
        <f>IF(ISNUMBER(AV73),IF(COUNTIFS(AW$1:AW72,_xlfn.RANK.EQ(AV73,AV$2:AV$111,0))&gt;0,_xlfn.MAXIFS(AW$1:AW72,AV$1:AV72,AV73)+1,_xlfn.RANK.EQ(AV73,AV$2:AV$111,0)),"")</f>
        <v/>
      </c>
      <c r="AX73" s="1" t="str">
        <f>IF(ISNUMBER(AV73)=TRUE,IF(_xlfn.RANK.EQ(AV73,$AV$2:$AV$111)&lt;='Tournament Setup'!$B$34,_xlfn.RANK.EQ(AV73,$AV$2:$AV$111),""),"")</f>
        <v/>
      </c>
      <c r="AY73" s="31" t="str">
        <f>IF(AND($F73='Tournament Setup'!$A$34,SUM($Q73,$S73)=0,$E73="M",$AX73&gt;'Tournament Setup'!$B$34),$I73,"")</f>
        <v/>
      </c>
      <c r="AZ73" s="1" t="str">
        <f>IF(ISNUMBER(AY73)=TRUE,IF(_xlfn.RANK.EQ(AY73,$AY$2:$AY$111)&lt;='Tournament Setup'!$C$34,_xlfn.RANK.EQ(AY73,$AY$2:$AY$111),""),"")</f>
        <v/>
      </c>
      <c r="BA73" s="31" t="str">
        <f>IF(AND($F73='Tournament Setup'!$A$34,SUM($Q73,$U73)=0,$E73="F",$AX73&gt;'Tournament Setup'!$B$34),$I73,"")</f>
        <v/>
      </c>
      <c r="BB73" s="12" t="str">
        <f>IF(ISNUMBER(BA73)=TRUE,IF(_xlfn.RANK.EQ(BA73,$BA$2:$BA$111)&lt;='Tournament Setup'!$D$34,_xlfn.RANK.EQ(BA73,$BA$2:$BA$111),""),"")</f>
        <v/>
      </c>
      <c r="BC73" s="30" t="str">
        <f>IF(AND($G73='Tournament Setup'!$A$52,$J73&lt;&gt;0),$J73,"")</f>
        <v/>
      </c>
      <c r="BD73" s="47" t="str">
        <f>IF(ISNUMBER(BC73),IF(COUNTIFS(BD$1:BD72,_xlfn.RANK.EQ(BC73,BC$2:BC$111,0))&gt;0,_xlfn.MAXIFS(BD$1:BD72,BC$1:BC72,BC73)+1,_xlfn.RANK.EQ(BC73,BC$2:BC$111,0)),"")</f>
        <v/>
      </c>
      <c r="BE73" s="1" t="str">
        <f>IF(ISNUMBER(BC73)=TRUE,IF(_xlfn.RANK.EQ(BC73,$BC$2:$BC$111)&lt;='Tournament Setup'!$B$49,_xlfn.RANK.EQ(BC73,$BC$2:$BC$111),""),"")</f>
        <v/>
      </c>
      <c r="BF73" s="30" t="str">
        <f>IF(AND($F73='Tournament Setup'!$A$35,SUM($Q73,$S73,$U73)=0),$I73,"")</f>
        <v/>
      </c>
      <c r="BG73" s="47" t="str">
        <f>IF(ISNUMBER(BF73),IF(COUNTIFS(BG$1:BG72,_xlfn.RANK.EQ(BF73,BF$2:BF$111,0))&gt;0,_xlfn.MAXIFS(BG$1:BG72,BF$1:BF72,BF73)+1,_xlfn.RANK.EQ(BF73,BF$2:BF$111,0)),"")</f>
        <v/>
      </c>
      <c r="BH73" s="1" t="str">
        <f>IF(ISNUMBER(BF73)=TRUE,IF(_xlfn.RANK.EQ(BF73,$BF$2:$BF$111)&lt;='Tournament Setup'!$B$35,_xlfn.RANK.EQ(BF73,$BF$2:$BF$111),""),"")</f>
        <v/>
      </c>
      <c r="BI73" s="31" t="str">
        <f>IF(AND($F73='Tournament Setup'!$A$35,SUM($Q73,$S73)=0,$E73="M",$BH73&gt;'Tournament Setup'!$B$35),$I73,"")</f>
        <v/>
      </c>
      <c r="BJ73" s="1" t="str">
        <f>IF(ISNUMBER(BI73)=TRUE,IF(_xlfn.RANK.EQ(BI73,$BI$2:$BI$111)&lt;='Tournament Setup'!$C$35,_xlfn.RANK.EQ(BI73,$BI$2:$BI$111),""),"")</f>
        <v/>
      </c>
      <c r="BK73" s="31" t="str">
        <f>IF(AND($F73='Tournament Setup'!$A$35,SUM($Q73,$U73)=0,$E73="F",$BH73&gt;'Tournament Setup'!$B$35),$I73,"")</f>
        <v/>
      </c>
      <c r="BL73" s="12" t="str">
        <f>IF(ISNUMBER(BK73)=TRUE,IF(_xlfn.RANK.EQ(BK73,$BK$2:$BK$111)&lt;='Tournament Setup'!$D$35,_xlfn.RANK.EQ(BK73,$BK$2:$BK$111),""),"")</f>
        <v/>
      </c>
      <c r="BM73" s="30" t="str">
        <f>IF(AND($G73='Tournament Setup'!$A$54,$J73&lt;&gt;0),$J73,"")</f>
        <v/>
      </c>
      <c r="BN73" s="47" t="str">
        <f>IF(ISNUMBER(BM73),IF(COUNTIFS(BN$1:BN72,_xlfn.RANK.EQ(BM73,BM$2:BM$111,0))&gt;0,_xlfn.MAXIFS(BN$1:BN72,BM$1:BM72,BM73)+1,_xlfn.RANK.EQ(BM73,BM$2:BM$111,0)),"")</f>
        <v/>
      </c>
      <c r="BO73" s="1" t="str">
        <f>IF(ISNUMBER(BM73)=TRUE,IF(_xlfn.RANK.EQ(BM73,$BM$2:$BM$111)&lt;='Tournament Setup'!$B$49,_xlfn.RANK.EQ(BM73,$BM$2:$BM$111),""),"")</f>
        <v/>
      </c>
      <c r="BP73" s="30" t="str">
        <f>IF(AND($F73='Tournament Setup'!$A$36,SUM($Q73,$S73,$U73)=0),$I73,"")</f>
        <v/>
      </c>
      <c r="BQ73" s="47" t="str">
        <f>IF(ISNUMBER(BP73),IF(COUNTIFS(BQ$1:BQ72,_xlfn.RANK.EQ(BP73,BP$2:BP$111,0))&gt;0,_xlfn.MAXIFS(BQ$1:BQ72,BP$1:BP72,BP73)+1,_xlfn.RANK.EQ(BP73,BP$2:BP$111,0)),"")</f>
        <v/>
      </c>
      <c r="BR73" s="1" t="str">
        <f>IF(ISNUMBER(BP73)=TRUE,IF(_xlfn.RANK.EQ(BP73,$BP$2:$BP$111)&lt;='Tournament Setup'!$B$36,_xlfn.RANK.EQ(BP73,$BP$2:$BP$111),""),"")</f>
        <v/>
      </c>
      <c r="BS73" s="31" t="str">
        <f>IF(AND($F73='Tournament Setup'!$A$36,SUM($Q73,$S73)=0,$E73="M",$BR73&gt;'Tournament Setup'!$B$36),$I73,"")</f>
        <v/>
      </c>
      <c r="BT73" s="1" t="str">
        <f>IF(ISNUMBER(BS73)=TRUE,IF(_xlfn.RANK.EQ(BS73,$BS$2:$BS$111)&lt;='Tournament Setup'!$C$36,_xlfn.RANK.EQ(BS73,$BS$2:$BS$111),""),"")</f>
        <v/>
      </c>
      <c r="BU73" s="31" t="str">
        <f>IF(AND($F73='Tournament Setup'!$A$36,SUM($Q73,$U73)=0,$E73="F",$BR73&gt;'Tournament Setup'!$B$36),$I73,"")</f>
        <v/>
      </c>
      <c r="BV73" s="12" t="str">
        <f>IF(ISNUMBER(BU73)=TRUE,IF(_xlfn.RANK.EQ(BU73,$BU$2:$BU$111)&lt;='Tournament Setup'!$D$36,_xlfn.RANK.EQ(BU73,$BU$2:$BU$111),""),"")</f>
        <v/>
      </c>
      <c r="BW73" s="30" t="str">
        <f>IF($H73='Tournament Setup'!$A$41,$I73,"")</f>
        <v/>
      </c>
      <c r="BX73" s="47" t="str">
        <f>IF(ISNUMBER(BW73),IF(COUNTIFS(BX$1:BX72,_xlfn.RANK.EQ(BW73,BW$2:BW$111,0))&gt;0,_xlfn.MAXIFS(BX$1:BX72,BW$1:BW72,BW73)+1,_xlfn.RANK.EQ(BW73,BW$2:BW$111,0)),"")</f>
        <v/>
      </c>
      <c r="BY73" s="1" t="str">
        <f>IF(ISNUMBER(BW73)=TRUE,IF(_xlfn.RANK.EQ(BW73,$BW$2:$BW$111)&lt;='Tournament Setup'!$B$41,_xlfn.RANK.EQ(BW73,$BW$2:$BW$111),""),"")</f>
        <v/>
      </c>
      <c r="BZ73" s="31" t="str">
        <f>IF(AND($H73='Tournament Setup'!$A$41,$E73="M",$BY73&gt;'Tournament Setup'!$B$41),$I73,"")</f>
        <v/>
      </c>
      <c r="CA73" s="1" t="str">
        <f>IF(ISNUMBER(BZ73)=TRUE,IF(_xlfn.RANK.EQ(BZ73,$BZ$2:$BZ$111)&lt;='Tournament Setup'!$C$41,_xlfn.RANK.EQ(BZ73,$BZ$2:$BZ$111),""),"")</f>
        <v/>
      </c>
      <c r="CB73" s="31" t="str">
        <f>IF(AND($H73='Tournament Setup'!$A$41,$E73="F",$BY73&gt;'Tournament Setup'!$B$41),$I73,"")</f>
        <v/>
      </c>
      <c r="CC73" s="12" t="str">
        <f>IF(ISNUMBER(CB73)=TRUE,IF(_xlfn.RANK.EQ(CB73,$CB$2:$CB$111)&lt;='Tournament Setup'!$D$41,_xlfn.RANK.EQ(CB73,$CB$2:$CB$111),""),"")</f>
        <v/>
      </c>
      <c r="CD73" s="30" t="str">
        <f>IF($H73='Tournament Setup'!$A$42,$I73,"")</f>
        <v/>
      </c>
      <c r="CE73" s="47" t="str">
        <f>IF(ISNUMBER(CD73),IF(COUNTIFS(CE$1:CE72,_xlfn.RANK.EQ(CD73,CD$2:CD$111,0))&gt;0,_xlfn.MAXIFS(CE$1:CE72,CD$1:CD72,CD73)+1,_xlfn.RANK.EQ(CD73,CD$2:CD$111,0)),"")</f>
        <v/>
      </c>
      <c r="CF73" s="1" t="str">
        <f>IF(ISNUMBER(CD73)=TRUE,IF(_xlfn.RANK.EQ(CD73,$CD$2:$CD$111)&lt;='Tournament Setup'!$B$42,_xlfn.RANK.EQ(CD73,$CD$2:$CD$111),""),"")</f>
        <v/>
      </c>
      <c r="CG73" s="31" t="str">
        <f>IF(AND($H73='Tournament Setup'!$A$42,$E73="M",$CF73&gt;'Tournament Setup'!$B$42),$I73,"")</f>
        <v/>
      </c>
      <c r="CH73" s="1" t="str">
        <f>IF(ISNUMBER(CG73)=TRUE,IF(_xlfn.RANK.EQ(CG73,$CG$2:$CG$111)&lt;='Tournament Setup'!$C$42,_xlfn.RANK.EQ(CG73,$CG$2:$CG$111),""),"")</f>
        <v/>
      </c>
      <c r="CI73" s="31" t="str">
        <f>IF(AND($H73='Tournament Setup'!$A$42,$E73="F",$CF73&gt;'Tournament Setup'!$B$42),$I73,"")</f>
        <v/>
      </c>
      <c r="CJ73" s="12" t="str">
        <f>IF(ISNUMBER(CI73)=TRUE,IF(_xlfn.RANK.EQ(CI73,$CI$2:$CI$111)&lt;='Tournament Setup'!$D$42,_xlfn.RANK.EQ(CI73,$CI$2:$CI$111),""),"")</f>
        <v/>
      </c>
      <c r="CK73" s="30" t="str">
        <f>IF($H73='Tournament Setup'!$A$43,$I73,"")</f>
        <v/>
      </c>
      <c r="CL73" s="47" t="str">
        <f>IF(ISNUMBER(CK73),IF(COUNTIFS(CL$1:CL72,_xlfn.RANK.EQ(CK73,CK$2:CK$111,0))&gt;0,_xlfn.MAXIFS(CL$1:CL72,CK$1:CK72,CK73)+1,_xlfn.RANK.EQ(CK73,CK$2:CK$111,0)),"")</f>
        <v/>
      </c>
      <c r="CM73" s="1" t="str">
        <f>IF(ISNUMBER(CK73)=TRUE,IF(_xlfn.RANK.EQ(CK73,$CK$2:$CK$111)&lt;='Tournament Setup'!$B$43,_xlfn.RANK.EQ(CK73,$CK$2:$CK$111),""),"")</f>
        <v/>
      </c>
      <c r="CN73" s="31" t="str">
        <f>IF(AND($H73='Tournament Setup'!$A$43,$E73="M",$CM73&gt;'Tournament Setup'!$B$43),$I73,"")</f>
        <v/>
      </c>
      <c r="CO73" s="1" t="str">
        <f>IF(ISNUMBER(CN73)=TRUE,IF(_xlfn.RANK.EQ(CN73,$CN$2:$CN$111)&lt;='Tournament Setup'!$C$43,_xlfn.RANK.EQ(CN73,$CN$2:$CN$111),""),"")</f>
        <v/>
      </c>
      <c r="CP73" s="31" t="str">
        <f>IF(AND($H73='Tournament Setup'!$A$43,$E73="F",$CM73&gt;'Tournament Setup'!$B$43),$I73,"")</f>
        <v/>
      </c>
      <c r="CQ73" s="12" t="str">
        <f>IF(ISNUMBER(CP73)=TRUE,IF(_xlfn.RANK.EQ(CP73,$CP$2:$CP$111)&lt;='Tournament Setup'!$D$43,_xlfn.RANK.EQ(CP73,$CP$2:$CP$111),""),"")</f>
        <v/>
      </c>
      <c r="CR73" s="30" t="str">
        <f>IF($H73='Tournament Setup'!$A$44,$I73,"")</f>
        <v/>
      </c>
      <c r="CS73" s="47" t="str">
        <f>IF(ISNUMBER(CR73),IF(COUNTIFS(CS$1:CS72,_xlfn.RANK.EQ(CR73,CR$2:CR$111,0))&gt;0,_xlfn.MAXIFS(CS$1:CS72,CR$1:CR72,CR73)+1,_xlfn.RANK.EQ(CR73,CR$2:CR$111,0)),"")</f>
        <v/>
      </c>
      <c r="CT73" s="1" t="str">
        <f>IF(ISNUMBER(CR73)=TRUE,IF(_xlfn.RANK.EQ(CR73,$CR$2:$CR$111)&lt;='Tournament Setup'!$B$44,_xlfn.RANK.EQ(CR73,$CR$2:$CR$111),""),"")</f>
        <v/>
      </c>
      <c r="CU73" s="31" t="str">
        <f>IF(AND($H73='Tournament Setup'!$A$44,$E73="M",$CT73&gt;'Tournament Setup'!$B$44),$I73,"")</f>
        <v/>
      </c>
      <c r="CV73" s="1" t="str">
        <f>IF(ISNUMBER(CU73)=TRUE,IF(_xlfn.RANK.EQ(CU73,$CU$2:$CU$111)&lt;='Tournament Setup'!$C$44,_xlfn.RANK.EQ(CU73,$CU$2:$CU$111),""),"")</f>
        <v/>
      </c>
      <c r="CW73" s="31" t="str">
        <f>IF(AND($H73='Tournament Setup'!$A$44,$E73="F",$CT73&gt;'Tournament Setup'!$B$44),$I73,"")</f>
        <v/>
      </c>
      <c r="CX73" s="12" t="str">
        <f>IF(ISNUMBER(CW73)=TRUE,IF(_xlfn.RANK.EQ(CW73,$CW$2:$CW$111)&lt;='Tournament Setup'!$D$44,_xlfn.RANK.EQ(CW73,$CW$2:$CW$111),""),"")</f>
        <v/>
      </c>
    </row>
    <row r="74" spans="2:102" x14ac:dyDescent="0.3">
      <c r="B74" t="str">
        <f>IFERROR(INDEX('Tournament List'!$B:$B,MATCH($A74,'Tournament List'!$A:$A,0)),"")</f>
        <v/>
      </c>
      <c r="C74" t="str">
        <f>IFERROR(INDEX('Tournament List'!$C:$C,MATCH($A74,'Tournament List'!$A:$A,0)),"")</f>
        <v/>
      </c>
      <c r="D74" t="str">
        <f t="shared" si="1"/>
        <v xml:space="preserve"> </v>
      </c>
      <c r="E74" s="1" t="str">
        <f>IFERROR(INDEX('Tournament List'!F:F,MATCH($A74,'Tournament List'!$A:$A,0)),"")</f>
        <v/>
      </c>
      <c r="F74" t="str">
        <f>IFERROR(INDEX('Tournament List'!M:M,MATCH($A74,'Tournament List'!$A:$A,0)),"")</f>
        <v/>
      </c>
      <c r="G74" t="str">
        <f>IFERROR(INDEX('Shooter-Squad Assignment'!L:L,MATCH(A74,'Shooter-Squad Assignment'!A:A,0)),"")</f>
        <v/>
      </c>
      <c r="H74" s="1" t="str">
        <f>IFERROR(INDEX('Tournament List'!AD:AD,MATCH($A74,'Tournament List'!$A:$A,0)),"")</f>
        <v/>
      </c>
      <c r="I74" s="123" t="str">
        <f>IFERROR(INDEX('Tournament List'!AG:AG,MATCH($A74,'Tournament List'!$A:$A,0)),"")</f>
        <v/>
      </c>
      <c r="J74" s="145" t="str">
        <f>IFERROR(INDEX('Tournament List'!Y:Y,MATCH($A74,'Tournament List'!$A:$A,0)),"")</f>
        <v/>
      </c>
      <c r="K74" s="47" t="str">
        <f>IFERROR(INDEX('Tournament List'!S:S,MATCH(A74,'Tournament List'!A:A,0)),"")</f>
        <v/>
      </c>
      <c r="L74" s="47" t="str">
        <f>IF(ISNUMBER(J74),IF(COUNTIFS(L$1:L73,_xlfn.RANK.EQ(J74,J$2:J$111,0))&gt;0,_xlfn.MAXIFS(L$1:L73,J$1:J73,J74)+1,_xlfn.RANK.EQ(J74,J$2:J$111,0)),"")</f>
        <v/>
      </c>
      <c r="M74" s="11" t="str">
        <f>IF(ISNUMBER(I74)=TRUE,IF(I74&gt;0,_xlfn.RANK.EQ(I74,$I$2:$I$111,0),""),"")</f>
        <v/>
      </c>
      <c r="N74" s="56" t="str">
        <f>IF(ISNUMBER(I74),IF(COUNTIFS(N$1:N73,_xlfn.RANK.EQ(I74,I$2:I$111,0))&gt;0,_xlfn.MAXIFS(N$1:N73,I$1:I73,I74)+1,_xlfn.RANK.EQ(I74,I$2:I$111,0)),"")</f>
        <v/>
      </c>
      <c r="O74" s="144" t="str">
        <f>IF(F74&lt;&gt;"Collegiate"=TRUE,$I74,"")</f>
        <v/>
      </c>
      <c r="P74" s="47" t="str">
        <f>IF(ISNUMBER(O74),IF(COUNTIFS(P$1:P73,_xlfn.RANK.EQ(O74,O$2:O$111,0))&gt;0,_xlfn.MAXIFS(P$1:P73,O$1:O73,O74)+1,_xlfn.RANK.EQ(O74,O$2:O$111,0)),"")</f>
        <v/>
      </c>
      <c r="Q74" s="1" t="str">
        <f>IF(ISNUMBER(O74)=TRUE,IF(_xlfn.RANK.EQ(O74,$O$2:$O$111)&lt;='Tournament Setup'!$B$26,_xlfn.RANK.EQ(O74,$O$2:$O$111),""),"")</f>
        <v/>
      </c>
      <c r="R74" s="143" t="str">
        <f>IF(AND($E74="M",SUM($Q74)=0,F74&lt;&gt;"Collegiate")=TRUE,$I74,"")</f>
        <v/>
      </c>
      <c r="S74" s="1" t="str">
        <f>IF(ISNUMBER(R74)=TRUE,IF(_xlfn.RANK.EQ(R74,$R$2:$R$111)&lt;='Tournament Setup'!$B$27,_xlfn.RANK.EQ(R74,$R$2:$R$111),""),"")</f>
        <v/>
      </c>
      <c r="T74" s="143" t="str">
        <f>IF(AND($E74="F",SUM($Q74)=0,F74&lt;&gt;"Collegiate")=TRUE,$I74,"")</f>
        <v/>
      </c>
      <c r="U74" s="12" t="str">
        <f>IF(ISNUMBER(T74)=TRUE,IF(_xlfn.RANK.EQ(T74,$T$2:$T$111)&lt;='Tournament Setup'!$B$28,_xlfn.RANK.EQ(T74,$T$2:$T$111),""),"")</f>
        <v/>
      </c>
      <c r="V74" s="145" t="str">
        <f>IF(AND($G74='Tournament Setup'!$A$53,$J74&lt;&gt;0),$J74,"")</f>
        <v/>
      </c>
      <c r="W74" s="47" t="str">
        <f>IF(ISNUMBER(V74),IF(COUNTIFS(W$1:W73,_xlfn.RANK.EQ(V74,V$2:V$111,0))&gt;0,_xlfn.MAXIFS(W$1:W73,V$1:V73,V74)+1,_xlfn.RANK.EQ(V74,V$2:V$111,0)),"")</f>
        <v/>
      </c>
      <c r="X74" s="1" t="str">
        <f>IF(ISNUMBER(V74)=TRUE,IF(_xlfn.RANK.EQ(V74,$V$2:$V$111)&lt;='Tournament Setup'!$B$53,_xlfn.RANK.EQ(V74,$V$2:$V$111),""),"")</f>
        <v/>
      </c>
      <c r="Y74" s="145" t="str">
        <f>IF(AND($G74='Tournament Setup'!$A$49,$J74&lt;&gt;0),$J74,"")</f>
        <v/>
      </c>
      <c r="Z74" s="47" t="str">
        <f>IF(ISNUMBER(Y74),IF(COUNTIFS(Z$1:Z73,_xlfn.RANK.EQ(Y74,Y$2:Y$111,0))&gt;0,_xlfn.MAXIFS(Z$1:Z73,Y$1:Y73,Y74)+1,_xlfn.RANK.EQ(Y74,Y$2:Y$111,0)),"")</f>
        <v/>
      </c>
      <c r="AA74" s="1" t="str">
        <f>IF(ISNUMBER(Y74)=TRUE,IF(_xlfn.RANK.EQ(Y74,$Y$2:$Y$111)&lt;='Tournament Setup'!$B$49,_xlfn.RANK.EQ(Y74,$Y$2:$Y$111),""),"")</f>
        <v/>
      </c>
      <c r="AB74" s="30" t="str">
        <f>IF(AND($F74='Tournament Setup'!$A$32,SUM($Q74,$S74,$U74)=0),$I74,"")</f>
        <v/>
      </c>
      <c r="AC74" s="47" t="str">
        <f>IF(ISNUMBER(AB74),IF(COUNTIFS(AC$1:AC73,_xlfn.RANK.EQ(AB74,AB$2:AB$111,0))&gt;0,_xlfn.MAXIFS(AC$1:AC73,AB$1:AB73,AB74)+1,_xlfn.RANK.EQ(AB74,AB$2:AB$111,0)),"")</f>
        <v/>
      </c>
      <c r="AD74" s="1" t="str">
        <f>IF(ISNUMBER(AB74)=TRUE,IF(_xlfn.RANK.EQ(AB74,$AB$2:$AB$111)&lt;='Tournament Setup'!$B$32,_xlfn.RANK.EQ(AB74,$AB$2:$AB$111),""),"")</f>
        <v/>
      </c>
      <c r="AE74" s="31" t="str">
        <f>IF(AND($F74='Tournament Setup'!$A$32,SUM($Q74,$S74)=0,$E74="M",$AD74&gt;'Tournament Setup'!$B$32),$I74,"")</f>
        <v/>
      </c>
      <c r="AF74" s="1" t="str">
        <f>IF(ISNUMBER(AE74)=TRUE,IF(_xlfn.RANK.EQ(AE74,$AE$2:$AE$111)&lt;='Tournament Setup'!$C$32,_xlfn.RANK.EQ(AE74,$AE$2:$AE$111),""),"")</f>
        <v/>
      </c>
      <c r="AG74" s="31" t="str">
        <f>IF(AND($F74='Tournament Setup'!$A$32,SUM($Q74,$U74)=0,$E74="F",$AD74&gt;'Tournament Setup'!$B$32),$I74,"")</f>
        <v/>
      </c>
      <c r="AH74" s="12" t="str">
        <f>IF(ISNUMBER(AG74)=TRUE,IF(_xlfn.RANK.EQ(AG74,$AG$2:$AG$111)&lt;='Tournament Setup'!$D$32,_xlfn.RANK.EQ(AG74,$AG$2:$AG$111),""),"")</f>
        <v/>
      </c>
      <c r="AI74" s="30" t="str">
        <f>IF(AND($G74='Tournament Setup'!$A$50,$J74&lt;&gt;0),$J74,"")</f>
        <v/>
      </c>
      <c r="AJ74" s="47" t="str">
        <f>IF(ISNUMBER(AI74),IF(COUNTIFS(AJ$1:AJ73,_xlfn.RANK.EQ(AI74,AI$2:AI$111,0))&gt;0,_xlfn.MAXIFS(AJ$1:AJ73,AI$1:AI73,AI74)+1,_xlfn.RANK.EQ(AI74,AI$2:AI$111,0)),"")</f>
        <v/>
      </c>
      <c r="AK74" s="1" t="str">
        <f>IF(ISNUMBER(AI74)=TRUE,IF(_xlfn.RANK.EQ(AI74,$AI$2:$AI$111)&lt;='Tournament Setup'!$B$49,_xlfn.RANK.EQ(AI74,$AI$2:$AI$111),""),"")</f>
        <v/>
      </c>
      <c r="AL74" s="30" t="str">
        <f>IF(AND($F74='Tournament Setup'!$A$33,SUM($Q74,$S74,$U74)=0),$I74,"")</f>
        <v/>
      </c>
      <c r="AM74" s="47" t="str">
        <f>IF(ISNUMBER(AL74),IF(COUNTIFS(AM$1:AM73,_xlfn.RANK.EQ(AL74,AL$2:AL$111,0))&gt;0,_xlfn.MAXIFS(AM$1:AM73,AL$1:AL73,AL74)+1,_xlfn.RANK.EQ(AL74,AL$2:AL$111,0)),"")</f>
        <v/>
      </c>
      <c r="AN74" s="1" t="str">
        <f>IF(ISNUMBER(AL74)=TRUE,IF(_xlfn.RANK.EQ(AL74,$AL$2:$AL$111)&lt;='Tournament Setup'!$B$33,_xlfn.RANK.EQ(AL74,$AL$2:$AL$111),""),"")</f>
        <v/>
      </c>
      <c r="AO74" s="31" t="str">
        <f>IF(AND($F74='Tournament Setup'!$A$33,SUM($Q74,$S74)=0,$E74="M",$AN74&gt;'Tournament Setup'!$B$33),$I74,"")</f>
        <v/>
      </c>
      <c r="AP74" s="1" t="str">
        <f>IF(ISNUMBER(AO74)=TRUE,IF(_xlfn.RANK.EQ(AO74,$AO$2:$AO$111)&lt;='Tournament Setup'!$C$33,_xlfn.RANK.EQ(AO74,$AO$2:$AO$111),""),"")</f>
        <v/>
      </c>
      <c r="AQ74" s="31" t="str">
        <f>IF(AND($F74='Tournament Setup'!$A$33,SUM($Q74,$U74)=0,$E74="F",$AN74&gt;'Tournament Setup'!$B$33),$I74,"")</f>
        <v/>
      </c>
      <c r="AR74" s="12" t="str">
        <f>IF(ISNUMBER(AQ74)=TRUE,IF(_xlfn.RANK.EQ(AQ74,$AQ$2:$AQ$111)&lt;='Tournament Setup'!$D$33,_xlfn.RANK.EQ(AQ74,$AQ$2:$AQ$111),""),"")</f>
        <v/>
      </c>
      <c r="AS74" s="30" t="str">
        <f>IF(AND($G74='Tournament Setup'!$A$51,$J74&lt;&gt;0),$J74,"")</f>
        <v/>
      </c>
      <c r="AT74" s="47" t="str">
        <f>IF(ISNUMBER(AS74),IF(COUNTIFS(AT$1:AT73,_xlfn.RANK.EQ(AS74,AS$2:AS$111,0))&gt;0,_xlfn.MAXIFS(AT$1:AT73,AS$1:AS73,AS74)+1,_xlfn.RANK.EQ(AS74,AS$2:AS$111,0)),"")</f>
        <v/>
      </c>
      <c r="AU74" s="1" t="str">
        <f>IF(ISNUMBER(AS74)=TRUE,IF(_xlfn.RANK.EQ(AS74,$AS$2:$AS$111)&lt;='Tournament Setup'!$B$49,_xlfn.RANK.EQ(AS74,$AS$2:$AS$111),""),"")</f>
        <v/>
      </c>
      <c r="AV74" s="30" t="str">
        <f>IF(AND($F74='Tournament Setup'!$A$34,SUM($Q74,$S74,$U74)=0),$I74,"")</f>
        <v/>
      </c>
      <c r="AW74" s="47" t="str">
        <f>IF(ISNUMBER(AV74),IF(COUNTIFS(AW$1:AW73,_xlfn.RANK.EQ(AV74,AV$2:AV$111,0))&gt;0,_xlfn.MAXIFS(AW$1:AW73,AV$1:AV73,AV74)+1,_xlfn.RANK.EQ(AV74,AV$2:AV$111,0)),"")</f>
        <v/>
      </c>
      <c r="AX74" s="1" t="str">
        <f>IF(ISNUMBER(AV74)=TRUE,IF(_xlfn.RANK.EQ(AV74,$AV$2:$AV$111)&lt;='Tournament Setup'!$B$34,_xlfn.RANK.EQ(AV74,$AV$2:$AV$111),""),"")</f>
        <v/>
      </c>
      <c r="AY74" s="31" t="str">
        <f>IF(AND($F74='Tournament Setup'!$A$34,SUM($Q74,$S74)=0,$E74="M",$AX74&gt;'Tournament Setup'!$B$34),$I74,"")</f>
        <v/>
      </c>
      <c r="AZ74" s="1" t="str">
        <f>IF(ISNUMBER(AY74)=TRUE,IF(_xlfn.RANK.EQ(AY74,$AY$2:$AY$111)&lt;='Tournament Setup'!$C$34,_xlfn.RANK.EQ(AY74,$AY$2:$AY$111),""),"")</f>
        <v/>
      </c>
      <c r="BA74" s="31" t="str">
        <f>IF(AND($F74='Tournament Setup'!$A$34,SUM($Q74,$U74)=0,$E74="F",$AX74&gt;'Tournament Setup'!$B$34),$I74,"")</f>
        <v/>
      </c>
      <c r="BB74" s="12" t="str">
        <f>IF(ISNUMBER(BA74)=TRUE,IF(_xlfn.RANK.EQ(BA74,$BA$2:$BA$111)&lt;='Tournament Setup'!$D$34,_xlfn.RANK.EQ(BA74,$BA$2:$BA$111),""),"")</f>
        <v/>
      </c>
      <c r="BC74" s="30" t="str">
        <f>IF(AND($G74='Tournament Setup'!$A$52,$J74&lt;&gt;0),$J74,"")</f>
        <v/>
      </c>
      <c r="BD74" s="47" t="str">
        <f>IF(ISNUMBER(BC74),IF(COUNTIFS(BD$1:BD73,_xlfn.RANK.EQ(BC74,BC$2:BC$111,0))&gt;0,_xlfn.MAXIFS(BD$1:BD73,BC$1:BC73,BC74)+1,_xlfn.RANK.EQ(BC74,BC$2:BC$111,0)),"")</f>
        <v/>
      </c>
      <c r="BE74" s="1" t="str">
        <f>IF(ISNUMBER(BC74)=TRUE,IF(_xlfn.RANK.EQ(BC74,$BC$2:$BC$111)&lt;='Tournament Setup'!$B$49,_xlfn.RANK.EQ(BC74,$BC$2:$BC$111),""),"")</f>
        <v/>
      </c>
      <c r="BF74" s="30" t="str">
        <f>IF(AND($F74='Tournament Setup'!$A$35,SUM($Q74,$S74,$U74)=0),$I74,"")</f>
        <v/>
      </c>
      <c r="BG74" s="47" t="str">
        <f>IF(ISNUMBER(BF74),IF(COUNTIFS(BG$1:BG73,_xlfn.RANK.EQ(BF74,BF$2:BF$111,0))&gt;0,_xlfn.MAXIFS(BG$1:BG73,BF$1:BF73,BF74)+1,_xlfn.RANK.EQ(BF74,BF$2:BF$111,0)),"")</f>
        <v/>
      </c>
      <c r="BH74" s="1" t="str">
        <f>IF(ISNUMBER(BF74)=TRUE,IF(_xlfn.RANK.EQ(BF74,$BF$2:$BF$111)&lt;='Tournament Setup'!$B$35,_xlfn.RANK.EQ(BF74,$BF$2:$BF$111),""),"")</f>
        <v/>
      </c>
      <c r="BI74" s="31" t="str">
        <f>IF(AND($F74='Tournament Setup'!$A$35,SUM($Q74,$S74)=0,$E74="M",$BH74&gt;'Tournament Setup'!$B$35),$I74,"")</f>
        <v/>
      </c>
      <c r="BJ74" s="1" t="str">
        <f>IF(ISNUMBER(BI74)=TRUE,IF(_xlfn.RANK.EQ(BI74,$BI$2:$BI$111)&lt;='Tournament Setup'!$C$35,_xlfn.RANK.EQ(BI74,$BI$2:$BI$111),""),"")</f>
        <v/>
      </c>
      <c r="BK74" s="31" t="str">
        <f>IF(AND($F74='Tournament Setup'!$A$35,SUM($Q74,$U74)=0,$E74="F",$BH74&gt;'Tournament Setup'!$B$35),$I74,"")</f>
        <v/>
      </c>
      <c r="BL74" s="12" t="str">
        <f>IF(ISNUMBER(BK74)=TRUE,IF(_xlfn.RANK.EQ(BK74,$BK$2:$BK$111)&lt;='Tournament Setup'!$D$35,_xlfn.RANK.EQ(BK74,$BK$2:$BK$111),""),"")</f>
        <v/>
      </c>
      <c r="BM74" s="30" t="str">
        <f>IF(AND($G74='Tournament Setup'!$A$54,$J74&lt;&gt;0),$J74,"")</f>
        <v/>
      </c>
      <c r="BN74" s="47" t="str">
        <f>IF(ISNUMBER(BM74),IF(COUNTIFS(BN$1:BN73,_xlfn.RANK.EQ(BM74,BM$2:BM$111,0))&gt;0,_xlfn.MAXIFS(BN$1:BN73,BM$1:BM73,BM74)+1,_xlfn.RANK.EQ(BM74,BM$2:BM$111,0)),"")</f>
        <v/>
      </c>
      <c r="BO74" s="1" t="str">
        <f>IF(ISNUMBER(BM74)=TRUE,IF(_xlfn.RANK.EQ(BM74,$BM$2:$BM$111)&lt;='Tournament Setup'!$B$49,_xlfn.RANK.EQ(BM74,$BM$2:$BM$111),""),"")</f>
        <v/>
      </c>
      <c r="BP74" s="30" t="str">
        <f>IF(AND($F74='Tournament Setup'!$A$36,SUM($Q74,$S74,$U74)=0),$I74,"")</f>
        <v/>
      </c>
      <c r="BQ74" s="47" t="str">
        <f>IF(ISNUMBER(BP74),IF(COUNTIFS(BQ$1:BQ73,_xlfn.RANK.EQ(BP74,BP$2:BP$111,0))&gt;0,_xlfn.MAXIFS(BQ$1:BQ73,BP$1:BP73,BP74)+1,_xlfn.RANK.EQ(BP74,BP$2:BP$111,0)),"")</f>
        <v/>
      </c>
      <c r="BR74" s="1" t="str">
        <f>IF(ISNUMBER(BP74)=TRUE,IF(_xlfn.RANK.EQ(BP74,$BP$2:$BP$111)&lt;='Tournament Setup'!$B$36,_xlfn.RANK.EQ(BP74,$BP$2:$BP$111),""),"")</f>
        <v/>
      </c>
      <c r="BS74" s="31" t="str">
        <f>IF(AND($F74='Tournament Setup'!$A$36,SUM($Q74,$S74)=0,$E74="M",$BR74&gt;'Tournament Setup'!$B$36),$I74,"")</f>
        <v/>
      </c>
      <c r="BT74" s="1" t="str">
        <f>IF(ISNUMBER(BS74)=TRUE,IF(_xlfn.RANK.EQ(BS74,$BS$2:$BS$111)&lt;='Tournament Setup'!$C$36,_xlfn.RANK.EQ(BS74,$BS$2:$BS$111),""),"")</f>
        <v/>
      </c>
      <c r="BU74" s="31" t="str">
        <f>IF(AND($F74='Tournament Setup'!$A$36,SUM($Q74,$U74)=0,$E74="F",$BR74&gt;'Tournament Setup'!$B$36),$I74,"")</f>
        <v/>
      </c>
      <c r="BV74" s="12" t="str">
        <f>IF(ISNUMBER(BU74)=TRUE,IF(_xlfn.RANK.EQ(BU74,$BU$2:$BU$111)&lt;='Tournament Setup'!$D$36,_xlfn.RANK.EQ(BU74,$BU$2:$BU$111),""),"")</f>
        <v/>
      </c>
      <c r="BW74" s="30" t="str">
        <f>IF($H74='Tournament Setup'!$A$41,$I74,"")</f>
        <v/>
      </c>
      <c r="BX74" s="47" t="str">
        <f>IF(ISNUMBER(BW74),IF(COUNTIFS(BX$1:BX73,_xlfn.RANK.EQ(BW74,BW$2:BW$111,0))&gt;0,_xlfn.MAXIFS(BX$1:BX73,BW$1:BW73,BW74)+1,_xlfn.RANK.EQ(BW74,BW$2:BW$111,0)),"")</f>
        <v/>
      </c>
      <c r="BY74" s="1" t="str">
        <f>IF(ISNUMBER(BW74)=TRUE,IF(_xlfn.RANK.EQ(BW74,$BW$2:$BW$111)&lt;='Tournament Setup'!$B$41,_xlfn.RANK.EQ(BW74,$BW$2:$BW$111),""),"")</f>
        <v/>
      </c>
      <c r="BZ74" s="31" t="str">
        <f>IF(AND($H74='Tournament Setup'!$A$41,$E74="M",$BY74&gt;'Tournament Setup'!$B$41),$I74,"")</f>
        <v/>
      </c>
      <c r="CA74" s="1" t="str">
        <f>IF(ISNUMBER(BZ74)=TRUE,IF(_xlfn.RANK.EQ(BZ74,$BZ$2:$BZ$111)&lt;='Tournament Setup'!$C$41,_xlfn.RANK.EQ(BZ74,$BZ$2:$BZ$111),""),"")</f>
        <v/>
      </c>
      <c r="CB74" s="31" t="str">
        <f>IF(AND($H74='Tournament Setup'!$A$41,$E74="F",$BY74&gt;'Tournament Setup'!$B$41),$I74,"")</f>
        <v/>
      </c>
      <c r="CC74" s="12" t="str">
        <f>IF(ISNUMBER(CB74)=TRUE,IF(_xlfn.RANK.EQ(CB74,$CB$2:$CB$111)&lt;='Tournament Setup'!$D$41,_xlfn.RANK.EQ(CB74,$CB$2:$CB$111),""),"")</f>
        <v/>
      </c>
      <c r="CD74" s="30" t="str">
        <f>IF($H74='Tournament Setup'!$A$42,$I74,"")</f>
        <v/>
      </c>
      <c r="CE74" s="47" t="str">
        <f>IF(ISNUMBER(CD74),IF(COUNTIFS(CE$1:CE73,_xlfn.RANK.EQ(CD74,CD$2:CD$111,0))&gt;0,_xlfn.MAXIFS(CE$1:CE73,CD$1:CD73,CD74)+1,_xlfn.RANK.EQ(CD74,CD$2:CD$111,0)),"")</f>
        <v/>
      </c>
      <c r="CF74" s="1" t="str">
        <f>IF(ISNUMBER(CD74)=TRUE,IF(_xlfn.RANK.EQ(CD74,$CD$2:$CD$111)&lt;='Tournament Setup'!$B$42,_xlfn.RANK.EQ(CD74,$CD$2:$CD$111),""),"")</f>
        <v/>
      </c>
      <c r="CG74" s="31" t="str">
        <f>IF(AND($H74='Tournament Setup'!$A$42,$E74="M",$CF74&gt;'Tournament Setup'!$B$42),$I74,"")</f>
        <v/>
      </c>
      <c r="CH74" s="1" t="str">
        <f>IF(ISNUMBER(CG74)=TRUE,IF(_xlfn.RANK.EQ(CG74,$CG$2:$CG$111)&lt;='Tournament Setup'!$C$42,_xlfn.RANK.EQ(CG74,$CG$2:$CG$111),""),"")</f>
        <v/>
      </c>
      <c r="CI74" s="31" t="str">
        <f>IF(AND($H74='Tournament Setup'!$A$42,$E74="F",$CF74&gt;'Tournament Setup'!$B$42),$I74,"")</f>
        <v/>
      </c>
      <c r="CJ74" s="12" t="str">
        <f>IF(ISNUMBER(CI74)=TRUE,IF(_xlfn.RANK.EQ(CI74,$CI$2:$CI$111)&lt;='Tournament Setup'!$D$42,_xlfn.RANK.EQ(CI74,$CI$2:$CI$111),""),"")</f>
        <v/>
      </c>
      <c r="CK74" s="30" t="str">
        <f>IF($H74='Tournament Setup'!$A$43,$I74,"")</f>
        <v/>
      </c>
      <c r="CL74" s="47" t="str">
        <f>IF(ISNUMBER(CK74),IF(COUNTIFS(CL$1:CL73,_xlfn.RANK.EQ(CK74,CK$2:CK$111,0))&gt;0,_xlfn.MAXIFS(CL$1:CL73,CK$1:CK73,CK74)+1,_xlfn.RANK.EQ(CK74,CK$2:CK$111,0)),"")</f>
        <v/>
      </c>
      <c r="CM74" s="1" t="str">
        <f>IF(ISNUMBER(CK74)=TRUE,IF(_xlfn.RANK.EQ(CK74,$CK$2:$CK$111)&lt;='Tournament Setup'!$B$43,_xlfn.RANK.EQ(CK74,$CK$2:$CK$111),""),"")</f>
        <v/>
      </c>
      <c r="CN74" s="31" t="str">
        <f>IF(AND($H74='Tournament Setup'!$A$43,$E74="M",$CM74&gt;'Tournament Setup'!$B$43),$I74,"")</f>
        <v/>
      </c>
      <c r="CO74" s="1" t="str">
        <f>IF(ISNUMBER(CN74)=TRUE,IF(_xlfn.RANK.EQ(CN74,$CN$2:$CN$111)&lt;='Tournament Setup'!$C$43,_xlfn.RANK.EQ(CN74,$CN$2:$CN$111),""),"")</f>
        <v/>
      </c>
      <c r="CP74" s="31" t="str">
        <f>IF(AND($H74='Tournament Setup'!$A$43,$E74="F",$CM74&gt;'Tournament Setup'!$B$43),$I74,"")</f>
        <v/>
      </c>
      <c r="CQ74" s="12" t="str">
        <f>IF(ISNUMBER(CP74)=TRUE,IF(_xlfn.RANK.EQ(CP74,$CP$2:$CP$111)&lt;='Tournament Setup'!$D$43,_xlfn.RANK.EQ(CP74,$CP$2:$CP$111),""),"")</f>
        <v/>
      </c>
      <c r="CR74" s="30" t="str">
        <f>IF($H74='Tournament Setup'!$A$44,$I74,"")</f>
        <v/>
      </c>
      <c r="CS74" s="47" t="str">
        <f>IF(ISNUMBER(CR74),IF(COUNTIFS(CS$1:CS73,_xlfn.RANK.EQ(CR74,CR$2:CR$111,0))&gt;0,_xlfn.MAXIFS(CS$1:CS73,CR$1:CR73,CR74)+1,_xlfn.RANK.EQ(CR74,CR$2:CR$111,0)),"")</f>
        <v/>
      </c>
      <c r="CT74" s="1" t="str">
        <f>IF(ISNUMBER(CR74)=TRUE,IF(_xlfn.RANK.EQ(CR74,$CR$2:$CR$111)&lt;='Tournament Setup'!$B$44,_xlfn.RANK.EQ(CR74,$CR$2:$CR$111),""),"")</f>
        <v/>
      </c>
      <c r="CU74" s="31" t="str">
        <f>IF(AND($H74='Tournament Setup'!$A$44,$E74="M",$CT74&gt;'Tournament Setup'!$B$44),$I74,"")</f>
        <v/>
      </c>
      <c r="CV74" s="1" t="str">
        <f>IF(ISNUMBER(CU74)=TRUE,IF(_xlfn.RANK.EQ(CU74,$CU$2:$CU$111)&lt;='Tournament Setup'!$C$44,_xlfn.RANK.EQ(CU74,$CU$2:$CU$111),""),"")</f>
        <v/>
      </c>
      <c r="CW74" s="31" t="str">
        <f>IF(AND($H74='Tournament Setup'!$A$44,$E74="F",$CT74&gt;'Tournament Setup'!$B$44),$I74,"")</f>
        <v/>
      </c>
      <c r="CX74" s="12" t="str">
        <f>IF(ISNUMBER(CW74)=TRUE,IF(_xlfn.RANK.EQ(CW74,$CW$2:$CW$111)&lt;='Tournament Setup'!$D$44,_xlfn.RANK.EQ(CW74,$CW$2:$CW$111),""),"")</f>
        <v/>
      </c>
    </row>
    <row r="75" spans="2:102" x14ac:dyDescent="0.3">
      <c r="B75" t="str">
        <f>IFERROR(INDEX('Tournament List'!$B:$B,MATCH($A75,'Tournament List'!$A:$A,0)),"")</f>
        <v/>
      </c>
      <c r="C75" t="str">
        <f>IFERROR(INDEX('Tournament List'!$C:$C,MATCH($A75,'Tournament List'!$A:$A,0)),"")</f>
        <v/>
      </c>
      <c r="D75" t="str">
        <f t="shared" si="1"/>
        <v xml:space="preserve"> </v>
      </c>
      <c r="E75" s="1" t="str">
        <f>IFERROR(INDEX('Tournament List'!F:F,MATCH($A75,'Tournament List'!$A:$A,0)),"")</f>
        <v/>
      </c>
      <c r="F75" t="str">
        <f>IFERROR(INDEX('Tournament List'!M:M,MATCH($A75,'Tournament List'!$A:$A,0)),"")</f>
        <v/>
      </c>
      <c r="G75" t="str">
        <f>IFERROR(INDEX('Shooter-Squad Assignment'!L:L,MATCH(A75,'Shooter-Squad Assignment'!A:A,0)),"")</f>
        <v/>
      </c>
      <c r="H75" s="1" t="str">
        <f>IFERROR(INDEX('Tournament List'!AD:AD,MATCH($A75,'Tournament List'!$A:$A,0)),"")</f>
        <v/>
      </c>
      <c r="I75" s="123" t="str">
        <f>IFERROR(INDEX('Tournament List'!AG:AG,MATCH($A75,'Tournament List'!$A:$A,0)),"")</f>
        <v/>
      </c>
      <c r="J75" s="145" t="str">
        <f>IFERROR(INDEX('Tournament List'!Y:Y,MATCH($A75,'Tournament List'!$A:$A,0)),"")</f>
        <v/>
      </c>
      <c r="K75" s="47" t="str">
        <f>IFERROR(INDEX('Tournament List'!S:S,MATCH(A75,'Tournament List'!A:A,0)),"")</f>
        <v/>
      </c>
      <c r="L75" s="47" t="str">
        <f>IF(ISNUMBER(J75),IF(COUNTIFS(L$1:L74,_xlfn.RANK.EQ(J75,J$2:J$111,0))&gt;0,_xlfn.MAXIFS(L$1:L74,J$1:J74,J75)+1,_xlfn.RANK.EQ(J75,J$2:J$111,0)),"")</f>
        <v/>
      </c>
      <c r="M75" s="11" t="str">
        <f>IF(ISNUMBER(I75)=TRUE,IF(I75&gt;0,_xlfn.RANK.EQ(I75,$I$2:$I$111,0),""),"")</f>
        <v/>
      </c>
      <c r="N75" s="56" t="str">
        <f>IF(ISNUMBER(I75),IF(COUNTIFS(N$1:N74,_xlfn.RANK.EQ(I75,I$2:I$111,0))&gt;0,_xlfn.MAXIFS(N$1:N74,I$1:I74,I75)+1,_xlfn.RANK.EQ(I75,I$2:I$111,0)),"")</f>
        <v/>
      </c>
      <c r="O75" s="144" t="str">
        <f>IF(F75&lt;&gt;"Collegiate"=TRUE,$I75,"")</f>
        <v/>
      </c>
      <c r="P75" s="47" t="str">
        <f>IF(ISNUMBER(O75),IF(COUNTIFS(P$1:P74,_xlfn.RANK.EQ(O75,O$2:O$111,0))&gt;0,_xlfn.MAXIFS(P$1:P74,O$1:O74,O75)+1,_xlfn.RANK.EQ(O75,O$2:O$111,0)),"")</f>
        <v/>
      </c>
      <c r="Q75" s="1" t="str">
        <f>IF(ISNUMBER(O75)=TRUE,IF(_xlfn.RANK.EQ(O75,$O$2:$O$111)&lt;='Tournament Setup'!$B$26,_xlfn.RANK.EQ(O75,$O$2:$O$111),""),"")</f>
        <v/>
      </c>
      <c r="R75" s="143" t="str">
        <f>IF(AND($E75="M",SUM($Q75)=0,F75&lt;&gt;"Collegiate")=TRUE,$I75,"")</f>
        <v/>
      </c>
      <c r="S75" s="1" t="str">
        <f>IF(ISNUMBER(R75)=TRUE,IF(_xlfn.RANK.EQ(R75,$R$2:$R$111)&lt;='Tournament Setup'!$B$27,_xlfn.RANK.EQ(R75,$R$2:$R$111),""),"")</f>
        <v/>
      </c>
      <c r="T75" s="143" t="str">
        <f>IF(AND($E75="F",SUM($Q75)=0,F75&lt;&gt;"Collegiate")=TRUE,$I75,"")</f>
        <v/>
      </c>
      <c r="U75" s="12" t="str">
        <f>IF(ISNUMBER(T75)=TRUE,IF(_xlfn.RANK.EQ(T75,$T$2:$T$111)&lt;='Tournament Setup'!$B$28,_xlfn.RANK.EQ(T75,$T$2:$T$111),""),"")</f>
        <v/>
      </c>
      <c r="V75" s="145" t="str">
        <f>IF(AND($G75='Tournament Setup'!$A$53,$J75&lt;&gt;0),$J75,"")</f>
        <v/>
      </c>
      <c r="W75" s="47" t="str">
        <f>IF(ISNUMBER(V75),IF(COUNTIFS(W$1:W74,_xlfn.RANK.EQ(V75,V$2:V$111,0))&gt;0,_xlfn.MAXIFS(W$1:W74,V$1:V74,V75)+1,_xlfn.RANK.EQ(V75,V$2:V$111,0)),"")</f>
        <v/>
      </c>
      <c r="X75" s="1" t="str">
        <f>IF(ISNUMBER(V75)=TRUE,IF(_xlfn.RANK.EQ(V75,$V$2:$V$111)&lt;='Tournament Setup'!$B$53,_xlfn.RANK.EQ(V75,$V$2:$V$111),""),"")</f>
        <v/>
      </c>
      <c r="Y75" s="145" t="str">
        <f>IF(AND($G75='Tournament Setup'!$A$49,$J75&lt;&gt;0),$J75,"")</f>
        <v/>
      </c>
      <c r="Z75" s="47" t="str">
        <f>IF(ISNUMBER(Y75),IF(COUNTIFS(Z$1:Z74,_xlfn.RANK.EQ(Y75,Y$2:Y$111,0))&gt;0,_xlfn.MAXIFS(Z$1:Z74,Y$1:Y74,Y75)+1,_xlfn.RANK.EQ(Y75,Y$2:Y$111,0)),"")</f>
        <v/>
      </c>
      <c r="AA75" s="1" t="str">
        <f>IF(ISNUMBER(Y75)=TRUE,IF(_xlfn.RANK.EQ(Y75,$Y$2:$Y$111)&lt;='Tournament Setup'!$B$49,_xlfn.RANK.EQ(Y75,$Y$2:$Y$111),""),"")</f>
        <v/>
      </c>
      <c r="AB75" s="30" t="str">
        <f>IF(AND($F75='Tournament Setup'!$A$32,SUM($Q75,$S75,$U75)=0),$I75,"")</f>
        <v/>
      </c>
      <c r="AC75" s="47" t="str">
        <f>IF(ISNUMBER(AB75),IF(COUNTIFS(AC$1:AC74,_xlfn.RANK.EQ(AB75,AB$2:AB$111,0))&gt;0,_xlfn.MAXIFS(AC$1:AC74,AB$1:AB74,AB75)+1,_xlfn.RANK.EQ(AB75,AB$2:AB$111,0)),"")</f>
        <v/>
      </c>
      <c r="AD75" s="1" t="str">
        <f>IF(ISNUMBER(AB75)=TRUE,IF(_xlfn.RANK.EQ(AB75,$AB$2:$AB$111)&lt;='Tournament Setup'!$B$32,_xlfn.RANK.EQ(AB75,$AB$2:$AB$111),""),"")</f>
        <v/>
      </c>
      <c r="AE75" s="31" t="str">
        <f>IF(AND($F75='Tournament Setup'!$A$32,SUM($Q75,$S75)=0,$E75="M",$AD75&gt;'Tournament Setup'!$B$32),$I75,"")</f>
        <v/>
      </c>
      <c r="AF75" s="1" t="str">
        <f>IF(ISNUMBER(AE75)=TRUE,IF(_xlfn.RANK.EQ(AE75,$AE$2:$AE$111)&lt;='Tournament Setup'!$C$32,_xlfn.RANK.EQ(AE75,$AE$2:$AE$111),""),"")</f>
        <v/>
      </c>
      <c r="AG75" s="31" t="str">
        <f>IF(AND($F75='Tournament Setup'!$A$32,SUM($Q75,$U75)=0,$E75="F",$AD75&gt;'Tournament Setup'!$B$32),$I75,"")</f>
        <v/>
      </c>
      <c r="AH75" s="12" t="str">
        <f>IF(ISNUMBER(AG75)=TRUE,IF(_xlfn.RANK.EQ(AG75,$AG$2:$AG$111)&lt;='Tournament Setup'!$D$32,_xlfn.RANK.EQ(AG75,$AG$2:$AG$111),""),"")</f>
        <v/>
      </c>
      <c r="AI75" s="30" t="str">
        <f>IF(AND($G75='Tournament Setup'!$A$50,$J75&lt;&gt;0),$J75,"")</f>
        <v/>
      </c>
      <c r="AJ75" s="47" t="str">
        <f>IF(ISNUMBER(AI75),IF(COUNTIFS(AJ$1:AJ74,_xlfn.RANK.EQ(AI75,AI$2:AI$111,0))&gt;0,_xlfn.MAXIFS(AJ$1:AJ74,AI$1:AI74,AI75)+1,_xlfn.RANK.EQ(AI75,AI$2:AI$111,0)),"")</f>
        <v/>
      </c>
      <c r="AK75" s="1" t="str">
        <f>IF(ISNUMBER(AI75)=TRUE,IF(_xlfn.RANK.EQ(AI75,$AI$2:$AI$111)&lt;='Tournament Setup'!$B$49,_xlfn.RANK.EQ(AI75,$AI$2:$AI$111),""),"")</f>
        <v/>
      </c>
      <c r="AL75" s="30" t="str">
        <f>IF(AND($F75='Tournament Setup'!$A$33,SUM($Q75,$S75,$U75)=0),$I75,"")</f>
        <v/>
      </c>
      <c r="AM75" s="47" t="str">
        <f>IF(ISNUMBER(AL75),IF(COUNTIFS(AM$1:AM74,_xlfn.RANK.EQ(AL75,AL$2:AL$111,0))&gt;0,_xlfn.MAXIFS(AM$1:AM74,AL$1:AL74,AL75)+1,_xlfn.RANK.EQ(AL75,AL$2:AL$111,0)),"")</f>
        <v/>
      </c>
      <c r="AN75" s="1" t="str">
        <f>IF(ISNUMBER(AL75)=TRUE,IF(_xlfn.RANK.EQ(AL75,$AL$2:$AL$111)&lt;='Tournament Setup'!$B$33,_xlfn.RANK.EQ(AL75,$AL$2:$AL$111),""),"")</f>
        <v/>
      </c>
      <c r="AO75" s="31" t="str">
        <f>IF(AND($F75='Tournament Setup'!$A$33,SUM($Q75,$S75)=0,$E75="M",$AN75&gt;'Tournament Setup'!$B$33),$I75,"")</f>
        <v/>
      </c>
      <c r="AP75" s="1" t="str">
        <f>IF(ISNUMBER(AO75)=TRUE,IF(_xlfn.RANK.EQ(AO75,$AO$2:$AO$111)&lt;='Tournament Setup'!$C$33,_xlfn.RANK.EQ(AO75,$AO$2:$AO$111),""),"")</f>
        <v/>
      </c>
      <c r="AQ75" s="31" t="str">
        <f>IF(AND($F75='Tournament Setup'!$A$33,SUM($Q75,$U75)=0,$E75="F",$AN75&gt;'Tournament Setup'!$B$33),$I75,"")</f>
        <v/>
      </c>
      <c r="AR75" s="12" t="str">
        <f>IF(ISNUMBER(AQ75)=TRUE,IF(_xlfn.RANK.EQ(AQ75,$AQ$2:$AQ$111)&lt;='Tournament Setup'!$D$33,_xlfn.RANK.EQ(AQ75,$AQ$2:$AQ$111),""),"")</f>
        <v/>
      </c>
      <c r="AS75" s="30" t="str">
        <f>IF(AND($G75='Tournament Setup'!$A$51,$J75&lt;&gt;0),$J75,"")</f>
        <v/>
      </c>
      <c r="AT75" s="47" t="str">
        <f>IF(ISNUMBER(AS75),IF(COUNTIFS(AT$1:AT74,_xlfn.RANK.EQ(AS75,AS$2:AS$111,0))&gt;0,_xlfn.MAXIFS(AT$1:AT74,AS$1:AS74,AS75)+1,_xlfn.RANK.EQ(AS75,AS$2:AS$111,0)),"")</f>
        <v/>
      </c>
      <c r="AU75" s="1" t="str">
        <f>IF(ISNUMBER(AS75)=TRUE,IF(_xlfn.RANK.EQ(AS75,$AS$2:$AS$111)&lt;='Tournament Setup'!$B$49,_xlfn.RANK.EQ(AS75,$AS$2:$AS$111),""),"")</f>
        <v/>
      </c>
      <c r="AV75" s="30" t="str">
        <f>IF(AND($F75='Tournament Setup'!$A$34,SUM($Q75,$S75,$U75)=0),$I75,"")</f>
        <v/>
      </c>
      <c r="AW75" s="47" t="str">
        <f>IF(ISNUMBER(AV75),IF(COUNTIFS(AW$1:AW74,_xlfn.RANK.EQ(AV75,AV$2:AV$111,0))&gt;0,_xlfn.MAXIFS(AW$1:AW74,AV$1:AV74,AV75)+1,_xlfn.RANK.EQ(AV75,AV$2:AV$111,0)),"")</f>
        <v/>
      </c>
      <c r="AX75" s="1" t="str">
        <f>IF(ISNUMBER(AV75)=TRUE,IF(_xlfn.RANK.EQ(AV75,$AV$2:$AV$111)&lt;='Tournament Setup'!$B$34,_xlfn.RANK.EQ(AV75,$AV$2:$AV$111),""),"")</f>
        <v/>
      </c>
      <c r="AY75" s="31" t="str">
        <f>IF(AND($F75='Tournament Setup'!$A$34,SUM($Q75,$S75)=0,$E75="M",$AX75&gt;'Tournament Setup'!$B$34),$I75,"")</f>
        <v/>
      </c>
      <c r="AZ75" s="1" t="str">
        <f>IF(ISNUMBER(AY75)=TRUE,IF(_xlfn.RANK.EQ(AY75,$AY$2:$AY$111)&lt;='Tournament Setup'!$C$34,_xlfn.RANK.EQ(AY75,$AY$2:$AY$111),""),"")</f>
        <v/>
      </c>
      <c r="BA75" s="31" t="str">
        <f>IF(AND($F75='Tournament Setup'!$A$34,SUM($Q75,$U75)=0,$E75="F",$AX75&gt;'Tournament Setup'!$B$34),$I75,"")</f>
        <v/>
      </c>
      <c r="BB75" s="12" t="str">
        <f>IF(ISNUMBER(BA75)=TRUE,IF(_xlfn.RANK.EQ(BA75,$BA$2:$BA$111)&lt;='Tournament Setup'!$D$34,_xlfn.RANK.EQ(BA75,$BA$2:$BA$111),""),"")</f>
        <v/>
      </c>
      <c r="BC75" s="30" t="str">
        <f>IF(AND($G75='Tournament Setup'!$A$52,$J75&lt;&gt;0),$J75,"")</f>
        <v/>
      </c>
      <c r="BD75" s="47" t="str">
        <f>IF(ISNUMBER(BC75),IF(COUNTIFS(BD$1:BD74,_xlfn.RANK.EQ(BC75,BC$2:BC$111,0))&gt;0,_xlfn.MAXIFS(BD$1:BD74,BC$1:BC74,BC75)+1,_xlfn.RANK.EQ(BC75,BC$2:BC$111,0)),"")</f>
        <v/>
      </c>
      <c r="BE75" s="1" t="str">
        <f>IF(ISNUMBER(BC75)=TRUE,IF(_xlfn.RANK.EQ(BC75,$BC$2:$BC$111)&lt;='Tournament Setup'!$B$49,_xlfn.RANK.EQ(BC75,$BC$2:$BC$111),""),"")</f>
        <v/>
      </c>
      <c r="BF75" s="30" t="str">
        <f>IF(AND($F75='Tournament Setup'!$A$35,SUM($Q75,$S75,$U75)=0),$I75,"")</f>
        <v/>
      </c>
      <c r="BG75" s="47" t="str">
        <f>IF(ISNUMBER(BF75),IF(COUNTIFS(BG$1:BG74,_xlfn.RANK.EQ(BF75,BF$2:BF$111,0))&gt;0,_xlfn.MAXIFS(BG$1:BG74,BF$1:BF74,BF75)+1,_xlfn.RANK.EQ(BF75,BF$2:BF$111,0)),"")</f>
        <v/>
      </c>
      <c r="BH75" s="1" t="str">
        <f>IF(ISNUMBER(BF75)=TRUE,IF(_xlfn.RANK.EQ(BF75,$BF$2:$BF$111)&lt;='Tournament Setup'!$B$35,_xlfn.RANK.EQ(BF75,$BF$2:$BF$111),""),"")</f>
        <v/>
      </c>
      <c r="BI75" s="31" t="str">
        <f>IF(AND($F75='Tournament Setup'!$A$35,SUM($Q75,$S75)=0,$E75="M",$BH75&gt;'Tournament Setup'!$B$35),$I75,"")</f>
        <v/>
      </c>
      <c r="BJ75" s="1" t="str">
        <f>IF(ISNUMBER(BI75)=TRUE,IF(_xlfn.RANK.EQ(BI75,$BI$2:$BI$111)&lt;='Tournament Setup'!$C$35,_xlfn.RANK.EQ(BI75,$BI$2:$BI$111),""),"")</f>
        <v/>
      </c>
      <c r="BK75" s="31" t="str">
        <f>IF(AND($F75='Tournament Setup'!$A$35,SUM($Q75,$U75)=0,$E75="F",$BH75&gt;'Tournament Setup'!$B$35),$I75,"")</f>
        <v/>
      </c>
      <c r="BL75" s="12" t="str">
        <f>IF(ISNUMBER(BK75)=TRUE,IF(_xlfn.RANK.EQ(BK75,$BK$2:$BK$111)&lt;='Tournament Setup'!$D$35,_xlfn.RANK.EQ(BK75,$BK$2:$BK$111),""),"")</f>
        <v/>
      </c>
      <c r="BM75" s="30" t="str">
        <f>IF(AND($G75='Tournament Setup'!$A$54,$J75&lt;&gt;0),$J75,"")</f>
        <v/>
      </c>
      <c r="BN75" s="47" t="str">
        <f>IF(ISNUMBER(BM75),IF(COUNTIFS(BN$1:BN74,_xlfn.RANK.EQ(BM75,BM$2:BM$111,0))&gt;0,_xlfn.MAXIFS(BN$1:BN74,BM$1:BM74,BM75)+1,_xlfn.RANK.EQ(BM75,BM$2:BM$111,0)),"")</f>
        <v/>
      </c>
      <c r="BO75" s="1" t="str">
        <f>IF(ISNUMBER(BM75)=TRUE,IF(_xlfn.RANK.EQ(BM75,$BM$2:$BM$111)&lt;='Tournament Setup'!$B$49,_xlfn.RANK.EQ(BM75,$BM$2:$BM$111),""),"")</f>
        <v/>
      </c>
      <c r="BP75" s="30" t="str">
        <f>IF(AND($F75='Tournament Setup'!$A$36,SUM($Q75,$S75,$U75)=0),$I75,"")</f>
        <v/>
      </c>
      <c r="BQ75" s="47" t="str">
        <f>IF(ISNUMBER(BP75),IF(COUNTIFS(BQ$1:BQ74,_xlfn.RANK.EQ(BP75,BP$2:BP$111,0))&gt;0,_xlfn.MAXIFS(BQ$1:BQ74,BP$1:BP74,BP75)+1,_xlfn.RANK.EQ(BP75,BP$2:BP$111,0)),"")</f>
        <v/>
      </c>
      <c r="BR75" s="1" t="str">
        <f>IF(ISNUMBER(BP75)=TRUE,IF(_xlfn.RANK.EQ(BP75,$BP$2:$BP$111)&lt;='Tournament Setup'!$B$36,_xlfn.RANK.EQ(BP75,$BP$2:$BP$111),""),"")</f>
        <v/>
      </c>
      <c r="BS75" s="31" t="str">
        <f>IF(AND($F75='Tournament Setup'!$A$36,SUM($Q75,$S75)=0,$E75="M",$BR75&gt;'Tournament Setup'!$B$36),$I75,"")</f>
        <v/>
      </c>
      <c r="BT75" s="1" t="str">
        <f>IF(ISNUMBER(BS75)=TRUE,IF(_xlfn.RANK.EQ(BS75,$BS$2:$BS$111)&lt;='Tournament Setup'!$C$36,_xlfn.RANK.EQ(BS75,$BS$2:$BS$111),""),"")</f>
        <v/>
      </c>
      <c r="BU75" s="31" t="str">
        <f>IF(AND($F75='Tournament Setup'!$A$36,SUM($Q75,$U75)=0,$E75="F",$BR75&gt;'Tournament Setup'!$B$36),$I75,"")</f>
        <v/>
      </c>
      <c r="BV75" s="12" t="str">
        <f>IF(ISNUMBER(BU75)=TRUE,IF(_xlfn.RANK.EQ(BU75,$BU$2:$BU$111)&lt;='Tournament Setup'!$D$36,_xlfn.RANK.EQ(BU75,$BU$2:$BU$111),""),"")</f>
        <v/>
      </c>
      <c r="BW75" s="30" t="str">
        <f>IF($H75='Tournament Setup'!$A$41,$I75,"")</f>
        <v/>
      </c>
      <c r="BX75" s="47" t="str">
        <f>IF(ISNUMBER(BW75),IF(COUNTIFS(BX$1:BX74,_xlfn.RANK.EQ(BW75,BW$2:BW$111,0))&gt;0,_xlfn.MAXIFS(BX$1:BX74,BW$1:BW74,BW75)+1,_xlfn.RANK.EQ(BW75,BW$2:BW$111,0)),"")</f>
        <v/>
      </c>
      <c r="BY75" s="1" t="str">
        <f>IF(ISNUMBER(BW75)=TRUE,IF(_xlfn.RANK.EQ(BW75,$BW$2:$BW$111)&lt;='Tournament Setup'!$B$41,_xlfn.RANK.EQ(BW75,$BW$2:$BW$111),""),"")</f>
        <v/>
      </c>
      <c r="BZ75" s="31" t="str">
        <f>IF(AND($H75='Tournament Setup'!$A$41,$E75="M",$BY75&gt;'Tournament Setup'!$B$41),$I75,"")</f>
        <v/>
      </c>
      <c r="CA75" s="1" t="str">
        <f>IF(ISNUMBER(BZ75)=TRUE,IF(_xlfn.RANK.EQ(BZ75,$BZ$2:$BZ$111)&lt;='Tournament Setup'!$C$41,_xlfn.RANK.EQ(BZ75,$BZ$2:$BZ$111),""),"")</f>
        <v/>
      </c>
      <c r="CB75" s="31" t="str">
        <f>IF(AND($H75='Tournament Setup'!$A$41,$E75="F",$BY75&gt;'Tournament Setup'!$B$41),$I75,"")</f>
        <v/>
      </c>
      <c r="CC75" s="12" t="str">
        <f>IF(ISNUMBER(CB75)=TRUE,IF(_xlfn.RANK.EQ(CB75,$CB$2:$CB$111)&lt;='Tournament Setup'!$D$41,_xlfn.RANK.EQ(CB75,$CB$2:$CB$111),""),"")</f>
        <v/>
      </c>
      <c r="CD75" s="30" t="str">
        <f>IF($H75='Tournament Setup'!$A$42,$I75,"")</f>
        <v/>
      </c>
      <c r="CE75" s="47" t="str">
        <f>IF(ISNUMBER(CD75),IF(COUNTIFS(CE$1:CE74,_xlfn.RANK.EQ(CD75,CD$2:CD$111,0))&gt;0,_xlfn.MAXIFS(CE$1:CE74,CD$1:CD74,CD75)+1,_xlfn.RANK.EQ(CD75,CD$2:CD$111,0)),"")</f>
        <v/>
      </c>
      <c r="CF75" s="1" t="str">
        <f>IF(ISNUMBER(CD75)=TRUE,IF(_xlfn.RANK.EQ(CD75,$CD$2:$CD$111)&lt;='Tournament Setup'!$B$42,_xlfn.RANK.EQ(CD75,$CD$2:$CD$111),""),"")</f>
        <v/>
      </c>
      <c r="CG75" s="31" t="str">
        <f>IF(AND($H75='Tournament Setup'!$A$42,$E75="M",$CF75&gt;'Tournament Setup'!$B$42),$I75,"")</f>
        <v/>
      </c>
      <c r="CH75" s="1" t="str">
        <f>IF(ISNUMBER(CG75)=TRUE,IF(_xlfn.RANK.EQ(CG75,$CG$2:$CG$111)&lt;='Tournament Setup'!$C$42,_xlfn.RANK.EQ(CG75,$CG$2:$CG$111),""),"")</f>
        <v/>
      </c>
      <c r="CI75" s="31" t="str">
        <f>IF(AND($H75='Tournament Setup'!$A$42,$E75="F",$CF75&gt;'Tournament Setup'!$B$42),$I75,"")</f>
        <v/>
      </c>
      <c r="CJ75" s="12" t="str">
        <f>IF(ISNUMBER(CI75)=TRUE,IF(_xlfn.RANK.EQ(CI75,$CI$2:$CI$111)&lt;='Tournament Setup'!$D$42,_xlfn.RANK.EQ(CI75,$CI$2:$CI$111),""),"")</f>
        <v/>
      </c>
      <c r="CK75" s="30" t="str">
        <f>IF($H75='Tournament Setup'!$A$43,$I75,"")</f>
        <v/>
      </c>
      <c r="CL75" s="47" t="str">
        <f>IF(ISNUMBER(CK75),IF(COUNTIFS(CL$1:CL74,_xlfn.RANK.EQ(CK75,CK$2:CK$111,0))&gt;0,_xlfn.MAXIFS(CL$1:CL74,CK$1:CK74,CK75)+1,_xlfn.RANK.EQ(CK75,CK$2:CK$111,0)),"")</f>
        <v/>
      </c>
      <c r="CM75" s="1" t="str">
        <f>IF(ISNUMBER(CK75)=TRUE,IF(_xlfn.RANK.EQ(CK75,$CK$2:$CK$111)&lt;='Tournament Setup'!$B$43,_xlfn.RANK.EQ(CK75,$CK$2:$CK$111),""),"")</f>
        <v/>
      </c>
      <c r="CN75" s="31" t="str">
        <f>IF(AND($H75='Tournament Setup'!$A$43,$E75="M",$CM75&gt;'Tournament Setup'!$B$43),$I75,"")</f>
        <v/>
      </c>
      <c r="CO75" s="1" t="str">
        <f>IF(ISNUMBER(CN75)=TRUE,IF(_xlfn.RANK.EQ(CN75,$CN$2:$CN$111)&lt;='Tournament Setup'!$C$43,_xlfn.RANK.EQ(CN75,$CN$2:$CN$111),""),"")</f>
        <v/>
      </c>
      <c r="CP75" s="31" t="str">
        <f>IF(AND($H75='Tournament Setup'!$A$43,$E75="F",$CM75&gt;'Tournament Setup'!$B$43),$I75,"")</f>
        <v/>
      </c>
      <c r="CQ75" s="12" t="str">
        <f>IF(ISNUMBER(CP75)=TRUE,IF(_xlfn.RANK.EQ(CP75,$CP$2:$CP$111)&lt;='Tournament Setup'!$D$43,_xlfn.RANK.EQ(CP75,$CP$2:$CP$111),""),"")</f>
        <v/>
      </c>
      <c r="CR75" s="30" t="str">
        <f>IF($H75='Tournament Setup'!$A$44,$I75,"")</f>
        <v/>
      </c>
      <c r="CS75" s="47" t="str">
        <f>IF(ISNUMBER(CR75),IF(COUNTIFS(CS$1:CS74,_xlfn.RANK.EQ(CR75,CR$2:CR$111,0))&gt;0,_xlfn.MAXIFS(CS$1:CS74,CR$1:CR74,CR75)+1,_xlfn.RANK.EQ(CR75,CR$2:CR$111,0)),"")</f>
        <v/>
      </c>
      <c r="CT75" s="1" t="str">
        <f>IF(ISNUMBER(CR75)=TRUE,IF(_xlfn.RANK.EQ(CR75,$CR$2:$CR$111)&lt;='Tournament Setup'!$B$44,_xlfn.RANK.EQ(CR75,$CR$2:$CR$111),""),"")</f>
        <v/>
      </c>
      <c r="CU75" s="31" t="str">
        <f>IF(AND($H75='Tournament Setup'!$A$44,$E75="M",$CT75&gt;'Tournament Setup'!$B$44),$I75,"")</f>
        <v/>
      </c>
      <c r="CV75" s="1" t="str">
        <f>IF(ISNUMBER(CU75)=TRUE,IF(_xlfn.RANK.EQ(CU75,$CU$2:$CU$111)&lt;='Tournament Setup'!$C$44,_xlfn.RANK.EQ(CU75,$CU$2:$CU$111),""),"")</f>
        <v/>
      </c>
      <c r="CW75" s="31" t="str">
        <f>IF(AND($H75='Tournament Setup'!$A$44,$E75="F",$CT75&gt;'Tournament Setup'!$B$44),$I75,"")</f>
        <v/>
      </c>
      <c r="CX75" s="12" t="str">
        <f>IF(ISNUMBER(CW75)=TRUE,IF(_xlfn.RANK.EQ(CW75,$CW$2:$CW$111)&lt;='Tournament Setup'!$D$44,_xlfn.RANK.EQ(CW75,$CW$2:$CW$111),""),"")</f>
        <v/>
      </c>
    </row>
    <row r="76" spans="2:102" x14ac:dyDescent="0.3">
      <c r="B76" t="str">
        <f>IFERROR(INDEX('Tournament List'!$B:$B,MATCH($A76,'Tournament List'!$A:$A,0)),"")</f>
        <v/>
      </c>
      <c r="C76" t="str">
        <f>IFERROR(INDEX('Tournament List'!$C:$C,MATCH($A76,'Tournament List'!$A:$A,0)),"")</f>
        <v/>
      </c>
      <c r="D76" t="str">
        <f t="shared" ref="D76:D103" si="3">B76&amp;" "&amp;C76</f>
        <v xml:space="preserve"> </v>
      </c>
      <c r="E76" s="1" t="str">
        <f>IFERROR(INDEX('Tournament List'!F:F,MATCH($A76,'Tournament List'!$A:$A,0)),"")</f>
        <v/>
      </c>
      <c r="F76" t="str">
        <f>IFERROR(INDEX('Tournament List'!M:M,MATCH($A76,'Tournament List'!$A:$A,0)),"")</f>
        <v/>
      </c>
      <c r="G76" t="str">
        <f>IFERROR(INDEX('Shooter-Squad Assignment'!L:L,MATCH(A76,'Shooter-Squad Assignment'!A:A,0)),"")</f>
        <v/>
      </c>
      <c r="H76" s="1" t="str">
        <f>IFERROR(INDEX('Tournament List'!AD:AD,MATCH($A76,'Tournament List'!$A:$A,0)),"")</f>
        <v/>
      </c>
      <c r="I76" s="123" t="str">
        <f>IFERROR(INDEX('Tournament List'!AG:AG,MATCH($A76,'Tournament List'!$A:$A,0)),"")</f>
        <v/>
      </c>
      <c r="J76" s="145" t="str">
        <f>IFERROR(INDEX('Tournament List'!Y:Y,MATCH($A76,'Tournament List'!$A:$A,0)),"")</f>
        <v/>
      </c>
      <c r="K76" s="47" t="str">
        <f>IFERROR(INDEX('Tournament List'!S:S,MATCH(A76,'Tournament List'!A:A,0)),"")</f>
        <v/>
      </c>
      <c r="L76" s="47" t="str">
        <f>IF(ISNUMBER(J76),IF(COUNTIFS(L$1:L65,_xlfn.RANK.EQ(J76,J$2:J$111,0))&gt;0,_xlfn.MAXIFS(L$1:L65,J$1:J65,J76)+1,_xlfn.RANK.EQ(J76,J$2:J$111,0)),"")</f>
        <v/>
      </c>
      <c r="M76" s="11" t="str">
        <f>IF(ISNUMBER(I76)=TRUE,IF(I76&gt;0,_xlfn.RANK.EQ(I76,$I$2:$I$111,0),""),"")</f>
        <v/>
      </c>
      <c r="N76" s="56" t="str">
        <f>IF(ISNUMBER(I76),IF(COUNTIFS(N$1:N65,_xlfn.RANK.EQ(I76,I$2:I$111,0))&gt;0,_xlfn.MAXIFS(N$1:N65,I$1:I65,I76)+1,_xlfn.RANK.EQ(I76,I$2:I$111,0)),"")</f>
        <v/>
      </c>
      <c r="O76" s="144" t="str">
        <f>IF(F76&lt;&gt;"Collegiate"=TRUE,$I76,"")</f>
        <v/>
      </c>
      <c r="P76" s="47" t="str">
        <f>IF(ISNUMBER(O76),IF(COUNTIFS(P$1:P65,_xlfn.RANK.EQ(O76,O$2:O$111,0))&gt;0,_xlfn.MAXIFS(P$1:P65,O$1:O65,O76)+1,_xlfn.RANK.EQ(O76,O$2:O$111,0)),"")</f>
        <v/>
      </c>
      <c r="Q76" s="1" t="str">
        <f>IF(ISNUMBER(O76)=TRUE,IF(_xlfn.RANK.EQ(O76,$O$2:$O$111)&lt;='Tournament Setup'!$B$26,_xlfn.RANK.EQ(O76,$O$2:$O$111),""),"")</f>
        <v/>
      </c>
      <c r="R76" s="143" t="str">
        <f>IF(AND($E76="M",SUM($Q76)=0,F76&lt;&gt;"Collegiate")=TRUE,$I76,"")</f>
        <v/>
      </c>
      <c r="S76" s="1" t="str">
        <f>IF(ISNUMBER(R76)=TRUE,IF(_xlfn.RANK.EQ(R76,$R$2:$R$111)&lt;='Tournament Setup'!$B$27,_xlfn.RANK.EQ(R76,$R$2:$R$111),""),"")</f>
        <v/>
      </c>
      <c r="T76" s="143" t="str">
        <f>IF(AND($E76="F",SUM($Q76)=0,F76&lt;&gt;"Collegiate")=TRUE,$I76,"")</f>
        <v/>
      </c>
      <c r="U76" s="12" t="str">
        <f>IF(ISNUMBER(T76)=TRUE,IF(_xlfn.RANK.EQ(T76,$T$2:$T$111)&lt;='Tournament Setup'!$B$28,_xlfn.RANK.EQ(T76,$T$2:$T$111),""),"")</f>
        <v/>
      </c>
      <c r="V76" s="145" t="str">
        <f>IF(AND($G76='Tournament Setup'!$A$53,$J76&lt;&gt;0),$J76,"")</f>
        <v/>
      </c>
      <c r="W76" s="47" t="str">
        <f>IF(ISNUMBER(V76),IF(COUNTIFS(W$1:W75,_xlfn.RANK.EQ(V76,V$2:V$111,0))&gt;0,_xlfn.MAXIFS(W$1:W75,V$1:V75,V76)+1,_xlfn.RANK.EQ(V76,V$2:V$111,0)),"")</f>
        <v/>
      </c>
      <c r="X76" s="1" t="str">
        <f>IF(ISNUMBER(V76)=TRUE,IF(_xlfn.RANK.EQ(V76,$V$2:$V$111)&lt;='Tournament Setup'!$B$53,_xlfn.RANK.EQ(V76,$V$2:$V$111),""),"")</f>
        <v/>
      </c>
      <c r="Y76" s="145" t="str">
        <f>IF(AND($G76='Tournament Setup'!$A$49,$J76&lt;&gt;0),$J76,"")</f>
        <v/>
      </c>
      <c r="Z76" s="47" t="str">
        <f>IF(ISNUMBER(Y76),IF(COUNTIFS(Z$1:Z75,_xlfn.RANK.EQ(Y76,Y$2:Y$111,0))&gt;0,_xlfn.MAXIFS(Z$1:Z75,Y$1:Y75,Y76)+1,_xlfn.RANK.EQ(Y76,Y$2:Y$111,0)),"")</f>
        <v/>
      </c>
      <c r="AA76" s="1" t="str">
        <f>IF(ISNUMBER(Y76)=TRUE,IF(_xlfn.RANK.EQ(Y76,$Y$2:$Y$111)&lt;='Tournament Setup'!$B$49,_xlfn.RANK.EQ(Y76,$Y$2:$Y$111),""),"")</f>
        <v/>
      </c>
      <c r="AB76" s="30" t="str">
        <f>IF(AND($F76='Tournament Setup'!$A$32,SUM($Q76,$S76,$U76)=0),$I76,"")</f>
        <v/>
      </c>
      <c r="AC76" s="47" t="str">
        <f>IF(ISNUMBER(AB76),IF(COUNTIFS(AC$1:AC65,_xlfn.RANK.EQ(AB76,AB$2:AB$111,0))&gt;0,_xlfn.MAXIFS(AC$1:AC65,AB$1:AB65,AB76)+1,_xlfn.RANK.EQ(AB76,AB$2:AB$111,0)),"")</f>
        <v/>
      </c>
      <c r="AD76" s="1" t="str">
        <f>IF(ISNUMBER(AB76)=TRUE,IF(_xlfn.RANK.EQ(AB76,$AB$2:$AB$111)&lt;='Tournament Setup'!$B$32,_xlfn.RANK.EQ(AB76,$AB$2:$AB$111),""),"")</f>
        <v/>
      </c>
      <c r="AE76" s="31" t="str">
        <f>IF(AND($F76='Tournament Setup'!$A$32,SUM($Q76,$S76)=0,$E76="M",$AD76&gt;'Tournament Setup'!$B$32),$I76,"")</f>
        <v/>
      </c>
      <c r="AF76" s="1" t="str">
        <f>IF(ISNUMBER(AE76)=TRUE,IF(_xlfn.RANK.EQ(AE76,$AE$2:$AE$111)&lt;='Tournament Setup'!$C$32,_xlfn.RANK.EQ(AE76,$AE$2:$AE$111),""),"")</f>
        <v/>
      </c>
      <c r="AG76" s="31" t="str">
        <f>IF(AND($F76='Tournament Setup'!$A$32,SUM($Q76,$U76)=0,$E76="F",$AD76&gt;'Tournament Setup'!$B$32),$I76,"")</f>
        <v/>
      </c>
      <c r="AH76" s="12" t="str">
        <f>IF(ISNUMBER(AG76)=TRUE,IF(_xlfn.RANK.EQ(AG76,$AG$2:$AG$111)&lt;='Tournament Setup'!$D$32,_xlfn.RANK.EQ(AG76,$AG$2:$AG$111),""),"")</f>
        <v/>
      </c>
      <c r="AI76" s="30" t="str">
        <f>IF(AND($G76='Tournament Setup'!$A$50,$J76&lt;&gt;0),$J76,"")</f>
        <v/>
      </c>
      <c r="AJ76" s="47" t="str">
        <f>IF(ISNUMBER(AI76),IF(COUNTIFS(AJ$1:AJ65,_xlfn.RANK.EQ(AI76,AI$2:AI$111,0))&gt;0,_xlfn.MAXIFS(AJ$1:AJ65,AI$1:AI65,AI76)+1,_xlfn.RANK.EQ(AI76,AI$2:AI$111,0)),"")</f>
        <v/>
      </c>
      <c r="AK76" s="1" t="str">
        <f>IF(ISNUMBER(AI76)=TRUE,IF(_xlfn.RANK.EQ(AI76,$AI$2:$AI$111)&lt;='Tournament Setup'!$B$49,_xlfn.RANK.EQ(AI76,$AI$2:$AI$111),""),"")</f>
        <v/>
      </c>
      <c r="AL76" s="30" t="str">
        <f>IF(AND($F76='Tournament Setup'!$A$33,SUM($Q76,$S76,$U76)=0),$I76,"")</f>
        <v/>
      </c>
      <c r="AM76" s="47" t="str">
        <f>IF(ISNUMBER(AL76),IF(COUNTIFS(AM$1:AM65,_xlfn.RANK.EQ(AL76,AL$2:AL$111,0))&gt;0,_xlfn.MAXIFS(AM$1:AM65,AL$1:AL65,AL76)+1,_xlfn.RANK.EQ(AL76,AL$2:AL$111,0)),"")</f>
        <v/>
      </c>
      <c r="AN76" s="1" t="str">
        <f>IF(ISNUMBER(AL76)=TRUE,IF(_xlfn.RANK.EQ(AL76,$AL$2:$AL$111)&lt;='Tournament Setup'!$B$33,_xlfn.RANK.EQ(AL76,$AL$2:$AL$111),""),"")</f>
        <v/>
      </c>
      <c r="AO76" s="31" t="str">
        <f>IF(AND($F76='Tournament Setup'!$A$33,SUM($Q76,$S76)=0,$E76="M",$AN76&gt;'Tournament Setup'!$B$33),$I76,"")</f>
        <v/>
      </c>
      <c r="AP76" s="1" t="str">
        <f>IF(ISNUMBER(AO76)=TRUE,IF(_xlfn.RANK.EQ(AO76,$AO$2:$AO$111)&lt;='Tournament Setup'!$C$33,_xlfn.RANK.EQ(AO76,$AO$2:$AO$111),""),"")</f>
        <v/>
      </c>
      <c r="AQ76" s="31" t="str">
        <f>IF(AND($F76='Tournament Setup'!$A$33,SUM($Q76,$U76)=0,$E76="F",$AN76&gt;'Tournament Setup'!$B$33),$I76,"")</f>
        <v/>
      </c>
      <c r="AR76" s="12" t="str">
        <f>IF(ISNUMBER(AQ76)=TRUE,IF(_xlfn.RANK.EQ(AQ76,$AQ$2:$AQ$111)&lt;='Tournament Setup'!$D$33,_xlfn.RANK.EQ(AQ76,$AQ$2:$AQ$111),""),"")</f>
        <v/>
      </c>
      <c r="AS76" s="30" t="str">
        <f>IF(AND($G76='Tournament Setup'!$A$51,$J76&lt;&gt;0),$J76,"")</f>
        <v/>
      </c>
      <c r="AT76" s="47" t="str">
        <f>IF(ISNUMBER(AS76),IF(COUNTIFS(AT$1:AT65,_xlfn.RANK.EQ(AS76,AS$2:AS$111,0))&gt;0,_xlfn.MAXIFS(AT$1:AT65,AS$1:AS65,AS76)+1,_xlfn.RANK.EQ(AS76,AS$2:AS$111,0)),"")</f>
        <v/>
      </c>
      <c r="AU76" s="1" t="str">
        <f>IF(ISNUMBER(AS76)=TRUE,IF(_xlfn.RANK.EQ(AS76,$AS$2:$AS$111)&lt;='Tournament Setup'!$B$49,_xlfn.RANK.EQ(AS76,$AS$2:$AS$111),""),"")</f>
        <v/>
      </c>
      <c r="AV76" s="30" t="str">
        <f>IF(AND($F76='Tournament Setup'!$A$34,SUM($Q76,$S76,$U76)=0),$I76,"")</f>
        <v/>
      </c>
      <c r="AW76" s="47" t="str">
        <f>IF(ISNUMBER(AV76),IF(COUNTIFS(AW$1:AW65,_xlfn.RANK.EQ(AV76,AV$2:AV$111,0))&gt;0,_xlfn.MAXIFS(AW$1:AW65,AV$1:AV65,AV76)+1,_xlfn.RANK.EQ(AV76,AV$2:AV$111,0)),"")</f>
        <v/>
      </c>
      <c r="AX76" s="1" t="str">
        <f>IF(ISNUMBER(AV76)=TRUE,IF(_xlfn.RANK.EQ(AV76,$AV$2:$AV$111)&lt;='Tournament Setup'!$B$34,_xlfn.RANK.EQ(AV76,$AV$2:$AV$111),""),"")</f>
        <v/>
      </c>
      <c r="AY76" s="31" t="str">
        <f>IF(AND($F76='Tournament Setup'!$A$34,SUM($Q76,$S76)=0,$E76="M",$AX76&gt;'Tournament Setup'!$B$34),$I76,"")</f>
        <v/>
      </c>
      <c r="AZ76" s="1" t="str">
        <f>IF(ISNUMBER(AY76)=TRUE,IF(_xlfn.RANK.EQ(AY76,$AY$2:$AY$111)&lt;='Tournament Setup'!$C$34,_xlfn.RANK.EQ(AY76,$AY$2:$AY$111),""),"")</f>
        <v/>
      </c>
      <c r="BA76" s="31" t="str">
        <f>IF(AND($F76='Tournament Setup'!$A$34,SUM($Q76,$U76)=0,$E76="F",$AX76&gt;'Tournament Setup'!$B$34),$I76,"")</f>
        <v/>
      </c>
      <c r="BB76" s="12" t="str">
        <f>IF(ISNUMBER(BA76)=TRUE,IF(_xlfn.RANK.EQ(BA76,$BA$2:$BA$111)&lt;='Tournament Setup'!$D$34,_xlfn.RANK.EQ(BA76,$BA$2:$BA$111),""),"")</f>
        <v/>
      </c>
      <c r="BC76" s="30" t="str">
        <f>IF(AND($G76='Tournament Setup'!$A$52,$J76&lt;&gt;0),$J76,"")</f>
        <v/>
      </c>
      <c r="BD76" s="47" t="str">
        <f>IF(ISNUMBER(BC76),IF(COUNTIFS(BD$1:BD65,_xlfn.RANK.EQ(BC76,BC$2:BC$111,0))&gt;0,_xlfn.MAXIFS(BD$1:BD65,BC$1:BC65,BC76)+1,_xlfn.RANK.EQ(BC76,BC$2:BC$111,0)),"")</f>
        <v/>
      </c>
      <c r="BE76" s="1" t="str">
        <f>IF(ISNUMBER(BC76)=TRUE,IF(_xlfn.RANK.EQ(BC76,$BC$2:$BC$111)&lt;='Tournament Setup'!$B$49,_xlfn.RANK.EQ(BC76,$BC$2:$BC$111),""),"")</f>
        <v/>
      </c>
      <c r="BF76" s="30" t="str">
        <f>IF(AND($F76='Tournament Setup'!$A$35,SUM($Q76,$S76,$U76)=0),$I76,"")</f>
        <v/>
      </c>
      <c r="BG76" s="47" t="str">
        <f>IF(ISNUMBER(BF76),IF(COUNTIFS(BG$1:BG65,_xlfn.RANK.EQ(BF76,BF$2:BF$111,0))&gt;0,_xlfn.MAXIFS(BG$1:BG65,BF$1:BF65,BF76)+1,_xlfn.RANK.EQ(BF76,BF$2:BF$111,0)),"")</f>
        <v/>
      </c>
      <c r="BH76" s="1" t="str">
        <f>IF(ISNUMBER(BF76)=TRUE,IF(_xlfn.RANK.EQ(BF76,$BF$2:$BF$111)&lt;='Tournament Setup'!$B$35,_xlfn.RANK.EQ(BF76,$BF$2:$BF$111),""),"")</f>
        <v/>
      </c>
      <c r="BI76" s="31" t="str">
        <f>IF(AND($F76='Tournament Setup'!$A$35,SUM($Q76,$S76)=0,$E76="M",$BH76&gt;'Tournament Setup'!$B$35),$I76,"")</f>
        <v/>
      </c>
      <c r="BJ76" s="1" t="str">
        <f>IF(ISNUMBER(BI76)=TRUE,IF(_xlfn.RANK.EQ(BI76,$BI$2:$BI$111)&lt;='Tournament Setup'!$C$35,_xlfn.RANK.EQ(BI76,$BI$2:$BI$111),""),"")</f>
        <v/>
      </c>
      <c r="BK76" s="31" t="str">
        <f>IF(AND($F76='Tournament Setup'!$A$35,SUM($Q76,$U76)=0,$E76="F",$BH76&gt;'Tournament Setup'!$B$35),$I76,"")</f>
        <v/>
      </c>
      <c r="BL76" s="12" t="str">
        <f>IF(ISNUMBER(BK76)=TRUE,IF(_xlfn.RANK.EQ(BK76,$BK$2:$BK$111)&lt;='Tournament Setup'!$D$35,_xlfn.RANK.EQ(BK76,$BK$2:$BK$111),""),"")</f>
        <v/>
      </c>
      <c r="BM76" s="30" t="str">
        <f>IF(AND($G76='Tournament Setup'!$A$54,$J76&lt;&gt;0),$J76,"")</f>
        <v/>
      </c>
      <c r="BN76" s="47" t="str">
        <f>IF(ISNUMBER(BM76),IF(COUNTIFS(BN$1:BN65,_xlfn.RANK.EQ(BM76,BM$2:BM$111,0))&gt;0,_xlfn.MAXIFS(BN$1:BN65,BM$1:BM65,BM76)+1,_xlfn.RANK.EQ(BM76,BM$2:BM$111,0)),"")</f>
        <v/>
      </c>
      <c r="BO76" s="1" t="str">
        <f>IF(ISNUMBER(BM76)=TRUE,IF(_xlfn.RANK.EQ(BM76,$BM$2:$BM$111)&lt;='Tournament Setup'!$B$49,_xlfn.RANK.EQ(BM76,$BM$2:$BM$111),""),"")</f>
        <v/>
      </c>
      <c r="BP76" s="30" t="str">
        <f>IF(AND($F76='Tournament Setup'!$A$36,SUM($Q76,$S76,$U76)=0),$I76,"")</f>
        <v/>
      </c>
      <c r="BQ76" s="47" t="str">
        <f>IF(ISNUMBER(BP76),IF(COUNTIFS(BQ$1:BQ65,_xlfn.RANK.EQ(BP76,BP$2:BP$111,0))&gt;0,_xlfn.MAXIFS(BQ$1:BQ65,BP$1:BP65,BP76)+1,_xlfn.RANK.EQ(BP76,BP$2:BP$111,0)),"")</f>
        <v/>
      </c>
      <c r="BR76" s="1" t="str">
        <f>IF(ISNUMBER(BP76)=TRUE,IF(_xlfn.RANK.EQ(BP76,$BP$2:$BP$111)&lt;='Tournament Setup'!$B$36,_xlfn.RANK.EQ(BP76,$BP$2:$BP$111),""),"")</f>
        <v/>
      </c>
      <c r="BS76" s="31" t="str">
        <f>IF(AND($F76='Tournament Setup'!$A$36,SUM($Q76,$S76)=0,$E76="M",$BR76&gt;'Tournament Setup'!$B$36),$I76,"")</f>
        <v/>
      </c>
      <c r="BT76" s="1" t="str">
        <f>IF(ISNUMBER(BS76)=TRUE,IF(_xlfn.RANK.EQ(BS76,$BS$2:$BS$111)&lt;='Tournament Setup'!$C$36,_xlfn.RANK.EQ(BS76,$BS$2:$BS$111),""),"")</f>
        <v/>
      </c>
      <c r="BU76" s="31" t="str">
        <f>IF(AND($F76='Tournament Setup'!$A$36,SUM($Q76,$U76)=0,$E76="F",$BR76&gt;'Tournament Setup'!$B$36),$I76,"")</f>
        <v/>
      </c>
      <c r="BV76" s="12" t="str">
        <f>IF(ISNUMBER(BU76)=TRUE,IF(_xlfn.RANK.EQ(BU76,$BU$2:$BU$111)&lt;='Tournament Setup'!$D$36,_xlfn.RANK.EQ(BU76,$BU$2:$BU$111),""),"")</f>
        <v/>
      </c>
      <c r="BW76" s="30" t="str">
        <f>IF($H76='Tournament Setup'!$A$41,$I76,"")</f>
        <v/>
      </c>
      <c r="BX76" s="47" t="str">
        <f>IF(ISNUMBER(BW76),IF(COUNTIFS(BX$1:BX65,_xlfn.RANK.EQ(BW76,BW$2:BW$111,0))&gt;0,_xlfn.MAXIFS(BX$1:BX65,BW$1:BW65,BW76)+1,_xlfn.RANK.EQ(BW76,BW$2:BW$111,0)),"")</f>
        <v/>
      </c>
      <c r="BY76" s="1" t="str">
        <f>IF(ISNUMBER(BW76)=TRUE,IF(_xlfn.RANK.EQ(BW76,$BW$2:$BW$111)&lt;='Tournament Setup'!$B$41,_xlfn.RANK.EQ(BW76,$BW$2:$BW$111),""),"")</f>
        <v/>
      </c>
      <c r="BZ76" s="31" t="str">
        <f>IF(AND($H76='Tournament Setup'!$A$41,$E76="M",$BY76&gt;'Tournament Setup'!$B$41),$I76,"")</f>
        <v/>
      </c>
      <c r="CA76" s="1" t="str">
        <f>IF(ISNUMBER(BZ76)=TRUE,IF(_xlfn.RANK.EQ(BZ76,$BZ$2:$BZ$111)&lt;='Tournament Setup'!$C$41,_xlfn.RANK.EQ(BZ76,$BZ$2:$BZ$111),""),"")</f>
        <v/>
      </c>
      <c r="CB76" s="31" t="str">
        <f>IF(AND($H76='Tournament Setup'!$A$41,$E76="F",$BY76&gt;'Tournament Setup'!$B$41),$I76,"")</f>
        <v/>
      </c>
      <c r="CC76" s="12" t="str">
        <f>IF(ISNUMBER(CB76)=TRUE,IF(_xlfn.RANK.EQ(CB76,$CB$2:$CB$111)&lt;='Tournament Setup'!$D$41,_xlfn.RANK.EQ(CB76,$CB$2:$CB$111),""),"")</f>
        <v/>
      </c>
      <c r="CD76" s="30" t="str">
        <f>IF($H76='Tournament Setup'!$A$42,$I76,"")</f>
        <v/>
      </c>
      <c r="CE76" s="47" t="str">
        <f>IF(ISNUMBER(CD76),IF(COUNTIFS(CE$1:CE65,_xlfn.RANK.EQ(CD76,CD$2:CD$111,0))&gt;0,_xlfn.MAXIFS(CE$1:CE65,CD$1:CD65,CD76)+1,_xlfn.RANK.EQ(CD76,CD$2:CD$111,0)),"")</f>
        <v/>
      </c>
      <c r="CF76" s="1" t="str">
        <f>IF(ISNUMBER(CD76)=TRUE,IF(_xlfn.RANK.EQ(CD76,$CD$2:$CD$111)&lt;='Tournament Setup'!$B$42,_xlfn.RANK.EQ(CD76,$CD$2:$CD$111),""),"")</f>
        <v/>
      </c>
      <c r="CG76" s="31" t="str">
        <f>IF(AND($H76='Tournament Setup'!$A$42,$E76="M",$CF76&gt;'Tournament Setup'!$B$42),$I76,"")</f>
        <v/>
      </c>
      <c r="CH76" s="1" t="str">
        <f>IF(ISNUMBER(CG76)=TRUE,IF(_xlfn.RANK.EQ(CG76,$CG$2:$CG$111)&lt;='Tournament Setup'!$C$42,_xlfn.RANK.EQ(CG76,$CG$2:$CG$111),""),"")</f>
        <v/>
      </c>
      <c r="CI76" s="31" t="str">
        <f>IF(AND($H76='Tournament Setup'!$A$42,$E76="F",$CF76&gt;'Tournament Setup'!$B$42),$I76,"")</f>
        <v/>
      </c>
      <c r="CJ76" s="12" t="str">
        <f>IF(ISNUMBER(CI76)=TRUE,IF(_xlfn.RANK.EQ(CI76,$CI$2:$CI$111)&lt;='Tournament Setup'!$D$42,_xlfn.RANK.EQ(CI76,$CI$2:$CI$111),""),"")</f>
        <v/>
      </c>
      <c r="CK76" s="30" t="str">
        <f>IF($H76='Tournament Setup'!$A$43,$I76,"")</f>
        <v/>
      </c>
      <c r="CL76" s="47" t="str">
        <f>IF(ISNUMBER(CK76),IF(COUNTIFS(CL$1:CL65,_xlfn.RANK.EQ(CK76,CK$2:CK$111,0))&gt;0,_xlfn.MAXIFS(CL$1:CL65,CK$1:CK65,CK76)+1,_xlfn.RANK.EQ(CK76,CK$2:CK$111,0)),"")</f>
        <v/>
      </c>
      <c r="CM76" s="1" t="str">
        <f>IF(ISNUMBER(CK76)=TRUE,IF(_xlfn.RANK.EQ(CK76,$CK$2:$CK$111)&lt;='Tournament Setup'!$B$43,_xlfn.RANK.EQ(CK76,$CK$2:$CK$111),""),"")</f>
        <v/>
      </c>
      <c r="CN76" s="31" t="str">
        <f>IF(AND($H76='Tournament Setup'!$A$43,$E76="M",$CM76&gt;'Tournament Setup'!$B$43),$I76,"")</f>
        <v/>
      </c>
      <c r="CO76" s="1" t="str">
        <f>IF(ISNUMBER(CN76)=TRUE,IF(_xlfn.RANK.EQ(CN76,$CN$2:$CN$111)&lt;='Tournament Setup'!$C$43,_xlfn.RANK.EQ(CN76,$CN$2:$CN$111),""),"")</f>
        <v/>
      </c>
      <c r="CP76" s="31" t="str">
        <f>IF(AND($H76='Tournament Setup'!$A$43,$E76="F",$CM76&gt;'Tournament Setup'!$B$43),$I76,"")</f>
        <v/>
      </c>
      <c r="CQ76" s="12" t="str">
        <f>IF(ISNUMBER(CP76)=TRUE,IF(_xlfn.RANK.EQ(CP76,$CP$2:$CP$111)&lt;='Tournament Setup'!$D$43,_xlfn.RANK.EQ(CP76,$CP$2:$CP$111),""),"")</f>
        <v/>
      </c>
      <c r="CR76" s="30" t="str">
        <f>IF($H76='Tournament Setup'!$A$44,$I76,"")</f>
        <v/>
      </c>
      <c r="CS76" s="47" t="str">
        <f>IF(ISNUMBER(CR76),IF(COUNTIFS(CS$1:CS65,_xlfn.RANK.EQ(CR76,CR$2:CR$111,0))&gt;0,_xlfn.MAXIFS(CS$1:CS65,CR$1:CR65,CR76)+1,_xlfn.RANK.EQ(CR76,CR$2:CR$111,0)),"")</f>
        <v/>
      </c>
      <c r="CT76" s="1" t="str">
        <f>IF(ISNUMBER(CR76)=TRUE,IF(_xlfn.RANK.EQ(CR76,$CR$2:$CR$111)&lt;='Tournament Setup'!$B$44,_xlfn.RANK.EQ(CR76,$CR$2:$CR$111),""),"")</f>
        <v/>
      </c>
      <c r="CU76" s="31" t="str">
        <f>IF(AND($H76='Tournament Setup'!$A$44,$E76="M",$CT76&gt;'Tournament Setup'!$B$44),$I76,"")</f>
        <v/>
      </c>
      <c r="CV76" s="1" t="str">
        <f>IF(ISNUMBER(CU76)=TRUE,IF(_xlfn.RANK.EQ(CU76,$CU$2:$CU$111)&lt;='Tournament Setup'!$C$44,_xlfn.RANK.EQ(CU76,$CU$2:$CU$111),""),"")</f>
        <v/>
      </c>
      <c r="CW76" s="31" t="str">
        <f>IF(AND($H76='Tournament Setup'!$A$44,$E76="F",$CT76&gt;'Tournament Setup'!$B$44),$I76,"")</f>
        <v/>
      </c>
      <c r="CX76" s="12" t="str">
        <f>IF(ISNUMBER(CW76)=TRUE,IF(_xlfn.RANK.EQ(CW76,$CW$2:$CW$111)&lt;='Tournament Setup'!$D$44,_xlfn.RANK.EQ(CW76,$CW$2:$CW$111),""),"")</f>
        <v/>
      </c>
    </row>
    <row r="77" spans="2:102" x14ac:dyDescent="0.3">
      <c r="B77" t="str">
        <f>IFERROR(INDEX('Tournament List'!$B:$B,MATCH($A77,'Tournament List'!$A:$A,0)),"")</f>
        <v/>
      </c>
      <c r="C77" t="str">
        <f>IFERROR(INDEX('Tournament List'!$C:$C,MATCH($A77,'Tournament List'!$A:$A,0)),"")</f>
        <v/>
      </c>
      <c r="D77" t="str">
        <f t="shared" si="3"/>
        <v xml:space="preserve"> </v>
      </c>
      <c r="E77" s="1" t="str">
        <f>IFERROR(INDEX('Tournament List'!F:F,MATCH($A77,'Tournament List'!$A:$A,0)),"")</f>
        <v/>
      </c>
      <c r="F77" t="str">
        <f>IFERROR(INDEX('Tournament List'!M:M,MATCH($A77,'Tournament List'!$A:$A,0)),"")</f>
        <v/>
      </c>
      <c r="G77" t="str">
        <f>IFERROR(INDEX('Shooter-Squad Assignment'!L:L,MATCH(A77,'Shooter-Squad Assignment'!A:A,0)),"")</f>
        <v/>
      </c>
      <c r="H77" s="1" t="str">
        <f>IFERROR(INDEX('Tournament List'!AD:AD,MATCH($A77,'Tournament List'!$A:$A,0)),"")</f>
        <v/>
      </c>
      <c r="I77" s="123" t="str">
        <f>IFERROR(INDEX('Tournament List'!AG:AG,MATCH($A77,'Tournament List'!$A:$A,0)),"")</f>
        <v/>
      </c>
      <c r="J77" s="145" t="str">
        <f>IFERROR(INDEX('Tournament List'!Y:Y,MATCH($A77,'Tournament List'!$A:$A,0)),"")</f>
        <v/>
      </c>
      <c r="K77" s="47" t="str">
        <f>IFERROR(INDEX('Tournament List'!S:S,MATCH(A77,'Tournament List'!A:A,0)),"")</f>
        <v/>
      </c>
      <c r="L77" s="47" t="str">
        <f>IF(ISNUMBER(J77),IF(COUNTIFS(L$1:L76,_xlfn.RANK.EQ(J77,J$2:J$111,0))&gt;0,_xlfn.MAXIFS(L$1:L76,J$1:J76,J77)+1,_xlfn.RANK.EQ(J77,J$2:J$111,0)),"")</f>
        <v/>
      </c>
      <c r="M77" s="11" t="str">
        <f>IF(ISNUMBER(I77)=TRUE,IF(I77&gt;0,_xlfn.RANK.EQ(I77,$I$2:$I$111,0),""),"")</f>
        <v/>
      </c>
      <c r="N77" s="56" t="str">
        <f>IF(ISNUMBER(I77),IF(COUNTIFS(N$1:N76,_xlfn.RANK.EQ(I77,I$2:I$111,0))&gt;0,_xlfn.MAXIFS(N$1:N76,I$1:I76,I77)+1,_xlfn.RANK.EQ(I77,I$2:I$111,0)),"")</f>
        <v/>
      </c>
      <c r="O77" s="144" t="str">
        <f>IF(F77&lt;&gt;"Collegiate"=TRUE,$I77,"")</f>
        <v/>
      </c>
      <c r="P77" s="47" t="str">
        <f>IF(ISNUMBER(O77),IF(COUNTIFS(P$1:P76,_xlfn.RANK.EQ(O77,O$2:O$111,0))&gt;0,_xlfn.MAXIFS(P$1:P76,O$1:O76,O77)+1,_xlfn.RANK.EQ(O77,O$2:O$111,0)),"")</f>
        <v/>
      </c>
      <c r="Q77" s="1" t="str">
        <f>IF(ISNUMBER(O77)=TRUE,IF(_xlfn.RANK.EQ(O77,$O$2:$O$111)&lt;='Tournament Setup'!$B$26,_xlfn.RANK.EQ(O77,$O$2:$O$111),""),"")</f>
        <v/>
      </c>
      <c r="R77" s="143" t="str">
        <f>IF(AND($E77="M",SUM($Q77)=0,F77&lt;&gt;"Collegiate")=TRUE,$I77,"")</f>
        <v/>
      </c>
      <c r="S77" s="1" t="str">
        <f>IF(ISNUMBER(R77)=TRUE,IF(_xlfn.RANK.EQ(R77,$R$2:$R$111)&lt;='Tournament Setup'!$B$27,_xlfn.RANK.EQ(R77,$R$2:$R$111),""),"")</f>
        <v/>
      </c>
      <c r="T77" s="143" t="str">
        <f>IF(AND($E77="F",SUM($Q77)=0,F77&lt;&gt;"Collegiate")=TRUE,$I77,"")</f>
        <v/>
      </c>
      <c r="U77" s="12" t="str">
        <f>IF(ISNUMBER(T77)=TRUE,IF(_xlfn.RANK.EQ(T77,$T$2:$T$111)&lt;='Tournament Setup'!$B$28,_xlfn.RANK.EQ(T77,$T$2:$T$111),""),"")</f>
        <v/>
      </c>
      <c r="V77" s="145" t="str">
        <f>IF(AND($G77='Tournament Setup'!$A$53,$J77&lt;&gt;0),$J77,"")</f>
        <v/>
      </c>
      <c r="W77" s="47" t="str">
        <f>IF(ISNUMBER(V77),IF(COUNTIFS(W$1:W76,_xlfn.RANK.EQ(V77,V$2:V$111,0))&gt;0,_xlfn.MAXIFS(W$1:W76,V$1:V76,V77)+1,_xlfn.RANK.EQ(V77,V$2:V$111,0)),"")</f>
        <v/>
      </c>
      <c r="X77" s="1" t="str">
        <f>IF(ISNUMBER(V77)=TRUE,IF(_xlfn.RANK.EQ(V77,$V$2:$V$111)&lt;='Tournament Setup'!$B$53,_xlfn.RANK.EQ(V77,$V$2:$V$111),""),"")</f>
        <v/>
      </c>
      <c r="Y77" s="145" t="str">
        <f>IF(AND($G77='Tournament Setup'!$A$49,$J77&lt;&gt;0),$J77,"")</f>
        <v/>
      </c>
      <c r="Z77" s="47" t="str">
        <f>IF(ISNUMBER(Y77),IF(COUNTIFS(Z$1:Z76,_xlfn.RANK.EQ(Y77,Y$2:Y$111,0))&gt;0,_xlfn.MAXIFS(Z$1:Z76,Y$1:Y76,Y77)+1,_xlfn.RANK.EQ(Y77,Y$2:Y$111,0)),"")</f>
        <v/>
      </c>
      <c r="AA77" s="1" t="str">
        <f>IF(ISNUMBER(Y77)=TRUE,IF(_xlfn.RANK.EQ(Y77,$Y$2:$Y$111)&lt;='Tournament Setup'!$B$49,_xlfn.RANK.EQ(Y77,$Y$2:$Y$111),""),"")</f>
        <v/>
      </c>
      <c r="AB77" s="30" t="str">
        <f>IF(AND($F77='Tournament Setup'!$A$32,SUM($Q77,$S77,$U77)=0),$I77,"")</f>
        <v/>
      </c>
      <c r="AC77" s="47" t="str">
        <f>IF(ISNUMBER(AB77),IF(COUNTIFS(AC$1:AC76,_xlfn.RANK.EQ(AB77,AB$2:AB$111,0))&gt;0,_xlfn.MAXIFS(AC$1:AC76,AB$1:AB76,AB77)+1,_xlfn.RANK.EQ(AB77,AB$2:AB$111,0)),"")</f>
        <v/>
      </c>
      <c r="AD77" s="1" t="str">
        <f>IF(ISNUMBER(AB77)=TRUE,IF(_xlfn.RANK.EQ(AB77,$AB$2:$AB$111)&lt;='Tournament Setup'!$B$32,_xlfn.RANK.EQ(AB77,$AB$2:$AB$111),""),"")</f>
        <v/>
      </c>
      <c r="AE77" s="31" t="str">
        <f>IF(AND($F77='Tournament Setup'!$A$32,SUM($Q77,$S77)=0,$E77="M",$AD77&gt;'Tournament Setup'!$B$32),$I77,"")</f>
        <v/>
      </c>
      <c r="AF77" s="1" t="str">
        <f>IF(ISNUMBER(AE77)=TRUE,IF(_xlfn.RANK.EQ(AE77,$AE$2:$AE$111)&lt;='Tournament Setup'!$C$32,_xlfn.RANK.EQ(AE77,$AE$2:$AE$111),""),"")</f>
        <v/>
      </c>
      <c r="AG77" s="31" t="str">
        <f>IF(AND($F77='Tournament Setup'!$A$32,SUM($Q77,$U77)=0,$E77="F",$AD77&gt;'Tournament Setup'!$B$32),$I77,"")</f>
        <v/>
      </c>
      <c r="AH77" s="12" t="str">
        <f>IF(ISNUMBER(AG77)=TRUE,IF(_xlfn.RANK.EQ(AG77,$AG$2:$AG$111)&lt;='Tournament Setup'!$D$32,_xlfn.RANK.EQ(AG77,$AG$2:$AG$111),""),"")</f>
        <v/>
      </c>
      <c r="AI77" s="30" t="str">
        <f>IF(AND($G77='Tournament Setup'!$A$50,$J77&lt;&gt;0),$J77,"")</f>
        <v/>
      </c>
      <c r="AJ77" s="47" t="str">
        <f>IF(ISNUMBER(AI77),IF(COUNTIFS(AJ$1:AJ76,_xlfn.RANK.EQ(AI77,AI$2:AI$111,0))&gt;0,_xlfn.MAXIFS(AJ$1:AJ76,AI$1:AI76,AI77)+1,_xlfn.RANK.EQ(AI77,AI$2:AI$111,0)),"")</f>
        <v/>
      </c>
      <c r="AK77" s="1" t="str">
        <f>IF(ISNUMBER(AI77)=TRUE,IF(_xlfn.RANK.EQ(AI77,$AI$2:$AI$111)&lt;='Tournament Setup'!$B$49,_xlfn.RANK.EQ(AI77,$AI$2:$AI$111),""),"")</f>
        <v/>
      </c>
      <c r="AL77" s="30" t="str">
        <f>IF(AND($F77='Tournament Setup'!$A$33,SUM($Q77,$S77,$U77)=0),$I77,"")</f>
        <v/>
      </c>
      <c r="AM77" s="47" t="str">
        <f>IF(ISNUMBER(AL77),IF(COUNTIFS(AM$1:AM76,_xlfn.RANK.EQ(AL77,AL$2:AL$111,0))&gt;0,_xlfn.MAXIFS(AM$1:AM76,AL$1:AL76,AL77)+1,_xlfn.RANK.EQ(AL77,AL$2:AL$111,0)),"")</f>
        <v/>
      </c>
      <c r="AN77" s="1" t="str">
        <f>IF(ISNUMBER(AL77)=TRUE,IF(_xlfn.RANK.EQ(AL77,$AL$2:$AL$111)&lt;='Tournament Setup'!$B$33,_xlfn.RANK.EQ(AL77,$AL$2:$AL$111),""),"")</f>
        <v/>
      </c>
      <c r="AO77" s="31" t="str">
        <f>IF(AND($F77='Tournament Setup'!$A$33,SUM($Q77,$S77)=0,$E77="M",$AN77&gt;'Tournament Setup'!$B$33),$I77,"")</f>
        <v/>
      </c>
      <c r="AP77" s="1" t="str">
        <f>IF(ISNUMBER(AO77)=TRUE,IF(_xlfn.RANK.EQ(AO77,$AO$2:$AO$111)&lt;='Tournament Setup'!$C$33,_xlfn.RANK.EQ(AO77,$AO$2:$AO$111),""),"")</f>
        <v/>
      </c>
      <c r="AQ77" s="31" t="str">
        <f>IF(AND($F77='Tournament Setup'!$A$33,SUM($Q77,$U77)=0,$E77="F",$AN77&gt;'Tournament Setup'!$B$33),$I77,"")</f>
        <v/>
      </c>
      <c r="AR77" s="12" t="str">
        <f>IF(ISNUMBER(AQ77)=TRUE,IF(_xlfn.RANK.EQ(AQ77,$AQ$2:$AQ$111)&lt;='Tournament Setup'!$D$33,_xlfn.RANK.EQ(AQ77,$AQ$2:$AQ$111),""),"")</f>
        <v/>
      </c>
      <c r="AS77" s="30" t="str">
        <f>IF(AND($G77='Tournament Setup'!$A$51,$J77&lt;&gt;0),$J77,"")</f>
        <v/>
      </c>
      <c r="AT77" s="47" t="str">
        <f>IF(ISNUMBER(AS77),IF(COUNTIFS(AT$1:AT76,_xlfn.RANK.EQ(AS77,AS$2:AS$111,0))&gt;0,_xlfn.MAXIFS(AT$1:AT76,AS$1:AS76,AS77)+1,_xlfn.RANK.EQ(AS77,AS$2:AS$111,0)),"")</f>
        <v/>
      </c>
      <c r="AU77" s="1" t="str">
        <f>IF(ISNUMBER(AS77)=TRUE,IF(_xlfn.RANK.EQ(AS77,$AS$2:$AS$111)&lt;='Tournament Setup'!$B$49,_xlfn.RANK.EQ(AS77,$AS$2:$AS$111),""),"")</f>
        <v/>
      </c>
      <c r="AV77" s="30" t="str">
        <f>IF(AND($F77='Tournament Setup'!$A$34,SUM($Q77,$S77,$U77)=0),$I77,"")</f>
        <v/>
      </c>
      <c r="AW77" s="47" t="str">
        <f>IF(ISNUMBER(AV77),IF(COUNTIFS(AW$1:AW76,_xlfn.RANK.EQ(AV77,AV$2:AV$111,0))&gt;0,_xlfn.MAXIFS(AW$1:AW76,AV$1:AV76,AV77)+1,_xlfn.RANK.EQ(AV77,AV$2:AV$111,0)),"")</f>
        <v/>
      </c>
      <c r="AX77" s="1" t="str">
        <f>IF(ISNUMBER(AV77)=TRUE,IF(_xlfn.RANK.EQ(AV77,$AV$2:$AV$111)&lt;='Tournament Setup'!$B$34,_xlfn.RANK.EQ(AV77,$AV$2:$AV$111),""),"")</f>
        <v/>
      </c>
      <c r="AY77" s="31" t="str">
        <f>IF(AND($F77='Tournament Setup'!$A$34,SUM($Q77,$S77)=0,$E77="M",$AX77&gt;'Tournament Setup'!$B$34),$I77,"")</f>
        <v/>
      </c>
      <c r="AZ77" s="1" t="str">
        <f>IF(ISNUMBER(AY77)=TRUE,IF(_xlfn.RANK.EQ(AY77,$AY$2:$AY$111)&lt;='Tournament Setup'!$C$34,_xlfn.RANK.EQ(AY77,$AY$2:$AY$111),""),"")</f>
        <v/>
      </c>
      <c r="BA77" s="31" t="str">
        <f>IF(AND($F77='Tournament Setup'!$A$34,SUM($Q77,$U77)=0,$E77="F",$AX77&gt;'Tournament Setup'!$B$34),$I77,"")</f>
        <v/>
      </c>
      <c r="BB77" s="12" t="str">
        <f>IF(ISNUMBER(BA77)=TRUE,IF(_xlfn.RANK.EQ(BA77,$BA$2:$BA$111)&lt;='Tournament Setup'!$D$34,_xlfn.RANK.EQ(BA77,$BA$2:$BA$111),""),"")</f>
        <v/>
      </c>
      <c r="BC77" s="30" t="str">
        <f>IF(AND($G77='Tournament Setup'!$A$52,$J77&lt;&gt;0),$J77,"")</f>
        <v/>
      </c>
      <c r="BD77" s="47" t="str">
        <f>IF(ISNUMBER(BC77),IF(COUNTIFS(BD$1:BD76,_xlfn.RANK.EQ(BC77,BC$2:BC$111,0))&gt;0,_xlfn.MAXIFS(BD$1:BD76,BC$1:BC76,BC77)+1,_xlfn.RANK.EQ(BC77,BC$2:BC$111,0)),"")</f>
        <v/>
      </c>
      <c r="BE77" s="1" t="str">
        <f>IF(ISNUMBER(BC77)=TRUE,IF(_xlfn.RANK.EQ(BC77,$BC$2:$BC$111)&lt;='Tournament Setup'!$B$49,_xlfn.RANK.EQ(BC77,$BC$2:$BC$111),""),"")</f>
        <v/>
      </c>
      <c r="BF77" s="30" t="str">
        <f>IF(AND($F77='Tournament Setup'!$A$35,SUM($Q77,$S77,$U77)=0),$I77,"")</f>
        <v/>
      </c>
      <c r="BG77" s="47" t="str">
        <f>IF(ISNUMBER(BF77),IF(COUNTIFS(BG$1:BG76,_xlfn.RANK.EQ(BF77,BF$2:BF$111,0))&gt;0,_xlfn.MAXIFS(BG$1:BG76,BF$1:BF76,BF77)+1,_xlfn.RANK.EQ(BF77,BF$2:BF$111,0)),"")</f>
        <v/>
      </c>
      <c r="BH77" s="1" t="str">
        <f>IF(ISNUMBER(BF77)=TRUE,IF(_xlfn.RANK.EQ(BF77,$BF$2:$BF$111)&lt;='Tournament Setup'!$B$35,_xlfn.RANK.EQ(BF77,$BF$2:$BF$111),""),"")</f>
        <v/>
      </c>
      <c r="BI77" s="31" t="str">
        <f>IF(AND($F77='Tournament Setup'!$A$35,SUM($Q77,$S77)=0,$E77="M",$BH77&gt;'Tournament Setup'!$B$35),$I77,"")</f>
        <v/>
      </c>
      <c r="BJ77" s="1" t="str">
        <f>IF(ISNUMBER(BI77)=TRUE,IF(_xlfn.RANK.EQ(BI77,$BI$2:$BI$111)&lt;='Tournament Setup'!$C$35,_xlfn.RANK.EQ(BI77,$BI$2:$BI$111),""),"")</f>
        <v/>
      </c>
      <c r="BK77" s="31" t="str">
        <f>IF(AND($F77='Tournament Setup'!$A$35,SUM($Q77,$U77)=0,$E77="F",$BH77&gt;'Tournament Setup'!$B$35),$I77,"")</f>
        <v/>
      </c>
      <c r="BL77" s="12" t="str">
        <f>IF(ISNUMBER(BK77)=TRUE,IF(_xlfn.RANK.EQ(BK77,$BK$2:$BK$111)&lt;='Tournament Setup'!$D$35,_xlfn.RANK.EQ(BK77,$BK$2:$BK$111),""),"")</f>
        <v/>
      </c>
      <c r="BM77" s="30" t="str">
        <f>IF(AND($G77='Tournament Setup'!$A$54,$J77&lt;&gt;0),$J77,"")</f>
        <v/>
      </c>
      <c r="BN77" s="47" t="str">
        <f>IF(ISNUMBER(BM77),IF(COUNTIFS(BN$1:BN76,_xlfn.RANK.EQ(BM77,BM$2:BM$111,0))&gt;0,_xlfn.MAXIFS(BN$1:BN76,BM$1:BM76,BM77)+1,_xlfn.RANK.EQ(BM77,BM$2:BM$111,0)),"")</f>
        <v/>
      </c>
      <c r="BO77" s="1" t="str">
        <f>IF(ISNUMBER(BM77)=TRUE,IF(_xlfn.RANK.EQ(BM77,$BM$2:$BM$111)&lt;='Tournament Setup'!$B$49,_xlfn.RANK.EQ(BM77,$BM$2:$BM$111),""),"")</f>
        <v/>
      </c>
      <c r="BP77" s="30" t="str">
        <f>IF(AND($F77='Tournament Setup'!$A$36,SUM($Q77,$S77,$U77)=0),$I77,"")</f>
        <v/>
      </c>
      <c r="BQ77" s="47" t="str">
        <f>IF(ISNUMBER(BP77),IF(COUNTIFS(BQ$1:BQ76,_xlfn.RANK.EQ(BP77,BP$2:BP$111,0))&gt;0,_xlfn.MAXIFS(BQ$1:BQ76,BP$1:BP76,BP77)+1,_xlfn.RANK.EQ(BP77,BP$2:BP$111,0)),"")</f>
        <v/>
      </c>
      <c r="BR77" s="1" t="str">
        <f>IF(ISNUMBER(BP77)=TRUE,IF(_xlfn.RANK.EQ(BP77,$BP$2:$BP$111)&lt;='Tournament Setup'!$B$36,_xlfn.RANK.EQ(BP77,$BP$2:$BP$111),""),"")</f>
        <v/>
      </c>
      <c r="BS77" s="31" t="str">
        <f>IF(AND($F77='Tournament Setup'!$A$36,SUM($Q77,$S77)=0,$E77="M",$BR77&gt;'Tournament Setup'!$B$36),$I77,"")</f>
        <v/>
      </c>
      <c r="BT77" s="1" t="str">
        <f>IF(ISNUMBER(BS77)=TRUE,IF(_xlfn.RANK.EQ(BS77,$BS$2:$BS$111)&lt;='Tournament Setup'!$C$36,_xlfn.RANK.EQ(BS77,$BS$2:$BS$111),""),"")</f>
        <v/>
      </c>
      <c r="BU77" s="31" t="str">
        <f>IF(AND($F77='Tournament Setup'!$A$36,SUM($Q77,$U77)=0,$E77="F",$BR77&gt;'Tournament Setup'!$B$36),$I77,"")</f>
        <v/>
      </c>
      <c r="BV77" s="12" t="str">
        <f>IF(ISNUMBER(BU77)=TRUE,IF(_xlfn.RANK.EQ(BU77,$BU$2:$BU$111)&lt;='Tournament Setup'!$D$36,_xlfn.RANK.EQ(BU77,$BU$2:$BU$111),""),"")</f>
        <v/>
      </c>
      <c r="BW77" s="30" t="str">
        <f>IF($H77='Tournament Setup'!$A$41,$I77,"")</f>
        <v/>
      </c>
      <c r="BX77" s="47" t="str">
        <f>IF(ISNUMBER(BW77),IF(COUNTIFS(BX$1:BX76,_xlfn.RANK.EQ(BW77,BW$2:BW$111,0))&gt;0,_xlfn.MAXIFS(BX$1:BX76,BW$1:BW76,BW77)+1,_xlfn.RANK.EQ(BW77,BW$2:BW$111,0)),"")</f>
        <v/>
      </c>
      <c r="BY77" s="1" t="str">
        <f>IF(ISNUMBER(BW77)=TRUE,IF(_xlfn.RANK.EQ(BW77,$BW$2:$BW$111)&lt;='Tournament Setup'!$B$41,_xlfn.RANK.EQ(BW77,$BW$2:$BW$111),""),"")</f>
        <v/>
      </c>
      <c r="BZ77" s="31" t="str">
        <f>IF(AND($H77='Tournament Setup'!$A$41,$E77="M",$BY77&gt;'Tournament Setup'!$B$41),$I77,"")</f>
        <v/>
      </c>
      <c r="CA77" s="1" t="str">
        <f>IF(ISNUMBER(BZ77)=TRUE,IF(_xlfn.RANK.EQ(BZ77,$BZ$2:$BZ$111)&lt;='Tournament Setup'!$C$41,_xlfn.RANK.EQ(BZ77,$BZ$2:$BZ$111),""),"")</f>
        <v/>
      </c>
      <c r="CB77" s="31" t="str">
        <f>IF(AND($H77='Tournament Setup'!$A$41,$E77="F",$BY77&gt;'Tournament Setup'!$B$41),$I77,"")</f>
        <v/>
      </c>
      <c r="CC77" s="12" t="str">
        <f>IF(ISNUMBER(CB77)=TRUE,IF(_xlfn.RANK.EQ(CB77,$CB$2:$CB$111)&lt;='Tournament Setup'!$D$41,_xlfn.RANK.EQ(CB77,$CB$2:$CB$111),""),"")</f>
        <v/>
      </c>
      <c r="CD77" s="30" t="str">
        <f>IF($H77='Tournament Setup'!$A$42,$I77,"")</f>
        <v/>
      </c>
      <c r="CE77" s="47" t="str">
        <f>IF(ISNUMBER(CD77),IF(COUNTIFS(CE$1:CE76,_xlfn.RANK.EQ(CD77,CD$2:CD$111,0))&gt;0,_xlfn.MAXIFS(CE$1:CE76,CD$1:CD76,CD77)+1,_xlfn.RANK.EQ(CD77,CD$2:CD$111,0)),"")</f>
        <v/>
      </c>
      <c r="CF77" s="1" t="str">
        <f>IF(ISNUMBER(CD77)=TRUE,IF(_xlfn.RANK.EQ(CD77,$CD$2:$CD$111)&lt;='Tournament Setup'!$B$42,_xlfn.RANK.EQ(CD77,$CD$2:$CD$111),""),"")</f>
        <v/>
      </c>
      <c r="CG77" s="31" t="str">
        <f>IF(AND($H77='Tournament Setup'!$A$42,$E77="M",$CF77&gt;'Tournament Setup'!$B$42),$I77,"")</f>
        <v/>
      </c>
      <c r="CH77" s="1" t="str">
        <f>IF(ISNUMBER(CG77)=TRUE,IF(_xlfn.RANK.EQ(CG77,$CG$2:$CG$111)&lt;='Tournament Setup'!$C$42,_xlfn.RANK.EQ(CG77,$CG$2:$CG$111),""),"")</f>
        <v/>
      </c>
      <c r="CI77" s="31" t="str">
        <f>IF(AND($H77='Tournament Setup'!$A$42,$E77="F",$CF77&gt;'Tournament Setup'!$B$42),$I77,"")</f>
        <v/>
      </c>
      <c r="CJ77" s="12" t="str">
        <f>IF(ISNUMBER(CI77)=TRUE,IF(_xlfn.RANK.EQ(CI77,$CI$2:$CI$111)&lt;='Tournament Setup'!$D$42,_xlfn.RANK.EQ(CI77,$CI$2:$CI$111),""),"")</f>
        <v/>
      </c>
      <c r="CK77" s="30" t="str">
        <f>IF($H77='Tournament Setup'!$A$43,$I77,"")</f>
        <v/>
      </c>
      <c r="CL77" s="47" t="str">
        <f>IF(ISNUMBER(CK77),IF(COUNTIFS(CL$1:CL76,_xlfn.RANK.EQ(CK77,CK$2:CK$111,0))&gt;0,_xlfn.MAXIFS(CL$1:CL76,CK$1:CK76,CK77)+1,_xlfn.RANK.EQ(CK77,CK$2:CK$111,0)),"")</f>
        <v/>
      </c>
      <c r="CM77" s="1" t="str">
        <f>IF(ISNUMBER(CK77)=TRUE,IF(_xlfn.RANK.EQ(CK77,$CK$2:$CK$111)&lt;='Tournament Setup'!$B$43,_xlfn.RANK.EQ(CK77,$CK$2:$CK$111),""),"")</f>
        <v/>
      </c>
      <c r="CN77" s="31" t="str">
        <f>IF(AND($H77='Tournament Setup'!$A$43,$E77="M",$CM77&gt;'Tournament Setup'!$B$43),$I77,"")</f>
        <v/>
      </c>
      <c r="CO77" s="1" t="str">
        <f>IF(ISNUMBER(CN77)=TRUE,IF(_xlfn.RANK.EQ(CN77,$CN$2:$CN$111)&lt;='Tournament Setup'!$C$43,_xlfn.RANK.EQ(CN77,$CN$2:$CN$111),""),"")</f>
        <v/>
      </c>
      <c r="CP77" s="31" t="str">
        <f>IF(AND($H77='Tournament Setup'!$A$43,$E77="F",$CM77&gt;'Tournament Setup'!$B$43),$I77,"")</f>
        <v/>
      </c>
      <c r="CQ77" s="12" t="str">
        <f>IF(ISNUMBER(CP77)=TRUE,IF(_xlfn.RANK.EQ(CP77,$CP$2:$CP$111)&lt;='Tournament Setup'!$D$43,_xlfn.RANK.EQ(CP77,$CP$2:$CP$111),""),"")</f>
        <v/>
      </c>
      <c r="CR77" s="30" t="str">
        <f>IF($H77='Tournament Setup'!$A$44,$I77,"")</f>
        <v/>
      </c>
      <c r="CS77" s="47" t="str">
        <f>IF(ISNUMBER(CR77),IF(COUNTIFS(CS$1:CS76,_xlfn.RANK.EQ(CR77,CR$2:CR$111,0))&gt;0,_xlfn.MAXIFS(CS$1:CS76,CR$1:CR76,CR77)+1,_xlfn.RANK.EQ(CR77,CR$2:CR$111,0)),"")</f>
        <v/>
      </c>
      <c r="CT77" s="1" t="str">
        <f>IF(ISNUMBER(CR77)=TRUE,IF(_xlfn.RANK.EQ(CR77,$CR$2:$CR$111)&lt;='Tournament Setup'!$B$44,_xlfn.RANK.EQ(CR77,$CR$2:$CR$111),""),"")</f>
        <v/>
      </c>
      <c r="CU77" s="31" t="str">
        <f>IF(AND($H77='Tournament Setup'!$A$44,$E77="M",$CT77&gt;'Tournament Setup'!$B$44),$I77,"")</f>
        <v/>
      </c>
      <c r="CV77" s="1" t="str">
        <f>IF(ISNUMBER(CU77)=TRUE,IF(_xlfn.RANK.EQ(CU77,$CU$2:$CU$111)&lt;='Tournament Setup'!$C$44,_xlfn.RANK.EQ(CU77,$CU$2:$CU$111),""),"")</f>
        <v/>
      </c>
      <c r="CW77" s="31" t="str">
        <f>IF(AND($H77='Tournament Setup'!$A$44,$E77="F",$CT77&gt;'Tournament Setup'!$B$44),$I77,"")</f>
        <v/>
      </c>
      <c r="CX77" s="12" t="str">
        <f>IF(ISNUMBER(CW77)=TRUE,IF(_xlfn.RANK.EQ(CW77,$CW$2:$CW$111)&lt;='Tournament Setup'!$D$44,_xlfn.RANK.EQ(CW77,$CW$2:$CW$111),""),"")</f>
        <v/>
      </c>
    </row>
    <row r="78" spans="2:102" x14ac:dyDescent="0.3">
      <c r="B78" t="str">
        <f>IFERROR(INDEX('Tournament List'!$B:$B,MATCH($A78,'Tournament List'!$A:$A,0)),"")</f>
        <v/>
      </c>
      <c r="C78" t="str">
        <f>IFERROR(INDEX('Tournament List'!$C:$C,MATCH($A78,'Tournament List'!$A:$A,0)),"")</f>
        <v/>
      </c>
      <c r="D78" t="str">
        <f t="shared" si="3"/>
        <v xml:space="preserve"> </v>
      </c>
      <c r="E78" s="1" t="str">
        <f>IFERROR(INDEX('Tournament List'!F:F,MATCH($A78,'Tournament List'!$A:$A,0)),"")</f>
        <v/>
      </c>
      <c r="F78" t="str">
        <f>IFERROR(INDEX('Tournament List'!M:M,MATCH($A78,'Tournament List'!$A:$A,0)),"")</f>
        <v/>
      </c>
      <c r="G78" t="str">
        <f>IFERROR(INDEX('Shooter-Squad Assignment'!L:L,MATCH(A78,'Shooter-Squad Assignment'!A:A,0)),"")</f>
        <v/>
      </c>
      <c r="H78" s="1" t="str">
        <f>IFERROR(INDEX('Tournament List'!AD:AD,MATCH($A78,'Tournament List'!$A:$A,0)),"")</f>
        <v/>
      </c>
      <c r="I78" s="123" t="str">
        <f>IFERROR(INDEX('Tournament List'!AG:AG,MATCH($A78,'Tournament List'!$A:$A,0)),"")</f>
        <v/>
      </c>
      <c r="J78" s="145" t="str">
        <f>IFERROR(INDEX('Tournament List'!Y:Y,MATCH($A78,'Tournament List'!$A:$A,0)),"")</f>
        <v/>
      </c>
      <c r="K78" s="47" t="str">
        <f>IFERROR(INDEX('Tournament List'!S:S,MATCH(A78,'Tournament List'!A:A,0)),"")</f>
        <v/>
      </c>
      <c r="L78" s="47" t="str">
        <f>IF(ISNUMBER(J78),IF(COUNTIFS(L$1:L77,_xlfn.RANK.EQ(J78,J$2:J$111,0))&gt;0,_xlfn.MAXIFS(L$1:L77,J$1:J77,J78)+1,_xlfn.RANK.EQ(J78,J$2:J$111,0)),"")</f>
        <v/>
      </c>
      <c r="M78" s="11" t="str">
        <f>IF(ISNUMBER(I78)=TRUE,IF(I78&gt;0,_xlfn.RANK.EQ(I78,$I$2:$I$111,0),""),"")</f>
        <v/>
      </c>
      <c r="N78" s="56" t="str">
        <f>IF(ISNUMBER(I78),IF(COUNTIFS(N$1:N77,_xlfn.RANK.EQ(I78,I$2:I$111,0))&gt;0,_xlfn.MAXIFS(N$1:N77,I$1:I77,I78)+1,_xlfn.RANK.EQ(I78,I$2:I$111,0)),"")</f>
        <v/>
      </c>
      <c r="O78" s="144" t="str">
        <f>IF(F78&lt;&gt;"Collegiate"=TRUE,$I78,"")</f>
        <v/>
      </c>
      <c r="P78" s="47" t="str">
        <f>IF(ISNUMBER(O78),IF(COUNTIFS(P$1:P77,_xlfn.RANK.EQ(O78,O$2:O$111,0))&gt;0,_xlfn.MAXIFS(P$1:P77,O$1:O77,O78)+1,_xlfn.RANK.EQ(O78,O$2:O$111,0)),"")</f>
        <v/>
      </c>
      <c r="Q78" s="1" t="str">
        <f>IF(ISNUMBER(O78)=TRUE,IF(_xlfn.RANK.EQ(O78,$O$2:$O$111)&lt;='Tournament Setup'!$B$26,_xlfn.RANK.EQ(O78,$O$2:$O$111),""),"")</f>
        <v/>
      </c>
      <c r="R78" s="143" t="str">
        <f>IF(AND($E78="M",SUM($Q78)=0,F78&lt;&gt;"Collegiate")=TRUE,$I78,"")</f>
        <v/>
      </c>
      <c r="S78" s="1" t="str">
        <f>IF(ISNUMBER(R78)=TRUE,IF(_xlfn.RANK.EQ(R78,$R$2:$R$111)&lt;='Tournament Setup'!$B$27,_xlfn.RANK.EQ(R78,$R$2:$R$111),""),"")</f>
        <v/>
      </c>
      <c r="T78" s="143" t="str">
        <f>IF(AND($E78="F",SUM($Q78)=0,F78&lt;&gt;"Collegiate")=TRUE,$I78,"")</f>
        <v/>
      </c>
      <c r="U78" s="12" t="str">
        <f>IF(ISNUMBER(T78)=TRUE,IF(_xlfn.RANK.EQ(T78,$T$2:$T$111)&lt;='Tournament Setup'!$B$28,_xlfn.RANK.EQ(T78,$T$2:$T$111),""),"")</f>
        <v/>
      </c>
      <c r="V78" s="145" t="str">
        <f>IF(AND($G78='Tournament Setup'!$A$53,$J78&lt;&gt;0),$J78,"")</f>
        <v/>
      </c>
      <c r="W78" s="47" t="str">
        <f>IF(ISNUMBER(V78),IF(COUNTIFS(W$1:W77,_xlfn.RANK.EQ(V78,V$2:V$111,0))&gt;0,_xlfn.MAXIFS(W$1:W77,V$1:V77,V78)+1,_xlfn.RANK.EQ(V78,V$2:V$111,0)),"")</f>
        <v/>
      </c>
      <c r="X78" s="1" t="str">
        <f>IF(ISNUMBER(V78)=TRUE,IF(_xlfn.RANK.EQ(V78,$V$2:$V$111)&lt;='Tournament Setup'!$B$53,_xlfn.RANK.EQ(V78,$V$2:$V$111),""),"")</f>
        <v/>
      </c>
      <c r="Y78" s="145" t="str">
        <f>IF(AND($G78='Tournament Setup'!$A$49,$J78&lt;&gt;0),$J78,"")</f>
        <v/>
      </c>
      <c r="Z78" s="47" t="str">
        <f>IF(ISNUMBER(Y78),IF(COUNTIFS(Z$1:Z77,_xlfn.RANK.EQ(Y78,Y$2:Y$111,0))&gt;0,_xlfn.MAXIFS(Z$1:Z77,Y$1:Y77,Y78)+1,_xlfn.RANK.EQ(Y78,Y$2:Y$111,0)),"")</f>
        <v/>
      </c>
      <c r="AA78" s="1" t="str">
        <f>IF(ISNUMBER(Y78)=TRUE,IF(_xlfn.RANK.EQ(Y78,$Y$2:$Y$111)&lt;='Tournament Setup'!$B$49,_xlfn.RANK.EQ(Y78,$Y$2:$Y$111),""),"")</f>
        <v/>
      </c>
      <c r="AB78" s="30" t="str">
        <f>IF(AND($F78='Tournament Setup'!$A$32,SUM($Q78,$S78,$U78)=0),$I78,"")</f>
        <v/>
      </c>
      <c r="AC78" s="47" t="str">
        <f>IF(ISNUMBER(AB78),IF(COUNTIFS(AC$1:AC77,_xlfn.RANK.EQ(AB78,AB$2:AB$111,0))&gt;0,_xlfn.MAXIFS(AC$1:AC77,AB$1:AB77,AB78)+1,_xlfn.RANK.EQ(AB78,AB$2:AB$111,0)),"")</f>
        <v/>
      </c>
      <c r="AD78" s="1" t="str">
        <f>IF(ISNUMBER(AB78)=TRUE,IF(_xlfn.RANK.EQ(AB78,$AB$2:$AB$111)&lt;='Tournament Setup'!$B$32,_xlfn.RANK.EQ(AB78,$AB$2:$AB$111),""),"")</f>
        <v/>
      </c>
      <c r="AE78" s="31" t="str">
        <f>IF(AND($F78='Tournament Setup'!$A$32,SUM($Q78,$S78)=0,$E78="M",$AD78&gt;'Tournament Setup'!$B$32),$I78,"")</f>
        <v/>
      </c>
      <c r="AF78" s="1" t="str">
        <f>IF(ISNUMBER(AE78)=TRUE,IF(_xlfn.RANK.EQ(AE78,$AE$2:$AE$111)&lt;='Tournament Setup'!$C$32,_xlfn.RANK.EQ(AE78,$AE$2:$AE$111),""),"")</f>
        <v/>
      </c>
      <c r="AG78" s="31" t="str">
        <f>IF(AND($F78='Tournament Setup'!$A$32,SUM($Q78,$U78)=0,$E78="F",$AD78&gt;'Tournament Setup'!$B$32),$I78,"")</f>
        <v/>
      </c>
      <c r="AH78" s="12" t="str">
        <f>IF(ISNUMBER(AG78)=TRUE,IF(_xlfn.RANK.EQ(AG78,$AG$2:$AG$111)&lt;='Tournament Setup'!$D$32,_xlfn.RANK.EQ(AG78,$AG$2:$AG$111),""),"")</f>
        <v/>
      </c>
      <c r="AI78" s="30" t="str">
        <f>IF(AND($G78='Tournament Setup'!$A$50,$J78&lt;&gt;0),$J78,"")</f>
        <v/>
      </c>
      <c r="AJ78" s="47" t="str">
        <f>IF(ISNUMBER(AI78),IF(COUNTIFS(AJ$1:AJ77,_xlfn.RANK.EQ(AI78,AI$2:AI$111,0))&gt;0,_xlfn.MAXIFS(AJ$1:AJ77,AI$1:AI77,AI78)+1,_xlfn.RANK.EQ(AI78,AI$2:AI$111,0)),"")</f>
        <v/>
      </c>
      <c r="AK78" s="1" t="str">
        <f>IF(ISNUMBER(AI78)=TRUE,IF(_xlfn.RANK.EQ(AI78,$AI$2:$AI$111)&lt;='Tournament Setup'!$B$49,_xlfn.RANK.EQ(AI78,$AI$2:$AI$111),""),"")</f>
        <v/>
      </c>
      <c r="AL78" s="30" t="str">
        <f>IF(AND($F78='Tournament Setup'!$A$33,SUM($Q78,$S78,$U78)=0),$I78,"")</f>
        <v/>
      </c>
      <c r="AM78" s="47" t="str">
        <f>IF(ISNUMBER(AL78),IF(COUNTIFS(AM$1:AM77,_xlfn.RANK.EQ(AL78,AL$2:AL$111,0))&gt;0,_xlfn.MAXIFS(AM$1:AM77,AL$1:AL77,AL78)+1,_xlfn.RANK.EQ(AL78,AL$2:AL$111,0)),"")</f>
        <v/>
      </c>
      <c r="AN78" s="1" t="str">
        <f>IF(ISNUMBER(AL78)=TRUE,IF(_xlfn.RANK.EQ(AL78,$AL$2:$AL$111)&lt;='Tournament Setup'!$B$33,_xlfn.RANK.EQ(AL78,$AL$2:$AL$111),""),"")</f>
        <v/>
      </c>
      <c r="AO78" s="31" t="str">
        <f>IF(AND($F78='Tournament Setup'!$A$33,SUM($Q78,$S78)=0,$E78="M",$AN78&gt;'Tournament Setup'!$B$33),$I78,"")</f>
        <v/>
      </c>
      <c r="AP78" s="1" t="str">
        <f>IF(ISNUMBER(AO78)=TRUE,IF(_xlfn.RANK.EQ(AO78,$AO$2:$AO$111)&lt;='Tournament Setup'!$C$33,_xlfn.RANK.EQ(AO78,$AO$2:$AO$111),""),"")</f>
        <v/>
      </c>
      <c r="AQ78" s="31" t="str">
        <f>IF(AND($F78='Tournament Setup'!$A$33,SUM($Q78,$U78)=0,$E78="F",$AN78&gt;'Tournament Setup'!$B$33),$I78,"")</f>
        <v/>
      </c>
      <c r="AR78" s="12" t="str">
        <f>IF(ISNUMBER(AQ78)=TRUE,IF(_xlfn.RANK.EQ(AQ78,$AQ$2:$AQ$111)&lt;='Tournament Setup'!$D$33,_xlfn.RANK.EQ(AQ78,$AQ$2:$AQ$111),""),"")</f>
        <v/>
      </c>
      <c r="AS78" s="30" t="str">
        <f>IF(AND($G78='Tournament Setup'!$A$51,$J78&lt;&gt;0),$J78,"")</f>
        <v/>
      </c>
      <c r="AT78" s="47" t="str">
        <f>IF(ISNUMBER(AS78),IF(COUNTIFS(AT$1:AT77,_xlfn.RANK.EQ(AS78,AS$2:AS$111,0))&gt;0,_xlfn.MAXIFS(AT$1:AT77,AS$1:AS77,AS78)+1,_xlfn.RANK.EQ(AS78,AS$2:AS$111,0)),"")</f>
        <v/>
      </c>
      <c r="AU78" s="1" t="str">
        <f>IF(ISNUMBER(AS78)=TRUE,IF(_xlfn.RANK.EQ(AS78,$AS$2:$AS$111)&lt;='Tournament Setup'!$B$49,_xlfn.RANK.EQ(AS78,$AS$2:$AS$111),""),"")</f>
        <v/>
      </c>
      <c r="AV78" s="30" t="str">
        <f>IF(AND($F78='Tournament Setup'!$A$34,SUM($Q78,$S78,$U78)=0),$I78,"")</f>
        <v/>
      </c>
      <c r="AW78" s="47" t="str">
        <f>IF(ISNUMBER(AV78),IF(COUNTIFS(AW$1:AW77,_xlfn.RANK.EQ(AV78,AV$2:AV$111,0))&gt;0,_xlfn.MAXIFS(AW$1:AW77,AV$1:AV77,AV78)+1,_xlfn.RANK.EQ(AV78,AV$2:AV$111,0)),"")</f>
        <v/>
      </c>
      <c r="AX78" s="1" t="str">
        <f>IF(ISNUMBER(AV78)=TRUE,IF(_xlfn.RANK.EQ(AV78,$AV$2:$AV$111)&lt;='Tournament Setup'!$B$34,_xlfn.RANK.EQ(AV78,$AV$2:$AV$111),""),"")</f>
        <v/>
      </c>
      <c r="AY78" s="31" t="str">
        <f>IF(AND($F78='Tournament Setup'!$A$34,SUM($Q78,$S78)=0,$E78="M",$AX78&gt;'Tournament Setup'!$B$34),$I78,"")</f>
        <v/>
      </c>
      <c r="AZ78" s="1" t="str">
        <f>IF(ISNUMBER(AY78)=TRUE,IF(_xlfn.RANK.EQ(AY78,$AY$2:$AY$111)&lt;='Tournament Setup'!$C$34,_xlfn.RANK.EQ(AY78,$AY$2:$AY$111),""),"")</f>
        <v/>
      </c>
      <c r="BA78" s="31" t="str">
        <f>IF(AND($F78='Tournament Setup'!$A$34,SUM($Q78,$U78)=0,$E78="F",$AX78&gt;'Tournament Setup'!$B$34),$I78,"")</f>
        <v/>
      </c>
      <c r="BB78" s="12" t="str">
        <f>IF(ISNUMBER(BA78)=TRUE,IF(_xlfn.RANK.EQ(BA78,$BA$2:$BA$111)&lt;='Tournament Setup'!$D$34,_xlfn.RANK.EQ(BA78,$BA$2:$BA$111),""),"")</f>
        <v/>
      </c>
      <c r="BC78" s="30" t="str">
        <f>IF(AND($G78='Tournament Setup'!$A$52,$J78&lt;&gt;0),$J78,"")</f>
        <v/>
      </c>
      <c r="BD78" s="47" t="str">
        <f>IF(ISNUMBER(BC78),IF(COUNTIFS(BD$1:BD77,_xlfn.RANK.EQ(BC78,BC$2:BC$111,0))&gt;0,_xlfn.MAXIFS(BD$1:BD77,BC$1:BC77,BC78)+1,_xlfn.RANK.EQ(BC78,BC$2:BC$111,0)),"")</f>
        <v/>
      </c>
      <c r="BE78" s="1" t="str">
        <f>IF(ISNUMBER(BC78)=TRUE,IF(_xlfn.RANK.EQ(BC78,$BC$2:$BC$111)&lt;='Tournament Setup'!$B$49,_xlfn.RANK.EQ(BC78,$BC$2:$BC$111),""),"")</f>
        <v/>
      </c>
      <c r="BF78" s="30" t="str">
        <f>IF(AND($F78='Tournament Setup'!$A$35,SUM($Q78,$S78,$U78)=0),$I78,"")</f>
        <v/>
      </c>
      <c r="BG78" s="47" t="str">
        <f>IF(ISNUMBER(BF78),IF(COUNTIFS(BG$1:BG77,_xlfn.RANK.EQ(BF78,BF$2:BF$111,0))&gt;0,_xlfn.MAXIFS(BG$1:BG77,BF$1:BF77,BF78)+1,_xlfn.RANK.EQ(BF78,BF$2:BF$111,0)),"")</f>
        <v/>
      </c>
      <c r="BH78" s="1" t="str">
        <f>IF(ISNUMBER(BF78)=TRUE,IF(_xlfn.RANK.EQ(BF78,$BF$2:$BF$111)&lt;='Tournament Setup'!$B$35,_xlfn.RANK.EQ(BF78,$BF$2:$BF$111),""),"")</f>
        <v/>
      </c>
      <c r="BI78" s="31" t="str">
        <f>IF(AND($F78='Tournament Setup'!$A$35,SUM($Q78,$S78)=0,$E78="M",$BH78&gt;'Tournament Setup'!$B$35),$I78,"")</f>
        <v/>
      </c>
      <c r="BJ78" s="1" t="str">
        <f>IF(ISNUMBER(BI78)=TRUE,IF(_xlfn.RANK.EQ(BI78,$BI$2:$BI$111)&lt;='Tournament Setup'!$C$35,_xlfn.RANK.EQ(BI78,$BI$2:$BI$111),""),"")</f>
        <v/>
      </c>
      <c r="BK78" s="31" t="str">
        <f>IF(AND($F78='Tournament Setup'!$A$35,SUM($Q78,$U78)=0,$E78="F",$BH78&gt;'Tournament Setup'!$B$35),$I78,"")</f>
        <v/>
      </c>
      <c r="BL78" s="12" t="str">
        <f>IF(ISNUMBER(BK78)=TRUE,IF(_xlfn.RANK.EQ(BK78,$BK$2:$BK$111)&lt;='Tournament Setup'!$D$35,_xlfn.RANK.EQ(BK78,$BK$2:$BK$111),""),"")</f>
        <v/>
      </c>
      <c r="BM78" s="30" t="str">
        <f>IF(AND($G78='Tournament Setup'!$A$54,$J78&lt;&gt;0),$J78,"")</f>
        <v/>
      </c>
      <c r="BN78" s="47" t="str">
        <f>IF(ISNUMBER(BM78),IF(COUNTIFS(BN$1:BN77,_xlfn.RANK.EQ(BM78,BM$2:BM$111,0))&gt;0,_xlfn.MAXIFS(BN$1:BN77,BM$1:BM77,BM78)+1,_xlfn.RANK.EQ(BM78,BM$2:BM$111,0)),"")</f>
        <v/>
      </c>
      <c r="BO78" s="1" t="str">
        <f>IF(ISNUMBER(BM78)=TRUE,IF(_xlfn.RANK.EQ(BM78,$BM$2:$BM$111)&lt;='Tournament Setup'!$B$49,_xlfn.RANK.EQ(BM78,$BM$2:$BM$111),""),"")</f>
        <v/>
      </c>
      <c r="BP78" s="30" t="str">
        <f>IF(AND($F78='Tournament Setup'!$A$36,SUM($Q78,$S78,$U78)=0),$I78,"")</f>
        <v/>
      </c>
      <c r="BQ78" s="47" t="str">
        <f>IF(ISNUMBER(BP78),IF(COUNTIFS(BQ$1:BQ77,_xlfn.RANK.EQ(BP78,BP$2:BP$111,0))&gt;0,_xlfn.MAXIFS(BQ$1:BQ77,BP$1:BP77,BP78)+1,_xlfn.RANK.EQ(BP78,BP$2:BP$111,0)),"")</f>
        <v/>
      </c>
      <c r="BR78" s="1" t="str">
        <f>IF(ISNUMBER(BP78)=TRUE,IF(_xlfn.RANK.EQ(BP78,$BP$2:$BP$111)&lt;='Tournament Setup'!$B$36,_xlfn.RANK.EQ(BP78,$BP$2:$BP$111),""),"")</f>
        <v/>
      </c>
      <c r="BS78" s="31" t="str">
        <f>IF(AND($F78='Tournament Setup'!$A$36,SUM($Q78,$S78)=0,$E78="M",$BR78&gt;'Tournament Setup'!$B$36),$I78,"")</f>
        <v/>
      </c>
      <c r="BT78" s="1" t="str">
        <f>IF(ISNUMBER(BS78)=TRUE,IF(_xlfn.RANK.EQ(BS78,$BS$2:$BS$111)&lt;='Tournament Setup'!$C$36,_xlfn.RANK.EQ(BS78,$BS$2:$BS$111),""),"")</f>
        <v/>
      </c>
      <c r="BU78" s="31" t="str">
        <f>IF(AND($F78='Tournament Setup'!$A$36,SUM($Q78,$U78)=0,$E78="F",$BR78&gt;'Tournament Setup'!$B$36),$I78,"")</f>
        <v/>
      </c>
      <c r="BV78" s="12" t="str">
        <f>IF(ISNUMBER(BU78)=TRUE,IF(_xlfn.RANK.EQ(BU78,$BU$2:$BU$111)&lt;='Tournament Setup'!$D$36,_xlfn.RANK.EQ(BU78,$BU$2:$BU$111),""),"")</f>
        <v/>
      </c>
      <c r="BW78" s="30" t="str">
        <f>IF($H78='Tournament Setup'!$A$41,$I78,"")</f>
        <v/>
      </c>
      <c r="BX78" s="47" t="str">
        <f>IF(ISNUMBER(BW78),IF(COUNTIFS(BX$1:BX77,_xlfn.RANK.EQ(BW78,BW$2:BW$111,0))&gt;0,_xlfn.MAXIFS(BX$1:BX77,BW$1:BW77,BW78)+1,_xlfn.RANK.EQ(BW78,BW$2:BW$111,0)),"")</f>
        <v/>
      </c>
      <c r="BY78" s="1" t="str">
        <f>IF(ISNUMBER(BW78)=TRUE,IF(_xlfn.RANK.EQ(BW78,$BW$2:$BW$111)&lt;='Tournament Setup'!$B$41,_xlfn.RANK.EQ(BW78,$BW$2:$BW$111),""),"")</f>
        <v/>
      </c>
      <c r="BZ78" s="31" t="str">
        <f>IF(AND($H78='Tournament Setup'!$A$41,$E78="M",$BY78&gt;'Tournament Setup'!$B$41),$I78,"")</f>
        <v/>
      </c>
      <c r="CA78" s="1" t="str">
        <f>IF(ISNUMBER(BZ78)=TRUE,IF(_xlfn.RANK.EQ(BZ78,$BZ$2:$BZ$111)&lt;='Tournament Setup'!$C$41,_xlfn.RANK.EQ(BZ78,$BZ$2:$BZ$111),""),"")</f>
        <v/>
      </c>
      <c r="CB78" s="31" t="str">
        <f>IF(AND($H78='Tournament Setup'!$A$41,$E78="F",$BY78&gt;'Tournament Setup'!$B$41),$I78,"")</f>
        <v/>
      </c>
      <c r="CC78" s="12" t="str">
        <f>IF(ISNUMBER(CB78)=TRUE,IF(_xlfn.RANK.EQ(CB78,$CB$2:$CB$111)&lt;='Tournament Setup'!$D$41,_xlfn.RANK.EQ(CB78,$CB$2:$CB$111),""),"")</f>
        <v/>
      </c>
      <c r="CD78" s="30" t="str">
        <f>IF($H78='Tournament Setup'!$A$42,$I78,"")</f>
        <v/>
      </c>
      <c r="CE78" s="47" t="str">
        <f>IF(ISNUMBER(CD78),IF(COUNTIFS(CE$1:CE77,_xlfn.RANK.EQ(CD78,CD$2:CD$111,0))&gt;0,_xlfn.MAXIFS(CE$1:CE77,CD$1:CD77,CD78)+1,_xlfn.RANK.EQ(CD78,CD$2:CD$111,0)),"")</f>
        <v/>
      </c>
      <c r="CF78" s="1" t="str">
        <f>IF(ISNUMBER(CD78)=TRUE,IF(_xlfn.RANK.EQ(CD78,$CD$2:$CD$111)&lt;='Tournament Setup'!$B$42,_xlfn.RANK.EQ(CD78,$CD$2:$CD$111),""),"")</f>
        <v/>
      </c>
      <c r="CG78" s="31" t="str">
        <f>IF(AND($H78='Tournament Setup'!$A$42,$E78="M",$CF78&gt;'Tournament Setup'!$B$42),$I78,"")</f>
        <v/>
      </c>
      <c r="CH78" s="1" t="str">
        <f>IF(ISNUMBER(CG78)=TRUE,IF(_xlfn.RANK.EQ(CG78,$CG$2:$CG$111)&lt;='Tournament Setup'!$C$42,_xlfn.RANK.EQ(CG78,$CG$2:$CG$111),""),"")</f>
        <v/>
      </c>
      <c r="CI78" s="31" t="str">
        <f>IF(AND($H78='Tournament Setup'!$A$42,$E78="F",$CF78&gt;'Tournament Setup'!$B$42),$I78,"")</f>
        <v/>
      </c>
      <c r="CJ78" s="12" t="str">
        <f>IF(ISNUMBER(CI78)=TRUE,IF(_xlfn.RANK.EQ(CI78,$CI$2:$CI$111)&lt;='Tournament Setup'!$D$42,_xlfn.RANK.EQ(CI78,$CI$2:$CI$111),""),"")</f>
        <v/>
      </c>
      <c r="CK78" s="30" t="str">
        <f>IF($H78='Tournament Setup'!$A$43,$I78,"")</f>
        <v/>
      </c>
      <c r="CL78" s="47" t="str">
        <f>IF(ISNUMBER(CK78),IF(COUNTIFS(CL$1:CL77,_xlfn.RANK.EQ(CK78,CK$2:CK$111,0))&gt;0,_xlfn.MAXIFS(CL$1:CL77,CK$1:CK77,CK78)+1,_xlfn.RANK.EQ(CK78,CK$2:CK$111,0)),"")</f>
        <v/>
      </c>
      <c r="CM78" s="1" t="str">
        <f>IF(ISNUMBER(CK78)=TRUE,IF(_xlfn.RANK.EQ(CK78,$CK$2:$CK$111)&lt;='Tournament Setup'!$B$43,_xlfn.RANK.EQ(CK78,$CK$2:$CK$111),""),"")</f>
        <v/>
      </c>
      <c r="CN78" s="31" t="str">
        <f>IF(AND($H78='Tournament Setup'!$A$43,$E78="M",$CM78&gt;'Tournament Setup'!$B$43),$I78,"")</f>
        <v/>
      </c>
      <c r="CO78" s="1" t="str">
        <f>IF(ISNUMBER(CN78)=TRUE,IF(_xlfn.RANK.EQ(CN78,$CN$2:$CN$111)&lt;='Tournament Setup'!$C$43,_xlfn.RANK.EQ(CN78,$CN$2:$CN$111),""),"")</f>
        <v/>
      </c>
      <c r="CP78" s="31" t="str">
        <f>IF(AND($H78='Tournament Setup'!$A$43,$E78="F",$CM78&gt;'Tournament Setup'!$B$43),$I78,"")</f>
        <v/>
      </c>
      <c r="CQ78" s="12" t="str">
        <f>IF(ISNUMBER(CP78)=TRUE,IF(_xlfn.RANK.EQ(CP78,$CP$2:$CP$111)&lt;='Tournament Setup'!$D$43,_xlfn.RANK.EQ(CP78,$CP$2:$CP$111),""),"")</f>
        <v/>
      </c>
      <c r="CR78" s="30" t="str">
        <f>IF($H78='Tournament Setup'!$A$44,$I78,"")</f>
        <v/>
      </c>
      <c r="CS78" s="47" t="str">
        <f>IF(ISNUMBER(CR78),IF(COUNTIFS(CS$1:CS77,_xlfn.RANK.EQ(CR78,CR$2:CR$111,0))&gt;0,_xlfn.MAXIFS(CS$1:CS77,CR$1:CR77,CR78)+1,_xlfn.RANK.EQ(CR78,CR$2:CR$111,0)),"")</f>
        <v/>
      </c>
      <c r="CT78" s="1" t="str">
        <f>IF(ISNUMBER(CR78)=TRUE,IF(_xlfn.RANK.EQ(CR78,$CR$2:$CR$111)&lt;='Tournament Setup'!$B$44,_xlfn.RANK.EQ(CR78,$CR$2:$CR$111),""),"")</f>
        <v/>
      </c>
      <c r="CU78" s="31" t="str">
        <f>IF(AND($H78='Tournament Setup'!$A$44,$E78="M",$CT78&gt;'Tournament Setup'!$B$44),$I78,"")</f>
        <v/>
      </c>
      <c r="CV78" s="1" t="str">
        <f>IF(ISNUMBER(CU78)=TRUE,IF(_xlfn.RANK.EQ(CU78,$CU$2:$CU$111)&lt;='Tournament Setup'!$C$44,_xlfn.RANK.EQ(CU78,$CU$2:$CU$111),""),"")</f>
        <v/>
      </c>
      <c r="CW78" s="31" t="str">
        <f>IF(AND($H78='Tournament Setup'!$A$44,$E78="F",$CT78&gt;'Tournament Setup'!$B$44),$I78,"")</f>
        <v/>
      </c>
      <c r="CX78" s="12" t="str">
        <f>IF(ISNUMBER(CW78)=TRUE,IF(_xlfn.RANK.EQ(CW78,$CW$2:$CW$111)&lt;='Tournament Setup'!$D$44,_xlfn.RANK.EQ(CW78,$CW$2:$CW$111),""),"")</f>
        <v/>
      </c>
    </row>
    <row r="79" spans="2:102" x14ac:dyDescent="0.3">
      <c r="B79" t="str">
        <f>IFERROR(INDEX('Tournament List'!$B:$B,MATCH($A79,'Tournament List'!$A:$A,0)),"")</f>
        <v/>
      </c>
      <c r="C79" t="str">
        <f>IFERROR(INDEX('Tournament List'!$C:$C,MATCH($A79,'Tournament List'!$A:$A,0)),"")</f>
        <v/>
      </c>
      <c r="D79" t="str">
        <f t="shared" si="3"/>
        <v xml:space="preserve"> </v>
      </c>
      <c r="E79" s="1" t="str">
        <f>IFERROR(INDEX('Tournament List'!F:F,MATCH($A79,'Tournament List'!$A:$A,0)),"")</f>
        <v/>
      </c>
      <c r="F79" t="str">
        <f>IFERROR(INDEX('Tournament List'!M:M,MATCH($A79,'Tournament List'!$A:$A,0)),"")</f>
        <v/>
      </c>
      <c r="G79" t="str">
        <f>IFERROR(INDEX('Shooter-Squad Assignment'!L:L,MATCH(A79,'Shooter-Squad Assignment'!A:A,0)),"")</f>
        <v/>
      </c>
      <c r="H79" s="1" t="str">
        <f>IFERROR(INDEX('Tournament List'!AD:AD,MATCH($A79,'Tournament List'!$A:$A,0)),"")</f>
        <v/>
      </c>
      <c r="I79" s="123" t="str">
        <f>IFERROR(INDEX('Tournament List'!AG:AG,MATCH($A79,'Tournament List'!$A:$A,0)),"")</f>
        <v/>
      </c>
      <c r="J79" s="145" t="str">
        <f>IFERROR(INDEX('Tournament List'!Y:Y,MATCH($A79,'Tournament List'!$A:$A,0)),"")</f>
        <v/>
      </c>
      <c r="K79" s="47" t="str">
        <f>IFERROR(INDEX('Tournament List'!S:S,MATCH(A79,'Tournament List'!A:A,0)),"")</f>
        <v/>
      </c>
      <c r="L79" s="47" t="str">
        <f>IF(ISNUMBER(J79),IF(COUNTIFS(L$1:L78,_xlfn.RANK.EQ(J79,J$2:J$111,0))&gt;0,_xlfn.MAXIFS(L$1:L78,J$1:J78,J79)+1,_xlfn.RANK.EQ(J79,J$2:J$111,0)),"")</f>
        <v/>
      </c>
      <c r="M79" s="11" t="str">
        <f>IF(ISNUMBER(I79)=TRUE,IF(I79&gt;0,_xlfn.RANK.EQ(I79,$I$2:$I$111,0),""),"")</f>
        <v/>
      </c>
      <c r="N79" s="56" t="str">
        <f>IF(ISNUMBER(I79),IF(COUNTIFS(N$1:N78,_xlfn.RANK.EQ(I79,I$2:I$111,0))&gt;0,_xlfn.MAXIFS(N$1:N78,I$1:I78,I79)+1,_xlfn.RANK.EQ(I79,I$2:I$111,0)),"")</f>
        <v/>
      </c>
      <c r="O79" s="144" t="str">
        <f>IF(F79&lt;&gt;"Collegiate"=TRUE,$I79,"")</f>
        <v/>
      </c>
      <c r="P79" s="47" t="str">
        <f>IF(ISNUMBER(O79),IF(COUNTIFS(P$1:P78,_xlfn.RANK.EQ(O79,O$2:O$111,0))&gt;0,_xlfn.MAXIFS(P$1:P78,O$1:O78,O79)+1,_xlfn.RANK.EQ(O79,O$2:O$111,0)),"")</f>
        <v/>
      </c>
      <c r="Q79" s="1" t="str">
        <f>IF(ISNUMBER(O79)=TRUE,IF(_xlfn.RANK.EQ(O79,$O$2:$O$111)&lt;='Tournament Setup'!$B$26,_xlfn.RANK.EQ(O79,$O$2:$O$111),""),"")</f>
        <v/>
      </c>
      <c r="R79" s="143" t="str">
        <f>IF(AND($E79="M",SUM($Q79)=0,F79&lt;&gt;"Collegiate")=TRUE,$I79,"")</f>
        <v/>
      </c>
      <c r="S79" s="1" t="str">
        <f>IF(ISNUMBER(R79)=TRUE,IF(_xlfn.RANK.EQ(R79,$R$2:$R$111)&lt;='Tournament Setup'!$B$27,_xlfn.RANK.EQ(R79,$R$2:$R$111),""),"")</f>
        <v/>
      </c>
      <c r="T79" s="143" t="str">
        <f>IF(AND($E79="F",SUM($Q79)=0,F79&lt;&gt;"Collegiate")=TRUE,$I79,"")</f>
        <v/>
      </c>
      <c r="U79" s="12" t="str">
        <f>IF(ISNUMBER(T79)=TRUE,IF(_xlfn.RANK.EQ(T79,$T$2:$T$111)&lt;='Tournament Setup'!$B$28,_xlfn.RANK.EQ(T79,$T$2:$T$111),""),"")</f>
        <v/>
      </c>
      <c r="V79" s="145" t="str">
        <f>IF(AND($G79='Tournament Setup'!$A$53,$J79&lt;&gt;0),$J79,"")</f>
        <v/>
      </c>
      <c r="W79" s="47" t="str">
        <f>IF(ISNUMBER(V79),IF(COUNTIFS(W$1:W78,_xlfn.RANK.EQ(V79,V$2:V$111,0))&gt;0,_xlfn.MAXIFS(W$1:W78,V$1:V78,V79)+1,_xlfn.RANK.EQ(V79,V$2:V$111,0)),"")</f>
        <v/>
      </c>
      <c r="X79" s="1" t="str">
        <f>IF(ISNUMBER(V79)=TRUE,IF(_xlfn.RANK.EQ(V79,$V$2:$V$111)&lt;='Tournament Setup'!$B$53,_xlfn.RANK.EQ(V79,$V$2:$V$111),""),"")</f>
        <v/>
      </c>
      <c r="Y79" s="145" t="str">
        <f>IF(AND($G79='Tournament Setup'!$A$49,$J79&lt;&gt;0),$J79,"")</f>
        <v/>
      </c>
      <c r="Z79" s="47" t="str">
        <f>IF(ISNUMBER(Y79),IF(COUNTIFS(Z$1:Z78,_xlfn.RANK.EQ(Y79,Y$2:Y$111,0))&gt;0,_xlfn.MAXIFS(Z$1:Z78,Y$1:Y78,Y79)+1,_xlfn.RANK.EQ(Y79,Y$2:Y$111,0)),"")</f>
        <v/>
      </c>
      <c r="AA79" s="1" t="str">
        <f>IF(ISNUMBER(Y79)=TRUE,IF(_xlfn.RANK.EQ(Y79,$Y$2:$Y$111)&lt;='Tournament Setup'!$B$49,_xlfn.RANK.EQ(Y79,$Y$2:$Y$111),""),"")</f>
        <v/>
      </c>
      <c r="AB79" s="30" t="str">
        <f>IF(AND($F79='Tournament Setup'!$A$32,SUM($Q79,$S79,$U79)=0),$I79,"")</f>
        <v/>
      </c>
      <c r="AC79" s="47" t="str">
        <f>IF(ISNUMBER(AB79),IF(COUNTIFS(AC$1:AC78,_xlfn.RANK.EQ(AB79,AB$2:AB$111,0))&gt;0,_xlfn.MAXIFS(AC$1:AC78,AB$1:AB78,AB79)+1,_xlfn.RANK.EQ(AB79,AB$2:AB$111,0)),"")</f>
        <v/>
      </c>
      <c r="AD79" s="1" t="str">
        <f>IF(ISNUMBER(AB79)=TRUE,IF(_xlfn.RANK.EQ(AB79,$AB$2:$AB$111)&lt;='Tournament Setup'!$B$32,_xlfn.RANK.EQ(AB79,$AB$2:$AB$111),""),"")</f>
        <v/>
      </c>
      <c r="AE79" s="31" t="str">
        <f>IF(AND($F79='Tournament Setup'!$A$32,SUM($Q79,$S79)=0,$E79="M",$AD79&gt;'Tournament Setup'!$B$32),$I79,"")</f>
        <v/>
      </c>
      <c r="AF79" s="1" t="str">
        <f>IF(ISNUMBER(AE79)=TRUE,IF(_xlfn.RANK.EQ(AE79,$AE$2:$AE$111)&lt;='Tournament Setup'!$C$32,_xlfn.RANK.EQ(AE79,$AE$2:$AE$111),""),"")</f>
        <v/>
      </c>
      <c r="AG79" s="31" t="str">
        <f>IF(AND($F79='Tournament Setup'!$A$32,SUM($Q79,$U79)=0,$E79="F",$AD79&gt;'Tournament Setup'!$B$32),$I79,"")</f>
        <v/>
      </c>
      <c r="AH79" s="12" t="str">
        <f>IF(ISNUMBER(AG79)=TRUE,IF(_xlfn.RANK.EQ(AG79,$AG$2:$AG$111)&lt;='Tournament Setup'!$D$32,_xlfn.RANK.EQ(AG79,$AG$2:$AG$111),""),"")</f>
        <v/>
      </c>
      <c r="AI79" s="30" t="str">
        <f>IF(AND($G79='Tournament Setup'!$A$50,$J79&lt;&gt;0),$J79,"")</f>
        <v/>
      </c>
      <c r="AJ79" s="47" t="str">
        <f>IF(ISNUMBER(AI79),IF(COUNTIFS(AJ$1:AJ78,_xlfn.RANK.EQ(AI79,AI$2:AI$111,0))&gt;0,_xlfn.MAXIFS(AJ$1:AJ78,AI$1:AI78,AI79)+1,_xlfn.RANK.EQ(AI79,AI$2:AI$111,0)),"")</f>
        <v/>
      </c>
      <c r="AK79" s="1" t="str">
        <f>IF(ISNUMBER(AI79)=TRUE,IF(_xlfn.RANK.EQ(AI79,$AI$2:$AI$111)&lt;='Tournament Setup'!$B$49,_xlfn.RANK.EQ(AI79,$AI$2:$AI$111),""),"")</f>
        <v/>
      </c>
      <c r="AL79" s="30" t="str">
        <f>IF(AND($F79='Tournament Setup'!$A$33,SUM($Q79,$S79,$U79)=0),$I79,"")</f>
        <v/>
      </c>
      <c r="AM79" s="47" t="str">
        <f>IF(ISNUMBER(AL79),IF(COUNTIFS(AM$1:AM78,_xlfn.RANK.EQ(AL79,AL$2:AL$111,0))&gt;0,_xlfn.MAXIFS(AM$1:AM78,AL$1:AL78,AL79)+1,_xlfn.RANK.EQ(AL79,AL$2:AL$111,0)),"")</f>
        <v/>
      </c>
      <c r="AN79" s="1" t="str">
        <f>IF(ISNUMBER(AL79)=TRUE,IF(_xlfn.RANK.EQ(AL79,$AL$2:$AL$111)&lt;='Tournament Setup'!$B$33,_xlfn.RANK.EQ(AL79,$AL$2:$AL$111),""),"")</f>
        <v/>
      </c>
      <c r="AO79" s="31" t="str">
        <f>IF(AND($F79='Tournament Setup'!$A$33,SUM($Q79,$S79)=0,$E79="M",$AN79&gt;'Tournament Setup'!$B$33),$I79,"")</f>
        <v/>
      </c>
      <c r="AP79" s="1" t="str">
        <f>IF(ISNUMBER(AO79)=TRUE,IF(_xlfn.RANK.EQ(AO79,$AO$2:$AO$111)&lt;='Tournament Setup'!$C$33,_xlfn.RANK.EQ(AO79,$AO$2:$AO$111),""),"")</f>
        <v/>
      </c>
      <c r="AQ79" s="31" t="str">
        <f>IF(AND($F79='Tournament Setup'!$A$33,SUM($Q79,$U79)=0,$E79="F",$AN79&gt;'Tournament Setup'!$B$33),$I79,"")</f>
        <v/>
      </c>
      <c r="AR79" s="12" t="str">
        <f>IF(ISNUMBER(AQ79)=TRUE,IF(_xlfn.RANK.EQ(AQ79,$AQ$2:$AQ$111)&lt;='Tournament Setup'!$D$33,_xlfn.RANK.EQ(AQ79,$AQ$2:$AQ$111),""),"")</f>
        <v/>
      </c>
      <c r="AS79" s="30" t="str">
        <f>IF(AND($G79='Tournament Setup'!$A$51,$J79&lt;&gt;0),$J79,"")</f>
        <v/>
      </c>
      <c r="AT79" s="47" t="str">
        <f>IF(ISNUMBER(AS79),IF(COUNTIFS(AT$1:AT78,_xlfn.RANK.EQ(AS79,AS$2:AS$111,0))&gt;0,_xlfn.MAXIFS(AT$1:AT78,AS$1:AS78,AS79)+1,_xlfn.RANK.EQ(AS79,AS$2:AS$111,0)),"")</f>
        <v/>
      </c>
      <c r="AU79" s="1" t="str">
        <f>IF(ISNUMBER(AS79)=TRUE,IF(_xlfn.RANK.EQ(AS79,$AS$2:$AS$111)&lt;='Tournament Setup'!$B$49,_xlfn.RANK.EQ(AS79,$AS$2:$AS$111),""),"")</f>
        <v/>
      </c>
      <c r="AV79" s="30" t="str">
        <f>IF(AND($F79='Tournament Setup'!$A$34,SUM($Q79,$S79,$U79)=0),$I79,"")</f>
        <v/>
      </c>
      <c r="AW79" s="47" t="str">
        <f>IF(ISNUMBER(AV79),IF(COUNTIFS(AW$1:AW78,_xlfn.RANK.EQ(AV79,AV$2:AV$111,0))&gt;0,_xlfn.MAXIFS(AW$1:AW78,AV$1:AV78,AV79)+1,_xlfn.RANK.EQ(AV79,AV$2:AV$111,0)),"")</f>
        <v/>
      </c>
      <c r="AX79" s="1" t="str">
        <f>IF(ISNUMBER(AV79)=TRUE,IF(_xlfn.RANK.EQ(AV79,$AV$2:$AV$111)&lt;='Tournament Setup'!$B$34,_xlfn.RANK.EQ(AV79,$AV$2:$AV$111),""),"")</f>
        <v/>
      </c>
      <c r="AY79" s="31" t="str">
        <f>IF(AND($F79='Tournament Setup'!$A$34,SUM($Q79,$S79)=0,$E79="M",$AX79&gt;'Tournament Setup'!$B$34),$I79,"")</f>
        <v/>
      </c>
      <c r="AZ79" s="1" t="str">
        <f>IF(ISNUMBER(AY79)=TRUE,IF(_xlfn.RANK.EQ(AY79,$AY$2:$AY$111)&lt;='Tournament Setup'!$C$34,_xlfn.RANK.EQ(AY79,$AY$2:$AY$111),""),"")</f>
        <v/>
      </c>
      <c r="BA79" s="31" t="str">
        <f>IF(AND($F79='Tournament Setup'!$A$34,SUM($Q79,$U79)=0,$E79="F",$AX79&gt;'Tournament Setup'!$B$34),$I79,"")</f>
        <v/>
      </c>
      <c r="BB79" s="12" t="str">
        <f>IF(ISNUMBER(BA79)=TRUE,IF(_xlfn.RANK.EQ(BA79,$BA$2:$BA$111)&lt;='Tournament Setup'!$D$34,_xlfn.RANK.EQ(BA79,$BA$2:$BA$111),""),"")</f>
        <v/>
      </c>
      <c r="BC79" s="30" t="str">
        <f>IF(AND($G79='Tournament Setup'!$A$52,$J79&lt;&gt;0),$J79,"")</f>
        <v/>
      </c>
      <c r="BD79" s="47" t="str">
        <f>IF(ISNUMBER(BC79),IF(COUNTIFS(BD$1:BD78,_xlfn.RANK.EQ(BC79,BC$2:BC$111,0))&gt;0,_xlfn.MAXIFS(BD$1:BD78,BC$1:BC78,BC79)+1,_xlfn.RANK.EQ(BC79,BC$2:BC$111,0)),"")</f>
        <v/>
      </c>
      <c r="BE79" s="1" t="str">
        <f>IF(ISNUMBER(BC79)=TRUE,IF(_xlfn.RANK.EQ(BC79,$BC$2:$BC$111)&lt;='Tournament Setup'!$B$49,_xlfn.RANK.EQ(BC79,$BC$2:$BC$111),""),"")</f>
        <v/>
      </c>
      <c r="BF79" s="30" t="str">
        <f>IF(AND($F79='Tournament Setup'!$A$35,SUM($Q79,$S79,$U79)=0),$I79,"")</f>
        <v/>
      </c>
      <c r="BG79" s="47" t="str">
        <f>IF(ISNUMBER(BF79),IF(COUNTIFS(BG$1:BG78,_xlfn.RANK.EQ(BF79,BF$2:BF$111,0))&gt;0,_xlfn.MAXIFS(BG$1:BG78,BF$1:BF78,BF79)+1,_xlfn.RANK.EQ(BF79,BF$2:BF$111,0)),"")</f>
        <v/>
      </c>
      <c r="BH79" s="1" t="str">
        <f>IF(ISNUMBER(BF79)=TRUE,IF(_xlfn.RANK.EQ(BF79,$BF$2:$BF$111)&lt;='Tournament Setup'!$B$35,_xlfn.RANK.EQ(BF79,$BF$2:$BF$111),""),"")</f>
        <v/>
      </c>
      <c r="BI79" s="31" t="str">
        <f>IF(AND($F79='Tournament Setup'!$A$35,SUM($Q79,$S79)=0,$E79="M",$BH79&gt;'Tournament Setup'!$B$35),$I79,"")</f>
        <v/>
      </c>
      <c r="BJ79" s="1" t="str">
        <f>IF(ISNUMBER(BI79)=TRUE,IF(_xlfn.RANK.EQ(BI79,$BI$2:$BI$111)&lt;='Tournament Setup'!$C$35,_xlfn.RANK.EQ(BI79,$BI$2:$BI$111),""),"")</f>
        <v/>
      </c>
      <c r="BK79" s="31" t="str">
        <f>IF(AND($F79='Tournament Setup'!$A$35,SUM($Q79,$U79)=0,$E79="F",$BH79&gt;'Tournament Setup'!$B$35),$I79,"")</f>
        <v/>
      </c>
      <c r="BL79" s="12" t="str">
        <f>IF(ISNUMBER(BK79)=TRUE,IF(_xlfn.RANK.EQ(BK79,$BK$2:$BK$111)&lt;='Tournament Setup'!$D$35,_xlfn.RANK.EQ(BK79,$BK$2:$BK$111),""),"")</f>
        <v/>
      </c>
      <c r="BM79" s="30" t="str">
        <f>IF(AND($G79='Tournament Setup'!$A$54,$J79&lt;&gt;0),$J79,"")</f>
        <v/>
      </c>
      <c r="BN79" s="47" t="str">
        <f>IF(ISNUMBER(BM79),IF(COUNTIFS(BN$1:BN78,_xlfn.RANK.EQ(BM79,BM$2:BM$111,0))&gt;0,_xlfn.MAXIFS(BN$1:BN78,BM$1:BM78,BM79)+1,_xlfn.RANK.EQ(BM79,BM$2:BM$111,0)),"")</f>
        <v/>
      </c>
      <c r="BO79" s="1" t="str">
        <f>IF(ISNUMBER(BM79)=TRUE,IF(_xlfn.RANK.EQ(BM79,$BM$2:$BM$111)&lt;='Tournament Setup'!$B$49,_xlfn.RANK.EQ(BM79,$BM$2:$BM$111),""),"")</f>
        <v/>
      </c>
      <c r="BP79" s="30" t="str">
        <f>IF(AND($F79='Tournament Setup'!$A$36,SUM($Q79,$S79,$U79)=0),$I79,"")</f>
        <v/>
      </c>
      <c r="BQ79" s="47" t="str">
        <f>IF(ISNUMBER(BP79),IF(COUNTIFS(BQ$1:BQ78,_xlfn.RANK.EQ(BP79,BP$2:BP$111,0))&gt;0,_xlfn.MAXIFS(BQ$1:BQ78,BP$1:BP78,BP79)+1,_xlfn.RANK.EQ(BP79,BP$2:BP$111,0)),"")</f>
        <v/>
      </c>
      <c r="BR79" s="1" t="str">
        <f>IF(ISNUMBER(BP79)=TRUE,IF(_xlfn.RANK.EQ(BP79,$BP$2:$BP$111)&lt;='Tournament Setup'!$B$36,_xlfn.RANK.EQ(BP79,$BP$2:$BP$111),""),"")</f>
        <v/>
      </c>
      <c r="BS79" s="31" t="str">
        <f>IF(AND($F79='Tournament Setup'!$A$36,SUM($Q79,$S79)=0,$E79="M",$BR79&gt;'Tournament Setup'!$B$36),$I79,"")</f>
        <v/>
      </c>
      <c r="BT79" s="1" t="str">
        <f>IF(ISNUMBER(BS79)=TRUE,IF(_xlfn.RANK.EQ(BS79,$BS$2:$BS$111)&lt;='Tournament Setup'!$C$36,_xlfn.RANK.EQ(BS79,$BS$2:$BS$111),""),"")</f>
        <v/>
      </c>
      <c r="BU79" s="31" t="str">
        <f>IF(AND($F79='Tournament Setup'!$A$36,SUM($Q79,$U79)=0,$E79="F",$BR79&gt;'Tournament Setup'!$B$36),$I79,"")</f>
        <v/>
      </c>
      <c r="BV79" s="12" t="str">
        <f>IF(ISNUMBER(BU79)=TRUE,IF(_xlfn.RANK.EQ(BU79,$BU$2:$BU$111)&lt;='Tournament Setup'!$D$36,_xlfn.RANK.EQ(BU79,$BU$2:$BU$111),""),"")</f>
        <v/>
      </c>
      <c r="BW79" s="30" t="str">
        <f>IF($H79='Tournament Setup'!$A$41,$I79,"")</f>
        <v/>
      </c>
      <c r="BX79" s="47" t="str">
        <f>IF(ISNUMBER(BW79),IF(COUNTIFS(BX$1:BX78,_xlfn.RANK.EQ(BW79,BW$2:BW$111,0))&gt;0,_xlfn.MAXIFS(BX$1:BX78,BW$1:BW78,BW79)+1,_xlfn.RANK.EQ(BW79,BW$2:BW$111,0)),"")</f>
        <v/>
      </c>
      <c r="BY79" s="1" t="str">
        <f>IF(ISNUMBER(BW79)=TRUE,IF(_xlfn.RANK.EQ(BW79,$BW$2:$BW$111)&lt;='Tournament Setup'!$B$41,_xlfn.RANK.EQ(BW79,$BW$2:$BW$111),""),"")</f>
        <v/>
      </c>
      <c r="BZ79" s="31" t="str">
        <f>IF(AND($H79='Tournament Setup'!$A$41,$E79="M",$BY79&gt;'Tournament Setup'!$B$41),$I79,"")</f>
        <v/>
      </c>
      <c r="CA79" s="1" t="str">
        <f>IF(ISNUMBER(BZ79)=TRUE,IF(_xlfn.RANK.EQ(BZ79,$BZ$2:$BZ$111)&lt;='Tournament Setup'!$C$41,_xlfn.RANK.EQ(BZ79,$BZ$2:$BZ$111),""),"")</f>
        <v/>
      </c>
      <c r="CB79" s="31" t="str">
        <f>IF(AND($H79='Tournament Setup'!$A$41,$E79="F",$BY79&gt;'Tournament Setup'!$B$41),$I79,"")</f>
        <v/>
      </c>
      <c r="CC79" s="12" t="str">
        <f>IF(ISNUMBER(CB79)=TRUE,IF(_xlfn.RANK.EQ(CB79,$CB$2:$CB$111)&lt;='Tournament Setup'!$D$41,_xlfn.RANK.EQ(CB79,$CB$2:$CB$111),""),"")</f>
        <v/>
      </c>
      <c r="CD79" s="30" t="str">
        <f>IF($H79='Tournament Setup'!$A$42,$I79,"")</f>
        <v/>
      </c>
      <c r="CE79" s="47" t="str">
        <f>IF(ISNUMBER(CD79),IF(COUNTIFS(CE$1:CE78,_xlfn.RANK.EQ(CD79,CD$2:CD$111,0))&gt;0,_xlfn.MAXIFS(CE$1:CE78,CD$1:CD78,CD79)+1,_xlfn.RANK.EQ(CD79,CD$2:CD$111,0)),"")</f>
        <v/>
      </c>
      <c r="CF79" s="1" t="str">
        <f>IF(ISNUMBER(CD79)=TRUE,IF(_xlfn.RANK.EQ(CD79,$CD$2:$CD$111)&lt;='Tournament Setup'!$B$42,_xlfn.RANK.EQ(CD79,$CD$2:$CD$111),""),"")</f>
        <v/>
      </c>
      <c r="CG79" s="31" t="str">
        <f>IF(AND($H79='Tournament Setup'!$A$42,$E79="M",$CF79&gt;'Tournament Setup'!$B$42),$I79,"")</f>
        <v/>
      </c>
      <c r="CH79" s="1" t="str">
        <f>IF(ISNUMBER(CG79)=TRUE,IF(_xlfn.RANK.EQ(CG79,$CG$2:$CG$111)&lt;='Tournament Setup'!$C$42,_xlfn.RANK.EQ(CG79,$CG$2:$CG$111),""),"")</f>
        <v/>
      </c>
      <c r="CI79" s="31" t="str">
        <f>IF(AND($H79='Tournament Setup'!$A$42,$E79="F",$CF79&gt;'Tournament Setup'!$B$42),$I79,"")</f>
        <v/>
      </c>
      <c r="CJ79" s="12" t="str">
        <f>IF(ISNUMBER(CI79)=TRUE,IF(_xlfn.RANK.EQ(CI79,$CI$2:$CI$111)&lt;='Tournament Setup'!$D$42,_xlfn.RANK.EQ(CI79,$CI$2:$CI$111),""),"")</f>
        <v/>
      </c>
      <c r="CK79" s="30" t="str">
        <f>IF($H79='Tournament Setup'!$A$43,$I79,"")</f>
        <v/>
      </c>
      <c r="CL79" s="47" t="str">
        <f>IF(ISNUMBER(CK79),IF(COUNTIFS(CL$1:CL78,_xlfn.RANK.EQ(CK79,CK$2:CK$111,0))&gt;0,_xlfn.MAXIFS(CL$1:CL78,CK$1:CK78,CK79)+1,_xlfn.RANK.EQ(CK79,CK$2:CK$111,0)),"")</f>
        <v/>
      </c>
      <c r="CM79" s="1" t="str">
        <f>IF(ISNUMBER(CK79)=TRUE,IF(_xlfn.RANK.EQ(CK79,$CK$2:$CK$111)&lt;='Tournament Setup'!$B$43,_xlfn.RANK.EQ(CK79,$CK$2:$CK$111),""),"")</f>
        <v/>
      </c>
      <c r="CN79" s="31" t="str">
        <f>IF(AND($H79='Tournament Setup'!$A$43,$E79="M",$CM79&gt;'Tournament Setup'!$B$43),$I79,"")</f>
        <v/>
      </c>
      <c r="CO79" s="1" t="str">
        <f>IF(ISNUMBER(CN79)=TRUE,IF(_xlfn.RANK.EQ(CN79,$CN$2:$CN$111)&lt;='Tournament Setup'!$C$43,_xlfn.RANK.EQ(CN79,$CN$2:$CN$111),""),"")</f>
        <v/>
      </c>
      <c r="CP79" s="31" t="str">
        <f>IF(AND($H79='Tournament Setup'!$A$43,$E79="F",$CM79&gt;'Tournament Setup'!$B$43),$I79,"")</f>
        <v/>
      </c>
      <c r="CQ79" s="12" t="str">
        <f>IF(ISNUMBER(CP79)=TRUE,IF(_xlfn.RANK.EQ(CP79,$CP$2:$CP$111)&lt;='Tournament Setup'!$D$43,_xlfn.RANK.EQ(CP79,$CP$2:$CP$111),""),"")</f>
        <v/>
      </c>
      <c r="CR79" s="30" t="str">
        <f>IF($H79='Tournament Setup'!$A$44,$I79,"")</f>
        <v/>
      </c>
      <c r="CS79" s="47" t="str">
        <f>IF(ISNUMBER(CR79),IF(COUNTIFS(CS$1:CS78,_xlfn.RANK.EQ(CR79,CR$2:CR$111,0))&gt;0,_xlfn.MAXIFS(CS$1:CS78,CR$1:CR78,CR79)+1,_xlfn.RANK.EQ(CR79,CR$2:CR$111,0)),"")</f>
        <v/>
      </c>
      <c r="CT79" s="1" t="str">
        <f>IF(ISNUMBER(CR79)=TRUE,IF(_xlfn.RANK.EQ(CR79,$CR$2:$CR$111)&lt;='Tournament Setup'!$B$44,_xlfn.RANK.EQ(CR79,$CR$2:$CR$111),""),"")</f>
        <v/>
      </c>
      <c r="CU79" s="31" t="str">
        <f>IF(AND($H79='Tournament Setup'!$A$44,$E79="M",$CT79&gt;'Tournament Setup'!$B$44),$I79,"")</f>
        <v/>
      </c>
      <c r="CV79" s="1" t="str">
        <f>IF(ISNUMBER(CU79)=TRUE,IF(_xlfn.RANK.EQ(CU79,$CU$2:$CU$111)&lt;='Tournament Setup'!$C$44,_xlfn.RANK.EQ(CU79,$CU$2:$CU$111),""),"")</f>
        <v/>
      </c>
      <c r="CW79" s="31" t="str">
        <f>IF(AND($H79='Tournament Setup'!$A$44,$E79="F",$CT79&gt;'Tournament Setup'!$B$44),$I79,"")</f>
        <v/>
      </c>
      <c r="CX79" s="12" t="str">
        <f>IF(ISNUMBER(CW79)=TRUE,IF(_xlfn.RANK.EQ(CW79,$CW$2:$CW$111)&lt;='Tournament Setup'!$D$44,_xlfn.RANK.EQ(CW79,$CW$2:$CW$111),""),"")</f>
        <v/>
      </c>
    </row>
    <row r="80" spans="2:102" x14ac:dyDescent="0.3">
      <c r="B80" t="str">
        <f>IFERROR(INDEX('Tournament List'!$B:$B,MATCH($A80,'Tournament List'!$A:$A,0)),"")</f>
        <v/>
      </c>
      <c r="C80" t="str">
        <f>IFERROR(INDEX('Tournament List'!$C:$C,MATCH($A80,'Tournament List'!$A:$A,0)),"")</f>
        <v/>
      </c>
      <c r="D80" t="str">
        <f t="shared" si="3"/>
        <v xml:space="preserve"> </v>
      </c>
      <c r="E80" s="1" t="str">
        <f>IFERROR(INDEX('Tournament List'!F:F,MATCH($A80,'Tournament List'!$A:$A,0)),"")</f>
        <v/>
      </c>
      <c r="F80" t="str">
        <f>IFERROR(INDEX('Tournament List'!M:M,MATCH($A80,'Tournament List'!$A:$A,0)),"")</f>
        <v/>
      </c>
      <c r="G80" t="str">
        <f>IFERROR(INDEX('Shooter-Squad Assignment'!L:L,MATCH(A80,'Shooter-Squad Assignment'!A:A,0)),"")</f>
        <v/>
      </c>
      <c r="H80" s="1" t="str">
        <f>IFERROR(INDEX('Tournament List'!AD:AD,MATCH($A80,'Tournament List'!$A:$A,0)),"")</f>
        <v/>
      </c>
      <c r="I80" s="123" t="str">
        <f>IFERROR(INDEX('Tournament List'!AG:AG,MATCH($A80,'Tournament List'!$A:$A,0)),"")</f>
        <v/>
      </c>
      <c r="J80" s="145" t="str">
        <f>IFERROR(INDEX('Tournament List'!Y:Y,MATCH($A80,'Tournament List'!$A:$A,0)),"")</f>
        <v/>
      </c>
      <c r="K80" s="47" t="str">
        <f>IFERROR(INDEX('Tournament List'!S:S,MATCH(A80,'Tournament List'!A:A,0)),"")</f>
        <v/>
      </c>
      <c r="L80" s="47" t="str">
        <f>IF(ISNUMBER(J80),IF(COUNTIFS(L$1:L79,_xlfn.RANK.EQ(J80,J$2:J$111,0))&gt;0,_xlfn.MAXIFS(L$1:L79,J$1:J79,J80)+1,_xlfn.RANK.EQ(J80,J$2:J$111,0)),"")</f>
        <v/>
      </c>
      <c r="M80" s="11" t="str">
        <f>IF(ISNUMBER(I80)=TRUE,IF(I80&gt;0,_xlfn.RANK.EQ(I80,$I$2:$I$111,0),""),"")</f>
        <v/>
      </c>
      <c r="N80" s="56" t="str">
        <f>IF(ISNUMBER(I80),IF(COUNTIFS(N$1:N79,_xlfn.RANK.EQ(I80,I$2:I$111,0))&gt;0,_xlfn.MAXIFS(N$1:N79,I$1:I79,I80)+1,_xlfn.RANK.EQ(I80,I$2:I$111,0)),"")</f>
        <v/>
      </c>
      <c r="O80" s="144" t="str">
        <f>IF(F80&lt;&gt;"Collegiate"=TRUE,$I80,"")</f>
        <v/>
      </c>
      <c r="P80" s="47" t="str">
        <f>IF(ISNUMBER(O80),IF(COUNTIFS(P$1:P79,_xlfn.RANK.EQ(O80,O$2:O$111,0))&gt;0,_xlfn.MAXIFS(P$1:P79,O$1:O79,O80)+1,_xlfn.RANK.EQ(O80,O$2:O$111,0)),"")</f>
        <v/>
      </c>
      <c r="Q80" s="1" t="str">
        <f>IF(ISNUMBER(O80)=TRUE,IF(_xlfn.RANK.EQ(O80,$O$2:$O$111)&lt;='Tournament Setup'!$B$26,_xlfn.RANK.EQ(O80,$O$2:$O$111),""),"")</f>
        <v/>
      </c>
      <c r="R80" s="143" t="str">
        <f>IF(AND($E80="M",SUM($Q80)=0,F80&lt;&gt;"Collegiate")=TRUE,$I80,"")</f>
        <v/>
      </c>
      <c r="S80" s="1" t="str">
        <f>IF(ISNUMBER(R80)=TRUE,IF(_xlfn.RANK.EQ(R80,$R$2:$R$111)&lt;='Tournament Setup'!$B$27,_xlfn.RANK.EQ(R80,$R$2:$R$111),""),"")</f>
        <v/>
      </c>
      <c r="T80" s="143" t="str">
        <f>IF(AND($E80="F",SUM($Q80)=0,F80&lt;&gt;"Collegiate")=TRUE,$I80,"")</f>
        <v/>
      </c>
      <c r="U80" s="12" t="str">
        <f>IF(ISNUMBER(T80)=TRUE,IF(_xlfn.RANK.EQ(T80,$T$2:$T$111)&lt;='Tournament Setup'!$B$28,_xlfn.RANK.EQ(T80,$T$2:$T$111),""),"")</f>
        <v/>
      </c>
      <c r="V80" s="145" t="str">
        <f>IF(AND($G80='Tournament Setup'!$A$53,$J80&lt;&gt;0),$J80,"")</f>
        <v/>
      </c>
      <c r="W80" s="47" t="str">
        <f>IF(ISNUMBER(V80),IF(COUNTIFS(W$1:W79,_xlfn.RANK.EQ(V80,V$2:V$111,0))&gt;0,_xlfn.MAXIFS(W$1:W79,V$1:V79,V80)+1,_xlfn.RANK.EQ(V80,V$2:V$111,0)),"")</f>
        <v/>
      </c>
      <c r="X80" s="1" t="str">
        <f>IF(ISNUMBER(V80)=TRUE,IF(_xlfn.RANK.EQ(V80,$V$2:$V$111)&lt;='Tournament Setup'!$B$53,_xlfn.RANK.EQ(V80,$V$2:$V$111),""),"")</f>
        <v/>
      </c>
      <c r="Y80" s="145" t="str">
        <f>IF(AND($G80='Tournament Setup'!$A$49,$J80&lt;&gt;0),$J80,"")</f>
        <v/>
      </c>
      <c r="Z80" s="47" t="str">
        <f>IF(ISNUMBER(Y80),IF(COUNTIFS(Z$1:Z79,_xlfn.RANK.EQ(Y80,Y$2:Y$111,0))&gt;0,_xlfn.MAXIFS(Z$1:Z79,Y$1:Y79,Y80)+1,_xlfn.RANK.EQ(Y80,Y$2:Y$111,0)),"")</f>
        <v/>
      </c>
      <c r="AA80" s="1" t="str">
        <f>IF(ISNUMBER(Y80)=TRUE,IF(_xlfn.RANK.EQ(Y80,$Y$2:$Y$111)&lt;='Tournament Setup'!$B$49,_xlfn.RANK.EQ(Y80,$Y$2:$Y$111),""),"")</f>
        <v/>
      </c>
      <c r="AB80" s="30" t="str">
        <f>IF(AND($F80='Tournament Setup'!$A$32,SUM($Q80,$S80,$U80)=0),$I80,"")</f>
        <v/>
      </c>
      <c r="AC80" s="47" t="str">
        <f>IF(ISNUMBER(AB80),IF(COUNTIFS(AC$1:AC79,_xlfn.RANK.EQ(AB80,AB$2:AB$111,0))&gt;0,_xlfn.MAXIFS(AC$1:AC79,AB$1:AB79,AB80)+1,_xlfn.RANK.EQ(AB80,AB$2:AB$111,0)),"")</f>
        <v/>
      </c>
      <c r="AD80" s="1" t="str">
        <f>IF(ISNUMBER(AB80)=TRUE,IF(_xlfn.RANK.EQ(AB80,$AB$2:$AB$111)&lt;='Tournament Setup'!$B$32,_xlfn.RANK.EQ(AB80,$AB$2:$AB$111),""),"")</f>
        <v/>
      </c>
      <c r="AE80" s="31" t="str">
        <f>IF(AND($F80='Tournament Setup'!$A$32,SUM($Q80,$S80)=0,$E80="M",$AD80&gt;'Tournament Setup'!$B$32),$I80,"")</f>
        <v/>
      </c>
      <c r="AF80" s="1" t="str">
        <f>IF(ISNUMBER(AE80)=TRUE,IF(_xlfn.RANK.EQ(AE80,$AE$2:$AE$111)&lt;='Tournament Setup'!$C$32,_xlfn.RANK.EQ(AE80,$AE$2:$AE$111),""),"")</f>
        <v/>
      </c>
      <c r="AG80" s="31" t="str">
        <f>IF(AND($F80='Tournament Setup'!$A$32,SUM($Q80,$U80)=0,$E80="F",$AD80&gt;'Tournament Setup'!$B$32),$I80,"")</f>
        <v/>
      </c>
      <c r="AH80" s="12" t="str">
        <f>IF(ISNUMBER(AG80)=TRUE,IF(_xlfn.RANK.EQ(AG80,$AG$2:$AG$111)&lt;='Tournament Setup'!$D$32,_xlfn.RANK.EQ(AG80,$AG$2:$AG$111),""),"")</f>
        <v/>
      </c>
      <c r="AI80" s="30" t="str">
        <f>IF(AND($G80='Tournament Setup'!$A$50,$J80&lt;&gt;0),$J80,"")</f>
        <v/>
      </c>
      <c r="AJ80" s="47" t="str">
        <f>IF(ISNUMBER(AI80),IF(COUNTIFS(AJ$1:AJ79,_xlfn.RANK.EQ(AI80,AI$2:AI$111,0))&gt;0,_xlfn.MAXIFS(AJ$1:AJ79,AI$1:AI79,AI80)+1,_xlfn.RANK.EQ(AI80,AI$2:AI$111,0)),"")</f>
        <v/>
      </c>
      <c r="AK80" s="1" t="str">
        <f>IF(ISNUMBER(AI80)=TRUE,IF(_xlfn.RANK.EQ(AI80,$AI$2:$AI$111)&lt;='Tournament Setup'!$B$49,_xlfn.RANK.EQ(AI80,$AI$2:$AI$111),""),"")</f>
        <v/>
      </c>
      <c r="AL80" s="30" t="str">
        <f>IF(AND($F80='Tournament Setup'!$A$33,SUM($Q80,$S80,$U80)=0),$I80,"")</f>
        <v/>
      </c>
      <c r="AM80" s="47" t="str">
        <f>IF(ISNUMBER(AL80),IF(COUNTIFS(AM$1:AM79,_xlfn.RANK.EQ(AL80,AL$2:AL$111,0))&gt;0,_xlfn.MAXIFS(AM$1:AM79,AL$1:AL79,AL80)+1,_xlfn.RANK.EQ(AL80,AL$2:AL$111,0)),"")</f>
        <v/>
      </c>
      <c r="AN80" s="1" t="str">
        <f>IF(ISNUMBER(AL80)=TRUE,IF(_xlfn.RANK.EQ(AL80,$AL$2:$AL$111)&lt;='Tournament Setup'!$B$33,_xlfn.RANK.EQ(AL80,$AL$2:$AL$111),""),"")</f>
        <v/>
      </c>
      <c r="AO80" s="31" t="str">
        <f>IF(AND($F80='Tournament Setup'!$A$33,SUM($Q80,$S80)=0,$E80="M",$AN80&gt;'Tournament Setup'!$B$33),$I80,"")</f>
        <v/>
      </c>
      <c r="AP80" s="1" t="str">
        <f>IF(ISNUMBER(AO80)=TRUE,IF(_xlfn.RANK.EQ(AO80,$AO$2:$AO$111)&lt;='Tournament Setup'!$C$33,_xlfn.RANK.EQ(AO80,$AO$2:$AO$111),""),"")</f>
        <v/>
      </c>
      <c r="AQ80" s="31" t="str">
        <f>IF(AND($F80='Tournament Setup'!$A$33,SUM($Q80,$U80)=0,$E80="F",$AN80&gt;'Tournament Setup'!$B$33),$I80,"")</f>
        <v/>
      </c>
      <c r="AR80" s="12" t="str">
        <f>IF(ISNUMBER(AQ80)=TRUE,IF(_xlfn.RANK.EQ(AQ80,$AQ$2:$AQ$111)&lt;='Tournament Setup'!$D$33,_xlfn.RANK.EQ(AQ80,$AQ$2:$AQ$111),""),"")</f>
        <v/>
      </c>
      <c r="AS80" s="30" t="str">
        <f>IF(AND($G80='Tournament Setup'!$A$51,$J80&lt;&gt;0),$J80,"")</f>
        <v/>
      </c>
      <c r="AT80" s="47" t="str">
        <f>IF(ISNUMBER(AS80),IF(COUNTIFS(AT$1:AT79,_xlfn.RANK.EQ(AS80,AS$2:AS$111,0))&gt;0,_xlfn.MAXIFS(AT$1:AT79,AS$1:AS79,AS80)+1,_xlfn.RANK.EQ(AS80,AS$2:AS$111,0)),"")</f>
        <v/>
      </c>
      <c r="AU80" s="1" t="str">
        <f>IF(ISNUMBER(AS80)=TRUE,IF(_xlfn.RANK.EQ(AS80,$AS$2:$AS$111)&lt;='Tournament Setup'!$B$49,_xlfn.RANK.EQ(AS80,$AS$2:$AS$111),""),"")</f>
        <v/>
      </c>
      <c r="AV80" s="30" t="str">
        <f>IF(AND($F80='Tournament Setup'!$A$34,SUM($Q80,$S80,$U80)=0),$I80,"")</f>
        <v/>
      </c>
      <c r="AW80" s="47" t="str">
        <f>IF(ISNUMBER(AV80),IF(COUNTIFS(AW$1:AW79,_xlfn.RANK.EQ(AV80,AV$2:AV$111,0))&gt;0,_xlfn.MAXIFS(AW$1:AW79,AV$1:AV79,AV80)+1,_xlfn.RANK.EQ(AV80,AV$2:AV$111,0)),"")</f>
        <v/>
      </c>
      <c r="AX80" s="1" t="str">
        <f>IF(ISNUMBER(AV80)=TRUE,IF(_xlfn.RANK.EQ(AV80,$AV$2:$AV$111)&lt;='Tournament Setup'!$B$34,_xlfn.RANK.EQ(AV80,$AV$2:$AV$111),""),"")</f>
        <v/>
      </c>
      <c r="AY80" s="31" t="str">
        <f>IF(AND($F80='Tournament Setup'!$A$34,SUM($Q80,$S80)=0,$E80="M",$AX80&gt;'Tournament Setup'!$B$34),$I80,"")</f>
        <v/>
      </c>
      <c r="AZ80" s="1" t="str">
        <f>IF(ISNUMBER(AY80)=TRUE,IF(_xlfn.RANK.EQ(AY80,$AY$2:$AY$111)&lt;='Tournament Setup'!$C$34,_xlfn.RANK.EQ(AY80,$AY$2:$AY$111),""),"")</f>
        <v/>
      </c>
      <c r="BA80" s="31" t="str">
        <f>IF(AND($F80='Tournament Setup'!$A$34,SUM($Q80,$U80)=0,$E80="F",$AX80&gt;'Tournament Setup'!$B$34),$I80,"")</f>
        <v/>
      </c>
      <c r="BB80" s="12" t="str">
        <f>IF(ISNUMBER(BA80)=TRUE,IF(_xlfn.RANK.EQ(BA80,$BA$2:$BA$111)&lt;='Tournament Setup'!$D$34,_xlfn.RANK.EQ(BA80,$BA$2:$BA$111),""),"")</f>
        <v/>
      </c>
      <c r="BC80" s="30" t="str">
        <f>IF(AND($G80='Tournament Setup'!$A$52,$J80&lt;&gt;0),$J80,"")</f>
        <v/>
      </c>
      <c r="BD80" s="47" t="str">
        <f>IF(ISNUMBER(BC80),IF(COUNTIFS(BD$1:BD79,_xlfn.RANK.EQ(BC80,BC$2:BC$111,0))&gt;0,_xlfn.MAXIFS(BD$1:BD79,BC$1:BC79,BC80)+1,_xlfn.RANK.EQ(BC80,BC$2:BC$111,0)),"")</f>
        <v/>
      </c>
      <c r="BE80" s="1" t="str">
        <f>IF(ISNUMBER(BC80)=TRUE,IF(_xlfn.RANK.EQ(BC80,$BC$2:$BC$111)&lt;='Tournament Setup'!$B$49,_xlfn.RANK.EQ(BC80,$BC$2:$BC$111),""),"")</f>
        <v/>
      </c>
      <c r="BF80" s="30" t="str">
        <f>IF(AND($F80='Tournament Setup'!$A$35,SUM($Q80,$S80,$U80)=0),$I80,"")</f>
        <v/>
      </c>
      <c r="BG80" s="47" t="str">
        <f>IF(ISNUMBER(BF80),IF(COUNTIFS(BG$1:BG79,_xlfn.RANK.EQ(BF80,BF$2:BF$111,0))&gt;0,_xlfn.MAXIFS(BG$1:BG79,BF$1:BF79,BF80)+1,_xlfn.RANK.EQ(BF80,BF$2:BF$111,0)),"")</f>
        <v/>
      </c>
      <c r="BH80" s="1" t="str">
        <f>IF(ISNUMBER(BF80)=TRUE,IF(_xlfn.RANK.EQ(BF80,$BF$2:$BF$111)&lt;='Tournament Setup'!$B$35,_xlfn.RANK.EQ(BF80,$BF$2:$BF$111),""),"")</f>
        <v/>
      </c>
      <c r="BI80" s="31" t="str">
        <f>IF(AND($F80='Tournament Setup'!$A$35,SUM($Q80,$S80)=0,$E80="M",$BH80&gt;'Tournament Setup'!$B$35),$I80,"")</f>
        <v/>
      </c>
      <c r="BJ80" s="1" t="str">
        <f>IF(ISNUMBER(BI80)=TRUE,IF(_xlfn.RANK.EQ(BI80,$BI$2:$BI$111)&lt;='Tournament Setup'!$C$35,_xlfn.RANK.EQ(BI80,$BI$2:$BI$111),""),"")</f>
        <v/>
      </c>
      <c r="BK80" s="31" t="str">
        <f>IF(AND($F80='Tournament Setup'!$A$35,SUM($Q80,$U80)=0,$E80="F",$BH80&gt;'Tournament Setup'!$B$35),$I80,"")</f>
        <v/>
      </c>
      <c r="BL80" s="12" t="str">
        <f>IF(ISNUMBER(BK80)=TRUE,IF(_xlfn.RANK.EQ(BK80,$BK$2:$BK$111)&lt;='Tournament Setup'!$D$35,_xlfn.RANK.EQ(BK80,$BK$2:$BK$111),""),"")</f>
        <v/>
      </c>
      <c r="BM80" s="30" t="str">
        <f>IF(AND($G80='Tournament Setup'!$A$54,$J80&lt;&gt;0),$J80,"")</f>
        <v/>
      </c>
      <c r="BN80" s="47" t="str">
        <f>IF(ISNUMBER(BM80),IF(COUNTIFS(BN$1:BN79,_xlfn.RANK.EQ(BM80,BM$2:BM$111,0))&gt;0,_xlfn.MAXIFS(BN$1:BN79,BM$1:BM79,BM80)+1,_xlfn.RANK.EQ(BM80,BM$2:BM$111,0)),"")</f>
        <v/>
      </c>
      <c r="BO80" s="1" t="str">
        <f>IF(ISNUMBER(BM80)=TRUE,IF(_xlfn.RANK.EQ(BM80,$BM$2:$BM$111)&lt;='Tournament Setup'!$B$49,_xlfn.RANK.EQ(BM80,$BM$2:$BM$111),""),"")</f>
        <v/>
      </c>
      <c r="BP80" s="30" t="str">
        <f>IF(AND($F80='Tournament Setup'!$A$36,SUM($Q80,$S80,$U80)=0),$I80,"")</f>
        <v/>
      </c>
      <c r="BQ80" s="47" t="str">
        <f>IF(ISNUMBER(BP80),IF(COUNTIFS(BQ$1:BQ79,_xlfn.RANK.EQ(BP80,BP$2:BP$111,0))&gt;0,_xlfn.MAXIFS(BQ$1:BQ79,BP$1:BP79,BP80)+1,_xlfn.RANK.EQ(BP80,BP$2:BP$111,0)),"")</f>
        <v/>
      </c>
      <c r="BR80" s="1" t="str">
        <f>IF(ISNUMBER(BP80)=TRUE,IF(_xlfn.RANK.EQ(BP80,$BP$2:$BP$111)&lt;='Tournament Setup'!$B$36,_xlfn.RANK.EQ(BP80,$BP$2:$BP$111),""),"")</f>
        <v/>
      </c>
      <c r="BS80" s="31" t="str">
        <f>IF(AND($F80='Tournament Setup'!$A$36,SUM($Q80,$S80)=0,$E80="M",$BR80&gt;'Tournament Setup'!$B$36),$I80,"")</f>
        <v/>
      </c>
      <c r="BT80" s="1" t="str">
        <f>IF(ISNUMBER(BS80)=TRUE,IF(_xlfn.RANK.EQ(BS80,$BS$2:$BS$111)&lt;='Tournament Setup'!$C$36,_xlfn.RANK.EQ(BS80,$BS$2:$BS$111),""),"")</f>
        <v/>
      </c>
      <c r="BU80" s="31" t="str">
        <f>IF(AND($F80='Tournament Setup'!$A$36,SUM($Q80,$U80)=0,$E80="F",$BR80&gt;'Tournament Setup'!$B$36),$I80,"")</f>
        <v/>
      </c>
      <c r="BV80" s="12" t="str">
        <f>IF(ISNUMBER(BU80)=TRUE,IF(_xlfn.RANK.EQ(BU80,$BU$2:$BU$111)&lt;='Tournament Setup'!$D$36,_xlfn.RANK.EQ(BU80,$BU$2:$BU$111),""),"")</f>
        <v/>
      </c>
      <c r="BW80" s="30" t="str">
        <f>IF($H80='Tournament Setup'!$A$41,$I80,"")</f>
        <v/>
      </c>
      <c r="BX80" s="47" t="str">
        <f>IF(ISNUMBER(BW80),IF(COUNTIFS(BX$1:BX79,_xlfn.RANK.EQ(BW80,BW$2:BW$111,0))&gt;0,_xlfn.MAXIFS(BX$1:BX79,BW$1:BW79,BW80)+1,_xlfn.RANK.EQ(BW80,BW$2:BW$111,0)),"")</f>
        <v/>
      </c>
      <c r="BY80" s="1" t="str">
        <f>IF(ISNUMBER(BW80)=TRUE,IF(_xlfn.RANK.EQ(BW80,$BW$2:$BW$111)&lt;='Tournament Setup'!$B$41,_xlfn.RANK.EQ(BW80,$BW$2:$BW$111),""),"")</f>
        <v/>
      </c>
      <c r="BZ80" s="31" t="str">
        <f>IF(AND($H80='Tournament Setup'!$A$41,$E80="M",$BY80&gt;'Tournament Setup'!$B$41),$I80,"")</f>
        <v/>
      </c>
      <c r="CA80" s="1" t="str">
        <f>IF(ISNUMBER(BZ80)=TRUE,IF(_xlfn.RANK.EQ(BZ80,$BZ$2:$BZ$111)&lt;='Tournament Setup'!$C$41,_xlfn.RANK.EQ(BZ80,$BZ$2:$BZ$111),""),"")</f>
        <v/>
      </c>
      <c r="CB80" s="31" t="str">
        <f>IF(AND($H80='Tournament Setup'!$A$41,$E80="F",$BY80&gt;'Tournament Setup'!$B$41),$I80,"")</f>
        <v/>
      </c>
      <c r="CC80" s="12" t="str">
        <f>IF(ISNUMBER(CB80)=TRUE,IF(_xlfn.RANK.EQ(CB80,$CB$2:$CB$111)&lt;='Tournament Setup'!$D$41,_xlfn.RANK.EQ(CB80,$CB$2:$CB$111),""),"")</f>
        <v/>
      </c>
      <c r="CD80" s="30" t="str">
        <f>IF($H80='Tournament Setup'!$A$42,$I80,"")</f>
        <v/>
      </c>
      <c r="CE80" s="47" t="str">
        <f>IF(ISNUMBER(CD80),IF(COUNTIFS(CE$1:CE79,_xlfn.RANK.EQ(CD80,CD$2:CD$111,0))&gt;0,_xlfn.MAXIFS(CE$1:CE79,CD$1:CD79,CD80)+1,_xlfn.RANK.EQ(CD80,CD$2:CD$111,0)),"")</f>
        <v/>
      </c>
      <c r="CF80" s="1" t="str">
        <f>IF(ISNUMBER(CD80)=TRUE,IF(_xlfn.RANK.EQ(CD80,$CD$2:$CD$111)&lt;='Tournament Setup'!$B$42,_xlfn.RANK.EQ(CD80,$CD$2:$CD$111),""),"")</f>
        <v/>
      </c>
      <c r="CG80" s="31" t="str">
        <f>IF(AND($H80='Tournament Setup'!$A$42,$E80="M",$CF80&gt;'Tournament Setup'!$B$42),$I80,"")</f>
        <v/>
      </c>
      <c r="CH80" s="1" t="str">
        <f>IF(ISNUMBER(CG80)=TRUE,IF(_xlfn.RANK.EQ(CG80,$CG$2:$CG$111)&lt;='Tournament Setup'!$C$42,_xlfn.RANK.EQ(CG80,$CG$2:$CG$111),""),"")</f>
        <v/>
      </c>
      <c r="CI80" s="31" t="str">
        <f>IF(AND($H80='Tournament Setup'!$A$42,$E80="F",$CF80&gt;'Tournament Setup'!$B$42),$I80,"")</f>
        <v/>
      </c>
      <c r="CJ80" s="12" t="str">
        <f>IF(ISNUMBER(CI80)=TRUE,IF(_xlfn.RANK.EQ(CI80,$CI$2:$CI$111)&lt;='Tournament Setup'!$D$42,_xlfn.RANK.EQ(CI80,$CI$2:$CI$111),""),"")</f>
        <v/>
      </c>
      <c r="CK80" s="30" t="str">
        <f>IF($H80='Tournament Setup'!$A$43,$I80,"")</f>
        <v/>
      </c>
      <c r="CL80" s="47" t="str">
        <f>IF(ISNUMBER(CK80),IF(COUNTIFS(CL$1:CL79,_xlfn.RANK.EQ(CK80,CK$2:CK$111,0))&gt;0,_xlfn.MAXIFS(CL$1:CL79,CK$1:CK79,CK80)+1,_xlfn.RANK.EQ(CK80,CK$2:CK$111,0)),"")</f>
        <v/>
      </c>
      <c r="CM80" s="1" t="str">
        <f>IF(ISNUMBER(CK80)=TRUE,IF(_xlfn.RANK.EQ(CK80,$CK$2:$CK$111)&lt;='Tournament Setup'!$B$43,_xlfn.RANK.EQ(CK80,$CK$2:$CK$111),""),"")</f>
        <v/>
      </c>
      <c r="CN80" s="31" t="str">
        <f>IF(AND($H80='Tournament Setup'!$A$43,$E80="M",$CM80&gt;'Tournament Setup'!$B$43),$I80,"")</f>
        <v/>
      </c>
      <c r="CO80" s="1" t="str">
        <f>IF(ISNUMBER(CN80)=TRUE,IF(_xlfn.RANK.EQ(CN80,$CN$2:$CN$111)&lt;='Tournament Setup'!$C$43,_xlfn.RANK.EQ(CN80,$CN$2:$CN$111),""),"")</f>
        <v/>
      </c>
      <c r="CP80" s="31" t="str">
        <f>IF(AND($H80='Tournament Setup'!$A$43,$E80="F",$CM80&gt;'Tournament Setup'!$B$43),$I80,"")</f>
        <v/>
      </c>
      <c r="CQ80" s="12" t="str">
        <f>IF(ISNUMBER(CP80)=TRUE,IF(_xlfn.RANK.EQ(CP80,$CP$2:$CP$111)&lt;='Tournament Setup'!$D$43,_xlfn.RANK.EQ(CP80,$CP$2:$CP$111),""),"")</f>
        <v/>
      </c>
      <c r="CR80" s="30" t="str">
        <f>IF($H80='Tournament Setup'!$A$44,$I80,"")</f>
        <v/>
      </c>
      <c r="CS80" s="47" t="str">
        <f>IF(ISNUMBER(CR80),IF(COUNTIFS(CS$1:CS79,_xlfn.RANK.EQ(CR80,CR$2:CR$111,0))&gt;0,_xlfn.MAXIFS(CS$1:CS79,CR$1:CR79,CR80)+1,_xlfn.RANK.EQ(CR80,CR$2:CR$111,0)),"")</f>
        <v/>
      </c>
      <c r="CT80" s="1" t="str">
        <f>IF(ISNUMBER(CR80)=TRUE,IF(_xlfn.RANK.EQ(CR80,$CR$2:$CR$111)&lt;='Tournament Setup'!$B$44,_xlfn.RANK.EQ(CR80,$CR$2:$CR$111),""),"")</f>
        <v/>
      </c>
      <c r="CU80" s="31" t="str">
        <f>IF(AND($H80='Tournament Setup'!$A$44,$E80="M",$CT80&gt;'Tournament Setup'!$B$44),$I80,"")</f>
        <v/>
      </c>
      <c r="CV80" s="1" t="str">
        <f>IF(ISNUMBER(CU80)=TRUE,IF(_xlfn.RANK.EQ(CU80,$CU$2:$CU$111)&lt;='Tournament Setup'!$C$44,_xlfn.RANK.EQ(CU80,$CU$2:$CU$111),""),"")</f>
        <v/>
      </c>
      <c r="CW80" s="31" t="str">
        <f>IF(AND($H80='Tournament Setup'!$A$44,$E80="F",$CT80&gt;'Tournament Setup'!$B$44),$I80,"")</f>
        <v/>
      </c>
      <c r="CX80" s="12" t="str">
        <f>IF(ISNUMBER(CW80)=TRUE,IF(_xlfn.RANK.EQ(CW80,$CW$2:$CW$111)&lt;='Tournament Setup'!$D$44,_xlfn.RANK.EQ(CW80,$CW$2:$CW$111),""),"")</f>
        <v/>
      </c>
    </row>
    <row r="81" spans="2:102" x14ac:dyDescent="0.3">
      <c r="B81" t="str">
        <f>IFERROR(INDEX('Tournament List'!$B:$B,MATCH($A81,'Tournament List'!$A:$A,0)),"")</f>
        <v/>
      </c>
      <c r="C81" t="str">
        <f>IFERROR(INDEX('Tournament List'!$C:$C,MATCH($A81,'Tournament List'!$A:$A,0)),"")</f>
        <v/>
      </c>
      <c r="D81" t="str">
        <f t="shared" si="3"/>
        <v xml:space="preserve"> </v>
      </c>
      <c r="E81" s="1" t="str">
        <f>IFERROR(INDEX('Tournament List'!F:F,MATCH($A81,'Tournament List'!$A:$A,0)),"")</f>
        <v/>
      </c>
      <c r="F81" t="str">
        <f>IFERROR(INDEX('Tournament List'!M:M,MATCH($A81,'Tournament List'!$A:$A,0)),"")</f>
        <v/>
      </c>
      <c r="G81" t="str">
        <f>IFERROR(INDEX('Shooter-Squad Assignment'!L:L,MATCH(A81,'Shooter-Squad Assignment'!A:A,0)),"")</f>
        <v/>
      </c>
      <c r="H81" s="1" t="str">
        <f>IFERROR(INDEX('Tournament List'!AD:AD,MATCH($A81,'Tournament List'!$A:$A,0)),"")</f>
        <v/>
      </c>
      <c r="I81" s="123" t="str">
        <f>IFERROR(INDEX('Tournament List'!AG:AG,MATCH($A81,'Tournament List'!$A:$A,0)),"")</f>
        <v/>
      </c>
      <c r="J81" s="145" t="str">
        <f>IFERROR(INDEX('Tournament List'!Y:Y,MATCH($A81,'Tournament List'!$A:$A,0)),"")</f>
        <v/>
      </c>
      <c r="K81" s="47" t="str">
        <f>IFERROR(INDEX('Tournament List'!S:S,MATCH(A81,'Tournament List'!A:A,0)),"")</f>
        <v/>
      </c>
      <c r="L81" s="47" t="str">
        <f>IF(ISNUMBER(J81),IF(COUNTIFS(L$1:L80,_xlfn.RANK.EQ(J81,J$2:J$111,0))&gt;0,_xlfn.MAXIFS(L$1:L80,J$1:J80,J81)+1,_xlfn.RANK.EQ(J81,J$2:J$111,0)),"")</f>
        <v/>
      </c>
      <c r="M81" s="11" t="str">
        <f>IF(ISNUMBER(I81)=TRUE,IF(I81&gt;0,_xlfn.RANK.EQ(I81,$I$2:$I$111,0),""),"")</f>
        <v/>
      </c>
      <c r="N81" s="56" t="str">
        <f>IF(ISNUMBER(I81),IF(COUNTIFS(N$1:N80,_xlfn.RANK.EQ(I81,I$2:I$111,0))&gt;0,_xlfn.MAXIFS(N$1:N80,I$1:I80,I81)+1,_xlfn.RANK.EQ(I81,I$2:I$111,0)),"")</f>
        <v/>
      </c>
      <c r="O81" s="144" t="str">
        <f>IF(F81&lt;&gt;"Collegiate"=TRUE,$I81,"")</f>
        <v/>
      </c>
      <c r="P81" s="47" t="str">
        <f>IF(ISNUMBER(O81),IF(COUNTIFS(P$1:P80,_xlfn.RANK.EQ(O81,O$2:O$111,0))&gt;0,_xlfn.MAXIFS(P$1:P80,O$1:O80,O81)+1,_xlfn.RANK.EQ(O81,O$2:O$111,0)),"")</f>
        <v/>
      </c>
      <c r="Q81" s="1" t="str">
        <f>IF(ISNUMBER(O81)=TRUE,IF(_xlfn.RANK.EQ(O81,$O$2:$O$111)&lt;='Tournament Setup'!$B$26,_xlfn.RANK.EQ(O81,$O$2:$O$111),""),"")</f>
        <v/>
      </c>
      <c r="R81" s="143" t="str">
        <f>IF(AND($E81="M",SUM($Q81)=0,F81&lt;&gt;"Collegiate")=TRUE,$I81,"")</f>
        <v/>
      </c>
      <c r="S81" s="1" t="str">
        <f>IF(ISNUMBER(R81)=TRUE,IF(_xlfn.RANK.EQ(R81,$R$2:$R$111)&lt;='Tournament Setup'!$B$27,_xlfn.RANK.EQ(R81,$R$2:$R$111),""),"")</f>
        <v/>
      </c>
      <c r="T81" s="143" t="str">
        <f>IF(AND($E81="F",SUM($Q81)=0,F81&lt;&gt;"Collegiate")=TRUE,$I81,"")</f>
        <v/>
      </c>
      <c r="U81" s="12" t="str">
        <f>IF(ISNUMBER(T81)=TRUE,IF(_xlfn.RANK.EQ(T81,$T$2:$T$111)&lt;='Tournament Setup'!$B$28,_xlfn.RANK.EQ(T81,$T$2:$T$111),""),"")</f>
        <v/>
      </c>
      <c r="V81" s="145" t="str">
        <f>IF(AND($G81='Tournament Setup'!$A$53,$J81&lt;&gt;0),$J81,"")</f>
        <v/>
      </c>
      <c r="W81" s="47" t="str">
        <f>IF(ISNUMBER(V81),IF(COUNTIFS(W$1:W80,_xlfn.RANK.EQ(V81,V$2:V$111,0))&gt;0,_xlfn.MAXIFS(W$1:W80,V$1:V80,V81)+1,_xlfn.RANK.EQ(V81,V$2:V$111,0)),"")</f>
        <v/>
      </c>
      <c r="X81" s="1" t="str">
        <f>IF(ISNUMBER(V81)=TRUE,IF(_xlfn.RANK.EQ(V81,$V$2:$V$111)&lt;='Tournament Setup'!$B$53,_xlfn.RANK.EQ(V81,$V$2:$V$111),""),"")</f>
        <v/>
      </c>
      <c r="Y81" s="145" t="str">
        <f>IF(AND($G81='Tournament Setup'!$A$49,$J81&lt;&gt;0),$J81,"")</f>
        <v/>
      </c>
      <c r="Z81" s="47" t="str">
        <f>IF(ISNUMBER(Y81),IF(COUNTIFS(Z$1:Z80,_xlfn.RANK.EQ(Y81,Y$2:Y$111,0))&gt;0,_xlfn.MAXIFS(Z$1:Z80,Y$1:Y80,Y81)+1,_xlfn.RANK.EQ(Y81,Y$2:Y$111,0)),"")</f>
        <v/>
      </c>
      <c r="AA81" s="1" t="str">
        <f>IF(ISNUMBER(Y81)=TRUE,IF(_xlfn.RANK.EQ(Y81,$Y$2:$Y$111)&lt;='Tournament Setup'!$B$49,_xlfn.RANK.EQ(Y81,$Y$2:$Y$111),""),"")</f>
        <v/>
      </c>
      <c r="AB81" s="30" t="str">
        <f>IF(AND($F81='Tournament Setup'!$A$32,SUM($Q81,$S81,$U81)=0),$I81,"")</f>
        <v/>
      </c>
      <c r="AC81" s="47" t="str">
        <f>IF(ISNUMBER(AB81),IF(COUNTIFS(AC$1:AC80,_xlfn.RANK.EQ(AB81,AB$2:AB$111,0))&gt;0,_xlfn.MAXIFS(AC$1:AC80,AB$1:AB80,AB81)+1,_xlfn.RANK.EQ(AB81,AB$2:AB$111,0)),"")</f>
        <v/>
      </c>
      <c r="AD81" s="1" t="str">
        <f>IF(ISNUMBER(AB81)=TRUE,IF(_xlfn.RANK.EQ(AB81,$AB$2:$AB$111)&lt;='Tournament Setup'!$B$32,_xlfn.RANK.EQ(AB81,$AB$2:$AB$111),""),"")</f>
        <v/>
      </c>
      <c r="AE81" s="31" t="str">
        <f>IF(AND($F81='Tournament Setup'!$A$32,SUM($Q81,$S81)=0,$E81="M",$AD81&gt;'Tournament Setup'!$B$32),$I81,"")</f>
        <v/>
      </c>
      <c r="AF81" s="1" t="str">
        <f>IF(ISNUMBER(AE81)=TRUE,IF(_xlfn.RANK.EQ(AE81,$AE$2:$AE$111)&lt;='Tournament Setup'!$C$32,_xlfn.RANK.EQ(AE81,$AE$2:$AE$111),""),"")</f>
        <v/>
      </c>
      <c r="AG81" s="31" t="str">
        <f>IF(AND($F81='Tournament Setup'!$A$32,SUM($Q81,$U81)=0,$E81="F",$AD81&gt;'Tournament Setup'!$B$32),$I81,"")</f>
        <v/>
      </c>
      <c r="AH81" s="12" t="str">
        <f>IF(ISNUMBER(AG81)=TRUE,IF(_xlfn.RANK.EQ(AG81,$AG$2:$AG$111)&lt;='Tournament Setup'!$D$32,_xlfn.RANK.EQ(AG81,$AG$2:$AG$111),""),"")</f>
        <v/>
      </c>
      <c r="AI81" s="30" t="str">
        <f>IF(AND($G81='Tournament Setup'!$A$50,$J81&lt;&gt;0),$J81,"")</f>
        <v/>
      </c>
      <c r="AJ81" s="47" t="str">
        <f>IF(ISNUMBER(AI81),IF(COUNTIFS(AJ$1:AJ80,_xlfn.RANK.EQ(AI81,AI$2:AI$111,0))&gt;0,_xlfn.MAXIFS(AJ$1:AJ80,AI$1:AI80,AI81)+1,_xlfn.RANK.EQ(AI81,AI$2:AI$111,0)),"")</f>
        <v/>
      </c>
      <c r="AK81" s="1" t="str">
        <f>IF(ISNUMBER(AI81)=TRUE,IF(_xlfn.RANK.EQ(AI81,$AI$2:$AI$111)&lt;='Tournament Setup'!$B$49,_xlfn.RANK.EQ(AI81,$AI$2:$AI$111),""),"")</f>
        <v/>
      </c>
      <c r="AL81" s="30" t="str">
        <f>IF(AND($F81='Tournament Setup'!$A$33,SUM($Q81,$S81,$U81)=0),$I81,"")</f>
        <v/>
      </c>
      <c r="AM81" s="47" t="str">
        <f>IF(ISNUMBER(AL81),IF(COUNTIFS(AM$1:AM80,_xlfn.RANK.EQ(AL81,AL$2:AL$111,0))&gt;0,_xlfn.MAXIFS(AM$1:AM80,AL$1:AL80,AL81)+1,_xlfn.RANK.EQ(AL81,AL$2:AL$111,0)),"")</f>
        <v/>
      </c>
      <c r="AN81" s="1" t="str">
        <f>IF(ISNUMBER(AL81)=TRUE,IF(_xlfn.RANK.EQ(AL81,$AL$2:$AL$111)&lt;='Tournament Setup'!$B$33,_xlfn.RANK.EQ(AL81,$AL$2:$AL$111),""),"")</f>
        <v/>
      </c>
      <c r="AO81" s="31" t="str">
        <f>IF(AND($F81='Tournament Setup'!$A$33,SUM($Q81,$S81)=0,$E81="M",$AN81&gt;'Tournament Setup'!$B$33),$I81,"")</f>
        <v/>
      </c>
      <c r="AP81" s="1" t="str">
        <f>IF(ISNUMBER(AO81)=TRUE,IF(_xlfn.RANK.EQ(AO81,$AO$2:$AO$111)&lt;='Tournament Setup'!$C$33,_xlfn.RANK.EQ(AO81,$AO$2:$AO$111),""),"")</f>
        <v/>
      </c>
      <c r="AQ81" s="31" t="str">
        <f>IF(AND($F81='Tournament Setup'!$A$33,SUM($Q81,$U81)=0,$E81="F",$AN81&gt;'Tournament Setup'!$B$33),$I81,"")</f>
        <v/>
      </c>
      <c r="AR81" s="12" t="str">
        <f>IF(ISNUMBER(AQ81)=TRUE,IF(_xlfn.RANK.EQ(AQ81,$AQ$2:$AQ$111)&lt;='Tournament Setup'!$D$33,_xlfn.RANK.EQ(AQ81,$AQ$2:$AQ$111),""),"")</f>
        <v/>
      </c>
      <c r="AS81" s="30" t="str">
        <f>IF(AND($G81='Tournament Setup'!$A$51,$J81&lt;&gt;0),$J81,"")</f>
        <v/>
      </c>
      <c r="AT81" s="47" t="str">
        <f>IF(ISNUMBER(AS81),IF(COUNTIFS(AT$1:AT80,_xlfn.RANK.EQ(AS81,AS$2:AS$111,0))&gt;0,_xlfn.MAXIFS(AT$1:AT80,AS$1:AS80,AS81)+1,_xlfn.RANK.EQ(AS81,AS$2:AS$111,0)),"")</f>
        <v/>
      </c>
      <c r="AU81" s="1" t="str">
        <f>IF(ISNUMBER(AS81)=TRUE,IF(_xlfn.RANK.EQ(AS81,$AS$2:$AS$111)&lt;='Tournament Setup'!$B$49,_xlfn.RANK.EQ(AS81,$AS$2:$AS$111),""),"")</f>
        <v/>
      </c>
      <c r="AV81" s="30" t="str">
        <f>IF(AND($F81='Tournament Setup'!$A$34,SUM($Q81,$S81,$U81)=0),$I81,"")</f>
        <v/>
      </c>
      <c r="AW81" s="47" t="str">
        <f>IF(ISNUMBER(AV81),IF(COUNTIFS(AW$1:AW80,_xlfn.RANK.EQ(AV81,AV$2:AV$111,0))&gt;0,_xlfn.MAXIFS(AW$1:AW80,AV$1:AV80,AV81)+1,_xlfn.RANK.EQ(AV81,AV$2:AV$111,0)),"")</f>
        <v/>
      </c>
      <c r="AX81" s="1" t="str">
        <f>IF(ISNUMBER(AV81)=TRUE,IF(_xlfn.RANK.EQ(AV81,$AV$2:$AV$111)&lt;='Tournament Setup'!$B$34,_xlfn.RANK.EQ(AV81,$AV$2:$AV$111),""),"")</f>
        <v/>
      </c>
      <c r="AY81" s="31" t="str">
        <f>IF(AND($F81='Tournament Setup'!$A$34,SUM($Q81,$S81)=0,$E81="M",$AX81&gt;'Tournament Setup'!$B$34),$I81,"")</f>
        <v/>
      </c>
      <c r="AZ81" s="1" t="str">
        <f>IF(ISNUMBER(AY81)=TRUE,IF(_xlfn.RANK.EQ(AY81,$AY$2:$AY$111)&lt;='Tournament Setup'!$C$34,_xlfn.RANK.EQ(AY81,$AY$2:$AY$111),""),"")</f>
        <v/>
      </c>
      <c r="BA81" s="31" t="str">
        <f>IF(AND($F81='Tournament Setup'!$A$34,SUM($Q81,$U81)=0,$E81="F",$AX81&gt;'Tournament Setup'!$B$34),$I81,"")</f>
        <v/>
      </c>
      <c r="BB81" s="12" t="str">
        <f>IF(ISNUMBER(BA81)=TRUE,IF(_xlfn.RANK.EQ(BA81,$BA$2:$BA$111)&lt;='Tournament Setup'!$D$34,_xlfn.RANK.EQ(BA81,$BA$2:$BA$111),""),"")</f>
        <v/>
      </c>
      <c r="BC81" s="30" t="str">
        <f>IF(AND($G81='Tournament Setup'!$A$52,$J81&lt;&gt;0),$J81,"")</f>
        <v/>
      </c>
      <c r="BD81" s="47" t="str">
        <f>IF(ISNUMBER(BC81),IF(COUNTIFS(BD$1:BD80,_xlfn.RANK.EQ(BC81,BC$2:BC$111,0))&gt;0,_xlfn.MAXIFS(BD$1:BD80,BC$1:BC80,BC81)+1,_xlfn.RANK.EQ(BC81,BC$2:BC$111,0)),"")</f>
        <v/>
      </c>
      <c r="BE81" s="1" t="str">
        <f>IF(ISNUMBER(BC81)=TRUE,IF(_xlfn.RANK.EQ(BC81,$BC$2:$BC$111)&lt;='Tournament Setup'!$B$49,_xlfn.RANK.EQ(BC81,$BC$2:$BC$111),""),"")</f>
        <v/>
      </c>
      <c r="BF81" s="30" t="str">
        <f>IF(AND($F81='Tournament Setup'!$A$35,SUM($Q81,$S81,$U81)=0),$I81,"")</f>
        <v/>
      </c>
      <c r="BG81" s="47" t="str">
        <f>IF(ISNUMBER(BF81),IF(COUNTIFS(BG$1:BG80,_xlfn.RANK.EQ(BF81,BF$2:BF$111,0))&gt;0,_xlfn.MAXIFS(BG$1:BG80,BF$1:BF80,BF81)+1,_xlfn.RANK.EQ(BF81,BF$2:BF$111,0)),"")</f>
        <v/>
      </c>
      <c r="BH81" s="1" t="str">
        <f>IF(ISNUMBER(BF81)=TRUE,IF(_xlfn.RANK.EQ(BF81,$BF$2:$BF$111)&lt;='Tournament Setup'!$B$35,_xlfn.RANK.EQ(BF81,$BF$2:$BF$111),""),"")</f>
        <v/>
      </c>
      <c r="BI81" s="31" t="str">
        <f>IF(AND($F81='Tournament Setup'!$A$35,SUM($Q81,$S81)=0,$E81="M",$BH81&gt;'Tournament Setup'!$B$35),$I81,"")</f>
        <v/>
      </c>
      <c r="BJ81" s="1" t="str">
        <f>IF(ISNUMBER(BI81)=TRUE,IF(_xlfn.RANK.EQ(BI81,$BI$2:$BI$111)&lt;='Tournament Setup'!$C$35,_xlfn.RANK.EQ(BI81,$BI$2:$BI$111),""),"")</f>
        <v/>
      </c>
      <c r="BK81" s="31" t="str">
        <f>IF(AND($F81='Tournament Setup'!$A$35,SUM($Q81,$U81)=0,$E81="F",$BH81&gt;'Tournament Setup'!$B$35),$I81,"")</f>
        <v/>
      </c>
      <c r="BL81" s="12" t="str">
        <f>IF(ISNUMBER(BK81)=TRUE,IF(_xlfn.RANK.EQ(BK81,$BK$2:$BK$111)&lt;='Tournament Setup'!$D$35,_xlfn.RANK.EQ(BK81,$BK$2:$BK$111),""),"")</f>
        <v/>
      </c>
      <c r="BM81" s="30" t="str">
        <f>IF(AND($G81='Tournament Setup'!$A$54,$J81&lt;&gt;0),$J81,"")</f>
        <v/>
      </c>
      <c r="BN81" s="47" t="str">
        <f>IF(ISNUMBER(BM81),IF(COUNTIFS(BN$1:BN80,_xlfn.RANK.EQ(BM81,BM$2:BM$111,0))&gt;0,_xlfn.MAXIFS(BN$1:BN80,BM$1:BM80,BM81)+1,_xlfn.RANK.EQ(BM81,BM$2:BM$111,0)),"")</f>
        <v/>
      </c>
      <c r="BO81" s="1" t="str">
        <f>IF(ISNUMBER(BM81)=TRUE,IF(_xlfn.RANK.EQ(BM81,$BM$2:$BM$111)&lt;='Tournament Setup'!$B$49,_xlfn.RANK.EQ(BM81,$BM$2:$BM$111),""),"")</f>
        <v/>
      </c>
      <c r="BP81" s="30" t="str">
        <f>IF(AND($F81='Tournament Setup'!$A$36,SUM($Q81,$S81,$U81)=0),$I81,"")</f>
        <v/>
      </c>
      <c r="BQ81" s="47" t="str">
        <f>IF(ISNUMBER(BP81),IF(COUNTIFS(BQ$1:BQ80,_xlfn.RANK.EQ(BP81,BP$2:BP$111,0))&gt;0,_xlfn.MAXIFS(BQ$1:BQ80,BP$1:BP80,BP81)+1,_xlfn.RANK.EQ(BP81,BP$2:BP$111,0)),"")</f>
        <v/>
      </c>
      <c r="BR81" s="1" t="str">
        <f>IF(ISNUMBER(BP81)=TRUE,IF(_xlfn.RANK.EQ(BP81,$BP$2:$BP$111)&lt;='Tournament Setup'!$B$36,_xlfn.RANK.EQ(BP81,$BP$2:$BP$111),""),"")</f>
        <v/>
      </c>
      <c r="BS81" s="31" t="str">
        <f>IF(AND($F81='Tournament Setup'!$A$36,SUM($Q81,$S81)=0,$E81="M",$BR81&gt;'Tournament Setup'!$B$36),$I81,"")</f>
        <v/>
      </c>
      <c r="BT81" s="1" t="str">
        <f>IF(ISNUMBER(BS81)=TRUE,IF(_xlfn.RANK.EQ(BS81,$BS$2:$BS$111)&lt;='Tournament Setup'!$C$36,_xlfn.RANK.EQ(BS81,$BS$2:$BS$111),""),"")</f>
        <v/>
      </c>
      <c r="BU81" s="31" t="str">
        <f>IF(AND($F81='Tournament Setup'!$A$36,SUM($Q81,$U81)=0,$E81="F",$BR81&gt;'Tournament Setup'!$B$36),$I81,"")</f>
        <v/>
      </c>
      <c r="BV81" s="12" t="str">
        <f>IF(ISNUMBER(BU81)=TRUE,IF(_xlfn.RANK.EQ(BU81,$BU$2:$BU$111)&lt;='Tournament Setup'!$D$36,_xlfn.RANK.EQ(BU81,$BU$2:$BU$111),""),"")</f>
        <v/>
      </c>
      <c r="BW81" s="30" t="str">
        <f>IF($H81='Tournament Setup'!$A$41,$I81,"")</f>
        <v/>
      </c>
      <c r="BX81" s="47" t="str">
        <f>IF(ISNUMBER(BW81),IF(COUNTIFS(BX$1:BX80,_xlfn.RANK.EQ(BW81,BW$2:BW$111,0))&gt;0,_xlfn.MAXIFS(BX$1:BX80,BW$1:BW80,BW81)+1,_xlfn.RANK.EQ(BW81,BW$2:BW$111,0)),"")</f>
        <v/>
      </c>
      <c r="BY81" s="1" t="str">
        <f>IF(ISNUMBER(BW81)=TRUE,IF(_xlfn.RANK.EQ(BW81,$BW$2:$BW$111)&lt;='Tournament Setup'!$B$41,_xlfn.RANK.EQ(BW81,$BW$2:$BW$111),""),"")</f>
        <v/>
      </c>
      <c r="BZ81" s="31" t="str">
        <f>IF(AND($H81='Tournament Setup'!$A$41,$E81="M",$BY81&gt;'Tournament Setup'!$B$41),$I81,"")</f>
        <v/>
      </c>
      <c r="CA81" s="1" t="str">
        <f>IF(ISNUMBER(BZ81)=TRUE,IF(_xlfn.RANK.EQ(BZ81,$BZ$2:$BZ$111)&lt;='Tournament Setup'!$C$41,_xlfn.RANK.EQ(BZ81,$BZ$2:$BZ$111),""),"")</f>
        <v/>
      </c>
      <c r="CB81" s="31" t="str">
        <f>IF(AND($H81='Tournament Setup'!$A$41,$E81="F",$BY81&gt;'Tournament Setup'!$B$41),$I81,"")</f>
        <v/>
      </c>
      <c r="CC81" s="12" t="str">
        <f>IF(ISNUMBER(CB81)=TRUE,IF(_xlfn.RANK.EQ(CB81,$CB$2:$CB$111)&lt;='Tournament Setup'!$D$41,_xlfn.RANK.EQ(CB81,$CB$2:$CB$111),""),"")</f>
        <v/>
      </c>
      <c r="CD81" s="30" t="str">
        <f>IF($H81='Tournament Setup'!$A$42,$I81,"")</f>
        <v/>
      </c>
      <c r="CE81" s="47" t="str">
        <f>IF(ISNUMBER(CD81),IF(COUNTIFS(CE$1:CE80,_xlfn.RANK.EQ(CD81,CD$2:CD$111,0))&gt;0,_xlfn.MAXIFS(CE$1:CE80,CD$1:CD80,CD81)+1,_xlfn.RANK.EQ(CD81,CD$2:CD$111,0)),"")</f>
        <v/>
      </c>
      <c r="CF81" s="1" t="str">
        <f>IF(ISNUMBER(CD81)=TRUE,IF(_xlfn.RANK.EQ(CD81,$CD$2:$CD$111)&lt;='Tournament Setup'!$B$42,_xlfn.RANK.EQ(CD81,$CD$2:$CD$111),""),"")</f>
        <v/>
      </c>
      <c r="CG81" s="31" t="str">
        <f>IF(AND($H81='Tournament Setup'!$A$42,$E81="M",$CF81&gt;'Tournament Setup'!$B$42),$I81,"")</f>
        <v/>
      </c>
      <c r="CH81" s="1" t="str">
        <f>IF(ISNUMBER(CG81)=TRUE,IF(_xlfn.RANK.EQ(CG81,$CG$2:$CG$111)&lt;='Tournament Setup'!$C$42,_xlfn.RANK.EQ(CG81,$CG$2:$CG$111),""),"")</f>
        <v/>
      </c>
      <c r="CI81" s="31" t="str">
        <f>IF(AND($H81='Tournament Setup'!$A$42,$E81="F",$CF81&gt;'Tournament Setup'!$B$42),$I81,"")</f>
        <v/>
      </c>
      <c r="CJ81" s="12" t="str">
        <f>IF(ISNUMBER(CI81)=TRUE,IF(_xlfn.RANK.EQ(CI81,$CI$2:$CI$111)&lt;='Tournament Setup'!$D$42,_xlfn.RANK.EQ(CI81,$CI$2:$CI$111),""),"")</f>
        <v/>
      </c>
      <c r="CK81" s="30" t="str">
        <f>IF($H81='Tournament Setup'!$A$43,$I81,"")</f>
        <v/>
      </c>
      <c r="CL81" s="47" t="str">
        <f>IF(ISNUMBER(CK81),IF(COUNTIFS(CL$1:CL80,_xlfn.RANK.EQ(CK81,CK$2:CK$111,0))&gt;0,_xlfn.MAXIFS(CL$1:CL80,CK$1:CK80,CK81)+1,_xlfn.RANK.EQ(CK81,CK$2:CK$111,0)),"")</f>
        <v/>
      </c>
      <c r="CM81" s="1" t="str">
        <f>IF(ISNUMBER(CK81)=TRUE,IF(_xlfn.RANK.EQ(CK81,$CK$2:$CK$111)&lt;='Tournament Setup'!$B$43,_xlfn.RANK.EQ(CK81,$CK$2:$CK$111),""),"")</f>
        <v/>
      </c>
      <c r="CN81" s="31" t="str">
        <f>IF(AND($H81='Tournament Setup'!$A$43,$E81="M",$CM81&gt;'Tournament Setup'!$B$43),$I81,"")</f>
        <v/>
      </c>
      <c r="CO81" s="1" t="str">
        <f>IF(ISNUMBER(CN81)=TRUE,IF(_xlfn.RANK.EQ(CN81,$CN$2:$CN$111)&lt;='Tournament Setup'!$C$43,_xlfn.RANK.EQ(CN81,$CN$2:$CN$111),""),"")</f>
        <v/>
      </c>
      <c r="CP81" s="31" t="str">
        <f>IF(AND($H81='Tournament Setup'!$A$43,$E81="F",$CM81&gt;'Tournament Setup'!$B$43),$I81,"")</f>
        <v/>
      </c>
      <c r="CQ81" s="12" t="str">
        <f>IF(ISNUMBER(CP81)=TRUE,IF(_xlfn.RANK.EQ(CP81,$CP$2:$CP$111)&lt;='Tournament Setup'!$D$43,_xlfn.RANK.EQ(CP81,$CP$2:$CP$111),""),"")</f>
        <v/>
      </c>
      <c r="CR81" s="30" t="str">
        <f>IF($H81='Tournament Setup'!$A$44,$I81,"")</f>
        <v/>
      </c>
      <c r="CS81" s="47" t="str">
        <f>IF(ISNUMBER(CR81),IF(COUNTIFS(CS$1:CS80,_xlfn.RANK.EQ(CR81,CR$2:CR$111,0))&gt;0,_xlfn.MAXIFS(CS$1:CS80,CR$1:CR80,CR81)+1,_xlfn.RANK.EQ(CR81,CR$2:CR$111,0)),"")</f>
        <v/>
      </c>
      <c r="CT81" s="1" t="str">
        <f>IF(ISNUMBER(CR81)=TRUE,IF(_xlfn.RANK.EQ(CR81,$CR$2:$CR$111)&lt;='Tournament Setup'!$B$44,_xlfn.RANK.EQ(CR81,$CR$2:$CR$111),""),"")</f>
        <v/>
      </c>
      <c r="CU81" s="31" t="str">
        <f>IF(AND($H81='Tournament Setup'!$A$44,$E81="M",$CT81&gt;'Tournament Setup'!$B$44),$I81,"")</f>
        <v/>
      </c>
      <c r="CV81" s="1" t="str">
        <f>IF(ISNUMBER(CU81)=TRUE,IF(_xlfn.RANK.EQ(CU81,$CU$2:$CU$111)&lt;='Tournament Setup'!$C$44,_xlfn.RANK.EQ(CU81,$CU$2:$CU$111),""),"")</f>
        <v/>
      </c>
      <c r="CW81" s="31" t="str">
        <f>IF(AND($H81='Tournament Setup'!$A$44,$E81="F",$CT81&gt;'Tournament Setup'!$B$44),$I81,"")</f>
        <v/>
      </c>
      <c r="CX81" s="12" t="str">
        <f>IF(ISNUMBER(CW81)=TRUE,IF(_xlfn.RANK.EQ(CW81,$CW$2:$CW$111)&lt;='Tournament Setup'!$D$44,_xlfn.RANK.EQ(CW81,$CW$2:$CW$111),""),"")</f>
        <v/>
      </c>
    </row>
    <row r="82" spans="2:102" x14ac:dyDescent="0.3">
      <c r="B82" t="str">
        <f>IFERROR(INDEX('Tournament List'!$B:$B,MATCH($A82,'Tournament List'!$A:$A,0)),"")</f>
        <v/>
      </c>
      <c r="C82" t="str">
        <f>IFERROR(INDEX('Tournament List'!$C:$C,MATCH($A82,'Tournament List'!$A:$A,0)),"")</f>
        <v/>
      </c>
      <c r="D82" t="str">
        <f t="shared" si="3"/>
        <v xml:space="preserve"> </v>
      </c>
      <c r="E82" s="1" t="str">
        <f>IFERROR(INDEX('Tournament List'!F:F,MATCH($A82,'Tournament List'!$A:$A,0)),"")</f>
        <v/>
      </c>
      <c r="F82" t="str">
        <f>IFERROR(INDEX('Tournament List'!M:M,MATCH($A82,'Tournament List'!$A:$A,0)),"")</f>
        <v/>
      </c>
      <c r="G82" t="str">
        <f>IFERROR(INDEX('Shooter-Squad Assignment'!L:L,MATCH(A82,'Shooter-Squad Assignment'!A:A,0)),"")</f>
        <v/>
      </c>
      <c r="H82" s="1" t="str">
        <f>IFERROR(INDEX('Tournament List'!AD:AD,MATCH($A82,'Tournament List'!$A:$A,0)),"")</f>
        <v/>
      </c>
      <c r="I82" s="123" t="str">
        <f>IFERROR(INDEX('Tournament List'!AG:AG,MATCH($A82,'Tournament List'!$A:$A,0)),"")</f>
        <v/>
      </c>
      <c r="J82" s="145" t="str">
        <f>IFERROR(INDEX('Tournament List'!Y:Y,MATCH($A82,'Tournament List'!$A:$A,0)),"")</f>
        <v/>
      </c>
      <c r="K82" s="47" t="str">
        <f>IFERROR(INDEX('Tournament List'!S:S,MATCH(A82,'Tournament List'!A:A,0)),"")</f>
        <v/>
      </c>
      <c r="L82" s="47" t="str">
        <f>IF(ISNUMBER(J82),IF(COUNTIFS(L$1:L71,_xlfn.RANK.EQ(J82,J$2:J$111,0))&gt;0,_xlfn.MAXIFS(L$1:L71,J$1:J71,J82)+1,_xlfn.RANK.EQ(J82,J$2:J$111,0)),"")</f>
        <v/>
      </c>
      <c r="M82" s="11" t="str">
        <f>IF(ISNUMBER(I82)=TRUE,IF(I82&gt;0,_xlfn.RANK.EQ(I82,$I$2:$I$111,0),""),"")</f>
        <v/>
      </c>
      <c r="N82" s="56" t="str">
        <f>IF(ISNUMBER(I82),IF(COUNTIFS(N$1:N71,_xlfn.RANK.EQ(I82,I$2:I$111,0))&gt;0,_xlfn.MAXIFS(N$1:N71,I$1:I71,I82)+1,_xlfn.RANK.EQ(I82,I$2:I$111,0)),"")</f>
        <v/>
      </c>
      <c r="O82" s="144" t="str">
        <f>IF(F82&lt;&gt;"Collegiate"=TRUE,$I82,"")</f>
        <v/>
      </c>
      <c r="P82" s="47" t="str">
        <f>IF(ISNUMBER(O82),IF(COUNTIFS(P$1:P71,_xlfn.RANK.EQ(O82,O$2:O$111,0))&gt;0,_xlfn.MAXIFS(P$1:P71,O$1:O71,O82)+1,_xlfn.RANK.EQ(O82,O$2:O$111,0)),"")</f>
        <v/>
      </c>
      <c r="Q82" s="1" t="str">
        <f>IF(ISNUMBER(O82)=TRUE,IF(_xlfn.RANK.EQ(O82,$O$2:$O$111)&lt;='Tournament Setup'!$B$26,_xlfn.RANK.EQ(O82,$O$2:$O$111),""),"")</f>
        <v/>
      </c>
      <c r="R82" s="143" t="str">
        <f>IF(AND($E82="M",SUM($Q82)=0,F82&lt;&gt;"Collegiate")=TRUE,$I82,"")</f>
        <v/>
      </c>
      <c r="S82" s="1" t="str">
        <f>IF(ISNUMBER(R82)=TRUE,IF(_xlfn.RANK.EQ(R82,$R$2:$R$111)&lt;='Tournament Setup'!$B$27,_xlfn.RANK.EQ(R82,$R$2:$R$111),""),"")</f>
        <v/>
      </c>
      <c r="T82" s="143" t="str">
        <f>IF(AND($E82="F",SUM($Q82)=0,F82&lt;&gt;"Collegiate")=TRUE,$I82,"")</f>
        <v/>
      </c>
      <c r="U82" s="12" t="str">
        <f>IF(ISNUMBER(T82)=TRUE,IF(_xlfn.RANK.EQ(T82,$T$2:$T$111)&lt;='Tournament Setup'!$B$28,_xlfn.RANK.EQ(T82,$T$2:$T$111),""),"")</f>
        <v/>
      </c>
      <c r="V82" s="145" t="str">
        <f>IF(AND($G82='Tournament Setup'!$A$53,$J82&lt;&gt;0),$J82,"")</f>
        <v/>
      </c>
      <c r="W82" s="47" t="str">
        <f>IF(ISNUMBER(V82),IF(COUNTIFS(W$1:W81,_xlfn.RANK.EQ(V82,V$2:V$111,0))&gt;0,_xlfn.MAXIFS(W$1:W81,V$1:V81,V82)+1,_xlfn.RANK.EQ(V82,V$2:V$111,0)),"")</f>
        <v/>
      </c>
      <c r="X82" s="1" t="str">
        <f>IF(ISNUMBER(V82)=TRUE,IF(_xlfn.RANK.EQ(V82,$V$2:$V$111)&lt;='Tournament Setup'!$B$53,_xlfn.RANK.EQ(V82,$V$2:$V$111),""),"")</f>
        <v/>
      </c>
      <c r="Y82" s="145" t="str">
        <f>IF(AND($G82='Tournament Setup'!$A$49,$J82&lt;&gt;0),$J82,"")</f>
        <v/>
      </c>
      <c r="Z82" s="47" t="str">
        <f>IF(ISNUMBER(Y82),IF(COUNTIFS(Z$1:Z81,_xlfn.RANK.EQ(Y82,Y$2:Y$111,0))&gt;0,_xlfn.MAXIFS(Z$1:Z81,Y$1:Y81,Y82)+1,_xlfn.RANK.EQ(Y82,Y$2:Y$111,0)),"")</f>
        <v/>
      </c>
      <c r="AA82" s="1" t="str">
        <f>IF(ISNUMBER(Y82)=TRUE,IF(_xlfn.RANK.EQ(Y82,$Y$2:$Y$111)&lt;='Tournament Setup'!$B$49,_xlfn.RANK.EQ(Y82,$Y$2:$Y$111),""),"")</f>
        <v/>
      </c>
      <c r="AB82" s="30" t="str">
        <f>IF(AND($F82='Tournament Setup'!$A$32,SUM($Q82,$S82,$U82)=0),$I82,"")</f>
        <v/>
      </c>
      <c r="AC82" s="47" t="str">
        <f>IF(ISNUMBER(AB82),IF(COUNTIFS(AC$1:AC71,_xlfn.RANK.EQ(AB82,AB$2:AB$111,0))&gt;0,_xlfn.MAXIFS(AC$1:AC71,AB$1:AB71,AB82)+1,_xlfn.RANK.EQ(AB82,AB$2:AB$111,0)),"")</f>
        <v/>
      </c>
      <c r="AD82" s="1" t="str">
        <f>IF(ISNUMBER(AB82)=TRUE,IF(_xlfn.RANK.EQ(AB82,$AB$2:$AB$111)&lt;='Tournament Setup'!$B$32,_xlfn.RANK.EQ(AB82,$AB$2:$AB$111),""),"")</f>
        <v/>
      </c>
      <c r="AE82" s="31" t="str">
        <f>IF(AND($F82='Tournament Setup'!$A$32,SUM($Q82,$S82)=0,$E82="M",$AD82&gt;'Tournament Setup'!$B$32),$I82,"")</f>
        <v/>
      </c>
      <c r="AF82" s="1" t="str">
        <f>IF(ISNUMBER(AE82)=TRUE,IF(_xlfn.RANK.EQ(AE82,$AE$2:$AE$111)&lt;='Tournament Setup'!$C$32,_xlfn.RANK.EQ(AE82,$AE$2:$AE$111),""),"")</f>
        <v/>
      </c>
      <c r="AG82" s="31" t="str">
        <f>IF(AND($F82='Tournament Setup'!$A$32,SUM($Q82,$U82)=0,$E82="F",$AD82&gt;'Tournament Setup'!$B$32),$I82,"")</f>
        <v/>
      </c>
      <c r="AH82" s="12" t="str">
        <f>IF(ISNUMBER(AG82)=TRUE,IF(_xlfn.RANK.EQ(AG82,$AG$2:$AG$111)&lt;='Tournament Setup'!$D$32,_xlfn.RANK.EQ(AG82,$AG$2:$AG$111),""),"")</f>
        <v/>
      </c>
      <c r="AI82" s="30" t="str">
        <f>IF(AND($G82='Tournament Setup'!$A$50,$J82&lt;&gt;0),$J82,"")</f>
        <v/>
      </c>
      <c r="AJ82" s="47" t="str">
        <f>IF(ISNUMBER(AI82),IF(COUNTIFS(AJ$1:AJ71,_xlfn.RANK.EQ(AI82,AI$2:AI$111,0))&gt;0,_xlfn.MAXIFS(AJ$1:AJ71,AI$1:AI71,AI82)+1,_xlfn.RANK.EQ(AI82,AI$2:AI$111,0)),"")</f>
        <v/>
      </c>
      <c r="AK82" s="1" t="str">
        <f>IF(ISNUMBER(AI82)=TRUE,IF(_xlfn.RANK.EQ(AI82,$AI$2:$AI$111)&lt;='Tournament Setup'!$B$49,_xlfn.RANK.EQ(AI82,$AI$2:$AI$111),""),"")</f>
        <v/>
      </c>
      <c r="AL82" s="30" t="str">
        <f>IF(AND($F82='Tournament Setup'!$A$33,SUM($Q82,$S82,$U82)=0),$I82,"")</f>
        <v/>
      </c>
      <c r="AM82" s="47" t="str">
        <f>IF(ISNUMBER(AL82),IF(COUNTIFS(AM$1:AM71,_xlfn.RANK.EQ(AL82,AL$2:AL$111,0))&gt;0,_xlfn.MAXIFS(AM$1:AM71,AL$1:AL71,AL82)+1,_xlfn.RANK.EQ(AL82,AL$2:AL$111,0)),"")</f>
        <v/>
      </c>
      <c r="AN82" s="1" t="str">
        <f>IF(ISNUMBER(AL82)=TRUE,IF(_xlfn.RANK.EQ(AL82,$AL$2:$AL$111)&lt;='Tournament Setup'!$B$33,_xlfn.RANK.EQ(AL82,$AL$2:$AL$111),""),"")</f>
        <v/>
      </c>
      <c r="AO82" s="31" t="str">
        <f>IF(AND($F82='Tournament Setup'!$A$33,SUM($Q82,$S82)=0,$E82="M",$AN82&gt;'Tournament Setup'!$B$33),$I82,"")</f>
        <v/>
      </c>
      <c r="AP82" s="1" t="str">
        <f>IF(ISNUMBER(AO82)=TRUE,IF(_xlfn.RANK.EQ(AO82,$AO$2:$AO$111)&lt;='Tournament Setup'!$C$33,_xlfn.RANK.EQ(AO82,$AO$2:$AO$111),""),"")</f>
        <v/>
      </c>
      <c r="AQ82" s="31" t="str">
        <f>IF(AND($F82='Tournament Setup'!$A$33,SUM($Q82,$U82)=0,$E82="F",$AN82&gt;'Tournament Setup'!$B$33),$I82,"")</f>
        <v/>
      </c>
      <c r="AR82" s="12" t="str">
        <f>IF(ISNUMBER(AQ82)=TRUE,IF(_xlfn.RANK.EQ(AQ82,$AQ$2:$AQ$111)&lt;='Tournament Setup'!$D$33,_xlfn.RANK.EQ(AQ82,$AQ$2:$AQ$111),""),"")</f>
        <v/>
      </c>
      <c r="AS82" s="30" t="str">
        <f>IF(AND($G82='Tournament Setup'!$A$51,$J82&lt;&gt;0),$J82,"")</f>
        <v/>
      </c>
      <c r="AT82" s="47" t="str">
        <f>IF(ISNUMBER(AS82),IF(COUNTIFS(AT$1:AT71,_xlfn.RANK.EQ(AS82,AS$2:AS$111,0))&gt;0,_xlfn.MAXIFS(AT$1:AT71,AS$1:AS71,AS82)+1,_xlfn.RANK.EQ(AS82,AS$2:AS$111,0)),"")</f>
        <v/>
      </c>
      <c r="AU82" s="1" t="str">
        <f>IF(ISNUMBER(AS82)=TRUE,IF(_xlfn.RANK.EQ(AS82,$AS$2:$AS$111)&lt;='Tournament Setup'!$B$49,_xlfn.RANK.EQ(AS82,$AS$2:$AS$111),""),"")</f>
        <v/>
      </c>
      <c r="AV82" s="30" t="str">
        <f>IF(AND($F82='Tournament Setup'!$A$34,SUM($Q82,$S82,$U82)=0),$I82,"")</f>
        <v/>
      </c>
      <c r="AW82" s="47" t="str">
        <f>IF(ISNUMBER(AV82),IF(COUNTIFS(AW$1:AW71,_xlfn.RANK.EQ(AV82,AV$2:AV$111,0))&gt;0,_xlfn.MAXIFS(AW$1:AW71,AV$1:AV71,AV82)+1,_xlfn.RANK.EQ(AV82,AV$2:AV$111,0)),"")</f>
        <v/>
      </c>
      <c r="AX82" s="1" t="str">
        <f>IF(ISNUMBER(AV82)=TRUE,IF(_xlfn.RANK.EQ(AV82,$AV$2:$AV$111)&lt;='Tournament Setup'!$B$34,_xlfn.RANK.EQ(AV82,$AV$2:$AV$111),""),"")</f>
        <v/>
      </c>
      <c r="AY82" s="31" t="str">
        <f>IF(AND($F82='Tournament Setup'!$A$34,SUM($Q82,$S82)=0,$E82="M",$AX82&gt;'Tournament Setup'!$B$34),$I82,"")</f>
        <v/>
      </c>
      <c r="AZ82" s="1" t="str">
        <f>IF(ISNUMBER(AY82)=TRUE,IF(_xlfn.RANK.EQ(AY82,$AY$2:$AY$111)&lt;='Tournament Setup'!$C$34,_xlfn.RANK.EQ(AY82,$AY$2:$AY$111),""),"")</f>
        <v/>
      </c>
      <c r="BA82" s="31" t="str">
        <f>IF(AND($F82='Tournament Setup'!$A$34,SUM($Q82,$U82)=0,$E82="F",$AX82&gt;'Tournament Setup'!$B$34),$I82,"")</f>
        <v/>
      </c>
      <c r="BB82" s="12" t="str">
        <f>IF(ISNUMBER(BA82)=TRUE,IF(_xlfn.RANK.EQ(BA82,$BA$2:$BA$111)&lt;='Tournament Setup'!$D$34,_xlfn.RANK.EQ(BA82,$BA$2:$BA$111),""),"")</f>
        <v/>
      </c>
      <c r="BC82" s="30" t="str">
        <f>IF(AND($G82='Tournament Setup'!$A$52,$J82&lt;&gt;0),$J82,"")</f>
        <v/>
      </c>
      <c r="BD82" s="47" t="str">
        <f>IF(ISNUMBER(BC82),IF(COUNTIFS(BD$1:BD71,_xlfn.RANK.EQ(BC82,BC$2:BC$111,0))&gt;0,_xlfn.MAXIFS(BD$1:BD71,BC$1:BC71,BC82)+1,_xlfn.RANK.EQ(BC82,BC$2:BC$111,0)),"")</f>
        <v/>
      </c>
      <c r="BE82" s="1" t="str">
        <f>IF(ISNUMBER(BC82)=TRUE,IF(_xlfn.RANK.EQ(BC82,$BC$2:$BC$111)&lt;='Tournament Setup'!$B$49,_xlfn.RANK.EQ(BC82,$BC$2:$BC$111),""),"")</f>
        <v/>
      </c>
      <c r="BF82" s="30" t="str">
        <f>IF(AND($F82='Tournament Setup'!$A$35,SUM($Q82,$S82,$U82)=0),$I82,"")</f>
        <v/>
      </c>
      <c r="BG82" s="47" t="str">
        <f>IF(ISNUMBER(BF82),IF(COUNTIFS(BG$1:BG71,_xlfn.RANK.EQ(BF82,BF$2:BF$111,0))&gt;0,_xlfn.MAXIFS(BG$1:BG71,BF$1:BF71,BF82)+1,_xlfn.RANK.EQ(BF82,BF$2:BF$111,0)),"")</f>
        <v/>
      </c>
      <c r="BH82" s="1" t="str">
        <f>IF(ISNUMBER(BF82)=TRUE,IF(_xlfn.RANK.EQ(BF82,$BF$2:$BF$111)&lt;='Tournament Setup'!$B$35,_xlfn.RANK.EQ(BF82,$BF$2:$BF$111),""),"")</f>
        <v/>
      </c>
      <c r="BI82" s="31" t="str">
        <f>IF(AND($F82='Tournament Setup'!$A$35,SUM($Q82,$S82)=0,$E82="M",$BH82&gt;'Tournament Setup'!$B$35),$I82,"")</f>
        <v/>
      </c>
      <c r="BJ82" s="1" t="str">
        <f>IF(ISNUMBER(BI82)=TRUE,IF(_xlfn.RANK.EQ(BI82,$BI$2:$BI$111)&lt;='Tournament Setup'!$C$35,_xlfn.RANK.EQ(BI82,$BI$2:$BI$111),""),"")</f>
        <v/>
      </c>
      <c r="BK82" s="31" t="str">
        <f>IF(AND($F82='Tournament Setup'!$A$35,SUM($Q82,$U82)=0,$E82="F",$BH82&gt;'Tournament Setup'!$B$35),$I82,"")</f>
        <v/>
      </c>
      <c r="BL82" s="12" t="str">
        <f>IF(ISNUMBER(BK82)=TRUE,IF(_xlfn.RANK.EQ(BK82,$BK$2:$BK$111)&lt;='Tournament Setup'!$D$35,_xlfn.RANK.EQ(BK82,$BK$2:$BK$111),""),"")</f>
        <v/>
      </c>
      <c r="BM82" s="30" t="str">
        <f>IF(AND($G82='Tournament Setup'!$A$54,$J82&lt;&gt;0),$J82,"")</f>
        <v/>
      </c>
      <c r="BN82" s="47" t="str">
        <f>IF(ISNUMBER(BM82),IF(COUNTIFS(BN$1:BN71,_xlfn.RANK.EQ(BM82,BM$2:BM$111,0))&gt;0,_xlfn.MAXIFS(BN$1:BN71,BM$1:BM71,BM82)+1,_xlfn.RANK.EQ(BM82,BM$2:BM$111,0)),"")</f>
        <v/>
      </c>
      <c r="BO82" s="1" t="str">
        <f>IF(ISNUMBER(BM82)=TRUE,IF(_xlfn.RANK.EQ(BM82,$BM$2:$BM$111)&lt;='Tournament Setup'!$B$49,_xlfn.RANK.EQ(BM82,$BM$2:$BM$111),""),"")</f>
        <v/>
      </c>
      <c r="BP82" s="30" t="str">
        <f>IF(AND($F82='Tournament Setup'!$A$36,SUM($Q82,$S82,$U82)=0),$I82,"")</f>
        <v/>
      </c>
      <c r="BQ82" s="47" t="str">
        <f>IF(ISNUMBER(BP82),IF(COUNTIFS(BQ$1:BQ71,_xlfn.RANK.EQ(BP82,BP$2:BP$111,0))&gt;0,_xlfn.MAXIFS(BQ$1:BQ71,BP$1:BP71,BP82)+1,_xlfn.RANK.EQ(BP82,BP$2:BP$111,0)),"")</f>
        <v/>
      </c>
      <c r="BR82" s="1" t="str">
        <f>IF(ISNUMBER(BP82)=TRUE,IF(_xlfn.RANK.EQ(BP82,$BP$2:$BP$111)&lt;='Tournament Setup'!$B$36,_xlfn.RANK.EQ(BP82,$BP$2:$BP$111),""),"")</f>
        <v/>
      </c>
      <c r="BS82" s="31" t="str">
        <f>IF(AND($F82='Tournament Setup'!$A$36,SUM($Q82,$S82)=0,$E82="M",$BR82&gt;'Tournament Setup'!$B$36),$I82,"")</f>
        <v/>
      </c>
      <c r="BT82" s="1" t="str">
        <f>IF(ISNUMBER(BS82)=TRUE,IF(_xlfn.RANK.EQ(BS82,$BS$2:$BS$111)&lt;='Tournament Setup'!$C$36,_xlfn.RANK.EQ(BS82,$BS$2:$BS$111),""),"")</f>
        <v/>
      </c>
      <c r="BU82" s="31" t="str">
        <f>IF(AND($F82='Tournament Setup'!$A$36,SUM($Q82,$U82)=0,$E82="F",$BR82&gt;'Tournament Setup'!$B$36),$I82,"")</f>
        <v/>
      </c>
      <c r="BV82" s="12" t="str">
        <f>IF(ISNUMBER(BU82)=TRUE,IF(_xlfn.RANK.EQ(BU82,$BU$2:$BU$111)&lt;='Tournament Setup'!$D$36,_xlfn.RANK.EQ(BU82,$BU$2:$BU$111),""),"")</f>
        <v/>
      </c>
      <c r="BW82" s="30" t="str">
        <f>IF($H82='Tournament Setup'!$A$41,$I82,"")</f>
        <v/>
      </c>
      <c r="BX82" s="47" t="str">
        <f>IF(ISNUMBER(BW82),IF(COUNTIFS(BX$1:BX71,_xlfn.RANK.EQ(BW82,BW$2:BW$111,0))&gt;0,_xlfn.MAXIFS(BX$1:BX71,BW$1:BW71,BW82)+1,_xlfn.RANK.EQ(BW82,BW$2:BW$111,0)),"")</f>
        <v/>
      </c>
      <c r="BY82" s="1" t="str">
        <f>IF(ISNUMBER(BW82)=TRUE,IF(_xlfn.RANK.EQ(BW82,$BW$2:$BW$111)&lt;='Tournament Setup'!$B$41,_xlfn.RANK.EQ(BW82,$BW$2:$BW$111),""),"")</f>
        <v/>
      </c>
      <c r="BZ82" s="31" t="str">
        <f>IF(AND($H82='Tournament Setup'!$A$41,$E82="M",$BY82&gt;'Tournament Setup'!$B$41),$I82,"")</f>
        <v/>
      </c>
      <c r="CA82" s="1" t="str">
        <f>IF(ISNUMBER(BZ82)=TRUE,IF(_xlfn.RANK.EQ(BZ82,$BZ$2:$BZ$111)&lt;='Tournament Setup'!$C$41,_xlfn.RANK.EQ(BZ82,$BZ$2:$BZ$111),""),"")</f>
        <v/>
      </c>
      <c r="CB82" s="31" t="str">
        <f>IF(AND($H82='Tournament Setup'!$A$41,$E82="F",$BY82&gt;'Tournament Setup'!$B$41),$I82,"")</f>
        <v/>
      </c>
      <c r="CC82" s="12" t="str">
        <f>IF(ISNUMBER(CB82)=TRUE,IF(_xlfn.RANK.EQ(CB82,$CB$2:$CB$111)&lt;='Tournament Setup'!$D$41,_xlfn.RANK.EQ(CB82,$CB$2:$CB$111),""),"")</f>
        <v/>
      </c>
      <c r="CD82" s="30" t="str">
        <f>IF($H82='Tournament Setup'!$A$42,$I82,"")</f>
        <v/>
      </c>
      <c r="CE82" s="47" t="str">
        <f>IF(ISNUMBER(CD82),IF(COUNTIFS(CE$1:CE71,_xlfn.RANK.EQ(CD82,CD$2:CD$111,0))&gt;0,_xlfn.MAXIFS(CE$1:CE71,CD$1:CD71,CD82)+1,_xlfn.RANK.EQ(CD82,CD$2:CD$111,0)),"")</f>
        <v/>
      </c>
      <c r="CF82" s="1" t="str">
        <f>IF(ISNUMBER(CD82)=TRUE,IF(_xlfn.RANK.EQ(CD82,$CD$2:$CD$111)&lt;='Tournament Setup'!$B$42,_xlfn.RANK.EQ(CD82,$CD$2:$CD$111),""),"")</f>
        <v/>
      </c>
      <c r="CG82" s="31" t="str">
        <f>IF(AND($H82='Tournament Setup'!$A$42,$E82="M",$CF82&gt;'Tournament Setup'!$B$42),$I82,"")</f>
        <v/>
      </c>
      <c r="CH82" s="1" t="str">
        <f>IF(ISNUMBER(CG82)=TRUE,IF(_xlfn.RANK.EQ(CG82,$CG$2:$CG$111)&lt;='Tournament Setup'!$C$42,_xlfn.RANK.EQ(CG82,$CG$2:$CG$111),""),"")</f>
        <v/>
      </c>
      <c r="CI82" s="31" t="str">
        <f>IF(AND($H82='Tournament Setup'!$A$42,$E82="F",$CF82&gt;'Tournament Setup'!$B$42),$I82,"")</f>
        <v/>
      </c>
      <c r="CJ82" s="12" t="str">
        <f>IF(ISNUMBER(CI82)=TRUE,IF(_xlfn.RANK.EQ(CI82,$CI$2:$CI$111)&lt;='Tournament Setup'!$D$42,_xlfn.RANK.EQ(CI82,$CI$2:$CI$111),""),"")</f>
        <v/>
      </c>
      <c r="CK82" s="30" t="str">
        <f>IF($H82='Tournament Setup'!$A$43,$I82,"")</f>
        <v/>
      </c>
      <c r="CL82" s="47" t="str">
        <f>IF(ISNUMBER(CK82),IF(COUNTIFS(CL$1:CL71,_xlfn.RANK.EQ(CK82,CK$2:CK$111,0))&gt;0,_xlfn.MAXIFS(CL$1:CL71,CK$1:CK71,CK82)+1,_xlfn.RANK.EQ(CK82,CK$2:CK$111,0)),"")</f>
        <v/>
      </c>
      <c r="CM82" s="1" t="str">
        <f>IF(ISNUMBER(CK82)=TRUE,IF(_xlfn.RANK.EQ(CK82,$CK$2:$CK$111)&lt;='Tournament Setup'!$B$43,_xlfn.RANK.EQ(CK82,$CK$2:$CK$111),""),"")</f>
        <v/>
      </c>
      <c r="CN82" s="31" t="str">
        <f>IF(AND($H82='Tournament Setup'!$A$43,$E82="M",$CM82&gt;'Tournament Setup'!$B$43),$I82,"")</f>
        <v/>
      </c>
      <c r="CO82" s="1" t="str">
        <f>IF(ISNUMBER(CN82)=TRUE,IF(_xlfn.RANK.EQ(CN82,$CN$2:$CN$111)&lt;='Tournament Setup'!$C$43,_xlfn.RANK.EQ(CN82,$CN$2:$CN$111),""),"")</f>
        <v/>
      </c>
      <c r="CP82" s="31" t="str">
        <f>IF(AND($H82='Tournament Setup'!$A$43,$E82="F",$CM82&gt;'Tournament Setup'!$B$43),$I82,"")</f>
        <v/>
      </c>
      <c r="CQ82" s="12" t="str">
        <f>IF(ISNUMBER(CP82)=TRUE,IF(_xlfn.RANK.EQ(CP82,$CP$2:$CP$111)&lt;='Tournament Setup'!$D$43,_xlfn.RANK.EQ(CP82,$CP$2:$CP$111),""),"")</f>
        <v/>
      </c>
      <c r="CR82" s="30" t="str">
        <f>IF($H82='Tournament Setup'!$A$44,$I82,"")</f>
        <v/>
      </c>
      <c r="CS82" s="47" t="str">
        <f>IF(ISNUMBER(CR82),IF(COUNTIFS(CS$1:CS71,_xlfn.RANK.EQ(CR82,CR$2:CR$111,0))&gt;0,_xlfn.MAXIFS(CS$1:CS71,CR$1:CR71,CR82)+1,_xlfn.RANK.EQ(CR82,CR$2:CR$111,0)),"")</f>
        <v/>
      </c>
      <c r="CT82" s="1" t="str">
        <f>IF(ISNUMBER(CR82)=TRUE,IF(_xlfn.RANK.EQ(CR82,$CR$2:$CR$111)&lt;='Tournament Setup'!$B$44,_xlfn.RANK.EQ(CR82,$CR$2:$CR$111),""),"")</f>
        <v/>
      </c>
      <c r="CU82" s="31" t="str">
        <f>IF(AND($H82='Tournament Setup'!$A$44,$E82="M",$CT82&gt;'Tournament Setup'!$B$44),$I82,"")</f>
        <v/>
      </c>
      <c r="CV82" s="1" t="str">
        <f>IF(ISNUMBER(CU82)=TRUE,IF(_xlfn.RANK.EQ(CU82,$CU$2:$CU$111)&lt;='Tournament Setup'!$C$44,_xlfn.RANK.EQ(CU82,$CU$2:$CU$111),""),"")</f>
        <v/>
      </c>
      <c r="CW82" s="31" t="str">
        <f>IF(AND($H82='Tournament Setup'!$A$44,$E82="F",$CT82&gt;'Tournament Setup'!$B$44),$I82,"")</f>
        <v/>
      </c>
      <c r="CX82" s="12" t="str">
        <f>IF(ISNUMBER(CW82)=TRUE,IF(_xlfn.RANK.EQ(CW82,$CW$2:$CW$111)&lt;='Tournament Setup'!$D$44,_xlfn.RANK.EQ(CW82,$CW$2:$CW$111),""),"")</f>
        <v/>
      </c>
    </row>
    <row r="83" spans="2:102" x14ac:dyDescent="0.3">
      <c r="B83" t="str">
        <f>IFERROR(INDEX('Tournament List'!$B:$B,MATCH($A83,'Tournament List'!$A:$A,0)),"")</f>
        <v/>
      </c>
      <c r="C83" t="str">
        <f>IFERROR(INDEX('Tournament List'!$C:$C,MATCH($A83,'Tournament List'!$A:$A,0)),"")</f>
        <v/>
      </c>
      <c r="D83" t="str">
        <f t="shared" si="3"/>
        <v xml:space="preserve"> </v>
      </c>
      <c r="E83" s="1" t="str">
        <f>IFERROR(INDEX('Tournament List'!F:F,MATCH($A83,'Tournament List'!$A:$A,0)),"")</f>
        <v/>
      </c>
      <c r="F83" t="str">
        <f>IFERROR(INDEX('Tournament List'!M:M,MATCH($A83,'Tournament List'!$A:$A,0)),"")</f>
        <v/>
      </c>
      <c r="G83" t="str">
        <f>IFERROR(INDEX('Shooter-Squad Assignment'!L:L,MATCH(A83,'Shooter-Squad Assignment'!A:A,0)),"")</f>
        <v/>
      </c>
      <c r="H83" s="1" t="str">
        <f>IFERROR(INDEX('Tournament List'!AD:AD,MATCH($A83,'Tournament List'!$A:$A,0)),"")</f>
        <v/>
      </c>
      <c r="I83" s="123" t="str">
        <f>IFERROR(INDEX('Tournament List'!AG:AG,MATCH($A83,'Tournament List'!$A:$A,0)),"")</f>
        <v/>
      </c>
      <c r="J83" s="145" t="str">
        <f>IFERROR(INDEX('Tournament List'!Y:Y,MATCH($A83,'Tournament List'!$A:$A,0)),"")</f>
        <v/>
      </c>
      <c r="K83" s="47" t="str">
        <f>IFERROR(INDEX('Tournament List'!S:S,MATCH(A83,'Tournament List'!A:A,0)),"")</f>
        <v/>
      </c>
      <c r="L83" s="47" t="str">
        <f>IF(ISNUMBER(J83),IF(COUNTIFS(L$1:L82,_xlfn.RANK.EQ(J83,J$2:J$111,0))&gt;0,_xlfn.MAXIFS(L$1:L82,J$1:J82,J83)+1,_xlfn.RANK.EQ(J83,J$2:J$111,0)),"")</f>
        <v/>
      </c>
      <c r="M83" s="11" t="str">
        <f>IF(ISNUMBER(I83)=TRUE,IF(I83&gt;0,_xlfn.RANK.EQ(I83,$I$2:$I$111,0),""),"")</f>
        <v/>
      </c>
      <c r="N83" s="56" t="str">
        <f>IF(ISNUMBER(I83),IF(COUNTIFS(N$1:N82,_xlfn.RANK.EQ(I83,I$2:I$111,0))&gt;0,_xlfn.MAXIFS(N$1:N82,I$1:I82,I83)+1,_xlfn.RANK.EQ(I83,I$2:I$111,0)),"")</f>
        <v/>
      </c>
      <c r="O83" s="144" t="str">
        <f>IF(F83&lt;&gt;"Collegiate"=TRUE,$I83,"")</f>
        <v/>
      </c>
      <c r="P83" s="47" t="str">
        <f>IF(ISNUMBER(O83),IF(COUNTIFS(P$1:P82,_xlfn.RANK.EQ(O83,O$2:O$111,0))&gt;0,_xlfn.MAXIFS(P$1:P82,O$1:O82,O83)+1,_xlfn.RANK.EQ(O83,O$2:O$111,0)),"")</f>
        <v/>
      </c>
      <c r="Q83" s="1" t="str">
        <f>IF(ISNUMBER(O83)=TRUE,IF(_xlfn.RANK.EQ(O83,$O$2:$O$111)&lt;='Tournament Setup'!$B$26,_xlfn.RANK.EQ(O83,$O$2:$O$111),""),"")</f>
        <v/>
      </c>
      <c r="R83" s="143" t="str">
        <f>IF(AND($E83="M",SUM($Q83)=0,F83&lt;&gt;"Collegiate")=TRUE,$I83,"")</f>
        <v/>
      </c>
      <c r="S83" s="1" t="str">
        <f>IF(ISNUMBER(R83)=TRUE,IF(_xlfn.RANK.EQ(R83,$R$2:$R$111)&lt;='Tournament Setup'!$B$27,_xlfn.RANK.EQ(R83,$R$2:$R$111),""),"")</f>
        <v/>
      </c>
      <c r="T83" s="143" t="str">
        <f>IF(AND($E83="F",SUM($Q83)=0,F83&lt;&gt;"Collegiate")=TRUE,$I83,"")</f>
        <v/>
      </c>
      <c r="U83" s="12" t="str">
        <f>IF(ISNUMBER(T83)=TRUE,IF(_xlfn.RANK.EQ(T83,$T$2:$T$111)&lt;='Tournament Setup'!$B$28,_xlfn.RANK.EQ(T83,$T$2:$T$111),""),"")</f>
        <v/>
      </c>
      <c r="V83" s="145" t="str">
        <f>IF(AND($G83='Tournament Setup'!$A$53,$J83&lt;&gt;0),$J83,"")</f>
        <v/>
      </c>
      <c r="W83" s="47" t="str">
        <f>IF(ISNUMBER(V83),IF(COUNTIFS(W$1:W82,_xlfn.RANK.EQ(V83,V$2:V$111,0))&gt;0,_xlfn.MAXIFS(W$1:W82,V$1:V82,V83)+1,_xlfn.RANK.EQ(V83,V$2:V$111,0)),"")</f>
        <v/>
      </c>
      <c r="X83" s="1" t="str">
        <f>IF(ISNUMBER(V83)=TRUE,IF(_xlfn.RANK.EQ(V83,$V$2:$V$111)&lt;='Tournament Setup'!$B$53,_xlfn.RANK.EQ(V83,$V$2:$V$111),""),"")</f>
        <v/>
      </c>
      <c r="Y83" s="145" t="str">
        <f>IF(AND($G83='Tournament Setup'!$A$49,$J83&lt;&gt;0),$J83,"")</f>
        <v/>
      </c>
      <c r="Z83" s="47" t="str">
        <f>IF(ISNUMBER(Y83),IF(COUNTIFS(Z$1:Z82,_xlfn.RANK.EQ(Y83,Y$2:Y$111,0))&gt;0,_xlfn.MAXIFS(Z$1:Z82,Y$1:Y82,Y83)+1,_xlfn.RANK.EQ(Y83,Y$2:Y$111,0)),"")</f>
        <v/>
      </c>
      <c r="AA83" s="1" t="str">
        <f>IF(ISNUMBER(Y83)=TRUE,IF(_xlfn.RANK.EQ(Y83,$Y$2:$Y$111)&lt;='Tournament Setup'!$B$49,_xlfn.RANK.EQ(Y83,$Y$2:$Y$111),""),"")</f>
        <v/>
      </c>
      <c r="AB83" s="30" t="str">
        <f>IF(AND($F83='Tournament Setup'!$A$32,SUM($Q83,$S83,$U83)=0),$I83,"")</f>
        <v/>
      </c>
      <c r="AC83" s="47" t="str">
        <f>IF(ISNUMBER(AB83),IF(COUNTIFS(AC$1:AC82,_xlfn.RANK.EQ(AB83,AB$2:AB$111,0))&gt;0,_xlfn.MAXIFS(AC$1:AC82,AB$1:AB82,AB83)+1,_xlfn.RANK.EQ(AB83,AB$2:AB$111,0)),"")</f>
        <v/>
      </c>
      <c r="AD83" s="1" t="str">
        <f>IF(ISNUMBER(AB83)=TRUE,IF(_xlfn.RANK.EQ(AB83,$AB$2:$AB$111)&lt;='Tournament Setup'!$B$32,_xlfn.RANK.EQ(AB83,$AB$2:$AB$111),""),"")</f>
        <v/>
      </c>
      <c r="AE83" s="31" t="str">
        <f>IF(AND($F83='Tournament Setup'!$A$32,SUM($Q83,$S83)=0,$E83="M",$AD83&gt;'Tournament Setup'!$B$32),$I83,"")</f>
        <v/>
      </c>
      <c r="AF83" s="1" t="str">
        <f>IF(ISNUMBER(AE83)=TRUE,IF(_xlfn.RANK.EQ(AE83,$AE$2:$AE$111)&lt;='Tournament Setup'!$C$32,_xlfn.RANK.EQ(AE83,$AE$2:$AE$111),""),"")</f>
        <v/>
      </c>
      <c r="AG83" s="31" t="str">
        <f>IF(AND($F83='Tournament Setup'!$A$32,SUM($Q83,$U83)=0,$E83="F",$AD83&gt;'Tournament Setup'!$B$32),$I83,"")</f>
        <v/>
      </c>
      <c r="AH83" s="12" t="str">
        <f>IF(ISNUMBER(AG83)=TRUE,IF(_xlfn.RANK.EQ(AG83,$AG$2:$AG$111)&lt;='Tournament Setup'!$D$32,_xlfn.RANK.EQ(AG83,$AG$2:$AG$111),""),"")</f>
        <v/>
      </c>
      <c r="AI83" s="30" t="str">
        <f>IF(AND($G83='Tournament Setup'!$A$50,$J83&lt;&gt;0),$J83,"")</f>
        <v/>
      </c>
      <c r="AJ83" s="47" t="str">
        <f>IF(ISNUMBER(AI83),IF(COUNTIFS(AJ$1:AJ82,_xlfn.RANK.EQ(AI83,AI$2:AI$111,0))&gt;0,_xlfn.MAXIFS(AJ$1:AJ82,AI$1:AI82,AI83)+1,_xlfn.RANK.EQ(AI83,AI$2:AI$111,0)),"")</f>
        <v/>
      </c>
      <c r="AK83" s="1" t="str">
        <f>IF(ISNUMBER(AI83)=TRUE,IF(_xlfn.RANK.EQ(AI83,$AI$2:$AI$111)&lt;='Tournament Setup'!$B$49,_xlfn.RANK.EQ(AI83,$AI$2:$AI$111),""),"")</f>
        <v/>
      </c>
      <c r="AL83" s="30" t="str">
        <f>IF(AND($F83='Tournament Setup'!$A$33,SUM($Q83,$S83,$U83)=0),$I83,"")</f>
        <v/>
      </c>
      <c r="AM83" s="47" t="str">
        <f>IF(ISNUMBER(AL83),IF(COUNTIFS(AM$1:AM82,_xlfn.RANK.EQ(AL83,AL$2:AL$111,0))&gt;0,_xlfn.MAXIFS(AM$1:AM82,AL$1:AL82,AL83)+1,_xlfn.RANK.EQ(AL83,AL$2:AL$111,0)),"")</f>
        <v/>
      </c>
      <c r="AN83" s="1" t="str">
        <f>IF(ISNUMBER(AL83)=TRUE,IF(_xlfn.RANK.EQ(AL83,$AL$2:$AL$111)&lt;='Tournament Setup'!$B$33,_xlfn.RANK.EQ(AL83,$AL$2:$AL$111),""),"")</f>
        <v/>
      </c>
      <c r="AO83" s="31" t="str">
        <f>IF(AND($F83='Tournament Setup'!$A$33,SUM($Q83,$S83)=0,$E83="M",$AN83&gt;'Tournament Setup'!$B$33),$I83,"")</f>
        <v/>
      </c>
      <c r="AP83" s="1" t="str">
        <f>IF(ISNUMBER(AO83)=TRUE,IF(_xlfn.RANK.EQ(AO83,$AO$2:$AO$111)&lt;='Tournament Setup'!$C$33,_xlfn.RANK.EQ(AO83,$AO$2:$AO$111),""),"")</f>
        <v/>
      </c>
      <c r="AQ83" s="31" t="str">
        <f>IF(AND($F83='Tournament Setup'!$A$33,SUM($Q83,$U83)=0,$E83="F",$AN83&gt;'Tournament Setup'!$B$33),$I83,"")</f>
        <v/>
      </c>
      <c r="AR83" s="12" t="str">
        <f>IF(ISNUMBER(AQ83)=TRUE,IF(_xlfn.RANK.EQ(AQ83,$AQ$2:$AQ$111)&lt;='Tournament Setup'!$D$33,_xlfn.RANK.EQ(AQ83,$AQ$2:$AQ$111),""),"")</f>
        <v/>
      </c>
      <c r="AS83" s="30" t="str">
        <f>IF(AND($G83='Tournament Setup'!$A$51,$J83&lt;&gt;0),$J83,"")</f>
        <v/>
      </c>
      <c r="AT83" s="47" t="str">
        <f>IF(ISNUMBER(AS83),IF(COUNTIFS(AT$1:AT82,_xlfn.RANK.EQ(AS83,AS$2:AS$111,0))&gt;0,_xlfn.MAXIFS(AT$1:AT82,AS$1:AS82,AS83)+1,_xlfn.RANK.EQ(AS83,AS$2:AS$111,0)),"")</f>
        <v/>
      </c>
      <c r="AU83" s="1" t="str">
        <f>IF(ISNUMBER(AS83)=TRUE,IF(_xlfn.RANK.EQ(AS83,$AS$2:$AS$111)&lt;='Tournament Setup'!$B$49,_xlfn.RANK.EQ(AS83,$AS$2:$AS$111),""),"")</f>
        <v/>
      </c>
      <c r="AV83" s="30" t="str">
        <f>IF(AND($F83='Tournament Setup'!$A$34,SUM($Q83,$S83,$U83)=0),$I83,"")</f>
        <v/>
      </c>
      <c r="AW83" s="47" t="str">
        <f>IF(ISNUMBER(AV83),IF(COUNTIFS(AW$1:AW82,_xlfn.RANK.EQ(AV83,AV$2:AV$111,0))&gt;0,_xlfn.MAXIFS(AW$1:AW82,AV$1:AV82,AV83)+1,_xlfn.RANK.EQ(AV83,AV$2:AV$111,0)),"")</f>
        <v/>
      </c>
      <c r="AX83" s="1" t="str">
        <f>IF(ISNUMBER(AV83)=TRUE,IF(_xlfn.RANK.EQ(AV83,$AV$2:$AV$111)&lt;='Tournament Setup'!$B$34,_xlfn.RANK.EQ(AV83,$AV$2:$AV$111),""),"")</f>
        <v/>
      </c>
      <c r="AY83" s="31" t="str">
        <f>IF(AND($F83='Tournament Setup'!$A$34,SUM($Q83,$S83)=0,$E83="M",$AX83&gt;'Tournament Setup'!$B$34),$I83,"")</f>
        <v/>
      </c>
      <c r="AZ83" s="1" t="str">
        <f>IF(ISNUMBER(AY83)=TRUE,IF(_xlfn.RANK.EQ(AY83,$AY$2:$AY$111)&lt;='Tournament Setup'!$C$34,_xlfn.RANK.EQ(AY83,$AY$2:$AY$111),""),"")</f>
        <v/>
      </c>
      <c r="BA83" s="31" t="str">
        <f>IF(AND($F83='Tournament Setup'!$A$34,SUM($Q83,$U83)=0,$E83="F",$AX83&gt;'Tournament Setup'!$B$34),$I83,"")</f>
        <v/>
      </c>
      <c r="BB83" s="12" t="str">
        <f>IF(ISNUMBER(BA83)=TRUE,IF(_xlfn.RANK.EQ(BA83,$BA$2:$BA$111)&lt;='Tournament Setup'!$D$34,_xlfn.RANK.EQ(BA83,$BA$2:$BA$111),""),"")</f>
        <v/>
      </c>
      <c r="BC83" s="30" t="str">
        <f>IF(AND($G83='Tournament Setup'!$A$52,$J83&lt;&gt;0),$J83,"")</f>
        <v/>
      </c>
      <c r="BD83" s="47" t="str">
        <f>IF(ISNUMBER(BC83),IF(COUNTIFS(BD$1:BD82,_xlfn.RANK.EQ(BC83,BC$2:BC$111,0))&gt;0,_xlfn.MAXIFS(BD$1:BD82,BC$1:BC82,BC83)+1,_xlfn.RANK.EQ(BC83,BC$2:BC$111,0)),"")</f>
        <v/>
      </c>
      <c r="BE83" s="1" t="str">
        <f>IF(ISNUMBER(BC83)=TRUE,IF(_xlfn.RANK.EQ(BC83,$BC$2:$BC$111)&lt;='Tournament Setup'!$B$49,_xlfn.RANK.EQ(BC83,$BC$2:$BC$111),""),"")</f>
        <v/>
      </c>
      <c r="BF83" s="30" t="str">
        <f>IF(AND($F83='Tournament Setup'!$A$35,SUM($Q83,$S83,$U83)=0),$I83,"")</f>
        <v/>
      </c>
      <c r="BG83" s="47" t="str">
        <f>IF(ISNUMBER(BF83),IF(COUNTIFS(BG$1:BG82,_xlfn.RANK.EQ(BF83,BF$2:BF$111,0))&gt;0,_xlfn.MAXIFS(BG$1:BG82,BF$1:BF82,BF83)+1,_xlfn.RANK.EQ(BF83,BF$2:BF$111,0)),"")</f>
        <v/>
      </c>
      <c r="BH83" s="1" t="str">
        <f>IF(ISNUMBER(BF83)=TRUE,IF(_xlfn.RANK.EQ(BF83,$BF$2:$BF$111)&lt;='Tournament Setup'!$B$35,_xlfn.RANK.EQ(BF83,$BF$2:$BF$111),""),"")</f>
        <v/>
      </c>
      <c r="BI83" s="31" t="str">
        <f>IF(AND($F83='Tournament Setup'!$A$35,SUM($Q83,$S83)=0,$E83="M",$BH83&gt;'Tournament Setup'!$B$35),$I83,"")</f>
        <v/>
      </c>
      <c r="BJ83" s="1" t="str">
        <f>IF(ISNUMBER(BI83)=TRUE,IF(_xlfn.RANK.EQ(BI83,$BI$2:$BI$111)&lt;='Tournament Setup'!$C$35,_xlfn.RANK.EQ(BI83,$BI$2:$BI$111),""),"")</f>
        <v/>
      </c>
      <c r="BK83" s="31" t="str">
        <f>IF(AND($F83='Tournament Setup'!$A$35,SUM($Q83,$U83)=0,$E83="F",$BH83&gt;'Tournament Setup'!$B$35),$I83,"")</f>
        <v/>
      </c>
      <c r="BL83" s="12" t="str">
        <f>IF(ISNUMBER(BK83)=TRUE,IF(_xlfn.RANK.EQ(BK83,$BK$2:$BK$111)&lt;='Tournament Setup'!$D$35,_xlfn.RANK.EQ(BK83,$BK$2:$BK$111),""),"")</f>
        <v/>
      </c>
      <c r="BM83" s="30" t="str">
        <f>IF(AND($G83='Tournament Setup'!$A$54,$J83&lt;&gt;0),$J83,"")</f>
        <v/>
      </c>
      <c r="BN83" s="47" t="str">
        <f>IF(ISNUMBER(BM83),IF(COUNTIFS(BN$1:BN82,_xlfn.RANK.EQ(BM83,BM$2:BM$111,0))&gt;0,_xlfn.MAXIFS(BN$1:BN82,BM$1:BM82,BM83)+1,_xlfn.RANK.EQ(BM83,BM$2:BM$111,0)),"")</f>
        <v/>
      </c>
      <c r="BO83" s="1" t="str">
        <f>IF(ISNUMBER(BM83)=TRUE,IF(_xlfn.RANK.EQ(BM83,$BM$2:$BM$111)&lt;='Tournament Setup'!$B$49,_xlfn.RANK.EQ(BM83,$BM$2:$BM$111),""),"")</f>
        <v/>
      </c>
      <c r="BP83" s="30" t="str">
        <f>IF(AND($F83='Tournament Setup'!$A$36,SUM($Q83,$S83,$U83)=0),$I83,"")</f>
        <v/>
      </c>
      <c r="BQ83" s="47" t="str">
        <f>IF(ISNUMBER(BP83),IF(COUNTIFS(BQ$1:BQ82,_xlfn.RANK.EQ(BP83,BP$2:BP$111,0))&gt;0,_xlfn.MAXIFS(BQ$1:BQ82,BP$1:BP82,BP83)+1,_xlfn.RANK.EQ(BP83,BP$2:BP$111,0)),"")</f>
        <v/>
      </c>
      <c r="BR83" s="1" t="str">
        <f>IF(ISNUMBER(BP83)=TRUE,IF(_xlfn.RANK.EQ(BP83,$BP$2:$BP$111)&lt;='Tournament Setup'!$B$36,_xlfn.RANK.EQ(BP83,$BP$2:$BP$111),""),"")</f>
        <v/>
      </c>
      <c r="BS83" s="31" t="str">
        <f>IF(AND($F83='Tournament Setup'!$A$36,SUM($Q83,$S83)=0,$E83="M",$BR83&gt;'Tournament Setup'!$B$36),$I83,"")</f>
        <v/>
      </c>
      <c r="BT83" s="1" t="str">
        <f>IF(ISNUMBER(BS83)=TRUE,IF(_xlfn.RANK.EQ(BS83,$BS$2:$BS$111)&lt;='Tournament Setup'!$C$36,_xlfn.RANK.EQ(BS83,$BS$2:$BS$111),""),"")</f>
        <v/>
      </c>
      <c r="BU83" s="31" t="str">
        <f>IF(AND($F83='Tournament Setup'!$A$36,SUM($Q83,$U83)=0,$E83="F",$BR83&gt;'Tournament Setup'!$B$36),$I83,"")</f>
        <v/>
      </c>
      <c r="BV83" s="12" t="str">
        <f>IF(ISNUMBER(BU83)=TRUE,IF(_xlfn.RANK.EQ(BU83,$BU$2:$BU$111)&lt;='Tournament Setup'!$D$36,_xlfn.RANK.EQ(BU83,$BU$2:$BU$111),""),"")</f>
        <v/>
      </c>
      <c r="BW83" s="30" t="str">
        <f>IF($H83='Tournament Setup'!$A$41,$I83,"")</f>
        <v/>
      </c>
      <c r="BX83" s="47" t="str">
        <f>IF(ISNUMBER(BW83),IF(COUNTIFS(BX$1:BX82,_xlfn.RANK.EQ(BW83,BW$2:BW$111,0))&gt;0,_xlfn.MAXIFS(BX$1:BX82,BW$1:BW82,BW83)+1,_xlfn.RANK.EQ(BW83,BW$2:BW$111,0)),"")</f>
        <v/>
      </c>
      <c r="BY83" s="1" t="str">
        <f>IF(ISNUMBER(BW83)=TRUE,IF(_xlfn.RANK.EQ(BW83,$BW$2:$BW$111)&lt;='Tournament Setup'!$B$41,_xlfn.RANK.EQ(BW83,$BW$2:$BW$111),""),"")</f>
        <v/>
      </c>
      <c r="BZ83" s="31" t="str">
        <f>IF(AND($H83='Tournament Setup'!$A$41,$E83="M",$BY83&gt;'Tournament Setup'!$B$41),$I83,"")</f>
        <v/>
      </c>
      <c r="CA83" s="1" t="str">
        <f>IF(ISNUMBER(BZ83)=TRUE,IF(_xlfn.RANK.EQ(BZ83,$BZ$2:$BZ$111)&lt;='Tournament Setup'!$C$41,_xlfn.RANK.EQ(BZ83,$BZ$2:$BZ$111),""),"")</f>
        <v/>
      </c>
      <c r="CB83" s="31" t="str">
        <f>IF(AND($H83='Tournament Setup'!$A$41,$E83="F",$BY83&gt;'Tournament Setup'!$B$41),$I83,"")</f>
        <v/>
      </c>
      <c r="CC83" s="12" t="str">
        <f>IF(ISNUMBER(CB83)=TRUE,IF(_xlfn.RANK.EQ(CB83,$CB$2:$CB$111)&lt;='Tournament Setup'!$D$41,_xlfn.RANK.EQ(CB83,$CB$2:$CB$111),""),"")</f>
        <v/>
      </c>
      <c r="CD83" s="30" t="str">
        <f>IF($H83='Tournament Setup'!$A$42,$I83,"")</f>
        <v/>
      </c>
      <c r="CE83" s="47" t="str">
        <f>IF(ISNUMBER(CD83),IF(COUNTIFS(CE$1:CE82,_xlfn.RANK.EQ(CD83,CD$2:CD$111,0))&gt;0,_xlfn.MAXIFS(CE$1:CE82,CD$1:CD82,CD83)+1,_xlfn.RANK.EQ(CD83,CD$2:CD$111,0)),"")</f>
        <v/>
      </c>
      <c r="CF83" s="1" t="str">
        <f>IF(ISNUMBER(CD83)=TRUE,IF(_xlfn.RANK.EQ(CD83,$CD$2:$CD$111)&lt;='Tournament Setup'!$B$42,_xlfn.RANK.EQ(CD83,$CD$2:$CD$111),""),"")</f>
        <v/>
      </c>
      <c r="CG83" s="31" t="str">
        <f>IF(AND($H83='Tournament Setup'!$A$42,$E83="M",$CF83&gt;'Tournament Setup'!$B$42),$I83,"")</f>
        <v/>
      </c>
      <c r="CH83" s="1" t="str">
        <f>IF(ISNUMBER(CG83)=TRUE,IF(_xlfn.RANK.EQ(CG83,$CG$2:$CG$111)&lt;='Tournament Setup'!$C$42,_xlfn.RANK.EQ(CG83,$CG$2:$CG$111),""),"")</f>
        <v/>
      </c>
      <c r="CI83" s="31" t="str">
        <f>IF(AND($H83='Tournament Setup'!$A$42,$E83="F",$CF83&gt;'Tournament Setup'!$B$42),$I83,"")</f>
        <v/>
      </c>
      <c r="CJ83" s="12" t="str">
        <f>IF(ISNUMBER(CI83)=TRUE,IF(_xlfn.RANK.EQ(CI83,$CI$2:$CI$111)&lt;='Tournament Setup'!$D$42,_xlfn.RANK.EQ(CI83,$CI$2:$CI$111),""),"")</f>
        <v/>
      </c>
      <c r="CK83" s="30" t="str">
        <f>IF($H83='Tournament Setup'!$A$43,$I83,"")</f>
        <v/>
      </c>
      <c r="CL83" s="47" t="str">
        <f>IF(ISNUMBER(CK83),IF(COUNTIFS(CL$1:CL82,_xlfn.RANK.EQ(CK83,CK$2:CK$111,0))&gt;0,_xlfn.MAXIFS(CL$1:CL82,CK$1:CK82,CK83)+1,_xlfn.RANK.EQ(CK83,CK$2:CK$111,0)),"")</f>
        <v/>
      </c>
      <c r="CM83" s="1" t="str">
        <f>IF(ISNUMBER(CK83)=TRUE,IF(_xlfn.RANK.EQ(CK83,$CK$2:$CK$111)&lt;='Tournament Setup'!$B$43,_xlfn.RANK.EQ(CK83,$CK$2:$CK$111),""),"")</f>
        <v/>
      </c>
      <c r="CN83" s="31" t="str">
        <f>IF(AND($H83='Tournament Setup'!$A$43,$E83="M",$CM83&gt;'Tournament Setup'!$B$43),$I83,"")</f>
        <v/>
      </c>
      <c r="CO83" s="1" t="str">
        <f>IF(ISNUMBER(CN83)=TRUE,IF(_xlfn.RANK.EQ(CN83,$CN$2:$CN$111)&lt;='Tournament Setup'!$C$43,_xlfn.RANK.EQ(CN83,$CN$2:$CN$111),""),"")</f>
        <v/>
      </c>
      <c r="CP83" s="31" t="str">
        <f>IF(AND($H83='Tournament Setup'!$A$43,$E83="F",$CM83&gt;'Tournament Setup'!$B$43),$I83,"")</f>
        <v/>
      </c>
      <c r="CQ83" s="12" t="str">
        <f>IF(ISNUMBER(CP83)=TRUE,IF(_xlfn.RANK.EQ(CP83,$CP$2:$CP$111)&lt;='Tournament Setup'!$D$43,_xlfn.RANK.EQ(CP83,$CP$2:$CP$111),""),"")</f>
        <v/>
      </c>
      <c r="CR83" s="30" t="str">
        <f>IF($H83='Tournament Setup'!$A$44,$I83,"")</f>
        <v/>
      </c>
      <c r="CS83" s="47" t="str">
        <f>IF(ISNUMBER(CR83),IF(COUNTIFS(CS$1:CS82,_xlfn.RANK.EQ(CR83,CR$2:CR$111,0))&gt;0,_xlfn.MAXIFS(CS$1:CS82,CR$1:CR82,CR83)+1,_xlfn.RANK.EQ(CR83,CR$2:CR$111,0)),"")</f>
        <v/>
      </c>
      <c r="CT83" s="1" t="str">
        <f>IF(ISNUMBER(CR83)=TRUE,IF(_xlfn.RANK.EQ(CR83,$CR$2:$CR$111)&lt;='Tournament Setup'!$B$44,_xlfn.RANK.EQ(CR83,$CR$2:$CR$111),""),"")</f>
        <v/>
      </c>
      <c r="CU83" s="31" t="str">
        <f>IF(AND($H83='Tournament Setup'!$A$44,$E83="M",$CT83&gt;'Tournament Setup'!$B$44),$I83,"")</f>
        <v/>
      </c>
      <c r="CV83" s="1" t="str">
        <f>IF(ISNUMBER(CU83)=TRUE,IF(_xlfn.RANK.EQ(CU83,$CU$2:$CU$111)&lt;='Tournament Setup'!$C$44,_xlfn.RANK.EQ(CU83,$CU$2:$CU$111),""),"")</f>
        <v/>
      </c>
      <c r="CW83" s="31" t="str">
        <f>IF(AND($H83='Tournament Setup'!$A$44,$E83="F",$CT83&gt;'Tournament Setup'!$B$44),$I83,"")</f>
        <v/>
      </c>
      <c r="CX83" s="12" t="str">
        <f>IF(ISNUMBER(CW83)=TRUE,IF(_xlfn.RANK.EQ(CW83,$CW$2:$CW$111)&lt;='Tournament Setup'!$D$44,_xlfn.RANK.EQ(CW83,$CW$2:$CW$111),""),"")</f>
        <v/>
      </c>
    </row>
    <row r="84" spans="2:102" x14ac:dyDescent="0.3">
      <c r="B84" t="str">
        <f>IFERROR(INDEX('Tournament List'!$B:$B,MATCH($A84,'Tournament List'!$A:$A,0)),"")</f>
        <v/>
      </c>
      <c r="C84" t="str">
        <f>IFERROR(INDEX('Tournament List'!$C:$C,MATCH($A84,'Tournament List'!$A:$A,0)),"")</f>
        <v/>
      </c>
      <c r="D84" t="str">
        <f t="shared" si="3"/>
        <v xml:space="preserve"> </v>
      </c>
      <c r="E84" s="1" t="str">
        <f>IFERROR(INDEX('Tournament List'!F:F,MATCH($A84,'Tournament List'!$A:$A,0)),"")</f>
        <v/>
      </c>
      <c r="F84" t="str">
        <f>IFERROR(INDEX('Tournament List'!M:M,MATCH($A84,'Tournament List'!$A:$A,0)),"")</f>
        <v/>
      </c>
      <c r="G84" t="str">
        <f>IFERROR(INDEX('Shooter-Squad Assignment'!L:L,MATCH(A84,'Shooter-Squad Assignment'!A:A,0)),"")</f>
        <v/>
      </c>
      <c r="H84" s="1" t="str">
        <f>IFERROR(INDEX('Tournament List'!AD:AD,MATCH($A84,'Tournament List'!$A:$A,0)),"")</f>
        <v/>
      </c>
      <c r="I84" s="123" t="str">
        <f>IFERROR(INDEX('Tournament List'!AG:AG,MATCH($A84,'Tournament List'!$A:$A,0)),"")</f>
        <v/>
      </c>
      <c r="J84" s="145" t="str">
        <f>IFERROR(INDEX('Tournament List'!Y:Y,MATCH($A84,'Tournament List'!$A:$A,0)),"")</f>
        <v/>
      </c>
      <c r="K84" s="47" t="str">
        <f>IFERROR(INDEX('Tournament List'!S:S,MATCH(A84,'Tournament List'!A:A,0)),"")</f>
        <v/>
      </c>
      <c r="L84" s="47" t="str">
        <f>IF(ISNUMBER(J84),IF(COUNTIFS(L$1:L83,_xlfn.RANK.EQ(J84,J$2:J$111,0))&gt;0,_xlfn.MAXIFS(L$1:L83,J$1:J83,J84)+1,_xlfn.RANK.EQ(J84,J$2:J$111,0)),"")</f>
        <v/>
      </c>
      <c r="M84" s="11" t="str">
        <f>IF(ISNUMBER(I84)=TRUE,IF(I84&gt;0,_xlfn.RANK.EQ(I84,$I$2:$I$111,0),""),"")</f>
        <v/>
      </c>
      <c r="N84" s="56" t="str">
        <f>IF(ISNUMBER(I84),IF(COUNTIFS(N$1:N83,_xlfn.RANK.EQ(I84,I$2:I$111,0))&gt;0,_xlfn.MAXIFS(N$1:N83,I$1:I83,I84)+1,_xlfn.RANK.EQ(I84,I$2:I$111,0)),"")</f>
        <v/>
      </c>
      <c r="O84" s="144" t="str">
        <f>IF(F84&lt;&gt;"Collegiate"=TRUE,$I84,"")</f>
        <v/>
      </c>
      <c r="P84" s="47" t="str">
        <f>IF(ISNUMBER(O84),IF(COUNTIFS(P$1:P83,_xlfn.RANK.EQ(O84,O$2:O$111,0))&gt;0,_xlfn.MAXIFS(P$1:P83,O$1:O83,O84)+1,_xlfn.RANK.EQ(O84,O$2:O$111,0)),"")</f>
        <v/>
      </c>
      <c r="Q84" s="1" t="str">
        <f>IF(ISNUMBER(O84)=TRUE,IF(_xlfn.RANK.EQ(O84,$O$2:$O$111)&lt;='Tournament Setup'!$B$26,_xlfn.RANK.EQ(O84,$O$2:$O$111),""),"")</f>
        <v/>
      </c>
      <c r="R84" s="143" t="str">
        <f>IF(AND($E84="M",SUM($Q84)=0,F84&lt;&gt;"Collegiate")=TRUE,$I84,"")</f>
        <v/>
      </c>
      <c r="S84" s="1" t="str">
        <f>IF(ISNUMBER(R84)=TRUE,IF(_xlfn.RANK.EQ(R84,$R$2:$R$111)&lt;='Tournament Setup'!$B$27,_xlfn.RANK.EQ(R84,$R$2:$R$111),""),"")</f>
        <v/>
      </c>
      <c r="T84" s="143" t="str">
        <f>IF(AND($E84="F",SUM($Q84)=0,F84&lt;&gt;"Collegiate")=TRUE,$I84,"")</f>
        <v/>
      </c>
      <c r="U84" s="12" t="str">
        <f>IF(ISNUMBER(T84)=TRUE,IF(_xlfn.RANK.EQ(T84,$T$2:$T$111)&lt;='Tournament Setup'!$B$28,_xlfn.RANK.EQ(T84,$T$2:$T$111),""),"")</f>
        <v/>
      </c>
      <c r="V84" s="145" t="str">
        <f>IF(AND($G84='Tournament Setup'!$A$53,$J84&lt;&gt;0),$J84,"")</f>
        <v/>
      </c>
      <c r="W84" s="47" t="str">
        <f>IF(ISNUMBER(V84),IF(COUNTIFS(W$1:W83,_xlfn.RANK.EQ(V84,V$2:V$111,0))&gt;0,_xlfn.MAXIFS(W$1:W83,V$1:V83,V84)+1,_xlfn.RANK.EQ(V84,V$2:V$111,0)),"")</f>
        <v/>
      </c>
      <c r="X84" s="1" t="str">
        <f>IF(ISNUMBER(V84)=TRUE,IF(_xlfn.RANK.EQ(V84,$V$2:$V$111)&lt;='Tournament Setup'!$B$53,_xlfn.RANK.EQ(V84,$V$2:$V$111),""),"")</f>
        <v/>
      </c>
      <c r="Y84" s="145" t="str">
        <f>IF(AND($G84='Tournament Setup'!$A$49,$J84&lt;&gt;0),$J84,"")</f>
        <v/>
      </c>
      <c r="Z84" s="47" t="str">
        <f>IF(ISNUMBER(Y84),IF(COUNTIFS(Z$1:Z83,_xlfn.RANK.EQ(Y84,Y$2:Y$111,0))&gt;0,_xlfn.MAXIFS(Z$1:Z83,Y$1:Y83,Y84)+1,_xlfn.RANK.EQ(Y84,Y$2:Y$111,0)),"")</f>
        <v/>
      </c>
      <c r="AA84" s="1" t="str">
        <f>IF(ISNUMBER(Y84)=TRUE,IF(_xlfn.RANK.EQ(Y84,$Y$2:$Y$111)&lt;='Tournament Setup'!$B$49,_xlfn.RANK.EQ(Y84,$Y$2:$Y$111),""),"")</f>
        <v/>
      </c>
      <c r="AB84" s="30" t="str">
        <f>IF(AND($F84='Tournament Setup'!$A$32,SUM($Q84,$S84,$U84)=0),$I84,"")</f>
        <v/>
      </c>
      <c r="AC84" s="47" t="str">
        <f>IF(ISNUMBER(AB84),IF(COUNTIFS(AC$1:AC83,_xlfn.RANK.EQ(AB84,AB$2:AB$111,0))&gt;0,_xlfn.MAXIFS(AC$1:AC83,AB$1:AB83,AB84)+1,_xlfn.RANK.EQ(AB84,AB$2:AB$111,0)),"")</f>
        <v/>
      </c>
      <c r="AD84" s="1" t="str">
        <f>IF(ISNUMBER(AB84)=TRUE,IF(_xlfn.RANK.EQ(AB84,$AB$2:$AB$111)&lt;='Tournament Setup'!$B$32,_xlfn.RANK.EQ(AB84,$AB$2:$AB$111),""),"")</f>
        <v/>
      </c>
      <c r="AE84" s="31" t="str">
        <f>IF(AND($F84='Tournament Setup'!$A$32,SUM($Q84,$S84)=0,$E84="M",$AD84&gt;'Tournament Setup'!$B$32),$I84,"")</f>
        <v/>
      </c>
      <c r="AF84" s="1" t="str">
        <f>IF(ISNUMBER(AE84)=TRUE,IF(_xlfn.RANK.EQ(AE84,$AE$2:$AE$111)&lt;='Tournament Setup'!$C$32,_xlfn.RANK.EQ(AE84,$AE$2:$AE$111),""),"")</f>
        <v/>
      </c>
      <c r="AG84" s="31" t="str">
        <f>IF(AND($F84='Tournament Setup'!$A$32,SUM($Q84,$U84)=0,$E84="F",$AD84&gt;'Tournament Setup'!$B$32),$I84,"")</f>
        <v/>
      </c>
      <c r="AH84" s="12" t="str">
        <f>IF(ISNUMBER(AG84)=TRUE,IF(_xlfn.RANK.EQ(AG84,$AG$2:$AG$111)&lt;='Tournament Setup'!$D$32,_xlfn.RANK.EQ(AG84,$AG$2:$AG$111),""),"")</f>
        <v/>
      </c>
      <c r="AI84" s="30" t="str">
        <f>IF(AND($G84='Tournament Setup'!$A$50,$J84&lt;&gt;0),$J84,"")</f>
        <v/>
      </c>
      <c r="AJ84" s="47" t="str">
        <f>IF(ISNUMBER(AI84),IF(COUNTIFS(AJ$1:AJ83,_xlfn.RANK.EQ(AI84,AI$2:AI$111,0))&gt;0,_xlfn.MAXIFS(AJ$1:AJ83,AI$1:AI83,AI84)+1,_xlfn.RANK.EQ(AI84,AI$2:AI$111,0)),"")</f>
        <v/>
      </c>
      <c r="AK84" s="1" t="str">
        <f>IF(ISNUMBER(AI84)=TRUE,IF(_xlfn.RANK.EQ(AI84,$AI$2:$AI$111)&lt;='Tournament Setup'!$B$49,_xlfn.RANK.EQ(AI84,$AI$2:$AI$111),""),"")</f>
        <v/>
      </c>
      <c r="AL84" s="30" t="str">
        <f>IF(AND($F84='Tournament Setup'!$A$33,SUM($Q84,$S84,$U84)=0),$I84,"")</f>
        <v/>
      </c>
      <c r="AM84" s="47" t="str">
        <f>IF(ISNUMBER(AL84),IF(COUNTIFS(AM$1:AM83,_xlfn.RANK.EQ(AL84,AL$2:AL$111,0))&gt;0,_xlfn.MAXIFS(AM$1:AM83,AL$1:AL83,AL84)+1,_xlfn.RANK.EQ(AL84,AL$2:AL$111,0)),"")</f>
        <v/>
      </c>
      <c r="AN84" s="1" t="str">
        <f>IF(ISNUMBER(AL84)=TRUE,IF(_xlfn.RANK.EQ(AL84,$AL$2:$AL$111)&lt;='Tournament Setup'!$B$33,_xlfn.RANK.EQ(AL84,$AL$2:$AL$111),""),"")</f>
        <v/>
      </c>
      <c r="AO84" s="31" t="str">
        <f>IF(AND($F84='Tournament Setup'!$A$33,SUM($Q84,$S84)=0,$E84="M",$AN84&gt;'Tournament Setup'!$B$33),$I84,"")</f>
        <v/>
      </c>
      <c r="AP84" s="1" t="str">
        <f>IF(ISNUMBER(AO84)=TRUE,IF(_xlfn.RANK.EQ(AO84,$AO$2:$AO$111)&lt;='Tournament Setup'!$C$33,_xlfn.RANK.EQ(AO84,$AO$2:$AO$111),""),"")</f>
        <v/>
      </c>
      <c r="AQ84" s="31" t="str">
        <f>IF(AND($F84='Tournament Setup'!$A$33,SUM($Q84,$U84)=0,$E84="F",$AN84&gt;'Tournament Setup'!$B$33),$I84,"")</f>
        <v/>
      </c>
      <c r="AR84" s="12" t="str">
        <f>IF(ISNUMBER(AQ84)=TRUE,IF(_xlfn.RANK.EQ(AQ84,$AQ$2:$AQ$111)&lt;='Tournament Setup'!$D$33,_xlfn.RANK.EQ(AQ84,$AQ$2:$AQ$111),""),"")</f>
        <v/>
      </c>
      <c r="AS84" s="30" t="str">
        <f>IF(AND($G84='Tournament Setup'!$A$51,$J84&lt;&gt;0),$J84,"")</f>
        <v/>
      </c>
      <c r="AT84" s="47" t="str">
        <f>IF(ISNUMBER(AS84),IF(COUNTIFS(AT$1:AT83,_xlfn.RANK.EQ(AS84,AS$2:AS$111,0))&gt;0,_xlfn.MAXIFS(AT$1:AT83,AS$1:AS83,AS84)+1,_xlfn.RANK.EQ(AS84,AS$2:AS$111,0)),"")</f>
        <v/>
      </c>
      <c r="AU84" s="1" t="str">
        <f>IF(ISNUMBER(AS84)=TRUE,IF(_xlfn.RANK.EQ(AS84,$AS$2:$AS$111)&lt;='Tournament Setup'!$B$49,_xlfn.RANK.EQ(AS84,$AS$2:$AS$111),""),"")</f>
        <v/>
      </c>
      <c r="AV84" s="30" t="str">
        <f>IF(AND($F84='Tournament Setup'!$A$34,SUM($Q84,$S84,$U84)=0),$I84,"")</f>
        <v/>
      </c>
      <c r="AW84" s="47" t="str">
        <f>IF(ISNUMBER(AV84),IF(COUNTIFS(AW$1:AW83,_xlfn.RANK.EQ(AV84,AV$2:AV$111,0))&gt;0,_xlfn.MAXIFS(AW$1:AW83,AV$1:AV83,AV84)+1,_xlfn.RANK.EQ(AV84,AV$2:AV$111,0)),"")</f>
        <v/>
      </c>
      <c r="AX84" s="1" t="str">
        <f>IF(ISNUMBER(AV84)=TRUE,IF(_xlfn.RANK.EQ(AV84,$AV$2:$AV$111)&lt;='Tournament Setup'!$B$34,_xlfn.RANK.EQ(AV84,$AV$2:$AV$111),""),"")</f>
        <v/>
      </c>
      <c r="AY84" s="31" t="str">
        <f>IF(AND($F84='Tournament Setup'!$A$34,SUM($Q84,$S84)=0,$E84="M",$AX84&gt;'Tournament Setup'!$B$34),$I84,"")</f>
        <v/>
      </c>
      <c r="AZ84" s="1" t="str">
        <f>IF(ISNUMBER(AY84)=TRUE,IF(_xlfn.RANK.EQ(AY84,$AY$2:$AY$111)&lt;='Tournament Setup'!$C$34,_xlfn.RANK.EQ(AY84,$AY$2:$AY$111),""),"")</f>
        <v/>
      </c>
      <c r="BA84" s="31" t="str">
        <f>IF(AND($F84='Tournament Setup'!$A$34,SUM($Q84,$U84)=0,$E84="F",$AX84&gt;'Tournament Setup'!$B$34),$I84,"")</f>
        <v/>
      </c>
      <c r="BB84" s="12" t="str">
        <f>IF(ISNUMBER(BA84)=TRUE,IF(_xlfn.RANK.EQ(BA84,$BA$2:$BA$111)&lt;='Tournament Setup'!$D$34,_xlfn.RANK.EQ(BA84,$BA$2:$BA$111),""),"")</f>
        <v/>
      </c>
      <c r="BC84" s="30" t="str">
        <f>IF(AND($G84='Tournament Setup'!$A$52,$J84&lt;&gt;0),$J84,"")</f>
        <v/>
      </c>
      <c r="BD84" s="47" t="str">
        <f>IF(ISNUMBER(BC84),IF(COUNTIFS(BD$1:BD83,_xlfn.RANK.EQ(BC84,BC$2:BC$111,0))&gt;0,_xlfn.MAXIFS(BD$1:BD83,BC$1:BC83,BC84)+1,_xlfn.RANK.EQ(BC84,BC$2:BC$111,0)),"")</f>
        <v/>
      </c>
      <c r="BE84" s="1" t="str">
        <f>IF(ISNUMBER(BC84)=TRUE,IF(_xlfn.RANK.EQ(BC84,$BC$2:$BC$111)&lt;='Tournament Setup'!$B$49,_xlfn.RANK.EQ(BC84,$BC$2:$BC$111),""),"")</f>
        <v/>
      </c>
      <c r="BF84" s="30" t="str">
        <f>IF(AND($F84='Tournament Setup'!$A$35,SUM($Q84,$S84,$U84)=0),$I84,"")</f>
        <v/>
      </c>
      <c r="BG84" s="47" t="str">
        <f>IF(ISNUMBER(BF84),IF(COUNTIFS(BG$1:BG83,_xlfn.RANK.EQ(BF84,BF$2:BF$111,0))&gt;0,_xlfn.MAXIFS(BG$1:BG83,BF$1:BF83,BF84)+1,_xlfn.RANK.EQ(BF84,BF$2:BF$111,0)),"")</f>
        <v/>
      </c>
      <c r="BH84" s="1" t="str">
        <f>IF(ISNUMBER(BF84)=TRUE,IF(_xlfn.RANK.EQ(BF84,$BF$2:$BF$111)&lt;='Tournament Setup'!$B$35,_xlfn.RANK.EQ(BF84,$BF$2:$BF$111),""),"")</f>
        <v/>
      </c>
      <c r="BI84" s="31" t="str">
        <f>IF(AND($F84='Tournament Setup'!$A$35,SUM($Q84,$S84)=0,$E84="M",$BH84&gt;'Tournament Setup'!$B$35),$I84,"")</f>
        <v/>
      </c>
      <c r="BJ84" s="1" t="str">
        <f>IF(ISNUMBER(BI84)=TRUE,IF(_xlfn.RANK.EQ(BI84,$BI$2:$BI$111)&lt;='Tournament Setup'!$C$35,_xlfn.RANK.EQ(BI84,$BI$2:$BI$111),""),"")</f>
        <v/>
      </c>
      <c r="BK84" s="31" t="str">
        <f>IF(AND($F84='Tournament Setup'!$A$35,SUM($Q84,$U84)=0,$E84="F",$BH84&gt;'Tournament Setup'!$B$35),$I84,"")</f>
        <v/>
      </c>
      <c r="BL84" s="12" t="str">
        <f>IF(ISNUMBER(BK84)=TRUE,IF(_xlfn.RANK.EQ(BK84,$BK$2:$BK$111)&lt;='Tournament Setup'!$D$35,_xlfn.RANK.EQ(BK84,$BK$2:$BK$111),""),"")</f>
        <v/>
      </c>
      <c r="BM84" s="30" t="str">
        <f>IF(AND($G84='Tournament Setup'!$A$54,$J84&lt;&gt;0),$J84,"")</f>
        <v/>
      </c>
      <c r="BN84" s="47" t="str">
        <f>IF(ISNUMBER(BM84),IF(COUNTIFS(BN$1:BN83,_xlfn.RANK.EQ(BM84,BM$2:BM$111,0))&gt;0,_xlfn.MAXIFS(BN$1:BN83,BM$1:BM83,BM84)+1,_xlfn.RANK.EQ(BM84,BM$2:BM$111,0)),"")</f>
        <v/>
      </c>
      <c r="BO84" s="1" t="str">
        <f>IF(ISNUMBER(BM84)=TRUE,IF(_xlfn.RANK.EQ(BM84,$BM$2:$BM$111)&lt;='Tournament Setup'!$B$49,_xlfn.RANK.EQ(BM84,$BM$2:$BM$111),""),"")</f>
        <v/>
      </c>
      <c r="BP84" s="30" t="str">
        <f>IF(AND($F84='Tournament Setup'!$A$36,SUM($Q84,$S84,$U84)=0),$I84,"")</f>
        <v/>
      </c>
      <c r="BQ84" s="47" t="str">
        <f>IF(ISNUMBER(BP84),IF(COUNTIFS(BQ$1:BQ83,_xlfn.RANK.EQ(BP84,BP$2:BP$111,0))&gt;0,_xlfn.MAXIFS(BQ$1:BQ83,BP$1:BP83,BP84)+1,_xlfn.RANK.EQ(BP84,BP$2:BP$111,0)),"")</f>
        <v/>
      </c>
      <c r="BR84" s="1" t="str">
        <f>IF(ISNUMBER(BP84)=TRUE,IF(_xlfn.RANK.EQ(BP84,$BP$2:$BP$111)&lt;='Tournament Setup'!$B$36,_xlfn.RANK.EQ(BP84,$BP$2:$BP$111),""),"")</f>
        <v/>
      </c>
      <c r="BS84" s="31" t="str">
        <f>IF(AND($F84='Tournament Setup'!$A$36,SUM($Q84,$S84)=0,$E84="M",$BR84&gt;'Tournament Setup'!$B$36),$I84,"")</f>
        <v/>
      </c>
      <c r="BT84" s="1" t="str">
        <f>IF(ISNUMBER(BS84)=TRUE,IF(_xlfn.RANK.EQ(BS84,$BS$2:$BS$111)&lt;='Tournament Setup'!$C$36,_xlfn.RANK.EQ(BS84,$BS$2:$BS$111),""),"")</f>
        <v/>
      </c>
      <c r="BU84" s="31" t="str">
        <f>IF(AND($F84='Tournament Setup'!$A$36,SUM($Q84,$U84)=0,$E84="F",$BR84&gt;'Tournament Setup'!$B$36),$I84,"")</f>
        <v/>
      </c>
      <c r="BV84" s="12" t="str">
        <f>IF(ISNUMBER(BU84)=TRUE,IF(_xlfn.RANK.EQ(BU84,$BU$2:$BU$111)&lt;='Tournament Setup'!$D$36,_xlfn.RANK.EQ(BU84,$BU$2:$BU$111),""),"")</f>
        <v/>
      </c>
      <c r="BW84" s="30" t="str">
        <f>IF($H84='Tournament Setup'!$A$41,$I84,"")</f>
        <v/>
      </c>
      <c r="BX84" s="47" t="str">
        <f>IF(ISNUMBER(BW84),IF(COUNTIFS(BX$1:BX83,_xlfn.RANK.EQ(BW84,BW$2:BW$111,0))&gt;0,_xlfn.MAXIFS(BX$1:BX83,BW$1:BW83,BW84)+1,_xlfn.RANK.EQ(BW84,BW$2:BW$111,0)),"")</f>
        <v/>
      </c>
      <c r="BY84" s="1" t="str">
        <f>IF(ISNUMBER(BW84)=TRUE,IF(_xlfn.RANK.EQ(BW84,$BW$2:$BW$111)&lt;='Tournament Setup'!$B$41,_xlfn.RANK.EQ(BW84,$BW$2:$BW$111),""),"")</f>
        <v/>
      </c>
      <c r="BZ84" s="31" t="str">
        <f>IF(AND($H84='Tournament Setup'!$A$41,$E84="M",$BY84&gt;'Tournament Setup'!$B$41),$I84,"")</f>
        <v/>
      </c>
      <c r="CA84" s="1" t="str">
        <f>IF(ISNUMBER(BZ84)=TRUE,IF(_xlfn.RANK.EQ(BZ84,$BZ$2:$BZ$111)&lt;='Tournament Setup'!$C$41,_xlfn.RANK.EQ(BZ84,$BZ$2:$BZ$111),""),"")</f>
        <v/>
      </c>
      <c r="CB84" s="31" t="str">
        <f>IF(AND($H84='Tournament Setup'!$A$41,$E84="F",$BY84&gt;'Tournament Setup'!$B$41),$I84,"")</f>
        <v/>
      </c>
      <c r="CC84" s="12" t="str">
        <f>IF(ISNUMBER(CB84)=TRUE,IF(_xlfn.RANK.EQ(CB84,$CB$2:$CB$111)&lt;='Tournament Setup'!$D$41,_xlfn.RANK.EQ(CB84,$CB$2:$CB$111),""),"")</f>
        <v/>
      </c>
      <c r="CD84" s="30" t="str">
        <f>IF($H84='Tournament Setup'!$A$42,$I84,"")</f>
        <v/>
      </c>
      <c r="CE84" s="47" t="str">
        <f>IF(ISNUMBER(CD84),IF(COUNTIFS(CE$1:CE83,_xlfn.RANK.EQ(CD84,CD$2:CD$111,0))&gt;0,_xlfn.MAXIFS(CE$1:CE83,CD$1:CD83,CD84)+1,_xlfn.RANK.EQ(CD84,CD$2:CD$111,0)),"")</f>
        <v/>
      </c>
      <c r="CF84" s="1" t="str">
        <f>IF(ISNUMBER(CD84)=TRUE,IF(_xlfn.RANK.EQ(CD84,$CD$2:$CD$111)&lt;='Tournament Setup'!$B$42,_xlfn.RANK.EQ(CD84,$CD$2:$CD$111),""),"")</f>
        <v/>
      </c>
      <c r="CG84" s="31" t="str">
        <f>IF(AND($H84='Tournament Setup'!$A$42,$E84="M",$CF84&gt;'Tournament Setup'!$B$42),$I84,"")</f>
        <v/>
      </c>
      <c r="CH84" s="1" t="str">
        <f>IF(ISNUMBER(CG84)=TRUE,IF(_xlfn.RANK.EQ(CG84,$CG$2:$CG$111)&lt;='Tournament Setup'!$C$42,_xlfn.RANK.EQ(CG84,$CG$2:$CG$111),""),"")</f>
        <v/>
      </c>
      <c r="CI84" s="31" t="str">
        <f>IF(AND($H84='Tournament Setup'!$A$42,$E84="F",$CF84&gt;'Tournament Setup'!$B$42),$I84,"")</f>
        <v/>
      </c>
      <c r="CJ84" s="12" t="str">
        <f>IF(ISNUMBER(CI84)=TRUE,IF(_xlfn.RANK.EQ(CI84,$CI$2:$CI$111)&lt;='Tournament Setup'!$D$42,_xlfn.RANK.EQ(CI84,$CI$2:$CI$111),""),"")</f>
        <v/>
      </c>
      <c r="CK84" s="30" t="str">
        <f>IF($H84='Tournament Setup'!$A$43,$I84,"")</f>
        <v/>
      </c>
      <c r="CL84" s="47" t="str">
        <f>IF(ISNUMBER(CK84),IF(COUNTIFS(CL$1:CL83,_xlfn.RANK.EQ(CK84,CK$2:CK$111,0))&gt;0,_xlfn.MAXIFS(CL$1:CL83,CK$1:CK83,CK84)+1,_xlfn.RANK.EQ(CK84,CK$2:CK$111,0)),"")</f>
        <v/>
      </c>
      <c r="CM84" s="1" t="str">
        <f>IF(ISNUMBER(CK84)=TRUE,IF(_xlfn.RANK.EQ(CK84,$CK$2:$CK$111)&lt;='Tournament Setup'!$B$43,_xlfn.RANK.EQ(CK84,$CK$2:$CK$111),""),"")</f>
        <v/>
      </c>
      <c r="CN84" s="31" t="str">
        <f>IF(AND($H84='Tournament Setup'!$A$43,$E84="M",$CM84&gt;'Tournament Setup'!$B$43),$I84,"")</f>
        <v/>
      </c>
      <c r="CO84" s="1" t="str">
        <f>IF(ISNUMBER(CN84)=TRUE,IF(_xlfn.RANK.EQ(CN84,$CN$2:$CN$111)&lt;='Tournament Setup'!$C$43,_xlfn.RANK.EQ(CN84,$CN$2:$CN$111),""),"")</f>
        <v/>
      </c>
      <c r="CP84" s="31" t="str">
        <f>IF(AND($H84='Tournament Setup'!$A$43,$E84="F",$CM84&gt;'Tournament Setup'!$B$43),$I84,"")</f>
        <v/>
      </c>
      <c r="CQ84" s="12" t="str">
        <f>IF(ISNUMBER(CP84)=TRUE,IF(_xlfn.RANK.EQ(CP84,$CP$2:$CP$111)&lt;='Tournament Setup'!$D$43,_xlfn.RANK.EQ(CP84,$CP$2:$CP$111),""),"")</f>
        <v/>
      </c>
      <c r="CR84" s="30" t="str">
        <f>IF($H84='Tournament Setup'!$A$44,$I84,"")</f>
        <v/>
      </c>
      <c r="CS84" s="47" t="str">
        <f>IF(ISNUMBER(CR84),IF(COUNTIFS(CS$1:CS83,_xlfn.RANK.EQ(CR84,CR$2:CR$111,0))&gt;0,_xlfn.MAXIFS(CS$1:CS83,CR$1:CR83,CR84)+1,_xlfn.RANK.EQ(CR84,CR$2:CR$111,0)),"")</f>
        <v/>
      </c>
      <c r="CT84" s="1" t="str">
        <f>IF(ISNUMBER(CR84)=TRUE,IF(_xlfn.RANK.EQ(CR84,$CR$2:$CR$111)&lt;='Tournament Setup'!$B$44,_xlfn.RANK.EQ(CR84,$CR$2:$CR$111),""),"")</f>
        <v/>
      </c>
      <c r="CU84" s="31" t="str">
        <f>IF(AND($H84='Tournament Setup'!$A$44,$E84="M",$CT84&gt;'Tournament Setup'!$B$44),$I84,"")</f>
        <v/>
      </c>
      <c r="CV84" s="1" t="str">
        <f>IF(ISNUMBER(CU84)=TRUE,IF(_xlfn.RANK.EQ(CU84,$CU$2:$CU$111)&lt;='Tournament Setup'!$C$44,_xlfn.RANK.EQ(CU84,$CU$2:$CU$111),""),"")</f>
        <v/>
      </c>
      <c r="CW84" s="31" t="str">
        <f>IF(AND($H84='Tournament Setup'!$A$44,$E84="F",$CT84&gt;'Tournament Setup'!$B$44),$I84,"")</f>
        <v/>
      </c>
      <c r="CX84" s="12" t="str">
        <f>IF(ISNUMBER(CW84)=TRUE,IF(_xlfn.RANK.EQ(CW84,$CW$2:$CW$111)&lt;='Tournament Setup'!$D$44,_xlfn.RANK.EQ(CW84,$CW$2:$CW$111),""),"")</f>
        <v/>
      </c>
    </row>
    <row r="85" spans="2:102" x14ac:dyDescent="0.3">
      <c r="B85" t="str">
        <f>IFERROR(INDEX('Tournament List'!$B:$B,MATCH($A85,'Tournament List'!$A:$A,0)),"")</f>
        <v/>
      </c>
      <c r="C85" t="str">
        <f>IFERROR(INDEX('Tournament List'!$C:$C,MATCH($A85,'Tournament List'!$A:$A,0)),"")</f>
        <v/>
      </c>
      <c r="D85" t="str">
        <f t="shared" si="3"/>
        <v xml:space="preserve"> </v>
      </c>
      <c r="E85" s="1" t="str">
        <f>IFERROR(INDEX('Tournament List'!F:F,MATCH($A85,'Tournament List'!$A:$A,0)),"")</f>
        <v/>
      </c>
      <c r="F85" t="str">
        <f>IFERROR(INDEX('Tournament List'!M:M,MATCH($A85,'Tournament List'!$A:$A,0)),"")</f>
        <v/>
      </c>
      <c r="G85" t="str">
        <f>IFERROR(INDEX('Shooter-Squad Assignment'!L:L,MATCH(A85,'Shooter-Squad Assignment'!A:A,0)),"")</f>
        <v/>
      </c>
      <c r="H85" s="1" t="str">
        <f>IFERROR(INDEX('Tournament List'!AD:AD,MATCH($A85,'Tournament List'!$A:$A,0)),"")</f>
        <v/>
      </c>
      <c r="I85" s="123" t="str">
        <f>IFERROR(INDEX('Tournament List'!AG:AG,MATCH($A85,'Tournament List'!$A:$A,0)),"")</f>
        <v/>
      </c>
      <c r="J85" s="145" t="str">
        <f>IFERROR(INDEX('Tournament List'!Y:Y,MATCH($A85,'Tournament List'!$A:$A,0)),"")</f>
        <v/>
      </c>
      <c r="K85" s="47" t="str">
        <f>IFERROR(INDEX('Tournament List'!S:S,MATCH(A85,'Tournament List'!A:A,0)),"")</f>
        <v/>
      </c>
      <c r="L85" s="47" t="str">
        <f>IF(ISNUMBER(J85),IF(COUNTIFS(L$1:L84,_xlfn.RANK.EQ(J85,J$2:J$111,0))&gt;0,_xlfn.MAXIFS(L$1:L84,J$1:J84,J85)+1,_xlfn.RANK.EQ(J85,J$2:J$111,0)),"")</f>
        <v/>
      </c>
      <c r="M85" s="11" t="str">
        <f>IF(ISNUMBER(I85)=TRUE,IF(I85&gt;0,_xlfn.RANK.EQ(I85,$I$2:$I$111,0),""),"")</f>
        <v/>
      </c>
      <c r="N85" s="56" t="str">
        <f>IF(ISNUMBER(I85),IF(COUNTIFS(N$1:N84,_xlfn.RANK.EQ(I85,I$2:I$111,0))&gt;0,_xlfn.MAXIFS(N$1:N84,I$1:I84,I85)+1,_xlfn.RANK.EQ(I85,I$2:I$111,0)),"")</f>
        <v/>
      </c>
      <c r="O85" s="144" t="str">
        <f>IF(F85&lt;&gt;"Collegiate"=TRUE,$I85,"")</f>
        <v/>
      </c>
      <c r="P85" s="47" t="str">
        <f>IF(ISNUMBER(O85),IF(COUNTIFS(P$1:P84,_xlfn.RANK.EQ(O85,O$2:O$111,0))&gt;0,_xlfn.MAXIFS(P$1:P84,O$1:O84,O85)+1,_xlfn.RANK.EQ(O85,O$2:O$111,0)),"")</f>
        <v/>
      </c>
      <c r="Q85" s="1" t="str">
        <f>IF(ISNUMBER(O85)=TRUE,IF(_xlfn.RANK.EQ(O85,$O$2:$O$111)&lt;='Tournament Setup'!$B$26,_xlfn.RANK.EQ(O85,$O$2:$O$111),""),"")</f>
        <v/>
      </c>
      <c r="R85" s="143" t="str">
        <f>IF(AND($E85="M",SUM($Q85)=0,F85&lt;&gt;"Collegiate")=TRUE,$I85,"")</f>
        <v/>
      </c>
      <c r="S85" s="1" t="str">
        <f>IF(ISNUMBER(R85)=TRUE,IF(_xlfn.RANK.EQ(R85,$R$2:$R$111)&lt;='Tournament Setup'!$B$27,_xlfn.RANK.EQ(R85,$R$2:$R$111),""),"")</f>
        <v/>
      </c>
      <c r="T85" s="143" t="str">
        <f>IF(AND($E85="F",SUM($Q85)=0,F85&lt;&gt;"Collegiate")=TRUE,$I85,"")</f>
        <v/>
      </c>
      <c r="U85" s="12" t="str">
        <f>IF(ISNUMBER(T85)=TRUE,IF(_xlfn.RANK.EQ(T85,$T$2:$T$111)&lt;='Tournament Setup'!$B$28,_xlfn.RANK.EQ(T85,$T$2:$T$111),""),"")</f>
        <v/>
      </c>
      <c r="V85" s="145" t="str">
        <f>IF(AND($G85='Tournament Setup'!$A$53,$J85&lt;&gt;0),$J85,"")</f>
        <v/>
      </c>
      <c r="W85" s="47" t="str">
        <f>IF(ISNUMBER(V85),IF(COUNTIFS(W$1:W84,_xlfn.RANK.EQ(V85,V$2:V$111,0))&gt;0,_xlfn.MAXIFS(W$1:W84,V$1:V84,V85)+1,_xlfn.RANK.EQ(V85,V$2:V$111,0)),"")</f>
        <v/>
      </c>
      <c r="X85" s="1" t="str">
        <f>IF(ISNUMBER(V85)=TRUE,IF(_xlfn.RANK.EQ(V85,$V$2:$V$111)&lt;='Tournament Setup'!$B$53,_xlfn.RANK.EQ(V85,$V$2:$V$111),""),"")</f>
        <v/>
      </c>
      <c r="Y85" s="145" t="str">
        <f>IF(AND($G85='Tournament Setup'!$A$49,$J85&lt;&gt;0),$J85,"")</f>
        <v/>
      </c>
      <c r="Z85" s="47" t="str">
        <f>IF(ISNUMBER(Y85),IF(COUNTIFS(Z$1:Z84,_xlfn.RANK.EQ(Y85,Y$2:Y$111,0))&gt;0,_xlfn.MAXIFS(Z$1:Z84,Y$1:Y84,Y85)+1,_xlfn.RANK.EQ(Y85,Y$2:Y$111,0)),"")</f>
        <v/>
      </c>
      <c r="AA85" s="1" t="str">
        <f>IF(ISNUMBER(Y85)=TRUE,IF(_xlfn.RANK.EQ(Y85,$Y$2:$Y$111)&lt;='Tournament Setup'!$B$49,_xlfn.RANK.EQ(Y85,$Y$2:$Y$111),""),"")</f>
        <v/>
      </c>
      <c r="AB85" s="30" t="str">
        <f>IF(AND($F85='Tournament Setup'!$A$32,SUM($Q85,$S85,$U85)=0),$I85,"")</f>
        <v/>
      </c>
      <c r="AC85" s="47" t="str">
        <f>IF(ISNUMBER(AB85),IF(COUNTIFS(AC$1:AC84,_xlfn.RANK.EQ(AB85,AB$2:AB$111,0))&gt;0,_xlfn.MAXIFS(AC$1:AC84,AB$1:AB84,AB85)+1,_xlfn.RANK.EQ(AB85,AB$2:AB$111,0)),"")</f>
        <v/>
      </c>
      <c r="AD85" s="1" t="str">
        <f>IF(ISNUMBER(AB85)=TRUE,IF(_xlfn.RANK.EQ(AB85,$AB$2:$AB$111)&lt;='Tournament Setup'!$B$32,_xlfn.RANK.EQ(AB85,$AB$2:$AB$111),""),"")</f>
        <v/>
      </c>
      <c r="AE85" s="31" t="str">
        <f>IF(AND($F85='Tournament Setup'!$A$32,SUM($Q85,$S85)=0,$E85="M",$AD85&gt;'Tournament Setup'!$B$32),$I85,"")</f>
        <v/>
      </c>
      <c r="AF85" s="1" t="str">
        <f>IF(ISNUMBER(AE85)=TRUE,IF(_xlfn.RANK.EQ(AE85,$AE$2:$AE$111)&lt;='Tournament Setup'!$C$32,_xlfn.RANK.EQ(AE85,$AE$2:$AE$111),""),"")</f>
        <v/>
      </c>
      <c r="AG85" s="31" t="str">
        <f>IF(AND($F85='Tournament Setup'!$A$32,SUM($Q85,$U85)=0,$E85="F",$AD85&gt;'Tournament Setup'!$B$32),$I85,"")</f>
        <v/>
      </c>
      <c r="AH85" s="12" t="str">
        <f>IF(ISNUMBER(AG85)=TRUE,IF(_xlfn.RANK.EQ(AG85,$AG$2:$AG$111)&lt;='Tournament Setup'!$D$32,_xlfn.RANK.EQ(AG85,$AG$2:$AG$111),""),"")</f>
        <v/>
      </c>
      <c r="AI85" s="30" t="str">
        <f>IF(AND($G85='Tournament Setup'!$A$50,$J85&lt;&gt;0),$J85,"")</f>
        <v/>
      </c>
      <c r="AJ85" s="47" t="str">
        <f>IF(ISNUMBER(AI85),IF(COUNTIFS(AJ$1:AJ84,_xlfn.RANK.EQ(AI85,AI$2:AI$111,0))&gt;0,_xlfn.MAXIFS(AJ$1:AJ84,AI$1:AI84,AI85)+1,_xlfn.RANK.EQ(AI85,AI$2:AI$111,0)),"")</f>
        <v/>
      </c>
      <c r="AK85" s="1" t="str">
        <f>IF(ISNUMBER(AI85)=TRUE,IF(_xlfn.RANK.EQ(AI85,$AI$2:$AI$111)&lt;='Tournament Setup'!$B$49,_xlfn.RANK.EQ(AI85,$AI$2:$AI$111),""),"")</f>
        <v/>
      </c>
      <c r="AL85" s="30" t="str">
        <f>IF(AND($F85='Tournament Setup'!$A$33,SUM($Q85,$S85,$U85)=0),$I85,"")</f>
        <v/>
      </c>
      <c r="AM85" s="47" t="str">
        <f>IF(ISNUMBER(AL85),IF(COUNTIFS(AM$1:AM84,_xlfn.RANK.EQ(AL85,AL$2:AL$111,0))&gt;0,_xlfn.MAXIFS(AM$1:AM84,AL$1:AL84,AL85)+1,_xlfn.RANK.EQ(AL85,AL$2:AL$111,0)),"")</f>
        <v/>
      </c>
      <c r="AN85" s="1" t="str">
        <f>IF(ISNUMBER(AL85)=TRUE,IF(_xlfn.RANK.EQ(AL85,$AL$2:$AL$111)&lt;='Tournament Setup'!$B$33,_xlfn.RANK.EQ(AL85,$AL$2:$AL$111),""),"")</f>
        <v/>
      </c>
      <c r="AO85" s="31" t="str">
        <f>IF(AND($F85='Tournament Setup'!$A$33,SUM($Q85,$S85)=0,$E85="M",$AN85&gt;'Tournament Setup'!$B$33),$I85,"")</f>
        <v/>
      </c>
      <c r="AP85" s="1" t="str">
        <f>IF(ISNUMBER(AO85)=TRUE,IF(_xlfn.RANK.EQ(AO85,$AO$2:$AO$111)&lt;='Tournament Setup'!$C$33,_xlfn.RANK.EQ(AO85,$AO$2:$AO$111),""),"")</f>
        <v/>
      </c>
      <c r="AQ85" s="31" t="str">
        <f>IF(AND($F85='Tournament Setup'!$A$33,SUM($Q85,$U85)=0,$E85="F",$AN85&gt;'Tournament Setup'!$B$33),$I85,"")</f>
        <v/>
      </c>
      <c r="AR85" s="12" t="str">
        <f>IF(ISNUMBER(AQ85)=TRUE,IF(_xlfn.RANK.EQ(AQ85,$AQ$2:$AQ$111)&lt;='Tournament Setup'!$D$33,_xlfn.RANK.EQ(AQ85,$AQ$2:$AQ$111),""),"")</f>
        <v/>
      </c>
      <c r="AS85" s="30" t="str">
        <f>IF(AND($G85='Tournament Setup'!$A$51,$J85&lt;&gt;0),$J85,"")</f>
        <v/>
      </c>
      <c r="AT85" s="47" t="str">
        <f>IF(ISNUMBER(AS85),IF(COUNTIFS(AT$1:AT84,_xlfn.RANK.EQ(AS85,AS$2:AS$111,0))&gt;0,_xlfn.MAXIFS(AT$1:AT84,AS$1:AS84,AS85)+1,_xlfn.RANK.EQ(AS85,AS$2:AS$111,0)),"")</f>
        <v/>
      </c>
      <c r="AU85" s="1" t="str">
        <f>IF(ISNUMBER(AS85)=TRUE,IF(_xlfn.RANK.EQ(AS85,$AS$2:$AS$111)&lt;='Tournament Setup'!$B$49,_xlfn.RANK.EQ(AS85,$AS$2:$AS$111),""),"")</f>
        <v/>
      </c>
      <c r="AV85" s="30" t="str">
        <f>IF(AND($F85='Tournament Setup'!$A$34,SUM($Q85,$S85,$U85)=0),$I85,"")</f>
        <v/>
      </c>
      <c r="AW85" s="47" t="str">
        <f>IF(ISNUMBER(AV85),IF(COUNTIFS(AW$1:AW84,_xlfn.RANK.EQ(AV85,AV$2:AV$111,0))&gt;0,_xlfn.MAXIFS(AW$1:AW84,AV$1:AV84,AV85)+1,_xlfn.RANK.EQ(AV85,AV$2:AV$111,0)),"")</f>
        <v/>
      </c>
      <c r="AX85" s="1" t="str">
        <f>IF(ISNUMBER(AV85)=TRUE,IF(_xlfn.RANK.EQ(AV85,$AV$2:$AV$111)&lt;='Tournament Setup'!$B$34,_xlfn.RANK.EQ(AV85,$AV$2:$AV$111),""),"")</f>
        <v/>
      </c>
      <c r="AY85" s="31" t="str">
        <f>IF(AND($F85='Tournament Setup'!$A$34,SUM($Q85,$S85)=0,$E85="M",$AX85&gt;'Tournament Setup'!$B$34),$I85,"")</f>
        <v/>
      </c>
      <c r="AZ85" s="1" t="str">
        <f>IF(ISNUMBER(AY85)=TRUE,IF(_xlfn.RANK.EQ(AY85,$AY$2:$AY$111)&lt;='Tournament Setup'!$C$34,_xlfn.RANK.EQ(AY85,$AY$2:$AY$111),""),"")</f>
        <v/>
      </c>
      <c r="BA85" s="31" t="str">
        <f>IF(AND($F85='Tournament Setup'!$A$34,SUM($Q85,$U85)=0,$E85="F",$AX85&gt;'Tournament Setup'!$B$34),$I85,"")</f>
        <v/>
      </c>
      <c r="BB85" s="12" t="str">
        <f>IF(ISNUMBER(BA85)=TRUE,IF(_xlfn.RANK.EQ(BA85,$BA$2:$BA$111)&lt;='Tournament Setup'!$D$34,_xlfn.RANK.EQ(BA85,$BA$2:$BA$111),""),"")</f>
        <v/>
      </c>
      <c r="BC85" s="30" t="str">
        <f>IF(AND($G85='Tournament Setup'!$A$52,$J85&lt;&gt;0),$J85,"")</f>
        <v/>
      </c>
      <c r="BD85" s="47" t="str">
        <f>IF(ISNUMBER(BC85),IF(COUNTIFS(BD$1:BD84,_xlfn.RANK.EQ(BC85,BC$2:BC$111,0))&gt;0,_xlfn.MAXIFS(BD$1:BD84,BC$1:BC84,BC85)+1,_xlfn.RANK.EQ(BC85,BC$2:BC$111,0)),"")</f>
        <v/>
      </c>
      <c r="BE85" s="1" t="str">
        <f>IF(ISNUMBER(BC85)=TRUE,IF(_xlfn.RANK.EQ(BC85,$BC$2:$BC$111)&lt;='Tournament Setup'!$B$49,_xlfn.RANK.EQ(BC85,$BC$2:$BC$111),""),"")</f>
        <v/>
      </c>
      <c r="BF85" s="30" t="str">
        <f>IF(AND($F85='Tournament Setup'!$A$35,SUM($Q85,$S85,$U85)=0),$I85,"")</f>
        <v/>
      </c>
      <c r="BG85" s="47" t="str">
        <f>IF(ISNUMBER(BF85),IF(COUNTIFS(BG$1:BG84,_xlfn.RANK.EQ(BF85,BF$2:BF$111,0))&gt;0,_xlfn.MAXIFS(BG$1:BG84,BF$1:BF84,BF85)+1,_xlfn.RANK.EQ(BF85,BF$2:BF$111,0)),"")</f>
        <v/>
      </c>
      <c r="BH85" s="1" t="str">
        <f>IF(ISNUMBER(BF85)=TRUE,IF(_xlfn.RANK.EQ(BF85,$BF$2:$BF$111)&lt;='Tournament Setup'!$B$35,_xlfn.RANK.EQ(BF85,$BF$2:$BF$111),""),"")</f>
        <v/>
      </c>
      <c r="BI85" s="31" t="str">
        <f>IF(AND($F85='Tournament Setup'!$A$35,SUM($Q85,$S85)=0,$E85="M",$BH85&gt;'Tournament Setup'!$B$35),$I85,"")</f>
        <v/>
      </c>
      <c r="BJ85" s="1" t="str">
        <f>IF(ISNUMBER(BI85)=TRUE,IF(_xlfn.RANK.EQ(BI85,$BI$2:$BI$111)&lt;='Tournament Setup'!$C$35,_xlfn.RANK.EQ(BI85,$BI$2:$BI$111),""),"")</f>
        <v/>
      </c>
      <c r="BK85" s="31" t="str">
        <f>IF(AND($F85='Tournament Setup'!$A$35,SUM($Q85,$U85)=0,$E85="F",$BH85&gt;'Tournament Setup'!$B$35),$I85,"")</f>
        <v/>
      </c>
      <c r="BL85" s="12" t="str">
        <f>IF(ISNUMBER(BK85)=TRUE,IF(_xlfn.RANK.EQ(BK85,$BK$2:$BK$111)&lt;='Tournament Setup'!$D$35,_xlfn.RANK.EQ(BK85,$BK$2:$BK$111),""),"")</f>
        <v/>
      </c>
      <c r="BM85" s="30" t="str">
        <f>IF(AND($G85='Tournament Setup'!$A$54,$J85&lt;&gt;0),$J85,"")</f>
        <v/>
      </c>
      <c r="BN85" s="47" t="str">
        <f>IF(ISNUMBER(BM85),IF(COUNTIFS(BN$1:BN84,_xlfn.RANK.EQ(BM85,BM$2:BM$111,0))&gt;0,_xlfn.MAXIFS(BN$1:BN84,BM$1:BM84,BM85)+1,_xlfn.RANK.EQ(BM85,BM$2:BM$111,0)),"")</f>
        <v/>
      </c>
      <c r="BO85" s="1" t="str">
        <f>IF(ISNUMBER(BM85)=TRUE,IF(_xlfn.RANK.EQ(BM85,$BM$2:$BM$111)&lt;='Tournament Setup'!$B$49,_xlfn.RANK.EQ(BM85,$BM$2:$BM$111),""),"")</f>
        <v/>
      </c>
      <c r="BP85" s="30" t="str">
        <f>IF(AND($F85='Tournament Setup'!$A$36,SUM($Q85,$S85,$U85)=0),$I85,"")</f>
        <v/>
      </c>
      <c r="BQ85" s="47" t="str">
        <f>IF(ISNUMBER(BP85),IF(COUNTIFS(BQ$1:BQ84,_xlfn.RANK.EQ(BP85,BP$2:BP$111,0))&gt;0,_xlfn.MAXIFS(BQ$1:BQ84,BP$1:BP84,BP85)+1,_xlfn.RANK.EQ(BP85,BP$2:BP$111,0)),"")</f>
        <v/>
      </c>
      <c r="BR85" s="1" t="str">
        <f>IF(ISNUMBER(BP85)=TRUE,IF(_xlfn.RANK.EQ(BP85,$BP$2:$BP$111)&lt;='Tournament Setup'!$B$36,_xlfn.RANK.EQ(BP85,$BP$2:$BP$111),""),"")</f>
        <v/>
      </c>
      <c r="BS85" s="31" t="str">
        <f>IF(AND($F85='Tournament Setup'!$A$36,SUM($Q85,$S85)=0,$E85="M",$BR85&gt;'Tournament Setup'!$B$36),$I85,"")</f>
        <v/>
      </c>
      <c r="BT85" s="1" t="str">
        <f>IF(ISNUMBER(BS85)=TRUE,IF(_xlfn.RANK.EQ(BS85,$BS$2:$BS$111)&lt;='Tournament Setup'!$C$36,_xlfn.RANK.EQ(BS85,$BS$2:$BS$111),""),"")</f>
        <v/>
      </c>
      <c r="BU85" s="31" t="str">
        <f>IF(AND($F85='Tournament Setup'!$A$36,SUM($Q85,$U85)=0,$E85="F",$BR85&gt;'Tournament Setup'!$B$36),$I85,"")</f>
        <v/>
      </c>
      <c r="BV85" s="12" t="str">
        <f>IF(ISNUMBER(BU85)=TRUE,IF(_xlfn.RANK.EQ(BU85,$BU$2:$BU$111)&lt;='Tournament Setup'!$D$36,_xlfn.RANK.EQ(BU85,$BU$2:$BU$111),""),"")</f>
        <v/>
      </c>
      <c r="BW85" s="30" t="str">
        <f>IF($H85='Tournament Setup'!$A$41,$I85,"")</f>
        <v/>
      </c>
      <c r="BX85" s="47" t="str">
        <f>IF(ISNUMBER(BW85),IF(COUNTIFS(BX$1:BX84,_xlfn.RANK.EQ(BW85,BW$2:BW$111,0))&gt;0,_xlfn.MAXIFS(BX$1:BX84,BW$1:BW84,BW85)+1,_xlfn.RANK.EQ(BW85,BW$2:BW$111,0)),"")</f>
        <v/>
      </c>
      <c r="BY85" s="1" t="str">
        <f>IF(ISNUMBER(BW85)=TRUE,IF(_xlfn.RANK.EQ(BW85,$BW$2:$BW$111)&lt;='Tournament Setup'!$B$41,_xlfn.RANK.EQ(BW85,$BW$2:$BW$111),""),"")</f>
        <v/>
      </c>
      <c r="BZ85" s="31" t="str">
        <f>IF(AND($H85='Tournament Setup'!$A$41,$E85="M",$BY85&gt;'Tournament Setup'!$B$41),$I85,"")</f>
        <v/>
      </c>
      <c r="CA85" s="1" t="str">
        <f>IF(ISNUMBER(BZ85)=TRUE,IF(_xlfn.RANK.EQ(BZ85,$BZ$2:$BZ$111)&lt;='Tournament Setup'!$C$41,_xlfn.RANK.EQ(BZ85,$BZ$2:$BZ$111),""),"")</f>
        <v/>
      </c>
      <c r="CB85" s="31" t="str">
        <f>IF(AND($H85='Tournament Setup'!$A$41,$E85="F",$BY85&gt;'Tournament Setup'!$B$41),$I85,"")</f>
        <v/>
      </c>
      <c r="CC85" s="12" t="str">
        <f>IF(ISNUMBER(CB85)=TRUE,IF(_xlfn.RANK.EQ(CB85,$CB$2:$CB$111)&lt;='Tournament Setup'!$D$41,_xlfn.RANK.EQ(CB85,$CB$2:$CB$111),""),"")</f>
        <v/>
      </c>
      <c r="CD85" s="30" t="str">
        <f>IF($H85='Tournament Setup'!$A$42,$I85,"")</f>
        <v/>
      </c>
      <c r="CE85" s="47" t="str">
        <f>IF(ISNUMBER(CD85),IF(COUNTIFS(CE$1:CE84,_xlfn.RANK.EQ(CD85,CD$2:CD$111,0))&gt;0,_xlfn.MAXIFS(CE$1:CE84,CD$1:CD84,CD85)+1,_xlfn.RANK.EQ(CD85,CD$2:CD$111,0)),"")</f>
        <v/>
      </c>
      <c r="CF85" s="1" t="str">
        <f>IF(ISNUMBER(CD85)=TRUE,IF(_xlfn.RANK.EQ(CD85,$CD$2:$CD$111)&lt;='Tournament Setup'!$B$42,_xlfn.RANK.EQ(CD85,$CD$2:$CD$111),""),"")</f>
        <v/>
      </c>
      <c r="CG85" s="31" t="str">
        <f>IF(AND($H85='Tournament Setup'!$A$42,$E85="M",$CF85&gt;'Tournament Setup'!$B$42),$I85,"")</f>
        <v/>
      </c>
      <c r="CH85" s="1" t="str">
        <f>IF(ISNUMBER(CG85)=TRUE,IF(_xlfn.RANK.EQ(CG85,$CG$2:$CG$111)&lt;='Tournament Setup'!$C$42,_xlfn.RANK.EQ(CG85,$CG$2:$CG$111),""),"")</f>
        <v/>
      </c>
      <c r="CI85" s="31" t="str">
        <f>IF(AND($H85='Tournament Setup'!$A$42,$E85="F",$CF85&gt;'Tournament Setup'!$B$42),$I85,"")</f>
        <v/>
      </c>
      <c r="CJ85" s="12" t="str">
        <f>IF(ISNUMBER(CI85)=TRUE,IF(_xlfn.RANK.EQ(CI85,$CI$2:$CI$111)&lt;='Tournament Setup'!$D$42,_xlfn.RANK.EQ(CI85,$CI$2:$CI$111),""),"")</f>
        <v/>
      </c>
      <c r="CK85" s="30" t="str">
        <f>IF($H85='Tournament Setup'!$A$43,$I85,"")</f>
        <v/>
      </c>
      <c r="CL85" s="47" t="str">
        <f>IF(ISNUMBER(CK85),IF(COUNTIFS(CL$1:CL84,_xlfn.RANK.EQ(CK85,CK$2:CK$111,0))&gt;0,_xlfn.MAXIFS(CL$1:CL84,CK$1:CK84,CK85)+1,_xlfn.RANK.EQ(CK85,CK$2:CK$111,0)),"")</f>
        <v/>
      </c>
      <c r="CM85" s="1" t="str">
        <f>IF(ISNUMBER(CK85)=TRUE,IF(_xlfn.RANK.EQ(CK85,$CK$2:$CK$111)&lt;='Tournament Setup'!$B$43,_xlfn.RANK.EQ(CK85,$CK$2:$CK$111),""),"")</f>
        <v/>
      </c>
      <c r="CN85" s="31" t="str">
        <f>IF(AND($H85='Tournament Setup'!$A$43,$E85="M",$CM85&gt;'Tournament Setup'!$B$43),$I85,"")</f>
        <v/>
      </c>
      <c r="CO85" s="1" t="str">
        <f>IF(ISNUMBER(CN85)=TRUE,IF(_xlfn.RANK.EQ(CN85,$CN$2:$CN$111)&lt;='Tournament Setup'!$C$43,_xlfn.RANK.EQ(CN85,$CN$2:$CN$111),""),"")</f>
        <v/>
      </c>
      <c r="CP85" s="31" t="str">
        <f>IF(AND($H85='Tournament Setup'!$A$43,$E85="F",$CM85&gt;'Tournament Setup'!$B$43),$I85,"")</f>
        <v/>
      </c>
      <c r="CQ85" s="12" t="str">
        <f>IF(ISNUMBER(CP85)=TRUE,IF(_xlfn.RANK.EQ(CP85,$CP$2:$CP$111)&lt;='Tournament Setup'!$D$43,_xlfn.RANK.EQ(CP85,$CP$2:$CP$111),""),"")</f>
        <v/>
      </c>
      <c r="CR85" s="30" t="str">
        <f>IF($H85='Tournament Setup'!$A$44,$I85,"")</f>
        <v/>
      </c>
      <c r="CS85" s="47" t="str">
        <f>IF(ISNUMBER(CR85),IF(COUNTIFS(CS$1:CS84,_xlfn.RANK.EQ(CR85,CR$2:CR$111,0))&gt;0,_xlfn.MAXIFS(CS$1:CS84,CR$1:CR84,CR85)+1,_xlfn.RANK.EQ(CR85,CR$2:CR$111,0)),"")</f>
        <v/>
      </c>
      <c r="CT85" s="1" t="str">
        <f>IF(ISNUMBER(CR85)=TRUE,IF(_xlfn.RANK.EQ(CR85,$CR$2:$CR$111)&lt;='Tournament Setup'!$B$44,_xlfn.RANK.EQ(CR85,$CR$2:$CR$111),""),"")</f>
        <v/>
      </c>
      <c r="CU85" s="31" t="str">
        <f>IF(AND($H85='Tournament Setup'!$A$44,$E85="M",$CT85&gt;'Tournament Setup'!$B$44),$I85,"")</f>
        <v/>
      </c>
      <c r="CV85" s="1" t="str">
        <f>IF(ISNUMBER(CU85)=TRUE,IF(_xlfn.RANK.EQ(CU85,$CU$2:$CU$111)&lt;='Tournament Setup'!$C$44,_xlfn.RANK.EQ(CU85,$CU$2:$CU$111),""),"")</f>
        <v/>
      </c>
      <c r="CW85" s="31" t="str">
        <f>IF(AND($H85='Tournament Setup'!$A$44,$E85="F",$CT85&gt;'Tournament Setup'!$B$44),$I85,"")</f>
        <v/>
      </c>
      <c r="CX85" s="12" t="str">
        <f>IF(ISNUMBER(CW85)=TRUE,IF(_xlfn.RANK.EQ(CW85,$CW$2:$CW$111)&lt;='Tournament Setup'!$D$44,_xlfn.RANK.EQ(CW85,$CW$2:$CW$111),""),"")</f>
        <v/>
      </c>
    </row>
    <row r="86" spans="2:102" x14ac:dyDescent="0.3">
      <c r="B86" t="str">
        <f>IFERROR(INDEX('Tournament List'!$B:$B,MATCH($A86,'Tournament List'!$A:$A,0)),"")</f>
        <v/>
      </c>
      <c r="C86" t="str">
        <f>IFERROR(INDEX('Tournament List'!$C:$C,MATCH($A86,'Tournament List'!$A:$A,0)),"")</f>
        <v/>
      </c>
      <c r="D86" t="str">
        <f t="shared" si="3"/>
        <v xml:space="preserve"> </v>
      </c>
      <c r="E86" s="1" t="str">
        <f>IFERROR(INDEX('Tournament List'!F:F,MATCH($A86,'Tournament List'!$A:$A,0)),"")</f>
        <v/>
      </c>
      <c r="F86" t="str">
        <f>IFERROR(INDEX('Tournament List'!M:M,MATCH($A86,'Tournament List'!$A:$A,0)),"")</f>
        <v/>
      </c>
      <c r="G86" t="str">
        <f>IFERROR(INDEX('Shooter-Squad Assignment'!L:L,MATCH(A86,'Shooter-Squad Assignment'!A:A,0)),"")</f>
        <v/>
      </c>
      <c r="H86" s="1" t="str">
        <f>IFERROR(INDEX('Tournament List'!AD:AD,MATCH($A86,'Tournament List'!$A:$A,0)),"")</f>
        <v/>
      </c>
      <c r="I86" s="123" t="str">
        <f>IFERROR(INDEX('Tournament List'!AG:AG,MATCH($A86,'Tournament List'!$A:$A,0)),"")</f>
        <v/>
      </c>
      <c r="J86" s="145" t="str">
        <f>IFERROR(INDEX('Tournament List'!Y:Y,MATCH($A86,'Tournament List'!$A:$A,0)),"")</f>
        <v/>
      </c>
      <c r="K86" s="47" t="str">
        <f>IFERROR(INDEX('Tournament List'!S:S,MATCH(A86,'Tournament List'!A:A,0)),"")</f>
        <v/>
      </c>
      <c r="L86" s="47" t="str">
        <f>IF(ISNUMBER(J86),IF(COUNTIFS(L$1:L85,_xlfn.RANK.EQ(J86,J$2:J$111,0))&gt;0,_xlfn.MAXIFS(L$1:L85,J$1:J85,J86)+1,_xlfn.RANK.EQ(J86,J$2:J$111,0)),"")</f>
        <v/>
      </c>
      <c r="M86" s="11" t="str">
        <f>IF(ISNUMBER(I86)=TRUE,IF(I86&gt;0,_xlfn.RANK.EQ(I86,$I$2:$I$111,0),""),"")</f>
        <v/>
      </c>
      <c r="N86" s="56" t="str">
        <f>IF(ISNUMBER(I86),IF(COUNTIFS(N$1:N85,_xlfn.RANK.EQ(I86,I$2:I$111,0))&gt;0,_xlfn.MAXIFS(N$1:N85,I$1:I85,I86)+1,_xlfn.RANK.EQ(I86,I$2:I$111,0)),"")</f>
        <v/>
      </c>
      <c r="O86" s="144" t="str">
        <f>IF(F86&lt;&gt;"Collegiate"=TRUE,$I86,"")</f>
        <v/>
      </c>
      <c r="P86" s="47" t="str">
        <f>IF(ISNUMBER(O86),IF(COUNTIFS(P$1:P85,_xlfn.RANK.EQ(O86,O$2:O$111,0))&gt;0,_xlfn.MAXIFS(P$1:P85,O$1:O85,O86)+1,_xlfn.RANK.EQ(O86,O$2:O$111,0)),"")</f>
        <v/>
      </c>
      <c r="Q86" s="1" t="str">
        <f>IF(ISNUMBER(O86)=TRUE,IF(_xlfn.RANK.EQ(O86,$O$2:$O$111)&lt;='Tournament Setup'!$B$26,_xlfn.RANK.EQ(O86,$O$2:$O$111),""),"")</f>
        <v/>
      </c>
      <c r="R86" s="143" t="str">
        <f>IF(AND($E86="M",SUM($Q86)=0,F86&lt;&gt;"Collegiate")=TRUE,$I86,"")</f>
        <v/>
      </c>
      <c r="S86" s="1" t="str">
        <f>IF(ISNUMBER(R86)=TRUE,IF(_xlfn.RANK.EQ(R86,$R$2:$R$111)&lt;='Tournament Setup'!$B$27,_xlfn.RANK.EQ(R86,$R$2:$R$111),""),"")</f>
        <v/>
      </c>
      <c r="T86" s="143" t="str">
        <f>IF(AND($E86="F",SUM($Q86)=0,F86&lt;&gt;"Collegiate")=TRUE,$I86,"")</f>
        <v/>
      </c>
      <c r="U86" s="12" t="str">
        <f>IF(ISNUMBER(T86)=TRUE,IF(_xlfn.RANK.EQ(T86,$T$2:$T$111)&lt;='Tournament Setup'!$B$28,_xlfn.RANK.EQ(T86,$T$2:$T$111),""),"")</f>
        <v/>
      </c>
      <c r="V86" s="145" t="str">
        <f>IF(AND($G86='Tournament Setup'!$A$53,$J86&lt;&gt;0),$J86,"")</f>
        <v/>
      </c>
      <c r="W86" s="47" t="str">
        <f>IF(ISNUMBER(V86),IF(COUNTIFS(W$1:W85,_xlfn.RANK.EQ(V86,V$2:V$111,0))&gt;0,_xlfn.MAXIFS(W$1:W85,V$1:V85,V86)+1,_xlfn.RANK.EQ(V86,V$2:V$111,0)),"")</f>
        <v/>
      </c>
      <c r="X86" s="1" t="str">
        <f>IF(ISNUMBER(V86)=TRUE,IF(_xlfn.RANK.EQ(V86,$V$2:$V$111)&lt;='Tournament Setup'!$B$53,_xlfn.RANK.EQ(V86,$V$2:$V$111),""),"")</f>
        <v/>
      </c>
      <c r="Y86" s="145" t="str">
        <f>IF(AND($G86='Tournament Setup'!$A$49,$J86&lt;&gt;0),$J86,"")</f>
        <v/>
      </c>
      <c r="Z86" s="47" t="str">
        <f>IF(ISNUMBER(Y86),IF(COUNTIFS(Z$1:Z85,_xlfn.RANK.EQ(Y86,Y$2:Y$111,0))&gt;0,_xlfn.MAXIFS(Z$1:Z85,Y$1:Y85,Y86)+1,_xlfn.RANK.EQ(Y86,Y$2:Y$111,0)),"")</f>
        <v/>
      </c>
      <c r="AA86" s="1" t="str">
        <f>IF(ISNUMBER(Y86)=TRUE,IF(_xlfn.RANK.EQ(Y86,$Y$2:$Y$111)&lt;='Tournament Setup'!$B$49,_xlfn.RANK.EQ(Y86,$Y$2:$Y$111),""),"")</f>
        <v/>
      </c>
      <c r="AB86" s="30" t="str">
        <f>IF(AND($F86='Tournament Setup'!$A$32,SUM($Q86,$S86,$U86)=0),$I86,"")</f>
        <v/>
      </c>
      <c r="AC86" s="47" t="str">
        <f>IF(ISNUMBER(AB86),IF(COUNTIFS(AC$1:AC85,_xlfn.RANK.EQ(AB86,AB$2:AB$111,0))&gt;0,_xlfn.MAXIFS(AC$1:AC85,AB$1:AB85,AB86)+1,_xlfn.RANK.EQ(AB86,AB$2:AB$111,0)),"")</f>
        <v/>
      </c>
      <c r="AD86" s="1" t="str">
        <f>IF(ISNUMBER(AB86)=TRUE,IF(_xlfn.RANK.EQ(AB86,$AB$2:$AB$111)&lt;='Tournament Setup'!$B$32,_xlfn.RANK.EQ(AB86,$AB$2:$AB$111),""),"")</f>
        <v/>
      </c>
      <c r="AE86" s="31" t="str">
        <f>IF(AND($F86='Tournament Setup'!$A$32,SUM($Q86,$S86)=0,$E86="M",$AD86&gt;'Tournament Setup'!$B$32),$I86,"")</f>
        <v/>
      </c>
      <c r="AF86" s="1" t="str">
        <f>IF(ISNUMBER(AE86)=TRUE,IF(_xlfn.RANK.EQ(AE86,$AE$2:$AE$111)&lt;='Tournament Setup'!$C$32,_xlfn.RANK.EQ(AE86,$AE$2:$AE$111),""),"")</f>
        <v/>
      </c>
      <c r="AG86" s="31" t="str">
        <f>IF(AND($F86='Tournament Setup'!$A$32,SUM($Q86,$U86)=0,$E86="F",$AD86&gt;'Tournament Setup'!$B$32),$I86,"")</f>
        <v/>
      </c>
      <c r="AH86" s="12" t="str">
        <f>IF(ISNUMBER(AG86)=TRUE,IF(_xlfn.RANK.EQ(AG86,$AG$2:$AG$111)&lt;='Tournament Setup'!$D$32,_xlfn.RANK.EQ(AG86,$AG$2:$AG$111),""),"")</f>
        <v/>
      </c>
      <c r="AI86" s="30" t="str">
        <f>IF(AND($G86='Tournament Setup'!$A$50,$J86&lt;&gt;0),$J86,"")</f>
        <v/>
      </c>
      <c r="AJ86" s="47" t="str">
        <f>IF(ISNUMBER(AI86),IF(COUNTIFS(AJ$1:AJ85,_xlfn.RANK.EQ(AI86,AI$2:AI$111,0))&gt;0,_xlfn.MAXIFS(AJ$1:AJ85,AI$1:AI85,AI86)+1,_xlfn.RANK.EQ(AI86,AI$2:AI$111,0)),"")</f>
        <v/>
      </c>
      <c r="AK86" s="1" t="str">
        <f>IF(ISNUMBER(AI86)=TRUE,IF(_xlfn.RANK.EQ(AI86,$AI$2:$AI$111)&lt;='Tournament Setup'!$B$49,_xlfn.RANK.EQ(AI86,$AI$2:$AI$111),""),"")</f>
        <v/>
      </c>
      <c r="AL86" s="30" t="str">
        <f>IF(AND($F86='Tournament Setup'!$A$33,SUM($Q86,$S86,$U86)=0),$I86,"")</f>
        <v/>
      </c>
      <c r="AM86" s="47" t="str">
        <f>IF(ISNUMBER(AL86),IF(COUNTIFS(AM$1:AM85,_xlfn.RANK.EQ(AL86,AL$2:AL$111,0))&gt;0,_xlfn.MAXIFS(AM$1:AM85,AL$1:AL85,AL86)+1,_xlfn.RANK.EQ(AL86,AL$2:AL$111,0)),"")</f>
        <v/>
      </c>
      <c r="AN86" s="1" t="str">
        <f>IF(ISNUMBER(AL86)=TRUE,IF(_xlfn.RANK.EQ(AL86,$AL$2:$AL$111)&lt;='Tournament Setup'!$B$33,_xlfn.RANK.EQ(AL86,$AL$2:$AL$111),""),"")</f>
        <v/>
      </c>
      <c r="AO86" s="31" t="str">
        <f>IF(AND($F86='Tournament Setup'!$A$33,SUM($Q86,$S86)=0,$E86="M",$AN86&gt;'Tournament Setup'!$B$33),$I86,"")</f>
        <v/>
      </c>
      <c r="AP86" s="1" t="str">
        <f>IF(ISNUMBER(AO86)=TRUE,IF(_xlfn.RANK.EQ(AO86,$AO$2:$AO$111)&lt;='Tournament Setup'!$C$33,_xlfn.RANK.EQ(AO86,$AO$2:$AO$111),""),"")</f>
        <v/>
      </c>
      <c r="AQ86" s="31" t="str">
        <f>IF(AND($F86='Tournament Setup'!$A$33,SUM($Q86,$U86)=0,$E86="F",$AN86&gt;'Tournament Setup'!$B$33),$I86,"")</f>
        <v/>
      </c>
      <c r="AR86" s="12" t="str">
        <f>IF(ISNUMBER(AQ86)=TRUE,IF(_xlfn.RANK.EQ(AQ86,$AQ$2:$AQ$111)&lt;='Tournament Setup'!$D$33,_xlfn.RANK.EQ(AQ86,$AQ$2:$AQ$111),""),"")</f>
        <v/>
      </c>
      <c r="AS86" s="30" t="str">
        <f>IF(AND($G86='Tournament Setup'!$A$51,$J86&lt;&gt;0),$J86,"")</f>
        <v/>
      </c>
      <c r="AT86" s="47" t="str">
        <f>IF(ISNUMBER(AS86),IF(COUNTIFS(AT$1:AT85,_xlfn.RANK.EQ(AS86,AS$2:AS$111,0))&gt;0,_xlfn.MAXIFS(AT$1:AT85,AS$1:AS85,AS86)+1,_xlfn.RANK.EQ(AS86,AS$2:AS$111,0)),"")</f>
        <v/>
      </c>
      <c r="AU86" s="1" t="str">
        <f>IF(ISNUMBER(AS86)=TRUE,IF(_xlfn.RANK.EQ(AS86,$AS$2:$AS$111)&lt;='Tournament Setup'!$B$49,_xlfn.RANK.EQ(AS86,$AS$2:$AS$111),""),"")</f>
        <v/>
      </c>
      <c r="AV86" s="30" t="str">
        <f>IF(AND($F86='Tournament Setup'!$A$34,SUM($Q86,$S86,$U86)=0),$I86,"")</f>
        <v/>
      </c>
      <c r="AW86" s="47" t="str">
        <f>IF(ISNUMBER(AV86),IF(COUNTIFS(AW$1:AW85,_xlfn.RANK.EQ(AV86,AV$2:AV$111,0))&gt;0,_xlfn.MAXIFS(AW$1:AW85,AV$1:AV85,AV86)+1,_xlfn.RANK.EQ(AV86,AV$2:AV$111,0)),"")</f>
        <v/>
      </c>
      <c r="AX86" s="1" t="str">
        <f>IF(ISNUMBER(AV86)=TRUE,IF(_xlfn.RANK.EQ(AV86,$AV$2:$AV$111)&lt;='Tournament Setup'!$B$34,_xlfn.RANK.EQ(AV86,$AV$2:$AV$111),""),"")</f>
        <v/>
      </c>
      <c r="AY86" s="31" t="str">
        <f>IF(AND($F86='Tournament Setup'!$A$34,SUM($Q86,$S86)=0,$E86="M",$AX86&gt;'Tournament Setup'!$B$34),$I86,"")</f>
        <v/>
      </c>
      <c r="AZ86" s="1" t="str">
        <f>IF(ISNUMBER(AY86)=TRUE,IF(_xlfn.RANK.EQ(AY86,$AY$2:$AY$111)&lt;='Tournament Setup'!$C$34,_xlfn.RANK.EQ(AY86,$AY$2:$AY$111),""),"")</f>
        <v/>
      </c>
      <c r="BA86" s="31" t="str">
        <f>IF(AND($F86='Tournament Setup'!$A$34,SUM($Q86,$U86)=0,$E86="F",$AX86&gt;'Tournament Setup'!$B$34),$I86,"")</f>
        <v/>
      </c>
      <c r="BB86" s="12" t="str">
        <f>IF(ISNUMBER(BA86)=TRUE,IF(_xlfn.RANK.EQ(BA86,$BA$2:$BA$111)&lt;='Tournament Setup'!$D$34,_xlfn.RANK.EQ(BA86,$BA$2:$BA$111),""),"")</f>
        <v/>
      </c>
      <c r="BC86" s="30" t="str">
        <f>IF(AND($G86='Tournament Setup'!$A$52,$J86&lt;&gt;0),$J86,"")</f>
        <v/>
      </c>
      <c r="BD86" s="47" t="str">
        <f>IF(ISNUMBER(BC86),IF(COUNTIFS(BD$1:BD85,_xlfn.RANK.EQ(BC86,BC$2:BC$111,0))&gt;0,_xlfn.MAXIFS(BD$1:BD85,BC$1:BC85,BC86)+1,_xlfn.RANK.EQ(BC86,BC$2:BC$111,0)),"")</f>
        <v/>
      </c>
      <c r="BE86" s="1" t="str">
        <f>IF(ISNUMBER(BC86)=TRUE,IF(_xlfn.RANK.EQ(BC86,$BC$2:$BC$111)&lt;='Tournament Setup'!$B$49,_xlfn.RANK.EQ(BC86,$BC$2:$BC$111),""),"")</f>
        <v/>
      </c>
      <c r="BF86" s="30" t="str">
        <f>IF(AND($F86='Tournament Setup'!$A$35,SUM($Q86,$S86,$U86)=0),$I86,"")</f>
        <v/>
      </c>
      <c r="BG86" s="47" t="str">
        <f>IF(ISNUMBER(BF86),IF(COUNTIFS(BG$1:BG85,_xlfn.RANK.EQ(BF86,BF$2:BF$111,0))&gt;0,_xlfn.MAXIFS(BG$1:BG85,BF$1:BF85,BF86)+1,_xlfn.RANK.EQ(BF86,BF$2:BF$111,0)),"")</f>
        <v/>
      </c>
      <c r="BH86" s="1" t="str">
        <f>IF(ISNUMBER(BF86)=TRUE,IF(_xlfn.RANK.EQ(BF86,$BF$2:$BF$111)&lt;='Tournament Setup'!$B$35,_xlfn.RANK.EQ(BF86,$BF$2:$BF$111),""),"")</f>
        <v/>
      </c>
      <c r="BI86" s="31" t="str">
        <f>IF(AND($F86='Tournament Setup'!$A$35,SUM($Q86,$S86)=0,$E86="M",$BH86&gt;'Tournament Setup'!$B$35),$I86,"")</f>
        <v/>
      </c>
      <c r="BJ86" s="1" t="str">
        <f>IF(ISNUMBER(BI86)=TRUE,IF(_xlfn.RANK.EQ(BI86,$BI$2:$BI$111)&lt;='Tournament Setup'!$C$35,_xlfn.RANK.EQ(BI86,$BI$2:$BI$111),""),"")</f>
        <v/>
      </c>
      <c r="BK86" s="31" t="str">
        <f>IF(AND($F86='Tournament Setup'!$A$35,SUM($Q86,$U86)=0,$E86="F",$BH86&gt;'Tournament Setup'!$B$35),$I86,"")</f>
        <v/>
      </c>
      <c r="BL86" s="12" t="str">
        <f>IF(ISNUMBER(BK86)=TRUE,IF(_xlfn.RANK.EQ(BK86,$BK$2:$BK$111)&lt;='Tournament Setup'!$D$35,_xlfn.RANK.EQ(BK86,$BK$2:$BK$111),""),"")</f>
        <v/>
      </c>
      <c r="BM86" s="30" t="str">
        <f>IF(AND($G86='Tournament Setup'!$A$54,$J86&lt;&gt;0),$J86,"")</f>
        <v/>
      </c>
      <c r="BN86" s="47" t="str">
        <f>IF(ISNUMBER(BM86),IF(COUNTIFS(BN$1:BN85,_xlfn.RANK.EQ(BM86,BM$2:BM$111,0))&gt;0,_xlfn.MAXIFS(BN$1:BN85,BM$1:BM85,BM86)+1,_xlfn.RANK.EQ(BM86,BM$2:BM$111,0)),"")</f>
        <v/>
      </c>
      <c r="BO86" s="1" t="str">
        <f>IF(ISNUMBER(BM86)=TRUE,IF(_xlfn.RANK.EQ(BM86,$BM$2:$BM$111)&lt;='Tournament Setup'!$B$49,_xlfn.RANK.EQ(BM86,$BM$2:$BM$111),""),"")</f>
        <v/>
      </c>
      <c r="BP86" s="30" t="str">
        <f>IF(AND($F86='Tournament Setup'!$A$36,SUM($Q86,$S86,$U86)=0),$I86,"")</f>
        <v/>
      </c>
      <c r="BQ86" s="47" t="str">
        <f>IF(ISNUMBER(BP86),IF(COUNTIFS(BQ$1:BQ85,_xlfn.RANK.EQ(BP86,BP$2:BP$111,0))&gt;0,_xlfn.MAXIFS(BQ$1:BQ85,BP$1:BP85,BP86)+1,_xlfn.RANK.EQ(BP86,BP$2:BP$111,0)),"")</f>
        <v/>
      </c>
      <c r="BR86" s="1" t="str">
        <f>IF(ISNUMBER(BP86)=TRUE,IF(_xlfn.RANK.EQ(BP86,$BP$2:$BP$111)&lt;='Tournament Setup'!$B$36,_xlfn.RANK.EQ(BP86,$BP$2:$BP$111),""),"")</f>
        <v/>
      </c>
      <c r="BS86" s="31" t="str">
        <f>IF(AND($F86='Tournament Setup'!$A$36,SUM($Q86,$S86)=0,$E86="M",$BR86&gt;'Tournament Setup'!$B$36),$I86,"")</f>
        <v/>
      </c>
      <c r="BT86" s="1" t="str">
        <f>IF(ISNUMBER(BS86)=TRUE,IF(_xlfn.RANK.EQ(BS86,$BS$2:$BS$111)&lt;='Tournament Setup'!$C$36,_xlfn.RANK.EQ(BS86,$BS$2:$BS$111),""),"")</f>
        <v/>
      </c>
      <c r="BU86" s="31" t="str">
        <f>IF(AND($F86='Tournament Setup'!$A$36,SUM($Q86,$U86)=0,$E86="F",$BR86&gt;'Tournament Setup'!$B$36),$I86,"")</f>
        <v/>
      </c>
      <c r="BV86" s="12" t="str">
        <f>IF(ISNUMBER(BU86)=TRUE,IF(_xlfn.RANK.EQ(BU86,$BU$2:$BU$111)&lt;='Tournament Setup'!$D$36,_xlfn.RANK.EQ(BU86,$BU$2:$BU$111),""),"")</f>
        <v/>
      </c>
      <c r="BW86" s="30" t="str">
        <f>IF($H86='Tournament Setup'!$A$41,$I86,"")</f>
        <v/>
      </c>
      <c r="BX86" s="47" t="str">
        <f>IF(ISNUMBER(BW86),IF(COUNTIFS(BX$1:BX85,_xlfn.RANK.EQ(BW86,BW$2:BW$111,0))&gt;0,_xlfn.MAXIFS(BX$1:BX85,BW$1:BW85,BW86)+1,_xlfn.RANK.EQ(BW86,BW$2:BW$111,0)),"")</f>
        <v/>
      </c>
      <c r="BY86" s="1" t="str">
        <f>IF(ISNUMBER(BW86)=TRUE,IF(_xlfn.RANK.EQ(BW86,$BW$2:$BW$111)&lt;='Tournament Setup'!$B$41,_xlfn.RANK.EQ(BW86,$BW$2:$BW$111),""),"")</f>
        <v/>
      </c>
      <c r="BZ86" s="31" t="str">
        <f>IF(AND($H86='Tournament Setup'!$A$41,$E86="M",$BY86&gt;'Tournament Setup'!$B$41),$I86,"")</f>
        <v/>
      </c>
      <c r="CA86" s="1" t="str">
        <f>IF(ISNUMBER(BZ86)=TRUE,IF(_xlfn.RANK.EQ(BZ86,$BZ$2:$BZ$111)&lt;='Tournament Setup'!$C$41,_xlfn.RANK.EQ(BZ86,$BZ$2:$BZ$111),""),"")</f>
        <v/>
      </c>
      <c r="CB86" s="31" t="str">
        <f>IF(AND($H86='Tournament Setup'!$A$41,$E86="F",$BY86&gt;'Tournament Setup'!$B$41),$I86,"")</f>
        <v/>
      </c>
      <c r="CC86" s="12" t="str">
        <f>IF(ISNUMBER(CB86)=TRUE,IF(_xlfn.RANK.EQ(CB86,$CB$2:$CB$111)&lt;='Tournament Setup'!$D$41,_xlfn.RANK.EQ(CB86,$CB$2:$CB$111),""),"")</f>
        <v/>
      </c>
      <c r="CD86" s="30" t="str">
        <f>IF($H86='Tournament Setup'!$A$42,$I86,"")</f>
        <v/>
      </c>
      <c r="CE86" s="47" t="str">
        <f>IF(ISNUMBER(CD86),IF(COUNTIFS(CE$1:CE85,_xlfn.RANK.EQ(CD86,CD$2:CD$111,0))&gt;0,_xlfn.MAXIFS(CE$1:CE85,CD$1:CD85,CD86)+1,_xlfn.RANK.EQ(CD86,CD$2:CD$111,0)),"")</f>
        <v/>
      </c>
      <c r="CF86" s="1" t="str">
        <f>IF(ISNUMBER(CD86)=TRUE,IF(_xlfn.RANK.EQ(CD86,$CD$2:$CD$111)&lt;='Tournament Setup'!$B$42,_xlfn.RANK.EQ(CD86,$CD$2:$CD$111),""),"")</f>
        <v/>
      </c>
      <c r="CG86" s="31" t="str">
        <f>IF(AND($H86='Tournament Setup'!$A$42,$E86="M",$CF86&gt;'Tournament Setup'!$B$42),$I86,"")</f>
        <v/>
      </c>
      <c r="CH86" s="1" t="str">
        <f>IF(ISNUMBER(CG86)=TRUE,IF(_xlfn.RANK.EQ(CG86,$CG$2:$CG$111)&lt;='Tournament Setup'!$C$42,_xlfn.RANK.EQ(CG86,$CG$2:$CG$111),""),"")</f>
        <v/>
      </c>
      <c r="CI86" s="31" t="str">
        <f>IF(AND($H86='Tournament Setup'!$A$42,$E86="F",$CF86&gt;'Tournament Setup'!$B$42),$I86,"")</f>
        <v/>
      </c>
      <c r="CJ86" s="12" t="str">
        <f>IF(ISNUMBER(CI86)=TRUE,IF(_xlfn.RANK.EQ(CI86,$CI$2:$CI$111)&lt;='Tournament Setup'!$D$42,_xlfn.RANK.EQ(CI86,$CI$2:$CI$111),""),"")</f>
        <v/>
      </c>
      <c r="CK86" s="30" t="str">
        <f>IF($H86='Tournament Setup'!$A$43,$I86,"")</f>
        <v/>
      </c>
      <c r="CL86" s="47" t="str">
        <f>IF(ISNUMBER(CK86),IF(COUNTIFS(CL$1:CL85,_xlfn.RANK.EQ(CK86,CK$2:CK$111,0))&gt;0,_xlfn.MAXIFS(CL$1:CL85,CK$1:CK85,CK86)+1,_xlfn.RANK.EQ(CK86,CK$2:CK$111,0)),"")</f>
        <v/>
      </c>
      <c r="CM86" s="1" t="str">
        <f>IF(ISNUMBER(CK86)=TRUE,IF(_xlfn.RANK.EQ(CK86,$CK$2:$CK$111)&lt;='Tournament Setup'!$B$43,_xlfn.RANK.EQ(CK86,$CK$2:$CK$111),""),"")</f>
        <v/>
      </c>
      <c r="CN86" s="31" t="str">
        <f>IF(AND($H86='Tournament Setup'!$A$43,$E86="M",$CM86&gt;'Tournament Setup'!$B$43),$I86,"")</f>
        <v/>
      </c>
      <c r="CO86" s="1" t="str">
        <f>IF(ISNUMBER(CN86)=TRUE,IF(_xlfn.RANK.EQ(CN86,$CN$2:$CN$111)&lt;='Tournament Setup'!$C$43,_xlfn.RANK.EQ(CN86,$CN$2:$CN$111),""),"")</f>
        <v/>
      </c>
      <c r="CP86" s="31" t="str">
        <f>IF(AND($H86='Tournament Setup'!$A$43,$E86="F",$CM86&gt;'Tournament Setup'!$B$43),$I86,"")</f>
        <v/>
      </c>
      <c r="CQ86" s="12" t="str">
        <f>IF(ISNUMBER(CP86)=TRUE,IF(_xlfn.RANK.EQ(CP86,$CP$2:$CP$111)&lt;='Tournament Setup'!$D$43,_xlfn.RANK.EQ(CP86,$CP$2:$CP$111),""),"")</f>
        <v/>
      </c>
      <c r="CR86" s="30" t="str">
        <f>IF($H86='Tournament Setup'!$A$44,$I86,"")</f>
        <v/>
      </c>
      <c r="CS86" s="47" t="str">
        <f>IF(ISNUMBER(CR86),IF(COUNTIFS(CS$1:CS85,_xlfn.RANK.EQ(CR86,CR$2:CR$111,0))&gt;0,_xlfn.MAXIFS(CS$1:CS85,CR$1:CR85,CR86)+1,_xlfn.RANK.EQ(CR86,CR$2:CR$111,0)),"")</f>
        <v/>
      </c>
      <c r="CT86" s="1" t="str">
        <f>IF(ISNUMBER(CR86)=TRUE,IF(_xlfn.RANK.EQ(CR86,$CR$2:$CR$111)&lt;='Tournament Setup'!$B$44,_xlfn.RANK.EQ(CR86,$CR$2:$CR$111),""),"")</f>
        <v/>
      </c>
      <c r="CU86" s="31" t="str">
        <f>IF(AND($H86='Tournament Setup'!$A$44,$E86="M",$CT86&gt;'Tournament Setup'!$B$44),$I86,"")</f>
        <v/>
      </c>
      <c r="CV86" s="1" t="str">
        <f>IF(ISNUMBER(CU86)=TRUE,IF(_xlfn.RANK.EQ(CU86,$CU$2:$CU$111)&lt;='Tournament Setup'!$C$44,_xlfn.RANK.EQ(CU86,$CU$2:$CU$111),""),"")</f>
        <v/>
      </c>
      <c r="CW86" s="31" t="str">
        <f>IF(AND($H86='Tournament Setup'!$A$44,$E86="F",$CT86&gt;'Tournament Setup'!$B$44),$I86,"")</f>
        <v/>
      </c>
      <c r="CX86" s="12" t="str">
        <f>IF(ISNUMBER(CW86)=TRUE,IF(_xlfn.RANK.EQ(CW86,$CW$2:$CW$111)&lt;='Tournament Setup'!$D$44,_xlfn.RANK.EQ(CW86,$CW$2:$CW$111),""),"")</f>
        <v/>
      </c>
    </row>
    <row r="87" spans="2:102" x14ac:dyDescent="0.3">
      <c r="B87" t="str">
        <f>IFERROR(INDEX('Tournament List'!$B:$B,MATCH($A87,'Tournament List'!$A:$A,0)),"")</f>
        <v/>
      </c>
      <c r="C87" t="str">
        <f>IFERROR(INDEX('Tournament List'!$C:$C,MATCH($A87,'Tournament List'!$A:$A,0)),"")</f>
        <v/>
      </c>
      <c r="D87" t="str">
        <f t="shared" si="3"/>
        <v xml:space="preserve"> </v>
      </c>
      <c r="E87" s="1" t="str">
        <f>IFERROR(INDEX('Tournament List'!F:F,MATCH($A87,'Tournament List'!$A:$A,0)),"")</f>
        <v/>
      </c>
      <c r="F87" t="str">
        <f>IFERROR(INDEX('Tournament List'!M:M,MATCH($A87,'Tournament List'!$A:$A,0)),"")</f>
        <v/>
      </c>
      <c r="G87" t="str">
        <f>IFERROR(INDEX('Shooter-Squad Assignment'!L:L,MATCH(A87,'Shooter-Squad Assignment'!A:A,0)),"")</f>
        <v/>
      </c>
      <c r="H87" s="1" t="str">
        <f>IFERROR(INDEX('Tournament List'!AD:AD,MATCH($A87,'Tournament List'!$A:$A,0)),"")</f>
        <v/>
      </c>
      <c r="I87" s="123" t="str">
        <f>IFERROR(INDEX('Tournament List'!AG:AG,MATCH($A87,'Tournament List'!$A:$A,0)),"")</f>
        <v/>
      </c>
      <c r="J87" s="145" t="str">
        <f>IFERROR(INDEX('Tournament List'!Y:Y,MATCH($A87,'Tournament List'!$A:$A,0)),"")</f>
        <v/>
      </c>
      <c r="K87" s="47" t="str">
        <f>IFERROR(INDEX('Tournament List'!S:S,MATCH(A87,'Tournament List'!A:A,0)),"")</f>
        <v/>
      </c>
      <c r="L87" s="47" t="str">
        <f>IF(ISNUMBER(J87),IF(COUNTIFS(L$1:L86,_xlfn.RANK.EQ(J87,J$2:J$111,0))&gt;0,_xlfn.MAXIFS(L$1:L86,J$1:J86,J87)+1,_xlfn.RANK.EQ(J87,J$2:J$111,0)),"")</f>
        <v/>
      </c>
      <c r="M87" s="11" t="str">
        <f>IF(ISNUMBER(I87)=TRUE,IF(I87&gt;0,_xlfn.RANK.EQ(I87,$I$2:$I$111,0),""),"")</f>
        <v/>
      </c>
      <c r="N87" s="56" t="str">
        <f>IF(ISNUMBER(I87),IF(COUNTIFS(N$1:N86,_xlfn.RANK.EQ(I87,I$2:I$111,0))&gt;0,_xlfn.MAXIFS(N$1:N86,I$1:I86,I87)+1,_xlfn.RANK.EQ(I87,I$2:I$111,0)),"")</f>
        <v/>
      </c>
      <c r="O87" s="144" t="str">
        <f>IF(F87&lt;&gt;"Collegiate"=TRUE,$I87,"")</f>
        <v/>
      </c>
      <c r="P87" s="47" t="str">
        <f>IF(ISNUMBER(O87),IF(COUNTIFS(P$1:P86,_xlfn.RANK.EQ(O87,O$2:O$111,0))&gt;0,_xlfn.MAXIFS(P$1:P86,O$1:O86,O87)+1,_xlfn.RANK.EQ(O87,O$2:O$111,0)),"")</f>
        <v/>
      </c>
      <c r="Q87" s="1" t="str">
        <f>IF(ISNUMBER(O87)=TRUE,IF(_xlfn.RANK.EQ(O87,$O$2:$O$111)&lt;='Tournament Setup'!$B$26,_xlfn.RANK.EQ(O87,$O$2:$O$111),""),"")</f>
        <v/>
      </c>
      <c r="R87" s="143" t="str">
        <f>IF(AND($E87="M",SUM($Q87)=0,F87&lt;&gt;"Collegiate")=TRUE,$I87,"")</f>
        <v/>
      </c>
      <c r="S87" s="1" t="str">
        <f>IF(ISNUMBER(R87)=TRUE,IF(_xlfn.RANK.EQ(R87,$R$2:$R$111)&lt;='Tournament Setup'!$B$27,_xlfn.RANK.EQ(R87,$R$2:$R$111),""),"")</f>
        <v/>
      </c>
      <c r="T87" s="143" t="str">
        <f>IF(AND($E87="F",SUM($Q87)=0,F87&lt;&gt;"Collegiate")=TRUE,$I87,"")</f>
        <v/>
      </c>
      <c r="U87" s="12" t="str">
        <f>IF(ISNUMBER(T87)=TRUE,IF(_xlfn.RANK.EQ(T87,$T$2:$T$111)&lt;='Tournament Setup'!$B$28,_xlfn.RANK.EQ(T87,$T$2:$T$111),""),"")</f>
        <v/>
      </c>
      <c r="V87" s="145" t="str">
        <f>IF(AND($G87='Tournament Setup'!$A$53,$J87&lt;&gt;0),$J87,"")</f>
        <v/>
      </c>
      <c r="W87" s="47" t="str">
        <f>IF(ISNUMBER(V87),IF(COUNTIFS(W$1:W86,_xlfn.RANK.EQ(V87,V$2:V$111,0))&gt;0,_xlfn.MAXIFS(W$1:W86,V$1:V86,V87)+1,_xlfn.RANK.EQ(V87,V$2:V$111,0)),"")</f>
        <v/>
      </c>
      <c r="X87" s="1" t="str">
        <f>IF(ISNUMBER(V87)=TRUE,IF(_xlfn.RANK.EQ(V87,$V$2:$V$111)&lt;='Tournament Setup'!$B$53,_xlfn.RANK.EQ(V87,$V$2:$V$111),""),"")</f>
        <v/>
      </c>
      <c r="Y87" s="145" t="str">
        <f>IF(AND($G87='Tournament Setup'!$A$49,$J87&lt;&gt;0),$J87,"")</f>
        <v/>
      </c>
      <c r="Z87" s="47" t="str">
        <f>IF(ISNUMBER(Y87),IF(COUNTIFS(Z$1:Z86,_xlfn.RANK.EQ(Y87,Y$2:Y$111,0))&gt;0,_xlfn.MAXIFS(Z$1:Z86,Y$1:Y86,Y87)+1,_xlfn.RANK.EQ(Y87,Y$2:Y$111,0)),"")</f>
        <v/>
      </c>
      <c r="AA87" s="1" t="str">
        <f>IF(ISNUMBER(Y87)=TRUE,IF(_xlfn.RANK.EQ(Y87,$Y$2:$Y$111)&lt;='Tournament Setup'!$B$49,_xlfn.RANK.EQ(Y87,$Y$2:$Y$111),""),"")</f>
        <v/>
      </c>
      <c r="AB87" s="30" t="str">
        <f>IF(AND($F87='Tournament Setup'!$A$32,SUM($Q87,$S87,$U87)=0),$I87,"")</f>
        <v/>
      </c>
      <c r="AC87" s="47" t="str">
        <f>IF(ISNUMBER(AB87),IF(COUNTIFS(AC$1:AC86,_xlfn.RANK.EQ(AB87,AB$2:AB$111,0))&gt;0,_xlfn.MAXIFS(AC$1:AC86,AB$1:AB86,AB87)+1,_xlfn.RANK.EQ(AB87,AB$2:AB$111,0)),"")</f>
        <v/>
      </c>
      <c r="AD87" s="1" t="str">
        <f>IF(ISNUMBER(AB87)=TRUE,IF(_xlfn.RANK.EQ(AB87,$AB$2:$AB$111)&lt;='Tournament Setup'!$B$32,_xlfn.RANK.EQ(AB87,$AB$2:$AB$111),""),"")</f>
        <v/>
      </c>
      <c r="AE87" s="31" t="str">
        <f>IF(AND($F87='Tournament Setup'!$A$32,SUM($Q87,$S87)=0,$E87="M",$AD87&gt;'Tournament Setup'!$B$32),$I87,"")</f>
        <v/>
      </c>
      <c r="AF87" s="1" t="str">
        <f>IF(ISNUMBER(AE87)=TRUE,IF(_xlfn.RANK.EQ(AE87,$AE$2:$AE$111)&lt;='Tournament Setup'!$C$32,_xlfn.RANK.EQ(AE87,$AE$2:$AE$111),""),"")</f>
        <v/>
      </c>
      <c r="AG87" s="31" t="str">
        <f>IF(AND($F87='Tournament Setup'!$A$32,SUM($Q87,$U87)=0,$E87="F",$AD87&gt;'Tournament Setup'!$B$32),$I87,"")</f>
        <v/>
      </c>
      <c r="AH87" s="12" t="str">
        <f>IF(ISNUMBER(AG87)=TRUE,IF(_xlfn.RANK.EQ(AG87,$AG$2:$AG$111)&lt;='Tournament Setup'!$D$32,_xlfn.RANK.EQ(AG87,$AG$2:$AG$111),""),"")</f>
        <v/>
      </c>
      <c r="AI87" s="30" t="str">
        <f>IF(AND($G87='Tournament Setup'!$A$50,$J87&lt;&gt;0),$J87,"")</f>
        <v/>
      </c>
      <c r="AJ87" s="47" t="str">
        <f>IF(ISNUMBER(AI87),IF(COUNTIFS(AJ$1:AJ86,_xlfn.RANK.EQ(AI87,AI$2:AI$111,0))&gt;0,_xlfn.MAXIFS(AJ$1:AJ86,AI$1:AI86,AI87)+1,_xlfn.RANK.EQ(AI87,AI$2:AI$111,0)),"")</f>
        <v/>
      </c>
      <c r="AK87" s="1" t="str">
        <f>IF(ISNUMBER(AI87)=TRUE,IF(_xlfn.RANK.EQ(AI87,$AI$2:$AI$111)&lt;='Tournament Setup'!$B$49,_xlfn.RANK.EQ(AI87,$AI$2:$AI$111),""),"")</f>
        <v/>
      </c>
      <c r="AL87" s="30" t="str">
        <f>IF(AND($F87='Tournament Setup'!$A$33,SUM($Q87,$S87,$U87)=0),$I87,"")</f>
        <v/>
      </c>
      <c r="AM87" s="47" t="str">
        <f>IF(ISNUMBER(AL87),IF(COUNTIFS(AM$1:AM86,_xlfn.RANK.EQ(AL87,AL$2:AL$111,0))&gt;0,_xlfn.MAXIFS(AM$1:AM86,AL$1:AL86,AL87)+1,_xlfn.RANK.EQ(AL87,AL$2:AL$111,0)),"")</f>
        <v/>
      </c>
      <c r="AN87" s="1" t="str">
        <f>IF(ISNUMBER(AL87)=TRUE,IF(_xlfn.RANK.EQ(AL87,$AL$2:$AL$111)&lt;='Tournament Setup'!$B$33,_xlfn.RANK.EQ(AL87,$AL$2:$AL$111),""),"")</f>
        <v/>
      </c>
      <c r="AO87" s="31" t="str">
        <f>IF(AND($F87='Tournament Setup'!$A$33,SUM($Q87,$S87)=0,$E87="M",$AN87&gt;'Tournament Setup'!$B$33),$I87,"")</f>
        <v/>
      </c>
      <c r="AP87" s="1" t="str">
        <f>IF(ISNUMBER(AO87)=TRUE,IF(_xlfn.RANK.EQ(AO87,$AO$2:$AO$111)&lt;='Tournament Setup'!$C$33,_xlfn.RANK.EQ(AO87,$AO$2:$AO$111),""),"")</f>
        <v/>
      </c>
      <c r="AQ87" s="31" t="str">
        <f>IF(AND($F87='Tournament Setup'!$A$33,SUM($Q87,$U87)=0,$E87="F",$AN87&gt;'Tournament Setup'!$B$33),$I87,"")</f>
        <v/>
      </c>
      <c r="AR87" s="12" t="str">
        <f>IF(ISNUMBER(AQ87)=TRUE,IF(_xlfn.RANK.EQ(AQ87,$AQ$2:$AQ$111)&lt;='Tournament Setup'!$D$33,_xlfn.RANK.EQ(AQ87,$AQ$2:$AQ$111),""),"")</f>
        <v/>
      </c>
      <c r="AS87" s="30" t="str">
        <f>IF(AND($G87='Tournament Setup'!$A$51,$J87&lt;&gt;0),$J87,"")</f>
        <v/>
      </c>
      <c r="AT87" s="47" t="str">
        <f>IF(ISNUMBER(AS87),IF(COUNTIFS(AT$1:AT86,_xlfn.RANK.EQ(AS87,AS$2:AS$111,0))&gt;0,_xlfn.MAXIFS(AT$1:AT86,AS$1:AS86,AS87)+1,_xlfn.RANK.EQ(AS87,AS$2:AS$111,0)),"")</f>
        <v/>
      </c>
      <c r="AU87" s="1" t="str">
        <f>IF(ISNUMBER(AS87)=TRUE,IF(_xlfn.RANK.EQ(AS87,$AS$2:$AS$111)&lt;='Tournament Setup'!$B$49,_xlfn.RANK.EQ(AS87,$AS$2:$AS$111),""),"")</f>
        <v/>
      </c>
      <c r="AV87" s="30" t="str">
        <f>IF(AND($F87='Tournament Setup'!$A$34,SUM($Q87,$S87,$U87)=0),$I87,"")</f>
        <v/>
      </c>
      <c r="AW87" s="47" t="str">
        <f>IF(ISNUMBER(AV87),IF(COUNTIFS(AW$1:AW86,_xlfn.RANK.EQ(AV87,AV$2:AV$111,0))&gt;0,_xlfn.MAXIFS(AW$1:AW86,AV$1:AV86,AV87)+1,_xlfn.RANK.EQ(AV87,AV$2:AV$111,0)),"")</f>
        <v/>
      </c>
      <c r="AX87" s="1" t="str">
        <f>IF(ISNUMBER(AV87)=TRUE,IF(_xlfn.RANK.EQ(AV87,$AV$2:$AV$111)&lt;='Tournament Setup'!$B$34,_xlfn.RANK.EQ(AV87,$AV$2:$AV$111),""),"")</f>
        <v/>
      </c>
      <c r="AY87" s="31" t="str">
        <f>IF(AND($F87='Tournament Setup'!$A$34,SUM($Q87,$S87)=0,$E87="M",$AX87&gt;'Tournament Setup'!$B$34),$I87,"")</f>
        <v/>
      </c>
      <c r="AZ87" s="1" t="str">
        <f>IF(ISNUMBER(AY87)=TRUE,IF(_xlfn.RANK.EQ(AY87,$AY$2:$AY$111)&lt;='Tournament Setup'!$C$34,_xlfn.RANK.EQ(AY87,$AY$2:$AY$111),""),"")</f>
        <v/>
      </c>
      <c r="BA87" s="31" t="str">
        <f>IF(AND($F87='Tournament Setup'!$A$34,SUM($Q87,$U87)=0,$E87="F",$AX87&gt;'Tournament Setup'!$B$34),$I87,"")</f>
        <v/>
      </c>
      <c r="BB87" s="12" t="str">
        <f>IF(ISNUMBER(BA87)=TRUE,IF(_xlfn.RANK.EQ(BA87,$BA$2:$BA$111)&lt;='Tournament Setup'!$D$34,_xlfn.RANK.EQ(BA87,$BA$2:$BA$111),""),"")</f>
        <v/>
      </c>
      <c r="BC87" s="30" t="str">
        <f>IF(AND($G87='Tournament Setup'!$A$52,$J87&lt;&gt;0),$J87,"")</f>
        <v/>
      </c>
      <c r="BD87" s="47" t="str">
        <f>IF(ISNUMBER(BC87),IF(COUNTIFS(BD$1:BD86,_xlfn.RANK.EQ(BC87,BC$2:BC$111,0))&gt;0,_xlfn.MAXIFS(BD$1:BD86,BC$1:BC86,BC87)+1,_xlfn.RANK.EQ(BC87,BC$2:BC$111,0)),"")</f>
        <v/>
      </c>
      <c r="BE87" s="1" t="str">
        <f>IF(ISNUMBER(BC87)=TRUE,IF(_xlfn.RANK.EQ(BC87,$BC$2:$BC$111)&lt;='Tournament Setup'!$B$49,_xlfn.RANK.EQ(BC87,$BC$2:$BC$111),""),"")</f>
        <v/>
      </c>
      <c r="BF87" s="30" t="str">
        <f>IF(AND($F87='Tournament Setup'!$A$35,SUM($Q87,$S87,$U87)=0),$I87,"")</f>
        <v/>
      </c>
      <c r="BG87" s="47" t="str">
        <f>IF(ISNUMBER(BF87),IF(COUNTIFS(BG$1:BG86,_xlfn.RANK.EQ(BF87,BF$2:BF$111,0))&gt;0,_xlfn.MAXIFS(BG$1:BG86,BF$1:BF86,BF87)+1,_xlfn.RANK.EQ(BF87,BF$2:BF$111,0)),"")</f>
        <v/>
      </c>
      <c r="BH87" s="1" t="str">
        <f>IF(ISNUMBER(BF87)=TRUE,IF(_xlfn.RANK.EQ(BF87,$BF$2:$BF$111)&lt;='Tournament Setup'!$B$35,_xlfn.RANK.EQ(BF87,$BF$2:$BF$111),""),"")</f>
        <v/>
      </c>
      <c r="BI87" s="31" t="str">
        <f>IF(AND($F87='Tournament Setup'!$A$35,SUM($Q87,$S87)=0,$E87="M",$BH87&gt;'Tournament Setup'!$B$35),$I87,"")</f>
        <v/>
      </c>
      <c r="BJ87" s="1" t="str">
        <f>IF(ISNUMBER(BI87)=TRUE,IF(_xlfn.RANK.EQ(BI87,$BI$2:$BI$111)&lt;='Tournament Setup'!$C$35,_xlfn.RANK.EQ(BI87,$BI$2:$BI$111),""),"")</f>
        <v/>
      </c>
      <c r="BK87" s="31" t="str">
        <f>IF(AND($F87='Tournament Setup'!$A$35,SUM($Q87,$U87)=0,$E87="F",$BH87&gt;'Tournament Setup'!$B$35),$I87,"")</f>
        <v/>
      </c>
      <c r="BL87" s="12" t="str">
        <f>IF(ISNUMBER(BK87)=TRUE,IF(_xlfn.RANK.EQ(BK87,$BK$2:$BK$111)&lt;='Tournament Setup'!$D$35,_xlfn.RANK.EQ(BK87,$BK$2:$BK$111),""),"")</f>
        <v/>
      </c>
      <c r="BM87" s="30" t="str">
        <f>IF(AND($G87='Tournament Setup'!$A$54,$J87&lt;&gt;0),$J87,"")</f>
        <v/>
      </c>
      <c r="BN87" s="47" t="str">
        <f>IF(ISNUMBER(BM87),IF(COUNTIFS(BN$1:BN86,_xlfn.RANK.EQ(BM87,BM$2:BM$111,0))&gt;0,_xlfn.MAXIFS(BN$1:BN86,BM$1:BM86,BM87)+1,_xlfn.RANK.EQ(BM87,BM$2:BM$111,0)),"")</f>
        <v/>
      </c>
      <c r="BO87" s="1" t="str">
        <f>IF(ISNUMBER(BM87)=TRUE,IF(_xlfn.RANK.EQ(BM87,$BM$2:$BM$111)&lt;='Tournament Setup'!$B$49,_xlfn.RANK.EQ(BM87,$BM$2:$BM$111),""),"")</f>
        <v/>
      </c>
      <c r="BP87" s="30" t="str">
        <f>IF(AND($F87='Tournament Setup'!$A$36,SUM($Q87,$S87,$U87)=0),$I87,"")</f>
        <v/>
      </c>
      <c r="BQ87" s="47" t="str">
        <f>IF(ISNUMBER(BP87),IF(COUNTIFS(BQ$1:BQ86,_xlfn.RANK.EQ(BP87,BP$2:BP$111,0))&gt;0,_xlfn.MAXIFS(BQ$1:BQ86,BP$1:BP86,BP87)+1,_xlfn.RANK.EQ(BP87,BP$2:BP$111,0)),"")</f>
        <v/>
      </c>
      <c r="BR87" s="1" t="str">
        <f>IF(ISNUMBER(BP87)=TRUE,IF(_xlfn.RANK.EQ(BP87,$BP$2:$BP$111)&lt;='Tournament Setup'!$B$36,_xlfn.RANK.EQ(BP87,$BP$2:$BP$111),""),"")</f>
        <v/>
      </c>
      <c r="BS87" s="31" t="str">
        <f>IF(AND($F87='Tournament Setup'!$A$36,SUM($Q87,$S87)=0,$E87="M",$BR87&gt;'Tournament Setup'!$B$36),$I87,"")</f>
        <v/>
      </c>
      <c r="BT87" s="1" t="str">
        <f>IF(ISNUMBER(BS87)=TRUE,IF(_xlfn.RANK.EQ(BS87,$BS$2:$BS$111)&lt;='Tournament Setup'!$C$36,_xlfn.RANK.EQ(BS87,$BS$2:$BS$111),""),"")</f>
        <v/>
      </c>
      <c r="BU87" s="31" t="str">
        <f>IF(AND($F87='Tournament Setup'!$A$36,SUM($Q87,$U87)=0,$E87="F",$BR87&gt;'Tournament Setup'!$B$36),$I87,"")</f>
        <v/>
      </c>
      <c r="BV87" s="12" t="str">
        <f>IF(ISNUMBER(BU87)=TRUE,IF(_xlfn.RANK.EQ(BU87,$BU$2:$BU$111)&lt;='Tournament Setup'!$D$36,_xlfn.RANK.EQ(BU87,$BU$2:$BU$111),""),"")</f>
        <v/>
      </c>
      <c r="BW87" s="30" t="str">
        <f>IF($H87='Tournament Setup'!$A$41,$I87,"")</f>
        <v/>
      </c>
      <c r="BX87" s="47" t="str">
        <f>IF(ISNUMBER(BW87),IF(COUNTIFS(BX$1:BX86,_xlfn.RANK.EQ(BW87,BW$2:BW$111,0))&gt;0,_xlfn.MAXIFS(BX$1:BX86,BW$1:BW86,BW87)+1,_xlfn.RANK.EQ(BW87,BW$2:BW$111,0)),"")</f>
        <v/>
      </c>
      <c r="BY87" s="1" t="str">
        <f>IF(ISNUMBER(BW87)=TRUE,IF(_xlfn.RANK.EQ(BW87,$BW$2:$BW$111)&lt;='Tournament Setup'!$B$41,_xlfn.RANK.EQ(BW87,$BW$2:$BW$111),""),"")</f>
        <v/>
      </c>
      <c r="BZ87" s="31" t="str">
        <f>IF(AND($H87='Tournament Setup'!$A$41,$E87="M",$BY87&gt;'Tournament Setup'!$B$41),$I87,"")</f>
        <v/>
      </c>
      <c r="CA87" s="1" t="str">
        <f>IF(ISNUMBER(BZ87)=TRUE,IF(_xlfn.RANK.EQ(BZ87,$BZ$2:$BZ$111)&lt;='Tournament Setup'!$C$41,_xlfn.RANK.EQ(BZ87,$BZ$2:$BZ$111),""),"")</f>
        <v/>
      </c>
      <c r="CB87" s="31" t="str">
        <f>IF(AND($H87='Tournament Setup'!$A$41,$E87="F",$BY87&gt;'Tournament Setup'!$B$41),$I87,"")</f>
        <v/>
      </c>
      <c r="CC87" s="12" t="str">
        <f>IF(ISNUMBER(CB87)=TRUE,IF(_xlfn.RANK.EQ(CB87,$CB$2:$CB$111)&lt;='Tournament Setup'!$D$41,_xlfn.RANK.EQ(CB87,$CB$2:$CB$111),""),"")</f>
        <v/>
      </c>
      <c r="CD87" s="30" t="str">
        <f>IF($H87='Tournament Setup'!$A$42,$I87,"")</f>
        <v/>
      </c>
      <c r="CE87" s="47" t="str">
        <f>IF(ISNUMBER(CD87),IF(COUNTIFS(CE$1:CE86,_xlfn.RANK.EQ(CD87,CD$2:CD$111,0))&gt;0,_xlfn.MAXIFS(CE$1:CE86,CD$1:CD86,CD87)+1,_xlfn.RANK.EQ(CD87,CD$2:CD$111,0)),"")</f>
        <v/>
      </c>
      <c r="CF87" s="1" t="str">
        <f>IF(ISNUMBER(CD87)=TRUE,IF(_xlfn.RANK.EQ(CD87,$CD$2:$CD$111)&lt;='Tournament Setup'!$B$42,_xlfn.RANK.EQ(CD87,$CD$2:$CD$111),""),"")</f>
        <v/>
      </c>
      <c r="CG87" s="31" t="str">
        <f>IF(AND($H87='Tournament Setup'!$A$42,$E87="M",$CF87&gt;'Tournament Setup'!$B$42),$I87,"")</f>
        <v/>
      </c>
      <c r="CH87" s="1" t="str">
        <f>IF(ISNUMBER(CG87)=TRUE,IF(_xlfn.RANK.EQ(CG87,$CG$2:$CG$111)&lt;='Tournament Setup'!$C$42,_xlfn.RANK.EQ(CG87,$CG$2:$CG$111),""),"")</f>
        <v/>
      </c>
      <c r="CI87" s="31" t="str">
        <f>IF(AND($H87='Tournament Setup'!$A$42,$E87="F",$CF87&gt;'Tournament Setup'!$B$42),$I87,"")</f>
        <v/>
      </c>
      <c r="CJ87" s="12" t="str">
        <f>IF(ISNUMBER(CI87)=TRUE,IF(_xlfn.RANK.EQ(CI87,$CI$2:$CI$111)&lt;='Tournament Setup'!$D$42,_xlfn.RANK.EQ(CI87,$CI$2:$CI$111),""),"")</f>
        <v/>
      </c>
      <c r="CK87" s="30" t="str">
        <f>IF($H87='Tournament Setup'!$A$43,$I87,"")</f>
        <v/>
      </c>
      <c r="CL87" s="47" t="str">
        <f>IF(ISNUMBER(CK87),IF(COUNTIFS(CL$1:CL86,_xlfn.RANK.EQ(CK87,CK$2:CK$111,0))&gt;0,_xlfn.MAXIFS(CL$1:CL86,CK$1:CK86,CK87)+1,_xlfn.RANK.EQ(CK87,CK$2:CK$111,0)),"")</f>
        <v/>
      </c>
      <c r="CM87" s="1" t="str">
        <f>IF(ISNUMBER(CK87)=TRUE,IF(_xlfn.RANK.EQ(CK87,$CK$2:$CK$111)&lt;='Tournament Setup'!$B$43,_xlfn.RANK.EQ(CK87,$CK$2:$CK$111),""),"")</f>
        <v/>
      </c>
      <c r="CN87" s="31" t="str">
        <f>IF(AND($H87='Tournament Setup'!$A$43,$E87="M",$CM87&gt;'Tournament Setup'!$B$43),$I87,"")</f>
        <v/>
      </c>
      <c r="CO87" s="1" t="str">
        <f>IF(ISNUMBER(CN87)=TRUE,IF(_xlfn.RANK.EQ(CN87,$CN$2:$CN$111)&lt;='Tournament Setup'!$C$43,_xlfn.RANK.EQ(CN87,$CN$2:$CN$111),""),"")</f>
        <v/>
      </c>
      <c r="CP87" s="31" t="str">
        <f>IF(AND($H87='Tournament Setup'!$A$43,$E87="F",$CM87&gt;'Tournament Setup'!$B$43),$I87,"")</f>
        <v/>
      </c>
      <c r="CQ87" s="12" t="str">
        <f>IF(ISNUMBER(CP87)=TRUE,IF(_xlfn.RANK.EQ(CP87,$CP$2:$CP$111)&lt;='Tournament Setup'!$D$43,_xlfn.RANK.EQ(CP87,$CP$2:$CP$111),""),"")</f>
        <v/>
      </c>
      <c r="CR87" s="30" t="str">
        <f>IF($H87='Tournament Setup'!$A$44,$I87,"")</f>
        <v/>
      </c>
      <c r="CS87" s="47" t="str">
        <f>IF(ISNUMBER(CR87),IF(COUNTIFS(CS$1:CS86,_xlfn.RANK.EQ(CR87,CR$2:CR$111,0))&gt;0,_xlfn.MAXIFS(CS$1:CS86,CR$1:CR86,CR87)+1,_xlfn.RANK.EQ(CR87,CR$2:CR$111,0)),"")</f>
        <v/>
      </c>
      <c r="CT87" s="1" t="str">
        <f>IF(ISNUMBER(CR87)=TRUE,IF(_xlfn.RANK.EQ(CR87,$CR$2:$CR$111)&lt;='Tournament Setup'!$B$44,_xlfn.RANK.EQ(CR87,$CR$2:$CR$111),""),"")</f>
        <v/>
      </c>
      <c r="CU87" s="31" t="str">
        <f>IF(AND($H87='Tournament Setup'!$A$44,$E87="M",$CT87&gt;'Tournament Setup'!$B$44),$I87,"")</f>
        <v/>
      </c>
      <c r="CV87" s="1" t="str">
        <f>IF(ISNUMBER(CU87)=TRUE,IF(_xlfn.RANK.EQ(CU87,$CU$2:$CU$111)&lt;='Tournament Setup'!$C$44,_xlfn.RANK.EQ(CU87,$CU$2:$CU$111),""),"")</f>
        <v/>
      </c>
      <c r="CW87" s="31" t="str">
        <f>IF(AND($H87='Tournament Setup'!$A$44,$E87="F",$CT87&gt;'Tournament Setup'!$B$44),$I87,"")</f>
        <v/>
      </c>
      <c r="CX87" s="12" t="str">
        <f>IF(ISNUMBER(CW87)=TRUE,IF(_xlfn.RANK.EQ(CW87,$CW$2:$CW$111)&lt;='Tournament Setup'!$D$44,_xlfn.RANK.EQ(CW87,$CW$2:$CW$111),""),"")</f>
        <v/>
      </c>
    </row>
    <row r="88" spans="2:102" x14ac:dyDescent="0.3">
      <c r="B88" t="str">
        <f>IFERROR(INDEX('Tournament List'!$B:$B,MATCH($A88,'Tournament List'!$A:$A,0)),"")</f>
        <v/>
      </c>
      <c r="C88" t="str">
        <f>IFERROR(INDEX('Tournament List'!$C:$C,MATCH($A88,'Tournament List'!$A:$A,0)),"")</f>
        <v/>
      </c>
      <c r="D88" t="str">
        <f t="shared" si="3"/>
        <v xml:space="preserve"> </v>
      </c>
      <c r="E88" s="1" t="str">
        <f>IFERROR(INDEX('Tournament List'!F:F,MATCH($A88,'Tournament List'!$A:$A,0)),"")</f>
        <v/>
      </c>
      <c r="F88" t="str">
        <f>IFERROR(INDEX('Tournament List'!M:M,MATCH($A88,'Tournament List'!$A:$A,0)),"")</f>
        <v/>
      </c>
      <c r="G88" t="str">
        <f>IFERROR(INDEX('Shooter-Squad Assignment'!L:L,MATCH(A88,'Shooter-Squad Assignment'!A:A,0)),"")</f>
        <v/>
      </c>
      <c r="H88" s="1" t="str">
        <f>IFERROR(INDEX('Tournament List'!AD:AD,MATCH($A88,'Tournament List'!$A:$A,0)),"")</f>
        <v/>
      </c>
      <c r="I88" s="123" t="str">
        <f>IFERROR(INDEX('Tournament List'!AG:AG,MATCH($A88,'Tournament List'!$A:$A,0)),"")</f>
        <v/>
      </c>
      <c r="J88" s="145" t="str">
        <f>IFERROR(INDEX('Tournament List'!Y:Y,MATCH($A88,'Tournament List'!$A:$A,0)),"")</f>
        <v/>
      </c>
      <c r="K88" s="47" t="str">
        <f>IFERROR(INDEX('Tournament List'!S:S,MATCH(A88,'Tournament List'!A:A,0)),"")</f>
        <v/>
      </c>
      <c r="L88" s="47" t="str">
        <f>IF(ISNUMBER(J88),IF(COUNTIFS(L$1:L77,_xlfn.RANK.EQ(J88,J$2:J$111,0))&gt;0,_xlfn.MAXIFS(L$1:L77,J$1:J77,J88)+1,_xlfn.RANK.EQ(J88,J$2:J$111,0)),"")</f>
        <v/>
      </c>
      <c r="M88" s="11" t="str">
        <f>IF(ISNUMBER(I88)=TRUE,IF(I88&gt;0,_xlfn.RANK.EQ(I88,$I$2:$I$111,0),""),"")</f>
        <v/>
      </c>
      <c r="N88" s="56" t="str">
        <f>IF(ISNUMBER(I88),IF(COUNTIFS(N$1:N77,_xlfn.RANK.EQ(I88,I$2:I$111,0))&gt;0,_xlfn.MAXIFS(N$1:N77,I$1:I77,I88)+1,_xlfn.RANK.EQ(I88,I$2:I$111,0)),"")</f>
        <v/>
      </c>
      <c r="O88" s="144" t="str">
        <f>IF(F88&lt;&gt;"Collegiate"=TRUE,$I88,"")</f>
        <v/>
      </c>
      <c r="P88" s="47" t="str">
        <f>IF(ISNUMBER(O88),IF(COUNTIFS(P$1:P77,_xlfn.RANK.EQ(O88,O$2:O$111,0))&gt;0,_xlfn.MAXIFS(P$1:P77,O$1:O77,O88)+1,_xlfn.RANK.EQ(O88,O$2:O$111,0)),"")</f>
        <v/>
      </c>
      <c r="Q88" s="1" t="str">
        <f>IF(ISNUMBER(O88)=TRUE,IF(_xlfn.RANK.EQ(O88,$O$2:$O$111)&lt;='Tournament Setup'!$B$26,_xlfn.RANK.EQ(O88,$O$2:$O$111),""),"")</f>
        <v/>
      </c>
      <c r="R88" s="143" t="str">
        <f>IF(AND($E88="M",SUM($Q88)=0,F88&lt;&gt;"Collegiate")=TRUE,$I88,"")</f>
        <v/>
      </c>
      <c r="S88" s="1" t="str">
        <f>IF(ISNUMBER(R88)=TRUE,IF(_xlfn.RANK.EQ(R88,$R$2:$R$111)&lt;='Tournament Setup'!$B$27,_xlfn.RANK.EQ(R88,$R$2:$R$111),""),"")</f>
        <v/>
      </c>
      <c r="T88" s="143" t="str">
        <f>IF(AND($E88="F",SUM($Q88)=0,F88&lt;&gt;"Collegiate")=TRUE,$I88,"")</f>
        <v/>
      </c>
      <c r="U88" s="12" t="str">
        <f>IF(ISNUMBER(T88)=TRUE,IF(_xlfn.RANK.EQ(T88,$T$2:$T$111)&lt;='Tournament Setup'!$B$28,_xlfn.RANK.EQ(T88,$T$2:$T$111),""),"")</f>
        <v/>
      </c>
      <c r="V88" s="145" t="str">
        <f>IF(AND($G88='Tournament Setup'!$A$53,$J88&lt;&gt;0),$J88,"")</f>
        <v/>
      </c>
      <c r="W88" s="47" t="str">
        <f>IF(ISNUMBER(V88),IF(COUNTIFS(W$1:W87,_xlfn.RANK.EQ(V88,V$2:V$111,0))&gt;0,_xlfn.MAXIFS(W$1:W87,V$1:V87,V88)+1,_xlfn.RANK.EQ(V88,V$2:V$111,0)),"")</f>
        <v/>
      </c>
      <c r="X88" s="1" t="str">
        <f>IF(ISNUMBER(V88)=TRUE,IF(_xlfn.RANK.EQ(V88,$V$2:$V$111)&lt;='Tournament Setup'!$B$53,_xlfn.RANK.EQ(V88,$V$2:$V$111),""),"")</f>
        <v/>
      </c>
      <c r="Y88" s="145" t="str">
        <f>IF(AND($G88='Tournament Setup'!$A$49,$J88&lt;&gt;0),$J88,"")</f>
        <v/>
      </c>
      <c r="Z88" s="47" t="str">
        <f>IF(ISNUMBER(Y88),IF(COUNTIFS(Z$1:Z87,_xlfn.RANK.EQ(Y88,Y$2:Y$111,0))&gt;0,_xlfn.MAXIFS(Z$1:Z87,Y$1:Y87,Y88)+1,_xlfn.RANK.EQ(Y88,Y$2:Y$111,0)),"")</f>
        <v/>
      </c>
      <c r="AA88" s="1" t="str">
        <f>IF(ISNUMBER(Y88)=TRUE,IF(_xlfn.RANK.EQ(Y88,$Y$2:$Y$111)&lt;='Tournament Setup'!$B$49,_xlfn.RANK.EQ(Y88,$Y$2:$Y$111),""),"")</f>
        <v/>
      </c>
      <c r="AB88" s="30" t="str">
        <f>IF(AND($F88='Tournament Setup'!$A$32,SUM($Q88,$S88,$U88)=0),$I88,"")</f>
        <v/>
      </c>
      <c r="AC88" s="47" t="str">
        <f>IF(ISNUMBER(AB88),IF(COUNTIFS(AC$1:AC77,_xlfn.RANK.EQ(AB88,AB$2:AB$111,0))&gt;0,_xlfn.MAXIFS(AC$1:AC77,AB$1:AB77,AB88)+1,_xlfn.RANK.EQ(AB88,AB$2:AB$111,0)),"")</f>
        <v/>
      </c>
      <c r="AD88" s="1" t="str">
        <f>IF(ISNUMBER(AB88)=TRUE,IF(_xlfn.RANK.EQ(AB88,$AB$2:$AB$111)&lt;='Tournament Setup'!$B$32,_xlfn.RANK.EQ(AB88,$AB$2:$AB$111),""),"")</f>
        <v/>
      </c>
      <c r="AE88" s="31" t="str">
        <f>IF(AND($F88='Tournament Setup'!$A$32,SUM($Q88,$S88)=0,$E88="M",$AD88&gt;'Tournament Setup'!$B$32),$I88,"")</f>
        <v/>
      </c>
      <c r="AF88" s="1" t="str">
        <f>IF(ISNUMBER(AE88)=TRUE,IF(_xlfn.RANK.EQ(AE88,$AE$2:$AE$111)&lt;='Tournament Setup'!$C$32,_xlfn.RANK.EQ(AE88,$AE$2:$AE$111),""),"")</f>
        <v/>
      </c>
      <c r="AG88" s="31" t="str">
        <f>IF(AND($F88='Tournament Setup'!$A$32,SUM($Q88,$U88)=0,$E88="F",$AD88&gt;'Tournament Setup'!$B$32),$I88,"")</f>
        <v/>
      </c>
      <c r="AH88" s="12" t="str">
        <f>IF(ISNUMBER(AG88)=TRUE,IF(_xlfn.RANK.EQ(AG88,$AG$2:$AG$111)&lt;='Tournament Setup'!$D$32,_xlfn.RANK.EQ(AG88,$AG$2:$AG$111),""),"")</f>
        <v/>
      </c>
      <c r="AI88" s="30" t="str">
        <f>IF(AND($G88='Tournament Setup'!$A$50,$J88&lt;&gt;0),$J88,"")</f>
        <v/>
      </c>
      <c r="AJ88" s="47" t="str">
        <f>IF(ISNUMBER(AI88),IF(COUNTIFS(AJ$1:AJ77,_xlfn.RANK.EQ(AI88,AI$2:AI$111,0))&gt;0,_xlfn.MAXIFS(AJ$1:AJ77,AI$1:AI77,AI88)+1,_xlfn.RANK.EQ(AI88,AI$2:AI$111,0)),"")</f>
        <v/>
      </c>
      <c r="AK88" s="1" t="str">
        <f>IF(ISNUMBER(AI88)=TRUE,IF(_xlfn.RANK.EQ(AI88,$AI$2:$AI$111)&lt;='Tournament Setup'!$B$49,_xlfn.RANK.EQ(AI88,$AI$2:$AI$111),""),"")</f>
        <v/>
      </c>
      <c r="AL88" s="30" t="str">
        <f>IF(AND($F88='Tournament Setup'!$A$33,SUM($Q88,$S88,$U88)=0),$I88,"")</f>
        <v/>
      </c>
      <c r="AM88" s="47" t="str">
        <f>IF(ISNUMBER(AL88),IF(COUNTIFS(AM$1:AM77,_xlfn.RANK.EQ(AL88,AL$2:AL$111,0))&gt;0,_xlfn.MAXIFS(AM$1:AM77,AL$1:AL77,AL88)+1,_xlfn.RANK.EQ(AL88,AL$2:AL$111,0)),"")</f>
        <v/>
      </c>
      <c r="AN88" s="1" t="str">
        <f>IF(ISNUMBER(AL88)=TRUE,IF(_xlfn.RANK.EQ(AL88,$AL$2:$AL$111)&lt;='Tournament Setup'!$B$33,_xlfn.RANK.EQ(AL88,$AL$2:$AL$111),""),"")</f>
        <v/>
      </c>
      <c r="AO88" s="31" t="str">
        <f>IF(AND($F88='Tournament Setup'!$A$33,SUM($Q88,$S88)=0,$E88="M",$AN88&gt;'Tournament Setup'!$B$33),$I88,"")</f>
        <v/>
      </c>
      <c r="AP88" s="1" t="str">
        <f>IF(ISNUMBER(AO88)=TRUE,IF(_xlfn.RANK.EQ(AO88,$AO$2:$AO$111)&lt;='Tournament Setup'!$C$33,_xlfn.RANK.EQ(AO88,$AO$2:$AO$111),""),"")</f>
        <v/>
      </c>
      <c r="AQ88" s="31" t="str">
        <f>IF(AND($F88='Tournament Setup'!$A$33,SUM($Q88,$U88)=0,$E88="F",$AN88&gt;'Tournament Setup'!$B$33),$I88,"")</f>
        <v/>
      </c>
      <c r="AR88" s="12" t="str">
        <f>IF(ISNUMBER(AQ88)=TRUE,IF(_xlfn.RANK.EQ(AQ88,$AQ$2:$AQ$111)&lt;='Tournament Setup'!$D$33,_xlfn.RANK.EQ(AQ88,$AQ$2:$AQ$111),""),"")</f>
        <v/>
      </c>
      <c r="AS88" s="30" t="str">
        <f>IF(AND($G88='Tournament Setup'!$A$51,$J88&lt;&gt;0),$J88,"")</f>
        <v/>
      </c>
      <c r="AT88" s="47" t="str">
        <f>IF(ISNUMBER(AS88),IF(COUNTIFS(AT$1:AT77,_xlfn.RANK.EQ(AS88,AS$2:AS$111,0))&gt;0,_xlfn.MAXIFS(AT$1:AT77,AS$1:AS77,AS88)+1,_xlfn.RANK.EQ(AS88,AS$2:AS$111,0)),"")</f>
        <v/>
      </c>
      <c r="AU88" s="1" t="str">
        <f>IF(ISNUMBER(AS88)=TRUE,IF(_xlfn.RANK.EQ(AS88,$AS$2:$AS$111)&lt;='Tournament Setup'!$B$49,_xlfn.RANK.EQ(AS88,$AS$2:$AS$111),""),"")</f>
        <v/>
      </c>
      <c r="AV88" s="30" t="str">
        <f>IF(AND($F88='Tournament Setup'!$A$34,SUM($Q88,$S88,$U88)=0),$I88,"")</f>
        <v/>
      </c>
      <c r="AW88" s="47" t="str">
        <f>IF(ISNUMBER(AV88),IF(COUNTIFS(AW$1:AW77,_xlfn.RANK.EQ(AV88,AV$2:AV$111,0))&gt;0,_xlfn.MAXIFS(AW$1:AW77,AV$1:AV77,AV88)+1,_xlfn.RANK.EQ(AV88,AV$2:AV$111,0)),"")</f>
        <v/>
      </c>
      <c r="AX88" s="1" t="str">
        <f>IF(ISNUMBER(AV88)=TRUE,IF(_xlfn.RANK.EQ(AV88,$AV$2:$AV$111)&lt;='Tournament Setup'!$B$34,_xlfn.RANK.EQ(AV88,$AV$2:$AV$111),""),"")</f>
        <v/>
      </c>
      <c r="AY88" s="31" t="str">
        <f>IF(AND($F88='Tournament Setup'!$A$34,SUM($Q88,$S88)=0,$E88="M",$AX88&gt;'Tournament Setup'!$B$34),$I88,"")</f>
        <v/>
      </c>
      <c r="AZ88" s="1" t="str">
        <f>IF(ISNUMBER(AY88)=TRUE,IF(_xlfn.RANK.EQ(AY88,$AY$2:$AY$111)&lt;='Tournament Setup'!$C$34,_xlfn.RANK.EQ(AY88,$AY$2:$AY$111),""),"")</f>
        <v/>
      </c>
      <c r="BA88" s="31" t="str">
        <f>IF(AND($F88='Tournament Setup'!$A$34,SUM($Q88,$U88)=0,$E88="F",$AX88&gt;'Tournament Setup'!$B$34),$I88,"")</f>
        <v/>
      </c>
      <c r="BB88" s="12" t="str">
        <f>IF(ISNUMBER(BA88)=TRUE,IF(_xlfn.RANK.EQ(BA88,$BA$2:$BA$111)&lt;='Tournament Setup'!$D$34,_xlfn.RANK.EQ(BA88,$BA$2:$BA$111),""),"")</f>
        <v/>
      </c>
      <c r="BC88" s="30" t="str">
        <f>IF(AND($G88='Tournament Setup'!$A$52,$J88&lt;&gt;0),$J88,"")</f>
        <v/>
      </c>
      <c r="BD88" s="47" t="str">
        <f>IF(ISNUMBER(BC88),IF(COUNTIFS(BD$1:BD77,_xlfn.RANK.EQ(BC88,BC$2:BC$111,0))&gt;0,_xlfn.MAXIFS(BD$1:BD77,BC$1:BC77,BC88)+1,_xlfn.RANK.EQ(BC88,BC$2:BC$111,0)),"")</f>
        <v/>
      </c>
      <c r="BE88" s="1" t="str">
        <f>IF(ISNUMBER(BC88)=TRUE,IF(_xlfn.RANK.EQ(BC88,$BC$2:$BC$111)&lt;='Tournament Setup'!$B$49,_xlfn.RANK.EQ(BC88,$BC$2:$BC$111),""),"")</f>
        <v/>
      </c>
      <c r="BF88" s="30" t="str">
        <f>IF(AND($F88='Tournament Setup'!$A$35,SUM($Q88,$S88,$U88)=0),$I88,"")</f>
        <v/>
      </c>
      <c r="BG88" s="47" t="str">
        <f>IF(ISNUMBER(BF88),IF(COUNTIFS(BG$1:BG77,_xlfn.RANK.EQ(BF88,BF$2:BF$111,0))&gt;0,_xlfn.MAXIFS(BG$1:BG77,BF$1:BF77,BF88)+1,_xlfn.RANK.EQ(BF88,BF$2:BF$111,0)),"")</f>
        <v/>
      </c>
      <c r="BH88" s="1" t="str">
        <f>IF(ISNUMBER(BF88)=TRUE,IF(_xlfn.RANK.EQ(BF88,$BF$2:$BF$111)&lt;='Tournament Setup'!$B$35,_xlfn.RANK.EQ(BF88,$BF$2:$BF$111),""),"")</f>
        <v/>
      </c>
      <c r="BI88" s="31" t="str">
        <f>IF(AND($F88='Tournament Setup'!$A$35,SUM($Q88,$S88)=0,$E88="M",$BH88&gt;'Tournament Setup'!$B$35),$I88,"")</f>
        <v/>
      </c>
      <c r="BJ88" s="1" t="str">
        <f>IF(ISNUMBER(BI88)=TRUE,IF(_xlfn.RANK.EQ(BI88,$BI$2:$BI$111)&lt;='Tournament Setup'!$C$35,_xlfn.RANK.EQ(BI88,$BI$2:$BI$111),""),"")</f>
        <v/>
      </c>
      <c r="BK88" s="31" t="str">
        <f>IF(AND($F88='Tournament Setup'!$A$35,SUM($Q88,$U88)=0,$E88="F",$BH88&gt;'Tournament Setup'!$B$35),$I88,"")</f>
        <v/>
      </c>
      <c r="BL88" s="12" t="str">
        <f>IF(ISNUMBER(BK88)=TRUE,IF(_xlfn.RANK.EQ(BK88,$BK$2:$BK$111)&lt;='Tournament Setup'!$D$35,_xlfn.RANK.EQ(BK88,$BK$2:$BK$111),""),"")</f>
        <v/>
      </c>
      <c r="BM88" s="30" t="str">
        <f>IF(AND($G88='Tournament Setup'!$A$54,$J88&lt;&gt;0),$J88,"")</f>
        <v/>
      </c>
      <c r="BN88" s="47" t="str">
        <f>IF(ISNUMBER(BM88),IF(COUNTIFS(BN$1:BN77,_xlfn.RANK.EQ(BM88,BM$2:BM$111,0))&gt;0,_xlfn.MAXIFS(BN$1:BN77,BM$1:BM77,BM88)+1,_xlfn.RANK.EQ(BM88,BM$2:BM$111,0)),"")</f>
        <v/>
      </c>
      <c r="BO88" s="1" t="str">
        <f>IF(ISNUMBER(BM88)=TRUE,IF(_xlfn.RANK.EQ(BM88,$BM$2:$BM$111)&lt;='Tournament Setup'!$B$49,_xlfn.RANK.EQ(BM88,$BM$2:$BM$111),""),"")</f>
        <v/>
      </c>
      <c r="BP88" s="30" t="str">
        <f>IF(AND($F88='Tournament Setup'!$A$36,SUM($Q88,$S88,$U88)=0),$I88,"")</f>
        <v/>
      </c>
      <c r="BQ88" s="47" t="str">
        <f>IF(ISNUMBER(BP88),IF(COUNTIFS(BQ$1:BQ77,_xlfn.RANK.EQ(BP88,BP$2:BP$111,0))&gt;0,_xlfn.MAXIFS(BQ$1:BQ77,BP$1:BP77,BP88)+1,_xlfn.RANK.EQ(BP88,BP$2:BP$111,0)),"")</f>
        <v/>
      </c>
      <c r="BR88" s="1" t="str">
        <f>IF(ISNUMBER(BP88)=TRUE,IF(_xlfn.RANK.EQ(BP88,$BP$2:$BP$111)&lt;='Tournament Setup'!$B$36,_xlfn.RANK.EQ(BP88,$BP$2:$BP$111),""),"")</f>
        <v/>
      </c>
      <c r="BS88" s="31" t="str">
        <f>IF(AND($F88='Tournament Setup'!$A$36,SUM($Q88,$S88)=0,$E88="M",$BR88&gt;'Tournament Setup'!$B$36),$I88,"")</f>
        <v/>
      </c>
      <c r="BT88" s="1" t="str">
        <f>IF(ISNUMBER(BS88)=TRUE,IF(_xlfn.RANK.EQ(BS88,$BS$2:$BS$111)&lt;='Tournament Setup'!$C$36,_xlfn.RANK.EQ(BS88,$BS$2:$BS$111),""),"")</f>
        <v/>
      </c>
      <c r="BU88" s="31" t="str">
        <f>IF(AND($F88='Tournament Setup'!$A$36,SUM($Q88,$U88)=0,$E88="F",$BR88&gt;'Tournament Setup'!$B$36),$I88,"")</f>
        <v/>
      </c>
      <c r="BV88" s="12" t="str">
        <f>IF(ISNUMBER(BU88)=TRUE,IF(_xlfn.RANK.EQ(BU88,$BU$2:$BU$111)&lt;='Tournament Setup'!$D$36,_xlfn.RANK.EQ(BU88,$BU$2:$BU$111),""),"")</f>
        <v/>
      </c>
      <c r="BW88" s="30" t="str">
        <f>IF($H88='Tournament Setup'!$A$41,$I88,"")</f>
        <v/>
      </c>
      <c r="BX88" s="47" t="str">
        <f>IF(ISNUMBER(BW88),IF(COUNTIFS(BX$1:BX77,_xlfn.RANK.EQ(BW88,BW$2:BW$111,0))&gt;0,_xlfn.MAXIFS(BX$1:BX77,BW$1:BW77,BW88)+1,_xlfn.RANK.EQ(BW88,BW$2:BW$111,0)),"")</f>
        <v/>
      </c>
      <c r="BY88" s="1" t="str">
        <f>IF(ISNUMBER(BW88)=TRUE,IF(_xlfn.RANK.EQ(BW88,$BW$2:$BW$111)&lt;='Tournament Setup'!$B$41,_xlfn.RANK.EQ(BW88,$BW$2:$BW$111),""),"")</f>
        <v/>
      </c>
      <c r="BZ88" s="31" t="str">
        <f>IF(AND($H88='Tournament Setup'!$A$41,$E88="M",$BY88&gt;'Tournament Setup'!$B$41),$I88,"")</f>
        <v/>
      </c>
      <c r="CA88" s="1" t="str">
        <f>IF(ISNUMBER(BZ88)=TRUE,IF(_xlfn.RANK.EQ(BZ88,$BZ$2:$BZ$111)&lt;='Tournament Setup'!$C$41,_xlfn.RANK.EQ(BZ88,$BZ$2:$BZ$111),""),"")</f>
        <v/>
      </c>
      <c r="CB88" s="31" t="str">
        <f>IF(AND($H88='Tournament Setup'!$A$41,$E88="F",$BY88&gt;'Tournament Setup'!$B$41),$I88,"")</f>
        <v/>
      </c>
      <c r="CC88" s="12" t="str">
        <f>IF(ISNUMBER(CB88)=TRUE,IF(_xlfn.RANK.EQ(CB88,$CB$2:$CB$111)&lt;='Tournament Setup'!$D$41,_xlfn.RANK.EQ(CB88,$CB$2:$CB$111),""),"")</f>
        <v/>
      </c>
      <c r="CD88" s="30" t="str">
        <f>IF($H88='Tournament Setup'!$A$42,$I88,"")</f>
        <v/>
      </c>
      <c r="CE88" s="47" t="str">
        <f>IF(ISNUMBER(CD88),IF(COUNTIFS(CE$1:CE77,_xlfn.RANK.EQ(CD88,CD$2:CD$111,0))&gt;0,_xlfn.MAXIFS(CE$1:CE77,CD$1:CD77,CD88)+1,_xlfn.RANK.EQ(CD88,CD$2:CD$111,0)),"")</f>
        <v/>
      </c>
      <c r="CF88" s="1" t="str">
        <f>IF(ISNUMBER(CD88)=TRUE,IF(_xlfn.RANK.EQ(CD88,$CD$2:$CD$111)&lt;='Tournament Setup'!$B$42,_xlfn.RANK.EQ(CD88,$CD$2:$CD$111),""),"")</f>
        <v/>
      </c>
      <c r="CG88" s="31" t="str">
        <f>IF(AND($H88='Tournament Setup'!$A$42,$E88="M",$CF88&gt;'Tournament Setup'!$B$42),$I88,"")</f>
        <v/>
      </c>
      <c r="CH88" s="1" t="str">
        <f>IF(ISNUMBER(CG88)=TRUE,IF(_xlfn.RANK.EQ(CG88,$CG$2:$CG$111)&lt;='Tournament Setup'!$C$42,_xlfn.RANK.EQ(CG88,$CG$2:$CG$111),""),"")</f>
        <v/>
      </c>
      <c r="CI88" s="31" t="str">
        <f>IF(AND($H88='Tournament Setup'!$A$42,$E88="F",$CF88&gt;'Tournament Setup'!$B$42),$I88,"")</f>
        <v/>
      </c>
      <c r="CJ88" s="12" t="str">
        <f>IF(ISNUMBER(CI88)=TRUE,IF(_xlfn.RANK.EQ(CI88,$CI$2:$CI$111)&lt;='Tournament Setup'!$D$42,_xlfn.RANK.EQ(CI88,$CI$2:$CI$111),""),"")</f>
        <v/>
      </c>
      <c r="CK88" s="30" t="str">
        <f>IF($H88='Tournament Setup'!$A$43,$I88,"")</f>
        <v/>
      </c>
      <c r="CL88" s="47" t="str">
        <f>IF(ISNUMBER(CK88),IF(COUNTIFS(CL$1:CL77,_xlfn.RANK.EQ(CK88,CK$2:CK$111,0))&gt;0,_xlfn.MAXIFS(CL$1:CL77,CK$1:CK77,CK88)+1,_xlfn.RANK.EQ(CK88,CK$2:CK$111,0)),"")</f>
        <v/>
      </c>
      <c r="CM88" s="1" t="str">
        <f>IF(ISNUMBER(CK88)=TRUE,IF(_xlfn.RANK.EQ(CK88,$CK$2:$CK$111)&lt;='Tournament Setup'!$B$43,_xlfn.RANK.EQ(CK88,$CK$2:$CK$111),""),"")</f>
        <v/>
      </c>
      <c r="CN88" s="31" t="str">
        <f>IF(AND($H88='Tournament Setup'!$A$43,$E88="M",$CM88&gt;'Tournament Setup'!$B$43),$I88,"")</f>
        <v/>
      </c>
      <c r="CO88" s="1" t="str">
        <f>IF(ISNUMBER(CN88)=TRUE,IF(_xlfn.RANK.EQ(CN88,$CN$2:$CN$111)&lt;='Tournament Setup'!$C$43,_xlfn.RANK.EQ(CN88,$CN$2:$CN$111),""),"")</f>
        <v/>
      </c>
      <c r="CP88" s="31" t="str">
        <f>IF(AND($H88='Tournament Setup'!$A$43,$E88="F",$CM88&gt;'Tournament Setup'!$B$43),$I88,"")</f>
        <v/>
      </c>
      <c r="CQ88" s="12" t="str">
        <f>IF(ISNUMBER(CP88)=TRUE,IF(_xlfn.RANK.EQ(CP88,$CP$2:$CP$111)&lt;='Tournament Setup'!$D$43,_xlfn.RANK.EQ(CP88,$CP$2:$CP$111),""),"")</f>
        <v/>
      </c>
      <c r="CR88" s="30" t="str">
        <f>IF($H88='Tournament Setup'!$A$44,$I88,"")</f>
        <v/>
      </c>
      <c r="CS88" s="47" t="str">
        <f>IF(ISNUMBER(CR88),IF(COUNTIFS(CS$1:CS77,_xlfn.RANK.EQ(CR88,CR$2:CR$111,0))&gt;0,_xlfn.MAXIFS(CS$1:CS77,CR$1:CR77,CR88)+1,_xlfn.RANK.EQ(CR88,CR$2:CR$111,0)),"")</f>
        <v/>
      </c>
      <c r="CT88" s="1" t="str">
        <f>IF(ISNUMBER(CR88)=TRUE,IF(_xlfn.RANK.EQ(CR88,$CR$2:$CR$111)&lt;='Tournament Setup'!$B$44,_xlfn.RANK.EQ(CR88,$CR$2:$CR$111),""),"")</f>
        <v/>
      </c>
      <c r="CU88" s="31" t="str">
        <f>IF(AND($H88='Tournament Setup'!$A$44,$E88="M",$CT88&gt;'Tournament Setup'!$B$44),$I88,"")</f>
        <v/>
      </c>
      <c r="CV88" s="1" t="str">
        <f>IF(ISNUMBER(CU88)=TRUE,IF(_xlfn.RANK.EQ(CU88,$CU$2:$CU$111)&lt;='Tournament Setup'!$C$44,_xlfn.RANK.EQ(CU88,$CU$2:$CU$111),""),"")</f>
        <v/>
      </c>
      <c r="CW88" s="31" t="str">
        <f>IF(AND($H88='Tournament Setup'!$A$44,$E88="F",$CT88&gt;'Tournament Setup'!$B$44),$I88,"")</f>
        <v/>
      </c>
      <c r="CX88" s="12" t="str">
        <f>IF(ISNUMBER(CW88)=TRUE,IF(_xlfn.RANK.EQ(CW88,$CW$2:$CW$111)&lt;='Tournament Setup'!$D$44,_xlfn.RANK.EQ(CW88,$CW$2:$CW$111),""),"")</f>
        <v/>
      </c>
    </row>
    <row r="89" spans="2:102" x14ac:dyDescent="0.3">
      <c r="B89" t="str">
        <f>IFERROR(INDEX('Tournament List'!$B:$B,MATCH($A89,'Tournament List'!$A:$A,0)),"")</f>
        <v/>
      </c>
      <c r="C89" t="str">
        <f>IFERROR(INDEX('Tournament List'!$C:$C,MATCH($A89,'Tournament List'!$A:$A,0)),"")</f>
        <v/>
      </c>
      <c r="D89" t="str">
        <f t="shared" si="3"/>
        <v xml:space="preserve"> </v>
      </c>
      <c r="E89" s="1" t="str">
        <f>IFERROR(INDEX('Tournament List'!F:F,MATCH($A89,'Tournament List'!$A:$A,0)),"")</f>
        <v/>
      </c>
      <c r="F89" t="str">
        <f>IFERROR(INDEX('Tournament List'!M:M,MATCH($A89,'Tournament List'!$A:$A,0)),"")</f>
        <v/>
      </c>
      <c r="G89" t="str">
        <f>IFERROR(INDEX('Shooter-Squad Assignment'!L:L,MATCH(A89,'Shooter-Squad Assignment'!A:A,0)),"")</f>
        <v/>
      </c>
      <c r="H89" s="1" t="str">
        <f>IFERROR(INDEX('Tournament List'!AD:AD,MATCH($A89,'Tournament List'!$A:$A,0)),"")</f>
        <v/>
      </c>
      <c r="I89" s="123" t="str">
        <f>IFERROR(INDEX('Tournament List'!AG:AG,MATCH($A89,'Tournament List'!$A:$A,0)),"")</f>
        <v/>
      </c>
      <c r="J89" s="145" t="str">
        <f>IFERROR(INDEX('Tournament List'!Y:Y,MATCH($A89,'Tournament List'!$A:$A,0)),"")</f>
        <v/>
      </c>
      <c r="K89" s="47" t="str">
        <f>IFERROR(INDEX('Tournament List'!S:S,MATCH(A89,'Tournament List'!A:A,0)),"")</f>
        <v/>
      </c>
      <c r="L89" s="47" t="str">
        <f>IF(ISNUMBER(J89),IF(COUNTIFS(L$1:L88,_xlfn.RANK.EQ(J89,J$2:J$111,0))&gt;0,_xlfn.MAXIFS(L$1:L88,J$1:J88,J89)+1,_xlfn.RANK.EQ(J89,J$2:J$111,0)),"")</f>
        <v/>
      </c>
      <c r="M89" s="11" t="str">
        <f>IF(ISNUMBER(I89)=TRUE,IF(I89&gt;0,_xlfn.RANK.EQ(I89,$I$2:$I$111,0),""),"")</f>
        <v/>
      </c>
      <c r="N89" s="56" t="str">
        <f>IF(ISNUMBER(I89),IF(COUNTIFS(N$1:N88,_xlfn.RANK.EQ(I89,I$2:I$111,0))&gt;0,_xlfn.MAXIFS(N$1:N88,I$1:I88,I89)+1,_xlfn.RANK.EQ(I89,I$2:I$111,0)),"")</f>
        <v/>
      </c>
      <c r="O89" s="144" t="str">
        <f>IF(F89&lt;&gt;"Collegiate"=TRUE,$I89,"")</f>
        <v/>
      </c>
      <c r="P89" s="47" t="str">
        <f>IF(ISNUMBER(O89),IF(COUNTIFS(P$1:P88,_xlfn.RANK.EQ(O89,O$2:O$111,0))&gt;0,_xlfn.MAXIFS(P$1:P88,O$1:O88,O89)+1,_xlfn.RANK.EQ(O89,O$2:O$111,0)),"")</f>
        <v/>
      </c>
      <c r="Q89" s="1" t="str">
        <f>IF(ISNUMBER(O89)=TRUE,IF(_xlfn.RANK.EQ(O89,$O$2:$O$111)&lt;='Tournament Setup'!$B$26,_xlfn.RANK.EQ(O89,$O$2:$O$111),""),"")</f>
        <v/>
      </c>
      <c r="R89" s="143" t="str">
        <f>IF(AND($E89="M",SUM($Q89)=0,F89&lt;&gt;"Collegiate")=TRUE,$I89,"")</f>
        <v/>
      </c>
      <c r="S89" s="1" t="str">
        <f>IF(ISNUMBER(R89)=TRUE,IF(_xlfn.RANK.EQ(R89,$R$2:$R$111)&lt;='Tournament Setup'!$B$27,_xlfn.RANK.EQ(R89,$R$2:$R$111),""),"")</f>
        <v/>
      </c>
      <c r="T89" s="143" t="str">
        <f>IF(AND($E89="F",SUM($Q89)=0,F89&lt;&gt;"Collegiate")=TRUE,$I89,"")</f>
        <v/>
      </c>
      <c r="U89" s="12" t="str">
        <f>IF(ISNUMBER(T89)=TRUE,IF(_xlfn.RANK.EQ(T89,$T$2:$T$111)&lt;='Tournament Setup'!$B$28,_xlfn.RANK.EQ(T89,$T$2:$T$111),""),"")</f>
        <v/>
      </c>
      <c r="V89" s="145" t="str">
        <f>IF(AND($G89='Tournament Setup'!$A$53,$J89&lt;&gt;0),$J89,"")</f>
        <v/>
      </c>
      <c r="W89" s="47" t="str">
        <f>IF(ISNUMBER(V89),IF(COUNTIFS(W$1:W88,_xlfn.RANK.EQ(V89,V$2:V$111,0))&gt;0,_xlfn.MAXIFS(W$1:W88,V$1:V88,V89)+1,_xlfn.RANK.EQ(V89,V$2:V$111,0)),"")</f>
        <v/>
      </c>
      <c r="X89" s="1" t="str">
        <f>IF(ISNUMBER(V89)=TRUE,IF(_xlfn.RANK.EQ(V89,$V$2:$V$111)&lt;='Tournament Setup'!$B$53,_xlfn.RANK.EQ(V89,$V$2:$V$111),""),"")</f>
        <v/>
      </c>
      <c r="Y89" s="145" t="str">
        <f>IF(AND($G89='Tournament Setup'!$A$49,$J89&lt;&gt;0),$J89,"")</f>
        <v/>
      </c>
      <c r="Z89" s="47" t="str">
        <f>IF(ISNUMBER(Y89),IF(COUNTIFS(Z$1:Z88,_xlfn.RANK.EQ(Y89,Y$2:Y$111,0))&gt;0,_xlfn.MAXIFS(Z$1:Z88,Y$1:Y88,Y89)+1,_xlfn.RANK.EQ(Y89,Y$2:Y$111,0)),"")</f>
        <v/>
      </c>
      <c r="AA89" s="1" t="str">
        <f>IF(ISNUMBER(Y89)=TRUE,IF(_xlfn.RANK.EQ(Y89,$Y$2:$Y$111)&lt;='Tournament Setup'!$B$49,_xlfn.RANK.EQ(Y89,$Y$2:$Y$111),""),"")</f>
        <v/>
      </c>
      <c r="AB89" s="30" t="str">
        <f>IF(AND($F89='Tournament Setup'!$A$32,SUM($Q89,$S89,$U89)=0),$I89,"")</f>
        <v/>
      </c>
      <c r="AC89" s="47" t="str">
        <f>IF(ISNUMBER(AB89),IF(COUNTIFS(AC$1:AC88,_xlfn.RANK.EQ(AB89,AB$2:AB$111,0))&gt;0,_xlfn.MAXIFS(AC$1:AC88,AB$1:AB88,AB89)+1,_xlfn.RANK.EQ(AB89,AB$2:AB$111,0)),"")</f>
        <v/>
      </c>
      <c r="AD89" s="1" t="str">
        <f>IF(ISNUMBER(AB89)=TRUE,IF(_xlfn.RANK.EQ(AB89,$AB$2:$AB$111)&lt;='Tournament Setup'!$B$32,_xlfn.RANK.EQ(AB89,$AB$2:$AB$111),""),"")</f>
        <v/>
      </c>
      <c r="AE89" s="31" t="str">
        <f>IF(AND($F89='Tournament Setup'!$A$32,SUM($Q89,$S89)=0,$E89="M",$AD89&gt;'Tournament Setup'!$B$32),$I89,"")</f>
        <v/>
      </c>
      <c r="AF89" s="1" t="str">
        <f>IF(ISNUMBER(AE89)=TRUE,IF(_xlfn.RANK.EQ(AE89,$AE$2:$AE$111)&lt;='Tournament Setup'!$C$32,_xlfn.RANK.EQ(AE89,$AE$2:$AE$111),""),"")</f>
        <v/>
      </c>
      <c r="AG89" s="31" t="str">
        <f>IF(AND($F89='Tournament Setup'!$A$32,SUM($Q89,$U89)=0,$E89="F",$AD89&gt;'Tournament Setup'!$B$32),$I89,"")</f>
        <v/>
      </c>
      <c r="AH89" s="12" t="str">
        <f>IF(ISNUMBER(AG89)=TRUE,IF(_xlfn.RANK.EQ(AG89,$AG$2:$AG$111)&lt;='Tournament Setup'!$D$32,_xlfn.RANK.EQ(AG89,$AG$2:$AG$111),""),"")</f>
        <v/>
      </c>
      <c r="AI89" s="30" t="str">
        <f>IF(AND($G89='Tournament Setup'!$A$50,$J89&lt;&gt;0),$J89,"")</f>
        <v/>
      </c>
      <c r="AJ89" s="47" t="str">
        <f>IF(ISNUMBER(AI89),IF(COUNTIFS(AJ$1:AJ88,_xlfn.RANK.EQ(AI89,AI$2:AI$111,0))&gt;0,_xlfn.MAXIFS(AJ$1:AJ88,AI$1:AI88,AI89)+1,_xlfn.RANK.EQ(AI89,AI$2:AI$111,0)),"")</f>
        <v/>
      </c>
      <c r="AK89" s="1" t="str">
        <f>IF(ISNUMBER(AI89)=TRUE,IF(_xlfn.RANK.EQ(AI89,$AI$2:$AI$111)&lt;='Tournament Setup'!$B$49,_xlfn.RANK.EQ(AI89,$AI$2:$AI$111),""),"")</f>
        <v/>
      </c>
      <c r="AL89" s="30" t="str">
        <f>IF(AND($F89='Tournament Setup'!$A$33,SUM($Q89,$S89,$U89)=0),$I89,"")</f>
        <v/>
      </c>
      <c r="AM89" s="47" t="str">
        <f>IF(ISNUMBER(AL89),IF(COUNTIFS(AM$1:AM88,_xlfn.RANK.EQ(AL89,AL$2:AL$111,0))&gt;0,_xlfn.MAXIFS(AM$1:AM88,AL$1:AL88,AL89)+1,_xlfn.RANK.EQ(AL89,AL$2:AL$111,0)),"")</f>
        <v/>
      </c>
      <c r="AN89" s="1" t="str">
        <f>IF(ISNUMBER(AL89)=TRUE,IF(_xlfn.RANK.EQ(AL89,$AL$2:$AL$111)&lt;='Tournament Setup'!$B$33,_xlfn.RANK.EQ(AL89,$AL$2:$AL$111),""),"")</f>
        <v/>
      </c>
      <c r="AO89" s="31" t="str">
        <f>IF(AND($F89='Tournament Setup'!$A$33,SUM($Q89,$S89)=0,$E89="M",$AN89&gt;'Tournament Setup'!$B$33),$I89,"")</f>
        <v/>
      </c>
      <c r="AP89" s="1" t="str">
        <f>IF(ISNUMBER(AO89)=TRUE,IF(_xlfn.RANK.EQ(AO89,$AO$2:$AO$111)&lt;='Tournament Setup'!$C$33,_xlfn.RANK.EQ(AO89,$AO$2:$AO$111),""),"")</f>
        <v/>
      </c>
      <c r="AQ89" s="31" t="str">
        <f>IF(AND($F89='Tournament Setup'!$A$33,SUM($Q89,$U89)=0,$E89="F",$AN89&gt;'Tournament Setup'!$B$33),$I89,"")</f>
        <v/>
      </c>
      <c r="AR89" s="12" t="str">
        <f>IF(ISNUMBER(AQ89)=TRUE,IF(_xlfn.RANK.EQ(AQ89,$AQ$2:$AQ$111)&lt;='Tournament Setup'!$D$33,_xlfn.RANK.EQ(AQ89,$AQ$2:$AQ$111),""),"")</f>
        <v/>
      </c>
      <c r="AS89" s="30" t="str">
        <f>IF(AND($G89='Tournament Setup'!$A$51,$J89&lt;&gt;0),$J89,"")</f>
        <v/>
      </c>
      <c r="AT89" s="47" t="str">
        <f>IF(ISNUMBER(AS89),IF(COUNTIFS(AT$1:AT88,_xlfn.RANK.EQ(AS89,AS$2:AS$111,0))&gt;0,_xlfn.MAXIFS(AT$1:AT88,AS$1:AS88,AS89)+1,_xlfn.RANK.EQ(AS89,AS$2:AS$111,0)),"")</f>
        <v/>
      </c>
      <c r="AU89" s="1" t="str">
        <f>IF(ISNUMBER(AS89)=TRUE,IF(_xlfn.RANK.EQ(AS89,$AS$2:$AS$111)&lt;='Tournament Setup'!$B$49,_xlfn.RANK.EQ(AS89,$AS$2:$AS$111),""),"")</f>
        <v/>
      </c>
      <c r="AV89" s="30" t="str">
        <f>IF(AND($F89='Tournament Setup'!$A$34,SUM($Q89,$S89,$U89)=0),$I89,"")</f>
        <v/>
      </c>
      <c r="AW89" s="47" t="str">
        <f>IF(ISNUMBER(AV89),IF(COUNTIFS(AW$1:AW88,_xlfn.RANK.EQ(AV89,AV$2:AV$111,0))&gt;0,_xlfn.MAXIFS(AW$1:AW88,AV$1:AV88,AV89)+1,_xlfn.RANK.EQ(AV89,AV$2:AV$111,0)),"")</f>
        <v/>
      </c>
      <c r="AX89" s="1" t="str">
        <f>IF(ISNUMBER(AV89)=TRUE,IF(_xlfn.RANK.EQ(AV89,$AV$2:$AV$111)&lt;='Tournament Setup'!$B$34,_xlfn.RANK.EQ(AV89,$AV$2:$AV$111),""),"")</f>
        <v/>
      </c>
      <c r="AY89" s="31" t="str">
        <f>IF(AND($F89='Tournament Setup'!$A$34,SUM($Q89,$S89)=0,$E89="M",$AX89&gt;'Tournament Setup'!$B$34),$I89,"")</f>
        <v/>
      </c>
      <c r="AZ89" s="1" t="str">
        <f>IF(ISNUMBER(AY89)=TRUE,IF(_xlfn.RANK.EQ(AY89,$AY$2:$AY$111)&lt;='Tournament Setup'!$C$34,_xlfn.RANK.EQ(AY89,$AY$2:$AY$111),""),"")</f>
        <v/>
      </c>
      <c r="BA89" s="31" t="str">
        <f>IF(AND($F89='Tournament Setup'!$A$34,SUM($Q89,$U89)=0,$E89="F",$AX89&gt;'Tournament Setup'!$B$34),$I89,"")</f>
        <v/>
      </c>
      <c r="BB89" s="12" t="str">
        <f>IF(ISNUMBER(BA89)=TRUE,IF(_xlfn.RANK.EQ(BA89,$BA$2:$BA$111)&lt;='Tournament Setup'!$D$34,_xlfn.RANK.EQ(BA89,$BA$2:$BA$111),""),"")</f>
        <v/>
      </c>
      <c r="BC89" s="30" t="str">
        <f>IF(AND($G89='Tournament Setup'!$A$52,$J89&lt;&gt;0),$J89,"")</f>
        <v/>
      </c>
      <c r="BD89" s="47" t="str">
        <f>IF(ISNUMBER(BC89),IF(COUNTIFS(BD$1:BD88,_xlfn.RANK.EQ(BC89,BC$2:BC$111,0))&gt;0,_xlfn.MAXIFS(BD$1:BD88,BC$1:BC88,BC89)+1,_xlfn.RANK.EQ(BC89,BC$2:BC$111,0)),"")</f>
        <v/>
      </c>
      <c r="BE89" s="1" t="str">
        <f>IF(ISNUMBER(BC89)=TRUE,IF(_xlfn.RANK.EQ(BC89,$BC$2:$BC$111)&lt;='Tournament Setup'!$B$49,_xlfn.RANK.EQ(BC89,$BC$2:$BC$111),""),"")</f>
        <v/>
      </c>
      <c r="BF89" s="30" t="str">
        <f>IF(AND($F89='Tournament Setup'!$A$35,SUM($Q89,$S89,$U89)=0),$I89,"")</f>
        <v/>
      </c>
      <c r="BG89" s="47" t="str">
        <f>IF(ISNUMBER(BF89),IF(COUNTIFS(BG$1:BG88,_xlfn.RANK.EQ(BF89,BF$2:BF$111,0))&gt;0,_xlfn.MAXIFS(BG$1:BG88,BF$1:BF88,BF89)+1,_xlfn.RANK.EQ(BF89,BF$2:BF$111,0)),"")</f>
        <v/>
      </c>
      <c r="BH89" s="1" t="str">
        <f>IF(ISNUMBER(BF89)=TRUE,IF(_xlfn.RANK.EQ(BF89,$BF$2:$BF$111)&lt;='Tournament Setup'!$B$35,_xlfn.RANK.EQ(BF89,$BF$2:$BF$111),""),"")</f>
        <v/>
      </c>
      <c r="BI89" s="31" t="str">
        <f>IF(AND($F89='Tournament Setup'!$A$35,SUM($Q89,$S89)=0,$E89="M",$BH89&gt;'Tournament Setup'!$B$35),$I89,"")</f>
        <v/>
      </c>
      <c r="BJ89" s="1" t="str">
        <f>IF(ISNUMBER(BI89)=TRUE,IF(_xlfn.RANK.EQ(BI89,$BI$2:$BI$111)&lt;='Tournament Setup'!$C$35,_xlfn.RANK.EQ(BI89,$BI$2:$BI$111),""),"")</f>
        <v/>
      </c>
      <c r="BK89" s="31" t="str">
        <f>IF(AND($F89='Tournament Setup'!$A$35,SUM($Q89,$U89)=0,$E89="F",$BH89&gt;'Tournament Setup'!$B$35),$I89,"")</f>
        <v/>
      </c>
      <c r="BL89" s="12" t="str">
        <f>IF(ISNUMBER(BK89)=TRUE,IF(_xlfn.RANK.EQ(BK89,$BK$2:$BK$111)&lt;='Tournament Setup'!$D$35,_xlfn.RANK.EQ(BK89,$BK$2:$BK$111),""),"")</f>
        <v/>
      </c>
      <c r="BM89" s="30" t="str">
        <f>IF(AND($G89='Tournament Setup'!$A$54,$J89&lt;&gt;0),$J89,"")</f>
        <v/>
      </c>
      <c r="BN89" s="47" t="str">
        <f>IF(ISNUMBER(BM89),IF(COUNTIFS(BN$1:BN88,_xlfn.RANK.EQ(BM89,BM$2:BM$111,0))&gt;0,_xlfn.MAXIFS(BN$1:BN88,BM$1:BM88,BM89)+1,_xlfn.RANK.EQ(BM89,BM$2:BM$111,0)),"")</f>
        <v/>
      </c>
      <c r="BO89" s="1" t="str">
        <f>IF(ISNUMBER(BM89)=TRUE,IF(_xlfn.RANK.EQ(BM89,$BM$2:$BM$111)&lt;='Tournament Setup'!$B$49,_xlfn.RANK.EQ(BM89,$BM$2:$BM$111),""),"")</f>
        <v/>
      </c>
      <c r="BP89" s="30" t="str">
        <f>IF(AND($F89='Tournament Setup'!$A$36,SUM($Q89,$S89,$U89)=0),$I89,"")</f>
        <v/>
      </c>
      <c r="BQ89" s="47" t="str">
        <f>IF(ISNUMBER(BP89),IF(COUNTIFS(BQ$1:BQ88,_xlfn.RANK.EQ(BP89,BP$2:BP$111,0))&gt;0,_xlfn.MAXIFS(BQ$1:BQ88,BP$1:BP88,BP89)+1,_xlfn.RANK.EQ(BP89,BP$2:BP$111,0)),"")</f>
        <v/>
      </c>
      <c r="BR89" s="1" t="str">
        <f>IF(ISNUMBER(BP89)=TRUE,IF(_xlfn.RANK.EQ(BP89,$BP$2:$BP$111)&lt;='Tournament Setup'!$B$36,_xlfn.RANK.EQ(BP89,$BP$2:$BP$111),""),"")</f>
        <v/>
      </c>
      <c r="BS89" s="31" t="str">
        <f>IF(AND($F89='Tournament Setup'!$A$36,SUM($Q89,$S89)=0,$E89="M",$BR89&gt;'Tournament Setup'!$B$36),$I89,"")</f>
        <v/>
      </c>
      <c r="BT89" s="1" t="str">
        <f>IF(ISNUMBER(BS89)=TRUE,IF(_xlfn.RANK.EQ(BS89,$BS$2:$BS$111)&lt;='Tournament Setup'!$C$36,_xlfn.RANK.EQ(BS89,$BS$2:$BS$111),""),"")</f>
        <v/>
      </c>
      <c r="BU89" s="31" t="str">
        <f>IF(AND($F89='Tournament Setup'!$A$36,SUM($Q89,$U89)=0,$E89="F",$BR89&gt;'Tournament Setup'!$B$36),$I89,"")</f>
        <v/>
      </c>
      <c r="BV89" s="12" t="str">
        <f>IF(ISNUMBER(BU89)=TRUE,IF(_xlfn.RANK.EQ(BU89,$BU$2:$BU$111)&lt;='Tournament Setup'!$D$36,_xlfn.RANK.EQ(BU89,$BU$2:$BU$111),""),"")</f>
        <v/>
      </c>
      <c r="BW89" s="30" t="str">
        <f>IF($H89='Tournament Setup'!$A$41,$I89,"")</f>
        <v/>
      </c>
      <c r="BX89" s="47" t="str">
        <f>IF(ISNUMBER(BW89),IF(COUNTIFS(BX$1:BX88,_xlfn.RANK.EQ(BW89,BW$2:BW$111,0))&gt;0,_xlfn.MAXIFS(BX$1:BX88,BW$1:BW88,BW89)+1,_xlfn.RANK.EQ(BW89,BW$2:BW$111,0)),"")</f>
        <v/>
      </c>
      <c r="BY89" s="1" t="str">
        <f>IF(ISNUMBER(BW89)=TRUE,IF(_xlfn.RANK.EQ(BW89,$BW$2:$BW$111)&lt;='Tournament Setup'!$B$41,_xlfn.RANK.EQ(BW89,$BW$2:$BW$111),""),"")</f>
        <v/>
      </c>
      <c r="BZ89" s="31" t="str">
        <f>IF(AND($H89='Tournament Setup'!$A$41,$E89="M",$BY89&gt;'Tournament Setup'!$B$41),$I89,"")</f>
        <v/>
      </c>
      <c r="CA89" s="1" t="str">
        <f>IF(ISNUMBER(BZ89)=TRUE,IF(_xlfn.RANK.EQ(BZ89,$BZ$2:$BZ$111)&lt;='Tournament Setup'!$C$41,_xlfn.RANK.EQ(BZ89,$BZ$2:$BZ$111),""),"")</f>
        <v/>
      </c>
      <c r="CB89" s="31" t="str">
        <f>IF(AND($H89='Tournament Setup'!$A$41,$E89="F",$BY89&gt;'Tournament Setup'!$B$41),$I89,"")</f>
        <v/>
      </c>
      <c r="CC89" s="12" t="str">
        <f>IF(ISNUMBER(CB89)=TRUE,IF(_xlfn.RANK.EQ(CB89,$CB$2:$CB$111)&lt;='Tournament Setup'!$D$41,_xlfn.RANK.EQ(CB89,$CB$2:$CB$111),""),"")</f>
        <v/>
      </c>
      <c r="CD89" s="30" t="str">
        <f>IF($H89='Tournament Setup'!$A$42,$I89,"")</f>
        <v/>
      </c>
      <c r="CE89" s="47" t="str">
        <f>IF(ISNUMBER(CD89),IF(COUNTIFS(CE$1:CE88,_xlfn.RANK.EQ(CD89,CD$2:CD$111,0))&gt;0,_xlfn.MAXIFS(CE$1:CE88,CD$1:CD88,CD89)+1,_xlfn.RANK.EQ(CD89,CD$2:CD$111,0)),"")</f>
        <v/>
      </c>
      <c r="CF89" s="1" t="str">
        <f>IF(ISNUMBER(CD89)=TRUE,IF(_xlfn.RANK.EQ(CD89,$CD$2:$CD$111)&lt;='Tournament Setup'!$B$42,_xlfn.RANK.EQ(CD89,$CD$2:$CD$111),""),"")</f>
        <v/>
      </c>
      <c r="CG89" s="31" t="str">
        <f>IF(AND($H89='Tournament Setup'!$A$42,$E89="M",$CF89&gt;'Tournament Setup'!$B$42),$I89,"")</f>
        <v/>
      </c>
      <c r="CH89" s="1" t="str">
        <f>IF(ISNUMBER(CG89)=TRUE,IF(_xlfn.RANK.EQ(CG89,$CG$2:$CG$111)&lt;='Tournament Setup'!$C$42,_xlfn.RANK.EQ(CG89,$CG$2:$CG$111),""),"")</f>
        <v/>
      </c>
      <c r="CI89" s="31" t="str">
        <f>IF(AND($H89='Tournament Setup'!$A$42,$E89="F",$CF89&gt;'Tournament Setup'!$B$42),$I89,"")</f>
        <v/>
      </c>
      <c r="CJ89" s="12" t="str">
        <f>IF(ISNUMBER(CI89)=TRUE,IF(_xlfn.RANK.EQ(CI89,$CI$2:$CI$111)&lt;='Tournament Setup'!$D$42,_xlfn.RANK.EQ(CI89,$CI$2:$CI$111),""),"")</f>
        <v/>
      </c>
      <c r="CK89" s="30" t="str">
        <f>IF($H89='Tournament Setup'!$A$43,$I89,"")</f>
        <v/>
      </c>
      <c r="CL89" s="47" t="str">
        <f>IF(ISNUMBER(CK89),IF(COUNTIFS(CL$1:CL88,_xlfn.RANK.EQ(CK89,CK$2:CK$111,0))&gt;0,_xlfn.MAXIFS(CL$1:CL88,CK$1:CK88,CK89)+1,_xlfn.RANK.EQ(CK89,CK$2:CK$111,0)),"")</f>
        <v/>
      </c>
      <c r="CM89" s="1" t="str">
        <f>IF(ISNUMBER(CK89)=TRUE,IF(_xlfn.RANK.EQ(CK89,$CK$2:$CK$111)&lt;='Tournament Setup'!$B$43,_xlfn.RANK.EQ(CK89,$CK$2:$CK$111),""),"")</f>
        <v/>
      </c>
      <c r="CN89" s="31" t="str">
        <f>IF(AND($H89='Tournament Setup'!$A$43,$E89="M",$CM89&gt;'Tournament Setup'!$B$43),$I89,"")</f>
        <v/>
      </c>
      <c r="CO89" s="1" t="str">
        <f>IF(ISNUMBER(CN89)=TRUE,IF(_xlfn.RANK.EQ(CN89,$CN$2:$CN$111)&lt;='Tournament Setup'!$C$43,_xlfn.RANK.EQ(CN89,$CN$2:$CN$111),""),"")</f>
        <v/>
      </c>
      <c r="CP89" s="31" t="str">
        <f>IF(AND($H89='Tournament Setup'!$A$43,$E89="F",$CM89&gt;'Tournament Setup'!$B$43),$I89,"")</f>
        <v/>
      </c>
      <c r="CQ89" s="12" t="str">
        <f>IF(ISNUMBER(CP89)=TRUE,IF(_xlfn.RANK.EQ(CP89,$CP$2:$CP$111)&lt;='Tournament Setup'!$D$43,_xlfn.RANK.EQ(CP89,$CP$2:$CP$111),""),"")</f>
        <v/>
      </c>
      <c r="CR89" s="30" t="str">
        <f>IF($H89='Tournament Setup'!$A$44,$I89,"")</f>
        <v/>
      </c>
      <c r="CS89" s="47" t="str">
        <f>IF(ISNUMBER(CR89),IF(COUNTIFS(CS$1:CS88,_xlfn.RANK.EQ(CR89,CR$2:CR$111,0))&gt;0,_xlfn.MAXIFS(CS$1:CS88,CR$1:CR88,CR89)+1,_xlfn.RANK.EQ(CR89,CR$2:CR$111,0)),"")</f>
        <v/>
      </c>
      <c r="CT89" s="1" t="str">
        <f>IF(ISNUMBER(CR89)=TRUE,IF(_xlfn.RANK.EQ(CR89,$CR$2:$CR$111)&lt;='Tournament Setup'!$B$44,_xlfn.RANK.EQ(CR89,$CR$2:$CR$111),""),"")</f>
        <v/>
      </c>
      <c r="CU89" s="31" t="str">
        <f>IF(AND($H89='Tournament Setup'!$A$44,$E89="M",$CT89&gt;'Tournament Setup'!$B$44),$I89,"")</f>
        <v/>
      </c>
      <c r="CV89" s="1" t="str">
        <f>IF(ISNUMBER(CU89)=TRUE,IF(_xlfn.RANK.EQ(CU89,$CU$2:$CU$111)&lt;='Tournament Setup'!$C$44,_xlfn.RANK.EQ(CU89,$CU$2:$CU$111),""),"")</f>
        <v/>
      </c>
      <c r="CW89" s="31" t="str">
        <f>IF(AND($H89='Tournament Setup'!$A$44,$E89="F",$CT89&gt;'Tournament Setup'!$B$44),$I89,"")</f>
        <v/>
      </c>
      <c r="CX89" s="12" t="str">
        <f>IF(ISNUMBER(CW89)=TRUE,IF(_xlfn.RANK.EQ(CW89,$CW$2:$CW$111)&lt;='Tournament Setup'!$D$44,_xlfn.RANK.EQ(CW89,$CW$2:$CW$111),""),"")</f>
        <v/>
      </c>
    </row>
    <row r="90" spans="2:102" x14ac:dyDescent="0.3">
      <c r="B90" t="str">
        <f>IFERROR(INDEX('Tournament List'!$B:$B,MATCH($A90,'Tournament List'!$A:$A,0)),"")</f>
        <v/>
      </c>
      <c r="C90" t="str">
        <f>IFERROR(INDEX('Tournament List'!$C:$C,MATCH($A90,'Tournament List'!$A:$A,0)),"")</f>
        <v/>
      </c>
      <c r="D90" t="str">
        <f t="shared" si="3"/>
        <v xml:space="preserve"> </v>
      </c>
      <c r="E90" s="1" t="str">
        <f>IFERROR(INDEX('Tournament List'!F:F,MATCH($A90,'Tournament List'!$A:$A,0)),"")</f>
        <v/>
      </c>
      <c r="F90" t="str">
        <f>IFERROR(INDEX('Tournament List'!M:M,MATCH($A90,'Tournament List'!$A:$A,0)),"")</f>
        <v/>
      </c>
      <c r="G90" t="str">
        <f>IFERROR(INDEX('Shooter-Squad Assignment'!L:L,MATCH(A90,'Shooter-Squad Assignment'!A:A,0)),"")</f>
        <v/>
      </c>
      <c r="H90" s="1" t="str">
        <f>IFERROR(INDEX('Tournament List'!AD:AD,MATCH($A90,'Tournament List'!$A:$A,0)),"")</f>
        <v/>
      </c>
      <c r="I90" s="123" t="str">
        <f>IFERROR(INDEX('Tournament List'!AG:AG,MATCH($A90,'Tournament List'!$A:$A,0)),"")</f>
        <v/>
      </c>
      <c r="J90" s="145" t="str">
        <f>IFERROR(INDEX('Tournament List'!Y:Y,MATCH($A90,'Tournament List'!$A:$A,0)),"")</f>
        <v/>
      </c>
      <c r="K90" s="47" t="str">
        <f>IFERROR(INDEX('Tournament List'!S:S,MATCH(A90,'Tournament List'!A:A,0)),"")</f>
        <v/>
      </c>
      <c r="L90" s="47" t="str">
        <f>IF(ISNUMBER(J90),IF(COUNTIFS(L$1:L89,_xlfn.RANK.EQ(J90,J$2:J$111,0))&gt;0,_xlfn.MAXIFS(L$1:L89,J$1:J89,J90)+1,_xlfn.RANK.EQ(J90,J$2:J$111,0)),"")</f>
        <v/>
      </c>
      <c r="M90" s="11" t="str">
        <f>IF(ISNUMBER(I90)=TRUE,IF(I90&gt;0,_xlfn.RANK.EQ(I90,$I$2:$I$111,0),""),"")</f>
        <v/>
      </c>
      <c r="N90" s="56" t="str">
        <f>IF(ISNUMBER(I90),IF(COUNTIFS(N$1:N89,_xlfn.RANK.EQ(I90,I$2:I$111,0))&gt;0,_xlfn.MAXIFS(N$1:N89,I$1:I89,I90)+1,_xlfn.RANK.EQ(I90,I$2:I$111,0)),"")</f>
        <v/>
      </c>
      <c r="O90" s="144" t="str">
        <f>IF(F90&lt;&gt;"Collegiate"=TRUE,$I90,"")</f>
        <v/>
      </c>
      <c r="P90" s="47" t="str">
        <f>IF(ISNUMBER(O90),IF(COUNTIFS(P$1:P89,_xlfn.RANK.EQ(O90,O$2:O$111,0))&gt;0,_xlfn.MAXIFS(P$1:P89,O$1:O89,O90)+1,_xlfn.RANK.EQ(O90,O$2:O$111,0)),"")</f>
        <v/>
      </c>
      <c r="Q90" s="1" t="str">
        <f>IF(ISNUMBER(O90)=TRUE,IF(_xlfn.RANK.EQ(O90,$O$2:$O$111)&lt;='Tournament Setup'!$B$26,_xlfn.RANK.EQ(O90,$O$2:$O$111),""),"")</f>
        <v/>
      </c>
      <c r="R90" s="143" t="str">
        <f>IF(AND($E90="M",SUM($Q90)=0,F90&lt;&gt;"Collegiate")=TRUE,$I90,"")</f>
        <v/>
      </c>
      <c r="S90" s="1" t="str">
        <f>IF(ISNUMBER(R90)=TRUE,IF(_xlfn.RANK.EQ(R90,$R$2:$R$111)&lt;='Tournament Setup'!$B$27,_xlfn.RANK.EQ(R90,$R$2:$R$111),""),"")</f>
        <v/>
      </c>
      <c r="T90" s="143" t="str">
        <f>IF(AND($E90="F",SUM($Q90)=0,F90&lt;&gt;"Collegiate")=TRUE,$I90,"")</f>
        <v/>
      </c>
      <c r="U90" s="12" t="str">
        <f>IF(ISNUMBER(T90)=TRUE,IF(_xlfn.RANK.EQ(T90,$T$2:$T$111)&lt;='Tournament Setup'!$B$28,_xlfn.RANK.EQ(T90,$T$2:$T$111),""),"")</f>
        <v/>
      </c>
      <c r="V90" s="145" t="str">
        <f>IF(AND($G90='Tournament Setup'!$A$53,$J90&lt;&gt;0),$J90,"")</f>
        <v/>
      </c>
      <c r="W90" s="47" t="str">
        <f>IF(ISNUMBER(V90),IF(COUNTIFS(W$1:W89,_xlfn.RANK.EQ(V90,V$2:V$111,0))&gt;0,_xlfn.MAXIFS(W$1:W89,V$1:V89,V90)+1,_xlfn.RANK.EQ(V90,V$2:V$111,0)),"")</f>
        <v/>
      </c>
      <c r="X90" s="1" t="str">
        <f>IF(ISNUMBER(V90)=TRUE,IF(_xlfn.RANK.EQ(V90,$V$2:$V$111)&lt;='Tournament Setup'!$B$53,_xlfn.RANK.EQ(V90,$V$2:$V$111),""),"")</f>
        <v/>
      </c>
      <c r="Y90" s="145" t="str">
        <f>IF(AND($G90='Tournament Setup'!$A$49,$J90&lt;&gt;0),$J90,"")</f>
        <v/>
      </c>
      <c r="Z90" s="47" t="str">
        <f>IF(ISNUMBER(Y90),IF(COUNTIFS(Z$1:Z89,_xlfn.RANK.EQ(Y90,Y$2:Y$111,0))&gt;0,_xlfn.MAXIFS(Z$1:Z89,Y$1:Y89,Y90)+1,_xlfn.RANK.EQ(Y90,Y$2:Y$111,0)),"")</f>
        <v/>
      </c>
      <c r="AA90" s="1" t="str">
        <f>IF(ISNUMBER(Y90)=TRUE,IF(_xlfn.RANK.EQ(Y90,$Y$2:$Y$111)&lt;='Tournament Setup'!$B$49,_xlfn.RANK.EQ(Y90,$Y$2:$Y$111),""),"")</f>
        <v/>
      </c>
      <c r="AB90" s="30" t="str">
        <f>IF(AND($F90='Tournament Setup'!$A$32,SUM($Q90,$S90,$U90)=0),$I90,"")</f>
        <v/>
      </c>
      <c r="AC90" s="47" t="str">
        <f>IF(ISNUMBER(AB90),IF(COUNTIFS(AC$1:AC89,_xlfn.RANK.EQ(AB90,AB$2:AB$111,0))&gt;0,_xlfn.MAXIFS(AC$1:AC89,AB$1:AB89,AB90)+1,_xlfn.RANK.EQ(AB90,AB$2:AB$111,0)),"")</f>
        <v/>
      </c>
      <c r="AD90" s="1" t="str">
        <f>IF(ISNUMBER(AB90)=TRUE,IF(_xlfn.RANK.EQ(AB90,$AB$2:$AB$111)&lt;='Tournament Setup'!$B$32,_xlfn.RANK.EQ(AB90,$AB$2:$AB$111),""),"")</f>
        <v/>
      </c>
      <c r="AE90" s="31" t="str">
        <f>IF(AND($F90='Tournament Setup'!$A$32,SUM($Q90,$S90)=0,$E90="M",$AD90&gt;'Tournament Setup'!$B$32),$I90,"")</f>
        <v/>
      </c>
      <c r="AF90" s="1" t="str">
        <f>IF(ISNUMBER(AE90)=TRUE,IF(_xlfn.RANK.EQ(AE90,$AE$2:$AE$111)&lt;='Tournament Setup'!$C$32,_xlfn.RANK.EQ(AE90,$AE$2:$AE$111),""),"")</f>
        <v/>
      </c>
      <c r="AG90" s="31" t="str">
        <f>IF(AND($F90='Tournament Setup'!$A$32,SUM($Q90,$U90)=0,$E90="F",$AD90&gt;'Tournament Setup'!$B$32),$I90,"")</f>
        <v/>
      </c>
      <c r="AH90" s="12" t="str">
        <f>IF(ISNUMBER(AG90)=TRUE,IF(_xlfn.RANK.EQ(AG90,$AG$2:$AG$111)&lt;='Tournament Setup'!$D$32,_xlfn.RANK.EQ(AG90,$AG$2:$AG$111),""),"")</f>
        <v/>
      </c>
      <c r="AI90" s="30" t="str">
        <f>IF(AND($G90='Tournament Setup'!$A$50,$J90&lt;&gt;0),$J90,"")</f>
        <v/>
      </c>
      <c r="AJ90" s="47" t="str">
        <f>IF(ISNUMBER(AI90),IF(COUNTIFS(AJ$1:AJ89,_xlfn.RANK.EQ(AI90,AI$2:AI$111,0))&gt;0,_xlfn.MAXIFS(AJ$1:AJ89,AI$1:AI89,AI90)+1,_xlfn.RANK.EQ(AI90,AI$2:AI$111,0)),"")</f>
        <v/>
      </c>
      <c r="AK90" s="1" t="str">
        <f>IF(ISNUMBER(AI90)=TRUE,IF(_xlfn.RANK.EQ(AI90,$AI$2:$AI$111)&lt;='Tournament Setup'!$B$49,_xlfn.RANK.EQ(AI90,$AI$2:$AI$111),""),"")</f>
        <v/>
      </c>
      <c r="AL90" s="30" t="str">
        <f>IF(AND($F90='Tournament Setup'!$A$33,SUM($Q90,$S90,$U90)=0),$I90,"")</f>
        <v/>
      </c>
      <c r="AM90" s="47" t="str">
        <f>IF(ISNUMBER(AL90),IF(COUNTIFS(AM$1:AM89,_xlfn.RANK.EQ(AL90,AL$2:AL$111,0))&gt;0,_xlfn.MAXIFS(AM$1:AM89,AL$1:AL89,AL90)+1,_xlfn.RANK.EQ(AL90,AL$2:AL$111,0)),"")</f>
        <v/>
      </c>
      <c r="AN90" s="1" t="str">
        <f>IF(ISNUMBER(AL90)=TRUE,IF(_xlfn.RANK.EQ(AL90,$AL$2:$AL$111)&lt;='Tournament Setup'!$B$33,_xlfn.RANK.EQ(AL90,$AL$2:$AL$111),""),"")</f>
        <v/>
      </c>
      <c r="AO90" s="31" t="str">
        <f>IF(AND($F90='Tournament Setup'!$A$33,SUM($Q90,$S90)=0,$E90="M",$AN90&gt;'Tournament Setup'!$B$33),$I90,"")</f>
        <v/>
      </c>
      <c r="AP90" s="1" t="str">
        <f>IF(ISNUMBER(AO90)=TRUE,IF(_xlfn.RANK.EQ(AO90,$AO$2:$AO$111)&lt;='Tournament Setup'!$C$33,_xlfn.RANK.EQ(AO90,$AO$2:$AO$111),""),"")</f>
        <v/>
      </c>
      <c r="AQ90" s="31" t="str">
        <f>IF(AND($F90='Tournament Setup'!$A$33,SUM($Q90,$U90)=0,$E90="F",$AN90&gt;'Tournament Setup'!$B$33),$I90,"")</f>
        <v/>
      </c>
      <c r="AR90" s="12" t="str">
        <f>IF(ISNUMBER(AQ90)=TRUE,IF(_xlfn.RANK.EQ(AQ90,$AQ$2:$AQ$111)&lt;='Tournament Setup'!$D$33,_xlfn.RANK.EQ(AQ90,$AQ$2:$AQ$111),""),"")</f>
        <v/>
      </c>
      <c r="AS90" s="30" t="str">
        <f>IF(AND($G90='Tournament Setup'!$A$51,$J90&lt;&gt;0),$J90,"")</f>
        <v/>
      </c>
      <c r="AT90" s="47" t="str">
        <f>IF(ISNUMBER(AS90),IF(COUNTIFS(AT$1:AT89,_xlfn.RANK.EQ(AS90,AS$2:AS$111,0))&gt;0,_xlfn.MAXIFS(AT$1:AT89,AS$1:AS89,AS90)+1,_xlfn.RANK.EQ(AS90,AS$2:AS$111,0)),"")</f>
        <v/>
      </c>
      <c r="AU90" s="1" t="str">
        <f>IF(ISNUMBER(AS90)=TRUE,IF(_xlfn.RANK.EQ(AS90,$AS$2:$AS$111)&lt;='Tournament Setup'!$B$49,_xlfn.RANK.EQ(AS90,$AS$2:$AS$111),""),"")</f>
        <v/>
      </c>
      <c r="AV90" s="30" t="str">
        <f>IF(AND($F90='Tournament Setup'!$A$34,SUM($Q90,$S90,$U90)=0),$I90,"")</f>
        <v/>
      </c>
      <c r="AW90" s="47" t="str">
        <f>IF(ISNUMBER(AV90),IF(COUNTIFS(AW$1:AW89,_xlfn.RANK.EQ(AV90,AV$2:AV$111,0))&gt;0,_xlfn.MAXIFS(AW$1:AW89,AV$1:AV89,AV90)+1,_xlfn.RANK.EQ(AV90,AV$2:AV$111,0)),"")</f>
        <v/>
      </c>
      <c r="AX90" s="1" t="str">
        <f>IF(ISNUMBER(AV90)=TRUE,IF(_xlfn.RANK.EQ(AV90,$AV$2:$AV$111)&lt;='Tournament Setup'!$B$34,_xlfn.RANK.EQ(AV90,$AV$2:$AV$111),""),"")</f>
        <v/>
      </c>
      <c r="AY90" s="31" t="str">
        <f>IF(AND($F90='Tournament Setup'!$A$34,SUM($Q90,$S90)=0,$E90="M",$AX90&gt;'Tournament Setup'!$B$34),$I90,"")</f>
        <v/>
      </c>
      <c r="AZ90" s="1" t="str">
        <f>IF(ISNUMBER(AY90)=TRUE,IF(_xlfn.RANK.EQ(AY90,$AY$2:$AY$111)&lt;='Tournament Setup'!$C$34,_xlfn.RANK.EQ(AY90,$AY$2:$AY$111),""),"")</f>
        <v/>
      </c>
      <c r="BA90" s="31" t="str">
        <f>IF(AND($F90='Tournament Setup'!$A$34,SUM($Q90,$U90)=0,$E90="F",$AX90&gt;'Tournament Setup'!$B$34),$I90,"")</f>
        <v/>
      </c>
      <c r="BB90" s="12" t="str">
        <f>IF(ISNUMBER(BA90)=TRUE,IF(_xlfn.RANK.EQ(BA90,$BA$2:$BA$111)&lt;='Tournament Setup'!$D$34,_xlfn.RANK.EQ(BA90,$BA$2:$BA$111),""),"")</f>
        <v/>
      </c>
      <c r="BC90" s="30" t="str">
        <f>IF(AND($G90='Tournament Setup'!$A$52,$J90&lt;&gt;0),$J90,"")</f>
        <v/>
      </c>
      <c r="BD90" s="47" t="str">
        <f>IF(ISNUMBER(BC90),IF(COUNTIFS(BD$1:BD89,_xlfn.RANK.EQ(BC90,BC$2:BC$111,0))&gt;0,_xlfn.MAXIFS(BD$1:BD89,BC$1:BC89,BC90)+1,_xlfn.RANK.EQ(BC90,BC$2:BC$111,0)),"")</f>
        <v/>
      </c>
      <c r="BE90" s="1" t="str">
        <f>IF(ISNUMBER(BC90)=TRUE,IF(_xlfn.RANK.EQ(BC90,$BC$2:$BC$111)&lt;='Tournament Setup'!$B$49,_xlfn.RANK.EQ(BC90,$BC$2:$BC$111),""),"")</f>
        <v/>
      </c>
      <c r="BF90" s="30" t="str">
        <f>IF(AND($F90='Tournament Setup'!$A$35,SUM($Q90,$S90,$U90)=0),$I90,"")</f>
        <v/>
      </c>
      <c r="BG90" s="47" t="str">
        <f>IF(ISNUMBER(BF90),IF(COUNTIFS(BG$1:BG89,_xlfn.RANK.EQ(BF90,BF$2:BF$111,0))&gt;0,_xlfn.MAXIFS(BG$1:BG89,BF$1:BF89,BF90)+1,_xlfn.RANK.EQ(BF90,BF$2:BF$111,0)),"")</f>
        <v/>
      </c>
      <c r="BH90" s="1" t="str">
        <f>IF(ISNUMBER(BF90)=TRUE,IF(_xlfn.RANK.EQ(BF90,$BF$2:$BF$111)&lt;='Tournament Setup'!$B$35,_xlfn.RANK.EQ(BF90,$BF$2:$BF$111),""),"")</f>
        <v/>
      </c>
      <c r="BI90" s="31" t="str">
        <f>IF(AND($F90='Tournament Setup'!$A$35,SUM($Q90,$S90)=0,$E90="M",$BH90&gt;'Tournament Setup'!$B$35),$I90,"")</f>
        <v/>
      </c>
      <c r="BJ90" s="1" t="str">
        <f>IF(ISNUMBER(BI90)=TRUE,IF(_xlfn.RANK.EQ(BI90,$BI$2:$BI$111)&lt;='Tournament Setup'!$C$35,_xlfn.RANK.EQ(BI90,$BI$2:$BI$111),""),"")</f>
        <v/>
      </c>
      <c r="BK90" s="31" t="str">
        <f>IF(AND($F90='Tournament Setup'!$A$35,SUM($Q90,$U90)=0,$E90="F",$BH90&gt;'Tournament Setup'!$B$35),$I90,"")</f>
        <v/>
      </c>
      <c r="BL90" s="12" t="str">
        <f>IF(ISNUMBER(BK90)=TRUE,IF(_xlfn.RANK.EQ(BK90,$BK$2:$BK$111)&lt;='Tournament Setup'!$D$35,_xlfn.RANK.EQ(BK90,$BK$2:$BK$111),""),"")</f>
        <v/>
      </c>
      <c r="BM90" s="30" t="str">
        <f>IF(AND($G90='Tournament Setup'!$A$54,$J90&lt;&gt;0),$J90,"")</f>
        <v/>
      </c>
      <c r="BN90" s="47" t="str">
        <f>IF(ISNUMBER(BM90),IF(COUNTIFS(BN$1:BN89,_xlfn.RANK.EQ(BM90,BM$2:BM$111,0))&gt;0,_xlfn.MAXIFS(BN$1:BN89,BM$1:BM89,BM90)+1,_xlfn.RANK.EQ(BM90,BM$2:BM$111,0)),"")</f>
        <v/>
      </c>
      <c r="BO90" s="1" t="str">
        <f>IF(ISNUMBER(BM90)=TRUE,IF(_xlfn.RANK.EQ(BM90,$BM$2:$BM$111)&lt;='Tournament Setup'!$B$49,_xlfn.RANK.EQ(BM90,$BM$2:$BM$111),""),"")</f>
        <v/>
      </c>
      <c r="BP90" s="30" t="str">
        <f>IF(AND($F90='Tournament Setup'!$A$36,SUM($Q90,$S90,$U90)=0),$I90,"")</f>
        <v/>
      </c>
      <c r="BQ90" s="47" t="str">
        <f>IF(ISNUMBER(BP90),IF(COUNTIFS(BQ$1:BQ89,_xlfn.RANK.EQ(BP90,BP$2:BP$111,0))&gt;0,_xlfn.MAXIFS(BQ$1:BQ89,BP$1:BP89,BP90)+1,_xlfn.RANK.EQ(BP90,BP$2:BP$111,0)),"")</f>
        <v/>
      </c>
      <c r="BR90" s="1" t="str">
        <f>IF(ISNUMBER(BP90)=TRUE,IF(_xlfn.RANK.EQ(BP90,$BP$2:$BP$111)&lt;='Tournament Setup'!$B$36,_xlfn.RANK.EQ(BP90,$BP$2:$BP$111),""),"")</f>
        <v/>
      </c>
      <c r="BS90" s="31" t="str">
        <f>IF(AND($F90='Tournament Setup'!$A$36,SUM($Q90,$S90)=0,$E90="M",$BR90&gt;'Tournament Setup'!$B$36),$I90,"")</f>
        <v/>
      </c>
      <c r="BT90" s="1" t="str">
        <f>IF(ISNUMBER(BS90)=TRUE,IF(_xlfn.RANK.EQ(BS90,$BS$2:$BS$111)&lt;='Tournament Setup'!$C$36,_xlfn.RANK.EQ(BS90,$BS$2:$BS$111),""),"")</f>
        <v/>
      </c>
      <c r="BU90" s="31" t="str">
        <f>IF(AND($F90='Tournament Setup'!$A$36,SUM($Q90,$U90)=0,$E90="F",$BR90&gt;'Tournament Setup'!$B$36),$I90,"")</f>
        <v/>
      </c>
      <c r="BV90" s="12" t="str">
        <f>IF(ISNUMBER(BU90)=TRUE,IF(_xlfn.RANK.EQ(BU90,$BU$2:$BU$111)&lt;='Tournament Setup'!$D$36,_xlfn.RANK.EQ(BU90,$BU$2:$BU$111),""),"")</f>
        <v/>
      </c>
      <c r="BW90" s="30" t="str">
        <f>IF($H90='Tournament Setup'!$A$41,$I90,"")</f>
        <v/>
      </c>
      <c r="BX90" s="47" t="str">
        <f>IF(ISNUMBER(BW90),IF(COUNTIFS(BX$1:BX89,_xlfn.RANK.EQ(BW90,BW$2:BW$111,0))&gt;0,_xlfn.MAXIFS(BX$1:BX89,BW$1:BW89,BW90)+1,_xlfn.RANK.EQ(BW90,BW$2:BW$111,0)),"")</f>
        <v/>
      </c>
      <c r="BY90" s="1" t="str">
        <f>IF(ISNUMBER(BW90)=TRUE,IF(_xlfn.RANK.EQ(BW90,$BW$2:$BW$111)&lt;='Tournament Setup'!$B$41,_xlfn.RANK.EQ(BW90,$BW$2:$BW$111),""),"")</f>
        <v/>
      </c>
      <c r="BZ90" s="31" t="str">
        <f>IF(AND($H90='Tournament Setup'!$A$41,$E90="M",$BY90&gt;'Tournament Setup'!$B$41),$I90,"")</f>
        <v/>
      </c>
      <c r="CA90" s="1" t="str">
        <f>IF(ISNUMBER(BZ90)=TRUE,IF(_xlfn.RANK.EQ(BZ90,$BZ$2:$BZ$111)&lt;='Tournament Setup'!$C$41,_xlfn.RANK.EQ(BZ90,$BZ$2:$BZ$111),""),"")</f>
        <v/>
      </c>
      <c r="CB90" s="31" t="str">
        <f>IF(AND($H90='Tournament Setup'!$A$41,$E90="F",$BY90&gt;'Tournament Setup'!$B$41),$I90,"")</f>
        <v/>
      </c>
      <c r="CC90" s="12" t="str">
        <f>IF(ISNUMBER(CB90)=TRUE,IF(_xlfn.RANK.EQ(CB90,$CB$2:$CB$111)&lt;='Tournament Setup'!$D$41,_xlfn.RANK.EQ(CB90,$CB$2:$CB$111),""),"")</f>
        <v/>
      </c>
      <c r="CD90" s="30" t="str">
        <f>IF($H90='Tournament Setup'!$A$42,$I90,"")</f>
        <v/>
      </c>
      <c r="CE90" s="47" t="str">
        <f>IF(ISNUMBER(CD90),IF(COUNTIFS(CE$1:CE89,_xlfn.RANK.EQ(CD90,CD$2:CD$111,0))&gt;0,_xlfn.MAXIFS(CE$1:CE89,CD$1:CD89,CD90)+1,_xlfn.RANK.EQ(CD90,CD$2:CD$111,0)),"")</f>
        <v/>
      </c>
      <c r="CF90" s="1" t="str">
        <f>IF(ISNUMBER(CD90)=TRUE,IF(_xlfn.RANK.EQ(CD90,$CD$2:$CD$111)&lt;='Tournament Setup'!$B$42,_xlfn.RANK.EQ(CD90,$CD$2:$CD$111),""),"")</f>
        <v/>
      </c>
      <c r="CG90" s="31" t="str">
        <f>IF(AND($H90='Tournament Setup'!$A$42,$E90="M",$CF90&gt;'Tournament Setup'!$B$42),$I90,"")</f>
        <v/>
      </c>
      <c r="CH90" s="1" t="str">
        <f>IF(ISNUMBER(CG90)=TRUE,IF(_xlfn.RANK.EQ(CG90,$CG$2:$CG$111)&lt;='Tournament Setup'!$C$42,_xlfn.RANK.EQ(CG90,$CG$2:$CG$111),""),"")</f>
        <v/>
      </c>
      <c r="CI90" s="31" t="str">
        <f>IF(AND($H90='Tournament Setup'!$A$42,$E90="F",$CF90&gt;'Tournament Setup'!$B$42),$I90,"")</f>
        <v/>
      </c>
      <c r="CJ90" s="12" t="str">
        <f>IF(ISNUMBER(CI90)=TRUE,IF(_xlfn.RANK.EQ(CI90,$CI$2:$CI$111)&lt;='Tournament Setup'!$D$42,_xlfn.RANK.EQ(CI90,$CI$2:$CI$111),""),"")</f>
        <v/>
      </c>
      <c r="CK90" s="30" t="str">
        <f>IF($H90='Tournament Setup'!$A$43,$I90,"")</f>
        <v/>
      </c>
      <c r="CL90" s="47" t="str">
        <f>IF(ISNUMBER(CK90),IF(COUNTIFS(CL$1:CL89,_xlfn.RANK.EQ(CK90,CK$2:CK$111,0))&gt;0,_xlfn.MAXIFS(CL$1:CL89,CK$1:CK89,CK90)+1,_xlfn.RANK.EQ(CK90,CK$2:CK$111,0)),"")</f>
        <v/>
      </c>
      <c r="CM90" s="1" t="str">
        <f>IF(ISNUMBER(CK90)=TRUE,IF(_xlfn.RANK.EQ(CK90,$CK$2:$CK$111)&lt;='Tournament Setup'!$B$43,_xlfn.RANK.EQ(CK90,$CK$2:$CK$111),""),"")</f>
        <v/>
      </c>
      <c r="CN90" s="31" t="str">
        <f>IF(AND($H90='Tournament Setup'!$A$43,$E90="M",$CM90&gt;'Tournament Setup'!$B$43),$I90,"")</f>
        <v/>
      </c>
      <c r="CO90" s="1" t="str">
        <f>IF(ISNUMBER(CN90)=TRUE,IF(_xlfn.RANK.EQ(CN90,$CN$2:$CN$111)&lt;='Tournament Setup'!$C$43,_xlfn.RANK.EQ(CN90,$CN$2:$CN$111),""),"")</f>
        <v/>
      </c>
      <c r="CP90" s="31" t="str">
        <f>IF(AND($H90='Tournament Setup'!$A$43,$E90="F",$CM90&gt;'Tournament Setup'!$B$43),$I90,"")</f>
        <v/>
      </c>
      <c r="CQ90" s="12" t="str">
        <f>IF(ISNUMBER(CP90)=TRUE,IF(_xlfn.RANK.EQ(CP90,$CP$2:$CP$111)&lt;='Tournament Setup'!$D$43,_xlfn.RANK.EQ(CP90,$CP$2:$CP$111),""),"")</f>
        <v/>
      </c>
      <c r="CR90" s="30" t="str">
        <f>IF($H90='Tournament Setup'!$A$44,$I90,"")</f>
        <v/>
      </c>
      <c r="CS90" s="47" t="str">
        <f>IF(ISNUMBER(CR90),IF(COUNTIFS(CS$1:CS89,_xlfn.RANK.EQ(CR90,CR$2:CR$111,0))&gt;0,_xlfn.MAXIFS(CS$1:CS89,CR$1:CR89,CR90)+1,_xlfn.RANK.EQ(CR90,CR$2:CR$111,0)),"")</f>
        <v/>
      </c>
      <c r="CT90" s="1" t="str">
        <f>IF(ISNUMBER(CR90)=TRUE,IF(_xlfn.RANK.EQ(CR90,$CR$2:$CR$111)&lt;='Tournament Setup'!$B$44,_xlfn.RANK.EQ(CR90,$CR$2:$CR$111),""),"")</f>
        <v/>
      </c>
      <c r="CU90" s="31" t="str">
        <f>IF(AND($H90='Tournament Setup'!$A$44,$E90="M",$CT90&gt;'Tournament Setup'!$B$44),$I90,"")</f>
        <v/>
      </c>
      <c r="CV90" s="1" t="str">
        <f>IF(ISNUMBER(CU90)=TRUE,IF(_xlfn.RANK.EQ(CU90,$CU$2:$CU$111)&lt;='Tournament Setup'!$C$44,_xlfn.RANK.EQ(CU90,$CU$2:$CU$111),""),"")</f>
        <v/>
      </c>
      <c r="CW90" s="31" t="str">
        <f>IF(AND($H90='Tournament Setup'!$A$44,$E90="F",$CT90&gt;'Tournament Setup'!$B$44),$I90,"")</f>
        <v/>
      </c>
      <c r="CX90" s="12" t="str">
        <f>IF(ISNUMBER(CW90)=TRUE,IF(_xlfn.RANK.EQ(CW90,$CW$2:$CW$111)&lt;='Tournament Setup'!$D$44,_xlfn.RANK.EQ(CW90,$CW$2:$CW$111),""),"")</f>
        <v/>
      </c>
    </row>
    <row r="91" spans="2:102" x14ac:dyDescent="0.3">
      <c r="B91" t="str">
        <f>IFERROR(INDEX('Tournament List'!$B:$B,MATCH($A91,'Tournament List'!$A:$A,0)),"")</f>
        <v/>
      </c>
      <c r="C91" t="str">
        <f>IFERROR(INDEX('Tournament List'!$C:$C,MATCH($A91,'Tournament List'!$A:$A,0)),"")</f>
        <v/>
      </c>
      <c r="D91" t="str">
        <f t="shared" si="3"/>
        <v xml:space="preserve"> </v>
      </c>
      <c r="E91" s="1" t="str">
        <f>IFERROR(INDEX('Tournament List'!F:F,MATCH($A91,'Tournament List'!$A:$A,0)),"")</f>
        <v/>
      </c>
      <c r="F91" t="str">
        <f>IFERROR(INDEX('Tournament List'!M:M,MATCH($A91,'Tournament List'!$A:$A,0)),"")</f>
        <v/>
      </c>
      <c r="G91" t="str">
        <f>IFERROR(INDEX('Shooter-Squad Assignment'!L:L,MATCH(A91,'Shooter-Squad Assignment'!A:A,0)),"")</f>
        <v/>
      </c>
      <c r="H91" s="1" t="str">
        <f>IFERROR(INDEX('Tournament List'!AD:AD,MATCH($A91,'Tournament List'!$A:$A,0)),"")</f>
        <v/>
      </c>
      <c r="I91" s="123" t="str">
        <f>IFERROR(INDEX('Tournament List'!AG:AG,MATCH($A91,'Tournament List'!$A:$A,0)),"")</f>
        <v/>
      </c>
      <c r="J91" s="145" t="str">
        <f>IFERROR(INDEX('Tournament List'!Y:Y,MATCH($A91,'Tournament List'!$A:$A,0)),"")</f>
        <v/>
      </c>
      <c r="K91" s="47" t="str">
        <f>IFERROR(INDEX('Tournament List'!S:S,MATCH(A91,'Tournament List'!A:A,0)),"")</f>
        <v/>
      </c>
      <c r="L91" s="47" t="str">
        <f>IF(ISNUMBER(J91),IF(COUNTIFS(L$1:L90,_xlfn.RANK.EQ(J91,J$2:J$111,0))&gt;0,_xlfn.MAXIFS(L$1:L90,J$1:J90,J91)+1,_xlfn.RANK.EQ(J91,J$2:J$111,0)),"")</f>
        <v/>
      </c>
      <c r="M91" s="11" t="str">
        <f>IF(ISNUMBER(I91)=TRUE,IF(I91&gt;0,_xlfn.RANK.EQ(I91,$I$2:$I$111,0),""),"")</f>
        <v/>
      </c>
      <c r="N91" s="56" t="str">
        <f>IF(ISNUMBER(I91),IF(COUNTIFS(N$1:N90,_xlfn.RANK.EQ(I91,I$2:I$111,0))&gt;0,_xlfn.MAXIFS(N$1:N90,I$1:I90,I91)+1,_xlfn.RANK.EQ(I91,I$2:I$111,0)),"")</f>
        <v/>
      </c>
      <c r="O91" s="144" t="str">
        <f>IF(F91&lt;&gt;"Collegiate"=TRUE,$I91,"")</f>
        <v/>
      </c>
      <c r="P91" s="47" t="str">
        <f>IF(ISNUMBER(O91),IF(COUNTIFS(P$1:P90,_xlfn.RANK.EQ(O91,O$2:O$111,0))&gt;0,_xlfn.MAXIFS(P$1:P90,O$1:O90,O91)+1,_xlfn.RANK.EQ(O91,O$2:O$111,0)),"")</f>
        <v/>
      </c>
      <c r="Q91" s="1" t="str">
        <f>IF(ISNUMBER(O91)=TRUE,IF(_xlfn.RANK.EQ(O91,$O$2:$O$111)&lt;='Tournament Setup'!$B$26,_xlfn.RANK.EQ(O91,$O$2:$O$111),""),"")</f>
        <v/>
      </c>
      <c r="R91" s="143" t="str">
        <f>IF(AND($E91="M",SUM($Q91)=0,F91&lt;&gt;"Collegiate")=TRUE,$I91,"")</f>
        <v/>
      </c>
      <c r="S91" s="1" t="str">
        <f>IF(ISNUMBER(R91)=TRUE,IF(_xlfn.RANK.EQ(R91,$R$2:$R$111)&lt;='Tournament Setup'!$B$27,_xlfn.RANK.EQ(R91,$R$2:$R$111),""),"")</f>
        <v/>
      </c>
      <c r="T91" s="143" t="str">
        <f>IF(AND($E91="F",SUM($Q91)=0,F91&lt;&gt;"Collegiate")=TRUE,$I91,"")</f>
        <v/>
      </c>
      <c r="U91" s="12" t="str">
        <f>IF(ISNUMBER(T91)=TRUE,IF(_xlfn.RANK.EQ(T91,$T$2:$T$111)&lt;='Tournament Setup'!$B$28,_xlfn.RANK.EQ(T91,$T$2:$T$111),""),"")</f>
        <v/>
      </c>
      <c r="V91" s="145" t="str">
        <f>IF(AND($G91='Tournament Setup'!$A$53,$J91&lt;&gt;0),$J91,"")</f>
        <v/>
      </c>
      <c r="W91" s="47" t="str">
        <f>IF(ISNUMBER(V91),IF(COUNTIFS(W$1:W90,_xlfn.RANK.EQ(V91,V$2:V$111,0))&gt;0,_xlfn.MAXIFS(W$1:W90,V$1:V90,V91)+1,_xlfn.RANK.EQ(V91,V$2:V$111,0)),"")</f>
        <v/>
      </c>
      <c r="X91" s="1" t="str">
        <f>IF(ISNUMBER(V91)=TRUE,IF(_xlfn.RANK.EQ(V91,$V$2:$V$111)&lt;='Tournament Setup'!$B$53,_xlfn.RANK.EQ(V91,$V$2:$V$111),""),"")</f>
        <v/>
      </c>
      <c r="Y91" s="145" t="str">
        <f>IF(AND($G91='Tournament Setup'!$A$49,$J91&lt;&gt;0),$J91,"")</f>
        <v/>
      </c>
      <c r="Z91" s="47" t="str">
        <f>IF(ISNUMBER(Y91),IF(COUNTIFS(Z$1:Z90,_xlfn.RANK.EQ(Y91,Y$2:Y$111,0))&gt;0,_xlfn.MAXIFS(Z$1:Z90,Y$1:Y90,Y91)+1,_xlfn.RANK.EQ(Y91,Y$2:Y$111,0)),"")</f>
        <v/>
      </c>
      <c r="AA91" s="1" t="str">
        <f>IF(ISNUMBER(Y91)=TRUE,IF(_xlfn.RANK.EQ(Y91,$Y$2:$Y$111)&lt;='Tournament Setup'!$B$49,_xlfn.RANK.EQ(Y91,$Y$2:$Y$111),""),"")</f>
        <v/>
      </c>
      <c r="AB91" s="30" t="str">
        <f>IF(AND($F91='Tournament Setup'!$A$32,SUM($Q91,$S91,$U91)=0),$I91,"")</f>
        <v/>
      </c>
      <c r="AC91" s="47" t="str">
        <f>IF(ISNUMBER(AB91),IF(COUNTIFS(AC$1:AC90,_xlfn.RANK.EQ(AB91,AB$2:AB$111,0))&gt;0,_xlfn.MAXIFS(AC$1:AC90,AB$1:AB90,AB91)+1,_xlfn.RANK.EQ(AB91,AB$2:AB$111,0)),"")</f>
        <v/>
      </c>
      <c r="AD91" s="1" t="str">
        <f>IF(ISNUMBER(AB91)=TRUE,IF(_xlfn.RANK.EQ(AB91,$AB$2:$AB$111)&lt;='Tournament Setup'!$B$32,_xlfn.RANK.EQ(AB91,$AB$2:$AB$111),""),"")</f>
        <v/>
      </c>
      <c r="AE91" s="31" t="str">
        <f>IF(AND($F91='Tournament Setup'!$A$32,SUM($Q91,$S91)=0,$E91="M",$AD91&gt;'Tournament Setup'!$B$32),$I91,"")</f>
        <v/>
      </c>
      <c r="AF91" s="1" t="str">
        <f>IF(ISNUMBER(AE91)=TRUE,IF(_xlfn.RANK.EQ(AE91,$AE$2:$AE$111)&lt;='Tournament Setup'!$C$32,_xlfn.RANK.EQ(AE91,$AE$2:$AE$111),""),"")</f>
        <v/>
      </c>
      <c r="AG91" s="31" t="str">
        <f>IF(AND($F91='Tournament Setup'!$A$32,SUM($Q91,$U91)=0,$E91="F",$AD91&gt;'Tournament Setup'!$B$32),$I91,"")</f>
        <v/>
      </c>
      <c r="AH91" s="12" t="str">
        <f>IF(ISNUMBER(AG91)=TRUE,IF(_xlfn.RANK.EQ(AG91,$AG$2:$AG$111)&lt;='Tournament Setup'!$D$32,_xlfn.RANK.EQ(AG91,$AG$2:$AG$111),""),"")</f>
        <v/>
      </c>
      <c r="AI91" s="30" t="str">
        <f>IF(AND($G91='Tournament Setup'!$A$50,$J91&lt;&gt;0),$J91,"")</f>
        <v/>
      </c>
      <c r="AJ91" s="47" t="str">
        <f>IF(ISNUMBER(AI91),IF(COUNTIFS(AJ$1:AJ90,_xlfn.RANK.EQ(AI91,AI$2:AI$111,0))&gt;0,_xlfn.MAXIFS(AJ$1:AJ90,AI$1:AI90,AI91)+1,_xlfn.RANK.EQ(AI91,AI$2:AI$111,0)),"")</f>
        <v/>
      </c>
      <c r="AK91" s="1" t="str">
        <f>IF(ISNUMBER(AI91)=TRUE,IF(_xlfn.RANK.EQ(AI91,$AI$2:$AI$111)&lt;='Tournament Setup'!$B$49,_xlfn.RANK.EQ(AI91,$AI$2:$AI$111),""),"")</f>
        <v/>
      </c>
      <c r="AL91" s="30" t="str">
        <f>IF(AND($F91='Tournament Setup'!$A$33,SUM($Q91,$S91,$U91)=0),$I91,"")</f>
        <v/>
      </c>
      <c r="AM91" s="47" t="str">
        <f>IF(ISNUMBER(AL91),IF(COUNTIFS(AM$1:AM90,_xlfn.RANK.EQ(AL91,AL$2:AL$111,0))&gt;0,_xlfn.MAXIFS(AM$1:AM90,AL$1:AL90,AL91)+1,_xlfn.RANK.EQ(AL91,AL$2:AL$111,0)),"")</f>
        <v/>
      </c>
      <c r="AN91" s="1" t="str">
        <f>IF(ISNUMBER(AL91)=TRUE,IF(_xlfn.RANK.EQ(AL91,$AL$2:$AL$111)&lt;='Tournament Setup'!$B$33,_xlfn.RANK.EQ(AL91,$AL$2:$AL$111),""),"")</f>
        <v/>
      </c>
      <c r="AO91" s="31" t="str">
        <f>IF(AND($F91='Tournament Setup'!$A$33,SUM($Q91,$S91)=0,$E91="M",$AN91&gt;'Tournament Setup'!$B$33),$I91,"")</f>
        <v/>
      </c>
      <c r="AP91" s="1" t="str">
        <f>IF(ISNUMBER(AO91)=TRUE,IF(_xlfn.RANK.EQ(AO91,$AO$2:$AO$111)&lt;='Tournament Setup'!$C$33,_xlfn.RANK.EQ(AO91,$AO$2:$AO$111),""),"")</f>
        <v/>
      </c>
      <c r="AQ91" s="31" t="str">
        <f>IF(AND($F91='Tournament Setup'!$A$33,SUM($Q91,$U91)=0,$E91="F",$AN91&gt;'Tournament Setup'!$B$33),$I91,"")</f>
        <v/>
      </c>
      <c r="AR91" s="12" t="str">
        <f>IF(ISNUMBER(AQ91)=TRUE,IF(_xlfn.RANK.EQ(AQ91,$AQ$2:$AQ$111)&lt;='Tournament Setup'!$D$33,_xlfn.RANK.EQ(AQ91,$AQ$2:$AQ$111),""),"")</f>
        <v/>
      </c>
      <c r="AS91" s="30" t="str">
        <f>IF(AND($G91='Tournament Setup'!$A$51,$J91&lt;&gt;0),$J91,"")</f>
        <v/>
      </c>
      <c r="AT91" s="47" t="str">
        <f>IF(ISNUMBER(AS91),IF(COUNTIFS(AT$1:AT90,_xlfn.RANK.EQ(AS91,AS$2:AS$111,0))&gt;0,_xlfn.MAXIFS(AT$1:AT90,AS$1:AS90,AS91)+1,_xlfn.RANK.EQ(AS91,AS$2:AS$111,0)),"")</f>
        <v/>
      </c>
      <c r="AU91" s="1" t="str">
        <f>IF(ISNUMBER(AS91)=TRUE,IF(_xlfn.RANK.EQ(AS91,$AS$2:$AS$111)&lt;='Tournament Setup'!$B$49,_xlfn.RANK.EQ(AS91,$AS$2:$AS$111),""),"")</f>
        <v/>
      </c>
      <c r="AV91" s="30" t="str">
        <f>IF(AND($F91='Tournament Setup'!$A$34,SUM($Q91,$S91,$U91)=0),$I91,"")</f>
        <v/>
      </c>
      <c r="AW91" s="47" t="str">
        <f>IF(ISNUMBER(AV91),IF(COUNTIFS(AW$1:AW90,_xlfn.RANK.EQ(AV91,AV$2:AV$111,0))&gt;0,_xlfn.MAXIFS(AW$1:AW90,AV$1:AV90,AV91)+1,_xlfn.RANK.EQ(AV91,AV$2:AV$111,0)),"")</f>
        <v/>
      </c>
      <c r="AX91" s="1" t="str">
        <f>IF(ISNUMBER(AV91)=TRUE,IF(_xlfn.RANK.EQ(AV91,$AV$2:$AV$111)&lt;='Tournament Setup'!$B$34,_xlfn.RANK.EQ(AV91,$AV$2:$AV$111),""),"")</f>
        <v/>
      </c>
      <c r="AY91" s="31" t="str">
        <f>IF(AND($F91='Tournament Setup'!$A$34,SUM($Q91,$S91)=0,$E91="M",$AX91&gt;'Tournament Setup'!$B$34),$I91,"")</f>
        <v/>
      </c>
      <c r="AZ91" s="1" t="str">
        <f>IF(ISNUMBER(AY91)=TRUE,IF(_xlfn.RANK.EQ(AY91,$AY$2:$AY$111)&lt;='Tournament Setup'!$C$34,_xlfn.RANK.EQ(AY91,$AY$2:$AY$111),""),"")</f>
        <v/>
      </c>
      <c r="BA91" s="31" t="str">
        <f>IF(AND($F91='Tournament Setup'!$A$34,SUM($Q91,$U91)=0,$E91="F",$AX91&gt;'Tournament Setup'!$B$34),$I91,"")</f>
        <v/>
      </c>
      <c r="BB91" s="12" t="str">
        <f>IF(ISNUMBER(BA91)=TRUE,IF(_xlfn.RANK.EQ(BA91,$BA$2:$BA$111)&lt;='Tournament Setup'!$D$34,_xlfn.RANK.EQ(BA91,$BA$2:$BA$111),""),"")</f>
        <v/>
      </c>
      <c r="BC91" s="30" t="str">
        <f>IF(AND($G91='Tournament Setup'!$A$52,$J91&lt;&gt;0),$J91,"")</f>
        <v/>
      </c>
      <c r="BD91" s="47" t="str">
        <f>IF(ISNUMBER(BC91),IF(COUNTIFS(BD$1:BD90,_xlfn.RANK.EQ(BC91,BC$2:BC$111,0))&gt;0,_xlfn.MAXIFS(BD$1:BD90,BC$1:BC90,BC91)+1,_xlfn.RANK.EQ(BC91,BC$2:BC$111,0)),"")</f>
        <v/>
      </c>
      <c r="BE91" s="1" t="str">
        <f>IF(ISNUMBER(BC91)=TRUE,IF(_xlfn.RANK.EQ(BC91,$BC$2:$BC$111)&lt;='Tournament Setup'!$B$49,_xlfn.RANK.EQ(BC91,$BC$2:$BC$111),""),"")</f>
        <v/>
      </c>
      <c r="BF91" s="30" t="str">
        <f>IF(AND($F91='Tournament Setup'!$A$35,SUM($Q91,$S91,$U91)=0),$I91,"")</f>
        <v/>
      </c>
      <c r="BG91" s="47" t="str">
        <f>IF(ISNUMBER(BF91),IF(COUNTIFS(BG$1:BG90,_xlfn.RANK.EQ(BF91,BF$2:BF$111,0))&gt;0,_xlfn.MAXIFS(BG$1:BG90,BF$1:BF90,BF91)+1,_xlfn.RANK.EQ(BF91,BF$2:BF$111,0)),"")</f>
        <v/>
      </c>
      <c r="BH91" s="1" t="str">
        <f>IF(ISNUMBER(BF91)=TRUE,IF(_xlfn.RANK.EQ(BF91,$BF$2:$BF$111)&lt;='Tournament Setup'!$B$35,_xlfn.RANK.EQ(BF91,$BF$2:$BF$111),""),"")</f>
        <v/>
      </c>
      <c r="BI91" s="31" t="str">
        <f>IF(AND($F91='Tournament Setup'!$A$35,SUM($Q91,$S91)=0,$E91="M",$BH91&gt;'Tournament Setup'!$B$35),$I91,"")</f>
        <v/>
      </c>
      <c r="BJ91" s="1" t="str">
        <f>IF(ISNUMBER(BI91)=TRUE,IF(_xlfn.RANK.EQ(BI91,$BI$2:$BI$111)&lt;='Tournament Setup'!$C$35,_xlfn.RANK.EQ(BI91,$BI$2:$BI$111),""),"")</f>
        <v/>
      </c>
      <c r="BK91" s="31" t="str">
        <f>IF(AND($F91='Tournament Setup'!$A$35,SUM($Q91,$U91)=0,$E91="F",$BH91&gt;'Tournament Setup'!$B$35),$I91,"")</f>
        <v/>
      </c>
      <c r="BL91" s="12" t="str">
        <f>IF(ISNUMBER(BK91)=TRUE,IF(_xlfn.RANK.EQ(BK91,$BK$2:$BK$111)&lt;='Tournament Setup'!$D$35,_xlfn.RANK.EQ(BK91,$BK$2:$BK$111),""),"")</f>
        <v/>
      </c>
      <c r="BM91" s="30" t="str">
        <f>IF(AND($G91='Tournament Setup'!$A$54,$J91&lt;&gt;0),$J91,"")</f>
        <v/>
      </c>
      <c r="BN91" s="47" t="str">
        <f>IF(ISNUMBER(BM91),IF(COUNTIFS(BN$1:BN90,_xlfn.RANK.EQ(BM91,BM$2:BM$111,0))&gt;0,_xlfn.MAXIFS(BN$1:BN90,BM$1:BM90,BM91)+1,_xlfn.RANK.EQ(BM91,BM$2:BM$111,0)),"")</f>
        <v/>
      </c>
      <c r="BO91" s="1" t="str">
        <f>IF(ISNUMBER(BM91)=TRUE,IF(_xlfn.RANK.EQ(BM91,$BM$2:$BM$111)&lt;='Tournament Setup'!$B$49,_xlfn.RANK.EQ(BM91,$BM$2:$BM$111),""),"")</f>
        <v/>
      </c>
      <c r="BP91" s="30" t="str">
        <f>IF(AND($F91='Tournament Setup'!$A$36,SUM($Q91,$S91,$U91)=0),$I91,"")</f>
        <v/>
      </c>
      <c r="BQ91" s="47" t="str">
        <f>IF(ISNUMBER(BP91),IF(COUNTIFS(BQ$1:BQ90,_xlfn.RANK.EQ(BP91,BP$2:BP$111,0))&gt;0,_xlfn.MAXIFS(BQ$1:BQ90,BP$1:BP90,BP91)+1,_xlfn.RANK.EQ(BP91,BP$2:BP$111,0)),"")</f>
        <v/>
      </c>
      <c r="BR91" s="1" t="str">
        <f>IF(ISNUMBER(BP91)=TRUE,IF(_xlfn.RANK.EQ(BP91,$BP$2:$BP$111)&lt;='Tournament Setup'!$B$36,_xlfn.RANK.EQ(BP91,$BP$2:$BP$111),""),"")</f>
        <v/>
      </c>
      <c r="BS91" s="31" t="str">
        <f>IF(AND($F91='Tournament Setup'!$A$36,SUM($Q91,$S91)=0,$E91="M",$BR91&gt;'Tournament Setup'!$B$36),$I91,"")</f>
        <v/>
      </c>
      <c r="BT91" s="1" t="str">
        <f>IF(ISNUMBER(BS91)=TRUE,IF(_xlfn.RANK.EQ(BS91,$BS$2:$BS$111)&lt;='Tournament Setup'!$C$36,_xlfn.RANK.EQ(BS91,$BS$2:$BS$111),""),"")</f>
        <v/>
      </c>
      <c r="BU91" s="31" t="str">
        <f>IF(AND($F91='Tournament Setup'!$A$36,SUM($Q91,$U91)=0,$E91="F",$BR91&gt;'Tournament Setup'!$B$36),$I91,"")</f>
        <v/>
      </c>
      <c r="BV91" s="12" t="str">
        <f>IF(ISNUMBER(BU91)=TRUE,IF(_xlfn.RANK.EQ(BU91,$BU$2:$BU$111)&lt;='Tournament Setup'!$D$36,_xlfn.RANK.EQ(BU91,$BU$2:$BU$111),""),"")</f>
        <v/>
      </c>
      <c r="BW91" s="30" t="str">
        <f>IF($H91='Tournament Setup'!$A$41,$I91,"")</f>
        <v/>
      </c>
      <c r="BX91" s="47" t="str">
        <f>IF(ISNUMBER(BW91),IF(COUNTIFS(BX$1:BX90,_xlfn.RANK.EQ(BW91,BW$2:BW$111,0))&gt;0,_xlfn.MAXIFS(BX$1:BX90,BW$1:BW90,BW91)+1,_xlfn.RANK.EQ(BW91,BW$2:BW$111,0)),"")</f>
        <v/>
      </c>
      <c r="BY91" s="1" t="str">
        <f>IF(ISNUMBER(BW91)=TRUE,IF(_xlfn.RANK.EQ(BW91,$BW$2:$BW$111)&lt;='Tournament Setup'!$B$41,_xlfn.RANK.EQ(BW91,$BW$2:$BW$111),""),"")</f>
        <v/>
      </c>
      <c r="BZ91" s="31" t="str">
        <f>IF(AND($H91='Tournament Setup'!$A$41,$E91="M",$BY91&gt;'Tournament Setup'!$B$41),$I91,"")</f>
        <v/>
      </c>
      <c r="CA91" s="1" t="str">
        <f>IF(ISNUMBER(BZ91)=TRUE,IF(_xlfn.RANK.EQ(BZ91,$BZ$2:$BZ$111)&lt;='Tournament Setup'!$C$41,_xlfn.RANK.EQ(BZ91,$BZ$2:$BZ$111),""),"")</f>
        <v/>
      </c>
      <c r="CB91" s="31" t="str">
        <f>IF(AND($H91='Tournament Setup'!$A$41,$E91="F",$BY91&gt;'Tournament Setup'!$B$41),$I91,"")</f>
        <v/>
      </c>
      <c r="CC91" s="12" t="str">
        <f>IF(ISNUMBER(CB91)=TRUE,IF(_xlfn.RANK.EQ(CB91,$CB$2:$CB$111)&lt;='Tournament Setup'!$D$41,_xlfn.RANK.EQ(CB91,$CB$2:$CB$111),""),"")</f>
        <v/>
      </c>
      <c r="CD91" s="30" t="str">
        <f>IF($H91='Tournament Setup'!$A$42,$I91,"")</f>
        <v/>
      </c>
      <c r="CE91" s="47" t="str">
        <f>IF(ISNUMBER(CD91),IF(COUNTIFS(CE$1:CE90,_xlfn.RANK.EQ(CD91,CD$2:CD$111,0))&gt;0,_xlfn.MAXIFS(CE$1:CE90,CD$1:CD90,CD91)+1,_xlfn.RANK.EQ(CD91,CD$2:CD$111,0)),"")</f>
        <v/>
      </c>
      <c r="CF91" s="1" t="str">
        <f>IF(ISNUMBER(CD91)=TRUE,IF(_xlfn.RANK.EQ(CD91,$CD$2:$CD$111)&lt;='Tournament Setup'!$B$42,_xlfn.RANK.EQ(CD91,$CD$2:$CD$111),""),"")</f>
        <v/>
      </c>
      <c r="CG91" s="31" t="str">
        <f>IF(AND($H91='Tournament Setup'!$A$42,$E91="M",$CF91&gt;'Tournament Setup'!$B$42),$I91,"")</f>
        <v/>
      </c>
      <c r="CH91" s="1" t="str">
        <f>IF(ISNUMBER(CG91)=TRUE,IF(_xlfn.RANK.EQ(CG91,$CG$2:$CG$111)&lt;='Tournament Setup'!$C$42,_xlfn.RANK.EQ(CG91,$CG$2:$CG$111),""),"")</f>
        <v/>
      </c>
      <c r="CI91" s="31" t="str">
        <f>IF(AND($H91='Tournament Setup'!$A$42,$E91="F",$CF91&gt;'Tournament Setup'!$B$42),$I91,"")</f>
        <v/>
      </c>
      <c r="CJ91" s="12" t="str">
        <f>IF(ISNUMBER(CI91)=TRUE,IF(_xlfn.RANK.EQ(CI91,$CI$2:$CI$111)&lt;='Tournament Setup'!$D$42,_xlfn.RANK.EQ(CI91,$CI$2:$CI$111),""),"")</f>
        <v/>
      </c>
      <c r="CK91" s="30" t="str">
        <f>IF($H91='Tournament Setup'!$A$43,$I91,"")</f>
        <v/>
      </c>
      <c r="CL91" s="47" t="str">
        <f>IF(ISNUMBER(CK91),IF(COUNTIFS(CL$1:CL90,_xlfn.RANK.EQ(CK91,CK$2:CK$111,0))&gt;0,_xlfn.MAXIFS(CL$1:CL90,CK$1:CK90,CK91)+1,_xlfn.RANK.EQ(CK91,CK$2:CK$111,0)),"")</f>
        <v/>
      </c>
      <c r="CM91" s="1" t="str">
        <f>IF(ISNUMBER(CK91)=TRUE,IF(_xlfn.RANK.EQ(CK91,$CK$2:$CK$111)&lt;='Tournament Setup'!$B$43,_xlfn.RANK.EQ(CK91,$CK$2:$CK$111),""),"")</f>
        <v/>
      </c>
      <c r="CN91" s="31" t="str">
        <f>IF(AND($H91='Tournament Setup'!$A$43,$E91="M",$CM91&gt;'Tournament Setup'!$B$43),$I91,"")</f>
        <v/>
      </c>
      <c r="CO91" s="1" t="str">
        <f>IF(ISNUMBER(CN91)=TRUE,IF(_xlfn.RANK.EQ(CN91,$CN$2:$CN$111)&lt;='Tournament Setup'!$C$43,_xlfn.RANK.EQ(CN91,$CN$2:$CN$111),""),"")</f>
        <v/>
      </c>
      <c r="CP91" s="31" t="str">
        <f>IF(AND($H91='Tournament Setup'!$A$43,$E91="F",$CM91&gt;'Tournament Setup'!$B$43),$I91,"")</f>
        <v/>
      </c>
      <c r="CQ91" s="12" t="str">
        <f>IF(ISNUMBER(CP91)=TRUE,IF(_xlfn.RANK.EQ(CP91,$CP$2:$CP$111)&lt;='Tournament Setup'!$D$43,_xlfn.RANK.EQ(CP91,$CP$2:$CP$111),""),"")</f>
        <v/>
      </c>
      <c r="CR91" s="30" t="str">
        <f>IF($H91='Tournament Setup'!$A$44,$I91,"")</f>
        <v/>
      </c>
      <c r="CS91" s="47" t="str">
        <f>IF(ISNUMBER(CR91),IF(COUNTIFS(CS$1:CS90,_xlfn.RANK.EQ(CR91,CR$2:CR$111,0))&gt;0,_xlfn.MAXIFS(CS$1:CS90,CR$1:CR90,CR91)+1,_xlfn.RANK.EQ(CR91,CR$2:CR$111,0)),"")</f>
        <v/>
      </c>
      <c r="CT91" s="1" t="str">
        <f>IF(ISNUMBER(CR91)=TRUE,IF(_xlfn.RANK.EQ(CR91,$CR$2:$CR$111)&lt;='Tournament Setup'!$B$44,_xlfn.RANK.EQ(CR91,$CR$2:$CR$111),""),"")</f>
        <v/>
      </c>
      <c r="CU91" s="31" t="str">
        <f>IF(AND($H91='Tournament Setup'!$A$44,$E91="M",$CT91&gt;'Tournament Setup'!$B$44),$I91,"")</f>
        <v/>
      </c>
      <c r="CV91" s="1" t="str">
        <f>IF(ISNUMBER(CU91)=TRUE,IF(_xlfn.RANK.EQ(CU91,$CU$2:$CU$111)&lt;='Tournament Setup'!$C$44,_xlfn.RANK.EQ(CU91,$CU$2:$CU$111),""),"")</f>
        <v/>
      </c>
      <c r="CW91" s="31" t="str">
        <f>IF(AND($H91='Tournament Setup'!$A$44,$E91="F",$CT91&gt;'Tournament Setup'!$B$44),$I91,"")</f>
        <v/>
      </c>
      <c r="CX91" s="12" t="str">
        <f>IF(ISNUMBER(CW91)=TRUE,IF(_xlfn.RANK.EQ(CW91,$CW$2:$CW$111)&lt;='Tournament Setup'!$D$44,_xlfn.RANK.EQ(CW91,$CW$2:$CW$111),""),"")</f>
        <v/>
      </c>
    </row>
    <row r="92" spans="2:102" x14ac:dyDescent="0.3">
      <c r="B92" t="str">
        <f>IFERROR(INDEX('Tournament List'!$B:$B,MATCH($A92,'Tournament List'!$A:$A,0)),"")</f>
        <v/>
      </c>
      <c r="C92" t="str">
        <f>IFERROR(INDEX('Tournament List'!$C:$C,MATCH($A92,'Tournament List'!$A:$A,0)),"")</f>
        <v/>
      </c>
      <c r="D92" t="str">
        <f t="shared" si="3"/>
        <v xml:space="preserve"> </v>
      </c>
      <c r="E92" s="1" t="str">
        <f>IFERROR(INDEX('Tournament List'!F:F,MATCH($A92,'Tournament List'!$A:$A,0)),"")</f>
        <v/>
      </c>
      <c r="F92" t="str">
        <f>IFERROR(INDEX('Tournament List'!M:M,MATCH($A92,'Tournament List'!$A:$A,0)),"")</f>
        <v/>
      </c>
      <c r="G92" t="str">
        <f>IFERROR(INDEX('Shooter-Squad Assignment'!L:L,MATCH(A92,'Shooter-Squad Assignment'!A:A,0)),"")</f>
        <v/>
      </c>
      <c r="H92" s="1" t="str">
        <f>IFERROR(INDEX('Tournament List'!AD:AD,MATCH($A92,'Tournament List'!$A:$A,0)),"")</f>
        <v/>
      </c>
      <c r="I92" s="123" t="str">
        <f>IFERROR(INDEX('Tournament List'!AG:AG,MATCH($A92,'Tournament List'!$A:$A,0)),"")</f>
        <v/>
      </c>
      <c r="J92" s="145" t="str">
        <f>IFERROR(INDEX('Tournament List'!Y:Y,MATCH($A92,'Tournament List'!$A:$A,0)),"")</f>
        <v/>
      </c>
      <c r="K92" s="47" t="str">
        <f>IFERROR(INDEX('Tournament List'!S:S,MATCH(A92,'Tournament List'!A:A,0)),"")</f>
        <v/>
      </c>
      <c r="L92" s="47" t="str">
        <f>IF(ISNUMBER(J92),IF(COUNTIFS(L$1:L91,_xlfn.RANK.EQ(J92,J$2:J$111,0))&gt;0,_xlfn.MAXIFS(L$1:L91,J$1:J91,J92)+1,_xlfn.RANK.EQ(J92,J$2:J$111,0)),"")</f>
        <v/>
      </c>
      <c r="M92" s="11" t="str">
        <f>IF(ISNUMBER(I92)=TRUE,IF(I92&gt;0,_xlfn.RANK.EQ(I92,$I$2:$I$111,0),""),"")</f>
        <v/>
      </c>
      <c r="N92" s="56" t="str">
        <f>IF(ISNUMBER(I92),IF(COUNTIFS(N$1:N91,_xlfn.RANK.EQ(I92,I$2:I$111,0))&gt;0,_xlfn.MAXIFS(N$1:N91,I$1:I91,I92)+1,_xlfn.RANK.EQ(I92,I$2:I$111,0)),"")</f>
        <v/>
      </c>
      <c r="O92" s="144" t="str">
        <f>IF(F92&lt;&gt;"Collegiate"=TRUE,$I92,"")</f>
        <v/>
      </c>
      <c r="P92" s="47" t="str">
        <f>IF(ISNUMBER(O92),IF(COUNTIFS(P$1:P91,_xlfn.RANK.EQ(O92,O$2:O$111,0))&gt;0,_xlfn.MAXIFS(P$1:P91,O$1:O91,O92)+1,_xlfn.RANK.EQ(O92,O$2:O$111,0)),"")</f>
        <v/>
      </c>
      <c r="Q92" s="1" t="str">
        <f>IF(ISNUMBER(O92)=TRUE,IF(_xlfn.RANK.EQ(O92,$O$2:$O$111)&lt;='Tournament Setup'!$B$26,_xlfn.RANK.EQ(O92,$O$2:$O$111),""),"")</f>
        <v/>
      </c>
      <c r="R92" s="143" t="str">
        <f>IF(AND($E92="M",SUM($Q92)=0,F92&lt;&gt;"Collegiate")=TRUE,$I92,"")</f>
        <v/>
      </c>
      <c r="S92" s="1" t="str">
        <f>IF(ISNUMBER(R92)=TRUE,IF(_xlfn.RANK.EQ(R92,$R$2:$R$111)&lt;='Tournament Setup'!$B$27,_xlfn.RANK.EQ(R92,$R$2:$R$111),""),"")</f>
        <v/>
      </c>
      <c r="T92" s="143" t="str">
        <f>IF(AND($E92="F",SUM($Q92)=0,F92&lt;&gt;"Collegiate")=TRUE,$I92,"")</f>
        <v/>
      </c>
      <c r="U92" s="12" t="str">
        <f>IF(ISNUMBER(T92)=TRUE,IF(_xlfn.RANK.EQ(T92,$T$2:$T$111)&lt;='Tournament Setup'!$B$28,_xlfn.RANK.EQ(T92,$T$2:$T$111),""),"")</f>
        <v/>
      </c>
      <c r="V92" s="145" t="str">
        <f>IF(AND($G92='Tournament Setup'!$A$53,$J92&lt;&gt;0),$J92,"")</f>
        <v/>
      </c>
      <c r="W92" s="47" t="str">
        <f>IF(ISNUMBER(V92),IF(COUNTIFS(W$1:W91,_xlfn.RANK.EQ(V92,V$2:V$111,0))&gt;0,_xlfn.MAXIFS(W$1:W91,V$1:V91,V92)+1,_xlfn.RANK.EQ(V92,V$2:V$111,0)),"")</f>
        <v/>
      </c>
      <c r="X92" s="1" t="str">
        <f>IF(ISNUMBER(V92)=TRUE,IF(_xlfn.RANK.EQ(V92,$V$2:$V$111)&lt;='Tournament Setup'!$B$53,_xlfn.RANK.EQ(V92,$V$2:$V$111),""),"")</f>
        <v/>
      </c>
      <c r="Y92" s="145" t="str">
        <f>IF(AND($G92='Tournament Setup'!$A$49,$J92&lt;&gt;0),$J92,"")</f>
        <v/>
      </c>
      <c r="Z92" s="47" t="str">
        <f>IF(ISNUMBER(Y92),IF(COUNTIFS(Z$1:Z91,_xlfn.RANK.EQ(Y92,Y$2:Y$111,0))&gt;0,_xlfn.MAXIFS(Z$1:Z91,Y$1:Y91,Y92)+1,_xlfn.RANK.EQ(Y92,Y$2:Y$111,0)),"")</f>
        <v/>
      </c>
      <c r="AA92" s="1" t="str">
        <f>IF(ISNUMBER(Y92)=TRUE,IF(_xlfn.RANK.EQ(Y92,$Y$2:$Y$111)&lt;='Tournament Setup'!$B$49,_xlfn.RANK.EQ(Y92,$Y$2:$Y$111),""),"")</f>
        <v/>
      </c>
      <c r="AB92" s="30" t="str">
        <f>IF(AND($F92='Tournament Setup'!$A$32,SUM($Q92,$S92,$U92)=0),$I92,"")</f>
        <v/>
      </c>
      <c r="AC92" s="47" t="str">
        <f>IF(ISNUMBER(AB92),IF(COUNTIFS(AC$1:AC91,_xlfn.RANK.EQ(AB92,AB$2:AB$111,0))&gt;0,_xlfn.MAXIFS(AC$1:AC91,AB$1:AB91,AB92)+1,_xlfn.RANK.EQ(AB92,AB$2:AB$111,0)),"")</f>
        <v/>
      </c>
      <c r="AD92" s="1" t="str">
        <f>IF(ISNUMBER(AB92)=TRUE,IF(_xlfn.RANK.EQ(AB92,$AB$2:$AB$111)&lt;='Tournament Setup'!$B$32,_xlfn.RANK.EQ(AB92,$AB$2:$AB$111),""),"")</f>
        <v/>
      </c>
      <c r="AE92" s="31" t="str">
        <f>IF(AND($F92='Tournament Setup'!$A$32,SUM($Q92,$S92)=0,$E92="M",$AD92&gt;'Tournament Setup'!$B$32),$I92,"")</f>
        <v/>
      </c>
      <c r="AF92" s="1" t="str">
        <f>IF(ISNUMBER(AE92)=TRUE,IF(_xlfn.RANK.EQ(AE92,$AE$2:$AE$111)&lt;='Tournament Setup'!$C$32,_xlfn.RANK.EQ(AE92,$AE$2:$AE$111),""),"")</f>
        <v/>
      </c>
      <c r="AG92" s="31" t="str">
        <f>IF(AND($F92='Tournament Setup'!$A$32,SUM($Q92,$U92)=0,$E92="F",$AD92&gt;'Tournament Setup'!$B$32),$I92,"")</f>
        <v/>
      </c>
      <c r="AH92" s="12" t="str">
        <f>IF(ISNUMBER(AG92)=TRUE,IF(_xlfn.RANK.EQ(AG92,$AG$2:$AG$111)&lt;='Tournament Setup'!$D$32,_xlfn.RANK.EQ(AG92,$AG$2:$AG$111),""),"")</f>
        <v/>
      </c>
      <c r="AI92" s="30" t="str">
        <f>IF(AND($G92='Tournament Setup'!$A$50,$J92&lt;&gt;0),$J92,"")</f>
        <v/>
      </c>
      <c r="AJ92" s="47" t="str">
        <f>IF(ISNUMBER(AI92),IF(COUNTIFS(AJ$1:AJ91,_xlfn.RANK.EQ(AI92,AI$2:AI$111,0))&gt;0,_xlfn.MAXIFS(AJ$1:AJ91,AI$1:AI91,AI92)+1,_xlfn.RANK.EQ(AI92,AI$2:AI$111,0)),"")</f>
        <v/>
      </c>
      <c r="AK92" s="1" t="str">
        <f>IF(ISNUMBER(AI92)=TRUE,IF(_xlfn.RANK.EQ(AI92,$AI$2:$AI$111)&lt;='Tournament Setup'!$B$49,_xlfn.RANK.EQ(AI92,$AI$2:$AI$111),""),"")</f>
        <v/>
      </c>
      <c r="AL92" s="30" t="str">
        <f>IF(AND($F92='Tournament Setup'!$A$33,SUM($Q92,$S92,$U92)=0),$I92,"")</f>
        <v/>
      </c>
      <c r="AM92" s="47" t="str">
        <f>IF(ISNUMBER(AL92),IF(COUNTIFS(AM$1:AM91,_xlfn.RANK.EQ(AL92,AL$2:AL$111,0))&gt;0,_xlfn.MAXIFS(AM$1:AM91,AL$1:AL91,AL92)+1,_xlfn.RANK.EQ(AL92,AL$2:AL$111,0)),"")</f>
        <v/>
      </c>
      <c r="AN92" s="1" t="str">
        <f>IF(ISNUMBER(AL92)=TRUE,IF(_xlfn.RANK.EQ(AL92,$AL$2:$AL$111)&lt;='Tournament Setup'!$B$33,_xlfn.RANK.EQ(AL92,$AL$2:$AL$111),""),"")</f>
        <v/>
      </c>
      <c r="AO92" s="31" t="str">
        <f>IF(AND($F92='Tournament Setup'!$A$33,SUM($Q92,$S92)=0,$E92="M",$AN92&gt;'Tournament Setup'!$B$33),$I92,"")</f>
        <v/>
      </c>
      <c r="AP92" s="1" t="str">
        <f>IF(ISNUMBER(AO92)=TRUE,IF(_xlfn.RANK.EQ(AO92,$AO$2:$AO$111)&lt;='Tournament Setup'!$C$33,_xlfn.RANK.EQ(AO92,$AO$2:$AO$111),""),"")</f>
        <v/>
      </c>
      <c r="AQ92" s="31" t="str">
        <f>IF(AND($F92='Tournament Setup'!$A$33,SUM($Q92,$U92)=0,$E92="F",$AN92&gt;'Tournament Setup'!$B$33),$I92,"")</f>
        <v/>
      </c>
      <c r="AR92" s="12" t="str">
        <f>IF(ISNUMBER(AQ92)=TRUE,IF(_xlfn.RANK.EQ(AQ92,$AQ$2:$AQ$111)&lt;='Tournament Setup'!$D$33,_xlfn.RANK.EQ(AQ92,$AQ$2:$AQ$111),""),"")</f>
        <v/>
      </c>
      <c r="AS92" s="30" t="str">
        <f>IF(AND($G92='Tournament Setup'!$A$51,$J92&lt;&gt;0),$J92,"")</f>
        <v/>
      </c>
      <c r="AT92" s="47" t="str">
        <f>IF(ISNUMBER(AS92),IF(COUNTIFS(AT$1:AT91,_xlfn.RANK.EQ(AS92,AS$2:AS$111,0))&gt;0,_xlfn.MAXIFS(AT$1:AT91,AS$1:AS91,AS92)+1,_xlfn.RANK.EQ(AS92,AS$2:AS$111,0)),"")</f>
        <v/>
      </c>
      <c r="AU92" s="1" t="str">
        <f>IF(ISNUMBER(AS92)=TRUE,IF(_xlfn.RANK.EQ(AS92,$AS$2:$AS$111)&lt;='Tournament Setup'!$B$49,_xlfn.RANK.EQ(AS92,$AS$2:$AS$111),""),"")</f>
        <v/>
      </c>
      <c r="AV92" s="30" t="str">
        <f>IF(AND($F92='Tournament Setup'!$A$34,SUM($Q92,$S92,$U92)=0),$I92,"")</f>
        <v/>
      </c>
      <c r="AW92" s="47" t="str">
        <f>IF(ISNUMBER(AV92),IF(COUNTIFS(AW$1:AW91,_xlfn.RANK.EQ(AV92,AV$2:AV$111,0))&gt;0,_xlfn.MAXIFS(AW$1:AW91,AV$1:AV91,AV92)+1,_xlfn.RANK.EQ(AV92,AV$2:AV$111,0)),"")</f>
        <v/>
      </c>
      <c r="AX92" s="1" t="str">
        <f>IF(ISNUMBER(AV92)=TRUE,IF(_xlfn.RANK.EQ(AV92,$AV$2:$AV$111)&lt;='Tournament Setup'!$B$34,_xlfn.RANK.EQ(AV92,$AV$2:$AV$111),""),"")</f>
        <v/>
      </c>
      <c r="AY92" s="31" t="str">
        <f>IF(AND($F92='Tournament Setup'!$A$34,SUM($Q92,$S92)=0,$E92="M",$AX92&gt;'Tournament Setup'!$B$34),$I92,"")</f>
        <v/>
      </c>
      <c r="AZ92" s="1" t="str">
        <f>IF(ISNUMBER(AY92)=TRUE,IF(_xlfn.RANK.EQ(AY92,$AY$2:$AY$111)&lt;='Tournament Setup'!$C$34,_xlfn.RANK.EQ(AY92,$AY$2:$AY$111),""),"")</f>
        <v/>
      </c>
      <c r="BA92" s="31" t="str">
        <f>IF(AND($F92='Tournament Setup'!$A$34,SUM($Q92,$U92)=0,$E92="F",$AX92&gt;'Tournament Setup'!$B$34),$I92,"")</f>
        <v/>
      </c>
      <c r="BB92" s="12" t="str">
        <f>IF(ISNUMBER(BA92)=TRUE,IF(_xlfn.RANK.EQ(BA92,$BA$2:$BA$111)&lt;='Tournament Setup'!$D$34,_xlfn.RANK.EQ(BA92,$BA$2:$BA$111),""),"")</f>
        <v/>
      </c>
      <c r="BC92" s="30" t="str">
        <f>IF(AND($G92='Tournament Setup'!$A$52,$J92&lt;&gt;0),$J92,"")</f>
        <v/>
      </c>
      <c r="BD92" s="47" t="str">
        <f>IF(ISNUMBER(BC92),IF(COUNTIFS(BD$1:BD91,_xlfn.RANK.EQ(BC92,BC$2:BC$111,0))&gt;0,_xlfn.MAXIFS(BD$1:BD91,BC$1:BC91,BC92)+1,_xlfn.RANK.EQ(BC92,BC$2:BC$111,0)),"")</f>
        <v/>
      </c>
      <c r="BE92" s="1" t="str">
        <f>IF(ISNUMBER(BC92)=TRUE,IF(_xlfn.RANK.EQ(BC92,$BC$2:$BC$111)&lt;='Tournament Setup'!$B$49,_xlfn.RANK.EQ(BC92,$BC$2:$BC$111),""),"")</f>
        <v/>
      </c>
      <c r="BF92" s="30" t="str">
        <f>IF(AND($F92='Tournament Setup'!$A$35,SUM($Q92,$S92,$U92)=0),$I92,"")</f>
        <v/>
      </c>
      <c r="BG92" s="47" t="str">
        <f>IF(ISNUMBER(BF92),IF(COUNTIFS(BG$1:BG91,_xlfn.RANK.EQ(BF92,BF$2:BF$111,0))&gt;0,_xlfn.MAXIFS(BG$1:BG91,BF$1:BF91,BF92)+1,_xlfn.RANK.EQ(BF92,BF$2:BF$111,0)),"")</f>
        <v/>
      </c>
      <c r="BH92" s="1" t="str">
        <f>IF(ISNUMBER(BF92)=TRUE,IF(_xlfn.RANK.EQ(BF92,$BF$2:$BF$111)&lt;='Tournament Setup'!$B$35,_xlfn.RANK.EQ(BF92,$BF$2:$BF$111),""),"")</f>
        <v/>
      </c>
      <c r="BI92" s="31" t="str">
        <f>IF(AND($F92='Tournament Setup'!$A$35,SUM($Q92,$S92)=0,$E92="M",$BH92&gt;'Tournament Setup'!$B$35),$I92,"")</f>
        <v/>
      </c>
      <c r="BJ92" s="1" t="str">
        <f>IF(ISNUMBER(BI92)=TRUE,IF(_xlfn.RANK.EQ(BI92,$BI$2:$BI$111)&lt;='Tournament Setup'!$C$35,_xlfn.RANK.EQ(BI92,$BI$2:$BI$111),""),"")</f>
        <v/>
      </c>
      <c r="BK92" s="31" t="str">
        <f>IF(AND($F92='Tournament Setup'!$A$35,SUM($Q92,$U92)=0,$E92="F",$BH92&gt;'Tournament Setup'!$B$35),$I92,"")</f>
        <v/>
      </c>
      <c r="BL92" s="12" t="str">
        <f>IF(ISNUMBER(BK92)=TRUE,IF(_xlfn.RANK.EQ(BK92,$BK$2:$BK$111)&lt;='Tournament Setup'!$D$35,_xlfn.RANK.EQ(BK92,$BK$2:$BK$111),""),"")</f>
        <v/>
      </c>
      <c r="BM92" s="30" t="str">
        <f>IF(AND($G92='Tournament Setup'!$A$54,$J92&lt;&gt;0),$J92,"")</f>
        <v/>
      </c>
      <c r="BN92" s="47" t="str">
        <f>IF(ISNUMBER(BM92),IF(COUNTIFS(BN$1:BN91,_xlfn.RANK.EQ(BM92,BM$2:BM$111,0))&gt;0,_xlfn.MAXIFS(BN$1:BN91,BM$1:BM91,BM92)+1,_xlfn.RANK.EQ(BM92,BM$2:BM$111,0)),"")</f>
        <v/>
      </c>
      <c r="BO92" s="1" t="str">
        <f>IF(ISNUMBER(BM92)=TRUE,IF(_xlfn.RANK.EQ(BM92,$BM$2:$BM$111)&lt;='Tournament Setup'!$B$49,_xlfn.RANK.EQ(BM92,$BM$2:$BM$111),""),"")</f>
        <v/>
      </c>
      <c r="BP92" s="30" t="str">
        <f>IF(AND($F92='Tournament Setup'!$A$36,SUM($Q92,$S92,$U92)=0),$I92,"")</f>
        <v/>
      </c>
      <c r="BQ92" s="47" t="str">
        <f>IF(ISNUMBER(BP92),IF(COUNTIFS(BQ$1:BQ91,_xlfn.RANK.EQ(BP92,BP$2:BP$111,0))&gt;0,_xlfn.MAXIFS(BQ$1:BQ91,BP$1:BP91,BP92)+1,_xlfn.RANK.EQ(BP92,BP$2:BP$111,0)),"")</f>
        <v/>
      </c>
      <c r="BR92" s="1" t="str">
        <f>IF(ISNUMBER(BP92)=TRUE,IF(_xlfn.RANK.EQ(BP92,$BP$2:$BP$111)&lt;='Tournament Setup'!$B$36,_xlfn.RANK.EQ(BP92,$BP$2:$BP$111),""),"")</f>
        <v/>
      </c>
      <c r="BS92" s="31" t="str">
        <f>IF(AND($F92='Tournament Setup'!$A$36,SUM($Q92,$S92)=0,$E92="M",$BR92&gt;'Tournament Setup'!$B$36),$I92,"")</f>
        <v/>
      </c>
      <c r="BT92" s="1" t="str">
        <f>IF(ISNUMBER(BS92)=TRUE,IF(_xlfn.RANK.EQ(BS92,$BS$2:$BS$111)&lt;='Tournament Setup'!$C$36,_xlfn.RANK.EQ(BS92,$BS$2:$BS$111),""),"")</f>
        <v/>
      </c>
      <c r="BU92" s="31" t="str">
        <f>IF(AND($F92='Tournament Setup'!$A$36,SUM($Q92,$U92)=0,$E92="F",$BR92&gt;'Tournament Setup'!$B$36),$I92,"")</f>
        <v/>
      </c>
      <c r="BV92" s="12" t="str">
        <f>IF(ISNUMBER(BU92)=TRUE,IF(_xlfn.RANK.EQ(BU92,$BU$2:$BU$111)&lt;='Tournament Setup'!$D$36,_xlfn.RANK.EQ(BU92,$BU$2:$BU$111),""),"")</f>
        <v/>
      </c>
      <c r="BW92" s="30" t="str">
        <f>IF($H92='Tournament Setup'!$A$41,$I92,"")</f>
        <v/>
      </c>
      <c r="BX92" s="47" t="str">
        <f>IF(ISNUMBER(BW92),IF(COUNTIFS(BX$1:BX91,_xlfn.RANK.EQ(BW92,BW$2:BW$111,0))&gt;0,_xlfn.MAXIFS(BX$1:BX91,BW$1:BW91,BW92)+1,_xlfn.RANK.EQ(BW92,BW$2:BW$111,0)),"")</f>
        <v/>
      </c>
      <c r="BY92" s="1" t="str">
        <f>IF(ISNUMBER(BW92)=TRUE,IF(_xlfn.RANK.EQ(BW92,$BW$2:$BW$111)&lt;='Tournament Setup'!$B$41,_xlfn.RANK.EQ(BW92,$BW$2:$BW$111),""),"")</f>
        <v/>
      </c>
      <c r="BZ92" s="31" t="str">
        <f>IF(AND($H92='Tournament Setup'!$A$41,$E92="M",$BY92&gt;'Tournament Setup'!$B$41),$I92,"")</f>
        <v/>
      </c>
      <c r="CA92" s="1" t="str">
        <f>IF(ISNUMBER(BZ92)=TRUE,IF(_xlfn.RANK.EQ(BZ92,$BZ$2:$BZ$111)&lt;='Tournament Setup'!$C$41,_xlfn.RANK.EQ(BZ92,$BZ$2:$BZ$111),""),"")</f>
        <v/>
      </c>
      <c r="CB92" s="31" t="str">
        <f>IF(AND($H92='Tournament Setup'!$A$41,$E92="F",$BY92&gt;'Tournament Setup'!$B$41),$I92,"")</f>
        <v/>
      </c>
      <c r="CC92" s="12" t="str">
        <f>IF(ISNUMBER(CB92)=TRUE,IF(_xlfn.RANK.EQ(CB92,$CB$2:$CB$111)&lt;='Tournament Setup'!$D$41,_xlfn.RANK.EQ(CB92,$CB$2:$CB$111),""),"")</f>
        <v/>
      </c>
      <c r="CD92" s="30" t="str">
        <f>IF($H92='Tournament Setup'!$A$42,$I92,"")</f>
        <v/>
      </c>
      <c r="CE92" s="47" t="str">
        <f>IF(ISNUMBER(CD92),IF(COUNTIFS(CE$1:CE91,_xlfn.RANK.EQ(CD92,CD$2:CD$111,0))&gt;0,_xlfn.MAXIFS(CE$1:CE91,CD$1:CD91,CD92)+1,_xlfn.RANK.EQ(CD92,CD$2:CD$111,0)),"")</f>
        <v/>
      </c>
      <c r="CF92" s="1" t="str">
        <f>IF(ISNUMBER(CD92)=TRUE,IF(_xlfn.RANK.EQ(CD92,$CD$2:$CD$111)&lt;='Tournament Setup'!$B$42,_xlfn.RANK.EQ(CD92,$CD$2:$CD$111),""),"")</f>
        <v/>
      </c>
      <c r="CG92" s="31" t="str">
        <f>IF(AND($H92='Tournament Setup'!$A$42,$E92="M",$CF92&gt;'Tournament Setup'!$B$42),$I92,"")</f>
        <v/>
      </c>
      <c r="CH92" s="1" t="str">
        <f>IF(ISNUMBER(CG92)=TRUE,IF(_xlfn.RANK.EQ(CG92,$CG$2:$CG$111)&lt;='Tournament Setup'!$C$42,_xlfn.RANK.EQ(CG92,$CG$2:$CG$111),""),"")</f>
        <v/>
      </c>
      <c r="CI92" s="31" t="str">
        <f>IF(AND($H92='Tournament Setup'!$A$42,$E92="F",$CF92&gt;'Tournament Setup'!$B$42),$I92,"")</f>
        <v/>
      </c>
      <c r="CJ92" s="12" t="str">
        <f>IF(ISNUMBER(CI92)=TRUE,IF(_xlfn.RANK.EQ(CI92,$CI$2:$CI$111)&lt;='Tournament Setup'!$D$42,_xlfn.RANK.EQ(CI92,$CI$2:$CI$111),""),"")</f>
        <v/>
      </c>
      <c r="CK92" s="30" t="str">
        <f>IF($H92='Tournament Setup'!$A$43,$I92,"")</f>
        <v/>
      </c>
      <c r="CL92" s="47" t="str">
        <f>IF(ISNUMBER(CK92),IF(COUNTIFS(CL$1:CL91,_xlfn.RANK.EQ(CK92,CK$2:CK$111,0))&gt;0,_xlfn.MAXIFS(CL$1:CL91,CK$1:CK91,CK92)+1,_xlfn.RANK.EQ(CK92,CK$2:CK$111,0)),"")</f>
        <v/>
      </c>
      <c r="CM92" s="1" t="str">
        <f>IF(ISNUMBER(CK92)=TRUE,IF(_xlfn.RANK.EQ(CK92,$CK$2:$CK$111)&lt;='Tournament Setup'!$B$43,_xlfn.RANK.EQ(CK92,$CK$2:$CK$111),""),"")</f>
        <v/>
      </c>
      <c r="CN92" s="31" t="str">
        <f>IF(AND($H92='Tournament Setup'!$A$43,$E92="M",$CM92&gt;'Tournament Setup'!$B$43),$I92,"")</f>
        <v/>
      </c>
      <c r="CO92" s="1" t="str">
        <f>IF(ISNUMBER(CN92)=TRUE,IF(_xlfn.RANK.EQ(CN92,$CN$2:$CN$111)&lt;='Tournament Setup'!$C$43,_xlfn.RANK.EQ(CN92,$CN$2:$CN$111),""),"")</f>
        <v/>
      </c>
      <c r="CP92" s="31" t="str">
        <f>IF(AND($H92='Tournament Setup'!$A$43,$E92="F",$CM92&gt;'Tournament Setup'!$B$43),$I92,"")</f>
        <v/>
      </c>
      <c r="CQ92" s="12" t="str">
        <f>IF(ISNUMBER(CP92)=TRUE,IF(_xlfn.RANK.EQ(CP92,$CP$2:$CP$111)&lt;='Tournament Setup'!$D$43,_xlfn.RANK.EQ(CP92,$CP$2:$CP$111),""),"")</f>
        <v/>
      </c>
      <c r="CR92" s="30" t="str">
        <f>IF($H92='Tournament Setup'!$A$44,$I92,"")</f>
        <v/>
      </c>
      <c r="CS92" s="47" t="str">
        <f>IF(ISNUMBER(CR92),IF(COUNTIFS(CS$1:CS91,_xlfn.RANK.EQ(CR92,CR$2:CR$111,0))&gt;0,_xlfn.MAXIFS(CS$1:CS91,CR$1:CR91,CR92)+1,_xlfn.RANK.EQ(CR92,CR$2:CR$111,0)),"")</f>
        <v/>
      </c>
      <c r="CT92" s="1" t="str">
        <f>IF(ISNUMBER(CR92)=TRUE,IF(_xlfn.RANK.EQ(CR92,$CR$2:$CR$111)&lt;='Tournament Setup'!$B$44,_xlfn.RANK.EQ(CR92,$CR$2:$CR$111),""),"")</f>
        <v/>
      </c>
      <c r="CU92" s="31" t="str">
        <f>IF(AND($H92='Tournament Setup'!$A$44,$E92="M",$CT92&gt;'Tournament Setup'!$B$44),$I92,"")</f>
        <v/>
      </c>
      <c r="CV92" s="1" t="str">
        <f>IF(ISNUMBER(CU92)=TRUE,IF(_xlfn.RANK.EQ(CU92,$CU$2:$CU$111)&lt;='Tournament Setup'!$C$44,_xlfn.RANK.EQ(CU92,$CU$2:$CU$111),""),"")</f>
        <v/>
      </c>
      <c r="CW92" s="31" t="str">
        <f>IF(AND($H92='Tournament Setup'!$A$44,$E92="F",$CT92&gt;'Tournament Setup'!$B$44),$I92,"")</f>
        <v/>
      </c>
      <c r="CX92" s="12" t="str">
        <f>IF(ISNUMBER(CW92)=TRUE,IF(_xlfn.RANK.EQ(CW92,$CW$2:$CW$111)&lt;='Tournament Setup'!$D$44,_xlfn.RANK.EQ(CW92,$CW$2:$CW$111),""),"")</f>
        <v/>
      </c>
    </row>
    <row r="93" spans="2:102" x14ac:dyDescent="0.3">
      <c r="B93" t="str">
        <f>IFERROR(INDEX('Tournament List'!$B:$B,MATCH($A93,'Tournament List'!$A:$A,0)),"")</f>
        <v/>
      </c>
      <c r="C93" t="str">
        <f>IFERROR(INDEX('Tournament List'!$C:$C,MATCH($A93,'Tournament List'!$A:$A,0)),"")</f>
        <v/>
      </c>
      <c r="D93" t="str">
        <f t="shared" si="3"/>
        <v xml:space="preserve"> </v>
      </c>
      <c r="E93" s="1" t="str">
        <f>IFERROR(INDEX('Tournament List'!F:F,MATCH($A93,'Tournament List'!$A:$A,0)),"")</f>
        <v/>
      </c>
      <c r="F93" t="str">
        <f>IFERROR(INDEX('Tournament List'!M:M,MATCH($A93,'Tournament List'!$A:$A,0)),"")</f>
        <v/>
      </c>
      <c r="G93" t="str">
        <f>IFERROR(INDEX('Shooter-Squad Assignment'!L:L,MATCH(A93,'Shooter-Squad Assignment'!A:A,0)),"")</f>
        <v/>
      </c>
      <c r="H93" s="1" t="str">
        <f>IFERROR(INDEX('Tournament List'!AD:AD,MATCH($A93,'Tournament List'!$A:$A,0)),"")</f>
        <v/>
      </c>
      <c r="I93" s="123" t="str">
        <f>IFERROR(INDEX('Tournament List'!AG:AG,MATCH($A93,'Tournament List'!$A:$A,0)),"")</f>
        <v/>
      </c>
      <c r="J93" s="145" t="str">
        <f>IFERROR(INDEX('Tournament List'!Y:Y,MATCH($A93,'Tournament List'!$A:$A,0)),"")</f>
        <v/>
      </c>
      <c r="K93" s="47" t="str">
        <f>IFERROR(INDEX('Tournament List'!S:S,MATCH(A93,'Tournament List'!A:A,0)),"")</f>
        <v/>
      </c>
      <c r="L93" s="47" t="str">
        <f>IF(ISNUMBER(J93),IF(COUNTIFS(L$1:L92,_xlfn.RANK.EQ(J93,J$2:J$111,0))&gt;0,_xlfn.MAXIFS(L$1:L92,J$1:J92,J93)+1,_xlfn.RANK.EQ(J93,J$2:J$111,0)),"")</f>
        <v/>
      </c>
      <c r="M93" s="11" t="str">
        <f>IF(ISNUMBER(I93)=TRUE,IF(I93&gt;0,_xlfn.RANK.EQ(I93,$I$2:$I$111,0),""),"")</f>
        <v/>
      </c>
      <c r="N93" s="56" t="str">
        <f>IF(ISNUMBER(I93),IF(COUNTIFS(N$1:N92,_xlfn.RANK.EQ(I93,I$2:I$111,0))&gt;0,_xlfn.MAXIFS(N$1:N92,I$1:I92,I93)+1,_xlfn.RANK.EQ(I93,I$2:I$111,0)),"")</f>
        <v/>
      </c>
      <c r="O93" s="144" t="str">
        <f>IF(F93&lt;&gt;"Collegiate"=TRUE,$I93,"")</f>
        <v/>
      </c>
      <c r="P93" s="47" t="str">
        <f>IF(ISNUMBER(O93),IF(COUNTIFS(P$1:P92,_xlfn.RANK.EQ(O93,O$2:O$111,0))&gt;0,_xlfn.MAXIFS(P$1:P92,O$1:O92,O93)+1,_xlfn.RANK.EQ(O93,O$2:O$111,0)),"")</f>
        <v/>
      </c>
      <c r="Q93" s="1" t="str">
        <f>IF(ISNUMBER(O93)=TRUE,IF(_xlfn.RANK.EQ(O93,$O$2:$O$111)&lt;='Tournament Setup'!$B$26,_xlfn.RANK.EQ(O93,$O$2:$O$111),""),"")</f>
        <v/>
      </c>
      <c r="R93" s="143" t="str">
        <f>IF(AND($E93="M",SUM($Q93)=0,F93&lt;&gt;"Collegiate")=TRUE,$I93,"")</f>
        <v/>
      </c>
      <c r="S93" s="1" t="str">
        <f>IF(ISNUMBER(R93)=TRUE,IF(_xlfn.RANK.EQ(R93,$R$2:$R$111)&lt;='Tournament Setup'!$B$27,_xlfn.RANK.EQ(R93,$R$2:$R$111),""),"")</f>
        <v/>
      </c>
      <c r="T93" s="143" t="str">
        <f>IF(AND($E93="F",SUM($Q93)=0,F93&lt;&gt;"Collegiate")=TRUE,$I93,"")</f>
        <v/>
      </c>
      <c r="U93" s="12" t="str">
        <f>IF(ISNUMBER(T93)=TRUE,IF(_xlfn.RANK.EQ(T93,$T$2:$T$111)&lt;='Tournament Setup'!$B$28,_xlfn.RANK.EQ(T93,$T$2:$T$111),""),"")</f>
        <v/>
      </c>
      <c r="V93" s="145" t="str">
        <f>IF(AND($G93='Tournament Setup'!$A$53,$J93&lt;&gt;0),$J93,"")</f>
        <v/>
      </c>
      <c r="W93" s="47" t="str">
        <f>IF(ISNUMBER(V93),IF(COUNTIFS(W$1:W92,_xlfn.RANK.EQ(V93,V$2:V$111,0))&gt;0,_xlfn.MAXIFS(W$1:W92,V$1:V92,V93)+1,_xlfn.RANK.EQ(V93,V$2:V$111,0)),"")</f>
        <v/>
      </c>
      <c r="X93" s="1" t="str">
        <f>IF(ISNUMBER(V93)=TRUE,IF(_xlfn.RANK.EQ(V93,$V$2:$V$111)&lt;='Tournament Setup'!$B$53,_xlfn.RANK.EQ(V93,$V$2:$V$111),""),"")</f>
        <v/>
      </c>
      <c r="Y93" s="145" t="str">
        <f>IF(AND($G93='Tournament Setup'!$A$49,$J93&lt;&gt;0),$J93,"")</f>
        <v/>
      </c>
      <c r="Z93" s="47" t="str">
        <f>IF(ISNUMBER(Y93),IF(COUNTIFS(Z$1:Z92,_xlfn.RANK.EQ(Y93,Y$2:Y$111,0))&gt;0,_xlfn.MAXIFS(Z$1:Z92,Y$1:Y92,Y93)+1,_xlfn.RANK.EQ(Y93,Y$2:Y$111,0)),"")</f>
        <v/>
      </c>
      <c r="AA93" s="1" t="str">
        <f>IF(ISNUMBER(Y93)=TRUE,IF(_xlfn.RANK.EQ(Y93,$Y$2:$Y$111)&lt;='Tournament Setup'!$B$49,_xlfn.RANK.EQ(Y93,$Y$2:$Y$111),""),"")</f>
        <v/>
      </c>
      <c r="AB93" s="30" t="str">
        <f>IF(AND($F93='Tournament Setup'!$A$32,SUM($Q93,$S93,$U93)=0),$I93,"")</f>
        <v/>
      </c>
      <c r="AC93" s="47" t="str">
        <f>IF(ISNUMBER(AB93),IF(COUNTIFS(AC$1:AC92,_xlfn.RANK.EQ(AB93,AB$2:AB$111,0))&gt;0,_xlfn.MAXIFS(AC$1:AC92,AB$1:AB92,AB93)+1,_xlfn.RANK.EQ(AB93,AB$2:AB$111,0)),"")</f>
        <v/>
      </c>
      <c r="AD93" s="1" t="str">
        <f>IF(ISNUMBER(AB93)=TRUE,IF(_xlfn.RANK.EQ(AB93,$AB$2:$AB$111)&lt;='Tournament Setup'!$B$32,_xlfn.RANK.EQ(AB93,$AB$2:$AB$111),""),"")</f>
        <v/>
      </c>
      <c r="AE93" s="31" t="str">
        <f>IF(AND($F93='Tournament Setup'!$A$32,SUM($Q93,$S93)=0,$E93="M",$AD93&gt;'Tournament Setup'!$B$32),$I93,"")</f>
        <v/>
      </c>
      <c r="AF93" s="1" t="str">
        <f>IF(ISNUMBER(AE93)=TRUE,IF(_xlfn.RANK.EQ(AE93,$AE$2:$AE$111)&lt;='Tournament Setup'!$C$32,_xlfn.RANK.EQ(AE93,$AE$2:$AE$111),""),"")</f>
        <v/>
      </c>
      <c r="AG93" s="31" t="str">
        <f>IF(AND($F93='Tournament Setup'!$A$32,SUM($Q93,$U93)=0,$E93="F",$AD93&gt;'Tournament Setup'!$B$32),$I93,"")</f>
        <v/>
      </c>
      <c r="AH93" s="12" t="str">
        <f>IF(ISNUMBER(AG93)=TRUE,IF(_xlfn.RANK.EQ(AG93,$AG$2:$AG$111)&lt;='Tournament Setup'!$D$32,_xlfn.RANK.EQ(AG93,$AG$2:$AG$111),""),"")</f>
        <v/>
      </c>
      <c r="AI93" s="30" t="str">
        <f>IF(AND($G93='Tournament Setup'!$A$50,$J93&lt;&gt;0),$J93,"")</f>
        <v/>
      </c>
      <c r="AJ93" s="47" t="str">
        <f>IF(ISNUMBER(AI93),IF(COUNTIFS(AJ$1:AJ92,_xlfn.RANK.EQ(AI93,AI$2:AI$111,0))&gt;0,_xlfn.MAXIFS(AJ$1:AJ92,AI$1:AI92,AI93)+1,_xlfn.RANK.EQ(AI93,AI$2:AI$111,0)),"")</f>
        <v/>
      </c>
      <c r="AK93" s="1" t="str">
        <f>IF(ISNUMBER(AI93)=TRUE,IF(_xlfn.RANK.EQ(AI93,$AI$2:$AI$111)&lt;='Tournament Setup'!$B$49,_xlfn.RANK.EQ(AI93,$AI$2:$AI$111),""),"")</f>
        <v/>
      </c>
      <c r="AL93" s="30" t="str">
        <f>IF(AND($F93='Tournament Setup'!$A$33,SUM($Q93,$S93,$U93)=0),$I93,"")</f>
        <v/>
      </c>
      <c r="AM93" s="47" t="str">
        <f>IF(ISNUMBER(AL93),IF(COUNTIFS(AM$1:AM92,_xlfn.RANK.EQ(AL93,AL$2:AL$111,0))&gt;0,_xlfn.MAXIFS(AM$1:AM92,AL$1:AL92,AL93)+1,_xlfn.RANK.EQ(AL93,AL$2:AL$111,0)),"")</f>
        <v/>
      </c>
      <c r="AN93" s="1" t="str">
        <f>IF(ISNUMBER(AL93)=TRUE,IF(_xlfn.RANK.EQ(AL93,$AL$2:$AL$111)&lt;='Tournament Setup'!$B$33,_xlfn.RANK.EQ(AL93,$AL$2:$AL$111),""),"")</f>
        <v/>
      </c>
      <c r="AO93" s="31" t="str">
        <f>IF(AND($F93='Tournament Setup'!$A$33,SUM($Q93,$S93)=0,$E93="M",$AN93&gt;'Tournament Setup'!$B$33),$I93,"")</f>
        <v/>
      </c>
      <c r="AP93" s="1" t="str">
        <f>IF(ISNUMBER(AO93)=TRUE,IF(_xlfn.RANK.EQ(AO93,$AO$2:$AO$111)&lt;='Tournament Setup'!$C$33,_xlfn.RANK.EQ(AO93,$AO$2:$AO$111),""),"")</f>
        <v/>
      </c>
      <c r="AQ93" s="31" t="str">
        <f>IF(AND($F93='Tournament Setup'!$A$33,SUM($Q93,$U93)=0,$E93="F",$AN93&gt;'Tournament Setup'!$B$33),$I93,"")</f>
        <v/>
      </c>
      <c r="AR93" s="12" t="str">
        <f>IF(ISNUMBER(AQ93)=TRUE,IF(_xlfn.RANK.EQ(AQ93,$AQ$2:$AQ$111)&lt;='Tournament Setup'!$D$33,_xlfn.RANK.EQ(AQ93,$AQ$2:$AQ$111),""),"")</f>
        <v/>
      </c>
      <c r="AS93" s="30" t="str">
        <f>IF(AND($G93='Tournament Setup'!$A$51,$J93&lt;&gt;0),$J93,"")</f>
        <v/>
      </c>
      <c r="AT93" s="47" t="str">
        <f>IF(ISNUMBER(AS93),IF(COUNTIFS(AT$1:AT92,_xlfn.RANK.EQ(AS93,AS$2:AS$111,0))&gt;0,_xlfn.MAXIFS(AT$1:AT92,AS$1:AS92,AS93)+1,_xlfn.RANK.EQ(AS93,AS$2:AS$111,0)),"")</f>
        <v/>
      </c>
      <c r="AU93" s="1" t="str">
        <f>IF(ISNUMBER(AS93)=TRUE,IF(_xlfn.RANK.EQ(AS93,$AS$2:$AS$111)&lt;='Tournament Setup'!$B$49,_xlfn.RANK.EQ(AS93,$AS$2:$AS$111),""),"")</f>
        <v/>
      </c>
      <c r="AV93" s="30" t="str">
        <f>IF(AND($F93='Tournament Setup'!$A$34,SUM($Q93,$S93,$U93)=0),$I93,"")</f>
        <v/>
      </c>
      <c r="AW93" s="47" t="str">
        <f>IF(ISNUMBER(AV93),IF(COUNTIFS(AW$1:AW92,_xlfn.RANK.EQ(AV93,AV$2:AV$111,0))&gt;0,_xlfn.MAXIFS(AW$1:AW92,AV$1:AV92,AV93)+1,_xlfn.RANK.EQ(AV93,AV$2:AV$111,0)),"")</f>
        <v/>
      </c>
      <c r="AX93" s="1" t="str">
        <f>IF(ISNUMBER(AV93)=TRUE,IF(_xlfn.RANK.EQ(AV93,$AV$2:$AV$111)&lt;='Tournament Setup'!$B$34,_xlfn.RANK.EQ(AV93,$AV$2:$AV$111),""),"")</f>
        <v/>
      </c>
      <c r="AY93" s="31" t="str">
        <f>IF(AND($F93='Tournament Setup'!$A$34,SUM($Q93,$S93)=0,$E93="M",$AX93&gt;'Tournament Setup'!$B$34),$I93,"")</f>
        <v/>
      </c>
      <c r="AZ93" s="1" t="str">
        <f>IF(ISNUMBER(AY93)=TRUE,IF(_xlfn.RANK.EQ(AY93,$AY$2:$AY$111)&lt;='Tournament Setup'!$C$34,_xlfn.RANK.EQ(AY93,$AY$2:$AY$111),""),"")</f>
        <v/>
      </c>
      <c r="BA93" s="31" t="str">
        <f>IF(AND($F93='Tournament Setup'!$A$34,SUM($Q93,$U93)=0,$E93="F",$AX93&gt;'Tournament Setup'!$B$34),$I93,"")</f>
        <v/>
      </c>
      <c r="BB93" s="12" t="str">
        <f>IF(ISNUMBER(BA93)=TRUE,IF(_xlfn.RANK.EQ(BA93,$BA$2:$BA$111)&lt;='Tournament Setup'!$D$34,_xlfn.RANK.EQ(BA93,$BA$2:$BA$111),""),"")</f>
        <v/>
      </c>
      <c r="BC93" s="30" t="str">
        <f>IF(AND($G93='Tournament Setup'!$A$52,$J93&lt;&gt;0),$J93,"")</f>
        <v/>
      </c>
      <c r="BD93" s="47" t="str">
        <f>IF(ISNUMBER(BC93),IF(COUNTIFS(BD$1:BD92,_xlfn.RANK.EQ(BC93,BC$2:BC$111,0))&gt;0,_xlfn.MAXIFS(BD$1:BD92,BC$1:BC92,BC93)+1,_xlfn.RANK.EQ(BC93,BC$2:BC$111,0)),"")</f>
        <v/>
      </c>
      <c r="BE93" s="1" t="str">
        <f>IF(ISNUMBER(BC93)=TRUE,IF(_xlfn.RANK.EQ(BC93,$BC$2:$BC$111)&lt;='Tournament Setup'!$B$49,_xlfn.RANK.EQ(BC93,$BC$2:$BC$111),""),"")</f>
        <v/>
      </c>
      <c r="BF93" s="30" t="str">
        <f>IF(AND($F93='Tournament Setup'!$A$35,SUM($Q93,$S93,$U93)=0),$I93,"")</f>
        <v/>
      </c>
      <c r="BG93" s="47" t="str">
        <f>IF(ISNUMBER(BF93),IF(COUNTIFS(BG$1:BG92,_xlfn.RANK.EQ(BF93,BF$2:BF$111,0))&gt;0,_xlfn.MAXIFS(BG$1:BG92,BF$1:BF92,BF93)+1,_xlfn.RANK.EQ(BF93,BF$2:BF$111,0)),"")</f>
        <v/>
      </c>
      <c r="BH93" s="1" t="str">
        <f>IF(ISNUMBER(BF93)=TRUE,IF(_xlfn.RANK.EQ(BF93,$BF$2:$BF$111)&lt;='Tournament Setup'!$B$35,_xlfn.RANK.EQ(BF93,$BF$2:$BF$111),""),"")</f>
        <v/>
      </c>
      <c r="BI93" s="31" t="str">
        <f>IF(AND($F93='Tournament Setup'!$A$35,SUM($Q93,$S93)=0,$E93="M",$BH93&gt;'Tournament Setup'!$B$35),$I93,"")</f>
        <v/>
      </c>
      <c r="BJ93" s="1" t="str">
        <f>IF(ISNUMBER(BI93)=TRUE,IF(_xlfn.RANK.EQ(BI93,$BI$2:$BI$111)&lt;='Tournament Setup'!$C$35,_xlfn.RANK.EQ(BI93,$BI$2:$BI$111),""),"")</f>
        <v/>
      </c>
      <c r="BK93" s="31" t="str">
        <f>IF(AND($F93='Tournament Setup'!$A$35,SUM($Q93,$U93)=0,$E93="F",$BH93&gt;'Tournament Setup'!$B$35),$I93,"")</f>
        <v/>
      </c>
      <c r="BL93" s="12" t="str">
        <f>IF(ISNUMBER(BK93)=TRUE,IF(_xlfn.RANK.EQ(BK93,$BK$2:$BK$111)&lt;='Tournament Setup'!$D$35,_xlfn.RANK.EQ(BK93,$BK$2:$BK$111),""),"")</f>
        <v/>
      </c>
      <c r="BM93" s="30" t="str">
        <f>IF(AND($G93='Tournament Setup'!$A$54,$J93&lt;&gt;0),$J93,"")</f>
        <v/>
      </c>
      <c r="BN93" s="47" t="str">
        <f>IF(ISNUMBER(BM93),IF(COUNTIFS(BN$1:BN92,_xlfn.RANK.EQ(BM93,BM$2:BM$111,0))&gt;0,_xlfn.MAXIFS(BN$1:BN92,BM$1:BM92,BM93)+1,_xlfn.RANK.EQ(BM93,BM$2:BM$111,0)),"")</f>
        <v/>
      </c>
      <c r="BO93" s="1" t="str">
        <f>IF(ISNUMBER(BM93)=TRUE,IF(_xlfn.RANK.EQ(BM93,$BM$2:$BM$111)&lt;='Tournament Setup'!$B$49,_xlfn.RANK.EQ(BM93,$BM$2:$BM$111),""),"")</f>
        <v/>
      </c>
      <c r="BP93" s="30" t="str">
        <f>IF(AND($F93='Tournament Setup'!$A$36,SUM($Q93,$S93,$U93)=0),$I93,"")</f>
        <v/>
      </c>
      <c r="BQ93" s="47" t="str">
        <f>IF(ISNUMBER(BP93),IF(COUNTIFS(BQ$1:BQ92,_xlfn.RANK.EQ(BP93,BP$2:BP$111,0))&gt;0,_xlfn.MAXIFS(BQ$1:BQ92,BP$1:BP92,BP93)+1,_xlfn.RANK.EQ(BP93,BP$2:BP$111,0)),"")</f>
        <v/>
      </c>
      <c r="BR93" s="1" t="str">
        <f>IF(ISNUMBER(BP93)=TRUE,IF(_xlfn.RANK.EQ(BP93,$BP$2:$BP$111)&lt;='Tournament Setup'!$B$36,_xlfn.RANK.EQ(BP93,$BP$2:$BP$111),""),"")</f>
        <v/>
      </c>
      <c r="BS93" s="31" t="str">
        <f>IF(AND($F93='Tournament Setup'!$A$36,SUM($Q93,$S93)=0,$E93="M",$BR93&gt;'Tournament Setup'!$B$36),$I93,"")</f>
        <v/>
      </c>
      <c r="BT93" s="1" t="str">
        <f>IF(ISNUMBER(BS93)=TRUE,IF(_xlfn.RANK.EQ(BS93,$BS$2:$BS$111)&lt;='Tournament Setup'!$C$36,_xlfn.RANK.EQ(BS93,$BS$2:$BS$111),""),"")</f>
        <v/>
      </c>
      <c r="BU93" s="31" t="str">
        <f>IF(AND($F93='Tournament Setup'!$A$36,SUM($Q93,$U93)=0,$E93="F",$BR93&gt;'Tournament Setup'!$B$36),$I93,"")</f>
        <v/>
      </c>
      <c r="BV93" s="12" t="str">
        <f>IF(ISNUMBER(BU93)=TRUE,IF(_xlfn.RANK.EQ(BU93,$BU$2:$BU$111)&lt;='Tournament Setup'!$D$36,_xlfn.RANK.EQ(BU93,$BU$2:$BU$111),""),"")</f>
        <v/>
      </c>
      <c r="BW93" s="30" t="str">
        <f>IF($H93='Tournament Setup'!$A$41,$I93,"")</f>
        <v/>
      </c>
      <c r="BX93" s="47" t="str">
        <f>IF(ISNUMBER(BW93),IF(COUNTIFS(BX$1:BX92,_xlfn.RANK.EQ(BW93,BW$2:BW$111,0))&gt;0,_xlfn.MAXIFS(BX$1:BX92,BW$1:BW92,BW93)+1,_xlfn.RANK.EQ(BW93,BW$2:BW$111,0)),"")</f>
        <v/>
      </c>
      <c r="BY93" s="1" t="str">
        <f>IF(ISNUMBER(BW93)=TRUE,IF(_xlfn.RANK.EQ(BW93,$BW$2:$BW$111)&lt;='Tournament Setup'!$B$41,_xlfn.RANK.EQ(BW93,$BW$2:$BW$111),""),"")</f>
        <v/>
      </c>
      <c r="BZ93" s="31" t="str">
        <f>IF(AND($H93='Tournament Setup'!$A$41,$E93="M",$BY93&gt;'Tournament Setup'!$B$41),$I93,"")</f>
        <v/>
      </c>
      <c r="CA93" s="1" t="str">
        <f>IF(ISNUMBER(BZ93)=TRUE,IF(_xlfn.RANK.EQ(BZ93,$BZ$2:$BZ$111)&lt;='Tournament Setup'!$C$41,_xlfn.RANK.EQ(BZ93,$BZ$2:$BZ$111),""),"")</f>
        <v/>
      </c>
      <c r="CB93" s="31" t="str">
        <f>IF(AND($H93='Tournament Setup'!$A$41,$E93="F",$BY93&gt;'Tournament Setup'!$B$41),$I93,"")</f>
        <v/>
      </c>
      <c r="CC93" s="12" t="str">
        <f>IF(ISNUMBER(CB93)=TRUE,IF(_xlfn.RANK.EQ(CB93,$CB$2:$CB$111)&lt;='Tournament Setup'!$D$41,_xlfn.RANK.EQ(CB93,$CB$2:$CB$111),""),"")</f>
        <v/>
      </c>
      <c r="CD93" s="30" t="str">
        <f>IF($H93='Tournament Setup'!$A$42,$I93,"")</f>
        <v/>
      </c>
      <c r="CE93" s="47" t="str">
        <f>IF(ISNUMBER(CD93),IF(COUNTIFS(CE$1:CE92,_xlfn.RANK.EQ(CD93,CD$2:CD$111,0))&gt;0,_xlfn.MAXIFS(CE$1:CE92,CD$1:CD92,CD93)+1,_xlfn.RANK.EQ(CD93,CD$2:CD$111,0)),"")</f>
        <v/>
      </c>
      <c r="CF93" s="1" t="str">
        <f>IF(ISNUMBER(CD93)=TRUE,IF(_xlfn.RANK.EQ(CD93,$CD$2:$CD$111)&lt;='Tournament Setup'!$B$42,_xlfn.RANK.EQ(CD93,$CD$2:$CD$111),""),"")</f>
        <v/>
      </c>
      <c r="CG93" s="31" t="str">
        <f>IF(AND($H93='Tournament Setup'!$A$42,$E93="M",$CF93&gt;'Tournament Setup'!$B$42),$I93,"")</f>
        <v/>
      </c>
      <c r="CH93" s="1" t="str">
        <f>IF(ISNUMBER(CG93)=TRUE,IF(_xlfn.RANK.EQ(CG93,$CG$2:$CG$111)&lt;='Tournament Setup'!$C$42,_xlfn.RANK.EQ(CG93,$CG$2:$CG$111),""),"")</f>
        <v/>
      </c>
      <c r="CI93" s="31" t="str">
        <f>IF(AND($H93='Tournament Setup'!$A$42,$E93="F",$CF93&gt;'Tournament Setup'!$B$42),$I93,"")</f>
        <v/>
      </c>
      <c r="CJ93" s="12" t="str">
        <f>IF(ISNUMBER(CI93)=TRUE,IF(_xlfn.RANK.EQ(CI93,$CI$2:$CI$111)&lt;='Tournament Setup'!$D$42,_xlfn.RANK.EQ(CI93,$CI$2:$CI$111),""),"")</f>
        <v/>
      </c>
      <c r="CK93" s="30" t="str">
        <f>IF($H93='Tournament Setup'!$A$43,$I93,"")</f>
        <v/>
      </c>
      <c r="CL93" s="47" t="str">
        <f>IF(ISNUMBER(CK93),IF(COUNTIFS(CL$1:CL92,_xlfn.RANK.EQ(CK93,CK$2:CK$111,0))&gt;0,_xlfn.MAXIFS(CL$1:CL92,CK$1:CK92,CK93)+1,_xlfn.RANK.EQ(CK93,CK$2:CK$111,0)),"")</f>
        <v/>
      </c>
      <c r="CM93" s="1" t="str">
        <f>IF(ISNUMBER(CK93)=TRUE,IF(_xlfn.RANK.EQ(CK93,$CK$2:$CK$111)&lt;='Tournament Setup'!$B$43,_xlfn.RANK.EQ(CK93,$CK$2:$CK$111),""),"")</f>
        <v/>
      </c>
      <c r="CN93" s="31" t="str">
        <f>IF(AND($H93='Tournament Setup'!$A$43,$E93="M",$CM93&gt;'Tournament Setup'!$B$43),$I93,"")</f>
        <v/>
      </c>
      <c r="CO93" s="1" t="str">
        <f>IF(ISNUMBER(CN93)=TRUE,IF(_xlfn.RANK.EQ(CN93,$CN$2:$CN$111)&lt;='Tournament Setup'!$C$43,_xlfn.RANK.EQ(CN93,$CN$2:$CN$111),""),"")</f>
        <v/>
      </c>
      <c r="CP93" s="31" t="str">
        <f>IF(AND($H93='Tournament Setup'!$A$43,$E93="F",$CM93&gt;'Tournament Setup'!$B$43),$I93,"")</f>
        <v/>
      </c>
      <c r="CQ93" s="12" t="str">
        <f>IF(ISNUMBER(CP93)=TRUE,IF(_xlfn.RANK.EQ(CP93,$CP$2:$CP$111)&lt;='Tournament Setup'!$D$43,_xlfn.RANK.EQ(CP93,$CP$2:$CP$111),""),"")</f>
        <v/>
      </c>
      <c r="CR93" s="30" t="str">
        <f>IF($H93='Tournament Setup'!$A$44,$I93,"")</f>
        <v/>
      </c>
      <c r="CS93" s="47" t="str">
        <f>IF(ISNUMBER(CR93),IF(COUNTIFS(CS$1:CS92,_xlfn.RANK.EQ(CR93,CR$2:CR$111,0))&gt;0,_xlfn.MAXIFS(CS$1:CS92,CR$1:CR92,CR93)+1,_xlfn.RANK.EQ(CR93,CR$2:CR$111,0)),"")</f>
        <v/>
      </c>
      <c r="CT93" s="1" t="str">
        <f>IF(ISNUMBER(CR93)=TRUE,IF(_xlfn.RANK.EQ(CR93,$CR$2:$CR$111)&lt;='Tournament Setup'!$B$44,_xlfn.RANK.EQ(CR93,$CR$2:$CR$111),""),"")</f>
        <v/>
      </c>
      <c r="CU93" s="31" t="str">
        <f>IF(AND($H93='Tournament Setup'!$A$44,$E93="M",$CT93&gt;'Tournament Setup'!$B$44),$I93,"")</f>
        <v/>
      </c>
      <c r="CV93" s="1" t="str">
        <f>IF(ISNUMBER(CU93)=TRUE,IF(_xlfn.RANK.EQ(CU93,$CU$2:$CU$111)&lt;='Tournament Setup'!$C$44,_xlfn.RANK.EQ(CU93,$CU$2:$CU$111),""),"")</f>
        <v/>
      </c>
      <c r="CW93" s="31" t="str">
        <f>IF(AND($H93='Tournament Setup'!$A$44,$E93="F",$CT93&gt;'Tournament Setup'!$B$44),$I93,"")</f>
        <v/>
      </c>
      <c r="CX93" s="12" t="str">
        <f>IF(ISNUMBER(CW93)=TRUE,IF(_xlfn.RANK.EQ(CW93,$CW$2:$CW$111)&lt;='Tournament Setup'!$D$44,_xlfn.RANK.EQ(CW93,$CW$2:$CW$111),""),"")</f>
        <v/>
      </c>
    </row>
    <row r="94" spans="2:102" x14ac:dyDescent="0.3">
      <c r="B94" t="str">
        <f>IFERROR(INDEX('Tournament List'!$B:$B,MATCH($A94,'Tournament List'!$A:$A,0)),"")</f>
        <v/>
      </c>
      <c r="C94" t="str">
        <f>IFERROR(INDEX('Tournament List'!$C:$C,MATCH($A94,'Tournament List'!$A:$A,0)),"")</f>
        <v/>
      </c>
      <c r="D94" t="str">
        <f t="shared" si="3"/>
        <v xml:space="preserve"> </v>
      </c>
      <c r="E94" s="1" t="str">
        <f>IFERROR(INDEX('Tournament List'!F:F,MATCH($A94,'Tournament List'!$A:$A,0)),"")</f>
        <v/>
      </c>
      <c r="F94" t="str">
        <f>IFERROR(INDEX('Tournament List'!M:M,MATCH($A94,'Tournament List'!$A:$A,0)),"")</f>
        <v/>
      </c>
      <c r="G94" t="str">
        <f>IFERROR(INDEX('Shooter-Squad Assignment'!L:L,MATCH(A94,'Shooter-Squad Assignment'!A:A,0)),"")</f>
        <v/>
      </c>
      <c r="H94" s="1" t="str">
        <f>IFERROR(INDEX('Tournament List'!AD:AD,MATCH($A94,'Tournament List'!$A:$A,0)),"")</f>
        <v/>
      </c>
      <c r="I94" s="123" t="str">
        <f>IFERROR(INDEX('Tournament List'!AG:AG,MATCH($A94,'Tournament List'!$A:$A,0)),"")</f>
        <v/>
      </c>
      <c r="J94" s="145" t="str">
        <f>IFERROR(INDEX('Tournament List'!Y:Y,MATCH($A94,'Tournament List'!$A:$A,0)),"")</f>
        <v/>
      </c>
      <c r="K94" s="47" t="str">
        <f>IFERROR(INDEX('Tournament List'!S:S,MATCH(A94,'Tournament List'!A:A,0)),"")</f>
        <v/>
      </c>
      <c r="L94" s="47" t="str">
        <f>IF(ISNUMBER(J94),IF(COUNTIFS(L$1:L93,_xlfn.RANK.EQ(J94,J$2:J$111,0))&gt;0,_xlfn.MAXIFS(L$1:L93,J$1:J93,J94)+1,_xlfn.RANK.EQ(J94,J$2:J$111,0)),"")</f>
        <v/>
      </c>
      <c r="M94" s="11" t="str">
        <f>IF(ISNUMBER(I94)=TRUE,IF(I94&gt;0,_xlfn.RANK.EQ(I94,$I$2:$I$111,0),""),"")</f>
        <v/>
      </c>
      <c r="N94" s="56" t="str">
        <f>IF(ISNUMBER(I94),IF(COUNTIFS(N$1:N93,_xlfn.RANK.EQ(I94,I$2:I$111,0))&gt;0,_xlfn.MAXIFS(N$1:N93,I$1:I93,I94)+1,_xlfn.RANK.EQ(I94,I$2:I$111,0)),"")</f>
        <v/>
      </c>
      <c r="O94" s="144" t="str">
        <f>IF(F94&lt;&gt;"Collegiate"=TRUE,$I94,"")</f>
        <v/>
      </c>
      <c r="P94" s="47" t="str">
        <f>IF(ISNUMBER(O94),IF(COUNTIFS(P$1:P93,_xlfn.RANK.EQ(O94,O$2:O$111,0))&gt;0,_xlfn.MAXIFS(P$1:P93,O$1:O93,O94)+1,_xlfn.RANK.EQ(O94,O$2:O$111,0)),"")</f>
        <v/>
      </c>
      <c r="Q94" s="1" t="str">
        <f>IF(ISNUMBER(O94)=TRUE,IF(_xlfn.RANK.EQ(O94,$O$2:$O$111)&lt;='Tournament Setup'!$B$26,_xlfn.RANK.EQ(O94,$O$2:$O$111),""),"")</f>
        <v/>
      </c>
      <c r="R94" s="143" t="str">
        <f>IF(AND($E94="M",SUM($Q94)=0,F94&lt;&gt;"Collegiate")=TRUE,$I94,"")</f>
        <v/>
      </c>
      <c r="S94" s="1" t="str">
        <f>IF(ISNUMBER(R94)=TRUE,IF(_xlfn.RANK.EQ(R94,$R$2:$R$111)&lt;='Tournament Setup'!$B$27,_xlfn.RANK.EQ(R94,$R$2:$R$111),""),"")</f>
        <v/>
      </c>
      <c r="T94" s="143" t="str">
        <f>IF(AND($E94="F",SUM($Q94)=0,F94&lt;&gt;"Collegiate")=TRUE,$I94,"")</f>
        <v/>
      </c>
      <c r="U94" s="12" t="str">
        <f>IF(ISNUMBER(T94)=TRUE,IF(_xlfn.RANK.EQ(T94,$T$2:$T$111)&lt;='Tournament Setup'!$B$28,_xlfn.RANK.EQ(T94,$T$2:$T$111),""),"")</f>
        <v/>
      </c>
      <c r="V94" s="145" t="str">
        <f>IF(AND($G94='Tournament Setup'!$A$53,$J94&lt;&gt;0),$J94,"")</f>
        <v/>
      </c>
      <c r="W94" s="47" t="str">
        <f>IF(ISNUMBER(V94),IF(COUNTIFS(W$1:W93,_xlfn.RANK.EQ(V94,V$2:V$111,0))&gt;0,_xlfn.MAXIFS(W$1:W93,V$1:V93,V94)+1,_xlfn.RANK.EQ(V94,V$2:V$111,0)),"")</f>
        <v/>
      </c>
      <c r="X94" s="1" t="str">
        <f>IF(ISNUMBER(V94)=TRUE,IF(_xlfn.RANK.EQ(V94,$V$2:$V$111)&lt;='Tournament Setup'!$B$53,_xlfn.RANK.EQ(V94,$V$2:$V$111),""),"")</f>
        <v/>
      </c>
      <c r="Y94" s="145" t="str">
        <f>IF(AND($G94='Tournament Setup'!$A$49,$J94&lt;&gt;0),$J94,"")</f>
        <v/>
      </c>
      <c r="Z94" s="47" t="str">
        <f>IF(ISNUMBER(Y94),IF(COUNTIFS(Z$1:Z93,_xlfn.RANK.EQ(Y94,Y$2:Y$111,0))&gt;0,_xlfn.MAXIFS(Z$1:Z93,Y$1:Y93,Y94)+1,_xlfn.RANK.EQ(Y94,Y$2:Y$111,0)),"")</f>
        <v/>
      </c>
      <c r="AA94" s="1" t="str">
        <f>IF(ISNUMBER(Y94)=TRUE,IF(_xlfn.RANK.EQ(Y94,$Y$2:$Y$111)&lt;='Tournament Setup'!$B$49,_xlfn.RANK.EQ(Y94,$Y$2:$Y$111),""),"")</f>
        <v/>
      </c>
      <c r="AB94" s="30" t="str">
        <f>IF(AND($F94='Tournament Setup'!$A$32,SUM($Q94,$S94,$U94)=0),$I94,"")</f>
        <v/>
      </c>
      <c r="AC94" s="47" t="str">
        <f>IF(ISNUMBER(AB94),IF(COUNTIFS(AC$1:AC93,_xlfn.RANK.EQ(AB94,AB$2:AB$111,0))&gt;0,_xlfn.MAXIFS(AC$1:AC93,AB$1:AB93,AB94)+1,_xlfn.RANK.EQ(AB94,AB$2:AB$111,0)),"")</f>
        <v/>
      </c>
      <c r="AD94" s="1" t="str">
        <f>IF(ISNUMBER(AB94)=TRUE,IF(_xlfn.RANK.EQ(AB94,$AB$2:$AB$111)&lt;='Tournament Setup'!$B$32,_xlfn.RANK.EQ(AB94,$AB$2:$AB$111),""),"")</f>
        <v/>
      </c>
      <c r="AE94" s="31" t="str">
        <f>IF(AND($F94='Tournament Setup'!$A$32,SUM($Q94,$S94)=0,$E94="M",$AD94&gt;'Tournament Setup'!$B$32),$I94,"")</f>
        <v/>
      </c>
      <c r="AF94" s="1" t="str">
        <f>IF(ISNUMBER(AE94)=TRUE,IF(_xlfn.RANK.EQ(AE94,$AE$2:$AE$111)&lt;='Tournament Setup'!$C$32,_xlfn.RANK.EQ(AE94,$AE$2:$AE$111),""),"")</f>
        <v/>
      </c>
      <c r="AG94" s="31" t="str">
        <f>IF(AND($F94='Tournament Setup'!$A$32,SUM($Q94,$U94)=0,$E94="F",$AD94&gt;'Tournament Setup'!$B$32),$I94,"")</f>
        <v/>
      </c>
      <c r="AH94" s="12" t="str">
        <f>IF(ISNUMBER(AG94)=TRUE,IF(_xlfn.RANK.EQ(AG94,$AG$2:$AG$111)&lt;='Tournament Setup'!$D$32,_xlfn.RANK.EQ(AG94,$AG$2:$AG$111),""),"")</f>
        <v/>
      </c>
      <c r="AI94" s="30" t="str">
        <f>IF(AND($G94='Tournament Setup'!$A$50,$J94&lt;&gt;0),$J94,"")</f>
        <v/>
      </c>
      <c r="AJ94" s="47" t="str">
        <f>IF(ISNUMBER(AI94),IF(COUNTIFS(AJ$1:AJ93,_xlfn.RANK.EQ(AI94,AI$2:AI$111,0))&gt;0,_xlfn.MAXIFS(AJ$1:AJ93,AI$1:AI93,AI94)+1,_xlfn.RANK.EQ(AI94,AI$2:AI$111,0)),"")</f>
        <v/>
      </c>
      <c r="AK94" s="1" t="str">
        <f>IF(ISNUMBER(AI94)=TRUE,IF(_xlfn.RANK.EQ(AI94,$AI$2:$AI$111)&lt;='Tournament Setup'!$B$49,_xlfn.RANK.EQ(AI94,$AI$2:$AI$111),""),"")</f>
        <v/>
      </c>
      <c r="AL94" s="30" t="str">
        <f>IF(AND($F94='Tournament Setup'!$A$33,SUM($Q94,$S94,$U94)=0),$I94,"")</f>
        <v/>
      </c>
      <c r="AM94" s="47" t="str">
        <f>IF(ISNUMBER(AL94),IF(COUNTIFS(AM$1:AM93,_xlfn.RANK.EQ(AL94,AL$2:AL$111,0))&gt;0,_xlfn.MAXIFS(AM$1:AM93,AL$1:AL93,AL94)+1,_xlfn.RANK.EQ(AL94,AL$2:AL$111,0)),"")</f>
        <v/>
      </c>
      <c r="AN94" s="1" t="str">
        <f>IF(ISNUMBER(AL94)=TRUE,IF(_xlfn.RANK.EQ(AL94,$AL$2:$AL$111)&lt;='Tournament Setup'!$B$33,_xlfn.RANK.EQ(AL94,$AL$2:$AL$111),""),"")</f>
        <v/>
      </c>
      <c r="AO94" s="31" t="str">
        <f>IF(AND($F94='Tournament Setup'!$A$33,SUM($Q94,$S94)=0,$E94="M",$AN94&gt;'Tournament Setup'!$B$33),$I94,"")</f>
        <v/>
      </c>
      <c r="AP94" s="1" t="str">
        <f>IF(ISNUMBER(AO94)=TRUE,IF(_xlfn.RANK.EQ(AO94,$AO$2:$AO$111)&lt;='Tournament Setup'!$C$33,_xlfn.RANK.EQ(AO94,$AO$2:$AO$111),""),"")</f>
        <v/>
      </c>
      <c r="AQ94" s="31" t="str">
        <f>IF(AND($F94='Tournament Setup'!$A$33,SUM($Q94,$U94)=0,$E94="F",$AN94&gt;'Tournament Setup'!$B$33),$I94,"")</f>
        <v/>
      </c>
      <c r="AR94" s="12" t="str">
        <f>IF(ISNUMBER(AQ94)=TRUE,IF(_xlfn.RANK.EQ(AQ94,$AQ$2:$AQ$111)&lt;='Tournament Setup'!$D$33,_xlfn.RANK.EQ(AQ94,$AQ$2:$AQ$111),""),"")</f>
        <v/>
      </c>
      <c r="AS94" s="30" t="str">
        <f>IF(AND($G94='Tournament Setup'!$A$51,$J94&lt;&gt;0),$J94,"")</f>
        <v/>
      </c>
      <c r="AT94" s="47" t="str">
        <f>IF(ISNUMBER(AS94),IF(COUNTIFS(AT$1:AT93,_xlfn.RANK.EQ(AS94,AS$2:AS$111,0))&gt;0,_xlfn.MAXIFS(AT$1:AT93,AS$1:AS93,AS94)+1,_xlfn.RANK.EQ(AS94,AS$2:AS$111,0)),"")</f>
        <v/>
      </c>
      <c r="AU94" s="1" t="str">
        <f>IF(ISNUMBER(AS94)=TRUE,IF(_xlfn.RANK.EQ(AS94,$AS$2:$AS$111)&lt;='Tournament Setup'!$B$49,_xlfn.RANK.EQ(AS94,$AS$2:$AS$111),""),"")</f>
        <v/>
      </c>
      <c r="AV94" s="30" t="str">
        <f>IF(AND($F94='Tournament Setup'!$A$34,SUM($Q94,$S94,$U94)=0),$I94,"")</f>
        <v/>
      </c>
      <c r="AW94" s="47" t="str">
        <f>IF(ISNUMBER(AV94),IF(COUNTIFS(AW$1:AW93,_xlfn.RANK.EQ(AV94,AV$2:AV$111,0))&gt;0,_xlfn.MAXIFS(AW$1:AW93,AV$1:AV93,AV94)+1,_xlfn.RANK.EQ(AV94,AV$2:AV$111,0)),"")</f>
        <v/>
      </c>
      <c r="AX94" s="1" t="str">
        <f>IF(ISNUMBER(AV94)=TRUE,IF(_xlfn.RANK.EQ(AV94,$AV$2:$AV$111)&lt;='Tournament Setup'!$B$34,_xlfn.RANK.EQ(AV94,$AV$2:$AV$111),""),"")</f>
        <v/>
      </c>
      <c r="AY94" s="31" t="str">
        <f>IF(AND($F94='Tournament Setup'!$A$34,SUM($Q94,$S94)=0,$E94="M",$AX94&gt;'Tournament Setup'!$B$34),$I94,"")</f>
        <v/>
      </c>
      <c r="AZ94" s="1" t="str">
        <f>IF(ISNUMBER(AY94)=TRUE,IF(_xlfn.RANK.EQ(AY94,$AY$2:$AY$111)&lt;='Tournament Setup'!$C$34,_xlfn.RANK.EQ(AY94,$AY$2:$AY$111),""),"")</f>
        <v/>
      </c>
      <c r="BA94" s="31" t="str">
        <f>IF(AND($F94='Tournament Setup'!$A$34,SUM($Q94,$U94)=0,$E94="F",$AX94&gt;'Tournament Setup'!$B$34),$I94,"")</f>
        <v/>
      </c>
      <c r="BB94" s="12" t="str">
        <f>IF(ISNUMBER(BA94)=TRUE,IF(_xlfn.RANK.EQ(BA94,$BA$2:$BA$111)&lt;='Tournament Setup'!$D$34,_xlfn.RANK.EQ(BA94,$BA$2:$BA$111),""),"")</f>
        <v/>
      </c>
      <c r="BC94" s="30" t="str">
        <f>IF(AND($G94='Tournament Setup'!$A$52,$J94&lt;&gt;0),$J94,"")</f>
        <v/>
      </c>
      <c r="BD94" s="47" t="str">
        <f>IF(ISNUMBER(BC94),IF(COUNTIFS(BD$1:BD93,_xlfn.RANK.EQ(BC94,BC$2:BC$111,0))&gt;0,_xlfn.MAXIFS(BD$1:BD93,BC$1:BC93,BC94)+1,_xlfn.RANK.EQ(BC94,BC$2:BC$111,0)),"")</f>
        <v/>
      </c>
      <c r="BE94" s="1" t="str">
        <f>IF(ISNUMBER(BC94)=TRUE,IF(_xlfn.RANK.EQ(BC94,$BC$2:$BC$111)&lt;='Tournament Setup'!$B$49,_xlfn.RANK.EQ(BC94,$BC$2:$BC$111),""),"")</f>
        <v/>
      </c>
      <c r="BF94" s="30" t="str">
        <f>IF(AND($F94='Tournament Setup'!$A$35,SUM($Q94,$S94,$U94)=0),$I94,"")</f>
        <v/>
      </c>
      <c r="BG94" s="47" t="str">
        <f>IF(ISNUMBER(BF94),IF(COUNTIFS(BG$1:BG93,_xlfn.RANK.EQ(BF94,BF$2:BF$111,0))&gt;0,_xlfn.MAXIFS(BG$1:BG93,BF$1:BF93,BF94)+1,_xlfn.RANK.EQ(BF94,BF$2:BF$111,0)),"")</f>
        <v/>
      </c>
      <c r="BH94" s="1" t="str">
        <f>IF(ISNUMBER(BF94)=TRUE,IF(_xlfn.RANK.EQ(BF94,$BF$2:$BF$111)&lt;='Tournament Setup'!$B$35,_xlfn.RANK.EQ(BF94,$BF$2:$BF$111),""),"")</f>
        <v/>
      </c>
      <c r="BI94" s="31" t="str">
        <f>IF(AND($F94='Tournament Setup'!$A$35,SUM($Q94,$S94)=0,$E94="M",$BH94&gt;'Tournament Setup'!$B$35),$I94,"")</f>
        <v/>
      </c>
      <c r="BJ94" s="1" t="str">
        <f>IF(ISNUMBER(BI94)=TRUE,IF(_xlfn.RANK.EQ(BI94,$BI$2:$BI$111)&lt;='Tournament Setup'!$C$35,_xlfn.RANK.EQ(BI94,$BI$2:$BI$111),""),"")</f>
        <v/>
      </c>
      <c r="BK94" s="31" t="str">
        <f>IF(AND($F94='Tournament Setup'!$A$35,SUM($Q94,$U94)=0,$E94="F",$BH94&gt;'Tournament Setup'!$B$35),$I94,"")</f>
        <v/>
      </c>
      <c r="BL94" s="12" t="str">
        <f>IF(ISNUMBER(BK94)=TRUE,IF(_xlfn.RANK.EQ(BK94,$BK$2:$BK$111)&lt;='Tournament Setup'!$D$35,_xlfn.RANK.EQ(BK94,$BK$2:$BK$111),""),"")</f>
        <v/>
      </c>
      <c r="BM94" s="30" t="str">
        <f>IF(AND($G94='Tournament Setup'!$A$54,$J94&lt;&gt;0),$J94,"")</f>
        <v/>
      </c>
      <c r="BN94" s="47" t="str">
        <f>IF(ISNUMBER(BM94),IF(COUNTIFS(BN$1:BN93,_xlfn.RANK.EQ(BM94,BM$2:BM$111,0))&gt;0,_xlfn.MAXIFS(BN$1:BN93,BM$1:BM93,BM94)+1,_xlfn.RANK.EQ(BM94,BM$2:BM$111,0)),"")</f>
        <v/>
      </c>
      <c r="BO94" s="1" t="str">
        <f>IF(ISNUMBER(BM94)=TRUE,IF(_xlfn.RANK.EQ(BM94,$BM$2:$BM$111)&lt;='Tournament Setup'!$B$49,_xlfn.RANK.EQ(BM94,$BM$2:$BM$111),""),"")</f>
        <v/>
      </c>
      <c r="BP94" s="30" t="str">
        <f>IF(AND($F94='Tournament Setup'!$A$36,SUM($Q94,$S94,$U94)=0),$I94,"")</f>
        <v/>
      </c>
      <c r="BQ94" s="47" t="str">
        <f>IF(ISNUMBER(BP94),IF(COUNTIFS(BQ$1:BQ93,_xlfn.RANK.EQ(BP94,BP$2:BP$111,0))&gt;0,_xlfn.MAXIFS(BQ$1:BQ93,BP$1:BP93,BP94)+1,_xlfn.RANK.EQ(BP94,BP$2:BP$111,0)),"")</f>
        <v/>
      </c>
      <c r="BR94" s="1" t="str">
        <f>IF(ISNUMBER(BP94)=TRUE,IF(_xlfn.RANK.EQ(BP94,$BP$2:$BP$111)&lt;='Tournament Setup'!$B$36,_xlfn.RANK.EQ(BP94,$BP$2:$BP$111),""),"")</f>
        <v/>
      </c>
      <c r="BS94" s="31" t="str">
        <f>IF(AND($F94='Tournament Setup'!$A$36,SUM($Q94,$S94)=0,$E94="M",$BR94&gt;'Tournament Setup'!$B$36),$I94,"")</f>
        <v/>
      </c>
      <c r="BT94" s="1" t="str">
        <f>IF(ISNUMBER(BS94)=TRUE,IF(_xlfn.RANK.EQ(BS94,$BS$2:$BS$111)&lt;='Tournament Setup'!$C$36,_xlfn.RANK.EQ(BS94,$BS$2:$BS$111),""),"")</f>
        <v/>
      </c>
      <c r="BU94" s="31" t="str">
        <f>IF(AND($F94='Tournament Setup'!$A$36,SUM($Q94,$U94)=0,$E94="F",$BR94&gt;'Tournament Setup'!$B$36),$I94,"")</f>
        <v/>
      </c>
      <c r="BV94" s="12" t="str">
        <f>IF(ISNUMBER(BU94)=TRUE,IF(_xlfn.RANK.EQ(BU94,$BU$2:$BU$111)&lt;='Tournament Setup'!$D$36,_xlfn.RANK.EQ(BU94,$BU$2:$BU$111),""),"")</f>
        <v/>
      </c>
      <c r="BW94" s="30" t="str">
        <f>IF($H94='Tournament Setup'!$A$41,$I94,"")</f>
        <v/>
      </c>
      <c r="BX94" s="47" t="str">
        <f>IF(ISNUMBER(BW94),IF(COUNTIFS(BX$1:BX93,_xlfn.RANK.EQ(BW94,BW$2:BW$111,0))&gt;0,_xlfn.MAXIFS(BX$1:BX93,BW$1:BW93,BW94)+1,_xlfn.RANK.EQ(BW94,BW$2:BW$111,0)),"")</f>
        <v/>
      </c>
      <c r="BY94" s="1" t="str">
        <f>IF(ISNUMBER(BW94)=TRUE,IF(_xlfn.RANK.EQ(BW94,$BW$2:$BW$111)&lt;='Tournament Setup'!$B$41,_xlfn.RANK.EQ(BW94,$BW$2:$BW$111),""),"")</f>
        <v/>
      </c>
      <c r="BZ94" s="31" t="str">
        <f>IF(AND($H94='Tournament Setup'!$A$41,$E94="M",$BY94&gt;'Tournament Setup'!$B$41),$I94,"")</f>
        <v/>
      </c>
      <c r="CA94" s="1" t="str">
        <f>IF(ISNUMBER(BZ94)=TRUE,IF(_xlfn.RANK.EQ(BZ94,$BZ$2:$BZ$111)&lt;='Tournament Setup'!$C$41,_xlfn.RANK.EQ(BZ94,$BZ$2:$BZ$111),""),"")</f>
        <v/>
      </c>
      <c r="CB94" s="31" t="str">
        <f>IF(AND($H94='Tournament Setup'!$A$41,$E94="F",$BY94&gt;'Tournament Setup'!$B$41),$I94,"")</f>
        <v/>
      </c>
      <c r="CC94" s="12" t="str">
        <f>IF(ISNUMBER(CB94)=TRUE,IF(_xlfn.RANK.EQ(CB94,$CB$2:$CB$111)&lt;='Tournament Setup'!$D$41,_xlfn.RANK.EQ(CB94,$CB$2:$CB$111),""),"")</f>
        <v/>
      </c>
      <c r="CD94" s="30" t="str">
        <f>IF($H94='Tournament Setup'!$A$42,$I94,"")</f>
        <v/>
      </c>
      <c r="CE94" s="47" t="str">
        <f>IF(ISNUMBER(CD94),IF(COUNTIFS(CE$1:CE93,_xlfn.RANK.EQ(CD94,CD$2:CD$111,0))&gt;0,_xlfn.MAXIFS(CE$1:CE93,CD$1:CD93,CD94)+1,_xlfn.RANK.EQ(CD94,CD$2:CD$111,0)),"")</f>
        <v/>
      </c>
      <c r="CF94" s="1" t="str">
        <f>IF(ISNUMBER(CD94)=TRUE,IF(_xlfn.RANK.EQ(CD94,$CD$2:$CD$111)&lt;='Tournament Setup'!$B$42,_xlfn.RANK.EQ(CD94,$CD$2:$CD$111),""),"")</f>
        <v/>
      </c>
      <c r="CG94" s="31" t="str">
        <f>IF(AND($H94='Tournament Setup'!$A$42,$E94="M",$CF94&gt;'Tournament Setup'!$B$42),$I94,"")</f>
        <v/>
      </c>
      <c r="CH94" s="1" t="str">
        <f>IF(ISNUMBER(CG94)=TRUE,IF(_xlfn.RANK.EQ(CG94,$CG$2:$CG$111)&lt;='Tournament Setup'!$C$42,_xlfn.RANK.EQ(CG94,$CG$2:$CG$111),""),"")</f>
        <v/>
      </c>
      <c r="CI94" s="31" t="str">
        <f>IF(AND($H94='Tournament Setup'!$A$42,$E94="F",$CF94&gt;'Tournament Setup'!$B$42),$I94,"")</f>
        <v/>
      </c>
      <c r="CJ94" s="12" t="str">
        <f>IF(ISNUMBER(CI94)=TRUE,IF(_xlfn.RANK.EQ(CI94,$CI$2:$CI$111)&lt;='Tournament Setup'!$D$42,_xlfn.RANK.EQ(CI94,$CI$2:$CI$111),""),"")</f>
        <v/>
      </c>
      <c r="CK94" s="30" t="str">
        <f>IF($H94='Tournament Setup'!$A$43,$I94,"")</f>
        <v/>
      </c>
      <c r="CL94" s="47" t="str">
        <f>IF(ISNUMBER(CK94),IF(COUNTIFS(CL$1:CL93,_xlfn.RANK.EQ(CK94,CK$2:CK$111,0))&gt;0,_xlfn.MAXIFS(CL$1:CL93,CK$1:CK93,CK94)+1,_xlfn.RANK.EQ(CK94,CK$2:CK$111,0)),"")</f>
        <v/>
      </c>
      <c r="CM94" s="1" t="str">
        <f>IF(ISNUMBER(CK94)=TRUE,IF(_xlfn.RANK.EQ(CK94,$CK$2:$CK$111)&lt;='Tournament Setup'!$B$43,_xlfn.RANK.EQ(CK94,$CK$2:$CK$111),""),"")</f>
        <v/>
      </c>
      <c r="CN94" s="31" t="str">
        <f>IF(AND($H94='Tournament Setup'!$A$43,$E94="M",$CM94&gt;'Tournament Setup'!$B$43),$I94,"")</f>
        <v/>
      </c>
      <c r="CO94" s="1" t="str">
        <f>IF(ISNUMBER(CN94)=TRUE,IF(_xlfn.RANK.EQ(CN94,$CN$2:$CN$111)&lt;='Tournament Setup'!$C$43,_xlfn.RANK.EQ(CN94,$CN$2:$CN$111),""),"")</f>
        <v/>
      </c>
      <c r="CP94" s="31" t="str">
        <f>IF(AND($H94='Tournament Setup'!$A$43,$E94="F",$CM94&gt;'Tournament Setup'!$B$43),$I94,"")</f>
        <v/>
      </c>
      <c r="CQ94" s="12" t="str">
        <f>IF(ISNUMBER(CP94)=TRUE,IF(_xlfn.RANK.EQ(CP94,$CP$2:$CP$111)&lt;='Tournament Setup'!$D$43,_xlfn.RANK.EQ(CP94,$CP$2:$CP$111),""),"")</f>
        <v/>
      </c>
      <c r="CR94" s="30" t="str">
        <f>IF($H94='Tournament Setup'!$A$44,$I94,"")</f>
        <v/>
      </c>
      <c r="CS94" s="47" t="str">
        <f>IF(ISNUMBER(CR94),IF(COUNTIFS(CS$1:CS93,_xlfn.RANK.EQ(CR94,CR$2:CR$111,0))&gt;0,_xlfn.MAXIFS(CS$1:CS93,CR$1:CR93,CR94)+1,_xlfn.RANK.EQ(CR94,CR$2:CR$111,0)),"")</f>
        <v/>
      </c>
      <c r="CT94" s="1" t="str">
        <f>IF(ISNUMBER(CR94)=TRUE,IF(_xlfn.RANK.EQ(CR94,$CR$2:$CR$111)&lt;='Tournament Setup'!$B$44,_xlfn.RANK.EQ(CR94,$CR$2:$CR$111),""),"")</f>
        <v/>
      </c>
      <c r="CU94" s="31" t="str">
        <f>IF(AND($H94='Tournament Setup'!$A$44,$E94="M",$CT94&gt;'Tournament Setup'!$B$44),$I94,"")</f>
        <v/>
      </c>
      <c r="CV94" s="1" t="str">
        <f>IF(ISNUMBER(CU94)=TRUE,IF(_xlfn.RANK.EQ(CU94,$CU$2:$CU$111)&lt;='Tournament Setup'!$C$44,_xlfn.RANK.EQ(CU94,$CU$2:$CU$111),""),"")</f>
        <v/>
      </c>
      <c r="CW94" s="31" t="str">
        <f>IF(AND($H94='Tournament Setup'!$A$44,$E94="F",$CT94&gt;'Tournament Setup'!$B$44),$I94,"")</f>
        <v/>
      </c>
      <c r="CX94" s="12" t="str">
        <f>IF(ISNUMBER(CW94)=TRUE,IF(_xlfn.RANK.EQ(CW94,$CW$2:$CW$111)&lt;='Tournament Setup'!$D$44,_xlfn.RANK.EQ(CW94,$CW$2:$CW$111),""),"")</f>
        <v/>
      </c>
    </row>
    <row r="95" spans="2:102" x14ac:dyDescent="0.3">
      <c r="B95" t="str">
        <f>IFERROR(INDEX('Tournament List'!$B:$B,MATCH($A95,'Tournament List'!$A:$A,0)),"")</f>
        <v/>
      </c>
      <c r="C95" t="str">
        <f>IFERROR(INDEX('Tournament List'!$C:$C,MATCH($A95,'Tournament List'!$A:$A,0)),"")</f>
        <v/>
      </c>
      <c r="D95" t="str">
        <f t="shared" si="3"/>
        <v xml:space="preserve"> </v>
      </c>
      <c r="E95" s="1" t="str">
        <f>IFERROR(INDEX('Tournament List'!F:F,MATCH($A95,'Tournament List'!$A:$A,0)),"")</f>
        <v/>
      </c>
      <c r="F95" t="str">
        <f>IFERROR(INDEX('Tournament List'!M:M,MATCH($A95,'Tournament List'!$A:$A,0)),"")</f>
        <v/>
      </c>
      <c r="G95" t="str">
        <f>IFERROR(INDEX('Shooter-Squad Assignment'!L:L,MATCH(A95,'Shooter-Squad Assignment'!A:A,0)),"")</f>
        <v/>
      </c>
      <c r="H95" s="1" t="str">
        <f>IFERROR(INDEX('Tournament List'!AD:AD,MATCH($A95,'Tournament List'!$A:$A,0)),"")</f>
        <v/>
      </c>
      <c r="I95" s="123" t="str">
        <f>IFERROR(INDEX('Tournament List'!AG:AG,MATCH($A95,'Tournament List'!$A:$A,0)),"")</f>
        <v/>
      </c>
      <c r="J95" s="145" t="str">
        <f>IFERROR(INDEX('Tournament List'!Y:Y,MATCH($A95,'Tournament List'!$A:$A,0)),"")</f>
        <v/>
      </c>
      <c r="K95" s="47" t="str">
        <f>IFERROR(INDEX('Tournament List'!S:S,MATCH(A95,'Tournament List'!A:A,0)),"")</f>
        <v/>
      </c>
      <c r="L95" s="47" t="str">
        <f>IF(ISNUMBER(J95),IF(COUNTIFS(L$1:L94,_xlfn.RANK.EQ(J95,J$2:J$111,0))&gt;0,_xlfn.MAXIFS(L$1:L94,J$1:J94,J95)+1,_xlfn.RANK.EQ(J95,J$2:J$111,0)),"")</f>
        <v/>
      </c>
      <c r="M95" s="11" t="str">
        <f>IF(ISNUMBER(I95)=TRUE,IF(I95&gt;0,_xlfn.RANK.EQ(I95,$I$2:$I$111,0),""),"")</f>
        <v/>
      </c>
      <c r="N95" s="56" t="str">
        <f>IF(ISNUMBER(I95),IF(COUNTIFS(N$1:N94,_xlfn.RANK.EQ(I95,I$2:I$111,0))&gt;0,_xlfn.MAXIFS(N$1:N94,I$1:I94,I95)+1,_xlfn.RANK.EQ(I95,I$2:I$111,0)),"")</f>
        <v/>
      </c>
      <c r="O95" s="144" t="str">
        <f>IF(F95&lt;&gt;"Collegiate"=TRUE,$I95,"")</f>
        <v/>
      </c>
      <c r="P95" s="47" t="str">
        <f>IF(ISNUMBER(O95),IF(COUNTIFS(P$1:P94,_xlfn.RANK.EQ(O95,O$2:O$111,0))&gt;0,_xlfn.MAXIFS(P$1:P94,O$1:O94,O95)+1,_xlfn.RANK.EQ(O95,O$2:O$111,0)),"")</f>
        <v/>
      </c>
      <c r="Q95" s="1" t="str">
        <f>IF(ISNUMBER(O95)=TRUE,IF(_xlfn.RANK.EQ(O95,$O$2:$O$111)&lt;='Tournament Setup'!$B$26,_xlfn.RANK.EQ(O95,$O$2:$O$111),""),"")</f>
        <v/>
      </c>
      <c r="R95" s="143" t="str">
        <f>IF(AND($E95="M",SUM($Q95)=0,F95&lt;&gt;"Collegiate")=TRUE,$I95,"")</f>
        <v/>
      </c>
      <c r="S95" s="1" t="str">
        <f>IF(ISNUMBER(R95)=TRUE,IF(_xlfn.RANK.EQ(R95,$R$2:$R$111)&lt;='Tournament Setup'!$B$27,_xlfn.RANK.EQ(R95,$R$2:$R$111),""),"")</f>
        <v/>
      </c>
      <c r="T95" s="143" t="str">
        <f>IF(AND($E95="F",SUM($Q95)=0,F95&lt;&gt;"Collegiate")=TRUE,$I95,"")</f>
        <v/>
      </c>
      <c r="U95" s="12" t="str">
        <f>IF(ISNUMBER(T95)=TRUE,IF(_xlfn.RANK.EQ(T95,$T$2:$T$111)&lt;='Tournament Setup'!$B$28,_xlfn.RANK.EQ(T95,$T$2:$T$111),""),"")</f>
        <v/>
      </c>
      <c r="V95" s="145" t="str">
        <f>IF(AND($G95='Tournament Setup'!$A$53,$J95&lt;&gt;0),$J95,"")</f>
        <v/>
      </c>
      <c r="W95" s="47" t="str">
        <f>IF(ISNUMBER(V95),IF(COUNTIFS(W$1:W94,_xlfn.RANK.EQ(V95,V$2:V$111,0))&gt;0,_xlfn.MAXIFS(W$1:W94,V$1:V94,V95)+1,_xlfn.RANK.EQ(V95,V$2:V$111,0)),"")</f>
        <v/>
      </c>
      <c r="X95" s="1" t="str">
        <f>IF(ISNUMBER(V95)=TRUE,IF(_xlfn.RANK.EQ(V95,$V$2:$V$111)&lt;='Tournament Setup'!$B$53,_xlfn.RANK.EQ(V95,$V$2:$V$111),""),"")</f>
        <v/>
      </c>
      <c r="Y95" s="145" t="str">
        <f>IF(AND($G95='Tournament Setup'!$A$49,$J95&lt;&gt;0),$J95,"")</f>
        <v/>
      </c>
      <c r="Z95" s="47" t="str">
        <f>IF(ISNUMBER(Y95),IF(COUNTIFS(Z$1:Z94,_xlfn.RANK.EQ(Y95,Y$2:Y$111,0))&gt;0,_xlfn.MAXIFS(Z$1:Z94,Y$1:Y94,Y95)+1,_xlfn.RANK.EQ(Y95,Y$2:Y$111,0)),"")</f>
        <v/>
      </c>
      <c r="AA95" s="1" t="str">
        <f>IF(ISNUMBER(Y95)=TRUE,IF(_xlfn.RANK.EQ(Y95,$Y$2:$Y$111)&lt;='Tournament Setup'!$B$49,_xlfn.RANK.EQ(Y95,$Y$2:$Y$111),""),"")</f>
        <v/>
      </c>
      <c r="AB95" s="30" t="str">
        <f>IF(AND($F95='Tournament Setup'!$A$32,SUM($Q95,$S95,$U95)=0),$I95,"")</f>
        <v/>
      </c>
      <c r="AC95" s="47" t="str">
        <f>IF(ISNUMBER(AB95),IF(COUNTIFS(AC$1:AC94,_xlfn.RANK.EQ(AB95,AB$2:AB$111,0))&gt;0,_xlfn.MAXIFS(AC$1:AC94,AB$1:AB94,AB95)+1,_xlfn.RANK.EQ(AB95,AB$2:AB$111,0)),"")</f>
        <v/>
      </c>
      <c r="AD95" s="1" t="str">
        <f>IF(ISNUMBER(AB95)=TRUE,IF(_xlfn.RANK.EQ(AB95,$AB$2:$AB$111)&lt;='Tournament Setup'!$B$32,_xlfn.RANK.EQ(AB95,$AB$2:$AB$111),""),"")</f>
        <v/>
      </c>
      <c r="AE95" s="31" t="str">
        <f>IF(AND($F95='Tournament Setup'!$A$32,SUM($Q95,$S95)=0,$E95="M",$AD95&gt;'Tournament Setup'!$B$32),$I95,"")</f>
        <v/>
      </c>
      <c r="AF95" s="1" t="str">
        <f>IF(ISNUMBER(AE95)=TRUE,IF(_xlfn.RANK.EQ(AE95,$AE$2:$AE$111)&lt;='Tournament Setup'!$C$32,_xlfn.RANK.EQ(AE95,$AE$2:$AE$111),""),"")</f>
        <v/>
      </c>
      <c r="AG95" s="31" t="str">
        <f>IF(AND($F95='Tournament Setup'!$A$32,SUM($Q95,$U95)=0,$E95="F",$AD95&gt;'Tournament Setup'!$B$32),$I95,"")</f>
        <v/>
      </c>
      <c r="AH95" s="12" t="str">
        <f>IF(ISNUMBER(AG95)=TRUE,IF(_xlfn.RANK.EQ(AG95,$AG$2:$AG$111)&lt;='Tournament Setup'!$D$32,_xlfn.RANK.EQ(AG95,$AG$2:$AG$111),""),"")</f>
        <v/>
      </c>
      <c r="AI95" s="30" t="str">
        <f>IF(AND($G95='Tournament Setup'!$A$50,$J95&lt;&gt;0),$J95,"")</f>
        <v/>
      </c>
      <c r="AJ95" s="47" t="str">
        <f>IF(ISNUMBER(AI95),IF(COUNTIFS(AJ$1:AJ94,_xlfn.RANK.EQ(AI95,AI$2:AI$111,0))&gt;0,_xlfn.MAXIFS(AJ$1:AJ94,AI$1:AI94,AI95)+1,_xlfn.RANK.EQ(AI95,AI$2:AI$111,0)),"")</f>
        <v/>
      </c>
      <c r="AK95" s="1" t="str">
        <f>IF(ISNUMBER(AI95)=TRUE,IF(_xlfn.RANK.EQ(AI95,$AI$2:$AI$111)&lt;='Tournament Setup'!$B$49,_xlfn.RANK.EQ(AI95,$AI$2:$AI$111),""),"")</f>
        <v/>
      </c>
      <c r="AL95" s="30" t="str">
        <f>IF(AND($F95='Tournament Setup'!$A$33,SUM($Q95,$S95,$U95)=0),$I95,"")</f>
        <v/>
      </c>
      <c r="AM95" s="47" t="str">
        <f>IF(ISNUMBER(AL95),IF(COUNTIFS(AM$1:AM94,_xlfn.RANK.EQ(AL95,AL$2:AL$111,0))&gt;0,_xlfn.MAXIFS(AM$1:AM94,AL$1:AL94,AL95)+1,_xlfn.RANK.EQ(AL95,AL$2:AL$111,0)),"")</f>
        <v/>
      </c>
      <c r="AN95" s="1" t="str">
        <f>IF(ISNUMBER(AL95)=TRUE,IF(_xlfn.RANK.EQ(AL95,$AL$2:$AL$111)&lt;='Tournament Setup'!$B$33,_xlfn.RANK.EQ(AL95,$AL$2:$AL$111),""),"")</f>
        <v/>
      </c>
      <c r="AO95" s="31" t="str">
        <f>IF(AND($F95='Tournament Setup'!$A$33,SUM($Q95,$S95)=0,$E95="M",$AN95&gt;'Tournament Setup'!$B$33),$I95,"")</f>
        <v/>
      </c>
      <c r="AP95" s="1" t="str">
        <f>IF(ISNUMBER(AO95)=TRUE,IF(_xlfn.RANK.EQ(AO95,$AO$2:$AO$111)&lt;='Tournament Setup'!$C$33,_xlfn.RANK.EQ(AO95,$AO$2:$AO$111),""),"")</f>
        <v/>
      </c>
      <c r="AQ95" s="31" t="str">
        <f>IF(AND($F95='Tournament Setup'!$A$33,SUM($Q95,$U95)=0,$E95="F",$AN95&gt;'Tournament Setup'!$B$33),$I95,"")</f>
        <v/>
      </c>
      <c r="AR95" s="12" t="str">
        <f>IF(ISNUMBER(AQ95)=TRUE,IF(_xlfn.RANK.EQ(AQ95,$AQ$2:$AQ$111)&lt;='Tournament Setup'!$D$33,_xlfn.RANK.EQ(AQ95,$AQ$2:$AQ$111),""),"")</f>
        <v/>
      </c>
      <c r="AS95" s="30" t="str">
        <f>IF(AND($G95='Tournament Setup'!$A$51,$J95&lt;&gt;0),$J95,"")</f>
        <v/>
      </c>
      <c r="AT95" s="47" t="str">
        <f>IF(ISNUMBER(AS95),IF(COUNTIFS(AT$1:AT94,_xlfn.RANK.EQ(AS95,AS$2:AS$111,0))&gt;0,_xlfn.MAXIFS(AT$1:AT94,AS$1:AS94,AS95)+1,_xlfn.RANK.EQ(AS95,AS$2:AS$111,0)),"")</f>
        <v/>
      </c>
      <c r="AU95" s="1" t="str">
        <f>IF(ISNUMBER(AS95)=TRUE,IF(_xlfn.RANK.EQ(AS95,$AS$2:$AS$111)&lt;='Tournament Setup'!$B$49,_xlfn.RANK.EQ(AS95,$AS$2:$AS$111),""),"")</f>
        <v/>
      </c>
      <c r="AV95" s="30" t="str">
        <f>IF(AND($F95='Tournament Setup'!$A$34,SUM($Q95,$S95,$U95)=0),$I95,"")</f>
        <v/>
      </c>
      <c r="AW95" s="47" t="str">
        <f>IF(ISNUMBER(AV95),IF(COUNTIFS(AW$1:AW94,_xlfn.RANK.EQ(AV95,AV$2:AV$111,0))&gt;0,_xlfn.MAXIFS(AW$1:AW94,AV$1:AV94,AV95)+1,_xlfn.RANK.EQ(AV95,AV$2:AV$111,0)),"")</f>
        <v/>
      </c>
      <c r="AX95" s="1" t="str">
        <f>IF(ISNUMBER(AV95)=TRUE,IF(_xlfn.RANK.EQ(AV95,$AV$2:$AV$111)&lt;='Tournament Setup'!$B$34,_xlfn.RANK.EQ(AV95,$AV$2:$AV$111),""),"")</f>
        <v/>
      </c>
      <c r="AY95" s="31" t="str">
        <f>IF(AND($F95='Tournament Setup'!$A$34,SUM($Q95,$S95)=0,$E95="M",$AX95&gt;'Tournament Setup'!$B$34),$I95,"")</f>
        <v/>
      </c>
      <c r="AZ95" s="1" t="str">
        <f>IF(ISNUMBER(AY95)=TRUE,IF(_xlfn.RANK.EQ(AY95,$AY$2:$AY$111)&lt;='Tournament Setup'!$C$34,_xlfn.RANK.EQ(AY95,$AY$2:$AY$111),""),"")</f>
        <v/>
      </c>
      <c r="BA95" s="31" t="str">
        <f>IF(AND($F95='Tournament Setup'!$A$34,SUM($Q95,$U95)=0,$E95="F",$AX95&gt;'Tournament Setup'!$B$34),$I95,"")</f>
        <v/>
      </c>
      <c r="BB95" s="12" t="str">
        <f>IF(ISNUMBER(BA95)=TRUE,IF(_xlfn.RANK.EQ(BA95,$BA$2:$BA$111)&lt;='Tournament Setup'!$D$34,_xlfn.RANK.EQ(BA95,$BA$2:$BA$111),""),"")</f>
        <v/>
      </c>
      <c r="BC95" s="30" t="str">
        <f>IF(AND($G95='Tournament Setup'!$A$52,$J95&lt;&gt;0),$J95,"")</f>
        <v/>
      </c>
      <c r="BD95" s="47" t="str">
        <f>IF(ISNUMBER(BC95),IF(COUNTIFS(BD$1:BD94,_xlfn.RANK.EQ(BC95,BC$2:BC$111,0))&gt;0,_xlfn.MAXIFS(BD$1:BD94,BC$1:BC94,BC95)+1,_xlfn.RANK.EQ(BC95,BC$2:BC$111,0)),"")</f>
        <v/>
      </c>
      <c r="BE95" s="1" t="str">
        <f>IF(ISNUMBER(BC95)=TRUE,IF(_xlfn.RANK.EQ(BC95,$BC$2:$BC$111)&lt;='Tournament Setup'!$B$49,_xlfn.RANK.EQ(BC95,$BC$2:$BC$111),""),"")</f>
        <v/>
      </c>
      <c r="BF95" s="30" t="str">
        <f>IF(AND($F95='Tournament Setup'!$A$35,SUM($Q95,$S95,$U95)=0),$I95,"")</f>
        <v/>
      </c>
      <c r="BG95" s="47" t="str">
        <f>IF(ISNUMBER(BF95),IF(COUNTIFS(BG$1:BG94,_xlfn.RANK.EQ(BF95,BF$2:BF$111,0))&gt;0,_xlfn.MAXIFS(BG$1:BG94,BF$1:BF94,BF95)+1,_xlfn.RANK.EQ(BF95,BF$2:BF$111,0)),"")</f>
        <v/>
      </c>
      <c r="BH95" s="1" t="str">
        <f>IF(ISNUMBER(BF95)=TRUE,IF(_xlfn.RANK.EQ(BF95,$BF$2:$BF$111)&lt;='Tournament Setup'!$B$35,_xlfn.RANK.EQ(BF95,$BF$2:$BF$111),""),"")</f>
        <v/>
      </c>
      <c r="BI95" s="31" t="str">
        <f>IF(AND($F95='Tournament Setup'!$A$35,SUM($Q95,$S95)=0,$E95="M",$BH95&gt;'Tournament Setup'!$B$35),$I95,"")</f>
        <v/>
      </c>
      <c r="BJ95" s="1" t="str">
        <f>IF(ISNUMBER(BI95)=TRUE,IF(_xlfn.RANK.EQ(BI95,$BI$2:$BI$111)&lt;='Tournament Setup'!$C$35,_xlfn.RANK.EQ(BI95,$BI$2:$BI$111),""),"")</f>
        <v/>
      </c>
      <c r="BK95" s="31" t="str">
        <f>IF(AND($F95='Tournament Setup'!$A$35,SUM($Q95,$U95)=0,$E95="F",$BH95&gt;'Tournament Setup'!$B$35),$I95,"")</f>
        <v/>
      </c>
      <c r="BL95" s="12" t="str">
        <f>IF(ISNUMBER(BK95)=TRUE,IF(_xlfn.RANK.EQ(BK95,$BK$2:$BK$111)&lt;='Tournament Setup'!$D$35,_xlfn.RANK.EQ(BK95,$BK$2:$BK$111),""),"")</f>
        <v/>
      </c>
      <c r="BM95" s="30" t="str">
        <f>IF(AND($G95='Tournament Setup'!$A$54,$J95&lt;&gt;0),$J95,"")</f>
        <v/>
      </c>
      <c r="BN95" s="47" t="str">
        <f>IF(ISNUMBER(BM95),IF(COUNTIFS(BN$1:BN94,_xlfn.RANK.EQ(BM95,BM$2:BM$111,0))&gt;0,_xlfn.MAXIFS(BN$1:BN94,BM$1:BM94,BM95)+1,_xlfn.RANK.EQ(BM95,BM$2:BM$111,0)),"")</f>
        <v/>
      </c>
      <c r="BO95" s="1" t="str">
        <f>IF(ISNUMBER(BM95)=TRUE,IF(_xlfn.RANK.EQ(BM95,$BM$2:$BM$111)&lt;='Tournament Setup'!$B$49,_xlfn.RANK.EQ(BM95,$BM$2:$BM$111),""),"")</f>
        <v/>
      </c>
      <c r="BP95" s="30" t="str">
        <f>IF(AND($F95='Tournament Setup'!$A$36,SUM($Q95,$S95,$U95)=0),$I95,"")</f>
        <v/>
      </c>
      <c r="BQ95" s="47" t="str">
        <f>IF(ISNUMBER(BP95),IF(COUNTIFS(BQ$1:BQ94,_xlfn.RANK.EQ(BP95,BP$2:BP$111,0))&gt;0,_xlfn.MAXIFS(BQ$1:BQ94,BP$1:BP94,BP95)+1,_xlfn.RANK.EQ(BP95,BP$2:BP$111,0)),"")</f>
        <v/>
      </c>
      <c r="BR95" s="1" t="str">
        <f>IF(ISNUMBER(BP95)=TRUE,IF(_xlfn.RANK.EQ(BP95,$BP$2:$BP$111)&lt;='Tournament Setup'!$B$36,_xlfn.RANK.EQ(BP95,$BP$2:$BP$111),""),"")</f>
        <v/>
      </c>
      <c r="BS95" s="31" t="str">
        <f>IF(AND($F95='Tournament Setup'!$A$36,SUM($Q95,$S95)=0,$E95="M",$BR95&gt;'Tournament Setup'!$B$36),$I95,"")</f>
        <v/>
      </c>
      <c r="BT95" s="1" t="str">
        <f>IF(ISNUMBER(BS95)=TRUE,IF(_xlfn.RANK.EQ(BS95,$BS$2:$BS$111)&lt;='Tournament Setup'!$C$36,_xlfn.RANK.EQ(BS95,$BS$2:$BS$111),""),"")</f>
        <v/>
      </c>
      <c r="BU95" s="31" t="str">
        <f>IF(AND($F95='Tournament Setup'!$A$36,SUM($Q95,$U95)=0,$E95="F",$BR95&gt;'Tournament Setup'!$B$36),$I95,"")</f>
        <v/>
      </c>
      <c r="BV95" s="12" t="str">
        <f>IF(ISNUMBER(BU95)=TRUE,IF(_xlfn.RANK.EQ(BU95,$BU$2:$BU$111)&lt;='Tournament Setup'!$D$36,_xlfn.RANK.EQ(BU95,$BU$2:$BU$111),""),"")</f>
        <v/>
      </c>
      <c r="BW95" s="30" t="str">
        <f>IF($H95='Tournament Setup'!$A$41,$I95,"")</f>
        <v/>
      </c>
      <c r="BX95" s="47" t="str">
        <f>IF(ISNUMBER(BW95),IF(COUNTIFS(BX$1:BX94,_xlfn.RANK.EQ(BW95,BW$2:BW$111,0))&gt;0,_xlfn.MAXIFS(BX$1:BX94,BW$1:BW94,BW95)+1,_xlfn.RANK.EQ(BW95,BW$2:BW$111,0)),"")</f>
        <v/>
      </c>
      <c r="BY95" s="1" t="str">
        <f>IF(ISNUMBER(BW95)=TRUE,IF(_xlfn.RANK.EQ(BW95,$BW$2:$BW$111)&lt;='Tournament Setup'!$B$41,_xlfn.RANK.EQ(BW95,$BW$2:$BW$111),""),"")</f>
        <v/>
      </c>
      <c r="BZ95" s="31" t="str">
        <f>IF(AND($H95='Tournament Setup'!$A$41,$E95="M",$BY95&gt;'Tournament Setup'!$B$41),$I95,"")</f>
        <v/>
      </c>
      <c r="CA95" s="1" t="str">
        <f>IF(ISNUMBER(BZ95)=TRUE,IF(_xlfn.RANK.EQ(BZ95,$BZ$2:$BZ$111)&lt;='Tournament Setup'!$C$41,_xlfn.RANK.EQ(BZ95,$BZ$2:$BZ$111),""),"")</f>
        <v/>
      </c>
      <c r="CB95" s="31" t="str">
        <f>IF(AND($H95='Tournament Setup'!$A$41,$E95="F",$BY95&gt;'Tournament Setup'!$B$41),$I95,"")</f>
        <v/>
      </c>
      <c r="CC95" s="12" t="str">
        <f>IF(ISNUMBER(CB95)=TRUE,IF(_xlfn.RANK.EQ(CB95,$CB$2:$CB$111)&lt;='Tournament Setup'!$D$41,_xlfn.RANK.EQ(CB95,$CB$2:$CB$111),""),"")</f>
        <v/>
      </c>
      <c r="CD95" s="30" t="str">
        <f>IF($H95='Tournament Setup'!$A$42,$I95,"")</f>
        <v/>
      </c>
      <c r="CE95" s="47" t="str">
        <f>IF(ISNUMBER(CD95),IF(COUNTIFS(CE$1:CE94,_xlfn.RANK.EQ(CD95,CD$2:CD$111,0))&gt;0,_xlfn.MAXIFS(CE$1:CE94,CD$1:CD94,CD95)+1,_xlfn.RANK.EQ(CD95,CD$2:CD$111,0)),"")</f>
        <v/>
      </c>
      <c r="CF95" s="1" t="str">
        <f>IF(ISNUMBER(CD95)=TRUE,IF(_xlfn.RANK.EQ(CD95,$CD$2:$CD$111)&lt;='Tournament Setup'!$B$42,_xlfn.RANK.EQ(CD95,$CD$2:$CD$111),""),"")</f>
        <v/>
      </c>
      <c r="CG95" s="31" t="str">
        <f>IF(AND($H95='Tournament Setup'!$A$42,$E95="M",$CF95&gt;'Tournament Setup'!$B$42),$I95,"")</f>
        <v/>
      </c>
      <c r="CH95" s="1" t="str">
        <f>IF(ISNUMBER(CG95)=TRUE,IF(_xlfn.RANK.EQ(CG95,$CG$2:$CG$111)&lt;='Tournament Setup'!$C$42,_xlfn.RANK.EQ(CG95,$CG$2:$CG$111),""),"")</f>
        <v/>
      </c>
      <c r="CI95" s="31" t="str">
        <f>IF(AND($H95='Tournament Setup'!$A$42,$E95="F",$CF95&gt;'Tournament Setup'!$B$42),$I95,"")</f>
        <v/>
      </c>
      <c r="CJ95" s="12" t="str">
        <f>IF(ISNUMBER(CI95)=TRUE,IF(_xlfn.RANK.EQ(CI95,$CI$2:$CI$111)&lt;='Tournament Setup'!$D$42,_xlfn.RANK.EQ(CI95,$CI$2:$CI$111),""),"")</f>
        <v/>
      </c>
      <c r="CK95" s="30" t="str">
        <f>IF($H95='Tournament Setup'!$A$43,$I95,"")</f>
        <v/>
      </c>
      <c r="CL95" s="47" t="str">
        <f>IF(ISNUMBER(CK95),IF(COUNTIFS(CL$1:CL94,_xlfn.RANK.EQ(CK95,CK$2:CK$111,0))&gt;0,_xlfn.MAXIFS(CL$1:CL94,CK$1:CK94,CK95)+1,_xlfn.RANK.EQ(CK95,CK$2:CK$111,0)),"")</f>
        <v/>
      </c>
      <c r="CM95" s="1" t="str">
        <f>IF(ISNUMBER(CK95)=TRUE,IF(_xlfn.RANK.EQ(CK95,$CK$2:$CK$111)&lt;='Tournament Setup'!$B$43,_xlfn.RANK.EQ(CK95,$CK$2:$CK$111),""),"")</f>
        <v/>
      </c>
      <c r="CN95" s="31" t="str">
        <f>IF(AND($H95='Tournament Setup'!$A$43,$E95="M",$CM95&gt;'Tournament Setup'!$B$43),$I95,"")</f>
        <v/>
      </c>
      <c r="CO95" s="1" t="str">
        <f>IF(ISNUMBER(CN95)=TRUE,IF(_xlfn.RANK.EQ(CN95,$CN$2:$CN$111)&lt;='Tournament Setup'!$C$43,_xlfn.RANK.EQ(CN95,$CN$2:$CN$111),""),"")</f>
        <v/>
      </c>
      <c r="CP95" s="31" t="str">
        <f>IF(AND($H95='Tournament Setup'!$A$43,$E95="F",$CM95&gt;'Tournament Setup'!$B$43),$I95,"")</f>
        <v/>
      </c>
      <c r="CQ95" s="12" t="str">
        <f>IF(ISNUMBER(CP95)=TRUE,IF(_xlfn.RANK.EQ(CP95,$CP$2:$CP$111)&lt;='Tournament Setup'!$D$43,_xlfn.RANK.EQ(CP95,$CP$2:$CP$111),""),"")</f>
        <v/>
      </c>
      <c r="CR95" s="30" t="str">
        <f>IF($H95='Tournament Setup'!$A$44,$I95,"")</f>
        <v/>
      </c>
      <c r="CS95" s="47" t="str">
        <f>IF(ISNUMBER(CR95),IF(COUNTIFS(CS$1:CS94,_xlfn.RANK.EQ(CR95,CR$2:CR$111,0))&gt;0,_xlfn.MAXIFS(CS$1:CS94,CR$1:CR94,CR95)+1,_xlfn.RANK.EQ(CR95,CR$2:CR$111,0)),"")</f>
        <v/>
      </c>
      <c r="CT95" s="1" t="str">
        <f>IF(ISNUMBER(CR95)=TRUE,IF(_xlfn.RANK.EQ(CR95,$CR$2:$CR$111)&lt;='Tournament Setup'!$B$44,_xlfn.RANK.EQ(CR95,$CR$2:$CR$111),""),"")</f>
        <v/>
      </c>
      <c r="CU95" s="31" t="str">
        <f>IF(AND($H95='Tournament Setup'!$A$44,$E95="M",$CT95&gt;'Tournament Setup'!$B$44),$I95,"")</f>
        <v/>
      </c>
      <c r="CV95" s="1" t="str">
        <f>IF(ISNUMBER(CU95)=TRUE,IF(_xlfn.RANK.EQ(CU95,$CU$2:$CU$111)&lt;='Tournament Setup'!$C$44,_xlfn.RANK.EQ(CU95,$CU$2:$CU$111),""),"")</f>
        <v/>
      </c>
      <c r="CW95" s="31" t="str">
        <f>IF(AND($H95='Tournament Setup'!$A$44,$E95="F",$CT95&gt;'Tournament Setup'!$B$44),$I95,"")</f>
        <v/>
      </c>
      <c r="CX95" s="12" t="str">
        <f>IF(ISNUMBER(CW95)=TRUE,IF(_xlfn.RANK.EQ(CW95,$CW$2:$CW$111)&lt;='Tournament Setup'!$D$44,_xlfn.RANK.EQ(CW95,$CW$2:$CW$111),""),"")</f>
        <v/>
      </c>
    </row>
    <row r="96" spans="2:102" x14ac:dyDescent="0.3">
      <c r="B96" t="str">
        <f>IFERROR(INDEX('Tournament List'!$B:$B,MATCH($A96,'Tournament List'!$A:$A,0)),"")</f>
        <v/>
      </c>
      <c r="C96" t="str">
        <f>IFERROR(INDEX('Tournament List'!$C:$C,MATCH($A96,'Tournament List'!$A:$A,0)),"")</f>
        <v/>
      </c>
      <c r="D96" t="str">
        <f t="shared" si="3"/>
        <v xml:space="preserve"> </v>
      </c>
      <c r="E96" s="1" t="str">
        <f>IFERROR(INDEX('Tournament List'!F:F,MATCH($A96,'Tournament List'!$A:$A,0)),"")</f>
        <v/>
      </c>
      <c r="F96" t="str">
        <f>IFERROR(INDEX('Tournament List'!M:M,MATCH($A96,'Tournament List'!$A:$A,0)),"")</f>
        <v/>
      </c>
      <c r="G96" t="str">
        <f>IFERROR(INDEX('Shooter-Squad Assignment'!L:L,MATCH(A96,'Shooter-Squad Assignment'!A:A,0)),"")</f>
        <v/>
      </c>
      <c r="H96" s="1" t="str">
        <f>IFERROR(INDEX('Tournament List'!AD:AD,MATCH($A96,'Tournament List'!$A:$A,0)),"")</f>
        <v/>
      </c>
      <c r="I96" s="123" t="str">
        <f>IFERROR(INDEX('Tournament List'!AG:AG,MATCH($A96,'Tournament List'!$A:$A,0)),"")</f>
        <v/>
      </c>
      <c r="J96" s="145" t="str">
        <f>IFERROR(INDEX('Tournament List'!Y:Y,MATCH($A96,'Tournament List'!$A:$A,0)),"")</f>
        <v/>
      </c>
      <c r="K96" s="47" t="str">
        <f>IFERROR(INDEX('Tournament List'!S:S,MATCH(A96,'Tournament List'!A:A,0)),"")</f>
        <v/>
      </c>
      <c r="L96" s="47" t="str">
        <f>IF(ISNUMBER(J96),IF(COUNTIFS(L$1:L95,_xlfn.RANK.EQ(J96,J$2:J$111,0))&gt;0,_xlfn.MAXIFS(L$1:L95,J$1:J95,J96)+1,_xlfn.RANK.EQ(J96,J$2:J$111,0)),"")</f>
        <v/>
      </c>
      <c r="M96" s="11" t="str">
        <f>IF(ISNUMBER(I96)=TRUE,IF(I96&gt;0,_xlfn.RANK.EQ(I96,$I$2:$I$111,0),""),"")</f>
        <v/>
      </c>
      <c r="N96" s="56" t="str">
        <f>IF(ISNUMBER(I96),IF(COUNTIFS(N$1:N95,_xlfn.RANK.EQ(I96,I$2:I$111,0))&gt;0,_xlfn.MAXIFS(N$1:N95,I$1:I95,I96)+1,_xlfn.RANK.EQ(I96,I$2:I$111,0)),"")</f>
        <v/>
      </c>
      <c r="O96" s="144" t="str">
        <f>IF(F96&lt;&gt;"Collegiate"=TRUE,$I96,"")</f>
        <v/>
      </c>
      <c r="P96" s="47" t="str">
        <f>IF(ISNUMBER(O96),IF(COUNTIFS(P$1:P95,_xlfn.RANK.EQ(O96,O$2:O$111,0))&gt;0,_xlfn.MAXIFS(P$1:P95,O$1:O95,O96)+1,_xlfn.RANK.EQ(O96,O$2:O$111,0)),"")</f>
        <v/>
      </c>
      <c r="Q96" s="1" t="str">
        <f>IF(ISNUMBER(O96)=TRUE,IF(_xlfn.RANK.EQ(O96,$O$2:$O$111)&lt;='Tournament Setup'!$B$26,_xlfn.RANK.EQ(O96,$O$2:$O$111),""),"")</f>
        <v/>
      </c>
      <c r="R96" s="143" t="str">
        <f>IF(AND($E96="M",SUM($Q96)=0,F96&lt;&gt;"Collegiate")=TRUE,$I96,"")</f>
        <v/>
      </c>
      <c r="S96" s="1" t="str">
        <f>IF(ISNUMBER(R96)=TRUE,IF(_xlfn.RANK.EQ(R96,$R$2:$R$111)&lt;='Tournament Setup'!$B$27,_xlfn.RANK.EQ(R96,$R$2:$R$111),""),"")</f>
        <v/>
      </c>
      <c r="T96" s="143" t="str">
        <f>IF(AND($E96="F",SUM($Q96)=0,F96&lt;&gt;"Collegiate")=TRUE,$I96,"")</f>
        <v/>
      </c>
      <c r="U96" s="12" t="str">
        <f>IF(ISNUMBER(T96)=TRUE,IF(_xlfn.RANK.EQ(T96,$T$2:$T$111)&lt;='Tournament Setup'!$B$28,_xlfn.RANK.EQ(T96,$T$2:$T$111),""),"")</f>
        <v/>
      </c>
      <c r="V96" s="145" t="str">
        <f>IF(AND($G96='Tournament Setup'!$A$53,$J96&lt;&gt;0),$J96,"")</f>
        <v/>
      </c>
      <c r="W96" s="47" t="str">
        <f>IF(ISNUMBER(V96),IF(COUNTIFS(W$1:W95,_xlfn.RANK.EQ(V96,V$2:V$111,0))&gt;0,_xlfn.MAXIFS(W$1:W95,V$1:V95,V96)+1,_xlfn.RANK.EQ(V96,V$2:V$111,0)),"")</f>
        <v/>
      </c>
      <c r="X96" s="1" t="str">
        <f>IF(ISNUMBER(V96)=TRUE,IF(_xlfn.RANK.EQ(V96,$V$2:$V$111)&lt;='Tournament Setup'!$B$53,_xlfn.RANK.EQ(V96,$V$2:$V$111),""),"")</f>
        <v/>
      </c>
      <c r="Y96" s="145" t="str">
        <f>IF(AND($G96='Tournament Setup'!$A$49,$J96&lt;&gt;0),$J96,"")</f>
        <v/>
      </c>
      <c r="Z96" s="47" t="str">
        <f>IF(ISNUMBER(Y96),IF(COUNTIFS(Z$1:Z95,_xlfn.RANK.EQ(Y96,Y$2:Y$111,0))&gt;0,_xlfn.MAXIFS(Z$1:Z95,Y$1:Y95,Y96)+1,_xlfn.RANK.EQ(Y96,Y$2:Y$111,0)),"")</f>
        <v/>
      </c>
      <c r="AA96" s="1" t="str">
        <f>IF(ISNUMBER(Y96)=TRUE,IF(_xlfn.RANK.EQ(Y96,$Y$2:$Y$111)&lt;='Tournament Setup'!$B$49,_xlfn.RANK.EQ(Y96,$Y$2:$Y$111),""),"")</f>
        <v/>
      </c>
      <c r="AB96" s="30" t="str">
        <f>IF(AND($F96='Tournament Setup'!$A$32,SUM($Q96,$S96,$U96)=0),$I96,"")</f>
        <v/>
      </c>
      <c r="AC96" s="47" t="str">
        <f>IF(ISNUMBER(AB96),IF(COUNTIFS(AC$1:AC95,_xlfn.RANK.EQ(AB96,AB$2:AB$111,0))&gt;0,_xlfn.MAXIFS(AC$1:AC95,AB$1:AB95,AB96)+1,_xlfn.RANK.EQ(AB96,AB$2:AB$111,0)),"")</f>
        <v/>
      </c>
      <c r="AD96" s="1" t="str">
        <f>IF(ISNUMBER(AB96)=TRUE,IF(_xlfn.RANK.EQ(AB96,$AB$2:$AB$111)&lt;='Tournament Setup'!$B$32,_xlfn.RANK.EQ(AB96,$AB$2:$AB$111),""),"")</f>
        <v/>
      </c>
      <c r="AE96" s="31" t="str">
        <f>IF(AND($F96='Tournament Setup'!$A$32,SUM($Q96,$S96)=0,$E96="M",$AD96&gt;'Tournament Setup'!$B$32),$I96,"")</f>
        <v/>
      </c>
      <c r="AF96" s="1" t="str">
        <f>IF(ISNUMBER(AE96)=TRUE,IF(_xlfn.RANK.EQ(AE96,$AE$2:$AE$111)&lt;='Tournament Setup'!$C$32,_xlfn.RANK.EQ(AE96,$AE$2:$AE$111),""),"")</f>
        <v/>
      </c>
      <c r="AG96" s="31" t="str">
        <f>IF(AND($F96='Tournament Setup'!$A$32,SUM($Q96,$U96)=0,$E96="F",$AD96&gt;'Tournament Setup'!$B$32),$I96,"")</f>
        <v/>
      </c>
      <c r="AH96" s="12" t="str">
        <f>IF(ISNUMBER(AG96)=TRUE,IF(_xlfn.RANK.EQ(AG96,$AG$2:$AG$111)&lt;='Tournament Setup'!$D$32,_xlfn.RANK.EQ(AG96,$AG$2:$AG$111),""),"")</f>
        <v/>
      </c>
      <c r="AI96" s="30" t="str">
        <f>IF(AND($G96='Tournament Setup'!$A$50,$J96&lt;&gt;0),$J96,"")</f>
        <v/>
      </c>
      <c r="AJ96" s="47" t="str">
        <f>IF(ISNUMBER(AI96),IF(COUNTIFS(AJ$1:AJ95,_xlfn.RANK.EQ(AI96,AI$2:AI$111,0))&gt;0,_xlfn.MAXIFS(AJ$1:AJ95,AI$1:AI95,AI96)+1,_xlfn.RANK.EQ(AI96,AI$2:AI$111,0)),"")</f>
        <v/>
      </c>
      <c r="AK96" s="1" t="str">
        <f>IF(ISNUMBER(AI96)=TRUE,IF(_xlfn.RANK.EQ(AI96,$AI$2:$AI$111)&lt;='Tournament Setup'!$B$49,_xlfn.RANK.EQ(AI96,$AI$2:$AI$111),""),"")</f>
        <v/>
      </c>
      <c r="AL96" s="30" t="str">
        <f>IF(AND($F96='Tournament Setup'!$A$33,SUM($Q96,$S96,$U96)=0),$I96,"")</f>
        <v/>
      </c>
      <c r="AM96" s="47" t="str">
        <f>IF(ISNUMBER(AL96),IF(COUNTIFS(AM$1:AM95,_xlfn.RANK.EQ(AL96,AL$2:AL$111,0))&gt;0,_xlfn.MAXIFS(AM$1:AM95,AL$1:AL95,AL96)+1,_xlfn.RANK.EQ(AL96,AL$2:AL$111,0)),"")</f>
        <v/>
      </c>
      <c r="AN96" s="1" t="str">
        <f>IF(ISNUMBER(AL96)=TRUE,IF(_xlfn.RANK.EQ(AL96,$AL$2:$AL$111)&lt;='Tournament Setup'!$B$33,_xlfn.RANK.EQ(AL96,$AL$2:$AL$111),""),"")</f>
        <v/>
      </c>
      <c r="AO96" s="31" t="str">
        <f>IF(AND($F96='Tournament Setup'!$A$33,SUM($Q96,$S96)=0,$E96="M",$AN96&gt;'Tournament Setup'!$B$33),$I96,"")</f>
        <v/>
      </c>
      <c r="AP96" s="1" t="str">
        <f>IF(ISNUMBER(AO96)=TRUE,IF(_xlfn.RANK.EQ(AO96,$AO$2:$AO$111)&lt;='Tournament Setup'!$C$33,_xlfn.RANK.EQ(AO96,$AO$2:$AO$111),""),"")</f>
        <v/>
      </c>
      <c r="AQ96" s="31" t="str">
        <f>IF(AND($F96='Tournament Setup'!$A$33,SUM($Q96,$U96)=0,$E96="F",$AN96&gt;'Tournament Setup'!$B$33),$I96,"")</f>
        <v/>
      </c>
      <c r="AR96" s="12" t="str">
        <f>IF(ISNUMBER(AQ96)=TRUE,IF(_xlfn.RANK.EQ(AQ96,$AQ$2:$AQ$111)&lt;='Tournament Setup'!$D$33,_xlfn.RANK.EQ(AQ96,$AQ$2:$AQ$111),""),"")</f>
        <v/>
      </c>
      <c r="AS96" s="30" t="str">
        <f>IF(AND($G96='Tournament Setup'!$A$51,$J96&lt;&gt;0),$J96,"")</f>
        <v/>
      </c>
      <c r="AT96" s="47" t="str">
        <f>IF(ISNUMBER(AS96),IF(COUNTIFS(AT$1:AT95,_xlfn.RANK.EQ(AS96,AS$2:AS$111,0))&gt;0,_xlfn.MAXIFS(AT$1:AT95,AS$1:AS95,AS96)+1,_xlfn.RANK.EQ(AS96,AS$2:AS$111,0)),"")</f>
        <v/>
      </c>
      <c r="AU96" s="1" t="str">
        <f>IF(ISNUMBER(AS96)=TRUE,IF(_xlfn.RANK.EQ(AS96,$AS$2:$AS$111)&lt;='Tournament Setup'!$B$49,_xlfn.RANK.EQ(AS96,$AS$2:$AS$111),""),"")</f>
        <v/>
      </c>
      <c r="AV96" s="30" t="str">
        <f>IF(AND($F96='Tournament Setup'!$A$34,SUM($Q96,$S96,$U96)=0),$I96,"")</f>
        <v/>
      </c>
      <c r="AW96" s="47" t="str">
        <f>IF(ISNUMBER(AV96),IF(COUNTIFS(AW$1:AW95,_xlfn.RANK.EQ(AV96,AV$2:AV$111,0))&gt;0,_xlfn.MAXIFS(AW$1:AW95,AV$1:AV95,AV96)+1,_xlfn.RANK.EQ(AV96,AV$2:AV$111,0)),"")</f>
        <v/>
      </c>
      <c r="AX96" s="1" t="str">
        <f>IF(ISNUMBER(AV96)=TRUE,IF(_xlfn.RANK.EQ(AV96,$AV$2:$AV$111)&lt;='Tournament Setup'!$B$34,_xlfn.RANK.EQ(AV96,$AV$2:$AV$111),""),"")</f>
        <v/>
      </c>
      <c r="AY96" s="31" t="str">
        <f>IF(AND($F96='Tournament Setup'!$A$34,SUM($Q96,$S96)=0,$E96="M",$AX96&gt;'Tournament Setup'!$B$34),$I96,"")</f>
        <v/>
      </c>
      <c r="AZ96" s="1" t="str">
        <f>IF(ISNUMBER(AY96)=TRUE,IF(_xlfn.RANK.EQ(AY96,$AY$2:$AY$111)&lt;='Tournament Setup'!$C$34,_xlfn.RANK.EQ(AY96,$AY$2:$AY$111),""),"")</f>
        <v/>
      </c>
      <c r="BA96" s="31" t="str">
        <f>IF(AND($F96='Tournament Setup'!$A$34,SUM($Q96,$U96)=0,$E96="F",$AX96&gt;'Tournament Setup'!$B$34),$I96,"")</f>
        <v/>
      </c>
      <c r="BB96" s="12" t="str">
        <f>IF(ISNUMBER(BA96)=TRUE,IF(_xlfn.RANK.EQ(BA96,$BA$2:$BA$111)&lt;='Tournament Setup'!$D$34,_xlfn.RANK.EQ(BA96,$BA$2:$BA$111),""),"")</f>
        <v/>
      </c>
      <c r="BC96" s="30" t="str">
        <f>IF(AND($G96='Tournament Setup'!$A$52,$J96&lt;&gt;0),$J96,"")</f>
        <v/>
      </c>
      <c r="BD96" s="47" t="str">
        <f>IF(ISNUMBER(BC96),IF(COUNTIFS(BD$1:BD95,_xlfn.RANK.EQ(BC96,BC$2:BC$111,0))&gt;0,_xlfn.MAXIFS(BD$1:BD95,BC$1:BC95,BC96)+1,_xlfn.RANK.EQ(BC96,BC$2:BC$111,0)),"")</f>
        <v/>
      </c>
      <c r="BE96" s="1" t="str">
        <f>IF(ISNUMBER(BC96)=TRUE,IF(_xlfn.RANK.EQ(BC96,$BC$2:$BC$111)&lt;='Tournament Setup'!$B$49,_xlfn.RANK.EQ(BC96,$BC$2:$BC$111),""),"")</f>
        <v/>
      </c>
      <c r="BF96" s="30" t="str">
        <f>IF(AND($F96='Tournament Setup'!$A$35,SUM($Q96,$S96,$U96)=0),$I96,"")</f>
        <v/>
      </c>
      <c r="BG96" s="47" t="str">
        <f>IF(ISNUMBER(BF96),IF(COUNTIFS(BG$1:BG95,_xlfn.RANK.EQ(BF96,BF$2:BF$111,0))&gt;0,_xlfn.MAXIFS(BG$1:BG95,BF$1:BF95,BF96)+1,_xlfn.RANK.EQ(BF96,BF$2:BF$111,0)),"")</f>
        <v/>
      </c>
      <c r="BH96" s="1" t="str">
        <f>IF(ISNUMBER(BF96)=TRUE,IF(_xlfn.RANK.EQ(BF96,$BF$2:$BF$111)&lt;='Tournament Setup'!$B$35,_xlfn.RANK.EQ(BF96,$BF$2:$BF$111),""),"")</f>
        <v/>
      </c>
      <c r="BI96" s="31" t="str">
        <f>IF(AND($F96='Tournament Setup'!$A$35,SUM($Q96,$S96)=0,$E96="M",$BH96&gt;'Tournament Setup'!$B$35),$I96,"")</f>
        <v/>
      </c>
      <c r="BJ96" s="1" t="str">
        <f>IF(ISNUMBER(BI96)=TRUE,IF(_xlfn.RANK.EQ(BI96,$BI$2:$BI$111)&lt;='Tournament Setup'!$C$35,_xlfn.RANK.EQ(BI96,$BI$2:$BI$111),""),"")</f>
        <v/>
      </c>
      <c r="BK96" s="31" t="str">
        <f>IF(AND($F96='Tournament Setup'!$A$35,SUM($Q96,$U96)=0,$E96="F",$BH96&gt;'Tournament Setup'!$B$35),$I96,"")</f>
        <v/>
      </c>
      <c r="BL96" s="12" t="str">
        <f>IF(ISNUMBER(BK96)=TRUE,IF(_xlfn.RANK.EQ(BK96,$BK$2:$BK$111)&lt;='Tournament Setup'!$D$35,_xlfn.RANK.EQ(BK96,$BK$2:$BK$111),""),"")</f>
        <v/>
      </c>
      <c r="BM96" s="30" t="str">
        <f>IF(AND($G96='Tournament Setup'!$A$54,$J96&lt;&gt;0),$J96,"")</f>
        <v/>
      </c>
      <c r="BN96" s="47" t="str">
        <f>IF(ISNUMBER(BM96),IF(COUNTIFS(BN$1:BN95,_xlfn.RANK.EQ(BM96,BM$2:BM$111,0))&gt;0,_xlfn.MAXIFS(BN$1:BN95,BM$1:BM95,BM96)+1,_xlfn.RANK.EQ(BM96,BM$2:BM$111,0)),"")</f>
        <v/>
      </c>
      <c r="BO96" s="1" t="str">
        <f>IF(ISNUMBER(BM96)=TRUE,IF(_xlfn.RANK.EQ(BM96,$BM$2:$BM$111)&lt;='Tournament Setup'!$B$49,_xlfn.RANK.EQ(BM96,$BM$2:$BM$111),""),"")</f>
        <v/>
      </c>
      <c r="BP96" s="30" t="str">
        <f>IF(AND($F96='Tournament Setup'!$A$36,SUM($Q96,$S96,$U96)=0),$I96,"")</f>
        <v/>
      </c>
      <c r="BQ96" s="47" t="str">
        <f>IF(ISNUMBER(BP96),IF(COUNTIFS(BQ$1:BQ95,_xlfn.RANK.EQ(BP96,BP$2:BP$111,0))&gt;0,_xlfn.MAXIFS(BQ$1:BQ95,BP$1:BP95,BP96)+1,_xlfn.RANK.EQ(BP96,BP$2:BP$111,0)),"")</f>
        <v/>
      </c>
      <c r="BR96" s="1" t="str">
        <f>IF(ISNUMBER(BP96)=TRUE,IF(_xlfn.RANK.EQ(BP96,$BP$2:$BP$111)&lt;='Tournament Setup'!$B$36,_xlfn.RANK.EQ(BP96,$BP$2:$BP$111),""),"")</f>
        <v/>
      </c>
      <c r="BS96" s="31" t="str">
        <f>IF(AND($F96='Tournament Setup'!$A$36,SUM($Q96,$S96)=0,$E96="M",$BR96&gt;'Tournament Setup'!$B$36),$I96,"")</f>
        <v/>
      </c>
      <c r="BT96" s="1" t="str">
        <f>IF(ISNUMBER(BS96)=TRUE,IF(_xlfn.RANK.EQ(BS96,$BS$2:$BS$111)&lt;='Tournament Setup'!$C$36,_xlfn.RANK.EQ(BS96,$BS$2:$BS$111),""),"")</f>
        <v/>
      </c>
      <c r="BU96" s="31" t="str">
        <f>IF(AND($F96='Tournament Setup'!$A$36,SUM($Q96,$U96)=0,$E96="F",$BR96&gt;'Tournament Setup'!$B$36),$I96,"")</f>
        <v/>
      </c>
      <c r="BV96" s="12" t="str">
        <f>IF(ISNUMBER(BU96)=TRUE,IF(_xlfn.RANK.EQ(BU96,$BU$2:$BU$111)&lt;='Tournament Setup'!$D$36,_xlfn.RANK.EQ(BU96,$BU$2:$BU$111),""),"")</f>
        <v/>
      </c>
      <c r="BW96" s="30" t="str">
        <f>IF($H96='Tournament Setup'!$A$41,$I96,"")</f>
        <v/>
      </c>
      <c r="BX96" s="47" t="str">
        <f>IF(ISNUMBER(BW96),IF(COUNTIFS(BX$1:BX95,_xlfn.RANK.EQ(BW96,BW$2:BW$111,0))&gt;0,_xlfn.MAXIFS(BX$1:BX95,BW$1:BW95,BW96)+1,_xlfn.RANK.EQ(BW96,BW$2:BW$111,0)),"")</f>
        <v/>
      </c>
      <c r="BY96" s="1" t="str">
        <f>IF(ISNUMBER(BW96)=TRUE,IF(_xlfn.RANK.EQ(BW96,$BW$2:$BW$111)&lt;='Tournament Setup'!$B$41,_xlfn.RANK.EQ(BW96,$BW$2:$BW$111),""),"")</f>
        <v/>
      </c>
      <c r="BZ96" s="31" t="str">
        <f>IF(AND($H96='Tournament Setup'!$A$41,$E96="M",$BY96&gt;'Tournament Setup'!$B$41),$I96,"")</f>
        <v/>
      </c>
      <c r="CA96" s="1" t="str">
        <f>IF(ISNUMBER(BZ96)=TRUE,IF(_xlfn.RANK.EQ(BZ96,$BZ$2:$BZ$111)&lt;='Tournament Setup'!$C$41,_xlfn.RANK.EQ(BZ96,$BZ$2:$BZ$111),""),"")</f>
        <v/>
      </c>
      <c r="CB96" s="31" t="str">
        <f>IF(AND($H96='Tournament Setup'!$A$41,$E96="F",$BY96&gt;'Tournament Setup'!$B$41),$I96,"")</f>
        <v/>
      </c>
      <c r="CC96" s="12" t="str">
        <f>IF(ISNUMBER(CB96)=TRUE,IF(_xlfn.RANK.EQ(CB96,$CB$2:$CB$111)&lt;='Tournament Setup'!$D$41,_xlfn.RANK.EQ(CB96,$CB$2:$CB$111),""),"")</f>
        <v/>
      </c>
      <c r="CD96" s="30" t="str">
        <f>IF($H96='Tournament Setup'!$A$42,$I96,"")</f>
        <v/>
      </c>
      <c r="CE96" s="47" t="str">
        <f>IF(ISNUMBER(CD96),IF(COUNTIFS(CE$1:CE95,_xlfn.RANK.EQ(CD96,CD$2:CD$111,0))&gt;0,_xlfn.MAXIFS(CE$1:CE95,CD$1:CD95,CD96)+1,_xlfn.RANK.EQ(CD96,CD$2:CD$111,0)),"")</f>
        <v/>
      </c>
      <c r="CF96" s="1" t="str">
        <f>IF(ISNUMBER(CD96)=TRUE,IF(_xlfn.RANK.EQ(CD96,$CD$2:$CD$111)&lt;='Tournament Setup'!$B$42,_xlfn.RANK.EQ(CD96,$CD$2:$CD$111),""),"")</f>
        <v/>
      </c>
      <c r="CG96" s="31" t="str">
        <f>IF(AND($H96='Tournament Setup'!$A$42,$E96="M",$CF96&gt;'Tournament Setup'!$B$42),$I96,"")</f>
        <v/>
      </c>
      <c r="CH96" s="1" t="str">
        <f>IF(ISNUMBER(CG96)=TRUE,IF(_xlfn.RANK.EQ(CG96,$CG$2:$CG$111)&lt;='Tournament Setup'!$C$42,_xlfn.RANK.EQ(CG96,$CG$2:$CG$111),""),"")</f>
        <v/>
      </c>
      <c r="CI96" s="31" t="str">
        <f>IF(AND($H96='Tournament Setup'!$A$42,$E96="F",$CF96&gt;'Tournament Setup'!$B$42),$I96,"")</f>
        <v/>
      </c>
      <c r="CJ96" s="12" t="str">
        <f>IF(ISNUMBER(CI96)=TRUE,IF(_xlfn.RANK.EQ(CI96,$CI$2:$CI$111)&lt;='Tournament Setup'!$D$42,_xlfn.RANK.EQ(CI96,$CI$2:$CI$111),""),"")</f>
        <v/>
      </c>
      <c r="CK96" s="30" t="str">
        <f>IF($H96='Tournament Setup'!$A$43,$I96,"")</f>
        <v/>
      </c>
      <c r="CL96" s="47" t="str">
        <f>IF(ISNUMBER(CK96),IF(COUNTIFS(CL$1:CL95,_xlfn.RANK.EQ(CK96,CK$2:CK$111,0))&gt;0,_xlfn.MAXIFS(CL$1:CL95,CK$1:CK95,CK96)+1,_xlfn.RANK.EQ(CK96,CK$2:CK$111,0)),"")</f>
        <v/>
      </c>
      <c r="CM96" s="1" t="str">
        <f>IF(ISNUMBER(CK96)=TRUE,IF(_xlfn.RANK.EQ(CK96,$CK$2:$CK$111)&lt;='Tournament Setup'!$B$43,_xlfn.RANK.EQ(CK96,$CK$2:$CK$111),""),"")</f>
        <v/>
      </c>
      <c r="CN96" s="31" t="str">
        <f>IF(AND($H96='Tournament Setup'!$A$43,$E96="M",$CM96&gt;'Tournament Setup'!$B$43),$I96,"")</f>
        <v/>
      </c>
      <c r="CO96" s="1" t="str">
        <f>IF(ISNUMBER(CN96)=TRUE,IF(_xlfn.RANK.EQ(CN96,$CN$2:$CN$111)&lt;='Tournament Setup'!$C$43,_xlfn.RANK.EQ(CN96,$CN$2:$CN$111),""),"")</f>
        <v/>
      </c>
      <c r="CP96" s="31" t="str">
        <f>IF(AND($H96='Tournament Setup'!$A$43,$E96="F",$CM96&gt;'Tournament Setup'!$B$43),$I96,"")</f>
        <v/>
      </c>
      <c r="CQ96" s="12" t="str">
        <f>IF(ISNUMBER(CP96)=TRUE,IF(_xlfn.RANK.EQ(CP96,$CP$2:$CP$111)&lt;='Tournament Setup'!$D$43,_xlfn.RANK.EQ(CP96,$CP$2:$CP$111),""),"")</f>
        <v/>
      </c>
      <c r="CR96" s="30" t="str">
        <f>IF($H96='Tournament Setup'!$A$44,$I96,"")</f>
        <v/>
      </c>
      <c r="CS96" s="47" t="str">
        <f>IF(ISNUMBER(CR96),IF(COUNTIFS(CS$1:CS95,_xlfn.RANK.EQ(CR96,CR$2:CR$111,0))&gt;0,_xlfn.MAXIFS(CS$1:CS95,CR$1:CR95,CR96)+1,_xlfn.RANK.EQ(CR96,CR$2:CR$111,0)),"")</f>
        <v/>
      </c>
      <c r="CT96" s="1" t="str">
        <f>IF(ISNUMBER(CR96)=TRUE,IF(_xlfn.RANK.EQ(CR96,$CR$2:$CR$111)&lt;='Tournament Setup'!$B$44,_xlfn.RANK.EQ(CR96,$CR$2:$CR$111),""),"")</f>
        <v/>
      </c>
      <c r="CU96" s="31" t="str">
        <f>IF(AND($H96='Tournament Setup'!$A$44,$E96="M",$CT96&gt;'Tournament Setup'!$B$44),$I96,"")</f>
        <v/>
      </c>
      <c r="CV96" s="1" t="str">
        <f>IF(ISNUMBER(CU96)=TRUE,IF(_xlfn.RANK.EQ(CU96,$CU$2:$CU$111)&lt;='Tournament Setup'!$C$44,_xlfn.RANK.EQ(CU96,$CU$2:$CU$111),""),"")</f>
        <v/>
      </c>
      <c r="CW96" s="31" t="str">
        <f>IF(AND($H96='Tournament Setup'!$A$44,$E96="F",$CT96&gt;'Tournament Setup'!$B$44),$I96,"")</f>
        <v/>
      </c>
      <c r="CX96" s="12" t="str">
        <f>IF(ISNUMBER(CW96)=TRUE,IF(_xlfn.RANK.EQ(CW96,$CW$2:$CW$111)&lt;='Tournament Setup'!$D$44,_xlfn.RANK.EQ(CW96,$CW$2:$CW$111),""),"")</f>
        <v/>
      </c>
    </row>
    <row r="97" spans="2:102" x14ac:dyDescent="0.3">
      <c r="B97" t="str">
        <f>IFERROR(INDEX('Tournament List'!$B:$B,MATCH($A97,'Tournament List'!$A:$A,0)),"")</f>
        <v/>
      </c>
      <c r="C97" t="str">
        <f>IFERROR(INDEX('Tournament List'!$C:$C,MATCH($A97,'Tournament List'!$A:$A,0)),"")</f>
        <v/>
      </c>
      <c r="D97" t="str">
        <f t="shared" si="3"/>
        <v xml:space="preserve"> </v>
      </c>
      <c r="E97" s="1" t="str">
        <f>IFERROR(INDEX('Tournament List'!F:F,MATCH($A97,'Tournament List'!$A:$A,0)),"")</f>
        <v/>
      </c>
      <c r="F97" t="str">
        <f>IFERROR(INDEX('Tournament List'!M:M,MATCH($A97,'Tournament List'!$A:$A,0)),"")</f>
        <v/>
      </c>
      <c r="G97" t="str">
        <f>IFERROR(INDEX('Shooter-Squad Assignment'!L:L,MATCH(A97,'Shooter-Squad Assignment'!A:A,0)),"")</f>
        <v/>
      </c>
      <c r="H97" s="1" t="str">
        <f>IFERROR(INDEX('Tournament List'!AD:AD,MATCH($A97,'Tournament List'!$A:$A,0)),"")</f>
        <v/>
      </c>
      <c r="I97" s="123" t="str">
        <f>IFERROR(INDEX('Tournament List'!AG:AG,MATCH($A97,'Tournament List'!$A:$A,0)),"")</f>
        <v/>
      </c>
      <c r="J97" s="145" t="str">
        <f>IFERROR(INDEX('Tournament List'!Y:Y,MATCH($A97,'Tournament List'!$A:$A,0)),"")</f>
        <v/>
      </c>
      <c r="K97" s="47" t="str">
        <f>IFERROR(INDEX('Tournament List'!S:S,MATCH(A97,'Tournament List'!A:A,0)),"")</f>
        <v/>
      </c>
      <c r="L97" s="47" t="str">
        <f>IF(ISNUMBER(J97),IF(COUNTIFS(L$1:L96,_xlfn.RANK.EQ(J97,J$2:J$111,0))&gt;0,_xlfn.MAXIFS(L$1:L96,J$1:J96,J97)+1,_xlfn.RANK.EQ(J97,J$2:J$111,0)),"")</f>
        <v/>
      </c>
      <c r="M97" s="11" t="str">
        <f>IF(ISNUMBER(I97)=TRUE,IF(I97&gt;0,_xlfn.RANK.EQ(I97,$I$2:$I$111,0),""),"")</f>
        <v/>
      </c>
      <c r="N97" s="56" t="str">
        <f>IF(ISNUMBER(I97),IF(COUNTIFS(N$1:N96,_xlfn.RANK.EQ(I97,I$2:I$111,0))&gt;0,_xlfn.MAXIFS(N$1:N96,I$1:I96,I97)+1,_xlfn.RANK.EQ(I97,I$2:I$111,0)),"")</f>
        <v/>
      </c>
      <c r="O97" s="144" t="str">
        <f>IF(F97&lt;&gt;"Collegiate"=TRUE,$I97,"")</f>
        <v/>
      </c>
      <c r="P97" s="47" t="str">
        <f>IF(ISNUMBER(O97),IF(COUNTIFS(P$1:P96,_xlfn.RANK.EQ(O97,O$2:O$111,0))&gt;0,_xlfn.MAXIFS(P$1:P96,O$1:O96,O97)+1,_xlfn.RANK.EQ(O97,O$2:O$111,0)),"")</f>
        <v/>
      </c>
      <c r="Q97" s="1" t="str">
        <f>IF(ISNUMBER(O97)=TRUE,IF(_xlfn.RANK.EQ(O97,$O$2:$O$111)&lt;='Tournament Setup'!$B$26,_xlfn.RANK.EQ(O97,$O$2:$O$111),""),"")</f>
        <v/>
      </c>
      <c r="R97" s="143" t="str">
        <f>IF(AND($E97="M",SUM($Q97)=0,F97&lt;&gt;"Collegiate")=TRUE,$I97,"")</f>
        <v/>
      </c>
      <c r="S97" s="1" t="str">
        <f>IF(ISNUMBER(R97)=TRUE,IF(_xlfn.RANK.EQ(R97,$R$2:$R$111)&lt;='Tournament Setup'!$B$27,_xlfn.RANK.EQ(R97,$R$2:$R$111),""),"")</f>
        <v/>
      </c>
      <c r="T97" s="143" t="str">
        <f>IF(AND($E97="F",SUM($Q97)=0,F97&lt;&gt;"Collegiate")=TRUE,$I97,"")</f>
        <v/>
      </c>
      <c r="U97" s="12" t="str">
        <f>IF(ISNUMBER(T97)=TRUE,IF(_xlfn.RANK.EQ(T97,$T$2:$T$111)&lt;='Tournament Setup'!$B$28,_xlfn.RANK.EQ(T97,$T$2:$T$111),""),"")</f>
        <v/>
      </c>
      <c r="V97" s="145" t="str">
        <f>IF(AND($G97='Tournament Setup'!$A$53,$J97&lt;&gt;0),$J97,"")</f>
        <v/>
      </c>
      <c r="W97" s="47" t="str">
        <f>IF(ISNUMBER(V97),IF(COUNTIFS(W$1:W96,_xlfn.RANK.EQ(V97,V$2:V$111,0))&gt;0,_xlfn.MAXIFS(W$1:W96,V$1:V96,V97)+1,_xlfn.RANK.EQ(V97,V$2:V$111,0)),"")</f>
        <v/>
      </c>
      <c r="X97" s="1" t="str">
        <f>IF(ISNUMBER(V97)=TRUE,IF(_xlfn.RANK.EQ(V97,$V$2:$V$111)&lt;='Tournament Setup'!$B$53,_xlfn.RANK.EQ(V97,$V$2:$V$111),""),"")</f>
        <v/>
      </c>
      <c r="Y97" s="145" t="str">
        <f>IF(AND($G97='Tournament Setup'!$A$49,$J97&lt;&gt;0),$J97,"")</f>
        <v/>
      </c>
      <c r="Z97" s="47" t="str">
        <f>IF(ISNUMBER(Y97),IF(COUNTIFS(Z$1:Z96,_xlfn.RANK.EQ(Y97,Y$2:Y$111,0))&gt;0,_xlfn.MAXIFS(Z$1:Z96,Y$1:Y96,Y97)+1,_xlfn.RANK.EQ(Y97,Y$2:Y$111,0)),"")</f>
        <v/>
      </c>
      <c r="AA97" s="1" t="str">
        <f>IF(ISNUMBER(Y97)=TRUE,IF(_xlfn.RANK.EQ(Y97,$Y$2:$Y$111)&lt;='Tournament Setup'!$B$49,_xlfn.RANK.EQ(Y97,$Y$2:$Y$111),""),"")</f>
        <v/>
      </c>
      <c r="AB97" s="30" t="str">
        <f>IF(AND($F97='Tournament Setup'!$A$32,SUM($Q97,$S97,$U97)=0),$I97,"")</f>
        <v/>
      </c>
      <c r="AC97" s="47" t="str">
        <f>IF(ISNUMBER(AB97),IF(COUNTIFS(AC$1:AC96,_xlfn.RANK.EQ(AB97,AB$2:AB$111,0))&gt;0,_xlfn.MAXIFS(AC$1:AC96,AB$1:AB96,AB97)+1,_xlfn.RANK.EQ(AB97,AB$2:AB$111,0)),"")</f>
        <v/>
      </c>
      <c r="AD97" s="1" t="str">
        <f>IF(ISNUMBER(AB97)=TRUE,IF(_xlfn.RANK.EQ(AB97,$AB$2:$AB$111)&lt;='Tournament Setup'!$B$32,_xlfn.RANK.EQ(AB97,$AB$2:$AB$111),""),"")</f>
        <v/>
      </c>
      <c r="AE97" s="31" t="str">
        <f>IF(AND($F97='Tournament Setup'!$A$32,SUM($Q97,$S97)=0,$E97="M",$AD97&gt;'Tournament Setup'!$B$32),$I97,"")</f>
        <v/>
      </c>
      <c r="AF97" s="1" t="str">
        <f>IF(ISNUMBER(AE97)=TRUE,IF(_xlfn.RANK.EQ(AE97,$AE$2:$AE$111)&lt;='Tournament Setup'!$C$32,_xlfn.RANK.EQ(AE97,$AE$2:$AE$111),""),"")</f>
        <v/>
      </c>
      <c r="AG97" s="31" t="str">
        <f>IF(AND($F97='Tournament Setup'!$A$32,SUM($Q97,$U97)=0,$E97="F",$AD97&gt;'Tournament Setup'!$B$32),$I97,"")</f>
        <v/>
      </c>
      <c r="AH97" s="12" t="str">
        <f>IF(ISNUMBER(AG97)=TRUE,IF(_xlfn.RANK.EQ(AG97,$AG$2:$AG$111)&lt;='Tournament Setup'!$D$32,_xlfn.RANK.EQ(AG97,$AG$2:$AG$111),""),"")</f>
        <v/>
      </c>
      <c r="AI97" s="30" t="str">
        <f>IF(AND($G97='Tournament Setup'!$A$50,$J97&lt;&gt;0),$J97,"")</f>
        <v/>
      </c>
      <c r="AJ97" s="47" t="str">
        <f>IF(ISNUMBER(AI97),IF(COUNTIFS(AJ$1:AJ96,_xlfn.RANK.EQ(AI97,AI$2:AI$111,0))&gt;0,_xlfn.MAXIFS(AJ$1:AJ96,AI$1:AI96,AI97)+1,_xlfn.RANK.EQ(AI97,AI$2:AI$111,0)),"")</f>
        <v/>
      </c>
      <c r="AK97" s="1" t="str">
        <f>IF(ISNUMBER(AI97)=TRUE,IF(_xlfn.RANK.EQ(AI97,$AI$2:$AI$111)&lt;='Tournament Setup'!$B$49,_xlfn.RANK.EQ(AI97,$AI$2:$AI$111),""),"")</f>
        <v/>
      </c>
      <c r="AL97" s="30" t="str">
        <f>IF(AND($F97='Tournament Setup'!$A$33,SUM($Q97,$S97,$U97)=0),$I97,"")</f>
        <v/>
      </c>
      <c r="AM97" s="47" t="str">
        <f>IF(ISNUMBER(AL97),IF(COUNTIFS(AM$1:AM96,_xlfn.RANK.EQ(AL97,AL$2:AL$111,0))&gt;0,_xlfn.MAXIFS(AM$1:AM96,AL$1:AL96,AL97)+1,_xlfn.RANK.EQ(AL97,AL$2:AL$111,0)),"")</f>
        <v/>
      </c>
      <c r="AN97" s="1" t="str">
        <f>IF(ISNUMBER(AL97)=TRUE,IF(_xlfn.RANK.EQ(AL97,$AL$2:$AL$111)&lt;='Tournament Setup'!$B$33,_xlfn.RANK.EQ(AL97,$AL$2:$AL$111),""),"")</f>
        <v/>
      </c>
      <c r="AO97" s="31" t="str">
        <f>IF(AND($F97='Tournament Setup'!$A$33,SUM($Q97,$S97)=0,$E97="M",$AN97&gt;'Tournament Setup'!$B$33),$I97,"")</f>
        <v/>
      </c>
      <c r="AP97" s="1" t="str">
        <f>IF(ISNUMBER(AO97)=TRUE,IF(_xlfn.RANK.EQ(AO97,$AO$2:$AO$111)&lt;='Tournament Setup'!$C$33,_xlfn.RANK.EQ(AO97,$AO$2:$AO$111),""),"")</f>
        <v/>
      </c>
      <c r="AQ97" s="31" t="str">
        <f>IF(AND($F97='Tournament Setup'!$A$33,SUM($Q97,$U97)=0,$E97="F",$AN97&gt;'Tournament Setup'!$B$33),$I97,"")</f>
        <v/>
      </c>
      <c r="AR97" s="12" t="str">
        <f>IF(ISNUMBER(AQ97)=TRUE,IF(_xlfn.RANK.EQ(AQ97,$AQ$2:$AQ$111)&lt;='Tournament Setup'!$D$33,_xlfn.RANK.EQ(AQ97,$AQ$2:$AQ$111),""),"")</f>
        <v/>
      </c>
      <c r="AS97" s="30" t="str">
        <f>IF(AND($G97='Tournament Setup'!$A$51,$J97&lt;&gt;0),$J97,"")</f>
        <v/>
      </c>
      <c r="AT97" s="47" t="str">
        <f>IF(ISNUMBER(AS97),IF(COUNTIFS(AT$1:AT96,_xlfn.RANK.EQ(AS97,AS$2:AS$111,0))&gt;0,_xlfn.MAXIFS(AT$1:AT96,AS$1:AS96,AS97)+1,_xlfn.RANK.EQ(AS97,AS$2:AS$111,0)),"")</f>
        <v/>
      </c>
      <c r="AU97" s="1" t="str">
        <f>IF(ISNUMBER(AS97)=TRUE,IF(_xlfn.RANK.EQ(AS97,$AS$2:$AS$111)&lt;='Tournament Setup'!$B$49,_xlfn.RANK.EQ(AS97,$AS$2:$AS$111),""),"")</f>
        <v/>
      </c>
      <c r="AV97" s="30" t="str">
        <f>IF(AND($F97='Tournament Setup'!$A$34,SUM($Q97,$S97,$U97)=0),$I97,"")</f>
        <v/>
      </c>
      <c r="AW97" s="47" t="str">
        <f>IF(ISNUMBER(AV97),IF(COUNTIFS(AW$1:AW96,_xlfn.RANK.EQ(AV97,AV$2:AV$111,0))&gt;0,_xlfn.MAXIFS(AW$1:AW96,AV$1:AV96,AV97)+1,_xlfn.RANK.EQ(AV97,AV$2:AV$111,0)),"")</f>
        <v/>
      </c>
      <c r="AX97" s="1" t="str">
        <f>IF(ISNUMBER(AV97)=TRUE,IF(_xlfn.RANK.EQ(AV97,$AV$2:$AV$111)&lt;='Tournament Setup'!$B$34,_xlfn.RANK.EQ(AV97,$AV$2:$AV$111),""),"")</f>
        <v/>
      </c>
      <c r="AY97" s="31" t="str">
        <f>IF(AND($F97='Tournament Setup'!$A$34,SUM($Q97,$S97)=0,$E97="M",$AX97&gt;'Tournament Setup'!$B$34),$I97,"")</f>
        <v/>
      </c>
      <c r="AZ97" s="1" t="str">
        <f>IF(ISNUMBER(AY97)=TRUE,IF(_xlfn.RANK.EQ(AY97,$AY$2:$AY$111)&lt;='Tournament Setup'!$C$34,_xlfn.RANK.EQ(AY97,$AY$2:$AY$111),""),"")</f>
        <v/>
      </c>
      <c r="BA97" s="31" t="str">
        <f>IF(AND($F97='Tournament Setup'!$A$34,SUM($Q97,$U97)=0,$E97="F",$AX97&gt;'Tournament Setup'!$B$34),$I97,"")</f>
        <v/>
      </c>
      <c r="BB97" s="12" t="str">
        <f>IF(ISNUMBER(BA97)=TRUE,IF(_xlfn.RANK.EQ(BA97,$BA$2:$BA$111)&lt;='Tournament Setup'!$D$34,_xlfn.RANK.EQ(BA97,$BA$2:$BA$111),""),"")</f>
        <v/>
      </c>
      <c r="BC97" s="30" t="str">
        <f>IF(AND($G97='Tournament Setup'!$A$52,$J97&lt;&gt;0),$J97,"")</f>
        <v/>
      </c>
      <c r="BD97" s="47" t="str">
        <f>IF(ISNUMBER(BC97),IF(COUNTIFS(BD$1:BD96,_xlfn.RANK.EQ(BC97,BC$2:BC$111,0))&gt;0,_xlfn.MAXIFS(BD$1:BD96,BC$1:BC96,BC97)+1,_xlfn.RANK.EQ(BC97,BC$2:BC$111,0)),"")</f>
        <v/>
      </c>
      <c r="BE97" s="1" t="str">
        <f>IF(ISNUMBER(BC97)=TRUE,IF(_xlfn.RANK.EQ(BC97,$BC$2:$BC$111)&lt;='Tournament Setup'!$B$49,_xlfn.RANK.EQ(BC97,$BC$2:$BC$111),""),"")</f>
        <v/>
      </c>
      <c r="BF97" s="30" t="str">
        <f>IF(AND($F97='Tournament Setup'!$A$35,SUM($Q97,$S97,$U97)=0),$I97,"")</f>
        <v/>
      </c>
      <c r="BG97" s="47" t="str">
        <f>IF(ISNUMBER(BF97),IF(COUNTIFS(BG$1:BG96,_xlfn.RANK.EQ(BF97,BF$2:BF$111,0))&gt;0,_xlfn.MAXIFS(BG$1:BG96,BF$1:BF96,BF97)+1,_xlfn.RANK.EQ(BF97,BF$2:BF$111,0)),"")</f>
        <v/>
      </c>
      <c r="BH97" s="1" t="str">
        <f>IF(ISNUMBER(BF97)=TRUE,IF(_xlfn.RANK.EQ(BF97,$BF$2:$BF$111)&lt;='Tournament Setup'!$B$35,_xlfn.RANK.EQ(BF97,$BF$2:$BF$111),""),"")</f>
        <v/>
      </c>
      <c r="BI97" s="31" t="str">
        <f>IF(AND($F97='Tournament Setup'!$A$35,SUM($Q97,$S97)=0,$E97="M",$BH97&gt;'Tournament Setup'!$B$35),$I97,"")</f>
        <v/>
      </c>
      <c r="BJ97" s="1" t="str">
        <f>IF(ISNUMBER(BI97)=TRUE,IF(_xlfn.RANK.EQ(BI97,$BI$2:$BI$111)&lt;='Tournament Setup'!$C$35,_xlfn.RANK.EQ(BI97,$BI$2:$BI$111),""),"")</f>
        <v/>
      </c>
      <c r="BK97" s="31" t="str">
        <f>IF(AND($F97='Tournament Setup'!$A$35,SUM($Q97,$U97)=0,$E97="F",$BH97&gt;'Tournament Setup'!$B$35),$I97,"")</f>
        <v/>
      </c>
      <c r="BL97" s="12" t="str">
        <f>IF(ISNUMBER(BK97)=TRUE,IF(_xlfn.RANK.EQ(BK97,$BK$2:$BK$111)&lt;='Tournament Setup'!$D$35,_xlfn.RANK.EQ(BK97,$BK$2:$BK$111),""),"")</f>
        <v/>
      </c>
      <c r="BM97" s="30" t="str">
        <f>IF(AND($G97='Tournament Setup'!$A$54,$J97&lt;&gt;0),$J97,"")</f>
        <v/>
      </c>
      <c r="BN97" s="47" t="str">
        <f>IF(ISNUMBER(BM97),IF(COUNTIFS(BN$1:BN96,_xlfn.RANK.EQ(BM97,BM$2:BM$111,0))&gt;0,_xlfn.MAXIFS(BN$1:BN96,BM$1:BM96,BM97)+1,_xlfn.RANK.EQ(BM97,BM$2:BM$111,0)),"")</f>
        <v/>
      </c>
      <c r="BO97" s="1" t="str">
        <f>IF(ISNUMBER(BM97)=TRUE,IF(_xlfn.RANK.EQ(BM97,$BM$2:$BM$111)&lt;='Tournament Setup'!$B$49,_xlfn.RANK.EQ(BM97,$BM$2:$BM$111),""),"")</f>
        <v/>
      </c>
      <c r="BP97" s="30" t="str">
        <f>IF(AND($F97='Tournament Setup'!$A$36,SUM($Q97,$S97,$U97)=0),$I97,"")</f>
        <v/>
      </c>
      <c r="BQ97" s="47" t="str">
        <f>IF(ISNUMBER(BP97),IF(COUNTIFS(BQ$1:BQ96,_xlfn.RANK.EQ(BP97,BP$2:BP$111,0))&gt;0,_xlfn.MAXIFS(BQ$1:BQ96,BP$1:BP96,BP97)+1,_xlfn.RANK.EQ(BP97,BP$2:BP$111,0)),"")</f>
        <v/>
      </c>
      <c r="BR97" s="1" t="str">
        <f>IF(ISNUMBER(BP97)=TRUE,IF(_xlfn.RANK.EQ(BP97,$BP$2:$BP$111)&lt;='Tournament Setup'!$B$36,_xlfn.RANK.EQ(BP97,$BP$2:$BP$111),""),"")</f>
        <v/>
      </c>
      <c r="BS97" s="31" t="str">
        <f>IF(AND($F97='Tournament Setup'!$A$36,SUM($Q97,$S97)=0,$E97="M",$BR97&gt;'Tournament Setup'!$B$36),$I97,"")</f>
        <v/>
      </c>
      <c r="BT97" s="1" t="str">
        <f>IF(ISNUMBER(BS97)=TRUE,IF(_xlfn.RANK.EQ(BS97,$BS$2:$BS$111)&lt;='Tournament Setup'!$C$36,_xlfn.RANK.EQ(BS97,$BS$2:$BS$111),""),"")</f>
        <v/>
      </c>
      <c r="BU97" s="31" t="str">
        <f>IF(AND($F97='Tournament Setup'!$A$36,SUM($Q97,$U97)=0,$E97="F",$BR97&gt;'Tournament Setup'!$B$36),$I97,"")</f>
        <v/>
      </c>
      <c r="BV97" s="12" t="str">
        <f>IF(ISNUMBER(BU97)=TRUE,IF(_xlfn.RANK.EQ(BU97,$BU$2:$BU$111)&lt;='Tournament Setup'!$D$36,_xlfn.RANK.EQ(BU97,$BU$2:$BU$111),""),"")</f>
        <v/>
      </c>
      <c r="BW97" s="30" t="str">
        <f>IF($H97='Tournament Setup'!$A$41,$I97,"")</f>
        <v/>
      </c>
      <c r="BX97" s="47" t="str">
        <f>IF(ISNUMBER(BW97),IF(COUNTIFS(BX$1:BX96,_xlfn.RANK.EQ(BW97,BW$2:BW$111,0))&gt;0,_xlfn.MAXIFS(BX$1:BX96,BW$1:BW96,BW97)+1,_xlfn.RANK.EQ(BW97,BW$2:BW$111,0)),"")</f>
        <v/>
      </c>
      <c r="BY97" s="1" t="str">
        <f>IF(ISNUMBER(BW97)=TRUE,IF(_xlfn.RANK.EQ(BW97,$BW$2:$BW$111)&lt;='Tournament Setup'!$B$41,_xlfn.RANK.EQ(BW97,$BW$2:$BW$111),""),"")</f>
        <v/>
      </c>
      <c r="BZ97" s="31" t="str">
        <f>IF(AND($H97='Tournament Setup'!$A$41,$E97="M",$BY97&gt;'Tournament Setup'!$B$41),$I97,"")</f>
        <v/>
      </c>
      <c r="CA97" s="1" t="str">
        <f>IF(ISNUMBER(BZ97)=TRUE,IF(_xlfn.RANK.EQ(BZ97,$BZ$2:$BZ$111)&lt;='Tournament Setup'!$C$41,_xlfn.RANK.EQ(BZ97,$BZ$2:$BZ$111),""),"")</f>
        <v/>
      </c>
      <c r="CB97" s="31" t="str">
        <f>IF(AND($H97='Tournament Setup'!$A$41,$E97="F",$BY97&gt;'Tournament Setup'!$B$41),$I97,"")</f>
        <v/>
      </c>
      <c r="CC97" s="12" t="str">
        <f>IF(ISNUMBER(CB97)=TRUE,IF(_xlfn.RANK.EQ(CB97,$CB$2:$CB$111)&lt;='Tournament Setup'!$D$41,_xlfn.RANK.EQ(CB97,$CB$2:$CB$111),""),"")</f>
        <v/>
      </c>
      <c r="CD97" s="30" t="str">
        <f>IF($H97='Tournament Setup'!$A$42,$I97,"")</f>
        <v/>
      </c>
      <c r="CE97" s="47" t="str">
        <f>IF(ISNUMBER(CD97),IF(COUNTIFS(CE$1:CE96,_xlfn.RANK.EQ(CD97,CD$2:CD$111,0))&gt;0,_xlfn.MAXIFS(CE$1:CE96,CD$1:CD96,CD97)+1,_xlfn.RANK.EQ(CD97,CD$2:CD$111,0)),"")</f>
        <v/>
      </c>
      <c r="CF97" s="1" t="str">
        <f>IF(ISNUMBER(CD97)=TRUE,IF(_xlfn.RANK.EQ(CD97,$CD$2:$CD$111)&lt;='Tournament Setup'!$B$42,_xlfn.RANK.EQ(CD97,$CD$2:$CD$111),""),"")</f>
        <v/>
      </c>
      <c r="CG97" s="31" t="str">
        <f>IF(AND($H97='Tournament Setup'!$A$42,$E97="M",$CF97&gt;'Tournament Setup'!$B$42),$I97,"")</f>
        <v/>
      </c>
      <c r="CH97" s="1" t="str">
        <f>IF(ISNUMBER(CG97)=TRUE,IF(_xlfn.RANK.EQ(CG97,$CG$2:$CG$111)&lt;='Tournament Setup'!$C$42,_xlfn.RANK.EQ(CG97,$CG$2:$CG$111),""),"")</f>
        <v/>
      </c>
      <c r="CI97" s="31" t="str">
        <f>IF(AND($H97='Tournament Setup'!$A$42,$E97="F",$CF97&gt;'Tournament Setup'!$B$42),$I97,"")</f>
        <v/>
      </c>
      <c r="CJ97" s="12" t="str">
        <f>IF(ISNUMBER(CI97)=TRUE,IF(_xlfn.RANK.EQ(CI97,$CI$2:$CI$111)&lt;='Tournament Setup'!$D$42,_xlfn.RANK.EQ(CI97,$CI$2:$CI$111),""),"")</f>
        <v/>
      </c>
      <c r="CK97" s="30" t="str">
        <f>IF($H97='Tournament Setup'!$A$43,$I97,"")</f>
        <v/>
      </c>
      <c r="CL97" s="47" t="str">
        <f>IF(ISNUMBER(CK97),IF(COUNTIFS(CL$1:CL96,_xlfn.RANK.EQ(CK97,CK$2:CK$111,0))&gt;0,_xlfn.MAXIFS(CL$1:CL96,CK$1:CK96,CK97)+1,_xlfn.RANK.EQ(CK97,CK$2:CK$111,0)),"")</f>
        <v/>
      </c>
      <c r="CM97" s="1" t="str">
        <f>IF(ISNUMBER(CK97)=TRUE,IF(_xlfn.RANK.EQ(CK97,$CK$2:$CK$111)&lt;='Tournament Setup'!$B$43,_xlfn.RANK.EQ(CK97,$CK$2:$CK$111),""),"")</f>
        <v/>
      </c>
      <c r="CN97" s="31" t="str">
        <f>IF(AND($H97='Tournament Setup'!$A$43,$E97="M",$CM97&gt;'Tournament Setup'!$B$43),$I97,"")</f>
        <v/>
      </c>
      <c r="CO97" s="1" t="str">
        <f>IF(ISNUMBER(CN97)=TRUE,IF(_xlfn.RANK.EQ(CN97,$CN$2:$CN$111)&lt;='Tournament Setup'!$C$43,_xlfn.RANK.EQ(CN97,$CN$2:$CN$111),""),"")</f>
        <v/>
      </c>
      <c r="CP97" s="31" t="str">
        <f>IF(AND($H97='Tournament Setup'!$A$43,$E97="F",$CM97&gt;'Tournament Setup'!$B$43),$I97,"")</f>
        <v/>
      </c>
      <c r="CQ97" s="12" t="str">
        <f>IF(ISNUMBER(CP97)=TRUE,IF(_xlfn.RANK.EQ(CP97,$CP$2:$CP$111)&lt;='Tournament Setup'!$D$43,_xlfn.RANK.EQ(CP97,$CP$2:$CP$111),""),"")</f>
        <v/>
      </c>
      <c r="CR97" s="30" t="str">
        <f>IF($H97='Tournament Setup'!$A$44,$I97,"")</f>
        <v/>
      </c>
      <c r="CS97" s="47" t="str">
        <f>IF(ISNUMBER(CR97),IF(COUNTIFS(CS$1:CS96,_xlfn.RANK.EQ(CR97,CR$2:CR$111,0))&gt;0,_xlfn.MAXIFS(CS$1:CS96,CR$1:CR96,CR97)+1,_xlfn.RANK.EQ(CR97,CR$2:CR$111,0)),"")</f>
        <v/>
      </c>
      <c r="CT97" s="1" t="str">
        <f>IF(ISNUMBER(CR97)=TRUE,IF(_xlfn.RANK.EQ(CR97,$CR$2:$CR$111)&lt;='Tournament Setup'!$B$44,_xlfn.RANK.EQ(CR97,$CR$2:$CR$111),""),"")</f>
        <v/>
      </c>
      <c r="CU97" s="31" t="str">
        <f>IF(AND($H97='Tournament Setup'!$A$44,$E97="M",$CT97&gt;'Tournament Setup'!$B$44),$I97,"")</f>
        <v/>
      </c>
      <c r="CV97" s="1" t="str">
        <f>IF(ISNUMBER(CU97)=TRUE,IF(_xlfn.RANK.EQ(CU97,$CU$2:$CU$111)&lt;='Tournament Setup'!$C$44,_xlfn.RANK.EQ(CU97,$CU$2:$CU$111),""),"")</f>
        <v/>
      </c>
      <c r="CW97" s="31" t="str">
        <f>IF(AND($H97='Tournament Setup'!$A$44,$E97="F",$CT97&gt;'Tournament Setup'!$B$44),$I97,"")</f>
        <v/>
      </c>
      <c r="CX97" s="12" t="str">
        <f>IF(ISNUMBER(CW97)=TRUE,IF(_xlfn.RANK.EQ(CW97,$CW$2:$CW$111)&lt;='Tournament Setup'!$D$44,_xlfn.RANK.EQ(CW97,$CW$2:$CW$111),""),"")</f>
        <v/>
      </c>
    </row>
    <row r="98" spans="2:102" x14ac:dyDescent="0.3">
      <c r="B98" t="str">
        <f>IFERROR(INDEX('Tournament List'!$B:$B,MATCH($A98,'Tournament List'!$A:$A,0)),"")</f>
        <v/>
      </c>
      <c r="C98" t="str">
        <f>IFERROR(INDEX('Tournament List'!$C:$C,MATCH($A98,'Tournament List'!$A:$A,0)),"")</f>
        <v/>
      </c>
      <c r="D98" t="str">
        <f t="shared" ref="D98:D101" si="4">B98&amp;" "&amp;C98</f>
        <v xml:space="preserve"> </v>
      </c>
      <c r="E98" s="1" t="str">
        <f>IFERROR(INDEX('Tournament List'!F:F,MATCH($A98,'Tournament List'!$A:$A,0)),"")</f>
        <v/>
      </c>
      <c r="F98" t="str">
        <f>IFERROR(INDEX('Tournament List'!M:M,MATCH($A98,'Tournament List'!$A:$A,0)),"")</f>
        <v/>
      </c>
      <c r="G98" t="str">
        <f>IFERROR(INDEX('Shooter-Squad Assignment'!L:L,MATCH(A98,'Shooter-Squad Assignment'!A:A,0)),"")</f>
        <v/>
      </c>
      <c r="H98" s="1" t="str">
        <f>IFERROR(INDEX('Tournament List'!AD:AD,MATCH($A98,'Tournament List'!$A:$A,0)),"")</f>
        <v/>
      </c>
      <c r="I98" s="123" t="str">
        <f>IFERROR(INDEX('Tournament List'!AG:AG,MATCH($A98,'Tournament List'!$A:$A,0)),"")</f>
        <v/>
      </c>
      <c r="J98" s="145" t="str">
        <f>IFERROR(INDEX('Tournament List'!Y:Y,MATCH($A98,'Tournament List'!$A:$A,0)),"")</f>
        <v/>
      </c>
      <c r="K98" s="47" t="str">
        <f>IFERROR(INDEX('Tournament List'!S:S,MATCH(A98,'Tournament List'!A:A,0)),"")</f>
        <v/>
      </c>
      <c r="L98" s="47" t="str">
        <f>IF(ISNUMBER(J98),IF(COUNTIFS(L$1:L87,_xlfn.RANK.EQ(J98,J$2:J$111,0))&gt;0,_xlfn.MAXIFS(L$1:L87,J$1:J87,J98)+1,_xlfn.RANK.EQ(J98,J$2:J$111,0)),"")</f>
        <v/>
      </c>
      <c r="M98" s="11" t="str">
        <f>IF(ISNUMBER(I98)=TRUE,IF(I98&gt;0,_xlfn.RANK.EQ(I98,$I$2:$I$111,0),""),"")</f>
        <v/>
      </c>
      <c r="N98" s="56" t="str">
        <f>IF(ISNUMBER(I98),IF(COUNTIFS(N$1:N87,_xlfn.RANK.EQ(I98,I$2:I$111,0))&gt;0,_xlfn.MAXIFS(N$1:N87,I$1:I87,I98)+1,_xlfn.RANK.EQ(I98,I$2:I$111,0)),"")</f>
        <v/>
      </c>
      <c r="O98" s="144" t="str">
        <f>IF(F98&lt;&gt;"Collegiate"=TRUE,$I98,"")</f>
        <v/>
      </c>
      <c r="P98" s="47" t="str">
        <f>IF(ISNUMBER(O98),IF(COUNTIFS(P$1:P87,_xlfn.RANK.EQ(O98,O$2:O$111,0))&gt;0,_xlfn.MAXIFS(P$1:P87,O$1:O87,O98)+1,_xlfn.RANK.EQ(O98,O$2:O$111,0)),"")</f>
        <v/>
      </c>
      <c r="Q98" s="1" t="str">
        <f>IF(ISNUMBER(O98)=TRUE,IF(_xlfn.RANK.EQ(O98,$O$2:$O$111)&lt;='Tournament Setup'!$B$26,_xlfn.RANK.EQ(O98,$O$2:$O$111),""),"")</f>
        <v/>
      </c>
      <c r="R98" s="143" t="str">
        <f>IF(AND($E98="M",SUM($Q98)=0,F98&lt;&gt;"Collegiate")=TRUE,$I98,"")</f>
        <v/>
      </c>
      <c r="S98" s="1" t="str">
        <f>IF(ISNUMBER(R98)=TRUE,IF(_xlfn.RANK.EQ(R98,$R$2:$R$111)&lt;='Tournament Setup'!$B$27,_xlfn.RANK.EQ(R98,$R$2:$R$111),""),"")</f>
        <v/>
      </c>
      <c r="T98" s="143" t="str">
        <f>IF(AND($E98="F",SUM($Q98)=0,F98&lt;&gt;"Collegiate")=TRUE,$I98,"")</f>
        <v/>
      </c>
      <c r="U98" s="12" t="str">
        <f>IF(ISNUMBER(T98)=TRUE,IF(_xlfn.RANK.EQ(T98,$T$2:$T$111)&lt;='Tournament Setup'!$B$28,_xlfn.RANK.EQ(T98,$T$2:$T$111),""),"")</f>
        <v/>
      </c>
      <c r="V98" s="145" t="str">
        <f>IF(AND($G98='Tournament Setup'!$A$53,$J98&lt;&gt;0),$J98,"")</f>
        <v/>
      </c>
      <c r="W98" s="47" t="str">
        <f>IF(ISNUMBER(V98),IF(COUNTIFS(W$1:W97,_xlfn.RANK.EQ(V98,V$2:V$111,0))&gt;0,_xlfn.MAXIFS(W$1:W97,V$1:V97,V98)+1,_xlfn.RANK.EQ(V98,V$2:V$111,0)),"")</f>
        <v/>
      </c>
      <c r="X98" s="1" t="str">
        <f>IF(ISNUMBER(V98)=TRUE,IF(_xlfn.RANK.EQ(V98,$V$2:$V$111)&lt;='Tournament Setup'!$B$53,_xlfn.RANK.EQ(V98,$V$2:$V$111),""),"")</f>
        <v/>
      </c>
      <c r="Y98" s="145" t="str">
        <f>IF(AND($G98='Tournament Setup'!$A$49,$J98&lt;&gt;0),$J98,"")</f>
        <v/>
      </c>
      <c r="Z98" s="47" t="str">
        <f>IF(ISNUMBER(Y98),IF(COUNTIFS(Z$1:Z97,_xlfn.RANK.EQ(Y98,Y$2:Y$111,0))&gt;0,_xlfn.MAXIFS(Z$1:Z97,Y$1:Y97,Y98)+1,_xlfn.RANK.EQ(Y98,Y$2:Y$111,0)),"")</f>
        <v/>
      </c>
      <c r="AA98" s="1" t="str">
        <f>IF(ISNUMBER(Y98)=TRUE,IF(_xlfn.RANK.EQ(Y98,$Y$2:$Y$111)&lt;='Tournament Setup'!$B$49,_xlfn.RANK.EQ(Y98,$Y$2:$Y$111),""),"")</f>
        <v/>
      </c>
      <c r="AB98" s="30" t="str">
        <f>IF(AND($F98='Tournament Setup'!$A$32,SUM($Q98,$S98,$U98)=0),$I98,"")</f>
        <v/>
      </c>
      <c r="AC98" s="47" t="str">
        <f>IF(ISNUMBER(AB98),IF(COUNTIFS(AC$1:AC87,_xlfn.RANK.EQ(AB98,AB$2:AB$111,0))&gt;0,_xlfn.MAXIFS(AC$1:AC87,AB$1:AB87,AB98)+1,_xlfn.RANK.EQ(AB98,AB$2:AB$111,0)),"")</f>
        <v/>
      </c>
      <c r="AD98" s="1" t="str">
        <f>IF(ISNUMBER(AB98)=TRUE,IF(_xlfn.RANK.EQ(AB98,$AB$2:$AB$111)&lt;='Tournament Setup'!$B$32,_xlfn.RANK.EQ(AB98,$AB$2:$AB$111),""),"")</f>
        <v/>
      </c>
      <c r="AE98" s="31" t="str">
        <f>IF(AND($F98='Tournament Setup'!$A$32,SUM($Q98,$S98)=0,$E98="M",$AD98&gt;'Tournament Setup'!$B$32),$I98,"")</f>
        <v/>
      </c>
      <c r="AF98" s="1" t="str">
        <f>IF(ISNUMBER(AE98)=TRUE,IF(_xlfn.RANK.EQ(AE98,$AE$2:$AE$111)&lt;='Tournament Setup'!$C$32,_xlfn.RANK.EQ(AE98,$AE$2:$AE$111),""),"")</f>
        <v/>
      </c>
      <c r="AG98" s="31" t="str">
        <f>IF(AND($F98='Tournament Setup'!$A$32,SUM($Q98,$U98)=0,$E98="F",$AD98&gt;'Tournament Setup'!$B$32),$I98,"")</f>
        <v/>
      </c>
      <c r="AH98" s="12" t="str">
        <f>IF(ISNUMBER(AG98)=TRUE,IF(_xlfn.RANK.EQ(AG98,$AG$2:$AG$111)&lt;='Tournament Setup'!$D$32,_xlfn.RANK.EQ(AG98,$AG$2:$AG$111),""),"")</f>
        <v/>
      </c>
      <c r="AI98" s="30" t="str">
        <f>IF(AND($G98='Tournament Setup'!$A$50,$J98&lt;&gt;0),$J98,"")</f>
        <v/>
      </c>
      <c r="AJ98" s="47" t="str">
        <f>IF(ISNUMBER(AI98),IF(COUNTIFS(AJ$1:AJ87,_xlfn.RANK.EQ(AI98,AI$2:AI$111,0))&gt;0,_xlfn.MAXIFS(AJ$1:AJ87,AI$1:AI87,AI98)+1,_xlfn.RANK.EQ(AI98,AI$2:AI$111,0)),"")</f>
        <v/>
      </c>
      <c r="AK98" s="1" t="str">
        <f>IF(ISNUMBER(AI98)=TRUE,IF(_xlfn.RANK.EQ(AI98,$AI$2:$AI$111)&lt;='Tournament Setup'!$B$49,_xlfn.RANK.EQ(AI98,$AI$2:$AI$111),""),"")</f>
        <v/>
      </c>
      <c r="AL98" s="30" t="str">
        <f>IF(AND($F98='Tournament Setup'!$A$33,SUM($Q98,$S98,$U98)=0),$I98,"")</f>
        <v/>
      </c>
      <c r="AM98" s="47" t="str">
        <f>IF(ISNUMBER(AL98),IF(COUNTIFS(AM$1:AM87,_xlfn.RANK.EQ(AL98,AL$2:AL$111,0))&gt;0,_xlfn.MAXIFS(AM$1:AM87,AL$1:AL87,AL98)+1,_xlfn.RANK.EQ(AL98,AL$2:AL$111,0)),"")</f>
        <v/>
      </c>
      <c r="AN98" s="1" t="str">
        <f>IF(ISNUMBER(AL98)=TRUE,IF(_xlfn.RANK.EQ(AL98,$AL$2:$AL$111)&lt;='Tournament Setup'!$B$33,_xlfn.RANK.EQ(AL98,$AL$2:$AL$111),""),"")</f>
        <v/>
      </c>
      <c r="AO98" s="31" t="str">
        <f>IF(AND($F98='Tournament Setup'!$A$33,SUM($Q98,$S98)=0,$E98="M",$AN98&gt;'Tournament Setup'!$B$33),$I98,"")</f>
        <v/>
      </c>
      <c r="AP98" s="1" t="str">
        <f>IF(ISNUMBER(AO98)=TRUE,IF(_xlfn.RANK.EQ(AO98,$AO$2:$AO$111)&lt;='Tournament Setup'!$C$33,_xlfn.RANK.EQ(AO98,$AO$2:$AO$111),""),"")</f>
        <v/>
      </c>
      <c r="AQ98" s="31" t="str">
        <f>IF(AND($F98='Tournament Setup'!$A$33,SUM($Q98,$U98)=0,$E98="F",$AN98&gt;'Tournament Setup'!$B$33),$I98,"")</f>
        <v/>
      </c>
      <c r="AR98" s="12" t="str">
        <f>IF(ISNUMBER(AQ98)=TRUE,IF(_xlfn.RANK.EQ(AQ98,$AQ$2:$AQ$111)&lt;='Tournament Setup'!$D$33,_xlfn.RANK.EQ(AQ98,$AQ$2:$AQ$111),""),"")</f>
        <v/>
      </c>
      <c r="AS98" s="30" t="str">
        <f>IF(AND($G98='Tournament Setup'!$A$51,$J98&lt;&gt;0),$J98,"")</f>
        <v/>
      </c>
      <c r="AT98" s="47" t="str">
        <f>IF(ISNUMBER(AS98),IF(COUNTIFS(AT$1:AT87,_xlfn.RANK.EQ(AS98,AS$2:AS$111,0))&gt;0,_xlfn.MAXIFS(AT$1:AT87,AS$1:AS87,AS98)+1,_xlfn.RANK.EQ(AS98,AS$2:AS$111,0)),"")</f>
        <v/>
      </c>
      <c r="AU98" s="1" t="str">
        <f>IF(ISNUMBER(AS98)=TRUE,IF(_xlfn.RANK.EQ(AS98,$AS$2:$AS$111)&lt;='Tournament Setup'!$B$49,_xlfn.RANK.EQ(AS98,$AS$2:$AS$111),""),"")</f>
        <v/>
      </c>
      <c r="AV98" s="30" t="str">
        <f>IF(AND($F98='Tournament Setup'!$A$34,SUM($Q98,$S98,$U98)=0),$I98,"")</f>
        <v/>
      </c>
      <c r="AW98" s="47" t="str">
        <f>IF(ISNUMBER(AV98),IF(COUNTIFS(AW$1:AW87,_xlfn.RANK.EQ(AV98,AV$2:AV$111,0))&gt;0,_xlfn.MAXIFS(AW$1:AW87,AV$1:AV87,AV98)+1,_xlfn.RANK.EQ(AV98,AV$2:AV$111,0)),"")</f>
        <v/>
      </c>
      <c r="AX98" s="1" t="str">
        <f>IF(ISNUMBER(AV98)=TRUE,IF(_xlfn.RANK.EQ(AV98,$AV$2:$AV$111)&lt;='Tournament Setup'!$B$34,_xlfn.RANK.EQ(AV98,$AV$2:$AV$111),""),"")</f>
        <v/>
      </c>
      <c r="AY98" s="31" t="str">
        <f>IF(AND($F98='Tournament Setup'!$A$34,SUM($Q98,$S98)=0,$E98="M",$AX98&gt;'Tournament Setup'!$B$34),$I98,"")</f>
        <v/>
      </c>
      <c r="AZ98" s="1" t="str">
        <f>IF(ISNUMBER(AY98)=TRUE,IF(_xlfn.RANK.EQ(AY98,$AY$2:$AY$111)&lt;='Tournament Setup'!$C$34,_xlfn.RANK.EQ(AY98,$AY$2:$AY$111),""),"")</f>
        <v/>
      </c>
      <c r="BA98" s="31" t="str">
        <f>IF(AND($F98='Tournament Setup'!$A$34,SUM($Q98,$U98)=0,$E98="F",$AX98&gt;'Tournament Setup'!$B$34),$I98,"")</f>
        <v/>
      </c>
      <c r="BB98" s="12" t="str">
        <f>IF(ISNUMBER(BA98)=TRUE,IF(_xlfn.RANK.EQ(BA98,$BA$2:$BA$111)&lt;='Tournament Setup'!$D$34,_xlfn.RANK.EQ(BA98,$BA$2:$BA$111),""),"")</f>
        <v/>
      </c>
      <c r="BC98" s="30" t="str">
        <f>IF(AND($G98='Tournament Setup'!$A$52,$J98&lt;&gt;0),$J98,"")</f>
        <v/>
      </c>
      <c r="BD98" s="47" t="str">
        <f>IF(ISNUMBER(BC98),IF(COUNTIFS(BD$1:BD87,_xlfn.RANK.EQ(BC98,BC$2:BC$111,0))&gt;0,_xlfn.MAXIFS(BD$1:BD87,BC$1:BC87,BC98)+1,_xlfn.RANK.EQ(BC98,BC$2:BC$111,0)),"")</f>
        <v/>
      </c>
      <c r="BE98" s="1" t="str">
        <f>IF(ISNUMBER(BC98)=TRUE,IF(_xlfn.RANK.EQ(BC98,$BC$2:$BC$111)&lt;='Tournament Setup'!$B$49,_xlfn.RANK.EQ(BC98,$BC$2:$BC$111),""),"")</f>
        <v/>
      </c>
      <c r="BF98" s="30" t="str">
        <f>IF(AND($F98='Tournament Setup'!$A$35,SUM($Q98,$S98,$U98)=0),$I98,"")</f>
        <v/>
      </c>
      <c r="BG98" s="47" t="str">
        <f>IF(ISNUMBER(BF98),IF(COUNTIFS(BG$1:BG87,_xlfn.RANK.EQ(BF98,BF$2:BF$111,0))&gt;0,_xlfn.MAXIFS(BG$1:BG87,BF$1:BF87,BF98)+1,_xlfn.RANK.EQ(BF98,BF$2:BF$111,0)),"")</f>
        <v/>
      </c>
      <c r="BH98" s="1" t="str">
        <f>IF(ISNUMBER(BF98)=TRUE,IF(_xlfn.RANK.EQ(BF98,$BF$2:$BF$111)&lt;='Tournament Setup'!$B$35,_xlfn.RANK.EQ(BF98,$BF$2:$BF$111),""),"")</f>
        <v/>
      </c>
      <c r="BI98" s="31" t="str">
        <f>IF(AND($F98='Tournament Setup'!$A$35,SUM($Q98,$S98)=0,$E98="M",$BH98&gt;'Tournament Setup'!$B$35),$I98,"")</f>
        <v/>
      </c>
      <c r="BJ98" s="1" t="str">
        <f>IF(ISNUMBER(BI98)=TRUE,IF(_xlfn.RANK.EQ(BI98,$BI$2:$BI$111)&lt;='Tournament Setup'!$C$35,_xlfn.RANK.EQ(BI98,$BI$2:$BI$111),""),"")</f>
        <v/>
      </c>
      <c r="BK98" s="31" t="str">
        <f>IF(AND($F98='Tournament Setup'!$A$35,SUM($Q98,$U98)=0,$E98="F",$BH98&gt;'Tournament Setup'!$B$35),$I98,"")</f>
        <v/>
      </c>
      <c r="BL98" s="12" t="str">
        <f>IF(ISNUMBER(BK98)=TRUE,IF(_xlfn.RANK.EQ(BK98,$BK$2:$BK$111)&lt;='Tournament Setup'!$D$35,_xlfn.RANK.EQ(BK98,$BK$2:$BK$111),""),"")</f>
        <v/>
      </c>
      <c r="BM98" s="30" t="str">
        <f>IF(AND($G98='Tournament Setup'!$A$54,$J98&lt;&gt;0),$J98,"")</f>
        <v/>
      </c>
      <c r="BN98" s="47" t="str">
        <f>IF(ISNUMBER(BM98),IF(COUNTIFS(BN$1:BN87,_xlfn.RANK.EQ(BM98,BM$2:BM$111,0))&gt;0,_xlfn.MAXIFS(BN$1:BN87,BM$1:BM87,BM98)+1,_xlfn.RANK.EQ(BM98,BM$2:BM$111,0)),"")</f>
        <v/>
      </c>
      <c r="BO98" s="1" t="str">
        <f>IF(ISNUMBER(BM98)=TRUE,IF(_xlfn.RANK.EQ(BM98,$BM$2:$BM$111)&lt;='Tournament Setup'!$B$49,_xlfn.RANK.EQ(BM98,$BM$2:$BM$111),""),"")</f>
        <v/>
      </c>
      <c r="BP98" s="30" t="str">
        <f>IF(AND($F98='Tournament Setup'!$A$36,SUM($Q98,$S98,$U98)=0),$I98,"")</f>
        <v/>
      </c>
      <c r="BQ98" s="47" t="str">
        <f>IF(ISNUMBER(BP98),IF(COUNTIFS(BQ$1:BQ87,_xlfn.RANK.EQ(BP98,BP$2:BP$111,0))&gt;0,_xlfn.MAXIFS(BQ$1:BQ87,BP$1:BP87,BP98)+1,_xlfn.RANK.EQ(BP98,BP$2:BP$111,0)),"")</f>
        <v/>
      </c>
      <c r="BR98" s="1" t="str">
        <f>IF(ISNUMBER(BP98)=TRUE,IF(_xlfn.RANK.EQ(BP98,$BP$2:$BP$111)&lt;='Tournament Setup'!$B$36,_xlfn.RANK.EQ(BP98,$BP$2:$BP$111),""),"")</f>
        <v/>
      </c>
      <c r="BS98" s="31" t="str">
        <f>IF(AND($F98='Tournament Setup'!$A$36,SUM($Q98,$S98)=0,$E98="M",$BR98&gt;'Tournament Setup'!$B$36),$I98,"")</f>
        <v/>
      </c>
      <c r="BT98" s="1" t="str">
        <f>IF(ISNUMBER(BS98)=TRUE,IF(_xlfn.RANK.EQ(BS98,$BS$2:$BS$111)&lt;='Tournament Setup'!$C$36,_xlfn.RANK.EQ(BS98,$BS$2:$BS$111),""),"")</f>
        <v/>
      </c>
      <c r="BU98" s="31" t="str">
        <f>IF(AND($F98='Tournament Setup'!$A$36,SUM($Q98,$U98)=0,$E98="F",$BR98&gt;'Tournament Setup'!$B$36),$I98,"")</f>
        <v/>
      </c>
      <c r="BV98" s="12" t="str">
        <f>IF(ISNUMBER(BU98)=TRUE,IF(_xlfn.RANK.EQ(BU98,$BU$2:$BU$111)&lt;='Tournament Setup'!$D$36,_xlfn.RANK.EQ(BU98,$BU$2:$BU$111),""),"")</f>
        <v/>
      </c>
      <c r="BW98" s="30" t="str">
        <f>IF($H98='Tournament Setup'!$A$41,$I98,"")</f>
        <v/>
      </c>
      <c r="BX98" s="47" t="str">
        <f>IF(ISNUMBER(BW98),IF(COUNTIFS(BX$1:BX87,_xlfn.RANK.EQ(BW98,BW$2:BW$111,0))&gt;0,_xlfn.MAXIFS(BX$1:BX87,BW$1:BW87,BW98)+1,_xlfn.RANK.EQ(BW98,BW$2:BW$111,0)),"")</f>
        <v/>
      </c>
      <c r="BY98" s="1" t="str">
        <f>IF(ISNUMBER(BW98)=TRUE,IF(_xlfn.RANK.EQ(BW98,$BW$2:$BW$111)&lt;='Tournament Setup'!$B$41,_xlfn.RANK.EQ(BW98,$BW$2:$BW$111),""),"")</f>
        <v/>
      </c>
      <c r="BZ98" s="31" t="str">
        <f>IF(AND($H98='Tournament Setup'!$A$41,$E98="M",$BY98&gt;'Tournament Setup'!$B$41),$I98,"")</f>
        <v/>
      </c>
      <c r="CA98" s="1" t="str">
        <f>IF(ISNUMBER(BZ98)=TRUE,IF(_xlfn.RANK.EQ(BZ98,$BZ$2:$BZ$111)&lt;='Tournament Setup'!$C$41,_xlfn.RANK.EQ(BZ98,$BZ$2:$BZ$111),""),"")</f>
        <v/>
      </c>
      <c r="CB98" s="31" t="str">
        <f>IF(AND($H98='Tournament Setup'!$A$41,$E98="F",$BY98&gt;'Tournament Setup'!$B$41),$I98,"")</f>
        <v/>
      </c>
      <c r="CC98" s="12" t="str">
        <f>IF(ISNUMBER(CB98)=TRUE,IF(_xlfn.RANK.EQ(CB98,$CB$2:$CB$111)&lt;='Tournament Setup'!$D$41,_xlfn.RANK.EQ(CB98,$CB$2:$CB$111),""),"")</f>
        <v/>
      </c>
      <c r="CD98" s="30" t="str">
        <f>IF($H98='Tournament Setup'!$A$42,$I98,"")</f>
        <v/>
      </c>
      <c r="CE98" s="47" t="str">
        <f>IF(ISNUMBER(CD98),IF(COUNTIFS(CE$1:CE87,_xlfn.RANK.EQ(CD98,CD$2:CD$111,0))&gt;0,_xlfn.MAXIFS(CE$1:CE87,CD$1:CD87,CD98)+1,_xlfn.RANK.EQ(CD98,CD$2:CD$111,0)),"")</f>
        <v/>
      </c>
      <c r="CF98" s="1" t="str">
        <f>IF(ISNUMBER(CD98)=TRUE,IF(_xlfn.RANK.EQ(CD98,$CD$2:$CD$111)&lt;='Tournament Setup'!$B$42,_xlfn.RANK.EQ(CD98,$CD$2:$CD$111),""),"")</f>
        <v/>
      </c>
      <c r="CG98" s="31" t="str">
        <f>IF(AND($H98='Tournament Setup'!$A$42,$E98="M",$CF98&gt;'Tournament Setup'!$B$42),$I98,"")</f>
        <v/>
      </c>
      <c r="CH98" s="1" t="str">
        <f>IF(ISNUMBER(CG98)=TRUE,IF(_xlfn.RANK.EQ(CG98,$CG$2:$CG$111)&lt;='Tournament Setup'!$C$42,_xlfn.RANK.EQ(CG98,$CG$2:$CG$111),""),"")</f>
        <v/>
      </c>
      <c r="CI98" s="31" t="str">
        <f>IF(AND($H98='Tournament Setup'!$A$42,$E98="F",$CF98&gt;'Tournament Setup'!$B$42),$I98,"")</f>
        <v/>
      </c>
      <c r="CJ98" s="12" t="str">
        <f>IF(ISNUMBER(CI98)=TRUE,IF(_xlfn.RANK.EQ(CI98,$CI$2:$CI$111)&lt;='Tournament Setup'!$D$42,_xlfn.RANK.EQ(CI98,$CI$2:$CI$111),""),"")</f>
        <v/>
      </c>
      <c r="CK98" s="30" t="str">
        <f>IF($H98='Tournament Setup'!$A$43,$I98,"")</f>
        <v/>
      </c>
      <c r="CL98" s="47" t="str">
        <f>IF(ISNUMBER(CK98),IF(COUNTIFS(CL$1:CL87,_xlfn.RANK.EQ(CK98,CK$2:CK$111,0))&gt;0,_xlfn.MAXIFS(CL$1:CL87,CK$1:CK87,CK98)+1,_xlfn.RANK.EQ(CK98,CK$2:CK$111,0)),"")</f>
        <v/>
      </c>
      <c r="CM98" s="1" t="str">
        <f>IF(ISNUMBER(CK98)=TRUE,IF(_xlfn.RANK.EQ(CK98,$CK$2:$CK$111)&lt;='Tournament Setup'!$B$43,_xlfn.RANK.EQ(CK98,$CK$2:$CK$111),""),"")</f>
        <v/>
      </c>
      <c r="CN98" s="31" t="str">
        <f>IF(AND($H98='Tournament Setup'!$A$43,$E98="M",$CM98&gt;'Tournament Setup'!$B$43),$I98,"")</f>
        <v/>
      </c>
      <c r="CO98" s="1" t="str">
        <f>IF(ISNUMBER(CN98)=TRUE,IF(_xlfn.RANK.EQ(CN98,$CN$2:$CN$111)&lt;='Tournament Setup'!$C$43,_xlfn.RANK.EQ(CN98,$CN$2:$CN$111),""),"")</f>
        <v/>
      </c>
      <c r="CP98" s="31" t="str">
        <f>IF(AND($H98='Tournament Setup'!$A$43,$E98="F",$CM98&gt;'Tournament Setup'!$B$43),$I98,"")</f>
        <v/>
      </c>
      <c r="CQ98" s="12" t="str">
        <f>IF(ISNUMBER(CP98)=TRUE,IF(_xlfn.RANK.EQ(CP98,$CP$2:$CP$111)&lt;='Tournament Setup'!$D$43,_xlfn.RANK.EQ(CP98,$CP$2:$CP$111),""),"")</f>
        <v/>
      </c>
      <c r="CR98" s="30" t="str">
        <f>IF($H98='Tournament Setup'!$A$44,$I98,"")</f>
        <v/>
      </c>
      <c r="CS98" s="47" t="str">
        <f>IF(ISNUMBER(CR98),IF(COUNTIFS(CS$1:CS87,_xlfn.RANK.EQ(CR98,CR$2:CR$111,0))&gt;0,_xlfn.MAXIFS(CS$1:CS87,CR$1:CR87,CR98)+1,_xlfn.RANK.EQ(CR98,CR$2:CR$111,0)),"")</f>
        <v/>
      </c>
      <c r="CT98" s="1" t="str">
        <f>IF(ISNUMBER(CR98)=TRUE,IF(_xlfn.RANK.EQ(CR98,$CR$2:$CR$111)&lt;='Tournament Setup'!$B$44,_xlfn.RANK.EQ(CR98,$CR$2:$CR$111),""),"")</f>
        <v/>
      </c>
      <c r="CU98" s="31" t="str">
        <f>IF(AND($H98='Tournament Setup'!$A$44,$E98="M",$CT98&gt;'Tournament Setup'!$B$44),$I98,"")</f>
        <v/>
      </c>
      <c r="CV98" s="1" t="str">
        <f>IF(ISNUMBER(CU98)=TRUE,IF(_xlfn.RANK.EQ(CU98,$CU$2:$CU$111)&lt;='Tournament Setup'!$C$44,_xlfn.RANK.EQ(CU98,$CU$2:$CU$111),""),"")</f>
        <v/>
      </c>
      <c r="CW98" s="31" t="str">
        <f>IF(AND($H98='Tournament Setup'!$A$44,$E98="F",$CT98&gt;'Tournament Setup'!$B$44),$I98,"")</f>
        <v/>
      </c>
      <c r="CX98" s="12" t="str">
        <f>IF(ISNUMBER(CW98)=TRUE,IF(_xlfn.RANK.EQ(CW98,$CW$2:$CW$111)&lt;='Tournament Setup'!$D$44,_xlfn.RANK.EQ(CW98,$CW$2:$CW$111),""),"")</f>
        <v/>
      </c>
    </row>
    <row r="99" spans="2:102" x14ac:dyDescent="0.3">
      <c r="B99" t="str">
        <f>IFERROR(INDEX('Tournament List'!$B:$B,MATCH($A99,'Tournament List'!$A:$A,0)),"")</f>
        <v/>
      </c>
      <c r="C99" t="str">
        <f>IFERROR(INDEX('Tournament List'!$C:$C,MATCH($A99,'Tournament List'!$A:$A,0)),"")</f>
        <v/>
      </c>
      <c r="D99" t="str">
        <f t="shared" si="4"/>
        <v xml:space="preserve"> </v>
      </c>
      <c r="E99" s="1" t="str">
        <f>IFERROR(INDEX('Tournament List'!F:F,MATCH($A99,'Tournament List'!$A:$A,0)),"")</f>
        <v/>
      </c>
      <c r="F99" t="str">
        <f>IFERROR(INDEX('Tournament List'!M:M,MATCH($A99,'Tournament List'!$A:$A,0)),"")</f>
        <v/>
      </c>
      <c r="G99" t="str">
        <f>IFERROR(INDEX('Shooter-Squad Assignment'!L:L,MATCH(A99,'Shooter-Squad Assignment'!A:A,0)),"")</f>
        <v/>
      </c>
      <c r="H99" s="1" t="str">
        <f>IFERROR(INDEX('Tournament List'!AD:AD,MATCH($A99,'Tournament List'!$A:$A,0)),"")</f>
        <v/>
      </c>
      <c r="I99" s="123" t="str">
        <f>IFERROR(INDEX('Tournament List'!AG:AG,MATCH($A99,'Tournament List'!$A:$A,0)),"")</f>
        <v/>
      </c>
      <c r="J99" s="145" t="str">
        <f>IFERROR(INDEX('Tournament List'!Y:Y,MATCH($A99,'Tournament List'!$A:$A,0)),"")</f>
        <v/>
      </c>
      <c r="K99" s="47" t="str">
        <f>IFERROR(INDEX('Tournament List'!S:S,MATCH(A99,'Tournament List'!A:A,0)),"")</f>
        <v/>
      </c>
      <c r="L99" s="47" t="str">
        <f>IF(ISNUMBER(J99),IF(COUNTIFS(L$1:L98,_xlfn.RANK.EQ(J99,J$2:J$111,0))&gt;0,_xlfn.MAXIFS(L$1:L98,J$1:J98,J99)+1,_xlfn.RANK.EQ(J99,J$2:J$111,0)),"")</f>
        <v/>
      </c>
      <c r="M99" s="11" t="str">
        <f>IF(ISNUMBER(I99)=TRUE,IF(I99&gt;0,_xlfn.RANK.EQ(I99,$I$2:$I$111,0),""),"")</f>
        <v/>
      </c>
      <c r="N99" s="56" t="str">
        <f>IF(ISNUMBER(I99),IF(COUNTIFS(N$1:N98,_xlfn.RANK.EQ(I99,I$2:I$111,0))&gt;0,_xlfn.MAXIFS(N$1:N98,I$1:I98,I99)+1,_xlfn.RANK.EQ(I99,I$2:I$111,0)),"")</f>
        <v/>
      </c>
      <c r="O99" s="144" t="str">
        <f>IF(F99&lt;&gt;"Collegiate"=TRUE,$I99,"")</f>
        <v/>
      </c>
      <c r="P99" s="47" t="str">
        <f>IF(ISNUMBER(O99),IF(COUNTIFS(P$1:P98,_xlfn.RANK.EQ(O99,O$2:O$111,0))&gt;0,_xlfn.MAXIFS(P$1:P98,O$1:O98,O99)+1,_xlfn.RANK.EQ(O99,O$2:O$111,0)),"")</f>
        <v/>
      </c>
      <c r="Q99" s="1" t="str">
        <f>IF(ISNUMBER(O99)=TRUE,IF(_xlfn.RANK.EQ(O99,$O$2:$O$111)&lt;='Tournament Setup'!$B$26,_xlfn.RANK.EQ(O99,$O$2:$O$111),""),"")</f>
        <v/>
      </c>
      <c r="R99" s="143" t="str">
        <f>IF(AND($E99="M",SUM($Q99)=0,F99&lt;&gt;"Collegiate")=TRUE,$I99,"")</f>
        <v/>
      </c>
      <c r="S99" s="1" t="str">
        <f>IF(ISNUMBER(R99)=TRUE,IF(_xlfn.RANK.EQ(R99,$R$2:$R$111)&lt;='Tournament Setup'!$B$27,_xlfn.RANK.EQ(R99,$R$2:$R$111),""),"")</f>
        <v/>
      </c>
      <c r="T99" s="143" t="str">
        <f>IF(AND($E99="F",SUM($Q99)=0,F99&lt;&gt;"Collegiate")=TRUE,$I99,"")</f>
        <v/>
      </c>
      <c r="U99" s="12" t="str">
        <f>IF(ISNUMBER(T99)=TRUE,IF(_xlfn.RANK.EQ(T99,$T$2:$T$111)&lt;='Tournament Setup'!$B$28,_xlfn.RANK.EQ(T99,$T$2:$T$111),""),"")</f>
        <v/>
      </c>
      <c r="V99" s="145" t="str">
        <f>IF(AND($G99='Tournament Setup'!$A$53,$J99&lt;&gt;0),$J99,"")</f>
        <v/>
      </c>
      <c r="W99" s="47" t="str">
        <f>IF(ISNUMBER(V99),IF(COUNTIFS(W$1:W98,_xlfn.RANK.EQ(V99,V$2:V$111,0))&gt;0,_xlfn.MAXIFS(W$1:W98,V$1:V98,V99)+1,_xlfn.RANK.EQ(V99,V$2:V$111,0)),"")</f>
        <v/>
      </c>
      <c r="X99" s="1" t="str">
        <f>IF(ISNUMBER(V99)=TRUE,IF(_xlfn.RANK.EQ(V99,$V$2:$V$111)&lt;='Tournament Setup'!$B$53,_xlfn.RANK.EQ(V99,$V$2:$V$111),""),"")</f>
        <v/>
      </c>
      <c r="Y99" s="145" t="str">
        <f>IF(AND($G99='Tournament Setup'!$A$49,$J99&lt;&gt;0),$J99,"")</f>
        <v/>
      </c>
      <c r="Z99" s="47" t="str">
        <f>IF(ISNUMBER(Y99),IF(COUNTIFS(Z$1:Z98,_xlfn.RANK.EQ(Y99,Y$2:Y$111,0))&gt;0,_xlfn.MAXIFS(Z$1:Z98,Y$1:Y98,Y99)+1,_xlfn.RANK.EQ(Y99,Y$2:Y$111,0)),"")</f>
        <v/>
      </c>
      <c r="AA99" s="1" t="str">
        <f>IF(ISNUMBER(Y99)=TRUE,IF(_xlfn.RANK.EQ(Y99,$Y$2:$Y$111)&lt;='Tournament Setup'!$B$49,_xlfn.RANK.EQ(Y99,$Y$2:$Y$111),""),"")</f>
        <v/>
      </c>
      <c r="AB99" s="30" t="str">
        <f>IF(AND($F99='Tournament Setup'!$A$32,SUM($Q99,$S99,$U99)=0),$I99,"")</f>
        <v/>
      </c>
      <c r="AC99" s="47" t="str">
        <f>IF(ISNUMBER(AB99),IF(COUNTIFS(AC$1:AC98,_xlfn.RANK.EQ(AB99,AB$2:AB$111,0))&gt;0,_xlfn.MAXIFS(AC$1:AC98,AB$1:AB98,AB99)+1,_xlfn.RANK.EQ(AB99,AB$2:AB$111,0)),"")</f>
        <v/>
      </c>
      <c r="AD99" s="1" t="str">
        <f>IF(ISNUMBER(AB99)=TRUE,IF(_xlfn.RANK.EQ(AB99,$AB$2:$AB$111)&lt;='Tournament Setup'!$B$32,_xlfn.RANK.EQ(AB99,$AB$2:$AB$111),""),"")</f>
        <v/>
      </c>
      <c r="AE99" s="31" t="str">
        <f>IF(AND($F99='Tournament Setup'!$A$32,SUM($Q99,$S99)=0,$E99="M",$AD99&gt;'Tournament Setup'!$B$32),$I99,"")</f>
        <v/>
      </c>
      <c r="AF99" s="1" t="str">
        <f>IF(ISNUMBER(AE99)=TRUE,IF(_xlfn.RANK.EQ(AE99,$AE$2:$AE$111)&lt;='Tournament Setup'!$C$32,_xlfn.RANK.EQ(AE99,$AE$2:$AE$111),""),"")</f>
        <v/>
      </c>
      <c r="AG99" s="31" t="str">
        <f>IF(AND($F99='Tournament Setup'!$A$32,SUM($Q99,$U99)=0,$E99="F",$AD99&gt;'Tournament Setup'!$B$32),$I99,"")</f>
        <v/>
      </c>
      <c r="AH99" s="12" t="str">
        <f>IF(ISNUMBER(AG99)=TRUE,IF(_xlfn.RANK.EQ(AG99,$AG$2:$AG$111)&lt;='Tournament Setup'!$D$32,_xlfn.RANK.EQ(AG99,$AG$2:$AG$111),""),"")</f>
        <v/>
      </c>
      <c r="AI99" s="30" t="str">
        <f>IF(AND($G99='Tournament Setup'!$A$50,$J99&lt;&gt;0),$J99,"")</f>
        <v/>
      </c>
      <c r="AJ99" s="47" t="str">
        <f>IF(ISNUMBER(AI99),IF(COUNTIFS(AJ$1:AJ98,_xlfn.RANK.EQ(AI99,AI$2:AI$111,0))&gt;0,_xlfn.MAXIFS(AJ$1:AJ98,AI$1:AI98,AI99)+1,_xlfn.RANK.EQ(AI99,AI$2:AI$111,0)),"")</f>
        <v/>
      </c>
      <c r="AK99" s="1" t="str">
        <f>IF(ISNUMBER(AI99)=TRUE,IF(_xlfn.RANK.EQ(AI99,$AI$2:$AI$111)&lt;='Tournament Setup'!$B$49,_xlfn.RANK.EQ(AI99,$AI$2:$AI$111),""),"")</f>
        <v/>
      </c>
      <c r="AL99" s="30" t="str">
        <f>IF(AND($F99='Tournament Setup'!$A$33,SUM($Q99,$S99,$U99)=0),$I99,"")</f>
        <v/>
      </c>
      <c r="AM99" s="47" t="str">
        <f>IF(ISNUMBER(AL99),IF(COUNTIFS(AM$1:AM98,_xlfn.RANK.EQ(AL99,AL$2:AL$111,0))&gt;0,_xlfn.MAXIFS(AM$1:AM98,AL$1:AL98,AL99)+1,_xlfn.RANK.EQ(AL99,AL$2:AL$111,0)),"")</f>
        <v/>
      </c>
      <c r="AN99" s="1" t="str">
        <f>IF(ISNUMBER(AL99)=TRUE,IF(_xlfn.RANK.EQ(AL99,$AL$2:$AL$111)&lt;='Tournament Setup'!$B$33,_xlfn.RANK.EQ(AL99,$AL$2:$AL$111),""),"")</f>
        <v/>
      </c>
      <c r="AO99" s="31" t="str">
        <f>IF(AND($F99='Tournament Setup'!$A$33,SUM($Q99,$S99)=0,$E99="M",$AN99&gt;'Tournament Setup'!$B$33),$I99,"")</f>
        <v/>
      </c>
      <c r="AP99" s="1" t="str">
        <f>IF(ISNUMBER(AO99)=TRUE,IF(_xlfn.RANK.EQ(AO99,$AO$2:$AO$111)&lt;='Tournament Setup'!$C$33,_xlfn.RANK.EQ(AO99,$AO$2:$AO$111),""),"")</f>
        <v/>
      </c>
      <c r="AQ99" s="31" t="str">
        <f>IF(AND($F99='Tournament Setup'!$A$33,SUM($Q99,$U99)=0,$E99="F",$AN99&gt;'Tournament Setup'!$B$33),$I99,"")</f>
        <v/>
      </c>
      <c r="AR99" s="12" t="str">
        <f>IF(ISNUMBER(AQ99)=TRUE,IF(_xlfn.RANK.EQ(AQ99,$AQ$2:$AQ$111)&lt;='Tournament Setup'!$D$33,_xlfn.RANK.EQ(AQ99,$AQ$2:$AQ$111),""),"")</f>
        <v/>
      </c>
      <c r="AS99" s="30" t="str">
        <f>IF(AND($G99='Tournament Setup'!$A$51,$J99&lt;&gt;0),$J99,"")</f>
        <v/>
      </c>
      <c r="AT99" s="47" t="str">
        <f>IF(ISNUMBER(AS99),IF(COUNTIFS(AT$1:AT98,_xlfn.RANK.EQ(AS99,AS$2:AS$111,0))&gt;0,_xlfn.MAXIFS(AT$1:AT98,AS$1:AS98,AS99)+1,_xlfn.RANK.EQ(AS99,AS$2:AS$111,0)),"")</f>
        <v/>
      </c>
      <c r="AU99" s="1" t="str">
        <f>IF(ISNUMBER(AS99)=TRUE,IF(_xlfn.RANK.EQ(AS99,$AS$2:$AS$111)&lt;='Tournament Setup'!$B$49,_xlfn.RANK.EQ(AS99,$AS$2:$AS$111),""),"")</f>
        <v/>
      </c>
      <c r="AV99" s="30" t="str">
        <f>IF(AND($F99='Tournament Setup'!$A$34,SUM($Q99,$S99,$U99)=0),$I99,"")</f>
        <v/>
      </c>
      <c r="AW99" s="47" t="str">
        <f>IF(ISNUMBER(AV99),IF(COUNTIFS(AW$1:AW98,_xlfn.RANK.EQ(AV99,AV$2:AV$111,0))&gt;0,_xlfn.MAXIFS(AW$1:AW98,AV$1:AV98,AV99)+1,_xlfn.RANK.EQ(AV99,AV$2:AV$111,0)),"")</f>
        <v/>
      </c>
      <c r="AX99" s="1" t="str">
        <f>IF(ISNUMBER(AV99)=TRUE,IF(_xlfn.RANK.EQ(AV99,$AV$2:$AV$111)&lt;='Tournament Setup'!$B$34,_xlfn.RANK.EQ(AV99,$AV$2:$AV$111),""),"")</f>
        <v/>
      </c>
      <c r="AY99" s="31" t="str">
        <f>IF(AND($F99='Tournament Setup'!$A$34,SUM($Q99,$S99)=0,$E99="M",$AX99&gt;'Tournament Setup'!$B$34),$I99,"")</f>
        <v/>
      </c>
      <c r="AZ99" s="1" t="str">
        <f>IF(ISNUMBER(AY99)=TRUE,IF(_xlfn.RANK.EQ(AY99,$AY$2:$AY$111)&lt;='Tournament Setup'!$C$34,_xlfn.RANK.EQ(AY99,$AY$2:$AY$111),""),"")</f>
        <v/>
      </c>
      <c r="BA99" s="31" t="str">
        <f>IF(AND($F99='Tournament Setup'!$A$34,SUM($Q99,$U99)=0,$E99="F",$AX99&gt;'Tournament Setup'!$B$34),$I99,"")</f>
        <v/>
      </c>
      <c r="BB99" s="12" t="str">
        <f>IF(ISNUMBER(BA99)=TRUE,IF(_xlfn.RANK.EQ(BA99,$BA$2:$BA$111)&lt;='Tournament Setup'!$D$34,_xlfn.RANK.EQ(BA99,$BA$2:$BA$111),""),"")</f>
        <v/>
      </c>
      <c r="BC99" s="30" t="str">
        <f>IF(AND($G99='Tournament Setup'!$A$52,$J99&lt;&gt;0),$J99,"")</f>
        <v/>
      </c>
      <c r="BD99" s="47" t="str">
        <f>IF(ISNUMBER(BC99),IF(COUNTIFS(BD$1:BD98,_xlfn.RANK.EQ(BC99,BC$2:BC$111,0))&gt;0,_xlfn.MAXIFS(BD$1:BD98,BC$1:BC98,BC99)+1,_xlfn.RANK.EQ(BC99,BC$2:BC$111,0)),"")</f>
        <v/>
      </c>
      <c r="BE99" s="1" t="str">
        <f>IF(ISNUMBER(BC99)=TRUE,IF(_xlfn.RANK.EQ(BC99,$BC$2:$BC$111)&lt;='Tournament Setup'!$B$49,_xlfn.RANK.EQ(BC99,$BC$2:$BC$111),""),"")</f>
        <v/>
      </c>
      <c r="BF99" s="30" t="str">
        <f>IF(AND($F99='Tournament Setup'!$A$35,SUM($Q99,$S99,$U99)=0),$I99,"")</f>
        <v/>
      </c>
      <c r="BG99" s="47" t="str">
        <f>IF(ISNUMBER(BF99),IF(COUNTIFS(BG$1:BG98,_xlfn.RANK.EQ(BF99,BF$2:BF$111,0))&gt;0,_xlfn.MAXIFS(BG$1:BG98,BF$1:BF98,BF99)+1,_xlfn.RANK.EQ(BF99,BF$2:BF$111,0)),"")</f>
        <v/>
      </c>
      <c r="BH99" s="1" t="str">
        <f>IF(ISNUMBER(BF99)=TRUE,IF(_xlfn.RANK.EQ(BF99,$BF$2:$BF$111)&lt;='Tournament Setup'!$B$35,_xlfn.RANK.EQ(BF99,$BF$2:$BF$111),""),"")</f>
        <v/>
      </c>
      <c r="BI99" s="31" t="str">
        <f>IF(AND($F99='Tournament Setup'!$A$35,SUM($Q99,$S99)=0,$E99="M",$BH99&gt;'Tournament Setup'!$B$35),$I99,"")</f>
        <v/>
      </c>
      <c r="BJ99" s="1" t="str">
        <f>IF(ISNUMBER(BI99)=TRUE,IF(_xlfn.RANK.EQ(BI99,$BI$2:$BI$111)&lt;='Tournament Setup'!$C$35,_xlfn.RANK.EQ(BI99,$BI$2:$BI$111),""),"")</f>
        <v/>
      </c>
      <c r="BK99" s="31" t="str">
        <f>IF(AND($F99='Tournament Setup'!$A$35,SUM($Q99,$U99)=0,$E99="F",$BH99&gt;'Tournament Setup'!$B$35),$I99,"")</f>
        <v/>
      </c>
      <c r="BL99" s="12" t="str">
        <f>IF(ISNUMBER(BK99)=TRUE,IF(_xlfn.RANK.EQ(BK99,$BK$2:$BK$111)&lt;='Tournament Setup'!$D$35,_xlfn.RANK.EQ(BK99,$BK$2:$BK$111),""),"")</f>
        <v/>
      </c>
      <c r="BM99" s="30" t="str">
        <f>IF(AND($G99='Tournament Setup'!$A$54,$J99&lt;&gt;0),$J99,"")</f>
        <v/>
      </c>
      <c r="BN99" s="47" t="str">
        <f>IF(ISNUMBER(BM99),IF(COUNTIFS(BN$1:BN98,_xlfn.RANK.EQ(BM99,BM$2:BM$111,0))&gt;0,_xlfn.MAXIFS(BN$1:BN98,BM$1:BM98,BM99)+1,_xlfn.RANK.EQ(BM99,BM$2:BM$111,0)),"")</f>
        <v/>
      </c>
      <c r="BO99" s="1" t="str">
        <f>IF(ISNUMBER(BM99)=TRUE,IF(_xlfn.RANK.EQ(BM99,$BM$2:$BM$111)&lt;='Tournament Setup'!$B$49,_xlfn.RANK.EQ(BM99,$BM$2:$BM$111),""),"")</f>
        <v/>
      </c>
      <c r="BP99" s="30" t="str">
        <f>IF(AND($F99='Tournament Setup'!$A$36,SUM($Q99,$S99,$U99)=0),$I99,"")</f>
        <v/>
      </c>
      <c r="BQ99" s="47" t="str">
        <f>IF(ISNUMBER(BP99),IF(COUNTIFS(BQ$1:BQ98,_xlfn.RANK.EQ(BP99,BP$2:BP$111,0))&gt;0,_xlfn.MAXIFS(BQ$1:BQ98,BP$1:BP98,BP99)+1,_xlfn.RANK.EQ(BP99,BP$2:BP$111,0)),"")</f>
        <v/>
      </c>
      <c r="BR99" s="1" t="str">
        <f>IF(ISNUMBER(BP99)=TRUE,IF(_xlfn.RANK.EQ(BP99,$BP$2:$BP$111)&lt;='Tournament Setup'!$B$36,_xlfn.RANK.EQ(BP99,$BP$2:$BP$111),""),"")</f>
        <v/>
      </c>
      <c r="BS99" s="31" t="str">
        <f>IF(AND($F99='Tournament Setup'!$A$36,SUM($Q99,$S99)=0,$E99="M",$BR99&gt;'Tournament Setup'!$B$36),$I99,"")</f>
        <v/>
      </c>
      <c r="BT99" s="1" t="str">
        <f>IF(ISNUMBER(BS99)=TRUE,IF(_xlfn.RANK.EQ(BS99,$BS$2:$BS$111)&lt;='Tournament Setup'!$C$36,_xlfn.RANK.EQ(BS99,$BS$2:$BS$111),""),"")</f>
        <v/>
      </c>
      <c r="BU99" s="31" t="str">
        <f>IF(AND($F99='Tournament Setup'!$A$36,SUM($Q99,$U99)=0,$E99="F",$BR99&gt;'Tournament Setup'!$B$36),$I99,"")</f>
        <v/>
      </c>
      <c r="BV99" s="12" t="str">
        <f>IF(ISNUMBER(BU99)=TRUE,IF(_xlfn.RANK.EQ(BU99,$BU$2:$BU$111)&lt;='Tournament Setup'!$D$36,_xlfn.RANK.EQ(BU99,$BU$2:$BU$111),""),"")</f>
        <v/>
      </c>
      <c r="BW99" s="30" t="str">
        <f>IF($H99='Tournament Setup'!$A$41,$I99,"")</f>
        <v/>
      </c>
      <c r="BX99" s="47" t="str">
        <f>IF(ISNUMBER(BW99),IF(COUNTIFS(BX$1:BX98,_xlfn.RANK.EQ(BW99,BW$2:BW$111,0))&gt;0,_xlfn.MAXIFS(BX$1:BX98,BW$1:BW98,BW99)+1,_xlfn.RANK.EQ(BW99,BW$2:BW$111,0)),"")</f>
        <v/>
      </c>
      <c r="BY99" s="1" t="str">
        <f>IF(ISNUMBER(BW99)=TRUE,IF(_xlfn.RANK.EQ(BW99,$BW$2:$BW$111)&lt;='Tournament Setup'!$B$41,_xlfn.RANK.EQ(BW99,$BW$2:$BW$111),""),"")</f>
        <v/>
      </c>
      <c r="BZ99" s="31" t="str">
        <f>IF(AND($H99='Tournament Setup'!$A$41,$E99="M",$BY99&gt;'Tournament Setup'!$B$41),$I99,"")</f>
        <v/>
      </c>
      <c r="CA99" s="1" t="str">
        <f>IF(ISNUMBER(BZ99)=TRUE,IF(_xlfn.RANK.EQ(BZ99,$BZ$2:$BZ$111)&lt;='Tournament Setup'!$C$41,_xlfn.RANK.EQ(BZ99,$BZ$2:$BZ$111),""),"")</f>
        <v/>
      </c>
      <c r="CB99" s="31" t="str">
        <f>IF(AND($H99='Tournament Setup'!$A$41,$E99="F",$BY99&gt;'Tournament Setup'!$B$41),$I99,"")</f>
        <v/>
      </c>
      <c r="CC99" s="12" t="str">
        <f>IF(ISNUMBER(CB99)=TRUE,IF(_xlfn.RANK.EQ(CB99,$CB$2:$CB$111)&lt;='Tournament Setup'!$D$41,_xlfn.RANK.EQ(CB99,$CB$2:$CB$111),""),"")</f>
        <v/>
      </c>
      <c r="CD99" s="30" t="str">
        <f>IF($H99='Tournament Setup'!$A$42,$I99,"")</f>
        <v/>
      </c>
      <c r="CE99" s="47" t="str">
        <f>IF(ISNUMBER(CD99),IF(COUNTIFS(CE$1:CE98,_xlfn.RANK.EQ(CD99,CD$2:CD$111,0))&gt;0,_xlfn.MAXIFS(CE$1:CE98,CD$1:CD98,CD99)+1,_xlfn.RANK.EQ(CD99,CD$2:CD$111,0)),"")</f>
        <v/>
      </c>
      <c r="CF99" s="1" t="str">
        <f>IF(ISNUMBER(CD99)=TRUE,IF(_xlfn.RANK.EQ(CD99,$CD$2:$CD$111)&lt;='Tournament Setup'!$B$42,_xlfn.RANK.EQ(CD99,$CD$2:$CD$111),""),"")</f>
        <v/>
      </c>
      <c r="CG99" s="31" t="str">
        <f>IF(AND($H99='Tournament Setup'!$A$42,$E99="M",$CF99&gt;'Tournament Setup'!$B$42),$I99,"")</f>
        <v/>
      </c>
      <c r="CH99" s="1" t="str">
        <f>IF(ISNUMBER(CG99)=TRUE,IF(_xlfn.RANK.EQ(CG99,$CG$2:$CG$111)&lt;='Tournament Setup'!$C$42,_xlfn.RANK.EQ(CG99,$CG$2:$CG$111),""),"")</f>
        <v/>
      </c>
      <c r="CI99" s="31" t="str">
        <f>IF(AND($H99='Tournament Setup'!$A$42,$E99="F",$CF99&gt;'Tournament Setup'!$B$42),$I99,"")</f>
        <v/>
      </c>
      <c r="CJ99" s="12" t="str">
        <f>IF(ISNUMBER(CI99)=TRUE,IF(_xlfn.RANK.EQ(CI99,$CI$2:$CI$111)&lt;='Tournament Setup'!$D$42,_xlfn.RANK.EQ(CI99,$CI$2:$CI$111),""),"")</f>
        <v/>
      </c>
      <c r="CK99" s="30" t="str">
        <f>IF($H99='Tournament Setup'!$A$43,$I99,"")</f>
        <v/>
      </c>
      <c r="CL99" s="47" t="str">
        <f>IF(ISNUMBER(CK99),IF(COUNTIFS(CL$1:CL98,_xlfn.RANK.EQ(CK99,CK$2:CK$111,0))&gt;0,_xlfn.MAXIFS(CL$1:CL98,CK$1:CK98,CK99)+1,_xlfn.RANK.EQ(CK99,CK$2:CK$111,0)),"")</f>
        <v/>
      </c>
      <c r="CM99" s="1" t="str">
        <f>IF(ISNUMBER(CK99)=TRUE,IF(_xlfn.RANK.EQ(CK99,$CK$2:$CK$111)&lt;='Tournament Setup'!$B$43,_xlfn.RANK.EQ(CK99,$CK$2:$CK$111),""),"")</f>
        <v/>
      </c>
      <c r="CN99" s="31" t="str">
        <f>IF(AND($H99='Tournament Setup'!$A$43,$E99="M",$CM99&gt;'Tournament Setup'!$B$43),$I99,"")</f>
        <v/>
      </c>
      <c r="CO99" s="1" t="str">
        <f>IF(ISNUMBER(CN99)=TRUE,IF(_xlfn.RANK.EQ(CN99,$CN$2:$CN$111)&lt;='Tournament Setup'!$C$43,_xlfn.RANK.EQ(CN99,$CN$2:$CN$111),""),"")</f>
        <v/>
      </c>
      <c r="CP99" s="31" t="str">
        <f>IF(AND($H99='Tournament Setup'!$A$43,$E99="F",$CM99&gt;'Tournament Setup'!$B$43),$I99,"")</f>
        <v/>
      </c>
      <c r="CQ99" s="12" t="str">
        <f>IF(ISNUMBER(CP99)=TRUE,IF(_xlfn.RANK.EQ(CP99,$CP$2:$CP$111)&lt;='Tournament Setup'!$D$43,_xlfn.RANK.EQ(CP99,$CP$2:$CP$111),""),"")</f>
        <v/>
      </c>
      <c r="CR99" s="30" t="str">
        <f>IF($H99='Tournament Setup'!$A$44,$I99,"")</f>
        <v/>
      </c>
      <c r="CS99" s="47" t="str">
        <f>IF(ISNUMBER(CR99),IF(COUNTIFS(CS$1:CS98,_xlfn.RANK.EQ(CR99,CR$2:CR$111,0))&gt;0,_xlfn.MAXIFS(CS$1:CS98,CR$1:CR98,CR99)+1,_xlfn.RANK.EQ(CR99,CR$2:CR$111,0)),"")</f>
        <v/>
      </c>
      <c r="CT99" s="1" t="str">
        <f>IF(ISNUMBER(CR99)=TRUE,IF(_xlfn.RANK.EQ(CR99,$CR$2:$CR$111)&lt;='Tournament Setup'!$B$44,_xlfn.RANK.EQ(CR99,$CR$2:$CR$111),""),"")</f>
        <v/>
      </c>
      <c r="CU99" s="31" t="str">
        <f>IF(AND($H99='Tournament Setup'!$A$44,$E99="M",$CT99&gt;'Tournament Setup'!$B$44),$I99,"")</f>
        <v/>
      </c>
      <c r="CV99" s="1" t="str">
        <f>IF(ISNUMBER(CU99)=TRUE,IF(_xlfn.RANK.EQ(CU99,$CU$2:$CU$111)&lt;='Tournament Setup'!$C$44,_xlfn.RANK.EQ(CU99,$CU$2:$CU$111),""),"")</f>
        <v/>
      </c>
      <c r="CW99" s="31" t="str">
        <f>IF(AND($H99='Tournament Setup'!$A$44,$E99="F",$CT99&gt;'Tournament Setup'!$B$44),$I99,"")</f>
        <v/>
      </c>
      <c r="CX99" s="12" t="str">
        <f>IF(ISNUMBER(CW99)=TRUE,IF(_xlfn.RANK.EQ(CW99,$CW$2:$CW$111)&lt;='Tournament Setup'!$D$44,_xlfn.RANK.EQ(CW99,$CW$2:$CW$111),""),"")</f>
        <v/>
      </c>
    </row>
    <row r="100" spans="2:102" x14ac:dyDescent="0.3">
      <c r="B100" t="str">
        <f>IFERROR(INDEX('Tournament List'!$B:$B,MATCH($A100,'Tournament List'!$A:$A,0)),"")</f>
        <v/>
      </c>
      <c r="C100" t="str">
        <f>IFERROR(INDEX('Tournament List'!$C:$C,MATCH($A100,'Tournament List'!$A:$A,0)),"")</f>
        <v/>
      </c>
      <c r="D100" t="str">
        <f t="shared" si="4"/>
        <v xml:space="preserve"> </v>
      </c>
      <c r="E100" s="1" t="str">
        <f>IFERROR(INDEX('Tournament List'!F:F,MATCH($A100,'Tournament List'!$A:$A,0)),"")</f>
        <v/>
      </c>
      <c r="F100" t="str">
        <f>IFERROR(INDEX('Tournament List'!M:M,MATCH($A100,'Tournament List'!$A:$A,0)),"")</f>
        <v/>
      </c>
      <c r="G100" t="str">
        <f>IFERROR(INDEX('Shooter-Squad Assignment'!L:L,MATCH(A100,'Shooter-Squad Assignment'!A:A,0)),"")</f>
        <v/>
      </c>
      <c r="H100" s="1" t="str">
        <f>IFERROR(INDEX('Tournament List'!AD:AD,MATCH($A100,'Tournament List'!$A:$A,0)),"")</f>
        <v/>
      </c>
      <c r="I100" s="123" t="str">
        <f>IFERROR(INDEX('Tournament List'!AG:AG,MATCH($A100,'Tournament List'!$A:$A,0)),"")</f>
        <v/>
      </c>
      <c r="J100" s="145" t="str">
        <f>IFERROR(INDEX('Tournament List'!Y:Y,MATCH($A100,'Tournament List'!$A:$A,0)),"")</f>
        <v/>
      </c>
      <c r="K100" s="47" t="str">
        <f>IFERROR(INDEX('Tournament List'!S:S,MATCH(A100,'Tournament List'!A:A,0)),"")</f>
        <v/>
      </c>
      <c r="L100" s="47" t="str">
        <f>IF(ISNUMBER(J100),IF(COUNTIFS(L$1:L99,_xlfn.RANK.EQ(J100,J$2:J$111,0))&gt;0,_xlfn.MAXIFS(L$1:L99,J$1:J99,J100)+1,_xlfn.RANK.EQ(J100,J$2:J$111,0)),"")</f>
        <v/>
      </c>
      <c r="M100" s="11" t="str">
        <f>IF(ISNUMBER(I100)=TRUE,IF(I100&gt;0,_xlfn.RANK.EQ(I100,$I$2:$I$111,0),""),"")</f>
        <v/>
      </c>
      <c r="N100" s="56" t="str">
        <f>IF(ISNUMBER(I100),IF(COUNTIFS(N$1:N99,_xlfn.RANK.EQ(I100,I$2:I$111,0))&gt;0,_xlfn.MAXIFS(N$1:N99,I$1:I99,I100)+1,_xlfn.RANK.EQ(I100,I$2:I$111,0)),"")</f>
        <v/>
      </c>
      <c r="O100" s="144" t="str">
        <f>IF(F100&lt;&gt;"Collegiate"=TRUE,$I100,"")</f>
        <v/>
      </c>
      <c r="P100" s="47" t="str">
        <f>IF(ISNUMBER(O100),IF(COUNTIFS(P$1:P99,_xlfn.RANK.EQ(O100,O$2:O$111,0))&gt;0,_xlfn.MAXIFS(P$1:P99,O$1:O99,O100)+1,_xlfn.RANK.EQ(O100,O$2:O$111,0)),"")</f>
        <v/>
      </c>
      <c r="Q100" s="1" t="str">
        <f>IF(ISNUMBER(O100)=TRUE,IF(_xlfn.RANK.EQ(O100,$O$2:$O$111)&lt;='Tournament Setup'!$B$26,_xlfn.RANK.EQ(O100,$O$2:$O$111),""),"")</f>
        <v/>
      </c>
      <c r="R100" s="143" t="str">
        <f>IF(AND($E100="M",SUM($Q100)=0,F100&lt;&gt;"Collegiate")=TRUE,$I100,"")</f>
        <v/>
      </c>
      <c r="S100" s="1" t="str">
        <f>IF(ISNUMBER(R100)=TRUE,IF(_xlfn.RANK.EQ(R100,$R$2:$R$111)&lt;='Tournament Setup'!$B$27,_xlfn.RANK.EQ(R100,$R$2:$R$111),""),"")</f>
        <v/>
      </c>
      <c r="T100" s="143" t="str">
        <f>IF(AND($E100="F",SUM($Q100)=0,F100&lt;&gt;"Collegiate")=TRUE,$I100,"")</f>
        <v/>
      </c>
      <c r="U100" s="12" t="str">
        <f>IF(ISNUMBER(T100)=TRUE,IF(_xlfn.RANK.EQ(T100,$T$2:$T$111)&lt;='Tournament Setup'!$B$28,_xlfn.RANK.EQ(T100,$T$2:$T$111),""),"")</f>
        <v/>
      </c>
      <c r="V100" s="145" t="str">
        <f>IF(AND($G100='Tournament Setup'!$A$53,$J100&lt;&gt;0),$J100,"")</f>
        <v/>
      </c>
      <c r="W100" s="47" t="str">
        <f>IF(ISNUMBER(V100),IF(COUNTIFS(W$1:W99,_xlfn.RANK.EQ(V100,V$2:V$111,0))&gt;0,_xlfn.MAXIFS(W$1:W99,V$1:V99,V100)+1,_xlfn.RANK.EQ(V100,V$2:V$111,0)),"")</f>
        <v/>
      </c>
      <c r="X100" s="1" t="str">
        <f>IF(ISNUMBER(V100)=TRUE,IF(_xlfn.RANK.EQ(V100,$V$2:$V$111)&lt;='Tournament Setup'!$B$53,_xlfn.RANK.EQ(V100,$V$2:$V$111),""),"")</f>
        <v/>
      </c>
      <c r="Y100" s="145" t="str">
        <f>IF(AND($G100='Tournament Setup'!$A$49,$J100&lt;&gt;0),$J100,"")</f>
        <v/>
      </c>
      <c r="Z100" s="47" t="str">
        <f>IF(ISNUMBER(Y100),IF(COUNTIFS(Z$1:Z99,_xlfn.RANK.EQ(Y100,Y$2:Y$111,0))&gt;0,_xlfn.MAXIFS(Z$1:Z99,Y$1:Y99,Y100)+1,_xlfn.RANK.EQ(Y100,Y$2:Y$111,0)),"")</f>
        <v/>
      </c>
      <c r="AA100" s="1" t="str">
        <f>IF(ISNUMBER(Y100)=TRUE,IF(_xlfn.RANK.EQ(Y100,$Y$2:$Y$111)&lt;='Tournament Setup'!$B$49,_xlfn.RANK.EQ(Y100,$Y$2:$Y$111),""),"")</f>
        <v/>
      </c>
      <c r="AB100" s="30" t="str">
        <f>IF(AND($F100='Tournament Setup'!$A$32,SUM($Q100,$S100,$U100)=0),$I100,"")</f>
        <v/>
      </c>
      <c r="AC100" s="47" t="str">
        <f>IF(ISNUMBER(AB100),IF(COUNTIFS(AC$1:AC99,_xlfn.RANK.EQ(AB100,AB$2:AB$111,0))&gt;0,_xlfn.MAXIFS(AC$1:AC99,AB$1:AB99,AB100)+1,_xlfn.RANK.EQ(AB100,AB$2:AB$111,0)),"")</f>
        <v/>
      </c>
      <c r="AD100" s="1" t="str">
        <f>IF(ISNUMBER(AB100)=TRUE,IF(_xlfn.RANK.EQ(AB100,$AB$2:$AB$111)&lt;='Tournament Setup'!$B$32,_xlfn.RANK.EQ(AB100,$AB$2:$AB$111),""),"")</f>
        <v/>
      </c>
      <c r="AE100" s="31" t="str">
        <f>IF(AND($F100='Tournament Setup'!$A$32,SUM($Q100,$S100)=0,$E100="M",$AD100&gt;'Tournament Setup'!$B$32),$I100,"")</f>
        <v/>
      </c>
      <c r="AF100" s="1" t="str">
        <f>IF(ISNUMBER(AE100)=TRUE,IF(_xlfn.RANK.EQ(AE100,$AE$2:$AE$111)&lt;='Tournament Setup'!$C$32,_xlfn.RANK.EQ(AE100,$AE$2:$AE$111),""),"")</f>
        <v/>
      </c>
      <c r="AG100" s="31" t="str">
        <f>IF(AND($F100='Tournament Setup'!$A$32,SUM($Q100,$U100)=0,$E100="F",$AD100&gt;'Tournament Setup'!$B$32),$I100,"")</f>
        <v/>
      </c>
      <c r="AH100" s="12" t="str">
        <f>IF(ISNUMBER(AG100)=TRUE,IF(_xlfn.RANK.EQ(AG100,$AG$2:$AG$111)&lt;='Tournament Setup'!$D$32,_xlfn.RANK.EQ(AG100,$AG$2:$AG$111),""),"")</f>
        <v/>
      </c>
      <c r="AI100" s="30" t="str">
        <f>IF(AND($G100='Tournament Setup'!$A$50,$J100&lt;&gt;0),$J100,"")</f>
        <v/>
      </c>
      <c r="AJ100" s="47" t="str">
        <f>IF(ISNUMBER(AI100),IF(COUNTIFS(AJ$1:AJ99,_xlfn.RANK.EQ(AI100,AI$2:AI$111,0))&gt;0,_xlfn.MAXIFS(AJ$1:AJ99,AI$1:AI99,AI100)+1,_xlfn.RANK.EQ(AI100,AI$2:AI$111,0)),"")</f>
        <v/>
      </c>
      <c r="AK100" s="1" t="str">
        <f>IF(ISNUMBER(AI100)=TRUE,IF(_xlfn.RANK.EQ(AI100,$AI$2:$AI$111)&lt;='Tournament Setup'!$B$49,_xlfn.RANK.EQ(AI100,$AI$2:$AI$111),""),"")</f>
        <v/>
      </c>
      <c r="AL100" s="30" t="str">
        <f>IF(AND($F100='Tournament Setup'!$A$33,SUM($Q100,$S100,$U100)=0),$I100,"")</f>
        <v/>
      </c>
      <c r="AM100" s="47" t="str">
        <f>IF(ISNUMBER(AL100),IF(COUNTIFS(AM$1:AM99,_xlfn.RANK.EQ(AL100,AL$2:AL$111,0))&gt;0,_xlfn.MAXIFS(AM$1:AM99,AL$1:AL99,AL100)+1,_xlfn.RANK.EQ(AL100,AL$2:AL$111,0)),"")</f>
        <v/>
      </c>
      <c r="AN100" s="1" t="str">
        <f>IF(ISNUMBER(AL100)=TRUE,IF(_xlfn.RANK.EQ(AL100,$AL$2:$AL$111)&lt;='Tournament Setup'!$B$33,_xlfn.RANK.EQ(AL100,$AL$2:$AL$111),""),"")</f>
        <v/>
      </c>
      <c r="AO100" s="31" t="str">
        <f>IF(AND($F100='Tournament Setup'!$A$33,SUM($Q100,$S100)=0,$E100="M",$AN100&gt;'Tournament Setup'!$B$33),$I100,"")</f>
        <v/>
      </c>
      <c r="AP100" s="1" t="str">
        <f>IF(ISNUMBER(AO100)=TRUE,IF(_xlfn.RANK.EQ(AO100,$AO$2:$AO$111)&lt;='Tournament Setup'!$C$33,_xlfn.RANK.EQ(AO100,$AO$2:$AO$111),""),"")</f>
        <v/>
      </c>
      <c r="AQ100" s="31" t="str">
        <f>IF(AND($F100='Tournament Setup'!$A$33,SUM($Q100,$U100)=0,$E100="F",$AN100&gt;'Tournament Setup'!$B$33),$I100,"")</f>
        <v/>
      </c>
      <c r="AR100" s="12" t="str">
        <f>IF(ISNUMBER(AQ100)=TRUE,IF(_xlfn.RANK.EQ(AQ100,$AQ$2:$AQ$111)&lt;='Tournament Setup'!$D$33,_xlfn.RANK.EQ(AQ100,$AQ$2:$AQ$111),""),"")</f>
        <v/>
      </c>
      <c r="AS100" s="30" t="str">
        <f>IF(AND($G100='Tournament Setup'!$A$51,$J100&lt;&gt;0),$J100,"")</f>
        <v/>
      </c>
      <c r="AT100" s="47" t="str">
        <f>IF(ISNUMBER(AS100),IF(COUNTIFS(AT$1:AT99,_xlfn.RANK.EQ(AS100,AS$2:AS$111,0))&gt;0,_xlfn.MAXIFS(AT$1:AT99,AS$1:AS99,AS100)+1,_xlfn.RANK.EQ(AS100,AS$2:AS$111,0)),"")</f>
        <v/>
      </c>
      <c r="AU100" s="1" t="str">
        <f>IF(ISNUMBER(AS100)=TRUE,IF(_xlfn.RANK.EQ(AS100,$AS$2:$AS$111)&lt;='Tournament Setup'!$B$49,_xlfn.RANK.EQ(AS100,$AS$2:$AS$111),""),"")</f>
        <v/>
      </c>
      <c r="AV100" s="30" t="str">
        <f>IF(AND($F100='Tournament Setup'!$A$34,SUM($Q100,$S100,$U100)=0),$I100,"")</f>
        <v/>
      </c>
      <c r="AW100" s="47" t="str">
        <f>IF(ISNUMBER(AV100),IF(COUNTIFS(AW$1:AW99,_xlfn.RANK.EQ(AV100,AV$2:AV$111,0))&gt;0,_xlfn.MAXIFS(AW$1:AW99,AV$1:AV99,AV100)+1,_xlfn.RANK.EQ(AV100,AV$2:AV$111,0)),"")</f>
        <v/>
      </c>
      <c r="AX100" s="1" t="str">
        <f>IF(ISNUMBER(AV100)=TRUE,IF(_xlfn.RANK.EQ(AV100,$AV$2:$AV$111)&lt;='Tournament Setup'!$B$34,_xlfn.RANK.EQ(AV100,$AV$2:$AV$111),""),"")</f>
        <v/>
      </c>
      <c r="AY100" s="31" t="str">
        <f>IF(AND($F100='Tournament Setup'!$A$34,SUM($Q100,$S100)=0,$E100="M",$AX100&gt;'Tournament Setup'!$B$34),$I100,"")</f>
        <v/>
      </c>
      <c r="AZ100" s="1" t="str">
        <f>IF(ISNUMBER(AY100)=TRUE,IF(_xlfn.RANK.EQ(AY100,$AY$2:$AY$111)&lt;='Tournament Setup'!$C$34,_xlfn.RANK.EQ(AY100,$AY$2:$AY$111),""),"")</f>
        <v/>
      </c>
      <c r="BA100" s="31" t="str">
        <f>IF(AND($F100='Tournament Setup'!$A$34,SUM($Q100,$U100)=0,$E100="F",$AX100&gt;'Tournament Setup'!$B$34),$I100,"")</f>
        <v/>
      </c>
      <c r="BB100" s="12" t="str">
        <f>IF(ISNUMBER(BA100)=TRUE,IF(_xlfn.RANK.EQ(BA100,$BA$2:$BA$111)&lt;='Tournament Setup'!$D$34,_xlfn.RANK.EQ(BA100,$BA$2:$BA$111),""),"")</f>
        <v/>
      </c>
      <c r="BC100" s="30" t="str">
        <f>IF(AND($G100='Tournament Setup'!$A$52,$J100&lt;&gt;0),$J100,"")</f>
        <v/>
      </c>
      <c r="BD100" s="47" t="str">
        <f>IF(ISNUMBER(BC100),IF(COUNTIFS(BD$1:BD99,_xlfn.RANK.EQ(BC100,BC$2:BC$111,0))&gt;0,_xlfn.MAXIFS(BD$1:BD99,BC$1:BC99,BC100)+1,_xlfn.RANK.EQ(BC100,BC$2:BC$111,0)),"")</f>
        <v/>
      </c>
      <c r="BE100" s="1" t="str">
        <f>IF(ISNUMBER(BC100)=TRUE,IF(_xlfn.RANK.EQ(BC100,$BC$2:$BC$111)&lt;='Tournament Setup'!$B$49,_xlfn.RANK.EQ(BC100,$BC$2:$BC$111),""),"")</f>
        <v/>
      </c>
      <c r="BF100" s="30" t="str">
        <f>IF(AND($F100='Tournament Setup'!$A$35,SUM($Q100,$S100,$U100)=0),$I100,"")</f>
        <v/>
      </c>
      <c r="BG100" s="47" t="str">
        <f>IF(ISNUMBER(BF100),IF(COUNTIFS(BG$1:BG99,_xlfn.RANK.EQ(BF100,BF$2:BF$111,0))&gt;0,_xlfn.MAXIFS(BG$1:BG99,BF$1:BF99,BF100)+1,_xlfn.RANK.EQ(BF100,BF$2:BF$111,0)),"")</f>
        <v/>
      </c>
      <c r="BH100" s="1" t="str">
        <f>IF(ISNUMBER(BF100)=TRUE,IF(_xlfn.RANK.EQ(BF100,$BF$2:$BF$111)&lt;='Tournament Setup'!$B$35,_xlfn.RANK.EQ(BF100,$BF$2:$BF$111),""),"")</f>
        <v/>
      </c>
      <c r="BI100" s="31" t="str">
        <f>IF(AND($F100='Tournament Setup'!$A$35,SUM($Q100,$S100)=0,$E100="M",$BH100&gt;'Tournament Setup'!$B$35),$I100,"")</f>
        <v/>
      </c>
      <c r="BJ100" s="1" t="str">
        <f>IF(ISNUMBER(BI100)=TRUE,IF(_xlfn.RANK.EQ(BI100,$BI$2:$BI$111)&lt;='Tournament Setup'!$C$35,_xlfn.RANK.EQ(BI100,$BI$2:$BI$111),""),"")</f>
        <v/>
      </c>
      <c r="BK100" s="31" t="str">
        <f>IF(AND($F100='Tournament Setup'!$A$35,SUM($Q100,$U100)=0,$E100="F",$BH100&gt;'Tournament Setup'!$B$35),$I100,"")</f>
        <v/>
      </c>
      <c r="BL100" s="12" t="str">
        <f>IF(ISNUMBER(BK100)=TRUE,IF(_xlfn.RANK.EQ(BK100,$BK$2:$BK$111)&lt;='Tournament Setup'!$D$35,_xlfn.RANK.EQ(BK100,$BK$2:$BK$111),""),"")</f>
        <v/>
      </c>
      <c r="BM100" s="30" t="str">
        <f>IF(AND($G100='Tournament Setup'!$A$54,$J100&lt;&gt;0),$J100,"")</f>
        <v/>
      </c>
      <c r="BN100" s="47" t="str">
        <f>IF(ISNUMBER(BM100),IF(COUNTIFS(BN$1:BN99,_xlfn.RANK.EQ(BM100,BM$2:BM$111,0))&gt;0,_xlfn.MAXIFS(BN$1:BN99,BM$1:BM99,BM100)+1,_xlfn.RANK.EQ(BM100,BM$2:BM$111,0)),"")</f>
        <v/>
      </c>
      <c r="BO100" s="1" t="str">
        <f>IF(ISNUMBER(BM100)=TRUE,IF(_xlfn.RANK.EQ(BM100,$BM$2:$BM$111)&lt;='Tournament Setup'!$B$49,_xlfn.RANK.EQ(BM100,$BM$2:$BM$111),""),"")</f>
        <v/>
      </c>
      <c r="BP100" s="30" t="str">
        <f>IF(AND($F100='Tournament Setup'!$A$36,SUM($Q100,$S100,$U100)=0),$I100,"")</f>
        <v/>
      </c>
      <c r="BQ100" s="47" t="str">
        <f>IF(ISNUMBER(BP100),IF(COUNTIFS(BQ$1:BQ99,_xlfn.RANK.EQ(BP100,BP$2:BP$111,0))&gt;0,_xlfn.MAXIFS(BQ$1:BQ99,BP$1:BP99,BP100)+1,_xlfn.RANK.EQ(BP100,BP$2:BP$111,0)),"")</f>
        <v/>
      </c>
      <c r="BR100" s="1" t="str">
        <f>IF(ISNUMBER(BP100)=TRUE,IF(_xlfn.RANK.EQ(BP100,$BP$2:$BP$111)&lt;='Tournament Setup'!$B$36,_xlfn.RANK.EQ(BP100,$BP$2:$BP$111),""),"")</f>
        <v/>
      </c>
      <c r="BS100" s="31" t="str">
        <f>IF(AND($F100='Tournament Setup'!$A$36,SUM($Q100,$S100)=0,$E100="M",$BR100&gt;'Tournament Setup'!$B$36),$I100,"")</f>
        <v/>
      </c>
      <c r="BT100" s="1" t="str">
        <f>IF(ISNUMBER(BS100)=TRUE,IF(_xlfn.RANK.EQ(BS100,$BS$2:$BS$111)&lt;='Tournament Setup'!$C$36,_xlfn.RANK.EQ(BS100,$BS$2:$BS$111),""),"")</f>
        <v/>
      </c>
      <c r="BU100" s="31" t="str">
        <f>IF(AND($F100='Tournament Setup'!$A$36,SUM($Q100,$U100)=0,$E100="F",$BR100&gt;'Tournament Setup'!$B$36),$I100,"")</f>
        <v/>
      </c>
      <c r="BV100" s="12" t="str">
        <f>IF(ISNUMBER(BU100)=TRUE,IF(_xlfn.RANK.EQ(BU100,$BU$2:$BU$111)&lt;='Tournament Setup'!$D$36,_xlfn.RANK.EQ(BU100,$BU$2:$BU$111),""),"")</f>
        <v/>
      </c>
      <c r="BW100" s="30" t="str">
        <f>IF($H100='Tournament Setup'!$A$41,$I100,"")</f>
        <v/>
      </c>
      <c r="BX100" s="47" t="str">
        <f>IF(ISNUMBER(BW100),IF(COUNTIFS(BX$1:BX99,_xlfn.RANK.EQ(BW100,BW$2:BW$111,0))&gt;0,_xlfn.MAXIFS(BX$1:BX99,BW$1:BW99,BW100)+1,_xlfn.RANK.EQ(BW100,BW$2:BW$111,0)),"")</f>
        <v/>
      </c>
      <c r="BY100" s="1" t="str">
        <f>IF(ISNUMBER(BW100)=TRUE,IF(_xlfn.RANK.EQ(BW100,$BW$2:$BW$111)&lt;='Tournament Setup'!$B$41,_xlfn.RANK.EQ(BW100,$BW$2:$BW$111),""),"")</f>
        <v/>
      </c>
      <c r="BZ100" s="31" t="str">
        <f>IF(AND($H100='Tournament Setup'!$A$41,$E100="M",$BY100&gt;'Tournament Setup'!$B$41),$I100,"")</f>
        <v/>
      </c>
      <c r="CA100" s="1" t="str">
        <f>IF(ISNUMBER(BZ100)=TRUE,IF(_xlfn.RANK.EQ(BZ100,$BZ$2:$BZ$111)&lt;='Tournament Setup'!$C$41,_xlfn.RANK.EQ(BZ100,$BZ$2:$BZ$111),""),"")</f>
        <v/>
      </c>
      <c r="CB100" s="31" t="str">
        <f>IF(AND($H100='Tournament Setup'!$A$41,$E100="F",$BY100&gt;'Tournament Setup'!$B$41),$I100,"")</f>
        <v/>
      </c>
      <c r="CC100" s="12" t="str">
        <f>IF(ISNUMBER(CB100)=TRUE,IF(_xlfn.RANK.EQ(CB100,$CB$2:$CB$111)&lt;='Tournament Setup'!$D$41,_xlfn.RANK.EQ(CB100,$CB$2:$CB$111),""),"")</f>
        <v/>
      </c>
      <c r="CD100" s="30" t="str">
        <f>IF($H100='Tournament Setup'!$A$42,$I100,"")</f>
        <v/>
      </c>
      <c r="CE100" s="47" t="str">
        <f>IF(ISNUMBER(CD100),IF(COUNTIFS(CE$1:CE99,_xlfn.RANK.EQ(CD100,CD$2:CD$111,0))&gt;0,_xlfn.MAXIFS(CE$1:CE99,CD$1:CD99,CD100)+1,_xlfn.RANK.EQ(CD100,CD$2:CD$111,0)),"")</f>
        <v/>
      </c>
      <c r="CF100" s="1" t="str">
        <f>IF(ISNUMBER(CD100)=TRUE,IF(_xlfn.RANK.EQ(CD100,$CD$2:$CD$111)&lt;='Tournament Setup'!$B$42,_xlfn.RANK.EQ(CD100,$CD$2:$CD$111),""),"")</f>
        <v/>
      </c>
      <c r="CG100" s="31" t="str">
        <f>IF(AND($H100='Tournament Setup'!$A$42,$E100="M",$CF100&gt;'Tournament Setup'!$B$42),$I100,"")</f>
        <v/>
      </c>
      <c r="CH100" s="1" t="str">
        <f>IF(ISNUMBER(CG100)=TRUE,IF(_xlfn.RANK.EQ(CG100,$CG$2:$CG$111)&lt;='Tournament Setup'!$C$42,_xlfn.RANK.EQ(CG100,$CG$2:$CG$111),""),"")</f>
        <v/>
      </c>
      <c r="CI100" s="31" t="str">
        <f>IF(AND($H100='Tournament Setup'!$A$42,$E100="F",$CF100&gt;'Tournament Setup'!$B$42),$I100,"")</f>
        <v/>
      </c>
      <c r="CJ100" s="12" t="str">
        <f>IF(ISNUMBER(CI100)=TRUE,IF(_xlfn.RANK.EQ(CI100,$CI$2:$CI$111)&lt;='Tournament Setup'!$D$42,_xlfn.RANK.EQ(CI100,$CI$2:$CI$111),""),"")</f>
        <v/>
      </c>
      <c r="CK100" s="30" t="str">
        <f>IF($H100='Tournament Setup'!$A$43,$I100,"")</f>
        <v/>
      </c>
      <c r="CL100" s="47" t="str">
        <f>IF(ISNUMBER(CK100),IF(COUNTIFS(CL$1:CL99,_xlfn.RANK.EQ(CK100,CK$2:CK$111,0))&gt;0,_xlfn.MAXIFS(CL$1:CL99,CK$1:CK99,CK100)+1,_xlfn.RANK.EQ(CK100,CK$2:CK$111,0)),"")</f>
        <v/>
      </c>
      <c r="CM100" s="1" t="str">
        <f>IF(ISNUMBER(CK100)=TRUE,IF(_xlfn.RANK.EQ(CK100,$CK$2:$CK$111)&lt;='Tournament Setup'!$B$43,_xlfn.RANK.EQ(CK100,$CK$2:$CK$111),""),"")</f>
        <v/>
      </c>
      <c r="CN100" s="31" t="str">
        <f>IF(AND($H100='Tournament Setup'!$A$43,$E100="M",$CM100&gt;'Tournament Setup'!$B$43),$I100,"")</f>
        <v/>
      </c>
      <c r="CO100" s="1" t="str">
        <f>IF(ISNUMBER(CN100)=TRUE,IF(_xlfn.RANK.EQ(CN100,$CN$2:$CN$111)&lt;='Tournament Setup'!$C$43,_xlfn.RANK.EQ(CN100,$CN$2:$CN$111),""),"")</f>
        <v/>
      </c>
      <c r="CP100" s="31" t="str">
        <f>IF(AND($H100='Tournament Setup'!$A$43,$E100="F",$CM100&gt;'Tournament Setup'!$B$43),$I100,"")</f>
        <v/>
      </c>
      <c r="CQ100" s="12" t="str">
        <f>IF(ISNUMBER(CP100)=TRUE,IF(_xlfn.RANK.EQ(CP100,$CP$2:$CP$111)&lt;='Tournament Setup'!$D$43,_xlfn.RANK.EQ(CP100,$CP$2:$CP$111),""),"")</f>
        <v/>
      </c>
      <c r="CR100" s="30" t="str">
        <f>IF($H100='Tournament Setup'!$A$44,$I100,"")</f>
        <v/>
      </c>
      <c r="CS100" s="47" t="str">
        <f>IF(ISNUMBER(CR100),IF(COUNTIFS(CS$1:CS99,_xlfn.RANK.EQ(CR100,CR$2:CR$111,0))&gt;0,_xlfn.MAXIFS(CS$1:CS99,CR$1:CR99,CR100)+1,_xlfn.RANK.EQ(CR100,CR$2:CR$111,0)),"")</f>
        <v/>
      </c>
      <c r="CT100" s="1" t="str">
        <f>IF(ISNUMBER(CR100)=TRUE,IF(_xlfn.RANK.EQ(CR100,$CR$2:$CR$111)&lt;='Tournament Setup'!$B$44,_xlfn.RANK.EQ(CR100,$CR$2:$CR$111),""),"")</f>
        <v/>
      </c>
      <c r="CU100" s="31" t="str">
        <f>IF(AND($H100='Tournament Setup'!$A$44,$E100="M",$CT100&gt;'Tournament Setup'!$B$44),$I100,"")</f>
        <v/>
      </c>
      <c r="CV100" s="1" t="str">
        <f>IF(ISNUMBER(CU100)=TRUE,IF(_xlfn.RANK.EQ(CU100,$CU$2:$CU$111)&lt;='Tournament Setup'!$C$44,_xlfn.RANK.EQ(CU100,$CU$2:$CU$111),""),"")</f>
        <v/>
      </c>
      <c r="CW100" s="31" t="str">
        <f>IF(AND($H100='Tournament Setup'!$A$44,$E100="F",$CT100&gt;'Tournament Setup'!$B$44),$I100,"")</f>
        <v/>
      </c>
      <c r="CX100" s="12" t="str">
        <f>IF(ISNUMBER(CW100)=TRUE,IF(_xlfn.RANK.EQ(CW100,$CW$2:$CW$111)&lt;='Tournament Setup'!$D$44,_xlfn.RANK.EQ(CW100,$CW$2:$CW$111),""),"")</f>
        <v/>
      </c>
    </row>
    <row r="101" spans="2:102" x14ac:dyDescent="0.3">
      <c r="B101" t="str">
        <f>IFERROR(INDEX('Tournament List'!$B:$B,MATCH($A101,'Tournament List'!$A:$A,0)),"")</f>
        <v/>
      </c>
      <c r="C101" t="str">
        <f>IFERROR(INDEX('Tournament List'!$C:$C,MATCH($A101,'Tournament List'!$A:$A,0)),"")</f>
        <v/>
      </c>
      <c r="D101" t="str">
        <f t="shared" si="4"/>
        <v xml:space="preserve"> </v>
      </c>
      <c r="E101" s="1" t="str">
        <f>IFERROR(INDEX('Tournament List'!F:F,MATCH($A101,'Tournament List'!$A:$A,0)),"")</f>
        <v/>
      </c>
      <c r="F101" t="str">
        <f>IFERROR(INDEX('Tournament List'!M:M,MATCH($A101,'Tournament List'!$A:$A,0)),"")</f>
        <v/>
      </c>
      <c r="G101" t="str">
        <f>IFERROR(INDEX('Shooter-Squad Assignment'!L:L,MATCH(A101,'Shooter-Squad Assignment'!A:A,0)),"")</f>
        <v/>
      </c>
      <c r="H101" s="1" t="str">
        <f>IFERROR(INDEX('Tournament List'!AD:AD,MATCH($A101,'Tournament List'!$A:$A,0)),"")</f>
        <v/>
      </c>
      <c r="I101" s="123" t="str">
        <f>IFERROR(INDEX('Tournament List'!AG:AG,MATCH($A101,'Tournament List'!$A:$A,0)),"")</f>
        <v/>
      </c>
      <c r="J101" s="145" t="str">
        <f>IFERROR(INDEX('Tournament List'!Y:Y,MATCH($A101,'Tournament List'!$A:$A,0)),"")</f>
        <v/>
      </c>
      <c r="K101" s="47" t="str">
        <f>IFERROR(INDEX('Tournament List'!S:S,MATCH(A101,'Tournament List'!A:A,0)),"")</f>
        <v/>
      </c>
      <c r="L101" s="47" t="str">
        <f>IF(ISNUMBER(J101),IF(COUNTIFS(L$1:L100,_xlfn.RANK.EQ(J101,J$2:J$111,0))&gt;0,_xlfn.MAXIFS(L$1:L100,J$1:J100,J101)+1,_xlfn.RANK.EQ(J101,J$2:J$111,0)),"")</f>
        <v/>
      </c>
      <c r="M101" s="11" t="str">
        <f>IF(ISNUMBER(I101)=TRUE,IF(I101&gt;0,_xlfn.RANK.EQ(I101,$I$2:$I$111,0),""),"")</f>
        <v/>
      </c>
      <c r="N101" s="56" t="str">
        <f>IF(ISNUMBER(I101),IF(COUNTIFS(N$1:N100,_xlfn.RANK.EQ(I101,I$2:I$111,0))&gt;0,_xlfn.MAXIFS(N$1:N100,I$1:I100,I101)+1,_xlfn.RANK.EQ(I101,I$2:I$111,0)),"")</f>
        <v/>
      </c>
      <c r="O101" s="144" t="str">
        <f>IF(F101&lt;&gt;"Collegiate"=TRUE,$I101,"")</f>
        <v/>
      </c>
      <c r="P101" s="47" t="str">
        <f>IF(ISNUMBER(O101),IF(COUNTIFS(P$1:P100,_xlfn.RANK.EQ(O101,O$2:O$111,0))&gt;0,_xlfn.MAXIFS(P$1:P100,O$1:O100,O101)+1,_xlfn.RANK.EQ(O101,O$2:O$111,0)),"")</f>
        <v/>
      </c>
      <c r="Q101" s="1" t="str">
        <f>IF(ISNUMBER(O101)=TRUE,IF(_xlfn.RANK.EQ(O101,$O$2:$O$111)&lt;='Tournament Setup'!$B$26,_xlfn.RANK.EQ(O101,$O$2:$O$111),""),"")</f>
        <v/>
      </c>
      <c r="R101" s="143" t="str">
        <f>IF(AND($E101="M",SUM($Q101)=0,F101&lt;&gt;"Collegiate")=TRUE,$I101,"")</f>
        <v/>
      </c>
      <c r="S101" s="1" t="str">
        <f>IF(ISNUMBER(R101)=TRUE,IF(_xlfn.RANK.EQ(R101,$R$2:$R$111)&lt;='Tournament Setup'!$B$27,_xlfn.RANK.EQ(R101,$R$2:$R$111),""),"")</f>
        <v/>
      </c>
      <c r="T101" s="143" t="str">
        <f>IF(AND($E101="F",SUM($Q101)=0,F101&lt;&gt;"Collegiate")=TRUE,$I101,"")</f>
        <v/>
      </c>
      <c r="U101" s="12" t="str">
        <f>IF(ISNUMBER(T101)=TRUE,IF(_xlfn.RANK.EQ(T101,$T$2:$T$111)&lt;='Tournament Setup'!$B$28,_xlfn.RANK.EQ(T101,$T$2:$T$111),""),"")</f>
        <v/>
      </c>
      <c r="V101" s="145" t="str">
        <f>IF(AND($G101='Tournament Setup'!$A$53,$J101&lt;&gt;0),$J101,"")</f>
        <v/>
      </c>
      <c r="W101" s="47" t="str">
        <f>IF(ISNUMBER(V101),IF(COUNTIFS(W$1:W100,_xlfn.RANK.EQ(V101,V$2:V$111,0))&gt;0,_xlfn.MAXIFS(W$1:W100,V$1:V100,V101)+1,_xlfn.RANK.EQ(V101,V$2:V$111,0)),"")</f>
        <v/>
      </c>
      <c r="X101" s="1" t="str">
        <f>IF(ISNUMBER(V101)=TRUE,IF(_xlfn.RANK.EQ(V101,$V$2:$V$111)&lt;='Tournament Setup'!$B$53,_xlfn.RANK.EQ(V101,$V$2:$V$111),""),"")</f>
        <v/>
      </c>
      <c r="Y101" s="145" t="str">
        <f>IF(AND($G101='Tournament Setup'!$A$49,$J101&lt;&gt;0),$J101,"")</f>
        <v/>
      </c>
      <c r="Z101" s="47" t="str">
        <f>IF(ISNUMBER(Y101),IF(COUNTIFS(Z$1:Z100,_xlfn.RANK.EQ(Y101,Y$2:Y$111,0))&gt;0,_xlfn.MAXIFS(Z$1:Z100,Y$1:Y100,Y101)+1,_xlfn.RANK.EQ(Y101,Y$2:Y$111,0)),"")</f>
        <v/>
      </c>
      <c r="AA101" s="1" t="str">
        <f>IF(ISNUMBER(Y101)=TRUE,IF(_xlfn.RANK.EQ(Y101,$Y$2:$Y$111)&lt;='Tournament Setup'!$B$49,_xlfn.RANK.EQ(Y101,$Y$2:$Y$111),""),"")</f>
        <v/>
      </c>
      <c r="AB101" s="30" t="str">
        <f>IF(AND($F101='Tournament Setup'!$A$32,SUM($Q101,$S101,$U101)=0),$I101,"")</f>
        <v/>
      </c>
      <c r="AC101" s="47" t="str">
        <f>IF(ISNUMBER(AB101),IF(COUNTIFS(AC$1:AC100,_xlfn.RANK.EQ(AB101,AB$2:AB$111,0))&gt;0,_xlfn.MAXIFS(AC$1:AC100,AB$1:AB100,AB101)+1,_xlfn.RANK.EQ(AB101,AB$2:AB$111,0)),"")</f>
        <v/>
      </c>
      <c r="AD101" s="1" t="str">
        <f>IF(ISNUMBER(AB101)=TRUE,IF(_xlfn.RANK.EQ(AB101,$AB$2:$AB$111)&lt;='Tournament Setup'!$B$32,_xlfn.RANK.EQ(AB101,$AB$2:$AB$111),""),"")</f>
        <v/>
      </c>
      <c r="AE101" s="31" t="str">
        <f>IF(AND($F101='Tournament Setup'!$A$32,SUM($Q101,$S101)=0,$E101="M",$AD101&gt;'Tournament Setup'!$B$32),$I101,"")</f>
        <v/>
      </c>
      <c r="AF101" s="1" t="str">
        <f>IF(ISNUMBER(AE101)=TRUE,IF(_xlfn.RANK.EQ(AE101,$AE$2:$AE$111)&lt;='Tournament Setup'!$C$32,_xlfn.RANK.EQ(AE101,$AE$2:$AE$111),""),"")</f>
        <v/>
      </c>
      <c r="AG101" s="31" t="str">
        <f>IF(AND($F101='Tournament Setup'!$A$32,SUM($Q101,$U101)=0,$E101="F",$AD101&gt;'Tournament Setup'!$B$32),$I101,"")</f>
        <v/>
      </c>
      <c r="AH101" s="12" t="str">
        <f>IF(ISNUMBER(AG101)=TRUE,IF(_xlfn.RANK.EQ(AG101,$AG$2:$AG$111)&lt;='Tournament Setup'!$D$32,_xlfn.RANK.EQ(AG101,$AG$2:$AG$111),""),"")</f>
        <v/>
      </c>
      <c r="AI101" s="30" t="str">
        <f>IF(AND($G101='Tournament Setup'!$A$50,$J101&lt;&gt;0),$J101,"")</f>
        <v/>
      </c>
      <c r="AJ101" s="47" t="str">
        <f>IF(ISNUMBER(AI101),IF(COUNTIFS(AJ$1:AJ100,_xlfn.RANK.EQ(AI101,AI$2:AI$111,0))&gt;0,_xlfn.MAXIFS(AJ$1:AJ100,AI$1:AI100,AI101)+1,_xlfn.RANK.EQ(AI101,AI$2:AI$111,0)),"")</f>
        <v/>
      </c>
      <c r="AK101" s="1" t="str">
        <f>IF(ISNUMBER(AI101)=TRUE,IF(_xlfn.RANK.EQ(AI101,$AI$2:$AI$111)&lt;='Tournament Setup'!$B$49,_xlfn.RANK.EQ(AI101,$AI$2:$AI$111),""),"")</f>
        <v/>
      </c>
      <c r="AL101" s="30" t="str">
        <f>IF(AND($F101='Tournament Setup'!$A$33,SUM($Q101,$S101,$U101)=0),$I101,"")</f>
        <v/>
      </c>
      <c r="AM101" s="47" t="str">
        <f>IF(ISNUMBER(AL101),IF(COUNTIFS(AM$1:AM100,_xlfn.RANK.EQ(AL101,AL$2:AL$111,0))&gt;0,_xlfn.MAXIFS(AM$1:AM100,AL$1:AL100,AL101)+1,_xlfn.RANK.EQ(AL101,AL$2:AL$111,0)),"")</f>
        <v/>
      </c>
      <c r="AN101" s="1" t="str">
        <f>IF(ISNUMBER(AL101)=TRUE,IF(_xlfn.RANK.EQ(AL101,$AL$2:$AL$111)&lt;='Tournament Setup'!$B$33,_xlfn.RANK.EQ(AL101,$AL$2:$AL$111),""),"")</f>
        <v/>
      </c>
      <c r="AO101" s="31" t="str">
        <f>IF(AND($F101='Tournament Setup'!$A$33,SUM($Q101,$S101)=0,$E101="M",$AN101&gt;'Tournament Setup'!$B$33),$I101,"")</f>
        <v/>
      </c>
      <c r="AP101" s="1" t="str">
        <f>IF(ISNUMBER(AO101)=TRUE,IF(_xlfn.RANK.EQ(AO101,$AO$2:$AO$111)&lt;='Tournament Setup'!$C$33,_xlfn.RANK.EQ(AO101,$AO$2:$AO$111),""),"")</f>
        <v/>
      </c>
      <c r="AQ101" s="31" t="str">
        <f>IF(AND($F101='Tournament Setup'!$A$33,SUM($Q101,$U101)=0,$E101="F",$AN101&gt;'Tournament Setup'!$B$33),$I101,"")</f>
        <v/>
      </c>
      <c r="AR101" s="12" t="str">
        <f>IF(ISNUMBER(AQ101)=TRUE,IF(_xlfn.RANK.EQ(AQ101,$AQ$2:$AQ$111)&lt;='Tournament Setup'!$D$33,_xlfn.RANK.EQ(AQ101,$AQ$2:$AQ$111),""),"")</f>
        <v/>
      </c>
      <c r="AS101" s="30" t="str">
        <f>IF(AND($G101='Tournament Setup'!$A$51,$J101&lt;&gt;0),$J101,"")</f>
        <v/>
      </c>
      <c r="AT101" s="47" t="str">
        <f>IF(ISNUMBER(AS101),IF(COUNTIFS(AT$1:AT100,_xlfn.RANK.EQ(AS101,AS$2:AS$111,0))&gt;0,_xlfn.MAXIFS(AT$1:AT100,AS$1:AS100,AS101)+1,_xlfn.RANK.EQ(AS101,AS$2:AS$111,0)),"")</f>
        <v/>
      </c>
      <c r="AU101" s="1" t="str">
        <f>IF(ISNUMBER(AS101)=TRUE,IF(_xlfn.RANK.EQ(AS101,$AS$2:$AS$111)&lt;='Tournament Setup'!$B$49,_xlfn.RANK.EQ(AS101,$AS$2:$AS$111),""),"")</f>
        <v/>
      </c>
      <c r="AV101" s="30" t="str">
        <f>IF(AND($F101='Tournament Setup'!$A$34,SUM($Q101,$S101,$U101)=0),$I101,"")</f>
        <v/>
      </c>
      <c r="AW101" s="47" t="str">
        <f>IF(ISNUMBER(AV101),IF(COUNTIFS(AW$1:AW100,_xlfn.RANK.EQ(AV101,AV$2:AV$111,0))&gt;0,_xlfn.MAXIFS(AW$1:AW100,AV$1:AV100,AV101)+1,_xlfn.RANK.EQ(AV101,AV$2:AV$111,0)),"")</f>
        <v/>
      </c>
      <c r="AX101" s="1" t="str">
        <f>IF(ISNUMBER(AV101)=TRUE,IF(_xlfn.RANK.EQ(AV101,$AV$2:$AV$111)&lt;='Tournament Setup'!$B$34,_xlfn.RANK.EQ(AV101,$AV$2:$AV$111),""),"")</f>
        <v/>
      </c>
      <c r="AY101" s="31" t="str">
        <f>IF(AND($F101='Tournament Setup'!$A$34,SUM($Q101,$S101)=0,$E101="M",$AX101&gt;'Tournament Setup'!$B$34),$I101,"")</f>
        <v/>
      </c>
      <c r="AZ101" s="1" t="str">
        <f>IF(ISNUMBER(AY101)=TRUE,IF(_xlfn.RANK.EQ(AY101,$AY$2:$AY$111)&lt;='Tournament Setup'!$C$34,_xlfn.RANK.EQ(AY101,$AY$2:$AY$111),""),"")</f>
        <v/>
      </c>
      <c r="BA101" s="31" t="str">
        <f>IF(AND($F101='Tournament Setup'!$A$34,SUM($Q101,$U101)=0,$E101="F",$AX101&gt;'Tournament Setup'!$B$34),$I101,"")</f>
        <v/>
      </c>
      <c r="BB101" s="12" t="str">
        <f>IF(ISNUMBER(BA101)=TRUE,IF(_xlfn.RANK.EQ(BA101,$BA$2:$BA$111)&lt;='Tournament Setup'!$D$34,_xlfn.RANK.EQ(BA101,$BA$2:$BA$111),""),"")</f>
        <v/>
      </c>
      <c r="BC101" s="30" t="str">
        <f>IF(AND($G101='Tournament Setup'!$A$52,$J101&lt;&gt;0),$J101,"")</f>
        <v/>
      </c>
      <c r="BD101" s="47" t="str">
        <f>IF(ISNUMBER(BC101),IF(COUNTIFS(BD$1:BD100,_xlfn.RANK.EQ(BC101,BC$2:BC$111,0))&gt;0,_xlfn.MAXIFS(BD$1:BD100,BC$1:BC100,BC101)+1,_xlfn.RANK.EQ(BC101,BC$2:BC$111,0)),"")</f>
        <v/>
      </c>
      <c r="BE101" s="1" t="str">
        <f>IF(ISNUMBER(BC101)=TRUE,IF(_xlfn.RANK.EQ(BC101,$BC$2:$BC$111)&lt;='Tournament Setup'!$B$49,_xlfn.RANK.EQ(BC101,$BC$2:$BC$111),""),"")</f>
        <v/>
      </c>
      <c r="BF101" s="30" t="str">
        <f>IF(AND($F101='Tournament Setup'!$A$35,SUM($Q101,$S101,$U101)=0),$I101,"")</f>
        <v/>
      </c>
      <c r="BG101" s="47" t="str">
        <f>IF(ISNUMBER(BF101),IF(COUNTIFS(BG$1:BG100,_xlfn.RANK.EQ(BF101,BF$2:BF$111,0))&gt;0,_xlfn.MAXIFS(BG$1:BG100,BF$1:BF100,BF101)+1,_xlfn.RANK.EQ(BF101,BF$2:BF$111,0)),"")</f>
        <v/>
      </c>
      <c r="BH101" s="1" t="str">
        <f>IF(ISNUMBER(BF101)=TRUE,IF(_xlfn.RANK.EQ(BF101,$BF$2:$BF$111)&lt;='Tournament Setup'!$B$35,_xlfn.RANK.EQ(BF101,$BF$2:$BF$111),""),"")</f>
        <v/>
      </c>
      <c r="BI101" s="31" t="str">
        <f>IF(AND($F101='Tournament Setup'!$A$35,SUM($Q101,$S101)=0,$E101="M",$BH101&gt;'Tournament Setup'!$B$35),$I101,"")</f>
        <v/>
      </c>
      <c r="BJ101" s="1" t="str">
        <f>IF(ISNUMBER(BI101)=TRUE,IF(_xlfn.RANK.EQ(BI101,$BI$2:$BI$111)&lt;='Tournament Setup'!$C$35,_xlfn.RANK.EQ(BI101,$BI$2:$BI$111),""),"")</f>
        <v/>
      </c>
      <c r="BK101" s="31" t="str">
        <f>IF(AND($F101='Tournament Setup'!$A$35,SUM($Q101,$U101)=0,$E101="F",$BH101&gt;'Tournament Setup'!$B$35),$I101,"")</f>
        <v/>
      </c>
      <c r="BL101" s="12" t="str">
        <f>IF(ISNUMBER(BK101)=TRUE,IF(_xlfn.RANK.EQ(BK101,$BK$2:$BK$111)&lt;='Tournament Setup'!$D$35,_xlfn.RANK.EQ(BK101,$BK$2:$BK$111),""),"")</f>
        <v/>
      </c>
      <c r="BM101" s="30" t="str">
        <f>IF(AND($G101='Tournament Setup'!$A$54,$J101&lt;&gt;0),$J101,"")</f>
        <v/>
      </c>
      <c r="BN101" s="47" t="str">
        <f>IF(ISNUMBER(BM101),IF(COUNTIFS(BN$1:BN100,_xlfn.RANK.EQ(BM101,BM$2:BM$111,0))&gt;0,_xlfn.MAXIFS(BN$1:BN100,BM$1:BM100,BM101)+1,_xlfn.RANK.EQ(BM101,BM$2:BM$111,0)),"")</f>
        <v/>
      </c>
      <c r="BO101" s="1" t="str">
        <f>IF(ISNUMBER(BM101)=TRUE,IF(_xlfn.RANK.EQ(BM101,$BM$2:$BM$111)&lt;='Tournament Setup'!$B$49,_xlfn.RANK.EQ(BM101,$BM$2:$BM$111),""),"")</f>
        <v/>
      </c>
      <c r="BP101" s="30" t="str">
        <f>IF(AND($F101='Tournament Setup'!$A$36,SUM($Q101,$S101,$U101)=0),$I101,"")</f>
        <v/>
      </c>
      <c r="BQ101" s="47" t="str">
        <f>IF(ISNUMBER(BP101),IF(COUNTIFS(BQ$1:BQ100,_xlfn.RANK.EQ(BP101,BP$2:BP$111,0))&gt;0,_xlfn.MAXIFS(BQ$1:BQ100,BP$1:BP100,BP101)+1,_xlfn.RANK.EQ(BP101,BP$2:BP$111,0)),"")</f>
        <v/>
      </c>
      <c r="BR101" s="1" t="str">
        <f>IF(ISNUMBER(BP101)=TRUE,IF(_xlfn.RANK.EQ(BP101,$BP$2:$BP$111)&lt;='Tournament Setup'!$B$36,_xlfn.RANK.EQ(BP101,$BP$2:$BP$111),""),"")</f>
        <v/>
      </c>
      <c r="BS101" s="31" t="str">
        <f>IF(AND($F101='Tournament Setup'!$A$36,SUM($Q101,$S101)=0,$E101="M",$BR101&gt;'Tournament Setup'!$B$36),$I101,"")</f>
        <v/>
      </c>
      <c r="BT101" s="1" t="str">
        <f>IF(ISNUMBER(BS101)=TRUE,IF(_xlfn.RANK.EQ(BS101,$BS$2:$BS$111)&lt;='Tournament Setup'!$C$36,_xlfn.RANK.EQ(BS101,$BS$2:$BS$111),""),"")</f>
        <v/>
      </c>
      <c r="BU101" s="31" t="str">
        <f>IF(AND($F101='Tournament Setup'!$A$36,SUM($Q101,$U101)=0,$E101="F",$BR101&gt;'Tournament Setup'!$B$36),$I101,"")</f>
        <v/>
      </c>
      <c r="BV101" s="12" t="str">
        <f>IF(ISNUMBER(BU101)=TRUE,IF(_xlfn.RANK.EQ(BU101,$BU$2:$BU$111)&lt;='Tournament Setup'!$D$36,_xlfn.RANK.EQ(BU101,$BU$2:$BU$111),""),"")</f>
        <v/>
      </c>
      <c r="BW101" s="30" t="str">
        <f>IF($H101='Tournament Setup'!$A$41,$I101,"")</f>
        <v/>
      </c>
      <c r="BX101" s="47" t="str">
        <f>IF(ISNUMBER(BW101),IF(COUNTIFS(BX$1:BX100,_xlfn.RANK.EQ(BW101,BW$2:BW$111,0))&gt;0,_xlfn.MAXIFS(BX$1:BX100,BW$1:BW100,BW101)+1,_xlfn.RANK.EQ(BW101,BW$2:BW$111,0)),"")</f>
        <v/>
      </c>
      <c r="BY101" s="1" t="str">
        <f>IF(ISNUMBER(BW101)=TRUE,IF(_xlfn.RANK.EQ(BW101,$BW$2:$BW$111)&lt;='Tournament Setup'!$B$41,_xlfn.RANK.EQ(BW101,$BW$2:$BW$111),""),"")</f>
        <v/>
      </c>
      <c r="BZ101" s="31" t="str">
        <f>IF(AND($H101='Tournament Setup'!$A$41,$E101="M",$BY101&gt;'Tournament Setup'!$B$41),$I101,"")</f>
        <v/>
      </c>
      <c r="CA101" s="1" t="str">
        <f>IF(ISNUMBER(BZ101)=TRUE,IF(_xlfn.RANK.EQ(BZ101,$BZ$2:$BZ$111)&lt;='Tournament Setup'!$C$41,_xlfn.RANK.EQ(BZ101,$BZ$2:$BZ$111),""),"")</f>
        <v/>
      </c>
      <c r="CB101" s="31" t="str">
        <f>IF(AND($H101='Tournament Setup'!$A$41,$E101="F",$BY101&gt;'Tournament Setup'!$B$41),$I101,"")</f>
        <v/>
      </c>
      <c r="CC101" s="12" t="str">
        <f>IF(ISNUMBER(CB101)=TRUE,IF(_xlfn.RANK.EQ(CB101,$CB$2:$CB$111)&lt;='Tournament Setup'!$D$41,_xlfn.RANK.EQ(CB101,$CB$2:$CB$111),""),"")</f>
        <v/>
      </c>
      <c r="CD101" s="30" t="str">
        <f>IF($H101='Tournament Setup'!$A$42,$I101,"")</f>
        <v/>
      </c>
      <c r="CE101" s="47" t="str">
        <f>IF(ISNUMBER(CD101),IF(COUNTIFS(CE$1:CE100,_xlfn.RANK.EQ(CD101,CD$2:CD$111,0))&gt;0,_xlfn.MAXIFS(CE$1:CE100,CD$1:CD100,CD101)+1,_xlfn.RANK.EQ(CD101,CD$2:CD$111,0)),"")</f>
        <v/>
      </c>
      <c r="CF101" s="1" t="str">
        <f>IF(ISNUMBER(CD101)=TRUE,IF(_xlfn.RANK.EQ(CD101,$CD$2:$CD$111)&lt;='Tournament Setup'!$B$42,_xlfn.RANK.EQ(CD101,$CD$2:$CD$111),""),"")</f>
        <v/>
      </c>
      <c r="CG101" s="31" t="str">
        <f>IF(AND($H101='Tournament Setup'!$A$42,$E101="M",$CF101&gt;'Tournament Setup'!$B$42),$I101,"")</f>
        <v/>
      </c>
      <c r="CH101" s="1" t="str">
        <f>IF(ISNUMBER(CG101)=TRUE,IF(_xlfn.RANK.EQ(CG101,$CG$2:$CG$111)&lt;='Tournament Setup'!$C$42,_xlfn.RANK.EQ(CG101,$CG$2:$CG$111),""),"")</f>
        <v/>
      </c>
      <c r="CI101" s="31" t="str">
        <f>IF(AND($H101='Tournament Setup'!$A$42,$E101="F",$CF101&gt;'Tournament Setup'!$B$42),$I101,"")</f>
        <v/>
      </c>
      <c r="CJ101" s="12" t="str">
        <f>IF(ISNUMBER(CI101)=TRUE,IF(_xlfn.RANK.EQ(CI101,$CI$2:$CI$111)&lt;='Tournament Setup'!$D$42,_xlfn.RANK.EQ(CI101,$CI$2:$CI$111),""),"")</f>
        <v/>
      </c>
      <c r="CK101" s="30" t="str">
        <f>IF($H101='Tournament Setup'!$A$43,$I101,"")</f>
        <v/>
      </c>
      <c r="CL101" s="47" t="str">
        <f>IF(ISNUMBER(CK101),IF(COUNTIFS(CL$1:CL100,_xlfn.RANK.EQ(CK101,CK$2:CK$111,0))&gt;0,_xlfn.MAXIFS(CL$1:CL100,CK$1:CK100,CK101)+1,_xlfn.RANK.EQ(CK101,CK$2:CK$111,0)),"")</f>
        <v/>
      </c>
      <c r="CM101" s="1" t="str">
        <f>IF(ISNUMBER(CK101)=TRUE,IF(_xlfn.RANK.EQ(CK101,$CK$2:$CK$111)&lt;='Tournament Setup'!$B$43,_xlfn.RANK.EQ(CK101,$CK$2:$CK$111),""),"")</f>
        <v/>
      </c>
      <c r="CN101" s="31" t="str">
        <f>IF(AND($H101='Tournament Setup'!$A$43,$E101="M",$CM101&gt;'Tournament Setup'!$B$43),$I101,"")</f>
        <v/>
      </c>
      <c r="CO101" s="1" t="str">
        <f>IF(ISNUMBER(CN101)=TRUE,IF(_xlfn.RANK.EQ(CN101,$CN$2:$CN$111)&lt;='Tournament Setup'!$C$43,_xlfn.RANK.EQ(CN101,$CN$2:$CN$111),""),"")</f>
        <v/>
      </c>
      <c r="CP101" s="31" t="str">
        <f>IF(AND($H101='Tournament Setup'!$A$43,$E101="F",$CM101&gt;'Tournament Setup'!$B$43),$I101,"")</f>
        <v/>
      </c>
      <c r="CQ101" s="12" t="str">
        <f>IF(ISNUMBER(CP101)=TRUE,IF(_xlfn.RANK.EQ(CP101,$CP$2:$CP$111)&lt;='Tournament Setup'!$D$43,_xlfn.RANK.EQ(CP101,$CP$2:$CP$111),""),"")</f>
        <v/>
      </c>
      <c r="CR101" s="30" t="str">
        <f>IF($H101='Tournament Setup'!$A$44,$I101,"")</f>
        <v/>
      </c>
      <c r="CS101" s="47" t="str">
        <f>IF(ISNUMBER(CR101),IF(COUNTIFS(CS$1:CS100,_xlfn.RANK.EQ(CR101,CR$2:CR$111,0))&gt;0,_xlfn.MAXIFS(CS$1:CS100,CR$1:CR100,CR101)+1,_xlfn.RANK.EQ(CR101,CR$2:CR$111,0)),"")</f>
        <v/>
      </c>
      <c r="CT101" s="1" t="str">
        <f>IF(ISNUMBER(CR101)=TRUE,IF(_xlfn.RANK.EQ(CR101,$CR$2:$CR$111)&lt;='Tournament Setup'!$B$44,_xlfn.RANK.EQ(CR101,$CR$2:$CR$111),""),"")</f>
        <v/>
      </c>
      <c r="CU101" s="31" t="str">
        <f>IF(AND($H101='Tournament Setup'!$A$44,$E101="M",$CT101&gt;'Tournament Setup'!$B$44),$I101,"")</f>
        <v/>
      </c>
      <c r="CV101" s="1" t="str">
        <f>IF(ISNUMBER(CU101)=TRUE,IF(_xlfn.RANK.EQ(CU101,$CU$2:$CU$111)&lt;='Tournament Setup'!$C$44,_xlfn.RANK.EQ(CU101,$CU$2:$CU$111),""),"")</f>
        <v/>
      </c>
      <c r="CW101" s="31" t="str">
        <f>IF(AND($H101='Tournament Setup'!$A$44,$E101="F",$CT101&gt;'Tournament Setup'!$B$44),$I101,"")</f>
        <v/>
      </c>
      <c r="CX101" s="12" t="str">
        <f>IF(ISNUMBER(CW101)=TRUE,IF(_xlfn.RANK.EQ(CW101,$CW$2:$CW$111)&lt;='Tournament Setup'!$D$44,_xlfn.RANK.EQ(CW101,$CW$2:$CW$111),""),"")</f>
        <v/>
      </c>
    </row>
    <row r="102" spans="2:102" x14ac:dyDescent="0.3">
      <c r="B102" t="str">
        <f>IFERROR(INDEX('Tournament List'!$B:$B,MATCH($A102,'Tournament List'!$A:$A,0)),"")</f>
        <v/>
      </c>
      <c r="C102" t="str">
        <f>IFERROR(INDEX('Tournament List'!$C:$C,MATCH($A102,'Tournament List'!$A:$A,0)),"")</f>
        <v/>
      </c>
      <c r="D102" t="str">
        <f t="shared" si="3"/>
        <v xml:space="preserve"> </v>
      </c>
      <c r="E102" s="1" t="str">
        <f>IFERROR(INDEX('Tournament List'!F:F,MATCH($A102,'Tournament List'!$A:$A,0)),"")</f>
        <v/>
      </c>
      <c r="F102" t="str">
        <f>IFERROR(INDEX('Tournament List'!M:M,MATCH($A102,'Tournament List'!$A:$A,0)),"")</f>
        <v/>
      </c>
      <c r="G102" t="str">
        <f>IFERROR(INDEX('Shooter-Squad Assignment'!L:L,MATCH(A102,'Shooter-Squad Assignment'!A:A,0)),"")</f>
        <v/>
      </c>
      <c r="H102" s="1" t="str">
        <f>IFERROR(INDEX('Tournament List'!AD:AD,MATCH($A102,'Tournament List'!$A:$A,0)),"")</f>
        <v/>
      </c>
      <c r="I102" s="123" t="str">
        <f>IFERROR(INDEX('Tournament List'!AG:AG,MATCH($A102,'Tournament List'!$A:$A,0)),"")</f>
        <v/>
      </c>
      <c r="J102" s="145" t="str">
        <f>IFERROR(INDEX('Tournament List'!Y:Y,MATCH($A102,'Tournament List'!$A:$A,0)),"")</f>
        <v/>
      </c>
      <c r="K102" s="47" t="str">
        <f>IFERROR(INDEX('Tournament List'!S:S,MATCH(A102,'Tournament List'!A:A,0)),"")</f>
        <v/>
      </c>
      <c r="L102" s="47" t="str">
        <f>IF(ISNUMBER(J102),IF(COUNTIFS(L$1:L79,_xlfn.RANK.EQ(J102,J$2:J$111,0))&gt;0,_xlfn.MAXIFS(L$1:L79,J$1:J79,J102)+1,_xlfn.RANK.EQ(J102,J$2:J$111,0)),"")</f>
        <v/>
      </c>
      <c r="M102" s="11" t="str">
        <f>IF(ISNUMBER(I102)=TRUE,IF(I102&gt;0,_xlfn.RANK.EQ(I102,$I$2:$I$111,0),""),"")</f>
        <v/>
      </c>
      <c r="N102" s="56" t="str">
        <f>IF(ISNUMBER(I102),IF(COUNTIFS(N$1:N79,_xlfn.RANK.EQ(I102,I$2:I$111,0))&gt;0,_xlfn.MAXIFS(N$1:N79,I$1:I79,I102)+1,_xlfn.RANK.EQ(I102,I$2:I$111,0)),"")</f>
        <v/>
      </c>
      <c r="O102" s="144" t="str">
        <f>IF(F102&lt;&gt;"Collegiate"=TRUE,$I102,"")</f>
        <v/>
      </c>
      <c r="P102" s="47" t="str">
        <f>IF(ISNUMBER(O102),IF(COUNTIFS(P$1:P79,_xlfn.RANK.EQ(O102,O$2:O$111,0))&gt;0,_xlfn.MAXIFS(P$1:P79,O$1:O79,O102)+1,_xlfn.RANK.EQ(O102,O$2:O$111,0)),"")</f>
        <v/>
      </c>
      <c r="Q102" s="1" t="str">
        <f>IF(ISNUMBER(O102)=TRUE,IF(_xlfn.RANK.EQ(O102,$O$2:$O$111)&lt;='Tournament Setup'!$B$26,_xlfn.RANK.EQ(O102,$O$2:$O$111),""),"")</f>
        <v/>
      </c>
      <c r="R102" s="143" t="str">
        <f>IF(AND($E102="M",SUM($Q102)=0,F102&lt;&gt;"Collegiate")=TRUE,$I102,"")</f>
        <v/>
      </c>
      <c r="S102" s="1" t="str">
        <f>IF(ISNUMBER(R102)=TRUE,IF(_xlfn.RANK.EQ(R102,$R$2:$R$111)&lt;='Tournament Setup'!$B$27,_xlfn.RANK.EQ(R102,$R$2:$R$111),""),"")</f>
        <v/>
      </c>
      <c r="T102" s="143" t="str">
        <f>IF(AND($E102="F",SUM($Q102)=0,F102&lt;&gt;"Collegiate")=TRUE,$I102,"")</f>
        <v/>
      </c>
      <c r="U102" s="12" t="str">
        <f>IF(ISNUMBER(T102)=TRUE,IF(_xlfn.RANK.EQ(T102,$T$2:$T$111)&lt;='Tournament Setup'!$B$28,_xlfn.RANK.EQ(T102,$T$2:$T$111),""),"")</f>
        <v/>
      </c>
      <c r="V102" s="145" t="str">
        <f>IF(AND($G102='Tournament Setup'!$A$53,$J102&lt;&gt;0),$J102,"")</f>
        <v/>
      </c>
      <c r="W102" s="47" t="str">
        <f>IF(ISNUMBER(V102),IF(COUNTIFS(W$1:W101,_xlfn.RANK.EQ(V102,V$2:V$111,0))&gt;0,_xlfn.MAXIFS(W$1:W101,V$1:V101,V102)+1,_xlfn.RANK.EQ(V102,V$2:V$111,0)),"")</f>
        <v/>
      </c>
      <c r="X102" s="1" t="str">
        <f>IF(ISNUMBER(V102)=TRUE,IF(_xlfn.RANK.EQ(V102,$V$2:$V$111)&lt;='Tournament Setup'!$B$53,_xlfn.RANK.EQ(V102,$V$2:$V$111),""),"")</f>
        <v/>
      </c>
      <c r="Y102" s="145" t="str">
        <f>IF(AND($G102='Tournament Setup'!$A$49,$J102&lt;&gt;0),$J102,"")</f>
        <v/>
      </c>
      <c r="Z102" s="47" t="str">
        <f>IF(ISNUMBER(Y102),IF(COUNTIFS(Z$1:Z101,_xlfn.RANK.EQ(Y102,Y$2:Y$111,0))&gt;0,_xlfn.MAXIFS(Z$1:Z101,Y$1:Y101,Y102)+1,_xlfn.RANK.EQ(Y102,Y$2:Y$111,0)),"")</f>
        <v/>
      </c>
      <c r="AA102" s="1" t="str">
        <f>IF(ISNUMBER(Y102)=TRUE,IF(_xlfn.RANK.EQ(Y102,$Y$2:$Y$111)&lt;='Tournament Setup'!$B$49,_xlfn.RANK.EQ(Y102,$Y$2:$Y$111),""),"")</f>
        <v/>
      </c>
      <c r="AB102" s="30" t="str">
        <f>IF(AND($F102='Tournament Setup'!$A$32,SUM($Q102,$S102,$U102)=0),$I102,"")</f>
        <v/>
      </c>
      <c r="AC102" s="47" t="str">
        <f>IF(ISNUMBER(AB102),IF(COUNTIFS(AC$1:AC79,_xlfn.RANK.EQ(AB102,AB$2:AB$111,0))&gt;0,_xlfn.MAXIFS(AC$1:AC79,AB$1:AB79,AB102)+1,_xlfn.RANK.EQ(AB102,AB$2:AB$111,0)),"")</f>
        <v/>
      </c>
      <c r="AD102" s="1" t="str">
        <f>IF(ISNUMBER(AB102)=TRUE,IF(_xlfn.RANK.EQ(AB102,$AB$2:$AB$111)&lt;='Tournament Setup'!$B$32,_xlfn.RANK.EQ(AB102,$AB$2:$AB$111),""),"")</f>
        <v/>
      </c>
      <c r="AE102" s="31" t="str">
        <f>IF(AND($F102='Tournament Setup'!$A$32,SUM($Q102,$S102)=0,$E102="M",$AD102&gt;'Tournament Setup'!$B$32),$I102,"")</f>
        <v/>
      </c>
      <c r="AF102" s="1" t="str">
        <f>IF(ISNUMBER(AE102)=TRUE,IF(_xlfn.RANK.EQ(AE102,$AE$2:$AE$111)&lt;='Tournament Setup'!$C$32,_xlfn.RANK.EQ(AE102,$AE$2:$AE$111),""),"")</f>
        <v/>
      </c>
      <c r="AG102" s="31" t="str">
        <f>IF(AND($F102='Tournament Setup'!$A$32,SUM($Q102,$U102)=0,$E102="F",$AD102&gt;'Tournament Setup'!$B$32),$I102,"")</f>
        <v/>
      </c>
      <c r="AH102" s="12" t="str">
        <f>IF(ISNUMBER(AG102)=TRUE,IF(_xlfn.RANK.EQ(AG102,$AG$2:$AG$111)&lt;='Tournament Setup'!$D$32,_xlfn.RANK.EQ(AG102,$AG$2:$AG$111),""),"")</f>
        <v/>
      </c>
      <c r="AI102" s="30" t="str">
        <f>IF(AND($G102='Tournament Setup'!$A$50,$J102&lt;&gt;0),$J102,"")</f>
        <v/>
      </c>
      <c r="AJ102" s="47" t="str">
        <f>IF(ISNUMBER(AI102),IF(COUNTIFS(AJ$1:AJ79,_xlfn.RANK.EQ(AI102,AI$2:AI$111,0))&gt;0,_xlfn.MAXIFS(AJ$1:AJ79,AI$1:AI79,AI102)+1,_xlfn.RANK.EQ(AI102,AI$2:AI$111,0)),"")</f>
        <v/>
      </c>
      <c r="AK102" s="1" t="str">
        <f>IF(ISNUMBER(AI102)=TRUE,IF(_xlfn.RANK.EQ(AI102,$AI$2:$AI$111)&lt;='Tournament Setup'!$B$49,_xlfn.RANK.EQ(AI102,$AI$2:$AI$111),""),"")</f>
        <v/>
      </c>
      <c r="AL102" s="30" t="str">
        <f>IF(AND($F102='Tournament Setup'!$A$33,SUM($Q102,$S102,$U102)=0),$I102,"")</f>
        <v/>
      </c>
      <c r="AM102" s="47" t="str">
        <f>IF(ISNUMBER(AL102),IF(COUNTIFS(AM$1:AM79,_xlfn.RANK.EQ(AL102,AL$2:AL$111,0))&gt;0,_xlfn.MAXIFS(AM$1:AM79,AL$1:AL79,AL102)+1,_xlfn.RANK.EQ(AL102,AL$2:AL$111,0)),"")</f>
        <v/>
      </c>
      <c r="AN102" s="1" t="str">
        <f>IF(ISNUMBER(AL102)=TRUE,IF(_xlfn.RANK.EQ(AL102,$AL$2:$AL$111)&lt;='Tournament Setup'!$B$33,_xlfn.RANK.EQ(AL102,$AL$2:$AL$111),""),"")</f>
        <v/>
      </c>
      <c r="AO102" s="31" t="str">
        <f>IF(AND($F102='Tournament Setup'!$A$33,SUM($Q102,$S102)=0,$E102="M",$AN102&gt;'Tournament Setup'!$B$33),$I102,"")</f>
        <v/>
      </c>
      <c r="AP102" s="1" t="str">
        <f>IF(ISNUMBER(AO102)=TRUE,IF(_xlfn.RANK.EQ(AO102,$AO$2:$AO$111)&lt;='Tournament Setup'!$C$33,_xlfn.RANK.EQ(AO102,$AO$2:$AO$111),""),"")</f>
        <v/>
      </c>
      <c r="AQ102" s="31" t="str">
        <f>IF(AND($F102='Tournament Setup'!$A$33,SUM($Q102,$U102)=0,$E102="F",$AN102&gt;'Tournament Setup'!$B$33),$I102,"")</f>
        <v/>
      </c>
      <c r="AR102" s="12" t="str">
        <f>IF(ISNUMBER(AQ102)=TRUE,IF(_xlfn.RANK.EQ(AQ102,$AQ$2:$AQ$111)&lt;='Tournament Setup'!$D$33,_xlfn.RANK.EQ(AQ102,$AQ$2:$AQ$111),""),"")</f>
        <v/>
      </c>
      <c r="AS102" s="30" t="str">
        <f>IF(AND($G102='Tournament Setup'!$A$51,$J102&lt;&gt;0),$J102,"")</f>
        <v/>
      </c>
      <c r="AT102" s="47" t="str">
        <f>IF(ISNUMBER(AS102),IF(COUNTIFS(AT$1:AT79,_xlfn.RANK.EQ(AS102,AS$2:AS$111,0))&gt;0,_xlfn.MAXIFS(AT$1:AT79,AS$1:AS79,AS102)+1,_xlfn.RANK.EQ(AS102,AS$2:AS$111,0)),"")</f>
        <v/>
      </c>
      <c r="AU102" s="1" t="str">
        <f>IF(ISNUMBER(AS102)=TRUE,IF(_xlfn.RANK.EQ(AS102,$AS$2:$AS$111)&lt;='Tournament Setup'!$B$49,_xlfn.RANK.EQ(AS102,$AS$2:$AS$111),""),"")</f>
        <v/>
      </c>
      <c r="AV102" s="30" t="str">
        <f>IF(AND($F102='Tournament Setup'!$A$34,SUM($Q102,$S102,$U102)=0),$I102,"")</f>
        <v/>
      </c>
      <c r="AW102" s="47" t="str">
        <f>IF(ISNUMBER(AV102),IF(COUNTIFS(AW$1:AW79,_xlfn.RANK.EQ(AV102,AV$2:AV$111,0))&gt;0,_xlfn.MAXIFS(AW$1:AW79,AV$1:AV79,AV102)+1,_xlfn.RANK.EQ(AV102,AV$2:AV$111,0)),"")</f>
        <v/>
      </c>
      <c r="AX102" s="1" t="str">
        <f>IF(ISNUMBER(AV102)=TRUE,IF(_xlfn.RANK.EQ(AV102,$AV$2:$AV$111)&lt;='Tournament Setup'!$B$34,_xlfn.RANK.EQ(AV102,$AV$2:$AV$111),""),"")</f>
        <v/>
      </c>
      <c r="AY102" s="31" t="str">
        <f>IF(AND($F102='Tournament Setup'!$A$34,SUM($Q102,$S102)=0,$E102="M",$AX102&gt;'Tournament Setup'!$B$34),$I102,"")</f>
        <v/>
      </c>
      <c r="AZ102" s="1" t="str">
        <f>IF(ISNUMBER(AY102)=TRUE,IF(_xlfn.RANK.EQ(AY102,$AY$2:$AY$111)&lt;='Tournament Setup'!$C$34,_xlfn.RANK.EQ(AY102,$AY$2:$AY$111),""),"")</f>
        <v/>
      </c>
      <c r="BA102" s="31" t="str">
        <f>IF(AND($F102='Tournament Setup'!$A$34,SUM($Q102,$U102)=0,$E102="F",$AX102&gt;'Tournament Setup'!$B$34),$I102,"")</f>
        <v/>
      </c>
      <c r="BB102" s="12" t="str">
        <f>IF(ISNUMBER(BA102)=TRUE,IF(_xlfn.RANK.EQ(BA102,$BA$2:$BA$111)&lt;='Tournament Setup'!$D$34,_xlfn.RANK.EQ(BA102,$BA$2:$BA$111),""),"")</f>
        <v/>
      </c>
      <c r="BC102" s="30" t="str">
        <f>IF(AND($G102='Tournament Setup'!$A$52,$J102&lt;&gt;0),$J102,"")</f>
        <v/>
      </c>
      <c r="BD102" s="47" t="str">
        <f>IF(ISNUMBER(BC102),IF(COUNTIFS(BD$1:BD79,_xlfn.RANK.EQ(BC102,BC$2:BC$111,0))&gt;0,_xlfn.MAXIFS(BD$1:BD79,BC$1:BC79,BC102)+1,_xlfn.RANK.EQ(BC102,BC$2:BC$111,0)),"")</f>
        <v/>
      </c>
      <c r="BE102" s="1" t="str">
        <f>IF(ISNUMBER(BC102)=TRUE,IF(_xlfn.RANK.EQ(BC102,$BC$2:$BC$111)&lt;='Tournament Setup'!$B$49,_xlfn.RANK.EQ(BC102,$BC$2:$BC$111),""),"")</f>
        <v/>
      </c>
      <c r="BF102" s="30" t="str">
        <f>IF(AND($F102='Tournament Setup'!$A$35,SUM($Q102,$S102,$U102)=0),$I102,"")</f>
        <v/>
      </c>
      <c r="BG102" s="47" t="str">
        <f>IF(ISNUMBER(BF102),IF(COUNTIFS(BG$1:BG79,_xlfn.RANK.EQ(BF102,BF$2:BF$111,0))&gt;0,_xlfn.MAXIFS(BG$1:BG79,BF$1:BF79,BF102)+1,_xlfn.RANK.EQ(BF102,BF$2:BF$111,0)),"")</f>
        <v/>
      </c>
      <c r="BH102" s="1" t="str">
        <f>IF(ISNUMBER(BF102)=TRUE,IF(_xlfn.RANK.EQ(BF102,$BF$2:$BF$111)&lt;='Tournament Setup'!$B$35,_xlfn.RANK.EQ(BF102,$BF$2:$BF$111),""),"")</f>
        <v/>
      </c>
      <c r="BI102" s="31" t="str">
        <f>IF(AND($F102='Tournament Setup'!$A$35,SUM($Q102,$S102)=0,$E102="M",$BH102&gt;'Tournament Setup'!$B$35),$I102,"")</f>
        <v/>
      </c>
      <c r="BJ102" s="1" t="str">
        <f>IF(ISNUMBER(BI102)=TRUE,IF(_xlfn.RANK.EQ(BI102,$BI$2:$BI$111)&lt;='Tournament Setup'!$C$35,_xlfn.RANK.EQ(BI102,$BI$2:$BI$111),""),"")</f>
        <v/>
      </c>
      <c r="BK102" s="31" t="str">
        <f>IF(AND($F102='Tournament Setup'!$A$35,SUM($Q102,$U102)=0,$E102="F",$BH102&gt;'Tournament Setup'!$B$35),$I102,"")</f>
        <v/>
      </c>
      <c r="BL102" s="12" t="str">
        <f>IF(ISNUMBER(BK102)=TRUE,IF(_xlfn.RANK.EQ(BK102,$BK$2:$BK$111)&lt;='Tournament Setup'!$D$35,_xlfn.RANK.EQ(BK102,$BK$2:$BK$111),""),"")</f>
        <v/>
      </c>
      <c r="BM102" s="30" t="str">
        <f>IF(AND($G102='Tournament Setup'!$A$54,$J102&lt;&gt;0),$J102,"")</f>
        <v/>
      </c>
      <c r="BN102" s="47" t="str">
        <f>IF(ISNUMBER(BM102),IF(COUNTIFS(BN$1:BN79,_xlfn.RANK.EQ(BM102,BM$2:BM$111,0))&gt;0,_xlfn.MAXIFS(BN$1:BN79,BM$1:BM79,BM102)+1,_xlfn.RANK.EQ(BM102,BM$2:BM$111,0)),"")</f>
        <v/>
      </c>
      <c r="BO102" s="1" t="str">
        <f>IF(ISNUMBER(BM102)=TRUE,IF(_xlfn.RANK.EQ(BM102,$BM$2:$BM$111)&lt;='Tournament Setup'!$B$49,_xlfn.RANK.EQ(BM102,$BM$2:$BM$111),""),"")</f>
        <v/>
      </c>
      <c r="BP102" s="30" t="str">
        <f>IF(AND($F102='Tournament Setup'!$A$36,SUM($Q102,$S102,$U102)=0),$I102,"")</f>
        <v/>
      </c>
      <c r="BQ102" s="47" t="str">
        <f>IF(ISNUMBER(BP102),IF(COUNTIFS(BQ$1:BQ79,_xlfn.RANK.EQ(BP102,BP$2:BP$111,0))&gt;0,_xlfn.MAXIFS(BQ$1:BQ79,BP$1:BP79,BP102)+1,_xlfn.RANK.EQ(BP102,BP$2:BP$111,0)),"")</f>
        <v/>
      </c>
      <c r="BR102" s="1" t="str">
        <f>IF(ISNUMBER(BP102)=TRUE,IF(_xlfn.RANK.EQ(BP102,$BP$2:$BP$111)&lt;='Tournament Setup'!$B$36,_xlfn.RANK.EQ(BP102,$BP$2:$BP$111),""),"")</f>
        <v/>
      </c>
      <c r="BS102" s="31" t="str">
        <f>IF(AND($F102='Tournament Setup'!$A$36,SUM($Q102,$S102)=0,$E102="M",$BR102&gt;'Tournament Setup'!$B$36),$I102,"")</f>
        <v/>
      </c>
      <c r="BT102" s="1" t="str">
        <f>IF(ISNUMBER(BS102)=TRUE,IF(_xlfn.RANK.EQ(BS102,$BS$2:$BS$111)&lt;='Tournament Setup'!$C$36,_xlfn.RANK.EQ(BS102,$BS$2:$BS$111),""),"")</f>
        <v/>
      </c>
      <c r="BU102" s="31" t="str">
        <f>IF(AND($F102='Tournament Setup'!$A$36,SUM($Q102,$U102)=0,$E102="F",$BR102&gt;'Tournament Setup'!$B$36),$I102,"")</f>
        <v/>
      </c>
      <c r="BV102" s="12" t="str">
        <f>IF(ISNUMBER(BU102)=TRUE,IF(_xlfn.RANK.EQ(BU102,$BU$2:$BU$111)&lt;='Tournament Setup'!$D$36,_xlfn.RANK.EQ(BU102,$BU$2:$BU$111),""),"")</f>
        <v/>
      </c>
      <c r="BW102" s="30" t="str">
        <f>IF($H102='Tournament Setup'!$A$41,$I102,"")</f>
        <v/>
      </c>
      <c r="BX102" s="47" t="str">
        <f>IF(ISNUMBER(BW102),IF(COUNTIFS(BX$1:BX79,_xlfn.RANK.EQ(BW102,BW$2:BW$111,0))&gt;0,_xlfn.MAXIFS(BX$1:BX79,BW$1:BW79,BW102)+1,_xlfn.RANK.EQ(BW102,BW$2:BW$111,0)),"")</f>
        <v/>
      </c>
      <c r="BY102" s="1" t="str">
        <f>IF(ISNUMBER(BW102)=TRUE,IF(_xlfn.RANK.EQ(BW102,$BW$2:$BW$111)&lt;='Tournament Setup'!$B$41,_xlfn.RANK.EQ(BW102,$BW$2:$BW$111),""),"")</f>
        <v/>
      </c>
      <c r="BZ102" s="31" t="str">
        <f>IF(AND($H102='Tournament Setup'!$A$41,$E102="M",$BY102&gt;'Tournament Setup'!$B$41),$I102,"")</f>
        <v/>
      </c>
      <c r="CA102" s="1" t="str">
        <f>IF(ISNUMBER(BZ102)=TRUE,IF(_xlfn.RANK.EQ(BZ102,$BZ$2:$BZ$111)&lt;='Tournament Setup'!$C$41,_xlfn.RANK.EQ(BZ102,$BZ$2:$BZ$111),""),"")</f>
        <v/>
      </c>
      <c r="CB102" s="31" t="str">
        <f>IF(AND($H102='Tournament Setup'!$A$41,$E102="F",$BY102&gt;'Tournament Setup'!$B$41),$I102,"")</f>
        <v/>
      </c>
      <c r="CC102" s="12" t="str">
        <f>IF(ISNUMBER(CB102)=TRUE,IF(_xlfn.RANK.EQ(CB102,$CB$2:$CB$111)&lt;='Tournament Setup'!$D$41,_xlfn.RANK.EQ(CB102,$CB$2:$CB$111),""),"")</f>
        <v/>
      </c>
      <c r="CD102" s="30" t="str">
        <f>IF($H102='Tournament Setup'!$A$42,$I102,"")</f>
        <v/>
      </c>
      <c r="CE102" s="47" t="str">
        <f>IF(ISNUMBER(CD102),IF(COUNTIFS(CE$1:CE79,_xlfn.RANK.EQ(CD102,CD$2:CD$111,0))&gt;0,_xlfn.MAXIFS(CE$1:CE79,CD$1:CD79,CD102)+1,_xlfn.RANK.EQ(CD102,CD$2:CD$111,0)),"")</f>
        <v/>
      </c>
      <c r="CF102" s="1" t="str">
        <f>IF(ISNUMBER(CD102)=TRUE,IF(_xlfn.RANK.EQ(CD102,$CD$2:$CD$111)&lt;='Tournament Setup'!$B$42,_xlfn.RANK.EQ(CD102,$CD$2:$CD$111),""),"")</f>
        <v/>
      </c>
      <c r="CG102" s="31" t="str">
        <f>IF(AND($H102='Tournament Setup'!$A$42,$E102="M",$CF102&gt;'Tournament Setup'!$B$42),$I102,"")</f>
        <v/>
      </c>
      <c r="CH102" s="1" t="str">
        <f>IF(ISNUMBER(CG102)=TRUE,IF(_xlfn.RANK.EQ(CG102,$CG$2:$CG$111)&lt;='Tournament Setup'!$C$42,_xlfn.RANK.EQ(CG102,$CG$2:$CG$111),""),"")</f>
        <v/>
      </c>
      <c r="CI102" s="31" t="str">
        <f>IF(AND($H102='Tournament Setup'!$A$42,$E102="F",$CF102&gt;'Tournament Setup'!$B$42),$I102,"")</f>
        <v/>
      </c>
      <c r="CJ102" s="12" t="str">
        <f>IF(ISNUMBER(CI102)=TRUE,IF(_xlfn.RANK.EQ(CI102,$CI$2:$CI$111)&lt;='Tournament Setup'!$D$42,_xlfn.RANK.EQ(CI102,$CI$2:$CI$111),""),"")</f>
        <v/>
      </c>
      <c r="CK102" s="30" t="str">
        <f>IF($H102='Tournament Setup'!$A$43,$I102,"")</f>
        <v/>
      </c>
      <c r="CL102" s="47" t="str">
        <f>IF(ISNUMBER(CK102),IF(COUNTIFS(CL$1:CL79,_xlfn.RANK.EQ(CK102,CK$2:CK$111,0))&gt;0,_xlfn.MAXIFS(CL$1:CL79,CK$1:CK79,CK102)+1,_xlfn.RANK.EQ(CK102,CK$2:CK$111,0)),"")</f>
        <v/>
      </c>
      <c r="CM102" s="1" t="str">
        <f>IF(ISNUMBER(CK102)=TRUE,IF(_xlfn.RANK.EQ(CK102,$CK$2:$CK$111)&lt;='Tournament Setup'!$B$43,_xlfn.RANK.EQ(CK102,$CK$2:$CK$111),""),"")</f>
        <v/>
      </c>
      <c r="CN102" s="31" t="str">
        <f>IF(AND($H102='Tournament Setup'!$A$43,$E102="M",$CM102&gt;'Tournament Setup'!$B$43),$I102,"")</f>
        <v/>
      </c>
      <c r="CO102" s="1" t="str">
        <f>IF(ISNUMBER(CN102)=TRUE,IF(_xlfn.RANK.EQ(CN102,$CN$2:$CN$111)&lt;='Tournament Setup'!$C$43,_xlfn.RANK.EQ(CN102,$CN$2:$CN$111),""),"")</f>
        <v/>
      </c>
      <c r="CP102" s="31" t="str">
        <f>IF(AND($H102='Tournament Setup'!$A$43,$E102="F",$CM102&gt;'Tournament Setup'!$B$43),$I102,"")</f>
        <v/>
      </c>
      <c r="CQ102" s="12" t="str">
        <f>IF(ISNUMBER(CP102)=TRUE,IF(_xlfn.RANK.EQ(CP102,$CP$2:$CP$111)&lt;='Tournament Setup'!$D$43,_xlfn.RANK.EQ(CP102,$CP$2:$CP$111),""),"")</f>
        <v/>
      </c>
      <c r="CR102" s="30" t="str">
        <f>IF($H102='Tournament Setup'!$A$44,$I102,"")</f>
        <v/>
      </c>
      <c r="CS102" s="47" t="str">
        <f>IF(ISNUMBER(CR102),IF(COUNTIFS(CS$1:CS79,_xlfn.RANK.EQ(CR102,CR$2:CR$111,0))&gt;0,_xlfn.MAXIFS(CS$1:CS79,CR$1:CR79,CR102)+1,_xlfn.RANK.EQ(CR102,CR$2:CR$111,0)),"")</f>
        <v/>
      </c>
      <c r="CT102" s="1" t="str">
        <f>IF(ISNUMBER(CR102)=TRUE,IF(_xlfn.RANK.EQ(CR102,$CR$2:$CR$111)&lt;='Tournament Setup'!$B$44,_xlfn.RANK.EQ(CR102,$CR$2:$CR$111),""),"")</f>
        <v/>
      </c>
      <c r="CU102" s="31" t="str">
        <f>IF(AND($H102='Tournament Setup'!$A$44,$E102="M",$CT102&gt;'Tournament Setup'!$B$44),$I102,"")</f>
        <v/>
      </c>
      <c r="CV102" s="1" t="str">
        <f>IF(ISNUMBER(CU102)=TRUE,IF(_xlfn.RANK.EQ(CU102,$CU$2:$CU$111)&lt;='Tournament Setup'!$C$44,_xlfn.RANK.EQ(CU102,$CU$2:$CU$111),""),"")</f>
        <v/>
      </c>
      <c r="CW102" s="31" t="str">
        <f>IF(AND($H102='Tournament Setup'!$A$44,$E102="F",$CT102&gt;'Tournament Setup'!$B$44),$I102,"")</f>
        <v/>
      </c>
      <c r="CX102" s="12" t="str">
        <f>IF(ISNUMBER(CW102)=TRUE,IF(_xlfn.RANK.EQ(CW102,$CW$2:$CW$111)&lt;='Tournament Setup'!$D$44,_xlfn.RANK.EQ(CW102,$CW$2:$CW$111),""),"")</f>
        <v/>
      </c>
    </row>
    <row r="103" spans="2:102" x14ac:dyDescent="0.3">
      <c r="B103" t="str">
        <f>IFERROR(INDEX('Tournament List'!$B:$B,MATCH($A103,'Tournament List'!$A:$A,0)),"")</f>
        <v/>
      </c>
      <c r="C103" t="str">
        <f>IFERROR(INDEX('Tournament List'!$C:$C,MATCH($A103,'Tournament List'!$A:$A,0)),"")</f>
        <v/>
      </c>
      <c r="D103" t="str">
        <f t="shared" si="3"/>
        <v xml:space="preserve"> </v>
      </c>
      <c r="E103" s="1" t="str">
        <f>IFERROR(INDEX('Tournament List'!F:F,MATCH($A103,'Tournament List'!$A:$A,0)),"")</f>
        <v/>
      </c>
      <c r="F103" t="str">
        <f>IFERROR(INDEX('Tournament List'!M:M,MATCH($A103,'Tournament List'!$A:$A,0)),"")</f>
        <v/>
      </c>
      <c r="G103" t="str">
        <f>IFERROR(INDEX('Shooter-Squad Assignment'!L:L,MATCH(A103,'Shooter-Squad Assignment'!A:A,0)),"")</f>
        <v/>
      </c>
      <c r="H103" s="1" t="str">
        <f>IFERROR(INDEX('Tournament List'!AD:AD,MATCH($A103,'Tournament List'!$A:$A,0)),"")</f>
        <v/>
      </c>
      <c r="I103" s="123" t="str">
        <f>IFERROR(INDEX('Tournament List'!AG:AG,MATCH($A103,'Tournament List'!$A:$A,0)),"")</f>
        <v/>
      </c>
      <c r="J103" s="145" t="str">
        <f>IFERROR(INDEX('Tournament List'!Y:Y,MATCH($A103,'Tournament List'!$A:$A,0)),"")</f>
        <v/>
      </c>
      <c r="K103" s="47" t="str">
        <f>IFERROR(INDEX('Tournament List'!S:S,MATCH(A103,'Tournament List'!A:A,0)),"")</f>
        <v/>
      </c>
      <c r="L103" s="47" t="str">
        <f>IF(ISNUMBER(J103),IF(COUNTIFS(L$1:L102,_xlfn.RANK.EQ(J103,J$2:J$111,0))&gt;0,_xlfn.MAXIFS(L$1:L102,J$1:J102,J103)+1,_xlfn.RANK.EQ(J103,J$2:J$111,0)),"")</f>
        <v/>
      </c>
      <c r="M103" s="11" t="str">
        <f>IF(ISNUMBER(I103)=TRUE,IF(I103&gt;0,_xlfn.RANK.EQ(I103,$I$2:$I$111,0),""),"")</f>
        <v/>
      </c>
      <c r="N103" s="56" t="str">
        <f>IF(ISNUMBER(I103),IF(COUNTIFS(N$1:N102,_xlfn.RANK.EQ(I103,I$2:I$111,0))&gt;0,_xlfn.MAXIFS(N$1:N102,I$1:I102,I103)+1,_xlfn.RANK.EQ(I103,I$2:I$111,0)),"")</f>
        <v/>
      </c>
      <c r="O103" s="144" t="str">
        <f>IF(F103&lt;&gt;"Collegiate"=TRUE,$I103,"")</f>
        <v/>
      </c>
      <c r="P103" s="47" t="str">
        <f>IF(ISNUMBER(O103),IF(COUNTIFS(P$1:P102,_xlfn.RANK.EQ(O103,O$2:O$111,0))&gt;0,_xlfn.MAXIFS(P$1:P102,O$1:O102,O103)+1,_xlfn.RANK.EQ(O103,O$2:O$111,0)),"")</f>
        <v/>
      </c>
      <c r="Q103" s="1" t="str">
        <f>IF(ISNUMBER(O103)=TRUE,IF(_xlfn.RANK.EQ(O103,$O$2:$O$111)&lt;='Tournament Setup'!$B$26,_xlfn.RANK.EQ(O103,$O$2:$O$111),""),"")</f>
        <v/>
      </c>
      <c r="R103" s="143" t="str">
        <f>IF(AND($E103="M",SUM($Q103)=0,F103&lt;&gt;"Collegiate")=TRUE,$I103,"")</f>
        <v/>
      </c>
      <c r="S103" s="1" t="str">
        <f>IF(ISNUMBER(R103)=TRUE,IF(_xlfn.RANK.EQ(R103,$R$2:$R$111)&lt;='Tournament Setup'!$B$27,_xlfn.RANK.EQ(R103,$R$2:$R$111),""),"")</f>
        <v/>
      </c>
      <c r="T103" s="143" t="str">
        <f>IF(AND($E103="F",SUM($Q103)=0,F103&lt;&gt;"Collegiate")=TRUE,$I103,"")</f>
        <v/>
      </c>
      <c r="U103" s="12" t="str">
        <f>IF(ISNUMBER(T103)=TRUE,IF(_xlfn.RANK.EQ(T103,$T$2:$T$111)&lt;='Tournament Setup'!$B$28,_xlfn.RANK.EQ(T103,$T$2:$T$111),""),"")</f>
        <v/>
      </c>
      <c r="V103" s="145" t="str">
        <f>IF(AND($G103='Tournament Setup'!$A$53,$J103&lt;&gt;0),$J103,"")</f>
        <v/>
      </c>
      <c r="W103" s="47" t="str">
        <f>IF(ISNUMBER(V103),IF(COUNTIFS(W$1:W102,_xlfn.RANK.EQ(V103,V$2:V$111,0))&gt;0,_xlfn.MAXIFS(W$1:W102,V$1:V102,V103)+1,_xlfn.RANK.EQ(V103,V$2:V$111,0)),"")</f>
        <v/>
      </c>
      <c r="X103" s="1" t="str">
        <f>IF(ISNUMBER(V103)=TRUE,IF(_xlfn.RANK.EQ(V103,$V$2:$V$111)&lt;='Tournament Setup'!$B$53,_xlfn.RANK.EQ(V103,$V$2:$V$111),""),"")</f>
        <v/>
      </c>
      <c r="Y103" s="145" t="str">
        <f>IF(AND($G103='Tournament Setup'!$A$49,$J103&lt;&gt;0),$J103,"")</f>
        <v/>
      </c>
      <c r="Z103" s="47" t="str">
        <f>IF(ISNUMBER(Y103),IF(COUNTIFS(Z$1:Z102,_xlfn.RANK.EQ(Y103,Y$2:Y$111,0))&gt;0,_xlfn.MAXIFS(Z$1:Z102,Y$1:Y102,Y103)+1,_xlfn.RANK.EQ(Y103,Y$2:Y$111,0)),"")</f>
        <v/>
      </c>
      <c r="AA103" s="1" t="str">
        <f>IF(ISNUMBER(Y103)=TRUE,IF(_xlfn.RANK.EQ(Y103,$Y$2:$Y$111)&lt;='Tournament Setup'!$B$49,_xlfn.RANK.EQ(Y103,$Y$2:$Y$111),""),"")</f>
        <v/>
      </c>
      <c r="AB103" s="30" t="str">
        <f>IF(AND($F103='Tournament Setup'!$A$32,SUM($Q103,$S103,$U103)=0),$I103,"")</f>
        <v/>
      </c>
      <c r="AC103" s="47" t="str">
        <f>IF(ISNUMBER(AB103),IF(COUNTIFS(AC$1:AC102,_xlfn.RANK.EQ(AB103,AB$2:AB$111,0))&gt;0,_xlfn.MAXIFS(AC$1:AC102,AB$1:AB102,AB103)+1,_xlfn.RANK.EQ(AB103,AB$2:AB$111,0)),"")</f>
        <v/>
      </c>
      <c r="AD103" s="1" t="str">
        <f>IF(ISNUMBER(AB103)=TRUE,IF(_xlfn.RANK.EQ(AB103,$AB$2:$AB$111)&lt;='Tournament Setup'!$B$32,_xlfn.RANK.EQ(AB103,$AB$2:$AB$111),""),"")</f>
        <v/>
      </c>
      <c r="AE103" s="31" t="str">
        <f>IF(AND($F103='Tournament Setup'!$A$32,SUM($Q103,$S103)=0,$E103="M",$AD103&gt;'Tournament Setup'!$B$32),$I103,"")</f>
        <v/>
      </c>
      <c r="AF103" s="1" t="str">
        <f>IF(ISNUMBER(AE103)=TRUE,IF(_xlfn.RANK.EQ(AE103,$AE$2:$AE$111)&lt;='Tournament Setup'!$C$32,_xlfn.RANK.EQ(AE103,$AE$2:$AE$111),""),"")</f>
        <v/>
      </c>
      <c r="AG103" s="31" t="str">
        <f>IF(AND($F103='Tournament Setup'!$A$32,SUM($Q103,$U103)=0,$E103="F",$AD103&gt;'Tournament Setup'!$B$32),$I103,"")</f>
        <v/>
      </c>
      <c r="AH103" s="12" t="str">
        <f>IF(ISNUMBER(AG103)=TRUE,IF(_xlfn.RANK.EQ(AG103,$AG$2:$AG$111)&lt;='Tournament Setup'!$D$32,_xlfn.RANK.EQ(AG103,$AG$2:$AG$111),""),"")</f>
        <v/>
      </c>
      <c r="AI103" s="30" t="str">
        <f>IF(AND($G103='Tournament Setup'!$A$50,$J103&lt;&gt;0),$J103,"")</f>
        <v/>
      </c>
      <c r="AJ103" s="47" t="str">
        <f>IF(ISNUMBER(AI103),IF(COUNTIFS(AJ$1:AJ102,_xlfn.RANK.EQ(AI103,AI$2:AI$111,0))&gt;0,_xlfn.MAXIFS(AJ$1:AJ102,AI$1:AI102,AI103)+1,_xlfn.RANK.EQ(AI103,AI$2:AI$111,0)),"")</f>
        <v/>
      </c>
      <c r="AK103" s="1" t="str">
        <f>IF(ISNUMBER(AI103)=TRUE,IF(_xlfn.RANK.EQ(AI103,$AI$2:$AI$111)&lt;='Tournament Setup'!$B$49,_xlfn.RANK.EQ(AI103,$AI$2:$AI$111),""),"")</f>
        <v/>
      </c>
      <c r="AL103" s="30" t="str">
        <f>IF(AND($F103='Tournament Setup'!$A$33,SUM($Q103,$S103,$U103)=0),$I103,"")</f>
        <v/>
      </c>
      <c r="AM103" s="47" t="str">
        <f>IF(ISNUMBER(AL103),IF(COUNTIFS(AM$1:AM102,_xlfn.RANK.EQ(AL103,AL$2:AL$111,0))&gt;0,_xlfn.MAXIFS(AM$1:AM102,AL$1:AL102,AL103)+1,_xlfn.RANK.EQ(AL103,AL$2:AL$111,0)),"")</f>
        <v/>
      </c>
      <c r="AN103" s="1" t="str">
        <f>IF(ISNUMBER(AL103)=TRUE,IF(_xlfn.RANK.EQ(AL103,$AL$2:$AL$111)&lt;='Tournament Setup'!$B$33,_xlfn.RANK.EQ(AL103,$AL$2:$AL$111),""),"")</f>
        <v/>
      </c>
      <c r="AO103" s="31" t="str">
        <f>IF(AND($F103='Tournament Setup'!$A$33,SUM($Q103,$S103)=0,$E103="M",$AN103&gt;'Tournament Setup'!$B$33),$I103,"")</f>
        <v/>
      </c>
      <c r="AP103" s="1" t="str">
        <f>IF(ISNUMBER(AO103)=TRUE,IF(_xlfn.RANK.EQ(AO103,$AO$2:$AO$111)&lt;='Tournament Setup'!$C$33,_xlfn.RANK.EQ(AO103,$AO$2:$AO$111),""),"")</f>
        <v/>
      </c>
      <c r="AQ103" s="31" t="str">
        <f>IF(AND($F103='Tournament Setup'!$A$33,SUM($Q103,$U103)=0,$E103="F",$AN103&gt;'Tournament Setup'!$B$33),$I103,"")</f>
        <v/>
      </c>
      <c r="AR103" s="12" t="str">
        <f>IF(ISNUMBER(AQ103)=TRUE,IF(_xlfn.RANK.EQ(AQ103,$AQ$2:$AQ$111)&lt;='Tournament Setup'!$D$33,_xlfn.RANK.EQ(AQ103,$AQ$2:$AQ$111),""),"")</f>
        <v/>
      </c>
      <c r="AS103" s="30" t="str">
        <f>IF(AND($G103='Tournament Setup'!$A$51,$J103&lt;&gt;0),$J103,"")</f>
        <v/>
      </c>
      <c r="AT103" s="47" t="str">
        <f>IF(ISNUMBER(AS103),IF(COUNTIFS(AT$1:AT102,_xlfn.RANK.EQ(AS103,AS$2:AS$111,0))&gt;0,_xlfn.MAXIFS(AT$1:AT102,AS$1:AS102,AS103)+1,_xlfn.RANK.EQ(AS103,AS$2:AS$111,0)),"")</f>
        <v/>
      </c>
      <c r="AU103" s="1" t="str">
        <f>IF(ISNUMBER(AS103)=TRUE,IF(_xlfn.RANK.EQ(AS103,$AS$2:$AS$111)&lt;='Tournament Setup'!$B$49,_xlfn.RANK.EQ(AS103,$AS$2:$AS$111),""),"")</f>
        <v/>
      </c>
      <c r="AV103" s="30" t="str">
        <f>IF(AND($F103='Tournament Setup'!$A$34,SUM($Q103,$S103,$U103)=0),$I103,"")</f>
        <v/>
      </c>
      <c r="AW103" s="47" t="str">
        <f>IF(ISNUMBER(AV103),IF(COUNTIFS(AW$1:AW102,_xlfn.RANK.EQ(AV103,AV$2:AV$111,0))&gt;0,_xlfn.MAXIFS(AW$1:AW102,AV$1:AV102,AV103)+1,_xlfn.RANK.EQ(AV103,AV$2:AV$111,0)),"")</f>
        <v/>
      </c>
      <c r="AX103" s="1" t="str">
        <f>IF(ISNUMBER(AV103)=TRUE,IF(_xlfn.RANK.EQ(AV103,$AV$2:$AV$111)&lt;='Tournament Setup'!$B$34,_xlfn.RANK.EQ(AV103,$AV$2:$AV$111),""),"")</f>
        <v/>
      </c>
      <c r="AY103" s="31" t="str">
        <f>IF(AND($F103='Tournament Setup'!$A$34,SUM($Q103,$S103)=0,$E103="M",$AX103&gt;'Tournament Setup'!$B$34),$I103,"")</f>
        <v/>
      </c>
      <c r="AZ103" s="1" t="str">
        <f>IF(ISNUMBER(AY103)=TRUE,IF(_xlfn.RANK.EQ(AY103,$AY$2:$AY$111)&lt;='Tournament Setup'!$C$34,_xlfn.RANK.EQ(AY103,$AY$2:$AY$111),""),"")</f>
        <v/>
      </c>
      <c r="BA103" s="31" t="str">
        <f>IF(AND($F103='Tournament Setup'!$A$34,SUM($Q103,$U103)=0,$E103="F",$AX103&gt;'Tournament Setup'!$B$34),$I103,"")</f>
        <v/>
      </c>
      <c r="BB103" s="12" t="str">
        <f>IF(ISNUMBER(BA103)=TRUE,IF(_xlfn.RANK.EQ(BA103,$BA$2:$BA$111)&lt;='Tournament Setup'!$D$34,_xlfn.RANK.EQ(BA103,$BA$2:$BA$111),""),"")</f>
        <v/>
      </c>
      <c r="BC103" s="30" t="str">
        <f>IF(AND($G103='Tournament Setup'!$A$52,$J103&lt;&gt;0),$J103,"")</f>
        <v/>
      </c>
      <c r="BD103" s="47" t="str">
        <f>IF(ISNUMBER(BC103),IF(COUNTIFS(BD$1:BD102,_xlfn.RANK.EQ(BC103,BC$2:BC$111,0))&gt;0,_xlfn.MAXIFS(BD$1:BD102,BC$1:BC102,BC103)+1,_xlfn.RANK.EQ(BC103,BC$2:BC$111,0)),"")</f>
        <v/>
      </c>
      <c r="BE103" s="1" t="str">
        <f>IF(ISNUMBER(BC103)=TRUE,IF(_xlfn.RANK.EQ(BC103,$BC$2:$BC$111)&lt;='Tournament Setup'!$B$49,_xlfn.RANK.EQ(BC103,$BC$2:$BC$111),""),"")</f>
        <v/>
      </c>
      <c r="BF103" s="30" t="str">
        <f>IF(AND($F103='Tournament Setup'!$A$35,SUM($Q103,$S103,$U103)=0),$I103,"")</f>
        <v/>
      </c>
      <c r="BG103" s="47" t="str">
        <f>IF(ISNUMBER(BF103),IF(COUNTIFS(BG$1:BG102,_xlfn.RANK.EQ(BF103,BF$2:BF$111,0))&gt;0,_xlfn.MAXIFS(BG$1:BG102,BF$1:BF102,BF103)+1,_xlfn.RANK.EQ(BF103,BF$2:BF$111,0)),"")</f>
        <v/>
      </c>
      <c r="BH103" s="1" t="str">
        <f>IF(ISNUMBER(BF103)=TRUE,IF(_xlfn.RANK.EQ(BF103,$BF$2:$BF$111)&lt;='Tournament Setup'!$B$35,_xlfn.RANK.EQ(BF103,$BF$2:$BF$111),""),"")</f>
        <v/>
      </c>
      <c r="BI103" s="31" t="str">
        <f>IF(AND($F103='Tournament Setup'!$A$35,SUM($Q103,$S103)=0,$E103="M",$BH103&gt;'Tournament Setup'!$B$35),$I103,"")</f>
        <v/>
      </c>
      <c r="BJ103" s="1" t="str">
        <f>IF(ISNUMBER(BI103)=TRUE,IF(_xlfn.RANK.EQ(BI103,$BI$2:$BI$111)&lt;='Tournament Setup'!$C$35,_xlfn.RANK.EQ(BI103,$BI$2:$BI$111),""),"")</f>
        <v/>
      </c>
      <c r="BK103" s="31" t="str">
        <f>IF(AND($F103='Tournament Setup'!$A$35,SUM($Q103,$U103)=0,$E103="F",$BH103&gt;'Tournament Setup'!$B$35),$I103,"")</f>
        <v/>
      </c>
      <c r="BL103" s="12" t="str">
        <f>IF(ISNUMBER(BK103)=TRUE,IF(_xlfn.RANK.EQ(BK103,$BK$2:$BK$111)&lt;='Tournament Setup'!$D$35,_xlfn.RANK.EQ(BK103,$BK$2:$BK$111),""),"")</f>
        <v/>
      </c>
      <c r="BM103" s="30" t="str">
        <f>IF(AND($G103='Tournament Setup'!$A$54,$J103&lt;&gt;0),$J103,"")</f>
        <v/>
      </c>
      <c r="BN103" s="47" t="str">
        <f>IF(ISNUMBER(BM103),IF(COUNTIFS(BN$1:BN102,_xlfn.RANK.EQ(BM103,BM$2:BM$111,0))&gt;0,_xlfn.MAXIFS(BN$1:BN102,BM$1:BM102,BM103)+1,_xlfn.RANK.EQ(BM103,BM$2:BM$111,0)),"")</f>
        <v/>
      </c>
      <c r="BO103" s="1" t="str">
        <f>IF(ISNUMBER(BM103)=TRUE,IF(_xlfn.RANK.EQ(BM103,$BM$2:$BM$111)&lt;='Tournament Setup'!$B$49,_xlfn.RANK.EQ(BM103,$BM$2:$BM$111),""),"")</f>
        <v/>
      </c>
      <c r="BP103" s="30" t="str">
        <f>IF(AND($F103='Tournament Setup'!$A$36,SUM($Q103,$S103,$U103)=0),$I103,"")</f>
        <v/>
      </c>
      <c r="BQ103" s="47" t="str">
        <f>IF(ISNUMBER(BP103),IF(COUNTIFS(BQ$1:BQ102,_xlfn.RANK.EQ(BP103,BP$2:BP$111,0))&gt;0,_xlfn.MAXIFS(BQ$1:BQ102,BP$1:BP102,BP103)+1,_xlfn.RANK.EQ(BP103,BP$2:BP$111,0)),"")</f>
        <v/>
      </c>
      <c r="BR103" s="1" t="str">
        <f>IF(ISNUMBER(BP103)=TRUE,IF(_xlfn.RANK.EQ(BP103,$BP$2:$BP$111)&lt;='Tournament Setup'!$B$36,_xlfn.RANK.EQ(BP103,$BP$2:$BP$111),""),"")</f>
        <v/>
      </c>
      <c r="BS103" s="31" t="str">
        <f>IF(AND($F103='Tournament Setup'!$A$36,SUM($Q103,$S103)=0,$E103="M",$BR103&gt;'Tournament Setup'!$B$36),$I103,"")</f>
        <v/>
      </c>
      <c r="BT103" s="1" t="str">
        <f>IF(ISNUMBER(BS103)=TRUE,IF(_xlfn.RANK.EQ(BS103,$BS$2:$BS$111)&lt;='Tournament Setup'!$C$36,_xlfn.RANK.EQ(BS103,$BS$2:$BS$111),""),"")</f>
        <v/>
      </c>
      <c r="BU103" s="31" t="str">
        <f>IF(AND($F103='Tournament Setup'!$A$36,SUM($Q103,$U103)=0,$E103="F",$BR103&gt;'Tournament Setup'!$B$36),$I103,"")</f>
        <v/>
      </c>
      <c r="BV103" s="12" t="str">
        <f>IF(ISNUMBER(BU103)=TRUE,IF(_xlfn.RANK.EQ(BU103,$BU$2:$BU$111)&lt;='Tournament Setup'!$D$36,_xlfn.RANK.EQ(BU103,$BU$2:$BU$111),""),"")</f>
        <v/>
      </c>
      <c r="BW103" s="30" t="str">
        <f>IF($H103='Tournament Setup'!$A$41,$I103,"")</f>
        <v/>
      </c>
      <c r="BX103" s="47" t="str">
        <f>IF(ISNUMBER(BW103),IF(COUNTIFS(BX$1:BX102,_xlfn.RANK.EQ(BW103,BW$2:BW$111,0))&gt;0,_xlfn.MAXIFS(BX$1:BX102,BW$1:BW102,BW103)+1,_xlfn.RANK.EQ(BW103,BW$2:BW$111,0)),"")</f>
        <v/>
      </c>
      <c r="BY103" s="1" t="str">
        <f>IF(ISNUMBER(BW103)=TRUE,IF(_xlfn.RANK.EQ(BW103,$BW$2:$BW$111)&lt;='Tournament Setup'!$B$41,_xlfn.RANK.EQ(BW103,$BW$2:$BW$111),""),"")</f>
        <v/>
      </c>
      <c r="BZ103" s="31" t="str">
        <f>IF(AND($H103='Tournament Setup'!$A$41,$E103="M",$BY103&gt;'Tournament Setup'!$B$41),$I103,"")</f>
        <v/>
      </c>
      <c r="CA103" s="1" t="str">
        <f>IF(ISNUMBER(BZ103)=TRUE,IF(_xlfn.RANK.EQ(BZ103,$BZ$2:$BZ$111)&lt;='Tournament Setup'!$C$41,_xlfn.RANK.EQ(BZ103,$BZ$2:$BZ$111),""),"")</f>
        <v/>
      </c>
      <c r="CB103" s="31" t="str">
        <f>IF(AND($H103='Tournament Setup'!$A$41,$E103="F",$BY103&gt;'Tournament Setup'!$B$41),$I103,"")</f>
        <v/>
      </c>
      <c r="CC103" s="12" t="str">
        <f>IF(ISNUMBER(CB103)=TRUE,IF(_xlfn.RANK.EQ(CB103,$CB$2:$CB$111)&lt;='Tournament Setup'!$D$41,_xlfn.RANK.EQ(CB103,$CB$2:$CB$111),""),"")</f>
        <v/>
      </c>
      <c r="CD103" s="30" t="str">
        <f>IF($H103='Tournament Setup'!$A$42,$I103,"")</f>
        <v/>
      </c>
      <c r="CE103" s="47" t="str">
        <f>IF(ISNUMBER(CD103),IF(COUNTIFS(CE$1:CE102,_xlfn.RANK.EQ(CD103,CD$2:CD$111,0))&gt;0,_xlfn.MAXIFS(CE$1:CE102,CD$1:CD102,CD103)+1,_xlfn.RANK.EQ(CD103,CD$2:CD$111,0)),"")</f>
        <v/>
      </c>
      <c r="CF103" s="1" t="str">
        <f>IF(ISNUMBER(CD103)=TRUE,IF(_xlfn.RANK.EQ(CD103,$CD$2:$CD$111)&lt;='Tournament Setup'!$B$42,_xlfn.RANK.EQ(CD103,$CD$2:$CD$111),""),"")</f>
        <v/>
      </c>
      <c r="CG103" s="31" t="str">
        <f>IF(AND($H103='Tournament Setup'!$A$42,$E103="M",$CF103&gt;'Tournament Setup'!$B$42),$I103,"")</f>
        <v/>
      </c>
      <c r="CH103" s="1" t="str">
        <f>IF(ISNUMBER(CG103)=TRUE,IF(_xlfn.RANK.EQ(CG103,$CG$2:$CG$111)&lt;='Tournament Setup'!$C$42,_xlfn.RANK.EQ(CG103,$CG$2:$CG$111),""),"")</f>
        <v/>
      </c>
      <c r="CI103" s="31" t="str">
        <f>IF(AND($H103='Tournament Setup'!$A$42,$E103="F",$CF103&gt;'Tournament Setup'!$B$42),$I103,"")</f>
        <v/>
      </c>
      <c r="CJ103" s="12" t="str">
        <f>IF(ISNUMBER(CI103)=TRUE,IF(_xlfn.RANK.EQ(CI103,$CI$2:$CI$111)&lt;='Tournament Setup'!$D$42,_xlfn.RANK.EQ(CI103,$CI$2:$CI$111),""),"")</f>
        <v/>
      </c>
      <c r="CK103" s="30" t="str">
        <f>IF($H103='Tournament Setup'!$A$43,$I103,"")</f>
        <v/>
      </c>
      <c r="CL103" s="47" t="str">
        <f>IF(ISNUMBER(CK103),IF(COUNTIFS(CL$1:CL102,_xlfn.RANK.EQ(CK103,CK$2:CK$111,0))&gt;0,_xlfn.MAXIFS(CL$1:CL102,CK$1:CK102,CK103)+1,_xlfn.RANK.EQ(CK103,CK$2:CK$111,0)),"")</f>
        <v/>
      </c>
      <c r="CM103" s="1" t="str">
        <f>IF(ISNUMBER(CK103)=TRUE,IF(_xlfn.RANK.EQ(CK103,$CK$2:$CK$111)&lt;='Tournament Setup'!$B$43,_xlfn.RANK.EQ(CK103,$CK$2:$CK$111),""),"")</f>
        <v/>
      </c>
      <c r="CN103" s="31" t="str">
        <f>IF(AND($H103='Tournament Setup'!$A$43,$E103="M",$CM103&gt;'Tournament Setup'!$B$43),$I103,"")</f>
        <v/>
      </c>
      <c r="CO103" s="1" t="str">
        <f>IF(ISNUMBER(CN103)=TRUE,IF(_xlfn.RANK.EQ(CN103,$CN$2:$CN$111)&lt;='Tournament Setup'!$C$43,_xlfn.RANK.EQ(CN103,$CN$2:$CN$111),""),"")</f>
        <v/>
      </c>
      <c r="CP103" s="31" t="str">
        <f>IF(AND($H103='Tournament Setup'!$A$43,$E103="F",$CM103&gt;'Tournament Setup'!$B$43),$I103,"")</f>
        <v/>
      </c>
      <c r="CQ103" s="12" t="str">
        <f>IF(ISNUMBER(CP103)=TRUE,IF(_xlfn.RANK.EQ(CP103,$CP$2:$CP$111)&lt;='Tournament Setup'!$D$43,_xlfn.RANK.EQ(CP103,$CP$2:$CP$111),""),"")</f>
        <v/>
      </c>
      <c r="CR103" s="30" t="str">
        <f>IF($H103='Tournament Setup'!$A$44,$I103,"")</f>
        <v/>
      </c>
      <c r="CS103" s="47" t="str">
        <f>IF(ISNUMBER(CR103),IF(COUNTIFS(CS$1:CS102,_xlfn.RANK.EQ(CR103,CR$2:CR$111,0))&gt;0,_xlfn.MAXIFS(CS$1:CS102,CR$1:CR102,CR103)+1,_xlfn.RANK.EQ(CR103,CR$2:CR$111,0)),"")</f>
        <v/>
      </c>
      <c r="CT103" s="1" t="str">
        <f>IF(ISNUMBER(CR103)=TRUE,IF(_xlfn.RANK.EQ(CR103,$CR$2:$CR$111)&lt;='Tournament Setup'!$B$44,_xlfn.RANK.EQ(CR103,$CR$2:$CR$111),""),"")</f>
        <v/>
      </c>
      <c r="CU103" s="31" t="str">
        <f>IF(AND($H103='Tournament Setup'!$A$44,$E103="M",$CT103&gt;'Tournament Setup'!$B$44),$I103,"")</f>
        <v/>
      </c>
      <c r="CV103" s="1" t="str">
        <f>IF(ISNUMBER(CU103)=TRUE,IF(_xlfn.RANK.EQ(CU103,$CU$2:$CU$111)&lt;='Tournament Setup'!$C$44,_xlfn.RANK.EQ(CU103,$CU$2:$CU$111),""),"")</f>
        <v/>
      </c>
      <c r="CW103" s="31" t="str">
        <f>IF(AND($H103='Tournament Setup'!$A$44,$E103="F",$CT103&gt;'Tournament Setup'!$B$44),$I103,"")</f>
        <v/>
      </c>
      <c r="CX103" s="12" t="str">
        <f>IF(ISNUMBER(CW103)=TRUE,IF(_xlfn.RANK.EQ(CW103,$CW$2:$CW$111)&lt;='Tournament Setup'!$D$44,_xlfn.RANK.EQ(CW103,$CW$2:$CW$111),""),"")</f>
        <v/>
      </c>
    </row>
    <row r="104" spans="2:102" x14ac:dyDescent="0.3">
      <c r="B104" t="str">
        <f>IFERROR(INDEX('Tournament List'!$B:$B,MATCH($A104,'Tournament List'!$A:$A,0)),"")</f>
        <v/>
      </c>
      <c r="C104" t="str">
        <f>IFERROR(INDEX('Tournament List'!$C:$C,MATCH($A104,'Tournament List'!$A:$A,0)),"")</f>
        <v/>
      </c>
      <c r="D104" t="str">
        <f t="shared" si="1"/>
        <v xml:space="preserve"> </v>
      </c>
      <c r="E104" s="1" t="str">
        <f>IFERROR(INDEX('Tournament List'!F:F,MATCH($A104,'Tournament List'!$A:$A,0)),"")</f>
        <v/>
      </c>
      <c r="F104" t="str">
        <f>IFERROR(INDEX('Tournament List'!M:M,MATCH($A104,'Tournament List'!$A:$A,0)),"")</f>
        <v/>
      </c>
      <c r="G104" t="str">
        <f>IFERROR(INDEX('Shooter-Squad Assignment'!L:L,MATCH(A104,'Shooter-Squad Assignment'!A:A,0)),"")</f>
        <v/>
      </c>
      <c r="H104" s="1" t="str">
        <f>IFERROR(INDEX('Tournament List'!AD:AD,MATCH($A104,'Tournament List'!$A:$A,0)),"")</f>
        <v/>
      </c>
      <c r="I104" s="123" t="str">
        <f>IFERROR(INDEX('Tournament List'!AG:AG,MATCH($A104,'Tournament List'!$A:$A,0)),"")</f>
        <v/>
      </c>
      <c r="J104" s="145" t="str">
        <f>IFERROR(INDEX('Tournament List'!Y:Y,MATCH($A104,'Tournament List'!$A:$A,0)),"")</f>
        <v/>
      </c>
      <c r="K104" s="47" t="str">
        <f>IFERROR(INDEX('Tournament List'!S:S,MATCH(A104,'Tournament List'!A:A,0)),"")</f>
        <v/>
      </c>
      <c r="L104" s="47" t="str">
        <f>IF(ISNUMBER(J104),IF(COUNTIFS(L$1:L65,_xlfn.RANK.EQ(J104,J$2:J$111,0))&gt;0,_xlfn.MAXIFS(L$1:L65,J$1:J65,J104)+1,_xlfn.RANK.EQ(J104,J$2:J$111,0)),"")</f>
        <v/>
      </c>
      <c r="M104" s="11" t="str">
        <f>IF(ISNUMBER(I104)=TRUE,IF(I104&gt;0,_xlfn.RANK.EQ(I104,$I$2:$I$111,0),""),"")</f>
        <v/>
      </c>
      <c r="N104" s="56" t="str">
        <f>IF(ISNUMBER(I104),IF(COUNTIFS(N$1:N65,_xlfn.RANK.EQ(I104,I$2:I$111,0))&gt;0,_xlfn.MAXIFS(N$1:N65,I$1:I65,I104)+1,_xlfn.RANK.EQ(I104,I$2:I$111,0)),"")</f>
        <v/>
      </c>
      <c r="O104" s="144" t="str">
        <f>IF(F104&lt;&gt;"Collegiate"=TRUE,$I104,"")</f>
        <v/>
      </c>
      <c r="P104" s="47" t="str">
        <f>IF(ISNUMBER(O104),IF(COUNTIFS(P$1:P65,_xlfn.RANK.EQ(O104,O$2:O$111,0))&gt;0,_xlfn.MAXIFS(P$1:P65,O$1:O65,O104)+1,_xlfn.RANK.EQ(O104,O$2:O$111,0)),"")</f>
        <v/>
      </c>
      <c r="Q104" s="1" t="str">
        <f>IF(ISNUMBER(O104)=TRUE,IF(_xlfn.RANK.EQ(O104,$O$2:$O$111)&lt;='Tournament Setup'!$B$26,_xlfn.RANK.EQ(O104,$O$2:$O$111),""),"")</f>
        <v/>
      </c>
      <c r="R104" s="143" t="str">
        <f>IF(AND($E104="M",SUM($Q104)=0,F104&lt;&gt;"Collegiate")=TRUE,$I104,"")</f>
        <v/>
      </c>
      <c r="S104" s="1" t="str">
        <f>IF(ISNUMBER(R104)=TRUE,IF(_xlfn.RANK.EQ(R104,$R$2:$R$111)&lt;='Tournament Setup'!$B$27,_xlfn.RANK.EQ(R104,$R$2:$R$111),""),"")</f>
        <v/>
      </c>
      <c r="T104" s="143" t="str">
        <f>IF(AND($E104="F",SUM($Q104)=0,F104&lt;&gt;"Collegiate")=TRUE,$I104,"")</f>
        <v/>
      </c>
      <c r="U104" s="12" t="str">
        <f>IF(ISNUMBER(T104)=TRUE,IF(_xlfn.RANK.EQ(T104,$T$2:$T$111)&lt;='Tournament Setup'!$B$28,_xlfn.RANK.EQ(T104,$T$2:$T$111),""),"")</f>
        <v/>
      </c>
      <c r="V104" s="145" t="str">
        <f>IF(AND($G104='Tournament Setup'!$A$53,$J104&lt;&gt;0),$J104,"")</f>
        <v/>
      </c>
      <c r="W104" s="47" t="str">
        <f>IF(ISNUMBER(V104),IF(COUNTIFS(W$1:W103,_xlfn.RANK.EQ(V104,V$2:V$111,0))&gt;0,_xlfn.MAXIFS(W$1:W103,V$1:V103,V104)+1,_xlfn.RANK.EQ(V104,V$2:V$111,0)),"")</f>
        <v/>
      </c>
      <c r="X104" s="1" t="str">
        <f>IF(ISNUMBER(V104)=TRUE,IF(_xlfn.RANK.EQ(V104,$V$2:$V$111)&lt;='Tournament Setup'!$B$53,_xlfn.RANK.EQ(V104,$V$2:$V$111),""),"")</f>
        <v/>
      </c>
      <c r="Y104" s="145" t="str">
        <f>IF(AND($G104='Tournament Setup'!$A$49,$J104&lt;&gt;0),$J104,"")</f>
        <v/>
      </c>
      <c r="Z104" s="47" t="str">
        <f>IF(ISNUMBER(Y104),IF(COUNTIFS(Z$1:Z103,_xlfn.RANK.EQ(Y104,Y$2:Y$111,0))&gt;0,_xlfn.MAXIFS(Z$1:Z103,Y$1:Y103,Y104)+1,_xlfn.RANK.EQ(Y104,Y$2:Y$111,0)),"")</f>
        <v/>
      </c>
      <c r="AA104" s="1" t="str">
        <f>IF(ISNUMBER(Y104)=TRUE,IF(_xlfn.RANK.EQ(Y104,$Y$2:$Y$111)&lt;='Tournament Setup'!$B$49,_xlfn.RANK.EQ(Y104,$Y$2:$Y$111),""),"")</f>
        <v/>
      </c>
      <c r="AB104" s="30" t="str">
        <f>IF(AND($F104='Tournament Setup'!$A$32,SUM($Q104,$S104,$U104)=0),$I104,"")</f>
        <v/>
      </c>
      <c r="AC104" s="47" t="str">
        <f>IF(ISNUMBER(AB104),IF(COUNTIFS(AC$1:AC65,_xlfn.RANK.EQ(AB104,AB$2:AB$111,0))&gt;0,_xlfn.MAXIFS(AC$1:AC65,AB$1:AB65,AB104)+1,_xlfn.RANK.EQ(AB104,AB$2:AB$111,0)),"")</f>
        <v/>
      </c>
      <c r="AD104" s="1" t="str">
        <f>IF(ISNUMBER(AB104)=TRUE,IF(_xlfn.RANK.EQ(AB104,$AB$2:$AB$111)&lt;='Tournament Setup'!$B$32,_xlfn.RANK.EQ(AB104,$AB$2:$AB$111),""),"")</f>
        <v/>
      </c>
      <c r="AE104" s="31" t="str">
        <f>IF(AND($F104='Tournament Setup'!$A$32,SUM($Q104,$S104)=0,$E104="M",$AD104&gt;'Tournament Setup'!$B$32),$I104,"")</f>
        <v/>
      </c>
      <c r="AF104" s="1" t="str">
        <f>IF(ISNUMBER(AE104)=TRUE,IF(_xlfn.RANK.EQ(AE104,$AE$2:$AE$111)&lt;='Tournament Setup'!$C$32,_xlfn.RANK.EQ(AE104,$AE$2:$AE$111),""),"")</f>
        <v/>
      </c>
      <c r="AG104" s="31" t="str">
        <f>IF(AND($F104='Tournament Setup'!$A$32,SUM($Q104,$U104)=0,$E104="F",$AD104&gt;'Tournament Setup'!$B$32),$I104,"")</f>
        <v/>
      </c>
      <c r="AH104" s="12" t="str">
        <f>IF(ISNUMBER(AG104)=TRUE,IF(_xlfn.RANK.EQ(AG104,$AG$2:$AG$111)&lt;='Tournament Setup'!$D$32,_xlfn.RANK.EQ(AG104,$AG$2:$AG$111),""),"")</f>
        <v/>
      </c>
      <c r="AI104" s="30" t="str">
        <f>IF(AND($G104='Tournament Setup'!$A$50,$J104&lt;&gt;0),$J104,"")</f>
        <v/>
      </c>
      <c r="AJ104" s="47" t="str">
        <f>IF(ISNUMBER(AI104),IF(COUNTIFS(AJ$1:AJ65,_xlfn.RANK.EQ(AI104,AI$2:AI$111,0))&gt;0,_xlfn.MAXIFS(AJ$1:AJ65,AI$1:AI65,AI104)+1,_xlfn.RANK.EQ(AI104,AI$2:AI$111,0)),"")</f>
        <v/>
      </c>
      <c r="AK104" s="1" t="str">
        <f>IF(ISNUMBER(AI104)=TRUE,IF(_xlfn.RANK.EQ(AI104,$AI$2:$AI$111)&lt;='Tournament Setup'!$B$49,_xlfn.RANK.EQ(AI104,$AI$2:$AI$111),""),"")</f>
        <v/>
      </c>
      <c r="AL104" s="30" t="str">
        <f>IF(AND($F104='Tournament Setup'!$A$33,SUM($Q104,$S104,$U104)=0),$I104,"")</f>
        <v/>
      </c>
      <c r="AM104" s="47" t="str">
        <f>IF(ISNUMBER(AL104),IF(COUNTIFS(AM$1:AM65,_xlfn.RANK.EQ(AL104,AL$2:AL$111,0))&gt;0,_xlfn.MAXIFS(AM$1:AM65,AL$1:AL65,AL104)+1,_xlfn.RANK.EQ(AL104,AL$2:AL$111,0)),"")</f>
        <v/>
      </c>
      <c r="AN104" s="1" t="str">
        <f>IF(ISNUMBER(AL104)=TRUE,IF(_xlfn.RANK.EQ(AL104,$AL$2:$AL$111)&lt;='Tournament Setup'!$B$33,_xlfn.RANK.EQ(AL104,$AL$2:$AL$111),""),"")</f>
        <v/>
      </c>
      <c r="AO104" s="31" t="str">
        <f>IF(AND($F104='Tournament Setup'!$A$33,SUM($Q104,$S104)=0,$E104="M",$AN104&gt;'Tournament Setup'!$B$33),$I104,"")</f>
        <v/>
      </c>
      <c r="AP104" s="1" t="str">
        <f>IF(ISNUMBER(AO104)=TRUE,IF(_xlfn.RANK.EQ(AO104,$AO$2:$AO$111)&lt;='Tournament Setup'!$C$33,_xlfn.RANK.EQ(AO104,$AO$2:$AO$111),""),"")</f>
        <v/>
      </c>
      <c r="AQ104" s="31" t="str">
        <f>IF(AND($F104='Tournament Setup'!$A$33,SUM($Q104,$U104)=0,$E104="F",$AN104&gt;'Tournament Setup'!$B$33),$I104,"")</f>
        <v/>
      </c>
      <c r="AR104" s="12" t="str">
        <f>IF(ISNUMBER(AQ104)=TRUE,IF(_xlfn.RANK.EQ(AQ104,$AQ$2:$AQ$111)&lt;='Tournament Setup'!$D$33,_xlfn.RANK.EQ(AQ104,$AQ$2:$AQ$111),""),"")</f>
        <v/>
      </c>
      <c r="AS104" s="30" t="str">
        <f>IF(AND($G104='Tournament Setup'!$A$51,$J104&lt;&gt;0),$J104,"")</f>
        <v/>
      </c>
      <c r="AT104" s="47" t="str">
        <f>IF(ISNUMBER(AS104),IF(COUNTIFS(AT$1:AT65,_xlfn.RANK.EQ(AS104,AS$2:AS$111,0))&gt;0,_xlfn.MAXIFS(AT$1:AT65,AS$1:AS65,AS104)+1,_xlfn.RANK.EQ(AS104,AS$2:AS$111,0)),"")</f>
        <v/>
      </c>
      <c r="AU104" s="1" t="str">
        <f>IF(ISNUMBER(AS104)=TRUE,IF(_xlfn.RANK.EQ(AS104,$AS$2:$AS$111)&lt;='Tournament Setup'!$B$49,_xlfn.RANK.EQ(AS104,$AS$2:$AS$111),""),"")</f>
        <v/>
      </c>
      <c r="AV104" s="30" t="str">
        <f>IF(AND($F104='Tournament Setup'!$A$34,SUM($Q104,$S104,$U104)=0),$I104,"")</f>
        <v/>
      </c>
      <c r="AW104" s="47" t="str">
        <f>IF(ISNUMBER(AV104),IF(COUNTIFS(AW$1:AW65,_xlfn.RANK.EQ(AV104,AV$2:AV$111,0))&gt;0,_xlfn.MAXIFS(AW$1:AW65,AV$1:AV65,AV104)+1,_xlfn.RANK.EQ(AV104,AV$2:AV$111,0)),"")</f>
        <v/>
      </c>
      <c r="AX104" s="1" t="str">
        <f>IF(ISNUMBER(AV104)=TRUE,IF(_xlfn.RANK.EQ(AV104,$AV$2:$AV$111)&lt;='Tournament Setup'!$B$34,_xlfn.RANK.EQ(AV104,$AV$2:$AV$111),""),"")</f>
        <v/>
      </c>
      <c r="AY104" s="31" t="str">
        <f>IF(AND($F104='Tournament Setup'!$A$34,SUM($Q104,$S104)=0,$E104="M",$AX104&gt;'Tournament Setup'!$B$34),$I104,"")</f>
        <v/>
      </c>
      <c r="AZ104" s="1" t="str">
        <f>IF(ISNUMBER(AY104)=TRUE,IF(_xlfn.RANK.EQ(AY104,$AY$2:$AY$111)&lt;='Tournament Setup'!$C$34,_xlfn.RANK.EQ(AY104,$AY$2:$AY$111),""),"")</f>
        <v/>
      </c>
      <c r="BA104" s="31" t="str">
        <f>IF(AND($F104='Tournament Setup'!$A$34,SUM($Q104,$U104)=0,$E104="F",$AX104&gt;'Tournament Setup'!$B$34),$I104,"")</f>
        <v/>
      </c>
      <c r="BB104" s="12" t="str">
        <f>IF(ISNUMBER(BA104)=TRUE,IF(_xlfn.RANK.EQ(BA104,$BA$2:$BA$111)&lt;='Tournament Setup'!$D$34,_xlfn.RANK.EQ(BA104,$BA$2:$BA$111),""),"")</f>
        <v/>
      </c>
      <c r="BC104" s="30" t="str">
        <f>IF(AND($G104='Tournament Setup'!$A$52,$J104&lt;&gt;0),$J104,"")</f>
        <v/>
      </c>
      <c r="BD104" s="47" t="str">
        <f>IF(ISNUMBER(BC104),IF(COUNTIFS(BD$1:BD65,_xlfn.RANK.EQ(BC104,BC$2:BC$111,0))&gt;0,_xlfn.MAXIFS(BD$1:BD65,BC$1:BC65,BC104)+1,_xlfn.RANK.EQ(BC104,BC$2:BC$111,0)),"")</f>
        <v/>
      </c>
      <c r="BE104" s="1" t="str">
        <f>IF(ISNUMBER(BC104)=TRUE,IF(_xlfn.RANK.EQ(BC104,$BC$2:$BC$111)&lt;='Tournament Setup'!$B$49,_xlfn.RANK.EQ(BC104,$BC$2:$BC$111),""),"")</f>
        <v/>
      </c>
      <c r="BF104" s="30" t="str">
        <f>IF(AND($F104='Tournament Setup'!$A$35,SUM($Q104,$S104,$U104)=0),$I104,"")</f>
        <v/>
      </c>
      <c r="BG104" s="47" t="str">
        <f>IF(ISNUMBER(BF104),IF(COUNTIFS(BG$1:BG65,_xlfn.RANK.EQ(BF104,BF$2:BF$111,0))&gt;0,_xlfn.MAXIFS(BG$1:BG65,BF$1:BF65,BF104)+1,_xlfn.RANK.EQ(BF104,BF$2:BF$111,0)),"")</f>
        <v/>
      </c>
      <c r="BH104" s="1" t="str">
        <f>IF(ISNUMBER(BF104)=TRUE,IF(_xlfn.RANK.EQ(BF104,$BF$2:$BF$111)&lt;='Tournament Setup'!$B$35,_xlfn.RANK.EQ(BF104,$BF$2:$BF$111),""),"")</f>
        <v/>
      </c>
      <c r="BI104" s="31" t="str">
        <f>IF(AND($F104='Tournament Setup'!$A$35,SUM($Q104,$S104)=0,$E104="M",$BH104&gt;'Tournament Setup'!$B$35),$I104,"")</f>
        <v/>
      </c>
      <c r="BJ104" s="1" t="str">
        <f>IF(ISNUMBER(BI104)=TRUE,IF(_xlfn.RANK.EQ(BI104,$BI$2:$BI$111)&lt;='Tournament Setup'!$C$35,_xlfn.RANK.EQ(BI104,$BI$2:$BI$111),""),"")</f>
        <v/>
      </c>
      <c r="BK104" s="31" t="str">
        <f>IF(AND($F104='Tournament Setup'!$A$35,SUM($Q104,$U104)=0,$E104="F",$BH104&gt;'Tournament Setup'!$B$35),$I104,"")</f>
        <v/>
      </c>
      <c r="BL104" s="12" t="str">
        <f>IF(ISNUMBER(BK104)=TRUE,IF(_xlfn.RANK.EQ(BK104,$BK$2:$BK$111)&lt;='Tournament Setup'!$D$35,_xlfn.RANK.EQ(BK104,$BK$2:$BK$111),""),"")</f>
        <v/>
      </c>
      <c r="BM104" s="30" t="str">
        <f>IF(AND($G104='Tournament Setup'!$A$54,$J104&lt;&gt;0),$J104,"")</f>
        <v/>
      </c>
      <c r="BN104" s="47" t="str">
        <f>IF(ISNUMBER(BM104),IF(COUNTIFS(BN$1:BN65,_xlfn.RANK.EQ(BM104,BM$2:BM$111,0))&gt;0,_xlfn.MAXIFS(BN$1:BN65,BM$1:BM65,BM104)+1,_xlfn.RANK.EQ(BM104,BM$2:BM$111,0)),"")</f>
        <v/>
      </c>
      <c r="BO104" s="1" t="str">
        <f>IF(ISNUMBER(BM104)=TRUE,IF(_xlfn.RANK.EQ(BM104,$BM$2:$BM$111)&lt;='Tournament Setup'!$B$49,_xlfn.RANK.EQ(BM104,$BM$2:$BM$111),""),"")</f>
        <v/>
      </c>
      <c r="BP104" s="30" t="str">
        <f>IF(AND($F104='Tournament Setup'!$A$36,SUM($Q104,$S104,$U104)=0),$I104,"")</f>
        <v/>
      </c>
      <c r="BQ104" s="47" t="str">
        <f>IF(ISNUMBER(BP104),IF(COUNTIFS(BQ$1:BQ65,_xlfn.RANK.EQ(BP104,BP$2:BP$111,0))&gt;0,_xlfn.MAXIFS(BQ$1:BQ65,BP$1:BP65,BP104)+1,_xlfn.RANK.EQ(BP104,BP$2:BP$111,0)),"")</f>
        <v/>
      </c>
      <c r="BR104" s="1" t="str">
        <f>IF(ISNUMBER(BP104)=TRUE,IF(_xlfn.RANK.EQ(BP104,$BP$2:$BP$111)&lt;='Tournament Setup'!$B$36,_xlfn.RANK.EQ(BP104,$BP$2:$BP$111),""),"")</f>
        <v/>
      </c>
      <c r="BS104" s="31" t="str">
        <f>IF(AND($F104='Tournament Setup'!$A$36,SUM($Q104,$S104)=0,$E104="M",$BR104&gt;'Tournament Setup'!$B$36),$I104,"")</f>
        <v/>
      </c>
      <c r="BT104" s="1" t="str">
        <f>IF(ISNUMBER(BS104)=TRUE,IF(_xlfn.RANK.EQ(BS104,$BS$2:$BS$111)&lt;='Tournament Setup'!$C$36,_xlfn.RANK.EQ(BS104,$BS$2:$BS$111),""),"")</f>
        <v/>
      </c>
      <c r="BU104" s="31" t="str">
        <f>IF(AND($F104='Tournament Setup'!$A$36,SUM($Q104,$U104)=0,$E104="F",$BR104&gt;'Tournament Setup'!$B$36),$I104,"")</f>
        <v/>
      </c>
      <c r="BV104" s="12" t="str">
        <f>IF(ISNUMBER(BU104)=TRUE,IF(_xlfn.RANK.EQ(BU104,$BU$2:$BU$111)&lt;='Tournament Setup'!$D$36,_xlfn.RANK.EQ(BU104,$BU$2:$BU$111),""),"")</f>
        <v/>
      </c>
      <c r="BW104" s="30" t="str">
        <f>IF($H104='Tournament Setup'!$A$41,$I104,"")</f>
        <v/>
      </c>
      <c r="BX104" s="47" t="str">
        <f>IF(ISNUMBER(BW104),IF(COUNTIFS(BX$1:BX65,_xlfn.RANK.EQ(BW104,BW$2:BW$111,0))&gt;0,_xlfn.MAXIFS(BX$1:BX65,BW$1:BW65,BW104)+1,_xlfn.RANK.EQ(BW104,BW$2:BW$111,0)),"")</f>
        <v/>
      </c>
      <c r="BY104" s="1" t="str">
        <f>IF(ISNUMBER(BW104)=TRUE,IF(_xlfn.RANK.EQ(BW104,$BW$2:$BW$111)&lt;='Tournament Setup'!$B$41,_xlfn.RANK.EQ(BW104,$BW$2:$BW$111),""),"")</f>
        <v/>
      </c>
      <c r="BZ104" s="31" t="str">
        <f>IF(AND($H104='Tournament Setup'!$A$41,$E104="M",$BY104&gt;'Tournament Setup'!$B$41),$I104,"")</f>
        <v/>
      </c>
      <c r="CA104" s="1" t="str">
        <f>IF(ISNUMBER(BZ104)=TRUE,IF(_xlfn.RANK.EQ(BZ104,$BZ$2:$BZ$111)&lt;='Tournament Setup'!$C$41,_xlfn.RANK.EQ(BZ104,$BZ$2:$BZ$111),""),"")</f>
        <v/>
      </c>
      <c r="CB104" s="31" t="str">
        <f>IF(AND($H104='Tournament Setup'!$A$41,$E104="F",$BY104&gt;'Tournament Setup'!$B$41),$I104,"")</f>
        <v/>
      </c>
      <c r="CC104" s="12" t="str">
        <f>IF(ISNUMBER(CB104)=TRUE,IF(_xlfn.RANK.EQ(CB104,$CB$2:$CB$111)&lt;='Tournament Setup'!$D$41,_xlfn.RANK.EQ(CB104,$CB$2:$CB$111),""),"")</f>
        <v/>
      </c>
      <c r="CD104" s="30" t="str">
        <f>IF($H104='Tournament Setup'!$A$42,$I104,"")</f>
        <v/>
      </c>
      <c r="CE104" s="47" t="str">
        <f>IF(ISNUMBER(CD104),IF(COUNTIFS(CE$1:CE65,_xlfn.RANK.EQ(CD104,CD$2:CD$111,0))&gt;0,_xlfn.MAXIFS(CE$1:CE65,CD$1:CD65,CD104)+1,_xlfn.RANK.EQ(CD104,CD$2:CD$111,0)),"")</f>
        <v/>
      </c>
      <c r="CF104" s="1" t="str">
        <f>IF(ISNUMBER(CD104)=TRUE,IF(_xlfn.RANK.EQ(CD104,$CD$2:$CD$111)&lt;='Tournament Setup'!$B$42,_xlfn.RANK.EQ(CD104,$CD$2:$CD$111),""),"")</f>
        <v/>
      </c>
      <c r="CG104" s="31" t="str">
        <f>IF(AND($H104='Tournament Setup'!$A$42,$E104="M",$CF104&gt;'Tournament Setup'!$B$42),$I104,"")</f>
        <v/>
      </c>
      <c r="CH104" s="1" t="str">
        <f>IF(ISNUMBER(CG104)=TRUE,IF(_xlfn.RANK.EQ(CG104,$CG$2:$CG$111)&lt;='Tournament Setup'!$C$42,_xlfn.RANK.EQ(CG104,$CG$2:$CG$111),""),"")</f>
        <v/>
      </c>
      <c r="CI104" s="31" t="str">
        <f>IF(AND($H104='Tournament Setup'!$A$42,$E104="F",$CF104&gt;'Tournament Setup'!$B$42),$I104,"")</f>
        <v/>
      </c>
      <c r="CJ104" s="12" t="str">
        <f>IF(ISNUMBER(CI104)=TRUE,IF(_xlfn.RANK.EQ(CI104,$CI$2:$CI$111)&lt;='Tournament Setup'!$D$42,_xlfn.RANK.EQ(CI104,$CI$2:$CI$111),""),"")</f>
        <v/>
      </c>
      <c r="CK104" s="30" t="str">
        <f>IF($H104='Tournament Setup'!$A$43,$I104,"")</f>
        <v/>
      </c>
      <c r="CL104" s="47" t="str">
        <f>IF(ISNUMBER(CK104),IF(COUNTIFS(CL$1:CL65,_xlfn.RANK.EQ(CK104,CK$2:CK$111,0))&gt;0,_xlfn.MAXIFS(CL$1:CL65,CK$1:CK65,CK104)+1,_xlfn.RANK.EQ(CK104,CK$2:CK$111,0)),"")</f>
        <v/>
      </c>
      <c r="CM104" s="1" t="str">
        <f>IF(ISNUMBER(CK104)=TRUE,IF(_xlfn.RANK.EQ(CK104,$CK$2:$CK$111)&lt;='Tournament Setup'!$B$43,_xlfn.RANK.EQ(CK104,$CK$2:$CK$111),""),"")</f>
        <v/>
      </c>
      <c r="CN104" s="31" t="str">
        <f>IF(AND($H104='Tournament Setup'!$A$43,$E104="M",$CM104&gt;'Tournament Setup'!$B$43),$I104,"")</f>
        <v/>
      </c>
      <c r="CO104" s="1" t="str">
        <f>IF(ISNUMBER(CN104)=TRUE,IF(_xlfn.RANK.EQ(CN104,$CN$2:$CN$111)&lt;='Tournament Setup'!$C$43,_xlfn.RANK.EQ(CN104,$CN$2:$CN$111),""),"")</f>
        <v/>
      </c>
      <c r="CP104" s="31" t="str">
        <f>IF(AND($H104='Tournament Setup'!$A$43,$E104="F",$CM104&gt;'Tournament Setup'!$B$43),$I104,"")</f>
        <v/>
      </c>
      <c r="CQ104" s="12" t="str">
        <f>IF(ISNUMBER(CP104)=TRUE,IF(_xlfn.RANK.EQ(CP104,$CP$2:$CP$111)&lt;='Tournament Setup'!$D$43,_xlfn.RANK.EQ(CP104,$CP$2:$CP$111),""),"")</f>
        <v/>
      </c>
      <c r="CR104" s="30" t="str">
        <f>IF($H104='Tournament Setup'!$A$44,$I104,"")</f>
        <v/>
      </c>
      <c r="CS104" s="47" t="str">
        <f>IF(ISNUMBER(CR104),IF(COUNTIFS(CS$1:CS65,_xlfn.RANK.EQ(CR104,CR$2:CR$111,0))&gt;0,_xlfn.MAXIFS(CS$1:CS65,CR$1:CR65,CR104)+1,_xlfn.RANK.EQ(CR104,CR$2:CR$111,0)),"")</f>
        <v/>
      </c>
      <c r="CT104" s="1" t="str">
        <f>IF(ISNUMBER(CR104)=TRUE,IF(_xlfn.RANK.EQ(CR104,$CR$2:$CR$111)&lt;='Tournament Setup'!$B$44,_xlfn.RANK.EQ(CR104,$CR$2:$CR$111),""),"")</f>
        <v/>
      </c>
      <c r="CU104" s="31" t="str">
        <f>IF(AND($H104='Tournament Setup'!$A$44,$E104="M",$CT104&gt;'Tournament Setup'!$B$44),$I104,"")</f>
        <v/>
      </c>
      <c r="CV104" s="1" t="str">
        <f>IF(ISNUMBER(CU104)=TRUE,IF(_xlfn.RANK.EQ(CU104,$CU$2:$CU$111)&lt;='Tournament Setup'!$C$44,_xlfn.RANK.EQ(CU104,$CU$2:$CU$111),""),"")</f>
        <v/>
      </c>
      <c r="CW104" s="31" t="str">
        <f>IF(AND($H104='Tournament Setup'!$A$44,$E104="F",$CT104&gt;'Tournament Setup'!$B$44),$I104,"")</f>
        <v/>
      </c>
      <c r="CX104" s="12" t="str">
        <f>IF(ISNUMBER(CW104)=TRUE,IF(_xlfn.RANK.EQ(CW104,$CW$2:$CW$111)&lt;='Tournament Setup'!$D$44,_xlfn.RANK.EQ(CW104,$CW$2:$CW$111),""),"")</f>
        <v/>
      </c>
    </row>
    <row r="105" spans="2:102" x14ac:dyDescent="0.3">
      <c r="B105" t="str">
        <f>IFERROR(INDEX('Tournament List'!$B:$B,MATCH($A105,'Tournament List'!$A:$A,0)),"")</f>
        <v/>
      </c>
      <c r="C105" t="str">
        <f>IFERROR(INDEX('Tournament List'!$C:$C,MATCH($A105,'Tournament List'!$A:$A,0)),"")</f>
        <v/>
      </c>
      <c r="D105" t="str">
        <f t="shared" si="1"/>
        <v xml:space="preserve"> </v>
      </c>
      <c r="E105" s="1" t="str">
        <f>IFERROR(INDEX('Tournament List'!F:F,MATCH($A105,'Tournament List'!$A:$A,0)),"")</f>
        <v/>
      </c>
      <c r="F105" t="str">
        <f>IFERROR(INDEX('Tournament List'!M:M,MATCH($A105,'Tournament List'!$A:$A,0)),"")</f>
        <v/>
      </c>
      <c r="G105" t="str">
        <f>IFERROR(INDEX('Shooter-Squad Assignment'!L:L,MATCH(A105,'Shooter-Squad Assignment'!A:A,0)),"")</f>
        <v/>
      </c>
      <c r="H105" s="1" t="str">
        <f>IFERROR(INDEX('Tournament List'!AD:AD,MATCH($A105,'Tournament List'!$A:$A,0)),"")</f>
        <v/>
      </c>
      <c r="I105" s="123" t="str">
        <f>IFERROR(INDEX('Tournament List'!AG:AG,MATCH($A105,'Tournament List'!$A:$A,0)),"")</f>
        <v/>
      </c>
      <c r="J105" s="145" t="str">
        <f>IFERROR(INDEX('Tournament List'!Y:Y,MATCH($A105,'Tournament List'!$A:$A,0)),"")</f>
        <v/>
      </c>
      <c r="K105" s="47" t="str">
        <f>IFERROR(INDEX('Tournament List'!S:S,MATCH(A105,'Tournament List'!A:A,0)),"")</f>
        <v/>
      </c>
      <c r="L105" s="47" t="str">
        <f>IF(ISNUMBER(J105),IF(COUNTIFS(L$1:L104,_xlfn.RANK.EQ(J105,J$2:J$111,0))&gt;0,_xlfn.MAXIFS(L$1:L104,J$1:J104,J105)+1,_xlfn.RANK.EQ(J105,J$2:J$111,0)),"")</f>
        <v/>
      </c>
      <c r="M105" s="11" t="str">
        <f>IF(ISNUMBER(I105)=TRUE,IF(I105&gt;0,_xlfn.RANK.EQ(I105,$I$2:$I$111,0),""),"")</f>
        <v/>
      </c>
      <c r="N105" s="56" t="str">
        <f>IF(ISNUMBER(I105),IF(COUNTIFS(N$1:N104,_xlfn.RANK.EQ(I105,I$2:I$111,0))&gt;0,_xlfn.MAXIFS(N$1:N104,I$1:I104,I105)+1,_xlfn.RANK.EQ(I105,I$2:I$111,0)),"")</f>
        <v/>
      </c>
      <c r="O105" s="144" t="str">
        <f>IF(F105&lt;&gt;"Collegiate"=TRUE,$I105,"")</f>
        <v/>
      </c>
      <c r="P105" s="47" t="str">
        <f>IF(ISNUMBER(O105),IF(COUNTIFS(P$1:P104,_xlfn.RANK.EQ(O105,O$2:O$111,0))&gt;0,_xlfn.MAXIFS(P$1:P104,O$1:O104,O105)+1,_xlfn.RANK.EQ(O105,O$2:O$111,0)),"")</f>
        <v/>
      </c>
      <c r="Q105" s="1" t="str">
        <f>IF(ISNUMBER(O105)=TRUE,IF(_xlfn.RANK.EQ(O105,$O$2:$O$111)&lt;='Tournament Setup'!$B$26,_xlfn.RANK.EQ(O105,$O$2:$O$111),""),"")</f>
        <v/>
      </c>
      <c r="R105" s="143" t="str">
        <f>IF(AND($E105="M",SUM($Q105)=0,F105&lt;&gt;"Collegiate")=TRUE,$I105,"")</f>
        <v/>
      </c>
      <c r="S105" s="1" t="str">
        <f>IF(ISNUMBER(R105)=TRUE,IF(_xlfn.RANK.EQ(R105,$R$2:$R$111)&lt;='Tournament Setup'!$B$27,_xlfn.RANK.EQ(R105,$R$2:$R$111),""),"")</f>
        <v/>
      </c>
      <c r="T105" s="143" t="str">
        <f>IF(AND($E105="F",SUM($Q105)=0,F105&lt;&gt;"Collegiate")=TRUE,$I105,"")</f>
        <v/>
      </c>
      <c r="U105" s="12" t="str">
        <f>IF(ISNUMBER(T105)=TRUE,IF(_xlfn.RANK.EQ(T105,$T$2:$T$111)&lt;='Tournament Setup'!$B$28,_xlfn.RANK.EQ(T105,$T$2:$T$111),""),"")</f>
        <v/>
      </c>
      <c r="V105" s="145" t="str">
        <f>IF(AND($G105='Tournament Setup'!$A$53,$J105&lt;&gt;0),$J105,"")</f>
        <v/>
      </c>
      <c r="W105" s="47" t="str">
        <f>IF(ISNUMBER(V105),IF(COUNTIFS(W$1:W104,_xlfn.RANK.EQ(V105,V$2:V$111,0))&gt;0,_xlfn.MAXIFS(W$1:W104,V$1:V104,V105)+1,_xlfn.RANK.EQ(V105,V$2:V$111,0)),"")</f>
        <v/>
      </c>
      <c r="X105" s="1" t="str">
        <f>IF(ISNUMBER(V105)=TRUE,IF(_xlfn.RANK.EQ(V105,$V$2:$V$111)&lt;='Tournament Setup'!$B$53,_xlfn.RANK.EQ(V105,$V$2:$V$111),""),"")</f>
        <v/>
      </c>
      <c r="Y105" s="145" t="str">
        <f>IF(AND($G105='Tournament Setup'!$A$49,$J105&lt;&gt;0),$J105,"")</f>
        <v/>
      </c>
      <c r="Z105" s="47" t="str">
        <f>IF(ISNUMBER(Y105),IF(COUNTIFS(Z$1:Z104,_xlfn.RANK.EQ(Y105,Y$2:Y$111,0))&gt;0,_xlfn.MAXIFS(Z$1:Z104,Y$1:Y104,Y105)+1,_xlfn.RANK.EQ(Y105,Y$2:Y$111,0)),"")</f>
        <v/>
      </c>
      <c r="AA105" s="1" t="str">
        <f>IF(ISNUMBER(Y105)=TRUE,IF(_xlfn.RANK.EQ(Y105,$Y$2:$Y$111)&lt;='Tournament Setup'!$B$49,_xlfn.RANK.EQ(Y105,$Y$2:$Y$111),""),"")</f>
        <v/>
      </c>
      <c r="AB105" s="30" t="str">
        <f>IF(AND($F105='Tournament Setup'!$A$32,SUM($Q105,$S105,$U105)=0),$I105,"")</f>
        <v/>
      </c>
      <c r="AC105" s="47" t="str">
        <f>IF(ISNUMBER(AB105),IF(COUNTIFS(AC$1:AC104,_xlfn.RANK.EQ(AB105,AB$2:AB$111,0))&gt;0,_xlfn.MAXIFS(AC$1:AC104,AB$1:AB104,AB105)+1,_xlfn.RANK.EQ(AB105,AB$2:AB$111,0)),"")</f>
        <v/>
      </c>
      <c r="AD105" s="1" t="str">
        <f>IF(ISNUMBER(AB105)=TRUE,IF(_xlfn.RANK.EQ(AB105,$AB$2:$AB$111)&lt;='Tournament Setup'!$B$32,_xlfn.RANK.EQ(AB105,$AB$2:$AB$111),""),"")</f>
        <v/>
      </c>
      <c r="AE105" s="31" t="str">
        <f>IF(AND($F105='Tournament Setup'!$A$32,SUM($Q105,$S105)=0,$E105="M",$AD105&gt;'Tournament Setup'!$B$32),$I105,"")</f>
        <v/>
      </c>
      <c r="AF105" s="1" t="str">
        <f>IF(ISNUMBER(AE105)=TRUE,IF(_xlfn.RANK.EQ(AE105,$AE$2:$AE$111)&lt;='Tournament Setup'!$C$32,_xlfn.RANK.EQ(AE105,$AE$2:$AE$111),""),"")</f>
        <v/>
      </c>
      <c r="AG105" s="31" t="str">
        <f>IF(AND($F105='Tournament Setup'!$A$32,SUM($Q105,$U105)=0,$E105="F",$AD105&gt;'Tournament Setup'!$B$32),$I105,"")</f>
        <v/>
      </c>
      <c r="AH105" s="12" t="str">
        <f>IF(ISNUMBER(AG105)=TRUE,IF(_xlfn.RANK.EQ(AG105,$AG$2:$AG$111)&lt;='Tournament Setup'!$D$32,_xlfn.RANK.EQ(AG105,$AG$2:$AG$111),""),"")</f>
        <v/>
      </c>
      <c r="AI105" s="30" t="str">
        <f>IF(AND($G105='Tournament Setup'!$A$50,$J105&lt;&gt;0),$J105,"")</f>
        <v/>
      </c>
      <c r="AJ105" s="47" t="str">
        <f>IF(ISNUMBER(AI105),IF(COUNTIFS(AJ$1:AJ104,_xlfn.RANK.EQ(AI105,AI$2:AI$111,0))&gt;0,_xlfn.MAXIFS(AJ$1:AJ104,AI$1:AI104,AI105)+1,_xlfn.RANK.EQ(AI105,AI$2:AI$111,0)),"")</f>
        <v/>
      </c>
      <c r="AK105" s="1" t="str">
        <f>IF(ISNUMBER(AI105)=TRUE,IF(_xlfn.RANK.EQ(AI105,$AI$2:$AI$111)&lt;='Tournament Setup'!$B$49,_xlfn.RANK.EQ(AI105,$AI$2:$AI$111),""),"")</f>
        <v/>
      </c>
      <c r="AL105" s="30" t="str">
        <f>IF(AND($F105='Tournament Setup'!$A$33,SUM($Q105,$S105,$U105)=0),$I105,"")</f>
        <v/>
      </c>
      <c r="AM105" s="47" t="str">
        <f>IF(ISNUMBER(AL105),IF(COUNTIFS(AM$1:AM104,_xlfn.RANK.EQ(AL105,AL$2:AL$111,0))&gt;0,_xlfn.MAXIFS(AM$1:AM104,AL$1:AL104,AL105)+1,_xlfn.RANK.EQ(AL105,AL$2:AL$111,0)),"")</f>
        <v/>
      </c>
      <c r="AN105" s="1" t="str">
        <f>IF(ISNUMBER(AL105)=TRUE,IF(_xlfn.RANK.EQ(AL105,$AL$2:$AL$111)&lt;='Tournament Setup'!$B$33,_xlfn.RANK.EQ(AL105,$AL$2:$AL$111),""),"")</f>
        <v/>
      </c>
      <c r="AO105" s="31" t="str">
        <f>IF(AND($F105='Tournament Setup'!$A$33,SUM($Q105,$S105)=0,$E105="M",$AN105&gt;'Tournament Setup'!$B$33),$I105,"")</f>
        <v/>
      </c>
      <c r="AP105" s="1" t="str">
        <f>IF(ISNUMBER(AO105)=TRUE,IF(_xlfn.RANK.EQ(AO105,$AO$2:$AO$111)&lt;='Tournament Setup'!$C$33,_xlfn.RANK.EQ(AO105,$AO$2:$AO$111),""),"")</f>
        <v/>
      </c>
      <c r="AQ105" s="31" t="str">
        <f>IF(AND($F105='Tournament Setup'!$A$33,SUM($Q105,$U105)=0,$E105="F",$AN105&gt;'Tournament Setup'!$B$33),$I105,"")</f>
        <v/>
      </c>
      <c r="AR105" s="12" t="str">
        <f>IF(ISNUMBER(AQ105)=TRUE,IF(_xlfn.RANK.EQ(AQ105,$AQ$2:$AQ$111)&lt;='Tournament Setup'!$D$33,_xlfn.RANK.EQ(AQ105,$AQ$2:$AQ$111),""),"")</f>
        <v/>
      </c>
      <c r="AS105" s="30" t="str">
        <f>IF(AND($G105='Tournament Setup'!$A$51,$J105&lt;&gt;0),$J105,"")</f>
        <v/>
      </c>
      <c r="AT105" s="47" t="str">
        <f>IF(ISNUMBER(AS105),IF(COUNTIFS(AT$1:AT104,_xlfn.RANK.EQ(AS105,AS$2:AS$111,0))&gt;0,_xlfn.MAXIFS(AT$1:AT104,AS$1:AS104,AS105)+1,_xlfn.RANK.EQ(AS105,AS$2:AS$111,0)),"")</f>
        <v/>
      </c>
      <c r="AU105" s="1" t="str">
        <f>IF(ISNUMBER(AS105)=TRUE,IF(_xlfn.RANK.EQ(AS105,$AS$2:$AS$111)&lt;='Tournament Setup'!$B$49,_xlfn.RANK.EQ(AS105,$AS$2:$AS$111),""),"")</f>
        <v/>
      </c>
      <c r="AV105" s="30" t="str">
        <f>IF(AND($F105='Tournament Setup'!$A$34,SUM($Q105,$S105,$U105)=0),$I105,"")</f>
        <v/>
      </c>
      <c r="AW105" s="47" t="str">
        <f>IF(ISNUMBER(AV105),IF(COUNTIFS(AW$1:AW104,_xlfn.RANK.EQ(AV105,AV$2:AV$111,0))&gt;0,_xlfn.MAXIFS(AW$1:AW104,AV$1:AV104,AV105)+1,_xlfn.RANK.EQ(AV105,AV$2:AV$111,0)),"")</f>
        <v/>
      </c>
      <c r="AX105" s="1" t="str">
        <f>IF(ISNUMBER(AV105)=TRUE,IF(_xlfn.RANK.EQ(AV105,$AV$2:$AV$111)&lt;='Tournament Setup'!$B$34,_xlfn.RANK.EQ(AV105,$AV$2:$AV$111),""),"")</f>
        <v/>
      </c>
      <c r="AY105" s="31" t="str">
        <f>IF(AND($F105='Tournament Setup'!$A$34,SUM($Q105,$S105)=0,$E105="M",$AX105&gt;'Tournament Setup'!$B$34),$I105,"")</f>
        <v/>
      </c>
      <c r="AZ105" s="1" t="str">
        <f>IF(ISNUMBER(AY105)=TRUE,IF(_xlfn.RANK.EQ(AY105,$AY$2:$AY$111)&lt;='Tournament Setup'!$C$34,_xlfn.RANK.EQ(AY105,$AY$2:$AY$111),""),"")</f>
        <v/>
      </c>
      <c r="BA105" s="31" t="str">
        <f>IF(AND($F105='Tournament Setup'!$A$34,SUM($Q105,$U105)=0,$E105="F",$AX105&gt;'Tournament Setup'!$B$34),$I105,"")</f>
        <v/>
      </c>
      <c r="BB105" s="12" t="str">
        <f>IF(ISNUMBER(BA105)=TRUE,IF(_xlfn.RANK.EQ(BA105,$BA$2:$BA$111)&lt;='Tournament Setup'!$D$34,_xlfn.RANK.EQ(BA105,$BA$2:$BA$111),""),"")</f>
        <v/>
      </c>
      <c r="BC105" s="30" t="str">
        <f>IF(AND($G105='Tournament Setup'!$A$52,$J105&lt;&gt;0),$J105,"")</f>
        <v/>
      </c>
      <c r="BD105" s="47" t="str">
        <f>IF(ISNUMBER(BC105),IF(COUNTIFS(BD$1:BD104,_xlfn.RANK.EQ(BC105,BC$2:BC$111,0))&gt;0,_xlfn.MAXIFS(BD$1:BD104,BC$1:BC104,BC105)+1,_xlfn.RANK.EQ(BC105,BC$2:BC$111,0)),"")</f>
        <v/>
      </c>
      <c r="BE105" s="1" t="str">
        <f>IF(ISNUMBER(BC105)=TRUE,IF(_xlfn.RANK.EQ(BC105,$BC$2:$BC$111)&lt;='Tournament Setup'!$B$49,_xlfn.RANK.EQ(BC105,$BC$2:$BC$111),""),"")</f>
        <v/>
      </c>
      <c r="BF105" s="30" t="str">
        <f>IF(AND($F105='Tournament Setup'!$A$35,SUM($Q105,$S105,$U105)=0),$I105,"")</f>
        <v/>
      </c>
      <c r="BG105" s="47" t="str">
        <f>IF(ISNUMBER(BF105),IF(COUNTIFS(BG$1:BG104,_xlfn.RANK.EQ(BF105,BF$2:BF$111,0))&gt;0,_xlfn.MAXIFS(BG$1:BG104,BF$1:BF104,BF105)+1,_xlfn.RANK.EQ(BF105,BF$2:BF$111,0)),"")</f>
        <v/>
      </c>
      <c r="BH105" s="1" t="str">
        <f>IF(ISNUMBER(BF105)=TRUE,IF(_xlfn.RANK.EQ(BF105,$BF$2:$BF$111)&lt;='Tournament Setup'!$B$35,_xlfn.RANK.EQ(BF105,$BF$2:$BF$111),""),"")</f>
        <v/>
      </c>
      <c r="BI105" s="31" t="str">
        <f>IF(AND($F105='Tournament Setup'!$A$35,SUM($Q105,$S105)=0,$E105="M",$BH105&gt;'Tournament Setup'!$B$35),$I105,"")</f>
        <v/>
      </c>
      <c r="BJ105" s="1" t="str">
        <f>IF(ISNUMBER(BI105)=TRUE,IF(_xlfn.RANK.EQ(BI105,$BI$2:$BI$111)&lt;='Tournament Setup'!$C$35,_xlfn.RANK.EQ(BI105,$BI$2:$BI$111),""),"")</f>
        <v/>
      </c>
      <c r="BK105" s="31" t="str">
        <f>IF(AND($F105='Tournament Setup'!$A$35,SUM($Q105,$U105)=0,$E105="F",$BH105&gt;'Tournament Setup'!$B$35),$I105,"")</f>
        <v/>
      </c>
      <c r="BL105" s="12" t="str">
        <f>IF(ISNUMBER(BK105)=TRUE,IF(_xlfn.RANK.EQ(BK105,$BK$2:$BK$111)&lt;='Tournament Setup'!$D$35,_xlfn.RANK.EQ(BK105,$BK$2:$BK$111),""),"")</f>
        <v/>
      </c>
      <c r="BM105" s="30" t="str">
        <f>IF(AND($G105='Tournament Setup'!$A$54,$J105&lt;&gt;0),$J105,"")</f>
        <v/>
      </c>
      <c r="BN105" s="47" t="str">
        <f>IF(ISNUMBER(BM105),IF(COUNTIFS(BN$1:BN104,_xlfn.RANK.EQ(BM105,BM$2:BM$111,0))&gt;0,_xlfn.MAXIFS(BN$1:BN104,BM$1:BM104,BM105)+1,_xlfn.RANK.EQ(BM105,BM$2:BM$111,0)),"")</f>
        <v/>
      </c>
      <c r="BO105" s="1" t="str">
        <f>IF(ISNUMBER(BM105)=TRUE,IF(_xlfn.RANK.EQ(BM105,$BM$2:$BM$111)&lt;='Tournament Setup'!$B$49,_xlfn.RANK.EQ(BM105,$BM$2:$BM$111),""),"")</f>
        <v/>
      </c>
      <c r="BP105" s="30" t="str">
        <f>IF(AND($F105='Tournament Setup'!$A$36,SUM($Q105,$S105,$U105)=0),$I105,"")</f>
        <v/>
      </c>
      <c r="BQ105" s="47" t="str">
        <f>IF(ISNUMBER(BP105),IF(COUNTIFS(BQ$1:BQ104,_xlfn.RANK.EQ(BP105,BP$2:BP$111,0))&gt;0,_xlfn.MAXIFS(BQ$1:BQ104,BP$1:BP104,BP105)+1,_xlfn.RANK.EQ(BP105,BP$2:BP$111,0)),"")</f>
        <v/>
      </c>
      <c r="BR105" s="1" t="str">
        <f>IF(ISNUMBER(BP105)=TRUE,IF(_xlfn.RANK.EQ(BP105,$BP$2:$BP$111)&lt;='Tournament Setup'!$B$36,_xlfn.RANK.EQ(BP105,$BP$2:$BP$111),""),"")</f>
        <v/>
      </c>
      <c r="BS105" s="31" t="str">
        <f>IF(AND($F105='Tournament Setup'!$A$36,SUM($Q105,$S105)=0,$E105="M",$BR105&gt;'Tournament Setup'!$B$36),$I105,"")</f>
        <v/>
      </c>
      <c r="BT105" s="1" t="str">
        <f>IF(ISNUMBER(BS105)=TRUE,IF(_xlfn.RANK.EQ(BS105,$BS$2:$BS$111)&lt;='Tournament Setup'!$C$36,_xlfn.RANK.EQ(BS105,$BS$2:$BS$111),""),"")</f>
        <v/>
      </c>
      <c r="BU105" s="31" t="str">
        <f>IF(AND($F105='Tournament Setup'!$A$36,SUM($Q105,$U105)=0,$E105="F",$BR105&gt;'Tournament Setup'!$B$36),$I105,"")</f>
        <v/>
      </c>
      <c r="BV105" s="12" t="str">
        <f>IF(ISNUMBER(BU105)=TRUE,IF(_xlfn.RANK.EQ(BU105,$BU$2:$BU$111)&lt;='Tournament Setup'!$D$36,_xlfn.RANK.EQ(BU105,$BU$2:$BU$111),""),"")</f>
        <v/>
      </c>
      <c r="BW105" s="30" t="str">
        <f>IF($H105='Tournament Setup'!$A$41,$I105,"")</f>
        <v/>
      </c>
      <c r="BX105" s="47" t="str">
        <f>IF(ISNUMBER(BW105),IF(COUNTIFS(BX$1:BX104,_xlfn.RANK.EQ(BW105,BW$2:BW$111,0))&gt;0,_xlfn.MAXIFS(BX$1:BX104,BW$1:BW104,BW105)+1,_xlfn.RANK.EQ(BW105,BW$2:BW$111,0)),"")</f>
        <v/>
      </c>
      <c r="BY105" s="1" t="str">
        <f>IF(ISNUMBER(BW105)=TRUE,IF(_xlfn.RANK.EQ(BW105,$BW$2:$BW$111)&lt;='Tournament Setup'!$B$41,_xlfn.RANK.EQ(BW105,$BW$2:$BW$111),""),"")</f>
        <v/>
      </c>
      <c r="BZ105" s="31" t="str">
        <f>IF(AND($H105='Tournament Setup'!$A$41,$E105="M",$BY105&gt;'Tournament Setup'!$B$41),$I105,"")</f>
        <v/>
      </c>
      <c r="CA105" s="1" t="str">
        <f>IF(ISNUMBER(BZ105)=TRUE,IF(_xlfn.RANK.EQ(BZ105,$BZ$2:$BZ$111)&lt;='Tournament Setup'!$C$41,_xlfn.RANK.EQ(BZ105,$BZ$2:$BZ$111),""),"")</f>
        <v/>
      </c>
      <c r="CB105" s="31" t="str">
        <f>IF(AND($H105='Tournament Setup'!$A$41,$E105="F",$BY105&gt;'Tournament Setup'!$B$41),$I105,"")</f>
        <v/>
      </c>
      <c r="CC105" s="12" t="str">
        <f>IF(ISNUMBER(CB105)=TRUE,IF(_xlfn.RANK.EQ(CB105,$CB$2:$CB$111)&lt;='Tournament Setup'!$D$41,_xlfn.RANK.EQ(CB105,$CB$2:$CB$111),""),"")</f>
        <v/>
      </c>
      <c r="CD105" s="30" t="str">
        <f>IF($H105='Tournament Setup'!$A$42,$I105,"")</f>
        <v/>
      </c>
      <c r="CE105" s="47" t="str">
        <f>IF(ISNUMBER(CD105),IF(COUNTIFS(CE$1:CE104,_xlfn.RANK.EQ(CD105,CD$2:CD$111,0))&gt;0,_xlfn.MAXIFS(CE$1:CE104,CD$1:CD104,CD105)+1,_xlfn.RANK.EQ(CD105,CD$2:CD$111,0)),"")</f>
        <v/>
      </c>
      <c r="CF105" s="1" t="str">
        <f>IF(ISNUMBER(CD105)=TRUE,IF(_xlfn.RANK.EQ(CD105,$CD$2:$CD$111)&lt;='Tournament Setup'!$B$42,_xlfn.RANK.EQ(CD105,$CD$2:$CD$111),""),"")</f>
        <v/>
      </c>
      <c r="CG105" s="31" t="str">
        <f>IF(AND($H105='Tournament Setup'!$A$42,$E105="M",$CF105&gt;'Tournament Setup'!$B$42),$I105,"")</f>
        <v/>
      </c>
      <c r="CH105" s="1" t="str">
        <f>IF(ISNUMBER(CG105)=TRUE,IF(_xlfn.RANK.EQ(CG105,$CG$2:$CG$111)&lt;='Tournament Setup'!$C$42,_xlfn.RANK.EQ(CG105,$CG$2:$CG$111),""),"")</f>
        <v/>
      </c>
      <c r="CI105" s="31" t="str">
        <f>IF(AND($H105='Tournament Setup'!$A$42,$E105="F",$CF105&gt;'Tournament Setup'!$B$42),$I105,"")</f>
        <v/>
      </c>
      <c r="CJ105" s="12" t="str">
        <f>IF(ISNUMBER(CI105)=TRUE,IF(_xlfn.RANK.EQ(CI105,$CI$2:$CI$111)&lt;='Tournament Setup'!$D$42,_xlfn.RANK.EQ(CI105,$CI$2:$CI$111),""),"")</f>
        <v/>
      </c>
      <c r="CK105" s="30" t="str">
        <f>IF($H105='Tournament Setup'!$A$43,$I105,"")</f>
        <v/>
      </c>
      <c r="CL105" s="47" t="str">
        <f>IF(ISNUMBER(CK105),IF(COUNTIFS(CL$1:CL104,_xlfn.RANK.EQ(CK105,CK$2:CK$111,0))&gt;0,_xlfn.MAXIFS(CL$1:CL104,CK$1:CK104,CK105)+1,_xlfn.RANK.EQ(CK105,CK$2:CK$111,0)),"")</f>
        <v/>
      </c>
      <c r="CM105" s="1" t="str">
        <f>IF(ISNUMBER(CK105)=TRUE,IF(_xlfn.RANK.EQ(CK105,$CK$2:$CK$111)&lt;='Tournament Setup'!$B$43,_xlfn.RANK.EQ(CK105,$CK$2:$CK$111),""),"")</f>
        <v/>
      </c>
      <c r="CN105" s="31" t="str">
        <f>IF(AND($H105='Tournament Setup'!$A$43,$E105="M",$CM105&gt;'Tournament Setup'!$B$43),$I105,"")</f>
        <v/>
      </c>
      <c r="CO105" s="1" t="str">
        <f>IF(ISNUMBER(CN105)=TRUE,IF(_xlfn.RANK.EQ(CN105,$CN$2:$CN$111)&lt;='Tournament Setup'!$C$43,_xlfn.RANK.EQ(CN105,$CN$2:$CN$111),""),"")</f>
        <v/>
      </c>
      <c r="CP105" s="31" t="str">
        <f>IF(AND($H105='Tournament Setup'!$A$43,$E105="F",$CM105&gt;'Tournament Setup'!$B$43),$I105,"")</f>
        <v/>
      </c>
      <c r="CQ105" s="12" t="str">
        <f>IF(ISNUMBER(CP105)=TRUE,IF(_xlfn.RANK.EQ(CP105,$CP$2:$CP$111)&lt;='Tournament Setup'!$D$43,_xlfn.RANK.EQ(CP105,$CP$2:$CP$111),""),"")</f>
        <v/>
      </c>
      <c r="CR105" s="30" t="str">
        <f>IF($H105='Tournament Setup'!$A$44,$I105,"")</f>
        <v/>
      </c>
      <c r="CS105" s="47" t="str">
        <f>IF(ISNUMBER(CR105),IF(COUNTIFS(CS$1:CS104,_xlfn.RANK.EQ(CR105,CR$2:CR$111,0))&gt;0,_xlfn.MAXIFS(CS$1:CS104,CR$1:CR104,CR105)+1,_xlfn.RANK.EQ(CR105,CR$2:CR$111,0)),"")</f>
        <v/>
      </c>
      <c r="CT105" s="1" t="str">
        <f>IF(ISNUMBER(CR105)=TRUE,IF(_xlfn.RANK.EQ(CR105,$CR$2:$CR$111)&lt;='Tournament Setup'!$B$44,_xlfn.RANK.EQ(CR105,$CR$2:$CR$111),""),"")</f>
        <v/>
      </c>
      <c r="CU105" s="31" t="str">
        <f>IF(AND($H105='Tournament Setup'!$A$44,$E105="M",$CT105&gt;'Tournament Setup'!$B$44),$I105,"")</f>
        <v/>
      </c>
      <c r="CV105" s="1" t="str">
        <f>IF(ISNUMBER(CU105)=TRUE,IF(_xlfn.RANK.EQ(CU105,$CU$2:$CU$111)&lt;='Tournament Setup'!$C$44,_xlfn.RANK.EQ(CU105,$CU$2:$CU$111),""),"")</f>
        <v/>
      </c>
      <c r="CW105" s="31" t="str">
        <f>IF(AND($H105='Tournament Setup'!$A$44,$E105="F",$CT105&gt;'Tournament Setup'!$B$44),$I105,"")</f>
        <v/>
      </c>
      <c r="CX105" s="12" t="str">
        <f>IF(ISNUMBER(CW105)=TRUE,IF(_xlfn.RANK.EQ(CW105,$CW$2:$CW$111)&lt;='Tournament Setup'!$D$44,_xlfn.RANK.EQ(CW105,$CW$2:$CW$111),""),"")</f>
        <v/>
      </c>
    </row>
    <row r="106" spans="2:102" x14ac:dyDescent="0.3">
      <c r="B106" t="str">
        <f>IFERROR(INDEX('Tournament List'!$B:$B,MATCH($A106,'Tournament List'!$A:$A,0)),"")</f>
        <v/>
      </c>
      <c r="C106" t="str">
        <f>IFERROR(INDEX('Tournament List'!$C:$C,MATCH($A106,'Tournament List'!$A:$A,0)),"")</f>
        <v/>
      </c>
      <c r="D106" t="str">
        <f t="shared" si="1"/>
        <v xml:space="preserve"> </v>
      </c>
      <c r="E106" s="1" t="str">
        <f>IFERROR(INDEX('Tournament List'!F:F,MATCH($A106,'Tournament List'!$A:$A,0)),"")</f>
        <v/>
      </c>
      <c r="F106" t="str">
        <f>IFERROR(INDEX('Tournament List'!M:M,MATCH($A106,'Tournament List'!$A:$A,0)),"")</f>
        <v/>
      </c>
      <c r="G106" t="str">
        <f>IFERROR(INDEX('Shooter-Squad Assignment'!L:L,MATCH(A106,'Shooter-Squad Assignment'!A:A,0)),"")</f>
        <v/>
      </c>
      <c r="H106" s="1" t="str">
        <f>IFERROR(INDEX('Tournament List'!AD:AD,MATCH($A106,'Tournament List'!$A:$A,0)),"")</f>
        <v/>
      </c>
      <c r="I106" s="123" t="str">
        <f>IFERROR(INDEX('Tournament List'!AG:AG,MATCH($A106,'Tournament List'!$A:$A,0)),"")</f>
        <v/>
      </c>
      <c r="J106" s="145" t="str">
        <f>IFERROR(INDEX('Tournament List'!Y:Y,MATCH($A106,'Tournament List'!$A:$A,0)),"")</f>
        <v/>
      </c>
      <c r="K106" s="47" t="str">
        <f>IFERROR(INDEX('Tournament List'!S:S,MATCH(A106,'Tournament List'!A:A,0)),"")</f>
        <v/>
      </c>
      <c r="L106" s="47" t="str">
        <f>IF(ISNUMBER(J106),IF(COUNTIFS(L$1:L105,_xlfn.RANK.EQ(J106,J$2:J$111,0))&gt;0,_xlfn.MAXIFS(L$1:L105,J$1:J105,J106)+1,_xlfn.RANK.EQ(J106,J$2:J$111,0)),"")</f>
        <v/>
      </c>
      <c r="M106" s="11" t="str">
        <f>IF(ISNUMBER(I106)=TRUE,IF(I106&gt;0,_xlfn.RANK.EQ(I106,$I$2:$I$111,0),""),"")</f>
        <v/>
      </c>
      <c r="N106" s="56" t="str">
        <f>IF(ISNUMBER(I106),IF(COUNTIFS(N$1:N105,_xlfn.RANK.EQ(I106,I$2:I$111,0))&gt;0,_xlfn.MAXIFS(N$1:N105,I$1:I105,I106)+1,_xlfn.RANK.EQ(I106,I$2:I$111,0)),"")</f>
        <v/>
      </c>
      <c r="O106" s="144" t="str">
        <f>IF(F106&lt;&gt;"Collegiate"=TRUE,$I106,"")</f>
        <v/>
      </c>
      <c r="P106" s="47" t="str">
        <f>IF(ISNUMBER(O106),IF(COUNTIFS(P$1:P105,_xlfn.RANK.EQ(O106,O$2:O$111,0))&gt;0,_xlfn.MAXIFS(P$1:P105,O$1:O105,O106)+1,_xlfn.RANK.EQ(O106,O$2:O$111,0)),"")</f>
        <v/>
      </c>
      <c r="Q106" s="1" t="str">
        <f>IF(ISNUMBER(O106)=TRUE,IF(_xlfn.RANK.EQ(O106,$O$2:$O$111)&lt;='Tournament Setup'!$B$26,_xlfn.RANK.EQ(O106,$O$2:$O$111),""),"")</f>
        <v/>
      </c>
      <c r="R106" s="143" t="str">
        <f>IF(AND($E106="M",SUM($Q106)=0,F106&lt;&gt;"Collegiate")=TRUE,$I106,"")</f>
        <v/>
      </c>
      <c r="S106" s="1" t="str">
        <f>IF(ISNUMBER(R106)=TRUE,IF(_xlfn.RANK.EQ(R106,$R$2:$R$111)&lt;='Tournament Setup'!$B$27,_xlfn.RANK.EQ(R106,$R$2:$R$111),""),"")</f>
        <v/>
      </c>
      <c r="T106" s="143" t="str">
        <f>IF(AND($E106="F",SUM($Q106)=0,F106&lt;&gt;"Collegiate")=TRUE,$I106,"")</f>
        <v/>
      </c>
      <c r="U106" s="12" t="str">
        <f>IF(ISNUMBER(T106)=TRUE,IF(_xlfn.RANK.EQ(T106,$T$2:$T$111)&lt;='Tournament Setup'!$B$28,_xlfn.RANK.EQ(T106,$T$2:$T$111),""),"")</f>
        <v/>
      </c>
      <c r="V106" s="145" t="str">
        <f>IF(AND($G106='Tournament Setup'!$A$53,$J106&lt;&gt;0),$J106,"")</f>
        <v/>
      </c>
      <c r="W106" s="47" t="str">
        <f>IF(ISNUMBER(V106),IF(COUNTIFS(W$1:W105,_xlfn.RANK.EQ(V106,V$2:V$111,0))&gt;0,_xlfn.MAXIFS(W$1:W105,V$1:V105,V106)+1,_xlfn.RANK.EQ(V106,V$2:V$111,0)),"")</f>
        <v/>
      </c>
      <c r="X106" s="1" t="str">
        <f>IF(ISNUMBER(V106)=TRUE,IF(_xlfn.RANK.EQ(V106,$V$2:$V$111)&lt;='Tournament Setup'!$B$53,_xlfn.RANK.EQ(V106,$V$2:$V$111),""),"")</f>
        <v/>
      </c>
      <c r="Y106" s="145" t="str">
        <f>IF(AND($G106='Tournament Setup'!$A$49,$J106&lt;&gt;0),$J106,"")</f>
        <v/>
      </c>
      <c r="Z106" s="47" t="str">
        <f>IF(ISNUMBER(Y106),IF(COUNTIFS(Z$1:Z105,_xlfn.RANK.EQ(Y106,Y$2:Y$111,0))&gt;0,_xlfn.MAXIFS(Z$1:Z105,Y$1:Y105,Y106)+1,_xlfn.RANK.EQ(Y106,Y$2:Y$111,0)),"")</f>
        <v/>
      </c>
      <c r="AA106" s="1" t="str">
        <f>IF(ISNUMBER(Y106)=TRUE,IF(_xlfn.RANK.EQ(Y106,$Y$2:$Y$111)&lt;='Tournament Setup'!$B$49,_xlfn.RANK.EQ(Y106,$Y$2:$Y$111),""),"")</f>
        <v/>
      </c>
      <c r="AB106" s="30" t="str">
        <f>IF(AND($F106='Tournament Setup'!$A$32,SUM($Q106,$S106,$U106)=0),$I106,"")</f>
        <v/>
      </c>
      <c r="AC106" s="47" t="str">
        <f>IF(ISNUMBER(AB106),IF(COUNTIFS(AC$1:AC105,_xlfn.RANK.EQ(AB106,AB$2:AB$111,0))&gt;0,_xlfn.MAXIFS(AC$1:AC105,AB$1:AB105,AB106)+1,_xlfn.RANK.EQ(AB106,AB$2:AB$111,0)),"")</f>
        <v/>
      </c>
      <c r="AD106" s="1" t="str">
        <f>IF(ISNUMBER(AB106)=TRUE,IF(_xlfn.RANK.EQ(AB106,$AB$2:$AB$111)&lt;='Tournament Setup'!$B$32,_xlfn.RANK.EQ(AB106,$AB$2:$AB$111),""),"")</f>
        <v/>
      </c>
      <c r="AE106" s="31" t="str">
        <f>IF(AND($F106='Tournament Setup'!$A$32,SUM($Q106,$S106)=0,$E106="M",$AD106&gt;'Tournament Setup'!$B$32),$I106,"")</f>
        <v/>
      </c>
      <c r="AF106" s="1" t="str">
        <f>IF(ISNUMBER(AE106)=TRUE,IF(_xlfn.RANK.EQ(AE106,$AE$2:$AE$111)&lt;='Tournament Setup'!$C$32,_xlfn.RANK.EQ(AE106,$AE$2:$AE$111),""),"")</f>
        <v/>
      </c>
      <c r="AG106" s="31" t="str">
        <f>IF(AND($F106='Tournament Setup'!$A$32,SUM($Q106,$U106)=0,$E106="F",$AD106&gt;'Tournament Setup'!$B$32),$I106,"")</f>
        <v/>
      </c>
      <c r="AH106" s="12" t="str">
        <f>IF(ISNUMBER(AG106)=TRUE,IF(_xlfn.RANK.EQ(AG106,$AG$2:$AG$111)&lt;='Tournament Setup'!$D$32,_xlfn.RANK.EQ(AG106,$AG$2:$AG$111),""),"")</f>
        <v/>
      </c>
      <c r="AI106" s="30" t="str">
        <f>IF(AND($G106='Tournament Setup'!$A$50,$J106&lt;&gt;0),$J106,"")</f>
        <v/>
      </c>
      <c r="AJ106" s="47" t="str">
        <f>IF(ISNUMBER(AI106),IF(COUNTIFS(AJ$1:AJ105,_xlfn.RANK.EQ(AI106,AI$2:AI$111,0))&gt;0,_xlfn.MAXIFS(AJ$1:AJ105,AI$1:AI105,AI106)+1,_xlfn.RANK.EQ(AI106,AI$2:AI$111,0)),"")</f>
        <v/>
      </c>
      <c r="AK106" s="1" t="str">
        <f>IF(ISNUMBER(AI106)=TRUE,IF(_xlfn.RANK.EQ(AI106,$AI$2:$AI$111)&lt;='Tournament Setup'!$B$49,_xlfn.RANK.EQ(AI106,$AI$2:$AI$111),""),"")</f>
        <v/>
      </c>
      <c r="AL106" s="30" t="str">
        <f>IF(AND($F106='Tournament Setup'!$A$33,SUM($Q106,$S106,$U106)=0),$I106,"")</f>
        <v/>
      </c>
      <c r="AM106" s="47" t="str">
        <f>IF(ISNUMBER(AL106),IF(COUNTIFS(AM$1:AM105,_xlfn.RANK.EQ(AL106,AL$2:AL$111,0))&gt;0,_xlfn.MAXIFS(AM$1:AM105,AL$1:AL105,AL106)+1,_xlfn.RANK.EQ(AL106,AL$2:AL$111,0)),"")</f>
        <v/>
      </c>
      <c r="AN106" s="1" t="str">
        <f>IF(ISNUMBER(AL106)=TRUE,IF(_xlfn.RANK.EQ(AL106,$AL$2:$AL$111)&lt;='Tournament Setup'!$B$33,_xlfn.RANK.EQ(AL106,$AL$2:$AL$111),""),"")</f>
        <v/>
      </c>
      <c r="AO106" s="31" t="str">
        <f>IF(AND($F106='Tournament Setup'!$A$33,SUM($Q106,$S106)=0,$E106="M",$AN106&gt;'Tournament Setup'!$B$33),$I106,"")</f>
        <v/>
      </c>
      <c r="AP106" s="1" t="str">
        <f>IF(ISNUMBER(AO106)=TRUE,IF(_xlfn.RANK.EQ(AO106,$AO$2:$AO$111)&lt;='Tournament Setup'!$C$33,_xlfn.RANK.EQ(AO106,$AO$2:$AO$111),""),"")</f>
        <v/>
      </c>
      <c r="AQ106" s="31" t="str">
        <f>IF(AND($F106='Tournament Setup'!$A$33,SUM($Q106,$U106)=0,$E106="F",$AN106&gt;'Tournament Setup'!$B$33),$I106,"")</f>
        <v/>
      </c>
      <c r="AR106" s="12" t="str">
        <f>IF(ISNUMBER(AQ106)=TRUE,IF(_xlfn.RANK.EQ(AQ106,$AQ$2:$AQ$111)&lt;='Tournament Setup'!$D$33,_xlfn.RANK.EQ(AQ106,$AQ$2:$AQ$111),""),"")</f>
        <v/>
      </c>
      <c r="AS106" s="30" t="str">
        <f>IF(AND($G106='Tournament Setup'!$A$51,$J106&lt;&gt;0),$J106,"")</f>
        <v/>
      </c>
      <c r="AT106" s="47" t="str">
        <f>IF(ISNUMBER(AS106),IF(COUNTIFS(AT$1:AT105,_xlfn.RANK.EQ(AS106,AS$2:AS$111,0))&gt;0,_xlfn.MAXIFS(AT$1:AT105,AS$1:AS105,AS106)+1,_xlfn.RANK.EQ(AS106,AS$2:AS$111,0)),"")</f>
        <v/>
      </c>
      <c r="AU106" s="1" t="str">
        <f>IF(ISNUMBER(AS106)=TRUE,IF(_xlfn.RANK.EQ(AS106,$AS$2:$AS$111)&lt;='Tournament Setup'!$B$49,_xlfn.RANK.EQ(AS106,$AS$2:$AS$111),""),"")</f>
        <v/>
      </c>
      <c r="AV106" s="30" t="str">
        <f>IF(AND($F106='Tournament Setup'!$A$34,SUM($Q106,$S106,$U106)=0),$I106,"")</f>
        <v/>
      </c>
      <c r="AW106" s="47" t="str">
        <f>IF(ISNUMBER(AV106),IF(COUNTIFS(AW$1:AW105,_xlfn.RANK.EQ(AV106,AV$2:AV$111,0))&gt;0,_xlfn.MAXIFS(AW$1:AW105,AV$1:AV105,AV106)+1,_xlfn.RANK.EQ(AV106,AV$2:AV$111,0)),"")</f>
        <v/>
      </c>
      <c r="AX106" s="1" t="str">
        <f>IF(ISNUMBER(AV106)=TRUE,IF(_xlfn.RANK.EQ(AV106,$AV$2:$AV$111)&lt;='Tournament Setup'!$B$34,_xlfn.RANK.EQ(AV106,$AV$2:$AV$111),""),"")</f>
        <v/>
      </c>
      <c r="AY106" s="31" t="str">
        <f>IF(AND($F106='Tournament Setup'!$A$34,SUM($Q106,$S106)=0,$E106="M",$AX106&gt;'Tournament Setup'!$B$34),$I106,"")</f>
        <v/>
      </c>
      <c r="AZ106" s="1" t="str">
        <f>IF(ISNUMBER(AY106)=TRUE,IF(_xlfn.RANK.EQ(AY106,$AY$2:$AY$111)&lt;='Tournament Setup'!$C$34,_xlfn.RANK.EQ(AY106,$AY$2:$AY$111),""),"")</f>
        <v/>
      </c>
      <c r="BA106" s="31" t="str">
        <f>IF(AND($F106='Tournament Setup'!$A$34,SUM($Q106,$U106)=0,$E106="F",$AX106&gt;'Tournament Setup'!$B$34),$I106,"")</f>
        <v/>
      </c>
      <c r="BB106" s="12" t="str">
        <f>IF(ISNUMBER(BA106)=TRUE,IF(_xlfn.RANK.EQ(BA106,$BA$2:$BA$111)&lt;='Tournament Setup'!$D$34,_xlfn.RANK.EQ(BA106,$BA$2:$BA$111),""),"")</f>
        <v/>
      </c>
      <c r="BC106" s="30" t="str">
        <f>IF(AND($G106='Tournament Setup'!$A$52,$J106&lt;&gt;0),$J106,"")</f>
        <v/>
      </c>
      <c r="BD106" s="47" t="str">
        <f>IF(ISNUMBER(BC106),IF(COUNTIFS(BD$1:BD105,_xlfn.RANK.EQ(BC106,BC$2:BC$111,0))&gt;0,_xlfn.MAXIFS(BD$1:BD105,BC$1:BC105,BC106)+1,_xlfn.RANK.EQ(BC106,BC$2:BC$111,0)),"")</f>
        <v/>
      </c>
      <c r="BE106" s="1" t="str">
        <f>IF(ISNUMBER(BC106)=TRUE,IF(_xlfn.RANK.EQ(BC106,$BC$2:$BC$111)&lt;='Tournament Setup'!$B$49,_xlfn.RANK.EQ(BC106,$BC$2:$BC$111),""),"")</f>
        <v/>
      </c>
      <c r="BF106" s="30" t="str">
        <f>IF(AND($F106='Tournament Setup'!$A$35,SUM($Q106,$S106,$U106)=0),$I106,"")</f>
        <v/>
      </c>
      <c r="BG106" s="47" t="str">
        <f>IF(ISNUMBER(BF106),IF(COUNTIFS(BG$1:BG105,_xlfn.RANK.EQ(BF106,BF$2:BF$111,0))&gt;0,_xlfn.MAXIFS(BG$1:BG105,BF$1:BF105,BF106)+1,_xlfn.RANK.EQ(BF106,BF$2:BF$111,0)),"")</f>
        <v/>
      </c>
      <c r="BH106" s="1" t="str">
        <f>IF(ISNUMBER(BF106)=TRUE,IF(_xlfn.RANK.EQ(BF106,$BF$2:$BF$111)&lt;='Tournament Setup'!$B$35,_xlfn.RANK.EQ(BF106,$BF$2:$BF$111),""),"")</f>
        <v/>
      </c>
      <c r="BI106" s="31" t="str">
        <f>IF(AND($F106='Tournament Setup'!$A$35,SUM($Q106,$S106)=0,$E106="M",$BH106&gt;'Tournament Setup'!$B$35),$I106,"")</f>
        <v/>
      </c>
      <c r="BJ106" s="1" t="str">
        <f>IF(ISNUMBER(BI106)=TRUE,IF(_xlfn.RANK.EQ(BI106,$BI$2:$BI$111)&lt;='Tournament Setup'!$C$35,_xlfn.RANK.EQ(BI106,$BI$2:$BI$111),""),"")</f>
        <v/>
      </c>
      <c r="BK106" s="31" t="str">
        <f>IF(AND($F106='Tournament Setup'!$A$35,SUM($Q106,$U106)=0,$E106="F",$BH106&gt;'Tournament Setup'!$B$35),$I106,"")</f>
        <v/>
      </c>
      <c r="BL106" s="12" t="str">
        <f>IF(ISNUMBER(BK106)=TRUE,IF(_xlfn.RANK.EQ(BK106,$BK$2:$BK$111)&lt;='Tournament Setup'!$D$35,_xlfn.RANK.EQ(BK106,$BK$2:$BK$111),""),"")</f>
        <v/>
      </c>
      <c r="BM106" s="30" t="str">
        <f>IF(AND($G106='Tournament Setup'!$A$54,$J106&lt;&gt;0),$J106,"")</f>
        <v/>
      </c>
      <c r="BN106" s="47" t="str">
        <f>IF(ISNUMBER(BM106),IF(COUNTIFS(BN$1:BN105,_xlfn.RANK.EQ(BM106,BM$2:BM$111,0))&gt;0,_xlfn.MAXIFS(BN$1:BN105,BM$1:BM105,BM106)+1,_xlfn.RANK.EQ(BM106,BM$2:BM$111,0)),"")</f>
        <v/>
      </c>
      <c r="BO106" s="1" t="str">
        <f>IF(ISNUMBER(BM106)=TRUE,IF(_xlfn.RANK.EQ(BM106,$BM$2:$BM$111)&lt;='Tournament Setup'!$B$49,_xlfn.RANK.EQ(BM106,$BM$2:$BM$111),""),"")</f>
        <v/>
      </c>
      <c r="BP106" s="30" t="str">
        <f>IF(AND($F106='Tournament Setup'!$A$36,SUM($Q106,$S106,$U106)=0),$I106,"")</f>
        <v/>
      </c>
      <c r="BQ106" s="47" t="str">
        <f>IF(ISNUMBER(BP106),IF(COUNTIFS(BQ$1:BQ105,_xlfn.RANK.EQ(BP106,BP$2:BP$111,0))&gt;0,_xlfn.MAXIFS(BQ$1:BQ105,BP$1:BP105,BP106)+1,_xlfn.RANK.EQ(BP106,BP$2:BP$111,0)),"")</f>
        <v/>
      </c>
      <c r="BR106" s="1" t="str">
        <f>IF(ISNUMBER(BP106)=TRUE,IF(_xlfn.RANK.EQ(BP106,$BP$2:$BP$111)&lt;='Tournament Setup'!$B$36,_xlfn.RANK.EQ(BP106,$BP$2:$BP$111),""),"")</f>
        <v/>
      </c>
      <c r="BS106" s="31" t="str">
        <f>IF(AND($F106='Tournament Setup'!$A$36,SUM($Q106,$S106)=0,$E106="M",$BR106&gt;'Tournament Setup'!$B$36),$I106,"")</f>
        <v/>
      </c>
      <c r="BT106" s="1" t="str">
        <f>IF(ISNUMBER(BS106)=TRUE,IF(_xlfn.RANK.EQ(BS106,$BS$2:$BS$111)&lt;='Tournament Setup'!$C$36,_xlfn.RANK.EQ(BS106,$BS$2:$BS$111),""),"")</f>
        <v/>
      </c>
      <c r="BU106" s="31" t="str">
        <f>IF(AND($F106='Tournament Setup'!$A$36,SUM($Q106,$U106)=0,$E106="F",$BR106&gt;'Tournament Setup'!$B$36),$I106,"")</f>
        <v/>
      </c>
      <c r="BV106" s="12" t="str">
        <f>IF(ISNUMBER(BU106)=TRUE,IF(_xlfn.RANK.EQ(BU106,$BU$2:$BU$111)&lt;='Tournament Setup'!$D$36,_xlfn.RANK.EQ(BU106,$BU$2:$BU$111),""),"")</f>
        <v/>
      </c>
      <c r="BW106" s="30" t="str">
        <f>IF($H106='Tournament Setup'!$A$41,$I106,"")</f>
        <v/>
      </c>
      <c r="BX106" s="47" t="str">
        <f>IF(ISNUMBER(BW106),IF(COUNTIFS(BX$1:BX105,_xlfn.RANK.EQ(BW106,BW$2:BW$111,0))&gt;0,_xlfn.MAXIFS(BX$1:BX105,BW$1:BW105,BW106)+1,_xlfn.RANK.EQ(BW106,BW$2:BW$111,0)),"")</f>
        <v/>
      </c>
      <c r="BY106" s="1" t="str">
        <f>IF(ISNUMBER(BW106)=TRUE,IF(_xlfn.RANK.EQ(BW106,$BW$2:$BW$111)&lt;='Tournament Setup'!$B$41,_xlfn.RANK.EQ(BW106,$BW$2:$BW$111),""),"")</f>
        <v/>
      </c>
      <c r="BZ106" s="31" t="str">
        <f>IF(AND($H106='Tournament Setup'!$A$41,$E106="M",$BY106&gt;'Tournament Setup'!$B$41),$I106,"")</f>
        <v/>
      </c>
      <c r="CA106" s="1" t="str">
        <f>IF(ISNUMBER(BZ106)=TRUE,IF(_xlfn.RANK.EQ(BZ106,$BZ$2:$BZ$111)&lt;='Tournament Setup'!$C$41,_xlfn.RANK.EQ(BZ106,$BZ$2:$BZ$111),""),"")</f>
        <v/>
      </c>
      <c r="CB106" s="31" t="str">
        <f>IF(AND($H106='Tournament Setup'!$A$41,$E106="F",$BY106&gt;'Tournament Setup'!$B$41),$I106,"")</f>
        <v/>
      </c>
      <c r="CC106" s="12" t="str">
        <f>IF(ISNUMBER(CB106)=TRUE,IF(_xlfn.RANK.EQ(CB106,$CB$2:$CB$111)&lt;='Tournament Setup'!$D$41,_xlfn.RANK.EQ(CB106,$CB$2:$CB$111),""),"")</f>
        <v/>
      </c>
      <c r="CD106" s="30" t="str">
        <f>IF($H106='Tournament Setup'!$A$42,$I106,"")</f>
        <v/>
      </c>
      <c r="CE106" s="47" t="str">
        <f>IF(ISNUMBER(CD106),IF(COUNTIFS(CE$1:CE105,_xlfn.RANK.EQ(CD106,CD$2:CD$111,0))&gt;0,_xlfn.MAXIFS(CE$1:CE105,CD$1:CD105,CD106)+1,_xlfn.RANK.EQ(CD106,CD$2:CD$111,0)),"")</f>
        <v/>
      </c>
      <c r="CF106" s="1" t="str">
        <f>IF(ISNUMBER(CD106)=TRUE,IF(_xlfn.RANK.EQ(CD106,$CD$2:$CD$111)&lt;='Tournament Setup'!$B$42,_xlfn.RANK.EQ(CD106,$CD$2:$CD$111),""),"")</f>
        <v/>
      </c>
      <c r="CG106" s="31" t="str">
        <f>IF(AND($H106='Tournament Setup'!$A$42,$E106="M",$CF106&gt;'Tournament Setup'!$B$42),$I106,"")</f>
        <v/>
      </c>
      <c r="CH106" s="1" t="str">
        <f>IF(ISNUMBER(CG106)=TRUE,IF(_xlfn.RANK.EQ(CG106,$CG$2:$CG$111)&lt;='Tournament Setup'!$C$42,_xlfn.RANK.EQ(CG106,$CG$2:$CG$111),""),"")</f>
        <v/>
      </c>
      <c r="CI106" s="31" t="str">
        <f>IF(AND($H106='Tournament Setup'!$A$42,$E106="F",$CF106&gt;'Tournament Setup'!$B$42),$I106,"")</f>
        <v/>
      </c>
      <c r="CJ106" s="12" t="str">
        <f>IF(ISNUMBER(CI106)=TRUE,IF(_xlfn.RANK.EQ(CI106,$CI$2:$CI$111)&lt;='Tournament Setup'!$D$42,_xlfn.RANK.EQ(CI106,$CI$2:$CI$111),""),"")</f>
        <v/>
      </c>
      <c r="CK106" s="30" t="str">
        <f>IF($H106='Tournament Setup'!$A$43,$I106,"")</f>
        <v/>
      </c>
      <c r="CL106" s="47" t="str">
        <f>IF(ISNUMBER(CK106),IF(COUNTIFS(CL$1:CL105,_xlfn.RANK.EQ(CK106,CK$2:CK$111,0))&gt;0,_xlfn.MAXIFS(CL$1:CL105,CK$1:CK105,CK106)+1,_xlfn.RANK.EQ(CK106,CK$2:CK$111,0)),"")</f>
        <v/>
      </c>
      <c r="CM106" s="1" t="str">
        <f>IF(ISNUMBER(CK106)=TRUE,IF(_xlfn.RANK.EQ(CK106,$CK$2:$CK$111)&lt;='Tournament Setup'!$B$43,_xlfn.RANK.EQ(CK106,$CK$2:$CK$111),""),"")</f>
        <v/>
      </c>
      <c r="CN106" s="31" t="str">
        <f>IF(AND($H106='Tournament Setup'!$A$43,$E106="M",$CM106&gt;'Tournament Setup'!$B$43),$I106,"")</f>
        <v/>
      </c>
      <c r="CO106" s="1" t="str">
        <f>IF(ISNUMBER(CN106)=TRUE,IF(_xlfn.RANK.EQ(CN106,$CN$2:$CN$111)&lt;='Tournament Setup'!$C$43,_xlfn.RANK.EQ(CN106,$CN$2:$CN$111),""),"")</f>
        <v/>
      </c>
      <c r="CP106" s="31" t="str">
        <f>IF(AND($H106='Tournament Setup'!$A$43,$E106="F",$CM106&gt;'Tournament Setup'!$B$43),$I106,"")</f>
        <v/>
      </c>
      <c r="CQ106" s="12" t="str">
        <f>IF(ISNUMBER(CP106)=TRUE,IF(_xlfn.RANK.EQ(CP106,$CP$2:$CP$111)&lt;='Tournament Setup'!$D$43,_xlfn.RANK.EQ(CP106,$CP$2:$CP$111),""),"")</f>
        <v/>
      </c>
      <c r="CR106" s="30" t="str">
        <f>IF($H106='Tournament Setup'!$A$44,$I106,"")</f>
        <v/>
      </c>
      <c r="CS106" s="47" t="str">
        <f>IF(ISNUMBER(CR106),IF(COUNTIFS(CS$1:CS105,_xlfn.RANK.EQ(CR106,CR$2:CR$111,0))&gt;0,_xlfn.MAXIFS(CS$1:CS105,CR$1:CR105,CR106)+1,_xlfn.RANK.EQ(CR106,CR$2:CR$111,0)),"")</f>
        <v/>
      </c>
      <c r="CT106" s="1" t="str">
        <f>IF(ISNUMBER(CR106)=TRUE,IF(_xlfn.RANK.EQ(CR106,$CR$2:$CR$111)&lt;='Tournament Setup'!$B$44,_xlfn.RANK.EQ(CR106,$CR$2:$CR$111),""),"")</f>
        <v/>
      </c>
      <c r="CU106" s="31" t="str">
        <f>IF(AND($H106='Tournament Setup'!$A$44,$E106="M",$CT106&gt;'Tournament Setup'!$B$44),$I106,"")</f>
        <v/>
      </c>
      <c r="CV106" s="1" t="str">
        <f>IF(ISNUMBER(CU106)=TRUE,IF(_xlfn.RANK.EQ(CU106,$CU$2:$CU$111)&lt;='Tournament Setup'!$C$44,_xlfn.RANK.EQ(CU106,$CU$2:$CU$111),""),"")</f>
        <v/>
      </c>
      <c r="CW106" s="31" t="str">
        <f>IF(AND($H106='Tournament Setup'!$A$44,$E106="F",$CT106&gt;'Tournament Setup'!$B$44),$I106,"")</f>
        <v/>
      </c>
      <c r="CX106" s="12" t="str">
        <f>IF(ISNUMBER(CW106)=TRUE,IF(_xlfn.RANK.EQ(CW106,$CW$2:$CW$111)&lt;='Tournament Setup'!$D$44,_xlfn.RANK.EQ(CW106,$CW$2:$CW$111),""),"")</f>
        <v/>
      </c>
    </row>
    <row r="107" spans="2:102" x14ac:dyDescent="0.3">
      <c r="B107" t="str">
        <f>IFERROR(INDEX('Tournament List'!$B:$B,MATCH($A107,'Tournament List'!$A:$A,0)),"")</f>
        <v/>
      </c>
      <c r="C107" t="str">
        <f>IFERROR(INDEX('Tournament List'!$C:$C,MATCH($A107,'Tournament List'!$A:$A,0)),"")</f>
        <v/>
      </c>
      <c r="D107" t="str">
        <f t="shared" si="1"/>
        <v xml:space="preserve"> </v>
      </c>
      <c r="E107" s="1" t="str">
        <f>IFERROR(INDEX('Tournament List'!F:F,MATCH($A107,'Tournament List'!$A:$A,0)),"")</f>
        <v/>
      </c>
      <c r="F107" t="str">
        <f>IFERROR(INDEX('Tournament List'!M:M,MATCH($A107,'Tournament List'!$A:$A,0)),"")</f>
        <v/>
      </c>
      <c r="G107" t="str">
        <f>IFERROR(INDEX('Shooter-Squad Assignment'!L:L,MATCH(A107,'Shooter-Squad Assignment'!A:A,0)),"")</f>
        <v/>
      </c>
      <c r="H107" s="1" t="str">
        <f>IFERROR(INDEX('Tournament List'!AD:AD,MATCH($A107,'Tournament List'!$A:$A,0)),"")</f>
        <v/>
      </c>
      <c r="I107" s="123" t="str">
        <f>IFERROR(INDEX('Tournament List'!AG:AG,MATCH($A107,'Tournament List'!$A:$A,0)),"")</f>
        <v/>
      </c>
      <c r="J107" s="145" t="str">
        <f>IFERROR(INDEX('Tournament List'!Y:Y,MATCH($A107,'Tournament List'!$A:$A,0)),"")</f>
        <v/>
      </c>
      <c r="K107" s="47" t="str">
        <f>IFERROR(INDEX('Tournament List'!S:S,MATCH(A107,'Tournament List'!A:A,0)),"")</f>
        <v/>
      </c>
      <c r="L107" s="47" t="str">
        <f>IF(ISNUMBER(J107),IF(COUNTIFS(L$1:L106,_xlfn.RANK.EQ(J107,J$2:J$111,0))&gt;0,_xlfn.MAXIFS(L$1:L106,J$1:J106,J107)+1,_xlfn.RANK.EQ(J107,J$2:J$111,0)),"")</f>
        <v/>
      </c>
      <c r="M107" s="11" t="str">
        <f>IF(ISNUMBER(I107)=TRUE,IF(I107&gt;0,_xlfn.RANK.EQ(I107,$I$2:$I$111,0),""),"")</f>
        <v/>
      </c>
      <c r="N107" s="56" t="str">
        <f>IF(ISNUMBER(I107),IF(COUNTIFS(N$1:N106,_xlfn.RANK.EQ(I107,I$2:I$111,0))&gt;0,_xlfn.MAXIFS(N$1:N106,I$1:I106,I107)+1,_xlfn.RANK.EQ(I107,I$2:I$111,0)),"")</f>
        <v/>
      </c>
      <c r="O107" s="144" t="str">
        <f>IF(F107&lt;&gt;"Collegiate"=TRUE,$I107,"")</f>
        <v/>
      </c>
      <c r="P107" s="47" t="str">
        <f>IF(ISNUMBER(O107),IF(COUNTIFS(P$1:P106,_xlfn.RANK.EQ(O107,O$2:O$111,0))&gt;0,_xlfn.MAXIFS(P$1:P106,O$1:O106,O107)+1,_xlfn.RANK.EQ(O107,O$2:O$111,0)),"")</f>
        <v/>
      </c>
      <c r="Q107" s="1" t="str">
        <f>IF(ISNUMBER(O107)=TRUE,IF(_xlfn.RANK.EQ(O107,$O$2:$O$111)&lt;='Tournament Setup'!$B$26,_xlfn.RANK.EQ(O107,$O$2:$O$111),""),"")</f>
        <v/>
      </c>
      <c r="R107" s="143" t="str">
        <f>IF(AND($E107="M",SUM($Q107)=0,F107&lt;&gt;"Collegiate")=TRUE,$I107,"")</f>
        <v/>
      </c>
      <c r="S107" s="1" t="str">
        <f>IF(ISNUMBER(R107)=TRUE,IF(_xlfn.RANK.EQ(R107,$R$2:$R$111)&lt;='Tournament Setup'!$B$27,_xlfn.RANK.EQ(R107,$R$2:$R$111),""),"")</f>
        <v/>
      </c>
      <c r="T107" s="143" t="str">
        <f>IF(AND($E107="F",SUM($Q107)=0,F107&lt;&gt;"Collegiate")=TRUE,$I107,"")</f>
        <v/>
      </c>
      <c r="U107" s="12" t="str">
        <f>IF(ISNUMBER(T107)=TRUE,IF(_xlfn.RANK.EQ(T107,$T$2:$T$111)&lt;='Tournament Setup'!$B$28,_xlfn.RANK.EQ(T107,$T$2:$T$111),""),"")</f>
        <v/>
      </c>
      <c r="V107" s="145" t="str">
        <f>IF(AND($G107='Tournament Setup'!$A$53,$J107&lt;&gt;0),$J107,"")</f>
        <v/>
      </c>
      <c r="W107" s="47" t="str">
        <f>IF(ISNUMBER(V107),IF(COUNTIFS(W$1:W106,_xlfn.RANK.EQ(V107,V$2:V$111,0))&gt;0,_xlfn.MAXIFS(W$1:W106,V$1:V106,V107)+1,_xlfn.RANK.EQ(V107,V$2:V$111,0)),"")</f>
        <v/>
      </c>
      <c r="X107" s="1" t="str">
        <f>IF(ISNUMBER(V107)=TRUE,IF(_xlfn.RANK.EQ(V107,$V$2:$V$111)&lt;='Tournament Setup'!$B$53,_xlfn.RANK.EQ(V107,$V$2:$V$111),""),"")</f>
        <v/>
      </c>
      <c r="Y107" s="145" t="str">
        <f>IF(AND($G107='Tournament Setup'!$A$49,$J107&lt;&gt;0),$J107,"")</f>
        <v/>
      </c>
      <c r="Z107" s="47" t="str">
        <f>IF(ISNUMBER(Y107),IF(COUNTIFS(Z$1:Z106,_xlfn.RANK.EQ(Y107,Y$2:Y$111,0))&gt;0,_xlfn.MAXIFS(Z$1:Z106,Y$1:Y106,Y107)+1,_xlfn.RANK.EQ(Y107,Y$2:Y$111,0)),"")</f>
        <v/>
      </c>
      <c r="AA107" s="1" t="str">
        <f>IF(ISNUMBER(Y107)=TRUE,IF(_xlfn.RANK.EQ(Y107,$Y$2:$Y$111)&lt;='Tournament Setup'!$B$49,_xlfn.RANK.EQ(Y107,$Y$2:$Y$111),""),"")</f>
        <v/>
      </c>
      <c r="AB107" s="30" t="str">
        <f>IF(AND($F107='Tournament Setup'!$A$32,SUM($Q107,$S107,$U107)=0),$I107,"")</f>
        <v/>
      </c>
      <c r="AC107" s="47" t="str">
        <f>IF(ISNUMBER(AB107),IF(COUNTIFS(AC$1:AC106,_xlfn.RANK.EQ(AB107,AB$2:AB$111,0))&gt;0,_xlfn.MAXIFS(AC$1:AC106,AB$1:AB106,AB107)+1,_xlfn.RANK.EQ(AB107,AB$2:AB$111,0)),"")</f>
        <v/>
      </c>
      <c r="AD107" s="1" t="str">
        <f>IF(ISNUMBER(AB107)=TRUE,IF(_xlfn.RANK.EQ(AB107,$AB$2:$AB$111)&lt;='Tournament Setup'!$B$32,_xlfn.RANK.EQ(AB107,$AB$2:$AB$111),""),"")</f>
        <v/>
      </c>
      <c r="AE107" s="31" t="str">
        <f>IF(AND($F107='Tournament Setup'!$A$32,SUM($Q107,$S107)=0,$E107="M",$AD107&gt;'Tournament Setup'!$B$32),$I107,"")</f>
        <v/>
      </c>
      <c r="AF107" s="1" t="str">
        <f>IF(ISNUMBER(AE107)=TRUE,IF(_xlfn.RANK.EQ(AE107,$AE$2:$AE$111)&lt;='Tournament Setup'!$C$32,_xlfn.RANK.EQ(AE107,$AE$2:$AE$111),""),"")</f>
        <v/>
      </c>
      <c r="AG107" s="31" t="str">
        <f>IF(AND($F107='Tournament Setup'!$A$32,SUM($Q107,$U107)=0,$E107="F",$AD107&gt;'Tournament Setup'!$B$32),$I107,"")</f>
        <v/>
      </c>
      <c r="AH107" s="12" t="str">
        <f>IF(ISNUMBER(AG107)=TRUE,IF(_xlfn.RANK.EQ(AG107,$AG$2:$AG$111)&lt;='Tournament Setup'!$D$32,_xlfn.RANK.EQ(AG107,$AG$2:$AG$111),""),"")</f>
        <v/>
      </c>
      <c r="AI107" s="30" t="str">
        <f>IF(AND($G107='Tournament Setup'!$A$50,$J107&lt;&gt;0),$J107,"")</f>
        <v/>
      </c>
      <c r="AJ107" s="47" t="str">
        <f>IF(ISNUMBER(AI107),IF(COUNTIFS(AJ$1:AJ106,_xlfn.RANK.EQ(AI107,AI$2:AI$111,0))&gt;0,_xlfn.MAXIFS(AJ$1:AJ106,AI$1:AI106,AI107)+1,_xlfn.RANK.EQ(AI107,AI$2:AI$111,0)),"")</f>
        <v/>
      </c>
      <c r="AK107" s="1" t="str">
        <f>IF(ISNUMBER(AI107)=TRUE,IF(_xlfn.RANK.EQ(AI107,$AI$2:$AI$111)&lt;='Tournament Setup'!$B$49,_xlfn.RANK.EQ(AI107,$AI$2:$AI$111),""),"")</f>
        <v/>
      </c>
      <c r="AL107" s="30" t="str">
        <f>IF(AND($F107='Tournament Setup'!$A$33,SUM($Q107,$S107,$U107)=0),$I107,"")</f>
        <v/>
      </c>
      <c r="AM107" s="47" t="str">
        <f>IF(ISNUMBER(AL107),IF(COUNTIFS(AM$1:AM106,_xlfn.RANK.EQ(AL107,AL$2:AL$111,0))&gt;0,_xlfn.MAXIFS(AM$1:AM106,AL$1:AL106,AL107)+1,_xlfn.RANK.EQ(AL107,AL$2:AL$111,0)),"")</f>
        <v/>
      </c>
      <c r="AN107" s="1" t="str">
        <f>IF(ISNUMBER(AL107)=TRUE,IF(_xlfn.RANK.EQ(AL107,$AL$2:$AL$111)&lt;='Tournament Setup'!$B$33,_xlfn.RANK.EQ(AL107,$AL$2:$AL$111),""),"")</f>
        <v/>
      </c>
      <c r="AO107" s="31" t="str">
        <f>IF(AND($F107='Tournament Setup'!$A$33,SUM($Q107,$S107)=0,$E107="M",$AN107&gt;'Tournament Setup'!$B$33),$I107,"")</f>
        <v/>
      </c>
      <c r="AP107" s="1" t="str">
        <f>IF(ISNUMBER(AO107)=TRUE,IF(_xlfn.RANK.EQ(AO107,$AO$2:$AO$111)&lt;='Tournament Setup'!$C$33,_xlfn.RANK.EQ(AO107,$AO$2:$AO$111),""),"")</f>
        <v/>
      </c>
      <c r="AQ107" s="31" t="str">
        <f>IF(AND($F107='Tournament Setup'!$A$33,SUM($Q107,$U107)=0,$E107="F",$AN107&gt;'Tournament Setup'!$B$33),$I107,"")</f>
        <v/>
      </c>
      <c r="AR107" s="12" t="str">
        <f>IF(ISNUMBER(AQ107)=TRUE,IF(_xlfn.RANK.EQ(AQ107,$AQ$2:$AQ$111)&lt;='Tournament Setup'!$D$33,_xlfn.RANK.EQ(AQ107,$AQ$2:$AQ$111),""),"")</f>
        <v/>
      </c>
      <c r="AS107" s="30" t="str">
        <f>IF(AND($G107='Tournament Setup'!$A$51,$J107&lt;&gt;0),$J107,"")</f>
        <v/>
      </c>
      <c r="AT107" s="47" t="str">
        <f>IF(ISNUMBER(AS107),IF(COUNTIFS(AT$1:AT106,_xlfn.RANK.EQ(AS107,AS$2:AS$111,0))&gt;0,_xlfn.MAXIFS(AT$1:AT106,AS$1:AS106,AS107)+1,_xlfn.RANK.EQ(AS107,AS$2:AS$111,0)),"")</f>
        <v/>
      </c>
      <c r="AU107" s="1" t="str">
        <f>IF(ISNUMBER(AS107)=TRUE,IF(_xlfn.RANK.EQ(AS107,$AS$2:$AS$111)&lt;='Tournament Setup'!$B$49,_xlfn.RANK.EQ(AS107,$AS$2:$AS$111),""),"")</f>
        <v/>
      </c>
      <c r="AV107" s="30" t="str">
        <f>IF(AND($F107='Tournament Setup'!$A$34,SUM($Q107,$S107,$U107)=0),$I107,"")</f>
        <v/>
      </c>
      <c r="AW107" s="47" t="str">
        <f>IF(ISNUMBER(AV107),IF(COUNTIFS(AW$1:AW106,_xlfn.RANK.EQ(AV107,AV$2:AV$111,0))&gt;0,_xlfn.MAXIFS(AW$1:AW106,AV$1:AV106,AV107)+1,_xlfn.RANK.EQ(AV107,AV$2:AV$111,0)),"")</f>
        <v/>
      </c>
      <c r="AX107" s="1" t="str">
        <f>IF(ISNUMBER(AV107)=TRUE,IF(_xlfn.RANK.EQ(AV107,$AV$2:$AV$111)&lt;='Tournament Setup'!$B$34,_xlfn.RANK.EQ(AV107,$AV$2:$AV$111),""),"")</f>
        <v/>
      </c>
      <c r="AY107" s="31" t="str">
        <f>IF(AND($F107='Tournament Setup'!$A$34,SUM($Q107,$S107)=0,$E107="M",$AX107&gt;'Tournament Setup'!$B$34),$I107,"")</f>
        <v/>
      </c>
      <c r="AZ107" s="1" t="str">
        <f>IF(ISNUMBER(AY107)=TRUE,IF(_xlfn.RANK.EQ(AY107,$AY$2:$AY$111)&lt;='Tournament Setup'!$C$34,_xlfn.RANK.EQ(AY107,$AY$2:$AY$111),""),"")</f>
        <v/>
      </c>
      <c r="BA107" s="31" t="str">
        <f>IF(AND($F107='Tournament Setup'!$A$34,SUM($Q107,$U107)=0,$E107="F",$AX107&gt;'Tournament Setup'!$B$34),$I107,"")</f>
        <v/>
      </c>
      <c r="BB107" s="12" t="str">
        <f>IF(ISNUMBER(BA107)=TRUE,IF(_xlfn.RANK.EQ(BA107,$BA$2:$BA$111)&lt;='Tournament Setup'!$D$34,_xlfn.RANK.EQ(BA107,$BA$2:$BA$111),""),"")</f>
        <v/>
      </c>
      <c r="BC107" s="30" t="str">
        <f>IF(AND($G107='Tournament Setup'!$A$52,$J107&lt;&gt;0),$J107,"")</f>
        <v/>
      </c>
      <c r="BD107" s="47" t="str">
        <f>IF(ISNUMBER(BC107),IF(COUNTIFS(BD$1:BD106,_xlfn.RANK.EQ(BC107,BC$2:BC$111,0))&gt;0,_xlfn.MAXIFS(BD$1:BD106,BC$1:BC106,BC107)+1,_xlfn.RANK.EQ(BC107,BC$2:BC$111,0)),"")</f>
        <v/>
      </c>
      <c r="BE107" s="1" t="str">
        <f>IF(ISNUMBER(BC107)=TRUE,IF(_xlfn.RANK.EQ(BC107,$BC$2:$BC$111)&lt;='Tournament Setup'!$B$49,_xlfn.RANK.EQ(BC107,$BC$2:$BC$111),""),"")</f>
        <v/>
      </c>
      <c r="BF107" s="30" t="str">
        <f>IF(AND($F107='Tournament Setup'!$A$35,SUM($Q107,$S107,$U107)=0),$I107,"")</f>
        <v/>
      </c>
      <c r="BG107" s="47" t="str">
        <f>IF(ISNUMBER(BF107),IF(COUNTIFS(BG$1:BG106,_xlfn.RANK.EQ(BF107,BF$2:BF$111,0))&gt;0,_xlfn.MAXIFS(BG$1:BG106,BF$1:BF106,BF107)+1,_xlfn.RANK.EQ(BF107,BF$2:BF$111,0)),"")</f>
        <v/>
      </c>
      <c r="BH107" s="1" t="str">
        <f>IF(ISNUMBER(BF107)=TRUE,IF(_xlfn.RANK.EQ(BF107,$BF$2:$BF$111)&lt;='Tournament Setup'!$B$35,_xlfn.RANK.EQ(BF107,$BF$2:$BF$111),""),"")</f>
        <v/>
      </c>
      <c r="BI107" s="31" t="str">
        <f>IF(AND($F107='Tournament Setup'!$A$35,SUM($Q107,$S107)=0,$E107="M",$BH107&gt;'Tournament Setup'!$B$35),$I107,"")</f>
        <v/>
      </c>
      <c r="BJ107" s="1" t="str">
        <f>IF(ISNUMBER(BI107)=TRUE,IF(_xlfn.RANK.EQ(BI107,$BI$2:$BI$111)&lt;='Tournament Setup'!$C$35,_xlfn.RANK.EQ(BI107,$BI$2:$BI$111),""),"")</f>
        <v/>
      </c>
      <c r="BK107" s="31" t="str">
        <f>IF(AND($F107='Tournament Setup'!$A$35,SUM($Q107,$U107)=0,$E107="F",$BH107&gt;'Tournament Setup'!$B$35),$I107,"")</f>
        <v/>
      </c>
      <c r="BL107" s="12" t="str">
        <f>IF(ISNUMBER(BK107)=TRUE,IF(_xlfn.RANK.EQ(BK107,$BK$2:$BK$111)&lt;='Tournament Setup'!$D$35,_xlfn.RANK.EQ(BK107,$BK$2:$BK$111),""),"")</f>
        <v/>
      </c>
      <c r="BM107" s="30" t="str">
        <f>IF(AND($G107='Tournament Setup'!$A$54,$J107&lt;&gt;0),$J107,"")</f>
        <v/>
      </c>
      <c r="BN107" s="47" t="str">
        <f>IF(ISNUMBER(BM107),IF(COUNTIFS(BN$1:BN106,_xlfn.RANK.EQ(BM107,BM$2:BM$111,0))&gt;0,_xlfn.MAXIFS(BN$1:BN106,BM$1:BM106,BM107)+1,_xlfn.RANK.EQ(BM107,BM$2:BM$111,0)),"")</f>
        <v/>
      </c>
      <c r="BO107" s="1" t="str">
        <f>IF(ISNUMBER(BM107)=TRUE,IF(_xlfn.RANK.EQ(BM107,$BM$2:$BM$111)&lt;='Tournament Setup'!$B$49,_xlfn.RANK.EQ(BM107,$BM$2:$BM$111),""),"")</f>
        <v/>
      </c>
      <c r="BP107" s="30" t="str">
        <f>IF(AND($F107='Tournament Setup'!$A$36,SUM($Q107,$S107,$U107)=0),$I107,"")</f>
        <v/>
      </c>
      <c r="BQ107" s="47" t="str">
        <f>IF(ISNUMBER(BP107),IF(COUNTIFS(BQ$1:BQ106,_xlfn.RANK.EQ(BP107,BP$2:BP$111,0))&gt;0,_xlfn.MAXIFS(BQ$1:BQ106,BP$1:BP106,BP107)+1,_xlfn.RANK.EQ(BP107,BP$2:BP$111,0)),"")</f>
        <v/>
      </c>
      <c r="BR107" s="1" t="str">
        <f>IF(ISNUMBER(BP107)=TRUE,IF(_xlfn.RANK.EQ(BP107,$BP$2:$BP$111)&lt;='Tournament Setup'!$B$36,_xlfn.RANK.EQ(BP107,$BP$2:$BP$111),""),"")</f>
        <v/>
      </c>
      <c r="BS107" s="31" t="str">
        <f>IF(AND($F107='Tournament Setup'!$A$36,SUM($Q107,$S107)=0,$E107="M",$BR107&gt;'Tournament Setup'!$B$36),$I107,"")</f>
        <v/>
      </c>
      <c r="BT107" s="1" t="str">
        <f>IF(ISNUMBER(BS107)=TRUE,IF(_xlfn.RANK.EQ(BS107,$BS$2:$BS$111)&lt;='Tournament Setup'!$C$36,_xlfn.RANK.EQ(BS107,$BS$2:$BS$111),""),"")</f>
        <v/>
      </c>
      <c r="BU107" s="31" t="str">
        <f>IF(AND($F107='Tournament Setup'!$A$36,SUM($Q107,$U107)=0,$E107="F",$BR107&gt;'Tournament Setup'!$B$36),$I107,"")</f>
        <v/>
      </c>
      <c r="BV107" s="12" t="str">
        <f>IF(ISNUMBER(BU107)=TRUE,IF(_xlfn.RANK.EQ(BU107,$BU$2:$BU$111)&lt;='Tournament Setup'!$D$36,_xlfn.RANK.EQ(BU107,$BU$2:$BU$111),""),"")</f>
        <v/>
      </c>
      <c r="BW107" s="30" t="str">
        <f>IF($H107='Tournament Setup'!$A$41,$I107,"")</f>
        <v/>
      </c>
      <c r="BX107" s="47" t="str">
        <f>IF(ISNUMBER(BW107),IF(COUNTIFS(BX$1:BX106,_xlfn.RANK.EQ(BW107,BW$2:BW$111,0))&gt;0,_xlfn.MAXIFS(BX$1:BX106,BW$1:BW106,BW107)+1,_xlfn.RANK.EQ(BW107,BW$2:BW$111,0)),"")</f>
        <v/>
      </c>
      <c r="BY107" s="1" t="str">
        <f>IF(ISNUMBER(BW107)=TRUE,IF(_xlfn.RANK.EQ(BW107,$BW$2:$BW$111)&lt;='Tournament Setup'!$B$41,_xlfn.RANK.EQ(BW107,$BW$2:$BW$111),""),"")</f>
        <v/>
      </c>
      <c r="BZ107" s="31" t="str">
        <f>IF(AND($H107='Tournament Setup'!$A$41,$E107="M",$BY107&gt;'Tournament Setup'!$B$41),$I107,"")</f>
        <v/>
      </c>
      <c r="CA107" s="1" t="str">
        <f>IF(ISNUMBER(BZ107)=TRUE,IF(_xlfn.RANK.EQ(BZ107,$BZ$2:$BZ$111)&lt;='Tournament Setup'!$C$41,_xlfn.RANK.EQ(BZ107,$BZ$2:$BZ$111),""),"")</f>
        <v/>
      </c>
      <c r="CB107" s="31" t="str">
        <f>IF(AND($H107='Tournament Setup'!$A$41,$E107="F",$BY107&gt;'Tournament Setup'!$B$41),$I107,"")</f>
        <v/>
      </c>
      <c r="CC107" s="12" t="str">
        <f>IF(ISNUMBER(CB107)=TRUE,IF(_xlfn.RANK.EQ(CB107,$CB$2:$CB$111)&lt;='Tournament Setup'!$D$41,_xlfn.RANK.EQ(CB107,$CB$2:$CB$111),""),"")</f>
        <v/>
      </c>
      <c r="CD107" s="30" t="str">
        <f>IF($H107='Tournament Setup'!$A$42,$I107,"")</f>
        <v/>
      </c>
      <c r="CE107" s="47" t="str">
        <f>IF(ISNUMBER(CD107),IF(COUNTIFS(CE$1:CE106,_xlfn.RANK.EQ(CD107,CD$2:CD$111,0))&gt;0,_xlfn.MAXIFS(CE$1:CE106,CD$1:CD106,CD107)+1,_xlfn.RANK.EQ(CD107,CD$2:CD$111,0)),"")</f>
        <v/>
      </c>
      <c r="CF107" s="1" t="str">
        <f>IF(ISNUMBER(CD107)=TRUE,IF(_xlfn.RANK.EQ(CD107,$CD$2:$CD$111)&lt;='Tournament Setup'!$B$42,_xlfn.RANK.EQ(CD107,$CD$2:$CD$111),""),"")</f>
        <v/>
      </c>
      <c r="CG107" s="31" t="str">
        <f>IF(AND($H107='Tournament Setup'!$A$42,$E107="M",$CF107&gt;'Tournament Setup'!$B$42),$I107,"")</f>
        <v/>
      </c>
      <c r="CH107" s="1" t="str">
        <f>IF(ISNUMBER(CG107)=TRUE,IF(_xlfn.RANK.EQ(CG107,$CG$2:$CG$111)&lt;='Tournament Setup'!$C$42,_xlfn.RANK.EQ(CG107,$CG$2:$CG$111),""),"")</f>
        <v/>
      </c>
      <c r="CI107" s="31" t="str">
        <f>IF(AND($H107='Tournament Setup'!$A$42,$E107="F",$CF107&gt;'Tournament Setup'!$B$42),$I107,"")</f>
        <v/>
      </c>
      <c r="CJ107" s="12" t="str">
        <f>IF(ISNUMBER(CI107)=TRUE,IF(_xlfn.RANK.EQ(CI107,$CI$2:$CI$111)&lt;='Tournament Setup'!$D$42,_xlfn.RANK.EQ(CI107,$CI$2:$CI$111),""),"")</f>
        <v/>
      </c>
      <c r="CK107" s="30" t="str">
        <f>IF($H107='Tournament Setup'!$A$43,$I107,"")</f>
        <v/>
      </c>
      <c r="CL107" s="47" t="str">
        <f>IF(ISNUMBER(CK107),IF(COUNTIFS(CL$1:CL106,_xlfn.RANK.EQ(CK107,CK$2:CK$111,0))&gt;0,_xlfn.MAXIFS(CL$1:CL106,CK$1:CK106,CK107)+1,_xlfn.RANK.EQ(CK107,CK$2:CK$111,0)),"")</f>
        <v/>
      </c>
      <c r="CM107" s="1" t="str">
        <f>IF(ISNUMBER(CK107)=TRUE,IF(_xlfn.RANK.EQ(CK107,$CK$2:$CK$111)&lt;='Tournament Setup'!$B$43,_xlfn.RANK.EQ(CK107,$CK$2:$CK$111),""),"")</f>
        <v/>
      </c>
      <c r="CN107" s="31" t="str">
        <f>IF(AND($H107='Tournament Setup'!$A$43,$E107="M",$CM107&gt;'Tournament Setup'!$B$43),$I107,"")</f>
        <v/>
      </c>
      <c r="CO107" s="1" t="str">
        <f>IF(ISNUMBER(CN107)=TRUE,IF(_xlfn.RANK.EQ(CN107,$CN$2:$CN$111)&lt;='Tournament Setup'!$C$43,_xlfn.RANK.EQ(CN107,$CN$2:$CN$111),""),"")</f>
        <v/>
      </c>
      <c r="CP107" s="31" t="str">
        <f>IF(AND($H107='Tournament Setup'!$A$43,$E107="F",$CM107&gt;'Tournament Setup'!$B$43),$I107,"")</f>
        <v/>
      </c>
      <c r="CQ107" s="12" t="str">
        <f>IF(ISNUMBER(CP107)=TRUE,IF(_xlfn.RANK.EQ(CP107,$CP$2:$CP$111)&lt;='Tournament Setup'!$D$43,_xlfn.RANK.EQ(CP107,$CP$2:$CP$111),""),"")</f>
        <v/>
      </c>
      <c r="CR107" s="30" t="str">
        <f>IF($H107='Tournament Setup'!$A$44,$I107,"")</f>
        <v/>
      </c>
      <c r="CS107" s="47" t="str">
        <f>IF(ISNUMBER(CR107),IF(COUNTIFS(CS$1:CS106,_xlfn.RANK.EQ(CR107,CR$2:CR$111,0))&gt;0,_xlfn.MAXIFS(CS$1:CS106,CR$1:CR106,CR107)+1,_xlfn.RANK.EQ(CR107,CR$2:CR$111,0)),"")</f>
        <v/>
      </c>
      <c r="CT107" s="1" t="str">
        <f>IF(ISNUMBER(CR107)=TRUE,IF(_xlfn.RANK.EQ(CR107,$CR$2:$CR$111)&lt;='Tournament Setup'!$B$44,_xlfn.RANK.EQ(CR107,$CR$2:$CR$111),""),"")</f>
        <v/>
      </c>
      <c r="CU107" s="31" t="str">
        <f>IF(AND($H107='Tournament Setup'!$A$44,$E107="M",$CT107&gt;'Tournament Setup'!$B$44),$I107,"")</f>
        <v/>
      </c>
      <c r="CV107" s="1" t="str">
        <f>IF(ISNUMBER(CU107)=TRUE,IF(_xlfn.RANK.EQ(CU107,$CU$2:$CU$111)&lt;='Tournament Setup'!$C$44,_xlfn.RANK.EQ(CU107,$CU$2:$CU$111),""),"")</f>
        <v/>
      </c>
      <c r="CW107" s="31" t="str">
        <f>IF(AND($H107='Tournament Setup'!$A$44,$E107="F",$CT107&gt;'Tournament Setup'!$B$44),$I107,"")</f>
        <v/>
      </c>
      <c r="CX107" s="12" t="str">
        <f>IF(ISNUMBER(CW107)=TRUE,IF(_xlfn.RANK.EQ(CW107,$CW$2:$CW$111)&lt;='Tournament Setup'!$D$44,_xlfn.RANK.EQ(CW107,$CW$2:$CW$111),""),"")</f>
        <v/>
      </c>
    </row>
    <row r="108" spans="2:102" x14ac:dyDescent="0.3">
      <c r="B108" t="str">
        <f>IFERROR(INDEX('Tournament List'!$B:$B,MATCH($A108,'Tournament List'!$A:$A,0)),"")</f>
        <v/>
      </c>
      <c r="C108" t="str">
        <f>IFERROR(INDEX('Tournament List'!$C:$C,MATCH($A108,'Tournament List'!$A:$A,0)),"")</f>
        <v/>
      </c>
      <c r="D108" t="str">
        <f t="shared" si="1"/>
        <v xml:space="preserve"> </v>
      </c>
      <c r="E108" s="1" t="str">
        <f>IFERROR(INDEX('Tournament List'!F:F,MATCH($A108,'Tournament List'!$A:$A,0)),"")</f>
        <v/>
      </c>
      <c r="F108" t="str">
        <f>IFERROR(INDEX('Tournament List'!M:M,MATCH($A108,'Tournament List'!$A:$A,0)),"")</f>
        <v/>
      </c>
      <c r="G108" t="str">
        <f>IFERROR(INDEX('Shooter-Squad Assignment'!L:L,MATCH(A108,'Shooter-Squad Assignment'!A:A,0)),"")</f>
        <v/>
      </c>
      <c r="H108" s="1" t="str">
        <f>IFERROR(INDEX('Tournament List'!AD:AD,MATCH($A108,'Tournament List'!$A:$A,0)),"")</f>
        <v/>
      </c>
      <c r="I108" s="123" t="str">
        <f>IFERROR(INDEX('Tournament List'!AG:AG,MATCH($A108,'Tournament List'!$A:$A,0)),"")</f>
        <v/>
      </c>
      <c r="J108" s="145" t="str">
        <f>IFERROR(INDEX('Tournament List'!Y:Y,MATCH($A108,'Tournament List'!$A:$A,0)),"")</f>
        <v/>
      </c>
      <c r="K108" s="47" t="str">
        <f>IFERROR(INDEX('Tournament List'!S:S,MATCH(A108,'Tournament List'!A:A,0)),"")</f>
        <v/>
      </c>
      <c r="L108" s="47" t="str">
        <f>IF(ISNUMBER(J108),IF(COUNTIFS(L$1:L107,_xlfn.RANK.EQ(J108,J$2:J$111,0))&gt;0,_xlfn.MAXIFS(L$1:L107,J$1:J107,J108)+1,_xlfn.RANK.EQ(J108,J$2:J$111,0)),"")</f>
        <v/>
      </c>
      <c r="M108" s="11" t="str">
        <f>IF(ISNUMBER(I108)=TRUE,IF(I108&gt;0,_xlfn.RANK.EQ(I108,$I$2:$I$111,0),""),"")</f>
        <v/>
      </c>
      <c r="N108" s="56" t="str">
        <f>IF(ISNUMBER(I108),IF(COUNTIFS(N$1:N107,_xlfn.RANK.EQ(I108,I$2:I$111,0))&gt;0,_xlfn.MAXIFS(N$1:N107,I$1:I107,I108)+1,_xlfn.RANK.EQ(I108,I$2:I$111,0)),"")</f>
        <v/>
      </c>
      <c r="O108" s="144" t="str">
        <f>IF(F108&lt;&gt;"Collegiate"=TRUE,$I108,"")</f>
        <v/>
      </c>
      <c r="P108" s="47" t="str">
        <f>IF(ISNUMBER(O108),IF(COUNTIFS(P$1:P107,_xlfn.RANK.EQ(O108,O$2:O$111,0))&gt;0,_xlfn.MAXIFS(P$1:P107,O$1:O107,O108)+1,_xlfn.RANK.EQ(O108,O$2:O$111,0)),"")</f>
        <v/>
      </c>
      <c r="Q108" s="1" t="str">
        <f>IF(ISNUMBER(O108)=TRUE,IF(_xlfn.RANK.EQ(O108,$O$2:$O$111)&lt;='Tournament Setup'!$B$26,_xlfn.RANK.EQ(O108,$O$2:$O$111),""),"")</f>
        <v/>
      </c>
      <c r="R108" s="143" t="str">
        <f>IF(AND($E108="M",SUM($Q108)=0,F108&lt;&gt;"Collegiate")=TRUE,$I108,"")</f>
        <v/>
      </c>
      <c r="S108" s="1" t="str">
        <f>IF(ISNUMBER(R108)=TRUE,IF(_xlfn.RANK.EQ(R108,$R$2:$R$111)&lt;='Tournament Setup'!$B$27,_xlfn.RANK.EQ(R108,$R$2:$R$111),""),"")</f>
        <v/>
      </c>
      <c r="T108" s="143" t="str">
        <f>IF(AND($E108="F",SUM($Q108)=0,F108&lt;&gt;"Collegiate")=TRUE,$I108,"")</f>
        <v/>
      </c>
      <c r="U108" s="12" t="str">
        <f>IF(ISNUMBER(T108)=TRUE,IF(_xlfn.RANK.EQ(T108,$T$2:$T$111)&lt;='Tournament Setup'!$B$28,_xlfn.RANK.EQ(T108,$T$2:$T$111),""),"")</f>
        <v/>
      </c>
      <c r="V108" s="145" t="str">
        <f>IF(AND($G108='Tournament Setup'!$A$53,$J108&lt;&gt;0),$J108,"")</f>
        <v/>
      </c>
      <c r="W108" s="47" t="str">
        <f>IF(ISNUMBER(V108),IF(COUNTIFS(W$1:W107,_xlfn.RANK.EQ(V108,V$2:V$111,0))&gt;0,_xlfn.MAXIFS(W$1:W107,V$1:V107,V108)+1,_xlfn.RANK.EQ(V108,V$2:V$111,0)),"")</f>
        <v/>
      </c>
      <c r="X108" s="1" t="str">
        <f>IF(ISNUMBER(V108)=TRUE,IF(_xlfn.RANK.EQ(V108,$V$2:$V$111)&lt;='Tournament Setup'!$B$53,_xlfn.RANK.EQ(V108,$V$2:$V$111),""),"")</f>
        <v/>
      </c>
      <c r="Y108" s="145" t="str">
        <f>IF(AND($G108='Tournament Setup'!$A$49,$J108&lt;&gt;0),$J108,"")</f>
        <v/>
      </c>
      <c r="Z108" s="47" t="str">
        <f>IF(ISNUMBER(Y108),IF(COUNTIFS(Z$1:Z107,_xlfn.RANK.EQ(Y108,Y$2:Y$111,0))&gt;0,_xlfn.MAXIFS(Z$1:Z107,Y$1:Y107,Y108)+1,_xlfn.RANK.EQ(Y108,Y$2:Y$111,0)),"")</f>
        <v/>
      </c>
      <c r="AA108" s="1" t="str">
        <f>IF(ISNUMBER(Y108)=TRUE,IF(_xlfn.RANK.EQ(Y108,$Y$2:$Y$111)&lt;='Tournament Setup'!$B$49,_xlfn.RANK.EQ(Y108,$Y$2:$Y$111),""),"")</f>
        <v/>
      </c>
      <c r="AB108" s="30" t="str">
        <f>IF(AND($F108='Tournament Setup'!$A$32,SUM($Q108,$S108,$U108)=0),$I108,"")</f>
        <v/>
      </c>
      <c r="AC108" s="47" t="str">
        <f>IF(ISNUMBER(AB108),IF(COUNTIFS(AC$1:AC107,_xlfn.RANK.EQ(AB108,AB$2:AB$111,0))&gt;0,_xlfn.MAXIFS(AC$1:AC107,AB$1:AB107,AB108)+1,_xlfn.RANK.EQ(AB108,AB$2:AB$111,0)),"")</f>
        <v/>
      </c>
      <c r="AD108" s="1" t="str">
        <f>IF(ISNUMBER(AB108)=TRUE,IF(_xlfn.RANK.EQ(AB108,$AB$2:$AB$111)&lt;='Tournament Setup'!$B$32,_xlfn.RANK.EQ(AB108,$AB$2:$AB$111),""),"")</f>
        <v/>
      </c>
      <c r="AE108" s="31" t="str">
        <f>IF(AND($F108='Tournament Setup'!$A$32,SUM($Q108,$S108)=0,$E108="M",$AD108&gt;'Tournament Setup'!$B$32),$I108,"")</f>
        <v/>
      </c>
      <c r="AF108" s="1" t="str">
        <f>IF(ISNUMBER(AE108)=TRUE,IF(_xlfn.RANK.EQ(AE108,$AE$2:$AE$111)&lt;='Tournament Setup'!$C$32,_xlfn.RANK.EQ(AE108,$AE$2:$AE$111),""),"")</f>
        <v/>
      </c>
      <c r="AG108" s="31" t="str">
        <f>IF(AND($F108='Tournament Setup'!$A$32,SUM($Q108,$U108)=0,$E108="F",$AD108&gt;'Tournament Setup'!$B$32),$I108,"")</f>
        <v/>
      </c>
      <c r="AH108" s="12" t="str">
        <f>IF(ISNUMBER(AG108)=TRUE,IF(_xlfn.RANK.EQ(AG108,$AG$2:$AG$111)&lt;='Tournament Setup'!$D$32,_xlfn.RANK.EQ(AG108,$AG$2:$AG$111),""),"")</f>
        <v/>
      </c>
      <c r="AI108" s="30" t="str">
        <f>IF(AND($G108='Tournament Setup'!$A$50,$J108&lt;&gt;0),$J108,"")</f>
        <v/>
      </c>
      <c r="AJ108" s="47" t="str">
        <f>IF(ISNUMBER(AI108),IF(COUNTIFS(AJ$1:AJ107,_xlfn.RANK.EQ(AI108,AI$2:AI$111,0))&gt;0,_xlfn.MAXIFS(AJ$1:AJ107,AI$1:AI107,AI108)+1,_xlfn.RANK.EQ(AI108,AI$2:AI$111,0)),"")</f>
        <v/>
      </c>
      <c r="AK108" s="1" t="str">
        <f>IF(ISNUMBER(AI108)=TRUE,IF(_xlfn.RANK.EQ(AI108,$AI$2:$AI$111)&lt;='Tournament Setup'!$B$49,_xlfn.RANK.EQ(AI108,$AI$2:$AI$111),""),"")</f>
        <v/>
      </c>
      <c r="AL108" s="30" t="str">
        <f>IF(AND($F108='Tournament Setup'!$A$33,SUM($Q108,$S108,$U108)=0),$I108,"")</f>
        <v/>
      </c>
      <c r="AM108" s="47" t="str">
        <f>IF(ISNUMBER(AL108),IF(COUNTIFS(AM$1:AM107,_xlfn.RANK.EQ(AL108,AL$2:AL$111,0))&gt;0,_xlfn.MAXIFS(AM$1:AM107,AL$1:AL107,AL108)+1,_xlfn.RANK.EQ(AL108,AL$2:AL$111,0)),"")</f>
        <v/>
      </c>
      <c r="AN108" s="1" t="str">
        <f>IF(ISNUMBER(AL108)=TRUE,IF(_xlfn.RANK.EQ(AL108,$AL$2:$AL$111)&lt;='Tournament Setup'!$B$33,_xlfn.RANK.EQ(AL108,$AL$2:$AL$111),""),"")</f>
        <v/>
      </c>
      <c r="AO108" s="31" t="str">
        <f>IF(AND($F108='Tournament Setup'!$A$33,SUM($Q108,$S108)=0,$E108="M",$AN108&gt;'Tournament Setup'!$B$33),$I108,"")</f>
        <v/>
      </c>
      <c r="AP108" s="1" t="str">
        <f>IF(ISNUMBER(AO108)=TRUE,IF(_xlfn.RANK.EQ(AO108,$AO$2:$AO$111)&lt;='Tournament Setup'!$C$33,_xlfn.RANK.EQ(AO108,$AO$2:$AO$111),""),"")</f>
        <v/>
      </c>
      <c r="AQ108" s="31" t="str">
        <f>IF(AND($F108='Tournament Setup'!$A$33,SUM($Q108,$U108)=0,$E108="F",$AN108&gt;'Tournament Setup'!$B$33),$I108,"")</f>
        <v/>
      </c>
      <c r="AR108" s="12" t="str">
        <f>IF(ISNUMBER(AQ108)=TRUE,IF(_xlfn.RANK.EQ(AQ108,$AQ$2:$AQ$111)&lt;='Tournament Setup'!$D$33,_xlfn.RANK.EQ(AQ108,$AQ$2:$AQ$111),""),"")</f>
        <v/>
      </c>
      <c r="AS108" s="30" t="str">
        <f>IF(AND($G108='Tournament Setup'!$A$51,$J108&lt;&gt;0),$J108,"")</f>
        <v/>
      </c>
      <c r="AT108" s="47" t="str">
        <f>IF(ISNUMBER(AS108),IF(COUNTIFS(AT$1:AT107,_xlfn.RANK.EQ(AS108,AS$2:AS$111,0))&gt;0,_xlfn.MAXIFS(AT$1:AT107,AS$1:AS107,AS108)+1,_xlfn.RANK.EQ(AS108,AS$2:AS$111,0)),"")</f>
        <v/>
      </c>
      <c r="AU108" s="1" t="str">
        <f>IF(ISNUMBER(AS108)=TRUE,IF(_xlfn.RANK.EQ(AS108,$AS$2:$AS$111)&lt;='Tournament Setup'!$B$49,_xlfn.RANK.EQ(AS108,$AS$2:$AS$111),""),"")</f>
        <v/>
      </c>
      <c r="AV108" s="30" t="str">
        <f>IF(AND($F108='Tournament Setup'!$A$34,SUM($Q108,$S108,$U108)=0),$I108,"")</f>
        <v/>
      </c>
      <c r="AW108" s="47" t="str">
        <f>IF(ISNUMBER(AV108),IF(COUNTIFS(AW$1:AW107,_xlfn.RANK.EQ(AV108,AV$2:AV$111,0))&gt;0,_xlfn.MAXIFS(AW$1:AW107,AV$1:AV107,AV108)+1,_xlfn.RANK.EQ(AV108,AV$2:AV$111,0)),"")</f>
        <v/>
      </c>
      <c r="AX108" s="1" t="str">
        <f>IF(ISNUMBER(AV108)=TRUE,IF(_xlfn.RANK.EQ(AV108,$AV$2:$AV$111)&lt;='Tournament Setup'!$B$34,_xlfn.RANK.EQ(AV108,$AV$2:$AV$111),""),"")</f>
        <v/>
      </c>
      <c r="AY108" s="31" t="str">
        <f>IF(AND($F108='Tournament Setup'!$A$34,SUM($Q108,$S108)=0,$E108="M",$AX108&gt;'Tournament Setup'!$B$34),$I108,"")</f>
        <v/>
      </c>
      <c r="AZ108" s="1" t="str">
        <f>IF(ISNUMBER(AY108)=TRUE,IF(_xlfn.RANK.EQ(AY108,$AY$2:$AY$111)&lt;='Tournament Setup'!$C$34,_xlfn.RANK.EQ(AY108,$AY$2:$AY$111),""),"")</f>
        <v/>
      </c>
      <c r="BA108" s="31" t="str">
        <f>IF(AND($F108='Tournament Setup'!$A$34,SUM($Q108,$U108)=0,$E108="F",$AX108&gt;'Tournament Setup'!$B$34),$I108,"")</f>
        <v/>
      </c>
      <c r="BB108" s="12" t="str">
        <f>IF(ISNUMBER(BA108)=TRUE,IF(_xlfn.RANK.EQ(BA108,$BA$2:$BA$111)&lt;='Tournament Setup'!$D$34,_xlfn.RANK.EQ(BA108,$BA$2:$BA$111),""),"")</f>
        <v/>
      </c>
      <c r="BC108" s="30" t="str">
        <f>IF(AND($G108='Tournament Setup'!$A$52,$J108&lt;&gt;0),$J108,"")</f>
        <v/>
      </c>
      <c r="BD108" s="47" t="str">
        <f>IF(ISNUMBER(BC108),IF(COUNTIFS(BD$1:BD107,_xlfn.RANK.EQ(BC108,BC$2:BC$111,0))&gt;0,_xlfn.MAXIFS(BD$1:BD107,BC$1:BC107,BC108)+1,_xlfn.RANK.EQ(BC108,BC$2:BC$111,0)),"")</f>
        <v/>
      </c>
      <c r="BE108" s="1" t="str">
        <f>IF(ISNUMBER(BC108)=TRUE,IF(_xlfn.RANK.EQ(BC108,$BC$2:$BC$111)&lt;='Tournament Setup'!$B$49,_xlfn.RANK.EQ(BC108,$BC$2:$BC$111),""),"")</f>
        <v/>
      </c>
      <c r="BF108" s="30" t="str">
        <f>IF(AND($F108='Tournament Setup'!$A$35,SUM($Q108,$S108,$U108)=0),$I108,"")</f>
        <v/>
      </c>
      <c r="BG108" s="47" t="str">
        <f>IF(ISNUMBER(BF108),IF(COUNTIFS(BG$1:BG107,_xlfn.RANK.EQ(BF108,BF$2:BF$111,0))&gt;0,_xlfn.MAXIFS(BG$1:BG107,BF$1:BF107,BF108)+1,_xlfn.RANK.EQ(BF108,BF$2:BF$111,0)),"")</f>
        <v/>
      </c>
      <c r="BH108" s="1" t="str">
        <f>IF(ISNUMBER(BF108)=TRUE,IF(_xlfn.RANK.EQ(BF108,$BF$2:$BF$111)&lt;='Tournament Setup'!$B$35,_xlfn.RANK.EQ(BF108,$BF$2:$BF$111),""),"")</f>
        <v/>
      </c>
      <c r="BI108" s="31" t="str">
        <f>IF(AND($F108='Tournament Setup'!$A$35,SUM($Q108,$S108)=0,$E108="M",$BH108&gt;'Tournament Setup'!$B$35),$I108,"")</f>
        <v/>
      </c>
      <c r="BJ108" s="1" t="str">
        <f>IF(ISNUMBER(BI108)=TRUE,IF(_xlfn.RANK.EQ(BI108,$BI$2:$BI$111)&lt;='Tournament Setup'!$C$35,_xlfn.RANK.EQ(BI108,$BI$2:$BI$111),""),"")</f>
        <v/>
      </c>
      <c r="BK108" s="31" t="str">
        <f>IF(AND($F108='Tournament Setup'!$A$35,SUM($Q108,$U108)=0,$E108="F",$BH108&gt;'Tournament Setup'!$B$35),$I108,"")</f>
        <v/>
      </c>
      <c r="BL108" s="12" t="str">
        <f>IF(ISNUMBER(BK108)=TRUE,IF(_xlfn.RANK.EQ(BK108,$BK$2:$BK$111)&lt;='Tournament Setup'!$D$35,_xlfn.RANK.EQ(BK108,$BK$2:$BK$111),""),"")</f>
        <v/>
      </c>
      <c r="BM108" s="30" t="str">
        <f>IF(AND($G108='Tournament Setup'!$A$54,$J108&lt;&gt;0),$J108,"")</f>
        <v/>
      </c>
      <c r="BN108" s="47" t="str">
        <f>IF(ISNUMBER(BM108),IF(COUNTIFS(BN$1:BN107,_xlfn.RANK.EQ(BM108,BM$2:BM$111,0))&gt;0,_xlfn.MAXIFS(BN$1:BN107,BM$1:BM107,BM108)+1,_xlfn.RANK.EQ(BM108,BM$2:BM$111,0)),"")</f>
        <v/>
      </c>
      <c r="BO108" s="1" t="str">
        <f>IF(ISNUMBER(BM108)=TRUE,IF(_xlfn.RANK.EQ(BM108,$BM$2:$BM$111)&lt;='Tournament Setup'!$B$49,_xlfn.RANK.EQ(BM108,$BM$2:$BM$111),""),"")</f>
        <v/>
      </c>
      <c r="BP108" s="30" t="str">
        <f>IF(AND($F108='Tournament Setup'!$A$36,SUM($Q108,$S108,$U108)=0),$I108,"")</f>
        <v/>
      </c>
      <c r="BQ108" s="47" t="str">
        <f>IF(ISNUMBER(BP108),IF(COUNTIFS(BQ$1:BQ107,_xlfn.RANK.EQ(BP108,BP$2:BP$111,0))&gt;0,_xlfn.MAXIFS(BQ$1:BQ107,BP$1:BP107,BP108)+1,_xlfn.RANK.EQ(BP108,BP$2:BP$111,0)),"")</f>
        <v/>
      </c>
      <c r="BR108" s="1" t="str">
        <f>IF(ISNUMBER(BP108)=TRUE,IF(_xlfn.RANK.EQ(BP108,$BP$2:$BP$111)&lt;='Tournament Setup'!$B$36,_xlfn.RANK.EQ(BP108,$BP$2:$BP$111),""),"")</f>
        <v/>
      </c>
      <c r="BS108" s="31" t="str">
        <f>IF(AND($F108='Tournament Setup'!$A$36,SUM($Q108,$S108)=0,$E108="M",$BR108&gt;'Tournament Setup'!$B$36),$I108,"")</f>
        <v/>
      </c>
      <c r="BT108" s="1" t="str">
        <f>IF(ISNUMBER(BS108)=TRUE,IF(_xlfn.RANK.EQ(BS108,$BS$2:$BS$111)&lt;='Tournament Setup'!$C$36,_xlfn.RANK.EQ(BS108,$BS$2:$BS$111),""),"")</f>
        <v/>
      </c>
      <c r="BU108" s="31" t="str">
        <f>IF(AND($F108='Tournament Setup'!$A$36,SUM($Q108,$U108)=0,$E108="F",$BR108&gt;'Tournament Setup'!$B$36),$I108,"")</f>
        <v/>
      </c>
      <c r="BV108" s="12" t="str">
        <f>IF(ISNUMBER(BU108)=TRUE,IF(_xlfn.RANK.EQ(BU108,$BU$2:$BU$111)&lt;='Tournament Setup'!$D$36,_xlfn.RANK.EQ(BU108,$BU$2:$BU$111),""),"")</f>
        <v/>
      </c>
      <c r="BW108" s="30" t="str">
        <f>IF($H108='Tournament Setup'!$A$41,$I108,"")</f>
        <v/>
      </c>
      <c r="BX108" s="47" t="str">
        <f>IF(ISNUMBER(BW108),IF(COUNTIFS(BX$1:BX107,_xlfn.RANK.EQ(BW108,BW$2:BW$111,0))&gt;0,_xlfn.MAXIFS(BX$1:BX107,BW$1:BW107,BW108)+1,_xlfn.RANK.EQ(BW108,BW$2:BW$111,0)),"")</f>
        <v/>
      </c>
      <c r="BY108" s="1" t="str">
        <f>IF(ISNUMBER(BW108)=TRUE,IF(_xlfn.RANK.EQ(BW108,$BW$2:$BW$111)&lt;='Tournament Setup'!$B$41,_xlfn.RANK.EQ(BW108,$BW$2:$BW$111),""),"")</f>
        <v/>
      </c>
      <c r="BZ108" s="31" t="str">
        <f>IF(AND($H108='Tournament Setup'!$A$41,$E108="M",$BY108&gt;'Tournament Setup'!$B$41),$I108,"")</f>
        <v/>
      </c>
      <c r="CA108" s="1" t="str">
        <f>IF(ISNUMBER(BZ108)=TRUE,IF(_xlfn.RANK.EQ(BZ108,$BZ$2:$BZ$111)&lt;='Tournament Setup'!$C$41,_xlfn.RANK.EQ(BZ108,$BZ$2:$BZ$111),""),"")</f>
        <v/>
      </c>
      <c r="CB108" s="31" t="str">
        <f>IF(AND($H108='Tournament Setup'!$A$41,$E108="F",$BY108&gt;'Tournament Setup'!$B$41),$I108,"")</f>
        <v/>
      </c>
      <c r="CC108" s="12" t="str">
        <f>IF(ISNUMBER(CB108)=TRUE,IF(_xlfn.RANK.EQ(CB108,$CB$2:$CB$111)&lt;='Tournament Setup'!$D$41,_xlfn.RANK.EQ(CB108,$CB$2:$CB$111),""),"")</f>
        <v/>
      </c>
      <c r="CD108" s="30" t="str">
        <f>IF($H108='Tournament Setup'!$A$42,$I108,"")</f>
        <v/>
      </c>
      <c r="CE108" s="47" t="str">
        <f>IF(ISNUMBER(CD108),IF(COUNTIFS(CE$1:CE107,_xlfn.RANK.EQ(CD108,CD$2:CD$111,0))&gt;0,_xlfn.MAXIFS(CE$1:CE107,CD$1:CD107,CD108)+1,_xlfn.RANK.EQ(CD108,CD$2:CD$111,0)),"")</f>
        <v/>
      </c>
      <c r="CF108" s="1" t="str">
        <f>IF(ISNUMBER(CD108)=TRUE,IF(_xlfn.RANK.EQ(CD108,$CD$2:$CD$111)&lt;='Tournament Setup'!$B$42,_xlfn.RANK.EQ(CD108,$CD$2:$CD$111),""),"")</f>
        <v/>
      </c>
      <c r="CG108" s="31" t="str">
        <f>IF(AND($H108='Tournament Setup'!$A$42,$E108="M",$CF108&gt;'Tournament Setup'!$B$42),$I108,"")</f>
        <v/>
      </c>
      <c r="CH108" s="1" t="str">
        <f>IF(ISNUMBER(CG108)=TRUE,IF(_xlfn.RANK.EQ(CG108,$CG$2:$CG$111)&lt;='Tournament Setup'!$C$42,_xlfn.RANK.EQ(CG108,$CG$2:$CG$111),""),"")</f>
        <v/>
      </c>
      <c r="CI108" s="31" t="str">
        <f>IF(AND($H108='Tournament Setup'!$A$42,$E108="F",$CF108&gt;'Tournament Setup'!$B$42),$I108,"")</f>
        <v/>
      </c>
      <c r="CJ108" s="12" t="str">
        <f>IF(ISNUMBER(CI108)=TRUE,IF(_xlfn.RANK.EQ(CI108,$CI$2:$CI$111)&lt;='Tournament Setup'!$D$42,_xlfn.RANK.EQ(CI108,$CI$2:$CI$111),""),"")</f>
        <v/>
      </c>
      <c r="CK108" s="30" t="str">
        <f>IF($H108='Tournament Setup'!$A$43,$I108,"")</f>
        <v/>
      </c>
      <c r="CL108" s="47" t="str">
        <f>IF(ISNUMBER(CK108),IF(COUNTIFS(CL$1:CL107,_xlfn.RANK.EQ(CK108,CK$2:CK$111,0))&gt;0,_xlfn.MAXIFS(CL$1:CL107,CK$1:CK107,CK108)+1,_xlfn.RANK.EQ(CK108,CK$2:CK$111,0)),"")</f>
        <v/>
      </c>
      <c r="CM108" s="1" t="str">
        <f>IF(ISNUMBER(CK108)=TRUE,IF(_xlfn.RANK.EQ(CK108,$CK$2:$CK$111)&lt;='Tournament Setup'!$B$43,_xlfn.RANK.EQ(CK108,$CK$2:$CK$111),""),"")</f>
        <v/>
      </c>
      <c r="CN108" s="31" t="str">
        <f>IF(AND($H108='Tournament Setup'!$A$43,$E108="M",$CM108&gt;'Tournament Setup'!$B$43),$I108,"")</f>
        <v/>
      </c>
      <c r="CO108" s="1" t="str">
        <f>IF(ISNUMBER(CN108)=TRUE,IF(_xlfn.RANK.EQ(CN108,$CN$2:$CN$111)&lt;='Tournament Setup'!$C$43,_xlfn.RANK.EQ(CN108,$CN$2:$CN$111),""),"")</f>
        <v/>
      </c>
      <c r="CP108" s="31" t="str">
        <f>IF(AND($H108='Tournament Setup'!$A$43,$E108="F",$CM108&gt;'Tournament Setup'!$B$43),$I108,"")</f>
        <v/>
      </c>
      <c r="CQ108" s="12" t="str">
        <f>IF(ISNUMBER(CP108)=TRUE,IF(_xlfn.RANK.EQ(CP108,$CP$2:$CP$111)&lt;='Tournament Setup'!$D$43,_xlfn.RANK.EQ(CP108,$CP$2:$CP$111),""),"")</f>
        <v/>
      </c>
      <c r="CR108" s="30" t="str">
        <f>IF($H108='Tournament Setup'!$A$44,$I108,"")</f>
        <v/>
      </c>
      <c r="CS108" s="47" t="str">
        <f>IF(ISNUMBER(CR108),IF(COUNTIFS(CS$1:CS107,_xlfn.RANK.EQ(CR108,CR$2:CR$111,0))&gt;0,_xlfn.MAXIFS(CS$1:CS107,CR$1:CR107,CR108)+1,_xlfn.RANK.EQ(CR108,CR$2:CR$111,0)),"")</f>
        <v/>
      </c>
      <c r="CT108" s="1" t="str">
        <f>IF(ISNUMBER(CR108)=TRUE,IF(_xlfn.RANK.EQ(CR108,$CR$2:$CR$111)&lt;='Tournament Setup'!$B$44,_xlfn.RANK.EQ(CR108,$CR$2:$CR$111),""),"")</f>
        <v/>
      </c>
      <c r="CU108" s="31" t="str">
        <f>IF(AND($H108='Tournament Setup'!$A$44,$E108="M",$CT108&gt;'Tournament Setup'!$B$44),$I108,"")</f>
        <v/>
      </c>
      <c r="CV108" s="1" t="str">
        <f>IF(ISNUMBER(CU108)=TRUE,IF(_xlfn.RANK.EQ(CU108,$CU$2:$CU$111)&lt;='Tournament Setup'!$C$44,_xlfn.RANK.EQ(CU108,$CU$2:$CU$111),""),"")</f>
        <v/>
      </c>
      <c r="CW108" s="31" t="str">
        <f>IF(AND($H108='Tournament Setup'!$A$44,$E108="F",$CT108&gt;'Tournament Setup'!$B$44),$I108,"")</f>
        <v/>
      </c>
      <c r="CX108" s="12" t="str">
        <f>IF(ISNUMBER(CW108)=TRUE,IF(_xlfn.RANK.EQ(CW108,$CW$2:$CW$111)&lt;='Tournament Setup'!$D$44,_xlfn.RANK.EQ(CW108,$CW$2:$CW$111),""),"")</f>
        <v/>
      </c>
    </row>
    <row r="109" spans="2:102" x14ac:dyDescent="0.3">
      <c r="B109" t="str">
        <f>IFERROR(INDEX('Tournament List'!$B:$B,MATCH($A109,'Tournament List'!$A:$A,0)),"")</f>
        <v/>
      </c>
      <c r="C109" t="str">
        <f>IFERROR(INDEX('Tournament List'!$C:$C,MATCH($A109,'Tournament List'!$A:$A,0)),"")</f>
        <v/>
      </c>
      <c r="D109" t="str">
        <f t="shared" si="1"/>
        <v xml:space="preserve"> </v>
      </c>
      <c r="E109" s="1" t="str">
        <f>IFERROR(INDEX('Tournament List'!F:F,MATCH($A109,'Tournament List'!$A:$A,0)),"")</f>
        <v/>
      </c>
      <c r="F109" t="str">
        <f>IFERROR(INDEX('Tournament List'!M:M,MATCH($A109,'Tournament List'!$A:$A,0)),"")</f>
        <v/>
      </c>
      <c r="G109" t="str">
        <f>IFERROR(INDEX('Shooter-Squad Assignment'!L:L,MATCH(A109,'Shooter-Squad Assignment'!A:A,0)),"")</f>
        <v/>
      </c>
      <c r="H109" s="1" t="str">
        <f>IFERROR(INDEX('Tournament List'!AD:AD,MATCH($A109,'Tournament List'!$A:$A,0)),"")</f>
        <v/>
      </c>
      <c r="I109" s="123" t="str">
        <f>IFERROR(INDEX('Tournament List'!AG:AG,MATCH($A109,'Tournament List'!$A:$A,0)),"")</f>
        <v/>
      </c>
      <c r="J109" s="145" t="str">
        <f>IFERROR(INDEX('Tournament List'!Y:Y,MATCH($A109,'Tournament List'!$A:$A,0)),"")</f>
        <v/>
      </c>
      <c r="K109" s="47" t="str">
        <f>IFERROR(INDEX('Tournament List'!S:S,MATCH(A109,'Tournament List'!A:A,0)),"")</f>
        <v/>
      </c>
      <c r="L109" s="47" t="str">
        <f>IF(ISNUMBER(J109),IF(COUNTIFS(L$1:L108,_xlfn.RANK.EQ(J109,J$2:J$111,0))&gt;0,_xlfn.MAXIFS(L$1:L108,J$1:J108,J109)+1,_xlfn.RANK.EQ(J109,J$2:J$111,0)),"")</f>
        <v/>
      </c>
      <c r="M109" s="11" t="str">
        <f>IF(ISNUMBER(I109)=TRUE,IF(I109&gt;0,_xlfn.RANK.EQ(I109,$I$2:$I$111,0),""),"")</f>
        <v/>
      </c>
      <c r="N109" s="56" t="str">
        <f>IF(ISNUMBER(I109),IF(COUNTIFS(N$1:N108,_xlfn.RANK.EQ(I109,I$2:I$111,0))&gt;0,_xlfn.MAXIFS(N$1:N108,I$1:I108,I109)+1,_xlfn.RANK.EQ(I109,I$2:I$111,0)),"")</f>
        <v/>
      </c>
      <c r="O109" s="144" t="str">
        <f>IF(F109&lt;&gt;"Collegiate"=TRUE,$I109,"")</f>
        <v/>
      </c>
      <c r="P109" s="47" t="str">
        <f>IF(ISNUMBER(O109),IF(COUNTIFS(P$1:P108,_xlfn.RANK.EQ(O109,O$2:O$111,0))&gt;0,_xlfn.MAXIFS(P$1:P108,O$1:O108,O109)+1,_xlfn.RANK.EQ(O109,O$2:O$111,0)),"")</f>
        <v/>
      </c>
      <c r="Q109" s="1" t="str">
        <f>IF(ISNUMBER(O109)=TRUE,IF(_xlfn.RANK.EQ(O109,$O$2:$O$111)&lt;='Tournament Setup'!$B$26,_xlfn.RANK.EQ(O109,$O$2:$O$111),""),"")</f>
        <v/>
      </c>
      <c r="R109" s="143" t="str">
        <f>IF(AND($E109="M",SUM($Q109)=0,F109&lt;&gt;"Collegiate")=TRUE,$I109,"")</f>
        <v/>
      </c>
      <c r="S109" s="1" t="str">
        <f>IF(ISNUMBER(R109)=TRUE,IF(_xlfn.RANK.EQ(R109,$R$2:$R$111)&lt;='Tournament Setup'!$B$27,_xlfn.RANK.EQ(R109,$R$2:$R$111),""),"")</f>
        <v/>
      </c>
      <c r="T109" s="143" t="str">
        <f>IF(AND($E109="F",SUM($Q109)=0,F109&lt;&gt;"Collegiate")=TRUE,$I109,"")</f>
        <v/>
      </c>
      <c r="U109" s="12" t="str">
        <f>IF(ISNUMBER(T109)=TRUE,IF(_xlfn.RANK.EQ(T109,$T$2:$T$111)&lt;='Tournament Setup'!$B$28,_xlfn.RANK.EQ(T109,$T$2:$T$111),""),"")</f>
        <v/>
      </c>
      <c r="V109" s="145" t="str">
        <f>IF(AND($G109='Tournament Setup'!$A$53,$J109&lt;&gt;0),$J109,"")</f>
        <v/>
      </c>
      <c r="W109" s="47" t="str">
        <f>IF(ISNUMBER(V109),IF(COUNTIFS(W$1:W108,_xlfn.RANK.EQ(V109,V$2:V$111,0))&gt;0,_xlfn.MAXIFS(W$1:W108,V$1:V108,V109)+1,_xlfn.RANK.EQ(V109,V$2:V$111,0)),"")</f>
        <v/>
      </c>
      <c r="X109" s="1" t="str">
        <f>IF(ISNUMBER(V109)=TRUE,IF(_xlfn.RANK.EQ(V109,$V$2:$V$111)&lt;='Tournament Setup'!$B$53,_xlfn.RANK.EQ(V109,$V$2:$V$111),""),"")</f>
        <v/>
      </c>
      <c r="Y109" s="145" t="str">
        <f>IF(AND($G109='Tournament Setup'!$A$49,$J109&lt;&gt;0),$J109,"")</f>
        <v/>
      </c>
      <c r="Z109" s="47" t="str">
        <f>IF(ISNUMBER(Y109),IF(COUNTIFS(Z$1:Z108,_xlfn.RANK.EQ(Y109,Y$2:Y$111,0))&gt;0,_xlfn.MAXIFS(Z$1:Z108,Y$1:Y108,Y109)+1,_xlfn.RANK.EQ(Y109,Y$2:Y$111,0)),"")</f>
        <v/>
      </c>
      <c r="AA109" s="1" t="str">
        <f>IF(ISNUMBER(Y109)=TRUE,IF(_xlfn.RANK.EQ(Y109,$Y$2:$Y$111)&lt;='Tournament Setup'!$B$49,_xlfn.RANK.EQ(Y109,$Y$2:$Y$111),""),"")</f>
        <v/>
      </c>
      <c r="AB109" s="30" t="str">
        <f>IF(AND($F109='Tournament Setup'!$A$32,SUM($Q109,$S109,$U109)=0),$I109,"")</f>
        <v/>
      </c>
      <c r="AC109" s="47" t="str">
        <f>IF(ISNUMBER(AB109),IF(COUNTIFS(AC$1:AC108,_xlfn.RANK.EQ(AB109,AB$2:AB$111,0))&gt;0,_xlfn.MAXIFS(AC$1:AC108,AB$1:AB108,AB109)+1,_xlfn.RANK.EQ(AB109,AB$2:AB$111,0)),"")</f>
        <v/>
      </c>
      <c r="AD109" s="1" t="str">
        <f>IF(ISNUMBER(AB109)=TRUE,IF(_xlfn.RANK.EQ(AB109,$AB$2:$AB$111)&lt;='Tournament Setup'!$B$32,_xlfn.RANK.EQ(AB109,$AB$2:$AB$111),""),"")</f>
        <v/>
      </c>
      <c r="AE109" s="31" t="str">
        <f>IF(AND($F109='Tournament Setup'!$A$32,SUM($Q109,$S109)=0,$E109="M",$AD109&gt;'Tournament Setup'!$B$32),$I109,"")</f>
        <v/>
      </c>
      <c r="AF109" s="1" t="str">
        <f>IF(ISNUMBER(AE109)=TRUE,IF(_xlfn.RANK.EQ(AE109,$AE$2:$AE$111)&lt;='Tournament Setup'!$C$32,_xlfn.RANK.EQ(AE109,$AE$2:$AE$111),""),"")</f>
        <v/>
      </c>
      <c r="AG109" s="31" t="str">
        <f>IF(AND($F109='Tournament Setup'!$A$32,SUM($Q109,$U109)=0,$E109="F",$AD109&gt;'Tournament Setup'!$B$32),$I109,"")</f>
        <v/>
      </c>
      <c r="AH109" s="12" t="str">
        <f>IF(ISNUMBER(AG109)=TRUE,IF(_xlfn.RANK.EQ(AG109,$AG$2:$AG$111)&lt;='Tournament Setup'!$D$32,_xlfn.RANK.EQ(AG109,$AG$2:$AG$111),""),"")</f>
        <v/>
      </c>
      <c r="AI109" s="30" t="str">
        <f>IF(AND($G109='Tournament Setup'!$A$50,$J109&lt;&gt;0),$J109,"")</f>
        <v/>
      </c>
      <c r="AJ109" s="47" t="str">
        <f>IF(ISNUMBER(AI109),IF(COUNTIFS(AJ$1:AJ108,_xlfn.RANK.EQ(AI109,AI$2:AI$111,0))&gt;0,_xlfn.MAXIFS(AJ$1:AJ108,AI$1:AI108,AI109)+1,_xlfn.RANK.EQ(AI109,AI$2:AI$111,0)),"")</f>
        <v/>
      </c>
      <c r="AK109" s="1" t="str">
        <f>IF(ISNUMBER(AI109)=TRUE,IF(_xlfn.RANK.EQ(AI109,$AI$2:$AI$111)&lt;='Tournament Setup'!$B$49,_xlfn.RANK.EQ(AI109,$AI$2:$AI$111),""),"")</f>
        <v/>
      </c>
      <c r="AL109" s="30" t="str">
        <f>IF(AND($F109='Tournament Setup'!$A$33,SUM($Q109,$S109,$U109)=0),$I109,"")</f>
        <v/>
      </c>
      <c r="AM109" s="47" t="str">
        <f>IF(ISNUMBER(AL109),IF(COUNTIFS(AM$1:AM108,_xlfn.RANK.EQ(AL109,AL$2:AL$111,0))&gt;0,_xlfn.MAXIFS(AM$1:AM108,AL$1:AL108,AL109)+1,_xlfn.RANK.EQ(AL109,AL$2:AL$111,0)),"")</f>
        <v/>
      </c>
      <c r="AN109" s="1" t="str">
        <f>IF(ISNUMBER(AL109)=TRUE,IF(_xlfn.RANK.EQ(AL109,$AL$2:$AL$111)&lt;='Tournament Setup'!$B$33,_xlfn.RANK.EQ(AL109,$AL$2:$AL$111),""),"")</f>
        <v/>
      </c>
      <c r="AO109" s="31" t="str">
        <f>IF(AND($F109='Tournament Setup'!$A$33,SUM($Q109,$S109)=0,$E109="M",$AN109&gt;'Tournament Setup'!$B$33),$I109,"")</f>
        <v/>
      </c>
      <c r="AP109" s="1" t="str">
        <f>IF(ISNUMBER(AO109)=TRUE,IF(_xlfn.RANK.EQ(AO109,$AO$2:$AO$111)&lt;='Tournament Setup'!$C$33,_xlfn.RANK.EQ(AO109,$AO$2:$AO$111),""),"")</f>
        <v/>
      </c>
      <c r="AQ109" s="31" t="str">
        <f>IF(AND($F109='Tournament Setup'!$A$33,SUM($Q109,$U109)=0,$E109="F",$AN109&gt;'Tournament Setup'!$B$33),$I109,"")</f>
        <v/>
      </c>
      <c r="AR109" s="12" t="str">
        <f>IF(ISNUMBER(AQ109)=TRUE,IF(_xlfn.RANK.EQ(AQ109,$AQ$2:$AQ$111)&lt;='Tournament Setup'!$D$33,_xlfn.RANK.EQ(AQ109,$AQ$2:$AQ$111),""),"")</f>
        <v/>
      </c>
      <c r="AS109" s="30" t="str">
        <f>IF(AND($G109='Tournament Setup'!$A$51,$J109&lt;&gt;0),$J109,"")</f>
        <v/>
      </c>
      <c r="AT109" s="47" t="str">
        <f>IF(ISNUMBER(AS109),IF(COUNTIFS(AT$1:AT108,_xlfn.RANK.EQ(AS109,AS$2:AS$111,0))&gt;0,_xlfn.MAXIFS(AT$1:AT108,AS$1:AS108,AS109)+1,_xlfn.RANK.EQ(AS109,AS$2:AS$111,0)),"")</f>
        <v/>
      </c>
      <c r="AU109" s="1" t="str">
        <f>IF(ISNUMBER(AS109)=TRUE,IF(_xlfn.RANK.EQ(AS109,$AS$2:$AS$111)&lt;='Tournament Setup'!$B$49,_xlfn.RANK.EQ(AS109,$AS$2:$AS$111),""),"")</f>
        <v/>
      </c>
      <c r="AV109" s="30" t="str">
        <f>IF(AND($F109='Tournament Setup'!$A$34,SUM($Q109,$S109,$U109)=0),$I109,"")</f>
        <v/>
      </c>
      <c r="AW109" s="47" t="str">
        <f>IF(ISNUMBER(AV109),IF(COUNTIFS(AW$1:AW108,_xlfn.RANK.EQ(AV109,AV$2:AV$111,0))&gt;0,_xlfn.MAXIFS(AW$1:AW108,AV$1:AV108,AV109)+1,_xlfn.RANK.EQ(AV109,AV$2:AV$111,0)),"")</f>
        <v/>
      </c>
      <c r="AX109" s="1" t="str">
        <f>IF(ISNUMBER(AV109)=TRUE,IF(_xlfn.RANK.EQ(AV109,$AV$2:$AV$111)&lt;='Tournament Setup'!$B$34,_xlfn.RANK.EQ(AV109,$AV$2:$AV$111),""),"")</f>
        <v/>
      </c>
      <c r="AY109" s="31" t="str">
        <f>IF(AND($F109='Tournament Setup'!$A$34,SUM($Q109,$S109)=0,$E109="M",$AX109&gt;'Tournament Setup'!$B$34),$I109,"")</f>
        <v/>
      </c>
      <c r="AZ109" s="1" t="str">
        <f>IF(ISNUMBER(AY109)=TRUE,IF(_xlfn.RANK.EQ(AY109,$AY$2:$AY$111)&lt;='Tournament Setup'!$C$34,_xlfn.RANK.EQ(AY109,$AY$2:$AY$111),""),"")</f>
        <v/>
      </c>
      <c r="BA109" s="31" t="str">
        <f>IF(AND($F109='Tournament Setup'!$A$34,SUM($Q109,$U109)=0,$E109="F",$AX109&gt;'Tournament Setup'!$B$34),$I109,"")</f>
        <v/>
      </c>
      <c r="BB109" s="12" t="str">
        <f>IF(ISNUMBER(BA109)=TRUE,IF(_xlfn.RANK.EQ(BA109,$BA$2:$BA$111)&lt;='Tournament Setup'!$D$34,_xlfn.RANK.EQ(BA109,$BA$2:$BA$111),""),"")</f>
        <v/>
      </c>
      <c r="BC109" s="30" t="str">
        <f>IF(AND($G109='Tournament Setup'!$A$52,$J109&lt;&gt;0),$J109,"")</f>
        <v/>
      </c>
      <c r="BD109" s="47" t="str">
        <f>IF(ISNUMBER(BC109),IF(COUNTIFS(BD$1:BD108,_xlfn.RANK.EQ(BC109,BC$2:BC$111,0))&gt;0,_xlfn.MAXIFS(BD$1:BD108,BC$1:BC108,BC109)+1,_xlfn.RANK.EQ(BC109,BC$2:BC$111,0)),"")</f>
        <v/>
      </c>
      <c r="BE109" s="1" t="str">
        <f>IF(ISNUMBER(BC109)=TRUE,IF(_xlfn.RANK.EQ(BC109,$BC$2:$BC$111)&lt;='Tournament Setup'!$B$49,_xlfn.RANK.EQ(BC109,$BC$2:$BC$111),""),"")</f>
        <v/>
      </c>
      <c r="BF109" s="30" t="str">
        <f>IF(AND($F109='Tournament Setup'!$A$35,SUM($Q109,$S109,$U109)=0),$I109,"")</f>
        <v/>
      </c>
      <c r="BG109" s="47" t="str">
        <f>IF(ISNUMBER(BF109),IF(COUNTIFS(BG$1:BG108,_xlfn.RANK.EQ(BF109,BF$2:BF$111,0))&gt;0,_xlfn.MAXIFS(BG$1:BG108,BF$1:BF108,BF109)+1,_xlfn.RANK.EQ(BF109,BF$2:BF$111,0)),"")</f>
        <v/>
      </c>
      <c r="BH109" s="1" t="str">
        <f>IF(ISNUMBER(BF109)=TRUE,IF(_xlfn.RANK.EQ(BF109,$BF$2:$BF$111)&lt;='Tournament Setup'!$B$35,_xlfn.RANK.EQ(BF109,$BF$2:$BF$111),""),"")</f>
        <v/>
      </c>
      <c r="BI109" s="31" t="str">
        <f>IF(AND($F109='Tournament Setup'!$A$35,SUM($Q109,$S109)=0,$E109="M",$BH109&gt;'Tournament Setup'!$B$35),$I109,"")</f>
        <v/>
      </c>
      <c r="BJ109" s="1" t="str">
        <f>IF(ISNUMBER(BI109)=TRUE,IF(_xlfn.RANK.EQ(BI109,$BI$2:$BI$111)&lt;='Tournament Setup'!$C$35,_xlfn.RANK.EQ(BI109,$BI$2:$BI$111),""),"")</f>
        <v/>
      </c>
      <c r="BK109" s="31" t="str">
        <f>IF(AND($F109='Tournament Setup'!$A$35,SUM($Q109,$U109)=0,$E109="F",$BH109&gt;'Tournament Setup'!$B$35),$I109,"")</f>
        <v/>
      </c>
      <c r="BL109" s="12" t="str">
        <f>IF(ISNUMBER(BK109)=TRUE,IF(_xlfn.RANK.EQ(BK109,$BK$2:$BK$111)&lt;='Tournament Setup'!$D$35,_xlfn.RANK.EQ(BK109,$BK$2:$BK$111),""),"")</f>
        <v/>
      </c>
      <c r="BM109" s="30" t="str">
        <f>IF(AND($G109='Tournament Setup'!$A$54,$J109&lt;&gt;0),$J109,"")</f>
        <v/>
      </c>
      <c r="BN109" s="47" t="str">
        <f>IF(ISNUMBER(BM109),IF(COUNTIFS(BN$1:BN108,_xlfn.RANK.EQ(BM109,BM$2:BM$111,0))&gt;0,_xlfn.MAXIFS(BN$1:BN108,BM$1:BM108,BM109)+1,_xlfn.RANK.EQ(BM109,BM$2:BM$111,0)),"")</f>
        <v/>
      </c>
      <c r="BO109" s="1" t="str">
        <f>IF(ISNUMBER(BM109)=TRUE,IF(_xlfn.RANK.EQ(BM109,$BM$2:$BM$111)&lt;='Tournament Setup'!$B$49,_xlfn.RANK.EQ(BM109,$BM$2:$BM$111),""),"")</f>
        <v/>
      </c>
      <c r="BP109" s="30" t="str">
        <f>IF(AND($F109='Tournament Setup'!$A$36,SUM($Q109,$S109,$U109)=0),$I109,"")</f>
        <v/>
      </c>
      <c r="BQ109" s="47" t="str">
        <f>IF(ISNUMBER(BP109),IF(COUNTIFS(BQ$1:BQ108,_xlfn.RANK.EQ(BP109,BP$2:BP$111,0))&gt;0,_xlfn.MAXIFS(BQ$1:BQ108,BP$1:BP108,BP109)+1,_xlfn.RANK.EQ(BP109,BP$2:BP$111,0)),"")</f>
        <v/>
      </c>
      <c r="BR109" s="1" t="str">
        <f>IF(ISNUMBER(BP109)=TRUE,IF(_xlfn.RANK.EQ(BP109,$BP$2:$BP$111)&lt;='Tournament Setup'!$B$36,_xlfn.RANK.EQ(BP109,$BP$2:$BP$111),""),"")</f>
        <v/>
      </c>
      <c r="BS109" s="31" t="str">
        <f>IF(AND($F109='Tournament Setup'!$A$36,SUM($Q109,$S109)=0,$E109="M",$BR109&gt;'Tournament Setup'!$B$36),$I109,"")</f>
        <v/>
      </c>
      <c r="BT109" s="1" t="str">
        <f>IF(ISNUMBER(BS109)=TRUE,IF(_xlfn.RANK.EQ(BS109,$BS$2:$BS$111)&lt;='Tournament Setup'!$C$36,_xlfn.RANK.EQ(BS109,$BS$2:$BS$111),""),"")</f>
        <v/>
      </c>
      <c r="BU109" s="31" t="str">
        <f>IF(AND($F109='Tournament Setup'!$A$36,SUM($Q109,$U109)=0,$E109="F",$BR109&gt;'Tournament Setup'!$B$36),$I109,"")</f>
        <v/>
      </c>
      <c r="BV109" s="12" t="str">
        <f>IF(ISNUMBER(BU109)=TRUE,IF(_xlfn.RANK.EQ(BU109,$BU$2:$BU$111)&lt;='Tournament Setup'!$D$36,_xlfn.RANK.EQ(BU109,$BU$2:$BU$111),""),"")</f>
        <v/>
      </c>
      <c r="BW109" s="30" t="str">
        <f>IF($H109='Tournament Setup'!$A$41,$I109,"")</f>
        <v/>
      </c>
      <c r="BX109" s="47" t="str">
        <f>IF(ISNUMBER(BW109),IF(COUNTIFS(BX$1:BX108,_xlfn.RANK.EQ(BW109,BW$2:BW$111,0))&gt;0,_xlfn.MAXIFS(BX$1:BX108,BW$1:BW108,BW109)+1,_xlfn.RANK.EQ(BW109,BW$2:BW$111,0)),"")</f>
        <v/>
      </c>
      <c r="BY109" s="1" t="str">
        <f>IF(ISNUMBER(BW109)=TRUE,IF(_xlfn.RANK.EQ(BW109,$BW$2:$BW$111)&lt;='Tournament Setup'!$B$41,_xlfn.RANK.EQ(BW109,$BW$2:$BW$111),""),"")</f>
        <v/>
      </c>
      <c r="BZ109" s="31" t="str">
        <f>IF(AND($H109='Tournament Setup'!$A$41,$E109="M",$BY109&gt;'Tournament Setup'!$B$41),$I109,"")</f>
        <v/>
      </c>
      <c r="CA109" s="1" t="str">
        <f>IF(ISNUMBER(BZ109)=TRUE,IF(_xlfn.RANK.EQ(BZ109,$BZ$2:$BZ$111)&lt;='Tournament Setup'!$C$41,_xlfn.RANK.EQ(BZ109,$BZ$2:$BZ$111),""),"")</f>
        <v/>
      </c>
      <c r="CB109" s="31" t="str">
        <f>IF(AND($H109='Tournament Setup'!$A$41,$E109="F",$BY109&gt;'Tournament Setup'!$B$41),$I109,"")</f>
        <v/>
      </c>
      <c r="CC109" s="12" t="str">
        <f>IF(ISNUMBER(CB109)=TRUE,IF(_xlfn.RANK.EQ(CB109,$CB$2:$CB$111)&lt;='Tournament Setup'!$D$41,_xlfn.RANK.EQ(CB109,$CB$2:$CB$111),""),"")</f>
        <v/>
      </c>
      <c r="CD109" s="30" t="str">
        <f>IF($H109='Tournament Setup'!$A$42,$I109,"")</f>
        <v/>
      </c>
      <c r="CE109" s="47" t="str">
        <f>IF(ISNUMBER(CD109),IF(COUNTIFS(CE$1:CE108,_xlfn.RANK.EQ(CD109,CD$2:CD$111,0))&gt;0,_xlfn.MAXIFS(CE$1:CE108,CD$1:CD108,CD109)+1,_xlfn.RANK.EQ(CD109,CD$2:CD$111,0)),"")</f>
        <v/>
      </c>
      <c r="CF109" s="1" t="str">
        <f>IF(ISNUMBER(CD109)=TRUE,IF(_xlfn.RANK.EQ(CD109,$CD$2:$CD$111)&lt;='Tournament Setup'!$B$42,_xlfn.RANK.EQ(CD109,$CD$2:$CD$111),""),"")</f>
        <v/>
      </c>
      <c r="CG109" s="31" t="str">
        <f>IF(AND($H109='Tournament Setup'!$A$42,$E109="M",$CF109&gt;'Tournament Setup'!$B$42),$I109,"")</f>
        <v/>
      </c>
      <c r="CH109" s="1" t="str">
        <f>IF(ISNUMBER(CG109)=TRUE,IF(_xlfn.RANK.EQ(CG109,$CG$2:$CG$111)&lt;='Tournament Setup'!$C$42,_xlfn.RANK.EQ(CG109,$CG$2:$CG$111),""),"")</f>
        <v/>
      </c>
      <c r="CI109" s="31" t="str">
        <f>IF(AND($H109='Tournament Setup'!$A$42,$E109="F",$CF109&gt;'Tournament Setup'!$B$42),$I109,"")</f>
        <v/>
      </c>
      <c r="CJ109" s="12" t="str">
        <f>IF(ISNUMBER(CI109)=TRUE,IF(_xlfn.RANK.EQ(CI109,$CI$2:$CI$111)&lt;='Tournament Setup'!$D$42,_xlfn.RANK.EQ(CI109,$CI$2:$CI$111),""),"")</f>
        <v/>
      </c>
      <c r="CK109" s="30" t="str">
        <f>IF($H109='Tournament Setup'!$A$43,$I109,"")</f>
        <v/>
      </c>
      <c r="CL109" s="47" t="str">
        <f>IF(ISNUMBER(CK109),IF(COUNTIFS(CL$1:CL108,_xlfn.RANK.EQ(CK109,CK$2:CK$111,0))&gt;0,_xlfn.MAXIFS(CL$1:CL108,CK$1:CK108,CK109)+1,_xlfn.RANK.EQ(CK109,CK$2:CK$111,0)),"")</f>
        <v/>
      </c>
      <c r="CM109" s="1" t="str">
        <f>IF(ISNUMBER(CK109)=TRUE,IF(_xlfn.RANK.EQ(CK109,$CK$2:$CK$111)&lt;='Tournament Setup'!$B$43,_xlfn.RANK.EQ(CK109,$CK$2:$CK$111),""),"")</f>
        <v/>
      </c>
      <c r="CN109" s="31" t="str">
        <f>IF(AND($H109='Tournament Setup'!$A$43,$E109="M",$CM109&gt;'Tournament Setup'!$B$43),$I109,"")</f>
        <v/>
      </c>
      <c r="CO109" s="1" t="str">
        <f>IF(ISNUMBER(CN109)=TRUE,IF(_xlfn.RANK.EQ(CN109,$CN$2:$CN$111)&lt;='Tournament Setup'!$C$43,_xlfn.RANK.EQ(CN109,$CN$2:$CN$111),""),"")</f>
        <v/>
      </c>
      <c r="CP109" s="31" t="str">
        <f>IF(AND($H109='Tournament Setup'!$A$43,$E109="F",$CM109&gt;'Tournament Setup'!$B$43),$I109,"")</f>
        <v/>
      </c>
      <c r="CQ109" s="12" t="str">
        <f>IF(ISNUMBER(CP109)=TRUE,IF(_xlfn.RANK.EQ(CP109,$CP$2:$CP$111)&lt;='Tournament Setup'!$D$43,_xlfn.RANK.EQ(CP109,$CP$2:$CP$111),""),"")</f>
        <v/>
      </c>
      <c r="CR109" s="30" t="str">
        <f>IF($H109='Tournament Setup'!$A$44,$I109,"")</f>
        <v/>
      </c>
      <c r="CS109" s="47" t="str">
        <f>IF(ISNUMBER(CR109),IF(COUNTIFS(CS$1:CS108,_xlfn.RANK.EQ(CR109,CR$2:CR$111,0))&gt;0,_xlfn.MAXIFS(CS$1:CS108,CR$1:CR108,CR109)+1,_xlfn.RANK.EQ(CR109,CR$2:CR$111,0)),"")</f>
        <v/>
      </c>
      <c r="CT109" s="1" t="str">
        <f>IF(ISNUMBER(CR109)=TRUE,IF(_xlfn.RANK.EQ(CR109,$CR$2:$CR$111)&lt;='Tournament Setup'!$B$44,_xlfn.RANK.EQ(CR109,$CR$2:$CR$111),""),"")</f>
        <v/>
      </c>
      <c r="CU109" s="31" t="str">
        <f>IF(AND($H109='Tournament Setup'!$A$44,$E109="M",$CT109&gt;'Tournament Setup'!$B$44),$I109,"")</f>
        <v/>
      </c>
      <c r="CV109" s="1" t="str">
        <f>IF(ISNUMBER(CU109)=TRUE,IF(_xlfn.RANK.EQ(CU109,$CU$2:$CU$111)&lt;='Tournament Setup'!$C$44,_xlfn.RANK.EQ(CU109,$CU$2:$CU$111),""),"")</f>
        <v/>
      </c>
      <c r="CW109" s="31" t="str">
        <f>IF(AND($H109='Tournament Setup'!$A$44,$E109="F",$CT109&gt;'Tournament Setup'!$B$44),$I109,"")</f>
        <v/>
      </c>
      <c r="CX109" s="12" t="str">
        <f>IF(ISNUMBER(CW109)=TRUE,IF(_xlfn.RANK.EQ(CW109,$CW$2:$CW$111)&lt;='Tournament Setup'!$D$44,_xlfn.RANK.EQ(CW109,$CW$2:$CW$111),""),"")</f>
        <v/>
      </c>
    </row>
    <row r="110" spans="2:102" x14ac:dyDescent="0.3">
      <c r="B110" t="str">
        <f>IFERROR(INDEX('Tournament List'!$B:$B,MATCH($A110,'Tournament List'!$A:$A,0)),"")</f>
        <v/>
      </c>
      <c r="C110" t="str">
        <f>IFERROR(INDEX('Tournament List'!$C:$C,MATCH($A110,'Tournament List'!$A:$A,0)),"")</f>
        <v/>
      </c>
      <c r="D110" t="str">
        <f t="shared" si="1"/>
        <v xml:space="preserve"> </v>
      </c>
      <c r="E110" s="1" t="str">
        <f>IFERROR(INDEX('Tournament List'!F:F,MATCH($A110,'Tournament List'!$A:$A,0)),"")</f>
        <v/>
      </c>
      <c r="F110" t="str">
        <f>IFERROR(INDEX('Tournament List'!M:M,MATCH($A110,'Tournament List'!$A:$A,0)),"")</f>
        <v/>
      </c>
      <c r="G110" t="str">
        <f>IFERROR(INDEX('Shooter-Squad Assignment'!L:L,MATCH(A110,'Shooter-Squad Assignment'!A:A,0)),"")</f>
        <v/>
      </c>
      <c r="H110" s="1" t="str">
        <f>IFERROR(INDEX('Tournament List'!AD:AD,MATCH($A110,'Tournament List'!$A:$A,0)),"")</f>
        <v/>
      </c>
      <c r="I110" s="123" t="str">
        <f>IFERROR(INDEX('Tournament List'!AG:AG,MATCH($A110,'Tournament List'!$A:$A,0)),"")</f>
        <v/>
      </c>
      <c r="J110" s="145" t="str">
        <f>IFERROR(INDEX('Tournament List'!Y:Y,MATCH($A110,'Tournament List'!$A:$A,0)),"")</f>
        <v/>
      </c>
      <c r="K110" s="47" t="str">
        <f>IFERROR(INDEX('Tournament List'!S:S,MATCH(A110,'Tournament List'!A:A,0)),"")</f>
        <v/>
      </c>
      <c r="L110" s="47" t="str">
        <f>IF(ISNUMBER(J110),IF(COUNTIFS(L$1:L109,_xlfn.RANK.EQ(J110,J$2:J$111,0))&gt;0,_xlfn.MAXIFS(L$1:L109,J$1:J109,J110)+1,_xlfn.RANK.EQ(J110,J$2:J$111,0)),"")</f>
        <v/>
      </c>
      <c r="M110" s="11" t="str">
        <f>IF(ISNUMBER(I110)=TRUE,IF(I110&gt;0,_xlfn.RANK.EQ(I110,$I$2:$I$111,0),""),"")</f>
        <v/>
      </c>
      <c r="N110" s="56" t="str">
        <f>IF(ISNUMBER(I110),IF(COUNTIFS(N$1:N109,_xlfn.RANK.EQ(I110,I$2:I$111,0))&gt;0,_xlfn.MAXIFS(N$1:N109,I$1:I109,I110)+1,_xlfn.RANK.EQ(I110,I$2:I$111,0)),"")</f>
        <v/>
      </c>
      <c r="O110" s="144" t="str">
        <f>IF(F110&lt;&gt;"Collegiate"=TRUE,$I110,"")</f>
        <v/>
      </c>
      <c r="P110" s="47" t="str">
        <f>IF(ISNUMBER(O110),IF(COUNTIFS(P$1:P109,_xlfn.RANK.EQ(O110,O$2:O$111,0))&gt;0,_xlfn.MAXIFS(P$1:P109,O$1:O109,O110)+1,_xlfn.RANK.EQ(O110,O$2:O$111,0)),"")</f>
        <v/>
      </c>
      <c r="Q110" s="1" t="str">
        <f>IF(ISNUMBER(O110)=TRUE,IF(_xlfn.RANK.EQ(O110,$O$2:$O$111)&lt;='Tournament Setup'!$B$26,_xlfn.RANK.EQ(O110,$O$2:$O$111),""),"")</f>
        <v/>
      </c>
      <c r="R110" s="143" t="str">
        <f>IF(AND($E110="M",SUM($Q110)=0,F110&lt;&gt;"Collegiate")=TRUE,$I110,"")</f>
        <v/>
      </c>
      <c r="S110" s="1" t="str">
        <f>IF(ISNUMBER(R110)=TRUE,IF(_xlfn.RANK.EQ(R110,$R$2:$R$111)&lt;='Tournament Setup'!$B$27,_xlfn.RANK.EQ(R110,$R$2:$R$111),""),"")</f>
        <v/>
      </c>
      <c r="T110" s="143" t="str">
        <f>IF(AND($E110="F",SUM($Q110)=0,F110&lt;&gt;"Collegiate")=TRUE,$I110,"")</f>
        <v/>
      </c>
      <c r="U110" s="12" t="str">
        <f>IF(ISNUMBER(T110)=TRUE,IF(_xlfn.RANK.EQ(T110,$T$2:$T$111)&lt;='Tournament Setup'!$B$28,_xlfn.RANK.EQ(T110,$T$2:$T$111),""),"")</f>
        <v/>
      </c>
      <c r="V110" s="145" t="str">
        <f>IF(AND($G110='Tournament Setup'!$A$53,$J110&lt;&gt;0),$J110,"")</f>
        <v/>
      </c>
      <c r="W110" s="47" t="str">
        <f>IF(ISNUMBER(V110),IF(COUNTIFS(W$1:W109,_xlfn.RANK.EQ(V110,V$2:V$111,0))&gt;0,_xlfn.MAXIFS(W$1:W109,V$1:V109,V110)+1,_xlfn.RANK.EQ(V110,V$2:V$111,0)),"")</f>
        <v/>
      </c>
      <c r="X110" s="1" t="str">
        <f>IF(ISNUMBER(V110)=TRUE,IF(_xlfn.RANK.EQ(V110,$V$2:$V$111)&lt;='Tournament Setup'!$B$53,_xlfn.RANK.EQ(V110,$V$2:$V$111),""),"")</f>
        <v/>
      </c>
      <c r="Y110" s="145" t="str">
        <f>IF(AND($G110='Tournament Setup'!$A$49,$J110&lt;&gt;0),$J110,"")</f>
        <v/>
      </c>
      <c r="Z110" s="47" t="str">
        <f>IF(ISNUMBER(Y110),IF(COUNTIFS(Z$1:Z109,_xlfn.RANK.EQ(Y110,Y$2:Y$111,0))&gt;0,_xlfn.MAXIFS(Z$1:Z109,Y$1:Y109,Y110)+1,_xlfn.RANK.EQ(Y110,Y$2:Y$111,0)),"")</f>
        <v/>
      </c>
      <c r="AA110" s="1" t="str">
        <f>IF(ISNUMBER(Y110)=TRUE,IF(_xlfn.RANK.EQ(Y110,$Y$2:$Y$111)&lt;='Tournament Setup'!$B$49,_xlfn.RANK.EQ(Y110,$Y$2:$Y$111),""),"")</f>
        <v/>
      </c>
      <c r="AB110" s="30" t="str">
        <f>IF(AND($F110='Tournament Setup'!$A$32,SUM($Q110,$S110,$U110)=0),$I110,"")</f>
        <v/>
      </c>
      <c r="AC110" s="47" t="str">
        <f>IF(ISNUMBER(AB110),IF(COUNTIFS(AC$1:AC109,_xlfn.RANK.EQ(AB110,AB$2:AB$111,0))&gt;0,_xlfn.MAXIFS(AC$1:AC109,AB$1:AB109,AB110)+1,_xlfn.RANK.EQ(AB110,AB$2:AB$111,0)),"")</f>
        <v/>
      </c>
      <c r="AD110" s="1" t="str">
        <f>IF(ISNUMBER(AB110)=TRUE,IF(_xlfn.RANK.EQ(AB110,$AB$2:$AB$111)&lt;='Tournament Setup'!$B$32,_xlfn.RANK.EQ(AB110,$AB$2:$AB$111),""),"")</f>
        <v/>
      </c>
      <c r="AE110" s="31" t="str">
        <f>IF(AND($F110='Tournament Setup'!$A$32,SUM($Q110,$S110)=0,$E110="M",$AD110&gt;'Tournament Setup'!$B$32),$I110,"")</f>
        <v/>
      </c>
      <c r="AF110" s="1" t="str">
        <f>IF(ISNUMBER(AE110)=TRUE,IF(_xlfn.RANK.EQ(AE110,$AE$2:$AE$111)&lt;='Tournament Setup'!$C$32,_xlfn.RANK.EQ(AE110,$AE$2:$AE$111),""),"")</f>
        <v/>
      </c>
      <c r="AG110" s="31" t="str">
        <f>IF(AND($F110='Tournament Setup'!$A$32,SUM($Q110,$U110)=0,$E110="F",$AD110&gt;'Tournament Setup'!$B$32),$I110,"")</f>
        <v/>
      </c>
      <c r="AH110" s="12" t="str">
        <f>IF(ISNUMBER(AG110)=TRUE,IF(_xlfn.RANK.EQ(AG110,$AG$2:$AG$111)&lt;='Tournament Setup'!$D$32,_xlfn.RANK.EQ(AG110,$AG$2:$AG$111),""),"")</f>
        <v/>
      </c>
      <c r="AI110" s="30" t="str">
        <f>IF(AND($G110='Tournament Setup'!$A$50,$J110&lt;&gt;0),$J110,"")</f>
        <v/>
      </c>
      <c r="AJ110" s="47" t="str">
        <f>IF(ISNUMBER(AI110),IF(COUNTIFS(AJ$1:AJ109,_xlfn.RANK.EQ(AI110,AI$2:AI$111,0))&gt;0,_xlfn.MAXIFS(AJ$1:AJ109,AI$1:AI109,AI110)+1,_xlfn.RANK.EQ(AI110,AI$2:AI$111,0)),"")</f>
        <v/>
      </c>
      <c r="AK110" s="1" t="str">
        <f>IF(ISNUMBER(AI110)=TRUE,IF(_xlfn.RANK.EQ(AI110,$AI$2:$AI$111)&lt;='Tournament Setup'!$B$49,_xlfn.RANK.EQ(AI110,$AI$2:$AI$111),""),"")</f>
        <v/>
      </c>
      <c r="AL110" s="30" t="str">
        <f>IF(AND($F110='Tournament Setup'!$A$33,SUM($Q110,$S110,$U110)=0),$I110,"")</f>
        <v/>
      </c>
      <c r="AM110" s="47" t="str">
        <f>IF(ISNUMBER(AL110),IF(COUNTIFS(AM$1:AM109,_xlfn.RANK.EQ(AL110,AL$2:AL$111,0))&gt;0,_xlfn.MAXIFS(AM$1:AM109,AL$1:AL109,AL110)+1,_xlfn.RANK.EQ(AL110,AL$2:AL$111,0)),"")</f>
        <v/>
      </c>
      <c r="AN110" s="1" t="str">
        <f>IF(ISNUMBER(AL110)=TRUE,IF(_xlfn.RANK.EQ(AL110,$AL$2:$AL$111)&lt;='Tournament Setup'!$B$33,_xlfn.RANK.EQ(AL110,$AL$2:$AL$111),""),"")</f>
        <v/>
      </c>
      <c r="AO110" s="31" t="str">
        <f>IF(AND($F110='Tournament Setup'!$A$33,SUM($Q110,$S110)=0,$E110="M",$AN110&gt;'Tournament Setup'!$B$33),$I110,"")</f>
        <v/>
      </c>
      <c r="AP110" s="1" t="str">
        <f>IF(ISNUMBER(AO110)=TRUE,IF(_xlfn.RANK.EQ(AO110,$AO$2:$AO$111)&lt;='Tournament Setup'!$C$33,_xlfn.RANK.EQ(AO110,$AO$2:$AO$111),""),"")</f>
        <v/>
      </c>
      <c r="AQ110" s="31" t="str">
        <f>IF(AND($F110='Tournament Setup'!$A$33,SUM($Q110,$U110)=0,$E110="F",$AN110&gt;'Tournament Setup'!$B$33),$I110,"")</f>
        <v/>
      </c>
      <c r="AR110" s="12" t="str">
        <f>IF(ISNUMBER(AQ110)=TRUE,IF(_xlfn.RANK.EQ(AQ110,$AQ$2:$AQ$111)&lt;='Tournament Setup'!$D$33,_xlfn.RANK.EQ(AQ110,$AQ$2:$AQ$111),""),"")</f>
        <v/>
      </c>
      <c r="AS110" s="30" t="str">
        <f>IF(AND($G110='Tournament Setup'!$A$51,$J110&lt;&gt;0),$J110,"")</f>
        <v/>
      </c>
      <c r="AT110" s="47" t="str">
        <f>IF(ISNUMBER(AS110),IF(COUNTIFS(AT$1:AT109,_xlfn.RANK.EQ(AS110,AS$2:AS$111,0))&gt;0,_xlfn.MAXIFS(AT$1:AT109,AS$1:AS109,AS110)+1,_xlfn.RANK.EQ(AS110,AS$2:AS$111,0)),"")</f>
        <v/>
      </c>
      <c r="AU110" s="1" t="str">
        <f>IF(ISNUMBER(AS110)=TRUE,IF(_xlfn.RANK.EQ(AS110,$AS$2:$AS$111)&lt;='Tournament Setup'!$B$49,_xlfn.RANK.EQ(AS110,$AS$2:$AS$111),""),"")</f>
        <v/>
      </c>
      <c r="AV110" s="30" t="str">
        <f>IF(AND($F110='Tournament Setup'!$A$34,SUM($Q110,$S110,$U110)=0),$I110,"")</f>
        <v/>
      </c>
      <c r="AW110" s="47" t="str">
        <f>IF(ISNUMBER(AV110),IF(COUNTIFS(AW$1:AW109,_xlfn.RANK.EQ(AV110,AV$2:AV$111,0))&gt;0,_xlfn.MAXIFS(AW$1:AW109,AV$1:AV109,AV110)+1,_xlfn.RANK.EQ(AV110,AV$2:AV$111,0)),"")</f>
        <v/>
      </c>
      <c r="AX110" s="1" t="str">
        <f>IF(ISNUMBER(AV110)=TRUE,IF(_xlfn.RANK.EQ(AV110,$AV$2:$AV$111)&lt;='Tournament Setup'!$B$34,_xlfn.RANK.EQ(AV110,$AV$2:$AV$111),""),"")</f>
        <v/>
      </c>
      <c r="AY110" s="31" t="str">
        <f>IF(AND($F110='Tournament Setup'!$A$34,SUM($Q110,$S110)=0,$E110="M",$AX110&gt;'Tournament Setup'!$B$34),$I110,"")</f>
        <v/>
      </c>
      <c r="AZ110" s="1" t="str">
        <f>IF(ISNUMBER(AY110)=TRUE,IF(_xlfn.RANK.EQ(AY110,$AY$2:$AY$111)&lt;='Tournament Setup'!$C$34,_xlfn.RANK.EQ(AY110,$AY$2:$AY$111),""),"")</f>
        <v/>
      </c>
      <c r="BA110" s="31" t="str">
        <f>IF(AND($F110='Tournament Setup'!$A$34,SUM($Q110,$U110)=0,$E110="F",$AX110&gt;'Tournament Setup'!$B$34),$I110,"")</f>
        <v/>
      </c>
      <c r="BB110" s="12" t="str">
        <f>IF(ISNUMBER(BA110)=TRUE,IF(_xlfn.RANK.EQ(BA110,$BA$2:$BA$111)&lt;='Tournament Setup'!$D$34,_xlfn.RANK.EQ(BA110,$BA$2:$BA$111),""),"")</f>
        <v/>
      </c>
      <c r="BC110" s="30" t="str">
        <f>IF(AND($G110='Tournament Setup'!$A$52,$J110&lt;&gt;0),$J110,"")</f>
        <v/>
      </c>
      <c r="BD110" s="47" t="str">
        <f>IF(ISNUMBER(BC110),IF(COUNTIFS(BD$1:BD109,_xlfn.RANK.EQ(BC110,BC$2:BC$111,0))&gt;0,_xlfn.MAXIFS(BD$1:BD109,BC$1:BC109,BC110)+1,_xlfn.RANK.EQ(BC110,BC$2:BC$111,0)),"")</f>
        <v/>
      </c>
      <c r="BE110" s="1" t="str">
        <f>IF(ISNUMBER(BC110)=TRUE,IF(_xlfn.RANK.EQ(BC110,$BC$2:$BC$111)&lt;='Tournament Setup'!$B$49,_xlfn.RANK.EQ(BC110,$BC$2:$BC$111),""),"")</f>
        <v/>
      </c>
      <c r="BF110" s="30" t="str">
        <f>IF(AND($F110='Tournament Setup'!$A$35,SUM($Q110,$S110,$U110)=0),$I110,"")</f>
        <v/>
      </c>
      <c r="BG110" s="47" t="str">
        <f>IF(ISNUMBER(BF110),IF(COUNTIFS(BG$1:BG109,_xlfn.RANK.EQ(BF110,BF$2:BF$111,0))&gt;0,_xlfn.MAXIFS(BG$1:BG109,BF$1:BF109,BF110)+1,_xlfn.RANK.EQ(BF110,BF$2:BF$111,0)),"")</f>
        <v/>
      </c>
      <c r="BH110" s="1" t="str">
        <f>IF(ISNUMBER(BF110)=TRUE,IF(_xlfn.RANK.EQ(BF110,$BF$2:$BF$111)&lt;='Tournament Setup'!$B$35,_xlfn.RANK.EQ(BF110,$BF$2:$BF$111),""),"")</f>
        <v/>
      </c>
      <c r="BI110" s="31" t="str">
        <f>IF(AND($F110='Tournament Setup'!$A$35,SUM($Q110,$S110)=0,$E110="M",$BH110&gt;'Tournament Setup'!$B$35),$I110,"")</f>
        <v/>
      </c>
      <c r="BJ110" s="1" t="str">
        <f>IF(ISNUMBER(BI110)=TRUE,IF(_xlfn.RANK.EQ(BI110,$BI$2:$BI$111)&lt;='Tournament Setup'!$C$35,_xlfn.RANK.EQ(BI110,$BI$2:$BI$111),""),"")</f>
        <v/>
      </c>
      <c r="BK110" s="31" t="str">
        <f>IF(AND($F110='Tournament Setup'!$A$35,SUM($Q110,$U110)=0,$E110="F",$BH110&gt;'Tournament Setup'!$B$35),$I110,"")</f>
        <v/>
      </c>
      <c r="BL110" s="12" t="str">
        <f>IF(ISNUMBER(BK110)=TRUE,IF(_xlfn.RANK.EQ(BK110,$BK$2:$BK$111)&lt;='Tournament Setup'!$D$35,_xlfn.RANK.EQ(BK110,$BK$2:$BK$111),""),"")</f>
        <v/>
      </c>
      <c r="BM110" s="30" t="str">
        <f>IF(AND($G110='Tournament Setup'!$A$54,$J110&lt;&gt;0),$J110,"")</f>
        <v/>
      </c>
      <c r="BN110" s="47" t="str">
        <f>IF(ISNUMBER(BM110),IF(COUNTIFS(BN$1:BN109,_xlfn.RANK.EQ(BM110,BM$2:BM$111,0))&gt;0,_xlfn.MAXIFS(BN$1:BN109,BM$1:BM109,BM110)+1,_xlfn.RANK.EQ(BM110,BM$2:BM$111,0)),"")</f>
        <v/>
      </c>
      <c r="BO110" s="1" t="str">
        <f>IF(ISNUMBER(BM110)=TRUE,IF(_xlfn.RANK.EQ(BM110,$BM$2:$BM$111)&lt;='Tournament Setup'!$B$49,_xlfn.RANK.EQ(BM110,$BM$2:$BM$111),""),"")</f>
        <v/>
      </c>
      <c r="BP110" s="30" t="str">
        <f>IF(AND($F110='Tournament Setup'!$A$36,SUM($Q110,$S110,$U110)=0),$I110,"")</f>
        <v/>
      </c>
      <c r="BQ110" s="47" t="str">
        <f>IF(ISNUMBER(BP110),IF(COUNTIFS(BQ$1:BQ109,_xlfn.RANK.EQ(BP110,BP$2:BP$111,0))&gt;0,_xlfn.MAXIFS(BQ$1:BQ109,BP$1:BP109,BP110)+1,_xlfn.RANK.EQ(BP110,BP$2:BP$111,0)),"")</f>
        <v/>
      </c>
      <c r="BR110" s="1" t="str">
        <f>IF(ISNUMBER(BP110)=TRUE,IF(_xlfn.RANK.EQ(BP110,$BP$2:$BP$111)&lt;='Tournament Setup'!$B$36,_xlfn.RANK.EQ(BP110,$BP$2:$BP$111),""),"")</f>
        <v/>
      </c>
      <c r="BS110" s="31" t="str">
        <f>IF(AND($F110='Tournament Setup'!$A$36,SUM($Q110,$S110)=0,$E110="M",$BR110&gt;'Tournament Setup'!$B$36),$I110,"")</f>
        <v/>
      </c>
      <c r="BT110" s="1" t="str">
        <f>IF(ISNUMBER(BS110)=TRUE,IF(_xlfn.RANK.EQ(BS110,$BS$2:$BS$111)&lt;='Tournament Setup'!$C$36,_xlfn.RANK.EQ(BS110,$BS$2:$BS$111),""),"")</f>
        <v/>
      </c>
      <c r="BU110" s="31" t="str">
        <f>IF(AND($F110='Tournament Setup'!$A$36,SUM($Q110,$U110)=0,$E110="F",$BR110&gt;'Tournament Setup'!$B$36),$I110,"")</f>
        <v/>
      </c>
      <c r="BV110" s="12" t="str">
        <f>IF(ISNUMBER(BU110)=TRUE,IF(_xlfn.RANK.EQ(BU110,$BU$2:$BU$111)&lt;='Tournament Setup'!$D$36,_xlfn.RANK.EQ(BU110,$BU$2:$BU$111),""),"")</f>
        <v/>
      </c>
      <c r="BW110" s="30" t="str">
        <f>IF($H110='Tournament Setup'!$A$41,$I110,"")</f>
        <v/>
      </c>
      <c r="BX110" s="47" t="str">
        <f>IF(ISNUMBER(BW110),IF(COUNTIFS(BX$1:BX109,_xlfn.RANK.EQ(BW110,BW$2:BW$111,0))&gt;0,_xlfn.MAXIFS(BX$1:BX109,BW$1:BW109,BW110)+1,_xlfn.RANK.EQ(BW110,BW$2:BW$111,0)),"")</f>
        <v/>
      </c>
      <c r="BY110" s="1" t="str">
        <f>IF(ISNUMBER(BW110)=TRUE,IF(_xlfn.RANK.EQ(BW110,$BW$2:$BW$111)&lt;='Tournament Setup'!$B$41,_xlfn.RANK.EQ(BW110,$BW$2:$BW$111),""),"")</f>
        <v/>
      </c>
      <c r="BZ110" s="31" t="str">
        <f>IF(AND($H110='Tournament Setup'!$A$41,$E110="M",$BY110&gt;'Tournament Setup'!$B$41),$I110,"")</f>
        <v/>
      </c>
      <c r="CA110" s="1" t="str">
        <f>IF(ISNUMBER(BZ110)=TRUE,IF(_xlfn.RANK.EQ(BZ110,$BZ$2:$BZ$111)&lt;='Tournament Setup'!$C$41,_xlfn.RANK.EQ(BZ110,$BZ$2:$BZ$111),""),"")</f>
        <v/>
      </c>
      <c r="CB110" s="31" t="str">
        <f>IF(AND($H110='Tournament Setup'!$A$41,$E110="F",$BY110&gt;'Tournament Setup'!$B$41),$I110,"")</f>
        <v/>
      </c>
      <c r="CC110" s="12" t="str">
        <f>IF(ISNUMBER(CB110)=TRUE,IF(_xlfn.RANK.EQ(CB110,$CB$2:$CB$111)&lt;='Tournament Setup'!$D$41,_xlfn.RANK.EQ(CB110,$CB$2:$CB$111),""),"")</f>
        <v/>
      </c>
      <c r="CD110" s="30" t="str">
        <f>IF($H110='Tournament Setup'!$A$42,$I110,"")</f>
        <v/>
      </c>
      <c r="CE110" s="47" t="str">
        <f>IF(ISNUMBER(CD110),IF(COUNTIFS(CE$1:CE109,_xlfn.RANK.EQ(CD110,CD$2:CD$111,0))&gt;0,_xlfn.MAXIFS(CE$1:CE109,CD$1:CD109,CD110)+1,_xlfn.RANK.EQ(CD110,CD$2:CD$111,0)),"")</f>
        <v/>
      </c>
      <c r="CF110" s="1" t="str">
        <f>IF(ISNUMBER(CD110)=TRUE,IF(_xlfn.RANK.EQ(CD110,$CD$2:$CD$111)&lt;='Tournament Setup'!$B$42,_xlfn.RANK.EQ(CD110,$CD$2:$CD$111),""),"")</f>
        <v/>
      </c>
      <c r="CG110" s="31" t="str">
        <f>IF(AND($H110='Tournament Setup'!$A$42,$E110="M",$CF110&gt;'Tournament Setup'!$B$42),$I110,"")</f>
        <v/>
      </c>
      <c r="CH110" s="1" t="str">
        <f>IF(ISNUMBER(CG110)=TRUE,IF(_xlfn.RANK.EQ(CG110,$CG$2:$CG$111)&lt;='Tournament Setup'!$C$42,_xlfn.RANK.EQ(CG110,$CG$2:$CG$111),""),"")</f>
        <v/>
      </c>
      <c r="CI110" s="31" t="str">
        <f>IF(AND($H110='Tournament Setup'!$A$42,$E110="F",$CF110&gt;'Tournament Setup'!$B$42),$I110,"")</f>
        <v/>
      </c>
      <c r="CJ110" s="12" t="str">
        <f>IF(ISNUMBER(CI110)=TRUE,IF(_xlfn.RANK.EQ(CI110,$CI$2:$CI$111)&lt;='Tournament Setup'!$D$42,_xlfn.RANK.EQ(CI110,$CI$2:$CI$111),""),"")</f>
        <v/>
      </c>
      <c r="CK110" s="30" t="str">
        <f>IF($H110='Tournament Setup'!$A$43,$I110,"")</f>
        <v/>
      </c>
      <c r="CL110" s="47" t="str">
        <f>IF(ISNUMBER(CK110),IF(COUNTIFS(CL$1:CL109,_xlfn.RANK.EQ(CK110,CK$2:CK$111,0))&gt;0,_xlfn.MAXIFS(CL$1:CL109,CK$1:CK109,CK110)+1,_xlfn.RANK.EQ(CK110,CK$2:CK$111,0)),"")</f>
        <v/>
      </c>
      <c r="CM110" s="1" t="str">
        <f>IF(ISNUMBER(CK110)=TRUE,IF(_xlfn.RANK.EQ(CK110,$CK$2:$CK$111)&lt;='Tournament Setup'!$B$43,_xlfn.RANK.EQ(CK110,$CK$2:$CK$111),""),"")</f>
        <v/>
      </c>
      <c r="CN110" s="31" t="str">
        <f>IF(AND($H110='Tournament Setup'!$A$43,$E110="M",$CM110&gt;'Tournament Setup'!$B$43),$I110,"")</f>
        <v/>
      </c>
      <c r="CO110" s="1" t="str">
        <f>IF(ISNUMBER(CN110)=TRUE,IF(_xlfn.RANK.EQ(CN110,$CN$2:$CN$111)&lt;='Tournament Setup'!$C$43,_xlfn.RANK.EQ(CN110,$CN$2:$CN$111),""),"")</f>
        <v/>
      </c>
      <c r="CP110" s="31" t="str">
        <f>IF(AND($H110='Tournament Setup'!$A$43,$E110="F",$CM110&gt;'Tournament Setup'!$B$43),$I110,"")</f>
        <v/>
      </c>
      <c r="CQ110" s="12" t="str">
        <f>IF(ISNUMBER(CP110)=TRUE,IF(_xlfn.RANK.EQ(CP110,$CP$2:$CP$111)&lt;='Tournament Setup'!$D$43,_xlfn.RANK.EQ(CP110,$CP$2:$CP$111),""),"")</f>
        <v/>
      </c>
      <c r="CR110" s="30" t="str">
        <f>IF($H110='Tournament Setup'!$A$44,$I110,"")</f>
        <v/>
      </c>
      <c r="CS110" s="47" t="str">
        <f>IF(ISNUMBER(CR110),IF(COUNTIFS(CS$1:CS109,_xlfn.RANK.EQ(CR110,CR$2:CR$111,0))&gt;0,_xlfn.MAXIFS(CS$1:CS109,CR$1:CR109,CR110)+1,_xlfn.RANK.EQ(CR110,CR$2:CR$111,0)),"")</f>
        <v/>
      </c>
      <c r="CT110" s="1" t="str">
        <f>IF(ISNUMBER(CR110)=TRUE,IF(_xlfn.RANK.EQ(CR110,$CR$2:$CR$111)&lt;='Tournament Setup'!$B$44,_xlfn.RANK.EQ(CR110,$CR$2:$CR$111),""),"")</f>
        <v/>
      </c>
      <c r="CU110" s="31" t="str">
        <f>IF(AND($H110='Tournament Setup'!$A$44,$E110="M",$CT110&gt;'Tournament Setup'!$B$44),$I110,"")</f>
        <v/>
      </c>
      <c r="CV110" s="1" t="str">
        <f>IF(ISNUMBER(CU110)=TRUE,IF(_xlfn.RANK.EQ(CU110,$CU$2:$CU$111)&lt;='Tournament Setup'!$C$44,_xlfn.RANK.EQ(CU110,$CU$2:$CU$111),""),"")</f>
        <v/>
      </c>
      <c r="CW110" s="31" t="str">
        <f>IF(AND($H110='Tournament Setup'!$A$44,$E110="F",$CT110&gt;'Tournament Setup'!$B$44),$I110,"")</f>
        <v/>
      </c>
      <c r="CX110" s="12" t="str">
        <f>IF(ISNUMBER(CW110)=TRUE,IF(_xlfn.RANK.EQ(CW110,$CW$2:$CW$111)&lt;='Tournament Setup'!$D$44,_xlfn.RANK.EQ(CW110,$CW$2:$CW$111),""),"")</f>
        <v/>
      </c>
    </row>
    <row r="111" spans="2:102" x14ac:dyDescent="0.3">
      <c r="B111" t="str">
        <f>IFERROR(INDEX('Tournament List'!$B:$B,MATCH($A111,'Tournament List'!$A:$A,0)),"")</f>
        <v/>
      </c>
      <c r="C111" t="str">
        <f>IFERROR(INDEX('Tournament List'!$C:$C,MATCH($A111,'Tournament List'!$A:$A,0)),"")</f>
        <v/>
      </c>
      <c r="D111" t="str">
        <f t="shared" si="1"/>
        <v xml:space="preserve"> </v>
      </c>
      <c r="E111" s="1" t="str">
        <f>IFERROR(INDEX('Tournament List'!F:F,MATCH($A111,'Tournament List'!$A:$A,0)),"")</f>
        <v/>
      </c>
      <c r="F111" t="str">
        <f>IFERROR(INDEX('Tournament List'!M:M,MATCH($A111,'Tournament List'!$A:$A,0)),"")</f>
        <v/>
      </c>
      <c r="G111" t="str">
        <f>IFERROR(INDEX('Shooter-Squad Assignment'!L:L,MATCH(A111,'Shooter-Squad Assignment'!A:A,0)),"")</f>
        <v/>
      </c>
      <c r="H111" s="1" t="str">
        <f>IFERROR(INDEX('Tournament List'!AD:AD,MATCH($A111,'Tournament List'!$A:$A,0)),"")</f>
        <v/>
      </c>
      <c r="I111" s="123" t="str">
        <f>IFERROR(INDEX('Tournament List'!AG:AG,MATCH($A111,'Tournament List'!$A:$A,0)),"")</f>
        <v/>
      </c>
      <c r="J111" s="145" t="str">
        <f>IFERROR(INDEX('Tournament List'!Y:Y,MATCH($A111,'Tournament List'!$A:$A,0)),"")</f>
        <v/>
      </c>
      <c r="K111" s="47" t="str">
        <f>IFERROR(INDEX('Tournament List'!S:S,MATCH(A111,'Tournament List'!A:A,0)),"")</f>
        <v/>
      </c>
      <c r="L111" s="47" t="str">
        <f>IF(ISNUMBER(J111),IF(COUNTIFS(L$1:L110,_xlfn.RANK.EQ(J111,J$2:J$111,0))&gt;0,_xlfn.MAXIFS(L$1:L110,J$1:J110,J111)+1,_xlfn.RANK.EQ(J111,J$2:J$111,0)),"")</f>
        <v/>
      </c>
      <c r="M111" s="11" t="str">
        <f>IF(ISNUMBER(I111)=TRUE,IF(I111&gt;0,_xlfn.RANK.EQ(I111,$I$2:$I$111,0),""),"")</f>
        <v/>
      </c>
      <c r="N111" s="56" t="str">
        <f>IF(ISNUMBER(I111),IF(COUNTIFS(N$1:N110,_xlfn.RANK.EQ(I111,I$2:I$111,0))&gt;0,_xlfn.MAXIFS(N$1:N110,I$1:I110,I111)+1,_xlfn.RANK.EQ(I111,I$2:I$111,0)),"")</f>
        <v/>
      </c>
      <c r="O111" s="144" t="str">
        <f>IF(F111&lt;&gt;"Collegiate"=TRUE,$I111,"")</f>
        <v/>
      </c>
      <c r="P111" s="47" t="str">
        <f>IF(ISNUMBER(O111),IF(COUNTIFS(P$1:P110,_xlfn.RANK.EQ(O111,O$2:O$111,0))&gt;0,_xlfn.MAXIFS(P$1:P110,O$1:O110,O111)+1,_xlfn.RANK.EQ(O111,O$2:O$111,0)),"")</f>
        <v/>
      </c>
      <c r="Q111" s="1" t="str">
        <f>IF(ISNUMBER(O111)=TRUE,IF(_xlfn.RANK.EQ(O111,$O$2:$O$111)&lt;='Tournament Setup'!$B$26,_xlfn.RANK.EQ(O111,$O$2:$O$111),""),"")</f>
        <v/>
      </c>
      <c r="R111" s="143" t="str">
        <f>IF(AND($E111="M",SUM($Q111)=0,F111&lt;&gt;"Collegiate")=TRUE,$I111,"")</f>
        <v/>
      </c>
      <c r="S111" s="1" t="str">
        <f>IF(ISNUMBER(R111)=TRUE,IF(_xlfn.RANK.EQ(R111,$R$2:$R$111)&lt;='Tournament Setup'!$B$27,_xlfn.RANK.EQ(R111,$R$2:$R$111),""),"")</f>
        <v/>
      </c>
      <c r="T111" s="143" t="str">
        <f>IF(AND($E111="F",SUM($Q111)=0,F111&lt;&gt;"Collegiate")=TRUE,$I111,"")</f>
        <v/>
      </c>
      <c r="U111" s="12" t="str">
        <f>IF(ISNUMBER(T111)=TRUE,IF(_xlfn.RANK.EQ(T111,$T$2:$T$111)&lt;='Tournament Setup'!$B$28,_xlfn.RANK.EQ(T111,$T$2:$T$111),""),"")</f>
        <v/>
      </c>
      <c r="V111" s="145" t="str">
        <f>IF(AND($G111='Tournament Setup'!$A$53,$J111&lt;&gt;0),$J111,"")</f>
        <v/>
      </c>
      <c r="W111" s="47" t="str">
        <f>IF(ISNUMBER(V111),IF(COUNTIFS(W$1:W110,_xlfn.RANK.EQ(V111,V$2:V$111,0))&gt;0,_xlfn.MAXIFS(W$1:W110,V$1:V110,V111)+1,_xlfn.RANK.EQ(V111,V$2:V$111,0)),"")</f>
        <v/>
      </c>
      <c r="X111" s="1" t="str">
        <f>IF(ISNUMBER(V111)=TRUE,IF(_xlfn.RANK.EQ(V111,$V$2:$V$111)&lt;='Tournament Setup'!$B$53,_xlfn.RANK.EQ(V111,$V$2:$V$111),""),"")</f>
        <v/>
      </c>
      <c r="Y111" s="145" t="str">
        <f>IF(AND($G111='Tournament Setup'!$A$49,$J111&lt;&gt;0),$J111,"")</f>
        <v/>
      </c>
      <c r="Z111" s="47" t="str">
        <f>IF(ISNUMBER(Y111),IF(COUNTIFS(Z$1:Z110,_xlfn.RANK.EQ(Y111,Y$2:Y$111,0))&gt;0,_xlfn.MAXIFS(Z$1:Z110,Y$1:Y110,Y111)+1,_xlfn.RANK.EQ(Y111,Y$2:Y$111,0)),"")</f>
        <v/>
      </c>
      <c r="AA111" s="1" t="str">
        <f>IF(ISNUMBER(Y111)=TRUE,IF(_xlfn.RANK.EQ(Y111,$Y$2:$Y$111)&lt;='Tournament Setup'!$B$49,_xlfn.RANK.EQ(Y111,$Y$2:$Y$111),""),"")</f>
        <v/>
      </c>
      <c r="AB111" s="30" t="str">
        <f>IF(AND($F111='Tournament Setup'!$A$32,SUM($Q111,$S111,$U111)=0),$I111,"")</f>
        <v/>
      </c>
      <c r="AC111" s="47" t="str">
        <f>IF(ISNUMBER(AB111),IF(COUNTIFS(AC$1:AC110,_xlfn.RANK.EQ(AB111,AB$2:AB$111,0))&gt;0,_xlfn.MAXIFS(AC$1:AC110,AB$1:AB110,AB111)+1,_xlfn.RANK.EQ(AB111,AB$2:AB$111,0)),"")</f>
        <v/>
      </c>
      <c r="AD111" s="1" t="str">
        <f>IF(ISNUMBER(AB111)=TRUE,IF(_xlfn.RANK.EQ(AB111,$AB$2:$AB$111)&lt;='Tournament Setup'!$B$32,_xlfn.RANK.EQ(AB111,$AB$2:$AB$111),""),"")</f>
        <v/>
      </c>
      <c r="AE111" s="31" t="str">
        <f>IF(AND($F111='Tournament Setup'!$A$32,SUM($Q111,$S111)=0,$E111="M",$AD111&gt;'Tournament Setup'!$B$32),$I111,"")</f>
        <v/>
      </c>
      <c r="AF111" s="1" t="str">
        <f>IF(ISNUMBER(AE111)=TRUE,IF(_xlfn.RANK.EQ(AE111,$AE$2:$AE$111)&lt;='Tournament Setup'!$C$32,_xlfn.RANK.EQ(AE111,$AE$2:$AE$111),""),"")</f>
        <v/>
      </c>
      <c r="AG111" s="31" t="str">
        <f>IF(AND($F111='Tournament Setup'!$A$32,SUM($Q111,$U111)=0,$E111="F",$AD111&gt;'Tournament Setup'!$B$32),$I111,"")</f>
        <v/>
      </c>
      <c r="AH111" s="12" t="str">
        <f>IF(ISNUMBER(AG111)=TRUE,IF(_xlfn.RANK.EQ(AG111,$AG$2:$AG$111)&lt;='Tournament Setup'!$D$32,_xlfn.RANK.EQ(AG111,$AG$2:$AG$111),""),"")</f>
        <v/>
      </c>
      <c r="AI111" s="30" t="str">
        <f>IF(AND($G111='Tournament Setup'!$A$50,$J111&lt;&gt;0),$J111,"")</f>
        <v/>
      </c>
      <c r="AJ111" s="47" t="str">
        <f>IF(ISNUMBER(AI111),IF(COUNTIFS(AJ$1:AJ110,_xlfn.RANK.EQ(AI111,AI$2:AI$111,0))&gt;0,_xlfn.MAXIFS(AJ$1:AJ110,AI$1:AI110,AI111)+1,_xlfn.RANK.EQ(AI111,AI$2:AI$111,0)),"")</f>
        <v/>
      </c>
      <c r="AK111" s="1" t="str">
        <f>IF(ISNUMBER(AI111)=TRUE,IF(_xlfn.RANK.EQ(AI111,$AI$2:$AI$111)&lt;='Tournament Setup'!$B$49,_xlfn.RANK.EQ(AI111,$AI$2:$AI$111),""),"")</f>
        <v/>
      </c>
      <c r="AL111" s="30" t="str">
        <f>IF(AND($F111='Tournament Setup'!$A$33,SUM($Q111,$S111,$U111)=0),$I111,"")</f>
        <v/>
      </c>
      <c r="AM111" s="47" t="str">
        <f>IF(ISNUMBER(AL111),IF(COUNTIFS(AM$1:AM110,_xlfn.RANK.EQ(AL111,AL$2:AL$111,0))&gt;0,_xlfn.MAXIFS(AM$1:AM110,AL$1:AL110,AL111)+1,_xlfn.RANK.EQ(AL111,AL$2:AL$111,0)),"")</f>
        <v/>
      </c>
      <c r="AN111" s="1" t="str">
        <f>IF(ISNUMBER(AL111)=TRUE,IF(_xlfn.RANK.EQ(AL111,$AL$2:$AL$111)&lt;='Tournament Setup'!$B$33,_xlfn.RANK.EQ(AL111,$AL$2:$AL$111),""),"")</f>
        <v/>
      </c>
      <c r="AO111" s="31" t="str">
        <f>IF(AND($F111='Tournament Setup'!$A$33,SUM($Q111,$S111)=0,$E111="M",$AN111&gt;'Tournament Setup'!$B$33),$I111,"")</f>
        <v/>
      </c>
      <c r="AP111" s="1" t="str">
        <f>IF(ISNUMBER(AO111)=TRUE,IF(_xlfn.RANK.EQ(AO111,$AO$2:$AO$111)&lt;='Tournament Setup'!$C$33,_xlfn.RANK.EQ(AO111,$AO$2:$AO$111),""),"")</f>
        <v/>
      </c>
      <c r="AQ111" s="31" t="str">
        <f>IF(AND($F111='Tournament Setup'!$A$33,SUM($Q111,$U111)=0,$E111="F",$AN111&gt;'Tournament Setup'!$B$33),$I111,"")</f>
        <v/>
      </c>
      <c r="AR111" s="12" t="str">
        <f>IF(ISNUMBER(AQ111)=TRUE,IF(_xlfn.RANK.EQ(AQ111,$AQ$2:$AQ$111)&lt;='Tournament Setup'!$D$33,_xlfn.RANK.EQ(AQ111,$AQ$2:$AQ$111),""),"")</f>
        <v/>
      </c>
      <c r="AS111" s="30" t="str">
        <f>IF(AND($G111='Tournament Setup'!$A$51,$J111&lt;&gt;0),$J111,"")</f>
        <v/>
      </c>
      <c r="AT111" s="47" t="str">
        <f>IF(ISNUMBER(AS111),IF(COUNTIFS(AT$1:AT110,_xlfn.RANK.EQ(AS111,AS$2:AS$111,0))&gt;0,_xlfn.MAXIFS(AT$1:AT110,AS$1:AS110,AS111)+1,_xlfn.RANK.EQ(AS111,AS$2:AS$111,0)),"")</f>
        <v/>
      </c>
      <c r="AU111" s="1" t="str">
        <f>IF(ISNUMBER(AS111)=TRUE,IF(_xlfn.RANK.EQ(AS111,$AS$2:$AS$111)&lt;='Tournament Setup'!$B$49,_xlfn.RANK.EQ(AS111,$AS$2:$AS$111),""),"")</f>
        <v/>
      </c>
      <c r="AV111" s="30" t="str">
        <f>IF(AND($F111='Tournament Setup'!$A$34,SUM($Q111,$S111,$U111)=0),$I111,"")</f>
        <v/>
      </c>
      <c r="AW111" s="47" t="str">
        <f>IF(ISNUMBER(AV111),IF(COUNTIFS(AW$1:AW110,_xlfn.RANK.EQ(AV111,AV$2:AV$111,0))&gt;0,_xlfn.MAXIFS(AW$1:AW110,AV$1:AV110,AV111)+1,_xlfn.RANK.EQ(AV111,AV$2:AV$111,0)),"")</f>
        <v/>
      </c>
      <c r="AX111" s="1" t="str">
        <f>IF(ISNUMBER(AV111)=TRUE,IF(_xlfn.RANK.EQ(AV111,$AV$2:$AV$111)&lt;='Tournament Setup'!$B$34,_xlfn.RANK.EQ(AV111,$AV$2:$AV$111),""),"")</f>
        <v/>
      </c>
      <c r="AY111" s="31" t="str">
        <f>IF(AND($F111='Tournament Setup'!$A$34,SUM($Q111,$S111)=0,$E111="M",$AX111&gt;'Tournament Setup'!$B$34),$I111,"")</f>
        <v/>
      </c>
      <c r="AZ111" s="1" t="str">
        <f>IF(ISNUMBER(AY111)=TRUE,IF(_xlfn.RANK.EQ(AY111,$AY$2:$AY$111)&lt;='Tournament Setup'!$C$34,_xlfn.RANK.EQ(AY111,$AY$2:$AY$111),""),"")</f>
        <v/>
      </c>
      <c r="BA111" s="31" t="str">
        <f>IF(AND($F111='Tournament Setup'!$A$34,SUM($Q111,$U111)=0,$E111="F",$AX111&gt;'Tournament Setup'!$B$34),$I111,"")</f>
        <v/>
      </c>
      <c r="BB111" s="12" t="str">
        <f>IF(ISNUMBER(BA111)=TRUE,IF(_xlfn.RANK.EQ(BA111,$BA$2:$BA$111)&lt;='Tournament Setup'!$D$34,_xlfn.RANK.EQ(BA111,$BA$2:$BA$111),""),"")</f>
        <v/>
      </c>
      <c r="BC111" s="30" t="str">
        <f>IF(AND($G111='Tournament Setup'!$A$52,$J111&lt;&gt;0),$J111,"")</f>
        <v/>
      </c>
      <c r="BD111" s="47" t="str">
        <f>IF(ISNUMBER(BC111),IF(COUNTIFS(BD$1:BD110,_xlfn.RANK.EQ(BC111,BC$2:BC$111,0))&gt;0,_xlfn.MAXIFS(BD$1:BD110,BC$1:BC110,BC111)+1,_xlfn.RANK.EQ(BC111,BC$2:BC$111,0)),"")</f>
        <v/>
      </c>
      <c r="BE111" s="1" t="str">
        <f>IF(ISNUMBER(BC111)=TRUE,IF(_xlfn.RANK.EQ(BC111,$BC$2:$BC$111)&lt;='Tournament Setup'!$B$49,_xlfn.RANK.EQ(BC111,$BC$2:$BC$111),""),"")</f>
        <v/>
      </c>
      <c r="BF111" s="30" t="str">
        <f>IF(AND($F111='Tournament Setup'!$A$35,SUM($Q111,$S111,$U111)=0),$I111,"")</f>
        <v/>
      </c>
      <c r="BG111" s="47" t="str">
        <f>IF(ISNUMBER(BF111),IF(COUNTIFS(BG$1:BG110,_xlfn.RANK.EQ(BF111,BF$2:BF$111,0))&gt;0,_xlfn.MAXIFS(BG$1:BG110,BF$1:BF110,BF111)+1,_xlfn.RANK.EQ(BF111,BF$2:BF$111,0)),"")</f>
        <v/>
      </c>
      <c r="BH111" s="1" t="str">
        <f>IF(ISNUMBER(BF111)=TRUE,IF(_xlfn.RANK.EQ(BF111,$BF$2:$BF$111)&lt;='Tournament Setup'!$B$35,_xlfn.RANK.EQ(BF111,$BF$2:$BF$111),""),"")</f>
        <v/>
      </c>
      <c r="BI111" s="31" t="str">
        <f>IF(AND($F111='Tournament Setup'!$A$35,SUM($Q111,$S111)=0,$E111="M",$BH111&gt;'Tournament Setup'!$B$35),$I111,"")</f>
        <v/>
      </c>
      <c r="BJ111" s="1" t="str">
        <f>IF(ISNUMBER(BI111)=TRUE,IF(_xlfn.RANK.EQ(BI111,$BI$2:$BI$111)&lt;='Tournament Setup'!$C$35,_xlfn.RANK.EQ(BI111,$BI$2:$BI$111),""),"")</f>
        <v/>
      </c>
      <c r="BK111" s="31" t="str">
        <f>IF(AND($F111='Tournament Setup'!$A$35,SUM($Q111,$U111)=0,$E111="F",$BH111&gt;'Tournament Setup'!$B$35),$I111,"")</f>
        <v/>
      </c>
      <c r="BL111" s="12" t="str">
        <f>IF(ISNUMBER(BK111)=TRUE,IF(_xlfn.RANK.EQ(BK111,$BK$2:$BK$111)&lt;='Tournament Setup'!$D$35,_xlfn.RANK.EQ(BK111,$BK$2:$BK$111),""),"")</f>
        <v/>
      </c>
      <c r="BM111" s="30" t="str">
        <f>IF(AND($G111='Tournament Setup'!$A$54,$J111&lt;&gt;0),$J111,"")</f>
        <v/>
      </c>
      <c r="BN111" s="47" t="str">
        <f>IF(ISNUMBER(BM111),IF(COUNTIFS(BN$1:BN110,_xlfn.RANK.EQ(BM111,BM$2:BM$111,0))&gt;0,_xlfn.MAXIFS(BN$1:BN110,BM$1:BM110,BM111)+1,_xlfn.RANK.EQ(BM111,BM$2:BM$111,0)),"")</f>
        <v/>
      </c>
      <c r="BO111" s="1" t="str">
        <f>IF(ISNUMBER(BM111)=TRUE,IF(_xlfn.RANK.EQ(BM111,$BM$2:$BM$111)&lt;='Tournament Setup'!$B$49,_xlfn.RANK.EQ(BM111,$BM$2:$BM$111),""),"")</f>
        <v/>
      </c>
      <c r="BP111" s="30" t="str">
        <f>IF(AND($F111='Tournament Setup'!$A$36,SUM($Q111,$S111,$U111)=0),$I111,"")</f>
        <v/>
      </c>
      <c r="BQ111" s="47" t="str">
        <f>IF(ISNUMBER(BP111),IF(COUNTIFS(BQ$1:BQ110,_xlfn.RANK.EQ(BP111,BP$2:BP$111,0))&gt;0,_xlfn.MAXIFS(BQ$1:BQ110,BP$1:BP110,BP111)+1,_xlfn.RANK.EQ(BP111,BP$2:BP$111,0)),"")</f>
        <v/>
      </c>
      <c r="BR111" s="1" t="str">
        <f>IF(ISNUMBER(BP111)=TRUE,IF(_xlfn.RANK.EQ(BP111,$BP$2:$BP$111)&lt;='Tournament Setup'!$B$36,_xlfn.RANK.EQ(BP111,$BP$2:$BP$111),""),"")</f>
        <v/>
      </c>
      <c r="BS111" s="31" t="str">
        <f>IF(AND($F111='Tournament Setup'!$A$36,SUM($Q111,$S111)=0,$E111="M",$BR111&gt;'Tournament Setup'!$B$36),$I111,"")</f>
        <v/>
      </c>
      <c r="BT111" s="1" t="str">
        <f>IF(ISNUMBER(BS111)=TRUE,IF(_xlfn.RANK.EQ(BS111,$BS$2:$BS$111)&lt;='Tournament Setup'!$C$36,_xlfn.RANK.EQ(BS111,$BS$2:$BS$111),""),"")</f>
        <v/>
      </c>
      <c r="BU111" s="31" t="str">
        <f>IF(AND($F111='Tournament Setup'!$A$36,SUM($Q111,$U111)=0,$E111="F",$BR111&gt;'Tournament Setup'!$B$36),$I111,"")</f>
        <v/>
      </c>
      <c r="BV111" s="12" t="str">
        <f>IF(ISNUMBER(BU111)=TRUE,IF(_xlfn.RANK.EQ(BU111,$BU$2:$BU$111)&lt;='Tournament Setup'!$D$36,_xlfn.RANK.EQ(BU111,$BU$2:$BU$111),""),"")</f>
        <v/>
      </c>
      <c r="BW111" s="30" t="str">
        <f>IF($H111='Tournament Setup'!$A$41,$I111,"")</f>
        <v/>
      </c>
      <c r="BX111" s="47" t="str">
        <f>IF(ISNUMBER(BW111),IF(COUNTIFS(BX$1:BX110,_xlfn.RANK.EQ(BW111,BW$2:BW$111,0))&gt;0,_xlfn.MAXIFS(BX$1:BX110,BW$1:BW110,BW111)+1,_xlfn.RANK.EQ(BW111,BW$2:BW$111,0)),"")</f>
        <v/>
      </c>
      <c r="BY111" s="1" t="str">
        <f>IF(ISNUMBER(BW111)=TRUE,IF(_xlfn.RANK.EQ(BW111,$BW$2:$BW$111)&lt;='Tournament Setup'!$B$41,_xlfn.RANK.EQ(BW111,$BW$2:$BW$111),""),"")</f>
        <v/>
      </c>
      <c r="BZ111" s="31" t="str">
        <f>IF(AND($H111='Tournament Setup'!$A$41,$E111="M",$BY111&gt;'Tournament Setup'!$B$41),$I111,"")</f>
        <v/>
      </c>
      <c r="CA111" s="1" t="str">
        <f>IF(ISNUMBER(BZ111)=TRUE,IF(_xlfn.RANK.EQ(BZ111,$BZ$2:$BZ$111)&lt;='Tournament Setup'!$C$41,_xlfn.RANK.EQ(BZ111,$BZ$2:$BZ$111),""),"")</f>
        <v/>
      </c>
      <c r="CB111" s="31" t="str">
        <f>IF(AND($H111='Tournament Setup'!$A$41,$E111="F",$BY111&gt;'Tournament Setup'!$B$41),$I111,"")</f>
        <v/>
      </c>
      <c r="CC111" s="12" t="str">
        <f>IF(ISNUMBER(CB111)=TRUE,IF(_xlfn.RANK.EQ(CB111,$CB$2:$CB$111)&lt;='Tournament Setup'!$D$41,_xlfn.RANK.EQ(CB111,$CB$2:$CB$111),""),"")</f>
        <v/>
      </c>
      <c r="CD111" s="30" t="str">
        <f>IF($H111='Tournament Setup'!$A$42,$I111,"")</f>
        <v/>
      </c>
      <c r="CE111" s="47" t="str">
        <f>IF(ISNUMBER(CD111),IF(COUNTIFS(CE$1:CE110,_xlfn.RANK.EQ(CD111,CD$2:CD$111,0))&gt;0,_xlfn.MAXIFS(CE$1:CE110,CD$1:CD110,CD111)+1,_xlfn.RANK.EQ(CD111,CD$2:CD$111,0)),"")</f>
        <v/>
      </c>
      <c r="CF111" s="1" t="str">
        <f>IF(ISNUMBER(CD111)=TRUE,IF(_xlfn.RANK.EQ(CD111,$CD$2:$CD$111)&lt;='Tournament Setup'!$B$42,_xlfn.RANK.EQ(CD111,$CD$2:$CD$111),""),"")</f>
        <v/>
      </c>
      <c r="CG111" s="31" t="str">
        <f>IF(AND($H111='Tournament Setup'!$A$42,$E111="M",$CF111&gt;'Tournament Setup'!$B$42),$I111,"")</f>
        <v/>
      </c>
      <c r="CH111" s="1" t="str">
        <f>IF(ISNUMBER(CG111)=TRUE,IF(_xlfn.RANK.EQ(CG111,$CG$2:$CG$111)&lt;='Tournament Setup'!$C$42,_xlfn.RANK.EQ(CG111,$CG$2:$CG$111),""),"")</f>
        <v/>
      </c>
      <c r="CI111" s="31" t="str">
        <f>IF(AND($H111='Tournament Setup'!$A$42,$E111="F",$CF111&gt;'Tournament Setup'!$B$42),$I111,"")</f>
        <v/>
      </c>
      <c r="CJ111" s="12" t="str">
        <f>IF(ISNUMBER(CI111)=TRUE,IF(_xlfn.RANK.EQ(CI111,$CI$2:$CI$111)&lt;='Tournament Setup'!$D$42,_xlfn.RANK.EQ(CI111,$CI$2:$CI$111),""),"")</f>
        <v/>
      </c>
      <c r="CK111" s="30" t="str">
        <f>IF($H111='Tournament Setup'!$A$43,$I111,"")</f>
        <v/>
      </c>
      <c r="CL111" s="47" t="str">
        <f>IF(ISNUMBER(CK111),IF(COUNTIFS(CL$1:CL110,_xlfn.RANK.EQ(CK111,CK$2:CK$111,0))&gt;0,_xlfn.MAXIFS(CL$1:CL110,CK$1:CK110,CK111)+1,_xlfn.RANK.EQ(CK111,CK$2:CK$111,0)),"")</f>
        <v/>
      </c>
      <c r="CM111" s="1" t="str">
        <f>IF(ISNUMBER(CK111)=TRUE,IF(_xlfn.RANK.EQ(CK111,$CK$2:$CK$111)&lt;='Tournament Setup'!$B$43,_xlfn.RANK.EQ(CK111,$CK$2:$CK$111),""),"")</f>
        <v/>
      </c>
      <c r="CN111" s="31" t="str">
        <f>IF(AND($H111='Tournament Setup'!$A$43,$E111="M",$CM111&gt;'Tournament Setup'!$B$43),$I111,"")</f>
        <v/>
      </c>
      <c r="CO111" s="1" t="str">
        <f>IF(ISNUMBER(CN111)=TRUE,IF(_xlfn.RANK.EQ(CN111,$CN$2:$CN$111)&lt;='Tournament Setup'!$C$43,_xlfn.RANK.EQ(CN111,$CN$2:$CN$111),""),"")</f>
        <v/>
      </c>
      <c r="CP111" s="31" t="str">
        <f>IF(AND($H111='Tournament Setup'!$A$43,$E111="F",$CM111&gt;'Tournament Setup'!$B$43),$I111,"")</f>
        <v/>
      </c>
      <c r="CQ111" s="12" t="str">
        <f>IF(ISNUMBER(CP111)=TRUE,IF(_xlfn.RANK.EQ(CP111,$CP$2:$CP$111)&lt;='Tournament Setup'!$D$43,_xlfn.RANK.EQ(CP111,$CP$2:$CP$111),""),"")</f>
        <v/>
      </c>
      <c r="CR111" s="30" t="str">
        <f>IF($H111='Tournament Setup'!$A$44,$I111,"")</f>
        <v/>
      </c>
      <c r="CS111" s="47" t="str">
        <f>IF(ISNUMBER(CR111),IF(COUNTIFS(CS$1:CS110,_xlfn.RANK.EQ(CR111,CR$2:CR$111,0))&gt;0,_xlfn.MAXIFS(CS$1:CS110,CR$1:CR110,CR111)+1,_xlfn.RANK.EQ(CR111,CR$2:CR$111,0)),"")</f>
        <v/>
      </c>
      <c r="CT111" s="1" t="str">
        <f>IF(ISNUMBER(CR111)=TRUE,IF(_xlfn.RANK.EQ(CR111,$CR$2:$CR$111)&lt;='Tournament Setup'!$B$44,_xlfn.RANK.EQ(CR111,$CR$2:$CR$111),""),"")</f>
        <v/>
      </c>
      <c r="CU111" s="31" t="str">
        <f>IF(AND($H111='Tournament Setup'!$A$44,$E111="M",$CT111&gt;'Tournament Setup'!$B$44),$I111,"")</f>
        <v/>
      </c>
      <c r="CV111" s="1" t="str">
        <f>IF(ISNUMBER(CU111)=TRUE,IF(_xlfn.RANK.EQ(CU111,$CU$2:$CU$111)&lt;='Tournament Setup'!$C$44,_xlfn.RANK.EQ(CU111,$CU$2:$CU$111),""),"")</f>
        <v/>
      </c>
      <c r="CW111" s="31" t="str">
        <f>IF(AND($H111='Tournament Setup'!$A$44,$E111="F",$CT111&gt;'Tournament Setup'!$B$44),$I111,"")</f>
        <v/>
      </c>
      <c r="CX111" s="12" t="str">
        <f>IF(ISNUMBER(CW111)=TRUE,IF(_xlfn.RANK.EQ(CW111,$CW$2:$CW$111)&lt;='Tournament Setup'!$D$44,_xlfn.RANK.EQ(CW111,$CW$2:$CW$111),""),"")</f>
        <v/>
      </c>
    </row>
    <row r="112" spans="2:102" s="33" customFormat="1" x14ac:dyDescent="0.3">
      <c r="E112" s="34"/>
      <c r="H112" s="34"/>
      <c r="I112" s="35"/>
      <c r="J112" s="35"/>
      <c r="K112" s="280"/>
      <c r="L112" s="35"/>
      <c r="M112" s="36"/>
      <c r="O112" s="34"/>
      <c r="Q112" s="34"/>
      <c r="S112" s="34"/>
      <c r="U112" s="37"/>
      <c r="V112" s="116"/>
      <c r="Y112" s="116"/>
      <c r="AB112" s="38"/>
      <c r="AH112" s="39"/>
      <c r="AI112" s="116"/>
      <c r="AL112" s="38"/>
      <c r="AR112" s="39"/>
      <c r="AS112" s="116"/>
      <c r="AV112" s="38"/>
      <c r="BB112" s="39"/>
      <c r="BC112" s="116"/>
      <c r="BF112" s="38"/>
      <c r="BL112" s="39"/>
      <c r="BM112" s="116"/>
      <c r="BP112" s="38"/>
      <c r="BV112" s="39"/>
      <c r="BW112" s="38"/>
      <c r="CC112" s="39"/>
      <c r="CD112" s="38"/>
      <c r="CJ112" s="39"/>
      <c r="CK112" s="38"/>
      <c r="CQ112" s="39"/>
      <c r="CR112" s="38"/>
      <c r="CX112" s="39"/>
    </row>
  </sheetData>
  <autoFilter ref="A1:AR111" xr:uid="{F5B22903-9D51-4CAC-ACCC-3D6C2FF34BB1}"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97C4-5547-415E-BF00-ECC4B2E34230}">
  <sheetPr>
    <tabColor rgb="FF7030A0"/>
  </sheetPr>
  <dimension ref="A1:AB133"/>
  <sheetViews>
    <sheetView showGridLines="0" zoomScale="90" zoomScaleNormal="90" workbookViewId="0"/>
  </sheetViews>
  <sheetFormatPr defaultRowHeight="14.4" x14ac:dyDescent="0.3"/>
  <cols>
    <col min="1" max="1" width="5.5546875" style="1" bestFit="1" customWidth="1"/>
    <col min="2" max="2" width="6.88671875" style="1" bestFit="1" customWidth="1"/>
    <col min="3" max="3" width="27.109375" style="1" bestFit="1" customWidth="1"/>
    <col min="4" max="4" width="6.109375" style="1" bestFit="1" customWidth="1"/>
    <col min="5" max="5" width="18.109375" style="1" bestFit="1" customWidth="1"/>
    <col min="6" max="6" width="6.109375" bestFit="1" customWidth="1"/>
    <col min="7" max="7" width="5.6640625" style="1" bestFit="1" customWidth="1"/>
    <col min="8" max="8" width="6.88671875" style="1" bestFit="1" customWidth="1"/>
    <col min="9" max="9" width="27.109375" bestFit="1" customWidth="1"/>
    <col min="10" max="10" width="6.109375" style="1" bestFit="1" customWidth="1"/>
    <col min="11" max="11" width="19.109375" bestFit="1" customWidth="1"/>
    <col min="12" max="12" width="6.109375" style="1" bestFit="1" customWidth="1"/>
    <col min="13" max="13" width="5.6640625" bestFit="1" customWidth="1"/>
    <col min="14" max="14" width="7.21875" bestFit="1" customWidth="1"/>
    <col min="15" max="15" width="27.109375" bestFit="1" customWidth="1"/>
    <col min="16" max="16" width="13.6640625" style="1" bestFit="1" customWidth="1"/>
    <col min="17" max="17" width="6.109375" style="1" bestFit="1" customWidth="1"/>
    <col min="18" max="18" width="19.109375" style="1" bestFit="1" customWidth="1"/>
    <col min="19" max="19" width="6.109375" style="1" customWidth="1"/>
    <col min="21" max="21" width="7.21875" customWidth="1"/>
    <col min="22" max="22" width="27.109375" bestFit="1" customWidth="1"/>
    <col min="23" max="23" width="11.33203125" bestFit="1" customWidth="1"/>
    <col min="24" max="24" width="18.109375" bestFit="1" customWidth="1"/>
    <col min="25" max="25" width="9.33203125" bestFit="1" customWidth="1"/>
    <col min="26" max="26" width="12.21875" bestFit="1" customWidth="1"/>
    <col min="27" max="27" width="31.88671875" bestFit="1" customWidth="1"/>
    <col min="28" max="28" width="10.33203125" bestFit="1" customWidth="1"/>
  </cols>
  <sheetData>
    <row r="1" spans="1:28" ht="15" thickBot="1" x14ac:dyDescent="0.35">
      <c r="B1" s="135" t="s">
        <v>120</v>
      </c>
      <c r="C1" s="136"/>
      <c r="D1" s="136"/>
      <c r="E1" s="136"/>
      <c r="F1" s="137"/>
      <c r="H1" s="184" t="s">
        <v>117</v>
      </c>
      <c r="I1" s="185"/>
      <c r="J1" s="185"/>
      <c r="K1" s="185"/>
      <c r="L1" s="186"/>
      <c r="N1" s="135" t="s">
        <v>388</v>
      </c>
      <c r="O1" s="136"/>
      <c r="P1" s="136"/>
      <c r="Q1" s="136"/>
      <c r="R1" s="136"/>
      <c r="S1" s="137"/>
      <c r="U1" s="258" t="s">
        <v>364</v>
      </c>
      <c r="V1" s="259" t="s">
        <v>36</v>
      </c>
      <c r="W1" s="260" t="s">
        <v>365</v>
      </c>
      <c r="X1" s="259" t="s">
        <v>387</v>
      </c>
      <c r="Y1" s="261" t="s">
        <v>383</v>
      </c>
      <c r="Z1" s="259" t="s">
        <v>305</v>
      </c>
      <c r="AA1" s="259" t="s">
        <v>144</v>
      </c>
      <c r="AB1" s="260" t="s">
        <v>0</v>
      </c>
    </row>
    <row r="2" spans="1:28" ht="29.4" thickBot="1" x14ac:dyDescent="0.35">
      <c r="A2" s="1" t="s">
        <v>144</v>
      </c>
      <c r="B2" s="138" t="s">
        <v>364</v>
      </c>
      <c r="C2" s="139" t="s">
        <v>36</v>
      </c>
      <c r="D2" s="141" t="s">
        <v>365</v>
      </c>
      <c r="E2" s="139" t="s">
        <v>387</v>
      </c>
      <c r="F2" s="140" t="s">
        <v>383</v>
      </c>
      <c r="G2" s="1" t="s">
        <v>144</v>
      </c>
      <c r="H2" s="187" t="s">
        <v>364</v>
      </c>
      <c r="I2" s="188" t="s">
        <v>36</v>
      </c>
      <c r="J2" s="189" t="s">
        <v>365</v>
      </c>
      <c r="K2" s="188" t="s">
        <v>387</v>
      </c>
      <c r="L2" s="190" t="s">
        <v>383</v>
      </c>
      <c r="M2" s="1" t="s">
        <v>144</v>
      </c>
      <c r="N2" s="142" t="s">
        <v>364</v>
      </c>
      <c r="O2" s="139" t="s">
        <v>36</v>
      </c>
      <c r="P2" s="139" t="s">
        <v>305</v>
      </c>
      <c r="Q2" s="141" t="s">
        <v>365</v>
      </c>
      <c r="R2" s="139" t="s">
        <v>387</v>
      </c>
      <c r="S2" s="140" t="s">
        <v>383</v>
      </c>
      <c r="U2" s="264">
        <f>B3</f>
        <v>172</v>
      </c>
      <c r="V2" s="265" t="str">
        <f t="shared" ref="V2" si="0">C3</f>
        <v>Littleton Target Masters</v>
      </c>
      <c r="W2" s="266">
        <f>D3</f>
        <v>189</v>
      </c>
      <c r="X2" s="265" t="str">
        <f t="shared" ref="X2:X4" si="1">E3</f>
        <v>Bob Last Name12</v>
      </c>
      <c r="Y2" s="266">
        <f t="shared" ref="Y2:Y4" si="2">F3</f>
        <v>48</v>
      </c>
      <c r="Z2" s="266" t="s">
        <v>120</v>
      </c>
      <c r="AA2" s="266" t="s">
        <v>887</v>
      </c>
      <c r="AB2" s="267" t="str">
        <f>IFERROR(INDEX('Tournament List'!A:A,MATCH(U2&amp;"-1",'Tournament List'!T:T,0)),"")</f>
        <v>24-1011</v>
      </c>
    </row>
    <row r="3" spans="1:28" ht="15" thickBot="1" x14ac:dyDescent="0.35">
      <c r="A3" s="157">
        <v>1</v>
      </c>
      <c r="B3" s="158">
        <f>IFERROR(INDEX('Tournament List'!S:S,MATCH(INDEX('Skeet Ind Concurrent Ranking'!A:A,MATCH(A3,'Skeet Ind Concurrent Ranking'!BO:BO,0)),'Tournament List'!A:A,0)),"")</f>
        <v>172</v>
      </c>
      <c r="C3" s="159" t="str">
        <f>IFERROR(INDEX('Tournament List'!V:V,MATCH(B3,'Tournament List'!S:S,0)),"")</f>
        <v>Littleton Target Masters</v>
      </c>
      <c r="D3" s="160">
        <f>IFERROR(INDEX('Tournament List'!Y:Y,MATCH(B3&amp;"-1",'Tournament List'!U:U,0)),"")</f>
        <v>189</v>
      </c>
      <c r="E3" s="161" t="str">
        <f>IFERROR(INDEX('Tournament List'!D:D,MATCH(B3&amp;"-1",'Tournament List'!T:T,0)),"")</f>
        <v>Bob Last Name12</v>
      </c>
      <c r="F3" s="162">
        <f>IFERROR(INDEX('Tournament List'!AB:AB,MATCH(B3&amp;"-1",'Tournament List'!T:T,0)),"")</f>
        <v>48</v>
      </c>
      <c r="G3" s="174">
        <v>1</v>
      </c>
      <c r="H3" s="175">
        <f>IFERROR(INDEX('Tournament List'!S:S,MATCH(INDEX('Skeet Ind Concurrent Ranking'!A:A,MATCH(G3,'Skeet Ind Concurrent Ranking'!AK:AK,0)),'Tournament List'!A:A,0)),"")</f>
        <v>118</v>
      </c>
      <c r="I3" s="176" t="str">
        <f>IFERROR(INDEX('Tournament List'!V:V,MATCH(H3,'Tournament List'!S:S,0)),"")</f>
        <v>High Plains Drifters</v>
      </c>
      <c r="J3" s="177">
        <f>IFERROR(INDEX('Tournament List'!Y:Y,MATCH(H3&amp;"-1",'Tournament List'!U:U,0)),"")</f>
        <v>277</v>
      </c>
      <c r="K3" s="178" t="str">
        <f>IFERROR(INDEX('Tournament List'!D:D,MATCH(H3&amp;"-1",'Tournament List'!T:T,0)),"")</f>
        <v>Blake Last Name7</v>
      </c>
      <c r="L3" s="179">
        <f>IFERROR(INDEX('Tournament List'!AB:AB,MATCH(H3&amp;"-1",'Tournament List'!T:T,0)),"")</f>
        <v>97</v>
      </c>
      <c r="M3" s="174">
        <v>1</v>
      </c>
      <c r="N3" s="175">
        <f>IFERROR(INDEX('Tournament List'!S:S,MATCH(INDEX('Skeet Ind Concurrent Ranking'!A:A,MATCH(M3,'Skeet Ind Concurrent Ranking'!L:L,0)),'Tournament List'!A:A,0)),"")</f>
        <v>118</v>
      </c>
      <c r="O3" s="176" t="str">
        <f>IFERROR(INDEX('Tournament List'!V:V,MATCH(N3,'Tournament List'!S:S,0)),"")</f>
        <v>High Plains Drifters</v>
      </c>
      <c r="P3" s="231" t="str">
        <f>IFERROR(INDEX('Squad Listing'!D:D,MATCH(N3,'Squad Listing'!A:A,0)),"")</f>
        <v>Intermediate</v>
      </c>
      <c r="Q3" s="232">
        <f>IFERROR(INDEX('Tournament List'!Y:Y,MATCH(N3&amp;"-1",'Tournament List'!U:U,0)),"")</f>
        <v>277</v>
      </c>
      <c r="R3" s="178" t="str">
        <f>IFERROR(INDEX('Tournament List'!D:D,MATCH(N3&amp;"-1",'Tournament List'!T:T,0)),"")</f>
        <v>Blake Last Name7</v>
      </c>
      <c r="S3" s="179">
        <f>IFERROR(INDEX('Tournament List'!AB:AB,MATCH(N3&amp;"-1",'Tournament List'!T:T,0)),"")</f>
        <v>97</v>
      </c>
      <c r="U3" s="268">
        <f>U2</f>
        <v>172</v>
      </c>
      <c r="V3" s="262" t="str">
        <f t="shared" ref="V3:V4" si="3">V2</f>
        <v>Littleton Target Masters</v>
      </c>
      <c r="W3" s="263">
        <f t="shared" ref="W3:W4" si="4">W2</f>
        <v>189</v>
      </c>
      <c r="X3" s="262" t="str">
        <f t="shared" si="1"/>
        <v>Jill Last Name18</v>
      </c>
      <c r="Y3" s="262">
        <f t="shared" si="2"/>
        <v>90</v>
      </c>
      <c r="Z3" s="262" t="str">
        <f t="shared" ref="Z3:AA4" si="5">Z2</f>
        <v>Collegiate</v>
      </c>
      <c r="AA3" s="262" t="str">
        <f t="shared" ref="AA3:AA4" si="6">AA2</f>
        <v>Collegiate Skeet Team Champion</v>
      </c>
      <c r="AB3" s="269" t="str">
        <f>IFERROR(INDEX('Tournament List'!A:A,MATCH(U3&amp;"-2",'Tournament List'!T:T,0)),"")</f>
        <v>24-1017</v>
      </c>
    </row>
    <row r="4" spans="1:28" ht="15" thickBot="1" x14ac:dyDescent="0.35">
      <c r="A4" s="163"/>
      <c r="B4" s="168"/>
      <c r="C4" s="169"/>
      <c r="D4" s="170"/>
      <c r="E4" s="164" t="str">
        <f>IFERROR(INDEX('Tournament List'!D:D,MATCH(B3&amp;"-2",'Tournament List'!T:T,0)),"")</f>
        <v>Jill Last Name18</v>
      </c>
      <c r="F4" s="165">
        <f>IFERROR(INDEX('Tournament List'!AB:AB,MATCH(B3&amp;"-2",'Tournament List'!T:T,0)),"")</f>
        <v>90</v>
      </c>
      <c r="G4" s="212"/>
      <c r="H4" s="127"/>
      <c r="I4" s="128"/>
      <c r="J4" s="129"/>
      <c r="K4" s="180" t="str">
        <f>IFERROR(INDEX('Tournament List'!D:D,MATCH(H3&amp;"-2",'Tournament List'!T:T,0)),"")</f>
        <v>Shelly Last Name31</v>
      </c>
      <c r="L4" s="181">
        <f>IFERROR(INDEX('Tournament List'!AB:AB,MATCH(H3&amp;"-2",'Tournament List'!T:T,0)),"")</f>
        <v>92</v>
      </c>
      <c r="M4" s="212"/>
      <c r="N4" s="127"/>
      <c r="O4" s="128"/>
      <c r="P4" s="129"/>
      <c r="Q4" s="129"/>
      <c r="R4" s="180" t="str">
        <f>IFERROR(INDEX('Tournament List'!D:D,MATCH(N3&amp;"-2",'Tournament List'!T:T,0)),"")</f>
        <v>Shelly Last Name31</v>
      </c>
      <c r="S4" s="181">
        <f>IFERROR(INDEX('Tournament List'!AB:AB,MATCH(N3&amp;"-2",'Tournament List'!T:T,0)),"")</f>
        <v>92</v>
      </c>
      <c r="U4" s="270">
        <f t="shared" ref="U4" si="7">U3</f>
        <v>172</v>
      </c>
      <c r="V4" s="271" t="str">
        <f t="shared" si="3"/>
        <v>Littleton Target Masters</v>
      </c>
      <c r="W4" s="272">
        <f t="shared" si="4"/>
        <v>189</v>
      </c>
      <c r="X4" s="271" t="str">
        <f t="shared" si="1"/>
        <v>Judy Last Name30</v>
      </c>
      <c r="Y4" s="271">
        <f t="shared" si="2"/>
        <v>51</v>
      </c>
      <c r="Z4" s="271" t="str">
        <f t="shared" si="5"/>
        <v>Collegiate</v>
      </c>
      <c r="AA4" s="271" t="str">
        <f t="shared" si="6"/>
        <v>Collegiate Skeet Team Champion</v>
      </c>
      <c r="AB4" s="273" t="str">
        <f>IFERROR(INDEX('Tournament List'!A:A,MATCH(U4&amp;"-3",'Tournament List'!T:T,0)),"")</f>
        <v>24-1029</v>
      </c>
    </row>
    <row r="5" spans="1:28" ht="15" thickBot="1" x14ac:dyDescent="0.35">
      <c r="A5" s="163"/>
      <c r="B5" s="171"/>
      <c r="C5" s="172"/>
      <c r="D5" s="173"/>
      <c r="E5" s="166" t="str">
        <f>IFERROR(INDEX('Tournament List'!D:D,MATCH(B3&amp;"-3",'Tournament List'!T:T,0)),"")</f>
        <v>Judy Last Name30</v>
      </c>
      <c r="F5" s="167">
        <f>IFERROR(INDEX('Tournament List'!AB:AB,MATCH(B3&amp;"-3",'Tournament List'!T:T,0)),"")</f>
        <v>51</v>
      </c>
      <c r="G5" s="212"/>
      <c r="H5" s="130"/>
      <c r="I5" s="131"/>
      <c r="J5" s="132"/>
      <c r="K5" s="182" t="str">
        <f>IFERROR(INDEX('Tournament List'!D:D,MATCH(H3&amp;"-3",'Tournament List'!T:T,0)),"")</f>
        <v>Terry Last Name43</v>
      </c>
      <c r="L5" s="183">
        <f>IFERROR(INDEX('Tournament List'!AB:AB,MATCH(H3&amp;"-3",'Tournament List'!T:T,0)),"")</f>
        <v>88</v>
      </c>
      <c r="M5" s="212"/>
      <c r="N5" s="130"/>
      <c r="O5" s="131"/>
      <c r="P5" s="132"/>
      <c r="Q5" s="132"/>
      <c r="R5" s="182" t="str">
        <f>IFERROR(INDEX('Tournament List'!D:D,MATCH(N3&amp;"-3",'Tournament List'!T:T,0)),"")</f>
        <v>Terry Last Name43</v>
      </c>
      <c r="S5" s="183">
        <f>IFERROR(INDEX('Tournament List'!AB:AB,MATCH(N3&amp;"-3",'Tournament List'!T:T,0)),"")</f>
        <v>88</v>
      </c>
      <c r="U5" s="264">
        <f>B6</f>
        <v>286</v>
      </c>
      <c r="V5" s="265" t="str">
        <f t="shared" ref="V5" si="8">C6</f>
        <v>Wiggins Tigers Sporting Club</v>
      </c>
      <c r="W5" s="266">
        <f>D6</f>
        <v>177.1</v>
      </c>
      <c r="X5" s="265" t="str">
        <f t="shared" ref="X5:X10" si="9">E6</f>
        <v>Chad Last Name39</v>
      </c>
      <c r="Y5" s="266">
        <f t="shared" ref="Y5:Y10" si="10">F6</f>
        <v>43</v>
      </c>
      <c r="Z5" s="266" t="s">
        <v>120</v>
      </c>
      <c r="AA5" s="266" t="s">
        <v>886</v>
      </c>
      <c r="AB5" s="267" t="str">
        <f>IFERROR(INDEX('Tournament List'!A:A,MATCH(U5&amp;"-1",'Tournament List'!T:T,0)),"")</f>
        <v>24-1038</v>
      </c>
    </row>
    <row r="6" spans="1:28" ht="15" thickBot="1" x14ac:dyDescent="0.35">
      <c r="A6" s="174">
        <v>2</v>
      </c>
      <c r="B6" s="175">
        <f>IFERROR(INDEX('Tournament List'!S:S,MATCH(INDEX('Skeet Ind Concurrent Ranking'!A:A,MATCH(A6,'Skeet Ind Concurrent Ranking'!BO:BO,0)),'Tournament List'!A:A,0)),"")</f>
        <v>286</v>
      </c>
      <c r="C6" s="176" t="str">
        <f>IFERROR(INDEX('Tournament List'!V:V,MATCH(B6,'Tournament List'!S:S,0)),"")</f>
        <v>Wiggins Tigers Sporting Club</v>
      </c>
      <c r="D6" s="177">
        <f>IFERROR(INDEX('Tournament List'!Y:Y,MATCH(B6&amp;"-1",'Tournament List'!U:U,0)),"")</f>
        <v>177.1</v>
      </c>
      <c r="E6" s="178" t="str">
        <f>IFERROR(INDEX('Tournament List'!D:D,MATCH(B6&amp;"-1",'Tournament List'!T:T,0)),"")</f>
        <v>Chad Last Name39</v>
      </c>
      <c r="F6" s="179">
        <f>IFERROR(INDEX('Tournament List'!AB:AB,MATCH(B6&amp;"-1",'Tournament List'!T:T,0)),"")</f>
        <v>43</v>
      </c>
      <c r="G6" s="157">
        <v>2</v>
      </c>
      <c r="H6" s="158">
        <f>IFERROR(INDEX('Tournament List'!S:S,MATCH(INDEX('Skeet Ind Concurrent Ranking'!A:A,MATCH(G6,'Skeet Ind Concurrent Ranking'!AK:AK,0)),'Tournament List'!A:A,0)),"")</f>
        <v>61</v>
      </c>
      <c r="I6" s="159" t="str">
        <f>IFERROR(INDEX('Tournament List'!V:V,MATCH(H6,'Tournament List'!S:S,0)),"")</f>
        <v>Forge Christian Shooting Team</v>
      </c>
      <c r="J6" s="160">
        <f>IFERROR(INDEX('Tournament List'!Y:Y,MATCH(H6&amp;"-1",'Tournament List'!U:U,0)),"")</f>
        <v>231</v>
      </c>
      <c r="K6" s="161" t="str">
        <f>IFERROR(INDEX('Tournament List'!D:D,MATCH(H6&amp;"-1",'Tournament List'!T:T,0)),"")</f>
        <v>Christy Last Name10</v>
      </c>
      <c r="L6" s="162">
        <f>IFERROR(INDEX('Tournament List'!AB:AB,MATCH(H6&amp;"-1",'Tournament List'!T:T,0)),"")</f>
        <v>93</v>
      </c>
      <c r="M6" s="213">
        <v>2</v>
      </c>
      <c r="N6" s="214">
        <f>IFERROR(INDEX('Tournament List'!S:S,MATCH(INDEX('Skeet Ind Concurrent Ranking'!A:A,MATCH(M6,'Skeet Ind Concurrent Ranking'!L:L,0)),'Tournament List'!A:A,0)),"")</f>
        <v>7</v>
      </c>
      <c r="O6" s="215" t="str">
        <f>IFERROR(INDEX('Tournament List'!V:V,MATCH(N6,'Tournament List'!S:S,0)),"")</f>
        <v>Brighton Clay Crushers</v>
      </c>
      <c r="P6" s="216" t="str">
        <f>IFERROR(INDEX('Squad Listing'!D:D,MATCH(N6,'Squad Listing'!A:A,0)),"")</f>
        <v>Junior Varsity</v>
      </c>
      <c r="Q6" s="217">
        <f>IFERROR(INDEX('Tournament List'!Y:Y,MATCH(N6&amp;"-1",'Tournament List'!U:U,0)),"")</f>
        <v>239.2</v>
      </c>
      <c r="R6" s="218" t="str">
        <f>IFERROR(INDEX('Tournament List'!D:D,MATCH(N6&amp;"-1",'Tournament List'!T:T,0)),"")</f>
        <v>Tom Last Name23</v>
      </c>
      <c r="S6" s="219">
        <f>IFERROR(INDEX('Tournament List'!AB:AB,MATCH(N6&amp;"-1",'Tournament List'!T:T,0)),"")</f>
        <v>61</v>
      </c>
      <c r="U6" s="268">
        <f>U5</f>
        <v>286</v>
      </c>
      <c r="V6" s="262" t="str">
        <f t="shared" ref="V6:V7" si="11">V5</f>
        <v>Wiggins Tigers Sporting Club</v>
      </c>
      <c r="W6" s="263">
        <f t="shared" ref="W6:W7" si="12">W5</f>
        <v>177.1</v>
      </c>
      <c r="X6" s="262" t="str">
        <f t="shared" si="9"/>
        <v>Becky Last Name27</v>
      </c>
      <c r="Y6" s="262">
        <f t="shared" si="10"/>
        <v>45</v>
      </c>
      <c r="Z6" s="262" t="str">
        <f t="shared" ref="Z6:Z7" si="13">Z5</f>
        <v>Collegiate</v>
      </c>
      <c r="AA6" s="262" t="str">
        <f t="shared" ref="AA6:AA7" si="14">AA5</f>
        <v>Collegiate Skeet Team Runner Up</v>
      </c>
      <c r="AB6" s="269" t="str">
        <f>IFERROR(INDEX('Tournament List'!A:A,MATCH(U6&amp;"-2",'Tournament List'!T:T,0)),"")</f>
        <v>24-1026</v>
      </c>
    </row>
    <row r="7" spans="1:28" ht="15" thickBot="1" x14ac:dyDescent="0.35">
      <c r="A7" s="212"/>
      <c r="B7" s="127"/>
      <c r="C7" s="128"/>
      <c r="D7" s="129"/>
      <c r="E7" s="180" t="str">
        <f>IFERROR(INDEX('Tournament List'!D:D,MATCH(B6&amp;"-2",'Tournament List'!T:T,0)),"")</f>
        <v>Becky Last Name27</v>
      </c>
      <c r="F7" s="181">
        <f>IFERROR(INDEX('Tournament List'!AB:AB,MATCH(B6&amp;"-2",'Tournament List'!T:T,0)),"")</f>
        <v>45</v>
      </c>
      <c r="G7" s="163"/>
      <c r="H7" s="168"/>
      <c r="I7" s="169"/>
      <c r="J7" s="170"/>
      <c r="K7" s="164" t="str">
        <f>IFERROR(INDEX('Tournament List'!D:D,MATCH(H6&amp;"-2",'Tournament List'!T:T,0)),"")</f>
        <v>Steve Last Name22</v>
      </c>
      <c r="L7" s="165">
        <f>IFERROR(INDEX('Tournament List'!AB:AB,MATCH(H6&amp;"-2",'Tournament List'!T:T,0)),"")</f>
        <v>70</v>
      </c>
      <c r="M7" s="220"/>
      <c r="N7" s="225"/>
      <c r="O7" s="226"/>
      <c r="P7" s="227"/>
      <c r="Q7" s="227"/>
      <c r="R7" s="221" t="str">
        <f>IFERROR(INDEX('Tournament List'!D:D,MATCH(N6&amp;"-2",'Tournament List'!T:T,0)),"")</f>
        <v>Bill Last Name11</v>
      </c>
      <c r="S7" s="222">
        <f>IFERROR(INDEX('Tournament List'!AB:AB,MATCH(N6&amp;"-2",'Tournament List'!T:T,0)),"")</f>
        <v>98</v>
      </c>
      <c r="U7" s="270">
        <f t="shared" ref="U7" si="15">U6</f>
        <v>286</v>
      </c>
      <c r="V7" s="271" t="str">
        <f t="shared" si="11"/>
        <v>Wiggins Tigers Sporting Club</v>
      </c>
      <c r="W7" s="272">
        <f t="shared" si="12"/>
        <v>177.1</v>
      </c>
      <c r="X7" s="271" t="str">
        <f t="shared" si="9"/>
        <v>Daniel Last Name15</v>
      </c>
      <c r="Y7" s="271">
        <f t="shared" si="10"/>
        <v>89</v>
      </c>
      <c r="Z7" s="271" t="str">
        <f t="shared" si="13"/>
        <v>Collegiate</v>
      </c>
      <c r="AA7" s="271" t="str">
        <f t="shared" si="14"/>
        <v>Collegiate Skeet Team Runner Up</v>
      </c>
      <c r="AB7" s="273" t="str">
        <f>IFERROR(INDEX('Tournament List'!A:A,MATCH(U7&amp;"-3",'Tournament List'!T:T,0)),"")</f>
        <v>24-1014</v>
      </c>
    </row>
    <row r="8" spans="1:28" ht="15" thickBot="1" x14ac:dyDescent="0.35">
      <c r="A8" s="212"/>
      <c r="B8" s="130"/>
      <c r="C8" s="131"/>
      <c r="D8" s="132"/>
      <c r="E8" s="182" t="str">
        <f>IFERROR(INDEX('Tournament List'!D:D,MATCH(B6&amp;"-3",'Tournament List'!T:T,0)),"")</f>
        <v>Daniel Last Name15</v>
      </c>
      <c r="F8" s="183">
        <f>IFERROR(INDEX('Tournament List'!AB:AB,MATCH(B6&amp;"-3",'Tournament List'!T:T,0)),"")</f>
        <v>89</v>
      </c>
      <c r="G8" s="163"/>
      <c r="H8" s="171"/>
      <c r="I8" s="172"/>
      <c r="J8" s="173"/>
      <c r="K8" s="166" t="str">
        <f>IFERROR(INDEX('Tournament List'!D:D,MATCH(H6&amp;"-3",'Tournament List'!T:T,0)),"")</f>
        <v>Marty Last Name34</v>
      </c>
      <c r="L8" s="167">
        <f>IFERROR(INDEX('Tournament List'!AB:AB,MATCH(H6&amp;"-3",'Tournament List'!T:T,0)),"")</f>
        <v>68</v>
      </c>
      <c r="M8" s="220"/>
      <c r="N8" s="228"/>
      <c r="O8" s="229"/>
      <c r="P8" s="230"/>
      <c r="Q8" s="230"/>
      <c r="R8" s="223" t="str">
        <f>IFERROR(INDEX('Tournament List'!D:D,MATCH(N6&amp;"-3",'Tournament List'!T:T,0)),"")</f>
        <v>Alan Last Name29</v>
      </c>
      <c r="S8" s="224">
        <f>IFERROR(INDEX('Tournament List'!AB:AB,MATCH(N6&amp;"-3",'Tournament List'!T:T,0)),"")</f>
        <v>80</v>
      </c>
      <c r="U8" s="264" t="str">
        <f>B9</f>
        <v/>
      </c>
      <c r="V8" s="265" t="str">
        <f t="shared" ref="V8" si="16">C9</f>
        <v/>
      </c>
      <c r="W8" s="266" t="str">
        <f>D9</f>
        <v/>
      </c>
      <c r="X8" s="265" t="str">
        <f t="shared" si="9"/>
        <v/>
      </c>
      <c r="Y8" s="266" t="str">
        <f t="shared" si="10"/>
        <v/>
      </c>
      <c r="Z8" s="266" t="s">
        <v>120</v>
      </c>
      <c r="AA8" s="266" t="s">
        <v>888</v>
      </c>
      <c r="AB8" s="267" t="str">
        <f>IFERROR(INDEX('Tournament List'!A:A,MATCH(U8&amp;"-1",'Tournament List'!T:T,0)),"")</f>
        <v/>
      </c>
    </row>
    <row r="9" spans="1:28" ht="15" thickBot="1" x14ac:dyDescent="0.35">
      <c r="A9" s="157">
        <v>3</v>
      </c>
      <c r="B9" s="158" t="str">
        <f>IFERROR(INDEX('Tournament List'!S:S,MATCH(INDEX('Skeet Ind Concurrent Ranking'!A:A,MATCH(A9,'Skeet Ind Concurrent Ranking'!BO:BO,0)),'Tournament List'!A:A,0)),"")</f>
        <v/>
      </c>
      <c r="C9" s="159" t="str">
        <f>IFERROR(INDEX('Tournament List'!V:V,MATCH(B9,'Tournament List'!S:S,0)),"")</f>
        <v/>
      </c>
      <c r="D9" s="160" t="str">
        <f>IFERROR(INDEX('Tournament List'!Y:Y,MATCH(B9&amp;"-1",'Tournament List'!U:U,0)),"")</f>
        <v/>
      </c>
      <c r="E9" s="161" t="str">
        <f>IFERROR(INDEX('Tournament List'!D:D,MATCH(B9&amp;"-1",'Tournament List'!T:T,0)),"")</f>
        <v/>
      </c>
      <c r="F9" s="162" t="str">
        <f>IFERROR(INDEX('Tournament List'!AB:AB,MATCH(B9&amp;"-1",'Tournament List'!T:T,0)),"")</f>
        <v/>
      </c>
      <c r="G9" s="174">
        <v>3</v>
      </c>
      <c r="H9" s="175">
        <f>IFERROR(INDEX('Tournament List'!S:S,MATCH(INDEX('Skeet Ind Concurrent Ranking'!A:A,MATCH(G9,'Skeet Ind Concurrent Ranking'!AK:AK,0)),'Tournament List'!A:A,0)),"")</f>
        <v>232</v>
      </c>
      <c r="I9" s="176" t="str">
        <f>IFERROR(INDEX('Tournament List'!V:V,MATCH(H9,'Tournament List'!S:S,0)),"")</f>
        <v>Rocky Mountain Clay Busters</v>
      </c>
      <c r="J9" s="177">
        <f>IFERROR(INDEX('Tournament List'!Y:Y,MATCH(H9&amp;"-1",'Tournament List'!U:U,0)),"")</f>
        <v>177</v>
      </c>
      <c r="K9" s="178" t="str">
        <f>IFERROR(INDEX('Tournament List'!D:D,MATCH(H9&amp;"-1",'Tournament List'!T:T,0)),"")</f>
        <v>Trisha Last Name44</v>
      </c>
      <c r="L9" s="179">
        <f>IFERROR(INDEX('Tournament List'!AB:AB,MATCH(H9&amp;"-1",'Tournament List'!T:T,0)),"")</f>
        <v>72</v>
      </c>
      <c r="M9" s="174">
        <v>3</v>
      </c>
      <c r="N9" s="175">
        <f>IFERROR(INDEX('Tournament List'!S:S,MATCH(INDEX('Skeet Ind Concurrent Ranking'!A:A,MATCH(M9,'Skeet Ind Concurrent Ranking'!L:L,0)),'Tournament List'!A:A,0)),"")</f>
        <v>127</v>
      </c>
      <c r="O9" s="176" t="str">
        <f>IFERROR(INDEX('Tournament List'!V:V,MATCH(N9,'Tournament List'!S:S,0)),"")</f>
        <v>High Plains Drifters</v>
      </c>
      <c r="P9" s="231" t="str">
        <f>IFERROR(INDEX('Squad Listing'!D:D,MATCH(N9,'Squad Listing'!A:A,0)),"")</f>
        <v>Open</v>
      </c>
      <c r="Q9" s="232">
        <f>IFERROR(INDEX('Tournament List'!Y:Y,MATCH(N9&amp;"-1",'Tournament List'!U:U,0)),"")</f>
        <v>239.1</v>
      </c>
      <c r="R9" s="178" t="str">
        <f>IFERROR(INDEX('Tournament List'!D:D,MATCH(N9&amp;"-1",'Tournament List'!T:T,0)),"")</f>
        <v>Jack Last Name19</v>
      </c>
      <c r="S9" s="179">
        <f>IFERROR(INDEX('Tournament List'!AB:AB,MATCH(N9&amp;"-1",'Tournament List'!T:T,0)),"")</f>
        <v>82</v>
      </c>
      <c r="U9" s="268" t="str">
        <f>U8</f>
        <v/>
      </c>
      <c r="V9" s="262" t="str">
        <f t="shared" ref="V9:V10" si="17">V8</f>
        <v/>
      </c>
      <c r="W9" s="263" t="str">
        <f t="shared" ref="W9:W10" si="18">W8</f>
        <v/>
      </c>
      <c r="X9" s="262" t="str">
        <f t="shared" si="9"/>
        <v/>
      </c>
      <c r="Y9" s="262" t="str">
        <f t="shared" si="10"/>
        <v/>
      </c>
      <c r="Z9" s="262" t="str">
        <f t="shared" ref="Z9:Z10" si="19">Z8</f>
        <v>Collegiate</v>
      </c>
      <c r="AA9" s="262" t="str">
        <f t="shared" ref="AA9:AA10" si="20">AA8</f>
        <v>Collegiate Skeet Team 3rd</v>
      </c>
      <c r="AB9" s="269" t="str">
        <f>IFERROR(INDEX('Tournament List'!A:A,MATCH(U9&amp;"-2",'Tournament List'!T:T,0)),"")</f>
        <v/>
      </c>
    </row>
    <row r="10" spans="1:28" ht="15" thickBot="1" x14ac:dyDescent="0.35">
      <c r="A10" s="163"/>
      <c r="B10" s="168"/>
      <c r="C10" s="169"/>
      <c r="D10" s="170"/>
      <c r="E10" s="164" t="str">
        <f>IFERROR(INDEX('Tournament List'!D:D,MATCH(B9&amp;"-2",'Tournament List'!T:T,0)),"")</f>
        <v/>
      </c>
      <c r="F10" s="165" t="str">
        <f>IFERROR(INDEX('Tournament List'!AB:AB,MATCH(B9&amp;"-2",'Tournament List'!T:T,0)),"")</f>
        <v/>
      </c>
      <c r="G10" s="212"/>
      <c r="H10" s="127"/>
      <c r="I10" s="128"/>
      <c r="J10" s="129"/>
      <c r="K10" s="180" t="str">
        <f>IFERROR(INDEX('Tournament List'!D:D,MATCH(H9&amp;"-2",'Tournament List'!T:T,0)),"")</f>
        <v>Henry Last Name14</v>
      </c>
      <c r="L10" s="181">
        <f>IFERROR(INDEX('Tournament List'!AB:AB,MATCH(H9&amp;"-2",'Tournament List'!T:T,0)),"")</f>
        <v>76</v>
      </c>
      <c r="M10" s="212"/>
      <c r="N10" s="127"/>
      <c r="O10" s="128"/>
      <c r="P10" s="129"/>
      <c r="Q10" s="129"/>
      <c r="R10" s="180" t="str">
        <f>IFERROR(INDEX('Tournament List'!D:D,MATCH(N9&amp;"-2",'Tournament List'!T:T,0)),"")</f>
        <v>Harry Last Name25</v>
      </c>
      <c r="S10" s="181">
        <f>IFERROR(INDEX('Tournament List'!AB:AB,MATCH(N9&amp;"-2",'Tournament List'!T:T,0)),"")</f>
        <v>72</v>
      </c>
      <c r="U10" s="270" t="str">
        <f t="shared" ref="U10" si="21">U9</f>
        <v/>
      </c>
      <c r="V10" s="271" t="str">
        <f t="shared" si="17"/>
        <v/>
      </c>
      <c r="W10" s="272" t="str">
        <f t="shared" si="18"/>
        <v/>
      </c>
      <c r="X10" s="271" t="str">
        <f t="shared" si="9"/>
        <v/>
      </c>
      <c r="Y10" s="271" t="str">
        <f t="shared" si="10"/>
        <v/>
      </c>
      <c r="Z10" s="271" t="str">
        <f t="shared" si="19"/>
        <v>Collegiate</v>
      </c>
      <c r="AA10" s="271" t="str">
        <f t="shared" si="20"/>
        <v>Collegiate Skeet Team 3rd</v>
      </c>
      <c r="AB10" s="273" t="str">
        <f>IFERROR(INDEX('Tournament List'!A:A,MATCH(U10&amp;"-3",'Tournament List'!T:T,0)),"")</f>
        <v/>
      </c>
    </row>
    <row r="11" spans="1:28" ht="15" thickBot="1" x14ac:dyDescent="0.35">
      <c r="A11" s="163"/>
      <c r="B11" s="171"/>
      <c r="C11" s="172"/>
      <c r="D11" s="173"/>
      <c r="E11" s="166" t="str">
        <f>IFERROR(INDEX('Tournament List'!D:D,MATCH(B9&amp;"-3",'Tournament List'!T:T,0)),"")</f>
        <v/>
      </c>
      <c r="F11" s="167" t="str">
        <f>IFERROR(INDEX('Tournament List'!AB:AB,MATCH(B9&amp;"-3",'Tournament List'!T:T,0)),"")</f>
        <v/>
      </c>
      <c r="G11" s="212"/>
      <c r="H11" s="130"/>
      <c r="I11" s="131"/>
      <c r="J11" s="132"/>
      <c r="K11" s="182" t="str">
        <f>IFERROR(INDEX('Tournament List'!D:D,MATCH(H9&amp;"-3",'Tournament List'!T:T,0)),"")</f>
        <v>Kelly Last Name32</v>
      </c>
      <c r="L11" s="183">
        <f>IFERROR(INDEX('Tournament List'!AB:AB,MATCH(H9&amp;"-3",'Tournament List'!T:T,0)),"")</f>
        <v>29</v>
      </c>
      <c r="M11" s="212"/>
      <c r="N11" s="130"/>
      <c r="O11" s="131"/>
      <c r="P11" s="132"/>
      <c r="Q11" s="132"/>
      <c r="R11" s="182" t="str">
        <f>IFERROR(INDEX('Tournament List'!D:D,MATCH(N9&amp;"-3",'Tournament List'!T:T,0)),"")</f>
        <v>Will Last Name37</v>
      </c>
      <c r="S11" s="183">
        <f>IFERROR(INDEX('Tournament List'!AB:AB,MATCH(N9&amp;"-3",'Tournament List'!T:T,0)),"")</f>
        <v>85</v>
      </c>
      <c r="U11" s="264">
        <f>B15</f>
        <v>74</v>
      </c>
      <c r="V11" s="265" t="str">
        <f>C15</f>
        <v>Forge Christian Shooting Team</v>
      </c>
      <c r="W11" s="266">
        <f>D15</f>
        <v>154</v>
      </c>
      <c r="X11" s="265" t="str">
        <f>E15</f>
        <v>Sam Last Name46</v>
      </c>
      <c r="Y11" s="266">
        <f>F15</f>
        <v>32</v>
      </c>
      <c r="Z11" s="266" t="s">
        <v>119</v>
      </c>
      <c r="AA11" s="266" t="s">
        <v>889</v>
      </c>
      <c r="AB11" s="267" t="str">
        <f>IFERROR(INDEX('Tournament List'!A:A,MATCH(U11&amp;"-1",'Tournament List'!T:T,0)),"")</f>
        <v>24-1045</v>
      </c>
    </row>
    <row r="12" spans="1:28" ht="15" thickBot="1" x14ac:dyDescent="0.35">
      <c r="I12" s="1"/>
      <c r="K12" s="1"/>
      <c r="M12" s="213">
        <v>4</v>
      </c>
      <c r="N12" s="214">
        <f>IFERROR(INDEX('Tournament List'!S:S,MATCH(INDEX('Skeet Ind Concurrent Ranking'!A:A,MATCH(M12,'Skeet Ind Concurrent Ranking'!L:L,0)),'Tournament List'!A:A,0)),"")</f>
        <v>235</v>
      </c>
      <c r="O12" s="215" t="str">
        <f>IFERROR(INDEX('Tournament List'!V:V,MATCH(N12,'Tournament List'!S:S,0)),"")</f>
        <v>Rocky Mountain Clay Busters</v>
      </c>
      <c r="P12" s="216" t="str">
        <f>IFERROR(INDEX('Squad Listing'!D:D,MATCH(N12,'Squad Listing'!A:A,0)),"")</f>
        <v>Junior Varsity</v>
      </c>
      <c r="Q12" s="217">
        <f>IFERROR(INDEX('Tournament List'!Y:Y,MATCH(N12&amp;"-1",'Tournament List'!U:U,0)),"")</f>
        <v>239</v>
      </c>
      <c r="R12" s="218" t="str">
        <f>IFERROR(INDEX('Tournament List'!D:D,MATCH(N12&amp;"-1",'Tournament List'!T:T,0)),"")</f>
        <v>Gary Last Name26</v>
      </c>
      <c r="S12" s="219">
        <f>IFERROR(INDEX('Tournament List'!AB:AB,MATCH(N12&amp;"-1",'Tournament List'!T:T,0)),"")</f>
        <v>86</v>
      </c>
      <c r="U12" s="268">
        <f>U11</f>
        <v>74</v>
      </c>
      <c r="V12" s="262" t="str">
        <f t="shared" ref="V12:V13" si="22">V11</f>
        <v>Forge Christian Shooting Team</v>
      </c>
      <c r="W12" s="263">
        <f t="shared" ref="W12:W13" si="23">W11</f>
        <v>154</v>
      </c>
      <c r="X12" s="262" t="str">
        <f>E16</f>
        <v>Brad Last Name28</v>
      </c>
      <c r="Y12" s="262">
        <f>F16</f>
        <v>63</v>
      </c>
      <c r="Z12" s="262" t="str">
        <f t="shared" ref="Z12:Z13" si="24">Z11</f>
        <v>Varsity</v>
      </c>
      <c r="AA12" s="262" t="str">
        <f t="shared" ref="AA12:AA13" si="25">AA11</f>
        <v>Varsity Skeet Team Champion</v>
      </c>
      <c r="AB12" s="269" t="str">
        <f>IFERROR(INDEX('Tournament List'!A:A,MATCH(U12&amp;"-2",'Tournament List'!T:T,0)),"")</f>
        <v>24-1027</v>
      </c>
    </row>
    <row r="13" spans="1:28" ht="15" thickBot="1" x14ac:dyDescent="0.35">
      <c r="B13" s="198" t="s">
        <v>119</v>
      </c>
      <c r="C13" s="199"/>
      <c r="D13" s="199"/>
      <c r="E13" s="199"/>
      <c r="F13" s="200"/>
      <c r="H13" s="191" t="s">
        <v>116</v>
      </c>
      <c r="I13" s="192"/>
      <c r="J13" s="192"/>
      <c r="K13" s="192"/>
      <c r="L13" s="193"/>
      <c r="M13" s="220"/>
      <c r="N13" s="225"/>
      <c r="O13" s="226"/>
      <c r="P13" s="227"/>
      <c r="Q13" s="227"/>
      <c r="R13" s="221" t="str">
        <f>IFERROR(INDEX('Tournament List'!D:D,MATCH(N12&amp;"-2",'Tournament List'!T:T,0)),"")</f>
        <v>James Last Name8</v>
      </c>
      <c r="S13" s="222">
        <f>IFERROR(INDEX('Tournament List'!AB:AB,MATCH(N12&amp;"-2",'Tournament List'!T:T,0)),"")</f>
        <v>64</v>
      </c>
      <c r="U13" s="270">
        <f t="shared" ref="U13" si="26">U12</f>
        <v>74</v>
      </c>
      <c r="V13" s="271" t="str">
        <f t="shared" si="22"/>
        <v>Forge Christian Shooting Team</v>
      </c>
      <c r="W13" s="272">
        <f t="shared" si="23"/>
        <v>154</v>
      </c>
      <c r="X13" s="271" t="str">
        <f>E17</f>
        <v>Troy Last Name40</v>
      </c>
      <c r="Y13" s="271">
        <f>F17</f>
        <v>59</v>
      </c>
      <c r="Z13" s="271" t="str">
        <f t="shared" si="24"/>
        <v>Varsity</v>
      </c>
      <c r="AA13" s="271" t="str">
        <f t="shared" si="25"/>
        <v>Varsity Skeet Team Champion</v>
      </c>
      <c r="AB13" s="273" t="str">
        <f>IFERROR(INDEX('Tournament List'!A:A,MATCH(U13&amp;"-3",'Tournament List'!T:T,0)),"")</f>
        <v>24-1039</v>
      </c>
    </row>
    <row r="14" spans="1:28" ht="29.4" thickBot="1" x14ac:dyDescent="0.35">
      <c r="A14" s="1" t="s">
        <v>144</v>
      </c>
      <c r="B14" s="201" t="s">
        <v>364</v>
      </c>
      <c r="C14" s="202" t="s">
        <v>36</v>
      </c>
      <c r="D14" s="203" t="s">
        <v>365</v>
      </c>
      <c r="E14" s="202" t="s">
        <v>387</v>
      </c>
      <c r="F14" s="204" t="s">
        <v>383</v>
      </c>
      <c r="G14" s="1" t="s">
        <v>144</v>
      </c>
      <c r="H14" s="194" t="s">
        <v>364</v>
      </c>
      <c r="I14" s="195" t="s">
        <v>36</v>
      </c>
      <c r="J14" s="196" t="s">
        <v>365</v>
      </c>
      <c r="K14" s="195" t="s">
        <v>387</v>
      </c>
      <c r="L14" s="197" t="s">
        <v>383</v>
      </c>
      <c r="M14" s="220"/>
      <c r="N14" s="228"/>
      <c r="O14" s="229"/>
      <c r="P14" s="230"/>
      <c r="Q14" s="230"/>
      <c r="R14" s="223" t="str">
        <f>IFERROR(INDEX('Tournament List'!D:D,MATCH(N12&amp;"-3",'Tournament List'!T:T,0)),"")</f>
        <v>Stuart Last Name38</v>
      </c>
      <c r="S14" s="224">
        <f>IFERROR(INDEX('Tournament List'!AB:AB,MATCH(N12&amp;"-3",'Tournament List'!T:T,0)),"")</f>
        <v>89</v>
      </c>
      <c r="U14" s="264" t="str">
        <f>B18</f>
        <v/>
      </c>
      <c r="V14" s="265" t="str">
        <f>C18</f>
        <v/>
      </c>
      <c r="W14" s="266" t="str">
        <f>D18</f>
        <v/>
      </c>
      <c r="X14" s="265" t="str">
        <f>E18</f>
        <v/>
      </c>
      <c r="Y14" s="266" t="str">
        <f>F18</f>
        <v/>
      </c>
      <c r="Z14" s="266" t="s">
        <v>119</v>
      </c>
      <c r="AA14" s="266" t="s">
        <v>890</v>
      </c>
      <c r="AB14" s="267" t="str">
        <f>IFERROR(INDEX('Tournament List'!A:A,MATCH(U14&amp;"-1",'Tournament List'!T:T,0)),"")</f>
        <v/>
      </c>
    </row>
    <row r="15" spans="1:28" ht="15" thickBot="1" x14ac:dyDescent="0.35">
      <c r="A15" s="174">
        <v>1</v>
      </c>
      <c r="B15" s="175">
        <f>IFERROR(INDEX('Tournament List'!S:S,MATCH(INDEX('Skeet Ind Concurrent Ranking'!A:A,MATCH(A15,'Skeet Ind Concurrent Ranking'!BE:BE,0)),'Tournament List'!A:A,0)),"")</f>
        <v>74</v>
      </c>
      <c r="C15" s="176" t="str">
        <f>IFERROR(INDEX('Tournament List'!V:V,MATCH(B15,'Tournament List'!S:S,0)),"")</f>
        <v>Forge Christian Shooting Team</v>
      </c>
      <c r="D15" s="177">
        <f>IFERROR(INDEX('Tournament List'!Y:Y,MATCH(B15&amp;"-1",'Tournament List'!U:U,0)),"")</f>
        <v>154</v>
      </c>
      <c r="E15" s="178" t="str">
        <f>IFERROR(INDEX('Tournament List'!D:D,MATCH(B15&amp;"-1",'Tournament List'!T:T,0)),"")</f>
        <v>Sam Last Name46</v>
      </c>
      <c r="F15" s="179">
        <f>IFERROR(INDEX('Tournament List'!AB:AB,MATCH(B15&amp;"-1",'Tournament List'!T:T,0)),"")</f>
        <v>32</v>
      </c>
      <c r="G15" s="157">
        <v>1</v>
      </c>
      <c r="H15" s="158">
        <f>IFERROR(INDEX('Tournament List'!S:S,MATCH(INDEX('Skeet Ind Concurrent Ranking'!A:A,MATCH(G15,'Skeet Ind Concurrent Ranking'!AA:AA,0)),'Tournament List'!A:A,0)),"")</f>
        <v>10</v>
      </c>
      <c r="I15" s="159" t="str">
        <f>IFERROR(INDEX('Tournament List'!V:V,MATCH(H15,'Tournament List'!S:S,0)),"")</f>
        <v>Brighton Clay Crushers</v>
      </c>
      <c r="J15" s="160">
        <f>IFERROR(INDEX('Tournament List'!Y:Y,MATCH(H15&amp;"-1",'Tournament List'!U:U,0)),"")</f>
        <v>220</v>
      </c>
      <c r="K15" s="161" t="str">
        <f>IFERROR(INDEX('Tournament List'!D:D,MATCH(H15&amp;"-1",'Tournament List'!T:T,0)),"")</f>
        <v>Joan Last Name17</v>
      </c>
      <c r="L15" s="162">
        <f>IFERROR(INDEX('Tournament List'!AB:AB,MATCH(H15&amp;"-1",'Tournament List'!T:T,0)),"")</f>
        <v>60</v>
      </c>
      <c r="M15" s="174">
        <v>5</v>
      </c>
      <c r="N15" s="175">
        <f>IFERROR(INDEX('Tournament List'!S:S,MATCH(INDEX('Skeet Ind Concurrent Ranking'!A:A,MATCH(M15,'Skeet Ind Concurrent Ranking'!L:L,0)),'Tournament List'!A:A,0)),"")</f>
        <v>61</v>
      </c>
      <c r="O15" s="176" t="str">
        <f>IFERROR(INDEX('Tournament List'!V:V,MATCH(N15,'Tournament List'!S:S,0)),"")</f>
        <v>Forge Christian Shooting Team</v>
      </c>
      <c r="P15" s="231" t="str">
        <f>IFERROR(INDEX('Squad Listing'!D:D,MATCH(N15,'Squad Listing'!A:A,0)),"")</f>
        <v>Intermediate</v>
      </c>
      <c r="Q15" s="232">
        <f>IFERROR(INDEX('Tournament List'!Y:Y,MATCH(N15&amp;"-1",'Tournament List'!U:U,0)),"")</f>
        <v>231</v>
      </c>
      <c r="R15" s="178" t="str">
        <f>IFERROR(INDEX('Tournament List'!D:D,MATCH(N15&amp;"-1",'Tournament List'!T:T,0)),"")</f>
        <v>Christy Last Name10</v>
      </c>
      <c r="S15" s="179">
        <f>IFERROR(INDEX('Tournament List'!AB:AB,MATCH(N15&amp;"-1",'Tournament List'!T:T,0)),"")</f>
        <v>93</v>
      </c>
      <c r="U15" s="268" t="str">
        <f>U14</f>
        <v/>
      </c>
      <c r="V15" s="262" t="str">
        <f t="shared" ref="V15:V16" si="27">V14</f>
        <v/>
      </c>
      <c r="W15" s="263" t="str">
        <f t="shared" ref="W15:W16" si="28">W14</f>
        <v/>
      </c>
      <c r="X15" s="262" t="str">
        <f>E19</f>
        <v/>
      </c>
      <c r="Y15" s="262" t="str">
        <f>F19</f>
        <v/>
      </c>
      <c r="Z15" s="262" t="str">
        <f t="shared" ref="Z15:Z16" si="29">Z14</f>
        <v>Varsity</v>
      </c>
      <c r="AA15" s="262" t="str">
        <f t="shared" ref="AA15:AA16" si="30">AA14</f>
        <v>Varsity Skeet Team Runner Up</v>
      </c>
      <c r="AB15" s="269" t="str">
        <f>IFERROR(INDEX('Tournament List'!A:A,MATCH(U15&amp;"-2",'Tournament List'!T:T,0)),"")</f>
        <v/>
      </c>
    </row>
    <row r="16" spans="1:28" ht="15" thickBot="1" x14ac:dyDescent="0.35">
      <c r="A16" s="212"/>
      <c r="B16" s="127"/>
      <c r="C16" s="128"/>
      <c r="D16" s="129"/>
      <c r="E16" s="180" t="str">
        <f>IFERROR(INDEX('Tournament List'!D:D,MATCH(B15&amp;"-2",'Tournament List'!T:T,0)),"")</f>
        <v>Brad Last Name28</v>
      </c>
      <c r="F16" s="181">
        <f>IFERROR(INDEX('Tournament List'!AB:AB,MATCH(B15&amp;"-2",'Tournament List'!T:T,0)),"")</f>
        <v>63</v>
      </c>
      <c r="G16" s="163"/>
      <c r="H16" s="168"/>
      <c r="I16" s="169"/>
      <c r="J16" s="170"/>
      <c r="K16" s="164" t="str">
        <f>IFERROR(INDEX('Tournament List'!D:D,MATCH(H15&amp;"-2",'Tournament List'!T:T,0)),"")</f>
        <v>Patricia Last Name35</v>
      </c>
      <c r="L16" s="165">
        <f>IFERROR(INDEX('Tournament List'!AB:AB,MATCH(H15&amp;"-2",'Tournament List'!T:T,0)),"")</f>
        <v>95</v>
      </c>
      <c r="M16" s="212"/>
      <c r="N16" s="127"/>
      <c r="O16" s="128"/>
      <c r="P16" s="129"/>
      <c r="Q16" s="129"/>
      <c r="R16" s="180" t="str">
        <f>IFERROR(INDEX('Tournament List'!D:D,MATCH(N15&amp;"-2",'Tournament List'!T:T,0)),"")</f>
        <v>Steve Last Name22</v>
      </c>
      <c r="S16" s="181">
        <f>IFERROR(INDEX('Tournament List'!AB:AB,MATCH(N15&amp;"-2",'Tournament List'!T:T,0)),"")</f>
        <v>70</v>
      </c>
      <c r="U16" s="270" t="str">
        <f t="shared" ref="U16" si="31">U15</f>
        <v/>
      </c>
      <c r="V16" s="271" t="str">
        <f t="shared" si="27"/>
        <v/>
      </c>
      <c r="W16" s="272" t="str">
        <f t="shared" si="28"/>
        <v/>
      </c>
      <c r="X16" s="271" t="str">
        <f>E20</f>
        <v/>
      </c>
      <c r="Y16" s="271" t="str">
        <f>F20</f>
        <v/>
      </c>
      <c r="Z16" s="271" t="str">
        <f t="shared" si="29"/>
        <v>Varsity</v>
      </c>
      <c r="AA16" s="271" t="str">
        <f t="shared" si="30"/>
        <v>Varsity Skeet Team Runner Up</v>
      </c>
      <c r="AB16" s="273" t="str">
        <f>IFERROR(INDEX('Tournament List'!A:A,MATCH(U16&amp;"-3",'Tournament List'!T:T,0)),"")</f>
        <v/>
      </c>
    </row>
    <row r="17" spans="1:28" ht="15" thickBot="1" x14ac:dyDescent="0.35">
      <c r="A17" s="212"/>
      <c r="B17" s="130"/>
      <c r="C17" s="131"/>
      <c r="D17" s="132"/>
      <c r="E17" s="182" t="str">
        <f>IFERROR(INDEX('Tournament List'!D:D,MATCH(B15&amp;"-3",'Tournament List'!T:T,0)),"")</f>
        <v>Troy Last Name40</v>
      </c>
      <c r="F17" s="183">
        <f>IFERROR(INDEX('Tournament List'!AB:AB,MATCH(B15&amp;"-3",'Tournament List'!T:T,0)),"")</f>
        <v>59</v>
      </c>
      <c r="G17" s="163"/>
      <c r="H17" s="171"/>
      <c r="I17" s="172"/>
      <c r="J17" s="173"/>
      <c r="K17" s="166" t="str">
        <f>IFERROR(INDEX('Tournament List'!D:D,MATCH(H15&amp;"-3",'Tournament List'!T:T,0)),"")</f>
        <v>Rick Last Name47</v>
      </c>
      <c r="L17" s="167">
        <f>IFERROR(INDEX('Tournament List'!AB:AB,MATCH(H15&amp;"-3",'Tournament List'!T:T,0)),"")</f>
        <v>65</v>
      </c>
      <c r="M17" s="212"/>
      <c r="N17" s="130"/>
      <c r="O17" s="131"/>
      <c r="P17" s="132"/>
      <c r="Q17" s="132"/>
      <c r="R17" s="182" t="str">
        <f>IFERROR(INDEX('Tournament List'!D:D,MATCH(N15&amp;"-3",'Tournament List'!T:T,0)),"")</f>
        <v>Marty Last Name34</v>
      </c>
      <c r="S17" s="183">
        <f>IFERROR(INDEX('Tournament List'!AB:AB,MATCH(N15&amp;"-3",'Tournament List'!T:T,0)),"")</f>
        <v>68</v>
      </c>
      <c r="U17" s="264" t="str">
        <f>B21</f>
        <v/>
      </c>
      <c r="V17" s="265" t="str">
        <f>C21</f>
        <v/>
      </c>
      <c r="W17" s="266" t="str">
        <f>D21</f>
        <v/>
      </c>
      <c r="X17" s="265" t="str">
        <f>E21</f>
        <v/>
      </c>
      <c r="Y17" s="266" t="str">
        <f>F21</f>
        <v/>
      </c>
      <c r="Z17" s="266" t="s">
        <v>119</v>
      </c>
      <c r="AA17" s="266" t="s">
        <v>891</v>
      </c>
      <c r="AB17" s="267" t="str">
        <f>IFERROR(INDEX('Tournament List'!A:A,MATCH(U17&amp;"-1",'Tournament List'!T:T,0)),"")</f>
        <v/>
      </c>
    </row>
    <row r="18" spans="1:28" ht="15" thickBot="1" x14ac:dyDescent="0.35">
      <c r="A18" s="157">
        <v>2</v>
      </c>
      <c r="B18" s="158" t="str">
        <f>IFERROR(INDEX('Tournament List'!S:S,MATCH(INDEX('Skeet Ind Concurrent Ranking'!A:A,MATCH(A18,'Skeet Ind Concurrent Ranking'!BE:BE,0)),'Tournament List'!A:A,0)),"")</f>
        <v/>
      </c>
      <c r="C18" s="159" t="str">
        <f>IFERROR(INDEX('Tournament List'!V:V,MATCH(B18,'Tournament List'!S:S,0)),"")</f>
        <v/>
      </c>
      <c r="D18" s="160" t="str">
        <f>IFERROR(INDEX('Tournament List'!Y:Y,MATCH(B18&amp;"-1",'Tournament List'!U:U,0)),"")</f>
        <v/>
      </c>
      <c r="E18" s="161" t="str">
        <f>IFERROR(INDEX('Tournament List'!D:D,MATCH(B18&amp;"-1",'Tournament List'!T:T,0)),"")</f>
        <v/>
      </c>
      <c r="F18" s="162" t="str">
        <f>IFERROR(INDEX('Tournament List'!AB:AB,MATCH(B18&amp;"-1",'Tournament List'!T:T,0)),"")</f>
        <v/>
      </c>
      <c r="G18" s="174">
        <v>2</v>
      </c>
      <c r="H18" s="175">
        <f>IFERROR(INDEX('Tournament List'!S:S,MATCH(INDEX('Skeet Ind Concurrent Ranking'!A:A,MATCH(G18,'Skeet Ind Concurrent Ranking'!AA:AA,0)),'Tournament List'!A:A,0)),"")</f>
        <v>295</v>
      </c>
      <c r="I18" s="176" t="str">
        <f>IFERROR(INDEX('Tournament List'!V:V,MATCH(H18,'Tournament List'!S:S,0)),"")</f>
        <v>Wiggins Tigers Sporting Club</v>
      </c>
      <c r="J18" s="177">
        <f>IFERROR(INDEX('Tournament List'!Y:Y,MATCH(H18&amp;"-1",'Tournament List'!U:U,0)),"")</f>
        <v>199</v>
      </c>
      <c r="K18" s="178" t="str">
        <f>IFERROR(INDEX('Tournament List'!D:D,MATCH(H18&amp;"-1",'Tournament List'!T:T,0)),"")</f>
        <v>Dee Last Name45</v>
      </c>
      <c r="L18" s="179">
        <f>IFERROR(INDEX('Tournament List'!AB:AB,MATCH(H18&amp;"-1",'Tournament List'!T:T,0)),"")</f>
        <v>54</v>
      </c>
      <c r="M18" s="213">
        <v>6</v>
      </c>
      <c r="N18" s="214">
        <f>IFERROR(INDEX('Tournament List'!S:S,MATCH(INDEX('Skeet Ind Concurrent Ranking'!A:A,MATCH(M18,'Skeet Ind Concurrent Ranking'!L:L,0)),'Tournament List'!A:A,0)),"")</f>
        <v>10</v>
      </c>
      <c r="O18" s="215" t="str">
        <f>IFERROR(INDEX('Tournament List'!V:V,MATCH(N18,'Tournament List'!S:S,0)),"")</f>
        <v>Brighton Clay Crushers</v>
      </c>
      <c r="P18" s="216" t="str">
        <f>IFERROR(INDEX('Squad Listing'!D:D,MATCH(N18,'Squad Listing'!A:A,0)),"")</f>
        <v>Novice</v>
      </c>
      <c r="Q18" s="217">
        <f>IFERROR(INDEX('Tournament List'!Y:Y,MATCH(N18&amp;"-1",'Tournament List'!U:U,0)),"")</f>
        <v>220</v>
      </c>
      <c r="R18" s="218" t="str">
        <f>IFERROR(INDEX('Tournament List'!D:D,MATCH(N18&amp;"-1",'Tournament List'!T:T,0)),"")</f>
        <v>Joan Last Name17</v>
      </c>
      <c r="S18" s="219">
        <f>IFERROR(INDEX('Tournament List'!AB:AB,MATCH(N18&amp;"-1",'Tournament List'!T:T,0)),"")</f>
        <v>60</v>
      </c>
      <c r="U18" s="268" t="str">
        <f>U17</f>
        <v/>
      </c>
      <c r="V18" s="262" t="str">
        <f t="shared" ref="V18:V19" si="32">V17</f>
        <v/>
      </c>
      <c r="W18" s="263" t="str">
        <f t="shared" ref="W18:W19" si="33">W17</f>
        <v/>
      </c>
      <c r="X18" s="262" t="str">
        <f>E22</f>
        <v/>
      </c>
      <c r="Y18" s="262" t="str">
        <f>F22</f>
        <v/>
      </c>
      <c r="Z18" s="262" t="str">
        <f t="shared" ref="Z18:Z19" si="34">Z17</f>
        <v>Varsity</v>
      </c>
      <c r="AA18" s="262" t="str">
        <f t="shared" ref="AA18:AA19" si="35">AA17</f>
        <v>Varsity Skeet Team 3rd</v>
      </c>
      <c r="AB18" s="269" t="str">
        <f>IFERROR(INDEX('Tournament List'!A:A,MATCH(U18&amp;"-2",'Tournament List'!T:T,0)),"")</f>
        <v/>
      </c>
    </row>
    <row r="19" spans="1:28" ht="15" thickBot="1" x14ac:dyDescent="0.35">
      <c r="A19" s="163"/>
      <c r="B19" s="168"/>
      <c r="C19" s="169"/>
      <c r="D19" s="170"/>
      <c r="E19" s="164" t="str">
        <f>IFERROR(INDEX('Tournament List'!D:D,MATCH(B18&amp;"-2",'Tournament List'!T:T,0)),"")</f>
        <v/>
      </c>
      <c r="F19" s="165" t="str">
        <f>IFERROR(INDEX('Tournament List'!AB:AB,MATCH(B18&amp;"-2",'Tournament List'!T:T,0)),"")</f>
        <v/>
      </c>
      <c r="G19" s="212"/>
      <c r="H19" s="127"/>
      <c r="I19" s="128"/>
      <c r="J19" s="129"/>
      <c r="K19" s="180" t="str">
        <f>IFERROR(INDEX('Tournament List'!D:D,MATCH(H18&amp;"-2",'Tournament List'!T:T,0)),"")</f>
        <v>Nathan Last Name21</v>
      </c>
      <c r="L19" s="181">
        <f>IFERROR(INDEX('Tournament List'!AB:AB,MATCH(H18&amp;"-2",'Tournament List'!T:T,0)),"")</f>
        <v>72</v>
      </c>
      <c r="M19" s="220"/>
      <c r="N19" s="225"/>
      <c r="O19" s="226"/>
      <c r="P19" s="227"/>
      <c r="Q19" s="227"/>
      <c r="R19" s="221" t="str">
        <f>IFERROR(INDEX('Tournament List'!D:D,MATCH(N18&amp;"-2",'Tournament List'!T:T,0)),"")</f>
        <v>Patricia Last Name35</v>
      </c>
      <c r="S19" s="222">
        <f>IFERROR(INDEX('Tournament List'!AB:AB,MATCH(N18&amp;"-2",'Tournament List'!T:T,0)),"")</f>
        <v>95</v>
      </c>
      <c r="U19" s="270" t="str">
        <f t="shared" ref="U19" si="36">U18</f>
        <v/>
      </c>
      <c r="V19" s="271" t="str">
        <f t="shared" si="32"/>
        <v/>
      </c>
      <c r="W19" s="272" t="str">
        <f t="shared" si="33"/>
        <v/>
      </c>
      <c r="X19" s="271" t="str">
        <f>E23</f>
        <v/>
      </c>
      <c r="Y19" s="271" t="str">
        <f>F23</f>
        <v/>
      </c>
      <c r="Z19" s="271" t="str">
        <f t="shared" si="34"/>
        <v>Varsity</v>
      </c>
      <c r="AA19" s="271" t="str">
        <f t="shared" si="35"/>
        <v>Varsity Skeet Team 3rd</v>
      </c>
      <c r="AB19" s="273" t="str">
        <f>IFERROR(INDEX('Tournament List'!A:A,MATCH(U19&amp;"-3",'Tournament List'!T:T,0)),"")</f>
        <v/>
      </c>
    </row>
    <row r="20" spans="1:28" ht="15" thickBot="1" x14ac:dyDescent="0.35">
      <c r="A20" s="163"/>
      <c r="B20" s="171"/>
      <c r="C20" s="172"/>
      <c r="D20" s="173"/>
      <c r="E20" s="166" t="str">
        <f>IFERROR(INDEX('Tournament List'!D:D,MATCH(B18&amp;"-3",'Tournament List'!T:T,0)),"")</f>
        <v/>
      </c>
      <c r="F20" s="167" t="str">
        <f>IFERROR(INDEX('Tournament List'!AB:AB,MATCH(B18&amp;"-3",'Tournament List'!T:T,0)),"")</f>
        <v/>
      </c>
      <c r="G20" s="212"/>
      <c r="H20" s="130"/>
      <c r="I20" s="131"/>
      <c r="J20" s="132"/>
      <c r="K20" s="182" t="str">
        <f>IFERROR(INDEX('Tournament List'!D:D,MATCH(H18&amp;"-3",'Tournament List'!T:T,0)),"")</f>
        <v>Missy Last Name33</v>
      </c>
      <c r="L20" s="183">
        <f>IFERROR(INDEX('Tournament List'!AB:AB,MATCH(H18&amp;"-3",'Tournament List'!T:T,0)),"")</f>
        <v>73</v>
      </c>
      <c r="M20" s="220"/>
      <c r="N20" s="228"/>
      <c r="O20" s="229"/>
      <c r="P20" s="230"/>
      <c r="Q20" s="230"/>
      <c r="R20" s="223" t="str">
        <f>IFERROR(INDEX('Tournament List'!D:D,MATCH(N18&amp;"-3",'Tournament List'!T:T,0)),"")</f>
        <v>Rick Last Name47</v>
      </c>
      <c r="S20" s="224">
        <f>IFERROR(INDEX('Tournament List'!AB:AB,MATCH(N18&amp;"-3",'Tournament List'!T:T,0)),"")</f>
        <v>65</v>
      </c>
      <c r="U20" s="264">
        <f>B27</f>
        <v>7</v>
      </c>
      <c r="V20" s="265" t="str">
        <f>C27</f>
        <v>Brighton Clay Crushers</v>
      </c>
      <c r="W20" s="266">
        <f>D27</f>
        <v>239.2</v>
      </c>
      <c r="X20" s="265" t="str">
        <f>E27</f>
        <v>Tom Last Name23</v>
      </c>
      <c r="Y20" s="266">
        <f>F27</f>
        <v>61</v>
      </c>
      <c r="Z20" s="266" t="s">
        <v>118</v>
      </c>
      <c r="AA20" s="266" t="s">
        <v>892</v>
      </c>
      <c r="AB20" s="267" t="str">
        <f>IFERROR(INDEX('Tournament List'!A:A,MATCH(U20&amp;"-1",'Tournament List'!T:T,0)),"")</f>
        <v>24-1022</v>
      </c>
    </row>
    <row r="21" spans="1:28" ht="15" thickBot="1" x14ac:dyDescent="0.35">
      <c r="A21" s="174">
        <v>3</v>
      </c>
      <c r="B21" s="175" t="str">
        <f>IFERROR(INDEX('Tournament List'!S:S,MATCH(INDEX('Skeet Ind Concurrent Ranking'!A:A,MATCH(A21,'Skeet Ind Concurrent Ranking'!BE:BE,0)),'Tournament List'!A:A,0)),"")</f>
        <v/>
      </c>
      <c r="C21" s="176" t="str">
        <f>IFERROR(INDEX('Tournament List'!V:V,MATCH(B21,'Tournament List'!S:S,0)),"")</f>
        <v/>
      </c>
      <c r="D21" s="177" t="str">
        <f>IFERROR(INDEX('Tournament List'!Y:Y,MATCH(B21&amp;"-1",'Tournament List'!U:U,0)),"")</f>
        <v/>
      </c>
      <c r="E21" s="178" t="str">
        <f>IFERROR(INDEX('Tournament List'!D:D,MATCH(B21&amp;"-1",'Tournament List'!T:T,0)),"")</f>
        <v/>
      </c>
      <c r="F21" s="179" t="str">
        <f>IFERROR(INDEX('Tournament List'!AB:AB,MATCH(B21&amp;"-1",'Tournament List'!T:T,0)),"")</f>
        <v/>
      </c>
      <c r="G21" s="157">
        <v>3</v>
      </c>
      <c r="H21" s="158">
        <f>IFERROR(INDEX('Tournament List'!S:S,MATCH(INDEX('Skeet Ind Concurrent Ranking'!A:A,MATCH(G21,'Skeet Ind Concurrent Ranking'!AA:AA,0)),'Tournament List'!A:A,0)),"")</f>
        <v>181</v>
      </c>
      <c r="I21" s="159" t="str">
        <f>IFERROR(INDEX('Tournament List'!V:V,MATCH(H21,'Tournament List'!S:S,0)),"")</f>
        <v>Littleton Target Masters</v>
      </c>
      <c r="J21" s="160">
        <f>IFERROR(INDEX('Tournament List'!Y:Y,MATCH(H21&amp;"-1",'Tournament List'!U:U,0)),"")</f>
        <v>174</v>
      </c>
      <c r="K21" s="161" t="str">
        <f>IFERROR(INDEX('Tournament List'!D:D,MATCH(H21&amp;"-1",'Tournament List'!T:T,0)),"")</f>
        <v>Randy Last Name36</v>
      </c>
      <c r="L21" s="162">
        <f>IFERROR(INDEX('Tournament List'!AB:AB,MATCH(H21&amp;"-1",'Tournament List'!T:T,0)),"")</f>
        <v>63</v>
      </c>
      <c r="M21" s="174">
        <v>7</v>
      </c>
      <c r="N21" s="175">
        <f>IFERROR(INDEX('Tournament List'!S:S,MATCH(INDEX('Skeet Ind Concurrent Ranking'!A:A,MATCH(M21,'Skeet Ind Concurrent Ranking'!L:L,0)),'Tournament List'!A:A,0)),"")</f>
        <v>295</v>
      </c>
      <c r="O21" s="176" t="str">
        <f>IFERROR(INDEX('Tournament List'!V:V,MATCH(N21,'Tournament List'!S:S,0)),"")</f>
        <v>Wiggins Tigers Sporting Club</v>
      </c>
      <c r="P21" s="231" t="str">
        <f>IFERROR(INDEX('Squad Listing'!D:D,MATCH(N21,'Squad Listing'!A:A,0)),"")</f>
        <v>Novice</v>
      </c>
      <c r="Q21" s="232">
        <f>IFERROR(INDEX('Tournament List'!Y:Y,MATCH(N21&amp;"-1",'Tournament List'!U:U,0)),"")</f>
        <v>199</v>
      </c>
      <c r="R21" s="178" t="str">
        <f>IFERROR(INDEX('Tournament List'!D:D,MATCH(N21&amp;"-1",'Tournament List'!T:T,0)),"")</f>
        <v>Dee Last Name45</v>
      </c>
      <c r="S21" s="179">
        <f>IFERROR(INDEX('Tournament List'!AB:AB,MATCH(N21&amp;"-1",'Tournament List'!T:T,0)),"")</f>
        <v>54</v>
      </c>
      <c r="U21" s="268">
        <f>U20</f>
        <v>7</v>
      </c>
      <c r="V21" s="262" t="str">
        <f t="shared" ref="V21:V22" si="37">V20</f>
        <v>Brighton Clay Crushers</v>
      </c>
      <c r="W21" s="263">
        <f t="shared" ref="W21:W22" si="38">W20</f>
        <v>239.2</v>
      </c>
      <c r="X21" s="262" t="str">
        <f>E28</f>
        <v>Bill Last Name11</v>
      </c>
      <c r="Y21" s="262">
        <f>F28</f>
        <v>98</v>
      </c>
      <c r="Z21" s="262" t="str">
        <f t="shared" ref="Z21:Z22" si="39">Z20</f>
        <v>Junior Varsity</v>
      </c>
      <c r="AA21" s="262" t="str">
        <f t="shared" ref="AA21:AA22" si="40">AA20</f>
        <v>Junior Varsity Skeet Team Champion</v>
      </c>
      <c r="AB21" s="269" t="str">
        <f>IFERROR(INDEX('Tournament List'!A:A,MATCH(U21&amp;"-2",'Tournament List'!T:T,0)),"")</f>
        <v>24-1010</v>
      </c>
    </row>
    <row r="22" spans="1:28" ht="15" thickBot="1" x14ac:dyDescent="0.35">
      <c r="A22" s="212"/>
      <c r="B22" s="127"/>
      <c r="C22" s="128"/>
      <c r="D22" s="129"/>
      <c r="E22" s="180" t="str">
        <f>IFERROR(INDEX('Tournament List'!D:D,MATCH(B21&amp;"-2",'Tournament List'!T:T,0)),"")</f>
        <v/>
      </c>
      <c r="F22" s="181" t="str">
        <f>IFERROR(INDEX('Tournament List'!AB:AB,MATCH(B21&amp;"-2",'Tournament List'!T:T,0)),"")</f>
        <v/>
      </c>
      <c r="G22" s="163"/>
      <c r="H22" s="168"/>
      <c r="I22" s="169"/>
      <c r="J22" s="170"/>
      <c r="K22" s="164" t="str">
        <f>IFERROR(INDEX('Tournament List'!D:D,MATCH(H21&amp;"-2",'Tournament List'!T:T,0)),"")</f>
        <v>Ben Last Name6</v>
      </c>
      <c r="L22" s="165">
        <f>IFERROR(INDEX('Tournament List'!AB:AB,MATCH(H21&amp;"-2",'Tournament List'!T:T,0)),"")</f>
        <v>51</v>
      </c>
      <c r="M22" s="212"/>
      <c r="N22" s="127"/>
      <c r="O22" s="128"/>
      <c r="P22" s="129"/>
      <c r="Q22" s="129"/>
      <c r="R22" s="180" t="str">
        <f>IFERROR(INDEX('Tournament List'!D:D,MATCH(N21&amp;"-2",'Tournament List'!T:T,0)),"")</f>
        <v>Nathan Last Name21</v>
      </c>
      <c r="S22" s="181">
        <f>IFERROR(INDEX('Tournament List'!AB:AB,MATCH(N21&amp;"-2",'Tournament List'!T:T,0)),"")</f>
        <v>72</v>
      </c>
      <c r="U22" s="270">
        <f t="shared" ref="U22" si="41">U21</f>
        <v>7</v>
      </c>
      <c r="V22" s="271" t="str">
        <f t="shared" si="37"/>
        <v>Brighton Clay Crushers</v>
      </c>
      <c r="W22" s="272">
        <f t="shared" si="38"/>
        <v>239.2</v>
      </c>
      <c r="X22" s="271" t="str">
        <f>E29</f>
        <v>Alan Last Name29</v>
      </c>
      <c r="Y22" s="271">
        <f>F29</f>
        <v>80</v>
      </c>
      <c r="Z22" s="271" t="str">
        <f t="shared" si="39"/>
        <v>Junior Varsity</v>
      </c>
      <c r="AA22" s="271" t="str">
        <f t="shared" si="40"/>
        <v>Junior Varsity Skeet Team Champion</v>
      </c>
      <c r="AB22" s="273" t="str">
        <f>IFERROR(INDEX('Tournament List'!A:A,MATCH(U22&amp;"-3",'Tournament List'!T:T,0)),"")</f>
        <v>24-1028</v>
      </c>
    </row>
    <row r="23" spans="1:28" ht="15" thickBot="1" x14ac:dyDescent="0.35">
      <c r="A23" s="212"/>
      <c r="B23" s="130"/>
      <c r="C23" s="131"/>
      <c r="D23" s="132"/>
      <c r="E23" s="182" t="str">
        <f>IFERROR(INDEX('Tournament List'!D:D,MATCH(B21&amp;"-3",'Tournament List'!T:T,0)),"")</f>
        <v/>
      </c>
      <c r="F23" s="183" t="str">
        <f>IFERROR(INDEX('Tournament List'!AB:AB,MATCH(B21&amp;"-3",'Tournament List'!T:T,0)),"")</f>
        <v/>
      </c>
      <c r="G23" s="163"/>
      <c r="H23" s="171"/>
      <c r="I23" s="172"/>
      <c r="J23" s="173"/>
      <c r="K23" s="166" t="str">
        <f>IFERROR(INDEX('Tournament List'!D:D,MATCH(H21&amp;"-3",'Tournament List'!T:T,0)),"")</f>
        <v>Owen Last Name42</v>
      </c>
      <c r="L23" s="167">
        <f>IFERROR(INDEX('Tournament List'!AB:AB,MATCH(H21&amp;"-3",'Tournament List'!T:T,0)),"")</f>
        <v>60</v>
      </c>
      <c r="M23" s="212"/>
      <c r="N23" s="130"/>
      <c r="O23" s="131"/>
      <c r="P23" s="132"/>
      <c r="Q23" s="132"/>
      <c r="R23" s="182" t="str">
        <f>IFERROR(INDEX('Tournament List'!D:D,MATCH(N21&amp;"-3",'Tournament List'!T:T,0)),"")</f>
        <v>Missy Last Name33</v>
      </c>
      <c r="S23" s="183">
        <f>IFERROR(INDEX('Tournament List'!AB:AB,MATCH(N21&amp;"-3",'Tournament List'!T:T,0)),"")</f>
        <v>73</v>
      </c>
      <c r="U23" s="264">
        <f>B30</f>
        <v>235</v>
      </c>
      <c r="V23" s="265" t="str">
        <f>C30</f>
        <v>Rocky Mountain Clay Busters</v>
      </c>
      <c r="W23" s="266">
        <f>D30</f>
        <v>239</v>
      </c>
      <c r="X23" s="265" t="str">
        <f>E30</f>
        <v>Gary Last Name26</v>
      </c>
      <c r="Y23" s="266">
        <f>F30</f>
        <v>86</v>
      </c>
      <c r="Z23" s="266" t="s">
        <v>118</v>
      </c>
      <c r="AA23" s="266" t="s">
        <v>893</v>
      </c>
      <c r="AB23" s="267" t="str">
        <f>IFERROR(INDEX('Tournament List'!A:A,MATCH(U23&amp;"-1",'Tournament List'!T:T,0)),"")</f>
        <v>24-1025</v>
      </c>
    </row>
    <row r="24" spans="1:28" ht="15" thickBot="1" x14ac:dyDescent="0.35">
      <c r="A24"/>
      <c r="B24"/>
      <c r="C24"/>
      <c r="D24"/>
      <c r="E24"/>
      <c r="G24"/>
      <c r="H24"/>
      <c r="J24"/>
      <c r="L24"/>
      <c r="M24" s="213">
        <v>8</v>
      </c>
      <c r="N24" s="214">
        <f>IFERROR(INDEX('Tournament List'!S:S,MATCH(INDEX('Skeet Ind Concurrent Ranking'!A:A,MATCH(M24,'Skeet Ind Concurrent Ranking'!L:L,0)),'Tournament List'!A:A,0)),"")</f>
        <v>172</v>
      </c>
      <c r="O24" s="215" t="str">
        <f>IFERROR(INDEX('Tournament List'!V:V,MATCH(N24,'Tournament List'!S:S,0)),"")</f>
        <v>Littleton Target Masters</v>
      </c>
      <c r="P24" s="216" t="str">
        <f>IFERROR(INDEX('Squad Listing'!D:D,MATCH(N24,'Squad Listing'!A:A,0)),"")</f>
        <v>Collegiate</v>
      </c>
      <c r="Q24" s="217">
        <f>IFERROR(INDEX('Tournament List'!Y:Y,MATCH(N24&amp;"-1",'Tournament List'!U:U,0)),"")</f>
        <v>189</v>
      </c>
      <c r="R24" s="218" t="str">
        <f>IFERROR(INDEX('Tournament List'!D:D,MATCH(N24&amp;"-1",'Tournament List'!T:T,0)),"")</f>
        <v>Bob Last Name12</v>
      </c>
      <c r="S24" s="219">
        <f>IFERROR(INDEX('Tournament List'!AB:AB,MATCH(N24&amp;"-1",'Tournament List'!T:T,0)),"")</f>
        <v>48</v>
      </c>
      <c r="U24" s="268">
        <f>U23</f>
        <v>235</v>
      </c>
      <c r="V24" s="262" t="str">
        <f t="shared" ref="V24:V25" si="42">V23</f>
        <v>Rocky Mountain Clay Busters</v>
      </c>
      <c r="W24" s="263">
        <f t="shared" ref="W24:W25" si="43">W23</f>
        <v>239</v>
      </c>
      <c r="X24" s="262" t="str">
        <f>E31</f>
        <v>James Last Name8</v>
      </c>
      <c r="Y24" s="262">
        <f>F31</f>
        <v>64</v>
      </c>
      <c r="Z24" s="262" t="str">
        <f t="shared" ref="Z24:Z25" si="44">Z23</f>
        <v>Junior Varsity</v>
      </c>
      <c r="AA24" s="262" t="str">
        <f t="shared" ref="AA24:AA25" si="45">AA23</f>
        <v>Junior Varsity Skeet Team Runner Up</v>
      </c>
      <c r="AB24" s="269" t="str">
        <f>IFERROR(INDEX('Tournament List'!A:A,MATCH(U24&amp;"-2",'Tournament List'!T:T,0)),"")</f>
        <v>24-1007</v>
      </c>
    </row>
    <row r="25" spans="1:28" ht="15" thickBot="1" x14ac:dyDescent="0.35">
      <c r="B25" s="205" t="s">
        <v>118</v>
      </c>
      <c r="C25" s="206"/>
      <c r="D25" s="206"/>
      <c r="E25" s="206"/>
      <c r="F25" s="207"/>
      <c r="H25" s="238" t="s">
        <v>266</v>
      </c>
      <c r="I25" s="239"/>
      <c r="J25" s="239"/>
      <c r="K25" s="239"/>
      <c r="L25" s="240"/>
      <c r="M25" s="220"/>
      <c r="N25" s="225"/>
      <c r="O25" s="226"/>
      <c r="P25" s="227"/>
      <c r="Q25" s="227"/>
      <c r="R25" s="221" t="str">
        <f>IFERROR(INDEX('Tournament List'!D:D,MATCH(N24&amp;"-2",'Tournament List'!T:T,0)),"")</f>
        <v>Jill Last Name18</v>
      </c>
      <c r="S25" s="222">
        <f>IFERROR(INDEX('Tournament List'!AB:AB,MATCH(N24&amp;"-2",'Tournament List'!T:T,0)),"")</f>
        <v>90</v>
      </c>
      <c r="U25" s="270">
        <f t="shared" ref="U25" si="46">U24</f>
        <v>235</v>
      </c>
      <c r="V25" s="271" t="str">
        <f t="shared" si="42"/>
        <v>Rocky Mountain Clay Busters</v>
      </c>
      <c r="W25" s="272">
        <f t="shared" si="43"/>
        <v>239</v>
      </c>
      <c r="X25" s="271" t="str">
        <f>E32</f>
        <v>Stuart Last Name38</v>
      </c>
      <c r="Y25" s="271">
        <f>F32</f>
        <v>89</v>
      </c>
      <c r="Z25" s="271" t="str">
        <f t="shared" si="44"/>
        <v>Junior Varsity</v>
      </c>
      <c r="AA25" s="271" t="str">
        <f t="shared" si="45"/>
        <v>Junior Varsity Skeet Team Runner Up</v>
      </c>
      <c r="AB25" s="273" t="str">
        <f>IFERROR(INDEX('Tournament List'!A:A,MATCH(U25&amp;"-3",'Tournament List'!T:T,0)),"")</f>
        <v>24-1037</v>
      </c>
    </row>
    <row r="26" spans="1:28" ht="29.4" thickBot="1" x14ac:dyDescent="0.35">
      <c r="A26" s="1" t="s">
        <v>144</v>
      </c>
      <c r="B26" s="208" t="s">
        <v>364</v>
      </c>
      <c r="C26" s="209" t="s">
        <v>36</v>
      </c>
      <c r="D26" s="210" t="s">
        <v>365</v>
      </c>
      <c r="E26" s="209" t="s">
        <v>387</v>
      </c>
      <c r="F26" s="211" t="s">
        <v>383</v>
      </c>
      <c r="G26" s="1" t="s">
        <v>144</v>
      </c>
      <c r="H26" s="241" t="s">
        <v>364</v>
      </c>
      <c r="I26" s="242" t="s">
        <v>36</v>
      </c>
      <c r="J26" s="243" t="s">
        <v>365</v>
      </c>
      <c r="K26" s="242" t="s">
        <v>387</v>
      </c>
      <c r="L26" s="244" t="s">
        <v>383</v>
      </c>
      <c r="M26" s="220"/>
      <c r="N26" s="228"/>
      <c r="O26" s="229"/>
      <c r="P26" s="230"/>
      <c r="Q26" s="230"/>
      <c r="R26" s="223" t="str">
        <f>IFERROR(INDEX('Tournament List'!D:D,MATCH(N24&amp;"-3",'Tournament List'!T:T,0)),"")</f>
        <v>Judy Last Name30</v>
      </c>
      <c r="S26" s="224">
        <f>IFERROR(INDEX('Tournament List'!AB:AB,MATCH(N24&amp;"-3",'Tournament List'!T:T,0)),"")</f>
        <v>51</v>
      </c>
      <c r="U26" s="264" t="str">
        <f>B33</f>
        <v/>
      </c>
      <c r="V26" s="265" t="str">
        <f>C33</f>
        <v/>
      </c>
      <c r="W26" s="266" t="str">
        <f>D33</f>
        <v/>
      </c>
      <c r="X26" s="265" t="str">
        <f>E33</f>
        <v/>
      </c>
      <c r="Y26" s="266" t="str">
        <f>F33</f>
        <v/>
      </c>
      <c r="Z26" s="266" t="s">
        <v>118</v>
      </c>
      <c r="AA26" s="266" t="s">
        <v>894</v>
      </c>
      <c r="AB26" s="267" t="str">
        <f>IFERROR(INDEX('Tournament List'!A:A,MATCH(U26&amp;"-1",'Tournament List'!T:T,0)),"")</f>
        <v/>
      </c>
    </row>
    <row r="27" spans="1:28" ht="15" thickBot="1" x14ac:dyDescent="0.35">
      <c r="A27" s="157">
        <v>1</v>
      </c>
      <c r="B27" s="158">
        <f>IFERROR(INDEX('Tournament List'!S:S,MATCH(INDEX('Skeet Ind Concurrent Ranking'!A:A,MATCH(A27,'Skeet Ind Concurrent Ranking'!AU:AU,0)),'Tournament List'!A:A,0)),"")</f>
        <v>7</v>
      </c>
      <c r="C27" s="159" t="str">
        <f>IFERROR(INDEX('Tournament List'!V:V,MATCH(B27,'Tournament List'!S:S,0)),"")</f>
        <v>Brighton Clay Crushers</v>
      </c>
      <c r="D27" s="160">
        <f>IFERROR(INDEX('Tournament List'!Y:Y,MATCH(B27&amp;"-1",'Tournament List'!U:U,0)),"")</f>
        <v>239.2</v>
      </c>
      <c r="E27" s="161" t="str">
        <f>IFERROR(INDEX('Tournament List'!D:D,MATCH(B27&amp;"-1",'Tournament List'!T:T,0)),"")</f>
        <v>Tom Last Name23</v>
      </c>
      <c r="F27" s="162">
        <f>IFERROR(INDEX('Tournament List'!AB:AB,MATCH(B27&amp;"-1",'Tournament List'!T:T,0)),"")</f>
        <v>61</v>
      </c>
      <c r="G27" s="174">
        <v>1</v>
      </c>
      <c r="H27" s="175">
        <f>IFERROR(INDEX('Tournament List'!S:S,MATCH(INDEX('Skeet Ind Concurrent Ranking'!A:A,MATCH(G27,'Skeet Ind Concurrent Ranking'!X:X,0)),'Tournament List'!A:A,0)),"")</f>
        <v>127</v>
      </c>
      <c r="I27" s="176" t="str">
        <f>IFERROR(INDEX('Tournament List'!V:V,MATCH(H27,'Tournament List'!S:S,0)),"")</f>
        <v>High Plains Drifters</v>
      </c>
      <c r="J27" s="177">
        <f>IFERROR(INDEX('Tournament List'!Y:Y,MATCH(H27&amp;"-1",'Tournament List'!U:U,0)),"")</f>
        <v>239.1</v>
      </c>
      <c r="K27" s="178" t="str">
        <f>IFERROR(INDEX('Tournament List'!D:D,MATCH(H27&amp;"-1",'Tournament List'!T:T,0)),"")</f>
        <v>Jack Last Name19</v>
      </c>
      <c r="L27" s="179">
        <f>IFERROR(INDEX('Tournament List'!AB:AB,MATCH(H27&amp;"-1",'Tournament List'!T:T,0)),"")</f>
        <v>82</v>
      </c>
      <c r="M27" s="174">
        <v>9</v>
      </c>
      <c r="N27" s="175">
        <f>IFERROR(INDEX('Tournament List'!S:S,MATCH(INDEX('Skeet Ind Concurrent Ranking'!A:A,MATCH(M27,'Skeet Ind Concurrent Ranking'!L:L,0)),'Tournament List'!A:A,0)),"")</f>
        <v>286</v>
      </c>
      <c r="O27" s="176" t="str">
        <f>IFERROR(INDEX('Tournament List'!V:V,MATCH(N27,'Tournament List'!S:S,0)),"")</f>
        <v>Wiggins Tigers Sporting Club</v>
      </c>
      <c r="P27" s="231" t="str">
        <f>IFERROR(INDEX('Squad Listing'!D:D,MATCH(N27,'Squad Listing'!A:A,0)),"")</f>
        <v>Collegiate</v>
      </c>
      <c r="Q27" s="232">
        <f>IFERROR(INDEX('Tournament List'!Y:Y,MATCH(N27&amp;"-1",'Tournament List'!U:U,0)),"")</f>
        <v>177.1</v>
      </c>
      <c r="R27" s="178" t="str">
        <f>IFERROR(INDEX('Tournament List'!D:D,MATCH(N27&amp;"-1",'Tournament List'!T:T,0)),"")</f>
        <v>Chad Last Name39</v>
      </c>
      <c r="S27" s="179">
        <f>IFERROR(INDEX('Tournament List'!AB:AB,MATCH(N27&amp;"-1",'Tournament List'!T:T,0)),"")</f>
        <v>43</v>
      </c>
      <c r="U27" s="268" t="str">
        <f>U26</f>
        <v/>
      </c>
      <c r="V27" s="262" t="str">
        <f t="shared" ref="V27:V28" si="47">V26</f>
        <v/>
      </c>
      <c r="W27" s="263" t="str">
        <f t="shared" ref="W27:W28" si="48">W26</f>
        <v/>
      </c>
      <c r="X27" s="262" t="str">
        <f>E34</f>
        <v/>
      </c>
      <c r="Y27" s="262" t="str">
        <f>F34</f>
        <v/>
      </c>
      <c r="Z27" s="262" t="str">
        <f t="shared" ref="Z27:Z28" si="49">Z26</f>
        <v>Junior Varsity</v>
      </c>
      <c r="AA27" s="262" t="str">
        <f t="shared" ref="AA27:AA28" si="50">AA26</f>
        <v>Junior Varsity Skeet Team 3rd</v>
      </c>
      <c r="AB27" s="269" t="str">
        <f>IFERROR(INDEX('Tournament List'!A:A,MATCH(U27&amp;"-2",'Tournament List'!T:T,0)),"")</f>
        <v/>
      </c>
    </row>
    <row r="28" spans="1:28" ht="15" thickBot="1" x14ac:dyDescent="0.35">
      <c r="A28" s="163"/>
      <c r="B28" s="168"/>
      <c r="C28" s="169"/>
      <c r="D28" s="170"/>
      <c r="E28" s="164" t="str">
        <f>IFERROR(INDEX('Tournament List'!D:D,MATCH(B27&amp;"-2",'Tournament List'!T:T,0)),"")</f>
        <v>Bill Last Name11</v>
      </c>
      <c r="F28" s="165">
        <f>IFERROR(INDEX('Tournament List'!AB:AB,MATCH(B27&amp;"-2",'Tournament List'!T:T,0)),"")</f>
        <v>98</v>
      </c>
      <c r="G28" s="212"/>
      <c r="H28" s="127"/>
      <c r="I28" s="128"/>
      <c r="J28" s="129"/>
      <c r="K28" s="180" t="str">
        <f>IFERROR(INDEX('Tournament List'!D:D,MATCH(H27&amp;"-2",'Tournament List'!T:T,0)),"")</f>
        <v>Harry Last Name25</v>
      </c>
      <c r="L28" s="181">
        <f>IFERROR(INDEX('Tournament List'!AB:AB,MATCH(H27&amp;"-2",'Tournament List'!T:T,0)),"")</f>
        <v>72</v>
      </c>
      <c r="M28" s="212"/>
      <c r="N28" s="127"/>
      <c r="O28" s="128"/>
      <c r="P28" s="129"/>
      <c r="Q28" s="129"/>
      <c r="R28" s="180" t="str">
        <f>IFERROR(INDEX('Tournament List'!D:D,MATCH(N27&amp;"-2",'Tournament List'!T:T,0)),"")</f>
        <v>Becky Last Name27</v>
      </c>
      <c r="S28" s="181">
        <f>IFERROR(INDEX('Tournament List'!AB:AB,MATCH(N27&amp;"-2",'Tournament List'!T:T,0)),"")</f>
        <v>45</v>
      </c>
      <c r="U28" s="270" t="str">
        <f t="shared" ref="U28" si="51">U27</f>
        <v/>
      </c>
      <c r="V28" s="271" t="str">
        <f t="shared" si="47"/>
        <v/>
      </c>
      <c r="W28" s="272" t="str">
        <f t="shared" si="48"/>
        <v/>
      </c>
      <c r="X28" s="271" t="str">
        <f>E35</f>
        <v/>
      </c>
      <c r="Y28" s="271" t="str">
        <f>F35</f>
        <v/>
      </c>
      <c r="Z28" s="271" t="str">
        <f t="shared" si="49"/>
        <v>Junior Varsity</v>
      </c>
      <c r="AA28" s="271" t="str">
        <f t="shared" si="50"/>
        <v>Junior Varsity Skeet Team 3rd</v>
      </c>
      <c r="AB28" s="273" t="str">
        <f>IFERROR(INDEX('Tournament List'!A:A,MATCH(U28&amp;"-3",'Tournament List'!T:T,0)),"")</f>
        <v/>
      </c>
    </row>
    <row r="29" spans="1:28" ht="15" thickBot="1" x14ac:dyDescent="0.35">
      <c r="A29" s="163"/>
      <c r="B29" s="171"/>
      <c r="C29" s="172"/>
      <c r="D29" s="173"/>
      <c r="E29" s="166" t="str">
        <f>IFERROR(INDEX('Tournament List'!D:D,MATCH(B27&amp;"-3",'Tournament List'!T:T,0)),"")</f>
        <v>Alan Last Name29</v>
      </c>
      <c r="F29" s="167">
        <f>IFERROR(INDEX('Tournament List'!AB:AB,MATCH(B27&amp;"-3",'Tournament List'!T:T,0)),"")</f>
        <v>80</v>
      </c>
      <c r="G29" s="212"/>
      <c r="H29" s="130"/>
      <c r="I29" s="131"/>
      <c r="J29" s="132"/>
      <c r="K29" s="182" t="str">
        <f>IFERROR(INDEX('Tournament List'!D:D,MATCH(H27&amp;"-3",'Tournament List'!T:T,0)),"")</f>
        <v>Will Last Name37</v>
      </c>
      <c r="L29" s="183">
        <f>IFERROR(INDEX('Tournament List'!AB:AB,MATCH(H27&amp;"-3",'Tournament List'!T:T,0)),"")</f>
        <v>85</v>
      </c>
      <c r="M29" s="212"/>
      <c r="N29" s="130"/>
      <c r="O29" s="131"/>
      <c r="P29" s="132"/>
      <c r="Q29" s="132"/>
      <c r="R29" s="182" t="str">
        <f>IFERROR(INDEX('Tournament List'!D:D,MATCH(N27&amp;"-3",'Tournament List'!T:T,0)),"")</f>
        <v>Daniel Last Name15</v>
      </c>
      <c r="S29" s="183">
        <f>IFERROR(INDEX('Tournament List'!AB:AB,MATCH(N27&amp;"-3",'Tournament List'!T:T,0)),"")</f>
        <v>89</v>
      </c>
      <c r="U29" s="264">
        <f>H3</f>
        <v>118</v>
      </c>
      <c r="V29" s="265" t="str">
        <f t="shared" ref="V29:Y29" si="52">I3</f>
        <v>High Plains Drifters</v>
      </c>
      <c r="W29" s="266">
        <f t="shared" si="52"/>
        <v>277</v>
      </c>
      <c r="X29" s="265" t="str">
        <f t="shared" si="52"/>
        <v>Blake Last Name7</v>
      </c>
      <c r="Y29" s="266">
        <f t="shared" si="52"/>
        <v>97</v>
      </c>
      <c r="Z29" s="266" t="s">
        <v>117</v>
      </c>
      <c r="AA29" s="266" t="s">
        <v>895</v>
      </c>
      <c r="AB29" s="267" t="str">
        <f>IFERROR(INDEX('Tournament List'!A:A,MATCH(U29&amp;"-1",'Tournament List'!T:T,0)),"")</f>
        <v>24-1006</v>
      </c>
    </row>
    <row r="30" spans="1:28" ht="15" thickBot="1" x14ac:dyDescent="0.35">
      <c r="A30" s="174">
        <v>2</v>
      </c>
      <c r="B30" s="175">
        <f>IFERROR(INDEX('Tournament List'!S:S,MATCH(INDEX('Skeet Ind Concurrent Ranking'!A:A,MATCH(A30,'Skeet Ind Concurrent Ranking'!AU:AU,0)),'Tournament List'!A:A,0)),"")</f>
        <v>235</v>
      </c>
      <c r="C30" s="176" t="str">
        <f>IFERROR(INDEX('Tournament List'!V:V,MATCH(B30,'Tournament List'!S:S,0)),"")</f>
        <v>Rocky Mountain Clay Busters</v>
      </c>
      <c r="D30" s="177">
        <f>IFERROR(INDEX('Tournament List'!Y:Y,MATCH(B30&amp;"-1",'Tournament List'!U:U,0)),"")</f>
        <v>239</v>
      </c>
      <c r="E30" s="178" t="str">
        <f>IFERROR(INDEX('Tournament List'!D:D,MATCH(B30&amp;"-1",'Tournament List'!T:T,0)),"")</f>
        <v>Gary Last Name26</v>
      </c>
      <c r="F30" s="179">
        <f>IFERROR(INDEX('Tournament List'!AB:AB,MATCH(B30&amp;"-1",'Tournament List'!T:T,0)),"")</f>
        <v>86</v>
      </c>
      <c r="G30" s="157">
        <v>2</v>
      </c>
      <c r="H30" s="158" t="str">
        <f>IFERROR(INDEX('Tournament List'!S:S,MATCH(INDEX('Skeet Ind Concurrent Ranking'!A:A,MATCH(G30,'Skeet Ind Concurrent Ranking'!X:X,0)),'Tournament List'!A:A,0)),"")</f>
        <v/>
      </c>
      <c r="I30" s="159" t="str">
        <f>IFERROR(INDEX('Tournament List'!V:V,MATCH(H30,'Tournament List'!S:S,0)),"")</f>
        <v/>
      </c>
      <c r="J30" s="160" t="str">
        <f>IFERROR(INDEX('Tournament List'!Y:Y,MATCH(H30&amp;"-1",'Tournament List'!U:U,0)),"")</f>
        <v/>
      </c>
      <c r="K30" s="161" t="str">
        <f>IFERROR(INDEX('Tournament List'!D:D,MATCH(H30&amp;"-1",'Tournament List'!T:T,0)),"")</f>
        <v/>
      </c>
      <c r="L30" s="162" t="str">
        <f>IFERROR(INDEX('Tournament List'!AB:AB,MATCH(H30&amp;"-1",'Tournament List'!T:T,0)),"")</f>
        <v/>
      </c>
      <c r="M30" s="213">
        <v>10</v>
      </c>
      <c r="N30" s="214">
        <f>IFERROR(INDEX('Tournament List'!S:S,MATCH(INDEX('Skeet Ind Concurrent Ranking'!A:A,MATCH(M30,'Skeet Ind Concurrent Ranking'!L:L,0)),'Tournament List'!A:A,0)),"")</f>
        <v>232</v>
      </c>
      <c r="O30" s="215" t="str">
        <f>IFERROR(INDEX('Tournament List'!V:V,MATCH(N30,'Tournament List'!S:S,0)),"")</f>
        <v>Rocky Mountain Clay Busters</v>
      </c>
      <c r="P30" s="216" t="str">
        <f>IFERROR(INDEX('Squad Listing'!D:D,MATCH(N30,'Squad Listing'!A:A,0)),"")</f>
        <v>Intermediate</v>
      </c>
      <c r="Q30" s="217">
        <f>IFERROR(INDEX('Tournament List'!Y:Y,MATCH(N30&amp;"-1",'Tournament List'!U:U,0)),"")</f>
        <v>177</v>
      </c>
      <c r="R30" s="218" t="str">
        <f>IFERROR(INDEX('Tournament List'!D:D,MATCH(N30&amp;"-1",'Tournament List'!T:T,0)),"")</f>
        <v>Trisha Last Name44</v>
      </c>
      <c r="S30" s="219">
        <f>IFERROR(INDEX('Tournament List'!AB:AB,MATCH(N30&amp;"-1",'Tournament List'!T:T,0)),"")</f>
        <v>72</v>
      </c>
      <c r="U30" s="268">
        <f>U29</f>
        <v>118</v>
      </c>
      <c r="V30" s="262" t="str">
        <f t="shared" ref="V30:V31" si="53">V29</f>
        <v>High Plains Drifters</v>
      </c>
      <c r="W30" s="263">
        <f t="shared" ref="W30:W31" si="54">W29</f>
        <v>277</v>
      </c>
      <c r="X30" s="262" t="str">
        <f t="shared" ref="X30:X34" si="55">K4</f>
        <v>Shelly Last Name31</v>
      </c>
      <c r="Y30" s="262">
        <f t="shared" ref="Y30:Y34" si="56">L4</f>
        <v>92</v>
      </c>
      <c r="Z30" s="262" t="str">
        <f t="shared" ref="Z30:AA31" si="57">Z29</f>
        <v>Intermediate</v>
      </c>
      <c r="AA30" s="262" t="str">
        <f t="shared" si="57"/>
        <v>Intermediate Skeet Team Champion</v>
      </c>
      <c r="AB30" s="269" t="str">
        <f>IFERROR(INDEX('Tournament List'!A:A,MATCH(U30&amp;"-2",'Tournament List'!T:T,0)),"")</f>
        <v>24-1030</v>
      </c>
    </row>
    <row r="31" spans="1:28" ht="15" thickBot="1" x14ac:dyDescent="0.35">
      <c r="A31" s="212"/>
      <c r="B31" s="127"/>
      <c r="C31" s="128"/>
      <c r="D31" s="129"/>
      <c r="E31" s="180" t="str">
        <f>IFERROR(INDEX('Tournament List'!D:D,MATCH(B30&amp;"-2",'Tournament List'!T:T,0)),"")</f>
        <v>James Last Name8</v>
      </c>
      <c r="F31" s="181">
        <f>IFERROR(INDEX('Tournament List'!AB:AB,MATCH(B30&amp;"-2",'Tournament List'!T:T,0)),"")</f>
        <v>64</v>
      </c>
      <c r="G31" s="163"/>
      <c r="H31" s="168"/>
      <c r="I31" s="169"/>
      <c r="J31" s="170"/>
      <c r="K31" s="164" t="str">
        <f>IFERROR(INDEX('Tournament List'!D:D,MATCH(H30&amp;"-2",'Tournament List'!T:T,0)),"")</f>
        <v/>
      </c>
      <c r="L31" s="165" t="str">
        <f>IFERROR(INDEX('Tournament List'!AB:AB,MATCH(H30&amp;"-2",'Tournament List'!T:T,0)),"")</f>
        <v/>
      </c>
      <c r="M31" s="220"/>
      <c r="N31" s="225"/>
      <c r="O31" s="226"/>
      <c r="P31" s="227"/>
      <c r="Q31" s="227"/>
      <c r="R31" s="221" t="str">
        <f>IFERROR(INDEX('Tournament List'!D:D,MATCH(N30&amp;"-2",'Tournament List'!T:T,0)),"")</f>
        <v>Henry Last Name14</v>
      </c>
      <c r="S31" s="222">
        <f>IFERROR(INDEX('Tournament List'!AB:AB,MATCH(N30&amp;"-2",'Tournament List'!T:T,0)),"")</f>
        <v>76</v>
      </c>
      <c r="U31" s="270">
        <f t="shared" ref="U31" si="58">U30</f>
        <v>118</v>
      </c>
      <c r="V31" s="271" t="str">
        <f t="shared" si="53"/>
        <v>High Plains Drifters</v>
      </c>
      <c r="W31" s="272">
        <f t="shared" si="54"/>
        <v>277</v>
      </c>
      <c r="X31" s="271" t="str">
        <f t="shared" si="55"/>
        <v>Terry Last Name43</v>
      </c>
      <c r="Y31" s="271">
        <f t="shared" si="56"/>
        <v>88</v>
      </c>
      <c r="Z31" s="271" t="str">
        <f t="shared" si="57"/>
        <v>Intermediate</v>
      </c>
      <c r="AA31" s="271" t="str">
        <f t="shared" si="57"/>
        <v>Intermediate Skeet Team Champion</v>
      </c>
      <c r="AB31" s="273" t="str">
        <f>IFERROR(INDEX('Tournament List'!A:A,MATCH(U31&amp;"-3",'Tournament List'!T:T,0)),"")</f>
        <v>24-1042</v>
      </c>
    </row>
    <row r="32" spans="1:28" ht="15" thickBot="1" x14ac:dyDescent="0.35">
      <c r="A32" s="212"/>
      <c r="B32" s="130"/>
      <c r="C32" s="131"/>
      <c r="D32" s="132"/>
      <c r="E32" s="182" t="str">
        <f>IFERROR(INDEX('Tournament List'!D:D,MATCH(B30&amp;"-3",'Tournament List'!T:T,0)),"")</f>
        <v>Stuart Last Name38</v>
      </c>
      <c r="F32" s="183">
        <f>IFERROR(INDEX('Tournament List'!AB:AB,MATCH(B30&amp;"-3",'Tournament List'!T:T,0)),"")</f>
        <v>89</v>
      </c>
      <c r="G32" s="163"/>
      <c r="H32" s="171"/>
      <c r="I32" s="172"/>
      <c r="J32" s="173"/>
      <c r="K32" s="166" t="str">
        <f>IFERROR(INDEX('Tournament List'!D:D,MATCH(H30&amp;"-3",'Tournament List'!T:T,0)),"")</f>
        <v/>
      </c>
      <c r="L32" s="167" t="str">
        <f>IFERROR(INDEX('Tournament List'!AB:AB,MATCH(H30&amp;"-3",'Tournament List'!T:T,0)),"")</f>
        <v/>
      </c>
      <c r="M32" s="220"/>
      <c r="N32" s="228"/>
      <c r="O32" s="229"/>
      <c r="P32" s="230"/>
      <c r="Q32" s="230"/>
      <c r="R32" s="223" t="str">
        <f>IFERROR(INDEX('Tournament List'!D:D,MATCH(N30&amp;"-3",'Tournament List'!T:T,0)),"")</f>
        <v>Kelly Last Name32</v>
      </c>
      <c r="S32" s="224">
        <f>IFERROR(INDEX('Tournament List'!AB:AB,MATCH(N30&amp;"-3",'Tournament List'!T:T,0)),"")</f>
        <v>29</v>
      </c>
      <c r="U32" s="264">
        <f>H6</f>
        <v>61</v>
      </c>
      <c r="V32" s="265" t="str">
        <f t="shared" ref="V32" si="59">I6</f>
        <v>Forge Christian Shooting Team</v>
      </c>
      <c r="W32" s="266">
        <f t="shared" ref="W32" si="60">J6</f>
        <v>231</v>
      </c>
      <c r="X32" s="265" t="str">
        <f t="shared" si="55"/>
        <v>Christy Last Name10</v>
      </c>
      <c r="Y32" s="266">
        <f t="shared" si="56"/>
        <v>93</v>
      </c>
      <c r="Z32" s="266" t="s">
        <v>117</v>
      </c>
      <c r="AA32" s="266" t="s">
        <v>896</v>
      </c>
      <c r="AB32" s="267" t="str">
        <f>IFERROR(INDEX('Tournament List'!A:A,MATCH(U32&amp;"-1",'Tournament List'!T:T,0)),"")</f>
        <v>24-1009</v>
      </c>
    </row>
    <row r="33" spans="1:28" ht="15" thickBot="1" x14ac:dyDescent="0.35">
      <c r="A33" s="157">
        <v>3</v>
      </c>
      <c r="B33" s="158" t="str">
        <f>IFERROR(INDEX('Tournament List'!S:S,MATCH(INDEX('Skeet Ind Concurrent Ranking'!A:A,MATCH(A33,'Skeet Ind Concurrent Ranking'!AU:AU,0)),'Tournament List'!A:A,0)),"")</f>
        <v/>
      </c>
      <c r="C33" s="159" t="str">
        <f>IFERROR(INDEX('Tournament List'!V:V,MATCH(B33,'Tournament List'!S:S,0)),"")</f>
        <v/>
      </c>
      <c r="D33" s="160" t="str">
        <f>IFERROR(INDEX('Tournament List'!Y:Y,MATCH(B33&amp;"-1",'Tournament List'!U:U,0)),"")</f>
        <v/>
      </c>
      <c r="E33" s="161" t="str">
        <f>IFERROR(INDEX('Tournament List'!D:D,MATCH(B33&amp;"-1",'Tournament List'!T:T,0)),"")</f>
        <v/>
      </c>
      <c r="F33" s="162" t="str">
        <f>IFERROR(INDEX('Tournament List'!AB:AB,MATCH(B33&amp;"-1",'Tournament List'!T:T,0)),"")</f>
        <v/>
      </c>
      <c r="G33" s="174">
        <v>3</v>
      </c>
      <c r="H33" s="175" t="str">
        <f>IFERROR(INDEX('Tournament List'!S:S,MATCH(INDEX('Skeet Ind Concurrent Ranking'!A:A,MATCH(G33,'Skeet Ind Concurrent Ranking'!X:X,0)),'Tournament List'!A:A,0)),"")</f>
        <v/>
      </c>
      <c r="I33" s="176" t="str">
        <f>IFERROR(INDEX('Tournament List'!V:V,MATCH(H33,'Tournament List'!S:S,0)),"")</f>
        <v/>
      </c>
      <c r="J33" s="177" t="str">
        <f>IFERROR(INDEX('Tournament List'!Y:Y,MATCH(H33&amp;"-1",'Tournament List'!U:U,0)),"")</f>
        <v/>
      </c>
      <c r="K33" s="178" t="str">
        <f>IFERROR(INDEX('Tournament List'!D:D,MATCH(H33&amp;"-1",'Tournament List'!T:T,0)),"")</f>
        <v/>
      </c>
      <c r="L33" s="179" t="str">
        <f>IFERROR(INDEX('Tournament List'!AB:AB,MATCH(H33&amp;"-1",'Tournament List'!T:T,0)),"")</f>
        <v/>
      </c>
      <c r="M33" s="174">
        <v>11</v>
      </c>
      <c r="N33" s="175">
        <f>IFERROR(INDEX('Tournament List'!S:S,MATCH(INDEX('Skeet Ind Concurrent Ranking'!A:A,MATCH(M33,'Skeet Ind Concurrent Ranking'!L:L,0)),'Tournament List'!A:A,0)),"")</f>
        <v>181</v>
      </c>
      <c r="O33" s="176" t="str">
        <f>IFERROR(INDEX('Tournament List'!V:V,MATCH(N33,'Tournament List'!S:S,0)),"")</f>
        <v>Littleton Target Masters</v>
      </c>
      <c r="P33" s="231" t="str">
        <f>IFERROR(INDEX('Squad Listing'!D:D,MATCH(N33,'Squad Listing'!A:A,0)),"")</f>
        <v>Novice</v>
      </c>
      <c r="Q33" s="232">
        <f>IFERROR(INDEX('Tournament List'!Y:Y,MATCH(N33&amp;"-1",'Tournament List'!U:U,0)),"")</f>
        <v>174</v>
      </c>
      <c r="R33" s="178" t="str">
        <f>IFERROR(INDEX('Tournament List'!D:D,MATCH(N33&amp;"-1",'Tournament List'!T:T,0)),"")</f>
        <v>Randy Last Name36</v>
      </c>
      <c r="S33" s="179">
        <f>IFERROR(INDEX('Tournament List'!AB:AB,MATCH(N33&amp;"-1",'Tournament List'!T:T,0)),"")</f>
        <v>63</v>
      </c>
      <c r="U33" s="268">
        <f>U32</f>
        <v>61</v>
      </c>
      <c r="V33" s="262" t="str">
        <f t="shared" ref="V33:V34" si="61">V32</f>
        <v>Forge Christian Shooting Team</v>
      </c>
      <c r="W33" s="263">
        <f t="shared" ref="W33:W34" si="62">W32</f>
        <v>231</v>
      </c>
      <c r="X33" s="262" t="str">
        <f t="shared" si="55"/>
        <v>Steve Last Name22</v>
      </c>
      <c r="Y33" s="262">
        <f t="shared" si="56"/>
        <v>70</v>
      </c>
      <c r="Z33" s="262" t="str">
        <f t="shared" ref="Z33:AA34" si="63">Z32</f>
        <v>Intermediate</v>
      </c>
      <c r="AA33" s="262" t="str">
        <f t="shared" si="63"/>
        <v>Intermediate Skeet Team Runner Up</v>
      </c>
      <c r="AB33" s="269" t="str">
        <f>IFERROR(INDEX('Tournament List'!A:A,MATCH(U33&amp;"-2",'Tournament List'!T:T,0)),"")</f>
        <v>24-1021</v>
      </c>
    </row>
    <row r="34" spans="1:28" ht="15" thickBot="1" x14ac:dyDescent="0.35">
      <c r="A34" s="163"/>
      <c r="B34" s="168"/>
      <c r="C34" s="169"/>
      <c r="D34" s="170"/>
      <c r="E34" s="164" t="str">
        <f>IFERROR(INDEX('Tournament List'!D:D,MATCH(B33&amp;"-2",'Tournament List'!T:T,0)),"")</f>
        <v/>
      </c>
      <c r="F34" s="165" t="str">
        <f>IFERROR(INDEX('Tournament List'!AB:AB,MATCH(B33&amp;"-2",'Tournament List'!T:T,0)),"")</f>
        <v/>
      </c>
      <c r="G34" s="212"/>
      <c r="H34" s="127"/>
      <c r="I34" s="128"/>
      <c r="J34" s="129"/>
      <c r="K34" s="180" t="str">
        <f>IFERROR(INDEX('Tournament List'!D:D,MATCH(H33&amp;"-2",'Tournament List'!T:T,0)),"")</f>
        <v/>
      </c>
      <c r="L34" s="181" t="str">
        <f>IFERROR(INDEX('Tournament List'!AB:AB,MATCH(H33&amp;"-2",'Tournament List'!T:T,0)),"")</f>
        <v/>
      </c>
      <c r="M34" s="212"/>
      <c r="N34" s="127"/>
      <c r="O34" s="128"/>
      <c r="P34" s="129"/>
      <c r="Q34" s="129"/>
      <c r="R34" s="180" t="str">
        <f>IFERROR(INDEX('Tournament List'!D:D,MATCH(N33&amp;"-2",'Tournament List'!T:T,0)),"")</f>
        <v>Ben Last Name6</v>
      </c>
      <c r="S34" s="181">
        <f>IFERROR(INDEX('Tournament List'!AB:AB,MATCH(N33&amp;"-2",'Tournament List'!T:T,0)),"")</f>
        <v>51</v>
      </c>
      <c r="U34" s="270">
        <f t="shared" ref="U34" si="64">U33</f>
        <v>61</v>
      </c>
      <c r="V34" s="271" t="str">
        <f t="shared" si="61"/>
        <v>Forge Christian Shooting Team</v>
      </c>
      <c r="W34" s="272">
        <f t="shared" si="62"/>
        <v>231</v>
      </c>
      <c r="X34" s="271" t="str">
        <f t="shared" si="55"/>
        <v>Marty Last Name34</v>
      </c>
      <c r="Y34" s="271">
        <f t="shared" si="56"/>
        <v>68</v>
      </c>
      <c r="Z34" s="271" t="str">
        <f t="shared" si="63"/>
        <v>Intermediate</v>
      </c>
      <c r="AA34" s="271" t="str">
        <f t="shared" si="63"/>
        <v>Intermediate Skeet Team Runner Up</v>
      </c>
      <c r="AB34" s="273" t="str">
        <f>IFERROR(INDEX('Tournament List'!A:A,MATCH(U34&amp;"-3",'Tournament List'!T:T,0)),"")</f>
        <v>24-1033</v>
      </c>
    </row>
    <row r="35" spans="1:28" ht="15" thickBot="1" x14ac:dyDescent="0.35">
      <c r="A35" s="163"/>
      <c r="B35" s="171"/>
      <c r="C35" s="172"/>
      <c r="D35" s="173"/>
      <c r="E35" s="166" t="str">
        <f>IFERROR(INDEX('Tournament List'!D:D,MATCH(B33&amp;"-3",'Tournament List'!T:T,0)),"")</f>
        <v/>
      </c>
      <c r="F35" s="167" t="str">
        <f>IFERROR(INDEX('Tournament List'!AB:AB,MATCH(B33&amp;"-3",'Tournament List'!T:T,0)),"")</f>
        <v/>
      </c>
      <c r="G35" s="212"/>
      <c r="H35" s="130"/>
      <c r="I35" s="131"/>
      <c r="J35" s="132"/>
      <c r="K35" s="182" t="str">
        <f>IFERROR(INDEX('Tournament List'!D:D,MATCH(H33&amp;"-3",'Tournament List'!T:T,0)),"")</f>
        <v/>
      </c>
      <c r="L35" s="183" t="str">
        <f>IFERROR(INDEX('Tournament List'!AB:AB,MATCH(H33&amp;"-3",'Tournament List'!T:T,0)),"")</f>
        <v/>
      </c>
      <c r="M35" s="212"/>
      <c r="N35" s="130"/>
      <c r="O35" s="131"/>
      <c r="P35" s="132"/>
      <c r="Q35" s="132"/>
      <c r="R35" s="182" t="str">
        <f>IFERROR(INDEX('Tournament List'!D:D,MATCH(N33&amp;"-3",'Tournament List'!T:T,0)),"")</f>
        <v>Owen Last Name42</v>
      </c>
      <c r="S35" s="183">
        <f>IFERROR(INDEX('Tournament List'!AB:AB,MATCH(N33&amp;"-3",'Tournament List'!T:T,0)),"")</f>
        <v>60</v>
      </c>
      <c r="U35" s="264">
        <f>H9</f>
        <v>232</v>
      </c>
      <c r="V35" s="265" t="str">
        <f t="shared" ref="V35" si="65">I9</f>
        <v>Rocky Mountain Clay Busters</v>
      </c>
      <c r="W35" s="266">
        <f t="shared" ref="W35" si="66">J9</f>
        <v>177</v>
      </c>
      <c r="X35" s="265" t="str">
        <f t="shared" ref="X35:X37" si="67">K9</f>
        <v>Trisha Last Name44</v>
      </c>
      <c r="Y35" s="266">
        <f t="shared" ref="Y35:Y37" si="68">L9</f>
        <v>72</v>
      </c>
      <c r="Z35" s="266" t="s">
        <v>117</v>
      </c>
      <c r="AA35" s="266" t="s">
        <v>897</v>
      </c>
      <c r="AB35" s="267" t="str">
        <f>IFERROR(INDEX('Tournament List'!A:A,MATCH(U35&amp;"-1",'Tournament List'!T:T,0)),"")</f>
        <v>24-1043</v>
      </c>
    </row>
    <row r="36" spans="1:28" ht="15" thickBot="1" x14ac:dyDescent="0.35">
      <c r="A36"/>
      <c r="B36"/>
      <c r="C36"/>
      <c r="D36"/>
      <c r="E36"/>
      <c r="G36"/>
      <c r="H36"/>
      <c r="J36"/>
      <c r="L36"/>
      <c r="M36" s="213">
        <v>12</v>
      </c>
      <c r="N36" s="214">
        <f>IFERROR(INDEX('Tournament List'!S:S,MATCH(INDEX('Skeet Ind Concurrent Ranking'!A:A,MATCH(M36,'Skeet Ind Concurrent Ranking'!L:L,0)),'Tournament List'!A:A,0)),"")</f>
        <v>74</v>
      </c>
      <c r="O36" s="215" t="str">
        <f>IFERROR(INDEX('Tournament List'!V:V,MATCH(N36,'Tournament List'!S:S,0)),"")</f>
        <v>Forge Christian Shooting Team</v>
      </c>
      <c r="P36" s="216" t="str">
        <f>IFERROR(INDEX('Squad Listing'!D:D,MATCH(N36,'Squad Listing'!A:A,0)),"")</f>
        <v>Varsity</v>
      </c>
      <c r="Q36" s="217">
        <f>IFERROR(INDEX('Tournament List'!Y:Y,MATCH(N36&amp;"-1",'Tournament List'!U:U,0)),"")</f>
        <v>154</v>
      </c>
      <c r="R36" s="218" t="str">
        <f>IFERROR(INDEX('Tournament List'!D:D,MATCH(N36&amp;"-1",'Tournament List'!T:T,0)),"")</f>
        <v>Sam Last Name46</v>
      </c>
      <c r="S36" s="219">
        <f>IFERROR(INDEX('Tournament List'!AB:AB,MATCH(N36&amp;"-1",'Tournament List'!T:T,0)),"")</f>
        <v>32</v>
      </c>
      <c r="U36" s="268">
        <f>U35</f>
        <v>232</v>
      </c>
      <c r="V36" s="262" t="str">
        <f t="shared" ref="V36:V37" si="69">V35</f>
        <v>Rocky Mountain Clay Busters</v>
      </c>
      <c r="W36" s="263">
        <f t="shared" ref="W36:W37" si="70">W35</f>
        <v>177</v>
      </c>
      <c r="X36" s="262" t="str">
        <f t="shared" si="67"/>
        <v>Henry Last Name14</v>
      </c>
      <c r="Y36" s="262">
        <f t="shared" si="68"/>
        <v>76</v>
      </c>
      <c r="Z36" s="262" t="str">
        <f t="shared" ref="Z36:AA37" si="71">Z35</f>
        <v>Intermediate</v>
      </c>
      <c r="AA36" s="262" t="str">
        <f t="shared" si="71"/>
        <v>Intermediate Skeet Team 3rd</v>
      </c>
      <c r="AB36" s="269" t="str">
        <f>IFERROR(INDEX('Tournament List'!A:A,MATCH(U36&amp;"-2",'Tournament List'!T:T,0)),"")</f>
        <v>24-1013</v>
      </c>
    </row>
    <row r="37" spans="1:28" ht="15" thickBot="1" x14ac:dyDescent="0.35">
      <c r="A37"/>
      <c r="B37"/>
      <c r="C37"/>
      <c r="D37"/>
      <c r="E37"/>
      <c r="G37"/>
      <c r="H37"/>
      <c r="J37"/>
      <c r="L37"/>
      <c r="M37" s="220"/>
      <c r="N37" s="225"/>
      <c r="O37" s="226"/>
      <c r="P37" s="227"/>
      <c r="Q37" s="227"/>
      <c r="R37" s="221" t="str">
        <f>IFERROR(INDEX('Tournament List'!D:D,MATCH(N36&amp;"-2",'Tournament List'!T:T,0)),"")</f>
        <v>Brad Last Name28</v>
      </c>
      <c r="S37" s="222">
        <f>IFERROR(INDEX('Tournament List'!AB:AB,MATCH(N36&amp;"-2",'Tournament List'!T:T,0)),"")</f>
        <v>63</v>
      </c>
      <c r="U37" s="270">
        <f t="shared" ref="U37" si="72">U36</f>
        <v>232</v>
      </c>
      <c r="V37" s="271" t="str">
        <f t="shared" si="69"/>
        <v>Rocky Mountain Clay Busters</v>
      </c>
      <c r="W37" s="272">
        <f t="shared" si="70"/>
        <v>177</v>
      </c>
      <c r="X37" s="271" t="str">
        <f t="shared" si="67"/>
        <v>Kelly Last Name32</v>
      </c>
      <c r="Y37" s="271">
        <f t="shared" si="68"/>
        <v>29</v>
      </c>
      <c r="Z37" s="271" t="str">
        <f t="shared" si="71"/>
        <v>Intermediate</v>
      </c>
      <c r="AA37" s="271" t="str">
        <f t="shared" si="71"/>
        <v>Intermediate Skeet Team 3rd</v>
      </c>
      <c r="AB37" s="273" t="str">
        <f>IFERROR(INDEX('Tournament List'!A:A,MATCH(U37&amp;"-3",'Tournament List'!T:T,0)),"")</f>
        <v>24-1031</v>
      </c>
    </row>
    <row r="38" spans="1:28" ht="15" thickBot="1" x14ac:dyDescent="0.35">
      <c r="A38"/>
      <c r="B38"/>
      <c r="C38"/>
      <c r="D38"/>
      <c r="E38"/>
      <c r="G38"/>
      <c r="H38"/>
      <c r="J38"/>
      <c r="L38"/>
      <c r="M38" s="220"/>
      <c r="N38" s="228"/>
      <c r="O38" s="229"/>
      <c r="P38" s="230"/>
      <c r="Q38" s="230"/>
      <c r="R38" s="223" t="str">
        <f>IFERROR(INDEX('Tournament List'!D:D,MATCH(N36&amp;"-3",'Tournament List'!T:T,0)),"")</f>
        <v>Troy Last Name40</v>
      </c>
      <c r="S38" s="224">
        <f>IFERROR(INDEX('Tournament List'!AB:AB,MATCH(N36&amp;"-3",'Tournament List'!T:T,0)),"")</f>
        <v>59</v>
      </c>
      <c r="U38" s="264">
        <f>H15</f>
        <v>10</v>
      </c>
      <c r="V38" s="265" t="str">
        <f>I15</f>
        <v>Brighton Clay Crushers</v>
      </c>
      <c r="W38" s="266">
        <f>J15</f>
        <v>220</v>
      </c>
      <c r="X38" s="265" t="str">
        <f>K15</f>
        <v>Joan Last Name17</v>
      </c>
      <c r="Y38" s="266">
        <f>L15</f>
        <v>60</v>
      </c>
      <c r="Z38" s="266" t="s">
        <v>116</v>
      </c>
      <c r="AA38" s="266" t="s">
        <v>898</v>
      </c>
      <c r="AB38" s="267" t="str">
        <f>IFERROR(INDEX('Tournament List'!A:A,MATCH(U38&amp;"-1",'Tournament List'!T:T,0)),"")</f>
        <v>24-1016</v>
      </c>
    </row>
    <row r="39" spans="1:28" ht="15" thickBot="1" x14ac:dyDescent="0.35">
      <c r="A39"/>
      <c r="B39"/>
      <c r="C39"/>
      <c r="D39"/>
      <c r="E39"/>
      <c r="G39"/>
      <c r="H39"/>
      <c r="J39"/>
      <c r="L39"/>
      <c r="M39" s="174">
        <v>13</v>
      </c>
      <c r="N39" s="175" t="str">
        <f>IFERROR(INDEX('Tournament List'!S:S,MATCH(INDEX('Skeet Ind Concurrent Ranking'!A:A,MATCH(M39,'Skeet Ind Concurrent Ranking'!L:L,0)),'Tournament List'!A:A,0)),"")</f>
        <v/>
      </c>
      <c r="O39" s="176" t="str">
        <f>IFERROR(INDEX('Tournament List'!V:V,MATCH(N39,'Tournament List'!S:S,0)),"")</f>
        <v/>
      </c>
      <c r="P39" s="231" t="str">
        <f>IFERROR(INDEX('Squad Listing'!D:D,MATCH(N39,'Squad Listing'!A:A,0)),"")</f>
        <v/>
      </c>
      <c r="Q39" s="232" t="str">
        <f>IFERROR(INDEX('Tournament List'!Y:Y,MATCH(N39&amp;"-1",'Tournament List'!U:U,0)),"")</f>
        <v/>
      </c>
      <c r="R39" s="178" t="str">
        <f>IFERROR(INDEX('Tournament List'!D:D,MATCH(N39&amp;"-1",'Tournament List'!T:T,0)),"")</f>
        <v/>
      </c>
      <c r="S39" s="179" t="str">
        <f>IFERROR(INDEX('Tournament List'!AB:AB,MATCH(N39&amp;"-1",'Tournament List'!T:T,0)),"")</f>
        <v/>
      </c>
      <c r="U39" s="268">
        <f>U38</f>
        <v>10</v>
      </c>
      <c r="V39" s="262" t="str">
        <f t="shared" ref="V39:V40" si="73">V38</f>
        <v>Brighton Clay Crushers</v>
      </c>
      <c r="W39" s="263">
        <f t="shared" ref="W39:W40" si="74">W38</f>
        <v>220</v>
      </c>
      <c r="X39" s="262" t="str">
        <f>K16</f>
        <v>Patricia Last Name35</v>
      </c>
      <c r="Y39" s="262">
        <f>L16</f>
        <v>95</v>
      </c>
      <c r="Z39" s="262" t="str">
        <f t="shared" ref="Z39:Z40" si="75">Z38</f>
        <v>Novice</v>
      </c>
      <c r="AA39" s="262" t="str">
        <f t="shared" ref="AA39:AA40" si="76">AA38</f>
        <v>Novice Skeet Team 3rd</v>
      </c>
      <c r="AB39" s="269" t="str">
        <f>IFERROR(INDEX('Tournament List'!A:A,MATCH(U39&amp;"-2",'Tournament List'!T:T,0)),"")</f>
        <v>24-1034</v>
      </c>
    </row>
    <row r="40" spans="1:28" ht="15" thickBot="1" x14ac:dyDescent="0.35">
      <c r="A40"/>
      <c r="B40"/>
      <c r="C40"/>
      <c r="D40"/>
      <c r="E40"/>
      <c r="G40"/>
      <c r="H40"/>
      <c r="J40"/>
      <c r="L40"/>
      <c r="M40" s="212"/>
      <c r="N40" s="127"/>
      <c r="O40" s="128"/>
      <c r="P40" s="129"/>
      <c r="Q40" s="129"/>
      <c r="R40" s="180" t="str">
        <f>IFERROR(INDEX('Tournament List'!D:D,MATCH(N39&amp;"-2",'Tournament List'!T:T,0)),"")</f>
        <v/>
      </c>
      <c r="S40" s="181" t="str">
        <f>IFERROR(INDEX('Tournament List'!AB:AB,MATCH(N39&amp;"-2",'Tournament List'!T:T,0)),"")</f>
        <v/>
      </c>
      <c r="U40" s="270">
        <f t="shared" ref="U40" si="77">U39</f>
        <v>10</v>
      </c>
      <c r="V40" s="271" t="str">
        <f t="shared" si="73"/>
        <v>Brighton Clay Crushers</v>
      </c>
      <c r="W40" s="272">
        <f t="shared" si="74"/>
        <v>220</v>
      </c>
      <c r="X40" s="271" t="str">
        <f>K17</f>
        <v>Rick Last Name47</v>
      </c>
      <c r="Y40" s="271">
        <f>L17</f>
        <v>65</v>
      </c>
      <c r="Z40" s="271" t="str">
        <f t="shared" si="75"/>
        <v>Novice</v>
      </c>
      <c r="AA40" s="271" t="str">
        <f t="shared" si="76"/>
        <v>Novice Skeet Team 3rd</v>
      </c>
      <c r="AB40" s="273" t="str">
        <f>IFERROR(INDEX('Tournament List'!A:A,MATCH(U40&amp;"-3",'Tournament List'!T:T,0)),"")</f>
        <v>24-1046</v>
      </c>
    </row>
    <row r="41" spans="1:28" ht="15" thickBot="1" x14ac:dyDescent="0.35">
      <c r="A41"/>
      <c r="B41"/>
      <c r="C41"/>
      <c r="D41"/>
      <c r="E41"/>
      <c r="G41"/>
      <c r="H41"/>
      <c r="J41"/>
      <c r="L41"/>
      <c r="M41" s="212"/>
      <c r="N41" s="130"/>
      <c r="O41" s="131"/>
      <c r="P41" s="132"/>
      <c r="Q41" s="132"/>
      <c r="R41" s="182" t="str">
        <f>IFERROR(INDEX('Tournament List'!D:D,MATCH(N39&amp;"-3",'Tournament List'!T:T,0)),"")</f>
        <v/>
      </c>
      <c r="S41" s="183" t="str">
        <f>IFERROR(INDEX('Tournament List'!AB:AB,MATCH(N39&amp;"-3",'Tournament List'!T:T,0)),"")</f>
        <v/>
      </c>
      <c r="U41" s="264">
        <f>H18</f>
        <v>295</v>
      </c>
      <c r="V41" s="265" t="str">
        <f>I18</f>
        <v>Wiggins Tigers Sporting Club</v>
      </c>
      <c r="W41" s="266">
        <f>J18</f>
        <v>199</v>
      </c>
      <c r="X41" s="265" t="str">
        <f>K18</f>
        <v>Dee Last Name45</v>
      </c>
      <c r="Y41" s="266">
        <f>L18</f>
        <v>54</v>
      </c>
      <c r="Z41" s="266" t="s">
        <v>116</v>
      </c>
      <c r="AA41" s="266" t="s">
        <v>898</v>
      </c>
      <c r="AB41" s="267" t="str">
        <f>IFERROR(INDEX('Tournament List'!A:A,MATCH(U41&amp;"-1",'Tournament List'!T:T,0)),"")</f>
        <v>24-1044</v>
      </c>
    </row>
    <row r="42" spans="1:28" ht="15" thickBot="1" x14ac:dyDescent="0.35">
      <c r="A42"/>
      <c r="B42"/>
      <c r="C42"/>
      <c r="D42"/>
      <c r="E42"/>
      <c r="G42"/>
      <c r="H42"/>
      <c r="J42"/>
      <c r="L42"/>
      <c r="M42" s="213">
        <v>14</v>
      </c>
      <c r="N42" s="214" t="str">
        <f>IFERROR(INDEX('Tournament List'!S:S,MATCH(INDEX('Skeet Ind Concurrent Ranking'!A:A,MATCH(M42,'Skeet Ind Concurrent Ranking'!L:L,0)),'Tournament List'!A:A,0)),"")</f>
        <v/>
      </c>
      <c r="O42" s="215" t="str">
        <f>IFERROR(INDEX('Tournament List'!V:V,MATCH(N42,'Tournament List'!S:S,0)),"")</f>
        <v/>
      </c>
      <c r="P42" s="216" t="str">
        <f>IFERROR(INDEX('Squad Listing'!D:D,MATCH(N42,'Squad Listing'!A:A,0)),"")</f>
        <v/>
      </c>
      <c r="Q42" s="217" t="str">
        <f>IFERROR(INDEX('Tournament List'!Y:Y,MATCH(N42&amp;"-1",'Tournament List'!U:U,0)),"")</f>
        <v/>
      </c>
      <c r="R42" s="218" t="str">
        <f>IFERROR(INDEX('Tournament List'!D:D,MATCH(N42&amp;"-1",'Tournament List'!T:T,0)),"")</f>
        <v/>
      </c>
      <c r="S42" s="219" t="str">
        <f>IFERROR(INDEX('Tournament List'!AB:AB,MATCH(N42&amp;"-1",'Tournament List'!T:T,0)),"")</f>
        <v/>
      </c>
      <c r="U42" s="268">
        <f>U41</f>
        <v>295</v>
      </c>
      <c r="V42" s="262" t="str">
        <f t="shared" ref="V42:V43" si="78">V41</f>
        <v>Wiggins Tigers Sporting Club</v>
      </c>
      <c r="W42" s="263">
        <f t="shared" ref="W42:W43" si="79">W41</f>
        <v>199</v>
      </c>
      <c r="X42" s="262" t="str">
        <f>K19</f>
        <v>Nathan Last Name21</v>
      </c>
      <c r="Y42" s="262">
        <f>L19</f>
        <v>72</v>
      </c>
      <c r="Z42" s="262" t="str">
        <f t="shared" ref="Z42:Z43" si="80">Z41</f>
        <v>Novice</v>
      </c>
      <c r="AA42" s="262" t="str">
        <f t="shared" ref="AA42:AA43" si="81">AA41</f>
        <v>Novice Skeet Team 3rd</v>
      </c>
      <c r="AB42" s="269" t="str">
        <f>IFERROR(INDEX('Tournament List'!A:A,MATCH(U42&amp;"-2",'Tournament List'!T:T,0)),"")</f>
        <v>24-1020</v>
      </c>
    </row>
    <row r="43" spans="1:28" ht="15" thickBot="1" x14ac:dyDescent="0.35">
      <c r="A43"/>
      <c r="B43"/>
      <c r="C43"/>
      <c r="D43"/>
      <c r="E43"/>
      <c r="G43"/>
      <c r="H43"/>
      <c r="J43"/>
      <c r="L43"/>
      <c r="M43" s="220"/>
      <c r="N43" s="225"/>
      <c r="O43" s="226"/>
      <c r="P43" s="227"/>
      <c r="Q43" s="227"/>
      <c r="R43" s="221" t="str">
        <f>IFERROR(INDEX('Tournament List'!D:D,MATCH(N42&amp;"-2",'Tournament List'!T:T,0)),"")</f>
        <v/>
      </c>
      <c r="S43" s="222" t="str">
        <f>IFERROR(INDEX('Tournament List'!AB:AB,MATCH(N42&amp;"-2",'Tournament List'!T:T,0)),"")</f>
        <v/>
      </c>
      <c r="U43" s="270">
        <f t="shared" ref="U43" si="82">U42</f>
        <v>295</v>
      </c>
      <c r="V43" s="271" t="str">
        <f t="shared" si="78"/>
        <v>Wiggins Tigers Sporting Club</v>
      </c>
      <c r="W43" s="272">
        <f t="shared" si="79"/>
        <v>199</v>
      </c>
      <c r="X43" s="271" t="str">
        <f>K20</f>
        <v>Missy Last Name33</v>
      </c>
      <c r="Y43" s="271">
        <f>L20</f>
        <v>73</v>
      </c>
      <c r="Z43" s="271" t="str">
        <f t="shared" si="80"/>
        <v>Novice</v>
      </c>
      <c r="AA43" s="271" t="str">
        <f t="shared" si="81"/>
        <v>Novice Skeet Team 3rd</v>
      </c>
      <c r="AB43" s="273" t="str">
        <f>IFERROR(INDEX('Tournament List'!A:A,MATCH(U43&amp;"-3",'Tournament List'!T:T,0)),"")</f>
        <v>24-1032</v>
      </c>
    </row>
    <row r="44" spans="1:28" ht="15" thickBot="1" x14ac:dyDescent="0.35">
      <c r="A44"/>
      <c r="B44"/>
      <c r="C44"/>
      <c r="D44"/>
      <c r="E44"/>
      <c r="G44"/>
      <c r="H44"/>
      <c r="J44"/>
      <c r="L44"/>
      <c r="M44" s="220"/>
      <c r="N44" s="228"/>
      <c r="O44" s="229"/>
      <c r="P44" s="230"/>
      <c r="Q44" s="230"/>
      <c r="R44" s="223" t="str">
        <f>IFERROR(INDEX('Tournament List'!D:D,MATCH(N42&amp;"-3",'Tournament List'!T:T,0)),"")</f>
        <v/>
      </c>
      <c r="S44" s="224" t="str">
        <f>IFERROR(INDEX('Tournament List'!AB:AB,MATCH(N42&amp;"-3",'Tournament List'!T:T,0)),"")</f>
        <v/>
      </c>
      <c r="U44" s="264">
        <f>H21</f>
        <v>181</v>
      </c>
      <c r="V44" s="265" t="str">
        <f>I21</f>
        <v>Littleton Target Masters</v>
      </c>
      <c r="W44" s="266">
        <f>J21</f>
        <v>174</v>
      </c>
      <c r="X44" s="265" t="str">
        <f>K21</f>
        <v>Randy Last Name36</v>
      </c>
      <c r="Y44" s="266">
        <f>L21</f>
        <v>63</v>
      </c>
      <c r="Z44" s="266" t="s">
        <v>116</v>
      </c>
      <c r="AA44" s="266" t="s">
        <v>898</v>
      </c>
      <c r="AB44" s="267" t="str">
        <f>IFERROR(INDEX('Tournament List'!A:A,MATCH(U44&amp;"-1",'Tournament List'!T:T,0)),"")</f>
        <v>24-1035</v>
      </c>
    </row>
    <row r="45" spans="1:28" ht="15" thickBot="1" x14ac:dyDescent="0.35">
      <c r="A45"/>
      <c r="B45"/>
      <c r="C45"/>
      <c r="D45"/>
      <c r="E45"/>
      <c r="G45"/>
      <c r="H45"/>
      <c r="J45"/>
      <c r="L45"/>
      <c r="M45" s="174">
        <v>15</v>
      </c>
      <c r="N45" s="175" t="str">
        <f>IFERROR(INDEX('Tournament List'!S:S,MATCH(INDEX('Skeet Ind Concurrent Ranking'!A:A,MATCH(M45,'Skeet Ind Concurrent Ranking'!L:L,0)),'Tournament List'!A:A,0)),"")</f>
        <v/>
      </c>
      <c r="O45" s="176" t="str">
        <f>IFERROR(INDEX('Tournament List'!V:V,MATCH(N45,'Tournament List'!S:S,0)),"")</f>
        <v/>
      </c>
      <c r="P45" s="231" t="str">
        <f>IFERROR(INDEX('Squad Listing'!D:D,MATCH(N45,'Squad Listing'!A:A,0)),"")</f>
        <v/>
      </c>
      <c r="Q45" s="232" t="str">
        <f>IFERROR(INDEX('Tournament List'!Y:Y,MATCH(N45&amp;"-1",'Tournament List'!U:U,0)),"")</f>
        <v/>
      </c>
      <c r="R45" s="178" t="str">
        <f>IFERROR(INDEX('Tournament List'!D:D,MATCH(N45&amp;"-1",'Tournament List'!T:T,0)),"")</f>
        <v/>
      </c>
      <c r="S45" s="179" t="str">
        <f>IFERROR(INDEX('Tournament List'!AB:AB,MATCH(N45&amp;"-1",'Tournament List'!T:T,0)),"")</f>
        <v/>
      </c>
      <c r="U45" s="268">
        <f>U44</f>
        <v>181</v>
      </c>
      <c r="V45" s="262" t="str">
        <f t="shared" ref="V45:V46" si="83">V44</f>
        <v>Littleton Target Masters</v>
      </c>
      <c r="W45" s="263">
        <f t="shared" ref="W45:W46" si="84">W44</f>
        <v>174</v>
      </c>
      <c r="X45" s="262" t="str">
        <f>K22</f>
        <v>Ben Last Name6</v>
      </c>
      <c r="Y45" s="262">
        <f>L22</f>
        <v>51</v>
      </c>
      <c r="Z45" s="262" t="str">
        <f t="shared" ref="Z45:Z46" si="85">Z44</f>
        <v>Novice</v>
      </c>
      <c r="AA45" s="262" t="str">
        <f t="shared" ref="AA45:AA46" si="86">AA44</f>
        <v>Novice Skeet Team 3rd</v>
      </c>
      <c r="AB45" s="269" t="str">
        <f>IFERROR(INDEX('Tournament List'!A:A,MATCH(U45&amp;"-2",'Tournament List'!T:T,0)),"")</f>
        <v>24-1005</v>
      </c>
    </row>
    <row r="46" spans="1:28" ht="15" thickBot="1" x14ac:dyDescent="0.35">
      <c r="A46"/>
      <c r="B46"/>
      <c r="C46"/>
      <c r="D46"/>
      <c r="E46"/>
      <c r="G46"/>
      <c r="H46"/>
      <c r="J46"/>
      <c r="L46"/>
      <c r="M46" s="212"/>
      <c r="N46" s="127"/>
      <c r="O46" s="128"/>
      <c r="P46" s="129"/>
      <c r="Q46" s="129"/>
      <c r="R46" s="180" t="str">
        <f>IFERROR(INDEX('Tournament List'!D:D,MATCH(N45&amp;"-2",'Tournament List'!T:T,0)),"")</f>
        <v/>
      </c>
      <c r="S46" s="181" t="str">
        <f>IFERROR(INDEX('Tournament List'!AB:AB,MATCH(N45&amp;"-2",'Tournament List'!T:T,0)),"")</f>
        <v/>
      </c>
      <c r="U46" s="270">
        <f t="shared" ref="U46" si="87">U45</f>
        <v>181</v>
      </c>
      <c r="V46" s="271" t="str">
        <f t="shared" si="83"/>
        <v>Littleton Target Masters</v>
      </c>
      <c r="W46" s="272">
        <f t="shared" si="84"/>
        <v>174</v>
      </c>
      <c r="X46" s="271" t="str">
        <f>K23</f>
        <v>Owen Last Name42</v>
      </c>
      <c r="Y46" s="271">
        <f>L23</f>
        <v>60</v>
      </c>
      <c r="Z46" s="271" t="str">
        <f t="shared" si="85"/>
        <v>Novice</v>
      </c>
      <c r="AA46" s="271" t="str">
        <f t="shared" si="86"/>
        <v>Novice Skeet Team 3rd</v>
      </c>
      <c r="AB46" s="273" t="str">
        <f>IFERROR(INDEX('Tournament List'!A:A,MATCH(U46&amp;"-3",'Tournament List'!T:T,0)),"")</f>
        <v>24-1041</v>
      </c>
    </row>
    <row r="47" spans="1:28" ht="15" thickBot="1" x14ac:dyDescent="0.35">
      <c r="A47"/>
      <c r="B47"/>
      <c r="C47"/>
      <c r="D47"/>
      <c r="E47"/>
      <c r="G47"/>
      <c r="H47"/>
      <c r="J47"/>
      <c r="L47"/>
      <c r="M47" s="212"/>
      <c r="N47" s="130"/>
      <c r="O47" s="131"/>
      <c r="P47" s="132"/>
      <c r="Q47" s="132"/>
      <c r="R47" s="182" t="str">
        <f>IFERROR(INDEX('Tournament List'!D:D,MATCH(N45&amp;"-3",'Tournament List'!T:T,0)),"")</f>
        <v/>
      </c>
      <c r="S47" s="183" t="str">
        <f>IFERROR(INDEX('Tournament List'!AB:AB,MATCH(N45&amp;"-3",'Tournament List'!T:T,0)),"")</f>
        <v/>
      </c>
      <c r="U47" s="264">
        <f>H27</f>
        <v>127</v>
      </c>
      <c r="V47" s="265" t="str">
        <f>I27</f>
        <v>High Plains Drifters</v>
      </c>
      <c r="W47" s="266">
        <f>J27</f>
        <v>239.1</v>
      </c>
      <c r="X47" s="265" t="str">
        <f>K27</f>
        <v>Jack Last Name19</v>
      </c>
      <c r="Y47" s="266">
        <f>L27</f>
        <v>82</v>
      </c>
      <c r="Z47" s="266" t="s">
        <v>266</v>
      </c>
      <c r="AA47" s="266" t="s">
        <v>899</v>
      </c>
      <c r="AB47" s="267" t="str">
        <f>IFERROR(INDEX('Tournament List'!A:A,MATCH(U47&amp;"-1",'Tournament List'!T:T,0)),"")</f>
        <v>24-1018</v>
      </c>
    </row>
    <row r="48" spans="1:28" ht="15" thickBot="1" x14ac:dyDescent="0.35">
      <c r="A48"/>
      <c r="B48"/>
      <c r="C48"/>
      <c r="D48"/>
      <c r="E48"/>
      <c r="G48"/>
      <c r="H48"/>
      <c r="J48"/>
      <c r="L48"/>
      <c r="M48" s="213">
        <v>16</v>
      </c>
      <c r="N48" s="214" t="str">
        <f>IFERROR(INDEX('Tournament List'!S:S,MATCH(INDEX('Skeet Ind Concurrent Ranking'!A:A,MATCH(M48,'Skeet Ind Concurrent Ranking'!L:L,0)),'Tournament List'!A:A,0)),"")</f>
        <v/>
      </c>
      <c r="O48" s="215" t="str">
        <f>IFERROR(INDEX('Tournament List'!V:V,MATCH(N48,'Tournament List'!S:S,0)),"")</f>
        <v/>
      </c>
      <c r="P48" s="216" t="str">
        <f>IFERROR(INDEX('Squad Listing'!D:D,MATCH(N48,'Squad Listing'!A:A,0)),"")</f>
        <v/>
      </c>
      <c r="Q48" s="217" t="str">
        <f>IFERROR(INDEX('Tournament List'!Y:Y,MATCH(N48&amp;"-1",'Tournament List'!U:U,0)),"")</f>
        <v/>
      </c>
      <c r="R48" s="218" t="str">
        <f>IFERROR(INDEX('Tournament List'!D:D,MATCH(N48&amp;"-1",'Tournament List'!T:T,0)),"")</f>
        <v/>
      </c>
      <c r="S48" s="219" t="str">
        <f>IFERROR(INDEX('Tournament List'!AB:AB,MATCH(N48&amp;"-1",'Tournament List'!T:T,0)),"")</f>
        <v/>
      </c>
      <c r="U48" s="268">
        <f>U47</f>
        <v>127</v>
      </c>
      <c r="V48" s="262" t="str">
        <f>V47</f>
        <v>High Plains Drifters</v>
      </c>
      <c r="W48" s="263">
        <f>W47</f>
        <v>239.1</v>
      </c>
      <c r="X48" s="262" t="str">
        <f>K28</f>
        <v>Harry Last Name25</v>
      </c>
      <c r="Y48" s="262">
        <f>L28</f>
        <v>72</v>
      </c>
      <c r="Z48" s="262" t="str">
        <f>Z47</f>
        <v>Open</v>
      </c>
      <c r="AA48" s="262" t="str">
        <f>AA47</f>
        <v>Open Skeet Team 3rd</v>
      </c>
      <c r="AB48" s="269" t="str">
        <f>IFERROR(INDEX('Tournament List'!A:A,MATCH(U48&amp;"-2",'Tournament List'!T:T,0)),"")</f>
        <v>24-1024</v>
      </c>
    </row>
    <row r="49" spans="1:28" ht="15" thickBot="1" x14ac:dyDescent="0.35">
      <c r="A49"/>
      <c r="B49"/>
      <c r="C49"/>
      <c r="D49"/>
      <c r="E49"/>
      <c r="G49"/>
      <c r="H49"/>
      <c r="J49"/>
      <c r="L49"/>
      <c r="M49" s="220"/>
      <c r="N49" s="225"/>
      <c r="O49" s="226"/>
      <c r="P49" s="227"/>
      <c r="Q49" s="227"/>
      <c r="R49" s="221" t="str">
        <f>IFERROR(INDEX('Tournament List'!D:D,MATCH(N48&amp;"-2",'Tournament List'!T:T,0)),"")</f>
        <v/>
      </c>
      <c r="S49" s="222" t="str">
        <f>IFERROR(INDEX('Tournament List'!AB:AB,MATCH(N48&amp;"-2",'Tournament List'!T:T,0)),"")</f>
        <v/>
      </c>
      <c r="U49" s="270">
        <f>U48</f>
        <v>127</v>
      </c>
      <c r="V49" s="271" t="str">
        <f>V48</f>
        <v>High Plains Drifters</v>
      </c>
      <c r="W49" s="272">
        <f>W48</f>
        <v>239.1</v>
      </c>
      <c r="X49" s="271" t="str">
        <f>K29</f>
        <v>Will Last Name37</v>
      </c>
      <c r="Y49" s="271">
        <f>L29</f>
        <v>85</v>
      </c>
      <c r="Z49" s="271" t="str">
        <f>Z48</f>
        <v>Open</v>
      </c>
      <c r="AA49" s="271" t="str">
        <f>AA48</f>
        <v>Open Skeet Team 3rd</v>
      </c>
      <c r="AB49" s="273" t="str">
        <f>IFERROR(INDEX('Tournament List'!A:A,MATCH(U49&amp;"-3",'Tournament List'!T:T,0)),"")</f>
        <v>24-1036</v>
      </c>
    </row>
    <row r="50" spans="1:28" ht="15" thickBot="1" x14ac:dyDescent="0.35">
      <c r="A50"/>
      <c r="B50"/>
      <c r="C50"/>
      <c r="D50"/>
      <c r="E50"/>
      <c r="G50"/>
      <c r="H50"/>
      <c r="J50"/>
      <c r="L50"/>
      <c r="M50" s="220"/>
      <c r="N50" s="228"/>
      <c r="O50" s="229"/>
      <c r="P50" s="230"/>
      <c r="Q50" s="230"/>
      <c r="R50" s="223" t="str">
        <f>IFERROR(INDEX('Tournament List'!D:D,MATCH(N48&amp;"-3",'Tournament List'!T:T,0)),"")</f>
        <v/>
      </c>
      <c r="S50" s="224" t="str">
        <f>IFERROR(INDEX('Tournament List'!AB:AB,MATCH(N48&amp;"-3",'Tournament List'!T:T,0)),"")</f>
        <v/>
      </c>
      <c r="U50" s="264" t="str">
        <f>H30</f>
        <v/>
      </c>
      <c r="V50" s="265" t="str">
        <f>I30</f>
        <v/>
      </c>
      <c r="W50" s="266" t="str">
        <f>J30</f>
        <v/>
      </c>
      <c r="X50" s="265" t="str">
        <f>K30</f>
        <v/>
      </c>
      <c r="Y50" s="266" t="str">
        <f>L30</f>
        <v/>
      </c>
      <c r="Z50" s="266" t="s">
        <v>266</v>
      </c>
      <c r="AA50" s="266" t="s">
        <v>899</v>
      </c>
      <c r="AB50" s="267" t="str">
        <f>IFERROR(INDEX('Tournament List'!A:A,MATCH(U50&amp;"-1",'Tournament List'!T:T,0)),"")</f>
        <v/>
      </c>
    </row>
    <row r="51" spans="1:28" ht="15" thickBot="1" x14ac:dyDescent="0.35">
      <c r="A51"/>
      <c r="B51"/>
      <c r="C51"/>
      <c r="D51"/>
      <c r="E51"/>
      <c r="G51"/>
      <c r="H51"/>
      <c r="J51"/>
      <c r="L51"/>
      <c r="M51" s="174">
        <v>17</v>
      </c>
      <c r="N51" s="175" t="str">
        <f>IFERROR(INDEX('Tournament List'!S:S,MATCH(INDEX('Skeet Ind Concurrent Ranking'!A:A,MATCH(M51,'Skeet Ind Concurrent Ranking'!L:L,0)),'Tournament List'!A:A,0)),"")</f>
        <v/>
      </c>
      <c r="O51" s="176" t="str">
        <f>IFERROR(INDEX('Tournament List'!V:V,MATCH(N51,'Tournament List'!S:S,0)),"")</f>
        <v/>
      </c>
      <c r="P51" s="231" t="str">
        <f>IFERROR(INDEX('Squad Listing'!D:D,MATCH(N51,'Squad Listing'!A:A,0)),"")</f>
        <v/>
      </c>
      <c r="Q51" s="232" t="str">
        <f>IFERROR(INDEX('Tournament List'!Y:Y,MATCH(N51&amp;"-1",'Tournament List'!U:U,0)),"")</f>
        <v/>
      </c>
      <c r="R51" s="178" t="str">
        <f>IFERROR(INDEX('Tournament List'!D:D,MATCH(N51&amp;"-1",'Tournament List'!T:T,0)),"")</f>
        <v/>
      </c>
      <c r="S51" s="179" t="str">
        <f>IFERROR(INDEX('Tournament List'!AB:AB,MATCH(N51&amp;"-1",'Tournament List'!T:T,0)),"")</f>
        <v/>
      </c>
      <c r="U51" s="268" t="str">
        <f>U50</f>
        <v/>
      </c>
      <c r="V51" s="262" t="str">
        <f>V50</f>
        <v/>
      </c>
      <c r="W51" s="263" t="str">
        <f>W50</f>
        <v/>
      </c>
      <c r="X51" s="262" t="str">
        <f>K31</f>
        <v/>
      </c>
      <c r="Y51" s="262" t="str">
        <f>L31</f>
        <v/>
      </c>
      <c r="Z51" s="262" t="str">
        <f>Z50</f>
        <v>Open</v>
      </c>
      <c r="AA51" s="262" t="str">
        <f>AA50</f>
        <v>Open Skeet Team 3rd</v>
      </c>
      <c r="AB51" s="269" t="str">
        <f>IFERROR(INDEX('Tournament List'!A:A,MATCH(U51&amp;"-2",'Tournament List'!T:T,0)),"")</f>
        <v/>
      </c>
    </row>
    <row r="52" spans="1:28" ht="15" thickBot="1" x14ac:dyDescent="0.35">
      <c r="A52"/>
      <c r="B52"/>
      <c r="C52"/>
      <c r="D52"/>
      <c r="E52"/>
      <c r="G52"/>
      <c r="H52"/>
      <c r="J52"/>
      <c r="L52"/>
      <c r="M52" s="212"/>
      <c r="N52" s="127"/>
      <c r="O52" s="128"/>
      <c r="P52" s="129"/>
      <c r="Q52" s="129"/>
      <c r="R52" s="180" t="str">
        <f>IFERROR(INDEX('Tournament List'!D:D,MATCH(N51&amp;"-2",'Tournament List'!T:T,0)),"")</f>
        <v/>
      </c>
      <c r="S52" s="181" t="str">
        <f>IFERROR(INDEX('Tournament List'!AB:AB,MATCH(N51&amp;"-2",'Tournament List'!T:T,0)),"")</f>
        <v/>
      </c>
      <c r="U52" s="270" t="str">
        <f>U51</f>
        <v/>
      </c>
      <c r="V52" s="271" t="str">
        <f>V51</f>
        <v/>
      </c>
      <c r="W52" s="272" t="str">
        <f>W51</f>
        <v/>
      </c>
      <c r="X52" s="271" t="str">
        <f>K32</f>
        <v/>
      </c>
      <c r="Y52" s="271" t="str">
        <f>L32</f>
        <v/>
      </c>
      <c r="Z52" s="271" t="str">
        <f>Z51</f>
        <v>Open</v>
      </c>
      <c r="AA52" s="271" t="str">
        <f>AA51</f>
        <v>Open Skeet Team 3rd</v>
      </c>
      <c r="AB52" s="273" t="str">
        <f>IFERROR(INDEX('Tournament List'!A:A,MATCH(U52&amp;"-3",'Tournament List'!T:T,0)),"")</f>
        <v/>
      </c>
    </row>
    <row r="53" spans="1:28" ht="15" thickBot="1" x14ac:dyDescent="0.35">
      <c r="A53"/>
      <c r="B53"/>
      <c r="C53"/>
      <c r="D53"/>
      <c r="E53"/>
      <c r="G53"/>
      <c r="H53"/>
      <c r="J53"/>
      <c r="L53"/>
      <c r="M53" s="212"/>
      <c r="N53" s="130"/>
      <c r="O53" s="131"/>
      <c r="P53" s="132"/>
      <c r="Q53" s="132"/>
      <c r="R53" s="182" t="str">
        <f>IFERROR(INDEX('Tournament List'!D:D,MATCH(N51&amp;"-3",'Tournament List'!T:T,0)),"")</f>
        <v/>
      </c>
      <c r="S53" s="183" t="str">
        <f>IFERROR(INDEX('Tournament List'!AB:AB,MATCH(N51&amp;"-3",'Tournament List'!T:T,0)),"")</f>
        <v/>
      </c>
      <c r="U53" s="264" t="str">
        <f>H33</f>
        <v/>
      </c>
      <c r="V53" s="265" t="str">
        <f>I33</f>
        <v/>
      </c>
      <c r="W53" s="266" t="str">
        <f>J33</f>
        <v/>
      </c>
      <c r="X53" s="265" t="str">
        <f>K33</f>
        <v/>
      </c>
      <c r="Y53" s="266" t="str">
        <f>L33</f>
        <v/>
      </c>
      <c r="Z53" s="266" t="s">
        <v>266</v>
      </c>
      <c r="AA53" s="266" t="s">
        <v>899</v>
      </c>
      <c r="AB53" s="267" t="str">
        <f>IFERROR(INDEX('Tournament List'!A:A,MATCH(U53&amp;"-1",'Tournament List'!T:T,0)),"")</f>
        <v/>
      </c>
    </row>
    <row r="54" spans="1:28" ht="15" thickBot="1" x14ac:dyDescent="0.35">
      <c r="A54"/>
      <c r="B54"/>
      <c r="C54"/>
      <c r="D54"/>
      <c r="E54"/>
      <c r="G54"/>
      <c r="H54"/>
      <c r="J54"/>
      <c r="L54"/>
      <c r="M54" s="213">
        <v>18</v>
      </c>
      <c r="N54" s="214" t="str">
        <f>IFERROR(INDEX('Tournament List'!S:S,MATCH(INDEX('Skeet Ind Concurrent Ranking'!A:A,MATCH(M54,'Skeet Ind Concurrent Ranking'!L:L,0)),'Tournament List'!A:A,0)),"")</f>
        <v/>
      </c>
      <c r="O54" s="215" t="str">
        <f>IFERROR(INDEX('Tournament List'!V:V,MATCH(N54,'Tournament List'!S:S,0)),"")</f>
        <v/>
      </c>
      <c r="P54" s="216" t="str">
        <f>IFERROR(INDEX('Squad Listing'!D:D,MATCH(N54,'Squad Listing'!A:A,0)),"")</f>
        <v/>
      </c>
      <c r="Q54" s="217" t="str">
        <f>IFERROR(INDEX('Tournament List'!Y:Y,MATCH(N54&amp;"-1",'Tournament List'!U:U,0)),"")</f>
        <v/>
      </c>
      <c r="R54" s="218" t="str">
        <f>IFERROR(INDEX('Tournament List'!D:D,MATCH(N54&amp;"-1",'Tournament List'!T:T,0)),"")</f>
        <v/>
      </c>
      <c r="S54" s="219" t="str">
        <f>IFERROR(INDEX('Tournament List'!AB:AB,MATCH(N54&amp;"-1",'Tournament List'!T:T,0)),"")</f>
        <v/>
      </c>
      <c r="U54" s="268" t="str">
        <f>U53</f>
        <v/>
      </c>
      <c r="V54" s="262" t="str">
        <f>V53</f>
        <v/>
      </c>
      <c r="W54" s="263" t="str">
        <f>W53</f>
        <v/>
      </c>
      <c r="X54" s="262" t="str">
        <f>K34</f>
        <v/>
      </c>
      <c r="Y54" s="262" t="str">
        <f>L34</f>
        <v/>
      </c>
      <c r="Z54" s="262" t="str">
        <f>Z53</f>
        <v>Open</v>
      </c>
      <c r="AA54" s="262" t="str">
        <f>AA53</f>
        <v>Open Skeet Team 3rd</v>
      </c>
      <c r="AB54" s="269" t="str">
        <f>IFERROR(INDEX('Tournament List'!A:A,MATCH(U54&amp;"-2",'Tournament List'!T:T,0)),"")</f>
        <v/>
      </c>
    </row>
    <row r="55" spans="1:28" ht="15" thickBot="1" x14ac:dyDescent="0.35">
      <c r="A55"/>
      <c r="B55"/>
      <c r="C55"/>
      <c r="D55"/>
      <c r="E55"/>
      <c r="G55"/>
      <c r="H55"/>
      <c r="J55"/>
      <c r="L55"/>
      <c r="M55" s="220"/>
      <c r="N55" s="225"/>
      <c r="O55" s="226"/>
      <c r="P55" s="227"/>
      <c r="Q55" s="227"/>
      <c r="R55" s="221" t="str">
        <f>IFERROR(INDEX('Tournament List'!D:D,MATCH(N54&amp;"-2",'Tournament List'!T:T,0)),"")</f>
        <v/>
      </c>
      <c r="S55" s="222" t="str">
        <f>IFERROR(INDEX('Tournament List'!AB:AB,MATCH(N54&amp;"-2",'Tournament List'!T:T,0)),"")</f>
        <v/>
      </c>
      <c r="U55" s="270" t="str">
        <f>U54</f>
        <v/>
      </c>
      <c r="V55" s="271" t="str">
        <f>V54</f>
        <v/>
      </c>
      <c r="W55" s="272" t="str">
        <f>W54</f>
        <v/>
      </c>
      <c r="X55" s="271" t="str">
        <f>K35</f>
        <v/>
      </c>
      <c r="Y55" s="271" t="str">
        <f>L35</f>
        <v/>
      </c>
      <c r="Z55" s="271" t="str">
        <f>Z54</f>
        <v>Open</v>
      </c>
      <c r="AA55" s="271" t="str">
        <f>AA54</f>
        <v>Open Skeet Team 3rd</v>
      </c>
      <c r="AB55" s="273" t="str">
        <f>IFERROR(INDEX('Tournament List'!A:A,MATCH(U55&amp;"-3",'Tournament List'!T:T,0)),"")</f>
        <v/>
      </c>
    </row>
    <row r="56" spans="1:28" ht="15" thickBot="1" x14ac:dyDescent="0.35">
      <c r="A56"/>
      <c r="B56"/>
      <c r="C56"/>
      <c r="D56"/>
      <c r="E56"/>
      <c r="G56"/>
      <c r="H56"/>
      <c r="J56"/>
      <c r="L56"/>
      <c r="M56" s="220"/>
      <c r="N56" s="228"/>
      <c r="O56" s="229"/>
      <c r="P56" s="230"/>
      <c r="Q56" s="230"/>
      <c r="R56" s="223" t="str">
        <f>IFERROR(INDEX('Tournament List'!D:D,MATCH(N54&amp;"-3",'Tournament List'!T:T,0)),"")</f>
        <v/>
      </c>
      <c r="S56" s="224" t="str">
        <f>IFERROR(INDEX('Tournament List'!AB:AB,MATCH(N54&amp;"-3",'Tournament List'!T:T,0)),"")</f>
        <v/>
      </c>
    </row>
    <row r="57" spans="1:28" ht="15" thickBot="1" x14ac:dyDescent="0.35">
      <c r="A57"/>
      <c r="B57"/>
      <c r="C57"/>
      <c r="D57"/>
      <c r="E57"/>
      <c r="G57"/>
      <c r="H57"/>
      <c r="J57"/>
      <c r="L57"/>
      <c r="M57" s="174">
        <v>19</v>
      </c>
      <c r="N57" s="175" t="str">
        <f>IFERROR(INDEX('Tournament List'!S:S,MATCH(INDEX('Skeet Ind Concurrent Ranking'!A:A,MATCH(M57,'Skeet Ind Concurrent Ranking'!L:L,0)),'Tournament List'!A:A,0)),"")</f>
        <v/>
      </c>
      <c r="O57" s="176" t="str">
        <f>IFERROR(INDEX('Tournament List'!V:V,MATCH(N57,'Tournament List'!S:S,0)),"")</f>
        <v/>
      </c>
      <c r="P57" s="231" t="str">
        <f>IFERROR(INDEX('Squad Listing'!D:D,MATCH(N57,'Squad Listing'!A:A,0)),"")</f>
        <v/>
      </c>
      <c r="Q57" s="232" t="str">
        <f>IFERROR(INDEX('Tournament List'!Y:Y,MATCH(N57&amp;"-1",'Tournament List'!U:U,0)),"")</f>
        <v/>
      </c>
      <c r="R57" s="178" t="str">
        <f>IFERROR(INDEX('Tournament List'!D:D,MATCH(N57&amp;"-1",'Tournament List'!T:T,0)),"")</f>
        <v/>
      </c>
      <c r="S57" s="179" t="str">
        <f>IFERROR(INDEX('Tournament List'!AB:AB,MATCH(N57&amp;"-1",'Tournament List'!T:T,0)),"")</f>
        <v/>
      </c>
    </row>
    <row r="58" spans="1:28" x14ac:dyDescent="0.3">
      <c r="A58"/>
      <c r="B58"/>
      <c r="C58"/>
      <c r="D58"/>
      <c r="E58"/>
      <c r="G58"/>
      <c r="H58"/>
      <c r="J58"/>
      <c r="L58"/>
      <c r="M58" s="212"/>
      <c r="N58" s="127"/>
      <c r="O58" s="128"/>
      <c r="P58" s="129"/>
      <c r="Q58" s="129"/>
      <c r="R58" s="180" t="str">
        <f>IFERROR(INDEX('Tournament List'!D:D,MATCH(N57&amp;"-2",'Tournament List'!T:T,0)),"")</f>
        <v/>
      </c>
      <c r="S58" s="181" t="str">
        <f>IFERROR(INDEX('Tournament List'!AB:AB,MATCH(N57&amp;"-2",'Tournament List'!T:T,0)),"")</f>
        <v/>
      </c>
    </row>
    <row r="59" spans="1:28" ht="15" thickBot="1" x14ac:dyDescent="0.35">
      <c r="A59"/>
      <c r="B59"/>
      <c r="C59"/>
      <c r="D59"/>
      <c r="E59"/>
      <c r="G59"/>
      <c r="H59"/>
      <c r="J59"/>
      <c r="L59"/>
      <c r="M59" s="212"/>
      <c r="N59" s="130"/>
      <c r="O59" s="131"/>
      <c r="P59" s="132"/>
      <c r="Q59" s="132"/>
      <c r="R59" s="182" t="str">
        <f>IFERROR(INDEX('Tournament List'!D:D,MATCH(N57&amp;"-3",'Tournament List'!T:T,0)),"")</f>
        <v/>
      </c>
      <c r="S59" s="183" t="str">
        <f>IFERROR(INDEX('Tournament List'!AB:AB,MATCH(N57&amp;"-3",'Tournament List'!T:T,0)),"")</f>
        <v/>
      </c>
    </row>
    <row r="60" spans="1:28" ht="15" thickBot="1" x14ac:dyDescent="0.35">
      <c r="A60"/>
      <c r="B60"/>
      <c r="C60"/>
      <c r="D60"/>
      <c r="E60"/>
      <c r="G60"/>
      <c r="H60"/>
      <c r="J60"/>
      <c r="L60"/>
      <c r="M60" s="213">
        <v>20</v>
      </c>
      <c r="N60" s="214" t="str">
        <f>IFERROR(INDEX('Tournament List'!S:S,MATCH(INDEX('Skeet Ind Concurrent Ranking'!A:A,MATCH(M60,'Skeet Ind Concurrent Ranking'!L:L,0)),'Tournament List'!A:A,0)),"")</f>
        <v/>
      </c>
      <c r="O60" s="215" t="str">
        <f>IFERROR(INDEX('Tournament List'!V:V,MATCH(N60,'Tournament List'!S:S,0)),"")</f>
        <v/>
      </c>
      <c r="P60" s="216" t="str">
        <f>IFERROR(INDEX('Squad Listing'!D:D,MATCH(N60,'Squad Listing'!A:A,0)),"")</f>
        <v/>
      </c>
      <c r="Q60" s="217" t="str">
        <f>IFERROR(INDEX('Tournament List'!Y:Y,MATCH(N60&amp;"-1",'Tournament List'!U:U,0)),"")</f>
        <v/>
      </c>
      <c r="R60" s="218" t="str">
        <f>IFERROR(INDEX('Tournament List'!D:D,MATCH(N60&amp;"-1",'Tournament List'!T:T,0)),"")</f>
        <v/>
      </c>
      <c r="S60" s="219" t="str">
        <f>IFERROR(INDEX('Tournament List'!AB:AB,MATCH(N60&amp;"-1",'Tournament List'!T:T,0)),"")</f>
        <v/>
      </c>
    </row>
    <row r="61" spans="1:28" x14ac:dyDescent="0.3">
      <c r="A61"/>
      <c r="B61"/>
      <c r="C61"/>
      <c r="D61"/>
      <c r="E61"/>
      <c r="G61"/>
      <c r="H61"/>
      <c r="J61"/>
      <c r="L61"/>
      <c r="M61" s="220"/>
      <c r="N61" s="225"/>
      <c r="O61" s="226"/>
      <c r="P61" s="227"/>
      <c r="Q61" s="227"/>
      <c r="R61" s="221" t="str">
        <f>IFERROR(INDEX('Tournament List'!D:D,MATCH(N60&amp;"-2",'Tournament List'!T:T,0)),"")</f>
        <v/>
      </c>
      <c r="S61" s="222" t="str">
        <f>IFERROR(INDEX('Tournament List'!AB:AB,MATCH(N60&amp;"-2",'Tournament List'!T:T,0)),"")</f>
        <v/>
      </c>
    </row>
    <row r="62" spans="1:28" ht="15" thickBot="1" x14ac:dyDescent="0.35">
      <c r="A62"/>
      <c r="B62"/>
      <c r="C62"/>
      <c r="D62"/>
      <c r="E62"/>
      <c r="G62"/>
      <c r="H62"/>
      <c r="J62"/>
      <c r="L62"/>
      <c r="M62" s="220"/>
      <c r="N62" s="228"/>
      <c r="O62" s="229"/>
      <c r="P62" s="230"/>
      <c r="Q62" s="230"/>
      <c r="R62" s="223" t="str">
        <f>IFERROR(INDEX('Tournament List'!D:D,MATCH(N60&amp;"-3",'Tournament List'!T:T,0)),"")</f>
        <v/>
      </c>
      <c r="S62" s="224" t="str">
        <f>IFERROR(INDEX('Tournament List'!AB:AB,MATCH(N60&amp;"-3",'Tournament List'!T:T,0)),"")</f>
        <v/>
      </c>
    </row>
    <row r="63" spans="1:28" ht="15" thickBot="1" x14ac:dyDescent="0.35">
      <c r="A63"/>
      <c r="B63"/>
      <c r="C63"/>
      <c r="D63"/>
      <c r="E63"/>
      <c r="G63"/>
      <c r="H63"/>
      <c r="J63"/>
      <c r="L63"/>
      <c r="M63" s="174">
        <v>21</v>
      </c>
      <c r="N63" s="175" t="str">
        <f>IFERROR(INDEX('Tournament List'!S:S,MATCH(INDEX('Skeet Ind Concurrent Ranking'!A:A,MATCH(M63,'Skeet Ind Concurrent Ranking'!L:L,0)),'Tournament List'!A:A,0)),"")</f>
        <v/>
      </c>
      <c r="O63" s="176" t="str">
        <f>IFERROR(INDEX('Tournament List'!V:V,MATCH(N63,'Tournament List'!S:S,0)),"")</f>
        <v/>
      </c>
      <c r="P63" s="231" t="str">
        <f>IFERROR(INDEX('Squad Listing'!D:D,MATCH(N63,'Squad Listing'!A:A,0)),"")</f>
        <v/>
      </c>
      <c r="Q63" s="232" t="str">
        <f>IFERROR(INDEX('Tournament List'!Y:Y,MATCH(N63&amp;"-1",'Tournament List'!U:U,0)),"")</f>
        <v/>
      </c>
      <c r="R63" s="178" t="str">
        <f>IFERROR(INDEX('Tournament List'!D:D,MATCH(N63&amp;"-1",'Tournament List'!T:T,0)),"")</f>
        <v/>
      </c>
      <c r="S63" s="179" t="str">
        <f>IFERROR(INDEX('Tournament List'!AB:AB,MATCH(N63&amp;"-1",'Tournament List'!T:T,0)),"")</f>
        <v/>
      </c>
    </row>
    <row r="64" spans="1:28" x14ac:dyDescent="0.3">
      <c r="A64"/>
      <c r="B64"/>
      <c r="C64"/>
      <c r="D64"/>
      <c r="E64"/>
      <c r="G64"/>
      <c r="H64"/>
      <c r="J64"/>
      <c r="L64"/>
      <c r="M64" s="212"/>
      <c r="N64" s="127"/>
      <c r="O64" s="128"/>
      <c r="P64" s="129"/>
      <c r="Q64" s="129"/>
      <c r="R64" s="180" t="str">
        <f>IFERROR(INDEX('Tournament List'!D:D,MATCH(N63&amp;"-2",'Tournament List'!T:T,0)),"")</f>
        <v/>
      </c>
      <c r="S64" s="181" t="str">
        <f>IFERROR(INDEX('Tournament List'!AB:AB,MATCH(N63&amp;"-2",'Tournament List'!T:T,0)),"")</f>
        <v/>
      </c>
    </row>
    <row r="65" spans="1:19" ht="15" thickBot="1" x14ac:dyDescent="0.35">
      <c r="A65"/>
      <c r="B65"/>
      <c r="C65"/>
      <c r="D65"/>
      <c r="E65"/>
      <c r="G65"/>
      <c r="H65"/>
      <c r="J65"/>
      <c r="L65"/>
      <c r="M65" s="212"/>
      <c r="N65" s="130"/>
      <c r="O65" s="131"/>
      <c r="P65" s="132"/>
      <c r="Q65" s="132"/>
      <c r="R65" s="182" t="str">
        <f>IFERROR(INDEX('Tournament List'!D:D,MATCH(N63&amp;"-3",'Tournament List'!T:T,0)),"")</f>
        <v/>
      </c>
      <c r="S65" s="183" t="str">
        <f>IFERROR(INDEX('Tournament List'!AB:AB,MATCH(N63&amp;"-3",'Tournament List'!T:T,0)),"")</f>
        <v/>
      </c>
    </row>
    <row r="66" spans="1:19" ht="15" thickBot="1" x14ac:dyDescent="0.35">
      <c r="A66"/>
      <c r="B66"/>
      <c r="C66"/>
      <c r="D66"/>
      <c r="E66"/>
      <c r="G66"/>
      <c r="H66"/>
      <c r="J66"/>
      <c r="L66"/>
      <c r="M66" s="213">
        <v>22</v>
      </c>
      <c r="N66" s="214" t="str">
        <f>IFERROR(INDEX('Tournament List'!S:S,MATCH(INDEX('Skeet Ind Concurrent Ranking'!A:A,MATCH(M66,'Skeet Ind Concurrent Ranking'!L:L,0)),'Tournament List'!A:A,0)),"")</f>
        <v/>
      </c>
      <c r="O66" s="215" t="str">
        <f>IFERROR(INDEX('Tournament List'!V:V,MATCH(N66,'Tournament List'!S:S,0)),"")</f>
        <v/>
      </c>
      <c r="P66" s="216" t="str">
        <f>IFERROR(INDEX('Squad Listing'!D:D,MATCH(N66,'Squad Listing'!A:A,0)),"")</f>
        <v/>
      </c>
      <c r="Q66" s="217" t="str">
        <f>IFERROR(INDEX('Tournament List'!Y:Y,MATCH(N66&amp;"-1",'Tournament List'!U:U,0)),"")</f>
        <v/>
      </c>
      <c r="R66" s="218" t="str">
        <f>IFERROR(INDEX('Tournament List'!D:D,MATCH(N66&amp;"-1",'Tournament List'!T:T,0)),"")</f>
        <v/>
      </c>
      <c r="S66" s="219" t="str">
        <f>IFERROR(INDEX('Tournament List'!AB:AB,MATCH(N66&amp;"-1",'Tournament List'!T:T,0)),"")</f>
        <v/>
      </c>
    </row>
    <row r="67" spans="1:19" x14ac:dyDescent="0.3">
      <c r="A67"/>
      <c r="B67"/>
      <c r="C67"/>
      <c r="D67"/>
      <c r="E67"/>
      <c r="G67"/>
      <c r="H67"/>
      <c r="J67"/>
      <c r="L67"/>
      <c r="M67" s="220"/>
      <c r="N67" s="225"/>
      <c r="O67" s="226"/>
      <c r="P67" s="227"/>
      <c r="Q67" s="227"/>
      <c r="R67" s="221" t="str">
        <f>IFERROR(INDEX('Tournament List'!D:D,MATCH(N66&amp;"-2",'Tournament List'!T:T,0)),"")</f>
        <v/>
      </c>
      <c r="S67" s="222" t="str">
        <f>IFERROR(INDEX('Tournament List'!AB:AB,MATCH(N66&amp;"-2",'Tournament List'!T:T,0)),"")</f>
        <v/>
      </c>
    </row>
    <row r="68" spans="1:19" ht="15" thickBot="1" x14ac:dyDescent="0.35">
      <c r="A68"/>
      <c r="B68"/>
      <c r="C68"/>
      <c r="D68"/>
      <c r="E68"/>
      <c r="G68"/>
      <c r="H68"/>
      <c r="J68"/>
      <c r="L68"/>
      <c r="M68" s="220"/>
      <c r="N68" s="228"/>
      <c r="O68" s="229"/>
      <c r="P68" s="230"/>
      <c r="Q68" s="230"/>
      <c r="R68" s="223" t="str">
        <f>IFERROR(INDEX('Tournament List'!D:D,MATCH(N66&amp;"-3",'Tournament List'!T:T,0)),"")</f>
        <v/>
      </c>
      <c r="S68" s="224" t="str">
        <f>IFERROR(INDEX('Tournament List'!AB:AB,MATCH(N66&amp;"-3",'Tournament List'!T:T,0)),"")</f>
        <v/>
      </c>
    </row>
    <row r="69" spans="1:19" ht="15" thickBot="1" x14ac:dyDescent="0.35">
      <c r="A69"/>
      <c r="B69"/>
      <c r="C69"/>
      <c r="D69"/>
      <c r="E69"/>
      <c r="G69"/>
      <c r="H69"/>
      <c r="J69"/>
      <c r="L69"/>
      <c r="M69" s="174">
        <v>23</v>
      </c>
      <c r="N69" s="175" t="str">
        <f>IFERROR(INDEX('Tournament List'!S:S,MATCH(INDEX('Skeet Ind Concurrent Ranking'!A:A,MATCH(M69,'Skeet Ind Concurrent Ranking'!L:L,0)),'Tournament List'!A:A,0)),"")</f>
        <v/>
      </c>
      <c r="O69" s="176" t="str">
        <f>IFERROR(INDEX('Tournament List'!V:V,MATCH(N69,'Tournament List'!S:S,0)),"")</f>
        <v/>
      </c>
      <c r="P69" s="231" t="str">
        <f>IFERROR(INDEX('Squad Listing'!D:D,MATCH(N69,'Squad Listing'!A:A,0)),"")</f>
        <v/>
      </c>
      <c r="Q69" s="232" t="str">
        <f>IFERROR(INDEX('Tournament List'!Y:Y,MATCH(N69&amp;"-1",'Tournament List'!U:U,0)),"")</f>
        <v/>
      </c>
      <c r="R69" s="178" t="str">
        <f>IFERROR(INDEX('Tournament List'!D:D,MATCH(N69&amp;"-1",'Tournament List'!T:T,0)),"")</f>
        <v/>
      </c>
      <c r="S69" s="179" t="str">
        <f>IFERROR(INDEX('Tournament List'!AB:AB,MATCH(N69&amp;"-1",'Tournament List'!T:T,0)),"")</f>
        <v/>
      </c>
    </row>
    <row r="70" spans="1:19" x14ac:dyDescent="0.3">
      <c r="A70"/>
      <c r="B70"/>
      <c r="C70"/>
      <c r="D70"/>
      <c r="E70"/>
      <c r="G70"/>
      <c r="H70"/>
      <c r="J70"/>
      <c r="L70"/>
      <c r="M70" s="212"/>
      <c r="N70" s="127"/>
      <c r="O70" s="128"/>
      <c r="P70" s="129"/>
      <c r="Q70" s="129"/>
      <c r="R70" s="180" t="str">
        <f>IFERROR(INDEX('Tournament List'!D:D,MATCH(N69&amp;"-2",'Tournament List'!T:T,0)),"")</f>
        <v/>
      </c>
      <c r="S70" s="181" t="str">
        <f>IFERROR(INDEX('Tournament List'!AB:AB,MATCH(N69&amp;"-2",'Tournament List'!T:T,0)),"")</f>
        <v/>
      </c>
    </row>
    <row r="71" spans="1:19" ht="15" thickBot="1" x14ac:dyDescent="0.35">
      <c r="A71"/>
      <c r="B71"/>
      <c r="C71"/>
      <c r="D71"/>
      <c r="E71"/>
      <c r="G71"/>
      <c r="H71"/>
      <c r="J71"/>
      <c r="L71"/>
      <c r="M71" s="212"/>
      <c r="N71" s="130"/>
      <c r="O71" s="131"/>
      <c r="P71" s="132"/>
      <c r="Q71" s="132"/>
      <c r="R71" s="182" t="str">
        <f>IFERROR(INDEX('Tournament List'!D:D,MATCH(N69&amp;"-3",'Tournament List'!T:T,0)),"")</f>
        <v/>
      </c>
      <c r="S71" s="183" t="str">
        <f>IFERROR(INDEX('Tournament List'!AB:AB,MATCH(N69&amp;"-3",'Tournament List'!T:T,0)),"")</f>
        <v/>
      </c>
    </row>
    <row r="72" spans="1:19" ht="15" thickBot="1" x14ac:dyDescent="0.35">
      <c r="A72"/>
      <c r="B72"/>
      <c r="C72"/>
      <c r="D72"/>
      <c r="E72"/>
      <c r="G72"/>
      <c r="H72"/>
      <c r="J72"/>
      <c r="L72"/>
      <c r="M72" s="213">
        <v>24</v>
      </c>
      <c r="N72" s="214" t="str">
        <f>IFERROR(INDEX('Tournament List'!S:S,MATCH(INDEX('Skeet Ind Concurrent Ranking'!A:A,MATCH(M72,'Skeet Ind Concurrent Ranking'!L:L,0)),'Tournament List'!A:A,0)),"")</f>
        <v/>
      </c>
      <c r="O72" s="215" t="str">
        <f>IFERROR(INDEX('Tournament List'!V:V,MATCH(N72,'Tournament List'!S:S,0)),"")</f>
        <v/>
      </c>
      <c r="P72" s="216" t="str">
        <f>IFERROR(INDEX('Squad Listing'!D:D,MATCH(N72,'Squad Listing'!A:A,0)),"")</f>
        <v/>
      </c>
      <c r="Q72" s="217" t="str">
        <f>IFERROR(INDEX('Tournament List'!Y:Y,MATCH(N72&amp;"-1",'Tournament List'!U:U,0)),"")</f>
        <v/>
      </c>
      <c r="R72" s="218" t="str">
        <f>IFERROR(INDEX('Tournament List'!D:D,MATCH(N72&amp;"-1",'Tournament List'!T:T,0)),"")</f>
        <v/>
      </c>
      <c r="S72" s="219" t="str">
        <f>IFERROR(INDEX('Tournament List'!AB:AB,MATCH(N72&amp;"-1",'Tournament List'!T:T,0)),"")</f>
        <v/>
      </c>
    </row>
    <row r="73" spans="1:19" x14ac:dyDescent="0.3">
      <c r="A73"/>
      <c r="B73"/>
      <c r="C73"/>
      <c r="D73"/>
      <c r="E73"/>
      <c r="G73"/>
      <c r="H73"/>
      <c r="J73"/>
      <c r="L73"/>
      <c r="M73" s="220"/>
      <c r="N73" s="225"/>
      <c r="O73" s="226"/>
      <c r="P73" s="227"/>
      <c r="Q73" s="227"/>
      <c r="R73" s="221" t="str">
        <f>IFERROR(INDEX('Tournament List'!D:D,MATCH(N72&amp;"-2",'Tournament List'!T:T,0)),"")</f>
        <v/>
      </c>
      <c r="S73" s="222" t="str">
        <f>IFERROR(INDEX('Tournament List'!AB:AB,MATCH(N72&amp;"-2",'Tournament List'!T:T,0)),"")</f>
        <v/>
      </c>
    </row>
    <row r="74" spans="1:19" ht="15" thickBot="1" x14ac:dyDescent="0.35">
      <c r="A74"/>
      <c r="B74"/>
      <c r="C74"/>
      <c r="D74"/>
      <c r="E74"/>
      <c r="G74"/>
      <c r="H74"/>
      <c r="J74"/>
      <c r="L74"/>
      <c r="M74" s="220"/>
      <c r="N74" s="228"/>
      <c r="O74" s="229"/>
      <c r="P74" s="230"/>
      <c r="Q74" s="230"/>
      <c r="R74" s="223" t="str">
        <f>IFERROR(INDEX('Tournament List'!D:D,MATCH(N72&amp;"-3",'Tournament List'!T:T,0)),"")</f>
        <v/>
      </c>
      <c r="S74" s="224" t="str">
        <f>IFERROR(INDEX('Tournament List'!AB:AB,MATCH(N72&amp;"-3",'Tournament List'!T:T,0)),"")</f>
        <v/>
      </c>
    </row>
    <row r="75" spans="1:19" ht="15" thickBot="1" x14ac:dyDescent="0.35">
      <c r="A75"/>
      <c r="B75"/>
      <c r="C75"/>
      <c r="D75"/>
      <c r="E75"/>
      <c r="G75"/>
      <c r="H75"/>
      <c r="J75"/>
      <c r="L75"/>
      <c r="M75" s="174">
        <v>25</v>
      </c>
      <c r="N75" s="175" t="str">
        <f>IFERROR(INDEX('Tournament List'!S:S,MATCH(INDEX('Skeet Ind Concurrent Ranking'!A:A,MATCH(M75,'Skeet Ind Concurrent Ranking'!L:L,0)),'Tournament List'!A:A,0)),"")</f>
        <v/>
      </c>
      <c r="O75" s="176" t="str">
        <f>IFERROR(INDEX('Tournament List'!V:V,MATCH(N75,'Tournament List'!S:S,0)),"")</f>
        <v/>
      </c>
      <c r="P75" s="231" t="str">
        <f>IFERROR(INDEX('Squad Listing'!D:D,MATCH(N75,'Squad Listing'!A:A,0)),"")</f>
        <v/>
      </c>
      <c r="Q75" s="232" t="str">
        <f>IFERROR(INDEX('Tournament List'!Y:Y,MATCH(N75&amp;"-1",'Tournament List'!U:U,0)),"")</f>
        <v/>
      </c>
      <c r="R75" s="178" t="str">
        <f>IFERROR(INDEX('Tournament List'!D:D,MATCH(N75&amp;"-1",'Tournament List'!T:T,0)),"")</f>
        <v/>
      </c>
      <c r="S75" s="179" t="str">
        <f>IFERROR(INDEX('Tournament List'!AB:AB,MATCH(N75&amp;"-1",'Tournament List'!T:T,0)),"")</f>
        <v/>
      </c>
    </row>
    <row r="76" spans="1:19" x14ac:dyDescent="0.3">
      <c r="A76"/>
      <c r="B76"/>
      <c r="C76"/>
      <c r="D76"/>
      <c r="E76"/>
      <c r="G76"/>
      <c r="H76"/>
      <c r="J76"/>
      <c r="L76"/>
      <c r="M76" s="212"/>
      <c r="N76" s="127"/>
      <c r="O76" s="128"/>
      <c r="P76" s="129"/>
      <c r="Q76" s="129"/>
      <c r="R76" s="180" t="str">
        <f>IFERROR(INDEX('Tournament List'!D:D,MATCH(N75&amp;"-2",'Tournament List'!T:T,0)),"")</f>
        <v/>
      </c>
      <c r="S76" s="181" t="str">
        <f>IFERROR(INDEX('Tournament List'!AB:AB,MATCH(N75&amp;"-2",'Tournament List'!T:T,0)),"")</f>
        <v/>
      </c>
    </row>
    <row r="77" spans="1:19" ht="15" thickBot="1" x14ac:dyDescent="0.35">
      <c r="A77"/>
      <c r="B77"/>
      <c r="C77"/>
      <c r="D77"/>
      <c r="E77"/>
      <c r="G77"/>
      <c r="H77"/>
      <c r="J77"/>
      <c r="L77"/>
      <c r="M77" s="212"/>
      <c r="N77" s="130"/>
      <c r="O77" s="131"/>
      <c r="P77" s="132"/>
      <c r="Q77" s="132"/>
      <c r="R77" s="182" t="str">
        <f>IFERROR(INDEX('Tournament List'!D:D,MATCH(N75&amp;"-3",'Tournament List'!T:T,0)),"")</f>
        <v/>
      </c>
      <c r="S77" s="183" t="str">
        <f>IFERROR(INDEX('Tournament List'!AB:AB,MATCH(N75&amp;"-3",'Tournament List'!T:T,0)),"")</f>
        <v/>
      </c>
    </row>
    <row r="78" spans="1:19" ht="15" thickBot="1" x14ac:dyDescent="0.35">
      <c r="A78"/>
      <c r="B78"/>
      <c r="C78"/>
      <c r="D78"/>
      <c r="E78"/>
      <c r="G78"/>
      <c r="H78"/>
      <c r="J78"/>
      <c r="L78"/>
      <c r="M78" s="213">
        <v>26</v>
      </c>
      <c r="N78" s="214" t="str">
        <f>IFERROR(INDEX('Tournament List'!S:S,MATCH(INDEX('Skeet Ind Concurrent Ranking'!A:A,MATCH(M78,'Skeet Ind Concurrent Ranking'!L:L,0)),'Tournament List'!A:A,0)),"")</f>
        <v/>
      </c>
      <c r="O78" s="215" t="str">
        <f>IFERROR(INDEX('Tournament List'!V:V,MATCH(N78,'Tournament List'!S:S,0)),"")</f>
        <v/>
      </c>
      <c r="P78" s="216" t="str">
        <f>IFERROR(INDEX('Squad Listing'!D:D,MATCH(N78,'Squad Listing'!A:A,0)),"")</f>
        <v/>
      </c>
      <c r="Q78" s="217" t="str">
        <f>IFERROR(INDEX('Tournament List'!Y:Y,MATCH(N78&amp;"-1",'Tournament List'!U:U,0)),"")</f>
        <v/>
      </c>
      <c r="R78" s="218" t="str">
        <f>IFERROR(INDEX('Tournament List'!D:D,MATCH(N78&amp;"-1",'Tournament List'!T:T,0)),"")</f>
        <v/>
      </c>
      <c r="S78" s="219" t="str">
        <f>IFERROR(INDEX('Tournament List'!AB:AB,MATCH(N78&amp;"-1",'Tournament List'!T:T,0)),"")</f>
        <v/>
      </c>
    </row>
    <row r="79" spans="1:19" x14ac:dyDescent="0.3">
      <c r="A79"/>
      <c r="B79"/>
      <c r="C79"/>
      <c r="D79"/>
      <c r="E79"/>
      <c r="G79"/>
      <c r="H79"/>
      <c r="J79"/>
      <c r="L79"/>
      <c r="M79" s="220"/>
      <c r="N79" s="225"/>
      <c r="O79" s="226"/>
      <c r="P79" s="227"/>
      <c r="Q79" s="227"/>
      <c r="R79" s="221" t="str">
        <f>IFERROR(INDEX('Tournament List'!D:D,MATCH(N78&amp;"-2",'Tournament List'!T:T,0)),"")</f>
        <v/>
      </c>
      <c r="S79" s="222" t="str">
        <f>IFERROR(INDEX('Tournament List'!AB:AB,MATCH(N78&amp;"-2",'Tournament List'!T:T,0)),"")</f>
        <v/>
      </c>
    </row>
    <row r="80" spans="1:19" ht="15" thickBot="1" x14ac:dyDescent="0.35">
      <c r="A80"/>
      <c r="B80"/>
      <c r="C80"/>
      <c r="D80"/>
      <c r="E80"/>
      <c r="G80"/>
      <c r="H80"/>
      <c r="J80"/>
      <c r="L80"/>
      <c r="M80" s="220"/>
      <c r="N80" s="228"/>
      <c r="O80" s="229"/>
      <c r="P80" s="230"/>
      <c r="Q80" s="230"/>
      <c r="R80" s="223" t="str">
        <f>IFERROR(INDEX('Tournament List'!D:D,MATCH(N78&amp;"-3",'Tournament List'!T:T,0)),"")</f>
        <v/>
      </c>
      <c r="S80" s="224" t="str">
        <f>IFERROR(INDEX('Tournament List'!AB:AB,MATCH(N78&amp;"-3",'Tournament List'!T:T,0)),"")</f>
        <v/>
      </c>
    </row>
    <row r="81" spans="1:19" ht="15" thickBot="1" x14ac:dyDescent="0.35">
      <c r="A81"/>
      <c r="B81"/>
      <c r="C81"/>
      <c r="D81"/>
      <c r="E81"/>
      <c r="G81"/>
      <c r="H81"/>
      <c r="J81"/>
      <c r="L81"/>
      <c r="M81" s="174">
        <v>27</v>
      </c>
      <c r="N81" s="175" t="str">
        <f>IFERROR(INDEX('Tournament List'!S:S,MATCH(INDEX('Skeet Ind Concurrent Ranking'!A:A,MATCH(M81,'Skeet Ind Concurrent Ranking'!L:L,0)),'Tournament List'!A:A,0)),"")</f>
        <v/>
      </c>
      <c r="O81" s="176" t="str">
        <f>IFERROR(INDEX('Tournament List'!V:V,MATCH(N81,'Tournament List'!S:S,0)),"")</f>
        <v/>
      </c>
      <c r="P81" s="231" t="str">
        <f>IFERROR(INDEX('Squad Listing'!D:D,MATCH(N81,'Squad Listing'!A:A,0)),"")</f>
        <v/>
      </c>
      <c r="Q81" s="232" t="str">
        <f>IFERROR(INDEX('Tournament List'!Y:Y,MATCH(N81&amp;"-1",'Tournament List'!U:U,0)),"")</f>
        <v/>
      </c>
      <c r="R81" s="178" t="str">
        <f>IFERROR(INDEX('Tournament List'!D:D,MATCH(N81&amp;"-1",'Tournament List'!T:T,0)),"")</f>
        <v/>
      </c>
      <c r="S81" s="179" t="str">
        <f>IFERROR(INDEX('Tournament List'!AB:AB,MATCH(N81&amp;"-1",'Tournament List'!T:T,0)),"")</f>
        <v/>
      </c>
    </row>
    <row r="82" spans="1:19" x14ac:dyDescent="0.3">
      <c r="A82"/>
      <c r="B82"/>
      <c r="C82"/>
      <c r="D82"/>
      <c r="E82"/>
      <c r="G82"/>
      <c r="H82"/>
      <c r="J82"/>
      <c r="L82"/>
      <c r="M82" s="212"/>
      <c r="N82" s="127"/>
      <c r="O82" s="128"/>
      <c r="P82" s="129"/>
      <c r="Q82" s="129"/>
      <c r="R82" s="180" t="str">
        <f>IFERROR(INDEX('Tournament List'!D:D,MATCH(N81&amp;"-2",'Tournament List'!T:T,0)),"")</f>
        <v/>
      </c>
      <c r="S82" s="181" t="str">
        <f>IFERROR(INDEX('Tournament List'!AB:AB,MATCH(N81&amp;"-2",'Tournament List'!T:T,0)),"")</f>
        <v/>
      </c>
    </row>
    <row r="83" spans="1:19" ht="15" thickBot="1" x14ac:dyDescent="0.35">
      <c r="A83"/>
      <c r="B83"/>
      <c r="C83"/>
      <c r="D83"/>
      <c r="E83"/>
      <c r="G83"/>
      <c r="H83"/>
      <c r="J83"/>
      <c r="L83"/>
      <c r="M83" s="212"/>
      <c r="N83" s="130"/>
      <c r="O83" s="131"/>
      <c r="P83" s="132"/>
      <c r="Q83" s="132"/>
      <c r="R83" s="182" t="str">
        <f>IFERROR(INDEX('Tournament List'!D:D,MATCH(N81&amp;"-3",'Tournament List'!T:T,0)),"")</f>
        <v/>
      </c>
      <c r="S83" s="183" t="str">
        <f>IFERROR(INDEX('Tournament List'!AB:AB,MATCH(N81&amp;"-3",'Tournament List'!T:T,0)),"")</f>
        <v/>
      </c>
    </row>
    <row r="84" spans="1:19" ht="15" thickBot="1" x14ac:dyDescent="0.35">
      <c r="A84"/>
      <c r="B84"/>
      <c r="C84"/>
      <c r="D84"/>
      <c r="E84"/>
      <c r="G84"/>
      <c r="H84"/>
      <c r="J84"/>
      <c r="L84"/>
      <c r="M84" s="213">
        <v>28</v>
      </c>
      <c r="N84" s="214" t="str">
        <f>IFERROR(INDEX('Tournament List'!S:S,MATCH(INDEX('Skeet Ind Concurrent Ranking'!A:A,MATCH(M84,'Skeet Ind Concurrent Ranking'!L:L,0)),'Tournament List'!A:A,0)),"")</f>
        <v/>
      </c>
      <c r="O84" s="215" t="str">
        <f>IFERROR(INDEX('Tournament List'!V:V,MATCH(N84,'Tournament List'!S:S,0)),"")</f>
        <v/>
      </c>
      <c r="P84" s="216" t="str">
        <f>IFERROR(INDEX('Squad Listing'!D:D,MATCH(N84,'Squad Listing'!A:A,0)),"")</f>
        <v/>
      </c>
      <c r="Q84" s="217" t="str">
        <f>IFERROR(INDEX('Tournament List'!Y:Y,MATCH(N84&amp;"-1",'Tournament List'!U:U,0)),"")</f>
        <v/>
      </c>
      <c r="R84" s="218" t="str">
        <f>IFERROR(INDEX('Tournament List'!D:D,MATCH(N84&amp;"-1",'Tournament List'!T:T,0)),"")</f>
        <v/>
      </c>
      <c r="S84" s="219" t="str">
        <f>IFERROR(INDEX('Tournament List'!AB:AB,MATCH(N84&amp;"-1",'Tournament List'!T:T,0)),"")</f>
        <v/>
      </c>
    </row>
    <row r="85" spans="1:19" x14ac:dyDescent="0.3">
      <c r="A85"/>
      <c r="B85"/>
      <c r="C85"/>
      <c r="D85"/>
      <c r="E85"/>
      <c r="G85"/>
      <c r="H85"/>
      <c r="J85"/>
      <c r="L85"/>
      <c r="M85" s="220"/>
      <c r="N85" s="225"/>
      <c r="O85" s="226"/>
      <c r="P85" s="227"/>
      <c r="Q85" s="227"/>
      <c r="R85" s="221" t="str">
        <f>IFERROR(INDEX('Tournament List'!D:D,MATCH(N84&amp;"-2",'Tournament List'!T:T,0)),"")</f>
        <v/>
      </c>
      <c r="S85" s="222" t="str">
        <f>IFERROR(INDEX('Tournament List'!AB:AB,MATCH(N84&amp;"-2",'Tournament List'!T:T,0)),"")</f>
        <v/>
      </c>
    </row>
    <row r="86" spans="1:19" ht="15" thickBot="1" x14ac:dyDescent="0.35">
      <c r="A86"/>
      <c r="B86"/>
      <c r="C86"/>
      <c r="D86"/>
      <c r="E86"/>
      <c r="G86"/>
      <c r="H86"/>
      <c r="J86"/>
      <c r="L86"/>
      <c r="M86" s="220"/>
      <c r="N86" s="228"/>
      <c r="O86" s="229"/>
      <c r="P86" s="230"/>
      <c r="Q86" s="230"/>
      <c r="R86" s="223" t="str">
        <f>IFERROR(INDEX('Tournament List'!D:D,MATCH(N84&amp;"-3",'Tournament List'!T:T,0)),"")</f>
        <v/>
      </c>
      <c r="S86" s="224" t="str">
        <f>IFERROR(INDEX('Tournament List'!AB:AB,MATCH(N84&amp;"-3",'Tournament List'!T:T,0)),"")</f>
        <v/>
      </c>
    </row>
    <row r="87" spans="1:19" ht="15" thickBot="1" x14ac:dyDescent="0.35">
      <c r="A87"/>
      <c r="B87"/>
      <c r="C87"/>
      <c r="D87"/>
      <c r="E87"/>
      <c r="G87"/>
      <c r="H87"/>
      <c r="J87"/>
      <c r="L87"/>
      <c r="M87" s="174">
        <v>29</v>
      </c>
      <c r="N87" s="175" t="str">
        <f>IFERROR(INDEX('Tournament List'!S:S,MATCH(INDEX('Skeet Ind Concurrent Ranking'!A:A,MATCH(M87,'Skeet Ind Concurrent Ranking'!L:L,0)),'Tournament List'!A:A,0)),"")</f>
        <v/>
      </c>
      <c r="O87" s="176" t="str">
        <f>IFERROR(INDEX('Tournament List'!V:V,MATCH(N87,'Tournament List'!S:S,0)),"")</f>
        <v/>
      </c>
      <c r="P87" s="231" t="str">
        <f>IFERROR(INDEX('Squad Listing'!D:D,MATCH(N87,'Squad Listing'!A:A,0)),"")</f>
        <v/>
      </c>
      <c r="Q87" s="232" t="str">
        <f>IFERROR(INDEX('Tournament List'!Y:Y,MATCH(N87&amp;"-1",'Tournament List'!U:U,0)),"")</f>
        <v/>
      </c>
      <c r="R87" s="178" t="str">
        <f>IFERROR(INDEX('Tournament List'!D:D,MATCH(N87&amp;"-1",'Tournament List'!T:T,0)),"")</f>
        <v/>
      </c>
      <c r="S87" s="179" t="str">
        <f>IFERROR(INDEX('Tournament List'!AB:AB,MATCH(N87&amp;"-1",'Tournament List'!T:T,0)),"")</f>
        <v/>
      </c>
    </row>
    <row r="88" spans="1:19" x14ac:dyDescent="0.3">
      <c r="A88"/>
      <c r="B88"/>
      <c r="C88"/>
      <c r="D88"/>
      <c r="E88"/>
      <c r="G88"/>
      <c r="H88"/>
      <c r="J88"/>
      <c r="L88"/>
      <c r="M88" s="212"/>
      <c r="N88" s="127"/>
      <c r="O88" s="128"/>
      <c r="P88" s="129"/>
      <c r="Q88" s="129"/>
      <c r="R88" s="180" t="str">
        <f>IFERROR(INDEX('Tournament List'!D:D,MATCH(N87&amp;"-2",'Tournament List'!T:T,0)),"")</f>
        <v/>
      </c>
      <c r="S88" s="181" t="str">
        <f>IFERROR(INDEX('Tournament List'!AB:AB,MATCH(N87&amp;"-2",'Tournament List'!T:T,0)),"")</f>
        <v/>
      </c>
    </row>
    <row r="89" spans="1:19" ht="15" thickBot="1" x14ac:dyDescent="0.35">
      <c r="A89"/>
      <c r="B89"/>
      <c r="C89"/>
      <c r="D89"/>
      <c r="E89"/>
      <c r="G89"/>
      <c r="H89"/>
      <c r="J89"/>
      <c r="L89"/>
      <c r="M89" s="212"/>
      <c r="N89" s="130"/>
      <c r="O89" s="131"/>
      <c r="P89" s="132"/>
      <c r="Q89" s="132"/>
      <c r="R89" s="182" t="str">
        <f>IFERROR(INDEX('Tournament List'!D:D,MATCH(N87&amp;"-3",'Tournament List'!T:T,0)),"")</f>
        <v/>
      </c>
      <c r="S89" s="183" t="str">
        <f>IFERROR(INDEX('Tournament List'!AB:AB,MATCH(N87&amp;"-3",'Tournament List'!T:T,0)),"")</f>
        <v/>
      </c>
    </row>
    <row r="90" spans="1:19" ht="15" thickBot="1" x14ac:dyDescent="0.35">
      <c r="A90"/>
      <c r="B90"/>
      <c r="C90"/>
      <c r="D90"/>
      <c r="E90"/>
      <c r="G90"/>
      <c r="H90"/>
      <c r="J90"/>
      <c r="L90"/>
      <c r="M90" s="213">
        <v>30</v>
      </c>
      <c r="N90" s="214" t="str">
        <f>IFERROR(INDEX('Tournament List'!S:S,MATCH(INDEX('Skeet Ind Concurrent Ranking'!A:A,MATCH(M90,'Skeet Ind Concurrent Ranking'!L:L,0)),'Tournament List'!A:A,0)),"")</f>
        <v/>
      </c>
      <c r="O90" s="215" t="str">
        <f>IFERROR(INDEX('Tournament List'!V:V,MATCH(N90,'Tournament List'!S:S,0)),"")</f>
        <v/>
      </c>
      <c r="P90" s="216" t="str">
        <f>IFERROR(INDEX('Squad Listing'!D:D,MATCH(N90,'Squad Listing'!A:A,0)),"")</f>
        <v/>
      </c>
      <c r="Q90" s="217" t="str">
        <f>IFERROR(INDEX('Tournament List'!Y:Y,MATCH(N90&amp;"-1",'Tournament List'!U:U,0)),"")</f>
        <v/>
      </c>
      <c r="R90" s="218" t="str">
        <f>IFERROR(INDEX('Tournament List'!D:D,MATCH(N90&amp;"-1",'Tournament List'!T:T,0)),"")</f>
        <v/>
      </c>
      <c r="S90" s="219" t="str">
        <f>IFERROR(INDEX('Tournament List'!AB:AB,MATCH(N90&amp;"-1",'Tournament List'!T:T,0)),"")</f>
        <v/>
      </c>
    </row>
    <row r="91" spans="1:19" x14ac:dyDescent="0.3">
      <c r="A91"/>
      <c r="B91"/>
      <c r="C91"/>
      <c r="D91"/>
      <c r="E91"/>
      <c r="G91"/>
      <c r="H91"/>
      <c r="J91"/>
      <c r="L91"/>
      <c r="M91" s="220"/>
      <c r="N91" s="225"/>
      <c r="O91" s="226"/>
      <c r="P91" s="227"/>
      <c r="Q91" s="227"/>
      <c r="R91" s="221" t="str">
        <f>IFERROR(INDEX('Tournament List'!D:D,MATCH(N90&amp;"-2",'Tournament List'!T:T,0)),"")</f>
        <v/>
      </c>
      <c r="S91" s="222" t="str">
        <f>IFERROR(INDEX('Tournament List'!AB:AB,MATCH(N90&amp;"-2",'Tournament List'!T:T,0)),"")</f>
        <v/>
      </c>
    </row>
    <row r="92" spans="1:19" ht="15" thickBot="1" x14ac:dyDescent="0.35">
      <c r="A92"/>
      <c r="B92"/>
      <c r="C92"/>
      <c r="D92"/>
      <c r="E92"/>
      <c r="G92"/>
      <c r="H92"/>
      <c r="J92"/>
      <c r="L92"/>
      <c r="M92" s="220"/>
      <c r="N92" s="228"/>
      <c r="O92" s="229"/>
      <c r="P92" s="230"/>
      <c r="Q92" s="230"/>
      <c r="R92" s="223" t="str">
        <f>IFERROR(INDEX('Tournament List'!D:D,MATCH(N90&amp;"-3",'Tournament List'!T:T,0)),"")</f>
        <v/>
      </c>
      <c r="S92" s="224" t="str">
        <f>IFERROR(INDEX('Tournament List'!AB:AB,MATCH(N90&amp;"-3",'Tournament List'!T:T,0)),"")</f>
        <v/>
      </c>
    </row>
    <row r="93" spans="1:19" ht="15" thickBot="1" x14ac:dyDescent="0.35">
      <c r="A93"/>
      <c r="B93"/>
      <c r="C93"/>
      <c r="D93"/>
      <c r="E93"/>
      <c r="G93"/>
      <c r="H93"/>
      <c r="J93"/>
      <c r="L93"/>
      <c r="M93" s="174">
        <v>31</v>
      </c>
      <c r="N93" s="175" t="str">
        <f>IFERROR(INDEX('Tournament List'!S:S,MATCH(INDEX('Skeet Ind Concurrent Ranking'!A:A,MATCH(M93,'Skeet Ind Concurrent Ranking'!L:L,0)),'Tournament List'!A:A,0)),"")</f>
        <v/>
      </c>
      <c r="O93" s="176" t="str">
        <f>IFERROR(INDEX('Tournament List'!V:V,MATCH(N93,'Tournament List'!S:S,0)),"")</f>
        <v/>
      </c>
      <c r="P93" s="231" t="str">
        <f>IFERROR(INDEX('Squad Listing'!D:D,MATCH(N93,'Squad Listing'!A:A,0)),"")</f>
        <v/>
      </c>
      <c r="Q93" s="232" t="str">
        <f>IFERROR(INDEX('Tournament List'!Y:Y,MATCH(N93&amp;"-1",'Tournament List'!U:U,0)),"")</f>
        <v/>
      </c>
      <c r="R93" s="178" t="str">
        <f>IFERROR(INDEX('Tournament List'!D:D,MATCH(N93&amp;"-1",'Tournament List'!T:T,0)),"")</f>
        <v/>
      </c>
      <c r="S93" s="179" t="str">
        <f>IFERROR(INDEX('Tournament List'!AB:AB,MATCH(N93&amp;"-1",'Tournament List'!T:T,0)),"")</f>
        <v/>
      </c>
    </row>
    <row r="94" spans="1:19" x14ac:dyDescent="0.3">
      <c r="A94"/>
      <c r="B94"/>
      <c r="C94"/>
      <c r="D94"/>
      <c r="E94"/>
      <c r="G94"/>
      <c r="H94"/>
      <c r="J94"/>
      <c r="L94"/>
      <c r="M94" s="212"/>
      <c r="N94" s="127"/>
      <c r="O94" s="128"/>
      <c r="P94" s="129"/>
      <c r="Q94" s="129"/>
      <c r="R94" s="180" t="str">
        <f>IFERROR(INDEX('Tournament List'!D:D,MATCH(N93&amp;"-2",'Tournament List'!T:T,0)),"")</f>
        <v/>
      </c>
      <c r="S94" s="181" t="str">
        <f>IFERROR(INDEX('Tournament List'!AB:AB,MATCH(N93&amp;"-2",'Tournament List'!T:T,0)),"")</f>
        <v/>
      </c>
    </row>
    <row r="95" spans="1:19" ht="15" thickBot="1" x14ac:dyDescent="0.35">
      <c r="A95"/>
      <c r="B95"/>
      <c r="C95"/>
      <c r="D95"/>
      <c r="E95"/>
      <c r="G95"/>
      <c r="H95"/>
      <c r="J95"/>
      <c r="L95"/>
      <c r="M95" s="212"/>
      <c r="N95" s="130"/>
      <c r="O95" s="131"/>
      <c r="P95" s="132"/>
      <c r="Q95" s="132"/>
      <c r="R95" s="182" t="str">
        <f>IFERROR(INDEX('Tournament List'!D:D,MATCH(N93&amp;"-3",'Tournament List'!T:T,0)),"")</f>
        <v/>
      </c>
      <c r="S95" s="183" t="str">
        <f>IFERROR(INDEX('Tournament List'!AB:AB,MATCH(N93&amp;"-3",'Tournament List'!T:T,0)),"")</f>
        <v/>
      </c>
    </row>
    <row r="96" spans="1:19" ht="15" thickBot="1" x14ac:dyDescent="0.35">
      <c r="A96"/>
      <c r="B96"/>
      <c r="C96"/>
      <c r="D96"/>
      <c r="E96"/>
      <c r="G96"/>
      <c r="H96"/>
      <c r="J96"/>
      <c r="L96"/>
      <c r="M96" s="213">
        <v>32</v>
      </c>
      <c r="N96" s="214" t="str">
        <f>IFERROR(INDEX('Tournament List'!S:S,MATCH(INDEX('Skeet Ind Concurrent Ranking'!A:A,MATCH(M96,'Skeet Ind Concurrent Ranking'!L:L,0)),'Tournament List'!A:A,0)),"")</f>
        <v/>
      </c>
      <c r="O96" s="215" t="str">
        <f>IFERROR(INDEX('Tournament List'!V:V,MATCH(N96,'Tournament List'!S:S,0)),"")</f>
        <v/>
      </c>
      <c r="P96" s="216" t="str">
        <f>IFERROR(INDEX('Squad Listing'!D:D,MATCH(N96,'Squad Listing'!A:A,0)),"")</f>
        <v/>
      </c>
      <c r="Q96" s="217" t="str">
        <f>IFERROR(INDEX('Tournament List'!Y:Y,MATCH(N96&amp;"-1",'Tournament List'!U:U,0)),"")</f>
        <v/>
      </c>
      <c r="R96" s="218" t="str">
        <f>IFERROR(INDEX('Tournament List'!D:D,MATCH(N96&amp;"-1",'Tournament List'!T:T,0)),"")</f>
        <v/>
      </c>
      <c r="S96" s="219" t="str">
        <f>IFERROR(INDEX('Tournament List'!AB:AB,MATCH(N96&amp;"-1",'Tournament List'!T:T,0)),"")</f>
        <v/>
      </c>
    </row>
    <row r="97" spans="1:19" x14ac:dyDescent="0.3">
      <c r="A97"/>
      <c r="B97"/>
      <c r="C97"/>
      <c r="D97"/>
      <c r="E97"/>
      <c r="G97"/>
      <c r="H97"/>
      <c r="J97"/>
      <c r="L97"/>
      <c r="M97" s="220"/>
      <c r="N97" s="225"/>
      <c r="O97" s="226"/>
      <c r="P97" s="227"/>
      <c r="Q97" s="227"/>
      <c r="R97" s="221" t="str">
        <f>IFERROR(INDEX('Tournament List'!D:D,MATCH(N96&amp;"-2",'Tournament List'!T:T,0)),"")</f>
        <v/>
      </c>
      <c r="S97" s="222" t="str">
        <f>IFERROR(INDEX('Tournament List'!AB:AB,MATCH(N96&amp;"-2",'Tournament List'!T:T,0)),"")</f>
        <v/>
      </c>
    </row>
    <row r="98" spans="1:19" ht="15" thickBot="1" x14ac:dyDescent="0.35">
      <c r="A98"/>
      <c r="B98"/>
      <c r="C98"/>
      <c r="D98"/>
      <c r="E98"/>
      <c r="G98"/>
      <c r="H98"/>
      <c r="J98"/>
      <c r="L98"/>
      <c r="M98" s="220"/>
      <c r="N98" s="228"/>
      <c r="O98" s="229"/>
      <c r="P98" s="230"/>
      <c r="Q98" s="230"/>
      <c r="R98" s="223" t="str">
        <f>IFERROR(INDEX('Tournament List'!D:D,MATCH(N96&amp;"-3",'Tournament List'!T:T,0)),"")</f>
        <v/>
      </c>
      <c r="S98" s="224" t="str">
        <f>IFERROR(INDEX('Tournament List'!AB:AB,MATCH(N96&amp;"-3",'Tournament List'!T:T,0)),"")</f>
        <v/>
      </c>
    </row>
    <row r="99" spans="1:19" ht="15" thickBot="1" x14ac:dyDescent="0.35">
      <c r="A99"/>
      <c r="B99"/>
      <c r="C99"/>
      <c r="D99"/>
      <c r="E99"/>
      <c r="G99"/>
      <c r="H99"/>
      <c r="J99"/>
      <c r="L99"/>
      <c r="M99" s="174">
        <v>33</v>
      </c>
      <c r="N99" s="175" t="str">
        <f>IFERROR(INDEX('Tournament List'!S:S,MATCH(INDEX('Skeet Ind Concurrent Ranking'!A:A,MATCH(M99,'Skeet Ind Concurrent Ranking'!L:L,0)),'Tournament List'!A:A,0)),"")</f>
        <v/>
      </c>
      <c r="O99" s="176" t="str">
        <f>IFERROR(INDEX('Tournament List'!V:V,MATCH(N99,'Tournament List'!S:S,0)),"")</f>
        <v/>
      </c>
      <c r="P99" s="231" t="str">
        <f>IFERROR(INDEX('Squad Listing'!D:D,MATCH(N99,'Squad Listing'!A:A,0)),"")</f>
        <v/>
      </c>
      <c r="Q99" s="232" t="str">
        <f>IFERROR(INDEX('Tournament List'!Y:Y,MATCH(N99&amp;"-1",'Tournament List'!U:U,0)),"")</f>
        <v/>
      </c>
      <c r="R99" s="178" t="str">
        <f>IFERROR(INDEX('Tournament List'!D:D,MATCH(N99&amp;"-1",'Tournament List'!T:T,0)),"")</f>
        <v/>
      </c>
      <c r="S99" s="179" t="str">
        <f>IFERROR(INDEX('Tournament List'!AB:AB,MATCH(N99&amp;"-1",'Tournament List'!T:T,0)),"")</f>
        <v/>
      </c>
    </row>
    <row r="100" spans="1:19" x14ac:dyDescent="0.3">
      <c r="A100"/>
      <c r="B100"/>
      <c r="C100"/>
      <c r="D100"/>
      <c r="E100"/>
      <c r="G100"/>
      <c r="H100"/>
      <c r="J100"/>
      <c r="L100"/>
      <c r="M100" s="212"/>
      <c r="N100" s="127"/>
      <c r="O100" s="128"/>
      <c r="P100" s="129"/>
      <c r="Q100" s="129"/>
      <c r="R100" s="180" t="str">
        <f>IFERROR(INDEX('Tournament List'!D:D,MATCH(N99&amp;"-2",'Tournament List'!T:T,0)),"")</f>
        <v/>
      </c>
      <c r="S100" s="181" t="str">
        <f>IFERROR(INDEX('Tournament List'!AB:AB,MATCH(N99&amp;"-2",'Tournament List'!T:T,0)),"")</f>
        <v/>
      </c>
    </row>
    <row r="101" spans="1:19" ht="15" thickBot="1" x14ac:dyDescent="0.35">
      <c r="A101"/>
      <c r="B101"/>
      <c r="C101"/>
      <c r="D101"/>
      <c r="E101"/>
      <c r="G101"/>
      <c r="H101"/>
      <c r="J101"/>
      <c r="L101"/>
      <c r="M101" s="212"/>
      <c r="N101" s="130"/>
      <c r="O101" s="131"/>
      <c r="P101" s="132"/>
      <c r="Q101" s="132"/>
      <c r="R101" s="182" t="str">
        <f>IFERROR(INDEX('Tournament List'!D:D,MATCH(N99&amp;"-3",'Tournament List'!T:T,0)),"")</f>
        <v/>
      </c>
      <c r="S101" s="183" t="str">
        <f>IFERROR(INDEX('Tournament List'!AB:AB,MATCH(N99&amp;"-3",'Tournament List'!T:T,0)),"")</f>
        <v/>
      </c>
    </row>
    <row r="102" spans="1:19" ht="15" thickBot="1" x14ac:dyDescent="0.35">
      <c r="A102"/>
      <c r="B102"/>
      <c r="C102"/>
      <c r="D102"/>
      <c r="E102"/>
      <c r="G102"/>
      <c r="H102"/>
      <c r="J102"/>
      <c r="L102"/>
      <c r="M102" s="213">
        <v>34</v>
      </c>
      <c r="N102" s="214" t="str">
        <f>IFERROR(INDEX('Tournament List'!S:S,MATCH(INDEX('Skeet Ind Concurrent Ranking'!A:A,MATCH(M102,'Skeet Ind Concurrent Ranking'!L:L,0)),'Tournament List'!A:A,0)),"")</f>
        <v/>
      </c>
      <c r="O102" s="215" t="str">
        <f>IFERROR(INDEX('Tournament List'!V:V,MATCH(N102,'Tournament List'!S:S,0)),"")</f>
        <v/>
      </c>
      <c r="P102" s="216" t="str">
        <f>IFERROR(INDEX('Squad Listing'!D:D,MATCH(N102,'Squad Listing'!A:A,0)),"")</f>
        <v/>
      </c>
      <c r="Q102" s="217" t="str">
        <f>IFERROR(INDEX('Tournament List'!Y:Y,MATCH(N102&amp;"-1",'Tournament List'!U:U,0)),"")</f>
        <v/>
      </c>
      <c r="R102" s="218" t="str">
        <f>IFERROR(INDEX('Tournament List'!D:D,MATCH(N102&amp;"-1",'Tournament List'!T:T,0)),"")</f>
        <v/>
      </c>
      <c r="S102" s="219" t="str">
        <f>IFERROR(INDEX('Tournament List'!AB:AB,MATCH(N102&amp;"-1",'Tournament List'!T:T,0)),"")</f>
        <v/>
      </c>
    </row>
    <row r="103" spans="1:19" x14ac:dyDescent="0.3">
      <c r="A103"/>
      <c r="B103"/>
      <c r="C103"/>
      <c r="D103"/>
      <c r="E103"/>
      <c r="G103"/>
      <c r="H103"/>
      <c r="J103"/>
      <c r="L103"/>
      <c r="M103" s="220"/>
      <c r="N103" s="225"/>
      <c r="O103" s="226"/>
      <c r="P103" s="227"/>
      <c r="Q103" s="227"/>
      <c r="R103" s="221" t="str">
        <f>IFERROR(INDEX('Tournament List'!D:D,MATCH(N102&amp;"-2",'Tournament List'!T:T,0)),"")</f>
        <v/>
      </c>
      <c r="S103" s="222" t="str">
        <f>IFERROR(INDEX('Tournament List'!AB:AB,MATCH(N102&amp;"-2",'Tournament List'!T:T,0)),"")</f>
        <v/>
      </c>
    </row>
    <row r="104" spans="1:19" ht="15" thickBot="1" x14ac:dyDescent="0.35">
      <c r="A104"/>
      <c r="B104"/>
      <c r="C104"/>
      <c r="D104"/>
      <c r="E104"/>
      <c r="G104"/>
      <c r="H104"/>
      <c r="J104"/>
      <c r="L104"/>
      <c r="M104" s="220"/>
      <c r="N104" s="228"/>
      <c r="O104" s="229"/>
      <c r="P104" s="230"/>
      <c r="Q104" s="230"/>
      <c r="R104" s="223" t="str">
        <f>IFERROR(INDEX('Tournament List'!D:D,MATCH(N102&amp;"-3",'Tournament List'!T:T,0)),"")</f>
        <v/>
      </c>
      <c r="S104" s="224" t="str">
        <f>IFERROR(INDEX('Tournament List'!AB:AB,MATCH(N102&amp;"-3",'Tournament List'!T:T,0)),"")</f>
        <v/>
      </c>
    </row>
    <row r="105" spans="1:19" ht="15" thickBot="1" x14ac:dyDescent="0.35">
      <c r="A105"/>
      <c r="B105"/>
      <c r="C105"/>
      <c r="D105"/>
      <c r="E105"/>
      <c r="G105"/>
      <c r="H105"/>
      <c r="J105"/>
      <c r="L105"/>
      <c r="M105" s="174">
        <v>35</v>
      </c>
      <c r="N105" s="175" t="str">
        <f>IFERROR(INDEX('Tournament List'!S:S,MATCH(INDEX('Skeet Ind Concurrent Ranking'!A:A,MATCH(M105,'Skeet Ind Concurrent Ranking'!L:L,0)),'Tournament List'!A:A,0)),"")</f>
        <v/>
      </c>
      <c r="O105" s="176" t="str">
        <f>IFERROR(INDEX('Tournament List'!V:V,MATCH(N105,'Tournament List'!S:S,0)),"")</f>
        <v/>
      </c>
      <c r="P105" s="231" t="str">
        <f>IFERROR(INDEX('Squad Listing'!D:D,MATCH(N105,'Squad Listing'!A:A,0)),"")</f>
        <v/>
      </c>
      <c r="Q105" s="232" t="str">
        <f>IFERROR(INDEX('Tournament List'!Y:Y,MATCH(N105&amp;"-1",'Tournament List'!U:U,0)),"")</f>
        <v/>
      </c>
      <c r="R105" s="178" t="str">
        <f>IFERROR(INDEX('Tournament List'!D:D,MATCH(N105&amp;"-1",'Tournament List'!T:T,0)),"")</f>
        <v/>
      </c>
      <c r="S105" s="179" t="str">
        <f>IFERROR(INDEX('Tournament List'!AB:AB,MATCH(N105&amp;"-1",'Tournament List'!T:T,0)),"")</f>
        <v/>
      </c>
    </row>
    <row r="106" spans="1:19" x14ac:dyDescent="0.3">
      <c r="A106"/>
      <c r="B106"/>
      <c r="C106"/>
      <c r="D106"/>
      <c r="E106"/>
      <c r="G106"/>
      <c r="H106"/>
      <c r="J106"/>
      <c r="L106"/>
      <c r="M106" s="212"/>
      <c r="N106" s="127"/>
      <c r="O106" s="128"/>
      <c r="P106" s="129"/>
      <c r="Q106" s="129"/>
      <c r="R106" s="180" t="str">
        <f>IFERROR(INDEX('Tournament List'!D:D,MATCH(N105&amp;"-2",'Tournament List'!T:T,0)),"")</f>
        <v/>
      </c>
      <c r="S106" s="181" t="str">
        <f>IFERROR(INDEX('Tournament List'!AB:AB,MATCH(N105&amp;"-2",'Tournament List'!T:T,0)),"")</f>
        <v/>
      </c>
    </row>
    <row r="107" spans="1:19" ht="15" thickBot="1" x14ac:dyDescent="0.35">
      <c r="A107"/>
      <c r="B107"/>
      <c r="C107"/>
      <c r="D107"/>
      <c r="E107"/>
      <c r="G107"/>
      <c r="H107"/>
      <c r="J107"/>
      <c r="L107"/>
      <c r="M107" s="212"/>
      <c r="N107" s="130"/>
      <c r="O107" s="131"/>
      <c r="P107" s="132"/>
      <c r="Q107" s="132"/>
      <c r="R107" s="182" t="str">
        <f>IFERROR(INDEX('Tournament List'!D:D,MATCH(N105&amp;"-3",'Tournament List'!T:T,0)),"")</f>
        <v/>
      </c>
      <c r="S107" s="183" t="str">
        <f>IFERROR(INDEX('Tournament List'!AB:AB,MATCH(N105&amp;"-3",'Tournament List'!T:T,0)),"")</f>
        <v/>
      </c>
    </row>
    <row r="108" spans="1:19" ht="15" thickBot="1" x14ac:dyDescent="0.35">
      <c r="A108"/>
      <c r="B108"/>
      <c r="C108"/>
      <c r="D108"/>
      <c r="E108"/>
      <c r="G108"/>
      <c r="H108"/>
      <c r="J108"/>
      <c r="L108"/>
      <c r="M108" s="213">
        <v>36</v>
      </c>
      <c r="N108" s="214" t="str">
        <f>IFERROR(INDEX('Tournament List'!S:S,MATCH(INDEX('Skeet Ind Concurrent Ranking'!A:A,MATCH(M108,'Skeet Ind Concurrent Ranking'!L:L,0)),'Tournament List'!A:A,0)),"")</f>
        <v/>
      </c>
      <c r="O108" s="215" t="str">
        <f>IFERROR(INDEX('Tournament List'!V:V,MATCH(N108,'Tournament List'!S:S,0)),"")</f>
        <v/>
      </c>
      <c r="P108" s="216" t="str">
        <f>IFERROR(INDEX('Squad Listing'!D:D,MATCH(N108,'Squad Listing'!A:A,0)),"")</f>
        <v/>
      </c>
      <c r="Q108" s="217" t="str">
        <f>IFERROR(INDEX('Tournament List'!Y:Y,MATCH(N108&amp;"-1",'Tournament List'!U:U,0)),"")</f>
        <v/>
      </c>
      <c r="R108" s="218" t="str">
        <f>IFERROR(INDEX('Tournament List'!D:D,MATCH(N108&amp;"-1",'Tournament List'!T:T,0)),"")</f>
        <v/>
      </c>
      <c r="S108" s="219" t="str">
        <f>IFERROR(INDEX('Tournament List'!AB:AB,MATCH(N108&amp;"-1",'Tournament List'!T:T,0)),"")</f>
        <v/>
      </c>
    </row>
    <row r="109" spans="1:19" x14ac:dyDescent="0.3">
      <c r="A109"/>
      <c r="B109"/>
      <c r="C109"/>
      <c r="D109"/>
      <c r="E109"/>
      <c r="G109"/>
      <c r="H109"/>
      <c r="J109"/>
      <c r="L109"/>
      <c r="M109" s="220"/>
      <c r="N109" s="225"/>
      <c r="O109" s="226"/>
      <c r="P109" s="227"/>
      <c r="Q109" s="227"/>
      <c r="R109" s="221" t="str">
        <f>IFERROR(INDEX('Tournament List'!D:D,MATCH(N108&amp;"-2",'Tournament List'!T:T,0)),"")</f>
        <v/>
      </c>
      <c r="S109" s="222" t="str">
        <f>IFERROR(INDEX('Tournament List'!AB:AB,MATCH(N108&amp;"-2",'Tournament List'!T:T,0)),"")</f>
        <v/>
      </c>
    </row>
    <row r="110" spans="1:19" ht="15" thickBot="1" x14ac:dyDescent="0.35">
      <c r="A110"/>
      <c r="B110"/>
      <c r="C110"/>
      <c r="D110"/>
      <c r="E110"/>
      <c r="G110"/>
      <c r="H110"/>
      <c r="J110"/>
      <c r="L110"/>
      <c r="M110" s="220"/>
      <c r="N110" s="228"/>
      <c r="O110" s="229"/>
      <c r="P110" s="230"/>
      <c r="Q110" s="230"/>
      <c r="R110" s="223" t="str">
        <f>IFERROR(INDEX('Tournament List'!D:D,MATCH(N108&amp;"-3",'Tournament List'!T:T,0)),"")</f>
        <v/>
      </c>
      <c r="S110" s="224" t="str">
        <f>IFERROR(INDEX('Tournament List'!AB:AB,MATCH(N108&amp;"-3",'Tournament List'!T:T,0)),"")</f>
        <v/>
      </c>
    </row>
    <row r="111" spans="1:19" ht="15" thickBot="1" x14ac:dyDescent="0.35">
      <c r="A111"/>
      <c r="B111"/>
      <c r="C111"/>
      <c r="D111"/>
      <c r="E111"/>
      <c r="G111"/>
      <c r="H111"/>
      <c r="J111"/>
      <c r="L111"/>
      <c r="M111" s="174">
        <v>37</v>
      </c>
      <c r="N111" s="175" t="str">
        <f>IFERROR(INDEX('Tournament List'!S:S,MATCH(INDEX('Skeet Ind Concurrent Ranking'!A:A,MATCH(M111,'Skeet Ind Concurrent Ranking'!L:L,0)),'Tournament List'!A:A,0)),"")</f>
        <v/>
      </c>
      <c r="O111" s="176" t="str">
        <f>IFERROR(INDEX('Tournament List'!V:V,MATCH(N111,'Tournament List'!S:S,0)),"")</f>
        <v/>
      </c>
      <c r="P111" s="231" t="str">
        <f>IFERROR(INDEX('Squad Listing'!D:D,MATCH(N111,'Squad Listing'!A:A,0)),"")</f>
        <v/>
      </c>
      <c r="Q111" s="232" t="str">
        <f>IFERROR(INDEX('Tournament List'!Y:Y,MATCH(N111&amp;"-1",'Tournament List'!U:U,0)),"")</f>
        <v/>
      </c>
      <c r="R111" s="178" t="str">
        <f>IFERROR(INDEX('Tournament List'!D:D,MATCH(N111&amp;"-1",'Tournament List'!T:T,0)),"")</f>
        <v/>
      </c>
      <c r="S111" s="179" t="str">
        <f>IFERROR(INDEX('Tournament List'!AB:AB,MATCH(N111&amp;"-1",'Tournament List'!T:T,0)),"")</f>
        <v/>
      </c>
    </row>
    <row r="112" spans="1:19" x14ac:dyDescent="0.3">
      <c r="A112"/>
      <c r="B112"/>
      <c r="C112"/>
      <c r="D112"/>
      <c r="E112"/>
      <c r="G112"/>
      <c r="H112"/>
      <c r="J112"/>
      <c r="L112"/>
      <c r="M112" s="212"/>
      <c r="N112" s="127"/>
      <c r="O112" s="128"/>
      <c r="P112" s="129"/>
      <c r="Q112" s="129"/>
      <c r="R112" s="180" t="str">
        <f>IFERROR(INDEX('Tournament List'!D:D,MATCH(N111&amp;"-2",'Tournament List'!T:T,0)),"")</f>
        <v/>
      </c>
      <c r="S112" s="181" t="str">
        <f>IFERROR(INDEX('Tournament List'!AB:AB,MATCH(N111&amp;"-2",'Tournament List'!T:T,0)),"")</f>
        <v/>
      </c>
    </row>
    <row r="113" spans="1:19" ht="15" thickBot="1" x14ac:dyDescent="0.35">
      <c r="A113"/>
      <c r="B113"/>
      <c r="C113"/>
      <c r="D113"/>
      <c r="E113"/>
      <c r="G113"/>
      <c r="H113"/>
      <c r="J113"/>
      <c r="L113"/>
      <c r="M113" s="212"/>
      <c r="N113" s="130"/>
      <c r="O113" s="131"/>
      <c r="P113" s="132"/>
      <c r="Q113" s="132"/>
      <c r="R113" s="182" t="str">
        <f>IFERROR(INDEX('Tournament List'!D:D,MATCH(N111&amp;"-3",'Tournament List'!T:T,0)),"")</f>
        <v/>
      </c>
      <c r="S113" s="183" t="str">
        <f>IFERROR(INDEX('Tournament List'!AB:AB,MATCH(N111&amp;"-3",'Tournament List'!T:T,0)),"")</f>
        <v/>
      </c>
    </row>
    <row r="114" spans="1:19" ht="15" thickBot="1" x14ac:dyDescent="0.35">
      <c r="A114"/>
      <c r="B114"/>
      <c r="C114"/>
      <c r="D114"/>
      <c r="E114"/>
      <c r="G114"/>
      <c r="H114"/>
      <c r="J114"/>
      <c r="L114"/>
      <c r="M114" s="213">
        <v>38</v>
      </c>
      <c r="N114" s="214" t="str">
        <f>IFERROR(INDEX('Tournament List'!S:S,MATCH(INDEX('Skeet Ind Concurrent Ranking'!A:A,MATCH(M114,'Skeet Ind Concurrent Ranking'!L:L,0)),'Tournament List'!A:A,0)),"")</f>
        <v/>
      </c>
      <c r="O114" s="215" t="str">
        <f>IFERROR(INDEX('Tournament List'!V:V,MATCH(N114,'Tournament List'!S:S,0)),"")</f>
        <v/>
      </c>
      <c r="P114" s="216" t="str">
        <f>IFERROR(INDEX('Squad Listing'!D:D,MATCH(N114,'Squad Listing'!A:A,0)),"")</f>
        <v/>
      </c>
      <c r="Q114" s="217" t="str">
        <f>IFERROR(INDEX('Tournament List'!Y:Y,MATCH(N114&amp;"-1",'Tournament List'!U:U,0)),"")</f>
        <v/>
      </c>
      <c r="R114" s="218" t="str">
        <f>IFERROR(INDEX('Tournament List'!D:D,MATCH(N114&amp;"-1",'Tournament List'!T:T,0)),"")</f>
        <v/>
      </c>
      <c r="S114" s="219" t="str">
        <f>IFERROR(INDEX('Tournament List'!AB:AB,MATCH(N114&amp;"-1",'Tournament List'!T:T,0)),"")</f>
        <v/>
      </c>
    </row>
    <row r="115" spans="1:19" x14ac:dyDescent="0.3">
      <c r="A115"/>
      <c r="B115"/>
      <c r="C115"/>
      <c r="D115"/>
      <c r="E115"/>
      <c r="G115"/>
      <c r="H115"/>
      <c r="J115"/>
      <c r="L115"/>
      <c r="M115" s="220"/>
      <c r="N115" s="225"/>
      <c r="O115" s="226"/>
      <c r="P115" s="227"/>
      <c r="Q115" s="227"/>
      <c r="R115" s="221" t="str">
        <f>IFERROR(INDEX('Tournament List'!D:D,MATCH(N114&amp;"-2",'Tournament List'!T:T,0)),"")</f>
        <v/>
      </c>
      <c r="S115" s="222" t="str">
        <f>IFERROR(INDEX('Tournament List'!AB:AB,MATCH(N114&amp;"-2",'Tournament List'!T:T,0)),"")</f>
        <v/>
      </c>
    </row>
    <row r="116" spans="1:19" ht="15" thickBot="1" x14ac:dyDescent="0.35">
      <c r="A116"/>
      <c r="B116"/>
      <c r="C116"/>
      <c r="D116"/>
      <c r="E116"/>
      <c r="G116"/>
      <c r="H116"/>
      <c r="J116"/>
      <c r="L116"/>
      <c r="M116" s="220"/>
      <c r="N116" s="228"/>
      <c r="O116" s="229"/>
      <c r="P116" s="230"/>
      <c r="Q116" s="230"/>
      <c r="R116" s="223" t="str">
        <f>IFERROR(INDEX('Tournament List'!D:D,MATCH(N114&amp;"-3",'Tournament List'!T:T,0)),"")</f>
        <v/>
      </c>
      <c r="S116" s="224" t="str">
        <f>IFERROR(INDEX('Tournament List'!AB:AB,MATCH(N114&amp;"-3",'Tournament List'!T:T,0)),"")</f>
        <v/>
      </c>
    </row>
    <row r="117" spans="1:19" ht="15" thickBot="1" x14ac:dyDescent="0.35">
      <c r="A117"/>
      <c r="B117"/>
      <c r="C117"/>
      <c r="D117"/>
      <c r="E117"/>
      <c r="G117"/>
      <c r="H117"/>
      <c r="J117"/>
      <c r="L117"/>
      <c r="M117" s="174">
        <v>39</v>
      </c>
      <c r="N117" s="175" t="str">
        <f>IFERROR(INDEX('Tournament List'!S:S,MATCH(INDEX('Skeet Ind Concurrent Ranking'!A:A,MATCH(M117,'Skeet Ind Concurrent Ranking'!L:L,0)),'Tournament List'!A:A,0)),"")</f>
        <v/>
      </c>
      <c r="O117" s="176" t="str">
        <f>IFERROR(INDEX('Tournament List'!V:V,MATCH(N117,'Tournament List'!S:S,0)),"")</f>
        <v/>
      </c>
      <c r="P117" s="231" t="str">
        <f>IFERROR(INDEX('Squad Listing'!D:D,MATCH(N117,'Squad Listing'!A:A,0)),"")</f>
        <v/>
      </c>
      <c r="Q117" s="232" t="str">
        <f>IFERROR(INDEX('Tournament List'!Y:Y,MATCH(N117&amp;"-1",'Tournament List'!U:U,0)),"")</f>
        <v/>
      </c>
      <c r="R117" s="178" t="str">
        <f>IFERROR(INDEX('Tournament List'!D:D,MATCH(N117&amp;"-1",'Tournament List'!T:T,0)),"")</f>
        <v/>
      </c>
      <c r="S117" s="179" t="str">
        <f>IFERROR(INDEX('Tournament List'!AB:AB,MATCH(N117&amp;"-1",'Tournament List'!T:T,0)),"")</f>
        <v/>
      </c>
    </row>
    <row r="118" spans="1:19" x14ac:dyDescent="0.3">
      <c r="A118"/>
      <c r="B118"/>
      <c r="C118"/>
      <c r="D118"/>
      <c r="E118"/>
      <c r="G118"/>
      <c r="H118"/>
      <c r="J118"/>
      <c r="L118"/>
      <c r="M118" s="212"/>
      <c r="N118" s="127"/>
      <c r="O118" s="128"/>
      <c r="P118" s="129"/>
      <c r="Q118" s="129"/>
      <c r="R118" s="180" t="str">
        <f>IFERROR(INDEX('Tournament List'!D:D,MATCH(N117&amp;"-2",'Tournament List'!T:T,0)),"")</f>
        <v/>
      </c>
      <c r="S118" s="181" t="str">
        <f>IFERROR(INDEX('Tournament List'!AB:AB,MATCH(N117&amp;"-2",'Tournament List'!T:T,0)),"")</f>
        <v/>
      </c>
    </row>
    <row r="119" spans="1:19" ht="15" thickBot="1" x14ac:dyDescent="0.35">
      <c r="A119"/>
      <c r="B119"/>
      <c r="C119"/>
      <c r="D119"/>
      <c r="E119"/>
      <c r="G119"/>
      <c r="H119"/>
      <c r="J119"/>
      <c r="L119"/>
      <c r="M119" s="212"/>
      <c r="N119" s="130"/>
      <c r="O119" s="131"/>
      <c r="P119" s="132"/>
      <c r="Q119" s="132"/>
      <c r="R119" s="182" t="str">
        <f>IFERROR(INDEX('Tournament List'!D:D,MATCH(N117&amp;"-3",'Tournament List'!T:T,0)),"")</f>
        <v/>
      </c>
      <c r="S119" s="183" t="str">
        <f>IFERROR(INDEX('Tournament List'!AB:AB,MATCH(N117&amp;"-3",'Tournament List'!T:T,0)),"")</f>
        <v/>
      </c>
    </row>
    <row r="120" spans="1:19" ht="15" thickBot="1" x14ac:dyDescent="0.35">
      <c r="A120"/>
      <c r="B120"/>
      <c r="C120"/>
      <c r="D120"/>
      <c r="E120"/>
      <c r="G120"/>
      <c r="H120"/>
      <c r="J120"/>
      <c r="L120"/>
      <c r="M120" s="213">
        <v>40</v>
      </c>
      <c r="N120" s="214" t="str">
        <f>IFERROR(INDEX('Tournament List'!S:S,MATCH(INDEX('Skeet Ind Concurrent Ranking'!A:A,MATCH(M120,'Skeet Ind Concurrent Ranking'!L:L,0)),'Tournament List'!A:A,0)),"")</f>
        <v/>
      </c>
      <c r="O120" s="215" t="str">
        <f>IFERROR(INDEX('Tournament List'!V:V,MATCH(N120,'Tournament List'!S:S,0)),"")</f>
        <v/>
      </c>
      <c r="P120" s="216" t="str">
        <f>IFERROR(INDEX('Squad Listing'!D:D,MATCH(N120,'Squad Listing'!A:A,0)),"")</f>
        <v/>
      </c>
      <c r="Q120" s="217" t="str">
        <f>IFERROR(INDEX('Tournament List'!Y:Y,MATCH(N120&amp;"-1",'Tournament List'!U:U,0)),"")</f>
        <v/>
      </c>
      <c r="R120" s="218" t="str">
        <f>IFERROR(INDEX('Tournament List'!D:D,MATCH(N120&amp;"-1",'Tournament List'!T:T,0)),"")</f>
        <v/>
      </c>
      <c r="S120" s="219" t="str">
        <f>IFERROR(INDEX('Tournament List'!AB:AB,MATCH(N120&amp;"-1",'Tournament List'!T:T,0)),"")</f>
        <v/>
      </c>
    </row>
    <row r="121" spans="1:19" x14ac:dyDescent="0.3">
      <c r="A121"/>
      <c r="B121"/>
      <c r="C121"/>
      <c r="D121"/>
      <c r="E121"/>
      <c r="G121"/>
      <c r="H121"/>
      <c r="J121"/>
      <c r="L121"/>
      <c r="M121" s="220"/>
      <c r="N121" s="225"/>
      <c r="O121" s="226"/>
      <c r="P121" s="227"/>
      <c r="Q121" s="227"/>
      <c r="R121" s="221" t="str">
        <f>IFERROR(INDEX('Tournament List'!D:D,MATCH(N120&amp;"-2",'Tournament List'!T:T,0)),"")</f>
        <v/>
      </c>
      <c r="S121" s="222" t="str">
        <f>IFERROR(INDEX('Tournament List'!AB:AB,MATCH(N120&amp;"-2",'Tournament List'!T:T,0)),"")</f>
        <v/>
      </c>
    </row>
    <row r="122" spans="1:19" ht="15" thickBot="1" x14ac:dyDescent="0.35">
      <c r="A122"/>
      <c r="B122"/>
      <c r="C122"/>
      <c r="D122"/>
      <c r="E122"/>
      <c r="G122"/>
      <c r="H122"/>
      <c r="J122"/>
      <c r="L122"/>
      <c r="M122" s="220"/>
      <c r="N122" s="228"/>
      <c r="O122" s="229"/>
      <c r="P122" s="230"/>
      <c r="Q122" s="230"/>
      <c r="R122" s="223" t="str">
        <f>IFERROR(INDEX('Tournament List'!D:D,MATCH(N120&amp;"-3",'Tournament List'!T:T,0)),"")</f>
        <v/>
      </c>
      <c r="S122" s="224" t="str">
        <f>IFERROR(INDEX('Tournament List'!AB:AB,MATCH(N120&amp;"-3",'Tournament List'!T:T,0)),"")</f>
        <v/>
      </c>
    </row>
    <row r="123" spans="1:19" x14ac:dyDescent="0.3">
      <c r="A123"/>
      <c r="B123"/>
      <c r="C123"/>
      <c r="D123"/>
      <c r="E123"/>
      <c r="G123"/>
      <c r="H123"/>
      <c r="J123"/>
      <c r="L123"/>
    </row>
    <row r="124" spans="1:19" x14ac:dyDescent="0.3">
      <c r="A124"/>
      <c r="B124"/>
      <c r="C124"/>
      <c r="D124"/>
      <c r="E124"/>
      <c r="G124"/>
      <c r="H124"/>
      <c r="J124"/>
      <c r="L124"/>
    </row>
    <row r="125" spans="1:19" x14ac:dyDescent="0.3">
      <c r="A125"/>
      <c r="B125"/>
      <c r="C125"/>
      <c r="D125"/>
      <c r="E125"/>
      <c r="G125"/>
      <c r="H125"/>
      <c r="J125"/>
      <c r="L125"/>
    </row>
    <row r="126" spans="1:19" x14ac:dyDescent="0.3">
      <c r="A126"/>
      <c r="B126"/>
      <c r="C126"/>
      <c r="D126"/>
      <c r="E126"/>
      <c r="G126"/>
      <c r="H126"/>
      <c r="J126"/>
      <c r="L126"/>
    </row>
    <row r="127" spans="1:19" x14ac:dyDescent="0.3">
      <c r="A127"/>
      <c r="B127"/>
      <c r="C127"/>
      <c r="D127"/>
      <c r="E127"/>
      <c r="G127"/>
      <c r="H127"/>
      <c r="J127"/>
      <c r="L127"/>
    </row>
    <row r="128" spans="1:19" x14ac:dyDescent="0.3">
      <c r="A128"/>
      <c r="B128"/>
      <c r="C128"/>
      <c r="D128"/>
      <c r="E128"/>
      <c r="G128"/>
      <c r="H128"/>
      <c r="J128"/>
      <c r="L128"/>
    </row>
    <row r="129" spans="1:12" x14ac:dyDescent="0.3">
      <c r="A129"/>
      <c r="B129"/>
      <c r="C129"/>
      <c r="D129"/>
      <c r="E129"/>
      <c r="G129"/>
      <c r="H129"/>
      <c r="J129"/>
      <c r="L129"/>
    </row>
    <row r="130" spans="1:12" x14ac:dyDescent="0.3">
      <c r="A130"/>
      <c r="B130"/>
      <c r="C130"/>
      <c r="D130"/>
      <c r="E130"/>
      <c r="G130"/>
      <c r="H130"/>
      <c r="J130"/>
      <c r="L130"/>
    </row>
    <row r="131" spans="1:12" x14ac:dyDescent="0.3">
      <c r="A131"/>
      <c r="B131"/>
      <c r="C131"/>
      <c r="D131"/>
      <c r="E131"/>
      <c r="G131"/>
      <c r="H131"/>
      <c r="J131"/>
      <c r="L131"/>
    </row>
    <row r="132" spans="1:12" x14ac:dyDescent="0.3">
      <c r="A132"/>
      <c r="B132"/>
      <c r="C132"/>
      <c r="D132"/>
      <c r="E132"/>
      <c r="G132"/>
      <c r="H132"/>
      <c r="J132"/>
      <c r="L132"/>
    </row>
    <row r="133" spans="1:12" x14ac:dyDescent="0.3">
      <c r="A133"/>
      <c r="B133"/>
      <c r="C133"/>
      <c r="D133"/>
      <c r="E133"/>
      <c r="G133"/>
      <c r="H133"/>
      <c r="J133"/>
      <c r="L133"/>
    </row>
  </sheetData>
  <conditionalFormatting sqref="A37:D130">
    <cfRule type="expression" dxfId="21" priority="14">
      <formula>AND(OR((H37=H36),(H37=H38)),ISNUMBER(H37)=TRUE)</formula>
    </cfRule>
  </conditionalFormatting>
  <conditionalFormatting sqref="A131:D131">
    <cfRule type="expression" dxfId="20" priority="17">
      <formula>AND(OR((H131=H130),(H131=#REF!)),ISNUMBER(H131)=TRUE)</formula>
    </cfRule>
  </conditionalFormatting>
  <conditionalFormatting sqref="D6 J18 D30 J3">
    <cfRule type="expression" dxfId="19" priority="8">
      <formula>AND(ISNUMBER(D3),OR(D3=D1048576,D3=D6))</formula>
    </cfRule>
  </conditionalFormatting>
  <conditionalFormatting sqref="D15">
    <cfRule type="expression" dxfId="18" priority="4">
      <formula>AND(ISNUMBER(D15),OR(D15=D12,D15=D18))</formula>
    </cfRule>
  </conditionalFormatting>
  <conditionalFormatting sqref="D21">
    <cfRule type="expression" dxfId="17" priority="3">
      <formula>AND(ISNUMBER(D21),OR(D21=D18,D21=D24))</formula>
    </cfRule>
  </conditionalFormatting>
  <conditionalFormatting sqref="E37:E130 H37:K130">
    <cfRule type="expression" dxfId="16" priority="13">
      <formula>AND(OR((F37=F36),(F37=F38)),ISNUMBER(F37)=TRUE)</formula>
    </cfRule>
  </conditionalFormatting>
  <conditionalFormatting sqref="E131 H131:K131">
    <cfRule type="expression" dxfId="15" priority="16">
      <formula>AND(OR((F131=F130),(F131=#REF!)),ISNUMBER(F131)=TRUE)</formula>
    </cfRule>
  </conditionalFormatting>
  <conditionalFormatting sqref="F37:F130">
    <cfRule type="expression" dxfId="14" priority="155">
      <formula>AND(OR((H37=H36),(H37=H38)),ISNUMBER(H37)=TRUE)</formula>
    </cfRule>
  </conditionalFormatting>
  <conditionalFormatting sqref="F131">
    <cfRule type="expression" dxfId="13" priority="158">
      <formula>AND(OR((H131=H130),(H131=#REF!)),ISNUMBER(H131)=TRUE)</formula>
    </cfRule>
  </conditionalFormatting>
  <conditionalFormatting sqref="G37:G131 L37:L131">
    <cfRule type="expression" dxfId="12" priority="160">
      <formula>AND(OR((#REF!=#REF!),(#REF!=#REF!)),ISNUMBER(#REF!)=TRUE)</formula>
    </cfRule>
  </conditionalFormatting>
  <conditionalFormatting sqref="J9">
    <cfRule type="expression" dxfId="11" priority="5">
      <formula>AND(ISNUMBER(J9),OR(J9=J6,J9=J12))</formula>
    </cfRule>
  </conditionalFormatting>
  <conditionalFormatting sqref="Q6 Q12 Q18 Q24 Q30 Q36 Q42 Q48 Q54 Q60 Q66 Q72 Q78 Q84 Q90 Q96 Q102 Q108 Q114 Q120">
    <cfRule type="expression" dxfId="10" priority="7">
      <formula>AND(ISNUMBER(Q6),OR(Q6=Q3,Q6=Q9))</formula>
    </cfRule>
  </conditionalFormatting>
  <conditionalFormatting sqref="J27">
    <cfRule type="expression" dxfId="9" priority="2">
      <formula>AND(ISNUMBER(J27),OR(J27=J24,J27=J30))</formula>
    </cfRule>
  </conditionalFormatting>
  <conditionalFormatting sqref="J33">
    <cfRule type="expression" dxfId="8" priority="1">
      <formula>AND(ISNUMBER(J33),OR(J33=J30,J33=J36))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F9BA0-EE84-4059-AAF4-4C7EDF156F7D}">
  <sheetPr>
    <tabColor rgb="FF7030A0"/>
    <pageSetUpPr fitToPage="1"/>
  </sheetPr>
  <dimension ref="A1:AA76"/>
  <sheetViews>
    <sheetView showGridLines="0" zoomScale="90" zoomScaleNormal="90" workbookViewId="0">
      <selection activeCell="O28" sqref="O28:Q31"/>
    </sheetView>
  </sheetViews>
  <sheetFormatPr defaultRowHeight="14.4" outlineLevelRow="1" x14ac:dyDescent="0.3"/>
  <cols>
    <col min="1" max="1" width="5.6640625" style="1" bestFit="1" customWidth="1"/>
    <col min="2" max="2" width="19.109375" style="1" bestFit="1" customWidth="1"/>
    <col min="3" max="3" width="3.33203125" style="1" bestFit="1" customWidth="1"/>
    <col min="4" max="4" width="18.109375" style="1" bestFit="1" customWidth="1"/>
    <col min="5" max="5" width="3.33203125" bestFit="1" customWidth="1"/>
    <col min="6" max="6" width="17.109375" style="1" bestFit="1" customWidth="1"/>
    <col min="7" max="7" width="3.33203125" bestFit="1" customWidth="1"/>
    <col min="8" max="8" width="19.109375" style="1" bestFit="1" customWidth="1"/>
    <col min="9" max="9" width="3.33203125" bestFit="1" customWidth="1"/>
    <col min="10" max="10" width="18.77734375" style="1" bestFit="1" customWidth="1"/>
    <col min="11" max="11" width="3.33203125" bestFit="1" customWidth="1"/>
    <col min="12" max="12" width="19.6640625" style="1" bestFit="1" customWidth="1"/>
    <col min="13" max="13" width="3.33203125" bestFit="1" customWidth="1"/>
    <col min="14" max="14" width="5.6640625" bestFit="1" customWidth="1"/>
    <col min="15" max="15" width="19.6640625" style="1" bestFit="1" customWidth="1"/>
    <col min="16" max="16" width="6.109375" style="1" bestFit="1" customWidth="1"/>
    <col min="17" max="17" width="12.21875" style="1" bestFit="1" customWidth="1"/>
    <col min="18" max="18" width="5.6640625" bestFit="1" customWidth="1"/>
    <col min="19" max="19" width="11.109375" bestFit="1" customWidth="1"/>
    <col min="20" max="20" width="6.109375" bestFit="1" customWidth="1"/>
    <col min="21" max="21" width="11.109375" bestFit="1" customWidth="1"/>
    <col min="24" max="24" width="10" bestFit="1" customWidth="1"/>
    <col min="25" max="25" width="19.109375" bestFit="1" customWidth="1"/>
    <col min="26" max="26" width="32.21875" bestFit="1" customWidth="1"/>
    <col min="27" max="27" width="7" bestFit="1" customWidth="1"/>
  </cols>
  <sheetData>
    <row r="1" spans="1:27" ht="15" outlineLevel="1" thickBot="1" x14ac:dyDescent="0.35">
      <c r="A1" s="1" t="s">
        <v>144</v>
      </c>
      <c r="F1" s="57" t="s">
        <v>114</v>
      </c>
      <c r="G1" s="65"/>
      <c r="H1" s="58"/>
      <c r="I1" s="58"/>
      <c r="J1" s="59"/>
      <c r="X1" t="s">
        <v>0</v>
      </c>
      <c r="Y1" t="s">
        <v>784</v>
      </c>
      <c r="Z1" t="s">
        <v>144</v>
      </c>
      <c r="AA1" t="s">
        <v>785</v>
      </c>
    </row>
    <row r="2" spans="1:27" outlineLevel="1" x14ac:dyDescent="0.3">
      <c r="A2">
        <f>IF('Tournament Setup'!$B$26&gt;=1,1,"")</f>
        <v>1</v>
      </c>
      <c r="B2"/>
      <c r="C2"/>
      <c r="F2" s="63" t="str">
        <f>IF(ISNUMBER($A2),"Champion","")</f>
        <v>Champion</v>
      </c>
      <c r="G2" s="64"/>
      <c r="H2" s="60" t="str">
        <f>IFERROR(IF(ISNUMBER($A2),INDEX('Skeet Ind Concurrent Ranking'!$D:$D,MATCH('Skeet Ind Concurrent Scores'!$A2,'Skeet Ind Concurrent Ranking'!$Q:$Q,0)),""),"")</f>
        <v>Bill Last Name11</v>
      </c>
      <c r="I2" s="9">
        <f>IFERROR(IF(ISNUMBER($A2),INDEX('Skeet Ind Concurrent Ranking'!$I:$I,MATCH('Skeet Ind Concurrent Scores'!$A2,'Skeet Ind Concurrent Ranking'!$Q:$Q,0)),""),"")</f>
        <v>98</v>
      </c>
      <c r="J2" s="8" t="str">
        <f>IFERROR(IF(ISNUMBER($A2),INDEX('Skeet Ind Concurrent Ranking'!$F:$F,MATCH('Skeet Ind Concurrent Scores'!$A2,'Skeet Ind Concurrent Ranking'!$Q:$Q,0)),""),"")</f>
        <v>Junior Varsity</v>
      </c>
      <c r="X2" t="str">
        <f>IFERROR(IF(ISNUMBER($A2),INDEX('Skeet Ind Concurrent Ranking'!$A:$A,MATCH('Skeet Ind Concurrent Scores'!$A2,'Skeet Ind Concurrent Ranking'!$Q:$Q,0)),""),"")</f>
        <v>24-1010</v>
      </c>
      <c r="Y2" t="str">
        <f>IFERROR(IF(ISNUMBER($A2),INDEX('Skeet Ind Concurrent Ranking'!$D:$D,MATCH('Skeet Ind Concurrent Scores'!$A2,'Skeet Ind Concurrent Ranking'!$Q:$Q,0)),""),"")</f>
        <v>Bill Last Name11</v>
      </c>
      <c r="Z2" t="s">
        <v>787</v>
      </c>
      <c r="AA2">
        <v>1</v>
      </c>
    </row>
    <row r="3" spans="1:27" outlineLevel="1" x14ac:dyDescent="0.3">
      <c r="A3">
        <f>IF('Tournament Setup'!$B$26&gt;=2,2,"")</f>
        <v>2</v>
      </c>
      <c r="B3"/>
      <c r="C3"/>
      <c r="F3" s="61" t="str">
        <f>IF(ISNUMBER($A3),"Runner Up","")</f>
        <v>Runner Up</v>
      </c>
      <c r="G3" s="62"/>
      <c r="H3" s="60" t="str">
        <f>IFERROR(IF(ISNUMBER($A3),INDEX('Skeet Ind Concurrent Ranking'!$D:$D,MATCH('Skeet Ind Concurrent Scores'!$A3,'Skeet Ind Concurrent Ranking'!$Q:$Q,0)),""),"")</f>
        <v>Blake Last Name7</v>
      </c>
      <c r="I3" s="9">
        <f>IFERROR(IF(ISNUMBER($A3),INDEX('Skeet Ind Concurrent Ranking'!$I:$I,MATCH('Skeet Ind Concurrent Scores'!$A3,'Skeet Ind Concurrent Ranking'!$Q:$Q,0)),""),"")</f>
        <v>97</v>
      </c>
      <c r="J3" s="8" t="str">
        <f>IFERROR(IF(ISNUMBER($A3),INDEX('Skeet Ind Concurrent Ranking'!$F:$F,MATCH('Skeet Ind Concurrent Scores'!$A3,'Skeet Ind Concurrent Ranking'!$Q:$Q,0)),""),"")</f>
        <v>Intermediate</v>
      </c>
      <c r="X3" t="str">
        <f>IFERROR(IF(ISNUMBER($A3),INDEX('Skeet Ind Concurrent Ranking'!$A:$A,MATCH('Skeet Ind Concurrent Scores'!$A3,'Skeet Ind Concurrent Ranking'!$Q:$Q,0)),""),"")</f>
        <v>24-1006</v>
      </c>
      <c r="Y3" t="str">
        <f>IFERROR(IF(ISNUMBER($A3),INDEX('Skeet Ind Concurrent Ranking'!$D:$D,MATCH('Skeet Ind Concurrent Scores'!$A3,'Skeet Ind Concurrent Ranking'!$Q:$Q,0)),""),"")</f>
        <v>Blake Last Name7</v>
      </c>
      <c r="Z3" t="s">
        <v>788</v>
      </c>
      <c r="AA3">
        <v>2</v>
      </c>
    </row>
    <row r="4" spans="1:27" outlineLevel="1" x14ac:dyDescent="0.3">
      <c r="A4">
        <f>IF('Tournament Setup'!$B$26&gt;=3,3,"")</f>
        <v>3</v>
      </c>
      <c r="B4"/>
      <c r="C4"/>
      <c r="F4" s="61" t="str">
        <f>IF(ISNUMBER($A4),"3rd","")</f>
        <v>3rd</v>
      </c>
      <c r="G4" s="62"/>
      <c r="H4" s="60" t="str">
        <f>IFERROR(IF(ISNUMBER($A4),INDEX('Skeet Ind Concurrent Ranking'!$D:$D,MATCH('Skeet Ind Concurrent Scores'!$A4,'Skeet Ind Concurrent Ranking'!$Q:$Q,0)),""),"")</f>
        <v>Cathy Last Name3</v>
      </c>
      <c r="I4" s="9">
        <f>IFERROR(IF(ISNUMBER($A4),INDEX('Skeet Ind Concurrent Ranking'!$I:$I,MATCH('Skeet Ind Concurrent Scores'!$A4,'Skeet Ind Concurrent Ranking'!$Q:$Q,0)),""),"")</f>
        <v>96</v>
      </c>
      <c r="J4" s="8" t="str">
        <f>IFERROR(IF(ISNUMBER($A4),INDEX('Skeet Ind Concurrent Ranking'!$F:$F,MATCH('Skeet Ind Concurrent Scores'!$A4,'Skeet Ind Concurrent Ranking'!$Q:$Q,0)),""),"")</f>
        <v>Novice</v>
      </c>
      <c r="X4" t="str">
        <f>IFERROR(IF(ISNUMBER($A4),INDEX('Skeet Ind Concurrent Ranking'!$A:$A,MATCH('Skeet Ind Concurrent Scores'!$A4,'Skeet Ind Concurrent Ranking'!$Q:$Q,0)),""),"")</f>
        <v>24-1002</v>
      </c>
      <c r="Y4" t="str">
        <f>IFERROR(IF(ISNUMBER($A4),INDEX('Skeet Ind Concurrent Ranking'!$D:$D,MATCH('Skeet Ind Concurrent Scores'!$A4,'Skeet Ind Concurrent Ranking'!$Q:$Q,0)),""),"")</f>
        <v>Cathy Last Name3</v>
      </c>
      <c r="Z4" t="s">
        <v>789</v>
      </c>
      <c r="AA4">
        <v>3</v>
      </c>
    </row>
    <row r="5" spans="1:27" ht="15" thickBot="1" x14ac:dyDescent="0.35">
      <c r="A5"/>
      <c r="B5"/>
      <c r="C5"/>
      <c r="F5"/>
      <c r="J5"/>
    </row>
    <row r="6" spans="1:27" ht="15" outlineLevel="1" thickBot="1" x14ac:dyDescent="0.35">
      <c r="A6" s="1" t="s">
        <v>144</v>
      </c>
      <c r="B6"/>
      <c r="C6"/>
      <c r="F6" s="57" t="s">
        <v>141</v>
      </c>
      <c r="G6" s="65"/>
      <c r="H6" s="58"/>
      <c r="I6" s="58"/>
      <c r="J6" s="59"/>
      <c r="N6" s="1" t="s">
        <v>144</v>
      </c>
      <c r="O6" s="41" t="s">
        <v>258</v>
      </c>
      <c r="P6" s="50" t="s">
        <v>112</v>
      </c>
      <c r="Q6" s="42" t="s">
        <v>305</v>
      </c>
      <c r="R6" s="1" t="s">
        <v>144</v>
      </c>
      <c r="S6" s="41" t="s">
        <v>258</v>
      </c>
      <c r="T6" s="50" t="s">
        <v>112</v>
      </c>
      <c r="U6" s="42" t="s">
        <v>305</v>
      </c>
      <c r="X6" t="str">
        <f>IFERROR(IF(ISNUMBER($A7),INDEX('Skeet Ind Concurrent Ranking'!$A:$A,MATCH('Skeet Ind Concurrent Scores'!$A7,'Skeet Ind Concurrent Ranking'!$S:$S,0)),""),"")</f>
        <v>24-1004</v>
      </c>
      <c r="Y6" t="str">
        <f>IFERROR(IF(ISNUMBER($A7),INDEX('Skeet Ind Concurrent Ranking'!$D:$D,MATCH('Skeet Ind Concurrent Scores'!$A7,'Skeet Ind Concurrent Ranking'!$S:$S,0)),""),"")</f>
        <v>Matt Last Name5</v>
      </c>
      <c r="Z6" t="s">
        <v>790</v>
      </c>
      <c r="AA6">
        <f>AA4+1</f>
        <v>4</v>
      </c>
    </row>
    <row r="7" spans="1:27" outlineLevel="1" x14ac:dyDescent="0.3">
      <c r="A7">
        <v>1</v>
      </c>
      <c r="B7"/>
      <c r="C7"/>
      <c r="F7" s="63" t="s">
        <v>138</v>
      </c>
      <c r="G7" s="64"/>
      <c r="H7" s="60" t="str">
        <f>IFERROR(IF(ISNUMBER($A7),INDEX('Skeet Ind Concurrent Ranking'!$D:$D,MATCH('Skeet Ind Concurrent Scores'!$A7,'Skeet Ind Concurrent Ranking'!$S:$S,0)),""),"")</f>
        <v>Matt Last Name5</v>
      </c>
      <c r="I7" s="9">
        <f>IFERROR(IF(ISNUMBER($A7),INDEX('Skeet Ind Concurrent Ranking'!$I:$I,MATCH('Skeet Ind Concurrent Scores'!$A7,'Skeet Ind Concurrent Ranking'!$S:$S,0)),""),"")</f>
        <v>89.1</v>
      </c>
      <c r="J7" s="8" t="str">
        <f>IFERROR(IF(ISNUMBER($A7),INDEX('Skeet Ind Concurrent Ranking'!$F:$F,MATCH('Skeet Ind Concurrent Scores'!$A7,'Skeet Ind Concurrent Ranking'!$S:$S,0)),""),"")</f>
        <v>Varsity</v>
      </c>
      <c r="N7" s="1">
        <v>1</v>
      </c>
      <c r="O7" s="11" t="str">
        <f>IFERROR(IF(ISNUMBER($N7),INDEX('Skeet Ind Concurrent Ranking'!$D:$D,MATCH($N7,'Skeet Ind Concurrent Ranking'!$N:$N,0)),""),"")</f>
        <v>Bill Last Name11</v>
      </c>
      <c r="P7" s="51">
        <f>IFERROR(IF(ISNUMBER($N7),INDEX('Skeet Ind Concurrent Ranking'!$I:$I,MATCH($N7,'Skeet Ind Concurrent Ranking'!$N:$N,0)),""),"")</f>
        <v>98</v>
      </c>
      <c r="Q7" s="40" t="str">
        <f>IFERROR(IF(ISNUMBER($N7),INDEX('Skeet Ind Concurrent Ranking'!$F:$F,MATCH($N7,'Skeet Ind Concurrent Ranking'!$N:$N,0)),""),"")</f>
        <v>Junior Varsity</v>
      </c>
      <c r="R7" s="1">
        <v>51</v>
      </c>
      <c r="S7" s="11" t="str">
        <f>IFERROR(IF(ISNUMBER($R7),INDEX('Skeet Ind Concurrent Ranking'!$D:$D,MATCH($R7,'Skeet Ind Concurrent Ranking'!$N:$N,0)),""),"")</f>
        <v/>
      </c>
      <c r="T7" s="51" t="str">
        <f>IFERROR(IF(ISNUMBER($R7),INDEX('Skeet Ind Concurrent Ranking'!$I:$I,MATCH($R7,'Skeet Ind Concurrent Ranking'!$N:$N,0)),""),"")</f>
        <v/>
      </c>
      <c r="U7" s="40" t="str">
        <f>IFERROR(IF(ISNUMBER($R7),INDEX('Skeet Ind Concurrent Ranking'!$F:$F,MATCH($R7,'Skeet Ind Concurrent Ranking'!$N:$N,0)),""),"")</f>
        <v/>
      </c>
      <c r="X7" t="str">
        <f>IFERROR(IF(ISNUMBER($A8),INDEX('Skeet Ind Concurrent Ranking'!$A:$A,MATCH('Skeet Ind Concurrent Scores'!$A8,'Skeet Ind Concurrent Ranking'!$S:$S,0)),""),"")</f>
        <v>24-1037</v>
      </c>
      <c r="Y7" t="str">
        <f>IFERROR(IF(ISNUMBER($A8),INDEX('Skeet Ind Concurrent Ranking'!$D:$D,MATCH('Skeet Ind Concurrent Scores'!$A8,'Skeet Ind Concurrent Ranking'!$S:$S,0)),""),"")</f>
        <v>Stuart Last Name38</v>
      </c>
      <c r="Z7" t="s">
        <v>791</v>
      </c>
      <c r="AA7">
        <f>AA6+1</f>
        <v>5</v>
      </c>
    </row>
    <row r="8" spans="1:27" outlineLevel="1" x14ac:dyDescent="0.3">
      <c r="A8">
        <v>2</v>
      </c>
      <c r="B8"/>
      <c r="C8"/>
      <c r="F8" s="61" t="s">
        <v>139</v>
      </c>
      <c r="G8" s="62"/>
      <c r="H8" s="60" t="str">
        <f>IFERROR(IF(ISNUMBER($A8),INDEX('Skeet Ind Concurrent Ranking'!$D:$D,MATCH('Skeet Ind Concurrent Scores'!$A8,'Skeet Ind Concurrent Ranking'!$S:$S,0)),""),"")</f>
        <v>Stuart Last Name38</v>
      </c>
      <c r="I8" s="9">
        <f>IFERROR(IF(ISNUMBER($A8),INDEX('Skeet Ind Concurrent Ranking'!$I:$I,MATCH('Skeet Ind Concurrent Scores'!$A8,'Skeet Ind Concurrent Ranking'!$S:$S,0)),""),"")</f>
        <v>89</v>
      </c>
      <c r="J8" s="8" t="str">
        <f>IFERROR(IF(ISNUMBER($A8),INDEX('Skeet Ind Concurrent Ranking'!$F:$F,MATCH('Skeet Ind Concurrent Scores'!$A8,'Skeet Ind Concurrent Ranking'!$S:$S,0)),""),"")</f>
        <v>Junior Varsity</v>
      </c>
      <c r="N8" s="1">
        <v>2</v>
      </c>
      <c r="O8" s="11" t="str">
        <f>IFERROR(IF(ISNUMBER($N8),INDEX('Skeet Ind Concurrent Ranking'!$D:$D,MATCH($N8,'Skeet Ind Concurrent Ranking'!$N:$N,0)),""),"")</f>
        <v>Blake Last Name7</v>
      </c>
      <c r="P8" s="51">
        <f>IFERROR(IF(ISNUMBER($N8),INDEX('Skeet Ind Concurrent Ranking'!$I:$I,MATCH($N8,'Skeet Ind Concurrent Ranking'!$N:$N,0)),""),"")</f>
        <v>97</v>
      </c>
      <c r="Q8" s="40" t="str">
        <f>IFERROR(IF(ISNUMBER($N8),INDEX('Skeet Ind Concurrent Ranking'!$F:$F,MATCH($N8,'Skeet Ind Concurrent Ranking'!$N:$N,0)),""),"")</f>
        <v>Intermediate</v>
      </c>
      <c r="R8" s="1">
        <v>52</v>
      </c>
      <c r="S8" s="11" t="str">
        <f>IFERROR(IF(ISNUMBER($R8),INDEX('Skeet Ind Concurrent Ranking'!$D:$D,MATCH($R8,'Skeet Ind Concurrent Ranking'!$N:$N,0)),""),"")</f>
        <v/>
      </c>
      <c r="T8" s="51" t="str">
        <f>IFERROR(IF(ISNUMBER($R8),INDEX('Skeet Ind Concurrent Ranking'!$I:$I,MATCH($R8,'Skeet Ind Concurrent Ranking'!$N:$N,0)),""),"")</f>
        <v/>
      </c>
      <c r="U8" s="40" t="str">
        <f>IFERROR(IF(ISNUMBER($R8),INDEX('Skeet Ind Concurrent Ranking'!$F:$F,MATCH($R8,'Skeet Ind Concurrent Ranking'!$N:$N,0)),""),"")</f>
        <v/>
      </c>
      <c r="X8" t="str">
        <f>IFERROR(IF(ISNUMBER($A9),INDEX('Skeet Ind Concurrent Ranking'!$A:$A,MATCH('Skeet Ind Concurrent Scores'!$A9,'Skeet Ind Concurrent Ranking'!$S:$S,0)),""),"")</f>
        <v>24-1025</v>
      </c>
      <c r="Y8" t="str">
        <f>IFERROR(IF(ISNUMBER($A9),INDEX('Skeet Ind Concurrent Ranking'!$D:$D,MATCH('Skeet Ind Concurrent Scores'!$A9,'Skeet Ind Concurrent Ranking'!$S:$S,0)),""),"")</f>
        <v>Gary Last Name26</v>
      </c>
      <c r="Z8" t="s">
        <v>792</v>
      </c>
      <c r="AA8">
        <f>AA7+1</f>
        <v>6</v>
      </c>
    </row>
    <row r="9" spans="1:27" outlineLevel="1" x14ac:dyDescent="0.3">
      <c r="A9">
        <v>3</v>
      </c>
      <c r="B9"/>
      <c r="C9"/>
      <c r="F9" s="61" t="s">
        <v>140</v>
      </c>
      <c r="G9" s="62"/>
      <c r="H9" s="60" t="str">
        <f>IFERROR(IF(ISNUMBER($A9),INDEX('Skeet Ind Concurrent Ranking'!$D:$D,MATCH('Skeet Ind Concurrent Scores'!$A9,'Skeet Ind Concurrent Ranking'!$S:$S,0)),""),"")</f>
        <v>Gary Last Name26</v>
      </c>
      <c r="I9" s="9">
        <f>IFERROR(IF(ISNUMBER($A9),INDEX('Skeet Ind Concurrent Ranking'!$I:$I,MATCH('Skeet Ind Concurrent Scores'!$A9,'Skeet Ind Concurrent Ranking'!$S:$S,0)),""),"")</f>
        <v>86</v>
      </c>
      <c r="J9" s="8" t="str">
        <f>IFERROR(IF(ISNUMBER($A9),INDEX('Skeet Ind Concurrent Ranking'!$F:$F,MATCH('Skeet Ind Concurrent Scores'!$A9,'Skeet Ind Concurrent Ranking'!$S:$S,0)),""),"")</f>
        <v>Junior Varsity</v>
      </c>
      <c r="N9" s="1">
        <v>3</v>
      </c>
      <c r="O9" s="11" t="str">
        <f>IFERROR(IF(ISNUMBER($N9),INDEX('Skeet Ind Concurrent Ranking'!$D:$D,MATCH($N9,'Skeet Ind Concurrent Ranking'!$N:$N,0)),""),"")</f>
        <v>Cathy Last Name3</v>
      </c>
      <c r="P9" s="51">
        <f>IFERROR(IF(ISNUMBER($N9),INDEX('Skeet Ind Concurrent Ranking'!$I:$I,MATCH($N9,'Skeet Ind Concurrent Ranking'!$N:$N,0)),""),"")</f>
        <v>96</v>
      </c>
      <c r="Q9" s="40" t="str">
        <f>IFERROR(IF(ISNUMBER($N9),INDEX('Skeet Ind Concurrent Ranking'!$F:$F,MATCH($N9,'Skeet Ind Concurrent Ranking'!$N:$N,0)),""),"")</f>
        <v>Novice</v>
      </c>
      <c r="R9" s="1">
        <v>53</v>
      </c>
      <c r="S9" s="11" t="str">
        <f>IFERROR(IF(ISNUMBER($R9),INDEX('Skeet Ind Concurrent Ranking'!$D:$D,MATCH($R9,'Skeet Ind Concurrent Ranking'!$N:$N,0)),""),"")</f>
        <v/>
      </c>
      <c r="T9" s="51" t="str">
        <f>IFERROR(IF(ISNUMBER($R9),INDEX('Skeet Ind Concurrent Ranking'!$I:$I,MATCH($R9,'Skeet Ind Concurrent Ranking'!$N:$N,0)),""),"")</f>
        <v/>
      </c>
      <c r="U9" s="40" t="str">
        <f>IFERROR(IF(ISNUMBER($R9),INDEX('Skeet Ind Concurrent Ranking'!$F:$F,MATCH($R9,'Skeet Ind Concurrent Ranking'!$N:$N,0)),""),"")</f>
        <v/>
      </c>
      <c r="X9" t="str">
        <f>IFERROR(IF(ISNUMBER($A10),INDEX('Skeet Ind Concurrent Ranking'!$A:$A,MATCH('Skeet Ind Concurrent Scores'!$A10,'Skeet Ind Concurrent Ranking'!$S:$S,0)),""),"")</f>
        <v/>
      </c>
      <c r="Y9" t="str">
        <f>IFERROR(IF(ISNUMBER($A10),INDEX('Skeet Ind Concurrent Ranking'!$D:$D,MATCH('Skeet Ind Concurrent Scores'!$A10,'Skeet Ind Concurrent Ranking'!$S:$S,0)),""),"")</f>
        <v/>
      </c>
    </row>
    <row r="10" spans="1:27" ht="15" outlineLevel="1" thickBot="1" x14ac:dyDescent="0.35">
      <c r="A10"/>
      <c r="B10"/>
      <c r="C10"/>
      <c r="F10"/>
      <c r="J10"/>
      <c r="N10" s="1">
        <v>4</v>
      </c>
      <c r="O10" s="11" t="str">
        <f>IFERROR(IF(ISNUMBER($N10),INDEX('Skeet Ind Concurrent Ranking'!$D:$D,MATCH($N10,'Skeet Ind Concurrent Ranking'!$N:$N,0)),""),"")</f>
        <v>Patricia Last Name35</v>
      </c>
      <c r="P10" s="51">
        <f>IFERROR(IF(ISNUMBER($N10),INDEX('Skeet Ind Concurrent Ranking'!$I:$I,MATCH($N10,'Skeet Ind Concurrent Ranking'!$N:$N,0)),""),"")</f>
        <v>95</v>
      </c>
      <c r="Q10" s="40" t="str">
        <f>IFERROR(IF(ISNUMBER($N10),INDEX('Skeet Ind Concurrent Ranking'!$F:$F,MATCH($N10,'Skeet Ind Concurrent Ranking'!$N:$N,0)),""),"")</f>
        <v>Novice</v>
      </c>
      <c r="R10" s="1">
        <v>54</v>
      </c>
      <c r="S10" s="11" t="str">
        <f>IFERROR(IF(ISNUMBER($R10),INDEX('Skeet Ind Concurrent Ranking'!$D:$D,MATCH($R10,'Skeet Ind Concurrent Ranking'!$N:$N,0)),""),"")</f>
        <v/>
      </c>
      <c r="T10" s="51" t="str">
        <f>IFERROR(IF(ISNUMBER($R10),INDEX('Skeet Ind Concurrent Ranking'!$I:$I,MATCH($R10,'Skeet Ind Concurrent Ranking'!$N:$N,0)),""),"")</f>
        <v/>
      </c>
      <c r="U10" s="40" t="str">
        <f>IFERROR(IF(ISNUMBER($R10),INDEX('Skeet Ind Concurrent Ranking'!$F:$F,MATCH($R10,'Skeet Ind Concurrent Ranking'!$N:$N,0)),""),"")</f>
        <v/>
      </c>
    </row>
    <row r="11" spans="1:27" ht="15" outlineLevel="1" thickBot="1" x14ac:dyDescent="0.35">
      <c r="A11" s="1" t="s">
        <v>144</v>
      </c>
      <c r="B11"/>
      <c r="C11"/>
      <c r="F11" s="57" t="s">
        <v>142</v>
      </c>
      <c r="G11" s="65"/>
      <c r="H11" s="58"/>
      <c r="I11" s="58"/>
      <c r="J11" s="59"/>
      <c r="N11" s="1">
        <v>5</v>
      </c>
      <c r="O11" s="11" t="str">
        <f>IFERROR(IF(ISNUMBER($N11),INDEX('Skeet Ind Concurrent Ranking'!$D:$D,MATCH($N11,'Skeet Ind Concurrent Ranking'!$N:$N,0)),""),"")</f>
        <v>Christy Last Name10</v>
      </c>
      <c r="P11" s="51">
        <f>IFERROR(IF(ISNUMBER($N11),INDEX('Skeet Ind Concurrent Ranking'!$I:$I,MATCH($N11,'Skeet Ind Concurrent Ranking'!$N:$N,0)),""),"")</f>
        <v>93</v>
      </c>
      <c r="Q11" s="40" t="str">
        <f>IFERROR(IF(ISNUMBER($N11),INDEX('Skeet Ind Concurrent Ranking'!$F:$F,MATCH($N11,'Skeet Ind Concurrent Ranking'!$N:$N,0)),""),"")</f>
        <v>Intermediate</v>
      </c>
      <c r="R11" s="1">
        <v>55</v>
      </c>
      <c r="S11" s="11" t="str">
        <f>IFERROR(IF(ISNUMBER($R11),INDEX('Skeet Ind Concurrent Ranking'!$D:$D,MATCH($R11,'Skeet Ind Concurrent Ranking'!$N:$N,0)),""),"")</f>
        <v/>
      </c>
      <c r="T11" s="51" t="str">
        <f>IFERROR(IF(ISNUMBER($R11),INDEX('Skeet Ind Concurrent Ranking'!$I:$I,MATCH($R11,'Skeet Ind Concurrent Ranking'!$N:$N,0)),""),"")</f>
        <v/>
      </c>
      <c r="U11" s="40" t="str">
        <f>IFERROR(IF(ISNUMBER($R11),INDEX('Skeet Ind Concurrent Ranking'!$F:$F,MATCH($R11,'Skeet Ind Concurrent Ranking'!$N:$N,0)),""),"")</f>
        <v/>
      </c>
    </row>
    <row r="12" spans="1:27" outlineLevel="1" x14ac:dyDescent="0.3">
      <c r="A12">
        <v>1</v>
      </c>
      <c r="B12"/>
      <c r="C12"/>
      <c r="F12" s="63" t="s">
        <v>138</v>
      </c>
      <c r="G12" s="64"/>
      <c r="H12" s="60" t="str">
        <f>IFERROR(IF(ISNUMBER($A12),INDEX('Skeet Ind Concurrent Ranking'!$D:$D,MATCH('Skeet Ind Concurrent Scores'!$A12,'Skeet Ind Concurrent Ranking'!$U:$U,0)),""),"")</f>
        <v>Patricia Last Name35</v>
      </c>
      <c r="I12" s="9">
        <f>IFERROR(IF(ISNUMBER($A12),INDEX('Skeet Ind Concurrent Ranking'!$I:$I,MATCH('Skeet Ind Concurrent Scores'!$A12,'Skeet Ind Concurrent Ranking'!$U:$U,0)),""),"")</f>
        <v>95</v>
      </c>
      <c r="J12" s="8" t="str">
        <f>IFERROR(IF(ISNUMBER($A12),INDEX('Skeet Ind Concurrent Ranking'!$F:$F,MATCH('Skeet Ind Concurrent Scores'!$A12,'Skeet Ind Concurrent Ranking'!$U:$U,0)),""),"")</f>
        <v>Novice</v>
      </c>
      <c r="N12" s="1">
        <v>6</v>
      </c>
      <c r="O12" s="11" t="str">
        <f>IFERROR(IF(ISNUMBER($N12),INDEX('Skeet Ind Concurrent Ranking'!$D:$D,MATCH($N12,'Skeet Ind Concurrent Ranking'!$N:$N,0)),""),"")</f>
        <v>Shelly Last Name31</v>
      </c>
      <c r="P12" s="51">
        <f>IFERROR(IF(ISNUMBER($N12),INDEX('Skeet Ind Concurrent Ranking'!$I:$I,MATCH($N12,'Skeet Ind Concurrent Ranking'!$N:$N,0)),""),"")</f>
        <v>92</v>
      </c>
      <c r="Q12" s="40" t="str">
        <f>IFERROR(IF(ISNUMBER($N12),INDEX('Skeet Ind Concurrent Ranking'!$F:$F,MATCH($N12,'Skeet Ind Concurrent Ranking'!$N:$N,0)),""),"")</f>
        <v>Intermediate</v>
      </c>
      <c r="R12" s="1">
        <v>56</v>
      </c>
      <c r="S12" s="11" t="str">
        <f>IFERROR(IF(ISNUMBER($R12),INDEX('Skeet Ind Concurrent Ranking'!$D:$D,MATCH($R12,'Skeet Ind Concurrent Ranking'!$N:$N,0)),""),"")</f>
        <v/>
      </c>
      <c r="T12" s="51" t="str">
        <f>IFERROR(IF(ISNUMBER($R12),INDEX('Skeet Ind Concurrent Ranking'!$I:$I,MATCH($R12,'Skeet Ind Concurrent Ranking'!$N:$N,0)),""),"")</f>
        <v/>
      </c>
      <c r="U12" s="40" t="str">
        <f>IFERROR(IF(ISNUMBER($R12),INDEX('Skeet Ind Concurrent Ranking'!$F:$F,MATCH($R12,'Skeet Ind Concurrent Ranking'!$N:$N,0)),""),"")</f>
        <v/>
      </c>
      <c r="X12" t="str">
        <f>IFERROR(IF(ISNUMBER($A12),INDEX('Skeet Ind Concurrent Ranking'!$A:$A,MATCH('Skeet Ind Concurrent Scores'!$A12,'Skeet Ind Concurrent Ranking'!$U:$U,0)),""),"")</f>
        <v>24-1034</v>
      </c>
      <c r="Y12" t="str">
        <f>IFERROR(IF(ISNUMBER($A12),INDEX('Skeet Ind Concurrent Ranking'!$D:$D,MATCH('Skeet Ind Concurrent Scores'!$A12,'Skeet Ind Concurrent Ranking'!$U:$U,0)),""),"")</f>
        <v>Patricia Last Name35</v>
      </c>
      <c r="Z12" t="s">
        <v>786</v>
      </c>
      <c r="AA12">
        <f>AA8+1</f>
        <v>7</v>
      </c>
    </row>
    <row r="13" spans="1:27" outlineLevel="1" x14ac:dyDescent="0.3">
      <c r="A13">
        <v>2</v>
      </c>
      <c r="B13"/>
      <c r="C13"/>
      <c r="F13" s="61" t="s">
        <v>139</v>
      </c>
      <c r="G13" s="62"/>
      <c r="H13" s="60" t="str">
        <f>IFERROR(IF(ISNUMBER($A13),INDEX('Skeet Ind Concurrent Ranking'!$D:$D,MATCH('Skeet Ind Concurrent Scores'!$A13,'Skeet Ind Concurrent Ranking'!$U:$U,0)),""),"")</f>
        <v>Christy Last Name10</v>
      </c>
      <c r="I13" s="9">
        <f>IFERROR(IF(ISNUMBER($A13),INDEX('Skeet Ind Concurrent Ranking'!$I:$I,MATCH('Skeet Ind Concurrent Scores'!$A13,'Skeet Ind Concurrent Ranking'!$U:$U,0)),""),"")</f>
        <v>93</v>
      </c>
      <c r="J13" s="8" t="str">
        <f>IFERROR(IF(ISNUMBER($A13),INDEX('Skeet Ind Concurrent Ranking'!$F:$F,MATCH('Skeet Ind Concurrent Scores'!$A13,'Skeet Ind Concurrent Ranking'!$U:$U,0)),""),"")</f>
        <v>Intermediate</v>
      </c>
      <c r="N13" s="1">
        <v>7</v>
      </c>
      <c r="O13" s="11" t="str">
        <f>IFERROR(IF(ISNUMBER($N13),INDEX('Skeet Ind Concurrent Ranking'!$D:$D,MATCH($N13,'Skeet Ind Concurrent Ranking'!$N:$N,0)),""),"")</f>
        <v>Jill Last Name18</v>
      </c>
      <c r="P13" s="51">
        <f>IFERROR(IF(ISNUMBER($N13),INDEX('Skeet Ind Concurrent Ranking'!$I:$I,MATCH($N13,'Skeet Ind Concurrent Ranking'!$N:$N,0)),""),"")</f>
        <v>90</v>
      </c>
      <c r="Q13" s="40" t="str">
        <f>IFERROR(IF(ISNUMBER($N13),INDEX('Skeet Ind Concurrent Ranking'!$F:$F,MATCH($N13,'Skeet Ind Concurrent Ranking'!$N:$N,0)),""),"")</f>
        <v>Collegiate</v>
      </c>
      <c r="R13" s="1">
        <v>57</v>
      </c>
      <c r="S13" s="11" t="str">
        <f>IFERROR(IF(ISNUMBER($R13),INDEX('Skeet Ind Concurrent Ranking'!$D:$D,MATCH($R13,'Skeet Ind Concurrent Ranking'!$N:$N,0)),""),"")</f>
        <v/>
      </c>
      <c r="T13" s="51" t="str">
        <f>IFERROR(IF(ISNUMBER($R13),INDEX('Skeet Ind Concurrent Ranking'!$I:$I,MATCH($R13,'Skeet Ind Concurrent Ranking'!$N:$N,0)),""),"")</f>
        <v/>
      </c>
      <c r="U13" s="40" t="str">
        <f>IFERROR(IF(ISNUMBER($R13),INDEX('Skeet Ind Concurrent Ranking'!$F:$F,MATCH($R13,'Skeet Ind Concurrent Ranking'!$N:$N,0)),""),"")</f>
        <v/>
      </c>
      <c r="X13" t="str">
        <f>IFERROR(IF(ISNUMBER($A13),INDEX('Skeet Ind Concurrent Ranking'!$A:$A,MATCH('Skeet Ind Concurrent Scores'!$A13,'Skeet Ind Concurrent Ranking'!$U:$U,0)),""),"")</f>
        <v>24-1009</v>
      </c>
      <c r="Y13" t="str">
        <f>IFERROR(IF(ISNUMBER($A13),INDEX('Skeet Ind Concurrent Ranking'!$D:$D,MATCH('Skeet Ind Concurrent Scores'!$A13,'Skeet Ind Concurrent Ranking'!$U:$U,0)),""),"")</f>
        <v>Christy Last Name10</v>
      </c>
      <c r="Z13" t="s">
        <v>793</v>
      </c>
      <c r="AA13">
        <f>AA12+1</f>
        <v>8</v>
      </c>
    </row>
    <row r="14" spans="1:27" outlineLevel="1" x14ac:dyDescent="0.3">
      <c r="A14">
        <v>3</v>
      </c>
      <c r="B14"/>
      <c r="C14"/>
      <c r="F14" s="61" t="s">
        <v>140</v>
      </c>
      <c r="G14" s="62"/>
      <c r="H14" s="60" t="str">
        <f>IFERROR(IF(ISNUMBER($A14),INDEX('Skeet Ind Concurrent Ranking'!$D:$D,MATCH('Skeet Ind Concurrent Scores'!$A14,'Skeet Ind Concurrent Ranking'!$U:$U,0)),""),"")</f>
        <v>Shelly Last Name31</v>
      </c>
      <c r="I14" s="9">
        <f>IFERROR(IF(ISNUMBER($A14),INDEX('Skeet Ind Concurrent Ranking'!$I:$I,MATCH('Skeet Ind Concurrent Scores'!$A14,'Skeet Ind Concurrent Ranking'!$U:$U,0)),""),"")</f>
        <v>92</v>
      </c>
      <c r="J14" s="8" t="str">
        <f>IFERROR(IF(ISNUMBER($A14),INDEX('Skeet Ind Concurrent Ranking'!$F:$F,MATCH('Skeet Ind Concurrent Scores'!$A14,'Skeet Ind Concurrent Ranking'!$U:$U,0)),""),"")</f>
        <v>Intermediate</v>
      </c>
      <c r="N14" s="1">
        <v>8</v>
      </c>
      <c r="O14" s="11" t="str">
        <f>IFERROR(IF(ISNUMBER($N14),INDEX('Skeet Ind Concurrent Ranking'!$D:$D,MATCH($N14,'Skeet Ind Concurrent Ranking'!$N:$N,0)),""),"")</f>
        <v>Matt Last Name5</v>
      </c>
      <c r="P14" s="51">
        <f>IFERROR(IF(ISNUMBER($N14),INDEX('Skeet Ind Concurrent Ranking'!$I:$I,MATCH($N14,'Skeet Ind Concurrent Ranking'!$N:$N,0)),""),"")</f>
        <v>89.1</v>
      </c>
      <c r="Q14" s="40" t="str">
        <f>IFERROR(IF(ISNUMBER($N14),INDEX('Skeet Ind Concurrent Ranking'!$F:$F,MATCH($N14,'Skeet Ind Concurrent Ranking'!$N:$N,0)),""),"")</f>
        <v>Varsity</v>
      </c>
      <c r="R14" s="1">
        <v>58</v>
      </c>
      <c r="S14" s="11" t="str">
        <f>IFERROR(IF(ISNUMBER($R14),INDEX('Skeet Ind Concurrent Ranking'!$D:$D,MATCH($R14,'Skeet Ind Concurrent Ranking'!$N:$N,0)),""),"")</f>
        <v/>
      </c>
      <c r="T14" s="51" t="str">
        <f>IFERROR(IF(ISNUMBER($R14),INDEX('Skeet Ind Concurrent Ranking'!$I:$I,MATCH($R14,'Skeet Ind Concurrent Ranking'!$N:$N,0)),""),"")</f>
        <v/>
      </c>
      <c r="U14" s="40" t="str">
        <f>IFERROR(IF(ISNUMBER($R14),INDEX('Skeet Ind Concurrent Ranking'!$F:$F,MATCH($R14,'Skeet Ind Concurrent Ranking'!$N:$N,0)),""),"")</f>
        <v/>
      </c>
      <c r="X14" t="str">
        <f>IFERROR(IF(ISNUMBER($A14),INDEX('Skeet Ind Concurrent Ranking'!$A:$A,MATCH('Skeet Ind Concurrent Scores'!$A14,'Skeet Ind Concurrent Ranking'!$U:$U,0)),""),"")</f>
        <v>24-1030</v>
      </c>
      <c r="Y14" t="str">
        <f>IFERROR(IF(ISNUMBER($A14),INDEX('Skeet Ind Concurrent Ranking'!$D:$D,MATCH('Skeet Ind Concurrent Scores'!$A14,'Skeet Ind Concurrent Ranking'!$U:$U,0)),""),"")</f>
        <v>Shelly Last Name31</v>
      </c>
      <c r="Z14" t="s">
        <v>794</v>
      </c>
      <c r="AA14">
        <f>AA13+1</f>
        <v>9</v>
      </c>
    </row>
    <row r="15" spans="1:27" x14ac:dyDescent="0.3">
      <c r="N15" s="1">
        <v>9</v>
      </c>
      <c r="O15" s="11" t="str">
        <f>IFERROR(IF(ISNUMBER($N15),INDEX('Skeet Ind Concurrent Ranking'!$D:$D,MATCH($N15,'Skeet Ind Concurrent Ranking'!$N:$N,0)),""),"")</f>
        <v>Daniel Last Name15</v>
      </c>
      <c r="P15" s="51">
        <f>IFERROR(IF(ISNUMBER($N15),INDEX('Skeet Ind Concurrent Ranking'!$I:$I,MATCH($N15,'Skeet Ind Concurrent Ranking'!$N:$N,0)),""),"")</f>
        <v>89.1</v>
      </c>
      <c r="Q15" s="40" t="str">
        <f>IFERROR(IF(ISNUMBER($N15),INDEX('Skeet Ind Concurrent Ranking'!$F:$F,MATCH($N15,'Skeet Ind Concurrent Ranking'!$N:$N,0)),""),"")</f>
        <v>Collegiate</v>
      </c>
      <c r="R15" s="1">
        <v>59</v>
      </c>
      <c r="S15" s="11" t="str">
        <f>IFERROR(IF(ISNUMBER($R15),INDEX('Skeet Ind Concurrent Ranking'!$D:$D,MATCH($R15,'Skeet Ind Concurrent Ranking'!$N:$N,0)),""),"")</f>
        <v/>
      </c>
      <c r="T15" s="51" t="str">
        <f>IFERROR(IF(ISNUMBER($R15),INDEX('Skeet Ind Concurrent Ranking'!$I:$I,MATCH($R15,'Skeet Ind Concurrent Ranking'!$N:$N,0)),""),"")</f>
        <v/>
      </c>
      <c r="U15" s="40" t="str">
        <f>IFERROR(IF(ISNUMBER($R15),INDEX('Skeet Ind Concurrent Ranking'!$F:$F,MATCH($R15,'Skeet Ind Concurrent Ranking'!$N:$N,0)),""),"")</f>
        <v/>
      </c>
    </row>
    <row r="16" spans="1:27" outlineLevel="1" x14ac:dyDescent="0.3">
      <c r="D16" s="41" t="s">
        <v>120</v>
      </c>
      <c r="E16" s="42"/>
      <c r="F16" s="41" t="s">
        <v>119</v>
      </c>
      <c r="G16" s="42"/>
      <c r="H16" s="41" t="s">
        <v>118</v>
      </c>
      <c r="I16" s="42"/>
      <c r="J16" s="41" t="s">
        <v>117</v>
      </c>
      <c r="K16" s="42"/>
      <c r="L16" s="41" t="s">
        <v>116</v>
      </c>
      <c r="M16" s="42"/>
      <c r="N16" s="1">
        <v>10</v>
      </c>
      <c r="O16" s="11" t="str">
        <f>IFERROR(IF(ISNUMBER($N16),INDEX('Skeet Ind Concurrent Ranking'!$D:$D,MATCH($N16,'Skeet Ind Concurrent Ranking'!$N:$N,0)),""),"")</f>
        <v>Stuart Last Name38</v>
      </c>
      <c r="P16" s="51">
        <f>IFERROR(IF(ISNUMBER($N16),INDEX('Skeet Ind Concurrent Ranking'!$I:$I,MATCH($N16,'Skeet Ind Concurrent Ranking'!$N:$N,0)),""),"")</f>
        <v>89</v>
      </c>
      <c r="Q16" s="40" t="str">
        <f>IFERROR(IF(ISNUMBER($N16),INDEX('Skeet Ind Concurrent Ranking'!$F:$F,MATCH($N16,'Skeet Ind Concurrent Ranking'!$N:$N,0)),""),"")</f>
        <v>Junior Varsity</v>
      </c>
      <c r="R16" s="1">
        <v>60</v>
      </c>
      <c r="S16" s="11" t="str">
        <f>IFERROR(IF(ISNUMBER($R16),INDEX('Skeet Ind Concurrent Ranking'!$D:$D,MATCH($R16,'Skeet Ind Concurrent Ranking'!$N:$N,0)),""),"")</f>
        <v/>
      </c>
      <c r="T16" s="51" t="str">
        <f>IFERROR(IF(ISNUMBER($R16),INDEX('Skeet Ind Concurrent Ranking'!$I:$I,MATCH($R16,'Skeet Ind Concurrent Ranking'!$N:$N,0)),""),"")</f>
        <v/>
      </c>
      <c r="U16" s="40" t="str">
        <f>IFERROR(IF(ISNUMBER($R16),INDEX('Skeet Ind Concurrent Ranking'!$F:$F,MATCH($R16,'Skeet Ind Concurrent Ranking'!$N:$N,0)),""),"")</f>
        <v/>
      </c>
    </row>
    <row r="17" spans="1:27" outlineLevel="1" x14ac:dyDescent="0.3">
      <c r="A17" s="1" t="s">
        <v>144</v>
      </c>
      <c r="D17" s="43"/>
      <c r="E17" s="44"/>
      <c r="F17" s="43"/>
      <c r="G17" s="45"/>
      <c r="H17" s="43"/>
      <c r="I17" s="45"/>
      <c r="J17" s="43"/>
      <c r="K17" s="45"/>
      <c r="L17" s="43"/>
      <c r="M17" s="45"/>
      <c r="N17" s="1">
        <v>11</v>
      </c>
      <c r="O17" s="11" t="str">
        <f>IFERROR(IF(ISNUMBER($N17),INDEX('Skeet Ind Concurrent Ranking'!$D:$D,MATCH($N17,'Skeet Ind Concurrent Ranking'!$N:$N,0)),""),"")</f>
        <v>Terry Last Name43</v>
      </c>
      <c r="P17" s="51">
        <f>IFERROR(IF(ISNUMBER($N17),INDEX('Skeet Ind Concurrent Ranking'!$I:$I,MATCH($N17,'Skeet Ind Concurrent Ranking'!$N:$N,0)),""),"")</f>
        <v>88</v>
      </c>
      <c r="Q17" s="40" t="str">
        <f>IFERROR(IF(ISNUMBER($N17),INDEX('Skeet Ind Concurrent Ranking'!$F:$F,MATCH($N17,'Skeet Ind Concurrent Ranking'!$N:$N,0)),""),"")</f>
        <v>Intermediate</v>
      </c>
      <c r="R17" s="1">
        <v>61</v>
      </c>
      <c r="S17" s="11" t="str">
        <f>IFERROR(IF(ISNUMBER($R17),INDEX('Skeet Ind Concurrent Ranking'!$D:$D,MATCH($R17,'Skeet Ind Concurrent Ranking'!$N:$N,0)),""),"")</f>
        <v/>
      </c>
      <c r="T17" s="51" t="str">
        <f>IFERROR(IF(ISNUMBER($R17),INDEX('Skeet Ind Concurrent Ranking'!$I:$I,MATCH($R17,'Skeet Ind Concurrent Ranking'!$N:$N,0)),""),"")</f>
        <v/>
      </c>
      <c r="U17" s="40" t="str">
        <f>IFERROR(IF(ISNUMBER($R17),INDEX('Skeet Ind Concurrent Ranking'!$F:$F,MATCH($R17,'Skeet Ind Concurrent Ranking'!$N:$N,0)),""),"")</f>
        <v/>
      </c>
    </row>
    <row r="18" spans="1:27" outlineLevel="1" x14ac:dyDescent="0.3">
      <c r="A18" s="1">
        <v>1</v>
      </c>
      <c r="D18" s="11" t="str">
        <f>IFERROR(IF(ISNUMBER($A18),INDEX('Skeet Ind Concurrent Ranking'!$D:$D,MATCH($A18,'Skeet Ind Concurrent Ranking'!$BR:$BR,0)),""),"")</f>
        <v>Jill Last Name18</v>
      </c>
      <c r="E18" s="40">
        <f>IFERROR(IF(ISNUMBER($A18),INDEX('Skeet Ind Concurrent Ranking'!$I:$I,MATCH($A18,'Skeet Ind Concurrent Ranking'!$BR:$BR,0)),""),"")</f>
        <v>90</v>
      </c>
      <c r="F18" s="11" t="str">
        <f>IFERROR(IF(ISNUMBER($A18),INDEX('Skeet Ind Concurrent Ranking'!$D:$D,MATCH($A18,'Skeet Ind Concurrent Ranking'!$BH:$BH,0)),""),"")</f>
        <v>Will Last Name37</v>
      </c>
      <c r="G18" s="40">
        <f>IFERROR(IF(ISNUMBER($A18),INDEX('Skeet Ind Concurrent Ranking'!$I:$I,MATCH($A18,'Skeet Ind Concurrent Ranking'!$BH:$BH,0)),""),"")</f>
        <v>85</v>
      </c>
      <c r="H18" s="11" t="str">
        <f>IFERROR(IF(ISNUMBER($A18),INDEX('Skeet Ind Concurrent Ranking'!$D:$D,MATCH($A18,'Skeet Ind Concurrent Ranking'!$AX:$AX,0)),""),"")</f>
        <v>Alan Last Name29</v>
      </c>
      <c r="I18" s="40">
        <f>IFERROR(IF(ISNUMBER($A18),INDEX('Skeet Ind Concurrent Ranking'!$I:$I,MATCH($A18,'Skeet Ind Concurrent Ranking'!$AX:$AX,0)),""),"")</f>
        <v>80</v>
      </c>
      <c r="J18" s="11" t="str">
        <f>IFERROR(IF(ISNUMBER($A18),INDEX('Skeet Ind Concurrent Ranking'!$D:$D,MATCH($A18,'Skeet Ind Concurrent Ranking'!$AN:$AN,0)),""),"")</f>
        <v>Terry Last Name43</v>
      </c>
      <c r="K18" s="40">
        <f>IFERROR(IF(ISNUMBER($A18),INDEX('Skeet Ind Concurrent Ranking'!$I:$I,MATCH($A18,'Skeet Ind Concurrent Ranking'!$AN:$AN,0)),""),"")</f>
        <v>88</v>
      </c>
      <c r="L18" s="11" t="str">
        <f>IFERROR(IF(ISNUMBER($A18),INDEX('Skeet Ind Concurrent Ranking'!$D:$D,MATCH($A18,'Skeet Ind Concurrent Ranking'!$AD:$AD,0)),""),"")</f>
        <v>Jason Last Name1</v>
      </c>
      <c r="M18" s="40">
        <f>IFERROR(IF(ISNUMBER($A18),INDEX('Skeet Ind Concurrent Ranking'!$I:$I,MATCH($A18,'Skeet Ind Concurrent Ranking'!$AD:$AD,0)),""),"")</f>
        <v>85</v>
      </c>
      <c r="N18" s="1">
        <v>12</v>
      </c>
      <c r="O18" s="11" t="str">
        <f>IFERROR(IF(ISNUMBER($N18),INDEX('Skeet Ind Concurrent Ranking'!$D:$D,MATCH($N18,'Skeet Ind Concurrent Ranking'!$N:$N,0)),""),"")</f>
        <v>Gary Last Name26</v>
      </c>
      <c r="P18" s="51">
        <f>IFERROR(IF(ISNUMBER($N18),INDEX('Skeet Ind Concurrent Ranking'!$I:$I,MATCH($N18,'Skeet Ind Concurrent Ranking'!$N:$N,0)),""),"")</f>
        <v>86</v>
      </c>
      <c r="Q18" s="40" t="str">
        <f>IFERROR(IF(ISNUMBER($N18),INDEX('Skeet Ind Concurrent Ranking'!$F:$F,MATCH($N18,'Skeet Ind Concurrent Ranking'!$N:$N,0)),""),"")</f>
        <v>Junior Varsity</v>
      </c>
      <c r="R18" s="1">
        <v>62</v>
      </c>
      <c r="S18" s="11" t="str">
        <f>IFERROR(IF(ISNUMBER($R18),INDEX('Skeet Ind Concurrent Ranking'!$D:$D,MATCH($R18,'Skeet Ind Concurrent Ranking'!$N:$N,0)),""),"")</f>
        <v/>
      </c>
      <c r="T18" s="51" t="str">
        <f>IFERROR(IF(ISNUMBER($R18),INDEX('Skeet Ind Concurrent Ranking'!$I:$I,MATCH($R18,'Skeet Ind Concurrent Ranking'!$N:$N,0)),""),"")</f>
        <v/>
      </c>
      <c r="U18" s="40" t="str">
        <f>IFERROR(IF(ISNUMBER($R18),INDEX('Skeet Ind Concurrent Ranking'!$F:$F,MATCH($R18,'Skeet Ind Concurrent Ranking'!$N:$N,0)),""),"")</f>
        <v/>
      </c>
      <c r="X18" t="str">
        <f>IFERROR(IF(ISNUMBER($A18),INDEX('Skeet Ind Concurrent Ranking'!$A:$A,MATCH($A18,'Skeet Ind Concurrent Ranking'!$BR:$BR,0)),""),"")</f>
        <v>24-1017</v>
      </c>
      <c r="Y18" t="str">
        <f>IFERROR(IF(ISNUMBER($A18),INDEX('Skeet Ind Concurrent Ranking'!$D:$D,MATCH($A18,'Skeet Ind Concurrent Ranking'!$BR:$BR,0)),""),"")</f>
        <v>Jill Last Name18</v>
      </c>
      <c r="Z18" t="s">
        <v>795</v>
      </c>
      <c r="AA18">
        <f>AA14+1</f>
        <v>10</v>
      </c>
    </row>
    <row r="19" spans="1:27" outlineLevel="1" x14ac:dyDescent="0.3">
      <c r="A19" s="1">
        <v>2</v>
      </c>
      <c r="D19" s="11" t="str">
        <f>IFERROR(IF(ISNUMBER($A19),INDEX('Skeet Ind Concurrent Ranking'!$D:$D,MATCH($A19,'Skeet Ind Concurrent Ranking'!$BR:$BR,0)),""),"")</f>
        <v>Daniel Last Name15</v>
      </c>
      <c r="E19" s="40">
        <f>IFERROR(IF(ISNUMBER($A19),INDEX('Skeet Ind Concurrent Ranking'!$I:$I,MATCH($A19,'Skeet Ind Concurrent Ranking'!$BR:$BR,0)),""),"")</f>
        <v>89.1</v>
      </c>
      <c r="F19" s="11" t="str">
        <f>IFERROR(IF(ISNUMBER($A19),INDEX('Skeet Ind Concurrent Ranking'!$D:$D,MATCH($A19,'Skeet Ind Concurrent Ranking'!$BH:$BH,0)),""),"")</f>
        <v>Trey Last Name41</v>
      </c>
      <c r="G19" s="40">
        <f>IFERROR(IF(ISNUMBER($A19),INDEX('Skeet Ind Concurrent Ranking'!$I:$I,MATCH($A19,'Skeet Ind Concurrent Ranking'!$BH:$BH,0)),""),"")</f>
        <v>84</v>
      </c>
      <c r="H19" s="11" t="str">
        <f>IFERROR(IF(ISNUMBER($A19),INDEX('Skeet Ind Concurrent Ranking'!$D:$D,MATCH($A19,'Skeet Ind Concurrent Ranking'!$AX:$AX,0)),""),"")</f>
        <v>Bruce Last Name13</v>
      </c>
      <c r="I19" s="40">
        <f>IFERROR(IF(ISNUMBER($A19),INDEX('Skeet Ind Concurrent Ranking'!$I:$I,MATCH($A19,'Skeet Ind Concurrent Ranking'!$AX:$AX,0)),""),"")</f>
        <v>72.099999999999994</v>
      </c>
      <c r="J19" s="11" t="str">
        <f>IFERROR(IF(ISNUMBER($A19),INDEX('Skeet Ind Concurrent Ranking'!$D:$D,MATCH($A19,'Skeet Ind Concurrent Ranking'!$AN:$AN,0)),""),"")</f>
        <v>Henry Last Name14</v>
      </c>
      <c r="K19" s="40">
        <f>IFERROR(IF(ISNUMBER($A19),INDEX('Skeet Ind Concurrent Ranking'!$I:$I,MATCH($A19,'Skeet Ind Concurrent Ranking'!$AN:$AN,0)),""),"")</f>
        <v>76</v>
      </c>
      <c r="L19" s="11" t="str">
        <f>IFERROR(IF(ISNUMBER($A19),INDEX('Skeet Ind Concurrent Ranking'!$D:$D,MATCH($A19,'Skeet Ind Concurrent Ranking'!$AD:$AD,0)),""),"")</f>
        <v>Linda Last Name9</v>
      </c>
      <c r="M19" s="40">
        <f>IFERROR(IF(ISNUMBER($A19),INDEX('Skeet Ind Concurrent Ranking'!$I:$I,MATCH($A19,'Skeet Ind Concurrent Ranking'!$AD:$AD,0)),""),"")</f>
        <v>75</v>
      </c>
      <c r="N19" s="1">
        <v>13</v>
      </c>
      <c r="O19" s="11" t="str">
        <f>IFERROR(IF(ISNUMBER($N19),INDEX('Skeet Ind Concurrent Ranking'!$D:$D,MATCH($N19,'Skeet Ind Concurrent Ranking'!$N:$N,0)),""),"")</f>
        <v>Jason Last Name1</v>
      </c>
      <c r="P19" s="51">
        <f>IFERROR(IF(ISNUMBER($N19),INDEX('Skeet Ind Concurrent Ranking'!$I:$I,MATCH($N19,'Skeet Ind Concurrent Ranking'!$N:$N,0)),""),"")</f>
        <v>85</v>
      </c>
      <c r="Q19" s="40" t="str">
        <f>IFERROR(IF(ISNUMBER($N19),INDEX('Skeet Ind Concurrent Ranking'!$F:$F,MATCH($N19,'Skeet Ind Concurrent Ranking'!$N:$N,0)),""),"")</f>
        <v>Novice</v>
      </c>
      <c r="R19" s="1">
        <v>63</v>
      </c>
      <c r="S19" s="11" t="str">
        <f>IFERROR(IF(ISNUMBER($R19),INDEX('Skeet Ind Concurrent Ranking'!$D:$D,MATCH($R19,'Skeet Ind Concurrent Ranking'!$N:$N,0)),""),"")</f>
        <v/>
      </c>
      <c r="T19" s="51" t="str">
        <f>IFERROR(IF(ISNUMBER($R19),INDEX('Skeet Ind Concurrent Ranking'!$I:$I,MATCH($R19,'Skeet Ind Concurrent Ranking'!$N:$N,0)),""),"")</f>
        <v/>
      </c>
      <c r="U19" s="40" t="str">
        <f>IFERROR(IF(ISNUMBER($R19),INDEX('Skeet Ind Concurrent Ranking'!$F:$F,MATCH($R19,'Skeet Ind Concurrent Ranking'!$N:$N,0)),""),"")</f>
        <v/>
      </c>
      <c r="X19" t="str">
        <f>IFERROR(IF(ISNUMBER($A19),INDEX('Skeet Ind Concurrent Ranking'!$A:$A,MATCH($A19,'Skeet Ind Concurrent Ranking'!$BR:$BR,0)),""),"")</f>
        <v>24-1014</v>
      </c>
      <c r="Y19" t="str">
        <f>IFERROR(IF(ISNUMBER($A19),INDEX('Skeet Ind Concurrent Ranking'!$D:$D,MATCH($A19,'Skeet Ind Concurrent Ranking'!$BR:$BR,0)),""),"")</f>
        <v>Daniel Last Name15</v>
      </c>
      <c r="Z19" t="s">
        <v>796</v>
      </c>
      <c r="AA19">
        <f>AA18+1</f>
        <v>11</v>
      </c>
    </row>
    <row r="20" spans="1:27" outlineLevel="1" x14ac:dyDescent="0.3">
      <c r="A20" s="1">
        <v>3</v>
      </c>
      <c r="D20" s="11" t="str">
        <f>IFERROR(IF(ISNUMBER($A20),INDEX('Skeet Ind Concurrent Ranking'!$D:$D,MATCH($A20,'Skeet Ind Concurrent Ranking'!$BR:$BR,0)),""),"")</f>
        <v>Judy Last Name30</v>
      </c>
      <c r="E20" s="40">
        <f>IFERROR(IF(ISNUMBER($A20),INDEX('Skeet Ind Concurrent Ranking'!$I:$I,MATCH($A20,'Skeet Ind Concurrent Ranking'!$BR:$BR,0)),""),"")</f>
        <v>51</v>
      </c>
      <c r="F20" s="11" t="str">
        <f>IFERROR(IF(ISNUMBER($A20),INDEX('Skeet Ind Concurrent Ranking'!$D:$D,MATCH($A20,'Skeet Ind Concurrent Ranking'!$BH:$BH,0)),""),"")</f>
        <v>Jack Last Name19</v>
      </c>
      <c r="G20" s="40">
        <f>IFERROR(IF(ISNUMBER($A20),INDEX('Skeet Ind Concurrent Ranking'!$I:$I,MATCH($A20,'Skeet Ind Concurrent Ranking'!$BH:$BH,0)),""),"")</f>
        <v>82.1</v>
      </c>
      <c r="H20" s="11" t="str">
        <f>IFERROR(IF(ISNUMBER($A20),INDEX('Skeet Ind Concurrent Ranking'!$D:$D,MATCH($A20,'Skeet Ind Concurrent Ranking'!$AX:$AX,0)),""),"")</f>
        <v>James Last Name8</v>
      </c>
      <c r="I20" s="40">
        <f>IFERROR(IF(ISNUMBER($A20),INDEX('Skeet Ind Concurrent Ranking'!$I:$I,MATCH($A20,'Skeet Ind Concurrent Ranking'!$AX:$AX,0)),""),"")</f>
        <v>64</v>
      </c>
      <c r="J20" s="11" t="str">
        <f>IFERROR(IF(ISNUMBER($A20),INDEX('Skeet Ind Concurrent Ranking'!$D:$D,MATCH($A20,'Skeet Ind Concurrent Ranking'!$AN:$AN,0)),""),"")</f>
        <v>Trisha Last Name44</v>
      </c>
      <c r="K20" s="40">
        <f>IFERROR(IF(ISNUMBER($A20),INDEX('Skeet Ind Concurrent Ranking'!$I:$I,MATCH($A20,'Skeet Ind Concurrent Ranking'!$AN:$AN,0)),""),"")</f>
        <v>72.099999999999994</v>
      </c>
      <c r="L20" s="11" t="str">
        <f>IFERROR(IF(ISNUMBER($A20),INDEX('Skeet Ind Concurrent Ranking'!$D:$D,MATCH($A20,'Skeet Ind Concurrent Ranking'!$AD:$AD,0)),""),"")</f>
        <v>Missy Last Name33</v>
      </c>
      <c r="M20" s="40">
        <f>IFERROR(IF(ISNUMBER($A20),INDEX('Skeet Ind Concurrent Ranking'!$I:$I,MATCH($A20,'Skeet Ind Concurrent Ranking'!$AD:$AD,0)),""),"")</f>
        <v>73</v>
      </c>
      <c r="N20" s="1">
        <v>14</v>
      </c>
      <c r="O20" s="11" t="str">
        <f>IFERROR(IF(ISNUMBER($N20),INDEX('Skeet Ind Concurrent Ranking'!$D:$D,MATCH($N20,'Skeet Ind Concurrent Ranking'!$N:$N,0)),""),"")</f>
        <v>Will Last Name37</v>
      </c>
      <c r="P20" s="51">
        <f>IFERROR(IF(ISNUMBER($N20),INDEX('Skeet Ind Concurrent Ranking'!$I:$I,MATCH($N20,'Skeet Ind Concurrent Ranking'!$N:$N,0)),""),"")</f>
        <v>85</v>
      </c>
      <c r="Q20" s="40" t="str">
        <f>IFERROR(IF(ISNUMBER($N20),INDEX('Skeet Ind Concurrent Ranking'!$F:$F,MATCH($N20,'Skeet Ind Concurrent Ranking'!$N:$N,0)),""),"")</f>
        <v>Varsity</v>
      </c>
      <c r="R20" s="1">
        <v>64</v>
      </c>
      <c r="S20" s="11" t="str">
        <f>IFERROR(IF(ISNUMBER($R20),INDEX('Skeet Ind Concurrent Ranking'!$D:$D,MATCH($R20,'Skeet Ind Concurrent Ranking'!$N:$N,0)),""),"")</f>
        <v/>
      </c>
      <c r="T20" s="51" t="str">
        <f>IFERROR(IF(ISNUMBER($R20),INDEX('Skeet Ind Concurrent Ranking'!$I:$I,MATCH($R20,'Skeet Ind Concurrent Ranking'!$N:$N,0)),""),"")</f>
        <v/>
      </c>
      <c r="U20" s="40" t="str">
        <f>IFERROR(IF(ISNUMBER($R20),INDEX('Skeet Ind Concurrent Ranking'!$F:$F,MATCH($R20,'Skeet Ind Concurrent Ranking'!$N:$N,0)),""),"")</f>
        <v/>
      </c>
      <c r="X20" t="str">
        <f>IFERROR(IF(ISNUMBER($A20),INDEX('Skeet Ind Concurrent Ranking'!$A:$A,MATCH($A20,'Skeet Ind Concurrent Ranking'!$BR:$BR,0)),""),"")</f>
        <v>24-1029</v>
      </c>
      <c r="Y20" t="str">
        <f>IFERROR(IF(ISNUMBER($A20),INDEX('Skeet Ind Concurrent Ranking'!$D:$D,MATCH($A20,'Skeet Ind Concurrent Ranking'!$BR:$BR,0)),""),"")</f>
        <v>Judy Last Name30</v>
      </c>
      <c r="Z20" t="s">
        <v>797</v>
      </c>
      <c r="AA20">
        <f>AA19+1</f>
        <v>12</v>
      </c>
    </row>
    <row r="21" spans="1:27" outlineLevel="1" x14ac:dyDescent="0.3">
      <c r="D21" s="43" t="s">
        <v>707</v>
      </c>
      <c r="E21" s="44"/>
      <c r="F21" s="43" t="s">
        <v>707</v>
      </c>
      <c r="G21" s="45"/>
      <c r="H21" s="43" t="s">
        <v>707</v>
      </c>
      <c r="I21" s="45"/>
      <c r="J21" s="43" t="s">
        <v>707</v>
      </c>
      <c r="K21" s="45"/>
      <c r="L21" s="43" t="s">
        <v>707</v>
      </c>
      <c r="M21" s="45"/>
      <c r="N21" s="1">
        <v>15</v>
      </c>
      <c r="O21" s="11" t="str">
        <f>IFERROR(IF(ISNUMBER($N21),INDEX('Skeet Ind Concurrent Ranking'!$D:$D,MATCH($N21,'Skeet Ind Concurrent Ranking'!$N:$N,0)),""),"")</f>
        <v>Trey Last Name41</v>
      </c>
      <c r="P21" s="51">
        <f>IFERROR(IF(ISNUMBER($N21),INDEX('Skeet Ind Concurrent Ranking'!$I:$I,MATCH($N21,'Skeet Ind Concurrent Ranking'!$N:$N,0)),""),"")</f>
        <v>84</v>
      </c>
      <c r="Q21" s="40" t="str">
        <f>IFERROR(IF(ISNUMBER($N21),INDEX('Skeet Ind Concurrent Ranking'!$F:$F,MATCH($N21,'Skeet Ind Concurrent Ranking'!$N:$N,0)),""),"")</f>
        <v>Varsity</v>
      </c>
      <c r="R21" s="1">
        <v>65</v>
      </c>
      <c r="S21" s="11" t="str">
        <f>IFERROR(IF(ISNUMBER($R21),INDEX('Skeet Ind Concurrent Ranking'!$D:$D,MATCH($R21,'Skeet Ind Concurrent Ranking'!$N:$N,0)),""),"")</f>
        <v/>
      </c>
      <c r="T21" s="51" t="str">
        <f>IFERROR(IF(ISNUMBER($R21),INDEX('Skeet Ind Concurrent Ranking'!$I:$I,MATCH($R21,'Skeet Ind Concurrent Ranking'!$N:$N,0)),""),"")</f>
        <v/>
      </c>
      <c r="U21" s="40" t="str">
        <f>IFERROR(IF(ISNUMBER($R21),INDEX('Skeet Ind Concurrent Ranking'!$F:$F,MATCH($R21,'Skeet Ind Concurrent Ranking'!$N:$N,0)),""),"")</f>
        <v/>
      </c>
    </row>
    <row r="22" spans="1:27" outlineLevel="1" x14ac:dyDescent="0.3">
      <c r="A22" s="1">
        <v>1</v>
      </c>
      <c r="D22" s="11" t="str">
        <f>IFERROR(IF(ISNUMBER($A22),INDEX('Skeet Ind Concurrent Ranking'!$D:$D,MATCH($A22,'Skeet Ind Concurrent Ranking'!$BT:$BT,0)),""),"")</f>
        <v>Bob Last Name12</v>
      </c>
      <c r="E22" s="40">
        <f>IFERROR(IF(ISNUMBER($A22),INDEX('Skeet Ind Concurrent Ranking'!$I:$I,MATCH($A22,'Skeet Ind Concurrent Ranking'!$BT:$BT,0)),""),"")</f>
        <v>48</v>
      </c>
      <c r="F22" s="11" t="str">
        <f>IFERROR(IF(ISNUMBER($A22),INDEX('Skeet Ind Concurrent Ranking'!$D:$D,MATCH($A22,'Skeet Ind Concurrent Ranking'!$BJ:$BJ,0)),""),"")</f>
        <v>Harry Last Name25</v>
      </c>
      <c r="G22" s="40">
        <f>IFERROR(IF(ISNUMBER($A22),INDEX('Skeet Ind Concurrent Ranking'!$I:$I,MATCH($A22,'Skeet Ind Concurrent Ranking'!$BJ:$BJ,0)),""),"")</f>
        <v>72</v>
      </c>
      <c r="H22" s="11" t="str">
        <f>IFERROR(IF(ISNUMBER($A22),INDEX('Skeet Ind Concurrent Ranking'!$D:$D,MATCH($A22,'Skeet Ind Concurrent Ranking'!$AZ:$AZ,0)),""),"")</f>
        <v>John Last Name2</v>
      </c>
      <c r="I22" s="40">
        <f>IFERROR(IF(ISNUMBER($A22),INDEX('Skeet Ind Concurrent Ranking'!$I:$I,MATCH($A22,'Skeet Ind Concurrent Ranking'!$AZ:$AZ,0)),""),"")</f>
        <v>63</v>
      </c>
      <c r="J22" s="11" t="str">
        <f>IFERROR(IF(ISNUMBER($A22),INDEX('Skeet Ind Concurrent Ranking'!$D:$D,MATCH($A22,'Skeet Ind Concurrent Ranking'!$AP:$AP,0)),""),"")</f>
        <v>Steve Last Name22</v>
      </c>
      <c r="K22" s="40">
        <f>IFERROR(IF(ISNUMBER($A22),INDEX('Skeet Ind Concurrent Ranking'!$I:$I,MATCH($A22,'Skeet Ind Concurrent Ranking'!$AP:$AP,0)),""),"")</f>
        <v>70</v>
      </c>
      <c r="L22" s="11" t="str">
        <f>IFERROR(IF(ISNUMBER($A22),INDEX('Skeet Ind Concurrent Ranking'!$D:$D,MATCH($A22,'Skeet Ind Concurrent Ranking'!$AF:$AF,0)),""),"")</f>
        <v>Nathan Last Name21</v>
      </c>
      <c r="M22" s="40">
        <f>IFERROR(IF(ISNUMBER($A22),INDEX('Skeet Ind Concurrent Ranking'!$I:$I,MATCH($A22,'Skeet Ind Concurrent Ranking'!$AF:$AF,0)),""),"")</f>
        <v>72.2</v>
      </c>
      <c r="N22" s="1">
        <v>16</v>
      </c>
      <c r="O22" s="11" t="str">
        <f>IFERROR(IF(ISNUMBER($N22),INDEX('Skeet Ind Concurrent Ranking'!$D:$D,MATCH($N22,'Skeet Ind Concurrent Ranking'!$N:$N,0)),""),"")</f>
        <v>Jack Last Name19</v>
      </c>
      <c r="P22" s="51">
        <f>IFERROR(IF(ISNUMBER($N22),INDEX('Skeet Ind Concurrent Ranking'!$I:$I,MATCH($N22,'Skeet Ind Concurrent Ranking'!$N:$N,0)),""),"")</f>
        <v>82.1</v>
      </c>
      <c r="Q22" s="40" t="str">
        <f>IFERROR(IF(ISNUMBER($N22),INDEX('Skeet Ind Concurrent Ranking'!$F:$F,MATCH($N22,'Skeet Ind Concurrent Ranking'!$N:$N,0)),""),"")</f>
        <v>Varsity</v>
      </c>
      <c r="R22" s="1">
        <v>66</v>
      </c>
      <c r="S22" s="11" t="str">
        <f>IFERROR(IF(ISNUMBER($R22),INDEX('Skeet Ind Concurrent Ranking'!$D:$D,MATCH($R22,'Skeet Ind Concurrent Ranking'!$N:$N,0)),""),"")</f>
        <v/>
      </c>
      <c r="T22" s="51" t="str">
        <f>IFERROR(IF(ISNUMBER($R22),INDEX('Skeet Ind Concurrent Ranking'!$I:$I,MATCH($R22,'Skeet Ind Concurrent Ranking'!$N:$N,0)),""),"")</f>
        <v/>
      </c>
      <c r="U22" s="40" t="str">
        <f>IFERROR(IF(ISNUMBER($R22),INDEX('Skeet Ind Concurrent Ranking'!$F:$F,MATCH($R22,'Skeet Ind Concurrent Ranking'!$N:$N,0)),""),"")</f>
        <v/>
      </c>
      <c r="X22" t="str">
        <f>IFERROR(IF(ISNUMBER($A22),INDEX('Skeet Ind Concurrent Ranking'!$A:$A,MATCH($A22,'Skeet Ind Concurrent Ranking'!$BT:$BT,0)),""),"")</f>
        <v>24-1011</v>
      </c>
      <c r="Y22" t="str">
        <f>IFERROR(IF(ISNUMBER($A22),INDEX('Skeet Ind Concurrent Ranking'!$D:$D,MATCH($A22,'Skeet Ind Concurrent Ranking'!$BT:$BT,0)),""),"")</f>
        <v>Bob Last Name12</v>
      </c>
      <c r="Z22" t="s">
        <v>798</v>
      </c>
      <c r="AA22">
        <f>AA20+1</f>
        <v>13</v>
      </c>
    </row>
    <row r="23" spans="1:27" outlineLevel="1" x14ac:dyDescent="0.3">
      <c r="A23" s="1">
        <v>2</v>
      </c>
      <c r="D23" s="11" t="str">
        <f>IFERROR(IF(ISNUMBER($A23),INDEX('Skeet Ind Concurrent Ranking'!$D:$D,MATCH($A23,'Skeet Ind Concurrent Ranking'!$BT:$BT,0)),""),"")</f>
        <v>Chad Last Name39</v>
      </c>
      <c r="E23" s="40">
        <f>IFERROR(IF(ISNUMBER($A23),INDEX('Skeet Ind Concurrent Ranking'!$I:$I,MATCH($A23,'Skeet Ind Concurrent Ranking'!$BT:$BT,0)),""),"")</f>
        <v>43</v>
      </c>
      <c r="F23" s="11" t="str">
        <f>IFERROR(IF(ISNUMBER($A23),INDEX('Skeet Ind Concurrent Ranking'!$D:$D,MATCH($A23,'Skeet Ind Concurrent Ranking'!$BJ:$BJ,0)),""),"")</f>
        <v>Brad Last Name28</v>
      </c>
      <c r="G23" s="40">
        <f>IFERROR(IF(ISNUMBER($A23),INDEX('Skeet Ind Concurrent Ranking'!$I:$I,MATCH($A23,'Skeet Ind Concurrent Ranking'!$BJ:$BJ,0)),""),"")</f>
        <v>63</v>
      </c>
      <c r="H23" s="11" t="str">
        <f>IFERROR(IF(ISNUMBER($A23),INDEX('Skeet Ind Concurrent Ranking'!$D:$D,MATCH($A23,'Skeet Ind Concurrent Ranking'!$AZ:$AZ,0)),""),"")</f>
        <v>Tom Last Name23</v>
      </c>
      <c r="I23" s="40">
        <f>IFERROR(IF(ISNUMBER($A23),INDEX('Skeet Ind Concurrent Ranking'!$I:$I,MATCH($A23,'Skeet Ind Concurrent Ranking'!$AZ:$AZ,0)),""),"")</f>
        <v>61</v>
      </c>
      <c r="J23" s="11" t="str">
        <f>IFERROR(IF(ISNUMBER($A23),INDEX('Skeet Ind Concurrent Ranking'!$D:$D,MATCH($A23,'Skeet Ind Concurrent Ranking'!$AP:$AP,0)),""),"")</f>
        <v>Marty Last Name34</v>
      </c>
      <c r="K23" s="40">
        <f>IFERROR(IF(ISNUMBER($A23),INDEX('Skeet Ind Concurrent Ranking'!$I:$I,MATCH($A23,'Skeet Ind Concurrent Ranking'!$AP:$AP,0)),""),"")</f>
        <v>68</v>
      </c>
      <c r="L23" s="11" t="str">
        <f>IFERROR(IF(ISNUMBER($A23),INDEX('Skeet Ind Concurrent Ranking'!$D:$D,MATCH($A23,'Skeet Ind Concurrent Ranking'!$AF:$AF,0)),""),"")</f>
        <v>Tim Last Name24</v>
      </c>
      <c r="M23" s="40">
        <f>IFERROR(IF(ISNUMBER($A23),INDEX('Skeet Ind Concurrent Ranking'!$I:$I,MATCH($A23,'Skeet Ind Concurrent Ranking'!$AF:$AF,0)),""),"")</f>
        <v>70</v>
      </c>
      <c r="N23" s="1">
        <v>17</v>
      </c>
      <c r="O23" s="11" t="str">
        <f>IFERROR(IF(ISNUMBER($N23),INDEX('Skeet Ind Concurrent Ranking'!$D:$D,MATCH($N23,'Skeet Ind Concurrent Ranking'!$N:$N,0)),""),"")</f>
        <v>Susan Last Name4</v>
      </c>
      <c r="P23" s="51">
        <f>IFERROR(IF(ISNUMBER($N23),INDEX('Skeet Ind Concurrent Ranking'!$I:$I,MATCH($N23,'Skeet Ind Concurrent Ranking'!$N:$N,0)),""),"")</f>
        <v>82</v>
      </c>
      <c r="Q23" s="40" t="str">
        <f>IFERROR(IF(ISNUMBER($N23),INDEX('Skeet Ind Concurrent Ranking'!$F:$F,MATCH($N23,'Skeet Ind Concurrent Ranking'!$N:$N,0)),""),"")</f>
        <v>Varsity</v>
      </c>
      <c r="R23" s="1">
        <v>67</v>
      </c>
      <c r="S23" s="11" t="str">
        <f>IFERROR(IF(ISNUMBER($R23),INDEX('Skeet Ind Concurrent Ranking'!$D:$D,MATCH($R23,'Skeet Ind Concurrent Ranking'!$N:$N,0)),""),"")</f>
        <v/>
      </c>
      <c r="T23" s="51" t="str">
        <f>IFERROR(IF(ISNUMBER($R23),INDEX('Skeet Ind Concurrent Ranking'!$I:$I,MATCH($R23,'Skeet Ind Concurrent Ranking'!$N:$N,0)),""),"")</f>
        <v/>
      </c>
      <c r="U23" s="40" t="str">
        <f>IFERROR(IF(ISNUMBER($R23),INDEX('Skeet Ind Concurrent Ranking'!$F:$F,MATCH($R23,'Skeet Ind Concurrent Ranking'!$N:$N,0)),""),"")</f>
        <v/>
      </c>
      <c r="X23" t="str">
        <f>IFERROR(IF(ISNUMBER($A23),INDEX('Skeet Ind Concurrent Ranking'!$A:$A,MATCH($A23,'Skeet Ind Concurrent Ranking'!$BT:$BT,0)),""),"")</f>
        <v>24-1038</v>
      </c>
      <c r="Y23" t="str">
        <f>IFERROR(IF(ISNUMBER($A23),INDEX('Skeet Ind Concurrent Ranking'!$D:$D,MATCH($A23,'Skeet Ind Concurrent Ranking'!$BT:$BT,0)),""),"")</f>
        <v>Chad Last Name39</v>
      </c>
      <c r="Z23" t="s">
        <v>799</v>
      </c>
      <c r="AA23">
        <f>AA22+1</f>
        <v>14</v>
      </c>
    </row>
    <row r="24" spans="1:27" outlineLevel="1" x14ac:dyDescent="0.3">
      <c r="A24" s="1">
        <v>3</v>
      </c>
      <c r="D24" s="11" t="str">
        <f>IFERROR(IF(ISNUMBER($A24),INDEX('Skeet Ind Concurrent Ranking'!$D:$D,MATCH($A24,'Skeet Ind Concurrent Ranking'!$BT:$BT,0)),""),"")</f>
        <v/>
      </c>
      <c r="E24" s="40" t="str">
        <f>IFERROR(IF(ISNUMBER($A24),INDEX('Skeet Ind Concurrent Ranking'!$I:$I,MATCH($A24,'Skeet Ind Concurrent Ranking'!$BT:$BT,0)),""),"")</f>
        <v/>
      </c>
      <c r="F24" s="11" t="str">
        <f>IFERROR(IF(ISNUMBER($A24),INDEX('Skeet Ind Concurrent Ranking'!$D:$D,MATCH($A24,'Skeet Ind Concurrent Ranking'!$BJ:$BJ,0)),""),"")</f>
        <v>Troy Last Name40</v>
      </c>
      <c r="G24" s="40">
        <f>IFERROR(IF(ISNUMBER($A24),INDEX('Skeet Ind Concurrent Ranking'!$I:$I,MATCH($A24,'Skeet Ind Concurrent Ranking'!$BJ:$BJ,0)),""),"")</f>
        <v>59</v>
      </c>
      <c r="H24" s="11" t="str">
        <f>IFERROR(IF(ISNUMBER($A24),INDEX('Skeet Ind Concurrent Ranking'!$D:$D,MATCH($A24,'Skeet Ind Concurrent Ranking'!$AZ:$AZ,0)),""),"")</f>
        <v>Chris Last Name20</v>
      </c>
      <c r="I24" s="40">
        <f>IFERROR(IF(ISNUMBER($A24),INDEX('Skeet Ind Concurrent Ranking'!$I:$I,MATCH($A24,'Skeet Ind Concurrent Ranking'!$AZ:$AZ,0)),""),"")</f>
        <v>32.1</v>
      </c>
      <c r="J24" s="11" t="str">
        <f>IFERROR(IF(ISNUMBER($A24),INDEX('Skeet Ind Concurrent Ranking'!$D:$D,MATCH($A24,'Skeet Ind Concurrent Ranking'!$AP:$AP,0)),""),"")</f>
        <v/>
      </c>
      <c r="K24" s="40" t="str">
        <f>IFERROR(IF(ISNUMBER($A24),INDEX('Skeet Ind Concurrent Ranking'!$I:$I,MATCH($A24,'Skeet Ind Concurrent Ranking'!$AP:$AP,0)),""),"")</f>
        <v/>
      </c>
      <c r="L24" s="11" t="str">
        <f>IFERROR(IF(ISNUMBER($A24),INDEX('Skeet Ind Concurrent Ranking'!$D:$D,MATCH($A24,'Skeet Ind Concurrent Ranking'!$AF:$AF,0)),""),"")</f>
        <v>Rick Last Name47</v>
      </c>
      <c r="M24" s="40">
        <f>IFERROR(IF(ISNUMBER($A24),INDEX('Skeet Ind Concurrent Ranking'!$I:$I,MATCH($A24,'Skeet Ind Concurrent Ranking'!$AF:$AF,0)),""),"")</f>
        <v>65</v>
      </c>
      <c r="N24" s="1">
        <v>18</v>
      </c>
      <c r="O24" s="11" t="str">
        <f>IFERROR(IF(ISNUMBER($N24),INDEX('Skeet Ind Concurrent Ranking'!$D:$D,MATCH($N24,'Skeet Ind Concurrent Ranking'!$N:$N,0)),""),"")</f>
        <v>Alan Last Name29</v>
      </c>
      <c r="P24" s="51">
        <f>IFERROR(IF(ISNUMBER($N24),INDEX('Skeet Ind Concurrent Ranking'!$I:$I,MATCH($N24,'Skeet Ind Concurrent Ranking'!$N:$N,0)),""),"")</f>
        <v>80</v>
      </c>
      <c r="Q24" s="40" t="str">
        <f>IFERROR(IF(ISNUMBER($N24),INDEX('Skeet Ind Concurrent Ranking'!$F:$F,MATCH($N24,'Skeet Ind Concurrent Ranking'!$N:$N,0)),""),"")</f>
        <v>Junior Varsity</v>
      </c>
      <c r="R24" s="1">
        <v>68</v>
      </c>
      <c r="S24" s="11" t="str">
        <f>IFERROR(IF(ISNUMBER($R24),INDEX('Skeet Ind Concurrent Ranking'!$D:$D,MATCH($R24,'Skeet Ind Concurrent Ranking'!$N:$N,0)),""),"")</f>
        <v/>
      </c>
      <c r="T24" s="51" t="str">
        <f>IFERROR(IF(ISNUMBER($R24),INDEX('Skeet Ind Concurrent Ranking'!$I:$I,MATCH($R24,'Skeet Ind Concurrent Ranking'!$N:$N,0)),""),"")</f>
        <v/>
      </c>
      <c r="U24" s="40" t="str">
        <f>IFERROR(IF(ISNUMBER($R24),INDEX('Skeet Ind Concurrent Ranking'!$F:$F,MATCH($R24,'Skeet Ind Concurrent Ranking'!$N:$N,0)),""),"")</f>
        <v/>
      </c>
      <c r="X24" t="str">
        <f>IFERROR(IF(ISNUMBER($A24),INDEX('Skeet Ind Concurrent Ranking'!$A:$A,MATCH($A24,'Skeet Ind Concurrent Ranking'!$BT:$BT,0)),""),"")</f>
        <v/>
      </c>
      <c r="Y24" t="str">
        <f>IFERROR(IF(ISNUMBER($A24),INDEX('Skeet Ind Concurrent Ranking'!$D:$D,MATCH($A24,'Skeet Ind Concurrent Ranking'!$BT:$BT,0)),""),"")</f>
        <v/>
      </c>
      <c r="Z24" t="s">
        <v>800</v>
      </c>
      <c r="AA24">
        <f>AA23+1</f>
        <v>15</v>
      </c>
    </row>
    <row r="25" spans="1:27" outlineLevel="1" x14ac:dyDescent="0.3">
      <c r="D25" s="43" t="s">
        <v>708</v>
      </c>
      <c r="E25" s="44"/>
      <c r="F25" s="43" t="s">
        <v>708</v>
      </c>
      <c r="G25" s="45"/>
      <c r="H25" s="43" t="s">
        <v>708</v>
      </c>
      <c r="I25" s="45"/>
      <c r="J25" s="43" t="s">
        <v>708</v>
      </c>
      <c r="K25" s="45"/>
      <c r="L25" s="43" t="s">
        <v>708</v>
      </c>
      <c r="M25" s="45"/>
      <c r="N25" s="1">
        <v>19</v>
      </c>
      <c r="O25" s="11" t="str">
        <f>IFERROR(IF(ISNUMBER($N25),INDEX('Skeet Ind Concurrent Ranking'!$D:$D,MATCH($N25,'Skeet Ind Concurrent Ranking'!$N:$N,0)),""),"")</f>
        <v>Henry Last Name14</v>
      </c>
      <c r="P25" s="51">
        <f>IFERROR(IF(ISNUMBER($N25),INDEX('Skeet Ind Concurrent Ranking'!$I:$I,MATCH($N25,'Skeet Ind Concurrent Ranking'!$N:$N,0)),""),"")</f>
        <v>76</v>
      </c>
      <c r="Q25" s="40" t="str">
        <f>IFERROR(IF(ISNUMBER($N25),INDEX('Skeet Ind Concurrent Ranking'!$F:$F,MATCH($N25,'Skeet Ind Concurrent Ranking'!$N:$N,0)),""),"")</f>
        <v>Intermediate</v>
      </c>
      <c r="R25" s="1">
        <v>69</v>
      </c>
      <c r="S25" s="11" t="str">
        <f>IFERROR(IF(ISNUMBER($R25),INDEX('Skeet Ind Concurrent Ranking'!$D:$D,MATCH($R25,'Skeet Ind Concurrent Ranking'!$N:$N,0)),""),"")</f>
        <v/>
      </c>
      <c r="T25" s="51" t="str">
        <f>IFERROR(IF(ISNUMBER($R25),INDEX('Skeet Ind Concurrent Ranking'!$I:$I,MATCH($R25,'Skeet Ind Concurrent Ranking'!$N:$N,0)),""),"")</f>
        <v/>
      </c>
      <c r="U25" s="40" t="str">
        <f>IFERROR(IF(ISNUMBER($R25),INDEX('Skeet Ind Concurrent Ranking'!$F:$F,MATCH($R25,'Skeet Ind Concurrent Ranking'!$N:$N,0)),""),"")</f>
        <v/>
      </c>
    </row>
    <row r="26" spans="1:27" outlineLevel="1" x14ac:dyDescent="0.3">
      <c r="A26" s="1">
        <v>1</v>
      </c>
      <c r="D26" s="11" t="str">
        <f>IFERROR(IF(ISNUMBER($A26),INDEX('Skeet Ind Concurrent Ranking'!$D:$D,MATCH($A26,'Skeet Ind Concurrent Ranking'!$BV:$BV,0)),""),"")</f>
        <v>Becky Last Name27</v>
      </c>
      <c r="E26" s="40">
        <f>IFERROR(IF(ISNUMBER($A26),INDEX('Skeet Ind Concurrent Ranking'!$I:$I,MATCH($A26,'Skeet Ind Concurrent Ranking'!$BV:$BV,0)),""),"")</f>
        <v>45</v>
      </c>
      <c r="F26" s="11" t="str">
        <f>IFERROR(IF(ISNUMBER($A26),INDEX('Skeet Ind Concurrent Ranking'!$D:$D,MATCH($A26,'Skeet Ind Concurrent Ranking'!$BL:$BL,0)),""),"")</f>
        <v>Susan Last Name4</v>
      </c>
      <c r="G26" s="40">
        <f>IFERROR(IF(ISNUMBER($A26),INDEX('Skeet Ind Concurrent Ranking'!$I:$I,MATCH($A26,'Skeet Ind Concurrent Ranking'!$BL:$BL,0)),""),"")</f>
        <v>82</v>
      </c>
      <c r="H26" s="11" t="str">
        <f>IFERROR(IF(ISNUMBER($A26),INDEX('Skeet Ind Concurrent Ranking'!$D:$D,MATCH($A26,'Skeet Ind Concurrent Ranking'!$BB:$BB,0)),""),"")</f>
        <v/>
      </c>
      <c r="I26" s="40" t="str">
        <f>IFERROR(IF(ISNUMBER($A26),INDEX('Skeet Ind Concurrent Ranking'!$I:$I,MATCH($A26,'Skeet Ind Concurrent Ranking'!$BB:$BB,0)),""),"")</f>
        <v/>
      </c>
      <c r="J26" s="11" t="str">
        <f>IFERROR(IF(ISNUMBER($A26),INDEX('Skeet Ind Concurrent Ranking'!$D:$D,MATCH($A26,'Skeet Ind Concurrent Ranking'!$AR:$AR,0)),""),"")</f>
        <v>Kelly Last Name32</v>
      </c>
      <c r="K26" s="40">
        <f>IFERROR(IF(ISNUMBER($A26),INDEX('Skeet Ind Concurrent Ranking'!$I:$I,MATCH($A26,'Skeet Ind Concurrent Ranking'!$AR:$AR,0)),""),"")</f>
        <v>29</v>
      </c>
      <c r="L26" s="11" t="str">
        <f>IFERROR(IF(ISNUMBER($A26),INDEX('Skeet Ind Concurrent Ranking'!$D:$D,MATCH($A26,'Skeet Ind Concurrent Ranking'!$AH:$AH,0)),""),"")</f>
        <v>Joan Last Name17</v>
      </c>
      <c r="M26" s="40">
        <f>IFERROR(IF(ISNUMBER($A26),INDEX('Skeet Ind Concurrent Ranking'!$I:$I,MATCH($A26,'Skeet Ind Concurrent Ranking'!$AH:$AH,0)),""),"")</f>
        <v>60.1</v>
      </c>
      <c r="N26" s="1">
        <v>20</v>
      </c>
      <c r="O26" s="11" t="str">
        <f>IFERROR(IF(ISNUMBER($N26),INDEX('Skeet Ind Concurrent Ranking'!$D:$D,MATCH($N26,'Skeet Ind Concurrent Ranking'!$N:$N,0)),""),"")</f>
        <v>Linda Last Name9</v>
      </c>
      <c r="P26" s="51">
        <f>IFERROR(IF(ISNUMBER($N26),INDEX('Skeet Ind Concurrent Ranking'!$I:$I,MATCH($N26,'Skeet Ind Concurrent Ranking'!$N:$N,0)),""),"")</f>
        <v>75</v>
      </c>
      <c r="Q26" s="40" t="str">
        <f>IFERROR(IF(ISNUMBER($N26),INDEX('Skeet Ind Concurrent Ranking'!$F:$F,MATCH($N26,'Skeet Ind Concurrent Ranking'!$N:$N,0)),""),"")</f>
        <v>Novice</v>
      </c>
      <c r="R26" s="1">
        <v>70</v>
      </c>
      <c r="S26" s="11" t="str">
        <f>IFERROR(IF(ISNUMBER($R26),INDEX('Skeet Ind Concurrent Ranking'!$D:$D,MATCH($R26,'Skeet Ind Concurrent Ranking'!$N:$N,0)),""),"")</f>
        <v/>
      </c>
      <c r="T26" s="51" t="str">
        <f>IFERROR(IF(ISNUMBER($R26),INDEX('Skeet Ind Concurrent Ranking'!$I:$I,MATCH($R26,'Skeet Ind Concurrent Ranking'!$N:$N,0)),""),"")</f>
        <v/>
      </c>
      <c r="U26" s="40" t="str">
        <f>IFERROR(IF(ISNUMBER($R26),INDEX('Skeet Ind Concurrent Ranking'!$F:$F,MATCH($R26,'Skeet Ind Concurrent Ranking'!$N:$N,0)),""),"")</f>
        <v/>
      </c>
      <c r="X26" t="str">
        <f>IFERROR(IF(ISNUMBER($A26),INDEX('Skeet Ind Concurrent Ranking'!$A:$A,MATCH($A26,'Skeet Ind Concurrent Ranking'!$BV:$BV,0)),""),"")</f>
        <v>24-1026</v>
      </c>
      <c r="Y26" t="str">
        <f>IFERROR(IF(ISNUMBER($A26),INDEX('Skeet Ind Concurrent Ranking'!$D:$D,MATCH($A26,'Skeet Ind Concurrent Ranking'!$BV:$BV,0)),""),"")</f>
        <v>Becky Last Name27</v>
      </c>
      <c r="Z26" t="s">
        <v>801</v>
      </c>
      <c r="AA26">
        <f>AA24+1</f>
        <v>16</v>
      </c>
    </row>
    <row r="27" spans="1:27" outlineLevel="1" x14ac:dyDescent="0.3">
      <c r="A27" s="1">
        <v>2</v>
      </c>
      <c r="D27" s="11" t="str">
        <f>IFERROR(IF(ISNUMBER($A27),INDEX('Skeet Ind Concurrent Ranking'!$D:$D,MATCH($A27,'Skeet Ind Concurrent Ranking'!$BV:$BV,0)),""),"")</f>
        <v/>
      </c>
      <c r="E27" s="40" t="str">
        <f>IFERROR(IF(ISNUMBER($A27),INDEX('Skeet Ind Concurrent Ranking'!$I:$I,MATCH($A27,'Skeet Ind Concurrent Ranking'!$BV:$BV,0)),""),"")</f>
        <v/>
      </c>
      <c r="F27" s="11" t="str">
        <f>IFERROR(IF(ISNUMBER($A27),INDEX('Skeet Ind Concurrent Ranking'!$D:$D,MATCH($A27,'Skeet Ind Concurrent Ranking'!$BL:$BL,0)),""),"")</f>
        <v/>
      </c>
      <c r="G27" s="40" t="str">
        <f>IFERROR(IF(ISNUMBER($A27),INDEX('Skeet Ind Concurrent Ranking'!$I:$I,MATCH($A27,'Skeet Ind Concurrent Ranking'!$BL:$BL,0)),""),"")</f>
        <v/>
      </c>
      <c r="H27" s="11" t="str">
        <f>IFERROR(IF(ISNUMBER($A27),INDEX('Skeet Ind Concurrent Ranking'!$D:$D,MATCH($A27,'Skeet Ind Concurrent Ranking'!$BB:$BB,0)),""),"")</f>
        <v/>
      </c>
      <c r="I27" s="40" t="str">
        <f>IFERROR(IF(ISNUMBER($A27),INDEX('Skeet Ind Concurrent Ranking'!$I:$I,MATCH($A27,'Skeet Ind Concurrent Ranking'!$BB:$BB,0)),""),"")</f>
        <v/>
      </c>
      <c r="J27" s="11" t="str">
        <f>IFERROR(IF(ISNUMBER($A27),INDEX('Skeet Ind Concurrent Ranking'!$D:$D,MATCH($A27,'Skeet Ind Concurrent Ranking'!$AR:$AR,0)),""),"")</f>
        <v/>
      </c>
      <c r="K27" s="40" t="str">
        <f>IFERROR(IF(ISNUMBER($A27),INDEX('Skeet Ind Concurrent Ranking'!$I:$I,MATCH($A27,'Skeet Ind Concurrent Ranking'!$AR:$AR,0)),""),"")</f>
        <v/>
      </c>
      <c r="L27" s="11" t="str">
        <f>IFERROR(IF(ISNUMBER($A27),INDEX('Skeet Ind Concurrent Ranking'!$D:$D,MATCH($A27,'Skeet Ind Concurrent Ranking'!$AH:$AH,0)),""),"")</f>
        <v>Dee Last Name45</v>
      </c>
      <c r="M27" s="40">
        <f>IFERROR(IF(ISNUMBER($A27),INDEX('Skeet Ind Concurrent Ranking'!$I:$I,MATCH($A27,'Skeet Ind Concurrent Ranking'!$AH:$AH,0)),""),"")</f>
        <v>54</v>
      </c>
      <c r="N27" s="1">
        <v>21</v>
      </c>
      <c r="O27" s="11" t="str">
        <f>IFERROR(IF(ISNUMBER($N27),INDEX('Skeet Ind Concurrent Ranking'!$D:$D,MATCH($N27,'Skeet Ind Concurrent Ranking'!$N:$N,0)),""),"")</f>
        <v>Missy Last Name33</v>
      </c>
      <c r="P27" s="51">
        <f>IFERROR(IF(ISNUMBER($N27),INDEX('Skeet Ind Concurrent Ranking'!$I:$I,MATCH($N27,'Skeet Ind Concurrent Ranking'!$N:$N,0)),""),"")</f>
        <v>73</v>
      </c>
      <c r="Q27" s="40" t="str">
        <f>IFERROR(IF(ISNUMBER($N27),INDEX('Skeet Ind Concurrent Ranking'!$F:$F,MATCH($N27,'Skeet Ind Concurrent Ranking'!$N:$N,0)),""),"")</f>
        <v>Novice</v>
      </c>
      <c r="R27" s="1">
        <v>71</v>
      </c>
      <c r="S27" s="11" t="str">
        <f>IFERROR(IF(ISNUMBER($R27),INDEX('Skeet Ind Concurrent Ranking'!$D:$D,MATCH($R27,'Skeet Ind Concurrent Ranking'!$N:$N,0)),""),"")</f>
        <v/>
      </c>
      <c r="T27" s="51" t="str">
        <f>IFERROR(IF(ISNUMBER($R27),INDEX('Skeet Ind Concurrent Ranking'!$I:$I,MATCH($R27,'Skeet Ind Concurrent Ranking'!$N:$N,0)),""),"")</f>
        <v/>
      </c>
      <c r="U27" s="40" t="str">
        <f>IFERROR(IF(ISNUMBER($R27),INDEX('Skeet Ind Concurrent Ranking'!$F:$F,MATCH($R27,'Skeet Ind Concurrent Ranking'!$N:$N,0)),""),"")</f>
        <v/>
      </c>
      <c r="X27" t="str">
        <f>IFERROR(IF(ISNUMBER($A27),INDEX('Skeet Ind Concurrent Ranking'!$A:$A,MATCH($A27,'Skeet Ind Concurrent Ranking'!$BV:$BV,0)),""),"")</f>
        <v/>
      </c>
      <c r="Y27" t="str">
        <f>IFERROR(IF(ISNUMBER($A27),INDEX('Skeet Ind Concurrent Ranking'!$D:$D,MATCH($A27,'Skeet Ind Concurrent Ranking'!$BV:$BV,0)),""),"")</f>
        <v/>
      </c>
      <c r="Z27" t="s">
        <v>802</v>
      </c>
      <c r="AA27">
        <f>AA26+1</f>
        <v>17</v>
      </c>
    </row>
    <row r="28" spans="1:27" outlineLevel="1" x14ac:dyDescent="0.3">
      <c r="A28" s="1">
        <v>3</v>
      </c>
      <c r="D28" s="11" t="str">
        <f>IFERROR(IF(ISNUMBER($A28),INDEX('Skeet Ind Concurrent Ranking'!$D:$D,MATCH($A28,'Skeet Ind Concurrent Ranking'!$BV:$BV,0)),""),"")</f>
        <v/>
      </c>
      <c r="E28" s="40" t="str">
        <f>IFERROR(IF(ISNUMBER($A28),INDEX('Skeet Ind Concurrent Ranking'!$I:$I,MATCH($A28,'Skeet Ind Concurrent Ranking'!$BV:$BV,0)),""),"")</f>
        <v/>
      </c>
      <c r="F28" s="11" t="str">
        <f>IFERROR(IF(ISNUMBER($A28),INDEX('Skeet Ind Concurrent Ranking'!$D:$D,MATCH($A28,'Skeet Ind Concurrent Ranking'!$BL:$BL,0)),""),"")</f>
        <v/>
      </c>
      <c r="G28" s="40" t="str">
        <f>IFERROR(IF(ISNUMBER($A28),INDEX('Skeet Ind Concurrent Ranking'!$I:$I,MATCH($A28,'Skeet Ind Concurrent Ranking'!$BL:$BL,0)),""),"")</f>
        <v/>
      </c>
      <c r="H28" s="11" t="str">
        <f>IFERROR(IF(ISNUMBER($A28),INDEX('Skeet Ind Concurrent Ranking'!$D:$D,MATCH($A28,'Skeet Ind Concurrent Ranking'!$BB:$BB,0)),""),"")</f>
        <v/>
      </c>
      <c r="I28" s="40" t="str">
        <f>IFERROR(IF(ISNUMBER($A28),INDEX('Skeet Ind Concurrent Ranking'!$I:$I,MATCH($A28,'Skeet Ind Concurrent Ranking'!$BB:$BB,0)),""),"")</f>
        <v/>
      </c>
      <c r="J28" s="11" t="str">
        <f>IFERROR(IF(ISNUMBER($A28),INDEX('Skeet Ind Concurrent Ranking'!$D:$D,MATCH($A28,'Skeet Ind Concurrent Ranking'!$AR:$AR,0)),""),"")</f>
        <v/>
      </c>
      <c r="K28" s="40" t="str">
        <f>IFERROR(IF(ISNUMBER($A28),INDEX('Skeet Ind Concurrent Ranking'!$I:$I,MATCH($A28,'Skeet Ind Concurrent Ranking'!$AR:$AR,0)),""),"")</f>
        <v/>
      </c>
      <c r="L28" s="11" t="str">
        <f>IFERROR(IF(ISNUMBER($A28),INDEX('Skeet Ind Concurrent Ranking'!$D:$D,MATCH($A28,'Skeet Ind Concurrent Ranking'!$AH:$AH,0)),""),"")</f>
        <v/>
      </c>
      <c r="M28" s="40" t="str">
        <f>IFERROR(IF(ISNUMBER($A28),INDEX('Skeet Ind Concurrent Ranking'!$I:$I,MATCH($A28,'Skeet Ind Concurrent Ranking'!$AH:$AH,0)),""),"")</f>
        <v/>
      </c>
      <c r="N28" s="1">
        <v>22</v>
      </c>
      <c r="O28" s="11" t="str">
        <f>IFERROR(IF(ISNUMBER($N28),INDEX('Skeet Ind Concurrent Ranking'!$D:$D,MATCH($N28,'Skeet Ind Concurrent Ranking'!$N:$N,0)),""),"")</f>
        <v>Nathan Last Name21</v>
      </c>
      <c r="P28" s="51">
        <f>IFERROR(IF(ISNUMBER($N28),INDEX('Skeet Ind Concurrent Ranking'!$I:$I,MATCH($N28,'Skeet Ind Concurrent Ranking'!$N:$N,0)),""),"")</f>
        <v>72.2</v>
      </c>
      <c r="Q28" s="40" t="str">
        <f>IFERROR(IF(ISNUMBER($N28),INDEX('Skeet Ind Concurrent Ranking'!$F:$F,MATCH($N28,'Skeet Ind Concurrent Ranking'!$N:$N,0)),""),"")</f>
        <v>Novice</v>
      </c>
      <c r="R28" s="1">
        <v>72</v>
      </c>
      <c r="S28" s="11" t="str">
        <f>IFERROR(IF(ISNUMBER($R28),INDEX('Skeet Ind Concurrent Ranking'!$D:$D,MATCH($R28,'Skeet Ind Concurrent Ranking'!$N:$N,0)),""),"")</f>
        <v/>
      </c>
      <c r="T28" s="51" t="str">
        <f>IFERROR(IF(ISNUMBER($R28),INDEX('Skeet Ind Concurrent Ranking'!$I:$I,MATCH($R28,'Skeet Ind Concurrent Ranking'!$N:$N,0)),""),"")</f>
        <v/>
      </c>
      <c r="U28" s="40" t="str">
        <f>IFERROR(IF(ISNUMBER($R28),INDEX('Skeet Ind Concurrent Ranking'!$F:$F,MATCH($R28,'Skeet Ind Concurrent Ranking'!$N:$N,0)),""),"")</f>
        <v/>
      </c>
      <c r="X28" t="str">
        <f>IFERROR(IF(ISNUMBER($A28),INDEX('Skeet Ind Concurrent Ranking'!$A:$A,MATCH($A28,'Skeet Ind Concurrent Ranking'!$BV:$BV,0)),""),"")</f>
        <v/>
      </c>
      <c r="Y28" t="str">
        <f>IFERROR(IF(ISNUMBER($A28),INDEX('Skeet Ind Concurrent Ranking'!$D:$D,MATCH($A28,'Skeet Ind Concurrent Ranking'!$BV:$BV,0)),""),"")</f>
        <v/>
      </c>
      <c r="Z28" t="s">
        <v>803</v>
      </c>
      <c r="AA28">
        <f>AA27+1</f>
        <v>18</v>
      </c>
    </row>
    <row r="29" spans="1:27" outlineLevel="1" x14ac:dyDescent="0.3">
      <c r="D29" s="41"/>
      <c r="E29" s="42"/>
      <c r="F29" s="41"/>
      <c r="G29" s="42"/>
      <c r="H29" s="41"/>
      <c r="I29" s="42"/>
      <c r="J29" s="41"/>
      <c r="K29" s="42"/>
      <c r="L29" s="41"/>
      <c r="M29" s="42"/>
      <c r="N29" s="1">
        <v>23</v>
      </c>
      <c r="O29" s="11" t="str">
        <f>IFERROR(IF(ISNUMBER($N29),INDEX('Skeet Ind Concurrent Ranking'!$D:$D,MATCH($N29,'Skeet Ind Concurrent Ranking'!$N:$N,0)),""),"")</f>
        <v>Bruce Last Name13</v>
      </c>
      <c r="P29" s="51">
        <f>IFERROR(IF(ISNUMBER($N29),INDEX('Skeet Ind Concurrent Ranking'!$I:$I,MATCH($N29,'Skeet Ind Concurrent Ranking'!$N:$N,0)),""),"")</f>
        <v>72.099999999999994</v>
      </c>
      <c r="Q29" s="40" t="str">
        <f>IFERROR(IF(ISNUMBER($N29),INDEX('Skeet Ind Concurrent Ranking'!$F:$F,MATCH($N29,'Skeet Ind Concurrent Ranking'!$N:$N,0)),""),"")</f>
        <v>Junior Varsity</v>
      </c>
      <c r="R29" s="1">
        <v>73</v>
      </c>
      <c r="S29" s="11" t="str">
        <f>IFERROR(IF(ISNUMBER($R29),INDEX('Skeet Ind Concurrent Ranking'!$D:$D,MATCH($R29,'Skeet Ind Concurrent Ranking'!$N:$N,0)),""),"")</f>
        <v/>
      </c>
      <c r="T29" s="51" t="str">
        <f>IFERROR(IF(ISNUMBER($R29),INDEX('Skeet Ind Concurrent Ranking'!$I:$I,MATCH($R29,'Skeet Ind Concurrent Ranking'!$N:$N,0)),""),"")</f>
        <v/>
      </c>
      <c r="U29" s="40" t="str">
        <f>IFERROR(IF(ISNUMBER($R29),INDEX('Skeet Ind Concurrent Ranking'!$F:$F,MATCH($R29,'Skeet Ind Concurrent Ranking'!$N:$N,0)),""),"")</f>
        <v/>
      </c>
    </row>
    <row r="30" spans="1:27" x14ac:dyDescent="0.3">
      <c r="B30" s="66" t="s">
        <v>262</v>
      </c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1">
        <v>24</v>
      </c>
      <c r="O30" s="11" t="str">
        <f>IFERROR(IF(ISNUMBER($N30),INDEX('Skeet Ind Concurrent Ranking'!$D:$D,MATCH($N30,'Skeet Ind Concurrent Ranking'!$N:$N,0)),""),"")</f>
        <v>Trisha Last Name44</v>
      </c>
      <c r="P30" s="51">
        <f>IFERROR(IF(ISNUMBER($N30),INDEX('Skeet Ind Concurrent Ranking'!$I:$I,MATCH($N30,'Skeet Ind Concurrent Ranking'!$N:$N,0)),""),"")</f>
        <v>72.099999999999994</v>
      </c>
      <c r="Q30" s="40" t="str">
        <f>IFERROR(IF(ISNUMBER($N30),INDEX('Skeet Ind Concurrent Ranking'!$F:$F,MATCH($N30,'Skeet Ind Concurrent Ranking'!$N:$N,0)),""),"")</f>
        <v>Intermediate</v>
      </c>
      <c r="R30" s="1">
        <v>74</v>
      </c>
      <c r="S30" s="11" t="str">
        <f>IFERROR(IF(ISNUMBER($R30),INDEX('Skeet Ind Concurrent Ranking'!$D:$D,MATCH($R30,'Skeet Ind Concurrent Ranking'!$N:$N,0)),""),"")</f>
        <v/>
      </c>
      <c r="T30" s="51" t="str">
        <f>IFERROR(IF(ISNUMBER($R30),INDEX('Skeet Ind Concurrent Ranking'!$I:$I,MATCH($R30,'Skeet Ind Concurrent Ranking'!$N:$N,0)),""),"")</f>
        <v/>
      </c>
      <c r="U30" s="40" t="str">
        <f>IFERROR(IF(ISNUMBER($R30),INDEX('Skeet Ind Concurrent Ranking'!$F:$F,MATCH($R30,'Skeet Ind Concurrent Ranking'!$N:$N,0)),""),"")</f>
        <v/>
      </c>
      <c r="X30" t="str">
        <f>IFERROR(IF(ISNUMBER($A18),INDEX('Skeet Ind Concurrent Ranking'!$A:$A,MATCH($A18,'Skeet Ind Concurrent Ranking'!$BH:$BH,0)),""),"")</f>
        <v>24-1036</v>
      </c>
      <c r="Y30" t="str">
        <f>IFERROR(IF(ISNUMBER($A18),INDEX('Skeet Ind Concurrent Ranking'!$D:$D,MATCH($A18,'Skeet Ind Concurrent Ranking'!$BH:$BH,0)),""),"")</f>
        <v>Will Last Name37</v>
      </c>
      <c r="Z30" t="s">
        <v>804</v>
      </c>
      <c r="AA30">
        <f>AA28+1</f>
        <v>19</v>
      </c>
    </row>
    <row r="31" spans="1:27" x14ac:dyDescent="0.3">
      <c r="A31" s="1" t="s">
        <v>144</v>
      </c>
      <c r="B31" s="50" t="s">
        <v>114</v>
      </c>
      <c r="C31" s="50"/>
      <c r="D31" s="41" t="s">
        <v>120</v>
      </c>
      <c r="E31" s="42"/>
      <c r="F31" s="41" t="s">
        <v>119</v>
      </c>
      <c r="G31" s="42"/>
      <c r="H31" s="41" t="s">
        <v>118</v>
      </c>
      <c r="I31" s="42"/>
      <c r="J31" s="41" t="s">
        <v>117</v>
      </c>
      <c r="K31" s="42"/>
      <c r="L31" s="41" t="s">
        <v>116</v>
      </c>
      <c r="M31" s="42"/>
      <c r="N31" s="1">
        <v>25</v>
      </c>
      <c r="O31" s="11" t="str">
        <f>IFERROR(IF(ISNUMBER($N31),INDEX('Skeet Ind Concurrent Ranking'!$D:$D,MATCH($N31,'Skeet Ind Concurrent Ranking'!$N:$N,0)),""),"")</f>
        <v>Harry Last Name25</v>
      </c>
      <c r="P31" s="51">
        <f>IFERROR(IF(ISNUMBER($N31),INDEX('Skeet Ind Concurrent Ranking'!$I:$I,MATCH($N31,'Skeet Ind Concurrent Ranking'!$N:$N,0)),""),"")</f>
        <v>72</v>
      </c>
      <c r="Q31" s="40" t="str">
        <f>IFERROR(IF(ISNUMBER($N31),INDEX('Skeet Ind Concurrent Ranking'!$F:$F,MATCH($N31,'Skeet Ind Concurrent Ranking'!$N:$N,0)),""),"")</f>
        <v>Varsity</v>
      </c>
      <c r="R31" s="1">
        <v>75</v>
      </c>
      <c r="S31" s="11" t="str">
        <f>IFERROR(IF(ISNUMBER($R31),INDEX('Skeet Ind Concurrent Ranking'!$D:$D,MATCH($R31,'Skeet Ind Concurrent Ranking'!$N:$N,0)),""),"")</f>
        <v/>
      </c>
      <c r="T31" s="51" t="str">
        <f>IFERROR(IF(ISNUMBER($R31),INDEX('Skeet Ind Concurrent Ranking'!$I:$I,MATCH($R31,'Skeet Ind Concurrent Ranking'!$N:$N,0)),""),"")</f>
        <v/>
      </c>
      <c r="U31" s="40" t="str">
        <f>IFERROR(IF(ISNUMBER($R31),INDEX('Skeet Ind Concurrent Ranking'!$F:$F,MATCH($R31,'Skeet Ind Concurrent Ranking'!$N:$N,0)),""),"")</f>
        <v/>
      </c>
      <c r="X31" t="str">
        <f>IFERROR(IF(ISNUMBER($A19),INDEX('Skeet Ind Concurrent Ranking'!$A:$A,MATCH($A19,'Skeet Ind Concurrent Ranking'!$BH:$BH,0)),""),"")</f>
        <v>24-1040</v>
      </c>
      <c r="Y31" t="str">
        <f>IFERROR(IF(ISNUMBER($A19),INDEX('Skeet Ind Concurrent Ranking'!$D:$D,MATCH($A19,'Skeet Ind Concurrent Ranking'!$BH:$BH,0)),""),"")</f>
        <v>Trey Last Name41</v>
      </c>
      <c r="Z31" t="s">
        <v>805</v>
      </c>
      <c r="AA31">
        <f>AA30+1</f>
        <v>20</v>
      </c>
    </row>
    <row r="32" spans="1:27" x14ac:dyDescent="0.3">
      <c r="A32" s="1">
        <v>1</v>
      </c>
      <c r="B32" s="1" t="str">
        <f>IFERROR(IF(AND(ISNUMBER($A32),$A32&lt;='Tournament Setup'!$B$29),INDEX('Skeet Ind Concurrent Ranking'!$D:$D,MATCH($A32,'Skeet Ind Concurrent Ranking'!$P:$P,0)),""),"")</f>
        <v>Bill Last Name11</v>
      </c>
      <c r="C32" s="40">
        <f>IFERROR(IF(AND(ISNUMBER($A32),$A32&lt;='Tournament Setup'!$B$29),INDEX('Skeet Ind Concurrent Ranking'!$I:$I,MATCH($A32,'Skeet Ind Concurrent Ranking'!$P:$P,0)),""),"")</f>
        <v>98</v>
      </c>
      <c r="D32" s="11" t="str">
        <f>IFERROR(IF(ISNUMBER($A32),INDEX('Skeet Ind Concurrent Ranking'!$D:$D,MATCH($A32,'Skeet Ind Concurrent Ranking'!$BQ:$BQ,0)),""),"")</f>
        <v>Jill Last Name18</v>
      </c>
      <c r="E32" s="40">
        <f>IFERROR(IF(ISNUMBER($A32),INDEX('Skeet Ind Concurrent Ranking'!$I:$I,MATCH($A32,'Skeet Ind Concurrent Ranking'!$BQ:$BQ,0)),""),"")</f>
        <v>90</v>
      </c>
      <c r="F32" s="11" t="str">
        <f>IFERROR(IF(ISNUMBER($A32),INDEX('Skeet Ind Concurrent Ranking'!$D:$D,MATCH($A32,'Skeet Ind Concurrent Ranking'!$BG:$BG,0)),""),"")</f>
        <v>Will Last Name37</v>
      </c>
      <c r="G32" s="40">
        <f>IFERROR(IF(ISNUMBER($A32),INDEX('Skeet Ind Concurrent Ranking'!$I:$I,MATCH($A32,'Skeet Ind Concurrent Ranking'!$BG:$BG,0)),""),"")</f>
        <v>85</v>
      </c>
      <c r="H32" s="11" t="str">
        <f>IFERROR(IF(ISNUMBER($A32),INDEX('Skeet Ind Concurrent Ranking'!$D:$D,MATCH($A32,'Skeet Ind Concurrent Ranking'!$AW:$AW,0)),""),"")</f>
        <v>Alan Last Name29</v>
      </c>
      <c r="I32" s="40">
        <f>IFERROR(IF(ISNUMBER($A32),INDEX('Skeet Ind Concurrent Ranking'!$I:$I,MATCH($A32,'Skeet Ind Concurrent Ranking'!$AW:$AW,0)),""),"")</f>
        <v>80</v>
      </c>
      <c r="J32" s="11" t="str">
        <f>IFERROR(IF(ISNUMBER($A32),INDEX('Skeet Ind Concurrent Ranking'!$D:$D,MATCH($A32,'Skeet Ind Concurrent Ranking'!$AM:$AM,0)),""),"")</f>
        <v>Terry Last Name43</v>
      </c>
      <c r="K32" s="40">
        <f>IFERROR(IF(ISNUMBER($A32),INDEX('Skeet Ind Concurrent Ranking'!$I:$I,MATCH($A32,'Skeet Ind Concurrent Ranking'!$AM:$AM,0)),""),"")</f>
        <v>88</v>
      </c>
      <c r="L32" s="11" t="str">
        <f>IFERROR(IF(ISNUMBER($A32),INDEX('Skeet Ind Concurrent Ranking'!$D:$D,MATCH($A32,'Skeet Ind Concurrent Ranking'!$AC:$AC,0)),""),"")</f>
        <v>Jason Last Name1</v>
      </c>
      <c r="M32" s="40">
        <f>IFERROR(IF(ISNUMBER($A32),INDEX('Skeet Ind Concurrent Ranking'!$I:$I,MATCH($A32,'Skeet Ind Concurrent Ranking'!$AC:$AC,0)),""),"")</f>
        <v>85</v>
      </c>
      <c r="N32" s="1">
        <v>26</v>
      </c>
      <c r="O32" s="11" t="str">
        <f>IFERROR(IF(ISNUMBER($N32),INDEX('Skeet Ind Concurrent Ranking'!$D:$D,MATCH($N32,'Skeet Ind Concurrent Ranking'!$N:$N,0)),""),"")</f>
        <v>Steve Last Name22</v>
      </c>
      <c r="P32" s="51">
        <f>IFERROR(IF(ISNUMBER($N32),INDEX('Skeet Ind Concurrent Ranking'!$I:$I,MATCH($N32,'Skeet Ind Concurrent Ranking'!$N:$N,0)),""),"")</f>
        <v>70</v>
      </c>
      <c r="Q32" s="40" t="str">
        <f>IFERROR(IF(ISNUMBER($N32),INDEX('Skeet Ind Concurrent Ranking'!$F:$F,MATCH($N32,'Skeet Ind Concurrent Ranking'!$N:$N,0)),""),"")</f>
        <v>Intermediate</v>
      </c>
      <c r="R32" s="1">
        <v>76</v>
      </c>
      <c r="S32" s="11" t="str">
        <f>IFERROR(IF(ISNUMBER($R32),INDEX('Skeet Ind Concurrent Ranking'!$D:$D,MATCH($R32,'Skeet Ind Concurrent Ranking'!$N:$N,0)),""),"")</f>
        <v/>
      </c>
      <c r="T32" s="51" t="str">
        <f>IFERROR(IF(ISNUMBER($R32),INDEX('Skeet Ind Concurrent Ranking'!$I:$I,MATCH($R32,'Skeet Ind Concurrent Ranking'!$N:$N,0)),""),"")</f>
        <v/>
      </c>
      <c r="U32" s="40" t="str">
        <f>IFERROR(IF(ISNUMBER($R32),INDEX('Skeet Ind Concurrent Ranking'!$F:$F,MATCH($R32,'Skeet Ind Concurrent Ranking'!$N:$N,0)),""),"")</f>
        <v/>
      </c>
      <c r="X32" t="str">
        <f>IFERROR(IF(ISNUMBER($A20),INDEX('Skeet Ind Concurrent Ranking'!$A:$A,MATCH($A20,'Skeet Ind Concurrent Ranking'!$BH:$BH,0)),""),"")</f>
        <v>24-1018</v>
      </c>
      <c r="Y32" t="str">
        <f>IFERROR(IF(ISNUMBER($A20),INDEX('Skeet Ind Concurrent Ranking'!$D:$D,MATCH($A20,'Skeet Ind Concurrent Ranking'!$BH:$BH,0)),""),"")</f>
        <v>Jack Last Name19</v>
      </c>
      <c r="Z32" t="s">
        <v>806</v>
      </c>
      <c r="AA32">
        <f>AA31+1</f>
        <v>21</v>
      </c>
    </row>
    <row r="33" spans="1:27" x14ac:dyDescent="0.3">
      <c r="A33" s="1">
        <v>2</v>
      </c>
      <c r="B33" s="1" t="str">
        <f>IFERROR(IF(AND(ISNUMBER($A33),$A33&lt;='Tournament Setup'!$B$29),INDEX('Skeet Ind Concurrent Ranking'!$D:$D,MATCH($A33,'Skeet Ind Concurrent Ranking'!$P:$P,0)),""),"")</f>
        <v>Blake Last Name7</v>
      </c>
      <c r="C33" s="40">
        <f>IFERROR(IF(AND(ISNUMBER($A33),$A33&lt;='Tournament Setup'!$B$29),INDEX('Skeet Ind Concurrent Ranking'!$I:$I,MATCH($A33,'Skeet Ind Concurrent Ranking'!$P:$P,0)),""),"")</f>
        <v>97</v>
      </c>
      <c r="D33" s="11" t="str">
        <f>IFERROR(IF(ISNUMBER($A33),INDEX('Skeet Ind Concurrent Ranking'!$D:$D,MATCH($A33,'Skeet Ind Concurrent Ranking'!$BQ:$BQ,0)),""),"")</f>
        <v>Daniel Last Name15</v>
      </c>
      <c r="E33" s="40">
        <f>IFERROR(IF(ISNUMBER($A33),INDEX('Skeet Ind Concurrent Ranking'!$I:$I,MATCH($A33,'Skeet Ind Concurrent Ranking'!$BQ:$BQ,0)),""),"")</f>
        <v>89.1</v>
      </c>
      <c r="F33" s="11" t="str">
        <f>IFERROR(IF(ISNUMBER($A33),INDEX('Skeet Ind Concurrent Ranking'!$D:$D,MATCH($A33,'Skeet Ind Concurrent Ranking'!$BG:$BG,0)),""),"")</f>
        <v>Trey Last Name41</v>
      </c>
      <c r="G33" s="40">
        <f>IFERROR(IF(ISNUMBER($A33),INDEX('Skeet Ind Concurrent Ranking'!$I:$I,MATCH($A33,'Skeet Ind Concurrent Ranking'!$BG:$BG,0)),""),"")</f>
        <v>84</v>
      </c>
      <c r="H33" s="11" t="str">
        <f>IFERROR(IF(ISNUMBER($A33),INDEX('Skeet Ind Concurrent Ranking'!$D:$D,MATCH($A33,'Skeet Ind Concurrent Ranking'!$AW:$AW,0)),""),"")</f>
        <v>Bruce Last Name13</v>
      </c>
      <c r="I33" s="40">
        <f>IFERROR(IF(ISNUMBER($A33),INDEX('Skeet Ind Concurrent Ranking'!$I:$I,MATCH($A33,'Skeet Ind Concurrent Ranking'!$AW:$AW,0)),""),"")</f>
        <v>72.099999999999994</v>
      </c>
      <c r="J33" s="11" t="str">
        <f>IFERROR(IF(ISNUMBER($A33),INDEX('Skeet Ind Concurrent Ranking'!$D:$D,MATCH($A33,'Skeet Ind Concurrent Ranking'!$AM:$AM,0)),""),"")</f>
        <v>Henry Last Name14</v>
      </c>
      <c r="K33" s="40">
        <f>IFERROR(IF(ISNUMBER($A33),INDEX('Skeet Ind Concurrent Ranking'!$I:$I,MATCH($A33,'Skeet Ind Concurrent Ranking'!$AM:$AM,0)),""),"")</f>
        <v>76</v>
      </c>
      <c r="L33" s="11" t="str">
        <f>IFERROR(IF(ISNUMBER($A33),INDEX('Skeet Ind Concurrent Ranking'!$D:$D,MATCH($A33,'Skeet Ind Concurrent Ranking'!$AC:$AC,0)),""),"")</f>
        <v>Linda Last Name9</v>
      </c>
      <c r="M33" s="40">
        <f>IFERROR(IF(ISNUMBER($A33),INDEX('Skeet Ind Concurrent Ranking'!$I:$I,MATCH($A33,'Skeet Ind Concurrent Ranking'!$AC:$AC,0)),""),"")</f>
        <v>75</v>
      </c>
      <c r="N33" s="1">
        <v>27</v>
      </c>
      <c r="O33" s="11" t="str">
        <f>IFERROR(IF(ISNUMBER($N33),INDEX('Skeet Ind Concurrent Ranking'!$D:$D,MATCH($N33,'Skeet Ind Concurrent Ranking'!$N:$N,0)),""),"")</f>
        <v>Tim Last Name24</v>
      </c>
      <c r="P33" s="51">
        <f>IFERROR(IF(ISNUMBER($N33),INDEX('Skeet Ind Concurrent Ranking'!$I:$I,MATCH($N33,'Skeet Ind Concurrent Ranking'!$N:$N,0)),""),"")</f>
        <v>70</v>
      </c>
      <c r="Q33" s="40" t="str">
        <f>IFERROR(IF(ISNUMBER($N33),INDEX('Skeet Ind Concurrent Ranking'!$F:$F,MATCH($N33,'Skeet Ind Concurrent Ranking'!$N:$N,0)),""),"")</f>
        <v>Novice</v>
      </c>
      <c r="R33" s="1">
        <v>77</v>
      </c>
      <c r="S33" s="11" t="str">
        <f>IFERROR(IF(ISNUMBER($R33),INDEX('Skeet Ind Concurrent Ranking'!$D:$D,MATCH($R33,'Skeet Ind Concurrent Ranking'!$N:$N,0)),""),"")</f>
        <v/>
      </c>
      <c r="T33" s="51" t="str">
        <f>IFERROR(IF(ISNUMBER($R33),INDEX('Skeet Ind Concurrent Ranking'!$I:$I,MATCH($R33,'Skeet Ind Concurrent Ranking'!$N:$N,0)),""),"")</f>
        <v/>
      </c>
      <c r="U33" s="40" t="str">
        <f>IFERROR(IF(ISNUMBER($R33),INDEX('Skeet Ind Concurrent Ranking'!$F:$F,MATCH($R33,'Skeet Ind Concurrent Ranking'!$N:$N,0)),""),"")</f>
        <v/>
      </c>
    </row>
    <row r="34" spans="1:27" x14ac:dyDescent="0.3">
      <c r="A34" s="1">
        <v>3</v>
      </c>
      <c r="B34" s="1" t="str">
        <f>IFERROR(IF(AND(ISNUMBER($A34),$A34&lt;='Tournament Setup'!$B$29),INDEX('Skeet Ind Concurrent Ranking'!$D:$D,MATCH($A34,'Skeet Ind Concurrent Ranking'!$P:$P,0)),""),"")</f>
        <v>Cathy Last Name3</v>
      </c>
      <c r="C34" s="40">
        <f>IFERROR(IF(AND(ISNUMBER($A34),$A34&lt;='Tournament Setup'!$B$29),INDEX('Skeet Ind Concurrent Ranking'!$I:$I,MATCH($A34,'Skeet Ind Concurrent Ranking'!$P:$P,0)),""),"")</f>
        <v>96</v>
      </c>
      <c r="D34" s="11" t="str">
        <f>IFERROR(IF(ISNUMBER($A34),INDEX('Skeet Ind Concurrent Ranking'!$D:$D,MATCH($A34,'Skeet Ind Concurrent Ranking'!$BQ:$BQ,0)),""),"")</f>
        <v>Judy Last Name30</v>
      </c>
      <c r="E34" s="40">
        <f>IFERROR(IF(ISNUMBER($A34),INDEX('Skeet Ind Concurrent Ranking'!$I:$I,MATCH($A34,'Skeet Ind Concurrent Ranking'!$BQ:$BQ,0)),""),"")</f>
        <v>51</v>
      </c>
      <c r="F34" s="11" t="str">
        <f>IFERROR(IF(ISNUMBER($A34),INDEX('Skeet Ind Concurrent Ranking'!$D:$D,MATCH($A34,'Skeet Ind Concurrent Ranking'!$BG:$BG,0)),""),"")</f>
        <v>Jack Last Name19</v>
      </c>
      <c r="G34" s="40">
        <f>IFERROR(IF(ISNUMBER($A34),INDEX('Skeet Ind Concurrent Ranking'!$I:$I,MATCH($A34,'Skeet Ind Concurrent Ranking'!$BG:$BG,0)),""),"")</f>
        <v>82.1</v>
      </c>
      <c r="H34" s="11" t="str">
        <f>IFERROR(IF(ISNUMBER($A34),INDEX('Skeet Ind Concurrent Ranking'!$D:$D,MATCH($A34,'Skeet Ind Concurrent Ranking'!$AW:$AW,0)),""),"")</f>
        <v>James Last Name8</v>
      </c>
      <c r="I34" s="40">
        <f>IFERROR(IF(ISNUMBER($A34),INDEX('Skeet Ind Concurrent Ranking'!$I:$I,MATCH($A34,'Skeet Ind Concurrent Ranking'!$AW:$AW,0)),""),"")</f>
        <v>64</v>
      </c>
      <c r="J34" s="11" t="str">
        <f>IFERROR(IF(ISNUMBER($A34),INDEX('Skeet Ind Concurrent Ranking'!$D:$D,MATCH($A34,'Skeet Ind Concurrent Ranking'!$AM:$AM,0)),""),"")</f>
        <v>Trisha Last Name44</v>
      </c>
      <c r="K34" s="40">
        <f>IFERROR(IF(ISNUMBER($A34),INDEX('Skeet Ind Concurrent Ranking'!$I:$I,MATCH($A34,'Skeet Ind Concurrent Ranking'!$AM:$AM,0)),""),"")</f>
        <v>72.099999999999994</v>
      </c>
      <c r="L34" s="11" t="str">
        <f>IFERROR(IF(ISNUMBER($A34),INDEX('Skeet Ind Concurrent Ranking'!$D:$D,MATCH($A34,'Skeet Ind Concurrent Ranking'!$AC:$AC,0)),""),"")</f>
        <v>Missy Last Name33</v>
      </c>
      <c r="M34" s="40">
        <f>IFERROR(IF(ISNUMBER($A34),INDEX('Skeet Ind Concurrent Ranking'!$I:$I,MATCH($A34,'Skeet Ind Concurrent Ranking'!$AC:$AC,0)),""),"")</f>
        <v>73</v>
      </c>
      <c r="N34" s="1">
        <v>28</v>
      </c>
      <c r="O34" s="11" t="str">
        <f>IFERROR(IF(ISNUMBER($N34),INDEX('Skeet Ind Concurrent Ranking'!$D:$D,MATCH($N34,'Skeet Ind Concurrent Ranking'!$N:$N,0)),""),"")</f>
        <v>Marty Last Name34</v>
      </c>
      <c r="P34" s="51">
        <f>IFERROR(IF(ISNUMBER($N34),INDEX('Skeet Ind Concurrent Ranking'!$I:$I,MATCH($N34,'Skeet Ind Concurrent Ranking'!$N:$N,0)),""),"")</f>
        <v>68</v>
      </c>
      <c r="Q34" s="40" t="str">
        <f>IFERROR(IF(ISNUMBER($N34),INDEX('Skeet Ind Concurrent Ranking'!$F:$F,MATCH($N34,'Skeet Ind Concurrent Ranking'!$N:$N,0)),""),"")</f>
        <v>Intermediate</v>
      </c>
      <c r="R34" s="1">
        <v>78</v>
      </c>
      <c r="S34" s="11" t="str">
        <f>IFERROR(IF(ISNUMBER($R34),INDEX('Skeet Ind Concurrent Ranking'!$D:$D,MATCH($R34,'Skeet Ind Concurrent Ranking'!$N:$N,0)),""),"")</f>
        <v/>
      </c>
      <c r="T34" s="51" t="str">
        <f>IFERROR(IF(ISNUMBER($R34),INDEX('Skeet Ind Concurrent Ranking'!$I:$I,MATCH($R34,'Skeet Ind Concurrent Ranking'!$N:$N,0)),""),"")</f>
        <v/>
      </c>
      <c r="U34" s="40" t="str">
        <f>IFERROR(IF(ISNUMBER($R34),INDEX('Skeet Ind Concurrent Ranking'!$F:$F,MATCH($R34,'Skeet Ind Concurrent Ranking'!$N:$N,0)),""),"")</f>
        <v/>
      </c>
      <c r="X34" t="str">
        <f>IFERROR(IF(ISNUMBER($A22),INDEX('Skeet Ind Concurrent Ranking'!$A:$A,MATCH($A22,'Skeet Ind Concurrent Ranking'!$BJ:$BJ,0)),""),"")</f>
        <v>24-1024</v>
      </c>
      <c r="Y34" t="str">
        <f>IFERROR(IF(ISNUMBER($A22),INDEX('Skeet Ind Concurrent Ranking'!$D:$D,MATCH($A22,'Skeet Ind Concurrent Ranking'!$BJ:$BJ,0)),""),"")</f>
        <v>Harry Last Name25</v>
      </c>
      <c r="Z34" t="s">
        <v>807</v>
      </c>
      <c r="AA34">
        <f>AA32+1</f>
        <v>22</v>
      </c>
    </row>
    <row r="35" spans="1:27" x14ac:dyDescent="0.3">
      <c r="A35" s="1">
        <v>4</v>
      </c>
      <c r="B35" s="1" t="str">
        <f>IFERROR(IF(AND(ISNUMBER($A35),$A35&lt;='Tournament Setup'!$B$29),INDEX('Skeet Ind Concurrent Ranking'!$D:$D,MATCH($A35,'Skeet Ind Concurrent Ranking'!$P:$P,0)),""),"")</f>
        <v>Patricia Last Name35</v>
      </c>
      <c r="C35" s="40">
        <f>IFERROR(IF(AND(ISNUMBER($A35),$A35&lt;='Tournament Setup'!$B$29),INDEX('Skeet Ind Concurrent Ranking'!$I:$I,MATCH($A35,'Skeet Ind Concurrent Ranking'!$P:$P,0)),""),"")</f>
        <v>95</v>
      </c>
      <c r="D35" s="11" t="str">
        <f>IFERROR(IF(ISNUMBER($A35),INDEX('Skeet Ind Concurrent Ranking'!$D:$D,MATCH($A35,'Skeet Ind Concurrent Ranking'!$BQ:$BQ,0)),""),"")</f>
        <v>Bob Last Name12</v>
      </c>
      <c r="E35" s="40">
        <f>IFERROR(IF(ISNUMBER($A35),INDEX('Skeet Ind Concurrent Ranking'!$I:$I,MATCH($A35,'Skeet Ind Concurrent Ranking'!$BQ:$BQ,0)),""),"")</f>
        <v>48</v>
      </c>
      <c r="F35" s="11" t="str">
        <f>IFERROR(IF(ISNUMBER($A35),INDEX('Skeet Ind Concurrent Ranking'!$D:$D,MATCH($A35,'Skeet Ind Concurrent Ranking'!$BG:$BG,0)),""),"")</f>
        <v>Susan Last Name4</v>
      </c>
      <c r="G35" s="40">
        <f>IFERROR(IF(ISNUMBER($A35),INDEX('Skeet Ind Concurrent Ranking'!$I:$I,MATCH($A35,'Skeet Ind Concurrent Ranking'!$BG:$BG,0)),""),"")</f>
        <v>82</v>
      </c>
      <c r="H35" s="11" t="str">
        <f>IFERROR(IF(ISNUMBER($A35),INDEX('Skeet Ind Concurrent Ranking'!$D:$D,MATCH($A35,'Skeet Ind Concurrent Ranking'!$AW:$AW,0)),""),"")</f>
        <v>John Last Name2</v>
      </c>
      <c r="I35" s="40">
        <f>IFERROR(IF(ISNUMBER($A35),INDEX('Skeet Ind Concurrent Ranking'!$I:$I,MATCH($A35,'Skeet Ind Concurrent Ranking'!$AW:$AW,0)),""),"")</f>
        <v>63</v>
      </c>
      <c r="J35" s="11" t="str">
        <f>IFERROR(IF(ISNUMBER($A35),INDEX('Skeet Ind Concurrent Ranking'!$D:$D,MATCH($A35,'Skeet Ind Concurrent Ranking'!$AM:$AM,0)),""),"")</f>
        <v>Steve Last Name22</v>
      </c>
      <c r="K35" s="40">
        <f>IFERROR(IF(ISNUMBER($A35),INDEX('Skeet Ind Concurrent Ranking'!$I:$I,MATCH($A35,'Skeet Ind Concurrent Ranking'!$AM:$AM,0)),""),"")</f>
        <v>70</v>
      </c>
      <c r="L35" s="11" t="str">
        <f>IFERROR(IF(ISNUMBER($A35),INDEX('Skeet Ind Concurrent Ranking'!$D:$D,MATCH($A35,'Skeet Ind Concurrent Ranking'!$AC:$AC,0)),""),"")</f>
        <v>Nathan Last Name21</v>
      </c>
      <c r="M35" s="40">
        <f>IFERROR(IF(ISNUMBER($A35),INDEX('Skeet Ind Concurrent Ranking'!$I:$I,MATCH($A35,'Skeet Ind Concurrent Ranking'!$AC:$AC,0)),""),"")</f>
        <v>72.2</v>
      </c>
      <c r="N35" s="1">
        <v>29</v>
      </c>
      <c r="O35" s="11" t="str">
        <f>IFERROR(IF(ISNUMBER($N35),INDEX('Skeet Ind Concurrent Ranking'!$D:$D,MATCH($N35,'Skeet Ind Concurrent Ranking'!$N:$N,0)),""),"")</f>
        <v>Rick Last Name47</v>
      </c>
      <c r="P35" s="51">
        <f>IFERROR(IF(ISNUMBER($N35),INDEX('Skeet Ind Concurrent Ranking'!$I:$I,MATCH($N35,'Skeet Ind Concurrent Ranking'!$N:$N,0)),""),"")</f>
        <v>65</v>
      </c>
      <c r="Q35" s="40" t="str">
        <f>IFERROR(IF(ISNUMBER($N35),INDEX('Skeet Ind Concurrent Ranking'!$F:$F,MATCH($N35,'Skeet Ind Concurrent Ranking'!$N:$N,0)),""),"")</f>
        <v>Novice</v>
      </c>
      <c r="R35" s="1">
        <v>79</v>
      </c>
      <c r="S35" s="11" t="str">
        <f>IFERROR(IF(ISNUMBER($R35),INDEX('Skeet Ind Concurrent Ranking'!$D:$D,MATCH($R35,'Skeet Ind Concurrent Ranking'!$N:$N,0)),""),"")</f>
        <v/>
      </c>
      <c r="T35" s="51" t="str">
        <f>IFERROR(IF(ISNUMBER($R35),INDEX('Skeet Ind Concurrent Ranking'!$I:$I,MATCH($R35,'Skeet Ind Concurrent Ranking'!$N:$N,0)),""),"")</f>
        <v/>
      </c>
      <c r="U35" s="40" t="str">
        <f>IFERROR(IF(ISNUMBER($R35),INDEX('Skeet Ind Concurrent Ranking'!$F:$F,MATCH($R35,'Skeet Ind Concurrent Ranking'!$N:$N,0)),""),"")</f>
        <v/>
      </c>
      <c r="X35" t="str">
        <f>IFERROR(IF(ISNUMBER($A23),INDEX('Skeet Ind Concurrent Ranking'!$A:$A,MATCH($A23,'Skeet Ind Concurrent Ranking'!$BJ:$BJ,0)),""),"")</f>
        <v>24-1027</v>
      </c>
      <c r="Y35" t="str">
        <f>IFERROR(IF(ISNUMBER($A23),INDEX('Skeet Ind Concurrent Ranking'!$D:$D,MATCH($A23,'Skeet Ind Concurrent Ranking'!$BJ:$BJ,0)),""),"")</f>
        <v>Brad Last Name28</v>
      </c>
      <c r="Z35" t="s">
        <v>808</v>
      </c>
      <c r="AA35">
        <f>AA34+1</f>
        <v>23</v>
      </c>
    </row>
    <row r="36" spans="1:27" x14ac:dyDescent="0.3">
      <c r="A36" s="1">
        <v>5</v>
      </c>
      <c r="B36" s="1" t="str">
        <f>IFERROR(IF(AND(ISNUMBER($A36),$A36&lt;='Tournament Setup'!$B$29),INDEX('Skeet Ind Concurrent Ranking'!$D:$D,MATCH($A36,'Skeet Ind Concurrent Ranking'!$P:$P,0)),""),"")</f>
        <v>Christy Last Name10</v>
      </c>
      <c r="C36" s="40">
        <f>IFERROR(IF(AND(ISNUMBER($A36),$A36&lt;='Tournament Setup'!$B$29),INDEX('Skeet Ind Concurrent Ranking'!$I:$I,MATCH($A36,'Skeet Ind Concurrent Ranking'!$P:$P,0)),""),"")</f>
        <v>93</v>
      </c>
      <c r="D36" s="11" t="str">
        <f>IFERROR(IF(ISNUMBER($A36),INDEX('Skeet Ind Concurrent Ranking'!$D:$D,MATCH($A36,'Skeet Ind Concurrent Ranking'!$BQ:$BQ,0)),""),"")</f>
        <v>Becky Last Name27</v>
      </c>
      <c r="E36" s="40">
        <f>IFERROR(IF(ISNUMBER($A36),INDEX('Skeet Ind Concurrent Ranking'!$I:$I,MATCH($A36,'Skeet Ind Concurrent Ranking'!$BQ:$BQ,0)),""),"")</f>
        <v>45</v>
      </c>
      <c r="F36" s="11" t="str">
        <f>IFERROR(IF(ISNUMBER($A36),INDEX('Skeet Ind Concurrent Ranking'!$D:$D,MATCH($A36,'Skeet Ind Concurrent Ranking'!$BG:$BG,0)),""),"")</f>
        <v>Harry Last Name25</v>
      </c>
      <c r="G36" s="40">
        <f>IFERROR(IF(ISNUMBER($A36),INDEX('Skeet Ind Concurrent Ranking'!$I:$I,MATCH($A36,'Skeet Ind Concurrent Ranking'!$BG:$BG,0)),""),"")</f>
        <v>72</v>
      </c>
      <c r="H36" s="11" t="str">
        <f>IFERROR(IF(ISNUMBER($A36),INDEX('Skeet Ind Concurrent Ranking'!$D:$D,MATCH($A36,'Skeet Ind Concurrent Ranking'!$AW:$AW,0)),""),"")</f>
        <v>Tom Last Name23</v>
      </c>
      <c r="I36" s="40">
        <f>IFERROR(IF(ISNUMBER($A36),INDEX('Skeet Ind Concurrent Ranking'!$I:$I,MATCH($A36,'Skeet Ind Concurrent Ranking'!$AW:$AW,0)),""),"")</f>
        <v>61</v>
      </c>
      <c r="J36" s="11" t="str">
        <f>IFERROR(IF(ISNUMBER($A36),INDEX('Skeet Ind Concurrent Ranking'!$D:$D,MATCH($A36,'Skeet Ind Concurrent Ranking'!$AM:$AM,0)),""),"")</f>
        <v>Marty Last Name34</v>
      </c>
      <c r="K36" s="40">
        <f>IFERROR(IF(ISNUMBER($A36),INDEX('Skeet Ind Concurrent Ranking'!$I:$I,MATCH($A36,'Skeet Ind Concurrent Ranking'!$AM:$AM,0)),""),"")</f>
        <v>68</v>
      </c>
      <c r="L36" s="11" t="str">
        <f>IFERROR(IF(ISNUMBER($A36),INDEX('Skeet Ind Concurrent Ranking'!$D:$D,MATCH($A36,'Skeet Ind Concurrent Ranking'!$AC:$AC,0)),""),"")</f>
        <v>Tim Last Name24</v>
      </c>
      <c r="M36" s="40">
        <f>IFERROR(IF(ISNUMBER($A36),INDEX('Skeet Ind Concurrent Ranking'!$I:$I,MATCH($A36,'Skeet Ind Concurrent Ranking'!$AC:$AC,0)),""),"")</f>
        <v>70</v>
      </c>
      <c r="N36" s="1">
        <v>30</v>
      </c>
      <c r="O36" s="11" t="str">
        <f>IFERROR(IF(ISNUMBER($N36),INDEX('Skeet Ind Concurrent Ranking'!$D:$D,MATCH($N36,'Skeet Ind Concurrent Ranking'!$N:$N,0)),""),"")</f>
        <v>James Last Name8</v>
      </c>
      <c r="P36" s="51">
        <f>IFERROR(IF(ISNUMBER($N36),INDEX('Skeet Ind Concurrent Ranking'!$I:$I,MATCH($N36,'Skeet Ind Concurrent Ranking'!$N:$N,0)),""),"")</f>
        <v>64</v>
      </c>
      <c r="Q36" s="40" t="str">
        <f>IFERROR(IF(ISNUMBER($N36),INDEX('Skeet Ind Concurrent Ranking'!$F:$F,MATCH($N36,'Skeet Ind Concurrent Ranking'!$N:$N,0)),""),"")</f>
        <v>Junior Varsity</v>
      </c>
      <c r="R36" s="1">
        <v>80</v>
      </c>
      <c r="S36" s="11" t="str">
        <f>IFERROR(IF(ISNUMBER($R36),INDEX('Skeet Ind Concurrent Ranking'!$D:$D,MATCH($R36,'Skeet Ind Concurrent Ranking'!$N:$N,0)),""),"")</f>
        <v/>
      </c>
      <c r="T36" s="51" t="str">
        <f>IFERROR(IF(ISNUMBER($R36),INDEX('Skeet Ind Concurrent Ranking'!$I:$I,MATCH($R36,'Skeet Ind Concurrent Ranking'!$N:$N,0)),""),"")</f>
        <v/>
      </c>
      <c r="U36" s="40" t="str">
        <f>IFERROR(IF(ISNUMBER($R36),INDEX('Skeet Ind Concurrent Ranking'!$F:$F,MATCH($R36,'Skeet Ind Concurrent Ranking'!$N:$N,0)),""),"")</f>
        <v/>
      </c>
      <c r="X36" t="str">
        <f>IFERROR(IF(ISNUMBER($A24),INDEX('Skeet Ind Concurrent Ranking'!$A:$A,MATCH($A24,'Skeet Ind Concurrent Ranking'!$BJ:$BJ,0)),""),"")</f>
        <v>24-1039</v>
      </c>
      <c r="Y36" t="str">
        <f>IFERROR(IF(ISNUMBER($A24),INDEX('Skeet Ind Concurrent Ranking'!$D:$D,MATCH($A24,'Skeet Ind Concurrent Ranking'!$BJ:$BJ,0)),""),"")</f>
        <v>Troy Last Name40</v>
      </c>
      <c r="Z36" t="s">
        <v>809</v>
      </c>
      <c r="AA36">
        <f>AA35+1</f>
        <v>24</v>
      </c>
    </row>
    <row r="37" spans="1:27" x14ac:dyDescent="0.3">
      <c r="A37" s="1">
        <v>6</v>
      </c>
      <c r="B37" s="1" t="str">
        <f>IFERROR(IF(AND(ISNUMBER($A37),$A37&lt;='Tournament Setup'!$B$29),INDEX('Skeet Ind Concurrent Ranking'!$D:$D,MATCH($A37,'Skeet Ind Concurrent Ranking'!$P:$P,0)),""),"")</f>
        <v>Shelly Last Name31</v>
      </c>
      <c r="C37" s="40">
        <f>IFERROR(IF(AND(ISNUMBER($A37),$A37&lt;='Tournament Setup'!$B$29),INDEX('Skeet Ind Concurrent Ranking'!$I:$I,MATCH($A37,'Skeet Ind Concurrent Ranking'!$P:$P,0)),""),"")</f>
        <v>92</v>
      </c>
      <c r="D37" s="11" t="str">
        <f>IFERROR(IF(ISNUMBER($A37),INDEX('Skeet Ind Concurrent Ranking'!$D:$D,MATCH($A37,'Skeet Ind Concurrent Ranking'!$BQ:$BQ,0)),""),"")</f>
        <v>Chad Last Name39</v>
      </c>
      <c r="E37" s="40">
        <f>IFERROR(IF(ISNUMBER($A37),INDEX('Skeet Ind Concurrent Ranking'!$I:$I,MATCH($A37,'Skeet Ind Concurrent Ranking'!$BQ:$BQ,0)),""),"")</f>
        <v>43</v>
      </c>
      <c r="F37" s="11" t="str">
        <f>IFERROR(IF(ISNUMBER($A37),INDEX('Skeet Ind Concurrent Ranking'!$D:$D,MATCH($A37,'Skeet Ind Concurrent Ranking'!$BG:$BG,0)),""),"")</f>
        <v>Brad Last Name28</v>
      </c>
      <c r="G37" s="40">
        <f>IFERROR(IF(ISNUMBER($A37),INDEX('Skeet Ind Concurrent Ranking'!$I:$I,MATCH($A37,'Skeet Ind Concurrent Ranking'!$BG:$BG,0)),""),"")</f>
        <v>63</v>
      </c>
      <c r="H37" s="11" t="str">
        <f>IFERROR(IF(ISNUMBER($A37),INDEX('Skeet Ind Concurrent Ranking'!$D:$D,MATCH($A37,'Skeet Ind Concurrent Ranking'!$AW:$AW,0)),""),"")</f>
        <v>Chris Last Name20</v>
      </c>
      <c r="I37" s="40">
        <f>IFERROR(IF(ISNUMBER($A37),INDEX('Skeet Ind Concurrent Ranking'!$I:$I,MATCH($A37,'Skeet Ind Concurrent Ranking'!$AW:$AW,0)),""),"")</f>
        <v>32.1</v>
      </c>
      <c r="J37" s="11" t="str">
        <f>IFERROR(IF(ISNUMBER($A37),INDEX('Skeet Ind Concurrent Ranking'!$D:$D,MATCH($A37,'Skeet Ind Concurrent Ranking'!$AM:$AM,0)),""),"")</f>
        <v>Kelly Last Name32</v>
      </c>
      <c r="K37" s="40">
        <f>IFERROR(IF(ISNUMBER($A37),INDEX('Skeet Ind Concurrent Ranking'!$I:$I,MATCH($A37,'Skeet Ind Concurrent Ranking'!$AM:$AM,0)),""),"")</f>
        <v>29</v>
      </c>
      <c r="L37" s="11" t="str">
        <f>IFERROR(IF(ISNUMBER($A37),INDEX('Skeet Ind Concurrent Ranking'!$D:$D,MATCH($A37,'Skeet Ind Concurrent Ranking'!$AC:$AC,0)),""),"")</f>
        <v>Rick Last Name47</v>
      </c>
      <c r="M37" s="40">
        <f>IFERROR(IF(ISNUMBER($A37),INDEX('Skeet Ind Concurrent Ranking'!$I:$I,MATCH($A37,'Skeet Ind Concurrent Ranking'!$AC:$AC,0)),""),"")</f>
        <v>65</v>
      </c>
      <c r="N37" s="1">
        <v>31</v>
      </c>
      <c r="O37" s="11" t="str">
        <f>IFERROR(IF(ISNUMBER($N37),INDEX('Skeet Ind Concurrent Ranking'!$D:$D,MATCH($N37,'Skeet Ind Concurrent Ranking'!$N:$N,0)),""),"")</f>
        <v>Randy Last Name36</v>
      </c>
      <c r="P37" s="51">
        <f>IFERROR(IF(ISNUMBER($N37),INDEX('Skeet Ind Concurrent Ranking'!$I:$I,MATCH($N37,'Skeet Ind Concurrent Ranking'!$N:$N,0)),""),"")</f>
        <v>63.1</v>
      </c>
      <c r="Q37" s="40" t="str">
        <f>IFERROR(IF(ISNUMBER($N37),INDEX('Skeet Ind Concurrent Ranking'!$F:$F,MATCH($N37,'Skeet Ind Concurrent Ranking'!$N:$N,0)),""),"")</f>
        <v>Novice</v>
      </c>
      <c r="R37" s="1">
        <v>81</v>
      </c>
      <c r="S37" s="11" t="str">
        <f>IFERROR(IF(ISNUMBER($R37),INDEX('Skeet Ind Concurrent Ranking'!$D:$D,MATCH($R37,'Skeet Ind Concurrent Ranking'!$N:$N,0)),""),"")</f>
        <v/>
      </c>
      <c r="T37" s="51" t="str">
        <f>IFERROR(IF(ISNUMBER($R37),INDEX('Skeet Ind Concurrent Ranking'!$I:$I,MATCH($R37,'Skeet Ind Concurrent Ranking'!$N:$N,0)),""),"")</f>
        <v/>
      </c>
      <c r="U37" s="40" t="str">
        <f>IFERROR(IF(ISNUMBER($R37),INDEX('Skeet Ind Concurrent Ranking'!$F:$F,MATCH($R37,'Skeet Ind Concurrent Ranking'!$N:$N,0)),""),"")</f>
        <v/>
      </c>
    </row>
    <row r="38" spans="1:27" x14ac:dyDescent="0.3">
      <c r="A38" s="1">
        <v>7</v>
      </c>
      <c r="B38" s="1" t="str">
        <f>IFERROR(IF(AND(ISNUMBER($A38),$A38&lt;='Tournament Setup'!$B$29),INDEX('Skeet Ind Concurrent Ranking'!$D:$D,MATCH($A38,'Skeet Ind Concurrent Ranking'!$P:$P,0)),""),"")</f>
        <v>Matt Last Name5</v>
      </c>
      <c r="C38" s="40">
        <f>IFERROR(IF(AND(ISNUMBER($A38),$A38&lt;='Tournament Setup'!$B$29),INDEX('Skeet Ind Concurrent Ranking'!$I:$I,MATCH($A38,'Skeet Ind Concurrent Ranking'!$P:$P,0)),""),"")</f>
        <v>89.1</v>
      </c>
      <c r="D38" s="11" t="str">
        <f>IFERROR(IF(ISNUMBER($A38),INDEX('Skeet Ind Concurrent Ranking'!$D:$D,MATCH($A38,'Skeet Ind Concurrent Ranking'!$BQ:$BQ,0)),""),"")</f>
        <v/>
      </c>
      <c r="E38" s="40" t="str">
        <f>IFERROR(IF(ISNUMBER($A38),INDEX('Skeet Ind Concurrent Ranking'!$I:$I,MATCH($A38,'Skeet Ind Concurrent Ranking'!$BQ:$BQ,0)),""),"")</f>
        <v/>
      </c>
      <c r="F38" s="11" t="str">
        <f>IFERROR(IF(ISNUMBER($A38),INDEX('Skeet Ind Concurrent Ranking'!$D:$D,MATCH($A38,'Skeet Ind Concurrent Ranking'!$BG:$BG,0)),""),"")</f>
        <v>Troy Last Name40</v>
      </c>
      <c r="G38" s="40">
        <f>IFERROR(IF(ISNUMBER($A38),INDEX('Skeet Ind Concurrent Ranking'!$I:$I,MATCH($A38,'Skeet Ind Concurrent Ranking'!$BG:$BG,0)),""),"")</f>
        <v>59</v>
      </c>
      <c r="H38" s="11" t="str">
        <f>IFERROR(IF(ISNUMBER($A38),INDEX('Skeet Ind Concurrent Ranking'!$D:$D,MATCH($A38,'Skeet Ind Concurrent Ranking'!$AW:$AW,0)),""),"")</f>
        <v/>
      </c>
      <c r="I38" s="40" t="str">
        <f>IFERROR(IF(ISNUMBER($A38),INDEX('Skeet Ind Concurrent Ranking'!$I:$I,MATCH($A38,'Skeet Ind Concurrent Ranking'!$AW:$AW,0)),""),"")</f>
        <v/>
      </c>
      <c r="J38" s="11" t="str">
        <f>IFERROR(IF(ISNUMBER($A38),INDEX('Skeet Ind Concurrent Ranking'!$D:$D,MATCH($A38,'Skeet Ind Concurrent Ranking'!$AM:$AM,0)),""),"")</f>
        <v/>
      </c>
      <c r="K38" s="40" t="str">
        <f>IFERROR(IF(ISNUMBER($A38),INDEX('Skeet Ind Concurrent Ranking'!$I:$I,MATCH($A38,'Skeet Ind Concurrent Ranking'!$AM:$AM,0)),""),"")</f>
        <v/>
      </c>
      <c r="L38" s="11" t="str">
        <f>IFERROR(IF(ISNUMBER($A38),INDEX('Skeet Ind Concurrent Ranking'!$D:$D,MATCH($A38,'Skeet Ind Concurrent Ranking'!$AC:$AC,0)),""),"")</f>
        <v>Randy Last Name36</v>
      </c>
      <c r="M38" s="40">
        <f>IFERROR(IF(ISNUMBER($A38),INDEX('Skeet Ind Concurrent Ranking'!$I:$I,MATCH($A38,'Skeet Ind Concurrent Ranking'!$AC:$AC,0)),""),"")</f>
        <v>63.1</v>
      </c>
      <c r="N38" s="1">
        <v>32</v>
      </c>
      <c r="O38" s="11" t="str">
        <f>IFERROR(IF(ISNUMBER($N38),INDEX('Skeet Ind Concurrent Ranking'!$D:$D,MATCH($N38,'Skeet Ind Concurrent Ranking'!$N:$N,0)),""),"")</f>
        <v>John Last Name2</v>
      </c>
      <c r="P38" s="51">
        <f>IFERROR(IF(ISNUMBER($N38),INDEX('Skeet Ind Concurrent Ranking'!$I:$I,MATCH($N38,'Skeet Ind Concurrent Ranking'!$N:$N,0)),""),"")</f>
        <v>63</v>
      </c>
      <c r="Q38" s="40" t="str">
        <f>IFERROR(IF(ISNUMBER($N38),INDEX('Skeet Ind Concurrent Ranking'!$F:$F,MATCH($N38,'Skeet Ind Concurrent Ranking'!$N:$N,0)),""),"")</f>
        <v>Junior Varsity</v>
      </c>
      <c r="R38" s="1">
        <v>82</v>
      </c>
      <c r="S38" s="11" t="str">
        <f>IFERROR(IF(ISNUMBER($R38),INDEX('Skeet Ind Concurrent Ranking'!$D:$D,MATCH($R38,'Skeet Ind Concurrent Ranking'!$N:$N,0)),""),"")</f>
        <v/>
      </c>
      <c r="T38" s="51" t="str">
        <f>IFERROR(IF(ISNUMBER($R38),INDEX('Skeet Ind Concurrent Ranking'!$I:$I,MATCH($R38,'Skeet Ind Concurrent Ranking'!$N:$N,0)),""),"")</f>
        <v/>
      </c>
      <c r="U38" s="40" t="str">
        <f>IFERROR(IF(ISNUMBER($R38),INDEX('Skeet Ind Concurrent Ranking'!$F:$F,MATCH($R38,'Skeet Ind Concurrent Ranking'!$N:$N,0)),""),"")</f>
        <v/>
      </c>
      <c r="X38" t="str">
        <f>IFERROR(IF(ISNUMBER($A26),INDEX('Skeet Ind Concurrent Ranking'!$A:$A,MATCH($A26,'Skeet Ind Concurrent Ranking'!$BL:$BL,0)),""),"")</f>
        <v>24-1003</v>
      </c>
      <c r="Y38" t="str">
        <f>IFERROR(IF(ISNUMBER($A26),INDEX('Skeet Ind Concurrent Ranking'!$D:$D,MATCH($A26,'Skeet Ind Concurrent Ranking'!$BL:$BL,0)),""),"")</f>
        <v>Susan Last Name4</v>
      </c>
      <c r="Z38" t="s">
        <v>810</v>
      </c>
      <c r="AA38">
        <f>AA36+1</f>
        <v>25</v>
      </c>
    </row>
    <row r="39" spans="1:27" x14ac:dyDescent="0.3">
      <c r="A39" s="1">
        <v>8</v>
      </c>
      <c r="B39" s="1" t="str">
        <f>IFERROR(IF(AND(ISNUMBER($A39),$A39&lt;='Tournament Setup'!$B$29),INDEX('Skeet Ind Concurrent Ranking'!$D:$D,MATCH($A39,'Skeet Ind Concurrent Ranking'!$P:$P,0)),""),"")</f>
        <v>Stuart Last Name38</v>
      </c>
      <c r="C39" s="40">
        <f>IFERROR(IF(AND(ISNUMBER($A39),$A39&lt;='Tournament Setup'!$B$29),INDEX('Skeet Ind Concurrent Ranking'!$I:$I,MATCH($A39,'Skeet Ind Concurrent Ranking'!$P:$P,0)),""),"")</f>
        <v>89</v>
      </c>
      <c r="D39" s="11" t="str">
        <f>IFERROR(IF(ISNUMBER($A39),INDEX('Skeet Ind Concurrent Ranking'!$D:$D,MATCH($A39,'Skeet Ind Concurrent Ranking'!$BQ:$BQ,0)),""),"")</f>
        <v/>
      </c>
      <c r="E39" s="40" t="str">
        <f>IFERROR(IF(ISNUMBER($A39),INDEX('Skeet Ind Concurrent Ranking'!$I:$I,MATCH($A39,'Skeet Ind Concurrent Ranking'!$BQ:$BQ,0)),""),"")</f>
        <v/>
      </c>
      <c r="F39" s="11" t="str">
        <f>IFERROR(IF(ISNUMBER($A39),INDEX('Skeet Ind Concurrent Ranking'!$D:$D,MATCH($A39,'Skeet Ind Concurrent Ranking'!$BG:$BG,0)),""),"")</f>
        <v>Paul Last Name16</v>
      </c>
      <c r="G39" s="40">
        <f>IFERROR(IF(ISNUMBER($A39),INDEX('Skeet Ind Concurrent Ranking'!$I:$I,MATCH($A39,'Skeet Ind Concurrent Ranking'!$BG:$BG,0)),""),"")</f>
        <v>42</v>
      </c>
      <c r="H39" s="11" t="str">
        <f>IFERROR(IF(ISNUMBER($A39),INDEX('Skeet Ind Concurrent Ranking'!$D:$D,MATCH($A39,'Skeet Ind Concurrent Ranking'!$AW:$AW,0)),""),"")</f>
        <v/>
      </c>
      <c r="I39" s="40" t="str">
        <f>IFERROR(IF(ISNUMBER($A39),INDEX('Skeet Ind Concurrent Ranking'!$I:$I,MATCH($A39,'Skeet Ind Concurrent Ranking'!$AW:$AW,0)),""),"")</f>
        <v/>
      </c>
      <c r="J39" s="11" t="str">
        <f>IFERROR(IF(ISNUMBER($A39),INDEX('Skeet Ind Concurrent Ranking'!$D:$D,MATCH($A39,'Skeet Ind Concurrent Ranking'!$AM:$AM,0)),""),"")</f>
        <v/>
      </c>
      <c r="K39" s="40" t="str">
        <f>IFERROR(IF(ISNUMBER($A39),INDEX('Skeet Ind Concurrent Ranking'!$I:$I,MATCH($A39,'Skeet Ind Concurrent Ranking'!$AM:$AM,0)),""),"")</f>
        <v/>
      </c>
      <c r="L39" s="11" t="str">
        <f>IFERROR(IF(ISNUMBER($A39),INDEX('Skeet Ind Concurrent Ranking'!$D:$D,MATCH($A39,'Skeet Ind Concurrent Ranking'!$AC:$AC,0)),""),"")</f>
        <v>Joan Last Name17</v>
      </c>
      <c r="M39" s="40">
        <f>IFERROR(IF(ISNUMBER($A39),INDEX('Skeet Ind Concurrent Ranking'!$I:$I,MATCH($A39,'Skeet Ind Concurrent Ranking'!$AC:$AC,0)),""),"")</f>
        <v>60.1</v>
      </c>
      <c r="N39" s="1">
        <v>33</v>
      </c>
      <c r="O39" s="11" t="str">
        <f>IFERROR(IF(ISNUMBER($N39),INDEX('Skeet Ind Concurrent Ranking'!$D:$D,MATCH($N39,'Skeet Ind Concurrent Ranking'!$N:$N,0)),""),"")</f>
        <v>Brad Last Name28</v>
      </c>
      <c r="P39" s="51">
        <f>IFERROR(IF(ISNUMBER($N39),INDEX('Skeet Ind Concurrent Ranking'!$I:$I,MATCH($N39,'Skeet Ind Concurrent Ranking'!$N:$N,0)),""),"")</f>
        <v>63</v>
      </c>
      <c r="Q39" s="40" t="str">
        <f>IFERROR(IF(ISNUMBER($N39),INDEX('Skeet Ind Concurrent Ranking'!$F:$F,MATCH($N39,'Skeet Ind Concurrent Ranking'!$N:$N,0)),""),"")</f>
        <v>Varsity</v>
      </c>
      <c r="R39" s="1">
        <v>83</v>
      </c>
      <c r="S39" s="11" t="str">
        <f>IFERROR(IF(ISNUMBER($R39),INDEX('Skeet Ind Concurrent Ranking'!$D:$D,MATCH($R39,'Skeet Ind Concurrent Ranking'!$N:$N,0)),""),"")</f>
        <v/>
      </c>
      <c r="T39" s="51" t="str">
        <f>IFERROR(IF(ISNUMBER($R39),INDEX('Skeet Ind Concurrent Ranking'!$I:$I,MATCH($R39,'Skeet Ind Concurrent Ranking'!$N:$N,0)),""),"")</f>
        <v/>
      </c>
      <c r="U39" s="40" t="str">
        <f>IFERROR(IF(ISNUMBER($R39),INDEX('Skeet Ind Concurrent Ranking'!$F:$F,MATCH($R39,'Skeet Ind Concurrent Ranking'!$N:$N,0)),""),"")</f>
        <v/>
      </c>
      <c r="X39" t="str">
        <f>IFERROR(IF(ISNUMBER($A27),INDEX('Skeet Ind Concurrent Ranking'!$A:$A,MATCH($A27,'Skeet Ind Concurrent Ranking'!$BL:$BL,0)),""),"")</f>
        <v/>
      </c>
      <c r="Y39" t="str">
        <f>IFERROR(IF(ISNUMBER($A27),INDEX('Skeet Ind Concurrent Ranking'!$D:$D,MATCH($A27,'Skeet Ind Concurrent Ranking'!$BL:$BL,0)),""),"")</f>
        <v/>
      </c>
      <c r="Z39" t="s">
        <v>811</v>
      </c>
      <c r="AA39">
        <f>AA38+1</f>
        <v>26</v>
      </c>
    </row>
    <row r="40" spans="1:27" x14ac:dyDescent="0.3">
      <c r="A40" s="1">
        <v>9</v>
      </c>
      <c r="B40" s="1" t="str">
        <f>IFERROR(IF(AND(ISNUMBER($A40),$A40&lt;='Tournament Setup'!$B$29),INDEX('Skeet Ind Concurrent Ranking'!$D:$D,MATCH($A40,'Skeet Ind Concurrent Ranking'!$P:$P,0)),""),"")</f>
        <v>Terry Last Name43</v>
      </c>
      <c r="C40" s="40">
        <f>IFERROR(IF(AND(ISNUMBER($A40),$A40&lt;='Tournament Setup'!$B$29),INDEX('Skeet Ind Concurrent Ranking'!$I:$I,MATCH($A40,'Skeet Ind Concurrent Ranking'!$P:$P,0)),""),"")</f>
        <v>88</v>
      </c>
      <c r="D40" s="11" t="str">
        <f>IFERROR(IF(ISNUMBER($A40),INDEX('Skeet Ind Concurrent Ranking'!$D:$D,MATCH($A40,'Skeet Ind Concurrent Ranking'!$BQ:$BQ,0)),""),"")</f>
        <v/>
      </c>
      <c r="E40" s="40" t="str">
        <f>IFERROR(IF(ISNUMBER($A40),INDEX('Skeet Ind Concurrent Ranking'!$I:$I,MATCH($A40,'Skeet Ind Concurrent Ranking'!$BQ:$BQ,0)),""),"")</f>
        <v/>
      </c>
      <c r="F40" s="11" t="str">
        <f>IFERROR(IF(ISNUMBER($A40),INDEX('Skeet Ind Concurrent Ranking'!$D:$D,MATCH($A40,'Skeet Ind Concurrent Ranking'!$BG:$BG,0)),""),"")</f>
        <v>Sam Last Name46</v>
      </c>
      <c r="G40" s="40">
        <f>IFERROR(IF(ISNUMBER($A40),INDEX('Skeet Ind Concurrent Ranking'!$I:$I,MATCH($A40,'Skeet Ind Concurrent Ranking'!$BG:$BG,0)),""),"")</f>
        <v>32</v>
      </c>
      <c r="H40" s="11" t="str">
        <f>IFERROR(IF(ISNUMBER($A40),INDEX('Skeet Ind Concurrent Ranking'!$D:$D,MATCH($A40,'Skeet Ind Concurrent Ranking'!$AW:$AW,0)),""),"")</f>
        <v/>
      </c>
      <c r="I40" s="40" t="str">
        <f>IFERROR(IF(ISNUMBER($A40),INDEX('Skeet Ind Concurrent Ranking'!$I:$I,MATCH($A40,'Skeet Ind Concurrent Ranking'!$AW:$AW,0)),""),"")</f>
        <v/>
      </c>
      <c r="J40" s="11" t="str">
        <f>IFERROR(IF(ISNUMBER($A40),INDEX('Skeet Ind Concurrent Ranking'!$D:$D,MATCH($A40,'Skeet Ind Concurrent Ranking'!$AM:$AM,0)),""),"")</f>
        <v/>
      </c>
      <c r="K40" s="40" t="str">
        <f>IFERROR(IF(ISNUMBER($A40),INDEX('Skeet Ind Concurrent Ranking'!$I:$I,MATCH($A40,'Skeet Ind Concurrent Ranking'!$AM:$AM,0)),""),"")</f>
        <v/>
      </c>
      <c r="L40" s="11" t="str">
        <f>IFERROR(IF(ISNUMBER($A40),INDEX('Skeet Ind Concurrent Ranking'!$D:$D,MATCH($A40,'Skeet Ind Concurrent Ranking'!$AC:$AC,0)),""),"")</f>
        <v>Owen Last Name42</v>
      </c>
      <c r="M40" s="40">
        <f>IFERROR(IF(ISNUMBER($A40),INDEX('Skeet Ind Concurrent Ranking'!$I:$I,MATCH($A40,'Skeet Ind Concurrent Ranking'!$AC:$AC,0)),""),"")</f>
        <v>60</v>
      </c>
      <c r="N40" s="1">
        <v>34</v>
      </c>
      <c r="O40" s="11" t="str">
        <f>IFERROR(IF(ISNUMBER($N40),INDEX('Skeet Ind Concurrent Ranking'!$D:$D,MATCH($N40,'Skeet Ind Concurrent Ranking'!$N:$N,0)),""),"")</f>
        <v>Tom Last Name23</v>
      </c>
      <c r="P40" s="51">
        <f>IFERROR(IF(ISNUMBER($N40),INDEX('Skeet Ind Concurrent Ranking'!$I:$I,MATCH($N40,'Skeet Ind Concurrent Ranking'!$N:$N,0)),""),"")</f>
        <v>61</v>
      </c>
      <c r="Q40" s="40" t="str">
        <f>IFERROR(IF(ISNUMBER($N40),INDEX('Skeet Ind Concurrent Ranking'!$F:$F,MATCH($N40,'Skeet Ind Concurrent Ranking'!$N:$N,0)),""),"")</f>
        <v>Junior Varsity</v>
      </c>
      <c r="R40" s="1">
        <v>84</v>
      </c>
      <c r="S40" s="11" t="str">
        <f>IFERROR(IF(ISNUMBER($R40),INDEX('Skeet Ind Concurrent Ranking'!$D:$D,MATCH($R40,'Skeet Ind Concurrent Ranking'!$N:$N,0)),""),"")</f>
        <v/>
      </c>
      <c r="T40" s="51" t="str">
        <f>IFERROR(IF(ISNUMBER($R40),INDEX('Skeet Ind Concurrent Ranking'!$I:$I,MATCH($R40,'Skeet Ind Concurrent Ranking'!$N:$N,0)),""),"")</f>
        <v/>
      </c>
      <c r="U40" s="40" t="str">
        <f>IFERROR(IF(ISNUMBER($R40),INDEX('Skeet Ind Concurrent Ranking'!$F:$F,MATCH($R40,'Skeet Ind Concurrent Ranking'!$N:$N,0)),""),"")</f>
        <v/>
      </c>
      <c r="X40" t="str">
        <f>IFERROR(IF(ISNUMBER($A28),INDEX('Skeet Ind Concurrent Ranking'!$A:$A,MATCH($A28,'Skeet Ind Concurrent Ranking'!$BL:$BL,0)),""),"")</f>
        <v/>
      </c>
      <c r="Y40" t="str">
        <f>IFERROR(IF(ISNUMBER($A28),INDEX('Skeet Ind Concurrent Ranking'!$D:$D,MATCH($A28,'Skeet Ind Concurrent Ranking'!$BL:$BL,0)),""),"")</f>
        <v/>
      </c>
      <c r="Z40" t="s">
        <v>812</v>
      </c>
      <c r="AA40">
        <f>AA39+1</f>
        <v>27</v>
      </c>
    </row>
    <row r="41" spans="1:27" x14ac:dyDescent="0.3">
      <c r="A41" s="1">
        <v>10</v>
      </c>
      <c r="B41" s="1" t="str">
        <f>IFERROR(IF(AND(ISNUMBER($A41),$A41&lt;='Tournament Setup'!$B$29),INDEX('Skeet Ind Concurrent Ranking'!$D:$D,MATCH($A41,'Skeet Ind Concurrent Ranking'!$P:$P,0)),""),"")</f>
        <v/>
      </c>
      <c r="C41" s="40" t="str">
        <f>IFERROR(IF(AND(ISNUMBER($A41),$A41&lt;='Tournament Setup'!$B$29),INDEX('Skeet Ind Concurrent Ranking'!$I:$I,MATCH($A41,'Skeet Ind Concurrent Ranking'!$P:$P,0)),""),"")</f>
        <v/>
      </c>
      <c r="D41" s="11" t="str">
        <f>IFERROR(IF(ISNUMBER($A41),INDEX('Skeet Ind Concurrent Ranking'!$D:$D,MATCH($A41,'Skeet Ind Concurrent Ranking'!$BQ:$BQ,0)),""),"")</f>
        <v/>
      </c>
      <c r="E41" s="40" t="str">
        <f>IFERROR(IF(ISNUMBER($A41),INDEX('Skeet Ind Concurrent Ranking'!$I:$I,MATCH($A41,'Skeet Ind Concurrent Ranking'!$BQ:$BQ,0)),""),"")</f>
        <v/>
      </c>
      <c r="F41" s="11" t="str">
        <f>IFERROR(IF(ISNUMBER($A41),INDEX('Skeet Ind Concurrent Ranking'!$D:$D,MATCH($A41,'Skeet Ind Concurrent Ranking'!$BG:$BG,0)),""),"")</f>
        <v/>
      </c>
      <c r="G41" s="40" t="str">
        <f>IFERROR(IF(ISNUMBER($A41),INDEX('Skeet Ind Concurrent Ranking'!$I:$I,MATCH($A41,'Skeet Ind Concurrent Ranking'!$BG:$BG,0)),""),"")</f>
        <v/>
      </c>
      <c r="H41" s="11" t="str">
        <f>IFERROR(IF(ISNUMBER($A41),INDEX('Skeet Ind Concurrent Ranking'!$D:$D,MATCH($A41,'Skeet Ind Concurrent Ranking'!$AW:$AW,0)),""),"")</f>
        <v/>
      </c>
      <c r="I41" s="40" t="str">
        <f>IFERROR(IF(ISNUMBER($A41),INDEX('Skeet Ind Concurrent Ranking'!$I:$I,MATCH($A41,'Skeet Ind Concurrent Ranking'!$AW:$AW,0)),""),"")</f>
        <v/>
      </c>
      <c r="J41" s="11" t="str">
        <f>IFERROR(IF(ISNUMBER($A41),INDEX('Skeet Ind Concurrent Ranking'!$D:$D,MATCH($A41,'Skeet Ind Concurrent Ranking'!$AM:$AM,0)),""),"")</f>
        <v/>
      </c>
      <c r="K41" s="40" t="str">
        <f>IFERROR(IF(ISNUMBER($A41),INDEX('Skeet Ind Concurrent Ranking'!$I:$I,MATCH($A41,'Skeet Ind Concurrent Ranking'!$AM:$AM,0)),""),"")</f>
        <v/>
      </c>
      <c r="L41" s="11" t="str">
        <f>IFERROR(IF(ISNUMBER($A41),INDEX('Skeet Ind Concurrent Ranking'!$D:$D,MATCH($A41,'Skeet Ind Concurrent Ranking'!$AC:$AC,0)),""),"")</f>
        <v>Dee Last Name45</v>
      </c>
      <c r="M41" s="40">
        <f>IFERROR(IF(ISNUMBER($A41),INDEX('Skeet Ind Concurrent Ranking'!$I:$I,MATCH($A41,'Skeet Ind Concurrent Ranking'!$AC:$AC,0)),""),"")</f>
        <v>54</v>
      </c>
      <c r="N41" s="1">
        <v>35</v>
      </c>
      <c r="O41" s="11" t="str">
        <f>IFERROR(IF(ISNUMBER($N41),INDEX('Skeet Ind Concurrent Ranking'!$D:$D,MATCH($N41,'Skeet Ind Concurrent Ranking'!$N:$N,0)),""),"")</f>
        <v>Joan Last Name17</v>
      </c>
      <c r="P41" s="51">
        <f>IFERROR(IF(ISNUMBER($N41),INDEX('Skeet Ind Concurrent Ranking'!$I:$I,MATCH($N41,'Skeet Ind Concurrent Ranking'!$N:$N,0)),""),"")</f>
        <v>60.1</v>
      </c>
      <c r="Q41" s="40" t="str">
        <f>IFERROR(IF(ISNUMBER($N41),INDEX('Skeet Ind Concurrent Ranking'!$F:$F,MATCH($N41,'Skeet Ind Concurrent Ranking'!$N:$N,0)),""),"")</f>
        <v>Novice</v>
      </c>
      <c r="R41" s="1">
        <v>85</v>
      </c>
      <c r="S41" s="11" t="str">
        <f>IFERROR(IF(ISNUMBER($R41),INDEX('Skeet Ind Concurrent Ranking'!$D:$D,MATCH($R41,'Skeet Ind Concurrent Ranking'!$N:$N,0)),""),"")</f>
        <v/>
      </c>
      <c r="T41" s="51" t="str">
        <f>IFERROR(IF(ISNUMBER($R41),INDEX('Skeet Ind Concurrent Ranking'!$I:$I,MATCH($R41,'Skeet Ind Concurrent Ranking'!$N:$N,0)),""),"")</f>
        <v/>
      </c>
      <c r="U41" s="40" t="str">
        <f>IFERROR(IF(ISNUMBER($R41),INDEX('Skeet Ind Concurrent Ranking'!$F:$F,MATCH($R41,'Skeet Ind Concurrent Ranking'!$N:$N,0)),""),"")</f>
        <v/>
      </c>
    </row>
    <row r="42" spans="1:27" x14ac:dyDescent="0.3">
      <c r="A42" s="1">
        <v>11</v>
      </c>
      <c r="B42" s="1" t="str">
        <f>IFERROR(IF(AND(ISNUMBER($A42),$A42&lt;='Tournament Setup'!$B$29),INDEX('Skeet Ind Concurrent Ranking'!$D:$D,MATCH($A42,'Skeet Ind Concurrent Ranking'!$P:$P,0)),""),"")</f>
        <v/>
      </c>
      <c r="C42" s="40" t="str">
        <f>IFERROR(IF(AND(ISNUMBER($A42),$A42&lt;='Tournament Setup'!$B$29),INDEX('Skeet Ind Concurrent Ranking'!$I:$I,MATCH($A42,'Skeet Ind Concurrent Ranking'!$P:$P,0)),""),"")</f>
        <v/>
      </c>
      <c r="D42" s="11" t="str">
        <f>IFERROR(IF(ISNUMBER($A42),INDEX('Skeet Ind Concurrent Ranking'!$D:$D,MATCH($A42,'Skeet Ind Concurrent Ranking'!$BQ:$BQ,0)),""),"")</f>
        <v/>
      </c>
      <c r="E42" s="40" t="str">
        <f>IFERROR(IF(ISNUMBER($A42),INDEX('Skeet Ind Concurrent Ranking'!$I:$I,MATCH($A42,'Skeet Ind Concurrent Ranking'!$BQ:$BQ,0)),""),"")</f>
        <v/>
      </c>
      <c r="F42" s="11" t="str">
        <f>IFERROR(IF(ISNUMBER($A42),INDEX('Skeet Ind Concurrent Ranking'!$D:$D,MATCH($A42,'Skeet Ind Concurrent Ranking'!$BG:$BG,0)),""),"")</f>
        <v/>
      </c>
      <c r="G42" s="40" t="str">
        <f>IFERROR(IF(ISNUMBER($A42),INDEX('Skeet Ind Concurrent Ranking'!$I:$I,MATCH($A42,'Skeet Ind Concurrent Ranking'!$BG:$BG,0)),""),"")</f>
        <v/>
      </c>
      <c r="H42" s="11" t="str">
        <f>IFERROR(IF(ISNUMBER($A42),INDEX('Skeet Ind Concurrent Ranking'!$D:$D,MATCH($A42,'Skeet Ind Concurrent Ranking'!$AW:$AW,0)),""),"")</f>
        <v/>
      </c>
      <c r="I42" s="40" t="str">
        <f>IFERROR(IF(ISNUMBER($A42),INDEX('Skeet Ind Concurrent Ranking'!$I:$I,MATCH($A42,'Skeet Ind Concurrent Ranking'!$AW:$AW,0)),""),"")</f>
        <v/>
      </c>
      <c r="J42" s="11" t="str">
        <f>IFERROR(IF(ISNUMBER($A42),INDEX('Skeet Ind Concurrent Ranking'!$D:$D,MATCH($A42,'Skeet Ind Concurrent Ranking'!$AM:$AM,0)),""),"")</f>
        <v/>
      </c>
      <c r="K42" s="40" t="str">
        <f>IFERROR(IF(ISNUMBER($A42),INDEX('Skeet Ind Concurrent Ranking'!$I:$I,MATCH($A42,'Skeet Ind Concurrent Ranking'!$AM:$AM,0)),""),"")</f>
        <v/>
      </c>
      <c r="L42" s="11" t="str">
        <f>IFERROR(IF(ISNUMBER($A42),INDEX('Skeet Ind Concurrent Ranking'!$D:$D,MATCH($A42,'Skeet Ind Concurrent Ranking'!$AC:$AC,0)),""),"")</f>
        <v>Jackson Last Name48</v>
      </c>
      <c r="M42" s="40">
        <f>IFERROR(IF(ISNUMBER($A42),INDEX('Skeet Ind Concurrent Ranking'!$I:$I,MATCH($A42,'Skeet Ind Concurrent Ranking'!$AC:$AC,0)),""),"")</f>
        <v>51.2</v>
      </c>
      <c r="N42" s="1">
        <v>36</v>
      </c>
      <c r="O42" s="11" t="str">
        <f>IFERROR(IF(ISNUMBER($N42),INDEX('Skeet Ind Concurrent Ranking'!$D:$D,MATCH($N42,'Skeet Ind Concurrent Ranking'!$N:$N,0)),""),"")</f>
        <v>Owen Last Name42</v>
      </c>
      <c r="P42" s="51">
        <f>IFERROR(IF(ISNUMBER($N42),INDEX('Skeet Ind Concurrent Ranking'!$I:$I,MATCH($N42,'Skeet Ind Concurrent Ranking'!$N:$N,0)),""),"")</f>
        <v>60</v>
      </c>
      <c r="Q42" s="40" t="str">
        <f>IFERROR(IF(ISNUMBER($N42),INDEX('Skeet Ind Concurrent Ranking'!$F:$F,MATCH($N42,'Skeet Ind Concurrent Ranking'!$N:$N,0)),""),"")</f>
        <v>Novice</v>
      </c>
      <c r="R42" s="1">
        <v>86</v>
      </c>
      <c r="S42" s="11" t="str">
        <f>IFERROR(IF(ISNUMBER($R42),INDEX('Skeet Ind Concurrent Ranking'!$D:$D,MATCH($R42,'Skeet Ind Concurrent Ranking'!$N:$N,0)),""),"")</f>
        <v/>
      </c>
      <c r="T42" s="51" t="str">
        <f>IFERROR(IF(ISNUMBER($R42),INDEX('Skeet Ind Concurrent Ranking'!$I:$I,MATCH($R42,'Skeet Ind Concurrent Ranking'!$N:$N,0)),""),"")</f>
        <v/>
      </c>
      <c r="U42" s="40" t="str">
        <f>IFERROR(IF(ISNUMBER($R42),INDEX('Skeet Ind Concurrent Ranking'!$F:$F,MATCH($R42,'Skeet Ind Concurrent Ranking'!$N:$N,0)),""),"")</f>
        <v/>
      </c>
      <c r="X42" t="str">
        <f>IFERROR(IF(ISNUMBER($A18),INDEX('Skeet Ind Concurrent Ranking'!$A:$A,MATCH($A18,'Skeet Ind Concurrent Ranking'!$AX:$AX,0)),""),"")</f>
        <v>24-1028</v>
      </c>
      <c r="Y42" t="str">
        <f>IFERROR(IF(ISNUMBER($A18),INDEX('Skeet Ind Concurrent Ranking'!$D:$D,MATCH($A18,'Skeet Ind Concurrent Ranking'!$AX:$AX,0)),""),"")</f>
        <v>Alan Last Name29</v>
      </c>
      <c r="Z42" t="s">
        <v>813</v>
      </c>
      <c r="AA42">
        <f>AA40+1</f>
        <v>28</v>
      </c>
    </row>
    <row r="43" spans="1:27" x14ac:dyDescent="0.3">
      <c r="A43" s="1">
        <v>12</v>
      </c>
      <c r="B43" s="1" t="str">
        <f>IFERROR(IF(AND(ISNUMBER($A43),$A43&lt;='Tournament Setup'!$B$29),INDEX('Skeet Ind Concurrent Ranking'!$D:$D,MATCH($A43,'Skeet Ind Concurrent Ranking'!$P:$P,0)),""),"")</f>
        <v/>
      </c>
      <c r="C43" s="40" t="str">
        <f>IFERROR(IF(AND(ISNUMBER($A43),$A43&lt;='Tournament Setup'!$B$29),INDEX('Skeet Ind Concurrent Ranking'!$I:$I,MATCH($A43,'Skeet Ind Concurrent Ranking'!$P:$P,0)),""),"")</f>
        <v/>
      </c>
      <c r="D43" s="11" t="str">
        <f>IFERROR(IF(ISNUMBER($A43),INDEX('Skeet Ind Concurrent Ranking'!$D:$D,MATCH($A43,'Skeet Ind Concurrent Ranking'!$BQ:$BQ,0)),""),"")</f>
        <v/>
      </c>
      <c r="E43" s="40" t="str">
        <f>IFERROR(IF(ISNUMBER($A43),INDEX('Skeet Ind Concurrent Ranking'!$I:$I,MATCH($A43,'Skeet Ind Concurrent Ranking'!$BQ:$BQ,0)),""),"")</f>
        <v/>
      </c>
      <c r="F43" s="11" t="str">
        <f>IFERROR(IF(ISNUMBER($A43),INDEX('Skeet Ind Concurrent Ranking'!$D:$D,MATCH($A43,'Skeet Ind Concurrent Ranking'!$BG:$BG,0)),""),"")</f>
        <v/>
      </c>
      <c r="G43" s="40" t="str">
        <f>IFERROR(IF(ISNUMBER($A43),INDEX('Skeet Ind Concurrent Ranking'!$I:$I,MATCH($A43,'Skeet Ind Concurrent Ranking'!$BG:$BG,0)),""),"")</f>
        <v/>
      </c>
      <c r="H43" s="11" t="str">
        <f>IFERROR(IF(ISNUMBER($A43),INDEX('Skeet Ind Concurrent Ranking'!$D:$D,MATCH($A43,'Skeet Ind Concurrent Ranking'!$AW:$AW,0)),""),"")</f>
        <v/>
      </c>
      <c r="I43" s="40" t="str">
        <f>IFERROR(IF(ISNUMBER($A43),INDEX('Skeet Ind Concurrent Ranking'!$I:$I,MATCH($A43,'Skeet Ind Concurrent Ranking'!$AW:$AW,0)),""),"")</f>
        <v/>
      </c>
      <c r="J43" s="11" t="str">
        <f>IFERROR(IF(ISNUMBER($A43),INDEX('Skeet Ind Concurrent Ranking'!$D:$D,MATCH($A43,'Skeet Ind Concurrent Ranking'!$AM:$AM,0)),""),"")</f>
        <v/>
      </c>
      <c r="K43" s="40" t="str">
        <f>IFERROR(IF(ISNUMBER($A43),INDEX('Skeet Ind Concurrent Ranking'!$I:$I,MATCH($A43,'Skeet Ind Concurrent Ranking'!$AM:$AM,0)),""),"")</f>
        <v/>
      </c>
      <c r="L43" s="11" t="str">
        <f>IFERROR(IF(ISNUMBER($A43),INDEX('Skeet Ind Concurrent Ranking'!$D:$D,MATCH($A43,'Skeet Ind Concurrent Ranking'!$AC:$AC,0)),""),"")</f>
        <v>Ben Last Name6</v>
      </c>
      <c r="M43" s="40">
        <f>IFERROR(IF(ISNUMBER($A43),INDEX('Skeet Ind Concurrent Ranking'!$I:$I,MATCH($A43,'Skeet Ind Concurrent Ranking'!$AC:$AC,0)),""),"")</f>
        <v>51.1</v>
      </c>
      <c r="N43" s="1">
        <v>37</v>
      </c>
      <c r="O43" s="11" t="str">
        <f>IFERROR(IF(ISNUMBER($N43),INDEX('Skeet Ind Concurrent Ranking'!$D:$D,MATCH($N43,'Skeet Ind Concurrent Ranking'!$N:$N,0)),""),"")</f>
        <v>Troy Last Name40</v>
      </c>
      <c r="P43" s="51">
        <f>IFERROR(IF(ISNUMBER($N43),INDEX('Skeet Ind Concurrent Ranking'!$I:$I,MATCH($N43,'Skeet Ind Concurrent Ranking'!$N:$N,0)),""),"")</f>
        <v>59</v>
      </c>
      <c r="Q43" s="40" t="str">
        <f>IFERROR(IF(ISNUMBER($N43),INDEX('Skeet Ind Concurrent Ranking'!$F:$F,MATCH($N43,'Skeet Ind Concurrent Ranking'!$N:$N,0)),""),"")</f>
        <v>Varsity</v>
      </c>
      <c r="R43" s="1">
        <v>87</v>
      </c>
      <c r="S43" s="11" t="str">
        <f>IFERROR(IF(ISNUMBER($R43),INDEX('Skeet Ind Concurrent Ranking'!$D:$D,MATCH($R43,'Skeet Ind Concurrent Ranking'!$N:$N,0)),""),"")</f>
        <v/>
      </c>
      <c r="T43" s="51" t="str">
        <f>IFERROR(IF(ISNUMBER($R43),INDEX('Skeet Ind Concurrent Ranking'!$I:$I,MATCH($R43,'Skeet Ind Concurrent Ranking'!$N:$N,0)),""),"")</f>
        <v/>
      </c>
      <c r="U43" s="40" t="str">
        <f>IFERROR(IF(ISNUMBER($R43),INDEX('Skeet Ind Concurrent Ranking'!$F:$F,MATCH($R43,'Skeet Ind Concurrent Ranking'!$N:$N,0)),""),"")</f>
        <v/>
      </c>
      <c r="X43" t="str">
        <f>IFERROR(IF(ISNUMBER($A19),INDEX('Skeet Ind Concurrent Ranking'!$A:$A,MATCH($A19,'Skeet Ind Concurrent Ranking'!$AX:$AX,0)),""),"")</f>
        <v>24-1012</v>
      </c>
      <c r="Y43" t="str">
        <f>IFERROR(IF(ISNUMBER($A19),INDEX('Skeet Ind Concurrent Ranking'!$D:$D,MATCH($A19,'Skeet Ind Concurrent Ranking'!$AX:$AX,0)),""),"")</f>
        <v>Bruce Last Name13</v>
      </c>
      <c r="Z43" t="s">
        <v>814</v>
      </c>
      <c r="AA43">
        <f>AA42+1</f>
        <v>29</v>
      </c>
    </row>
    <row r="44" spans="1:27" x14ac:dyDescent="0.3">
      <c r="A44" s="1">
        <v>13</v>
      </c>
      <c r="B44" s="1" t="str">
        <f>IFERROR(IF(AND(ISNUMBER($A44),$A44&lt;='Tournament Setup'!$B$29),INDEX('Skeet Ind Concurrent Ranking'!$D:$D,MATCH($A44,'Skeet Ind Concurrent Ranking'!$P:$P,0)),""),"")</f>
        <v/>
      </c>
      <c r="C44" s="40" t="str">
        <f>IFERROR(IF(AND(ISNUMBER($A44),$A44&lt;='Tournament Setup'!$B$29),INDEX('Skeet Ind Concurrent Ranking'!$I:$I,MATCH($A44,'Skeet Ind Concurrent Ranking'!$P:$P,0)),""),"")</f>
        <v/>
      </c>
      <c r="D44" s="11" t="str">
        <f>IFERROR(IF(ISNUMBER($A44),INDEX('Skeet Ind Concurrent Ranking'!$D:$D,MATCH($A44,'Skeet Ind Concurrent Ranking'!$BQ:$BQ,0)),""),"")</f>
        <v/>
      </c>
      <c r="E44" s="40" t="str">
        <f>IFERROR(IF(ISNUMBER($A44),INDEX('Skeet Ind Concurrent Ranking'!$I:$I,MATCH($A44,'Skeet Ind Concurrent Ranking'!$BQ:$BQ,0)),""),"")</f>
        <v/>
      </c>
      <c r="F44" s="11" t="str">
        <f>IFERROR(IF(ISNUMBER($A44),INDEX('Skeet Ind Concurrent Ranking'!$D:$D,MATCH($A44,'Skeet Ind Concurrent Ranking'!$BG:$BG,0)),""),"")</f>
        <v/>
      </c>
      <c r="G44" s="40" t="str">
        <f>IFERROR(IF(ISNUMBER($A44),INDEX('Skeet Ind Concurrent Ranking'!$I:$I,MATCH($A44,'Skeet Ind Concurrent Ranking'!$BG:$BG,0)),""),"")</f>
        <v/>
      </c>
      <c r="H44" s="11" t="str">
        <f>IFERROR(IF(ISNUMBER($A44),INDEX('Skeet Ind Concurrent Ranking'!$D:$D,MATCH($A44,'Skeet Ind Concurrent Ranking'!$AW:$AW,0)),""),"")</f>
        <v/>
      </c>
      <c r="I44" s="40" t="str">
        <f>IFERROR(IF(ISNUMBER($A44),INDEX('Skeet Ind Concurrent Ranking'!$I:$I,MATCH($A44,'Skeet Ind Concurrent Ranking'!$AW:$AW,0)),""),"")</f>
        <v/>
      </c>
      <c r="J44" s="11" t="str">
        <f>IFERROR(IF(ISNUMBER($A44),INDEX('Skeet Ind Concurrent Ranking'!$D:$D,MATCH($A44,'Skeet Ind Concurrent Ranking'!$AM:$AM,0)),""),"")</f>
        <v/>
      </c>
      <c r="K44" s="40" t="str">
        <f>IFERROR(IF(ISNUMBER($A44),INDEX('Skeet Ind Concurrent Ranking'!$I:$I,MATCH($A44,'Skeet Ind Concurrent Ranking'!$AM:$AM,0)),""),"")</f>
        <v/>
      </c>
      <c r="L44" s="11" t="str">
        <f>IFERROR(IF(ISNUMBER($A44),INDEX('Skeet Ind Concurrent Ranking'!$D:$D,MATCH($A44,'Skeet Ind Concurrent Ranking'!$AC:$AC,0)),""),"")</f>
        <v/>
      </c>
      <c r="M44" s="40" t="str">
        <f>IFERROR(IF(ISNUMBER($A44),INDEX('Skeet Ind Concurrent Ranking'!$I:$I,MATCH($A44,'Skeet Ind Concurrent Ranking'!$AC:$AC,0)),""),"")</f>
        <v/>
      </c>
      <c r="N44" s="1">
        <v>38</v>
      </c>
      <c r="O44" s="11" t="str">
        <f>IFERROR(IF(ISNUMBER($N44),INDEX('Skeet Ind Concurrent Ranking'!$D:$D,MATCH($N44,'Skeet Ind Concurrent Ranking'!$N:$N,0)),""),"")</f>
        <v>Dee Last Name45</v>
      </c>
      <c r="P44" s="51">
        <f>IFERROR(IF(ISNUMBER($N44),INDEX('Skeet Ind Concurrent Ranking'!$I:$I,MATCH($N44,'Skeet Ind Concurrent Ranking'!$N:$N,0)),""),"")</f>
        <v>54</v>
      </c>
      <c r="Q44" s="40" t="str">
        <f>IFERROR(IF(ISNUMBER($N44),INDEX('Skeet Ind Concurrent Ranking'!$F:$F,MATCH($N44,'Skeet Ind Concurrent Ranking'!$N:$N,0)),""),"")</f>
        <v>Novice</v>
      </c>
      <c r="R44" s="1">
        <v>88</v>
      </c>
      <c r="S44" s="11" t="str">
        <f>IFERROR(IF(ISNUMBER($R44),INDEX('Skeet Ind Concurrent Ranking'!$D:$D,MATCH($R44,'Skeet Ind Concurrent Ranking'!$N:$N,0)),""),"")</f>
        <v/>
      </c>
      <c r="T44" s="51" t="str">
        <f>IFERROR(IF(ISNUMBER($R44),INDEX('Skeet Ind Concurrent Ranking'!$I:$I,MATCH($R44,'Skeet Ind Concurrent Ranking'!$N:$N,0)),""),"")</f>
        <v/>
      </c>
      <c r="U44" s="40" t="str">
        <f>IFERROR(IF(ISNUMBER($R44),INDEX('Skeet Ind Concurrent Ranking'!$F:$F,MATCH($R44,'Skeet Ind Concurrent Ranking'!$N:$N,0)),""),"")</f>
        <v/>
      </c>
      <c r="X44" t="str">
        <f>IFERROR(IF(ISNUMBER($A20),INDEX('Skeet Ind Concurrent Ranking'!$A:$A,MATCH($A20,'Skeet Ind Concurrent Ranking'!$AX:$AX,0)),""),"")</f>
        <v>24-1007</v>
      </c>
      <c r="Y44" t="str">
        <f>IFERROR(IF(ISNUMBER($A20),INDEX('Skeet Ind Concurrent Ranking'!$D:$D,MATCH($A20,'Skeet Ind Concurrent Ranking'!$AX:$AX,0)),""),"")</f>
        <v>James Last Name8</v>
      </c>
      <c r="Z44" t="s">
        <v>815</v>
      </c>
      <c r="AA44">
        <f>AA43+1</f>
        <v>30</v>
      </c>
    </row>
    <row r="45" spans="1:27" x14ac:dyDescent="0.3">
      <c r="A45" s="1">
        <v>14</v>
      </c>
      <c r="B45" s="1" t="str">
        <f>IFERROR(IF(AND(ISNUMBER($A45),$A45&lt;='Tournament Setup'!$B$29),INDEX('Skeet Ind Concurrent Ranking'!$D:$D,MATCH($A45,'Skeet Ind Concurrent Ranking'!$P:$P,0)),""),"")</f>
        <v/>
      </c>
      <c r="C45" s="40" t="str">
        <f>IFERROR(IF(AND(ISNUMBER($A45),$A45&lt;='Tournament Setup'!$B$29),INDEX('Skeet Ind Concurrent Ranking'!$I:$I,MATCH($A45,'Skeet Ind Concurrent Ranking'!$P:$P,0)),""),"")</f>
        <v/>
      </c>
      <c r="D45" s="11" t="str">
        <f>IFERROR(IF(ISNUMBER($A45),INDEX('Skeet Ind Concurrent Ranking'!$D:$D,MATCH($A45,'Skeet Ind Concurrent Ranking'!$BQ:$BQ,0)),""),"")</f>
        <v/>
      </c>
      <c r="E45" s="40" t="str">
        <f>IFERROR(IF(ISNUMBER($A45),INDEX('Skeet Ind Concurrent Ranking'!$I:$I,MATCH($A45,'Skeet Ind Concurrent Ranking'!$BQ:$BQ,0)),""),"")</f>
        <v/>
      </c>
      <c r="F45" s="11" t="str">
        <f>IFERROR(IF(ISNUMBER($A45),INDEX('Skeet Ind Concurrent Ranking'!$D:$D,MATCH($A45,'Skeet Ind Concurrent Ranking'!$BG:$BG,0)),""),"")</f>
        <v/>
      </c>
      <c r="G45" s="40" t="str">
        <f>IFERROR(IF(ISNUMBER($A45),INDEX('Skeet Ind Concurrent Ranking'!$I:$I,MATCH($A45,'Skeet Ind Concurrent Ranking'!$BG:$BG,0)),""),"")</f>
        <v/>
      </c>
      <c r="H45" s="11" t="str">
        <f>IFERROR(IF(ISNUMBER($A45),INDEX('Skeet Ind Concurrent Ranking'!$D:$D,MATCH($A45,'Skeet Ind Concurrent Ranking'!$AW:$AW,0)),""),"")</f>
        <v/>
      </c>
      <c r="I45" s="40" t="str">
        <f>IFERROR(IF(ISNUMBER($A45),INDEX('Skeet Ind Concurrent Ranking'!$I:$I,MATCH($A45,'Skeet Ind Concurrent Ranking'!$AW:$AW,0)),""),"")</f>
        <v/>
      </c>
      <c r="J45" s="11" t="str">
        <f>IFERROR(IF(ISNUMBER($A45),INDEX('Skeet Ind Concurrent Ranking'!$D:$D,MATCH($A45,'Skeet Ind Concurrent Ranking'!$AM:$AM,0)),""),"")</f>
        <v/>
      </c>
      <c r="K45" s="40" t="str">
        <f>IFERROR(IF(ISNUMBER($A45),INDEX('Skeet Ind Concurrent Ranking'!$I:$I,MATCH($A45,'Skeet Ind Concurrent Ranking'!$AM:$AM,0)),""),"")</f>
        <v/>
      </c>
      <c r="L45" s="11" t="str">
        <f>IFERROR(IF(ISNUMBER($A45),INDEX('Skeet Ind Concurrent Ranking'!$D:$D,MATCH($A45,'Skeet Ind Concurrent Ranking'!$AC:$AC,0)),""),"")</f>
        <v/>
      </c>
      <c r="M45" s="40" t="str">
        <f>IFERROR(IF(ISNUMBER($A45),INDEX('Skeet Ind Concurrent Ranking'!$I:$I,MATCH($A45,'Skeet Ind Concurrent Ranking'!$AC:$AC,0)),""),"")</f>
        <v/>
      </c>
      <c r="N45" s="1">
        <v>39</v>
      </c>
      <c r="O45" s="11" t="str">
        <f>IFERROR(IF(ISNUMBER($N45),INDEX('Skeet Ind Concurrent Ranking'!$D:$D,MATCH($N45,'Skeet Ind Concurrent Ranking'!$N:$N,0)),""),"")</f>
        <v>Jackson Last Name48</v>
      </c>
      <c r="P45" s="51">
        <f>IFERROR(IF(ISNUMBER($N45),INDEX('Skeet Ind Concurrent Ranking'!$I:$I,MATCH($N45,'Skeet Ind Concurrent Ranking'!$N:$N,0)),""),"")</f>
        <v>51.2</v>
      </c>
      <c r="Q45" s="40" t="str">
        <f>IFERROR(IF(ISNUMBER($N45),INDEX('Skeet Ind Concurrent Ranking'!$F:$F,MATCH($N45,'Skeet Ind Concurrent Ranking'!$N:$N,0)),""),"")</f>
        <v>Novice</v>
      </c>
      <c r="R45" s="1">
        <v>89</v>
      </c>
      <c r="S45" s="11" t="str">
        <f>IFERROR(IF(ISNUMBER($R45),INDEX('Skeet Ind Concurrent Ranking'!$D:$D,MATCH($R45,'Skeet Ind Concurrent Ranking'!$N:$N,0)),""),"")</f>
        <v/>
      </c>
      <c r="T45" s="51" t="str">
        <f>IFERROR(IF(ISNUMBER($R45),INDEX('Skeet Ind Concurrent Ranking'!$I:$I,MATCH($R45,'Skeet Ind Concurrent Ranking'!$N:$N,0)),""),"")</f>
        <v/>
      </c>
      <c r="U45" s="40" t="str">
        <f>IFERROR(IF(ISNUMBER($R45),INDEX('Skeet Ind Concurrent Ranking'!$F:$F,MATCH($R45,'Skeet Ind Concurrent Ranking'!$N:$N,0)),""),"")</f>
        <v/>
      </c>
    </row>
    <row r="46" spans="1:27" x14ac:dyDescent="0.3">
      <c r="A46" s="1">
        <v>15</v>
      </c>
      <c r="B46" s="1" t="str">
        <f>IFERROR(IF(AND(ISNUMBER($A46),$A46&lt;='Tournament Setup'!$B$29),INDEX('Skeet Ind Concurrent Ranking'!$D:$D,MATCH($A46,'Skeet Ind Concurrent Ranking'!$P:$P,0)),""),"")</f>
        <v/>
      </c>
      <c r="C46" s="40" t="str">
        <f>IFERROR(IF(AND(ISNUMBER($A46),$A46&lt;='Tournament Setup'!$B$29),INDEX('Skeet Ind Concurrent Ranking'!$I:$I,MATCH($A46,'Skeet Ind Concurrent Ranking'!$P:$P,0)),""),"")</f>
        <v/>
      </c>
      <c r="D46" s="11" t="str">
        <f>IFERROR(IF(ISNUMBER($A46),INDEX('Skeet Ind Concurrent Ranking'!$D:$D,MATCH($A46,'Skeet Ind Concurrent Ranking'!$BQ:$BQ,0)),""),"")</f>
        <v/>
      </c>
      <c r="E46" s="40" t="str">
        <f>IFERROR(IF(ISNUMBER($A46),INDEX('Skeet Ind Concurrent Ranking'!$I:$I,MATCH($A46,'Skeet Ind Concurrent Ranking'!$BQ:$BQ,0)),""),"")</f>
        <v/>
      </c>
      <c r="F46" s="11" t="str">
        <f>IFERROR(IF(ISNUMBER($A46),INDEX('Skeet Ind Concurrent Ranking'!$D:$D,MATCH($A46,'Skeet Ind Concurrent Ranking'!$BG:$BG,0)),""),"")</f>
        <v/>
      </c>
      <c r="G46" s="40" t="str">
        <f>IFERROR(IF(ISNUMBER($A46),INDEX('Skeet Ind Concurrent Ranking'!$I:$I,MATCH($A46,'Skeet Ind Concurrent Ranking'!$BG:$BG,0)),""),"")</f>
        <v/>
      </c>
      <c r="H46" s="11" t="str">
        <f>IFERROR(IF(ISNUMBER($A46),INDEX('Skeet Ind Concurrent Ranking'!$D:$D,MATCH($A46,'Skeet Ind Concurrent Ranking'!$AW:$AW,0)),""),"")</f>
        <v/>
      </c>
      <c r="I46" s="40" t="str">
        <f>IFERROR(IF(ISNUMBER($A46),INDEX('Skeet Ind Concurrent Ranking'!$I:$I,MATCH($A46,'Skeet Ind Concurrent Ranking'!$AW:$AW,0)),""),"")</f>
        <v/>
      </c>
      <c r="J46" s="11" t="str">
        <f>IFERROR(IF(ISNUMBER($A46),INDEX('Skeet Ind Concurrent Ranking'!$D:$D,MATCH($A46,'Skeet Ind Concurrent Ranking'!$AM:$AM,0)),""),"")</f>
        <v/>
      </c>
      <c r="K46" s="40" t="str">
        <f>IFERROR(IF(ISNUMBER($A46),INDEX('Skeet Ind Concurrent Ranking'!$I:$I,MATCH($A46,'Skeet Ind Concurrent Ranking'!$AM:$AM,0)),""),"")</f>
        <v/>
      </c>
      <c r="L46" s="11" t="str">
        <f>IFERROR(IF(ISNUMBER($A46),INDEX('Skeet Ind Concurrent Ranking'!$D:$D,MATCH($A46,'Skeet Ind Concurrent Ranking'!$AC:$AC,0)),""),"")</f>
        <v/>
      </c>
      <c r="M46" s="40" t="str">
        <f>IFERROR(IF(ISNUMBER($A46),INDEX('Skeet Ind Concurrent Ranking'!$I:$I,MATCH($A46,'Skeet Ind Concurrent Ranking'!$AC:$AC,0)),""),"")</f>
        <v/>
      </c>
      <c r="N46" s="1">
        <v>40</v>
      </c>
      <c r="O46" s="11" t="str">
        <f>IFERROR(IF(ISNUMBER($N46),INDEX('Skeet Ind Concurrent Ranking'!$D:$D,MATCH($N46,'Skeet Ind Concurrent Ranking'!$N:$N,0)),""),"")</f>
        <v>Ben Last Name6</v>
      </c>
      <c r="P46" s="51">
        <f>IFERROR(IF(ISNUMBER($N46),INDEX('Skeet Ind Concurrent Ranking'!$I:$I,MATCH($N46,'Skeet Ind Concurrent Ranking'!$N:$N,0)),""),"")</f>
        <v>51.1</v>
      </c>
      <c r="Q46" s="40" t="str">
        <f>IFERROR(IF(ISNUMBER($N46),INDEX('Skeet Ind Concurrent Ranking'!$F:$F,MATCH($N46,'Skeet Ind Concurrent Ranking'!$N:$N,0)),""),"")</f>
        <v>Novice</v>
      </c>
      <c r="R46" s="1">
        <v>90</v>
      </c>
      <c r="S46" s="11" t="str">
        <f>IFERROR(IF(ISNUMBER($R46),INDEX('Skeet Ind Concurrent Ranking'!$D:$D,MATCH($R46,'Skeet Ind Concurrent Ranking'!$N:$N,0)),""),"")</f>
        <v/>
      </c>
      <c r="T46" s="51" t="str">
        <f>IFERROR(IF(ISNUMBER($R46),INDEX('Skeet Ind Concurrent Ranking'!$I:$I,MATCH($R46,'Skeet Ind Concurrent Ranking'!$N:$N,0)),""),"")</f>
        <v/>
      </c>
      <c r="U46" s="40" t="str">
        <f>IFERROR(IF(ISNUMBER($R46),INDEX('Skeet Ind Concurrent Ranking'!$F:$F,MATCH($R46,'Skeet Ind Concurrent Ranking'!$N:$N,0)),""),"")</f>
        <v/>
      </c>
      <c r="X46" t="str">
        <f>IFERROR(IF(ISNUMBER($A22),INDEX('Skeet Ind Concurrent Ranking'!$A:$A,MATCH($A22,'Skeet Ind Concurrent Ranking'!$AZ:$AZ,0)),""),"")</f>
        <v>24-1001</v>
      </c>
      <c r="Y46" t="str">
        <f>IFERROR(IF(ISNUMBER($A22),INDEX('Skeet Ind Concurrent Ranking'!$D:$D,MATCH($A22,'Skeet Ind Concurrent Ranking'!$AZ:$AZ,0)),""),"")</f>
        <v>John Last Name2</v>
      </c>
      <c r="Z46" t="s">
        <v>816</v>
      </c>
      <c r="AA46">
        <f>AA44+1</f>
        <v>31</v>
      </c>
    </row>
    <row r="47" spans="1:27" x14ac:dyDescent="0.3">
      <c r="A47" s="1">
        <v>16</v>
      </c>
      <c r="B47" s="1" t="str">
        <f>IFERROR(IF(AND(ISNUMBER($A47),$A47&lt;='Tournament Setup'!$B$29),INDEX('Skeet Ind Concurrent Ranking'!$D:$D,MATCH($A47,'Skeet Ind Concurrent Ranking'!$P:$P,0)),""),"")</f>
        <v/>
      </c>
      <c r="C47" s="40" t="str">
        <f>IFERROR(IF(AND(ISNUMBER($A47),$A47&lt;='Tournament Setup'!$B$29),INDEX('Skeet Ind Concurrent Ranking'!$I:$I,MATCH($A47,'Skeet Ind Concurrent Ranking'!$P:$P,0)),""),"")</f>
        <v/>
      </c>
      <c r="D47" s="11" t="str">
        <f>IFERROR(IF(ISNUMBER($A47),INDEX('Skeet Ind Concurrent Ranking'!$D:$D,MATCH($A47,'Skeet Ind Concurrent Ranking'!$BQ:$BQ,0)),""),"")</f>
        <v/>
      </c>
      <c r="E47" s="40" t="str">
        <f>IFERROR(IF(ISNUMBER($A47),INDEX('Skeet Ind Concurrent Ranking'!$I:$I,MATCH($A47,'Skeet Ind Concurrent Ranking'!$BQ:$BQ,0)),""),"")</f>
        <v/>
      </c>
      <c r="F47" s="11" t="str">
        <f>IFERROR(IF(ISNUMBER($A47),INDEX('Skeet Ind Concurrent Ranking'!$D:$D,MATCH($A47,'Skeet Ind Concurrent Ranking'!$BG:$BG,0)),""),"")</f>
        <v/>
      </c>
      <c r="G47" s="40" t="str">
        <f>IFERROR(IF(ISNUMBER($A47),INDEX('Skeet Ind Concurrent Ranking'!$I:$I,MATCH($A47,'Skeet Ind Concurrent Ranking'!$BG:$BG,0)),""),"")</f>
        <v/>
      </c>
      <c r="H47" s="11" t="str">
        <f>IFERROR(IF(ISNUMBER($A47),INDEX('Skeet Ind Concurrent Ranking'!$D:$D,MATCH($A47,'Skeet Ind Concurrent Ranking'!$AW:$AW,0)),""),"")</f>
        <v/>
      </c>
      <c r="I47" s="40" t="str">
        <f>IFERROR(IF(ISNUMBER($A47),INDEX('Skeet Ind Concurrent Ranking'!$I:$I,MATCH($A47,'Skeet Ind Concurrent Ranking'!$AW:$AW,0)),""),"")</f>
        <v/>
      </c>
      <c r="J47" s="11" t="str">
        <f>IFERROR(IF(ISNUMBER($A47),INDEX('Skeet Ind Concurrent Ranking'!$D:$D,MATCH($A47,'Skeet Ind Concurrent Ranking'!$AM:$AM,0)),""),"")</f>
        <v/>
      </c>
      <c r="K47" s="40" t="str">
        <f>IFERROR(IF(ISNUMBER($A47),INDEX('Skeet Ind Concurrent Ranking'!$I:$I,MATCH($A47,'Skeet Ind Concurrent Ranking'!$AM:$AM,0)),""),"")</f>
        <v/>
      </c>
      <c r="L47" s="11" t="str">
        <f>IFERROR(IF(ISNUMBER($A47),INDEX('Skeet Ind Concurrent Ranking'!$D:$D,MATCH($A47,'Skeet Ind Concurrent Ranking'!$AC:$AC,0)),""),"")</f>
        <v/>
      </c>
      <c r="M47" s="40" t="str">
        <f>IFERROR(IF(ISNUMBER($A47),INDEX('Skeet Ind Concurrent Ranking'!$I:$I,MATCH($A47,'Skeet Ind Concurrent Ranking'!$AC:$AC,0)),""),"")</f>
        <v/>
      </c>
      <c r="N47" s="1">
        <v>41</v>
      </c>
      <c r="O47" s="11" t="str">
        <f>IFERROR(IF(ISNUMBER($N47),INDEX('Skeet Ind Concurrent Ranking'!$D:$D,MATCH($N47,'Skeet Ind Concurrent Ranking'!$N:$N,0)),""),"")</f>
        <v>Judy Last Name30</v>
      </c>
      <c r="P47" s="51">
        <f>IFERROR(IF(ISNUMBER($N47),INDEX('Skeet Ind Concurrent Ranking'!$I:$I,MATCH($N47,'Skeet Ind Concurrent Ranking'!$N:$N,0)),""),"")</f>
        <v>51</v>
      </c>
      <c r="Q47" s="40" t="str">
        <f>IFERROR(IF(ISNUMBER($N47),INDEX('Skeet Ind Concurrent Ranking'!$F:$F,MATCH($N47,'Skeet Ind Concurrent Ranking'!$N:$N,0)),""),"")</f>
        <v>Collegiate</v>
      </c>
      <c r="R47" s="1">
        <v>91</v>
      </c>
      <c r="S47" s="11" t="str">
        <f>IFERROR(IF(ISNUMBER($R47),INDEX('Skeet Ind Concurrent Ranking'!$D:$D,MATCH($R47,'Skeet Ind Concurrent Ranking'!$N:$N,0)),""),"")</f>
        <v/>
      </c>
      <c r="T47" s="51" t="str">
        <f>IFERROR(IF(ISNUMBER($R47),INDEX('Skeet Ind Concurrent Ranking'!$I:$I,MATCH($R47,'Skeet Ind Concurrent Ranking'!$N:$N,0)),""),"")</f>
        <v/>
      </c>
      <c r="U47" s="40" t="str">
        <f>IFERROR(IF(ISNUMBER($R47),INDEX('Skeet Ind Concurrent Ranking'!$F:$F,MATCH($R47,'Skeet Ind Concurrent Ranking'!$N:$N,0)),""),"")</f>
        <v/>
      </c>
      <c r="X47" t="str">
        <f>IFERROR(IF(ISNUMBER($A23),INDEX('Skeet Ind Concurrent Ranking'!$A:$A,MATCH($A23,'Skeet Ind Concurrent Ranking'!$AZ:$AZ,0)),""),"")</f>
        <v>24-1022</v>
      </c>
      <c r="Y47" t="str">
        <f>IFERROR(IF(ISNUMBER($A23),INDEX('Skeet Ind Concurrent Ranking'!$D:$D,MATCH($A23,'Skeet Ind Concurrent Ranking'!$AZ:$AZ,0)),""),"")</f>
        <v>Tom Last Name23</v>
      </c>
      <c r="Z47" t="s">
        <v>817</v>
      </c>
      <c r="AA47">
        <f>AA46+1</f>
        <v>32</v>
      </c>
    </row>
    <row r="48" spans="1:27" x14ac:dyDescent="0.3">
      <c r="A48" s="1">
        <v>17</v>
      </c>
      <c r="B48" s="1" t="str">
        <f>IFERROR(IF(AND(ISNUMBER($A48),$A48&lt;='Tournament Setup'!$B$29),INDEX('Skeet Ind Concurrent Ranking'!$D:$D,MATCH($A48,'Skeet Ind Concurrent Ranking'!$P:$P,0)),""),"")</f>
        <v/>
      </c>
      <c r="C48" s="40" t="str">
        <f>IFERROR(IF(AND(ISNUMBER($A48),$A48&lt;='Tournament Setup'!$B$29),INDEX('Skeet Ind Concurrent Ranking'!$I:$I,MATCH($A48,'Skeet Ind Concurrent Ranking'!$P:$P,0)),""),"")</f>
        <v/>
      </c>
      <c r="D48" s="11" t="str">
        <f>IFERROR(IF(ISNUMBER($A48),INDEX('Skeet Ind Concurrent Ranking'!$D:$D,MATCH($A48,'Skeet Ind Concurrent Ranking'!$BQ:$BQ,0)),""),"")</f>
        <v/>
      </c>
      <c r="E48" s="40" t="str">
        <f>IFERROR(IF(ISNUMBER($A48),INDEX('Skeet Ind Concurrent Ranking'!$I:$I,MATCH($A48,'Skeet Ind Concurrent Ranking'!$BQ:$BQ,0)),""),"")</f>
        <v/>
      </c>
      <c r="F48" s="11" t="str">
        <f>IFERROR(IF(ISNUMBER($A48),INDEX('Skeet Ind Concurrent Ranking'!$D:$D,MATCH($A48,'Skeet Ind Concurrent Ranking'!$BG:$BG,0)),""),"")</f>
        <v/>
      </c>
      <c r="G48" s="40" t="str">
        <f>IFERROR(IF(ISNUMBER($A48),INDEX('Skeet Ind Concurrent Ranking'!$I:$I,MATCH($A48,'Skeet Ind Concurrent Ranking'!$BG:$BG,0)),""),"")</f>
        <v/>
      </c>
      <c r="H48" s="11" t="str">
        <f>IFERROR(IF(ISNUMBER($A48),INDEX('Skeet Ind Concurrent Ranking'!$D:$D,MATCH($A48,'Skeet Ind Concurrent Ranking'!$AW:$AW,0)),""),"")</f>
        <v/>
      </c>
      <c r="I48" s="40" t="str">
        <f>IFERROR(IF(ISNUMBER($A48),INDEX('Skeet Ind Concurrent Ranking'!$I:$I,MATCH($A48,'Skeet Ind Concurrent Ranking'!$AW:$AW,0)),""),"")</f>
        <v/>
      </c>
      <c r="J48" s="11" t="str">
        <f>IFERROR(IF(ISNUMBER($A48),INDEX('Skeet Ind Concurrent Ranking'!$D:$D,MATCH($A48,'Skeet Ind Concurrent Ranking'!$AM:$AM,0)),""),"")</f>
        <v/>
      </c>
      <c r="K48" s="40" t="str">
        <f>IFERROR(IF(ISNUMBER($A48),INDEX('Skeet Ind Concurrent Ranking'!$I:$I,MATCH($A48,'Skeet Ind Concurrent Ranking'!$AM:$AM,0)),""),"")</f>
        <v/>
      </c>
      <c r="L48" s="11" t="str">
        <f>IFERROR(IF(ISNUMBER($A48),INDEX('Skeet Ind Concurrent Ranking'!$D:$D,MATCH($A48,'Skeet Ind Concurrent Ranking'!$AC:$AC,0)),""),"")</f>
        <v/>
      </c>
      <c r="M48" s="40" t="str">
        <f>IFERROR(IF(ISNUMBER($A48),INDEX('Skeet Ind Concurrent Ranking'!$I:$I,MATCH($A48,'Skeet Ind Concurrent Ranking'!$AC:$AC,0)),""),"")</f>
        <v/>
      </c>
      <c r="N48" s="1">
        <v>42</v>
      </c>
      <c r="O48" s="11" t="str">
        <f>IFERROR(IF(ISNUMBER($N48),INDEX('Skeet Ind Concurrent Ranking'!$D:$D,MATCH($N48,'Skeet Ind Concurrent Ranking'!$N:$N,0)),""),"")</f>
        <v>Bob Last Name12</v>
      </c>
      <c r="P48" s="51">
        <f>IFERROR(IF(ISNUMBER($N48),INDEX('Skeet Ind Concurrent Ranking'!$I:$I,MATCH($N48,'Skeet Ind Concurrent Ranking'!$N:$N,0)),""),"")</f>
        <v>48</v>
      </c>
      <c r="Q48" s="40" t="str">
        <f>IFERROR(IF(ISNUMBER($N48),INDEX('Skeet Ind Concurrent Ranking'!$F:$F,MATCH($N48,'Skeet Ind Concurrent Ranking'!$N:$N,0)),""),"")</f>
        <v>Collegiate</v>
      </c>
      <c r="R48" s="1">
        <v>92</v>
      </c>
      <c r="S48" s="11" t="str">
        <f>IFERROR(IF(ISNUMBER($R48),INDEX('Skeet Ind Concurrent Ranking'!$D:$D,MATCH($R48,'Skeet Ind Concurrent Ranking'!$N:$N,0)),""),"")</f>
        <v/>
      </c>
      <c r="T48" s="51" t="str">
        <f>IFERROR(IF(ISNUMBER($R48),INDEX('Skeet Ind Concurrent Ranking'!$I:$I,MATCH($R48,'Skeet Ind Concurrent Ranking'!$N:$N,0)),""),"")</f>
        <v/>
      </c>
      <c r="U48" s="40" t="str">
        <f>IFERROR(IF(ISNUMBER($R48),INDEX('Skeet Ind Concurrent Ranking'!$F:$F,MATCH($R48,'Skeet Ind Concurrent Ranking'!$N:$N,0)),""),"")</f>
        <v/>
      </c>
      <c r="X48" t="str">
        <f>IFERROR(IF(ISNUMBER($A24),INDEX('Skeet Ind Concurrent Ranking'!$A:$A,MATCH($A24,'Skeet Ind Concurrent Ranking'!$AZ:$AZ,0)),""),"")</f>
        <v>24-1019</v>
      </c>
      <c r="Y48" t="str">
        <f>IFERROR(IF(ISNUMBER($A24),INDEX('Skeet Ind Concurrent Ranking'!$D:$D,MATCH($A24,'Skeet Ind Concurrent Ranking'!$AZ:$AZ,0)),""),"")</f>
        <v>Chris Last Name20</v>
      </c>
      <c r="Z48" t="s">
        <v>818</v>
      </c>
      <c r="AA48">
        <f>AA47+1</f>
        <v>33</v>
      </c>
    </row>
    <row r="49" spans="1:27" x14ac:dyDescent="0.3">
      <c r="A49" s="1">
        <v>18</v>
      </c>
      <c r="B49" s="1" t="str">
        <f>IFERROR(IF(AND(ISNUMBER($A49),$A49&lt;='Tournament Setup'!$B$29),INDEX('Skeet Ind Concurrent Ranking'!$D:$D,MATCH($A49,'Skeet Ind Concurrent Ranking'!$P:$P,0)),""),"")</f>
        <v/>
      </c>
      <c r="C49" s="40" t="str">
        <f>IFERROR(IF(AND(ISNUMBER($A49),$A49&lt;='Tournament Setup'!$B$29),INDEX('Skeet Ind Concurrent Ranking'!$I:$I,MATCH($A49,'Skeet Ind Concurrent Ranking'!$P:$P,0)),""),"")</f>
        <v/>
      </c>
      <c r="D49" s="11" t="str">
        <f>IFERROR(IF(ISNUMBER($A49),INDEX('Skeet Ind Concurrent Ranking'!$D:$D,MATCH($A49,'Skeet Ind Concurrent Ranking'!$BQ:$BQ,0)),""),"")</f>
        <v/>
      </c>
      <c r="E49" s="40" t="str">
        <f>IFERROR(IF(ISNUMBER($A49),INDEX('Skeet Ind Concurrent Ranking'!$I:$I,MATCH($A49,'Skeet Ind Concurrent Ranking'!$BQ:$BQ,0)),""),"")</f>
        <v/>
      </c>
      <c r="F49" s="11" t="str">
        <f>IFERROR(IF(ISNUMBER($A49),INDEX('Skeet Ind Concurrent Ranking'!$D:$D,MATCH($A49,'Skeet Ind Concurrent Ranking'!$BG:$BG,0)),""),"")</f>
        <v/>
      </c>
      <c r="G49" s="40" t="str">
        <f>IFERROR(IF(ISNUMBER($A49),INDEX('Skeet Ind Concurrent Ranking'!$I:$I,MATCH($A49,'Skeet Ind Concurrent Ranking'!$BG:$BG,0)),""),"")</f>
        <v/>
      </c>
      <c r="H49" s="11" t="str">
        <f>IFERROR(IF(ISNUMBER($A49),INDEX('Skeet Ind Concurrent Ranking'!$D:$D,MATCH($A49,'Skeet Ind Concurrent Ranking'!$AW:$AW,0)),""),"")</f>
        <v/>
      </c>
      <c r="I49" s="40" t="str">
        <f>IFERROR(IF(ISNUMBER($A49),INDEX('Skeet Ind Concurrent Ranking'!$I:$I,MATCH($A49,'Skeet Ind Concurrent Ranking'!$AW:$AW,0)),""),"")</f>
        <v/>
      </c>
      <c r="J49" s="11" t="str">
        <f>IFERROR(IF(ISNUMBER($A49),INDEX('Skeet Ind Concurrent Ranking'!$D:$D,MATCH($A49,'Skeet Ind Concurrent Ranking'!$AM:$AM,0)),""),"")</f>
        <v/>
      </c>
      <c r="K49" s="40" t="str">
        <f>IFERROR(IF(ISNUMBER($A49),INDEX('Skeet Ind Concurrent Ranking'!$I:$I,MATCH($A49,'Skeet Ind Concurrent Ranking'!$AM:$AM,0)),""),"")</f>
        <v/>
      </c>
      <c r="L49" s="11" t="str">
        <f>IFERROR(IF(ISNUMBER($A49),INDEX('Skeet Ind Concurrent Ranking'!$D:$D,MATCH($A49,'Skeet Ind Concurrent Ranking'!$AC:$AC,0)),""),"")</f>
        <v/>
      </c>
      <c r="M49" s="40" t="str">
        <f>IFERROR(IF(ISNUMBER($A49),INDEX('Skeet Ind Concurrent Ranking'!$I:$I,MATCH($A49,'Skeet Ind Concurrent Ranking'!$AC:$AC,0)),""),"")</f>
        <v/>
      </c>
      <c r="N49" s="1">
        <v>43</v>
      </c>
      <c r="O49" s="11" t="str">
        <f>IFERROR(IF(ISNUMBER($N49),INDEX('Skeet Ind Concurrent Ranking'!$D:$D,MATCH($N49,'Skeet Ind Concurrent Ranking'!$N:$N,0)),""),"")</f>
        <v>Becky Last Name27</v>
      </c>
      <c r="P49" s="51">
        <f>IFERROR(IF(ISNUMBER($N49),INDEX('Skeet Ind Concurrent Ranking'!$I:$I,MATCH($N49,'Skeet Ind Concurrent Ranking'!$N:$N,0)),""),"")</f>
        <v>45</v>
      </c>
      <c r="Q49" s="40" t="str">
        <f>IFERROR(IF(ISNUMBER($N49),INDEX('Skeet Ind Concurrent Ranking'!$F:$F,MATCH($N49,'Skeet Ind Concurrent Ranking'!$N:$N,0)),""),"")</f>
        <v>Collegiate</v>
      </c>
      <c r="R49" s="1">
        <v>93</v>
      </c>
      <c r="S49" s="11" t="str">
        <f>IFERROR(IF(ISNUMBER($R49),INDEX('Skeet Ind Concurrent Ranking'!$D:$D,MATCH($R49,'Skeet Ind Concurrent Ranking'!$N:$N,0)),""),"")</f>
        <v/>
      </c>
      <c r="T49" s="51" t="str">
        <f>IFERROR(IF(ISNUMBER($R49),INDEX('Skeet Ind Concurrent Ranking'!$I:$I,MATCH($R49,'Skeet Ind Concurrent Ranking'!$N:$N,0)),""),"")</f>
        <v/>
      </c>
      <c r="U49" s="40" t="str">
        <f>IFERROR(IF(ISNUMBER($R49),INDEX('Skeet Ind Concurrent Ranking'!$F:$F,MATCH($R49,'Skeet Ind Concurrent Ranking'!$N:$N,0)),""),"")</f>
        <v/>
      </c>
    </row>
    <row r="50" spans="1:27" x14ac:dyDescent="0.3">
      <c r="A50" s="1">
        <v>19</v>
      </c>
      <c r="B50" s="1" t="str">
        <f>IFERROR(IF(AND(ISNUMBER($A50),$A50&lt;='Tournament Setup'!$B$29),INDEX('Skeet Ind Concurrent Ranking'!$D:$D,MATCH($A50,'Skeet Ind Concurrent Ranking'!$P:$P,0)),""),"")</f>
        <v/>
      </c>
      <c r="C50" s="40" t="str">
        <f>IFERROR(IF(AND(ISNUMBER($A50),$A50&lt;='Tournament Setup'!$B$29),INDEX('Skeet Ind Concurrent Ranking'!$I:$I,MATCH($A50,'Skeet Ind Concurrent Ranking'!$P:$P,0)),""),"")</f>
        <v/>
      </c>
      <c r="D50" s="11" t="str">
        <f>IFERROR(IF(ISNUMBER($A50),INDEX('Skeet Ind Concurrent Ranking'!$D:$D,MATCH($A50,'Skeet Ind Concurrent Ranking'!$BQ:$BQ,0)),""),"")</f>
        <v/>
      </c>
      <c r="E50" s="40" t="str">
        <f>IFERROR(IF(ISNUMBER($A50),INDEX('Skeet Ind Concurrent Ranking'!$I:$I,MATCH($A50,'Skeet Ind Concurrent Ranking'!$BQ:$BQ,0)),""),"")</f>
        <v/>
      </c>
      <c r="F50" s="11" t="str">
        <f>IFERROR(IF(ISNUMBER($A50),INDEX('Skeet Ind Concurrent Ranking'!$D:$D,MATCH($A50,'Skeet Ind Concurrent Ranking'!$BG:$BG,0)),""),"")</f>
        <v/>
      </c>
      <c r="G50" s="40" t="str">
        <f>IFERROR(IF(ISNUMBER($A50),INDEX('Skeet Ind Concurrent Ranking'!$I:$I,MATCH($A50,'Skeet Ind Concurrent Ranking'!$BG:$BG,0)),""),"")</f>
        <v/>
      </c>
      <c r="H50" s="11" t="str">
        <f>IFERROR(IF(ISNUMBER($A50),INDEX('Skeet Ind Concurrent Ranking'!$D:$D,MATCH($A50,'Skeet Ind Concurrent Ranking'!$AW:$AW,0)),""),"")</f>
        <v/>
      </c>
      <c r="I50" s="40" t="str">
        <f>IFERROR(IF(ISNUMBER($A50),INDEX('Skeet Ind Concurrent Ranking'!$I:$I,MATCH($A50,'Skeet Ind Concurrent Ranking'!$AW:$AW,0)),""),"")</f>
        <v/>
      </c>
      <c r="J50" s="11" t="str">
        <f>IFERROR(IF(ISNUMBER($A50),INDEX('Skeet Ind Concurrent Ranking'!$D:$D,MATCH($A50,'Skeet Ind Concurrent Ranking'!$AM:$AM,0)),""),"")</f>
        <v/>
      </c>
      <c r="K50" s="40" t="str">
        <f>IFERROR(IF(ISNUMBER($A50),INDEX('Skeet Ind Concurrent Ranking'!$I:$I,MATCH($A50,'Skeet Ind Concurrent Ranking'!$AM:$AM,0)),""),"")</f>
        <v/>
      </c>
      <c r="L50" s="11" t="str">
        <f>IFERROR(IF(ISNUMBER($A50),INDEX('Skeet Ind Concurrent Ranking'!$D:$D,MATCH($A50,'Skeet Ind Concurrent Ranking'!$AC:$AC,0)),""),"")</f>
        <v/>
      </c>
      <c r="M50" s="40" t="str">
        <f>IFERROR(IF(ISNUMBER($A50),INDEX('Skeet Ind Concurrent Ranking'!$I:$I,MATCH($A50,'Skeet Ind Concurrent Ranking'!$AC:$AC,0)),""),"")</f>
        <v/>
      </c>
      <c r="N50" s="1">
        <v>44</v>
      </c>
      <c r="O50" s="11" t="str">
        <f>IFERROR(IF(ISNUMBER($N50),INDEX('Skeet Ind Concurrent Ranking'!$D:$D,MATCH($N50,'Skeet Ind Concurrent Ranking'!$N:$N,0)),""),"")</f>
        <v>Chad Last Name39</v>
      </c>
      <c r="P50" s="51">
        <f>IFERROR(IF(ISNUMBER($N50),INDEX('Skeet Ind Concurrent Ranking'!$I:$I,MATCH($N50,'Skeet Ind Concurrent Ranking'!$N:$N,0)),""),"")</f>
        <v>43</v>
      </c>
      <c r="Q50" s="40" t="str">
        <f>IFERROR(IF(ISNUMBER($N50),INDEX('Skeet Ind Concurrent Ranking'!$F:$F,MATCH($N50,'Skeet Ind Concurrent Ranking'!$N:$N,0)),""),"")</f>
        <v>Collegiate</v>
      </c>
      <c r="R50" s="1">
        <v>94</v>
      </c>
      <c r="S50" s="11" t="str">
        <f>IFERROR(IF(ISNUMBER($R50),INDEX('Skeet Ind Concurrent Ranking'!$D:$D,MATCH($R50,'Skeet Ind Concurrent Ranking'!$N:$N,0)),""),"")</f>
        <v/>
      </c>
      <c r="T50" s="51" t="str">
        <f>IFERROR(IF(ISNUMBER($R50),INDEX('Skeet Ind Concurrent Ranking'!$I:$I,MATCH($R50,'Skeet Ind Concurrent Ranking'!$N:$N,0)),""),"")</f>
        <v/>
      </c>
      <c r="U50" s="40" t="str">
        <f>IFERROR(IF(ISNUMBER($R50),INDEX('Skeet Ind Concurrent Ranking'!$F:$F,MATCH($R50,'Skeet Ind Concurrent Ranking'!$N:$N,0)),""),"")</f>
        <v/>
      </c>
      <c r="X50" t="str">
        <f>IFERROR(IF(ISNUMBER($A26),INDEX('Skeet Ind Concurrent Ranking'!$A:$A,MATCH($A26,'Skeet Ind Concurrent Ranking'!$BB:$BB,0)),""),"")</f>
        <v/>
      </c>
      <c r="Y50" t="str">
        <f>IFERROR(IF(ISNUMBER($A26),INDEX('Skeet Ind Concurrent Ranking'!$D:$D,MATCH($A26,'Skeet Ind Concurrent Ranking'!$BB:$BB,0)),""),"")</f>
        <v/>
      </c>
      <c r="Z50" t="s">
        <v>819</v>
      </c>
      <c r="AA50">
        <f>AA48+1</f>
        <v>34</v>
      </c>
    </row>
    <row r="51" spans="1:27" x14ac:dyDescent="0.3">
      <c r="A51" s="1">
        <v>20</v>
      </c>
      <c r="B51" s="1" t="str">
        <f>IFERROR(IF(AND(ISNUMBER($A51),$A51&lt;='Tournament Setup'!$B$29),INDEX('Skeet Ind Concurrent Ranking'!$D:$D,MATCH($A51,'Skeet Ind Concurrent Ranking'!$P:$P,0)),""),"")</f>
        <v/>
      </c>
      <c r="C51" s="40" t="str">
        <f>IFERROR(IF(AND(ISNUMBER($A51),$A51&lt;='Tournament Setup'!$B$29),INDEX('Skeet Ind Concurrent Ranking'!$I:$I,MATCH($A51,'Skeet Ind Concurrent Ranking'!$P:$P,0)),""),"")</f>
        <v/>
      </c>
      <c r="D51" s="11" t="str">
        <f>IFERROR(IF(ISNUMBER($A51),INDEX('Skeet Ind Concurrent Ranking'!$D:$D,MATCH($A51,'Skeet Ind Concurrent Ranking'!$BQ:$BQ,0)),""),"")</f>
        <v/>
      </c>
      <c r="E51" s="40" t="str">
        <f>IFERROR(IF(ISNUMBER($A51),INDEX('Skeet Ind Concurrent Ranking'!$I:$I,MATCH($A51,'Skeet Ind Concurrent Ranking'!$BQ:$BQ,0)),""),"")</f>
        <v/>
      </c>
      <c r="F51" s="11" t="str">
        <f>IFERROR(IF(ISNUMBER($A51),INDEX('Skeet Ind Concurrent Ranking'!$D:$D,MATCH($A51,'Skeet Ind Concurrent Ranking'!$BG:$BG,0)),""),"")</f>
        <v/>
      </c>
      <c r="G51" s="40" t="str">
        <f>IFERROR(IF(ISNUMBER($A51),INDEX('Skeet Ind Concurrent Ranking'!$I:$I,MATCH($A51,'Skeet Ind Concurrent Ranking'!$BG:$BG,0)),""),"")</f>
        <v/>
      </c>
      <c r="H51" s="11" t="str">
        <f>IFERROR(IF(ISNUMBER($A51),INDEX('Skeet Ind Concurrent Ranking'!$D:$D,MATCH($A51,'Skeet Ind Concurrent Ranking'!$AW:$AW,0)),""),"")</f>
        <v/>
      </c>
      <c r="I51" s="40" t="str">
        <f>IFERROR(IF(ISNUMBER($A51),INDEX('Skeet Ind Concurrent Ranking'!$I:$I,MATCH($A51,'Skeet Ind Concurrent Ranking'!$AW:$AW,0)),""),"")</f>
        <v/>
      </c>
      <c r="J51" s="11" t="str">
        <f>IFERROR(IF(ISNUMBER($A51),INDEX('Skeet Ind Concurrent Ranking'!$D:$D,MATCH($A51,'Skeet Ind Concurrent Ranking'!$AM:$AM,0)),""),"")</f>
        <v/>
      </c>
      <c r="K51" s="40" t="str">
        <f>IFERROR(IF(ISNUMBER($A51),INDEX('Skeet Ind Concurrent Ranking'!$I:$I,MATCH($A51,'Skeet Ind Concurrent Ranking'!$AM:$AM,0)),""),"")</f>
        <v/>
      </c>
      <c r="L51" s="11" t="str">
        <f>IFERROR(IF(ISNUMBER($A51),INDEX('Skeet Ind Concurrent Ranking'!$D:$D,MATCH($A51,'Skeet Ind Concurrent Ranking'!$AC:$AC,0)),""),"")</f>
        <v/>
      </c>
      <c r="M51" s="40" t="str">
        <f>IFERROR(IF(ISNUMBER($A51),INDEX('Skeet Ind Concurrent Ranking'!$I:$I,MATCH($A51,'Skeet Ind Concurrent Ranking'!$AC:$AC,0)),""),"")</f>
        <v/>
      </c>
      <c r="N51" s="1">
        <v>45</v>
      </c>
      <c r="O51" s="11" t="str">
        <f>IFERROR(IF(ISNUMBER($N51),INDEX('Skeet Ind Concurrent Ranking'!$D:$D,MATCH($N51,'Skeet Ind Concurrent Ranking'!$N:$N,0)),""),"")</f>
        <v>Paul Last Name16</v>
      </c>
      <c r="P51" s="51">
        <f>IFERROR(IF(ISNUMBER($N51),INDEX('Skeet Ind Concurrent Ranking'!$I:$I,MATCH($N51,'Skeet Ind Concurrent Ranking'!$N:$N,0)),""),"")</f>
        <v>42</v>
      </c>
      <c r="Q51" s="40" t="str">
        <f>IFERROR(IF(ISNUMBER($N51),INDEX('Skeet Ind Concurrent Ranking'!$F:$F,MATCH($N51,'Skeet Ind Concurrent Ranking'!$N:$N,0)),""),"")</f>
        <v>Varsity</v>
      </c>
      <c r="R51" s="1">
        <v>95</v>
      </c>
      <c r="S51" s="11" t="str">
        <f>IFERROR(IF(ISNUMBER($R51),INDEX('Skeet Ind Concurrent Ranking'!$D:$D,MATCH($R51,'Skeet Ind Concurrent Ranking'!$N:$N,0)),""),"")</f>
        <v/>
      </c>
      <c r="T51" s="51" t="str">
        <f>IFERROR(IF(ISNUMBER($R51),INDEX('Skeet Ind Concurrent Ranking'!$I:$I,MATCH($R51,'Skeet Ind Concurrent Ranking'!$N:$N,0)),""),"")</f>
        <v/>
      </c>
      <c r="U51" s="40" t="str">
        <f>IFERROR(IF(ISNUMBER($R51),INDEX('Skeet Ind Concurrent Ranking'!$F:$F,MATCH($R51,'Skeet Ind Concurrent Ranking'!$N:$N,0)),""),"")</f>
        <v/>
      </c>
      <c r="X51" t="str">
        <f>IFERROR(IF(ISNUMBER($A27),INDEX('Skeet Ind Concurrent Ranking'!$A:$A,MATCH($A27,'Skeet Ind Concurrent Ranking'!$BB:$BB,0)),""),"")</f>
        <v/>
      </c>
      <c r="Y51" t="str">
        <f>IFERROR(IF(ISNUMBER($A27),INDEX('Skeet Ind Concurrent Ranking'!$D:$D,MATCH($A27,'Skeet Ind Concurrent Ranking'!$BB:$BB,0)),""),"")</f>
        <v/>
      </c>
      <c r="Z51" t="s">
        <v>820</v>
      </c>
      <c r="AA51">
        <f>AA50+1</f>
        <v>35</v>
      </c>
    </row>
    <row r="52" spans="1:27" x14ac:dyDescent="0.3">
      <c r="A52" s="1">
        <v>21</v>
      </c>
      <c r="B52" s="1" t="str">
        <f>IFERROR(IF(AND(ISNUMBER($A52),$A52&lt;='Tournament Setup'!$B$29),INDEX('Skeet Ind Concurrent Ranking'!$D:$D,MATCH($A52,'Skeet Ind Concurrent Ranking'!$P:$P,0)),""),"")</f>
        <v/>
      </c>
      <c r="C52" s="40" t="str">
        <f>IFERROR(IF(AND(ISNUMBER($A52),$A52&lt;='Tournament Setup'!$B$29),INDEX('Skeet Ind Concurrent Ranking'!$I:$I,MATCH($A52,'Skeet Ind Concurrent Ranking'!$P:$P,0)),""),"")</f>
        <v/>
      </c>
      <c r="D52" s="11" t="str">
        <f>IFERROR(IF(ISNUMBER($A52),INDEX('Skeet Ind Concurrent Ranking'!$D:$D,MATCH($A52,'Skeet Ind Concurrent Ranking'!$BQ:$BQ,0)),""),"")</f>
        <v/>
      </c>
      <c r="E52" s="40" t="str">
        <f>IFERROR(IF(ISNUMBER($A52),INDEX('Skeet Ind Concurrent Ranking'!$I:$I,MATCH($A52,'Skeet Ind Concurrent Ranking'!$BQ:$BQ,0)),""),"")</f>
        <v/>
      </c>
      <c r="F52" s="11" t="str">
        <f>IFERROR(IF(ISNUMBER($A52),INDEX('Skeet Ind Concurrent Ranking'!$D:$D,MATCH($A52,'Skeet Ind Concurrent Ranking'!$BG:$BG,0)),""),"")</f>
        <v/>
      </c>
      <c r="G52" s="40" t="str">
        <f>IFERROR(IF(ISNUMBER($A52),INDEX('Skeet Ind Concurrent Ranking'!$I:$I,MATCH($A52,'Skeet Ind Concurrent Ranking'!$BG:$BG,0)),""),"")</f>
        <v/>
      </c>
      <c r="H52" s="11" t="str">
        <f>IFERROR(IF(ISNUMBER($A52),INDEX('Skeet Ind Concurrent Ranking'!$D:$D,MATCH($A52,'Skeet Ind Concurrent Ranking'!$AW:$AW,0)),""),"")</f>
        <v/>
      </c>
      <c r="I52" s="40" t="str">
        <f>IFERROR(IF(ISNUMBER($A52),INDEX('Skeet Ind Concurrent Ranking'!$I:$I,MATCH($A52,'Skeet Ind Concurrent Ranking'!$AW:$AW,0)),""),"")</f>
        <v/>
      </c>
      <c r="J52" s="11" t="str">
        <f>IFERROR(IF(ISNUMBER($A52),INDEX('Skeet Ind Concurrent Ranking'!$D:$D,MATCH($A52,'Skeet Ind Concurrent Ranking'!$AM:$AM,0)),""),"")</f>
        <v/>
      </c>
      <c r="K52" s="40" t="str">
        <f>IFERROR(IF(ISNUMBER($A52),INDEX('Skeet Ind Concurrent Ranking'!$I:$I,MATCH($A52,'Skeet Ind Concurrent Ranking'!$AM:$AM,0)),""),"")</f>
        <v/>
      </c>
      <c r="L52" s="11" t="str">
        <f>IFERROR(IF(ISNUMBER($A52),INDEX('Skeet Ind Concurrent Ranking'!$D:$D,MATCH($A52,'Skeet Ind Concurrent Ranking'!$AC:$AC,0)),""),"")</f>
        <v/>
      </c>
      <c r="M52" s="40" t="str">
        <f>IFERROR(IF(ISNUMBER($A52),INDEX('Skeet Ind Concurrent Ranking'!$I:$I,MATCH($A52,'Skeet Ind Concurrent Ranking'!$AC:$AC,0)),""),"")</f>
        <v/>
      </c>
      <c r="N52" s="1">
        <v>46</v>
      </c>
      <c r="O52" s="11" t="str">
        <f>IFERROR(IF(ISNUMBER($N52),INDEX('Skeet Ind Concurrent Ranking'!$D:$D,MATCH($N52,'Skeet Ind Concurrent Ranking'!$N:$N,0)),""),"")</f>
        <v>Chris Last Name20</v>
      </c>
      <c r="P52" s="51">
        <f>IFERROR(IF(ISNUMBER($N52),INDEX('Skeet Ind Concurrent Ranking'!$I:$I,MATCH($N52,'Skeet Ind Concurrent Ranking'!$N:$N,0)),""),"")</f>
        <v>32.1</v>
      </c>
      <c r="Q52" s="40" t="str">
        <f>IFERROR(IF(ISNUMBER($N52),INDEX('Skeet Ind Concurrent Ranking'!$F:$F,MATCH($N52,'Skeet Ind Concurrent Ranking'!$N:$N,0)),""),"")</f>
        <v>Junior Varsity</v>
      </c>
      <c r="R52" s="1">
        <v>96</v>
      </c>
      <c r="S52" s="11" t="str">
        <f>IFERROR(IF(ISNUMBER($R52),INDEX('Skeet Ind Concurrent Ranking'!$D:$D,MATCH($R52,'Skeet Ind Concurrent Ranking'!$N:$N,0)),""),"")</f>
        <v/>
      </c>
      <c r="T52" s="51" t="str">
        <f>IFERROR(IF(ISNUMBER($R52),INDEX('Skeet Ind Concurrent Ranking'!$I:$I,MATCH($R52,'Skeet Ind Concurrent Ranking'!$N:$N,0)),""),"")</f>
        <v/>
      </c>
      <c r="U52" s="40" t="str">
        <f>IFERROR(IF(ISNUMBER($R52),INDEX('Skeet Ind Concurrent Ranking'!$F:$F,MATCH($R52,'Skeet Ind Concurrent Ranking'!$N:$N,0)),""),"")</f>
        <v/>
      </c>
      <c r="X52" t="str">
        <f>IFERROR(IF(ISNUMBER($A28),INDEX('Skeet Ind Concurrent Ranking'!$A:$A,MATCH($A28,'Skeet Ind Concurrent Ranking'!$BB:$BB,0)),""),"")</f>
        <v/>
      </c>
      <c r="Y52" t="str">
        <f>IFERROR(IF(ISNUMBER($A28),INDEX('Skeet Ind Concurrent Ranking'!$D:$D,MATCH($A28,'Skeet Ind Concurrent Ranking'!$BB:$BB,0)),""),"")</f>
        <v/>
      </c>
      <c r="Z52" t="s">
        <v>821</v>
      </c>
      <c r="AA52">
        <f>AA51+1</f>
        <v>36</v>
      </c>
    </row>
    <row r="53" spans="1:27" x14ac:dyDescent="0.3">
      <c r="A53" s="1">
        <v>22</v>
      </c>
      <c r="B53" s="1" t="str">
        <f>IFERROR(IF(AND(ISNUMBER($A53),$A53&lt;='Tournament Setup'!$B$29),INDEX('Skeet Ind Concurrent Ranking'!$D:$D,MATCH($A53,'Skeet Ind Concurrent Ranking'!$P:$P,0)),""),"")</f>
        <v/>
      </c>
      <c r="C53" s="40" t="str">
        <f>IFERROR(IF(AND(ISNUMBER($A53),$A53&lt;='Tournament Setup'!$B$29),INDEX('Skeet Ind Concurrent Ranking'!$I:$I,MATCH($A53,'Skeet Ind Concurrent Ranking'!$P:$P,0)),""),"")</f>
        <v/>
      </c>
      <c r="D53" s="11" t="str">
        <f>IFERROR(IF(ISNUMBER($A53),INDEX('Skeet Ind Concurrent Ranking'!$D:$D,MATCH($A53,'Skeet Ind Concurrent Ranking'!$BQ:$BQ,0)),""),"")</f>
        <v/>
      </c>
      <c r="E53" s="40" t="str">
        <f>IFERROR(IF(ISNUMBER($A53),INDEX('Skeet Ind Concurrent Ranking'!$I:$I,MATCH($A53,'Skeet Ind Concurrent Ranking'!$BQ:$BQ,0)),""),"")</f>
        <v/>
      </c>
      <c r="F53" s="11" t="str">
        <f>IFERROR(IF(ISNUMBER($A53),INDEX('Skeet Ind Concurrent Ranking'!$D:$D,MATCH($A53,'Skeet Ind Concurrent Ranking'!$BG:$BG,0)),""),"")</f>
        <v/>
      </c>
      <c r="G53" s="40" t="str">
        <f>IFERROR(IF(ISNUMBER($A53),INDEX('Skeet Ind Concurrent Ranking'!$I:$I,MATCH($A53,'Skeet Ind Concurrent Ranking'!$BG:$BG,0)),""),"")</f>
        <v/>
      </c>
      <c r="H53" s="11" t="str">
        <f>IFERROR(IF(ISNUMBER($A53),INDEX('Skeet Ind Concurrent Ranking'!$D:$D,MATCH($A53,'Skeet Ind Concurrent Ranking'!$AW:$AW,0)),""),"")</f>
        <v/>
      </c>
      <c r="I53" s="40" t="str">
        <f>IFERROR(IF(ISNUMBER($A53),INDEX('Skeet Ind Concurrent Ranking'!$I:$I,MATCH($A53,'Skeet Ind Concurrent Ranking'!$AW:$AW,0)),""),"")</f>
        <v/>
      </c>
      <c r="J53" s="11" t="str">
        <f>IFERROR(IF(ISNUMBER($A53),INDEX('Skeet Ind Concurrent Ranking'!$D:$D,MATCH($A53,'Skeet Ind Concurrent Ranking'!$AM:$AM,0)),""),"")</f>
        <v/>
      </c>
      <c r="K53" s="40" t="str">
        <f>IFERROR(IF(ISNUMBER($A53),INDEX('Skeet Ind Concurrent Ranking'!$I:$I,MATCH($A53,'Skeet Ind Concurrent Ranking'!$AM:$AM,0)),""),"")</f>
        <v/>
      </c>
      <c r="L53" s="11" t="str">
        <f>IFERROR(IF(ISNUMBER($A53),INDEX('Skeet Ind Concurrent Ranking'!$D:$D,MATCH($A53,'Skeet Ind Concurrent Ranking'!$AC:$AC,0)),""),"")</f>
        <v/>
      </c>
      <c r="M53" s="40" t="str">
        <f>IFERROR(IF(ISNUMBER($A53),INDEX('Skeet Ind Concurrent Ranking'!$I:$I,MATCH($A53,'Skeet Ind Concurrent Ranking'!$AC:$AC,0)),""),"")</f>
        <v/>
      </c>
      <c r="N53" s="1">
        <v>47</v>
      </c>
      <c r="O53" s="11" t="str">
        <f>IFERROR(IF(ISNUMBER($N53),INDEX('Skeet Ind Concurrent Ranking'!$D:$D,MATCH($N53,'Skeet Ind Concurrent Ranking'!$N:$N,0)),""),"")</f>
        <v>Sam Last Name46</v>
      </c>
      <c r="P53" s="51">
        <f>IFERROR(IF(ISNUMBER($N53),INDEX('Skeet Ind Concurrent Ranking'!$I:$I,MATCH($N53,'Skeet Ind Concurrent Ranking'!$N:$N,0)),""),"")</f>
        <v>32</v>
      </c>
      <c r="Q53" s="40" t="str">
        <f>IFERROR(IF(ISNUMBER($N53),INDEX('Skeet Ind Concurrent Ranking'!$F:$F,MATCH($N53,'Skeet Ind Concurrent Ranking'!$N:$N,0)),""),"")</f>
        <v>Varsity</v>
      </c>
      <c r="R53" s="1">
        <v>97</v>
      </c>
      <c r="S53" s="11" t="str">
        <f>IFERROR(IF(ISNUMBER($R53),INDEX('Skeet Ind Concurrent Ranking'!$D:$D,MATCH($R53,'Skeet Ind Concurrent Ranking'!$N:$N,0)),""),"")</f>
        <v/>
      </c>
      <c r="T53" s="51" t="str">
        <f>IFERROR(IF(ISNUMBER($R53),INDEX('Skeet Ind Concurrent Ranking'!$I:$I,MATCH($R53,'Skeet Ind Concurrent Ranking'!$N:$N,0)),""),"")</f>
        <v/>
      </c>
      <c r="U53" s="40" t="str">
        <f>IFERROR(IF(ISNUMBER($R53),INDEX('Skeet Ind Concurrent Ranking'!$F:$F,MATCH($R53,'Skeet Ind Concurrent Ranking'!$N:$N,0)),""),"")</f>
        <v/>
      </c>
    </row>
    <row r="54" spans="1:27" x14ac:dyDescent="0.3">
      <c r="A54" s="1">
        <v>23</v>
      </c>
      <c r="B54" s="1" t="str">
        <f>IFERROR(IF(AND(ISNUMBER($A54),$A54&lt;='Tournament Setup'!$B$29),INDEX('Skeet Ind Concurrent Ranking'!$D:$D,MATCH($A54,'Skeet Ind Concurrent Ranking'!$P:$P,0)),""),"")</f>
        <v/>
      </c>
      <c r="C54" s="40" t="str">
        <f>IFERROR(IF(AND(ISNUMBER($A54),$A54&lt;='Tournament Setup'!$B$29),INDEX('Skeet Ind Concurrent Ranking'!$I:$I,MATCH($A54,'Skeet Ind Concurrent Ranking'!$P:$P,0)),""),"")</f>
        <v/>
      </c>
      <c r="D54" s="11" t="str">
        <f>IFERROR(IF(ISNUMBER($A54),INDEX('Skeet Ind Concurrent Ranking'!$D:$D,MATCH($A54,'Skeet Ind Concurrent Ranking'!$BQ:$BQ,0)),""),"")</f>
        <v/>
      </c>
      <c r="E54" s="40" t="str">
        <f>IFERROR(IF(ISNUMBER($A54),INDEX('Skeet Ind Concurrent Ranking'!$I:$I,MATCH($A54,'Skeet Ind Concurrent Ranking'!$BQ:$BQ,0)),""),"")</f>
        <v/>
      </c>
      <c r="F54" s="11" t="str">
        <f>IFERROR(IF(ISNUMBER($A54),INDEX('Skeet Ind Concurrent Ranking'!$D:$D,MATCH($A54,'Skeet Ind Concurrent Ranking'!$BG:$BG,0)),""),"")</f>
        <v/>
      </c>
      <c r="G54" s="40" t="str">
        <f>IFERROR(IF(ISNUMBER($A54),INDEX('Skeet Ind Concurrent Ranking'!$I:$I,MATCH($A54,'Skeet Ind Concurrent Ranking'!$BG:$BG,0)),""),"")</f>
        <v/>
      </c>
      <c r="H54" s="11" t="str">
        <f>IFERROR(IF(ISNUMBER($A54),INDEX('Skeet Ind Concurrent Ranking'!$D:$D,MATCH($A54,'Skeet Ind Concurrent Ranking'!$AW:$AW,0)),""),"")</f>
        <v/>
      </c>
      <c r="I54" s="40" t="str">
        <f>IFERROR(IF(ISNUMBER($A54),INDEX('Skeet Ind Concurrent Ranking'!$I:$I,MATCH($A54,'Skeet Ind Concurrent Ranking'!$AW:$AW,0)),""),"")</f>
        <v/>
      </c>
      <c r="J54" s="11" t="str">
        <f>IFERROR(IF(ISNUMBER($A54),INDEX('Skeet Ind Concurrent Ranking'!$D:$D,MATCH($A54,'Skeet Ind Concurrent Ranking'!$AM:$AM,0)),""),"")</f>
        <v/>
      </c>
      <c r="K54" s="40" t="str">
        <f>IFERROR(IF(ISNUMBER($A54),INDEX('Skeet Ind Concurrent Ranking'!$I:$I,MATCH($A54,'Skeet Ind Concurrent Ranking'!$AM:$AM,0)),""),"")</f>
        <v/>
      </c>
      <c r="L54" s="11" t="str">
        <f>IFERROR(IF(ISNUMBER($A54),INDEX('Skeet Ind Concurrent Ranking'!$D:$D,MATCH($A54,'Skeet Ind Concurrent Ranking'!$AC:$AC,0)),""),"")</f>
        <v/>
      </c>
      <c r="M54" s="40" t="str">
        <f>IFERROR(IF(ISNUMBER($A54),INDEX('Skeet Ind Concurrent Ranking'!$I:$I,MATCH($A54,'Skeet Ind Concurrent Ranking'!$AC:$AC,0)),""),"")</f>
        <v/>
      </c>
      <c r="N54" s="1">
        <v>48</v>
      </c>
      <c r="O54" s="11" t="str">
        <f>IFERROR(IF(ISNUMBER($N54),INDEX('Skeet Ind Concurrent Ranking'!$D:$D,MATCH($N54,'Skeet Ind Concurrent Ranking'!$N:$N,0)),""),"")</f>
        <v>Kelly Last Name32</v>
      </c>
      <c r="P54" s="51">
        <f>IFERROR(IF(ISNUMBER($N54),INDEX('Skeet Ind Concurrent Ranking'!$I:$I,MATCH($N54,'Skeet Ind Concurrent Ranking'!$N:$N,0)),""),"")</f>
        <v>29</v>
      </c>
      <c r="Q54" s="40" t="str">
        <f>IFERROR(IF(ISNUMBER($N54),INDEX('Skeet Ind Concurrent Ranking'!$F:$F,MATCH($N54,'Skeet Ind Concurrent Ranking'!$N:$N,0)),""),"")</f>
        <v>Intermediate</v>
      </c>
      <c r="R54" s="1">
        <v>98</v>
      </c>
      <c r="S54" s="11" t="str">
        <f>IFERROR(IF(ISNUMBER($R54),INDEX('Skeet Ind Concurrent Ranking'!$D:$D,MATCH($R54,'Skeet Ind Concurrent Ranking'!$N:$N,0)),""),"")</f>
        <v/>
      </c>
      <c r="T54" s="51" t="str">
        <f>IFERROR(IF(ISNUMBER($R54),INDEX('Skeet Ind Concurrent Ranking'!$I:$I,MATCH($R54,'Skeet Ind Concurrent Ranking'!$N:$N,0)),""),"")</f>
        <v/>
      </c>
      <c r="U54" s="40" t="str">
        <f>IFERROR(IF(ISNUMBER($R54),INDEX('Skeet Ind Concurrent Ranking'!$F:$F,MATCH($R54,'Skeet Ind Concurrent Ranking'!$N:$N,0)),""),"")</f>
        <v/>
      </c>
      <c r="X54" t="str">
        <f>IFERROR(IF(ISNUMBER($A18),INDEX('Skeet Ind Concurrent Ranking'!$A:$A,MATCH($A18,'Skeet Ind Concurrent Ranking'!$AN:$AN,0)),""),"")</f>
        <v>24-1042</v>
      </c>
      <c r="Y54" t="str">
        <f>IFERROR(IF(ISNUMBER($A18),INDEX('Skeet Ind Concurrent Ranking'!$D:$D,MATCH($A18,'Skeet Ind Concurrent Ranking'!$AN:$AN,0)),""),"")</f>
        <v>Terry Last Name43</v>
      </c>
      <c r="Z54" t="s">
        <v>822</v>
      </c>
      <c r="AA54">
        <f>AA52+1</f>
        <v>37</v>
      </c>
    </row>
    <row r="55" spans="1:27" x14ac:dyDescent="0.3">
      <c r="A55" s="1">
        <v>24</v>
      </c>
      <c r="B55" s="1" t="str">
        <f>IFERROR(IF(AND(ISNUMBER($A55),$A55&lt;='Tournament Setup'!$B$29),INDEX('Skeet Ind Concurrent Ranking'!$D:$D,MATCH($A55,'Skeet Ind Concurrent Ranking'!$P:$P,0)),""),"")</f>
        <v/>
      </c>
      <c r="C55" s="40" t="str">
        <f>IFERROR(IF(AND(ISNUMBER($A55),$A55&lt;='Tournament Setup'!$B$29),INDEX('Skeet Ind Concurrent Ranking'!$I:$I,MATCH($A55,'Skeet Ind Concurrent Ranking'!$P:$P,0)),""),"")</f>
        <v/>
      </c>
      <c r="D55" s="11" t="str">
        <f>IFERROR(IF(ISNUMBER($A55),INDEX('Skeet Ind Concurrent Ranking'!$D:$D,MATCH($A55,'Skeet Ind Concurrent Ranking'!$BQ:$BQ,0)),""),"")</f>
        <v/>
      </c>
      <c r="E55" s="40" t="str">
        <f>IFERROR(IF(ISNUMBER($A55),INDEX('Skeet Ind Concurrent Ranking'!$I:$I,MATCH($A55,'Skeet Ind Concurrent Ranking'!$BQ:$BQ,0)),""),"")</f>
        <v/>
      </c>
      <c r="F55" s="11" t="str">
        <f>IFERROR(IF(ISNUMBER($A55),INDEX('Skeet Ind Concurrent Ranking'!$D:$D,MATCH($A55,'Skeet Ind Concurrent Ranking'!$BG:$BG,0)),""),"")</f>
        <v/>
      </c>
      <c r="G55" s="40" t="str">
        <f>IFERROR(IF(ISNUMBER($A55),INDEX('Skeet Ind Concurrent Ranking'!$I:$I,MATCH($A55,'Skeet Ind Concurrent Ranking'!$BG:$BG,0)),""),"")</f>
        <v/>
      </c>
      <c r="H55" s="11" t="str">
        <f>IFERROR(IF(ISNUMBER($A55),INDEX('Skeet Ind Concurrent Ranking'!$D:$D,MATCH($A55,'Skeet Ind Concurrent Ranking'!$AW:$AW,0)),""),"")</f>
        <v/>
      </c>
      <c r="I55" s="40" t="str">
        <f>IFERROR(IF(ISNUMBER($A55),INDEX('Skeet Ind Concurrent Ranking'!$I:$I,MATCH($A55,'Skeet Ind Concurrent Ranking'!$AW:$AW,0)),""),"")</f>
        <v/>
      </c>
      <c r="J55" s="11" t="str">
        <f>IFERROR(IF(ISNUMBER($A55),INDEX('Skeet Ind Concurrent Ranking'!$D:$D,MATCH($A55,'Skeet Ind Concurrent Ranking'!$AM:$AM,0)),""),"")</f>
        <v/>
      </c>
      <c r="K55" s="40" t="str">
        <f>IFERROR(IF(ISNUMBER($A55),INDEX('Skeet Ind Concurrent Ranking'!$I:$I,MATCH($A55,'Skeet Ind Concurrent Ranking'!$AM:$AM,0)),""),"")</f>
        <v/>
      </c>
      <c r="L55" s="11" t="str">
        <f>IFERROR(IF(ISNUMBER($A55),INDEX('Skeet Ind Concurrent Ranking'!$D:$D,MATCH($A55,'Skeet Ind Concurrent Ranking'!$AC:$AC,0)),""),"")</f>
        <v/>
      </c>
      <c r="M55" s="40" t="str">
        <f>IFERROR(IF(ISNUMBER($A55),INDEX('Skeet Ind Concurrent Ranking'!$I:$I,MATCH($A55,'Skeet Ind Concurrent Ranking'!$AC:$AC,0)),""),"")</f>
        <v/>
      </c>
      <c r="N55" s="1">
        <v>49</v>
      </c>
      <c r="O55" s="11" t="str">
        <f>IFERROR(IF(ISNUMBER($N55),INDEX('Skeet Ind Concurrent Ranking'!$D:$D,MATCH($N55,'Skeet Ind Concurrent Ranking'!$N:$N,0)),""),"")</f>
        <v/>
      </c>
      <c r="P55" s="51" t="str">
        <f>IFERROR(IF(ISNUMBER($N55),INDEX('Skeet Ind Concurrent Ranking'!$I:$I,MATCH($N55,'Skeet Ind Concurrent Ranking'!$N:$N,0)),""),"")</f>
        <v/>
      </c>
      <c r="Q55" s="40" t="str">
        <f>IFERROR(IF(ISNUMBER($N55),INDEX('Skeet Ind Concurrent Ranking'!$F:$F,MATCH($N55,'Skeet Ind Concurrent Ranking'!$N:$N,0)),""),"")</f>
        <v/>
      </c>
      <c r="R55" s="1">
        <v>99</v>
      </c>
      <c r="S55" s="11" t="str">
        <f>IFERROR(IF(ISNUMBER($R55),INDEX('Skeet Ind Concurrent Ranking'!$D:$D,MATCH($R55,'Skeet Ind Concurrent Ranking'!$N:$N,0)),""),"")</f>
        <v/>
      </c>
      <c r="T55" s="51" t="str">
        <f>IFERROR(IF(ISNUMBER($R55),INDEX('Skeet Ind Concurrent Ranking'!$I:$I,MATCH($R55,'Skeet Ind Concurrent Ranking'!$N:$N,0)),""),"")</f>
        <v/>
      </c>
      <c r="U55" s="40" t="str">
        <f>IFERROR(IF(ISNUMBER($R55),INDEX('Skeet Ind Concurrent Ranking'!$F:$F,MATCH($R55,'Skeet Ind Concurrent Ranking'!$N:$N,0)),""),"")</f>
        <v/>
      </c>
      <c r="X55" t="str">
        <f>IFERROR(IF(ISNUMBER($A19),INDEX('Skeet Ind Concurrent Ranking'!$A:$A,MATCH($A19,'Skeet Ind Concurrent Ranking'!$AN:$AN,0)),""),"")</f>
        <v>24-1013</v>
      </c>
      <c r="Y55" t="str">
        <f>IFERROR(IF(ISNUMBER($A19),INDEX('Skeet Ind Concurrent Ranking'!$D:$D,MATCH($A19,'Skeet Ind Concurrent Ranking'!$AN:$AN,0)),""),"")</f>
        <v>Henry Last Name14</v>
      </c>
      <c r="Z55" t="s">
        <v>823</v>
      </c>
      <c r="AA55">
        <f>AA54+1</f>
        <v>38</v>
      </c>
    </row>
    <row r="56" spans="1:27" x14ac:dyDescent="0.3">
      <c r="A56" s="1">
        <v>25</v>
      </c>
      <c r="B56" s="1" t="str">
        <f>IFERROR(IF(AND(ISNUMBER($A56),$A56&lt;='Tournament Setup'!$B$29),INDEX('Skeet Ind Concurrent Ranking'!$D:$D,MATCH($A56,'Skeet Ind Concurrent Ranking'!$P:$P,0)),""),"")</f>
        <v/>
      </c>
      <c r="C56" s="40" t="str">
        <f>IFERROR(IF(AND(ISNUMBER($A56),$A56&lt;='Tournament Setup'!$B$29),INDEX('Skeet Ind Concurrent Ranking'!$I:$I,MATCH($A56,'Skeet Ind Concurrent Ranking'!$P:$P,0)),""),"")</f>
        <v/>
      </c>
      <c r="D56" s="11" t="str">
        <f>IFERROR(IF(ISNUMBER($A56),INDEX('Skeet Ind Concurrent Ranking'!$D:$D,MATCH($A56,'Skeet Ind Concurrent Ranking'!$BQ:$BQ,0)),""),"")</f>
        <v/>
      </c>
      <c r="E56" s="40" t="str">
        <f>IFERROR(IF(ISNUMBER($A56),INDEX('Skeet Ind Concurrent Ranking'!$I:$I,MATCH($A56,'Skeet Ind Concurrent Ranking'!$BQ:$BQ,0)),""),"")</f>
        <v/>
      </c>
      <c r="F56" s="11" t="str">
        <f>IFERROR(IF(ISNUMBER($A56),INDEX('Skeet Ind Concurrent Ranking'!$D:$D,MATCH($A56,'Skeet Ind Concurrent Ranking'!$BG:$BG,0)),""),"")</f>
        <v/>
      </c>
      <c r="G56" s="40" t="str">
        <f>IFERROR(IF(ISNUMBER($A56),INDEX('Skeet Ind Concurrent Ranking'!$I:$I,MATCH($A56,'Skeet Ind Concurrent Ranking'!$BG:$BG,0)),""),"")</f>
        <v/>
      </c>
      <c r="H56" s="11" t="str">
        <f>IFERROR(IF(ISNUMBER($A56),INDEX('Skeet Ind Concurrent Ranking'!$D:$D,MATCH($A56,'Skeet Ind Concurrent Ranking'!$AW:$AW,0)),""),"")</f>
        <v/>
      </c>
      <c r="I56" s="40" t="str">
        <f>IFERROR(IF(ISNUMBER($A56),INDEX('Skeet Ind Concurrent Ranking'!$I:$I,MATCH($A56,'Skeet Ind Concurrent Ranking'!$AW:$AW,0)),""),"")</f>
        <v/>
      </c>
      <c r="J56" s="11" t="str">
        <f>IFERROR(IF(ISNUMBER($A56),INDEX('Skeet Ind Concurrent Ranking'!$D:$D,MATCH($A56,'Skeet Ind Concurrent Ranking'!$AM:$AM,0)),""),"")</f>
        <v/>
      </c>
      <c r="K56" s="40" t="str">
        <f>IFERROR(IF(ISNUMBER($A56),INDEX('Skeet Ind Concurrent Ranking'!$I:$I,MATCH($A56,'Skeet Ind Concurrent Ranking'!$AM:$AM,0)),""),"")</f>
        <v/>
      </c>
      <c r="L56" s="11" t="str">
        <f>IFERROR(IF(ISNUMBER($A56),INDEX('Skeet Ind Concurrent Ranking'!$D:$D,MATCH($A56,'Skeet Ind Concurrent Ranking'!$AC:$AC,0)),""),"")</f>
        <v/>
      </c>
      <c r="M56" s="40" t="str">
        <f>IFERROR(IF(ISNUMBER($A56),INDEX('Skeet Ind Concurrent Ranking'!$I:$I,MATCH($A56,'Skeet Ind Concurrent Ranking'!$AC:$AC,0)),""),"")</f>
        <v/>
      </c>
      <c r="N56" s="1">
        <v>50</v>
      </c>
      <c r="O56" s="11" t="str">
        <f>IFERROR(IF(ISNUMBER($N56),INDEX('Skeet Ind Concurrent Ranking'!$D:$D,MATCH($N56,'Skeet Ind Concurrent Ranking'!$N:$N,0)),""),"")</f>
        <v/>
      </c>
      <c r="P56" s="51" t="str">
        <f>IFERROR(IF(ISNUMBER($N56),INDEX('Skeet Ind Concurrent Ranking'!$I:$I,MATCH($N56,'Skeet Ind Concurrent Ranking'!$N:$N,0)),""),"")</f>
        <v/>
      </c>
      <c r="Q56" s="40" t="str">
        <f>IFERROR(IF(ISNUMBER($N56),INDEX('Skeet Ind Concurrent Ranking'!$F:$F,MATCH($N56,'Skeet Ind Concurrent Ranking'!$N:$N,0)),""),"")</f>
        <v/>
      </c>
      <c r="R56" s="1">
        <v>100</v>
      </c>
      <c r="S56" s="11" t="str">
        <f>IFERROR(IF(ISNUMBER($R56),INDEX('Skeet Ind Concurrent Ranking'!$D:$D,MATCH($R56,'Skeet Ind Concurrent Ranking'!$N:$N,0)),""),"")</f>
        <v/>
      </c>
      <c r="T56" s="51" t="str">
        <f>IFERROR(IF(ISNUMBER($R56),INDEX('Skeet Ind Concurrent Ranking'!$I:$I,MATCH($R56,'Skeet Ind Concurrent Ranking'!$N:$N,0)),""),"")</f>
        <v/>
      </c>
      <c r="U56" s="40" t="str">
        <f>IFERROR(IF(ISNUMBER($R56),INDEX('Skeet Ind Concurrent Ranking'!$F:$F,MATCH($R56,'Skeet Ind Concurrent Ranking'!$N:$N,0)),""),"")</f>
        <v/>
      </c>
      <c r="X56" t="str">
        <f>IFERROR(IF(ISNUMBER($A20),INDEX('Skeet Ind Concurrent Ranking'!$A:$A,MATCH($A20,'Skeet Ind Concurrent Ranking'!$AN:$AN,0)),""),"")</f>
        <v>24-1043</v>
      </c>
      <c r="Y56" t="str">
        <f>IFERROR(IF(ISNUMBER($A20),INDEX('Skeet Ind Concurrent Ranking'!$D:$D,MATCH($A20,'Skeet Ind Concurrent Ranking'!$AN:$AN,0)),""),"")</f>
        <v>Trisha Last Name44</v>
      </c>
      <c r="Z56" t="s">
        <v>824</v>
      </c>
      <c r="AA56">
        <f>AA55+1</f>
        <v>39</v>
      </c>
    </row>
    <row r="57" spans="1:27" x14ac:dyDescent="0.3">
      <c r="A57" s="34"/>
      <c r="B57" s="34"/>
      <c r="C57" s="34"/>
      <c r="D57" s="34"/>
      <c r="E57" s="33"/>
      <c r="F57" s="34"/>
      <c r="G57" s="33"/>
      <c r="H57" s="34"/>
      <c r="I57" s="33"/>
      <c r="J57" s="34"/>
      <c r="K57" s="33"/>
      <c r="L57" s="34"/>
      <c r="M57" s="33"/>
      <c r="N57" s="33"/>
      <c r="O57" s="34"/>
      <c r="P57" s="34"/>
      <c r="Q57" s="34"/>
      <c r="R57" s="33"/>
      <c r="S57" s="33"/>
      <c r="T57" s="33"/>
      <c r="U57" s="33"/>
    </row>
    <row r="58" spans="1:27" x14ac:dyDescent="0.3">
      <c r="X58" t="str">
        <f>IFERROR(IF(ISNUMBER($A22),INDEX('Skeet Ind Concurrent Ranking'!$A:$A,MATCH($A22,'Skeet Ind Concurrent Ranking'!$AP:$AP,0)),""),"")</f>
        <v>24-1021</v>
      </c>
      <c r="Y58" t="str">
        <f>IFERROR(IF(ISNUMBER($A22),INDEX('Skeet Ind Concurrent Ranking'!$D:$D,MATCH($A22,'Skeet Ind Concurrent Ranking'!$AP:$AP,0)),""),"")</f>
        <v>Steve Last Name22</v>
      </c>
      <c r="Z58" t="s">
        <v>825</v>
      </c>
      <c r="AA58">
        <f>AA56+1</f>
        <v>40</v>
      </c>
    </row>
    <row r="59" spans="1:27" x14ac:dyDescent="0.3">
      <c r="X59" t="str">
        <f>IFERROR(IF(ISNUMBER($A23),INDEX('Skeet Ind Concurrent Ranking'!$A:$A,MATCH($A23,'Skeet Ind Concurrent Ranking'!$AP:$AP,0)),""),"")</f>
        <v>24-1033</v>
      </c>
      <c r="Y59" t="str">
        <f>IFERROR(IF(ISNUMBER($A23),INDEX('Skeet Ind Concurrent Ranking'!$D:$D,MATCH($A23,'Skeet Ind Concurrent Ranking'!$AP:$AP,0)),""),"")</f>
        <v>Marty Last Name34</v>
      </c>
      <c r="Z59" t="s">
        <v>826</v>
      </c>
      <c r="AA59">
        <f>AA58+1</f>
        <v>41</v>
      </c>
    </row>
    <row r="60" spans="1:27" x14ac:dyDescent="0.3">
      <c r="X60" t="str">
        <f>IFERROR(IF(ISNUMBER($A24),INDEX('Skeet Ind Concurrent Ranking'!$A:$A,MATCH($A24,'Skeet Ind Concurrent Ranking'!$AP:$AP,0)),""),"")</f>
        <v/>
      </c>
      <c r="Y60" t="str">
        <f>IFERROR(IF(ISNUMBER($A24),INDEX('Skeet Ind Concurrent Ranking'!$D:$D,MATCH($A24,'Skeet Ind Concurrent Ranking'!$AP:$AP,0)),""),"")</f>
        <v/>
      </c>
      <c r="Z60" t="s">
        <v>827</v>
      </c>
      <c r="AA60">
        <f>AA59+1</f>
        <v>42</v>
      </c>
    </row>
    <row r="62" spans="1:27" x14ac:dyDescent="0.3">
      <c r="X62" t="str">
        <f>IFERROR(IF(ISNUMBER($A26),INDEX('Skeet Ind Concurrent Ranking'!$A:$A,MATCH($A26,'Skeet Ind Concurrent Ranking'!$AR:$AR,0)),""),"")</f>
        <v>24-1031</v>
      </c>
      <c r="Y62" t="str">
        <f>IFERROR(IF(ISNUMBER($A26),INDEX('Skeet Ind Concurrent Ranking'!$D:$D,MATCH($A26,'Skeet Ind Concurrent Ranking'!$AR:$AR,0)),""),"")</f>
        <v>Kelly Last Name32</v>
      </c>
      <c r="Z62" t="s">
        <v>828</v>
      </c>
      <c r="AA62">
        <f>AA60+1</f>
        <v>43</v>
      </c>
    </row>
    <row r="63" spans="1:27" x14ac:dyDescent="0.3">
      <c r="X63" t="str">
        <f>IFERROR(IF(ISNUMBER($A27),INDEX('Skeet Ind Concurrent Ranking'!$A:$A,MATCH($A27,'Skeet Ind Concurrent Ranking'!$AR:$AR,0)),""),"")</f>
        <v/>
      </c>
      <c r="Y63" t="str">
        <f>IFERROR(IF(ISNUMBER($A27),INDEX('Skeet Ind Concurrent Ranking'!$D:$D,MATCH($A27,'Skeet Ind Concurrent Ranking'!$AR:$AR,0)),""),"")</f>
        <v/>
      </c>
      <c r="Z63" t="s">
        <v>829</v>
      </c>
      <c r="AA63">
        <f>AA62+1</f>
        <v>44</v>
      </c>
    </row>
    <row r="64" spans="1:27" x14ac:dyDescent="0.3">
      <c r="X64" t="str">
        <f>IFERROR(IF(ISNUMBER($A28),INDEX('Skeet Ind Concurrent Ranking'!$A:$A,MATCH($A28,'Skeet Ind Concurrent Ranking'!$AR:$AR,0)),""),"")</f>
        <v/>
      </c>
      <c r="Y64" t="str">
        <f>IFERROR(IF(ISNUMBER($A28),INDEX('Skeet Ind Concurrent Ranking'!$D:$D,MATCH($A28,'Skeet Ind Concurrent Ranking'!$AR:$AR,0)),""),"")</f>
        <v/>
      </c>
      <c r="Z64" t="s">
        <v>830</v>
      </c>
      <c r="AA64">
        <f>AA63+1</f>
        <v>45</v>
      </c>
    </row>
    <row r="66" spans="24:27" x14ac:dyDescent="0.3">
      <c r="X66" t="str">
        <f>IFERROR(IF(ISNUMBER($A18),INDEX('Skeet Ind Concurrent Ranking'!$A:$A,MATCH($A18,'Skeet Ind Concurrent Ranking'!$AD:$AD,0)),""),"")</f>
        <v>24-1000</v>
      </c>
      <c r="Y66" t="str">
        <f>IFERROR(IF(ISNUMBER($A18),INDEX('Skeet Ind Concurrent Ranking'!$D:$D,MATCH($A18,'Skeet Ind Concurrent Ranking'!$AD:$AD,0)),""),"")</f>
        <v>Jason Last Name1</v>
      </c>
      <c r="Z66" t="s">
        <v>831</v>
      </c>
      <c r="AA66">
        <f>AA64+1</f>
        <v>46</v>
      </c>
    </row>
    <row r="67" spans="24:27" x14ac:dyDescent="0.3">
      <c r="X67" t="str">
        <f>IFERROR(IF(ISNUMBER($A19),INDEX('Skeet Ind Concurrent Ranking'!$A:$A,MATCH($A19,'Skeet Ind Concurrent Ranking'!$AD:$AD,0)),""),"")</f>
        <v>24-1008</v>
      </c>
      <c r="Y67" t="str">
        <f>IFERROR(IF(ISNUMBER($A19),INDEX('Skeet Ind Concurrent Ranking'!$D:$D,MATCH($A19,'Skeet Ind Concurrent Ranking'!$AD:$AD,0)),""),"")</f>
        <v>Linda Last Name9</v>
      </c>
      <c r="Z67" t="s">
        <v>832</v>
      </c>
      <c r="AA67">
        <f>AA66+1</f>
        <v>47</v>
      </c>
    </row>
    <row r="68" spans="24:27" x14ac:dyDescent="0.3">
      <c r="X68" t="str">
        <f>IFERROR(IF(ISNUMBER($A20),INDEX('Skeet Ind Concurrent Ranking'!$A:$A,MATCH($A20,'Skeet Ind Concurrent Ranking'!$AD:$AD,0)),""),"")</f>
        <v>24-1032</v>
      </c>
      <c r="Y68" t="str">
        <f>IFERROR(IF(ISNUMBER($A20),INDEX('Skeet Ind Concurrent Ranking'!$D:$D,MATCH($A20,'Skeet Ind Concurrent Ranking'!$AD:$AD,0)),""),"")</f>
        <v>Missy Last Name33</v>
      </c>
      <c r="Z68" t="s">
        <v>833</v>
      </c>
      <c r="AA68">
        <f>AA67+1</f>
        <v>48</v>
      </c>
    </row>
    <row r="70" spans="24:27" x14ac:dyDescent="0.3">
      <c r="X70" t="str">
        <f>IFERROR(IF(ISNUMBER($A22),INDEX('Skeet Ind Concurrent Ranking'!$A:$A,MATCH($A22,'Skeet Ind Concurrent Ranking'!$AF:$AF,0)),""),"")</f>
        <v>24-1020</v>
      </c>
      <c r="Y70" t="str">
        <f>IFERROR(IF(ISNUMBER($A22),INDEX('Skeet Ind Concurrent Ranking'!$D:$D,MATCH($A22,'Skeet Ind Concurrent Ranking'!$AF:$AF,0)),""),"")</f>
        <v>Nathan Last Name21</v>
      </c>
      <c r="Z70" t="s">
        <v>834</v>
      </c>
      <c r="AA70">
        <f>AA68+1</f>
        <v>49</v>
      </c>
    </row>
    <row r="71" spans="24:27" x14ac:dyDescent="0.3">
      <c r="X71" t="str">
        <f>IFERROR(IF(ISNUMBER($A23),INDEX('Skeet Ind Concurrent Ranking'!$A:$A,MATCH($A23,'Skeet Ind Concurrent Ranking'!$AF:$AF,0)),""),"")</f>
        <v>24-1023</v>
      </c>
      <c r="Y71" t="str">
        <f>IFERROR(IF(ISNUMBER($A23),INDEX('Skeet Ind Concurrent Ranking'!$D:$D,MATCH($A23,'Skeet Ind Concurrent Ranking'!$AF:$AF,0)),""),"")</f>
        <v>Tim Last Name24</v>
      </c>
      <c r="Z71" t="s">
        <v>835</v>
      </c>
      <c r="AA71">
        <f>AA70+1</f>
        <v>50</v>
      </c>
    </row>
    <row r="72" spans="24:27" x14ac:dyDescent="0.3">
      <c r="X72" t="str">
        <f>IFERROR(IF(ISNUMBER($A24),INDEX('Skeet Ind Concurrent Ranking'!$A:$A,MATCH($A24,'Skeet Ind Concurrent Ranking'!$AF:$AF,0)),""),"")</f>
        <v>24-1046</v>
      </c>
      <c r="Y72" t="str">
        <f>IFERROR(IF(ISNUMBER($A24),INDEX('Skeet Ind Concurrent Ranking'!$D:$D,MATCH($A24,'Skeet Ind Concurrent Ranking'!$AF:$AF,0)),""),"")</f>
        <v>Rick Last Name47</v>
      </c>
      <c r="Z72" t="s">
        <v>836</v>
      </c>
      <c r="AA72">
        <f>AA71+1</f>
        <v>51</v>
      </c>
    </row>
    <row r="74" spans="24:27" x14ac:dyDescent="0.3">
      <c r="X74" t="str">
        <f>IFERROR(IF(ISNUMBER($A26),INDEX('Skeet Ind Concurrent Ranking'!$A:$A,MATCH($A26,'Skeet Ind Concurrent Ranking'!$AH:$AH,0)),""),"")</f>
        <v>24-1016</v>
      </c>
      <c r="Y74" t="str">
        <f>IFERROR(IF(ISNUMBER($A26),INDEX('Skeet Ind Concurrent Ranking'!$D:$D,MATCH($A26,'Skeet Ind Concurrent Ranking'!$AH:$AH,0)),""),"")</f>
        <v>Joan Last Name17</v>
      </c>
      <c r="Z74" t="s">
        <v>837</v>
      </c>
      <c r="AA74">
        <f>AA72+1</f>
        <v>52</v>
      </c>
    </row>
    <row r="75" spans="24:27" x14ac:dyDescent="0.3">
      <c r="X75" t="str">
        <f>IFERROR(IF(ISNUMBER($A27),INDEX('Skeet Ind Concurrent Ranking'!$A:$A,MATCH($A27,'Skeet Ind Concurrent Ranking'!$AH:$AH,0)),""),"")</f>
        <v>24-1044</v>
      </c>
      <c r="Y75" t="str">
        <f>IFERROR(IF(ISNUMBER($A27),INDEX('Skeet Ind Concurrent Ranking'!$D:$D,MATCH($A27,'Skeet Ind Concurrent Ranking'!$AH:$AH,0)),""),"")</f>
        <v>Dee Last Name45</v>
      </c>
      <c r="Z75" t="s">
        <v>838</v>
      </c>
      <c r="AA75">
        <f>AA74+1</f>
        <v>53</v>
      </c>
    </row>
    <row r="76" spans="24:27" x14ac:dyDescent="0.3">
      <c r="X76" t="str">
        <f>IFERROR(IF(ISNUMBER($A28),INDEX('Skeet Ind Concurrent Ranking'!$A:$A,MATCH($A28,'Skeet Ind Concurrent Ranking'!$AH:$AH,0)),""),"")</f>
        <v/>
      </c>
      <c r="Y76" t="str">
        <f>IFERROR(IF(ISNUMBER($A28),INDEX('Skeet Ind Concurrent Ranking'!$D:$D,MATCH($A28,'Skeet Ind Concurrent Ranking'!$AH:$AH,0)),""),"")</f>
        <v/>
      </c>
      <c r="Z76" t="s">
        <v>839</v>
      </c>
      <c r="AA76">
        <f>AA75+1</f>
        <v>54</v>
      </c>
    </row>
  </sheetData>
  <conditionalFormatting sqref="B32:B55 D32:L55">
    <cfRule type="expression" dxfId="7" priority="1">
      <formula>AND(OR((C32=C31),(C32=C33)),ISNUMBER(C32)=TRUE)</formula>
    </cfRule>
  </conditionalFormatting>
  <conditionalFormatting sqref="B56 D56:L56">
    <cfRule type="expression" dxfId="6" priority="163">
      <formula>AND(OR((C56=C55),(C56=#REF!)),ISNUMBER(C56)=TRUE)</formula>
    </cfRule>
  </conditionalFormatting>
  <conditionalFormatting sqref="C32:C55">
    <cfRule type="expression" dxfId="5" priority="10">
      <formula>AND(OR((F32=F31),(F32=F33)),ISNUMBER(F32)=TRUE)</formula>
    </cfRule>
  </conditionalFormatting>
  <conditionalFormatting sqref="C56">
    <cfRule type="expression" dxfId="4" priority="167">
      <formula>AND(OR((F56=F55),(F56=#REF!)),ISNUMBER(F56)=TRUE)</formula>
    </cfRule>
  </conditionalFormatting>
  <conditionalFormatting sqref="M32:M56">
    <cfRule type="expression" dxfId="3" priority="157">
      <formula>AND(OR((N7=N6),(N7=N8)),ISNUMBER(N7)=TRUE)</formula>
    </cfRule>
  </conditionalFormatting>
  <pageMargins left="0.25" right="0.25" top="0.75" bottom="0.75" header="0.3" footer="0.3"/>
  <pageSetup scale="6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7C77-67A2-4F5A-A0F1-C569C8BFED33}">
  <sheetPr>
    <tabColor rgb="FF7030A0"/>
  </sheetPr>
  <dimension ref="A1:W42"/>
  <sheetViews>
    <sheetView showGridLines="0" zoomScale="90" zoomScaleNormal="90" workbookViewId="0"/>
  </sheetViews>
  <sheetFormatPr defaultRowHeight="14.4" outlineLevelRow="1" x14ac:dyDescent="0.3"/>
  <cols>
    <col min="1" max="1" width="5.6640625" style="1" bestFit="1" customWidth="1"/>
    <col min="2" max="2" width="19.109375" style="1" bestFit="1" customWidth="1"/>
    <col min="3" max="3" width="3.33203125" bestFit="1" customWidth="1"/>
    <col min="4" max="4" width="18.77734375" style="1" bestFit="1" customWidth="1"/>
    <col min="5" max="5" width="3.33203125" bestFit="1" customWidth="1"/>
    <col min="6" max="6" width="18.88671875" style="1" bestFit="1" customWidth="1"/>
    <col min="7" max="7" width="3.33203125" bestFit="1" customWidth="1"/>
    <col min="8" max="8" width="19.6640625" style="1" bestFit="1" customWidth="1"/>
    <col min="9" max="9" width="3.33203125" bestFit="1" customWidth="1"/>
    <col min="10" max="10" width="5.6640625" bestFit="1" customWidth="1"/>
    <col min="11" max="11" width="19.6640625" bestFit="1" customWidth="1"/>
    <col min="12" max="12" width="6.109375" bestFit="1" customWidth="1"/>
    <col min="13" max="13" width="6" bestFit="1" customWidth="1"/>
    <col min="14" max="14" width="5.6640625" bestFit="1" customWidth="1"/>
    <col min="15" max="15" width="19.6640625" bestFit="1" customWidth="1"/>
    <col min="16" max="16" width="6.109375" bestFit="1" customWidth="1"/>
    <col min="17" max="17" width="6" bestFit="1" customWidth="1"/>
    <col min="20" max="20" width="10" bestFit="1" customWidth="1"/>
    <col min="21" max="21" width="19.109375" bestFit="1" customWidth="1"/>
    <col min="22" max="22" width="22" bestFit="1" customWidth="1"/>
    <col min="23" max="23" width="7" bestFit="1" customWidth="1"/>
  </cols>
  <sheetData>
    <row r="1" spans="1:23" outlineLevel="1" x14ac:dyDescent="0.3">
      <c r="B1" s="41" t="s">
        <v>272</v>
      </c>
      <c r="C1" s="42"/>
      <c r="D1" s="41" t="s">
        <v>273</v>
      </c>
      <c r="E1" s="42"/>
      <c r="F1" s="41" t="s">
        <v>274</v>
      </c>
      <c r="G1" s="42"/>
      <c r="H1" s="41" t="s">
        <v>275</v>
      </c>
      <c r="I1" s="42"/>
      <c r="J1" s="1" t="s">
        <v>144</v>
      </c>
      <c r="K1" s="41" t="s">
        <v>258</v>
      </c>
      <c r="L1" s="50" t="s">
        <v>112</v>
      </c>
      <c r="M1" s="42" t="s">
        <v>709</v>
      </c>
      <c r="N1" s="1" t="s">
        <v>144</v>
      </c>
      <c r="O1" s="41" t="s">
        <v>258</v>
      </c>
      <c r="P1" s="50" t="s">
        <v>112</v>
      </c>
      <c r="Q1" s="42" t="s">
        <v>709</v>
      </c>
      <c r="T1" t="s">
        <v>0</v>
      </c>
      <c r="U1" t="s">
        <v>784</v>
      </c>
      <c r="V1" t="s">
        <v>144</v>
      </c>
      <c r="W1" t="s">
        <v>785</v>
      </c>
    </row>
    <row r="2" spans="1:23" outlineLevel="1" x14ac:dyDescent="0.3">
      <c r="A2" s="1" t="s">
        <v>144</v>
      </c>
      <c r="B2" s="43"/>
      <c r="C2" s="44"/>
      <c r="D2" s="43"/>
      <c r="E2" s="45"/>
      <c r="F2" s="43"/>
      <c r="G2" s="45"/>
      <c r="H2" s="43"/>
      <c r="I2" s="45"/>
      <c r="J2" s="1">
        <v>1</v>
      </c>
      <c r="K2" s="11" t="str">
        <f>IFERROR(IF(ISNUMBER($J2),INDEX('Skeet Ind Concurrent Ranking'!$D:$D,MATCH($J2,'Skeet Ind Concurrent Ranking'!$N:$N,0)),""),"")</f>
        <v>Bill Last Name11</v>
      </c>
      <c r="L2" s="51">
        <f>IFERROR(IF(ISNUMBER($J2),INDEX('Skeet Ind Concurrent Ranking'!$I:$I,MATCH($J2,'Skeet Ind Concurrent Ranking'!$N:$N,0)),""),"")</f>
        <v>98</v>
      </c>
      <c r="M2" s="40" t="str">
        <f>IFERROR(IF(ISNUMBER($J2),INDEX('Skeet Ind Concurrent Ranking'!$H:$H,MATCH($J2,'Skeet Ind Concurrent Ranking'!$N:$N,0)),""),"")</f>
        <v>B</v>
      </c>
      <c r="N2" s="1">
        <v>41</v>
      </c>
      <c r="O2" s="11" t="str">
        <f>IFERROR(IF(ISNUMBER($N2),INDEX('Skeet Ind Concurrent Ranking'!$D:$D,MATCH($N2,'Skeet Ind Concurrent Ranking'!$N:$N,0)),""),"")</f>
        <v>Judy Last Name30</v>
      </c>
      <c r="P2" s="51">
        <f>IFERROR(IF(ISNUMBER($N2),INDEX('Skeet Ind Concurrent Ranking'!$I:$I,MATCH($N2,'Skeet Ind Concurrent Ranking'!$N:$N,0)),""),"")</f>
        <v>51</v>
      </c>
      <c r="Q2" s="40" t="str">
        <f>IFERROR(IF(ISNUMBER($N2),INDEX('Skeet Ind Concurrent Ranking'!$H:$H,MATCH($N2,'Skeet Ind Concurrent Ranking'!$N:$N,0)),""),"")</f>
        <v>A</v>
      </c>
      <c r="T2" t="str">
        <f>IFERROR(IF(ISNUMBER($A3),INDEX('Skeet Ind Concurrent Ranking'!$A:$A,MATCH($A3,'Skeet Ind Concurrent Ranking'!$BY:$BY,0)),""),"")</f>
        <v>24-1034</v>
      </c>
      <c r="U2" t="str">
        <f>IFERROR(IF(ISNUMBER($A3),INDEX('Skeet Ind Concurrent Ranking'!$D:$D,MATCH($A3,'Skeet Ind Concurrent Ranking'!$BY:$BY,0)),""),"")</f>
        <v>Patricia Last Name35</v>
      </c>
      <c r="V2" t="s">
        <v>842</v>
      </c>
      <c r="W2">
        <v>1</v>
      </c>
    </row>
    <row r="3" spans="1:23" outlineLevel="1" x14ac:dyDescent="0.3">
      <c r="A3" s="1">
        <v>1</v>
      </c>
      <c r="B3" s="11" t="str">
        <f>IFERROR(IF(ISNUMBER($A3),INDEX('Skeet Ind Concurrent Ranking'!$D:$D,MATCH($A3,'Skeet Ind Concurrent Ranking'!$BY:$BY,0)),""),"")</f>
        <v>Patricia Last Name35</v>
      </c>
      <c r="C3" s="40">
        <f>IFERROR(IF(ISNUMBER($A3),INDEX('Skeet Ind Concurrent Ranking'!$I:$I,MATCH($A3,'Skeet Ind Concurrent Ranking'!$BY:$BY,0)),""),"")</f>
        <v>95</v>
      </c>
      <c r="D3" s="11" t="str">
        <f>IFERROR(IF(ISNUMBER($A3),INDEX('Skeet Ind Concurrent Ranking'!$D:$D,MATCH($A3,'Skeet Ind Concurrent Ranking'!$CF:$CF,0)),""),"")</f>
        <v>Bill Last Name11</v>
      </c>
      <c r="E3" s="40">
        <f>IFERROR(IF(ISNUMBER($A3),INDEX('Skeet Ind Concurrent Ranking'!$I:$I,MATCH($A3,'Skeet Ind Concurrent Ranking'!$CF:$CF,0)),""),"")</f>
        <v>98</v>
      </c>
      <c r="F3" s="11" t="str">
        <f>IFERROR(IF(ISNUMBER($A3),INDEX('Skeet Ind Concurrent Ranking'!$D:$D,MATCH($A3,'Skeet Ind Concurrent Ranking'!$CM:$CM,0)),""),"")</f>
        <v>Blake Last Name7</v>
      </c>
      <c r="G3" s="40">
        <f>IFERROR(IF(ISNUMBER($A3),INDEX('Skeet Ind Concurrent Ranking'!$I:$I,MATCH($A3,'Skeet Ind Concurrent Ranking'!$CM:$CM,0)),""),"")</f>
        <v>97</v>
      </c>
      <c r="H3" s="11" t="str">
        <f>IFERROR(IF(ISNUMBER($A3),INDEX('Skeet Ind Concurrent Ranking'!$D:$D,MATCH($A3,'Skeet Ind Concurrent Ranking'!$CT:$CT,0)),""),"")</f>
        <v>Jason Last Name1</v>
      </c>
      <c r="I3" s="40">
        <f>IFERROR(IF(ISNUMBER($A3),INDEX('Skeet Ind Concurrent Ranking'!$I:$I,MATCH($A3,'Skeet Ind Concurrent Ranking'!$CT:$CT,0)),""),"")</f>
        <v>85</v>
      </c>
      <c r="J3" s="1">
        <v>2</v>
      </c>
      <c r="K3" s="11" t="str">
        <f>IFERROR(IF(ISNUMBER($J3),INDEX('Skeet Ind Concurrent Ranking'!$D:$D,MATCH($J3,'Skeet Ind Concurrent Ranking'!$N:$N,0)),""),"")</f>
        <v>Blake Last Name7</v>
      </c>
      <c r="L3" s="51">
        <f>IFERROR(IF(ISNUMBER($J3),INDEX('Skeet Ind Concurrent Ranking'!$I:$I,MATCH($J3,'Skeet Ind Concurrent Ranking'!$N:$N,0)),""),"")</f>
        <v>97</v>
      </c>
      <c r="M3" s="40" t="str">
        <f>IFERROR(IF(ISNUMBER($J3),INDEX('Skeet Ind Concurrent Ranking'!$H:$H,MATCH($J3,'Skeet Ind Concurrent Ranking'!$N:$N,0)),""),"")</f>
        <v>C</v>
      </c>
      <c r="N3" s="1">
        <v>42</v>
      </c>
      <c r="O3" s="11" t="str">
        <f>IFERROR(IF(ISNUMBER($N3),INDEX('Skeet Ind Concurrent Ranking'!$D:$D,MATCH($N3,'Skeet Ind Concurrent Ranking'!$N:$N,0)),""),"")</f>
        <v>Bob Last Name12</v>
      </c>
      <c r="P3" s="51">
        <f>IFERROR(IF(ISNUMBER($N3),INDEX('Skeet Ind Concurrent Ranking'!$I:$I,MATCH($N3,'Skeet Ind Concurrent Ranking'!$N:$N,0)),""),"")</f>
        <v>48</v>
      </c>
      <c r="Q3" s="40" t="str">
        <f>IFERROR(IF(ISNUMBER($N3),INDEX('Skeet Ind Concurrent Ranking'!$H:$H,MATCH($N3,'Skeet Ind Concurrent Ranking'!$N:$N,0)),""),"")</f>
        <v>C</v>
      </c>
      <c r="T3" t="str">
        <f>IFERROR(IF(ISNUMBER($A4),INDEX('Skeet Ind Concurrent Ranking'!$A:$A,MATCH($A4,'Skeet Ind Concurrent Ranking'!$BY:$BY,0)),""),"")</f>
        <v>24-1004</v>
      </c>
      <c r="U3" t="str">
        <f>IFERROR(IF(ISNUMBER($A4),INDEX('Skeet Ind Concurrent Ranking'!$D:$D,MATCH($A4,'Skeet Ind Concurrent Ranking'!$BY:$BY,0)),""),"")</f>
        <v>Matt Last Name5</v>
      </c>
      <c r="V3" t="s">
        <v>843</v>
      </c>
      <c r="W3">
        <f>W2+1</f>
        <v>2</v>
      </c>
    </row>
    <row r="4" spans="1:23" outlineLevel="1" x14ac:dyDescent="0.3">
      <c r="A4" s="1">
        <v>2</v>
      </c>
      <c r="B4" s="11" t="str">
        <f>IFERROR(IF(ISNUMBER($A4),INDEX('Skeet Ind Concurrent Ranking'!$D:$D,MATCH($A4,'Skeet Ind Concurrent Ranking'!$BY:$BY,0)),""),"")</f>
        <v>Matt Last Name5</v>
      </c>
      <c r="C4" s="40">
        <f>IFERROR(IF(ISNUMBER($A4),INDEX('Skeet Ind Concurrent Ranking'!$I:$I,MATCH($A4,'Skeet Ind Concurrent Ranking'!$BY:$BY,0)),""),"")</f>
        <v>89.1</v>
      </c>
      <c r="D4" s="11" t="str">
        <f>IFERROR(IF(ISNUMBER($A4),INDEX('Skeet Ind Concurrent Ranking'!$D:$D,MATCH($A4,'Skeet Ind Concurrent Ranking'!$CF:$CF,0)),""),"")</f>
        <v>Cathy Last Name3</v>
      </c>
      <c r="E4" s="40">
        <f>IFERROR(IF(ISNUMBER($A4),INDEX('Skeet Ind Concurrent Ranking'!$I:$I,MATCH($A4,'Skeet Ind Concurrent Ranking'!$CF:$CF,0)),""),"")</f>
        <v>96</v>
      </c>
      <c r="F4" s="11" t="str">
        <f>IFERROR(IF(ISNUMBER($A4),INDEX('Skeet Ind Concurrent Ranking'!$D:$D,MATCH($A4,'Skeet Ind Concurrent Ranking'!$CM:$CM,0)),""),"")</f>
        <v>Jill Last Name18</v>
      </c>
      <c r="G4" s="40">
        <f>IFERROR(IF(ISNUMBER($A4),INDEX('Skeet Ind Concurrent Ranking'!$I:$I,MATCH($A4,'Skeet Ind Concurrent Ranking'!$CM:$CM,0)),""),"")</f>
        <v>90</v>
      </c>
      <c r="H4" s="11" t="str">
        <f>IFERROR(IF(ISNUMBER($A4),INDEX('Skeet Ind Concurrent Ranking'!$D:$D,MATCH($A4,'Skeet Ind Concurrent Ranking'!$CT:$CT,0)),""),"")</f>
        <v>Trisha Last Name44</v>
      </c>
      <c r="I4" s="40">
        <f>IFERROR(IF(ISNUMBER($A4),INDEX('Skeet Ind Concurrent Ranking'!$I:$I,MATCH($A4,'Skeet Ind Concurrent Ranking'!$CT:$CT,0)),""),"")</f>
        <v>72.099999999999994</v>
      </c>
      <c r="J4" s="1">
        <v>3</v>
      </c>
      <c r="K4" s="11" t="str">
        <f>IFERROR(IF(ISNUMBER($J4),INDEX('Skeet Ind Concurrent Ranking'!$D:$D,MATCH($J4,'Skeet Ind Concurrent Ranking'!$N:$N,0)),""),"")</f>
        <v>Cathy Last Name3</v>
      </c>
      <c r="L4" s="51">
        <f>IFERROR(IF(ISNUMBER($J4),INDEX('Skeet Ind Concurrent Ranking'!$I:$I,MATCH($J4,'Skeet Ind Concurrent Ranking'!$N:$N,0)),""),"")</f>
        <v>96</v>
      </c>
      <c r="M4" s="40" t="str">
        <f>IFERROR(IF(ISNUMBER($J4),INDEX('Skeet Ind Concurrent Ranking'!$H:$H,MATCH($J4,'Skeet Ind Concurrent Ranking'!$N:$N,0)),""),"")</f>
        <v>B</v>
      </c>
      <c r="N4" s="1">
        <v>43</v>
      </c>
      <c r="O4" s="11" t="str">
        <f>IFERROR(IF(ISNUMBER($N4),INDEX('Skeet Ind Concurrent Ranking'!$D:$D,MATCH($N4,'Skeet Ind Concurrent Ranking'!$N:$N,0)),""),"")</f>
        <v>Becky Last Name27</v>
      </c>
      <c r="P4" s="51">
        <f>IFERROR(IF(ISNUMBER($N4),INDEX('Skeet Ind Concurrent Ranking'!$I:$I,MATCH($N4,'Skeet Ind Concurrent Ranking'!$N:$N,0)),""),"")</f>
        <v>45</v>
      </c>
      <c r="Q4" s="40" t="str">
        <f>IFERROR(IF(ISNUMBER($N4),INDEX('Skeet Ind Concurrent Ranking'!$H:$H,MATCH($N4,'Skeet Ind Concurrent Ranking'!$N:$N,0)),""),"")</f>
        <v>C</v>
      </c>
      <c r="T4" t="str">
        <f>IFERROR(IF(ISNUMBER($A5),INDEX('Skeet Ind Concurrent Ranking'!$A:$A,MATCH($A5,'Skeet Ind Concurrent Ranking'!$BY:$BY,0)),""),"")</f>
        <v>24-1003</v>
      </c>
      <c r="U4" t="str">
        <f>IFERROR(IF(ISNUMBER($A5),INDEX('Skeet Ind Concurrent Ranking'!$D:$D,MATCH($A5,'Skeet Ind Concurrent Ranking'!$BY:$BY,0)),""),"")</f>
        <v>Susan Last Name4</v>
      </c>
      <c r="V4" t="s">
        <v>844</v>
      </c>
      <c r="W4">
        <f t="shared" ref="W4:W37" si="0">W3+1</f>
        <v>3</v>
      </c>
    </row>
    <row r="5" spans="1:23" outlineLevel="1" x14ac:dyDescent="0.3">
      <c r="A5" s="1">
        <v>3</v>
      </c>
      <c r="B5" s="11" t="str">
        <f>IFERROR(IF(ISNUMBER($A5),INDEX('Skeet Ind Concurrent Ranking'!$D:$D,MATCH($A5,'Skeet Ind Concurrent Ranking'!$BY:$BY,0)),""),"")</f>
        <v>Susan Last Name4</v>
      </c>
      <c r="C5" s="40">
        <f>IFERROR(IF(ISNUMBER($A5),INDEX('Skeet Ind Concurrent Ranking'!$I:$I,MATCH($A5,'Skeet Ind Concurrent Ranking'!$BY:$BY,0)),""),"")</f>
        <v>82</v>
      </c>
      <c r="D5" s="11" t="str">
        <f>IFERROR(IF(ISNUMBER($A5),INDEX('Skeet Ind Concurrent Ranking'!$D:$D,MATCH($A5,'Skeet Ind Concurrent Ranking'!$CF:$CF,0)),""),"")</f>
        <v>Christy Last Name10</v>
      </c>
      <c r="E5" s="40">
        <f>IFERROR(IF(ISNUMBER($A5),INDEX('Skeet Ind Concurrent Ranking'!$I:$I,MATCH($A5,'Skeet Ind Concurrent Ranking'!$CF:$CF,0)),""),"")</f>
        <v>93</v>
      </c>
      <c r="F5" s="11" t="str">
        <f>IFERROR(IF(ISNUMBER($A5),INDEX('Skeet Ind Concurrent Ranking'!$D:$D,MATCH($A5,'Skeet Ind Concurrent Ranking'!$CM:$CM,0)),""),"")</f>
        <v>Terry Last Name43</v>
      </c>
      <c r="G5" s="40">
        <f>IFERROR(IF(ISNUMBER($A5),INDEX('Skeet Ind Concurrent Ranking'!$I:$I,MATCH($A5,'Skeet Ind Concurrent Ranking'!$CM:$CM,0)),""),"")</f>
        <v>88</v>
      </c>
      <c r="H5" s="11" t="str">
        <f>IFERROR(IF(ISNUMBER($A5),INDEX('Skeet Ind Concurrent Ranking'!$D:$D,MATCH($A5,'Skeet Ind Concurrent Ranking'!$CT:$CT,0)),""),"")</f>
        <v>Brad Last Name28</v>
      </c>
      <c r="I5" s="40">
        <f>IFERROR(IF(ISNUMBER($A5),INDEX('Skeet Ind Concurrent Ranking'!$I:$I,MATCH($A5,'Skeet Ind Concurrent Ranking'!$CT:$CT,0)),""),"")</f>
        <v>63</v>
      </c>
      <c r="J5" s="1">
        <v>4</v>
      </c>
      <c r="K5" s="11" t="str">
        <f>IFERROR(IF(ISNUMBER($J5),INDEX('Skeet Ind Concurrent Ranking'!$D:$D,MATCH($J5,'Skeet Ind Concurrent Ranking'!$N:$N,0)),""),"")</f>
        <v>Patricia Last Name35</v>
      </c>
      <c r="L5" s="51">
        <f>IFERROR(IF(ISNUMBER($J5),INDEX('Skeet Ind Concurrent Ranking'!$I:$I,MATCH($J5,'Skeet Ind Concurrent Ranking'!$N:$N,0)),""),"")</f>
        <v>95</v>
      </c>
      <c r="M5" s="40" t="str">
        <f>IFERROR(IF(ISNUMBER($J5),INDEX('Skeet Ind Concurrent Ranking'!$H:$H,MATCH($J5,'Skeet Ind Concurrent Ranking'!$N:$N,0)),""),"")</f>
        <v>A</v>
      </c>
      <c r="N5" s="1">
        <v>44</v>
      </c>
      <c r="O5" s="11" t="str">
        <f>IFERROR(IF(ISNUMBER($N5),INDEX('Skeet Ind Concurrent Ranking'!$D:$D,MATCH($N5,'Skeet Ind Concurrent Ranking'!$N:$N,0)),""),"")</f>
        <v>Chad Last Name39</v>
      </c>
      <c r="P5" s="51">
        <f>IFERROR(IF(ISNUMBER($N5),INDEX('Skeet Ind Concurrent Ranking'!$I:$I,MATCH($N5,'Skeet Ind Concurrent Ranking'!$N:$N,0)),""),"")</f>
        <v>43</v>
      </c>
      <c r="Q5" s="40" t="str">
        <f>IFERROR(IF(ISNUMBER($N5),INDEX('Skeet Ind Concurrent Ranking'!$H:$H,MATCH($N5,'Skeet Ind Concurrent Ranking'!$N:$N,0)),""),"")</f>
        <v>C</v>
      </c>
      <c r="T5" t="str">
        <f>IFERROR(IF(ISNUMBER($A7),INDEX('Skeet Ind Concurrent Ranking'!$A:$A,MATCH($A7,'Skeet Ind Concurrent Ranking'!$CA:$CA,0)),""),"")</f>
        <v>24-1028</v>
      </c>
      <c r="U5" t="str">
        <f>IFERROR(IF(ISNUMBER($A7),INDEX('Skeet Ind Concurrent Ranking'!$D:$D,MATCH($A7,'Skeet Ind Concurrent Ranking'!$CA:$CA,0)),""),"")</f>
        <v>Alan Last Name29</v>
      </c>
      <c r="V5" t="s">
        <v>845</v>
      </c>
      <c r="W5">
        <f t="shared" si="0"/>
        <v>4</v>
      </c>
    </row>
    <row r="6" spans="1:23" outlineLevel="1" x14ac:dyDescent="0.3">
      <c r="B6" s="43" t="s">
        <v>707</v>
      </c>
      <c r="C6" s="44"/>
      <c r="D6" s="43" t="s">
        <v>707</v>
      </c>
      <c r="E6" s="45"/>
      <c r="F6" s="43" t="s">
        <v>707</v>
      </c>
      <c r="G6" s="45"/>
      <c r="H6" s="43" t="s">
        <v>707</v>
      </c>
      <c r="I6" s="45"/>
      <c r="J6" s="1">
        <v>5</v>
      </c>
      <c r="K6" s="11" t="str">
        <f>IFERROR(IF(ISNUMBER($J6),INDEX('Skeet Ind Concurrent Ranking'!$D:$D,MATCH($J6,'Skeet Ind Concurrent Ranking'!$N:$N,0)),""),"")</f>
        <v>Christy Last Name10</v>
      </c>
      <c r="L6" s="51">
        <f>IFERROR(IF(ISNUMBER($J6),INDEX('Skeet Ind Concurrent Ranking'!$I:$I,MATCH($J6,'Skeet Ind Concurrent Ranking'!$N:$N,0)),""),"")</f>
        <v>93</v>
      </c>
      <c r="M6" s="40" t="str">
        <f>IFERROR(IF(ISNUMBER($J6),INDEX('Skeet Ind Concurrent Ranking'!$H:$H,MATCH($J6,'Skeet Ind Concurrent Ranking'!$N:$N,0)),""),"")</f>
        <v>B</v>
      </c>
      <c r="N6" s="1">
        <v>45</v>
      </c>
      <c r="O6" s="11" t="str">
        <f>IFERROR(IF(ISNUMBER($N6),INDEX('Skeet Ind Concurrent Ranking'!$D:$D,MATCH($N6,'Skeet Ind Concurrent Ranking'!$N:$N,0)),""),"")</f>
        <v>Paul Last Name16</v>
      </c>
      <c r="P6" s="51">
        <f>IFERROR(IF(ISNUMBER($N6),INDEX('Skeet Ind Concurrent Ranking'!$I:$I,MATCH($N6,'Skeet Ind Concurrent Ranking'!$N:$N,0)),""),"")</f>
        <v>42</v>
      </c>
      <c r="Q6" s="40" t="str">
        <f>IFERROR(IF(ISNUMBER($N6),INDEX('Skeet Ind Concurrent Ranking'!$H:$H,MATCH($N6,'Skeet Ind Concurrent Ranking'!$N:$N,0)),""),"")</f>
        <v>D</v>
      </c>
      <c r="T6" t="str">
        <f>IFERROR(IF(ISNUMBER($A8),INDEX('Skeet Ind Concurrent Ranking'!$A:$A,MATCH($A8,'Skeet Ind Concurrent Ranking'!$CA:$CA,0)),""),"")</f>
        <v>24-1013</v>
      </c>
      <c r="U6" t="str">
        <f>IFERROR(IF(ISNUMBER($A8),INDEX('Skeet Ind Concurrent Ranking'!$D:$D,MATCH($A8,'Skeet Ind Concurrent Ranking'!$CA:$CA,0)),""),"")</f>
        <v>Henry Last Name14</v>
      </c>
      <c r="V6" t="s">
        <v>846</v>
      </c>
      <c r="W6">
        <f t="shared" si="0"/>
        <v>5</v>
      </c>
    </row>
    <row r="7" spans="1:23" outlineLevel="1" x14ac:dyDescent="0.3">
      <c r="A7" s="1">
        <v>1</v>
      </c>
      <c r="B7" s="11" t="str">
        <f>IFERROR(IF(ISNUMBER($A7),INDEX('Skeet Ind Concurrent Ranking'!$D:$D,MATCH($A7,'Skeet Ind Concurrent Ranking'!$CA:$CA,0)),""),"")</f>
        <v>Alan Last Name29</v>
      </c>
      <c r="C7" s="40">
        <f>IFERROR(IF(ISNUMBER($A7),INDEX('Skeet Ind Concurrent Ranking'!$I:$I,MATCH($A7,'Skeet Ind Concurrent Ranking'!$CA:$CA,0)),""),"")</f>
        <v>80</v>
      </c>
      <c r="D7" s="11" t="str">
        <f>IFERROR(IF(ISNUMBER($A7),INDEX('Skeet Ind Concurrent Ranking'!$D:$D,MATCH($A7,'Skeet Ind Concurrent Ranking'!$CH:$CH,0)),""),"")</f>
        <v>Daniel Last Name15</v>
      </c>
      <c r="E7" s="40">
        <f>IFERROR(IF(ISNUMBER($A7),INDEX('Skeet Ind Concurrent Ranking'!$I:$I,MATCH($A7,'Skeet Ind Concurrent Ranking'!$CH:$CH,0)),""),"")</f>
        <v>89.1</v>
      </c>
      <c r="F7" s="11" t="str">
        <f>IFERROR(IF(ISNUMBER($A7),INDEX('Skeet Ind Concurrent Ranking'!$D:$D,MATCH($A7,'Skeet Ind Concurrent Ranking'!$CO:$CO,0)),""),"")</f>
        <v>Trey Last Name41</v>
      </c>
      <c r="G7" s="40">
        <f>IFERROR(IF(ISNUMBER($A7),INDEX('Skeet Ind Concurrent Ranking'!$I:$I,MATCH($A7,'Skeet Ind Concurrent Ranking'!$CO:$CO,0)),""),"")</f>
        <v>84</v>
      </c>
      <c r="H7" s="11" t="str">
        <f>IFERROR(IF(ISNUMBER($A7),INDEX('Skeet Ind Concurrent Ranking'!$D:$D,MATCH($A7,'Skeet Ind Concurrent Ranking'!$CV:$CV,0)),""),"")</f>
        <v>Troy Last Name40</v>
      </c>
      <c r="I7" s="40">
        <f>IFERROR(IF(ISNUMBER($A7),INDEX('Skeet Ind Concurrent Ranking'!$I:$I,MATCH($A7,'Skeet Ind Concurrent Ranking'!$CV:$CV,0)),""),"")</f>
        <v>59</v>
      </c>
      <c r="J7" s="1">
        <v>6</v>
      </c>
      <c r="K7" s="11" t="str">
        <f>IFERROR(IF(ISNUMBER($J7),INDEX('Skeet Ind Concurrent Ranking'!$D:$D,MATCH($J7,'Skeet Ind Concurrent Ranking'!$N:$N,0)),""),"")</f>
        <v>Shelly Last Name31</v>
      </c>
      <c r="L7" s="51">
        <f>IFERROR(IF(ISNUMBER($J7),INDEX('Skeet Ind Concurrent Ranking'!$I:$I,MATCH($J7,'Skeet Ind Concurrent Ranking'!$N:$N,0)),""),"")</f>
        <v>92</v>
      </c>
      <c r="M7" s="40" t="str">
        <f>IFERROR(IF(ISNUMBER($J7),INDEX('Skeet Ind Concurrent Ranking'!$H:$H,MATCH($J7,'Skeet Ind Concurrent Ranking'!$N:$N,0)),""),"")</f>
        <v>B</v>
      </c>
      <c r="N7" s="1">
        <v>46</v>
      </c>
      <c r="O7" s="11" t="str">
        <f>IFERROR(IF(ISNUMBER($N7),INDEX('Skeet Ind Concurrent Ranking'!$D:$D,MATCH($N7,'Skeet Ind Concurrent Ranking'!$N:$N,0)),""),"")</f>
        <v>Chris Last Name20</v>
      </c>
      <c r="P7" s="51">
        <f>IFERROR(IF(ISNUMBER($N7),INDEX('Skeet Ind Concurrent Ranking'!$I:$I,MATCH($N7,'Skeet Ind Concurrent Ranking'!$N:$N,0)),""),"")</f>
        <v>32.1</v>
      </c>
      <c r="Q7" s="40" t="str">
        <f>IFERROR(IF(ISNUMBER($N7),INDEX('Skeet Ind Concurrent Ranking'!$H:$H,MATCH($N7,'Skeet Ind Concurrent Ranking'!$N:$N,0)),""),"")</f>
        <v>B</v>
      </c>
      <c r="T7" t="str">
        <f>IFERROR(IF(ISNUMBER($A9),INDEX('Skeet Ind Concurrent Ranking'!$A:$A,MATCH($A9,'Skeet Ind Concurrent Ranking'!$CA:$CA,0)),""),"")</f>
        <v>24-1033</v>
      </c>
      <c r="U7" t="str">
        <f>IFERROR(IF(ISNUMBER($A9),INDEX('Skeet Ind Concurrent Ranking'!$D:$D,MATCH($A9,'Skeet Ind Concurrent Ranking'!$CA:$CA,0)),""),"")</f>
        <v>Marty Last Name34</v>
      </c>
      <c r="V7" t="s">
        <v>847</v>
      </c>
      <c r="W7">
        <f t="shared" si="0"/>
        <v>6</v>
      </c>
    </row>
    <row r="8" spans="1:23" outlineLevel="1" x14ac:dyDescent="0.3">
      <c r="A8" s="1">
        <v>2</v>
      </c>
      <c r="B8" s="11" t="str">
        <f>IFERROR(IF(ISNUMBER($A8),INDEX('Skeet Ind Concurrent Ranking'!$D:$D,MATCH($A8,'Skeet Ind Concurrent Ranking'!$CA:$CA,0)),""),"")</f>
        <v>Henry Last Name14</v>
      </c>
      <c r="C8" s="40">
        <f>IFERROR(IF(ISNUMBER($A8),INDEX('Skeet Ind Concurrent Ranking'!$I:$I,MATCH($A8,'Skeet Ind Concurrent Ranking'!$CA:$CA,0)),""),"")</f>
        <v>76</v>
      </c>
      <c r="D8" s="11" t="str">
        <f>IFERROR(IF(ISNUMBER($A8),INDEX('Skeet Ind Concurrent Ranking'!$D:$D,MATCH($A8,'Skeet Ind Concurrent Ranking'!$CH:$CH,0)),""),"")</f>
        <v>Stuart Last Name38</v>
      </c>
      <c r="E8" s="40">
        <f>IFERROR(IF(ISNUMBER($A8),INDEX('Skeet Ind Concurrent Ranking'!$I:$I,MATCH($A8,'Skeet Ind Concurrent Ranking'!$CH:$CH,0)),""),"")</f>
        <v>89</v>
      </c>
      <c r="F8" s="11" t="str">
        <f>IFERROR(IF(ISNUMBER($A8),INDEX('Skeet Ind Concurrent Ranking'!$D:$D,MATCH($A8,'Skeet Ind Concurrent Ranking'!$CO:$CO,0)),""),"")</f>
        <v>Nathan Last Name21</v>
      </c>
      <c r="G8" s="40">
        <f>IFERROR(IF(ISNUMBER($A8),INDEX('Skeet Ind Concurrent Ranking'!$I:$I,MATCH($A8,'Skeet Ind Concurrent Ranking'!$CO:$CO,0)),""),"")</f>
        <v>72.2</v>
      </c>
      <c r="H8" s="11" t="str">
        <f>IFERROR(IF(ISNUMBER($A8),INDEX('Skeet Ind Concurrent Ranking'!$D:$D,MATCH($A8,'Skeet Ind Concurrent Ranking'!$CV:$CV,0)),""),"")</f>
        <v>Jackson Last Name48</v>
      </c>
      <c r="I8" s="40">
        <f>IFERROR(IF(ISNUMBER($A8),INDEX('Skeet Ind Concurrent Ranking'!$I:$I,MATCH($A8,'Skeet Ind Concurrent Ranking'!$CV:$CV,0)),""),"")</f>
        <v>51.2</v>
      </c>
      <c r="J8" s="1">
        <v>7</v>
      </c>
      <c r="K8" s="11" t="str">
        <f>IFERROR(IF(ISNUMBER($J8),INDEX('Skeet Ind Concurrent Ranking'!$D:$D,MATCH($J8,'Skeet Ind Concurrent Ranking'!$N:$N,0)),""),"")</f>
        <v>Jill Last Name18</v>
      </c>
      <c r="L8" s="51">
        <f>IFERROR(IF(ISNUMBER($J8),INDEX('Skeet Ind Concurrent Ranking'!$I:$I,MATCH($J8,'Skeet Ind Concurrent Ranking'!$N:$N,0)),""),"")</f>
        <v>90</v>
      </c>
      <c r="M8" s="40" t="str">
        <f>IFERROR(IF(ISNUMBER($J8),INDEX('Skeet Ind Concurrent Ranking'!$H:$H,MATCH($J8,'Skeet Ind Concurrent Ranking'!$N:$N,0)),""),"")</f>
        <v>C</v>
      </c>
      <c r="N8" s="1">
        <v>47</v>
      </c>
      <c r="O8" s="11" t="str">
        <f>IFERROR(IF(ISNUMBER($N8),INDEX('Skeet Ind Concurrent Ranking'!$D:$D,MATCH($N8,'Skeet Ind Concurrent Ranking'!$N:$N,0)),""),"")</f>
        <v>Sam Last Name46</v>
      </c>
      <c r="P8" s="51">
        <f>IFERROR(IF(ISNUMBER($N8),INDEX('Skeet Ind Concurrent Ranking'!$I:$I,MATCH($N8,'Skeet Ind Concurrent Ranking'!$N:$N,0)),""),"")</f>
        <v>32</v>
      </c>
      <c r="Q8" s="40" t="str">
        <f>IFERROR(IF(ISNUMBER($N8),INDEX('Skeet Ind Concurrent Ranking'!$H:$H,MATCH($N8,'Skeet Ind Concurrent Ranking'!$N:$N,0)),""),"")</f>
        <v>B</v>
      </c>
      <c r="T8" t="str">
        <f>IFERROR(IF(ISNUMBER($A11),INDEX('Skeet Ind Concurrent Ranking'!$A:$A,MATCH($A11,'Skeet Ind Concurrent Ranking'!$CC:$CC,0)),""),"")</f>
        <v>24-1029</v>
      </c>
      <c r="U8" t="str">
        <f>IFERROR(IF(ISNUMBER($A11),INDEX('Skeet Ind Concurrent Ranking'!$D:$D,MATCH($A11,'Skeet Ind Concurrent Ranking'!$CC:$CC,0)),""),"")</f>
        <v>Judy Last Name30</v>
      </c>
      <c r="V8" t="s">
        <v>848</v>
      </c>
      <c r="W8">
        <f t="shared" si="0"/>
        <v>7</v>
      </c>
    </row>
    <row r="9" spans="1:23" outlineLevel="1" x14ac:dyDescent="0.3">
      <c r="A9" s="1">
        <v>3</v>
      </c>
      <c r="B9" s="11" t="str">
        <f>IFERROR(IF(ISNUMBER($A9),INDEX('Skeet Ind Concurrent Ranking'!$D:$D,MATCH($A9,'Skeet Ind Concurrent Ranking'!$CA:$CA,0)),""),"")</f>
        <v>Marty Last Name34</v>
      </c>
      <c r="C9" s="40">
        <f>IFERROR(IF(ISNUMBER($A9),INDEX('Skeet Ind Concurrent Ranking'!$I:$I,MATCH($A9,'Skeet Ind Concurrent Ranking'!$CA:$CA,0)),""),"")</f>
        <v>68</v>
      </c>
      <c r="D9" s="11" t="str">
        <f>IFERROR(IF(ISNUMBER($A9),INDEX('Skeet Ind Concurrent Ranking'!$D:$D,MATCH($A9,'Skeet Ind Concurrent Ranking'!$CH:$CH,0)),""),"")</f>
        <v>Gary Last Name26</v>
      </c>
      <c r="E9" s="40">
        <f>IFERROR(IF(ISNUMBER($A9),INDEX('Skeet Ind Concurrent Ranking'!$I:$I,MATCH($A9,'Skeet Ind Concurrent Ranking'!$CH:$CH,0)),""),"")</f>
        <v>86</v>
      </c>
      <c r="F9" s="11" t="str">
        <f>IFERROR(IF(ISNUMBER($A9),INDEX('Skeet Ind Concurrent Ranking'!$D:$D,MATCH($A9,'Skeet Ind Concurrent Ranking'!$CO:$CO,0)),""),"")</f>
        <v>Bruce Last Name13</v>
      </c>
      <c r="G9" s="40">
        <f>IFERROR(IF(ISNUMBER($A9),INDEX('Skeet Ind Concurrent Ranking'!$I:$I,MATCH($A9,'Skeet Ind Concurrent Ranking'!$CO:$CO,0)),""),"")</f>
        <v>72.099999999999994</v>
      </c>
      <c r="H9" s="11" t="str">
        <f>IFERROR(IF(ISNUMBER($A9),INDEX('Skeet Ind Concurrent Ranking'!$D:$D,MATCH($A9,'Skeet Ind Concurrent Ranking'!$CV:$CV,0)),""),"")</f>
        <v>Paul Last Name16</v>
      </c>
      <c r="I9" s="40">
        <f>IFERROR(IF(ISNUMBER($A9),INDEX('Skeet Ind Concurrent Ranking'!$I:$I,MATCH($A9,'Skeet Ind Concurrent Ranking'!$CV:$CV,0)),""),"")</f>
        <v>42</v>
      </c>
      <c r="J9" s="1">
        <v>8</v>
      </c>
      <c r="K9" s="11" t="str">
        <f>IFERROR(IF(ISNUMBER($J9),INDEX('Skeet Ind Concurrent Ranking'!$D:$D,MATCH($J9,'Skeet Ind Concurrent Ranking'!$N:$N,0)),""),"")</f>
        <v>Matt Last Name5</v>
      </c>
      <c r="L9" s="51">
        <f>IFERROR(IF(ISNUMBER($J9),INDEX('Skeet Ind Concurrent Ranking'!$I:$I,MATCH($J9,'Skeet Ind Concurrent Ranking'!$N:$N,0)),""),"")</f>
        <v>89.1</v>
      </c>
      <c r="M9" s="40" t="str">
        <f>IFERROR(IF(ISNUMBER($J9),INDEX('Skeet Ind Concurrent Ranking'!$H:$H,MATCH($J9,'Skeet Ind Concurrent Ranking'!$N:$N,0)),""),"")</f>
        <v>A</v>
      </c>
      <c r="N9" s="1">
        <v>48</v>
      </c>
      <c r="O9" s="11" t="str">
        <f>IFERROR(IF(ISNUMBER($N9),INDEX('Skeet Ind Concurrent Ranking'!$D:$D,MATCH($N9,'Skeet Ind Concurrent Ranking'!$N:$N,0)),""),"")</f>
        <v>Kelly Last Name32</v>
      </c>
      <c r="P9" s="51">
        <f>IFERROR(IF(ISNUMBER($N9),INDEX('Skeet Ind Concurrent Ranking'!$I:$I,MATCH($N9,'Skeet Ind Concurrent Ranking'!$N:$N,0)),""),"")</f>
        <v>29</v>
      </c>
      <c r="Q9" s="40" t="str">
        <f>IFERROR(IF(ISNUMBER($N9),INDEX('Skeet Ind Concurrent Ranking'!$H:$H,MATCH($N9,'Skeet Ind Concurrent Ranking'!$N:$N,0)),""),"")</f>
        <v>C</v>
      </c>
      <c r="T9" t="str">
        <f>IFERROR(IF(ISNUMBER($A12),INDEX('Skeet Ind Concurrent Ranking'!$A:$A,MATCH($A12,'Skeet Ind Concurrent Ranking'!$CC:$CC,0)),""),"")</f>
        <v/>
      </c>
      <c r="U9" t="str">
        <f>IFERROR(IF(ISNUMBER($A12),INDEX('Skeet Ind Concurrent Ranking'!$D:$D,MATCH($A12,'Skeet Ind Concurrent Ranking'!$CC:$CC,0)),""),"")</f>
        <v/>
      </c>
      <c r="V9" t="s">
        <v>849</v>
      </c>
      <c r="W9">
        <f t="shared" si="0"/>
        <v>8</v>
      </c>
    </row>
    <row r="10" spans="1:23" outlineLevel="1" x14ac:dyDescent="0.3">
      <c r="B10" s="43" t="s">
        <v>708</v>
      </c>
      <c r="C10" s="44"/>
      <c r="D10" s="43" t="s">
        <v>708</v>
      </c>
      <c r="E10" s="45"/>
      <c r="F10" s="43" t="s">
        <v>708</v>
      </c>
      <c r="G10" s="45"/>
      <c r="H10" s="43" t="s">
        <v>708</v>
      </c>
      <c r="I10" s="45"/>
      <c r="J10" s="1">
        <v>9</v>
      </c>
      <c r="K10" s="11" t="str">
        <f>IFERROR(IF(ISNUMBER($J10),INDEX('Skeet Ind Concurrent Ranking'!$D:$D,MATCH($J10,'Skeet Ind Concurrent Ranking'!$N:$N,0)),""),"")</f>
        <v>Daniel Last Name15</v>
      </c>
      <c r="L10" s="51">
        <f>IFERROR(IF(ISNUMBER($J10),INDEX('Skeet Ind Concurrent Ranking'!$I:$I,MATCH($J10,'Skeet Ind Concurrent Ranking'!$N:$N,0)),""),"")</f>
        <v>89.1</v>
      </c>
      <c r="M10" s="40" t="str">
        <f>IFERROR(IF(ISNUMBER($J10),INDEX('Skeet Ind Concurrent Ranking'!$H:$H,MATCH($J10,'Skeet Ind Concurrent Ranking'!$N:$N,0)),""),"")</f>
        <v>B</v>
      </c>
      <c r="N10" s="1">
        <v>49</v>
      </c>
      <c r="O10" s="11" t="str">
        <f>IFERROR(IF(ISNUMBER($N10),INDEX('Skeet Ind Concurrent Ranking'!$D:$D,MATCH($N10,'Skeet Ind Concurrent Ranking'!$N:$N,0)),""),"")</f>
        <v/>
      </c>
      <c r="P10" s="51" t="str">
        <f>IFERROR(IF(ISNUMBER($N10),INDEX('Skeet Ind Concurrent Ranking'!$I:$I,MATCH($N10,'Skeet Ind Concurrent Ranking'!$N:$N,0)),""),"")</f>
        <v/>
      </c>
      <c r="Q10" s="40" t="str">
        <f>IFERROR(IF(ISNUMBER($N10),INDEX('Skeet Ind Concurrent Ranking'!$H:$H,MATCH($N10,'Skeet Ind Concurrent Ranking'!$N:$N,0)),""),"")</f>
        <v/>
      </c>
      <c r="T10" t="str">
        <f>IFERROR(IF(ISNUMBER($A13),INDEX('Skeet Ind Concurrent Ranking'!$A:$A,MATCH($A13,'Skeet Ind Concurrent Ranking'!$CC:$CC,0)),""),"")</f>
        <v/>
      </c>
      <c r="U10" t="str">
        <f>IFERROR(IF(ISNUMBER($A13),INDEX('Skeet Ind Concurrent Ranking'!$D:$D,MATCH($A13,'Skeet Ind Concurrent Ranking'!$CC:$CC,0)),""),"")</f>
        <v/>
      </c>
      <c r="V10" t="s">
        <v>850</v>
      </c>
      <c r="W10">
        <f t="shared" si="0"/>
        <v>9</v>
      </c>
    </row>
    <row r="11" spans="1:23" outlineLevel="1" x14ac:dyDescent="0.3">
      <c r="A11" s="1">
        <v>1</v>
      </c>
      <c r="B11" s="11" t="str">
        <f>IFERROR(IF(ISNUMBER($A11),INDEX('Skeet Ind Concurrent Ranking'!$D:$D,MATCH($A11,'Skeet Ind Concurrent Ranking'!$CC:$CC,0)),""),"")</f>
        <v>Judy Last Name30</v>
      </c>
      <c r="C11" s="40">
        <f>IFERROR(IF(ISNUMBER($A11),INDEX('Skeet Ind Concurrent Ranking'!$I:$I,MATCH($A11,'Skeet Ind Concurrent Ranking'!$CC:$CC,0)),""),"")</f>
        <v>51</v>
      </c>
      <c r="D11" s="11" t="str">
        <f>IFERROR(IF(ISNUMBER($A11),INDEX('Skeet Ind Concurrent Ranking'!$D:$D,MATCH($A11,'Skeet Ind Concurrent Ranking'!$CJ:$CJ,0)),""),"")</f>
        <v>Shelly Last Name31</v>
      </c>
      <c r="E11" s="40">
        <f>IFERROR(IF(ISNUMBER($A11),INDEX('Skeet Ind Concurrent Ranking'!$I:$I,MATCH($A11,'Skeet Ind Concurrent Ranking'!$CJ:$CJ,0)),""),"")</f>
        <v>92</v>
      </c>
      <c r="F11" s="11" t="str">
        <f>IFERROR(IF(ISNUMBER($A11),INDEX('Skeet Ind Concurrent Ranking'!$D:$D,MATCH($A11,'Skeet Ind Concurrent Ranking'!$CQ:$CQ,0)),""),"")</f>
        <v>Becky Last Name27</v>
      </c>
      <c r="G11" s="40">
        <f>IFERROR(IF(ISNUMBER($A11),INDEX('Skeet Ind Concurrent Ranking'!$I:$I,MATCH($A11,'Skeet Ind Concurrent Ranking'!$CQ:$CQ,0)),""),"")</f>
        <v>45</v>
      </c>
      <c r="H11" s="11" t="str">
        <f>IFERROR(IF(ISNUMBER($A11),INDEX('Skeet Ind Concurrent Ranking'!$D:$D,MATCH($A11,'Skeet Ind Concurrent Ranking'!$CX:$CX,0)),""),"")</f>
        <v>Joan Last Name17</v>
      </c>
      <c r="I11" s="40">
        <f>IFERROR(IF(ISNUMBER($A11),INDEX('Skeet Ind Concurrent Ranking'!$I:$I,MATCH($A11,'Skeet Ind Concurrent Ranking'!$CX:$CX,0)),""),"")</f>
        <v>60.1</v>
      </c>
      <c r="J11" s="1">
        <v>10</v>
      </c>
      <c r="K11" s="11" t="str">
        <f>IFERROR(IF(ISNUMBER($J11),INDEX('Skeet Ind Concurrent Ranking'!$D:$D,MATCH($J11,'Skeet Ind Concurrent Ranking'!$N:$N,0)),""),"")</f>
        <v>Stuart Last Name38</v>
      </c>
      <c r="L11" s="51">
        <f>IFERROR(IF(ISNUMBER($J11),INDEX('Skeet Ind Concurrent Ranking'!$I:$I,MATCH($J11,'Skeet Ind Concurrent Ranking'!$N:$N,0)),""),"")</f>
        <v>89</v>
      </c>
      <c r="M11" s="40" t="str">
        <f>IFERROR(IF(ISNUMBER($J11),INDEX('Skeet Ind Concurrent Ranking'!$H:$H,MATCH($J11,'Skeet Ind Concurrent Ranking'!$N:$N,0)),""),"")</f>
        <v>B</v>
      </c>
      <c r="N11" s="1">
        <v>50</v>
      </c>
      <c r="O11" s="11" t="str">
        <f>IFERROR(IF(ISNUMBER($N11),INDEX('Skeet Ind Concurrent Ranking'!$D:$D,MATCH($N11,'Skeet Ind Concurrent Ranking'!$N:$N,0)),""),"")</f>
        <v/>
      </c>
      <c r="P11" s="51" t="str">
        <f>IFERROR(IF(ISNUMBER($N11),INDEX('Skeet Ind Concurrent Ranking'!$I:$I,MATCH($N11,'Skeet Ind Concurrent Ranking'!$N:$N,0)),""),"")</f>
        <v/>
      </c>
      <c r="Q11" s="40" t="str">
        <f>IFERROR(IF(ISNUMBER($N11),INDEX('Skeet Ind Concurrent Ranking'!$H:$H,MATCH($N11,'Skeet Ind Concurrent Ranking'!$N:$N,0)),""),"")</f>
        <v/>
      </c>
      <c r="T11" t="str">
        <f>IFERROR(IF(ISNUMBER($A3),INDEX('Skeet Ind Concurrent Ranking'!$A:$A,MATCH($A3,'Skeet Ind Concurrent Ranking'!$CF:$CF,0)),""),"")</f>
        <v>24-1010</v>
      </c>
      <c r="U11" t="str">
        <f>IFERROR(IF(ISNUMBER($A3),INDEX('Skeet Ind Concurrent Ranking'!$D:$D,MATCH($A3,'Skeet Ind Concurrent Ranking'!$CF:$CF,0)),""),"")</f>
        <v>Bill Last Name11</v>
      </c>
      <c r="V11" t="s">
        <v>851</v>
      </c>
      <c r="W11">
        <f t="shared" si="0"/>
        <v>10</v>
      </c>
    </row>
    <row r="12" spans="1:23" outlineLevel="1" x14ac:dyDescent="0.3">
      <c r="A12" s="1">
        <v>2</v>
      </c>
      <c r="B12" s="11" t="str">
        <f>IFERROR(IF(ISNUMBER($A12),INDEX('Skeet Ind Concurrent Ranking'!$D:$D,MATCH($A12,'Skeet Ind Concurrent Ranking'!$CC:$CC,0)),""),"")</f>
        <v/>
      </c>
      <c r="C12" s="40" t="str">
        <f>IFERROR(IF(ISNUMBER($A12),INDEX('Skeet Ind Concurrent Ranking'!$I:$I,MATCH($A12,'Skeet Ind Concurrent Ranking'!$CC:$CC,0)),""),"")</f>
        <v/>
      </c>
      <c r="D12" s="11" t="str">
        <f>IFERROR(IF(ISNUMBER($A12),INDEX('Skeet Ind Concurrent Ranking'!$D:$D,MATCH($A12,'Skeet Ind Concurrent Ranking'!$CJ:$CJ,0)),""),"")</f>
        <v>Linda Last Name9</v>
      </c>
      <c r="E12" s="40">
        <f>IFERROR(IF(ISNUMBER($A12),INDEX('Skeet Ind Concurrent Ranking'!$I:$I,MATCH($A12,'Skeet Ind Concurrent Ranking'!$CJ:$CJ,0)),""),"")</f>
        <v>75</v>
      </c>
      <c r="F12" s="11" t="str">
        <f>IFERROR(IF(ISNUMBER($A12),INDEX('Skeet Ind Concurrent Ranking'!$D:$D,MATCH($A12,'Skeet Ind Concurrent Ranking'!$CQ:$CQ,0)),""),"")</f>
        <v>Kelly Last Name32</v>
      </c>
      <c r="G12" s="40">
        <f>IFERROR(IF(ISNUMBER($A12),INDEX('Skeet Ind Concurrent Ranking'!$I:$I,MATCH($A12,'Skeet Ind Concurrent Ranking'!$CQ:$CQ,0)),""),"")</f>
        <v>29</v>
      </c>
      <c r="H12" s="11" t="str">
        <f>IFERROR(IF(ISNUMBER($A12),INDEX('Skeet Ind Concurrent Ranking'!$D:$D,MATCH($A12,'Skeet Ind Concurrent Ranking'!$CX:$CX,0)),""),"")</f>
        <v/>
      </c>
      <c r="I12" s="40" t="str">
        <f>IFERROR(IF(ISNUMBER($A12),INDEX('Skeet Ind Concurrent Ranking'!$I:$I,MATCH($A12,'Skeet Ind Concurrent Ranking'!$CX:$CX,0)),""),"")</f>
        <v/>
      </c>
      <c r="J12" s="1">
        <v>11</v>
      </c>
      <c r="K12" s="11" t="str">
        <f>IFERROR(IF(ISNUMBER($J12),INDEX('Skeet Ind Concurrent Ranking'!$D:$D,MATCH($J12,'Skeet Ind Concurrent Ranking'!$N:$N,0)),""),"")</f>
        <v>Terry Last Name43</v>
      </c>
      <c r="L12" s="51">
        <f>IFERROR(IF(ISNUMBER($J12),INDEX('Skeet Ind Concurrent Ranking'!$I:$I,MATCH($J12,'Skeet Ind Concurrent Ranking'!$N:$N,0)),""),"")</f>
        <v>88</v>
      </c>
      <c r="M12" s="40" t="str">
        <f>IFERROR(IF(ISNUMBER($J12),INDEX('Skeet Ind Concurrent Ranking'!$H:$H,MATCH($J12,'Skeet Ind Concurrent Ranking'!$N:$N,0)),""),"")</f>
        <v>C</v>
      </c>
      <c r="N12" s="1">
        <v>51</v>
      </c>
      <c r="O12" s="11" t="str">
        <f>IFERROR(IF(ISNUMBER($N12),INDEX('Skeet Ind Concurrent Ranking'!$D:$D,MATCH($N12,'Skeet Ind Concurrent Ranking'!$N:$N,0)),""),"")</f>
        <v/>
      </c>
      <c r="P12" s="51" t="str">
        <f>IFERROR(IF(ISNUMBER($N12),INDEX('Skeet Ind Concurrent Ranking'!$I:$I,MATCH($N12,'Skeet Ind Concurrent Ranking'!$N:$N,0)),""),"")</f>
        <v/>
      </c>
      <c r="Q12" s="40" t="str">
        <f>IFERROR(IF(ISNUMBER($N12),INDEX('Skeet Ind Concurrent Ranking'!$H:$H,MATCH($N12,'Skeet Ind Concurrent Ranking'!$N:$N,0)),""),"")</f>
        <v/>
      </c>
      <c r="T12" t="str">
        <f>IFERROR(IF(ISNUMBER($A4),INDEX('Skeet Ind Concurrent Ranking'!$A:$A,MATCH($A4,'Skeet Ind Concurrent Ranking'!$CF:$CF,0)),""),"")</f>
        <v>24-1002</v>
      </c>
      <c r="U12" t="str">
        <f>IFERROR(IF(ISNUMBER($A4),INDEX('Skeet Ind Concurrent Ranking'!$D:$D,MATCH($A4,'Skeet Ind Concurrent Ranking'!$CF:$CF,0)),""),"")</f>
        <v>Cathy Last Name3</v>
      </c>
      <c r="V12" t="s">
        <v>852</v>
      </c>
      <c r="W12">
        <f t="shared" si="0"/>
        <v>11</v>
      </c>
    </row>
    <row r="13" spans="1:23" outlineLevel="1" x14ac:dyDescent="0.3">
      <c r="A13" s="1">
        <v>3</v>
      </c>
      <c r="B13" s="11" t="str">
        <f>IFERROR(IF(ISNUMBER($A13),INDEX('Skeet Ind Concurrent Ranking'!$D:$D,MATCH($A13,'Skeet Ind Concurrent Ranking'!$CC:$CC,0)),""),"")</f>
        <v/>
      </c>
      <c r="C13" s="40" t="str">
        <f>IFERROR(IF(ISNUMBER($A13),INDEX('Skeet Ind Concurrent Ranking'!$I:$I,MATCH($A13,'Skeet Ind Concurrent Ranking'!$CC:$CC,0)),""),"")</f>
        <v/>
      </c>
      <c r="D13" s="11" t="str">
        <f>IFERROR(IF(ISNUMBER($A13),INDEX('Skeet Ind Concurrent Ranking'!$D:$D,MATCH($A13,'Skeet Ind Concurrent Ranking'!$CJ:$CJ,0)),""),"")</f>
        <v>Missy Last Name33</v>
      </c>
      <c r="E13" s="40">
        <f>IFERROR(IF(ISNUMBER($A13),INDEX('Skeet Ind Concurrent Ranking'!$I:$I,MATCH($A13,'Skeet Ind Concurrent Ranking'!$CJ:$CJ,0)),""),"")</f>
        <v>73</v>
      </c>
      <c r="F13" s="11" t="str">
        <f>IFERROR(IF(ISNUMBER($A13),INDEX('Skeet Ind Concurrent Ranking'!$D:$D,MATCH($A13,'Skeet Ind Concurrent Ranking'!$CQ:$CQ,0)),""),"")</f>
        <v/>
      </c>
      <c r="G13" s="40" t="str">
        <f>IFERROR(IF(ISNUMBER($A13),INDEX('Skeet Ind Concurrent Ranking'!$I:$I,MATCH($A13,'Skeet Ind Concurrent Ranking'!$CQ:$CQ,0)),""),"")</f>
        <v/>
      </c>
      <c r="H13" s="11" t="str">
        <f>IFERROR(IF(ISNUMBER($A13),INDEX('Skeet Ind Concurrent Ranking'!$D:$D,MATCH($A13,'Skeet Ind Concurrent Ranking'!$CX:$CX,0)),""),"")</f>
        <v/>
      </c>
      <c r="I13" s="40" t="str">
        <f>IFERROR(IF(ISNUMBER($A13),INDEX('Skeet Ind Concurrent Ranking'!$I:$I,MATCH($A13,'Skeet Ind Concurrent Ranking'!$CX:$CX,0)),""),"")</f>
        <v/>
      </c>
      <c r="J13" s="1">
        <v>12</v>
      </c>
      <c r="K13" s="11" t="str">
        <f>IFERROR(IF(ISNUMBER($J13),INDEX('Skeet Ind Concurrent Ranking'!$D:$D,MATCH($J13,'Skeet Ind Concurrent Ranking'!$N:$N,0)),""),"")</f>
        <v>Gary Last Name26</v>
      </c>
      <c r="L13" s="51">
        <f>IFERROR(IF(ISNUMBER($J13),INDEX('Skeet Ind Concurrent Ranking'!$I:$I,MATCH($J13,'Skeet Ind Concurrent Ranking'!$N:$N,0)),""),"")</f>
        <v>86</v>
      </c>
      <c r="M13" s="40" t="str">
        <f>IFERROR(IF(ISNUMBER($J13),INDEX('Skeet Ind Concurrent Ranking'!$H:$H,MATCH($J13,'Skeet Ind Concurrent Ranking'!$N:$N,0)),""),"")</f>
        <v>B</v>
      </c>
      <c r="N13" s="1">
        <v>52</v>
      </c>
      <c r="O13" s="11" t="str">
        <f>IFERROR(IF(ISNUMBER($N13),INDEX('Skeet Ind Concurrent Ranking'!$D:$D,MATCH($N13,'Skeet Ind Concurrent Ranking'!$N:$N,0)),""),"")</f>
        <v/>
      </c>
      <c r="P13" s="51" t="str">
        <f>IFERROR(IF(ISNUMBER($N13),INDEX('Skeet Ind Concurrent Ranking'!$I:$I,MATCH($N13,'Skeet Ind Concurrent Ranking'!$N:$N,0)),""),"")</f>
        <v/>
      </c>
      <c r="Q13" s="40" t="str">
        <f>IFERROR(IF(ISNUMBER($N13),INDEX('Skeet Ind Concurrent Ranking'!$H:$H,MATCH($N13,'Skeet Ind Concurrent Ranking'!$N:$N,0)),""),"")</f>
        <v/>
      </c>
      <c r="T13" t="str">
        <f>IFERROR(IF(ISNUMBER($A5),INDEX('Skeet Ind Concurrent Ranking'!$A:$A,MATCH($A5,'Skeet Ind Concurrent Ranking'!$CF:$CF,0)),""),"")</f>
        <v>24-1009</v>
      </c>
      <c r="U13" t="str">
        <f>IFERROR(IF(ISNUMBER($A5),INDEX('Skeet Ind Concurrent Ranking'!$D:$D,MATCH($A5,'Skeet Ind Concurrent Ranking'!$CF:$CF,0)),""),"")</f>
        <v>Christy Last Name10</v>
      </c>
      <c r="V13" t="s">
        <v>853</v>
      </c>
      <c r="W13">
        <f t="shared" si="0"/>
        <v>12</v>
      </c>
    </row>
    <row r="14" spans="1:23" outlineLevel="1" x14ac:dyDescent="0.3">
      <c r="B14" s="41"/>
      <c r="C14" s="42"/>
      <c r="D14" s="41"/>
      <c r="E14" s="42"/>
      <c r="F14" s="41"/>
      <c r="G14" s="42"/>
      <c r="H14" s="41"/>
      <c r="I14" s="42"/>
      <c r="J14" s="1">
        <v>13</v>
      </c>
      <c r="K14" s="11" t="str">
        <f>IFERROR(IF(ISNUMBER($J14),INDEX('Skeet Ind Concurrent Ranking'!$D:$D,MATCH($J14,'Skeet Ind Concurrent Ranking'!$N:$N,0)),""),"")</f>
        <v>Jason Last Name1</v>
      </c>
      <c r="L14" s="51">
        <f>IFERROR(IF(ISNUMBER($J14),INDEX('Skeet Ind Concurrent Ranking'!$I:$I,MATCH($J14,'Skeet Ind Concurrent Ranking'!$N:$N,0)),""),"")</f>
        <v>85</v>
      </c>
      <c r="M14" s="40" t="str">
        <f>IFERROR(IF(ISNUMBER($J14),INDEX('Skeet Ind Concurrent Ranking'!$H:$H,MATCH($J14,'Skeet Ind Concurrent Ranking'!$N:$N,0)),""),"")</f>
        <v>D</v>
      </c>
      <c r="N14" s="1">
        <v>53</v>
      </c>
      <c r="O14" s="11" t="str">
        <f>IFERROR(IF(ISNUMBER($N14),INDEX('Skeet Ind Concurrent Ranking'!$D:$D,MATCH($N14,'Skeet Ind Concurrent Ranking'!$N:$N,0)),""),"")</f>
        <v/>
      </c>
      <c r="P14" s="51" t="str">
        <f>IFERROR(IF(ISNUMBER($N14),INDEX('Skeet Ind Concurrent Ranking'!$I:$I,MATCH($N14,'Skeet Ind Concurrent Ranking'!$N:$N,0)),""),"")</f>
        <v/>
      </c>
      <c r="Q14" s="40" t="str">
        <f>IFERROR(IF(ISNUMBER($N14),INDEX('Skeet Ind Concurrent Ranking'!$H:$H,MATCH($N14,'Skeet Ind Concurrent Ranking'!$N:$N,0)),""),"")</f>
        <v/>
      </c>
      <c r="T14" t="str">
        <f>IFERROR(IF(ISNUMBER($A7),INDEX('Skeet Ind Concurrent Ranking'!$A:$A,MATCH($A7,'Skeet Ind Concurrent Ranking'!$CH:$CH,0)),""),"")</f>
        <v>24-1014</v>
      </c>
      <c r="U14" t="str">
        <f>IFERROR(IF(ISNUMBER($A7),INDEX('Skeet Ind Concurrent Ranking'!$D:$D,MATCH($A7,'Skeet Ind Concurrent Ranking'!$CH:$CH,0)),""),"")</f>
        <v>Daniel Last Name15</v>
      </c>
      <c r="V14" t="s">
        <v>854</v>
      </c>
      <c r="W14">
        <f t="shared" si="0"/>
        <v>13</v>
      </c>
    </row>
    <row r="15" spans="1:23" x14ac:dyDescent="0.3">
      <c r="B15" s="66"/>
      <c r="C15" s="66"/>
      <c r="D15" s="66"/>
      <c r="E15" s="66"/>
      <c r="F15" s="66"/>
      <c r="G15" s="66"/>
      <c r="H15" s="66"/>
      <c r="I15" s="66"/>
      <c r="J15" s="1">
        <v>14</v>
      </c>
      <c r="K15" s="11" t="str">
        <f>IFERROR(IF(ISNUMBER($J15),INDEX('Skeet Ind Concurrent Ranking'!$D:$D,MATCH($J15,'Skeet Ind Concurrent Ranking'!$N:$N,0)),""),"")</f>
        <v>Will Last Name37</v>
      </c>
      <c r="L15" s="51">
        <f>IFERROR(IF(ISNUMBER($J15),INDEX('Skeet Ind Concurrent Ranking'!$I:$I,MATCH($J15,'Skeet Ind Concurrent Ranking'!$N:$N,0)),""),"")</f>
        <v>85</v>
      </c>
      <c r="M15" s="40" t="str">
        <f>IFERROR(IF(ISNUMBER($J15),INDEX('Skeet Ind Concurrent Ranking'!$H:$H,MATCH($J15,'Skeet Ind Concurrent Ranking'!$N:$N,0)),""),"")</f>
        <v>B</v>
      </c>
      <c r="N15" s="1">
        <v>54</v>
      </c>
      <c r="O15" s="11" t="str">
        <f>IFERROR(IF(ISNUMBER($N15),INDEX('Skeet Ind Concurrent Ranking'!$D:$D,MATCH($N15,'Skeet Ind Concurrent Ranking'!$N:$N,0)),""),"")</f>
        <v/>
      </c>
      <c r="P15" s="51" t="str">
        <f>IFERROR(IF(ISNUMBER($N15),INDEX('Skeet Ind Concurrent Ranking'!$I:$I,MATCH($N15,'Skeet Ind Concurrent Ranking'!$N:$N,0)),""),"")</f>
        <v/>
      </c>
      <c r="Q15" s="40" t="str">
        <f>IFERROR(IF(ISNUMBER($N15),INDEX('Skeet Ind Concurrent Ranking'!$H:$H,MATCH($N15,'Skeet Ind Concurrent Ranking'!$N:$N,0)),""),"")</f>
        <v/>
      </c>
      <c r="T15" t="str">
        <f>IFERROR(IF(ISNUMBER($A8),INDEX('Skeet Ind Concurrent Ranking'!$A:$A,MATCH($A8,'Skeet Ind Concurrent Ranking'!$CH:$CH,0)),""),"")</f>
        <v>24-1037</v>
      </c>
      <c r="U15" t="str">
        <f>IFERROR(IF(ISNUMBER($A8),INDEX('Skeet Ind Concurrent Ranking'!$D:$D,MATCH($A8,'Skeet Ind Concurrent Ranking'!$CH:$CH,0)),""),"")</f>
        <v>Stuart Last Name38</v>
      </c>
      <c r="V15" t="s">
        <v>855</v>
      </c>
      <c r="W15">
        <f t="shared" si="0"/>
        <v>14</v>
      </c>
    </row>
    <row r="16" spans="1:23" x14ac:dyDescent="0.3">
      <c r="B16" s="41" t="s">
        <v>272</v>
      </c>
      <c r="C16" s="42"/>
      <c r="D16" s="41" t="s">
        <v>273</v>
      </c>
      <c r="E16" s="42"/>
      <c r="F16" s="41" t="s">
        <v>274</v>
      </c>
      <c r="G16" s="42"/>
      <c r="H16" s="41" t="s">
        <v>275</v>
      </c>
      <c r="I16" s="42"/>
      <c r="J16" s="1">
        <v>15</v>
      </c>
      <c r="K16" s="11" t="str">
        <f>IFERROR(IF(ISNUMBER($J16),INDEX('Skeet Ind Concurrent Ranking'!$D:$D,MATCH($J16,'Skeet Ind Concurrent Ranking'!$N:$N,0)),""),"")</f>
        <v>Trey Last Name41</v>
      </c>
      <c r="L16" s="51">
        <f>IFERROR(IF(ISNUMBER($J16),INDEX('Skeet Ind Concurrent Ranking'!$I:$I,MATCH($J16,'Skeet Ind Concurrent Ranking'!$N:$N,0)),""),"")</f>
        <v>84</v>
      </c>
      <c r="M16" s="40" t="str">
        <f>IFERROR(IF(ISNUMBER($J16),INDEX('Skeet Ind Concurrent Ranking'!$H:$H,MATCH($J16,'Skeet Ind Concurrent Ranking'!$N:$N,0)),""),"")</f>
        <v>C</v>
      </c>
      <c r="N16" s="1">
        <v>55</v>
      </c>
      <c r="O16" s="11" t="str">
        <f>IFERROR(IF(ISNUMBER($N16),INDEX('Skeet Ind Concurrent Ranking'!$D:$D,MATCH($N16,'Skeet Ind Concurrent Ranking'!$N:$N,0)),""),"")</f>
        <v/>
      </c>
      <c r="P16" s="51" t="str">
        <f>IFERROR(IF(ISNUMBER($N16),INDEX('Skeet Ind Concurrent Ranking'!$I:$I,MATCH($N16,'Skeet Ind Concurrent Ranking'!$N:$N,0)),""),"")</f>
        <v/>
      </c>
      <c r="Q16" s="40" t="str">
        <f>IFERROR(IF(ISNUMBER($N16),INDEX('Skeet Ind Concurrent Ranking'!$H:$H,MATCH($N16,'Skeet Ind Concurrent Ranking'!$N:$N,0)),""),"")</f>
        <v/>
      </c>
      <c r="T16" t="str">
        <f>IFERROR(IF(ISNUMBER($A9),INDEX('Skeet Ind Concurrent Ranking'!$A:$A,MATCH($A9,'Skeet Ind Concurrent Ranking'!$CH:$CH,0)),""),"")</f>
        <v>24-1025</v>
      </c>
      <c r="U16" t="str">
        <f>IFERROR(IF(ISNUMBER($A9),INDEX('Skeet Ind Concurrent Ranking'!$D:$D,MATCH($A9,'Skeet Ind Concurrent Ranking'!$CH:$CH,0)),""),"")</f>
        <v>Gary Last Name26</v>
      </c>
      <c r="V16" t="s">
        <v>856</v>
      </c>
      <c r="W16">
        <f t="shared" si="0"/>
        <v>15</v>
      </c>
    </row>
    <row r="17" spans="2:23" x14ac:dyDescent="0.3">
      <c r="B17" s="11" t="str">
        <f>IFERROR(IF(ISNUMBER($J2),INDEX('Skeet Ind Concurrent Ranking'!$D:$D,MATCH($J2,'Skeet Ind Concurrent Ranking'!$BX:$BX,0)),""),"")</f>
        <v>Patricia Last Name35</v>
      </c>
      <c r="C17" s="40">
        <f>IFERROR(IF(ISNUMBER($J2),INDEX('Skeet Ind Concurrent Ranking'!$I:$I,MATCH($J2,'Skeet Ind Concurrent Ranking'!$BX:$BX,0)),""),"")</f>
        <v>95</v>
      </c>
      <c r="D17" s="11" t="str">
        <f>IFERROR(IF(ISNUMBER($J2),INDEX('Skeet Ind Concurrent Ranking'!$D:$D,MATCH($J2,'Skeet Ind Concurrent Ranking'!$CE:$CE,0)),""),"")</f>
        <v>Bill Last Name11</v>
      </c>
      <c r="E17" s="40">
        <f>IFERROR(IF(ISNUMBER($J2),INDEX('Skeet Ind Concurrent Ranking'!$I:$I,MATCH($J2,'Skeet Ind Concurrent Ranking'!$CE:$CE,0)),""),"")</f>
        <v>98</v>
      </c>
      <c r="F17" s="11" t="str">
        <f>IFERROR(IF(ISNUMBER($J2),INDEX('Skeet Ind Concurrent Ranking'!$D:$D,MATCH($J2,'Skeet Ind Concurrent Ranking'!$CL:$CL,0)),""),"")</f>
        <v>Blake Last Name7</v>
      </c>
      <c r="G17" s="40">
        <f>IFERROR(IF(ISNUMBER($J2),INDEX('Skeet Ind Concurrent Ranking'!$I:$I,MATCH($J2,'Skeet Ind Concurrent Ranking'!$CL:$CL,0)),""),"")</f>
        <v>97</v>
      </c>
      <c r="H17" s="11" t="str">
        <f>IFERROR(IF(ISNUMBER($J2),INDEX('Skeet Ind Concurrent Ranking'!$D:$D,MATCH($J2,'Skeet Ind Concurrent Ranking'!CS:$CS,0)),""),"")</f>
        <v>Jason Last Name1</v>
      </c>
      <c r="I17" s="40">
        <f>IFERROR(IF(ISNUMBER($J2),INDEX('Skeet Ind Concurrent Ranking'!$I:$I,MATCH($J2,'Skeet Ind Concurrent Ranking'!$CS:$CS,0)),""),"")</f>
        <v>85</v>
      </c>
      <c r="J17" s="1">
        <v>16</v>
      </c>
      <c r="K17" s="11" t="str">
        <f>IFERROR(IF(ISNUMBER($J17),INDEX('Skeet Ind Concurrent Ranking'!$D:$D,MATCH($J17,'Skeet Ind Concurrent Ranking'!$N:$N,0)),""),"")</f>
        <v>Jack Last Name19</v>
      </c>
      <c r="L17" s="51">
        <f>IFERROR(IF(ISNUMBER($J17),INDEX('Skeet Ind Concurrent Ranking'!$I:$I,MATCH($J17,'Skeet Ind Concurrent Ranking'!$N:$N,0)),""),"")</f>
        <v>82.1</v>
      </c>
      <c r="M17" s="40" t="str">
        <f>IFERROR(IF(ISNUMBER($J17),INDEX('Skeet Ind Concurrent Ranking'!$H:$H,MATCH($J17,'Skeet Ind Concurrent Ranking'!$N:$N,0)),""),"")</f>
        <v>B</v>
      </c>
      <c r="N17" s="1">
        <v>56</v>
      </c>
      <c r="O17" s="11" t="str">
        <f>IFERROR(IF(ISNUMBER($N17),INDEX('Skeet Ind Concurrent Ranking'!$D:$D,MATCH($N17,'Skeet Ind Concurrent Ranking'!$N:$N,0)),""),"")</f>
        <v/>
      </c>
      <c r="P17" s="51" t="str">
        <f>IFERROR(IF(ISNUMBER($N17),INDEX('Skeet Ind Concurrent Ranking'!$I:$I,MATCH($N17,'Skeet Ind Concurrent Ranking'!$N:$N,0)),""),"")</f>
        <v/>
      </c>
      <c r="Q17" s="40" t="str">
        <f>IFERROR(IF(ISNUMBER($N17),INDEX('Skeet Ind Concurrent Ranking'!$H:$H,MATCH($N17,'Skeet Ind Concurrent Ranking'!$N:$N,0)),""),"")</f>
        <v/>
      </c>
      <c r="T17" t="str">
        <f>IFERROR(IF(ISNUMBER($A11),INDEX('Skeet Ind Concurrent Ranking'!$A:$A,MATCH($A11,'Skeet Ind Concurrent Ranking'!$CJ:$CJ,0)),""),"")</f>
        <v>24-1030</v>
      </c>
      <c r="U17" t="str">
        <f>IFERROR(IF(ISNUMBER($A11),INDEX('Skeet Ind Concurrent Ranking'!$D:$D,MATCH($A11,'Skeet Ind Concurrent Ranking'!$CJ:$CJ,0)),""),"")</f>
        <v>Shelly Last Name31</v>
      </c>
      <c r="V17" t="s">
        <v>857</v>
      </c>
      <c r="W17">
        <f t="shared" si="0"/>
        <v>16</v>
      </c>
    </row>
    <row r="18" spans="2:23" x14ac:dyDescent="0.3">
      <c r="B18" s="11" t="str">
        <f>IFERROR(IF(ISNUMBER($J3),INDEX('Skeet Ind Concurrent Ranking'!$D:$D,MATCH($J3,'Skeet Ind Concurrent Ranking'!$BX:$BX,0)),""),"")</f>
        <v>Matt Last Name5</v>
      </c>
      <c r="C18" s="40">
        <f>IFERROR(IF(ISNUMBER($J3),INDEX('Skeet Ind Concurrent Ranking'!$I:$I,MATCH($J3,'Skeet Ind Concurrent Ranking'!$BX:$BX,0)),""),"")</f>
        <v>89.1</v>
      </c>
      <c r="D18" s="11" t="str">
        <f>IFERROR(IF(ISNUMBER($J3),INDEX('Skeet Ind Concurrent Ranking'!$D:$D,MATCH($J3,'Skeet Ind Concurrent Ranking'!$CE:$CE,0)),""),"")</f>
        <v>Cathy Last Name3</v>
      </c>
      <c r="E18" s="40">
        <f>IFERROR(IF(ISNUMBER($J3),INDEX('Skeet Ind Concurrent Ranking'!$I:$I,MATCH($J3,'Skeet Ind Concurrent Ranking'!$CE:$CE,0)),""),"")</f>
        <v>96</v>
      </c>
      <c r="F18" s="11" t="str">
        <f>IFERROR(IF(ISNUMBER($J3),INDEX('Skeet Ind Concurrent Ranking'!$D:$D,MATCH($J3,'Skeet Ind Concurrent Ranking'!$CL:$CL,0)),""),"")</f>
        <v>Jill Last Name18</v>
      </c>
      <c r="G18" s="40">
        <f>IFERROR(IF(ISNUMBER($J3),INDEX('Skeet Ind Concurrent Ranking'!$I:$I,MATCH($J3,'Skeet Ind Concurrent Ranking'!$CL:$CL,0)),""),"")</f>
        <v>90</v>
      </c>
      <c r="H18" s="11" t="str">
        <f>IFERROR(IF(ISNUMBER($J3),INDEX('Skeet Ind Concurrent Ranking'!$D:$D,MATCH($J3,'Skeet Ind Concurrent Ranking'!CS:$CS,0)),""),"")</f>
        <v>Trisha Last Name44</v>
      </c>
      <c r="I18" s="40">
        <f>IFERROR(IF(ISNUMBER($J3),INDEX('Skeet Ind Concurrent Ranking'!$I:$I,MATCH($J3,'Skeet Ind Concurrent Ranking'!$CS:$CS,0)),""),"")</f>
        <v>72.099999999999994</v>
      </c>
      <c r="J18" s="1">
        <v>17</v>
      </c>
      <c r="K18" s="11" t="str">
        <f>IFERROR(IF(ISNUMBER($J18),INDEX('Skeet Ind Concurrent Ranking'!$D:$D,MATCH($J18,'Skeet Ind Concurrent Ranking'!$N:$N,0)),""),"")</f>
        <v>Susan Last Name4</v>
      </c>
      <c r="L18" s="51">
        <f>IFERROR(IF(ISNUMBER($J18),INDEX('Skeet Ind Concurrent Ranking'!$I:$I,MATCH($J18,'Skeet Ind Concurrent Ranking'!$N:$N,0)),""),"")</f>
        <v>82</v>
      </c>
      <c r="M18" s="40" t="str">
        <f>IFERROR(IF(ISNUMBER($J18),INDEX('Skeet Ind Concurrent Ranking'!$H:$H,MATCH($J18,'Skeet Ind Concurrent Ranking'!$N:$N,0)),""),"")</f>
        <v>A</v>
      </c>
      <c r="N18" s="1">
        <v>57</v>
      </c>
      <c r="O18" s="11" t="str">
        <f>IFERROR(IF(ISNUMBER($N18),INDEX('Skeet Ind Concurrent Ranking'!$D:$D,MATCH($N18,'Skeet Ind Concurrent Ranking'!$N:$N,0)),""),"")</f>
        <v/>
      </c>
      <c r="P18" s="51" t="str">
        <f>IFERROR(IF(ISNUMBER($N18),INDEX('Skeet Ind Concurrent Ranking'!$I:$I,MATCH($N18,'Skeet Ind Concurrent Ranking'!$N:$N,0)),""),"")</f>
        <v/>
      </c>
      <c r="Q18" s="40" t="str">
        <f>IFERROR(IF(ISNUMBER($N18),INDEX('Skeet Ind Concurrent Ranking'!$H:$H,MATCH($N18,'Skeet Ind Concurrent Ranking'!$N:$N,0)),""),"")</f>
        <v/>
      </c>
      <c r="T18" t="str">
        <f>IFERROR(IF(ISNUMBER($A12),INDEX('Skeet Ind Concurrent Ranking'!$A:$A,MATCH($A12,'Skeet Ind Concurrent Ranking'!$CJ:$CJ,0)),""),"")</f>
        <v>24-1008</v>
      </c>
      <c r="U18" t="str">
        <f>IFERROR(IF(ISNUMBER($A12),INDEX('Skeet Ind Concurrent Ranking'!$D:$D,MATCH($A12,'Skeet Ind Concurrent Ranking'!$CJ:$CJ,0)),""),"")</f>
        <v>Linda Last Name9</v>
      </c>
      <c r="V18" t="s">
        <v>858</v>
      </c>
      <c r="W18">
        <f t="shared" si="0"/>
        <v>17</v>
      </c>
    </row>
    <row r="19" spans="2:23" x14ac:dyDescent="0.3">
      <c r="B19" s="11" t="str">
        <f>IFERROR(IF(ISNUMBER($J4),INDEX('Skeet Ind Concurrent Ranking'!$D:$D,MATCH($J4,'Skeet Ind Concurrent Ranking'!$BX:$BX,0)),""),"")</f>
        <v>Susan Last Name4</v>
      </c>
      <c r="C19" s="40">
        <f>IFERROR(IF(ISNUMBER($J4),INDEX('Skeet Ind Concurrent Ranking'!$I:$I,MATCH($J4,'Skeet Ind Concurrent Ranking'!$BX:$BX,0)),""),"")</f>
        <v>82</v>
      </c>
      <c r="D19" s="11" t="str">
        <f>IFERROR(IF(ISNUMBER($J4),INDEX('Skeet Ind Concurrent Ranking'!$D:$D,MATCH($J4,'Skeet Ind Concurrent Ranking'!$CE:$CE,0)),""),"")</f>
        <v>Christy Last Name10</v>
      </c>
      <c r="E19" s="40">
        <f>IFERROR(IF(ISNUMBER($J4),INDEX('Skeet Ind Concurrent Ranking'!$I:$I,MATCH($J4,'Skeet Ind Concurrent Ranking'!$CE:$CE,0)),""),"")</f>
        <v>93</v>
      </c>
      <c r="F19" s="11" t="str">
        <f>IFERROR(IF(ISNUMBER($J4),INDEX('Skeet Ind Concurrent Ranking'!$D:$D,MATCH($J4,'Skeet Ind Concurrent Ranking'!$CL:$CL,0)),""),"")</f>
        <v>Terry Last Name43</v>
      </c>
      <c r="G19" s="40">
        <f>IFERROR(IF(ISNUMBER($J4),INDEX('Skeet Ind Concurrent Ranking'!$I:$I,MATCH($J4,'Skeet Ind Concurrent Ranking'!$CL:$CL,0)),""),"")</f>
        <v>88</v>
      </c>
      <c r="H19" s="11" t="str">
        <f>IFERROR(IF(ISNUMBER($J4),INDEX('Skeet Ind Concurrent Ranking'!$D:$D,MATCH($J4,'Skeet Ind Concurrent Ranking'!CS:$CS,0)),""),"")</f>
        <v>Brad Last Name28</v>
      </c>
      <c r="I19" s="40">
        <f>IFERROR(IF(ISNUMBER($J4),INDEX('Skeet Ind Concurrent Ranking'!$I:$I,MATCH($J4,'Skeet Ind Concurrent Ranking'!$CS:$CS,0)),""),"")</f>
        <v>63</v>
      </c>
      <c r="J19" s="1">
        <v>18</v>
      </c>
      <c r="K19" s="11" t="str">
        <f>IFERROR(IF(ISNUMBER($J19),INDEX('Skeet Ind Concurrent Ranking'!$D:$D,MATCH($J19,'Skeet Ind Concurrent Ranking'!$N:$N,0)),""),"")</f>
        <v>Alan Last Name29</v>
      </c>
      <c r="L19" s="51">
        <f>IFERROR(IF(ISNUMBER($J19),INDEX('Skeet Ind Concurrent Ranking'!$I:$I,MATCH($J19,'Skeet Ind Concurrent Ranking'!$N:$N,0)),""),"")</f>
        <v>80</v>
      </c>
      <c r="M19" s="40" t="str">
        <f>IFERROR(IF(ISNUMBER($J19),INDEX('Skeet Ind Concurrent Ranking'!$H:$H,MATCH($J19,'Skeet Ind Concurrent Ranking'!$N:$N,0)),""),"")</f>
        <v>A</v>
      </c>
      <c r="N19" s="1">
        <v>58</v>
      </c>
      <c r="O19" s="11" t="str">
        <f>IFERROR(IF(ISNUMBER($N19),INDEX('Skeet Ind Concurrent Ranking'!$D:$D,MATCH($N19,'Skeet Ind Concurrent Ranking'!$N:$N,0)),""),"")</f>
        <v/>
      </c>
      <c r="P19" s="51" t="str">
        <f>IFERROR(IF(ISNUMBER($N19),INDEX('Skeet Ind Concurrent Ranking'!$I:$I,MATCH($N19,'Skeet Ind Concurrent Ranking'!$N:$N,0)),""),"")</f>
        <v/>
      </c>
      <c r="Q19" s="40" t="str">
        <f>IFERROR(IF(ISNUMBER($N19),INDEX('Skeet Ind Concurrent Ranking'!$H:$H,MATCH($N19,'Skeet Ind Concurrent Ranking'!$N:$N,0)),""),"")</f>
        <v/>
      </c>
      <c r="T19" t="str">
        <f>IFERROR(IF(ISNUMBER($A13),INDEX('Skeet Ind Concurrent Ranking'!$A:$A,MATCH($A13,'Skeet Ind Concurrent Ranking'!$CJ:$CJ,0)),""),"")</f>
        <v>24-1032</v>
      </c>
      <c r="U19" t="str">
        <f>IFERROR(IF(ISNUMBER($A13),INDEX('Skeet Ind Concurrent Ranking'!$D:$D,MATCH($A13,'Skeet Ind Concurrent Ranking'!$CJ:$CJ,0)),""),"")</f>
        <v>Missy Last Name33</v>
      </c>
      <c r="V19" t="s">
        <v>859</v>
      </c>
      <c r="W19">
        <f t="shared" si="0"/>
        <v>18</v>
      </c>
    </row>
    <row r="20" spans="2:23" x14ac:dyDescent="0.3">
      <c r="B20" s="11" t="str">
        <f>IFERROR(IF(ISNUMBER($J5),INDEX('Skeet Ind Concurrent Ranking'!$D:$D,MATCH($J5,'Skeet Ind Concurrent Ranking'!$BX:$BX,0)),""),"")</f>
        <v>Alan Last Name29</v>
      </c>
      <c r="C20" s="40">
        <f>IFERROR(IF(ISNUMBER($J5),INDEX('Skeet Ind Concurrent Ranking'!$I:$I,MATCH($J5,'Skeet Ind Concurrent Ranking'!$BX:$BX,0)),""),"")</f>
        <v>80</v>
      </c>
      <c r="D20" s="11" t="str">
        <f>IFERROR(IF(ISNUMBER($J5),INDEX('Skeet Ind Concurrent Ranking'!$D:$D,MATCH($J5,'Skeet Ind Concurrent Ranking'!$CE:$CE,0)),""),"")</f>
        <v>Shelly Last Name31</v>
      </c>
      <c r="E20" s="40">
        <f>IFERROR(IF(ISNUMBER($J5),INDEX('Skeet Ind Concurrent Ranking'!$I:$I,MATCH($J5,'Skeet Ind Concurrent Ranking'!$CE:$CE,0)),""),"")</f>
        <v>92</v>
      </c>
      <c r="F20" s="11" t="str">
        <f>IFERROR(IF(ISNUMBER($J5),INDEX('Skeet Ind Concurrent Ranking'!$D:$D,MATCH($J5,'Skeet Ind Concurrent Ranking'!$CL:$CL,0)),""),"")</f>
        <v>Trey Last Name41</v>
      </c>
      <c r="G20" s="40">
        <f>IFERROR(IF(ISNUMBER($J5),INDEX('Skeet Ind Concurrent Ranking'!$I:$I,MATCH($J5,'Skeet Ind Concurrent Ranking'!$CL:$CL,0)),""),"")</f>
        <v>84</v>
      </c>
      <c r="H20" s="11" t="str">
        <f>IFERROR(IF(ISNUMBER($J5),INDEX('Skeet Ind Concurrent Ranking'!$D:$D,MATCH($J5,'Skeet Ind Concurrent Ranking'!CS:$CS,0)),""),"")</f>
        <v>Joan Last Name17</v>
      </c>
      <c r="I20" s="40">
        <f>IFERROR(IF(ISNUMBER($J5),INDEX('Skeet Ind Concurrent Ranking'!$I:$I,MATCH($J5,'Skeet Ind Concurrent Ranking'!$CS:$CS,0)),""),"")</f>
        <v>60.1</v>
      </c>
      <c r="J20" s="1">
        <v>19</v>
      </c>
      <c r="K20" s="11" t="str">
        <f>IFERROR(IF(ISNUMBER($J20),INDEX('Skeet Ind Concurrent Ranking'!$D:$D,MATCH($J20,'Skeet Ind Concurrent Ranking'!$N:$N,0)),""),"")</f>
        <v>Henry Last Name14</v>
      </c>
      <c r="L20" s="51">
        <f>IFERROR(IF(ISNUMBER($J20),INDEX('Skeet Ind Concurrent Ranking'!$I:$I,MATCH($J20,'Skeet Ind Concurrent Ranking'!$N:$N,0)),""),"")</f>
        <v>76</v>
      </c>
      <c r="M20" s="40" t="str">
        <f>IFERROR(IF(ISNUMBER($J20),INDEX('Skeet Ind Concurrent Ranking'!$H:$H,MATCH($J20,'Skeet Ind Concurrent Ranking'!$N:$N,0)),""),"")</f>
        <v>A</v>
      </c>
      <c r="N20" s="1">
        <v>59</v>
      </c>
      <c r="O20" s="11" t="str">
        <f>IFERROR(IF(ISNUMBER($N20),INDEX('Skeet Ind Concurrent Ranking'!$D:$D,MATCH($N20,'Skeet Ind Concurrent Ranking'!$N:$N,0)),""),"")</f>
        <v/>
      </c>
      <c r="P20" s="51" t="str">
        <f>IFERROR(IF(ISNUMBER($N20),INDEX('Skeet Ind Concurrent Ranking'!$I:$I,MATCH($N20,'Skeet Ind Concurrent Ranking'!$N:$N,0)),""),"")</f>
        <v/>
      </c>
      <c r="Q20" s="40" t="str">
        <f>IFERROR(IF(ISNUMBER($N20),INDEX('Skeet Ind Concurrent Ranking'!$H:$H,MATCH($N20,'Skeet Ind Concurrent Ranking'!$N:$N,0)),""),"")</f>
        <v/>
      </c>
      <c r="T20" t="str">
        <f>IFERROR(IF(ISNUMBER($A3),INDEX('Skeet Ind Concurrent Ranking'!$A:$A,MATCH($A3,'Skeet Ind Concurrent Ranking'!$CM:$CM,0)),""),"")</f>
        <v>24-1006</v>
      </c>
      <c r="U20" t="str">
        <f>IFERROR(IF(ISNUMBER($A3),INDEX('Skeet Ind Concurrent Ranking'!$D:$D,MATCH($A3,'Skeet Ind Concurrent Ranking'!$CM:$CM,0)),""),"")</f>
        <v>Blake Last Name7</v>
      </c>
      <c r="V20" t="s">
        <v>860</v>
      </c>
      <c r="W20">
        <f t="shared" si="0"/>
        <v>19</v>
      </c>
    </row>
    <row r="21" spans="2:23" x14ac:dyDescent="0.3">
      <c r="B21" s="11" t="str">
        <f>IFERROR(IF(ISNUMBER($J6),INDEX('Skeet Ind Concurrent Ranking'!$D:$D,MATCH($J6,'Skeet Ind Concurrent Ranking'!$BX:$BX,0)),""),"")</f>
        <v>Henry Last Name14</v>
      </c>
      <c r="C21" s="40">
        <f>IFERROR(IF(ISNUMBER($J6),INDEX('Skeet Ind Concurrent Ranking'!$I:$I,MATCH($J6,'Skeet Ind Concurrent Ranking'!$BX:$BX,0)),""),"")</f>
        <v>76</v>
      </c>
      <c r="D21" s="11" t="str">
        <f>IFERROR(IF(ISNUMBER($J6),INDEX('Skeet Ind Concurrent Ranking'!$D:$D,MATCH($J6,'Skeet Ind Concurrent Ranking'!$CE:$CE,0)),""),"")</f>
        <v>Daniel Last Name15</v>
      </c>
      <c r="E21" s="40">
        <f>IFERROR(IF(ISNUMBER($J6),INDEX('Skeet Ind Concurrent Ranking'!$I:$I,MATCH($J6,'Skeet Ind Concurrent Ranking'!$CE:$CE,0)),""),"")</f>
        <v>89.1</v>
      </c>
      <c r="F21" s="11" t="str">
        <f>IFERROR(IF(ISNUMBER($J6),INDEX('Skeet Ind Concurrent Ranking'!$D:$D,MATCH($J6,'Skeet Ind Concurrent Ranking'!$CL:$CL,0)),""),"")</f>
        <v>Nathan Last Name21</v>
      </c>
      <c r="G21" s="40">
        <f>IFERROR(IF(ISNUMBER($J6),INDEX('Skeet Ind Concurrent Ranking'!$I:$I,MATCH($J6,'Skeet Ind Concurrent Ranking'!$CL:$CL,0)),""),"")</f>
        <v>72.2</v>
      </c>
      <c r="H21" s="11" t="str">
        <f>IFERROR(IF(ISNUMBER($J6),INDEX('Skeet Ind Concurrent Ranking'!$D:$D,MATCH($J6,'Skeet Ind Concurrent Ranking'!CS:$CS,0)),""),"")</f>
        <v>Troy Last Name40</v>
      </c>
      <c r="I21" s="40">
        <f>IFERROR(IF(ISNUMBER($J6),INDEX('Skeet Ind Concurrent Ranking'!$I:$I,MATCH($J6,'Skeet Ind Concurrent Ranking'!$CS:$CS,0)),""),"")</f>
        <v>59</v>
      </c>
      <c r="J21" s="1">
        <v>20</v>
      </c>
      <c r="K21" s="11" t="str">
        <f>IFERROR(IF(ISNUMBER($J21),INDEX('Skeet Ind Concurrent Ranking'!$D:$D,MATCH($J21,'Skeet Ind Concurrent Ranking'!$N:$N,0)),""),"")</f>
        <v>Linda Last Name9</v>
      </c>
      <c r="L21" s="51">
        <f>IFERROR(IF(ISNUMBER($J21),INDEX('Skeet Ind Concurrent Ranking'!$I:$I,MATCH($J21,'Skeet Ind Concurrent Ranking'!$N:$N,0)),""),"")</f>
        <v>75</v>
      </c>
      <c r="M21" s="40" t="str">
        <f>IFERROR(IF(ISNUMBER($J21),INDEX('Skeet Ind Concurrent Ranking'!$H:$H,MATCH($J21,'Skeet Ind Concurrent Ranking'!$N:$N,0)),""),"")</f>
        <v>B</v>
      </c>
      <c r="N21" s="1">
        <v>60</v>
      </c>
      <c r="O21" s="11" t="str">
        <f>IFERROR(IF(ISNUMBER($N21),INDEX('Skeet Ind Concurrent Ranking'!$D:$D,MATCH($N21,'Skeet Ind Concurrent Ranking'!$N:$N,0)),""),"")</f>
        <v/>
      </c>
      <c r="P21" s="51" t="str">
        <f>IFERROR(IF(ISNUMBER($N21),INDEX('Skeet Ind Concurrent Ranking'!$I:$I,MATCH($N21,'Skeet Ind Concurrent Ranking'!$N:$N,0)),""),"")</f>
        <v/>
      </c>
      <c r="Q21" s="40" t="str">
        <f>IFERROR(IF(ISNUMBER($N21),INDEX('Skeet Ind Concurrent Ranking'!$H:$H,MATCH($N21,'Skeet Ind Concurrent Ranking'!$N:$N,0)),""),"")</f>
        <v/>
      </c>
      <c r="T21" t="str">
        <f>IFERROR(IF(ISNUMBER($A4),INDEX('Skeet Ind Concurrent Ranking'!$A:$A,MATCH($A4,'Skeet Ind Concurrent Ranking'!$CM:$CM,0)),""),"")</f>
        <v>24-1017</v>
      </c>
      <c r="U21" t="str">
        <f>IFERROR(IF(ISNUMBER($A4),INDEX('Skeet Ind Concurrent Ranking'!$D:$D,MATCH($A4,'Skeet Ind Concurrent Ranking'!$CM:$CM,0)),""),"")</f>
        <v>Jill Last Name18</v>
      </c>
      <c r="V21" t="s">
        <v>861</v>
      </c>
      <c r="W21">
        <f t="shared" si="0"/>
        <v>20</v>
      </c>
    </row>
    <row r="22" spans="2:23" x14ac:dyDescent="0.3">
      <c r="B22" s="11" t="str">
        <f>IFERROR(IF(ISNUMBER($J7),INDEX('Skeet Ind Concurrent Ranking'!$D:$D,MATCH($J7,'Skeet Ind Concurrent Ranking'!$BX:$BX,0)),""),"")</f>
        <v>Marty Last Name34</v>
      </c>
      <c r="C22" s="40">
        <f>IFERROR(IF(ISNUMBER($J7),INDEX('Skeet Ind Concurrent Ranking'!$I:$I,MATCH($J7,'Skeet Ind Concurrent Ranking'!$BX:$BX,0)),""),"")</f>
        <v>68</v>
      </c>
      <c r="D22" s="11" t="str">
        <f>IFERROR(IF(ISNUMBER($J7),INDEX('Skeet Ind Concurrent Ranking'!$D:$D,MATCH($J7,'Skeet Ind Concurrent Ranking'!$CE:$CE,0)),""),"")</f>
        <v>Stuart Last Name38</v>
      </c>
      <c r="E22" s="40">
        <f>IFERROR(IF(ISNUMBER($J7),INDEX('Skeet Ind Concurrent Ranking'!$I:$I,MATCH($J7,'Skeet Ind Concurrent Ranking'!$CE:$CE,0)),""),"")</f>
        <v>89</v>
      </c>
      <c r="F22" s="11" t="str">
        <f>IFERROR(IF(ISNUMBER($J7),INDEX('Skeet Ind Concurrent Ranking'!$D:$D,MATCH($J7,'Skeet Ind Concurrent Ranking'!$CL:$CL,0)),""),"")</f>
        <v>Bruce Last Name13</v>
      </c>
      <c r="G22" s="40">
        <f>IFERROR(IF(ISNUMBER($J7),INDEX('Skeet Ind Concurrent Ranking'!$I:$I,MATCH($J7,'Skeet Ind Concurrent Ranking'!$CL:$CL,0)),""),"")</f>
        <v>72.099999999999994</v>
      </c>
      <c r="H22" s="11" t="str">
        <f>IFERROR(IF(ISNUMBER($J7),INDEX('Skeet Ind Concurrent Ranking'!$D:$D,MATCH($J7,'Skeet Ind Concurrent Ranking'!CS:$CS,0)),""),"")</f>
        <v>Jackson Last Name48</v>
      </c>
      <c r="I22" s="40">
        <f>IFERROR(IF(ISNUMBER($J7),INDEX('Skeet Ind Concurrent Ranking'!$I:$I,MATCH($J7,'Skeet Ind Concurrent Ranking'!$CS:$CS,0)),""),"")</f>
        <v>51.2</v>
      </c>
      <c r="J22" s="1">
        <v>21</v>
      </c>
      <c r="K22" s="11" t="str">
        <f>IFERROR(IF(ISNUMBER($J22),INDEX('Skeet Ind Concurrent Ranking'!$D:$D,MATCH($J22,'Skeet Ind Concurrent Ranking'!$N:$N,0)),""),"")</f>
        <v>Missy Last Name33</v>
      </c>
      <c r="L22" s="51">
        <f>IFERROR(IF(ISNUMBER($J22),INDEX('Skeet Ind Concurrent Ranking'!$I:$I,MATCH($J22,'Skeet Ind Concurrent Ranking'!$N:$N,0)),""),"")</f>
        <v>73</v>
      </c>
      <c r="M22" s="40" t="str">
        <f>IFERROR(IF(ISNUMBER($J22),INDEX('Skeet Ind Concurrent Ranking'!$H:$H,MATCH($J22,'Skeet Ind Concurrent Ranking'!$N:$N,0)),""),"")</f>
        <v>B</v>
      </c>
      <c r="N22" s="1">
        <v>61</v>
      </c>
      <c r="O22" s="11" t="str">
        <f>IFERROR(IF(ISNUMBER($N22),INDEX('Skeet Ind Concurrent Ranking'!$D:$D,MATCH($N22,'Skeet Ind Concurrent Ranking'!$N:$N,0)),""),"")</f>
        <v/>
      </c>
      <c r="P22" s="51" t="str">
        <f>IFERROR(IF(ISNUMBER($N22),INDEX('Skeet Ind Concurrent Ranking'!$I:$I,MATCH($N22,'Skeet Ind Concurrent Ranking'!$N:$N,0)),""),"")</f>
        <v/>
      </c>
      <c r="Q22" s="40" t="str">
        <f>IFERROR(IF(ISNUMBER($N22),INDEX('Skeet Ind Concurrent Ranking'!$H:$H,MATCH($N22,'Skeet Ind Concurrent Ranking'!$N:$N,0)),""),"")</f>
        <v/>
      </c>
      <c r="T22" t="str">
        <f>IFERROR(IF(ISNUMBER($A5),INDEX('Skeet Ind Concurrent Ranking'!$A:$A,MATCH($A5,'Skeet Ind Concurrent Ranking'!$CM:$CM,0)),""),"")</f>
        <v>24-1042</v>
      </c>
      <c r="U22" t="str">
        <f>IFERROR(IF(ISNUMBER($A5),INDEX('Skeet Ind Concurrent Ranking'!$D:$D,MATCH($A5,'Skeet Ind Concurrent Ranking'!$CM:$CM,0)),""),"")</f>
        <v>Terry Last Name43</v>
      </c>
      <c r="V22" t="s">
        <v>862</v>
      </c>
      <c r="W22">
        <f t="shared" si="0"/>
        <v>21</v>
      </c>
    </row>
    <row r="23" spans="2:23" x14ac:dyDescent="0.3">
      <c r="B23" s="11" t="str">
        <f>IFERROR(IF(ISNUMBER($J8),INDEX('Skeet Ind Concurrent Ranking'!$D:$D,MATCH($J8,'Skeet Ind Concurrent Ranking'!$BX:$BX,0)),""),"")</f>
        <v>Rick Last Name47</v>
      </c>
      <c r="C23" s="40">
        <f>IFERROR(IF(ISNUMBER($J8),INDEX('Skeet Ind Concurrent Ranking'!$I:$I,MATCH($J8,'Skeet Ind Concurrent Ranking'!$BX:$BX,0)),""),"")</f>
        <v>65</v>
      </c>
      <c r="D23" s="11" t="str">
        <f>IFERROR(IF(ISNUMBER($J8),INDEX('Skeet Ind Concurrent Ranking'!$D:$D,MATCH($J8,'Skeet Ind Concurrent Ranking'!$CE:$CE,0)),""),"")</f>
        <v>Gary Last Name26</v>
      </c>
      <c r="E23" s="40">
        <f>IFERROR(IF(ISNUMBER($J8),INDEX('Skeet Ind Concurrent Ranking'!$I:$I,MATCH($J8,'Skeet Ind Concurrent Ranking'!$CE:$CE,0)),""),"")</f>
        <v>86</v>
      </c>
      <c r="F23" s="11" t="str">
        <f>IFERROR(IF(ISNUMBER($J8),INDEX('Skeet Ind Concurrent Ranking'!$D:$D,MATCH($J8,'Skeet Ind Concurrent Ranking'!$CL:$CL,0)),""),"")</f>
        <v>Steve Last Name22</v>
      </c>
      <c r="G23" s="40">
        <f>IFERROR(IF(ISNUMBER($J8),INDEX('Skeet Ind Concurrent Ranking'!$I:$I,MATCH($J8,'Skeet Ind Concurrent Ranking'!$CL:$CL,0)),""),"")</f>
        <v>70</v>
      </c>
      <c r="H23" s="11" t="str">
        <f>IFERROR(IF(ISNUMBER($J8),INDEX('Skeet Ind Concurrent Ranking'!$D:$D,MATCH($J8,'Skeet Ind Concurrent Ranking'!CS:$CS,0)),""),"")</f>
        <v>Paul Last Name16</v>
      </c>
      <c r="I23" s="40">
        <f>IFERROR(IF(ISNUMBER($J8),INDEX('Skeet Ind Concurrent Ranking'!$I:$I,MATCH($J8,'Skeet Ind Concurrent Ranking'!$CS:$CS,0)),""),"")</f>
        <v>42</v>
      </c>
      <c r="J23" s="1">
        <v>22</v>
      </c>
      <c r="K23" s="11" t="str">
        <f>IFERROR(IF(ISNUMBER($J23),INDEX('Skeet Ind Concurrent Ranking'!$D:$D,MATCH($J23,'Skeet Ind Concurrent Ranking'!$N:$N,0)),""),"")</f>
        <v>Nathan Last Name21</v>
      </c>
      <c r="L23" s="51">
        <f>IFERROR(IF(ISNUMBER($J23),INDEX('Skeet Ind Concurrent Ranking'!$I:$I,MATCH($J23,'Skeet Ind Concurrent Ranking'!$N:$N,0)),""),"")</f>
        <v>72.2</v>
      </c>
      <c r="M23" s="40" t="str">
        <f>IFERROR(IF(ISNUMBER($J23),INDEX('Skeet Ind Concurrent Ranking'!$H:$H,MATCH($J23,'Skeet Ind Concurrent Ranking'!$N:$N,0)),""),"")</f>
        <v>C</v>
      </c>
      <c r="N23" s="1">
        <v>62</v>
      </c>
      <c r="O23" s="11" t="str">
        <f>IFERROR(IF(ISNUMBER($N23),INDEX('Skeet Ind Concurrent Ranking'!$D:$D,MATCH($N23,'Skeet Ind Concurrent Ranking'!$N:$N,0)),""),"")</f>
        <v/>
      </c>
      <c r="P23" s="51" t="str">
        <f>IFERROR(IF(ISNUMBER($N23),INDEX('Skeet Ind Concurrent Ranking'!$I:$I,MATCH($N23,'Skeet Ind Concurrent Ranking'!$N:$N,0)),""),"")</f>
        <v/>
      </c>
      <c r="Q23" s="40" t="str">
        <f>IFERROR(IF(ISNUMBER($N23),INDEX('Skeet Ind Concurrent Ranking'!$H:$H,MATCH($N23,'Skeet Ind Concurrent Ranking'!$N:$N,0)),""),"")</f>
        <v/>
      </c>
      <c r="T23" t="str">
        <f>IFERROR(IF(ISNUMBER($A7),INDEX('Skeet Ind Concurrent Ranking'!$A:$A,MATCH($A7,'Skeet Ind Concurrent Ranking'!$CO:$CO,0)),""),"")</f>
        <v>24-1040</v>
      </c>
      <c r="U23" t="str">
        <f>IFERROR(IF(ISNUMBER($A7),INDEX('Skeet Ind Concurrent Ranking'!$D:$D,MATCH($A7,'Skeet Ind Concurrent Ranking'!$CO:$CO,0)),""),"")</f>
        <v>Trey Last Name41</v>
      </c>
      <c r="V23" t="s">
        <v>863</v>
      </c>
      <c r="W23">
        <f t="shared" si="0"/>
        <v>22</v>
      </c>
    </row>
    <row r="24" spans="2:23" x14ac:dyDescent="0.3">
      <c r="B24" s="11" t="str">
        <f>IFERROR(IF(ISNUMBER($J9),INDEX('Skeet Ind Concurrent Ranking'!$D:$D,MATCH($J9,'Skeet Ind Concurrent Ranking'!$BX:$BX,0)),""),"")</f>
        <v>Judy Last Name30</v>
      </c>
      <c r="C24" s="40">
        <f>IFERROR(IF(ISNUMBER($J9),INDEX('Skeet Ind Concurrent Ranking'!$I:$I,MATCH($J9,'Skeet Ind Concurrent Ranking'!$BX:$BX,0)),""),"")</f>
        <v>51</v>
      </c>
      <c r="D24" s="11" t="str">
        <f>IFERROR(IF(ISNUMBER($J9),INDEX('Skeet Ind Concurrent Ranking'!$D:$D,MATCH($J9,'Skeet Ind Concurrent Ranking'!$CE:$CE,0)),""),"")</f>
        <v>Will Last Name37</v>
      </c>
      <c r="E24" s="40">
        <f>IFERROR(IF(ISNUMBER($J9),INDEX('Skeet Ind Concurrent Ranking'!$I:$I,MATCH($J9,'Skeet Ind Concurrent Ranking'!$CE:$CE,0)),""),"")</f>
        <v>85</v>
      </c>
      <c r="F24" s="11" t="str">
        <f>IFERROR(IF(ISNUMBER($J9),INDEX('Skeet Ind Concurrent Ranking'!$D:$D,MATCH($J9,'Skeet Ind Concurrent Ranking'!$CL:$CL,0)),""),"")</f>
        <v>James Last Name8</v>
      </c>
      <c r="G24" s="40">
        <f>IFERROR(IF(ISNUMBER($J9),INDEX('Skeet Ind Concurrent Ranking'!$I:$I,MATCH($J9,'Skeet Ind Concurrent Ranking'!$CL:$CL,0)),""),"")</f>
        <v>64</v>
      </c>
      <c r="H24" s="11" t="str">
        <f>IFERROR(IF(ISNUMBER($J9),INDEX('Skeet Ind Concurrent Ranking'!$D:$D,MATCH($J9,'Skeet Ind Concurrent Ranking'!CS:$CS,0)),""),"")</f>
        <v/>
      </c>
      <c r="I24" s="40" t="str">
        <f>IFERROR(IF(ISNUMBER($J9),INDEX('Skeet Ind Concurrent Ranking'!$I:$I,MATCH($J9,'Skeet Ind Concurrent Ranking'!$CS:$CS,0)),""),"")</f>
        <v/>
      </c>
      <c r="J24" s="1">
        <v>23</v>
      </c>
      <c r="K24" s="11" t="str">
        <f>IFERROR(IF(ISNUMBER($J24),INDEX('Skeet Ind Concurrent Ranking'!$D:$D,MATCH($J24,'Skeet Ind Concurrent Ranking'!$N:$N,0)),""),"")</f>
        <v>Bruce Last Name13</v>
      </c>
      <c r="L24" s="51">
        <f>IFERROR(IF(ISNUMBER($J24),INDEX('Skeet Ind Concurrent Ranking'!$I:$I,MATCH($J24,'Skeet Ind Concurrent Ranking'!$N:$N,0)),""),"")</f>
        <v>72.099999999999994</v>
      </c>
      <c r="M24" s="40" t="str">
        <f>IFERROR(IF(ISNUMBER($J24),INDEX('Skeet Ind Concurrent Ranking'!$H:$H,MATCH($J24,'Skeet Ind Concurrent Ranking'!$N:$N,0)),""),"")</f>
        <v>C</v>
      </c>
      <c r="N24" s="1">
        <v>63</v>
      </c>
      <c r="O24" s="11" t="str">
        <f>IFERROR(IF(ISNUMBER($N24),INDEX('Skeet Ind Concurrent Ranking'!$D:$D,MATCH($N24,'Skeet Ind Concurrent Ranking'!$N:$N,0)),""),"")</f>
        <v/>
      </c>
      <c r="P24" s="51" t="str">
        <f>IFERROR(IF(ISNUMBER($N24),INDEX('Skeet Ind Concurrent Ranking'!$I:$I,MATCH($N24,'Skeet Ind Concurrent Ranking'!$N:$N,0)),""),"")</f>
        <v/>
      </c>
      <c r="Q24" s="40" t="str">
        <f>IFERROR(IF(ISNUMBER($N24),INDEX('Skeet Ind Concurrent Ranking'!$H:$H,MATCH($N24,'Skeet Ind Concurrent Ranking'!$N:$N,0)),""),"")</f>
        <v/>
      </c>
      <c r="T24" t="str">
        <f>IFERROR(IF(ISNUMBER($A8),INDEX('Skeet Ind Concurrent Ranking'!$A:$A,MATCH($A8,'Skeet Ind Concurrent Ranking'!$CO:$CO,0)),""),"")</f>
        <v>24-1020</v>
      </c>
      <c r="U24" t="str">
        <f>IFERROR(IF(ISNUMBER($A8),INDEX('Skeet Ind Concurrent Ranking'!$D:$D,MATCH($A8,'Skeet Ind Concurrent Ranking'!$CO:$CO,0)),""),"")</f>
        <v>Nathan Last Name21</v>
      </c>
      <c r="V24" t="s">
        <v>864</v>
      </c>
      <c r="W24">
        <f t="shared" si="0"/>
        <v>23</v>
      </c>
    </row>
    <row r="25" spans="2:23" x14ac:dyDescent="0.3">
      <c r="B25" s="11" t="str">
        <f>IFERROR(IF(ISNUMBER($J10),INDEX('Skeet Ind Concurrent Ranking'!$D:$D,MATCH($J10,'Skeet Ind Concurrent Ranking'!$BX:$BX,0)),""),"")</f>
        <v/>
      </c>
      <c r="C25" s="40" t="str">
        <f>IFERROR(IF(ISNUMBER($J10),INDEX('Skeet Ind Concurrent Ranking'!$I:$I,MATCH($J10,'Skeet Ind Concurrent Ranking'!$BX:$BX,0)),""),"")</f>
        <v/>
      </c>
      <c r="D25" s="11" t="str">
        <f>IFERROR(IF(ISNUMBER($J10),INDEX('Skeet Ind Concurrent Ranking'!$D:$D,MATCH($J10,'Skeet Ind Concurrent Ranking'!$CE:$CE,0)),""),"")</f>
        <v>Jack Last Name19</v>
      </c>
      <c r="E25" s="40">
        <f>IFERROR(IF(ISNUMBER($J10),INDEX('Skeet Ind Concurrent Ranking'!$I:$I,MATCH($J10,'Skeet Ind Concurrent Ranking'!$CE:$CE,0)),""),"")</f>
        <v>82.1</v>
      </c>
      <c r="F25" s="11" t="str">
        <f>IFERROR(IF(ISNUMBER($J10),INDEX('Skeet Ind Concurrent Ranking'!$D:$D,MATCH($J10,'Skeet Ind Concurrent Ranking'!$CL:$CL,0)),""),"")</f>
        <v>Randy Last Name36</v>
      </c>
      <c r="G25" s="40">
        <f>IFERROR(IF(ISNUMBER($J10),INDEX('Skeet Ind Concurrent Ranking'!$I:$I,MATCH($J10,'Skeet Ind Concurrent Ranking'!$CL:$CL,0)),""),"")</f>
        <v>63.1</v>
      </c>
      <c r="H25" s="11" t="str">
        <f>IFERROR(IF(ISNUMBER($J10),INDEX('Skeet Ind Concurrent Ranking'!$D:$D,MATCH($J10,'Skeet Ind Concurrent Ranking'!CS:$CS,0)),""),"")</f>
        <v/>
      </c>
      <c r="I25" s="40" t="str">
        <f>IFERROR(IF(ISNUMBER($J10),INDEX('Skeet Ind Concurrent Ranking'!$I:$I,MATCH($J10,'Skeet Ind Concurrent Ranking'!$CS:$CS,0)),""),"")</f>
        <v/>
      </c>
      <c r="J25" s="1">
        <v>24</v>
      </c>
      <c r="K25" s="11" t="str">
        <f>IFERROR(IF(ISNUMBER($J25),INDEX('Skeet Ind Concurrent Ranking'!$D:$D,MATCH($J25,'Skeet Ind Concurrent Ranking'!$N:$N,0)),""),"")</f>
        <v>Trisha Last Name44</v>
      </c>
      <c r="L25" s="51">
        <f>IFERROR(IF(ISNUMBER($J25),INDEX('Skeet Ind Concurrent Ranking'!$I:$I,MATCH($J25,'Skeet Ind Concurrent Ranking'!$N:$N,0)),""),"")</f>
        <v>72.099999999999994</v>
      </c>
      <c r="M25" s="40" t="str">
        <f>IFERROR(IF(ISNUMBER($J25),INDEX('Skeet Ind Concurrent Ranking'!$H:$H,MATCH($J25,'Skeet Ind Concurrent Ranking'!$N:$N,0)),""),"")</f>
        <v>D</v>
      </c>
      <c r="N25" s="1">
        <v>64</v>
      </c>
      <c r="O25" s="11" t="str">
        <f>IFERROR(IF(ISNUMBER($N25),INDEX('Skeet Ind Concurrent Ranking'!$D:$D,MATCH($N25,'Skeet Ind Concurrent Ranking'!$N:$N,0)),""),"")</f>
        <v/>
      </c>
      <c r="P25" s="51" t="str">
        <f>IFERROR(IF(ISNUMBER($N25),INDEX('Skeet Ind Concurrent Ranking'!$I:$I,MATCH($N25,'Skeet Ind Concurrent Ranking'!$N:$N,0)),""),"")</f>
        <v/>
      </c>
      <c r="Q25" s="40" t="str">
        <f>IFERROR(IF(ISNUMBER($N25),INDEX('Skeet Ind Concurrent Ranking'!$H:$H,MATCH($N25,'Skeet Ind Concurrent Ranking'!$N:$N,0)),""),"")</f>
        <v/>
      </c>
      <c r="T25" t="str">
        <f>IFERROR(IF(ISNUMBER($A9),INDEX('Skeet Ind Concurrent Ranking'!$A:$A,MATCH($A9,'Skeet Ind Concurrent Ranking'!$CO:$CO,0)),""),"")</f>
        <v>24-1012</v>
      </c>
      <c r="U25" t="str">
        <f>IFERROR(IF(ISNUMBER($A9),INDEX('Skeet Ind Concurrent Ranking'!$D:$D,MATCH($A9,'Skeet Ind Concurrent Ranking'!$CO:$CO,0)),""),"")</f>
        <v>Bruce Last Name13</v>
      </c>
      <c r="V25" t="s">
        <v>865</v>
      </c>
      <c r="W25">
        <f t="shared" si="0"/>
        <v>24</v>
      </c>
    </row>
    <row r="26" spans="2:23" x14ac:dyDescent="0.3">
      <c r="B26" s="11" t="str">
        <f>IFERROR(IF(ISNUMBER($J11),INDEX('Skeet Ind Concurrent Ranking'!$D:$D,MATCH($J11,'Skeet Ind Concurrent Ranking'!$BX:$BX,0)),""),"")</f>
        <v/>
      </c>
      <c r="C26" s="40" t="str">
        <f>IFERROR(IF(ISNUMBER($J11),INDEX('Skeet Ind Concurrent Ranking'!$I:$I,MATCH($J11,'Skeet Ind Concurrent Ranking'!$BX:$BX,0)),""),"")</f>
        <v/>
      </c>
      <c r="D26" s="11" t="str">
        <f>IFERROR(IF(ISNUMBER($J11),INDEX('Skeet Ind Concurrent Ranking'!$D:$D,MATCH($J11,'Skeet Ind Concurrent Ranking'!$CE:$CE,0)),""),"")</f>
        <v>Linda Last Name9</v>
      </c>
      <c r="E26" s="40">
        <f>IFERROR(IF(ISNUMBER($J11),INDEX('Skeet Ind Concurrent Ranking'!$I:$I,MATCH($J11,'Skeet Ind Concurrent Ranking'!$CE:$CE,0)),""),"")</f>
        <v>75</v>
      </c>
      <c r="F26" s="11" t="str">
        <f>IFERROR(IF(ISNUMBER($J11),INDEX('Skeet Ind Concurrent Ranking'!$D:$D,MATCH($J11,'Skeet Ind Concurrent Ranking'!$CL:$CL,0)),""),"")</f>
        <v>Tom Last Name23</v>
      </c>
      <c r="G26" s="40">
        <f>IFERROR(IF(ISNUMBER($J11),INDEX('Skeet Ind Concurrent Ranking'!$I:$I,MATCH($J11,'Skeet Ind Concurrent Ranking'!$CL:$CL,0)),""),"")</f>
        <v>61</v>
      </c>
      <c r="H26" s="11" t="str">
        <f>IFERROR(IF(ISNUMBER($J11),INDEX('Skeet Ind Concurrent Ranking'!$D:$D,MATCH($J11,'Skeet Ind Concurrent Ranking'!CS:$CS,0)),""),"")</f>
        <v/>
      </c>
      <c r="I26" s="40" t="str">
        <f>IFERROR(IF(ISNUMBER($J11),INDEX('Skeet Ind Concurrent Ranking'!$I:$I,MATCH($J11,'Skeet Ind Concurrent Ranking'!$CS:$CS,0)),""),"")</f>
        <v/>
      </c>
      <c r="J26" s="1">
        <v>25</v>
      </c>
      <c r="K26" s="11" t="str">
        <f>IFERROR(IF(ISNUMBER($J26),INDEX('Skeet Ind Concurrent Ranking'!$D:$D,MATCH($J26,'Skeet Ind Concurrent Ranking'!$N:$N,0)),""),"")</f>
        <v>Harry Last Name25</v>
      </c>
      <c r="L26" s="51">
        <f>IFERROR(IF(ISNUMBER($J26),INDEX('Skeet Ind Concurrent Ranking'!$I:$I,MATCH($J26,'Skeet Ind Concurrent Ranking'!$N:$N,0)),""),"")</f>
        <v>72</v>
      </c>
      <c r="M26" s="40" t="str">
        <f>IFERROR(IF(ISNUMBER($J26),INDEX('Skeet Ind Concurrent Ranking'!$H:$H,MATCH($J26,'Skeet Ind Concurrent Ranking'!$N:$N,0)),""),"")</f>
        <v>B</v>
      </c>
      <c r="N26" s="1">
        <v>65</v>
      </c>
      <c r="O26" s="11" t="str">
        <f>IFERROR(IF(ISNUMBER($N26),INDEX('Skeet Ind Concurrent Ranking'!$D:$D,MATCH($N26,'Skeet Ind Concurrent Ranking'!$N:$N,0)),""),"")</f>
        <v/>
      </c>
      <c r="P26" s="51" t="str">
        <f>IFERROR(IF(ISNUMBER($N26),INDEX('Skeet Ind Concurrent Ranking'!$I:$I,MATCH($N26,'Skeet Ind Concurrent Ranking'!$N:$N,0)),""),"")</f>
        <v/>
      </c>
      <c r="Q26" s="40" t="str">
        <f>IFERROR(IF(ISNUMBER($N26),INDEX('Skeet Ind Concurrent Ranking'!$H:$H,MATCH($N26,'Skeet Ind Concurrent Ranking'!$N:$N,0)),""),"")</f>
        <v/>
      </c>
      <c r="T26" t="str">
        <f>IFERROR(IF(ISNUMBER($A11),INDEX('Skeet Ind Concurrent Ranking'!$A:$A,MATCH($A11,'Skeet Ind Concurrent Ranking'!$CQ:$CQ,0)),""),"")</f>
        <v>24-1026</v>
      </c>
      <c r="U26" t="str">
        <f>IFERROR(IF(ISNUMBER($A11),INDEX('Skeet Ind Concurrent Ranking'!$D:$D,MATCH($A11,'Skeet Ind Concurrent Ranking'!$CQ:$CQ,0)),""),"")</f>
        <v>Becky Last Name27</v>
      </c>
      <c r="V26" t="s">
        <v>866</v>
      </c>
      <c r="W26">
        <f t="shared" si="0"/>
        <v>25</v>
      </c>
    </row>
    <row r="27" spans="2:23" x14ac:dyDescent="0.3">
      <c r="B27" s="11" t="str">
        <f>IFERROR(IF(ISNUMBER($J12),INDEX('Skeet Ind Concurrent Ranking'!$D:$D,MATCH($J12,'Skeet Ind Concurrent Ranking'!$BX:$BX,0)),""),"")</f>
        <v/>
      </c>
      <c r="C27" s="40" t="str">
        <f>IFERROR(IF(ISNUMBER($J12),INDEX('Skeet Ind Concurrent Ranking'!$I:$I,MATCH($J12,'Skeet Ind Concurrent Ranking'!$BX:$BX,0)),""),"")</f>
        <v/>
      </c>
      <c r="D27" s="11" t="str">
        <f>IFERROR(IF(ISNUMBER($J12),INDEX('Skeet Ind Concurrent Ranking'!$D:$D,MATCH($J12,'Skeet Ind Concurrent Ranking'!$CE:$CE,0)),""),"")</f>
        <v>Missy Last Name33</v>
      </c>
      <c r="E27" s="40">
        <f>IFERROR(IF(ISNUMBER($J12),INDEX('Skeet Ind Concurrent Ranking'!$I:$I,MATCH($J12,'Skeet Ind Concurrent Ranking'!$CE:$CE,0)),""),"")</f>
        <v>73</v>
      </c>
      <c r="F27" s="11" t="str">
        <f>IFERROR(IF(ISNUMBER($J12),INDEX('Skeet Ind Concurrent Ranking'!$D:$D,MATCH($J12,'Skeet Ind Concurrent Ranking'!$CL:$CL,0)),""),"")</f>
        <v>Owen Last Name42</v>
      </c>
      <c r="G27" s="40">
        <f>IFERROR(IF(ISNUMBER($J12),INDEX('Skeet Ind Concurrent Ranking'!$I:$I,MATCH($J12,'Skeet Ind Concurrent Ranking'!$CL:$CL,0)),""),"")</f>
        <v>60</v>
      </c>
      <c r="H27" s="11" t="str">
        <f>IFERROR(IF(ISNUMBER($J12),INDEX('Skeet Ind Concurrent Ranking'!$D:$D,MATCH($J12,'Skeet Ind Concurrent Ranking'!CS:$CS,0)),""),"")</f>
        <v/>
      </c>
      <c r="I27" s="40" t="str">
        <f>IFERROR(IF(ISNUMBER($J12),INDEX('Skeet Ind Concurrent Ranking'!$I:$I,MATCH($J12,'Skeet Ind Concurrent Ranking'!$CS:$CS,0)),""),"")</f>
        <v/>
      </c>
      <c r="J27" s="1">
        <v>26</v>
      </c>
      <c r="K27" s="11" t="str">
        <f>IFERROR(IF(ISNUMBER($J27),INDEX('Skeet Ind Concurrent Ranking'!$D:$D,MATCH($J27,'Skeet Ind Concurrent Ranking'!$N:$N,0)),""),"")</f>
        <v>Steve Last Name22</v>
      </c>
      <c r="L27" s="51">
        <f>IFERROR(IF(ISNUMBER($J27),INDEX('Skeet Ind Concurrent Ranking'!$I:$I,MATCH($J27,'Skeet Ind Concurrent Ranking'!$N:$N,0)),""),"")</f>
        <v>70</v>
      </c>
      <c r="M27" s="40" t="str">
        <f>IFERROR(IF(ISNUMBER($J27),INDEX('Skeet Ind Concurrent Ranking'!$H:$H,MATCH($J27,'Skeet Ind Concurrent Ranking'!$N:$N,0)),""),"")</f>
        <v>C</v>
      </c>
      <c r="N27" s="1">
        <v>66</v>
      </c>
      <c r="O27" s="11" t="str">
        <f>IFERROR(IF(ISNUMBER($N27),INDEX('Skeet Ind Concurrent Ranking'!$D:$D,MATCH($N27,'Skeet Ind Concurrent Ranking'!$N:$N,0)),""),"")</f>
        <v/>
      </c>
      <c r="P27" s="51" t="str">
        <f>IFERROR(IF(ISNUMBER($N27),INDEX('Skeet Ind Concurrent Ranking'!$I:$I,MATCH($N27,'Skeet Ind Concurrent Ranking'!$N:$N,0)),""),"")</f>
        <v/>
      </c>
      <c r="Q27" s="40" t="str">
        <f>IFERROR(IF(ISNUMBER($N27),INDEX('Skeet Ind Concurrent Ranking'!$H:$H,MATCH($N27,'Skeet Ind Concurrent Ranking'!$N:$N,0)),""),"")</f>
        <v/>
      </c>
      <c r="T27" t="str">
        <f>IFERROR(IF(ISNUMBER($A12),INDEX('Skeet Ind Concurrent Ranking'!$A:$A,MATCH($A12,'Skeet Ind Concurrent Ranking'!$CQ:$CQ,0)),""),"")</f>
        <v>24-1031</v>
      </c>
      <c r="U27" t="str">
        <f>IFERROR(IF(ISNUMBER($A12),INDEX('Skeet Ind Concurrent Ranking'!$D:$D,MATCH($A12,'Skeet Ind Concurrent Ranking'!$CQ:$CQ,0)),""),"")</f>
        <v>Kelly Last Name32</v>
      </c>
      <c r="V27" t="s">
        <v>867</v>
      </c>
      <c r="W27">
        <f t="shared" si="0"/>
        <v>26</v>
      </c>
    </row>
    <row r="28" spans="2:23" x14ac:dyDescent="0.3">
      <c r="B28" s="11" t="str">
        <f>IFERROR(IF(ISNUMBER($J13),INDEX('Skeet Ind Concurrent Ranking'!$D:$D,MATCH($J13,'Skeet Ind Concurrent Ranking'!$BX:$BX,0)),""),"")</f>
        <v/>
      </c>
      <c r="C28" s="40" t="str">
        <f>IFERROR(IF(ISNUMBER($J13),INDEX('Skeet Ind Concurrent Ranking'!$I:$I,MATCH($J13,'Skeet Ind Concurrent Ranking'!$BX:$BX,0)),""),"")</f>
        <v/>
      </c>
      <c r="D28" s="11" t="str">
        <f>IFERROR(IF(ISNUMBER($J13),INDEX('Skeet Ind Concurrent Ranking'!$D:$D,MATCH($J13,'Skeet Ind Concurrent Ranking'!$CE:$CE,0)),""),"")</f>
        <v>Harry Last Name25</v>
      </c>
      <c r="E28" s="40">
        <f>IFERROR(IF(ISNUMBER($J13),INDEX('Skeet Ind Concurrent Ranking'!$I:$I,MATCH($J13,'Skeet Ind Concurrent Ranking'!$CE:$CE,0)),""),"")</f>
        <v>72</v>
      </c>
      <c r="F28" s="11" t="str">
        <f>IFERROR(IF(ISNUMBER($J13),INDEX('Skeet Ind Concurrent Ranking'!$D:$D,MATCH($J13,'Skeet Ind Concurrent Ranking'!$CL:$CL,0)),""),"")</f>
        <v>Ben Last Name6</v>
      </c>
      <c r="G28" s="40">
        <f>IFERROR(IF(ISNUMBER($J13),INDEX('Skeet Ind Concurrent Ranking'!$I:$I,MATCH($J13,'Skeet Ind Concurrent Ranking'!$CL:$CL,0)),""),"")</f>
        <v>51.1</v>
      </c>
      <c r="H28" s="11" t="str">
        <f>IFERROR(IF(ISNUMBER($J13),INDEX('Skeet Ind Concurrent Ranking'!$D:$D,MATCH($J13,'Skeet Ind Concurrent Ranking'!CS:$CS,0)),""),"")</f>
        <v/>
      </c>
      <c r="I28" s="40" t="str">
        <f>IFERROR(IF(ISNUMBER($J13),INDEX('Skeet Ind Concurrent Ranking'!$I:$I,MATCH($J13,'Skeet Ind Concurrent Ranking'!$CS:$CS,0)),""),"")</f>
        <v/>
      </c>
      <c r="J28" s="1">
        <v>27</v>
      </c>
      <c r="K28" s="11" t="str">
        <f>IFERROR(IF(ISNUMBER($J28),INDEX('Skeet Ind Concurrent Ranking'!$D:$D,MATCH($J28,'Skeet Ind Concurrent Ranking'!$N:$N,0)),""),"")</f>
        <v>Tim Last Name24</v>
      </c>
      <c r="L28" s="51">
        <f>IFERROR(IF(ISNUMBER($J28),INDEX('Skeet Ind Concurrent Ranking'!$I:$I,MATCH($J28,'Skeet Ind Concurrent Ranking'!$N:$N,0)),""),"")</f>
        <v>70</v>
      </c>
      <c r="M28" s="40" t="str">
        <f>IFERROR(IF(ISNUMBER($J28),INDEX('Skeet Ind Concurrent Ranking'!$H:$H,MATCH($J28,'Skeet Ind Concurrent Ranking'!$N:$N,0)),""),"")</f>
        <v>B</v>
      </c>
      <c r="N28" s="1">
        <v>67</v>
      </c>
      <c r="O28" s="11" t="str">
        <f>IFERROR(IF(ISNUMBER($N28),INDEX('Skeet Ind Concurrent Ranking'!$D:$D,MATCH($N28,'Skeet Ind Concurrent Ranking'!$N:$N,0)),""),"")</f>
        <v/>
      </c>
      <c r="P28" s="51" t="str">
        <f>IFERROR(IF(ISNUMBER($N28),INDEX('Skeet Ind Concurrent Ranking'!$I:$I,MATCH($N28,'Skeet Ind Concurrent Ranking'!$N:$N,0)),""),"")</f>
        <v/>
      </c>
      <c r="Q28" s="40" t="str">
        <f>IFERROR(IF(ISNUMBER($N28),INDEX('Skeet Ind Concurrent Ranking'!$H:$H,MATCH($N28,'Skeet Ind Concurrent Ranking'!$N:$N,0)),""),"")</f>
        <v/>
      </c>
      <c r="T28" t="str">
        <f>IFERROR(IF(ISNUMBER($A13),INDEX('Skeet Ind Concurrent Ranking'!$A:$A,MATCH($A13,'Skeet Ind Concurrent Ranking'!$CQ:$CQ,0)),""),"")</f>
        <v/>
      </c>
      <c r="U28" t="str">
        <f>IFERROR(IF(ISNUMBER($A13),INDEX('Skeet Ind Concurrent Ranking'!$D:$D,MATCH($A13,'Skeet Ind Concurrent Ranking'!$CQ:$CQ,0)),""),"")</f>
        <v/>
      </c>
      <c r="V28" t="s">
        <v>868</v>
      </c>
      <c r="W28">
        <f t="shared" si="0"/>
        <v>27</v>
      </c>
    </row>
    <row r="29" spans="2:23" x14ac:dyDescent="0.3">
      <c r="B29" s="11" t="str">
        <f>IFERROR(IF(ISNUMBER($J14),INDEX('Skeet Ind Concurrent Ranking'!$D:$D,MATCH($J14,'Skeet Ind Concurrent Ranking'!$BX:$BX,0)),""),"")</f>
        <v/>
      </c>
      <c r="C29" s="40" t="str">
        <f>IFERROR(IF(ISNUMBER($J14),INDEX('Skeet Ind Concurrent Ranking'!$I:$I,MATCH($J14,'Skeet Ind Concurrent Ranking'!$BX:$BX,0)),""),"")</f>
        <v/>
      </c>
      <c r="D29" s="11" t="str">
        <f>IFERROR(IF(ISNUMBER($J14),INDEX('Skeet Ind Concurrent Ranking'!$D:$D,MATCH($J14,'Skeet Ind Concurrent Ranking'!$CE:$CE,0)),""),"")</f>
        <v>Tim Last Name24</v>
      </c>
      <c r="E29" s="40">
        <f>IFERROR(IF(ISNUMBER($J14),INDEX('Skeet Ind Concurrent Ranking'!$I:$I,MATCH($J14,'Skeet Ind Concurrent Ranking'!$CE:$CE,0)),""),"")</f>
        <v>70</v>
      </c>
      <c r="F29" s="11" t="str">
        <f>IFERROR(IF(ISNUMBER($J14),INDEX('Skeet Ind Concurrent Ranking'!$D:$D,MATCH($J14,'Skeet Ind Concurrent Ranking'!$CL:$CL,0)),""),"")</f>
        <v>Bob Last Name12</v>
      </c>
      <c r="G29" s="40">
        <f>IFERROR(IF(ISNUMBER($J14),INDEX('Skeet Ind Concurrent Ranking'!$I:$I,MATCH($J14,'Skeet Ind Concurrent Ranking'!$CL:$CL,0)),""),"")</f>
        <v>48</v>
      </c>
      <c r="H29" s="11" t="str">
        <f>IFERROR(IF(ISNUMBER($J14),INDEX('Skeet Ind Concurrent Ranking'!$D:$D,MATCH($J14,'Skeet Ind Concurrent Ranking'!CS:$CS,0)),""),"")</f>
        <v/>
      </c>
      <c r="I29" s="40" t="str">
        <f>IFERROR(IF(ISNUMBER($J14),INDEX('Skeet Ind Concurrent Ranking'!$I:$I,MATCH($J14,'Skeet Ind Concurrent Ranking'!$CS:$CS,0)),""),"")</f>
        <v/>
      </c>
      <c r="J29" s="1">
        <v>28</v>
      </c>
      <c r="K29" s="11" t="str">
        <f>IFERROR(IF(ISNUMBER($J29),INDEX('Skeet Ind Concurrent Ranking'!$D:$D,MATCH($J29,'Skeet Ind Concurrent Ranking'!$N:$N,0)),""),"")</f>
        <v>Marty Last Name34</v>
      </c>
      <c r="L29" s="51">
        <f>IFERROR(IF(ISNUMBER($J29),INDEX('Skeet Ind Concurrent Ranking'!$I:$I,MATCH($J29,'Skeet Ind Concurrent Ranking'!$N:$N,0)),""),"")</f>
        <v>68</v>
      </c>
      <c r="M29" s="40" t="str">
        <f>IFERROR(IF(ISNUMBER($J29),INDEX('Skeet Ind Concurrent Ranking'!$H:$H,MATCH($J29,'Skeet Ind Concurrent Ranking'!$N:$N,0)),""),"")</f>
        <v>A</v>
      </c>
      <c r="N29" s="1">
        <v>68</v>
      </c>
      <c r="O29" s="11" t="str">
        <f>IFERROR(IF(ISNUMBER($N29),INDEX('Skeet Ind Concurrent Ranking'!$D:$D,MATCH($N29,'Skeet Ind Concurrent Ranking'!$N:$N,0)),""),"")</f>
        <v/>
      </c>
      <c r="P29" s="51" t="str">
        <f>IFERROR(IF(ISNUMBER($N29),INDEX('Skeet Ind Concurrent Ranking'!$I:$I,MATCH($N29,'Skeet Ind Concurrent Ranking'!$N:$N,0)),""),"")</f>
        <v/>
      </c>
      <c r="Q29" s="40" t="str">
        <f>IFERROR(IF(ISNUMBER($N29),INDEX('Skeet Ind Concurrent Ranking'!$H:$H,MATCH($N29,'Skeet Ind Concurrent Ranking'!$N:$N,0)),""),"")</f>
        <v/>
      </c>
      <c r="T29" t="str">
        <f>IFERROR(IF(ISNUMBER($A3),INDEX('Skeet Ind Concurrent Ranking'!$A:$A,MATCH($A3,'Skeet Ind Concurrent Ranking'!$CT:$CT,0)),""),"")</f>
        <v>24-1000</v>
      </c>
      <c r="U29" t="str">
        <f>IFERROR(IF(ISNUMBER($A3),INDEX('Skeet Ind Concurrent Ranking'!$D:$D,MATCH($A3,'Skeet Ind Concurrent Ranking'!$CT:$CT,0)),""),"")</f>
        <v>Jason Last Name1</v>
      </c>
      <c r="V29" t="s">
        <v>869</v>
      </c>
      <c r="W29">
        <f t="shared" si="0"/>
        <v>28</v>
      </c>
    </row>
    <row r="30" spans="2:23" x14ac:dyDescent="0.3">
      <c r="B30" s="11" t="str">
        <f>IFERROR(IF(ISNUMBER($J15),INDEX('Skeet Ind Concurrent Ranking'!$D:$D,MATCH($J15,'Skeet Ind Concurrent Ranking'!$BX:$BX,0)),""),"")</f>
        <v/>
      </c>
      <c r="C30" s="40" t="str">
        <f>IFERROR(IF(ISNUMBER($J15),INDEX('Skeet Ind Concurrent Ranking'!$I:$I,MATCH($J15,'Skeet Ind Concurrent Ranking'!$BX:$BX,0)),""),"")</f>
        <v/>
      </c>
      <c r="D30" s="11" t="str">
        <f>IFERROR(IF(ISNUMBER($J15),INDEX('Skeet Ind Concurrent Ranking'!$D:$D,MATCH($J15,'Skeet Ind Concurrent Ranking'!$CE:$CE,0)),""),"")</f>
        <v>John Last Name2</v>
      </c>
      <c r="E30" s="40">
        <f>IFERROR(IF(ISNUMBER($J15),INDEX('Skeet Ind Concurrent Ranking'!$I:$I,MATCH($J15,'Skeet Ind Concurrent Ranking'!$CE:$CE,0)),""),"")</f>
        <v>63</v>
      </c>
      <c r="F30" s="11" t="str">
        <f>IFERROR(IF(ISNUMBER($J15),INDEX('Skeet Ind Concurrent Ranking'!$D:$D,MATCH($J15,'Skeet Ind Concurrent Ranking'!$CL:$CL,0)),""),"")</f>
        <v>Becky Last Name27</v>
      </c>
      <c r="G30" s="40">
        <f>IFERROR(IF(ISNUMBER($J15),INDEX('Skeet Ind Concurrent Ranking'!$I:$I,MATCH($J15,'Skeet Ind Concurrent Ranking'!$CL:$CL,0)),""),"")</f>
        <v>45</v>
      </c>
      <c r="H30" s="11" t="str">
        <f>IFERROR(IF(ISNUMBER($J15),INDEX('Skeet Ind Concurrent Ranking'!$D:$D,MATCH($J15,'Skeet Ind Concurrent Ranking'!CS:$CS,0)),""),"")</f>
        <v/>
      </c>
      <c r="I30" s="40" t="str">
        <f>IFERROR(IF(ISNUMBER($J15),INDEX('Skeet Ind Concurrent Ranking'!$I:$I,MATCH($J15,'Skeet Ind Concurrent Ranking'!$CS:$CS,0)),""),"")</f>
        <v/>
      </c>
      <c r="J30" s="1">
        <v>29</v>
      </c>
      <c r="K30" s="11" t="str">
        <f>IFERROR(IF(ISNUMBER($J30),INDEX('Skeet Ind Concurrent Ranking'!$D:$D,MATCH($J30,'Skeet Ind Concurrent Ranking'!$N:$N,0)),""),"")</f>
        <v>Rick Last Name47</v>
      </c>
      <c r="L30" s="51">
        <f>IFERROR(IF(ISNUMBER($J30),INDEX('Skeet Ind Concurrent Ranking'!$I:$I,MATCH($J30,'Skeet Ind Concurrent Ranking'!$N:$N,0)),""),"")</f>
        <v>65</v>
      </c>
      <c r="M30" s="40" t="str">
        <f>IFERROR(IF(ISNUMBER($J30),INDEX('Skeet Ind Concurrent Ranking'!$H:$H,MATCH($J30,'Skeet Ind Concurrent Ranking'!$N:$N,0)),""),"")</f>
        <v>A</v>
      </c>
      <c r="N30" s="1">
        <v>69</v>
      </c>
      <c r="O30" s="11" t="str">
        <f>IFERROR(IF(ISNUMBER($N30),INDEX('Skeet Ind Concurrent Ranking'!$D:$D,MATCH($N30,'Skeet Ind Concurrent Ranking'!$N:$N,0)),""),"")</f>
        <v/>
      </c>
      <c r="P30" s="51" t="str">
        <f>IFERROR(IF(ISNUMBER($N30),INDEX('Skeet Ind Concurrent Ranking'!$I:$I,MATCH($N30,'Skeet Ind Concurrent Ranking'!$N:$N,0)),""),"")</f>
        <v/>
      </c>
      <c r="Q30" s="40" t="str">
        <f>IFERROR(IF(ISNUMBER($N30),INDEX('Skeet Ind Concurrent Ranking'!$H:$H,MATCH($N30,'Skeet Ind Concurrent Ranking'!$N:$N,0)),""),"")</f>
        <v/>
      </c>
      <c r="T30" t="str">
        <f>IFERROR(IF(ISNUMBER($A4),INDEX('Skeet Ind Concurrent Ranking'!$A:$A,MATCH($A4,'Skeet Ind Concurrent Ranking'!$CT:$CT,0)),""),"")</f>
        <v>24-1043</v>
      </c>
      <c r="U30" t="str">
        <f>IFERROR(IF(ISNUMBER($A4),INDEX('Skeet Ind Concurrent Ranking'!$D:$D,MATCH($A4,'Skeet Ind Concurrent Ranking'!$CT:$CT,0)),""),"")</f>
        <v>Trisha Last Name44</v>
      </c>
      <c r="V30" t="s">
        <v>870</v>
      </c>
      <c r="W30">
        <f t="shared" si="0"/>
        <v>29</v>
      </c>
    </row>
    <row r="31" spans="2:23" x14ac:dyDescent="0.3">
      <c r="B31" s="11" t="str">
        <f>IFERROR(IF(ISNUMBER($J16),INDEX('Skeet Ind Concurrent Ranking'!$D:$D,MATCH($J16,'Skeet Ind Concurrent Ranking'!$BX:$BX,0)),""),"")</f>
        <v/>
      </c>
      <c r="C31" s="40" t="str">
        <f>IFERROR(IF(ISNUMBER($J16),INDEX('Skeet Ind Concurrent Ranking'!$I:$I,MATCH($J16,'Skeet Ind Concurrent Ranking'!$BX:$BX,0)),""),"")</f>
        <v/>
      </c>
      <c r="D31" s="11" t="str">
        <f>IFERROR(IF(ISNUMBER($J16),INDEX('Skeet Ind Concurrent Ranking'!$D:$D,MATCH($J16,'Skeet Ind Concurrent Ranking'!$CE:$CE,0)),""),"")</f>
        <v>Dee Last Name45</v>
      </c>
      <c r="E31" s="40">
        <f>IFERROR(IF(ISNUMBER($J16),INDEX('Skeet Ind Concurrent Ranking'!$I:$I,MATCH($J16,'Skeet Ind Concurrent Ranking'!$CE:$CE,0)),""),"")</f>
        <v>54</v>
      </c>
      <c r="F31" s="11" t="str">
        <f>IFERROR(IF(ISNUMBER($J16),INDEX('Skeet Ind Concurrent Ranking'!$D:$D,MATCH($J16,'Skeet Ind Concurrent Ranking'!$CL:$CL,0)),""),"")</f>
        <v>Chad Last Name39</v>
      </c>
      <c r="G31" s="40">
        <f>IFERROR(IF(ISNUMBER($J16),INDEX('Skeet Ind Concurrent Ranking'!$I:$I,MATCH($J16,'Skeet Ind Concurrent Ranking'!$CL:$CL,0)),""),"")</f>
        <v>43</v>
      </c>
      <c r="H31" s="11" t="str">
        <f>IFERROR(IF(ISNUMBER($J16),INDEX('Skeet Ind Concurrent Ranking'!$D:$D,MATCH($J16,'Skeet Ind Concurrent Ranking'!CS:$CS,0)),""),"")</f>
        <v/>
      </c>
      <c r="I31" s="40" t="str">
        <f>IFERROR(IF(ISNUMBER($J16),INDEX('Skeet Ind Concurrent Ranking'!$I:$I,MATCH($J16,'Skeet Ind Concurrent Ranking'!$CS:$CS,0)),""),"")</f>
        <v/>
      </c>
      <c r="J31" s="1">
        <v>30</v>
      </c>
      <c r="K31" s="11" t="str">
        <f>IFERROR(IF(ISNUMBER($J31),INDEX('Skeet Ind Concurrent Ranking'!$D:$D,MATCH($J31,'Skeet Ind Concurrent Ranking'!$N:$N,0)),""),"")</f>
        <v>James Last Name8</v>
      </c>
      <c r="L31" s="51">
        <f>IFERROR(IF(ISNUMBER($J31),INDEX('Skeet Ind Concurrent Ranking'!$I:$I,MATCH($J31,'Skeet Ind Concurrent Ranking'!$N:$N,0)),""),"")</f>
        <v>64</v>
      </c>
      <c r="M31" s="40" t="str">
        <f>IFERROR(IF(ISNUMBER($J31),INDEX('Skeet Ind Concurrent Ranking'!$H:$H,MATCH($J31,'Skeet Ind Concurrent Ranking'!$N:$N,0)),""),"")</f>
        <v>C</v>
      </c>
      <c r="N31" s="1">
        <v>70</v>
      </c>
      <c r="O31" s="11" t="str">
        <f>IFERROR(IF(ISNUMBER($N31),INDEX('Skeet Ind Concurrent Ranking'!$D:$D,MATCH($N31,'Skeet Ind Concurrent Ranking'!$N:$N,0)),""),"")</f>
        <v/>
      </c>
      <c r="P31" s="51" t="str">
        <f>IFERROR(IF(ISNUMBER($N31),INDEX('Skeet Ind Concurrent Ranking'!$I:$I,MATCH($N31,'Skeet Ind Concurrent Ranking'!$N:$N,0)),""),"")</f>
        <v/>
      </c>
      <c r="Q31" s="40" t="str">
        <f>IFERROR(IF(ISNUMBER($N31),INDEX('Skeet Ind Concurrent Ranking'!$H:$H,MATCH($N31,'Skeet Ind Concurrent Ranking'!$N:$N,0)),""),"")</f>
        <v/>
      </c>
      <c r="T31" t="str">
        <f>IFERROR(IF(ISNUMBER($A5),INDEX('Skeet Ind Concurrent Ranking'!$A:$A,MATCH($A5,'Skeet Ind Concurrent Ranking'!$CT:$CT,0)),""),"")</f>
        <v>24-1027</v>
      </c>
      <c r="U31" t="str">
        <f>IFERROR(IF(ISNUMBER($A5),INDEX('Skeet Ind Concurrent Ranking'!$D:$D,MATCH($A5,'Skeet Ind Concurrent Ranking'!$CT:$CT,0)),""),"")</f>
        <v>Brad Last Name28</v>
      </c>
      <c r="V31" t="s">
        <v>871</v>
      </c>
      <c r="W31">
        <f t="shared" si="0"/>
        <v>30</v>
      </c>
    </row>
    <row r="32" spans="2:23" x14ac:dyDescent="0.3">
      <c r="B32" s="11" t="str">
        <f>IFERROR(IF(ISNUMBER($J17),INDEX('Skeet Ind Concurrent Ranking'!$D:$D,MATCH($J17,'Skeet Ind Concurrent Ranking'!$BX:$BX,0)),""),"")</f>
        <v/>
      </c>
      <c r="C32" s="40" t="str">
        <f>IFERROR(IF(ISNUMBER($J17),INDEX('Skeet Ind Concurrent Ranking'!$I:$I,MATCH($J17,'Skeet Ind Concurrent Ranking'!$BX:$BX,0)),""),"")</f>
        <v/>
      </c>
      <c r="D32" s="11" t="str">
        <f>IFERROR(IF(ISNUMBER($J17),INDEX('Skeet Ind Concurrent Ranking'!$D:$D,MATCH($J17,'Skeet Ind Concurrent Ranking'!$CE:$CE,0)),""),"")</f>
        <v>Chris Last Name20</v>
      </c>
      <c r="E32" s="40">
        <f>IFERROR(IF(ISNUMBER($J17),INDEX('Skeet Ind Concurrent Ranking'!$I:$I,MATCH($J17,'Skeet Ind Concurrent Ranking'!$CE:$CE,0)),""),"")</f>
        <v>32.1</v>
      </c>
      <c r="F32" s="11" t="str">
        <f>IFERROR(IF(ISNUMBER($J17),INDEX('Skeet Ind Concurrent Ranking'!$D:$D,MATCH($J17,'Skeet Ind Concurrent Ranking'!$CL:$CL,0)),""),"")</f>
        <v>Kelly Last Name32</v>
      </c>
      <c r="G32" s="40">
        <f>IFERROR(IF(ISNUMBER($J17),INDEX('Skeet Ind Concurrent Ranking'!$I:$I,MATCH($J17,'Skeet Ind Concurrent Ranking'!$CL:$CL,0)),""),"")</f>
        <v>29</v>
      </c>
      <c r="H32" s="11" t="str">
        <f>IFERROR(IF(ISNUMBER($J17),INDEX('Skeet Ind Concurrent Ranking'!$D:$D,MATCH($J17,'Skeet Ind Concurrent Ranking'!CS:$CS,0)),""),"")</f>
        <v/>
      </c>
      <c r="I32" s="40" t="str">
        <f>IFERROR(IF(ISNUMBER($J17),INDEX('Skeet Ind Concurrent Ranking'!$I:$I,MATCH($J17,'Skeet Ind Concurrent Ranking'!$CS:$CS,0)),""),"")</f>
        <v/>
      </c>
      <c r="J32" s="1">
        <v>31</v>
      </c>
      <c r="K32" s="11" t="str">
        <f>IFERROR(IF(ISNUMBER($J32),INDEX('Skeet Ind Concurrent Ranking'!$D:$D,MATCH($J32,'Skeet Ind Concurrent Ranking'!$N:$N,0)),""),"")</f>
        <v>Randy Last Name36</v>
      </c>
      <c r="L32" s="51">
        <f>IFERROR(IF(ISNUMBER($J32),INDEX('Skeet Ind Concurrent Ranking'!$I:$I,MATCH($J32,'Skeet Ind Concurrent Ranking'!$N:$N,0)),""),"")</f>
        <v>63.1</v>
      </c>
      <c r="M32" s="40" t="str">
        <f>IFERROR(IF(ISNUMBER($J32),INDEX('Skeet Ind Concurrent Ranking'!$H:$H,MATCH($J32,'Skeet Ind Concurrent Ranking'!$N:$N,0)),""),"")</f>
        <v>C</v>
      </c>
      <c r="N32" s="1">
        <v>71</v>
      </c>
      <c r="O32" s="11" t="str">
        <f>IFERROR(IF(ISNUMBER($N32),INDEX('Skeet Ind Concurrent Ranking'!$D:$D,MATCH($N32,'Skeet Ind Concurrent Ranking'!$N:$N,0)),""),"")</f>
        <v/>
      </c>
      <c r="P32" s="51" t="str">
        <f>IFERROR(IF(ISNUMBER($N32),INDEX('Skeet Ind Concurrent Ranking'!$I:$I,MATCH($N32,'Skeet Ind Concurrent Ranking'!$N:$N,0)),""),"")</f>
        <v/>
      </c>
      <c r="Q32" s="40" t="str">
        <f>IFERROR(IF(ISNUMBER($N32),INDEX('Skeet Ind Concurrent Ranking'!$H:$H,MATCH($N32,'Skeet Ind Concurrent Ranking'!$N:$N,0)),""),"")</f>
        <v/>
      </c>
      <c r="T32" t="str">
        <f>IFERROR(IF(ISNUMBER($A7),INDEX('Skeet Ind Concurrent Ranking'!$A:$A,MATCH($A7,'Skeet Ind Concurrent Ranking'!$CV:$CV,0)),""),"")</f>
        <v>24-1039</v>
      </c>
      <c r="U32" t="str">
        <f>IFERROR(IF(ISNUMBER($A7),INDEX('Skeet Ind Concurrent Ranking'!$D:$D,MATCH($A7,'Skeet Ind Concurrent Ranking'!$CV:$CV,0)),""),"")</f>
        <v>Troy Last Name40</v>
      </c>
      <c r="V32" t="s">
        <v>872</v>
      </c>
      <c r="W32">
        <f t="shared" si="0"/>
        <v>31</v>
      </c>
    </row>
    <row r="33" spans="1:23" x14ac:dyDescent="0.3">
      <c r="B33" s="11" t="str">
        <f>IFERROR(IF(ISNUMBER($J18),INDEX('Skeet Ind Concurrent Ranking'!$D:$D,MATCH($J18,'Skeet Ind Concurrent Ranking'!$BX:$BX,0)),""),"")</f>
        <v/>
      </c>
      <c r="C33" s="40" t="str">
        <f>IFERROR(IF(ISNUMBER($J18),INDEX('Skeet Ind Concurrent Ranking'!$I:$I,MATCH($J18,'Skeet Ind Concurrent Ranking'!$BX:$BX,0)),""),"")</f>
        <v/>
      </c>
      <c r="D33" s="11" t="str">
        <f>IFERROR(IF(ISNUMBER($J18),INDEX('Skeet Ind Concurrent Ranking'!$D:$D,MATCH($J18,'Skeet Ind Concurrent Ranking'!$CE:$CE,0)),""),"")</f>
        <v>Sam Last Name46</v>
      </c>
      <c r="E33" s="40">
        <f>IFERROR(IF(ISNUMBER($J18),INDEX('Skeet Ind Concurrent Ranking'!$I:$I,MATCH($J18,'Skeet Ind Concurrent Ranking'!$CE:$CE,0)),""),"")</f>
        <v>32</v>
      </c>
      <c r="F33" s="11" t="str">
        <f>IFERROR(IF(ISNUMBER($J18),INDEX('Skeet Ind Concurrent Ranking'!$D:$D,MATCH($J18,'Skeet Ind Concurrent Ranking'!$CL:$CL,0)),""),"")</f>
        <v/>
      </c>
      <c r="G33" s="40" t="str">
        <f>IFERROR(IF(ISNUMBER($J18),INDEX('Skeet Ind Concurrent Ranking'!$I:$I,MATCH($J18,'Skeet Ind Concurrent Ranking'!$CL:$CL,0)),""),"")</f>
        <v/>
      </c>
      <c r="H33" s="11" t="str">
        <f>IFERROR(IF(ISNUMBER($J18),INDEX('Skeet Ind Concurrent Ranking'!$D:$D,MATCH($J18,'Skeet Ind Concurrent Ranking'!CS:$CS,0)),""),"")</f>
        <v/>
      </c>
      <c r="I33" s="40" t="str">
        <f>IFERROR(IF(ISNUMBER($J18),INDEX('Skeet Ind Concurrent Ranking'!$I:$I,MATCH($J18,'Skeet Ind Concurrent Ranking'!$CS:$CS,0)),""),"")</f>
        <v/>
      </c>
      <c r="J33" s="1">
        <v>32</v>
      </c>
      <c r="K33" s="11" t="str">
        <f>IFERROR(IF(ISNUMBER($J33),INDEX('Skeet Ind Concurrent Ranking'!$D:$D,MATCH($J33,'Skeet Ind Concurrent Ranking'!$N:$N,0)),""),"")</f>
        <v>John Last Name2</v>
      </c>
      <c r="L33" s="51">
        <f>IFERROR(IF(ISNUMBER($J33),INDEX('Skeet Ind Concurrent Ranking'!$I:$I,MATCH($J33,'Skeet Ind Concurrent Ranking'!$N:$N,0)),""),"")</f>
        <v>63</v>
      </c>
      <c r="M33" s="40" t="str">
        <f>IFERROR(IF(ISNUMBER($J33),INDEX('Skeet Ind Concurrent Ranking'!$H:$H,MATCH($J33,'Skeet Ind Concurrent Ranking'!$N:$N,0)),""),"")</f>
        <v>B</v>
      </c>
      <c r="N33" s="1">
        <v>72</v>
      </c>
      <c r="O33" s="11" t="str">
        <f>IFERROR(IF(ISNUMBER($N33),INDEX('Skeet Ind Concurrent Ranking'!$D:$D,MATCH($N33,'Skeet Ind Concurrent Ranking'!$N:$N,0)),""),"")</f>
        <v/>
      </c>
      <c r="P33" s="51" t="str">
        <f>IFERROR(IF(ISNUMBER($N33),INDEX('Skeet Ind Concurrent Ranking'!$I:$I,MATCH($N33,'Skeet Ind Concurrent Ranking'!$N:$N,0)),""),"")</f>
        <v/>
      </c>
      <c r="Q33" s="40" t="str">
        <f>IFERROR(IF(ISNUMBER($N33),INDEX('Skeet Ind Concurrent Ranking'!$H:$H,MATCH($N33,'Skeet Ind Concurrent Ranking'!$N:$N,0)),""),"")</f>
        <v/>
      </c>
      <c r="T33" t="str">
        <f>IFERROR(IF(ISNUMBER($A8),INDEX('Skeet Ind Concurrent Ranking'!$A:$A,MATCH($A8,'Skeet Ind Concurrent Ranking'!$CV:$CV,0)),""),"")</f>
        <v>24-1047</v>
      </c>
      <c r="U33" t="str">
        <f>IFERROR(IF(ISNUMBER($A8),INDEX('Skeet Ind Concurrent Ranking'!$D:$D,MATCH($A8,'Skeet Ind Concurrent Ranking'!$CV:$CV,0)),""),"")</f>
        <v>Jackson Last Name48</v>
      </c>
      <c r="V33" t="s">
        <v>873</v>
      </c>
      <c r="W33">
        <f t="shared" si="0"/>
        <v>32</v>
      </c>
    </row>
    <row r="34" spans="1:23" x14ac:dyDescent="0.3">
      <c r="B34" s="11" t="str">
        <f>IFERROR(IF(ISNUMBER($J19),INDEX('Skeet Ind Concurrent Ranking'!$D:$D,MATCH($J19,'Skeet Ind Concurrent Ranking'!$BX:$BX,0)),""),"")</f>
        <v/>
      </c>
      <c r="C34" s="40" t="str">
        <f>IFERROR(IF(ISNUMBER($J19),INDEX('Skeet Ind Concurrent Ranking'!$I:$I,MATCH($J19,'Skeet Ind Concurrent Ranking'!$BX:$BX,0)),""),"")</f>
        <v/>
      </c>
      <c r="D34" s="11" t="str">
        <f>IFERROR(IF(ISNUMBER($J19),INDEX('Skeet Ind Concurrent Ranking'!$D:$D,MATCH($J19,'Skeet Ind Concurrent Ranking'!$CE:$CE,0)),""),"")</f>
        <v/>
      </c>
      <c r="E34" s="40" t="str">
        <f>IFERROR(IF(ISNUMBER($J19),INDEX('Skeet Ind Concurrent Ranking'!$I:$I,MATCH($J19,'Skeet Ind Concurrent Ranking'!$CE:$CE,0)),""),"")</f>
        <v/>
      </c>
      <c r="F34" s="11" t="str">
        <f>IFERROR(IF(ISNUMBER($J19),INDEX('Skeet Ind Concurrent Ranking'!$D:$D,MATCH($J19,'Skeet Ind Concurrent Ranking'!$CL:$CL,0)),""),"")</f>
        <v/>
      </c>
      <c r="G34" s="40" t="str">
        <f>IFERROR(IF(ISNUMBER($J19),INDEX('Skeet Ind Concurrent Ranking'!$I:$I,MATCH($J19,'Skeet Ind Concurrent Ranking'!$CL:$CL,0)),""),"")</f>
        <v/>
      </c>
      <c r="H34" s="11" t="str">
        <f>IFERROR(IF(ISNUMBER($J19),INDEX('Skeet Ind Concurrent Ranking'!$D:$D,MATCH($J19,'Skeet Ind Concurrent Ranking'!CS:$CS,0)),""),"")</f>
        <v/>
      </c>
      <c r="I34" s="40" t="str">
        <f>IFERROR(IF(ISNUMBER($J19),INDEX('Skeet Ind Concurrent Ranking'!$I:$I,MATCH($J19,'Skeet Ind Concurrent Ranking'!$CS:$CS,0)),""),"")</f>
        <v/>
      </c>
      <c r="J34" s="1">
        <v>33</v>
      </c>
      <c r="K34" s="11" t="str">
        <f>IFERROR(IF(ISNUMBER($J34),INDEX('Skeet Ind Concurrent Ranking'!$D:$D,MATCH($J34,'Skeet Ind Concurrent Ranking'!$N:$N,0)),""),"")</f>
        <v>Brad Last Name28</v>
      </c>
      <c r="L34" s="51">
        <f>IFERROR(IF(ISNUMBER($J34),INDEX('Skeet Ind Concurrent Ranking'!$I:$I,MATCH($J34,'Skeet Ind Concurrent Ranking'!$N:$N,0)),""),"")</f>
        <v>63</v>
      </c>
      <c r="M34" s="40" t="str">
        <f>IFERROR(IF(ISNUMBER($J34),INDEX('Skeet Ind Concurrent Ranking'!$H:$H,MATCH($J34,'Skeet Ind Concurrent Ranking'!$N:$N,0)),""),"")</f>
        <v>D</v>
      </c>
      <c r="N34" s="1">
        <v>73</v>
      </c>
      <c r="O34" s="11" t="str">
        <f>IFERROR(IF(ISNUMBER($N34),INDEX('Skeet Ind Concurrent Ranking'!$D:$D,MATCH($N34,'Skeet Ind Concurrent Ranking'!$N:$N,0)),""),"")</f>
        <v/>
      </c>
      <c r="P34" s="51" t="str">
        <f>IFERROR(IF(ISNUMBER($N34),INDEX('Skeet Ind Concurrent Ranking'!$I:$I,MATCH($N34,'Skeet Ind Concurrent Ranking'!$N:$N,0)),""),"")</f>
        <v/>
      </c>
      <c r="Q34" s="40" t="str">
        <f>IFERROR(IF(ISNUMBER($N34),INDEX('Skeet Ind Concurrent Ranking'!$H:$H,MATCH($N34,'Skeet Ind Concurrent Ranking'!$N:$N,0)),""),"")</f>
        <v/>
      </c>
      <c r="T34" t="str">
        <f>IFERROR(IF(ISNUMBER($A9),INDEX('Skeet Ind Concurrent Ranking'!$A:$A,MATCH($A9,'Skeet Ind Concurrent Ranking'!$CV:$CV,0)),""),"")</f>
        <v>24-1015</v>
      </c>
      <c r="U34" t="str">
        <f>IFERROR(IF(ISNUMBER($A9),INDEX('Skeet Ind Concurrent Ranking'!$D:$D,MATCH($A9,'Skeet Ind Concurrent Ranking'!$CV:$CV,0)),""),"")</f>
        <v>Paul Last Name16</v>
      </c>
      <c r="V34" t="s">
        <v>874</v>
      </c>
      <c r="W34">
        <f t="shared" si="0"/>
        <v>33</v>
      </c>
    </row>
    <row r="35" spans="1:23" x14ac:dyDescent="0.3">
      <c r="B35" s="11" t="str">
        <f>IFERROR(IF(ISNUMBER($J20),INDEX('Skeet Ind Concurrent Ranking'!$D:$D,MATCH($J20,'Skeet Ind Concurrent Ranking'!$BX:$BX,0)),""),"")</f>
        <v/>
      </c>
      <c r="C35" s="40" t="str">
        <f>IFERROR(IF(ISNUMBER($J20),INDEX('Skeet Ind Concurrent Ranking'!$I:$I,MATCH($J20,'Skeet Ind Concurrent Ranking'!$BX:$BX,0)),""),"")</f>
        <v/>
      </c>
      <c r="D35" s="11" t="str">
        <f>IFERROR(IF(ISNUMBER($J20),INDEX('Skeet Ind Concurrent Ranking'!$D:$D,MATCH($J20,'Skeet Ind Concurrent Ranking'!$CE:$CE,0)),""),"")</f>
        <v/>
      </c>
      <c r="E35" s="40" t="str">
        <f>IFERROR(IF(ISNUMBER($J20),INDEX('Skeet Ind Concurrent Ranking'!$I:$I,MATCH($J20,'Skeet Ind Concurrent Ranking'!$CE:$CE,0)),""),"")</f>
        <v/>
      </c>
      <c r="F35" s="11" t="str">
        <f>IFERROR(IF(ISNUMBER($J20),INDEX('Skeet Ind Concurrent Ranking'!$D:$D,MATCH($J20,'Skeet Ind Concurrent Ranking'!$CL:$CL,0)),""),"")</f>
        <v/>
      </c>
      <c r="G35" s="40" t="str">
        <f>IFERROR(IF(ISNUMBER($J20),INDEX('Skeet Ind Concurrent Ranking'!$I:$I,MATCH($J20,'Skeet Ind Concurrent Ranking'!$CL:$CL,0)),""),"")</f>
        <v/>
      </c>
      <c r="H35" s="11" t="str">
        <f>IFERROR(IF(ISNUMBER($J20),INDEX('Skeet Ind Concurrent Ranking'!$D:$D,MATCH($J20,'Skeet Ind Concurrent Ranking'!CS:$CS,0)),""),"")</f>
        <v/>
      </c>
      <c r="I35" s="40" t="str">
        <f>IFERROR(IF(ISNUMBER($J20),INDEX('Skeet Ind Concurrent Ranking'!$I:$I,MATCH($J20,'Skeet Ind Concurrent Ranking'!$CS:$CS,0)),""),"")</f>
        <v/>
      </c>
      <c r="J35" s="1">
        <v>34</v>
      </c>
      <c r="K35" s="11" t="str">
        <f>IFERROR(IF(ISNUMBER($J35),INDEX('Skeet Ind Concurrent Ranking'!$D:$D,MATCH($J35,'Skeet Ind Concurrent Ranking'!$N:$N,0)),""),"")</f>
        <v>Tom Last Name23</v>
      </c>
      <c r="L35" s="51">
        <f>IFERROR(IF(ISNUMBER($J35),INDEX('Skeet Ind Concurrent Ranking'!$I:$I,MATCH($J35,'Skeet Ind Concurrent Ranking'!$N:$N,0)),""),"")</f>
        <v>61</v>
      </c>
      <c r="M35" s="40" t="str">
        <f>IFERROR(IF(ISNUMBER($J35),INDEX('Skeet Ind Concurrent Ranking'!$H:$H,MATCH($J35,'Skeet Ind Concurrent Ranking'!$N:$N,0)),""),"")</f>
        <v>C</v>
      </c>
      <c r="N35" s="1">
        <v>74</v>
      </c>
      <c r="O35" s="11" t="str">
        <f>IFERROR(IF(ISNUMBER($N35),INDEX('Skeet Ind Concurrent Ranking'!$D:$D,MATCH($N35,'Skeet Ind Concurrent Ranking'!$N:$N,0)),""),"")</f>
        <v/>
      </c>
      <c r="P35" s="51" t="str">
        <f>IFERROR(IF(ISNUMBER($N35),INDEX('Skeet Ind Concurrent Ranking'!$I:$I,MATCH($N35,'Skeet Ind Concurrent Ranking'!$N:$N,0)),""),"")</f>
        <v/>
      </c>
      <c r="Q35" s="40" t="str">
        <f>IFERROR(IF(ISNUMBER($N35),INDEX('Skeet Ind Concurrent Ranking'!$H:$H,MATCH($N35,'Skeet Ind Concurrent Ranking'!$N:$N,0)),""),"")</f>
        <v/>
      </c>
      <c r="T35" t="str">
        <f>IFERROR(IF(ISNUMBER($A11),INDEX('Skeet Ind Concurrent Ranking'!$A:$A,MATCH($A11,'Skeet Ind Concurrent Ranking'!$CX:$CX,0)),""),"")</f>
        <v>24-1016</v>
      </c>
      <c r="U35" t="str">
        <f>IFERROR(IF(ISNUMBER($A11),INDEX('Skeet Ind Concurrent Ranking'!$D:$D,MATCH($A11,'Skeet Ind Concurrent Ranking'!$CX:$CX,0)),""),"")</f>
        <v>Joan Last Name17</v>
      </c>
      <c r="V35" t="s">
        <v>875</v>
      </c>
      <c r="W35">
        <f t="shared" si="0"/>
        <v>34</v>
      </c>
    </row>
    <row r="36" spans="1:23" x14ac:dyDescent="0.3">
      <c r="B36" s="11" t="str">
        <f>IFERROR(IF(ISNUMBER($J21),INDEX('Skeet Ind Concurrent Ranking'!$D:$D,MATCH($J21,'Skeet Ind Concurrent Ranking'!$BX:$BX,0)),""),"")</f>
        <v/>
      </c>
      <c r="C36" s="40" t="str">
        <f>IFERROR(IF(ISNUMBER($J21),INDEX('Skeet Ind Concurrent Ranking'!$I:$I,MATCH($J21,'Skeet Ind Concurrent Ranking'!$BX:$BX,0)),""),"")</f>
        <v/>
      </c>
      <c r="D36" s="11" t="str">
        <f>IFERROR(IF(ISNUMBER($J21),INDEX('Skeet Ind Concurrent Ranking'!$D:$D,MATCH($J21,'Skeet Ind Concurrent Ranking'!$CE:$CE,0)),""),"")</f>
        <v/>
      </c>
      <c r="E36" s="40" t="str">
        <f>IFERROR(IF(ISNUMBER($J21),INDEX('Skeet Ind Concurrent Ranking'!$I:$I,MATCH($J21,'Skeet Ind Concurrent Ranking'!$CE:$CE,0)),""),"")</f>
        <v/>
      </c>
      <c r="F36" s="11" t="str">
        <f>IFERROR(IF(ISNUMBER($J21),INDEX('Skeet Ind Concurrent Ranking'!$D:$D,MATCH($J21,'Skeet Ind Concurrent Ranking'!$CL:$CL,0)),""),"")</f>
        <v/>
      </c>
      <c r="G36" s="40" t="str">
        <f>IFERROR(IF(ISNUMBER($J21),INDEX('Skeet Ind Concurrent Ranking'!$I:$I,MATCH($J21,'Skeet Ind Concurrent Ranking'!$CL:$CL,0)),""),"")</f>
        <v/>
      </c>
      <c r="H36" s="11" t="str">
        <f>IFERROR(IF(ISNUMBER($J21),INDEX('Skeet Ind Concurrent Ranking'!$D:$D,MATCH($J21,'Skeet Ind Concurrent Ranking'!CS:$CS,0)),""),"")</f>
        <v/>
      </c>
      <c r="I36" s="40" t="str">
        <f>IFERROR(IF(ISNUMBER($J21),INDEX('Skeet Ind Concurrent Ranking'!$I:$I,MATCH($J21,'Skeet Ind Concurrent Ranking'!$CS:$CS,0)),""),"")</f>
        <v/>
      </c>
      <c r="J36" s="1">
        <v>35</v>
      </c>
      <c r="K36" s="11" t="str">
        <f>IFERROR(IF(ISNUMBER($J36),INDEX('Skeet Ind Concurrent Ranking'!$D:$D,MATCH($J36,'Skeet Ind Concurrent Ranking'!$N:$N,0)),""),"")</f>
        <v>Joan Last Name17</v>
      </c>
      <c r="L36" s="51">
        <f>IFERROR(IF(ISNUMBER($J36),INDEX('Skeet Ind Concurrent Ranking'!$I:$I,MATCH($J36,'Skeet Ind Concurrent Ranking'!$N:$N,0)),""),"")</f>
        <v>60.1</v>
      </c>
      <c r="M36" s="40" t="str">
        <f>IFERROR(IF(ISNUMBER($J36),INDEX('Skeet Ind Concurrent Ranking'!$H:$H,MATCH($J36,'Skeet Ind Concurrent Ranking'!$N:$N,0)),""),"")</f>
        <v>D</v>
      </c>
      <c r="N36" s="1">
        <v>75</v>
      </c>
      <c r="O36" s="11" t="str">
        <f>IFERROR(IF(ISNUMBER($N36),INDEX('Skeet Ind Concurrent Ranking'!$D:$D,MATCH($N36,'Skeet Ind Concurrent Ranking'!$N:$N,0)),""),"")</f>
        <v/>
      </c>
      <c r="P36" s="51" t="str">
        <f>IFERROR(IF(ISNUMBER($N36),INDEX('Skeet Ind Concurrent Ranking'!$I:$I,MATCH($N36,'Skeet Ind Concurrent Ranking'!$N:$N,0)),""),"")</f>
        <v/>
      </c>
      <c r="Q36" s="40" t="str">
        <f>IFERROR(IF(ISNUMBER($N36),INDEX('Skeet Ind Concurrent Ranking'!$H:$H,MATCH($N36,'Skeet Ind Concurrent Ranking'!$N:$N,0)),""),"")</f>
        <v/>
      </c>
      <c r="T36" t="str">
        <f>IFERROR(IF(ISNUMBER($A12),INDEX('Skeet Ind Concurrent Ranking'!$A:$A,MATCH($A12,'Skeet Ind Concurrent Ranking'!$CX:$CX,0)),""),"")</f>
        <v/>
      </c>
      <c r="U36" t="str">
        <f>IFERROR(IF(ISNUMBER($A12),INDEX('Skeet Ind Concurrent Ranking'!$D:$D,MATCH($A12,'Skeet Ind Concurrent Ranking'!$CX:$CX,0)),""),"")</f>
        <v/>
      </c>
      <c r="V36" t="s">
        <v>876</v>
      </c>
      <c r="W36">
        <f t="shared" si="0"/>
        <v>35</v>
      </c>
    </row>
    <row r="37" spans="1:23" x14ac:dyDescent="0.3">
      <c r="B37" s="11" t="str">
        <f>IFERROR(IF(ISNUMBER($J22),INDEX('Skeet Ind Concurrent Ranking'!$D:$D,MATCH($J22,'Skeet Ind Concurrent Ranking'!$BX:$BX,0)),""),"")</f>
        <v/>
      </c>
      <c r="C37" s="40" t="str">
        <f>IFERROR(IF(ISNUMBER($J22),INDEX('Skeet Ind Concurrent Ranking'!$I:$I,MATCH($J22,'Skeet Ind Concurrent Ranking'!$BX:$BX,0)),""),"")</f>
        <v/>
      </c>
      <c r="D37" s="11" t="str">
        <f>IFERROR(IF(ISNUMBER($J22),INDEX('Skeet Ind Concurrent Ranking'!$D:$D,MATCH($J22,'Skeet Ind Concurrent Ranking'!$CE:$CE,0)),""),"")</f>
        <v/>
      </c>
      <c r="E37" s="40" t="str">
        <f>IFERROR(IF(ISNUMBER($J22),INDEX('Skeet Ind Concurrent Ranking'!$I:$I,MATCH($J22,'Skeet Ind Concurrent Ranking'!$CE:$CE,0)),""),"")</f>
        <v/>
      </c>
      <c r="F37" s="11" t="str">
        <f>IFERROR(IF(ISNUMBER($J22),INDEX('Skeet Ind Concurrent Ranking'!$D:$D,MATCH($J22,'Skeet Ind Concurrent Ranking'!$CL:$CL,0)),""),"")</f>
        <v/>
      </c>
      <c r="G37" s="40" t="str">
        <f>IFERROR(IF(ISNUMBER($J22),INDEX('Skeet Ind Concurrent Ranking'!$I:$I,MATCH($J22,'Skeet Ind Concurrent Ranking'!$CL:$CL,0)),""),"")</f>
        <v/>
      </c>
      <c r="H37" s="11" t="str">
        <f>IFERROR(IF(ISNUMBER($J22),INDEX('Skeet Ind Concurrent Ranking'!$D:$D,MATCH($J22,'Skeet Ind Concurrent Ranking'!CS:$CS,0)),""),"")</f>
        <v/>
      </c>
      <c r="I37" s="40" t="str">
        <f>IFERROR(IF(ISNUMBER($J22),INDEX('Skeet Ind Concurrent Ranking'!$I:$I,MATCH($J22,'Skeet Ind Concurrent Ranking'!$CS:$CS,0)),""),"")</f>
        <v/>
      </c>
      <c r="J37" s="1">
        <v>36</v>
      </c>
      <c r="K37" s="11" t="str">
        <f>IFERROR(IF(ISNUMBER($J37),INDEX('Skeet Ind Concurrent Ranking'!$D:$D,MATCH($J37,'Skeet Ind Concurrent Ranking'!$N:$N,0)),""),"")</f>
        <v>Owen Last Name42</v>
      </c>
      <c r="L37" s="51">
        <f>IFERROR(IF(ISNUMBER($J37),INDEX('Skeet Ind Concurrent Ranking'!$I:$I,MATCH($J37,'Skeet Ind Concurrent Ranking'!$N:$N,0)),""),"")</f>
        <v>60</v>
      </c>
      <c r="M37" s="40" t="str">
        <f>IFERROR(IF(ISNUMBER($J37),INDEX('Skeet Ind Concurrent Ranking'!$H:$H,MATCH($J37,'Skeet Ind Concurrent Ranking'!$N:$N,0)),""),"")</f>
        <v>C</v>
      </c>
      <c r="N37" s="1">
        <v>76</v>
      </c>
      <c r="O37" s="11" t="str">
        <f>IFERROR(IF(ISNUMBER($N37),INDEX('Skeet Ind Concurrent Ranking'!$D:$D,MATCH($N37,'Skeet Ind Concurrent Ranking'!$N:$N,0)),""),"")</f>
        <v/>
      </c>
      <c r="P37" s="51" t="str">
        <f>IFERROR(IF(ISNUMBER($N37),INDEX('Skeet Ind Concurrent Ranking'!$I:$I,MATCH($N37,'Skeet Ind Concurrent Ranking'!$N:$N,0)),""),"")</f>
        <v/>
      </c>
      <c r="Q37" s="40" t="str">
        <f>IFERROR(IF(ISNUMBER($N37),INDEX('Skeet Ind Concurrent Ranking'!$H:$H,MATCH($N37,'Skeet Ind Concurrent Ranking'!$N:$N,0)),""),"")</f>
        <v/>
      </c>
      <c r="T37" t="str">
        <f>IFERROR(IF(ISNUMBER($A13),INDEX('Skeet Ind Concurrent Ranking'!$A:$A,MATCH($A13,'Skeet Ind Concurrent Ranking'!$CX:$CX,0)),""),"")</f>
        <v/>
      </c>
      <c r="U37" t="str">
        <f>IFERROR(IF(ISNUMBER($A13),INDEX('Skeet Ind Concurrent Ranking'!$D:$D,MATCH($A13,'Skeet Ind Concurrent Ranking'!$CX:$CX,0)),""),"")</f>
        <v/>
      </c>
      <c r="V37" t="s">
        <v>877</v>
      </c>
      <c r="W37">
        <f t="shared" si="0"/>
        <v>36</v>
      </c>
    </row>
    <row r="38" spans="1:23" x14ac:dyDescent="0.3">
      <c r="B38" s="11" t="str">
        <f>IFERROR(IF(ISNUMBER($J23),INDEX('Skeet Ind Concurrent Ranking'!$D:$D,MATCH($J23,'Skeet Ind Concurrent Ranking'!$BX:$BX,0)),""),"")</f>
        <v/>
      </c>
      <c r="C38" s="40" t="str">
        <f>IFERROR(IF(ISNUMBER($J23),INDEX('Skeet Ind Concurrent Ranking'!$I:$I,MATCH($J23,'Skeet Ind Concurrent Ranking'!$BX:$BX,0)),""),"")</f>
        <v/>
      </c>
      <c r="D38" s="11" t="str">
        <f>IFERROR(IF(ISNUMBER($J23),INDEX('Skeet Ind Concurrent Ranking'!$D:$D,MATCH($J23,'Skeet Ind Concurrent Ranking'!$CE:$CE,0)),""),"")</f>
        <v/>
      </c>
      <c r="E38" s="40" t="str">
        <f>IFERROR(IF(ISNUMBER($J23),INDEX('Skeet Ind Concurrent Ranking'!$I:$I,MATCH($J23,'Skeet Ind Concurrent Ranking'!$CE:$CE,0)),""),"")</f>
        <v/>
      </c>
      <c r="F38" s="11" t="str">
        <f>IFERROR(IF(ISNUMBER($J23),INDEX('Skeet Ind Concurrent Ranking'!$D:$D,MATCH($J23,'Skeet Ind Concurrent Ranking'!$CL:$CL,0)),""),"")</f>
        <v/>
      </c>
      <c r="G38" s="40" t="str">
        <f>IFERROR(IF(ISNUMBER($J23),INDEX('Skeet Ind Concurrent Ranking'!$I:$I,MATCH($J23,'Skeet Ind Concurrent Ranking'!$CL:$CL,0)),""),"")</f>
        <v/>
      </c>
      <c r="H38" s="11" t="str">
        <f>IFERROR(IF(ISNUMBER($J23),INDEX('Skeet Ind Concurrent Ranking'!$D:$D,MATCH($J23,'Skeet Ind Concurrent Ranking'!CS:$CS,0)),""),"")</f>
        <v/>
      </c>
      <c r="I38" s="40" t="str">
        <f>IFERROR(IF(ISNUMBER($J23),INDEX('Skeet Ind Concurrent Ranking'!$I:$I,MATCH($J23,'Skeet Ind Concurrent Ranking'!$CS:$CS,0)),""),"")</f>
        <v/>
      </c>
      <c r="J38" s="1">
        <v>37</v>
      </c>
      <c r="K38" s="11" t="str">
        <f>IFERROR(IF(ISNUMBER($J38),INDEX('Skeet Ind Concurrent Ranking'!$D:$D,MATCH($J38,'Skeet Ind Concurrent Ranking'!$N:$N,0)),""),"")</f>
        <v>Troy Last Name40</v>
      </c>
      <c r="L38" s="51">
        <f>IFERROR(IF(ISNUMBER($J38),INDEX('Skeet Ind Concurrent Ranking'!$I:$I,MATCH($J38,'Skeet Ind Concurrent Ranking'!$N:$N,0)),""),"")</f>
        <v>59</v>
      </c>
      <c r="M38" s="40" t="str">
        <f>IFERROR(IF(ISNUMBER($J38),INDEX('Skeet Ind Concurrent Ranking'!$H:$H,MATCH($J38,'Skeet Ind Concurrent Ranking'!$N:$N,0)),""),"")</f>
        <v>D</v>
      </c>
      <c r="N38" s="1">
        <v>77</v>
      </c>
      <c r="O38" s="11" t="str">
        <f>IFERROR(IF(ISNUMBER($N38),INDEX('Skeet Ind Concurrent Ranking'!$D:$D,MATCH($N38,'Skeet Ind Concurrent Ranking'!$N:$N,0)),""),"")</f>
        <v/>
      </c>
      <c r="P38" s="51" t="str">
        <f>IFERROR(IF(ISNUMBER($N38),INDEX('Skeet Ind Concurrent Ranking'!$I:$I,MATCH($N38,'Skeet Ind Concurrent Ranking'!$N:$N,0)),""),"")</f>
        <v/>
      </c>
      <c r="Q38" s="40" t="str">
        <f>IFERROR(IF(ISNUMBER($N38),INDEX('Skeet Ind Concurrent Ranking'!$H:$H,MATCH($N38,'Skeet Ind Concurrent Ranking'!$N:$N,0)),""),"")</f>
        <v/>
      </c>
    </row>
    <row r="39" spans="1:23" x14ac:dyDescent="0.3">
      <c r="B39" s="11" t="str">
        <f>IFERROR(IF(ISNUMBER($J24),INDEX('Skeet Ind Concurrent Ranking'!$D:$D,MATCH($J24,'Skeet Ind Concurrent Ranking'!$BX:$BX,0)),""),"")</f>
        <v/>
      </c>
      <c r="C39" s="40" t="str">
        <f>IFERROR(IF(ISNUMBER($J24),INDEX('Skeet Ind Concurrent Ranking'!$I:$I,MATCH($J24,'Skeet Ind Concurrent Ranking'!$BX:$BX,0)),""),"")</f>
        <v/>
      </c>
      <c r="D39" s="11" t="str">
        <f>IFERROR(IF(ISNUMBER($J24),INDEX('Skeet Ind Concurrent Ranking'!$D:$D,MATCH($J24,'Skeet Ind Concurrent Ranking'!$CE:$CE,0)),""),"")</f>
        <v/>
      </c>
      <c r="E39" s="40" t="str">
        <f>IFERROR(IF(ISNUMBER($J24),INDEX('Skeet Ind Concurrent Ranking'!$I:$I,MATCH($J24,'Skeet Ind Concurrent Ranking'!$CE:$CE,0)),""),"")</f>
        <v/>
      </c>
      <c r="F39" s="11" t="str">
        <f>IFERROR(IF(ISNUMBER($J24),INDEX('Skeet Ind Concurrent Ranking'!$D:$D,MATCH($J24,'Skeet Ind Concurrent Ranking'!$CL:$CL,0)),""),"")</f>
        <v/>
      </c>
      <c r="G39" s="40" t="str">
        <f>IFERROR(IF(ISNUMBER($J24),INDEX('Skeet Ind Concurrent Ranking'!$I:$I,MATCH($J24,'Skeet Ind Concurrent Ranking'!$CL:$CL,0)),""),"")</f>
        <v/>
      </c>
      <c r="H39" s="11" t="str">
        <f>IFERROR(IF(ISNUMBER($J24),INDEX('Skeet Ind Concurrent Ranking'!$D:$D,MATCH($J24,'Skeet Ind Concurrent Ranking'!CS:$CS,0)),""),"")</f>
        <v/>
      </c>
      <c r="I39" s="40" t="str">
        <f>IFERROR(IF(ISNUMBER($J24),INDEX('Skeet Ind Concurrent Ranking'!$I:$I,MATCH($J24,'Skeet Ind Concurrent Ranking'!$CS:$CS,0)),""),"")</f>
        <v/>
      </c>
      <c r="J39" s="1">
        <v>38</v>
      </c>
      <c r="K39" s="11" t="str">
        <f>IFERROR(IF(ISNUMBER($J39),INDEX('Skeet Ind Concurrent Ranking'!$D:$D,MATCH($J39,'Skeet Ind Concurrent Ranking'!$N:$N,0)),""),"")</f>
        <v>Dee Last Name45</v>
      </c>
      <c r="L39" s="51">
        <f>IFERROR(IF(ISNUMBER($J39),INDEX('Skeet Ind Concurrent Ranking'!$I:$I,MATCH($J39,'Skeet Ind Concurrent Ranking'!$N:$N,0)),""),"")</f>
        <v>54</v>
      </c>
      <c r="M39" s="40" t="str">
        <f>IFERROR(IF(ISNUMBER($J39),INDEX('Skeet Ind Concurrent Ranking'!$H:$H,MATCH($J39,'Skeet Ind Concurrent Ranking'!$N:$N,0)),""),"")</f>
        <v>B</v>
      </c>
      <c r="N39" s="1">
        <v>78</v>
      </c>
      <c r="O39" s="11" t="str">
        <f>IFERROR(IF(ISNUMBER($N39),INDEX('Skeet Ind Concurrent Ranking'!$D:$D,MATCH($N39,'Skeet Ind Concurrent Ranking'!$N:$N,0)),""),"")</f>
        <v/>
      </c>
      <c r="P39" s="51" t="str">
        <f>IFERROR(IF(ISNUMBER($N39),INDEX('Skeet Ind Concurrent Ranking'!$I:$I,MATCH($N39,'Skeet Ind Concurrent Ranking'!$N:$N,0)),""),"")</f>
        <v/>
      </c>
      <c r="Q39" s="40" t="str">
        <f>IFERROR(IF(ISNUMBER($N39),INDEX('Skeet Ind Concurrent Ranking'!$H:$H,MATCH($N39,'Skeet Ind Concurrent Ranking'!$N:$N,0)),""),"")</f>
        <v/>
      </c>
    </row>
    <row r="40" spans="1:23" x14ac:dyDescent="0.3">
      <c r="B40" s="11" t="str">
        <f>IFERROR(IF(ISNUMBER($J25),INDEX('Skeet Ind Concurrent Ranking'!$D:$D,MATCH($J25,'Skeet Ind Concurrent Ranking'!$BX:$BX,0)),""),"")</f>
        <v/>
      </c>
      <c r="C40" s="40" t="str">
        <f>IFERROR(IF(ISNUMBER($J25),INDEX('Skeet Ind Concurrent Ranking'!$I:$I,MATCH($J25,'Skeet Ind Concurrent Ranking'!$BX:$BX,0)),""),"")</f>
        <v/>
      </c>
      <c r="D40" s="11" t="str">
        <f>IFERROR(IF(ISNUMBER($J25),INDEX('Skeet Ind Concurrent Ranking'!$D:$D,MATCH($J25,'Skeet Ind Concurrent Ranking'!$CE:$CE,0)),""),"")</f>
        <v/>
      </c>
      <c r="E40" s="40" t="str">
        <f>IFERROR(IF(ISNUMBER($J25),INDEX('Skeet Ind Concurrent Ranking'!$I:$I,MATCH($J25,'Skeet Ind Concurrent Ranking'!$CE:$CE,0)),""),"")</f>
        <v/>
      </c>
      <c r="F40" s="11" t="str">
        <f>IFERROR(IF(ISNUMBER($J25),INDEX('Skeet Ind Concurrent Ranking'!$D:$D,MATCH($J25,'Skeet Ind Concurrent Ranking'!$CL:$CL,0)),""),"")</f>
        <v/>
      </c>
      <c r="G40" s="40" t="str">
        <f>IFERROR(IF(ISNUMBER($J25),INDEX('Skeet Ind Concurrent Ranking'!$I:$I,MATCH($J25,'Skeet Ind Concurrent Ranking'!$CL:$CL,0)),""),"")</f>
        <v/>
      </c>
      <c r="H40" s="11" t="str">
        <f>IFERROR(IF(ISNUMBER($J25),INDEX('Skeet Ind Concurrent Ranking'!$D:$D,MATCH($J25,'Skeet Ind Concurrent Ranking'!CS:$CS,0)),""),"")</f>
        <v/>
      </c>
      <c r="I40" s="40" t="str">
        <f>IFERROR(IF(ISNUMBER($J25),INDEX('Skeet Ind Concurrent Ranking'!$I:$I,MATCH($J25,'Skeet Ind Concurrent Ranking'!$CS:$CS,0)),""),"")</f>
        <v/>
      </c>
      <c r="J40" s="1">
        <v>39</v>
      </c>
      <c r="K40" s="11" t="str">
        <f>IFERROR(IF(ISNUMBER($J40),INDEX('Skeet Ind Concurrent Ranking'!$D:$D,MATCH($J40,'Skeet Ind Concurrent Ranking'!$N:$N,0)),""),"")</f>
        <v>Jackson Last Name48</v>
      </c>
      <c r="L40" s="51">
        <f>IFERROR(IF(ISNUMBER($J40),INDEX('Skeet Ind Concurrent Ranking'!$I:$I,MATCH($J40,'Skeet Ind Concurrent Ranking'!$N:$N,0)),""),"")</f>
        <v>51.2</v>
      </c>
      <c r="M40" s="40" t="str">
        <f>IFERROR(IF(ISNUMBER($J40),INDEX('Skeet Ind Concurrent Ranking'!$H:$H,MATCH($J40,'Skeet Ind Concurrent Ranking'!$N:$N,0)),""),"")</f>
        <v>D</v>
      </c>
      <c r="N40" s="1">
        <v>79</v>
      </c>
      <c r="O40" s="11" t="str">
        <f>IFERROR(IF(ISNUMBER($N40),INDEX('Skeet Ind Concurrent Ranking'!$D:$D,MATCH($N40,'Skeet Ind Concurrent Ranking'!$N:$N,0)),""),"")</f>
        <v/>
      </c>
      <c r="P40" s="51" t="str">
        <f>IFERROR(IF(ISNUMBER($N40),INDEX('Skeet Ind Concurrent Ranking'!$I:$I,MATCH($N40,'Skeet Ind Concurrent Ranking'!$N:$N,0)),""),"")</f>
        <v/>
      </c>
      <c r="Q40" s="40" t="str">
        <f>IFERROR(IF(ISNUMBER($N40),INDEX('Skeet Ind Concurrent Ranking'!$H:$H,MATCH($N40,'Skeet Ind Concurrent Ranking'!$N:$N,0)),""),"")</f>
        <v/>
      </c>
    </row>
    <row r="41" spans="1:23" x14ac:dyDescent="0.3">
      <c r="B41" s="11" t="str">
        <f>IFERROR(IF(ISNUMBER($J26),INDEX('Skeet Ind Concurrent Ranking'!$D:$D,MATCH($J26,'Skeet Ind Concurrent Ranking'!$BX:$BX,0)),""),"")</f>
        <v/>
      </c>
      <c r="C41" s="40" t="str">
        <f>IFERROR(IF(ISNUMBER($J26),INDEX('Skeet Ind Concurrent Ranking'!$I:$I,MATCH($J26,'Skeet Ind Concurrent Ranking'!$BX:$BX,0)),""),"")</f>
        <v/>
      </c>
      <c r="D41" s="11" t="str">
        <f>IFERROR(IF(ISNUMBER($J26),INDEX('Skeet Ind Concurrent Ranking'!$D:$D,MATCH($J26,'Skeet Ind Concurrent Ranking'!$CE:$CE,0)),""),"")</f>
        <v/>
      </c>
      <c r="E41" s="40" t="str">
        <f>IFERROR(IF(ISNUMBER($J26),INDEX('Skeet Ind Concurrent Ranking'!$I:$I,MATCH($J26,'Skeet Ind Concurrent Ranking'!$CE:$CE,0)),""),"")</f>
        <v/>
      </c>
      <c r="F41" s="11" t="str">
        <f>IFERROR(IF(ISNUMBER($J26),INDEX('Skeet Ind Concurrent Ranking'!$D:$D,MATCH($J26,'Skeet Ind Concurrent Ranking'!$CL:$CL,0)),""),"")</f>
        <v/>
      </c>
      <c r="G41" s="40" t="str">
        <f>IFERROR(IF(ISNUMBER($J26),INDEX('Skeet Ind Concurrent Ranking'!$I:$I,MATCH($J26,'Skeet Ind Concurrent Ranking'!$CL:$CL,0)),""),"")</f>
        <v/>
      </c>
      <c r="H41" s="11" t="str">
        <f>IFERROR(IF(ISNUMBER($J26),INDEX('Skeet Ind Concurrent Ranking'!$D:$D,MATCH($J26,'Skeet Ind Concurrent Ranking'!CS:$CS,0)),""),"")</f>
        <v/>
      </c>
      <c r="I41" s="40" t="str">
        <f>IFERROR(IF(ISNUMBER($J26),INDEX('Skeet Ind Concurrent Ranking'!$I:$I,MATCH($J26,'Skeet Ind Concurrent Ranking'!$CS:$CS,0)),""),"")</f>
        <v/>
      </c>
      <c r="J41" s="1">
        <v>40</v>
      </c>
      <c r="K41" s="11" t="str">
        <f>IFERROR(IF(ISNUMBER($J41),INDEX('Skeet Ind Concurrent Ranking'!$D:$D,MATCH($J41,'Skeet Ind Concurrent Ranking'!$N:$N,0)),""),"")</f>
        <v>Ben Last Name6</v>
      </c>
      <c r="L41" s="51">
        <f>IFERROR(IF(ISNUMBER($J41),INDEX('Skeet Ind Concurrent Ranking'!$I:$I,MATCH($J41,'Skeet Ind Concurrent Ranking'!$N:$N,0)),""),"")</f>
        <v>51.1</v>
      </c>
      <c r="M41" s="40" t="str">
        <f>IFERROR(IF(ISNUMBER($J41),INDEX('Skeet Ind Concurrent Ranking'!$H:$H,MATCH($J41,'Skeet Ind Concurrent Ranking'!$N:$N,0)),""),"")</f>
        <v>C</v>
      </c>
      <c r="N41" s="1">
        <v>80</v>
      </c>
      <c r="O41" s="11" t="str">
        <f>IFERROR(IF(ISNUMBER($N41),INDEX('Skeet Ind Concurrent Ranking'!$D:$D,MATCH($N41,'Skeet Ind Concurrent Ranking'!$N:$N,0)),""),"")</f>
        <v/>
      </c>
      <c r="P41" s="51" t="str">
        <f>IFERROR(IF(ISNUMBER($N41),INDEX('Skeet Ind Concurrent Ranking'!$I:$I,MATCH($N41,'Skeet Ind Concurrent Ranking'!$N:$N,0)),""),"")</f>
        <v/>
      </c>
      <c r="Q41" s="40" t="str">
        <f>IFERROR(IF(ISNUMBER($N41),INDEX('Skeet Ind Concurrent Ranking'!$H:$H,MATCH($N41,'Skeet Ind Concurrent Ranking'!$N:$N,0)),""),"")</f>
        <v/>
      </c>
    </row>
    <row r="42" spans="1:23" x14ac:dyDescent="0.3">
      <c r="A42" s="34"/>
      <c r="B42" s="36" t="str">
        <f>IFERROR(IF(ISNUMBER($J27),INDEX('Skeet Ind Concurrent Ranking'!$D:$D,MATCH($J27,'Skeet Ind Concurrent Ranking'!$BX:$BX,0)),""),"")</f>
        <v/>
      </c>
      <c r="C42" s="156" t="str">
        <f>IFERROR(IF(ISNUMBER($J27),INDEX('Skeet Ind Concurrent Ranking'!$I:$I,MATCH($J27,'Skeet Ind Concurrent Ranking'!$BX:$BX,0)),""),"")</f>
        <v/>
      </c>
      <c r="D42" s="36" t="str">
        <f>IFERROR(IF(ISNUMBER($J27),INDEX('Skeet Ind Concurrent Ranking'!$D:$D,MATCH($J27,'Skeet Ind Concurrent Ranking'!$CE:$CE,0)),""),"")</f>
        <v/>
      </c>
      <c r="E42" s="156" t="str">
        <f>IFERROR(IF(ISNUMBER($J27),INDEX('Skeet Ind Concurrent Ranking'!$I:$I,MATCH($J27,'Skeet Ind Concurrent Ranking'!$CE:$CE,0)),""),"")</f>
        <v/>
      </c>
      <c r="F42" s="36" t="str">
        <f>IFERROR(IF(ISNUMBER($J27),INDEX('Skeet Ind Concurrent Ranking'!$D:$D,MATCH($J27,'Skeet Ind Concurrent Ranking'!$CL:$CL,0)),""),"")</f>
        <v/>
      </c>
      <c r="G42" s="156" t="str">
        <f>IFERROR(IF(ISNUMBER($J27),INDEX('Skeet Ind Concurrent Ranking'!$I:$I,MATCH($J27,'Skeet Ind Concurrent Ranking'!$CL:$CL,0)),""),"")</f>
        <v/>
      </c>
      <c r="H42" s="36" t="str">
        <f>IFERROR(IF(ISNUMBER($J27),INDEX('Skeet Ind Concurrent Ranking'!$D:$D,MATCH($J27,'Skeet Ind Concurrent Ranking'!CS:$CS,0)),""),"")</f>
        <v/>
      </c>
      <c r="I42" s="156" t="str">
        <f>IFERROR(IF(ISNUMBER($J27),INDEX('Skeet Ind Concurrent Ranking'!$I:$I,MATCH($J27,'Skeet Ind Concurrent Ranking'!$CS:$CS,0)),""),"")</f>
        <v/>
      </c>
      <c r="J42" s="33"/>
      <c r="K42" s="33"/>
      <c r="L42" s="33"/>
      <c r="M42" s="33"/>
      <c r="N42" s="33"/>
      <c r="O42" s="33"/>
      <c r="P42" s="33"/>
      <c r="Q42" s="33"/>
    </row>
  </sheetData>
  <conditionalFormatting sqref="B17:H41">
    <cfRule type="expression" dxfId="2" priority="4">
      <formula>AND(OR((C17=C16),(C17=C18)),ISNUMBER(C17)=TRUE)</formula>
    </cfRule>
  </conditionalFormatting>
  <conditionalFormatting sqref="B42:H42">
    <cfRule type="expression" dxfId="1" priority="156">
      <formula>AND(OR((C42=C41),(C42=#REF!)),ISNUMBER(C42)=TRUE)</formula>
    </cfRule>
  </conditionalFormatting>
  <conditionalFormatting sqref="I17:I42">
    <cfRule type="expression" dxfId="0" priority="12">
      <formula>AND(OR((#REF!=#REF!),(#REF!=#REF!)),ISNUMBER(#REF!)=TRUE)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Tournament Setup</vt:lpstr>
      <vt:lpstr>Team Setup</vt:lpstr>
      <vt:lpstr>Individual Setup</vt:lpstr>
      <vt:lpstr>Shooter-Squad Assignment</vt:lpstr>
      <vt:lpstr>Squad Listing</vt:lpstr>
      <vt:lpstr>Shooter History</vt:lpstr>
      <vt:lpstr>Tournament List</vt:lpstr>
      <vt:lpstr>HAA Scores</vt:lpstr>
      <vt:lpstr>Skeet Ind Concurrent Ranking</vt:lpstr>
      <vt:lpstr>Skeet Team Scores</vt:lpstr>
      <vt:lpstr>Skeet Ind Concurrent Scores</vt:lpstr>
      <vt:lpstr>Skeet Ind Class Scores</vt:lpstr>
      <vt:lpstr>AgeConcurrents</vt:lpstr>
      <vt:lpstr>Concurrent</vt:lpstr>
      <vt:lpstr>'Skeet Ind Concurrent Scores'!Print_Area</vt:lpstr>
      <vt:lpstr>ShooterID</vt:lpstr>
      <vt:lpstr>SkeetTimes</vt:lpstr>
      <vt:lpstr>SportingTimes</vt:lpstr>
      <vt:lpstr>SquadConcurrents</vt:lpstr>
      <vt:lpstr>SquadPos</vt:lpstr>
      <vt:lpstr>SquadPosT</vt:lpstr>
      <vt:lpstr>TeamNo</vt:lpstr>
      <vt:lpstr>Teams</vt:lpstr>
      <vt:lpstr>TrapTimes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 Nester</dc:creator>
  <cp:lastModifiedBy>Heidi Nester</cp:lastModifiedBy>
  <cp:lastPrinted>2025-12-01T13:48:49Z</cp:lastPrinted>
  <dcterms:created xsi:type="dcterms:W3CDTF">2025-10-29T12:08:43Z</dcterms:created>
  <dcterms:modified xsi:type="dcterms:W3CDTF">2025-12-20T16:27:16Z</dcterms:modified>
</cp:coreProperties>
</file>